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ämäTyökirja" defaultThemeVersion="124226"/>
  <mc:AlternateContent xmlns:mc="http://schemas.openxmlformats.org/markup-compatibility/2006">
    <mc:Choice Requires="x15">
      <x15ac:absPath xmlns:x15ac="http://schemas.microsoft.com/office/spreadsheetml/2010/11/ac" url="\\valtion.fi\yhteiset_tiedostot\VM\Lennu\LENNU2\ORAAKKELI\"/>
    </mc:Choice>
  </mc:AlternateContent>
  <xr:revisionPtr revIDLastSave="0" documentId="13_ncr:1_{2E505AE5-F2D6-43F4-8F6F-397212458473}" xr6:coauthVersionLast="47" xr6:coauthVersionMax="47" xr10:uidLastSave="{00000000-0000-0000-0000-000000000000}"/>
  <bookViews>
    <workbookView xWindow="28680" yWindow="-120" windowWidth="29040" windowHeight="15720" tabRatio="796" activeTab="1" xr2:uid="{00000000-000D-0000-FFFF-FFFF00000000}"/>
  </bookViews>
  <sheets>
    <sheet name="Data" sheetId="93" r:id="rId1"/>
    <sheet name="OECD" sheetId="98" r:id="rId2"/>
    <sheet name="EUTable1" sheetId="99" r:id="rId3"/>
    <sheet name="AputauluAsiakasTauluista" sheetId="40" state="hidden" r:id="rId4"/>
  </sheets>
  <externalReferences>
    <externalReference r:id="rId5"/>
    <externalReference r:id="rId6"/>
  </externalReferences>
  <definedNames>
    <definedName name="_xleta.T" hidden="1" xlm="1">#NAME?</definedName>
    <definedName name="BKTArvo">INDIRECT([1]kdata!$E$144)</definedName>
    <definedName name="DATAT">#REF!</definedName>
    <definedName name="dbMJA">[1]!dbDATA[#Headers]</definedName>
    <definedName name="dbVUOSI">[1]!dbDATA[[#Headers],[Vuosi]]</definedName>
    <definedName name="HTML_CodePage" hidden="1">1252</definedName>
    <definedName name="HTML_Control" localSheetId="2" hidden="1">{"'15.01L'!$A$1:$I$62"}</definedName>
    <definedName name="HTML_Control" localSheetId="1" hidden="1">{"'15.01L'!$A$1:$I$62"}</definedName>
    <definedName name="HTML_Control" hidden="1">{"'15.01L'!$A$1:$I$62"}</definedName>
    <definedName name="HTML_Control2" localSheetId="2" hidden="1">{"'15.01L'!$A$1:$I$62"}</definedName>
    <definedName name="HTML_Control2" localSheetId="1" hidden="1">{"'15.01L'!$A$1:$I$62"}</definedName>
    <definedName name="HTML_Control2" hidden="1">{"'15.01L'!$A$1:$I$62"}</definedName>
    <definedName name="HTML_Control3" localSheetId="2" hidden="1">{"'15.01L'!$A$1:$I$62"}</definedName>
    <definedName name="HTML_Control3" localSheetId="1" hidden="1">{"'15.01L'!$A$1:$I$62"}</definedName>
    <definedName name="HTML_Control3" hidden="1">{"'15.01L'!$A$1:$I$62"}</definedName>
    <definedName name="HTML_Description" hidden="1">""</definedName>
    <definedName name="HTML_Email" hidden="1">""</definedName>
    <definedName name="HTML_Header" hidden="1">"15.01L"</definedName>
    <definedName name="HTML_LastUpdate" hidden="1">"19.11.98"</definedName>
    <definedName name="HTML_LineAfter" hidden="1">FALSE</definedName>
    <definedName name="HTML_LineBefore" hidden="1">FALSE</definedName>
    <definedName name="HTML_Name" hidden="1">"Weitzer &amp; Partner"</definedName>
    <definedName name="HTML_OBDlg2" hidden="1">TRUE</definedName>
    <definedName name="HTML_OBDlg4" hidden="1">TRUE</definedName>
    <definedName name="HTML_OS" hidden="1">0</definedName>
    <definedName name="HTML_PathFile" hidden="1">"C:\jb98\3d\daten\Kap15.ok\j-1501l.htm"</definedName>
    <definedName name="HTML_Title" hidden="1">"j-1501L"</definedName>
    <definedName name="Loppu">#REF!</definedName>
    <definedName name="mm" localSheetId="2" hidden="1">{"'15.01L'!$A$1:$I$62"}</definedName>
    <definedName name="mm" localSheetId="1" hidden="1">{"'15.01L'!$A$1:$I$62"}</definedName>
    <definedName name="mm" hidden="1">{"'15.01L'!$A$1:$I$62"}</definedName>
    <definedName name="pag01_en" localSheetId="2">EUTable1!$F$4:$K$33</definedName>
    <definedName name="pag02_en" localSheetId="2">EUTable1!#REF!</definedName>
    <definedName name="pag03_en" localSheetId="2">EUTable1!#REF!</definedName>
    <definedName name="pag04_en" localSheetId="2">EUTable1!#REF!</definedName>
    <definedName name="pag05_en" localSheetId="2">EUTable1!#REF!</definedName>
    <definedName name="pag06_en" localSheetId="2">EUTable1!#REF!</definedName>
    <definedName name="pag07_en" localSheetId="2">EUTable1!#REF!</definedName>
    <definedName name="pag08_en" localSheetId="2">EUTable1!#REF!</definedName>
    <definedName name="pag09_en" localSheetId="2">EUTable1!#REF!</definedName>
    <definedName name="pag10_en" localSheetId="2">EUTable1!#REF!</definedName>
    <definedName name="Print_Areaen" localSheetId="2">EUTable1!$F$4:$K$33</definedName>
    <definedName name="tab00_en" localSheetId="2">EUTable1!#REF!</definedName>
    <definedName name="tab01_en" localSheetId="2">EUTable1!#REF!</definedName>
    <definedName name="tab02_en" localSheetId="2">EUTable1!#REF!</definedName>
    <definedName name="tab03_en" localSheetId="2">EUTable1!#REF!</definedName>
    <definedName name="tab04_en" localSheetId="2">EUTable1!#REF!</definedName>
    <definedName name="tab05_en" localSheetId="2">EUTable1!#REF!</definedName>
    <definedName name="tab06_en" localSheetId="2">EUTable1!#REF!</definedName>
    <definedName name="tab07_en" localSheetId="2">EUTable1!#REF!</definedName>
    <definedName name="tab08_en" localSheetId="2">EUTable1!#REF!</definedName>
    <definedName name="tab09_en" localSheetId="2">EUTable1!#REF!</definedName>
    <definedName name="tab10_en" localSheetId="2">EUTable1!#REF!</definedName>
    <definedName name="tab11_en" localSheetId="2">EUTable1!#REF!</definedName>
    <definedName name="tab12_en" localSheetId="2">EUTable1!#REF!</definedName>
    <definedName name="TAULU18">#REF!</definedName>
    <definedName name="_xlnm.Print_Area" localSheetId="2">EUTable1!$F$6:$K$35</definedName>
    <definedName name="UlkoisetTiedot_1" localSheetId="0" hidden="1">Data!$A$1:$I$10144</definedName>
    <definedName name="Valitse_kytam">[2]Makro1!$H$14</definedName>
    <definedName name="VuosiBKTArvo">INDIRECT([1]kdata!$D$144)</definedName>
    <definedName name="Z_07145BB0_F5AF_4553_A602_E83C46E0D0DA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07145BB0_F5AF_4553_A602_E83C46E0D0DA_.wvu.PrintArea" localSheetId="2" hidden="1">EUTable1!$F$6:$K$35</definedName>
    <definedName name="Z_0CCCAB20_FE04_49B4_95E0_0CE843C1DA05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0CCCAB20_FE04_49B4_95E0_0CE843C1DA05_.wvu.PrintArea" localSheetId="2" hidden="1">EUTable1!$F$6:$K$35</definedName>
    <definedName name="Z_1968B4B9_223A_4D21_9AA8_A01E1C109E4E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1968B4B9_223A_4D21_9AA8_A01E1C109E4E_.wvu.PrintArea" localSheetId="2" hidden="1">EUTable1!$F$6:$K$35</definedName>
    <definedName name="Z_1C90FE06_1791_4DCF_8924_1407B3AE5101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1C90FE06_1791_4DCF_8924_1407B3AE5101_.wvu.PrintArea" localSheetId="2" hidden="1">EUTable1!$F$6:$K$35</definedName>
    <definedName name="Z_1DEE7538_C897_4264_9BFD_F9694581F81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1DEE7538_C897_4264_9BFD_F9694581F81B_.wvu.PrintArea" localSheetId="2" hidden="1">EUTable1!$F$6:$K$35</definedName>
    <definedName name="Z_20FAC7F0_20A8_491F_A346_8D0518905415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20FAC7F0_20A8_491F_A346_8D0518905415_.wvu.PrintArea" localSheetId="2" hidden="1">EUTable1!$F$6:$K$35</definedName>
    <definedName name="Z_267E37EE_ABD3_4FB7_9C76_C6A106D3B3C8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267E37EE_ABD3_4FB7_9C76_C6A106D3B3C8_.wvu.PrintArea" localSheetId="2" hidden="1">EUTable1!$F$6:$K$35</definedName>
    <definedName name="Z_28D38F80_C45E_4205_9C72_BFC32193F80D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28D38F80_C45E_4205_9C72_BFC32193F80D_.wvu.PrintArea" localSheetId="2" hidden="1">EUTable1!$F$6:$K$35</definedName>
    <definedName name="Z_31EB95AC_E51A_4C8F_BC44_EF92B092D1CD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31EB95AC_E51A_4C8F_BC44_EF92B092D1CD_.wvu.PrintArea" localSheetId="2" hidden="1">EUTable1!$F$6:$K$35</definedName>
    <definedName name="Z_3CEF8CF3_B24F_40E4_B20E_8E6345273318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3CEF8CF3_B24F_40E4_B20E_8E6345273318_.wvu.PrintArea" localSheetId="2" hidden="1">EUTable1!$F$6:$K$35</definedName>
    <definedName name="Z_3FFA5C42_719B_4A67_9ADF_5AFD9249820C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3FFA5C42_719B_4A67_9ADF_5AFD9249820C_.wvu.PrintArea" localSheetId="2" hidden="1">EUTable1!$F$6:$K$35</definedName>
    <definedName name="Z_42F0CB47_A708_43C4_B966_DD7BD7CBBE56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42F0CB47_A708_43C4_B966_DD7BD7CBBE56_.wvu.PrintArea" localSheetId="2" hidden="1">EUTable1!$F$6:$K$35</definedName>
    <definedName name="Z_55307376_6C84_4470_8089_D663F58CCA6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55307376_6C84_4470_8089_D663F58CCA6B_.wvu.PrintArea" localSheetId="2" hidden="1">EUTable1!$F$6:$K$35</definedName>
    <definedName name="Z_572F3904_5C22_43A8_9A5C_10D69D577FE9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572F3904_5C22_43A8_9A5C_10D69D577FE9_.wvu.PrintArea" localSheetId="2" hidden="1">EUTable1!$F$6:$K$35</definedName>
    <definedName name="Z_58D1138A_90A4_427D_9E9A_0BF3E9A8C556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58D1138A_90A4_427D_9E9A_0BF3E9A8C556_.wvu.PrintArea" localSheetId="2" hidden="1">EUTable1!$F$6:$K$35</definedName>
    <definedName name="Z_60488AB7_43B3_4488_81D6_A57B20368F4F_.wvu.PrintArea" hidden="1">#REF!</definedName>
    <definedName name="Z_6337E2BE_582D_4C04_8487_BB1914BE003E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6337E2BE_582D_4C04_8487_BB1914BE003E_.wvu.PrintArea" localSheetId="2" hidden="1">EUTable1!$F$6:$K$35</definedName>
    <definedName name="Z_648BB3CC_9651_4B0F_9021_4DCD53AECD78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648BB3CC_9651_4B0F_9021_4DCD53AECD78_.wvu.PrintArea" localSheetId="2" hidden="1">EUTable1!$F$6:$K$35</definedName>
    <definedName name="Z_6531C49F_2AAF_492A_B083_2E350050F6B4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6531C49F_2AAF_492A_B083_2E350050F6B4_.wvu.PrintArea" localSheetId="2" hidden="1">EUTable1!$F$6:$K$35</definedName>
    <definedName name="Z_668CCB64_45A2_4A3E_8059_08B3A233E437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668CCB64_45A2_4A3E_8059_08B3A233E437_.wvu.PrintArea" localSheetId="2" hidden="1">EUTable1!$F$6:$K$35</definedName>
    <definedName name="Z_68B5D6C0_5034_4BEB_8721_9FE9559F790A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68B5D6C0_5034_4BEB_8721_9FE9559F790A_.wvu.PrintArea" localSheetId="2" hidden="1">EUTable1!$F$6:$K$35</definedName>
    <definedName name="Z_71896A59_6EBB_4BE7_8E8D_2BC36AA1C003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71896A59_6EBB_4BE7_8E8D_2BC36AA1C003_.wvu.PrintArea" localSheetId="2" hidden="1">EUTable1!$F$6:$K$35</definedName>
    <definedName name="Z_73A05E62_870D_462F_9485_C9AEC9C20C78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73A05E62_870D_462F_9485_C9AEC9C20C78_.wvu.PrintArea" localSheetId="2" hidden="1">EUTable1!$F$6:$K$35</definedName>
    <definedName name="Z_73E845F3_7D90_4A7F_9E7D_C79FF5AC7F11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73E845F3_7D90_4A7F_9E7D_C79FF5AC7F11_.wvu.PrintArea" localSheetId="2" hidden="1">EUTable1!$F$6:$K$35</definedName>
    <definedName name="Z_7FB61565_5578_4F58_8726_74E54906B2BA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7FB61565_5578_4F58_8726_74E54906B2BA_.wvu.PrintArea" localSheetId="2" hidden="1">EUTable1!$F$6:$K$35</definedName>
    <definedName name="Z_804C84A6_175B_4ECE_B897_CD528C6D3431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804C84A6_175B_4ECE_B897_CD528C6D3431_.wvu.PrintArea" localSheetId="2" hidden="1">EUTable1!$F$6:$K$35</definedName>
    <definedName name="Z_8B807C98_3E24_464E_9B0B_A445CCAB0829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8B807C98_3E24_464E_9B0B_A445CCAB0829_.wvu.PrintArea" localSheetId="2" hidden="1">EUTable1!$F$6:$K$35</definedName>
    <definedName name="Z_8D9549F2_E31C_4BA6_BEA3_C48CE462CD5C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8D9549F2_E31C_4BA6_BEA3_C48CE462CD5C_.wvu.PrintArea" localSheetId="2" hidden="1">EUTable1!$F$6:$K$35</definedName>
    <definedName name="Z_8DA12351_837C_4C9D_9F8D_9E184A60B7A1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8DA12351_837C_4C9D_9F8D_9E184A60B7A1_.wvu.PrintArea" localSheetId="2" hidden="1">EUTable1!$F$6:$K$35</definedName>
    <definedName name="Z_8E7798C7_604B_4A26_8C84_BD917C98D135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8E7798C7_604B_4A26_8C84_BD917C98D135_.wvu.PrintArea" localSheetId="2" hidden="1">EUTable1!$F$6:$K$35</definedName>
    <definedName name="Z_8ED01837_2A02_4A16_B47D_AD30C08F9F41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8ED01837_2A02_4A16_B47D_AD30C08F9F41_.wvu.PrintArea" localSheetId="2" hidden="1">EUTable1!$F$6:$K$35</definedName>
    <definedName name="Z_9AA1CF92_3EC9_4366_B3E1_A6857E9AD940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9AA1CF92_3EC9_4366_B3E1_A6857E9AD940_.wvu.PrintArea" localSheetId="2" hidden="1">EUTable1!$F$6:$K$35</definedName>
    <definedName name="Z_9B8B83BE_6740_4439_B260_7540773B438E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9B8B83BE_6740_4439_B260_7540773B438E_.wvu.PrintArea" localSheetId="2" hidden="1">EUTable1!$F$6:$K$35</definedName>
    <definedName name="Z_9D1FB1A7_C9CA_4BD4_835E_F582FBEE80CF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9D1FB1A7_C9CA_4BD4_835E_F582FBEE80CF_.wvu.PrintArea" localSheetId="2" hidden="1">EUTable1!$F$6:$K$35</definedName>
    <definedName name="Z_9E2ECCF4_E3AF_4B09_BEDF_F96E2B275A9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9E2ECCF4_E3AF_4B09_BEDF_F96E2B275A9B_.wvu.PrintArea" localSheetId="2" hidden="1">EUTable1!$F$6:$K$35</definedName>
    <definedName name="Z_A025BCB7_FD35_4622_81B7_0937C858B29A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A025BCB7_FD35_4622_81B7_0937C858B29A_.wvu.PrintArea" localSheetId="2" hidden="1">EUTable1!$F$6:$K$35</definedName>
    <definedName name="Z_A3F3C0B5_281F_4969_B7B8_CDF7D2F21390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A3F3C0B5_281F_4969_B7B8_CDF7D2F21390_.wvu.PrintArea" localSheetId="2" hidden="1">EUTable1!$F$6:$K$35</definedName>
    <definedName name="Z_A4EEF75E_81FD_44C5_9F42_9B65DC71AFF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A4EEF75E_81FD_44C5_9F42_9B65DC71AFFB_.wvu.PrintArea" localSheetId="2" hidden="1">EUTable1!$F$6:$K$35</definedName>
    <definedName name="Z_A57DA299_AD9E_4531_9D8D_8D16FC4811F7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A57DA299_AD9E_4531_9D8D_8D16FC4811F7_.wvu.PrintArea" localSheetId="2" hidden="1">EUTable1!$F$6:$K$35</definedName>
    <definedName name="Z_A6BFC8C8_6D0E_4C9D_8D55_1D5415D316B4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A6BFC8C8_6D0E_4C9D_8D55_1D5415D316B4_.wvu.PrintArea" localSheetId="2" hidden="1">EUTable1!$F$6:$K$35</definedName>
    <definedName name="Z_B0970413_0A0B_42B2_AB7E_FED34EB008C2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B0970413_0A0B_42B2_AB7E_FED34EB008C2_.wvu.PrintArea" localSheetId="2" hidden="1">EUTable1!$F$6:$K$35</definedName>
    <definedName name="Z_B74B3721_4D78_4C9D_B7B2_9A8865341DC0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B74B3721_4D78_4C9D_B7B2_9A8865341DC0_.wvu.PrintArea" localSheetId="2" hidden="1">EUTable1!$F$6:$K$35</definedName>
    <definedName name="Z_BE03BC2F_6991_4228_AA44_95B65086789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BE03BC2F_6991_4228_AA44_95B65086789B_.wvu.PrintArea" localSheetId="2" hidden="1">EUTable1!$F$6:$K$35</definedName>
    <definedName name="Z_C322B8BB_BBAD_4751_89B6_C7B5EF605112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C322B8BB_BBAD_4751_89B6_C7B5EF605112_.wvu.PrintArea" localSheetId="2" hidden="1">EUTable1!$F$6:$K$35</definedName>
    <definedName name="Z_C37F43FC_074C_4716_A76F_AC010905A9DD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C37F43FC_074C_4716_A76F_AC010905A9DD_.wvu.PrintArea" localSheetId="2" hidden="1">EUTable1!$F$6:$K$35</definedName>
    <definedName name="Z_CB5D71A9_5724_432A_962E_9908FEBBDE20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CB5D71A9_5724_432A_962E_9908FEBBDE20_.wvu.PrintArea" localSheetId="2" hidden="1">EUTable1!$F$6:$K$35</definedName>
    <definedName name="Z_CCB4C001_B476_444C_A1E3_00F97ECE5B1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CCB4C001_B476_444C_A1E3_00F97ECE5B1B_.wvu.PrintArea" localSheetId="2" hidden="1">EUTable1!$F$6:$K$35</definedName>
    <definedName name="Z_CE90C8DE_C8D9_4455_8415_12EBF99870C9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CE90C8DE_C8D9_4455_8415_12EBF99870C9_.wvu.PrintArea" localSheetId="2" hidden="1">EUTable1!$F$6:$K$35</definedName>
    <definedName name="Z_D04580B2_9A13_443B_A269_52E59421FC85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D04580B2_9A13_443B_A269_52E59421FC85_.wvu.PrintArea" localSheetId="2" hidden="1">EUTable1!$F$6:$K$35</definedName>
    <definedName name="Z_D4FDEF0A_6D8D_42B4_A5CD_619C4A9217D5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D4FDEF0A_6D8D_42B4_A5CD_619C4A9217D5_.wvu.PrintArea" localSheetId="2" hidden="1">EUTable1!$F$6:$K$35</definedName>
    <definedName name="Z_D5FA9D00_64B8_4BBE_88E0_4667697DE71C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D5FA9D00_64B8_4BBE_88E0_4667697DE71C_.wvu.PrintArea" localSheetId="2" hidden="1">EUTable1!$F$6:$K$35</definedName>
    <definedName name="Z_E09D7086_18C1_45CE_A309_2FF1F8B45A16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E09D7086_18C1_45CE_A309_2FF1F8B45A16_.wvu.PrintArea" localSheetId="2" hidden="1">EUTable1!$F$6:$K$35</definedName>
    <definedName name="Z_E48510C2_D0DA_496E_AAF6_630D6C0B9FFF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E48510C2_D0DA_496E_AAF6_630D6C0B9FFF_.wvu.PrintArea" localSheetId="2" hidden="1">EUTable1!$F$6:$K$35</definedName>
    <definedName name="Z_E80AB113_9EBB_47DB_B2C9_649713C6A4F1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E80AB113_9EBB_47DB_B2C9_649713C6A4F1_.wvu.PrintArea" localSheetId="2" hidden="1">EUTable1!$F$6:$K$35</definedName>
    <definedName name="Z_EAEA7886_01A9_4A30_BB3B_C8C6B14ECF2B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EAEA7886_01A9_4A30_BB3B_C8C6B14ECF2B_.wvu.PrintArea" localSheetId="2" hidden="1">EUTable1!$F$6:$K$35</definedName>
    <definedName name="Z_EF6CC4AC_D71B_4556_8373_58EFD276EF89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EF6CC4AC_D71B_4556_8373_58EFD276EF89_.wvu.PrintArea" localSheetId="2" hidden="1">EUTable1!$F$6:$K$35</definedName>
    <definedName name="Z_F13C7E76_3E67_4D24_98E1_2E4F5E971C8D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F13C7E76_3E67_4D24_98E1_2E4F5E971C8D_.wvu.PrintArea" localSheetId="2" hidden="1">EUTable1!$F$6:$K$35</definedName>
    <definedName name="Z_F9385A5D_7AC3_4D5F_B6E5_0DA63C9A1183_.wvu.Cols" hidden="1">#REF!</definedName>
    <definedName name="Z_F9385A5D_7AC3_4D5F_B6E5_0DA63C9A1183_.wvu.PrintArea" hidden="1">#REF!</definedName>
    <definedName name="Z_F9385A5D_7AC3_4D5F_B6E5_0DA63C9A1183_.wvu.Rows" hidden="1">#REF!,#REF!,#REF!,#REF!,#REF!,#REF!,#REF!,#REF!,#REF!,#REF!</definedName>
    <definedName name="Z_F99EEBEB_6F03_43C8_9ED9_70E0CACC1AC4_.wvu.Cols" localSheetId="2" hidden="1">EUTable1!$JD:$JE,EUTable1!$SZ:$TA,EUTable1!$ACV:$ACW,EUTable1!$AMR:$AMS,EUTable1!$AWN:$AWO,EUTable1!$BGJ:$BGK,EUTable1!$BQF:$BQG,EUTable1!$CAB:$CAC,EUTable1!$CJX:$CJY,EUTable1!$CTT:$CTU,EUTable1!$DDP:$DDQ,EUTable1!$DNL:$DNM,EUTable1!$DXH:$DXI,EUTable1!$EHD:$EHE,EUTable1!$EQZ:$ERA,EUTable1!$FAV:$FAW,EUTable1!$FKR:$FKS,EUTable1!$FUN:$FUO,EUTable1!$GEJ:$GEK,EUTable1!$GOF:$GOG,EUTable1!$GYB:$GYC,EUTable1!$HHX:$HHY,EUTable1!$HRT:$HRU,EUTable1!$IBP:$IBQ,EUTable1!$ILL:$ILM,EUTable1!$IVH:$IVI,EUTable1!$JFD:$JFE,EUTable1!$JOZ:$JPA,EUTable1!$JYV:$JYW,EUTable1!$KIR:$KIS,EUTable1!$KSN:$KSO,EUTable1!$LCJ:$LCK,EUTable1!$LMF:$LMG,EUTable1!$LWB:$LWC,EUTable1!$MFX:$MFY,EUTable1!$MPT:$MPU,EUTable1!$MZP:$MZQ,EUTable1!$NJL:$NJM,EUTable1!$NTH:$NTI,EUTable1!$ODD:$ODE,EUTable1!$OMZ:$ONA,EUTable1!$OWV:$OWW,EUTable1!$PGR:$PGS,EUTable1!$PQN:$PQO,EUTable1!$QAJ:$QAK,EUTable1!$QKF:$QKG,EUTable1!$QUB:$QUC,EUTable1!$RDX:$RDY,EUTable1!$RNT:$RNU,EUTable1!$RXP:$RXQ,EUTable1!$SHL:$SHM,EUTable1!$SRH:$SRI,EUTable1!$TBD:$TBE,EUTable1!$TKZ:$TLA,EUTable1!$TUV:$TUW,EUTable1!$UER:$UES,EUTable1!$UON:$UOO,EUTable1!$UYJ:$UYK,EUTable1!$VIF:$VIG,EUTable1!$VSB:$VSC,EUTable1!$WBX:$WBY,EUTable1!$WLT:$WLU,EUTable1!$WVP:$WVQ</definedName>
    <definedName name="Z_F99EEBEB_6F03_43C8_9ED9_70E0CACC1AC4_.wvu.PrintArea" localSheetId="2" hidden="1">EUTable1!$F$6:$K$35</definedName>
  </definedNames>
  <calcPr calcId="191028"/>
  <customWorkbookViews>
    <customWorkbookView name="Rantala Mark (VM) - Oma näkymä" guid="{B0970413-0A0B-42B2-AB7E-FED34EB008C2}" mergeInterval="0" personalView="1" maximized="1" xWindow="-8" yWindow="-8" windowWidth="1936" windowHeight="1056" tabRatio="852" activeSheetId="16"/>
    <customWorkbookView name="Aalto Assi (VM) - Oma näkymä" guid="{55307376-6C84-4470-8089-D663F58CCA6B}" mergeInterval="0" personalView="1" maximized="1" xWindow="1912" yWindow="-8" windowWidth="1936" windowHeight="1056" tabRatio="753" activeSheetId="5"/>
    <customWorkbookView name="Hytönen Jukka (VM) - Oma näkymä" guid="{8D9549F2-E31C-4BA6-BEA3-C48CE462CD5C}" mergeInterval="0" personalView="1" maximized="1" xWindow="-1928" yWindow="-5" windowWidth="1936" windowHeight="1056" tabRatio="753" activeSheetId="18"/>
    <customWorkbookView name="Railavo Jukka - Personal View" guid="{68B5D6C0-5034-4BEB-8721-9FE9559F790A}" mergeInterval="0" personalView="1" maximized="1" xWindow="-9" yWindow="-9" windowWidth="1938" windowHeight="1048" tabRatio="931" activeSheetId="8"/>
    <customWorkbookView name="Koikkalainen Pasi (VM) - Oma näkymä" guid="{CE90C8DE-C8D9-4455-8415-12EBF99870C9}" mergeInterval="0" personalView="1" maximized="1" xWindow="1912" yWindow="-8" windowWidth="1936" windowHeight="1056" tabRatio="931" activeSheetId="11"/>
    <customWorkbookView name="Sontag Sari - Oma näkymä" guid="{6531C49F-2AAF-492A-B083-2E350050F6B4}" mergeInterval="0" personalView="1" maximized="1" xWindow="-11" yWindow="-11" windowWidth="1942" windowHeight="1042" tabRatio="931" activeSheetId="14"/>
    <customWorkbookView name="Huopaniemi Jussi (VM) - Oma näkymä" guid="{1DEE7538-C897-4264-9BFD-F9694581F81B}" mergeInterval="0" personalView="1" maximized="1" xWindow="-8" yWindow="-8" windowWidth="1382" windowHeight="744" tabRatio="753" activeSheetId="5"/>
    <customWorkbookView name="Koponen Kristine (VM) - Oma näkymä" guid="{1C90FE06-1791-4DCF-8924-1407B3AE5101}" mergeInterval="0" personalView="1" xWindow="-1821" yWindow="15" windowWidth="1863" windowHeight="987" tabRatio="931" activeSheetId="10"/>
    <customWorkbookView name="Lehtimäki Mirjam (VM) - Oma näkymä" guid="{9D1FB1A7-C9CA-4BD4-835E-F582FBEE80CF}" mergeInterval="0" personalView="1" maximized="1" xWindow="2869" yWindow="-8" windowWidth="2902" windowHeight="1582" tabRatio="931" activeSheetId="39"/>
    <customWorkbookView name="Lehtimäki Mirjam - Oma näkymä" guid="{E48510C2-D0DA-496E-AAF6-630D6C0B9FFF}" mergeInterval="0" personalView="1" maximized="1" xWindow="-8" yWindow="-8" windowWidth="1382" windowHeight="744" tabRatio="931" activeSheetId="39"/>
    <customWorkbookView name="Hytönen Jukka - Oma näkymä" guid="{7FB61565-5578-4F58-8726-74E54906B2BA}" mergeInterval="0" personalView="1" maximized="1" xWindow="-8" yWindow="-8" windowWidth="1936" windowHeight="1056" tabRatio="931" activeSheetId="18"/>
    <customWorkbookView name="Koikkalainen Pasi - Oma näkymä" guid="{A6BFC8C8-6D0E-4C9D-8D55-1D5415D316B4}" mergeInterval="0" personalView="1" maximized="1" xWindow="-8" yWindow="-8" windowWidth="1936" windowHeight="1056" tabRatio="753" activeSheetId="9"/>
    <customWorkbookView name="Miika Heinonen - Oma näkymä" guid="{BE03BC2F-6991-4228-AA44-95B65086789B}" mergeInterval="0" personalView="1" maximized="1" xWindow="2869" yWindow="-11" windowWidth="2902" windowHeight="1582" tabRatio="931" activeSheetId="39"/>
    <customWorkbookView name="Snellman Oliver (VM) - Oma näkymä" guid="{E09D7086-18C1-45CE-A309-2FF1F8B45A16}" mergeInterval="0" personalView="1" xWindow="24" yWindow="13" windowWidth="1840" windowHeight="902" tabRatio="931" activeSheetId="10"/>
    <customWorkbookView name="Aalto Assi - Oma näkymä" guid="{1968B4B9-223A-4D21-9AA8-A01E1C109E4E}" mergeInterval="0" personalView="1" maximized="1" xWindow="-1928" yWindow="-8" windowWidth="1936" windowHeight="1056" tabRatio="931" activeSheetId="11"/>
    <customWorkbookView name="Rantala Mark - Oma näkymä" guid="{D04580B2-9A13-443B-A269-52E59421FC85}" mergeInterval="0" personalView="1" xWindow="-2611" yWindow="83" windowWidth="2353" windowHeight="1400" tabRatio="931" activeSheetId="17"/>
    <customWorkbookView name="Kekäläinen Antti - Oma näkymä" guid="{58D1138A-90A4-427D-9E9A-0BF3E9A8C556}" mergeInterval="0" personalView="1" maximized="1" xWindow="-8" yWindow="-8" windowWidth="1936" windowHeight="1056" tabRatio="931" activeSheetId="4"/>
    <customWorkbookView name="Elmgren Peter - Oma näkymä" guid="{804C84A6-175B-4ECE-B897-CD528C6D3431}" mergeInterval="0" personalView="1" maximized="1" xWindow="-1928" yWindow="-8" windowWidth="1936" windowHeight="1056" tabRatio="931" activeSheetId="5"/>
    <customWorkbookView name="Huopaniemi Jussi - Oma näkymä" guid="{572F3904-5C22-43A8-9A5C-10D69D577FE9}" mergeInterval="0" personalView="1" maximized="1" xWindow="-8" yWindow="-8" windowWidth="1936" windowHeight="1056" tabRatio="931" activeSheetId="5"/>
    <customWorkbookView name="Koikkalainen Pasi VM - Oma näkymä" guid="{267E37EE-ABD3-4FB7-9C76-C6A106D3B3C8}" mergeInterval="0" personalView="1" maximized="1" windowWidth="1916" windowHeight="807" tabRatio="931" activeSheetId="5"/>
    <customWorkbookView name="Aalto Assi VM - Oma näkymä" guid="{3FFA5C42-719B-4A67-9ADF-5AFD9249820C}" mergeInterval="0" personalView="1" maximized="1" windowWidth="1920" windowHeight="759" tabRatio="881" activeSheetId="5"/>
    <customWorkbookView name="Railavo Jukka VM - Personal View" guid="{0CCCAB20-FE04-49B4-95E0-0CE843C1DA05}" mergeInterval="0" personalView="1" xWindow="1914" yWindow="32" windowWidth="1649" windowHeight="761" tabRatio="881" activeSheetId="20"/>
    <customWorkbookView name="Kekäläinen Antti VM - Oma näkymä" guid="{9AA1CF92-3EC9-4366-B3E1-A6857E9AD940}" mergeInterval="0" personalView="1" maximized="1" windowWidth="1920" windowHeight="855" tabRatio="931" activeSheetId="10"/>
    <customWorkbookView name="Kähkönen Harri VM - Oma näkymä" guid="{F99EEBEB-6F03-43C8-9ED9-70E0CACC1AC4}" mergeInterval="0" personalView="1" maximized="1" windowWidth="1920" windowHeight="865" tabRatio="931" activeSheetId="14"/>
    <customWorkbookView name="Tamminen Veliarvo VM - Oma näkymä" guid="{C322B8BB-BBAD-4751-89B6-C7B5EF605112}" mergeInterval="0" personalView="1" maximized="1" windowWidth="1920" windowHeight="818" tabRatio="881" activeSheetId="39"/>
    <customWorkbookView name="Sontag Sari VM - Oma näkymä" guid="{E80AB113-9EBB-47DB-B2C9-649713C6A4F1}" mergeInterval="0" personalView="1" maximized="1" windowWidth="1920" windowHeight="894" tabRatio="931" activeSheetId="8"/>
    <customWorkbookView name="Pönkä Harri VM - Oma näkymä" guid="{20FAC7F0-20A8-491F-A346-8D0518905415}" mergeInterval="0" personalView="1" maximized="1" windowWidth="1859" windowHeight="764" tabRatio="881" activeSheetId="18"/>
    <customWorkbookView name="Koikkalainen Pasi - Personal View" guid="{07145BB0-F5AF-4553-A602-E83C46E0D0DA}" mergeInterval="0" personalView="1" maximized="1" xWindow="-4" yWindow="-4" windowWidth="1928" windowHeight="1040" tabRatio="881" activeSheetId="39"/>
    <customWorkbookView name="Synkkänen Marko VM - Oma näkymä" guid="{648BB3CC-9651-4B0F-9021-4DCD53AECD78}" mergeInterval="0" personalView="1" maximized="1" windowWidth="1920" windowHeight="830" tabRatio="881" activeSheetId="13"/>
    <customWorkbookView name="Paavonen Marja VM - Oma näkymä" guid="{EAEA7886-01A9-4A30-BB3B-C8C6B14ECF2B}" mergeInterval="0" personalView="1" maximized="1" windowWidth="1920" windowHeight="815" tabRatio="922" activeSheetId="5"/>
    <customWorkbookView name="vmrailav - Personal View" guid="{9B8B83BE-6740-4439-B260-7540773B438E}" mergeInterval="0" personalView="1" maximized="1" xWindow="1" yWindow="1" windowWidth="1920" windowHeight="889" activeSheetId="5"/>
    <customWorkbookView name="vmsuvant - Oma näkymä" guid="{28D38F80-C45E-4205-9C72-BFC32193F80D}" mergeInterval="0" personalView="1" maximized="1" xWindow="1" yWindow="1" windowWidth="1276" windowHeight="490" tabRatio="881" activeSheetId="11"/>
    <customWorkbookView name="vmsontag - Oma näkymä" guid="{71896A59-6EBB-4BE7-8E8D-2BC36AA1C003}" mergeInterval="0" personalView="1" maximized="1" xWindow="1" yWindow="1" windowWidth="1916" windowHeight="970" activeSheetId="8"/>
    <customWorkbookView name="vmkoikka - Oma näkymä" guid="{EF6CC4AC-D71B-4556-8373-58EFD276EF89}" mergeInterval="0" personalView="1" maximized="1" xWindow="1" yWindow="1" windowWidth="1916" windowHeight="850" tabRatio="881" activeSheetId="9"/>
    <customWorkbookView name="vmpaavon - Oma näkymä" guid="{A025BCB7-FD35-4622-81B7-0937C858B29A}" mergeInterval="0" personalView="1" maximized="1" xWindow="1" yWindow="1" windowWidth="1916" windowHeight="850" tabRatio="881" activeSheetId="5"/>
    <customWorkbookView name="vmkahkon - Oma näkymä" guid="{F13C7E76-3E67-4D24-98E1-2E4F5E971C8D}" mergeInterval="0" personalView="1" maximized="1" xWindow="1" yWindow="1" windowWidth="1920" windowHeight="860" tabRatio="917" activeSheetId="4"/>
    <customWorkbookView name="Kähkönen Harri - Personal View" guid="{A4EEF75E-81FD-44C5-9F42-9B65DC71AFFB}" mergeInterval="0" personalView="1" maximized="1" xWindow="-4" yWindow="-4" windowWidth="1928" windowHeight="1058" tabRatio="917" activeSheetId="4"/>
    <customWorkbookView name="vmsynkka - Oma näkymä" guid="{42F0CB47-A708-43C4-B966-DD7BD7CBBE56}" mergeInterval="0" personalView="1" maximized="1" xWindow="1" yWindow="1" windowWidth="1920" windowHeight="804" tabRatio="881" activeSheetId="57"/>
    <customWorkbookView name="Malhotra Mira - Personal View" guid="{8B807C98-3E24-464E-9B0B-A445CCAB0829}" mergeInterval="0" personalView="1" maximized="1" xWindow="1916" yWindow="-4" windowWidth="1928" windowHeight="1088" tabRatio="881" activeSheetId="6"/>
    <customWorkbookView name="Stenborg Markku VM - Oma näkymä" guid="{A3F3C0B5-281F-4969-B7B8-CDF7D2F21390}" mergeInterval="0" personalView="1" maximized="1" windowWidth="1916" windowHeight="813" tabRatio="881" activeSheetId="6"/>
    <customWorkbookView name="Rantala Mark - Personal View" guid="{96882B2A-C163-4058-BF5C-CAB581DCBD55}" mergeInterval="0" personalView="1" includePrintSettings="0" includeHiddenRowCol="0" xWindow="-4" yWindow="-4" windowWidth="1374" windowHeight="736" tabRatio="936" activeSheetId="17"/>
    <customWorkbookView name="Malhotra Mira VM - Oma näkymä" guid="{8ED01837-2A02-4A16-B47D-AD30C08F9F41}" mergeInterval="0" personalView="1" maximized="1" windowWidth="1920" windowHeight="874" tabRatio="881" activeSheetId="10"/>
    <customWorkbookView name="Suvanto Arvi VM - Oma näkymä" guid="{C37F43FC-074C-4716-A76F-AC010905A9DD}" mergeInterval="0" personalView="1" maximized="1" windowWidth="1920" windowHeight="807" tabRatio="881" activeSheetId="8"/>
    <customWorkbookView name="Ahola Ilari VM - Oma näkymä" guid="{6337E2BE-582D-4C04-8487-BB1914BE003E}" mergeInterval="0" personalView="1" maximized="1" windowWidth="3726" windowHeight="788" tabRatio="881" activeSheetId="5"/>
    <customWorkbookView name="Wallen Laura VM - Oma näkymä" guid="{CCB4C001-B476-444C-A1E3-00F97ECE5B1B}" mergeInterval="0" personalView="1" windowWidth="1920" windowHeight="821" tabRatio="881" activeSheetId="17"/>
    <customWorkbookView name="Kostiainen Juho VM - Oma näkymä" guid="{B74B3721-4D78-4C9D-B7B2-9A8865341DC0}" mergeInterval="0" personalView="1" maximized="1" windowWidth="1920" windowHeight="815" tabRatio="931" activeSheetId="18"/>
    <customWorkbookView name="Elmgren Peter VM - Oma näkymä" guid="{73A05E62-870D-462F-9485-C9AEC9C20C78}" mergeInterval="0" personalView="1" xWindow="342" yWindow="64" windowWidth="2587" windowHeight="722" tabRatio="881" activeSheetId="5"/>
    <customWorkbookView name="Lehtimäki Mirjam VM - Oma näkymä" guid="{A57DA299-AD9E-4531-9D8D-8D16FC4811F7}" mergeInterval="0" personalView="1" maximized="1" windowWidth="1920" windowHeight="855" tabRatio="881" activeSheetId="11"/>
    <customWorkbookView name="Huopaniemi Jussi VM - Oma näkymä" guid="{73E845F3-7D90-4A7F-9E7D-C79FF5AC7F11}" mergeInterval="0" personalView="1" maximized="1" windowWidth="1920" windowHeight="781" tabRatio="936" activeSheetId="49"/>
    <customWorkbookView name="Rantala Mark VM - Oma näkymä" guid="{8E7798C7-604B-4A26-8C84-BD917C98D135}" mergeInterval="0" personalView="1" maximized="1" windowWidth="1920" windowHeight="855" tabRatio="881" activeSheetId="49"/>
    <customWorkbookView name="Kotilainen Annaliina - Oma näkymä" guid="{D4FDEF0A-6D8D-42B4-A5CD-619C4A9217D5}" mergeInterval="0" personalView="1" maximized="1" xWindow="-8" yWindow="-8" windowWidth="1382" windowHeight="744" tabRatio="931" activeSheetId="5"/>
    <customWorkbookView name="Ahola Ilari - Oma näkymä" guid="{3CEF8CF3-B24F-40E4-B20E-8E6345273318}" mergeInterval="0" personalView="1" xWindow="484" yWindow="80" windowWidth="1157" windowHeight="735" tabRatio="931" activeSheetId="18"/>
    <customWorkbookView name="Pönkä Harri - Oma näkymä" guid="{668CCB64-45A2-4A3E-8059-08B3A233E437}" mergeInterval="0" personalView="1" xWindow="1919" windowWidth="1762" windowHeight="1030" tabRatio="931" activeSheetId="5"/>
    <customWorkbookView name="Kähkönen Harri - Oma näkymä" guid="{8DA12351-837C-4C9D-9F8D-9E184A60B7A1}" mergeInterval="0" personalView="1" maximized="1" xWindow="-9" yWindow="-9" windowWidth="1938" windowHeight="1060" tabRatio="931" activeSheetId="39"/>
    <customWorkbookView name="Ahola Ilari (VM) - Oma näkymä" guid="{31EB95AC-E51A-4C8F-BC44-EF92B092D1CD}" mergeInterval="0" personalView="1" maximized="1" xWindow="-12" yWindow="-12" windowWidth="1944" windowHeight="1034" tabRatio="931" activeSheetId="5"/>
    <customWorkbookView name="Tamminen  Veliarvo - Oma näkymä" guid="{CB5D71A9-5724-432A-962E-9908FEBBDE20}" mergeInterval="0" personalView="1" maximized="1" xWindow="-8" yWindow="-8" windowWidth="1936" windowHeight="1056" tabRatio="931" activeSheetId="18"/>
    <customWorkbookView name="Kähkönen Harri (VM) - Oma näkymä" guid="{D5FA9D00-64B8-4BBE-88E0-4667697DE71C}" mergeInterval="0" personalView="1" maximized="1" xWindow="-9" yWindow="-9" windowWidth="1938" windowHeight="1060" tabRatio="854" activeSheetId="9"/>
    <customWorkbookView name="Kekäläinen Antti (VM) - Oma näkymä" guid="{9E2ECCF4-E3AF-4B09-BEDF-F96E2B275A9B}" mergeInterval="0" personalView="1" maximized="1" xWindow="-8" yWindow="-8" windowWidth="1936" windowHeight="1056" tabRatio="827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99" l="1" a="1"/>
  <c r="I13" i="99" s="1"/>
  <c r="J13" i="99" a="1"/>
  <c r="J13" i="99" s="1"/>
  <c r="K13" i="99" a="1"/>
  <c r="K13" i="99" s="1"/>
  <c r="L13" i="99" a="1"/>
  <c r="L13" i="99" s="1"/>
  <c r="I14" i="99" a="1"/>
  <c r="I14" i="99" s="1"/>
  <c r="J14" i="99" a="1"/>
  <c r="J14" i="99" s="1"/>
  <c r="K14" i="99" a="1"/>
  <c r="K14" i="99" s="1"/>
  <c r="L14" i="99" a="1"/>
  <c r="L14" i="99" s="1"/>
  <c r="J12" i="99" a="1"/>
  <c r="J12" i="99" s="1"/>
  <c r="K12" i="99" a="1"/>
  <c r="K12" i="99" s="1"/>
  <c r="L12" i="99" a="1"/>
  <c r="L12" i="99" s="1"/>
  <c r="I12" i="99" a="1"/>
  <c r="I12" i="99" s="1"/>
  <c r="J11" i="99" a="1"/>
  <c r="J11" i="99" s="1"/>
  <c r="K11" i="99" a="1"/>
  <c r="K11" i="99" s="1"/>
  <c r="L11" i="99" a="1"/>
  <c r="L11" i="99" s="1"/>
  <c r="I11" i="99" a="1"/>
  <c r="I11" i="99" s="1"/>
  <c r="J10" i="99" a="1"/>
  <c r="J10" i="99" s="1"/>
  <c r="K10" i="99" a="1"/>
  <c r="K10" i="99" s="1"/>
  <c r="L10" i="99" a="1"/>
  <c r="L10" i="99" s="1"/>
  <c r="I10" i="99" a="1"/>
  <c r="I10" i="99" s="1"/>
  <c r="J9" i="99" a="1"/>
  <c r="J9" i="99" s="1"/>
  <c r="K9" i="99" a="1"/>
  <c r="K9" i="99" s="1"/>
  <c r="L9" i="99" a="1"/>
  <c r="L9" i="99" s="1"/>
  <c r="I9" i="99" a="1"/>
  <c r="I9" i="99" s="1"/>
  <c r="J8" i="99" a="1"/>
  <c r="J8" i="99" s="1"/>
  <c r="K8" i="99" a="1"/>
  <c r="K8" i="99" s="1"/>
  <c r="L8" i="99" a="1"/>
  <c r="L8" i="99" s="1"/>
  <c r="I8" i="99" a="1"/>
  <c r="I8" i="99" s="1"/>
  <c r="J18" i="98" a="1"/>
  <c r="J18" i="98" s="1"/>
  <c r="K18" i="98" a="1"/>
  <c r="K18" i="98" s="1"/>
  <c r="L18" i="98" a="1"/>
  <c r="L18" i="98" s="1"/>
  <c r="M18" i="98" a="1"/>
  <c r="M18" i="98" s="1"/>
  <c r="N18" i="98" a="1"/>
  <c r="N18" i="98" s="1"/>
  <c r="I18" i="98" a="1"/>
  <c r="I18" i="98" s="1"/>
  <c r="J26" i="98" a="1"/>
  <c r="J26" i="98" s="1"/>
  <c r="K26" i="98" a="1"/>
  <c r="K26" i="98" s="1"/>
  <c r="L26" i="98" a="1"/>
  <c r="L26" i="98" s="1"/>
  <c r="M26" i="98" a="1"/>
  <c r="M26" i="98" s="1"/>
  <c r="N26" i="98" a="1"/>
  <c r="N26" i="98" s="1"/>
  <c r="I26" i="98" a="1"/>
  <c r="I26" i="98" s="1"/>
  <c r="J25" i="98" a="1"/>
  <c r="J25" i="98" s="1"/>
  <c r="K25" i="98" a="1"/>
  <c r="K25" i="98" s="1"/>
  <c r="L25" i="98" a="1"/>
  <c r="L25" i="98" s="1"/>
  <c r="M25" i="98" a="1"/>
  <c r="M25" i="98" s="1"/>
  <c r="N25" i="98" a="1"/>
  <c r="N25" i="98" s="1"/>
  <c r="I25" i="98" a="1"/>
  <c r="I25" i="98" s="1"/>
  <c r="J21" i="98" a="1"/>
  <c r="J21" i="98" s="1"/>
  <c r="K21" i="98" a="1"/>
  <c r="K21" i="98" s="1"/>
  <c r="L21" i="98" a="1"/>
  <c r="L21" i="98" s="1"/>
  <c r="M21" i="98" a="1"/>
  <c r="M21" i="98" s="1"/>
  <c r="N21" i="98" a="1"/>
  <c r="N21" i="98" s="1"/>
  <c r="I21" i="98" a="1"/>
  <c r="I21" i="98" s="1"/>
  <c r="J16" i="98" a="1"/>
  <c r="J16" i="98" s="1"/>
  <c r="K16" i="98" a="1"/>
  <c r="K16" i="98" s="1"/>
  <c r="L16" i="98" a="1"/>
  <c r="L16" i="98" s="1"/>
  <c r="M16" i="98" a="1"/>
  <c r="M16" i="98" s="1"/>
  <c r="N16" i="98" a="1"/>
  <c r="N16" i="98" s="1"/>
  <c r="I16" i="98" a="1"/>
  <c r="I16" i="98" s="1"/>
  <c r="J14" i="98" a="1"/>
  <c r="J14" i="98" s="1"/>
  <c r="K14" i="98" a="1"/>
  <c r="K14" i="98" s="1"/>
  <c r="L14" i="98" a="1"/>
  <c r="L14" i="98" s="1"/>
  <c r="M14" i="98" a="1"/>
  <c r="M14" i="98" s="1"/>
  <c r="N14" i="98" a="1"/>
  <c r="N14" i="98" s="1"/>
  <c r="I14" i="98" a="1"/>
  <c r="I14" i="98" s="1"/>
  <c r="I7" i="98"/>
  <c r="J7" i="98" s="1"/>
  <c r="J42" i="98" l="1" a="1"/>
  <c r="J42" i="98" s="1"/>
  <c r="J40" i="98" a="1"/>
  <c r="J40" i="98" s="1"/>
  <c r="J41" i="98" a="1"/>
  <c r="J41" i="98" s="1"/>
  <c r="J39" i="98" a="1"/>
  <c r="J39" i="98" s="1"/>
  <c r="J37" i="98" a="1"/>
  <c r="J37" i="98" s="1"/>
  <c r="J34" i="98" a="1"/>
  <c r="J34" i="98" s="1"/>
  <c r="J29" i="98" a="1"/>
  <c r="J29" i="98" s="1"/>
  <c r="J36" i="98" a="1"/>
  <c r="J36" i="98" s="1"/>
  <c r="J28" i="98" a="1"/>
  <c r="J28" i="98" s="1"/>
  <c r="J30" i="98" a="1"/>
  <c r="J30" i="98" s="1"/>
  <c r="J38" i="98" a="1"/>
  <c r="J38" i="98" s="1"/>
  <c r="J23" i="98" a="1"/>
  <c r="J23" i="98" s="1"/>
  <c r="J11" i="98" a="1"/>
  <c r="J11" i="98" s="1"/>
  <c r="J20" i="98" a="1"/>
  <c r="J20" i="98" s="1"/>
  <c r="J15" i="98" a="1"/>
  <c r="J15" i="98" s="1"/>
  <c r="J19" i="98" a="1"/>
  <c r="J19" i="98" s="1"/>
  <c r="J12" i="98" a="1"/>
  <c r="J12" i="98" s="1"/>
  <c r="J13" i="98" a="1"/>
  <c r="J13" i="98" s="1"/>
  <c r="J24" i="98" a="1"/>
  <c r="J24" i="98" s="1"/>
  <c r="J10" i="98" a="1"/>
  <c r="J10" i="98" s="1"/>
  <c r="J17" i="98" s="1"/>
  <c r="K7" i="98"/>
  <c r="I40" i="98" a="1"/>
  <c r="I40" i="98" s="1"/>
  <c r="I42" i="98" a="1"/>
  <c r="I42" i="98" s="1"/>
  <c r="I41" i="98" a="1"/>
  <c r="I41" i="98" s="1"/>
  <c r="I29" i="98" a="1"/>
  <c r="I29" i="98" s="1"/>
  <c r="I30" i="98" a="1"/>
  <c r="I30" i="98" s="1"/>
  <c r="I37" i="98" a="1"/>
  <c r="I37" i="98" s="1"/>
  <c r="I38" i="98" a="1"/>
  <c r="I38" i="98" s="1"/>
  <c r="I36" i="98" a="1"/>
  <c r="I36" i="98" s="1"/>
  <c r="I39" i="98" a="1"/>
  <c r="I39" i="98" s="1"/>
  <c r="I34" i="98" a="1"/>
  <c r="I34" i="98" s="1"/>
  <c r="I28" i="98" a="1"/>
  <c r="I28" i="98" s="1"/>
  <c r="I24" i="98" a="1"/>
  <c r="I24" i="98" s="1"/>
  <c r="I20" i="98" a="1"/>
  <c r="I20" i="98" s="1"/>
  <c r="I23" i="98" a="1"/>
  <c r="I23" i="98" s="1"/>
  <c r="I11" i="98" a="1"/>
  <c r="I11" i="98" s="1"/>
  <c r="I13" i="98" a="1"/>
  <c r="I13" i="98" s="1"/>
  <c r="I15" i="98" a="1"/>
  <c r="I15" i="98" s="1"/>
  <c r="I10" i="98" a="1"/>
  <c r="I10" i="98" s="1"/>
  <c r="I17" i="98" s="1"/>
  <c r="I12" i="98" a="1"/>
  <c r="I12" i="98" s="1"/>
  <c r="I19" i="98" a="1"/>
  <c r="I19" i="98" s="1"/>
  <c r="L23" i="99"/>
  <c r="K23" i="99"/>
  <c r="J23" i="99"/>
  <c r="I7" i="99"/>
  <c r="I41" i="99" s="1"/>
  <c r="L7" i="98" l="1"/>
  <c r="K42" i="98" a="1"/>
  <c r="K42" i="98" s="1"/>
  <c r="K40" i="98" a="1"/>
  <c r="K40" i="98" s="1"/>
  <c r="K41" i="98" a="1"/>
  <c r="K41" i="98" s="1"/>
  <c r="K34" i="98" a="1"/>
  <c r="K34" i="98" s="1"/>
  <c r="K36" i="98" a="1"/>
  <c r="K36" i="98" s="1"/>
  <c r="K39" i="98" a="1"/>
  <c r="K39" i="98" s="1"/>
  <c r="K37" i="98" a="1"/>
  <c r="K37" i="98" s="1"/>
  <c r="K29" i="98" a="1"/>
  <c r="K29" i="98" s="1"/>
  <c r="K28" i="98" a="1"/>
  <c r="K28" i="98" s="1"/>
  <c r="K38" i="98" a="1"/>
  <c r="K38" i="98" s="1"/>
  <c r="K30" i="98" a="1"/>
  <c r="K30" i="98" s="1"/>
  <c r="K24" i="98" a="1"/>
  <c r="K24" i="98" s="1"/>
  <c r="K19" i="98" a="1"/>
  <c r="K19" i="98" s="1"/>
  <c r="K12" i="98" a="1"/>
  <c r="K12" i="98" s="1"/>
  <c r="K13" i="98" a="1"/>
  <c r="K13" i="98" s="1"/>
  <c r="K23" i="98" a="1"/>
  <c r="K23" i="98" s="1"/>
  <c r="K15" i="98" a="1"/>
  <c r="K15" i="98" s="1"/>
  <c r="K11" i="98" a="1"/>
  <c r="K11" i="98" s="1"/>
  <c r="K10" i="98" a="1"/>
  <c r="K10" i="98" s="1"/>
  <c r="K17" i="98" s="1"/>
  <c r="K20" i="98" a="1"/>
  <c r="K20" i="98" s="1"/>
  <c r="I35" i="99"/>
  <c r="I40" i="99"/>
  <c r="I22" i="99"/>
  <c r="J7" i="99"/>
  <c r="I39" i="99"/>
  <c r="I15" i="99"/>
  <c r="I37" i="99"/>
  <c r="O7" i="98"/>
  <c r="M7" i="98" l="1"/>
  <c r="L42" i="98" a="1"/>
  <c r="L42" i="98" s="1"/>
  <c r="L40" i="98" a="1"/>
  <c r="L40" i="98" s="1"/>
  <c r="L41" i="98" a="1"/>
  <c r="L41" i="98" s="1"/>
  <c r="L30" i="98" a="1"/>
  <c r="L30" i="98" s="1"/>
  <c r="L36" i="98" a="1"/>
  <c r="L36" i="98" s="1"/>
  <c r="L39" i="98" a="1"/>
  <c r="L39" i="98" s="1"/>
  <c r="L37" i="98" a="1"/>
  <c r="L37" i="98" s="1"/>
  <c r="L34" i="98" a="1"/>
  <c r="L34" i="98" s="1"/>
  <c r="L29" i="98" a="1"/>
  <c r="L29" i="98" s="1"/>
  <c r="L38" i="98" a="1"/>
  <c r="L38" i="98" s="1"/>
  <c r="L28" i="98" a="1"/>
  <c r="L28" i="98" s="1"/>
  <c r="L20" i="98" a="1"/>
  <c r="L20" i="98" s="1"/>
  <c r="L10" i="98" a="1"/>
  <c r="L10" i="98" s="1"/>
  <c r="L17" i="98" s="1"/>
  <c r="L23" i="98" a="1"/>
  <c r="L23" i="98" s="1"/>
  <c r="L12" i="98" a="1"/>
  <c r="L12" i="98" s="1"/>
  <c r="L15" i="98" a="1"/>
  <c r="L15" i="98" s="1"/>
  <c r="L11" i="98" a="1"/>
  <c r="L11" i="98" s="1"/>
  <c r="L13" i="98" a="1"/>
  <c r="L13" i="98" s="1"/>
  <c r="L24" i="98" a="1"/>
  <c r="L24" i="98" s="1"/>
  <c r="L19" i="98" a="1"/>
  <c r="L19" i="98" s="1"/>
  <c r="K32" i="98" a="1"/>
  <c r="K32" i="98" s="1"/>
  <c r="K33" i="98" a="1"/>
  <c r="K33" i="98" s="1"/>
  <c r="J41" i="99"/>
  <c r="J37" i="99"/>
  <c r="J30" i="99"/>
  <c r="J15" i="99"/>
  <c r="K7" i="99"/>
  <c r="J22" i="99"/>
  <c r="J40" i="99"/>
  <c r="J35" i="99"/>
  <c r="J39" i="99"/>
  <c r="P7" i="98"/>
  <c r="N7" i="98" l="1"/>
  <c r="M42" i="98" a="1"/>
  <c r="M42" i="98" s="1"/>
  <c r="M40" i="98" a="1"/>
  <c r="M40" i="98" s="1"/>
  <c r="M41" i="98" a="1"/>
  <c r="M41" i="98" s="1"/>
  <c r="M34" i="98" a="1"/>
  <c r="M34" i="98" s="1"/>
  <c r="M28" i="98" a="1"/>
  <c r="M28" i="98" s="1"/>
  <c r="M37" i="98" a="1"/>
  <c r="M37" i="98" s="1"/>
  <c r="M29" i="98" a="1"/>
  <c r="M29" i="98" s="1"/>
  <c r="M39" i="98" a="1"/>
  <c r="M39" i="98" s="1"/>
  <c r="M30" i="98" a="1"/>
  <c r="M30" i="98" s="1"/>
  <c r="M38" i="98" a="1"/>
  <c r="M38" i="98" s="1"/>
  <c r="M36" i="98" a="1"/>
  <c r="M36" i="98" s="1"/>
  <c r="M20" i="98" a="1"/>
  <c r="M20" i="98" s="1"/>
  <c r="M19" i="98" a="1"/>
  <c r="M19" i="98" s="1"/>
  <c r="M23" i="98" a="1"/>
  <c r="M23" i="98" s="1"/>
  <c r="M15" i="98" a="1"/>
  <c r="M15" i="98" s="1"/>
  <c r="M24" i="98" a="1"/>
  <c r="M24" i="98" s="1"/>
  <c r="M12" i="98" a="1"/>
  <c r="M12" i="98" s="1"/>
  <c r="M13" i="98" a="1"/>
  <c r="M13" i="98" s="1"/>
  <c r="M10" i="98" a="1"/>
  <c r="M10" i="98" s="1"/>
  <c r="M17" i="98" s="1"/>
  <c r="M11" i="98" a="1"/>
  <c r="M11" i="98" s="1"/>
  <c r="L32" i="98" a="1"/>
  <c r="L32" i="98" s="1"/>
  <c r="L33" i="98" a="1"/>
  <c r="L33" i="98" s="1"/>
  <c r="J32" i="98" a="1"/>
  <c r="J32" i="98" s="1"/>
  <c r="J33" i="98" a="1"/>
  <c r="J33" i="98" s="1"/>
  <c r="K41" i="99"/>
  <c r="K37" i="99"/>
  <c r="K30" i="99"/>
  <c r="K15" i="99"/>
  <c r="K39" i="99"/>
  <c r="L7" i="99"/>
  <c r="K22" i="99"/>
  <c r="K40" i="99"/>
  <c r="K35" i="99"/>
  <c r="Q7" i="98"/>
  <c r="N42" i="98" l="1" a="1"/>
  <c r="N42" i="98" s="1"/>
  <c r="N40" i="98" a="1"/>
  <c r="N40" i="98" s="1"/>
  <c r="N41" i="98" a="1"/>
  <c r="N41" i="98" s="1"/>
  <c r="N34" i="98" a="1"/>
  <c r="N34" i="98" s="1"/>
  <c r="N29" i="98" a="1"/>
  <c r="N29" i="98" s="1"/>
  <c r="N36" i="98" a="1"/>
  <c r="N36" i="98" s="1"/>
  <c r="N39" i="98" a="1"/>
  <c r="N39" i="98" s="1"/>
  <c r="N37" i="98" a="1"/>
  <c r="N37" i="98" s="1"/>
  <c r="N28" i="98" a="1"/>
  <c r="N28" i="98" s="1"/>
  <c r="N38" i="98" a="1"/>
  <c r="N38" i="98" s="1"/>
  <c r="N30" i="98" a="1"/>
  <c r="N30" i="98" s="1"/>
  <c r="N13" i="98" a="1"/>
  <c r="N13" i="98" s="1"/>
  <c r="N20" i="98" a="1"/>
  <c r="N20" i="98" s="1"/>
  <c r="N12" i="98" a="1"/>
  <c r="N12" i="98" s="1"/>
  <c r="N10" i="98" a="1"/>
  <c r="N10" i="98" s="1"/>
  <c r="N17" i="98" s="1"/>
  <c r="N15" i="98" a="1"/>
  <c r="N15" i="98" s="1"/>
  <c r="N11" i="98" a="1"/>
  <c r="N11" i="98" s="1"/>
  <c r="N23" i="98" a="1"/>
  <c r="N23" i="98" s="1"/>
  <c r="N24" i="98" a="1"/>
  <c r="N24" i="98" s="1"/>
  <c r="N19" i="98" a="1"/>
  <c r="N19" i="98" s="1"/>
  <c r="M33" i="98" a="1"/>
  <c r="M33" i="98" s="1"/>
  <c r="M32" i="98" a="1"/>
  <c r="M32" i="98" s="1"/>
  <c r="I33" i="98" a="1"/>
  <c r="I33" i="98" s="1"/>
  <c r="I32" i="98" a="1"/>
  <c r="I32" i="98" s="1"/>
  <c r="L41" i="99"/>
  <c r="L37" i="99"/>
  <c r="L30" i="99"/>
  <c r="L15" i="99"/>
  <c r="L40" i="99"/>
  <c r="L35" i="99"/>
  <c r="L22" i="99"/>
  <c r="L39" i="99"/>
  <c r="N32" i="98" l="1" a="1"/>
  <c r="N32" i="98" s="1"/>
  <c r="N33" i="98" a="1"/>
  <c r="N33" i="98" s="1"/>
  <c r="M342" i="40"/>
  <c r="L342" i="40"/>
  <c r="N342" i="40" l="1"/>
  <c r="K342" i="40" l="1"/>
  <c r="O342" i="40"/>
  <c r="J342" i="40" l="1"/>
  <c r="I342" i="40" l="1"/>
  <c r="H342" i="40" l="1"/>
  <c r="G342" i="40" l="1"/>
  <c r="F342" i="40" l="1"/>
  <c r="E342" i="40" l="1"/>
  <c r="I30" i="99" l="1"/>
  <c r="I32" i="99" l="1"/>
  <c r="I33" i="99"/>
  <c r="J18" i="99"/>
  <c r="I34" i="99" l="1"/>
  <c r="I24" i="99"/>
  <c r="I17" i="99"/>
  <c r="I29" i="99"/>
  <c r="J24" i="99" l="1"/>
  <c r="I23" i="99"/>
  <c r="J31" i="99"/>
  <c r="I31" i="99"/>
  <c r="I18" i="99" l="1"/>
  <c r="I27" i="99"/>
  <c r="K24" i="99"/>
  <c r="I21" i="99"/>
  <c r="I26" i="99"/>
  <c r="I25" i="99" l="1"/>
  <c r="L24" i="99"/>
  <c r="I19" i="99"/>
  <c r="J21" i="99"/>
  <c r="I28" i="99" l="1"/>
  <c r="K31" i="99"/>
  <c r="J17" i="99"/>
  <c r="L31" i="99" l="1"/>
  <c r="J19" i="99"/>
  <c r="K17" i="99"/>
  <c r="J32" i="99"/>
  <c r="K18" i="99"/>
  <c r="K21" i="99"/>
  <c r="J33" i="99" l="1"/>
  <c r="I20" i="99"/>
  <c r="L19" i="99"/>
  <c r="K19" i="99"/>
  <c r="I16" i="99" l="1"/>
  <c r="K32" i="99"/>
  <c r="J29" i="99"/>
  <c r="L17" i="99"/>
  <c r="L32" i="99"/>
  <c r="L33" i="99" l="1"/>
  <c r="L18" i="99"/>
  <c r="K33" i="99"/>
  <c r="L21" i="99"/>
  <c r="K29" i="99"/>
  <c r="J28" i="99" l="1"/>
  <c r="L29" i="99"/>
  <c r="K28" i="99" l="1"/>
  <c r="K20" i="99"/>
  <c r="L28" i="99" l="1"/>
  <c r="K16" i="99"/>
  <c r="J34" i="99"/>
  <c r="L20" i="99"/>
  <c r="K34" i="99" l="1"/>
  <c r="L16" i="99"/>
  <c r="L34" i="99" l="1"/>
  <c r="K25" i="99" l="1"/>
  <c r="J25" i="99"/>
  <c r="J27" i="99"/>
  <c r="J26" i="99"/>
  <c r="K27" i="99" l="1"/>
  <c r="K26" i="99"/>
  <c r="L27" i="99" l="1"/>
  <c r="L25" i="99"/>
  <c r="L26" i="99"/>
  <c r="J20" i="99" l="1"/>
  <c r="J16" i="9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E8B043-3247-4E76-B423-B5476ACB4488}" keepAlive="1" name="Kysely – OraakkelinDatat" description="Yhteys kyselyyn OraakkelinDatat työkirjassa." type="5" refreshedVersion="8" saveData="1">
    <dbPr connection="Provider=Microsoft.Mashup.OleDb.1;Data Source=$Workbook$;Location=OraakkelinDatat;Extended Properties=&quot;&quot;" command="SELECT * FROM [OraakkelinDat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<sst xmlns="http://schemas.openxmlformats.org/spreadsheetml/2006/main" count="61168" uniqueCount="665">
  <si>
    <t>Vuosi</t>
  </si>
  <si>
    <t>TaloustoimiKoodi</t>
  </si>
  <si>
    <t>HintaKoodi</t>
  </si>
  <si>
    <t>ToimialaKoodi</t>
  </si>
  <si>
    <t>SektoriKoodi</t>
  </si>
  <si>
    <t>TaloustoimiNimi</t>
  </si>
  <si>
    <t>KausitasoitusKoodi</t>
  </si>
  <si>
    <t>Yksikkö</t>
  </si>
  <si>
    <t>Arvo</t>
  </si>
  <si>
    <t>ATI</t>
  </si>
  <si>
    <t>ati_1995_100</t>
  </si>
  <si>
    <t>SSS</t>
  </si>
  <si>
    <t>S1</t>
  </si>
  <si>
    <t>Ansiotasoindeksi</t>
  </si>
  <si>
    <t>%</t>
  </si>
  <si>
    <t>B13N</t>
  </si>
  <si>
    <t>TASMCP</t>
  </si>
  <si>
    <t>MEUR</t>
  </si>
  <si>
    <t>B1GMH</t>
  </si>
  <si>
    <t>tasmcp</t>
  </si>
  <si>
    <t>tasmvv2015</t>
  </si>
  <si>
    <t>vv_hinta_2015</t>
  </si>
  <si>
    <t>B1GPH</t>
  </si>
  <si>
    <t>BTE</t>
  </si>
  <si>
    <t>A</t>
  </si>
  <si>
    <t>A01</t>
  </si>
  <si>
    <t>A02</t>
  </si>
  <si>
    <t>BTF</t>
  </si>
  <si>
    <t>C</t>
  </si>
  <si>
    <t>C16_C17</t>
  </si>
  <si>
    <t>C19TC22</t>
  </si>
  <si>
    <t>C24_C25_C28TC30_C33</t>
  </si>
  <si>
    <t>C26_C27</t>
  </si>
  <si>
    <t>D_E</t>
  </si>
  <si>
    <t>F</t>
  </si>
  <si>
    <t>G</t>
  </si>
  <si>
    <t>GTI</t>
  </si>
  <si>
    <t>GTT</t>
  </si>
  <si>
    <t>GTTS13</t>
  </si>
  <si>
    <t>GTTXS13</t>
  </si>
  <si>
    <t>H</t>
  </si>
  <si>
    <t>J</t>
  </si>
  <si>
    <t>K</t>
  </si>
  <si>
    <t>L</t>
  </si>
  <si>
    <t>M_N</t>
  </si>
  <si>
    <t>OTQ</t>
  </si>
  <si>
    <t>RTU</t>
  </si>
  <si>
    <t>B5G</t>
  </si>
  <si>
    <t>B5N</t>
  </si>
  <si>
    <t>B6G</t>
  </si>
  <si>
    <t>CP</t>
  </si>
  <si>
    <t>B6N</t>
  </si>
  <si>
    <t>S14</t>
  </si>
  <si>
    <t>B8N</t>
  </si>
  <si>
    <t>CA</t>
  </si>
  <si>
    <t>S2</t>
  </si>
  <si>
    <t>D11K</t>
  </si>
  <si>
    <t>D12K</t>
  </si>
  <si>
    <t>D2R</t>
  </si>
  <si>
    <t>D3K</t>
  </si>
  <si>
    <t>DEB1G</t>
  </si>
  <si>
    <t>E1</t>
  </si>
  <si>
    <t>1000 henkilöä</t>
  </si>
  <si>
    <t>X</t>
  </si>
  <si>
    <t>G-U</t>
  </si>
  <si>
    <t>Palveluelinkeinot</t>
  </si>
  <si>
    <t>A-B</t>
  </si>
  <si>
    <t>E11</t>
  </si>
  <si>
    <t>TASM</t>
  </si>
  <si>
    <t>Yrittajat</t>
  </si>
  <si>
    <t>SS</t>
  </si>
  <si>
    <t>E12</t>
  </si>
  <si>
    <t>E2</t>
  </si>
  <si>
    <t>cp_alkup</t>
  </si>
  <si>
    <t>E21</t>
  </si>
  <si>
    <t>E22</t>
  </si>
  <si>
    <t>ER</t>
  </si>
  <si>
    <t>ER2064</t>
  </si>
  <si>
    <t>Työllisyysaste 20-64 vuotiaat % työvoimasta</t>
  </si>
  <si>
    <t>ETSAVAMSO</t>
  </si>
  <si>
    <t>F4NS14</t>
  </si>
  <si>
    <t>GDPCN</t>
  </si>
  <si>
    <t>vuosimuutos</t>
  </si>
  <si>
    <t>GDPDE</t>
  </si>
  <si>
    <t>GDPEA</t>
  </si>
  <si>
    <t>GDPEU</t>
  </si>
  <si>
    <t>GDPFR</t>
  </si>
  <si>
    <t>GDPJP</t>
  </si>
  <si>
    <t>GDPRU</t>
  </si>
  <si>
    <t>GDPSE</t>
  </si>
  <si>
    <t>GDPUK</t>
  </si>
  <si>
    <t>GDPUS</t>
  </si>
  <si>
    <t>GDPWE</t>
  </si>
  <si>
    <t>KAELINMSO</t>
  </si>
  <si>
    <t>KHI</t>
  </si>
  <si>
    <t>Kuluttajahintaindeksi</t>
  </si>
  <si>
    <t>KMPHI</t>
  </si>
  <si>
    <t>LTI</t>
  </si>
  <si>
    <t>Obligaatiokorko 10 v</t>
  </si>
  <si>
    <t>OIL_USD</t>
  </si>
  <si>
    <t>cp_usd</t>
  </si>
  <si>
    <t>Raakaöljy (HWWA) $/barreli</t>
  </si>
  <si>
    <t>USD</t>
  </si>
  <si>
    <t>P31K</t>
  </si>
  <si>
    <t>S13</t>
  </si>
  <si>
    <t>P31KCD</t>
  </si>
  <si>
    <t>D</t>
  </si>
  <si>
    <t>P31KCND</t>
  </si>
  <si>
    <t>P31KCS</t>
  </si>
  <si>
    <t>P31KCSD</t>
  </si>
  <si>
    <t>P31KDC</t>
  </si>
  <si>
    <t>P31KNC</t>
  </si>
  <si>
    <t>P32K</t>
  </si>
  <si>
    <t>P3K</t>
  </si>
  <si>
    <t>P3K Kulutusmenot</t>
  </si>
  <si>
    <t>P3KS13</t>
  </si>
  <si>
    <t>P3KS14_S15</t>
  </si>
  <si>
    <t>P3KS15</t>
  </si>
  <si>
    <t>P51CK</t>
  </si>
  <si>
    <t>P51K</t>
  </si>
  <si>
    <t>bkt_suhde</t>
  </si>
  <si>
    <t>P51K Kiinteän pääoman bruttomuodostus</t>
  </si>
  <si>
    <t>P51K_N111</t>
  </si>
  <si>
    <t>P51K_N111_N112</t>
  </si>
  <si>
    <t>P51K_N111_N1121</t>
  </si>
  <si>
    <t>P51K_N1121</t>
  </si>
  <si>
    <t>P51K_N1122_N1123</t>
  </si>
  <si>
    <t>P51K_N113_N114</t>
  </si>
  <si>
    <t>P51K_N115_N117</t>
  </si>
  <si>
    <t>P51KS13</t>
  </si>
  <si>
    <t>P51KXS13</t>
  </si>
  <si>
    <t>P52K</t>
  </si>
  <si>
    <t>FP</t>
  </si>
  <si>
    <t>P53K</t>
  </si>
  <si>
    <t>P61K</t>
  </si>
  <si>
    <t>P62K</t>
  </si>
  <si>
    <t>P6K</t>
  </si>
  <si>
    <t>P6-P7</t>
  </si>
  <si>
    <t>Tavaroiden ja palvelujen nettovienti</t>
  </si>
  <si>
    <t>P71R</t>
  </si>
  <si>
    <t>P72R</t>
  </si>
  <si>
    <t>P7R</t>
  </si>
  <si>
    <t>PAPRMMSO</t>
  </si>
  <si>
    <t>PATYOTMSO</t>
  </si>
  <si>
    <t>PEMa53</t>
  </si>
  <si>
    <t>PEMy53</t>
  </si>
  <si>
    <t>PK</t>
  </si>
  <si>
    <t>pisteluku</t>
  </si>
  <si>
    <t>Palkkakerroin</t>
  </si>
  <si>
    <t>POP1564</t>
  </si>
  <si>
    <t>Vaesto</t>
  </si>
  <si>
    <t>Väestö 15-64 vuotiaat</t>
  </si>
  <si>
    <t>POP1574</t>
  </si>
  <si>
    <t>POP6574</t>
  </si>
  <si>
    <t>Väestö 65-74 vuotiaat</t>
  </si>
  <si>
    <t>PPHI</t>
  </si>
  <si>
    <t>RKI</t>
  </si>
  <si>
    <t>RMPCEA</t>
  </si>
  <si>
    <t>ind15</t>
  </si>
  <si>
    <t>Teollisuuden raaka-aineindeksi € (HWWI)</t>
  </si>
  <si>
    <t>Indeksipiste</t>
  </si>
  <si>
    <t>SAHOVA</t>
  </si>
  <si>
    <t>STI</t>
  </si>
  <si>
    <t>3 kk EURIBOR-korko (tod.pv/365)</t>
  </si>
  <si>
    <t>SUPP</t>
  </si>
  <si>
    <t>T1564</t>
  </si>
  <si>
    <t>Tyolliset</t>
  </si>
  <si>
    <t>Työlliset 15-64 vuotiaat</t>
  </si>
  <si>
    <t>T1574</t>
  </si>
  <si>
    <t>TAKUELMSO</t>
  </si>
  <si>
    <t>TAKUMAMUSO</t>
  </si>
  <si>
    <t>TAKUOTMSO</t>
  </si>
  <si>
    <t>TASAVAMSO</t>
  </si>
  <si>
    <t>Sairausvakuutus työnantajat muut sosiaaliturvarahastot</t>
  </si>
  <si>
    <t>TATYELMSO</t>
  </si>
  <si>
    <t xml:space="preserve">Työeläkevakuutus (TyEL) työnantajat muut sosiaaliturvarahastot </t>
  </si>
  <si>
    <t>TATYOTMSO</t>
  </si>
  <si>
    <t>Työttömyysvakuutus työnantajat muut sosiaaliturvarahastot</t>
  </si>
  <si>
    <t>TAVAELMSO</t>
  </si>
  <si>
    <t>TT1574</t>
  </si>
  <si>
    <t>Tyottomat</t>
  </si>
  <si>
    <t>TV1574</t>
  </si>
  <si>
    <t>Tyovoima</t>
  </si>
  <si>
    <t xml:space="preserve">Työvoima 15-74 v. </t>
  </si>
  <si>
    <t>TYELINMSO</t>
  </si>
  <si>
    <t>Tyel-kokonaismaksu</t>
  </si>
  <si>
    <t>TYELMSO</t>
  </si>
  <si>
    <t>UER</t>
  </si>
  <si>
    <t>USD-EUR</t>
  </si>
  <si>
    <t>VAL</t>
  </si>
  <si>
    <t>USE</t>
  </si>
  <si>
    <t>USEX</t>
  </si>
  <si>
    <t>VOS</t>
  </si>
  <si>
    <t>WSTQ</t>
  </si>
  <si>
    <t>WTQ</t>
  </si>
  <si>
    <t>YKHI</t>
  </si>
  <si>
    <t>Yhdenmukaistettu kuluttajahintaindeksi</t>
  </si>
  <si>
    <t>YLE</t>
  </si>
  <si>
    <t>Indeksi</t>
  </si>
  <si>
    <t>YOI</t>
  </si>
  <si>
    <t>Yliopistoindeksi</t>
  </si>
  <si>
    <t xml:space="preserve"> </t>
  </si>
  <si>
    <t>Taloustoimikoodi</t>
  </si>
  <si>
    <t>Bruttokansantuote markkinahintaan</t>
  </si>
  <si>
    <t>Tavaroiden ja palvelujen tuonti</t>
  </si>
  <si>
    <t>Kokonaistarjonta</t>
  </si>
  <si>
    <t>Tavaroiden ja palvelujen vienti</t>
  </si>
  <si>
    <t>Kokonaiskysyntä</t>
  </si>
  <si>
    <t>APU</t>
  </si>
  <si>
    <t>Kulutusmenot</t>
  </si>
  <si>
    <t>Kiinteän pääoman bruttomuodostus</t>
  </si>
  <si>
    <t>P6k</t>
  </si>
  <si>
    <t>Kotimainen kysyntä</t>
  </si>
  <si>
    <t>Hintakoodi</t>
  </si>
  <si>
    <t>Maailman tavarakaupan kasvu</t>
  </si>
  <si>
    <t>Maailman palvelukaupan kasvu</t>
  </si>
  <si>
    <t>Maailmantalouden kasvu PPP</t>
  </si>
  <si>
    <t>BKT-kasvu  EURO</t>
  </si>
  <si>
    <t>BKT-kasvu USA</t>
  </si>
  <si>
    <t>BKT-kasvu Japani</t>
  </si>
  <si>
    <t>BKT-kasvu Kiina</t>
  </si>
  <si>
    <t>BKT-kasvu Venäjä</t>
  </si>
  <si>
    <t>BKT-kasvu Ruotsi</t>
  </si>
  <si>
    <t>BKT-kasvu  Saksa</t>
  </si>
  <si>
    <t>BKT-kasvu  Ranska</t>
  </si>
  <si>
    <t>BKT-kasvu  UK</t>
  </si>
  <si>
    <t>BKT-kasvu  EU</t>
  </si>
  <si>
    <t>YLE-indeksi</t>
  </si>
  <si>
    <t>Työnantajan sosiaaliturvamaksut</t>
  </si>
  <si>
    <t>Kiinteän pääoman kuluminen</t>
  </si>
  <si>
    <t>Arvoesineiden nettohankinta</t>
  </si>
  <si>
    <t>Talorakennukset</t>
  </si>
  <si>
    <t>D21K</t>
  </si>
  <si>
    <t>Tuoteverot</t>
  </si>
  <si>
    <t>Tuotetukipalkkiot</t>
  </si>
  <si>
    <t>Rakennustoiminta</t>
  </si>
  <si>
    <t xml:space="preserve">  </t>
  </si>
  <si>
    <t>TAEssa käytettävä kustannustason muutos (vos-indeksi)</t>
  </si>
  <si>
    <t>Deflaattorit</t>
  </si>
  <si>
    <t>A_T Arvonlisäys yhteensä</t>
  </si>
  <si>
    <t>B_E Koko teollisuus</t>
  </si>
  <si>
    <t>NTP-KAUSIT</t>
  </si>
  <si>
    <t>NTP-TASM</t>
  </si>
  <si>
    <t>NTP-CP</t>
  </si>
  <si>
    <t>NTP-FP</t>
  </si>
  <si>
    <t>NTP-vv_hinta_2015</t>
  </si>
  <si>
    <t>NTP-ratio</t>
  </si>
  <si>
    <t>Bruttokansantuote</t>
  </si>
  <si>
    <t>Bruttokansantulo</t>
  </si>
  <si>
    <t>BKT muutos</t>
  </si>
  <si>
    <t>LKVMZ Velkaantumisaste prosenttia</t>
  </si>
  <si>
    <t>Kotitalouksien käytettävissä olevat tulot</t>
  </si>
  <si>
    <t>KotLuo</t>
  </si>
  <si>
    <t>Kotitalouksien luottokanta</t>
  </si>
  <si>
    <t>D31R</t>
  </si>
  <si>
    <t>Toimintaylijäämä + sekatulo netto</t>
  </si>
  <si>
    <t>Saadut tuotannon ja tuonnin verot</t>
  </si>
  <si>
    <t>Maksetut tukipalkkiot</t>
  </si>
  <si>
    <t>Kotitalouksien kulutusmenot Suomessa</t>
  </si>
  <si>
    <t>Yksityinen kulutus - kotitaloudet</t>
  </si>
  <si>
    <t>Yksityinen kulutus - kestokulutustavarat</t>
  </si>
  <si>
    <t>Yksityinen kulutus - puolikestävät kulutustavarat</t>
  </si>
  <si>
    <t>Yksityinen kulutus - lyhytikäiset tavarat</t>
  </si>
  <si>
    <t>Yksityinen kulutus - palvelut</t>
  </si>
  <si>
    <t>Yksityinen kulutus - voittoa tavoittelemattomien yhteisöjen kulutus</t>
  </si>
  <si>
    <t>P33K</t>
  </si>
  <si>
    <t>Suomalaisten kotitalouksien kulutusmenot ulkomailla</t>
  </si>
  <si>
    <t>P34K</t>
  </si>
  <si>
    <t>Ulkomaalaisten kulutusmenot Suomessa menona</t>
  </si>
  <si>
    <t>Julkisyhteisöjen yksilölliset kulutusmenot</t>
  </si>
  <si>
    <t>Yksityiset kulutusmenot CP</t>
  </si>
  <si>
    <t>Yksityiset kulutusmenot FP</t>
  </si>
  <si>
    <t>Kulutusmenot CP</t>
  </si>
  <si>
    <t>Julkiset kulutusmenot</t>
  </si>
  <si>
    <t>Yksilölliset kulutusmenot</t>
  </si>
  <si>
    <t>Kollektiiviset kulutusmenot</t>
  </si>
  <si>
    <t>P51Y</t>
  </si>
  <si>
    <t>Yksityinen kiinteän pääoman bruttomuodostus</t>
  </si>
  <si>
    <t>Julkinen kiinteän pääoman bruttomuodostus</t>
  </si>
  <si>
    <t>S1311</t>
  </si>
  <si>
    <t>Valtionhallinnon kiinteän pääoman bruttomuodostus</t>
  </si>
  <si>
    <t>S13131KH</t>
  </si>
  <si>
    <t>Paikallishallinnon kiinteän pääoman bruttomuodostus</t>
  </si>
  <si>
    <t>S1314</t>
  </si>
  <si>
    <t>Sosiaaliturvarahastojen kiinteän pääoman bruttomuodostus</t>
  </si>
  <si>
    <t>Varaston muutos</t>
  </si>
  <si>
    <t>Varastojen muutos edellisen vuoden hinnoin</t>
  </si>
  <si>
    <t>P6K-P7R</t>
  </si>
  <si>
    <t>Nettoviennin kontribuutio BKT:n kasvuun</t>
  </si>
  <si>
    <t>Tavaroiden tuonti</t>
  </si>
  <si>
    <t>Palveluiden tuonti</t>
  </si>
  <si>
    <t>Tavaroiden vienti</t>
  </si>
  <si>
    <t>Palveluiden vienti</t>
  </si>
  <si>
    <t>Investointien kontribuutio BKT:n kasvuun</t>
  </si>
  <si>
    <t>Huoltotaseen tilastollinen ero</t>
  </si>
  <si>
    <t>YKHI_pohja</t>
  </si>
  <si>
    <t>Yhdenmukaistettu kuluttajahintaindeksi ilman energiaa ja elintarvikkeita</t>
  </si>
  <si>
    <t>AKI</t>
  </si>
  <si>
    <t>Ammatillisen koulutuksen indeksi</t>
  </si>
  <si>
    <t>HV</t>
  </si>
  <si>
    <t>Hyvinvointialueindeksi</t>
  </si>
  <si>
    <t>POT_tuotanto</t>
  </si>
  <si>
    <t>POT_taso</t>
  </si>
  <si>
    <t>POT_kokTuottavuus</t>
  </si>
  <si>
    <t>POT_pääomapanos</t>
  </si>
  <si>
    <t>POT_työpanos</t>
  </si>
  <si>
    <t>Kuilu</t>
  </si>
  <si>
    <t>NAWRU</t>
  </si>
  <si>
    <t>vuosivaikutus</t>
  </si>
  <si>
    <t>BKT:n deflaattori %-muutos</t>
  </si>
  <si>
    <t>D1R</t>
  </si>
  <si>
    <t>Ansiotulot (palkansaajakorvaukset)</t>
  </si>
  <si>
    <t>D62RD75R</t>
  </si>
  <si>
    <t>Tulonsiirrot</t>
  </si>
  <si>
    <t>TKTYK</t>
  </si>
  <si>
    <t>Yksikkötyökustannukset 2010=100 nimelliset Suomi</t>
  </si>
  <si>
    <t>B9</t>
  </si>
  <si>
    <t>S11</t>
  </si>
  <si>
    <t>Nettoluotonanto (+)/ nettoluotonotto (-)</t>
  </si>
  <si>
    <t>S12</t>
  </si>
  <si>
    <t>S15</t>
  </si>
  <si>
    <t>USD/EURO</t>
  </si>
  <si>
    <t>GDPIN</t>
  </si>
  <si>
    <t>BKT-kasvu  Intia</t>
  </si>
  <si>
    <t>Palkkasumma koko talous</t>
  </si>
  <si>
    <t>D11KE22</t>
  </si>
  <si>
    <t>Keskiansiomuutos  palkkasumma/työtunnit</t>
  </si>
  <si>
    <t>SPI</t>
  </si>
  <si>
    <t>Sopimuspalkkaindeksi</t>
  </si>
  <si>
    <t>PLIUKUMA</t>
  </si>
  <si>
    <t>Palkkojen liukuminen yms. tekijät</t>
  </si>
  <si>
    <t>XMS</t>
  </si>
  <si>
    <t>Viennin markkinaosuus (2010=100)</t>
  </si>
  <si>
    <t>OYTN</t>
  </si>
  <si>
    <t>Omaisuus- ja yrittäjätulot netto VM ennuste</t>
  </si>
  <si>
    <t>D2R-D3K</t>
  </si>
  <si>
    <t>Tuotannon ja tuonnin verot miinus tukipalkkiot</t>
  </si>
  <si>
    <t>(Netto)kansantulo</t>
  </si>
  <si>
    <t>Rakennuskustannukset vuosimuutos %</t>
  </si>
  <si>
    <t>Verollinen kotimarkkinoiden perushinta vuosimuutos %</t>
  </si>
  <si>
    <t xml:space="preserve">Kunta-alan eläkevakuutus työnantajat muut sosiaaliturvarahastot </t>
  </si>
  <si>
    <t xml:space="preserve">Valtion eläkevakuutus työnantajat muut sosiaaliturvarahastot </t>
  </si>
  <si>
    <t>Kuntien muut sosiaalvakuutusmaksut</t>
  </si>
  <si>
    <t>Kuntien eläkemaksut (KuEL)</t>
  </si>
  <si>
    <t>kta_kunnallisvero</t>
  </si>
  <si>
    <t>Keskimääräinen kunnallisvero</t>
  </si>
  <si>
    <t>TTVaMSO</t>
  </si>
  <si>
    <t>Tapaturmavakuutusmaksu</t>
  </si>
  <si>
    <t>RHVaMSO</t>
  </si>
  <si>
    <t>Ryhmähenkivakuutusmaksu</t>
  </si>
  <si>
    <t>SOTYPE</t>
  </si>
  <si>
    <t>Sotu-maksuperusteet työnantajat</t>
  </si>
  <si>
    <t>SOPAPE</t>
  </si>
  <si>
    <t>Sotu-maksuperusteet palkansaajat</t>
  </si>
  <si>
    <t>sahova</t>
  </si>
  <si>
    <t>Palkansaajan päivärahamaksu</t>
  </si>
  <si>
    <t>PASAVAMSO</t>
  </si>
  <si>
    <t xml:space="preserve">Sairausvakuutus palkansaajat muut sosiaaliturvarahastot </t>
  </si>
  <si>
    <t xml:space="preserve">Työttömyysvakuutus palkansaajat muut sosiaaliturvarahastot </t>
  </si>
  <si>
    <t>PATYELMSO</t>
  </si>
  <si>
    <t xml:space="preserve">Työeläkevakuutus (TyEL) palkansaajat muut sosiaaliturvarahastot </t>
  </si>
  <si>
    <t xml:space="preserve">Sairausvakuutus etuudensaajat muut sosiaaliturvarahastot </t>
  </si>
  <si>
    <t xml:space="preserve">Työeläkeindeksi muut sosiaaliturvarahastot </t>
  </si>
  <si>
    <t xml:space="preserve">Kansaneläkeindeksi muut sosiaaliturvarahastot </t>
  </si>
  <si>
    <t>Palkansaajan eläkemaksu alle 53-v</t>
  </si>
  <si>
    <t>Palkansaajan eläkemaksu yli 53-v</t>
  </si>
  <si>
    <t>Käytettävissä oleva tulo S1</t>
  </si>
  <si>
    <t>B13NT Toimintaylijäämä + sekatulo netto</t>
  </si>
  <si>
    <t>D11R</t>
  </si>
  <si>
    <t>D11R Saadut palkat ja palkkiot</t>
  </si>
  <si>
    <t>D12R</t>
  </si>
  <si>
    <t>D12R Työnantajan sosiaaliturvamaksut</t>
  </si>
  <si>
    <t>D4R</t>
  </si>
  <si>
    <t>D4R Omaisuustulot</t>
  </si>
  <si>
    <t>D41R</t>
  </si>
  <si>
    <t>D41R Saadut korot FISIM-oikaisun jälkeen</t>
  </si>
  <si>
    <t>D421R</t>
  </si>
  <si>
    <t>D421R Osinkotulot</t>
  </si>
  <si>
    <t>D422R</t>
  </si>
  <si>
    <t>D422R Yrittäjätulon otot yritysmäisistä yhteisöistä (tulona)</t>
  </si>
  <si>
    <t>D43R</t>
  </si>
  <si>
    <t>D43R Suorien ulkomaisten sijoitusten uudelleensijoitetut voitot (tulona)</t>
  </si>
  <si>
    <t>D44R</t>
  </si>
  <si>
    <t>D44R Muut sijoitustulot (tulona)</t>
  </si>
  <si>
    <t>D45R</t>
  </si>
  <si>
    <t>D45R Saadut luonnonvaran vuokrat</t>
  </si>
  <si>
    <t>D4K</t>
  </si>
  <si>
    <t>D4K Omaisuusmenot</t>
  </si>
  <si>
    <t>D41K</t>
  </si>
  <si>
    <t>D41K Maksetut korot FISIM-oikaisun jälkeen</t>
  </si>
  <si>
    <t>D45K</t>
  </si>
  <si>
    <t>Maksetut luonnonvaran vuokrat</t>
  </si>
  <si>
    <t>Ensitulo netto</t>
  </si>
  <si>
    <t>B4N</t>
  </si>
  <si>
    <t>Yrittäjätulo netto</t>
  </si>
  <si>
    <t>B41N</t>
  </si>
  <si>
    <t>Yrittäjätulo maataloudesta netto</t>
  </si>
  <si>
    <t>B42N</t>
  </si>
  <si>
    <t>Yrittäjätulo metsätaloudesta netto</t>
  </si>
  <si>
    <t>B43N</t>
  </si>
  <si>
    <t>Laskennallinen asuntotulo netto</t>
  </si>
  <si>
    <t>B44N</t>
  </si>
  <si>
    <t>Muu yrittäjätulo netto</t>
  </si>
  <si>
    <t>D62R</t>
  </si>
  <si>
    <t>Saadut rahamääräiset sosiaalietuudet</t>
  </si>
  <si>
    <t>D72R</t>
  </si>
  <si>
    <t>Saadut vahinkovakuutuskorvaukset</t>
  </si>
  <si>
    <t>D75R</t>
  </si>
  <si>
    <t>Muut sekalaiset tulonsiirrot</t>
  </si>
  <si>
    <t>D5K</t>
  </si>
  <si>
    <t>Maksetut tulo- varallisuus- ym. juoksevat verot</t>
  </si>
  <si>
    <t>D61K</t>
  </si>
  <si>
    <t>Maksetut sosiaaliturvamaksut</t>
  </si>
  <si>
    <t>D71K</t>
  </si>
  <si>
    <t>Vahinkovakuutusmaksut netto</t>
  </si>
  <si>
    <t>D75K</t>
  </si>
  <si>
    <t>D8R</t>
  </si>
  <si>
    <t>Eläkeoikeuksien muutoksen oikaisu (tulona)</t>
  </si>
  <si>
    <t>Säästäminen netto</t>
  </si>
  <si>
    <t>D9R</t>
  </si>
  <si>
    <t>Saadut pääomansiirrot</t>
  </si>
  <si>
    <t>D9K</t>
  </si>
  <si>
    <t>Maksetut pääomansiirrot</t>
  </si>
  <si>
    <t>P51CR</t>
  </si>
  <si>
    <t>P51CR Kiinteän pääoman kuluminen</t>
  </si>
  <si>
    <t>NP</t>
  </si>
  <si>
    <t>NPK Muiden valmistamattomien varojen nettohankinta</t>
  </si>
  <si>
    <t>Nettoluotonanto</t>
  </si>
  <si>
    <t>N111 Asuinrakennukset</t>
  </si>
  <si>
    <t>Rakennusinvestoinnit</t>
  </si>
  <si>
    <t>P51K_N112</t>
  </si>
  <si>
    <t>N112 Muut rakennukset ja rakennelmat</t>
  </si>
  <si>
    <t>N1121 Muut talorakennukset kuin asuinrakennukset</t>
  </si>
  <si>
    <t>N113+N114 Koneet laitteet kuljetusvälineet ja asejärjestelmät</t>
  </si>
  <si>
    <t>N115+N117 Kasvatettavat varat ja henkiset omaisuustuotteet</t>
  </si>
  <si>
    <t>TOT Kiinteän pääoman bruttomuodostus</t>
  </si>
  <si>
    <t>ntp-vv_hinta_2015</t>
  </si>
  <si>
    <t>N113+N114 Koneet laitteet ja kuljetusvälineet +aseet</t>
  </si>
  <si>
    <t>N1122+N1123 Maa- ja vesirakennusinvestoinnit sekä maanparannukset</t>
  </si>
  <si>
    <t xml:space="preserve">Väestö 15-74 vuotiaat </t>
  </si>
  <si>
    <t>Työttömyysaste % työvoimasta</t>
  </si>
  <si>
    <t>Työllisyysaste % työvoimasta</t>
  </si>
  <si>
    <t>Työtunnit toimialat yhteensä (Kansantalouden tilinpito)</t>
  </si>
  <si>
    <t>TV1564</t>
  </si>
  <si>
    <t xml:space="preserve">Työvoima 15-64 v. </t>
  </si>
  <si>
    <t xml:space="preserve">Työlliset 15-74 v. </t>
  </si>
  <si>
    <t>T6474</t>
  </si>
  <si>
    <t xml:space="preserve">Työlliset 65-74 vuotiaat </t>
  </si>
  <si>
    <t xml:space="preserve">Työttömät </t>
  </si>
  <si>
    <t>Maa- ja metsätalous</t>
  </si>
  <si>
    <t>Toimiala tuntematon</t>
  </si>
  <si>
    <t>Palkansaajat yhteensä (TYTI)</t>
  </si>
  <si>
    <t>Yrittäjät (TYTI)</t>
  </si>
  <si>
    <t>EN</t>
  </si>
  <si>
    <t>Työlliset Kansallinen käsite</t>
  </si>
  <si>
    <t>EP</t>
  </si>
  <si>
    <t>Kokonaisväkiluku (TP)</t>
  </si>
  <si>
    <t>Palkansaajat yhteensä (TP)</t>
  </si>
  <si>
    <t>Yrittäjät (TP)</t>
  </si>
  <si>
    <t>Toimialat yhteensä työtunnit</t>
  </si>
  <si>
    <t xml:space="preserve">  työtunnit alkutuotanto</t>
  </si>
  <si>
    <t xml:space="preserve">  työtunnit teollisuus</t>
  </si>
  <si>
    <t xml:space="preserve">  työtunnit rakentaminen</t>
  </si>
  <si>
    <t xml:space="preserve">  työtunnit palvelut</t>
  </si>
  <si>
    <t>Työtunnit palkansaajat yhteensä</t>
  </si>
  <si>
    <t>Työtunnit yrittäjät</t>
  </si>
  <si>
    <t>MIGRN</t>
  </si>
  <si>
    <t>vamuu-vm4142</t>
  </si>
  <si>
    <t>Nettomaahanmuutto</t>
  </si>
  <si>
    <t>Lukumäärä</t>
  </si>
  <si>
    <t>B12</t>
  </si>
  <si>
    <t>Vaihtotase (tilinpidon mukainen)</t>
  </si>
  <si>
    <t>Vaihtotase (maksutaseen mukainen)</t>
  </si>
  <si>
    <t>Nettoluotonanto (B9T)</t>
  </si>
  <si>
    <t>B5NT Nettokansantulo (ensitulo)</t>
  </si>
  <si>
    <t>D7R</t>
  </si>
  <si>
    <t>D7R Saadut muut tulonsiirrot</t>
  </si>
  <si>
    <t>D5K Maksetut tulo- varallisuus- ym. juoksevat verot</t>
  </si>
  <si>
    <t>D62K</t>
  </si>
  <si>
    <t>D62K Maksetut rahamääräiset sosiaalietuudet</t>
  </si>
  <si>
    <t>D7K</t>
  </si>
  <si>
    <t>D7K Maksetut muut tulonsiirrot</t>
  </si>
  <si>
    <t>B6NT Käytettävissä oleva tulo netto</t>
  </si>
  <si>
    <t>D9R Saadut pääomansiirrot</t>
  </si>
  <si>
    <t>D9K Maksetut pääomansiirrot</t>
  </si>
  <si>
    <t>P5K</t>
  </si>
  <si>
    <t>P5K Pääoman bruttomuodostus</t>
  </si>
  <si>
    <t>NPK Valmistamattomien muiden kuin rahoitusvarojen nettohankinta</t>
  </si>
  <si>
    <t>A Maa- metsä- ja kalatalous (alkutuotanto)</t>
  </si>
  <si>
    <t>F Rakentaminen</t>
  </si>
  <si>
    <t>B_F Jalostus</t>
  </si>
  <si>
    <t>G_T Palvelut</t>
  </si>
  <si>
    <t>01 Maatalous ja metsästys</t>
  </si>
  <si>
    <t>02 Metsätalous</t>
  </si>
  <si>
    <t>C Tehdasteollisuus</t>
  </si>
  <si>
    <t>16_17 Metsäteollisuus</t>
  </si>
  <si>
    <t>19_22 Kemianteollisuus</t>
  </si>
  <si>
    <t>24_25+28_30+33 Metalliteollisuus pl. sähkö- ja elektroniikkateollisuus</t>
  </si>
  <si>
    <t>26_27 Sähkö- ja elektroniikkateollisuus</t>
  </si>
  <si>
    <t>D_E Energiahuolto; vesi- ja jätehuolto</t>
  </si>
  <si>
    <t>G_I Kauppa; liikenne; majoitus- ja ravitsemistoiminta</t>
  </si>
  <si>
    <t>G Kauppa</t>
  </si>
  <si>
    <t>H Liikenne</t>
  </si>
  <si>
    <t>J Informaatio ja viestintä</t>
  </si>
  <si>
    <t>K Rahoitus- ja vakuutustoiminta</t>
  </si>
  <si>
    <t>L Kiinteistöalan toiminta</t>
  </si>
  <si>
    <t>M_N Ammatillinen tieteellinen ja tekninen toiminta; hallinto- ja tukipalvelut</t>
  </si>
  <si>
    <t>O_Q Julkinen hallinto; koulutus; terveys- ja sosiaalipalvelut</t>
  </si>
  <si>
    <t>R_T Muut palvelut</t>
  </si>
  <si>
    <t>Julkisyhteisöjen palvelut</t>
  </si>
  <si>
    <t>Yksityiset palvelut</t>
  </si>
  <si>
    <t>AOK</t>
  </si>
  <si>
    <t>vol_muutos</t>
  </si>
  <si>
    <t>Asunto-osakekauppa</t>
  </si>
  <si>
    <t>hinnan_muutos</t>
  </si>
  <si>
    <t>ArvoPr_muutos</t>
  </si>
  <si>
    <t>KP</t>
  </si>
  <si>
    <t>Kiinteistökauppa</t>
  </si>
  <si>
    <t>VP</t>
  </si>
  <si>
    <t>Varainsiirtoveropohjan muutos</t>
  </si>
  <si>
    <t>KTK</t>
  </si>
  <si>
    <t>Kotitalouksien talletusten kannan muutos %</t>
  </si>
  <si>
    <t>Kotitalouksien talletusten kanta joulukuussa milj. euroa</t>
  </si>
  <si>
    <t>KTKK</t>
  </si>
  <si>
    <t>Korko</t>
  </si>
  <si>
    <t>Kotitalouksien talletusten keskikorko %</t>
  </si>
  <si>
    <t>KTKK2</t>
  </si>
  <si>
    <t>Kotitalouksien talletusten keskikorko joulukuussa %</t>
  </si>
  <si>
    <t>Peruspalvelujen hintaindeksi ennuste</t>
  </si>
  <si>
    <t>P2K</t>
  </si>
  <si>
    <t xml:space="preserve">   2  Välituotekäyttö ostajanhintaan julkisyhteisöt</t>
  </si>
  <si>
    <t xml:space="preserve">   2  Välituotekäyttö ostajanhintaanvaltio</t>
  </si>
  <si>
    <t xml:space="preserve">   2  Välituotekäyttö ostajanhintaan kunnat</t>
  </si>
  <si>
    <t>S13132HV</t>
  </si>
  <si>
    <t xml:space="preserve">   2  Välituotekäyttö ostajanhintaan HV alueet</t>
  </si>
  <si>
    <t xml:space="preserve">   2  Välituotekäyttö ostajanhintaan sotut</t>
  </si>
  <si>
    <t>B13G</t>
  </si>
  <si>
    <t>Bruttotoimintaylijäämä/sekatulo</t>
  </si>
  <si>
    <t>NTP-VV_hinta_2015</t>
  </si>
  <si>
    <t>Ntp-ratio</t>
  </si>
  <si>
    <t>POP2064</t>
  </si>
  <si>
    <t>Väestö 20-64 vuotiaat</t>
  </si>
  <si>
    <t>POP2069</t>
  </si>
  <si>
    <t>Väestö 20-69 vuotiaat</t>
  </si>
  <si>
    <t>TV2064</t>
  </si>
  <si>
    <t xml:space="preserve">Työvoima 20-64 v. </t>
  </si>
  <si>
    <t>TV2069</t>
  </si>
  <si>
    <t xml:space="preserve">Työvoima 20-69 v. </t>
  </si>
  <si>
    <t>T2064</t>
  </si>
  <si>
    <t>Työlliset 20-64 vuotiaat</t>
  </si>
  <si>
    <t>T2069</t>
  </si>
  <si>
    <t>Työlliset 20-69 vuotiaat</t>
  </si>
  <si>
    <t>Työlliset</t>
  </si>
  <si>
    <t>Palkansaajat</t>
  </si>
  <si>
    <t>Tyyölliset Kotimaa</t>
  </si>
  <si>
    <t>P51KN111_N1121</t>
  </si>
  <si>
    <t>NTP-cp</t>
  </si>
  <si>
    <t>Potentiaalisen tuotannon kasvu</t>
  </si>
  <si>
    <t>Potentiaalinen tuotannon taso</t>
  </si>
  <si>
    <t>Kokonaistuottavuuden kontribuutio</t>
  </si>
  <si>
    <t>Pääomapanoksen kontribuutio</t>
  </si>
  <si>
    <t>Työpanoksen kontribuutio</t>
  </si>
  <si>
    <t>Tuotantokuilu</t>
  </si>
  <si>
    <t>Comparison of projections</t>
  </si>
  <si>
    <t>(Percentage change over previous year, except as indicated)</t>
  </si>
  <si>
    <t>Country :  Finland</t>
  </si>
  <si>
    <t>National projections</t>
  </si>
  <si>
    <t>OECD-STEP projections</t>
  </si>
  <si>
    <t>A. Demand and output</t>
  </si>
  <si>
    <t>GDP</t>
  </si>
  <si>
    <t>bktk</t>
  </si>
  <si>
    <t>Private consumption</t>
  </si>
  <si>
    <t>Government consumption</t>
  </si>
  <si>
    <t>Gross fixed capital formation</t>
  </si>
  <si>
    <t xml:space="preserve">    of which: business fixed investment</t>
  </si>
  <si>
    <t xml:space="preserve">                   : government fixed investment</t>
  </si>
  <si>
    <t>invs</t>
  </si>
  <si>
    <t>Final domestic demand</t>
  </si>
  <si>
    <t xml:space="preserve">    * Change in inventories (1)</t>
  </si>
  <si>
    <t>Total domestic demand</t>
  </si>
  <si>
    <t>Exports of goods and services</t>
  </si>
  <si>
    <t>Imports of goods and services</t>
  </si>
  <si>
    <t xml:space="preserve">    * Net exports (1)</t>
  </si>
  <si>
    <t>kontr</t>
  </si>
  <si>
    <t>B. Prices</t>
  </si>
  <si>
    <t>GDP deflator</t>
  </si>
  <si>
    <t>Harmonised index of consumer price</t>
  </si>
  <si>
    <t>olets</t>
  </si>
  <si>
    <t>Goods and services export prices (2)</t>
  </si>
  <si>
    <t>Goods and services import prices (2)</t>
  </si>
  <si>
    <t>C. Income and employment</t>
  </si>
  <si>
    <t>Compensation per employee - total economy (3)</t>
  </si>
  <si>
    <t>Total employment (4)</t>
  </si>
  <si>
    <t>työls</t>
  </si>
  <si>
    <t>Unemployment rate (5)</t>
  </si>
  <si>
    <t>D. Current external transactions</t>
  </si>
  <si>
    <t>Trade balance (Goods and services USD billion) (6)</t>
  </si>
  <si>
    <t>ulks</t>
  </si>
  <si>
    <t>Current balance (USD billion)</t>
  </si>
  <si>
    <t>Current balance as % of GDP</t>
  </si>
  <si>
    <t>E. Memorandum items</t>
  </si>
  <si>
    <t>Potential GDP</t>
  </si>
  <si>
    <t>Output gap (7)</t>
  </si>
  <si>
    <t>Nominal long-term interest rates (8)</t>
  </si>
  <si>
    <t>Household saving ratio</t>
  </si>
  <si>
    <t>kots</t>
  </si>
  <si>
    <t>Export market growth, goods and services (9)</t>
  </si>
  <si>
    <t>Exchange rate (units of national currency per USD)</t>
  </si>
  <si>
    <t>Oil import price (USD per barrel): Brent for OECD</t>
  </si>
  <si>
    <t>General government balance (10)</t>
  </si>
  <si>
    <t>General government underlying balance (7), (11)</t>
  </si>
  <si>
    <t>Contribution to growth in real GDP.</t>
  </si>
  <si>
    <t>In national currency terms.</t>
  </si>
  <si>
    <t>Nominal terms.</t>
  </si>
  <si>
    <t>State if only dependent employment is reported.</t>
  </si>
  <si>
    <t>In percentage of the labour force.</t>
  </si>
  <si>
    <t>State if custom based dara are reported.</t>
  </si>
  <si>
    <t>As a percentage of potential GDP.</t>
  </si>
  <si>
    <t>10-year government bonds.</t>
  </si>
  <si>
    <t>Projected average goods and services import volume growth in principal trading partners, national account basis.</t>
  </si>
  <si>
    <t>Net lending as a percentage of GDP. If projections of budget positions are not available on this basis, please specify an alternative measure.</t>
  </si>
  <si>
    <t>Fiscal balances adjusted for the cycle and for one-offs.</t>
  </si>
  <si>
    <t>Table 1 -Annual forecast data</t>
  </si>
  <si>
    <t xml:space="preserve"> Country: FIN</t>
  </si>
  <si>
    <t xml:space="preserve"> Currency unit:  EUR</t>
  </si>
  <si>
    <t>Main GDP Components (real annual precentage change)</t>
  </si>
  <si>
    <t>kuls</t>
  </si>
  <si>
    <t>Public consumption</t>
  </si>
  <si>
    <t>of which: equipment</t>
  </si>
  <si>
    <t>Exports (goods and services)</t>
  </si>
  <si>
    <t>Imports (goods and services)</t>
  </si>
  <si>
    <t>B</t>
  </si>
  <si>
    <t>Contributions to GDP growth:</t>
  </si>
  <si>
    <t>Domestic demand (incl. inventories)</t>
  </si>
  <si>
    <t>Inventories</t>
  </si>
  <si>
    <t>Net exports</t>
  </si>
  <si>
    <t>Other key variables</t>
  </si>
  <si>
    <t>Employment (y-o-y % change)</t>
  </si>
  <si>
    <t>Unemployment rate, Eurostat definition (% of active population)</t>
  </si>
  <si>
    <t>Compensation of employees / head (y-o-y % change)</t>
  </si>
  <si>
    <t>Unit labour costs whole economy (y-o-y % change)</t>
  </si>
  <si>
    <t>Real unit labour cost (y-o-y % change)</t>
  </si>
  <si>
    <t xml:space="preserve">Saving rate of households </t>
  </si>
  <si>
    <t>Harmonised index of consumer prices (y-o-y % change)</t>
  </si>
  <si>
    <t>Terms of trade goods (y-o-y % change)</t>
  </si>
  <si>
    <t>Trade balance (goods) (% of GDP)</t>
  </si>
  <si>
    <t>Current-account balance (% of GDP)</t>
  </si>
  <si>
    <t>Net lending (+) or borrowing (-) of the total economy (% of GDP)</t>
  </si>
  <si>
    <t>Key assumptions:</t>
  </si>
  <si>
    <t>Nominal effective exchange rate (y-o-y % change)</t>
  </si>
  <si>
    <t xml:space="preserve">US dollar (1 USD = ) </t>
  </si>
  <si>
    <t xml:space="preserve">Euro (1 EUR = ) </t>
  </si>
  <si>
    <t xml:space="preserve">Short-term interest rate </t>
  </si>
  <si>
    <t xml:space="preserve">Long-term interest rate </t>
  </si>
  <si>
    <t>Crude oil price (Brent, USD per barrel)</t>
  </si>
  <si>
    <t xml:space="preserve">Aloitus vuosi </t>
  </si>
  <si>
    <t>NTP-tasm</t>
  </si>
  <si>
    <t xml:space="preserve">   (Volume at reference year 2015 prices; chain-linked volume) (1)</t>
  </si>
  <si>
    <t>XM</t>
  </si>
  <si>
    <t>Suomen vientimarkkinat</t>
  </si>
  <si>
    <t>P51K_BFI</t>
  </si>
  <si>
    <t>fp_%</t>
  </si>
  <si>
    <t>Business fixed investments</t>
  </si>
  <si>
    <t>Kulutusmenot FP</t>
  </si>
  <si>
    <t>Date of finalisation of national projections: xx.xx.xxxx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</si>
</sst>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2">
    <numFmt numFmtId="164" formatCode="_(* #,##0_);_(* \(#,##0\);_(* &quot;-&quot;_);_(@_)"/>
    <numFmt numFmtId="165" formatCode="_(* #,##0.00_);_(* \(#,##0.00\);_(* &quot;-&quot;??_);_(@_)"/>
    <numFmt numFmtId="166" formatCode="_(&quot;€&quot;* #,##0_);_(&quot;€&quot;* \(#,##0\);_(&quot;€&quot;* &quot;-&quot;_);_(@_)"/>
    <numFmt numFmtId="167" formatCode="_(&quot;€&quot;* #,##0.00_);_(&quot;€&quot;* \(#,##0.00\);_(&quot;€&quot;* &quot;-&quot;??_);_(@_)"/>
    <numFmt numFmtId="168" formatCode="0.0"/>
    <numFmt numFmtId="169" formatCode="#,##0.0"/>
    <numFmt numFmtId="170" formatCode="#,##0&quot; mk&quot;;[Red]\-#,##0&quot; mk&quot;"/>
    <numFmt numFmtId="171" formatCode="_-* #,##0.00\ [$€-1]_-;\-* #,##0.00\ [$€-1]_-;_-* &quot;-&quot;??\ [$€-1]_-"/>
    <numFmt numFmtId="172" formatCode="0.000"/>
    <numFmt numFmtId="173" formatCode="_-* #,##0.00\ _m_k_-;\-* #,##0.00\ _m_k_-;_-* &quot;-&quot;??\ _m_k_-;_-@_-"/>
    <numFmt numFmtId="174" formatCode="&quot;   &quot;@"/>
    <numFmt numFmtId="175" formatCode="&quot;      &quot;@"/>
    <numFmt numFmtId="176" formatCode="&quot;         &quot;@"/>
    <numFmt numFmtId="177" formatCode="&quot;            &quot;@"/>
    <numFmt numFmtId="178" formatCode="&quot;               &quot;@"/>
    <numFmt numFmtId="179" formatCode="#,##0.0;\-#,##0.0;;"/>
    <numFmt numFmtId="180" formatCode="_-[$CHF]\ \ #,##0.00_-;\-[$CHF]\ * #,##0.00_-;_-[$CHF]\ * &quot;-&quot;??_-;_-@_-"/>
    <numFmt numFmtId="181" formatCode="#,##0\ &quot;SIT&quot;;\-#,##0\ &quot;SIT&quot;"/>
    <numFmt numFmtId="182" formatCode="[$DEM-4C0A]#,##0.00_ ;\-[$DEM-4C0A]#,##0.00\ "/>
    <numFmt numFmtId="183" formatCode="_-[$€-2]* #,##0.00_-;\-[$€-2]* #,##0.00_-;_-[$€-2]* &quot;-&quot;??_-"/>
    <numFmt numFmtId="184" formatCode="[&gt;0.05]#,##0.0;[&lt;-0.05]\-#,##0.0;\-\-&quot; &quot;;"/>
    <numFmt numFmtId="185" formatCode="[&gt;0.5]#,##0;[&lt;-0.5]\-#,##0;\-\-&quot; &quot;;"/>
    <numFmt numFmtId="186" formatCode="[$JPY]\ #,##0.00;\-[$JPY]\ #,##0.00"/>
    <numFmt numFmtId="187" formatCode="#,##0\ &quot;Kč&quot;;\-#,##0\ &quot;Kč&quot;"/>
    <numFmt numFmtId="188" formatCode="_-* #,##0.00\ &quot;Kč&quot;_-;\-* #,##0.00\ &quot;Kč&quot;_-;_-* &quot;-&quot;??\ &quot;Kč&quot;_-;_-@_-"/>
    <numFmt numFmtId="189" formatCode="&quot;€&quot;#,##0_);\(&quot;€&quot;#,##0\)"/>
    <numFmt numFmtId="190" formatCode="_-&quot;¢&quot;* #,##0_-;\-&quot;¢&quot;* #,##0_-;_-&quot;¢&quot;* &quot;-&quot;_-;_-@_-"/>
    <numFmt numFmtId="191" formatCode="_-&quot;¢&quot;* #,##0.00_-;\-&quot;¢&quot;* #,##0.00_-;_-&quot;¢&quot;* &quot;-&quot;??_-;_-@_-"/>
    <numFmt numFmtId="192" formatCode="ddd\ d\-mmm\-yy"/>
    <numFmt numFmtId="193" formatCode="0.00_)"/>
    <numFmt numFmtId="194" formatCode="[Black]#,##0.0;[Black]\-#,##0.0;;"/>
    <numFmt numFmtId="195" formatCode="[Black][&gt;0.05]#,##0.0;[Black][&lt;-0.05]\-#,##0.0;;"/>
    <numFmt numFmtId="196" formatCode="[Black][&gt;0.5]#,##0;[Black][&lt;-0.5]\-#,##0;;"/>
    <numFmt numFmtId="197" formatCode="#,##0_)"/>
    <numFmt numFmtId="198" formatCode="#\ ###\ ##0;&quot;-&quot;#\ ###\ ##0"/>
    <numFmt numFmtId="199" formatCode="[$$-409]#,##0.00_ ;\-[$$-409]#,##0.00\ "/>
    <numFmt numFmtId="200" formatCode="\(\$#,###\)"/>
    <numFmt numFmtId="201" formatCode="[$$-1009]#,##0.00;\-[$$-1009]#,##0.00"/>
    <numFmt numFmtId="202" formatCode="_-* #,##0.00\ &quot;mk&quot;_-;\-* #,##0.00\ &quot;mk&quot;_-;_-* &quot;-&quot;??\ &quot;mk&quot;_-;_-@_-"/>
    <numFmt numFmtId="203" formatCode="General\ \ \ \ \ \ "/>
    <numFmt numFmtId="204" formatCode="0.0\ \ \ \ \ \ \ \ "/>
    <numFmt numFmtId="205" formatCode="mmmm\ yyyy"/>
    <numFmt numFmtId="206" formatCode="_-&quot;ÖS&quot;\ * #,##0_-;\-&quot;ÖS&quot;\ * #,##0_-;_-&quot;ÖS&quot;\ * &quot;-&quot;_-;_-@_-"/>
    <numFmt numFmtId="207" formatCode="_-&quot;ÖS&quot;\ * #,##0.00_-;\-&quot;ÖS&quot;\ * #,##0.00_-;_-&quot;ÖS&quot;\ * &quot;-&quot;??_-;_-@_-"/>
    <numFmt numFmtId="208" formatCode="#\ ##0__"/>
    <numFmt numFmtId="209" formatCode="#\ ##0.0\ \ \ "/>
    <numFmt numFmtId="210" formatCode="#\ ##0.0___)"/>
    <numFmt numFmtId="211" formatCode="#\ ##0.0"/>
    <numFmt numFmtId="212" formatCode="#\ ##0.0__"/>
    <numFmt numFmtId="213" formatCode="###\ ##0.00__"/>
    <numFmt numFmtId="214" formatCode="0."/>
    <numFmt numFmtId="215" formatCode="dd\.mm\.yyyy"/>
  </numFmts>
  <fonts count="1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8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.5"/>
      <name val="MS Sans Serif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Tms Rmn"/>
    </font>
    <font>
      <sz val="9"/>
      <name val="Times New Roman"/>
      <family val="1"/>
    </font>
    <font>
      <b/>
      <sz val="11"/>
      <color indexed="63"/>
      <name val="Calibri"/>
      <family val="2"/>
    </font>
    <font>
      <sz val="8"/>
      <color indexed="55"/>
      <name val="MS Sans Serif"/>
      <family val="2"/>
    </font>
    <font>
      <sz val="8"/>
      <name val="Verdana"/>
      <family val="2"/>
    </font>
    <font>
      <sz val="8"/>
      <name val="MS Sans Serif"/>
      <family val="2"/>
    </font>
    <font>
      <sz val="8"/>
      <name val="Helvetica"/>
      <family val="2"/>
    </font>
    <font>
      <b/>
      <sz val="18"/>
      <color indexed="62"/>
      <name val="Cambria"/>
      <family val="2"/>
    </font>
    <font>
      <sz val="18"/>
      <color theme="3"/>
      <name val="Cambria"/>
      <family val="2"/>
      <scheme val="major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b/>
      <i/>
      <sz val="10"/>
      <name val="Times New Roman"/>
      <family val="1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sz val="10"/>
      <color theme="0"/>
      <name val="Arial"/>
      <family val="2"/>
    </font>
    <font>
      <sz val="9"/>
      <name val="Times"/>
      <family val="1"/>
    </font>
    <font>
      <u/>
      <sz val="10"/>
      <color indexed="14"/>
      <name val="MS Sans Serif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sz val="11"/>
      <name val="Tms Rmn"/>
    </font>
    <font>
      <sz val="10"/>
      <color indexed="8"/>
      <name val="Arial"/>
      <family val="2"/>
    </font>
    <font>
      <u/>
      <sz val="10"/>
      <color indexed="36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sz val="10"/>
      <name val="Arial CE"/>
      <charset val="238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4"/>
      <name val="Helv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u/>
      <sz val="7.5"/>
      <color theme="10"/>
      <name val="Tms Rmn"/>
    </font>
    <font>
      <sz val="10"/>
      <name val="Arial Cyr"/>
      <charset val="204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name val="Times New Roman CE"/>
      <charset val="238"/>
    </font>
    <font>
      <sz val="10"/>
      <color rgb="FF9C6500"/>
      <name val="Arial"/>
      <family val="2"/>
    </font>
    <font>
      <sz val="10"/>
      <name val="Courier"/>
      <family val="3"/>
    </font>
    <font>
      <b/>
      <i/>
      <sz val="8"/>
      <name val="Helv"/>
    </font>
    <font>
      <b/>
      <i/>
      <sz val="16"/>
      <name val="Helv"/>
    </font>
    <font>
      <i/>
      <sz val="10"/>
      <name val="Helv"/>
    </font>
    <font>
      <b/>
      <sz val="10"/>
      <color rgb="FF3F3F3F"/>
      <name val="Arial"/>
      <family val="2"/>
    </font>
    <font>
      <sz val="6.5"/>
      <name val="Univers"/>
      <family val="2"/>
    </font>
    <font>
      <b/>
      <sz val="10"/>
      <color theme="1"/>
      <name val="Arial"/>
      <family val="2"/>
    </font>
    <font>
      <sz val="12"/>
      <name val="Comic Sans MS"/>
      <family val="4"/>
    </font>
    <font>
      <sz val="10"/>
      <name val="Comic Sans MS"/>
      <family val="4"/>
    </font>
    <font>
      <vertAlign val="superscript"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8"/>
      <name val="Arial CE"/>
      <charset val="238"/>
    </font>
    <font>
      <b/>
      <sz val="12"/>
      <name val="Arial CE"/>
      <charset val="238"/>
    </font>
    <font>
      <sz val="12"/>
      <color indexed="24"/>
      <name val="Modern"/>
      <family val="3"/>
      <charset val="255"/>
    </font>
    <font>
      <b/>
      <sz val="18"/>
      <color indexed="24"/>
      <name val="Modern"/>
      <family val="3"/>
      <charset val="255"/>
    </font>
    <font>
      <b/>
      <sz val="12"/>
      <color indexed="24"/>
      <name val="Modern"/>
      <family val="3"/>
      <charset val="255"/>
    </font>
    <font>
      <sz val="10"/>
      <color indexed="20"/>
      <name val="Arial"/>
      <family val="2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2"/>
      <color theme="1"/>
      <name val="Arial"/>
      <family val="2"/>
    </font>
    <font>
      <u/>
      <sz val="10"/>
      <color theme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8"/>
      <color rgb="FFFF0000"/>
      <name val="Arial"/>
      <family val="2"/>
    </font>
    <font>
      <sz val="10"/>
      <color indexed="10"/>
      <name val="Verdana"/>
      <family val="2"/>
    </font>
    <font>
      <sz val="8"/>
      <color rgb="FFFF0000"/>
      <name val="Arial"/>
      <family val="2"/>
    </font>
    <font>
      <sz val="8"/>
      <name val="Times"/>
      <family val="1"/>
    </font>
    <font>
      <sz val="7"/>
      <name val="Arial"/>
      <family val="2"/>
    </font>
    <font>
      <b/>
      <sz val="11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7"/>
        <bgColor indexed="8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13"/>
        <bgColor indexed="64"/>
      </patternFill>
    </fill>
    <fill>
      <patternFill patternType="solid">
        <fgColor rgb="FFFFFFCC"/>
        <bgColor indexed="64"/>
      </patternFill>
    </fill>
  </fills>
  <borders count="17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792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2" fillId="35" borderId="0" applyNumberFormat="0" applyBorder="0" applyAlignment="0" applyProtection="0"/>
    <xf numFmtId="0" fontId="10" fillId="10" borderId="0" applyNumberFormat="0" applyBorder="0" applyAlignment="0" applyProtection="0"/>
    <xf numFmtId="0" fontId="32" fillId="36" borderId="0" applyNumberFormat="0" applyBorder="0" applyAlignment="0" applyProtection="0"/>
    <xf numFmtId="0" fontId="10" fillId="14" borderId="0" applyNumberFormat="0" applyBorder="0" applyAlignment="0" applyProtection="0"/>
    <xf numFmtId="0" fontId="32" fillId="37" borderId="0" applyNumberFormat="0" applyBorder="0" applyAlignment="0" applyProtection="0"/>
    <xf numFmtId="0" fontId="10" fillId="18" borderId="0" applyNumberFormat="0" applyBorder="0" applyAlignment="0" applyProtection="0"/>
    <xf numFmtId="0" fontId="32" fillId="38" borderId="0" applyNumberFormat="0" applyBorder="0" applyAlignment="0" applyProtection="0"/>
    <xf numFmtId="0" fontId="10" fillId="22" borderId="0" applyNumberFormat="0" applyBorder="0" applyAlignment="0" applyProtection="0"/>
    <xf numFmtId="0" fontId="32" fillId="39" borderId="0" applyNumberFormat="0" applyBorder="0" applyAlignment="0" applyProtection="0"/>
    <xf numFmtId="0" fontId="10" fillId="26" borderId="0" applyNumberFormat="0" applyBorder="0" applyAlignment="0" applyProtection="0"/>
    <xf numFmtId="0" fontId="32" fillId="37" borderId="0" applyNumberFormat="0" applyBorder="0" applyAlignment="0" applyProtection="0"/>
    <xf numFmtId="0" fontId="10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2" fillId="39" borderId="0" applyNumberFormat="0" applyBorder="0" applyAlignment="0" applyProtection="0"/>
    <xf numFmtId="0" fontId="10" fillId="11" borderId="0" applyNumberFormat="0" applyBorder="0" applyAlignment="0" applyProtection="0"/>
    <xf numFmtId="0" fontId="32" fillId="36" borderId="0" applyNumberFormat="0" applyBorder="0" applyAlignment="0" applyProtection="0"/>
    <xf numFmtId="0" fontId="10" fillId="15" borderId="0" applyNumberFormat="0" applyBorder="0" applyAlignment="0" applyProtection="0"/>
    <xf numFmtId="0" fontId="32" fillId="40" borderId="0" applyNumberFormat="0" applyBorder="0" applyAlignment="0" applyProtection="0"/>
    <xf numFmtId="0" fontId="10" fillId="19" borderId="0" applyNumberFormat="0" applyBorder="0" applyAlignment="0" applyProtection="0"/>
    <xf numFmtId="0" fontId="32" fillId="41" borderId="0" applyNumberFormat="0" applyBorder="0" applyAlignment="0" applyProtection="0"/>
    <xf numFmtId="0" fontId="10" fillId="23" borderId="0" applyNumberFormat="0" applyBorder="0" applyAlignment="0" applyProtection="0"/>
    <xf numFmtId="0" fontId="32" fillId="39" borderId="0" applyNumberFormat="0" applyBorder="0" applyAlignment="0" applyProtection="0"/>
    <xf numFmtId="0" fontId="10" fillId="27" borderId="0" applyNumberFormat="0" applyBorder="0" applyAlignment="0" applyProtection="0"/>
    <xf numFmtId="0" fontId="32" fillId="37" borderId="0" applyNumberFormat="0" applyBorder="0" applyAlignment="0" applyProtection="0"/>
    <xf numFmtId="0" fontId="10" fillId="31" borderId="0" applyNumberFormat="0" applyBorder="0" applyAlignment="0" applyProtection="0"/>
    <xf numFmtId="0" fontId="33" fillId="39" borderId="0" applyNumberFormat="0" applyBorder="0" applyAlignment="0" applyProtection="0"/>
    <xf numFmtId="0" fontId="26" fillId="12" borderId="0" applyNumberFormat="0" applyBorder="0" applyAlignment="0" applyProtection="0"/>
    <xf numFmtId="0" fontId="33" fillId="42" borderId="0" applyNumberFormat="0" applyBorder="0" applyAlignment="0" applyProtection="0"/>
    <xf numFmtId="0" fontId="26" fillId="16" borderId="0" applyNumberFormat="0" applyBorder="0" applyAlignment="0" applyProtection="0"/>
    <xf numFmtId="0" fontId="33" fillId="43" borderId="0" applyNumberFormat="0" applyBorder="0" applyAlignment="0" applyProtection="0"/>
    <xf numFmtId="0" fontId="26" fillId="20" borderId="0" applyNumberFormat="0" applyBorder="0" applyAlignment="0" applyProtection="0"/>
    <xf numFmtId="0" fontId="33" fillId="41" borderId="0" applyNumberFormat="0" applyBorder="0" applyAlignment="0" applyProtection="0"/>
    <xf numFmtId="0" fontId="26" fillId="24" borderId="0" applyNumberFormat="0" applyBorder="0" applyAlignment="0" applyProtection="0"/>
    <xf numFmtId="0" fontId="33" fillId="39" borderId="0" applyNumberFormat="0" applyBorder="0" applyAlignment="0" applyProtection="0"/>
    <xf numFmtId="0" fontId="26" fillId="28" borderId="0" applyNumberFormat="0" applyBorder="0" applyAlignment="0" applyProtection="0"/>
    <xf numFmtId="0" fontId="33" fillId="36" borderId="0" applyNumberFormat="0" applyBorder="0" applyAlignment="0" applyProtection="0"/>
    <xf numFmtId="0" fontId="26" fillId="32" borderId="0" applyNumberFormat="0" applyBorder="0" applyAlignment="0" applyProtection="0"/>
    <xf numFmtId="0" fontId="33" fillId="44" borderId="0" applyNumberFormat="0" applyBorder="0" applyAlignment="0" applyProtection="0"/>
    <xf numFmtId="0" fontId="26" fillId="9" borderId="0" applyNumberFormat="0" applyBorder="0" applyAlignment="0" applyProtection="0"/>
    <xf numFmtId="0" fontId="33" fillId="42" borderId="0" applyNumberFormat="0" applyBorder="0" applyAlignment="0" applyProtection="0"/>
    <xf numFmtId="0" fontId="26" fillId="13" borderId="0" applyNumberFormat="0" applyBorder="0" applyAlignment="0" applyProtection="0"/>
    <xf numFmtId="0" fontId="33" fillId="43" borderId="0" applyNumberFormat="0" applyBorder="0" applyAlignment="0" applyProtection="0"/>
    <xf numFmtId="0" fontId="26" fillId="17" borderId="0" applyNumberFormat="0" applyBorder="0" applyAlignment="0" applyProtection="0"/>
    <xf numFmtId="0" fontId="33" fillId="45" borderId="0" applyNumberFormat="0" applyBorder="0" applyAlignment="0" applyProtection="0"/>
    <xf numFmtId="0" fontId="26" fillId="21" borderId="0" applyNumberFormat="0" applyBorder="0" applyAlignment="0" applyProtection="0"/>
    <xf numFmtId="0" fontId="33" fillId="46" borderId="0" applyNumberFormat="0" applyBorder="0" applyAlignment="0" applyProtection="0"/>
    <xf numFmtId="0" fontId="26" fillId="25" borderId="0" applyNumberFormat="0" applyBorder="0" applyAlignment="0" applyProtection="0"/>
    <xf numFmtId="0" fontId="33" fillId="47" borderId="0" applyNumberFormat="0" applyBorder="0" applyAlignment="0" applyProtection="0"/>
    <xf numFmtId="0" fontId="26" fillId="29" borderId="0" applyNumberFormat="0" applyBorder="0" applyAlignment="0" applyProtection="0"/>
    <xf numFmtId="0" fontId="30" fillId="0" borderId="0" applyNumberFormat="0" applyFill="0" applyBorder="0" applyAlignment="0" applyProtection="0"/>
    <xf numFmtId="0" fontId="34" fillId="48" borderId="0" applyNumberFormat="0" applyBorder="0" applyAlignment="0" applyProtection="0"/>
    <xf numFmtId="0" fontId="16" fillId="3" borderId="0" applyNumberFormat="0" applyBorder="0" applyAlignment="0" applyProtection="0"/>
    <xf numFmtId="0" fontId="35" fillId="49" borderId="10" applyNumberFormat="0" applyAlignment="0" applyProtection="0"/>
    <xf numFmtId="0" fontId="20" fillId="6" borderId="4" applyNumberFormat="0" applyAlignment="0" applyProtection="0"/>
    <xf numFmtId="0" fontId="36" fillId="50" borderId="11" applyNumberFormat="0" applyAlignment="0" applyProtection="0"/>
    <xf numFmtId="0" fontId="22" fillId="7" borderId="7" applyNumberFormat="0" applyAlignment="0" applyProtection="0"/>
    <xf numFmtId="38" fontId="37" fillId="0" borderId="0" applyFont="0" applyFill="0" applyBorder="0" applyAlignment="0" applyProtection="0"/>
    <xf numFmtId="170" fontId="37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15" fillId="2" borderId="0" applyNumberFormat="0" applyBorder="0" applyAlignment="0" applyProtection="0"/>
    <xf numFmtId="0" fontId="40" fillId="51" borderId="0" applyAlignment="0"/>
    <xf numFmtId="0" fontId="41" fillId="0" borderId="0">
      <alignment vertical="top"/>
    </xf>
    <xf numFmtId="0" fontId="42" fillId="0" borderId="12" applyBorder="0">
      <alignment horizontal="left" vertical="top"/>
    </xf>
    <xf numFmtId="0" fontId="42" fillId="0" borderId="12" applyBorder="0">
      <alignment horizontal="left" vertical="top"/>
    </xf>
    <xf numFmtId="0" fontId="43" fillId="0" borderId="13" applyNumberFormat="0" applyFill="0" applyAlignment="0" applyProtection="0"/>
    <xf numFmtId="0" fontId="12" fillId="0" borderId="1" applyNumberFormat="0" applyFill="0" applyAlignment="0" applyProtection="0"/>
    <xf numFmtId="0" fontId="44" fillId="0" borderId="14" applyNumberFormat="0" applyFill="0" applyAlignment="0" applyProtection="0"/>
    <xf numFmtId="0" fontId="13" fillId="0" borderId="2" applyNumberFormat="0" applyFill="0" applyAlignment="0" applyProtection="0"/>
    <xf numFmtId="0" fontId="45" fillId="0" borderId="15" applyNumberFormat="0" applyFill="0" applyAlignment="0" applyProtection="0"/>
    <xf numFmtId="0" fontId="14" fillId="0" borderId="3" applyNumberFormat="0" applyFill="0" applyAlignment="0" applyProtection="0"/>
    <xf numFmtId="0" fontId="4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46" fillId="40" borderId="10" applyNumberFormat="0" applyAlignment="0" applyProtection="0"/>
    <xf numFmtId="0" fontId="18" fillId="5" borderId="4" applyNumberFormat="0" applyAlignment="0" applyProtection="0"/>
    <xf numFmtId="0" fontId="47" fillId="0" borderId="0">
      <alignment vertical="top"/>
    </xf>
    <xf numFmtId="0" fontId="48" fillId="0" borderId="16" applyNumberFormat="0" applyFill="0" applyAlignment="0" applyProtection="0"/>
    <xf numFmtId="0" fontId="21" fillId="0" borderId="6" applyNumberFormat="0" applyFill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30" fillId="0" borderId="0"/>
    <xf numFmtId="0" fontId="30" fillId="0" borderId="0"/>
    <xf numFmtId="0" fontId="30" fillId="0" borderId="0" applyNumberFormat="0" applyFill="0" applyBorder="0" applyAlignment="0" applyProtection="0"/>
    <xf numFmtId="0" fontId="30" fillId="0" borderId="0"/>
    <xf numFmtId="0" fontId="3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7" fillId="0" borderId="0"/>
    <xf numFmtId="0" fontId="30" fillId="0" borderId="0"/>
    <xf numFmtId="0" fontId="31" fillId="0" borderId="0"/>
    <xf numFmtId="0" fontId="31" fillId="0" borderId="0"/>
    <xf numFmtId="0" fontId="10" fillId="0" borderId="0"/>
    <xf numFmtId="0" fontId="50" fillId="0" borderId="0"/>
    <xf numFmtId="0" fontId="30" fillId="0" borderId="0"/>
    <xf numFmtId="0" fontId="31" fillId="0" borderId="0"/>
    <xf numFmtId="0" fontId="51" fillId="0" borderId="17" applyNumberFormat="0" applyFill="0" applyAlignment="0" applyProtection="0"/>
    <xf numFmtId="0" fontId="30" fillId="37" borderId="18" applyNumberFormat="0" applyFont="0" applyAlignment="0" applyProtection="0"/>
    <xf numFmtId="0" fontId="30" fillId="8" borderId="8" applyNumberFormat="0" applyFont="0" applyAlignment="0" applyProtection="0"/>
    <xf numFmtId="0" fontId="52" fillId="49" borderId="19" applyNumberFormat="0" applyAlignment="0" applyProtection="0"/>
    <xf numFmtId="0" fontId="19" fillId="6" borderId="5" applyNumberFormat="0" applyAlignment="0" applyProtection="0"/>
    <xf numFmtId="0" fontId="53" fillId="0" borderId="0" applyNumberFormat="0">
      <alignment horizontal="left" vertical="top" wrapText="1"/>
    </xf>
    <xf numFmtId="0" fontId="54" fillId="0" borderId="18"/>
    <xf numFmtId="0" fontId="55" fillId="0" borderId="18" applyNumberFormat="0">
      <alignment horizontal="left" vertical="top" wrapText="1" shrinkToFit="1"/>
      <protection locked="0"/>
    </xf>
    <xf numFmtId="0" fontId="30" fillId="0" borderId="18">
      <protection locked="0"/>
    </xf>
    <xf numFmtId="0" fontId="54" fillId="0" borderId="18">
      <protection locked="0"/>
    </xf>
    <xf numFmtId="0" fontId="56" fillId="0" borderId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20" applyNumberFormat="0" applyFill="0" applyAlignment="0" applyProtection="0"/>
    <xf numFmtId="0" fontId="25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0" fillId="0" borderId="0"/>
    <xf numFmtId="0" fontId="63" fillId="0" borderId="0"/>
    <xf numFmtId="0" fontId="32" fillId="35" borderId="0" applyNumberFormat="0" applyBorder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2" fontId="30" fillId="33" borderId="0"/>
    <xf numFmtId="0" fontId="35" fillId="49" borderId="38" applyNumberFormat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0" fontId="42" fillId="0" borderId="37" applyBorder="0">
      <alignment horizontal="left" vertical="top"/>
    </xf>
    <xf numFmtId="0" fontId="42" fillId="0" borderId="37" applyBorder="0">
      <alignment horizontal="left" vertical="top"/>
    </xf>
    <xf numFmtId="0" fontId="30" fillId="37" borderId="39" applyNumberFormat="0" applyFont="0" applyAlignment="0" applyProtection="0"/>
    <xf numFmtId="0" fontId="31" fillId="8" borderId="8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46" fillId="40" borderId="38" applyNumberFormat="0" applyAlignment="0" applyProtection="0"/>
    <xf numFmtId="0" fontId="35" fillId="49" borderId="38" applyNumberFormat="0" applyAlignment="0" applyProtection="0"/>
    <xf numFmtId="0" fontId="35" fillId="49" borderId="38" applyNumberFormat="0" applyAlignment="0" applyProtection="0"/>
    <xf numFmtId="2" fontId="30" fillId="52" borderId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10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0" fillId="0" borderId="0"/>
    <xf numFmtId="0" fontId="51" fillId="0" borderId="36" applyNumberFormat="0" applyFill="0" applyAlignment="0" applyProtection="0"/>
    <xf numFmtId="0" fontId="30" fillId="8" borderId="8" applyNumberFormat="0" applyFont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2" fillId="49" borderId="40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41" applyNumberFormat="0" applyFill="0" applyAlignment="0" applyProtection="0"/>
    <xf numFmtId="0" fontId="59" fillId="0" borderId="41" applyNumberFormat="0" applyFill="0" applyAlignment="0" applyProtection="0"/>
    <xf numFmtId="0" fontId="46" fillId="40" borderId="38" applyNumberFormat="0" applyAlignment="0" applyProtection="0"/>
    <xf numFmtId="0" fontId="46" fillId="40" borderId="38" applyNumberFormat="0" applyAlignment="0" applyProtection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52" fillId="49" borderId="40" applyNumberFormat="0" applyAlignment="0" applyProtection="0"/>
    <xf numFmtId="0" fontId="52" fillId="49" borderId="40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5" fillId="49" borderId="42" applyNumberFormat="0" applyAlignment="0" applyProtection="0"/>
    <xf numFmtId="0" fontId="42" fillId="0" borderId="43" applyBorder="0">
      <alignment horizontal="left" vertical="top"/>
    </xf>
    <xf numFmtId="0" fontId="42" fillId="0" borderId="43" applyBorder="0">
      <alignment horizontal="left" vertical="top"/>
    </xf>
    <xf numFmtId="0" fontId="46" fillId="40" borderId="42" applyNumberFormat="0" applyAlignment="0" applyProtection="0"/>
    <xf numFmtId="0" fontId="35" fillId="49" borderId="42" applyNumberFormat="0" applyAlignment="0" applyProtection="0"/>
    <xf numFmtId="0" fontId="35" fillId="49" borderId="42" applyNumberFormat="0" applyAlignment="0" applyProtection="0"/>
    <xf numFmtId="0" fontId="51" fillId="0" borderId="44" applyNumberFormat="0" applyFill="0" applyAlignment="0" applyProtection="0"/>
    <xf numFmtId="0" fontId="52" fillId="49" borderId="45" applyNumberFormat="0" applyAlignment="0" applyProtection="0"/>
    <xf numFmtId="0" fontId="59" fillId="0" borderId="46" applyNumberFormat="0" applyFill="0" applyAlignment="0" applyProtection="0"/>
    <xf numFmtId="0" fontId="59" fillId="0" borderId="46" applyNumberFormat="0" applyFill="0" applyAlignment="0" applyProtection="0"/>
    <xf numFmtId="0" fontId="46" fillId="40" borderId="42" applyNumberFormat="0" applyAlignment="0" applyProtection="0"/>
    <xf numFmtId="0" fontId="46" fillId="40" borderId="42" applyNumberFormat="0" applyAlignment="0" applyProtection="0"/>
    <xf numFmtId="0" fontId="52" fillId="49" borderId="45" applyNumberFormat="0" applyAlignment="0" applyProtection="0"/>
    <xf numFmtId="0" fontId="52" fillId="49" borderId="45" applyNumberFormat="0" applyAlignment="0" applyProtection="0"/>
    <xf numFmtId="0" fontId="59" fillId="0" borderId="52" applyNumberFormat="0" applyFill="0" applyAlignment="0" applyProtection="0"/>
    <xf numFmtId="0" fontId="55" fillId="0" borderId="50" applyNumberFormat="0">
      <alignment horizontal="left" vertical="top" wrapText="1" shrinkToFit="1"/>
      <protection locked="0"/>
    </xf>
    <xf numFmtId="0" fontId="51" fillId="0" borderId="47" applyNumberFormat="0" applyFill="0" applyAlignment="0" applyProtection="0"/>
    <xf numFmtId="0" fontId="35" fillId="49" borderId="49" applyNumberFormat="0" applyAlignment="0" applyProtection="0"/>
    <xf numFmtId="0" fontId="30" fillId="37" borderId="50" applyNumberFormat="0" applyFont="0" applyAlignment="0" applyProtection="0"/>
    <xf numFmtId="0" fontId="42" fillId="0" borderId="48" applyBorder="0">
      <alignment horizontal="left" vertical="top"/>
    </xf>
    <xf numFmtId="0" fontId="30" fillId="37" borderId="39" applyNumberFormat="0" applyFont="0" applyAlignment="0" applyProtection="0"/>
    <xf numFmtId="0" fontId="59" fillId="0" borderId="46" applyNumberFormat="0" applyFill="0" applyAlignment="0" applyProtection="0"/>
    <xf numFmtId="0" fontId="30" fillId="0" borderId="0"/>
    <xf numFmtId="0" fontId="42" fillId="0" borderId="55" applyBorder="0">
      <alignment horizontal="left" vertical="top"/>
    </xf>
    <xf numFmtId="0" fontId="52" fillId="49" borderId="51" applyNumberFormat="0" applyAlignment="0" applyProtection="0"/>
    <xf numFmtId="0" fontId="52" fillId="49" borderId="51" applyNumberFormat="0" applyAlignment="0" applyProtection="0"/>
    <xf numFmtId="0" fontId="46" fillId="40" borderId="49" applyNumberFormat="0" applyAlignment="0" applyProtection="0"/>
    <xf numFmtId="0" fontId="46" fillId="40" borderId="49" applyNumberFormat="0" applyAlignment="0" applyProtection="0"/>
    <xf numFmtId="0" fontId="59" fillId="0" borderId="52" applyNumberFormat="0" applyFill="0" applyAlignment="0" applyProtection="0"/>
    <xf numFmtId="0" fontId="30" fillId="0" borderId="50">
      <protection locked="0"/>
    </xf>
    <xf numFmtId="0" fontId="30" fillId="0" borderId="50">
      <protection locked="0"/>
    </xf>
    <xf numFmtId="0" fontId="54" fillId="0" borderId="50">
      <protection locked="0"/>
    </xf>
    <xf numFmtId="0" fontId="54" fillId="0" borderId="50"/>
    <xf numFmtId="0" fontId="52" fillId="49" borderId="51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49" applyNumberFormat="0" applyAlignment="0" applyProtection="0"/>
    <xf numFmtId="0" fontId="46" fillId="40" borderId="49" applyNumberFormat="0" applyAlignment="0" applyProtection="0"/>
    <xf numFmtId="0" fontId="30" fillId="37" borderId="50" applyNumberFormat="0" applyFont="0" applyAlignment="0" applyProtection="0"/>
    <xf numFmtId="0" fontId="30" fillId="37" borderId="50" applyNumberFormat="0" applyFont="0" applyAlignment="0" applyProtection="0"/>
    <xf numFmtId="0" fontId="42" fillId="0" borderId="48" applyBorder="0">
      <alignment horizontal="left" vertical="top"/>
    </xf>
    <xf numFmtId="0" fontId="35" fillId="49" borderId="49" applyNumberFormat="0" applyAlignment="0" applyProtection="0"/>
    <xf numFmtId="0" fontId="35" fillId="49" borderId="42" applyNumberFormat="0" applyAlignment="0" applyProtection="0"/>
    <xf numFmtId="0" fontId="42" fillId="0" borderId="43" applyBorder="0">
      <alignment horizontal="left" vertical="top"/>
    </xf>
    <xf numFmtId="0" fontId="42" fillId="0" borderId="43" applyBorder="0">
      <alignment horizontal="left" vertical="top"/>
    </xf>
    <xf numFmtId="0" fontId="46" fillId="40" borderId="42" applyNumberFormat="0" applyAlignment="0" applyProtection="0"/>
    <xf numFmtId="0" fontId="35" fillId="49" borderId="42" applyNumberFormat="0" applyAlignment="0" applyProtection="0"/>
    <xf numFmtId="0" fontId="30" fillId="37" borderId="50" applyNumberFormat="0" applyFont="0" applyAlignment="0" applyProtection="0"/>
    <xf numFmtId="0" fontId="59" fillId="0" borderId="54" applyNumberFormat="0" applyFill="0" applyAlignment="0" applyProtection="0"/>
    <xf numFmtId="0" fontId="51" fillId="0" borderId="44" applyNumberFormat="0" applyFill="0" applyAlignment="0" applyProtection="0"/>
    <xf numFmtId="0" fontId="52" fillId="49" borderId="45" applyNumberFormat="0" applyAlignment="0" applyProtection="0"/>
    <xf numFmtId="0" fontId="59" fillId="0" borderId="46" applyNumberFormat="0" applyFill="0" applyAlignment="0" applyProtection="0"/>
    <xf numFmtId="0" fontId="46" fillId="40" borderId="42" applyNumberFormat="0" applyAlignment="0" applyProtection="0"/>
    <xf numFmtId="0" fontId="42" fillId="0" borderId="55" applyBorder="0">
      <alignment horizontal="left" vertical="top"/>
    </xf>
    <xf numFmtId="0" fontId="52" fillId="49" borderId="45" applyNumberFormat="0" applyAlignment="0" applyProtection="0"/>
    <xf numFmtId="0" fontId="35" fillId="49" borderId="49" applyNumberFormat="0" applyAlignment="0" applyProtection="0"/>
    <xf numFmtId="0" fontId="42" fillId="0" borderId="48" applyBorder="0">
      <alignment horizontal="left" vertical="top"/>
    </xf>
    <xf numFmtId="0" fontId="42" fillId="0" borderId="48" applyBorder="0">
      <alignment horizontal="left" vertical="top"/>
    </xf>
    <xf numFmtId="0" fontId="46" fillId="40" borderId="49" applyNumberFormat="0" applyAlignment="0" applyProtection="0"/>
    <xf numFmtId="0" fontId="35" fillId="49" borderId="49" applyNumberFormat="0" applyAlignment="0" applyProtection="0"/>
    <xf numFmtId="0" fontId="35" fillId="49" borderId="49" applyNumberFormat="0" applyAlignment="0" applyProtection="0"/>
    <xf numFmtId="0" fontId="52" fillId="49" borderId="53" applyNumberFormat="0" applyAlignment="0" applyProtection="0"/>
    <xf numFmtId="0" fontId="59" fillId="0" borderId="54" applyNumberFormat="0" applyFill="0" applyAlignment="0" applyProtection="0"/>
    <xf numFmtId="0" fontId="59" fillId="0" borderId="54" applyNumberFormat="0" applyFill="0" applyAlignment="0" applyProtection="0"/>
    <xf numFmtId="0" fontId="46" fillId="40" borderId="49" applyNumberFormat="0" applyAlignment="0" applyProtection="0"/>
    <xf numFmtId="0" fontId="46" fillId="40" borderId="49" applyNumberFormat="0" applyAlignment="0" applyProtection="0"/>
    <xf numFmtId="0" fontId="52" fillId="49" borderId="53" applyNumberFormat="0" applyAlignment="0" applyProtection="0"/>
    <xf numFmtId="0" fontId="52" fillId="49" borderId="53" applyNumberFormat="0" applyAlignment="0" applyProtection="0"/>
    <xf numFmtId="0" fontId="52" fillId="49" borderId="53" applyNumberFormat="0" applyAlignment="0" applyProtection="0"/>
    <xf numFmtId="0" fontId="59" fillId="0" borderId="54" applyNumberFormat="0" applyFill="0" applyAlignment="0" applyProtection="0"/>
    <xf numFmtId="0" fontId="52" fillId="49" borderId="53" applyNumberFormat="0" applyAlignment="0" applyProtection="0"/>
    <xf numFmtId="0" fontId="70" fillId="0" borderId="0" applyNumberFormat="0" applyFill="0" applyBorder="0" applyAlignment="0" applyProtection="0"/>
    <xf numFmtId="0" fontId="10" fillId="0" borderId="0"/>
    <xf numFmtId="0" fontId="37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0" fillId="37" borderId="39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49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54" applyNumberFormat="0" applyFill="0" applyAlignment="0" applyProtection="0"/>
    <xf numFmtId="0" fontId="46" fillId="40" borderId="49" applyNumberFormat="0" applyAlignment="0" applyProtection="0"/>
    <xf numFmtId="0" fontId="36" fillId="50" borderId="11" applyNumberFormat="0" applyAlignment="0" applyProtection="0"/>
    <xf numFmtId="0" fontId="52" fillId="49" borderId="53" applyNumberFormat="0" applyAlignment="0" applyProtection="0"/>
    <xf numFmtId="0" fontId="48" fillId="0" borderId="0" applyNumberFormat="0" applyFill="0" applyBorder="0" applyAlignment="0" applyProtection="0"/>
    <xf numFmtId="0" fontId="30" fillId="0" borderId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73" fillId="0" borderId="0"/>
    <xf numFmtId="0" fontId="73" fillId="0" borderId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0" borderId="0"/>
    <xf numFmtId="0" fontId="30" fillId="0" borderId="0"/>
    <xf numFmtId="0" fontId="67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/>
    <xf numFmtId="0" fontId="31" fillId="0" borderId="0"/>
    <xf numFmtId="0" fontId="31" fillId="0" borderId="0"/>
    <xf numFmtId="0" fontId="31" fillId="0" borderId="0"/>
    <xf numFmtId="0" fontId="74" fillId="0" borderId="0" applyNumberFormat="0" applyFill="0" applyBorder="0" applyAlignment="0" applyProtection="0"/>
    <xf numFmtId="0" fontId="54" fillId="0" borderId="59">
      <protection locked="0"/>
    </xf>
    <xf numFmtId="174" fontId="78" fillId="0" borderId="0" applyFont="0" applyFill="0" applyBorder="0" applyAlignment="0" applyProtection="0"/>
    <xf numFmtId="174" fontId="78" fillId="0" borderId="0" applyFont="0" applyFill="0" applyBorder="0" applyAlignment="0" applyProtection="0"/>
    <xf numFmtId="174" fontId="51" fillId="0" borderId="0" applyFont="0" applyFill="0" applyBorder="0" applyAlignment="0" applyProtection="0"/>
    <xf numFmtId="175" fontId="78" fillId="0" borderId="0" applyFont="0" applyFill="0" applyBorder="0" applyAlignment="0" applyProtection="0"/>
    <xf numFmtId="175" fontId="78" fillId="0" borderId="0" applyFont="0" applyFill="0" applyBorder="0" applyAlignment="0" applyProtection="0"/>
    <xf numFmtId="175" fontId="51" fillId="0" borderId="0" applyFont="0" applyFill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51" fillId="0" borderId="0" applyFont="0" applyFill="0" applyBorder="0" applyAlignment="0" applyProtection="0"/>
    <xf numFmtId="177" fontId="78" fillId="0" borderId="0" applyFont="0" applyFill="0" applyBorder="0" applyAlignment="0" applyProtection="0"/>
    <xf numFmtId="177" fontId="78" fillId="0" borderId="0" applyFont="0" applyFill="0" applyBorder="0" applyAlignment="0" applyProtection="0"/>
    <xf numFmtId="177" fontId="51" fillId="0" borderId="0" applyFont="0" applyFill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178" fontId="51" fillId="0" borderId="0" applyFont="0" applyFill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72" fillId="12" borderId="0" applyNumberFormat="0" applyBorder="0" applyAlignment="0" applyProtection="0"/>
    <xf numFmtId="0" fontId="72" fillId="16" borderId="0" applyNumberFormat="0" applyBorder="0" applyAlignment="0" applyProtection="0"/>
    <xf numFmtId="0" fontId="72" fillId="20" borderId="0" applyNumberFormat="0" applyBorder="0" applyAlignment="0" applyProtection="0"/>
    <xf numFmtId="0" fontId="72" fillId="24" borderId="0" applyNumberFormat="0" applyBorder="0" applyAlignment="0" applyProtection="0"/>
    <xf numFmtId="0" fontId="72" fillId="28" borderId="0" applyNumberFormat="0" applyBorder="0" applyAlignment="0" applyProtection="0"/>
    <xf numFmtId="0" fontId="72" fillId="32" borderId="0" applyNumberFormat="0" applyBorder="0" applyAlignment="0" applyProtection="0"/>
    <xf numFmtId="179" fontId="51" fillId="0" borderId="0"/>
    <xf numFmtId="0" fontId="72" fillId="9" borderId="0" applyNumberFormat="0" applyBorder="0" applyAlignment="0" applyProtection="0"/>
    <xf numFmtId="0" fontId="72" fillId="13" borderId="0" applyNumberFormat="0" applyBorder="0" applyAlignment="0" applyProtection="0"/>
    <xf numFmtId="0" fontId="72" fillId="17" borderId="0" applyNumberFormat="0" applyBorder="0" applyAlignment="0" applyProtection="0"/>
    <xf numFmtId="0" fontId="72" fillId="21" borderId="0" applyNumberFormat="0" applyBorder="0" applyAlignment="0" applyProtection="0"/>
    <xf numFmtId="0" fontId="72" fillId="25" borderId="0" applyNumberFormat="0" applyBorder="0" applyAlignment="0" applyProtection="0"/>
    <xf numFmtId="0" fontId="72" fillId="29" borderId="0" applyNumberFormat="0" applyBorder="0" applyAlignment="0" applyProtection="0"/>
    <xf numFmtId="0" fontId="72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54" fillId="0" borderId="59"/>
    <xf numFmtId="0" fontId="26" fillId="29" borderId="0" applyNumberFormat="0" applyBorder="0" applyAlignment="0" applyProtection="0"/>
    <xf numFmtId="0" fontId="55" fillId="0" borderId="59" applyNumberFormat="0">
      <alignment horizontal="left" vertical="top" wrapText="1" shrinkToFit="1"/>
      <protection locked="0"/>
    </xf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54" fillId="0" borderId="59"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1" fillId="3" borderId="0" applyNumberFormat="0" applyBorder="0" applyAlignment="0" applyProtection="0"/>
    <xf numFmtId="0" fontId="82" fillId="6" borderId="4" applyNumberFormat="0" applyAlignment="0" applyProtection="0"/>
    <xf numFmtId="0" fontId="83" fillId="0" borderId="57" applyNumberFormat="0" applyFont="0" applyFill="0" applyAlignment="0" applyProtection="0"/>
    <xf numFmtId="0" fontId="84" fillId="7" borderId="7" applyNumberFormat="0" applyAlignment="0" applyProtection="0"/>
    <xf numFmtId="180" fontId="64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3" fontId="30" fillId="53" borderId="0" applyFont="0" applyFill="0" applyBorder="0" applyAlignment="0" applyProtection="0"/>
    <xf numFmtId="0" fontId="25" fillId="0" borderId="9" applyNumberFormat="0" applyFill="0" applyAlignment="0" applyProtection="0"/>
    <xf numFmtId="0" fontId="30" fillId="0" borderId="0"/>
    <xf numFmtId="181" fontId="30" fillId="53" borderId="0" applyFont="0" applyFill="0" applyBorder="0" applyAlignment="0" applyProtection="0"/>
    <xf numFmtId="0" fontId="30" fillId="53" borderId="0" applyFont="0" applyFill="0" applyBorder="0" applyAlignment="0" applyProtection="0"/>
    <xf numFmtId="0" fontId="83" fillId="0" borderId="0" applyFont="0" applyFill="0" applyBorder="0" applyAlignment="0" applyProtection="0"/>
    <xf numFmtId="15" fontId="77" fillId="0" borderId="0"/>
    <xf numFmtId="182" fontId="61" fillId="0" borderId="0"/>
    <xf numFmtId="164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173" fontId="30" fillId="0" borderId="0" applyFont="0" applyFill="0" applyBorder="0" applyAlignment="0" applyProtection="0"/>
    <xf numFmtId="0" fontId="18" fillId="5" borderId="4" applyNumberFormat="0" applyAlignment="0" applyProtection="0"/>
    <xf numFmtId="167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85" fillId="0" borderId="0" applyNumberFormat="0" applyFill="0" applyBorder="0" applyAlignment="0" applyProtection="0"/>
    <xf numFmtId="3" fontId="83" fillId="0" borderId="0" applyFont="0" applyFill="0" applyBorder="0" applyAlignment="0" applyProtection="0"/>
    <xf numFmtId="3" fontId="83" fillId="0" borderId="0" applyFont="0" applyFill="0" applyBorder="0" applyAlignment="0" applyProtection="0"/>
    <xf numFmtId="2" fontId="30" fillId="53" borderId="0" applyFont="0" applyFill="0" applyBorder="0" applyAlignment="0" applyProtection="0"/>
    <xf numFmtId="0" fontId="86" fillId="0" borderId="0"/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7" fillId="2" borderId="0" applyNumberFormat="0" applyBorder="0" applyAlignment="0" applyProtection="0"/>
    <xf numFmtId="38" fontId="42" fillId="51" borderId="0" applyNumberFormat="0" applyBorder="0" applyAlignment="0" applyProtection="0"/>
    <xf numFmtId="0" fontId="65" fillId="0" borderId="0"/>
    <xf numFmtId="0" fontId="40" fillId="0" borderId="0"/>
    <xf numFmtId="0" fontId="88" fillId="0" borderId="1" applyNumberFormat="0" applyFill="0" applyAlignment="0" applyProtection="0"/>
    <xf numFmtId="0" fontId="12" fillId="0" borderId="1" applyNumberFormat="0" applyFill="0" applyAlignment="0" applyProtection="0"/>
    <xf numFmtId="0" fontId="89" fillId="0" borderId="2" applyNumberFormat="0" applyFill="0" applyAlignment="0" applyProtection="0"/>
    <xf numFmtId="0" fontId="13" fillId="0" borderId="2" applyNumberFormat="0" applyFill="0" applyAlignment="0" applyProtection="0"/>
    <xf numFmtId="0" fontId="40" fillId="53" borderId="0" applyNumberFormat="0" applyFont="0" applyFill="0" applyAlignment="0" applyProtection="0"/>
    <xf numFmtId="0" fontId="90" fillId="0" borderId="3" applyNumberFormat="0" applyFill="0" applyAlignment="0" applyProtection="0"/>
    <xf numFmtId="0" fontId="90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9" fillId="6" borderId="5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5" fillId="2" borderId="0" applyNumberFormat="0" applyBorder="0" applyAlignment="0" applyProtection="0"/>
    <xf numFmtId="0" fontId="92" fillId="0" borderId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69" fontId="51" fillId="0" borderId="0" applyFont="0" applyFill="0" applyBorder="0" applyAlignment="0" applyProtection="0"/>
    <xf numFmtId="185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3" fontId="51" fillId="0" borderId="0" applyFont="0" applyFill="0" applyBorder="0" applyAlignment="0" applyProtection="0"/>
    <xf numFmtId="10" fontId="42" fillId="54" borderId="56" applyNumberFormat="0" applyBorder="0" applyAlignment="0" applyProtection="0"/>
    <xf numFmtId="0" fontId="93" fillId="5" borderId="4" applyNumberFormat="0" applyAlignment="0" applyProtection="0"/>
    <xf numFmtId="186" fontId="64" fillId="0" borderId="0"/>
    <xf numFmtId="0" fontId="20" fillId="6" borderId="4" applyNumberFormat="0" applyAlignment="0" applyProtection="0"/>
    <xf numFmtId="0" fontId="35" fillId="49" borderId="58" applyNumberFormat="0" applyAlignment="0" applyProtection="0"/>
    <xf numFmtId="0" fontId="94" fillId="0" borderId="6" applyNumberFormat="0" applyFill="0" applyAlignment="0" applyProtection="0"/>
    <xf numFmtId="0" fontId="21" fillId="0" borderId="6" applyNumberFormat="0" applyFill="0" applyAlignment="0" applyProtection="0"/>
    <xf numFmtId="187" fontId="83" fillId="0" borderId="0" applyFont="0" applyFill="0" applyBorder="0" applyAlignment="0" applyProtection="0"/>
    <xf numFmtId="188" fontId="95" fillId="0" borderId="0" applyFont="0" applyFill="0" applyBorder="0" applyAlignment="0" applyProtection="0"/>
    <xf numFmtId="164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164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89" fontId="83" fillId="0" borderId="0" applyFont="0" applyFill="0" applyBorder="0" applyAlignment="0" applyProtection="0"/>
    <xf numFmtId="190" fontId="61" fillId="0" borderId="0" applyFont="0" applyFill="0" applyBorder="0" applyAlignment="0" applyProtection="0"/>
    <xf numFmtId="191" fontId="61" fillId="0" borderId="0" applyFont="0" applyFill="0" applyBorder="0" applyAlignment="0" applyProtection="0"/>
    <xf numFmtId="166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92" fontId="62" fillId="0" borderId="0"/>
    <xf numFmtId="0" fontId="83" fillId="0" borderId="0"/>
    <xf numFmtId="0" fontId="17" fillId="4" borderId="0" applyNumberFormat="0" applyBorder="0" applyAlignment="0" applyProtection="0"/>
    <xf numFmtId="0" fontId="96" fillId="4" borderId="0" applyNumberFormat="0" applyBorder="0" applyAlignment="0" applyProtection="0"/>
    <xf numFmtId="0" fontId="30" fillId="0" borderId="0"/>
    <xf numFmtId="0" fontId="3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61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50" fillId="0" borderId="0"/>
    <xf numFmtId="0" fontId="97" fillId="0" borderId="0"/>
    <xf numFmtId="0" fontId="30" fillId="0" borderId="0"/>
    <xf numFmtId="0" fontId="30" fillId="0" borderId="0" applyFont="0"/>
    <xf numFmtId="0" fontId="10" fillId="0" borderId="0"/>
    <xf numFmtId="0" fontId="97" fillId="0" borderId="0"/>
    <xf numFmtId="0" fontId="30" fillId="0" borderId="0"/>
    <xf numFmtId="0" fontId="97" fillId="0" borderId="0"/>
    <xf numFmtId="0" fontId="10" fillId="0" borderId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/>
    <xf numFmtId="0" fontId="30" fillId="0" borderId="0" applyFont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30" fillId="0" borderId="0"/>
    <xf numFmtId="0" fontId="98" fillId="0" borderId="0"/>
    <xf numFmtId="0" fontId="98" fillId="0" borderId="0"/>
    <xf numFmtId="193" fontId="99" fillId="0" borderId="0"/>
    <xf numFmtId="0" fontId="61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 applyFont="0"/>
    <xf numFmtId="0" fontId="31" fillId="0" borderId="0"/>
    <xf numFmtId="0" fontId="30" fillId="0" borderId="0"/>
    <xf numFmtId="0" fontId="30" fillId="0" borderId="0"/>
    <xf numFmtId="0" fontId="31" fillId="0" borderId="0"/>
    <xf numFmtId="0" fontId="30" fillId="0" borderId="0" applyFont="0"/>
    <xf numFmtId="0" fontId="6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51" fillId="0" borderId="56" applyNumberFormat="0" applyFill="0" applyAlignment="0" applyProtection="0"/>
    <xf numFmtId="179" fontId="51" fillId="0" borderId="0"/>
    <xf numFmtId="0" fontId="95" fillId="0" borderId="0"/>
    <xf numFmtId="0" fontId="61" fillId="0" borderId="0"/>
    <xf numFmtId="0" fontId="61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0" fillId="8" borderId="8" applyNumberFormat="0" applyFont="0" applyAlignment="0" applyProtection="0"/>
    <xf numFmtId="0" fontId="100" fillId="0" borderId="24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01" fillId="6" borderId="5" applyNumberFormat="0" applyAlignment="0" applyProtection="0"/>
    <xf numFmtId="10" fontId="3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5" fontId="51" fillId="0" borderId="0" applyFont="0" applyFill="0" applyBorder="0" applyAlignment="0" applyProtection="0"/>
    <xf numFmtId="196" fontId="51" fillId="0" borderId="0" applyFont="0" applyFill="0" applyBorder="0" applyAlignment="0" applyProtection="0"/>
    <xf numFmtId="2" fontId="83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7" fontId="61" fillId="0" borderId="0" applyFill="0" applyBorder="0" applyAlignment="0"/>
    <xf numFmtId="197" fontId="61" fillId="0" borderId="0" applyFill="0" applyBorder="0" applyAlignment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30" fillId="0" borderId="59">
      <protection locked="0"/>
    </xf>
    <xf numFmtId="0" fontId="24" fillId="0" borderId="0" applyNumberFormat="0" applyFill="0" applyBorder="0" applyAlignment="0" applyProtection="0"/>
    <xf numFmtId="198" fontId="102" fillId="0" borderId="0"/>
    <xf numFmtId="0" fontId="25" fillId="0" borderId="9" applyNumberFormat="0" applyFill="0" applyAlignment="0" applyProtection="0"/>
    <xf numFmtId="0" fontId="59" fillId="0" borderId="60" applyNumberFormat="0" applyFill="0" applyAlignment="0" applyProtection="0"/>
    <xf numFmtId="0" fontId="18" fillId="5" borderId="4" applyNumberFormat="0" applyAlignment="0" applyProtection="0"/>
    <xf numFmtId="0" fontId="46" fillId="40" borderId="58" applyNumberFormat="0" applyAlignment="0" applyProtection="0"/>
    <xf numFmtId="0" fontId="22" fillId="7" borderId="7" applyNumberFormat="0" applyAlignment="0" applyProtection="0"/>
    <xf numFmtId="0" fontId="30" fillId="0" borderId="0" applyNumberFormat="0"/>
    <xf numFmtId="0" fontId="71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25" fillId="0" borderId="9" applyNumberFormat="0" applyFill="0" applyAlignment="0" applyProtection="0"/>
    <xf numFmtId="0" fontId="19" fillId="6" borderId="5" applyNumberFormat="0" applyAlignment="0" applyProtection="0"/>
    <xf numFmtId="0" fontId="52" fillId="49" borderId="61" applyNumberFormat="0" applyAlignment="0" applyProtection="0"/>
    <xf numFmtId="0" fontId="97" fillId="0" borderId="0"/>
    <xf numFmtId="199" fontId="30" fillId="0" borderId="0">
      <alignment horizontal="center"/>
    </xf>
    <xf numFmtId="200" fontId="64" fillId="0" borderId="0"/>
    <xf numFmtId="201" fontId="30" fillId="0" borderId="62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167" fontId="1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5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104" fillId="0" borderId="0" applyNumberFormat="0" applyFont="0" applyFill="0" applyBorder="0" applyAlignment="0" applyProtection="0">
      <alignment horizontal="center"/>
    </xf>
    <xf numFmtId="0" fontId="104" fillId="0" borderId="0" applyNumberFormat="0" applyFont="0" applyFill="0" applyBorder="0" applyAlignment="0" applyProtection="0">
      <alignment horizontal="center"/>
    </xf>
    <xf numFmtId="0" fontId="105" fillId="0" borderId="0" applyNumberFormat="0" applyFont="0" applyFill="0" applyBorder="0" applyAlignment="0" applyProtection="0"/>
    <xf numFmtId="0" fontId="106" fillId="0" borderId="0">
      <alignment horizontal="left" wrapText="1"/>
    </xf>
    <xf numFmtId="0" fontId="107" fillId="0" borderId="21" applyNumberFormat="0" applyFont="0" applyFill="0" applyBorder="0" applyAlignment="0" applyProtection="0">
      <alignment horizontal="center" wrapText="1"/>
    </xf>
    <xf numFmtId="203" fontId="51" fillId="0" borderId="0" applyNumberFormat="0" applyFont="0" applyFill="0" applyBorder="0" applyAlignment="0" applyProtection="0">
      <alignment horizontal="right"/>
    </xf>
    <xf numFmtId="0" fontId="107" fillId="0" borderId="0" applyNumberFormat="0" applyFont="0" applyFill="0" applyBorder="0" applyAlignment="0" applyProtection="0">
      <alignment horizontal="left" indent="1"/>
    </xf>
    <xf numFmtId="204" fontId="107" fillId="0" borderId="0" applyNumberFormat="0" applyFont="0" applyFill="0" applyBorder="0" applyAlignment="0" applyProtection="0"/>
    <xf numFmtId="0" fontId="105" fillId="0" borderId="32" applyNumberFormat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 wrapText="1" indent="1"/>
    </xf>
    <xf numFmtId="0" fontId="107" fillId="0" borderId="0" applyNumberFormat="0" applyFont="0" applyFill="0" applyBorder="0" applyAlignment="0" applyProtection="0">
      <alignment horizontal="left" indent="1"/>
    </xf>
    <xf numFmtId="0" fontId="61" fillId="0" borderId="0" applyNumberFormat="0" applyFont="0" applyFill="0" applyBorder="0" applyAlignment="0" applyProtection="0">
      <alignment horizontal="left" wrapText="1" indent="2"/>
    </xf>
    <xf numFmtId="205" fontId="61" fillId="0" borderId="0">
      <alignment horizontal="right"/>
    </xf>
    <xf numFmtId="206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Protection="0"/>
    <xf numFmtId="166" fontId="61" fillId="0" borderId="0" applyFont="0" applyFill="0" applyBorder="0" applyAlignment="0" applyProtection="0"/>
    <xf numFmtId="167" fontId="61" fillId="0" borderId="0" applyFont="0" applyFill="0" applyBorder="0" applyAlignment="0" applyProtection="0"/>
    <xf numFmtId="0" fontId="111" fillId="0" borderId="0" applyProtection="0"/>
    <xf numFmtId="0" fontId="112" fillId="0" borderId="0" applyProtection="0"/>
    <xf numFmtId="0" fontId="110" fillId="0" borderId="63" applyProtection="0"/>
    <xf numFmtId="0" fontId="47" fillId="0" borderId="0"/>
    <xf numFmtId="10" fontId="110" fillId="0" borderId="0" applyProtection="0"/>
    <xf numFmtId="0" fontId="110" fillId="0" borderId="0"/>
    <xf numFmtId="2" fontId="110" fillId="0" borderId="0" applyProtection="0"/>
    <xf numFmtId="164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0" fontId="51" fillId="0" borderId="56" applyNumberFormat="0" applyFill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30" fillId="0" borderId="59">
      <protection locked="0"/>
    </xf>
    <xf numFmtId="0" fontId="30" fillId="0" borderId="59">
      <protection locked="0"/>
    </xf>
    <xf numFmtId="0" fontId="30" fillId="0" borderId="59">
      <protection locked="0"/>
    </xf>
    <xf numFmtId="0" fontId="54" fillId="0" borderId="59">
      <protection locked="0"/>
    </xf>
    <xf numFmtId="0" fontId="54" fillId="0" borderId="59">
      <protection locked="0"/>
    </xf>
    <xf numFmtId="0" fontId="54" fillId="0" borderId="59">
      <protection locked="0"/>
    </xf>
    <xf numFmtId="0" fontId="30" fillId="0" borderId="59">
      <protection locked="0"/>
    </xf>
    <xf numFmtId="0" fontId="55" fillId="0" borderId="59" applyNumberFormat="0">
      <alignment horizontal="left" vertical="top" wrapText="1" shrinkToFit="1"/>
      <protection locked="0"/>
    </xf>
    <xf numFmtId="0" fontId="55" fillId="0" borderId="59" applyNumberFormat="0">
      <alignment horizontal="left" vertical="top" wrapText="1" shrinkToFit="1"/>
      <protection locked="0"/>
    </xf>
    <xf numFmtId="0" fontId="55" fillId="0" borderId="59" applyNumberFormat="0">
      <alignment horizontal="left" vertical="top" wrapText="1" shrinkToFit="1"/>
      <protection locked="0"/>
    </xf>
    <xf numFmtId="0" fontId="54" fillId="0" borderId="59"/>
    <xf numFmtId="0" fontId="54" fillId="0" borderId="59"/>
    <xf numFmtId="0" fontId="54" fillId="0" borderId="59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9" fillId="6" borderId="5" applyNumberFormat="0" applyAlignment="0" applyProtection="0"/>
    <xf numFmtId="0" fontId="37" fillId="0" borderId="0" applyNumberFormat="0" applyFill="0" applyBorder="0" applyAlignment="0" applyProtection="0"/>
    <xf numFmtId="0" fontId="9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9" fillId="0" borderId="0"/>
    <xf numFmtId="0" fontId="8" fillId="0" borderId="0"/>
    <xf numFmtId="0" fontId="7" fillId="0" borderId="0"/>
    <xf numFmtId="0" fontId="35" fillId="49" borderId="58" applyNumberFormat="0" applyAlignment="0" applyProtection="0"/>
    <xf numFmtId="0" fontId="35" fillId="49" borderId="65" applyNumberFormat="0" applyAlignment="0" applyProtection="0"/>
    <xf numFmtId="0" fontId="37" fillId="8" borderId="8" applyNumberFormat="0" applyFont="0" applyAlignment="0" applyProtection="0"/>
    <xf numFmtId="0" fontId="20" fillId="6" borderId="4" applyNumberFormat="0" applyAlignment="0" applyProtection="0"/>
    <xf numFmtId="0" fontId="71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31" fillId="31" borderId="0" applyNumberFormat="0" applyBorder="0" applyAlignment="0" applyProtection="0"/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31" fillId="22" borderId="0" applyNumberFormat="0" applyBorder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35" fillId="49" borderId="58" applyNumberFormat="0" applyAlignment="0" applyProtection="0"/>
    <xf numFmtId="0" fontId="20" fillId="6" borderId="4" applyNumberFormat="0" applyAlignment="0" applyProtection="0"/>
    <xf numFmtId="0" fontId="54" fillId="0" borderId="64"/>
    <xf numFmtId="0" fontId="54" fillId="0" borderId="64">
      <protection locked="0"/>
    </xf>
    <xf numFmtId="0" fontId="31" fillId="11" borderId="0" applyNumberFormat="0" applyBorder="0" applyAlignment="0" applyProtection="0"/>
    <xf numFmtId="0" fontId="31" fillId="0" borderId="0"/>
    <xf numFmtId="0" fontId="31" fillId="30" borderId="0" applyNumberFormat="0" applyBorder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71" fillId="0" borderId="0" applyNumberFormat="0" applyFill="0" applyBorder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1" fillId="26" borderId="0" applyNumberFormat="0" applyBorder="0" applyAlignment="0" applyProtection="0"/>
    <xf numFmtId="0" fontId="10" fillId="0" borderId="0"/>
    <xf numFmtId="0" fontId="31" fillId="0" borderId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8" fillId="5" borderId="4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1" fillId="27" borderId="0" applyNumberFormat="0" applyBorder="0" applyAlignment="0" applyProtection="0"/>
    <xf numFmtId="0" fontId="31" fillId="8" borderId="8" applyNumberFormat="0" applyFont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2" fillId="49" borderId="66" applyNumberFormat="0" applyAlignment="0" applyProtection="0"/>
    <xf numFmtId="0" fontId="48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10" fillId="10" borderId="0" applyNumberFormat="0" applyBorder="0" applyAlignment="0" applyProtection="0"/>
    <xf numFmtId="0" fontId="32" fillId="35" borderId="0" applyNumberFormat="0" applyBorder="0" applyAlignment="0" applyProtection="0"/>
    <xf numFmtId="0" fontId="10" fillId="14" borderId="0" applyNumberFormat="0" applyBorder="0" applyAlignment="0" applyProtection="0"/>
    <xf numFmtId="0" fontId="32" fillId="36" borderId="0" applyNumberFormat="0" applyBorder="0" applyAlignment="0" applyProtection="0"/>
    <xf numFmtId="0" fontId="10" fillId="18" borderId="0" applyNumberFormat="0" applyBorder="0" applyAlignment="0" applyProtection="0"/>
    <xf numFmtId="0" fontId="32" fillId="37" borderId="0" applyNumberFormat="0" applyBorder="0" applyAlignment="0" applyProtection="0"/>
    <xf numFmtId="0" fontId="10" fillId="22" borderId="0" applyNumberFormat="0" applyBorder="0" applyAlignment="0" applyProtection="0"/>
    <xf numFmtId="0" fontId="32" fillId="38" borderId="0" applyNumberFormat="0" applyBorder="0" applyAlignment="0" applyProtection="0"/>
    <xf numFmtId="0" fontId="10" fillId="26" borderId="0" applyNumberFormat="0" applyBorder="0" applyAlignment="0" applyProtection="0"/>
    <xf numFmtId="0" fontId="32" fillId="39" borderId="0" applyNumberFormat="0" applyBorder="0" applyAlignment="0" applyProtection="0"/>
    <xf numFmtId="0" fontId="10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10" fillId="11" borderId="0" applyNumberFormat="0" applyBorder="0" applyAlignment="0" applyProtection="0"/>
    <xf numFmtId="0" fontId="32" fillId="39" borderId="0" applyNumberFormat="0" applyBorder="0" applyAlignment="0" applyProtection="0"/>
    <xf numFmtId="0" fontId="10" fillId="15" borderId="0" applyNumberFormat="0" applyBorder="0" applyAlignment="0" applyProtection="0"/>
    <xf numFmtId="0" fontId="32" fillId="36" borderId="0" applyNumberFormat="0" applyBorder="0" applyAlignment="0" applyProtection="0"/>
    <xf numFmtId="0" fontId="10" fillId="19" borderId="0" applyNumberFormat="0" applyBorder="0" applyAlignment="0" applyProtection="0"/>
    <xf numFmtId="0" fontId="32" fillId="40" borderId="0" applyNumberFormat="0" applyBorder="0" applyAlignment="0" applyProtection="0"/>
    <xf numFmtId="0" fontId="10" fillId="23" borderId="0" applyNumberFormat="0" applyBorder="0" applyAlignment="0" applyProtection="0"/>
    <xf numFmtId="0" fontId="32" fillId="41" borderId="0" applyNumberFormat="0" applyBorder="0" applyAlignment="0" applyProtection="0"/>
    <xf numFmtId="0" fontId="10" fillId="27" borderId="0" applyNumberFormat="0" applyBorder="0" applyAlignment="0" applyProtection="0"/>
    <xf numFmtId="0" fontId="32" fillId="39" borderId="0" applyNumberFormat="0" applyBorder="0" applyAlignment="0" applyProtection="0"/>
    <xf numFmtId="0" fontId="10" fillId="31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26" fillId="12" borderId="0" applyNumberFormat="0" applyBorder="0" applyAlignment="0" applyProtection="0"/>
    <xf numFmtId="0" fontId="33" fillId="39" borderId="0" applyNumberFormat="0" applyBorder="0" applyAlignment="0" applyProtection="0"/>
    <xf numFmtId="0" fontId="26" fillId="16" borderId="0" applyNumberFormat="0" applyBorder="0" applyAlignment="0" applyProtection="0"/>
    <xf numFmtId="0" fontId="33" fillId="42" borderId="0" applyNumberFormat="0" applyBorder="0" applyAlignment="0" applyProtection="0"/>
    <xf numFmtId="0" fontId="26" fillId="20" borderId="0" applyNumberFormat="0" applyBorder="0" applyAlignment="0" applyProtection="0"/>
    <xf numFmtId="0" fontId="33" fillId="43" borderId="0" applyNumberFormat="0" applyBorder="0" applyAlignment="0" applyProtection="0"/>
    <xf numFmtId="0" fontId="26" fillId="24" borderId="0" applyNumberFormat="0" applyBorder="0" applyAlignment="0" applyProtection="0"/>
    <xf numFmtId="0" fontId="33" fillId="41" borderId="0" applyNumberFormat="0" applyBorder="0" applyAlignment="0" applyProtection="0"/>
    <xf numFmtId="0" fontId="26" fillId="28" borderId="0" applyNumberFormat="0" applyBorder="0" applyAlignment="0" applyProtection="0"/>
    <xf numFmtId="0" fontId="33" fillId="39" borderId="0" applyNumberFormat="0" applyBorder="0" applyAlignment="0" applyProtection="0"/>
    <xf numFmtId="0" fontId="26" fillId="32" borderId="0" applyNumberFormat="0" applyBorder="0" applyAlignment="0" applyProtection="0"/>
    <xf numFmtId="0" fontId="33" fillId="36" borderId="0" applyNumberFormat="0" applyBorder="0" applyAlignment="0" applyProtection="0"/>
    <xf numFmtId="0" fontId="26" fillId="9" borderId="0" applyNumberFormat="0" applyBorder="0" applyAlignment="0" applyProtection="0"/>
    <xf numFmtId="0" fontId="33" fillId="44" borderId="0" applyNumberFormat="0" applyBorder="0" applyAlignment="0" applyProtection="0"/>
    <xf numFmtId="0" fontId="26" fillId="13" borderId="0" applyNumberFormat="0" applyBorder="0" applyAlignment="0" applyProtection="0"/>
    <xf numFmtId="0" fontId="33" fillId="42" borderId="0" applyNumberFormat="0" applyBorder="0" applyAlignment="0" applyProtection="0"/>
    <xf numFmtId="0" fontId="26" fillId="17" borderId="0" applyNumberFormat="0" applyBorder="0" applyAlignment="0" applyProtection="0"/>
    <xf numFmtId="0" fontId="33" fillId="43" borderId="0" applyNumberFormat="0" applyBorder="0" applyAlignment="0" applyProtection="0"/>
    <xf numFmtId="0" fontId="26" fillId="21" borderId="0" applyNumberFormat="0" applyBorder="0" applyAlignment="0" applyProtection="0"/>
    <xf numFmtId="0" fontId="33" fillId="45" borderId="0" applyNumberFormat="0" applyBorder="0" applyAlignment="0" applyProtection="0"/>
    <xf numFmtId="0" fontId="26" fillId="25" borderId="0" applyNumberFormat="0" applyBorder="0" applyAlignment="0" applyProtection="0"/>
    <xf numFmtId="0" fontId="33" fillId="46" borderId="0" applyNumberFormat="0" applyBorder="0" applyAlignment="0" applyProtection="0"/>
    <xf numFmtId="0" fontId="26" fillId="29" borderId="0" applyNumberFormat="0" applyBorder="0" applyAlignment="0" applyProtection="0"/>
    <xf numFmtId="0" fontId="33" fillId="47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16" fillId="3" borderId="0" applyNumberFormat="0" applyBorder="0" applyAlignment="0" applyProtection="0"/>
    <xf numFmtId="0" fontId="34" fillId="48" borderId="0" applyNumberFormat="0" applyBorder="0" applyAlignment="0" applyProtection="0"/>
    <xf numFmtId="0" fontId="20" fillId="6" borderId="4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22" fillId="7" borderId="7" applyNumberFormat="0" applyAlignment="0" applyProtection="0"/>
    <xf numFmtId="0" fontId="36" fillId="50" borderId="11" applyNumberFormat="0" applyAlignment="0" applyProtection="0"/>
    <xf numFmtId="0" fontId="2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39" fillId="39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12" fillId="0" borderId="1" applyNumberFormat="0" applyFill="0" applyAlignment="0" applyProtection="0"/>
    <xf numFmtId="0" fontId="43" fillId="0" borderId="13" applyNumberFormat="0" applyFill="0" applyAlignment="0" applyProtection="0"/>
    <xf numFmtId="0" fontId="13" fillId="0" borderId="2" applyNumberFormat="0" applyFill="0" applyAlignment="0" applyProtection="0"/>
    <xf numFmtId="0" fontId="44" fillId="0" borderId="14" applyNumberFormat="0" applyFill="0" applyAlignment="0" applyProtection="0"/>
    <xf numFmtId="0" fontId="14" fillId="0" borderId="3" applyNumberFormat="0" applyFill="0" applyAlignment="0" applyProtection="0"/>
    <xf numFmtId="0" fontId="45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39" fillId="39" borderId="0" applyNumberFormat="0" applyBorder="0" applyAlignment="0" applyProtection="0"/>
    <xf numFmtId="0" fontId="18" fillId="5" borderId="4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21" fillId="0" borderId="6" applyNumberFormat="0" applyFill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49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25" fillId="0" borderId="9" applyNumberFormat="0" applyFill="0" applyAlignment="0" applyProtection="0"/>
    <xf numFmtId="0" fontId="10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0" fillId="0" borderId="0" applyFont="0" applyFill="0" applyBorder="0" applyAlignment="0" applyProtection="0"/>
    <xf numFmtId="0" fontId="54" fillId="0" borderId="64"/>
    <xf numFmtId="0" fontId="54" fillId="0" borderId="64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71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2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46" fillId="40" borderId="65" applyNumberFormat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33" fillId="58" borderId="0" applyNumberFormat="0" applyBorder="0" applyAlignment="0" applyProtection="0"/>
    <xf numFmtId="0" fontId="33" fillId="36" borderId="0" applyNumberFormat="0" applyBorder="0" applyAlignment="0" applyProtection="0"/>
    <xf numFmtId="0" fontId="33" fillId="57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60" borderId="0" applyNumberFormat="0" applyBorder="0" applyAlignment="0" applyProtection="0"/>
    <xf numFmtId="0" fontId="33" fillId="58" borderId="0" applyNumberFormat="0" applyBorder="0" applyAlignment="0" applyProtection="0"/>
    <xf numFmtId="0" fontId="75" fillId="58" borderId="0" applyNumberFormat="0" applyBorder="0" applyAlignment="0" applyProtection="0"/>
    <xf numFmtId="0" fontId="33" fillId="36" borderId="0" applyNumberFormat="0" applyBorder="0" applyAlignment="0" applyProtection="0"/>
    <xf numFmtId="0" fontId="75" fillId="36" borderId="0" applyNumberFormat="0" applyBorder="0" applyAlignment="0" applyProtection="0"/>
    <xf numFmtId="0" fontId="33" fillId="57" borderId="0" applyNumberFormat="0" applyBorder="0" applyAlignment="0" applyProtection="0"/>
    <xf numFmtId="0" fontId="75" fillId="57" borderId="0" applyNumberFormat="0" applyBorder="0" applyAlignment="0" applyProtection="0"/>
    <xf numFmtId="0" fontId="33" fillId="59" borderId="0" applyNumberFormat="0" applyBorder="0" applyAlignment="0" applyProtection="0"/>
    <xf numFmtId="0" fontId="75" fillId="59" borderId="0" applyNumberFormat="0" applyBorder="0" applyAlignment="0" applyProtection="0"/>
    <xf numFmtId="0" fontId="33" fillId="46" borderId="0" applyNumberFormat="0" applyBorder="0" applyAlignment="0" applyProtection="0"/>
    <xf numFmtId="0" fontId="75" fillId="46" borderId="0" applyNumberFormat="0" applyBorder="0" applyAlignment="0" applyProtection="0"/>
    <xf numFmtId="0" fontId="33" fillId="60" borderId="0" applyNumberFormat="0" applyBorder="0" applyAlignment="0" applyProtection="0"/>
    <xf numFmtId="0" fontId="75" fillId="60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47" borderId="0" applyNumberFormat="0" applyBorder="0" applyAlignment="0" applyProtection="0"/>
    <xf numFmtId="0" fontId="75" fillId="47" borderId="0" applyNumberFormat="0" applyBorder="0" applyAlignment="0" applyProtection="0"/>
    <xf numFmtId="0" fontId="33" fillId="62" borderId="0" applyNumberFormat="0" applyBorder="0" applyAlignment="0" applyProtection="0"/>
    <xf numFmtId="0" fontId="75" fillId="62" borderId="0" applyNumberFormat="0" applyBorder="0" applyAlignment="0" applyProtection="0"/>
    <xf numFmtId="0" fontId="33" fillId="59" borderId="0" applyNumberFormat="0" applyBorder="0" applyAlignment="0" applyProtection="0"/>
    <xf numFmtId="0" fontId="75" fillId="59" borderId="0" applyNumberFormat="0" applyBorder="0" applyAlignment="0" applyProtection="0"/>
    <xf numFmtId="0" fontId="33" fillId="46" borderId="0" applyNumberFormat="0" applyBorder="0" applyAlignment="0" applyProtection="0"/>
    <xf numFmtId="0" fontId="75" fillId="46" borderId="0" applyNumberFormat="0" applyBorder="0" applyAlignment="0" applyProtection="0"/>
    <xf numFmtId="0" fontId="33" fillId="42" borderId="0" applyNumberFormat="0" applyBorder="0" applyAlignment="0" applyProtection="0"/>
    <xf numFmtId="0" fontId="75" fillId="42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61" borderId="0" applyNumberFormat="0" applyBorder="0" applyAlignment="0" applyProtection="0"/>
    <xf numFmtId="0" fontId="33" fillId="47" borderId="0" applyNumberFormat="0" applyBorder="0" applyAlignment="0" applyProtection="0"/>
    <xf numFmtId="0" fontId="33" fillId="62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42" borderId="0" applyNumberFormat="0" applyBorder="0" applyAlignment="0" applyProtection="0"/>
    <xf numFmtId="0" fontId="34" fillId="41" borderId="0" applyNumberFormat="0" applyBorder="0" applyAlignment="0" applyProtection="0"/>
    <xf numFmtId="0" fontId="113" fillId="41" borderId="0" applyNumberFormat="0" applyBorder="0" applyAlignment="0" applyProtection="0"/>
    <xf numFmtId="0" fontId="114" fillId="63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6" fillId="50" borderId="11" applyNumberFormat="0" applyAlignment="0" applyProtection="0"/>
    <xf numFmtId="0" fontId="116" fillId="50" borderId="11" applyNumberFormat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31" fillId="0" borderId="0"/>
    <xf numFmtId="0" fontId="25" fillId="0" borderId="9" applyNumberFormat="0" applyFill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19" fillId="6" borderId="5" applyNumberFormat="0" applyAlignment="0" applyProtection="0"/>
    <xf numFmtId="0" fontId="71" fillId="0" borderId="0" applyNumberFormat="0" applyFill="0" applyBorder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31" fillId="0" borderId="0"/>
    <xf numFmtId="0" fontId="46" fillId="40" borderId="58" applyNumberFormat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9" fillId="6" borderId="5" applyNumberFormat="0" applyAlignment="0" applyProtection="0"/>
    <xf numFmtId="0" fontId="115" fillId="63" borderId="58" applyNumberForma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58" applyNumberFormat="0" applyAlignment="0" applyProtection="0"/>
    <xf numFmtId="0" fontId="19" fillId="6" borderId="5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1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7" fillId="8" borderId="8" applyNumberFormat="0" applyFon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0" fillId="0" borderId="0"/>
    <xf numFmtId="0" fontId="32" fillId="0" borderId="0"/>
    <xf numFmtId="0" fontId="32" fillId="0" borderId="0"/>
    <xf numFmtId="0" fontId="32" fillId="0" borderId="0"/>
    <xf numFmtId="0" fontId="6" fillId="0" borderId="0"/>
    <xf numFmtId="0" fontId="10" fillId="0" borderId="0"/>
    <xf numFmtId="0" fontId="48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59" fillId="0" borderId="71" applyNumberFormat="0" applyFill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2" fillId="49" borderId="66" applyNumberFormat="0" applyAlignment="0" applyProtection="0"/>
    <xf numFmtId="0" fontId="30" fillId="37" borderId="69" applyNumberFormat="0" applyFont="0" applyAlignment="0" applyProtection="0"/>
    <xf numFmtId="0" fontId="54" fillId="0" borderId="64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7" fillId="0" borderId="0" applyNumberFormat="0" applyFill="0" applyBorder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7" fillId="0" borderId="0" applyFont="0" applyFill="0" applyBorder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79" fillId="55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65" applyNumberFormat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79" fillId="39" borderId="0" applyNumberFormat="0" applyBorder="0" applyAlignment="0" applyProtection="0"/>
    <xf numFmtId="0" fontId="59" fillId="0" borderId="71" applyNumberFormat="0" applyFill="0" applyAlignment="0" applyProtection="0"/>
    <xf numFmtId="0" fontId="79" fillId="39" borderId="0" applyNumberFormat="0" applyBorder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39">
      <protection locked="0"/>
    </xf>
    <xf numFmtId="0" fontId="79" fillId="55" borderId="0" applyNumberFormat="0" applyBorder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4" fillId="0" borderId="69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39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79" fillId="48" borderId="0" applyNumberFormat="0" applyBorder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54" fillId="0" borderId="69"/>
    <xf numFmtId="0" fontId="6" fillId="0" borderId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46" fillId="40" borderId="70" applyNumberFormat="0" applyAlignment="0" applyProtection="0"/>
    <xf numFmtId="0" fontId="6" fillId="0" borderId="0"/>
    <xf numFmtId="0" fontId="30" fillId="0" borderId="69">
      <protection locked="0"/>
    </xf>
    <xf numFmtId="0" fontId="54" fillId="0" borderId="69"/>
    <xf numFmtId="0" fontId="35" fillId="49" borderId="70" applyNumberFormat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9" fontId="37" fillId="0" borderId="0" applyFont="0" applyFill="0" applyBorder="0" applyAlignment="0" applyProtection="0"/>
    <xf numFmtId="0" fontId="35" fillId="49" borderId="70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79" fillId="41" borderId="0" applyNumberFormat="0" applyBorder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59" fillId="0" borderId="71" applyNumberFormat="0" applyFill="0" applyAlignment="0" applyProtection="0"/>
    <xf numFmtId="0" fontId="79" fillId="38" borderId="0" applyNumberFormat="0" applyBorder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9" fontId="37" fillId="0" borderId="0" applyFont="0" applyFill="0" applyBorder="0" applyAlignment="0" applyProtection="0"/>
    <xf numFmtId="0" fontId="79" fillId="41" borderId="0" applyNumberFormat="0" applyBorder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36" borderId="0" applyNumberFormat="0" applyBorder="0" applyAlignment="0" applyProtection="0"/>
    <xf numFmtId="0" fontId="79" fillId="35" borderId="0" applyNumberFormat="0" applyBorder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35" borderId="0" applyNumberFormat="0" applyBorder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79" fillId="43" borderId="0" applyNumberFormat="0" applyBorder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65" applyNumberFormat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35" fillId="49" borderId="70" applyNumberFormat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35" fillId="49" borderId="70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38" borderId="0" applyNumberFormat="0" applyBorder="0" applyAlignment="0" applyProtection="0"/>
    <xf numFmtId="0" fontId="79" fillId="48" borderId="0" applyNumberFormat="0" applyBorder="0" applyAlignment="0" applyProtection="0"/>
    <xf numFmtId="0" fontId="30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79" fillId="57" borderId="0" applyNumberFormat="0" applyBorder="0" applyAlignment="0" applyProtection="0"/>
    <xf numFmtId="0" fontId="79" fillId="35" borderId="0" applyNumberFormat="0" applyBorder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54" fillId="0" borderId="3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79" fillId="35" borderId="0" applyNumberFormat="0" applyBorder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79" fillId="48" borderId="0" applyNumberFormat="0" applyBorder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32" fillId="0" borderId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2" fillId="0" borderId="0"/>
    <xf numFmtId="0" fontId="59" fillId="0" borderId="67" applyNumberFormat="0" applyFill="0" applyAlignment="0" applyProtection="0"/>
    <xf numFmtId="0" fontId="32" fillId="0" borderId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0" fontId="52" fillId="49" borderId="66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65" applyNumberFormat="0" applyAlignment="0" applyProtection="0"/>
    <xf numFmtId="0" fontId="6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79" fillId="39" borderId="0" applyNumberFormat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3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115" fillId="63" borderId="70" applyNumberFormat="0" applyAlignment="0" applyProtection="0"/>
    <xf numFmtId="0" fontId="46" fillId="40" borderId="70" applyNumberFormat="0" applyAlignment="0" applyProtection="0"/>
    <xf numFmtId="0" fontId="79" fillId="36" borderId="0" applyNumberFormat="0" applyBorder="0" applyAlignment="0" applyProtection="0"/>
    <xf numFmtId="0" fontId="30" fillId="37" borderId="69" applyNumberFormat="0" applyFont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115" fillId="63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6" fillId="0" borderId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2" fillId="49" borderId="72" applyNumberFormat="0" applyAlignment="0" applyProtection="0"/>
    <xf numFmtId="0" fontId="59" fillId="0" borderId="67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79" fillId="38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65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2" fillId="0" borderId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79" fillId="43" borderId="0" applyNumberFormat="0" applyBorder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54" fillId="0" borderId="69">
      <protection locked="0"/>
    </xf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79" fillId="35" borderId="0" applyNumberFormat="0" applyBorder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2" fillId="0" borderId="0"/>
    <xf numFmtId="0" fontId="54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0" borderId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2" fillId="0" borderId="0"/>
    <xf numFmtId="0" fontId="79" fillId="39" borderId="0" applyNumberFormat="0" applyBorder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2" fillId="0" borderId="0"/>
    <xf numFmtId="0" fontId="79" fillId="48" borderId="0" applyNumberFormat="0" applyBorder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56" borderId="0" applyNumberFormat="0" applyBorder="0" applyAlignment="0" applyProtection="0"/>
    <xf numFmtId="0" fontId="52" fillId="49" borderId="66" applyNumberFormat="0" applyAlignment="0" applyProtection="0"/>
    <xf numFmtId="0" fontId="46" fillId="40" borderId="70" applyNumberFormat="0" applyAlignment="0" applyProtection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2" fillId="0" borderId="0"/>
    <xf numFmtId="0" fontId="52" fillId="49" borderId="72" applyNumberFormat="0" applyAlignment="0" applyProtection="0"/>
    <xf numFmtId="0" fontId="79" fillId="41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32" fillId="0" borderId="0"/>
    <xf numFmtId="0" fontId="79" fillId="5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15" fillId="63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2" fillId="0" borderId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9" fontId="37" fillId="0" borderId="0" applyFon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4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37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0" borderId="0"/>
    <xf numFmtId="0" fontId="46" fillId="40" borderId="65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55" fillId="0" borderId="69" applyNumberFormat="0">
      <alignment horizontal="left" vertical="top" wrapText="1" shrinkToFit="1"/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65" applyNumberFormat="0" applyAlignment="0" applyProtection="0"/>
    <xf numFmtId="0" fontId="59" fillId="0" borderId="71" applyNumberFormat="0" applyFill="0" applyAlignment="0" applyProtection="0"/>
    <xf numFmtId="0" fontId="6" fillId="0" borderId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79" fillId="35" borderId="0" applyNumberFormat="0" applyBorder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43" borderId="0" applyNumberFormat="0" applyBorder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39">
      <protection locked="0"/>
    </xf>
    <xf numFmtId="0" fontId="37" fillId="0" borderId="0" applyNumberFormat="0" applyFill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7" fillId="0" borderId="0" applyNumberFormat="0" applyFill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3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10" fillId="0" borderId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64" applyNumberFormat="0" applyFont="0" applyAlignment="0" applyProtection="0"/>
    <xf numFmtId="0" fontId="57" fillId="0" borderId="0" applyNumberFormat="0" applyFill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2" fillId="0" borderId="55" applyBorder="0">
      <alignment horizontal="left" vertical="top"/>
    </xf>
    <xf numFmtId="0" fontId="54" fillId="0" borderId="64"/>
    <xf numFmtId="0" fontId="32" fillId="40" borderId="0" applyNumberFormat="0" applyBorder="0" applyAlignment="0" applyProtection="0"/>
    <xf numFmtId="0" fontId="52" fillId="49" borderId="66" applyNumberFormat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7" fillId="0" borderId="0" applyNumberFormat="0" applyFill="0" applyBorder="0" applyAlignment="0" applyProtection="0"/>
    <xf numFmtId="0" fontId="10" fillId="0" borderId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2" fillId="36" borderId="0" applyNumberFormat="0" applyBorder="0" applyAlignment="0" applyProtection="0"/>
    <xf numFmtId="0" fontId="32" fillId="41" borderId="0" applyNumberFormat="0" applyBorder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2" fillId="39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2" fillId="49" borderId="66" applyNumberFormat="0" applyAlignment="0" applyProtection="0"/>
    <xf numFmtId="0" fontId="32" fillId="35" borderId="0" applyNumberFormat="0" applyBorder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57" fillId="0" borderId="0" applyNumberFormat="0" applyFill="0" applyBorder="0" applyAlignment="0" applyProtection="0"/>
    <xf numFmtId="0" fontId="35" fillId="49" borderId="65" applyNumberFormat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6" borderId="0" applyNumberFormat="0" applyBorder="0" applyAlignment="0" applyProtection="0"/>
    <xf numFmtId="0" fontId="10" fillId="0" borderId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15" fillId="63" borderId="65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30" fillId="37" borderId="64" applyNumberFormat="0" applyFon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4" fillId="0" borderId="64">
      <protection locked="0"/>
    </xf>
    <xf numFmtId="0" fontId="46" fillId="40" borderId="65" applyNumberFormat="0" applyAlignment="0" applyProtection="0"/>
    <xf numFmtId="0" fontId="32" fillId="40" borderId="0" applyNumberFormat="0" applyBorder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2" fillId="41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10" fillId="0" borderId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57" fillId="0" borderId="0" applyNumberFormat="0" applyFill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2" fillId="36" borderId="0" applyNumberFormat="0" applyBorder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4" fillId="0" borderId="64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32" fillId="37" borderId="0" applyNumberFormat="0" applyBorder="0" applyAlignment="0" applyProtection="0"/>
    <xf numFmtId="0" fontId="32" fillId="40" borderId="0" applyNumberFormat="0" applyBorder="0" applyAlignment="0" applyProtection="0"/>
    <xf numFmtId="0" fontId="32" fillId="37" borderId="0" applyNumberFormat="0" applyBorder="0" applyAlignment="0" applyProtection="0"/>
    <xf numFmtId="0" fontId="32" fillId="35" borderId="0" applyNumberFormat="0" applyBorder="0" applyAlignment="0" applyProtection="0"/>
    <xf numFmtId="0" fontId="32" fillId="39" borderId="0" applyNumberFormat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2" fillId="38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2" fillId="0" borderId="55" applyBorder="0">
      <alignment horizontal="left" vertical="top"/>
    </xf>
    <xf numFmtId="0" fontId="32" fillId="35" borderId="0" applyNumberFormat="0" applyBorder="0" applyAlignment="0" applyProtection="0"/>
    <xf numFmtId="0" fontId="32" fillId="37" borderId="0" applyNumberFormat="0" applyBorder="0" applyAlignment="0" applyProtection="0"/>
    <xf numFmtId="0" fontId="54" fillId="0" borderId="64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2" fillId="38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5" fillId="0" borderId="64" applyNumberFormat="0">
      <alignment horizontal="left" vertical="top" wrapText="1" shrinkToFit="1"/>
      <protection locked="0"/>
    </xf>
    <xf numFmtId="0" fontId="32" fillId="39" borderId="0" applyNumberFormat="0" applyBorder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7" fillId="0" borderId="0" applyNumberFormat="0" applyFill="0" applyBorder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54" fillId="0" borderId="69">
      <protection locked="0"/>
    </xf>
    <xf numFmtId="0" fontId="52" fillId="49" borderId="66" applyNumberFormat="0" applyAlignment="0" applyProtection="0"/>
    <xf numFmtId="0" fontId="79" fillId="56" borderId="0" applyNumberFormat="0" applyBorder="0" applyAlignment="0" applyProtection="0"/>
    <xf numFmtId="0" fontId="30" fillId="37" borderId="39" applyNumberFormat="0" applyFon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79" fillId="57" borderId="0" applyNumberFormat="0" applyBorder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39" borderId="0" applyNumberFormat="0" applyBorder="0" applyAlignment="0" applyProtection="0"/>
    <xf numFmtId="0" fontId="30" fillId="0" borderId="69">
      <protection locked="0"/>
    </xf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2" fillId="0" borderId="73" applyBorder="0">
      <alignment horizontal="left" vertical="top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41" borderId="0" applyNumberFormat="0" applyBorder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4" fillId="0" borderId="69"/>
    <xf numFmtId="0" fontId="52" fillId="49" borderId="72" applyNumberFormat="0" applyAlignment="0" applyProtection="0"/>
    <xf numFmtId="0" fontId="54" fillId="0" borderId="69">
      <protection locked="0"/>
    </xf>
    <xf numFmtId="0" fontId="79" fillId="43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30" fillId="37" borderId="69" applyNumberFormat="0" applyFont="0" applyAlignment="0" applyProtection="0"/>
    <xf numFmtId="0" fontId="79" fillId="48" borderId="0" applyNumberFormat="0" applyBorder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3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115" fillId="63" borderId="70" applyNumberFormat="0" applyAlignment="0" applyProtection="0"/>
    <xf numFmtId="0" fontId="30" fillId="37" borderId="69" applyNumberFormat="0" applyFont="0" applyAlignment="0" applyProtection="0"/>
    <xf numFmtId="0" fontId="54" fillId="0" borderId="69"/>
    <xf numFmtId="0" fontId="59" fillId="0" borderId="71" applyNumberFormat="0" applyFill="0" applyAlignment="0" applyProtection="0"/>
    <xf numFmtId="0" fontId="30" fillId="0" borderId="69">
      <protection locked="0"/>
    </xf>
    <xf numFmtId="0" fontId="54" fillId="0" borderId="6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4" fillId="0" borderId="69"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46" fillId="40" borderId="70" applyNumberFormat="0" applyAlignment="0" applyProtection="0"/>
    <xf numFmtId="0" fontId="42" fillId="0" borderId="73" applyBorder="0">
      <alignment horizontal="left" vertical="top"/>
    </xf>
    <xf numFmtId="0" fontId="30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79" fillId="48" borderId="0" applyNumberFormat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66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0" borderId="64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4"/>
    <xf numFmtId="0" fontId="52" fillId="49" borderId="72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70" applyNumberFormat="0" applyAlignment="0" applyProtection="0"/>
    <xf numFmtId="9" fontId="37" fillId="0" borderId="0" applyFont="0" applyFill="0" applyBorder="0" applyAlignment="0" applyProtection="0"/>
    <xf numFmtId="0" fontId="54" fillId="0" borderId="64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10" fillId="0" borderId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30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2" fillId="39" borderId="0" applyNumberFormat="0" applyBorder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9" fontId="10" fillId="0" borderId="0" applyFont="0" applyFill="0" applyBorder="0" applyAlignment="0" applyProtection="0"/>
    <xf numFmtId="0" fontId="10" fillId="0" borderId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41" borderId="0" applyNumberFormat="0" applyBorder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4" fillId="0" borderId="39"/>
    <xf numFmtId="0" fontId="46" fillId="40" borderId="65" applyNumberForma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32" fillId="39" borderId="0" applyNumberFormat="0" applyBorder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59" fillId="0" borderId="67" applyNumberFormat="0" applyFill="0" applyAlignment="0" applyProtection="0"/>
    <xf numFmtId="0" fontId="32" fillId="40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9" fontId="37" fillId="0" borderId="0" applyFon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0" borderId="0"/>
    <xf numFmtId="0" fontId="30" fillId="0" borderId="0"/>
    <xf numFmtId="0" fontId="67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/>
    <xf numFmtId="0" fontId="31" fillId="0" borderId="0"/>
    <xf numFmtId="0" fontId="31" fillId="0" borderId="0"/>
    <xf numFmtId="0" fontId="31" fillId="0" borderId="0"/>
    <xf numFmtId="0" fontId="54" fillId="0" borderId="64">
      <protection locked="0"/>
    </xf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30" fillId="0" borderId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72" fillId="12" borderId="0" applyNumberFormat="0" applyBorder="0" applyAlignment="0" applyProtection="0"/>
    <xf numFmtId="0" fontId="72" fillId="16" borderId="0" applyNumberFormat="0" applyBorder="0" applyAlignment="0" applyProtection="0"/>
    <xf numFmtId="0" fontId="72" fillId="20" borderId="0" applyNumberFormat="0" applyBorder="0" applyAlignment="0" applyProtection="0"/>
    <xf numFmtId="0" fontId="72" fillId="24" borderId="0" applyNumberFormat="0" applyBorder="0" applyAlignment="0" applyProtection="0"/>
    <xf numFmtId="0" fontId="72" fillId="28" borderId="0" applyNumberFormat="0" applyBorder="0" applyAlignment="0" applyProtection="0"/>
    <xf numFmtId="0" fontId="72" fillId="32" borderId="0" applyNumberFormat="0" applyBorder="0" applyAlignment="0" applyProtection="0"/>
    <xf numFmtId="0" fontId="72" fillId="9" borderId="0" applyNumberFormat="0" applyBorder="0" applyAlignment="0" applyProtection="0"/>
    <xf numFmtId="0" fontId="72" fillId="13" borderId="0" applyNumberFormat="0" applyBorder="0" applyAlignment="0" applyProtection="0"/>
    <xf numFmtId="0" fontId="72" fillId="17" borderId="0" applyNumberFormat="0" applyBorder="0" applyAlignment="0" applyProtection="0"/>
    <xf numFmtId="0" fontId="72" fillId="21" borderId="0" applyNumberFormat="0" applyBorder="0" applyAlignment="0" applyProtection="0"/>
    <xf numFmtId="0" fontId="72" fillId="25" borderId="0" applyNumberFormat="0" applyBorder="0" applyAlignment="0" applyProtection="0"/>
    <xf numFmtId="0" fontId="72" fillId="29" borderId="0" applyNumberFormat="0" applyBorder="0" applyAlignment="0" applyProtection="0"/>
    <xf numFmtId="0" fontId="72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54" fillId="0" borderId="64"/>
    <xf numFmtId="0" fontId="26" fillId="29" borderId="0" applyNumberFormat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81" fillId="3" borderId="0" applyNumberFormat="0" applyBorder="0" applyAlignment="0" applyProtection="0"/>
    <xf numFmtId="0" fontId="82" fillId="6" borderId="4" applyNumberFormat="0" applyAlignment="0" applyProtection="0"/>
    <xf numFmtId="0" fontId="84" fillId="7" borderId="7" applyNumberFormat="0" applyAlignment="0" applyProtection="0"/>
    <xf numFmtId="0" fontId="25" fillId="0" borderId="9" applyNumberFormat="0" applyFill="0" applyAlignment="0" applyProtection="0"/>
    <xf numFmtId="165" fontId="3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18" fillId="5" borderId="4" applyNumberFormat="0" applyAlignment="0" applyProtection="0"/>
    <xf numFmtId="167" fontId="30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7" fillId="2" borderId="0" applyNumberFormat="0" applyBorder="0" applyAlignment="0" applyProtection="0"/>
    <xf numFmtId="38" fontId="42" fillId="51" borderId="0" applyNumberFormat="0" applyBorder="0" applyAlignment="0" applyProtection="0"/>
    <xf numFmtId="0" fontId="65" fillId="0" borderId="0"/>
    <xf numFmtId="0" fontId="40" fillId="0" borderId="0"/>
    <xf numFmtId="0" fontId="88" fillId="0" borderId="1" applyNumberFormat="0" applyFill="0" applyAlignment="0" applyProtection="0"/>
    <xf numFmtId="0" fontId="12" fillId="0" borderId="1" applyNumberFormat="0" applyFill="0" applyAlignment="0" applyProtection="0"/>
    <xf numFmtId="0" fontId="89" fillId="0" borderId="2" applyNumberFormat="0" applyFill="0" applyAlignment="0" applyProtection="0"/>
    <xf numFmtId="0" fontId="13" fillId="0" borderId="2" applyNumberFormat="0" applyFill="0" applyAlignment="0" applyProtection="0"/>
    <xf numFmtId="0" fontId="40" fillId="53" borderId="0" applyNumberFormat="0" applyFont="0" applyFill="0" applyAlignment="0" applyProtection="0"/>
    <xf numFmtId="0" fontId="90" fillId="0" borderId="3" applyNumberFormat="0" applyFill="0" applyAlignment="0" applyProtection="0"/>
    <xf numFmtId="0" fontId="90" fillId="0" borderId="0" applyNumberFormat="0" applyFill="0" applyBorder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9" fillId="6" borderId="5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5" fillId="2" borderId="0" applyNumberFormat="0" applyBorder="0" applyAlignment="0" applyProtection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69" fontId="51" fillId="0" borderId="0" applyFont="0" applyFill="0" applyBorder="0" applyAlignment="0" applyProtection="0"/>
    <xf numFmtId="185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3" fontId="51" fillId="0" borderId="0" applyFont="0" applyFill="0" applyBorder="0" applyAlignment="0" applyProtection="0"/>
    <xf numFmtId="10" fontId="42" fillId="54" borderId="56" applyNumberFormat="0" applyBorder="0" applyAlignment="0" applyProtection="0"/>
    <xf numFmtId="0" fontId="93" fillId="5" borderId="4" applyNumberFormat="0" applyAlignment="0" applyProtection="0"/>
    <xf numFmtId="186" fontId="64" fillId="0" borderId="0"/>
    <xf numFmtId="0" fontId="20" fillId="6" borderId="4" applyNumberFormat="0" applyAlignment="0" applyProtection="0"/>
    <xf numFmtId="0" fontId="35" fillId="49" borderId="65" applyNumberFormat="0" applyAlignment="0" applyProtection="0"/>
    <xf numFmtId="0" fontId="94" fillId="0" borderId="6" applyNumberFormat="0" applyFill="0" applyAlignment="0" applyProtection="0"/>
    <xf numFmtId="0" fontId="21" fillId="0" borderId="6" applyNumberFormat="0" applyFill="0" applyAlignment="0" applyProtection="0"/>
    <xf numFmtId="187" fontId="83" fillId="0" borderId="0" applyFont="0" applyFill="0" applyBorder="0" applyAlignment="0" applyProtection="0"/>
    <xf numFmtId="189" fontId="83" fillId="0" borderId="0" applyFont="0" applyFill="0" applyBorder="0" applyAlignment="0" applyProtection="0"/>
    <xf numFmtId="192" fontId="62" fillId="0" borderId="0"/>
    <xf numFmtId="0" fontId="17" fillId="4" borderId="0" applyNumberFormat="0" applyBorder="0" applyAlignment="0" applyProtection="0"/>
    <xf numFmtId="0" fontId="96" fillId="4" borderId="0" applyNumberFormat="0" applyBorder="0" applyAlignment="0" applyProtection="0"/>
    <xf numFmtId="0" fontId="30" fillId="0" borderId="0"/>
    <xf numFmtId="0" fontId="3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61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50" fillId="0" borderId="0"/>
    <xf numFmtId="0" fontId="97" fillId="0" borderId="0"/>
    <xf numFmtId="0" fontId="30" fillId="0" borderId="0"/>
    <xf numFmtId="0" fontId="30" fillId="0" borderId="0" applyFont="0"/>
    <xf numFmtId="0" fontId="10" fillId="0" borderId="0"/>
    <xf numFmtId="0" fontId="97" fillId="0" borderId="0"/>
    <xf numFmtId="0" fontId="30" fillId="0" borderId="0"/>
    <xf numFmtId="0" fontId="97" fillId="0" borderId="0"/>
    <xf numFmtId="0" fontId="10" fillId="0" borderId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/>
    <xf numFmtId="0" fontId="30" fillId="0" borderId="0" applyFont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30" fillId="0" borderId="0"/>
    <xf numFmtId="0" fontId="98" fillId="0" borderId="0"/>
    <xf numFmtId="0" fontId="98" fillId="0" borderId="0"/>
    <xf numFmtId="193" fontId="99" fillId="0" borderId="0"/>
    <xf numFmtId="0" fontId="61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 applyFont="0"/>
    <xf numFmtId="0" fontId="31" fillId="0" borderId="0"/>
    <xf numFmtId="0" fontId="30" fillId="0" borderId="0"/>
    <xf numFmtId="0" fontId="30" fillId="0" borderId="0"/>
    <xf numFmtId="0" fontId="31" fillId="0" borderId="0"/>
    <xf numFmtId="0" fontId="30" fillId="0" borderId="0" applyFont="0"/>
    <xf numFmtId="0" fontId="6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51" fillId="0" borderId="56" applyNumberFormat="0" applyFill="0" applyAlignment="0" applyProtection="0"/>
    <xf numFmtId="179" fontId="51" fillId="0" borderId="0"/>
    <xf numFmtId="0" fontId="61" fillId="0" borderId="0"/>
    <xf numFmtId="0" fontId="61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0" fillId="8" borderId="8" applyNumberFormat="0" applyFont="0" applyAlignment="0" applyProtection="0"/>
    <xf numFmtId="0" fontId="100" fillId="0" borderId="24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01" fillId="6" borderId="5" applyNumberFormat="0" applyAlignment="0" applyProtection="0"/>
    <xf numFmtId="10" fontId="3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5" fontId="51" fillId="0" borderId="0" applyFont="0" applyFill="0" applyBorder="0" applyAlignment="0" applyProtection="0"/>
    <xf numFmtId="196" fontId="51" fillId="0" borderId="0" applyFont="0" applyFill="0" applyBorder="0" applyAlignment="0" applyProtection="0"/>
    <xf numFmtId="2" fontId="83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7" fontId="61" fillId="0" borderId="0" applyFill="0" applyBorder="0" applyAlignment="0"/>
    <xf numFmtId="197" fontId="61" fillId="0" borderId="0" applyFill="0" applyBorder="0" applyAlignment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24" fillId="0" borderId="0" applyNumberFormat="0" applyFill="0" applyBorder="0" applyAlignment="0" applyProtection="0"/>
    <xf numFmtId="198" fontId="102" fillId="0" borderId="0"/>
    <xf numFmtId="0" fontId="25" fillId="0" borderId="9" applyNumberFormat="0" applyFill="0" applyAlignment="0" applyProtection="0"/>
    <xf numFmtId="0" fontId="59" fillId="0" borderId="67" applyNumberFormat="0" applyFill="0" applyAlignment="0" applyProtection="0"/>
    <xf numFmtId="0" fontId="18" fillId="5" borderId="4" applyNumberFormat="0" applyAlignment="0" applyProtection="0"/>
    <xf numFmtId="0" fontId="46" fillId="40" borderId="65" applyNumberFormat="0" applyAlignment="0" applyProtection="0"/>
    <xf numFmtId="0" fontId="22" fillId="7" borderId="7" applyNumberFormat="0" applyAlignment="0" applyProtection="0"/>
    <xf numFmtId="0" fontId="30" fillId="0" borderId="0" applyNumberFormat="0"/>
    <xf numFmtId="0" fontId="71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25" fillId="0" borderId="9" applyNumberFormat="0" applyFill="0" applyAlignment="0" applyProtection="0"/>
    <xf numFmtId="0" fontId="19" fillId="6" borderId="5" applyNumberFormat="0" applyAlignment="0" applyProtection="0"/>
    <xf numFmtId="0" fontId="52" fillId="49" borderId="66" applyNumberFormat="0" applyAlignment="0" applyProtection="0"/>
    <xf numFmtId="0" fontId="97" fillId="0" borderId="0"/>
    <xf numFmtId="199" fontId="30" fillId="0" borderId="0">
      <alignment horizontal="center"/>
    </xf>
    <xf numFmtId="200" fontId="64" fillId="0" borderId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167" fontId="1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5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104" fillId="0" borderId="0" applyNumberFormat="0" applyFont="0" applyFill="0" applyBorder="0" applyAlignment="0" applyProtection="0">
      <alignment horizontal="center"/>
    </xf>
    <xf numFmtId="0" fontId="104" fillId="0" borderId="0" applyNumberFormat="0" applyFont="0" applyFill="0" applyBorder="0" applyAlignment="0" applyProtection="0">
      <alignment horizontal="center"/>
    </xf>
    <xf numFmtId="0" fontId="105" fillId="0" borderId="0" applyNumberFormat="0" applyFont="0" applyFill="0" applyBorder="0" applyAlignment="0" applyProtection="0"/>
    <xf numFmtId="0" fontId="106" fillId="0" borderId="0">
      <alignment horizontal="left" wrapText="1"/>
    </xf>
    <xf numFmtId="0" fontId="107" fillId="0" borderId="21" applyNumberFormat="0" applyFont="0" applyFill="0" applyBorder="0" applyAlignment="0" applyProtection="0">
      <alignment horizontal="center" wrapText="1"/>
    </xf>
    <xf numFmtId="203" fontId="51" fillId="0" borderId="0" applyNumberFormat="0" applyFont="0" applyFill="0" applyBorder="0" applyAlignment="0" applyProtection="0">
      <alignment horizontal="right"/>
    </xf>
    <xf numFmtId="0" fontId="107" fillId="0" borderId="0" applyNumberFormat="0" applyFont="0" applyFill="0" applyBorder="0" applyAlignment="0" applyProtection="0">
      <alignment horizontal="left" indent="1"/>
    </xf>
    <xf numFmtId="204" fontId="107" fillId="0" borderId="0" applyNumberFormat="0" applyFont="0" applyFill="0" applyBorder="0" applyAlignment="0" applyProtection="0"/>
    <xf numFmtId="0" fontId="105" fillId="0" borderId="32" applyNumberFormat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 wrapText="1" indent="1"/>
    </xf>
    <xf numFmtId="0" fontId="107" fillId="0" borderId="0" applyNumberFormat="0" applyFont="0" applyFill="0" applyBorder="0" applyAlignment="0" applyProtection="0">
      <alignment horizontal="left" indent="1"/>
    </xf>
    <xf numFmtId="0" fontId="61" fillId="0" borderId="0" applyNumberFormat="0" applyFont="0" applyFill="0" applyBorder="0" applyAlignment="0" applyProtection="0">
      <alignment horizontal="left" wrapText="1" indent="2"/>
    </xf>
    <xf numFmtId="205" fontId="61" fillId="0" borderId="0">
      <alignment horizontal="right"/>
    </xf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Protection="0"/>
    <xf numFmtId="0" fontId="111" fillId="0" borderId="0" applyProtection="0"/>
    <xf numFmtId="0" fontId="112" fillId="0" borderId="0" applyProtection="0"/>
    <xf numFmtId="0" fontId="110" fillId="0" borderId="63" applyProtection="0"/>
    <xf numFmtId="0" fontId="110" fillId="0" borderId="0"/>
    <xf numFmtId="2" fontId="110" fillId="0" borderId="0" applyProtection="0"/>
    <xf numFmtId="0" fontId="51" fillId="0" borderId="56" applyNumberFormat="0" applyFill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0" fontId="54" fillId="0" borderId="64"/>
    <xf numFmtId="0" fontId="54" fillId="0" borderId="64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9" fillId="6" borderId="5" applyNumberFormat="0" applyAlignment="0" applyProtection="0"/>
    <xf numFmtId="0" fontId="37" fillId="0" borderId="0" applyNumberFormat="0" applyFill="0" applyBorder="0" applyAlignment="0" applyProtection="0"/>
    <xf numFmtId="0" fontId="6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6" fillId="0" borderId="0"/>
    <xf numFmtId="0" fontId="6" fillId="0" borderId="0"/>
    <xf numFmtId="0" fontId="6" fillId="0" borderId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7" fillId="8" borderId="8" applyNumberFormat="0" applyFont="0" applyAlignment="0" applyProtection="0"/>
    <xf numFmtId="0" fontId="20" fillId="6" borderId="4" applyNumberFormat="0" applyAlignment="0" applyProtection="0"/>
    <xf numFmtId="0" fontId="71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31" fillId="31" borderId="0" applyNumberFormat="0" applyBorder="0" applyAlignment="0" applyProtection="0"/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31" fillId="22" borderId="0" applyNumberFormat="0" applyBorder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20" fillId="6" borderId="4" applyNumberFormat="0" applyAlignment="0" applyProtection="0"/>
    <xf numFmtId="0" fontId="54" fillId="0" borderId="64"/>
    <xf numFmtId="0" fontId="54" fillId="0" borderId="64">
      <protection locked="0"/>
    </xf>
    <xf numFmtId="0" fontId="31" fillId="11" borderId="0" applyNumberFormat="0" applyBorder="0" applyAlignment="0" applyProtection="0"/>
    <xf numFmtId="0" fontId="31" fillId="0" borderId="0"/>
    <xf numFmtId="0" fontId="31" fillId="30" borderId="0" applyNumberFormat="0" applyBorder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71" fillId="0" borderId="0" applyNumberFormat="0" applyFill="0" applyBorder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1" fillId="26" borderId="0" applyNumberFormat="0" applyBorder="0" applyAlignment="0" applyProtection="0"/>
    <xf numFmtId="0" fontId="10" fillId="0" borderId="0"/>
    <xf numFmtId="0" fontId="31" fillId="0" borderId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8" fillId="5" borderId="4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1" fillId="27" borderId="0" applyNumberFormat="0" applyBorder="0" applyAlignment="0" applyProtection="0"/>
    <xf numFmtId="0" fontId="31" fillId="10" borderId="0" applyNumberFormat="0" applyBorder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1" fillId="22" borderId="0" applyNumberFormat="0" applyBorder="0" applyAlignment="0" applyProtection="0"/>
    <xf numFmtId="0" fontId="35" fillId="49" borderId="65" applyNumberFormat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59" fillId="0" borderId="71" applyNumberFormat="0" applyFill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0" fillId="0" borderId="69">
      <protection locked="0"/>
    </xf>
    <xf numFmtId="0" fontId="33" fillId="41" borderId="0" applyNumberFormat="0" applyBorder="0" applyAlignment="0" applyProtection="0"/>
    <xf numFmtId="0" fontId="46" fillId="40" borderId="70" applyNumberFormat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5" fillId="49" borderId="70" applyNumberFormat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52" fillId="49" borderId="72" applyNumberFormat="0" applyAlignment="0" applyProtection="0"/>
    <xf numFmtId="0" fontId="33" fillId="47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4" fillId="4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70" applyNumberFormat="0" applyAlignment="0" applyProtection="0"/>
    <xf numFmtId="0" fontId="36" fillId="50" borderId="11" applyNumberFormat="0" applyAlignment="0" applyProtection="0"/>
    <xf numFmtId="0" fontId="38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30" fillId="37" borderId="69" applyNumberFormat="0" applyFont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25" fillId="0" borderId="9" applyNumberFormat="0" applyFill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0" fillId="0" borderId="0" applyFont="0" applyFill="0" applyBorder="0" applyAlignment="0" applyProtection="0"/>
    <xf numFmtId="0" fontId="54" fillId="0" borderId="64"/>
    <xf numFmtId="0" fontId="54" fillId="0" borderId="64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7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/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54" fillId="0" borderId="39">
      <protection locked="0"/>
    </xf>
    <xf numFmtId="0" fontId="35" fillId="49" borderId="65" applyNumberFormat="0" applyAlignment="0" applyProtection="0"/>
    <xf numFmtId="0" fontId="6" fillId="0" borderId="0"/>
    <xf numFmtId="0" fontId="6" fillId="0" borderId="0"/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54" fillId="0" borderId="39">
      <protection locked="0"/>
    </xf>
    <xf numFmtId="0" fontId="54" fillId="0" borderId="39"/>
    <xf numFmtId="194" fontId="78" fillId="0" borderId="0" applyFont="0" applyFill="0" applyBorder="0" applyAlignment="0" applyProtection="0"/>
    <xf numFmtId="0" fontId="10" fillId="0" borderId="0"/>
    <xf numFmtId="0" fontId="3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30" fillId="0" borderId="0"/>
    <xf numFmtId="0" fontId="6" fillId="0" borderId="0"/>
    <xf numFmtId="0" fontId="6" fillId="0" borderId="0"/>
    <xf numFmtId="0" fontId="67" fillId="0" borderId="0" applyNumberFormat="0" applyBorder="0" applyAlignment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9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33" fillId="58" borderId="0" applyNumberFormat="0" applyBorder="0" applyAlignment="0" applyProtection="0"/>
    <xf numFmtId="0" fontId="33" fillId="36" borderId="0" applyNumberFormat="0" applyBorder="0" applyAlignment="0" applyProtection="0"/>
    <xf numFmtId="0" fontId="33" fillId="57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60" borderId="0" applyNumberFormat="0" applyBorder="0" applyAlignment="0" applyProtection="0"/>
    <xf numFmtId="0" fontId="75" fillId="58" borderId="0" applyNumberFormat="0" applyBorder="0" applyAlignment="0" applyProtection="0"/>
    <xf numFmtId="0" fontId="75" fillId="36" borderId="0" applyNumberFormat="0" applyBorder="0" applyAlignment="0" applyProtection="0"/>
    <xf numFmtId="0" fontId="75" fillId="57" borderId="0" applyNumberFormat="0" applyBorder="0" applyAlignment="0" applyProtection="0"/>
    <xf numFmtId="0" fontId="75" fillId="59" borderId="0" applyNumberFormat="0" applyBorder="0" applyAlignment="0" applyProtection="0"/>
    <xf numFmtId="0" fontId="75" fillId="46" borderId="0" applyNumberFormat="0" applyBorder="0" applyAlignment="0" applyProtection="0"/>
    <xf numFmtId="0" fontId="75" fillId="60" borderId="0" applyNumberFormat="0" applyBorder="0" applyAlignment="0" applyProtection="0"/>
    <xf numFmtId="0" fontId="75" fillId="61" borderId="0" applyNumberFormat="0" applyBorder="0" applyAlignment="0" applyProtection="0"/>
    <xf numFmtId="0" fontId="75" fillId="47" borderId="0" applyNumberFormat="0" applyBorder="0" applyAlignment="0" applyProtection="0"/>
    <xf numFmtId="0" fontId="75" fillId="62" borderId="0" applyNumberFormat="0" applyBorder="0" applyAlignment="0" applyProtection="0"/>
    <xf numFmtId="0" fontId="75" fillId="59" borderId="0" applyNumberFormat="0" applyBorder="0" applyAlignment="0" applyProtection="0"/>
    <xf numFmtId="0" fontId="75" fillId="46" borderId="0" applyNumberFormat="0" applyBorder="0" applyAlignment="0" applyProtection="0"/>
    <xf numFmtId="0" fontId="75" fillId="42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61" borderId="0" applyNumberFormat="0" applyBorder="0" applyAlignment="0" applyProtection="0"/>
    <xf numFmtId="0" fontId="33" fillId="47" borderId="0" applyNumberFormat="0" applyBorder="0" applyAlignment="0" applyProtection="0"/>
    <xf numFmtId="0" fontId="33" fillId="62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42" borderId="0" applyNumberFormat="0" applyBorder="0" applyAlignment="0" applyProtection="0"/>
    <xf numFmtId="0" fontId="113" fillId="41" borderId="0" applyNumberFormat="0" applyBorder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16" fillId="50" borderId="11" applyNumberFormat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117" fillId="0" borderId="0" applyNumberFormat="0" applyFill="0" applyBorder="0" applyAlignment="0" applyProtection="0"/>
    <xf numFmtId="0" fontId="31" fillId="0" borderId="0"/>
    <xf numFmtId="0" fontId="25" fillId="0" borderId="9" applyNumberFormat="0" applyFill="0" applyAlignment="0" applyProtection="0"/>
    <xf numFmtId="0" fontId="31" fillId="0" borderId="0"/>
    <xf numFmtId="0" fontId="54" fillId="0" borderId="39">
      <protection locked="0"/>
    </xf>
    <xf numFmtId="0" fontId="31" fillId="0" borderId="0"/>
    <xf numFmtId="0" fontId="31" fillId="0" borderId="0"/>
    <xf numFmtId="0" fontId="31" fillId="8" borderId="8" applyNumberFormat="0" applyFont="0" applyAlignment="0" applyProtection="0"/>
    <xf numFmtId="0" fontId="67" fillId="0" borderId="0" applyNumberFormat="0" applyBorder="0" applyAlignment="0"/>
    <xf numFmtId="0" fontId="31" fillId="0" borderId="0"/>
    <xf numFmtId="0" fontId="31" fillId="8" borderId="8" applyNumberFormat="0" applyFont="0" applyAlignment="0" applyProtection="0"/>
    <xf numFmtId="0" fontId="31" fillId="18" borderId="0" applyNumberFormat="0" applyBorder="0" applyAlignment="0" applyProtection="0"/>
    <xf numFmtId="0" fontId="31" fillId="8" borderId="8" applyNumberFormat="0" applyFont="0" applyAlignment="0" applyProtection="0"/>
    <xf numFmtId="0" fontId="31" fillId="27" borderId="0" applyNumberFormat="0" applyBorder="0" applyAlignment="0" applyProtection="0"/>
    <xf numFmtId="0" fontId="31" fillId="19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2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6" borderId="0" applyNumberFormat="0" applyBorder="0" applyAlignment="0" applyProtection="0"/>
    <xf numFmtId="0" fontId="32" fillId="35" borderId="0" applyNumberFormat="0" applyBorder="0" applyAlignment="0" applyProtection="0"/>
    <xf numFmtId="9" fontId="37" fillId="0" borderId="0" applyFon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42" fillId="0" borderId="68" applyBorder="0">
      <alignment horizontal="left" vertical="top"/>
    </xf>
    <xf numFmtId="0" fontId="35" fillId="49" borderId="65" applyNumberFormat="0" applyAlignment="0" applyProtection="0"/>
    <xf numFmtId="9" fontId="10" fillId="0" borderId="0" applyFont="0" applyFill="0" applyBorder="0" applyAlignment="0" applyProtection="0"/>
    <xf numFmtId="0" fontId="10" fillId="0" borderId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9" fillId="6" borderId="5" applyNumberFormat="0" applyAlignment="0" applyProtection="0"/>
    <xf numFmtId="0" fontId="71" fillId="0" borderId="0" applyNumberFormat="0" applyFill="0" applyBorder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31" fillId="0" borderId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9" fillId="6" borderId="5" applyNumberFormat="0" applyAlignment="0" applyProtection="0"/>
    <xf numFmtId="0" fontId="115" fillId="63" borderId="65" applyNumberForma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65" applyNumberFormat="0" applyAlignment="0" applyProtection="0"/>
    <xf numFmtId="0" fontId="19" fillId="6" borderId="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1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7" fillId="8" borderId="8" applyNumberFormat="0" applyFon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4" fillId="0" borderId="39"/>
    <xf numFmtId="0" fontId="35" fillId="49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6" fillId="0" borderId="0"/>
    <xf numFmtId="0" fontId="6" fillId="0" borderId="0"/>
    <xf numFmtId="0" fontId="54" fillId="0" borderId="39">
      <protection locked="0"/>
    </xf>
    <xf numFmtId="0" fontId="54" fillId="0" borderId="39">
      <protection locked="0"/>
    </xf>
    <xf numFmtId="0" fontId="54" fillId="0" borderId="39"/>
    <xf numFmtId="0" fontId="54" fillId="0" borderId="39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9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31" fillId="0" borderId="0"/>
    <xf numFmtId="0" fontId="67" fillId="0" borderId="0" applyNumberFormat="0" applyBorder="0" applyAlignment="0"/>
    <xf numFmtId="0" fontId="31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6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79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2" fillId="0" borderId="0"/>
    <xf numFmtId="0" fontId="32" fillId="0" borderId="0"/>
    <xf numFmtId="0" fontId="31" fillId="0" borderId="0"/>
    <xf numFmtId="0" fontId="31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79" fillId="55" borderId="0" applyNumberFormat="0" applyBorder="0" applyAlignment="0" applyProtection="0"/>
    <xf numFmtId="0" fontId="35" fillId="49" borderId="70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2" fillId="0" borderId="68" applyBorder="0">
      <alignment horizontal="left" vertical="top"/>
    </xf>
    <xf numFmtId="0" fontId="52" fillId="49" borderId="72" applyNumberFormat="0" applyAlignment="0" applyProtection="0"/>
    <xf numFmtId="0" fontId="54" fillId="0" borderId="69"/>
    <xf numFmtId="0" fontId="54" fillId="0" borderId="69"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115" fillId="63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4" fillId="0" borderId="69"/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/>
    <xf numFmtId="0" fontId="37" fillId="0" borderId="0" applyNumberFormat="0" applyFill="0" applyBorder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35" fillId="49" borderId="65" applyNumberFormat="0" applyAlignment="0" applyProtection="0"/>
    <xf numFmtId="0" fontId="10" fillId="0" borderId="0"/>
    <xf numFmtId="0" fontId="30" fillId="37" borderId="64" applyNumberFormat="0" applyFont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2" fillId="0" borderId="68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4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115" fillId="63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15" fillId="63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54" fillId="0" borderId="39">
      <protection locked="0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115" fillId="63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6" fillId="0" borderId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30" fillId="0" borderId="39">
      <protection locked="0"/>
    </xf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37" borderId="3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4" fillId="0" borderId="39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4" fillId="0" borderId="69"/>
    <xf numFmtId="0" fontId="30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4" fillId="0" borderId="69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54" fillId="0" borderId="69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9" fontId="37" fillId="0" borderId="0" applyFont="0" applyFill="0" applyBorder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/>
    <xf numFmtId="0" fontId="30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65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4" fillId="0" borderId="69"/>
    <xf numFmtId="0" fontId="30" fillId="37" borderId="69" applyNumberFormat="0" applyFon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4" fillId="0" borderId="39">
      <protection locked="0"/>
    </xf>
    <xf numFmtId="0" fontId="30" fillId="0" borderId="3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54" fillId="0" borderId="39"/>
    <xf numFmtId="0" fontId="54" fillId="0" borderId="3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37" fillId="0" borderId="0" applyNumberFormat="0" applyFill="0" applyBorder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115" fillId="63" borderId="70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30" fillId="37" borderId="39" applyNumberFormat="0" applyFon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9" fillId="0" borderId="71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30" fillId="37" borderId="69" applyNumberFormat="0" applyFont="0" applyAlignment="0" applyProtection="0"/>
    <xf numFmtId="0" fontId="54" fillId="0" borderId="69">
      <protection locked="0"/>
    </xf>
    <xf numFmtId="0" fontId="30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52" fillId="49" borderId="82" applyNumberForma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6" fillId="40" borderId="70" applyNumberFormat="0" applyAlignment="0" applyProtection="0"/>
    <xf numFmtId="0" fontId="42" fillId="0" borderId="74" applyBorder="0">
      <alignment horizontal="left" vertical="top"/>
    </xf>
    <xf numFmtId="0" fontId="30" fillId="37" borderId="81" applyNumberFormat="0" applyFont="0" applyAlignment="0" applyProtection="0"/>
    <xf numFmtId="0" fontId="35" fillId="49" borderId="80" applyNumberFormat="0" applyAlignment="0" applyProtection="0"/>
    <xf numFmtId="0" fontId="59" fillId="0" borderId="83" applyNumberFormat="0" applyFill="0" applyAlignment="0" applyProtection="0"/>
    <xf numFmtId="0" fontId="55" fillId="0" borderId="81" applyNumberFormat="0">
      <alignment horizontal="left" vertical="top" wrapText="1" shrinkToFit="1"/>
      <protection locked="0"/>
    </xf>
    <xf numFmtId="0" fontId="54" fillId="0" borderId="81"/>
    <xf numFmtId="0" fontId="55" fillId="0" borderId="81" applyNumberFormat="0">
      <alignment horizontal="left" vertical="top" wrapText="1" shrinkToFit="1"/>
      <protection locked="0"/>
    </xf>
    <xf numFmtId="0" fontId="54" fillId="0" borderId="81"/>
    <xf numFmtId="0" fontId="35" fillId="49" borderId="90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7" fillId="0" borderId="0" applyNumberFormat="0" applyFill="0" applyBorder="0" applyAlignment="0" applyProtection="0"/>
    <xf numFmtId="0" fontId="52" fillId="49" borderId="82" applyNumberFormat="0" applyAlignment="0" applyProtection="0"/>
    <xf numFmtId="0" fontId="59" fillId="0" borderId="83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9" fontId="37" fillId="0" borderId="0" applyFont="0" applyFill="0" applyBorder="0" applyAlignment="0" applyProtection="0"/>
    <xf numFmtId="0" fontId="54" fillId="0" borderId="77"/>
    <xf numFmtId="0" fontId="54" fillId="0" borderId="77"/>
    <xf numFmtId="0" fontId="55" fillId="0" borderId="77" applyNumberFormat="0">
      <alignment horizontal="left" vertical="top" wrapText="1" shrinkToFit="1"/>
      <protection locked="0"/>
    </xf>
    <xf numFmtId="0" fontId="55" fillId="0" borderId="77" applyNumberFormat="0">
      <alignment horizontal="left" vertical="top" wrapText="1" shrinkToFit="1"/>
      <protection locked="0"/>
    </xf>
    <xf numFmtId="0" fontId="54" fillId="0" borderId="77">
      <protection locked="0"/>
    </xf>
    <xf numFmtId="0" fontId="54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46" fillId="40" borderId="70" applyNumberFormat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0" fillId="37" borderId="91" applyNumberFormat="0" applyFont="0" applyAlignment="0" applyProtection="0"/>
    <xf numFmtId="0" fontId="37" fillId="0" borderId="0" applyNumberFormat="0" applyFill="0" applyBorder="0" applyAlignment="0" applyProtection="0"/>
    <xf numFmtId="0" fontId="30" fillId="37" borderId="91" applyNumberFormat="0" applyFont="0" applyAlignment="0" applyProtection="0"/>
    <xf numFmtId="0" fontId="30" fillId="37" borderId="91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4" fillId="0" borderId="91"/>
    <xf numFmtId="0" fontId="30" fillId="0" borderId="91">
      <protection locked="0"/>
    </xf>
    <xf numFmtId="0" fontId="30" fillId="0" borderId="91">
      <protection locked="0"/>
    </xf>
    <xf numFmtId="0" fontId="30" fillId="0" borderId="91">
      <protection locked="0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115" fillId="63" borderId="80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115" fillId="63" borderId="84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71" fillId="0" borderId="0" applyNumberFormat="0" applyFill="0" applyBorder="0" applyAlignment="0" applyProtection="0"/>
    <xf numFmtId="0" fontId="30" fillId="0" borderId="91">
      <protection locked="0"/>
    </xf>
    <xf numFmtId="0" fontId="30" fillId="37" borderId="91" applyNumberFormat="0" applyFon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55" fillId="0" borderId="91" applyNumberFormat="0">
      <alignment horizontal="left" vertical="top" wrapText="1" shrinkToFit="1"/>
      <protection locked="0"/>
    </xf>
    <xf numFmtId="0" fontId="46" fillId="40" borderId="90" applyNumberFormat="0" applyAlignment="0" applyProtection="0"/>
    <xf numFmtId="0" fontId="46" fillId="40" borderId="70" applyNumberFormat="0" applyAlignment="0" applyProtection="0"/>
    <xf numFmtId="0" fontId="30" fillId="37" borderId="81" applyNumberFormat="0" applyFont="0" applyAlignment="0" applyProtection="0"/>
    <xf numFmtId="0" fontId="52" fillId="49" borderId="92" applyNumberFormat="0" applyAlignment="0" applyProtection="0"/>
    <xf numFmtId="0" fontId="30" fillId="37" borderId="91" applyNumberFormat="0" applyFont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54" fillId="0" borderId="91">
      <protection locked="0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7" fillId="0" borderId="0" applyNumberFormat="0" applyFill="0" applyBorder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0" borderId="85">
      <protection locked="0"/>
    </xf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30" fillId="0" borderId="85">
      <protection locked="0"/>
    </xf>
    <xf numFmtId="0" fontId="30" fillId="0" borderId="85">
      <protection locked="0"/>
    </xf>
    <xf numFmtId="0" fontId="54" fillId="0" borderId="85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71" fillId="0" borderId="0" applyNumberFormat="0" applyFill="0" applyBorder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35" fillId="49" borderId="90" applyNumberFormat="0" applyAlignment="0" applyProtection="0"/>
    <xf numFmtId="0" fontId="37" fillId="0" borderId="0" applyNumberFormat="0" applyFill="0" applyBorder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90" applyNumberFormat="0" applyAlignment="0" applyProtection="0"/>
    <xf numFmtId="0" fontId="52" fillId="49" borderId="86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42" fillId="0" borderId="89" applyBorder="0">
      <alignment horizontal="left" vertical="top"/>
    </xf>
    <xf numFmtId="0" fontId="59" fillId="0" borderId="87" applyNumberFormat="0" applyFill="0" applyAlignment="0" applyProtection="0"/>
    <xf numFmtId="0" fontId="54" fillId="0" borderId="85">
      <protection locked="0"/>
    </xf>
    <xf numFmtId="0" fontId="52" fillId="49" borderId="86" applyNumberFormat="0" applyAlignment="0" applyProtection="0"/>
    <xf numFmtId="0" fontId="30" fillId="37" borderId="85" applyNumberFormat="0" applyFon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52" fillId="49" borderId="9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30" fillId="37" borderId="85" applyNumberFormat="0" applyFont="0" applyAlignment="0" applyProtection="0"/>
    <xf numFmtId="0" fontId="30" fillId="0" borderId="81">
      <protection locked="0"/>
    </xf>
    <xf numFmtId="0" fontId="30" fillId="0" borderId="81">
      <protection locked="0"/>
    </xf>
    <xf numFmtId="0" fontId="30" fillId="0" borderId="81">
      <protection locked="0"/>
    </xf>
    <xf numFmtId="0" fontId="30" fillId="0" borderId="81">
      <protection locked="0"/>
    </xf>
    <xf numFmtId="0" fontId="54" fillId="0" borderId="81">
      <protection locked="0"/>
    </xf>
    <xf numFmtId="0" fontId="54" fillId="0" borderId="81">
      <protection locked="0"/>
    </xf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71" fillId="0" borderId="0" applyNumberFormat="0" applyFill="0" applyBorder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46" fillId="40" borderId="84" applyNumberFormat="0" applyAlignment="0" applyProtection="0"/>
    <xf numFmtId="0" fontId="37" fillId="0" borderId="0" applyNumberFormat="0" applyFill="0" applyBorder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59" fillId="0" borderId="93" applyNumberFormat="0" applyFill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59" fillId="0" borderId="87" applyNumberFormat="0" applyFill="0" applyAlignment="0" applyProtection="0"/>
    <xf numFmtId="0" fontId="35" fillId="49" borderId="84" applyNumberFormat="0" applyAlignment="0" applyProtection="0"/>
    <xf numFmtId="0" fontId="52" fillId="49" borderId="86" applyNumberFormat="0" applyAlignment="0" applyProtection="0"/>
    <xf numFmtId="0" fontId="42" fillId="0" borderId="74" applyBorder="0">
      <alignment horizontal="left" vertical="top"/>
    </xf>
    <xf numFmtId="0" fontId="30" fillId="0" borderId="77">
      <protection locked="0"/>
    </xf>
    <xf numFmtId="0" fontId="30" fillId="37" borderId="77" applyNumberFormat="0" applyFont="0" applyAlignment="0" applyProtection="0"/>
    <xf numFmtId="0" fontId="30" fillId="37" borderId="91" applyNumberFormat="0" applyFon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6" fillId="40" borderId="90" applyNumberFormat="0" applyAlignment="0" applyProtection="0"/>
    <xf numFmtId="0" fontId="46" fillId="40" borderId="90" applyNumberFormat="0" applyAlignment="0" applyProtection="0"/>
    <xf numFmtId="0" fontId="30" fillId="37" borderId="91" applyNumberFormat="0" applyFon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2" fillId="0" borderId="89" applyBorder="0">
      <alignment horizontal="left" vertical="top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0" fillId="0" borderId="91">
      <protection locked="0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5" fillId="49" borderId="90" applyNumberFormat="0" applyAlignment="0" applyProtection="0"/>
    <xf numFmtId="0" fontId="46" fillId="40" borderId="90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35" fillId="49" borderId="90" applyNumberFormat="0" applyAlignment="0" applyProtection="0"/>
    <xf numFmtId="0" fontId="35" fillId="49" borderId="90" applyNumberFormat="0" applyAlignment="0" applyProtection="0"/>
    <xf numFmtId="0" fontId="115" fillId="63" borderId="90" applyNumberFormat="0" applyAlignment="0" applyProtection="0"/>
    <xf numFmtId="0" fontId="30" fillId="0" borderId="85">
      <protection locked="0"/>
    </xf>
    <xf numFmtId="0" fontId="42" fillId="0" borderId="89" applyBorder="0">
      <alignment horizontal="left" vertical="top"/>
    </xf>
    <xf numFmtId="0" fontId="52" fillId="49" borderId="86" applyNumberFormat="0" applyAlignment="0" applyProtection="0"/>
    <xf numFmtId="0" fontId="30" fillId="37" borderId="91" applyNumberFormat="0" applyFont="0" applyAlignment="0" applyProtection="0"/>
    <xf numFmtId="0" fontId="55" fillId="0" borderId="85" applyNumberFormat="0">
      <alignment horizontal="left" vertical="top" wrapText="1" shrinkToFit="1"/>
      <protection locked="0"/>
    </xf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0" applyNumberFormat="0" applyAlignment="0" applyProtection="0"/>
    <xf numFmtId="0" fontId="30" fillId="37" borderId="81" applyNumberFormat="0" applyFont="0" applyAlignment="0" applyProtection="0"/>
    <xf numFmtId="0" fontId="59" fillId="0" borderId="93" applyNumberFormat="0" applyFill="0" applyAlignment="0" applyProtection="0"/>
    <xf numFmtId="0" fontId="30" fillId="37" borderId="85" applyNumberFormat="0" applyFont="0" applyAlignment="0" applyProtection="0"/>
    <xf numFmtId="0" fontId="30" fillId="0" borderId="85">
      <protection locked="0"/>
    </xf>
    <xf numFmtId="0" fontId="54" fillId="0" borderId="85">
      <protection locked="0"/>
    </xf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46" fillId="40" borderId="84" applyNumberFormat="0" applyAlignment="0" applyProtection="0"/>
    <xf numFmtId="0" fontId="71" fillId="0" borderId="0" applyNumberFormat="0" applyFill="0" applyBorder="0" applyAlignment="0" applyProtection="0"/>
    <xf numFmtId="0" fontId="54" fillId="0" borderId="91">
      <protection locked="0"/>
    </xf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54" fillId="0" borderId="85"/>
    <xf numFmtId="0" fontId="46" fillId="40" borderId="90" applyNumberFormat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55" fillId="0" borderId="85" applyNumberFormat="0">
      <alignment horizontal="left" vertical="top" wrapText="1" shrinkToFit="1"/>
      <protection locked="0"/>
    </xf>
    <xf numFmtId="0" fontId="30" fillId="37" borderId="81" applyNumberFormat="0" applyFont="0" applyAlignment="0" applyProtection="0"/>
    <xf numFmtId="0" fontId="46" fillId="40" borderId="80" applyNumberFormat="0" applyAlignment="0" applyProtection="0"/>
    <xf numFmtId="0" fontId="35" fillId="49" borderId="90" applyNumberFormat="0" applyAlignment="0" applyProtection="0"/>
    <xf numFmtId="0" fontId="59" fillId="0" borderId="87" applyNumberFormat="0" applyFill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59" fillId="0" borderId="87" applyNumberFormat="0" applyFill="0" applyAlignment="0" applyProtection="0"/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52" fillId="49" borderId="92" applyNumberFormat="0" applyAlignment="0" applyProtection="0"/>
    <xf numFmtId="0" fontId="59" fillId="0" borderId="83" applyNumberFormat="0" applyFill="0" applyAlignment="0" applyProtection="0"/>
    <xf numFmtId="0" fontId="30" fillId="0" borderId="81">
      <protection locked="0"/>
    </xf>
    <xf numFmtId="0" fontId="52" fillId="49" borderId="82" applyNumberFormat="0" applyAlignment="0" applyProtection="0"/>
    <xf numFmtId="0" fontId="30" fillId="37" borderId="81" applyNumberFormat="0" applyFont="0" applyAlignment="0" applyProtection="0"/>
    <xf numFmtId="0" fontId="59" fillId="0" borderId="87" applyNumberFormat="0" applyFill="0" applyAlignment="0" applyProtection="0"/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0" applyNumberFormat="0" applyAlignment="0" applyProtection="0"/>
    <xf numFmtId="0" fontId="35" fillId="49" borderId="80" applyNumberFormat="0" applyAlignment="0" applyProtection="0"/>
    <xf numFmtId="0" fontId="52" fillId="49" borderId="86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0" fillId="37" borderId="81" applyNumberFormat="0" applyFont="0" applyAlignment="0" applyProtection="0"/>
    <xf numFmtId="0" fontId="35" fillId="49" borderId="90" applyNumberFormat="0" applyAlignment="0" applyProtection="0"/>
    <xf numFmtId="0" fontId="46" fillId="40" borderId="80" applyNumberFormat="0" applyAlignment="0" applyProtection="0"/>
    <xf numFmtId="0" fontId="59" fillId="0" borderId="87" applyNumberFormat="0" applyFill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71" fillId="0" borderId="0" applyNumberFormat="0" applyFill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0" fillId="37" borderId="91" applyNumberFormat="0" applyFont="0" applyAlignment="0" applyProtection="0"/>
    <xf numFmtId="0" fontId="55" fillId="0" borderId="91" applyNumberFormat="0">
      <alignment horizontal="left" vertical="top" wrapText="1" shrinkToFit="1"/>
      <protection locked="0"/>
    </xf>
    <xf numFmtId="0" fontId="54" fillId="0" borderId="91"/>
    <xf numFmtId="0" fontId="30" fillId="37" borderId="81" applyNumberFormat="0" applyFont="0" applyAlignment="0" applyProtection="0"/>
    <xf numFmtId="0" fontId="46" fillId="40" borderId="70" applyNumberFormat="0" applyAlignment="0" applyProtection="0"/>
    <xf numFmtId="0" fontId="30" fillId="37" borderId="91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37" fillId="0" borderId="0" applyNumberFormat="0" applyFill="0" applyBorder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0" fillId="37" borderId="97" applyNumberFormat="0" applyFont="0" applyAlignment="0" applyProtection="0"/>
    <xf numFmtId="0" fontId="67" fillId="0" borderId="0" applyNumberFormat="0" applyBorder="0" applyAlignment="0"/>
    <xf numFmtId="0" fontId="59" fillId="0" borderId="104" applyNumberFormat="0" applyFill="0" applyAlignment="0" applyProtection="0"/>
    <xf numFmtId="0" fontId="54" fillId="0" borderId="103">
      <protection locked="0"/>
    </xf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30" fillId="37" borderId="97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7" fillId="0" borderId="0" applyNumberFormat="0" applyFill="0" applyBorder="0" applyAlignment="0" applyProtection="0"/>
    <xf numFmtId="0" fontId="46" fillId="40" borderId="100" applyNumberFormat="0" applyAlignment="0" applyProtection="0"/>
    <xf numFmtId="0" fontId="54" fillId="0" borderId="103">
      <protection locked="0"/>
    </xf>
    <xf numFmtId="0" fontId="42" fillId="0" borderId="102" applyBorder="0">
      <alignment horizontal="left" vertical="top"/>
    </xf>
    <xf numFmtId="0" fontId="52" fillId="49" borderId="101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2" fillId="49" borderId="105" applyNumberFormat="0" applyAlignment="0" applyProtection="0"/>
    <xf numFmtId="0" fontId="54" fillId="0" borderId="103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4" fillId="0" borderId="103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4" fillId="0" borderId="103"/>
    <xf numFmtId="0" fontId="54" fillId="0" borderId="103"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4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115" fillId="63" borderId="95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115" fillId="63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30" fillId="37" borderId="103" applyNumberFormat="0" applyFont="0" applyAlignment="0" applyProtection="0"/>
    <xf numFmtId="0" fontId="54" fillId="0" borderId="103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4" fillId="0" borderId="103"/>
    <xf numFmtId="0" fontId="35" fillId="49" borderId="100" applyNumberFormat="0" applyAlignment="0" applyProtection="0"/>
    <xf numFmtId="0" fontId="35" fillId="49" borderId="100" applyNumberFormat="0" applyAlignment="0" applyProtection="0"/>
    <xf numFmtId="0" fontId="67" fillId="0" borderId="0" applyNumberFormat="0" applyBorder="0" applyAlignment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4" fillId="0" borderId="103">
      <protection locked="0"/>
    </xf>
    <xf numFmtId="0" fontId="52" fillId="49" borderId="105" applyNumberFormat="0" applyAlignment="0" applyProtection="0"/>
    <xf numFmtId="0" fontId="42" fillId="0" borderId="96" applyBorder="0">
      <alignment horizontal="left" vertical="top"/>
    </xf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67" fillId="0" borderId="0" applyNumberFormat="0" applyBorder="0" applyAlignment="0"/>
    <xf numFmtId="0" fontId="46" fillId="40" borderId="100" applyNumberFormat="0" applyAlignment="0" applyProtection="0"/>
    <xf numFmtId="0" fontId="37" fillId="0" borderId="0" applyNumberFormat="0" applyFill="0" applyBorder="0" applyAlignment="0" applyProtection="0"/>
    <xf numFmtId="0" fontId="35" fillId="49" borderId="95" applyNumberFormat="0" applyAlignment="0" applyProtection="0"/>
    <xf numFmtId="0" fontId="114" fillId="63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30" fillId="0" borderId="103"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67" fillId="0" borderId="0" applyNumberFormat="0" applyBorder="0" applyAlignment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4" fillId="0" borderId="103">
      <protection locked="0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4" fillId="0" borderId="103"/>
    <xf numFmtId="0" fontId="52" fillId="49" borderId="105" applyNumberFormat="0" applyAlignment="0" applyProtection="0"/>
    <xf numFmtId="0" fontId="54" fillId="0" borderId="103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55" fillId="0" borderId="103" applyNumberFormat="0">
      <alignment horizontal="left" vertical="top" wrapText="1" shrinkToFit="1"/>
      <protection locked="0"/>
    </xf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54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67" fillId="0" borderId="0" applyNumberFormat="0" applyBorder="0" applyAlignment="0"/>
    <xf numFmtId="0" fontId="42" fillId="0" borderId="102" applyBorder="0">
      <alignment horizontal="left" vertical="top"/>
    </xf>
    <xf numFmtId="0" fontId="115" fillId="63" borderId="100" applyNumberFormat="0" applyAlignment="0" applyProtection="0"/>
    <xf numFmtId="0" fontId="35" fillId="49" borderId="100" applyNumberFormat="0" applyAlignment="0" applyProtection="0"/>
    <xf numFmtId="0" fontId="37" fillId="0" borderId="0" applyNumberFormat="0" applyFill="0" applyBorder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4" fillId="0" borderId="103">
      <protection locked="0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4" fillId="0" borderId="103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1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4" fillId="0" borderId="103">
      <protection locked="0"/>
    </xf>
    <xf numFmtId="0" fontId="30" fillId="37" borderId="103" applyNumberFormat="0" applyFon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54" fillId="0" borderId="103"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5" fillId="0" borderId="0"/>
    <xf numFmtId="0" fontId="79" fillId="39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5" fillId="0" borderId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79" fillId="38" borderId="0" applyNumberFormat="0" applyBorder="0" applyAlignment="0" applyProtection="0"/>
    <xf numFmtId="0" fontId="32" fillId="0" borderId="0"/>
    <xf numFmtId="0" fontId="5" fillId="0" borderId="0"/>
    <xf numFmtId="0" fontId="32" fillId="55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9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3" fillId="58" borderId="0" applyNumberFormat="0" applyBorder="0" applyAlignment="0" applyProtection="0"/>
    <xf numFmtId="0" fontId="33" fillId="58" borderId="0" applyNumberFormat="0" applyBorder="0" applyAlignment="0" applyProtection="0"/>
    <xf numFmtId="0" fontId="32" fillId="0" borderId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2" fillId="0" borderId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2" fillId="0" borderId="0"/>
    <xf numFmtId="0" fontId="33" fillId="59" borderId="0" applyNumberFormat="0" applyBorder="0" applyAlignment="0" applyProtection="0"/>
    <xf numFmtId="0" fontId="33" fillId="59" borderId="0" applyNumberFormat="0" applyBorder="0" applyAlignment="0" applyProtection="0"/>
    <xf numFmtId="0" fontId="32" fillId="0" borderId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2" fillId="0" borderId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2" fillId="0" borderId="0"/>
    <xf numFmtId="0" fontId="33" fillId="61" borderId="0" applyNumberFormat="0" applyBorder="0" applyAlignment="0" applyProtection="0"/>
    <xf numFmtId="0" fontId="33" fillId="61" borderId="0" applyNumberFormat="0" applyBorder="0" applyAlignment="0" applyProtection="0"/>
    <xf numFmtId="0" fontId="32" fillId="0" borderId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2" fillId="0" borderId="0"/>
    <xf numFmtId="0" fontId="33" fillId="62" borderId="0" applyNumberFormat="0" applyBorder="0" applyAlignment="0" applyProtection="0"/>
    <xf numFmtId="0" fontId="33" fillId="62" borderId="0" applyNumberFormat="0" applyBorder="0" applyAlignment="0" applyProtection="0"/>
    <xf numFmtId="0" fontId="32" fillId="0" borderId="0"/>
    <xf numFmtId="0" fontId="33" fillId="59" borderId="0" applyNumberFormat="0" applyBorder="0" applyAlignment="0" applyProtection="0"/>
    <xf numFmtId="0" fontId="33" fillId="59" borderId="0" applyNumberFormat="0" applyBorder="0" applyAlignment="0" applyProtection="0"/>
    <xf numFmtId="0" fontId="32" fillId="0" borderId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2" fillId="0" borderId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2" fillId="0" borderId="0"/>
    <xf numFmtId="2" fontId="30" fillId="64" borderId="0"/>
    <xf numFmtId="0" fontId="114" fillId="63" borderId="90" applyNumberFormat="0" applyAlignment="0" applyProtection="0"/>
    <xf numFmtId="0" fontId="114" fillId="63" borderId="9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32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0" borderId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8" borderId="0" applyNumberFormat="0" applyBorder="0" applyAlignment="0" applyProtection="0"/>
    <xf numFmtId="0" fontId="32" fillId="0" borderId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9" borderId="0" applyNumberFormat="0" applyBorder="0" applyAlignment="0" applyProtection="0"/>
    <xf numFmtId="0" fontId="32" fillId="0" borderId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" fillId="0" borderId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9" borderId="0" applyNumberFormat="0" applyBorder="0" applyAlignment="0" applyProtection="0"/>
    <xf numFmtId="0" fontId="5" fillId="0" borderId="0"/>
    <xf numFmtId="0" fontId="79" fillId="56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55" borderId="0" applyNumberFormat="0" applyBorder="0" applyAlignment="0" applyProtection="0"/>
    <xf numFmtId="0" fontId="32" fillId="35" borderId="0" applyNumberFormat="0" applyBorder="0" applyAlignment="0" applyProtection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39" borderId="0" applyNumberFormat="0" applyBorder="0" applyAlignment="0" applyProtection="0"/>
    <xf numFmtId="0" fontId="5" fillId="0" borderId="0"/>
    <xf numFmtId="0" fontId="32" fillId="0" borderId="0"/>
    <xf numFmtId="0" fontId="79" fillId="35" borderId="0" applyNumberFormat="0" applyBorder="0" applyAlignment="0" applyProtection="0"/>
    <xf numFmtId="0" fontId="79" fillId="55" borderId="0" applyNumberFormat="0" applyBorder="0" applyAlignment="0" applyProtection="0"/>
    <xf numFmtId="0" fontId="32" fillId="57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55" borderId="0" applyNumberFormat="0" applyBorder="0" applyAlignment="0" applyProtection="0"/>
    <xf numFmtId="0" fontId="79" fillId="39" borderId="0" applyNumberFormat="0" applyBorder="0" applyAlignment="0" applyProtection="0"/>
    <xf numFmtId="0" fontId="32" fillId="35" borderId="0" applyNumberFormat="0" applyBorder="0" applyAlignment="0" applyProtection="0"/>
    <xf numFmtId="0" fontId="79" fillId="38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38" borderId="0" applyNumberFormat="0" applyBorder="0" applyAlignment="0" applyProtection="0"/>
    <xf numFmtId="0" fontId="32" fillId="0" borderId="0"/>
    <xf numFmtId="0" fontId="67" fillId="0" borderId="0" applyNumberFormat="0" applyBorder="0" applyAlignment="0"/>
    <xf numFmtId="0" fontId="5" fillId="0" borderId="0"/>
    <xf numFmtId="9" fontId="67" fillId="0" borderId="0" applyFont="0" applyFill="0" applyBorder="0" applyAlignment="0" applyProtection="0"/>
    <xf numFmtId="0" fontId="67" fillId="0" borderId="0" applyNumberFormat="0" applyBorder="0" applyAlignment="0"/>
    <xf numFmtId="0" fontId="5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0" borderId="0"/>
    <xf numFmtId="0" fontId="35" fillId="49" borderId="100" applyNumberFormat="0" applyAlignment="0" applyProtection="0"/>
    <xf numFmtId="0" fontId="40" fillId="51" borderId="0" applyAlignment="0"/>
    <xf numFmtId="0" fontId="41" fillId="0" borderId="0">
      <alignment vertical="top"/>
    </xf>
    <xf numFmtId="0" fontId="42" fillId="0" borderId="94" applyBorder="0">
      <alignment horizontal="left" vertical="top"/>
    </xf>
    <xf numFmtId="0" fontId="47" fillId="0" borderId="0">
      <alignment vertical="top"/>
    </xf>
    <xf numFmtId="0" fontId="35" fillId="49" borderId="90" applyNumberFormat="0" applyAlignment="0" applyProtection="0"/>
    <xf numFmtId="0" fontId="53" fillId="0" borderId="0" applyNumberFormat="0">
      <alignment horizontal="left" vertical="top" wrapText="1"/>
    </xf>
    <xf numFmtId="0" fontId="35" fillId="49" borderId="100" applyNumberFormat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26" fillId="28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/>
    <xf numFmtId="0" fontId="31" fillId="0" borderId="0"/>
    <xf numFmtId="0" fontId="50" fillId="0" borderId="0"/>
    <xf numFmtId="0" fontId="51" fillId="0" borderId="56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0" borderId="0"/>
    <xf numFmtId="0" fontId="31" fillId="0" borderId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14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30" fillId="0" borderId="0"/>
    <xf numFmtId="0" fontId="32" fillId="37" borderId="0" applyNumberFormat="0" applyBorder="0" applyAlignment="0" applyProtection="0"/>
    <xf numFmtId="0" fontId="20" fillId="6" borderId="4" applyNumberFormat="0" applyAlignment="0" applyProtection="0"/>
    <xf numFmtId="0" fontId="16" fillId="3" borderId="0" applyNumberFormat="0" applyBorder="0" applyAlignment="0" applyProtection="0"/>
    <xf numFmtId="2" fontId="30" fillId="33" borderId="0"/>
    <xf numFmtId="0" fontId="20" fillId="6" borderId="4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22" fillId="7" borderId="7" applyNumberFormat="0" applyAlignment="0" applyProtection="0"/>
    <xf numFmtId="0" fontId="2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18" fillId="5" borderId="4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2" fontId="30" fillId="52" borderId="0"/>
    <xf numFmtId="0" fontId="21" fillId="0" borderId="6" applyNumberFormat="0" applyFill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37" fillId="0" borderId="0"/>
    <xf numFmtId="0" fontId="10" fillId="0" borderId="0"/>
    <xf numFmtId="0" fontId="31" fillId="0" borderId="0"/>
    <xf numFmtId="0" fontId="30" fillId="0" borderId="0" applyNumberFormat="0" applyFill="0" applyBorder="0" applyAlignment="0" applyProtection="0"/>
    <xf numFmtId="0" fontId="10" fillId="0" borderId="0"/>
    <xf numFmtId="0" fontId="10" fillId="0" borderId="0"/>
    <xf numFmtId="0" fontId="30" fillId="0" borderId="0" applyNumberFormat="0" applyFill="0" applyBorder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10" fillId="0" borderId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0" fillId="8" borderId="8" applyNumberFormat="0" applyFont="0" applyAlignment="0" applyProtection="0"/>
    <xf numFmtId="0" fontId="30" fillId="8" borderId="8" applyNumberFormat="0" applyFont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58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18" fillId="5" borderId="4" applyNumberFormat="0" applyAlignment="0" applyProtection="0"/>
    <xf numFmtId="0" fontId="31" fillId="31" borderId="0" applyNumberFormat="0" applyBorder="0" applyAlignment="0" applyProtection="0"/>
    <xf numFmtId="0" fontId="31" fillId="22" borderId="0" applyNumberFormat="0" applyBorder="0" applyAlignment="0" applyProtection="0"/>
    <xf numFmtId="0" fontId="10" fillId="0" borderId="0"/>
    <xf numFmtId="0" fontId="31" fillId="10" borderId="0" applyNumberFormat="0" applyBorder="0" applyAlignment="0" applyProtection="0"/>
    <xf numFmtId="0" fontId="31" fillId="8" borderId="8" applyNumberFormat="0" applyFont="0" applyAlignment="0" applyProtection="0"/>
    <xf numFmtId="0" fontId="35" fillId="49" borderId="90" applyNumberFormat="0" applyAlignment="0" applyProtection="0"/>
    <xf numFmtId="0" fontId="32" fillId="38" borderId="0" applyNumberFormat="0" applyBorder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46" fillId="40" borderId="90" applyNumberFormat="0" applyAlignment="0" applyProtection="0"/>
    <xf numFmtId="0" fontId="63" fillId="0" borderId="0"/>
    <xf numFmtId="0" fontId="14" fillId="0" borderId="0" applyNumberFormat="0" applyFill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30" fillId="0" borderId="0"/>
    <xf numFmtId="0" fontId="26" fillId="28" borderId="0" applyNumberFormat="0" applyBorder="0" applyAlignment="0" applyProtection="0"/>
    <xf numFmtId="0" fontId="31" fillId="18" borderId="0" applyNumberFormat="0" applyBorder="0" applyAlignment="0" applyProtection="0"/>
    <xf numFmtId="0" fontId="31" fillId="23" borderId="0" applyNumberFormat="0" applyBorder="0" applyAlignment="0" applyProtection="0"/>
    <xf numFmtId="9" fontId="30" fillId="0" borderId="0" applyFont="0" applyFill="0" applyBorder="0" applyAlignment="0" applyProtection="0"/>
    <xf numFmtId="0" fontId="31" fillId="11" borderId="0" applyNumberFormat="0" applyBorder="0" applyAlignment="0" applyProtection="0"/>
    <xf numFmtId="0" fontId="49" fillId="40" borderId="0" applyNumberFormat="0" applyBorder="0" applyAlignment="0" applyProtection="0"/>
    <xf numFmtId="0" fontId="30" fillId="37" borderId="39" applyNumberFormat="0" applyFont="0" applyAlignment="0" applyProtection="0"/>
    <xf numFmtId="0" fontId="31" fillId="15" borderId="0" applyNumberFormat="0" applyBorder="0" applyAlignment="0" applyProtection="0"/>
    <xf numFmtId="0" fontId="30" fillId="8" borderId="8" applyNumberFormat="0" applyFont="0" applyAlignment="0" applyProtection="0"/>
    <xf numFmtId="0" fontId="31" fillId="0" borderId="0"/>
    <xf numFmtId="0" fontId="32" fillId="39" borderId="0" applyNumberFormat="0" applyBorder="0" applyAlignment="0" applyProtection="0"/>
    <xf numFmtId="0" fontId="30" fillId="8" borderId="8" applyNumberFormat="0" applyFont="0" applyAlignment="0" applyProtection="0"/>
    <xf numFmtId="0" fontId="46" fillId="40" borderId="90" applyNumberFormat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30" fillId="0" borderId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26" fillId="28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52" fillId="49" borderId="92" applyNumberFormat="0" applyAlignment="0" applyProtection="0"/>
    <xf numFmtId="0" fontId="17" fillId="4" borderId="0" applyNumberFormat="0" applyBorder="0" applyAlignment="0" applyProtection="0"/>
    <xf numFmtId="0" fontId="46" fillId="40" borderId="90" applyNumberFormat="0" applyAlignment="0" applyProtection="0"/>
    <xf numFmtId="0" fontId="31" fillId="26" borderId="0" applyNumberFormat="0" applyBorder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46" fillId="40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5" fillId="49" borderId="90" applyNumberFormat="0" applyAlignment="0" applyProtection="0"/>
    <xf numFmtId="0" fontId="10" fillId="0" borderId="0"/>
    <xf numFmtId="0" fontId="52" fillId="49" borderId="92" applyNumberFormat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31" borderId="0" applyNumberFormat="0" applyBorder="0" applyAlignment="0" applyProtection="0"/>
    <xf numFmtId="0" fontId="10" fillId="15" borderId="0" applyNumberFormat="0" applyBorder="0" applyAlignment="0" applyProtection="0"/>
    <xf numFmtId="0" fontId="31" fillId="19" borderId="0" applyNumberFormat="0" applyBorder="0" applyAlignment="0" applyProtection="0"/>
    <xf numFmtId="0" fontId="30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59" fillId="0" borderId="93" applyNumberFormat="0" applyFill="0" applyAlignment="0" applyProtection="0"/>
    <xf numFmtId="0" fontId="10" fillId="15" borderId="0" applyNumberFormat="0" applyBorder="0" applyAlignment="0" applyProtection="0"/>
    <xf numFmtId="0" fontId="31" fillId="22" borderId="0" applyNumberFormat="0" applyBorder="0" applyAlignment="0" applyProtection="0"/>
    <xf numFmtId="0" fontId="57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30" fillId="0" borderId="0"/>
    <xf numFmtId="0" fontId="31" fillId="26" borderId="0" applyNumberFormat="0" applyBorder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10" fillId="27" borderId="0" applyNumberFormat="0" applyBorder="0" applyAlignment="0" applyProtection="0"/>
    <xf numFmtId="0" fontId="26" fillId="16" borderId="0" applyNumberFormat="0" applyBorder="0" applyAlignment="0" applyProtection="0"/>
    <xf numFmtId="0" fontId="31" fillId="15" borderId="0" applyNumberFormat="0" applyBorder="0" applyAlignment="0" applyProtection="0"/>
    <xf numFmtId="0" fontId="59" fillId="0" borderId="93" applyNumberFormat="0" applyFill="0" applyAlignment="0" applyProtection="0"/>
    <xf numFmtId="0" fontId="42" fillId="0" borderId="94" applyBorder="0">
      <alignment horizontal="left" vertical="top"/>
    </xf>
    <xf numFmtId="0" fontId="31" fillId="0" borderId="0"/>
    <xf numFmtId="0" fontId="31" fillId="10" borderId="0" applyNumberFormat="0" applyBorder="0" applyAlignment="0" applyProtection="0"/>
    <xf numFmtId="0" fontId="31" fillId="23" borderId="0" applyNumberFormat="0" applyBorder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10" fillId="10" borderId="0" applyNumberFormat="0" applyBorder="0" applyAlignment="0" applyProtection="0"/>
    <xf numFmtId="0" fontId="30" fillId="37" borderId="39" applyNumberFormat="0" applyFon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46" fillId="40" borderId="90" applyNumberFormat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28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15" fillId="2" borderId="0" applyNumberFormat="0" applyBorder="0" applyAlignment="0" applyProtection="0"/>
    <xf numFmtId="0" fontId="42" fillId="0" borderId="94" applyBorder="0">
      <alignment horizontal="left" vertical="top"/>
    </xf>
    <xf numFmtId="0" fontId="31" fillId="8" borderId="8" applyNumberFormat="0" applyFont="0" applyAlignment="0" applyProtection="0"/>
    <xf numFmtId="0" fontId="39" fillId="39" borderId="0" applyNumberFormat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17" fillId="4" borderId="0" applyNumberFormat="0" applyBorder="0" applyAlignment="0" applyProtection="0"/>
    <xf numFmtId="0" fontId="30" fillId="0" borderId="0"/>
    <xf numFmtId="0" fontId="30" fillId="8" borderId="8" applyNumberFormat="0" applyFon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25" fillId="0" borderId="9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46" fillId="40" borderId="90" applyNumberFormat="0" applyAlignment="0" applyProtection="0"/>
    <xf numFmtId="0" fontId="30" fillId="37" borderId="39" applyNumberFormat="0" applyFont="0" applyAlignment="0" applyProtection="0"/>
    <xf numFmtId="0" fontId="30" fillId="0" borderId="0"/>
    <xf numFmtId="0" fontId="31" fillId="31" borderId="0" applyNumberFormat="0" applyBorder="0" applyAlignment="0" applyProtection="0"/>
    <xf numFmtId="0" fontId="46" fillId="40" borderId="90" applyNumberFormat="0" applyAlignment="0" applyProtection="0"/>
    <xf numFmtId="0" fontId="45" fillId="0" borderId="15" applyNumberFormat="0" applyFill="0" applyAlignment="0" applyProtection="0"/>
    <xf numFmtId="0" fontId="26" fillId="9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10" fillId="23" borderId="0" applyNumberFormat="0" applyBorder="0" applyAlignment="0" applyProtection="0"/>
    <xf numFmtId="0" fontId="30" fillId="0" borderId="0"/>
    <xf numFmtId="0" fontId="26" fillId="29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5" fillId="49" borderId="90" applyNumberFormat="0" applyAlignment="0" applyProtection="0"/>
    <xf numFmtId="0" fontId="10" fillId="27" borderId="0" applyNumberFormat="0" applyBorder="0" applyAlignment="0" applyProtection="0"/>
    <xf numFmtId="0" fontId="31" fillId="26" borderId="0" applyNumberFormat="0" applyBorder="0" applyAlignment="0" applyProtection="0"/>
    <xf numFmtId="0" fontId="10" fillId="18" borderId="0" applyNumberFormat="0" applyBorder="0" applyAlignment="0" applyProtection="0"/>
    <xf numFmtId="0" fontId="59" fillId="0" borderId="93" applyNumberFormat="0" applyFill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14" borderId="0" applyNumberFormat="0" applyBorder="0" applyAlignment="0" applyProtection="0"/>
    <xf numFmtId="0" fontId="31" fillId="31" borderId="0" applyNumberFormat="0" applyBorder="0" applyAlignment="0" applyProtection="0"/>
    <xf numFmtId="0" fontId="42" fillId="0" borderId="94" applyBorder="0">
      <alignment horizontal="left" vertical="top"/>
    </xf>
    <xf numFmtId="0" fontId="59" fillId="0" borderId="93" applyNumberFormat="0" applyFill="0" applyAlignment="0" applyProtection="0"/>
    <xf numFmtId="0" fontId="30" fillId="0" borderId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30" fillId="0" borderId="0" applyNumberFormat="0" applyFill="0" applyBorder="0" applyAlignment="0" applyProtection="0"/>
    <xf numFmtId="0" fontId="35" fillId="49" borderId="90" applyNumberFormat="0" applyAlignment="0" applyProtection="0"/>
    <xf numFmtId="0" fontId="24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12" fillId="0" borderId="1" applyNumberFormat="0" applyFill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46" fillId="40" borderId="90" applyNumberFormat="0" applyAlignment="0" applyProtection="0"/>
    <xf numFmtId="0" fontId="31" fillId="11" borderId="0" applyNumberFormat="0" applyBorder="0" applyAlignment="0" applyProtection="0"/>
    <xf numFmtId="0" fontId="43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32" fillId="39" borderId="0" applyNumberFormat="0" applyBorder="0" applyAlignment="0" applyProtection="0"/>
    <xf numFmtId="0" fontId="31" fillId="18" borderId="0" applyNumberFormat="0" applyBorder="0" applyAlignment="0" applyProtection="0"/>
    <xf numFmtId="0" fontId="16" fillId="3" borderId="0" applyNumberFormat="0" applyBorder="0" applyAlignment="0" applyProtection="0"/>
    <xf numFmtId="0" fontId="32" fillId="37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45" fillId="0" borderId="15" applyNumberFormat="0" applyFill="0" applyAlignment="0" applyProtection="0"/>
    <xf numFmtId="0" fontId="31" fillId="30" borderId="0" applyNumberFormat="0" applyBorder="0" applyAlignment="0" applyProtection="0"/>
    <xf numFmtId="0" fontId="26" fillId="20" borderId="0" applyNumberFormat="0" applyBorder="0" applyAlignment="0" applyProtection="0"/>
    <xf numFmtId="0" fontId="42" fillId="0" borderId="94" applyBorder="0">
      <alignment horizontal="left" vertical="top"/>
    </xf>
    <xf numFmtId="0" fontId="10" fillId="23" borderId="0" applyNumberFormat="0" applyBorder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26" fillId="13" borderId="0" applyNumberFormat="0" applyBorder="0" applyAlignment="0" applyProtection="0"/>
    <xf numFmtId="0" fontId="32" fillId="38" borderId="0" applyNumberFormat="0" applyBorder="0" applyAlignment="0" applyProtection="0"/>
    <xf numFmtId="0" fontId="59" fillId="0" borderId="93" applyNumberFormat="0" applyFill="0" applyAlignment="0" applyProtection="0"/>
    <xf numFmtId="0" fontId="31" fillId="26" borderId="0" applyNumberFormat="0" applyBorder="0" applyAlignment="0" applyProtection="0"/>
    <xf numFmtId="0" fontId="31" fillId="18" borderId="0" applyNumberFormat="0" applyBorder="0" applyAlignment="0" applyProtection="0"/>
    <xf numFmtId="0" fontId="46" fillId="40" borderId="90" applyNumberFormat="0" applyAlignment="0" applyProtection="0"/>
    <xf numFmtId="0" fontId="26" fillId="17" borderId="0" applyNumberFormat="0" applyBorder="0" applyAlignment="0" applyProtection="0"/>
    <xf numFmtId="0" fontId="31" fillId="10" borderId="0" applyNumberFormat="0" applyBorder="0" applyAlignment="0" applyProtection="0"/>
    <xf numFmtId="0" fontId="10" fillId="22" borderId="0" applyNumberFormat="0" applyBorder="0" applyAlignment="0" applyProtection="0"/>
    <xf numFmtId="0" fontId="31" fillId="10" borderId="0" applyNumberFormat="0" applyBorder="0" applyAlignment="0" applyProtection="0"/>
    <xf numFmtId="0" fontId="31" fillId="27" borderId="0" applyNumberFormat="0" applyBorder="0" applyAlignment="0" applyProtection="0"/>
    <xf numFmtId="0" fontId="31" fillId="8" borderId="8" applyNumberFormat="0" applyFont="0" applyAlignment="0" applyProtection="0"/>
    <xf numFmtId="0" fontId="10" fillId="22" borderId="0" applyNumberFormat="0" applyBorder="0" applyAlignment="0" applyProtection="0"/>
    <xf numFmtId="0" fontId="30" fillId="0" borderId="0"/>
    <xf numFmtId="0" fontId="23" fillId="0" borderId="0" applyNumberFormat="0" applyFill="0" applyBorder="0" applyAlignment="0" applyProtection="0"/>
    <xf numFmtId="0" fontId="35" fillId="49" borderId="90" applyNumberFormat="0" applyAlignment="0" applyProtection="0"/>
    <xf numFmtId="0" fontId="32" fillId="36" borderId="0" applyNumberFormat="0" applyBorder="0" applyAlignment="0" applyProtection="0"/>
    <xf numFmtId="0" fontId="51" fillId="0" borderId="56" applyNumberFormat="0" applyFill="0" applyAlignment="0" applyProtection="0"/>
    <xf numFmtId="0" fontId="35" fillId="49" borderId="90" applyNumberFormat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31" fillId="14" borderId="0" applyNumberFormat="0" applyBorder="0" applyAlignment="0" applyProtection="0"/>
    <xf numFmtId="0" fontId="32" fillId="37" borderId="0" applyNumberFormat="0" applyBorder="0" applyAlignment="0" applyProtection="0"/>
    <xf numFmtId="0" fontId="25" fillId="0" borderId="9" applyNumberFormat="0" applyFill="0" applyAlignment="0" applyProtection="0"/>
    <xf numFmtId="0" fontId="10" fillId="0" borderId="0"/>
    <xf numFmtId="0" fontId="30" fillId="37" borderId="39" applyNumberFormat="0" applyFont="0" applyAlignment="0" applyProtection="0"/>
    <xf numFmtId="0" fontId="22" fillId="7" borderId="7" applyNumberFormat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30" fillId="0" borderId="0" applyNumberFormat="0" applyFill="0" applyBorder="0" applyAlignment="0" applyProtection="0"/>
    <xf numFmtId="0" fontId="49" fillId="40" borderId="0" applyNumberFormat="0" applyBorder="0" applyAlignment="0" applyProtection="0"/>
    <xf numFmtId="0" fontId="35" fillId="49" borderId="90" applyNumberFormat="0" applyAlignment="0" applyProtection="0"/>
    <xf numFmtId="0" fontId="18" fillId="5" borderId="4" applyNumberFormat="0" applyAlignment="0" applyProtection="0"/>
    <xf numFmtId="0" fontId="42" fillId="0" borderId="94" applyBorder="0">
      <alignment horizontal="left" vertical="top"/>
    </xf>
    <xf numFmtId="0" fontId="15" fillId="2" borderId="0" applyNumberFormat="0" applyBorder="0" applyAlignment="0" applyProtection="0"/>
    <xf numFmtId="0" fontId="20" fillId="6" borderId="4" applyNumberFormat="0" applyAlignment="0" applyProtection="0"/>
    <xf numFmtId="0" fontId="26" fillId="20" borderId="0" applyNumberFormat="0" applyBorder="0" applyAlignment="0" applyProtection="0"/>
    <xf numFmtId="0" fontId="31" fillId="15" borderId="0" applyNumberFormat="0" applyBorder="0" applyAlignment="0" applyProtection="0"/>
    <xf numFmtId="0" fontId="49" fillId="40" borderId="0" applyNumberFormat="0" applyBorder="0" applyAlignment="0" applyProtection="0"/>
    <xf numFmtId="0" fontId="31" fillId="23" borderId="0" applyNumberFormat="0" applyBorder="0" applyAlignment="0" applyProtection="0"/>
    <xf numFmtId="0" fontId="30" fillId="0" borderId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21" fillId="0" borderId="6" applyNumberFormat="0" applyFill="0" applyAlignment="0" applyProtection="0"/>
    <xf numFmtId="0" fontId="32" fillId="41" borderId="0" applyNumberFormat="0" applyBorder="0" applyAlignment="0" applyProtection="0"/>
    <xf numFmtId="0" fontId="26" fillId="29" borderId="0" applyNumberFormat="0" applyBorder="0" applyAlignment="0" applyProtection="0"/>
    <xf numFmtId="0" fontId="10" fillId="31" borderId="0" applyNumberFormat="0" applyBorder="0" applyAlignment="0" applyProtection="0"/>
    <xf numFmtId="0" fontId="26" fillId="25" borderId="0" applyNumberFormat="0" applyBorder="0" applyAlignment="0" applyProtection="0"/>
    <xf numFmtId="0" fontId="32" fillId="35" borderId="0" applyNumberFormat="0" applyBorder="0" applyAlignment="0" applyProtection="0"/>
    <xf numFmtId="0" fontId="32" fillId="40" borderId="0" applyNumberFormat="0" applyBorder="0" applyAlignment="0" applyProtection="0"/>
    <xf numFmtId="0" fontId="31" fillId="30" borderId="0" applyNumberFormat="0" applyBorder="0" applyAlignment="0" applyProtection="0"/>
    <xf numFmtId="0" fontId="10" fillId="27" borderId="0" applyNumberFormat="0" applyBorder="0" applyAlignment="0" applyProtection="0"/>
    <xf numFmtId="0" fontId="15" fillId="2" borderId="0" applyNumberFormat="0" applyBorder="0" applyAlignment="0" applyProtection="0"/>
    <xf numFmtId="0" fontId="46" fillId="40" borderId="90" applyNumberFormat="0" applyAlignment="0" applyProtection="0"/>
    <xf numFmtId="0" fontId="46" fillId="40" borderId="100" applyNumberFormat="0" applyAlignment="0" applyProtection="0"/>
    <xf numFmtId="0" fontId="31" fillId="23" borderId="0" applyNumberFormat="0" applyBorder="0" applyAlignment="0" applyProtection="0"/>
    <xf numFmtId="0" fontId="31" fillId="14" borderId="0" applyNumberFormat="0" applyBorder="0" applyAlignment="0" applyProtection="0"/>
    <xf numFmtId="0" fontId="35" fillId="49" borderId="90" applyNumberFormat="0" applyAlignment="0" applyProtection="0"/>
    <xf numFmtId="0" fontId="45" fillId="0" borderId="15" applyNumberFormat="0" applyFill="0" applyAlignment="0" applyProtection="0"/>
    <xf numFmtId="0" fontId="37" fillId="0" borderId="0"/>
    <xf numFmtId="0" fontId="52" fillId="49" borderId="92" applyNumberFormat="0" applyAlignment="0" applyProtection="0"/>
    <xf numFmtId="0" fontId="115" fillId="63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57" fillId="0" borderId="0" applyNumberFormat="0" applyFill="0" applyBorder="0" applyAlignment="0" applyProtection="0"/>
    <xf numFmtId="0" fontId="31" fillId="22" borderId="0" applyNumberFormat="0" applyBorder="0" applyAlignment="0" applyProtection="0"/>
    <xf numFmtId="0" fontId="17" fillId="4" borderId="0" applyNumberFormat="0" applyBorder="0" applyAlignment="0" applyProtection="0"/>
    <xf numFmtId="0" fontId="48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31" fillId="27" borderId="0" applyNumberFormat="0" applyBorder="0" applyAlignment="0" applyProtection="0"/>
    <xf numFmtId="0" fontId="10" fillId="31" borderId="0" applyNumberFormat="0" applyBorder="0" applyAlignment="0" applyProtection="0"/>
    <xf numFmtId="0" fontId="59" fillId="0" borderId="93" applyNumberFormat="0" applyFill="0" applyAlignment="0" applyProtection="0"/>
    <xf numFmtId="0" fontId="32" fillId="40" borderId="0" applyNumberFormat="0" applyBorder="0" applyAlignment="0" applyProtection="0"/>
    <xf numFmtId="0" fontId="26" fillId="13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52" fillId="49" borderId="105" applyNumberFormat="0" applyAlignment="0" applyProtection="0"/>
    <xf numFmtId="0" fontId="46" fillId="40" borderId="90" applyNumberFormat="0" applyAlignment="0" applyProtection="0"/>
    <xf numFmtId="0" fontId="10" fillId="0" borderId="0"/>
    <xf numFmtId="0" fontId="42" fillId="0" borderId="94" applyBorder="0">
      <alignment horizontal="left" vertical="top"/>
    </xf>
    <xf numFmtId="0" fontId="10" fillId="15" borderId="0" applyNumberFormat="0" applyBorder="0" applyAlignment="0" applyProtection="0"/>
    <xf numFmtId="0" fontId="10" fillId="14" borderId="0" applyNumberFormat="0" applyBorder="0" applyAlignment="0" applyProtection="0"/>
    <xf numFmtId="0" fontId="31" fillId="22" borderId="0" applyNumberFormat="0" applyBorder="0" applyAlignment="0" applyProtection="0"/>
    <xf numFmtId="0" fontId="48" fillId="0" borderId="16" applyNumberFormat="0" applyFill="0" applyAlignment="0" applyProtection="0"/>
    <xf numFmtId="0" fontId="16" fillId="3" borderId="0" applyNumberFormat="0" applyBorder="0" applyAlignment="0" applyProtection="0"/>
    <xf numFmtId="0" fontId="52" fillId="49" borderId="92" applyNumberFormat="0" applyAlignment="0" applyProtection="0"/>
    <xf numFmtId="0" fontId="19" fillId="6" borderId="5" applyNumberFormat="0" applyAlignment="0" applyProtection="0"/>
    <xf numFmtId="0" fontId="48" fillId="0" borderId="16" applyNumberFormat="0" applyFill="0" applyAlignment="0" applyProtection="0"/>
    <xf numFmtId="0" fontId="30" fillId="0" borderId="0" applyNumberFormat="0" applyFill="0" applyBorder="0" applyAlignment="0" applyProtection="0"/>
    <xf numFmtId="0" fontId="50" fillId="0" borderId="0"/>
    <xf numFmtId="0" fontId="31" fillId="11" borderId="0" applyNumberFormat="0" applyBorder="0" applyAlignment="0" applyProtection="0"/>
    <xf numFmtId="0" fontId="31" fillId="0" borderId="0"/>
    <xf numFmtId="0" fontId="10" fillId="14" borderId="0" applyNumberFormat="0" applyBorder="0" applyAlignment="0" applyProtection="0"/>
    <xf numFmtId="0" fontId="10" fillId="26" borderId="0" applyNumberFormat="0" applyBorder="0" applyAlignment="0" applyProtection="0"/>
    <xf numFmtId="0" fontId="31" fillId="23" borderId="0" applyNumberFormat="0" applyBorder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6" fillId="12" borderId="0" applyNumberFormat="0" applyBorder="0" applyAlignment="0" applyProtection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1" fillId="27" borderId="0" applyNumberFormat="0" applyBorder="0" applyAlignment="0" applyProtection="0"/>
    <xf numFmtId="0" fontId="30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26" fillId="28" borderId="0" applyNumberFormat="0" applyBorder="0" applyAlignment="0" applyProtection="0"/>
    <xf numFmtId="0" fontId="10" fillId="0" borderId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32" fillId="36" borderId="0" applyNumberFormat="0" applyBorder="0" applyAlignment="0" applyProtection="0"/>
    <xf numFmtId="0" fontId="32" fillId="35" borderId="0" applyNumberFormat="0" applyBorder="0" applyAlignment="0" applyProtection="0"/>
    <xf numFmtId="0" fontId="31" fillId="27" borderId="0" applyNumberFormat="0" applyBorder="0" applyAlignment="0" applyProtection="0"/>
    <xf numFmtId="0" fontId="30" fillId="0" borderId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0" fillId="0" borderId="0"/>
    <xf numFmtId="0" fontId="32" fillId="41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18" borderId="0" applyNumberFormat="0" applyBorder="0" applyAlignment="0" applyProtection="0"/>
    <xf numFmtId="0" fontId="59" fillId="0" borderId="93" applyNumberFormat="0" applyFill="0" applyAlignment="0" applyProtection="0"/>
    <xf numFmtId="0" fontId="30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26" fillId="24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42" fillId="0" borderId="94" applyBorder="0">
      <alignment horizontal="left" vertical="top"/>
    </xf>
    <xf numFmtId="0" fontId="46" fillId="40" borderId="90" applyNumberFormat="0" applyAlignment="0" applyProtection="0"/>
    <xf numFmtId="0" fontId="31" fillId="23" borderId="0" applyNumberFormat="0" applyBorder="0" applyAlignment="0" applyProtection="0"/>
    <xf numFmtId="0" fontId="24" fillId="0" borderId="0" applyNumberFormat="0" applyFill="0" applyBorder="0" applyAlignment="0" applyProtection="0"/>
    <xf numFmtId="0" fontId="31" fillId="22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2" fillId="0" borderId="94" applyBorder="0">
      <alignment horizontal="left" vertical="top"/>
    </xf>
    <xf numFmtId="0" fontId="52" fillId="49" borderId="92" applyNumberFormat="0" applyAlignment="0" applyProtection="0"/>
    <xf numFmtId="0" fontId="43" fillId="0" borderId="13" applyNumberFormat="0" applyFill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48" fillId="0" borderId="16" applyNumberFormat="0" applyFill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31" fillId="10" borderId="0" applyNumberFormat="0" applyBorder="0" applyAlignment="0" applyProtection="0"/>
    <xf numFmtId="0" fontId="15" fillId="2" borderId="0" applyNumberFormat="0" applyBorder="0" applyAlignment="0" applyProtection="0"/>
    <xf numFmtId="0" fontId="30" fillId="0" borderId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5" fillId="49" borderId="100" applyNumberFormat="0" applyAlignment="0" applyProtection="0"/>
    <xf numFmtId="0" fontId="32" fillId="36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9" borderId="0" applyNumberFormat="0" applyBorder="0" applyAlignment="0" applyProtection="0"/>
    <xf numFmtId="0" fontId="23" fillId="0" borderId="0" applyNumberFormat="0" applyFill="0" applyBorder="0" applyAlignment="0" applyProtection="0"/>
    <xf numFmtId="0" fontId="32" fillId="40" borderId="0" applyNumberFormat="0" applyBorder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10" fillId="0" borderId="0"/>
    <xf numFmtId="0" fontId="10" fillId="0" borderId="0"/>
    <xf numFmtId="0" fontId="39" fillId="39" borderId="0" applyNumberFormat="0" applyBorder="0" applyAlignment="0" applyProtection="0"/>
    <xf numFmtId="0" fontId="22" fillId="7" borderId="7" applyNumberFormat="0" applyAlignment="0" applyProtection="0"/>
    <xf numFmtId="0" fontId="19" fillId="6" borderId="5" applyNumberFormat="0" applyAlignment="0" applyProtection="0"/>
    <xf numFmtId="0" fontId="30" fillId="0" borderId="0"/>
    <xf numFmtId="0" fontId="30" fillId="0" borderId="0"/>
    <xf numFmtId="0" fontId="59" fillId="0" borderId="93" applyNumberFormat="0" applyFill="0" applyAlignment="0" applyProtection="0"/>
    <xf numFmtId="0" fontId="35" fillId="49" borderId="90" applyNumberFormat="0" applyAlignment="0" applyProtection="0"/>
    <xf numFmtId="0" fontId="36" fillId="50" borderId="11" applyNumberFormat="0" applyAlignment="0" applyProtection="0"/>
    <xf numFmtId="0" fontId="31" fillId="31" borderId="0" applyNumberFormat="0" applyBorder="0" applyAlignment="0" applyProtection="0"/>
    <xf numFmtId="0" fontId="49" fillId="40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19" borderId="0" applyNumberFormat="0" applyBorder="0" applyAlignment="0" applyProtection="0"/>
    <xf numFmtId="0" fontId="15" fillId="2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26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10" borderId="0" applyNumberFormat="0" applyBorder="0" applyAlignment="0" applyProtection="0"/>
    <xf numFmtId="0" fontId="30" fillId="8" borderId="8" applyNumberFormat="0" applyFont="0" applyAlignment="0" applyProtection="0"/>
    <xf numFmtId="0" fontId="25" fillId="0" borderId="9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5" fillId="0" borderId="9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10" fillId="0" borderId="0"/>
    <xf numFmtId="0" fontId="10" fillId="0" borderId="0"/>
    <xf numFmtId="0" fontId="37" fillId="0" borderId="0"/>
    <xf numFmtId="0" fontId="49" fillId="40" borderId="0" applyNumberFormat="0" applyBorder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39" fillId="39" borderId="0" applyNumberFormat="0" applyBorder="0" applyAlignment="0" applyProtection="0"/>
    <xf numFmtId="0" fontId="31" fillId="8" borderId="8" applyNumberFormat="0" applyFont="0" applyAlignment="0" applyProtection="0"/>
    <xf numFmtId="0" fontId="12" fillId="0" borderId="1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15" fillId="2" borderId="0" applyNumberFormat="0" applyBorder="0" applyAlignment="0" applyProtection="0"/>
    <xf numFmtId="0" fontId="22" fillId="7" borderId="7" applyNumberFormat="0" applyAlignment="0" applyProtection="0"/>
    <xf numFmtId="0" fontId="26" fillId="16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30" fillId="0" borderId="0"/>
    <xf numFmtId="0" fontId="31" fillId="31" borderId="0" applyNumberFormat="0" applyBorder="0" applyAlignment="0" applyProtection="0"/>
    <xf numFmtId="0" fontId="31" fillId="19" borderId="0" applyNumberFormat="0" applyBorder="0" applyAlignment="0" applyProtection="0"/>
    <xf numFmtId="0" fontId="31" fillId="30" borderId="0" applyNumberFormat="0" applyBorder="0" applyAlignment="0" applyProtection="0"/>
    <xf numFmtId="0" fontId="31" fillId="18" borderId="0" applyNumberFormat="0" applyBorder="0" applyAlignment="0" applyProtection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46" fillId="40" borderId="90" applyNumberFormat="0" applyAlignment="0" applyProtection="0"/>
    <xf numFmtId="0" fontId="38" fillId="0" borderId="0" applyNumberFormat="0" applyFill="0" applyBorder="0" applyAlignment="0" applyProtection="0"/>
    <xf numFmtId="0" fontId="45" fillId="0" borderId="15" applyNumberFormat="0" applyFill="0" applyAlignment="0" applyProtection="0"/>
    <xf numFmtId="0" fontId="35" fillId="49" borderId="90" applyNumberFormat="0" applyAlignment="0" applyProtection="0"/>
    <xf numFmtId="0" fontId="34" fillId="48" borderId="0" applyNumberFormat="0" applyBorder="0" applyAlignment="0" applyProtection="0"/>
    <xf numFmtId="0" fontId="48" fillId="0" borderId="0" applyNumberFormat="0" applyFill="0" applyBorder="0" applyAlignment="0" applyProtection="0"/>
    <xf numFmtId="0" fontId="30" fillId="0" borderId="0"/>
    <xf numFmtId="0" fontId="35" fillId="49" borderId="90" applyNumberFormat="0" applyAlignment="0" applyProtection="0"/>
    <xf numFmtId="0" fontId="48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31" fillId="10" borderId="0" applyNumberFormat="0" applyBorder="0" applyAlignment="0" applyProtection="0"/>
    <xf numFmtId="0" fontId="31" fillId="19" borderId="0" applyNumberFormat="0" applyBorder="0" applyAlignment="0" applyProtection="0"/>
    <xf numFmtId="0" fontId="32" fillId="41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48" fillId="0" borderId="16" applyNumberFormat="0" applyFill="0" applyAlignment="0" applyProtection="0"/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45" fillId="0" borderId="15" applyNumberFormat="0" applyFill="0" applyAlignment="0" applyProtection="0"/>
    <xf numFmtId="0" fontId="31" fillId="22" borderId="0" applyNumberFormat="0" applyBorder="0" applyAlignment="0" applyProtection="0"/>
    <xf numFmtId="0" fontId="10" fillId="26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13" fillId="0" borderId="2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59" fillId="0" borderId="93" applyNumberFormat="0" applyFill="0" applyAlignment="0" applyProtection="0"/>
    <xf numFmtId="0" fontId="38" fillId="0" borderId="0" applyNumberFormat="0" applyFill="0" applyBorder="0" applyAlignment="0" applyProtection="0"/>
    <xf numFmtId="0" fontId="31" fillId="0" borderId="0"/>
    <xf numFmtId="0" fontId="21" fillId="0" borderId="6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26" fillId="29" borderId="0" applyNumberFormat="0" applyBorder="0" applyAlignment="0" applyProtection="0"/>
    <xf numFmtId="0" fontId="31" fillId="18" borderId="0" applyNumberFormat="0" applyBorder="0" applyAlignment="0" applyProtection="0"/>
    <xf numFmtId="0" fontId="31" fillId="23" borderId="0" applyNumberFormat="0" applyBorder="0" applyAlignment="0" applyProtection="0"/>
    <xf numFmtId="0" fontId="25" fillId="0" borderId="9" applyNumberFormat="0" applyFill="0" applyAlignment="0" applyProtection="0"/>
    <xf numFmtId="0" fontId="31" fillId="23" borderId="0" applyNumberFormat="0" applyBorder="0" applyAlignment="0" applyProtection="0"/>
    <xf numFmtId="0" fontId="31" fillId="8" borderId="8" applyNumberFormat="0" applyFont="0" applyAlignment="0" applyProtection="0"/>
    <xf numFmtId="0" fontId="32" fillId="36" borderId="0" applyNumberFormat="0" applyBorder="0" applyAlignment="0" applyProtection="0"/>
    <xf numFmtId="0" fontId="48" fillId="0" borderId="16" applyNumberFormat="0" applyFill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10" fillId="0" borderId="0"/>
    <xf numFmtId="0" fontId="31" fillId="27" borderId="0" applyNumberFormat="0" applyBorder="0" applyAlignment="0" applyProtection="0"/>
    <xf numFmtId="0" fontId="42" fillId="0" borderId="94" applyBorder="0">
      <alignment horizontal="left" vertical="top"/>
    </xf>
    <xf numFmtId="0" fontId="22" fillId="7" borderId="7" applyNumberFormat="0" applyAlignment="0" applyProtection="0"/>
    <xf numFmtId="0" fontId="59" fillId="0" borderId="93" applyNumberFormat="0" applyFill="0" applyAlignment="0" applyProtection="0"/>
    <xf numFmtId="0" fontId="30" fillId="0" borderId="0"/>
    <xf numFmtId="0" fontId="31" fillId="11" borderId="0" applyNumberFormat="0" applyBorder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26" fillId="20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8" borderId="8" applyNumberFormat="0" applyFont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7" fillId="0" borderId="0"/>
    <xf numFmtId="9" fontId="30" fillId="0" borderId="0" applyFont="0" applyFill="0" applyBorder="0" applyAlignment="0" applyProtection="0"/>
    <xf numFmtId="0" fontId="26" fillId="32" borderId="0" applyNumberFormat="0" applyBorder="0" applyAlignment="0" applyProtection="0"/>
    <xf numFmtId="0" fontId="52" fillId="49" borderId="92" applyNumberFormat="0" applyAlignment="0" applyProtection="0"/>
    <xf numFmtId="0" fontId="10" fillId="0" borderId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43" fillId="0" borderId="13" applyNumberFormat="0" applyFill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3" borderId="0" applyNumberFormat="0" applyBorder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15" borderId="0" applyNumberFormat="0" applyBorder="0" applyAlignment="0" applyProtection="0"/>
    <xf numFmtId="0" fontId="10" fillId="10" borderId="0" applyNumberFormat="0" applyBorder="0" applyAlignment="0" applyProtection="0"/>
    <xf numFmtId="0" fontId="31" fillId="27" borderId="0" applyNumberFormat="0" applyBorder="0" applyAlignment="0" applyProtection="0"/>
    <xf numFmtId="0" fontId="10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32" borderId="0" applyNumberFormat="0" applyBorder="0" applyAlignment="0" applyProtection="0"/>
    <xf numFmtId="0" fontId="26" fillId="29" borderId="0" applyNumberFormat="0" applyBorder="0" applyAlignment="0" applyProtection="0"/>
    <xf numFmtId="0" fontId="16" fillId="3" borderId="0" applyNumberFormat="0" applyBorder="0" applyAlignment="0" applyProtection="0"/>
    <xf numFmtId="0" fontId="22" fillId="7" borderId="7" applyNumberFormat="0" applyAlignment="0" applyProtection="0"/>
    <xf numFmtId="0" fontId="42" fillId="0" borderId="94" applyBorder="0">
      <alignment horizontal="left" vertical="top"/>
    </xf>
    <xf numFmtId="0" fontId="12" fillId="0" borderId="1" applyNumberFormat="0" applyFill="0" applyAlignment="0" applyProtection="0"/>
    <xf numFmtId="0" fontId="34" fillId="48" borderId="0" applyNumberFormat="0" applyBorder="0" applyAlignment="0" applyProtection="0"/>
    <xf numFmtId="0" fontId="18" fillId="5" borderId="4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21" fillId="0" borderId="6" applyNumberFormat="0" applyFill="0" applyAlignment="0" applyProtection="0"/>
    <xf numFmtId="0" fontId="49" fillId="40" borderId="0" applyNumberFormat="0" applyBorder="0" applyAlignment="0" applyProtection="0"/>
    <xf numFmtId="0" fontId="37" fillId="0" borderId="0"/>
    <xf numFmtId="0" fontId="10" fillId="0" borderId="0"/>
    <xf numFmtId="0" fontId="10" fillId="0" borderId="0"/>
    <xf numFmtId="0" fontId="30" fillId="8" borderId="8" applyNumberFormat="0" applyFont="0" applyAlignment="0" applyProtection="0"/>
    <xf numFmtId="0" fontId="45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3" fillId="0" borderId="0" applyNumberFormat="0" applyFill="0" applyBorder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36" fillId="50" borderId="11" applyNumberFormat="0" applyAlignment="0" applyProtection="0"/>
    <xf numFmtId="0" fontId="30" fillId="8" borderId="8" applyNumberFormat="0" applyFont="0" applyAlignment="0" applyProtection="0"/>
    <xf numFmtId="0" fontId="52" fillId="49" borderId="92" applyNumberFormat="0" applyAlignment="0" applyProtection="0"/>
    <xf numFmtId="0" fontId="31" fillId="31" borderId="0" applyNumberFormat="0" applyBorder="0" applyAlignment="0" applyProtection="0"/>
    <xf numFmtId="0" fontId="42" fillId="0" borderId="94" applyBorder="0">
      <alignment horizontal="left" vertical="top"/>
    </xf>
    <xf numFmtId="0" fontId="26" fillId="24" borderId="0" applyNumberFormat="0" applyBorder="0" applyAlignment="0" applyProtection="0"/>
    <xf numFmtId="0" fontId="48" fillId="0" borderId="0" applyNumberFormat="0" applyFill="0" applyBorder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18" fillId="5" borderId="4" applyNumberFormat="0" applyAlignment="0" applyProtection="0"/>
    <xf numFmtId="0" fontId="16" fillId="3" borderId="0" applyNumberFormat="0" applyBorder="0" applyAlignment="0" applyProtection="0"/>
    <xf numFmtId="0" fontId="39" fillId="39" borderId="0" applyNumberFormat="0" applyBorder="0" applyAlignment="0" applyProtection="0"/>
    <xf numFmtId="0" fontId="51" fillId="0" borderId="56" applyNumberFormat="0" applyFill="0" applyAlignment="0" applyProtection="0"/>
    <xf numFmtId="0" fontId="52" fillId="49" borderId="92" applyNumberFormat="0" applyAlignment="0" applyProtection="0"/>
    <xf numFmtId="0" fontId="31" fillId="18" borderId="0" applyNumberFormat="0" applyBorder="0" applyAlignment="0" applyProtection="0"/>
    <xf numFmtId="0" fontId="31" fillId="30" borderId="0" applyNumberFormat="0" applyBorder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48" fillId="0" borderId="0" applyNumberFormat="0" applyFill="0" applyBorder="0" applyAlignment="0" applyProtection="0"/>
    <xf numFmtId="0" fontId="26" fillId="21" borderId="0" applyNumberFormat="0" applyBorder="0" applyAlignment="0" applyProtection="0"/>
    <xf numFmtId="0" fontId="32" fillId="35" borderId="0" applyNumberFormat="0" applyBorder="0" applyAlignment="0" applyProtection="0"/>
    <xf numFmtId="0" fontId="57" fillId="0" borderId="0" applyNumberFormat="0" applyFill="0" applyBorder="0" applyAlignment="0" applyProtection="0"/>
    <xf numFmtId="0" fontId="32" fillId="41" borderId="0" applyNumberFormat="0" applyBorder="0" applyAlignment="0" applyProtection="0"/>
    <xf numFmtId="0" fontId="31" fillId="27" borderId="0" applyNumberFormat="0" applyBorder="0" applyAlignment="0" applyProtection="0"/>
    <xf numFmtId="0" fontId="30" fillId="37" borderId="39" applyNumberFormat="0" applyFont="0" applyAlignment="0" applyProtection="0"/>
    <xf numFmtId="0" fontId="31" fillId="14" borderId="0" applyNumberFormat="0" applyBorder="0" applyAlignment="0" applyProtection="0"/>
    <xf numFmtId="0" fontId="31" fillId="31" borderId="0" applyNumberFormat="0" applyBorder="0" applyAlignment="0" applyProtection="0"/>
    <xf numFmtId="0" fontId="26" fillId="25" borderId="0" applyNumberFormat="0" applyBorder="0" applyAlignment="0" applyProtection="0"/>
    <xf numFmtId="0" fontId="48" fillId="0" borderId="16" applyNumberFormat="0" applyFill="0" applyAlignment="0" applyProtection="0"/>
    <xf numFmtId="0" fontId="30" fillId="0" borderId="0"/>
    <xf numFmtId="0" fontId="31" fillId="18" borderId="0" applyNumberFormat="0" applyBorder="0" applyAlignment="0" applyProtection="0"/>
    <xf numFmtId="0" fontId="26" fillId="24" borderId="0" applyNumberFormat="0" applyBorder="0" applyAlignment="0" applyProtection="0"/>
    <xf numFmtId="0" fontId="32" fillId="36" borderId="0" applyNumberFormat="0" applyBorder="0" applyAlignment="0" applyProtection="0"/>
    <xf numFmtId="0" fontId="32" fillId="41" borderId="0" applyNumberFormat="0" applyBorder="0" applyAlignment="0" applyProtection="0"/>
    <xf numFmtId="0" fontId="32" fillId="38" borderId="0" applyNumberFormat="0" applyBorder="0" applyAlignment="0" applyProtection="0"/>
    <xf numFmtId="0" fontId="31" fillId="11" borderId="0" applyNumberFormat="0" applyBorder="0" applyAlignment="0" applyProtection="0"/>
    <xf numFmtId="0" fontId="35" fillId="49" borderId="90" applyNumberFormat="0" applyAlignment="0" applyProtection="0"/>
    <xf numFmtId="0" fontId="21" fillId="0" borderId="6" applyNumberFormat="0" applyFill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31" fillId="15" borderId="0" applyNumberFormat="0" applyBorder="0" applyAlignment="0" applyProtection="0"/>
    <xf numFmtId="0" fontId="23" fillId="0" borderId="0" applyNumberFormat="0" applyFill="0" applyBorder="0" applyAlignment="0" applyProtection="0"/>
    <xf numFmtId="0" fontId="46" fillId="40" borderId="100" applyNumberFormat="0" applyAlignment="0" applyProtection="0"/>
    <xf numFmtId="0" fontId="26" fillId="28" borderId="0" applyNumberFormat="0" applyBorder="0" applyAlignment="0" applyProtection="0"/>
    <xf numFmtId="0" fontId="31" fillId="11" borderId="0" applyNumberFormat="0" applyBorder="0" applyAlignment="0" applyProtection="0"/>
    <xf numFmtId="0" fontId="59" fillId="0" borderId="93" applyNumberFormat="0" applyFill="0" applyAlignment="0" applyProtection="0"/>
    <xf numFmtId="0" fontId="31" fillId="14" borderId="0" applyNumberFormat="0" applyBorder="0" applyAlignment="0" applyProtection="0"/>
    <xf numFmtId="0" fontId="25" fillId="0" borderId="9" applyNumberFormat="0" applyFill="0" applyAlignment="0" applyProtection="0"/>
    <xf numFmtId="0" fontId="46" fillId="40" borderId="90" applyNumberFormat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24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31" borderId="0" applyNumberFormat="0" applyBorder="0" applyAlignment="0" applyProtection="0"/>
    <xf numFmtId="0" fontId="32" fillId="38" borderId="0" applyNumberFormat="0" applyBorder="0" applyAlignment="0" applyProtection="0"/>
    <xf numFmtId="0" fontId="31" fillId="11" borderId="0" applyNumberFormat="0" applyBorder="0" applyAlignment="0" applyProtection="0"/>
    <xf numFmtId="0" fontId="42" fillId="0" borderId="94" applyBorder="0">
      <alignment horizontal="left" vertical="top"/>
    </xf>
    <xf numFmtId="0" fontId="45" fillId="0" borderId="15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27" borderId="0" applyNumberFormat="0" applyBorder="0" applyAlignment="0" applyProtection="0"/>
    <xf numFmtId="0" fontId="30" fillId="0" borderId="0"/>
    <xf numFmtId="0" fontId="31" fillId="22" borderId="0" applyNumberFormat="0" applyBorder="0" applyAlignment="0" applyProtection="0"/>
    <xf numFmtId="0" fontId="32" fillId="37" borderId="0" applyNumberFormat="0" applyBorder="0" applyAlignment="0" applyProtection="0"/>
    <xf numFmtId="0" fontId="22" fillId="7" borderId="7" applyNumberFormat="0" applyAlignment="0" applyProtection="0"/>
    <xf numFmtId="0" fontId="15" fillId="2" borderId="0" applyNumberFormat="0" applyBorder="0" applyAlignment="0" applyProtection="0"/>
    <xf numFmtId="0" fontId="31" fillId="10" borderId="0" applyNumberFormat="0" applyBorder="0" applyAlignment="0" applyProtection="0"/>
    <xf numFmtId="0" fontId="30" fillId="0" borderId="0"/>
    <xf numFmtId="0" fontId="31" fillId="26" borderId="0" applyNumberFormat="0" applyBorder="0" applyAlignment="0" applyProtection="0"/>
    <xf numFmtId="0" fontId="26" fillId="17" borderId="0" applyNumberFormat="0" applyBorder="0" applyAlignment="0" applyProtection="0"/>
    <xf numFmtId="0" fontId="34" fillId="48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0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31" fillId="18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30" borderId="0" applyNumberFormat="0" applyBorder="0" applyAlignment="0" applyProtection="0"/>
    <xf numFmtId="0" fontId="31" fillId="22" borderId="0" applyNumberFormat="0" applyBorder="0" applyAlignment="0" applyProtection="0"/>
    <xf numFmtId="9" fontId="30" fillId="0" borderId="0" applyFont="0" applyFill="0" applyBorder="0" applyAlignment="0" applyProtection="0"/>
    <xf numFmtId="0" fontId="46" fillId="40" borderId="90" applyNumberFormat="0" applyAlignment="0" applyProtection="0"/>
    <xf numFmtId="0" fontId="10" fillId="30" borderId="0" applyNumberFormat="0" applyBorder="0" applyAlignment="0" applyProtection="0"/>
    <xf numFmtId="0" fontId="31" fillId="26" borderId="0" applyNumberFormat="0" applyBorder="0" applyAlignment="0" applyProtection="0"/>
    <xf numFmtId="0" fontId="20" fillId="6" borderId="4" applyNumberFormat="0" applyAlignment="0" applyProtection="0"/>
    <xf numFmtId="0" fontId="31" fillId="30" borderId="0" applyNumberFormat="0" applyBorder="0" applyAlignment="0" applyProtection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2" fillId="39" borderId="0" applyNumberFormat="0" applyBorder="0" applyAlignment="0" applyProtection="0"/>
    <xf numFmtId="0" fontId="26" fillId="24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5" borderId="0" applyNumberFormat="0" applyBorder="0" applyAlignment="0" applyProtection="0"/>
    <xf numFmtId="0" fontId="31" fillId="11" borderId="0" applyNumberFormat="0" applyBorder="0" applyAlignment="0" applyProtection="0"/>
    <xf numFmtId="0" fontId="31" fillId="22" borderId="0" applyNumberFormat="0" applyBorder="0" applyAlignment="0" applyProtection="0"/>
    <xf numFmtId="0" fontId="16" fillId="3" borderId="0" applyNumberFormat="0" applyBorder="0" applyAlignment="0" applyProtection="0"/>
    <xf numFmtId="0" fontId="3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52" fillId="49" borderId="92" applyNumberFormat="0" applyAlignment="0" applyProtection="0"/>
    <xf numFmtId="0" fontId="30" fillId="0" borderId="0" applyNumberFormat="0" applyFill="0" applyBorder="0" applyAlignment="0" applyProtection="0"/>
    <xf numFmtId="0" fontId="31" fillId="26" borderId="0" applyNumberFormat="0" applyBorder="0" applyAlignment="0" applyProtection="0"/>
    <xf numFmtId="0" fontId="10" fillId="31" borderId="0" applyNumberFormat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5" fillId="49" borderId="100" applyNumberFormat="0" applyAlignment="0" applyProtection="0"/>
    <xf numFmtId="0" fontId="37" fillId="0" borderId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34" fillId="48" borderId="0" applyNumberFormat="0" applyBorder="0" applyAlignment="0" applyProtection="0"/>
    <xf numFmtId="0" fontId="26" fillId="25" borderId="0" applyNumberFormat="0" applyBorder="0" applyAlignment="0" applyProtection="0"/>
    <xf numFmtId="0" fontId="26" fillId="9" borderId="0" applyNumberFormat="0" applyBorder="0" applyAlignment="0" applyProtection="0"/>
    <xf numFmtId="0" fontId="10" fillId="19" borderId="0" applyNumberFormat="0" applyBorder="0" applyAlignment="0" applyProtection="0"/>
    <xf numFmtId="0" fontId="10" fillId="18" borderId="0" applyNumberFormat="0" applyBorder="0" applyAlignment="0" applyProtection="0"/>
    <xf numFmtId="0" fontId="31" fillId="30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0" fillId="0" borderId="0"/>
    <xf numFmtId="0" fontId="10" fillId="15" borderId="0" applyNumberFormat="0" applyBorder="0" applyAlignment="0" applyProtection="0"/>
    <xf numFmtId="0" fontId="36" fillId="50" borderId="11" applyNumberFormat="0" applyAlignment="0" applyProtection="0"/>
    <xf numFmtId="0" fontId="31" fillId="19" borderId="0" applyNumberFormat="0" applyBorder="0" applyAlignment="0" applyProtection="0"/>
    <xf numFmtId="0" fontId="10" fillId="22" borderId="0" applyNumberFormat="0" applyBorder="0" applyAlignment="0" applyProtection="0"/>
    <xf numFmtId="0" fontId="31" fillId="30" borderId="0" applyNumberFormat="0" applyBorder="0" applyAlignment="0" applyProtection="0"/>
    <xf numFmtId="0" fontId="43" fillId="0" borderId="13" applyNumberFormat="0" applyFill="0" applyAlignment="0" applyProtection="0"/>
    <xf numFmtId="0" fontId="31" fillId="15" borderId="0" applyNumberFormat="0" applyBorder="0" applyAlignment="0" applyProtection="0"/>
    <xf numFmtId="0" fontId="30" fillId="37" borderId="39" applyNumberFormat="0" applyFont="0" applyAlignment="0" applyProtection="0"/>
    <xf numFmtId="0" fontId="31" fillId="15" borderId="0" applyNumberFormat="0" applyBorder="0" applyAlignment="0" applyProtection="0"/>
    <xf numFmtId="0" fontId="14" fillId="0" borderId="3" applyNumberFormat="0" applyFill="0" applyAlignment="0" applyProtection="0"/>
    <xf numFmtId="0" fontId="19" fillId="6" borderId="5" applyNumberFormat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0" fontId="35" fillId="49" borderId="90" applyNumberFormat="0" applyAlignment="0" applyProtection="0"/>
    <xf numFmtId="0" fontId="49" fillId="40" borderId="0" applyNumberFormat="0" applyBorder="0" applyAlignment="0" applyProtection="0"/>
    <xf numFmtId="0" fontId="31" fillId="14" borderId="0" applyNumberFormat="0" applyBorder="0" applyAlignment="0" applyProtection="0"/>
    <xf numFmtId="0" fontId="26" fillId="13" borderId="0" applyNumberFormat="0" applyBorder="0" applyAlignment="0" applyProtection="0"/>
    <xf numFmtId="0" fontId="14" fillId="0" borderId="3" applyNumberFormat="0" applyFill="0" applyAlignment="0" applyProtection="0"/>
    <xf numFmtId="0" fontId="21" fillId="0" borderId="6" applyNumberFormat="0" applyFill="0" applyAlignment="0" applyProtection="0"/>
    <xf numFmtId="0" fontId="19" fillId="6" borderId="5" applyNumberFormat="0" applyAlignment="0" applyProtection="0"/>
    <xf numFmtId="0" fontId="46" fillId="40" borderId="90" applyNumberForma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1" fillId="18" borderId="0" applyNumberFormat="0" applyBorder="0" applyAlignment="0" applyProtection="0"/>
    <xf numFmtId="0" fontId="10" fillId="31" borderId="0" applyNumberFormat="0" applyBorder="0" applyAlignment="0" applyProtection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10" fillId="11" borderId="0" applyNumberFormat="0" applyBorder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19" fillId="6" borderId="5" applyNumberFormat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1" fillId="23" borderId="0" applyNumberFormat="0" applyBorder="0" applyAlignment="0" applyProtection="0"/>
    <xf numFmtId="0" fontId="14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26" fillId="32" borderId="0" applyNumberFormat="0" applyBorder="0" applyAlignment="0" applyProtection="0"/>
    <xf numFmtId="0" fontId="43" fillId="0" borderId="13" applyNumberFormat="0" applyFill="0" applyAlignment="0" applyProtection="0"/>
    <xf numFmtId="0" fontId="31" fillId="10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3" fillId="0" borderId="2" applyNumberFormat="0" applyFill="0" applyAlignment="0" applyProtection="0"/>
    <xf numFmtId="0" fontId="10" fillId="0" borderId="0"/>
    <xf numFmtId="0" fontId="44" fillId="0" borderId="14" applyNumberFormat="0" applyFill="0" applyAlignment="0" applyProtection="0"/>
    <xf numFmtId="0" fontId="46" fillId="40" borderId="90" applyNumberFormat="0" applyAlignment="0" applyProtection="0"/>
    <xf numFmtId="0" fontId="43" fillId="0" borderId="13" applyNumberFormat="0" applyFill="0" applyAlignment="0" applyProtection="0"/>
    <xf numFmtId="0" fontId="48" fillId="0" borderId="0" applyNumberFormat="0" applyFill="0" applyBorder="0" applyAlignment="0" applyProtection="0"/>
    <xf numFmtId="0" fontId="52" fillId="49" borderId="92" applyNumberFormat="0" applyAlignment="0" applyProtection="0"/>
    <xf numFmtId="0" fontId="31" fillId="8" borderId="8" applyNumberFormat="0" applyFont="0" applyAlignment="0" applyProtection="0"/>
    <xf numFmtId="0" fontId="26" fillId="16" borderId="0" applyNumberFormat="0" applyBorder="0" applyAlignment="0" applyProtection="0"/>
    <xf numFmtId="0" fontId="52" fillId="49" borderId="92" applyNumberFormat="0" applyAlignment="0" applyProtection="0"/>
    <xf numFmtId="0" fontId="48" fillId="0" borderId="16" applyNumberFormat="0" applyFill="0" applyAlignment="0" applyProtection="0"/>
    <xf numFmtId="0" fontId="59" fillId="0" borderId="93" applyNumberFormat="0" applyFill="0" applyAlignment="0" applyProtection="0"/>
    <xf numFmtId="0" fontId="12" fillId="0" borderId="1" applyNumberFormat="0" applyFill="0" applyAlignment="0" applyProtection="0"/>
    <xf numFmtId="0" fontId="30" fillId="37" borderId="39" applyNumberFormat="0" applyFont="0" applyAlignment="0" applyProtection="0"/>
    <xf numFmtId="0" fontId="52" fillId="49" borderId="92" applyNumberFormat="0" applyAlignment="0" applyProtection="0"/>
    <xf numFmtId="0" fontId="10" fillId="19" borderId="0" applyNumberFormat="0" applyBorder="0" applyAlignment="0" applyProtection="0"/>
    <xf numFmtId="0" fontId="31" fillId="15" borderId="0" applyNumberFormat="0" applyBorder="0" applyAlignment="0" applyProtection="0"/>
    <xf numFmtId="0" fontId="43" fillId="0" borderId="13" applyNumberFormat="0" applyFill="0" applyAlignment="0" applyProtection="0"/>
    <xf numFmtId="0" fontId="14" fillId="0" borderId="3" applyNumberFormat="0" applyFill="0" applyAlignment="0" applyProtection="0"/>
    <xf numFmtId="0" fontId="32" fillId="37" borderId="0" applyNumberFormat="0" applyBorder="0" applyAlignment="0" applyProtection="0"/>
    <xf numFmtId="0" fontId="10" fillId="14" borderId="0" applyNumberFormat="0" applyBorder="0" applyAlignment="0" applyProtection="0"/>
    <xf numFmtId="9" fontId="30" fillId="0" borderId="0" applyFont="0" applyFill="0" applyBorder="0" applyAlignment="0" applyProtection="0"/>
    <xf numFmtId="0" fontId="30" fillId="0" borderId="0"/>
    <xf numFmtId="0" fontId="26" fillId="21" borderId="0" applyNumberFormat="0" applyBorder="0" applyAlignment="0" applyProtection="0"/>
    <xf numFmtId="0" fontId="31" fillId="19" borderId="0" applyNumberFormat="0" applyBorder="0" applyAlignment="0" applyProtection="0"/>
    <xf numFmtId="0" fontId="30" fillId="0" borderId="0"/>
    <xf numFmtId="0" fontId="32" fillId="35" borderId="0" applyNumberFormat="0" applyBorder="0" applyAlignment="0" applyProtection="0"/>
    <xf numFmtId="0" fontId="10" fillId="11" borderId="0" applyNumberFormat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1" fillId="22" borderId="0" applyNumberFormat="0" applyBorder="0" applyAlignment="0" applyProtection="0"/>
    <xf numFmtId="0" fontId="31" fillId="11" borderId="0" applyNumberFormat="0" applyBorder="0" applyAlignment="0" applyProtection="0"/>
    <xf numFmtId="0" fontId="35" fillId="49" borderId="90" applyNumberFormat="0" applyAlignment="0" applyProtection="0"/>
    <xf numFmtId="0" fontId="17" fillId="4" borderId="0" applyNumberFormat="0" applyBorder="0" applyAlignment="0" applyProtection="0"/>
    <xf numFmtId="0" fontId="42" fillId="0" borderId="94" applyBorder="0">
      <alignment horizontal="left" vertical="top"/>
    </xf>
    <xf numFmtId="0" fontId="26" fillId="21" borderId="0" applyNumberFormat="0" applyBorder="0" applyAlignment="0" applyProtection="0"/>
    <xf numFmtId="0" fontId="32" fillId="41" borderId="0" applyNumberFormat="0" applyBorder="0" applyAlignment="0" applyProtection="0"/>
    <xf numFmtId="0" fontId="45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0" fillId="0" borderId="0"/>
    <xf numFmtId="0" fontId="31" fillId="1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32" fillId="37" borderId="0" applyNumberFormat="0" applyBorder="0" applyAlignment="0" applyProtection="0"/>
    <xf numFmtId="0" fontId="45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46" fillId="40" borderId="100" applyNumberFormat="0" applyAlignment="0" applyProtection="0"/>
    <xf numFmtId="0" fontId="26" fillId="12" borderId="0" applyNumberFormat="0" applyBorder="0" applyAlignment="0" applyProtection="0"/>
    <xf numFmtId="0" fontId="31" fillId="27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9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10" borderId="0" applyNumberFormat="0" applyBorder="0" applyAlignment="0" applyProtection="0"/>
    <xf numFmtId="0" fontId="26" fillId="21" borderId="0" applyNumberFormat="0" applyBorder="0" applyAlignment="0" applyProtection="0"/>
    <xf numFmtId="0" fontId="52" fillId="49" borderId="105" applyNumberFormat="0" applyAlignment="0" applyProtection="0"/>
    <xf numFmtId="0" fontId="57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115" fillId="63" borderId="90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31" fillId="14" borderId="0" applyNumberFormat="0" applyBorder="0" applyAlignment="0" applyProtection="0"/>
    <xf numFmtId="0" fontId="14" fillId="0" borderId="3" applyNumberFormat="0" applyFill="0" applyAlignment="0" applyProtection="0"/>
    <xf numFmtId="0" fontId="52" fillId="49" borderId="92" applyNumberFormat="0" applyAlignment="0" applyProtection="0"/>
    <xf numFmtId="0" fontId="46" fillId="40" borderId="90" applyNumberFormat="0" applyAlignment="0" applyProtection="0"/>
    <xf numFmtId="0" fontId="30" fillId="0" borderId="0"/>
    <xf numFmtId="0" fontId="31" fillId="31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10" borderId="0" applyNumberFormat="0" applyBorder="0" applyAlignment="0" applyProtection="0"/>
    <xf numFmtId="0" fontId="57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26" fillId="24" borderId="0" applyNumberFormat="0" applyBorder="0" applyAlignment="0" applyProtection="0"/>
    <xf numFmtId="0" fontId="32" fillId="37" borderId="0" applyNumberFormat="0" applyBorder="0" applyAlignment="0" applyProtection="0"/>
    <xf numFmtId="0" fontId="31" fillId="10" borderId="0" applyNumberFormat="0" applyBorder="0" applyAlignment="0" applyProtection="0"/>
    <xf numFmtId="0" fontId="42" fillId="0" borderId="94" applyBorder="0">
      <alignment horizontal="left" vertical="top"/>
    </xf>
    <xf numFmtId="0" fontId="26" fillId="16" borderId="0" applyNumberFormat="0" applyBorder="0" applyAlignment="0" applyProtection="0"/>
    <xf numFmtId="0" fontId="31" fillId="23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10" fillId="14" borderId="0" applyNumberFormat="0" applyBorder="0" applyAlignment="0" applyProtection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42" fillId="0" borderId="94" applyBorder="0">
      <alignment horizontal="left" vertical="top"/>
    </xf>
    <xf numFmtId="0" fontId="44" fillId="0" borderId="14" applyNumberFormat="0" applyFill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16" fillId="3" borderId="0" applyNumberFormat="0" applyBorder="0" applyAlignment="0" applyProtection="0"/>
    <xf numFmtId="0" fontId="26" fillId="32" borderId="0" applyNumberFormat="0" applyBorder="0" applyAlignment="0" applyProtection="0"/>
    <xf numFmtId="0" fontId="31" fillId="19" borderId="0" applyNumberFormat="0" applyBorder="0" applyAlignment="0" applyProtection="0"/>
    <xf numFmtId="0" fontId="35" fillId="49" borderId="90" applyNumberFormat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52" fillId="49" borderId="92" applyNumberFormat="0" applyAlignment="0" applyProtection="0"/>
    <xf numFmtId="0" fontId="31" fillId="15" borderId="0" applyNumberFormat="0" applyBorder="0" applyAlignment="0" applyProtection="0"/>
    <xf numFmtId="0" fontId="26" fillId="25" borderId="0" applyNumberFormat="0" applyBorder="0" applyAlignment="0" applyProtection="0"/>
    <xf numFmtId="0" fontId="42" fillId="0" borderId="94" applyBorder="0">
      <alignment horizontal="left" vertical="top"/>
    </xf>
    <xf numFmtId="0" fontId="17" fillId="4" borderId="0" applyNumberFormat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10" fillId="30" borderId="0" applyNumberFormat="0" applyBorder="0" applyAlignment="0" applyProtection="0"/>
    <xf numFmtId="0" fontId="31" fillId="31" borderId="0" applyNumberFormat="0" applyBorder="0" applyAlignment="0" applyProtection="0"/>
    <xf numFmtId="0" fontId="38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23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0" borderId="0"/>
    <xf numFmtId="0" fontId="26" fillId="16" borderId="0" applyNumberFormat="0" applyBorder="0" applyAlignment="0" applyProtection="0"/>
    <xf numFmtId="0" fontId="31" fillId="10" borderId="0" applyNumberFormat="0" applyBorder="0" applyAlignment="0" applyProtection="0"/>
    <xf numFmtId="0" fontId="45" fillId="0" borderId="0" applyNumberFormat="0" applyFill="0" applyBorder="0" applyAlignment="0" applyProtection="0"/>
    <xf numFmtId="0" fontId="52" fillId="49" borderId="92" applyNumberFormat="0" applyAlignment="0" applyProtection="0"/>
    <xf numFmtId="0" fontId="38" fillId="0" borderId="0" applyNumberFormat="0" applyFill="0" applyBorder="0" applyAlignment="0" applyProtection="0"/>
    <xf numFmtId="9" fontId="30" fillId="0" borderId="0" applyFont="0" applyFill="0" applyBorder="0" applyAlignment="0" applyProtection="0"/>
    <xf numFmtId="0" fontId="36" fillId="50" borderId="11" applyNumberFormat="0" applyAlignment="0" applyProtection="0"/>
    <xf numFmtId="0" fontId="44" fillId="0" borderId="14" applyNumberFormat="0" applyFill="0" applyAlignment="0" applyProtection="0"/>
    <xf numFmtId="9" fontId="30" fillId="0" borderId="0" applyFont="0" applyFill="0" applyBorder="0" applyAlignment="0" applyProtection="0"/>
    <xf numFmtId="0" fontId="13" fillId="0" borderId="2" applyNumberFormat="0" applyFill="0" applyAlignment="0" applyProtection="0"/>
    <xf numFmtId="0" fontId="26" fillId="16" borderId="0" applyNumberFormat="0" applyBorder="0" applyAlignment="0" applyProtection="0"/>
    <xf numFmtId="0" fontId="36" fillId="50" borderId="11" applyNumberFormat="0" applyAlignment="0" applyProtection="0"/>
    <xf numFmtId="0" fontId="39" fillId="39" borderId="0" applyNumberFormat="0" applyBorder="0" applyAlignment="0" applyProtection="0"/>
    <xf numFmtId="0" fontId="35" fillId="49" borderId="90" applyNumberFormat="0" applyAlignment="0" applyProtection="0"/>
    <xf numFmtId="0" fontId="10" fillId="22" borderId="0" applyNumberFormat="0" applyBorder="0" applyAlignment="0" applyProtection="0"/>
    <xf numFmtId="0" fontId="35" fillId="49" borderId="90" applyNumberFormat="0" applyAlignment="0" applyProtection="0"/>
    <xf numFmtId="0" fontId="30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9" fillId="39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8" fillId="0" borderId="0" applyNumberForma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19" fillId="6" borderId="5" applyNumberFormat="0" applyAlignment="0" applyProtection="0"/>
    <xf numFmtId="0" fontId="45" fillId="0" borderId="0" applyNumberFormat="0" applyFill="0" applyBorder="0" applyAlignment="0" applyProtection="0"/>
    <xf numFmtId="0" fontId="45" fillId="0" borderId="15" applyNumberFormat="0" applyFill="0" applyAlignment="0" applyProtection="0"/>
    <xf numFmtId="0" fontId="44" fillId="0" borderId="14" applyNumberFormat="0" applyFill="0" applyAlignment="0" applyProtection="0"/>
    <xf numFmtId="0" fontId="43" fillId="0" borderId="13" applyNumberFormat="0" applyFill="0" applyAlignment="0" applyProtection="0"/>
    <xf numFmtId="0" fontId="30" fillId="8" borderId="8" applyNumberFormat="0" applyFont="0" applyAlignment="0" applyProtection="0"/>
    <xf numFmtId="0" fontId="51" fillId="0" borderId="56" applyNumberFormat="0" applyFill="0" applyAlignment="0" applyProtection="0"/>
    <xf numFmtId="0" fontId="63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0" fillId="0" borderId="0"/>
    <xf numFmtId="0" fontId="17" fillId="4" borderId="0" applyNumberFormat="0" applyBorder="0" applyAlignment="0" applyProtection="0"/>
    <xf numFmtId="0" fontId="21" fillId="0" borderId="6" applyNumberFormat="0" applyFill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18" fillId="5" borderId="4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4" fillId="48" borderId="0" applyNumberFormat="0" applyBorder="0" applyAlignment="0" applyProtection="0"/>
    <xf numFmtId="0" fontId="14" fillId="0" borderId="0" applyNumberFormat="0" applyFill="0" applyBorder="0" applyAlignment="0" applyProtection="0"/>
    <xf numFmtId="0" fontId="14" fillId="0" borderId="3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24" fillId="0" borderId="0" applyNumberFormat="0" applyFill="0" applyBorder="0" applyAlignment="0" applyProtection="0"/>
    <xf numFmtId="0" fontId="34" fillId="48" borderId="0" applyNumberFormat="0" applyBorder="0" applyAlignment="0" applyProtection="0"/>
    <xf numFmtId="0" fontId="20" fillId="6" borderId="4" applyNumberFormat="0" applyAlignment="0" applyProtection="0"/>
    <xf numFmtId="0" fontId="16" fillId="3" borderId="0" applyNumberFormat="0" applyBorder="0" applyAlignment="0" applyProtection="0"/>
    <xf numFmtId="0" fontId="52" fillId="49" borderId="92" applyNumberFormat="0" applyAlignment="0" applyProtection="0"/>
    <xf numFmtId="0" fontId="26" fillId="25" borderId="0" applyNumberFormat="0" applyBorder="0" applyAlignment="0" applyProtection="0"/>
    <xf numFmtId="0" fontId="26" fillId="21" borderId="0" applyNumberFormat="0" applyBorder="0" applyAlignment="0" applyProtection="0"/>
    <xf numFmtId="0" fontId="26" fillId="17" borderId="0" applyNumberFormat="0" applyBorder="0" applyAlignment="0" applyProtection="0"/>
    <xf numFmtId="0" fontId="26" fillId="13" borderId="0" applyNumberFormat="0" applyBorder="0" applyAlignment="0" applyProtection="0"/>
    <xf numFmtId="0" fontId="26" fillId="32" borderId="0" applyNumberFormat="0" applyBorder="0" applyAlignment="0" applyProtection="0"/>
    <xf numFmtId="0" fontId="26" fillId="28" borderId="0" applyNumberFormat="0" applyBorder="0" applyAlignment="0" applyProtection="0"/>
    <xf numFmtId="0" fontId="26" fillId="24" borderId="0" applyNumberFormat="0" applyBorder="0" applyAlignment="0" applyProtection="0"/>
    <xf numFmtId="0" fontId="26" fillId="20" borderId="0" applyNumberFormat="0" applyBorder="0" applyAlignment="0" applyProtection="0"/>
    <xf numFmtId="0" fontId="26" fillId="12" borderId="0" applyNumberFormat="0" applyBorder="0" applyAlignment="0" applyProtection="0"/>
    <xf numFmtId="0" fontId="32" fillId="38" borderId="0" applyNumberFormat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19" borderId="0" applyNumberFormat="0" applyBorder="0" applyAlignment="0" applyProtection="0"/>
    <xf numFmtId="0" fontId="31" fillId="11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16" applyNumberFormat="0" applyFill="0" applyAlignment="0" applyProtection="0"/>
    <xf numFmtId="0" fontId="31" fillId="26" borderId="0" applyNumberFormat="0" applyBorder="0" applyAlignment="0" applyProtection="0"/>
    <xf numFmtId="0" fontId="26" fillId="17" borderId="0" applyNumberFormat="0" applyBorder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30" fillId="0" borderId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4" fillId="0" borderId="14" applyNumberFormat="0" applyFill="0" applyAlignment="0" applyProtection="0"/>
    <xf numFmtId="0" fontId="49" fillId="40" borderId="0" applyNumberFormat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30" borderId="0" applyNumberFormat="0" applyBorder="0" applyAlignment="0" applyProtection="0"/>
    <xf numFmtId="0" fontId="51" fillId="0" borderId="56" applyNumberFormat="0" applyFill="0" applyAlignment="0" applyProtection="0"/>
    <xf numFmtId="0" fontId="31" fillId="8" borderId="8" applyNumberFormat="0" applyFont="0" applyAlignment="0" applyProtection="0"/>
    <xf numFmtId="0" fontId="31" fillId="10" borderId="0" applyNumberFormat="0" applyBorder="0" applyAlignment="0" applyProtection="0"/>
    <xf numFmtId="0" fontId="46" fillId="40" borderId="90" applyNumberFormat="0" applyAlignment="0" applyProtection="0"/>
    <xf numFmtId="0" fontId="31" fillId="31" borderId="0" applyNumberFormat="0" applyBorder="0" applyAlignment="0" applyProtection="0"/>
    <xf numFmtId="9" fontId="30" fillId="0" borderId="0" applyFont="0" applyFill="0" applyBorder="0" applyAlignment="0" applyProtection="0"/>
    <xf numFmtId="0" fontId="35" fillId="49" borderId="90" applyNumberFormat="0" applyAlignment="0" applyProtection="0"/>
    <xf numFmtId="0" fontId="10" fillId="15" borderId="0" applyNumberFormat="0" applyBorder="0" applyAlignment="0" applyProtection="0"/>
    <xf numFmtId="0" fontId="42" fillId="0" borderId="94" applyBorder="0">
      <alignment horizontal="left" vertical="top"/>
    </xf>
    <xf numFmtId="0" fontId="30" fillId="0" borderId="0"/>
    <xf numFmtId="0" fontId="35" fillId="49" borderId="90" applyNumberFormat="0" applyAlignment="0" applyProtection="0"/>
    <xf numFmtId="0" fontId="45" fillId="0" borderId="15" applyNumberFormat="0" applyFill="0" applyAlignment="0" applyProtection="0"/>
    <xf numFmtId="0" fontId="46" fillId="40" borderId="90" applyNumberFormat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34" fillId="48" borderId="0" applyNumberFormat="0" applyBorder="0" applyAlignment="0" applyProtection="0"/>
    <xf numFmtId="0" fontId="31" fillId="19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31" fillId="22" borderId="0" applyNumberFormat="0" applyBorder="0" applyAlignment="0" applyProtection="0"/>
    <xf numFmtId="0" fontId="32" fillId="40" borderId="0" applyNumberFormat="0" applyBorder="0" applyAlignment="0" applyProtection="0"/>
    <xf numFmtId="0" fontId="31" fillId="30" borderId="0" applyNumberFormat="0" applyBorder="0" applyAlignment="0" applyProtection="0"/>
    <xf numFmtId="0" fontId="26" fillId="29" borderId="0" applyNumberFormat="0" applyBorder="0" applyAlignment="0" applyProtection="0"/>
    <xf numFmtId="0" fontId="32" fillId="36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5" fillId="0" borderId="0" applyNumberFormat="0" applyFill="0" applyBorder="0" applyAlignment="0" applyProtection="0"/>
    <xf numFmtId="0" fontId="30" fillId="8" borderId="8" applyNumberFormat="0" applyFont="0" applyAlignment="0" applyProtection="0"/>
    <xf numFmtId="0" fontId="17" fillId="4" borderId="0" applyNumberFormat="0" applyBorder="0" applyAlignment="0" applyProtection="0"/>
    <xf numFmtId="0" fontId="35" fillId="49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44" fillId="0" borderId="14" applyNumberFormat="0" applyFill="0" applyAlignment="0" applyProtection="0"/>
    <xf numFmtId="0" fontId="14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51" fillId="0" borderId="56" applyNumberFormat="0" applyFill="0" applyAlignment="0" applyProtection="0"/>
    <xf numFmtId="0" fontId="10" fillId="0" borderId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23" borderId="0" applyNumberFormat="0" applyBorder="0" applyAlignment="0" applyProtection="0"/>
    <xf numFmtId="0" fontId="35" fillId="49" borderId="90" applyNumberFormat="0" applyAlignment="0" applyProtection="0"/>
    <xf numFmtId="9" fontId="30" fillId="0" borderId="0" applyFont="0" applyFill="0" applyBorder="0" applyAlignment="0" applyProtection="0"/>
    <xf numFmtId="0" fontId="31" fillId="27" borderId="0" applyNumberFormat="0" applyBorder="0" applyAlignment="0" applyProtection="0"/>
    <xf numFmtId="0" fontId="34" fillId="48" borderId="0" applyNumberFormat="0" applyBorder="0" applyAlignment="0" applyProtection="0"/>
    <xf numFmtId="0" fontId="31" fillId="27" borderId="0" applyNumberFormat="0" applyBorder="0" applyAlignment="0" applyProtection="0"/>
    <xf numFmtId="0" fontId="10" fillId="19" borderId="0" applyNumberFormat="0" applyBorder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31" fillId="31" borderId="0" applyNumberFormat="0" applyBorder="0" applyAlignment="0" applyProtection="0"/>
    <xf numFmtId="0" fontId="30" fillId="0" borderId="0"/>
    <xf numFmtId="0" fontId="20" fillId="6" borderId="4" applyNumberFormat="0" applyAlignment="0" applyProtection="0"/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46" fillId="40" borderId="100" applyNumberFormat="0" applyAlignment="0" applyProtection="0"/>
    <xf numFmtId="0" fontId="10" fillId="26" borderId="0" applyNumberFormat="0" applyBorder="0" applyAlignment="0" applyProtection="0"/>
    <xf numFmtId="0" fontId="30" fillId="0" borderId="0"/>
    <xf numFmtId="0" fontId="52" fillId="49" borderId="92" applyNumberFormat="0" applyAlignment="0" applyProtection="0"/>
    <xf numFmtId="0" fontId="32" fillId="35" borderId="0" applyNumberFormat="0" applyBorder="0" applyAlignment="0" applyProtection="0"/>
    <xf numFmtId="0" fontId="31" fillId="23" borderId="0" applyNumberFormat="0" applyBorder="0" applyAlignment="0" applyProtection="0"/>
    <xf numFmtId="0" fontId="31" fillId="31" borderId="0" applyNumberFormat="0" applyBorder="0" applyAlignment="0" applyProtection="0"/>
    <xf numFmtId="0" fontId="31" fillId="26" borderId="0" applyNumberFormat="0" applyBorder="0" applyAlignment="0" applyProtection="0"/>
    <xf numFmtId="0" fontId="30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30" fillId="0" borderId="0"/>
    <xf numFmtId="0" fontId="34" fillId="48" borderId="0" applyNumberFormat="0" applyBorder="0" applyAlignment="0" applyProtection="0"/>
    <xf numFmtId="0" fontId="45" fillId="0" borderId="15" applyNumberFormat="0" applyFill="0" applyAlignment="0" applyProtection="0"/>
    <xf numFmtId="0" fontId="30" fillId="0" borderId="0"/>
    <xf numFmtId="0" fontId="31" fillId="19" borderId="0" applyNumberFormat="0" applyBorder="0" applyAlignment="0" applyProtection="0"/>
    <xf numFmtId="0" fontId="30" fillId="0" borderId="0"/>
    <xf numFmtId="9" fontId="30" fillId="0" borderId="0" applyFont="0" applyFill="0" applyBorder="0" applyAlignment="0" applyProtection="0"/>
    <xf numFmtId="0" fontId="31" fillId="30" borderId="0" applyNumberFormat="0" applyBorder="0" applyAlignment="0" applyProtection="0"/>
    <xf numFmtId="0" fontId="10" fillId="22" borderId="0" applyNumberFormat="0" applyBorder="0" applyAlignment="0" applyProtection="0"/>
    <xf numFmtId="0" fontId="31" fillId="19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26" fillId="24" borderId="0" applyNumberFormat="0" applyBorder="0" applyAlignment="0" applyProtection="0"/>
    <xf numFmtId="0" fontId="26" fillId="9" borderId="0" applyNumberFormat="0" applyBorder="0" applyAlignment="0" applyProtection="0"/>
    <xf numFmtId="0" fontId="26" fillId="17" borderId="0" applyNumberFormat="0" applyBorder="0" applyAlignment="0" applyProtection="0"/>
    <xf numFmtId="0" fontId="31" fillId="18" borderId="0" applyNumberFormat="0" applyBorder="0" applyAlignment="0" applyProtection="0"/>
    <xf numFmtId="0" fontId="42" fillId="0" borderId="94" applyBorder="0">
      <alignment horizontal="left" vertical="top"/>
    </xf>
    <xf numFmtId="0" fontId="14" fillId="0" borderId="0" applyNumberFormat="0" applyFill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8" fillId="0" borderId="16" applyNumberFormat="0" applyFill="0" applyAlignment="0" applyProtection="0"/>
    <xf numFmtId="0" fontId="31" fillId="0" borderId="0"/>
    <xf numFmtId="0" fontId="51" fillId="0" borderId="56" applyNumberFormat="0" applyFill="0" applyAlignment="0" applyProtection="0"/>
    <xf numFmtId="0" fontId="45" fillId="0" borderId="15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10" fillId="14" borderId="0" applyNumberFormat="0" applyBorder="0" applyAlignment="0" applyProtection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59" fillId="0" borderId="93" applyNumberFormat="0" applyFill="0" applyAlignment="0" applyProtection="0"/>
    <xf numFmtId="0" fontId="26" fillId="9" borderId="0" applyNumberFormat="0" applyBorder="0" applyAlignment="0" applyProtection="0"/>
    <xf numFmtId="0" fontId="10" fillId="10" borderId="0" applyNumberFormat="0" applyBorder="0" applyAlignment="0" applyProtection="0"/>
    <xf numFmtId="0" fontId="34" fillId="4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32" fillId="40" borderId="0" applyNumberFormat="0" applyBorder="0" applyAlignment="0" applyProtection="0"/>
    <xf numFmtId="0" fontId="31" fillId="11" borderId="0" applyNumberFormat="0" applyBorder="0" applyAlignment="0" applyProtection="0"/>
    <xf numFmtId="0" fontId="52" fillId="49" borderId="92" applyNumberFormat="0" applyAlignment="0" applyProtection="0"/>
    <xf numFmtId="0" fontId="31" fillId="10" borderId="0" applyNumberFormat="0" applyBorder="0" applyAlignment="0" applyProtection="0"/>
    <xf numFmtId="0" fontId="31" fillId="15" borderId="0" applyNumberFormat="0" applyBorder="0" applyAlignment="0" applyProtection="0"/>
    <xf numFmtId="0" fontId="32" fillId="38" borderId="0" applyNumberFormat="0" applyBorder="0" applyAlignment="0" applyProtection="0"/>
    <xf numFmtId="0" fontId="44" fillId="0" borderId="14" applyNumberFormat="0" applyFill="0" applyAlignment="0" applyProtection="0"/>
    <xf numFmtId="0" fontId="31" fillId="19" borderId="0" applyNumberFormat="0" applyBorder="0" applyAlignment="0" applyProtection="0"/>
    <xf numFmtId="0" fontId="31" fillId="26" borderId="0" applyNumberFormat="0" applyBorder="0" applyAlignment="0" applyProtection="0"/>
    <xf numFmtId="0" fontId="59" fillId="0" borderId="93" applyNumberFormat="0" applyFill="0" applyAlignment="0" applyProtection="0"/>
    <xf numFmtId="0" fontId="10" fillId="23" borderId="0" applyNumberFormat="0" applyBorder="0" applyAlignment="0" applyProtection="0"/>
    <xf numFmtId="0" fontId="31" fillId="8" borderId="8" applyNumberFormat="0" applyFont="0" applyAlignment="0" applyProtection="0"/>
    <xf numFmtId="0" fontId="3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31" fillId="27" borderId="0" applyNumberFormat="0" applyBorder="0" applyAlignment="0" applyProtection="0"/>
    <xf numFmtId="0" fontId="30" fillId="0" borderId="0"/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22" fillId="7" borderId="7" applyNumberFormat="0" applyAlignment="0" applyProtection="0"/>
    <xf numFmtId="0" fontId="39" fillId="39" borderId="0" applyNumberFormat="0" applyBorder="0" applyAlignment="0" applyProtection="0"/>
    <xf numFmtId="0" fontId="45" fillId="0" borderId="0" applyNumberFormat="0" applyFill="0" applyBorder="0" applyAlignment="0" applyProtection="0"/>
    <xf numFmtId="0" fontId="36" fillId="50" borderId="11" applyNumberFormat="0" applyAlignment="0" applyProtection="0"/>
    <xf numFmtId="0" fontId="30" fillId="0" borderId="0"/>
    <xf numFmtId="0" fontId="31" fillId="22" borderId="0" applyNumberFormat="0" applyBorder="0" applyAlignment="0" applyProtection="0"/>
    <xf numFmtId="0" fontId="31" fillId="8" borderId="8" applyNumberFormat="0" applyFont="0" applyAlignment="0" applyProtection="0"/>
    <xf numFmtId="0" fontId="26" fillId="16" borderId="0" applyNumberFormat="0" applyBorder="0" applyAlignment="0" applyProtection="0"/>
    <xf numFmtId="0" fontId="46" fillId="40" borderId="90" applyNumberFormat="0" applyAlignment="0" applyProtection="0"/>
    <xf numFmtId="0" fontId="10" fillId="0" borderId="0"/>
    <xf numFmtId="9" fontId="30" fillId="0" borderId="0" applyFont="0" applyFill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10" fillId="23" borderId="0" applyNumberFormat="0" applyBorder="0" applyAlignment="0" applyProtection="0"/>
    <xf numFmtId="0" fontId="31" fillId="11" borderId="0" applyNumberFormat="0" applyBorder="0" applyAlignment="0" applyProtection="0"/>
    <xf numFmtId="0" fontId="32" fillId="37" borderId="0" applyNumberFormat="0" applyBorder="0" applyAlignment="0" applyProtection="0"/>
    <xf numFmtId="0" fontId="26" fillId="12" borderId="0" applyNumberFormat="0" applyBorder="0" applyAlignment="0" applyProtection="0"/>
    <xf numFmtId="0" fontId="32" fillId="36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30" fillId="0" borderId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10" fillId="18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26" fillId="20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3" fillId="0" borderId="2" applyNumberFormat="0" applyFill="0" applyAlignment="0" applyProtection="0"/>
    <xf numFmtId="0" fontId="31" fillId="15" borderId="0" applyNumberFormat="0" applyBorder="0" applyAlignment="0" applyProtection="0"/>
    <xf numFmtId="0" fontId="32" fillId="41" borderId="0" applyNumberFormat="0" applyBorder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31" fillId="19" borderId="0" applyNumberFormat="0" applyBorder="0" applyAlignment="0" applyProtection="0"/>
    <xf numFmtId="0" fontId="31" fillId="30" borderId="0" applyNumberFormat="0" applyBorder="0" applyAlignment="0" applyProtection="0"/>
    <xf numFmtId="0" fontId="59" fillId="0" borderId="93" applyNumberFormat="0" applyFill="0" applyAlignment="0" applyProtection="0"/>
    <xf numFmtId="0" fontId="48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44" fillId="0" borderId="14" applyNumberFormat="0" applyFill="0" applyAlignment="0" applyProtection="0"/>
    <xf numFmtId="0" fontId="32" fillId="38" borderId="0" applyNumberFormat="0" applyBorder="0" applyAlignment="0" applyProtection="0"/>
    <xf numFmtId="0" fontId="31" fillId="27" borderId="0" applyNumberFormat="0" applyBorder="0" applyAlignment="0" applyProtection="0"/>
    <xf numFmtId="0" fontId="45" fillId="0" borderId="15" applyNumberFormat="0" applyFill="0" applyAlignment="0" applyProtection="0"/>
    <xf numFmtId="0" fontId="59" fillId="0" borderId="93" applyNumberFormat="0" applyFill="0" applyAlignment="0" applyProtection="0"/>
    <xf numFmtId="0" fontId="26" fillId="17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6" fillId="50" borderId="11" applyNumberFormat="0" applyAlignment="0" applyProtection="0"/>
    <xf numFmtId="0" fontId="10" fillId="22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19" borderId="0" applyNumberFormat="0" applyBorder="0" applyAlignment="0" applyProtection="0"/>
    <xf numFmtId="0" fontId="35" fillId="49" borderId="90" applyNumberFormat="0" applyAlignment="0" applyProtection="0"/>
    <xf numFmtId="0" fontId="31" fillId="18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1" fillId="8" borderId="8" applyNumberFormat="0" applyFont="0" applyAlignment="0" applyProtection="0"/>
    <xf numFmtId="0" fontId="31" fillId="31" borderId="0" applyNumberFormat="0" applyBorder="0" applyAlignment="0" applyProtection="0"/>
    <xf numFmtId="0" fontId="30" fillId="0" borderId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1" fillId="27" borderId="0" applyNumberFormat="0" applyBorder="0" applyAlignment="0" applyProtection="0"/>
    <xf numFmtId="0" fontId="18" fillId="5" borderId="4" applyNumberFormat="0" applyAlignment="0" applyProtection="0"/>
    <xf numFmtId="0" fontId="30" fillId="0" borderId="0"/>
    <xf numFmtId="0" fontId="31" fillId="27" borderId="0" applyNumberFormat="0" applyBorder="0" applyAlignment="0" applyProtection="0"/>
    <xf numFmtId="0" fontId="12" fillId="0" borderId="1" applyNumberFormat="0" applyFill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11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7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45" fillId="0" borderId="15" applyNumberFormat="0" applyFill="0" applyAlignment="0" applyProtection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26" fillId="17" borderId="0" applyNumberFormat="0" applyBorder="0" applyAlignment="0" applyProtection="0"/>
    <xf numFmtId="0" fontId="10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26" fillId="13" borderId="0" applyNumberFormat="0" applyBorder="0" applyAlignment="0" applyProtection="0"/>
    <xf numFmtId="0" fontId="45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10" fillId="14" borderId="0" applyNumberFormat="0" applyBorder="0" applyAlignment="0" applyProtection="0"/>
    <xf numFmtId="0" fontId="26" fillId="9" borderId="0" applyNumberFormat="0" applyBorder="0" applyAlignment="0" applyProtection="0"/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59" fillId="0" borderId="93" applyNumberFormat="0" applyFill="0" applyAlignment="0" applyProtection="0"/>
    <xf numFmtId="0" fontId="31" fillId="26" borderId="0" applyNumberFormat="0" applyBorder="0" applyAlignment="0" applyProtection="0"/>
    <xf numFmtId="0" fontId="44" fillId="0" borderId="14" applyNumberFormat="0" applyFill="0" applyAlignment="0" applyProtection="0"/>
    <xf numFmtId="0" fontId="10" fillId="19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49" fillId="40" borderId="0" applyNumberFormat="0" applyBorder="0" applyAlignment="0" applyProtection="0"/>
    <xf numFmtId="0" fontId="52" fillId="49" borderId="92" applyNumberFormat="0" applyAlignment="0" applyProtection="0"/>
    <xf numFmtId="0" fontId="44" fillId="0" borderId="14" applyNumberFormat="0" applyFill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10" borderId="0" applyNumberFormat="0" applyBorder="0" applyAlignment="0" applyProtection="0"/>
    <xf numFmtId="0" fontId="31" fillId="8" borderId="8" applyNumberFormat="0" applyFont="0" applyAlignment="0" applyProtection="0"/>
    <xf numFmtId="0" fontId="30" fillId="0" borderId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36" fillId="50" borderId="11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30" fillId="0" borderId="0"/>
    <xf numFmtId="0" fontId="10" fillId="0" borderId="0"/>
    <xf numFmtId="0" fontId="31" fillId="0" borderId="0"/>
    <xf numFmtId="0" fontId="52" fillId="49" borderId="105" applyNumberFormat="0" applyAlignment="0" applyProtection="0"/>
    <xf numFmtId="0" fontId="48" fillId="0" borderId="16" applyNumberFormat="0" applyFill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13" fillId="0" borderId="2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26" fillId="29" borderId="0" applyNumberFormat="0" applyBorder="0" applyAlignment="0" applyProtection="0"/>
    <xf numFmtId="0" fontId="26" fillId="9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52" fillId="49" borderId="92" applyNumberFormat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0" borderId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31" fillId="11" borderId="0" applyNumberFormat="0" applyBorder="0" applyAlignment="0" applyProtection="0"/>
    <xf numFmtId="0" fontId="31" fillId="22" borderId="0" applyNumberFormat="0" applyBorder="0" applyAlignment="0" applyProtection="0"/>
    <xf numFmtId="0" fontId="31" fillId="10" borderId="0" applyNumberFormat="0" applyBorder="0" applyAlignment="0" applyProtection="0"/>
    <xf numFmtId="0" fontId="50" fillId="0" borderId="0"/>
    <xf numFmtId="0" fontId="30" fillId="0" borderId="0" applyNumberFormat="0" applyFill="0" applyBorder="0" applyAlignment="0" applyProtection="0"/>
    <xf numFmtId="0" fontId="30" fillId="0" borderId="0"/>
    <xf numFmtId="0" fontId="36" fillId="50" borderId="11" applyNumberFormat="0" applyAlignment="0" applyProtection="0"/>
    <xf numFmtId="0" fontId="45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8" fillId="0" borderId="16" applyNumberFormat="0" applyFill="0" applyAlignment="0" applyProtection="0"/>
    <xf numFmtId="0" fontId="39" fillId="39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18" borderId="0" applyNumberFormat="0" applyBorder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35" fillId="49" borderId="90" applyNumberFormat="0" applyAlignment="0" applyProtection="0"/>
    <xf numFmtId="0" fontId="26" fillId="32" borderId="0" applyNumberFormat="0" applyBorder="0" applyAlignment="0" applyProtection="0"/>
    <xf numFmtId="0" fontId="31" fillId="1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1" fillId="14" borderId="0" applyNumberFormat="0" applyBorder="0" applyAlignment="0" applyProtection="0"/>
    <xf numFmtId="0" fontId="31" fillId="22" borderId="0" applyNumberFormat="0" applyBorder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10" fillId="19" borderId="0" applyNumberFormat="0" applyBorder="0" applyAlignment="0" applyProtection="0"/>
    <xf numFmtId="0" fontId="38" fillId="0" borderId="0" applyNumberFormat="0" applyFill="0" applyBorder="0" applyAlignment="0" applyProtection="0"/>
    <xf numFmtId="0" fontId="10" fillId="18" borderId="0" applyNumberFormat="0" applyBorder="0" applyAlignment="0" applyProtection="0"/>
    <xf numFmtId="0" fontId="14" fillId="0" borderId="0" applyNumberFormat="0" applyFill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10" fillId="0" borderId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1" fillId="10" borderId="0" applyNumberFormat="0" applyBorder="0" applyAlignment="0" applyProtection="0"/>
    <xf numFmtId="0" fontId="52" fillId="49" borderId="92" applyNumberFormat="0" applyAlignment="0" applyProtection="0"/>
    <xf numFmtId="0" fontId="13" fillId="0" borderId="2" applyNumberFormat="0" applyFill="0" applyAlignment="0" applyProtection="0"/>
    <xf numFmtId="0" fontId="31" fillId="15" borderId="0" applyNumberFormat="0" applyBorder="0" applyAlignment="0" applyProtection="0"/>
    <xf numFmtId="0" fontId="31" fillId="0" borderId="0"/>
    <xf numFmtId="0" fontId="48" fillId="0" borderId="16" applyNumberFormat="0" applyFill="0" applyAlignment="0" applyProtection="0"/>
    <xf numFmtId="0" fontId="31" fillId="19" borderId="0" applyNumberFormat="0" applyBorder="0" applyAlignment="0" applyProtection="0"/>
    <xf numFmtId="0" fontId="32" fillId="41" borderId="0" applyNumberFormat="0" applyBorder="0" applyAlignment="0" applyProtection="0"/>
    <xf numFmtId="0" fontId="32" fillId="35" borderId="0" applyNumberFormat="0" applyBorder="0" applyAlignment="0" applyProtection="0"/>
    <xf numFmtId="0" fontId="52" fillId="49" borderId="92" applyNumberFormat="0" applyAlignment="0" applyProtection="0"/>
    <xf numFmtId="0" fontId="30" fillId="0" borderId="103">
      <protection locked="0"/>
    </xf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1" fillId="0" borderId="56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105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43" fillId="0" borderId="13" applyNumberFormat="0" applyFill="0" applyAlignment="0" applyProtection="0"/>
    <xf numFmtId="0" fontId="63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4" fillId="0" borderId="3" applyNumberFormat="0" applyFill="0" applyAlignment="0" applyProtection="0"/>
    <xf numFmtId="0" fontId="42" fillId="0" borderId="94" applyBorder="0">
      <alignment horizontal="left" vertical="top"/>
    </xf>
    <xf numFmtId="0" fontId="24" fillId="0" borderId="0" applyNumberFormat="0" applyFill="0" applyBorder="0" applyAlignment="0" applyProtection="0"/>
    <xf numFmtId="0" fontId="20" fillId="6" borderId="4" applyNumberFormat="0" applyAlignment="0" applyProtection="0"/>
    <xf numFmtId="0" fontId="26" fillId="1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32" fillId="36" borderId="0" applyNumberFormat="0" applyBorder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30" fillId="0" borderId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4" fillId="0" borderId="14" applyNumberFormat="0" applyFill="0" applyAlignment="0" applyProtection="0"/>
    <xf numFmtId="0" fontId="49" fillId="40" borderId="0" applyNumberFormat="0" applyBorder="0" applyAlignment="0" applyProtection="0"/>
    <xf numFmtId="0" fontId="30" fillId="0" borderId="0"/>
    <xf numFmtId="0" fontId="42" fillId="0" borderId="102" applyBorder="0">
      <alignment horizontal="left" vertical="top"/>
    </xf>
    <xf numFmtId="0" fontId="31" fillId="10" borderId="0" applyNumberFormat="0" applyBorder="0" applyAlignment="0" applyProtection="0"/>
    <xf numFmtId="0" fontId="32" fillId="37" borderId="0" applyNumberFormat="0" applyBorder="0" applyAlignment="0" applyProtection="0"/>
    <xf numFmtId="0" fontId="52" fillId="49" borderId="92" applyNumberFormat="0" applyAlignment="0" applyProtection="0"/>
    <xf numFmtId="0" fontId="10" fillId="0" borderId="0"/>
    <xf numFmtId="0" fontId="31" fillId="10" borderId="0" applyNumberFormat="0" applyBorder="0" applyAlignment="0" applyProtection="0"/>
    <xf numFmtId="0" fontId="10" fillId="27" borderId="0" applyNumberFormat="0" applyBorder="0" applyAlignment="0" applyProtection="0"/>
    <xf numFmtId="0" fontId="10" fillId="0" borderId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42" fillId="0" borderId="94" applyBorder="0">
      <alignment horizontal="left" vertical="top"/>
    </xf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31" fillId="23" borderId="0" applyNumberFormat="0" applyBorder="0" applyAlignment="0" applyProtection="0"/>
    <xf numFmtId="0" fontId="31" fillId="26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6" fillId="32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2" fillId="35" borderId="0" applyNumberFormat="0" applyBorder="0" applyAlignment="0" applyProtection="0"/>
    <xf numFmtId="0" fontId="42" fillId="0" borderId="94" applyBorder="0">
      <alignment horizontal="left" vertical="top"/>
    </xf>
    <xf numFmtId="0" fontId="30" fillId="37" borderId="39" applyNumberFormat="0" applyFont="0" applyAlignment="0" applyProtection="0"/>
    <xf numFmtId="0" fontId="31" fillId="14" borderId="0" applyNumberFormat="0" applyBorder="0" applyAlignment="0" applyProtection="0"/>
    <xf numFmtId="0" fontId="30" fillId="8" borderId="8" applyNumberFormat="0" applyFont="0" applyAlignment="0" applyProtection="0"/>
    <xf numFmtId="0" fontId="49" fillId="40" borderId="0" applyNumberFormat="0" applyBorder="0" applyAlignment="0" applyProtection="0"/>
    <xf numFmtId="0" fontId="12" fillId="0" borderId="1" applyNumberFormat="0" applyFill="0" applyAlignment="0" applyProtection="0"/>
    <xf numFmtId="0" fontId="10" fillId="11" borderId="0" applyNumberFormat="0" applyBorder="0" applyAlignment="0" applyProtection="0"/>
    <xf numFmtId="0" fontId="35" fillId="49" borderId="90" applyNumberFormat="0" applyAlignment="0" applyProtection="0"/>
    <xf numFmtId="0" fontId="31" fillId="23" borderId="0" applyNumberFormat="0" applyBorder="0" applyAlignment="0" applyProtection="0"/>
    <xf numFmtId="0" fontId="46" fillId="40" borderId="90" applyNumberFormat="0" applyAlignment="0" applyProtection="0"/>
    <xf numFmtId="0" fontId="31" fillId="11" borderId="0" applyNumberFormat="0" applyBorder="0" applyAlignment="0" applyProtection="0"/>
    <xf numFmtId="0" fontId="31" fillId="26" borderId="0" applyNumberFormat="0" applyBorder="0" applyAlignment="0" applyProtection="0"/>
    <xf numFmtId="0" fontId="43" fillId="0" borderId="13" applyNumberFormat="0" applyFill="0" applyAlignment="0" applyProtection="0"/>
    <xf numFmtId="0" fontId="57" fillId="0" borderId="0" applyNumberFormat="0" applyFill="0" applyBorder="0" applyAlignment="0" applyProtection="0"/>
    <xf numFmtId="0" fontId="44" fillId="0" borderId="14" applyNumberFormat="0" applyFill="0" applyAlignment="0" applyProtection="0"/>
    <xf numFmtId="0" fontId="31" fillId="14" borderId="0" applyNumberFormat="0" applyBorder="0" applyAlignment="0" applyProtection="0"/>
    <xf numFmtId="0" fontId="35" fillId="49" borderId="90" applyNumberFormat="0" applyAlignment="0" applyProtection="0"/>
    <xf numFmtId="0" fontId="45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59" fillId="0" borderId="93" applyNumberFormat="0" applyFill="0" applyAlignment="0" applyProtection="0"/>
    <xf numFmtId="0" fontId="31" fillId="19" borderId="0" applyNumberFormat="0" applyBorder="0" applyAlignment="0" applyProtection="0"/>
    <xf numFmtId="0" fontId="26" fillId="29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5" fillId="49" borderId="90" applyNumberFormat="0" applyAlignment="0" applyProtection="0"/>
    <xf numFmtId="0" fontId="30" fillId="8" borderId="8" applyNumberFormat="0" applyFont="0" applyAlignment="0" applyProtection="0"/>
    <xf numFmtId="0" fontId="32" fillId="40" borderId="0" applyNumberFormat="0" applyBorder="0" applyAlignment="0" applyProtection="0"/>
    <xf numFmtId="0" fontId="31" fillId="14" borderId="0" applyNumberFormat="0" applyBorder="0" applyAlignment="0" applyProtection="0"/>
    <xf numFmtId="0" fontId="52" fillId="49" borderId="92" applyNumberFormat="0" applyAlignment="0" applyProtection="0"/>
    <xf numFmtId="0" fontId="32" fillId="38" borderId="0" applyNumberFormat="0" applyBorder="0" applyAlignment="0" applyProtection="0"/>
    <xf numFmtId="0" fontId="32" fillId="35" borderId="0" applyNumberFormat="0" applyBorder="0" applyAlignment="0" applyProtection="0"/>
    <xf numFmtId="0" fontId="31" fillId="31" borderId="0" applyNumberFormat="0" applyBorder="0" applyAlignment="0" applyProtection="0"/>
    <xf numFmtId="0" fontId="26" fillId="25" borderId="0" applyNumberFormat="0" applyBorder="0" applyAlignment="0" applyProtection="0"/>
    <xf numFmtId="0" fontId="26" fillId="12" borderId="0" applyNumberFormat="0" applyBorder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18" fillId="5" borderId="4" applyNumberFormat="0" applyAlignment="0" applyProtection="0"/>
    <xf numFmtId="0" fontId="24" fillId="0" borderId="0" applyNumberFormat="0" applyFill="0" applyBorder="0" applyAlignment="0" applyProtection="0"/>
    <xf numFmtId="0" fontId="20" fillId="6" borderId="4" applyNumberFormat="0" applyAlignment="0" applyProtection="0"/>
    <xf numFmtId="0" fontId="26" fillId="9" borderId="0" applyNumberFormat="0" applyBorder="0" applyAlignment="0" applyProtection="0"/>
    <xf numFmtId="0" fontId="10" fillId="30" borderId="0" applyNumberFormat="0" applyBorder="0" applyAlignment="0" applyProtection="0"/>
    <xf numFmtId="0" fontId="31" fillId="8" borderId="8" applyNumberFormat="0" applyFont="0" applyAlignment="0" applyProtection="0"/>
    <xf numFmtId="0" fontId="59" fillId="0" borderId="93" applyNumberFormat="0" applyFill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26" fillId="20" borderId="0" applyNumberFormat="0" applyBorder="0" applyAlignment="0" applyProtection="0"/>
    <xf numFmtId="0" fontId="36" fillId="50" borderId="11" applyNumberFormat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2" fillId="38" borderId="0" applyNumberFormat="0" applyBorder="0" applyAlignment="0" applyProtection="0"/>
    <xf numFmtId="0" fontId="31" fillId="14" borderId="0" applyNumberFormat="0" applyBorder="0" applyAlignment="0" applyProtection="0"/>
    <xf numFmtId="0" fontId="10" fillId="0" borderId="0"/>
    <xf numFmtId="0" fontId="10" fillId="11" borderId="0" applyNumberFormat="0" applyBorder="0" applyAlignment="0" applyProtection="0"/>
    <xf numFmtId="0" fontId="31" fillId="30" borderId="0" applyNumberFormat="0" applyBorder="0" applyAlignment="0" applyProtection="0"/>
    <xf numFmtId="0" fontId="49" fillId="40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31" fillId="22" borderId="0" applyNumberFormat="0" applyBorder="0" applyAlignment="0" applyProtection="0"/>
    <xf numFmtId="0" fontId="52" fillId="49" borderId="105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35" fillId="49" borderId="90" applyNumberFormat="0" applyAlignment="0" applyProtection="0"/>
    <xf numFmtId="0" fontId="31" fillId="19" borderId="0" applyNumberFormat="0" applyBorder="0" applyAlignment="0" applyProtection="0"/>
    <xf numFmtId="0" fontId="31" fillId="26" borderId="0" applyNumberFormat="0" applyBorder="0" applyAlignment="0" applyProtection="0"/>
    <xf numFmtId="0" fontId="31" fillId="31" borderId="0" applyNumberFormat="0" applyBorder="0" applyAlignment="0" applyProtection="0"/>
    <xf numFmtId="9" fontId="30" fillId="0" borderId="0" applyFont="0" applyFill="0" applyBorder="0" applyAlignment="0" applyProtection="0"/>
    <xf numFmtId="0" fontId="31" fillId="18" borderId="0" applyNumberFormat="0" applyBorder="0" applyAlignment="0" applyProtection="0"/>
    <xf numFmtId="0" fontId="46" fillId="40" borderId="90" applyNumberFormat="0" applyAlignment="0" applyProtection="0"/>
    <xf numFmtId="0" fontId="31" fillId="23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39" applyNumberFormat="0" applyFont="0" applyAlignment="0" applyProtection="0"/>
    <xf numFmtId="0" fontId="31" fillId="30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46" fillId="40" borderId="90" applyNumberFormat="0" applyAlignment="0" applyProtection="0"/>
    <xf numFmtId="0" fontId="31" fillId="27" borderId="0" applyNumberFormat="0" applyBorder="0" applyAlignment="0" applyProtection="0"/>
    <xf numFmtId="0" fontId="10" fillId="26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5" fillId="49" borderId="90" applyNumberFormat="0" applyAlignment="0" applyProtection="0"/>
    <xf numFmtId="0" fontId="31" fillId="22" borderId="0" applyNumberFormat="0" applyBorder="0" applyAlignment="0" applyProtection="0"/>
    <xf numFmtId="0" fontId="30" fillId="0" borderId="0"/>
    <xf numFmtId="0" fontId="31" fillId="27" borderId="0" applyNumberFormat="0" applyBorder="0" applyAlignment="0" applyProtection="0"/>
    <xf numFmtId="0" fontId="52" fillId="49" borderId="92" applyNumberFormat="0" applyAlignment="0" applyProtection="0"/>
    <xf numFmtId="0" fontId="31" fillId="8" borderId="8" applyNumberFormat="0" applyFont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6" borderId="0" applyNumberFormat="0" applyBorder="0" applyAlignment="0" applyProtection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55" borderId="0" applyNumberFormat="0" applyBorder="0" applyAlignment="0" applyProtection="0"/>
    <xf numFmtId="0" fontId="32" fillId="35" borderId="0" applyNumberFormat="0" applyBorder="0" applyAlignment="0" applyProtection="0"/>
    <xf numFmtId="0" fontId="79" fillId="41" borderId="0" applyNumberFormat="0" applyBorder="0" applyAlignment="0" applyProtection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79" fillId="55" borderId="0" applyNumberFormat="0" applyBorder="0" applyAlignment="0" applyProtection="0"/>
    <xf numFmtId="0" fontId="32" fillId="38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55" borderId="0" applyNumberFormat="0" applyBorder="0" applyAlignment="0" applyProtection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32" fillId="35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43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5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8" borderId="0" applyNumberFormat="0" applyBorder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114" fillId="63" borderId="100" applyNumberFormat="0" applyAlignment="0" applyProtection="0"/>
    <xf numFmtId="0" fontId="52" fillId="49" borderId="101" applyNumberFormat="0" applyAlignment="0" applyProtection="0"/>
    <xf numFmtId="0" fontId="52" fillId="49" borderId="101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1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42" fillId="0" borderId="96" applyBorder="0">
      <alignment horizontal="left" vertical="top"/>
    </xf>
    <xf numFmtId="0" fontId="30" fillId="37" borderId="103" applyNumberFormat="0" applyFon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52" fillId="49" borderId="101" applyNumberFormat="0" applyAlignment="0" applyProtection="0"/>
    <xf numFmtId="0" fontId="54" fillId="0" borderId="103">
      <protection locked="0"/>
    </xf>
    <xf numFmtId="0" fontId="30" fillId="0" borderId="103">
      <protection locked="0"/>
    </xf>
    <xf numFmtId="0" fontId="54" fillId="0" borderId="103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4" fillId="0" borderId="103"/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4" fillId="0" borderId="103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4" fillId="0" borderId="103">
      <protection locked="0"/>
    </xf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0" fillId="0" borderId="103">
      <protection locked="0"/>
    </xf>
    <xf numFmtId="0" fontId="30" fillId="0" borderId="103">
      <protection locked="0"/>
    </xf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114" fillId="63" borderId="95" applyNumberFormat="0" applyAlignment="0" applyProtection="0"/>
    <xf numFmtId="0" fontId="114" fillId="63" borderId="9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4" fillId="0" borderId="103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67" fillId="0" borderId="0" applyNumberFormat="0" applyBorder="0" applyAlignment="0"/>
    <xf numFmtId="0" fontId="67" fillId="0" borderId="0" applyNumberFormat="0" applyBorder="0" applyAlignment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4" fillId="0" borderId="97"/>
    <xf numFmtId="0" fontId="46" fillId="40" borderId="95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4" fillId="0" borderId="103">
      <protection locked="0"/>
    </xf>
    <xf numFmtId="0" fontId="54" fillId="0" borderId="97"/>
    <xf numFmtId="0" fontId="54" fillId="0" borderId="97"/>
    <xf numFmtId="0" fontId="55" fillId="0" borderId="97" applyNumberFormat="0">
      <alignment horizontal="left" vertical="top" wrapText="1" shrinkToFit="1"/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>
      <protection locked="0"/>
    </xf>
    <xf numFmtId="0" fontId="54" fillId="0" borderId="97">
      <protection locked="0"/>
    </xf>
    <xf numFmtId="0" fontId="54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54" fillId="0" borderId="97">
      <protection locked="0"/>
    </xf>
    <xf numFmtId="0" fontId="52" fillId="49" borderId="99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46" fillId="40" borderId="95" applyNumberFormat="0" applyAlignment="0" applyProtection="0"/>
    <xf numFmtId="0" fontId="35" fillId="49" borderId="100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0" fillId="0" borderId="103">
      <protection locked="0"/>
    </xf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4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100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30" fillId="0" borderId="97"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2" fillId="49" borderId="101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30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52" fillId="49" borderId="105" applyNumberFormat="0" applyAlignment="0" applyProtection="0"/>
    <xf numFmtId="0" fontId="30" fillId="0" borderId="97">
      <protection locked="0"/>
    </xf>
    <xf numFmtId="0" fontId="46" fillId="40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95" applyNumberFormat="0" applyAlignment="0" applyProtection="0"/>
    <xf numFmtId="0" fontId="52" fillId="49" borderId="99" applyNumberFormat="0" applyAlignment="0" applyProtection="0"/>
    <xf numFmtId="0" fontId="115" fillId="63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0" fillId="37" borderId="103" applyNumberFormat="0" applyFon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4" fillId="0" borderId="97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100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46" fillId="40" borderId="95" applyNumberFormat="0" applyAlignment="0" applyProtection="0"/>
    <xf numFmtId="0" fontId="52" fillId="49" borderId="10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30" fillId="37" borderId="103" applyNumberFormat="0" applyFon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42" fillId="0" borderId="102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4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4" fillId="0" borderId="103"/>
    <xf numFmtId="0" fontId="52" fillId="49" borderId="10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4" fillId="0" borderId="97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54" fillId="0" borderId="97"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10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54" fillId="0" borderId="97"/>
    <xf numFmtId="0" fontId="59" fillId="0" borderId="98" applyNumberFormat="0" applyFill="0" applyAlignment="0" applyProtection="0"/>
    <xf numFmtId="0" fontId="30" fillId="0" borderId="103">
      <protection locked="0"/>
    </xf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46" fillId="40" borderId="95" applyNumberFormat="0" applyAlignment="0" applyProtection="0"/>
    <xf numFmtId="0" fontId="54" fillId="0" borderId="97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54" fillId="0" borderId="97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4" fillId="0" borderId="97">
      <protection locked="0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4" fillId="0" borderId="97">
      <protection locked="0"/>
    </xf>
    <xf numFmtId="0" fontId="54" fillId="0" borderId="97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0" fillId="0" borderId="97">
      <protection locked="0"/>
    </xf>
    <xf numFmtId="0" fontId="46" fillId="40" borderId="95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101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115" fillId="63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0" borderId="97">
      <protection locked="0"/>
    </xf>
    <xf numFmtId="0" fontId="54" fillId="0" borderId="97">
      <protection locked="0"/>
    </xf>
    <xf numFmtId="0" fontId="54" fillId="0" borderId="97"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59" fillId="0" borderId="98" applyNumberFormat="0" applyFill="0" applyAlignment="0" applyProtection="0"/>
    <xf numFmtId="0" fontId="54" fillId="0" borderId="97"/>
    <xf numFmtId="0" fontId="30" fillId="0" borderId="97">
      <protection locked="0"/>
    </xf>
    <xf numFmtId="0" fontId="46" fillId="40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54" fillId="0" borderId="103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4" fillId="0" borderId="97"/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105" applyNumberForma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10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2" fillId="0" borderId="102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115" fillId="63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67" fillId="0" borderId="0" applyNumberFormat="0" applyBorder="0" applyAlignment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52" fillId="49" borderId="105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4" fillId="0" borderId="97"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4" fillId="0" borderId="97">
      <protection locked="0"/>
    </xf>
    <xf numFmtId="0" fontId="30" fillId="0" borderId="103">
      <protection locked="0"/>
    </xf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30" fillId="37" borderId="103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4" fillId="0" borderId="97">
      <protection locked="0"/>
    </xf>
    <xf numFmtId="0" fontId="35" fillId="49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4" fillId="0" borderId="97">
      <protection locked="0"/>
    </xf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52" fillId="49" borderId="99" applyNumberFormat="0" applyAlignment="0" applyProtection="0"/>
    <xf numFmtId="0" fontId="54" fillId="0" borderId="97">
      <protection locked="0"/>
    </xf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2" fillId="49" borderId="105" applyNumberFormat="0" applyAlignment="0" applyProtection="0"/>
    <xf numFmtId="0" fontId="54" fillId="0" borderId="97">
      <protection locked="0"/>
    </xf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30" fillId="37" borderId="103" applyNumberFormat="0" applyFon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4" fillId="0" borderId="103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4" fillId="0" borderId="103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54" fillId="0" borderId="103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NumberFormat="0" applyBorder="0" applyAlignment="0"/>
    <xf numFmtId="0" fontId="4" fillId="0" borderId="0"/>
    <xf numFmtId="0" fontId="67" fillId="0" borderId="0" applyNumberFormat="0" applyBorder="0" applyAlignment="0"/>
    <xf numFmtId="0" fontId="4" fillId="0" borderId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7" fillId="0" borderId="0" applyNumberFormat="0" applyBorder="0" applyAlignment="0"/>
    <xf numFmtId="0" fontId="3" fillId="0" borderId="0"/>
    <xf numFmtId="0" fontId="67" fillId="0" borderId="0" applyNumberFormat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0" fillId="0" borderId="0"/>
    <xf numFmtId="0" fontId="46" fillId="40" borderId="65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5" fillId="2" borderId="0" applyNumberFormat="0" applyBorder="0" applyAlignment="0" applyProtection="0"/>
    <xf numFmtId="0" fontId="20" fillId="6" borderId="4" applyNumberFormat="0" applyAlignment="0" applyProtection="0"/>
    <xf numFmtId="0" fontId="21" fillId="0" borderId="6" applyNumberFormat="0" applyFill="0" applyAlignment="0" applyProtection="0"/>
    <xf numFmtId="0" fontId="17" fillId="4" borderId="0" applyNumberFormat="0" applyBorder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2" fillId="7" borderId="7" applyNumberFormat="0" applyAlignment="0" applyProtection="0"/>
    <xf numFmtId="0" fontId="19" fillId="6" borderId="5" applyNumberFormat="0" applyAlignment="0" applyProtection="0"/>
    <xf numFmtId="0" fontId="23" fillId="0" borderId="0" applyNumberFormat="0" applyFill="0" applyBorder="0" applyAlignment="0" applyProtection="0"/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46" fillId="40" borderId="65" applyNumberFormat="0" applyAlignment="0" applyProtection="0"/>
    <xf numFmtId="0" fontId="30" fillId="37" borderId="109" applyNumberFormat="0" applyFont="0" applyAlignment="0" applyProtection="0"/>
    <xf numFmtId="0" fontId="55" fillId="0" borderId="112" applyNumberFormat="0">
      <alignment horizontal="left" vertical="top" wrapText="1" shrinkToFit="1"/>
      <protection locked="0"/>
    </xf>
    <xf numFmtId="0" fontId="35" fillId="49" borderId="116" applyNumberFormat="0" applyAlignment="0" applyProtection="0"/>
    <xf numFmtId="0" fontId="30" fillId="37" borderId="112" applyNumberFormat="0" applyFont="0" applyAlignment="0" applyProtection="0"/>
    <xf numFmtId="0" fontId="52" fillId="49" borderId="113" applyNumberFormat="0" applyAlignment="0" applyProtection="0"/>
    <xf numFmtId="0" fontId="59" fillId="0" borderId="114" applyNumberFormat="0" applyFill="0" applyAlignment="0" applyProtection="0"/>
    <xf numFmtId="0" fontId="46" fillId="40" borderId="116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7" fillId="0" borderId="0" applyNumberFormat="0" applyFill="0" applyBorder="0" applyAlignment="0" applyProtection="0"/>
    <xf numFmtId="0" fontId="52" fillId="49" borderId="113" applyNumberFormat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4" fillId="0" borderId="109"/>
    <xf numFmtId="0" fontId="54" fillId="0" borderId="109"/>
    <xf numFmtId="0" fontId="55" fillId="0" borderId="109" applyNumberFormat="0">
      <alignment horizontal="left" vertical="top" wrapText="1" shrinkToFit="1"/>
      <protection locked="0"/>
    </xf>
    <xf numFmtId="0" fontId="55" fillId="0" borderId="109" applyNumberFormat="0">
      <alignment horizontal="left" vertical="top" wrapText="1" shrinkToFit="1"/>
      <protection locked="0"/>
    </xf>
    <xf numFmtId="0" fontId="54" fillId="0" borderId="109">
      <protection locked="0"/>
    </xf>
    <xf numFmtId="0" fontId="54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37" borderId="112" applyNumberFormat="0" applyFont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115" fillId="63" borderId="116" applyNumberFormat="0" applyAlignment="0" applyProtection="0"/>
    <xf numFmtId="0" fontId="115" fillId="63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0" fillId="0" borderId="109">
      <protection locked="0"/>
    </xf>
    <xf numFmtId="0" fontId="37" fillId="0" borderId="0" applyNumberFormat="0" applyFill="0" applyBorder="0" applyAlignment="0" applyProtection="0"/>
    <xf numFmtId="0" fontId="30" fillId="0" borderId="109">
      <protection locked="0"/>
    </xf>
    <xf numFmtId="0" fontId="46" fillId="40" borderId="108" applyNumberFormat="0" applyAlignment="0" applyProtection="0"/>
    <xf numFmtId="0" fontId="30" fillId="0" borderId="109">
      <protection locked="0"/>
    </xf>
    <xf numFmtId="0" fontId="52" fillId="49" borderId="110" applyNumberFormat="0" applyAlignment="0" applyProtection="0"/>
    <xf numFmtId="0" fontId="59" fillId="0" borderId="111" applyNumberFormat="0" applyFill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117" applyBorder="0">
      <alignment horizontal="left" vertical="top"/>
    </xf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30" fillId="0" borderId="112">
      <protection locked="0"/>
    </xf>
    <xf numFmtId="0" fontId="30" fillId="0" borderId="112">
      <protection locked="0"/>
    </xf>
    <xf numFmtId="0" fontId="30" fillId="0" borderId="112">
      <protection locked="0"/>
    </xf>
    <xf numFmtId="0" fontId="30" fillId="0" borderId="112">
      <protection locked="0"/>
    </xf>
    <xf numFmtId="0" fontId="54" fillId="0" borderId="112">
      <protection locked="0"/>
    </xf>
    <xf numFmtId="0" fontId="54" fillId="0" borderId="112">
      <protection locked="0"/>
    </xf>
    <xf numFmtId="0" fontId="55" fillId="0" borderId="112" applyNumberFormat="0">
      <alignment horizontal="left" vertical="top" wrapText="1" shrinkToFit="1"/>
      <protection locked="0"/>
    </xf>
    <xf numFmtId="0" fontId="54" fillId="0" borderId="112"/>
    <xf numFmtId="0" fontId="54" fillId="0" borderId="112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71" fillId="0" borderId="0" applyNumberFormat="0" applyFill="0" applyBorder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2" fillId="0" borderId="117" applyBorder="0">
      <alignment horizontal="left" vertical="top"/>
    </xf>
    <xf numFmtId="0" fontId="59" fillId="0" borderId="114" applyNumberFormat="0" applyFill="0" applyAlignment="0" applyProtection="0"/>
    <xf numFmtId="0" fontId="54" fillId="0" borderId="112">
      <protection locked="0"/>
    </xf>
    <xf numFmtId="0" fontId="30" fillId="0" borderId="112">
      <protection locked="0"/>
    </xf>
    <xf numFmtId="0" fontId="55" fillId="0" borderId="112" applyNumberFormat="0">
      <alignment horizontal="left" vertical="top" wrapText="1" shrinkToFit="1"/>
      <protection locked="0"/>
    </xf>
    <xf numFmtId="0" fontId="54" fillId="0" borderId="112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08" applyNumberFormat="0" applyAlignment="0" applyProtection="0"/>
    <xf numFmtId="0" fontId="35" fillId="49" borderId="108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30" fillId="37" borderId="112" applyNumberFormat="0" applyFon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30" fillId="37" borderId="112" applyNumberFormat="0" applyFont="0" applyAlignment="0" applyProtection="0"/>
    <xf numFmtId="0" fontId="46" fillId="40" borderId="116" applyNumberFormat="0" applyAlignment="0" applyProtection="0"/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35" fillId="49" borderId="116" applyNumberFormat="0" applyAlignment="0" applyProtection="0"/>
    <xf numFmtId="0" fontId="46" fillId="40" borderId="116" applyNumberFormat="0" applyAlignment="0" applyProtection="0"/>
    <xf numFmtId="0" fontId="30" fillId="37" borderId="103" applyNumberFormat="0" applyFon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1" fillId="0" borderId="118" applyNumberFormat="0" applyFill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7" fillId="0" borderId="0" applyNumberFormat="0" applyFill="0" applyBorder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37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3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59" fillId="0" borderId="124" applyNumberFormat="0" applyFill="0" applyAlignment="0" applyProtection="0"/>
    <xf numFmtId="0" fontId="46" fillId="40" borderId="65" applyNumberFormat="0" applyAlignment="0" applyProtection="0"/>
    <xf numFmtId="0" fontId="46" fillId="40" borderId="121" applyNumberFormat="0" applyAlignment="0" applyProtection="0"/>
    <xf numFmtId="0" fontId="55" fillId="0" borderId="122" applyNumberFormat="0">
      <alignment horizontal="left" vertical="top" wrapText="1" shrinkToFit="1"/>
      <protection locked="0"/>
    </xf>
    <xf numFmtId="0" fontId="35" fillId="49" borderId="121" applyNumberFormat="0" applyAlignment="0" applyProtection="0"/>
    <xf numFmtId="0" fontId="30" fillId="37" borderId="122" applyNumberFormat="0" applyFont="0" applyAlignment="0" applyProtection="0"/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42" fillId="0" borderId="126" applyBorder="0">
      <alignment horizontal="left" vertical="top"/>
    </xf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7" fillId="0" borderId="0" applyNumberFormat="0" applyFill="0" applyBorder="0" applyAlignment="0" applyProtection="0"/>
    <xf numFmtId="0" fontId="30" fillId="0" borderId="122">
      <protection locked="0"/>
    </xf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42" fillId="0" borderId="126" applyBorder="0">
      <alignment horizontal="left" vertical="top"/>
    </xf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4" fillId="0" borderId="122"/>
    <xf numFmtId="0" fontId="54" fillId="0" borderId="122"/>
    <xf numFmtId="0" fontId="55" fillId="0" borderId="122" applyNumberFormat="0">
      <alignment horizontal="left" vertical="top" wrapText="1" shrinkToFit="1"/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>
      <protection locked="0"/>
    </xf>
    <xf numFmtId="0" fontId="54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115" fillId="63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30" fillId="0" borderId="122">
      <protection locked="0"/>
    </xf>
    <xf numFmtId="0" fontId="54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4" fillId="0" borderId="122"/>
    <xf numFmtId="0" fontId="55" fillId="0" borderId="122" applyNumberFormat="0">
      <alignment horizontal="left" vertical="top" wrapText="1" shrinkToFit="1"/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0" borderId="122">
      <protection locked="0"/>
    </xf>
    <xf numFmtId="0" fontId="30" fillId="37" borderId="122" applyNumberFormat="0" applyFon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0" borderId="122">
      <protection locked="0"/>
    </xf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4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37" fillId="0" borderId="0" applyNumberFormat="0" applyFill="0" applyBorder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30" fillId="37" borderId="122" applyNumberFormat="0" applyFont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22" applyNumberFormat="0" applyFont="0" applyAlignment="0" applyProtection="0"/>
    <xf numFmtId="0" fontId="55" fillId="0" borderId="122" applyNumberFormat="0">
      <alignment horizontal="left" vertical="top" wrapText="1" shrinkToFit="1"/>
      <protection locked="0"/>
    </xf>
    <xf numFmtId="0" fontId="30" fillId="0" borderId="122">
      <protection locked="0"/>
    </xf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30" fillId="37" borderId="122" applyNumberFormat="0" applyFon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4" fillId="0" borderId="122">
      <protection locked="0"/>
    </xf>
    <xf numFmtId="0" fontId="30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2" fillId="49" borderId="123" applyNumberFormat="0" applyAlignment="0" applyProtection="0"/>
    <xf numFmtId="0" fontId="30" fillId="0" borderId="122">
      <protection locked="0"/>
    </xf>
    <xf numFmtId="0" fontId="46" fillId="40" borderId="121" applyNumberForma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35" fillId="49" borderId="121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4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30" fillId="37" borderId="122" applyNumberFormat="0" applyFont="0" applyAlignment="0" applyProtection="0"/>
    <xf numFmtId="0" fontId="52" fillId="49" borderId="123" applyNumberFormat="0" applyAlignment="0" applyProtection="0"/>
    <xf numFmtId="0" fontId="30" fillId="0" borderId="122">
      <protection locked="0"/>
    </xf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59" fillId="0" borderId="124" applyNumberFormat="0" applyFill="0" applyAlignment="0" applyProtection="0"/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0" borderId="0"/>
    <xf numFmtId="0" fontId="10" fillId="0" borderId="0"/>
    <xf numFmtId="0" fontId="118" fillId="0" borderId="0"/>
    <xf numFmtId="0" fontId="10" fillId="0" borderId="0"/>
    <xf numFmtId="0" fontId="10" fillId="15" borderId="0" applyNumberFormat="0" applyBorder="0" applyAlignment="0" applyProtection="0"/>
    <xf numFmtId="0" fontId="10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8" fillId="5" borderId="4" applyNumberFormat="0" applyAlignment="0" applyProtection="0"/>
    <xf numFmtId="0" fontId="10" fillId="8" borderId="8" applyNumberFormat="0" applyFont="0" applyAlignment="0" applyProtection="0"/>
    <xf numFmtId="165" fontId="30" fillId="0" borderId="0" applyFon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8" fillId="5" borderId="4" applyNumberFormat="0" applyAlignment="0" applyProtection="0"/>
    <xf numFmtId="0" fontId="10" fillId="31" borderId="0" applyNumberFormat="0" applyBorder="0" applyAlignment="0" applyProtection="0"/>
    <xf numFmtId="0" fontId="10" fillId="27" borderId="0" applyNumberFormat="0" applyBorder="0" applyAlignment="0" applyProtection="0"/>
    <xf numFmtId="0" fontId="10" fillId="23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0" borderId="0"/>
    <xf numFmtId="9" fontId="10" fillId="0" borderId="0" applyFont="0" applyFill="0" applyBorder="0" applyAlignment="0" applyProtection="0"/>
    <xf numFmtId="0" fontId="118" fillId="0" borderId="0"/>
    <xf numFmtId="0" fontId="10" fillId="0" borderId="0"/>
    <xf numFmtId="0" fontId="30" fillId="0" borderId="0"/>
    <xf numFmtId="165" fontId="30" fillId="0" borderId="0" applyFont="0" applyFill="0" applyBorder="0" applyAlignment="0" applyProtection="0"/>
    <xf numFmtId="0" fontId="10" fillId="22" borderId="0" applyNumberFormat="0" applyBorder="0" applyAlignment="0" applyProtection="0"/>
    <xf numFmtId="0" fontId="10" fillId="14" borderId="0" applyNumberFormat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10" fillId="26" borderId="0" applyNumberFormat="0" applyBorder="0" applyAlignment="0" applyProtection="0"/>
    <xf numFmtId="0" fontId="30" fillId="0" borderId="0"/>
    <xf numFmtId="0" fontId="10" fillId="0" borderId="0"/>
    <xf numFmtId="0" fontId="118" fillId="0" borderId="0"/>
    <xf numFmtId="0" fontId="10" fillId="8" borderId="8" applyNumberFormat="0" applyFont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8" fillId="5" borderId="4" applyNumberFormat="0" applyAlignment="0" applyProtection="0"/>
    <xf numFmtId="0" fontId="10" fillId="0" borderId="0"/>
    <xf numFmtId="9" fontId="1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10" fillId="18" borderId="0" applyNumberFormat="0" applyBorder="0" applyAlignment="0" applyProtection="0"/>
    <xf numFmtId="0" fontId="10" fillId="10" borderId="0" applyNumberFormat="0" applyBorder="0" applyAlignment="0" applyProtection="0"/>
    <xf numFmtId="0" fontId="1" fillId="0" borderId="0"/>
    <xf numFmtId="0" fontId="10" fillId="0" borderId="0"/>
    <xf numFmtId="0" fontId="67" fillId="0" borderId="0" applyNumberFormat="0" applyBorder="0" applyAlignment="0"/>
    <xf numFmtId="165" fontId="30" fillId="0" borderId="0" applyFon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10" fillId="0" borderId="0"/>
    <xf numFmtId="165" fontId="30" fillId="0" borderId="0" applyFont="0" applyFill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0" borderId="0"/>
    <xf numFmtId="0" fontId="10" fillId="18" borderId="0" applyNumberFormat="0" applyBorder="0" applyAlignment="0" applyProtection="0"/>
    <xf numFmtId="165" fontId="30" fillId="0" borderId="0" applyFont="0" applyFill="0" applyBorder="0" applyAlignment="0" applyProtection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9" borderId="127" applyNumberFormat="0" applyAlignment="0" applyProtection="0"/>
    <xf numFmtId="0" fontId="42" fillId="0" borderId="128" applyBorder="0">
      <alignment horizontal="left" vertical="top"/>
    </xf>
    <xf numFmtId="0" fontId="42" fillId="0" borderId="128" applyBorder="0">
      <alignment horizontal="left" vertical="top"/>
    </xf>
    <xf numFmtId="0" fontId="46" fillId="40" borderId="127" applyNumberFormat="0" applyAlignment="0" applyProtection="0"/>
    <xf numFmtId="0" fontId="59" fillId="0" borderId="144" applyNumberFormat="0" applyFill="0" applyAlignment="0" applyProtection="0"/>
    <xf numFmtId="0" fontId="52" fillId="49" borderId="143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1" fillId="0" borderId="129" applyNumberFormat="0" applyFill="0" applyAlignment="0" applyProtection="0"/>
    <xf numFmtId="0" fontId="30" fillId="37" borderId="130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54" fillId="0" borderId="130"/>
    <xf numFmtId="0" fontId="55" fillId="0" borderId="130" applyNumberFormat="0">
      <alignment horizontal="left" vertical="top" wrapText="1" shrinkToFit="1"/>
      <protection locked="0"/>
    </xf>
    <xf numFmtId="0" fontId="30" fillId="0" borderId="130">
      <protection locked="0"/>
    </xf>
    <xf numFmtId="0" fontId="54" fillId="0" borderId="130">
      <protection locked="0"/>
    </xf>
    <xf numFmtId="0" fontId="59" fillId="0" borderId="131" applyNumberFormat="0" applyFill="0" applyAlignment="0" applyProtection="0"/>
    <xf numFmtId="0" fontId="35" fillId="49" borderId="136" applyNumberFormat="0" applyAlignment="0" applyProtection="0"/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37" fillId="0" borderId="0" applyNumberFormat="0" applyFill="0" applyBorder="0" applyAlignment="0" applyProtection="0"/>
    <xf numFmtId="0" fontId="35" fillId="49" borderId="141" applyNumberFormat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52" fillId="49" borderId="138" applyNumberFormat="0" applyAlignment="0" applyProtection="0"/>
    <xf numFmtId="0" fontId="46" fillId="40" borderId="141" applyNumberFormat="0" applyAlignment="0" applyProtection="0"/>
    <xf numFmtId="0" fontId="30" fillId="37" borderId="142" applyNumberFormat="0" applyFont="0" applyAlignment="0" applyProtection="0"/>
    <xf numFmtId="0" fontId="52" fillId="49" borderId="133" applyNumberFormat="0" applyAlignment="0" applyProtection="0"/>
    <xf numFmtId="0" fontId="30" fillId="37" borderId="142" applyNumberFormat="0" applyFont="0" applyAlignment="0" applyProtection="0"/>
    <xf numFmtId="0" fontId="46" fillId="40" borderId="65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115" fillId="63" borderId="136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115" fillId="63" borderId="141" applyNumberFormat="0" applyAlignment="0" applyProtection="0"/>
    <xf numFmtId="0" fontId="46" fillId="40" borderId="141" applyNumberFormat="0" applyAlignment="0" applyProtection="0"/>
    <xf numFmtId="0" fontId="52" fillId="49" borderId="143" applyNumberForma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4" fillId="0" borderId="142">
      <protection locked="0"/>
    </xf>
    <xf numFmtId="0" fontId="30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55" fillId="0" borderId="142" applyNumberFormat="0">
      <alignment horizontal="left" vertical="top" wrapText="1" shrinkToFit="1"/>
      <protection locked="0"/>
    </xf>
    <xf numFmtId="0" fontId="54" fillId="0" borderId="142"/>
    <xf numFmtId="0" fontId="54" fillId="0" borderId="142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42" applyNumberFormat="0" applyFont="0" applyAlignment="0" applyProtection="0"/>
    <xf numFmtId="0" fontId="30" fillId="0" borderId="142">
      <protection locked="0"/>
    </xf>
    <xf numFmtId="0" fontId="52" fillId="49" borderId="143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52" fillId="49" borderId="138" applyNumberFormat="0" applyAlignment="0" applyProtection="0"/>
    <xf numFmtId="0" fontId="54" fillId="0" borderId="137">
      <protection locked="0"/>
    </xf>
    <xf numFmtId="0" fontId="55" fillId="0" borderId="142" applyNumberFormat="0">
      <alignment horizontal="left" vertical="top" wrapText="1" shrinkToFit="1"/>
      <protection locked="0"/>
    </xf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54" fillId="0" borderId="137">
      <protection locked="0"/>
    </xf>
    <xf numFmtId="0" fontId="54" fillId="0" borderId="137">
      <protection locked="0"/>
    </xf>
    <xf numFmtId="0" fontId="55" fillId="0" borderId="137" applyNumberFormat="0">
      <alignment horizontal="left" vertical="top" wrapText="1" shrinkToFit="1"/>
      <protection locked="0"/>
    </xf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54" fillId="0" borderId="137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46" fillId="40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55" fillId="0" borderId="137" applyNumberFormat="0">
      <alignment horizontal="left" vertical="top" wrapText="1" shrinkToFit="1"/>
      <protection locked="0"/>
    </xf>
    <xf numFmtId="0" fontId="30" fillId="0" borderId="137">
      <protection locked="0"/>
    </xf>
    <xf numFmtId="0" fontId="37" fillId="0" borderId="0" applyNumberFormat="0" applyFill="0" applyBorder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46" fillId="40" borderId="141" applyNumberFormat="0" applyAlignment="0" applyProtection="0"/>
    <xf numFmtId="0" fontId="52" fillId="49" borderId="143" applyNumberFormat="0" applyAlignment="0" applyProtection="0"/>
    <xf numFmtId="0" fontId="59" fillId="0" borderId="134" applyNumberFormat="0" applyFill="0" applyAlignment="0" applyProtection="0"/>
    <xf numFmtId="0" fontId="46" fillId="40" borderId="136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30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54" fillId="0" borderId="142"/>
    <xf numFmtId="0" fontId="54" fillId="0" borderId="142"/>
    <xf numFmtId="0" fontId="52" fillId="49" borderId="143" applyNumberFormat="0" applyAlignment="0" applyProtection="0"/>
    <xf numFmtId="0" fontId="52" fillId="49" borderId="143" applyNumberFormat="0" applyAlignment="0" applyProtection="0"/>
    <xf numFmtId="0" fontId="71" fillId="0" borderId="0" applyNumberFormat="0" applyFill="0" applyBorder="0" applyAlignment="0" applyProtection="0"/>
    <xf numFmtId="0" fontId="30" fillId="37" borderId="142" applyNumberFormat="0" applyFon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59" fillId="0" borderId="144" applyNumberFormat="0" applyFill="0" applyAlignment="0" applyProtection="0"/>
    <xf numFmtId="0" fontId="30" fillId="0" borderId="142">
      <protection locked="0"/>
    </xf>
    <xf numFmtId="0" fontId="54" fillId="0" borderId="142">
      <protection locked="0"/>
    </xf>
    <xf numFmtId="0" fontId="54" fillId="0" borderId="142"/>
    <xf numFmtId="0" fontId="52" fillId="49" borderId="143" applyNumberFormat="0" applyAlignment="0" applyProtection="0"/>
    <xf numFmtId="0" fontId="46" fillId="40" borderId="141" applyNumberFormat="0" applyAlignment="0" applyProtection="0"/>
    <xf numFmtId="0" fontId="52" fillId="49" borderId="138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9" fillId="0" borderId="139" applyNumberFormat="0" applyFill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30" fillId="0" borderId="137">
      <protection locked="0"/>
    </xf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54" fillId="0" borderId="137">
      <protection locked="0"/>
    </xf>
    <xf numFmtId="0" fontId="54" fillId="0" borderId="137"/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35" fillId="49" borderId="141" applyNumberFormat="0" applyAlignment="0" applyProtection="0"/>
    <xf numFmtId="0" fontId="42" fillId="0" borderId="140" applyBorder="0">
      <alignment horizontal="left" vertical="top"/>
    </xf>
    <xf numFmtId="0" fontId="52" fillId="49" borderId="138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42" applyNumberFormat="0" applyFon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0" borderId="142">
      <protection locked="0"/>
    </xf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6" fillId="40" borderId="141" applyNumberFormat="0" applyAlignment="0" applyProtection="0"/>
    <xf numFmtId="0" fontId="35" fillId="49" borderId="141" applyNumberFormat="0" applyAlignment="0" applyProtection="0"/>
    <xf numFmtId="0" fontId="59" fillId="0" borderId="144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54" fillId="0" borderId="137">
      <protection locked="0"/>
    </xf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42" fillId="0" borderId="140" applyBorder="0">
      <alignment horizontal="left" vertical="top"/>
    </xf>
    <xf numFmtId="0" fontId="52" fillId="49" borderId="138" applyNumberFormat="0" applyAlignment="0" applyProtection="0"/>
    <xf numFmtId="0" fontId="30" fillId="0" borderId="142">
      <protection locked="0"/>
    </xf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35" fillId="49" borderId="136" applyNumberFormat="0" applyAlignment="0" applyProtection="0"/>
    <xf numFmtId="0" fontId="52" fillId="49" borderId="143" applyNumberFormat="0" applyAlignment="0" applyProtection="0"/>
    <xf numFmtId="0" fontId="59" fillId="0" borderId="139" applyNumberFormat="0" applyFill="0" applyAlignment="0" applyProtection="0"/>
    <xf numFmtId="0" fontId="46" fillId="40" borderId="141" applyNumberFormat="0" applyAlignment="0" applyProtection="0"/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35" fillId="49" borderId="136" applyNumberFormat="0" applyAlignment="0" applyProtection="0"/>
    <xf numFmtId="0" fontId="35" fillId="49" borderId="141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38" fontId="37" fillId="0" borderId="0" applyFont="0" applyFill="0" applyBorder="0" applyAlignment="0" applyProtection="0"/>
    <xf numFmtId="0" fontId="42" fillId="0" borderId="146" applyBorder="0">
      <alignment horizontal="left" vertical="top"/>
    </xf>
    <xf numFmtId="0" fontId="42" fillId="0" borderId="146" applyBorder="0">
      <alignment horizontal="left" vertical="top"/>
    </xf>
    <xf numFmtId="0" fontId="46" fillId="40" borderId="65" applyNumberFormat="0" applyAlignment="0" applyProtection="0"/>
    <xf numFmtId="0" fontId="54" fillId="0" borderId="152"/>
    <xf numFmtId="0" fontId="35" fillId="49" borderId="157" applyNumberFormat="0" applyAlignment="0" applyProtection="0"/>
    <xf numFmtId="0" fontId="51" fillId="0" borderId="145" applyNumberFormat="0" applyFill="0" applyAlignment="0" applyProtection="0"/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59" fillId="0" borderId="104" applyNumberFormat="0" applyFill="0" applyAlignment="0" applyProtection="0"/>
    <xf numFmtId="0" fontId="52" fillId="49" borderId="153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42" fillId="0" borderId="156" applyBorder="0">
      <alignment horizontal="left" vertical="top"/>
    </xf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7" fillId="0" borderId="0" applyNumberFormat="0" applyFill="0" applyBorder="0" applyAlignment="0" applyProtection="0"/>
    <xf numFmtId="0" fontId="52" fillId="49" borderId="153" applyNumberFormat="0" applyAlignment="0" applyProtection="0"/>
    <xf numFmtId="0" fontId="51" fillId="0" borderId="47" applyNumberFormat="0" applyFill="0" applyAlignment="0" applyProtection="0"/>
    <xf numFmtId="0" fontId="51" fillId="0" borderId="47" applyNumberFormat="0" applyFill="0" applyAlignment="0" applyProtection="0"/>
    <xf numFmtId="0" fontId="51" fillId="0" borderId="47" applyNumberFormat="0" applyFill="0" applyAlignment="0" applyProtection="0"/>
    <xf numFmtId="0" fontId="42" fillId="0" borderId="156" applyBorder="0">
      <alignment horizontal="left" vertical="top"/>
    </xf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4" fillId="0" borderId="149"/>
    <xf numFmtId="0" fontId="54" fillId="0" borderId="149"/>
    <xf numFmtId="0" fontId="55" fillId="0" borderId="149" applyNumberFormat="0">
      <alignment horizontal="left" vertical="top" wrapText="1" shrinkToFit="1"/>
      <protection locked="0"/>
    </xf>
    <xf numFmtId="0" fontId="55" fillId="0" borderId="149" applyNumberFormat="0">
      <alignment horizontal="left" vertical="top" wrapText="1" shrinkToFit="1"/>
      <protection locked="0"/>
    </xf>
    <xf numFmtId="0" fontId="54" fillId="0" borderId="149">
      <protection locked="0"/>
    </xf>
    <xf numFmtId="0" fontId="54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115" fillId="63" borderId="157" applyNumberFormat="0" applyAlignment="0" applyProtection="0"/>
    <xf numFmtId="0" fontId="115" fillId="63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30" fillId="0" borderId="152">
      <protection locked="0"/>
    </xf>
    <xf numFmtId="0" fontId="30" fillId="0" borderId="152">
      <protection locked="0"/>
    </xf>
    <xf numFmtId="0" fontId="30" fillId="0" borderId="152">
      <protection locked="0"/>
    </xf>
    <xf numFmtId="0" fontId="30" fillId="0" borderId="152">
      <protection locked="0"/>
    </xf>
    <xf numFmtId="0" fontId="54" fillId="0" borderId="152">
      <protection locked="0"/>
    </xf>
    <xf numFmtId="0" fontId="54" fillId="0" borderId="152">
      <protection locked="0"/>
    </xf>
    <xf numFmtId="0" fontId="55" fillId="0" borderId="152" applyNumberFormat="0">
      <alignment horizontal="left" vertical="top" wrapText="1" shrinkToFit="1"/>
      <protection locked="0"/>
    </xf>
    <xf numFmtId="0" fontId="55" fillId="0" borderId="152" applyNumberFormat="0">
      <alignment horizontal="left" vertical="top" wrapText="1" shrinkToFit="1"/>
      <protection locked="0"/>
    </xf>
    <xf numFmtId="0" fontId="54" fillId="0" borderId="152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71" fillId="0" borderId="0" applyNumberFormat="0" applyFill="0" applyBorder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59" fillId="0" borderId="154" applyNumberFormat="0" applyFill="0" applyAlignment="0" applyProtection="0"/>
    <xf numFmtId="0" fontId="54" fillId="0" borderId="152">
      <protection locked="0"/>
    </xf>
    <xf numFmtId="0" fontId="30" fillId="0" borderId="152">
      <protection locked="0"/>
    </xf>
    <xf numFmtId="0" fontId="55" fillId="0" borderId="152" applyNumberFormat="0">
      <alignment horizontal="left" vertical="top" wrapText="1" shrinkToFit="1"/>
      <protection locked="0"/>
    </xf>
    <xf numFmtId="0" fontId="54" fillId="0" borderId="152"/>
    <xf numFmtId="0" fontId="52" fillId="49" borderId="153" applyNumberFormat="0" applyAlignment="0" applyProtection="0"/>
    <xf numFmtId="0" fontId="30" fillId="37" borderId="152" applyNumberFormat="0" applyFont="0" applyAlignment="0" applyProtection="0"/>
    <xf numFmtId="0" fontId="42" fillId="0" borderId="48" applyBorder="0">
      <alignment horizontal="left" vertical="top"/>
    </xf>
    <xf numFmtId="0" fontId="42" fillId="0" borderId="48" applyBorder="0">
      <alignment horizontal="left" vertical="top"/>
    </xf>
    <xf numFmtId="0" fontId="35" fillId="49" borderId="148" applyNumberFormat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25" fillId="0" borderId="0"/>
    <xf numFmtId="0" fontId="129" fillId="0" borderId="0"/>
  </cellStyleXfs>
  <cellXfs count="146">
    <xf numFmtId="0" fontId="0" fillId="0" borderId="0" xfId="0"/>
    <xf numFmtId="0" fontId="25" fillId="0" borderId="0" xfId="0" applyFont="1"/>
    <xf numFmtId="0" fontId="27" fillId="0" borderId="0" xfId="2" applyFont="1" applyFill="1"/>
    <xf numFmtId="0" fontId="0" fillId="33" borderId="0" xfId="0" applyFill="1"/>
    <xf numFmtId="172" fontId="0" fillId="0" borderId="0" xfId="0" applyNumberFormat="1"/>
    <xf numFmtId="1" fontId="0" fillId="65" borderId="0" xfId="0" applyNumberFormat="1" applyFill="1"/>
    <xf numFmtId="0" fontId="63" fillId="0" borderId="0" xfId="131"/>
    <xf numFmtId="0" fontId="64" fillId="0" borderId="0" xfId="131" applyFont="1" applyAlignment="1">
      <alignment horizontal="centerContinuous"/>
    </xf>
    <xf numFmtId="0" fontId="30" fillId="0" borderId="0" xfId="131" applyFont="1" applyAlignment="1">
      <alignment horizontal="centerContinuous"/>
    </xf>
    <xf numFmtId="0" fontId="120" fillId="0" borderId="0" xfId="131" applyFont="1" applyAlignment="1">
      <alignment horizontal="centerContinuous"/>
    </xf>
    <xf numFmtId="0" fontId="30" fillId="0" borderId="0" xfId="131" applyFont="1"/>
    <xf numFmtId="0" fontId="42" fillId="0" borderId="0" xfId="131" applyFont="1" applyAlignment="1">
      <alignment horizontal="centerContinuous"/>
    </xf>
    <xf numFmtId="0" fontId="54" fillId="0" borderId="0" xfId="131" applyFont="1" applyAlignment="1">
      <alignment horizontal="centerContinuous"/>
    </xf>
    <xf numFmtId="0" fontId="42" fillId="0" borderId="0" xfId="131" applyFont="1"/>
    <xf numFmtId="0" fontId="54" fillId="0" borderId="0" xfId="131" applyFont="1"/>
    <xf numFmtId="0" fontId="120" fillId="0" borderId="0" xfId="131" applyFont="1" applyAlignment="1">
      <alignment vertical="center"/>
    </xf>
    <xf numFmtId="0" fontId="121" fillId="0" borderId="0" xfId="131" applyFont="1"/>
    <xf numFmtId="0" fontId="120" fillId="0" borderId="0" xfId="131" applyFont="1"/>
    <xf numFmtId="0" fontId="120" fillId="0" borderId="0" xfId="131" applyFont="1" applyProtection="1">
      <protection locked="0"/>
    </xf>
    <xf numFmtId="0" fontId="120" fillId="0" borderId="0" xfId="131" applyFont="1" applyAlignment="1" applyProtection="1">
      <alignment vertical="center"/>
      <protection locked="0"/>
    </xf>
    <xf numFmtId="0" fontId="42" fillId="0" borderId="0" xfId="131" applyFont="1" applyAlignment="1">
      <alignment vertical="center"/>
    </xf>
    <xf numFmtId="0" fontId="122" fillId="0" borderId="0" xfId="131" applyFont="1"/>
    <xf numFmtId="0" fontId="120" fillId="0" borderId="28" xfId="131" applyFont="1" applyBorder="1"/>
    <xf numFmtId="0" fontId="120" fillId="0" borderId="29" xfId="131" applyFont="1" applyBorder="1"/>
    <xf numFmtId="0" fontId="120" fillId="0" borderId="168" xfId="131" applyFont="1" applyBorder="1"/>
    <xf numFmtId="0" fontId="120" fillId="0" borderId="164" xfId="131" applyFont="1" applyBorder="1"/>
    <xf numFmtId="0" fontId="120" fillId="0" borderId="29" xfId="131" applyFont="1" applyBorder="1" applyAlignment="1">
      <alignment horizontal="centerContinuous" vertical="center"/>
    </xf>
    <xf numFmtId="0" fontId="120" fillId="0" borderId="169" xfId="131" applyFont="1" applyBorder="1" applyAlignment="1">
      <alignment horizontal="centerContinuous" vertical="center"/>
    </xf>
    <xf numFmtId="0" fontId="120" fillId="0" borderId="30" xfId="131" applyFont="1" applyBorder="1" applyAlignment="1">
      <alignment horizontal="centerContinuous" vertical="center"/>
    </xf>
    <xf numFmtId="0" fontId="120" fillId="0" borderId="31" xfId="131" applyFont="1" applyBorder="1"/>
    <xf numFmtId="0" fontId="120" fillId="0" borderId="32" xfId="131" applyFont="1" applyBorder="1"/>
    <xf numFmtId="0" fontId="31" fillId="0" borderId="170" xfId="131" applyFont="1" applyBorder="1" applyAlignment="1">
      <alignment horizontal="center"/>
    </xf>
    <xf numFmtId="0" fontId="30" fillId="0" borderId="170" xfId="131" applyFont="1" applyBorder="1" applyAlignment="1">
      <alignment horizontal="center"/>
    </xf>
    <xf numFmtId="0" fontId="121" fillId="0" borderId="28" xfId="131" applyFont="1" applyBorder="1"/>
    <xf numFmtId="208" fontId="123" fillId="0" borderId="163" xfId="131" applyNumberFormat="1" applyFont="1" applyBorder="1"/>
    <xf numFmtId="0" fontId="120" fillId="0" borderId="163" xfId="131" applyFont="1" applyBorder="1"/>
    <xf numFmtId="0" fontId="120" fillId="0" borderId="30" xfId="131" applyFont="1" applyBorder="1"/>
    <xf numFmtId="0" fontId="120" fillId="0" borderId="33" xfId="131" applyFont="1" applyBorder="1"/>
    <xf numFmtId="0" fontId="120" fillId="0" borderId="21" xfId="131" applyFont="1" applyBorder="1" applyProtection="1">
      <protection locked="0"/>
    </xf>
    <xf numFmtId="0" fontId="120" fillId="0" borderId="22" xfId="131" applyFont="1" applyBorder="1"/>
    <xf numFmtId="0" fontId="120" fillId="0" borderId="23" xfId="131" applyFont="1" applyBorder="1"/>
    <xf numFmtId="0" fontId="120" fillId="0" borderId="21" xfId="131" applyFont="1" applyBorder="1"/>
    <xf numFmtId="0" fontId="120" fillId="0" borderId="166" xfId="131" applyFont="1" applyBorder="1"/>
    <xf numFmtId="0" fontId="120" fillId="0" borderId="167" xfId="131" applyFont="1" applyBorder="1" applyAlignment="1" applyProtection="1">
      <alignment vertical="top"/>
      <protection locked="0"/>
    </xf>
    <xf numFmtId="209" fontId="120" fillId="0" borderId="145" xfId="131" applyNumberFormat="1" applyFont="1" applyBorder="1"/>
    <xf numFmtId="210" fontId="120" fillId="0" borderId="161" xfId="131" applyNumberFormat="1" applyFont="1" applyBorder="1"/>
    <xf numFmtId="210" fontId="120" fillId="0" borderId="145" xfId="131" applyNumberFormat="1" applyFont="1" applyBorder="1"/>
    <xf numFmtId="210" fontId="120" fillId="0" borderId="171" xfId="131" applyNumberFormat="1" applyFont="1" applyBorder="1"/>
    <xf numFmtId="210" fontId="120" fillId="0" borderId="167" xfId="131" applyNumberFormat="1" applyFont="1" applyBorder="1"/>
    <xf numFmtId="0" fontId="120" fillId="0" borderId="167" xfId="131" applyFont="1" applyBorder="1" applyProtection="1">
      <protection locked="0"/>
    </xf>
    <xf numFmtId="0" fontId="121" fillId="0" borderId="33" xfId="131" applyFont="1" applyBorder="1"/>
    <xf numFmtId="211" fontId="120" fillId="0" borderId="27" xfId="131" applyNumberFormat="1" applyFont="1" applyBorder="1" applyAlignment="1">
      <alignment horizontal="center" vertical="top"/>
    </xf>
    <xf numFmtId="211" fontId="120" fillId="0" borderId="160" xfId="131" applyNumberFormat="1" applyFont="1" applyBorder="1" applyAlignment="1">
      <alignment horizontal="center" vertical="top"/>
    </xf>
    <xf numFmtId="211" fontId="120" fillId="0" borderId="0" xfId="131" applyNumberFormat="1" applyFont="1" applyAlignment="1">
      <alignment horizontal="center" vertical="top"/>
    </xf>
    <xf numFmtId="210" fontId="120" fillId="0" borderId="158" xfId="131" applyNumberFormat="1" applyFont="1" applyBorder="1"/>
    <xf numFmtId="210" fontId="120" fillId="0" borderId="24" xfId="131" applyNumberFormat="1" applyFont="1" applyBorder="1"/>
    <xf numFmtId="211" fontId="120" fillId="0" borderId="34" xfId="131" applyNumberFormat="1" applyFont="1" applyBorder="1" applyAlignment="1">
      <alignment horizontal="center" vertical="top"/>
    </xf>
    <xf numFmtId="0" fontId="120" fillId="0" borderId="21" xfId="131" applyFont="1" applyBorder="1" applyAlignment="1" applyProtection="1">
      <alignment vertical="top"/>
      <protection locked="0"/>
    </xf>
    <xf numFmtId="209" fontId="120" fillId="0" borderId="22" xfId="131" applyNumberFormat="1" applyFont="1" applyBorder="1"/>
    <xf numFmtId="210" fontId="120" fillId="0" borderId="26" xfId="131" applyNumberFormat="1" applyFont="1" applyBorder="1"/>
    <xf numFmtId="210" fontId="120" fillId="0" borderId="22" xfId="131" applyNumberFormat="1" applyFont="1" applyBorder="1"/>
    <xf numFmtId="210" fontId="120" fillId="0" borderId="166" xfId="131" applyNumberFormat="1" applyFont="1" applyBorder="1"/>
    <xf numFmtId="0" fontId="63" fillId="0" borderId="0" xfId="131" applyAlignment="1">
      <alignment horizontal="center"/>
    </xf>
    <xf numFmtId="210" fontId="120" fillId="0" borderId="27" xfId="131" applyNumberFormat="1" applyFont="1" applyBorder="1"/>
    <xf numFmtId="212" fontId="120" fillId="0" borderId="160" xfId="131" applyNumberFormat="1" applyFont="1" applyBorder="1"/>
    <xf numFmtId="212" fontId="120" fillId="0" borderId="0" xfId="131" applyNumberFormat="1" applyFont="1"/>
    <xf numFmtId="210" fontId="120" fillId="0" borderId="34" xfId="131" applyNumberFormat="1" applyFont="1" applyBorder="1"/>
    <xf numFmtId="210" fontId="120" fillId="0" borderId="160" xfId="131" applyNumberFormat="1" applyFont="1" applyBorder="1"/>
    <xf numFmtId="212" fontId="120" fillId="0" borderId="0" xfId="35790" applyNumberFormat="1" applyFont="1"/>
    <xf numFmtId="212" fontId="120" fillId="0" borderId="27" xfId="35790" applyNumberFormat="1" applyFont="1" applyBorder="1"/>
    <xf numFmtId="212" fontId="120" fillId="0" borderId="24" xfId="35790" applyNumberFormat="1" applyFont="1" applyBorder="1"/>
    <xf numFmtId="210" fontId="120" fillId="0" borderId="0" xfId="131" applyNumberFormat="1" applyFont="1"/>
    <xf numFmtId="210" fontId="120" fillId="0" borderId="21" xfId="131" applyNumberFormat="1" applyFont="1" applyBorder="1"/>
    <xf numFmtId="0" fontId="31" fillId="0" borderId="0" xfId="131" applyFont="1" applyAlignment="1">
      <alignment horizontal="center"/>
    </xf>
    <xf numFmtId="0" fontId="124" fillId="0" borderId="0" xfId="131" applyFont="1"/>
    <xf numFmtId="213" fontId="120" fillId="0" borderId="161" xfId="131" applyNumberFormat="1" applyFont="1" applyBorder="1"/>
    <xf numFmtId="213" fontId="120" fillId="0" borderId="145" xfId="131" applyNumberFormat="1" applyFont="1" applyBorder="1"/>
    <xf numFmtId="213" fontId="120" fillId="0" borderId="171" xfId="131" applyNumberFormat="1" applyFont="1" applyBorder="1"/>
    <xf numFmtId="210" fontId="120" fillId="0" borderId="145" xfId="35790" applyNumberFormat="1" applyFont="1" applyBorder="1"/>
    <xf numFmtId="209" fontId="120" fillId="0" borderId="161" xfId="131" applyNumberFormat="1" applyFont="1" applyBorder="1"/>
    <xf numFmtId="0" fontId="120" fillId="0" borderId="32" xfId="131" applyFont="1" applyBorder="1" applyProtection="1">
      <protection locked="0"/>
    </xf>
    <xf numFmtId="0" fontId="120" fillId="0" borderId="172" xfId="131" applyFont="1" applyBorder="1"/>
    <xf numFmtId="0" fontId="120" fillId="0" borderId="165" xfId="131" applyFont="1" applyBorder="1"/>
    <xf numFmtId="0" fontId="120" fillId="0" borderId="35" xfId="131" applyFont="1" applyBorder="1"/>
    <xf numFmtId="214" fontId="126" fillId="34" borderId="0" xfId="0" applyNumberFormat="1" applyFont="1" applyFill="1" applyAlignment="1" applyProtection="1">
      <alignment horizontal="left"/>
      <protection locked="0"/>
    </xf>
    <xf numFmtId="0" fontId="27" fillId="0" borderId="0" xfId="25172" applyFont="1"/>
    <xf numFmtId="0" fontId="127" fillId="0" borderId="0" xfId="4975" applyFont="1" applyAlignment="1" applyProtection="1">
      <alignment horizontal="left" vertical="center" wrapText="1"/>
      <protection locked="0"/>
    </xf>
    <xf numFmtId="0" fontId="51" fillId="0" borderId="0" xfId="25172" applyFont="1"/>
    <xf numFmtId="0" fontId="61" fillId="0" borderId="0" xfId="25172" applyFont="1"/>
    <xf numFmtId="0" fontId="27" fillId="0" borderId="0" xfId="25172" applyFont="1" applyAlignment="1">
      <alignment horizontal="center"/>
    </xf>
    <xf numFmtId="0" fontId="30" fillId="0" borderId="0" xfId="4975" applyProtection="1">
      <protection locked="0"/>
    </xf>
    <xf numFmtId="0" fontId="30" fillId="0" borderId="0" xfId="25172" applyAlignment="1">
      <alignment horizontal="center"/>
    </xf>
    <xf numFmtId="0" fontId="29" fillId="0" borderId="0" xfId="25172" applyFont="1"/>
    <xf numFmtId="0" fontId="29" fillId="0" borderId="0" xfId="25172" applyFont="1" applyAlignment="1">
      <alignment horizontal="centerContinuous"/>
    </xf>
    <xf numFmtId="0" fontId="127" fillId="0" borderId="161" xfId="4975" applyFont="1" applyBorder="1" applyAlignment="1" applyProtection="1">
      <alignment vertical="center" wrapText="1"/>
      <protection locked="0"/>
    </xf>
    <xf numFmtId="0" fontId="128" fillId="0" borderId="145" xfId="4975" applyFont="1" applyBorder="1" applyAlignment="1" applyProtection="1">
      <alignment horizontal="right" vertical="center" wrapText="1"/>
      <protection locked="0"/>
    </xf>
    <xf numFmtId="0" fontId="51" fillId="0" borderId="0" xfId="25172" applyFont="1" applyAlignment="1">
      <alignment horizontal="centerContinuous"/>
    </xf>
    <xf numFmtId="0" fontId="51" fillId="34" borderId="158" xfId="4975" applyFont="1" applyFill="1" applyBorder="1" applyAlignment="1" applyProtection="1">
      <alignment vertical="center" wrapText="1"/>
      <protection locked="0"/>
    </xf>
    <xf numFmtId="168" fontId="51" fillId="34" borderId="160" xfId="4975" applyNumberFormat="1" applyFont="1" applyFill="1" applyBorder="1" applyAlignment="1" applyProtection="1">
      <alignment horizontal="right" vertical="center" wrapText="1"/>
      <protection locked="0"/>
    </xf>
    <xf numFmtId="168" fontId="61" fillId="0" borderId="0" xfId="25172" applyNumberFormat="1" applyFont="1"/>
    <xf numFmtId="0" fontId="29" fillId="0" borderId="0" xfId="25172" applyFont="1" applyAlignment="1">
      <alignment horizontal="center"/>
    </xf>
    <xf numFmtId="0" fontId="51" fillId="34" borderId="27" xfId="4975" applyFont="1" applyFill="1" applyBorder="1" applyAlignment="1" applyProtection="1">
      <alignment vertical="center" wrapText="1"/>
      <protection locked="0"/>
    </xf>
    <xf numFmtId="168" fontId="51" fillId="34" borderId="27" xfId="4975" applyNumberFormat="1" applyFont="1" applyFill="1" applyBorder="1" applyAlignment="1" applyProtection="1">
      <alignment horizontal="right" vertical="center" wrapText="1"/>
      <protection locked="0"/>
    </xf>
    <xf numFmtId="168" fontId="51" fillId="34" borderId="24" xfId="4975" applyNumberFormat="1" applyFont="1" applyFill="1" applyBorder="1" applyAlignment="1" applyProtection="1">
      <alignment horizontal="right" vertical="center" wrapText="1"/>
      <protection locked="0"/>
    </xf>
    <xf numFmtId="0" fontId="51" fillId="0" borderId="0" xfId="25172" applyFont="1" applyAlignment="1">
      <alignment horizontal="center"/>
    </xf>
    <xf numFmtId="215" fontId="128" fillId="0" borderId="0" xfId="25172" applyNumberFormat="1" applyFont="1" applyAlignment="1">
      <alignment horizontal="right"/>
    </xf>
    <xf numFmtId="0" fontId="128" fillId="0" borderId="0" xfId="25172" applyFont="1" applyAlignment="1">
      <alignment horizontal="center"/>
    </xf>
    <xf numFmtId="0" fontId="51" fillId="0" borderId="0" xfId="25172" applyFont="1" applyAlignment="1">
      <alignment horizontal="left"/>
    </xf>
    <xf numFmtId="168" fontId="51" fillId="34" borderId="22" xfId="4975" applyNumberFormat="1" applyFont="1" applyFill="1" applyBorder="1" applyAlignment="1" applyProtection="1">
      <alignment horizontal="right" vertical="center" wrapText="1"/>
      <protection locked="0"/>
    </xf>
    <xf numFmtId="0" fontId="127" fillId="34" borderId="161" xfId="4975" applyFont="1" applyFill="1" applyBorder="1" applyAlignment="1" applyProtection="1">
      <alignment vertical="center" wrapText="1"/>
      <protection locked="0"/>
    </xf>
    <xf numFmtId="168" fontId="51" fillId="0" borderId="0" xfId="25172" applyNumberFormat="1" applyFont="1" applyAlignment="1">
      <alignment horizontal="right" vertical="center"/>
    </xf>
    <xf numFmtId="0" fontId="51" fillId="34" borderId="27" xfId="4975" applyFont="1" applyFill="1" applyBorder="1" applyAlignment="1" applyProtection="1">
      <alignment horizontal="left" vertical="center" wrapText="1"/>
      <protection locked="0"/>
    </xf>
    <xf numFmtId="168" fontId="51" fillId="0" borderId="0" xfId="25172" applyNumberFormat="1" applyFont="1" applyAlignment="1">
      <alignment horizontal="left" vertical="center"/>
    </xf>
    <xf numFmtId="0" fontId="51" fillId="34" borderId="27" xfId="4975" applyFont="1" applyFill="1" applyBorder="1" applyAlignment="1" applyProtection="1">
      <alignment horizontal="left" vertical="center" wrapText="1" indent="2"/>
      <protection locked="0"/>
    </xf>
    <xf numFmtId="0" fontId="51" fillId="34" borderId="27" xfId="4975" applyFont="1" applyFill="1" applyBorder="1" applyAlignment="1" applyProtection="1">
      <alignment horizontal="right" vertical="center" wrapText="1"/>
      <protection locked="0"/>
    </xf>
    <xf numFmtId="0" fontId="66" fillId="0" borderId="0" xfId="25172" applyFont="1"/>
    <xf numFmtId="168" fontId="128" fillId="0" borderId="0" xfId="25172" applyNumberFormat="1" applyFont="1" applyAlignment="1">
      <alignment horizontal="right" vertical="center"/>
    </xf>
    <xf numFmtId="168" fontId="128" fillId="0" borderId="0" xfId="25172" applyNumberFormat="1" applyFont="1" applyAlignment="1">
      <alignment horizontal="centerContinuous" vertical="center"/>
    </xf>
    <xf numFmtId="0" fontId="10" fillId="0" borderId="0" xfId="0" applyFont="1"/>
    <xf numFmtId="0" fontId="128" fillId="0" borderId="173" xfId="4975" applyFont="1" applyBorder="1" applyAlignment="1" applyProtection="1">
      <alignment horizontal="right" vertical="center" wrapText="1"/>
      <protection locked="0"/>
    </xf>
    <xf numFmtId="0" fontId="51" fillId="34" borderId="160" xfId="4975" applyFont="1" applyFill="1" applyBorder="1" applyAlignment="1" applyProtection="1">
      <alignment horizontal="right" vertical="center" wrapText="1"/>
      <protection locked="0"/>
    </xf>
    <xf numFmtId="0" fontId="51" fillId="34" borderId="160" xfId="4975" applyFont="1" applyFill="1" applyBorder="1" applyAlignment="1" applyProtection="1">
      <alignment horizontal="left" vertical="center" wrapText="1"/>
      <protection locked="0"/>
    </xf>
    <xf numFmtId="168" fontId="128" fillId="34" borderId="160" xfId="4975" applyNumberFormat="1" applyFont="1" applyFill="1" applyBorder="1" applyAlignment="1" applyProtection="1">
      <alignment horizontal="right" vertical="center" wrapText="1"/>
      <protection locked="0"/>
    </xf>
    <xf numFmtId="168" fontId="128" fillId="34" borderId="159" xfId="4975" applyNumberFormat="1" applyFont="1" applyFill="1" applyBorder="1" applyAlignment="1" applyProtection="1">
      <alignment horizontal="right" vertical="center" wrapText="1"/>
      <protection locked="0"/>
    </xf>
    <xf numFmtId="0" fontId="51" fillId="34" borderId="24" xfId="4975" applyFont="1" applyFill="1" applyBorder="1" applyAlignment="1" applyProtection="1">
      <alignment horizontal="right" vertical="center" wrapText="1"/>
      <protection locked="0"/>
    </xf>
    <xf numFmtId="0" fontId="51" fillId="34" borderId="24" xfId="4975" applyFont="1" applyFill="1" applyBorder="1" applyAlignment="1" applyProtection="1">
      <alignment horizontal="left" vertical="center" wrapText="1"/>
      <protection locked="0"/>
    </xf>
    <xf numFmtId="2" fontId="51" fillId="34" borderId="27" xfId="4975" applyNumberFormat="1" applyFont="1" applyFill="1" applyBorder="1" applyAlignment="1" applyProtection="1">
      <alignment horizontal="right" vertical="center" wrapText="1"/>
      <protection locked="0"/>
    </xf>
    <xf numFmtId="2" fontId="51" fillId="34" borderId="24" xfId="4975" applyNumberFormat="1" applyFont="1" applyFill="1" applyBorder="1" applyAlignment="1" applyProtection="1">
      <alignment horizontal="right" vertical="center" wrapText="1"/>
      <protection locked="0"/>
    </xf>
    <xf numFmtId="168" fontId="128" fillId="34" borderId="24" xfId="4975" applyNumberFormat="1" applyFont="1" applyFill="1" applyBorder="1" applyAlignment="1" applyProtection="1">
      <alignment horizontal="right" vertical="center" wrapText="1"/>
      <protection locked="0"/>
    </xf>
    <xf numFmtId="168" fontId="128" fillId="34" borderId="25" xfId="4975" applyNumberFormat="1" applyFont="1" applyFill="1" applyBorder="1" applyAlignment="1" applyProtection="1">
      <alignment horizontal="right" vertical="center" wrapText="1"/>
      <protection locked="0"/>
    </xf>
    <xf numFmtId="0" fontId="51" fillId="34" borderId="22" xfId="4975" applyFont="1" applyFill="1" applyBorder="1" applyAlignment="1" applyProtection="1">
      <alignment horizontal="right" vertical="center" wrapText="1"/>
      <protection locked="0"/>
    </xf>
    <xf numFmtId="0" fontId="51" fillId="34" borderId="22" xfId="4975" applyFont="1" applyFill="1" applyBorder="1" applyAlignment="1" applyProtection="1">
      <alignment horizontal="left" vertical="center" wrapText="1"/>
      <protection locked="0"/>
    </xf>
    <xf numFmtId="1" fontId="51" fillId="34" borderId="26" xfId="4975" applyNumberFormat="1" applyFont="1" applyFill="1" applyBorder="1" applyAlignment="1" applyProtection="1">
      <alignment horizontal="right" vertical="center" wrapText="1"/>
      <protection locked="0"/>
    </xf>
    <xf numFmtId="1" fontId="51" fillId="34" borderId="22" xfId="4975" applyNumberFormat="1" applyFont="1" applyFill="1" applyBorder="1" applyAlignment="1" applyProtection="1">
      <alignment horizontal="right" vertical="center" wrapText="1"/>
      <protection locked="0"/>
    </xf>
    <xf numFmtId="168" fontId="120" fillId="0" borderId="22" xfId="131" applyNumberFormat="1" applyFont="1" applyBorder="1"/>
    <xf numFmtId="0" fontId="126" fillId="34" borderId="0" xfId="0" applyFont="1" applyFill="1" applyAlignment="1" applyProtection="1">
      <alignment horizontal="left"/>
      <protection locked="0"/>
    </xf>
    <xf numFmtId="0" fontId="126" fillId="34" borderId="29" xfId="0" applyFont="1" applyFill="1" applyBorder="1" applyAlignment="1" applyProtection="1">
      <alignment horizontal="left"/>
      <protection locked="0"/>
    </xf>
    <xf numFmtId="0" fontId="127" fillId="0" borderId="0" xfId="4975" applyFont="1" applyAlignment="1" applyProtection="1">
      <alignment horizontal="left" vertical="center" wrapText="1"/>
      <protection locked="0"/>
    </xf>
    <xf numFmtId="0" fontId="51" fillId="0" borderId="0" xfId="0" applyFont="1" applyAlignment="1">
      <alignment horizontal="left"/>
    </xf>
    <xf numFmtId="0" fontId="51" fillId="0" borderId="21" xfId="0" applyFont="1" applyBorder="1" applyAlignment="1">
      <alignment horizontal="left"/>
    </xf>
    <xf numFmtId="0" fontId="0" fillId="0" borderId="0" xfId="0" applyNumberFormat="1"/>
    <xf numFmtId="209" fontId="120" fillId="0" borderId="145" xfId="131" applyNumberFormat="1" applyFont="1" applyFill="1" applyBorder="1"/>
    <xf numFmtId="0" fontId="0" fillId="0" borderId="162" xfId="0" applyNumberFormat="1" applyFont="1" applyBorder="1"/>
    <xf numFmtId="0" fontId="29" fillId="0" borderId="0" xfId="35791" applyFont="1" applyAlignment="1">
      <alignment horizontal="left"/>
    </xf>
    <xf numFmtId="168" fontId="120" fillId="0" borderId="23" xfId="131" applyNumberFormat="1" applyFont="1" applyBorder="1"/>
    <xf numFmtId="209" fontId="120" fillId="0" borderId="23" xfId="131" applyNumberFormat="1" applyFont="1" applyBorder="1"/>
  </cellXfs>
  <cellStyles count="35792">
    <cellStyle name="_x000a_bidires=100_x000d_" xfId="369" xr:uid="{00000000-0005-0000-0000-000000000000}"/>
    <cellStyle name="1 indent" xfId="400" xr:uid="{00000000-0005-0000-0000-000001000000}"/>
    <cellStyle name="1 indent 2" xfId="401" xr:uid="{00000000-0005-0000-0000-000002000000}"/>
    <cellStyle name="1 indent 3" xfId="402" xr:uid="{00000000-0005-0000-0000-000003000000}"/>
    <cellStyle name="2 indents" xfId="403" xr:uid="{00000000-0005-0000-0000-000004000000}"/>
    <cellStyle name="2 indents 2" xfId="404" xr:uid="{00000000-0005-0000-0000-000005000000}"/>
    <cellStyle name="2 indents 3" xfId="405" xr:uid="{00000000-0005-0000-0000-000006000000}"/>
    <cellStyle name="20 % - Aksentti1" xfId="328" xr:uid="{00000000-0005-0000-0000-000007000000}"/>
    <cellStyle name="20 % - Aksentti1 10" xfId="406" xr:uid="{00000000-0005-0000-0000-000008000000}"/>
    <cellStyle name="20 % - Aksentti1 10 10" xfId="407" xr:uid="{00000000-0005-0000-0000-000009000000}"/>
    <cellStyle name="20 % - Aksentti1 10 10 2" xfId="5722" xr:uid="{00000000-0005-0000-0000-00000A000000}"/>
    <cellStyle name="20 % - Aksentti1 10 10 3" xfId="13935" xr:uid="{00000000-0005-0000-0000-00000B000000}"/>
    <cellStyle name="20 % - Aksentti1 10 10_DataIX" xfId="29210" xr:uid="{00000000-0005-0000-0000-00000C000000}"/>
    <cellStyle name="20 % - Aksentti1 10 11" xfId="5721" xr:uid="{00000000-0005-0000-0000-00000D000000}"/>
    <cellStyle name="20 % - Aksentti1 10 12" xfId="13934" xr:uid="{00000000-0005-0000-0000-00000E000000}"/>
    <cellStyle name="20 % - Aksentti1 10 2" xfId="408" xr:uid="{00000000-0005-0000-0000-00000F000000}"/>
    <cellStyle name="20 % - Aksentti1 10 2 2" xfId="409" xr:uid="{00000000-0005-0000-0000-000010000000}"/>
    <cellStyle name="20 % - Aksentti1 10 2 2 2" xfId="410" xr:uid="{00000000-0005-0000-0000-000011000000}"/>
    <cellStyle name="20 % - Aksentti1 10 2 2 2 2" xfId="5725" xr:uid="{00000000-0005-0000-0000-000012000000}"/>
    <cellStyle name="20 % - Aksentti1 10 2 2 2 3" xfId="13938" xr:uid="{00000000-0005-0000-0000-000013000000}"/>
    <cellStyle name="20 % - Aksentti1 10 2 2 2_DataIX" xfId="29213" xr:uid="{00000000-0005-0000-0000-000014000000}"/>
    <cellStyle name="20 % - Aksentti1 10 2 2 3" xfId="5724" xr:uid="{00000000-0005-0000-0000-000015000000}"/>
    <cellStyle name="20 % - Aksentti1 10 2 2 4" xfId="13937" xr:uid="{00000000-0005-0000-0000-000016000000}"/>
    <cellStyle name="20 % - Aksentti1 10 2 2_DataIX" xfId="29212" xr:uid="{00000000-0005-0000-0000-000017000000}"/>
    <cellStyle name="20 % - Aksentti1 10 2 3" xfId="411" xr:uid="{00000000-0005-0000-0000-000018000000}"/>
    <cellStyle name="20 % - Aksentti1 10 2 3 2" xfId="5726" xr:uid="{00000000-0005-0000-0000-000019000000}"/>
    <cellStyle name="20 % - Aksentti1 10 2 3 3" xfId="13939" xr:uid="{00000000-0005-0000-0000-00001A000000}"/>
    <cellStyle name="20 % - Aksentti1 10 2 3_DataIX" xfId="29214" xr:uid="{00000000-0005-0000-0000-00001B000000}"/>
    <cellStyle name="20 % - Aksentti1 10 2 4" xfId="5723" xr:uid="{00000000-0005-0000-0000-00001C000000}"/>
    <cellStyle name="20 % - Aksentti1 10 2 5" xfId="13936" xr:uid="{00000000-0005-0000-0000-00001D000000}"/>
    <cellStyle name="20 % - Aksentti1 10 2_DataIX" xfId="29211" xr:uid="{00000000-0005-0000-0000-00001E000000}"/>
    <cellStyle name="20 % - Aksentti1 10 3" xfId="412" xr:uid="{00000000-0005-0000-0000-00001F000000}"/>
    <cellStyle name="20 % - Aksentti1 10 3 2" xfId="413" xr:uid="{00000000-0005-0000-0000-000020000000}"/>
    <cellStyle name="20 % - Aksentti1 10 3 2 2" xfId="5728" xr:uid="{00000000-0005-0000-0000-000021000000}"/>
    <cellStyle name="20 % - Aksentti1 10 3 2 3" xfId="13941" xr:uid="{00000000-0005-0000-0000-000022000000}"/>
    <cellStyle name="20 % - Aksentti1 10 3 2_DataIX" xfId="29216" xr:uid="{00000000-0005-0000-0000-000023000000}"/>
    <cellStyle name="20 % - Aksentti1 10 3 3" xfId="5727" xr:uid="{00000000-0005-0000-0000-000024000000}"/>
    <cellStyle name="20 % - Aksentti1 10 3 4" xfId="13940" xr:uid="{00000000-0005-0000-0000-000025000000}"/>
    <cellStyle name="20 % - Aksentti1 10 3_DataIX" xfId="29215" xr:uid="{00000000-0005-0000-0000-000026000000}"/>
    <cellStyle name="20 % - Aksentti1 10 4" xfId="414" xr:uid="{00000000-0005-0000-0000-000027000000}"/>
    <cellStyle name="20 % - Aksentti1 10 4 2" xfId="5729" xr:uid="{00000000-0005-0000-0000-000028000000}"/>
    <cellStyle name="20 % - Aksentti1 10 4 3" xfId="13942" xr:uid="{00000000-0005-0000-0000-000029000000}"/>
    <cellStyle name="20 % - Aksentti1 10 4_DataIX" xfId="29217" xr:uid="{00000000-0005-0000-0000-00002A000000}"/>
    <cellStyle name="20 % - Aksentti1 10 5" xfId="415" xr:uid="{00000000-0005-0000-0000-00002B000000}"/>
    <cellStyle name="20 % - Aksentti1 10 5 2" xfId="5730" xr:uid="{00000000-0005-0000-0000-00002C000000}"/>
    <cellStyle name="20 % - Aksentti1 10 5 3" xfId="13943" xr:uid="{00000000-0005-0000-0000-00002D000000}"/>
    <cellStyle name="20 % - Aksentti1 10 5_DataIX" xfId="29218" xr:uid="{00000000-0005-0000-0000-00002E000000}"/>
    <cellStyle name="20 % - Aksentti1 10 6" xfId="416" xr:uid="{00000000-0005-0000-0000-00002F000000}"/>
    <cellStyle name="20 % - Aksentti1 10 6 2" xfId="5731" xr:uid="{00000000-0005-0000-0000-000030000000}"/>
    <cellStyle name="20 % - Aksentti1 10 6 3" xfId="13944" xr:uid="{00000000-0005-0000-0000-000031000000}"/>
    <cellStyle name="20 % - Aksentti1 10 6_DataIX" xfId="29219" xr:uid="{00000000-0005-0000-0000-000032000000}"/>
    <cellStyle name="20 % - Aksentti1 10 7" xfId="417" xr:uid="{00000000-0005-0000-0000-000033000000}"/>
    <cellStyle name="20 % - Aksentti1 10 7 2" xfId="5732" xr:uid="{00000000-0005-0000-0000-000034000000}"/>
    <cellStyle name="20 % - Aksentti1 10 7 3" xfId="13945" xr:uid="{00000000-0005-0000-0000-000035000000}"/>
    <cellStyle name="20 % - Aksentti1 10 7_DataIX" xfId="29220" xr:uid="{00000000-0005-0000-0000-000036000000}"/>
    <cellStyle name="20 % - Aksentti1 10 8" xfId="418" xr:uid="{00000000-0005-0000-0000-000037000000}"/>
    <cellStyle name="20 % - Aksentti1 10 8 2" xfId="5733" xr:uid="{00000000-0005-0000-0000-000038000000}"/>
    <cellStyle name="20 % - Aksentti1 10 8 3" xfId="13946" xr:uid="{00000000-0005-0000-0000-000039000000}"/>
    <cellStyle name="20 % - Aksentti1 10 8_DataIX" xfId="29221" xr:uid="{00000000-0005-0000-0000-00003A000000}"/>
    <cellStyle name="20 % - Aksentti1 10 9" xfId="419" xr:uid="{00000000-0005-0000-0000-00003B000000}"/>
    <cellStyle name="20 % - Aksentti1 10 9 2" xfId="5734" xr:uid="{00000000-0005-0000-0000-00003C000000}"/>
    <cellStyle name="20 % - Aksentti1 10 9 3" xfId="13947" xr:uid="{00000000-0005-0000-0000-00003D000000}"/>
    <cellStyle name="20 % - Aksentti1 10 9_DataIX" xfId="29222" xr:uid="{00000000-0005-0000-0000-00003E000000}"/>
    <cellStyle name="20 % - Aksentti1 10_DataIX" xfId="29209" xr:uid="{00000000-0005-0000-0000-00003F000000}"/>
    <cellStyle name="20 % - Aksentti1 11" xfId="420" xr:uid="{00000000-0005-0000-0000-000040000000}"/>
    <cellStyle name="20 % - Aksentti1 11 10" xfId="421" xr:uid="{00000000-0005-0000-0000-000041000000}"/>
    <cellStyle name="20 % - Aksentti1 11 10 2" xfId="5736" xr:uid="{00000000-0005-0000-0000-000042000000}"/>
    <cellStyle name="20 % - Aksentti1 11 10 3" xfId="13949" xr:uid="{00000000-0005-0000-0000-000043000000}"/>
    <cellStyle name="20 % - Aksentti1 11 10_DataIX" xfId="29224" xr:uid="{00000000-0005-0000-0000-000044000000}"/>
    <cellStyle name="20 % - Aksentti1 11 11" xfId="5735" xr:uid="{00000000-0005-0000-0000-000045000000}"/>
    <cellStyle name="20 % - Aksentti1 11 12" xfId="13948" xr:uid="{00000000-0005-0000-0000-000046000000}"/>
    <cellStyle name="20 % - Aksentti1 11 2" xfId="422" xr:uid="{00000000-0005-0000-0000-000047000000}"/>
    <cellStyle name="20 % - Aksentti1 11 2 2" xfId="423" xr:uid="{00000000-0005-0000-0000-000048000000}"/>
    <cellStyle name="20 % - Aksentti1 11 2 2 2" xfId="424" xr:uid="{00000000-0005-0000-0000-000049000000}"/>
    <cellStyle name="20 % - Aksentti1 11 2 2 2 2" xfId="5739" xr:uid="{00000000-0005-0000-0000-00004A000000}"/>
    <cellStyle name="20 % - Aksentti1 11 2 2 2 3" xfId="13952" xr:uid="{00000000-0005-0000-0000-00004B000000}"/>
    <cellStyle name="20 % - Aksentti1 11 2 2 2_DataIX" xfId="29227" xr:uid="{00000000-0005-0000-0000-00004C000000}"/>
    <cellStyle name="20 % - Aksentti1 11 2 2 3" xfId="5738" xr:uid="{00000000-0005-0000-0000-00004D000000}"/>
    <cellStyle name="20 % - Aksentti1 11 2 2 4" xfId="13951" xr:uid="{00000000-0005-0000-0000-00004E000000}"/>
    <cellStyle name="20 % - Aksentti1 11 2 2_DataIX" xfId="29226" xr:uid="{00000000-0005-0000-0000-00004F000000}"/>
    <cellStyle name="20 % - Aksentti1 11 2 3" xfId="425" xr:uid="{00000000-0005-0000-0000-000050000000}"/>
    <cellStyle name="20 % - Aksentti1 11 2 3 2" xfId="5740" xr:uid="{00000000-0005-0000-0000-000051000000}"/>
    <cellStyle name="20 % - Aksentti1 11 2 3 3" xfId="13953" xr:uid="{00000000-0005-0000-0000-000052000000}"/>
    <cellStyle name="20 % - Aksentti1 11 2 3_DataIX" xfId="29228" xr:uid="{00000000-0005-0000-0000-000053000000}"/>
    <cellStyle name="20 % - Aksentti1 11 2 4" xfId="5737" xr:uid="{00000000-0005-0000-0000-000054000000}"/>
    <cellStyle name="20 % - Aksentti1 11 2 5" xfId="13950" xr:uid="{00000000-0005-0000-0000-000055000000}"/>
    <cellStyle name="20 % - Aksentti1 11 2_DataIX" xfId="29225" xr:uid="{00000000-0005-0000-0000-000056000000}"/>
    <cellStyle name="20 % - Aksentti1 11 3" xfId="426" xr:uid="{00000000-0005-0000-0000-000057000000}"/>
    <cellStyle name="20 % - Aksentti1 11 3 2" xfId="427" xr:uid="{00000000-0005-0000-0000-000058000000}"/>
    <cellStyle name="20 % - Aksentti1 11 3 2 2" xfId="5742" xr:uid="{00000000-0005-0000-0000-000059000000}"/>
    <cellStyle name="20 % - Aksentti1 11 3 2 3" xfId="13955" xr:uid="{00000000-0005-0000-0000-00005A000000}"/>
    <cellStyle name="20 % - Aksentti1 11 3 2_DataIX" xfId="29230" xr:uid="{00000000-0005-0000-0000-00005B000000}"/>
    <cellStyle name="20 % - Aksentti1 11 3 3" xfId="5741" xr:uid="{00000000-0005-0000-0000-00005C000000}"/>
    <cellStyle name="20 % - Aksentti1 11 3 4" xfId="13954" xr:uid="{00000000-0005-0000-0000-00005D000000}"/>
    <cellStyle name="20 % - Aksentti1 11 3_DataIX" xfId="29229" xr:uid="{00000000-0005-0000-0000-00005E000000}"/>
    <cellStyle name="20 % - Aksentti1 11 4" xfId="428" xr:uid="{00000000-0005-0000-0000-00005F000000}"/>
    <cellStyle name="20 % - Aksentti1 11 4 2" xfId="5743" xr:uid="{00000000-0005-0000-0000-000060000000}"/>
    <cellStyle name="20 % - Aksentti1 11 4 3" xfId="13956" xr:uid="{00000000-0005-0000-0000-000061000000}"/>
    <cellStyle name="20 % - Aksentti1 11 4_DataIX" xfId="29231" xr:uid="{00000000-0005-0000-0000-000062000000}"/>
    <cellStyle name="20 % - Aksentti1 11 5" xfId="429" xr:uid="{00000000-0005-0000-0000-000063000000}"/>
    <cellStyle name="20 % - Aksentti1 11 5 2" xfId="5744" xr:uid="{00000000-0005-0000-0000-000064000000}"/>
    <cellStyle name="20 % - Aksentti1 11 5 3" xfId="13957" xr:uid="{00000000-0005-0000-0000-000065000000}"/>
    <cellStyle name="20 % - Aksentti1 11 5_DataIX" xfId="29232" xr:uid="{00000000-0005-0000-0000-000066000000}"/>
    <cellStyle name="20 % - Aksentti1 11 6" xfId="430" xr:uid="{00000000-0005-0000-0000-000067000000}"/>
    <cellStyle name="20 % - Aksentti1 11 6 2" xfId="5745" xr:uid="{00000000-0005-0000-0000-000068000000}"/>
    <cellStyle name="20 % - Aksentti1 11 6 3" xfId="13958" xr:uid="{00000000-0005-0000-0000-000069000000}"/>
    <cellStyle name="20 % - Aksentti1 11 6_DataIX" xfId="29233" xr:uid="{00000000-0005-0000-0000-00006A000000}"/>
    <cellStyle name="20 % - Aksentti1 11 7" xfId="431" xr:uid="{00000000-0005-0000-0000-00006B000000}"/>
    <cellStyle name="20 % - Aksentti1 11 7 2" xfId="5746" xr:uid="{00000000-0005-0000-0000-00006C000000}"/>
    <cellStyle name="20 % - Aksentti1 11 7 3" xfId="13959" xr:uid="{00000000-0005-0000-0000-00006D000000}"/>
    <cellStyle name="20 % - Aksentti1 11 7_DataIX" xfId="29234" xr:uid="{00000000-0005-0000-0000-00006E000000}"/>
    <cellStyle name="20 % - Aksentti1 11 8" xfId="432" xr:uid="{00000000-0005-0000-0000-00006F000000}"/>
    <cellStyle name="20 % - Aksentti1 11 8 2" xfId="5747" xr:uid="{00000000-0005-0000-0000-000070000000}"/>
    <cellStyle name="20 % - Aksentti1 11 8 3" xfId="13960" xr:uid="{00000000-0005-0000-0000-000071000000}"/>
    <cellStyle name="20 % - Aksentti1 11 8_DataIX" xfId="29235" xr:uid="{00000000-0005-0000-0000-000072000000}"/>
    <cellStyle name="20 % - Aksentti1 11 9" xfId="433" xr:uid="{00000000-0005-0000-0000-000073000000}"/>
    <cellStyle name="20 % - Aksentti1 11 9 2" xfId="5748" xr:uid="{00000000-0005-0000-0000-000074000000}"/>
    <cellStyle name="20 % - Aksentti1 11 9 3" xfId="13961" xr:uid="{00000000-0005-0000-0000-000075000000}"/>
    <cellStyle name="20 % - Aksentti1 11 9_DataIX" xfId="29236" xr:uid="{00000000-0005-0000-0000-000076000000}"/>
    <cellStyle name="20 % - Aksentti1 11_DataIX" xfId="29223" xr:uid="{00000000-0005-0000-0000-000077000000}"/>
    <cellStyle name="20 % - Aksentti1 12" xfId="434" xr:uid="{00000000-0005-0000-0000-000078000000}"/>
    <cellStyle name="20 % - Aksentti1 12 10" xfId="435" xr:uid="{00000000-0005-0000-0000-000079000000}"/>
    <cellStyle name="20 % - Aksentti1 12 10 2" xfId="5750" xr:uid="{00000000-0005-0000-0000-00007A000000}"/>
    <cellStyle name="20 % - Aksentti1 12 10 3" xfId="13963" xr:uid="{00000000-0005-0000-0000-00007B000000}"/>
    <cellStyle name="20 % - Aksentti1 12 10_DataIX" xfId="29238" xr:uid="{00000000-0005-0000-0000-00007C000000}"/>
    <cellStyle name="20 % - Aksentti1 12 11" xfId="5749" xr:uid="{00000000-0005-0000-0000-00007D000000}"/>
    <cellStyle name="20 % - Aksentti1 12 12" xfId="13962" xr:uid="{00000000-0005-0000-0000-00007E000000}"/>
    <cellStyle name="20 % - Aksentti1 12 2" xfId="436" xr:uid="{00000000-0005-0000-0000-00007F000000}"/>
    <cellStyle name="20 % - Aksentti1 12 2 2" xfId="437" xr:uid="{00000000-0005-0000-0000-000080000000}"/>
    <cellStyle name="20 % - Aksentti1 12 2 2 2" xfId="438" xr:uid="{00000000-0005-0000-0000-000081000000}"/>
    <cellStyle name="20 % - Aksentti1 12 2 2 2 2" xfId="5753" xr:uid="{00000000-0005-0000-0000-000082000000}"/>
    <cellStyle name="20 % - Aksentti1 12 2 2 2 3" xfId="13966" xr:uid="{00000000-0005-0000-0000-000083000000}"/>
    <cellStyle name="20 % - Aksentti1 12 2 2 2_DataIX" xfId="29241" xr:uid="{00000000-0005-0000-0000-000084000000}"/>
    <cellStyle name="20 % - Aksentti1 12 2 2 3" xfId="5752" xr:uid="{00000000-0005-0000-0000-000085000000}"/>
    <cellStyle name="20 % - Aksentti1 12 2 2 4" xfId="13965" xr:uid="{00000000-0005-0000-0000-000086000000}"/>
    <cellStyle name="20 % - Aksentti1 12 2 2_DataIX" xfId="29240" xr:uid="{00000000-0005-0000-0000-000087000000}"/>
    <cellStyle name="20 % - Aksentti1 12 2 3" xfId="439" xr:uid="{00000000-0005-0000-0000-000088000000}"/>
    <cellStyle name="20 % - Aksentti1 12 2 3 2" xfId="5754" xr:uid="{00000000-0005-0000-0000-000089000000}"/>
    <cellStyle name="20 % - Aksentti1 12 2 3 3" xfId="13967" xr:uid="{00000000-0005-0000-0000-00008A000000}"/>
    <cellStyle name="20 % - Aksentti1 12 2 3_DataIX" xfId="29242" xr:uid="{00000000-0005-0000-0000-00008B000000}"/>
    <cellStyle name="20 % - Aksentti1 12 2 4" xfId="5751" xr:uid="{00000000-0005-0000-0000-00008C000000}"/>
    <cellStyle name="20 % - Aksentti1 12 2 5" xfId="13964" xr:uid="{00000000-0005-0000-0000-00008D000000}"/>
    <cellStyle name="20 % - Aksentti1 12 2_DataIX" xfId="29239" xr:uid="{00000000-0005-0000-0000-00008E000000}"/>
    <cellStyle name="20 % - Aksentti1 12 3" xfId="440" xr:uid="{00000000-0005-0000-0000-00008F000000}"/>
    <cellStyle name="20 % - Aksentti1 12 3 2" xfId="441" xr:uid="{00000000-0005-0000-0000-000090000000}"/>
    <cellStyle name="20 % - Aksentti1 12 3 2 2" xfId="5756" xr:uid="{00000000-0005-0000-0000-000091000000}"/>
    <cellStyle name="20 % - Aksentti1 12 3 2 3" xfId="13969" xr:uid="{00000000-0005-0000-0000-000092000000}"/>
    <cellStyle name="20 % - Aksentti1 12 3 2_DataIX" xfId="29244" xr:uid="{00000000-0005-0000-0000-000093000000}"/>
    <cellStyle name="20 % - Aksentti1 12 3 3" xfId="5755" xr:uid="{00000000-0005-0000-0000-000094000000}"/>
    <cellStyle name="20 % - Aksentti1 12 3 4" xfId="13968" xr:uid="{00000000-0005-0000-0000-000095000000}"/>
    <cellStyle name="20 % - Aksentti1 12 3_DataIX" xfId="29243" xr:uid="{00000000-0005-0000-0000-000096000000}"/>
    <cellStyle name="20 % - Aksentti1 12 4" xfId="442" xr:uid="{00000000-0005-0000-0000-000097000000}"/>
    <cellStyle name="20 % - Aksentti1 12 4 2" xfId="5757" xr:uid="{00000000-0005-0000-0000-000098000000}"/>
    <cellStyle name="20 % - Aksentti1 12 4 3" xfId="13970" xr:uid="{00000000-0005-0000-0000-000099000000}"/>
    <cellStyle name="20 % - Aksentti1 12 4_DataIX" xfId="29245" xr:uid="{00000000-0005-0000-0000-00009A000000}"/>
    <cellStyle name="20 % - Aksentti1 12 5" xfId="443" xr:uid="{00000000-0005-0000-0000-00009B000000}"/>
    <cellStyle name="20 % - Aksentti1 12 5 2" xfId="5758" xr:uid="{00000000-0005-0000-0000-00009C000000}"/>
    <cellStyle name="20 % - Aksentti1 12 5 3" xfId="13971" xr:uid="{00000000-0005-0000-0000-00009D000000}"/>
    <cellStyle name="20 % - Aksentti1 12 5_DataIX" xfId="29246" xr:uid="{00000000-0005-0000-0000-00009E000000}"/>
    <cellStyle name="20 % - Aksentti1 12 6" xfId="444" xr:uid="{00000000-0005-0000-0000-00009F000000}"/>
    <cellStyle name="20 % - Aksentti1 12 6 2" xfId="5759" xr:uid="{00000000-0005-0000-0000-0000A0000000}"/>
    <cellStyle name="20 % - Aksentti1 12 6 3" xfId="13972" xr:uid="{00000000-0005-0000-0000-0000A1000000}"/>
    <cellStyle name="20 % - Aksentti1 12 6_DataIX" xfId="29247" xr:uid="{00000000-0005-0000-0000-0000A2000000}"/>
    <cellStyle name="20 % - Aksentti1 12 7" xfId="445" xr:uid="{00000000-0005-0000-0000-0000A3000000}"/>
    <cellStyle name="20 % - Aksentti1 12 7 2" xfId="5760" xr:uid="{00000000-0005-0000-0000-0000A4000000}"/>
    <cellStyle name="20 % - Aksentti1 12 7 3" xfId="13973" xr:uid="{00000000-0005-0000-0000-0000A5000000}"/>
    <cellStyle name="20 % - Aksentti1 12 7_DataIX" xfId="29248" xr:uid="{00000000-0005-0000-0000-0000A6000000}"/>
    <cellStyle name="20 % - Aksentti1 12 8" xfId="446" xr:uid="{00000000-0005-0000-0000-0000A7000000}"/>
    <cellStyle name="20 % - Aksentti1 12 8 2" xfId="5761" xr:uid="{00000000-0005-0000-0000-0000A8000000}"/>
    <cellStyle name="20 % - Aksentti1 12 8 3" xfId="13974" xr:uid="{00000000-0005-0000-0000-0000A9000000}"/>
    <cellStyle name="20 % - Aksentti1 12 8_DataIX" xfId="29249" xr:uid="{00000000-0005-0000-0000-0000AA000000}"/>
    <cellStyle name="20 % - Aksentti1 12 9" xfId="447" xr:uid="{00000000-0005-0000-0000-0000AB000000}"/>
    <cellStyle name="20 % - Aksentti1 12 9 2" xfId="5762" xr:uid="{00000000-0005-0000-0000-0000AC000000}"/>
    <cellStyle name="20 % - Aksentti1 12 9 3" xfId="13975" xr:uid="{00000000-0005-0000-0000-0000AD000000}"/>
    <cellStyle name="20 % - Aksentti1 12 9_DataIX" xfId="29250" xr:uid="{00000000-0005-0000-0000-0000AE000000}"/>
    <cellStyle name="20 % - Aksentti1 12_DataIX" xfId="29237" xr:uid="{00000000-0005-0000-0000-0000AF000000}"/>
    <cellStyle name="20 % - Aksentti1 13" xfId="448" xr:uid="{00000000-0005-0000-0000-0000B0000000}"/>
    <cellStyle name="20 % - Aksentti1 13 10" xfId="449" xr:uid="{00000000-0005-0000-0000-0000B1000000}"/>
    <cellStyle name="20 % - Aksentti1 13 10 2" xfId="5764" xr:uid="{00000000-0005-0000-0000-0000B2000000}"/>
    <cellStyle name="20 % - Aksentti1 13 10 3" xfId="13977" xr:uid="{00000000-0005-0000-0000-0000B3000000}"/>
    <cellStyle name="20 % - Aksentti1 13 10_DataIX" xfId="29252" xr:uid="{00000000-0005-0000-0000-0000B4000000}"/>
    <cellStyle name="20 % - Aksentti1 13 11" xfId="5763" xr:uid="{00000000-0005-0000-0000-0000B5000000}"/>
    <cellStyle name="20 % - Aksentti1 13 12" xfId="13976" xr:uid="{00000000-0005-0000-0000-0000B6000000}"/>
    <cellStyle name="20 % - Aksentti1 13 2" xfId="450" xr:uid="{00000000-0005-0000-0000-0000B7000000}"/>
    <cellStyle name="20 % - Aksentti1 13 2 2" xfId="451" xr:uid="{00000000-0005-0000-0000-0000B8000000}"/>
    <cellStyle name="20 % - Aksentti1 13 2 2 2" xfId="5766" xr:uid="{00000000-0005-0000-0000-0000B9000000}"/>
    <cellStyle name="20 % - Aksentti1 13 2 2 3" xfId="13979" xr:uid="{00000000-0005-0000-0000-0000BA000000}"/>
    <cellStyle name="20 % - Aksentti1 13 2 2_DataIX" xfId="29254" xr:uid="{00000000-0005-0000-0000-0000BB000000}"/>
    <cellStyle name="20 % - Aksentti1 13 2 3" xfId="5765" xr:uid="{00000000-0005-0000-0000-0000BC000000}"/>
    <cellStyle name="20 % - Aksentti1 13 2 4" xfId="13978" xr:uid="{00000000-0005-0000-0000-0000BD000000}"/>
    <cellStyle name="20 % - Aksentti1 13 2_DataIX" xfId="29253" xr:uid="{00000000-0005-0000-0000-0000BE000000}"/>
    <cellStyle name="20 % - Aksentti1 13 3" xfId="452" xr:uid="{00000000-0005-0000-0000-0000BF000000}"/>
    <cellStyle name="20 % - Aksentti1 13 3 2" xfId="5767" xr:uid="{00000000-0005-0000-0000-0000C0000000}"/>
    <cellStyle name="20 % - Aksentti1 13 3 3" xfId="13980" xr:uid="{00000000-0005-0000-0000-0000C1000000}"/>
    <cellStyle name="20 % - Aksentti1 13 3_DataIX" xfId="29255" xr:uid="{00000000-0005-0000-0000-0000C2000000}"/>
    <cellStyle name="20 % - Aksentti1 13 4" xfId="453" xr:uid="{00000000-0005-0000-0000-0000C3000000}"/>
    <cellStyle name="20 % - Aksentti1 13 4 2" xfId="5768" xr:uid="{00000000-0005-0000-0000-0000C4000000}"/>
    <cellStyle name="20 % - Aksentti1 13 4 3" xfId="13981" xr:uid="{00000000-0005-0000-0000-0000C5000000}"/>
    <cellStyle name="20 % - Aksentti1 13 4_DataIX" xfId="29256" xr:uid="{00000000-0005-0000-0000-0000C6000000}"/>
    <cellStyle name="20 % - Aksentti1 13 5" xfId="454" xr:uid="{00000000-0005-0000-0000-0000C7000000}"/>
    <cellStyle name="20 % - Aksentti1 13 5 2" xfId="5769" xr:uid="{00000000-0005-0000-0000-0000C8000000}"/>
    <cellStyle name="20 % - Aksentti1 13 5 3" xfId="13982" xr:uid="{00000000-0005-0000-0000-0000C9000000}"/>
    <cellStyle name="20 % - Aksentti1 13 5_DataIX" xfId="29257" xr:uid="{00000000-0005-0000-0000-0000CA000000}"/>
    <cellStyle name="20 % - Aksentti1 13 6" xfId="455" xr:uid="{00000000-0005-0000-0000-0000CB000000}"/>
    <cellStyle name="20 % - Aksentti1 13 6 2" xfId="5770" xr:uid="{00000000-0005-0000-0000-0000CC000000}"/>
    <cellStyle name="20 % - Aksentti1 13 6 3" xfId="13983" xr:uid="{00000000-0005-0000-0000-0000CD000000}"/>
    <cellStyle name="20 % - Aksentti1 13 6_DataIX" xfId="29258" xr:uid="{00000000-0005-0000-0000-0000CE000000}"/>
    <cellStyle name="20 % - Aksentti1 13 7" xfId="456" xr:uid="{00000000-0005-0000-0000-0000CF000000}"/>
    <cellStyle name="20 % - Aksentti1 13 7 2" xfId="5771" xr:uid="{00000000-0005-0000-0000-0000D0000000}"/>
    <cellStyle name="20 % - Aksentti1 13 7 3" xfId="13984" xr:uid="{00000000-0005-0000-0000-0000D1000000}"/>
    <cellStyle name="20 % - Aksentti1 13 7_DataIX" xfId="29259" xr:uid="{00000000-0005-0000-0000-0000D2000000}"/>
    <cellStyle name="20 % - Aksentti1 13 8" xfId="457" xr:uid="{00000000-0005-0000-0000-0000D3000000}"/>
    <cellStyle name="20 % - Aksentti1 13 8 2" xfId="5772" xr:uid="{00000000-0005-0000-0000-0000D4000000}"/>
    <cellStyle name="20 % - Aksentti1 13 8 3" xfId="13985" xr:uid="{00000000-0005-0000-0000-0000D5000000}"/>
    <cellStyle name="20 % - Aksentti1 13 8_DataIX" xfId="29260" xr:uid="{00000000-0005-0000-0000-0000D6000000}"/>
    <cellStyle name="20 % - Aksentti1 13 9" xfId="458" xr:uid="{00000000-0005-0000-0000-0000D7000000}"/>
    <cellStyle name="20 % - Aksentti1 13 9 2" xfId="5773" xr:uid="{00000000-0005-0000-0000-0000D8000000}"/>
    <cellStyle name="20 % - Aksentti1 13 9 3" xfId="13986" xr:uid="{00000000-0005-0000-0000-0000D9000000}"/>
    <cellStyle name="20 % - Aksentti1 13 9_DataIX" xfId="29261" xr:uid="{00000000-0005-0000-0000-0000DA000000}"/>
    <cellStyle name="20 % - Aksentti1 13_DataIX" xfId="29251" xr:uid="{00000000-0005-0000-0000-0000DB000000}"/>
    <cellStyle name="20 % - Aksentti1 14" xfId="459" xr:uid="{00000000-0005-0000-0000-0000DC000000}"/>
    <cellStyle name="20 % - Aksentti1 14 10" xfId="460" xr:uid="{00000000-0005-0000-0000-0000DD000000}"/>
    <cellStyle name="20 % - Aksentti1 14 10 2" xfId="5775" xr:uid="{00000000-0005-0000-0000-0000DE000000}"/>
    <cellStyle name="20 % - Aksentti1 14 10 3" xfId="13988" xr:uid="{00000000-0005-0000-0000-0000DF000000}"/>
    <cellStyle name="20 % - Aksentti1 14 10_DataIX" xfId="29263" xr:uid="{00000000-0005-0000-0000-0000E0000000}"/>
    <cellStyle name="20 % - Aksentti1 14 11" xfId="5774" xr:uid="{00000000-0005-0000-0000-0000E1000000}"/>
    <cellStyle name="20 % - Aksentti1 14 12" xfId="13987" xr:uid="{00000000-0005-0000-0000-0000E2000000}"/>
    <cellStyle name="20 % - Aksentti1 14 2" xfId="461" xr:uid="{00000000-0005-0000-0000-0000E3000000}"/>
    <cellStyle name="20 % - Aksentti1 14 2 2" xfId="462" xr:uid="{00000000-0005-0000-0000-0000E4000000}"/>
    <cellStyle name="20 % - Aksentti1 14 2 2 2" xfId="5777" xr:uid="{00000000-0005-0000-0000-0000E5000000}"/>
    <cellStyle name="20 % - Aksentti1 14 2 2 3" xfId="13990" xr:uid="{00000000-0005-0000-0000-0000E6000000}"/>
    <cellStyle name="20 % - Aksentti1 14 2 2_DataIX" xfId="29265" xr:uid="{00000000-0005-0000-0000-0000E7000000}"/>
    <cellStyle name="20 % - Aksentti1 14 2 3" xfId="5776" xr:uid="{00000000-0005-0000-0000-0000E8000000}"/>
    <cellStyle name="20 % - Aksentti1 14 2 4" xfId="13989" xr:uid="{00000000-0005-0000-0000-0000E9000000}"/>
    <cellStyle name="20 % - Aksentti1 14 2_DataIX" xfId="29264" xr:uid="{00000000-0005-0000-0000-0000EA000000}"/>
    <cellStyle name="20 % - Aksentti1 14 3" xfId="463" xr:uid="{00000000-0005-0000-0000-0000EB000000}"/>
    <cellStyle name="20 % - Aksentti1 14 3 2" xfId="5778" xr:uid="{00000000-0005-0000-0000-0000EC000000}"/>
    <cellStyle name="20 % - Aksentti1 14 3 3" xfId="13991" xr:uid="{00000000-0005-0000-0000-0000ED000000}"/>
    <cellStyle name="20 % - Aksentti1 14 3_DataIX" xfId="29266" xr:uid="{00000000-0005-0000-0000-0000EE000000}"/>
    <cellStyle name="20 % - Aksentti1 14 4" xfId="464" xr:uid="{00000000-0005-0000-0000-0000EF000000}"/>
    <cellStyle name="20 % - Aksentti1 14 4 2" xfId="5779" xr:uid="{00000000-0005-0000-0000-0000F0000000}"/>
    <cellStyle name="20 % - Aksentti1 14 4 3" xfId="13992" xr:uid="{00000000-0005-0000-0000-0000F1000000}"/>
    <cellStyle name="20 % - Aksentti1 14 4_DataIX" xfId="29267" xr:uid="{00000000-0005-0000-0000-0000F2000000}"/>
    <cellStyle name="20 % - Aksentti1 14 5" xfId="465" xr:uid="{00000000-0005-0000-0000-0000F3000000}"/>
    <cellStyle name="20 % - Aksentti1 14 5 2" xfId="5780" xr:uid="{00000000-0005-0000-0000-0000F4000000}"/>
    <cellStyle name="20 % - Aksentti1 14 5 3" xfId="13993" xr:uid="{00000000-0005-0000-0000-0000F5000000}"/>
    <cellStyle name="20 % - Aksentti1 14 5_DataIX" xfId="29268" xr:uid="{00000000-0005-0000-0000-0000F6000000}"/>
    <cellStyle name="20 % - Aksentti1 14 6" xfId="466" xr:uid="{00000000-0005-0000-0000-0000F7000000}"/>
    <cellStyle name="20 % - Aksentti1 14 6 2" xfId="5781" xr:uid="{00000000-0005-0000-0000-0000F8000000}"/>
    <cellStyle name="20 % - Aksentti1 14 6 3" xfId="13994" xr:uid="{00000000-0005-0000-0000-0000F9000000}"/>
    <cellStyle name="20 % - Aksentti1 14 6_DataIX" xfId="29269" xr:uid="{00000000-0005-0000-0000-0000FA000000}"/>
    <cellStyle name="20 % - Aksentti1 14 7" xfId="467" xr:uid="{00000000-0005-0000-0000-0000FB000000}"/>
    <cellStyle name="20 % - Aksentti1 14 7 2" xfId="5782" xr:uid="{00000000-0005-0000-0000-0000FC000000}"/>
    <cellStyle name="20 % - Aksentti1 14 7 3" xfId="13995" xr:uid="{00000000-0005-0000-0000-0000FD000000}"/>
    <cellStyle name="20 % - Aksentti1 14 7_DataIX" xfId="29270" xr:uid="{00000000-0005-0000-0000-0000FE000000}"/>
    <cellStyle name="20 % - Aksentti1 14 8" xfId="468" xr:uid="{00000000-0005-0000-0000-0000FF000000}"/>
    <cellStyle name="20 % - Aksentti1 14 8 2" xfId="5783" xr:uid="{00000000-0005-0000-0000-000000010000}"/>
    <cellStyle name="20 % - Aksentti1 14 8 3" xfId="13996" xr:uid="{00000000-0005-0000-0000-000001010000}"/>
    <cellStyle name="20 % - Aksentti1 14 8_DataIX" xfId="29271" xr:uid="{00000000-0005-0000-0000-000002010000}"/>
    <cellStyle name="20 % - Aksentti1 14 9" xfId="469" xr:uid="{00000000-0005-0000-0000-000003010000}"/>
    <cellStyle name="20 % - Aksentti1 14 9 2" xfId="5784" xr:uid="{00000000-0005-0000-0000-000004010000}"/>
    <cellStyle name="20 % - Aksentti1 14 9 3" xfId="13997" xr:uid="{00000000-0005-0000-0000-000005010000}"/>
    <cellStyle name="20 % - Aksentti1 14 9_DataIX" xfId="29272" xr:uid="{00000000-0005-0000-0000-000006010000}"/>
    <cellStyle name="20 % - Aksentti1 14_DataIX" xfId="29262" xr:uid="{00000000-0005-0000-0000-000007010000}"/>
    <cellStyle name="20 % - Aksentti1 15" xfId="470" xr:uid="{00000000-0005-0000-0000-000008010000}"/>
    <cellStyle name="20 % - Aksentti1 15 10" xfId="471" xr:uid="{00000000-0005-0000-0000-000009010000}"/>
    <cellStyle name="20 % - Aksentti1 15 10 2" xfId="5786" xr:uid="{00000000-0005-0000-0000-00000A010000}"/>
    <cellStyle name="20 % - Aksentti1 15 10 3" xfId="13999" xr:uid="{00000000-0005-0000-0000-00000B010000}"/>
    <cellStyle name="20 % - Aksentti1 15 10_DataIX" xfId="29274" xr:uid="{00000000-0005-0000-0000-00000C010000}"/>
    <cellStyle name="20 % - Aksentti1 15 11" xfId="5785" xr:uid="{00000000-0005-0000-0000-00000D010000}"/>
    <cellStyle name="20 % - Aksentti1 15 12" xfId="13998" xr:uid="{00000000-0005-0000-0000-00000E010000}"/>
    <cellStyle name="20 % - Aksentti1 15 2" xfId="472" xr:uid="{00000000-0005-0000-0000-00000F010000}"/>
    <cellStyle name="20 % - Aksentti1 15 2 2" xfId="473" xr:uid="{00000000-0005-0000-0000-000010010000}"/>
    <cellStyle name="20 % - Aksentti1 15 2 2 2" xfId="5788" xr:uid="{00000000-0005-0000-0000-000011010000}"/>
    <cellStyle name="20 % - Aksentti1 15 2 2 3" xfId="14001" xr:uid="{00000000-0005-0000-0000-000012010000}"/>
    <cellStyle name="20 % - Aksentti1 15 2 2_DataIX" xfId="29276" xr:uid="{00000000-0005-0000-0000-000013010000}"/>
    <cellStyle name="20 % - Aksentti1 15 2 3" xfId="5787" xr:uid="{00000000-0005-0000-0000-000014010000}"/>
    <cellStyle name="20 % - Aksentti1 15 2 4" xfId="14000" xr:uid="{00000000-0005-0000-0000-000015010000}"/>
    <cellStyle name="20 % - Aksentti1 15 2_DataIX" xfId="29275" xr:uid="{00000000-0005-0000-0000-000016010000}"/>
    <cellStyle name="20 % - Aksentti1 15 3" xfId="474" xr:uid="{00000000-0005-0000-0000-000017010000}"/>
    <cellStyle name="20 % - Aksentti1 15 3 2" xfId="5789" xr:uid="{00000000-0005-0000-0000-000018010000}"/>
    <cellStyle name="20 % - Aksentti1 15 3 3" xfId="14002" xr:uid="{00000000-0005-0000-0000-000019010000}"/>
    <cellStyle name="20 % - Aksentti1 15 3_DataIX" xfId="29277" xr:uid="{00000000-0005-0000-0000-00001A010000}"/>
    <cellStyle name="20 % - Aksentti1 15 4" xfId="475" xr:uid="{00000000-0005-0000-0000-00001B010000}"/>
    <cellStyle name="20 % - Aksentti1 15 4 2" xfId="5790" xr:uid="{00000000-0005-0000-0000-00001C010000}"/>
    <cellStyle name="20 % - Aksentti1 15 4 3" xfId="14003" xr:uid="{00000000-0005-0000-0000-00001D010000}"/>
    <cellStyle name="20 % - Aksentti1 15 4_DataIX" xfId="29278" xr:uid="{00000000-0005-0000-0000-00001E010000}"/>
    <cellStyle name="20 % - Aksentti1 15 5" xfId="476" xr:uid="{00000000-0005-0000-0000-00001F010000}"/>
    <cellStyle name="20 % - Aksentti1 15 5 2" xfId="5791" xr:uid="{00000000-0005-0000-0000-000020010000}"/>
    <cellStyle name="20 % - Aksentti1 15 5 3" xfId="14004" xr:uid="{00000000-0005-0000-0000-000021010000}"/>
    <cellStyle name="20 % - Aksentti1 15 5_DataIX" xfId="29279" xr:uid="{00000000-0005-0000-0000-000022010000}"/>
    <cellStyle name="20 % - Aksentti1 15 6" xfId="477" xr:uid="{00000000-0005-0000-0000-000023010000}"/>
    <cellStyle name="20 % - Aksentti1 15 6 2" xfId="5792" xr:uid="{00000000-0005-0000-0000-000024010000}"/>
    <cellStyle name="20 % - Aksentti1 15 6 3" xfId="14005" xr:uid="{00000000-0005-0000-0000-000025010000}"/>
    <cellStyle name="20 % - Aksentti1 15 6_DataIX" xfId="29280" xr:uid="{00000000-0005-0000-0000-000026010000}"/>
    <cellStyle name="20 % - Aksentti1 15 7" xfId="478" xr:uid="{00000000-0005-0000-0000-000027010000}"/>
    <cellStyle name="20 % - Aksentti1 15 7 2" xfId="5793" xr:uid="{00000000-0005-0000-0000-000028010000}"/>
    <cellStyle name="20 % - Aksentti1 15 7 3" xfId="14006" xr:uid="{00000000-0005-0000-0000-000029010000}"/>
    <cellStyle name="20 % - Aksentti1 15 7_DataIX" xfId="29281" xr:uid="{00000000-0005-0000-0000-00002A010000}"/>
    <cellStyle name="20 % - Aksentti1 15 8" xfId="479" xr:uid="{00000000-0005-0000-0000-00002B010000}"/>
    <cellStyle name="20 % - Aksentti1 15 8 2" xfId="5794" xr:uid="{00000000-0005-0000-0000-00002C010000}"/>
    <cellStyle name="20 % - Aksentti1 15 8 3" xfId="14007" xr:uid="{00000000-0005-0000-0000-00002D010000}"/>
    <cellStyle name="20 % - Aksentti1 15 8_DataIX" xfId="29282" xr:uid="{00000000-0005-0000-0000-00002E010000}"/>
    <cellStyle name="20 % - Aksentti1 15 9" xfId="480" xr:uid="{00000000-0005-0000-0000-00002F010000}"/>
    <cellStyle name="20 % - Aksentti1 15 9 2" xfId="5795" xr:uid="{00000000-0005-0000-0000-000030010000}"/>
    <cellStyle name="20 % - Aksentti1 15 9 3" xfId="14008" xr:uid="{00000000-0005-0000-0000-000031010000}"/>
    <cellStyle name="20 % - Aksentti1 15 9_DataIX" xfId="29283" xr:uid="{00000000-0005-0000-0000-000032010000}"/>
    <cellStyle name="20 % - Aksentti1 15_DataIX" xfId="29273" xr:uid="{00000000-0005-0000-0000-000033010000}"/>
    <cellStyle name="20 % - Aksentti1 16" xfId="481" xr:uid="{00000000-0005-0000-0000-000034010000}"/>
    <cellStyle name="20 % - Aksentti1 16 2" xfId="5796" xr:uid="{00000000-0005-0000-0000-000035010000}"/>
    <cellStyle name="20 % - Aksentti1 16 3" xfId="14009" xr:uid="{00000000-0005-0000-0000-000036010000}"/>
    <cellStyle name="20 % - Aksentti1 16_DataIX" xfId="29284" xr:uid="{00000000-0005-0000-0000-000037010000}"/>
    <cellStyle name="20 % - Aksentti1 17" xfId="482" xr:uid="{00000000-0005-0000-0000-000038010000}"/>
    <cellStyle name="20 % - Aksentti1 17 2" xfId="5797" xr:uid="{00000000-0005-0000-0000-000039010000}"/>
    <cellStyle name="20 % - Aksentti1 17 3" xfId="14010" xr:uid="{00000000-0005-0000-0000-00003A010000}"/>
    <cellStyle name="20 % - Aksentti1 17_DataIX" xfId="29285" xr:uid="{00000000-0005-0000-0000-00003B010000}"/>
    <cellStyle name="20 % - Aksentti1 18" xfId="483" xr:uid="{00000000-0005-0000-0000-00003C010000}"/>
    <cellStyle name="20 % - Aksentti1 18 2" xfId="5798" xr:uid="{00000000-0005-0000-0000-00003D010000}"/>
    <cellStyle name="20 % - Aksentti1 18 3" xfId="14011" xr:uid="{00000000-0005-0000-0000-00003E010000}"/>
    <cellStyle name="20 % - Aksentti1 18_DataIX" xfId="29286" xr:uid="{00000000-0005-0000-0000-00003F010000}"/>
    <cellStyle name="20 % - Aksentti1 19" xfId="484" xr:uid="{00000000-0005-0000-0000-000040010000}"/>
    <cellStyle name="20 % - Aksentti1 19 2" xfId="5799" xr:uid="{00000000-0005-0000-0000-000041010000}"/>
    <cellStyle name="20 % - Aksentti1 19 3" xfId="14012" xr:uid="{00000000-0005-0000-0000-000042010000}"/>
    <cellStyle name="20 % - Aksentti1 19_DataIX" xfId="29287" xr:uid="{00000000-0005-0000-0000-000043010000}"/>
    <cellStyle name="20 % - Aksentti1 2" xfId="3" xr:uid="{00000000-0005-0000-0000-000044010000}"/>
    <cellStyle name="20 % - Aksentti1 2 10" xfId="486" xr:uid="{00000000-0005-0000-0000-000045010000}"/>
    <cellStyle name="20 % - Aksentti1 2 10 2" xfId="5801" xr:uid="{00000000-0005-0000-0000-000046010000}"/>
    <cellStyle name="20 % - Aksentti1 2 10 3" xfId="14014" xr:uid="{00000000-0005-0000-0000-000047010000}"/>
    <cellStyle name="20 % - Aksentti1 2 10_DataIX" xfId="29288" xr:uid="{00000000-0005-0000-0000-000048010000}"/>
    <cellStyle name="20 % - Aksentti1 2 11" xfId="485" xr:uid="{00000000-0005-0000-0000-000049010000}"/>
    <cellStyle name="20 % - Aksentti1 2 11 2" xfId="5802" xr:uid="{00000000-0005-0000-0000-00004A010000}"/>
    <cellStyle name="20 % - Aksentti1 2 11 3" xfId="14013" xr:uid="{00000000-0005-0000-0000-00004B010000}"/>
    <cellStyle name="20 % - Aksentti1 2 11_DataIX" xfId="29289" xr:uid="{00000000-0005-0000-0000-00004C010000}"/>
    <cellStyle name="20 % - Aksentti1 2 12" xfId="25049" xr:uid="{00000000-0005-0000-0000-00004D010000}"/>
    <cellStyle name="20 % - Aksentti1 2 13" xfId="26502" xr:uid="{00000000-0005-0000-0000-00004E010000}"/>
    <cellStyle name="20 % - Aksentti1 2 14" xfId="25957" xr:uid="{00000000-0005-0000-0000-00004F010000}"/>
    <cellStyle name="20 % - Aksentti1 2 15" xfId="25624" xr:uid="{00000000-0005-0000-0000-000050010000}"/>
    <cellStyle name="20 % - Aksentti1 2 16" xfId="26015" xr:uid="{00000000-0005-0000-0000-000051010000}"/>
    <cellStyle name="20 % - Aksentti1 2 17" xfId="26365" xr:uid="{00000000-0005-0000-0000-000052010000}"/>
    <cellStyle name="20 % - Aksentti1 2 18" xfId="26310" xr:uid="{00000000-0005-0000-0000-000053010000}"/>
    <cellStyle name="20 % - Aksentti1 2 19" xfId="25583" xr:uid="{00000000-0005-0000-0000-000054010000}"/>
    <cellStyle name="20 % - Aksentti1 2 2" xfId="133" xr:uid="{00000000-0005-0000-0000-000055010000}"/>
    <cellStyle name="20 % - Aksentti1 2 2 10" xfId="488" xr:uid="{00000000-0005-0000-0000-000056010000}"/>
    <cellStyle name="20 % - Aksentti1 2 2 10 2" xfId="5804" xr:uid="{00000000-0005-0000-0000-000057010000}"/>
    <cellStyle name="20 % - Aksentti1 2 2 10 3" xfId="14016" xr:uid="{00000000-0005-0000-0000-000058010000}"/>
    <cellStyle name="20 % - Aksentti1 2 2 10_DataIX" xfId="29290" xr:uid="{00000000-0005-0000-0000-000059010000}"/>
    <cellStyle name="20 % - Aksentti1 2 2 11" xfId="487" xr:uid="{00000000-0005-0000-0000-00005A010000}"/>
    <cellStyle name="20 % - Aksentti1 2 2 11 2" xfId="5805" xr:uid="{00000000-0005-0000-0000-00005B010000}"/>
    <cellStyle name="20 % - Aksentti1 2 2 11 3" xfId="14015" xr:uid="{00000000-0005-0000-0000-00005C010000}"/>
    <cellStyle name="20 % - Aksentti1 2 2 11_DataIX" xfId="29291" xr:uid="{00000000-0005-0000-0000-00005D010000}"/>
    <cellStyle name="20 % - Aksentti1 2 2 12" xfId="25065" xr:uid="{00000000-0005-0000-0000-00005E010000}"/>
    <cellStyle name="20 % - Aksentti1 2 2 13" xfId="25660" xr:uid="{00000000-0005-0000-0000-00005F010000}"/>
    <cellStyle name="20 % - Aksentti1 2 2 14" xfId="25330" xr:uid="{00000000-0005-0000-0000-000060010000}"/>
    <cellStyle name="20 % - Aksentti1 2 2 15" xfId="25690" xr:uid="{00000000-0005-0000-0000-000061010000}"/>
    <cellStyle name="20 % - Aksentti1 2 2 16" xfId="26042" xr:uid="{00000000-0005-0000-0000-000062010000}"/>
    <cellStyle name="20 % - Aksentti1 2 2 17" xfId="26034" xr:uid="{00000000-0005-0000-0000-000063010000}"/>
    <cellStyle name="20 % - Aksentti1 2 2 18" xfId="25316" xr:uid="{00000000-0005-0000-0000-000064010000}"/>
    <cellStyle name="20 % - Aksentti1 2 2 19" xfId="25369" xr:uid="{00000000-0005-0000-0000-000065010000}"/>
    <cellStyle name="20 % - Aksentti1 2 2 2" xfId="370" xr:uid="{00000000-0005-0000-0000-000066010000}"/>
    <cellStyle name="20 % - Aksentti1 2 2 2 10" xfId="20627" xr:uid="{00000000-0005-0000-0000-000067010000}"/>
    <cellStyle name="20 % - Aksentti1 2 2 2 2" xfId="490" xr:uid="{00000000-0005-0000-0000-000068010000}"/>
    <cellStyle name="20 % - Aksentti1 2 2 2 2 2" xfId="5807" xr:uid="{00000000-0005-0000-0000-000069010000}"/>
    <cellStyle name="20 % - Aksentti1 2 2 2 2 3" xfId="14018" xr:uid="{00000000-0005-0000-0000-00006A010000}"/>
    <cellStyle name="20 % - Aksentti1 2 2 2 2_DataIX" xfId="29292" xr:uid="{00000000-0005-0000-0000-00006B010000}"/>
    <cellStyle name="20 % - Aksentti1 2 2 2 3" xfId="489" xr:uid="{00000000-0005-0000-0000-00006C010000}"/>
    <cellStyle name="20 % - Aksentti1 2 2 2 3 2" xfId="5808" xr:uid="{00000000-0005-0000-0000-00006D010000}"/>
    <cellStyle name="20 % - Aksentti1 2 2 2 3 3" xfId="14017" xr:uid="{00000000-0005-0000-0000-00006E010000}"/>
    <cellStyle name="20 % - Aksentti1 2 2 2 3_DataIX" xfId="29293" xr:uid="{00000000-0005-0000-0000-00006F010000}"/>
    <cellStyle name="20 % - Aksentti1 2 2 2 4" xfId="10762" xr:uid="{00000000-0005-0000-0000-000070010000}"/>
    <cellStyle name="20 % - Aksentti1 2 2 2 5" xfId="12764" xr:uid="{00000000-0005-0000-0000-000071010000}"/>
    <cellStyle name="20 % - Aksentti1 2 2 2 6" xfId="13414" xr:uid="{00000000-0005-0000-0000-000072010000}"/>
    <cellStyle name="20 % - Aksentti1 2 2 2 7" xfId="13907" xr:uid="{00000000-0005-0000-0000-000073010000}"/>
    <cellStyle name="20 % - Aksentti1 2 2 2 8" xfId="20264" xr:uid="{00000000-0005-0000-0000-000074010000}"/>
    <cellStyle name="20 % - Aksentti1 2 2 2 9" xfId="10827" xr:uid="{00000000-0005-0000-0000-000075010000}"/>
    <cellStyle name="20 % - Aksentti1 2 2 2_##Keskeiset" xfId="5806" xr:uid="{00000000-0005-0000-0000-000076010000}"/>
    <cellStyle name="20 % - Aksentti1 2 2 20" xfId="25248" xr:uid="{00000000-0005-0000-0000-000077010000}"/>
    <cellStyle name="20 % - Aksentti1 2 2 21" xfId="26705" xr:uid="{00000000-0005-0000-0000-000078010000}"/>
    <cellStyle name="20 % - Aksentti1 2 2 22" xfId="26335" xr:uid="{00000000-0005-0000-0000-000079010000}"/>
    <cellStyle name="20 % - Aksentti1 2 2 23" xfId="25856" xr:uid="{00000000-0005-0000-0000-00007A010000}"/>
    <cellStyle name="20 % - Aksentti1 2 2 24" xfId="26550" xr:uid="{00000000-0005-0000-0000-00007B010000}"/>
    <cellStyle name="20 % - Aksentti1 2 2 25" xfId="26320" xr:uid="{00000000-0005-0000-0000-00007C010000}"/>
    <cellStyle name="20 % - Aksentti1 2 2 26" xfId="26487" xr:uid="{00000000-0005-0000-0000-00007D010000}"/>
    <cellStyle name="20 % - Aksentti1 2 2 27" xfId="26605" xr:uid="{00000000-0005-0000-0000-00007E010000}"/>
    <cellStyle name="20 % - Aksentti1 2 2 28" xfId="23160" xr:uid="{00000000-0005-0000-0000-00007F010000}"/>
    <cellStyle name="20 % - Aksentti1 2 2 29" xfId="25011" xr:uid="{00000000-0005-0000-0000-000080010000}"/>
    <cellStyle name="20 % - Aksentti1 2 2 3" xfId="491" xr:uid="{00000000-0005-0000-0000-000081010000}"/>
    <cellStyle name="20 % - Aksentti1 2 2 3 2" xfId="10764" xr:uid="{00000000-0005-0000-0000-000082010000}"/>
    <cellStyle name="20 % - Aksentti1 2 2 3 3" xfId="14019" xr:uid="{00000000-0005-0000-0000-000083010000}"/>
    <cellStyle name="20 % - Aksentti1 2 2 3_DataIX" xfId="29294" xr:uid="{00000000-0005-0000-0000-000084010000}"/>
    <cellStyle name="20 % - Aksentti1 2 2 30" xfId="26734" xr:uid="{00000000-0005-0000-0000-000085010000}"/>
    <cellStyle name="20 % - Aksentti1 2 2 31" xfId="24982" xr:uid="{00000000-0005-0000-0000-000086010000}"/>
    <cellStyle name="20 % - Aksentti1 2 2 32" xfId="26725" xr:uid="{00000000-0005-0000-0000-000087010000}"/>
    <cellStyle name="20 % - Aksentti1 2 2 33" xfId="26752" xr:uid="{00000000-0005-0000-0000-000088010000}"/>
    <cellStyle name="20 % - Aksentti1 2 2 4" xfId="492" xr:uid="{00000000-0005-0000-0000-000089010000}"/>
    <cellStyle name="20 % - Aksentti1 2 2 4 2" xfId="5809" xr:uid="{00000000-0005-0000-0000-00008A010000}"/>
    <cellStyle name="20 % - Aksentti1 2 2 4 3" xfId="14020" xr:uid="{00000000-0005-0000-0000-00008B010000}"/>
    <cellStyle name="20 % - Aksentti1 2 2 4_DataIX" xfId="29295" xr:uid="{00000000-0005-0000-0000-00008C010000}"/>
    <cellStyle name="20 % - Aksentti1 2 2 5" xfId="493" xr:uid="{00000000-0005-0000-0000-00008D010000}"/>
    <cellStyle name="20 % - Aksentti1 2 2 5 2" xfId="5810" xr:uid="{00000000-0005-0000-0000-00008E010000}"/>
    <cellStyle name="20 % - Aksentti1 2 2 5 3" xfId="14021" xr:uid="{00000000-0005-0000-0000-00008F010000}"/>
    <cellStyle name="20 % - Aksentti1 2 2 5_DataIX" xfId="29296" xr:uid="{00000000-0005-0000-0000-000090010000}"/>
    <cellStyle name="20 % - Aksentti1 2 2 6" xfId="494" xr:uid="{00000000-0005-0000-0000-000091010000}"/>
    <cellStyle name="20 % - Aksentti1 2 2 6 2" xfId="5811" xr:uid="{00000000-0005-0000-0000-000092010000}"/>
    <cellStyle name="20 % - Aksentti1 2 2 6 3" xfId="14022" xr:uid="{00000000-0005-0000-0000-000093010000}"/>
    <cellStyle name="20 % - Aksentti1 2 2 6_DataIX" xfId="29297" xr:uid="{00000000-0005-0000-0000-000094010000}"/>
    <cellStyle name="20 % - Aksentti1 2 2 7" xfId="495" xr:uid="{00000000-0005-0000-0000-000095010000}"/>
    <cellStyle name="20 % - Aksentti1 2 2 7 2" xfId="5812" xr:uid="{00000000-0005-0000-0000-000096010000}"/>
    <cellStyle name="20 % - Aksentti1 2 2 7 3" xfId="14023" xr:uid="{00000000-0005-0000-0000-000097010000}"/>
    <cellStyle name="20 % - Aksentti1 2 2 7_DataIX" xfId="29298" xr:uid="{00000000-0005-0000-0000-000098010000}"/>
    <cellStyle name="20 % - Aksentti1 2 2 8" xfId="496" xr:uid="{00000000-0005-0000-0000-000099010000}"/>
    <cellStyle name="20 % - Aksentti1 2 2 8 2" xfId="5813" xr:uid="{00000000-0005-0000-0000-00009A010000}"/>
    <cellStyle name="20 % - Aksentti1 2 2 8 3" xfId="14024" xr:uid="{00000000-0005-0000-0000-00009B010000}"/>
    <cellStyle name="20 % - Aksentti1 2 2 8_DataIX" xfId="29299" xr:uid="{00000000-0005-0000-0000-00009C010000}"/>
    <cellStyle name="20 % - Aksentti1 2 2 9" xfId="497" xr:uid="{00000000-0005-0000-0000-00009D010000}"/>
    <cellStyle name="20 % - Aksentti1 2 2 9 2" xfId="5814" xr:uid="{00000000-0005-0000-0000-00009E010000}"/>
    <cellStyle name="20 % - Aksentti1 2 2 9 3" xfId="14025" xr:uid="{00000000-0005-0000-0000-00009F010000}"/>
    <cellStyle name="20 % - Aksentti1 2 2 9_DataIX" xfId="29300" xr:uid="{00000000-0005-0000-0000-0000A0010000}"/>
    <cellStyle name="20 % - Aksentti1 2 2_##Keskeiset" xfId="5803" xr:uid="{00000000-0005-0000-0000-0000A1010000}"/>
    <cellStyle name="20 % - Aksentti1 2 20" xfId="26085" xr:uid="{00000000-0005-0000-0000-0000A2010000}"/>
    <cellStyle name="20 % - Aksentti1 2 21" xfId="25429" xr:uid="{00000000-0005-0000-0000-0000A3010000}"/>
    <cellStyle name="20 % - Aksentti1 2 22" xfId="25427" xr:uid="{00000000-0005-0000-0000-0000A4010000}"/>
    <cellStyle name="20 % - Aksentti1 2 23" xfId="26445" xr:uid="{00000000-0005-0000-0000-0000A5010000}"/>
    <cellStyle name="20 % - Aksentti1 2 24" xfId="25940" xr:uid="{00000000-0005-0000-0000-0000A6010000}"/>
    <cellStyle name="20 % - Aksentti1 2 25" xfId="25679" xr:uid="{00000000-0005-0000-0000-0000A7010000}"/>
    <cellStyle name="20 % - Aksentti1 2 26" xfId="26203" xr:uid="{00000000-0005-0000-0000-0000A8010000}"/>
    <cellStyle name="20 % - Aksentti1 2 27" xfId="26609" xr:uid="{00000000-0005-0000-0000-0000A9010000}"/>
    <cellStyle name="20 % - Aksentti1 2 28" xfId="23159" xr:uid="{00000000-0005-0000-0000-0000AA010000}"/>
    <cellStyle name="20 % - Aksentti1 2 29" xfId="25012" xr:uid="{00000000-0005-0000-0000-0000AB010000}"/>
    <cellStyle name="20 % - Aksentti1 2 3" xfId="134" xr:uid="{00000000-0005-0000-0000-0000AC010000}"/>
    <cellStyle name="20 % - Aksentti1 2 3 2" xfId="499" xr:uid="{00000000-0005-0000-0000-0000AD010000}"/>
    <cellStyle name="20 % - Aksentti1 2 3 2 2" xfId="500" xr:uid="{00000000-0005-0000-0000-0000AE010000}"/>
    <cellStyle name="20 % - Aksentti1 2 3 2 2 2" xfId="5816" xr:uid="{00000000-0005-0000-0000-0000AF010000}"/>
    <cellStyle name="20 % - Aksentti1 2 3 2 2 3" xfId="14028" xr:uid="{00000000-0005-0000-0000-0000B0010000}"/>
    <cellStyle name="20 % - Aksentti1 2 3 2 2_DataIX" xfId="29301" xr:uid="{00000000-0005-0000-0000-0000B1010000}"/>
    <cellStyle name="20 % - Aksentti1 2 3 2 3" xfId="5461" xr:uid="{00000000-0005-0000-0000-0000B2010000}"/>
    <cellStyle name="20 % - Aksentti1 2 3 2 4" xfId="14027" xr:uid="{00000000-0005-0000-0000-0000B3010000}"/>
    <cellStyle name="20 % - Aksentti1 2 3 2_##Keskeiset" xfId="5815" xr:uid="{00000000-0005-0000-0000-0000B4010000}"/>
    <cellStyle name="20 % - Aksentti1 2 3 3" xfId="501" xr:uid="{00000000-0005-0000-0000-0000B5010000}"/>
    <cellStyle name="20 % - Aksentti1 2 3 3 2" xfId="5817" xr:uid="{00000000-0005-0000-0000-0000B6010000}"/>
    <cellStyle name="20 % - Aksentti1 2 3 3 3" xfId="14029" xr:uid="{00000000-0005-0000-0000-0000B7010000}"/>
    <cellStyle name="20 % - Aksentti1 2 3 3_DataIX" xfId="29302" xr:uid="{00000000-0005-0000-0000-0000B8010000}"/>
    <cellStyle name="20 % - Aksentti1 2 3 4" xfId="498" xr:uid="{00000000-0005-0000-0000-0000B9010000}"/>
    <cellStyle name="20 % - Aksentti1 2 3 4 2" xfId="5818" xr:uid="{00000000-0005-0000-0000-0000BA010000}"/>
    <cellStyle name="20 % - Aksentti1 2 3 4 3" xfId="14026" xr:uid="{00000000-0005-0000-0000-0000BB010000}"/>
    <cellStyle name="20 % - Aksentti1 2 3 4_DataIX" xfId="29303" xr:uid="{00000000-0005-0000-0000-0000BC010000}"/>
    <cellStyle name="20 % - Aksentti1 2 3_##Keskeiset" xfId="5460" xr:uid="{00000000-0005-0000-0000-0000BD010000}"/>
    <cellStyle name="20 % - Aksentti1 2 30" xfId="26739" xr:uid="{00000000-0005-0000-0000-0000BE010000}"/>
    <cellStyle name="20 % - Aksentti1 2 31" xfId="24988" xr:uid="{00000000-0005-0000-0000-0000BF010000}"/>
    <cellStyle name="20 % - Aksentti1 2 32" xfId="26729" xr:uid="{00000000-0005-0000-0000-0000C0010000}"/>
    <cellStyle name="20 % - Aksentti1 2 33" xfId="24973" xr:uid="{00000000-0005-0000-0000-0000C1010000}"/>
    <cellStyle name="20 % - Aksentti1 2 4" xfId="502" xr:uid="{00000000-0005-0000-0000-0000C2010000}"/>
    <cellStyle name="20 % - Aksentti1 2 4 2" xfId="503" xr:uid="{00000000-0005-0000-0000-0000C3010000}"/>
    <cellStyle name="20 % - Aksentti1 2 4 2 2" xfId="504" xr:uid="{00000000-0005-0000-0000-0000C4010000}"/>
    <cellStyle name="20 % - Aksentti1 2 4 2 2 2" xfId="5821" xr:uid="{00000000-0005-0000-0000-0000C5010000}"/>
    <cellStyle name="20 % - Aksentti1 2 4 2 2 3" xfId="14032" xr:uid="{00000000-0005-0000-0000-0000C6010000}"/>
    <cellStyle name="20 % - Aksentti1 2 4 2 2_DataIX" xfId="29305" xr:uid="{00000000-0005-0000-0000-0000C7010000}"/>
    <cellStyle name="20 % - Aksentti1 2 4 2 3" xfId="5820" xr:uid="{00000000-0005-0000-0000-0000C8010000}"/>
    <cellStyle name="20 % - Aksentti1 2 4 2 4" xfId="14031" xr:uid="{00000000-0005-0000-0000-0000C9010000}"/>
    <cellStyle name="20 % - Aksentti1 2 4 2_DataIX" xfId="29304" xr:uid="{00000000-0005-0000-0000-0000CA010000}"/>
    <cellStyle name="20 % - Aksentti1 2 4 3" xfId="505" xr:uid="{00000000-0005-0000-0000-0000CB010000}"/>
    <cellStyle name="20 % - Aksentti1 2 4 3 2" xfId="5822" xr:uid="{00000000-0005-0000-0000-0000CC010000}"/>
    <cellStyle name="20 % - Aksentti1 2 4 3 3" xfId="14033" xr:uid="{00000000-0005-0000-0000-0000CD010000}"/>
    <cellStyle name="20 % - Aksentti1 2 4 3_DataIX" xfId="29306" xr:uid="{00000000-0005-0000-0000-0000CE010000}"/>
    <cellStyle name="20 % - Aksentti1 2 4 4" xfId="5462" xr:uid="{00000000-0005-0000-0000-0000CF010000}"/>
    <cellStyle name="20 % - Aksentti1 2 4 4 2" xfId="11210" xr:uid="{00000000-0005-0000-0000-0000D0010000}"/>
    <cellStyle name="20 % - Aksentti1 2 4 4 3" xfId="18735" xr:uid="{00000000-0005-0000-0000-0000D1010000}"/>
    <cellStyle name="20 % - Aksentti1 2 4 4_DataIX" xfId="29307" xr:uid="{00000000-0005-0000-0000-0000D2010000}"/>
    <cellStyle name="20 % - Aksentti1 2 4 5" xfId="5452" xr:uid="{00000000-0005-0000-0000-0000D3010000}"/>
    <cellStyle name="20 % - Aksentti1 2 4 5 2" xfId="11211" xr:uid="{00000000-0005-0000-0000-0000D4010000}"/>
    <cellStyle name="20 % - Aksentti1 2 4 5 3" xfId="18729" xr:uid="{00000000-0005-0000-0000-0000D5010000}"/>
    <cellStyle name="20 % - Aksentti1 2 4 5_DataIX" xfId="29308" xr:uid="{00000000-0005-0000-0000-0000D6010000}"/>
    <cellStyle name="20 % - Aksentti1 2 4 6" xfId="10616" xr:uid="{00000000-0005-0000-0000-0000D7010000}"/>
    <cellStyle name="20 % - Aksentti1 2 4 6 2" xfId="11212" xr:uid="{00000000-0005-0000-0000-0000D8010000}"/>
    <cellStyle name="20 % - Aksentti1 2 4 6 3" xfId="20398" xr:uid="{00000000-0005-0000-0000-0000D9010000}"/>
    <cellStyle name="20 % - Aksentti1 2 4 6_DataIX" xfId="29309" xr:uid="{00000000-0005-0000-0000-0000DA010000}"/>
    <cellStyle name="20 % - Aksentti1 2 4 7" xfId="10558" xr:uid="{00000000-0005-0000-0000-0000DB010000}"/>
    <cellStyle name="20 % - Aksentti1 2 4 7 2" xfId="11213" xr:uid="{00000000-0005-0000-0000-0000DC010000}"/>
    <cellStyle name="20 % - Aksentti1 2 4 7 3" xfId="20340" xr:uid="{00000000-0005-0000-0000-0000DD010000}"/>
    <cellStyle name="20 % - Aksentti1 2 4 7_DataIX" xfId="29310" xr:uid="{00000000-0005-0000-0000-0000DE010000}"/>
    <cellStyle name="20 % - Aksentti1 2 4 8" xfId="10581" xr:uid="{00000000-0005-0000-0000-0000DF010000}"/>
    <cellStyle name="20 % - Aksentti1 2 4 8 2" xfId="11214" xr:uid="{00000000-0005-0000-0000-0000E0010000}"/>
    <cellStyle name="20 % - Aksentti1 2 4 8 3" xfId="20363" xr:uid="{00000000-0005-0000-0000-0000E1010000}"/>
    <cellStyle name="20 % - Aksentti1 2 4 8_DataIX" xfId="29311" xr:uid="{00000000-0005-0000-0000-0000E2010000}"/>
    <cellStyle name="20 % - Aksentti1 2 4 9" xfId="14030" xr:uid="{00000000-0005-0000-0000-0000E3010000}"/>
    <cellStyle name="20 % - Aksentti1 2 4_##Keskeiset" xfId="5819" xr:uid="{00000000-0005-0000-0000-0000E4010000}"/>
    <cellStyle name="20 % - Aksentti1 2 5" xfId="506" xr:uid="{00000000-0005-0000-0000-0000E5010000}"/>
    <cellStyle name="20 % - Aksentti1 2 5 2" xfId="507" xr:uid="{00000000-0005-0000-0000-0000E6010000}"/>
    <cellStyle name="20 % - Aksentti1 2 5 2 2" xfId="5824" xr:uid="{00000000-0005-0000-0000-0000E7010000}"/>
    <cellStyle name="20 % - Aksentti1 2 5 2 3" xfId="14035" xr:uid="{00000000-0005-0000-0000-0000E8010000}"/>
    <cellStyle name="20 % - Aksentti1 2 5 2_DataIX" xfId="29313" xr:uid="{00000000-0005-0000-0000-0000E9010000}"/>
    <cellStyle name="20 % - Aksentti1 2 5 3" xfId="5823" xr:uid="{00000000-0005-0000-0000-0000EA010000}"/>
    <cellStyle name="20 % - Aksentti1 2 5 4" xfId="14034" xr:uid="{00000000-0005-0000-0000-0000EB010000}"/>
    <cellStyle name="20 % - Aksentti1 2 5_DataIX" xfId="29312" xr:uid="{00000000-0005-0000-0000-0000EC010000}"/>
    <cellStyle name="20 % - Aksentti1 2 6" xfId="508" xr:uid="{00000000-0005-0000-0000-0000ED010000}"/>
    <cellStyle name="20 % - Aksentti1 2 6 2" xfId="5825" xr:uid="{00000000-0005-0000-0000-0000EE010000}"/>
    <cellStyle name="20 % - Aksentti1 2 6 3" xfId="14036" xr:uid="{00000000-0005-0000-0000-0000EF010000}"/>
    <cellStyle name="20 % - Aksentti1 2 6_DataIX" xfId="29314" xr:uid="{00000000-0005-0000-0000-0000F0010000}"/>
    <cellStyle name="20 % - Aksentti1 2 7" xfId="509" xr:uid="{00000000-0005-0000-0000-0000F1010000}"/>
    <cellStyle name="20 % - Aksentti1 2 7 2" xfId="5826" xr:uid="{00000000-0005-0000-0000-0000F2010000}"/>
    <cellStyle name="20 % - Aksentti1 2 7 3" xfId="14037" xr:uid="{00000000-0005-0000-0000-0000F3010000}"/>
    <cellStyle name="20 % - Aksentti1 2 7_DataIX" xfId="29315" xr:uid="{00000000-0005-0000-0000-0000F4010000}"/>
    <cellStyle name="20 % - Aksentti1 2 8" xfId="510" xr:uid="{00000000-0005-0000-0000-0000F5010000}"/>
    <cellStyle name="20 % - Aksentti1 2 8 2" xfId="5827" xr:uid="{00000000-0005-0000-0000-0000F6010000}"/>
    <cellStyle name="20 % - Aksentti1 2 8 3" xfId="14038" xr:uid="{00000000-0005-0000-0000-0000F7010000}"/>
    <cellStyle name="20 % - Aksentti1 2 8_DataIX" xfId="29316" xr:uid="{00000000-0005-0000-0000-0000F8010000}"/>
    <cellStyle name="20 % - Aksentti1 2 9" xfId="511" xr:uid="{00000000-0005-0000-0000-0000F9010000}"/>
    <cellStyle name="20 % - Aksentti1 2 9 2" xfId="5828" xr:uid="{00000000-0005-0000-0000-0000FA010000}"/>
    <cellStyle name="20 % - Aksentti1 2 9 3" xfId="14039" xr:uid="{00000000-0005-0000-0000-0000FB010000}"/>
    <cellStyle name="20 % - Aksentti1 2 9_DataIX" xfId="29317" xr:uid="{00000000-0005-0000-0000-0000FC010000}"/>
    <cellStyle name="20 % - Aksentti1 2_##Keskeiset" xfId="5800" xr:uid="{00000000-0005-0000-0000-0000FD010000}"/>
    <cellStyle name="20 % - Aksentti1 20" xfId="512" xr:uid="{00000000-0005-0000-0000-0000FE010000}"/>
    <cellStyle name="20 % - Aksentti1 20 2" xfId="5829" xr:uid="{00000000-0005-0000-0000-0000FF010000}"/>
    <cellStyle name="20 % - Aksentti1 20 3" xfId="14040" xr:uid="{00000000-0005-0000-0000-000000020000}"/>
    <cellStyle name="20 % - Aksentti1 20_DataIX" xfId="29318" xr:uid="{00000000-0005-0000-0000-000001020000}"/>
    <cellStyle name="20 % - Aksentti1 21" xfId="513" xr:uid="{00000000-0005-0000-0000-000002020000}"/>
    <cellStyle name="20 % - Aksentti1 21 2" xfId="5830" xr:uid="{00000000-0005-0000-0000-000003020000}"/>
    <cellStyle name="20 % - Aksentti1 21 3" xfId="14041" xr:uid="{00000000-0005-0000-0000-000004020000}"/>
    <cellStyle name="20 % - Aksentti1 21_DataIX" xfId="29319" xr:uid="{00000000-0005-0000-0000-000005020000}"/>
    <cellStyle name="20 % - Aksentti1 22" xfId="514" xr:uid="{00000000-0005-0000-0000-000006020000}"/>
    <cellStyle name="20 % - Aksentti1 22 2" xfId="5831" xr:uid="{00000000-0005-0000-0000-000007020000}"/>
    <cellStyle name="20 % - Aksentti1 22 3" xfId="14042" xr:uid="{00000000-0005-0000-0000-000008020000}"/>
    <cellStyle name="20 % - Aksentti1 22_DataIX" xfId="29320" xr:uid="{00000000-0005-0000-0000-000009020000}"/>
    <cellStyle name="20 % - Aksentti1 23" xfId="515" xr:uid="{00000000-0005-0000-0000-00000A020000}"/>
    <cellStyle name="20 % - Aksentti1 23 2" xfId="5832" xr:uid="{00000000-0005-0000-0000-00000B020000}"/>
    <cellStyle name="20 % - Aksentti1 23 3" xfId="14043" xr:uid="{00000000-0005-0000-0000-00000C020000}"/>
    <cellStyle name="20 % - Aksentti1 23_DataIX" xfId="29321" xr:uid="{00000000-0005-0000-0000-00000D020000}"/>
    <cellStyle name="20 % - Aksentti1 24" xfId="516" xr:uid="{00000000-0005-0000-0000-00000E020000}"/>
    <cellStyle name="20 % - Aksentti1 24 2" xfId="5833" xr:uid="{00000000-0005-0000-0000-00000F020000}"/>
    <cellStyle name="20 % - Aksentti1 24 3" xfId="14044" xr:uid="{00000000-0005-0000-0000-000010020000}"/>
    <cellStyle name="20 % - Aksentti1 24_DataIX" xfId="29322" xr:uid="{00000000-0005-0000-0000-000011020000}"/>
    <cellStyle name="20 % - Aksentti1 25" xfId="517" xr:uid="{00000000-0005-0000-0000-000012020000}"/>
    <cellStyle name="20 % - Aksentti1 25 2" xfId="5834" xr:uid="{00000000-0005-0000-0000-000013020000}"/>
    <cellStyle name="20 % - Aksentti1 25 3" xfId="14045" xr:uid="{00000000-0005-0000-0000-000014020000}"/>
    <cellStyle name="20 % - Aksentti1 25_DataIX" xfId="29323" xr:uid="{00000000-0005-0000-0000-000015020000}"/>
    <cellStyle name="20 % - Aksentti1 26" xfId="518" xr:uid="{00000000-0005-0000-0000-000016020000}"/>
    <cellStyle name="20 % - Aksentti1 26 2" xfId="5835" xr:uid="{00000000-0005-0000-0000-000017020000}"/>
    <cellStyle name="20 % - Aksentti1 26 3" xfId="14046" xr:uid="{00000000-0005-0000-0000-000018020000}"/>
    <cellStyle name="20 % - Aksentti1 26_DataIX" xfId="29324" xr:uid="{00000000-0005-0000-0000-000019020000}"/>
    <cellStyle name="20 % - Aksentti1 27" xfId="519" xr:uid="{00000000-0005-0000-0000-00001A020000}"/>
    <cellStyle name="20 % - Aksentti1 27 2" xfId="5836" xr:uid="{00000000-0005-0000-0000-00001B020000}"/>
    <cellStyle name="20 % - Aksentti1 27 3" xfId="14047" xr:uid="{00000000-0005-0000-0000-00001C020000}"/>
    <cellStyle name="20 % - Aksentti1 27_DataIX" xfId="29325" xr:uid="{00000000-0005-0000-0000-00001D020000}"/>
    <cellStyle name="20 % - Aksentti1 28" xfId="520" xr:uid="{00000000-0005-0000-0000-00001E020000}"/>
    <cellStyle name="20 % - Aksentti1 28 2" xfId="5837" xr:uid="{00000000-0005-0000-0000-00001F020000}"/>
    <cellStyle name="20 % - Aksentti1 28 3" xfId="14048" xr:uid="{00000000-0005-0000-0000-000020020000}"/>
    <cellStyle name="20 % - Aksentti1 28_DataIX" xfId="29326" xr:uid="{00000000-0005-0000-0000-000021020000}"/>
    <cellStyle name="20 % - Aksentti1 29" xfId="10640" xr:uid="{00000000-0005-0000-0000-000022020000}"/>
    <cellStyle name="20 % - Aksentti1 29 2" xfId="27758" xr:uid="{00000000-0005-0000-0000-000023020000}"/>
    <cellStyle name="20 % - Aksentti1 3" xfId="132" xr:uid="{00000000-0005-0000-0000-000024020000}"/>
    <cellStyle name="20 % - Aksentti1 3 10" xfId="522" xr:uid="{00000000-0005-0000-0000-000025020000}"/>
    <cellStyle name="20 % - Aksentti1 3 10 2" xfId="5838" xr:uid="{00000000-0005-0000-0000-000026020000}"/>
    <cellStyle name="20 % - Aksentti1 3 10 3" xfId="14050" xr:uid="{00000000-0005-0000-0000-000027020000}"/>
    <cellStyle name="20 % - Aksentti1 3 10_DataIX" xfId="29327" xr:uid="{00000000-0005-0000-0000-000028020000}"/>
    <cellStyle name="20 % - Aksentti1 3 11" xfId="521" xr:uid="{00000000-0005-0000-0000-000029020000}"/>
    <cellStyle name="20 % - Aksentti1 3 11 2" xfId="5839" xr:uid="{00000000-0005-0000-0000-00002A020000}"/>
    <cellStyle name="20 % - Aksentti1 3 11 3" xfId="14049" xr:uid="{00000000-0005-0000-0000-00002B020000}"/>
    <cellStyle name="20 % - Aksentti1 3 11_DataIX" xfId="29328" xr:uid="{00000000-0005-0000-0000-00002C020000}"/>
    <cellStyle name="20 % - Aksentti1 3 2" xfId="523" xr:uid="{00000000-0005-0000-0000-00002D020000}"/>
    <cellStyle name="20 % - Aksentti1 3 2 10" xfId="524" xr:uid="{00000000-0005-0000-0000-00002E020000}"/>
    <cellStyle name="20 % - Aksentti1 3 2 10 2" xfId="5841" xr:uid="{00000000-0005-0000-0000-00002F020000}"/>
    <cellStyle name="20 % - Aksentti1 3 2 10 3" xfId="14052" xr:uid="{00000000-0005-0000-0000-000030020000}"/>
    <cellStyle name="20 % - Aksentti1 3 2 10_DataIX" xfId="29330" xr:uid="{00000000-0005-0000-0000-000031020000}"/>
    <cellStyle name="20 % - Aksentti1 3 2 11" xfId="5840" xr:uid="{00000000-0005-0000-0000-000032020000}"/>
    <cellStyle name="20 % - Aksentti1 3 2 12" xfId="14051" xr:uid="{00000000-0005-0000-0000-000033020000}"/>
    <cellStyle name="20 % - Aksentti1 3 2 2" xfId="525" xr:uid="{00000000-0005-0000-0000-000034020000}"/>
    <cellStyle name="20 % - Aksentti1 3 2 2 2" xfId="526" xr:uid="{00000000-0005-0000-0000-000035020000}"/>
    <cellStyle name="20 % - Aksentti1 3 2 2 2 2" xfId="5843" xr:uid="{00000000-0005-0000-0000-000036020000}"/>
    <cellStyle name="20 % - Aksentti1 3 2 2 2 3" xfId="14054" xr:uid="{00000000-0005-0000-0000-000037020000}"/>
    <cellStyle name="20 % - Aksentti1 3 2 2 2_DataIX" xfId="29332" xr:uid="{00000000-0005-0000-0000-000038020000}"/>
    <cellStyle name="20 % - Aksentti1 3 2 2 3" xfId="5842" xr:uid="{00000000-0005-0000-0000-000039020000}"/>
    <cellStyle name="20 % - Aksentti1 3 2 2 4" xfId="14053" xr:uid="{00000000-0005-0000-0000-00003A020000}"/>
    <cellStyle name="20 % - Aksentti1 3 2 2_DataIX" xfId="29331" xr:uid="{00000000-0005-0000-0000-00003B020000}"/>
    <cellStyle name="20 % - Aksentti1 3 2 3" xfId="527" xr:uid="{00000000-0005-0000-0000-00003C020000}"/>
    <cellStyle name="20 % - Aksentti1 3 2 3 2" xfId="5844" xr:uid="{00000000-0005-0000-0000-00003D020000}"/>
    <cellStyle name="20 % - Aksentti1 3 2 3 3" xfId="14055" xr:uid="{00000000-0005-0000-0000-00003E020000}"/>
    <cellStyle name="20 % - Aksentti1 3 2 3_DataIX" xfId="29333" xr:uid="{00000000-0005-0000-0000-00003F020000}"/>
    <cellStyle name="20 % - Aksentti1 3 2 4" xfId="528" xr:uid="{00000000-0005-0000-0000-000040020000}"/>
    <cellStyle name="20 % - Aksentti1 3 2 4 2" xfId="5845" xr:uid="{00000000-0005-0000-0000-000041020000}"/>
    <cellStyle name="20 % - Aksentti1 3 2 4 3" xfId="14056" xr:uid="{00000000-0005-0000-0000-000042020000}"/>
    <cellStyle name="20 % - Aksentti1 3 2 4_DataIX" xfId="29334" xr:uid="{00000000-0005-0000-0000-000043020000}"/>
    <cellStyle name="20 % - Aksentti1 3 2 5" xfId="529" xr:uid="{00000000-0005-0000-0000-000044020000}"/>
    <cellStyle name="20 % - Aksentti1 3 2 5 2" xfId="5846" xr:uid="{00000000-0005-0000-0000-000045020000}"/>
    <cellStyle name="20 % - Aksentti1 3 2 5 3" xfId="14057" xr:uid="{00000000-0005-0000-0000-000046020000}"/>
    <cellStyle name="20 % - Aksentti1 3 2 5_DataIX" xfId="29335" xr:uid="{00000000-0005-0000-0000-000047020000}"/>
    <cellStyle name="20 % - Aksentti1 3 2 6" xfId="530" xr:uid="{00000000-0005-0000-0000-000048020000}"/>
    <cellStyle name="20 % - Aksentti1 3 2 6 2" xfId="5847" xr:uid="{00000000-0005-0000-0000-000049020000}"/>
    <cellStyle name="20 % - Aksentti1 3 2 6 3" xfId="14058" xr:uid="{00000000-0005-0000-0000-00004A020000}"/>
    <cellStyle name="20 % - Aksentti1 3 2 6_DataIX" xfId="29336" xr:uid="{00000000-0005-0000-0000-00004B020000}"/>
    <cellStyle name="20 % - Aksentti1 3 2 7" xfId="531" xr:uid="{00000000-0005-0000-0000-00004C020000}"/>
    <cellStyle name="20 % - Aksentti1 3 2 7 2" xfId="5848" xr:uid="{00000000-0005-0000-0000-00004D020000}"/>
    <cellStyle name="20 % - Aksentti1 3 2 7 3" xfId="14059" xr:uid="{00000000-0005-0000-0000-00004E020000}"/>
    <cellStyle name="20 % - Aksentti1 3 2 7_DataIX" xfId="29337" xr:uid="{00000000-0005-0000-0000-00004F020000}"/>
    <cellStyle name="20 % - Aksentti1 3 2 8" xfId="532" xr:uid="{00000000-0005-0000-0000-000050020000}"/>
    <cellStyle name="20 % - Aksentti1 3 2 8 2" xfId="5849" xr:uid="{00000000-0005-0000-0000-000051020000}"/>
    <cellStyle name="20 % - Aksentti1 3 2 8 3" xfId="14060" xr:uid="{00000000-0005-0000-0000-000052020000}"/>
    <cellStyle name="20 % - Aksentti1 3 2 8_DataIX" xfId="29338" xr:uid="{00000000-0005-0000-0000-000053020000}"/>
    <cellStyle name="20 % - Aksentti1 3 2 9" xfId="533" xr:uid="{00000000-0005-0000-0000-000054020000}"/>
    <cellStyle name="20 % - Aksentti1 3 2 9 2" xfId="5850" xr:uid="{00000000-0005-0000-0000-000055020000}"/>
    <cellStyle name="20 % - Aksentti1 3 2 9 3" xfId="14061" xr:uid="{00000000-0005-0000-0000-000056020000}"/>
    <cellStyle name="20 % - Aksentti1 3 2 9_DataIX" xfId="29339" xr:uid="{00000000-0005-0000-0000-000057020000}"/>
    <cellStyle name="20 % - Aksentti1 3 2_DataIX" xfId="29329" xr:uid="{00000000-0005-0000-0000-000058020000}"/>
    <cellStyle name="20 % - Aksentti1 3 3" xfId="534" xr:uid="{00000000-0005-0000-0000-000059020000}"/>
    <cellStyle name="20 % - Aksentti1 3 3 2" xfId="535" xr:uid="{00000000-0005-0000-0000-00005A020000}"/>
    <cellStyle name="20 % - Aksentti1 3 3 2 2" xfId="536" xr:uid="{00000000-0005-0000-0000-00005B020000}"/>
    <cellStyle name="20 % - Aksentti1 3 3 2 2 2" xfId="5853" xr:uid="{00000000-0005-0000-0000-00005C020000}"/>
    <cellStyle name="20 % - Aksentti1 3 3 2 2 3" xfId="14064" xr:uid="{00000000-0005-0000-0000-00005D020000}"/>
    <cellStyle name="20 % - Aksentti1 3 3 2 2_DataIX" xfId="29342" xr:uid="{00000000-0005-0000-0000-00005E020000}"/>
    <cellStyle name="20 % - Aksentti1 3 3 2 3" xfId="5852" xr:uid="{00000000-0005-0000-0000-00005F020000}"/>
    <cellStyle name="20 % - Aksentti1 3 3 2 4" xfId="14063" xr:uid="{00000000-0005-0000-0000-000060020000}"/>
    <cellStyle name="20 % - Aksentti1 3 3 2_DataIX" xfId="29341" xr:uid="{00000000-0005-0000-0000-000061020000}"/>
    <cellStyle name="20 % - Aksentti1 3 3 3" xfId="537" xr:uid="{00000000-0005-0000-0000-000062020000}"/>
    <cellStyle name="20 % - Aksentti1 3 3 3 2" xfId="5854" xr:uid="{00000000-0005-0000-0000-000063020000}"/>
    <cellStyle name="20 % - Aksentti1 3 3 3 3" xfId="14065" xr:uid="{00000000-0005-0000-0000-000064020000}"/>
    <cellStyle name="20 % - Aksentti1 3 3 3_DataIX" xfId="29343" xr:uid="{00000000-0005-0000-0000-000065020000}"/>
    <cellStyle name="20 % - Aksentti1 3 3 4" xfId="5851" xr:uid="{00000000-0005-0000-0000-000066020000}"/>
    <cellStyle name="20 % - Aksentti1 3 3 5" xfId="14062" xr:uid="{00000000-0005-0000-0000-000067020000}"/>
    <cellStyle name="20 % - Aksentti1 3 3_DataIX" xfId="29340" xr:uid="{00000000-0005-0000-0000-000068020000}"/>
    <cellStyle name="20 % - Aksentti1 3 4" xfId="538" xr:uid="{00000000-0005-0000-0000-000069020000}"/>
    <cellStyle name="20 % - Aksentti1 3 4 2" xfId="539" xr:uid="{00000000-0005-0000-0000-00006A020000}"/>
    <cellStyle name="20 % - Aksentti1 3 4 2 2" xfId="540" xr:uid="{00000000-0005-0000-0000-00006B020000}"/>
    <cellStyle name="20 % - Aksentti1 3 4 2 2 2" xfId="5857" xr:uid="{00000000-0005-0000-0000-00006C020000}"/>
    <cellStyle name="20 % - Aksentti1 3 4 2 2 3" xfId="14068" xr:uid="{00000000-0005-0000-0000-00006D020000}"/>
    <cellStyle name="20 % - Aksentti1 3 4 2 2_DataIX" xfId="29346" xr:uid="{00000000-0005-0000-0000-00006E020000}"/>
    <cellStyle name="20 % - Aksentti1 3 4 2 3" xfId="5856" xr:uid="{00000000-0005-0000-0000-00006F020000}"/>
    <cellStyle name="20 % - Aksentti1 3 4 2 4" xfId="14067" xr:uid="{00000000-0005-0000-0000-000070020000}"/>
    <cellStyle name="20 % - Aksentti1 3 4 2_DataIX" xfId="29345" xr:uid="{00000000-0005-0000-0000-000071020000}"/>
    <cellStyle name="20 % - Aksentti1 3 4 3" xfId="541" xr:uid="{00000000-0005-0000-0000-000072020000}"/>
    <cellStyle name="20 % - Aksentti1 3 4 3 2" xfId="5858" xr:uid="{00000000-0005-0000-0000-000073020000}"/>
    <cellStyle name="20 % - Aksentti1 3 4 3 3" xfId="14069" xr:uid="{00000000-0005-0000-0000-000074020000}"/>
    <cellStyle name="20 % - Aksentti1 3 4 3_DataIX" xfId="29347" xr:uid="{00000000-0005-0000-0000-000075020000}"/>
    <cellStyle name="20 % - Aksentti1 3 4 4" xfId="5855" xr:uid="{00000000-0005-0000-0000-000076020000}"/>
    <cellStyle name="20 % - Aksentti1 3 4 5" xfId="14066" xr:uid="{00000000-0005-0000-0000-000077020000}"/>
    <cellStyle name="20 % - Aksentti1 3 4_DataIX" xfId="29344" xr:uid="{00000000-0005-0000-0000-000078020000}"/>
    <cellStyle name="20 % - Aksentti1 3 5" xfId="542" xr:uid="{00000000-0005-0000-0000-000079020000}"/>
    <cellStyle name="20 % - Aksentti1 3 5 2" xfId="543" xr:uid="{00000000-0005-0000-0000-00007A020000}"/>
    <cellStyle name="20 % - Aksentti1 3 5 2 2" xfId="5860" xr:uid="{00000000-0005-0000-0000-00007B020000}"/>
    <cellStyle name="20 % - Aksentti1 3 5 2 3" xfId="14071" xr:uid="{00000000-0005-0000-0000-00007C020000}"/>
    <cellStyle name="20 % - Aksentti1 3 5 2_DataIX" xfId="29349" xr:uid="{00000000-0005-0000-0000-00007D020000}"/>
    <cellStyle name="20 % - Aksentti1 3 5 3" xfId="5859" xr:uid="{00000000-0005-0000-0000-00007E020000}"/>
    <cellStyle name="20 % - Aksentti1 3 5 4" xfId="14070" xr:uid="{00000000-0005-0000-0000-00007F020000}"/>
    <cellStyle name="20 % - Aksentti1 3 5_DataIX" xfId="29348" xr:uid="{00000000-0005-0000-0000-000080020000}"/>
    <cellStyle name="20 % - Aksentti1 3 6" xfId="544" xr:uid="{00000000-0005-0000-0000-000081020000}"/>
    <cellStyle name="20 % - Aksentti1 3 6 2" xfId="5861" xr:uid="{00000000-0005-0000-0000-000082020000}"/>
    <cellStyle name="20 % - Aksentti1 3 6 3" xfId="14072" xr:uid="{00000000-0005-0000-0000-000083020000}"/>
    <cellStyle name="20 % - Aksentti1 3 6_DataIX" xfId="29350" xr:uid="{00000000-0005-0000-0000-000084020000}"/>
    <cellStyle name="20 % - Aksentti1 3 7" xfId="545" xr:uid="{00000000-0005-0000-0000-000085020000}"/>
    <cellStyle name="20 % - Aksentti1 3 7 2" xfId="5862" xr:uid="{00000000-0005-0000-0000-000086020000}"/>
    <cellStyle name="20 % - Aksentti1 3 7 3" xfId="14073" xr:uid="{00000000-0005-0000-0000-000087020000}"/>
    <cellStyle name="20 % - Aksentti1 3 7_DataIX" xfId="29351" xr:uid="{00000000-0005-0000-0000-000088020000}"/>
    <cellStyle name="20 % - Aksentti1 3 8" xfId="546" xr:uid="{00000000-0005-0000-0000-000089020000}"/>
    <cellStyle name="20 % - Aksentti1 3 8 2" xfId="5863" xr:uid="{00000000-0005-0000-0000-00008A020000}"/>
    <cellStyle name="20 % - Aksentti1 3 8 3" xfId="14074" xr:uid="{00000000-0005-0000-0000-00008B020000}"/>
    <cellStyle name="20 % - Aksentti1 3 8_DataIX" xfId="29352" xr:uid="{00000000-0005-0000-0000-00008C020000}"/>
    <cellStyle name="20 % - Aksentti1 3 9" xfId="547" xr:uid="{00000000-0005-0000-0000-00008D020000}"/>
    <cellStyle name="20 % - Aksentti1 3 9 2" xfId="5864" xr:uid="{00000000-0005-0000-0000-00008E020000}"/>
    <cellStyle name="20 % - Aksentti1 3 9 3" xfId="14075" xr:uid="{00000000-0005-0000-0000-00008F020000}"/>
    <cellStyle name="20 % - Aksentti1 3 9_DataIX" xfId="29353" xr:uid="{00000000-0005-0000-0000-000090020000}"/>
    <cellStyle name="20 % - Aksentti1 3_Tulokset" xfId="548" xr:uid="{00000000-0005-0000-0000-000091020000}"/>
    <cellStyle name="20 % - Aksentti1 30" xfId="13079" xr:uid="{00000000-0005-0000-0000-000092020000}"/>
    <cellStyle name="20 % - Aksentti1 31" xfId="13321" xr:uid="{00000000-0005-0000-0000-000093020000}"/>
    <cellStyle name="20 % - Aksentti1 32" xfId="13338" xr:uid="{00000000-0005-0000-0000-000094020000}"/>
    <cellStyle name="20 % - Aksentti1 33" xfId="13179" xr:uid="{00000000-0005-0000-0000-000095020000}"/>
    <cellStyle name="20 % - Aksentti1 34" xfId="13888" xr:uid="{00000000-0005-0000-0000-000096020000}"/>
    <cellStyle name="20 % - Aksentti1 35" xfId="20273" xr:uid="{00000000-0005-0000-0000-000097020000}"/>
    <cellStyle name="20 % - Aksentti1 36" xfId="25803" xr:uid="{00000000-0005-0000-0000-000098020000}"/>
    <cellStyle name="20 % - Aksentti1 37" xfId="26558" xr:uid="{00000000-0005-0000-0000-000099020000}"/>
    <cellStyle name="20 % - Aksentti1 38" xfId="26624" xr:uid="{00000000-0005-0000-0000-00009A020000}"/>
    <cellStyle name="20 % - Aksentti1 39" xfId="25988" xr:uid="{00000000-0005-0000-0000-00009B020000}"/>
    <cellStyle name="20 % - Aksentti1 4" xfId="549" xr:uid="{00000000-0005-0000-0000-00009C020000}"/>
    <cellStyle name="20 % - Aksentti1 4 10" xfId="550" xr:uid="{00000000-0005-0000-0000-00009D020000}"/>
    <cellStyle name="20 % - Aksentti1 4 10 2" xfId="5866" xr:uid="{00000000-0005-0000-0000-00009E020000}"/>
    <cellStyle name="20 % - Aksentti1 4 10 3" xfId="14077" xr:uid="{00000000-0005-0000-0000-00009F020000}"/>
    <cellStyle name="20 % - Aksentti1 4 10_DataIX" xfId="29354" xr:uid="{00000000-0005-0000-0000-0000A0020000}"/>
    <cellStyle name="20 % - Aksentti1 4 11" xfId="5463" xr:uid="{00000000-0005-0000-0000-0000A1020000}"/>
    <cellStyle name="20 % - Aksentti1 4 12" xfId="14076" xr:uid="{00000000-0005-0000-0000-0000A2020000}"/>
    <cellStyle name="20 % - Aksentti1 4 2" xfId="551" xr:uid="{00000000-0005-0000-0000-0000A3020000}"/>
    <cellStyle name="20 % - Aksentti1 4 2 2" xfId="552" xr:uid="{00000000-0005-0000-0000-0000A4020000}"/>
    <cellStyle name="20 % - Aksentti1 4 2 2 2" xfId="553" xr:uid="{00000000-0005-0000-0000-0000A5020000}"/>
    <cellStyle name="20 % - Aksentti1 4 2 2 2 2" xfId="5869" xr:uid="{00000000-0005-0000-0000-0000A6020000}"/>
    <cellStyle name="20 % - Aksentti1 4 2 2 2 3" xfId="14080" xr:uid="{00000000-0005-0000-0000-0000A7020000}"/>
    <cellStyle name="20 % - Aksentti1 4 2 2 2_DataIX" xfId="29357" xr:uid="{00000000-0005-0000-0000-0000A8020000}"/>
    <cellStyle name="20 % - Aksentti1 4 2 2 3" xfId="5868" xr:uid="{00000000-0005-0000-0000-0000A9020000}"/>
    <cellStyle name="20 % - Aksentti1 4 2 2 4" xfId="14079" xr:uid="{00000000-0005-0000-0000-0000AA020000}"/>
    <cellStyle name="20 % - Aksentti1 4 2 2_DataIX" xfId="29356" xr:uid="{00000000-0005-0000-0000-0000AB020000}"/>
    <cellStyle name="20 % - Aksentti1 4 2 3" xfId="554" xr:uid="{00000000-0005-0000-0000-0000AC020000}"/>
    <cellStyle name="20 % - Aksentti1 4 2 3 2" xfId="5870" xr:uid="{00000000-0005-0000-0000-0000AD020000}"/>
    <cellStyle name="20 % - Aksentti1 4 2 3 3" xfId="14081" xr:uid="{00000000-0005-0000-0000-0000AE020000}"/>
    <cellStyle name="20 % - Aksentti1 4 2 3_DataIX" xfId="29358" xr:uid="{00000000-0005-0000-0000-0000AF020000}"/>
    <cellStyle name="20 % - Aksentti1 4 2 4" xfId="5867" xr:uid="{00000000-0005-0000-0000-0000B0020000}"/>
    <cellStyle name="20 % - Aksentti1 4 2 5" xfId="14078" xr:uid="{00000000-0005-0000-0000-0000B1020000}"/>
    <cellStyle name="20 % - Aksentti1 4 2_DataIX" xfId="29355" xr:uid="{00000000-0005-0000-0000-0000B2020000}"/>
    <cellStyle name="20 % - Aksentti1 4 3" xfId="555" xr:uid="{00000000-0005-0000-0000-0000B3020000}"/>
    <cellStyle name="20 % - Aksentti1 4 3 2" xfId="556" xr:uid="{00000000-0005-0000-0000-0000B4020000}"/>
    <cellStyle name="20 % - Aksentti1 4 3 2 2" xfId="5872" xr:uid="{00000000-0005-0000-0000-0000B5020000}"/>
    <cellStyle name="20 % - Aksentti1 4 3 2 3" xfId="14083" xr:uid="{00000000-0005-0000-0000-0000B6020000}"/>
    <cellStyle name="20 % - Aksentti1 4 3 2_DataIX" xfId="29360" xr:uid="{00000000-0005-0000-0000-0000B7020000}"/>
    <cellStyle name="20 % - Aksentti1 4 3 3" xfId="5871" xr:uid="{00000000-0005-0000-0000-0000B8020000}"/>
    <cellStyle name="20 % - Aksentti1 4 3 4" xfId="14082" xr:uid="{00000000-0005-0000-0000-0000B9020000}"/>
    <cellStyle name="20 % - Aksentti1 4 3_DataIX" xfId="29359" xr:uid="{00000000-0005-0000-0000-0000BA020000}"/>
    <cellStyle name="20 % - Aksentti1 4 4" xfId="557" xr:uid="{00000000-0005-0000-0000-0000BB020000}"/>
    <cellStyle name="20 % - Aksentti1 4 4 2" xfId="5873" xr:uid="{00000000-0005-0000-0000-0000BC020000}"/>
    <cellStyle name="20 % - Aksentti1 4 4 3" xfId="14084" xr:uid="{00000000-0005-0000-0000-0000BD020000}"/>
    <cellStyle name="20 % - Aksentti1 4 4_DataIX" xfId="29361" xr:uid="{00000000-0005-0000-0000-0000BE020000}"/>
    <cellStyle name="20 % - Aksentti1 4 5" xfId="558" xr:uid="{00000000-0005-0000-0000-0000BF020000}"/>
    <cellStyle name="20 % - Aksentti1 4 5 2" xfId="5874" xr:uid="{00000000-0005-0000-0000-0000C0020000}"/>
    <cellStyle name="20 % - Aksentti1 4 5 3" xfId="14085" xr:uid="{00000000-0005-0000-0000-0000C1020000}"/>
    <cellStyle name="20 % - Aksentti1 4 5_DataIX" xfId="29362" xr:uid="{00000000-0005-0000-0000-0000C2020000}"/>
    <cellStyle name="20 % - Aksentti1 4 6" xfId="559" xr:uid="{00000000-0005-0000-0000-0000C3020000}"/>
    <cellStyle name="20 % - Aksentti1 4 6 2" xfId="5875" xr:uid="{00000000-0005-0000-0000-0000C4020000}"/>
    <cellStyle name="20 % - Aksentti1 4 6 3" xfId="14086" xr:uid="{00000000-0005-0000-0000-0000C5020000}"/>
    <cellStyle name="20 % - Aksentti1 4 6_DataIX" xfId="29363" xr:uid="{00000000-0005-0000-0000-0000C6020000}"/>
    <cellStyle name="20 % - Aksentti1 4 7" xfId="560" xr:uid="{00000000-0005-0000-0000-0000C7020000}"/>
    <cellStyle name="20 % - Aksentti1 4 7 2" xfId="5876" xr:uid="{00000000-0005-0000-0000-0000C8020000}"/>
    <cellStyle name="20 % - Aksentti1 4 7 3" xfId="14087" xr:uid="{00000000-0005-0000-0000-0000C9020000}"/>
    <cellStyle name="20 % - Aksentti1 4 7_DataIX" xfId="29364" xr:uid="{00000000-0005-0000-0000-0000CA020000}"/>
    <cellStyle name="20 % - Aksentti1 4 8" xfId="561" xr:uid="{00000000-0005-0000-0000-0000CB020000}"/>
    <cellStyle name="20 % - Aksentti1 4 8 2" xfId="5877" xr:uid="{00000000-0005-0000-0000-0000CC020000}"/>
    <cellStyle name="20 % - Aksentti1 4 8 3" xfId="14088" xr:uid="{00000000-0005-0000-0000-0000CD020000}"/>
    <cellStyle name="20 % - Aksentti1 4 8_DataIX" xfId="29365" xr:uid="{00000000-0005-0000-0000-0000CE020000}"/>
    <cellStyle name="20 % - Aksentti1 4 9" xfId="562" xr:uid="{00000000-0005-0000-0000-0000CF020000}"/>
    <cellStyle name="20 % - Aksentti1 4 9 2" xfId="5878" xr:uid="{00000000-0005-0000-0000-0000D0020000}"/>
    <cellStyle name="20 % - Aksentti1 4 9 3" xfId="14089" xr:uid="{00000000-0005-0000-0000-0000D1020000}"/>
    <cellStyle name="20 % - Aksentti1 4 9_DataIX" xfId="29366" xr:uid="{00000000-0005-0000-0000-0000D2020000}"/>
    <cellStyle name="20 % - Aksentti1 4_##Keskeiset" xfId="5865" xr:uid="{00000000-0005-0000-0000-0000D3020000}"/>
    <cellStyle name="20 % - Aksentti1 40" xfId="25474" xr:uid="{00000000-0005-0000-0000-0000D4020000}"/>
    <cellStyle name="20 % - Aksentti1 41" xfId="26267" xr:uid="{00000000-0005-0000-0000-0000D5020000}"/>
    <cellStyle name="20 % - Aksentti1 42" xfId="26658" xr:uid="{00000000-0005-0000-0000-0000D6020000}"/>
    <cellStyle name="20 % - Aksentti1 43" xfId="25884" xr:uid="{00000000-0005-0000-0000-0000D7020000}"/>
    <cellStyle name="20 % - Aksentti1 44" xfId="25548" xr:uid="{00000000-0005-0000-0000-0000D8020000}"/>
    <cellStyle name="20 % - Aksentti1 5" xfId="563" xr:uid="{00000000-0005-0000-0000-0000D9020000}"/>
    <cellStyle name="20 % - Aksentti1 5 10" xfId="564" xr:uid="{00000000-0005-0000-0000-0000DA020000}"/>
    <cellStyle name="20 % - Aksentti1 5 10 2" xfId="5880" xr:uid="{00000000-0005-0000-0000-0000DB020000}"/>
    <cellStyle name="20 % - Aksentti1 5 10 3" xfId="14091" xr:uid="{00000000-0005-0000-0000-0000DC020000}"/>
    <cellStyle name="20 % - Aksentti1 5 10_DataIX" xfId="29368" xr:uid="{00000000-0005-0000-0000-0000DD020000}"/>
    <cellStyle name="20 % - Aksentti1 5 11" xfId="5879" xr:uid="{00000000-0005-0000-0000-0000DE020000}"/>
    <cellStyle name="20 % - Aksentti1 5 12" xfId="14090" xr:uid="{00000000-0005-0000-0000-0000DF020000}"/>
    <cellStyle name="20 % - Aksentti1 5 2" xfId="565" xr:uid="{00000000-0005-0000-0000-0000E0020000}"/>
    <cellStyle name="20 % - Aksentti1 5 2 2" xfId="566" xr:uid="{00000000-0005-0000-0000-0000E1020000}"/>
    <cellStyle name="20 % - Aksentti1 5 2 2 2" xfId="567" xr:uid="{00000000-0005-0000-0000-0000E2020000}"/>
    <cellStyle name="20 % - Aksentti1 5 2 2 2 2" xfId="5883" xr:uid="{00000000-0005-0000-0000-0000E3020000}"/>
    <cellStyle name="20 % - Aksentti1 5 2 2 2 3" xfId="14094" xr:uid="{00000000-0005-0000-0000-0000E4020000}"/>
    <cellStyle name="20 % - Aksentti1 5 2 2 2_DataIX" xfId="29371" xr:uid="{00000000-0005-0000-0000-0000E5020000}"/>
    <cellStyle name="20 % - Aksentti1 5 2 2 3" xfId="5882" xr:uid="{00000000-0005-0000-0000-0000E6020000}"/>
    <cellStyle name="20 % - Aksentti1 5 2 2 4" xfId="14093" xr:uid="{00000000-0005-0000-0000-0000E7020000}"/>
    <cellStyle name="20 % - Aksentti1 5 2 2_DataIX" xfId="29370" xr:uid="{00000000-0005-0000-0000-0000E8020000}"/>
    <cellStyle name="20 % - Aksentti1 5 2 3" xfId="568" xr:uid="{00000000-0005-0000-0000-0000E9020000}"/>
    <cellStyle name="20 % - Aksentti1 5 2 3 2" xfId="5884" xr:uid="{00000000-0005-0000-0000-0000EA020000}"/>
    <cellStyle name="20 % - Aksentti1 5 2 3 3" xfId="14095" xr:uid="{00000000-0005-0000-0000-0000EB020000}"/>
    <cellStyle name="20 % - Aksentti1 5 2 3_DataIX" xfId="29372" xr:uid="{00000000-0005-0000-0000-0000EC020000}"/>
    <cellStyle name="20 % - Aksentti1 5 2 4" xfId="5881" xr:uid="{00000000-0005-0000-0000-0000ED020000}"/>
    <cellStyle name="20 % - Aksentti1 5 2 5" xfId="14092" xr:uid="{00000000-0005-0000-0000-0000EE020000}"/>
    <cellStyle name="20 % - Aksentti1 5 2_DataIX" xfId="29369" xr:uid="{00000000-0005-0000-0000-0000EF020000}"/>
    <cellStyle name="20 % - Aksentti1 5 3" xfId="569" xr:uid="{00000000-0005-0000-0000-0000F0020000}"/>
    <cellStyle name="20 % - Aksentti1 5 3 2" xfId="570" xr:uid="{00000000-0005-0000-0000-0000F1020000}"/>
    <cellStyle name="20 % - Aksentti1 5 3 2 2" xfId="5886" xr:uid="{00000000-0005-0000-0000-0000F2020000}"/>
    <cellStyle name="20 % - Aksentti1 5 3 2 3" xfId="14097" xr:uid="{00000000-0005-0000-0000-0000F3020000}"/>
    <cellStyle name="20 % - Aksentti1 5 3 2_DataIX" xfId="29374" xr:uid="{00000000-0005-0000-0000-0000F4020000}"/>
    <cellStyle name="20 % - Aksentti1 5 3 3" xfId="5885" xr:uid="{00000000-0005-0000-0000-0000F5020000}"/>
    <cellStyle name="20 % - Aksentti1 5 3 4" xfId="14096" xr:uid="{00000000-0005-0000-0000-0000F6020000}"/>
    <cellStyle name="20 % - Aksentti1 5 3_DataIX" xfId="29373" xr:uid="{00000000-0005-0000-0000-0000F7020000}"/>
    <cellStyle name="20 % - Aksentti1 5 4" xfId="571" xr:uid="{00000000-0005-0000-0000-0000F8020000}"/>
    <cellStyle name="20 % - Aksentti1 5 4 2" xfId="5887" xr:uid="{00000000-0005-0000-0000-0000F9020000}"/>
    <cellStyle name="20 % - Aksentti1 5 4 3" xfId="14098" xr:uid="{00000000-0005-0000-0000-0000FA020000}"/>
    <cellStyle name="20 % - Aksentti1 5 4_DataIX" xfId="29375" xr:uid="{00000000-0005-0000-0000-0000FB020000}"/>
    <cellStyle name="20 % - Aksentti1 5 5" xfId="572" xr:uid="{00000000-0005-0000-0000-0000FC020000}"/>
    <cellStyle name="20 % - Aksentti1 5 5 2" xfId="5888" xr:uid="{00000000-0005-0000-0000-0000FD020000}"/>
    <cellStyle name="20 % - Aksentti1 5 5 3" xfId="14099" xr:uid="{00000000-0005-0000-0000-0000FE020000}"/>
    <cellStyle name="20 % - Aksentti1 5 5_DataIX" xfId="29376" xr:uid="{00000000-0005-0000-0000-0000FF020000}"/>
    <cellStyle name="20 % - Aksentti1 5 6" xfId="573" xr:uid="{00000000-0005-0000-0000-000000030000}"/>
    <cellStyle name="20 % - Aksentti1 5 6 2" xfId="5889" xr:uid="{00000000-0005-0000-0000-000001030000}"/>
    <cellStyle name="20 % - Aksentti1 5 6 3" xfId="14100" xr:uid="{00000000-0005-0000-0000-000002030000}"/>
    <cellStyle name="20 % - Aksentti1 5 6_DataIX" xfId="29377" xr:uid="{00000000-0005-0000-0000-000003030000}"/>
    <cellStyle name="20 % - Aksentti1 5 7" xfId="574" xr:uid="{00000000-0005-0000-0000-000004030000}"/>
    <cellStyle name="20 % - Aksentti1 5 7 2" xfId="5890" xr:uid="{00000000-0005-0000-0000-000005030000}"/>
    <cellStyle name="20 % - Aksentti1 5 7 3" xfId="14101" xr:uid="{00000000-0005-0000-0000-000006030000}"/>
    <cellStyle name="20 % - Aksentti1 5 7_DataIX" xfId="29378" xr:uid="{00000000-0005-0000-0000-000007030000}"/>
    <cellStyle name="20 % - Aksentti1 5 8" xfId="575" xr:uid="{00000000-0005-0000-0000-000008030000}"/>
    <cellStyle name="20 % - Aksentti1 5 8 2" xfId="5891" xr:uid="{00000000-0005-0000-0000-000009030000}"/>
    <cellStyle name="20 % - Aksentti1 5 8 3" xfId="14102" xr:uid="{00000000-0005-0000-0000-00000A030000}"/>
    <cellStyle name="20 % - Aksentti1 5 8_DataIX" xfId="29379" xr:uid="{00000000-0005-0000-0000-00000B030000}"/>
    <cellStyle name="20 % - Aksentti1 5 9" xfId="576" xr:uid="{00000000-0005-0000-0000-00000C030000}"/>
    <cellStyle name="20 % - Aksentti1 5 9 2" xfId="5892" xr:uid="{00000000-0005-0000-0000-00000D030000}"/>
    <cellStyle name="20 % - Aksentti1 5 9 3" xfId="14103" xr:uid="{00000000-0005-0000-0000-00000E030000}"/>
    <cellStyle name="20 % - Aksentti1 5 9_DataIX" xfId="29380" xr:uid="{00000000-0005-0000-0000-00000F030000}"/>
    <cellStyle name="20 % - Aksentti1 5_DataIX" xfId="29367" xr:uid="{00000000-0005-0000-0000-000010030000}"/>
    <cellStyle name="20 % - Aksentti1 6" xfId="577" xr:uid="{00000000-0005-0000-0000-000011030000}"/>
    <cellStyle name="20 % - Aksentti1 6 10" xfId="578" xr:uid="{00000000-0005-0000-0000-000012030000}"/>
    <cellStyle name="20 % - Aksentti1 6 10 2" xfId="5894" xr:uid="{00000000-0005-0000-0000-000013030000}"/>
    <cellStyle name="20 % - Aksentti1 6 10 3" xfId="14105" xr:uid="{00000000-0005-0000-0000-000014030000}"/>
    <cellStyle name="20 % - Aksentti1 6 10_DataIX" xfId="29382" xr:uid="{00000000-0005-0000-0000-000015030000}"/>
    <cellStyle name="20 % - Aksentti1 6 11" xfId="5893" xr:uid="{00000000-0005-0000-0000-000016030000}"/>
    <cellStyle name="20 % - Aksentti1 6 12" xfId="14104" xr:uid="{00000000-0005-0000-0000-000017030000}"/>
    <cellStyle name="20 % - Aksentti1 6 2" xfId="579" xr:uid="{00000000-0005-0000-0000-000018030000}"/>
    <cellStyle name="20 % - Aksentti1 6 2 2" xfId="580" xr:uid="{00000000-0005-0000-0000-000019030000}"/>
    <cellStyle name="20 % - Aksentti1 6 2 2 2" xfId="581" xr:uid="{00000000-0005-0000-0000-00001A030000}"/>
    <cellStyle name="20 % - Aksentti1 6 2 2 2 2" xfId="5897" xr:uid="{00000000-0005-0000-0000-00001B030000}"/>
    <cellStyle name="20 % - Aksentti1 6 2 2 2 3" xfId="14108" xr:uid="{00000000-0005-0000-0000-00001C030000}"/>
    <cellStyle name="20 % - Aksentti1 6 2 2 2_DataIX" xfId="29385" xr:uid="{00000000-0005-0000-0000-00001D030000}"/>
    <cellStyle name="20 % - Aksentti1 6 2 2 3" xfId="5896" xr:uid="{00000000-0005-0000-0000-00001E030000}"/>
    <cellStyle name="20 % - Aksentti1 6 2 2 4" xfId="14107" xr:uid="{00000000-0005-0000-0000-00001F030000}"/>
    <cellStyle name="20 % - Aksentti1 6 2 2_DataIX" xfId="29384" xr:uid="{00000000-0005-0000-0000-000020030000}"/>
    <cellStyle name="20 % - Aksentti1 6 2 3" xfId="582" xr:uid="{00000000-0005-0000-0000-000021030000}"/>
    <cellStyle name="20 % - Aksentti1 6 2 3 2" xfId="5898" xr:uid="{00000000-0005-0000-0000-000022030000}"/>
    <cellStyle name="20 % - Aksentti1 6 2 3 3" xfId="14109" xr:uid="{00000000-0005-0000-0000-000023030000}"/>
    <cellStyle name="20 % - Aksentti1 6 2 3_DataIX" xfId="29386" xr:uid="{00000000-0005-0000-0000-000024030000}"/>
    <cellStyle name="20 % - Aksentti1 6 2 4" xfId="5895" xr:uid="{00000000-0005-0000-0000-000025030000}"/>
    <cellStyle name="20 % - Aksentti1 6 2 5" xfId="14106" xr:uid="{00000000-0005-0000-0000-000026030000}"/>
    <cellStyle name="20 % - Aksentti1 6 2_DataIX" xfId="29383" xr:uid="{00000000-0005-0000-0000-000027030000}"/>
    <cellStyle name="20 % - Aksentti1 6 3" xfId="583" xr:uid="{00000000-0005-0000-0000-000028030000}"/>
    <cellStyle name="20 % - Aksentti1 6 3 2" xfId="584" xr:uid="{00000000-0005-0000-0000-000029030000}"/>
    <cellStyle name="20 % - Aksentti1 6 3 2 2" xfId="5900" xr:uid="{00000000-0005-0000-0000-00002A030000}"/>
    <cellStyle name="20 % - Aksentti1 6 3 2 3" xfId="14111" xr:uid="{00000000-0005-0000-0000-00002B030000}"/>
    <cellStyle name="20 % - Aksentti1 6 3 2_DataIX" xfId="29388" xr:uid="{00000000-0005-0000-0000-00002C030000}"/>
    <cellStyle name="20 % - Aksentti1 6 3 3" xfId="5899" xr:uid="{00000000-0005-0000-0000-00002D030000}"/>
    <cellStyle name="20 % - Aksentti1 6 3 4" xfId="14110" xr:uid="{00000000-0005-0000-0000-00002E030000}"/>
    <cellStyle name="20 % - Aksentti1 6 3_DataIX" xfId="29387" xr:uid="{00000000-0005-0000-0000-00002F030000}"/>
    <cellStyle name="20 % - Aksentti1 6 4" xfId="585" xr:uid="{00000000-0005-0000-0000-000030030000}"/>
    <cellStyle name="20 % - Aksentti1 6 4 2" xfId="5901" xr:uid="{00000000-0005-0000-0000-000031030000}"/>
    <cellStyle name="20 % - Aksentti1 6 4 3" xfId="14112" xr:uid="{00000000-0005-0000-0000-000032030000}"/>
    <cellStyle name="20 % - Aksentti1 6 4_DataIX" xfId="29389" xr:uid="{00000000-0005-0000-0000-000033030000}"/>
    <cellStyle name="20 % - Aksentti1 6 5" xfId="586" xr:uid="{00000000-0005-0000-0000-000034030000}"/>
    <cellStyle name="20 % - Aksentti1 6 5 2" xfId="5902" xr:uid="{00000000-0005-0000-0000-000035030000}"/>
    <cellStyle name="20 % - Aksentti1 6 5 3" xfId="14113" xr:uid="{00000000-0005-0000-0000-000036030000}"/>
    <cellStyle name="20 % - Aksentti1 6 5_DataIX" xfId="29390" xr:uid="{00000000-0005-0000-0000-000037030000}"/>
    <cellStyle name="20 % - Aksentti1 6 6" xfId="587" xr:uid="{00000000-0005-0000-0000-000038030000}"/>
    <cellStyle name="20 % - Aksentti1 6 6 2" xfId="5903" xr:uid="{00000000-0005-0000-0000-000039030000}"/>
    <cellStyle name="20 % - Aksentti1 6 6 3" xfId="14114" xr:uid="{00000000-0005-0000-0000-00003A030000}"/>
    <cellStyle name="20 % - Aksentti1 6 6_DataIX" xfId="29391" xr:uid="{00000000-0005-0000-0000-00003B030000}"/>
    <cellStyle name="20 % - Aksentti1 6 7" xfId="588" xr:uid="{00000000-0005-0000-0000-00003C030000}"/>
    <cellStyle name="20 % - Aksentti1 6 7 2" xfId="5904" xr:uid="{00000000-0005-0000-0000-00003D030000}"/>
    <cellStyle name="20 % - Aksentti1 6 7 3" xfId="14115" xr:uid="{00000000-0005-0000-0000-00003E030000}"/>
    <cellStyle name="20 % - Aksentti1 6 7_DataIX" xfId="29392" xr:uid="{00000000-0005-0000-0000-00003F030000}"/>
    <cellStyle name="20 % - Aksentti1 6 8" xfId="589" xr:uid="{00000000-0005-0000-0000-000040030000}"/>
    <cellStyle name="20 % - Aksentti1 6 8 2" xfId="5905" xr:uid="{00000000-0005-0000-0000-000041030000}"/>
    <cellStyle name="20 % - Aksentti1 6 8 3" xfId="14116" xr:uid="{00000000-0005-0000-0000-000042030000}"/>
    <cellStyle name="20 % - Aksentti1 6 8_DataIX" xfId="29393" xr:uid="{00000000-0005-0000-0000-000043030000}"/>
    <cellStyle name="20 % - Aksentti1 6 9" xfId="590" xr:uid="{00000000-0005-0000-0000-000044030000}"/>
    <cellStyle name="20 % - Aksentti1 6 9 2" xfId="5906" xr:uid="{00000000-0005-0000-0000-000045030000}"/>
    <cellStyle name="20 % - Aksentti1 6 9 3" xfId="14117" xr:uid="{00000000-0005-0000-0000-000046030000}"/>
    <cellStyle name="20 % - Aksentti1 6 9_DataIX" xfId="29394" xr:uid="{00000000-0005-0000-0000-000047030000}"/>
    <cellStyle name="20 % - Aksentti1 6_DataIX" xfId="29381" xr:uid="{00000000-0005-0000-0000-000048030000}"/>
    <cellStyle name="20 % - Aksentti1 7" xfId="591" xr:uid="{00000000-0005-0000-0000-000049030000}"/>
    <cellStyle name="20 % - Aksentti1 7 10" xfId="592" xr:uid="{00000000-0005-0000-0000-00004A030000}"/>
    <cellStyle name="20 % - Aksentti1 7 10 2" xfId="5908" xr:uid="{00000000-0005-0000-0000-00004B030000}"/>
    <cellStyle name="20 % - Aksentti1 7 10 3" xfId="14119" xr:uid="{00000000-0005-0000-0000-00004C030000}"/>
    <cellStyle name="20 % - Aksentti1 7 10_DataIX" xfId="29396" xr:uid="{00000000-0005-0000-0000-00004D030000}"/>
    <cellStyle name="20 % - Aksentti1 7 11" xfId="5907" xr:uid="{00000000-0005-0000-0000-00004E030000}"/>
    <cellStyle name="20 % - Aksentti1 7 12" xfId="14118" xr:uid="{00000000-0005-0000-0000-00004F030000}"/>
    <cellStyle name="20 % - Aksentti1 7 2" xfId="593" xr:uid="{00000000-0005-0000-0000-000050030000}"/>
    <cellStyle name="20 % - Aksentti1 7 2 2" xfId="594" xr:uid="{00000000-0005-0000-0000-000051030000}"/>
    <cellStyle name="20 % - Aksentti1 7 2 2 2" xfId="595" xr:uid="{00000000-0005-0000-0000-000052030000}"/>
    <cellStyle name="20 % - Aksentti1 7 2 2 2 2" xfId="5911" xr:uid="{00000000-0005-0000-0000-000053030000}"/>
    <cellStyle name="20 % - Aksentti1 7 2 2 2 3" xfId="14122" xr:uid="{00000000-0005-0000-0000-000054030000}"/>
    <cellStyle name="20 % - Aksentti1 7 2 2 2_DataIX" xfId="29399" xr:uid="{00000000-0005-0000-0000-000055030000}"/>
    <cellStyle name="20 % - Aksentti1 7 2 2 3" xfId="5910" xr:uid="{00000000-0005-0000-0000-000056030000}"/>
    <cellStyle name="20 % - Aksentti1 7 2 2 4" xfId="14121" xr:uid="{00000000-0005-0000-0000-000057030000}"/>
    <cellStyle name="20 % - Aksentti1 7 2 2_DataIX" xfId="29398" xr:uid="{00000000-0005-0000-0000-000058030000}"/>
    <cellStyle name="20 % - Aksentti1 7 2 3" xfId="596" xr:uid="{00000000-0005-0000-0000-000059030000}"/>
    <cellStyle name="20 % - Aksentti1 7 2 3 2" xfId="5912" xr:uid="{00000000-0005-0000-0000-00005A030000}"/>
    <cellStyle name="20 % - Aksentti1 7 2 3 3" xfId="14123" xr:uid="{00000000-0005-0000-0000-00005B030000}"/>
    <cellStyle name="20 % - Aksentti1 7 2 3_DataIX" xfId="29400" xr:uid="{00000000-0005-0000-0000-00005C030000}"/>
    <cellStyle name="20 % - Aksentti1 7 2 4" xfId="5909" xr:uid="{00000000-0005-0000-0000-00005D030000}"/>
    <cellStyle name="20 % - Aksentti1 7 2 5" xfId="14120" xr:uid="{00000000-0005-0000-0000-00005E030000}"/>
    <cellStyle name="20 % - Aksentti1 7 2_DataIX" xfId="29397" xr:uid="{00000000-0005-0000-0000-00005F030000}"/>
    <cellStyle name="20 % - Aksentti1 7 3" xfId="597" xr:uid="{00000000-0005-0000-0000-000060030000}"/>
    <cellStyle name="20 % - Aksentti1 7 3 2" xfId="598" xr:uid="{00000000-0005-0000-0000-000061030000}"/>
    <cellStyle name="20 % - Aksentti1 7 3 2 2" xfId="5914" xr:uid="{00000000-0005-0000-0000-000062030000}"/>
    <cellStyle name="20 % - Aksentti1 7 3 2 3" xfId="14125" xr:uid="{00000000-0005-0000-0000-000063030000}"/>
    <cellStyle name="20 % - Aksentti1 7 3 2_DataIX" xfId="29402" xr:uid="{00000000-0005-0000-0000-000064030000}"/>
    <cellStyle name="20 % - Aksentti1 7 3 3" xfId="5913" xr:uid="{00000000-0005-0000-0000-000065030000}"/>
    <cellStyle name="20 % - Aksentti1 7 3 4" xfId="14124" xr:uid="{00000000-0005-0000-0000-000066030000}"/>
    <cellStyle name="20 % - Aksentti1 7 3_DataIX" xfId="29401" xr:uid="{00000000-0005-0000-0000-000067030000}"/>
    <cellStyle name="20 % - Aksentti1 7 4" xfId="599" xr:uid="{00000000-0005-0000-0000-000068030000}"/>
    <cellStyle name="20 % - Aksentti1 7 4 2" xfId="5915" xr:uid="{00000000-0005-0000-0000-000069030000}"/>
    <cellStyle name="20 % - Aksentti1 7 4 3" xfId="14126" xr:uid="{00000000-0005-0000-0000-00006A030000}"/>
    <cellStyle name="20 % - Aksentti1 7 4_DataIX" xfId="29403" xr:uid="{00000000-0005-0000-0000-00006B030000}"/>
    <cellStyle name="20 % - Aksentti1 7 5" xfId="600" xr:uid="{00000000-0005-0000-0000-00006C030000}"/>
    <cellStyle name="20 % - Aksentti1 7 5 2" xfId="5916" xr:uid="{00000000-0005-0000-0000-00006D030000}"/>
    <cellStyle name="20 % - Aksentti1 7 5 3" xfId="14127" xr:uid="{00000000-0005-0000-0000-00006E030000}"/>
    <cellStyle name="20 % - Aksentti1 7 5_DataIX" xfId="29404" xr:uid="{00000000-0005-0000-0000-00006F030000}"/>
    <cellStyle name="20 % - Aksentti1 7 6" xfId="601" xr:uid="{00000000-0005-0000-0000-000070030000}"/>
    <cellStyle name="20 % - Aksentti1 7 6 2" xfId="5917" xr:uid="{00000000-0005-0000-0000-000071030000}"/>
    <cellStyle name="20 % - Aksentti1 7 6 3" xfId="14128" xr:uid="{00000000-0005-0000-0000-000072030000}"/>
    <cellStyle name="20 % - Aksentti1 7 6_DataIX" xfId="29405" xr:uid="{00000000-0005-0000-0000-000073030000}"/>
    <cellStyle name="20 % - Aksentti1 7 7" xfId="602" xr:uid="{00000000-0005-0000-0000-000074030000}"/>
    <cellStyle name="20 % - Aksentti1 7 7 2" xfId="5918" xr:uid="{00000000-0005-0000-0000-000075030000}"/>
    <cellStyle name="20 % - Aksentti1 7 7 3" xfId="14129" xr:uid="{00000000-0005-0000-0000-000076030000}"/>
    <cellStyle name="20 % - Aksentti1 7 7_DataIX" xfId="29406" xr:uid="{00000000-0005-0000-0000-000077030000}"/>
    <cellStyle name="20 % - Aksentti1 7 8" xfId="603" xr:uid="{00000000-0005-0000-0000-000078030000}"/>
    <cellStyle name="20 % - Aksentti1 7 8 2" xfId="5919" xr:uid="{00000000-0005-0000-0000-000079030000}"/>
    <cellStyle name="20 % - Aksentti1 7 8 3" xfId="14130" xr:uid="{00000000-0005-0000-0000-00007A030000}"/>
    <cellStyle name="20 % - Aksentti1 7 8_DataIX" xfId="29407" xr:uid="{00000000-0005-0000-0000-00007B030000}"/>
    <cellStyle name="20 % - Aksentti1 7 9" xfId="604" xr:uid="{00000000-0005-0000-0000-00007C030000}"/>
    <cellStyle name="20 % - Aksentti1 7 9 2" xfId="5920" xr:uid="{00000000-0005-0000-0000-00007D030000}"/>
    <cellStyle name="20 % - Aksentti1 7 9 3" xfId="14131" xr:uid="{00000000-0005-0000-0000-00007E030000}"/>
    <cellStyle name="20 % - Aksentti1 7 9_DataIX" xfId="29408" xr:uid="{00000000-0005-0000-0000-00007F030000}"/>
    <cellStyle name="20 % - Aksentti1 7_DataIX" xfId="29395" xr:uid="{00000000-0005-0000-0000-000080030000}"/>
    <cellStyle name="20 % - Aksentti1 8" xfId="605" xr:uid="{00000000-0005-0000-0000-000081030000}"/>
    <cellStyle name="20 % - Aksentti1 8 10" xfId="606" xr:uid="{00000000-0005-0000-0000-000082030000}"/>
    <cellStyle name="20 % - Aksentti1 8 10 2" xfId="5922" xr:uid="{00000000-0005-0000-0000-000083030000}"/>
    <cellStyle name="20 % - Aksentti1 8 10 3" xfId="14133" xr:uid="{00000000-0005-0000-0000-000084030000}"/>
    <cellStyle name="20 % - Aksentti1 8 10_DataIX" xfId="29410" xr:uid="{00000000-0005-0000-0000-000085030000}"/>
    <cellStyle name="20 % - Aksentti1 8 11" xfId="5921" xr:uid="{00000000-0005-0000-0000-000086030000}"/>
    <cellStyle name="20 % - Aksentti1 8 12" xfId="14132" xr:uid="{00000000-0005-0000-0000-000087030000}"/>
    <cellStyle name="20 % - Aksentti1 8 2" xfId="607" xr:uid="{00000000-0005-0000-0000-000088030000}"/>
    <cellStyle name="20 % - Aksentti1 8 2 2" xfId="608" xr:uid="{00000000-0005-0000-0000-000089030000}"/>
    <cellStyle name="20 % - Aksentti1 8 2 2 2" xfId="609" xr:uid="{00000000-0005-0000-0000-00008A030000}"/>
    <cellStyle name="20 % - Aksentti1 8 2 2 2 2" xfId="5925" xr:uid="{00000000-0005-0000-0000-00008B030000}"/>
    <cellStyle name="20 % - Aksentti1 8 2 2 2 3" xfId="14136" xr:uid="{00000000-0005-0000-0000-00008C030000}"/>
    <cellStyle name="20 % - Aksentti1 8 2 2 2_DataIX" xfId="29413" xr:uid="{00000000-0005-0000-0000-00008D030000}"/>
    <cellStyle name="20 % - Aksentti1 8 2 2 3" xfId="5924" xr:uid="{00000000-0005-0000-0000-00008E030000}"/>
    <cellStyle name="20 % - Aksentti1 8 2 2 4" xfId="14135" xr:uid="{00000000-0005-0000-0000-00008F030000}"/>
    <cellStyle name="20 % - Aksentti1 8 2 2_DataIX" xfId="29412" xr:uid="{00000000-0005-0000-0000-000090030000}"/>
    <cellStyle name="20 % - Aksentti1 8 2 3" xfId="610" xr:uid="{00000000-0005-0000-0000-000091030000}"/>
    <cellStyle name="20 % - Aksentti1 8 2 3 2" xfId="5926" xr:uid="{00000000-0005-0000-0000-000092030000}"/>
    <cellStyle name="20 % - Aksentti1 8 2 3 3" xfId="14137" xr:uid="{00000000-0005-0000-0000-000093030000}"/>
    <cellStyle name="20 % - Aksentti1 8 2 3_DataIX" xfId="29414" xr:uid="{00000000-0005-0000-0000-000094030000}"/>
    <cellStyle name="20 % - Aksentti1 8 2 4" xfId="5923" xr:uid="{00000000-0005-0000-0000-000095030000}"/>
    <cellStyle name="20 % - Aksentti1 8 2 5" xfId="14134" xr:uid="{00000000-0005-0000-0000-000096030000}"/>
    <cellStyle name="20 % - Aksentti1 8 2_DataIX" xfId="29411" xr:uid="{00000000-0005-0000-0000-000097030000}"/>
    <cellStyle name="20 % - Aksentti1 8 3" xfId="611" xr:uid="{00000000-0005-0000-0000-000098030000}"/>
    <cellStyle name="20 % - Aksentti1 8 3 2" xfId="612" xr:uid="{00000000-0005-0000-0000-000099030000}"/>
    <cellStyle name="20 % - Aksentti1 8 3 2 2" xfId="5928" xr:uid="{00000000-0005-0000-0000-00009A030000}"/>
    <cellStyle name="20 % - Aksentti1 8 3 2 3" xfId="14139" xr:uid="{00000000-0005-0000-0000-00009B030000}"/>
    <cellStyle name="20 % - Aksentti1 8 3 2_DataIX" xfId="29416" xr:uid="{00000000-0005-0000-0000-00009C030000}"/>
    <cellStyle name="20 % - Aksentti1 8 3 3" xfId="5927" xr:uid="{00000000-0005-0000-0000-00009D030000}"/>
    <cellStyle name="20 % - Aksentti1 8 3 4" xfId="14138" xr:uid="{00000000-0005-0000-0000-00009E030000}"/>
    <cellStyle name="20 % - Aksentti1 8 3_DataIX" xfId="29415" xr:uid="{00000000-0005-0000-0000-00009F030000}"/>
    <cellStyle name="20 % - Aksentti1 8 4" xfId="613" xr:uid="{00000000-0005-0000-0000-0000A0030000}"/>
    <cellStyle name="20 % - Aksentti1 8 4 2" xfId="5929" xr:uid="{00000000-0005-0000-0000-0000A1030000}"/>
    <cellStyle name="20 % - Aksentti1 8 4 3" xfId="14140" xr:uid="{00000000-0005-0000-0000-0000A2030000}"/>
    <cellStyle name="20 % - Aksentti1 8 4_DataIX" xfId="29417" xr:uid="{00000000-0005-0000-0000-0000A3030000}"/>
    <cellStyle name="20 % - Aksentti1 8 5" xfId="614" xr:uid="{00000000-0005-0000-0000-0000A4030000}"/>
    <cellStyle name="20 % - Aksentti1 8 5 2" xfId="5930" xr:uid="{00000000-0005-0000-0000-0000A5030000}"/>
    <cellStyle name="20 % - Aksentti1 8 5 3" xfId="14141" xr:uid="{00000000-0005-0000-0000-0000A6030000}"/>
    <cellStyle name="20 % - Aksentti1 8 5_DataIX" xfId="29418" xr:uid="{00000000-0005-0000-0000-0000A7030000}"/>
    <cellStyle name="20 % - Aksentti1 8 6" xfId="615" xr:uid="{00000000-0005-0000-0000-0000A8030000}"/>
    <cellStyle name="20 % - Aksentti1 8 6 2" xfId="5931" xr:uid="{00000000-0005-0000-0000-0000A9030000}"/>
    <cellStyle name="20 % - Aksentti1 8 6 3" xfId="14142" xr:uid="{00000000-0005-0000-0000-0000AA030000}"/>
    <cellStyle name="20 % - Aksentti1 8 6_DataIX" xfId="29419" xr:uid="{00000000-0005-0000-0000-0000AB030000}"/>
    <cellStyle name="20 % - Aksentti1 8 7" xfId="616" xr:uid="{00000000-0005-0000-0000-0000AC030000}"/>
    <cellStyle name="20 % - Aksentti1 8 7 2" xfId="5932" xr:uid="{00000000-0005-0000-0000-0000AD030000}"/>
    <cellStyle name="20 % - Aksentti1 8 7 3" xfId="14143" xr:uid="{00000000-0005-0000-0000-0000AE030000}"/>
    <cellStyle name="20 % - Aksentti1 8 7_DataIX" xfId="29420" xr:uid="{00000000-0005-0000-0000-0000AF030000}"/>
    <cellStyle name="20 % - Aksentti1 8 8" xfId="617" xr:uid="{00000000-0005-0000-0000-0000B0030000}"/>
    <cellStyle name="20 % - Aksentti1 8 8 2" xfId="5933" xr:uid="{00000000-0005-0000-0000-0000B1030000}"/>
    <cellStyle name="20 % - Aksentti1 8 8 3" xfId="14144" xr:uid="{00000000-0005-0000-0000-0000B2030000}"/>
    <cellStyle name="20 % - Aksentti1 8 8_DataIX" xfId="29421" xr:uid="{00000000-0005-0000-0000-0000B3030000}"/>
    <cellStyle name="20 % - Aksentti1 8 9" xfId="618" xr:uid="{00000000-0005-0000-0000-0000B4030000}"/>
    <cellStyle name="20 % - Aksentti1 8 9 2" xfId="5934" xr:uid="{00000000-0005-0000-0000-0000B5030000}"/>
    <cellStyle name="20 % - Aksentti1 8 9 3" xfId="14145" xr:uid="{00000000-0005-0000-0000-0000B6030000}"/>
    <cellStyle name="20 % - Aksentti1 8 9_DataIX" xfId="29422" xr:uid="{00000000-0005-0000-0000-0000B7030000}"/>
    <cellStyle name="20 % - Aksentti1 8_DataIX" xfId="29409" xr:uid="{00000000-0005-0000-0000-0000B8030000}"/>
    <cellStyle name="20 % - Aksentti1 9" xfId="619" xr:uid="{00000000-0005-0000-0000-0000B9030000}"/>
    <cellStyle name="20 % - Aksentti1 9 10" xfId="620" xr:uid="{00000000-0005-0000-0000-0000BA030000}"/>
    <cellStyle name="20 % - Aksentti1 9 10 2" xfId="5936" xr:uid="{00000000-0005-0000-0000-0000BB030000}"/>
    <cellStyle name="20 % - Aksentti1 9 10 3" xfId="14147" xr:uid="{00000000-0005-0000-0000-0000BC030000}"/>
    <cellStyle name="20 % - Aksentti1 9 10_DataIX" xfId="29424" xr:uid="{00000000-0005-0000-0000-0000BD030000}"/>
    <cellStyle name="20 % - Aksentti1 9 11" xfId="5935" xr:uid="{00000000-0005-0000-0000-0000BE030000}"/>
    <cellStyle name="20 % - Aksentti1 9 12" xfId="14146" xr:uid="{00000000-0005-0000-0000-0000BF030000}"/>
    <cellStyle name="20 % - Aksentti1 9 2" xfId="621" xr:uid="{00000000-0005-0000-0000-0000C0030000}"/>
    <cellStyle name="20 % - Aksentti1 9 2 2" xfId="622" xr:uid="{00000000-0005-0000-0000-0000C1030000}"/>
    <cellStyle name="20 % - Aksentti1 9 2 2 2" xfId="623" xr:uid="{00000000-0005-0000-0000-0000C2030000}"/>
    <cellStyle name="20 % - Aksentti1 9 2 2 2 2" xfId="5939" xr:uid="{00000000-0005-0000-0000-0000C3030000}"/>
    <cellStyle name="20 % - Aksentti1 9 2 2 2 3" xfId="14150" xr:uid="{00000000-0005-0000-0000-0000C4030000}"/>
    <cellStyle name="20 % - Aksentti1 9 2 2 2_DataIX" xfId="29427" xr:uid="{00000000-0005-0000-0000-0000C5030000}"/>
    <cellStyle name="20 % - Aksentti1 9 2 2 3" xfId="5938" xr:uid="{00000000-0005-0000-0000-0000C6030000}"/>
    <cellStyle name="20 % - Aksentti1 9 2 2 4" xfId="14149" xr:uid="{00000000-0005-0000-0000-0000C7030000}"/>
    <cellStyle name="20 % - Aksentti1 9 2 2_DataIX" xfId="29426" xr:uid="{00000000-0005-0000-0000-0000C8030000}"/>
    <cellStyle name="20 % - Aksentti1 9 2 3" xfId="624" xr:uid="{00000000-0005-0000-0000-0000C9030000}"/>
    <cellStyle name="20 % - Aksentti1 9 2 3 2" xfId="5940" xr:uid="{00000000-0005-0000-0000-0000CA030000}"/>
    <cellStyle name="20 % - Aksentti1 9 2 3 3" xfId="14151" xr:uid="{00000000-0005-0000-0000-0000CB030000}"/>
    <cellStyle name="20 % - Aksentti1 9 2 3_DataIX" xfId="29428" xr:uid="{00000000-0005-0000-0000-0000CC030000}"/>
    <cellStyle name="20 % - Aksentti1 9 2 4" xfId="5937" xr:uid="{00000000-0005-0000-0000-0000CD030000}"/>
    <cellStyle name="20 % - Aksentti1 9 2 5" xfId="14148" xr:uid="{00000000-0005-0000-0000-0000CE030000}"/>
    <cellStyle name="20 % - Aksentti1 9 2_DataIX" xfId="29425" xr:uid="{00000000-0005-0000-0000-0000CF030000}"/>
    <cellStyle name="20 % - Aksentti1 9 3" xfId="625" xr:uid="{00000000-0005-0000-0000-0000D0030000}"/>
    <cellStyle name="20 % - Aksentti1 9 3 2" xfId="626" xr:uid="{00000000-0005-0000-0000-0000D1030000}"/>
    <cellStyle name="20 % - Aksentti1 9 3 2 2" xfId="5942" xr:uid="{00000000-0005-0000-0000-0000D2030000}"/>
    <cellStyle name="20 % - Aksentti1 9 3 2 3" xfId="14153" xr:uid="{00000000-0005-0000-0000-0000D3030000}"/>
    <cellStyle name="20 % - Aksentti1 9 3 2_DataIX" xfId="29430" xr:uid="{00000000-0005-0000-0000-0000D4030000}"/>
    <cellStyle name="20 % - Aksentti1 9 3 3" xfId="5941" xr:uid="{00000000-0005-0000-0000-0000D5030000}"/>
    <cellStyle name="20 % - Aksentti1 9 3 4" xfId="14152" xr:uid="{00000000-0005-0000-0000-0000D6030000}"/>
    <cellStyle name="20 % - Aksentti1 9 3_DataIX" xfId="29429" xr:uid="{00000000-0005-0000-0000-0000D7030000}"/>
    <cellStyle name="20 % - Aksentti1 9 4" xfId="627" xr:uid="{00000000-0005-0000-0000-0000D8030000}"/>
    <cellStyle name="20 % - Aksentti1 9 4 2" xfId="5943" xr:uid="{00000000-0005-0000-0000-0000D9030000}"/>
    <cellStyle name="20 % - Aksentti1 9 4 3" xfId="14154" xr:uid="{00000000-0005-0000-0000-0000DA030000}"/>
    <cellStyle name="20 % - Aksentti1 9 4_DataIX" xfId="29431" xr:uid="{00000000-0005-0000-0000-0000DB030000}"/>
    <cellStyle name="20 % - Aksentti1 9 5" xfId="628" xr:uid="{00000000-0005-0000-0000-0000DC030000}"/>
    <cellStyle name="20 % - Aksentti1 9 5 2" xfId="5944" xr:uid="{00000000-0005-0000-0000-0000DD030000}"/>
    <cellStyle name="20 % - Aksentti1 9 5 3" xfId="14155" xr:uid="{00000000-0005-0000-0000-0000DE030000}"/>
    <cellStyle name="20 % - Aksentti1 9 5_DataIX" xfId="29432" xr:uid="{00000000-0005-0000-0000-0000DF030000}"/>
    <cellStyle name="20 % - Aksentti1 9 6" xfId="629" xr:uid="{00000000-0005-0000-0000-0000E0030000}"/>
    <cellStyle name="20 % - Aksentti1 9 6 2" xfId="5945" xr:uid="{00000000-0005-0000-0000-0000E1030000}"/>
    <cellStyle name="20 % - Aksentti1 9 6 3" xfId="14156" xr:uid="{00000000-0005-0000-0000-0000E2030000}"/>
    <cellStyle name="20 % - Aksentti1 9 6_DataIX" xfId="29433" xr:uid="{00000000-0005-0000-0000-0000E3030000}"/>
    <cellStyle name="20 % - Aksentti1 9 7" xfId="630" xr:uid="{00000000-0005-0000-0000-0000E4030000}"/>
    <cellStyle name="20 % - Aksentti1 9 7 2" xfId="5946" xr:uid="{00000000-0005-0000-0000-0000E5030000}"/>
    <cellStyle name="20 % - Aksentti1 9 7 3" xfId="14157" xr:uid="{00000000-0005-0000-0000-0000E6030000}"/>
    <cellStyle name="20 % - Aksentti1 9 7_DataIX" xfId="29434" xr:uid="{00000000-0005-0000-0000-0000E7030000}"/>
    <cellStyle name="20 % - Aksentti1 9 8" xfId="631" xr:uid="{00000000-0005-0000-0000-0000E8030000}"/>
    <cellStyle name="20 % - Aksentti1 9 8 2" xfId="5947" xr:uid="{00000000-0005-0000-0000-0000E9030000}"/>
    <cellStyle name="20 % - Aksentti1 9 8 3" xfId="14158" xr:uid="{00000000-0005-0000-0000-0000EA030000}"/>
    <cellStyle name="20 % - Aksentti1 9 8_DataIX" xfId="29435" xr:uid="{00000000-0005-0000-0000-0000EB030000}"/>
    <cellStyle name="20 % - Aksentti1 9 9" xfId="632" xr:uid="{00000000-0005-0000-0000-0000EC030000}"/>
    <cellStyle name="20 % - Aksentti1 9 9 2" xfId="5948" xr:uid="{00000000-0005-0000-0000-0000ED030000}"/>
    <cellStyle name="20 % - Aksentti1 9 9 3" xfId="14159" xr:uid="{00000000-0005-0000-0000-0000EE030000}"/>
    <cellStyle name="20 % - Aksentti1 9 9_DataIX" xfId="29436" xr:uid="{00000000-0005-0000-0000-0000EF030000}"/>
    <cellStyle name="20 % - Aksentti1 9_DataIX" xfId="29423" xr:uid="{00000000-0005-0000-0000-0000F0030000}"/>
    <cellStyle name="20 % - Aksentti1_##KansantalKehitys" xfId="5406" xr:uid="{00000000-0005-0000-0000-0000F1030000}"/>
    <cellStyle name="20 % - Aksentti2" xfId="329" xr:uid="{00000000-0005-0000-0000-0000F2030000}"/>
    <cellStyle name="20 % - Aksentti2 10" xfId="633" xr:uid="{00000000-0005-0000-0000-0000F3030000}"/>
    <cellStyle name="20 % - Aksentti2 10 10" xfId="634" xr:uid="{00000000-0005-0000-0000-0000F4030000}"/>
    <cellStyle name="20 % - Aksentti2 10 10 2" xfId="5950" xr:uid="{00000000-0005-0000-0000-0000F5030000}"/>
    <cellStyle name="20 % - Aksentti2 10 10 3" xfId="14161" xr:uid="{00000000-0005-0000-0000-0000F6030000}"/>
    <cellStyle name="20 % - Aksentti2 10 10_DataIX" xfId="29438" xr:uid="{00000000-0005-0000-0000-0000F7030000}"/>
    <cellStyle name="20 % - Aksentti2 10 11" xfId="5949" xr:uid="{00000000-0005-0000-0000-0000F8030000}"/>
    <cellStyle name="20 % - Aksentti2 10 12" xfId="14160" xr:uid="{00000000-0005-0000-0000-0000F9030000}"/>
    <cellStyle name="20 % - Aksentti2 10 2" xfId="635" xr:uid="{00000000-0005-0000-0000-0000FA030000}"/>
    <cellStyle name="20 % - Aksentti2 10 2 2" xfId="636" xr:uid="{00000000-0005-0000-0000-0000FB030000}"/>
    <cellStyle name="20 % - Aksentti2 10 2 2 2" xfId="637" xr:uid="{00000000-0005-0000-0000-0000FC030000}"/>
    <cellStyle name="20 % - Aksentti2 10 2 2 2 2" xfId="5953" xr:uid="{00000000-0005-0000-0000-0000FD030000}"/>
    <cellStyle name="20 % - Aksentti2 10 2 2 2 3" xfId="14164" xr:uid="{00000000-0005-0000-0000-0000FE030000}"/>
    <cellStyle name="20 % - Aksentti2 10 2 2 2_DataIX" xfId="29441" xr:uid="{00000000-0005-0000-0000-0000FF030000}"/>
    <cellStyle name="20 % - Aksentti2 10 2 2 3" xfId="5952" xr:uid="{00000000-0005-0000-0000-000000040000}"/>
    <cellStyle name="20 % - Aksentti2 10 2 2 4" xfId="14163" xr:uid="{00000000-0005-0000-0000-000001040000}"/>
    <cellStyle name="20 % - Aksentti2 10 2 2_DataIX" xfId="29440" xr:uid="{00000000-0005-0000-0000-000002040000}"/>
    <cellStyle name="20 % - Aksentti2 10 2 3" xfId="638" xr:uid="{00000000-0005-0000-0000-000003040000}"/>
    <cellStyle name="20 % - Aksentti2 10 2 3 2" xfId="5954" xr:uid="{00000000-0005-0000-0000-000004040000}"/>
    <cellStyle name="20 % - Aksentti2 10 2 3 3" xfId="14165" xr:uid="{00000000-0005-0000-0000-000005040000}"/>
    <cellStyle name="20 % - Aksentti2 10 2 3_DataIX" xfId="29442" xr:uid="{00000000-0005-0000-0000-000006040000}"/>
    <cellStyle name="20 % - Aksentti2 10 2 4" xfId="5951" xr:uid="{00000000-0005-0000-0000-000007040000}"/>
    <cellStyle name="20 % - Aksentti2 10 2 5" xfId="14162" xr:uid="{00000000-0005-0000-0000-000008040000}"/>
    <cellStyle name="20 % - Aksentti2 10 2_DataIX" xfId="29439" xr:uid="{00000000-0005-0000-0000-000009040000}"/>
    <cellStyle name="20 % - Aksentti2 10 3" xfId="639" xr:uid="{00000000-0005-0000-0000-00000A040000}"/>
    <cellStyle name="20 % - Aksentti2 10 3 2" xfId="640" xr:uid="{00000000-0005-0000-0000-00000B040000}"/>
    <cellStyle name="20 % - Aksentti2 10 3 2 2" xfId="5956" xr:uid="{00000000-0005-0000-0000-00000C040000}"/>
    <cellStyle name="20 % - Aksentti2 10 3 2 3" xfId="14167" xr:uid="{00000000-0005-0000-0000-00000D040000}"/>
    <cellStyle name="20 % - Aksentti2 10 3 2_DataIX" xfId="29444" xr:uid="{00000000-0005-0000-0000-00000E040000}"/>
    <cellStyle name="20 % - Aksentti2 10 3 3" xfId="5955" xr:uid="{00000000-0005-0000-0000-00000F040000}"/>
    <cellStyle name="20 % - Aksentti2 10 3 4" xfId="14166" xr:uid="{00000000-0005-0000-0000-000010040000}"/>
    <cellStyle name="20 % - Aksentti2 10 3_DataIX" xfId="29443" xr:uid="{00000000-0005-0000-0000-000011040000}"/>
    <cellStyle name="20 % - Aksentti2 10 4" xfId="641" xr:uid="{00000000-0005-0000-0000-000012040000}"/>
    <cellStyle name="20 % - Aksentti2 10 4 2" xfId="5957" xr:uid="{00000000-0005-0000-0000-000013040000}"/>
    <cellStyle name="20 % - Aksentti2 10 4 3" xfId="14168" xr:uid="{00000000-0005-0000-0000-000014040000}"/>
    <cellStyle name="20 % - Aksentti2 10 4_DataIX" xfId="29445" xr:uid="{00000000-0005-0000-0000-000015040000}"/>
    <cellStyle name="20 % - Aksentti2 10 5" xfId="642" xr:uid="{00000000-0005-0000-0000-000016040000}"/>
    <cellStyle name="20 % - Aksentti2 10 5 2" xfId="5958" xr:uid="{00000000-0005-0000-0000-000017040000}"/>
    <cellStyle name="20 % - Aksentti2 10 5 3" xfId="14169" xr:uid="{00000000-0005-0000-0000-000018040000}"/>
    <cellStyle name="20 % - Aksentti2 10 5_DataIX" xfId="29446" xr:uid="{00000000-0005-0000-0000-000019040000}"/>
    <cellStyle name="20 % - Aksentti2 10 6" xfId="643" xr:uid="{00000000-0005-0000-0000-00001A040000}"/>
    <cellStyle name="20 % - Aksentti2 10 6 2" xfId="5959" xr:uid="{00000000-0005-0000-0000-00001B040000}"/>
    <cellStyle name="20 % - Aksentti2 10 6 3" xfId="14170" xr:uid="{00000000-0005-0000-0000-00001C040000}"/>
    <cellStyle name="20 % - Aksentti2 10 6_DataIX" xfId="29447" xr:uid="{00000000-0005-0000-0000-00001D040000}"/>
    <cellStyle name="20 % - Aksentti2 10 7" xfId="644" xr:uid="{00000000-0005-0000-0000-00001E040000}"/>
    <cellStyle name="20 % - Aksentti2 10 7 2" xfId="5960" xr:uid="{00000000-0005-0000-0000-00001F040000}"/>
    <cellStyle name="20 % - Aksentti2 10 7 3" xfId="14171" xr:uid="{00000000-0005-0000-0000-000020040000}"/>
    <cellStyle name="20 % - Aksentti2 10 7_DataIX" xfId="29448" xr:uid="{00000000-0005-0000-0000-000021040000}"/>
    <cellStyle name="20 % - Aksentti2 10 8" xfId="645" xr:uid="{00000000-0005-0000-0000-000022040000}"/>
    <cellStyle name="20 % - Aksentti2 10 8 2" xfId="5961" xr:uid="{00000000-0005-0000-0000-000023040000}"/>
    <cellStyle name="20 % - Aksentti2 10 8 3" xfId="14172" xr:uid="{00000000-0005-0000-0000-000024040000}"/>
    <cellStyle name="20 % - Aksentti2 10 8_DataIX" xfId="29449" xr:uid="{00000000-0005-0000-0000-000025040000}"/>
    <cellStyle name="20 % - Aksentti2 10 9" xfId="646" xr:uid="{00000000-0005-0000-0000-000026040000}"/>
    <cellStyle name="20 % - Aksentti2 10 9 2" xfId="5962" xr:uid="{00000000-0005-0000-0000-000027040000}"/>
    <cellStyle name="20 % - Aksentti2 10 9 3" xfId="14173" xr:uid="{00000000-0005-0000-0000-000028040000}"/>
    <cellStyle name="20 % - Aksentti2 10 9_DataIX" xfId="29450" xr:uid="{00000000-0005-0000-0000-000029040000}"/>
    <cellStyle name="20 % - Aksentti2 10_DataIX" xfId="29437" xr:uid="{00000000-0005-0000-0000-00002A040000}"/>
    <cellStyle name="20 % - Aksentti2 11" xfId="647" xr:uid="{00000000-0005-0000-0000-00002B040000}"/>
    <cellStyle name="20 % - Aksentti2 11 10" xfId="648" xr:uid="{00000000-0005-0000-0000-00002C040000}"/>
    <cellStyle name="20 % - Aksentti2 11 10 2" xfId="5964" xr:uid="{00000000-0005-0000-0000-00002D040000}"/>
    <cellStyle name="20 % - Aksentti2 11 10 3" xfId="14175" xr:uid="{00000000-0005-0000-0000-00002E040000}"/>
    <cellStyle name="20 % - Aksentti2 11 10_DataIX" xfId="29452" xr:uid="{00000000-0005-0000-0000-00002F040000}"/>
    <cellStyle name="20 % - Aksentti2 11 11" xfId="5963" xr:uid="{00000000-0005-0000-0000-000030040000}"/>
    <cellStyle name="20 % - Aksentti2 11 12" xfId="14174" xr:uid="{00000000-0005-0000-0000-000031040000}"/>
    <cellStyle name="20 % - Aksentti2 11 2" xfId="649" xr:uid="{00000000-0005-0000-0000-000032040000}"/>
    <cellStyle name="20 % - Aksentti2 11 2 2" xfId="650" xr:uid="{00000000-0005-0000-0000-000033040000}"/>
    <cellStyle name="20 % - Aksentti2 11 2 2 2" xfId="651" xr:uid="{00000000-0005-0000-0000-000034040000}"/>
    <cellStyle name="20 % - Aksentti2 11 2 2 2 2" xfId="5967" xr:uid="{00000000-0005-0000-0000-000035040000}"/>
    <cellStyle name="20 % - Aksentti2 11 2 2 2 3" xfId="14178" xr:uid="{00000000-0005-0000-0000-000036040000}"/>
    <cellStyle name="20 % - Aksentti2 11 2 2 2_DataIX" xfId="29455" xr:uid="{00000000-0005-0000-0000-000037040000}"/>
    <cellStyle name="20 % - Aksentti2 11 2 2 3" xfId="5966" xr:uid="{00000000-0005-0000-0000-000038040000}"/>
    <cellStyle name="20 % - Aksentti2 11 2 2 4" xfId="14177" xr:uid="{00000000-0005-0000-0000-000039040000}"/>
    <cellStyle name="20 % - Aksentti2 11 2 2_DataIX" xfId="29454" xr:uid="{00000000-0005-0000-0000-00003A040000}"/>
    <cellStyle name="20 % - Aksentti2 11 2 3" xfId="652" xr:uid="{00000000-0005-0000-0000-00003B040000}"/>
    <cellStyle name="20 % - Aksentti2 11 2 3 2" xfId="5968" xr:uid="{00000000-0005-0000-0000-00003C040000}"/>
    <cellStyle name="20 % - Aksentti2 11 2 3 3" xfId="14179" xr:uid="{00000000-0005-0000-0000-00003D040000}"/>
    <cellStyle name="20 % - Aksentti2 11 2 3_DataIX" xfId="29456" xr:uid="{00000000-0005-0000-0000-00003E040000}"/>
    <cellStyle name="20 % - Aksentti2 11 2 4" xfId="5965" xr:uid="{00000000-0005-0000-0000-00003F040000}"/>
    <cellStyle name="20 % - Aksentti2 11 2 5" xfId="14176" xr:uid="{00000000-0005-0000-0000-000040040000}"/>
    <cellStyle name="20 % - Aksentti2 11 2_DataIX" xfId="29453" xr:uid="{00000000-0005-0000-0000-000041040000}"/>
    <cellStyle name="20 % - Aksentti2 11 3" xfId="653" xr:uid="{00000000-0005-0000-0000-000042040000}"/>
    <cellStyle name="20 % - Aksentti2 11 3 2" xfId="654" xr:uid="{00000000-0005-0000-0000-000043040000}"/>
    <cellStyle name="20 % - Aksentti2 11 3 2 2" xfId="5970" xr:uid="{00000000-0005-0000-0000-000044040000}"/>
    <cellStyle name="20 % - Aksentti2 11 3 2 3" xfId="14181" xr:uid="{00000000-0005-0000-0000-000045040000}"/>
    <cellStyle name="20 % - Aksentti2 11 3 2_DataIX" xfId="29458" xr:uid="{00000000-0005-0000-0000-000046040000}"/>
    <cellStyle name="20 % - Aksentti2 11 3 3" xfId="5969" xr:uid="{00000000-0005-0000-0000-000047040000}"/>
    <cellStyle name="20 % - Aksentti2 11 3 4" xfId="14180" xr:uid="{00000000-0005-0000-0000-000048040000}"/>
    <cellStyle name="20 % - Aksentti2 11 3_DataIX" xfId="29457" xr:uid="{00000000-0005-0000-0000-000049040000}"/>
    <cellStyle name="20 % - Aksentti2 11 4" xfId="655" xr:uid="{00000000-0005-0000-0000-00004A040000}"/>
    <cellStyle name="20 % - Aksentti2 11 4 2" xfId="5971" xr:uid="{00000000-0005-0000-0000-00004B040000}"/>
    <cellStyle name="20 % - Aksentti2 11 4 3" xfId="14182" xr:uid="{00000000-0005-0000-0000-00004C040000}"/>
    <cellStyle name="20 % - Aksentti2 11 4_DataIX" xfId="29459" xr:uid="{00000000-0005-0000-0000-00004D040000}"/>
    <cellStyle name="20 % - Aksentti2 11 5" xfId="656" xr:uid="{00000000-0005-0000-0000-00004E040000}"/>
    <cellStyle name="20 % - Aksentti2 11 5 2" xfId="5972" xr:uid="{00000000-0005-0000-0000-00004F040000}"/>
    <cellStyle name="20 % - Aksentti2 11 5 3" xfId="14183" xr:uid="{00000000-0005-0000-0000-000050040000}"/>
    <cellStyle name="20 % - Aksentti2 11 5_DataIX" xfId="29460" xr:uid="{00000000-0005-0000-0000-000051040000}"/>
    <cellStyle name="20 % - Aksentti2 11 6" xfId="657" xr:uid="{00000000-0005-0000-0000-000052040000}"/>
    <cellStyle name="20 % - Aksentti2 11 6 2" xfId="5973" xr:uid="{00000000-0005-0000-0000-000053040000}"/>
    <cellStyle name="20 % - Aksentti2 11 6 3" xfId="14184" xr:uid="{00000000-0005-0000-0000-000054040000}"/>
    <cellStyle name="20 % - Aksentti2 11 6_DataIX" xfId="29461" xr:uid="{00000000-0005-0000-0000-000055040000}"/>
    <cellStyle name="20 % - Aksentti2 11 7" xfId="658" xr:uid="{00000000-0005-0000-0000-000056040000}"/>
    <cellStyle name="20 % - Aksentti2 11 7 2" xfId="5974" xr:uid="{00000000-0005-0000-0000-000057040000}"/>
    <cellStyle name="20 % - Aksentti2 11 7 3" xfId="14185" xr:uid="{00000000-0005-0000-0000-000058040000}"/>
    <cellStyle name="20 % - Aksentti2 11 7_DataIX" xfId="29462" xr:uid="{00000000-0005-0000-0000-000059040000}"/>
    <cellStyle name="20 % - Aksentti2 11 8" xfId="659" xr:uid="{00000000-0005-0000-0000-00005A040000}"/>
    <cellStyle name="20 % - Aksentti2 11 8 2" xfId="5975" xr:uid="{00000000-0005-0000-0000-00005B040000}"/>
    <cellStyle name="20 % - Aksentti2 11 8 3" xfId="14186" xr:uid="{00000000-0005-0000-0000-00005C040000}"/>
    <cellStyle name="20 % - Aksentti2 11 8_DataIX" xfId="29463" xr:uid="{00000000-0005-0000-0000-00005D040000}"/>
    <cellStyle name="20 % - Aksentti2 11 9" xfId="660" xr:uid="{00000000-0005-0000-0000-00005E040000}"/>
    <cellStyle name="20 % - Aksentti2 11 9 2" xfId="5976" xr:uid="{00000000-0005-0000-0000-00005F040000}"/>
    <cellStyle name="20 % - Aksentti2 11 9 3" xfId="14187" xr:uid="{00000000-0005-0000-0000-000060040000}"/>
    <cellStyle name="20 % - Aksentti2 11 9_DataIX" xfId="29464" xr:uid="{00000000-0005-0000-0000-000061040000}"/>
    <cellStyle name="20 % - Aksentti2 11_DataIX" xfId="29451" xr:uid="{00000000-0005-0000-0000-000062040000}"/>
    <cellStyle name="20 % - Aksentti2 12" xfId="661" xr:uid="{00000000-0005-0000-0000-000063040000}"/>
    <cellStyle name="20 % - Aksentti2 12 10" xfId="662" xr:uid="{00000000-0005-0000-0000-000064040000}"/>
    <cellStyle name="20 % - Aksentti2 12 10 2" xfId="5978" xr:uid="{00000000-0005-0000-0000-000065040000}"/>
    <cellStyle name="20 % - Aksentti2 12 10 3" xfId="14189" xr:uid="{00000000-0005-0000-0000-000066040000}"/>
    <cellStyle name="20 % - Aksentti2 12 10_DataIX" xfId="29466" xr:uid="{00000000-0005-0000-0000-000067040000}"/>
    <cellStyle name="20 % - Aksentti2 12 11" xfId="5977" xr:uid="{00000000-0005-0000-0000-000068040000}"/>
    <cellStyle name="20 % - Aksentti2 12 12" xfId="14188" xr:uid="{00000000-0005-0000-0000-000069040000}"/>
    <cellStyle name="20 % - Aksentti2 12 2" xfId="663" xr:uid="{00000000-0005-0000-0000-00006A040000}"/>
    <cellStyle name="20 % - Aksentti2 12 2 2" xfId="664" xr:uid="{00000000-0005-0000-0000-00006B040000}"/>
    <cellStyle name="20 % - Aksentti2 12 2 2 2" xfId="665" xr:uid="{00000000-0005-0000-0000-00006C040000}"/>
    <cellStyle name="20 % - Aksentti2 12 2 2 2 2" xfId="5981" xr:uid="{00000000-0005-0000-0000-00006D040000}"/>
    <cellStyle name="20 % - Aksentti2 12 2 2 2 3" xfId="14192" xr:uid="{00000000-0005-0000-0000-00006E040000}"/>
    <cellStyle name="20 % - Aksentti2 12 2 2 2_DataIX" xfId="29469" xr:uid="{00000000-0005-0000-0000-00006F040000}"/>
    <cellStyle name="20 % - Aksentti2 12 2 2 3" xfId="5980" xr:uid="{00000000-0005-0000-0000-000070040000}"/>
    <cellStyle name="20 % - Aksentti2 12 2 2 4" xfId="14191" xr:uid="{00000000-0005-0000-0000-000071040000}"/>
    <cellStyle name="20 % - Aksentti2 12 2 2_DataIX" xfId="29468" xr:uid="{00000000-0005-0000-0000-000072040000}"/>
    <cellStyle name="20 % - Aksentti2 12 2 3" xfId="666" xr:uid="{00000000-0005-0000-0000-000073040000}"/>
    <cellStyle name="20 % - Aksentti2 12 2 3 2" xfId="5982" xr:uid="{00000000-0005-0000-0000-000074040000}"/>
    <cellStyle name="20 % - Aksentti2 12 2 3 3" xfId="14193" xr:uid="{00000000-0005-0000-0000-000075040000}"/>
    <cellStyle name="20 % - Aksentti2 12 2 3_DataIX" xfId="29470" xr:uid="{00000000-0005-0000-0000-000076040000}"/>
    <cellStyle name="20 % - Aksentti2 12 2 4" xfId="5979" xr:uid="{00000000-0005-0000-0000-000077040000}"/>
    <cellStyle name="20 % - Aksentti2 12 2 5" xfId="14190" xr:uid="{00000000-0005-0000-0000-000078040000}"/>
    <cellStyle name="20 % - Aksentti2 12 2_DataIX" xfId="29467" xr:uid="{00000000-0005-0000-0000-000079040000}"/>
    <cellStyle name="20 % - Aksentti2 12 3" xfId="667" xr:uid="{00000000-0005-0000-0000-00007A040000}"/>
    <cellStyle name="20 % - Aksentti2 12 3 2" xfId="668" xr:uid="{00000000-0005-0000-0000-00007B040000}"/>
    <cellStyle name="20 % - Aksentti2 12 3 2 2" xfId="5984" xr:uid="{00000000-0005-0000-0000-00007C040000}"/>
    <cellStyle name="20 % - Aksentti2 12 3 2 3" xfId="14195" xr:uid="{00000000-0005-0000-0000-00007D040000}"/>
    <cellStyle name="20 % - Aksentti2 12 3 2_DataIX" xfId="29472" xr:uid="{00000000-0005-0000-0000-00007E040000}"/>
    <cellStyle name="20 % - Aksentti2 12 3 3" xfId="5983" xr:uid="{00000000-0005-0000-0000-00007F040000}"/>
    <cellStyle name="20 % - Aksentti2 12 3 4" xfId="14194" xr:uid="{00000000-0005-0000-0000-000080040000}"/>
    <cellStyle name="20 % - Aksentti2 12 3_DataIX" xfId="29471" xr:uid="{00000000-0005-0000-0000-000081040000}"/>
    <cellStyle name="20 % - Aksentti2 12 4" xfId="669" xr:uid="{00000000-0005-0000-0000-000082040000}"/>
    <cellStyle name="20 % - Aksentti2 12 4 2" xfId="5985" xr:uid="{00000000-0005-0000-0000-000083040000}"/>
    <cellStyle name="20 % - Aksentti2 12 4 3" xfId="14196" xr:uid="{00000000-0005-0000-0000-000084040000}"/>
    <cellStyle name="20 % - Aksentti2 12 4_DataIX" xfId="29473" xr:uid="{00000000-0005-0000-0000-000085040000}"/>
    <cellStyle name="20 % - Aksentti2 12 5" xfId="670" xr:uid="{00000000-0005-0000-0000-000086040000}"/>
    <cellStyle name="20 % - Aksentti2 12 5 2" xfId="5986" xr:uid="{00000000-0005-0000-0000-000087040000}"/>
    <cellStyle name="20 % - Aksentti2 12 5 3" xfId="14197" xr:uid="{00000000-0005-0000-0000-000088040000}"/>
    <cellStyle name="20 % - Aksentti2 12 5_DataIX" xfId="29474" xr:uid="{00000000-0005-0000-0000-000089040000}"/>
    <cellStyle name="20 % - Aksentti2 12 6" xfId="671" xr:uid="{00000000-0005-0000-0000-00008A040000}"/>
    <cellStyle name="20 % - Aksentti2 12 6 2" xfId="5987" xr:uid="{00000000-0005-0000-0000-00008B040000}"/>
    <cellStyle name="20 % - Aksentti2 12 6 3" xfId="14198" xr:uid="{00000000-0005-0000-0000-00008C040000}"/>
    <cellStyle name="20 % - Aksentti2 12 6_DataIX" xfId="29475" xr:uid="{00000000-0005-0000-0000-00008D040000}"/>
    <cellStyle name="20 % - Aksentti2 12 7" xfId="672" xr:uid="{00000000-0005-0000-0000-00008E040000}"/>
    <cellStyle name="20 % - Aksentti2 12 7 2" xfId="5988" xr:uid="{00000000-0005-0000-0000-00008F040000}"/>
    <cellStyle name="20 % - Aksentti2 12 7 3" xfId="14199" xr:uid="{00000000-0005-0000-0000-000090040000}"/>
    <cellStyle name="20 % - Aksentti2 12 7_DataIX" xfId="29476" xr:uid="{00000000-0005-0000-0000-000091040000}"/>
    <cellStyle name="20 % - Aksentti2 12 8" xfId="673" xr:uid="{00000000-0005-0000-0000-000092040000}"/>
    <cellStyle name="20 % - Aksentti2 12 8 2" xfId="5989" xr:uid="{00000000-0005-0000-0000-000093040000}"/>
    <cellStyle name="20 % - Aksentti2 12 8 3" xfId="14200" xr:uid="{00000000-0005-0000-0000-000094040000}"/>
    <cellStyle name="20 % - Aksentti2 12 8_DataIX" xfId="29477" xr:uid="{00000000-0005-0000-0000-000095040000}"/>
    <cellStyle name="20 % - Aksentti2 12 9" xfId="674" xr:uid="{00000000-0005-0000-0000-000096040000}"/>
    <cellStyle name="20 % - Aksentti2 12 9 2" xfId="5990" xr:uid="{00000000-0005-0000-0000-000097040000}"/>
    <cellStyle name="20 % - Aksentti2 12 9 3" xfId="14201" xr:uid="{00000000-0005-0000-0000-000098040000}"/>
    <cellStyle name="20 % - Aksentti2 12 9_DataIX" xfId="29478" xr:uid="{00000000-0005-0000-0000-000099040000}"/>
    <cellStyle name="20 % - Aksentti2 12_DataIX" xfId="29465" xr:uid="{00000000-0005-0000-0000-00009A040000}"/>
    <cellStyle name="20 % - Aksentti2 13" xfId="675" xr:uid="{00000000-0005-0000-0000-00009B040000}"/>
    <cellStyle name="20 % - Aksentti2 13 10" xfId="676" xr:uid="{00000000-0005-0000-0000-00009C040000}"/>
    <cellStyle name="20 % - Aksentti2 13 10 2" xfId="5992" xr:uid="{00000000-0005-0000-0000-00009D040000}"/>
    <cellStyle name="20 % - Aksentti2 13 10 3" xfId="14203" xr:uid="{00000000-0005-0000-0000-00009E040000}"/>
    <cellStyle name="20 % - Aksentti2 13 10_DataIX" xfId="29480" xr:uid="{00000000-0005-0000-0000-00009F040000}"/>
    <cellStyle name="20 % - Aksentti2 13 11" xfId="5991" xr:uid="{00000000-0005-0000-0000-0000A0040000}"/>
    <cellStyle name="20 % - Aksentti2 13 12" xfId="14202" xr:uid="{00000000-0005-0000-0000-0000A1040000}"/>
    <cellStyle name="20 % - Aksentti2 13 2" xfId="677" xr:uid="{00000000-0005-0000-0000-0000A2040000}"/>
    <cellStyle name="20 % - Aksentti2 13 2 2" xfId="678" xr:uid="{00000000-0005-0000-0000-0000A3040000}"/>
    <cellStyle name="20 % - Aksentti2 13 2 2 2" xfId="5994" xr:uid="{00000000-0005-0000-0000-0000A4040000}"/>
    <cellStyle name="20 % - Aksentti2 13 2 2 3" xfId="14205" xr:uid="{00000000-0005-0000-0000-0000A5040000}"/>
    <cellStyle name="20 % - Aksentti2 13 2 2_DataIX" xfId="29482" xr:uid="{00000000-0005-0000-0000-0000A6040000}"/>
    <cellStyle name="20 % - Aksentti2 13 2 3" xfId="5993" xr:uid="{00000000-0005-0000-0000-0000A7040000}"/>
    <cellStyle name="20 % - Aksentti2 13 2 4" xfId="14204" xr:uid="{00000000-0005-0000-0000-0000A8040000}"/>
    <cellStyle name="20 % - Aksentti2 13 2_DataIX" xfId="29481" xr:uid="{00000000-0005-0000-0000-0000A9040000}"/>
    <cellStyle name="20 % - Aksentti2 13 3" xfId="679" xr:uid="{00000000-0005-0000-0000-0000AA040000}"/>
    <cellStyle name="20 % - Aksentti2 13 3 2" xfId="5995" xr:uid="{00000000-0005-0000-0000-0000AB040000}"/>
    <cellStyle name="20 % - Aksentti2 13 3 3" xfId="14206" xr:uid="{00000000-0005-0000-0000-0000AC040000}"/>
    <cellStyle name="20 % - Aksentti2 13 3_DataIX" xfId="29483" xr:uid="{00000000-0005-0000-0000-0000AD040000}"/>
    <cellStyle name="20 % - Aksentti2 13 4" xfId="680" xr:uid="{00000000-0005-0000-0000-0000AE040000}"/>
    <cellStyle name="20 % - Aksentti2 13 4 2" xfId="5996" xr:uid="{00000000-0005-0000-0000-0000AF040000}"/>
    <cellStyle name="20 % - Aksentti2 13 4 3" xfId="14207" xr:uid="{00000000-0005-0000-0000-0000B0040000}"/>
    <cellStyle name="20 % - Aksentti2 13 4_DataIX" xfId="29484" xr:uid="{00000000-0005-0000-0000-0000B1040000}"/>
    <cellStyle name="20 % - Aksentti2 13 5" xfId="681" xr:uid="{00000000-0005-0000-0000-0000B2040000}"/>
    <cellStyle name="20 % - Aksentti2 13 5 2" xfId="5997" xr:uid="{00000000-0005-0000-0000-0000B3040000}"/>
    <cellStyle name="20 % - Aksentti2 13 5 3" xfId="14208" xr:uid="{00000000-0005-0000-0000-0000B4040000}"/>
    <cellStyle name="20 % - Aksentti2 13 5_DataIX" xfId="29485" xr:uid="{00000000-0005-0000-0000-0000B5040000}"/>
    <cellStyle name="20 % - Aksentti2 13 6" xfId="682" xr:uid="{00000000-0005-0000-0000-0000B6040000}"/>
    <cellStyle name="20 % - Aksentti2 13 6 2" xfId="5998" xr:uid="{00000000-0005-0000-0000-0000B7040000}"/>
    <cellStyle name="20 % - Aksentti2 13 6 3" xfId="14209" xr:uid="{00000000-0005-0000-0000-0000B8040000}"/>
    <cellStyle name="20 % - Aksentti2 13 6_DataIX" xfId="29486" xr:uid="{00000000-0005-0000-0000-0000B9040000}"/>
    <cellStyle name="20 % - Aksentti2 13 7" xfId="683" xr:uid="{00000000-0005-0000-0000-0000BA040000}"/>
    <cellStyle name="20 % - Aksentti2 13 7 2" xfId="5999" xr:uid="{00000000-0005-0000-0000-0000BB040000}"/>
    <cellStyle name="20 % - Aksentti2 13 7 3" xfId="14210" xr:uid="{00000000-0005-0000-0000-0000BC040000}"/>
    <cellStyle name="20 % - Aksentti2 13 7_DataIX" xfId="29487" xr:uid="{00000000-0005-0000-0000-0000BD040000}"/>
    <cellStyle name="20 % - Aksentti2 13 8" xfId="684" xr:uid="{00000000-0005-0000-0000-0000BE040000}"/>
    <cellStyle name="20 % - Aksentti2 13 8 2" xfId="6000" xr:uid="{00000000-0005-0000-0000-0000BF040000}"/>
    <cellStyle name="20 % - Aksentti2 13 8 3" xfId="14211" xr:uid="{00000000-0005-0000-0000-0000C0040000}"/>
    <cellStyle name="20 % - Aksentti2 13 8_DataIX" xfId="29488" xr:uid="{00000000-0005-0000-0000-0000C1040000}"/>
    <cellStyle name="20 % - Aksentti2 13 9" xfId="685" xr:uid="{00000000-0005-0000-0000-0000C2040000}"/>
    <cellStyle name="20 % - Aksentti2 13 9 2" xfId="6001" xr:uid="{00000000-0005-0000-0000-0000C3040000}"/>
    <cellStyle name="20 % - Aksentti2 13 9 3" xfId="14212" xr:uid="{00000000-0005-0000-0000-0000C4040000}"/>
    <cellStyle name="20 % - Aksentti2 13 9_DataIX" xfId="29489" xr:uid="{00000000-0005-0000-0000-0000C5040000}"/>
    <cellStyle name="20 % - Aksentti2 13_DataIX" xfId="29479" xr:uid="{00000000-0005-0000-0000-0000C6040000}"/>
    <cellStyle name="20 % - Aksentti2 14" xfId="686" xr:uid="{00000000-0005-0000-0000-0000C7040000}"/>
    <cellStyle name="20 % - Aksentti2 14 10" xfId="687" xr:uid="{00000000-0005-0000-0000-0000C8040000}"/>
    <cellStyle name="20 % - Aksentti2 14 10 2" xfId="6003" xr:uid="{00000000-0005-0000-0000-0000C9040000}"/>
    <cellStyle name="20 % - Aksentti2 14 10 3" xfId="14214" xr:uid="{00000000-0005-0000-0000-0000CA040000}"/>
    <cellStyle name="20 % - Aksentti2 14 10_DataIX" xfId="29491" xr:uid="{00000000-0005-0000-0000-0000CB040000}"/>
    <cellStyle name="20 % - Aksentti2 14 11" xfId="6002" xr:uid="{00000000-0005-0000-0000-0000CC040000}"/>
    <cellStyle name="20 % - Aksentti2 14 12" xfId="14213" xr:uid="{00000000-0005-0000-0000-0000CD040000}"/>
    <cellStyle name="20 % - Aksentti2 14 2" xfId="688" xr:uid="{00000000-0005-0000-0000-0000CE040000}"/>
    <cellStyle name="20 % - Aksentti2 14 2 2" xfId="689" xr:uid="{00000000-0005-0000-0000-0000CF040000}"/>
    <cellStyle name="20 % - Aksentti2 14 2 2 2" xfId="6005" xr:uid="{00000000-0005-0000-0000-0000D0040000}"/>
    <cellStyle name="20 % - Aksentti2 14 2 2 3" xfId="14216" xr:uid="{00000000-0005-0000-0000-0000D1040000}"/>
    <cellStyle name="20 % - Aksentti2 14 2 2_DataIX" xfId="29493" xr:uid="{00000000-0005-0000-0000-0000D2040000}"/>
    <cellStyle name="20 % - Aksentti2 14 2 3" xfId="6004" xr:uid="{00000000-0005-0000-0000-0000D3040000}"/>
    <cellStyle name="20 % - Aksentti2 14 2 4" xfId="14215" xr:uid="{00000000-0005-0000-0000-0000D4040000}"/>
    <cellStyle name="20 % - Aksentti2 14 2_DataIX" xfId="29492" xr:uid="{00000000-0005-0000-0000-0000D5040000}"/>
    <cellStyle name="20 % - Aksentti2 14 3" xfId="690" xr:uid="{00000000-0005-0000-0000-0000D6040000}"/>
    <cellStyle name="20 % - Aksentti2 14 3 2" xfId="6006" xr:uid="{00000000-0005-0000-0000-0000D7040000}"/>
    <cellStyle name="20 % - Aksentti2 14 3 3" xfId="14217" xr:uid="{00000000-0005-0000-0000-0000D8040000}"/>
    <cellStyle name="20 % - Aksentti2 14 3_DataIX" xfId="29494" xr:uid="{00000000-0005-0000-0000-0000D9040000}"/>
    <cellStyle name="20 % - Aksentti2 14 4" xfId="691" xr:uid="{00000000-0005-0000-0000-0000DA040000}"/>
    <cellStyle name="20 % - Aksentti2 14 4 2" xfId="6007" xr:uid="{00000000-0005-0000-0000-0000DB040000}"/>
    <cellStyle name="20 % - Aksentti2 14 4 3" xfId="14218" xr:uid="{00000000-0005-0000-0000-0000DC040000}"/>
    <cellStyle name="20 % - Aksentti2 14 4_DataIX" xfId="29495" xr:uid="{00000000-0005-0000-0000-0000DD040000}"/>
    <cellStyle name="20 % - Aksentti2 14 5" xfId="692" xr:uid="{00000000-0005-0000-0000-0000DE040000}"/>
    <cellStyle name="20 % - Aksentti2 14 5 2" xfId="6008" xr:uid="{00000000-0005-0000-0000-0000DF040000}"/>
    <cellStyle name="20 % - Aksentti2 14 5 3" xfId="14219" xr:uid="{00000000-0005-0000-0000-0000E0040000}"/>
    <cellStyle name="20 % - Aksentti2 14 5_DataIX" xfId="29496" xr:uid="{00000000-0005-0000-0000-0000E1040000}"/>
    <cellStyle name="20 % - Aksentti2 14 6" xfId="693" xr:uid="{00000000-0005-0000-0000-0000E2040000}"/>
    <cellStyle name="20 % - Aksentti2 14 6 2" xfId="6009" xr:uid="{00000000-0005-0000-0000-0000E3040000}"/>
    <cellStyle name="20 % - Aksentti2 14 6 3" xfId="14220" xr:uid="{00000000-0005-0000-0000-0000E4040000}"/>
    <cellStyle name="20 % - Aksentti2 14 6_DataIX" xfId="29497" xr:uid="{00000000-0005-0000-0000-0000E5040000}"/>
    <cellStyle name="20 % - Aksentti2 14 7" xfId="694" xr:uid="{00000000-0005-0000-0000-0000E6040000}"/>
    <cellStyle name="20 % - Aksentti2 14 7 2" xfId="6010" xr:uid="{00000000-0005-0000-0000-0000E7040000}"/>
    <cellStyle name="20 % - Aksentti2 14 7 3" xfId="14221" xr:uid="{00000000-0005-0000-0000-0000E8040000}"/>
    <cellStyle name="20 % - Aksentti2 14 7_DataIX" xfId="29498" xr:uid="{00000000-0005-0000-0000-0000E9040000}"/>
    <cellStyle name="20 % - Aksentti2 14 8" xfId="695" xr:uid="{00000000-0005-0000-0000-0000EA040000}"/>
    <cellStyle name="20 % - Aksentti2 14 8 2" xfId="6011" xr:uid="{00000000-0005-0000-0000-0000EB040000}"/>
    <cellStyle name="20 % - Aksentti2 14 8 3" xfId="14222" xr:uid="{00000000-0005-0000-0000-0000EC040000}"/>
    <cellStyle name="20 % - Aksentti2 14 8_DataIX" xfId="29499" xr:uid="{00000000-0005-0000-0000-0000ED040000}"/>
    <cellStyle name="20 % - Aksentti2 14 9" xfId="696" xr:uid="{00000000-0005-0000-0000-0000EE040000}"/>
    <cellStyle name="20 % - Aksentti2 14 9 2" xfId="6012" xr:uid="{00000000-0005-0000-0000-0000EF040000}"/>
    <cellStyle name="20 % - Aksentti2 14 9 3" xfId="14223" xr:uid="{00000000-0005-0000-0000-0000F0040000}"/>
    <cellStyle name="20 % - Aksentti2 14 9_DataIX" xfId="29500" xr:uid="{00000000-0005-0000-0000-0000F1040000}"/>
    <cellStyle name="20 % - Aksentti2 14_DataIX" xfId="29490" xr:uid="{00000000-0005-0000-0000-0000F2040000}"/>
    <cellStyle name="20 % - Aksentti2 15" xfId="697" xr:uid="{00000000-0005-0000-0000-0000F3040000}"/>
    <cellStyle name="20 % - Aksentti2 15 10" xfId="698" xr:uid="{00000000-0005-0000-0000-0000F4040000}"/>
    <cellStyle name="20 % - Aksentti2 15 10 2" xfId="6014" xr:uid="{00000000-0005-0000-0000-0000F5040000}"/>
    <cellStyle name="20 % - Aksentti2 15 10 3" xfId="14225" xr:uid="{00000000-0005-0000-0000-0000F6040000}"/>
    <cellStyle name="20 % - Aksentti2 15 10_DataIX" xfId="29502" xr:uid="{00000000-0005-0000-0000-0000F7040000}"/>
    <cellStyle name="20 % - Aksentti2 15 11" xfId="6013" xr:uid="{00000000-0005-0000-0000-0000F8040000}"/>
    <cellStyle name="20 % - Aksentti2 15 12" xfId="14224" xr:uid="{00000000-0005-0000-0000-0000F9040000}"/>
    <cellStyle name="20 % - Aksentti2 15 2" xfId="699" xr:uid="{00000000-0005-0000-0000-0000FA040000}"/>
    <cellStyle name="20 % - Aksentti2 15 2 2" xfId="700" xr:uid="{00000000-0005-0000-0000-0000FB040000}"/>
    <cellStyle name="20 % - Aksentti2 15 2 2 2" xfId="6016" xr:uid="{00000000-0005-0000-0000-0000FC040000}"/>
    <cellStyle name="20 % - Aksentti2 15 2 2 3" xfId="14227" xr:uid="{00000000-0005-0000-0000-0000FD040000}"/>
    <cellStyle name="20 % - Aksentti2 15 2 2_DataIX" xfId="29504" xr:uid="{00000000-0005-0000-0000-0000FE040000}"/>
    <cellStyle name="20 % - Aksentti2 15 2 3" xfId="6015" xr:uid="{00000000-0005-0000-0000-0000FF040000}"/>
    <cellStyle name="20 % - Aksentti2 15 2 4" xfId="14226" xr:uid="{00000000-0005-0000-0000-000000050000}"/>
    <cellStyle name="20 % - Aksentti2 15 2_DataIX" xfId="29503" xr:uid="{00000000-0005-0000-0000-000001050000}"/>
    <cellStyle name="20 % - Aksentti2 15 3" xfId="701" xr:uid="{00000000-0005-0000-0000-000002050000}"/>
    <cellStyle name="20 % - Aksentti2 15 3 2" xfId="6017" xr:uid="{00000000-0005-0000-0000-000003050000}"/>
    <cellStyle name="20 % - Aksentti2 15 3 3" xfId="14228" xr:uid="{00000000-0005-0000-0000-000004050000}"/>
    <cellStyle name="20 % - Aksentti2 15 3_DataIX" xfId="29505" xr:uid="{00000000-0005-0000-0000-000005050000}"/>
    <cellStyle name="20 % - Aksentti2 15 4" xfId="702" xr:uid="{00000000-0005-0000-0000-000006050000}"/>
    <cellStyle name="20 % - Aksentti2 15 4 2" xfId="6018" xr:uid="{00000000-0005-0000-0000-000007050000}"/>
    <cellStyle name="20 % - Aksentti2 15 4 3" xfId="14229" xr:uid="{00000000-0005-0000-0000-000008050000}"/>
    <cellStyle name="20 % - Aksentti2 15 4_DataIX" xfId="29506" xr:uid="{00000000-0005-0000-0000-000009050000}"/>
    <cellStyle name="20 % - Aksentti2 15 5" xfId="703" xr:uid="{00000000-0005-0000-0000-00000A050000}"/>
    <cellStyle name="20 % - Aksentti2 15 5 2" xfId="6019" xr:uid="{00000000-0005-0000-0000-00000B050000}"/>
    <cellStyle name="20 % - Aksentti2 15 5 3" xfId="14230" xr:uid="{00000000-0005-0000-0000-00000C050000}"/>
    <cellStyle name="20 % - Aksentti2 15 5_DataIX" xfId="29507" xr:uid="{00000000-0005-0000-0000-00000D050000}"/>
    <cellStyle name="20 % - Aksentti2 15 6" xfId="704" xr:uid="{00000000-0005-0000-0000-00000E050000}"/>
    <cellStyle name="20 % - Aksentti2 15 6 2" xfId="6020" xr:uid="{00000000-0005-0000-0000-00000F050000}"/>
    <cellStyle name="20 % - Aksentti2 15 6 3" xfId="14231" xr:uid="{00000000-0005-0000-0000-000010050000}"/>
    <cellStyle name="20 % - Aksentti2 15 6_DataIX" xfId="29508" xr:uid="{00000000-0005-0000-0000-000011050000}"/>
    <cellStyle name="20 % - Aksentti2 15 7" xfId="705" xr:uid="{00000000-0005-0000-0000-000012050000}"/>
    <cellStyle name="20 % - Aksentti2 15 7 2" xfId="6021" xr:uid="{00000000-0005-0000-0000-000013050000}"/>
    <cellStyle name="20 % - Aksentti2 15 7 3" xfId="14232" xr:uid="{00000000-0005-0000-0000-000014050000}"/>
    <cellStyle name="20 % - Aksentti2 15 7_DataIX" xfId="29509" xr:uid="{00000000-0005-0000-0000-000015050000}"/>
    <cellStyle name="20 % - Aksentti2 15 8" xfId="706" xr:uid="{00000000-0005-0000-0000-000016050000}"/>
    <cellStyle name="20 % - Aksentti2 15 8 2" xfId="6022" xr:uid="{00000000-0005-0000-0000-000017050000}"/>
    <cellStyle name="20 % - Aksentti2 15 8 3" xfId="14233" xr:uid="{00000000-0005-0000-0000-000018050000}"/>
    <cellStyle name="20 % - Aksentti2 15 8_DataIX" xfId="29510" xr:uid="{00000000-0005-0000-0000-000019050000}"/>
    <cellStyle name="20 % - Aksentti2 15 9" xfId="707" xr:uid="{00000000-0005-0000-0000-00001A050000}"/>
    <cellStyle name="20 % - Aksentti2 15 9 2" xfId="6023" xr:uid="{00000000-0005-0000-0000-00001B050000}"/>
    <cellStyle name="20 % - Aksentti2 15 9 3" xfId="14234" xr:uid="{00000000-0005-0000-0000-00001C050000}"/>
    <cellStyle name="20 % - Aksentti2 15 9_DataIX" xfId="29511" xr:uid="{00000000-0005-0000-0000-00001D050000}"/>
    <cellStyle name="20 % - Aksentti2 15_DataIX" xfId="29501" xr:uid="{00000000-0005-0000-0000-00001E050000}"/>
    <cellStyle name="20 % - Aksentti2 16" xfId="708" xr:uid="{00000000-0005-0000-0000-00001F050000}"/>
    <cellStyle name="20 % - Aksentti2 16 2" xfId="6024" xr:uid="{00000000-0005-0000-0000-000020050000}"/>
    <cellStyle name="20 % - Aksentti2 16 3" xfId="14235" xr:uid="{00000000-0005-0000-0000-000021050000}"/>
    <cellStyle name="20 % - Aksentti2 16_DataIX" xfId="29512" xr:uid="{00000000-0005-0000-0000-000022050000}"/>
    <cellStyle name="20 % - Aksentti2 17" xfId="709" xr:uid="{00000000-0005-0000-0000-000023050000}"/>
    <cellStyle name="20 % - Aksentti2 17 2" xfId="6025" xr:uid="{00000000-0005-0000-0000-000024050000}"/>
    <cellStyle name="20 % - Aksentti2 17 3" xfId="14236" xr:uid="{00000000-0005-0000-0000-000025050000}"/>
    <cellStyle name="20 % - Aksentti2 17_DataIX" xfId="29513" xr:uid="{00000000-0005-0000-0000-000026050000}"/>
    <cellStyle name="20 % - Aksentti2 18" xfId="710" xr:uid="{00000000-0005-0000-0000-000027050000}"/>
    <cellStyle name="20 % - Aksentti2 18 2" xfId="6026" xr:uid="{00000000-0005-0000-0000-000028050000}"/>
    <cellStyle name="20 % - Aksentti2 18 3" xfId="14237" xr:uid="{00000000-0005-0000-0000-000029050000}"/>
    <cellStyle name="20 % - Aksentti2 18_DataIX" xfId="29514" xr:uid="{00000000-0005-0000-0000-00002A050000}"/>
    <cellStyle name="20 % - Aksentti2 19" xfId="711" xr:uid="{00000000-0005-0000-0000-00002B050000}"/>
    <cellStyle name="20 % - Aksentti2 19 2" xfId="6027" xr:uid="{00000000-0005-0000-0000-00002C050000}"/>
    <cellStyle name="20 % - Aksentti2 19 3" xfId="14238" xr:uid="{00000000-0005-0000-0000-00002D050000}"/>
    <cellStyle name="20 % - Aksentti2 19_DataIX" xfId="29515" xr:uid="{00000000-0005-0000-0000-00002E050000}"/>
    <cellStyle name="20 % - Aksentti2 2" xfId="4" xr:uid="{00000000-0005-0000-0000-00002F050000}"/>
    <cellStyle name="20 % - Aksentti2 2 10" xfId="713" xr:uid="{00000000-0005-0000-0000-000030050000}"/>
    <cellStyle name="20 % - Aksentti2 2 10 2" xfId="6029" xr:uid="{00000000-0005-0000-0000-000031050000}"/>
    <cellStyle name="20 % - Aksentti2 2 10 3" xfId="14240" xr:uid="{00000000-0005-0000-0000-000032050000}"/>
    <cellStyle name="20 % - Aksentti2 2 10_DataIX" xfId="29516" xr:uid="{00000000-0005-0000-0000-000033050000}"/>
    <cellStyle name="20 % - Aksentti2 2 11" xfId="712" xr:uid="{00000000-0005-0000-0000-000034050000}"/>
    <cellStyle name="20 % - Aksentti2 2 11 2" xfId="6030" xr:uid="{00000000-0005-0000-0000-000035050000}"/>
    <cellStyle name="20 % - Aksentti2 2 11 3" xfId="14239" xr:uid="{00000000-0005-0000-0000-000036050000}"/>
    <cellStyle name="20 % - Aksentti2 2 11_DataIX" xfId="29517" xr:uid="{00000000-0005-0000-0000-000037050000}"/>
    <cellStyle name="20 % - Aksentti2 2 12" xfId="25050" xr:uid="{00000000-0005-0000-0000-000038050000}"/>
    <cellStyle name="20 % - Aksentti2 2 13" xfId="26191" xr:uid="{00000000-0005-0000-0000-000039050000}"/>
    <cellStyle name="20 % - Aksentti2 2 14" xfId="26596" xr:uid="{00000000-0005-0000-0000-00003A050000}"/>
    <cellStyle name="20 % - Aksentti2 2 15" xfId="25279" xr:uid="{00000000-0005-0000-0000-00003B050000}"/>
    <cellStyle name="20 % - Aksentti2 2 16" xfId="25929" xr:uid="{00000000-0005-0000-0000-00003C050000}"/>
    <cellStyle name="20 % - Aksentti2 2 17" xfId="25890" xr:uid="{00000000-0005-0000-0000-00003D050000}"/>
    <cellStyle name="20 % - Aksentti2 2 18" xfId="26640" xr:uid="{00000000-0005-0000-0000-00003E050000}"/>
    <cellStyle name="20 % - Aksentti2 2 19" xfId="25619" xr:uid="{00000000-0005-0000-0000-00003F050000}"/>
    <cellStyle name="20 % - Aksentti2 2 2" xfId="136" xr:uid="{00000000-0005-0000-0000-000040050000}"/>
    <cellStyle name="20 % - Aksentti2 2 2 10" xfId="715" xr:uid="{00000000-0005-0000-0000-000041050000}"/>
    <cellStyle name="20 % - Aksentti2 2 2 10 2" xfId="6032" xr:uid="{00000000-0005-0000-0000-000042050000}"/>
    <cellStyle name="20 % - Aksentti2 2 2 10 3" xfId="14242" xr:uid="{00000000-0005-0000-0000-000043050000}"/>
    <cellStyle name="20 % - Aksentti2 2 2 10_DataIX" xfId="29518" xr:uid="{00000000-0005-0000-0000-000044050000}"/>
    <cellStyle name="20 % - Aksentti2 2 2 11" xfId="714" xr:uid="{00000000-0005-0000-0000-000045050000}"/>
    <cellStyle name="20 % - Aksentti2 2 2 11 2" xfId="6033" xr:uid="{00000000-0005-0000-0000-000046050000}"/>
    <cellStyle name="20 % - Aksentti2 2 2 11 3" xfId="14241" xr:uid="{00000000-0005-0000-0000-000047050000}"/>
    <cellStyle name="20 % - Aksentti2 2 2 11_DataIX" xfId="29519" xr:uid="{00000000-0005-0000-0000-000048050000}"/>
    <cellStyle name="20 % - Aksentti2 2 2 12" xfId="25066" xr:uid="{00000000-0005-0000-0000-000049050000}"/>
    <cellStyle name="20 % - Aksentti2 2 2 13" xfId="25659" xr:uid="{00000000-0005-0000-0000-00004A050000}"/>
    <cellStyle name="20 % - Aksentti2 2 2 14" xfId="25747" xr:uid="{00000000-0005-0000-0000-00004B050000}"/>
    <cellStyle name="20 % - Aksentti2 2 2 15" xfId="26011" xr:uid="{00000000-0005-0000-0000-00004C050000}"/>
    <cellStyle name="20 % - Aksentti2 2 2 16" xfId="25723" xr:uid="{00000000-0005-0000-0000-00004D050000}"/>
    <cellStyle name="20 % - Aksentti2 2 2 17" xfId="26677" xr:uid="{00000000-0005-0000-0000-00004E050000}"/>
    <cellStyle name="20 % - Aksentti2 2 2 18" xfId="25466" xr:uid="{00000000-0005-0000-0000-00004F050000}"/>
    <cellStyle name="20 % - Aksentti2 2 2 19" xfId="25831" xr:uid="{00000000-0005-0000-0000-000050050000}"/>
    <cellStyle name="20 % - Aksentti2 2 2 2" xfId="371" xr:uid="{00000000-0005-0000-0000-000051050000}"/>
    <cellStyle name="20 % - Aksentti2 2 2 2 10" xfId="10943" xr:uid="{00000000-0005-0000-0000-000052050000}"/>
    <cellStyle name="20 % - Aksentti2 2 2 2 2" xfId="717" xr:uid="{00000000-0005-0000-0000-000053050000}"/>
    <cellStyle name="20 % - Aksentti2 2 2 2 2 2" xfId="6035" xr:uid="{00000000-0005-0000-0000-000054050000}"/>
    <cellStyle name="20 % - Aksentti2 2 2 2 2 3" xfId="14244" xr:uid="{00000000-0005-0000-0000-000055050000}"/>
    <cellStyle name="20 % - Aksentti2 2 2 2 2_DataIX" xfId="29520" xr:uid="{00000000-0005-0000-0000-000056050000}"/>
    <cellStyle name="20 % - Aksentti2 2 2 2 3" xfId="716" xr:uid="{00000000-0005-0000-0000-000057050000}"/>
    <cellStyle name="20 % - Aksentti2 2 2 2 3 2" xfId="6036" xr:uid="{00000000-0005-0000-0000-000058050000}"/>
    <cellStyle name="20 % - Aksentti2 2 2 2 3 3" xfId="14243" xr:uid="{00000000-0005-0000-0000-000059050000}"/>
    <cellStyle name="20 % - Aksentti2 2 2 2 3_DataIX" xfId="29521" xr:uid="{00000000-0005-0000-0000-00005A050000}"/>
    <cellStyle name="20 % - Aksentti2 2 2 2 4" xfId="10778" xr:uid="{00000000-0005-0000-0000-00005B050000}"/>
    <cellStyle name="20 % - Aksentti2 2 2 2 5" xfId="12758" xr:uid="{00000000-0005-0000-0000-00005C050000}"/>
    <cellStyle name="20 % - Aksentti2 2 2 2 6" xfId="10916" xr:uid="{00000000-0005-0000-0000-00005D050000}"/>
    <cellStyle name="20 % - Aksentti2 2 2 2 7" xfId="13908" xr:uid="{00000000-0005-0000-0000-00005E050000}"/>
    <cellStyle name="20 % - Aksentti2 2 2 2 8" xfId="13796" xr:uid="{00000000-0005-0000-0000-00005F050000}"/>
    <cellStyle name="20 % - Aksentti2 2 2 2 9" xfId="13566" xr:uid="{00000000-0005-0000-0000-000060050000}"/>
    <cellStyle name="20 % - Aksentti2 2 2 2_##Keskeiset" xfId="6034" xr:uid="{00000000-0005-0000-0000-000061050000}"/>
    <cellStyle name="20 % - Aksentti2 2 2 20" xfId="26680" xr:uid="{00000000-0005-0000-0000-000062050000}"/>
    <cellStyle name="20 % - Aksentti2 2 2 21" xfId="25383" xr:uid="{00000000-0005-0000-0000-000063050000}"/>
    <cellStyle name="20 % - Aksentti2 2 2 22" xfId="25808" xr:uid="{00000000-0005-0000-0000-000064050000}"/>
    <cellStyle name="20 % - Aksentti2 2 2 23" xfId="25588" xr:uid="{00000000-0005-0000-0000-000065050000}"/>
    <cellStyle name="20 % - Aksentti2 2 2 24" xfId="26080" xr:uid="{00000000-0005-0000-0000-000066050000}"/>
    <cellStyle name="20 % - Aksentti2 2 2 25" xfId="25482" xr:uid="{00000000-0005-0000-0000-000067050000}"/>
    <cellStyle name="20 % - Aksentti2 2 2 26" xfId="26426" xr:uid="{00000000-0005-0000-0000-000068050000}"/>
    <cellStyle name="20 % - Aksentti2 2 2 27" xfId="26025" xr:uid="{00000000-0005-0000-0000-000069050000}"/>
    <cellStyle name="20 % - Aksentti2 2 2 28" xfId="23168" xr:uid="{00000000-0005-0000-0000-00006A050000}"/>
    <cellStyle name="20 % - Aksentti2 2 2 29" xfId="24992" xr:uid="{00000000-0005-0000-0000-00006B050000}"/>
    <cellStyle name="20 % - Aksentti2 2 2 3" xfId="718" xr:uid="{00000000-0005-0000-0000-00006C050000}"/>
    <cellStyle name="20 % - Aksentti2 2 2 3 2" xfId="10779" xr:uid="{00000000-0005-0000-0000-00006D050000}"/>
    <cellStyle name="20 % - Aksentti2 2 2 3 3" xfId="14245" xr:uid="{00000000-0005-0000-0000-00006E050000}"/>
    <cellStyle name="20 % - Aksentti2 2 2 3_DataIX" xfId="29522" xr:uid="{00000000-0005-0000-0000-00006F050000}"/>
    <cellStyle name="20 % - Aksentti2 2 2 30" xfId="26747" xr:uid="{00000000-0005-0000-0000-000070050000}"/>
    <cellStyle name="20 % - Aksentti2 2 2 31" xfId="24995" xr:uid="{00000000-0005-0000-0000-000071050000}"/>
    <cellStyle name="20 % - Aksentti2 2 2 32" xfId="26746" xr:uid="{00000000-0005-0000-0000-000072050000}"/>
    <cellStyle name="20 % - Aksentti2 2 2 33" xfId="24994" xr:uid="{00000000-0005-0000-0000-000073050000}"/>
    <cellStyle name="20 % - Aksentti2 2 2 4" xfId="719" xr:uid="{00000000-0005-0000-0000-000074050000}"/>
    <cellStyle name="20 % - Aksentti2 2 2 4 2" xfId="6037" xr:uid="{00000000-0005-0000-0000-000075050000}"/>
    <cellStyle name="20 % - Aksentti2 2 2 4 3" xfId="14246" xr:uid="{00000000-0005-0000-0000-000076050000}"/>
    <cellStyle name="20 % - Aksentti2 2 2 4_DataIX" xfId="29523" xr:uid="{00000000-0005-0000-0000-000077050000}"/>
    <cellStyle name="20 % - Aksentti2 2 2 5" xfId="720" xr:uid="{00000000-0005-0000-0000-000078050000}"/>
    <cellStyle name="20 % - Aksentti2 2 2 5 2" xfId="6038" xr:uid="{00000000-0005-0000-0000-000079050000}"/>
    <cellStyle name="20 % - Aksentti2 2 2 5 3" xfId="14247" xr:uid="{00000000-0005-0000-0000-00007A050000}"/>
    <cellStyle name="20 % - Aksentti2 2 2 5_DataIX" xfId="29524" xr:uid="{00000000-0005-0000-0000-00007B050000}"/>
    <cellStyle name="20 % - Aksentti2 2 2 6" xfId="721" xr:uid="{00000000-0005-0000-0000-00007C050000}"/>
    <cellStyle name="20 % - Aksentti2 2 2 6 2" xfId="6039" xr:uid="{00000000-0005-0000-0000-00007D050000}"/>
    <cellStyle name="20 % - Aksentti2 2 2 6 3" xfId="14248" xr:uid="{00000000-0005-0000-0000-00007E050000}"/>
    <cellStyle name="20 % - Aksentti2 2 2 6_DataIX" xfId="29525" xr:uid="{00000000-0005-0000-0000-00007F050000}"/>
    <cellStyle name="20 % - Aksentti2 2 2 7" xfId="722" xr:uid="{00000000-0005-0000-0000-000080050000}"/>
    <cellStyle name="20 % - Aksentti2 2 2 7 2" xfId="6040" xr:uid="{00000000-0005-0000-0000-000081050000}"/>
    <cellStyle name="20 % - Aksentti2 2 2 7 3" xfId="14249" xr:uid="{00000000-0005-0000-0000-000082050000}"/>
    <cellStyle name="20 % - Aksentti2 2 2 7_DataIX" xfId="29526" xr:uid="{00000000-0005-0000-0000-000083050000}"/>
    <cellStyle name="20 % - Aksentti2 2 2 8" xfId="723" xr:uid="{00000000-0005-0000-0000-000084050000}"/>
    <cellStyle name="20 % - Aksentti2 2 2 8 2" xfId="6041" xr:uid="{00000000-0005-0000-0000-000085050000}"/>
    <cellStyle name="20 % - Aksentti2 2 2 8 3" xfId="14250" xr:uid="{00000000-0005-0000-0000-000086050000}"/>
    <cellStyle name="20 % - Aksentti2 2 2 8_DataIX" xfId="29527" xr:uid="{00000000-0005-0000-0000-000087050000}"/>
    <cellStyle name="20 % - Aksentti2 2 2 9" xfId="724" xr:uid="{00000000-0005-0000-0000-000088050000}"/>
    <cellStyle name="20 % - Aksentti2 2 2 9 2" xfId="6042" xr:uid="{00000000-0005-0000-0000-000089050000}"/>
    <cellStyle name="20 % - Aksentti2 2 2 9 3" xfId="14251" xr:uid="{00000000-0005-0000-0000-00008A050000}"/>
    <cellStyle name="20 % - Aksentti2 2 2 9_DataIX" xfId="29528" xr:uid="{00000000-0005-0000-0000-00008B050000}"/>
    <cellStyle name="20 % - Aksentti2 2 2_##Keskeiset" xfId="6031" xr:uid="{00000000-0005-0000-0000-00008C050000}"/>
    <cellStyle name="20 % - Aksentti2 2 20" xfId="26543" xr:uid="{00000000-0005-0000-0000-00008D050000}"/>
    <cellStyle name="20 % - Aksentti2 2 21" xfId="26530" xr:uid="{00000000-0005-0000-0000-00008E050000}"/>
    <cellStyle name="20 % - Aksentti2 2 22" xfId="25589" xr:uid="{00000000-0005-0000-0000-00008F050000}"/>
    <cellStyle name="20 % - Aksentti2 2 23" xfId="26655" xr:uid="{00000000-0005-0000-0000-000090050000}"/>
    <cellStyle name="20 % - Aksentti2 2 24" xfId="25441" xr:uid="{00000000-0005-0000-0000-000091050000}"/>
    <cellStyle name="20 % - Aksentti2 2 25" xfId="26079" xr:uid="{00000000-0005-0000-0000-000092050000}"/>
    <cellStyle name="20 % - Aksentti2 2 26" xfId="26548" xr:uid="{00000000-0005-0000-0000-000093050000}"/>
    <cellStyle name="20 % - Aksentti2 2 27" xfId="26627" xr:uid="{00000000-0005-0000-0000-000094050000}"/>
    <cellStyle name="20 % - Aksentti2 2 28" xfId="23167" xr:uid="{00000000-0005-0000-0000-000095050000}"/>
    <cellStyle name="20 % - Aksentti2 2 29" xfId="24993" xr:uid="{00000000-0005-0000-0000-000096050000}"/>
    <cellStyle name="20 % - Aksentti2 2 3" xfId="137" xr:uid="{00000000-0005-0000-0000-000097050000}"/>
    <cellStyle name="20 % - Aksentti2 2 3 2" xfId="726" xr:uid="{00000000-0005-0000-0000-000098050000}"/>
    <cellStyle name="20 % - Aksentti2 2 3 2 2" xfId="727" xr:uid="{00000000-0005-0000-0000-000099050000}"/>
    <cellStyle name="20 % - Aksentti2 2 3 2 2 2" xfId="6044" xr:uid="{00000000-0005-0000-0000-00009A050000}"/>
    <cellStyle name="20 % - Aksentti2 2 3 2 2 3" xfId="14254" xr:uid="{00000000-0005-0000-0000-00009B050000}"/>
    <cellStyle name="20 % - Aksentti2 2 3 2 2_DataIX" xfId="29529" xr:uid="{00000000-0005-0000-0000-00009C050000}"/>
    <cellStyle name="20 % - Aksentti2 2 3 2 3" xfId="5465" xr:uid="{00000000-0005-0000-0000-00009D050000}"/>
    <cellStyle name="20 % - Aksentti2 2 3 2 4" xfId="14253" xr:uid="{00000000-0005-0000-0000-00009E050000}"/>
    <cellStyle name="20 % - Aksentti2 2 3 2_##Keskeiset" xfId="6043" xr:uid="{00000000-0005-0000-0000-00009F050000}"/>
    <cellStyle name="20 % - Aksentti2 2 3 3" xfId="728" xr:uid="{00000000-0005-0000-0000-0000A0050000}"/>
    <cellStyle name="20 % - Aksentti2 2 3 3 2" xfId="6045" xr:uid="{00000000-0005-0000-0000-0000A1050000}"/>
    <cellStyle name="20 % - Aksentti2 2 3 3 3" xfId="14255" xr:uid="{00000000-0005-0000-0000-0000A2050000}"/>
    <cellStyle name="20 % - Aksentti2 2 3 3_DataIX" xfId="29530" xr:uid="{00000000-0005-0000-0000-0000A3050000}"/>
    <cellStyle name="20 % - Aksentti2 2 3 4" xfId="725" xr:uid="{00000000-0005-0000-0000-0000A4050000}"/>
    <cellStyle name="20 % - Aksentti2 2 3 4 2" xfId="6046" xr:uid="{00000000-0005-0000-0000-0000A5050000}"/>
    <cellStyle name="20 % - Aksentti2 2 3 4 3" xfId="14252" xr:uid="{00000000-0005-0000-0000-0000A6050000}"/>
    <cellStyle name="20 % - Aksentti2 2 3 4_DataIX" xfId="29531" xr:uid="{00000000-0005-0000-0000-0000A7050000}"/>
    <cellStyle name="20 % - Aksentti2 2 3_##Keskeiset" xfId="5464" xr:uid="{00000000-0005-0000-0000-0000A8050000}"/>
    <cellStyle name="20 % - Aksentti2 2 30" xfId="26731" xr:uid="{00000000-0005-0000-0000-0000A9050000}"/>
    <cellStyle name="20 % - Aksentti2 2 31" xfId="24975" xr:uid="{00000000-0005-0000-0000-0000AA050000}"/>
    <cellStyle name="20 % - Aksentti2 2 32" xfId="26722" xr:uid="{00000000-0005-0000-0000-0000AB050000}"/>
    <cellStyle name="20 % - Aksentti2 2 33" xfId="24965" xr:uid="{00000000-0005-0000-0000-0000AC050000}"/>
    <cellStyle name="20 % - Aksentti2 2 4" xfId="729" xr:uid="{00000000-0005-0000-0000-0000AD050000}"/>
    <cellStyle name="20 % - Aksentti2 2 4 2" xfId="730" xr:uid="{00000000-0005-0000-0000-0000AE050000}"/>
    <cellStyle name="20 % - Aksentti2 2 4 2 2" xfId="731" xr:uid="{00000000-0005-0000-0000-0000AF050000}"/>
    <cellStyle name="20 % - Aksentti2 2 4 2 2 2" xfId="6049" xr:uid="{00000000-0005-0000-0000-0000B0050000}"/>
    <cellStyle name="20 % - Aksentti2 2 4 2 2 3" xfId="14258" xr:uid="{00000000-0005-0000-0000-0000B1050000}"/>
    <cellStyle name="20 % - Aksentti2 2 4 2 2_DataIX" xfId="29533" xr:uid="{00000000-0005-0000-0000-0000B2050000}"/>
    <cellStyle name="20 % - Aksentti2 2 4 2 3" xfId="6048" xr:uid="{00000000-0005-0000-0000-0000B3050000}"/>
    <cellStyle name="20 % - Aksentti2 2 4 2 4" xfId="14257" xr:uid="{00000000-0005-0000-0000-0000B4050000}"/>
    <cellStyle name="20 % - Aksentti2 2 4 2_DataIX" xfId="29532" xr:uid="{00000000-0005-0000-0000-0000B5050000}"/>
    <cellStyle name="20 % - Aksentti2 2 4 3" xfId="732" xr:uid="{00000000-0005-0000-0000-0000B6050000}"/>
    <cellStyle name="20 % - Aksentti2 2 4 3 2" xfId="6050" xr:uid="{00000000-0005-0000-0000-0000B7050000}"/>
    <cellStyle name="20 % - Aksentti2 2 4 3 3" xfId="14259" xr:uid="{00000000-0005-0000-0000-0000B8050000}"/>
    <cellStyle name="20 % - Aksentti2 2 4 3_DataIX" xfId="29534" xr:uid="{00000000-0005-0000-0000-0000B9050000}"/>
    <cellStyle name="20 % - Aksentti2 2 4 4" xfId="5466" xr:uid="{00000000-0005-0000-0000-0000BA050000}"/>
    <cellStyle name="20 % - Aksentti2 2 4 4 2" xfId="11228" xr:uid="{00000000-0005-0000-0000-0000BB050000}"/>
    <cellStyle name="20 % - Aksentti2 2 4 4 3" xfId="18736" xr:uid="{00000000-0005-0000-0000-0000BC050000}"/>
    <cellStyle name="20 % - Aksentti2 2 4 4_DataIX" xfId="29535" xr:uid="{00000000-0005-0000-0000-0000BD050000}"/>
    <cellStyle name="20 % - Aksentti2 2 4 5" xfId="5480" xr:uid="{00000000-0005-0000-0000-0000BE050000}"/>
    <cellStyle name="20 % - Aksentti2 2 4 5 2" xfId="11229" xr:uid="{00000000-0005-0000-0000-0000BF050000}"/>
    <cellStyle name="20 % - Aksentti2 2 4 5 3" xfId="18742" xr:uid="{00000000-0005-0000-0000-0000C0050000}"/>
    <cellStyle name="20 % - Aksentti2 2 4 5_DataIX" xfId="29536" xr:uid="{00000000-0005-0000-0000-0000C1050000}"/>
    <cellStyle name="20 % - Aksentti2 2 4 6" xfId="10615" xr:uid="{00000000-0005-0000-0000-0000C2050000}"/>
    <cellStyle name="20 % - Aksentti2 2 4 6 2" xfId="11230" xr:uid="{00000000-0005-0000-0000-0000C3050000}"/>
    <cellStyle name="20 % - Aksentti2 2 4 6 3" xfId="20397" xr:uid="{00000000-0005-0000-0000-0000C4050000}"/>
    <cellStyle name="20 % - Aksentti2 2 4 6_DataIX" xfId="29537" xr:uid="{00000000-0005-0000-0000-0000C5050000}"/>
    <cellStyle name="20 % - Aksentti2 2 4 7" xfId="10559" xr:uid="{00000000-0005-0000-0000-0000C6050000}"/>
    <cellStyle name="20 % - Aksentti2 2 4 7 2" xfId="11231" xr:uid="{00000000-0005-0000-0000-0000C7050000}"/>
    <cellStyle name="20 % - Aksentti2 2 4 7 3" xfId="20341" xr:uid="{00000000-0005-0000-0000-0000C8050000}"/>
    <cellStyle name="20 % - Aksentti2 2 4 7_DataIX" xfId="29538" xr:uid="{00000000-0005-0000-0000-0000C9050000}"/>
    <cellStyle name="20 % - Aksentti2 2 4 8" xfId="10580" xr:uid="{00000000-0005-0000-0000-0000CA050000}"/>
    <cellStyle name="20 % - Aksentti2 2 4 8 2" xfId="11232" xr:uid="{00000000-0005-0000-0000-0000CB050000}"/>
    <cellStyle name="20 % - Aksentti2 2 4 8 3" xfId="20362" xr:uid="{00000000-0005-0000-0000-0000CC050000}"/>
    <cellStyle name="20 % - Aksentti2 2 4 8_DataIX" xfId="29539" xr:uid="{00000000-0005-0000-0000-0000CD050000}"/>
    <cellStyle name="20 % - Aksentti2 2 4 9" xfId="14256" xr:uid="{00000000-0005-0000-0000-0000CE050000}"/>
    <cellStyle name="20 % - Aksentti2 2 4_##Keskeiset" xfId="6047" xr:uid="{00000000-0005-0000-0000-0000CF050000}"/>
    <cellStyle name="20 % - Aksentti2 2 5" xfId="733" xr:uid="{00000000-0005-0000-0000-0000D0050000}"/>
    <cellStyle name="20 % - Aksentti2 2 5 2" xfId="734" xr:uid="{00000000-0005-0000-0000-0000D1050000}"/>
    <cellStyle name="20 % - Aksentti2 2 5 2 2" xfId="6052" xr:uid="{00000000-0005-0000-0000-0000D2050000}"/>
    <cellStyle name="20 % - Aksentti2 2 5 2 3" xfId="14261" xr:uid="{00000000-0005-0000-0000-0000D3050000}"/>
    <cellStyle name="20 % - Aksentti2 2 5 2_DataIX" xfId="29541" xr:uid="{00000000-0005-0000-0000-0000D4050000}"/>
    <cellStyle name="20 % - Aksentti2 2 5 3" xfId="6051" xr:uid="{00000000-0005-0000-0000-0000D5050000}"/>
    <cellStyle name="20 % - Aksentti2 2 5 4" xfId="14260" xr:uid="{00000000-0005-0000-0000-0000D6050000}"/>
    <cellStyle name="20 % - Aksentti2 2 5_DataIX" xfId="29540" xr:uid="{00000000-0005-0000-0000-0000D7050000}"/>
    <cellStyle name="20 % - Aksentti2 2 6" xfId="735" xr:uid="{00000000-0005-0000-0000-0000D8050000}"/>
    <cellStyle name="20 % - Aksentti2 2 6 2" xfId="6053" xr:uid="{00000000-0005-0000-0000-0000D9050000}"/>
    <cellStyle name="20 % - Aksentti2 2 6 3" xfId="14262" xr:uid="{00000000-0005-0000-0000-0000DA050000}"/>
    <cellStyle name="20 % - Aksentti2 2 6_DataIX" xfId="29542" xr:uid="{00000000-0005-0000-0000-0000DB050000}"/>
    <cellStyle name="20 % - Aksentti2 2 7" xfId="736" xr:uid="{00000000-0005-0000-0000-0000DC050000}"/>
    <cellStyle name="20 % - Aksentti2 2 7 2" xfId="6054" xr:uid="{00000000-0005-0000-0000-0000DD050000}"/>
    <cellStyle name="20 % - Aksentti2 2 7 3" xfId="14263" xr:uid="{00000000-0005-0000-0000-0000DE050000}"/>
    <cellStyle name="20 % - Aksentti2 2 7_DataIX" xfId="29543" xr:uid="{00000000-0005-0000-0000-0000DF050000}"/>
    <cellStyle name="20 % - Aksentti2 2 8" xfId="737" xr:uid="{00000000-0005-0000-0000-0000E0050000}"/>
    <cellStyle name="20 % - Aksentti2 2 8 2" xfId="6055" xr:uid="{00000000-0005-0000-0000-0000E1050000}"/>
    <cellStyle name="20 % - Aksentti2 2 8 3" xfId="14264" xr:uid="{00000000-0005-0000-0000-0000E2050000}"/>
    <cellStyle name="20 % - Aksentti2 2 8_DataIX" xfId="29544" xr:uid="{00000000-0005-0000-0000-0000E3050000}"/>
    <cellStyle name="20 % - Aksentti2 2 9" xfId="738" xr:uid="{00000000-0005-0000-0000-0000E4050000}"/>
    <cellStyle name="20 % - Aksentti2 2 9 2" xfId="6056" xr:uid="{00000000-0005-0000-0000-0000E5050000}"/>
    <cellStyle name="20 % - Aksentti2 2 9 3" xfId="14265" xr:uid="{00000000-0005-0000-0000-0000E6050000}"/>
    <cellStyle name="20 % - Aksentti2 2 9_DataIX" xfId="29545" xr:uid="{00000000-0005-0000-0000-0000E7050000}"/>
    <cellStyle name="20 % - Aksentti2 2_##Keskeiset" xfId="6028" xr:uid="{00000000-0005-0000-0000-0000E8050000}"/>
    <cellStyle name="20 % - Aksentti2 20" xfId="739" xr:uid="{00000000-0005-0000-0000-0000E9050000}"/>
    <cellStyle name="20 % - Aksentti2 20 2" xfId="6057" xr:uid="{00000000-0005-0000-0000-0000EA050000}"/>
    <cellStyle name="20 % - Aksentti2 20 3" xfId="14266" xr:uid="{00000000-0005-0000-0000-0000EB050000}"/>
    <cellStyle name="20 % - Aksentti2 20_DataIX" xfId="29546" xr:uid="{00000000-0005-0000-0000-0000EC050000}"/>
    <cellStyle name="20 % - Aksentti2 21" xfId="740" xr:uid="{00000000-0005-0000-0000-0000ED050000}"/>
    <cellStyle name="20 % - Aksentti2 21 2" xfId="6058" xr:uid="{00000000-0005-0000-0000-0000EE050000}"/>
    <cellStyle name="20 % - Aksentti2 21 3" xfId="14267" xr:uid="{00000000-0005-0000-0000-0000EF050000}"/>
    <cellStyle name="20 % - Aksentti2 21_DataIX" xfId="29547" xr:uid="{00000000-0005-0000-0000-0000F0050000}"/>
    <cellStyle name="20 % - Aksentti2 22" xfId="741" xr:uid="{00000000-0005-0000-0000-0000F1050000}"/>
    <cellStyle name="20 % - Aksentti2 22 2" xfId="6059" xr:uid="{00000000-0005-0000-0000-0000F2050000}"/>
    <cellStyle name="20 % - Aksentti2 22 3" xfId="14268" xr:uid="{00000000-0005-0000-0000-0000F3050000}"/>
    <cellStyle name="20 % - Aksentti2 22_DataIX" xfId="29548" xr:uid="{00000000-0005-0000-0000-0000F4050000}"/>
    <cellStyle name="20 % - Aksentti2 23" xfId="742" xr:uid="{00000000-0005-0000-0000-0000F5050000}"/>
    <cellStyle name="20 % - Aksentti2 23 2" xfId="6060" xr:uid="{00000000-0005-0000-0000-0000F6050000}"/>
    <cellStyle name="20 % - Aksentti2 23 3" xfId="14269" xr:uid="{00000000-0005-0000-0000-0000F7050000}"/>
    <cellStyle name="20 % - Aksentti2 23_DataIX" xfId="29549" xr:uid="{00000000-0005-0000-0000-0000F8050000}"/>
    <cellStyle name="20 % - Aksentti2 24" xfId="743" xr:uid="{00000000-0005-0000-0000-0000F9050000}"/>
    <cellStyle name="20 % - Aksentti2 24 2" xfId="6061" xr:uid="{00000000-0005-0000-0000-0000FA050000}"/>
    <cellStyle name="20 % - Aksentti2 24 3" xfId="14270" xr:uid="{00000000-0005-0000-0000-0000FB050000}"/>
    <cellStyle name="20 % - Aksentti2 24_DataIX" xfId="29550" xr:uid="{00000000-0005-0000-0000-0000FC050000}"/>
    <cellStyle name="20 % - Aksentti2 25" xfId="744" xr:uid="{00000000-0005-0000-0000-0000FD050000}"/>
    <cellStyle name="20 % - Aksentti2 25 2" xfId="6062" xr:uid="{00000000-0005-0000-0000-0000FE050000}"/>
    <cellStyle name="20 % - Aksentti2 25 3" xfId="14271" xr:uid="{00000000-0005-0000-0000-0000FF050000}"/>
    <cellStyle name="20 % - Aksentti2 25_DataIX" xfId="29551" xr:uid="{00000000-0005-0000-0000-000000060000}"/>
    <cellStyle name="20 % - Aksentti2 26" xfId="745" xr:uid="{00000000-0005-0000-0000-000001060000}"/>
    <cellStyle name="20 % - Aksentti2 26 2" xfId="6063" xr:uid="{00000000-0005-0000-0000-000002060000}"/>
    <cellStyle name="20 % - Aksentti2 26 3" xfId="14272" xr:uid="{00000000-0005-0000-0000-000003060000}"/>
    <cellStyle name="20 % - Aksentti2 26_DataIX" xfId="29552" xr:uid="{00000000-0005-0000-0000-000004060000}"/>
    <cellStyle name="20 % - Aksentti2 27" xfId="746" xr:uid="{00000000-0005-0000-0000-000005060000}"/>
    <cellStyle name="20 % - Aksentti2 27 2" xfId="6064" xr:uid="{00000000-0005-0000-0000-000006060000}"/>
    <cellStyle name="20 % - Aksentti2 27 3" xfId="14273" xr:uid="{00000000-0005-0000-0000-000007060000}"/>
    <cellStyle name="20 % - Aksentti2 27_DataIX" xfId="29553" xr:uid="{00000000-0005-0000-0000-000008060000}"/>
    <cellStyle name="20 % - Aksentti2 28" xfId="747" xr:uid="{00000000-0005-0000-0000-000009060000}"/>
    <cellStyle name="20 % - Aksentti2 28 2" xfId="6065" xr:uid="{00000000-0005-0000-0000-00000A060000}"/>
    <cellStyle name="20 % - Aksentti2 28 3" xfId="14274" xr:uid="{00000000-0005-0000-0000-00000B060000}"/>
    <cellStyle name="20 % - Aksentti2 28_DataIX" xfId="29554" xr:uid="{00000000-0005-0000-0000-00000C060000}"/>
    <cellStyle name="20 % - Aksentti2 29" xfId="10641" xr:uid="{00000000-0005-0000-0000-00000D060000}"/>
    <cellStyle name="20 % - Aksentti2 29 2" xfId="27759" xr:uid="{00000000-0005-0000-0000-00000E060000}"/>
    <cellStyle name="20 % - Aksentti2 3" xfId="135" xr:uid="{00000000-0005-0000-0000-00000F060000}"/>
    <cellStyle name="20 % - Aksentti2 3 10" xfId="749" xr:uid="{00000000-0005-0000-0000-000010060000}"/>
    <cellStyle name="20 % - Aksentti2 3 10 2" xfId="6066" xr:uid="{00000000-0005-0000-0000-000011060000}"/>
    <cellStyle name="20 % - Aksentti2 3 10 3" xfId="14276" xr:uid="{00000000-0005-0000-0000-000012060000}"/>
    <cellStyle name="20 % - Aksentti2 3 10_DataIX" xfId="29555" xr:uid="{00000000-0005-0000-0000-000013060000}"/>
    <cellStyle name="20 % - Aksentti2 3 11" xfId="748" xr:uid="{00000000-0005-0000-0000-000014060000}"/>
    <cellStyle name="20 % - Aksentti2 3 11 2" xfId="6067" xr:uid="{00000000-0005-0000-0000-000015060000}"/>
    <cellStyle name="20 % - Aksentti2 3 11 3" xfId="14275" xr:uid="{00000000-0005-0000-0000-000016060000}"/>
    <cellStyle name="20 % - Aksentti2 3 11_DataIX" xfId="29556" xr:uid="{00000000-0005-0000-0000-000017060000}"/>
    <cellStyle name="20 % - Aksentti2 3 2" xfId="750" xr:uid="{00000000-0005-0000-0000-000018060000}"/>
    <cellStyle name="20 % - Aksentti2 3 2 10" xfId="751" xr:uid="{00000000-0005-0000-0000-000019060000}"/>
    <cellStyle name="20 % - Aksentti2 3 2 10 2" xfId="6069" xr:uid="{00000000-0005-0000-0000-00001A060000}"/>
    <cellStyle name="20 % - Aksentti2 3 2 10 3" xfId="14278" xr:uid="{00000000-0005-0000-0000-00001B060000}"/>
    <cellStyle name="20 % - Aksentti2 3 2 10_DataIX" xfId="29558" xr:uid="{00000000-0005-0000-0000-00001C060000}"/>
    <cellStyle name="20 % - Aksentti2 3 2 11" xfId="6068" xr:uid="{00000000-0005-0000-0000-00001D060000}"/>
    <cellStyle name="20 % - Aksentti2 3 2 12" xfId="14277" xr:uid="{00000000-0005-0000-0000-00001E060000}"/>
    <cellStyle name="20 % - Aksentti2 3 2 2" xfId="752" xr:uid="{00000000-0005-0000-0000-00001F060000}"/>
    <cellStyle name="20 % - Aksentti2 3 2 2 2" xfId="753" xr:uid="{00000000-0005-0000-0000-000020060000}"/>
    <cellStyle name="20 % - Aksentti2 3 2 2 2 2" xfId="6071" xr:uid="{00000000-0005-0000-0000-000021060000}"/>
    <cellStyle name="20 % - Aksentti2 3 2 2 2 3" xfId="14280" xr:uid="{00000000-0005-0000-0000-000022060000}"/>
    <cellStyle name="20 % - Aksentti2 3 2 2 2_DataIX" xfId="29560" xr:uid="{00000000-0005-0000-0000-000023060000}"/>
    <cellStyle name="20 % - Aksentti2 3 2 2 3" xfId="6070" xr:uid="{00000000-0005-0000-0000-000024060000}"/>
    <cellStyle name="20 % - Aksentti2 3 2 2 4" xfId="14279" xr:uid="{00000000-0005-0000-0000-000025060000}"/>
    <cellStyle name="20 % - Aksentti2 3 2 2_DataIX" xfId="29559" xr:uid="{00000000-0005-0000-0000-000026060000}"/>
    <cellStyle name="20 % - Aksentti2 3 2 3" xfId="754" xr:uid="{00000000-0005-0000-0000-000027060000}"/>
    <cellStyle name="20 % - Aksentti2 3 2 3 2" xfId="6072" xr:uid="{00000000-0005-0000-0000-000028060000}"/>
    <cellStyle name="20 % - Aksentti2 3 2 3 3" xfId="14281" xr:uid="{00000000-0005-0000-0000-000029060000}"/>
    <cellStyle name="20 % - Aksentti2 3 2 3_DataIX" xfId="29561" xr:uid="{00000000-0005-0000-0000-00002A060000}"/>
    <cellStyle name="20 % - Aksentti2 3 2 4" xfId="755" xr:uid="{00000000-0005-0000-0000-00002B060000}"/>
    <cellStyle name="20 % - Aksentti2 3 2 4 2" xfId="6073" xr:uid="{00000000-0005-0000-0000-00002C060000}"/>
    <cellStyle name="20 % - Aksentti2 3 2 4 3" xfId="14282" xr:uid="{00000000-0005-0000-0000-00002D060000}"/>
    <cellStyle name="20 % - Aksentti2 3 2 4_DataIX" xfId="29562" xr:uid="{00000000-0005-0000-0000-00002E060000}"/>
    <cellStyle name="20 % - Aksentti2 3 2 5" xfId="756" xr:uid="{00000000-0005-0000-0000-00002F060000}"/>
    <cellStyle name="20 % - Aksentti2 3 2 5 2" xfId="6074" xr:uid="{00000000-0005-0000-0000-000030060000}"/>
    <cellStyle name="20 % - Aksentti2 3 2 5 3" xfId="14283" xr:uid="{00000000-0005-0000-0000-000031060000}"/>
    <cellStyle name="20 % - Aksentti2 3 2 5_DataIX" xfId="29563" xr:uid="{00000000-0005-0000-0000-000032060000}"/>
    <cellStyle name="20 % - Aksentti2 3 2 6" xfId="757" xr:uid="{00000000-0005-0000-0000-000033060000}"/>
    <cellStyle name="20 % - Aksentti2 3 2 6 2" xfId="6075" xr:uid="{00000000-0005-0000-0000-000034060000}"/>
    <cellStyle name="20 % - Aksentti2 3 2 6 3" xfId="14284" xr:uid="{00000000-0005-0000-0000-000035060000}"/>
    <cellStyle name="20 % - Aksentti2 3 2 6_DataIX" xfId="29564" xr:uid="{00000000-0005-0000-0000-000036060000}"/>
    <cellStyle name="20 % - Aksentti2 3 2 7" xfId="758" xr:uid="{00000000-0005-0000-0000-000037060000}"/>
    <cellStyle name="20 % - Aksentti2 3 2 7 2" xfId="6076" xr:uid="{00000000-0005-0000-0000-000038060000}"/>
    <cellStyle name="20 % - Aksentti2 3 2 7 3" xfId="14285" xr:uid="{00000000-0005-0000-0000-000039060000}"/>
    <cellStyle name="20 % - Aksentti2 3 2 7_DataIX" xfId="29565" xr:uid="{00000000-0005-0000-0000-00003A060000}"/>
    <cellStyle name="20 % - Aksentti2 3 2 8" xfId="759" xr:uid="{00000000-0005-0000-0000-00003B060000}"/>
    <cellStyle name="20 % - Aksentti2 3 2 8 2" xfId="6077" xr:uid="{00000000-0005-0000-0000-00003C060000}"/>
    <cellStyle name="20 % - Aksentti2 3 2 8 3" xfId="14286" xr:uid="{00000000-0005-0000-0000-00003D060000}"/>
    <cellStyle name="20 % - Aksentti2 3 2 8_DataIX" xfId="29566" xr:uid="{00000000-0005-0000-0000-00003E060000}"/>
    <cellStyle name="20 % - Aksentti2 3 2 9" xfId="760" xr:uid="{00000000-0005-0000-0000-00003F060000}"/>
    <cellStyle name="20 % - Aksentti2 3 2 9 2" xfId="6078" xr:uid="{00000000-0005-0000-0000-000040060000}"/>
    <cellStyle name="20 % - Aksentti2 3 2 9 3" xfId="14287" xr:uid="{00000000-0005-0000-0000-000041060000}"/>
    <cellStyle name="20 % - Aksentti2 3 2 9_DataIX" xfId="29567" xr:uid="{00000000-0005-0000-0000-000042060000}"/>
    <cellStyle name="20 % - Aksentti2 3 2_DataIX" xfId="29557" xr:uid="{00000000-0005-0000-0000-000043060000}"/>
    <cellStyle name="20 % - Aksentti2 3 3" xfId="761" xr:uid="{00000000-0005-0000-0000-000044060000}"/>
    <cellStyle name="20 % - Aksentti2 3 3 2" xfId="762" xr:uid="{00000000-0005-0000-0000-000045060000}"/>
    <cellStyle name="20 % - Aksentti2 3 3 2 2" xfId="763" xr:uid="{00000000-0005-0000-0000-000046060000}"/>
    <cellStyle name="20 % - Aksentti2 3 3 2 2 2" xfId="6081" xr:uid="{00000000-0005-0000-0000-000047060000}"/>
    <cellStyle name="20 % - Aksentti2 3 3 2 2 3" xfId="14290" xr:uid="{00000000-0005-0000-0000-000048060000}"/>
    <cellStyle name="20 % - Aksentti2 3 3 2 2_DataIX" xfId="29570" xr:uid="{00000000-0005-0000-0000-000049060000}"/>
    <cellStyle name="20 % - Aksentti2 3 3 2 3" xfId="6080" xr:uid="{00000000-0005-0000-0000-00004A060000}"/>
    <cellStyle name="20 % - Aksentti2 3 3 2 4" xfId="14289" xr:uid="{00000000-0005-0000-0000-00004B060000}"/>
    <cellStyle name="20 % - Aksentti2 3 3 2_DataIX" xfId="29569" xr:uid="{00000000-0005-0000-0000-00004C060000}"/>
    <cellStyle name="20 % - Aksentti2 3 3 3" xfId="764" xr:uid="{00000000-0005-0000-0000-00004D060000}"/>
    <cellStyle name="20 % - Aksentti2 3 3 3 2" xfId="6082" xr:uid="{00000000-0005-0000-0000-00004E060000}"/>
    <cellStyle name="20 % - Aksentti2 3 3 3 3" xfId="14291" xr:uid="{00000000-0005-0000-0000-00004F060000}"/>
    <cellStyle name="20 % - Aksentti2 3 3 3_DataIX" xfId="29571" xr:uid="{00000000-0005-0000-0000-000050060000}"/>
    <cellStyle name="20 % - Aksentti2 3 3 4" xfId="6079" xr:uid="{00000000-0005-0000-0000-000051060000}"/>
    <cellStyle name="20 % - Aksentti2 3 3 5" xfId="14288" xr:uid="{00000000-0005-0000-0000-000052060000}"/>
    <cellStyle name="20 % - Aksentti2 3 3_DataIX" xfId="29568" xr:uid="{00000000-0005-0000-0000-000053060000}"/>
    <cellStyle name="20 % - Aksentti2 3 4" xfId="765" xr:uid="{00000000-0005-0000-0000-000054060000}"/>
    <cellStyle name="20 % - Aksentti2 3 4 2" xfId="766" xr:uid="{00000000-0005-0000-0000-000055060000}"/>
    <cellStyle name="20 % - Aksentti2 3 4 2 2" xfId="767" xr:uid="{00000000-0005-0000-0000-000056060000}"/>
    <cellStyle name="20 % - Aksentti2 3 4 2 2 2" xfId="6085" xr:uid="{00000000-0005-0000-0000-000057060000}"/>
    <cellStyle name="20 % - Aksentti2 3 4 2 2 3" xfId="14294" xr:uid="{00000000-0005-0000-0000-000058060000}"/>
    <cellStyle name="20 % - Aksentti2 3 4 2 2_DataIX" xfId="29574" xr:uid="{00000000-0005-0000-0000-000059060000}"/>
    <cellStyle name="20 % - Aksentti2 3 4 2 3" xfId="6084" xr:uid="{00000000-0005-0000-0000-00005A060000}"/>
    <cellStyle name="20 % - Aksentti2 3 4 2 4" xfId="14293" xr:uid="{00000000-0005-0000-0000-00005B060000}"/>
    <cellStyle name="20 % - Aksentti2 3 4 2_DataIX" xfId="29573" xr:uid="{00000000-0005-0000-0000-00005C060000}"/>
    <cellStyle name="20 % - Aksentti2 3 4 3" xfId="768" xr:uid="{00000000-0005-0000-0000-00005D060000}"/>
    <cellStyle name="20 % - Aksentti2 3 4 3 2" xfId="6086" xr:uid="{00000000-0005-0000-0000-00005E060000}"/>
    <cellStyle name="20 % - Aksentti2 3 4 3 3" xfId="14295" xr:uid="{00000000-0005-0000-0000-00005F060000}"/>
    <cellStyle name="20 % - Aksentti2 3 4 3_DataIX" xfId="29575" xr:uid="{00000000-0005-0000-0000-000060060000}"/>
    <cellStyle name="20 % - Aksentti2 3 4 4" xfId="6083" xr:uid="{00000000-0005-0000-0000-000061060000}"/>
    <cellStyle name="20 % - Aksentti2 3 4 5" xfId="14292" xr:uid="{00000000-0005-0000-0000-000062060000}"/>
    <cellStyle name="20 % - Aksentti2 3 4_DataIX" xfId="29572" xr:uid="{00000000-0005-0000-0000-000063060000}"/>
    <cellStyle name="20 % - Aksentti2 3 5" xfId="769" xr:uid="{00000000-0005-0000-0000-000064060000}"/>
    <cellStyle name="20 % - Aksentti2 3 5 2" xfId="770" xr:uid="{00000000-0005-0000-0000-000065060000}"/>
    <cellStyle name="20 % - Aksentti2 3 5 2 2" xfId="6088" xr:uid="{00000000-0005-0000-0000-000066060000}"/>
    <cellStyle name="20 % - Aksentti2 3 5 2 3" xfId="14297" xr:uid="{00000000-0005-0000-0000-000067060000}"/>
    <cellStyle name="20 % - Aksentti2 3 5 2_DataIX" xfId="29577" xr:uid="{00000000-0005-0000-0000-000068060000}"/>
    <cellStyle name="20 % - Aksentti2 3 5 3" xfId="6087" xr:uid="{00000000-0005-0000-0000-000069060000}"/>
    <cellStyle name="20 % - Aksentti2 3 5 4" xfId="14296" xr:uid="{00000000-0005-0000-0000-00006A060000}"/>
    <cellStyle name="20 % - Aksentti2 3 5_DataIX" xfId="29576" xr:uid="{00000000-0005-0000-0000-00006B060000}"/>
    <cellStyle name="20 % - Aksentti2 3 6" xfId="771" xr:uid="{00000000-0005-0000-0000-00006C060000}"/>
    <cellStyle name="20 % - Aksentti2 3 6 2" xfId="6089" xr:uid="{00000000-0005-0000-0000-00006D060000}"/>
    <cellStyle name="20 % - Aksentti2 3 6 3" xfId="14298" xr:uid="{00000000-0005-0000-0000-00006E060000}"/>
    <cellStyle name="20 % - Aksentti2 3 6_DataIX" xfId="29578" xr:uid="{00000000-0005-0000-0000-00006F060000}"/>
    <cellStyle name="20 % - Aksentti2 3 7" xfId="772" xr:uid="{00000000-0005-0000-0000-000070060000}"/>
    <cellStyle name="20 % - Aksentti2 3 7 2" xfId="6090" xr:uid="{00000000-0005-0000-0000-000071060000}"/>
    <cellStyle name="20 % - Aksentti2 3 7 3" xfId="14299" xr:uid="{00000000-0005-0000-0000-000072060000}"/>
    <cellStyle name="20 % - Aksentti2 3 7_DataIX" xfId="29579" xr:uid="{00000000-0005-0000-0000-000073060000}"/>
    <cellStyle name="20 % - Aksentti2 3 8" xfId="773" xr:uid="{00000000-0005-0000-0000-000074060000}"/>
    <cellStyle name="20 % - Aksentti2 3 8 2" xfId="6091" xr:uid="{00000000-0005-0000-0000-000075060000}"/>
    <cellStyle name="20 % - Aksentti2 3 8 3" xfId="14300" xr:uid="{00000000-0005-0000-0000-000076060000}"/>
    <cellStyle name="20 % - Aksentti2 3 8_DataIX" xfId="29580" xr:uid="{00000000-0005-0000-0000-000077060000}"/>
    <cellStyle name="20 % - Aksentti2 3 9" xfId="774" xr:uid="{00000000-0005-0000-0000-000078060000}"/>
    <cellStyle name="20 % - Aksentti2 3 9 2" xfId="6092" xr:uid="{00000000-0005-0000-0000-000079060000}"/>
    <cellStyle name="20 % - Aksentti2 3 9 3" xfId="14301" xr:uid="{00000000-0005-0000-0000-00007A060000}"/>
    <cellStyle name="20 % - Aksentti2 3 9_DataIX" xfId="29581" xr:uid="{00000000-0005-0000-0000-00007B060000}"/>
    <cellStyle name="20 % - Aksentti2 3_Tulokset" xfId="775" xr:uid="{00000000-0005-0000-0000-00007C060000}"/>
    <cellStyle name="20 % - Aksentti2 30" xfId="13080" xr:uid="{00000000-0005-0000-0000-00007D060000}"/>
    <cellStyle name="20 % - Aksentti2 31" xfId="13199" xr:uid="{00000000-0005-0000-0000-00007E060000}"/>
    <cellStyle name="20 % - Aksentti2 32" xfId="13166" xr:uid="{00000000-0005-0000-0000-00007F060000}"/>
    <cellStyle name="20 % - Aksentti2 33" xfId="13261" xr:uid="{00000000-0005-0000-0000-000080060000}"/>
    <cellStyle name="20 % - Aksentti2 34" xfId="13889" xr:uid="{00000000-0005-0000-0000-000081060000}"/>
    <cellStyle name="20 % - Aksentti2 35" xfId="20272" xr:uid="{00000000-0005-0000-0000-000082060000}"/>
    <cellStyle name="20 % - Aksentti2 36" xfId="25591" xr:uid="{00000000-0005-0000-0000-000083060000}"/>
    <cellStyle name="20 % - Aksentti2 37" xfId="25712" xr:uid="{00000000-0005-0000-0000-000084060000}"/>
    <cellStyle name="20 % - Aksentti2 38" xfId="25547" xr:uid="{00000000-0005-0000-0000-000085060000}"/>
    <cellStyle name="20 % - Aksentti2 39" xfId="25436" xr:uid="{00000000-0005-0000-0000-000086060000}"/>
    <cellStyle name="20 % - Aksentti2 4" xfId="776" xr:uid="{00000000-0005-0000-0000-000087060000}"/>
    <cellStyle name="20 % - Aksentti2 4 10" xfId="777" xr:uid="{00000000-0005-0000-0000-000088060000}"/>
    <cellStyle name="20 % - Aksentti2 4 10 2" xfId="6094" xr:uid="{00000000-0005-0000-0000-000089060000}"/>
    <cellStyle name="20 % - Aksentti2 4 10 3" xfId="14303" xr:uid="{00000000-0005-0000-0000-00008A060000}"/>
    <cellStyle name="20 % - Aksentti2 4 10_DataIX" xfId="29582" xr:uid="{00000000-0005-0000-0000-00008B060000}"/>
    <cellStyle name="20 % - Aksentti2 4 11" xfId="5467" xr:uid="{00000000-0005-0000-0000-00008C060000}"/>
    <cellStyle name="20 % - Aksentti2 4 12" xfId="14302" xr:uid="{00000000-0005-0000-0000-00008D060000}"/>
    <cellStyle name="20 % - Aksentti2 4 2" xfId="778" xr:uid="{00000000-0005-0000-0000-00008E060000}"/>
    <cellStyle name="20 % - Aksentti2 4 2 2" xfId="779" xr:uid="{00000000-0005-0000-0000-00008F060000}"/>
    <cellStyle name="20 % - Aksentti2 4 2 2 2" xfId="780" xr:uid="{00000000-0005-0000-0000-000090060000}"/>
    <cellStyle name="20 % - Aksentti2 4 2 2 2 2" xfId="6097" xr:uid="{00000000-0005-0000-0000-000091060000}"/>
    <cellStyle name="20 % - Aksentti2 4 2 2 2 3" xfId="14306" xr:uid="{00000000-0005-0000-0000-000092060000}"/>
    <cellStyle name="20 % - Aksentti2 4 2 2 2_DataIX" xfId="29585" xr:uid="{00000000-0005-0000-0000-000093060000}"/>
    <cellStyle name="20 % - Aksentti2 4 2 2 3" xfId="6096" xr:uid="{00000000-0005-0000-0000-000094060000}"/>
    <cellStyle name="20 % - Aksentti2 4 2 2 4" xfId="14305" xr:uid="{00000000-0005-0000-0000-000095060000}"/>
    <cellStyle name="20 % - Aksentti2 4 2 2_DataIX" xfId="29584" xr:uid="{00000000-0005-0000-0000-000096060000}"/>
    <cellStyle name="20 % - Aksentti2 4 2 3" xfId="781" xr:uid="{00000000-0005-0000-0000-000097060000}"/>
    <cellStyle name="20 % - Aksentti2 4 2 3 2" xfId="6098" xr:uid="{00000000-0005-0000-0000-000098060000}"/>
    <cellStyle name="20 % - Aksentti2 4 2 3 3" xfId="14307" xr:uid="{00000000-0005-0000-0000-000099060000}"/>
    <cellStyle name="20 % - Aksentti2 4 2 3_DataIX" xfId="29586" xr:uid="{00000000-0005-0000-0000-00009A060000}"/>
    <cellStyle name="20 % - Aksentti2 4 2 4" xfId="6095" xr:uid="{00000000-0005-0000-0000-00009B060000}"/>
    <cellStyle name="20 % - Aksentti2 4 2 5" xfId="14304" xr:uid="{00000000-0005-0000-0000-00009C060000}"/>
    <cellStyle name="20 % - Aksentti2 4 2_DataIX" xfId="29583" xr:uid="{00000000-0005-0000-0000-00009D060000}"/>
    <cellStyle name="20 % - Aksentti2 4 3" xfId="782" xr:uid="{00000000-0005-0000-0000-00009E060000}"/>
    <cellStyle name="20 % - Aksentti2 4 3 2" xfId="783" xr:uid="{00000000-0005-0000-0000-00009F060000}"/>
    <cellStyle name="20 % - Aksentti2 4 3 2 2" xfId="6100" xr:uid="{00000000-0005-0000-0000-0000A0060000}"/>
    <cellStyle name="20 % - Aksentti2 4 3 2 3" xfId="14309" xr:uid="{00000000-0005-0000-0000-0000A1060000}"/>
    <cellStyle name="20 % - Aksentti2 4 3 2_DataIX" xfId="29588" xr:uid="{00000000-0005-0000-0000-0000A2060000}"/>
    <cellStyle name="20 % - Aksentti2 4 3 3" xfId="6099" xr:uid="{00000000-0005-0000-0000-0000A3060000}"/>
    <cellStyle name="20 % - Aksentti2 4 3 4" xfId="14308" xr:uid="{00000000-0005-0000-0000-0000A4060000}"/>
    <cellStyle name="20 % - Aksentti2 4 3_DataIX" xfId="29587" xr:uid="{00000000-0005-0000-0000-0000A5060000}"/>
    <cellStyle name="20 % - Aksentti2 4 4" xfId="784" xr:uid="{00000000-0005-0000-0000-0000A6060000}"/>
    <cellStyle name="20 % - Aksentti2 4 4 2" xfId="6101" xr:uid="{00000000-0005-0000-0000-0000A7060000}"/>
    <cellStyle name="20 % - Aksentti2 4 4 3" xfId="14310" xr:uid="{00000000-0005-0000-0000-0000A8060000}"/>
    <cellStyle name="20 % - Aksentti2 4 4_DataIX" xfId="29589" xr:uid="{00000000-0005-0000-0000-0000A9060000}"/>
    <cellStyle name="20 % - Aksentti2 4 5" xfId="785" xr:uid="{00000000-0005-0000-0000-0000AA060000}"/>
    <cellStyle name="20 % - Aksentti2 4 5 2" xfId="6102" xr:uid="{00000000-0005-0000-0000-0000AB060000}"/>
    <cellStyle name="20 % - Aksentti2 4 5 3" xfId="14311" xr:uid="{00000000-0005-0000-0000-0000AC060000}"/>
    <cellStyle name="20 % - Aksentti2 4 5_DataIX" xfId="29590" xr:uid="{00000000-0005-0000-0000-0000AD060000}"/>
    <cellStyle name="20 % - Aksentti2 4 6" xfId="786" xr:uid="{00000000-0005-0000-0000-0000AE060000}"/>
    <cellStyle name="20 % - Aksentti2 4 6 2" xfId="6103" xr:uid="{00000000-0005-0000-0000-0000AF060000}"/>
    <cellStyle name="20 % - Aksentti2 4 6 3" xfId="14312" xr:uid="{00000000-0005-0000-0000-0000B0060000}"/>
    <cellStyle name="20 % - Aksentti2 4 6_DataIX" xfId="29591" xr:uid="{00000000-0005-0000-0000-0000B1060000}"/>
    <cellStyle name="20 % - Aksentti2 4 7" xfId="787" xr:uid="{00000000-0005-0000-0000-0000B2060000}"/>
    <cellStyle name="20 % - Aksentti2 4 7 2" xfId="6104" xr:uid="{00000000-0005-0000-0000-0000B3060000}"/>
    <cellStyle name="20 % - Aksentti2 4 7 3" xfId="14313" xr:uid="{00000000-0005-0000-0000-0000B4060000}"/>
    <cellStyle name="20 % - Aksentti2 4 7_DataIX" xfId="29592" xr:uid="{00000000-0005-0000-0000-0000B5060000}"/>
    <cellStyle name="20 % - Aksentti2 4 8" xfId="788" xr:uid="{00000000-0005-0000-0000-0000B6060000}"/>
    <cellStyle name="20 % - Aksentti2 4 8 2" xfId="6105" xr:uid="{00000000-0005-0000-0000-0000B7060000}"/>
    <cellStyle name="20 % - Aksentti2 4 8 3" xfId="14314" xr:uid="{00000000-0005-0000-0000-0000B8060000}"/>
    <cellStyle name="20 % - Aksentti2 4 8_DataIX" xfId="29593" xr:uid="{00000000-0005-0000-0000-0000B9060000}"/>
    <cellStyle name="20 % - Aksentti2 4 9" xfId="789" xr:uid="{00000000-0005-0000-0000-0000BA060000}"/>
    <cellStyle name="20 % - Aksentti2 4 9 2" xfId="6106" xr:uid="{00000000-0005-0000-0000-0000BB060000}"/>
    <cellStyle name="20 % - Aksentti2 4 9 3" xfId="14315" xr:uid="{00000000-0005-0000-0000-0000BC060000}"/>
    <cellStyle name="20 % - Aksentti2 4 9_DataIX" xfId="29594" xr:uid="{00000000-0005-0000-0000-0000BD060000}"/>
    <cellStyle name="20 % - Aksentti2 4_##Keskeiset" xfId="6093" xr:uid="{00000000-0005-0000-0000-0000BE060000}"/>
    <cellStyle name="20 % - Aksentti2 40" xfId="26544" xr:uid="{00000000-0005-0000-0000-0000BF060000}"/>
    <cellStyle name="20 % - Aksentti2 41" xfId="26358" xr:uid="{00000000-0005-0000-0000-0000C0060000}"/>
    <cellStyle name="20 % - Aksentti2 42" xfId="26224" xr:uid="{00000000-0005-0000-0000-0000C1060000}"/>
    <cellStyle name="20 % - Aksentti2 43" xfId="25815" xr:uid="{00000000-0005-0000-0000-0000C2060000}"/>
    <cellStyle name="20 % - Aksentti2 44" xfId="26589" xr:uid="{00000000-0005-0000-0000-0000C3060000}"/>
    <cellStyle name="20 % - Aksentti2 5" xfId="790" xr:uid="{00000000-0005-0000-0000-0000C4060000}"/>
    <cellStyle name="20 % - Aksentti2 5 10" xfId="791" xr:uid="{00000000-0005-0000-0000-0000C5060000}"/>
    <cellStyle name="20 % - Aksentti2 5 10 2" xfId="6108" xr:uid="{00000000-0005-0000-0000-0000C6060000}"/>
    <cellStyle name="20 % - Aksentti2 5 10 3" xfId="14317" xr:uid="{00000000-0005-0000-0000-0000C7060000}"/>
    <cellStyle name="20 % - Aksentti2 5 10_DataIX" xfId="29596" xr:uid="{00000000-0005-0000-0000-0000C8060000}"/>
    <cellStyle name="20 % - Aksentti2 5 11" xfId="6107" xr:uid="{00000000-0005-0000-0000-0000C9060000}"/>
    <cellStyle name="20 % - Aksentti2 5 12" xfId="14316" xr:uid="{00000000-0005-0000-0000-0000CA060000}"/>
    <cellStyle name="20 % - Aksentti2 5 2" xfId="792" xr:uid="{00000000-0005-0000-0000-0000CB060000}"/>
    <cellStyle name="20 % - Aksentti2 5 2 2" xfId="793" xr:uid="{00000000-0005-0000-0000-0000CC060000}"/>
    <cellStyle name="20 % - Aksentti2 5 2 2 2" xfId="794" xr:uid="{00000000-0005-0000-0000-0000CD060000}"/>
    <cellStyle name="20 % - Aksentti2 5 2 2 2 2" xfId="6111" xr:uid="{00000000-0005-0000-0000-0000CE060000}"/>
    <cellStyle name="20 % - Aksentti2 5 2 2 2 3" xfId="14320" xr:uid="{00000000-0005-0000-0000-0000CF060000}"/>
    <cellStyle name="20 % - Aksentti2 5 2 2 2_DataIX" xfId="29599" xr:uid="{00000000-0005-0000-0000-0000D0060000}"/>
    <cellStyle name="20 % - Aksentti2 5 2 2 3" xfId="6110" xr:uid="{00000000-0005-0000-0000-0000D1060000}"/>
    <cellStyle name="20 % - Aksentti2 5 2 2 4" xfId="14319" xr:uid="{00000000-0005-0000-0000-0000D2060000}"/>
    <cellStyle name="20 % - Aksentti2 5 2 2_DataIX" xfId="29598" xr:uid="{00000000-0005-0000-0000-0000D3060000}"/>
    <cellStyle name="20 % - Aksentti2 5 2 3" xfId="795" xr:uid="{00000000-0005-0000-0000-0000D4060000}"/>
    <cellStyle name="20 % - Aksentti2 5 2 3 2" xfId="6112" xr:uid="{00000000-0005-0000-0000-0000D5060000}"/>
    <cellStyle name="20 % - Aksentti2 5 2 3 3" xfId="14321" xr:uid="{00000000-0005-0000-0000-0000D6060000}"/>
    <cellStyle name="20 % - Aksentti2 5 2 3_DataIX" xfId="29600" xr:uid="{00000000-0005-0000-0000-0000D7060000}"/>
    <cellStyle name="20 % - Aksentti2 5 2 4" xfId="6109" xr:uid="{00000000-0005-0000-0000-0000D8060000}"/>
    <cellStyle name="20 % - Aksentti2 5 2 5" xfId="14318" xr:uid="{00000000-0005-0000-0000-0000D9060000}"/>
    <cellStyle name="20 % - Aksentti2 5 2_DataIX" xfId="29597" xr:uid="{00000000-0005-0000-0000-0000DA060000}"/>
    <cellStyle name="20 % - Aksentti2 5 3" xfId="796" xr:uid="{00000000-0005-0000-0000-0000DB060000}"/>
    <cellStyle name="20 % - Aksentti2 5 3 2" xfId="797" xr:uid="{00000000-0005-0000-0000-0000DC060000}"/>
    <cellStyle name="20 % - Aksentti2 5 3 2 2" xfId="6114" xr:uid="{00000000-0005-0000-0000-0000DD060000}"/>
    <cellStyle name="20 % - Aksentti2 5 3 2 3" xfId="14323" xr:uid="{00000000-0005-0000-0000-0000DE060000}"/>
    <cellStyle name="20 % - Aksentti2 5 3 2_DataIX" xfId="29602" xr:uid="{00000000-0005-0000-0000-0000DF060000}"/>
    <cellStyle name="20 % - Aksentti2 5 3 3" xfId="6113" xr:uid="{00000000-0005-0000-0000-0000E0060000}"/>
    <cellStyle name="20 % - Aksentti2 5 3 4" xfId="14322" xr:uid="{00000000-0005-0000-0000-0000E1060000}"/>
    <cellStyle name="20 % - Aksentti2 5 3_DataIX" xfId="29601" xr:uid="{00000000-0005-0000-0000-0000E2060000}"/>
    <cellStyle name="20 % - Aksentti2 5 4" xfId="798" xr:uid="{00000000-0005-0000-0000-0000E3060000}"/>
    <cellStyle name="20 % - Aksentti2 5 4 2" xfId="6115" xr:uid="{00000000-0005-0000-0000-0000E4060000}"/>
    <cellStyle name="20 % - Aksentti2 5 4 3" xfId="14324" xr:uid="{00000000-0005-0000-0000-0000E5060000}"/>
    <cellStyle name="20 % - Aksentti2 5 4_DataIX" xfId="29603" xr:uid="{00000000-0005-0000-0000-0000E6060000}"/>
    <cellStyle name="20 % - Aksentti2 5 5" xfId="799" xr:uid="{00000000-0005-0000-0000-0000E7060000}"/>
    <cellStyle name="20 % - Aksentti2 5 5 2" xfId="6116" xr:uid="{00000000-0005-0000-0000-0000E8060000}"/>
    <cellStyle name="20 % - Aksentti2 5 5 3" xfId="14325" xr:uid="{00000000-0005-0000-0000-0000E9060000}"/>
    <cellStyle name="20 % - Aksentti2 5 5_DataIX" xfId="29604" xr:uid="{00000000-0005-0000-0000-0000EA060000}"/>
    <cellStyle name="20 % - Aksentti2 5 6" xfId="800" xr:uid="{00000000-0005-0000-0000-0000EB060000}"/>
    <cellStyle name="20 % - Aksentti2 5 6 2" xfId="6117" xr:uid="{00000000-0005-0000-0000-0000EC060000}"/>
    <cellStyle name="20 % - Aksentti2 5 6 3" xfId="14326" xr:uid="{00000000-0005-0000-0000-0000ED060000}"/>
    <cellStyle name="20 % - Aksentti2 5 6_DataIX" xfId="29605" xr:uid="{00000000-0005-0000-0000-0000EE060000}"/>
    <cellStyle name="20 % - Aksentti2 5 7" xfId="801" xr:uid="{00000000-0005-0000-0000-0000EF060000}"/>
    <cellStyle name="20 % - Aksentti2 5 7 2" xfId="6118" xr:uid="{00000000-0005-0000-0000-0000F0060000}"/>
    <cellStyle name="20 % - Aksentti2 5 7 3" xfId="14327" xr:uid="{00000000-0005-0000-0000-0000F1060000}"/>
    <cellStyle name="20 % - Aksentti2 5 7_DataIX" xfId="29606" xr:uid="{00000000-0005-0000-0000-0000F2060000}"/>
    <cellStyle name="20 % - Aksentti2 5 8" xfId="802" xr:uid="{00000000-0005-0000-0000-0000F3060000}"/>
    <cellStyle name="20 % - Aksentti2 5 8 2" xfId="6119" xr:uid="{00000000-0005-0000-0000-0000F4060000}"/>
    <cellStyle name="20 % - Aksentti2 5 8 3" xfId="14328" xr:uid="{00000000-0005-0000-0000-0000F5060000}"/>
    <cellStyle name="20 % - Aksentti2 5 8_DataIX" xfId="29607" xr:uid="{00000000-0005-0000-0000-0000F6060000}"/>
    <cellStyle name="20 % - Aksentti2 5 9" xfId="803" xr:uid="{00000000-0005-0000-0000-0000F7060000}"/>
    <cellStyle name="20 % - Aksentti2 5 9 2" xfId="6120" xr:uid="{00000000-0005-0000-0000-0000F8060000}"/>
    <cellStyle name="20 % - Aksentti2 5 9 3" xfId="14329" xr:uid="{00000000-0005-0000-0000-0000F9060000}"/>
    <cellStyle name="20 % - Aksentti2 5 9_DataIX" xfId="29608" xr:uid="{00000000-0005-0000-0000-0000FA060000}"/>
    <cellStyle name="20 % - Aksentti2 5_DataIX" xfId="29595" xr:uid="{00000000-0005-0000-0000-0000FB060000}"/>
    <cellStyle name="20 % - Aksentti2 6" xfId="804" xr:uid="{00000000-0005-0000-0000-0000FC060000}"/>
    <cellStyle name="20 % - Aksentti2 6 10" xfId="805" xr:uid="{00000000-0005-0000-0000-0000FD060000}"/>
    <cellStyle name="20 % - Aksentti2 6 10 2" xfId="6122" xr:uid="{00000000-0005-0000-0000-0000FE060000}"/>
    <cellStyle name="20 % - Aksentti2 6 10 3" xfId="14331" xr:uid="{00000000-0005-0000-0000-0000FF060000}"/>
    <cellStyle name="20 % - Aksentti2 6 10_DataIX" xfId="29610" xr:uid="{00000000-0005-0000-0000-000000070000}"/>
    <cellStyle name="20 % - Aksentti2 6 11" xfId="6121" xr:uid="{00000000-0005-0000-0000-000001070000}"/>
    <cellStyle name="20 % - Aksentti2 6 12" xfId="14330" xr:uid="{00000000-0005-0000-0000-000002070000}"/>
    <cellStyle name="20 % - Aksentti2 6 2" xfId="806" xr:uid="{00000000-0005-0000-0000-000003070000}"/>
    <cellStyle name="20 % - Aksentti2 6 2 2" xfId="807" xr:uid="{00000000-0005-0000-0000-000004070000}"/>
    <cellStyle name="20 % - Aksentti2 6 2 2 2" xfId="808" xr:uid="{00000000-0005-0000-0000-000005070000}"/>
    <cellStyle name="20 % - Aksentti2 6 2 2 2 2" xfId="6125" xr:uid="{00000000-0005-0000-0000-000006070000}"/>
    <cellStyle name="20 % - Aksentti2 6 2 2 2 3" xfId="14334" xr:uid="{00000000-0005-0000-0000-000007070000}"/>
    <cellStyle name="20 % - Aksentti2 6 2 2 2_DataIX" xfId="29613" xr:uid="{00000000-0005-0000-0000-000008070000}"/>
    <cellStyle name="20 % - Aksentti2 6 2 2 3" xfId="6124" xr:uid="{00000000-0005-0000-0000-000009070000}"/>
    <cellStyle name="20 % - Aksentti2 6 2 2 4" xfId="14333" xr:uid="{00000000-0005-0000-0000-00000A070000}"/>
    <cellStyle name="20 % - Aksentti2 6 2 2_DataIX" xfId="29612" xr:uid="{00000000-0005-0000-0000-00000B070000}"/>
    <cellStyle name="20 % - Aksentti2 6 2 3" xfId="809" xr:uid="{00000000-0005-0000-0000-00000C070000}"/>
    <cellStyle name="20 % - Aksentti2 6 2 3 2" xfId="6126" xr:uid="{00000000-0005-0000-0000-00000D070000}"/>
    <cellStyle name="20 % - Aksentti2 6 2 3 3" xfId="14335" xr:uid="{00000000-0005-0000-0000-00000E070000}"/>
    <cellStyle name="20 % - Aksentti2 6 2 3_DataIX" xfId="29614" xr:uid="{00000000-0005-0000-0000-00000F070000}"/>
    <cellStyle name="20 % - Aksentti2 6 2 4" xfId="6123" xr:uid="{00000000-0005-0000-0000-000010070000}"/>
    <cellStyle name="20 % - Aksentti2 6 2 5" xfId="14332" xr:uid="{00000000-0005-0000-0000-000011070000}"/>
    <cellStyle name="20 % - Aksentti2 6 2_DataIX" xfId="29611" xr:uid="{00000000-0005-0000-0000-000012070000}"/>
    <cellStyle name="20 % - Aksentti2 6 3" xfId="810" xr:uid="{00000000-0005-0000-0000-000013070000}"/>
    <cellStyle name="20 % - Aksentti2 6 3 2" xfId="811" xr:uid="{00000000-0005-0000-0000-000014070000}"/>
    <cellStyle name="20 % - Aksentti2 6 3 2 2" xfId="6128" xr:uid="{00000000-0005-0000-0000-000015070000}"/>
    <cellStyle name="20 % - Aksentti2 6 3 2 3" xfId="14337" xr:uid="{00000000-0005-0000-0000-000016070000}"/>
    <cellStyle name="20 % - Aksentti2 6 3 2_DataIX" xfId="29616" xr:uid="{00000000-0005-0000-0000-000017070000}"/>
    <cellStyle name="20 % - Aksentti2 6 3 3" xfId="6127" xr:uid="{00000000-0005-0000-0000-000018070000}"/>
    <cellStyle name="20 % - Aksentti2 6 3 4" xfId="14336" xr:uid="{00000000-0005-0000-0000-000019070000}"/>
    <cellStyle name="20 % - Aksentti2 6 3_DataIX" xfId="29615" xr:uid="{00000000-0005-0000-0000-00001A070000}"/>
    <cellStyle name="20 % - Aksentti2 6 4" xfId="812" xr:uid="{00000000-0005-0000-0000-00001B070000}"/>
    <cellStyle name="20 % - Aksentti2 6 4 2" xfId="6129" xr:uid="{00000000-0005-0000-0000-00001C070000}"/>
    <cellStyle name="20 % - Aksentti2 6 4 3" xfId="14338" xr:uid="{00000000-0005-0000-0000-00001D070000}"/>
    <cellStyle name="20 % - Aksentti2 6 4_DataIX" xfId="29617" xr:uid="{00000000-0005-0000-0000-00001E070000}"/>
    <cellStyle name="20 % - Aksentti2 6 5" xfId="813" xr:uid="{00000000-0005-0000-0000-00001F070000}"/>
    <cellStyle name="20 % - Aksentti2 6 5 2" xfId="6130" xr:uid="{00000000-0005-0000-0000-000020070000}"/>
    <cellStyle name="20 % - Aksentti2 6 5 3" xfId="14339" xr:uid="{00000000-0005-0000-0000-000021070000}"/>
    <cellStyle name="20 % - Aksentti2 6 5_DataIX" xfId="29618" xr:uid="{00000000-0005-0000-0000-000022070000}"/>
    <cellStyle name="20 % - Aksentti2 6 6" xfId="814" xr:uid="{00000000-0005-0000-0000-000023070000}"/>
    <cellStyle name="20 % - Aksentti2 6 6 2" xfId="6131" xr:uid="{00000000-0005-0000-0000-000024070000}"/>
    <cellStyle name="20 % - Aksentti2 6 6 3" xfId="14340" xr:uid="{00000000-0005-0000-0000-000025070000}"/>
    <cellStyle name="20 % - Aksentti2 6 6_DataIX" xfId="29619" xr:uid="{00000000-0005-0000-0000-000026070000}"/>
    <cellStyle name="20 % - Aksentti2 6 7" xfId="815" xr:uid="{00000000-0005-0000-0000-000027070000}"/>
    <cellStyle name="20 % - Aksentti2 6 7 2" xfId="6132" xr:uid="{00000000-0005-0000-0000-000028070000}"/>
    <cellStyle name="20 % - Aksentti2 6 7 3" xfId="14341" xr:uid="{00000000-0005-0000-0000-000029070000}"/>
    <cellStyle name="20 % - Aksentti2 6 7_DataIX" xfId="29620" xr:uid="{00000000-0005-0000-0000-00002A070000}"/>
    <cellStyle name="20 % - Aksentti2 6 8" xfId="816" xr:uid="{00000000-0005-0000-0000-00002B070000}"/>
    <cellStyle name="20 % - Aksentti2 6 8 2" xfId="6133" xr:uid="{00000000-0005-0000-0000-00002C070000}"/>
    <cellStyle name="20 % - Aksentti2 6 8 3" xfId="14342" xr:uid="{00000000-0005-0000-0000-00002D070000}"/>
    <cellStyle name="20 % - Aksentti2 6 8_DataIX" xfId="29621" xr:uid="{00000000-0005-0000-0000-00002E070000}"/>
    <cellStyle name="20 % - Aksentti2 6 9" xfId="817" xr:uid="{00000000-0005-0000-0000-00002F070000}"/>
    <cellStyle name="20 % - Aksentti2 6 9 2" xfId="6134" xr:uid="{00000000-0005-0000-0000-000030070000}"/>
    <cellStyle name="20 % - Aksentti2 6 9 3" xfId="14343" xr:uid="{00000000-0005-0000-0000-000031070000}"/>
    <cellStyle name="20 % - Aksentti2 6 9_DataIX" xfId="29622" xr:uid="{00000000-0005-0000-0000-000032070000}"/>
    <cellStyle name="20 % - Aksentti2 6_DataIX" xfId="29609" xr:uid="{00000000-0005-0000-0000-000033070000}"/>
    <cellStyle name="20 % - Aksentti2 7" xfId="818" xr:uid="{00000000-0005-0000-0000-000034070000}"/>
    <cellStyle name="20 % - Aksentti2 7 10" xfId="819" xr:uid="{00000000-0005-0000-0000-000035070000}"/>
    <cellStyle name="20 % - Aksentti2 7 10 2" xfId="6136" xr:uid="{00000000-0005-0000-0000-000036070000}"/>
    <cellStyle name="20 % - Aksentti2 7 10 3" xfId="14345" xr:uid="{00000000-0005-0000-0000-000037070000}"/>
    <cellStyle name="20 % - Aksentti2 7 10_DataIX" xfId="29624" xr:uid="{00000000-0005-0000-0000-000038070000}"/>
    <cellStyle name="20 % - Aksentti2 7 11" xfId="6135" xr:uid="{00000000-0005-0000-0000-000039070000}"/>
    <cellStyle name="20 % - Aksentti2 7 12" xfId="14344" xr:uid="{00000000-0005-0000-0000-00003A070000}"/>
    <cellStyle name="20 % - Aksentti2 7 2" xfId="820" xr:uid="{00000000-0005-0000-0000-00003B070000}"/>
    <cellStyle name="20 % - Aksentti2 7 2 2" xfId="821" xr:uid="{00000000-0005-0000-0000-00003C070000}"/>
    <cellStyle name="20 % - Aksentti2 7 2 2 2" xfId="822" xr:uid="{00000000-0005-0000-0000-00003D070000}"/>
    <cellStyle name="20 % - Aksentti2 7 2 2 2 2" xfId="6139" xr:uid="{00000000-0005-0000-0000-00003E070000}"/>
    <cellStyle name="20 % - Aksentti2 7 2 2 2 3" xfId="14348" xr:uid="{00000000-0005-0000-0000-00003F070000}"/>
    <cellStyle name="20 % - Aksentti2 7 2 2 2_DataIX" xfId="29627" xr:uid="{00000000-0005-0000-0000-000040070000}"/>
    <cellStyle name="20 % - Aksentti2 7 2 2 3" xfId="6138" xr:uid="{00000000-0005-0000-0000-000041070000}"/>
    <cellStyle name="20 % - Aksentti2 7 2 2 4" xfId="14347" xr:uid="{00000000-0005-0000-0000-000042070000}"/>
    <cellStyle name="20 % - Aksentti2 7 2 2_DataIX" xfId="29626" xr:uid="{00000000-0005-0000-0000-000043070000}"/>
    <cellStyle name="20 % - Aksentti2 7 2 3" xfId="823" xr:uid="{00000000-0005-0000-0000-000044070000}"/>
    <cellStyle name="20 % - Aksentti2 7 2 3 2" xfId="6140" xr:uid="{00000000-0005-0000-0000-000045070000}"/>
    <cellStyle name="20 % - Aksentti2 7 2 3 3" xfId="14349" xr:uid="{00000000-0005-0000-0000-000046070000}"/>
    <cellStyle name="20 % - Aksentti2 7 2 3_DataIX" xfId="29628" xr:uid="{00000000-0005-0000-0000-000047070000}"/>
    <cellStyle name="20 % - Aksentti2 7 2 4" xfId="6137" xr:uid="{00000000-0005-0000-0000-000048070000}"/>
    <cellStyle name="20 % - Aksentti2 7 2 5" xfId="14346" xr:uid="{00000000-0005-0000-0000-000049070000}"/>
    <cellStyle name="20 % - Aksentti2 7 2_DataIX" xfId="29625" xr:uid="{00000000-0005-0000-0000-00004A070000}"/>
    <cellStyle name="20 % - Aksentti2 7 3" xfId="824" xr:uid="{00000000-0005-0000-0000-00004B070000}"/>
    <cellStyle name="20 % - Aksentti2 7 3 2" xfId="825" xr:uid="{00000000-0005-0000-0000-00004C070000}"/>
    <cellStyle name="20 % - Aksentti2 7 3 2 2" xfId="6142" xr:uid="{00000000-0005-0000-0000-00004D070000}"/>
    <cellStyle name="20 % - Aksentti2 7 3 2 3" xfId="14351" xr:uid="{00000000-0005-0000-0000-00004E070000}"/>
    <cellStyle name="20 % - Aksentti2 7 3 2_DataIX" xfId="29630" xr:uid="{00000000-0005-0000-0000-00004F070000}"/>
    <cellStyle name="20 % - Aksentti2 7 3 3" xfId="6141" xr:uid="{00000000-0005-0000-0000-000050070000}"/>
    <cellStyle name="20 % - Aksentti2 7 3 4" xfId="14350" xr:uid="{00000000-0005-0000-0000-000051070000}"/>
    <cellStyle name="20 % - Aksentti2 7 3_DataIX" xfId="29629" xr:uid="{00000000-0005-0000-0000-000052070000}"/>
    <cellStyle name="20 % - Aksentti2 7 4" xfId="826" xr:uid="{00000000-0005-0000-0000-000053070000}"/>
    <cellStyle name="20 % - Aksentti2 7 4 2" xfId="6143" xr:uid="{00000000-0005-0000-0000-000054070000}"/>
    <cellStyle name="20 % - Aksentti2 7 4 3" xfId="14352" xr:uid="{00000000-0005-0000-0000-000055070000}"/>
    <cellStyle name="20 % - Aksentti2 7 4_DataIX" xfId="29631" xr:uid="{00000000-0005-0000-0000-000056070000}"/>
    <cellStyle name="20 % - Aksentti2 7 5" xfId="827" xr:uid="{00000000-0005-0000-0000-000057070000}"/>
    <cellStyle name="20 % - Aksentti2 7 5 2" xfId="6144" xr:uid="{00000000-0005-0000-0000-000058070000}"/>
    <cellStyle name="20 % - Aksentti2 7 5 3" xfId="14353" xr:uid="{00000000-0005-0000-0000-000059070000}"/>
    <cellStyle name="20 % - Aksentti2 7 5_DataIX" xfId="29632" xr:uid="{00000000-0005-0000-0000-00005A070000}"/>
    <cellStyle name="20 % - Aksentti2 7 6" xfId="828" xr:uid="{00000000-0005-0000-0000-00005B070000}"/>
    <cellStyle name="20 % - Aksentti2 7 6 2" xfId="6145" xr:uid="{00000000-0005-0000-0000-00005C070000}"/>
    <cellStyle name="20 % - Aksentti2 7 6 3" xfId="14354" xr:uid="{00000000-0005-0000-0000-00005D070000}"/>
    <cellStyle name="20 % - Aksentti2 7 6_DataIX" xfId="29633" xr:uid="{00000000-0005-0000-0000-00005E070000}"/>
    <cellStyle name="20 % - Aksentti2 7 7" xfId="829" xr:uid="{00000000-0005-0000-0000-00005F070000}"/>
    <cellStyle name="20 % - Aksentti2 7 7 2" xfId="6146" xr:uid="{00000000-0005-0000-0000-000060070000}"/>
    <cellStyle name="20 % - Aksentti2 7 7 3" xfId="14355" xr:uid="{00000000-0005-0000-0000-000061070000}"/>
    <cellStyle name="20 % - Aksentti2 7 7_DataIX" xfId="29634" xr:uid="{00000000-0005-0000-0000-000062070000}"/>
    <cellStyle name="20 % - Aksentti2 7 8" xfId="830" xr:uid="{00000000-0005-0000-0000-000063070000}"/>
    <cellStyle name="20 % - Aksentti2 7 8 2" xfId="6147" xr:uid="{00000000-0005-0000-0000-000064070000}"/>
    <cellStyle name="20 % - Aksentti2 7 8 3" xfId="14356" xr:uid="{00000000-0005-0000-0000-000065070000}"/>
    <cellStyle name="20 % - Aksentti2 7 8_DataIX" xfId="29635" xr:uid="{00000000-0005-0000-0000-000066070000}"/>
    <cellStyle name="20 % - Aksentti2 7 9" xfId="831" xr:uid="{00000000-0005-0000-0000-000067070000}"/>
    <cellStyle name="20 % - Aksentti2 7 9 2" xfId="6148" xr:uid="{00000000-0005-0000-0000-000068070000}"/>
    <cellStyle name="20 % - Aksentti2 7 9 3" xfId="14357" xr:uid="{00000000-0005-0000-0000-000069070000}"/>
    <cellStyle name="20 % - Aksentti2 7 9_DataIX" xfId="29636" xr:uid="{00000000-0005-0000-0000-00006A070000}"/>
    <cellStyle name="20 % - Aksentti2 7_DataIX" xfId="29623" xr:uid="{00000000-0005-0000-0000-00006B070000}"/>
    <cellStyle name="20 % - Aksentti2 8" xfId="832" xr:uid="{00000000-0005-0000-0000-00006C070000}"/>
    <cellStyle name="20 % - Aksentti2 8 10" xfId="833" xr:uid="{00000000-0005-0000-0000-00006D070000}"/>
    <cellStyle name="20 % - Aksentti2 8 10 2" xfId="6150" xr:uid="{00000000-0005-0000-0000-00006E070000}"/>
    <cellStyle name="20 % - Aksentti2 8 10 3" xfId="14359" xr:uid="{00000000-0005-0000-0000-00006F070000}"/>
    <cellStyle name="20 % - Aksentti2 8 10_DataIX" xfId="29638" xr:uid="{00000000-0005-0000-0000-000070070000}"/>
    <cellStyle name="20 % - Aksentti2 8 11" xfId="6149" xr:uid="{00000000-0005-0000-0000-000071070000}"/>
    <cellStyle name="20 % - Aksentti2 8 12" xfId="14358" xr:uid="{00000000-0005-0000-0000-000072070000}"/>
    <cellStyle name="20 % - Aksentti2 8 2" xfId="834" xr:uid="{00000000-0005-0000-0000-000073070000}"/>
    <cellStyle name="20 % - Aksentti2 8 2 2" xfId="835" xr:uid="{00000000-0005-0000-0000-000074070000}"/>
    <cellStyle name="20 % - Aksentti2 8 2 2 2" xfId="836" xr:uid="{00000000-0005-0000-0000-000075070000}"/>
    <cellStyle name="20 % - Aksentti2 8 2 2 2 2" xfId="6153" xr:uid="{00000000-0005-0000-0000-000076070000}"/>
    <cellStyle name="20 % - Aksentti2 8 2 2 2 3" xfId="14362" xr:uid="{00000000-0005-0000-0000-000077070000}"/>
    <cellStyle name="20 % - Aksentti2 8 2 2 2_DataIX" xfId="29641" xr:uid="{00000000-0005-0000-0000-000078070000}"/>
    <cellStyle name="20 % - Aksentti2 8 2 2 3" xfId="6152" xr:uid="{00000000-0005-0000-0000-000079070000}"/>
    <cellStyle name="20 % - Aksentti2 8 2 2 4" xfId="14361" xr:uid="{00000000-0005-0000-0000-00007A070000}"/>
    <cellStyle name="20 % - Aksentti2 8 2 2_DataIX" xfId="29640" xr:uid="{00000000-0005-0000-0000-00007B070000}"/>
    <cellStyle name="20 % - Aksentti2 8 2 3" xfId="837" xr:uid="{00000000-0005-0000-0000-00007C070000}"/>
    <cellStyle name="20 % - Aksentti2 8 2 3 2" xfId="6154" xr:uid="{00000000-0005-0000-0000-00007D070000}"/>
    <cellStyle name="20 % - Aksentti2 8 2 3 3" xfId="14363" xr:uid="{00000000-0005-0000-0000-00007E070000}"/>
    <cellStyle name="20 % - Aksentti2 8 2 3_DataIX" xfId="29642" xr:uid="{00000000-0005-0000-0000-00007F070000}"/>
    <cellStyle name="20 % - Aksentti2 8 2 4" xfId="6151" xr:uid="{00000000-0005-0000-0000-000080070000}"/>
    <cellStyle name="20 % - Aksentti2 8 2 5" xfId="14360" xr:uid="{00000000-0005-0000-0000-000081070000}"/>
    <cellStyle name="20 % - Aksentti2 8 2_DataIX" xfId="29639" xr:uid="{00000000-0005-0000-0000-000082070000}"/>
    <cellStyle name="20 % - Aksentti2 8 3" xfId="838" xr:uid="{00000000-0005-0000-0000-000083070000}"/>
    <cellStyle name="20 % - Aksentti2 8 3 2" xfId="839" xr:uid="{00000000-0005-0000-0000-000084070000}"/>
    <cellStyle name="20 % - Aksentti2 8 3 2 2" xfId="6156" xr:uid="{00000000-0005-0000-0000-000085070000}"/>
    <cellStyle name="20 % - Aksentti2 8 3 2 3" xfId="14365" xr:uid="{00000000-0005-0000-0000-000086070000}"/>
    <cellStyle name="20 % - Aksentti2 8 3 2_DataIX" xfId="29644" xr:uid="{00000000-0005-0000-0000-000087070000}"/>
    <cellStyle name="20 % - Aksentti2 8 3 3" xfId="6155" xr:uid="{00000000-0005-0000-0000-000088070000}"/>
    <cellStyle name="20 % - Aksentti2 8 3 4" xfId="14364" xr:uid="{00000000-0005-0000-0000-000089070000}"/>
    <cellStyle name="20 % - Aksentti2 8 3_DataIX" xfId="29643" xr:uid="{00000000-0005-0000-0000-00008A070000}"/>
    <cellStyle name="20 % - Aksentti2 8 4" xfId="840" xr:uid="{00000000-0005-0000-0000-00008B070000}"/>
    <cellStyle name="20 % - Aksentti2 8 4 2" xfId="6157" xr:uid="{00000000-0005-0000-0000-00008C070000}"/>
    <cellStyle name="20 % - Aksentti2 8 4 3" xfId="14366" xr:uid="{00000000-0005-0000-0000-00008D070000}"/>
    <cellStyle name="20 % - Aksentti2 8 4_DataIX" xfId="29645" xr:uid="{00000000-0005-0000-0000-00008E070000}"/>
    <cellStyle name="20 % - Aksentti2 8 5" xfId="841" xr:uid="{00000000-0005-0000-0000-00008F070000}"/>
    <cellStyle name="20 % - Aksentti2 8 5 2" xfId="6158" xr:uid="{00000000-0005-0000-0000-000090070000}"/>
    <cellStyle name="20 % - Aksentti2 8 5 3" xfId="14367" xr:uid="{00000000-0005-0000-0000-000091070000}"/>
    <cellStyle name="20 % - Aksentti2 8 5_DataIX" xfId="29646" xr:uid="{00000000-0005-0000-0000-000092070000}"/>
    <cellStyle name="20 % - Aksentti2 8 6" xfId="842" xr:uid="{00000000-0005-0000-0000-000093070000}"/>
    <cellStyle name="20 % - Aksentti2 8 6 2" xfId="6159" xr:uid="{00000000-0005-0000-0000-000094070000}"/>
    <cellStyle name="20 % - Aksentti2 8 6 3" xfId="14368" xr:uid="{00000000-0005-0000-0000-000095070000}"/>
    <cellStyle name="20 % - Aksentti2 8 6_DataIX" xfId="29647" xr:uid="{00000000-0005-0000-0000-000096070000}"/>
    <cellStyle name="20 % - Aksentti2 8 7" xfId="843" xr:uid="{00000000-0005-0000-0000-000097070000}"/>
    <cellStyle name="20 % - Aksentti2 8 7 2" xfId="6160" xr:uid="{00000000-0005-0000-0000-000098070000}"/>
    <cellStyle name="20 % - Aksentti2 8 7 3" xfId="14369" xr:uid="{00000000-0005-0000-0000-000099070000}"/>
    <cellStyle name="20 % - Aksentti2 8 7_DataIX" xfId="29648" xr:uid="{00000000-0005-0000-0000-00009A070000}"/>
    <cellStyle name="20 % - Aksentti2 8 8" xfId="844" xr:uid="{00000000-0005-0000-0000-00009B070000}"/>
    <cellStyle name="20 % - Aksentti2 8 8 2" xfId="6161" xr:uid="{00000000-0005-0000-0000-00009C070000}"/>
    <cellStyle name="20 % - Aksentti2 8 8 3" xfId="14370" xr:uid="{00000000-0005-0000-0000-00009D070000}"/>
    <cellStyle name="20 % - Aksentti2 8 8_DataIX" xfId="29649" xr:uid="{00000000-0005-0000-0000-00009E070000}"/>
    <cellStyle name="20 % - Aksentti2 8 9" xfId="845" xr:uid="{00000000-0005-0000-0000-00009F070000}"/>
    <cellStyle name="20 % - Aksentti2 8 9 2" xfId="6162" xr:uid="{00000000-0005-0000-0000-0000A0070000}"/>
    <cellStyle name="20 % - Aksentti2 8 9 3" xfId="14371" xr:uid="{00000000-0005-0000-0000-0000A1070000}"/>
    <cellStyle name="20 % - Aksentti2 8 9_DataIX" xfId="29650" xr:uid="{00000000-0005-0000-0000-0000A2070000}"/>
    <cellStyle name="20 % - Aksentti2 8_DataIX" xfId="29637" xr:uid="{00000000-0005-0000-0000-0000A3070000}"/>
    <cellStyle name="20 % - Aksentti2 9" xfId="846" xr:uid="{00000000-0005-0000-0000-0000A4070000}"/>
    <cellStyle name="20 % - Aksentti2 9 10" xfId="847" xr:uid="{00000000-0005-0000-0000-0000A5070000}"/>
    <cellStyle name="20 % - Aksentti2 9 10 2" xfId="6164" xr:uid="{00000000-0005-0000-0000-0000A6070000}"/>
    <cellStyle name="20 % - Aksentti2 9 10 3" xfId="14373" xr:uid="{00000000-0005-0000-0000-0000A7070000}"/>
    <cellStyle name="20 % - Aksentti2 9 10_DataIX" xfId="29652" xr:uid="{00000000-0005-0000-0000-0000A8070000}"/>
    <cellStyle name="20 % - Aksentti2 9 11" xfId="6163" xr:uid="{00000000-0005-0000-0000-0000A9070000}"/>
    <cellStyle name="20 % - Aksentti2 9 12" xfId="14372" xr:uid="{00000000-0005-0000-0000-0000AA070000}"/>
    <cellStyle name="20 % - Aksentti2 9 2" xfId="848" xr:uid="{00000000-0005-0000-0000-0000AB070000}"/>
    <cellStyle name="20 % - Aksentti2 9 2 2" xfId="849" xr:uid="{00000000-0005-0000-0000-0000AC070000}"/>
    <cellStyle name="20 % - Aksentti2 9 2 2 2" xfId="850" xr:uid="{00000000-0005-0000-0000-0000AD070000}"/>
    <cellStyle name="20 % - Aksentti2 9 2 2 2 2" xfId="6167" xr:uid="{00000000-0005-0000-0000-0000AE070000}"/>
    <cellStyle name="20 % - Aksentti2 9 2 2 2 3" xfId="14376" xr:uid="{00000000-0005-0000-0000-0000AF070000}"/>
    <cellStyle name="20 % - Aksentti2 9 2 2 2_DataIX" xfId="29655" xr:uid="{00000000-0005-0000-0000-0000B0070000}"/>
    <cellStyle name="20 % - Aksentti2 9 2 2 3" xfId="6166" xr:uid="{00000000-0005-0000-0000-0000B1070000}"/>
    <cellStyle name="20 % - Aksentti2 9 2 2 4" xfId="14375" xr:uid="{00000000-0005-0000-0000-0000B2070000}"/>
    <cellStyle name="20 % - Aksentti2 9 2 2_DataIX" xfId="29654" xr:uid="{00000000-0005-0000-0000-0000B3070000}"/>
    <cellStyle name="20 % - Aksentti2 9 2 3" xfId="851" xr:uid="{00000000-0005-0000-0000-0000B4070000}"/>
    <cellStyle name="20 % - Aksentti2 9 2 3 2" xfId="6168" xr:uid="{00000000-0005-0000-0000-0000B5070000}"/>
    <cellStyle name="20 % - Aksentti2 9 2 3 3" xfId="14377" xr:uid="{00000000-0005-0000-0000-0000B6070000}"/>
    <cellStyle name="20 % - Aksentti2 9 2 3_DataIX" xfId="29656" xr:uid="{00000000-0005-0000-0000-0000B7070000}"/>
    <cellStyle name="20 % - Aksentti2 9 2 4" xfId="6165" xr:uid="{00000000-0005-0000-0000-0000B8070000}"/>
    <cellStyle name="20 % - Aksentti2 9 2 5" xfId="14374" xr:uid="{00000000-0005-0000-0000-0000B9070000}"/>
    <cellStyle name="20 % - Aksentti2 9 2_DataIX" xfId="29653" xr:uid="{00000000-0005-0000-0000-0000BA070000}"/>
    <cellStyle name="20 % - Aksentti2 9 3" xfId="852" xr:uid="{00000000-0005-0000-0000-0000BB070000}"/>
    <cellStyle name="20 % - Aksentti2 9 3 2" xfId="853" xr:uid="{00000000-0005-0000-0000-0000BC070000}"/>
    <cellStyle name="20 % - Aksentti2 9 3 2 2" xfId="6170" xr:uid="{00000000-0005-0000-0000-0000BD070000}"/>
    <cellStyle name="20 % - Aksentti2 9 3 2 3" xfId="14379" xr:uid="{00000000-0005-0000-0000-0000BE070000}"/>
    <cellStyle name="20 % - Aksentti2 9 3 2_DataIX" xfId="29658" xr:uid="{00000000-0005-0000-0000-0000BF070000}"/>
    <cellStyle name="20 % - Aksentti2 9 3 3" xfId="6169" xr:uid="{00000000-0005-0000-0000-0000C0070000}"/>
    <cellStyle name="20 % - Aksentti2 9 3 4" xfId="14378" xr:uid="{00000000-0005-0000-0000-0000C1070000}"/>
    <cellStyle name="20 % - Aksentti2 9 3_DataIX" xfId="29657" xr:uid="{00000000-0005-0000-0000-0000C2070000}"/>
    <cellStyle name="20 % - Aksentti2 9 4" xfId="854" xr:uid="{00000000-0005-0000-0000-0000C3070000}"/>
    <cellStyle name="20 % - Aksentti2 9 4 2" xfId="6171" xr:uid="{00000000-0005-0000-0000-0000C4070000}"/>
    <cellStyle name="20 % - Aksentti2 9 4 3" xfId="14380" xr:uid="{00000000-0005-0000-0000-0000C5070000}"/>
    <cellStyle name="20 % - Aksentti2 9 4_DataIX" xfId="29659" xr:uid="{00000000-0005-0000-0000-0000C6070000}"/>
    <cellStyle name="20 % - Aksentti2 9 5" xfId="855" xr:uid="{00000000-0005-0000-0000-0000C7070000}"/>
    <cellStyle name="20 % - Aksentti2 9 5 2" xfId="6172" xr:uid="{00000000-0005-0000-0000-0000C8070000}"/>
    <cellStyle name="20 % - Aksentti2 9 5 3" xfId="14381" xr:uid="{00000000-0005-0000-0000-0000C9070000}"/>
    <cellStyle name="20 % - Aksentti2 9 5_DataIX" xfId="29660" xr:uid="{00000000-0005-0000-0000-0000CA070000}"/>
    <cellStyle name="20 % - Aksentti2 9 6" xfId="856" xr:uid="{00000000-0005-0000-0000-0000CB070000}"/>
    <cellStyle name="20 % - Aksentti2 9 6 2" xfId="6173" xr:uid="{00000000-0005-0000-0000-0000CC070000}"/>
    <cellStyle name="20 % - Aksentti2 9 6 3" xfId="14382" xr:uid="{00000000-0005-0000-0000-0000CD070000}"/>
    <cellStyle name="20 % - Aksentti2 9 6_DataIX" xfId="29661" xr:uid="{00000000-0005-0000-0000-0000CE070000}"/>
    <cellStyle name="20 % - Aksentti2 9 7" xfId="857" xr:uid="{00000000-0005-0000-0000-0000CF070000}"/>
    <cellStyle name="20 % - Aksentti2 9 7 2" xfId="6174" xr:uid="{00000000-0005-0000-0000-0000D0070000}"/>
    <cellStyle name="20 % - Aksentti2 9 7 3" xfId="14383" xr:uid="{00000000-0005-0000-0000-0000D1070000}"/>
    <cellStyle name="20 % - Aksentti2 9 7_DataIX" xfId="29662" xr:uid="{00000000-0005-0000-0000-0000D2070000}"/>
    <cellStyle name="20 % - Aksentti2 9 8" xfId="858" xr:uid="{00000000-0005-0000-0000-0000D3070000}"/>
    <cellStyle name="20 % - Aksentti2 9 8 2" xfId="6175" xr:uid="{00000000-0005-0000-0000-0000D4070000}"/>
    <cellStyle name="20 % - Aksentti2 9 8 3" xfId="14384" xr:uid="{00000000-0005-0000-0000-0000D5070000}"/>
    <cellStyle name="20 % - Aksentti2 9 8_DataIX" xfId="29663" xr:uid="{00000000-0005-0000-0000-0000D6070000}"/>
    <cellStyle name="20 % - Aksentti2 9 9" xfId="859" xr:uid="{00000000-0005-0000-0000-0000D7070000}"/>
    <cellStyle name="20 % - Aksentti2 9 9 2" xfId="6176" xr:uid="{00000000-0005-0000-0000-0000D8070000}"/>
    <cellStyle name="20 % - Aksentti2 9 9 3" xfId="14385" xr:uid="{00000000-0005-0000-0000-0000D9070000}"/>
    <cellStyle name="20 % - Aksentti2 9 9_DataIX" xfId="29664" xr:uid="{00000000-0005-0000-0000-0000DA070000}"/>
    <cellStyle name="20 % - Aksentti2 9_DataIX" xfId="29651" xr:uid="{00000000-0005-0000-0000-0000DB070000}"/>
    <cellStyle name="20 % - Aksentti2_##KansantalKehitys" xfId="5407" xr:uid="{00000000-0005-0000-0000-0000DC070000}"/>
    <cellStyle name="20 % - Aksentti3" xfId="330" xr:uid="{00000000-0005-0000-0000-0000DD070000}"/>
    <cellStyle name="20 % - Aksentti3 10" xfId="860" xr:uid="{00000000-0005-0000-0000-0000DE070000}"/>
    <cellStyle name="20 % - Aksentti3 10 10" xfId="861" xr:uid="{00000000-0005-0000-0000-0000DF070000}"/>
    <cellStyle name="20 % - Aksentti3 10 10 2" xfId="6178" xr:uid="{00000000-0005-0000-0000-0000E0070000}"/>
    <cellStyle name="20 % - Aksentti3 10 10 3" xfId="14387" xr:uid="{00000000-0005-0000-0000-0000E1070000}"/>
    <cellStyle name="20 % - Aksentti3 10 10_DataIX" xfId="29666" xr:uid="{00000000-0005-0000-0000-0000E2070000}"/>
    <cellStyle name="20 % - Aksentti3 10 11" xfId="6177" xr:uid="{00000000-0005-0000-0000-0000E3070000}"/>
    <cellStyle name="20 % - Aksentti3 10 12" xfId="14386" xr:uid="{00000000-0005-0000-0000-0000E4070000}"/>
    <cellStyle name="20 % - Aksentti3 10 2" xfId="862" xr:uid="{00000000-0005-0000-0000-0000E5070000}"/>
    <cellStyle name="20 % - Aksentti3 10 2 2" xfId="863" xr:uid="{00000000-0005-0000-0000-0000E6070000}"/>
    <cellStyle name="20 % - Aksentti3 10 2 2 2" xfId="864" xr:uid="{00000000-0005-0000-0000-0000E7070000}"/>
    <cellStyle name="20 % - Aksentti3 10 2 2 2 2" xfId="6181" xr:uid="{00000000-0005-0000-0000-0000E8070000}"/>
    <cellStyle name="20 % - Aksentti3 10 2 2 2 3" xfId="14390" xr:uid="{00000000-0005-0000-0000-0000E9070000}"/>
    <cellStyle name="20 % - Aksentti3 10 2 2 2_DataIX" xfId="29669" xr:uid="{00000000-0005-0000-0000-0000EA070000}"/>
    <cellStyle name="20 % - Aksentti3 10 2 2 3" xfId="6180" xr:uid="{00000000-0005-0000-0000-0000EB070000}"/>
    <cellStyle name="20 % - Aksentti3 10 2 2 4" xfId="14389" xr:uid="{00000000-0005-0000-0000-0000EC070000}"/>
    <cellStyle name="20 % - Aksentti3 10 2 2_DataIX" xfId="29668" xr:uid="{00000000-0005-0000-0000-0000ED070000}"/>
    <cellStyle name="20 % - Aksentti3 10 2 3" xfId="865" xr:uid="{00000000-0005-0000-0000-0000EE070000}"/>
    <cellStyle name="20 % - Aksentti3 10 2 3 2" xfId="6182" xr:uid="{00000000-0005-0000-0000-0000EF070000}"/>
    <cellStyle name="20 % - Aksentti3 10 2 3 3" xfId="14391" xr:uid="{00000000-0005-0000-0000-0000F0070000}"/>
    <cellStyle name="20 % - Aksentti3 10 2 3_DataIX" xfId="29670" xr:uid="{00000000-0005-0000-0000-0000F1070000}"/>
    <cellStyle name="20 % - Aksentti3 10 2 4" xfId="6179" xr:uid="{00000000-0005-0000-0000-0000F2070000}"/>
    <cellStyle name="20 % - Aksentti3 10 2 5" xfId="14388" xr:uid="{00000000-0005-0000-0000-0000F3070000}"/>
    <cellStyle name="20 % - Aksentti3 10 2_DataIX" xfId="29667" xr:uid="{00000000-0005-0000-0000-0000F4070000}"/>
    <cellStyle name="20 % - Aksentti3 10 3" xfId="866" xr:uid="{00000000-0005-0000-0000-0000F5070000}"/>
    <cellStyle name="20 % - Aksentti3 10 3 2" xfId="867" xr:uid="{00000000-0005-0000-0000-0000F6070000}"/>
    <cellStyle name="20 % - Aksentti3 10 3 2 2" xfId="6184" xr:uid="{00000000-0005-0000-0000-0000F7070000}"/>
    <cellStyle name="20 % - Aksentti3 10 3 2 3" xfId="14393" xr:uid="{00000000-0005-0000-0000-0000F8070000}"/>
    <cellStyle name="20 % - Aksentti3 10 3 2_DataIX" xfId="29672" xr:uid="{00000000-0005-0000-0000-0000F9070000}"/>
    <cellStyle name="20 % - Aksentti3 10 3 3" xfId="6183" xr:uid="{00000000-0005-0000-0000-0000FA070000}"/>
    <cellStyle name="20 % - Aksentti3 10 3 4" xfId="14392" xr:uid="{00000000-0005-0000-0000-0000FB070000}"/>
    <cellStyle name="20 % - Aksentti3 10 3_DataIX" xfId="29671" xr:uid="{00000000-0005-0000-0000-0000FC070000}"/>
    <cellStyle name="20 % - Aksentti3 10 4" xfId="868" xr:uid="{00000000-0005-0000-0000-0000FD070000}"/>
    <cellStyle name="20 % - Aksentti3 10 4 2" xfId="6185" xr:uid="{00000000-0005-0000-0000-0000FE070000}"/>
    <cellStyle name="20 % - Aksentti3 10 4 3" xfId="14394" xr:uid="{00000000-0005-0000-0000-0000FF070000}"/>
    <cellStyle name="20 % - Aksentti3 10 4_DataIX" xfId="29673" xr:uid="{00000000-0005-0000-0000-000000080000}"/>
    <cellStyle name="20 % - Aksentti3 10 5" xfId="869" xr:uid="{00000000-0005-0000-0000-000001080000}"/>
    <cellStyle name="20 % - Aksentti3 10 5 2" xfId="6186" xr:uid="{00000000-0005-0000-0000-000002080000}"/>
    <cellStyle name="20 % - Aksentti3 10 5 3" xfId="14395" xr:uid="{00000000-0005-0000-0000-000003080000}"/>
    <cellStyle name="20 % - Aksentti3 10 5_DataIX" xfId="29674" xr:uid="{00000000-0005-0000-0000-000004080000}"/>
    <cellStyle name="20 % - Aksentti3 10 6" xfId="870" xr:uid="{00000000-0005-0000-0000-000005080000}"/>
    <cellStyle name="20 % - Aksentti3 10 6 2" xfId="6187" xr:uid="{00000000-0005-0000-0000-000006080000}"/>
    <cellStyle name="20 % - Aksentti3 10 6 3" xfId="14396" xr:uid="{00000000-0005-0000-0000-000007080000}"/>
    <cellStyle name="20 % - Aksentti3 10 6_DataIX" xfId="29675" xr:uid="{00000000-0005-0000-0000-000008080000}"/>
    <cellStyle name="20 % - Aksentti3 10 7" xfId="871" xr:uid="{00000000-0005-0000-0000-000009080000}"/>
    <cellStyle name="20 % - Aksentti3 10 7 2" xfId="6188" xr:uid="{00000000-0005-0000-0000-00000A080000}"/>
    <cellStyle name="20 % - Aksentti3 10 7 3" xfId="14397" xr:uid="{00000000-0005-0000-0000-00000B080000}"/>
    <cellStyle name="20 % - Aksentti3 10 7_DataIX" xfId="29676" xr:uid="{00000000-0005-0000-0000-00000C080000}"/>
    <cellStyle name="20 % - Aksentti3 10 8" xfId="872" xr:uid="{00000000-0005-0000-0000-00000D080000}"/>
    <cellStyle name="20 % - Aksentti3 10 8 2" xfId="6189" xr:uid="{00000000-0005-0000-0000-00000E080000}"/>
    <cellStyle name="20 % - Aksentti3 10 8 3" xfId="14398" xr:uid="{00000000-0005-0000-0000-00000F080000}"/>
    <cellStyle name="20 % - Aksentti3 10 8_DataIX" xfId="29677" xr:uid="{00000000-0005-0000-0000-000010080000}"/>
    <cellStyle name="20 % - Aksentti3 10 9" xfId="873" xr:uid="{00000000-0005-0000-0000-000011080000}"/>
    <cellStyle name="20 % - Aksentti3 10 9 2" xfId="6190" xr:uid="{00000000-0005-0000-0000-000012080000}"/>
    <cellStyle name="20 % - Aksentti3 10 9 3" xfId="14399" xr:uid="{00000000-0005-0000-0000-000013080000}"/>
    <cellStyle name="20 % - Aksentti3 10 9_DataIX" xfId="29678" xr:uid="{00000000-0005-0000-0000-000014080000}"/>
    <cellStyle name="20 % - Aksentti3 10_DataIX" xfId="29665" xr:uid="{00000000-0005-0000-0000-000015080000}"/>
    <cellStyle name="20 % - Aksentti3 11" xfId="874" xr:uid="{00000000-0005-0000-0000-000016080000}"/>
    <cellStyle name="20 % - Aksentti3 11 10" xfId="875" xr:uid="{00000000-0005-0000-0000-000017080000}"/>
    <cellStyle name="20 % - Aksentti3 11 10 2" xfId="6192" xr:uid="{00000000-0005-0000-0000-000018080000}"/>
    <cellStyle name="20 % - Aksentti3 11 10 3" xfId="14401" xr:uid="{00000000-0005-0000-0000-000019080000}"/>
    <cellStyle name="20 % - Aksentti3 11 10_DataIX" xfId="29680" xr:uid="{00000000-0005-0000-0000-00001A080000}"/>
    <cellStyle name="20 % - Aksentti3 11 11" xfId="6191" xr:uid="{00000000-0005-0000-0000-00001B080000}"/>
    <cellStyle name="20 % - Aksentti3 11 12" xfId="14400" xr:uid="{00000000-0005-0000-0000-00001C080000}"/>
    <cellStyle name="20 % - Aksentti3 11 2" xfId="876" xr:uid="{00000000-0005-0000-0000-00001D080000}"/>
    <cellStyle name="20 % - Aksentti3 11 2 2" xfId="877" xr:uid="{00000000-0005-0000-0000-00001E080000}"/>
    <cellStyle name="20 % - Aksentti3 11 2 2 2" xfId="878" xr:uid="{00000000-0005-0000-0000-00001F080000}"/>
    <cellStyle name="20 % - Aksentti3 11 2 2 2 2" xfId="6195" xr:uid="{00000000-0005-0000-0000-000020080000}"/>
    <cellStyle name="20 % - Aksentti3 11 2 2 2 3" xfId="14404" xr:uid="{00000000-0005-0000-0000-000021080000}"/>
    <cellStyle name="20 % - Aksentti3 11 2 2 2_DataIX" xfId="29683" xr:uid="{00000000-0005-0000-0000-000022080000}"/>
    <cellStyle name="20 % - Aksentti3 11 2 2 3" xfId="6194" xr:uid="{00000000-0005-0000-0000-000023080000}"/>
    <cellStyle name="20 % - Aksentti3 11 2 2 4" xfId="14403" xr:uid="{00000000-0005-0000-0000-000024080000}"/>
    <cellStyle name="20 % - Aksentti3 11 2 2_DataIX" xfId="29682" xr:uid="{00000000-0005-0000-0000-000025080000}"/>
    <cellStyle name="20 % - Aksentti3 11 2 3" xfId="879" xr:uid="{00000000-0005-0000-0000-000026080000}"/>
    <cellStyle name="20 % - Aksentti3 11 2 3 2" xfId="6196" xr:uid="{00000000-0005-0000-0000-000027080000}"/>
    <cellStyle name="20 % - Aksentti3 11 2 3 3" xfId="14405" xr:uid="{00000000-0005-0000-0000-000028080000}"/>
    <cellStyle name="20 % - Aksentti3 11 2 3_DataIX" xfId="29684" xr:uid="{00000000-0005-0000-0000-000029080000}"/>
    <cellStyle name="20 % - Aksentti3 11 2 4" xfId="6193" xr:uid="{00000000-0005-0000-0000-00002A080000}"/>
    <cellStyle name="20 % - Aksentti3 11 2 5" xfId="14402" xr:uid="{00000000-0005-0000-0000-00002B080000}"/>
    <cellStyle name="20 % - Aksentti3 11 2_DataIX" xfId="29681" xr:uid="{00000000-0005-0000-0000-00002C080000}"/>
    <cellStyle name="20 % - Aksentti3 11 3" xfId="880" xr:uid="{00000000-0005-0000-0000-00002D080000}"/>
    <cellStyle name="20 % - Aksentti3 11 3 2" xfId="881" xr:uid="{00000000-0005-0000-0000-00002E080000}"/>
    <cellStyle name="20 % - Aksentti3 11 3 2 2" xfId="6198" xr:uid="{00000000-0005-0000-0000-00002F080000}"/>
    <cellStyle name="20 % - Aksentti3 11 3 2 3" xfId="14407" xr:uid="{00000000-0005-0000-0000-000030080000}"/>
    <cellStyle name="20 % - Aksentti3 11 3 2_DataIX" xfId="29686" xr:uid="{00000000-0005-0000-0000-000031080000}"/>
    <cellStyle name="20 % - Aksentti3 11 3 3" xfId="6197" xr:uid="{00000000-0005-0000-0000-000032080000}"/>
    <cellStyle name="20 % - Aksentti3 11 3 4" xfId="14406" xr:uid="{00000000-0005-0000-0000-000033080000}"/>
    <cellStyle name="20 % - Aksentti3 11 3_DataIX" xfId="29685" xr:uid="{00000000-0005-0000-0000-000034080000}"/>
    <cellStyle name="20 % - Aksentti3 11 4" xfId="882" xr:uid="{00000000-0005-0000-0000-000035080000}"/>
    <cellStyle name="20 % - Aksentti3 11 4 2" xfId="6199" xr:uid="{00000000-0005-0000-0000-000036080000}"/>
    <cellStyle name="20 % - Aksentti3 11 4 3" xfId="14408" xr:uid="{00000000-0005-0000-0000-000037080000}"/>
    <cellStyle name="20 % - Aksentti3 11 4_DataIX" xfId="29687" xr:uid="{00000000-0005-0000-0000-000038080000}"/>
    <cellStyle name="20 % - Aksentti3 11 5" xfId="883" xr:uid="{00000000-0005-0000-0000-000039080000}"/>
    <cellStyle name="20 % - Aksentti3 11 5 2" xfId="6200" xr:uid="{00000000-0005-0000-0000-00003A080000}"/>
    <cellStyle name="20 % - Aksentti3 11 5 3" xfId="14409" xr:uid="{00000000-0005-0000-0000-00003B080000}"/>
    <cellStyle name="20 % - Aksentti3 11 5_DataIX" xfId="29688" xr:uid="{00000000-0005-0000-0000-00003C080000}"/>
    <cellStyle name="20 % - Aksentti3 11 6" xfId="884" xr:uid="{00000000-0005-0000-0000-00003D080000}"/>
    <cellStyle name="20 % - Aksentti3 11 6 2" xfId="6201" xr:uid="{00000000-0005-0000-0000-00003E080000}"/>
    <cellStyle name="20 % - Aksentti3 11 6 3" xfId="14410" xr:uid="{00000000-0005-0000-0000-00003F080000}"/>
    <cellStyle name="20 % - Aksentti3 11 6_DataIX" xfId="29689" xr:uid="{00000000-0005-0000-0000-000040080000}"/>
    <cellStyle name="20 % - Aksentti3 11 7" xfId="885" xr:uid="{00000000-0005-0000-0000-000041080000}"/>
    <cellStyle name="20 % - Aksentti3 11 7 2" xfId="6202" xr:uid="{00000000-0005-0000-0000-000042080000}"/>
    <cellStyle name="20 % - Aksentti3 11 7 3" xfId="14411" xr:uid="{00000000-0005-0000-0000-000043080000}"/>
    <cellStyle name="20 % - Aksentti3 11 7_DataIX" xfId="29690" xr:uid="{00000000-0005-0000-0000-000044080000}"/>
    <cellStyle name="20 % - Aksentti3 11 8" xfId="886" xr:uid="{00000000-0005-0000-0000-000045080000}"/>
    <cellStyle name="20 % - Aksentti3 11 8 2" xfId="6203" xr:uid="{00000000-0005-0000-0000-000046080000}"/>
    <cellStyle name="20 % - Aksentti3 11 8 3" xfId="14412" xr:uid="{00000000-0005-0000-0000-000047080000}"/>
    <cellStyle name="20 % - Aksentti3 11 8_DataIX" xfId="29691" xr:uid="{00000000-0005-0000-0000-000048080000}"/>
    <cellStyle name="20 % - Aksentti3 11 9" xfId="887" xr:uid="{00000000-0005-0000-0000-000049080000}"/>
    <cellStyle name="20 % - Aksentti3 11 9 2" xfId="6204" xr:uid="{00000000-0005-0000-0000-00004A080000}"/>
    <cellStyle name="20 % - Aksentti3 11 9 3" xfId="14413" xr:uid="{00000000-0005-0000-0000-00004B080000}"/>
    <cellStyle name="20 % - Aksentti3 11 9_DataIX" xfId="29692" xr:uid="{00000000-0005-0000-0000-00004C080000}"/>
    <cellStyle name="20 % - Aksentti3 11_DataIX" xfId="29679" xr:uid="{00000000-0005-0000-0000-00004D080000}"/>
    <cellStyle name="20 % - Aksentti3 12" xfId="888" xr:uid="{00000000-0005-0000-0000-00004E080000}"/>
    <cellStyle name="20 % - Aksentti3 12 10" xfId="889" xr:uid="{00000000-0005-0000-0000-00004F080000}"/>
    <cellStyle name="20 % - Aksentti3 12 10 2" xfId="6206" xr:uid="{00000000-0005-0000-0000-000050080000}"/>
    <cellStyle name="20 % - Aksentti3 12 10 3" xfId="14415" xr:uid="{00000000-0005-0000-0000-000051080000}"/>
    <cellStyle name="20 % - Aksentti3 12 10_DataIX" xfId="29694" xr:uid="{00000000-0005-0000-0000-000052080000}"/>
    <cellStyle name="20 % - Aksentti3 12 11" xfId="6205" xr:uid="{00000000-0005-0000-0000-000053080000}"/>
    <cellStyle name="20 % - Aksentti3 12 12" xfId="14414" xr:uid="{00000000-0005-0000-0000-000054080000}"/>
    <cellStyle name="20 % - Aksentti3 12 2" xfId="890" xr:uid="{00000000-0005-0000-0000-000055080000}"/>
    <cellStyle name="20 % - Aksentti3 12 2 2" xfId="891" xr:uid="{00000000-0005-0000-0000-000056080000}"/>
    <cellStyle name="20 % - Aksentti3 12 2 2 2" xfId="892" xr:uid="{00000000-0005-0000-0000-000057080000}"/>
    <cellStyle name="20 % - Aksentti3 12 2 2 2 2" xfId="6209" xr:uid="{00000000-0005-0000-0000-000058080000}"/>
    <cellStyle name="20 % - Aksentti3 12 2 2 2 3" xfId="14418" xr:uid="{00000000-0005-0000-0000-000059080000}"/>
    <cellStyle name="20 % - Aksentti3 12 2 2 2_DataIX" xfId="29697" xr:uid="{00000000-0005-0000-0000-00005A080000}"/>
    <cellStyle name="20 % - Aksentti3 12 2 2 3" xfId="6208" xr:uid="{00000000-0005-0000-0000-00005B080000}"/>
    <cellStyle name="20 % - Aksentti3 12 2 2 4" xfId="14417" xr:uid="{00000000-0005-0000-0000-00005C080000}"/>
    <cellStyle name="20 % - Aksentti3 12 2 2_DataIX" xfId="29696" xr:uid="{00000000-0005-0000-0000-00005D080000}"/>
    <cellStyle name="20 % - Aksentti3 12 2 3" xfId="893" xr:uid="{00000000-0005-0000-0000-00005E080000}"/>
    <cellStyle name="20 % - Aksentti3 12 2 3 2" xfId="6210" xr:uid="{00000000-0005-0000-0000-00005F080000}"/>
    <cellStyle name="20 % - Aksentti3 12 2 3 3" xfId="14419" xr:uid="{00000000-0005-0000-0000-000060080000}"/>
    <cellStyle name="20 % - Aksentti3 12 2 3_DataIX" xfId="29698" xr:uid="{00000000-0005-0000-0000-000061080000}"/>
    <cellStyle name="20 % - Aksentti3 12 2 4" xfId="6207" xr:uid="{00000000-0005-0000-0000-000062080000}"/>
    <cellStyle name="20 % - Aksentti3 12 2 5" xfId="14416" xr:uid="{00000000-0005-0000-0000-000063080000}"/>
    <cellStyle name="20 % - Aksentti3 12 2_DataIX" xfId="29695" xr:uid="{00000000-0005-0000-0000-000064080000}"/>
    <cellStyle name="20 % - Aksentti3 12 3" xfId="894" xr:uid="{00000000-0005-0000-0000-000065080000}"/>
    <cellStyle name="20 % - Aksentti3 12 3 2" xfId="895" xr:uid="{00000000-0005-0000-0000-000066080000}"/>
    <cellStyle name="20 % - Aksentti3 12 3 2 2" xfId="6212" xr:uid="{00000000-0005-0000-0000-000067080000}"/>
    <cellStyle name="20 % - Aksentti3 12 3 2 3" xfId="14421" xr:uid="{00000000-0005-0000-0000-000068080000}"/>
    <cellStyle name="20 % - Aksentti3 12 3 2_DataIX" xfId="29700" xr:uid="{00000000-0005-0000-0000-000069080000}"/>
    <cellStyle name="20 % - Aksentti3 12 3 3" xfId="6211" xr:uid="{00000000-0005-0000-0000-00006A080000}"/>
    <cellStyle name="20 % - Aksentti3 12 3 4" xfId="14420" xr:uid="{00000000-0005-0000-0000-00006B080000}"/>
    <cellStyle name="20 % - Aksentti3 12 3_DataIX" xfId="29699" xr:uid="{00000000-0005-0000-0000-00006C080000}"/>
    <cellStyle name="20 % - Aksentti3 12 4" xfId="896" xr:uid="{00000000-0005-0000-0000-00006D080000}"/>
    <cellStyle name="20 % - Aksentti3 12 4 2" xfId="6213" xr:uid="{00000000-0005-0000-0000-00006E080000}"/>
    <cellStyle name="20 % - Aksentti3 12 4 3" xfId="14422" xr:uid="{00000000-0005-0000-0000-00006F080000}"/>
    <cellStyle name="20 % - Aksentti3 12 4_DataIX" xfId="29701" xr:uid="{00000000-0005-0000-0000-000070080000}"/>
    <cellStyle name="20 % - Aksentti3 12 5" xfId="897" xr:uid="{00000000-0005-0000-0000-000071080000}"/>
    <cellStyle name="20 % - Aksentti3 12 5 2" xfId="6214" xr:uid="{00000000-0005-0000-0000-000072080000}"/>
    <cellStyle name="20 % - Aksentti3 12 5 3" xfId="14423" xr:uid="{00000000-0005-0000-0000-000073080000}"/>
    <cellStyle name="20 % - Aksentti3 12 5_DataIX" xfId="29702" xr:uid="{00000000-0005-0000-0000-000074080000}"/>
    <cellStyle name="20 % - Aksentti3 12 6" xfId="898" xr:uid="{00000000-0005-0000-0000-000075080000}"/>
    <cellStyle name="20 % - Aksentti3 12 6 2" xfId="6215" xr:uid="{00000000-0005-0000-0000-000076080000}"/>
    <cellStyle name="20 % - Aksentti3 12 6 3" xfId="14424" xr:uid="{00000000-0005-0000-0000-000077080000}"/>
    <cellStyle name="20 % - Aksentti3 12 6_DataIX" xfId="29703" xr:uid="{00000000-0005-0000-0000-000078080000}"/>
    <cellStyle name="20 % - Aksentti3 12 7" xfId="899" xr:uid="{00000000-0005-0000-0000-000079080000}"/>
    <cellStyle name="20 % - Aksentti3 12 7 2" xfId="6216" xr:uid="{00000000-0005-0000-0000-00007A080000}"/>
    <cellStyle name="20 % - Aksentti3 12 7 3" xfId="14425" xr:uid="{00000000-0005-0000-0000-00007B080000}"/>
    <cellStyle name="20 % - Aksentti3 12 7_DataIX" xfId="29704" xr:uid="{00000000-0005-0000-0000-00007C080000}"/>
    <cellStyle name="20 % - Aksentti3 12 8" xfId="900" xr:uid="{00000000-0005-0000-0000-00007D080000}"/>
    <cellStyle name="20 % - Aksentti3 12 8 2" xfId="6217" xr:uid="{00000000-0005-0000-0000-00007E080000}"/>
    <cellStyle name="20 % - Aksentti3 12 8 3" xfId="14426" xr:uid="{00000000-0005-0000-0000-00007F080000}"/>
    <cellStyle name="20 % - Aksentti3 12 8_DataIX" xfId="29705" xr:uid="{00000000-0005-0000-0000-000080080000}"/>
    <cellStyle name="20 % - Aksentti3 12 9" xfId="901" xr:uid="{00000000-0005-0000-0000-000081080000}"/>
    <cellStyle name="20 % - Aksentti3 12 9 2" xfId="6218" xr:uid="{00000000-0005-0000-0000-000082080000}"/>
    <cellStyle name="20 % - Aksentti3 12 9 3" xfId="14427" xr:uid="{00000000-0005-0000-0000-000083080000}"/>
    <cellStyle name="20 % - Aksentti3 12 9_DataIX" xfId="29706" xr:uid="{00000000-0005-0000-0000-000084080000}"/>
    <cellStyle name="20 % - Aksentti3 12_DataIX" xfId="29693" xr:uid="{00000000-0005-0000-0000-000085080000}"/>
    <cellStyle name="20 % - Aksentti3 13" xfId="902" xr:uid="{00000000-0005-0000-0000-000086080000}"/>
    <cellStyle name="20 % - Aksentti3 13 10" xfId="903" xr:uid="{00000000-0005-0000-0000-000087080000}"/>
    <cellStyle name="20 % - Aksentti3 13 10 2" xfId="6220" xr:uid="{00000000-0005-0000-0000-000088080000}"/>
    <cellStyle name="20 % - Aksentti3 13 10 3" xfId="14429" xr:uid="{00000000-0005-0000-0000-000089080000}"/>
    <cellStyle name="20 % - Aksentti3 13 10_DataIX" xfId="29708" xr:uid="{00000000-0005-0000-0000-00008A080000}"/>
    <cellStyle name="20 % - Aksentti3 13 11" xfId="6219" xr:uid="{00000000-0005-0000-0000-00008B080000}"/>
    <cellStyle name="20 % - Aksentti3 13 12" xfId="14428" xr:uid="{00000000-0005-0000-0000-00008C080000}"/>
    <cellStyle name="20 % - Aksentti3 13 2" xfId="904" xr:uid="{00000000-0005-0000-0000-00008D080000}"/>
    <cellStyle name="20 % - Aksentti3 13 2 2" xfId="905" xr:uid="{00000000-0005-0000-0000-00008E080000}"/>
    <cellStyle name="20 % - Aksentti3 13 2 2 2" xfId="6222" xr:uid="{00000000-0005-0000-0000-00008F080000}"/>
    <cellStyle name="20 % - Aksentti3 13 2 2 3" xfId="14431" xr:uid="{00000000-0005-0000-0000-000090080000}"/>
    <cellStyle name="20 % - Aksentti3 13 2 2_DataIX" xfId="29710" xr:uid="{00000000-0005-0000-0000-000091080000}"/>
    <cellStyle name="20 % - Aksentti3 13 2 3" xfId="6221" xr:uid="{00000000-0005-0000-0000-000092080000}"/>
    <cellStyle name="20 % - Aksentti3 13 2 4" xfId="14430" xr:uid="{00000000-0005-0000-0000-000093080000}"/>
    <cellStyle name="20 % - Aksentti3 13 2_DataIX" xfId="29709" xr:uid="{00000000-0005-0000-0000-000094080000}"/>
    <cellStyle name="20 % - Aksentti3 13 3" xfId="906" xr:uid="{00000000-0005-0000-0000-000095080000}"/>
    <cellStyle name="20 % - Aksentti3 13 3 2" xfId="6223" xr:uid="{00000000-0005-0000-0000-000096080000}"/>
    <cellStyle name="20 % - Aksentti3 13 3 3" xfId="14432" xr:uid="{00000000-0005-0000-0000-000097080000}"/>
    <cellStyle name="20 % - Aksentti3 13 3_DataIX" xfId="29711" xr:uid="{00000000-0005-0000-0000-000098080000}"/>
    <cellStyle name="20 % - Aksentti3 13 4" xfId="907" xr:uid="{00000000-0005-0000-0000-000099080000}"/>
    <cellStyle name="20 % - Aksentti3 13 4 2" xfId="6224" xr:uid="{00000000-0005-0000-0000-00009A080000}"/>
    <cellStyle name="20 % - Aksentti3 13 4 3" xfId="14433" xr:uid="{00000000-0005-0000-0000-00009B080000}"/>
    <cellStyle name="20 % - Aksentti3 13 4_DataIX" xfId="29712" xr:uid="{00000000-0005-0000-0000-00009C080000}"/>
    <cellStyle name="20 % - Aksentti3 13 5" xfId="908" xr:uid="{00000000-0005-0000-0000-00009D080000}"/>
    <cellStyle name="20 % - Aksentti3 13 5 2" xfId="6225" xr:uid="{00000000-0005-0000-0000-00009E080000}"/>
    <cellStyle name="20 % - Aksentti3 13 5 3" xfId="14434" xr:uid="{00000000-0005-0000-0000-00009F080000}"/>
    <cellStyle name="20 % - Aksentti3 13 5_DataIX" xfId="29713" xr:uid="{00000000-0005-0000-0000-0000A0080000}"/>
    <cellStyle name="20 % - Aksentti3 13 6" xfId="909" xr:uid="{00000000-0005-0000-0000-0000A1080000}"/>
    <cellStyle name="20 % - Aksentti3 13 6 2" xfId="6226" xr:uid="{00000000-0005-0000-0000-0000A2080000}"/>
    <cellStyle name="20 % - Aksentti3 13 6 3" xfId="14435" xr:uid="{00000000-0005-0000-0000-0000A3080000}"/>
    <cellStyle name="20 % - Aksentti3 13 6_DataIX" xfId="29714" xr:uid="{00000000-0005-0000-0000-0000A4080000}"/>
    <cellStyle name="20 % - Aksentti3 13 7" xfId="910" xr:uid="{00000000-0005-0000-0000-0000A5080000}"/>
    <cellStyle name="20 % - Aksentti3 13 7 2" xfId="6227" xr:uid="{00000000-0005-0000-0000-0000A6080000}"/>
    <cellStyle name="20 % - Aksentti3 13 7 3" xfId="14436" xr:uid="{00000000-0005-0000-0000-0000A7080000}"/>
    <cellStyle name="20 % - Aksentti3 13 7_DataIX" xfId="29715" xr:uid="{00000000-0005-0000-0000-0000A8080000}"/>
    <cellStyle name="20 % - Aksentti3 13 8" xfId="911" xr:uid="{00000000-0005-0000-0000-0000A9080000}"/>
    <cellStyle name="20 % - Aksentti3 13 8 2" xfId="6228" xr:uid="{00000000-0005-0000-0000-0000AA080000}"/>
    <cellStyle name="20 % - Aksentti3 13 8 3" xfId="14437" xr:uid="{00000000-0005-0000-0000-0000AB080000}"/>
    <cellStyle name="20 % - Aksentti3 13 8_DataIX" xfId="29716" xr:uid="{00000000-0005-0000-0000-0000AC080000}"/>
    <cellStyle name="20 % - Aksentti3 13 9" xfId="912" xr:uid="{00000000-0005-0000-0000-0000AD080000}"/>
    <cellStyle name="20 % - Aksentti3 13 9 2" xfId="6229" xr:uid="{00000000-0005-0000-0000-0000AE080000}"/>
    <cellStyle name="20 % - Aksentti3 13 9 3" xfId="14438" xr:uid="{00000000-0005-0000-0000-0000AF080000}"/>
    <cellStyle name="20 % - Aksentti3 13 9_DataIX" xfId="29717" xr:uid="{00000000-0005-0000-0000-0000B0080000}"/>
    <cellStyle name="20 % - Aksentti3 13_DataIX" xfId="29707" xr:uid="{00000000-0005-0000-0000-0000B1080000}"/>
    <cellStyle name="20 % - Aksentti3 14" xfId="913" xr:uid="{00000000-0005-0000-0000-0000B2080000}"/>
    <cellStyle name="20 % - Aksentti3 14 10" xfId="914" xr:uid="{00000000-0005-0000-0000-0000B3080000}"/>
    <cellStyle name="20 % - Aksentti3 14 10 2" xfId="6231" xr:uid="{00000000-0005-0000-0000-0000B4080000}"/>
    <cellStyle name="20 % - Aksentti3 14 10 3" xfId="14440" xr:uid="{00000000-0005-0000-0000-0000B5080000}"/>
    <cellStyle name="20 % - Aksentti3 14 10_DataIX" xfId="29719" xr:uid="{00000000-0005-0000-0000-0000B6080000}"/>
    <cellStyle name="20 % - Aksentti3 14 11" xfId="6230" xr:uid="{00000000-0005-0000-0000-0000B7080000}"/>
    <cellStyle name="20 % - Aksentti3 14 12" xfId="14439" xr:uid="{00000000-0005-0000-0000-0000B8080000}"/>
    <cellStyle name="20 % - Aksentti3 14 2" xfId="915" xr:uid="{00000000-0005-0000-0000-0000B9080000}"/>
    <cellStyle name="20 % - Aksentti3 14 2 2" xfId="916" xr:uid="{00000000-0005-0000-0000-0000BA080000}"/>
    <cellStyle name="20 % - Aksentti3 14 2 2 2" xfId="6233" xr:uid="{00000000-0005-0000-0000-0000BB080000}"/>
    <cellStyle name="20 % - Aksentti3 14 2 2 3" xfId="14442" xr:uid="{00000000-0005-0000-0000-0000BC080000}"/>
    <cellStyle name="20 % - Aksentti3 14 2 2_DataIX" xfId="29721" xr:uid="{00000000-0005-0000-0000-0000BD080000}"/>
    <cellStyle name="20 % - Aksentti3 14 2 3" xfId="6232" xr:uid="{00000000-0005-0000-0000-0000BE080000}"/>
    <cellStyle name="20 % - Aksentti3 14 2 4" xfId="14441" xr:uid="{00000000-0005-0000-0000-0000BF080000}"/>
    <cellStyle name="20 % - Aksentti3 14 2_DataIX" xfId="29720" xr:uid="{00000000-0005-0000-0000-0000C0080000}"/>
    <cellStyle name="20 % - Aksentti3 14 3" xfId="917" xr:uid="{00000000-0005-0000-0000-0000C1080000}"/>
    <cellStyle name="20 % - Aksentti3 14 3 2" xfId="6234" xr:uid="{00000000-0005-0000-0000-0000C2080000}"/>
    <cellStyle name="20 % - Aksentti3 14 3 3" xfId="14443" xr:uid="{00000000-0005-0000-0000-0000C3080000}"/>
    <cellStyle name="20 % - Aksentti3 14 3_DataIX" xfId="29722" xr:uid="{00000000-0005-0000-0000-0000C4080000}"/>
    <cellStyle name="20 % - Aksentti3 14 4" xfId="918" xr:uid="{00000000-0005-0000-0000-0000C5080000}"/>
    <cellStyle name="20 % - Aksentti3 14 4 2" xfId="6235" xr:uid="{00000000-0005-0000-0000-0000C6080000}"/>
    <cellStyle name="20 % - Aksentti3 14 4 3" xfId="14444" xr:uid="{00000000-0005-0000-0000-0000C7080000}"/>
    <cellStyle name="20 % - Aksentti3 14 4_DataIX" xfId="29723" xr:uid="{00000000-0005-0000-0000-0000C8080000}"/>
    <cellStyle name="20 % - Aksentti3 14 5" xfId="919" xr:uid="{00000000-0005-0000-0000-0000C9080000}"/>
    <cellStyle name="20 % - Aksentti3 14 5 2" xfId="6236" xr:uid="{00000000-0005-0000-0000-0000CA080000}"/>
    <cellStyle name="20 % - Aksentti3 14 5 3" xfId="14445" xr:uid="{00000000-0005-0000-0000-0000CB080000}"/>
    <cellStyle name="20 % - Aksentti3 14 5_DataIX" xfId="29724" xr:uid="{00000000-0005-0000-0000-0000CC080000}"/>
    <cellStyle name="20 % - Aksentti3 14 6" xfId="920" xr:uid="{00000000-0005-0000-0000-0000CD080000}"/>
    <cellStyle name="20 % - Aksentti3 14 6 2" xfId="6237" xr:uid="{00000000-0005-0000-0000-0000CE080000}"/>
    <cellStyle name="20 % - Aksentti3 14 6 3" xfId="14446" xr:uid="{00000000-0005-0000-0000-0000CF080000}"/>
    <cellStyle name="20 % - Aksentti3 14 6_DataIX" xfId="29725" xr:uid="{00000000-0005-0000-0000-0000D0080000}"/>
    <cellStyle name="20 % - Aksentti3 14 7" xfId="921" xr:uid="{00000000-0005-0000-0000-0000D1080000}"/>
    <cellStyle name="20 % - Aksentti3 14 7 2" xfId="6238" xr:uid="{00000000-0005-0000-0000-0000D2080000}"/>
    <cellStyle name="20 % - Aksentti3 14 7 3" xfId="14447" xr:uid="{00000000-0005-0000-0000-0000D3080000}"/>
    <cellStyle name="20 % - Aksentti3 14 7_DataIX" xfId="29726" xr:uid="{00000000-0005-0000-0000-0000D4080000}"/>
    <cellStyle name="20 % - Aksentti3 14 8" xfId="922" xr:uid="{00000000-0005-0000-0000-0000D5080000}"/>
    <cellStyle name="20 % - Aksentti3 14 8 2" xfId="6239" xr:uid="{00000000-0005-0000-0000-0000D6080000}"/>
    <cellStyle name="20 % - Aksentti3 14 8 3" xfId="14448" xr:uid="{00000000-0005-0000-0000-0000D7080000}"/>
    <cellStyle name="20 % - Aksentti3 14 8_DataIX" xfId="29727" xr:uid="{00000000-0005-0000-0000-0000D8080000}"/>
    <cellStyle name="20 % - Aksentti3 14 9" xfId="923" xr:uid="{00000000-0005-0000-0000-0000D9080000}"/>
    <cellStyle name="20 % - Aksentti3 14 9 2" xfId="6240" xr:uid="{00000000-0005-0000-0000-0000DA080000}"/>
    <cellStyle name="20 % - Aksentti3 14 9 3" xfId="14449" xr:uid="{00000000-0005-0000-0000-0000DB080000}"/>
    <cellStyle name="20 % - Aksentti3 14 9_DataIX" xfId="29728" xr:uid="{00000000-0005-0000-0000-0000DC080000}"/>
    <cellStyle name="20 % - Aksentti3 14_DataIX" xfId="29718" xr:uid="{00000000-0005-0000-0000-0000DD080000}"/>
    <cellStyle name="20 % - Aksentti3 15" xfId="924" xr:uid="{00000000-0005-0000-0000-0000DE080000}"/>
    <cellStyle name="20 % - Aksentti3 15 10" xfId="925" xr:uid="{00000000-0005-0000-0000-0000DF080000}"/>
    <cellStyle name="20 % - Aksentti3 15 10 2" xfId="6242" xr:uid="{00000000-0005-0000-0000-0000E0080000}"/>
    <cellStyle name="20 % - Aksentti3 15 10 3" xfId="14451" xr:uid="{00000000-0005-0000-0000-0000E1080000}"/>
    <cellStyle name="20 % - Aksentti3 15 10_DataIX" xfId="29730" xr:uid="{00000000-0005-0000-0000-0000E2080000}"/>
    <cellStyle name="20 % - Aksentti3 15 11" xfId="6241" xr:uid="{00000000-0005-0000-0000-0000E3080000}"/>
    <cellStyle name="20 % - Aksentti3 15 12" xfId="14450" xr:uid="{00000000-0005-0000-0000-0000E4080000}"/>
    <cellStyle name="20 % - Aksentti3 15 2" xfId="926" xr:uid="{00000000-0005-0000-0000-0000E5080000}"/>
    <cellStyle name="20 % - Aksentti3 15 2 2" xfId="927" xr:uid="{00000000-0005-0000-0000-0000E6080000}"/>
    <cellStyle name="20 % - Aksentti3 15 2 2 2" xfId="6244" xr:uid="{00000000-0005-0000-0000-0000E7080000}"/>
    <cellStyle name="20 % - Aksentti3 15 2 2 3" xfId="14453" xr:uid="{00000000-0005-0000-0000-0000E8080000}"/>
    <cellStyle name="20 % - Aksentti3 15 2 2_DataIX" xfId="29732" xr:uid="{00000000-0005-0000-0000-0000E9080000}"/>
    <cellStyle name="20 % - Aksentti3 15 2 3" xfId="6243" xr:uid="{00000000-0005-0000-0000-0000EA080000}"/>
    <cellStyle name="20 % - Aksentti3 15 2 4" xfId="14452" xr:uid="{00000000-0005-0000-0000-0000EB080000}"/>
    <cellStyle name="20 % - Aksentti3 15 2_DataIX" xfId="29731" xr:uid="{00000000-0005-0000-0000-0000EC080000}"/>
    <cellStyle name="20 % - Aksentti3 15 3" xfId="928" xr:uid="{00000000-0005-0000-0000-0000ED080000}"/>
    <cellStyle name="20 % - Aksentti3 15 3 2" xfId="6245" xr:uid="{00000000-0005-0000-0000-0000EE080000}"/>
    <cellStyle name="20 % - Aksentti3 15 3 3" xfId="14454" xr:uid="{00000000-0005-0000-0000-0000EF080000}"/>
    <cellStyle name="20 % - Aksentti3 15 3_DataIX" xfId="29733" xr:uid="{00000000-0005-0000-0000-0000F0080000}"/>
    <cellStyle name="20 % - Aksentti3 15 4" xfId="929" xr:uid="{00000000-0005-0000-0000-0000F1080000}"/>
    <cellStyle name="20 % - Aksentti3 15 4 2" xfId="6246" xr:uid="{00000000-0005-0000-0000-0000F2080000}"/>
    <cellStyle name="20 % - Aksentti3 15 4 3" xfId="14455" xr:uid="{00000000-0005-0000-0000-0000F3080000}"/>
    <cellStyle name="20 % - Aksentti3 15 4_DataIX" xfId="29734" xr:uid="{00000000-0005-0000-0000-0000F4080000}"/>
    <cellStyle name="20 % - Aksentti3 15 5" xfId="930" xr:uid="{00000000-0005-0000-0000-0000F5080000}"/>
    <cellStyle name="20 % - Aksentti3 15 5 2" xfId="6247" xr:uid="{00000000-0005-0000-0000-0000F6080000}"/>
    <cellStyle name="20 % - Aksentti3 15 5 3" xfId="14456" xr:uid="{00000000-0005-0000-0000-0000F7080000}"/>
    <cellStyle name="20 % - Aksentti3 15 5_DataIX" xfId="29735" xr:uid="{00000000-0005-0000-0000-0000F8080000}"/>
    <cellStyle name="20 % - Aksentti3 15 6" xfId="931" xr:uid="{00000000-0005-0000-0000-0000F9080000}"/>
    <cellStyle name="20 % - Aksentti3 15 6 2" xfId="6248" xr:uid="{00000000-0005-0000-0000-0000FA080000}"/>
    <cellStyle name="20 % - Aksentti3 15 6 3" xfId="14457" xr:uid="{00000000-0005-0000-0000-0000FB080000}"/>
    <cellStyle name="20 % - Aksentti3 15 6_DataIX" xfId="29736" xr:uid="{00000000-0005-0000-0000-0000FC080000}"/>
    <cellStyle name="20 % - Aksentti3 15 7" xfId="932" xr:uid="{00000000-0005-0000-0000-0000FD080000}"/>
    <cellStyle name="20 % - Aksentti3 15 7 2" xfId="6249" xr:uid="{00000000-0005-0000-0000-0000FE080000}"/>
    <cellStyle name="20 % - Aksentti3 15 7 3" xfId="14458" xr:uid="{00000000-0005-0000-0000-0000FF080000}"/>
    <cellStyle name="20 % - Aksentti3 15 7_DataIX" xfId="29737" xr:uid="{00000000-0005-0000-0000-000000090000}"/>
    <cellStyle name="20 % - Aksentti3 15 8" xfId="933" xr:uid="{00000000-0005-0000-0000-000001090000}"/>
    <cellStyle name="20 % - Aksentti3 15 8 2" xfId="6250" xr:uid="{00000000-0005-0000-0000-000002090000}"/>
    <cellStyle name="20 % - Aksentti3 15 8 3" xfId="14459" xr:uid="{00000000-0005-0000-0000-000003090000}"/>
    <cellStyle name="20 % - Aksentti3 15 8_DataIX" xfId="29738" xr:uid="{00000000-0005-0000-0000-000004090000}"/>
    <cellStyle name="20 % - Aksentti3 15 9" xfId="934" xr:uid="{00000000-0005-0000-0000-000005090000}"/>
    <cellStyle name="20 % - Aksentti3 15 9 2" xfId="6251" xr:uid="{00000000-0005-0000-0000-000006090000}"/>
    <cellStyle name="20 % - Aksentti3 15 9 3" xfId="14460" xr:uid="{00000000-0005-0000-0000-000007090000}"/>
    <cellStyle name="20 % - Aksentti3 15 9_DataIX" xfId="29739" xr:uid="{00000000-0005-0000-0000-000008090000}"/>
    <cellStyle name="20 % - Aksentti3 15_DataIX" xfId="29729" xr:uid="{00000000-0005-0000-0000-000009090000}"/>
    <cellStyle name="20 % - Aksentti3 16" xfId="935" xr:uid="{00000000-0005-0000-0000-00000A090000}"/>
    <cellStyle name="20 % - Aksentti3 16 2" xfId="6252" xr:uid="{00000000-0005-0000-0000-00000B090000}"/>
    <cellStyle name="20 % - Aksentti3 16 3" xfId="14461" xr:uid="{00000000-0005-0000-0000-00000C090000}"/>
    <cellStyle name="20 % - Aksentti3 16_DataIX" xfId="29740" xr:uid="{00000000-0005-0000-0000-00000D090000}"/>
    <cellStyle name="20 % - Aksentti3 17" xfId="936" xr:uid="{00000000-0005-0000-0000-00000E090000}"/>
    <cellStyle name="20 % - Aksentti3 17 2" xfId="6253" xr:uid="{00000000-0005-0000-0000-00000F090000}"/>
    <cellStyle name="20 % - Aksentti3 17 3" xfId="14462" xr:uid="{00000000-0005-0000-0000-000010090000}"/>
    <cellStyle name="20 % - Aksentti3 17_DataIX" xfId="29741" xr:uid="{00000000-0005-0000-0000-000011090000}"/>
    <cellStyle name="20 % - Aksentti3 18" xfId="937" xr:uid="{00000000-0005-0000-0000-000012090000}"/>
    <cellStyle name="20 % - Aksentti3 18 2" xfId="6254" xr:uid="{00000000-0005-0000-0000-000013090000}"/>
    <cellStyle name="20 % - Aksentti3 18 3" xfId="14463" xr:uid="{00000000-0005-0000-0000-000014090000}"/>
    <cellStyle name="20 % - Aksentti3 18_DataIX" xfId="29742" xr:uid="{00000000-0005-0000-0000-000015090000}"/>
    <cellStyle name="20 % - Aksentti3 19" xfId="938" xr:uid="{00000000-0005-0000-0000-000016090000}"/>
    <cellStyle name="20 % - Aksentti3 19 2" xfId="6255" xr:uid="{00000000-0005-0000-0000-000017090000}"/>
    <cellStyle name="20 % - Aksentti3 19 3" xfId="14464" xr:uid="{00000000-0005-0000-0000-000018090000}"/>
    <cellStyle name="20 % - Aksentti3 19_DataIX" xfId="29743" xr:uid="{00000000-0005-0000-0000-000019090000}"/>
    <cellStyle name="20 % - Aksentti3 2" xfId="5" xr:uid="{00000000-0005-0000-0000-00001A090000}"/>
    <cellStyle name="20 % - Aksentti3 2 10" xfId="940" xr:uid="{00000000-0005-0000-0000-00001B090000}"/>
    <cellStyle name="20 % - Aksentti3 2 10 2" xfId="6257" xr:uid="{00000000-0005-0000-0000-00001C090000}"/>
    <cellStyle name="20 % - Aksentti3 2 10 3" xfId="14466" xr:uid="{00000000-0005-0000-0000-00001D090000}"/>
    <cellStyle name="20 % - Aksentti3 2 10_DataIX" xfId="29744" xr:uid="{00000000-0005-0000-0000-00001E090000}"/>
    <cellStyle name="20 % - Aksentti3 2 11" xfId="939" xr:uid="{00000000-0005-0000-0000-00001F090000}"/>
    <cellStyle name="20 % - Aksentti3 2 11 2" xfId="6258" xr:uid="{00000000-0005-0000-0000-000020090000}"/>
    <cellStyle name="20 % - Aksentti3 2 11 3" xfId="14465" xr:uid="{00000000-0005-0000-0000-000021090000}"/>
    <cellStyle name="20 % - Aksentti3 2 11_DataIX" xfId="29745" xr:uid="{00000000-0005-0000-0000-000022090000}"/>
    <cellStyle name="20 % - Aksentti3 2 12" xfId="25051" xr:uid="{00000000-0005-0000-0000-000023090000}"/>
    <cellStyle name="20 % - Aksentti3 2 13" xfId="25665" xr:uid="{00000000-0005-0000-0000-000024090000}"/>
    <cellStyle name="20 % - Aksentti3 2 14" xfId="25329" xr:uid="{00000000-0005-0000-0000-000025090000}"/>
    <cellStyle name="20 % - Aksentti3 2 15" xfId="26215" xr:uid="{00000000-0005-0000-0000-000026090000}"/>
    <cellStyle name="20 % - Aksentti3 2 16" xfId="25937" xr:uid="{00000000-0005-0000-0000-000027090000}"/>
    <cellStyle name="20 % - Aksentti3 2 17" xfId="25408" xr:uid="{00000000-0005-0000-0000-000028090000}"/>
    <cellStyle name="20 % - Aksentti3 2 18" xfId="25707" xr:uid="{00000000-0005-0000-0000-000029090000}"/>
    <cellStyle name="20 % - Aksentti3 2 19" xfId="25797" xr:uid="{00000000-0005-0000-0000-00002A090000}"/>
    <cellStyle name="20 % - Aksentti3 2 2" xfId="139" xr:uid="{00000000-0005-0000-0000-00002B090000}"/>
    <cellStyle name="20 % - Aksentti3 2 2 10" xfId="942" xr:uid="{00000000-0005-0000-0000-00002C090000}"/>
    <cellStyle name="20 % - Aksentti3 2 2 10 2" xfId="6260" xr:uid="{00000000-0005-0000-0000-00002D090000}"/>
    <cellStyle name="20 % - Aksentti3 2 2 10 3" xfId="14468" xr:uid="{00000000-0005-0000-0000-00002E090000}"/>
    <cellStyle name="20 % - Aksentti3 2 2 10_DataIX" xfId="29746" xr:uid="{00000000-0005-0000-0000-00002F090000}"/>
    <cellStyle name="20 % - Aksentti3 2 2 11" xfId="941" xr:uid="{00000000-0005-0000-0000-000030090000}"/>
    <cellStyle name="20 % - Aksentti3 2 2 11 2" xfId="6261" xr:uid="{00000000-0005-0000-0000-000031090000}"/>
    <cellStyle name="20 % - Aksentti3 2 2 11 3" xfId="14467" xr:uid="{00000000-0005-0000-0000-000032090000}"/>
    <cellStyle name="20 % - Aksentti3 2 2 11_DataIX" xfId="29747" xr:uid="{00000000-0005-0000-0000-000033090000}"/>
    <cellStyle name="20 % - Aksentti3 2 2 12" xfId="25067" xr:uid="{00000000-0005-0000-0000-000034090000}"/>
    <cellStyle name="20 % - Aksentti3 2 2 13" xfId="25658" xr:uid="{00000000-0005-0000-0000-000035090000}"/>
    <cellStyle name="20 % - Aksentti3 2 2 14" xfId="25748" xr:uid="{00000000-0005-0000-0000-000036090000}"/>
    <cellStyle name="20 % - Aksentti3 2 2 15" xfId="25565" xr:uid="{00000000-0005-0000-0000-000037090000}"/>
    <cellStyle name="20 % - Aksentti3 2 2 16" xfId="25813" xr:uid="{00000000-0005-0000-0000-000038090000}"/>
    <cellStyle name="20 % - Aksentti3 2 2 17" xfId="26613" xr:uid="{00000000-0005-0000-0000-000039090000}"/>
    <cellStyle name="20 % - Aksentti3 2 2 18" xfId="25368" xr:uid="{00000000-0005-0000-0000-00003A090000}"/>
    <cellStyle name="20 % - Aksentti3 2 2 19" xfId="26696" xr:uid="{00000000-0005-0000-0000-00003B090000}"/>
    <cellStyle name="20 % - Aksentti3 2 2 2" xfId="372" xr:uid="{00000000-0005-0000-0000-00003C090000}"/>
    <cellStyle name="20 % - Aksentti3 2 2 2 10" xfId="13015" xr:uid="{00000000-0005-0000-0000-00003D090000}"/>
    <cellStyle name="20 % - Aksentti3 2 2 2 2" xfId="944" xr:uid="{00000000-0005-0000-0000-00003E090000}"/>
    <cellStyle name="20 % - Aksentti3 2 2 2 2 2" xfId="6263" xr:uid="{00000000-0005-0000-0000-00003F090000}"/>
    <cellStyle name="20 % - Aksentti3 2 2 2 2 3" xfId="14470" xr:uid="{00000000-0005-0000-0000-000040090000}"/>
    <cellStyle name="20 % - Aksentti3 2 2 2 2_DataIX" xfId="29748" xr:uid="{00000000-0005-0000-0000-000041090000}"/>
    <cellStyle name="20 % - Aksentti3 2 2 2 3" xfId="943" xr:uid="{00000000-0005-0000-0000-000042090000}"/>
    <cellStyle name="20 % - Aksentti3 2 2 2 3 2" xfId="6264" xr:uid="{00000000-0005-0000-0000-000043090000}"/>
    <cellStyle name="20 % - Aksentti3 2 2 2 3 3" xfId="14469" xr:uid="{00000000-0005-0000-0000-000044090000}"/>
    <cellStyle name="20 % - Aksentti3 2 2 2 3_DataIX" xfId="29749" xr:uid="{00000000-0005-0000-0000-000045090000}"/>
    <cellStyle name="20 % - Aksentti3 2 2 2 4" xfId="10794" xr:uid="{00000000-0005-0000-0000-000046090000}"/>
    <cellStyle name="20 % - Aksentti3 2 2 2 5" xfId="12740" xr:uid="{00000000-0005-0000-0000-000047090000}"/>
    <cellStyle name="20 % - Aksentti3 2 2 2 6" xfId="11205" xr:uid="{00000000-0005-0000-0000-000048090000}"/>
    <cellStyle name="20 % - Aksentti3 2 2 2 7" xfId="13909" xr:uid="{00000000-0005-0000-0000-000049090000}"/>
    <cellStyle name="20 % - Aksentti3 2 2 2 8" xfId="20257" xr:uid="{00000000-0005-0000-0000-00004A090000}"/>
    <cellStyle name="20 % - Aksentti3 2 2 2 9" xfId="13443" xr:uid="{00000000-0005-0000-0000-00004B090000}"/>
    <cellStyle name="20 % - Aksentti3 2 2 2_##Keskeiset" xfId="6262" xr:uid="{00000000-0005-0000-0000-00004C090000}"/>
    <cellStyle name="20 % - Aksentti3 2 2 20" xfId="25868" xr:uid="{00000000-0005-0000-0000-00004D090000}"/>
    <cellStyle name="20 % - Aksentti3 2 2 21" xfId="26053" xr:uid="{00000000-0005-0000-0000-00004E090000}"/>
    <cellStyle name="20 % - Aksentti3 2 2 22" xfId="26227" xr:uid="{00000000-0005-0000-0000-00004F090000}"/>
    <cellStyle name="20 % - Aksentti3 2 2 23" xfId="26429" xr:uid="{00000000-0005-0000-0000-000050090000}"/>
    <cellStyle name="20 % - Aksentti3 2 2 24" xfId="26450" xr:uid="{00000000-0005-0000-0000-000051090000}"/>
    <cellStyle name="20 % - Aksentti3 2 2 25" xfId="25620" xr:uid="{00000000-0005-0000-0000-000052090000}"/>
    <cellStyle name="20 % - Aksentti3 2 2 26" xfId="26703" xr:uid="{00000000-0005-0000-0000-000053090000}"/>
    <cellStyle name="20 % - Aksentti3 2 2 27" xfId="26400" xr:uid="{00000000-0005-0000-0000-000054090000}"/>
    <cellStyle name="20 % - Aksentti3 2 2 28" xfId="23174" xr:uid="{00000000-0005-0000-0000-000055090000}"/>
    <cellStyle name="20 % - Aksentti3 2 2 29" xfId="24984" xr:uid="{00000000-0005-0000-0000-000056090000}"/>
    <cellStyle name="20 % - Aksentti3 2 2 3" xfId="945" xr:uid="{00000000-0005-0000-0000-000057090000}"/>
    <cellStyle name="20 % - Aksentti3 2 2 3 2" xfId="10795" xr:uid="{00000000-0005-0000-0000-000058090000}"/>
    <cellStyle name="20 % - Aksentti3 2 2 3 3" xfId="14471" xr:uid="{00000000-0005-0000-0000-000059090000}"/>
    <cellStyle name="20 % - Aksentti3 2 2 3_DataIX" xfId="29750" xr:uid="{00000000-0005-0000-0000-00005A090000}"/>
    <cellStyle name="20 % - Aksentti3 2 2 30" xfId="26726" xr:uid="{00000000-0005-0000-0000-00005B090000}"/>
    <cellStyle name="20 % - Aksentti3 2 2 31" xfId="24970" xr:uid="{00000000-0005-0000-0000-00005C090000}"/>
    <cellStyle name="20 % - Aksentti3 2 2 32" xfId="23162" xr:uid="{00000000-0005-0000-0000-00005D090000}"/>
    <cellStyle name="20 % - Aksentti3 2 2 33" xfId="24956" xr:uid="{00000000-0005-0000-0000-00005E090000}"/>
    <cellStyle name="20 % - Aksentti3 2 2 4" xfId="946" xr:uid="{00000000-0005-0000-0000-00005F090000}"/>
    <cellStyle name="20 % - Aksentti3 2 2 4 2" xfId="6265" xr:uid="{00000000-0005-0000-0000-000060090000}"/>
    <cellStyle name="20 % - Aksentti3 2 2 4 3" xfId="14472" xr:uid="{00000000-0005-0000-0000-000061090000}"/>
    <cellStyle name="20 % - Aksentti3 2 2 4_DataIX" xfId="29751" xr:uid="{00000000-0005-0000-0000-000062090000}"/>
    <cellStyle name="20 % - Aksentti3 2 2 5" xfId="947" xr:uid="{00000000-0005-0000-0000-000063090000}"/>
    <cellStyle name="20 % - Aksentti3 2 2 5 2" xfId="6266" xr:uid="{00000000-0005-0000-0000-000064090000}"/>
    <cellStyle name="20 % - Aksentti3 2 2 5 3" xfId="14473" xr:uid="{00000000-0005-0000-0000-000065090000}"/>
    <cellStyle name="20 % - Aksentti3 2 2 5_DataIX" xfId="29752" xr:uid="{00000000-0005-0000-0000-000066090000}"/>
    <cellStyle name="20 % - Aksentti3 2 2 6" xfId="948" xr:uid="{00000000-0005-0000-0000-000067090000}"/>
    <cellStyle name="20 % - Aksentti3 2 2 6 2" xfId="6267" xr:uid="{00000000-0005-0000-0000-000068090000}"/>
    <cellStyle name="20 % - Aksentti3 2 2 6 3" xfId="14474" xr:uid="{00000000-0005-0000-0000-000069090000}"/>
    <cellStyle name="20 % - Aksentti3 2 2 6_DataIX" xfId="29753" xr:uid="{00000000-0005-0000-0000-00006A090000}"/>
    <cellStyle name="20 % - Aksentti3 2 2 7" xfId="949" xr:uid="{00000000-0005-0000-0000-00006B090000}"/>
    <cellStyle name="20 % - Aksentti3 2 2 7 2" xfId="6268" xr:uid="{00000000-0005-0000-0000-00006C090000}"/>
    <cellStyle name="20 % - Aksentti3 2 2 7 3" xfId="14475" xr:uid="{00000000-0005-0000-0000-00006D090000}"/>
    <cellStyle name="20 % - Aksentti3 2 2 7_DataIX" xfId="29754" xr:uid="{00000000-0005-0000-0000-00006E090000}"/>
    <cellStyle name="20 % - Aksentti3 2 2 8" xfId="950" xr:uid="{00000000-0005-0000-0000-00006F090000}"/>
    <cellStyle name="20 % - Aksentti3 2 2 8 2" xfId="6269" xr:uid="{00000000-0005-0000-0000-000070090000}"/>
    <cellStyle name="20 % - Aksentti3 2 2 8 3" xfId="14476" xr:uid="{00000000-0005-0000-0000-000071090000}"/>
    <cellStyle name="20 % - Aksentti3 2 2 8_DataIX" xfId="29755" xr:uid="{00000000-0005-0000-0000-000072090000}"/>
    <cellStyle name="20 % - Aksentti3 2 2 9" xfId="951" xr:uid="{00000000-0005-0000-0000-000073090000}"/>
    <cellStyle name="20 % - Aksentti3 2 2 9 2" xfId="6270" xr:uid="{00000000-0005-0000-0000-000074090000}"/>
    <cellStyle name="20 % - Aksentti3 2 2 9 3" xfId="14477" xr:uid="{00000000-0005-0000-0000-000075090000}"/>
    <cellStyle name="20 % - Aksentti3 2 2 9_DataIX" xfId="29756" xr:uid="{00000000-0005-0000-0000-000076090000}"/>
    <cellStyle name="20 % - Aksentti3 2 2_##Keskeiset" xfId="6259" xr:uid="{00000000-0005-0000-0000-000077090000}"/>
    <cellStyle name="20 % - Aksentti3 2 20" xfId="25261" xr:uid="{00000000-0005-0000-0000-000078090000}"/>
    <cellStyle name="20 % - Aksentti3 2 21" xfId="25424" xr:uid="{00000000-0005-0000-0000-000079090000}"/>
    <cellStyle name="20 % - Aksentti3 2 22" xfId="26518" xr:uid="{00000000-0005-0000-0000-00007A090000}"/>
    <cellStyle name="20 % - Aksentti3 2 23" xfId="26704" xr:uid="{00000000-0005-0000-0000-00007B090000}"/>
    <cellStyle name="20 % - Aksentti3 2 24" xfId="26527" xr:uid="{00000000-0005-0000-0000-00007C090000}"/>
    <cellStyle name="20 % - Aksentti3 2 25" xfId="26047" xr:uid="{00000000-0005-0000-0000-00007D090000}"/>
    <cellStyle name="20 % - Aksentti3 2 26" xfId="26002" xr:uid="{00000000-0005-0000-0000-00007E090000}"/>
    <cellStyle name="20 % - Aksentti3 2 27" xfId="26288" xr:uid="{00000000-0005-0000-0000-00007F090000}"/>
    <cellStyle name="20 % - Aksentti3 2 28" xfId="23173" xr:uid="{00000000-0005-0000-0000-000080090000}"/>
    <cellStyle name="20 % - Aksentti3 2 29" xfId="24985" xr:uid="{00000000-0005-0000-0000-000081090000}"/>
    <cellStyle name="20 % - Aksentti3 2 3" xfId="140" xr:uid="{00000000-0005-0000-0000-000082090000}"/>
    <cellStyle name="20 % - Aksentti3 2 3 2" xfId="953" xr:uid="{00000000-0005-0000-0000-000083090000}"/>
    <cellStyle name="20 % - Aksentti3 2 3 2 2" xfId="954" xr:uid="{00000000-0005-0000-0000-000084090000}"/>
    <cellStyle name="20 % - Aksentti3 2 3 2 2 2" xfId="6272" xr:uid="{00000000-0005-0000-0000-000085090000}"/>
    <cellStyle name="20 % - Aksentti3 2 3 2 2 3" xfId="14480" xr:uid="{00000000-0005-0000-0000-000086090000}"/>
    <cellStyle name="20 % - Aksentti3 2 3 2 2_DataIX" xfId="29757" xr:uid="{00000000-0005-0000-0000-000087090000}"/>
    <cellStyle name="20 % - Aksentti3 2 3 2 3" xfId="5469" xr:uid="{00000000-0005-0000-0000-000088090000}"/>
    <cellStyle name="20 % - Aksentti3 2 3 2 4" xfId="14479" xr:uid="{00000000-0005-0000-0000-000089090000}"/>
    <cellStyle name="20 % - Aksentti3 2 3 2_##Keskeiset" xfId="6271" xr:uid="{00000000-0005-0000-0000-00008A090000}"/>
    <cellStyle name="20 % - Aksentti3 2 3 3" xfId="955" xr:uid="{00000000-0005-0000-0000-00008B090000}"/>
    <cellStyle name="20 % - Aksentti3 2 3 3 2" xfId="6273" xr:uid="{00000000-0005-0000-0000-00008C090000}"/>
    <cellStyle name="20 % - Aksentti3 2 3 3 3" xfId="14481" xr:uid="{00000000-0005-0000-0000-00008D090000}"/>
    <cellStyle name="20 % - Aksentti3 2 3 3_DataIX" xfId="29758" xr:uid="{00000000-0005-0000-0000-00008E090000}"/>
    <cellStyle name="20 % - Aksentti3 2 3 4" xfId="952" xr:uid="{00000000-0005-0000-0000-00008F090000}"/>
    <cellStyle name="20 % - Aksentti3 2 3 4 2" xfId="6274" xr:uid="{00000000-0005-0000-0000-000090090000}"/>
    <cellStyle name="20 % - Aksentti3 2 3 4 3" xfId="14478" xr:uid="{00000000-0005-0000-0000-000091090000}"/>
    <cellStyle name="20 % - Aksentti3 2 3 4_DataIX" xfId="29759" xr:uid="{00000000-0005-0000-0000-000092090000}"/>
    <cellStyle name="20 % - Aksentti3 2 3_##Keskeiset" xfId="5468" xr:uid="{00000000-0005-0000-0000-000093090000}"/>
    <cellStyle name="20 % - Aksentti3 2 30" xfId="26727" xr:uid="{00000000-0005-0000-0000-000094090000}"/>
    <cellStyle name="20 % - Aksentti3 2 31" xfId="24971" xr:uid="{00000000-0005-0000-0000-000095090000}"/>
    <cellStyle name="20 % - Aksentti3 2 32" xfId="23161" xr:uid="{00000000-0005-0000-0000-000096090000}"/>
    <cellStyle name="20 % - Aksentti3 2 33" xfId="26741" xr:uid="{00000000-0005-0000-0000-000097090000}"/>
    <cellStyle name="20 % - Aksentti3 2 4" xfId="956" xr:uid="{00000000-0005-0000-0000-000098090000}"/>
    <cellStyle name="20 % - Aksentti3 2 4 2" xfId="957" xr:uid="{00000000-0005-0000-0000-000099090000}"/>
    <cellStyle name="20 % - Aksentti3 2 4 2 2" xfId="958" xr:uid="{00000000-0005-0000-0000-00009A090000}"/>
    <cellStyle name="20 % - Aksentti3 2 4 2 2 2" xfId="6277" xr:uid="{00000000-0005-0000-0000-00009B090000}"/>
    <cellStyle name="20 % - Aksentti3 2 4 2 2 3" xfId="14484" xr:uid="{00000000-0005-0000-0000-00009C090000}"/>
    <cellStyle name="20 % - Aksentti3 2 4 2 2_DataIX" xfId="29761" xr:uid="{00000000-0005-0000-0000-00009D090000}"/>
    <cellStyle name="20 % - Aksentti3 2 4 2 3" xfId="6276" xr:uid="{00000000-0005-0000-0000-00009E090000}"/>
    <cellStyle name="20 % - Aksentti3 2 4 2 4" xfId="14483" xr:uid="{00000000-0005-0000-0000-00009F090000}"/>
    <cellStyle name="20 % - Aksentti3 2 4 2_DataIX" xfId="29760" xr:uid="{00000000-0005-0000-0000-0000A0090000}"/>
    <cellStyle name="20 % - Aksentti3 2 4 3" xfId="959" xr:uid="{00000000-0005-0000-0000-0000A1090000}"/>
    <cellStyle name="20 % - Aksentti3 2 4 3 2" xfId="6278" xr:uid="{00000000-0005-0000-0000-0000A2090000}"/>
    <cellStyle name="20 % - Aksentti3 2 4 3 3" xfId="14485" xr:uid="{00000000-0005-0000-0000-0000A3090000}"/>
    <cellStyle name="20 % - Aksentti3 2 4 3_DataIX" xfId="29762" xr:uid="{00000000-0005-0000-0000-0000A4090000}"/>
    <cellStyle name="20 % - Aksentti3 2 4 4" xfId="5470" xr:uid="{00000000-0005-0000-0000-0000A5090000}"/>
    <cellStyle name="20 % - Aksentti3 2 4 4 2" xfId="11249" xr:uid="{00000000-0005-0000-0000-0000A6090000}"/>
    <cellStyle name="20 % - Aksentti3 2 4 4 3" xfId="18737" xr:uid="{00000000-0005-0000-0000-0000A7090000}"/>
    <cellStyle name="20 % - Aksentti3 2 4 4_DataIX" xfId="29763" xr:uid="{00000000-0005-0000-0000-0000A8090000}"/>
    <cellStyle name="20 % - Aksentti3 2 4 5" xfId="5331" xr:uid="{00000000-0005-0000-0000-0000A9090000}"/>
    <cellStyle name="20 % - Aksentti3 2 4 5 2" xfId="11250" xr:uid="{00000000-0005-0000-0000-0000AA090000}"/>
    <cellStyle name="20 % - Aksentti3 2 4 5 3" xfId="18655" xr:uid="{00000000-0005-0000-0000-0000AB090000}"/>
    <cellStyle name="20 % - Aksentti3 2 4 5_DataIX" xfId="29764" xr:uid="{00000000-0005-0000-0000-0000AC090000}"/>
    <cellStyle name="20 % - Aksentti3 2 4 6" xfId="10614" xr:uid="{00000000-0005-0000-0000-0000AD090000}"/>
    <cellStyle name="20 % - Aksentti3 2 4 6 2" xfId="11251" xr:uid="{00000000-0005-0000-0000-0000AE090000}"/>
    <cellStyle name="20 % - Aksentti3 2 4 6 3" xfId="20396" xr:uid="{00000000-0005-0000-0000-0000AF090000}"/>
    <cellStyle name="20 % - Aksentti3 2 4 6_DataIX" xfId="29765" xr:uid="{00000000-0005-0000-0000-0000B0090000}"/>
    <cellStyle name="20 % - Aksentti3 2 4 7" xfId="10560" xr:uid="{00000000-0005-0000-0000-0000B1090000}"/>
    <cellStyle name="20 % - Aksentti3 2 4 7 2" xfId="11252" xr:uid="{00000000-0005-0000-0000-0000B2090000}"/>
    <cellStyle name="20 % - Aksentti3 2 4 7 3" xfId="20342" xr:uid="{00000000-0005-0000-0000-0000B3090000}"/>
    <cellStyle name="20 % - Aksentti3 2 4 7_DataIX" xfId="29766" xr:uid="{00000000-0005-0000-0000-0000B4090000}"/>
    <cellStyle name="20 % - Aksentti3 2 4 8" xfId="10579" xr:uid="{00000000-0005-0000-0000-0000B5090000}"/>
    <cellStyle name="20 % - Aksentti3 2 4 8 2" xfId="11253" xr:uid="{00000000-0005-0000-0000-0000B6090000}"/>
    <cellStyle name="20 % - Aksentti3 2 4 8 3" xfId="20361" xr:uid="{00000000-0005-0000-0000-0000B7090000}"/>
    <cellStyle name="20 % - Aksentti3 2 4 8_DataIX" xfId="29767" xr:uid="{00000000-0005-0000-0000-0000B8090000}"/>
    <cellStyle name="20 % - Aksentti3 2 4 9" xfId="14482" xr:uid="{00000000-0005-0000-0000-0000B9090000}"/>
    <cellStyle name="20 % - Aksentti3 2 4_##Keskeiset" xfId="6275" xr:uid="{00000000-0005-0000-0000-0000BA090000}"/>
    <cellStyle name="20 % - Aksentti3 2 5" xfId="960" xr:uid="{00000000-0005-0000-0000-0000BB090000}"/>
    <cellStyle name="20 % - Aksentti3 2 5 2" xfId="961" xr:uid="{00000000-0005-0000-0000-0000BC090000}"/>
    <cellStyle name="20 % - Aksentti3 2 5 2 2" xfId="6280" xr:uid="{00000000-0005-0000-0000-0000BD090000}"/>
    <cellStyle name="20 % - Aksentti3 2 5 2 3" xfId="14487" xr:uid="{00000000-0005-0000-0000-0000BE090000}"/>
    <cellStyle name="20 % - Aksentti3 2 5 2_DataIX" xfId="29769" xr:uid="{00000000-0005-0000-0000-0000BF090000}"/>
    <cellStyle name="20 % - Aksentti3 2 5 3" xfId="6279" xr:uid="{00000000-0005-0000-0000-0000C0090000}"/>
    <cellStyle name="20 % - Aksentti3 2 5 4" xfId="14486" xr:uid="{00000000-0005-0000-0000-0000C1090000}"/>
    <cellStyle name="20 % - Aksentti3 2 5_DataIX" xfId="29768" xr:uid="{00000000-0005-0000-0000-0000C2090000}"/>
    <cellStyle name="20 % - Aksentti3 2 6" xfId="962" xr:uid="{00000000-0005-0000-0000-0000C3090000}"/>
    <cellStyle name="20 % - Aksentti3 2 6 2" xfId="6281" xr:uid="{00000000-0005-0000-0000-0000C4090000}"/>
    <cellStyle name="20 % - Aksentti3 2 6 3" xfId="14488" xr:uid="{00000000-0005-0000-0000-0000C5090000}"/>
    <cellStyle name="20 % - Aksentti3 2 6_DataIX" xfId="29770" xr:uid="{00000000-0005-0000-0000-0000C6090000}"/>
    <cellStyle name="20 % - Aksentti3 2 7" xfId="963" xr:uid="{00000000-0005-0000-0000-0000C7090000}"/>
    <cellStyle name="20 % - Aksentti3 2 7 2" xfId="6282" xr:uid="{00000000-0005-0000-0000-0000C8090000}"/>
    <cellStyle name="20 % - Aksentti3 2 7 3" xfId="14489" xr:uid="{00000000-0005-0000-0000-0000C9090000}"/>
    <cellStyle name="20 % - Aksentti3 2 7_DataIX" xfId="29771" xr:uid="{00000000-0005-0000-0000-0000CA090000}"/>
    <cellStyle name="20 % - Aksentti3 2 8" xfId="964" xr:uid="{00000000-0005-0000-0000-0000CB090000}"/>
    <cellStyle name="20 % - Aksentti3 2 8 2" xfId="6283" xr:uid="{00000000-0005-0000-0000-0000CC090000}"/>
    <cellStyle name="20 % - Aksentti3 2 8 3" xfId="14490" xr:uid="{00000000-0005-0000-0000-0000CD090000}"/>
    <cellStyle name="20 % - Aksentti3 2 8_DataIX" xfId="29772" xr:uid="{00000000-0005-0000-0000-0000CE090000}"/>
    <cellStyle name="20 % - Aksentti3 2 9" xfId="965" xr:uid="{00000000-0005-0000-0000-0000CF090000}"/>
    <cellStyle name="20 % - Aksentti3 2 9 2" xfId="6284" xr:uid="{00000000-0005-0000-0000-0000D0090000}"/>
    <cellStyle name="20 % - Aksentti3 2 9 3" xfId="14491" xr:uid="{00000000-0005-0000-0000-0000D1090000}"/>
    <cellStyle name="20 % - Aksentti3 2 9_DataIX" xfId="29773" xr:uid="{00000000-0005-0000-0000-0000D2090000}"/>
    <cellStyle name="20 % - Aksentti3 2_##Keskeiset" xfId="6256" xr:uid="{00000000-0005-0000-0000-0000D3090000}"/>
    <cellStyle name="20 % - Aksentti3 20" xfId="966" xr:uid="{00000000-0005-0000-0000-0000D4090000}"/>
    <cellStyle name="20 % - Aksentti3 20 2" xfId="6285" xr:uid="{00000000-0005-0000-0000-0000D5090000}"/>
    <cellStyle name="20 % - Aksentti3 20 3" xfId="14492" xr:uid="{00000000-0005-0000-0000-0000D6090000}"/>
    <cellStyle name="20 % - Aksentti3 20_DataIX" xfId="29774" xr:uid="{00000000-0005-0000-0000-0000D7090000}"/>
    <cellStyle name="20 % - Aksentti3 21" xfId="967" xr:uid="{00000000-0005-0000-0000-0000D8090000}"/>
    <cellStyle name="20 % - Aksentti3 21 2" xfId="6286" xr:uid="{00000000-0005-0000-0000-0000D9090000}"/>
    <cellStyle name="20 % - Aksentti3 21 3" xfId="14493" xr:uid="{00000000-0005-0000-0000-0000DA090000}"/>
    <cellStyle name="20 % - Aksentti3 21_DataIX" xfId="29775" xr:uid="{00000000-0005-0000-0000-0000DB090000}"/>
    <cellStyle name="20 % - Aksentti3 22" xfId="968" xr:uid="{00000000-0005-0000-0000-0000DC090000}"/>
    <cellStyle name="20 % - Aksentti3 22 2" xfId="6287" xr:uid="{00000000-0005-0000-0000-0000DD090000}"/>
    <cellStyle name="20 % - Aksentti3 22 3" xfId="14494" xr:uid="{00000000-0005-0000-0000-0000DE090000}"/>
    <cellStyle name="20 % - Aksentti3 22_DataIX" xfId="29776" xr:uid="{00000000-0005-0000-0000-0000DF090000}"/>
    <cellStyle name="20 % - Aksentti3 23" xfId="969" xr:uid="{00000000-0005-0000-0000-0000E0090000}"/>
    <cellStyle name="20 % - Aksentti3 23 2" xfId="6288" xr:uid="{00000000-0005-0000-0000-0000E1090000}"/>
    <cellStyle name="20 % - Aksentti3 23 3" xfId="14495" xr:uid="{00000000-0005-0000-0000-0000E2090000}"/>
    <cellStyle name="20 % - Aksentti3 23_DataIX" xfId="29777" xr:uid="{00000000-0005-0000-0000-0000E3090000}"/>
    <cellStyle name="20 % - Aksentti3 24" xfId="970" xr:uid="{00000000-0005-0000-0000-0000E4090000}"/>
    <cellStyle name="20 % - Aksentti3 24 2" xfId="6289" xr:uid="{00000000-0005-0000-0000-0000E5090000}"/>
    <cellStyle name="20 % - Aksentti3 24 3" xfId="14496" xr:uid="{00000000-0005-0000-0000-0000E6090000}"/>
    <cellStyle name="20 % - Aksentti3 24_DataIX" xfId="29778" xr:uid="{00000000-0005-0000-0000-0000E7090000}"/>
    <cellStyle name="20 % - Aksentti3 25" xfId="971" xr:uid="{00000000-0005-0000-0000-0000E8090000}"/>
    <cellStyle name="20 % - Aksentti3 25 2" xfId="6290" xr:uid="{00000000-0005-0000-0000-0000E9090000}"/>
    <cellStyle name="20 % - Aksentti3 25 3" xfId="14497" xr:uid="{00000000-0005-0000-0000-0000EA090000}"/>
    <cellStyle name="20 % - Aksentti3 25_DataIX" xfId="29779" xr:uid="{00000000-0005-0000-0000-0000EB090000}"/>
    <cellStyle name="20 % - Aksentti3 26" xfId="972" xr:uid="{00000000-0005-0000-0000-0000EC090000}"/>
    <cellStyle name="20 % - Aksentti3 26 2" xfId="6291" xr:uid="{00000000-0005-0000-0000-0000ED090000}"/>
    <cellStyle name="20 % - Aksentti3 26 3" xfId="14498" xr:uid="{00000000-0005-0000-0000-0000EE090000}"/>
    <cellStyle name="20 % - Aksentti3 26_DataIX" xfId="29780" xr:uid="{00000000-0005-0000-0000-0000EF090000}"/>
    <cellStyle name="20 % - Aksentti3 27" xfId="973" xr:uid="{00000000-0005-0000-0000-0000F0090000}"/>
    <cellStyle name="20 % - Aksentti3 27 2" xfId="6292" xr:uid="{00000000-0005-0000-0000-0000F1090000}"/>
    <cellStyle name="20 % - Aksentti3 27 3" xfId="14499" xr:uid="{00000000-0005-0000-0000-0000F2090000}"/>
    <cellStyle name="20 % - Aksentti3 27_DataIX" xfId="29781" xr:uid="{00000000-0005-0000-0000-0000F3090000}"/>
    <cellStyle name="20 % - Aksentti3 28" xfId="974" xr:uid="{00000000-0005-0000-0000-0000F4090000}"/>
    <cellStyle name="20 % - Aksentti3 28 2" xfId="6293" xr:uid="{00000000-0005-0000-0000-0000F5090000}"/>
    <cellStyle name="20 % - Aksentti3 28 3" xfId="14500" xr:uid="{00000000-0005-0000-0000-0000F6090000}"/>
    <cellStyle name="20 % - Aksentti3 28_DataIX" xfId="29782" xr:uid="{00000000-0005-0000-0000-0000F7090000}"/>
    <cellStyle name="20 % - Aksentti3 29" xfId="10642" xr:uid="{00000000-0005-0000-0000-0000F8090000}"/>
    <cellStyle name="20 % - Aksentti3 29 2" xfId="27760" xr:uid="{00000000-0005-0000-0000-0000F9090000}"/>
    <cellStyle name="20 % - Aksentti3 3" xfId="138" xr:uid="{00000000-0005-0000-0000-0000FA090000}"/>
    <cellStyle name="20 % - Aksentti3 3 10" xfId="976" xr:uid="{00000000-0005-0000-0000-0000FB090000}"/>
    <cellStyle name="20 % - Aksentti3 3 10 2" xfId="6294" xr:uid="{00000000-0005-0000-0000-0000FC090000}"/>
    <cellStyle name="20 % - Aksentti3 3 10 3" xfId="14502" xr:uid="{00000000-0005-0000-0000-0000FD090000}"/>
    <cellStyle name="20 % - Aksentti3 3 10_DataIX" xfId="29783" xr:uid="{00000000-0005-0000-0000-0000FE090000}"/>
    <cellStyle name="20 % - Aksentti3 3 11" xfId="975" xr:uid="{00000000-0005-0000-0000-0000FF090000}"/>
    <cellStyle name="20 % - Aksentti3 3 11 2" xfId="6295" xr:uid="{00000000-0005-0000-0000-0000000A0000}"/>
    <cellStyle name="20 % - Aksentti3 3 11 3" xfId="14501" xr:uid="{00000000-0005-0000-0000-0000010A0000}"/>
    <cellStyle name="20 % - Aksentti3 3 11_DataIX" xfId="29784" xr:uid="{00000000-0005-0000-0000-0000020A0000}"/>
    <cellStyle name="20 % - Aksentti3 3 2" xfId="977" xr:uid="{00000000-0005-0000-0000-0000030A0000}"/>
    <cellStyle name="20 % - Aksentti3 3 2 10" xfId="978" xr:uid="{00000000-0005-0000-0000-0000040A0000}"/>
    <cellStyle name="20 % - Aksentti3 3 2 10 2" xfId="6297" xr:uid="{00000000-0005-0000-0000-0000050A0000}"/>
    <cellStyle name="20 % - Aksentti3 3 2 10 3" xfId="14504" xr:uid="{00000000-0005-0000-0000-0000060A0000}"/>
    <cellStyle name="20 % - Aksentti3 3 2 10_DataIX" xfId="29786" xr:uid="{00000000-0005-0000-0000-0000070A0000}"/>
    <cellStyle name="20 % - Aksentti3 3 2 11" xfId="6296" xr:uid="{00000000-0005-0000-0000-0000080A0000}"/>
    <cellStyle name="20 % - Aksentti3 3 2 12" xfId="14503" xr:uid="{00000000-0005-0000-0000-0000090A0000}"/>
    <cellStyle name="20 % - Aksentti3 3 2 2" xfId="979" xr:uid="{00000000-0005-0000-0000-00000A0A0000}"/>
    <cellStyle name="20 % - Aksentti3 3 2 2 2" xfId="980" xr:uid="{00000000-0005-0000-0000-00000B0A0000}"/>
    <cellStyle name="20 % - Aksentti3 3 2 2 2 2" xfId="6299" xr:uid="{00000000-0005-0000-0000-00000C0A0000}"/>
    <cellStyle name="20 % - Aksentti3 3 2 2 2 3" xfId="14506" xr:uid="{00000000-0005-0000-0000-00000D0A0000}"/>
    <cellStyle name="20 % - Aksentti3 3 2 2 2_DataIX" xfId="29788" xr:uid="{00000000-0005-0000-0000-00000E0A0000}"/>
    <cellStyle name="20 % - Aksentti3 3 2 2 3" xfId="6298" xr:uid="{00000000-0005-0000-0000-00000F0A0000}"/>
    <cellStyle name="20 % - Aksentti3 3 2 2 4" xfId="14505" xr:uid="{00000000-0005-0000-0000-0000100A0000}"/>
    <cellStyle name="20 % - Aksentti3 3 2 2_DataIX" xfId="29787" xr:uid="{00000000-0005-0000-0000-0000110A0000}"/>
    <cellStyle name="20 % - Aksentti3 3 2 3" xfId="981" xr:uid="{00000000-0005-0000-0000-0000120A0000}"/>
    <cellStyle name="20 % - Aksentti3 3 2 3 2" xfId="6300" xr:uid="{00000000-0005-0000-0000-0000130A0000}"/>
    <cellStyle name="20 % - Aksentti3 3 2 3 3" xfId="14507" xr:uid="{00000000-0005-0000-0000-0000140A0000}"/>
    <cellStyle name="20 % - Aksentti3 3 2 3_DataIX" xfId="29789" xr:uid="{00000000-0005-0000-0000-0000150A0000}"/>
    <cellStyle name="20 % - Aksentti3 3 2 4" xfId="982" xr:uid="{00000000-0005-0000-0000-0000160A0000}"/>
    <cellStyle name="20 % - Aksentti3 3 2 4 2" xfId="6301" xr:uid="{00000000-0005-0000-0000-0000170A0000}"/>
    <cellStyle name="20 % - Aksentti3 3 2 4 3" xfId="14508" xr:uid="{00000000-0005-0000-0000-0000180A0000}"/>
    <cellStyle name="20 % - Aksentti3 3 2 4_DataIX" xfId="29790" xr:uid="{00000000-0005-0000-0000-0000190A0000}"/>
    <cellStyle name="20 % - Aksentti3 3 2 5" xfId="983" xr:uid="{00000000-0005-0000-0000-00001A0A0000}"/>
    <cellStyle name="20 % - Aksentti3 3 2 5 2" xfId="6302" xr:uid="{00000000-0005-0000-0000-00001B0A0000}"/>
    <cellStyle name="20 % - Aksentti3 3 2 5 3" xfId="14509" xr:uid="{00000000-0005-0000-0000-00001C0A0000}"/>
    <cellStyle name="20 % - Aksentti3 3 2 5_DataIX" xfId="29791" xr:uid="{00000000-0005-0000-0000-00001D0A0000}"/>
    <cellStyle name="20 % - Aksentti3 3 2 6" xfId="984" xr:uid="{00000000-0005-0000-0000-00001E0A0000}"/>
    <cellStyle name="20 % - Aksentti3 3 2 6 2" xfId="6303" xr:uid="{00000000-0005-0000-0000-00001F0A0000}"/>
    <cellStyle name="20 % - Aksentti3 3 2 6 3" xfId="14510" xr:uid="{00000000-0005-0000-0000-0000200A0000}"/>
    <cellStyle name="20 % - Aksentti3 3 2 6_DataIX" xfId="29792" xr:uid="{00000000-0005-0000-0000-0000210A0000}"/>
    <cellStyle name="20 % - Aksentti3 3 2 7" xfId="985" xr:uid="{00000000-0005-0000-0000-0000220A0000}"/>
    <cellStyle name="20 % - Aksentti3 3 2 7 2" xfId="6304" xr:uid="{00000000-0005-0000-0000-0000230A0000}"/>
    <cellStyle name="20 % - Aksentti3 3 2 7 3" xfId="14511" xr:uid="{00000000-0005-0000-0000-0000240A0000}"/>
    <cellStyle name="20 % - Aksentti3 3 2 7_DataIX" xfId="29793" xr:uid="{00000000-0005-0000-0000-0000250A0000}"/>
    <cellStyle name="20 % - Aksentti3 3 2 8" xfId="986" xr:uid="{00000000-0005-0000-0000-0000260A0000}"/>
    <cellStyle name="20 % - Aksentti3 3 2 8 2" xfId="6305" xr:uid="{00000000-0005-0000-0000-0000270A0000}"/>
    <cellStyle name="20 % - Aksentti3 3 2 8 3" xfId="14512" xr:uid="{00000000-0005-0000-0000-0000280A0000}"/>
    <cellStyle name="20 % - Aksentti3 3 2 8_DataIX" xfId="29794" xr:uid="{00000000-0005-0000-0000-0000290A0000}"/>
    <cellStyle name="20 % - Aksentti3 3 2 9" xfId="987" xr:uid="{00000000-0005-0000-0000-00002A0A0000}"/>
    <cellStyle name="20 % - Aksentti3 3 2 9 2" xfId="6306" xr:uid="{00000000-0005-0000-0000-00002B0A0000}"/>
    <cellStyle name="20 % - Aksentti3 3 2 9 3" xfId="14513" xr:uid="{00000000-0005-0000-0000-00002C0A0000}"/>
    <cellStyle name="20 % - Aksentti3 3 2 9_DataIX" xfId="29795" xr:uid="{00000000-0005-0000-0000-00002D0A0000}"/>
    <cellStyle name="20 % - Aksentti3 3 2_DataIX" xfId="29785" xr:uid="{00000000-0005-0000-0000-00002E0A0000}"/>
    <cellStyle name="20 % - Aksentti3 3 3" xfId="988" xr:uid="{00000000-0005-0000-0000-00002F0A0000}"/>
    <cellStyle name="20 % - Aksentti3 3 3 2" xfId="989" xr:uid="{00000000-0005-0000-0000-0000300A0000}"/>
    <cellStyle name="20 % - Aksentti3 3 3 2 2" xfId="990" xr:uid="{00000000-0005-0000-0000-0000310A0000}"/>
    <cellStyle name="20 % - Aksentti3 3 3 2 2 2" xfId="6309" xr:uid="{00000000-0005-0000-0000-0000320A0000}"/>
    <cellStyle name="20 % - Aksentti3 3 3 2 2 3" xfId="14516" xr:uid="{00000000-0005-0000-0000-0000330A0000}"/>
    <cellStyle name="20 % - Aksentti3 3 3 2 2_DataIX" xfId="29798" xr:uid="{00000000-0005-0000-0000-0000340A0000}"/>
    <cellStyle name="20 % - Aksentti3 3 3 2 3" xfId="6308" xr:uid="{00000000-0005-0000-0000-0000350A0000}"/>
    <cellStyle name="20 % - Aksentti3 3 3 2 4" xfId="14515" xr:uid="{00000000-0005-0000-0000-0000360A0000}"/>
    <cellStyle name="20 % - Aksentti3 3 3 2_DataIX" xfId="29797" xr:uid="{00000000-0005-0000-0000-0000370A0000}"/>
    <cellStyle name="20 % - Aksentti3 3 3 3" xfId="991" xr:uid="{00000000-0005-0000-0000-0000380A0000}"/>
    <cellStyle name="20 % - Aksentti3 3 3 3 2" xfId="6310" xr:uid="{00000000-0005-0000-0000-0000390A0000}"/>
    <cellStyle name="20 % - Aksentti3 3 3 3 3" xfId="14517" xr:uid="{00000000-0005-0000-0000-00003A0A0000}"/>
    <cellStyle name="20 % - Aksentti3 3 3 3_DataIX" xfId="29799" xr:uid="{00000000-0005-0000-0000-00003B0A0000}"/>
    <cellStyle name="20 % - Aksentti3 3 3 4" xfId="6307" xr:uid="{00000000-0005-0000-0000-00003C0A0000}"/>
    <cellStyle name="20 % - Aksentti3 3 3 5" xfId="14514" xr:uid="{00000000-0005-0000-0000-00003D0A0000}"/>
    <cellStyle name="20 % - Aksentti3 3 3_DataIX" xfId="29796" xr:uid="{00000000-0005-0000-0000-00003E0A0000}"/>
    <cellStyle name="20 % - Aksentti3 3 4" xfId="992" xr:uid="{00000000-0005-0000-0000-00003F0A0000}"/>
    <cellStyle name="20 % - Aksentti3 3 4 2" xfId="993" xr:uid="{00000000-0005-0000-0000-0000400A0000}"/>
    <cellStyle name="20 % - Aksentti3 3 4 2 2" xfId="994" xr:uid="{00000000-0005-0000-0000-0000410A0000}"/>
    <cellStyle name="20 % - Aksentti3 3 4 2 2 2" xfId="6313" xr:uid="{00000000-0005-0000-0000-0000420A0000}"/>
    <cellStyle name="20 % - Aksentti3 3 4 2 2 3" xfId="14520" xr:uid="{00000000-0005-0000-0000-0000430A0000}"/>
    <cellStyle name="20 % - Aksentti3 3 4 2 2_DataIX" xfId="29802" xr:uid="{00000000-0005-0000-0000-0000440A0000}"/>
    <cellStyle name="20 % - Aksentti3 3 4 2 3" xfId="6312" xr:uid="{00000000-0005-0000-0000-0000450A0000}"/>
    <cellStyle name="20 % - Aksentti3 3 4 2 4" xfId="14519" xr:uid="{00000000-0005-0000-0000-0000460A0000}"/>
    <cellStyle name="20 % - Aksentti3 3 4 2_DataIX" xfId="29801" xr:uid="{00000000-0005-0000-0000-0000470A0000}"/>
    <cellStyle name="20 % - Aksentti3 3 4 3" xfId="995" xr:uid="{00000000-0005-0000-0000-0000480A0000}"/>
    <cellStyle name="20 % - Aksentti3 3 4 3 2" xfId="6314" xr:uid="{00000000-0005-0000-0000-0000490A0000}"/>
    <cellStyle name="20 % - Aksentti3 3 4 3 3" xfId="14521" xr:uid="{00000000-0005-0000-0000-00004A0A0000}"/>
    <cellStyle name="20 % - Aksentti3 3 4 3_DataIX" xfId="29803" xr:uid="{00000000-0005-0000-0000-00004B0A0000}"/>
    <cellStyle name="20 % - Aksentti3 3 4 4" xfId="6311" xr:uid="{00000000-0005-0000-0000-00004C0A0000}"/>
    <cellStyle name="20 % - Aksentti3 3 4 5" xfId="14518" xr:uid="{00000000-0005-0000-0000-00004D0A0000}"/>
    <cellStyle name="20 % - Aksentti3 3 4_DataIX" xfId="29800" xr:uid="{00000000-0005-0000-0000-00004E0A0000}"/>
    <cellStyle name="20 % - Aksentti3 3 5" xfId="996" xr:uid="{00000000-0005-0000-0000-00004F0A0000}"/>
    <cellStyle name="20 % - Aksentti3 3 5 2" xfId="997" xr:uid="{00000000-0005-0000-0000-0000500A0000}"/>
    <cellStyle name="20 % - Aksentti3 3 5 2 2" xfId="6316" xr:uid="{00000000-0005-0000-0000-0000510A0000}"/>
    <cellStyle name="20 % - Aksentti3 3 5 2 3" xfId="14523" xr:uid="{00000000-0005-0000-0000-0000520A0000}"/>
    <cellStyle name="20 % - Aksentti3 3 5 2_DataIX" xfId="29805" xr:uid="{00000000-0005-0000-0000-0000530A0000}"/>
    <cellStyle name="20 % - Aksentti3 3 5 3" xfId="6315" xr:uid="{00000000-0005-0000-0000-0000540A0000}"/>
    <cellStyle name="20 % - Aksentti3 3 5 4" xfId="14522" xr:uid="{00000000-0005-0000-0000-0000550A0000}"/>
    <cellStyle name="20 % - Aksentti3 3 5_DataIX" xfId="29804" xr:uid="{00000000-0005-0000-0000-0000560A0000}"/>
    <cellStyle name="20 % - Aksentti3 3 6" xfId="998" xr:uid="{00000000-0005-0000-0000-0000570A0000}"/>
    <cellStyle name="20 % - Aksentti3 3 6 2" xfId="6317" xr:uid="{00000000-0005-0000-0000-0000580A0000}"/>
    <cellStyle name="20 % - Aksentti3 3 6 3" xfId="14524" xr:uid="{00000000-0005-0000-0000-0000590A0000}"/>
    <cellStyle name="20 % - Aksentti3 3 6_DataIX" xfId="29806" xr:uid="{00000000-0005-0000-0000-00005A0A0000}"/>
    <cellStyle name="20 % - Aksentti3 3 7" xfId="999" xr:uid="{00000000-0005-0000-0000-00005B0A0000}"/>
    <cellStyle name="20 % - Aksentti3 3 7 2" xfId="6318" xr:uid="{00000000-0005-0000-0000-00005C0A0000}"/>
    <cellStyle name="20 % - Aksentti3 3 7 3" xfId="14525" xr:uid="{00000000-0005-0000-0000-00005D0A0000}"/>
    <cellStyle name="20 % - Aksentti3 3 7_DataIX" xfId="29807" xr:uid="{00000000-0005-0000-0000-00005E0A0000}"/>
    <cellStyle name="20 % - Aksentti3 3 8" xfId="1000" xr:uid="{00000000-0005-0000-0000-00005F0A0000}"/>
    <cellStyle name="20 % - Aksentti3 3 8 2" xfId="6319" xr:uid="{00000000-0005-0000-0000-0000600A0000}"/>
    <cellStyle name="20 % - Aksentti3 3 8 3" xfId="14526" xr:uid="{00000000-0005-0000-0000-0000610A0000}"/>
    <cellStyle name="20 % - Aksentti3 3 8_DataIX" xfId="29808" xr:uid="{00000000-0005-0000-0000-0000620A0000}"/>
    <cellStyle name="20 % - Aksentti3 3 9" xfId="1001" xr:uid="{00000000-0005-0000-0000-0000630A0000}"/>
    <cellStyle name="20 % - Aksentti3 3 9 2" xfId="6320" xr:uid="{00000000-0005-0000-0000-0000640A0000}"/>
    <cellStyle name="20 % - Aksentti3 3 9 3" xfId="14527" xr:uid="{00000000-0005-0000-0000-0000650A0000}"/>
    <cellStyle name="20 % - Aksentti3 3 9_DataIX" xfId="29809" xr:uid="{00000000-0005-0000-0000-0000660A0000}"/>
    <cellStyle name="20 % - Aksentti3 3_Tulokset" xfId="1002" xr:uid="{00000000-0005-0000-0000-0000670A0000}"/>
    <cellStyle name="20 % - Aksentti3 30" xfId="13081" xr:uid="{00000000-0005-0000-0000-0000680A0000}"/>
    <cellStyle name="20 % - Aksentti3 31" xfId="13198" xr:uid="{00000000-0005-0000-0000-0000690A0000}"/>
    <cellStyle name="20 % - Aksentti3 32" xfId="13249" xr:uid="{00000000-0005-0000-0000-00006A0A0000}"/>
    <cellStyle name="20 % - Aksentti3 33" xfId="13400" xr:uid="{00000000-0005-0000-0000-00006B0A0000}"/>
    <cellStyle name="20 % - Aksentti3 34" xfId="13890" xr:uid="{00000000-0005-0000-0000-00006C0A0000}"/>
    <cellStyle name="20 % - Aksentti3 35" xfId="13832" xr:uid="{00000000-0005-0000-0000-00006D0A0000}"/>
    <cellStyle name="20 % - Aksentti3 36" xfId="25105" xr:uid="{00000000-0005-0000-0000-00006E0A0000}"/>
    <cellStyle name="20 % - Aksentti3 37" xfId="26424" xr:uid="{00000000-0005-0000-0000-00006F0A0000}"/>
    <cellStyle name="20 % - Aksentti3 38" xfId="25782" xr:uid="{00000000-0005-0000-0000-0000700A0000}"/>
    <cellStyle name="20 % - Aksentti3 39" xfId="25419" xr:uid="{00000000-0005-0000-0000-0000710A0000}"/>
    <cellStyle name="20 % - Aksentti3 4" xfId="1003" xr:uid="{00000000-0005-0000-0000-0000720A0000}"/>
    <cellStyle name="20 % - Aksentti3 4 10" xfId="1004" xr:uid="{00000000-0005-0000-0000-0000730A0000}"/>
    <cellStyle name="20 % - Aksentti3 4 10 2" xfId="6322" xr:uid="{00000000-0005-0000-0000-0000740A0000}"/>
    <cellStyle name="20 % - Aksentti3 4 10 3" xfId="14529" xr:uid="{00000000-0005-0000-0000-0000750A0000}"/>
    <cellStyle name="20 % - Aksentti3 4 10_DataIX" xfId="29810" xr:uid="{00000000-0005-0000-0000-0000760A0000}"/>
    <cellStyle name="20 % - Aksentti3 4 11" xfId="5471" xr:uid="{00000000-0005-0000-0000-0000770A0000}"/>
    <cellStyle name="20 % - Aksentti3 4 12" xfId="14528" xr:uid="{00000000-0005-0000-0000-0000780A0000}"/>
    <cellStyle name="20 % - Aksentti3 4 2" xfId="1005" xr:uid="{00000000-0005-0000-0000-0000790A0000}"/>
    <cellStyle name="20 % - Aksentti3 4 2 2" xfId="1006" xr:uid="{00000000-0005-0000-0000-00007A0A0000}"/>
    <cellStyle name="20 % - Aksentti3 4 2 2 2" xfId="1007" xr:uid="{00000000-0005-0000-0000-00007B0A0000}"/>
    <cellStyle name="20 % - Aksentti3 4 2 2 2 2" xfId="6325" xr:uid="{00000000-0005-0000-0000-00007C0A0000}"/>
    <cellStyle name="20 % - Aksentti3 4 2 2 2 3" xfId="14532" xr:uid="{00000000-0005-0000-0000-00007D0A0000}"/>
    <cellStyle name="20 % - Aksentti3 4 2 2 2_DataIX" xfId="29813" xr:uid="{00000000-0005-0000-0000-00007E0A0000}"/>
    <cellStyle name="20 % - Aksentti3 4 2 2 3" xfId="6324" xr:uid="{00000000-0005-0000-0000-00007F0A0000}"/>
    <cellStyle name="20 % - Aksentti3 4 2 2 4" xfId="14531" xr:uid="{00000000-0005-0000-0000-0000800A0000}"/>
    <cellStyle name="20 % - Aksentti3 4 2 2_DataIX" xfId="29812" xr:uid="{00000000-0005-0000-0000-0000810A0000}"/>
    <cellStyle name="20 % - Aksentti3 4 2 3" xfId="1008" xr:uid="{00000000-0005-0000-0000-0000820A0000}"/>
    <cellStyle name="20 % - Aksentti3 4 2 3 2" xfId="6326" xr:uid="{00000000-0005-0000-0000-0000830A0000}"/>
    <cellStyle name="20 % - Aksentti3 4 2 3 3" xfId="14533" xr:uid="{00000000-0005-0000-0000-0000840A0000}"/>
    <cellStyle name="20 % - Aksentti3 4 2 3_DataIX" xfId="29814" xr:uid="{00000000-0005-0000-0000-0000850A0000}"/>
    <cellStyle name="20 % - Aksentti3 4 2 4" xfId="6323" xr:uid="{00000000-0005-0000-0000-0000860A0000}"/>
    <cellStyle name="20 % - Aksentti3 4 2 5" xfId="14530" xr:uid="{00000000-0005-0000-0000-0000870A0000}"/>
    <cellStyle name="20 % - Aksentti3 4 2_DataIX" xfId="29811" xr:uid="{00000000-0005-0000-0000-0000880A0000}"/>
    <cellStyle name="20 % - Aksentti3 4 3" xfId="1009" xr:uid="{00000000-0005-0000-0000-0000890A0000}"/>
    <cellStyle name="20 % - Aksentti3 4 3 2" xfId="1010" xr:uid="{00000000-0005-0000-0000-00008A0A0000}"/>
    <cellStyle name="20 % - Aksentti3 4 3 2 2" xfId="6328" xr:uid="{00000000-0005-0000-0000-00008B0A0000}"/>
    <cellStyle name="20 % - Aksentti3 4 3 2 3" xfId="14535" xr:uid="{00000000-0005-0000-0000-00008C0A0000}"/>
    <cellStyle name="20 % - Aksentti3 4 3 2_DataIX" xfId="29816" xr:uid="{00000000-0005-0000-0000-00008D0A0000}"/>
    <cellStyle name="20 % - Aksentti3 4 3 3" xfId="6327" xr:uid="{00000000-0005-0000-0000-00008E0A0000}"/>
    <cellStyle name="20 % - Aksentti3 4 3 4" xfId="14534" xr:uid="{00000000-0005-0000-0000-00008F0A0000}"/>
    <cellStyle name="20 % - Aksentti3 4 3_DataIX" xfId="29815" xr:uid="{00000000-0005-0000-0000-0000900A0000}"/>
    <cellStyle name="20 % - Aksentti3 4 4" xfId="1011" xr:uid="{00000000-0005-0000-0000-0000910A0000}"/>
    <cellStyle name="20 % - Aksentti3 4 4 2" xfId="6329" xr:uid="{00000000-0005-0000-0000-0000920A0000}"/>
    <cellStyle name="20 % - Aksentti3 4 4 3" xfId="14536" xr:uid="{00000000-0005-0000-0000-0000930A0000}"/>
    <cellStyle name="20 % - Aksentti3 4 4_DataIX" xfId="29817" xr:uid="{00000000-0005-0000-0000-0000940A0000}"/>
    <cellStyle name="20 % - Aksentti3 4 5" xfId="1012" xr:uid="{00000000-0005-0000-0000-0000950A0000}"/>
    <cellStyle name="20 % - Aksentti3 4 5 2" xfId="6330" xr:uid="{00000000-0005-0000-0000-0000960A0000}"/>
    <cellStyle name="20 % - Aksentti3 4 5 3" xfId="14537" xr:uid="{00000000-0005-0000-0000-0000970A0000}"/>
    <cellStyle name="20 % - Aksentti3 4 5_DataIX" xfId="29818" xr:uid="{00000000-0005-0000-0000-0000980A0000}"/>
    <cellStyle name="20 % - Aksentti3 4 6" xfId="1013" xr:uid="{00000000-0005-0000-0000-0000990A0000}"/>
    <cellStyle name="20 % - Aksentti3 4 6 2" xfId="6331" xr:uid="{00000000-0005-0000-0000-00009A0A0000}"/>
    <cellStyle name="20 % - Aksentti3 4 6 3" xfId="14538" xr:uid="{00000000-0005-0000-0000-00009B0A0000}"/>
    <cellStyle name="20 % - Aksentti3 4 6_DataIX" xfId="29819" xr:uid="{00000000-0005-0000-0000-00009C0A0000}"/>
    <cellStyle name="20 % - Aksentti3 4 7" xfId="1014" xr:uid="{00000000-0005-0000-0000-00009D0A0000}"/>
    <cellStyle name="20 % - Aksentti3 4 7 2" xfId="6332" xr:uid="{00000000-0005-0000-0000-00009E0A0000}"/>
    <cellStyle name="20 % - Aksentti3 4 7 3" xfId="14539" xr:uid="{00000000-0005-0000-0000-00009F0A0000}"/>
    <cellStyle name="20 % - Aksentti3 4 7_DataIX" xfId="29820" xr:uid="{00000000-0005-0000-0000-0000A00A0000}"/>
    <cellStyle name="20 % - Aksentti3 4 8" xfId="1015" xr:uid="{00000000-0005-0000-0000-0000A10A0000}"/>
    <cellStyle name="20 % - Aksentti3 4 8 2" xfId="6333" xr:uid="{00000000-0005-0000-0000-0000A20A0000}"/>
    <cellStyle name="20 % - Aksentti3 4 8 3" xfId="14540" xr:uid="{00000000-0005-0000-0000-0000A30A0000}"/>
    <cellStyle name="20 % - Aksentti3 4 8_DataIX" xfId="29821" xr:uid="{00000000-0005-0000-0000-0000A40A0000}"/>
    <cellStyle name="20 % - Aksentti3 4 9" xfId="1016" xr:uid="{00000000-0005-0000-0000-0000A50A0000}"/>
    <cellStyle name="20 % - Aksentti3 4 9 2" xfId="6334" xr:uid="{00000000-0005-0000-0000-0000A60A0000}"/>
    <cellStyle name="20 % - Aksentti3 4 9 3" xfId="14541" xr:uid="{00000000-0005-0000-0000-0000A70A0000}"/>
    <cellStyle name="20 % - Aksentti3 4 9_DataIX" xfId="29822" xr:uid="{00000000-0005-0000-0000-0000A80A0000}"/>
    <cellStyle name="20 % - Aksentti3 4_##Keskeiset" xfId="6321" xr:uid="{00000000-0005-0000-0000-0000A90A0000}"/>
    <cellStyle name="20 % - Aksentti3 40" xfId="25582" xr:uid="{00000000-0005-0000-0000-0000AA0A0000}"/>
    <cellStyle name="20 % - Aksentti3 41" xfId="25410" xr:uid="{00000000-0005-0000-0000-0000AB0A0000}"/>
    <cellStyle name="20 % - Aksentti3 42" xfId="26712" xr:uid="{00000000-0005-0000-0000-0000AC0A0000}"/>
    <cellStyle name="20 % - Aksentti3 43" xfId="25442" xr:uid="{00000000-0005-0000-0000-0000AD0A0000}"/>
    <cellStyle name="20 % - Aksentti3 44" xfId="26246" xr:uid="{00000000-0005-0000-0000-0000AE0A0000}"/>
    <cellStyle name="20 % - Aksentti3 5" xfId="1017" xr:uid="{00000000-0005-0000-0000-0000AF0A0000}"/>
    <cellStyle name="20 % - Aksentti3 5 10" xfId="1018" xr:uid="{00000000-0005-0000-0000-0000B00A0000}"/>
    <cellStyle name="20 % - Aksentti3 5 10 2" xfId="6336" xr:uid="{00000000-0005-0000-0000-0000B10A0000}"/>
    <cellStyle name="20 % - Aksentti3 5 10 3" xfId="14543" xr:uid="{00000000-0005-0000-0000-0000B20A0000}"/>
    <cellStyle name="20 % - Aksentti3 5 10_DataIX" xfId="29824" xr:uid="{00000000-0005-0000-0000-0000B30A0000}"/>
    <cellStyle name="20 % - Aksentti3 5 11" xfId="6335" xr:uid="{00000000-0005-0000-0000-0000B40A0000}"/>
    <cellStyle name="20 % - Aksentti3 5 12" xfId="14542" xr:uid="{00000000-0005-0000-0000-0000B50A0000}"/>
    <cellStyle name="20 % - Aksentti3 5 2" xfId="1019" xr:uid="{00000000-0005-0000-0000-0000B60A0000}"/>
    <cellStyle name="20 % - Aksentti3 5 2 2" xfId="1020" xr:uid="{00000000-0005-0000-0000-0000B70A0000}"/>
    <cellStyle name="20 % - Aksentti3 5 2 2 2" xfId="1021" xr:uid="{00000000-0005-0000-0000-0000B80A0000}"/>
    <cellStyle name="20 % - Aksentti3 5 2 2 2 2" xfId="6339" xr:uid="{00000000-0005-0000-0000-0000B90A0000}"/>
    <cellStyle name="20 % - Aksentti3 5 2 2 2 3" xfId="14546" xr:uid="{00000000-0005-0000-0000-0000BA0A0000}"/>
    <cellStyle name="20 % - Aksentti3 5 2 2 2_DataIX" xfId="29827" xr:uid="{00000000-0005-0000-0000-0000BB0A0000}"/>
    <cellStyle name="20 % - Aksentti3 5 2 2 3" xfId="6338" xr:uid="{00000000-0005-0000-0000-0000BC0A0000}"/>
    <cellStyle name="20 % - Aksentti3 5 2 2 4" xfId="14545" xr:uid="{00000000-0005-0000-0000-0000BD0A0000}"/>
    <cellStyle name="20 % - Aksentti3 5 2 2_DataIX" xfId="29826" xr:uid="{00000000-0005-0000-0000-0000BE0A0000}"/>
    <cellStyle name="20 % - Aksentti3 5 2 3" xfId="1022" xr:uid="{00000000-0005-0000-0000-0000BF0A0000}"/>
    <cellStyle name="20 % - Aksentti3 5 2 3 2" xfId="6340" xr:uid="{00000000-0005-0000-0000-0000C00A0000}"/>
    <cellStyle name="20 % - Aksentti3 5 2 3 3" xfId="14547" xr:uid="{00000000-0005-0000-0000-0000C10A0000}"/>
    <cellStyle name="20 % - Aksentti3 5 2 3_DataIX" xfId="29828" xr:uid="{00000000-0005-0000-0000-0000C20A0000}"/>
    <cellStyle name="20 % - Aksentti3 5 2 4" xfId="6337" xr:uid="{00000000-0005-0000-0000-0000C30A0000}"/>
    <cellStyle name="20 % - Aksentti3 5 2 5" xfId="14544" xr:uid="{00000000-0005-0000-0000-0000C40A0000}"/>
    <cellStyle name="20 % - Aksentti3 5 2_DataIX" xfId="29825" xr:uid="{00000000-0005-0000-0000-0000C50A0000}"/>
    <cellStyle name="20 % - Aksentti3 5 3" xfId="1023" xr:uid="{00000000-0005-0000-0000-0000C60A0000}"/>
    <cellStyle name="20 % - Aksentti3 5 3 2" xfId="1024" xr:uid="{00000000-0005-0000-0000-0000C70A0000}"/>
    <cellStyle name="20 % - Aksentti3 5 3 2 2" xfId="6342" xr:uid="{00000000-0005-0000-0000-0000C80A0000}"/>
    <cellStyle name="20 % - Aksentti3 5 3 2 3" xfId="14549" xr:uid="{00000000-0005-0000-0000-0000C90A0000}"/>
    <cellStyle name="20 % - Aksentti3 5 3 2_DataIX" xfId="29830" xr:uid="{00000000-0005-0000-0000-0000CA0A0000}"/>
    <cellStyle name="20 % - Aksentti3 5 3 3" xfId="6341" xr:uid="{00000000-0005-0000-0000-0000CB0A0000}"/>
    <cellStyle name="20 % - Aksentti3 5 3 4" xfId="14548" xr:uid="{00000000-0005-0000-0000-0000CC0A0000}"/>
    <cellStyle name="20 % - Aksentti3 5 3_DataIX" xfId="29829" xr:uid="{00000000-0005-0000-0000-0000CD0A0000}"/>
    <cellStyle name="20 % - Aksentti3 5 4" xfId="1025" xr:uid="{00000000-0005-0000-0000-0000CE0A0000}"/>
    <cellStyle name="20 % - Aksentti3 5 4 2" xfId="6343" xr:uid="{00000000-0005-0000-0000-0000CF0A0000}"/>
    <cellStyle name="20 % - Aksentti3 5 4 3" xfId="14550" xr:uid="{00000000-0005-0000-0000-0000D00A0000}"/>
    <cellStyle name="20 % - Aksentti3 5 4_DataIX" xfId="29831" xr:uid="{00000000-0005-0000-0000-0000D10A0000}"/>
    <cellStyle name="20 % - Aksentti3 5 5" xfId="1026" xr:uid="{00000000-0005-0000-0000-0000D20A0000}"/>
    <cellStyle name="20 % - Aksentti3 5 5 2" xfId="6344" xr:uid="{00000000-0005-0000-0000-0000D30A0000}"/>
    <cellStyle name="20 % - Aksentti3 5 5 3" xfId="14551" xr:uid="{00000000-0005-0000-0000-0000D40A0000}"/>
    <cellStyle name="20 % - Aksentti3 5 5_DataIX" xfId="29832" xr:uid="{00000000-0005-0000-0000-0000D50A0000}"/>
    <cellStyle name="20 % - Aksentti3 5 6" xfId="1027" xr:uid="{00000000-0005-0000-0000-0000D60A0000}"/>
    <cellStyle name="20 % - Aksentti3 5 6 2" xfId="6345" xr:uid="{00000000-0005-0000-0000-0000D70A0000}"/>
    <cellStyle name="20 % - Aksentti3 5 6 3" xfId="14552" xr:uid="{00000000-0005-0000-0000-0000D80A0000}"/>
    <cellStyle name="20 % - Aksentti3 5 6_DataIX" xfId="29833" xr:uid="{00000000-0005-0000-0000-0000D90A0000}"/>
    <cellStyle name="20 % - Aksentti3 5 7" xfId="1028" xr:uid="{00000000-0005-0000-0000-0000DA0A0000}"/>
    <cellStyle name="20 % - Aksentti3 5 7 2" xfId="6346" xr:uid="{00000000-0005-0000-0000-0000DB0A0000}"/>
    <cellStyle name="20 % - Aksentti3 5 7 3" xfId="14553" xr:uid="{00000000-0005-0000-0000-0000DC0A0000}"/>
    <cellStyle name="20 % - Aksentti3 5 7_DataIX" xfId="29834" xr:uid="{00000000-0005-0000-0000-0000DD0A0000}"/>
    <cellStyle name="20 % - Aksentti3 5 8" xfId="1029" xr:uid="{00000000-0005-0000-0000-0000DE0A0000}"/>
    <cellStyle name="20 % - Aksentti3 5 8 2" xfId="6347" xr:uid="{00000000-0005-0000-0000-0000DF0A0000}"/>
    <cellStyle name="20 % - Aksentti3 5 8 3" xfId="14554" xr:uid="{00000000-0005-0000-0000-0000E00A0000}"/>
    <cellStyle name="20 % - Aksentti3 5 8_DataIX" xfId="29835" xr:uid="{00000000-0005-0000-0000-0000E10A0000}"/>
    <cellStyle name="20 % - Aksentti3 5 9" xfId="1030" xr:uid="{00000000-0005-0000-0000-0000E20A0000}"/>
    <cellStyle name="20 % - Aksentti3 5 9 2" xfId="6348" xr:uid="{00000000-0005-0000-0000-0000E30A0000}"/>
    <cellStyle name="20 % - Aksentti3 5 9 3" xfId="14555" xr:uid="{00000000-0005-0000-0000-0000E40A0000}"/>
    <cellStyle name="20 % - Aksentti3 5 9_DataIX" xfId="29836" xr:uid="{00000000-0005-0000-0000-0000E50A0000}"/>
    <cellStyle name="20 % - Aksentti3 5_DataIX" xfId="29823" xr:uid="{00000000-0005-0000-0000-0000E60A0000}"/>
    <cellStyle name="20 % - Aksentti3 6" xfId="1031" xr:uid="{00000000-0005-0000-0000-0000E70A0000}"/>
    <cellStyle name="20 % - Aksentti3 6 10" xfId="1032" xr:uid="{00000000-0005-0000-0000-0000E80A0000}"/>
    <cellStyle name="20 % - Aksentti3 6 10 2" xfId="6350" xr:uid="{00000000-0005-0000-0000-0000E90A0000}"/>
    <cellStyle name="20 % - Aksentti3 6 10 3" xfId="14557" xr:uid="{00000000-0005-0000-0000-0000EA0A0000}"/>
    <cellStyle name="20 % - Aksentti3 6 10_DataIX" xfId="29838" xr:uid="{00000000-0005-0000-0000-0000EB0A0000}"/>
    <cellStyle name="20 % - Aksentti3 6 11" xfId="6349" xr:uid="{00000000-0005-0000-0000-0000EC0A0000}"/>
    <cellStyle name="20 % - Aksentti3 6 12" xfId="14556" xr:uid="{00000000-0005-0000-0000-0000ED0A0000}"/>
    <cellStyle name="20 % - Aksentti3 6 2" xfId="1033" xr:uid="{00000000-0005-0000-0000-0000EE0A0000}"/>
    <cellStyle name="20 % - Aksentti3 6 2 2" xfId="1034" xr:uid="{00000000-0005-0000-0000-0000EF0A0000}"/>
    <cellStyle name="20 % - Aksentti3 6 2 2 2" xfId="1035" xr:uid="{00000000-0005-0000-0000-0000F00A0000}"/>
    <cellStyle name="20 % - Aksentti3 6 2 2 2 2" xfId="6353" xr:uid="{00000000-0005-0000-0000-0000F10A0000}"/>
    <cellStyle name="20 % - Aksentti3 6 2 2 2 3" xfId="14560" xr:uid="{00000000-0005-0000-0000-0000F20A0000}"/>
    <cellStyle name="20 % - Aksentti3 6 2 2 2_DataIX" xfId="29841" xr:uid="{00000000-0005-0000-0000-0000F30A0000}"/>
    <cellStyle name="20 % - Aksentti3 6 2 2 3" xfId="6352" xr:uid="{00000000-0005-0000-0000-0000F40A0000}"/>
    <cellStyle name="20 % - Aksentti3 6 2 2 4" xfId="14559" xr:uid="{00000000-0005-0000-0000-0000F50A0000}"/>
    <cellStyle name="20 % - Aksentti3 6 2 2_DataIX" xfId="29840" xr:uid="{00000000-0005-0000-0000-0000F60A0000}"/>
    <cellStyle name="20 % - Aksentti3 6 2 3" xfId="1036" xr:uid="{00000000-0005-0000-0000-0000F70A0000}"/>
    <cellStyle name="20 % - Aksentti3 6 2 3 2" xfId="6354" xr:uid="{00000000-0005-0000-0000-0000F80A0000}"/>
    <cellStyle name="20 % - Aksentti3 6 2 3 3" xfId="14561" xr:uid="{00000000-0005-0000-0000-0000F90A0000}"/>
    <cellStyle name="20 % - Aksentti3 6 2 3_DataIX" xfId="29842" xr:uid="{00000000-0005-0000-0000-0000FA0A0000}"/>
    <cellStyle name="20 % - Aksentti3 6 2 4" xfId="6351" xr:uid="{00000000-0005-0000-0000-0000FB0A0000}"/>
    <cellStyle name="20 % - Aksentti3 6 2 5" xfId="14558" xr:uid="{00000000-0005-0000-0000-0000FC0A0000}"/>
    <cellStyle name="20 % - Aksentti3 6 2_DataIX" xfId="29839" xr:uid="{00000000-0005-0000-0000-0000FD0A0000}"/>
    <cellStyle name="20 % - Aksentti3 6 3" xfId="1037" xr:uid="{00000000-0005-0000-0000-0000FE0A0000}"/>
    <cellStyle name="20 % - Aksentti3 6 3 2" xfId="1038" xr:uid="{00000000-0005-0000-0000-0000FF0A0000}"/>
    <cellStyle name="20 % - Aksentti3 6 3 2 2" xfId="6356" xr:uid="{00000000-0005-0000-0000-0000000B0000}"/>
    <cellStyle name="20 % - Aksentti3 6 3 2 3" xfId="14563" xr:uid="{00000000-0005-0000-0000-0000010B0000}"/>
    <cellStyle name="20 % - Aksentti3 6 3 2_DataIX" xfId="29844" xr:uid="{00000000-0005-0000-0000-0000020B0000}"/>
    <cellStyle name="20 % - Aksentti3 6 3 3" xfId="6355" xr:uid="{00000000-0005-0000-0000-0000030B0000}"/>
    <cellStyle name="20 % - Aksentti3 6 3 4" xfId="14562" xr:uid="{00000000-0005-0000-0000-0000040B0000}"/>
    <cellStyle name="20 % - Aksentti3 6 3_DataIX" xfId="29843" xr:uid="{00000000-0005-0000-0000-0000050B0000}"/>
    <cellStyle name="20 % - Aksentti3 6 4" xfId="1039" xr:uid="{00000000-0005-0000-0000-0000060B0000}"/>
    <cellStyle name="20 % - Aksentti3 6 4 2" xfId="6357" xr:uid="{00000000-0005-0000-0000-0000070B0000}"/>
    <cellStyle name="20 % - Aksentti3 6 4 3" xfId="14564" xr:uid="{00000000-0005-0000-0000-0000080B0000}"/>
    <cellStyle name="20 % - Aksentti3 6 4_DataIX" xfId="29845" xr:uid="{00000000-0005-0000-0000-0000090B0000}"/>
    <cellStyle name="20 % - Aksentti3 6 5" xfId="1040" xr:uid="{00000000-0005-0000-0000-00000A0B0000}"/>
    <cellStyle name="20 % - Aksentti3 6 5 2" xfId="6358" xr:uid="{00000000-0005-0000-0000-00000B0B0000}"/>
    <cellStyle name="20 % - Aksentti3 6 5 3" xfId="14565" xr:uid="{00000000-0005-0000-0000-00000C0B0000}"/>
    <cellStyle name="20 % - Aksentti3 6 5_DataIX" xfId="29846" xr:uid="{00000000-0005-0000-0000-00000D0B0000}"/>
    <cellStyle name="20 % - Aksentti3 6 6" xfId="1041" xr:uid="{00000000-0005-0000-0000-00000E0B0000}"/>
    <cellStyle name="20 % - Aksentti3 6 6 2" xfId="6359" xr:uid="{00000000-0005-0000-0000-00000F0B0000}"/>
    <cellStyle name="20 % - Aksentti3 6 6 3" xfId="14566" xr:uid="{00000000-0005-0000-0000-0000100B0000}"/>
    <cellStyle name="20 % - Aksentti3 6 6_DataIX" xfId="29847" xr:uid="{00000000-0005-0000-0000-0000110B0000}"/>
    <cellStyle name="20 % - Aksentti3 6 7" xfId="1042" xr:uid="{00000000-0005-0000-0000-0000120B0000}"/>
    <cellStyle name="20 % - Aksentti3 6 7 2" xfId="6360" xr:uid="{00000000-0005-0000-0000-0000130B0000}"/>
    <cellStyle name="20 % - Aksentti3 6 7 3" xfId="14567" xr:uid="{00000000-0005-0000-0000-0000140B0000}"/>
    <cellStyle name="20 % - Aksentti3 6 7_DataIX" xfId="29848" xr:uid="{00000000-0005-0000-0000-0000150B0000}"/>
    <cellStyle name="20 % - Aksentti3 6 8" xfId="1043" xr:uid="{00000000-0005-0000-0000-0000160B0000}"/>
    <cellStyle name="20 % - Aksentti3 6 8 2" xfId="6361" xr:uid="{00000000-0005-0000-0000-0000170B0000}"/>
    <cellStyle name="20 % - Aksentti3 6 8 3" xfId="14568" xr:uid="{00000000-0005-0000-0000-0000180B0000}"/>
    <cellStyle name="20 % - Aksentti3 6 8_DataIX" xfId="29849" xr:uid="{00000000-0005-0000-0000-0000190B0000}"/>
    <cellStyle name="20 % - Aksentti3 6 9" xfId="1044" xr:uid="{00000000-0005-0000-0000-00001A0B0000}"/>
    <cellStyle name="20 % - Aksentti3 6 9 2" xfId="6362" xr:uid="{00000000-0005-0000-0000-00001B0B0000}"/>
    <cellStyle name="20 % - Aksentti3 6 9 3" xfId="14569" xr:uid="{00000000-0005-0000-0000-00001C0B0000}"/>
    <cellStyle name="20 % - Aksentti3 6 9_DataIX" xfId="29850" xr:uid="{00000000-0005-0000-0000-00001D0B0000}"/>
    <cellStyle name="20 % - Aksentti3 6_DataIX" xfId="29837" xr:uid="{00000000-0005-0000-0000-00001E0B0000}"/>
    <cellStyle name="20 % - Aksentti3 7" xfId="1045" xr:uid="{00000000-0005-0000-0000-00001F0B0000}"/>
    <cellStyle name="20 % - Aksentti3 7 10" xfId="1046" xr:uid="{00000000-0005-0000-0000-0000200B0000}"/>
    <cellStyle name="20 % - Aksentti3 7 10 2" xfId="6364" xr:uid="{00000000-0005-0000-0000-0000210B0000}"/>
    <cellStyle name="20 % - Aksentti3 7 10 3" xfId="14571" xr:uid="{00000000-0005-0000-0000-0000220B0000}"/>
    <cellStyle name="20 % - Aksentti3 7 10_DataIX" xfId="29852" xr:uid="{00000000-0005-0000-0000-0000230B0000}"/>
    <cellStyle name="20 % - Aksentti3 7 11" xfId="6363" xr:uid="{00000000-0005-0000-0000-0000240B0000}"/>
    <cellStyle name="20 % - Aksentti3 7 12" xfId="14570" xr:uid="{00000000-0005-0000-0000-0000250B0000}"/>
    <cellStyle name="20 % - Aksentti3 7 2" xfId="1047" xr:uid="{00000000-0005-0000-0000-0000260B0000}"/>
    <cellStyle name="20 % - Aksentti3 7 2 2" xfId="1048" xr:uid="{00000000-0005-0000-0000-0000270B0000}"/>
    <cellStyle name="20 % - Aksentti3 7 2 2 2" xfId="1049" xr:uid="{00000000-0005-0000-0000-0000280B0000}"/>
    <cellStyle name="20 % - Aksentti3 7 2 2 2 2" xfId="6367" xr:uid="{00000000-0005-0000-0000-0000290B0000}"/>
    <cellStyle name="20 % - Aksentti3 7 2 2 2 3" xfId="14574" xr:uid="{00000000-0005-0000-0000-00002A0B0000}"/>
    <cellStyle name="20 % - Aksentti3 7 2 2 2_DataIX" xfId="29855" xr:uid="{00000000-0005-0000-0000-00002B0B0000}"/>
    <cellStyle name="20 % - Aksentti3 7 2 2 3" xfId="6366" xr:uid="{00000000-0005-0000-0000-00002C0B0000}"/>
    <cellStyle name="20 % - Aksentti3 7 2 2 4" xfId="14573" xr:uid="{00000000-0005-0000-0000-00002D0B0000}"/>
    <cellStyle name="20 % - Aksentti3 7 2 2_DataIX" xfId="29854" xr:uid="{00000000-0005-0000-0000-00002E0B0000}"/>
    <cellStyle name="20 % - Aksentti3 7 2 3" xfId="1050" xr:uid="{00000000-0005-0000-0000-00002F0B0000}"/>
    <cellStyle name="20 % - Aksentti3 7 2 3 2" xfId="6368" xr:uid="{00000000-0005-0000-0000-0000300B0000}"/>
    <cellStyle name="20 % - Aksentti3 7 2 3 3" xfId="14575" xr:uid="{00000000-0005-0000-0000-0000310B0000}"/>
    <cellStyle name="20 % - Aksentti3 7 2 3_DataIX" xfId="29856" xr:uid="{00000000-0005-0000-0000-0000320B0000}"/>
    <cellStyle name="20 % - Aksentti3 7 2 4" xfId="6365" xr:uid="{00000000-0005-0000-0000-0000330B0000}"/>
    <cellStyle name="20 % - Aksentti3 7 2 5" xfId="14572" xr:uid="{00000000-0005-0000-0000-0000340B0000}"/>
    <cellStyle name="20 % - Aksentti3 7 2_DataIX" xfId="29853" xr:uid="{00000000-0005-0000-0000-0000350B0000}"/>
    <cellStyle name="20 % - Aksentti3 7 3" xfId="1051" xr:uid="{00000000-0005-0000-0000-0000360B0000}"/>
    <cellStyle name="20 % - Aksentti3 7 3 2" xfId="1052" xr:uid="{00000000-0005-0000-0000-0000370B0000}"/>
    <cellStyle name="20 % - Aksentti3 7 3 2 2" xfId="6370" xr:uid="{00000000-0005-0000-0000-0000380B0000}"/>
    <cellStyle name="20 % - Aksentti3 7 3 2 3" xfId="14577" xr:uid="{00000000-0005-0000-0000-0000390B0000}"/>
    <cellStyle name="20 % - Aksentti3 7 3 2_DataIX" xfId="29858" xr:uid="{00000000-0005-0000-0000-00003A0B0000}"/>
    <cellStyle name="20 % - Aksentti3 7 3 3" xfId="6369" xr:uid="{00000000-0005-0000-0000-00003B0B0000}"/>
    <cellStyle name="20 % - Aksentti3 7 3 4" xfId="14576" xr:uid="{00000000-0005-0000-0000-00003C0B0000}"/>
    <cellStyle name="20 % - Aksentti3 7 3_DataIX" xfId="29857" xr:uid="{00000000-0005-0000-0000-00003D0B0000}"/>
    <cellStyle name="20 % - Aksentti3 7 4" xfId="1053" xr:uid="{00000000-0005-0000-0000-00003E0B0000}"/>
    <cellStyle name="20 % - Aksentti3 7 4 2" xfId="6371" xr:uid="{00000000-0005-0000-0000-00003F0B0000}"/>
    <cellStyle name="20 % - Aksentti3 7 4 3" xfId="14578" xr:uid="{00000000-0005-0000-0000-0000400B0000}"/>
    <cellStyle name="20 % - Aksentti3 7 4_DataIX" xfId="29859" xr:uid="{00000000-0005-0000-0000-0000410B0000}"/>
    <cellStyle name="20 % - Aksentti3 7 5" xfId="1054" xr:uid="{00000000-0005-0000-0000-0000420B0000}"/>
    <cellStyle name="20 % - Aksentti3 7 5 2" xfId="6372" xr:uid="{00000000-0005-0000-0000-0000430B0000}"/>
    <cellStyle name="20 % - Aksentti3 7 5 3" xfId="14579" xr:uid="{00000000-0005-0000-0000-0000440B0000}"/>
    <cellStyle name="20 % - Aksentti3 7 5_DataIX" xfId="29860" xr:uid="{00000000-0005-0000-0000-0000450B0000}"/>
    <cellStyle name="20 % - Aksentti3 7 6" xfId="1055" xr:uid="{00000000-0005-0000-0000-0000460B0000}"/>
    <cellStyle name="20 % - Aksentti3 7 6 2" xfId="6373" xr:uid="{00000000-0005-0000-0000-0000470B0000}"/>
    <cellStyle name="20 % - Aksentti3 7 6 3" xfId="14580" xr:uid="{00000000-0005-0000-0000-0000480B0000}"/>
    <cellStyle name="20 % - Aksentti3 7 6_DataIX" xfId="29861" xr:uid="{00000000-0005-0000-0000-0000490B0000}"/>
    <cellStyle name="20 % - Aksentti3 7 7" xfId="1056" xr:uid="{00000000-0005-0000-0000-00004A0B0000}"/>
    <cellStyle name="20 % - Aksentti3 7 7 2" xfId="6374" xr:uid="{00000000-0005-0000-0000-00004B0B0000}"/>
    <cellStyle name="20 % - Aksentti3 7 7 3" xfId="14581" xr:uid="{00000000-0005-0000-0000-00004C0B0000}"/>
    <cellStyle name="20 % - Aksentti3 7 7_DataIX" xfId="29862" xr:uid="{00000000-0005-0000-0000-00004D0B0000}"/>
    <cellStyle name="20 % - Aksentti3 7 8" xfId="1057" xr:uid="{00000000-0005-0000-0000-00004E0B0000}"/>
    <cellStyle name="20 % - Aksentti3 7 8 2" xfId="6375" xr:uid="{00000000-0005-0000-0000-00004F0B0000}"/>
    <cellStyle name="20 % - Aksentti3 7 8 3" xfId="14582" xr:uid="{00000000-0005-0000-0000-0000500B0000}"/>
    <cellStyle name="20 % - Aksentti3 7 8_DataIX" xfId="29863" xr:uid="{00000000-0005-0000-0000-0000510B0000}"/>
    <cellStyle name="20 % - Aksentti3 7 9" xfId="1058" xr:uid="{00000000-0005-0000-0000-0000520B0000}"/>
    <cellStyle name="20 % - Aksentti3 7 9 2" xfId="6376" xr:uid="{00000000-0005-0000-0000-0000530B0000}"/>
    <cellStyle name="20 % - Aksentti3 7 9 3" xfId="14583" xr:uid="{00000000-0005-0000-0000-0000540B0000}"/>
    <cellStyle name="20 % - Aksentti3 7 9_DataIX" xfId="29864" xr:uid="{00000000-0005-0000-0000-0000550B0000}"/>
    <cellStyle name="20 % - Aksentti3 7_DataIX" xfId="29851" xr:uid="{00000000-0005-0000-0000-0000560B0000}"/>
    <cellStyle name="20 % - Aksentti3 8" xfId="1059" xr:uid="{00000000-0005-0000-0000-0000570B0000}"/>
    <cellStyle name="20 % - Aksentti3 8 10" xfId="1060" xr:uid="{00000000-0005-0000-0000-0000580B0000}"/>
    <cellStyle name="20 % - Aksentti3 8 10 2" xfId="6378" xr:uid="{00000000-0005-0000-0000-0000590B0000}"/>
    <cellStyle name="20 % - Aksentti3 8 10 3" xfId="14585" xr:uid="{00000000-0005-0000-0000-00005A0B0000}"/>
    <cellStyle name="20 % - Aksentti3 8 10_DataIX" xfId="29866" xr:uid="{00000000-0005-0000-0000-00005B0B0000}"/>
    <cellStyle name="20 % - Aksentti3 8 11" xfId="6377" xr:uid="{00000000-0005-0000-0000-00005C0B0000}"/>
    <cellStyle name="20 % - Aksentti3 8 12" xfId="14584" xr:uid="{00000000-0005-0000-0000-00005D0B0000}"/>
    <cellStyle name="20 % - Aksentti3 8 2" xfId="1061" xr:uid="{00000000-0005-0000-0000-00005E0B0000}"/>
    <cellStyle name="20 % - Aksentti3 8 2 2" xfId="1062" xr:uid="{00000000-0005-0000-0000-00005F0B0000}"/>
    <cellStyle name="20 % - Aksentti3 8 2 2 2" xfId="1063" xr:uid="{00000000-0005-0000-0000-0000600B0000}"/>
    <cellStyle name="20 % - Aksentti3 8 2 2 2 2" xfId="6381" xr:uid="{00000000-0005-0000-0000-0000610B0000}"/>
    <cellStyle name="20 % - Aksentti3 8 2 2 2 3" xfId="14588" xr:uid="{00000000-0005-0000-0000-0000620B0000}"/>
    <cellStyle name="20 % - Aksentti3 8 2 2 2_DataIX" xfId="29869" xr:uid="{00000000-0005-0000-0000-0000630B0000}"/>
    <cellStyle name="20 % - Aksentti3 8 2 2 3" xfId="6380" xr:uid="{00000000-0005-0000-0000-0000640B0000}"/>
    <cellStyle name="20 % - Aksentti3 8 2 2 4" xfId="14587" xr:uid="{00000000-0005-0000-0000-0000650B0000}"/>
    <cellStyle name="20 % - Aksentti3 8 2 2_DataIX" xfId="29868" xr:uid="{00000000-0005-0000-0000-0000660B0000}"/>
    <cellStyle name="20 % - Aksentti3 8 2 3" xfId="1064" xr:uid="{00000000-0005-0000-0000-0000670B0000}"/>
    <cellStyle name="20 % - Aksentti3 8 2 3 2" xfId="6382" xr:uid="{00000000-0005-0000-0000-0000680B0000}"/>
    <cellStyle name="20 % - Aksentti3 8 2 3 3" xfId="14589" xr:uid="{00000000-0005-0000-0000-0000690B0000}"/>
    <cellStyle name="20 % - Aksentti3 8 2 3_DataIX" xfId="29870" xr:uid="{00000000-0005-0000-0000-00006A0B0000}"/>
    <cellStyle name="20 % - Aksentti3 8 2 4" xfId="6379" xr:uid="{00000000-0005-0000-0000-00006B0B0000}"/>
    <cellStyle name="20 % - Aksentti3 8 2 5" xfId="14586" xr:uid="{00000000-0005-0000-0000-00006C0B0000}"/>
    <cellStyle name="20 % - Aksentti3 8 2_DataIX" xfId="29867" xr:uid="{00000000-0005-0000-0000-00006D0B0000}"/>
    <cellStyle name="20 % - Aksentti3 8 3" xfId="1065" xr:uid="{00000000-0005-0000-0000-00006E0B0000}"/>
    <cellStyle name="20 % - Aksentti3 8 3 2" xfId="1066" xr:uid="{00000000-0005-0000-0000-00006F0B0000}"/>
    <cellStyle name="20 % - Aksentti3 8 3 2 2" xfId="6384" xr:uid="{00000000-0005-0000-0000-0000700B0000}"/>
    <cellStyle name="20 % - Aksentti3 8 3 2 3" xfId="14591" xr:uid="{00000000-0005-0000-0000-0000710B0000}"/>
    <cellStyle name="20 % - Aksentti3 8 3 2_DataIX" xfId="29872" xr:uid="{00000000-0005-0000-0000-0000720B0000}"/>
    <cellStyle name="20 % - Aksentti3 8 3 3" xfId="6383" xr:uid="{00000000-0005-0000-0000-0000730B0000}"/>
    <cellStyle name="20 % - Aksentti3 8 3 4" xfId="14590" xr:uid="{00000000-0005-0000-0000-0000740B0000}"/>
    <cellStyle name="20 % - Aksentti3 8 3_DataIX" xfId="29871" xr:uid="{00000000-0005-0000-0000-0000750B0000}"/>
    <cellStyle name="20 % - Aksentti3 8 4" xfId="1067" xr:uid="{00000000-0005-0000-0000-0000760B0000}"/>
    <cellStyle name="20 % - Aksentti3 8 4 2" xfId="6385" xr:uid="{00000000-0005-0000-0000-0000770B0000}"/>
    <cellStyle name="20 % - Aksentti3 8 4 3" xfId="14592" xr:uid="{00000000-0005-0000-0000-0000780B0000}"/>
    <cellStyle name="20 % - Aksentti3 8 4_DataIX" xfId="29873" xr:uid="{00000000-0005-0000-0000-0000790B0000}"/>
    <cellStyle name="20 % - Aksentti3 8 5" xfId="1068" xr:uid="{00000000-0005-0000-0000-00007A0B0000}"/>
    <cellStyle name="20 % - Aksentti3 8 5 2" xfId="6386" xr:uid="{00000000-0005-0000-0000-00007B0B0000}"/>
    <cellStyle name="20 % - Aksentti3 8 5 3" xfId="14593" xr:uid="{00000000-0005-0000-0000-00007C0B0000}"/>
    <cellStyle name="20 % - Aksentti3 8 5_DataIX" xfId="29874" xr:uid="{00000000-0005-0000-0000-00007D0B0000}"/>
    <cellStyle name="20 % - Aksentti3 8 6" xfId="1069" xr:uid="{00000000-0005-0000-0000-00007E0B0000}"/>
    <cellStyle name="20 % - Aksentti3 8 6 2" xfId="6387" xr:uid="{00000000-0005-0000-0000-00007F0B0000}"/>
    <cellStyle name="20 % - Aksentti3 8 6 3" xfId="14594" xr:uid="{00000000-0005-0000-0000-0000800B0000}"/>
    <cellStyle name="20 % - Aksentti3 8 6_DataIX" xfId="29875" xr:uid="{00000000-0005-0000-0000-0000810B0000}"/>
    <cellStyle name="20 % - Aksentti3 8 7" xfId="1070" xr:uid="{00000000-0005-0000-0000-0000820B0000}"/>
    <cellStyle name="20 % - Aksentti3 8 7 2" xfId="6388" xr:uid="{00000000-0005-0000-0000-0000830B0000}"/>
    <cellStyle name="20 % - Aksentti3 8 7 3" xfId="14595" xr:uid="{00000000-0005-0000-0000-0000840B0000}"/>
    <cellStyle name="20 % - Aksentti3 8 7_DataIX" xfId="29876" xr:uid="{00000000-0005-0000-0000-0000850B0000}"/>
    <cellStyle name="20 % - Aksentti3 8 8" xfId="1071" xr:uid="{00000000-0005-0000-0000-0000860B0000}"/>
    <cellStyle name="20 % - Aksentti3 8 8 2" xfId="6389" xr:uid="{00000000-0005-0000-0000-0000870B0000}"/>
    <cellStyle name="20 % - Aksentti3 8 8 3" xfId="14596" xr:uid="{00000000-0005-0000-0000-0000880B0000}"/>
    <cellStyle name="20 % - Aksentti3 8 8_DataIX" xfId="29877" xr:uid="{00000000-0005-0000-0000-0000890B0000}"/>
    <cellStyle name="20 % - Aksentti3 8 9" xfId="1072" xr:uid="{00000000-0005-0000-0000-00008A0B0000}"/>
    <cellStyle name="20 % - Aksentti3 8 9 2" xfId="6390" xr:uid="{00000000-0005-0000-0000-00008B0B0000}"/>
    <cellStyle name="20 % - Aksentti3 8 9 3" xfId="14597" xr:uid="{00000000-0005-0000-0000-00008C0B0000}"/>
    <cellStyle name="20 % - Aksentti3 8 9_DataIX" xfId="29878" xr:uid="{00000000-0005-0000-0000-00008D0B0000}"/>
    <cellStyle name="20 % - Aksentti3 8_DataIX" xfId="29865" xr:uid="{00000000-0005-0000-0000-00008E0B0000}"/>
    <cellStyle name="20 % - Aksentti3 9" xfId="1073" xr:uid="{00000000-0005-0000-0000-00008F0B0000}"/>
    <cellStyle name="20 % - Aksentti3 9 10" xfId="1074" xr:uid="{00000000-0005-0000-0000-0000900B0000}"/>
    <cellStyle name="20 % - Aksentti3 9 10 2" xfId="6392" xr:uid="{00000000-0005-0000-0000-0000910B0000}"/>
    <cellStyle name="20 % - Aksentti3 9 10 3" xfId="14599" xr:uid="{00000000-0005-0000-0000-0000920B0000}"/>
    <cellStyle name="20 % - Aksentti3 9 10_DataIX" xfId="29880" xr:uid="{00000000-0005-0000-0000-0000930B0000}"/>
    <cellStyle name="20 % - Aksentti3 9 11" xfId="6391" xr:uid="{00000000-0005-0000-0000-0000940B0000}"/>
    <cellStyle name="20 % - Aksentti3 9 12" xfId="14598" xr:uid="{00000000-0005-0000-0000-0000950B0000}"/>
    <cellStyle name="20 % - Aksentti3 9 2" xfId="1075" xr:uid="{00000000-0005-0000-0000-0000960B0000}"/>
    <cellStyle name="20 % - Aksentti3 9 2 2" xfId="1076" xr:uid="{00000000-0005-0000-0000-0000970B0000}"/>
    <cellStyle name="20 % - Aksentti3 9 2 2 2" xfId="1077" xr:uid="{00000000-0005-0000-0000-0000980B0000}"/>
    <cellStyle name="20 % - Aksentti3 9 2 2 2 2" xfId="6395" xr:uid="{00000000-0005-0000-0000-0000990B0000}"/>
    <cellStyle name="20 % - Aksentti3 9 2 2 2 3" xfId="14602" xr:uid="{00000000-0005-0000-0000-00009A0B0000}"/>
    <cellStyle name="20 % - Aksentti3 9 2 2 2_DataIX" xfId="29883" xr:uid="{00000000-0005-0000-0000-00009B0B0000}"/>
    <cellStyle name="20 % - Aksentti3 9 2 2 3" xfId="6394" xr:uid="{00000000-0005-0000-0000-00009C0B0000}"/>
    <cellStyle name="20 % - Aksentti3 9 2 2 4" xfId="14601" xr:uid="{00000000-0005-0000-0000-00009D0B0000}"/>
    <cellStyle name="20 % - Aksentti3 9 2 2_DataIX" xfId="29882" xr:uid="{00000000-0005-0000-0000-00009E0B0000}"/>
    <cellStyle name="20 % - Aksentti3 9 2 3" xfId="1078" xr:uid="{00000000-0005-0000-0000-00009F0B0000}"/>
    <cellStyle name="20 % - Aksentti3 9 2 3 2" xfId="6396" xr:uid="{00000000-0005-0000-0000-0000A00B0000}"/>
    <cellStyle name="20 % - Aksentti3 9 2 3 3" xfId="14603" xr:uid="{00000000-0005-0000-0000-0000A10B0000}"/>
    <cellStyle name="20 % - Aksentti3 9 2 3_DataIX" xfId="29884" xr:uid="{00000000-0005-0000-0000-0000A20B0000}"/>
    <cellStyle name="20 % - Aksentti3 9 2 4" xfId="6393" xr:uid="{00000000-0005-0000-0000-0000A30B0000}"/>
    <cellStyle name="20 % - Aksentti3 9 2 5" xfId="14600" xr:uid="{00000000-0005-0000-0000-0000A40B0000}"/>
    <cellStyle name="20 % - Aksentti3 9 2_DataIX" xfId="29881" xr:uid="{00000000-0005-0000-0000-0000A50B0000}"/>
    <cellStyle name="20 % - Aksentti3 9 3" xfId="1079" xr:uid="{00000000-0005-0000-0000-0000A60B0000}"/>
    <cellStyle name="20 % - Aksentti3 9 3 2" xfId="1080" xr:uid="{00000000-0005-0000-0000-0000A70B0000}"/>
    <cellStyle name="20 % - Aksentti3 9 3 2 2" xfId="6398" xr:uid="{00000000-0005-0000-0000-0000A80B0000}"/>
    <cellStyle name="20 % - Aksentti3 9 3 2 3" xfId="14605" xr:uid="{00000000-0005-0000-0000-0000A90B0000}"/>
    <cellStyle name="20 % - Aksentti3 9 3 2_DataIX" xfId="29886" xr:uid="{00000000-0005-0000-0000-0000AA0B0000}"/>
    <cellStyle name="20 % - Aksentti3 9 3 3" xfId="6397" xr:uid="{00000000-0005-0000-0000-0000AB0B0000}"/>
    <cellStyle name="20 % - Aksentti3 9 3 4" xfId="14604" xr:uid="{00000000-0005-0000-0000-0000AC0B0000}"/>
    <cellStyle name="20 % - Aksentti3 9 3_DataIX" xfId="29885" xr:uid="{00000000-0005-0000-0000-0000AD0B0000}"/>
    <cellStyle name="20 % - Aksentti3 9 4" xfId="1081" xr:uid="{00000000-0005-0000-0000-0000AE0B0000}"/>
    <cellStyle name="20 % - Aksentti3 9 4 2" xfId="6399" xr:uid="{00000000-0005-0000-0000-0000AF0B0000}"/>
    <cellStyle name="20 % - Aksentti3 9 4 3" xfId="14606" xr:uid="{00000000-0005-0000-0000-0000B00B0000}"/>
    <cellStyle name="20 % - Aksentti3 9 4_DataIX" xfId="29887" xr:uid="{00000000-0005-0000-0000-0000B10B0000}"/>
    <cellStyle name="20 % - Aksentti3 9 5" xfId="1082" xr:uid="{00000000-0005-0000-0000-0000B20B0000}"/>
    <cellStyle name="20 % - Aksentti3 9 5 2" xfId="6400" xr:uid="{00000000-0005-0000-0000-0000B30B0000}"/>
    <cellStyle name="20 % - Aksentti3 9 5 3" xfId="14607" xr:uid="{00000000-0005-0000-0000-0000B40B0000}"/>
    <cellStyle name="20 % - Aksentti3 9 5_DataIX" xfId="29888" xr:uid="{00000000-0005-0000-0000-0000B50B0000}"/>
    <cellStyle name="20 % - Aksentti3 9 6" xfId="1083" xr:uid="{00000000-0005-0000-0000-0000B60B0000}"/>
    <cellStyle name="20 % - Aksentti3 9 6 2" xfId="6401" xr:uid="{00000000-0005-0000-0000-0000B70B0000}"/>
    <cellStyle name="20 % - Aksentti3 9 6 3" xfId="14608" xr:uid="{00000000-0005-0000-0000-0000B80B0000}"/>
    <cellStyle name="20 % - Aksentti3 9 6_DataIX" xfId="29889" xr:uid="{00000000-0005-0000-0000-0000B90B0000}"/>
    <cellStyle name="20 % - Aksentti3 9 7" xfId="1084" xr:uid="{00000000-0005-0000-0000-0000BA0B0000}"/>
    <cellStyle name="20 % - Aksentti3 9 7 2" xfId="6402" xr:uid="{00000000-0005-0000-0000-0000BB0B0000}"/>
    <cellStyle name="20 % - Aksentti3 9 7 3" xfId="14609" xr:uid="{00000000-0005-0000-0000-0000BC0B0000}"/>
    <cellStyle name="20 % - Aksentti3 9 7_DataIX" xfId="29890" xr:uid="{00000000-0005-0000-0000-0000BD0B0000}"/>
    <cellStyle name="20 % - Aksentti3 9 8" xfId="1085" xr:uid="{00000000-0005-0000-0000-0000BE0B0000}"/>
    <cellStyle name="20 % - Aksentti3 9 8 2" xfId="6403" xr:uid="{00000000-0005-0000-0000-0000BF0B0000}"/>
    <cellStyle name="20 % - Aksentti3 9 8 3" xfId="14610" xr:uid="{00000000-0005-0000-0000-0000C00B0000}"/>
    <cellStyle name="20 % - Aksentti3 9 8_DataIX" xfId="29891" xr:uid="{00000000-0005-0000-0000-0000C10B0000}"/>
    <cellStyle name="20 % - Aksentti3 9 9" xfId="1086" xr:uid="{00000000-0005-0000-0000-0000C20B0000}"/>
    <cellStyle name="20 % - Aksentti3 9 9 2" xfId="6404" xr:uid="{00000000-0005-0000-0000-0000C30B0000}"/>
    <cellStyle name="20 % - Aksentti3 9 9 3" xfId="14611" xr:uid="{00000000-0005-0000-0000-0000C40B0000}"/>
    <cellStyle name="20 % - Aksentti3 9 9_DataIX" xfId="29892" xr:uid="{00000000-0005-0000-0000-0000C50B0000}"/>
    <cellStyle name="20 % - Aksentti3 9_DataIX" xfId="29879" xr:uid="{00000000-0005-0000-0000-0000C60B0000}"/>
    <cellStyle name="20 % - Aksentti3_##KansantalKehitys" xfId="5408" xr:uid="{00000000-0005-0000-0000-0000C70B0000}"/>
    <cellStyle name="20 % - Aksentti4" xfId="331" xr:uid="{00000000-0005-0000-0000-0000C80B0000}"/>
    <cellStyle name="20 % - Aksentti4 10" xfId="1087" xr:uid="{00000000-0005-0000-0000-0000C90B0000}"/>
    <cellStyle name="20 % - Aksentti4 10 10" xfId="1088" xr:uid="{00000000-0005-0000-0000-0000CA0B0000}"/>
    <cellStyle name="20 % - Aksentti4 10 10 2" xfId="6406" xr:uid="{00000000-0005-0000-0000-0000CB0B0000}"/>
    <cellStyle name="20 % - Aksentti4 10 10 3" xfId="14613" xr:uid="{00000000-0005-0000-0000-0000CC0B0000}"/>
    <cellStyle name="20 % - Aksentti4 10 10_DataIX" xfId="29894" xr:uid="{00000000-0005-0000-0000-0000CD0B0000}"/>
    <cellStyle name="20 % - Aksentti4 10 11" xfId="6405" xr:uid="{00000000-0005-0000-0000-0000CE0B0000}"/>
    <cellStyle name="20 % - Aksentti4 10 12" xfId="14612" xr:uid="{00000000-0005-0000-0000-0000CF0B0000}"/>
    <cellStyle name="20 % - Aksentti4 10 2" xfId="1089" xr:uid="{00000000-0005-0000-0000-0000D00B0000}"/>
    <cellStyle name="20 % - Aksentti4 10 2 2" xfId="1090" xr:uid="{00000000-0005-0000-0000-0000D10B0000}"/>
    <cellStyle name="20 % - Aksentti4 10 2 2 2" xfId="1091" xr:uid="{00000000-0005-0000-0000-0000D20B0000}"/>
    <cellStyle name="20 % - Aksentti4 10 2 2 2 2" xfId="6409" xr:uid="{00000000-0005-0000-0000-0000D30B0000}"/>
    <cellStyle name="20 % - Aksentti4 10 2 2 2 3" xfId="14616" xr:uid="{00000000-0005-0000-0000-0000D40B0000}"/>
    <cellStyle name="20 % - Aksentti4 10 2 2 2_DataIX" xfId="29897" xr:uid="{00000000-0005-0000-0000-0000D50B0000}"/>
    <cellStyle name="20 % - Aksentti4 10 2 2 3" xfId="6408" xr:uid="{00000000-0005-0000-0000-0000D60B0000}"/>
    <cellStyle name="20 % - Aksentti4 10 2 2 4" xfId="14615" xr:uid="{00000000-0005-0000-0000-0000D70B0000}"/>
    <cellStyle name="20 % - Aksentti4 10 2 2_DataIX" xfId="29896" xr:uid="{00000000-0005-0000-0000-0000D80B0000}"/>
    <cellStyle name="20 % - Aksentti4 10 2 3" xfId="1092" xr:uid="{00000000-0005-0000-0000-0000D90B0000}"/>
    <cellStyle name="20 % - Aksentti4 10 2 3 2" xfId="6410" xr:uid="{00000000-0005-0000-0000-0000DA0B0000}"/>
    <cellStyle name="20 % - Aksentti4 10 2 3 3" xfId="14617" xr:uid="{00000000-0005-0000-0000-0000DB0B0000}"/>
    <cellStyle name="20 % - Aksentti4 10 2 3_DataIX" xfId="29898" xr:uid="{00000000-0005-0000-0000-0000DC0B0000}"/>
    <cellStyle name="20 % - Aksentti4 10 2 4" xfId="6407" xr:uid="{00000000-0005-0000-0000-0000DD0B0000}"/>
    <cellStyle name="20 % - Aksentti4 10 2 5" xfId="14614" xr:uid="{00000000-0005-0000-0000-0000DE0B0000}"/>
    <cellStyle name="20 % - Aksentti4 10 2_DataIX" xfId="29895" xr:uid="{00000000-0005-0000-0000-0000DF0B0000}"/>
    <cellStyle name="20 % - Aksentti4 10 3" xfId="1093" xr:uid="{00000000-0005-0000-0000-0000E00B0000}"/>
    <cellStyle name="20 % - Aksentti4 10 3 2" xfId="1094" xr:uid="{00000000-0005-0000-0000-0000E10B0000}"/>
    <cellStyle name="20 % - Aksentti4 10 3 2 2" xfId="6412" xr:uid="{00000000-0005-0000-0000-0000E20B0000}"/>
    <cellStyle name="20 % - Aksentti4 10 3 2 3" xfId="14619" xr:uid="{00000000-0005-0000-0000-0000E30B0000}"/>
    <cellStyle name="20 % - Aksentti4 10 3 2_DataIX" xfId="29900" xr:uid="{00000000-0005-0000-0000-0000E40B0000}"/>
    <cellStyle name="20 % - Aksentti4 10 3 3" xfId="6411" xr:uid="{00000000-0005-0000-0000-0000E50B0000}"/>
    <cellStyle name="20 % - Aksentti4 10 3 4" xfId="14618" xr:uid="{00000000-0005-0000-0000-0000E60B0000}"/>
    <cellStyle name="20 % - Aksentti4 10 3_DataIX" xfId="29899" xr:uid="{00000000-0005-0000-0000-0000E70B0000}"/>
    <cellStyle name="20 % - Aksentti4 10 4" xfId="1095" xr:uid="{00000000-0005-0000-0000-0000E80B0000}"/>
    <cellStyle name="20 % - Aksentti4 10 4 2" xfId="6413" xr:uid="{00000000-0005-0000-0000-0000E90B0000}"/>
    <cellStyle name="20 % - Aksentti4 10 4 3" xfId="14620" xr:uid="{00000000-0005-0000-0000-0000EA0B0000}"/>
    <cellStyle name="20 % - Aksentti4 10 4_DataIX" xfId="29901" xr:uid="{00000000-0005-0000-0000-0000EB0B0000}"/>
    <cellStyle name="20 % - Aksentti4 10 5" xfId="1096" xr:uid="{00000000-0005-0000-0000-0000EC0B0000}"/>
    <cellStyle name="20 % - Aksentti4 10 5 2" xfId="6414" xr:uid="{00000000-0005-0000-0000-0000ED0B0000}"/>
    <cellStyle name="20 % - Aksentti4 10 5 3" xfId="14621" xr:uid="{00000000-0005-0000-0000-0000EE0B0000}"/>
    <cellStyle name="20 % - Aksentti4 10 5_DataIX" xfId="29902" xr:uid="{00000000-0005-0000-0000-0000EF0B0000}"/>
    <cellStyle name="20 % - Aksentti4 10 6" xfId="1097" xr:uid="{00000000-0005-0000-0000-0000F00B0000}"/>
    <cellStyle name="20 % - Aksentti4 10 6 2" xfId="6415" xr:uid="{00000000-0005-0000-0000-0000F10B0000}"/>
    <cellStyle name="20 % - Aksentti4 10 6 3" xfId="14622" xr:uid="{00000000-0005-0000-0000-0000F20B0000}"/>
    <cellStyle name="20 % - Aksentti4 10 6_DataIX" xfId="29903" xr:uid="{00000000-0005-0000-0000-0000F30B0000}"/>
    <cellStyle name="20 % - Aksentti4 10 7" xfId="1098" xr:uid="{00000000-0005-0000-0000-0000F40B0000}"/>
    <cellStyle name="20 % - Aksentti4 10 7 2" xfId="6416" xr:uid="{00000000-0005-0000-0000-0000F50B0000}"/>
    <cellStyle name="20 % - Aksentti4 10 7 3" xfId="14623" xr:uid="{00000000-0005-0000-0000-0000F60B0000}"/>
    <cellStyle name="20 % - Aksentti4 10 7_DataIX" xfId="29904" xr:uid="{00000000-0005-0000-0000-0000F70B0000}"/>
    <cellStyle name="20 % - Aksentti4 10 8" xfId="1099" xr:uid="{00000000-0005-0000-0000-0000F80B0000}"/>
    <cellStyle name="20 % - Aksentti4 10 8 2" xfId="6417" xr:uid="{00000000-0005-0000-0000-0000F90B0000}"/>
    <cellStyle name="20 % - Aksentti4 10 8 3" xfId="14624" xr:uid="{00000000-0005-0000-0000-0000FA0B0000}"/>
    <cellStyle name="20 % - Aksentti4 10 8_DataIX" xfId="29905" xr:uid="{00000000-0005-0000-0000-0000FB0B0000}"/>
    <cellStyle name="20 % - Aksentti4 10 9" xfId="1100" xr:uid="{00000000-0005-0000-0000-0000FC0B0000}"/>
    <cellStyle name="20 % - Aksentti4 10 9 2" xfId="6418" xr:uid="{00000000-0005-0000-0000-0000FD0B0000}"/>
    <cellStyle name="20 % - Aksentti4 10 9 3" xfId="14625" xr:uid="{00000000-0005-0000-0000-0000FE0B0000}"/>
    <cellStyle name="20 % - Aksentti4 10 9_DataIX" xfId="29906" xr:uid="{00000000-0005-0000-0000-0000FF0B0000}"/>
    <cellStyle name="20 % - Aksentti4 10_DataIX" xfId="29893" xr:uid="{00000000-0005-0000-0000-0000000C0000}"/>
    <cellStyle name="20 % - Aksentti4 11" xfId="1101" xr:uid="{00000000-0005-0000-0000-0000010C0000}"/>
    <cellStyle name="20 % - Aksentti4 11 10" xfId="1102" xr:uid="{00000000-0005-0000-0000-0000020C0000}"/>
    <cellStyle name="20 % - Aksentti4 11 10 2" xfId="6420" xr:uid="{00000000-0005-0000-0000-0000030C0000}"/>
    <cellStyle name="20 % - Aksentti4 11 10 3" xfId="14627" xr:uid="{00000000-0005-0000-0000-0000040C0000}"/>
    <cellStyle name="20 % - Aksentti4 11 10_DataIX" xfId="29908" xr:uid="{00000000-0005-0000-0000-0000050C0000}"/>
    <cellStyle name="20 % - Aksentti4 11 11" xfId="6419" xr:uid="{00000000-0005-0000-0000-0000060C0000}"/>
    <cellStyle name="20 % - Aksentti4 11 12" xfId="14626" xr:uid="{00000000-0005-0000-0000-0000070C0000}"/>
    <cellStyle name="20 % - Aksentti4 11 2" xfId="1103" xr:uid="{00000000-0005-0000-0000-0000080C0000}"/>
    <cellStyle name="20 % - Aksentti4 11 2 2" xfId="1104" xr:uid="{00000000-0005-0000-0000-0000090C0000}"/>
    <cellStyle name="20 % - Aksentti4 11 2 2 2" xfId="1105" xr:uid="{00000000-0005-0000-0000-00000A0C0000}"/>
    <cellStyle name="20 % - Aksentti4 11 2 2 2 2" xfId="6423" xr:uid="{00000000-0005-0000-0000-00000B0C0000}"/>
    <cellStyle name="20 % - Aksentti4 11 2 2 2 3" xfId="14630" xr:uid="{00000000-0005-0000-0000-00000C0C0000}"/>
    <cellStyle name="20 % - Aksentti4 11 2 2 2_DataIX" xfId="29911" xr:uid="{00000000-0005-0000-0000-00000D0C0000}"/>
    <cellStyle name="20 % - Aksentti4 11 2 2 3" xfId="6422" xr:uid="{00000000-0005-0000-0000-00000E0C0000}"/>
    <cellStyle name="20 % - Aksentti4 11 2 2 4" xfId="14629" xr:uid="{00000000-0005-0000-0000-00000F0C0000}"/>
    <cellStyle name="20 % - Aksentti4 11 2 2_DataIX" xfId="29910" xr:uid="{00000000-0005-0000-0000-0000100C0000}"/>
    <cellStyle name="20 % - Aksentti4 11 2 3" xfId="1106" xr:uid="{00000000-0005-0000-0000-0000110C0000}"/>
    <cellStyle name="20 % - Aksentti4 11 2 3 2" xfId="6424" xr:uid="{00000000-0005-0000-0000-0000120C0000}"/>
    <cellStyle name="20 % - Aksentti4 11 2 3 3" xfId="14631" xr:uid="{00000000-0005-0000-0000-0000130C0000}"/>
    <cellStyle name="20 % - Aksentti4 11 2 3_DataIX" xfId="29912" xr:uid="{00000000-0005-0000-0000-0000140C0000}"/>
    <cellStyle name="20 % - Aksentti4 11 2 4" xfId="6421" xr:uid="{00000000-0005-0000-0000-0000150C0000}"/>
    <cellStyle name="20 % - Aksentti4 11 2 5" xfId="14628" xr:uid="{00000000-0005-0000-0000-0000160C0000}"/>
    <cellStyle name="20 % - Aksentti4 11 2_DataIX" xfId="29909" xr:uid="{00000000-0005-0000-0000-0000170C0000}"/>
    <cellStyle name="20 % - Aksentti4 11 3" xfId="1107" xr:uid="{00000000-0005-0000-0000-0000180C0000}"/>
    <cellStyle name="20 % - Aksentti4 11 3 2" xfId="1108" xr:uid="{00000000-0005-0000-0000-0000190C0000}"/>
    <cellStyle name="20 % - Aksentti4 11 3 2 2" xfId="6426" xr:uid="{00000000-0005-0000-0000-00001A0C0000}"/>
    <cellStyle name="20 % - Aksentti4 11 3 2 3" xfId="14633" xr:uid="{00000000-0005-0000-0000-00001B0C0000}"/>
    <cellStyle name="20 % - Aksentti4 11 3 2_DataIX" xfId="29914" xr:uid="{00000000-0005-0000-0000-00001C0C0000}"/>
    <cellStyle name="20 % - Aksentti4 11 3 3" xfId="6425" xr:uid="{00000000-0005-0000-0000-00001D0C0000}"/>
    <cellStyle name="20 % - Aksentti4 11 3 4" xfId="14632" xr:uid="{00000000-0005-0000-0000-00001E0C0000}"/>
    <cellStyle name="20 % - Aksentti4 11 3_DataIX" xfId="29913" xr:uid="{00000000-0005-0000-0000-00001F0C0000}"/>
    <cellStyle name="20 % - Aksentti4 11 4" xfId="1109" xr:uid="{00000000-0005-0000-0000-0000200C0000}"/>
    <cellStyle name="20 % - Aksentti4 11 4 2" xfId="6427" xr:uid="{00000000-0005-0000-0000-0000210C0000}"/>
    <cellStyle name="20 % - Aksentti4 11 4 3" xfId="14634" xr:uid="{00000000-0005-0000-0000-0000220C0000}"/>
    <cellStyle name="20 % - Aksentti4 11 4_DataIX" xfId="29915" xr:uid="{00000000-0005-0000-0000-0000230C0000}"/>
    <cellStyle name="20 % - Aksentti4 11 5" xfId="1110" xr:uid="{00000000-0005-0000-0000-0000240C0000}"/>
    <cellStyle name="20 % - Aksentti4 11 5 2" xfId="6428" xr:uid="{00000000-0005-0000-0000-0000250C0000}"/>
    <cellStyle name="20 % - Aksentti4 11 5 3" xfId="14635" xr:uid="{00000000-0005-0000-0000-0000260C0000}"/>
    <cellStyle name="20 % - Aksentti4 11 5_DataIX" xfId="29916" xr:uid="{00000000-0005-0000-0000-0000270C0000}"/>
    <cellStyle name="20 % - Aksentti4 11 6" xfId="1111" xr:uid="{00000000-0005-0000-0000-0000280C0000}"/>
    <cellStyle name="20 % - Aksentti4 11 6 2" xfId="6429" xr:uid="{00000000-0005-0000-0000-0000290C0000}"/>
    <cellStyle name="20 % - Aksentti4 11 6 3" xfId="14636" xr:uid="{00000000-0005-0000-0000-00002A0C0000}"/>
    <cellStyle name="20 % - Aksentti4 11 6_DataIX" xfId="29917" xr:uid="{00000000-0005-0000-0000-00002B0C0000}"/>
    <cellStyle name="20 % - Aksentti4 11 7" xfId="1112" xr:uid="{00000000-0005-0000-0000-00002C0C0000}"/>
    <cellStyle name="20 % - Aksentti4 11 7 2" xfId="6430" xr:uid="{00000000-0005-0000-0000-00002D0C0000}"/>
    <cellStyle name="20 % - Aksentti4 11 7 3" xfId="14637" xr:uid="{00000000-0005-0000-0000-00002E0C0000}"/>
    <cellStyle name="20 % - Aksentti4 11 7_DataIX" xfId="29918" xr:uid="{00000000-0005-0000-0000-00002F0C0000}"/>
    <cellStyle name="20 % - Aksentti4 11 8" xfId="1113" xr:uid="{00000000-0005-0000-0000-0000300C0000}"/>
    <cellStyle name="20 % - Aksentti4 11 8 2" xfId="6431" xr:uid="{00000000-0005-0000-0000-0000310C0000}"/>
    <cellStyle name="20 % - Aksentti4 11 8 3" xfId="14638" xr:uid="{00000000-0005-0000-0000-0000320C0000}"/>
    <cellStyle name="20 % - Aksentti4 11 8_DataIX" xfId="29919" xr:uid="{00000000-0005-0000-0000-0000330C0000}"/>
    <cellStyle name="20 % - Aksentti4 11 9" xfId="1114" xr:uid="{00000000-0005-0000-0000-0000340C0000}"/>
    <cellStyle name="20 % - Aksentti4 11 9 2" xfId="6432" xr:uid="{00000000-0005-0000-0000-0000350C0000}"/>
    <cellStyle name="20 % - Aksentti4 11 9 3" xfId="14639" xr:uid="{00000000-0005-0000-0000-0000360C0000}"/>
    <cellStyle name="20 % - Aksentti4 11 9_DataIX" xfId="29920" xr:uid="{00000000-0005-0000-0000-0000370C0000}"/>
    <cellStyle name="20 % - Aksentti4 11_DataIX" xfId="29907" xr:uid="{00000000-0005-0000-0000-0000380C0000}"/>
    <cellStyle name="20 % - Aksentti4 12" xfId="1115" xr:uid="{00000000-0005-0000-0000-0000390C0000}"/>
    <cellStyle name="20 % - Aksentti4 12 10" xfId="1116" xr:uid="{00000000-0005-0000-0000-00003A0C0000}"/>
    <cellStyle name="20 % - Aksentti4 12 10 2" xfId="6434" xr:uid="{00000000-0005-0000-0000-00003B0C0000}"/>
    <cellStyle name="20 % - Aksentti4 12 10 3" xfId="14641" xr:uid="{00000000-0005-0000-0000-00003C0C0000}"/>
    <cellStyle name="20 % - Aksentti4 12 10_DataIX" xfId="29922" xr:uid="{00000000-0005-0000-0000-00003D0C0000}"/>
    <cellStyle name="20 % - Aksentti4 12 11" xfId="6433" xr:uid="{00000000-0005-0000-0000-00003E0C0000}"/>
    <cellStyle name="20 % - Aksentti4 12 12" xfId="14640" xr:uid="{00000000-0005-0000-0000-00003F0C0000}"/>
    <cellStyle name="20 % - Aksentti4 12 2" xfId="1117" xr:uid="{00000000-0005-0000-0000-0000400C0000}"/>
    <cellStyle name="20 % - Aksentti4 12 2 2" xfId="1118" xr:uid="{00000000-0005-0000-0000-0000410C0000}"/>
    <cellStyle name="20 % - Aksentti4 12 2 2 2" xfId="1119" xr:uid="{00000000-0005-0000-0000-0000420C0000}"/>
    <cellStyle name="20 % - Aksentti4 12 2 2 2 2" xfId="6437" xr:uid="{00000000-0005-0000-0000-0000430C0000}"/>
    <cellStyle name="20 % - Aksentti4 12 2 2 2 3" xfId="14644" xr:uid="{00000000-0005-0000-0000-0000440C0000}"/>
    <cellStyle name="20 % - Aksentti4 12 2 2 2_DataIX" xfId="29925" xr:uid="{00000000-0005-0000-0000-0000450C0000}"/>
    <cellStyle name="20 % - Aksentti4 12 2 2 3" xfId="6436" xr:uid="{00000000-0005-0000-0000-0000460C0000}"/>
    <cellStyle name="20 % - Aksentti4 12 2 2 4" xfId="14643" xr:uid="{00000000-0005-0000-0000-0000470C0000}"/>
    <cellStyle name="20 % - Aksentti4 12 2 2_DataIX" xfId="29924" xr:uid="{00000000-0005-0000-0000-0000480C0000}"/>
    <cellStyle name="20 % - Aksentti4 12 2 3" xfId="1120" xr:uid="{00000000-0005-0000-0000-0000490C0000}"/>
    <cellStyle name="20 % - Aksentti4 12 2 3 2" xfId="6438" xr:uid="{00000000-0005-0000-0000-00004A0C0000}"/>
    <cellStyle name="20 % - Aksentti4 12 2 3 3" xfId="14645" xr:uid="{00000000-0005-0000-0000-00004B0C0000}"/>
    <cellStyle name="20 % - Aksentti4 12 2 3_DataIX" xfId="29926" xr:uid="{00000000-0005-0000-0000-00004C0C0000}"/>
    <cellStyle name="20 % - Aksentti4 12 2 4" xfId="6435" xr:uid="{00000000-0005-0000-0000-00004D0C0000}"/>
    <cellStyle name="20 % - Aksentti4 12 2 5" xfId="14642" xr:uid="{00000000-0005-0000-0000-00004E0C0000}"/>
    <cellStyle name="20 % - Aksentti4 12 2_DataIX" xfId="29923" xr:uid="{00000000-0005-0000-0000-00004F0C0000}"/>
    <cellStyle name="20 % - Aksentti4 12 3" xfId="1121" xr:uid="{00000000-0005-0000-0000-0000500C0000}"/>
    <cellStyle name="20 % - Aksentti4 12 3 2" xfId="1122" xr:uid="{00000000-0005-0000-0000-0000510C0000}"/>
    <cellStyle name="20 % - Aksentti4 12 3 2 2" xfId="6440" xr:uid="{00000000-0005-0000-0000-0000520C0000}"/>
    <cellStyle name="20 % - Aksentti4 12 3 2 3" xfId="14647" xr:uid="{00000000-0005-0000-0000-0000530C0000}"/>
    <cellStyle name="20 % - Aksentti4 12 3 2_DataIX" xfId="29928" xr:uid="{00000000-0005-0000-0000-0000540C0000}"/>
    <cellStyle name="20 % - Aksentti4 12 3 3" xfId="6439" xr:uid="{00000000-0005-0000-0000-0000550C0000}"/>
    <cellStyle name="20 % - Aksentti4 12 3 4" xfId="14646" xr:uid="{00000000-0005-0000-0000-0000560C0000}"/>
    <cellStyle name="20 % - Aksentti4 12 3_DataIX" xfId="29927" xr:uid="{00000000-0005-0000-0000-0000570C0000}"/>
    <cellStyle name="20 % - Aksentti4 12 4" xfId="1123" xr:uid="{00000000-0005-0000-0000-0000580C0000}"/>
    <cellStyle name="20 % - Aksentti4 12 4 2" xfId="6441" xr:uid="{00000000-0005-0000-0000-0000590C0000}"/>
    <cellStyle name="20 % - Aksentti4 12 4 3" xfId="14648" xr:uid="{00000000-0005-0000-0000-00005A0C0000}"/>
    <cellStyle name="20 % - Aksentti4 12 4_DataIX" xfId="29929" xr:uid="{00000000-0005-0000-0000-00005B0C0000}"/>
    <cellStyle name="20 % - Aksentti4 12 5" xfId="1124" xr:uid="{00000000-0005-0000-0000-00005C0C0000}"/>
    <cellStyle name="20 % - Aksentti4 12 5 2" xfId="6442" xr:uid="{00000000-0005-0000-0000-00005D0C0000}"/>
    <cellStyle name="20 % - Aksentti4 12 5 3" xfId="14649" xr:uid="{00000000-0005-0000-0000-00005E0C0000}"/>
    <cellStyle name="20 % - Aksentti4 12 5_DataIX" xfId="29930" xr:uid="{00000000-0005-0000-0000-00005F0C0000}"/>
    <cellStyle name="20 % - Aksentti4 12 6" xfId="1125" xr:uid="{00000000-0005-0000-0000-0000600C0000}"/>
    <cellStyle name="20 % - Aksentti4 12 6 2" xfId="6443" xr:uid="{00000000-0005-0000-0000-0000610C0000}"/>
    <cellStyle name="20 % - Aksentti4 12 6 3" xfId="14650" xr:uid="{00000000-0005-0000-0000-0000620C0000}"/>
    <cellStyle name="20 % - Aksentti4 12 6_DataIX" xfId="29931" xr:uid="{00000000-0005-0000-0000-0000630C0000}"/>
    <cellStyle name="20 % - Aksentti4 12 7" xfId="1126" xr:uid="{00000000-0005-0000-0000-0000640C0000}"/>
    <cellStyle name="20 % - Aksentti4 12 7 2" xfId="6444" xr:uid="{00000000-0005-0000-0000-0000650C0000}"/>
    <cellStyle name="20 % - Aksentti4 12 7 3" xfId="14651" xr:uid="{00000000-0005-0000-0000-0000660C0000}"/>
    <cellStyle name="20 % - Aksentti4 12 7_DataIX" xfId="29932" xr:uid="{00000000-0005-0000-0000-0000670C0000}"/>
    <cellStyle name="20 % - Aksentti4 12 8" xfId="1127" xr:uid="{00000000-0005-0000-0000-0000680C0000}"/>
    <cellStyle name="20 % - Aksentti4 12 8 2" xfId="6445" xr:uid="{00000000-0005-0000-0000-0000690C0000}"/>
    <cellStyle name="20 % - Aksentti4 12 8 3" xfId="14652" xr:uid="{00000000-0005-0000-0000-00006A0C0000}"/>
    <cellStyle name="20 % - Aksentti4 12 8_DataIX" xfId="29933" xr:uid="{00000000-0005-0000-0000-00006B0C0000}"/>
    <cellStyle name="20 % - Aksentti4 12 9" xfId="1128" xr:uid="{00000000-0005-0000-0000-00006C0C0000}"/>
    <cellStyle name="20 % - Aksentti4 12 9 2" xfId="6446" xr:uid="{00000000-0005-0000-0000-00006D0C0000}"/>
    <cellStyle name="20 % - Aksentti4 12 9 3" xfId="14653" xr:uid="{00000000-0005-0000-0000-00006E0C0000}"/>
    <cellStyle name="20 % - Aksentti4 12 9_DataIX" xfId="29934" xr:uid="{00000000-0005-0000-0000-00006F0C0000}"/>
    <cellStyle name="20 % - Aksentti4 12_DataIX" xfId="29921" xr:uid="{00000000-0005-0000-0000-0000700C0000}"/>
    <cellStyle name="20 % - Aksentti4 13" xfId="1129" xr:uid="{00000000-0005-0000-0000-0000710C0000}"/>
    <cellStyle name="20 % - Aksentti4 13 10" xfId="1130" xr:uid="{00000000-0005-0000-0000-0000720C0000}"/>
    <cellStyle name="20 % - Aksentti4 13 10 2" xfId="6448" xr:uid="{00000000-0005-0000-0000-0000730C0000}"/>
    <cellStyle name="20 % - Aksentti4 13 10 3" xfId="14655" xr:uid="{00000000-0005-0000-0000-0000740C0000}"/>
    <cellStyle name="20 % - Aksentti4 13 10_DataIX" xfId="29936" xr:uid="{00000000-0005-0000-0000-0000750C0000}"/>
    <cellStyle name="20 % - Aksentti4 13 11" xfId="6447" xr:uid="{00000000-0005-0000-0000-0000760C0000}"/>
    <cellStyle name="20 % - Aksentti4 13 12" xfId="14654" xr:uid="{00000000-0005-0000-0000-0000770C0000}"/>
    <cellStyle name="20 % - Aksentti4 13 2" xfId="1131" xr:uid="{00000000-0005-0000-0000-0000780C0000}"/>
    <cellStyle name="20 % - Aksentti4 13 2 2" xfId="1132" xr:uid="{00000000-0005-0000-0000-0000790C0000}"/>
    <cellStyle name="20 % - Aksentti4 13 2 2 2" xfId="6450" xr:uid="{00000000-0005-0000-0000-00007A0C0000}"/>
    <cellStyle name="20 % - Aksentti4 13 2 2 3" xfId="14657" xr:uid="{00000000-0005-0000-0000-00007B0C0000}"/>
    <cellStyle name="20 % - Aksentti4 13 2 2_DataIX" xfId="29938" xr:uid="{00000000-0005-0000-0000-00007C0C0000}"/>
    <cellStyle name="20 % - Aksentti4 13 2 3" xfId="6449" xr:uid="{00000000-0005-0000-0000-00007D0C0000}"/>
    <cellStyle name="20 % - Aksentti4 13 2 4" xfId="14656" xr:uid="{00000000-0005-0000-0000-00007E0C0000}"/>
    <cellStyle name="20 % - Aksentti4 13 2_DataIX" xfId="29937" xr:uid="{00000000-0005-0000-0000-00007F0C0000}"/>
    <cellStyle name="20 % - Aksentti4 13 3" xfId="1133" xr:uid="{00000000-0005-0000-0000-0000800C0000}"/>
    <cellStyle name="20 % - Aksentti4 13 3 2" xfId="6451" xr:uid="{00000000-0005-0000-0000-0000810C0000}"/>
    <cellStyle name="20 % - Aksentti4 13 3 3" xfId="14658" xr:uid="{00000000-0005-0000-0000-0000820C0000}"/>
    <cellStyle name="20 % - Aksentti4 13 3_DataIX" xfId="29939" xr:uid="{00000000-0005-0000-0000-0000830C0000}"/>
    <cellStyle name="20 % - Aksentti4 13 4" xfId="1134" xr:uid="{00000000-0005-0000-0000-0000840C0000}"/>
    <cellStyle name="20 % - Aksentti4 13 4 2" xfId="6452" xr:uid="{00000000-0005-0000-0000-0000850C0000}"/>
    <cellStyle name="20 % - Aksentti4 13 4 3" xfId="14659" xr:uid="{00000000-0005-0000-0000-0000860C0000}"/>
    <cellStyle name="20 % - Aksentti4 13 4_DataIX" xfId="29940" xr:uid="{00000000-0005-0000-0000-0000870C0000}"/>
    <cellStyle name="20 % - Aksentti4 13 5" xfId="1135" xr:uid="{00000000-0005-0000-0000-0000880C0000}"/>
    <cellStyle name="20 % - Aksentti4 13 5 2" xfId="6453" xr:uid="{00000000-0005-0000-0000-0000890C0000}"/>
    <cellStyle name="20 % - Aksentti4 13 5 3" xfId="14660" xr:uid="{00000000-0005-0000-0000-00008A0C0000}"/>
    <cellStyle name="20 % - Aksentti4 13 5_DataIX" xfId="29941" xr:uid="{00000000-0005-0000-0000-00008B0C0000}"/>
    <cellStyle name="20 % - Aksentti4 13 6" xfId="1136" xr:uid="{00000000-0005-0000-0000-00008C0C0000}"/>
    <cellStyle name="20 % - Aksentti4 13 6 2" xfId="6454" xr:uid="{00000000-0005-0000-0000-00008D0C0000}"/>
    <cellStyle name="20 % - Aksentti4 13 6 3" xfId="14661" xr:uid="{00000000-0005-0000-0000-00008E0C0000}"/>
    <cellStyle name="20 % - Aksentti4 13 6_DataIX" xfId="29942" xr:uid="{00000000-0005-0000-0000-00008F0C0000}"/>
    <cellStyle name="20 % - Aksentti4 13 7" xfId="1137" xr:uid="{00000000-0005-0000-0000-0000900C0000}"/>
    <cellStyle name="20 % - Aksentti4 13 7 2" xfId="6455" xr:uid="{00000000-0005-0000-0000-0000910C0000}"/>
    <cellStyle name="20 % - Aksentti4 13 7 3" xfId="14662" xr:uid="{00000000-0005-0000-0000-0000920C0000}"/>
    <cellStyle name="20 % - Aksentti4 13 7_DataIX" xfId="29943" xr:uid="{00000000-0005-0000-0000-0000930C0000}"/>
    <cellStyle name="20 % - Aksentti4 13 8" xfId="1138" xr:uid="{00000000-0005-0000-0000-0000940C0000}"/>
    <cellStyle name="20 % - Aksentti4 13 8 2" xfId="6456" xr:uid="{00000000-0005-0000-0000-0000950C0000}"/>
    <cellStyle name="20 % - Aksentti4 13 8 3" xfId="14663" xr:uid="{00000000-0005-0000-0000-0000960C0000}"/>
    <cellStyle name="20 % - Aksentti4 13 8_DataIX" xfId="29944" xr:uid="{00000000-0005-0000-0000-0000970C0000}"/>
    <cellStyle name="20 % - Aksentti4 13 9" xfId="1139" xr:uid="{00000000-0005-0000-0000-0000980C0000}"/>
    <cellStyle name="20 % - Aksentti4 13 9 2" xfId="6457" xr:uid="{00000000-0005-0000-0000-0000990C0000}"/>
    <cellStyle name="20 % - Aksentti4 13 9 3" xfId="14664" xr:uid="{00000000-0005-0000-0000-00009A0C0000}"/>
    <cellStyle name="20 % - Aksentti4 13 9_DataIX" xfId="29945" xr:uid="{00000000-0005-0000-0000-00009B0C0000}"/>
    <cellStyle name="20 % - Aksentti4 13_DataIX" xfId="29935" xr:uid="{00000000-0005-0000-0000-00009C0C0000}"/>
    <cellStyle name="20 % - Aksentti4 14" xfId="1140" xr:uid="{00000000-0005-0000-0000-00009D0C0000}"/>
    <cellStyle name="20 % - Aksentti4 14 10" xfId="1141" xr:uid="{00000000-0005-0000-0000-00009E0C0000}"/>
    <cellStyle name="20 % - Aksentti4 14 10 2" xfId="6459" xr:uid="{00000000-0005-0000-0000-00009F0C0000}"/>
    <cellStyle name="20 % - Aksentti4 14 10 3" xfId="14666" xr:uid="{00000000-0005-0000-0000-0000A00C0000}"/>
    <cellStyle name="20 % - Aksentti4 14 10_DataIX" xfId="29947" xr:uid="{00000000-0005-0000-0000-0000A10C0000}"/>
    <cellStyle name="20 % - Aksentti4 14 11" xfId="6458" xr:uid="{00000000-0005-0000-0000-0000A20C0000}"/>
    <cellStyle name="20 % - Aksentti4 14 12" xfId="14665" xr:uid="{00000000-0005-0000-0000-0000A30C0000}"/>
    <cellStyle name="20 % - Aksentti4 14 2" xfId="1142" xr:uid="{00000000-0005-0000-0000-0000A40C0000}"/>
    <cellStyle name="20 % - Aksentti4 14 2 2" xfId="1143" xr:uid="{00000000-0005-0000-0000-0000A50C0000}"/>
    <cellStyle name="20 % - Aksentti4 14 2 2 2" xfId="6461" xr:uid="{00000000-0005-0000-0000-0000A60C0000}"/>
    <cellStyle name="20 % - Aksentti4 14 2 2 3" xfId="14668" xr:uid="{00000000-0005-0000-0000-0000A70C0000}"/>
    <cellStyle name="20 % - Aksentti4 14 2 2_DataIX" xfId="29949" xr:uid="{00000000-0005-0000-0000-0000A80C0000}"/>
    <cellStyle name="20 % - Aksentti4 14 2 3" xfId="6460" xr:uid="{00000000-0005-0000-0000-0000A90C0000}"/>
    <cellStyle name="20 % - Aksentti4 14 2 4" xfId="14667" xr:uid="{00000000-0005-0000-0000-0000AA0C0000}"/>
    <cellStyle name="20 % - Aksentti4 14 2_DataIX" xfId="29948" xr:uid="{00000000-0005-0000-0000-0000AB0C0000}"/>
    <cellStyle name="20 % - Aksentti4 14 3" xfId="1144" xr:uid="{00000000-0005-0000-0000-0000AC0C0000}"/>
    <cellStyle name="20 % - Aksentti4 14 3 2" xfId="6462" xr:uid="{00000000-0005-0000-0000-0000AD0C0000}"/>
    <cellStyle name="20 % - Aksentti4 14 3 3" xfId="14669" xr:uid="{00000000-0005-0000-0000-0000AE0C0000}"/>
    <cellStyle name="20 % - Aksentti4 14 3_DataIX" xfId="29950" xr:uid="{00000000-0005-0000-0000-0000AF0C0000}"/>
    <cellStyle name="20 % - Aksentti4 14 4" xfId="1145" xr:uid="{00000000-0005-0000-0000-0000B00C0000}"/>
    <cellStyle name="20 % - Aksentti4 14 4 2" xfId="6463" xr:uid="{00000000-0005-0000-0000-0000B10C0000}"/>
    <cellStyle name="20 % - Aksentti4 14 4 3" xfId="14670" xr:uid="{00000000-0005-0000-0000-0000B20C0000}"/>
    <cellStyle name="20 % - Aksentti4 14 4_DataIX" xfId="29951" xr:uid="{00000000-0005-0000-0000-0000B30C0000}"/>
    <cellStyle name="20 % - Aksentti4 14 5" xfId="1146" xr:uid="{00000000-0005-0000-0000-0000B40C0000}"/>
    <cellStyle name="20 % - Aksentti4 14 5 2" xfId="6464" xr:uid="{00000000-0005-0000-0000-0000B50C0000}"/>
    <cellStyle name="20 % - Aksentti4 14 5 3" xfId="14671" xr:uid="{00000000-0005-0000-0000-0000B60C0000}"/>
    <cellStyle name="20 % - Aksentti4 14 5_DataIX" xfId="29952" xr:uid="{00000000-0005-0000-0000-0000B70C0000}"/>
    <cellStyle name="20 % - Aksentti4 14 6" xfId="1147" xr:uid="{00000000-0005-0000-0000-0000B80C0000}"/>
    <cellStyle name="20 % - Aksentti4 14 6 2" xfId="6465" xr:uid="{00000000-0005-0000-0000-0000B90C0000}"/>
    <cellStyle name="20 % - Aksentti4 14 6 3" xfId="14672" xr:uid="{00000000-0005-0000-0000-0000BA0C0000}"/>
    <cellStyle name="20 % - Aksentti4 14 6_DataIX" xfId="29953" xr:uid="{00000000-0005-0000-0000-0000BB0C0000}"/>
    <cellStyle name="20 % - Aksentti4 14 7" xfId="1148" xr:uid="{00000000-0005-0000-0000-0000BC0C0000}"/>
    <cellStyle name="20 % - Aksentti4 14 7 2" xfId="6466" xr:uid="{00000000-0005-0000-0000-0000BD0C0000}"/>
    <cellStyle name="20 % - Aksentti4 14 7 3" xfId="14673" xr:uid="{00000000-0005-0000-0000-0000BE0C0000}"/>
    <cellStyle name="20 % - Aksentti4 14 7_DataIX" xfId="29954" xr:uid="{00000000-0005-0000-0000-0000BF0C0000}"/>
    <cellStyle name="20 % - Aksentti4 14 8" xfId="1149" xr:uid="{00000000-0005-0000-0000-0000C00C0000}"/>
    <cellStyle name="20 % - Aksentti4 14 8 2" xfId="6467" xr:uid="{00000000-0005-0000-0000-0000C10C0000}"/>
    <cellStyle name="20 % - Aksentti4 14 8 3" xfId="14674" xr:uid="{00000000-0005-0000-0000-0000C20C0000}"/>
    <cellStyle name="20 % - Aksentti4 14 8_DataIX" xfId="29955" xr:uid="{00000000-0005-0000-0000-0000C30C0000}"/>
    <cellStyle name="20 % - Aksentti4 14 9" xfId="1150" xr:uid="{00000000-0005-0000-0000-0000C40C0000}"/>
    <cellStyle name="20 % - Aksentti4 14 9 2" xfId="6468" xr:uid="{00000000-0005-0000-0000-0000C50C0000}"/>
    <cellStyle name="20 % - Aksentti4 14 9 3" xfId="14675" xr:uid="{00000000-0005-0000-0000-0000C60C0000}"/>
    <cellStyle name="20 % - Aksentti4 14 9_DataIX" xfId="29956" xr:uid="{00000000-0005-0000-0000-0000C70C0000}"/>
    <cellStyle name="20 % - Aksentti4 14_DataIX" xfId="29946" xr:uid="{00000000-0005-0000-0000-0000C80C0000}"/>
    <cellStyle name="20 % - Aksentti4 15" xfId="1151" xr:uid="{00000000-0005-0000-0000-0000C90C0000}"/>
    <cellStyle name="20 % - Aksentti4 15 10" xfId="1152" xr:uid="{00000000-0005-0000-0000-0000CA0C0000}"/>
    <cellStyle name="20 % - Aksentti4 15 10 2" xfId="6470" xr:uid="{00000000-0005-0000-0000-0000CB0C0000}"/>
    <cellStyle name="20 % - Aksentti4 15 10 3" xfId="14677" xr:uid="{00000000-0005-0000-0000-0000CC0C0000}"/>
    <cellStyle name="20 % - Aksentti4 15 10_DataIX" xfId="29958" xr:uid="{00000000-0005-0000-0000-0000CD0C0000}"/>
    <cellStyle name="20 % - Aksentti4 15 11" xfId="6469" xr:uid="{00000000-0005-0000-0000-0000CE0C0000}"/>
    <cellStyle name="20 % - Aksentti4 15 12" xfId="14676" xr:uid="{00000000-0005-0000-0000-0000CF0C0000}"/>
    <cellStyle name="20 % - Aksentti4 15 2" xfId="1153" xr:uid="{00000000-0005-0000-0000-0000D00C0000}"/>
    <cellStyle name="20 % - Aksentti4 15 2 2" xfId="1154" xr:uid="{00000000-0005-0000-0000-0000D10C0000}"/>
    <cellStyle name="20 % - Aksentti4 15 2 2 2" xfId="6472" xr:uid="{00000000-0005-0000-0000-0000D20C0000}"/>
    <cellStyle name="20 % - Aksentti4 15 2 2 3" xfId="14679" xr:uid="{00000000-0005-0000-0000-0000D30C0000}"/>
    <cellStyle name="20 % - Aksentti4 15 2 2_DataIX" xfId="29960" xr:uid="{00000000-0005-0000-0000-0000D40C0000}"/>
    <cellStyle name="20 % - Aksentti4 15 2 3" xfId="6471" xr:uid="{00000000-0005-0000-0000-0000D50C0000}"/>
    <cellStyle name="20 % - Aksentti4 15 2 4" xfId="14678" xr:uid="{00000000-0005-0000-0000-0000D60C0000}"/>
    <cellStyle name="20 % - Aksentti4 15 2_DataIX" xfId="29959" xr:uid="{00000000-0005-0000-0000-0000D70C0000}"/>
    <cellStyle name="20 % - Aksentti4 15 3" xfId="1155" xr:uid="{00000000-0005-0000-0000-0000D80C0000}"/>
    <cellStyle name="20 % - Aksentti4 15 3 2" xfId="6473" xr:uid="{00000000-0005-0000-0000-0000D90C0000}"/>
    <cellStyle name="20 % - Aksentti4 15 3 3" xfId="14680" xr:uid="{00000000-0005-0000-0000-0000DA0C0000}"/>
    <cellStyle name="20 % - Aksentti4 15 3_DataIX" xfId="29961" xr:uid="{00000000-0005-0000-0000-0000DB0C0000}"/>
    <cellStyle name="20 % - Aksentti4 15 4" xfId="1156" xr:uid="{00000000-0005-0000-0000-0000DC0C0000}"/>
    <cellStyle name="20 % - Aksentti4 15 4 2" xfId="6474" xr:uid="{00000000-0005-0000-0000-0000DD0C0000}"/>
    <cellStyle name="20 % - Aksentti4 15 4 3" xfId="14681" xr:uid="{00000000-0005-0000-0000-0000DE0C0000}"/>
    <cellStyle name="20 % - Aksentti4 15 4_DataIX" xfId="29962" xr:uid="{00000000-0005-0000-0000-0000DF0C0000}"/>
    <cellStyle name="20 % - Aksentti4 15 5" xfId="1157" xr:uid="{00000000-0005-0000-0000-0000E00C0000}"/>
    <cellStyle name="20 % - Aksentti4 15 5 2" xfId="6475" xr:uid="{00000000-0005-0000-0000-0000E10C0000}"/>
    <cellStyle name="20 % - Aksentti4 15 5 3" xfId="14682" xr:uid="{00000000-0005-0000-0000-0000E20C0000}"/>
    <cellStyle name="20 % - Aksentti4 15 5_DataIX" xfId="29963" xr:uid="{00000000-0005-0000-0000-0000E30C0000}"/>
    <cellStyle name="20 % - Aksentti4 15 6" xfId="1158" xr:uid="{00000000-0005-0000-0000-0000E40C0000}"/>
    <cellStyle name="20 % - Aksentti4 15 6 2" xfId="6476" xr:uid="{00000000-0005-0000-0000-0000E50C0000}"/>
    <cellStyle name="20 % - Aksentti4 15 6 3" xfId="14683" xr:uid="{00000000-0005-0000-0000-0000E60C0000}"/>
    <cellStyle name="20 % - Aksentti4 15 6_DataIX" xfId="29964" xr:uid="{00000000-0005-0000-0000-0000E70C0000}"/>
    <cellStyle name="20 % - Aksentti4 15 7" xfId="1159" xr:uid="{00000000-0005-0000-0000-0000E80C0000}"/>
    <cellStyle name="20 % - Aksentti4 15 7 2" xfId="6477" xr:uid="{00000000-0005-0000-0000-0000E90C0000}"/>
    <cellStyle name="20 % - Aksentti4 15 7 3" xfId="14684" xr:uid="{00000000-0005-0000-0000-0000EA0C0000}"/>
    <cellStyle name="20 % - Aksentti4 15 7_DataIX" xfId="29965" xr:uid="{00000000-0005-0000-0000-0000EB0C0000}"/>
    <cellStyle name="20 % - Aksentti4 15 8" xfId="1160" xr:uid="{00000000-0005-0000-0000-0000EC0C0000}"/>
    <cellStyle name="20 % - Aksentti4 15 8 2" xfId="6478" xr:uid="{00000000-0005-0000-0000-0000ED0C0000}"/>
    <cellStyle name="20 % - Aksentti4 15 8 3" xfId="14685" xr:uid="{00000000-0005-0000-0000-0000EE0C0000}"/>
    <cellStyle name="20 % - Aksentti4 15 8_DataIX" xfId="29966" xr:uid="{00000000-0005-0000-0000-0000EF0C0000}"/>
    <cellStyle name="20 % - Aksentti4 15 9" xfId="1161" xr:uid="{00000000-0005-0000-0000-0000F00C0000}"/>
    <cellStyle name="20 % - Aksentti4 15 9 2" xfId="6479" xr:uid="{00000000-0005-0000-0000-0000F10C0000}"/>
    <cellStyle name="20 % - Aksentti4 15 9 3" xfId="14686" xr:uid="{00000000-0005-0000-0000-0000F20C0000}"/>
    <cellStyle name="20 % - Aksentti4 15 9_DataIX" xfId="29967" xr:uid="{00000000-0005-0000-0000-0000F30C0000}"/>
    <cellStyle name="20 % - Aksentti4 15_DataIX" xfId="29957" xr:uid="{00000000-0005-0000-0000-0000F40C0000}"/>
    <cellStyle name="20 % - Aksentti4 16" xfId="1162" xr:uid="{00000000-0005-0000-0000-0000F50C0000}"/>
    <cellStyle name="20 % - Aksentti4 16 2" xfId="6480" xr:uid="{00000000-0005-0000-0000-0000F60C0000}"/>
    <cellStyle name="20 % - Aksentti4 16 3" xfId="14687" xr:uid="{00000000-0005-0000-0000-0000F70C0000}"/>
    <cellStyle name="20 % - Aksentti4 16_DataIX" xfId="29968" xr:uid="{00000000-0005-0000-0000-0000F80C0000}"/>
    <cellStyle name="20 % - Aksentti4 17" xfId="1163" xr:uid="{00000000-0005-0000-0000-0000F90C0000}"/>
    <cellStyle name="20 % - Aksentti4 17 2" xfId="6481" xr:uid="{00000000-0005-0000-0000-0000FA0C0000}"/>
    <cellStyle name="20 % - Aksentti4 17 3" xfId="14688" xr:uid="{00000000-0005-0000-0000-0000FB0C0000}"/>
    <cellStyle name="20 % - Aksentti4 17_DataIX" xfId="29969" xr:uid="{00000000-0005-0000-0000-0000FC0C0000}"/>
    <cellStyle name="20 % - Aksentti4 18" xfId="1164" xr:uid="{00000000-0005-0000-0000-0000FD0C0000}"/>
    <cellStyle name="20 % - Aksentti4 18 2" xfId="6482" xr:uid="{00000000-0005-0000-0000-0000FE0C0000}"/>
    <cellStyle name="20 % - Aksentti4 18 3" xfId="14689" xr:uid="{00000000-0005-0000-0000-0000FF0C0000}"/>
    <cellStyle name="20 % - Aksentti4 18_DataIX" xfId="29970" xr:uid="{00000000-0005-0000-0000-0000000D0000}"/>
    <cellStyle name="20 % - Aksentti4 19" xfId="1165" xr:uid="{00000000-0005-0000-0000-0000010D0000}"/>
    <cellStyle name="20 % - Aksentti4 19 2" xfId="6483" xr:uid="{00000000-0005-0000-0000-0000020D0000}"/>
    <cellStyle name="20 % - Aksentti4 19 3" xfId="14690" xr:uid="{00000000-0005-0000-0000-0000030D0000}"/>
    <cellStyle name="20 % - Aksentti4 19_DataIX" xfId="29971" xr:uid="{00000000-0005-0000-0000-0000040D0000}"/>
    <cellStyle name="20 % - Aksentti4 2" xfId="6" xr:uid="{00000000-0005-0000-0000-0000050D0000}"/>
    <cellStyle name="20 % - Aksentti4 2 10" xfId="1167" xr:uid="{00000000-0005-0000-0000-0000060D0000}"/>
    <cellStyle name="20 % - Aksentti4 2 10 2" xfId="6485" xr:uid="{00000000-0005-0000-0000-0000070D0000}"/>
    <cellStyle name="20 % - Aksentti4 2 10 3" xfId="14692" xr:uid="{00000000-0005-0000-0000-0000080D0000}"/>
    <cellStyle name="20 % - Aksentti4 2 10_DataIX" xfId="29972" xr:uid="{00000000-0005-0000-0000-0000090D0000}"/>
    <cellStyle name="20 % - Aksentti4 2 11" xfId="1166" xr:uid="{00000000-0005-0000-0000-00000A0D0000}"/>
    <cellStyle name="20 % - Aksentti4 2 11 2" xfId="6486" xr:uid="{00000000-0005-0000-0000-00000B0D0000}"/>
    <cellStyle name="20 % - Aksentti4 2 11 3" xfId="14691" xr:uid="{00000000-0005-0000-0000-00000C0D0000}"/>
    <cellStyle name="20 % - Aksentti4 2 11_DataIX" xfId="29973" xr:uid="{00000000-0005-0000-0000-00000D0D0000}"/>
    <cellStyle name="20 % - Aksentti4 2 12" xfId="25052" xr:uid="{00000000-0005-0000-0000-00000E0D0000}"/>
    <cellStyle name="20 % - Aksentti4 2 13" xfId="26501" xr:uid="{00000000-0005-0000-0000-00000F0D0000}"/>
    <cellStyle name="20 % - Aksentti4 2 14" xfId="26343" xr:uid="{00000000-0005-0000-0000-0000100D0000}"/>
    <cellStyle name="20 % - Aksentti4 2 15" xfId="25513" xr:uid="{00000000-0005-0000-0000-0000110D0000}"/>
    <cellStyle name="20 % - Aksentti4 2 16" xfId="25692" xr:uid="{00000000-0005-0000-0000-0000120D0000}"/>
    <cellStyle name="20 % - Aksentti4 2 17" xfId="25621" xr:uid="{00000000-0005-0000-0000-0000130D0000}"/>
    <cellStyle name="20 % - Aksentti4 2 18" xfId="25852" xr:uid="{00000000-0005-0000-0000-0000140D0000}"/>
    <cellStyle name="20 % - Aksentti4 2 19" xfId="25301" xr:uid="{00000000-0005-0000-0000-0000150D0000}"/>
    <cellStyle name="20 % - Aksentti4 2 2" xfId="142" xr:uid="{00000000-0005-0000-0000-0000160D0000}"/>
    <cellStyle name="20 % - Aksentti4 2 2 10" xfId="1169" xr:uid="{00000000-0005-0000-0000-0000170D0000}"/>
    <cellStyle name="20 % - Aksentti4 2 2 10 2" xfId="6488" xr:uid="{00000000-0005-0000-0000-0000180D0000}"/>
    <cellStyle name="20 % - Aksentti4 2 2 10 3" xfId="14694" xr:uid="{00000000-0005-0000-0000-0000190D0000}"/>
    <cellStyle name="20 % - Aksentti4 2 2 10_DataIX" xfId="29974" xr:uid="{00000000-0005-0000-0000-00001A0D0000}"/>
    <cellStyle name="20 % - Aksentti4 2 2 11" xfId="1168" xr:uid="{00000000-0005-0000-0000-00001B0D0000}"/>
    <cellStyle name="20 % - Aksentti4 2 2 11 2" xfId="6489" xr:uid="{00000000-0005-0000-0000-00001C0D0000}"/>
    <cellStyle name="20 % - Aksentti4 2 2 11 3" xfId="14693" xr:uid="{00000000-0005-0000-0000-00001D0D0000}"/>
    <cellStyle name="20 % - Aksentti4 2 2 11_DataIX" xfId="29975" xr:uid="{00000000-0005-0000-0000-00001E0D0000}"/>
    <cellStyle name="20 % - Aksentti4 2 2 12" xfId="25068" xr:uid="{00000000-0005-0000-0000-00001F0D0000}"/>
    <cellStyle name="20 % - Aksentti4 2 2 13" xfId="26496" xr:uid="{00000000-0005-0000-0000-0000200D0000}"/>
    <cellStyle name="20 % - Aksentti4 2 2 14" xfId="26592" xr:uid="{00000000-0005-0000-0000-0000210D0000}"/>
    <cellStyle name="20 % - Aksentti4 2 2 15" xfId="26307" xr:uid="{00000000-0005-0000-0000-0000220D0000}"/>
    <cellStyle name="20 % - Aksentti4 2 2 16" xfId="25448" xr:uid="{00000000-0005-0000-0000-0000230D0000}"/>
    <cellStyle name="20 % - Aksentti4 2 2 17" xfId="26662" xr:uid="{00000000-0005-0000-0000-0000240D0000}"/>
    <cellStyle name="20 % - Aksentti4 2 2 18" xfId="25834" xr:uid="{00000000-0005-0000-0000-0000250D0000}"/>
    <cellStyle name="20 % - Aksentti4 2 2 19" xfId="26685" xr:uid="{00000000-0005-0000-0000-0000260D0000}"/>
    <cellStyle name="20 % - Aksentti4 2 2 2" xfId="373" xr:uid="{00000000-0005-0000-0000-0000270D0000}"/>
    <cellStyle name="20 % - Aksentti4 2 2 2 10" xfId="13752" xr:uid="{00000000-0005-0000-0000-0000280D0000}"/>
    <cellStyle name="20 % - Aksentti4 2 2 2 2" xfId="1171" xr:uid="{00000000-0005-0000-0000-0000290D0000}"/>
    <cellStyle name="20 % - Aksentti4 2 2 2 2 2" xfId="6491" xr:uid="{00000000-0005-0000-0000-00002A0D0000}"/>
    <cellStyle name="20 % - Aksentti4 2 2 2 2 3" xfId="14696" xr:uid="{00000000-0005-0000-0000-00002B0D0000}"/>
    <cellStyle name="20 % - Aksentti4 2 2 2 2_DataIX" xfId="29976" xr:uid="{00000000-0005-0000-0000-00002C0D0000}"/>
    <cellStyle name="20 % - Aksentti4 2 2 2 3" xfId="1170" xr:uid="{00000000-0005-0000-0000-00002D0D0000}"/>
    <cellStyle name="20 % - Aksentti4 2 2 2 3 2" xfId="6492" xr:uid="{00000000-0005-0000-0000-00002E0D0000}"/>
    <cellStyle name="20 % - Aksentti4 2 2 2 3 3" xfId="14695" xr:uid="{00000000-0005-0000-0000-00002F0D0000}"/>
    <cellStyle name="20 % - Aksentti4 2 2 2 3_DataIX" xfId="29977" xr:uid="{00000000-0005-0000-0000-0000300D0000}"/>
    <cellStyle name="20 % - Aksentti4 2 2 2 4" xfId="10808" xr:uid="{00000000-0005-0000-0000-0000310D0000}"/>
    <cellStyle name="20 % - Aksentti4 2 2 2 5" xfId="12735" xr:uid="{00000000-0005-0000-0000-0000320D0000}"/>
    <cellStyle name="20 % - Aksentti4 2 2 2 6" xfId="10921" xr:uid="{00000000-0005-0000-0000-0000330D0000}"/>
    <cellStyle name="20 % - Aksentti4 2 2 2 7" xfId="13910" xr:uid="{00000000-0005-0000-0000-0000340D0000}"/>
    <cellStyle name="20 % - Aksentti4 2 2 2 8" xfId="20263" xr:uid="{00000000-0005-0000-0000-0000350D0000}"/>
    <cellStyle name="20 % - Aksentti4 2 2 2 9" xfId="10860" xr:uid="{00000000-0005-0000-0000-0000360D0000}"/>
    <cellStyle name="20 % - Aksentti4 2 2 2_##Keskeiset" xfId="6490" xr:uid="{00000000-0005-0000-0000-0000370D0000}"/>
    <cellStyle name="20 % - Aksentti4 2 2 20" xfId="25495" xr:uid="{00000000-0005-0000-0000-0000380D0000}"/>
    <cellStyle name="20 % - Aksentti4 2 2 21" xfId="25246" xr:uid="{00000000-0005-0000-0000-0000390D0000}"/>
    <cellStyle name="20 % - Aksentti4 2 2 22" xfId="26024" xr:uid="{00000000-0005-0000-0000-00003A0D0000}"/>
    <cellStyle name="20 % - Aksentti4 2 2 23" xfId="26714" xr:uid="{00000000-0005-0000-0000-00003B0D0000}"/>
    <cellStyle name="20 % - Aksentti4 2 2 24" xfId="25572" xr:uid="{00000000-0005-0000-0000-00003C0D0000}"/>
    <cellStyle name="20 % - Aksentti4 2 2 25" xfId="26220" xr:uid="{00000000-0005-0000-0000-00003D0D0000}"/>
    <cellStyle name="20 % - Aksentti4 2 2 26" xfId="26421" xr:uid="{00000000-0005-0000-0000-00003E0D0000}"/>
    <cellStyle name="20 % - Aksentti4 2 2 27" xfId="25886" xr:uid="{00000000-0005-0000-0000-00003F0D0000}"/>
    <cellStyle name="20 % - Aksentti4 2 2 28" xfId="23183" xr:uid="{00000000-0005-0000-0000-0000400D0000}"/>
    <cellStyle name="20 % - Aksentti4 2 2 29" xfId="24976" xr:uid="{00000000-0005-0000-0000-0000410D0000}"/>
    <cellStyle name="20 % - Aksentti4 2 2 3" xfId="1172" xr:uid="{00000000-0005-0000-0000-0000420D0000}"/>
    <cellStyle name="20 % - Aksentti4 2 2 3 2" xfId="10809" xr:uid="{00000000-0005-0000-0000-0000430D0000}"/>
    <cellStyle name="20 % - Aksentti4 2 2 3 3" xfId="14697" xr:uid="{00000000-0005-0000-0000-0000440D0000}"/>
    <cellStyle name="20 % - Aksentti4 2 2 3_DataIX" xfId="29978" xr:uid="{00000000-0005-0000-0000-0000450D0000}"/>
    <cellStyle name="20 % - Aksentti4 2 2 30" xfId="26723" xr:uid="{00000000-0005-0000-0000-0000460D0000}"/>
    <cellStyle name="20 % - Aksentti4 2 2 31" xfId="24966" xr:uid="{00000000-0005-0000-0000-0000470D0000}"/>
    <cellStyle name="20 % - Aksentti4 2 2 32" xfId="23166" xr:uid="{00000000-0005-0000-0000-0000480D0000}"/>
    <cellStyle name="20 % - Aksentti4 2 2 33" xfId="24948" xr:uid="{00000000-0005-0000-0000-0000490D0000}"/>
    <cellStyle name="20 % - Aksentti4 2 2 4" xfId="1173" xr:uid="{00000000-0005-0000-0000-00004A0D0000}"/>
    <cellStyle name="20 % - Aksentti4 2 2 4 2" xfId="6493" xr:uid="{00000000-0005-0000-0000-00004B0D0000}"/>
    <cellStyle name="20 % - Aksentti4 2 2 4 3" xfId="14698" xr:uid="{00000000-0005-0000-0000-00004C0D0000}"/>
    <cellStyle name="20 % - Aksentti4 2 2 4_DataIX" xfId="29979" xr:uid="{00000000-0005-0000-0000-00004D0D0000}"/>
    <cellStyle name="20 % - Aksentti4 2 2 5" xfId="1174" xr:uid="{00000000-0005-0000-0000-00004E0D0000}"/>
    <cellStyle name="20 % - Aksentti4 2 2 5 2" xfId="6494" xr:uid="{00000000-0005-0000-0000-00004F0D0000}"/>
    <cellStyle name="20 % - Aksentti4 2 2 5 3" xfId="14699" xr:uid="{00000000-0005-0000-0000-0000500D0000}"/>
    <cellStyle name="20 % - Aksentti4 2 2 5_DataIX" xfId="29980" xr:uid="{00000000-0005-0000-0000-0000510D0000}"/>
    <cellStyle name="20 % - Aksentti4 2 2 6" xfId="1175" xr:uid="{00000000-0005-0000-0000-0000520D0000}"/>
    <cellStyle name="20 % - Aksentti4 2 2 6 2" xfId="6495" xr:uid="{00000000-0005-0000-0000-0000530D0000}"/>
    <cellStyle name="20 % - Aksentti4 2 2 6 3" xfId="14700" xr:uid="{00000000-0005-0000-0000-0000540D0000}"/>
    <cellStyle name="20 % - Aksentti4 2 2 6_DataIX" xfId="29981" xr:uid="{00000000-0005-0000-0000-0000550D0000}"/>
    <cellStyle name="20 % - Aksentti4 2 2 7" xfId="1176" xr:uid="{00000000-0005-0000-0000-0000560D0000}"/>
    <cellStyle name="20 % - Aksentti4 2 2 7 2" xfId="6496" xr:uid="{00000000-0005-0000-0000-0000570D0000}"/>
    <cellStyle name="20 % - Aksentti4 2 2 7 3" xfId="14701" xr:uid="{00000000-0005-0000-0000-0000580D0000}"/>
    <cellStyle name="20 % - Aksentti4 2 2 7_DataIX" xfId="29982" xr:uid="{00000000-0005-0000-0000-0000590D0000}"/>
    <cellStyle name="20 % - Aksentti4 2 2 8" xfId="1177" xr:uid="{00000000-0005-0000-0000-00005A0D0000}"/>
    <cellStyle name="20 % - Aksentti4 2 2 8 2" xfId="6497" xr:uid="{00000000-0005-0000-0000-00005B0D0000}"/>
    <cellStyle name="20 % - Aksentti4 2 2 8 3" xfId="14702" xr:uid="{00000000-0005-0000-0000-00005C0D0000}"/>
    <cellStyle name="20 % - Aksentti4 2 2 8_DataIX" xfId="29983" xr:uid="{00000000-0005-0000-0000-00005D0D0000}"/>
    <cellStyle name="20 % - Aksentti4 2 2 9" xfId="1178" xr:uid="{00000000-0005-0000-0000-00005E0D0000}"/>
    <cellStyle name="20 % - Aksentti4 2 2 9 2" xfId="6498" xr:uid="{00000000-0005-0000-0000-00005F0D0000}"/>
    <cellStyle name="20 % - Aksentti4 2 2 9 3" xfId="14703" xr:uid="{00000000-0005-0000-0000-0000600D0000}"/>
    <cellStyle name="20 % - Aksentti4 2 2 9_DataIX" xfId="29984" xr:uid="{00000000-0005-0000-0000-0000610D0000}"/>
    <cellStyle name="20 % - Aksentti4 2 2_##Keskeiset" xfId="6487" xr:uid="{00000000-0005-0000-0000-0000620D0000}"/>
    <cellStyle name="20 % - Aksentti4 2 20" xfId="25328" xr:uid="{00000000-0005-0000-0000-0000630D0000}"/>
    <cellStyle name="20 % - Aksentti4 2 21" xfId="25554" xr:uid="{00000000-0005-0000-0000-0000640D0000}"/>
    <cellStyle name="20 % - Aksentti4 2 22" xfId="26690" xr:uid="{00000000-0005-0000-0000-0000650D0000}"/>
    <cellStyle name="20 % - Aksentti4 2 23" xfId="26687" xr:uid="{00000000-0005-0000-0000-0000660D0000}"/>
    <cellStyle name="20 % - Aksentti4 2 24" xfId="26531" xr:uid="{00000000-0005-0000-0000-0000670D0000}"/>
    <cellStyle name="20 % - Aksentti4 2 25" xfId="25992" xr:uid="{00000000-0005-0000-0000-0000680D0000}"/>
    <cellStyle name="20 % - Aksentti4 2 26" xfId="25871" xr:uid="{00000000-0005-0000-0000-0000690D0000}"/>
    <cellStyle name="20 % - Aksentti4 2 27" xfId="26612" xr:uid="{00000000-0005-0000-0000-00006A0D0000}"/>
    <cellStyle name="20 % - Aksentti4 2 28" xfId="23182" xr:uid="{00000000-0005-0000-0000-00006B0D0000}"/>
    <cellStyle name="20 % - Aksentti4 2 29" xfId="24977" xr:uid="{00000000-0005-0000-0000-00006C0D0000}"/>
    <cellStyle name="20 % - Aksentti4 2 3" xfId="143" xr:uid="{00000000-0005-0000-0000-00006D0D0000}"/>
    <cellStyle name="20 % - Aksentti4 2 3 2" xfId="1180" xr:uid="{00000000-0005-0000-0000-00006E0D0000}"/>
    <cellStyle name="20 % - Aksentti4 2 3 2 2" xfId="1181" xr:uid="{00000000-0005-0000-0000-00006F0D0000}"/>
    <cellStyle name="20 % - Aksentti4 2 3 2 2 2" xfId="6500" xr:uid="{00000000-0005-0000-0000-0000700D0000}"/>
    <cellStyle name="20 % - Aksentti4 2 3 2 2 3" xfId="14706" xr:uid="{00000000-0005-0000-0000-0000710D0000}"/>
    <cellStyle name="20 % - Aksentti4 2 3 2 2_DataIX" xfId="29985" xr:uid="{00000000-0005-0000-0000-0000720D0000}"/>
    <cellStyle name="20 % - Aksentti4 2 3 2 3" xfId="5473" xr:uid="{00000000-0005-0000-0000-0000730D0000}"/>
    <cellStyle name="20 % - Aksentti4 2 3 2 4" xfId="14705" xr:uid="{00000000-0005-0000-0000-0000740D0000}"/>
    <cellStyle name="20 % - Aksentti4 2 3 2_##Keskeiset" xfId="6499" xr:uid="{00000000-0005-0000-0000-0000750D0000}"/>
    <cellStyle name="20 % - Aksentti4 2 3 3" xfId="1182" xr:uid="{00000000-0005-0000-0000-0000760D0000}"/>
    <cellStyle name="20 % - Aksentti4 2 3 3 2" xfId="6501" xr:uid="{00000000-0005-0000-0000-0000770D0000}"/>
    <cellStyle name="20 % - Aksentti4 2 3 3 3" xfId="14707" xr:uid="{00000000-0005-0000-0000-0000780D0000}"/>
    <cellStyle name="20 % - Aksentti4 2 3 3_DataIX" xfId="29986" xr:uid="{00000000-0005-0000-0000-0000790D0000}"/>
    <cellStyle name="20 % - Aksentti4 2 3 4" xfId="1179" xr:uid="{00000000-0005-0000-0000-00007A0D0000}"/>
    <cellStyle name="20 % - Aksentti4 2 3 4 2" xfId="6502" xr:uid="{00000000-0005-0000-0000-00007B0D0000}"/>
    <cellStyle name="20 % - Aksentti4 2 3 4 3" xfId="14704" xr:uid="{00000000-0005-0000-0000-00007C0D0000}"/>
    <cellStyle name="20 % - Aksentti4 2 3 4_DataIX" xfId="29987" xr:uid="{00000000-0005-0000-0000-00007D0D0000}"/>
    <cellStyle name="20 % - Aksentti4 2 3_##Keskeiset" xfId="5472" xr:uid="{00000000-0005-0000-0000-00007E0D0000}"/>
    <cellStyle name="20 % - Aksentti4 2 30" xfId="26724" xr:uid="{00000000-0005-0000-0000-00007F0D0000}"/>
    <cellStyle name="20 % - Aksentti4 2 31" xfId="24967" xr:uid="{00000000-0005-0000-0000-0000800D0000}"/>
    <cellStyle name="20 % - Aksentti4 2 32" xfId="23165" xr:uid="{00000000-0005-0000-0000-0000810D0000}"/>
    <cellStyle name="20 % - Aksentti4 2 33" xfId="24950" xr:uid="{00000000-0005-0000-0000-0000820D0000}"/>
    <cellStyle name="20 % - Aksentti4 2 4" xfId="1183" xr:uid="{00000000-0005-0000-0000-0000830D0000}"/>
    <cellStyle name="20 % - Aksentti4 2 4 2" xfId="1184" xr:uid="{00000000-0005-0000-0000-0000840D0000}"/>
    <cellStyle name="20 % - Aksentti4 2 4 2 2" xfId="1185" xr:uid="{00000000-0005-0000-0000-0000850D0000}"/>
    <cellStyle name="20 % - Aksentti4 2 4 2 2 2" xfId="6505" xr:uid="{00000000-0005-0000-0000-0000860D0000}"/>
    <cellStyle name="20 % - Aksentti4 2 4 2 2 3" xfId="14710" xr:uid="{00000000-0005-0000-0000-0000870D0000}"/>
    <cellStyle name="20 % - Aksentti4 2 4 2 2_DataIX" xfId="29989" xr:uid="{00000000-0005-0000-0000-0000880D0000}"/>
    <cellStyle name="20 % - Aksentti4 2 4 2 3" xfId="6504" xr:uid="{00000000-0005-0000-0000-0000890D0000}"/>
    <cellStyle name="20 % - Aksentti4 2 4 2 4" xfId="14709" xr:uid="{00000000-0005-0000-0000-00008A0D0000}"/>
    <cellStyle name="20 % - Aksentti4 2 4 2_DataIX" xfId="29988" xr:uid="{00000000-0005-0000-0000-00008B0D0000}"/>
    <cellStyle name="20 % - Aksentti4 2 4 3" xfId="1186" xr:uid="{00000000-0005-0000-0000-00008C0D0000}"/>
    <cellStyle name="20 % - Aksentti4 2 4 3 2" xfId="6506" xr:uid="{00000000-0005-0000-0000-00008D0D0000}"/>
    <cellStyle name="20 % - Aksentti4 2 4 3 3" xfId="14711" xr:uid="{00000000-0005-0000-0000-00008E0D0000}"/>
    <cellStyle name="20 % - Aksentti4 2 4 3_DataIX" xfId="29990" xr:uid="{00000000-0005-0000-0000-00008F0D0000}"/>
    <cellStyle name="20 % - Aksentti4 2 4 4" xfId="5474" xr:uid="{00000000-0005-0000-0000-0000900D0000}"/>
    <cellStyle name="20 % - Aksentti4 2 4 4 2" xfId="11264" xr:uid="{00000000-0005-0000-0000-0000910D0000}"/>
    <cellStyle name="20 % - Aksentti4 2 4 4 3" xfId="18739" xr:uid="{00000000-0005-0000-0000-0000920D0000}"/>
    <cellStyle name="20 % - Aksentti4 2 4 4_DataIX" xfId="29991" xr:uid="{00000000-0005-0000-0000-0000930D0000}"/>
    <cellStyle name="20 % - Aksentti4 2 4 5" xfId="5310" xr:uid="{00000000-0005-0000-0000-0000940D0000}"/>
    <cellStyle name="20 % - Aksentti4 2 4 5 2" xfId="11265" xr:uid="{00000000-0005-0000-0000-0000950D0000}"/>
    <cellStyle name="20 % - Aksentti4 2 4 5 3" xfId="18634" xr:uid="{00000000-0005-0000-0000-0000960D0000}"/>
    <cellStyle name="20 % - Aksentti4 2 4 5_DataIX" xfId="29992" xr:uid="{00000000-0005-0000-0000-0000970D0000}"/>
    <cellStyle name="20 % - Aksentti4 2 4 6" xfId="10613" xr:uid="{00000000-0005-0000-0000-0000980D0000}"/>
    <cellStyle name="20 % - Aksentti4 2 4 6 2" xfId="11266" xr:uid="{00000000-0005-0000-0000-0000990D0000}"/>
    <cellStyle name="20 % - Aksentti4 2 4 6 3" xfId="20395" xr:uid="{00000000-0005-0000-0000-00009A0D0000}"/>
    <cellStyle name="20 % - Aksentti4 2 4 6_DataIX" xfId="29993" xr:uid="{00000000-0005-0000-0000-00009B0D0000}"/>
    <cellStyle name="20 % - Aksentti4 2 4 7" xfId="10561" xr:uid="{00000000-0005-0000-0000-00009C0D0000}"/>
    <cellStyle name="20 % - Aksentti4 2 4 7 2" xfId="11267" xr:uid="{00000000-0005-0000-0000-00009D0D0000}"/>
    <cellStyle name="20 % - Aksentti4 2 4 7 3" xfId="20343" xr:uid="{00000000-0005-0000-0000-00009E0D0000}"/>
    <cellStyle name="20 % - Aksentti4 2 4 7_DataIX" xfId="29994" xr:uid="{00000000-0005-0000-0000-00009F0D0000}"/>
    <cellStyle name="20 % - Aksentti4 2 4 8" xfId="10578" xr:uid="{00000000-0005-0000-0000-0000A00D0000}"/>
    <cellStyle name="20 % - Aksentti4 2 4 8 2" xfId="11268" xr:uid="{00000000-0005-0000-0000-0000A10D0000}"/>
    <cellStyle name="20 % - Aksentti4 2 4 8 3" xfId="20360" xr:uid="{00000000-0005-0000-0000-0000A20D0000}"/>
    <cellStyle name="20 % - Aksentti4 2 4 8_DataIX" xfId="29995" xr:uid="{00000000-0005-0000-0000-0000A30D0000}"/>
    <cellStyle name="20 % - Aksentti4 2 4 9" xfId="14708" xr:uid="{00000000-0005-0000-0000-0000A40D0000}"/>
    <cellStyle name="20 % - Aksentti4 2 4_##Keskeiset" xfId="6503" xr:uid="{00000000-0005-0000-0000-0000A50D0000}"/>
    <cellStyle name="20 % - Aksentti4 2 5" xfId="1187" xr:uid="{00000000-0005-0000-0000-0000A60D0000}"/>
    <cellStyle name="20 % - Aksentti4 2 5 2" xfId="1188" xr:uid="{00000000-0005-0000-0000-0000A70D0000}"/>
    <cellStyle name="20 % - Aksentti4 2 5 2 2" xfId="6508" xr:uid="{00000000-0005-0000-0000-0000A80D0000}"/>
    <cellStyle name="20 % - Aksentti4 2 5 2 3" xfId="14713" xr:uid="{00000000-0005-0000-0000-0000A90D0000}"/>
    <cellStyle name="20 % - Aksentti4 2 5 2_DataIX" xfId="29997" xr:uid="{00000000-0005-0000-0000-0000AA0D0000}"/>
    <cellStyle name="20 % - Aksentti4 2 5 3" xfId="6507" xr:uid="{00000000-0005-0000-0000-0000AB0D0000}"/>
    <cellStyle name="20 % - Aksentti4 2 5 4" xfId="14712" xr:uid="{00000000-0005-0000-0000-0000AC0D0000}"/>
    <cellStyle name="20 % - Aksentti4 2 5_DataIX" xfId="29996" xr:uid="{00000000-0005-0000-0000-0000AD0D0000}"/>
    <cellStyle name="20 % - Aksentti4 2 6" xfId="1189" xr:uid="{00000000-0005-0000-0000-0000AE0D0000}"/>
    <cellStyle name="20 % - Aksentti4 2 6 2" xfId="6509" xr:uid="{00000000-0005-0000-0000-0000AF0D0000}"/>
    <cellStyle name="20 % - Aksentti4 2 6 3" xfId="14714" xr:uid="{00000000-0005-0000-0000-0000B00D0000}"/>
    <cellStyle name="20 % - Aksentti4 2 6_DataIX" xfId="29998" xr:uid="{00000000-0005-0000-0000-0000B10D0000}"/>
    <cellStyle name="20 % - Aksentti4 2 7" xfId="1190" xr:uid="{00000000-0005-0000-0000-0000B20D0000}"/>
    <cellStyle name="20 % - Aksentti4 2 7 2" xfId="6510" xr:uid="{00000000-0005-0000-0000-0000B30D0000}"/>
    <cellStyle name="20 % - Aksentti4 2 7 3" xfId="14715" xr:uid="{00000000-0005-0000-0000-0000B40D0000}"/>
    <cellStyle name="20 % - Aksentti4 2 7_DataIX" xfId="29999" xr:uid="{00000000-0005-0000-0000-0000B50D0000}"/>
    <cellStyle name="20 % - Aksentti4 2 8" xfId="1191" xr:uid="{00000000-0005-0000-0000-0000B60D0000}"/>
    <cellStyle name="20 % - Aksentti4 2 8 2" xfId="6511" xr:uid="{00000000-0005-0000-0000-0000B70D0000}"/>
    <cellStyle name="20 % - Aksentti4 2 8 3" xfId="14716" xr:uid="{00000000-0005-0000-0000-0000B80D0000}"/>
    <cellStyle name="20 % - Aksentti4 2 8_DataIX" xfId="30000" xr:uid="{00000000-0005-0000-0000-0000B90D0000}"/>
    <cellStyle name="20 % - Aksentti4 2 9" xfId="1192" xr:uid="{00000000-0005-0000-0000-0000BA0D0000}"/>
    <cellStyle name="20 % - Aksentti4 2 9 2" xfId="6512" xr:uid="{00000000-0005-0000-0000-0000BB0D0000}"/>
    <cellStyle name="20 % - Aksentti4 2 9 3" xfId="14717" xr:uid="{00000000-0005-0000-0000-0000BC0D0000}"/>
    <cellStyle name="20 % - Aksentti4 2 9_DataIX" xfId="30001" xr:uid="{00000000-0005-0000-0000-0000BD0D0000}"/>
    <cellStyle name="20 % - Aksentti4 2_##Keskeiset" xfId="6484" xr:uid="{00000000-0005-0000-0000-0000BE0D0000}"/>
    <cellStyle name="20 % - Aksentti4 20" xfId="1193" xr:uid="{00000000-0005-0000-0000-0000BF0D0000}"/>
    <cellStyle name="20 % - Aksentti4 20 2" xfId="6513" xr:uid="{00000000-0005-0000-0000-0000C00D0000}"/>
    <cellStyle name="20 % - Aksentti4 20 3" xfId="14718" xr:uid="{00000000-0005-0000-0000-0000C10D0000}"/>
    <cellStyle name="20 % - Aksentti4 20_DataIX" xfId="30002" xr:uid="{00000000-0005-0000-0000-0000C20D0000}"/>
    <cellStyle name="20 % - Aksentti4 21" xfId="1194" xr:uid="{00000000-0005-0000-0000-0000C30D0000}"/>
    <cellStyle name="20 % - Aksentti4 21 2" xfId="6514" xr:uid="{00000000-0005-0000-0000-0000C40D0000}"/>
    <cellStyle name="20 % - Aksentti4 21 3" xfId="14719" xr:uid="{00000000-0005-0000-0000-0000C50D0000}"/>
    <cellStyle name="20 % - Aksentti4 21_DataIX" xfId="30003" xr:uid="{00000000-0005-0000-0000-0000C60D0000}"/>
    <cellStyle name="20 % - Aksentti4 22" xfId="1195" xr:uid="{00000000-0005-0000-0000-0000C70D0000}"/>
    <cellStyle name="20 % - Aksentti4 22 2" xfId="6515" xr:uid="{00000000-0005-0000-0000-0000C80D0000}"/>
    <cellStyle name="20 % - Aksentti4 22 3" xfId="14720" xr:uid="{00000000-0005-0000-0000-0000C90D0000}"/>
    <cellStyle name="20 % - Aksentti4 22_DataIX" xfId="30004" xr:uid="{00000000-0005-0000-0000-0000CA0D0000}"/>
    <cellStyle name="20 % - Aksentti4 23" xfId="1196" xr:uid="{00000000-0005-0000-0000-0000CB0D0000}"/>
    <cellStyle name="20 % - Aksentti4 23 2" xfId="6516" xr:uid="{00000000-0005-0000-0000-0000CC0D0000}"/>
    <cellStyle name="20 % - Aksentti4 23 3" xfId="14721" xr:uid="{00000000-0005-0000-0000-0000CD0D0000}"/>
    <cellStyle name="20 % - Aksentti4 23_DataIX" xfId="30005" xr:uid="{00000000-0005-0000-0000-0000CE0D0000}"/>
    <cellStyle name="20 % - Aksentti4 24" xfId="1197" xr:uid="{00000000-0005-0000-0000-0000CF0D0000}"/>
    <cellStyle name="20 % - Aksentti4 24 2" xfId="6517" xr:uid="{00000000-0005-0000-0000-0000D00D0000}"/>
    <cellStyle name="20 % - Aksentti4 24 3" xfId="14722" xr:uid="{00000000-0005-0000-0000-0000D10D0000}"/>
    <cellStyle name="20 % - Aksentti4 24_DataIX" xfId="30006" xr:uid="{00000000-0005-0000-0000-0000D20D0000}"/>
    <cellStyle name="20 % - Aksentti4 25" xfId="1198" xr:uid="{00000000-0005-0000-0000-0000D30D0000}"/>
    <cellStyle name="20 % - Aksentti4 25 2" xfId="6518" xr:uid="{00000000-0005-0000-0000-0000D40D0000}"/>
    <cellStyle name="20 % - Aksentti4 25 3" xfId="14723" xr:uid="{00000000-0005-0000-0000-0000D50D0000}"/>
    <cellStyle name="20 % - Aksentti4 25_DataIX" xfId="30007" xr:uid="{00000000-0005-0000-0000-0000D60D0000}"/>
    <cellStyle name="20 % - Aksentti4 26" xfId="1199" xr:uid="{00000000-0005-0000-0000-0000D70D0000}"/>
    <cellStyle name="20 % - Aksentti4 26 2" xfId="6519" xr:uid="{00000000-0005-0000-0000-0000D80D0000}"/>
    <cellStyle name="20 % - Aksentti4 26 3" xfId="14724" xr:uid="{00000000-0005-0000-0000-0000D90D0000}"/>
    <cellStyle name="20 % - Aksentti4 26_DataIX" xfId="30008" xr:uid="{00000000-0005-0000-0000-0000DA0D0000}"/>
    <cellStyle name="20 % - Aksentti4 27" xfId="1200" xr:uid="{00000000-0005-0000-0000-0000DB0D0000}"/>
    <cellStyle name="20 % - Aksentti4 27 2" xfId="6520" xr:uid="{00000000-0005-0000-0000-0000DC0D0000}"/>
    <cellStyle name="20 % - Aksentti4 27 3" xfId="14725" xr:uid="{00000000-0005-0000-0000-0000DD0D0000}"/>
    <cellStyle name="20 % - Aksentti4 27_DataIX" xfId="30009" xr:uid="{00000000-0005-0000-0000-0000DE0D0000}"/>
    <cellStyle name="20 % - Aksentti4 28" xfId="1201" xr:uid="{00000000-0005-0000-0000-0000DF0D0000}"/>
    <cellStyle name="20 % - Aksentti4 28 2" xfId="6521" xr:uid="{00000000-0005-0000-0000-0000E00D0000}"/>
    <cellStyle name="20 % - Aksentti4 28 3" xfId="14726" xr:uid="{00000000-0005-0000-0000-0000E10D0000}"/>
    <cellStyle name="20 % - Aksentti4 28_DataIX" xfId="30010" xr:uid="{00000000-0005-0000-0000-0000E20D0000}"/>
    <cellStyle name="20 % - Aksentti4 29" xfId="10643" xr:uid="{00000000-0005-0000-0000-0000E30D0000}"/>
    <cellStyle name="20 % - Aksentti4 29 2" xfId="27761" xr:uid="{00000000-0005-0000-0000-0000E40D0000}"/>
    <cellStyle name="20 % - Aksentti4 3" xfId="141" xr:uid="{00000000-0005-0000-0000-0000E50D0000}"/>
    <cellStyle name="20 % - Aksentti4 3 10" xfId="1203" xr:uid="{00000000-0005-0000-0000-0000E60D0000}"/>
    <cellStyle name="20 % - Aksentti4 3 10 2" xfId="6522" xr:uid="{00000000-0005-0000-0000-0000E70D0000}"/>
    <cellStyle name="20 % - Aksentti4 3 10 3" xfId="14728" xr:uid="{00000000-0005-0000-0000-0000E80D0000}"/>
    <cellStyle name="20 % - Aksentti4 3 10_DataIX" xfId="30011" xr:uid="{00000000-0005-0000-0000-0000E90D0000}"/>
    <cellStyle name="20 % - Aksentti4 3 11" xfId="1202" xr:uid="{00000000-0005-0000-0000-0000EA0D0000}"/>
    <cellStyle name="20 % - Aksentti4 3 11 2" xfId="6523" xr:uid="{00000000-0005-0000-0000-0000EB0D0000}"/>
    <cellStyle name="20 % - Aksentti4 3 11 3" xfId="14727" xr:uid="{00000000-0005-0000-0000-0000EC0D0000}"/>
    <cellStyle name="20 % - Aksentti4 3 11_DataIX" xfId="30012" xr:uid="{00000000-0005-0000-0000-0000ED0D0000}"/>
    <cellStyle name="20 % - Aksentti4 3 2" xfId="1204" xr:uid="{00000000-0005-0000-0000-0000EE0D0000}"/>
    <cellStyle name="20 % - Aksentti4 3 2 10" xfId="1205" xr:uid="{00000000-0005-0000-0000-0000EF0D0000}"/>
    <cellStyle name="20 % - Aksentti4 3 2 10 2" xfId="6525" xr:uid="{00000000-0005-0000-0000-0000F00D0000}"/>
    <cellStyle name="20 % - Aksentti4 3 2 10 3" xfId="14730" xr:uid="{00000000-0005-0000-0000-0000F10D0000}"/>
    <cellStyle name="20 % - Aksentti4 3 2 10_DataIX" xfId="30014" xr:uid="{00000000-0005-0000-0000-0000F20D0000}"/>
    <cellStyle name="20 % - Aksentti4 3 2 11" xfId="6524" xr:uid="{00000000-0005-0000-0000-0000F30D0000}"/>
    <cellStyle name="20 % - Aksentti4 3 2 12" xfId="14729" xr:uid="{00000000-0005-0000-0000-0000F40D0000}"/>
    <cellStyle name="20 % - Aksentti4 3 2 2" xfId="1206" xr:uid="{00000000-0005-0000-0000-0000F50D0000}"/>
    <cellStyle name="20 % - Aksentti4 3 2 2 2" xfId="1207" xr:uid="{00000000-0005-0000-0000-0000F60D0000}"/>
    <cellStyle name="20 % - Aksentti4 3 2 2 2 2" xfId="6527" xr:uid="{00000000-0005-0000-0000-0000F70D0000}"/>
    <cellStyle name="20 % - Aksentti4 3 2 2 2 3" xfId="14732" xr:uid="{00000000-0005-0000-0000-0000F80D0000}"/>
    <cellStyle name="20 % - Aksentti4 3 2 2 2_DataIX" xfId="30016" xr:uid="{00000000-0005-0000-0000-0000F90D0000}"/>
    <cellStyle name="20 % - Aksentti4 3 2 2 3" xfId="6526" xr:uid="{00000000-0005-0000-0000-0000FA0D0000}"/>
    <cellStyle name="20 % - Aksentti4 3 2 2 4" xfId="14731" xr:uid="{00000000-0005-0000-0000-0000FB0D0000}"/>
    <cellStyle name="20 % - Aksentti4 3 2 2_DataIX" xfId="30015" xr:uid="{00000000-0005-0000-0000-0000FC0D0000}"/>
    <cellStyle name="20 % - Aksentti4 3 2 3" xfId="1208" xr:uid="{00000000-0005-0000-0000-0000FD0D0000}"/>
    <cellStyle name="20 % - Aksentti4 3 2 3 2" xfId="6528" xr:uid="{00000000-0005-0000-0000-0000FE0D0000}"/>
    <cellStyle name="20 % - Aksentti4 3 2 3 3" xfId="14733" xr:uid="{00000000-0005-0000-0000-0000FF0D0000}"/>
    <cellStyle name="20 % - Aksentti4 3 2 3_DataIX" xfId="30017" xr:uid="{00000000-0005-0000-0000-0000000E0000}"/>
    <cellStyle name="20 % - Aksentti4 3 2 4" xfId="1209" xr:uid="{00000000-0005-0000-0000-0000010E0000}"/>
    <cellStyle name="20 % - Aksentti4 3 2 4 2" xfId="6529" xr:uid="{00000000-0005-0000-0000-0000020E0000}"/>
    <cellStyle name="20 % - Aksentti4 3 2 4 3" xfId="14734" xr:uid="{00000000-0005-0000-0000-0000030E0000}"/>
    <cellStyle name="20 % - Aksentti4 3 2 4_DataIX" xfId="30018" xr:uid="{00000000-0005-0000-0000-0000040E0000}"/>
    <cellStyle name="20 % - Aksentti4 3 2 5" xfId="1210" xr:uid="{00000000-0005-0000-0000-0000050E0000}"/>
    <cellStyle name="20 % - Aksentti4 3 2 5 2" xfId="6530" xr:uid="{00000000-0005-0000-0000-0000060E0000}"/>
    <cellStyle name="20 % - Aksentti4 3 2 5 3" xfId="14735" xr:uid="{00000000-0005-0000-0000-0000070E0000}"/>
    <cellStyle name="20 % - Aksentti4 3 2 5_DataIX" xfId="30019" xr:uid="{00000000-0005-0000-0000-0000080E0000}"/>
    <cellStyle name="20 % - Aksentti4 3 2 6" xfId="1211" xr:uid="{00000000-0005-0000-0000-0000090E0000}"/>
    <cellStyle name="20 % - Aksentti4 3 2 6 2" xfId="6531" xr:uid="{00000000-0005-0000-0000-00000A0E0000}"/>
    <cellStyle name="20 % - Aksentti4 3 2 6 3" xfId="14736" xr:uid="{00000000-0005-0000-0000-00000B0E0000}"/>
    <cellStyle name="20 % - Aksentti4 3 2 6_DataIX" xfId="30020" xr:uid="{00000000-0005-0000-0000-00000C0E0000}"/>
    <cellStyle name="20 % - Aksentti4 3 2 7" xfId="1212" xr:uid="{00000000-0005-0000-0000-00000D0E0000}"/>
    <cellStyle name="20 % - Aksentti4 3 2 7 2" xfId="6532" xr:uid="{00000000-0005-0000-0000-00000E0E0000}"/>
    <cellStyle name="20 % - Aksentti4 3 2 7 3" xfId="14737" xr:uid="{00000000-0005-0000-0000-00000F0E0000}"/>
    <cellStyle name="20 % - Aksentti4 3 2 7_DataIX" xfId="30021" xr:uid="{00000000-0005-0000-0000-0000100E0000}"/>
    <cellStyle name="20 % - Aksentti4 3 2 8" xfId="1213" xr:uid="{00000000-0005-0000-0000-0000110E0000}"/>
    <cellStyle name="20 % - Aksentti4 3 2 8 2" xfId="6533" xr:uid="{00000000-0005-0000-0000-0000120E0000}"/>
    <cellStyle name="20 % - Aksentti4 3 2 8 3" xfId="14738" xr:uid="{00000000-0005-0000-0000-0000130E0000}"/>
    <cellStyle name="20 % - Aksentti4 3 2 8_DataIX" xfId="30022" xr:uid="{00000000-0005-0000-0000-0000140E0000}"/>
    <cellStyle name="20 % - Aksentti4 3 2 9" xfId="1214" xr:uid="{00000000-0005-0000-0000-0000150E0000}"/>
    <cellStyle name="20 % - Aksentti4 3 2 9 2" xfId="6534" xr:uid="{00000000-0005-0000-0000-0000160E0000}"/>
    <cellStyle name="20 % - Aksentti4 3 2 9 3" xfId="14739" xr:uid="{00000000-0005-0000-0000-0000170E0000}"/>
    <cellStyle name="20 % - Aksentti4 3 2 9_DataIX" xfId="30023" xr:uid="{00000000-0005-0000-0000-0000180E0000}"/>
    <cellStyle name="20 % - Aksentti4 3 2_DataIX" xfId="30013" xr:uid="{00000000-0005-0000-0000-0000190E0000}"/>
    <cellStyle name="20 % - Aksentti4 3 3" xfId="1215" xr:uid="{00000000-0005-0000-0000-00001A0E0000}"/>
    <cellStyle name="20 % - Aksentti4 3 3 2" xfId="1216" xr:uid="{00000000-0005-0000-0000-00001B0E0000}"/>
    <cellStyle name="20 % - Aksentti4 3 3 2 2" xfId="1217" xr:uid="{00000000-0005-0000-0000-00001C0E0000}"/>
    <cellStyle name="20 % - Aksentti4 3 3 2 2 2" xfId="6537" xr:uid="{00000000-0005-0000-0000-00001D0E0000}"/>
    <cellStyle name="20 % - Aksentti4 3 3 2 2 3" xfId="14742" xr:uid="{00000000-0005-0000-0000-00001E0E0000}"/>
    <cellStyle name="20 % - Aksentti4 3 3 2 2_DataIX" xfId="30026" xr:uid="{00000000-0005-0000-0000-00001F0E0000}"/>
    <cellStyle name="20 % - Aksentti4 3 3 2 3" xfId="6536" xr:uid="{00000000-0005-0000-0000-0000200E0000}"/>
    <cellStyle name="20 % - Aksentti4 3 3 2 4" xfId="14741" xr:uid="{00000000-0005-0000-0000-0000210E0000}"/>
    <cellStyle name="20 % - Aksentti4 3 3 2_DataIX" xfId="30025" xr:uid="{00000000-0005-0000-0000-0000220E0000}"/>
    <cellStyle name="20 % - Aksentti4 3 3 3" xfId="1218" xr:uid="{00000000-0005-0000-0000-0000230E0000}"/>
    <cellStyle name="20 % - Aksentti4 3 3 3 2" xfId="6538" xr:uid="{00000000-0005-0000-0000-0000240E0000}"/>
    <cellStyle name="20 % - Aksentti4 3 3 3 3" xfId="14743" xr:uid="{00000000-0005-0000-0000-0000250E0000}"/>
    <cellStyle name="20 % - Aksentti4 3 3 3_DataIX" xfId="30027" xr:uid="{00000000-0005-0000-0000-0000260E0000}"/>
    <cellStyle name="20 % - Aksentti4 3 3 4" xfId="6535" xr:uid="{00000000-0005-0000-0000-0000270E0000}"/>
    <cellStyle name="20 % - Aksentti4 3 3 5" xfId="14740" xr:uid="{00000000-0005-0000-0000-0000280E0000}"/>
    <cellStyle name="20 % - Aksentti4 3 3_DataIX" xfId="30024" xr:uid="{00000000-0005-0000-0000-0000290E0000}"/>
    <cellStyle name="20 % - Aksentti4 3 4" xfId="1219" xr:uid="{00000000-0005-0000-0000-00002A0E0000}"/>
    <cellStyle name="20 % - Aksentti4 3 4 2" xfId="1220" xr:uid="{00000000-0005-0000-0000-00002B0E0000}"/>
    <cellStyle name="20 % - Aksentti4 3 4 2 2" xfId="1221" xr:uid="{00000000-0005-0000-0000-00002C0E0000}"/>
    <cellStyle name="20 % - Aksentti4 3 4 2 2 2" xfId="6541" xr:uid="{00000000-0005-0000-0000-00002D0E0000}"/>
    <cellStyle name="20 % - Aksentti4 3 4 2 2 3" xfId="14746" xr:uid="{00000000-0005-0000-0000-00002E0E0000}"/>
    <cellStyle name="20 % - Aksentti4 3 4 2 2_DataIX" xfId="30030" xr:uid="{00000000-0005-0000-0000-00002F0E0000}"/>
    <cellStyle name="20 % - Aksentti4 3 4 2 3" xfId="6540" xr:uid="{00000000-0005-0000-0000-0000300E0000}"/>
    <cellStyle name="20 % - Aksentti4 3 4 2 4" xfId="14745" xr:uid="{00000000-0005-0000-0000-0000310E0000}"/>
    <cellStyle name="20 % - Aksentti4 3 4 2_DataIX" xfId="30029" xr:uid="{00000000-0005-0000-0000-0000320E0000}"/>
    <cellStyle name="20 % - Aksentti4 3 4 3" xfId="1222" xr:uid="{00000000-0005-0000-0000-0000330E0000}"/>
    <cellStyle name="20 % - Aksentti4 3 4 3 2" xfId="6542" xr:uid="{00000000-0005-0000-0000-0000340E0000}"/>
    <cellStyle name="20 % - Aksentti4 3 4 3 3" xfId="14747" xr:uid="{00000000-0005-0000-0000-0000350E0000}"/>
    <cellStyle name="20 % - Aksentti4 3 4 3_DataIX" xfId="30031" xr:uid="{00000000-0005-0000-0000-0000360E0000}"/>
    <cellStyle name="20 % - Aksentti4 3 4 4" xfId="6539" xr:uid="{00000000-0005-0000-0000-0000370E0000}"/>
    <cellStyle name="20 % - Aksentti4 3 4 5" xfId="14744" xr:uid="{00000000-0005-0000-0000-0000380E0000}"/>
    <cellStyle name="20 % - Aksentti4 3 4_DataIX" xfId="30028" xr:uid="{00000000-0005-0000-0000-0000390E0000}"/>
    <cellStyle name="20 % - Aksentti4 3 5" xfId="1223" xr:uid="{00000000-0005-0000-0000-00003A0E0000}"/>
    <cellStyle name="20 % - Aksentti4 3 5 2" xfId="1224" xr:uid="{00000000-0005-0000-0000-00003B0E0000}"/>
    <cellStyle name="20 % - Aksentti4 3 5 2 2" xfId="6544" xr:uid="{00000000-0005-0000-0000-00003C0E0000}"/>
    <cellStyle name="20 % - Aksentti4 3 5 2 3" xfId="14749" xr:uid="{00000000-0005-0000-0000-00003D0E0000}"/>
    <cellStyle name="20 % - Aksentti4 3 5 2_DataIX" xfId="30033" xr:uid="{00000000-0005-0000-0000-00003E0E0000}"/>
    <cellStyle name="20 % - Aksentti4 3 5 3" xfId="6543" xr:uid="{00000000-0005-0000-0000-00003F0E0000}"/>
    <cellStyle name="20 % - Aksentti4 3 5 4" xfId="14748" xr:uid="{00000000-0005-0000-0000-0000400E0000}"/>
    <cellStyle name="20 % - Aksentti4 3 5_DataIX" xfId="30032" xr:uid="{00000000-0005-0000-0000-0000410E0000}"/>
    <cellStyle name="20 % - Aksentti4 3 6" xfId="1225" xr:uid="{00000000-0005-0000-0000-0000420E0000}"/>
    <cellStyle name="20 % - Aksentti4 3 6 2" xfId="6545" xr:uid="{00000000-0005-0000-0000-0000430E0000}"/>
    <cellStyle name="20 % - Aksentti4 3 6 3" xfId="14750" xr:uid="{00000000-0005-0000-0000-0000440E0000}"/>
    <cellStyle name="20 % - Aksentti4 3 6_DataIX" xfId="30034" xr:uid="{00000000-0005-0000-0000-0000450E0000}"/>
    <cellStyle name="20 % - Aksentti4 3 7" xfId="1226" xr:uid="{00000000-0005-0000-0000-0000460E0000}"/>
    <cellStyle name="20 % - Aksentti4 3 7 2" xfId="6546" xr:uid="{00000000-0005-0000-0000-0000470E0000}"/>
    <cellStyle name="20 % - Aksentti4 3 7 3" xfId="14751" xr:uid="{00000000-0005-0000-0000-0000480E0000}"/>
    <cellStyle name="20 % - Aksentti4 3 7_DataIX" xfId="30035" xr:uid="{00000000-0005-0000-0000-0000490E0000}"/>
    <cellStyle name="20 % - Aksentti4 3 8" xfId="1227" xr:uid="{00000000-0005-0000-0000-00004A0E0000}"/>
    <cellStyle name="20 % - Aksentti4 3 8 2" xfId="6547" xr:uid="{00000000-0005-0000-0000-00004B0E0000}"/>
    <cellStyle name="20 % - Aksentti4 3 8 3" xfId="14752" xr:uid="{00000000-0005-0000-0000-00004C0E0000}"/>
    <cellStyle name="20 % - Aksentti4 3 8_DataIX" xfId="30036" xr:uid="{00000000-0005-0000-0000-00004D0E0000}"/>
    <cellStyle name="20 % - Aksentti4 3 9" xfId="1228" xr:uid="{00000000-0005-0000-0000-00004E0E0000}"/>
    <cellStyle name="20 % - Aksentti4 3 9 2" xfId="6548" xr:uid="{00000000-0005-0000-0000-00004F0E0000}"/>
    <cellStyle name="20 % - Aksentti4 3 9 3" xfId="14753" xr:uid="{00000000-0005-0000-0000-0000500E0000}"/>
    <cellStyle name="20 % - Aksentti4 3 9_DataIX" xfId="30037" xr:uid="{00000000-0005-0000-0000-0000510E0000}"/>
    <cellStyle name="20 % - Aksentti4 3_Tulokset" xfId="1229" xr:uid="{00000000-0005-0000-0000-0000520E0000}"/>
    <cellStyle name="20 % - Aksentti4 30" xfId="13082" xr:uid="{00000000-0005-0000-0000-0000530E0000}"/>
    <cellStyle name="20 % - Aksentti4 31" xfId="13197" xr:uid="{00000000-0005-0000-0000-0000540E0000}"/>
    <cellStyle name="20 % - Aksentti4 32" xfId="13360" xr:uid="{00000000-0005-0000-0000-0000550E0000}"/>
    <cellStyle name="20 % - Aksentti4 33" xfId="13333" xr:uid="{00000000-0005-0000-0000-0000560E0000}"/>
    <cellStyle name="20 % - Aksentti4 34" xfId="13891" xr:uid="{00000000-0005-0000-0000-0000570E0000}"/>
    <cellStyle name="20 % - Aksentti4 35" xfId="20270" xr:uid="{00000000-0005-0000-0000-0000580E0000}"/>
    <cellStyle name="20 % - Aksentti4 36" xfId="26322" xr:uid="{00000000-0005-0000-0000-0000590E0000}"/>
    <cellStyle name="20 % - Aksentti4 37" xfId="25817" xr:uid="{00000000-0005-0000-0000-00005A0E0000}"/>
    <cellStyle name="20 % - Aksentti4 38" xfId="25421" xr:uid="{00000000-0005-0000-0000-00005B0E0000}"/>
    <cellStyle name="20 % - Aksentti4 39" xfId="26657" xr:uid="{00000000-0005-0000-0000-00005C0E0000}"/>
    <cellStyle name="20 % - Aksentti4 4" xfId="1230" xr:uid="{00000000-0005-0000-0000-00005D0E0000}"/>
    <cellStyle name="20 % - Aksentti4 4 10" xfId="1231" xr:uid="{00000000-0005-0000-0000-00005E0E0000}"/>
    <cellStyle name="20 % - Aksentti4 4 10 2" xfId="6550" xr:uid="{00000000-0005-0000-0000-00005F0E0000}"/>
    <cellStyle name="20 % - Aksentti4 4 10 3" xfId="14755" xr:uid="{00000000-0005-0000-0000-0000600E0000}"/>
    <cellStyle name="20 % - Aksentti4 4 10_DataIX" xfId="30038" xr:uid="{00000000-0005-0000-0000-0000610E0000}"/>
    <cellStyle name="20 % - Aksentti4 4 11" xfId="5475" xr:uid="{00000000-0005-0000-0000-0000620E0000}"/>
    <cellStyle name="20 % - Aksentti4 4 12" xfId="14754" xr:uid="{00000000-0005-0000-0000-0000630E0000}"/>
    <cellStyle name="20 % - Aksentti4 4 2" xfId="1232" xr:uid="{00000000-0005-0000-0000-0000640E0000}"/>
    <cellStyle name="20 % - Aksentti4 4 2 2" xfId="1233" xr:uid="{00000000-0005-0000-0000-0000650E0000}"/>
    <cellStyle name="20 % - Aksentti4 4 2 2 2" xfId="1234" xr:uid="{00000000-0005-0000-0000-0000660E0000}"/>
    <cellStyle name="20 % - Aksentti4 4 2 2 2 2" xfId="6553" xr:uid="{00000000-0005-0000-0000-0000670E0000}"/>
    <cellStyle name="20 % - Aksentti4 4 2 2 2 3" xfId="14758" xr:uid="{00000000-0005-0000-0000-0000680E0000}"/>
    <cellStyle name="20 % - Aksentti4 4 2 2 2_DataIX" xfId="30041" xr:uid="{00000000-0005-0000-0000-0000690E0000}"/>
    <cellStyle name="20 % - Aksentti4 4 2 2 3" xfId="6552" xr:uid="{00000000-0005-0000-0000-00006A0E0000}"/>
    <cellStyle name="20 % - Aksentti4 4 2 2 4" xfId="14757" xr:uid="{00000000-0005-0000-0000-00006B0E0000}"/>
    <cellStyle name="20 % - Aksentti4 4 2 2_DataIX" xfId="30040" xr:uid="{00000000-0005-0000-0000-00006C0E0000}"/>
    <cellStyle name="20 % - Aksentti4 4 2 3" xfId="1235" xr:uid="{00000000-0005-0000-0000-00006D0E0000}"/>
    <cellStyle name="20 % - Aksentti4 4 2 3 2" xfId="6554" xr:uid="{00000000-0005-0000-0000-00006E0E0000}"/>
    <cellStyle name="20 % - Aksentti4 4 2 3 3" xfId="14759" xr:uid="{00000000-0005-0000-0000-00006F0E0000}"/>
    <cellStyle name="20 % - Aksentti4 4 2 3_DataIX" xfId="30042" xr:uid="{00000000-0005-0000-0000-0000700E0000}"/>
    <cellStyle name="20 % - Aksentti4 4 2 4" xfId="6551" xr:uid="{00000000-0005-0000-0000-0000710E0000}"/>
    <cellStyle name="20 % - Aksentti4 4 2 5" xfId="14756" xr:uid="{00000000-0005-0000-0000-0000720E0000}"/>
    <cellStyle name="20 % - Aksentti4 4 2_DataIX" xfId="30039" xr:uid="{00000000-0005-0000-0000-0000730E0000}"/>
    <cellStyle name="20 % - Aksentti4 4 3" xfId="1236" xr:uid="{00000000-0005-0000-0000-0000740E0000}"/>
    <cellStyle name="20 % - Aksentti4 4 3 2" xfId="1237" xr:uid="{00000000-0005-0000-0000-0000750E0000}"/>
    <cellStyle name="20 % - Aksentti4 4 3 2 2" xfId="6556" xr:uid="{00000000-0005-0000-0000-0000760E0000}"/>
    <cellStyle name="20 % - Aksentti4 4 3 2 3" xfId="14761" xr:uid="{00000000-0005-0000-0000-0000770E0000}"/>
    <cellStyle name="20 % - Aksentti4 4 3 2_DataIX" xfId="30044" xr:uid="{00000000-0005-0000-0000-0000780E0000}"/>
    <cellStyle name="20 % - Aksentti4 4 3 3" xfId="6555" xr:uid="{00000000-0005-0000-0000-0000790E0000}"/>
    <cellStyle name="20 % - Aksentti4 4 3 4" xfId="14760" xr:uid="{00000000-0005-0000-0000-00007A0E0000}"/>
    <cellStyle name="20 % - Aksentti4 4 3_DataIX" xfId="30043" xr:uid="{00000000-0005-0000-0000-00007B0E0000}"/>
    <cellStyle name="20 % - Aksentti4 4 4" xfId="1238" xr:uid="{00000000-0005-0000-0000-00007C0E0000}"/>
    <cellStyle name="20 % - Aksentti4 4 4 2" xfId="6557" xr:uid="{00000000-0005-0000-0000-00007D0E0000}"/>
    <cellStyle name="20 % - Aksentti4 4 4 3" xfId="14762" xr:uid="{00000000-0005-0000-0000-00007E0E0000}"/>
    <cellStyle name="20 % - Aksentti4 4 4_DataIX" xfId="30045" xr:uid="{00000000-0005-0000-0000-00007F0E0000}"/>
    <cellStyle name="20 % - Aksentti4 4 5" xfId="1239" xr:uid="{00000000-0005-0000-0000-0000800E0000}"/>
    <cellStyle name="20 % - Aksentti4 4 5 2" xfId="6558" xr:uid="{00000000-0005-0000-0000-0000810E0000}"/>
    <cellStyle name="20 % - Aksentti4 4 5 3" xfId="14763" xr:uid="{00000000-0005-0000-0000-0000820E0000}"/>
    <cellStyle name="20 % - Aksentti4 4 5_DataIX" xfId="30046" xr:uid="{00000000-0005-0000-0000-0000830E0000}"/>
    <cellStyle name="20 % - Aksentti4 4 6" xfId="1240" xr:uid="{00000000-0005-0000-0000-0000840E0000}"/>
    <cellStyle name="20 % - Aksentti4 4 6 2" xfId="6559" xr:uid="{00000000-0005-0000-0000-0000850E0000}"/>
    <cellStyle name="20 % - Aksentti4 4 6 3" xfId="14764" xr:uid="{00000000-0005-0000-0000-0000860E0000}"/>
    <cellStyle name="20 % - Aksentti4 4 6_DataIX" xfId="30047" xr:uid="{00000000-0005-0000-0000-0000870E0000}"/>
    <cellStyle name="20 % - Aksentti4 4 7" xfId="1241" xr:uid="{00000000-0005-0000-0000-0000880E0000}"/>
    <cellStyle name="20 % - Aksentti4 4 7 2" xfId="6560" xr:uid="{00000000-0005-0000-0000-0000890E0000}"/>
    <cellStyle name="20 % - Aksentti4 4 7 3" xfId="14765" xr:uid="{00000000-0005-0000-0000-00008A0E0000}"/>
    <cellStyle name="20 % - Aksentti4 4 7_DataIX" xfId="30048" xr:uid="{00000000-0005-0000-0000-00008B0E0000}"/>
    <cellStyle name="20 % - Aksentti4 4 8" xfId="1242" xr:uid="{00000000-0005-0000-0000-00008C0E0000}"/>
    <cellStyle name="20 % - Aksentti4 4 8 2" xfId="6561" xr:uid="{00000000-0005-0000-0000-00008D0E0000}"/>
    <cellStyle name="20 % - Aksentti4 4 8 3" xfId="14766" xr:uid="{00000000-0005-0000-0000-00008E0E0000}"/>
    <cellStyle name="20 % - Aksentti4 4 8_DataIX" xfId="30049" xr:uid="{00000000-0005-0000-0000-00008F0E0000}"/>
    <cellStyle name="20 % - Aksentti4 4 9" xfId="1243" xr:uid="{00000000-0005-0000-0000-0000900E0000}"/>
    <cellStyle name="20 % - Aksentti4 4 9 2" xfId="6562" xr:uid="{00000000-0005-0000-0000-0000910E0000}"/>
    <cellStyle name="20 % - Aksentti4 4 9 3" xfId="14767" xr:uid="{00000000-0005-0000-0000-0000920E0000}"/>
    <cellStyle name="20 % - Aksentti4 4 9_DataIX" xfId="30050" xr:uid="{00000000-0005-0000-0000-0000930E0000}"/>
    <cellStyle name="20 % - Aksentti4 4_##Keskeiset" xfId="6549" xr:uid="{00000000-0005-0000-0000-0000940E0000}"/>
    <cellStyle name="20 % - Aksentti4 40" xfId="25843" xr:uid="{00000000-0005-0000-0000-0000950E0000}"/>
    <cellStyle name="20 % - Aksentti4 41" xfId="26384" xr:uid="{00000000-0005-0000-0000-0000960E0000}"/>
    <cellStyle name="20 % - Aksentti4 42" xfId="25251" xr:uid="{00000000-0005-0000-0000-0000970E0000}"/>
    <cellStyle name="20 % - Aksentti4 43" xfId="26174" xr:uid="{00000000-0005-0000-0000-0000980E0000}"/>
    <cellStyle name="20 % - Aksentti4 44" xfId="26679" xr:uid="{00000000-0005-0000-0000-0000990E0000}"/>
    <cellStyle name="20 % - Aksentti4 5" xfId="1244" xr:uid="{00000000-0005-0000-0000-00009A0E0000}"/>
    <cellStyle name="20 % - Aksentti4 5 10" xfId="1245" xr:uid="{00000000-0005-0000-0000-00009B0E0000}"/>
    <cellStyle name="20 % - Aksentti4 5 10 2" xfId="6564" xr:uid="{00000000-0005-0000-0000-00009C0E0000}"/>
    <cellStyle name="20 % - Aksentti4 5 10 3" xfId="14769" xr:uid="{00000000-0005-0000-0000-00009D0E0000}"/>
    <cellStyle name="20 % - Aksentti4 5 10_DataIX" xfId="30052" xr:uid="{00000000-0005-0000-0000-00009E0E0000}"/>
    <cellStyle name="20 % - Aksentti4 5 11" xfId="6563" xr:uid="{00000000-0005-0000-0000-00009F0E0000}"/>
    <cellStyle name="20 % - Aksentti4 5 12" xfId="14768" xr:uid="{00000000-0005-0000-0000-0000A00E0000}"/>
    <cellStyle name="20 % - Aksentti4 5 2" xfId="1246" xr:uid="{00000000-0005-0000-0000-0000A10E0000}"/>
    <cellStyle name="20 % - Aksentti4 5 2 2" xfId="1247" xr:uid="{00000000-0005-0000-0000-0000A20E0000}"/>
    <cellStyle name="20 % - Aksentti4 5 2 2 2" xfId="1248" xr:uid="{00000000-0005-0000-0000-0000A30E0000}"/>
    <cellStyle name="20 % - Aksentti4 5 2 2 2 2" xfId="6567" xr:uid="{00000000-0005-0000-0000-0000A40E0000}"/>
    <cellStyle name="20 % - Aksentti4 5 2 2 2 3" xfId="14772" xr:uid="{00000000-0005-0000-0000-0000A50E0000}"/>
    <cellStyle name="20 % - Aksentti4 5 2 2 2_DataIX" xfId="30055" xr:uid="{00000000-0005-0000-0000-0000A60E0000}"/>
    <cellStyle name="20 % - Aksentti4 5 2 2 3" xfId="6566" xr:uid="{00000000-0005-0000-0000-0000A70E0000}"/>
    <cellStyle name="20 % - Aksentti4 5 2 2 4" xfId="14771" xr:uid="{00000000-0005-0000-0000-0000A80E0000}"/>
    <cellStyle name="20 % - Aksentti4 5 2 2_DataIX" xfId="30054" xr:uid="{00000000-0005-0000-0000-0000A90E0000}"/>
    <cellStyle name="20 % - Aksentti4 5 2 3" xfId="1249" xr:uid="{00000000-0005-0000-0000-0000AA0E0000}"/>
    <cellStyle name="20 % - Aksentti4 5 2 3 2" xfId="6568" xr:uid="{00000000-0005-0000-0000-0000AB0E0000}"/>
    <cellStyle name="20 % - Aksentti4 5 2 3 3" xfId="14773" xr:uid="{00000000-0005-0000-0000-0000AC0E0000}"/>
    <cellStyle name="20 % - Aksentti4 5 2 3_DataIX" xfId="30056" xr:uid="{00000000-0005-0000-0000-0000AD0E0000}"/>
    <cellStyle name="20 % - Aksentti4 5 2 4" xfId="6565" xr:uid="{00000000-0005-0000-0000-0000AE0E0000}"/>
    <cellStyle name="20 % - Aksentti4 5 2 5" xfId="14770" xr:uid="{00000000-0005-0000-0000-0000AF0E0000}"/>
    <cellStyle name="20 % - Aksentti4 5 2_DataIX" xfId="30053" xr:uid="{00000000-0005-0000-0000-0000B00E0000}"/>
    <cellStyle name="20 % - Aksentti4 5 3" xfId="1250" xr:uid="{00000000-0005-0000-0000-0000B10E0000}"/>
    <cellStyle name="20 % - Aksentti4 5 3 2" xfId="1251" xr:uid="{00000000-0005-0000-0000-0000B20E0000}"/>
    <cellStyle name="20 % - Aksentti4 5 3 2 2" xfId="6570" xr:uid="{00000000-0005-0000-0000-0000B30E0000}"/>
    <cellStyle name="20 % - Aksentti4 5 3 2 3" xfId="14775" xr:uid="{00000000-0005-0000-0000-0000B40E0000}"/>
    <cellStyle name="20 % - Aksentti4 5 3 2_DataIX" xfId="30058" xr:uid="{00000000-0005-0000-0000-0000B50E0000}"/>
    <cellStyle name="20 % - Aksentti4 5 3 3" xfId="6569" xr:uid="{00000000-0005-0000-0000-0000B60E0000}"/>
    <cellStyle name="20 % - Aksentti4 5 3 4" xfId="14774" xr:uid="{00000000-0005-0000-0000-0000B70E0000}"/>
    <cellStyle name="20 % - Aksentti4 5 3_DataIX" xfId="30057" xr:uid="{00000000-0005-0000-0000-0000B80E0000}"/>
    <cellStyle name="20 % - Aksentti4 5 4" xfId="1252" xr:uid="{00000000-0005-0000-0000-0000B90E0000}"/>
    <cellStyle name="20 % - Aksentti4 5 4 2" xfId="6571" xr:uid="{00000000-0005-0000-0000-0000BA0E0000}"/>
    <cellStyle name="20 % - Aksentti4 5 4 3" xfId="14776" xr:uid="{00000000-0005-0000-0000-0000BB0E0000}"/>
    <cellStyle name="20 % - Aksentti4 5 4_DataIX" xfId="30059" xr:uid="{00000000-0005-0000-0000-0000BC0E0000}"/>
    <cellStyle name="20 % - Aksentti4 5 5" xfId="1253" xr:uid="{00000000-0005-0000-0000-0000BD0E0000}"/>
    <cellStyle name="20 % - Aksentti4 5 5 2" xfId="6572" xr:uid="{00000000-0005-0000-0000-0000BE0E0000}"/>
    <cellStyle name="20 % - Aksentti4 5 5 3" xfId="14777" xr:uid="{00000000-0005-0000-0000-0000BF0E0000}"/>
    <cellStyle name="20 % - Aksentti4 5 5_DataIX" xfId="30060" xr:uid="{00000000-0005-0000-0000-0000C00E0000}"/>
    <cellStyle name="20 % - Aksentti4 5 6" xfId="1254" xr:uid="{00000000-0005-0000-0000-0000C10E0000}"/>
    <cellStyle name="20 % - Aksentti4 5 6 2" xfId="6573" xr:uid="{00000000-0005-0000-0000-0000C20E0000}"/>
    <cellStyle name="20 % - Aksentti4 5 6 3" xfId="14778" xr:uid="{00000000-0005-0000-0000-0000C30E0000}"/>
    <cellStyle name="20 % - Aksentti4 5 6_DataIX" xfId="30061" xr:uid="{00000000-0005-0000-0000-0000C40E0000}"/>
    <cellStyle name="20 % - Aksentti4 5 7" xfId="1255" xr:uid="{00000000-0005-0000-0000-0000C50E0000}"/>
    <cellStyle name="20 % - Aksentti4 5 7 2" xfId="6574" xr:uid="{00000000-0005-0000-0000-0000C60E0000}"/>
    <cellStyle name="20 % - Aksentti4 5 7 3" xfId="14779" xr:uid="{00000000-0005-0000-0000-0000C70E0000}"/>
    <cellStyle name="20 % - Aksentti4 5 7_DataIX" xfId="30062" xr:uid="{00000000-0005-0000-0000-0000C80E0000}"/>
    <cellStyle name="20 % - Aksentti4 5 8" xfId="1256" xr:uid="{00000000-0005-0000-0000-0000C90E0000}"/>
    <cellStyle name="20 % - Aksentti4 5 8 2" xfId="6575" xr:uid="{00000000-0005-0000-0000-0000CA0E0000}"/>
    <cellStyle name="20 % - Aksentti4 5 8 3" xfId="14780" xr:uid="{00000000-0005-0000-0000-0000CB0E0000}"/>
    <cellStyle name="20 % - Aksentti4 5 8_DataIX" xfId="30063" xr:uid="{00000000-0005-0000-0000-0000CC0E0000}"/>
    <cellStyle name="20 % - Aksentti4 5 9" xfId="1257" xr:uid="{00000000-0005-0000-0000-0000CD0E0000}"/>
    <cellStyle name="20 % - Aksentti4 5 9 2" xfId="6576" xr:uid="{00000000-0005-0000-0000-0000CE0E0000}"/>
    <cellStyle name="20 % - Aksentti4 5 9 3" xfId="14781" xr:uid="{00000000-0005-0000-0000-0000CF0E0000}"/>
    <cellStyle name="20 % - Aksentti4 5 9_DataIX" xfId="30064" xr:uid="{00000000-0005-0000-0000-0000D00E0000}"/>
    <cellStyle name="20 % - Aksentti4 5_DataIX" xfId="30051" xr:uid="{00000000-0005-0000-0000-0000D10E0000}"/>
    <cellStyle name="20 % - Aksentti4 6" xfId="1258" xr:uid="{00000000-0005-0000-0000-0000D20E0000}"/>
    <cellStyle name="20 % - Aksentti4 6 10" xfId="1259" xr:uid="{00000000-0005-0000-0000-0000D30E0000}"/>
    <cellStyle name="20 % - Aksentti4 6 10 2" xfId="6578" xr:uid="{00000000-0005-0000-0000-0000D40E0000}"/>
    <cellStyle name="20 % - Aksentti4 6 10 3" xfId="14783" xr:uid="{00000000-0005-0000-0000-0000D50E0000}"/>
    <cellStyle name="20 % - Aksentti4 6 10_DataIX" xfId="30066" xr:uid="{00000000-0005-0000-0000-0000D60E0000}"/>
    <cellStyle name="20 % - Aksentti4 6 11" xfId="6577" xr:uid="{00000000-0005-0000-0000-0000D70E0000}"/>
    <cellStyle name="20 % - Aksentti4 6 12" xfId="14782" xr:uid="{00000000-0005-0000-0000-0000D80E0000}"/>
    <cellStyle name="20 % - Aksentti4 6 2" xfId="1260" xr:uid="{00000000-0005-0000-0000-0000D90E0000}"/>
    <cellStyle name="20 % - Aksentti4 6 2 2" xfId="1261" xr:uid="{00000000-0005-0000-0000-0000DA0E0000}"/>
    <cellStyle name="20 % - Aksentti4 6 2 2 2" xfId="1262" xr:uid="{00000000-0005-0000-0000-0000DB0E0000}"/>
    <cellStyle name="20 % - Aksentti4 6 2 2 2 2" xfId="6581" xr:uid="{00000000-0005-0000-0000-0000DC0E0000}"/>
    <cellStyle name="20 % - Aksentti4 6 2 2 2 3" xfId="14786" xr:uid="{00000000-0005-0000-0000-0000DD0E0000}"/>
    <cellStyle name="20 % - Aksentti4 6 2 2 2_DataIX" xfId="30069" xr:uid="{00000000-0005-0000-0000-0000DE0E0000}"/>
    <cellStyle name="20 % - Aksentti4 6 2 2 3" xfId="6580" xr:uid="{00000000-0005-0000-0000-0000DF0E0000}"/>
    <cellStyle name="20 % - Aksentti4 6 2 2 4" xfId="14785" xr:uid="{00000000-0005-0000-0000-0000E00E0000}"/>
    <cellStyle name="20 % - Aksentti4 6 2 2_DataIX" xfId="30068" xr:uid="{00000000-0005-0000-0000-0000E10E0000}"/>
    <cellStyle name="20 % - Aksentti4 6 2 3" xfId="1263" xr:uid="{00000000-0005-0000-0000-0000E20E0000}"/>
    <cellStyle name="20 % - Aksentti4 6 2 3 2" xfId="6582" xr:uid="{00000000-0005-0000-0000-0000E30E0000}"/>
    <cellStyle name="20 % - Aksentti4 6 2 3 3" xfId="14787" xr:uid="{00000000-0005-0000-0000-0000E40E0000}"/>
    <cellStyle name="20 % - Aksentti4 6 2 3_DataIX" xfId="30070" xr:uid="{00000000-0005-0000-0000-0000E50E0000}"/>
    <cellStyle name="20 % - Aksentti4 6 2 4" xfId="6579" xr:uid="{00000000-0005-0000-0000-0000E60E0000}"/>
    <cellStyle name="20 % - Aksentti4 6 2 5" xfId="14784" xr:uid="{00000000-0005-0000-0000-0000E70E0000}"/>
    <cellStyle name="20 % - Aksentti4 6 2_DataIX" xfId="30067" xr:uid="{00000000-0005-0000-0000-0000E80E0000}"/>
    <cellStyle name="20 % - Aksentti4 6 3" xfId="1264" xr:uid="{00000000-0005-0000-0000-0000E90E0000}"/>
    <cellStyle name="20 % - Aksentti4 6 3 2" xfId="1265" xr:uid="{00000000-0005-0000-0000-0000EA0E0000}"/>
    <cellStyle name="20 % - Aksentti4 6 3 2 2" xfId="6584" xr:uid="{00000000-0005-0000-0000-0000EB0E0000}"/>
    <cellStyle name="20 % - Aksentti4 6 3 2 3" xfId="14789" xr:uid="{00000000-0005-0000-0000-0000EC0E0000}"/>
    <cellStyle name="20 % - Aksentti4 6 3 2_DataIX" xfId="30072" xr:uid="{00000000-0005-0000-0000-0000ED0E0000}"/>
    <cellStyle name="20 % - Aksentti4 6 3 3" xfId="6583" xr:uid="{00000000-0005-0000-0000-0000EE0E0000}"/>
    <cellStyle name="20 % - Aksentti4 6 3 4" xfId="14788" xr:uid="{00000000-0005-0000-0000-0000EF0E0000}"/>
    <cellStyle name="20 % - Aksentti4 6 3_DataIX" xfId="30071" xr:uid="{00000000-0005-0000-0000-0000F00E0000}"/>
    <cellStyle name="20 % - Aksentti4 6 4" xfId="1266" xr:uid="{00000000-0005-0000-0000-0000F10E0000}"/>
    <cellStyle name="20 % - Aksentti4 6 4 2" xfId="6585" xr:uid="{00000000-0005-0000-0000-0000F20E0000}"/>
    <cellStyle name="20 % - Aksentti4 6 4 3" xfId="14790" xr:uid="{00000000-0005-0000-0000-0000F30E0000}"/>
    <cellStyle name="20 % - Aksentti4 6 4_DataIX" xfId="30073" xr:uid="{00000000-0005-0000-0000-0000F40E0000}"/>
    <cellStyle name="20 % - Aksentti4 6 5" xfId="1267" xr:uid="{00000000-0005-0000-0000-0000F50E0000}"/>
    <cellStyle name="20 % - Aksentti4 6 5 2" xfId="6586" xr:uid="{00000000-0005-0000-0000-0000F60E0000}"/>
    <cellStyle name="20 % - Aksentti4 6 5 3" xfId="14791" xr:uid="{00000000-0005-0000-0000-0000F70E0000}"/>
    <cellStyle name="20 % - Aksentti4 6 5_DataIX" xfId="30074" xr:uid="{00000000-0005-0000-0000-0000F80E0000}"/>
    <cellStyle name="20 % - Aksentti4 6 6" xfId="1268" xr:uid="{00000000-0005-0000-0000-0000F90E0000}"/>
    <cellStyle name="20 % - Aksentti4 6 6 2" xfId="6587" xr:uid="{00000000-0005-0000-0000-0000FA0E0000}"/>
    <cellStyle name="20 % - Aksentti4 6 6 3" xfId="14792" xr:uid="{00000000-0005-0000-0000-0000FB0E0000}"/>
    <cellStyle name="20 % - Aksentti4 6 6_DataIX" xfId="30075" xr:uid="{00000000-0005-0000-0000-0000FC0E0000}"/>
    <cellStyle name="20 % - Aksentti4 6 7" xfId="1269" xr:uid="{00000000-0005-0000-0000-0000FD0E0000}"/>
    <cellStyle name="20 % - Aksentti4 6 7 2" xfId="6588" xr:uid="{00000000-0005-0000-0000-0000FE0E0000}"/>
    <cellStyle name="20 % - Aksentti4 6 7 3" xfId="14793" xr:uid="{00000000-0005-0000-0000-0000FF0E0000}"/>
    <cellStyle name="20 % - Aksentti4 6 7_DataIX" xfId="30076" xr:uid="{00000000-0005-0000-0000-0000000F0000}"/>
    <cellStyle name="20 % - Aksentti4 6 8" xfId="1270" xr:uid="{00000000-0005-0000-0000-0000010F0000}"/>
    <cellStyle name="20 % - Aksentti4 6 8 2" xfId="6589" xr:uid="{00000000-0005-0000-0000-0000020F0000}"/>
    <cellStyle name="20 % - Aksentti4 6 8 3" xfId="14794" xr:uid="{00000000-0005-0000-0000-0000030F0000}"/>
    <cellStyle name="20 % - Aksentti4 6 8_DataIX" xfId="30077" xr:uid="{00000000-0005-0000-0000-0000040F0000}"/>
    <cellStyle name="20 % - Aksentti4 6 9" xfId="1271" xr:uid="{00000000-0005-0000-0000-0000050F0000}"/>
    <cellStyle name="20 % - Aksentti4 6 9 2" xfId="6590" xr:uid="{00000000-0005-0000-0000-0000060F0000}"/>
    <cellStyle name="20 % - Aksentti4 6 9 3" xfId="14795" xr:uid="{00000000-0005-0000-0000-0000070F0000}"/>
    <cellStyle name="20 % - Aksentti4 6 9_DataIX" xfId="30078" xr:uid="{00000000-0005-0000-0000-0000080F0000}"/>
    <cellStyle name="20 % - Aksentti4 6_DataIX" xfId="30065" xr:uid="{00000000-0005-0000-0000-0000090F0000}"/>
    <cellStyle name="20 % - Aksentti4 7" xfId="1272" xr:uid="{00000000-0005-0000-0000-00000A0F0000}"/>
    <cellStyle name="20 % - Aksentti4 7 10" xfId="1273" xr:uid="{00000000-0005-0000-0000-00000B0F0000}"/>
    <cellStyle name="20 % - Aksentti4 7 10 2" xfId="6592" xr:uid="{00000000-0005-0000-0000-00000C0F0000}"/>
    <cellStyle name="20 % - Aksentti4 7 10 3" xfId="14797" xr:uid="{00000000-0005-0000-0000-00000D0F0000}"/>
    <cellStyle name="20 % - Aksentti4 7 10_DataIX" xfId="30080" xr:uid="{00000000-0005-0000-0000-00000E0F0000}"/>
    <cellStyle name="20 % - Aksentti4 7 11" xfId="6591" xr:uid="{00000000-0005-0000-0000-00000F0F0000}"/>
    <cellStyle name="20 % - Aksentti4 7 12" xfId="14796" xr:uid="{00000000-0005-0000-0000-0000100F0000}"/>
    <cellStyle name="20 % - Aksentti4 7 2" xfId="1274" xr:uid="{00000000-0005-0000-0000-0000110F0000}"/>
    <cellStyle name="20 % - Aksentti4 7 2 2" xfId="1275" xr:uid="{00000000-0005-0000-0000-0000120F0000}"/>
    <cellStyle name="20 % - Aksentti4 7 2 2 2" xfId="1276" xr:uid="{00000000-0005-0000-0000-0000130F0000}"/>
    <cellStyle name="20 % - Aksentti4 7 2 2 2 2" xfId="6595" xr:uid="{00000000-0005-0000-0000-0000140F0000}"/>
    <cellStyle name="20 % - Aksentti4 7 2 2 2 3" xfId="14800" xr:uid="{00000000-0005-0000-0000-0000150F0000}"/>
    <cellStyle name="20 % - Aksentti4 7 2 2 2_DataIX" xfId="30083" xr:uid="{00000000-0005-0000-0000-0000160F0000}"/>
    <cellStyle name="20 % - Aksentti4 7 2 2 3" xfId="6594" xr:uid="{00000000-0005-0000-0000-0000170F0000}"/>
    <cellStyle name="20 % - Aksentti4 7 2 2 4" xfId="14799" xr:uid="{00000000-0005-0000-0000-0000180F0000}"/>
    <cellStyle name="20 % - Aksentti4 7 2 2_DataIX" xfId="30082" xr:uid="{00000000-0005-0000-0000-0000190F0000}"/>
    <cellStyle name="20 % - Aksentti4 7 2 3" xfId="1277" xr:uid="{00000000-0005-0000-0000-00001A0F0000}"/>
    <cellStyle name="20 % - Aksentti4 7 2 3 2" xfId="6596" xr:uid="{00000000-0005-0000-0000-00001B0F0000}"/>
    <cellStyle name="20 % - Aksentti4 7 2 3 3" xfId="14801" xr:uid="{00000000-0005-0000-0000-00001C0F0000}"/>
    <cellStyle name="20 % - Aksentti4 7 2 3_DataIX" xfId="30084" xr:uid="{00000000-0005-0000-0000-00001D0F0000}"/>
    <cellStyle name="20 % - Aksentti4 7 2 4" xfId="6593" xr:uid="{00000000-0005-0000-0000-00001E0F0000}"/>
    <cellStyle name="20 % - Aksentti4 7 2 5" xfId="14798" xr:uid="{00000000-0005-0000-0000-00001F0F0000}"/>
    <cellStyle name="20 % - Aksentti4 7 2_DataIX" xfId="30081" xr:uid="{00000000-0005-0000-0000-0000200F0000}"/>
    <cellStyle name="20 % - Aksentti4 7 3" xfId="1278" xr:uid="{00000000-0005-0000-0000-0000210F0000}"/>
    <cellStyle name="20 % - Aksentti4 7 3 2" xfId="1279" xr:uid="{00000000-0005-0000-0000-0000220F0000}"/>
    <cellStyle name="20 % - Aksentti4 7 3 2 2" xfId="6598" xr:uid="{00000000-0005-0000-0000-0000230F0000}"/>
    <cellStyle name="20 % - Aksentti4 7 3 2 3" xfId="14803" xr:uid="{00000000-0005-0000-0000-0000240F0000}"/>
    <cellStyle name="20 % - Aksentti4 7 3 2_DataIX" xfId="30086" xr:uid="{00000000-0005-0000-0000-0000250F0000}"/>
    <cellStyle name="20 % - Aksentti4 7 3 3" xfId="6597" xr:uid="{00000000-0005-0000-0000-0000260F0000}"/>
    <cellStyle name="20 % - Aksentti4 7 3 4" xfId="14802" xr:uid="{00000000-0005-0000-0000-0000270F0000}"/>
    <cellStyle name="20 % - Aksentti4 7 3_DataIX" xfId="30085" xr:uid="{00000000-0005-0000-0000-0000280F0000}"/>
    <cellStyle name="20 % - Aksentti4 7 4" xfId="1280" xr:uid="{00000000-0005-0000-0000-0000290F0000}"/>
    <cellStyle name="20 % - Aksentti4 7 4 2" xfId="6599" xr:uid="{00000000-0005-0000-0000-00002A0F0000}"/>
    <cellStyle name="20 % - Aksentti4 7 4 3" xfId="14804" xr:uid="{00000000-0005-0000-0000-00002B0F0000}"/>
    <cellStyle name="20 % - Aksentti4 7 4_DataIX" xfId="30087" xr:uid="{00000000-0005-0000-0000-00002C0F0000}"/>
    <cellStyle name="20 % - Aksentti4 7 5" xfId="1281" xr:uid="{00000000-0005-0000-0000-00002D0F0000}"/>
    <cellStyle name="20 % - Aksentti4 7 5 2" xfId="6600" xr:uid="{00000000-0005-0000-0000-00002E0F0000}"/>
    <cellStyle name="20 % - Aksentti4 7 5 3" xfId="14805" xr:uid="{00000000-0005-0000-0000-00002F0F0000}"/>
    <cellStyle name="20 % - Aksentti4 7 5_DataIX" xfId="30088" xr:uid="{00000000-0005-0000-0000-0000300F0000}"/>
    <cellStyle name="20 % - Aksentti4 7 6" xfId="1282" xr:uid="{00000000-0005-0000-0000-0000310F0000}"/>
    <cellStyle name="20 % - Aksentti4 7 6 2" xfId="6601" xr:uid="{00000000-0005-0000-0000-0000320F0000}"/>
    <cellStyle name="20 % - Aksentti4 7 6 3" xfId="14806" xr:uid="{00000000-0005-0000-0000-0000330F0000}"/>
    <cellStyle name="20 % - Aksentti4 7 6_DataIX" xfId="30089" xr:uid="{00000000-0005-0000-0000-0000340F0000}"/>
    <cellStyle name="20 % - Aksentti4 7 7" xfId="1283" xr:uid="{00000000-0005-0000-0000-0000350F0000}"/>
    <cellStyle name="20 % - Aksentti4 7 7 2" xfId="6602" xr:uid="{00000000-0005-0000-0000-0000360F0000}"/>
    <cellStyle name="20 % - Aksentti4 7 7 3" xfId="14807" xr:uid="{00000000-0005-0000-0000-0000370F0000}"/>
    <cellStyle name="20 % - Aksentti4 7 7_DataIX" xfId="30090" xr:uid="{00000000-0005-0000-0000-0000380F0000}"/>
    <cellStyle name="20 % - Aksentti4 7 8" xfId="1284" xr:uid="{00000000-0005-0000-0000-0000390F0000}"/>
    <cellStyle name="20 % - Aksentti4 7 8 2" xfId="6603" xr:uid="{00000000-0005-0000-0000-00003A0F0000}"/>
    <cellStyle name="20 % - Aksentti4 7 8 3" xfId="14808" xr:uid="{00000000-0005-0000-0000-00003B0F0000}"/>
    <cellStyle name="20 % - Aksentti4 7 8_DataIX" xfId="30091" xr:uid="{00000000-0005-0000-0000-00003C0F0000}"/>
    <cellStyle name="20 % - Aksentti4 7 9" xfId="1285" xr:uid="{00000000-0005-0000-0000-00003D0F0000}"/>
    <cellStyle name="20 % - Aksentti4 7 9 2" xfId="6604" xr:uid="{00000000-0005-0000-0000-00003E0F0000}"/>
    <cellStyle name="20 % - Aksentti4 7 9 3" xfId="14809" xr:uid="{00000000-0005-0000-0000-00003F0F0000}"/>
    <cellStyle name="20 % - Aksentti4 7 9_DataIX" xfId="30092" xr:uid="{00000000-0005-0000-0000-0000400F0000}"/>
    <cellStyle name="20 % - Aksentti4 7_DataIX" xfId="30079" xr:uid="{00000000-0005-0000-0000-0000410F0000}"/>
    <cellStyle name="20 % - Aksentti4 8" xfId="1286" xr:uid="{00000000-0005-0000-0000-0000420F0000}"/>
    <cellStyle name="20 % - Aksentti4 8 10" xfId="1287" xr:uid="{00000000-0005-0000-0000-0000430F0000}"/>
    <cellStyle name="20 % - Aksentti4 8 10 2" xfId="6606" xr:uid="{00000000-0005-0000-0000-0000440F0000}"/>
    <cellStyle name="20 % - Aksentti4 8 10 3" xfId="14811" xr:uid="{00000000-0005-0000-0000-0000450F0000}"/>
    <cellStyle name="20 % - Aksentti4 8 10_DataIX" xfId="30094" xr:uid="{00000000-0005-0000-0000-0000460F0000}"/>
    <cellStyle name="20 % - Aksentti4 8 11" xfId="6605" xr:uid="{00000000-0005-0000-0000-0000470F0000}"/>
    <cellStyle name="20 % - Aksentti4 8 12" xfId="14810" xr:uid="{00000000-0005-0000-0000-0000480F0000}"/>
    <cellStyle name="20 % - Aksentti4 8 2" xfId="1288" xr:uid="{00000000-0005-0000-0000-0000490F0000}"/>
    <cellStyle name="20 % - Aksentti4 8 2 2" xfId="1289" xr:uid="{00000000-0005-0000-0000-00004A0F0000}"/>
    <cellStyle name="20 % - Aksentti4 8 2 2 2" xfId="1290" xr:uid="{00000000-0005-0000-0000-00004B0F0000}"/>
    <cellStyle name="20 % - Aksentti4 8 2 2 2 2" xfId="6609" xr:uid="{00000000-0005-0000-0000-00004C0F0000}"/>
    <cellStyle name="20 % - Aksentti4 8 2 2 2 3" xfId="14814" xr:uid="{00000000-0005-0000-0000-00004D0F0000}"/>
    <cellStyle name="20 % - Aksentti4 8 2 2 2_DataIX" xfId="30097" xr:uid="{00000000-0005-0000-0000-00004E0F0000}"/>
    <cellStyle name="20 % - Aksentti4 8 2 2 3" xfId="6608" xr:uid="{00000000-0005-0000-0000-00004F0F0000}"/>
    <cellStyle name="20 % - Aksentti4 8 2 2 4" xfId="14813" xr:uid="{00000000-0005-0000-0000-0000500F0000}"/>
    <cellStyle name="20 % - Aksentti4 8 2 2_DataIX" xfId="30096" xr:uid="{00000000-0005-0000-0000-0000510F0000}"/>
    <cellStyle name="20 % - Aksentti4 8 2 3" xfId="1291" xr:uid="{00000000-0005-0000-0000-0000520F0000}"/>
    <cellStyle name="20 % - Aksentti4 8 2 3 2" xfId="6610" xr:uid="{00000000-0005-0000-0000-0000530F0000}"/>
    <cellStyle name="20 % - Aksentti4 8 2 3 3" xfId="14815" xr:uid="{00000000-0005-0000-0000-0000540F0000}"/>
    <cellStyle name="20 % - Aksentti4 8 2 3_DataIX" xfId="30098" xr:uid="{00000000-0005-0000-0000-0000550F0000}"/>
    <cellStyle name="20 % - Aksentti4 8 2 4" xfId="6607" xr:uid="{00000000-0005-0000-0000-0000560F0000}"/>
    <cellStyle name="20 % - Aksentti4 8 2 5" xfId="14812" xr:uid="{00000000-0005-0000-0000-0000570F0000}"/>
    <cellStyle name="20 % - Aksentti4 8 2_DataIX" xfId="30095" xr:uid="{00000000-0005-0000-0000-0000580F0000}"/>
    <cellStyle name="20 % - Aksentti4 8 3" xfId="1292" xr:uid="{00000000-0005-0000-0000-0000590F0000}"/>
    <cellStyle name="20 % - Aksentti4 8 3 2" xfId="1293" xr:uid="{00000000-0005-0000-0000-00005A0F0000}"/>
    <cellStyle name="20 % - Aksentti4 8 3 2 2" xfId="6612" xr:uid="{00000000-0005-0000-0000-00005B0F0000}"/>
    <cellStyle name="20 % - Aksentti4 8 3 2 3" xfId="14817" xr:uid="{00000000-0005-0000-0000-00005C0F0000}"/>
    <cellStyle name="20 % - Aksentti4 8 3 2_DataIX" xfId="30100" xr:uid="{00000000-0005-0000-0000-00005D0F0000}"/>
    <cellStyle name="20 % - Aksentti4 8 3 3" xfId="6611" xr:uid="{00000000-0005-0000-0000-00005E0F0000}"/>
    <cellStyle name="20 % - Aksentti4 8 3 4" xfId="14816" xr:uid="{00000000-0005-0000-0000-00005F0F0000}"/>
    <cellStyle name="20 % - Aksentti4 8 3_DataIX" xfId="30099" xr:uid="{00000000-0005-0000-0000-0000600F0000}"/>
    <cellStyle name="20 % - Aksentti4 8 4" xfId="1294" xr:uid="{00000000-0005-0000-0000-0000610F0000}"/>
    <cellStyle name="20 % - Aksentti4 8 4 2" xfId="6613" xr:uid="{00000000-0005-0000-0000-0000620F0000}"/>
    <cellStyle name="20 % - Aksentti4 8 4 3" xfId="14818" xr:uid="{00000000-0005-0000-0000-0000630F0000}"/>
    <cellStyle name="20 % - Aksentti4 8 4_DataIX" xfId="30101" xr:uid="{00000000-0005-0000-0000-0000640F0000}"/>
    <cellStyle name="20 % - Aksentti4 8 5" xfId="1295" xr:uid="{00000000-0005-0000-0000-0000650F0000}"/>
    <cellStyle name="20 % - Aksentti4 8 5 2" xfId="6614" xr:uid="{00000000-0005-0000-0000-0000660F0000}"/>
    <cellStyle name="20 % - Aksentti4 8 5 3" xfId="14819" xr:uid="{00000000-0005-0000-0000-0000670F0000}"/>
    <cellStyle name="20 % - Aksentti4 8 5_DataIX" xfId="30102" xr:uid="{00000000-0005-0000-0000-0000680F0000}"/>
    <cellStyle name="20 % - Aksentti4 8 6" xfId="1296" xr:uid="{00000000-0005-0000-0000-0000690F0000}"/>
    <cellStyle name="20 % - Aksentti4 8 6 2" xfId="6615" xr:uid="{00000000-0005-0000-0000-00006A0F0000}"/>
    <cellStyle name="20 % - Aksentti4 8 6 3" xfId="14820" xr:uid="{00000000-0005-0000-0000-00006B0F0000}"/>
    <cellStyle name="20 % - Aksentti4 8 6_DataIX" xfId="30103" xr:uid="{00000000-0005-0000-0000-00006C0F0000}"/>
    <cellStyle name="20 % - Aksentti4 8 7" xfId="1297" xr:uid="{00000000-0005-0000-0000-00006D0F0000}"/>
    <cellStyle name="20 % - Aksentti4 8 7 2" xfId="6616" xr:uid="{00000000-0005-0000-0000-00006E0F0000}"/>
    <cellStyle name="20 % - Aksentti4 8 7 3" xfId="14821" xr:uid="{00000000-0005-0000-0000-00006F0F0000}"/>
    <cellStyle name="20 % - Aksentti4 8 7_DataIX" xfId="30104" xr:uid="{00000000-0005-0000-0000-0000700F0000}"/>
    <cellStyle name="20 % - Aksentti4 8 8" xfId="1298" xr:uid="{00000000-0005-0000-0000-0000710F0000}"/>
    <cellStyle name="20 % - Aksentti4 8 8 2" xfId="6617" xr:uid="{00000000-0005-0000-0000-0000720F0000}"/>
    <cellStyle name="20 % - Aksentti4 8 8 3" xfId="14822" xr:uid="{00000000-0005-0000-0000-0000730F0000}"/>
    <cellStyle name="20 % - Aksentti4 8 8_DataIX" xfId="30105" xr:uid="{00000000-0005-0000-0000-0000740F0000}"/>
    <cellStyle name="20 % - Aksentti4 8 9" xfId="1299" xr:uid="{00000000-0005-0000-0000-0000750F0000}"/>
    <cellStyle name="20 % - Aksentti4 8 9 2" xfId="6618" xr:uid="{00000000-0005-0000-0000-0000760F0000}"/>
    <cellStyle name="20 % - Aksentti4 8 9 3" xfId="14823" xr:uid="{00000000-0005-0000-0000-0000770F0000}"/>
    <cellStyle name="20 % - Aksentti4 8 9_DataIX" xfId="30106" xr:uid="{00000000-0005-0000-0000-0000780F0000}"/>
    <cellStyle name="20 % - Aksentti4 8_DataIX" xfId="30093" xr:uid="{00000000-0005-0000-0000-0000790F0000}"/>
    <cellStyle name="20 % - Aksentti4 9" xfId="1300" xr:uid="{00000000-0005-0000-0000-00007A0F0000}"/>
    <cellStyle name="20 % - Aksentti4 9 10" xfId="1301" xr:uid="{00000000-0005-0000-0000-00007B0F0000}"/>
    <cellStyle name="20 % - Aksentti4 9 10 2" xfId="6620" xr:uid="{00000000-0005-0000-0000-00007C0F0000}"/>
    <cellStyle name="20 % - Aksentti4 9 10 3" xfId="14825" xr:uid="{00000000-0005-0000-0000-00007D0F0000}"/>
    <cellStyle name="20 % - Aksentti4 9 10_DataIX" xfId="30108" xr:uid="{00000000-0005-0000-0000-00007E0F0000}"/>
    <cellStyle name="20 % - Aksentti4 9 11" xfId="6619" xr:uid="{00000000-0005-0000-0000-00007F0F0000}"/>
    <cellStyle name="20 % - Aksentti4 9 12" xfId="14824" xr:uid="{00000000-0005-0000-0000-0000800F0000}"/>
    <cellStyle name="20 % - Aksentti4 9 2" xfId="1302" xr:uid="{00000000-0005-0000-0000-0000810F0000}"/>
    <cellStyle name="20 % - Aksentti4 9 2 2" xfId="1303" xr:uid="{00000000-0005-0000-0000-0000820F0000}"/>
    <cellStyle name="20 % - Aksentti4 9 2 2 2" xfId="1304" xr:uid="{00000000-0005-0000-0000-0000830F0000}"/>
    <cellStyle name="20 % - Aksentti4 9 2 2 2 2" xfId="6623" xr:uid="{00000000-0005-0000-0000-0000840F0000}"/>
    <cellStyle name="20 % - Aksentti4 9 2 2 2 3" xfId="14828" xr:uid="{00000000-0005-0000-0000-0000850F0000}"/>
    <cellStyle name="20 % - Aksentti4 9 2 2 2_DataIX" xfId="30111" xr:uid="{00000000-0005-0000-0000-0000860F0000}"/>
    <cellStyle name="20 % - Aksentti4 9 2 2 3" xfId="6622" xr:uid="{00000000-0005-0000-0000-0000870F0000}"/>
    <cellStyle name="20 % - Aksentti4 9 2 2 4" xfId="14827" xr:uid="{00000000-0005-0000-0000-0000880F0000}"/>
    <cellStyle name="20 % - Aksentti4 9 2 2_DataIX" xfId="30110" xr:uid="{00000000-0005-0000-0000-0000890F0000}"/>
    <cellStyle name="20 % - Aksentti4 9 2 3" xfId="1305" xr:uid="{00000000-0005-0000-0000-00008A0F0000}"/>
    <cellStyle name="20 % - Aksentti4 9 2 3 2" xfId="6624" xr:uid="{00000000-0005-0000-0000-00008B0F0000}"/>
    <cellStyle name="20 % - Aksentti4 9 2 3 3" xfId="14829" xr:uid="{00000000-0005-0000-0000-00008C0F0000}"/>
    <cellStyle name="20 % - Aksentti4 9 2 3_DataIX" xfId="30112" xr:uid="{00000000-0005-0000-0000-00008D0F0000}"/>
    <cellStyle name="20 % - Aksentti4 9 2 4" xfId="6621" xr:uid="{00000000-0005-0000-0000-00008E0F0000}"/>
    <cellStyle name="20 % - Aksentti4 9 2 5" xfId="14826" xr:uid="{00000000-0005-0000-0000-00008F0F0000}"/>
    <cellStyle name="20 % - Aksentti4 9 2_DataIX" xfId="30109" xr:uid="{00000000-0005-0000-0000-0000900F0000}"/>
    <cellStyle name="20 % - Aksentti4 9 3" xfId="1306" xr:uid="{00000000-0005-0000-0000-0000910F0000}"/>
    <cellStyle name="20 % - Aksentti4 9 3 2" xfId="1307" xr:uid="{00000000-0005-0000-0000-0000920F0000}"/>
    <cellStyle name="20 % - Aksentti4 9 3 2 2" xfId="6626" xr:uid="{00000000-0005-0000-0000-0000930F0000}"/>
    <cellStyle name="20 % - Aksentti4 9 3 2 3" xfId="14831" xr:uid="{00000000-0005-0000-0000-0000940F0000}"/>
    <cellStyle name="20 % - Aksentti4 9 3 2_DataIX" xfId="30114" xr:uid="{00000000-0005-0000-0000-0000950F0000}"/>
    <cellStyle name="20 % - Aksentti4 9 3 3" xfId="6625" xr:uid="{00000000-0005-0000-0000-0000960F0000}"/>
    <cellStyle name="20 % - Aksentti4 9 3 4" xfId="14830" xr:uid="{00000000-0005-0000-0000-0000970F0000}"/>
    <cellStyle name="20 % - Aksentti4 9 3_DataIX" xfId="30113" xr:uid="{00000000-0005-0000-0000-0000980F0000}"/>
    <cellStyle name="20 % - Aksentti4 9 4" xfId="1308" xr:uid="{00000000-0005-0000-0000-0000990F0000}"/>
    <cellStyle name="20 % - Aksentti4 9 4 2" xfId="6627" xr:uid="{00000000-0005-0000-0000-00009A0F0000}"/>
    <cellStyle name="20 % - Aksentti4 9 4 3" xfId="14832" xr:uid="{00000000-0005-0000-0000-00009B0F0000}"/>
    <cellStyle name="20 % - Aksentti4 9 4_DataIX" xfId="30115" xr:uid="{00000000-0005-0000-0000-00009C0F0000}"/>
    <cellStyle name="20 % - Aksentti4 9 5" xfId="1309" xr:uid="{00000000-0005-0000-0000-00009D0F0000}"/>
    <cellStyle name="20 % - Aksentti4 9 5 2" xfId="6628" xr:uid="{00000000-0005-0000-0000-00009E0F0000}"/>
    <cellStyle name="20 % - Aksentti4 9 5 3" xfId="14833" xr:uid="{00000000-0005-0000-0000-00009F0F0000}"/>
    <cellStyle name="20 % - Aksentti4 9 5_DataIX" xfId="30116" xr:uid="{00000000-0005-0000-0000-0000A00F0000}"/>
    <cellStyle name="20 % - Aksentti4 9 6" xfId="1310" xr:uid="{00000000-0005-0000-0000-0000A10F0000}"/>
    <cellStyle name="20 % - Aksentti4 9 6 2" xfId="6629" xr:uid="{00000000-0005-0000-0000-0000A20F0000}"/>
    <cellStyle name="20 % - Aksentti4 9 6 3" xfId="14834" xr:uid="{00000000-0005-0000-0000-0000A30F0000}"/>
    <cellStyle name="20 % - Aksentti4 9 6_DataIX" xfId="30117" xr:uid="{00000000-0005-0000-0000-0000A40F0000}"/>
    <cellStyle name="20 % - Aksentti4 9 7" xfId="1311" xr:uid="{00000000-0005-0000-0000-0000A50F0000}"/>
    <cellStyle name="20 % - Aksentti4 9 7 2" xfId="6630" xr:uid="{00000000-0005-0000-0000-0000A60F0000}"/>
    <cellStyle name="20 % - Aksentti4 9 7 3" xfId="14835" xr:uid="{00000000-0005-0000-0000-0000A70F0000}"/>
    <cellStyle name="20 % - Aksentti4 9 7_DataIX" xfId="30118" xr:uid="{00000000-0005-0000-0000-0000A80F0000}"/>
    <cellStyle name="20 % - Aksentti4 9 8" xfId="1312" xr:uid="{00000000-0005-0000-0000-0000A90F0000}"/>
    <cellStyle name="20 % - Aksentti4 9 8 2" xfId="6631" xr:uid="{00000000-0005-0000-0000-0000AA0F0000}"/>
    <cellStyle name="20 % - Aksentti4 9 8 3" xfId="14836" xr:uid="{00000000-0005-0000-0000-0000AB0F0000}"/>
    <cellStyle name="20 % - Aksentti4 9 8_DataIX" xfId="30119" xr:uid="{00000000-0005-0000-0000-0000AC0F0000}"/>
    <cellStyle name="20 % - Aksentti4 9 9" xfId="1313" xr:uid="{00000000-0005-0000-0000-0000AD0F0000}"/>
    <cellStyle name="20 % - Aksentti4 9 9 2" xfId="6632" xr:uid="{00000000-0005-0000-0000-0000AE0F0000}"/>
    <cellStyle name="20 % - Aksentti4 9 9 3" xfId="14837" xr:uid="{00000000-0005-0000-0000-0000AF0F0000}"/>
    <cellStyle name="20 % - Aksentti4 9 9_DataIX" xfId="30120" xr:uid="{00000000-0005-0000-0000-0000B00F0000}"/>
    <cellStyle name="20 % - Aksentti4 9_DataIX" xfId="30107" xr:uid="{00000000-0005-0000-0000-0000B10F0000}"/>
    <cellStyle name="20 % - Aksentti4_##KansantalKehitys" xfId="5409" xr:uid="{00000000-0005-0000-0000-0000B20F0000}"/>
    <cellStyle name="20 % - Aksentti5" xfId="332" xr:uid="{00000000-0005-0000-0000-0000B30F0000}"/>
    <cellStyle name="20 % - Aksentti5 10" xfId="1314" xr:uid="{00000000-0005-0000-0000-0000B40F0000}"/>
    <cellStyle name="20 % - Aksentti5 10 10" xfId="1315" xr:uid="{00000000-0005-0000-0000-0000B50F0000}"/>
    <cellStyle name="20 % - Aksentti5 10 10 2" xfId="6634" xr:uid="{00000000-0005-0000-0000-0000B60F0000}"/>
    <cellStyle name="20 % - Aksentti5 10 10 3" xfId="14839" xr:uid="{00000000-0005-0000-0000-0000B70F0000}"/>
    <cellStyle name="20 % - Aksentti5 10 10_DataIX" xfId="30122" xr:uid="{00000000-0005-0000-0000-0000B80F0000}"/>
    <cellStyle name="20 % - Aksentti5 10 11" xfId="6633" xr:uid="{00000000-0005-0000-0000-0000B90F0000}"/>
    <cellStyle name="20 % - Aksentti5 10 12" xfId="14838" xr:uid="{00000000-0005-0000-0000-0000BA0F0000}"/>
    <cellStyle name="20 % - Aksentti5 10 2" xfId="1316" xr:uid="{00000000-0005-0000-0000-0000BB0F0000}"/>
    <cellStyle name="20 % - Aksentti5 10 2 2" xfId="1317" xr:uid="{00000000-0005-0000-0000-0000BC0F0000}"/>
    <cellStyle name="20 % - Aksentti5 10 2 2 2" xfId="1318" xr:uid="{00000000-0005-0000-0000-0000BD0F0000}"/>
    <cellStyle name="20 % - Aksentti5 10 2 2 2 2" xfId="6637" xr:uid="{00000000-0005-0000-0000-0000BE0F0000}"/>
    <cellStyle name="20 % - Aksentti5 10 2 2 2 3" xfId="14842" xr:uid="{00000000-0005-0000-0000-0000BF0F0000}"/>
    <cellStyle name="20 % - Aksentti5 10 2 2 2_DataIX" xfId="30125" xr:uid="{00000000-0005-0000-0000-0000C00F0000}"/>
    <cellStyle name="20 % - Aksentti5 10 2 2 3" xfId="6636" xr:uid="{00000000-0005-0000-0000-0000C10F0000}"/>
    <cellStyle name="20 % - Aksentti5 10 2 2 4" xfId="14841" xr:uid="{00000000-0005-0000-0000-0000C20F0000}"/>
    <cellStyle name="20 % - Aksentti5 10 2 2_DataIX" xfId="30124" xr:uid="{00000000-0005-0000-0000-0000C30F0000}"/>
    <cellStyle name="20 % - Aksentti5 10 2 3" xfId="1319" xr:uid="{00000000-0005-0000-0000-0000C40F0000}"/>
    <cellStyle name="20 % - Aksentti5 10 2 3 2" xfId="6638" xr:uid="{00000000-0005-0000-0000-0000C50F0000}"/>
    <cellStyle name="20 % - Aksentti5 10 2 3 3" xfId="14843" xr:uid="{00000000-0005-0000-0000-0000C60F0000}"/>
    <cellStyle name="20 % - Aksentti5 10 2 3_DataIX" xfId="30126" xr:uid="{00000000-0005-0000-0000-0000C70F0000}"/>
    <cellStyle name="20 % - Aksentti5 10 2 4" xfId="6635" xr:uid="{00000000-0005-0000-0000-0000C80F0000}"/>
    <cellStyle name="20 % - Aksentti5 10 2 5" xfId="14840" xr:uid="{00000000-0005-0000-0000-0000C90F0000}"/>
    <cellStyle name="20 % - Aksentti5 10 2_DataIX" xfId="30123" xr:uid="{00000000-0005-0000-0000-0000CA0F0000}"/>
    <cellStyle name="20 % - Aksentti5 10 3" xfId="1320" xr:uid="{00000000-0005-0000-0000-0000CB0F0000}"/>
    <cellStyle name="20 % - Aksentti5 10 3 2" xfId="1321" xr:uid="{00000000-0005-0000-0000-0000CC0F0000}"/>
    <cellStyle name="20 % - Aksentti5 10 3 2 2" xfId="6640" xr:uid="{00000000-0005-0000-0000-0000CD0F0000}"/>
    <cellStyle name="20 % - Aksentti5 10 3 2 3" xfId="14845" xr:uid="{00000000-0005-0000-0000-0000CE0F0000}"/>
    <cellStyle name="20 % - Aksentti5 10 3 2_DataIX" xfId="30128" xr:uid="{00000000-0005-0000-0000-0000CF0F0000}"/>
    <cellStyle name="20 % - Aksentti5 10 3 3" xfId="6639" xr:uid="{00000000-0005-0000-0000-0000D00F0000}"/>
    <cellStyle name="20 % - Aksentti5 10 3 4" xfId="14844" xr:uid="{00000000-0005-0000-0000-0000D10F0000}"/>
    <cellStyle name="20 % - Aksentti5 10 3_DataIX" xfId="30127" xr:uid="{00000000-0005-0000-0000-0000D20F0000}"/>
    <cellStyle name="20 % - Aksentti5 10 4" xfId="1322" xr:uid="{00000000-0005-0000-0000-0000D30F0000}"/>
    <cellStyle name="20 % - Aksentti5 10 4 2" xfId="6641" xr:uid="{00000000-0005-0000-0000-0000D40F0000}"/>
    <cellStyle name="20 % - Aksentti5 10 4 3" xfId="14846" xr:uid="{00000000-0005-0000-0000-0000D50F0000}"/>
    <cellStyle name="20 % - Aksentti5 10 4_DataIX" xfId="30129" xr:uid="{00000000-0005-0000-0000-0000D60F0000}"/>
    <cellStyle name="20 % - Aksentti5 10 5" xfId="1323" xr:uid="{00000000-0005-0000-0000-0000D70F0000}"/>
    <cellStyle name="20 % - Aksentti5 10 5 2" xfId="6642" xr:uid="{00000000-0005-0000-0000-0000D80F0000}"/>
    <cellStyle name="20 % - Aksentti5 10 5 3" xfId="14847" xr:uid="{00000000-0005-0000-0000-0000D90F0000}"/>
    <cellStyle name="20 % - Aksentti5 10 5_DataIX" xfId="30130" xr:uid="{00000000-0005-0000-0000-0000DA0F0000}"/>
    <cellStyle name="20 % - Aksentti5 10 6" xfId="1324" xr:uid="{00000000-0005-0000-0000-0000DB0F0000}"/>
    <cellStyle name="20 % - Aksentti5 10 6 2" xfId="6643" xr:uid="{00000000-0005-0000-0000-0000DC0F0000}"/>
    <cellStyle name="20 % - Aksentti5 10 6 3" xfId="14848" xr:uid="{00000000-0005-0000-0000-0000DD0F0000}"/>
    <cellStyle name="20 % - Aksentti5 10 6_DataIX" xfId="30131" xr:uid="{00000000-0005-0000-0000-0000DE0F0000}"/>
    <cellStyle name="20 % - Aksentti5 10 7" xfId="1325" xr:uid="{00000000-0005-0000-0000-0000DF0F0000}"/>
    <cellStyle name="20 % - Aksentti5 10 7 2" xfId="6644" xr:uid="{00000000-0005-0000-0000-0000E00F0000}"/>
    <cellStyle name="20 % - Aksentti5 10 7 3" xfId="14849" xr:uid="{00000000-0005-0000-0000-0000E10F0000}"/>
    <cellStyle name="20 % - Aksentti5 10 7_DataIX" xfId="30132" xr:uid="{00000000-0005-0000-0000-0000E20F0000}"/>
    <cellStyle name="20 % - Aksentti5 10 8" xfId="1326" xr:uid="{00000000-0005-0000-0000-0000E30F0000}"/>
    <cellStyle name="20 % - Aksentti5 10 8 2" xfId="6645" xr:uid="{00000000-0005-0000-0000-0000E40F0000}"/>
    <cellStyle name="20 % - Aksentti5 10 8 3" xfId="14850" xr:uid="{00000000-0005-0000-0000-0000E50F0000}"/>
    <cellStyle name="20 % - Aksentti5 10 8_DataIX" xfId="30133" xr:uid="{00000000-0005-0000-0000-0000E60F0000}"/>
    <cellStyle name="20 % - Aksentti5 10 9" xfId="1327" xr:uid="{00000000-0005-0000-0000-0000E70F0000}"/>
    <cellStyle name="20 % - Aksentti5 10 9 2" xfId="6646" xr:uid="{00000000-0005-0000-0000-0000E80F0000}"/>
    <cellStyle name="20 % - Aksentti5 10 9 3" xfId="14851" xr:uid="{00000000-0005-0000-0000-0000E90F0000}"/>
    <cellStyle name="20 % - Aksentti5 10 9_DataIX" xfId="30134" xr:uid="{00000000-0005-0000-0000-0000EA0F0000}"/>
    <cellStyle name="20 % - Aksentti5 10_DataIX" xfId="30121" xr:uid="{00000000-0005-0000-0000-0000EB0F0000}"/>
    <cellStyle name="20 % - Aksentti5 11" xfId="1328" xr:uid="{00000000-0005-0000-0000-0000EC0F0000}"/>
    <cellStyle name="20 % - Aksentti5 11 10" xfId="1329" xr:uid="{00000000-0005-0000-0000-0000ED0F0000}"/>
    <cellStyle name="20 % - Aksentti5 11 10 2" xfId="6648" xr:uid="{00000000-0005-0000-0000-0000EE0F0000}"/>
    <cellStyle name="20 % - Aksentti5 11 10 3" xfId="14853" xr:uid="{00000000-0005-0000-0000-0000EF0F0000}"/>
    <cellStyle name="20 % - Aksentti5 11 10_DataIX" xfId="30136" xr:uid="{00000000-0005-0000-0000-0000F00F0000}"/>
    <cellStyle name="20 % - Aksentti5 11 11" xfId="6647" xr:uid="{00000000-0005-0000-0000-0000F10F0000}"/>
    <cellStyle name="20 % - Aksentti5 11 12" xfId="14852" xr:uid="{00000000-0005-0000-0000-0000F20F0000}"/>
    <cellStyle name="20 % - Aksentti5 11 2" xfId="1330" xr:uid="{00000000-0005-0000-0000-0000F30F0000}"/>
    <cellStyle name="20 % - Aksentti5 11 2 2" xfId="1331" xr:uid="{00000000-0005-0000-0000-0000F40F0000}"/>
    <cellStyle name="20 % - Aksentti5 11 2 2 2" xfId="1332" xr:uid="{00000000-0005-0000-0000-0000F50F0000}"/>
    <cellStyle name="20 % - Aksentti5 11 2 2 2 2" xfId="6651" xr:uid="{00000000-0005-0000-0000-0000F60F0000}"/>
    <cellStyle name="20 % - Aksentti5 11 2 2 2 3" xfId="14856" xr:uid="{00000000-0005-0000-0000-0000F70F0000}"/>
    <cellStyle name="20 % - Aksentti5 11 2 2 2_DataIX" xfId="30139" xr:uid="{00000000-0005-0000-0000-0000F80F0000}"/>
    <cellStyle name="20 % - Aksentti5 11 2 2 3" xfId="6650" xr:uid="{00000000-0005-0000-0000-0000F90F0000}"/>
    <cellStyle name="20 % - Aksentti5 11 2 2 4" xfId="14855" xr:uid="{00000000-0005-0000-0000-0000FA0F0000}"/>
    <cellStyle name="20 % - Aksentti5 11 2 2_DataIX" xfId="30138" xr:uid="{00000000-0005-0000-0000-0000FB0F0000}"/>
    <cellStyle name="20 % - Aksentti5 11 2 3" xfId="1333" xr:uid="{00000000-0005-0000-0000-0000FC0F0000}"/>
    <cellStyle name="20 % - Aksentti5 11 2 3 2" xfId="6652" xr:uid="{00000000-0005-0000-0000-0000FD0F0000}"/>
    <cellStyle name="20 % - Aksentti5 11 2 3 3" xfId="14857" xr:uid="{00000000-0005-0000-0000-0000FE0F0000}"/>
    <cellStyle name="20 % - Aksentti5 11 2 3_DataIX" xfId="30140" xr:uid="{00000000-0005-0000-0000-0000FF0F0000}"/>
    <cellStyle name="20 % - Aksentti5 11 2 4" xfId="6649" xr:uid="{00000000-0005-0000-0000-000000100000}"/>
    <cellStyle name="20 % - Aksentti5 11 2 5" xfId="14854" xr:uid="{00000000-0005-0000-0000-000001100000}"/>
    <cellStyle name="20 % - Aksentti5 11 2_DataIX" xfId="30137" xr:uid="{00000000-0005-0000-0000-000002100000}"/>
    <cellStyle name="20 % - Aksentti5 11 3" xfId="1334" xr:uid="{00000000-0005-0000-0000-000003100000}"/>
    <cellStyle name="20 % - Aksentti5 11 3 2" xfId="1335" xr:uid="{00000000-0005-0000-0000-000004100000}"/>
    <cellStyle name="20 % - Aksentti5 11 3 2 2" xfId="6654" xr:uid="{00000000-0005-0000-0000-000005100000}"/>
    <cellStyle name="20 % - Aksentti5 11 3 2 3" xfId="14859" xr:uid="{00000000-0005-0000-0000-000006100000}"/>
    <cellStyle name="20 % - Aksentti5 11 3 2_DataIX" xfId="30142" xr:uid="{00000000-0005-0000-0000-000007100000}"/>
    <cellStyle name="20 % - Aksentti5 11 3 3" xfId="6653" xr:uid="{00000000-0005-0000-0000-000008100000}"/>
    <cellStyle name="20 % - Aksentti5 11 3 4" xfId="14858" xr:uid="{00000000-0005-0000-0000-000009100000}"/>
    <cellStyle name="20 % - Aksentti5 11 3_DataIX" xfId="30141" xr:uid="{00000000-0005-0000-0000-00000A100000}"/>
    <cellStyle name="20 % - Aksentti5 11 4" xfId="1336" xr:uid="{00000000-0005-0000-0000-00000B100000}"/>
    <cellStyle name="20 % - Aksentti5 11 4 2" xfId="6655" xr:uid="{00000000-0005-0000-0000-00000C100000}"/>
    <cellStyle name="20 % - Aksentti5 11 4 3" xfId="14860" xr:uid="{00000000-0005-0000-0000-00000D100000}"/>
    <cellStyle name="20 % - Aksentti5 11 4_DataIX" xfId="30143" xr:uid="{00000000-0005-0000-0000-00000E100000}"/>
    <cellStyle name="20 % - Aksentti5 11 5" xfId="1337" xr:uid="{00000000-0005-0000-0000-00000F100000}"/>
    <cellStyle name="20 % - Aksentti5 11 5 2" xfId="6656" xr:uid="{00000000-0005-0000-0000-000010100000}"/>
    <cellStyle name="20 % - Aksentti5 11 5 3" xfId="14861" xr:uid="{00000000-0005-0000-0000-000011100000}"/>
    <cellStyle name="20 % - Aksentti5 11 5_DataIX" xfId="30144" xr:uid="{00000000-0005-0000-0000-000012100000}"/>
    <cellStyle name="20 % - Aksentti5 11 6" xfId="1338" xr:uid="{00000000-0005-0000-0000-000013100000}"/>
    <cellStyle name="20 % - Aksentti5 11 6 2" xfId="6657" xr:uid="{00000000-0005-0000-0000-000014100000}"/>
    <cellStyle name="20 % - Aksentti5 11 6 3" xfId="14862" xr:uid="{00000000-0005-0000-0000-000015100000}"/>
    <cellStyle name="20 % - Aksentti5 11 6_DataIX" xfId="30145" xr:uid="{00000000-0005-0000-0000-000016100000}"/>
    <cellStyle name="20 % - Aksentti5 11 7" xfId="1339" xr:uid="{00000000-0005-0000-0000-000017100000}"/>
    <cellStyle name="20 % - Aksentti5 11 7 2" xfId="6658" xr:uid="{00000000-0005-0000-0000-000018100000}"/>
    <cellStyle name="20 % - Aksentti5 11 7 3" xfId="14863" xr:uid="{00000000-0005-0000-0000-000019100000}"/>
    <cellStyle name="20 % - Aksentti5 11 7_DataIX" xfId="30146" xr:uid="{00000000-0005-0000-0000-00001A100000}"/>
    <cellStyle name="20 % - Aksentti5 11 8" xfId="1340" xr:uid="{00000000-0005-0000-0000-00001B100000}"/>
    <cellStyle name="20 % - Aksentti5 11 8 2" xfId="6659" xr:uid="{00000000-0005-0000-0000-00001C100000}"/>
    <cellStyle name="20 % - Aksentti5 11 8 3" xfId="14864" xr:uid="{00000000-0005-0000-0000-00001D100000}"/>
    <cellStyle name="20 % - Aksentti5 11 8_DataIX" xfId="30147" xr:uid="{00000000-0005-0000-0000-00001E100000}"/>
    <cellStyle name="20 % - Aksentti5 11 9" xfId="1341" xr:uid="{00000000-0005-0000-0000-00001F100000}"/>
    <cellStyle name="20 % - Aksentti5 11 9 2" xfId="6660" xr:uid="{00000000-0005-0000-0000-000020100000}"/>
    <cellStyle name="20 % - Aksentti5 11 9 3" xfId="14865" xr:uid="{00000000-0005-0000-0000-000021100000}"/>
    <cellStyle name="20 % - Aksentti5 11 9_DataIX" xfId="30148" xr:uid="{00000000-0005-0000-0000-000022100000}"/>
    <cellStyle name="20 % - Aksentti5 11_DataIX" xfId="30135" xr:uid="{00000000-0005-0000-0000-000023100000}"/>
    <cellStyle name="20 % - Aksentti5 12" xfId="1342" xr:uid="{00000000-0005-0000-0000-000024100000}"/>
    <cellStyle name="20 % - Aksentti5 12 10" xfId="1343" xr:uid="{00000000-0005-0000-0000-000025100000}"/>
    <cellStyle name="20 % - Aksentti5 12 10 2" xfId="6662" xr:uid="{00000000-0005-0000-0000-000026100000}"/>
    <cellStyle name="20 % - Aksentti5 12 10 3" xfId="14867" xr:uid="{00000000-0005-0000-0000-000027100000}"/>
    <cellStyle name="20 % - Aksentti5 12 10_DataIX" xfId="30150" xr:uid="{00000000-0005-0000-0000-000028100000}"/>
    <cellStyle name="20 % - Aksentti5 12 11" xfId="6661" xr:uid="{00000000-0005-0000-0000-000029100000}"/>
    <cellStyle name="20 % - Aksentti5 12 12" xfId="14866" xr:uid="{00000000-0005-0000-0000-00002A100000}"/>
    <cellStyle name="20 % - Aksentti5 12 2" xfId="1344" xr:uid="{00000000-0005-0000-0000-00002B100000}"/>
    <cellStyle name="20 % - Aksentti5 12 2 2" xfId="1345" xr:uid="{00000000-0005-0000-0000-00002C100000}"/>
    <cellStyle name="20 % - Aksentti5 12 2 2 2" xfId="1346" xr:uid="{00000000-0005-0000-0000-00002D100000}"/>
    <cellStyle name="20 % - Aksentti5 12 2 2 2 2" xfId="6665" xr:uid="{00000000-0005-0000-0000-00002E100000}"/>
    <cellStyle name="20 % - Aksentti5 12 2 2 2 3" xfId="14870" xr:uid="{00000000-0005-0000-0000-00002F100000}"/>
    <cellStyle name="20 % - Aksentti5 12 2 2 2_DataIX" xfId="30153" xr:uid="{00000000-0005-0000-0000-000030100000}"/>
    <cellStyle name="20 % - Aksentti5 12 2 2 3" xfId="6664" xr:uid="{00000000-0005-0000-0000-000031100000}"/>
    <cellStyle name="20 % - Aksentti5 12 2 2 4" xfId="14869" xr:uid="{00000000-0005-0000-0000-000032100000}"/>
    <cellStyle name="20 % - Aksentti5 12 2 2_DataIX" xfId="30152" xr:uid="{00000000-0005-0000-0000-000033100000}"/>
    <cellStyle name="20 % - Aksentti5 12 2 3" xfId="1347" xr:uid="{00000000-0005-0000-0000-000034100000}"/>
    <cellStyle name="20 % - Aksentti5 12 2 3 2" xfId="6666" xr:uid="{00000000-0005-0000-0000-000035100000}"/>
    <cellStyle name="20 % - Aksentti5 12 2 3 3" xfId="14871" xr:uid="{00000000-0005-0000-0000-000036100000}"/>
    <cellStyle name="20 % - Aksentti5 12 2 3_DataIX" xfId="30154" xr:uid="{00000000-0005-0000-0000-000037100000}"/>
    <cellStyle name="20 % - Aksentti5 12 2 4" xfId="6663" xr:uid="{00000000-0005-0000-0000-000038100000}"/>
    <cellStyle name="20 % - Aksentti5 12 2 5" xfId="14868" xr:uid="{00000000-0005-0000-0000-000039100000}"/>
    <cellStyle name="20 % - Aksentti5 12 2_DataIX" xfId="30151" xr:uid="{00000000-0005-0000-0000-00003A100000}"/>
    <cellStyle name="20 % - Aksentti5 12 3" xfId="1348" xr:uid="{00000000-0005-0000-0000-00003B100000}"/>
    <cellStyle name="20 % - Aksentti5 12 3 2" xfId="1349" xr:uid="{00000000-0005-0000-0000-00003C100000}"/>
    <cellStyle name="20 % - Aksentti5 12 3 2 2" xfId="6668" xr:uid="{00000000-0005-0000-0000-00003D100000}"/>
    <cellStyle name="20 % - Aksentti5 12 3 2 3" xfId="14873" xr:uid="{00000000-0005-0000-0000-00003E100000}"/>
    <cellStyle name="20 % - Aksentti5 12 3 2_DataIX" xfId="30156" xr:uid="{00000000-0005-0000-0000-00003F100000}"/>
    <cellStyle name="20 % - Aksentti5 12 3 3" xfId="6667" xr:uid="{00000000-0005-0000-0000-000040100000}"/>
    <cellStyle name="20 % - Aksentti5 12 3 4" xfId="14872" xr:uid="{00000000-0005-0000-0000-000041100000}"/>
    <cellStyle name="20 % - Aksentti5 12 3_DataIX" xfId="30155" xr:uid="{00000000-0005-0000-0000-000042100000}"/>
    <cellStyle name="20 % - Aksentti5 12 4" xfId="1350" xr:uid="{00000000-0005-0000-0000-000043100000}"/>
    <cellStyle name="20 % - Aksentti5 12 4 2" xfId="6669" xr:uid="{00000000-0005-0000-0000-000044100000}"/>
    <cellStyle name="20 % - Aksentti5 12 4 3" xfId="14874" xr:uid="{00000000-0005-0000-0000-000045100000}"/>
    <cellStyle name="20 % - Aksentti5 12 4_DataIX" xfId="30157" xr:uid="{00000000-0005-0000-0000-000046100000}"/>
    <cellStyle name="20 % - Aksentti5 12 5" xfId="1351" xr:uid="{00000000-0005-0000-0000-000047100000}"/>
    <cellStyle name="20 % - Aksentti5 12 5 2" xfId="6670" xr:uid="{00000000-0005-0000-0000-000048100000}"/>
    <cellStyle name="20 % - Aksentti5 12 5 3" xfId="14875" xr:uid="{00000000-0005-0000-0000-000049100000}"/>
    <cellStyle name="20 % - Aksentti5 12 5_DataIX" xfId="30158" xr:uid="{00000000-0005-0000-0000-00004A100000}"/>
    <cellStyle name="20 % - Aksentti5 12 6" xfId="1352" xr:uid="{00000000-0005-0000-0000-00004B100000}"/>
    <cellStyle name="20 % - Aksentti5 12 6 2" xfId="6671" xr:uid="{00000000-0005-0000-0000-00004C100000}"/>
    <cellStyle name="20 % - Aksentti5 12 6 3" xfId="14876" xr:uid="{00000000-0005-0000-0000-00004D100000}"/>
    <cellStyle name="20 % - Aksentti5 12 6_DataIX" xfId="30159" xr:uid="{00000000-0005-0000-0000-00004E100000}"/>
    <cellStyle name="20 % - Aksentti5 12 7" xfId="1353" xr:uid="{00000000-0005-0000-0000-00004F100000}"/>
    <cellStyle name="20 % - Aksentti5 12 7 2" xfId="6672" xr:uid="{00000000-0005-0000-0000-000050100000}"/>
    <cellStyle name="20 % - Aksentti5 12 7 3" xfId="14877" xr:uid="{00000000-0005-0000-0000-000051100000}"/>
    <cellStyle name="20 % - Aksentti5 12 7_DataIX" xfId="30160" xr:uid="{00000000-0005-0000-0000-000052100000}"/>
    <cellStyle name="20 % - Aksentti5 12 8" xfId="1354" xr:uid="{00000000-0005-0000-0000-000053100000}"/>
    <cellStyle name="20 % - Aksentti5 12 8 2" xfId="6673" xr:uid="{00000000-0005-0000-0000-000054100000}"/>
    <cellStyle name="20 % - Aksentti5 12 8 3" xfId="14878" xr:uid="{00000000-0005-0000-0000-000055100000}"/>
    <cellStyle name="20 % - Aksentti5 12 8_DataIX" xfId="30161" xr:uid="{00000000-0005-0000-0000-000056100000}"/>
    <cellStyle name="20 % - Aksentti5 12 9" xfId="1355" xr:uid="{00000000-0005-0000-0000-000057100000}"/>
    <cellStyle name="20 % - Aksentti5 12 9 2" xfId="6674" xr:uid="{00000000-0005-0000-0000-000058100000}"/>
    <cellStyle name="20 % - Aksentti5 12 9 3" xfId="14879" xr:uid="{00000000-0005-0000-0000-000059100000}"/>
    <cellStyle name="20 % - Aksentti5 12 9_DataIX" xfId="30162" xr:uid="{00000000-0005-0000-0000-00005A100000}"/>
    <cellStyle name="20 % - Aksentti5 12_DataIX" xfId="30149" xr:uid="{00000000-0005-0000-0000-00005B100000}"/>
    <cellStyle name="20 % - Aksentti5 13" xfId="1356" xr:uid="{00000000-0005-0000-0000-00005C100000}"/>
    <cellStyle name="20 % - Aksentti5 13 10" xfId="1357" xr:uid="{00000000-0005-0000-0000-00005D100000}"/>
    <cellStyle name="20 % - Aksentti5 13 10 2" xfId="6676" xr:uid="{00000000-0005-0000-0000-00005E100000}"/>
    <cellStyle name="20 % - Aksentti5 13 10 3" xfId="14881" xr:uid="{00000000-0005-0000-0000-00005F100000}"/>
    <cellStyle name="20 % - Aksentti5 13 10_DataIX" xfId="30164" xr:uid="{00000000-0005-0000-0000-000060100000}"/>
    <cellStyle name="20 % - Aksentti5 13 11" xfId="6675" xr:uid="{00000000-0005-0000-0000-000061100000}"/>
    <cellStyle name="20 % - Aksentti5 13 12" xfId="14880" xr:uid="{00000000-0005-0000-0000-000062100000}"/>
    <cellStyle name="20 % - Aksentti5 13 2" xfId="1358" xr:uid="{00000000-0005-0000-0000-000063100000}"/>
    <cellStyle name="20 % - Aksentti5 13 2 2" xfId="1359" xr:uid="{00000000-0005-0000-0000-000064100000}"/>
    <cellStyle name="20 % - Aksentti5 13 2 2 2" xfId="6678" xr:uid="{00000000-0005-0000-0000-000065100000}"/>
    <cellStyle name="20 % - Aksentti5 13 2 2 3" xfId="14883" xr:uid="{00000000-0005-0000-0000-000066100000}"/>
    <cellStyle name="20 % - Aksentti5 13 2 2_DataIX" xfId="30166" xr:uid="{00000000-0005-0000-0000-000067100000}"/>
    <cellStyle name="20 % - Aksentti5 13 2 3" xfId="6677" xr:uid="{00000000-0005-0000-0000-000068100000}"/>
    <cellStyle name="20 % - Aksentti5 13 2 4" xfId="14882" xr:uid="{00000000-0005-0000-0000-000069100000}"/>
    <cellStyle name="20 % - Aksentti5 13 2_DataIX" xfId="30165" xr:uid="{00000000-0005-0000-0000-00006A100000}"/>
    <cellStyle name="20 % - Aksentti5 13 3" xfId="1360" xr:uid="{00000000-0005-0000-0000-00006B100000}"/>
    <cellStyle name="20 % - Aksentti5 13 3 2" xfId="6679" xr:uid="{00000000-0005-0000-0000-00006C100000}"/>
    <cellStyle name="20 % - Aksentti5 13 3 3" xfId="14884" xr:uid="{00000000-0005-0000-0000-00006D100000}"/>
    <cellStyle name="20 % - Aksentti5 13 3_DataIX" xfId="30167" xr:uid="{00000000-0005-0000-0000-00006E100000}"/>
    <cellStyle name="20 % - Aksentti5 13 4" xfId="1361" xr:uid="{00000000-0005-0000-0000-00006F100000}"/>
    <cellStyle name="20 % - Aksentti5 13 4 2" xfId="6680" xr:uid="{00000000-0005-0000-0000-000070100000}"/>
    <cellStyle name="20 % - Aksentti5 13 4 3" xfId="14885" xr:uid="{00000000-0005-0000-0000-000071100000}"/>
    <cellStyle name="20 % - Aksentti5 13 4_DataIX" xfId="30168" xr:uid="{00000000-0005-0000-0000-000072100000}"/>
    <cellStyle name="20 % - Aksentti5 13 5" xfId="1362" xr:uid="{00000000-0005-0000-0000-000073100000}"/>
    <cellStyle name="20 % - Aksentti5 13 5 2" xfId="6681" xr:uid="{00000000-0005-0000-0000-000074100000}"/>
    <cellStyle name="20 % - Aksentti5 13 5 3" xfId="14886" xr:uid="{00000000-0005-0000-0000-000075100000}"/>
    <cellStyle name="20 % - Aksentti5 13 5_DataIX" xfId="30169" xr:uid="{00000000-0005-0000-0000-000076100000}"/>
    <cellStyle name="20 % - Aksentti5 13 6" xfId="1363" xr:uid="{00000000-0005-0000-0000-000077100000}"/>
    <cellStyle name="20 % - Aksentti5 13 6 2" xfId="6682" xr:uid="{00000000-0005-0000-0000-000078100000}"/>
    <cellStyle name="20 % - Aksentti5 13 6 3" xfId="14887" xr:uid="{00000000-0005-0000-0000-000079100000}"/>
    <cellStyle name="20 % - Aksentti5 13 6_DataIX" xfId="30170" xr:uid="{00000000-0005-0000-0000-00007A100000}"/>
    <cellStyle name="20 % - Aksentti5 13 7" xfId="1364" xr:uid="{00000000-0005-0000-0000-00007B100000}"/>
    <cellStyle name="20 % - Aksentti5 13 7 2" xfId="6683" xr:uid="{00000000-0005-0000-0000-00007C100000}"/>
    <cellStyle name="20 % - Aksentti5 13 7 3" xfId="14888" xr:uid="{00000000-0005-0000-0000-00007D100000}"/>
    <cellStyle name="20 % - Aksentti5 13 7_DataIX" xfId="30171" xr:uid="{00000000-0005-0000-0000-00007E100000}"/>
    <cellStyle name="20 % - Aksentti5 13 8" xfId="1365" xr:uid="{00000000-0005-0000-0000-00007F100000}"/>
    <cellStyle name="20 % - Aksentti5 13 8 2" xfId="6684" xr:uid="{00000000-0005-0000-0000-000080100000}"/>
    <cellStyle name="20 % - Aksentti5 13 8 3" xfId="14889" xr:uid="{00000000-0005-0000-0000-000081100000}"/>
    <cellStyle name="20 % - Aksentti5 13 8_DataIX" xfId="30172" xr:uid="{00000000-0005-0000-0000-000082100000}"/>
    <cellStyle name="20 % - Aksentti5 13 9" xfId="1366" xr:uid="{00000000-0005-0000-0000-000083100000}"/>
    <cellStyle name="20 % - Aksentti5 13 9 2" xfId="6685" xr:uid="{00000000-0005-0000-0000-000084100000}"/>
    <cellStyle name="20 % - Aksentti5 13 9 3" xfId="14890" xr:uid="{00000000-0005-0000-0000-000085100000}"/>
    <cellStyle name="20 % - Aksentti5 13 9_DataIX" xfId="30173" xr:uid="{00000000-0005-0000-0000-000086100000}"/>
    <cellStyle name="20 % - Aksentti5 13_DataIX" xfId="30163" xr:uid="{00000000-0005-0000-0000-000087100000}"/>
    <cellStyle name="20 % - Aksentti5 14" xfId="1367" xr:uid="{00000000-0005-0000-0000-000088100000}"/>
    <cellStyle name="20 % - Aksentti5 14 10" xfId="1368" xr:uid="{00000000-0005-0000-0000-000089100000}"/>
    <cellStyle name="20 % - Aksentti5 14 10 2" xfId="6687" xr:uid="{00000000-0005-0000-0000-00008A100000}"/>
    <cellStyle name="20 % - Aksentti5 14 10 3" xfId="14892" xr:uid="{00000000-0005-0000-0000-00008B100000}"/>
    <cellStyle name="20 % - Aksentti5 14 10_DataIX" xfId="30175" xr:uid="{00000000-0005-0000-0000-00008C100000}"/>
    <cellStyle name="20 % - Aksentti5 14 11" xfId="6686" xr:uid="{00000000-0005-0000-0000-00008D100000}"/>
    <cellStyle name="20 % - Aksentti5 14 12" xfId="14891" xr:uid="{00000000-0005-0000-0000-00008E100000}"/>
    <cellStyle name="20 % - Aksentti5 14 2" xfId="1369" xr:uid="{00000000-0005-0000-0000-00008F100000}"/>
    <cellStyle name="20 % - Aksentti5 14 2 2" xfId="1370" xr:uid="{00000000-0005-0000-0000-000090100000}"/>
    <cellStyle name="20 % - Aksentti5 14 2 2 2" xfId="6689" xr:uid="{00000000-0005-0000-0000-000091100000}"/>
    <cellStyle name="20 % - Aksentti5 14 2 2 3" xfId="14894" xr:uid="{00000000-0005-0000-0000-000092100000}"/>
    <cellStyle name="20 % - Aksentti5 14 2 2_DataIX" xfId="30177" xr:uid="{00000000-0005-0000-0000-000093100000}"/>
    <cellStyle name="20 % - Aksentti5 14 2 3" xfId="6688" xr:uid="{00000000-0005-0000-0000-000094100000}"/>
    <cellStyle name="20 % - Aksentti5 14 2 4" xfId="14893" xr:uid="{00000000-0005-0000-0000-000095100000}"/>
    <cellStyle name="20 % - Aksentti5 14 2_DataIX" xfId="30176" xr:uid="{00000000-0005-0000-0000-000096100000}"/>
    <cellStyle name="20 % - Aksentti5 14 3" xfId="1371" xr:uid="{00000000-0005-0000-0000-000097100000}"/>
    <cellStyle name="20 % - Aksentti5 14 3 2" xfId="6690" xr:uid="{00000000-0005-0000-0000-000098100000}"/>
    <cellStyle name="20 % - Aksentti5 14 3 3" xfId="14895" xr:uid="{00000000-0005-0000-0000-000099100000}"/>
    <cellStyle name="20 % - Aksentti5 14 3_DataIX" xfId="30178" xr:uid="{00000000-0005-0000-0000-00009A100000}"/>
    <cellStyle name="20 % - Aksentti5 14 4" xfId="1372" xr:uid="{00000000-0005-0000-0000-00009B100000}"/>
    <cellStyle name="20 % - Aksentti5 14 4 2" xfId="6691" xr:uid="{00000000-0005-0000-0000-00009C100000}"/>
    <cellStyle name="20 % - Aksentti5 14 4 3" xfId="14896" xr:uid="{00000000-0005-0000-0000-00009D100000}"/>
    <cellStyle name="20 % - Aksentti5 14 4_DataIX" xfId="30179" xr:uid="{00000000-0005-0000-0000-00009E100000}"/>
    <cellStyle name="20 % - Aksentti5 14 5" xfId="1373" xr:uid="{00000000-0005-0000-0000-00009F100000}"/>
    <cellStyle name="20 % - Aksentti5 14 5 2" xfId="6692" xr:uid="{00000000-0005-0000-0000-0000A0100000}"/>
    <cellStyle name="20 % - Aksentti5 14 5 3" xfId="14897" xr:uid="{00000000-0005-0000-0000-0000A1100000}"/>
    <cellStyle name="20 % - Aksentti5 14 5_DataIX" xfId="30180" xr:uid="{00000000-0005-0000-0000-0000A2100000}"/>
    <cellStyle name="20 % - Aksentti5 14 6" xfId="1374" xr:uid="{00000000-0005-0000-0000-0000A3100000}"/>
    <cellStyle name="20 % - Aksentti5 14 6 2" xfId="6693" xr:uid="{00000000-0005-0000-0000-0000A4100000}"/>
    <cellStyle name="20 % - Aksentti5 14 6 3" xfId="14898" xr:uid="{00000000-0005-0000-0000-0000A5100000}"/>
    <cellStyle name="20 % - Aksentti5 14 6_DataIX" xfId="30181" xr:uid="{00000000-0005-0000-0000-0000A6100000}"/>
    <cellStyle name="20 % - Aksentti5 14 7" xfId="1375" xr:uid="{00000000-0005-0000-0000-0000A7100000}"/>
    <cellStyle name="20 % - Aksentti5 14 7 2" xfId="6694" xr:uid="{00000000-0005-0000-0000-0000A8100000}"/>
    <cellStyle name="20 % - Aksentti5 14 7 3" xfId="14899" xr:uid="{00000000-0005-0000-0000-0000A9100000}"/>
    <cellStyle name="20 % - Aksentti5 14 7_DataIX" xfId="30182" xr:uid="{00000000-0005-0000-0000-0000AA100000}"/>
    <cellStyle name="20 % - Aksentti5 14 8" xfId="1376" xr:uid="{00000000-0005-0000-0000-0000AB100000}"/>
    <cellStyle name="20 % - Aksentti5 14 8 2" xfId="6695" xr:uid="{00000000-0005-0000-0000-0000AC100000}"/>
    <cellStyle name="20 % - Aksentti5 14 8 3" xfId="14900" xr:uid="{00000000-0005-0000-0000-0000AD100000}"/>
    <cellStyle name="20 % - Aksentti5 14 8_DataIX" xfId="30183" xr:uid="{00000000-0005-0000-0000-0000AE100000}"/>
    <cellStyle name="20 % - Aksentti5 14 9" xfId="1377" xr:uid="{00000000-0005-0000-0000-0000AF100000}"/>
    <cellStyle name="20 % - Aksentti5 14 9 2" xfId="6696" xr:uid="{00000000-0005-0000-0000-0000B0100000}"/>
    <cellStyle name="20 % - Aksentti5 14 9 3" xfId="14901" xr:uid="{00000000-0005-0000-0000-0000B1100000}"/>
    <cellStyle name="20 % - Aksentti5 14 9_DataIX" xfId="30184" xr:uid="{00000000-0005-0000-0000-0000B2100000}"/>
    <cellStyle name="20 % - Aksentti5 14_DataIX" xfId="30174" xr:uid="{00000000-0005-0000-0000-0000B3100000}"/>
    <cellStyle name="20 % - Aksentti5 15" xfId="1378" xr:uid="{00000000-0005-0000-0000-0000B4100000}"/>
    <cellStyle name="20 % - Aksentti5 15 10" xfId="1379" xr:uid="{00000000-0005-0000-0000-0000B5100000}"/>
    <cellStyle name="20 % - Aksentti5 15 10 2" xfId="6698" xr:uid="{00000000-0005-0000-0000-0000B6100000}"/>
    <cellStyle name="20 % - Aksentti5 15 10 3" xfId="14903" xr:uid="{00000000-0005-0000-0000-0000B7100000}"/>
    <cellStyle name="20 % - Aksentti5 15 10_DataIX" xfId="30186" xr:uid="{00000000-0005-0000-0000-0000B8100000}"/>
    <cellStyle name="20 % - Aksentti5 15 11" xfId="6697" xr:uid="{00000000-0005-0000-0000-0000B9100000}"/>
    <cellStyle name="20 % - Aksentti5 15 12" xfId="14902" xr:uid="{00000000-0005-0000-0000-0000BA100000}"/>
    <cellStyle name="20 % - Aksentti5 15 2" xfId="1380" xr:uid="{00000000-0005-0000-0000-0000BB100000}"/>
    <cellStyle name="20 % - Aksentti5 15 2 2" xfId="1381" xr:uid="{00000000-0005-0000-0000-0000BC100000}"/>
    <cellStyle name="20 % - Aksentti5 15 2 2 2" xfId="6700" xr:uid="{00000000-0005-0000-0000-0000BD100000}"/>
    <cellStyle name="20 % - Aksentti5 15 2 2 3" xfId="14905" xr:uid="{00000000-0005-0000-0000-0000BE100000}"/>
    <cellStyle name="20 % - Aksentti5 15 2 2_DataIX" xfId="30188" xr:uid="{00000000-0005-0000-0000-0000BF100000}"/>
    <cellStyle name="20 % - Aksentti5 15 2 3" xfId="6699" xr:uid="{00000000-0005-0000-0000-0000C0100000}"/>
    <cellStyle name="20 % - Aksentti5 15 2 4" xfId="14904" xr:uid="{00000000-0005-0000-0000-0000C1100000}"/>
    <cellStyle name="20 % - Aksentti5 15 2_DataIX" xfId="30187" xr:uid="{00000000-0005-0000-0000-0000C2100000}"/>
    <cellStyle name="20 % - Aksentti5 15 3" xfId="1382" xr:uid="{00000000-0005-0000-0000-0000C3100000}"/>
    <cellStyle name="20 % - Aksentti5 15 3 2" xfId="6701" xr:uid="{00000000-0005-0000-0000-0000C4100000}"/>
    <cellStyle name="20 % - Aksentti5 15 3 3" xfId="14906" xr:uid="{00000000-0005-0000-0000-0000C5100000}"/>
    <cellStyle name="20 % - Aksentti5 15 3_DataIX" xfId="30189" xr:uid="{00000000-0005-0000-0000-0000C6100000}"/>
    <cellStyle name="20 % - Aksentti5 15 4" xfId="1383" xr:uid="{00000000-0005-0000-0000-0000C7100000}"/>
    <cellStyle name="20 % - Aksentti5 15 4 2" xfId="6702" xr:uid="{00000000-0005-0000-0000-0000C8100000}"/>
    <cellStyle name="20 % - Aksentti5 15 4 3" xfId="14907" xr:uid="{00000000-0005-0000-0000-0000C9100000}"/>
    <cellStyle name="20 % - Aksentti5 15 4_DataIX" xfId="30190" xr:uid="{00000000-0005-0000-0000-0000CA100000}"/>
    <cellStyle name="20 % - Aksentti5 15 5" xfId="1384" xr:uid="{00000000-0005-0000-0000-0000CB100000}"/>
    <cellStyle name="20 % - Aksentti5 15 5 2" xfId="6703" xr:uid="{00000000-0005-0000-0000-0000CC100000}"/>
    <cellStyle name="20 % - Aksentti5 15 5 3" xfId="14908" xr:uid="{00000000-0005-0000-0000-0000CD100000}"/>
    <cellStyle name="20 % - Aksentti5 15 5_DataIX" xfId="30191" xr:uid="{00000000-0005-0000-0000-0000CE100000}"/>
    <cellStyle name="20 % - Aksentti5 15 6" xfId="1385" xr:uid="{00000000-0005-0000-0000-0000CF100000}"/>
    <cellStyle name="20 % - Aksentti5 15 6 2" xfId="6704" xr:uid="{00000000-0005-0000-0000-0000D0100000}"/>
    <cellStyle name="20 % - Aksentti5 15 6 3" xfId="14909" xr:uid="{00000000-0005-0000-0000-0000D1100000}"/>
    <cellStyle name="20 % - Aksentti5 15 6_DataIX" xfId="30192" xr:uid="{00000000-0005-0000-0000-0000D2100000}"/>
    <cellStyle name="20 % - Aksentti5 15 7" xfId="1386" xr:uid="{00000000-0005-0000-0000-0000D3100000}"/>
    <cellStyle name="20 % - Aksentti5 15 7 2" xfId="6705" xr:uid="{00000000-0005-0000-0000-0000D4100000}"/>
    <cellStyle name="20 % - Aksentti5 15 7 3" xfId="14910" xr:uid="{00000000-0005-0000-0000-0000D5100000}"/>
    <cellStyle name="20 % - Aksentti5 15 7_DataIX" xfId="30193" xr:uid="{00000000-0005-0000-0000-0000D6100000}"/>
    <cellStyle name="20 % - Aksentti5 15 8" xfId="1387" xr:uid="{00000000-0005-0000-0000-0000D7100000}"/>
    <cellStyle name="20 % - Aksentti5 15 8 2" xfId="6706" xr:uid="{00000000-0005-0000-0000-0000D8100000}"/>
    <cellStyle name="20 % - Aksentti5 15 8 3" xfId="14911" xr:uid="{00000000-0005-0000-0000-0000D9100000}"/>
    <cellStyle name="20 % - Aksentti5 15 8_DataIX" xfId="30194" xr:uid="{00000000-0005-0000-0000-0000DA100000}"/>
    <cellStyle name="20 % - Aksentti5 15 9" xfId="1388" xr:uid="{00000000-0005-0000-0000-0000DB100000}"/>
    <cellStyle name="20 % - Aksentti5 15 9 2" xfId="6707" xr:uid="{00000000-0005-0000-0000-0000DC100000}"/>
    <cellStyle name="20 % - Aksentti5 15 9 3" xfId="14912" xr:uid="{00000000-0005-0000-0000-0000DD100000}"/>
    <cellStyle name="20 % - Aksentti5 15 9_DataIX" xfId="30195" xr:uid="{00000000-0005-0000-0000-0000DE100000}"/>
    <cellStyle name="20 % - Aksentti5 15_DataIX" xfId="30185" xr:uid="{00000000-0005-0000-0000-0000DF100000}"/>
    <cellStyle name="20 % - Aksentti5 16" xfId="1389" xr:uid="{00000000-0005-0000-0000-0000E0100000}"/>
    <cellStyle name="20 % - Aksentti5 16 2" xfId="6708" xr:uid="{00000000-0005-0000-0000-0000E1100000}"/>
    <cellStyle name="20 % - Aksentti5 16 3" xfId="14913" xr:uid="{00000000-0005-0000-0000-0000E2100000}"/>
    <cellStyle name="20 % - Aksentti5 16_DataIX" xfId="30196" xr:uid="{00000000-0005-0000-0000-0000E3100000}"/>
    <cellStyle name="20 % - Aksentti5 17" xfId="1390" xr:uid="{00000000-0005-0000-0000-0000E4100000}"/>
    <cellStyle name="20 % - Aksentti5 17 2" xfId="6709" xr:uid="{00000000-0005-0000-0000-0000E5100000}"/>
    <cellStyle name="20 % - Aksentti5 17 3" xfId="14914" xr:uid="{00000000-0005-0000-0000-0000E6100000}"/>
    <cellStyle name="20 % - Aksentti5 17_DataIX" xfId="30197" xr:uid="{00000000-0005-0000-0000-0000E7100000}"/>
    <cellStyle name="20 % - Aksentti5 18" xfId="1391" xr:uid="{00000000-0005-0000-0000-0000E8100000}"/>
    <cellStyle name="20 % - Aksentti5 18 2" xfId="6710" xr:uid="{00000000-0005-0000-0000-0000E9100000}"/>
    <cellStyle name="20 % - Aksentti5 18 3" xfId="14915" xr:uid="{00000000-0005-0000-0000-0000EA100000}"/>
    <cellStyle name="20 % - Aksentti5 18_DataIX" xfId="30198" xr:uid="{00000000-0005-0000-0000-0000EB100000}"/>
    <cellStyle name="20 % - Aksentti5 19" xfId="1392" xr:uid="{00000000-0005-0000-0000-0000EC100000}"/>
    <cellStyle name="20 % - Aksentti5 19 2" xfId="6711" xr:uid="{00000000-0005-0000-0000-0000ED100000}"/>
    <cellStyle name="20 % - Aksentti5 19 3" xfId="14916" xr:uid="{00000000-0005-0000-0000-0000EE100000}"/>
    <cellStyle name="20 % - Aksentti5 19_DataIX" xfId="30199" xr:uid="{00000000-0005-0000-0000-0000EF100000}"/>
    <cellStyle name="20 % - Aksentti5 2" xfId="7" xr:uid="{00000000-0005-0000-0000-0000F0100000}"/>
    <cellStyle name="20 % - Aksentti5 2 10" xfId="1394" xr:uid="{00000000-0005-0000-0000-0000F1100000}"/>
    <cellStyle name="20 % - Aksentti5 2 10 2" xfId="6713" xr:uid="{00000000-0005-0000-0000-0000F2100000}"/>
    <cellStyle name="20 % - Aksentti5 2 10 3" xfId="14918" xr:uid="{00000000-0005-0000-0000-0000F3100000}"/>
    <cellStyle name="20 % - Aksentti5 2 10_DataIX" xfId="30200" xr:uid="{00000000-0005-0000-0000-0000F4100000}"/>
    <cellStyle name="20 % - Aksentti5 2 11" xfId="1393" xr:uid="{00000000-0005-0000-0000-0000F5100000}"/>
    <cellStyle name="20 % - Aksentti5 2 11 2" xfId="6714" xr:uid="{00000000-0005-0000-0000-0000F6100000}"/>
    <cellStyle name="20 % - Aksentti5 2 11 3" xfId="14917" xr:uid="{00000000-0005-0000-0000-0000F7100000}"/>
    <cellStyle name="20 % - Aksentti5 2 11_DataIX" xfId="30201" xr:uid="{00000000-0005-0000-0000-0000F8100000}"/>
    <cellStyle name="20 % - Aksentti5 2 12" xfId="25053" xr:uid="{00000000-0005-0000-0000-0000F9100000}"/>
    <cellStyle name="20 % - Aksentti5 2 13" xfId="26190" xr:uid="{00000000-0005-0000-0000-0000FA100000}"/>
    <cellStyle name="20 % - Aksentti5 2 14" xfId="26595" xr:uid="{00000000-0005-0000-0000-0000FB100000}"/>
    <cellStyle name="20 % - Aksentti5 2 15" xfId="26438" xr:uid="{00000000-0005-0000-0000-0000FC100000}"/>
    <cellStyle name="20 % - Aksentti5 2 16" xfId="25858" xr:uid="{00000000-0005-0000-0000-0000FD100000}"/>
    <cellStyle name="20 % - Aksentti5 2 17" xfId="25551" xr:uid="{00000000-0005-0000-0000-0000FE100000}"/>
    <cellStyle name="20 % - Aksentti5 2 18" xfId="25941" xr:uid="{00000000-0005-0000-0000-0000FF100000}"/>
    <cellStyle name="20 % - Aksentti5 2 19" xfId="26447" xr:uid="{00000000-0005-0000-0000-000000110000}"/>
    <cellStyle name="20 % - Aksentti5 2 2" xfId="145" xr:uid="{00000000-0005-0000-0000-000001110000}"/>
    <cellStyle name="20 % - Aksentti5 2 2 10" xfId="1396" xr:uid="{00000000-0005-0000-0000-000002110000}"/>
    <cellStyle name="20 % - Aksentti5 2 2 10 2" xfId="6716" xr:uid="{00000000-0005-0000-0000-000003110000}"/>
    <cellStyle name="20 % - Aksentti5 2 2 10 3" xfId="14920" xr:uid="{00000000-0005-0000-0000-000004110000}"/>
    <cellStyle name="20 % - Aksentti5 2 2 10_DataIX" xfId="30202" xr:uid="{00000000-0005-0000-0000-000005110000}"/>
    <cellStyle name="20 % - Aksentti5 2 2 11" xfId="1395" xr:uid="{00000000-0005-0000-0000-000006110000}"/>
    <cellStyle name="20 % - Aksentti5 2 2 11 2" xfId="6717" xr:uid="{00000000-0005-0000-0000-000007110000}"/>
    <cellStyle name="20 % - Aksentti5 2 2 11 3" xfId="14919" xr:uid="{00000000-0005-0000-0000-000008110000}"/>
    <cellStyle name="20 % - Aksentti5 2 2 11_DataIX" xfId="30203" xr:uid="{00000000-0005-0000-0000-000009110000}"/>
    <cellStyle name="20 % - Aksentti5 2 2 12" xfId="25069" xr:uid="{00000000-0005-0000-0000-00000A110000}"/>
    <cellStyle name="20 % - Aksentti5 2 2 13" xfId="26186" xr:uid="{00000000-0005-0000-0000-00000B110000}"/>
    <cellStyle name="20 % - Aksentti5 2 2 14" xfId="25331" xr:uid="{00000000-0005-0000-0000-00000C110000}"/>
    <cellStyle name="20 % - Aksentti5 2 2 15" xfId="26437" xr:uid="{00000000-0005-0000-0000-00000D110000}"/>
    <cellStyle name="20 % - Aksentti5 2 2 16" xfId="25612" xr:uid="{00000000-0005-0000-0000-00000E110000}"/>
    <cellStyle name="20 % - Aksentti5 2 2 17" xfId="25378" xr:uid="{00000000-0005-0000-0000-00000F110000}"/>
    <cellStyle name="20 % - Aksentti5 2 2 18" xfId="25682" xr:uid="{00000000-0005-0000-0000-000010110000}"/>
    <cellStyle name="20 % - Aksentti5 2 2 19" xfId="25307" xr:uid="{00000000-0005-0000-0000-000011110000}"/>
    <cellStyle name="20 % - Aksentti5 2 2 2" xfId="374" xr:uid="{00000000-0005-0000-0000-000012110000}"/>
    <cellStyle name="20 % - Aksentti5 2 2 2 10" xfId="13506" xr:uid="{00000000-0005-0000-0000-000013110000}"/>
    <cellStyle name="20 % - Aksentti5 2 2 2 2" xfId="1398" xr:uid="{00000000-0005-0000-0000-000014110000}"/>
    <cellStyle name="20 % - Aksentti5 2 2 2 2 2" xfId="6719" xr:uid="{00000000-0005-0000-0000-000015110000}"/>
    <cellStyle name="20 % - Aksentti5 2 2 2 2 3" xfId="14922" xr:uid="{00000000-0005-0000-0000-000016110000}"/>
    <cellStyle name="20 % - Aksentti5 2 2 2 2_DataIX" xfId="30204" xr:uid="{00000000-0005-0000-0000-000017110000}"/>
    <cellStyle name="20 % - Aksentti5 2 2 2 3" xfId="1397" xr:uid="{00000000-0005-0000-0000-000018110000}"/>
    <cellStyle name="20 % - Aksentti5 2 2 2 3 2" xfId="6720" xr:uid="{00000000-0005-0000-0000-000019110000}"/>
    <cellStyle name="20 % - Aksentti5 2 2 2 3 3" xfId="14921" xr:uid="{00000000-0005-0000-0000-00001A110000}"/>
    <cellStyle name="20 % - Aksentti5 2 2 2 3_DataIX" xfId="30205" xr:uid="{00000000-0005-0000-0000-00001B110000}"/>
    <cellStyle name="20 % - Aksentti5 2 2 2 4" xfId="10819" xr:uid="{00000000-0005-0000-0000-00001C110000}"/>
    <cellStyle name="20 % - Aksentti5 2 2 2 5" xfId="12731" xr:uid="{00000000-0005-0000-0000-00001D110000}"/>
    <cellStyle name="20 % - Aksentti5 2 2 2 6" xfId="10926" xr:uid="{00000000-0005-0000-0000-00001E110000}"/>
    <cellStyle name="20 % - Aksentti5 2 2 2 7" xfId="13911" xr:uid="{00000000-0005-0000-0000-00001F110000}"/>
    <cellStyle name="20 % - Aksentti5 2 2 2 8" xfId="20600" xr:uid="{00000000-0005-0000-0000-000020110000}"/>
    <cellStyle name="20 % - Aksentti5 2 2 2 9" xfId="11194" xr:uid="{00000000-0005-0000-0000-000021110000}"/>
    <cellStyle name="20 % - Aksentti5 2 2 2_##Keskeiset" xfId="6718" xr:uid="{00000000-0005-0000-0000-000022110000}"/>
    <cellStyle name="20 % - Aksentti5 2 2 20" xfId="26391" xr:uid="{00000000-0005-0000-0000-000023110000}"/>
    <cellStyle name="20 % - Aksentti5 2 2 21" xfId="26325" xr:uid="{00000000-0005-0000-0000-000024110000}"/>
    <cellStyle name="20 % - Aksentti5 2 2 22" xfId="25284" xr:uid="{00000000-0005-0000-0000-000025110000}"/>
    <cellStyle name="20 % - Aksentti5 2 2 23" xfId="26547" xr:uid="{00000000-0005-0000-0000-000026110000}"/>
    <cellStyle name="20 % - Aksentti5 2 2 24" xfId="26693" xr:uid="{00000000-0005-0000-0000-000027110000}"/>
    <cellStyle name="20 % - Aksentti5 2 2 25" xfId="25447" xr:uid="{00000000-0005-0000-0000-000028110000}"/>
    <cellStyle name="20 % - Aksentti5 2 2 26" xfId="25895" xr:uid="{00000000-0005-0000-0000-000029110000}"/>
    <cellStyle name="20 % - Aksentti5 2 2 27" xfId="26636" xr:uid="{00000000-0005-0000-0000-00002A110000}"/>
    <cellStyle name="20 % - Aksentti5 2 2 28" xfId="23190" xr:uid="{00000000-0005-0000-0000-00002B110000}"/>
    <cellStyle name="20 % - Aksentti5 2 2 29" xfId="24968" xr:uid="{00000000-0005-0000-0000-00002C110000}"/>
    <cellStyle name="20 % - Aksentti5 2 2 3" xfId="1399" xr:uid="{00000000-0005-0000-0000-00002D110000}"/>
    <cellStyle name="20 % - Aksentti5 2 2 3 2" xfId="10821" xr:uid="{00000000-0005-0000-0000-00002E110000}"/>
    <cellStyle name="20 % - Aksentti5 2 2 3 3" xfId="14923" xr:uid="{00000000-0005-0000-0000-00002F110000}"/>
    <cellStyle name="20 % - Aksentti5 2 2 3_DataIX" xfId="30206" xr:uid="{00000000-0005-0000-0000-000030110000}"/>
    <cellStyle name="20 % - Aksentti5 2 2 30" xfId="23164" xr:uid="{00000000-0005-0000-0000-000031110000}"/>
    <cellStyle name="20 % - Aksentti5 2 2 31" xfId="24954" xr:uid="{00000000-0005-0000-0000-000032110000}"/>
    <cellStyle name="20 % - Aksentti5 2 2 32" xfId="23172" xr:uid="{00000000-0005-0000-0000-000033110000}"/>
    <cellStyle name="20 % - Aksentti5 2 2 33" xfId="24939" xr:uid="{00000000-0005-0000-0000-000034110000}"/>
    <cellStyle name="20 % - Aksentti5 2 2 4" xfId="1400" xr:uid="{00000000-0005-0000-0000-000035110000}"/>
    <cellStyle name="20 % - Aksentti5 2 2 4 2" xfId="6721" xr:uid="{00000000-0005-0000-0000-000036110000}"/>
    <cellStyle name="20 % - Aksentti5 2 2 4 3" xfId="14924" xr:uid="{00000000-0005-0000-0000-000037110000}"/>
    <cellStyle name="20 % - Aksentti5 2 2 4_DataIX" xfId="30207" xr:uid="{00000000-0005-0000-0000-000038110000}"/>
    <cellStyle name="20 % - Aksentti5 2 2 5" xfId="1401" xr:uid="{00000000-0005-0000-0000-000039110000}"/>
    <cellStyle name="20 % - Aksentti5 2 2 5 2" xfId="6722" xr:uid="{00000000-0005-0000-0000-00003A110000}"/>
    <cellStyle name="20 % - Aksentti5 2 2 5 3" xfId="14925" xr:uid="{00000000-0005-0000-0000-00003B110000}"/>
    <cellStyle name="20 % - Aksentti5 2 2 5_DataIX" xfId="30208" xr:uid="{00000000-0005-0000-0000-00003C110000}"/>
    <cellStyle name="20 % - Aksentti5 2 2 6" xfId="1402" xr:uid="{00000000-0005-0000-0000-00003D110000}"/>
    <cellStyle name="20 % - Aksentti5 2 2 6 2" xfId="6723" xr:uid="{00000000-0005-0000-0000-00003E110000}"/>
    <cellStyle name="20 % - Aksentti5 2 2 6 3" xfId="14926" xr:uid="{00000000-0005-0000-0000-00003F110000}"/>
    <cellStyle name="20 % - Aksentti5 2 2 6_DataIX" xfId="30209" xr:uid="{00000000-0005-0000-0000-000040110000}"/>
    <cellStyle name="20 % - Aksentti5 2 2 7" xfId="1403" xr:uid="{00000000-0005-0000-0000-000041110000}"/>
    <cellStyle name="20 % - Aksentti5 2 2 7 2" xfId="6724" xr:uid="{00000000-0005-0000-0000-000042110000}"/>
    <cellStyle name="20 % - Aksentti5 2 2 7 3" xfId="14927" xr:uid="{00000000-0005-0000-0000-000043110000}"/>
    <cellStyle name="20 % - Aksentti5 2 2 7_DataIX" xfId="30210" xr:uid="{00000000-0005-0000-0000-000044110000}"/>
    <cellStyle name="20 % - Aksentti5 2 2 8" xfId="1404" xr:uid="{00000000-0005-0000-0000-000045110000}"/>
    <cellStyle name="20 % - Aksentti5 2 2 8 2" xfId="6725" xr:uid="{00000000-0005-0000-0000-000046110000}"/>
    <cellStyle name="20 % - Aksentti5 2 2 8 3" xfId="14928" xr:uid="{00000000-0005-0000-0000-000047110000}"/>
    <cellStyle name="20 % - Aksentti5 2 2 8_DataIX" xfId="30211" xr:uid="{00000000-0005-0000-0000-000048110000}"/>
    <cellStyle name="20 % - Aksentti5 2 2 9" xfId="1405" xr:uid="{00000000-0005-0000-0000-000049110000}"/>
    <cellStyle name="20 % - Aksentti5 2 2 9 2" xfId="6726" xr:uid="{00000000-0005-0000-0000-00004A110000}"/>
    <cellStyle name="20 % - Aksentti5 2 2 9 3" xfId="14929" xr:uid="{00000000-0005-0000-0000-00004B110000}"/>
    <cellStyle name="20 % - Aksentti5 2 2 9_DataIX" xfId="30212" xr:uid="{00000000-0005-0000-0000-00004C110000}"/>
    <cellStyle name="20 % - Aksentti5 2 2_##Keskeiset" xfId="6715" xr:uid="{00000000-0005-0000-0000-00004D110000}"/>
    <cellStyle name="20 % - Aksentti5 2 20" xfId="25553" xr:uid="{00000000-0005-0000-0000-00004E110000}"/>
    <cellStyle name="20 % - Aksentti5 2 21" xfId="26270" xr:uid="{00000000-0005-0000-0000-00004F110000}"/>
    <cellStyle name="20 % - Aksentti5 2 22" xfId="26062" xr:uid="{00000000-0005-0000-0000-000050110000}"/>
    <cellStyle name="20 % - Aksentti5 2 23" xfId="25729" xr:uid="{00000000-0005-0000-0000-000051110000}"/>
    <cellStyle name="20 % - Aksentti5 2 24" xfId="26721" xr:uid="{00000000-0005-0000-0000-000052110000}"/>
    <cellStyle name="20 % - Aksentti5 2 25" xfId="26620" xr:uid="{00000000-0005-0000-0000-000053110000}"/>
    <cellStyle name="20 % - Aksentti5 2 26" xfId="25875" xr:uid="{00000000-0005-0000-0000-000054110000}"/>
    <cellStyle name="20 % - Aksentti5 2 27" xfId="25423" xr:uid="{00000000-0005-0000-0000-000055110000}"/>
    <cellStyle name="20 % - Aksentti5 2 28" xfId="23189" xr:uid="{00000000-0005-0000-0000-000056110000}"/>
    <cellStyle name="20 % - Aksentti5 2 29" xfId="24969" xr:uid="{00000000-0005-0000-0000-000057110000}"/>
    <cellStyle name="20 % - Aksentti5 2 3" xfId="146" xr:uid="{00000000-0005-0000-0000-000058110000}"/>
    <cellStyle name="20 % - Aksentti5 2 3 2" xfId="1407" xr:uid="{00000000-0005-0000-0000-000059110000}"/>
    <cellStyle name="20 % - Aksentti5 2 3 2 2" xfId="1408" xr:uid="{00000000-0005-0000-0000-00005A110000}"/>
    <cellStyle name="20 % - Aksentti5 2 3 2 2 2" xfId="6727" xr:uid="{00000000-0005-0000-0000-00005B110000}"/>
    <cellStyle name="20 % - Aksentti5 2 3 2 2 3" xfId="14932" xr:uid="{00000000-0005-0000-0000-00005C110000}"/>
    <cellStyle name="20 % - Aksentti5 2 3 2 2_DataIX" xfId="30214" xr:uid="{00000000-0005-0000-0000-00005D110000}"/>
    <cellStyle name="20 % - Aksentti5 2 3 2 3" xfId="5477" xr:uid="{00000000-0005-0000-0000-00005E110000}"/>
    <cellStyle name="20 % - Aksentti5 2 3 2 4" xfId="14931" xr:uid="{00000000-0005-0000-0000-00005F110000}"/>
    <cellStyle name="20 % - Aksentti5 2 3 2_DataIX" xfId="30213" xr:uid="{00000000-0005-0000-0000-000060110000}"/>
    <cellStyle name="20 % - Aksentti5 2 3 3" xfId="1409" xr:uid="{00000000-0005-0000-0000-000061110000}"/>
    <cellStyle name="20 % - Aksentti5 2 3 3 2" xfId="6728" xr:uid="{00000000-0005-0000-0000-000062110000}"/>
    <cellStyle name="20 % - Aksentti5 2 3 3 3" xfId="14933" xr:uid="{00000000-0005-0000-0000-000063110000}"/>
    <cellStyle name="20 % - Aksentti5 2 3 3_DataIX" xfId="30215" xr:uid="{00000000-0005-0000-0000-000064110000}"/>
    <cellStyle name="20 % - Aksentti5 2 3 4" xfId="1406" xr:uid="{00000000-0005-0000-0000-000065110000}"/>
    <cellStyle name="20 % - Aksentti5 2 3 4 2" xfId="6729" xr:uid="{00000000-0005-0000-0000-000066110000}"/>
    <cellStyle name="20 % - Aksentti5 2 3 4 3" xfId="14930" xr:uid="{00000000-0005-0000-0000-000067110000}"/>
    <cellStyle name="20 % - Aksentti5 2 3 4_DataIX" xfId="30216" xr:uid="{00000000-0005-0000-0000-000068110000}"/>
    <cellStyle name="20 % - Aksentti5 2 3_##Keskeiset" xfId="5476" xr:uid="{00000000-0005-0000-0000-000069110000}"/>
    <cellStyle name="20 % - Aksentti5 2 30" xfId="26740" xr:uid="{00000000-0005-0000-0000-00006A110000}"/>
    <cellStyle name="20 % - Aksentti5 2 31" xfId="24989" xr:uid="{00000000-0005-0000-0000-00006B110000}"/>
    <cellStyle name="20 % - Aksentti5 2 32" xfId="26738" xr:uid="{00000000-0005-0000-0000-00006C110000}"/>
    <cellStyle name="20 % - Aksentti5 2 33" xfId="24987" xr:uid="{00000000-0005-0000-0000-00006D110000}"/>
    <cellStyle name="20 % - Aksentti5 2 4" xfId="1410" xr:uid="{00000000-0005-0000-0000-00006E110000}"/>
    <cellStyle name="20 % - Aksentti5 2 4 2" xfId="1411" xr:uid="{00000000-0005-0000-0000-00006F110000}"/>
    <cellStyle name="20 % - Aksentti5 2 4 2 2" xfId="1412" xr:uid="{00000000-0005-0000-0000-000070110000}"/>
    <cellStyle name="20 % - Aksentti5 2 4 2 2 2" xfId="6732" xr:uid="{00000000-0005-0000-0000-000071110000}"/>
    <cellStyle name="20 % - Aksentti5 2 4 2 2 3" xfId="14936" xr:uid="{00000000-0005-0000-0000-000072110000}"/>
    <cellStyle name="20 % - Aksentti5 2 4 2 2_DataIX" xfId="30218" xr:uid="{00000000-0005-0000-0000-000073110000}"/>
    <cellStyle name="20 % - Aksentti5 2 4 2 3" xfId="6731" xr:uid="{00000000-0005-0000-0000-000074110000}"/>
    <cellStyle name="20 % - Aksentti5 2 4 2 4" xfId="14935" xr:uid="{00000000-0005-0000-0000-000075110000}"/>
    <cellStyle name="20 % - Aksentti5 2 4 2_DataIX" xfId="30217" xr:uid="{00000000-0005-0000-0000-000076110000}"/>
    <cellStyle name="20 % - Aksentti5 2 4 3" xfId="1413" xr:uid="{00000000-0005-0000-0000-000077110000}"/>
    <cellStyle name="20 % - Aksentti5 2 4 3 2" xfId="6733" xr:uid="{00000000-0005-0000-0000-000078110000}"/>
    <cellStyle name="20 % - Aksentti5 2 4 3 3" xfId="14937" xr:uid="{00000000-0005-0000-0000-000079110000}"/>
    <cellStyle name="20 % - Aksentti5 2 4 3_DataIX" xfId="30219" xr:uid="{00000000-0005-0000-0000-00007A110000}"/>
    <cellStyle name="20 % - Aksentti5 2 4 4" xfId="5478" xr:uid="{00000000-0005-0000-0000-00007B110000}"/>
    <cellStyle name="20 % - Aksentti5 2 4 4 2" xfId="11282" xr:uid="{00000000-0005-0000-0000-00007C110000}"/>
    <cellStyle name="20 % - Aksentti5 2 4 4 3" xfId="18741" xr:uid="{00000000-0005-0000-0000-00007D110000}"/>
    <cellStyle name="20 % - Aksentti5 2 4 4_DataIX" xfId="30220" xr:uid="{00000000-0005-0000-0000-00007E110000}"/>
    <cellStyle name="20 % - Aksentti5 2 4 5" xfId="5328" xr:uid="{00000000-0005-0000-0000-00007F110000}"/>
    <cellStyle name="20 % - Aksentti5 2 4 5 2" xfId="11283" xr:uid="{00000000-0005-0000-0000-000080110000}"/>
    <cellStyle name="20 % - Aksentti5 2 4 5 3" xfId="18652" xr:uid="{00000000-0005-0000-0000-000081110000}"/>
    <cellStyle name="20 % - Aksentti5 2 4 5_DataIX" xfId="30221" xr:uid="{00000000-0005-0000-0000-000082110000}"/>
    <cellStyle name="20 % - Aksentti5 2 4 6" xfId="10612" xr:uid="{00000000-0005-0000-0000-000083110000}"/>
    <cellStyle name="20 % - Aksentti5 2 4 6 2" xfId="11284" xr:uid="{00000000-0005-0000-0000-000084110000}"/>
    <cellStyle name="20 % - Aksentti5 2 4 6 3" xfId="20394" xr:uid="{00000000-0005-0000-0000-000085110000}"/>
    <cellStyle name="20 % - Aksentti5 2 4 6_DataIX" xfId="30222" xr:uid="{00000000-0005-0000-0000-000086110000}"/>
    <cellStyle name="20 % - Aksentti5 2 4 7" xfId="10562" xr:uid="{00000000-0005-0000-0000-000087110000}"/>
    <cellStyle name="20 % - Aksentti5 2 4 7 2" xfId="11285" xr:uid="{00000000-0005-0000-0000-000088110000}"/>
    <cellStyle name="20 % - Aksentti5 2 4 7 3" xfId="20344" xr:uid="{00000000-0005-0000-0000-000089110000}"/>
    <cellStyle name="20 % - Aksentti5 2 4 7_DataIX" xfId="30223" xr:uid="{00000000-0005-0000-0000-00008A110000}"/>
    <cellStyle name="20 % - Aksentti5 2 4 8" xfId="10577" xr:uid="{00000000-0005-0000-0000-00008B110000}"/>
    <cellStyle name="20 % - Aksentti5 2 4 8 2" xfId="11286" xr:uid="{00000000-0005-0000-0000-00008C110000}"/>
    <cellStyle name="20 % - Aksentti5 2 4 8 3" xfId="20359" xr:uid="{00000000-0005-0000-0000-00008D110000}"/>
    <cellStyle name="20 % - Aksentti5 2 4 8_DataIX" xfId="30224" xr:uid="{00000000-0005-0000-0000-00008E110000}"/>
    <cellStyle name="20 % - Aksentti5 2 4 9" xfId="14934" xr:uid="{00000000-0005-0000-0000-00008F110000}"/>
    <cellStyle name="20 % - Aksentti5 2 4_##Keskeiset" xfId="6730" xr:uid="{00000000-0005-0000-0000-000090110000}"/>
    <cellStyle name="20 % - Aksentti5 2 5" xfId="1414" xr:uid="{00000000-0005-0000-0000-000091110000}"/>
    <cellStyle name="20 % - Aksentti5 2 5 2" xfId="1415" xr:uid="{00000000-0005-0000-0000-000092110000}"/>
    <cellStyle name="20 % - Aksentti5 2 5 2 2" xfId="6735" xr:uid="{00000000-0005-0000-0000-000093110000}"/>
    <cellStyle name="20 % - Aksentti5 2 5 2 3" xfId="14939" xr:uid="{00000000-0005-0000-0000-000094110000}"/>
    <cellStyle name="20 % - Aksentti5 2 5 2_DataIX" xfId="30226" xr:uid="{00000000-0005-0000-0000-000095110000}"/>
    <cellStyle name="20 % - Aksentti5 2 5 3" xfId="6734" xr:uid="{00000000-0005-0000-0000-000096110000}"/>
    <cellStyle name="20 % - Aksentti5 2 5 4" xfId="14938" xr:uid="{00000000-0005-0000-0000-000097110000}"/>
    <cellStyle name="20 % - Aksentti5 2 5_DataIX" xfId="30225" xr:uid="{00000000-0005-0000-0000-000098110000}"/>
    <cellStyle name="20 % - Aksentti5 2 6" xfId="1416" xr:uid="{00000000-0005-0000-0000-000099110000}"/>
    <cellStyle name="20 % - Aksentti5 2 6 2" xfId="6736" xr:uid="{00000000-0005-0000-0000-00009A110000}"/>
    <cellStyle name="20 % - Aksentti5 2 6 3" xfId="14940" xr:uid="{00000000-0005-0000-0000-00009B110000}"/>
    <cellStyle name="20 % - Aksentti5 2 6_DataIX" xfId="30227" xr:uid="{00000000-0005-0000-0000-00009C110000}"/>
    <cellStyle name="20 % - Aksentti5 2 7" xfId="1417" xr:uid="{00000000-0005-0000-0000-00009D110000}"/>
    <cellStyle name="20 % - Aksentti5 2 7 2" xfId="6737" xr:uid="{00000000-0005-0000-0000-00009E110000}"/>
    <cellStyle name="20 % - Aksentti5 2 7 3" xfId="14941" xr:uid="{00000000-0005-0000-0000-00009F110000}"/>
    <cellStyle name="20 % - Aksentti5 2 7_DataIX" xfId="30228" xr:uid="{00000000-0005-0000-0000-0000A0110000}"/>
    <cellStyle name="20 % - Aksentti5 2 8" xfId="1418" xr:uid="{00000000-0005-0000-0000-0000A1110000}"/>
    <cellStyle name="20 % - Aksentti5 2 8 2" xfId="6738" xr:uid="{00000000-0005-0000-0000-0000A2110000}"/>
    <cellStyle name="20 % - Aksentti5 2 8 3" xfId="14942" xr:uid="{00000000-0005-0000-0000-0000A3110000}"/>
    <cellStyle name="20 % - Aksentti5 2 8_DataIX" xfId="30229" xr:uid="{00000000-0005-0000-0000-0000A4110000}"/>
    <cellStyle name="20 % - Aksentti5 2 9" xfId="1419" xr:uid="{00000000-0005-0000-0000-0000A5110000}"/>
    <cellStyle name="20 % - Aksentti5 2 9 2" xfId="6739" xr:uid="{00000000-0005-0000-0000-0000A6110000}"/>
    <cellStyle name="20 % - Aksentti5 2 9 3" xfId="14943" xr:uid="{00000000-0005-0000-0000-0000A7110000}"/>
    <cellStyle name="20 % - Aksentti5 2 9_DataIX" xfId="30230" xr:uid="{00000000-0005-0000-0000-0000A8110000}"/>
    <cellStyle name="20 % - Aksentti5 2_##Keskeiset" xfId="6712" xr:uid="{00000000-0005-0000-0000-0000A9110000}"/>
    <cellStyle name="20 % - Aksentti5 20" xfId="1420" xr:uid="{00000000-0005-0000-0000-0000AA110000}"/>
    <cellStyle name="20 % - Aksentti5 20 2" xfId="6740" xr:uid="{00000000-0005-0000-0000-0000AB110000}"/>
    <cellStyle name="20 % - Aksentti5 20 3" xfId="14944" xr:uid="{00000000-0005-0000-0000-0000AC110000}"/>
    <cellStyle name="20 % - Aksentti5 20_DataIX" xfId="30231" xr:uid="{00000000-0005-0000-0000-0000AD110000}"/>
    <cellStyle name="20 % - Aksentti5 21" xfId="1421" xr:uid="{00000000-0005-0000-0000-0000AE110000}"/>
    <cellStyle name="20 % - Aksentti5 21 2" xfId="6741" xr:uid="{00000000-0005-0000-0000-0000AF110000}"/>
    <cellStyle name="20 % - Aksentti5 21 3" xfId="14945" xr:uid="{00000000-0005-0000-0000-0000B0110000}"/>
    <cellStyle name="20 % - Aksentti5 21_DataIX" xfId="30232" xr:uid="{00000000-0005-0000-0000-0000B1110000}"/>
    <cellStyle name="20 % - Aksentti5 22" xfId="1422" xr:uid="{00000000-0005-0000-0000-0000B2110000}"/>
    <cellStyle name="20 % - Aksentti5 22 2" xfId="6742" xr:uid="{00000000-0005-0000-0000-0000B3110000}"/>
    <cellStyle name="20 % - Aksentti5 22 3" xfId="14946" xr:uid="{00000000-0005-0000-0000-0000B4110000}"/>
    <cellStyle name="20 % - Aksentti5 22_DataIX" xfId="30233" xr:uid="{00000000-0005-0000-0000-0000B5110000}"/>
    <cellStyle name="20 % - Aksentti5 23" xfId="1423" xr:uid="{00000000-0005-0000-0000-0000B6110000}"/>
    <cellStyle name="20 % - Aksentti5 23 2" xfId="6743" xr:uid="{00000000-0005-0000-0000-0000B7110000}"/>
    <cellStyle name="20 % - Aksentti5 23 3" xfId="14947" xr:uid="{00000000-0005-0000-0000-0000B8110000}"/>
    <cellStyle name="20 % - Aksentti5 23_DataIX" xfId="30234" xr:uid="{00000000-0005-0000-0000-0000B9110000}"/>
    <cellStyle name="20 % - Aksentti5 24" xfId="1424" xr:uid="{00000000-0005-0000-0000-0000BA110000}"/>
    <cellStyle name="20 % - Aksentti5 24 2" xfId="6744" xr:uid="{00000000-0005-0000-0000-0000BB110000}"/>
    <cellStyle name="20 % - Aksentti5 24 3" xfId="14948" xr:uid="{00000000-0005-0000-0000-0000BC110000}"/>
    <cellStyle name="20 % - Aksentti5 24_DataIX" xfId="30235" xr:uid="{00000000-0005-0000-0000-0000BD110000}"/>
    <cellStyle name="20 % - Aksentti5 25" xfId="1425" xr:uid="{00000000-0005-0000-0000-0000BE110000}"/>
    <cellStyle name="20 % - Aksentti5 25 2" xfId="6745" xr:uid="{00000000-0005-0000-0000-0000BF110000}"/>
    <cellStyle name="20 % - Aksentti5 25 3" xfId="14949" xr:uid="{00000000-0005-0000-0000-0000C0110000}"/>
    <cellStyle name="20 % - Aksentti5 25_DataIX" xfId="30236" xr:uid="{00000000-0005-0000-0000-0000C1110000}"/>
    <cellStyle name="20 % - Aksentti5 26" xfId="1426" xr:uid="{00000000-0005-0000-0000-0000C2110000}"/>
    <cellStyle name="20 % - Aksentti5 26 2" xfId="6746" xr:uid="{00000000-0005-0000-0000-0000C3110000}"/>
    <cellStyle name="20 % - Aksentti5 26 3" xfId="14950" xr:uid="{00000000-0005-0000-0000-0000C4110000}"/>
    <cellStyle name="20 % - Aksentti5 26_DataIX" xfId="30237" xr:uid="{00000000-0005-0000-0000-0000C5110000}"/>
    <cellStyle name="20 % - Aksentti5 27" xfId="1427" xr:uid="{00000000-0005-0000-0000-0000C6110000}"/>
    <cellStyle name="20 % - Aksentti5 27 2" xfId="6747" xr:uid="{00000000-0005-0000-0000-0000C7110000}"/>
    <cellStyle name="20 % - Aksentti5 27 3" xfId="14951" xr:uid="{00000000-0005-0000-0000-0000C8110000}"/>
    <cellStyle name="20 % - Aksentti5 27_DataIX" xfId="30238" xr:uid="{00000000-0005-0000-0000-0000C9110000}"/>
    <cellStyle name="20 % - Aksentti5 28" xfId="1428" xr:uid="{00000000-0005-0000-0000-0000CA110000}"/>
    <cellStyle name="20 % - Aksentti5 28 2" xfId="6748" xr:uid="{00000000-0005-0000-0000-0000CB110000}"/>
    <cellStyle name="20 % - Aksentti5 28 3" xfId="14952" xr:uid="{00000000-0005-0000-0000-0000CC110000}"/>
    <cellStyle name="20 % - Aksentti5 28_DataIX" xfId="30239" xr:uid="{00000000-0005-0000-0000-0000CD110000}"/>
    <cellStyle name="20 % - Aksentti5 29" xfId="10644" xr:uid="{00000000-0005-0000-0000-0000CE110000}"/>
    <cellStyle name="20 % - Aksentti5 29 2" xfId="27762" xr:uid="{00000000-0005-0000-0000-0000CF110000}"/>
    <cellStyle name="20 % - Aksentti5 29_DataIX" xfId="30240" xr:uid="{00000000-0005-0000-0000-0000D0110000}"/>
    <cellStyle name="20 % - Aksentti5 3" xfId="144" xr:uid="{00000000-0005-0000-0000-0000D1110000}"/>
    <cellStyle name="20 % - Aksentti5 3 10" xfId="1430" xr:uid="{00000000-0005-0000-0000-0000D2110000}"/>
    <cellStyle name="20 % - Aksentti5 3 10 2" xfId="6749" xr:uid="{00000000-0005-0000-0000-0000D3110000}"/>
    <cellStyle name="20 % - Aksentti5 3 10 3" xfId="14954" xr:uid="{00000000-0005-0000-0000-0000D4110000}"/>
    <cellStyle name="20 % - Aksentti5 3 10_DataIX" xfId="30242" xr:uid="{00000000-0005-0000-0000-0000D5110000}"/>
    <cellStyle name="20 % - Aksentti5 3 11" xfId="1429" xr:uid="{00000000-0005-0000-0000-0000D6110000}"/>
    <cellStyle name="20 % - Aksentti5 3 11 2" xfId="6750" xr:uid="{00000000-0005-0000-0000-0000D7110000}"/>
    <cellStyle name="20 % - Aksentti5 3 11 3" xfId="14953" xr:uid="{00000000-0005-0000-0000-0000D8110000}"/>
    <cellStyle name="20 % - Aksentti5 3 11_DataIX" xfId="30243" xr:uid="{00000000-0005-0000-0000-0000D9110000}"/>
    <cellStyle name="20 % - Aksentti5 3 2" xfId="1431" xr:uid="{00000000-0005-0000-0000-0000DA110000}"/>
    <cellStyle name="20 % - Aksentti5 3 2 10" xfId="1432" xr:uid="{00000000-0005-0000-0000-0000DB110000}"/>
    <cellStyle name="20 % - Aksentti5 3 2 10 2" xfId="6752" xr:uid="{00000000-0005-0000-0000-0000DC110000}"/>
    <cellStyle name="20 % - Aksentti5 3 2 10 3" xfId="14956" xr:uid="{00000000-0005-0000-0000-0000DD110000}"/>
    <cellStyle name="20 % - Aksentti5 3 2 10_DataIX" xfId="30245" xr:uid="{00000000-0005-0000-0000-0000DE110000}"/>
    <cellStyle name="20 % - Aksentti5 3 2 11" xfId="6751" xr:uid="{00000000-0005-0000-0000-0000DF110000}"/>
    <cellStyle name="20 % - Aksentti5 3 2 12" xfId="14955" xr:uid="{00000000-0005-0000-0000-0000E0110000}"/>
    <cellStyle name="20 % - Aksentti5 3 2 2" xfId="1433" xr:uid="{00000000-0005-0000-0000-0000E1110000}"/>
    <cellStyle name="20 % - Aksentti5 3 2 2 2" xfId="1434" xr:uid="{00000000-0005-0000-0000-0000E2110000}"/>
    <cellStyle name="20 % - Aksentti5 3 2 2 2 2" xfId="6754" xr:uid="{00000000-0005-0000-0000-0000E3110000}"/>
    <cellStyle name="20 % - Aksentti5 3 2 2 2 3" xfId="14958" xr:uid="{00000000-0005-0000-0000-0000E4110000}"/>
    <cellStyle name="20 % - Aksentti5 3 2 2 2_DataIX" xfId="30247" xr:uid="{00000000-0005-0000-0000-0000E5110000}"/>
    <cellStyle name="20 % - Aksentti5 3 2 2 3" xfId="6753" xr:uid="{00000000-0005-0000-0000-0000E6110000}"/>
    <cellStyle name="20 % - Aksentti5 3 2 2 4" xfId="14957" xr:uid="{00000000-0005-0000-0000-0000E7110000}"/>
    <cellStyle name="20 % - Aksentti5 3 2 2_DataIX" xfId="30246" xr:uid="{00000000-0005-0000-0000-0000E8110000}"/>
    <cellStyle name="20 % - Aksentti5 3 2 3" xfId="1435" xr:uid="{00000000-0005-0000-0000-0000E9110000}"/>
    <cellStyle name="20 % - Aksentti5 3 2 3 2" xfId="6755" xr:uid="{00000000-0005-0000-0000-0000EA110000}"/>
    <cellStyle name="20 % - Aksentti5 3 2 3 3" xfId="14959" xr:uid="{00000000-0005-0000-0000-0000EB110000}"/>
    <cellStyle name="20 % - Aksentti5 3 2 3_DataIX" xfId="30248" xr:uid="{00000000-0005-0000-0000-0000EC110000}"/>
    <cellStyle name="20 % - Aksentti5 3 2 4" xfId="1436" xr:uid="{00000000-0005-0000-0000-0000ED110000}"/>
    <cellStyle name="20 % - Aksentti5 3 2 4 2" xfId="6756" xr:uid="{00000000-0005-0000-0000-0000EE110000}"/>
    <cellStyle name="20 % - Aksentti5 3 2 4 3" xfId="14960" xr:uid="{00000000-0005-0000-0000-0000EF110000}"/>
    <cellStyle name="20 % - Aksentti5 3 2 4_DataIX" xfId="30249" xr:uid="{00000000-0005-0000-0000-0000F0110000}"/>
    <cellStyle name="20 % - Aksentti5 3 2 5" xfId="1437" xr:uid="{00000000-0005-0000-0000-0000F1110000}"/>
    <cellStyle name="20 % - Aksentti5 3 2 5 2" xfId="6757" xr:uid="{00000000-0005-0000-0000-0000F2110000}"/>
    <cellStyle name="20 % - Aksentti5 3 2 5 3" xfId="14961" xr:uid="{00000000-0005-0000-0000-0000F3110000}"/>
    <cellStyle name="20 % - Aksentti5 3 2 5_DataIX" xfId="30250" xr:uid="{00000000-0005-0000-0000-0000F4110000}"/>
    <cellStyle name="20 % - Aksentti5 3 2 6" xfId="1438" xr:uid="{00000000-0005-0000-0000-0000F5110000}"/>
    <cellStyle name="20 % - Aksentti5 3 2 6 2" xfId="6758" xr:uid="{00000000-0005-0000-0000-0000F6110000}"/>
    <cellStyle name="20 % - Aksentti5 3 2 6 3" xfId="14962" xr:uid="{00000000-0005-0000-0000-0000F7110000}"/>
    <cellStyle name="20 % - Aksentti5 3 2 6_DataIX" xfId="30251" xr:uid="{00000000-0005-0000-0000-0000F8110000}"/>
    <cellStyle name="20 % - Aksentti5 3 2 7" xfId="1439" xr:uid="{00000000-0005-0000-0000-0000F9110000}"/>
    <cellStyle name="20 % - Aksentti5 3 2 7 2" xfId="6759" xr:uid="{00000000-0005-0000-0000-0000FA110000}"/>
    <cellStyle name="20 % - Aksentti5 3 2 7 3" xfId="14963" xr:uid="{00000000-0005-0000-0000-0000FB110000}"/>
    <cellStyle name="20 % - Aksentti5 3 2 7_DataIX" xfId="30252" xr:uid="{00000000-0005-0000-0000-0000FC110000}"/>
    <cellStyle name="20 % - Aksentti5 3 2 8" xfId="1440" xr:uid="{00000000-0005-0000-0000-0000FD110000}"/>
    <cellStyle name="20 % - Aksentti5 3 2 8 2" xfId="6760" xr:uid="{00000000-0005-0000-0000-0000FE110000}"/>
    <cellStyle name="20 % - Aksentti5 3 2 8 3" xfId="14964" xr:uid="{00000000-0005-0000-0000-0000FF110000}"/>
    <cellStyle name="20 % - Aksentti5 3 2 8_DataIX" xfId="30253" xr:uid="{00000000-0005-0000-0000-000000120000}"/>
    <cellStyle name="20 % - Aksentti5 3 2 9" xfId="1441" xr:uid="{00000000-0005-0000-0000-000001120000}"/>
    <cellStyle name="20 % - Aksentti5 3 2 9 2" xfId="6761" xr:uid="{00000000-0005-0000-0000-000002120000}"/>
    <cellStyle name="20 % - Aksentti5 3 2 9 3" xfId="14965" xr:uid="{00000000-0005-0000-0000-000003120000}"/>
    <cellStyle name="20 % - Aksentti5 3 2 9_DataIX" xfId="30254" xr:uid="{00000000-0005-0000-0000-000004120000}"/>
    <cellStyle name="20 % - Aksentti5 3 2_DataIX" xfId="30244" xr:uid="{00000000-0005-0000-0000-000005120000}"/>
    <cellStyle name="20 % - Aksentti5 3 3" xfId="1442" xr:uid="{00000000-0005-0000-0000-000006120000}"/>
    <cellStyle name="20 % - Aksentti5 3 3 2" xfId="1443" xr:uid="{00000000-0005-0000-0000-000007120000}"/>
    <cellStyle name="20 % - Aksentti5 3 3 2 2" xfId="1444" xr:uid="{00000000-0005-0000-0000-000008120000}"/>
    <cellStyle name="20 % - Aksentti5 3 3 2 2 2" xfId="6764" xr:uid="{00000000-0005-0000-0000-000009120000}"/>
    <cellStyle name="20 % - Aksentti5 3 3 2 2 3" xfId="14968" xr:uid="{00000000-0005-0000-0000-00000A120000}"/>
    <cellStyle name="20 % - Aksentti5 3 3 2 2_DataIX" xfId="30257" xr:uid="{00000000-0005-0000-0000-00000B120000}"/>
    <cellStyle name="20 % - Aksentti5 3 3 2 3" xfId="6763" xr:uid="{00000000-0005-0000-0000-00000C120000}"/>
    <cellStyle name="20 % - Aksentti5 3 3 2 4" xfId="14967" xr:uid="{00000000-0005-0000-0000-00000D120000}"/>
    <cellStyle name="20 % - Aksentti5 3 3 2_DataIX" xfId="30256" xr:uid="{00000000-0005-0000-0000-00000E120000}"/>
    <cellStyle name="20 % - Aksentti5 3 3 3" xfId="1445" xr:uid="{00000000-0005-0000-0000-00000F120000}"/>
    <cellStyle name="20 % - Aksentti5 3 3 3 2" xfId="6765" xr:uid="{00000000-0005-0000-0000-000010120000}"/>
    <cellStyle name="20 % - Aksentti5 3 3 3 3" xfId="14969" xr:uid="{00000000-0005-0000-0000-000011120000}"/>
    <cellStyle name="20 % - Aksentti5 3 3 3_DataIX" xfId="30258" xr:uid="{00000000-0005-0000-0000-000012120000}"/>
    <cellStyle name="20 % - Aksentti5 3 3 4" xfId="6762" xr:uid="{00000000-0005-0000-0000-000013120000}"/>
    <cellStyle name="20 % - Aksentti5 3 3 5" xfId="14966" xr:uid="{00000000-0005-0000-0000-000014120000}"/>
    <cellStyle name="20 % - Aksentti5 3 3_DataIX" xfId="30255" xr:uid="{00000000-0005-0000-0000-000015120000}"/>
    <cellStyle name="20 % - Aksentti5 3 4" xfId="1446" xr:uid="{00000000-0005-0000-0000-000016120000}"/>
    <cellStyle name="20 % - Aksentti5 3 4 2" xfId="1447" xr:uid="{00000000-0005-0000-0000-000017120000}"/>
    <cellStyle name="20 % - Aksentti5 3 4 2 2" xfId="1448" xr:uid="{00000000-0005-0000-0000-000018120000}"/>
    <cellStyle name="20 % - Aksentti5 3 4 2 2 2" xfId="6768" xr:uid="{00000000-0005-0000-0000-000019120000}"/>
    <cellStyle name="20 % - Aksentti5 3 4 2 2 3" xfId="14972" xr:uid="{00000000-0005-0000-0000-00001A120000}"/>
    <cellStyle name="20 % - Aksentti5 3 4 2 2_DataIX" xfId="30261" xr:uid="{00000000-0005-0000-0000-00001B120000}"/>
    <cellStyle name="20 % - Aksentti5 3 4 2 3" xfId="6767" xr:uid="{00000000-0005-0000-0000-00001C120000}"/>
    <cellStyle name="20 % - Aksentti5 3 4 2 4" xfId="14971" xr:uid="{00000000-0005-0000-0000-00001D120000}"/>
    <cellStyle name="20 % - Aksentti5 3 4 2_DataIX" xfId="30260" xr:uid="{00000000-0005-0000-0000-00001E120000}"/>
    <cellStyle name="20 % - Aksentti5 3 4 3" xfId="1449" xr:uid="{00000000-0005-0000-0000-00001F120000}"/>
    <cellStyle name="20 % - Aksentti5 3 4 3 2" xfId="6769" xr:uid="{00000000-0005-0000-0000-000020120000}"/>
    <cellStyle name="20 % - Aksentti5 3 4 3 3" xfId="14973" xr:uid="{00000000-0005-0000-0000-000021120000}"/>
    <cellStyle name="20 % - Aksentti5 3 4 3_DataIX" xfId="30262" xr:uid="{00000000-0005-0000-0000-000022120000}"/>
    <cellStyle name="20 % - Aksentti5 3 4 4" xfId="6766" xr:uid="{00000000-0005-0000-0000-000023120000}"/>
    <cellStyle name="20 % - Aksentti5 3 4 5" xfId="14970" xr:uid="{00000000-0005-0000-0000-000024120000}"/>
    <cellStyle name="20 % - Aksentti5 3 4_DataIX" xfId="30259" xr:uid="{00000000-0005-0000-0000-000025120000}"/>
    <cellStyle name="20 % - Aksentti5 3 5" xfId="1450" xr:uid="{00000000-0005-0000-0000-000026120000}"/>
    <cellStyle name="20 % - Aksentti5 3 5 2" xfId="1451" xr:uid="{00000000-0005-0000-0000-000027120000}"/>
    <cellStyle name="20 % - Aksentti5 3 5 2 2" xfId="6771" xr:uid="{00000000-0005-0000-0000-000028120000}"/>
    <cellStyle name="20 % - Aksentti5 3 5 2 3" xfId="14975" xr:uid="{00000000-0005-0000-0000-000029120000}"/>
    <cellStyle name="20 % - Aksentti5 3 5 2_DataIX" xfId="30264" xr:uid="{00000000-0005-0000-0000-00002A120000}"/>
    <cellStyle name="20 % - Aksentti5 3 5 3" xfId="6770" xr:uid="{00000000-0005-0000-0000-00002B120000}"/>
    <cellStyle name="20 % - Aksentti5 3 5 4" xfId="14974" xr:uid="{00000000-0005-0000-0000-00002C120000}"/>
    <cellStyle name="20 % - Aksentti5 3 5_DataIX" xfId="30263" xr:uid="{00000000-0005-0000-0000-00002D120000}"/>
    <cellStyle name="20 % - Aksentti5 3 6" xfId="1452" xr:uid="{00000000-0005-0000-0000-00002E120000}"/>
    <cellStyle name="20 % - Aksentti5 3 6 2" xfId="6772" xr:uid="{00000000-0005-0000-0000-00002F120000}"/>
    <cellStyle name="20 % - Aksentti5 3 6 3" xfId="14976" xr:uid="{00000000-0005-0000-0000-000030120000}"/>
    <cellStyle name="20 % - Aksentti5 3 6_DataIX" xfId="30265" xr:uid="{00000000-0005-0000-0000-000031120000}"/>
    <cellStyle name="20 % - Aksentti5 3 7" xfId="1453" xr:uid="{00000000-0005-0000-0000-000032120000}"/>
    <cellStyle name="20 % - Aksentti5 3 7 2" xfId="6773" xr:uid="{00000000-0005-0000-0000-000033120000}"/>
    <cellStyle name="20 % - Aksentti5 3 7 3" xfId="14977" xr:uid="{00000000-0005-0000-0000-000034120000}"/>
    <cellStyle name="20 % - Aksentti5 3 7_DataIX" xfId="30266" xr:uid="{00000000-0005-0000-0000-000035120000}"/>
    <cellStyle name="20 % - Aksentti5 3 8" xfId="1454" xr:uid="{00000000-0005-0000-0000-000036120000}"/>
    <cellStyle name="20 % - Aksentti5 3 8 2" xfId="6774" xr:uid="{00000000-0005-0000-0000-000037120000}"/>
    <cellStyle name="20 % - Aksentti5 3 8 3" xfId="14978" xr:uid="{00000000-0005-0000-0000-000038120000}"/>
    <cellStyle name="20 % - Aksentti5 3 8_DataIX" xfId="30267" xr:uid="{00000000-0005-0000-0000-000039120000}"/>
    <cellStyle name="20 % - Aksentti5 3 9" xfId="1455" xr:uid="{00000000-0005-0000-0000-00003A120000}"/>
    <cellStyle name="20 % - Aksentti5 3 9 2" xfId="6775" xr:uid="{00000000-0005-0000-0000-00003B120000}"/>
    <cellStyle name="20 % - Aksentti5 3 9 3" xfId="14979" xr:uid="{00000000-0005-0000-0000-00003C120000}"/>
    <cellStyle name="20 % - Aksentti5 3 9_DataIX" xfId="30268" xr:uid="{00000000-0005-0000-0000-00003D120000}"/>
    <cellStyle name="20 % - Aksentti5 3_DataIX" xfId="30241" xr:uid="{00000000-0005-0000-0000-00003E120000}"/>
    <cellStyle name="20 % - Aksentti5 4" xfId="1456" xr:uid="{00000000-0005-0000-0000-00003F120000}"/>
    <cellStyle name="20 % - Aksentti5 4 10" xfId="1457" xr:uid="{00000000-0005-0000-0000-000040120000}"/>
    <cellStyle name="20 % - Aksentti5 4 10 2" xfId="6776" xr:uid="{00000000-0005-0000-0000-000041120000}"/>
    <cellStyle name="20 % - Aksentti5 4 10 3" xfId="14981" xr:uid="{00000000-0005-0000-0000-000042120000}"/>
    <cellStyle name="20 % - Aksentti5 4 10_DataIX" xfId="30270" xr:uid="{00000000-0005-0000-0000-000043120000}"/>
    <cellStyle name="20 % - Aksentti5 4 11" xfId="5479" xr:uid="{00000000-0005-0000-0000-000044120000}"/>
    <cellStyle name="20 % - Aksentti5 4 12" xfId="14980" xr:uid="{00000000-0005-0000-0000-000045120000}"/>
    <cellStyle name="20 % - Aksentti5 4 2" xfId="1458" xr:uid="{00000000-0005-0000-0000-000046120000}"/>
    <cellStyle name="20 % - Aksentti5 4 2 2" xfId="1459" xr:uid="{00000000-0005-0000-0000-000047120000}"/>
    <cellStyle name="20 % - Aksentti5 4 2 2 2" xfId="1460" xr:uid="{00000000-0005-0000-0000-000048120000}"/>
    <cellStyle name="20 % - Aksentti5 4 2 2 2 2" xfId="6779" xr:uid="{00000000-0005-0000-0000-000049120000}"/>
    <cellStyle name="20 % - Aksentti5 4 2 2 2 3" xfId="14984" xr:uid="{00000000-0005-0000-0000-00004A120000}"/>
    <cellStyle name="20 % - Aksentti5 4 2 2 2_DataIX" xfId="30273" xr:uid="{00000000-0005-0000-0000-00004B120000}"/>
    <cellStyle name="20 % - Aksentti5 4 2 2 3" xfId="6778" xr:uid="{00000000-0005-0000-0000-00004C120000}"/>
    <cellStyle name="20 % - Aksentti5 4 2 2 4" xfId="14983" xr:uid="{00000000-0005-0000-0000-00004D120000}"/>
    <cellStyle name="20 % - Aksentti5 4 2 2_DataIX" xfId="30272" xr:uid="{00000000-0005-0000-0000-00004E120000}"/>
    <cellStyle name="20 % - Aksentti5 4 2 3" xfId="1461" xr:uid="{00000000-0005-0000-0000-00004F120000}"/>
    <cellStyle name="20 % - Aksentti5 4 2 3 2" xfId="6780" xr:uid="{00000000-0005-0000-0000-000050120000}"/>
    <cellStyle name="20 % - Aksentti5 4 2 3 3" xfId="14985" xr:uid="{00000000-0005-0000-0000-000051120000}"/>
    <cellStyle name="20 % - Aksentti5 4 2 3_DataIX" xfId="30274" xr:uid="{00000000-0005-0000-0000-000052120000}"/>
    <cellStyle name="20 % - Aksentti5 4 2 4" xfId="6777" xr:uid="{00000000-0005-0000-0000-000053120000}"/>
    <cellStyle name="20 % - Aksentti5 4 2 5" xfId="14982" xr:uid="{00000000-0005-0000-0000-000054120000}"/>
    <cellStyle name="20 % - Aksentti5 4 2_DataIX" xfId="30271" xr:uid="{00000000-0005-0000-0000-000055120000}"/>
    <cellStyle name="20 % - Aksentti5 4 3" xfId="1462" xr:uid="{00000000-0005-0000-0000-000056120000}"/>
    <cellStyle name="20 % - Aksentti5 4 3 2" xfId="1463" xr:uid="{00000000-0005-0000-0000-000057120000}"/>
    <cellStyle name="20 % - Aksentti5 4 3 2 2" xfId="6782" xr:uid="{00000000-0005-0000-0000-000058120000}"/>
    <cellStyle name="20 % - Aksentti5 4 3 2 3" xfId="14987" xr:uid="{00000000-0005-0000-0000-000059120000}"/>
    <cellStyle name="20 % - Aksentti5 4 3 2_DataIX" xfId="30276" xr:uid="{00000000-0005-0000-0000-00005A120000}"/>
    <cellStyle name="20 % - Aksentti5 4 3 3" xfId="6781" xr:uid="{00000000-0005-0000-0000-00005B120000}"/>
    <cellStyle name="20 % - Aksentti5 4 3 4" xfId="14986" xr:uid="{00000000-0005-0000-0000-00005C120000}"/>
    <cellStyle name="20 % - Aksentti5 4 3_DataIX" xfId="30275" xr:uid="{00000000-0005-0000-0000-00005D120000}"/>
    <cellStyle name="20 % - Aksentti5 4 4" xfId="1464" xr:uid="{00000000-0005-0000-0000-00005E120000}"/>
    <cellStyle name="20 % - Aksentti5 4 4 2" xfId="6783" xr:uid="{00000000-0005-0000-0000-00005F120000}"/>
    <cellStyle name="20 % - Aksentti5 4 4 3" xfId="14988" xr:uid="{00000000-0005-0000-0000-000060120000}"/>
    <cellStyle name="20 % - Aksentti5 4 4_DataIX" xfId="30277" xr:uid="{00000000-0005-0000-0000-000061120000}"/>
    <cellStyle name="20 % - Aksentti5 4 5" xfId="1465" xr:uid="{00000000-0005-0000-0000-000062120000}"/>
    <cellStyle name="20 % - Aksentti5 4 5 2" xfId="6784" xr:uid="{00000000-0005-0000-0000-000063120000}"/>
    <cellStyle name="20 % - Aksentti5 4 5 3" xfId="14989" xr:uid="{00000000-0005-0000-0000-000064120000}"/>
    <cellStyle name="20 % - Aksentti5 4 5_DataIX" xfId="30278" xr:uid="{00000000-0005-0000-0000-000065120000}"/>
    <cellStyle name="20 % - Aksentti5 4 6" xfId="1466" xr:uid="{00000000-0005-0000-0000-000066120000}"/>
    <cellStyle name="20 % - Aksentti5 4 6 2" xfId="6785" xr:uid="{00000000-0005-0000-0000-000067120000}"/>
    <cellStyle name="20 % - Aksentti5 4 6 3" xfId="14990" xr:uid="{00000000-0005-0000-0000-000068120000}"/>
    <cellStyle name="20 % - Aksentti5 4 6_DataIX" xfId="30279" xr:uid="{00000000-0005-0000-0000-000069120000}"/>
    <cellStyle name="20 % - Aksentti5 4 7" xfId="1467" xr:uid="{00000000-0005-0000-0000-00006A120000}"/>
    <cellStyle name="20 % - Aksentti5 4 7 2" xfId="6786" xr:uid="{00000000-0005-0000-0000-00006B120000}"/>
    <cellStyle name="20 % - Aksentti5 4 7 3" xfId="14991" xr:uid="{00000000-0005-0000-0000-00006C120000}"/>
    <cellStyle name="20 % - Aksentti5 4 7_DataIX" xfId="30280" xr:uid="{00000000-0005-0000-0000-00006D120000}"/>
    <cellStyle name="20 % - Aksentti5 4 8" xfId="1468" xr:uid="{00000000-0005-0000-0000-00006E120000}"/>
    <cellStyle name="20 % - Aksentti5 4 8 2" xfId="6787" xr:uid="{00000000-0005-0000-0000-00006F120000}"/>
    <cellStyle name="20 % - Aksentti5 4 8 3" xfId="14992" xr:uid="{00000000-0005-0000-0000-000070120000}"/>
    <cellStyle name="20 % - Aksentti5 4 8_DataIX" xfId="30281" xr:uid="{00000000-0005-0000-0000-000071120000}"/>
    <cellStyle name="20 % - Aksentti5 4 9" xfId="1469" xr:uid="{00000000-0005-0000-0000-000072120000}"/>
    <cellStyle name="20 % - Aksentti5 4 9 2" xfId="6788" xr:uid="{00000000-0005-0000-0000-000073120000}"/>
    <cellStyle name="20 % - Aksentti5 4 9 3" xfId="14993" xr:uid="{00000000-0005-0000-0000-000074120000}"/>
    <cellStyle name="20 % - Aksentti5 4 9_DataIX" xfId="30282" xr:uid="{00000000-0005-0000-0000-000075120000}"/>
    <cellStyle name="20 % - Aksentti5 4_DataIX" xfId="30269" xr:uid="{00000000-0005-0000-0000-000076120000}"/>
    <cellStyle name="20 % - Aksentti5 5" xfId="1470" xr:uid="{00000000-0005-0000-0000-000077120000}"/>
    <cellStyle name="20 % - Aksentti5 5 10" xfId="1471" xr:uid="{00000000-0005-0000-0000-000078120000}"/>
    <cellStyle name="20 % - Aksentti5 5 10 2" xfId="6790" xr:uid="{00000000-0005-0000-0000-000079120000}"/>
    <cellStyle name="20 % - Aksentti5 5 10 3" xfId="14995" xr:uid="{00000000-0005-0000-0000-00007A120000}"/>
    <cellStyle name="20 % - Aksentti5 5 10_DataIX" xfId="30284" xr:uid="{00000000-0005-0000-0000-00007B120000}"/>
    <cellStyle name="20 % - Aksentti5 5 11" xfId="6789" xr:uid="{00000000-0005-0000-0000-00007C120000}"/>
    <cellStyle name="20 % - Aksentti5 5 12" xfId="14994" xr:uid="{00000000-0005-0000-0000-00007D120000}"/>
    <cellStyle name="20 % - Aksentti5 5 2" xfId="1472" xr:uid="{00000000-0005-0000-0000-00007E120000}"/>
    <cellStyle name="20 % - Aksentti5 5 2 2" xfId="1473" xr:uid="{00000000-0005-0000-0000-00007F120000}"/>
    <cellStyle name="20 % - Aksentti5 5 2 2 2" xfId="1474" xr:uid="{00000000-0005-0000-0000-000080120000}"/>
    <cellStyle name="20 % - Aksentti5 5 2 2 2 2" xfId="6793" xr:uid="{00000000-0005-0000-0000-000081120000}"/>
    <cellStyle name="20 % - Aksentti5 5 2 2 2 3" xfId="14998" xr:uid="{00000000-0005-0000-0000-000082120000}"/>
    <cellStyle name="20 % - Aksentti5 5 2 2 2_DataIX" xfId="30287" xr:uid="{00000000-0005-0000-0000-000083120000}"/>
    <cellStyle name="20 % - Aksentti5 5 2 2 3" xfId="6792" xr:uid="{00000000-0005-0000-0000-000084120000}"/>
    <cellStyle name="20 % - Aksentti5 5 2 2 4" xfId="14997" xr:uid="{00000000-0005-0000-0000-000085120000}"/>
    <cellStyle name="20 % - Aksentti5 5 2 2_DataIX" xfId="30286" xr:uid="{00000000-0005-0000-0000-000086120000}"/>
    <cellStyle name="20 % - Aksentti5 5 2 3" xfId="1475" xr:uid="{00000000-0005-0000-0000-000087120000}"/>
    <cellStyle name="20 % - Aksentti5 5 2 3 2" xfId="6794" xr:uid="{00000000-0005-0000-0000-000088120000}"/>
    <cellStyle name="20 % - Aksentti5 5 2 3 3" xfId="14999" xr:uid="{00000000-0005-0000-0000-000089120000}"/>
    <cellStyle name="20 % - Aksentti5 5 2 3_DataIX" xfId="30288" xr:uid="{00000000-0005-0000-0000-00008A120000}"/>
    <cellStyle name="20 % - Aksentti5 5 2 4" xfId="6791" xr:uid="{00000000-0005-0000-0000-00008B120000}"/>
    <cellStyle name="20 % - Aksentti5 5 2 5" xfId="14996" xr:uid="{00000000-0005-0000-0000-00008C120000}"/>
    <cellStyle name="20 % - Aksentti5 5 2_DataIX" xfId="30285" xr:uid="{00000000-0005-0000-0000-00008D120000}"/>
    <cellStyle name="20 % - Aksentti5 5 3" xfId="1476" xr:uid="{00000000-0005-0000-0000-00008E120000}"/>
    <cellStyle name="20 % - Aksentti5 5 3 2" xfId="1477" xr:uid="{00000000-0005-0000-0000-00008F120000}"/>
    <cellStyle name="20 % - Aksentti5 5 3 2 2" xfId="6796" xr:uid="{00000000-0005-0000-0000-000090120000}"/>
    <cellStyle name="20 % - Aksentti5 5 3 2 3" xfId="15001" xr:uid="{00000000-0005-0000-0000-000091120000}"/>
    <cellStyle name="20 % - Aksentti5 5 3 2_DataIX" xfId="30290" xr:uid="{00000000-0005-0000-0000-000092120000}"/>
    <cellStyle name="20 % - Aksentti5 5 3 3" xfId="6795" xr:uid="{00000000-0005-0000-0000-000093120000}"/>
    <cellStyle name="20 % - Aksentti5 5 3 4" xfId="15000" xr:uid="{00000000-0005-0000-0000-000094120000}"/>
    <cellStyle name="20 % - Aksentti5 5 3_DataIX" xfId="30289" xr:uid="{00000000-0005-0000-0000-000095120000}"/>
    <cellStyle name="20 % - Aksentti5 5 4" xfId="1478" xr:uid="{00000000-0005-0000-0000-000096120000}"/>
    <cellStyle name="20 % - Aksentti5 5 4 2" xfId="6797" xr:uid="{00000000-0005-0000-0000-000097120000}"/>
    <cellStyle name="20 % - Aksentti5 5 4 3" xfId="15002" xr:uid="{00000000-0005-0000-0000-000098120000}"/>
    <cellStyle name="20 % - Aksentti5 5 4_DataIX" xfId="30291" xr:uid="{00000000-0005-0000-0000-000099120000}"/>
    <cellStyle name="20 % - Aksentti5 5 5" xfId="1479" xr:uid="{00000000-0005-0000-0000-00009A120000}"/>
    <cellStyle name="20 % - Aksentti5 5 5 2" xfId="6798" xr:uid="{00000000-0005-0000-0000-00009B120000}"/>
    <cellStyle name="20 % - Aksentti5 5 5 3" xfId="15003" xr:uid="{00000000-0005-0000-0000-00009C120000}"/>
    <cellStyle name="20 % - Aksentti5 5 5_DataIX" xfId="30292" xr:uid="{00000000-0005-0000-0000-00009D120000}"/>
    <cellStyle name="20 % - Aksentti5 5 6" xfId="1480" xr:uid="{00000000-0005-0000-0000-00009E120000}"/>
    <cellStyle name="20 % - Aksentti5 5 6 2" xfId="6799" xr:uid="{00000000-0005-0000-0000-00009F120000}"/>
    <cellStyle name="20 % - Aksentti5 5 6 3" xfId="15004" xr:uid="{00000000-0005-0000-0000-0000A0120000}"/>
    <cellStyle name="20 % - Aksentti5 5 6_DataIX" xfId="30293" xr:uid="{00000000-0005-0000-0000-0000A1120000}"/>
    <cellStyle name="20 % - Aksentti5 5 7" xfId="1481" xr:uid="{00000000-0005-0000-0000-0000A2120000}"/>
    <cellStyle name="20 % - Aksentti5 5 7 2" xfId="6800" xr:uid="{00000000-0005-0000-0000-0000A3120000}"/>
    <cellStyle name="20 % - Aksentti5 5 7 3" xfId="15005" xr:uid="{00000000-0005-0000-0000-0000A4120000}"/>
    <cellStyle name="20 % - Aksentti5 5 7_DataIX" xfId="30294" xr:uid="{00000000-0005-0000-0000-0000A5120000}"/>
    <cellStyle name="20 % - Aksentti5 5 8" xfId="1482" xr:uid="{00000000-0005-0000-0000-0000A6120000}"/>
    <cellStyle name="20 % - Aksentti5 5 8 2" xfId="6801" xr:uid="{00000000-0005-0000-0000-0000A7120000}"/>
    <cellStyle name="20 % - Aksentti5 5 8 3" xfId="15006" xr:uid="{00000000-0005-0000-0000-0000A8120000}"/>
    <cellStyle name="20 % - Aksentti5 5 8_DataIX" xfId="30295" xr:uid="{00000000-0005-0000-0000-0000A9120000}"/>
    <cellStyle name="20 % - Aksentti5 5 9" xfId="1483" xr:uid="{00000000-0005-0000-0000-0000AA120000}"/>
    <cellStyle name="20 % - Aksentti5 5 9 2" xfId="6802" xr:uid="{00000000-0005-0000-0000-0000AB120000}"/>
    <cellStyle name="20 % - Aksentti5 5 9 3" xfId="15007" xr:uid="{00000000-0005-0000-0000-0000AC120000}"/>
    <cellStyle name="20 % - Aksentti5 5 9_DataIX" xfId="30296" xr:uid="{00000000-0005-0000-0000-0000AD120000}"/>
    <cellStyle name="20 % - Aksentti5 5_DataIX" xfId="30283" xr:uid="{00000000-0005-0000-0000-0000AE120000}"/>
    <cellStyle name="20 % - Aksentti5 6" xfId="1484" xr:uid="{00000000-0005-0000-0000-0000AF120000}"/>
    <cellStyle name="20 % - Aksentti5 6 10" xfId="1485" xr:uid="{00000000-0005-0000-0000-0000B0120000}"/>
    <cellStyle name="20 % - Aksentti5 6 10 2" xfId="6804" xr:uid="{00000000-0005-0000-0000-0000B1120000}"/>
    <cellStyle name="20 % - Aksentti5 6 10 3" xfId="15009" xr:uid="{00000000-0005-0000-0000-0000B2120000}"/>
    <cellStyle name="20 % - Aksentti5 6 10_DataIX" xfId="30298" xr:uid="{00000000-0005-0000-0000-0000B3120000}"/>
    <cellStyle name="20 % - Aksentti5 6 11" xfId="6803" xr:uid="{00000000-0005-0000-0000-0000B4120000}"/>
    <cellStyle name="20 % - Aksentti5 6 12" xfId="15008" xr:uid="{00000000-0005-0000-0000-0000B5120000}"/>
    <cellStyle name="20 % - Aksentti5 6 2" xfId="1486" xr:uid="{00000000-0005-0000-0000-0000B6120000}"/>
    <cellStyle name="20 % - Aksentti5 6 2 2" xfId="1487" xr:uid="{00000000-0005-0000-0000-0000B7120000}"/>
    <cellStyle name="20 % - Aksentti5 6 2 2 2" xfId="1488" xr:uid="{00000000-0005-0000-0000-0000B8120000}"/>
    <cellStyle name="20 % - Aksentti5 6 2 2 2 2" xfId="6807" xr:uid="{00000000-0005-0000-0000-0000B9120000}"/>
    <cellStyle name="20 % - Aksentti5 6 2 2 2 3" xfId="15012" xr:uid="{00000000-0005-0000-0000-0000BA120000}"/>
    <cellStyle name="20 % - Aksentti5 6 2 2 2_DataIX" xfId="30301" xr:uid="{00000000-0005-0000-0000-0000BB120000}"/>
    <cellStyle name="20 % - Aksentti5 6 2 2 3" xfId="6806" xr:uid="{00000000-0005-0000-0000-0000BC120000}"/>
    <cellStyle name="20 % - Aksentti5 6 2 2 4" xfId="15011" xr:uid="{00000000-0005-0000-0000-0000BD120000}"/>
    <cellStyle name="20 % - Aksentti5 6 2 2_DataIX" xfId="30300" xr:uid="{00000000-0005-0000-0000-0000BE120000}"/>
    <cellStyle name="20 % - Aksentti5 6 2 3" xfId="1489" xr:uid="{00000000-0005-0000-0000-0000BF120000}"/>
    <cellStyle name="20 % - Aksentti5 6 2 3 2" xfId="6808" xr:uid="{00000000-0005-0000-0000-0000C0120000}"/>
    <cellStyle name="20 % - Aksentti5 6 2 3 3" xfId="15013" xr:uid="{00000000-0005-0000-0000-0000C1120000}"/>
    <cellStyle name="20 % - Aksentti5 6 2 3_DataIX" xfId="30302" xr:uid="{00000000-0005-0000-0000-0000C2120000}"/>
    <cellStyle name="20 % - Aksentti5 6 2 4" xfId="6805" xr:uid="{00000000-0005-0000-0000-0000C3120000}"/>
    <cellStyle name="20 % - Aksentti5 6 2 5" xfId="15010" xr:uid="{00000000-0005-0000-0000-0000C4120000}"/>
    <cellStyle name="20 % - Aksentti5 6 2_DataIX" xfId="30299" xr:uid="{00000000-0005-0000-0000-0000C5120000}"/>
    <cellStyle name="20 % - Aksentti5 6 3" xfId="1490" xr:uid="{00000000-0005-0000-0000-0000C6120000}"/>
    <cellStyle name="20 % - Aksentti5 6 3 2" xfId="1491" xr:uid="{00000000-0005-0000-0000-0000C7120000}"/>
    <cellStyle name="20 % - Aksentti5 6 3 2 2" xfId="6810" xr:uid="{00000000-0005-0000-0000-0000C8120000}"/>
    <cellStyle name="20 % - Aksentti5 6 3 2 3" xfId="15015" xr:uid="{00000000-0005-0000-0000-0000C9120000}"/>
    <cellStyle name="20 % - Aksentti5 6 3 2_DataIX" xfId="30304" xr:uid="{00000000-0005-0000-0000-0000CA120000}"/>
    <cellStyle name="20 % - Aksentti5 6 3 3" xfId="6809" xr:uid="{00000000-0005-0000-0000-0000CB120000}"/>
    <cellStyle name="20 % - Aksentti5 6 3 4" xfId="15014" xr:uid="{00000000-0005-0000-0000-0000CC120000}"/>
    <cellStyle name="20 % - Aksentti5 6 3_DataIX" xfId="30303" xr:uid="{00000000-0005-0000-0000-0000CD120000}"/>
    <cellStyle name="20 % - Aksentti5 6 4" xfId="1492" xr:uid="{00000000-0005-0000-0000-0000CE120000}"/>
    <cellStyle name="20 % - Aksentti5 6 4 2" xfId="6811" xr:uid="{00000000-0005-0000-0000-0000CF120000}"/>
    <cellStyle name="20 % - Aksentti5 6 4 3" xfId="15016" xr:uid="{00000000-0005-0000-0000-0000D0120000}"/>
    <cellStyle name="20 % - Aksentti5 6 4_DataIX" xfId="30305" xr:uid="{00000000-0005-0000-0000-0000D1120000}"/>
    <cellStyle name="20 % - Aksentti5 6 5" xfId="1493" xr:uid="{00000000-0005-0000-0000-0000D2120000}"/>
    <cellStyle name="20 % - Aksentti5 6 5 2" xfId="6812" xr:uid="{00000000-0005-0000-0000-0000D3120000}"/>
    <cellStyle name="20 % - Aksentti5 6 5 3" xfId="15017" xr:uid="{00000000-0005-0000-0000-0000D4120000}"/>
    <cellStyle name="20 % - Aksentti5 6 5_DataIX" xfId="30306" xr:uid="{00000000-0005-0000-0000-0000D5120000}"/>
    <cellStyle name="20 % - Aksentti5 6 6" xfId="1494" xr:uid="{00000000-0005-0000-0000-0000D6120000}"/>
    <cellStyle name="20 % - Aksentti5 6 6 2" xfId="6813" xr:uid="{00000000-0005-0000-0000-0000D7120000}"/>
    <cellStyle name="20 % - Aksentti5 6 6 3" xfId="15018" xr:uid="{00000000-0005-0000-0000-0000D8120000}"/>
    <cellStyle name="20 % - Aksentti5 6 6_DataIX" xfId="30307" xr:uid="{00000000-0005-0000-0000-0000D9120000}"/>
    <cellStyle name="20 % - Aksentti5 6 7" xfId="1495" xr:uid="{00000000-0005-0000-0000-0000DA120000}"/>
    <cellStyle name="20 % - Aksentti5 6 7 2" xfId="6814" xr:uid="{00000000-0005-0000-0000-0000DB120000}"/>
    <cellStyle name="20 % - Aksentti5 6 7 3" xfId="15019" xr:uid="{00000000-0005-0000-0000-0000DC120000}"/>
    <cellStyle name="20 % - Aksentti5 6 7_DataIX" xfId="30308" xr:uid="{00000000-0005-0000-0000-0000DD120000}"/>
    <cellStyle name="20 % - Aksentti5 6 8" xfId="1496" xr:uid="{00000000-0005-0000-0000-0000DE120000}"/>
    <cellStyle name="20 % - Aksentti5 6 8 2" xfId="6815" xr:uid="{00000000-0005-0000-0000-0000DF120000}"/>
    <cellStyle name="20 % - Aksentti5 6 8 3" xfId="15020" xr:uid="{00000000-0005-0000-0000-0000E0120000}"/>
    <cellStyle name="20 % - Aksentti5 6 8_DataIX" xfId="30309" xr:uid="{00000000-0005-0000-0000-0000E1120000}"/>
    <cellStyle name="20 % - Aksentti5 6 9" xfId="1497" xr:uid="{00000000-0005-0000-0000-0000E2120000}"/>
    <cellStyle name="20 % - Aksentti5 6 9 2" xfId="6816" xr:uid="{00000000-0005-0000-0000-0000E3120000}"/>
    <cellStyle name="20 % - Aksentti5 6 9 3" xfId="15021" xr:uid="{00000000-0005-0000-0000-0000E4120000}"/>
    <cellStyle name="20 % - Aksentti5 6 9_DataIX" xfId="30310" xr:uid="{00000000-0005-0000-0000-0000E5120000}"/>
    <cellStyle name="20 % - Aksentti5 6_DataIX" xfId="30297" xr:uid="{00000000-0005-0000-0000-0000E6120000}"/>
    <cellStyle name="20 % - Aksentti5 7" xfId="1498" xr:uid="{00000000-0005-0000-0000-0000E7120000}"/>
    <cellStyle name="20 % - Aksentti5 7 10" xfId="1499" xr:uid="{00000000-0005-0000-0000-0000E8120000}"/>
    <cellStyle name="20 % - Aksentti5 7 10 2" xfId="6818" xr:uid="{00000000-0005-0000-0000-0000E9120000}"/>
    <cellStyle name="20 % - Aksentti5 7 10 3" xfId="15023" xr:uid="{00000000-0005-0000-0000-0000EA120000}"/>
    <cellStyle name="20 % - Aksentti5 7 10_DataIX" xfId="30312" xr:uid="{00000000-0005-0000-0000-0000EB120000}"/>
    <cellStyle name="20 % - Aksentti5 7 11" xfId="6817" xr:uid="{00000000-0005-0000-0000-0000EC120000}"/>
    <cellStyle name="20 % - Aksentti5 7 12" xfId="15022" xr:uid="{00000000-0005-0000-0000-0000ED120000}"/>
    <cellStyle name="20 % - Aksentti5 7 2" xfId="1500" xr:uid="{00000000-0005-0000-0000-0000EE120000}"/>
    <cellStyle name="20 % - Aksentti5 7 2 2" xfId="1501" xr:uid="{00000000-0005-0000-0000-0000EF120000}"/>
    <cellStyle name="20 % - Aksentti5 7 2 2 2" xfId="1502" xr:uid="{00000000-0005-0000-0000-0000F0120000}"/>
    <cellStyle name="20 % - Aksentti5 7 2 2 2 2" xfId="6821" xr:uid="{00000000-0005-0000-0000-0000F1120000}"/>
    <cellStyle name="20 % - Aksentti5 7 2 2 2 3" xfId="15026" xr:uid="{00000000-0005-0000-0000-0000F2120000}"/>
    <cellStyle name="20 % - Aksentti5 7 2 2 2_DataIX" xfId="30315" xr:uid="{00000000-0005-0000-0000-0000F3120000}"/>
    <cellStyle name="20 % - Aksentti5 7 2 2 3" xfId="6820" xr:uid="{00000000-0005-0000-0000-0000F4120000}"/>
    <cellStyle name="20 % - Aksentti5 7 2 2 4" xfId="15025" xr:uid="{00000000-0005-0000-0000-0000F5120000}"/>
    <cellStyle name="20 % - Aksentti5 7 2 2_DataIX" xfId="30314" xr:uid="{00000000-0005-0000-0000-0000F6120000}"/>
    <cellStyle name="20 % - Aksentti5 7 2 3" xfId="1503" xr:uid="{00000000-0005-0000-0000-0000F7120000}"/>
    <cellStyle name="20 % - Aksentti5 7 2 3 2" xfId="6822" xr:uid="{00000000-0005-0000-0000-0000F8120000}"/>
    <cellStyle name="20 % - Aksentti5 7 2 3 3" xfId="15027" xr:uid="{00000000-0005-0000-0000-0000F9120000}"/>
    <cellStyle name="20 % - Aksentti5 7 2 3_DataIX" xfId="30316" xr:uid="{00000000-0005-0000-0000-0000FA120000}"/>
    <cellStyle name="20 % - Aksentti5 7 2 4" xfId="6819" xr:uid="{00000000-0005-0000-0000-0000FB120000}"/>
    <cellStyle name="20 % - Aksentti5 7 2 5" xfId="15024" xr:uid="{00000000-0005-0000-0000-0000FC120000}"/>
    <cellStyle name="20 % - Aksentti5 7 2_DataIX" xfId="30313" xr:uid="{00000000-0005-0000-0000-0000FD120000}"/>
    <cellStyle name="20 % - Aksentti5 7 3" xfId="1504" xr:uid="{00000000-0005-0000-0000-0000FE120000}"/>
    <cellStyle name="20 % - Aksentti5 7 3 2" xfId="1505" xr:uid="{00000000-0005-0000-0000-0000FF120000}"/>
    <cellStyle name="20 % - Aksentti5 7 3 2 2" xfId="6824" xr:uid="{00000000-0005-0000-0000-000000130000}"/>
    <cellStyle name="20 % - Aksentti5 7 3 2 3" xfId="15029" xr:uid="{00000000-0005-0000-0000-000001130000}"/>
    <cellStyle name="20 % - Aksentti5 7 3 2_DataIX" xfId="30318" xr:uid="{00000000-0005-0000-0000-000002130000}"/>
    <cellStyle name="20 % - Aksentti5 7 3 3" xfId="6823" xr:uid="{00000000-0005-0000-0000-000003130000}"/>
    <cellStyle name="20 % - Aksentti5 7 3 4" xfId="15028" xr:uid="{00000000-0005-0000-0000-000004130000}"/>
    <cellStyle name="20 % - Aksentti5 7 3_DataIX" xfId="30317" xr:uid="{00000000-0005-0000-0000-000005130000}"/>
    <cellStyle name="20 % - Aksentti5 7 4" xfId="1506" xr:uid="{00000000-0005-0000-0000-000006130000}"/>
    <cellStyle name="20 % - Aksentti5 7 4 2" xfId="6825" xr:uid="{00000000-0005-0000-0000-000007130000}"/>
    <cellStyle name="20 % - Aksentti5 7 4 3" xfId="15030" xr:uid="{00000000-0005-0000-0000-000008130000}"/>
    <cellStyle name="20 % - Aksentti5 7 4_DataIX" xfId="30319" xr:uid="{00000000-0005-0000-0000-000009130000}"/>
    <cellStyle name="20 % - Aksentti5 7 5" xfId="1507" xr:uid="{00000000-0005-0000-0000-00000A130000}"/>
    <cellStyle name="20 % - Aksentti5 7 5 2" xfId="6826" xr:uid="{00000000-0005-0000-0000-00000B130000}"/>
    <cellStyle name="20 % - Aksentti5 7 5 3" xfId="15031" xr:uid="{00000000-0005-0000-0000-00000C130000}"/>
    <cellStyle name="20 % - Aksentti5 7 5_DataIX" xfId="30320" xr:uid="{00000000-0005-0000-0000-00000D130000}"/>
    <cellStyle name="20 % - Aksentti5 7 6" xfId="1508" xr:uid="{00000000-0005-0000-0000-00000E130000}"/>
    <cellStyle name="20 % - Aksentti5 7 6 2" xfId="6827" xr:uid="{00000000-0005-0000-0000-00000F130000}"/>
    <cellStyle name="20 % - Aksentti5 7 6 3" xfId="15032" xr:uid="{00000000-0005-0000-0000-000010130000}"/>
    <cellStyle name="20 % - Aksentti5 7 6_DataIX" xfId="30321" xr:uid="{00000000-0005-0000-0000-000011130000}"/>
    <cellStyle name="20 % - Aksentti5 7 7" xfId="1509" xr:uid="{00000000-0005-0000-0000-000012130000}"/>
    <cellStyle name="20 % - Aksentti5 7 7 2" xfId="6828" xr:uid="{00000000-0005-0000-0000-000013130000}"/>
    <cellStyle name="20 % - Aksentti5 7 7 3" xfId="15033" xr:uid="{00000000-0005-0000-0000-000014130000}"/>
    <cellStyle name="20 % - Aksentti5 7 7_DataIX" xfId="30322" xr:uid="{00000000-0005-0000-0000-000015130000}"/>
    <cellStyle name="20 % - Aksentti5 7 8" xfId="1510" xr:uid="{00000000-0005-0000-0000-000016130000}"/>
    <cellStyle name="20 % - Aksentti5 7 8 2" xfId="6829" xr:uid="{00000000-0005-0000-0000-000017130000}"/>
    <cellStyle name="20 % - Aksentti5 7 8 3" xfId="15034" xr:uid="{00000000-0005-0000-0000-000018130000}"/>
    <cellStyle name="20 % - Aksentti5 7 8_DataIX" xfId="30323" xr:uid="{00000000-0005-0000-0000-000019130000}"/>
    <cellStyle name="20 % - Aksentti5 7 9" xfId="1511" xr:uid="{00000000-0005-0000-0000-00001A130000}"/>
    <cellStyle name="20 % - Aksentti5 7 9 2" xfId="6830" xr:uid="{00000000-0005-0000-0000-00001B130000}"/>
    <cellStyle name="20 % - Aksentti5 7 9 3" xfId="15035" xr:uid="{00000000-0005-0000-0000-00001C130000}"/>
    <cellStyle name="20 % - Aksentti5 7 9_DataIX" xfId="30324" xr:uid="{00000000-0005-0000-0000-00001D130000}"/>
    <cellStyle name="20 % - Aksentti5 7_DataIX" xfId="30311" xr:uid="{00000000-0005-0000-0000-00001E130000}"/>
    <cellStyle name="20 % - Aksentti5 8" xfId="1512" xr:uid="{00000000-0005-0000-0000-00001F130000}"/>
    <cellStyle name="20 % - Aksentti5 8 10" xfId="1513" xr:uid="{00000000-0005-0000-0000-000020130000}"/>
    <cellStyle name="20 % - Aksentti5 8 10 2" xfId="6832" xr:uid="{00000000-0005-0000-0000-000021130000}"/>
    <cellStyle name="20 % - Aksentti5 8 10 3" xfId="15037" xr:uid="{00000000-0005-0000-0000-000022130000}"/>
    <cellStyle name="20 % - Aksentti5 8 10_DataIX" xfId="30326" xr:uid="{00000000-0005-0000-0000-000023130000}"/>
    <cellStyle name="20 % - Aksentti5 8 11" xfId="6831" xr:uid="{00000000-0005-0000-0000-000024130000}"/>
    <cellStyle name="20 % - Aksentti5 8 12" xfId="15036" xr:uid="{00000000-0005-0000-0000-000025130000}"/>
    <cellStyle name="20 % - Aksentti5 8 2" xfId="1514" xr:uid="{00000000-0005-0000-0000-000026130000}"/>
    <cellStyle name="20 % - Aksentti5 8 2 2" xfId="1515" xr:uid="{00000000-0005-0000-0000-000027130000}"/>
    <cellStyle name="20 % - Aksentti5 8 2 2 2" xfId="1516" xr:uid="{00000000-0005-0000-0000-000028130000}"/>
    <cellStyle name="20 % - Aksentti5 8 2 2 2 2" xfId="6835" xr:uid="{00000000-0005-0000-0000-000029130000}"/>
    <cellStyle name="20 % - Aksentti5 8 2 2 2 3" xfId="15040" xr:uid="{00000000-0005-0000-0000-00002A130000}"/>
    <cellStyle name="20 % - Aksentti5 8 2 2 2_DataIX" xfId="30329" xr:uid="{00000000-0005-0000-0000-00002B130000}"/>
    <cellStyle name="20 % - Aksentti5 8 2 2 3" xfId="6834" xr:uid="{00000000-0005-0000-0000-00002C130000}"/>
    <cellStyle name="20 % - Aksentti5 8 2 2 4" xfId="15039" xr:uid="{00000000-0005-0000-0000-00002D130000}"/>
    <cellStyle name="20 % - Aksentti5 8 2 2_DataIX" xfId="30328" xr:uid="{00000000-0005-0000-0000-00002E130000}"/>
    <cellStyle name="20 % - Aksentti5 8 2 3" xfId="1517" xr:uid="{00000000-0005-0000-0000-00002F130000}"/>
    <cellStyle name="20 % - Aksentti5 8 2 3 2" xfId="6836" xr:uid="{00000000-0005-0000-0000-000030130000}"/>
    <cellStyle name="20 % - Aksentti5 8 2 3 3" xfId="15041" xr:uid="{00000000-0005-0000-0000-000031130000}"/>
    <cellStyle name="20 % - Aksentti5 8 2 3_DataIX" xfId="30330" xr:uid="{00000000-0005-0000-0000-000032130000}"/>
    <cellStyle name="20 % - Aksentti5 8 2 4" xfId="6833" xr:uid="{00000000-0005-0000-0000-000033130000}"/>
    <cellStyle name="20 % - Aksentti5 8 2 5" xfId="15038" xr:uid="{00000000-0005-0000-0000-000034130000}"/>
    <cellStyle name="20 % - Aksentti5 8 2_DataIX" xfId="30327" xr:uid="{00000000-0005-0000-0000-000035130000}"/>
    <cellStyle name="20 % - Aksentti5 8 3" xfId="1518" xr:uid="{00000000-0005-0000-0000-000036130000}"/>
    <cellStyle name="20 % - Aksentti5 8 3 2" xfId="1519" xr:uid="{00000000-0005-0000-0000-000037130000}"/>
    <cellStyle name="20 % - Aksentti5 8 3 2 2" xfId="6838" xr:uid="{00000000-0005-0000-0000-000038130000}"/>
    <cellStyle name="20 % - Aksentti5 8 3 2 3" xfId="15043" xr:uid="{00000000-0005-0000-0000-000039130000}"/>
    <cellStyle name="20 % - Aksentti5 8 3 2_DataIX" xfId="30332" xr:uid="{00000000-0005-0000-0000-00003A130000}"/>
    <cellStyle name="20 % - Aksentti5 8 3 3" xfId="6837" xr:uid="{00000000-0005-0000-0000-00003B130000}"/>
    <cellStyle name="20 % - Aksentti5 8 3 4" xfId="15042" xr:uid="{00000000-0005-0000-0000-00003C130000}"/>
    <cellStyle name="20 % - Aksentti5 8 3_DataIX" xfId="30331" xr:uid="{00000000-0005-0000-0000-00003D130000}"/>
    <cellStyle name="20 % - Aksentti5 8 4" xfId="1520" xr:uid="{00000000-0005-0000-0000-00003E130000}"/>
    <cellStyle name="20 % - Aksentti5 8 4 2" xfId="6839" xr:uid="{00000000-0005-0000-0000-00003F130000}"/>
    <cellStyle name="20 % - Aksentti5 8 4 3" xfId="15044" xr:uid="{00000000-0005-0000-0000-000040130000}"/>
    <cellStyle name="20 % - Aksentti5 8 4_DataIX" xfId="30333" xr:uid="{00000000-0005-0000-0000-000041130000}"/>
    <cellStyle name="20 % - Aksentti5 8 5" xfId="1521" xr:uid="{00000000-0005-0000-0000-000042130000}"/>
    <cellStyle name="20 % - Aksentti5 8 5 2" xfId="6840" xr:uid="{00000000-0005-0000-0000-000043130000}"/>
    <cellStyle name="20 % - Aksentti5 8 5 3" xfId="15045" xr:uid="{00000000-0005-0000-0000-000044130000}"/>
    <cellStyle name="20 % - Aksentti5 8 5_DataIX" xfId="30334" xr:uid="{00000000-0005-0000-0000-000045130000}"/>
    <cellStyle name="20 % - Aksentti5 8 6" xfId="1522" xr:uid="{00000000-0005-0000-0000-000046130000}"/>
    <cellStyle name="20 % - Aksentti5 8 6 2" xfId="6841" xr:uid="{00000000-0005-0000-0000-000047130000}"/>
    <cellStyle name="20 % - Aksentti5 8 6 3" xfId="15046" xr:uid="{00000000-0005-0000-0000-000048130000}"/>
    <cellStyle name="20 % - Aksentti5 8 6_DataIX" xfId="30335" xr:uid="{00000000-0005-0000-0000-000049130000}"/>
    <cellStyle name="20 % - Aksentti5 8 7" xfId="1523" xr:uid="{00000000-0005-0000-0000-00004A130000}"/>
    <cellStyle name="20 % - Aksentti5 8 7 2" xfId="6842" xr:uid="{00000000-0005-0000-0000-00004B130000}"/>
    <cellStyle name="20 % - Aksentti5 8 7 3" xfId="15047" xr:uid="{00000000-0005-0000-0000-00004C130000}"/>
    <cellStyle name="20 % - Aksentti5 8 7_DataIX" xfId="30336" xr:uid="{00000000-0005-0000-0000-00004D130000}"/>
    <cellStyle name="20 % - Aksentti5 8 8" xfId="1524" xr:uid="{00000000-0005-0000-0000-00004E130000}"/>
    <cellStyle name="20 % - Aksentti5 8 8 2" xfId="6843" xr:uid="{00000000-0005-0000-0000-00004F130000}"/>
    <cellStyle name="20 % - Aksentti5 8 8 3" xfId="15048" xr:uid="{00000000-0005-0000-0000-000050130000}"/>
    <cellStyle name="20 % - Aksentti5 8 8_DataIX" xfId="30337" xr:uid="{00000000-0005-0000-0000-000051130000}"/>
    <cellStyle name="20 % - Aksentti5 8 9" xfId="1525" xr:uid="{00000000-0005-0000-0000-000052130000}"/>
    <cellStyle name="20 % - Aksentti5 8 9 2" xfId="6844" xr:uid="{00000000-0005-0000-0000-000053130000}"/>
    <cellStyle name="20 % - Aksentti5 8 9 3" xfId="15049" xr:uid="{00000000-0005-0000-0000-000054130000}"/>
    <cellStyle name="20 % - Aksentti5 8 9_DataIX" xfId="30338" xr:uid="{00000000-0005-0000-0000-000055130000}"/>
    <cellStyle name="20 % - Aksentti5 8_DataIX" xfId="30325" xr:uid="{00000000-0005-0000-0000-000056130000}"/>
    <cellStyle name="20 % - Aksentti5 9" xfId="1526" xr:uid="{00000000-0005-0000-0000-000057130000}"/>
    <cellStyle name="20 % - Aksentti5 9 10" xfId="1527" xr:uid="{00000000-0005-0000-0000-000058130000}"/>
    <cellStyle name="20 % - Aksentti5 9 10 2" xfId="6846" xr:uid="{00000000-0005-0000-0000-000059130000}"/>
    <cellStyle name="20 % - Aksentti5 9 10 3" xfId="15051" xr:uid="{00000000-0005-0000-0000-00005A130000}"/>
    <cellStyle name="20 % - Aksentti5 9 10_DataIX" xfId="30340" xr:uid="{00000000-0005-0000-0000-00005B130000}"/>
    <cellStyle name="20 % - Aksentti5 9 11" xfId="6845" xr:uid="{00000000-0005-0000-0000-00005C130000}"/>
    <cellStyle name="20 % - Aksentti5 9 12" xfId="15050" xr:uid="{00000000-0005-0000-0000-00005D130000}"/>
    <cellStyle name="20 % - Aksentti5 9 2" xfId="1528" xr:uid="{00000000-0005-0000-0000-00005E130000}"/>
    <cellStyle name="20 % - Aksentti5 9 2 2" xfId="1529" xr:uid="{00000000-0005-0000-0000-00005F130000}"/>
    <cellStyle name="20 % - Aksentti5 9 2 2 2" xfId="1530" xr:uid="{00000000-0005-0000-0000-000060130000}"/>
    <cellStyle name="20 % - Aksentti5 9 2 2 2 2" xfId="6849" xr:uid="{00000000-0005-0000-0000-000061130000}"/>
    <cellStyle name="20 % - Aksentti5 9 2 2 2 3" xfId="15054" xr:uid="{00000000-0005-0000-0000-000062130000}"/>
    <cellStyle name="20 % - Aksentti5 9 2 2 2_DataIX" xfId="30343" xr:uid="{00000000-0005-0000-0000-000063130000}"/>
    <cellStyle name="20 % - Aksentti5 9 2 2 3" xfId="6848" xr:uid="{00000000-0005-0000-0000-000064130000}"/>
    <cellStyle name="20 % - Aksentti5 9 2 2 4" xfId="15053" xr:uid="{00000000-0005-0000-0000-000065130000}"/>
    <cellStyle name="20 % - Aksentti5 9 2 2_DataIX" xfId="30342" xr:uid="{00000000-0005-0000-0000-000066130000}"/>
    <cellStyle name="20 % - Aksentti5 9 2 3" xfId="1531" xr:uid="{00000000-0005-0000-0000-000067130000}"/>
    <cellStyle name="20 % - Aksentti5 9 2 3 2" xfId="6850" xr:uid="{00000000-0005-0000-0000-000068130000}"/>
    <cellStyle name="20 % - Aksentti5 9 2 3 3" xfId="15055" xr:uid="{00000000-0005-0000-0000-000069130000}"/>
    <cellStyle name="20 % - Aksentti5 9 2 3_DataIX" xfId="30344" xr:uid="{00000000-0005-0000-0000-00006A130000}"/>
    <cellStyle name="20 % - Aksentti5 9 2 4" xfId="6847" xr:uid="{00000000-0005-0000-0000-00006B130000}"/>
    <cellStyle name="20 % - Aksentti5 9 2 5" xfId="15052" xr:uid="{00000000-0005-0000-0000-00006C130000}"/>
    <cellStyle name="20 % - Aksentti5 9 2_DataIX" xfId="30341" xr:uid="{00000000-0005-0000-0000-00006D130000}"/>
    <cellStyle name="20 % - Aksentti5 9 3" xfId="1532" xr:uid="{00000000-0005-0000-0000-00006E130000}"/>
    <cellStyle name="20 % - Aksentti5 9 3 2" xfId="1533" xr:uid="{00000000-0005-0000-0000-00006F130000}"/>
    <cellStyle name="20 % - Aksentti5 9 3 2 2" xfId="6852" xr:uid="{00000000-0005-0000-0000-000070130000}"/>
    <cellStyle name="20 % - Aksentti5 9 3 2 3" xfId="15057" xr:uid="{00000000-0005-0000-0000-000071130000}"/>
    <cellStyle name="20 % - Aksentti5 9 3 2_DataIX" xfId="30346" xr:uid="{00000000-0005-0000-0000-000072130000}"/>
    <cellStyle name="20 % - Aksentti5 9 3 3" xfId="6851" xr:uid="{00000000-0005-0000-0000-000073130000}"/>
    <cellStyle name="20 % - Aksentti5 9 3 4" xfId="15056" xr:uid="{00000000-0005-0000-0000-000074130000}"/>
    <cellStyle name="20 % - Aksentti5 9 3_DataIX" xfId="30345" xr:uid="{00000000-0005-0000-0000-000075130000}"/>
    <cellStyle name="20 % - Aksentti5 9 4" xfId="1534" xr:uid="{00000000-0005-0000-0000-000076130000}"/>
    <cellStyle name="20 % - Aksentti5 9 4 2" xfId="6853" xr:uid="{00000000-0005-0000-0000-000077130000}"/>
    <cellStyle name="20 % - Aksentti5 9 4 3" xfId="15058" xr:uid="{00000000-0005-0000-0000-000078130000}"/>
    <cellStyle name="20 % - Aksentti5 9 4_DataIX" xfId="30347" xr:uid="{00000000-0005-0000-0000-000079130000}"/>
    <cellStyle name="20 % - Aksentti5 9 5" xfId="1535" xr:uid="{00000000-0005-0000-0000-00007A130000}"/>
    <cellStyle name="20 % - Aksentti5 9 5 2" xfId="6854" xr:uid="{00000000-0005-0000-0000-00007B130000}"/>
    <cellStyle name="20 % - Aksentti5 9 5 3" xfId="15059" xr:uid="{00000000-0005-0000-0000-00007C130000}"/>
    <cellStyle name="20 % - Aksentti5 9 5_DataIX" xfId="30348" xr:uid="{00000000-0005-0000-0000-00007D130000}"/>
    <cellStyle name="20 % - Aksentti5 9 6" xfId="1536" xr:uid="{00000000-0005-0000-0000-00007E130000}"/>
    <cellStyle name="20 % - Aksentti5 9 6 2" xfId="6855" xr:uid="{00000000-0005-0000-0000-00007F130000}"/>
    <cellStyle name="20 % - Aksentti5 9 6 3" xfId="15060" xr:uid="{00000000-0005-0000-0000-000080130000}"/>
    <cellStyle name="20 % - Aksentti5 9 6_DataIX" xfId="30349" xr:uid="{00000000-0005-0000-0000-000081130000}"/>
    <cellStyle name="20 % - Aksentti5 9 7" xfId="1537" xr:uid="{00000000-0005-0000-0000-000082130000}"/>
    <cellStyle name="20 % - Aksentti5 9 7 2" xfId="6856" xr:uid="{00000000-0005-0000-0000-000083130000}"/>
    <cellStyle name="20 % - Aksentti5 9 7 3" xfId="15061" xr:uid="{00000000-0005-0000-0000-000084130000}"/>
    <cellStyle name="20 % - Aksentti5 9 7_DataIX" xfId="30350" xr:uid="{00000000-0005-0000-0000-000085130000}"/>
    <cellStyle name="20 % - Aksentti5 9 8" xfId="1538" xr:uid="{00000000-0005-0000-0000-000086130000}"/>
    <cellStyle name="20 % - Aksentti5 9 8 2" xfId="6857" xr:uid="{00000000-0005-0000-0000-000087130000}"/>
    <cellStyle name="20 % - Aksentti5 9 8 3" xfId="15062" xr:uid="{00000000-0005-0000-0000-000088130000}"/>
    <cellStyle name="20 % - Aksentti5 9 8_DataIX" xfId="30351" xr:uid="{00000000-0005-0000-0000-000089130000}"/>
    <cellStyle name="20 % - Aksentti5 9 9" xfId="1539" xr:uid="{00000000-0005-0000-0000-00008A130000}"/>
    <cellStyle name="20 % - Aksentti5 9 9 2" xfId="6858" xr:uid="{00000000-0005-0000-0000-00008B130000}"/>
    <cellStyle name="20 % - Aksentti5 9 9 3" xfId="15063" xr:uid="{00000000-0005-0000-0000-00008C130000}"/>
    <cellStyle name="20 % - Aksentti5 9 9_DataIX" xfId="30352" xr:uid="{00000000-0005-0000-0000-00008D130000}"/>
    <cellStyle name="20 % - Aksentti5 9_DataIX" xfId="30339" xr:uid="{00000000-0005-0000-0000-00008E130000}"/>
    <cellStyle name="20 % - Aksentti5_##KansantalKehitys" xfId="5410" xr:uid="{00000000-0005-0000-0000-00008F130000}"/>
    <cellStyle name="20 % - Aksentti6" xfId="333" xr:uid="{00000000-0005-0000-0000-000090130000}"/>
    <cellStyle name="20 % - Aksentti6 10" xfId="1540" xr:uid="{00000000-0005-0000-0000-000091130000}"/>
    <cellStyle name="20 % - Aksentti6 10 10" xfId="1541" xr:uid="{00000000-0005-0000-0000-000092130000}"/>
    <cellStyle name="20 % - Aksentti6 10 10 2" xfId="6860" xr:uid="{00000000-0005-0000-0000-000093130000}"/>
    <cellStyle name="20 % - Aksentti6 10 10 3" xfId="15065" xr:uid="{00000000-0005-0000-0000-000094130000}"/>
    <cellStyle name="20 % - Aksentti6 10 10_DataIX" xfId="30354" xr:uid="{00000000-0005-0000-0000-000095130000}"/>
    <cellStyle name="20 % - Aksentti6 10 11" xfId="6859" xr:uid="{00000000-0005-0000-0000-000096130000}"/>
    <cellStyle name="20 % - Aksentti6 10 12" xfId="15064" xr:uid="{00000000-0005-0000-0000-000097130000}"/>
    <cellStyle name="20 % - Aksentti6 10 2" xfId="1542" xr:uid="{00000000-0005-0000-0000-000098130000}"/>
    <cellStyle name="20 % - Aksentti6 10 2 2" xfId="1543" xr:uid="{00000000-0005-0000-0000-000099130000}"/>
    <cellStyle name="20 % - Aksentti6 10 2 2 2" xfId="1544" xr:uid="{00000000-0005-0000-0000-00009A130000}"/>
    <cellStyle name="20 % - Aksentti6 10 2 2 2 2" xfId="6863" xr:uid="{00000000-0005-0000-0000-00009B130000}"/>
    <cellStyle name="20 % - Aksentti6 10 2 2 2 3" xfId="15068" xr:uid="{00000000-0005-0000-0000-00009C130000}"/>
    <cellStyle name="20 % - Aksentti6 10 2 2 2_DataIX" xfId="30357" xr:uid="{00000000-0005-0000-0000-00009D130000}"/>
    <cellStyle name="20 % - Aksentti6 10 2 2 3" xfId="6862" xr:uid="{00000000-0005-0000-0000-00009E130000}"/>
    <cellStyle name="20 % - Aksentti6 10 2 2 4" xfId="15067" xr:uid="{00000000-0005-0000-0000-00009F130000}"/>
    <cellStyle name="20 % - Aksentti6 10 2 2_DataIX" xfId="30356" xr:uid="{00000000-0005-0000-0000-0000A0130000}"/>
    <cellStyle name="20 % - Aksentti6 10 2 3" xfId="1545" xr:uid="{00000000-0005-0000-0000-0000A1130000}"/>
    <cellStyle name="20 % - Aksentti6 10 2 3 2" xfId="6864" xr:uid="{00000000-0005-0000-0000-0000A2130000}"/>
    <cellStyle name="20 % - Aksentti6 10 2 3 3" xfId="15069" xr:uid="{00000000-0005-0000-0000-0000A3130000}"/>
    <cellStyle name="20 % - Aksentti6 10 2 3_DataIX" xfId="30358" xr:uid="{00000000-0005-0000-0000-0000A4130000}"/>
    <cellStyle name="20 % - Aksentti6 10 2 4" xfId="6861" xr:uid="{00000000-0005-0000-0000-0000A5130000}"/>
    <cellStyle name="20 % - Aksentti6 10 2 5" xfId="15066" xr:uid="{00000000-0005-0000-0000-0000A6130000}"/>
    <cellStyle name="20 % - Aksentti6 10 2_DataIX" xfId="30355" xr:uid="{00000000-0005-0000-0000-0000A7130000}"/>
    <cellStyle name="20 % - Aksentti6 10 3" xfId="1546" xr:uid="{00000000-0005-0000-0000-0000A8130000}"/>
    <cellStyle name="20 % - Aksentti6 10 3 2" xfId="1547" xr:uid="{00000000-0005-0000-0000-0000A9130000}"/>
    <cellStyle name="20 % - Aksentti6 10 3 2 2" xfId="6866" xr:uid="{00000000-0005-0000-0000-0000AA130000}"/>
    <cellStyle name="20 % - Aksentti6 10 3 2 3" xfId="15071" xr:uid="{00000000-0005-0000-0000-0000AB130000}"/>
    <cellStyle name="20 % - Aksentti6 10 3 2_DataIX" xfId="30360" xr:uid="{00000000-0005-0000-0000-0000AC130000}"/>
    <cellStyle name="20 % - Aksentti6 10 3 3" xfId="6865" xr:uid="{00000000-0005-0000-0000-0000AD130000}"/>
    <cellStyle name="20 % - Aksentti6 10 3 4" xfId="15070" xr:uid="{00000000-0005-0000-0000-0000AE130000}"/>
    <cellStyle name="20 % - Aksentti6 10 3_DataIX" xfId="30359" xr:uid="{00000000-0005-0000-0000-0000AF130000}"/>
    <cellStyle name="20 % - Aksentti6 10 4" xfId="1548" xr:uid="{00000000-0005-0000-0000-0000B0130000}"/>
    <cellStyle name="20 % - Aksentti6 10 4 2" xfId="6867" xr:uid="{00000000-0005-0000-0000-0000B1130000}"/>
    <cellStyle name="20 % - Aksentti6 10 4 3" xfId="15072" xr:uid="{00000000-0005-0000-0000-0000B2130000}"/>
    <cellStyle name="20 % - Aksentti6 10 4_DataIX" xfId="30361" xr:uid="{00000000-0005-0000-0000-0000B3130000}"/>
    <cellStyle name="20 % - Aksentti6 10 5" xfId="1549" xr:uid="{00000000-0005-0000-0000-0000B4130000}"/>
    <cellStyle name="20 % - Aksentti6 10 5 2" xfId="6868" xr:uid="{00000000-0005-0000-0000-0000B5130000}"/>
    <cellStyle name="20 % - Aksentti6 10 5 3" xfId="15073" xr:uid="{00000000-0005-0000-0000-0000B6130000}"/>
    <cellStyle name="20 % - Aksentti6 10 5_DataIX" xfId="30362" xr:uid="{00000000-0005-0000-0000-0000B7130000}"/>
    <cellStyle name="20 % - Aksentti6 10 6" xfId="1550" xr:uid="{00000000-0005-0000-0000-0000B8130000}"/>
    <cellStyle name="20 % - Aksentti6 10 6 2" xfId="6869" xr:uid="{00000000-0005-0000-0000-0000B9130000}"/>
    <cellStyle name="20 % - Aksentti6 10 6 3" xfId="15074" xr:uid="{00000000-0005-0000-0000-0000BA130000}"/>
    <cellStyle name="20 % - Aksentti6 10 6_DataIX" xfId="30363" xr:uid="{00000000-0005-0000-0000-0000BB130000}"/>
    <cellStyle name="20 % - Aksentti6 10 7" xfId="1551" xr:uid="{00000000-0005-0000-0000-0000BC130000}"/>
    <cellStyle name="20 % - Aksentti6 10 7 2" xfId="6870" xr:uid="{00000000-0005-0000-0000-0000BD130000}"/>
    <cellStyle name="20 % - Aksentti6 10 7 3" xfId="15075" xr:uid="{00000000-0005-0000-0000-0000BE130000}"/>
    <cellStyle name="20 % - Aksentti6 10 7_DataIX" xfId="30364" xr:uid="{00000000-0005-0000-0000-0000BF130000}"/>
    <cellStyle name="20 % - Aksentti6 10 8" xfId="1552" xr:uid="{00000000-0005-0000-0000-0000C0130000}"/>
    <cellStyle name="20 % - Aksentti6 10 8 2" xfId="6871" xr:uid="{00000000-0005-0000-0000-0000C1130000}"/>
    <cellStyle name="20 % - Aksentti6 10 8 3" xfId="15076" xr:uid="{00000000-0005-0000-0000-0000C2130000}"/>
    <cellStyle name="20 % - Aksentti6 10 8_DataIX" xfId="30365" xr:uid="{00000000-0005-0000-0000-0000C3130000}"/>
    <cellStyle name="20 % - Aksentti6 10 9" xfId="1553" xr:uid="{00000000-0005-0000-0000-0000C4130000}"/>
    <cellStyle name="20 % - Aksentti6 10 9 2" xfId="6872" xr:uid="{00000000-0005-0000-0000-0000C5130000}"/>
    <cellStyle name="20 % - Aksentti6 10 9 3" xfId="15077" xr:uid="{00000000-0005-0000-0000-0000C6130000}"/>
    <cellStyle name="20 % - Aksentti6 10 9_DataIX" xfId="30366" xr:uid="{00000000-0005-0000-0000-0000C7130000}"/>
    <cellStyle name="20 % - Aksentti6 10_DataIX" xfId="30353" xr:uid="{00000000-0005-0000-0000-0000C8130000}"/>
    <cellStyle name="20 % - Aksentti6 11" xfId="1554" xr:uid="{00000000-0005-0000-0000-0000C9130000}"/>
    <cellStyle name="20 % - Aksentti6 11 10" xfId="1555" xr:uid="{00000000-0005-0000-0000-0000CA130000}"/>
    <cellStyle name="20 % - Aksentti6 11 10 2" xfId="6874" xr:uid="{00000000-0005-0000-0000-0000CB130000}"/>
    <cellStyle name="20 % - Aksentti6 11 10 3" xfId="15079" xr:uid="{00000000-0005-0000-0000-0000CC130000}"/>
    <cellStyle name="20 % - Aksentti6 11 10_DataIX" xfId="30368" xr:uid="{00000000-0005-0000-0000-0000CD130000}"/>
    <cellStyle name="20 % - Aksentti6 11 11" xfId="6873" xr:uid="{00000000-0005-0000-0000-0000CE130000}"/>
    <cellStyle name="20 % - Aksentti6 11 12" xfId="15078" xr:uid="{00000000-0005-0000-0000-0000CF130000}"/>
    <cellStyle name="20 % - Aksentti6 11 2" xfId="1556" xr:uid="{00000000-0005-0000-0000-0000D0130000}"/>
    <cellStyle name="20 % - Aksentti6 11 2 2" xfId="1557" xr:uid="{00000000-0005-0000-0000-0000D1130000}"/>
    <cellStyle name="20 % - Aksentti6 11 2 2 2" xfId="1558" xr:uid="{00000000-0005-0000-0000-0000D2130000}"/>
    <cellStyle name="20 % - Aksentti6 11 2 2 2 2" xfId="6877" xr:uid="{00000000-0005-0000-0000-0000D3130000}"/>
    <cellStyle name="20 % - Aksentti6 11 2 2 2 3" xfId="15082" xr:uid="{00000000-0005-0000-0000-0000D4130000}"/>
    <cellStyle name="20 % - Aksentti6 11 2 2 2_DataIX" xfId="30371" xr:uid="{00000000-0005-0000-0000-0000D5130000}"/>
    <cellStyle name="20 % - Aksentti6 11 2 2 3" xfId="6876" xr:uid="{00000000-0005-0000-0000-0000D6130000}"/>
    <cellStyle name="20 % - Aksentti6 11 2 2 4" xfId="15081" xr:uid="{00000000-0005-0000-0000-0000D7130000}"/>
    <cellStyle name="20 % - Aksentti6 11 2 2_DataIX" xfId="30370" xr:uid="{00000000-0005-0000-0000-0000D8130000}"/>
    <cellStyle name="20 % - Aksentti6 11 2 3" xfId="1559" xr:uid="{00000000-0005-0000-0000-0000D9130000}"/>
    <cellStyle name="20 % - Aksentti6 11 2 3 2" xfId="6878" xr:uid="{00000000-0005-0000-0000-0000DA130000}"/>
    <cellStyle name="20 % - Aksentti6 11 2 3 3" xfId="15083" xr:uid="{00000000-0005-0000-0000-0000DB130000}"/>
    <cellStyle name="20 % - Aksentti6 11 2 3_DataIX" xfId="30372" xr:uid="{00000000-0005-0000-0000-0000DC130000}"/>
    <cellStyle name="20 % - Aksentti6 11 2 4" xfId="6875" xr:uid="{00000000-0005-0000-0000-0000DD130000}"/>
    <cellStyle name="20 % - Aksentti6 11 2 5" xfId="15080" xr:uid="{00000000-0005-0000-0000-0000DE130000}"/>
    <cellStyle name="20 % - Aksentti6 11 2_DataIX" xfId="30369" xr:uid="{00000000-0005-0000-0000-0000DF130000}"/>
    <cellStyle name="20 % - Aksentti6 11 3" xfId="1560" xr:uid="{00000000-0005-0000-0000-0000E0130000}"/>
    <cellStyle name="20 % - Aksentti6 11 3 2" xfId="1561" xr:uid="{00000000-0005-0000-0000-0000E1130000}"/>
    <cellStyle name="20 % - Aksentti6 11 3 2 2" xfId="6880" xr:uid="{00000000-0005-0000-0000-0000E2130000}"/>
    <cellStyle name="20 % - Aksentti6 11 3 2 3" xfId="15085" xr:uid="{00000000-0005-0000-0000-0000E3130000}"/>
    <cellStyle name="20 % - Aksentti6 11 3 2_DataIX" xfId="30374" xr:uid="{00000000-0005-0000-0000-0000E4130000}"/>
    <cellStyle name="20 % - Aksentti6 11 3 3" xfId="6879" xr:uid="{00000000-0005-0000-0000-0000E5130000}"/>
    <cellStyle name="20 % - Aksentti6 11 3 4" xfId="15084" xr:uid="{00000000-0005-0000-0000-0000E6130000}"/>
    <cellStyle name="20 % - Aksentti6 11 3_DataIX" xfId="30373" xr:uid="{00000000-0005-0000-0000-0000E7130000}"/>
    <cellStyle name="20 % - Aksentti6 11 4" xfId="1562" xr:uid="{00000000-0005-0000-0000-0000E8130000}"/>
    <cellStyle name="20 % - Aksentti6 11 4 2" xfId="6881" xr:uid="{00000000-0005-0000-0000-0000E9130000}"/>
    <cellStyle name="20 % - Aksentti6 11 4 3" xfId="15086" xr:uid="{00000000-0005-0000-0000-0000EA130000}"/>
    <cellStyle name="20 % - Aksentti6 11 4_DataIX" xfId="30375" xr:uid="{00000000-0005-0000-0000-0000EB130000}"/>
    <cellStyle name="20 % - Aksentti6 11 5" xfId="1563" xr:uid="{00000000-0005-0000-0000-0000EC130000}"/>
    <cellStyle name="20 % - Aksentti6 11 5 2" xfId="6882" xr:uid="{00000000-0005-0000-0000-0000ED130000}"/>
    <cellStyle name="20 % - Aksentti6 11 5 3" xfId="15087" xr:uid="{00000000-0005-0000-0000-0000EE130000}"/>
    <cellStyle name="20 % - Aksentti6 11 5_DataIX" xfId="30376" xr:uid="{00000000-0005-0000-0000-0000EF130000}"/>
    <cellStyle name="20 % - Aksentti6 11 6" xfId="1564" xr:uid="{00000000-0005-0000-0000-0000F0130000}"/>
    <cellStyle name="20 % - Aksentti6 11 6 2" xfId="6883" xr:uid="{00000000-0005-0000-0000-0000F1130000}"/>
    <cellStyle name="20 % - Aksentti6 11 6 3" xfId="15088" xr:uid="{00000000-0005-0000-0000-0000F2130000}"/>
    <cellStyle name="20 % - Aksentti6 11 6_DataIX" xfId="30377" xr:uid="{00000000-0005-0000-0000-0000F3130000}"/>
    <cellStyle name="20 % - Aksentti6 11 7" xfId="1565" xr:uid="{00000000-0005-0000-0000-0000F4130000}"/>
    <cellStyle name="20 % - Aksentti6 11 7 2" xfId="6884" xr:uid="{00000000-0005-0000-0000-0000F5130000}"/>
    <cellStyle name="20 % - Aksentti6 11 7 3" xfId="15089" xr:uid="{00000000-0005-0000-0000-0000F6130000}"/>
    <cellStyle name="20 % - Aksentti6 11 7_DataIX" xfId="30378" xr:uid="{00000000-0005-0000-0000-0000F7130000}"/>
    <cellStyle name="20 % - Aksentti6 11 8" xfId="1566" xr:uid="{00000000-0005-0000-0000-0000F8130000}"/>
    <cellStyle name="20 % - Aksentti6 11 8 2" xfId="6885" xr:uid="{00000000-0005-0000-0000-0000F9130000}"/>
    <cellStyle name="20 % - Aksentti6 11 8 3" xfId="15090" xr:uid="{00000000-0005-0000-0000-0000FA130000}"/>
    <cellStyle name="20 % - Aksentti6 11 8_DataIX" xfId="30379" xr:uid="{00000000-0005-0000-0000-0000FB130000}"/>
    <cellStyle name="20 % - Aksentti6 11 9" xfId="1567" xr:uid="{00000000-0005-0000-0000-0000FC130000}"/>
    <cellStyle name="20 % - Aksentti6 11 9 2" xfId="6886" xr:uid="{00000000-0005-0000-0000-0000FD130000}"/>
    <cellStyle name="20 % - Aksentti6 11 9 3" xfId="15091" xr:uid="{00000000-0005-0000-0000-0000FE130000}"/>
    <cellStyle name="20 % - Aksentti6 11 9_DataIX" xfId="30380" xr:uid="{00000000-0005-0000-0000-0000FF130000}"/>
    <cellStyle name="20 % - Aksentti6 11_DataIX" xfId="30367" xr:uid="{00000000-0005-0000-0000-000000140000}"/>
    <cellStyle name="20 % - Aksentti6 12" xfId="1568" xr:uid="{00000000-0005-0000-0000-000001140000}"/>
    <cellStyle name="20 % - Aksentti6 12 10" xfId="1569" xr:uid="{00000000-0005-0000-0000-000002140000}"/>
    <cellStyle name="20 % - Aksentti6 12 10 2" xfId="6888" xr:uid="{00000000-0005-0000-0000-000003140000}"/>
    <cellStyle name="20 % - Aksentti6 12 10 3" xfId="15093" xr:uid="{00000000-0005-0000-0000-000004140000}"/>
    <cellStyle name="20 % - Aksentti6 12 10_DataIX" xfId="30382" xr:uid="{00000000-0005-0000-0000-000005140000}"/>
    <cellStyle name="20 % - Aksentti6 12 11" xfId="6887" xr:uid="{00000000-0005-0000-0000-000006140000}"/>
    <cellStyle name="20 % - Aksentti6 12 12" xfId="15092" xr:uid="{00000000-0005-0000-0000-000007140000}"/>
    <cellStyle name="20 % - Aksentti6 12 2" xfId="1570" xr:uid="{00000000-0005-0000-0000-000008140000}"/>
    <cellStyle name="20 % - Aksentti6 12 2 2" xfId="1571" xr:uid="{00000000-0005-0000-0000-000009140000}"/>
    <cellStyle name="20 % - Aksentti6 12 2 2 2" xfId="1572" xr:uid="{00000000-0005-0000-0000-00000A140000}"/>
    <cellStyle name="20 % - Aksentti6 12 2 2 2 2" xfId="6891" xr:uid="{00000000-0005-0000-0000-00000B140000}"/>
    <cellStyle name="20 % - Aksentti6 12 2 2 2 3" xfId="15096" xr:uid="{00000000-0005-0000-0000-00000C140000}"/>
    <cellStyle name="20 % - Aksentti6 12 2 2 2_DataIX" xfId="30385" xr:uid="{00000000-0005-0000-0000-00000D140000}"/>
    <cellStyle name="20 % - Aksentti6 12 2 2 3" xfId="6890" xr:uid="{00000000-0005-0000-0000-00000E140000}"/>
    <cellStyle name="20 % - Aksentti6 12 2 2 4" xfId="15095" xr:uid="{00000000-0005-0000-0000-00000F140000}"/>
    <cellStyle name="20 % - Aksentti6 12 2 2_DataIX" xfId="30384" xr:uid="{00000000-0005-0000-0000-000010140000}"/>
    <cellStyle name="20 % - Aksentti6 12 2 3" xfId="1573" xr:uid="{00000000-0005-0000-0000-000011140000}"/>
    <cellStyle name="20 % - Aksentti6 12 2 3 2" xfId="6892" xr:uid="{00000000-0005-0000-0000-000012140000}"/>
    <cellStyle name="20 % - Aksentti6 12 2 3 3" xfId="15097" xr:uid="{00000000-0005-0000-0000-000013140000}"/>
    <cellStyle name="20 % - Aksentti6 12 2 3_DataIX" xfId="30386" xr:uid="{00000000-0005-0000-0000-000014140000}"/>
    <cellStyle name="20 % - Aksentti6 12 2 4" xfId="6889" xr:uid="{00000000-0005-0000-0000-000015140000}"/>
    <cellStyle name="20 % - Aksentti6 12 2 5" xfId="15094" xr:uid="{00000000-0005-0000-0000-000016140000}"/>
    <cellStyle name="20 % - Aksentti6 12 2_DataIX" xfId="30383" xr:uid="{00000000-0005-0000-0000-000017140000}"/>
    <cellStyle name="20 % - Aksentti6 12 3" xfId="1574" xr:uid="{00000000-0005-0000-0000-000018140000}"/>
    <cellStyle name="20 % - Aksentti6 12 3 2" xfId="1575" xr:uid="{00000000-0005-0000-0000-000019140000}"/>
    <cellStyle name="20 % - Aksentti6 12 3 2 2" xfId="6894" xr:uid="{00000000-0005-0000-0000-00001A140000}"/>
    <cellStyle name="20 % - Aksentti6 12 3 2 3" xfId="15099" xr:uid="{00000000-0005-0000-0000-00001B140000}"/>
    <cellStyle name="20 % - Aksentti6 12 3 2_DataIX" xfId="30388" xr:uid="{00000000-0005-0000-0000-00001C140000}"/>
    <cellStyle name="20 % - Aksentti6 12 3 3" xfId="6893" xr:uid="{00000000-0005-0000-0000-00001D140000}"/>
    <cellStyle name="20 % - Aksentti6 12 3 4" xfId="15098" xr:uid="{00000000-0005-0000-0000-00001E140000}"/>
    <cellStyle name="20 % - Aksentti6 12 3_DataIX" xfId="30387" xr:uid="{00000000-0005-0000-0000-00001F140000}"/>
    <cellStyle name="20 % - Aksentti6 12 4" xfId="1576" xr:uid="{00000000-0005-0000-0000-000020140000}"/>
    <cellStyle name="20 % - Aksentti6 12 4 2" xfId="6895" xr:uid="{00000000-0005-0000-0000-000021140000}"/>
    <cellStyle name="20 % - Aksentti6 12 4 3" xfId="15100" xr:uid="{00000000-0005-0000-0000-000022140000}"/>
    <cellStyle name="20 % - Aksentti6 12 4_DataIX" xfId="30389" xr:uid="{00000000-0005-0000-0000-000023140000}"/>
    <cellStyle name="20 % - Aksentti6 12 5" xfId="1577" xr:uid="{00000000-0005-0000-0000-000024140000}"/>
    <cellStyle name="20 % - Aksentti6 12 5 2" xfId="6896" xr:uid="{00000000-0005-0000-0000-000025140000}"/>
    <cellStyle name="20 % - Aksentti6 12 5 3" xfId="15101" xr:uid="{00000000-0005-0000-0000-000026140000}"/>
    <cellStyle name="20 % - Aksentti6 12 5_DataIX" xfId="30390" xr:uid="{00000000-0005-0000-0000-000027140000}"/>
    <cellStyle name="20 % - Aksentti6 12 6" xfId="1578" xr:uid="{00000000-0005-0000-0000-000028140000}"/>
    <cellStyle name="20 % - Aksentti6 12 6 2" xfId="6897" xr:uid="{00000000-0005-0000-0000-000029140000}"/>
    <cellStyle name="20 % - Aksentti6 12 6 3" xfId="15102" xr:uid="{00000000-0005-0000-0000-00002A140000}"/>
    <cellStyle name="20 % - Aksentti6 12 6_DataIX" xfId="30391" xr:uid="{00000000-0005-0000-0000-00002B140000}"/>
    <cellStyle name="20 % - Aksentti6 12 7" xfId="1579" xr:uid="{00000000-0005-0000-0000-00002C140000}"/>
    <cellStyle name="20 % - Aksentti6 12 7 2" xfId="6898" xr:uid="{00000000-0005-0000-0000-00002D140000}"/>
    <cellStyle name="20 % - Aksentti6 12 7 3" xfId="15103" xr:uid="{00000000-0005-0000-0000-00002E140000}"/>
    <cellStyle name="20 % - Aksentti6 12 7_DataIX" xfId="30392" xr:uid="{00000000-0005-0000-0000-00002F140000}"/>
    <cellStyle name="20 % - Aksentti6 12 8" xfId="1580" xr:uid="{00000000-0005-0000-0000-000030140000}"/>
    <cellStyle name="20 % - Aksentti6 12 8 2" xfId="6899" xr:uid="{00000000-0005-0000-0000-000031140000}"/>
    <cellStyle name="20 % - Aksentti6 12 8 3" xfId="15104" xr:uid="{00000000-0005-0000-0000-000032140000}"/>
    <cellStyle name="20 % - Aksentti6 12 8_DataIX" xfId="30393" xr:uid="{00000000-0005-0000-0000-000033140000}"/>
    <cellStyle name="20 % - Aksentti6 12 9" xfId="1581" xr:uid="{00000000-0005-0000-0000-000034140000}"/>
    <cellStyle name="20 % - Aksentti6 12 9 2" xfId="6900" xr:uid="{00000000-0005-0000-0000-000035140000}"/>
    <cellStyle name="20 % - Aksentti6 12 9 3" xfId="15105" xr:uid="{00000000-0005-0000-0000-000036140000}"/>
    <cellStyle name="20 % - Aksentti6 12 9_DataIX" xfId="30394" xr:uid="{00000000-0005-0000-0000-000037140000}"/>
    <cellStyle name="20 % - Aksentti6 12_DataIX" xfId="30381" xr:uid="{00000000-0005-0000-0000-000038140000}"/>
    <cellStyle name="20 % - Aksentti6 13" xfId="1582" xr:uid="{00000000-0005-0000-0000-000039140000}"/>
    <cellStyle name="20 % - Aksentti6 13 10" xfId="1583" xr:uid="{00000000-0005-0000-0000-00003A140000}"/>
    <cellStyle name="20 % - Aksentti6 13 10 2" xfId="6902" xr:uid="{00000000-0005-0000-0000-00003B140000}"/>
    <cellStyle name="20 % - Aksentti6 13 10 3" xfId="15107" xr:uid="{00000000-0005-0000-0000-00003C140000}"/>
    <cellStyle name="20 % - Aksentti6 13 10_DataIX" xfId="30396" xr:uid="{00000000-0005-0000-0000-00003D140000}"/>
    <cellStyle name="20 % - Aksentti6 13 11" xfId="6901" xr:uid="{00000000-0005-0000-0000-00003E140000}"/>
    <cellStyle name="20 % - Aksentti6 13 12" xfId="15106" xr:uid="{00000000-0005-0000-0000-00003F140000}"/>
    <cellStyle name="20 % - Aksentti6 13 2" xfId="1584" xr:uid="{00000000-0005-0000-0000-000040140000}"/>
    <cellStyle name="20 % - Aksentti6 13 2 2" xfId="1585" xr:uid="{00000000-0005-0000-0000-000041140000}"/>
    <cellStyle name="20 % - Aksentti6 13 2 2 2" xfId="6904" xr:uid="{00000000-0005-0000-0000-000042140000}"/>
    <cellStyle name="20 % - Aksentti6 13 2 2 3" xfId="15109" xr:uid="{00000000-0005-0000-0000-000043140000}"/>
    <cellStyle name="20 % - Aksentti6 13 2 2_DataIX" xfId="30398" xr:uid="{00000000-0005-0000-0000-000044140000}"/>
    <cellStyle name="20 % - Aksentti6 13 2 3" xfId="6903" xr:uid="{00000000-0005-0000-0000-000045140000}"/>
    <cellStyle name="20 % - Aksentti6 13 2 4" xfId="15108" xr:uid="{00000000-0005-0000-0000-000046140000}"/>
    <cellStyle name="20 % - Aksentti6 13 2_DataIX" xfId="30397" xr:uid="{00000000-0005-0000-0000-000047140000}"/>
    <cellStyle name="20 % - Aksentti6 13 3" xfId="1586" xr:uid="{00000000-0005-0000-0000-000048140000}"/>
    <cellStyle name="20 % - Aksentti6 13 3 2" xfId="6905" xr:uid="{00000000-0005-0000-0000-000049140000}"/>
    <cellStyle name="20 % - Aksentti6 13 3 3" xfId="15110" xr:uid="{00000000-0005-0000-0000-00004A140000}"/>
    <cellStyle name="20 % - Aksentti6 13 3_DataIX" xfId="30399" xr:uid="{00000000-0005-0000-0000-00004B140000}"/>
    <cellStyle name="20 % - Aksentti6 13 4" xfId="1587" xr:uid="{00000000-0005-0000-0000-00004C140000}"/>
    <cellStyle name="20 % - Aksentti6 13 4 2" xfId="6906" xr:uid="{00000000-0005-0000-0000-00004D140000}"/>
    <cellStyle name="20 % - Aksentti6 13 4 3" xfId="15111" xr:uid="{00000000-0005-0000-0000-00004E140000}"/>
    <cellStyle name="20 % - Aksentti6 13 4_DataIX" xfId="30400" xr:uid="{00000000-0005-0000-0000-00004F140000}"/>
    <cellStyle name="20 % - Aksentti6 13 5" xfId="1588" xr:uid="{00000000-0005-0000-0000-000050140000}"/>
    <cellStyle name="20 % - Aksentti6 13 5 2" xfId="6907" xr:uid="{00000000-0005-0000-0000-000051140000}"/>
    <cellStyle name="20 % - Aksentti6 13 5 3" xfId="15112" xr:uid="{00000000-0005-0000-0000-000052140000}"/>
    <cellStyle name="20 % - Aksentti6 13 5_DataIX" xfId="30401" xr:uid="{00000000-0005-0000-0000-000053140000}"/>
    <cellStyle name="20 % - Aksentti6 13 6" xfId="1589" xr:uid="{00000000-0005-0000-0000-000054140000}"/>
    <cellStyle name="20 % - Aksentti6 13 6 2" xfId="6908" xr:uid="{00000000-0005-0000-0000-000055140000}"/>
    <cellStyle name="20 % - Aksentti6 13 6 3" xfId="15113" xr:uid="{00000000-0005-0000-0000-000056140000}"/>
    <cellStyle name="20 % - Aksentti6 13 6_DataIX" xfId="30402" xr:uid="{00000000-0005-0000-0000-000057140000}"/>
    <cellStyle name="20 % - Aksentti6 13 7" xfId="1590" xr:uid="{00000000-0005-0000-0000-000058140000}"/>
    <cellStyle name="20 % - Aksentti6 13 7 2" xfId="6909" xr:uid="{00000000-0005-0000-0000-000059140000}"/>
    <cellStyle name="20 % - Aksentti6 13 7 3" xfId="15114" xr:uid="{00000000-0005-0000-0000-00005A140000}"/>
    <cellStyle name="20 % - Aksentti6 13 7_DataIX" xfId="30403" xr:uid="{00000000-0005-0000-0000-00005B140000}"/>
    <cellStyle name="20 % - Aksentti6 13 8" xfId="1591" xr:uid="{00000000-0005-0000-0000-00005C140000}"/>
    <cellStyle name="20 % - Aksentti6 13 8 2" xfId="6910" xr:uid="{00000000-0005-0000-0000-00005D140000}"/>
    <cellStyle name="20 % - Aksentti6 13 8 3" xfId="15115" xr:uid="{00000000-0005-0000-0000-00005E140000}"/>
    <cellStyle name="20 % - Aksentti6 13 8_DataIX" xfId="30404" xr:uid="{00000000-0005-0000-0000-00005F140000}"/>
    <cellStyle name="20 % - Aksentti6 13 9" xfId="1592" xr:uid="{00000000-0005-0000-0000-000060140000}"/>
    <cellStyle name="20 % - Aksentti6 13 9 2" xfId="6911" xr:uid="{00000000-0005-0000-0000-000061140000}"/>
    <cellStyle name="20 % - Aksentti6 13 9 3" xfId="15116" xr:uid="{00000000-0005-0000-0000-000062140000}"/>
    <cellStyle name="20 % - Aksentti6 13 9_DataIX" xfId="30405" xr:uid="{00000000-0005-0000-0000-000063140000}"/>
    <cellStyle name="20 % - Aksentti6 13_DataIX" xfId="30395" xr:uid="{00000000-0005-0000-0000-000064140000}"/>
    <cellStyle name="20 % - Aksentti6 14" xfId="1593" xr:uid="{00000000-0005-0000-0000-000065140000}"/>
    <cellStyle name="20 % - Aksentti6 14 10" xfId="1594" xr:uid="{00000000-0005-0000-0000-000066140000}"/>
    <cellStyle name="20 % - Aksentti6 14 10 2" xfId="6913" xr:uid="{00000000-0005-0000-0000-000067140000}"/>
    <cellStyle name="20 % - Aksentti6 14 10 3" xfId="15118" xr:uid="{00000000-0005-0000-0000-000068140000}"/>
    <cellStyle name="20 % - Aksentti6 14 10_DataIX" xfId="30407" xr:uid="{00000000-0005-0000-0000-000069140000}"/>
    <cellStyle name="20 % - Aksentti6 14 11" xfId="6912" xr:uid="{00000000-0005-0000-0000-00006A140000}"/>
    <cellStyle name="20 % - Aksentti6 14 12" xfId="15117" xr:uid="{00000000-0005-0000-0000-00006B140000}"/>
    <cellStyle name="20 % - Aksentti6 14 2" xfId="1595" xr:uid="{00000000-0005-0000-0000-00006C140000}"/>
    <cellStyle name="20 % - Aksentti6 14 2 2" xfId="1596" xr:uid="{00000000-0005-0000-0000-00006D140000}"/>
    <cellStyle name="20 % - Aksentti6 14 2 2 2" xfId="6915" xr:uid="{00000000-0005-0000-0000-00006E140000}"/>
    <cellStyle name="20 % - Aksentti6 14 2 2 3" xfId="15120" xr:uid="{00000000-0005-0000-0000-00006F140000}"/>
    <cellStyle name="20 % - Aksentti6 14 2 2_DataIX" xfId="30409" xr:uid="{00000000-0005-0000-0000-000070140000}"/>
    <cellStyle name="20 % - Aksentti6 14 2 3" xfId="6914" xr:uid="{00000000-0005-0000-0000-000071140000}"/>
    <cellStyle name="20 % - Aksentti6 14 2 4" xfId="15119" xr:uid="{00000000-0005-0000-0000-000072140000}"/>
    <cellStyle name="20 % - Aksentti6 14 2_DataIX" xfId="30408" xr:uid="{00000000-0005-0000-0000-000073140000}"/>
    <cellStyle name="20 % - Aksentti6 14 3" xfId="1597" xr:uid="{00000000-0005-0000-0000-000074140000}"/>
    <cellStyle name="20 % - Aksentti6 14 3 2" xfId="6916" xr:uid="{00000000-0005-0000-0000-000075140000}"/>
    <cellStyle name="20 % - Aksentti6 14 3 3" xfId="15121" xr:uid="{00000000-0005-0000-0000-000076140000}"/>
    <cellStyle name="20 % - Aksentti6 14 3_DataIX" xfId="30410" xr:uid="{00000000-0005-0000-0000-000077140000}"/>
    <cellStyle name="20 % - Aksentti6 14 4" xfId="1598" xr:uid="{00000000-0005-0000-0000-000078140000}"/>
    <cellStyle name="20 % - Aksentti6 14 4 2" xfId="6917" xr:uid="{00000000-0005-0000-0000-000079140000}"/>
    <cellStyle name="20 % - Aksentti6 14 4 3" xfId="15122" xr:uid="{00000000-0005-0000-0000-00007A140000}"/>
    <cellStyle name="20 % - Aksentti6 14 4_DataIX" xfId="30411" xr:uid="{00000000-0005-0000-0000-00007B140000}"/>
    <cellStyle name="20 % - Aksentti6 14 5" xfId="1599" xr:uid="{00000000-0005-0000-0000-00007C140000}"/>
    <cellStyle name="20 % - Aksentti6 14 5 2" xfId="6918" xr:uid="{00000000-0005-0000-0000-00007D140000}"/>
    <cellStyle name="20 % - Aksentti6 14 5 3" xfId="15123" xr:uid="{00000000-0005-0000-0000-00007E140000}"/>
    <cellStyle name="20 % - Aksentti6 14 5_DataIX" xfId="30412" xr:uid="{00000000-0005-0000-0000-00007F140000}"/>
    <cellStyle name="20 % - Aksentti6 14 6" xfId="1600" xr:uid="{00000000-0005-0000-0000-000080140000}"/>
    <cellStyle name="20 % - Aksentti6 14 6 2" xfId="6919" xr:uid="{00000000-0005-0000-0000-000081140000}"/>
    <cellStyle name="20 % - Aksentti6 14 6 3" xfId="15124" xr:uid="{00000000-0005-0000-0000-000082140000}"/>
    <cellStyle name="20 % - Aksentti6 14 6_DataIX" xfId="30413" xr:uid="{00000000-0005-0000-0000-000083140000}"/>
    <cellStyle name="20 % - Aksentti6 14 7" xfId="1601" xr:uid="{00000000-0005-0000-0000-000084140000}"/>
    <cellStyle name="20 % - Aksentti6 14 7 2" xfId="6920" xr:uid="{00000000-0005-0000-0000-000085140000}"/>
    <cellStyle name="20 % - Aksentti6 14 7 3" xfId="15125" xr:uid="{00000000-0005-0000-0000-000086140000}"/>
    <cellStyle name="20 % - Aksentti6 14 7_DataIX" xfId="30414" xr:uid="{00000000-0005-0000-0000-000087140000}"/>
    <cellStyle name="20 % - Aksentti6 14 8" xfId="1602" xr:uid="{00000000-0005-0000-0000-000088140000}"/>
    <cellStyle name="20 % - Aksentti6 14 8 2" xfId="6921" xr:uid="{00000000-0005-0000-0000-000089140000}"/>
    <cellStyle name="20 % - Aksentti6 14 8 3" xfId="15126" xr:uid="{00000000-0005-0000-0000-00008A140000}"/>
    <cellStyle name="20 % - Aksentti6 14 8_DataIX" xfId="30415" xr:uid="{00000000-0005-0000-0000-00008B140000}"/>
    <cellStyle name="20 % - Aksentti6 14 9" xfId="1603" xr:uid="{00000000-0005-0000-0000-00008C140000}"/>
    <cellStyle name="20 % - Aksentti6 14 9 2" xfId="6922" xr:uid="{00000000-0005-0000-0000-00008D140000}"/>
    <cellStyle name="20 % - Aksentti6 14 9 3" xfId="15127" xr:uid="{00000000-0005-0000-0000-00008E140000}"/>
    <cellStyle name="20 % - Aksentti6 14 9_DataIX" xfId="30416" xr:uid="{00000000-0005-0000-0000-00008F140000}"/>
    <cellStyle name="20 % - Aksentti6 14_DataIX" xfId="30406" xr:uid="{00000000-0005-0000-0000-000090140000}"/>
    <cellStyle name="20 % - Aksentti6 15" xfId="1604" xr:uid="{00000000-0005-0000-0000-000091140000}"/>
    <cellStyle name="20 % - Aksentti6 15 10" xfId="1605" xr:uid="{00000000-0005-0000-0000-000092140000}"/>
    <cellStyle name="20 % - Aksentti6 15 10 2" xfId="6924" xr:uid="{00000000-0005-0000-0000-000093140000}"/>
    <cellStyle name="20 % - Aksentti6 15 10 3" xfId="15129" xr:uid="{00000000-0005-0000-0000-000094140000}"/>
    <cellStyle name="20 % - Aksentti6 15 10_DataIX" xfId="30418" xr:uid="{00000000-0005-0000-0000-000095140000}"/>
    <cellStyle name="20 % - Aksentti6 15 11" xfId="6923" xr:uid="{00000000-0005-0000-0000-000096140000}"/>
    <cellStyle name="20 % - Aksentti6 15 12" xfId="15128" xr:uid="{00000000-0005-0000-0000-000097140000}"/>
    <cellStyle name="20 % - Aksentti6 15 2" xfId="1606" xr:uid="{00000000-0005-0000-0000-000098140000}"/>
    <cellStyle name="20 % - Aksentti6 15 2 2" xfId="1607" xr:uid="{00000000-0005-0000-0000-000099140000}"/>
    <cellStyle name="20 % - Aksentti6 15 2 2 2" xfId="6926" xr:uid="{00000000-0005-0000-0000-00009A140000}"/>
    <cellStyle name="20 % - Aksentti6 15 2 2 3" xfId="15131" xr:uid="{00000000-0005-0000-0000-00009B140000}"/>
    <cellStyle name="20 % - Aksentti6 15 2 2_DataIX" xfId="30420" xr:uid="{00000000-0005-0000-0000-00009C140000}"/>
    <cellStyle name="20 % - Aksentti6 15 2 3" xfId="6925" xr:uid="{00000000-0005-0000-0000-00009D140000}"/>
    <cellStyle name="20 % - Aksentti6 15 2 4" xfId="15130" xr:uid="{00000000-0005-0000-0000-00009E140000}"/>
    <cellStyle name="20 % - Aksentti6 15 2_DataIX" xfId="30419" xr:uid="{00000000-0005-0000-0000-00009F140000}"/>
    <cellStyle name="20 % - Aksentti6 15 3" xfId="1608" xr:uid="{00000000-0005-0000-0000-0000A0140000}"/>
    <cellStyle name="20 % - Aksentti6 15 3 2" xfId="6927" xr:uid="{00000000-0005-0000-0000-0000A1140000}"/>
    <cellStyle name="20 % - Aksentti6 15 3 3" xfId="15132" xr:uid="{00000000-0005-0000-0000-0000A2140000}"/>
    <cellStyle name="20 % - Aksentti6 15 3_DataIX" xfId="30421" xr:uid="{00000000-0005-0000-0000-0000A3140000}"/>
    <cellStyle name="20 % - Aksentti6 15 4" xfId="1609" xr:uid="{00000000-0005-0000-0000-0000A4140000}"/>
    <cellStyle name="20 % - Aksentti6 15 4 2" xfId="6928" xr:uid="{00000000-0005-0000-0000-0000A5140000}"/>
    <cellStyle name="20 % - Aksentti6 15 4 3" xfId="15133" xr:uid="{00000000-0005-0000-0000-0000A6140000}"/>
    <cellStyle name="20 % - Aksentti6 15 4_DataIX" xfId="30422" xr:uid="{00000000-0005-0000-0000-0000A7140000}"/>
    <cellStyle name="20 % - Aksentti6 15 5" xfId="1610" xr:uid="{00000000-0005-0000-0000-0000A8140000}"/>
    <cellStyle name="20 % - Aksentti6 15 5 2" xfId="6929" xr:uid="{00000000-0005-0000-0000-0000A9140000}"/>
    <cellStyle name="20 % - Aksentti6 15 5 3" xfId="15134" xr:uid="{00000000-0005-0000-0000-0000AA140000}"/>
    <cellStyle name="20 % - Aksentti6 15 5_DataIX" xfId="30423" xr:uid="{00000000-0005-0000-0000-0000AB140000}"/>
    <cellStyle name="20 % - Aksentti6 15 6" xfId="1611" xr:uid="{00000000-0005-0000-0000-0000AC140000}"/>
    <cellStyle name="20 % - Aksentti6 15 6 2" xfId="6930" xr:uid="{00000000-0005-0000-0000-0000AD140000}"/>
    <cellStyle name="20 % - Aksentti6 15 6 3" xfId="15135" xr:uid="{00000000-0005-0000-0000-0000AE140000}"/>
    <cellStyle name="20 % - Aksentti6 15 6_DataIX" xfId="30424" xr:uid="{00000000-0005-0000-0000-0000AF140000}"/>
    <cellStyle name="20 % - Aksentti6 15 7" xfId="1612" xr:uid="{00000000-0005-0000-0000-0000B0140000}"/>
    <cellStyle name="20 % - Aksentti6 15 7 2" xfId="6931" xr:uid="{00000000-0005-0000-0000-0000B1140000}"/>
    <cellStyle name="20 % - Aksentti6 15 7 3" xfId="15136" xr:uid="{00000000-0005-0000-0000-0000B2140000}"/>
    <cellStyle name="20 % - Aksentti6 15 7_DataIX" xfId="30425" xr:uid="{00000000-0005-0000-0000-0000B3140000}"/>
    <cellStyle name="20 % - Aksentti6 15 8" xfId="1613" xr:uid="{00000000-0005-0000-0000-0000B4140000}"/>
    <cellStyle name="20 % - Aksentti6 15 8 2" xfId="6932" xr:uid="{00000000-0005-0000-0000-0000B5140000}"/>
    <cellStyle name="20 % - Aksentti6 15 8 3" xfId="15137" xr:uid="{00000000-0005-0000-0000-0000B6140000}"/>
    <cellStyle name="20 % - Aksentti6 15 8_DataIX" xfId="30426" xr:uid="{00000000-0005-0000-0000-0000B7140000}"/>
    <cellStyle name="20 % - Aksentti6 15 9" xfId="1614" xr:uid="{00000000-0005-0000-0000-0000B8140000}"/>
    <cellStyle name="20 % - Aksentti6 15 9 2" xfId="6933" xr:uid="{00000000-0005-0000-0000-0000B9140000}"/>
    <cellStyle name="20 % - Aksentti6 15 9 3" xfId="15138" xr:uid="{00000000-0005-0000-0000-0000BA140000}"/>
    <cellStyle name="20 % - Aksentti6 15 9_DataIX" xfId="30427" xr:uid="{00000000-0005-0000-0000-0000BB140000}"/>
    <cellStyle name="20 % - Aksentti6 15_DataIX" xfId="30417" xr:uid="{00000000-0005-0000-0000-0000BC140000}"/>
    <cellStyle name="20 % - Aksentti6 16" xfId="1615" xr:uid="{00000000-0005-0000-0000-0000BD140000}"/>
    <cellStyle name="20 % - Aksentti6 16 2" xfId="6934" xr:uid="{00000000-0005-0000-0000-0000BE140000}"/>
    <cellStyle name="20 % - Aksentti6 16 3" xfId="15139" xr:uid="{00000000-0005-0000-0000-0000BF140000}"/>
    <cellStyle name="20 % - Aksentti6 16_DataIX" xfId="30428" xr:uid="{00000000-0005-0000-0000-0000C0140000}"/>
    <cellStyle name="20 % - Aksentti6 17" xfId="1616" xr:uid="{00000000-0005-0000-0000-0000C1140000}"/>
    <cellStyle name="20 % - Aksentti6 17 2" xfId="6935" xr:uid="{00000000-0005-0000-0000-0000C2140000}"/>
    <cellStyle name="20 % - Aksentti6 17 3" xfId="15140" xr:uid="{00000000-0005-0000-0000-0000C3140000}"/>
    <cellStyle name="20 % - Aksentti6 17_DataIX" xfId="30429" xr:uid="{00000000-0005-0000-0000-0000C4140000}"/>
    <cellStyle name="20 % - Aksentti6 18" xfId="1617" xr:uid="{00000000-0005-0000-0000-0000C5140000}"/>
    <cellStyle name="20 % - Aksentti6 18 2" xfId="6936" xr:uid="{00000000-0005-0000-0000-0000C6140000}"/>
    <cellStyle name="20 % - Aksentti6 18 3" xfId="15141" xr:uid="{00000000-0005-0000-0000-0000C7140000}"/>
    <cellStyle name="20 % - Aksentti6 18_DataIX" xfId="30430" xr:uid="{00000000-0005-0000-0000-0000C8140000}"/>
    <cellStyle name="20 % - Aksentti6 19" xfId="1618" xr:uid="{00000000-0005-0000-0000-0000C9140000}"/>
    <cellStyle name="20 % - Aksentti6 19 2" xfId="6937" xr:uid="{00000000-0005-0000-0000-0000CA140000}"/>
    <cellStyle name="20 % - Aksentti6 19 3" xfId="15142" xr:uid="{00000000-0005-0000-0000-0000CB140000}"/>
    <cellStyle name="20 % - Aksentti6 19_DataIX" xfId="30431" xr:uid="{00000000-0005-0000-0000-0000CC140000}"/>
    <cellStyle name="20 % - Aksentti6 2" xfId="8" xr:uid="{00000000-0005-0000-0000-0000CD140000}"/>
    <cellStyle name="20 % - Aksentti6 2 10" xfId="1620" xr:uid="{00000000-0005-0000-0000-0000CE140000}"/>
    <cellStyle name="20 % - Aksentti6 2 10 2" xfId="6939" xr:uid="{00000000-0005-0000-0000-0000CF140000}"/>
    <cellStyle name="20 % - Aksentti6 2 10 3" xfId="15144" xr:uid="{00000000-0005-0000-0000-0000D0140000}"/>
    <cellStyle name="20 % - Aksentti6 2 10_DataIX" xfId="30432" xr:uid="{00000000-0005-0000-0000-0000D1140000}"/>
    <cellStyle name="20 % - Aksentti6 2 11" xfId="1619" xr:uid="{00000000-0005-0000-0000-0000D2140000}"/>
    <cellStyle name="20 % - Aksentti6 2 11 2" xfId="6940" xr:uid="{00000000-0005-0000-0000-0000D3140000}"/>
    <cellStyle name="20 % - Aksentti6 2 11 3" xfId="15143" xr:uid="{00000000-0005-0000-0000-0000D4140000}"/>
    <cellStyle name="20 % - Aksentti6 2 11_DataIX" xfId="30433" xr:uid="{00000000-0005-0000-0000-0000D5140000}"/>
    <cellStyle name="20 % - Aksentti6 2 12" xfId="25054" xr:uid="{00000000-0005-0000-0000-0000D6140000}"/>
    <cellStyle name="20 % - Aksentti6 2 13" xfId="25664" xr:uid="{00000000-0005-0000-0000-0000D7140000}"/>
    <cellStyle name="20 % - Aksentti6 2 14" xfId="25745" xr:uid="{00000000-0005-0000-0000-0000D8140000}"/>
    <cellStyle name="20 % - Aksentti6 2 15" xfId="26395" xr:uid="{00000000-0005-0000-0000-0000D9140000}"/>
    <cellStyle name="20 % - Aksentti6 2 16" xfId="25877" xr:uid="{00000000-0005-0000-0000-0000DA140000}"/>
    <cellStyle name="20 % - Aksentti6 2 17" xfId="25740" xr:uid="{00000000-0005-0000-0000-0000DB140000}"/>
    <cellStyle name="20 % - Aksentti6 2 18" xfId="25925" xr:uid="{00000000-0005-0000-0000-0000DC140000}"/>
    <cellStyle name="20 % - Aksentti6 2 19" xfId="26200" xr:uid="{00000000-0005-0000-0000-0000DD140000}"/>
    <cellStyle name="20 % - Aksentti6 2 2" xfId="148" xr:uid="{00000000-0005-0000-0000-0000DE140000}"/>
    <cellStyle name="20 % - Aksentti6 2 2 10" xfId="1622" xr:uid="{00000000-0005-0000-0000-0000DF140000}"/>
    <cellStyle name="20 % - Aksentti6 2 2 10 2" xfId="6942" xr:uid="{00000000-0005-0000-0000-0000E0140000}"/>
    <cellStyle name="20 % - Aksentti6 2 2 10 3" xfId="15146" xr:uid="{00000000-0005-0000-0000-0000E1140000}"/>
    <cellStyle name="20 % - Aksentti6 2 2 10_DataIX" xfId="30434" xr:uid="{00000000-0005-0000-0000-0000E2140000}"/>
    <cellStyle name="20 % - Aksentti6 2 2 11" xfId="1621" xr:uid="{00000000-0005-0000-0000-0000E3140000}"/>
    <cellStyle name="20 % - Aksentti6 2 2 11 2" xfId="6943" xr:uid="{00000000-0005-0000-0000-0000E4140000}"/>
    <cellStyle name="20 % - Aksentti6 2 2 11 3" xfId="15145" xr:uid="{00000000-0005-0000-0000-0000E5140000}"/>
    <cellStyle name="20 % - Aksentti6 2 2 11_DataIX" xfId="30435" xr:uid="{00000000-0005-0000-0000-0000E6140000}"/>
    <cellStyle name="20 % - Aksentti6 2 2 12" xfId="25071" xr:uid="{00000000-0005-0000-0000-0000E7140000}"/>
    <cellStyle name="20 % - Aksentti6 2 2 13" xfId="26184" xr:uid="{00000000-0005-0000-0000-0000E8140000}"/>
    <cellStyle name="20 % - Aksentti6 2 2 14" xfId="26280" xr:uid="{00000000-0005-0000-0000-0000E9140000}"/>
    <cellStyle name="20 % - Aksentti6 2 2 15" xfId="25910" xr:uid="{00000000-0005-0000-0000-0000EA140000}"/>
    <cellStyle name="20 % - Aksentti6 2 2 16" xfId="25414" xr:uid="{00000000-0005-0000-0000-0000EB140000}"/>
    <cellStyle name="20 % - Aksentti6 2 2 17" xfId="25945" xr:uid="{00000000-0005-0000-0000-0000EC140000}"/>
    <cellStyle name="20 % - Aksentti6 2 2 18" xfId="26222" xr:uid="{00000000-0005-0000-0000-0000ED140000}"/>
    <cellStyle name="20 % - Aksentti6 2 2 19" xfId="26519" xr:uid="{00000000-0005-0000-0000-0000EE140000}"/>
    <cellStyle name="20 % - Aksentti6 2 2 2" xfId="375" xr:uid="{00000000-0005-0000-0000-0000EF140000}"/>
    <cellStyle name="20 % - Aksentti6 2 2 2 10" xfId="11049" xr:uid="{00000000-0005-0000-0000-0000F0140000}"/>
    <cellStyle name="20 % - Aksentti6 2 2 2 2" xfId="1624" xr:uid="{00000000-0005-0000-0000-0000F1140000}"/>
    <cellStyle name="20 % - Aksentti6 2 2 2 2 2" xfId="6945" xr:uid="{00000000-0005-0000-0000-0000F2140000}"/>
    <cellStyle name="20 % - Aksentti6 2 2 2 2 3" xfId="15148" xr:uid="{00000000-0005-0000-0000-0000F3140000}"/>
    <cellStyle name="20 % - Aksentti6 2 2 2 2_DataIX" xfId="30436" xr:uid="{00000000-0005-0000-0000-0000F4140000}"/>
    <cellStyle name="20 % - Aksentti6 2 2 2 3" xfId="1623" xr:uid="{00000000-0005-0000-0000-0000F5140000}"/>
    <cellStyle name="20 % - Aksentti6 2 2 2 3 2" xfId="6946" xr:uid="{00000000-0005-0000-0000-0000F6140000}"/>
    <cellStyle name="20 % - Aksentti6 2 2 2 3 3" xfId="15147" xr:uid="{00000000-0005-0000-0000-0000F7140000}"/>
    <cellStyle name="20 % - Aksentti6 2 2 2 3_DataIX" xfId="30437" xr:uid="{00000000-0005-0000-0000-0000F8140000}"/>
    <cellStyle name="20 % - Aksentti6 2 2 2 4" xfId="10832" xr:uid="{00000000-0005-0000-0000-0000F9140000}"/>
    <cellStyle name="20 % - Aksentti6 2 2 2 5" xfId="11096" xr:uid="{00000000-0005-0000-0000-0000FA140000}"/>
    <cellStyle name="20 % - Aksentti6 2 2 2 6" xfId="10928" xr:uid="{00000000-0005-0000-0000-0000FB140000}"/>
    <cellStyle name="20 % - Aksentti6 2 2 2 7" xfId="13912" xr:uid="{00000000-0005-0000-0000-0000FC140000}"/>
    <cellStyle name="20 % - Aksentti6 2 2 2 8" xfId="20262" xr:uid="{00000000-0005-0000-0000-0000FD140000}"/>
    <cellStyle name="20 % - Aksentti6 2 2 2 9" xfId="12560" xr:uid="{00000000-0005-0000-0000-0000FE140000}"/>
    <cellStyle name="20 % - Aksentti6 2 2 2_##Keskeiset" xfId="6944" xr:uid="{00000000-0005-0000-0000-0000FF140000}"/>
    <cellStyle name="20 % - Aksentti6 2 2 20" xfId="26702" xr:uid="{00000000-0005-0000-0000-000000150000}"/>
    <cellStyle name="20 % - Aksentti6 2 2 21" xfId="25926" xr:uid="{00000000-0005-0000-0000-000001150000}"/>
    <cellStyle name="20 % - Aksentti6 2 2 22" xfId="25798" xr:uid="{00000000-0005-0000-0000-000002150000}"/>
    <cellStyle name="20 % - Aksentti6 2 2 23" xfId="25918" xr:uid="{00000000-0005-0000-0000-000003150000}"/>
    <cellStyle name="20 % - Aksentti6 2 2 24" xfId="26618" xr:uid="{00000000-0005-0000-0000-000004150000}"/>
    <cellStyle name="20 % - Aksentti6 2 2 25" xfId="26711" xr:uid="{00000000-0005-0000-0000-000005150000}"/>
    <cellStyle name="20 % - Aksentti6 2 2 26" xfId="26245" xr:uid="{00000000-0005-0000-0000-000006150000}"/>
    <cellStyle name="20 % - Aksentti6 2 2 27" xfId="26683" xr:uid="{00000000-0005-0000-0000-000007150000}"/>
    <cellStyle name="20 % - Aksentti6 2 2 28" xfId="23199" xr:uid="{00000000-0005-0000-0000-000008150000}"/>
    <cellStyle name="20 % - Aksentti6 2 2 29" xfId="24957" xr:uid="{00000000-0005-0000-0000-000009150000}"/>
    <cellStyle name="20 % - Aksentti6 2 2 3" xfId="1625" xr:uid="{00000000-0005-0000-0000-00000A150000}"/>
    <cellStyle name="20 % - Aksentti6 2 2 3 2" xfId="10833" xr:uid="{00000000-0005-0000-0000-00000B150000}"/>
    <cellStyle name="20 % - Aksentti6 2 2 3 3" xfId="15149" xr:uid="{00000000-0005-0000-0000-00000C150000}"/>
    <cellStyle name="20 % - Aksentti6 2 2 3_DataIX" xfId="30438" xr:uid="{00000000-0005-0000-0000-00000D150000}"/>
    <cellStyle name="20 % - Aksentti6 2 2 30" xfId="23170" xr:uid="{00000000-0005-0000-0000-00000E150000}"/>
    <cellStyle name="20 % - Aksentti6 2 2 31" xfId="24944" xr:uid="{00000000-0005-0000-0000-00000F150000}"/>
    <cellStyle name="20 % - Aksentti6 2 2 32" xfId="23178" xr:uid="{00000000-0005-0000-0000-000010150000}"/>
    <cellStyle name="20 % - Aksentti6 2 2 33" xfId="24934" xr:uid="{00000000-0005-0000-0000-000011150000}"/>
    <cellStyle name="20 % - Aksentti6 2 2 4" xfId="1626" xr:uid="{00000000-0005-0000-0000-000012150000}"/>
    <cellStyle name="20 % - Aksentti6 2 2 4 2" xfId="6947" xr:uid="{00000000-0005-0000-0000-000013150000}"/>
    <cellStyle name="20 % - Aksentti6 2 2 4 3" xfId="15150" xr:uid="{00000000-0005-0000-0000-000014150000}"/>
    <cellStyle name="20 % - Aksentti6 2 2 4_DataIX" xfId="30439" xr:uid="{00000000-0005-0000-0000-000015150000}"/>
    <cellStyle name="20 % - Aksentti6 2 2 5" xfId="1627" xr:uid="{00000000-0005-0000-0000-000016150000}"/>
    <cellStyle name="20 % - Aksentti6 2 2 5 2" xfId="6948" xr:uid="{00000000-0005-0000-0000-000017150000}"/>
    <cellStyle name="20 % - Aksentti6 2 2 5 3" xfId="15151" xr:uid="{00000000-0005-0000-0000-000018150000}"/>
    <cellStyle name="20 % - Aksentti6 2 2 5_DataIX" xfId="30440" xr:uid="{00000000-0005-0000-0000-000019150000}"/>
    <cellStyle name="20 % - Aksentti6 2 2 6" xfId="1628" xr:uid="{00000000-0005-0000-0000-00001A150000}"/>
    <cellStyle name="20 % - Aksentti6 2 2 6 2" xfId="6949" xr:uid="{00000000-0005-0000-0000-00001B150000}"/>
    <cellStyle name="20 % - Aksentti6 2 2 6 3" xfId="15152" xr:uid="{00000000-0005-0000-0000-00001C150000}"/>
    <cellStyle name="20 % - Aksentti6 2 2 6_DataIX" xfId="30441" xr:uid="{00000000-0005-0000-0000-00001D150000}"/>
    <cellStyle name="20 % - Aksentti6 2 2 7" xfId="1629" xr:uid="{00000000-0005-0000-0000-00001E150000}"/>
    <cellStyle name="20 % - Aksentti6 2 2 7 2" xfId="6950" xr:uid="{00000000-0005-0000-0000-00001F150000}"/>
    <cellStyle name="20 % - Aksentti6 2 2 7 3" xfId="15153" xr:uid="{00000000-0005-0000-0000-000020150000}"/>
    <cellStyle name="20 % - Aksentti6 2 2 7_DataIX" xfId="30442" xr:uid="{00000000-0005-0000-0000-000021150000}"/>
    <cellStyle name="20 % - Aksentti6 2 2 8" xfId="1630" xr:uid="{00000000-0005-0000-0000-000022150000}"/>
    <cellStyle name="20 % - Aksentti6 2 2 8 2" xfId="6951" xr:uid="{00000000-0005-0000-0000-000023150000}"/>
    <cellStyle name="20 % - Aksentti6 2 2 8 3" xfId="15154" xr:uid="{00000000-0005-0000-0000-000024150000}"/>
    <cellStyle name="20 % - Aksentti6 2 2 8_DataIX" xfId="30443" xr:uid="{00000000-0005-0000-0000-000025150000}"/>
    <cellStyle name="20 % - Aksentti6 2 2 9" xfId="1631" xr:uid="{00000000-0005-0000-0000-000026150000}"/>
    <cellStyle name="20 % - Aksentti6 2 2 9 2" xfId="6952" xr:uid="{00000000-0005-0000-0000-000027150000}"/>
    <cellStyle name="20 % - Aksentti6 2 2 9 3" xfId="15155" xr:uid="{00000000-0005-0000-0000-000028150000}"/>
    <cellStyle name="20 % - Aksentti6 2 2 9_DataIX" xfId="30444" xr:uid="{00000000-0005-0000-0000-000029150000}"/>
    <cellStyle name="20 % - Aksentti6 2 2_##Keskeiset" xfId="6941" xr:uid="{00000000-0005-0000-0000-00002A150000}"/>
    <cellStyle name="20 % - Aksentti6 2 20" xfId="26359" xr:uid="{00000000-0005-0000-0000-00002B150000}"/>
    <cellStyle name="20 % - Aksentti6 2 21" xfId="25891" xr:uid="{00000000-0005-0000-0000-00002C150000}"/>
    <cellStyle name="20 % - Aksentti6 2 22" xfId="26377" xr:uid="{00000000-0005-0000-0000-00002D150000}"/>
    <cellStyle name="20 % - Aksentti6 2 23" xfId="26719" xr:uid="{00000000-0005-0000-0000-00002E150000}"/>
    <cellStyle name="20 % - Aksentti6 2 24" xfId="25870" xr:uid="{00000000-0005-0000-0000-00002F150000}"/>
    <cellStyle name="20 % - Aksentti6 2 25" xfId="25381" xr:uid="{00000000-0005-0000-0000-000030150000}"/>
    <cellStyle name="20 % - Aksentti6 2 26" xfId="26103" xr:uid="{00000000-0005-0000-0000-000031150000}"/>
    <cellStyle name="20 % - Aksentti6 2 27" xfId="25476" xr:uid="{00000000-0005-0000-0000-000032150000}"/>
    <cellStyle name="20 % - Aksentti6 2 28" xfId="23198" xr:uid="{00000000-0005-0000-0000-000033150000}"/>
    <cellStyle name="20 % - Aksentti6 2 29" xfId="24958" xr:uid="{00000000-0005-0000-0000-000034150000}"/>
    <cellStyle name="20 % - Aksentti6 2 3" xfId="149" xr:uid="{00000000-0005-0000-0000-000035150000}"/>
    <cellStyle name="20 % - Aksentti6 2 3 2" xfId="1633" xr:uid="{00000000-0005-0000-0000-000036150000}"/>
    <cellStyle name="20 % - Aksentti6 2 3 2 2" xfId="1634" xr:uid="{00000000-0005-0000-0000-000037150000}"/>
    <cellStyle name="20 % - Aksentti6 2 3 2 2 2" xfId="6954" xr:uid="{00000000-0005-0000-0000-000038150000}"/>
    <cellStyle name="20 % - Aksentti6 2 3 2 2 3" xfId="15158" xr:uid="{00000000-0005-0000-0000-000039150000}"/>
    <cellStyle name="20 % - Aksentti6 2 3 2 2_DataIX" xfId="30445" xr:uid="{00000000-0005-0000-0000-00003A150000}"/>
    <cellStyle name="20 % - Aksentti6 2 3 2 3" xfId="5482" xr:uid="{00000000-0005-0000-0000-00003B150000}"/>
    <cellStyle name="20 % - Aksentti6 2 3 2 4" xfId="15157" xr:uid="{00000000-0005-0000-0000-00003C150000}"/>
    <cellStyle name="20 % - Aksentti6 2 3 2_##Keskeiset" xfId="6953" xr:uid="{00000000-0005-0000-0000-00003D150000}"/>
    <cellStyle name="20 % - Aksentti6 2 3 3" xfId="1635" xr:uid="{00000000-0005-0000-0000-00003E150000}"/>
    <cellStyle name="20 % - Aksentti6 2 3 3 2" xfId="6955" xr:uid="{00000000-0005-0000-0000-00003F150000}"/>
    <cellStyle name="20 % - Aksentti6 2 3 3 3" xfId="15159" xr:uid="{00000000-0005-0000-0000-000040150000}"/>
    <cellStyle name="20 % - Aksentti6 2 3 3_DataIX" xfId="30446" xr:uid="{00000000-0005-0000-0000-000041150000}"/>
    <cellStyle name="20 % - Aksentti6 2 3 4" xfId="1632" xr:uid="{00000000-0005-0000-0000-000042150000}"/>
    <cellStyle name="20 % - Aksentti6 2 3 4 2" xfId="6956" xr:uid="{00000000-0005-0000-0000-000043150000}"/>
    <cellStyle name="20 % - Aksentti6 2 3 4 3" xfId="15156" xr:uid="{00000000-0005-0000-0000-000044150000}"/>
    <cellStyle name="20 % - Aksentti6 2 3 4_DataIX" xfId="30447" xr:uid="{00000000-0005-0000-0000-000045150000}"/>
    <cellStyle name="20 % - Aksentti6 2 3_##Keskeiset" xfId="5481" xr:uid="{00000000-0005-0000-0000-000046150000}"/>
    <cellStyle name="20 % - Aksentti6 2 30" xfId="23169" xr:uid="{00000000-0005-0000-0000-000047150000}"/>
    <cellStyle name="20 % - Aksentti6 2 31" xfId="24945" xr:uid="{00000000-0005-0000-0000-000048150000}"/>
    <cellStyle name="20 % - Aksentti6 2 32" xfId="26744" xr:uid="{00000000-0005-0000-0000-000049150000}"/>
    <cellStyle name="20 % - Aksentti6 2 33" xfId="24991" xr:uid="{00000000-0005-0000-0000-00004A150000}"/>
    <cellStyle name="20 % - Aksentti6 2 4" xfId="1636" xr:uid="{00000000-0005-0000-0000-00004B150000}"/>
    <cellStyle name="20 % - Aksentti6 2 4 2" xfId="1637" xr:uid="{00000000-0005-0000-0000-00004C150000}"/>
    <cellStyle name="20 % - Aksentti6 2 4 2 2" xfId="1638" xr:uid="{00000000-0005-0000-0000-00004D150000}"/>
    <cellStyle name="20 % - Aksentti6 2 4 2 2 2" xfId="6959" xr:uid="{00000000-0005-0000-0000-00004E150000}"/>
    <cellStyle name="20 % - Aksentti6 2 4 2 2 3" xfId="15162" xr:uid="{00000000-0005-0000-0000-00004F150000}"/>
    <cellStyle name="20 % - Aksentti6 2 4 2 2_DataIX" xfId="30449" xr:uid="{00000000-0005-0000-0000-000050150000}"/>
    <cellStyle name="20 % - Aksentti6 2 4 2 3" xfId="6958" xr:uid="{00000000-0005-0000-0000-000051150000}"/>
    <cellStyle name="20 % - Aksentti6 2 4 2 4" xfId="15161" xr:uid="{00000000-0005-0000-0000-000052150000}"/>
    <cellStyle name="20 % - Aksentti6 2 4 2_DataIX" xfId="30448" xr:uid="{00000000-0005-0000-0000-000053150000}"/>
    <cellStyle name="20 % - Aksentti6 2 4 3" xfId="1639" xr:uid="{00000000-0005-0000-0000-000054150000}"/>
    <cellStyle name="20 % - Aksentti6 2 4 3 2" xfId="6960" xr:uid="{00000000-0005-0000-0000-000055150000}"/>
    <cellStyle name="20 % - Aksentti6 2 4 3 3" xfId="15163" xr:uid="{00000000-0005-0000-0000-000056150000}"/>
    <cellStyle name="20 % - Aksentti6 2 4 3_DataIX" xfId="30450" xr:uid="{00000000-0005-0000-0000-000057150000}"/>
    <cellStyle name="20 % - Aksentti6 2 4 4" xfId="5483" xr:uid="{00000000-0005-0000-0000-000058150000}"/>
    <cellStyle name="20 % - Aksentti6 2 4 4 2" xfId="11309" xr:uid="{00000000-0005-0000-0000-000059150000}"/>
    <cellStyle name="20 % - Aksentti6 2 4 4 3" xfId="18743" xr:uid="{00000000-0005-0000-0000-00005A150000}"/>
    <cellStyle name="20 % - Aksentti6 2 4 4_DataIX" xfId="30451" xr:uid="{00000000-0005-0000-0000-00005B150000}"/>
    <cellStyle name="20 % - Aksentti6 2 4 5" xfId="5319" xr:uid="{00000000-0005-0000-0000-00005C150000}"/>
    <cellStyle name="20 % - Aksentti6 2 4 5 2" xfId="11310" xr:uid="{00000000-0005-0000-0000-00005D150000}"/>
    <cellStyle name="20 % - Aksentti6 2 4 5 3" xfId="18643" xr:uid="{00000000-0005-0000-0000-00005E150000}"/>
    <cellStyle name="20 % - Aksentti6 2 4 5_DataIX" xfId="30452" xr:uid="{00000000-0005-0000-0000-00005F150000}"/>
    <cellStyle name="20 % - Aksentti6 2 4 6" xfId="10611" xr:uid="{00000000-0005-0000-0000-000060150000}"/>
    <cellStyle name="20 % - Aksentti6 2 4 6 2" xfId="11311" xr:uid="{00000000-0005-0000-0000-000061150000}"/>
    <cellStyle name="20 % - Aksentti6 2 4 6 3" xfId="20393" xr:uid="{00000000-0005-0000-0000-000062150000}"/>
    <cellStyle name="20 % - Aksentti6 2 4 6_DataIX" xfId="30453" xr:uid="{00000000-0005-0000-0000-000063150000}"/>
    <cellStyle name="20 % - Aksentti6 2 4 7" xfId="10563" xr:uid="{00000000-0005-0000-0000-000064150000}"/>
    <cellStyle name="20 % - Aksentti6 2 4 7 2" xfId="11312" xr:uid="{00000000-0005-0000-0000-000065150000}"/>
    <cellStyle name="20 % - Aksentti6 2 4 7 3" xfId="20345" xr:uid="{00000000-0005-0000-0000-000066150000}"/>
    <cellStyle name="20 % - Aksentti6 2 4 7_DataIX" xfId="30454" xr:uid="{00000000-0005-0000-0000-000067150000}"/>
    <cellStyle name="20 % - Aksentti6 2 4 8" xfId="10576" xr:uid="{00000000-0005-0000-0000-000068150000}"/>
    <cellStyle name="20 % - Aksentti6 2 4 8 2" xfId="11313" xr:uid="{00000000-0005-0000-0000-000069150000}"/>
    <cellStyle name="20 % - Aksentti6 2 4 8 3" xfId="20358" xr:uid="{00000000-0005-0000-0000-00006A150000}"/>
    <cellStyle name="20 % - Aksentti6 2 4 8_DataIX" xfId="30455" xr:uid="{00000000-0005-0000-0000-00006B150000}"/>
    <cellStyle name="20 % - Aksentti6 2 4 9" xfId="15160" xr:uid="{00000000-0005-0000-0000-00006C150000}"/>
    <cellStyle name="20 % - Aksentti6 2 4_##Keskeiset" xfId="6957" xr:uid="{00000000-0005-0000-0000-00006D150000}"/>
    <cellStyle name="20 % - Aksentti6 2 5" xfId="1640" xr:uid="{00000000-0005-0000-0000-00006E150000}"/>
    <cellStyle name="20 % - Aksentti6 2 5 2" xfId="1641" xr:uid="{00000000-0005-0000-0000-00006F150000}"/>
    <cellStyle name="20 % - Aksentti6 2 5 2 2" xfId="6962" xr:uid="{00000000-0005-0000-0000-000070150000}"/>
    <cellStyle name="20 % - Aksentti6 2 5 2 3" xfId="15165" xr:uid="{00000000-0005-0000-0000-000071150000}"/>
    <cellStyle name="20 % - Aksentti6 2 5 2_DataIX" xfId="30457" xr:uid="{00000000-0005-0000-0000-000072150000}"/>
    <cellStyle name="20 % - Aksentti6 2 5 3" xfId="6961" xr:uid="{00000000-0005-0000-0000-000073150000}"/>
    <cellStyle name="20 % - Aksentti6 2 5 4" xfId="15164" xr:uid="{00000000-0005-0000-0000-000074150000}"/>
    <cellStyle name="20 % - Aksentti6 2 5_DataIX" xfId="30456" xr:uid="{00000000-0005-0000-0000-000075150000}"/>
    <cellStyle name="20 % - Aksentti6 2 6" xfId="1642" xr:uid="{00000000-0005-0000-0000-000076150000}"/>
    <cellStyle name="20 % - Aksentti6 2 6 2" xfId="6963" xr:uid="{00000000-0005-0000-0000-000077150000}"/>
    <cellStyle name="20 % - Aksentti6 2 6 3" xfId="15166" xr:uid="{00000000-0005-0000-0000-000078150000}"/>
    <cellStyle name="20 % - Aksentti6 2 6_DataIX" xfId="30458" xr:uid="{00000000-0005-0000-0000-000079150000}"/>
    <cellStyle name="20 % - Aksentti6 2 7" xfId="1643" xr:uid="{00000000-0005-0000-0000-00007A150000}"/>
    <cellStyle name="20 % - Aksentti6 2 7 2" xfId="6964" xr:uid="{00000000-0005-0000-0000-00007B150000}"/>
    <cellStyle name="20 % - Aksentti6 2 7 3" xfId="15167" xr:uid="{00000000-0005-0000-0000-00007C150000}"/>
    <cellStyle name="20 % - Aksentti6 2 7_DataIX" xfId="30459" xr:uid="{00000000-0005-0000-0000-00007D150000}"/>
    <cellStyle name="20 % - Aksentti6 2 8" xfId="1644" xr:uid="{00000000-0005-0000-0000-00007E150000}"/>
    <cellStyle name="20 % - Aksentti6 2 8 2" xfId="6965" xr:uid="{00000000-0005-0000-0000-00007F150000}"/>
    <cellStyle name="20 % - Aksentti6 2 8 3" xfId="15168" xr:uid="{00000000-0005-0000-0000-000080150000}"/>
    <cellStyle name="20 % - Aksentti6 2 8_DataIX" xfId="30460" xr:uid="{00000000-0005-0000-0000-000081150000}"/>
    <cellStyle name="20 % - Aksentti6 2 9" xfId="1645" xr:uid="{00000000-0005-0000-0000-000082150000}"/>
    <cellStyle name="20 % - Aksentti6 2 9 2" xfId="6966" xr:uid="{00000000-0005-0000-0000-000083150000}"/>
    <cellStyle name="20 % - Aksentti6 2 9 3" xfId="15169" xr:uid="{00000000-0005-0000-0000-000084150000}"/>
    <cellStyle name="20 % - Aksentti6 2 9_DataIX" xfId="30461" xr:uid="{00000000-0005-0000-0000-000085150000}"/>
    <cellStyle name="20 % - Aksentti6 2_##Keskeiset" xfId="6938" xr:uid="{00000000-0005-0000-0000-000086150000}"/>
    <cellStyle name="20 % - Aksentti6 20" xfId="1646" xr:uid="{00000000-0005-0000-0000-000087150000}"/>
    <cellStyle name="20 % - Aksentti6 20 2" xfId="6967" xr:uid="{00000000-0005-0000-0000-000088150000}"/>
    <cellStyle name="20 % - Aksentti6 20 3" xfId="15170" xr:uid="{00000000-0005-0000-0000-000089150000}"/>
    <cellStyle name="20 % - Aksentti6 20_DataIX" xfId="30462" xr:uid="{00000000-0005-0000-0000-00008A150000}"/>
    <cellStyle name="20 % - Aksentti6 21" xfId="1647" xr:uid="{00000000-0005-0000-0000-00008B150000}"/>
    <cellStyle name="20 % - Aksentti6 21 2" xfId="6968" xr:uid="{00000000-0005-0000-0000-00008C150000}"/>
    <cellStyle name="20 % - Aksentti6 21 3" xfId="15171" xr:uid="{00000000-0005-0000-0000-00008D150000}"/>
    <cellStyle name="20 % - Aksentti6 21_DataIX" xfId="30463" xr:uid="{00000000-0005-0000-0000-00008E150000}"/>
    <cellStyle name="20 % - Aksentti6 22" xfId="1648" xr:uid="{00000000-0005-0000-0000-00008F150000}"/>
    <cellStyle name="20 % - Aksentti6 22 2" xfId="6969" xr:uid="{00000000-0005-0000-0000-000090150000}"/>
    <cellStyle name="20 % - Aksentti6 22 3" xfId="15172" xr:uid="{00000000-0005-0000-0000-000091150000}"/>
    <cellStyle name="20 % - Aksentti6 22_DataIX" xfId="30464" xr:uid="{00000000-0005-0000-0000-000092150000}"/>
    <cellStyle name="20 % - Aksentti6 23" xfId="1649" xr:uid="{00000000-0005-0000-0000-000093150000}"/>
    <cellStyle name="20 % - Aksentti6 23 2" xfId="6970" xr:uid="{00000000-0005-0000-0000-000094150000}"/>
    <cellStyle name="20 % - Aksentti6 23 3" xfId="15173" xr:uid="{00000000-0005-0000-0000-000095150000}"/>
    <cellStyle name="20 % - Aksentti6 23_DataIX" xfId="30465" xr:uid="{00000000-0005-0000-0000-000096150000}"/>
    <cellStyle name="20 % - Aksentti6 24" xfId="1650" xr:uid="{00000000-0005-0000-0000-000097150000}"/>
    <cellStyle name="20 % - Aksentti6 24 2" xfId="6971" xr:uid="{00000000-0005-0000-0000-000098150000}"/>
    <cellStyle name="20 % - Aksentti6 24 3" xfId="15174" xr:uid="{00000000-0005-0000-0000-000099150000}"/>
    <cellStyle name="20 % - Aksentti6 24_DataIX" xfId="30466" xr:uid="{00000000-0005-0000-0000-00009A150000}"/>
    <cellStyle name="20 % - Aksentti6 25" xfId="1651" xr:uid="{00000000-0005-0000-0000-00009B150000}"/>
    <cellStyle name="20 % - Aksentti6 25 2" xfId="6972" xr:uid="{00000000-0005-0000-0000-00009C150000}"/>
    <cellStyle name="20 % - Aksentti6 25 3" xfId="15175" xr:uid="{00000000-0005-0000-0000-00009D150000}"/>
    <cellStyle name="20 % - Aksentti6 25_DataIX" xfId="30467" xr:uid="{00000000-0005-0000-0000-00009E150000}"/>
    <cellStyle name="20 % - Aksentti6 26" xfId="1652" xr:uid="{00000000-0005-0000-0000-00009F150000}"/>
    <cellStyle name="20 % - Aksentti6 26 2" xfId="6973" xr:uid="{00000000-0005-0000-0000-0000A0150000}"/>
    <cellStyle name="20 % - Aksentti6 26 3" xfId="15176" xr:uid="{00000000-0005-0000-0000-0000A1150000}"/>
    <cellStyle name="20 % - Aksentti6 26_DataIX" xfId="30468" xr:uid="{00000000-0005-0000-0000-0000A2150000}"/>
    <cellStyle name="20 % - Aksentti6 27" xfId="1653" xr:uid="{00000000-0005-0000-0000-0000A3150000}"/>
    <cellStyle name="20 % - Aksentti6 27 2" xfId="6974" xr:uid="{00000000-0005-0000-0000-0000A4150000}"/>
    <cellStyle name="20 % - Aksentti6 27 3" xfId="15177" xr:uid="{00000000-0005-0000-0000-0000A5150000}"/>
    <cellStyle name="20 % - Aksentti6 27_DataIX" xfId="30469" xr:uid="{00000000-0005-0000-0000-0000A6150000}"/>
    <cellStyle name="20 % - Aksentti6 28" xfId="1654" xr:uid="{00000000-0005-0000-0000-0000A7150000}"/>
    <cellStyle name="20 % - Aksentti6 28 2" xfId="6975" xr:uid="{00000000-0005-0000-0000-0000A8150000}"/>
    <cellStyle name="20 % - Aksentti6 28 3" xfId="15178" xr:uid="{00000000-0005-0000-0000-0000A9150000}"/>
    <cellStyle name="20 % - Aksentti6 28_DataIX" xfId="30470" xr:uid="{00000000-0005-0000-0000-0000AA150000}"/>
    <cellStyle name="20 % - Aksentti6 29" xfId="10645" xr:uid="{00000000-0005-0000-0000-0000AB150000}"/>
    <cellStyle name="20 % - Aksentti6 29 2" xfId="27763" xr:uid="{00000000-0005-0000-0000-0000AC150000}"/>
    <cellStyle name="20 % - Aksentti6 29_DataIX" xfId="30471" xr:uid="{00000000-0005-0000-0000-0000AD150000}"/>
    <cellStyle name="20 % - Aksentti6 3" xfId="147" xr:uid="{00000000-0005-0000-0000-0000AE150000}"/>
    <cellStyle name="20 % - Aksentti6 3 10" xfId="1656" xr:uid="{00000000-0005-0000-0000-0000AF150000}"/>
    <cellStyle name="20 % - Aksentti6 3 10 2" xfId="6976" xr:uid="{00000000-0005-0000-0000-0000B0150000}"/>
    <cellStyle name="20 % - Aksentti6 3 10 3" xfId="15180" xr:uid="{00000000-0005-0000-0000-0000B1150000}"/>
    <cellStyle name="20 % - Aksentti6 3 10_DataIX" xfId="30473" xr:uid="{00000000-0005-0000-0000-0000B2150000}"/>
    <cellStyle name="20 % - Aksentti6 3 11" xfId="1655" xr:uid="{00000000-0005-0000-0000-0000B3150000}"/>
    <cellStyle name="20 % - Aksentti6 3 11 2" xfId="6977" xr:uid="{00000000-0005-0000-0000-0000B4150000}"/>
    <cellStyle name="20 % - Aksentti6 3 11 3" xfId="15179" xr:uid="{00000000-0005-0000-0000-0000B5150000}"/>
    <cellStyle name="20 % - Aksentti6 3 11_DataIX" xfId="30474" xr:uid="{00000000-0005-0000-0000-0000B6150000}"/>
    <cellStyle name="20 % - Aksentti6 3 2" xfId="1657" xr:uid="{00000000-0005-0000-0000-0000B7150000}"/>
    <cellStyle name="20 % - Aksentti6 3 2 10" xfId="1658" xr:uid="{00000000-0005-0000-0000-0000B8150000}"/>
    <cellStyle name="20 % - Aksentti6 3 2 10 2" xfId="6979" xr:uid="{00000000-0005-0000-0000-0000B9150000}"/>
    <cellStyle name="20 % - Aksentti6 3 2 10 3" xfId="15182" xr:uid="{00000000-0005-0000-0000-0000BA150000}"/>
    <cellStyle name="20 % - Aksentti6 3 2 10_DataIX" xfId="30476" xr:uid="{00000000-0005-0000-0000-0000BB150000}"/>
    <cellStyle name="20 % - Aksentti6 3 2 11" xfId="6978" xr:uid="{00000000-0005-0000-0000-0000BC150000}"/>
    <cellStyle name="20 % - Aksentti6 3 2 12" xfId="15181" xr:uid="{00000000-0005-0000-0000-0000BD150000}"/>
    <cellStyle name="20 % - Aksentti6 3 2 2" xfId="1659" xr:uid="{00000000-0005-0000-0000-0000BE150000}"/>
    <cellStyle name="20 % - Aksentti6 3 2 2 2" xfId="1660" xr:uid="{00000000-0005-0000-0000-0000BF150000}"/>
    <cellStyle name="20 % - Aksentti6 3 2 2 2 2" xfId="6981" xr:uid="{00000000-0005-0000-0000-0000C0150000}"/>
    <cellStyle name="20 % - Aksentti6 3 2 2 2 3" xfId="15184" xr:uid="{00000000-0005-0000-0000-0000C1150000}"/>
    <cellStyle name="20 % - Aksentti6 3 2 2 2_DataIX" xfId="30478" xr:uid="{00000000-0005-0000-0000-0000C2150000}"/>
    <cellStyle name="20 % - Aksentti6 3 2 2 3" xfId="6980" xr:uid="{00000000-0005-0000-0000-0000C3150000}"/>
    <cellStyle name="20 % - Aksentti6 3 2 2 4" xfId="15183" xr:uid="{00000000-0005-0000-0000-0000C4150000}"/>
    <cellStyle name="20 % - Aksentti6 3 2 2_DataIX" xfId="30477" xr:uid="{00000000-0005-0000-0000-0000C5150000}"/>
    <cellStyle name="20 % - Aksentti6 3 2 3" xfId="1661" xr:uid="{00000000-0005-0000-0000-0000C6150000}"/>
    <cellStyle name="20 % - Aksentti6 3 2 3 2" xfId="6982" xr:uid="{00000000-0005-0000-0000-0000C7150000}"/>
    <cellStyle name="20 % - Aksentti6 3 2 3 3" xfId="15185" xr:uid="{00000000-0005-0000-0000-0000C8150000}"/>
    <cellStyle name="20 % - Aksentti6 3 2 3_DataIX" xfId="30479" xr:uid="{00000000-0005-0000-0000-0000C9150000}"/>
    <cellStyle name="20 % - Aksentti6 3 2 4" xfId="1662" xr:uid="{00000000-0005-0000-0000-0000CA150000}"/>
    <cellStyle name="20 % - Aksentti6 3 2 4 2" xfId="6983" xr:uid="{00000000-0005-0000-0000-0000CB150000}"/>
    <cellStyle name="20 % - Aksentti6 3 2 4 3" xfId="15186" xr:uid="{00000000-0005-0000-0000-0000CC150000}"/>
    <cellStyle name="20 % - Aksentti6 3 2 4_DataIX" xfId="30480" xr:uid="{00000000-0005-0000-0000-0000CD150000}"/>
    <cellStyle name="20 % - Aksentti6 3 2 5" xfId="1663" xr:uid="{00000000-0005-0000-0000-0000CE150000}"/>
    <cellStyle name="20 % - Aksentti6 3 2 5 2" xfId="6984" xr:uid="{00000000-0005-0000-0000-0000CF150000}"/>
    <cellStyle name="20 % - Aksentti6 3 2 5 3" xfId="15187" xr:uid="{00000000-0005-0000-0000-0000D0150000}"/>
    <cellStyle name="20 % - Aksentti6 3 2 5_DataIX" xfId="30481" xr:uid="{00000000-0005-0000-0000-0000D1150000}"/>
    <cellStyle name="20 % - Aksentti6 3 2 6" xfId="1664" xr:uid="{00000000-0005-0000-0000-0000D2150000}"/>
    <cellStyle name="20 % - Aksentti6 3 2 6 2" xfId="6985" xr:uid="{00000000-0005-0000-0000-0000D3150000}"/>
    <cellStyle name="20 % - Aksentti6 3 2 6 3" xfId="15188" xr:uid="{00000000-0005-0000-0000-0000D4150000}"/>
    <cellStyle name="20 % - Aksentti6 3 2 6_DataIX" xfId="30482" xr:uid="{00000000-0005-0000-0000-0000D5150000}"/>
    <cellStyle name="20 % - Aksentti6 3 2 7" xfId="1665" xr:uid="{00000000-0005-0000-0000-0000D6150000}"/>
    <cellStyle name="20 % - Aksentti6 3 2 7 2" xfId="6986" xr:uid="{00000000-0005-0000-0000-0000D7150000}"/>
    <cellStyle name="20 % - Aksentti6 3 2 7 3" xfId="15189" xr:uid="{00000000-0005-0000-0000-0000D8150000}"/>
    <cellStyle name="20 % - Aksentti6 3 2 7_DataIX" xfId="30483" xr:uid="{00000000-0005-0000-0000-0000D9150000}"/>
    <cellStyle name="20 % - Aksentti6 3 2 8" xfId="1666" xr:uid="{00000000-0005-0000-0000-0000DA150000}"/>
    <cellStyle name="20 % - Aksentti6 3 2 8 2" xfId="6987" xr:uid="{00000000-0005-0000-0000-0000DB150000}"/>
    <cellStyle name="20 % - Aksentti6 3 2 8 3" xfId="15190" xr:uid="{00000000-0005-0000-0000-0000DC150000}"/>
    <cellStyle name="20 % - Aksentti6 3 2 8_DataIX" xfId="30484" xr:uid="{00000000-0005-0000-0000-0000DD150000}"/>
    <cellStyle name="20 % - Aksentti6 3 2 9" xfId="1667" xr:uid="{00000000-0005-0000-0000-0000DE150000}"/>
    <cellStyle name="20 % - Aksentti6 3 2 9 2" xfId="6988" xr:uid="{00000000-0005-0000-0000-0000DF150000}"/>
    <cellStyle name="20 % - Aksentti6 3 2 9 3" xfId="15191" xr:uid="{00000000-0005-0000-0000-0000E0150000}"/>
    <cellStyle name="20 % - Aksentti6 3 2 9_DataIX" xfId="30485" xr:uid="{00000000-0005-0000-0000-0000E1150000}"/>
    <cellStyle name="20 % - Aksentti6 3 2_DataIX" xfId="30475" xr:uid="{00000000-0005-0000-0000-0000E2150000}"/>
    <cellStyle name="20 % - Aksentti6 3 3" xfId="1668" xr:uid="{00000000-0005-0000-0000-0000E3150000}"/>
    <cellStyle name="20 % - Aksentti6 3 3 2" xfId="1669" xr:uid="{00000000-0005-0000-0000-0000E4150000}"/>
    <cellStyle name="20 % - Aksentti6 3 3 2 2" xfId="1670" xr:uid="{00000000-0005-0000-0000-0000E5150000}"/>
    <cellStyle name="20 % - Aksentti6 3 3 2 2 2" xfId="6991" xr:uid="{00000000-0005-0000-0000-0000E6150000}"/>
    <cellStyle name="20 % - Aksentti6 3 3 2 2 3" xfId="15194" xr:uid="{00000000-0005-0000-0000-0000E7150000}"/>
    <cellStyle name="20 % - Aksentti6 3 3 2 2_DataIX" xfId="30488" xr:uid="{00000000-0005-0000-0000-0000E8150000}"/>
    <cellStyle name="20 % - Aksentti6 3 3 2 3" xfId="6990" xr:uid="{00000000-0005-0000-0000-0000E9150000}"/>
    <cellStyle name="20 % - Aksentti6 3 3 2 4" xfId="15193" xr:uid="{00000000-0005-0000-0000-0000EA150000}"/>
    <cellStyle name="20 % - Aksentti6 3 3 2_DataIX" xfId="30487" xr:uid="{00000000-0005-0000-0000-0000EB150000}"/>
    <cellStyle name="20 % - Aksentti6 3 3 3" xfId="1671" xr:uid="{00000000-0005-0000-0000-0000EC150000}"/>
    <cellStyle name="20 % - Aksentti6 3 3 3 2" xfId="6992" xr:uid="{00000000-0005-0000-0000-0000ED150000}"/>
    <cellStyle name="20 % - Aksentti6 3 3 3 3" xfId="15195" xr:uid="{00000000-0005-0000-0000-0000EE150000}"/>
    <cellStyle name="20 % - Aksentti6 3 3 3_DataIX" xfId="30489" xr:uid="{00000000-0005-0000-0000-0000EF150000}"/>
    <cellStyle name="20 % - Aksentti6 3 3 4" xfId="6989" xr:uid="{00000000-0005-0000-0000-0000F0150000}"/>
    <cellStyle name="20 % - Aksentti6 3 3 5" xfId="15192" xr:uid="{00000000-0005-0000-0000-0000F1150000}"/>
    <cellStyle name="20 % - Aksentti6 3 3_DataIX" xfId="30486" xr:uid="{00000000-0005-0000-0000-0000F2150000}"/>
    <cellStyle name="20 % - Aksentti6 3 4" xfId="1672" xr:uid="{00000000-0005-0000-0000-0000F3150000}"/>
    <cellStyle name="20 % - Aksentti6 3 4 2" xfId="1673" xr:uid="{00000000-0005-0000-0000-0000F4150000}"/>
    <cellStyle name="20 % - Aksentti6 3 4 2 2" xfId="1674" xr:uid="{00000000-0005-0000-0000-0000F5150000}"/>
    <cellStyle name="20 % - Aksentti6 3 4 2 2 2" xfId="6995" xr:uid="{00000000-0005-0000-0000-0000F6150000}"/>
    <cellStyle name="20 % - Aksentti6 3 4 2 2 3" xfId="15198" xr:uid="{00000000-0005-0000-0000-0000F7150000}"/>
    <cellStyle name="20 % - Aksentti6 3 4 2 2_DataIX" xfId="30492" xr:uid="{00000000-0005-0000-0000-0000F8150000}"/>
    <cellStyle name="20 % - Aksentti6 3 4 2 3" xfId="6994" xr:uid="{00000000-0005-0000-0000-0000F9150000}"/>
    <cellStyle name="20 % - Aksentti6 3 4 2 4" xfId="15197" xr:uid="{00000000-0005-0000-0000-0000FA150000}"/>
    <cellStyle name="20 % - Aksentti6 3 4 2_DataIX" xfId="30491" xr:uid="{00000000-0005-0000-0000-0000FB150000}"/>
    <cellStyle name="20 % - Aksentti6 3 4 3" xfId="1675" xr:uid="{00000000-0005-0000-0000-0000FC150000}"/>
    <cellStyle name="20 % - Aksentti6 3 4 3 2" xfId="6996" xr:uid="{00000000-0005-0000-0000-0000FD150000}"/>
    <cellStyle name="20 % - Aksentti6 3 4 3 3" xfId="15199" xr:uid="{00000000-0005-0000-0000-0000FE150000}"/>
    <cellStyle name="20 % - Aksentti6 3 4 3_DataIX" xfId="30493" xr:uid="{00000000-0005-0000-0000-0000FF150000}"/>
    <cellStyle name="20 % - Aksentti6 3 4 4" xfId="6993" xr:uid="{00000000-0005-0000-0000-000000160000}"/>
    <cellStyle name="20 % - Aksentti6 3 4 5" xfId="15196" xr:uid="{00000000-0005-0000-0000-000001160000}"/>
    <cellStyle name="20 % - Aksentti6 3 4_DataIX" xfId="30490" xr:uid="{00000000-0005-0000-0000-000002160000}"/>
    <cellStyle name="20 % - Aksentti6 3 5" xfId="1676" xr:uid="{00000000-0005-0000-0000-000003160000}"/>
    <cellStyle name="20 % - Aksentti6 3 5 2" xfId="1677" xr:uid="{00000000-0005-0000-0000-000004160000}"/>
    <cellStyle name="20 % - Aksentti6 3 5 2 2" xfId="6998" xr:uid="{00000000-0005-0000-0000-000005160000}"/>
    <cellStyle name="20 % - Aksentti6 3 5 2 3" xfId="15201" xr:uid="{00000000-0005-0000-0000-000006160000}"/>
    <cellStyle name="20 % - Aksentti6 3 5 2_DataIX" xfId="30495" xr:uid="{00000000-0005-0000-0000-000007160000}"/>
    <cellStyle name="20 % - Aksentti6 3 5 3" xfId="6997" xr:uid="{00000000-0005-0000-0000-000008160000}"/>
    <cellStyle name="20 % - Aksentti6 3 5 4" xfId="15200" xr:uid="{00000000-0005-0000-0000-000009160000}"/>
    <cellStyle name="20 % - Aksentti6 3 5_DataIX" xfId="30494" xr:uid="{00000000-0005-0000-0000-00000A160000}"/>
    <cellStyle name="20 % - Aksentti6 3 6" xfId="1678" xr:uid="{00000000-0005-0000-0000-00000B160000}"/>
    <cellStyle name="20 % - Aksentti6 3 6 2" xfId="6999" xr:uid="{00000000-0005-0000-0000-00000C160000}"/>
    <cellStyle name="20 % - Aksentti6 3 6 3" xfId="15202" xr:uid="{00000000-0005-0000-0000-00000D160000}"/>
    <cellStyle name="20 % - Aksentti6 3 6_DataIX" xfId="30496" xr:uid="{00000000-0005-0000-0000-00000E160000}"/>
    <cellStyle name="20 % - Aksentti6 3 7" xfId="1679" xr:uid="{00000000-0005-0000-0000-00000F160000}"/>
    <cellStyle name="20 % - Aksentti6 3 7 2" xfId="7000" xr:uid="{00000000-0005-0000-0000-000010160000}"/>
    <cellStyle name="20 % - Aksentti6 3 7 3" xfId="15203" xr:uid="{00000000-0005-0000-0000-000011160000}"/>
    <cellStyle name="20 % - Aksentti6 3 7_DataIX" xfId="30497" xr:uid="{00000000-0005-0000-0000-000012160000}"/>
    <cellStyle name="20 % - Aksentti6 3 8" xfId="1680" xr:uid="{00000000-0005-0000-0000-000013160000}"/>
    <cellStyle name="20 % - Aksentti6 3 8 2" xfId="7001" xr:uid="{00000000-0005-0000-0000-000014160000}"/>
    <cellStyle name="20 % - Aksentti6 3 8 3" xfId="15204" xr:uid="{00000000-0005-0000-0000-000015160000}"/>
    <cellStyle name="20 % - Aksentti6 3 8_DataIX" xfId="30498" xr:uid="{00000000-0005-0000-0000-000016160000}"/>
    <cellStyle name="20 % - Aksentti6 3 9" xfId="1681" xr:uid="{00000000-0005-0000-0000-000017160000}"/>
    <cellStyle name="20 % - Aksentti6 3 9 2" xfId="7002" xr:uid="{00000000-0005-0000-0000-000018160000}"/>
    <cellStyle name="20 % - Aksentti6 3 9 3" xfId="15205" xr:uid="{00000000-0005-0000-0000-000019160000}"/>
    <cellStyle name="20 % - Aksentti6 3 9_DataIX" xfId="30499" xr:uid="{00000000-0005-0000-0000-00001A160000}"/>
    <cellStyle name="20 % - Aksentti6 3_DataIX" xfId="30472" xr:uid="{00000000-0005-0000-0000-00001B160000}"/>
    <cellStyle name="20 % - Aksentti6 30" xfId="13083" xr:uid="{00000000-0005-0000-0000-00001C160000}"/>
    <cellStyle name="20 % - Aksentti6 31" xfId="13320" xr:uid="{00000000-0005-0000-0000-00001D160000}"/>
    <cellStyle name="20 % - Aksentti6 32" xfId="13133" xr:uid="{00000000-0005-0000-0000-00001E160000}"/>
    <cellStyle name="20 % - Aksentti6 33" xfId="13407" xr:uid="{00000000-0005-0000-0000-00001F160000}"/>
    <cellStyle name="20 % - Aksentti6 34" xfId="13892" xr:uid="{00000000-0005-0000-0000-000020160000}"/>
    <cellStyle name="20 % - Aksentti6 35" xfId="20271" xr:uid="{00000000-0005-0000-0000-000021160000}"/>
    <cellStyle name="20 % - Aksentti6 36" xfId="25699" xr:uid="{00000000-0005-0000-0000-000022160000}"/>
    <cellStyle name="20 % - Aksentti6 37" xfId="25848" xr:uid="{00000000-0005-0000-0000-000023160000}"/>
    <cellStyle name="20 % - Aksentti6 38" xfId="26356" xr:uid="{00000000-0005-0000-0000-000024160000}"/>
    <cellStyle name="20 % - Aksentti6 39" xfId="26534" xr:uid="{00000000-0005-0000-0000-000025160000}"/>
    <cellStyle name="20 % - Aksentti6 4" xfId="1682" xr:uid="{00000000-0005-0000-0000-000026160000}"/>
    <cellStyle name="20 % - Aksentti6 4 10" xfId="1683" xr:uid="{00000000-0005-0000-0000-000027160000}"/>
    <cellStyle name="20 % - Aksentti6 4 10 2" xfId="7004" xr:uid="{00000000-0005-0000-0000-000028160000}"/>
    <cellStyle name="20 % - Aksentti6 4 10 3" xfId="15207" xr:uid="{00000000-0005-0000-0000-000029160000}"/>
    <cellStyle name="20 % - Aksentti6 4 10_DataIX" xfId="30500" xr:uid="{00000000-0005-0000-0000-00002A160000}"/>
    <cellStyle name="20 % - Aksentti6 4 11" xfId="5484" xr:uid="{00000000-0005-0000-0000-00002B160000}"/>
    <cellStyle name="20 % - Aksentti6 4 12" xfId="15206" xr:uid="{00000000-0005-0000-0000-00002C160000}"/>
    <cellStyle name="20 % - Aksentti6 4 2" xfId="1684" xr:uid="{00000000-0005-0000-0000-00002D160000}"/>
    <cellStyle name="20 % - Aksentti6 4 2 2" xfId="1685" xr:uid="{00000000-0005-0000-0000-00002E160000}"/>
    <cellStyle name="20 % - Aksentti6 4 2 2 2" xfId="1686" xr:uid="{00000000-0005-0000-0000-00002F160000}"/>
    <cellStyle name="20 % - Aksentti6 4 2 2 2 2" xfId="7007" xr:uid="{00000000-0005-0000-0000-000030160000}"/>
    <cellStyle name="20 % - Aksentti6 4 2 2 2 3" xfId="15210" xr:uid="{00000000-0005-0000-0000-000031160000}"/>
    <cellStyle name="20 % - Aksentti6 4 2 2 2_DataIX" xfId="30503" xr:uid="{00000000-0005-0000-0000-000032160000}"/>
    <cellStyle name="20 % - Aksentti6 4 2 2 3" xfId="7006" xr:uid="{00000000-0005-0000-0000-000033160000}"/>
    <cellStyle name="20 % - Aksentti6 4 2 2 4" xfId="15209" xr:uid="{00000000-0005-0000-0000-000034160000}"/>
    <cellStyle name="20 % - Aksentti6 4 2 2_DataIX" xfId="30502" xr:uid="{00000000-0005-0000-0000-000035160000}"/>
    <cellStyle name="20 % - Aksentti6 4 2 3" xfId="1687" xr:uid="{00000000-0005-0000-0000-000036160000}"/>
    <cellStyle name="20 % - Aksentti6 4 2 3 2" xfId="7008" xr:uid="{00000000-0005-0000-0000-000037160000}"/>
    <cellStyle name="20 % - Aksentti6 4 2 3 3" xfId="15211" xr:uid="{00000000-0005-0000-0000-000038160000}"/>
    <cellStyle name="20 % - Aksentti6 4 2 3_DataIX" xfId="30504" xr:uid="{00000000-0005-0000-0000-000039160000}"/>
    <cellStyle name="20 % - Aksentti6 4 2 4" xfId="7005" xr:uid="{00000000-0005-0000-0000-00003A160000}"/>
    <cellStyle name="20 % - Aksentti6 4 2 5" xfId="15208" xr:uid="{00000000-0005-0000-0000-00003B160000}"/>
    <cellStyle name="20 % - Aksentti6 4 2_DataIX" xfId="30501" xr:uid="{00000000-0005-0000-0000-00003C160000}"/>
    <cellStyle name="20 % - Aksentti6 4 3" xfId="1688" xr:uid="{00000000-0005-0000-0000-00003D160000}"/>
    <cellStyle name="20 % - Aksentti6 4 3 2" xfId="1689" xr:uid="{00000000-0005-0000-0000-00003E160000}"/>
    <cellStyle name="20 % - Aksentti6 4 3 2 2" xfId="7010" xr:uid="{00000000-0005-0000-0000-00003F160000}"/>
    <cellStyle name="20 % - Aksentti6 4 3 2 3" xfId="15213" xr:uid="{00000000-0005-0000-0000-000040160000}"/>
    <cellStyle name="20 % - Aksentti6 4 3 2_DataIX" xfId="30506" xr:uid="{00000000-0005-0000-0000-000041160000}"/>
    <cellStyle name="20 % - Aksentti6 4 3 3" xfId="7009" xr:uid="{00000000-0005-0000-0000-000042160000}"/>
    <cellStyle name="20 % - Aksentti6 4 3 4" xfId="15212" xr:uid="{00000000-0005-0000-0000-000043160000}"/>
    <cellStyle name="20 % - Aksentti6 4 3_DataIX" xfId="30505" xr:uid="{00000000-0005-0000-0000-000044160000}"/>
    <cellStyle name="20 % - Aksentti6 4 4" xfId="1690" xr:uid="{00000000-0005-0000-0000-000045160000}"/>
    <cellStyle name="20 % - Aksentti6 4 4 2" xfId="7011" xr:uid="{00000000-0005-0000-0000-000046160000}"/>
    <cellStyle name="20 % - Aksentti6 4 4 3" xfId="15214" xr:uid="{00000000-0005-0000-0000-000047160000}"/>
    <cellStyle name="20 % - Aksentti6 4 4_DataIX" xfId="30507" xr:uid="{00000000-0005-0000-0000-000048160000}"/>
    <cellStyle name="20 % - Aksentti6 4 5" xfId="1691" xr:uid="{00000000-0005-0000-0000-000049160000}"/>
    <cellStyle name="20 % - Aksentti6 4 5 2" xfId="7012" xr:uid="{00000000-0005-0000-0000-00004A160000}"/>
    <cellStyle name="20 % - Aksentti6 4 5 3" xfId="15215" xr:uid="{00000000-0005-0000-0000-00004B160000}"/>
    <cellStyle name="20 % - Aksentti6 4 5_DataIX" xfId="30508" xr:uid="{00000000-0005-0000-0000-00004C160000}"/>
    <cellStyle name="20 % - Aksentti6 4 6" xfId="1692" xr:uid="{00000000-0005-0000-0000-00004D160000}"/>
    <cellStyle name="20 % - Aksentti6 4 6 2" xfId="7013" xr:uid="{00000000-0005-0000-0000-00004E160000}"/>
    <cellStyle name="20 % - Aksentti6 4 6 3" xfId="15216" xr:uid="{00000000-0005-0000-0000-00004F160000}"/>
    <cellStyle name="20 % - Aksentti6 4 6_DataIX" xfId="30509" xr:uid="{00000000-0005-0000-0000-000050160000}"/>
    <cellStyle name="20 % - Aksentti6 4 7" xfId="1693" xr:uid="{00000000-0005-0000-0000-000051160000}"/>
    <cellStyle name="20 % - Aksentti6 4 7 2" xfId="7014" xr:uid="{00000000-0005-0000-0000-000052160000}"/>
    <cellStyle name="20 % - Aksentti6 4 7 3" xfId="15217" xr:uid="{00000000-0005-0000-0000-000053160000}"/>
    <cellStyle name="20 % - Aksentti6 4 7_DataIX" xfId="30510" xr:uid="{00000000-0005-0000-0000-000054160000}"/>
    <cellStyle name="20 % - Aksentti6 4 8" xfId="1694" xr:uid="{00000000-0005-0000-0000-000055160000}"/>
    <cellStyle name="20 % - Aksentti6 4 8 2" xfId="7015" xr:uid="{00000000-0005-0000-0000-000056160000}"/>
    <cellStyle name="20 % - Aksentti6 4 8 3" xfId="15218" xr:uid="{00000000-0005-0000-0000-000057160000}"/>
    <cellStyle name="20 % - Aksentti6 4 8_DataIX" xfId="30511" xr:uid="{00000000-0005-0000-0000-000058160000}"/>
    <cellStyle name="20 % - Aksentti6 4 9" xfId="1695" xr:uid="{00000000-0005-0000-0000-000059160000}"/>
    <cellStyle name="20 % - Aksentti6 4 9 2" xfId="7016" xr:uid="{00000000-0005-0000-0000-00005A160000}"/>
    <cellStyle name="20 % - Aksentti6 4 9 3" xfId="15219" xr:uid="{00000000-0005-0000-0000-00005B160000}"/>
    <cellStyle name="20 % - Aksentti6 4 9_DataIX" xfId="30512" xr:uid="{00000000-0005-0000-0000-00005C160000}"/>
    <cellStyle name="20 % - Aksentti6 4_##Keskeiset" xfId="7003" xr:uid="{00000000-0005-0000-0000-00005D160000}"/>
    <cellStyle name="20 % - Aksentti6 40" xfId="26353" xr:uid="{00000000-0005-0000-0000-00005E160000}"/>
    <cellStyle name="20 % - Aksentti6 41" xfId="26645" xr:uid="{00000000-0005-0000-0000-00005F160000}"/>
    <cellStyle name="20 % - Aksentti6 42" xfId="26533" xr:uid="{00000000-0005-0000-0000-000060160000}"/>
    <cellStyle name="20 % - Aksentti6 43" xfId="26420" xr:uid="{00000000-0005-0000-0000-000061160000}"/>
    <cellStyle name="20 % - Aksentti6 44" xfId="26041" xr:uid="{00000000-0005-0000-0000-000062160000}"/>
    <cellStyle name="20 % - Aksentti6 5" xfId="1696" xr:uid="{00000000-0005-0000-0000-000063160000}"/>
    <cellStyle name="20 % - Aksentti6 5 10" xfId="1697" xr:uid="{00000000-0005-0000-0000-000064160000}"/>
    <cellStyle name="20 % - Aksentti6 5 10 2" xfId="7018" xr:uid="{00000000-0005-0000-0000-000065160000}"/>
    <cellStyle name="20 % - Aksentti6 5 10 3" xfId="15221" xr:uid="{00000000-0005-0000-0000-000066160000}"/>
    <cellStyle name="20 % - Aksentti6 5 10_DataIX" xfId="30514" xr:uid="{00000000-0005-0000-0000-000067160000}"/>
    <cellStyle name="20 % - Aksentti6 5 11" xfId="7017" xr:uid="{00000000-0005-0000-0000-000068160000}"/>
    <cellStyle name="20 % - Aksentti6 5 12" xfId="15220" xr:uid="{00000000-0005-0000-0000-000069160000}"/>
    <cellStyle name="20 % - Aksentti6 5 2" xfId="1698" xr:uid="{00000000-0005-0000-0000-00006A160000}"/>
    <cellStyle name="20 % - Aksentti6 5 2 2" xfId="1699" xr:uid="{00000000-0005-0000-0000-00006B160000}"/>
    <cellStyle name="20 % - Aksentti6 5 2 2 2" xfId="1700" xr:uid="{00000000-0005-0000-0000-00006C160000}"/>
    <cellStyle name="20 % - Aksentti6 5 2 2 2 2" xfId="7021" xr:uid="{00000000-0005-0000-0000-00006D160000}"/>
    <cellStyle name="20 % - Aksentti6 5 2 2 2 3" xfId="15224" xr:uid="{00000000-0005-0000-0000-00006E160000}"/>
    <cellStyle name="20 % - Aksentti6 5 2 2 2_DataIX" xfId="30517" xr:uid="{00000000-0005-0000-0000-00006F160000}"/>
    <cellStyle name="20 % - Aksentti6 5 2 2 3" xfId="7020" xr:uid="{00000000-0005-0000-0000-000070160000}"/>
    <cellStyle name="20 % - Aksentti6 5 2 2 4" xfId="15223" xr:uid="{00000000-0005-0000-0000-000071160000}"/>
    <cellStyle name="20 % - Aksentti6 5 2 2_DataIX" xfId="30516" xr:uid="{00000000-0005-0000-0000-000072160000}"/>
    <cellStyle name="20 % - Aksentti6 5 2 3" xfId="1701" xr:uid="{00000000-0005-0000-0000-000073160000}"/>
    <cellStyle name="20 % - Aksentti6 5 2 3 2" xfId="7022" xr:uid="{00000000-0005-0000-0000-000074160000}"/>
    <cellStyle name="20 % - Aksentti6 5 2 3 3" xfId="15225" xr:uid="{00000000-0005-0000-0000-000075160000}"/>
    <cellStyle name="20 % - Aksentti6 5 2 3_DataIX" xfId="30518" xr:uid="{00000000-0005-0000-0000-000076160000}"/>
    <cellStyle name="20 % - Aksentti6 5 2 4" xfId="7019" xr:uid="{00000000-0005-0000-0000-000077160000}"/>
    <cellStyle name="20 % - Aksentti6 5 2 5" xfId="15222" xr:uid="{00000000-0005-0000-0000-000078160000}"/>
    <cellStyle name="20 % - Aksentti6 5 2_DataIX" xfId="30515" xr:uid="{00000000-0005-0000-0000-000079160000}"/>
    <cellStyle name="20 % - Aksentti6 5 3" xfId="1702" xr:uid="{00000000-0005-0000-0000-00007A160000}"/>
    <cellStyle name="20 % - Aksentti6 5 3 2" xfId="1703" xr:uid="{00000000-0005-0000-0000-00007B160000}"/>
    <cellStyle name="20 % - Aksentti6 5 3 2 2" xfId="7024" xr:uid="{00000000-0005-0000-0000-00007C160000}"/>
    <cellStyle name="20 % - Aksentti6 5 3 2 3" xfId="15227" xr:uid="{00000000-0005-0000-0000-00007D160000}"/>
    <cellStyle name="20 % - Aksentti6 5 3 2_DataIX" xfId="30520" xr:uid="{00000000-0005-0000-0000-00007E160000}"/>
    <cellStyle name="20 % - Aksentti6 5 3 3" xfId="7023" xr:uid="{00000000-0005-0000-0000-00007F160000}"/>
    <cellStyle name="20 % - Aksentti6 5 3 4" xfId="15226" xr:uid="{00000000-0005-0000-0000-000080160000}"/>
    <cellStyle name="20 % - Aksentti6 5 3_DataIX" xfId="30519" xr:uid="{00000000-0005-0000-0000-000081160000}"/>
    <cellStyle name="20 % - Aksentti6 5 4" xfId="1704" xr:uid="{00000000-0005-0000-0000-000082160000}"/>
    <cellStyle name="20 % - Aksentti6 5 4 2" xfId="7025" xr:uid="{00000000-0005-0000-0000-000083160000}"/>
    <cellStyle name="20 % - Aksentti6 5 4 3" xfId="15228" xr:uid="{00000000-0005-0000-0000-000084160000}"/>
    <cellStyle name="20 % - Aksentti6 5 4_DataIX" xfId="30521" xr:uid="{00000000-0005-0000-0000-000085160000}"/>
    <cellStyle name="20 % - Aksentti6 5 5" xfId="1705" xr:uid="{00000000-0005-0000-0000-000086160000}"/>
    <cellStyle name="20 % - Aksentti6 5 5 2" xfId="7026" xr:uid="{00000000-0005-0000-0000-000087160000}"/>
    <cellStyle name="20 % - Aksentti6 5 5 3" xfId="15229" xr:uid="{00000000-0005-0000-0000-000088160000}"/>
    <cellStyle name="20 % - Aksentti6 5 5_DataIX" xfId="30522" xr:uid="{00000000-0005-0000-0000-000089160000}"/>
    <cellStyle name="20 % - Aksentti6 5 6" xfId="1706" xr:uid="{00000000-0005-0000-0000-00008A160000}"/>
    <cellStyle name="20 % - Aksentti6 5 6 2" xfId="7027" xr:uid="{00000000-0005-0000-0000-00008B160000}"/>
    <cellStyle name="20 % - Aksentti6 5 6 3" xfId="15230" xr:uid="{00000000-0005-0000-0000-00008C160000}"/>
    <cellStyle name="20 % - Aksentti6 5 6_DataIX" xfId="30523" xr:uid="{00000000-0005-0000-0000-00008D160000}"/>
    <cellStyle name="20 % - Aksentti6 5 7" xfId="1707" xr:uid="{00000000-0005-0000-0000-00008E160000}"/>
    <cellStyle name="20 % - Aksentti6 5 7 2" xfId="7028" xr:uid="{00000000-0005-0000-0000-00008F160000}"/>
    <cellStyle name="20 % - Aksentti6 5 7 3" xfId="15231" xr:uid="{00000000-0005-0000-0000-000090160000}"/>
    <cellStyle name="20 % - Aksentti6 5 7_DataIX" xfId="30524" xr:uid="{00000000-0005-0000-0000-000091160000}"/>
    <cellStyle name="20 % - Aksentti6 5 8" xfId="1708" xr:uid="{00000000-0005-0000-0000-000092160000}"/>
    <cellStyle name="20 % - Aksentti6 5 8 2" xfId="7029" xr:uid="{00000000-0005-0000-0000-000093160000}"/>
    <cellStyle name="20 % - Aksentti6 5 8 3" xfId="15232" xr:uid="{00000000-0005-0000-0000-000094160000}"/>
    <cellStyle name="20 % - Aksentti6 5 8_DataIX" xfId="30525" xr:uid="{00000000-0005-0000-0000-000095160000}"/>
    <cellStyle name="20 % - Aksentti6 5 9" xfId="1709" xr:uid="{00000000-0005-0000-0000-000096160000}"/>
    <cellStyle name="20 % - Aksentti6 5 9 2" xfId="7030" xr:uid="{00000000-0005-0000-0000-000097160000}"/>
    <cellStyle name="20 % - Aksentti6 5 9 3" xfId="15233" xr:uid="{00000000-0005-0000-0000-000098160000}"/>
    <cellStyle name="20 % - Aksentti6 5 9_DataIX" xfId="30526" xr:uid="{00000000-0005-0000-0000-000099160000}"/>
    <cellStyle name="20 % - Aksentti6 5_DataIX" xfId="30513" xr:uid="{00000000-0005-0000-0000-00009A160000}"/>
    <cellStyle name="20 % - Aksentti6 6" xfId="1710" xr:uid="{00000000-0005-0000-0000-00009B160000}"/>
    <cellStyle name="20 % - Aksentti6 6 10" xfId="1711" xr:uid="{00000000-0005-0000-0000-00009C160000}"/>
    <cellStyle name="20 % - Aksentti6 6 10 2" xfId="7032" xr:uid="{00000000-0005-0000-0000-00009D160000}"/>
    <cellStyle name="20 % - Aksentti6 6 10 3" xfId="15235" xr:uid="{00000000-0005-0000-0000-00009E160000}"/>
    <cellStyle name="20 % - Aksentti6 6 10_DataIX" xfId="30528" xr:uid="{00000000-0005-0000-0000-00009F160000}"/>
    <cellStyle name="20 % - Aksentti6 6 11" xfId="7031" xr:uid="{00000000-0005-0000-0000-0000A0160000}"/>
    <cellStyle name="20 % - Aksentti6 6 12" xfId="15234" xr:uid="{00000000-0005-0000-0000-0000A1160000}"/>
    <cellStyle name="20 % - Aksentti6 6 2" xfId="1712" xr:uid="{00000000-0005-0000-0000-0000A2160000}"/>
    <cellStyle name="20 % - Aksentti6 6 2 2" xfId="1713" xr:uid="{00000000-0005-0000-0000-0000A3160000}"/>
    <cellStyle name="20 % - Aksentti6 6 2 2 2" xfId="1714" xr:uid="{00000000-0005-0000-0000-0000A4160000}"/>
    <cellStyle name="20 % - Aksentti6 6 2 2 2 2" xfId="7035" xr:uid="{00000000-0005-0000-0000-0000A5160000}"/>
    <cellStyle name="20 % - Aksentti6 6 2 2 2 3" xfId="15238" xr:uid="{00000000-0005-0000-0000-0000A6160000}"/>
    <cellStyle name="20 % - Aksentti6 6 2 2 2_DataIX" xfId="30531" xr:uid="{00000000-0005-0000-0000-0000A7160000}"/>
    <cellStyle name="20 % - Aksentti6 6 2 2 3" xfId="7034" xr:uid="{00000000-0005-0000-0000-0000A8160000}"/>
    <cellStyle name="20 % - Aksentti6 6 2 2 4" xfId="15237" xr:uid="{00000000-0005-0000-0000-0000A9160000}"/>
    <cellStyle name="20 % - Aksentti6 6 2 2_DataIX" xfId="30530" xr:uid="{00000000-0005-0000-0000-0000AA160000}"/>
    <cellStyle name="20 % - Aksentti6 6 2 3" xfId="1715" xr:uid="{00000000-0005-0000-0000-0000AB160000}"/>
    <cellStyle name="20 % - Aksentti6 6 2 3 2" xfId="7036" xr:uid="{00000000-0005-0000-0000-0000AC160000}"/>
    <cellStyle name="20 % - Aksentti6 6 2 3 3" xfId="15239" xr:uid="{00000000-0005-0000-0000-0000AD160000}"/>
    <cellStyle name="20 % - Aksentti6 6 2 3_DataIX" xfId="30532" xr:uid="{00000000-0005-0000-0000-0000AE160000}"/>
    <cellStyle name="20 % - Aksentti6 6 2 4" xfId="7033" xr:uid="{00000000-0005-0000-0000-0000AF160000}"/>
    <cellStyle name="20 % - Aksentti6 6 2 5" xfId="15236" xr:uid="{00000000-0005-0000-0000-0000B0160000}"/>
    <cellStyle name="20 % - Aksentti6 6 2_DataIX" xfId="30529" xr:uid="{00000000-0005-0000-0000-0000B1160000}"/>
    <cellStyle name="20 % - Aksentti6 6 3" xfId="1716" xr:uid="{00000000-0005-0000-0000-0000B2160000}"/>
    <cellStyle name="20 % - Aksentti6 6 3 2" xfId="1717" xr:uid="{00000000-0005-0000-0000-0000B3160000}"/>
    <cellStyle name="20 % - Aksentti6 6 3 2 2" xfId="7038" xr:uid="{00000000-0005-0000-0000-0000B4160000}"/>
    <cellStyle name="20 % - Aksentti6 6 3 2 3" xfId="15241" xr:uid="{00000000-0005-0000-0000-0000B5160000}"/>
    <cellStyle name="20 % - Aksentti6 6 3 2_DataIX" xfId="30534" xr:uid="{00000000-0005-0000-0000-0000B6160000}"/>
    <cellStyle name="20 % - Aksentti6 6 3 3" xfId="7037" xr:uid="{00000000-0005-0000-0000-0000B7160000}"/>
    <cellStyle name="20 % - Aksentti6 6 3 4" xfId="15240" xr:uid="{00000000-0005-0000-0000-0000B8160000}"/>
    <cellStyle name="20 % - Aksentti6 6 3_DataIX" xfId="30533" xr:uid="{00000000-0005-0000-0000-0000B9160000}"/>
    <cellStyle name="20 % - Aksentti6 6 4" xfId="1718" xr:uid="{00000000-0005-0000-0000-0000BA160000}"/>
    <cellStyle name="20 % - Aksentti6 6 4 2" xfId="7039" xr:uid="{00000000-0005-0000-0000-0000BB160000}"/>
    <cellStyle name="20 % - Aksentti6 6 4 3" xfId="15242" xr:uid="{00000000-0005-0000-0000-0000BC160000}"/>
    <cellStyle name="20 % - Aksentti6 6 4_DataIX" xfId="30535" xr:uid="{00000000-0005-0000-0000-0000BD160000}"/>
    <cellStyle name="20 % - Aksentti6 6 5" xfId="1719" xr:uid="{00000000-0005-0000-0000-0000BE160000}"/>
    <cellStyle name="20 % - Aksentti6 6 5 2" xfId="7040" xr:uid="{00000000-0005-0000-0000-0000BF160000}"/>
    <cellStyle name="20 % - Aksentti6 6 5 3" xfId="15243" xr:uid="{00000000-0005-0000-0000-0000C0160000}"/>
    <cellStyle name="20 % - Aksentti6 6 5_DataIX" xfId="30536" xr:uid="{00000000-0005-0000-0000-0000C1160000}"/>
    <cellStyle name="20 % - Aksentti6 6 6" xfId="1720" xr:uid="{00000000-0005-0000-0000-0000C2160000}"/>
    <cellStyle name="20 % - Aksentti6 6 6 2" xfId="7041" xr:uid="{00000000-0005-0000-0000-0000C3160000}"/>
    <cellStyle name="20 % - Aksentti6 6 6 3" xfId="15244" xr:uid="{00000000-0005-0000-0000-0000C4160000}"/>
    <cellStyle name="20 % - Aksentti6 6 6_DataIX" xfId="30537" xr:uid="{00000000-0005-0000-0000-0000C5160000}"/>
    <cellStyle name="20 % - Aksentti6 6 7" xfId="1721" xr:uid="{00000000-0005-0000-0000-0000C6160000}"/>
    <cellStyle name="20 % - Aksentti6 6 7 2" xfId="7042" xr:uid="{00000000-0005-0000-0000-0000C7160000}"/>
    <cellStyle name="20 % - Aksentti6 6 7 3" xfId="15245" xr:uid="{00000000-0005-0000-0000-0000C8160000}"/>
    <cellStyle name="20 % - Aksentti6 6 7_DataIX" xfId="30538" xr:uid="{00000000-0005-0000-0000-0000C9160000}"/>
    <cellStyle name="20 % - Aksentti6 6 8" xfId="1722" xr:uid="{00000000-0005-0000-0000-0000CA160000}"/>
    <cellStyle name="20 % - Aksentti6 6 8 2" xfId="7043" xr:uid="{00000000-0005-0000-0000-0000CB160000}"/>
    <cellStyle name="20 % - Aksentti6 6 8 3" xfId="15246" xr:uid="{00000000-0005-0000-0000-0000CC160000}"/>
    <cellStyle name="20 % - Aksentti6 6 8_DataIX" xfId="30539" xr:uid="{00000000-0005-0000-0000-0000CD160000}"/>
    <cellStyle name="20 % - Aksentti6 6 9" xfId="1723" xr:uid="{00000000-0005-0000-0000-0000CE160000}"/>
    <cellStyle name="20 % - Aksentti6 6 9 2" xfId="7044" xr:uid="{00000000-0005-0000-0000-0000CF160000}"/>
    <cellStyle name="20 % - Aksentti6 6 9 3" xfId="15247" xr:uid="{00000000-0005-0000-0000-0000D0160000}"/>
    <cellStyle name="20 % - Aksentti6 6 9_DataIX" xfId="30540" xr:uid="{00000000-0005-0000-0000-0000D1160000}"/>
    <cellStyle name="20 % - Aksentti6 6_DataIX" xfId="30527" xr:uid="{00000000-0005-0000-0000-0000D2160000}"/>
    <cellStyle name="20 % - Aksentti6 7" xfId="1724" xr:uid="{00000000-0005-0000-0000-0000D3160000}"/>
    <cellStyle name="20 % - Aksentti6 7 10" xfId="1725" xr:uid="{00000000-0005-0000-0000-0000D4160000}"/>
    <cellStyle name="20 % - Aksentti6 7 10 2" xfId="7046" xr:uid="{00000000-0005-0000-0000-0000D5160000}"/>
    <cellStyle name="20 % - Aksentti6 7 10 3" xfId="15249" xr:uid="{00000000-0005-0000-0000-0000D6160000}"/>
    <cellStyle name="20 % - Aksentti6 7 10_DataIX" xfId="30542" xr:uid="{00000000-0005-0000-0000-0000D7160000}"/>
    <cellStyle name="20 % - Aksentti6 7 11" xfId="7045" xr:uid="{00000000-0005-0000-0000-0000D8160000}"/>
    <cellStyle name="20 % - Aksentti6 7 12" xfId="15248" xr:uid="{00000000-0005-0000-0000-0000D9160000}"/>
    <cellStyle name="20 % - Aksentti6 7 2" xfId="1726" xr:uid="{00000000-0005-0000-0000-0000DA160000}"/>
    <cellStyle name="20 % - Aksentti6 7 2 2" xfId="1727" xr:uid="{00000000-0005-0000-0000-0000DB160000}"/>
    <cellStyle name="20 % - Aksentti6 7 2 2 2" xfId="1728" xr:uid="{00000000-0005-0000-0000-0000DC160000}"/>
    <cellStyle name="20 % - Aksentti6 7 2 2 2 2" xfId="7049" xr:uid="{00000000-0005-0000-0000-0000DD160000}"/>
    <cellStyle name="20 % - Aksentti6 7 2 2 2 3" xfId="15252" xr:uid="{00000000-0005-0000-0000-0000DE160000}"/>
    <cellStyle name="20 % - Aksentti6 7 2 2 2_060617_hinnat" xfId="23202" xr:uid="{00000000-0005-0000-0000-0000DF160000}"/>
    <cellStyle name="20 % - Aksentti6 7 2 2 3" xfId="7048" xr:uid="{00000000-0005-0000-0000-0000E0160000}"/>
    <cellStyle name="20 % - Aksentti6 7 2 2 4" xfId="15251" xr:uid="{00000000-0005-0000-0000-0000E1160000}"/>
    <cellStyle name="20 % - Aksentti6 7 2 2_060617_hinnat" xfId="23203" xr:uid="{00000000-0005-0000-0000-0000E2160000}"/>
    <cellStyle name="20 % - Aksentti6 7 2 3" xfId="1729" xr:uid="{00000000-0005-0000-0000-0000E3160000}"/>
    <cellStyle name="20 % - Aksentti6 7 2 3 2" xfId="7050" xr:uid="{00000000-0005-0000-0000-0000E4160000}"/>
    <cellStyle name="20 % - Aksentti6 7 2 3 3" xfId="15253" xr:uid="{00000000-0005-0000-0000-0000E5160000}"/>
    <cellStyle name="20 % - Aksentti6 7 2 3_060617_hinnat" xfId="23204" xr:uid="{00000000-0005-0000-0000-0000E6160000}"/>
    <cellStyle name="20 % - Aksentti6 7 2 4" xfId="7047" xr:uid="{00000000-0005-0000-0000-0000E7160000}"/>
    <cellStyle name="20 % - Aksentti6 7 2 5" xfId="15250" xr:uid="{00000000-0005-0000-0000-0000E8160000}"/>
    <cellStyle name="20 % - Aksentti6 7 2_060617_hinnat" xfId="23205" xr:uid="{00000000-0005-0000-0000-0000E9160000}"/>
    <cellStyle name="20 % - Aksentti6 7 3" xfId="1730" xr:uid="{00000000-0005-0000-0000-0000EA160000}"/>
    <cellStyle name="20 % - Aksentti6 7 3 2" xfId="1731" xr:uid="{00000000-0005-0000-0000-0000EB160000}"/>
    <cellStyle name="20 % - Aksentti6 7 3 2 2" xfId="7052" xr:uid="{00000000-0005-0000-0000-0000EC160000}"/>
    <cellStyle name="20 % - Aksentti6 7 3 2 3" xfId="15255" xr:uid="{00000000-0005-0000-0000-0000ED160000}"/>
    <cellStyle name="20 % - Aksentti6 7 3 2_060617_hinnat" xfId="23206" xr:uid="{00000000-0005-0000-0000-0000EE160000}"/>
    <cellStyle name="20 % - Aksentti6 7 3 3" xfId="7051" xr:uid="{00000000-0005-0000-0000-0000EF160000}"/>
    <cellStyle name="20 % - Aksentti6 7 3 4" xfId="15254" xr:uid="{00000000-0005-0000-0000-0000F0160000}"/>
    <cellStyle name="20 % - Aksentti6 7 3_060617_hinnat" xfId="23207" xr:uid="{00000000-0005-0000-0000-0000F1160000}"/>
    <cellStyle name="20 % - Aksentti6 7 4" xfId="1732" xr:uid="{00000000-0005-0000-0000-0000F2160000}"/>
    <cellStyle name="20 % - Aksentti6 7 4 2" xfId="7053" xr:uid="{00000000-0005-0000-0000-0000F3160000}"/>
    <cellStyle name="20 % - Aksentti6 7 4 3" xfId="15256" xr:uid="{00000000-0005-0000-0000-0000F4160000}"/>
    <cellStyle name="20 % - Aksentti6 7 4_060617_hinnat" xfId="23208" xr:uid="{00000000-0005-0000-0000-0000F5160000}"/>
    <cellStyle name="20 % - Aksentti6 7 5" xfId="1733" xr:uid="{00000000-0005-0000-0000-0000F6160000}"/>
    <cellStyle name="20 % - Aksentti6 7 5 2" xfId="7054" xr:uid="{00000000-0005-0000-0000-0000F7160000}"/>
    <cellStyle name="20 % - Aksentti6 7 5 3" xfId="15257" xr:uid="{00000000-0005-0000-0000-0000F8160000}"/>
    <cellStyle name="20 % - Aksentti6 7 5_060617_hinnat" xfId="23209" xr:uid="{00000000-0005-0000-0000-0000F9160000}"/>
    <cellStyle name="20 % - Aksentti6 7 6" xfId="1734" xr:uid="{00000000-0005-0000-0000-0000FA160000}"/>
    <cellStyle name="20 % - Aksentti6 7 6 2" xfId="7055" xr:uid="{00000000-0005-0000-0000-0000FB160000}"/>
    <cellStyle name="20 % - Aksentti6 7 6 3" xfId="15258" xr:uid="{00000000-0005-0000-0000-0000FC160000}"/>
    <cellStyle name="20 % - Aksentti6 7 6_060617_hinnat" xfId="23210" xr:uid="{00000000-0005-0000-0000-0000FD160000}"/>
    <cellStyle name="20 % - Aksentti6 7 7" xfId="1735" xr:uid="{00000000-0005-0000-0000-0000FE160000}"/>
    <cellStyle name="20 % - Aksentti6 7 7 2" xfId="7056" xr:uid="{00000000-0005-0000-0000-0000FF160000}"/>
    <cellStyle name="20 % - Aksentti6 7 7 3" xfId="15259" xr:uid="{00000000-0005-0000-0000-000000170000}"/>
    <cellStyle name="20 % - Aksentti6 7 7_060617_hinnat" xfId="23211" xr:uid="{00000000-0005-0000-0000-000001170000}"/>
    <cellStyle name="20 % - Aksentti6 7 8" xfId="1736" xr:uid="{00000000-0005-0000-0000-000002170000}"/>
    <cellStyle name="20 % - Aksentti6 7 8 2" xfId="7057" xr:uid="{00000000-0005-0000-0000-000003170000}"/>
    <cellStyle name="20 % - Aksentti6 7 8 3" xfId="15260" xr:uid="{00000000-0005-0000-0000-000004170000}"/>
    <cellStyle name="20 % - Aksentti6 7 8_060617_hinnat" xfId="23212" xr:uid="{00000000-0005-0000-0000-000005170000}"/>
    <cellStyle name="20 % - Aksentti6 7 9" xfId="1737" xr:uid="{00000000-0005-0000-0000-000006170000}"/>
    <cellStyle name="20 % - Aksentti6 7 9 2" xfId="7058" xr:uid="{00000000-0005-0000-0000-000007170000}"/>
    <cellStyle name="20 % - Aksentti6 7 9 3" xfId="15261" xr:uid="{00000000-0005-0000-0000-000008170000}"/>
    <cellStyle name="20 % - Aksentti6 7 9_060617_hinnat" xfId="23213" xr:uid="{00000000-0005-0000-0000-000009170000}"/>
    <cellStyle name="20 % - Aksentti6 7_DataIX" xfId="30541" xr:uid="{00000000-0005-0000-0000-00000A170000}"/>
    <cellStyle name="20 % - Aksentti6 8" xfId="1738" xr:uid="{00000000-0005-0000-0000-00000B170000}"/>
    <cellStyle name="20 % - Aksentti6 8 10" xfId="1739" xr:uid="{00000000-0005-0000-0000-00000C170000}"/>
    <cellStyle name="20 % - Aksentti6 8 10 2" xfId="7060" xr:uid="{00000000-0005-0000-0000-00000D170000}"/>
    <cellStyle name="20 % - Aksentti6 8 10 3" xfId="15263" xr:uid="{00000000-0005-0000-0000-00000E170000}"/>
    <cellStyle name="20 % - Aksentti6 8 10_060617_hinnat" xfId="23214" xr:uid="{00000000-0005-0000-0000-00000F170000}"/>
    <cellStyle name="20 % - Aksentti6 8 11" xfId="7059" xr:uid="{00000000-0005-0000-0000-000010170000}"/>
    <cellStyle name="20 % - Aksentti6 8 12" xfId="15262" xr:uid="{00000000-0005-0000-0000-000011170000}"/>
    <cellStyle name="20 % - Aksentti6 8 2" xfId="1740" xr:uid="{00000000-0005-0000-0000-000012170000}"/>
    <cellStyle name="20 % - Aksentti6 8 2 2" xfId="1741" xr:uid="{00000000-0005-0000-0000-000013170000}"/>
    <cellStyle name="20 % - Aksentti6 8 2 2 2" xfId="1742" xr:uid="{00000000-0005-0000-0000-000014170000}"/>
    <cellStyle name="20 % - Aksentti6 8 2 2 2 2" xfId="7063" xr:uid="{00000000-0005-0000-0000-000015170000}"/>
    <cellStyle name="20 % - Aksentti6 8 2 2 2 3" xfId="15266" xr:uid="{00000000-0005-0000-0000-000016170000}"/>
    <cellStyle name="20 % - Aksentti6 8 2 2 2_060617_hinnat" xfId="23215" xr:uid="{00000000-0005-0000-0000-000017170000}"/>
    <cellStyle name="20 % - Aksentti6 8 2 2 3" xfId="7062" xr:uid="{00000000-0005-0000-0000-000018170000}"/>
    <cellStyle name="20 % - Aksentti6 8 2 2 4" xfId="15265" xr:uid="{00000000-0005-0000-0000-000019170000}"/>
    <cellStyle name="20 % - Aksentti6 8 2 2_060617_hinnat" xfId="23216" xr:uid="{00000000-0005-0000-0000-00001A170000}"/>
    <cellStyle name="20 % - Aksentti6 8 2 3" xfId="1743" xr:uid="{00000000-0005-0000-0000-00001B170000}"/>
    <cellStyle name="20 % - Aksentti6 8 2 3 2" xfId="7064" xr:uid="{00000000-0005-0000-0000-00001C170000}"/>
    <cellStyle name="20 % - Aksentti6 8 2 3 3" xfId="15267" xr:uid="{00000000-0005-0000-0000-00001D170000}"/>
    <cellStyle name="20 % - Aksentti6 8 2 3_060617_hinnat" xfId="23217" xr:uid="{00000000-0005-0000-0000-00001E170000}"/>
    <cellStyle name="20 % - Aksentti6 8 2 4" xfId="7061" xr:uid="{00000000-0005-0000-0000-00001F170000}"/>
    <cellStyle name="20 % - Aksentti6 8 2 5" xfId="15264" xr:uid="{00000000-0005-0000-0000-000020170000}"/>
    <cellStyle name="20 % - Aksentti6 8 2_060617_hinnat" xfId="23218" xr:uid="{00000000-0005-0000-0000-000021170000}"/>
    <cellStyle name="20 % - Aksentti6 8 3" xfId="1744" xr:uid="{00000000-0005-0000-0000-000022170000}"/>
    <cellStyle name="20 % - Aksentti6 8 3 2" xfId="1745" xr:uid="{00000000-0005-0000-0000-000023170000}"/>
    <cellStyle name="20 % - Aksentti6 8 3 2 2" xfId="7066" xr:uid="{00000000-0005-0000-0000-000024170000}"/>
    <cellStyle name="20 % - Aksentti6 8 3 2 3" xfId="15269" xr:uid="{00000000-0005-0000-0000-000025170000}"/>
    <cellStyle name="20 % - Aksentti6 8 3 2_060617_hinnat" xfId="23219" xr:uid="{00000000-0005-0000-0000-000026170000}"/>
    <cellStyle name="20 % - Aksentti6 8 3 3" xfId="7065" xr:uid="{00000000-0005-0000-0000-000027170000}"/>
    <cellStyle name="20 % - Aksentti6 8 3 4" xfId="15268" xr:uid="{00000000-0005-0000-0000-000028170000}"/>
    <cellStyle name="20 % - Aksentti6 8 3_060617_hinnat" xfId="23220" xr:uid="{00000000-0005-0000-0000-000029170000}"/>
    <cellStyle name="20 % - Aksentti6 8 4" xfId="1746" xr:uid="{00000000-0005-0000-0000-00002A170000}"/>
    <cellStyle name="20 % - Aksentti6 8 4 2" xfId="7067" xr:uid="{00000000-0005-0000-0000-00002B170000}"/>
    <cellStyle name="20 % - Aksentti6 8 4 3" xfId="15270" xr:uid="{00000000-0005-0000-0000-00002C170000}"/>
    <cellStyle name="20 % - Aksentti6 8 4_060617_hinnat" xfId="23221" xr:uid="{00000000-0005-0000-0000-00002D170000}"/>
    <cellStyle name="20 % - Aksentti6 8 5" xfId="1747" xr:uid="{00000000-0005-0000-0000-00002E170000}"/>
    <cellStyle name="20 % - Aksentti6 8 5 2" xfId="7068" xr:uid="{00000000-0005-0000-0000-00002F170000}"/>
    <cellStyle name="20 % - Aksentti6 8 5 3" xfId="15271" xr:uid="{00000000-0005-0000-0000-000030170000}"/>
    <cellStyle name="20 % - Aksentti6 8 5_060617_hinnat" xfId="23222" xr:uid="{00000000-0005-0000-0000-000031170000}"/>
    <cellStyle name="20 % - Aksentti6 8 6" xfId="1748" xr:uid="{00000000-0005-0000-0000-000032170000}"/>
    <cellStyle name="20 % - Aksentti6 8 6 2" xfId="7069" xr:uid="{00000000-0005-0000-0000-000033170000}"/>
    <cellStyle name="20 % - Aksentti6 8 6 3" xfId="15272" xr:uid="{00000000-0005-0000-0000-000034170000}"/>
    <cellStyle name="20 % - Aksentti6 8 6_060617_hinnat" xfId="23223" xr:uid="{00000000-0005-0000-0000-000035170000}"/>
    <cellStyle name="20 % - Aksentti6 8 7" xfId="1749" xr:uid="{00000000-0005-0000-0000-000036170000}"/>
    <cellStyle name="20 % - Aksentti6 8 7 2" xfId="7070" xr:uid="{00000000-0005-0000-0000-000037170000}"/>
    <cellStyle name="20 % - Aksentti6 8 7 3" xfId="15273" xr:uid="{00000000-0005-0000-0000-000038170000}"/>
    <cellStyle name="20 % - Aksentti6 8 7_060617_hinnat" xfId="23224" xr:uid="{00000000-0005-0000-0000-000039170000}"/>
    <cellStyle name="20 % - Aksentti6 8 8" xfId="1750" xr:uid="{00000000-0005-0000-0000-00003A170000}"/>
    <cellStyle name="20 % - Aksentti6 8 8 2" xfId="7071" xr:uid="{00000000-0005-0000-0000-00003B170000}"/>
    <cellStyle name="20 % - Aksentti6 8 8 3" xfId="15274" xr:uid="{00000000-0005-0000-0000-00003C170000}"/>
    <cellStyle name="20 % - Aksentti6 8 8_060617_hinnat" xfId="23225" xr:uid="{00000000-0005-0000-0000-00003D170000}"/>
    <cellStyle name="20 % - Aksentti6 8 9" xfId="1751" xr:uid="{00000000-0005-0000-0000-00003E170000}"/>
    <cellStyle name="20 % - Aksentti6 8 9 2" xfId="7072" xr:uid="{00000000-0005-0000-0000-00003F170000}"/>
    <cellStyle name="20 % - Aksentti6 8 9 3" xfId="15275" xr:uid="{00000000-0005-0000-0000-000040170000}"/>
    <cellStyle name="20 % - Aksentti6 8 9_060617_hinnat" xfId="23226" xr:uid="{00000000-0005-0000-0000-000041170000}"/>
    <cellStyle name="20 % - Aksentti6 8_060617_hinnat" xfId="23227" xr:uid="{00000000-0005-0000-0000-000042170000}"/>
    <cellStyle name="20 % - Aksentti6 9" xfId="1752" xr:uid="{00000000-0005-0000-0000-000043170000}"/>
    <cellStyle name="20 % - Aksentti6 9 10" xfId="1753" xr:uid="{00000000-0005-0000-0000-000044170000}"/>
    <cellStyle name="20 % - Aksentti6 9 10 2" xfId="7074" xr:uid="{00000000-0005-0000-0000-000045170000}"/>
    <cellStyle name="20 % - Aksentti6 9 10 3" xfId="15277" xr:uid="{00000000-0005-0000-0000-000046170000}"/>
    <cellStyle name="20 % - Aksentti6 9 10_060617_hinnat" xfId="23228" xr:uid="{00000000-0005-0000-0000-000047170000}"/>
    <cellStyle name="20 % - Aksentti6 9 11" xfId="7073" xr:uid="{00000000-0005-0000-0000-000048170000}"/>
    <cellStyle name="20 % - Aksentti6 9 12" xfId="15276" xr:uid="{00000000-0005-0000-0000-000049170000}"/>
    <cellStyle name="20 % - Aksentti6 9 2" xfId="1754" xr:uid="{00000000-0005-0000-0000-00004A170000}"/>
    <cellStyle name="20 % - Aksentti6 9 2 2" xfId="1755" xr:uid="{00000000-0005-0000-0000-00004B170000}"/>
    <cellStyle name="20 % - Aksentti6 9 2 2 2" xfId="1756" xr:uid="{00000000-0005-0000-0000-00004C170000}"/>
    <cellStyle name="20 % - Aksentti6 9 2 2 2 2" xfId="7077" xr:uid="{00000000-0005-0000-0000-00004D170000}"/>
    <cellStyle name="20 % - Aksentti6 9 2 2 2 3" xfId="15280" xr:uid="{00000000-0005-0000-0000-00004E170000}"/>
    <cellStyle name="20 % - Aksentti6 9 2 2 2_060617_hinnat" xfId="23229" xr:uid="{00000000-0005-0000-0000-00004F170000}"/>
    <cellStyle name="20 % - Aksentti6 9 2 2 3" xfId="7076" xr:uid="{00000000-0005-0000-0000-000050170000}"/>
    <cellStyle name="20 % - Aksentti6 9 2 2 4" xfId="15279" xr:uid="{00000000-0005-0000-0000-000051170000}"/>
    <cellStyle name="20 % - Aksentti6 9 2 2_060617_hinnat" xfId="23230" xr:uid="{00000000-0005-0000-0000-000052170000}"/>
    <cellStyle name="20 % - Aksentti6 9 2 3" xfId="1757" xr:uid="{00000000-0005-0000-0000-000053170000}"/>
    <cellStyle name="20 % - Aksentti6 9 2 3 2" xfId="7078" xr:uid="{00000000-0005-0000-0000-000054170000}"/>
    <cellStyle name="20 % - Aksentti6 9 2 3 3" xfId="15281" xr:uid="{00000000-0005-0000-0000-000055170000}"/>
    <cellStyle name="20 % - Aksentti6 9 2 3_060617_hinnat" xfId="23231" xr:uid="{00000000-0005-0000-0000-000056170000}"/>
    <cellStyle name="20 % - Aksentti6 9 2 4" xfId="7075" xr:uid="{00000000-0005-0000-0000-000057170000}"/>
    <cellStyle name="20 % - Aksentti6 9 2 5" xfId="15278" xr:uid="{00000000-0005-0000-0000-000058170000}"/>
    <cellStyle name="20 % - Aksentti6 9 2_060617_hinnat" xfId="23232" xr:uid="{00000000-0005-0000-0000-000059170000}"/>
    <cellStyle name="20 % - Aksentti6 9 3" xfId="1758" xr:uid="{00000000-0005-0000-0000-00005A170000}"/>
    <cellStyle name="20 % - Aksentti6 9 3 2" xfId="1759" xr:uid="{00000000-0005-0000-0000-00005B170000}"/>
    <cellStyle name="20 % - Aksentti6 9 3 2 2" xfId="7080" xr:uid="{00000000-0005-0000-0000-00005C170000}"/>
    <cellStyle name="20 % - Aksentti6 9 3 2 3" xfId="15283" xr:uid="{00000000-0005-0000-0000-00005D170000}"/>
    <cellStyle name="20 % - Aksentti6 9 3 2_060617_hinnat" xfId="23233" xr:uid="{00000000-0005-0000-0000-00005E170000}"/>
    <cellStyle name="20 % - Aksentti6 9 3 3" xfId="7079" xr:uid="{00000000-0005-0000-0000-00005F170000}"/>
    <cellStyle name="20 % - Aksentti6 9 3 4" xfId="15282" xr:uid="{00000000-0005-0000-0000-000060170000}"/>
    <cellStyle name="20 % - Aksentti6 9 3_060617_hinnat" xfId="23234" xr:uid="{00000000-0005-0000-0000-000061170000}"/>
    <cellStyle name="20 % - Aksentti6 9 4" xfId="1760" xr:uid="{00000000-0005-0000-0000-000062170000}"/>
    <cellStyle name="20 % - Aksentti6 9 4 2" xfId="7081" xr:uid="{00000000-0005-0000-0000-000063170000}"/>
    <cellStyle name="20 % - Aksentti6 9 4 3" xfId="15284" xr:uid="{00000000-0005-0000-0000-000064170000}"/>
    <cellStyle name="20 % - Aksentti6 9 4_060617_hinnat" xfId="23235" xr:uid="{00000000-0005-0000-0000-000065170000}"/>
    <cellStyle name="20 % - Aksentti6 9 5" xfId="1761" xr:uid="{00000000-0005-0000-0000-000066170000}"/>
    <cellStyle name="20 % - Aksentti6 9 5 2" xfId="7082" xr:uid="{00000000-0005-0000-0000-000067170000}"/>
    <cellStyle name="20 % - Aksentti6 9 5 3" xfId="15285" xr:uid="{00000000-0005-0000-0000-000068170000}"/>
    <cellStyle name="20 % - Aksentti6 9 5_060617_hinnat" xfId="23236" xr:uid="{00000000-0005-0000-0000-000069170000}"/>
    <cellStyle name="20 % - Aksentti6 9 6" xfId="1762" xr:uid="{00000000-0005-0000-0000-00006A170000}"/>
    <cellStyle name="20 % - Aksentti6 9 6 2" xfId="7083" xr:uid="{00000000-0005-0000-0000-00006B170000}"/>
    <cellStyle name="20 % - Aksentti6 9 6 3" xfId="15286" xr:uid="{00000000-0005-0000-0000-00006C170000}"/>
    <cellStyle name="20 % - Aksentti6 9 6_060617_hinnat" xfId="23237" xr:uid="{00000000-0005-0000-0000-00006D170000}"/>
    <cellStyle name="20 % - Aksentti6 9 7" xfId="1763" xr:uid="{00000000-0005-0000-0000-00006E170000}"/>
    <cellStyle name="20 % - Aksentti6 9 7 2" xfId="7084" xr:uid="{00000000-0005-0000-0000-00006F170000}"/>
    <cellStyle name="20 % - Aksentti6 9 7 3" xfId="15287" xr:uid="{00000000-0005-0000-0000-000070170000}"/>
    <cellStyle name="20 % - Aksentti6 9 7_060617_hinnat" xfId="23238" xr:uid="{00000000-0005-0000-0000-000071170000}"/>
    <cellStyle name="20 % - Aksentti6 9 8" xfId="1764" xr:uid="{00000000-0005-0000-0000-000072170000}"/>
    <cellStyle name="20 % - Aksentti6 9 8 2" xfId="7085" xr:uid="{00000000-0005-0000-0000-000073170000}"/>
    <cellStyle name="20 % - Aksentti6 9 8 3" xfId="15288" xr:uid="{00000000-0005-0000-0000-000074170000}"/>
    <cellStyle name="20 % - Aksentti6 9 8_060617_hinnat" xfId="23239" xr:uid="{00000000-0005-0000-0000-000075170000}"/>
    <cellStyle name="20 % - Aksentti6 9 9" xfId="1765" xr:uid="{00000000-0005-0000-0000-000076170000}"/>
    <cellStyle name="20 % - Aksentti6 9 9 2" xfId="7086" xr:uid="{00000000-0005-0000-0000-000077170000}"/>
    <cellStyle name="20 % - Aksentti6 9 9 3" xfId="15289" xr:uid="{00000000-0005-0000-0000-000078170000}"/>
    <cellStyle name="20 % - Aksentti6 9 9_060617_hinnat" xfId="23240" xr:uid="{00000000-0005-0000-0000-000079170000}"/>
    <cellStyle name="20 % - Aksentti6 9_060617_hinnat" xfId="23241" xr:uid="{00000000-0005-0000-0000-00007A170000}"/>
    <cellStyle name="20 % - Aksentti6_##KansantalKehitys" xfId="5411" xr:uid="{00000000-0005-0000-0000-00007B170000}"/>
    <cellStyle name="20% - Accent1" xfId="9" xr:uid="{00000000-0005-0000-0000-00007C170000}"/>
    <cellStyle name="20% - Accent1 10" xfId="1766" xr:uid="{00000000-0005-0000-0000-00007D170000}"/>
    <cellStyle name="20% - Accent1 10 2" xfId="7087" xr:uid="{00000000-0005-0000-0000-00007E170000}"/>
    <cellStyle name="20% - Accent1 10 3" xfId="15290" xr:uid="{00000000-0005-0000-0000-00007F170000}"/>
    <cellStyle name="20% - Accent1 10_060617_hinnat" xfId="23243" xr:uid="{00000000-0005-0000-0000-000080170000}"/>
    <cellStyle name="20% - Accent1 11" xfId="23242" xr:uid="{00000000-0005-0000-0000-000081170000}"/>
    <cellStyle name="20% - Accent1 12" xfId="24953" xr:uid="{00000000-0005-0000-0000-000082170000}"/>
    <cellStyle name="20% - Accent1 13" xfId="23175" xr:uid="{00000000-0005-0000-0000-000083170000}"/>
    <cellStyle name="20% - Accent1 14" xfId="24938" xr:uid="{00000000-0005-0000-0000-000084170000}"/>
    <cellStyle name="20% - Accent1 15" xfId="23181" xr:uid="{00000000-0005-0000-0000-000085170000}"/>
    <cellStyle name="20% - Accent1 16" xfId="24924" xr:uid="{00000000-0005-0000-0000-000086170000}"/>
    <cellStyle name="20% - Accent1 17" xfId="28502" xr:uid="{00000000-0005-0000-0000-000087170000}"/>
    <cellStyle name="20% - Accent1 18" xfId="28551" xr:uid="{00000000-0005-0000-0000-000088170000}"/>
    <cellStyle name="20% - Accent1 19" xfId="28561" xr:uid="{00000000-0005-0000-0000-000089170000}"/>
    <cellStyle name="20% - Accent1 2" xfId="10" xr:uid="{00000000-0005-0000-0000-00008A170000}"/>
    <cellStyle name="20% - Accent1 2 10" xfId="26457" xr:uid="{00000000-0005-0000-0000-00008B170000}"/>
    <cellStyle name="20% - Accent1 2 2" xfId="1767" xr:uid="{00000000-0005-0000-0000-00008C170000}"/>
    <cellStyle name="20% - Accent1 2 2 2" xfId="7089" xr:uid="{00000000-0005-0000-0000-00008D170000}"/>
    <cellStyle name="20% - Accent1 2 2 3" xfId="15291" xr:uid="{00000000-0005-0000-0000-00008E170000}"/>
    <cellStyle name="20% - Accent1 2 2_060617_hinnat" xfId="23244" xr:uid="{00000000-0005-0000-0000-00008F170000}"/>
    <cellStyle name="20% - Accent1 2 3" xfId="25072" xr:uid="{00000000-0005-0000-0000-000090170000}"/>
    <cellStyle name="20% - Accent1 2 4" xfId="26183" xr:uid="{00000000-0005-0000-0000-000091170000}"/>
    <cellStyle name="20% - Accent1 2 5" xfId="25750" xr:uid="{00000000-0005-0000-0000-000092170000}"/>
    <cellStyle name="20% - Accent1 2 6" xfId="25258" xr:uid="{00000000-0005-0000-0000-000093170000}"/>
    <cellStyle name="20% - Accent1 2 7" xfId="25090" xr:uid="{00000000-0005-0000-0000-000094170000}"/>
    <cellStyle name="20% - Accent1 2 8" xfId="26313" xr:uid="{00000000-0005-0000-0000-000095170000}"/>
    <cellStyle name="20% - Accent1 2 9" xfId="25320" xr:uid="{00000000-0005-0000-0000-000096170000}"/>
    <cellStyle name="20% - Accent1 2_##Keskeiset" xfId="7088" xr:uid="{00000000-0005-0000-0000-000097170000}"/>
    <cellStyle name="20% - Accent1 3" xfId="1768" xr:uid="{00000000-0005-0000-0000-000098170000}"/>
    <cellStyle name="20% - Accent1 3 2" xfId="1769" xr:uid="{00000000-0005-0000-0000-000099170000}"/>
    <cellStyle name="20% - Accent1 3 2 2" xfId="7091" xr:uid="{00000000-0005-0000-0000-00009A170000}"/>
    <cellStyle name="20% - Accent1 3 2 3" xfId="15293" xr:uid="{00000000-0005-0000-0000-00009B170000}"/>
    <cellStyle name="20% - Accent1 3 2_060617_hinnat" xfId="23245" xr:uid="{00000000-0005-0000-0000-00009C170000}"/>
    <cellStyle name="20% - Accent1 3 3" xfId="5486" xr:uid="{00000000-0005-0000-0000-00009D170000}"/>
    <cellStyle name="20% - Accent1 3 4" xfId="15292" xr:uid="{00000000-0005-0000-0000-00009E170000}"/>
    <cellStyle name="20% - Accent1 3_##Keskeiset" xfId="7090" xr:uid="{00000000-0005-0000-0000-00009F170000}"/>
    <cellStyle name="20% - Accent1 4" xfId="1770" xr:uid="{00000000-0005-0000-0000-0000A0170000}"/>
    <cellStyle name="20% - Accent1 4 2" xfId="1771" xr:uid="{00000000-0005-0000-0000-0000A1170000}"/>
    <cellStyle name="20% - Accent1 4 2 2" xfId="7093" xr:uid="{00000000-0005-0000-0000-0000A2170000}"/>
    <cellStyle name="20% - Accent1 4 2 3" xfId="15295" xr:uid="{00000000-0005-0000-0000-0000A3170000}"/>
    <cellStyle name="20% - Accent1 4 2_060617_hinnat" xfId="23246" xr:uid="{00000000-0005-0000-0000-0000A4170000}"/>
    <cellStyle name="20% - Accent1 4 3" xfId="7092" xr:uid="{00000000-0005-0000-0000-0000A5170000}"/>
    <cellStyle name="20% - Accent1 4 4" xfId="15294" xr:uid="{00000000-0005-0000-0000-0000A6170000}"/>
    <cellStyle name="20% - Accent1 4_060617_hinnat" xfId="23247" xr:uid="{00000000-0005-0000-0000-0000A7170000}"/>
    <cellStyle name="20% - Accent1 5" xfId="1772" xr:uid="{00000000-0005-0000-0000-0000A8170000}"/>
    <cellStyle name="20% - Accent1 5 2" xfId="7094" xr:uid="{00000000-0005-0000-0000-0000A9170000}"/>
    <cellStyle name="20% - Accent1 5 3" xfId="15296" xr:uid="{00000000-0005-0000-0000-0000AA170000}"/>
    <cellStyle name="20% - Accent1 5_060617_hinnat" xfId="23248" xr:uid="{00000000-0005-0000-0000-0000AB170000}"/>
    <cellStyle name="20% - Accent1 6" xfId="1773" xr:uid="{00000000-0005-0000-0000-0000AC170000}"/>
    <cellStyle name="20% - Accent1 6 2" xfId="7095" xr:uid="{00000000-0005-0000-0000-0000AD170000}"/>
    <cellStyle name="20% - Accent1 6 3" xfId="15297" xr:uid="{00000000-0005-0000-0000-0000AE170000}"/>
    <cellStyle name="20% - Accent1 6_060617_hinnat" xfId="23249" xr:uid="{00000000-0005-0000-0000-0000AF170000}"/>
    <cellStyle name="20% - Accent1 7" xfId="1774" xr:uid="{00000000-0005-0000-0000-0000B0170000}"/>
    <cellStyle name="20% - Accent1 7 2" xfId="7096" xr:uid="{00000000-0005-0000-0000-0000B1170000}"/>
    <cellStyle name="20% - Accent1 7 3" xfId="15298" xr:uid="{00000000-0005-0000-0000-0000B2170000}"/>
    <cellStyle name="20% - Accent1 7_060617_hinnat" xfId="23250" xr:uid="{00000000-0005-0000-0000-0000B3170000}"/>
    <cellStyle name="20% - Accent1 8" xfId="1775" xr:uid="{00000000-0005-0000-0000-0000B4170000}"/>
    <cellStyle name="20% - Accent1 8 2" xfId="7097" xr:uid="{00000000-0005-0000-0000-0000B5170000}"/>
    <cellStyle name="20% - Accent1 8 3" xfId="15299" xr:uid="{00000000-0005-0000-0000-0000B6170000}"/>
    <cellStyle name="20% - Accent1 8_060617_hinnat" xfId="23251" xr:uid="{00000000-0005-0000-0000-0000B7170000}"/>
    <cellStyle name="20% - Accent1 9" xfId="1776" xr:uid="{00000000-0005-0000-0000-0000B8170000}"/>
    <cellStyle name="20% - Accent1 9 2" xfId="7098" xr:uid="{00000000-0005-0000-0000-0000B9170000}"/>
    <cellStyle name="20% - Accent1 9 3" xfId="15300" xr:uid="{00000000-0005-0000-0000-0000BA170000}"/>
    <cellStyle name="20% - Accent1 9_060617_hinnat" xfId="23252" xr:uid="{00000000-0005-0000-0000-0000BB170000}"/>
    <cellStyle name="20% - Accent1_##Keskeiset" xfId="5485" xr:uid="{00000000-0005-0000-0000-0000BC170000}"/>
    <cellStyle name="20% - Accent2" xfId="11" xr:uid="{00000000-0005-0000-0000-0000BD170000}"/>
    <cellStyle name="20% - Accent2 10" xfId="1777" xr:uid="{00000000-0005-0000-0000-0000BE170000}"/>
    <cellStyle name="20% - Accent2 10 2" xfId="7099" xr:uid="{00000000-0005-0000-0000-0000BF170000}"/>
    <cellStyle name="20% - Accent2 10 3" xfId="15301" xr:uid="{00000000-0005-0000-0000-0000C0170000}"/>
    <cellStyle name="20% - Accent2 10_060617_hinnat" xfId="23254" xr:uid="{00000000-0005-0000-0000-0000C1170000}"/>
    <cellStyle name="20% - Accent2 11" xfId="23253" xr:uid="{00000000-0005-0000-0000-0000C2170000}"/>
    <cellStyle name="20% - Accent2 12" xfId="24952" xr:uid="{00000000-0005-0000-0000-0000C3170000}"/>
    <cellStyle name="20% - Accent2 13" xfId="23176" xr:uid="{00000000-0005-0000-0000-0000C4170000}"/>
    <cellStyle name="20% - Accent2 14" xfId="24937" xr:uid="{00000000-0005-0000-0000-0000C5170000}"/>
    <cellStyle name="20% - Accent2 15" xfId="23184" xr:uid="{00000000-0005-0000-0000-0000C6170000}"/>
    <cellStyle name="20% - Accent2 16" xfId="24923" xr:uid="{00000000-0005-0000-0000-0000C7170000}"/>
    <cellStyle name="20% - Accent2 17" xfId="28503" xr:uid="{00000000-0005-0000-0000-0000C8170000}"/>
    <cellStyle name="20% - Accent2 18" xfId="28531" xr:uid="{00000000-0005-0000-0000-0000C9170000}"/>
    <cellStyle name="20% - Accent2 19" xfId="28563" xr:uid="{00000000-0005-0000-0000-0000CA170000}"/>
    <cellStyle name="20% - Accent2 2" xfId="12" xr:uid="{00000000-0005-0000-0000-0000CB170000}"/>
    <cellStyle name="20% - Accent2 2 10" xfId="26442" xr:uid="{00000000-0005-0000-0000-0000CC170000}"/>
    <cellStyle name="20% - Accent2 2 2" xfId="1778" xr:uid="{00000000-0005-0000-0000-0000CD170000}"/>
    <cellStyle name="20% - Accent2 2 2 2" xfId="7101" xr:uid="{00000000-0005-0000-0000-0000CE170000}"/>
    <cellStyle name="20% - Accent2 2 2 3" xfId="15302" xr:uid="{00000000-0005-0000-0000-0000CF170000}"/>
    <cellStyle name="20% - Accent2 2 2_060617_hinnat" xfId="23255" xr:uid="{00000000-0005-0000-0000-0000D0170000}"/>
    <cellStyle name="20% - Accent2 2 3" xfId="25073" xr:uid="{00000000-0005-0000-0000-0000D1170000}"/>
    <cellStyle name="20% - Accent2 2 4" xfId="25657" xr:uid="{00000000-0005-0000-0000-0000D2170000}"/>
    <cellStyle name="20% - Accent2 2 5" xfId="25523" xr:uid="{00000000-0005-0000-0000-0000D3170000}"/>
    <cellStyle name="20% - Accent2 2 6" xfId="25512" xr:uid="{00000000-0005-0000-0000-0000D4170000}"/>
    <cellStyle name="20% - Accent2 2 7" xfId="26308" xr:uid="{00000000-0005-0000-0000-0000D5170000}"/>
    <cellStyle name="20% - Accent2 2 8" xfId="25982" xr:uid="{00000000-0005-0000-0000-0000D6170000}"/>
    <cellStyle name="20% - Accent2 2 9" xfId="26048" xr:uid="{00000000-0005-0000-0000-0000D7170000}"/>
    <cellStyle name="20% - Accent2 2_##Keskeiset" xfId="7100" xr:uid="{00000000-0005-0000-0000-0000D8170000}"/>
    <cellStyle name="20% - Accent2 3" xfId="1779" xr:uid="{00000000-0005-0000-0000-0000D9170000}"/>
    <cellStyle name="20% - Accent2 3 2" xfId="1780" xr:uid="{00000000-0005-0000-0000-0000DA170000}"/>
    <cellStyle name="20% - Accent2 3 2 2" xfId="7103" xr:uid="{00000000-0005-0000-0000-0000DB170000}"/>
    <cellStyle name="20% - Accent2 3 2 3" xfId="15304" xr:uid="{00000000-0005-0000-0000-0000DC170000}"/>
    <cellStyle name="20% - Accent2 3 2_060617_hinnat" xfId="23256" xr:uid="{00000000-0005-0000-0000-0000DD170000}"/>
    <cellStyle name="20% - Accent2 3 3" xfId="5488" xr:uid="{00000000-0005-0000-0000-0000DE170000}"/>
    <cellStyle name="20% - Accent2 3 4" xfId="15303" xr:uid="{00000000-0005-0000-0000-0000DF170000}"/>
    <cellStyle name="20% - Accent2 3_##Keskeiset" xfId="7102" xr:uid="{00000000-0005-0000-0000-0000E0170000}"/>
    <cellStyle name="20% - Accent2 4" xfId="1781" xr:uid="{00000000-0005-0000-0000-0000E1170000}"/>
    <cellStyle name="20% - Accent2 4 2" xfId="1782" xr:uid="{00000000-0005-0000-0000-0000E2170000}"/>
    <cellStyle name="20% - Accent2 4 2 2" xfId="7105" xr:uid="{00000000-0005-0000-0000-0000E3170000}"/>
    <cellStyle name="20% - Accent2 4 2 3" xfId="15306" xr:uid="{00000000-0005-0000-0000-0000E4170000}"/>
    <cellStyle name="20% - Accent2 4 2_060617_hinnat" xfId="23258" xr:uid="{00000000-0005-0000-0000-0000E5170000}"/>
    <cellStyle name="20% - Accent2 4 3" xfId="7104" xr:uid="{00000000-0005-0000-0000-0000E6170000}"/>
    <cellStyle name="20% - Accent2 4 4" xfId="15305" xr:uid="{00000000-0005-0000-0000-0000E7170000}"/>
    <cellStyle name="20% - Accent2 4_060617_hinnat" xfId="23259" xr:uid="{00000000-0005-0000-0000-0000E8170000}"/>
    <cellStyle name="20% - Accent2 5" xfId="1783" xr:uid="{00000000-0005-0000-0000-0000E9170000}"/>
    <cellStyle name="20% - Accent2 5 2" xfId="7106" xr:uid="{00000000-0005-0000-0000-0000EA170000}"/>
    <cellStyle name="20% - Accent2 5 3" xfId="15307" xr:uid="{00000000-0005-0000-0000-0000EB170000}"/>
    <cellStyle name="20% - Accent2 5_060617_hinnat" xfId="23260" xr:uid="{00000000-0005-0000-0000-0000EC170000}"/>
    <cellStyle name="20% - Accent2 6" xfId="1784" xr:uid="{00000000-0005-0000-0000-0000ED170000}"/>
    <cellStyle name="20% - Accent2 6 2" xfId="7107" xr:uid="{00000000-0005-0000-0000-0000EE170000}"/>
    <cellStyle name="20% - Accent2 6 3" xfId="15308" xr:uid="{00000000-0005-0000-0000-0000EF170000}"/>
    <cellStyle name="20% - Accent2 6_060617_hinnat" xfId="23261" xr:uid="{00000000-0005-0000-0000-0000F0170000}"/>
    <cellStyle name="20% - Accent2 7" xfId="1785" xr:uid="{00000000-0005-0000-0000-0000F1170000}"/>
    <cellStyle name="20% - Accent2 7 2" xfId="7108" xr:uid="{00000000-0005-0000-0000-0000F2170000}"/>
    <cellStyle name="20% - Accent2 7 3" xfId="15309" xr:uid="{00000000-0005-0000-0000-0000F3170000}"/>
    <cellStyle name="20% - Accent2 7_060617_hinnat" xfId="23263" xr:uid="{00000000-0005-0000-0000-0000F4170000}"/>
    <cellStyle name="20% - Accent2 8" xfId="1786" xr:uid="{00000000-0005-0000-0000-0000F5170000}"/>
    <cellStyle name="20% - Accent2 8 2" xfId="7109" xr:uid="{00000000-0005-0000-0000-0000F6170000}"/>
    <cellStyle name="20% - Accent2 8 3" xfId="15310" xr:uid="{00000000-0005-0000-0000-0000F7170000}"/>
    <cellStyle name="20% - Accent2 8_060617_hinnat" xfId="23264" xr:uid="{00000000-0005-0000-0000-0000F8170000}"/>
    <cellStyle name="20% - Accent2 9" xfId="1787" xr:uid="{00000000-0005-0000-0000-0000F9170000}"/>
    <cellStyle name="20% - Accent2 9 2" xfId="7110" xr:uid="{00000000-0005-0000-0000-0000FA170000}"/>
    <cellStyle name="20% - Accent2 9 3" xfId="15311" xr:uid="{00000000-0005-0000-0000-0000FB170000}"/>
    <cellStyle name="20% - Accent2 9_060617_hinnat" xfId="23265" xr:uid="{00000000-0005-0000-0000-0000FC170000}"/>
    <cellStyle name="20% - Accent2_##Keskeiset" xfId="5487" xr:uid="{00000000-0005-0000-0000-0000FD170000}"/>
    <cellStyle name="20% - Accent3" xfId="13" xr:uid="{00000000-0005-0000-0000-0000FE170000}"/>
    <cellStyle name="20% - Accent3 10" xfId="1788" xr:uid="{00000000-0005-0000-0000-0000FF170000}"/>
    <cellStyle name="20% - Accent3 10 2" xfId="7111" xr:uid="{00000000-0005-0000-0000-000000180000}"/>
    <cellStyle name="20% - Accent3 10 3" xfId="15312" xr:uid="{00000000-0005-0000-0000-000001180000}"/>
    <cellStyle name="20% - Accent3 10_060617_hinnat" xfId="23267" xr:uid="{00000000-0005-0000-0000-000002180000}"/>
    <cellStyle name="20% - Accent3 11" xfId="23266" xr:uid="{00000000-0005-0000-0000-000003180000}"/>
    <cellStyle name="20% - Accent3 12" xfId="24951" xr:uid="{00000000-0005-0000-0000-000004180000}"/>
    <cellStyle name="20% - Accent3 13" xfId="23177" xr:uid="{00000000-0005-0000-0000-000005180000}"/>
    <cellStyle name="20% - Accent3 14" xfId="24936" xr:uid="{00000000-0005-0000-0000-000006180000}"/>
    <cellStyle name="20% - Accent3 15" xfId="23185" xr:uid="{00000000-0005-0000-0000-000007180000}"/>
    <cellStyle name="20% - Accent3 16" xfId="24922" xr:uid="{00000000-0005-0000-0000-000008180000}"/>
    <cellStyle name="20% - Accent3 17" xfId="28504" xr:uid="{00000000-0005-0000-0000-000009180000}"/>
    <cellStyle name="20% - Accent3 18" xfId="28550" xr:uid="{00000000-0005-0000-0000-00000A180000}"/>
    <cellStyle name="20% - Accent3 19" xfId="28569" xr:uid="{00000000-0005-0000-0000-00000B180000}"/>
    <cellStyle name="20% - Accent3 2" xfId="14" xr:uid="{00000000-0005-0000-0000-00000C180000}"/>
    <cellStyle name="20% - Accent3 2 10" xfId="25559" xr:uid="{00000000-0005-0000-0000-00000D180000}"/>
    <cellStyle name="20% - Accent3 2 2" xfId="1789" xr:uid="{00000000-0005-0000-0000-00000E180000}"/>
    <cellStyle name="20% - Accent3 2 2 2" xfId="7113" xr:uid="{00000000-0005-0000-0000-00000F180000}"/>
    <cellStyle name="20% - Accent3 2 2 3" xfId="15313" xr:uid="{00000000-0005-0000-0000-000010180000}"/>
    <cellStyle name="20% - Accent3 2 2_060617_hinnat" xfId="23268" xr:uid="{00000000-0005-0000-0000-000011180000}"/>
    <cellStyle name="20% - Accent3 2 3" xfId="25074" xr:uid="{00000000-0005-0000-0000-000012180000}"/>
    <cellStyle name="20% - Accent3 2 4" xfId="26495" xr:uid="{00000000-0005-0000-0000-000013180000}"/>
    <cellStyle name="20% - Accent3 2 5" xfId="26591" xr:uid="{00000000-0005-0000-0000-000014180000}"/>
    <cellStyle name="20% - Accent3 2 6" xfId="25909" xr:uid="{00000000-0005-0000-0000-000015180000}"/>
    <cellStyle name="20% - Accent3 2 7" xfId="26366" xr:uid="{00000000-0005-0000-0000-000016180000}"/>
    <cellStyle name="20% - Accent3 2 8" xfId="26537" xr:uid="{00000000-0005-0000-0000-000017180000}"/>
    <cellStyle name="20% - Accent3 2 9" xfId="25379" xr:uid="{00000000-0005-0000-0000-000018180000}"/>
    <cellStyle name="20% - Accent3 2_##Keskeiset" xfId="7112" xr:uid="{00000000-0005-0000-0000-000019180000}"/>
    <cellStyle name="20% - Accent3 3" xfId="1790" xr:uid="{00000000-0005-0000-0000-00001A180000}"/>
    <cellStyle name="20% - Accent3 3 2" xfId="1791" xr:uid="{00000000-0005-0000-0000-00001B180000}"/>
    <cellStyle name="20% - Accent3 3 2 2" xfId="7115" xr:uid="{00000000-0005-0000-0000-00001C180000}"/>
    <cellStyle name="20% - Accent3 3 2 3" xfId="15315" xr:uid="{00000000-0005-0000-0000-00001D180000}"/>
    <cellStyle name="20% - Accent3 3 2_060617_hinnat" xfId="23269" xr:uid="{00000000-0005-0000-0000-00001E180000}"/>
    <cellStyle name="20% - Accent3 3 3" xfId="5490" xr:uid="{00000000-0005-0000-0000-00001F180000}"/>
    <cellStyle name="20% - Accent3 3 4" xfId="15314" xr:uid="{00000000-0005-0000-0000-000020180000}"/>
    <cellStyle name="20% - Accent3 3_##Keskeiset" xfId="7114" xr:uid="{00000000-0005-0000-0000-000021180000}"/>
    <cellStyle name="20% - Accent3 4" xfId="1792" xr:uid="{00000000-0005-0000-0000-000022180000}"/>
    <cellStyle name="20% - Accent3 4 2" xfId="1793" xr:uid="{00000000-0005-0000-0000-000023180000}"/>
    <cellStyle name="20% - Accent3 4 2 2" xfId="7117" xr:uid="{00000000-0005-0000-0000-000024180000}"/>
    <cellStyle name="20% - Accent3 4 2 3" xfId="15317" xr:uid="{00000000-0005-0000-0000-000025180000}"/>
    <cellStyle name="20% - Accent3 4 2_060617_hinnat" xfId="23270" xr:uid="{00000000-0005-0000-0000-000026180000}"/>
    <cellStyle name="20% - Accent3 4 3" xfId="7116" xr:uid="{00000000-0005-0000-0000-000027180000}"/>
    <cellStyle name="20% - Accent3 4 4" xfId="15316" xr:uid="{00000000-0005-0000-0000-000028180000}"/>
    <cellStyle name="20% - Accent3 4_060617_hinnat" xfId="23271" xr:uid="{00000000-0005-0000-0000-000029180000}"/>
    <cellStyle name="20% - Accent3 5" xfId="1794" xr:uid="{00000000-0005-0000-0000-00002A180000}"/>
    <cellStyle name="20% - Accent3 5 2" xfId="7118" xr:uid="{00000000-0005-0000-0000-00002B180000}"/>
    <cellStyle name="20% - Accent3 5 3" xfId="15318" xr:uid="{00000000-0005-0000-0000-00002C180000}"/>
    <cellStyle name="20% - Accent3 5_060617_hinnat" xfId="23272" xr:uid="{00000000-0005-0000-0000-00002D180000}"/>
    <cellStyle name="20% - Accent3 6" xfId="1795" xr:uid="{00000000-0005-0000-0000-00002E180000}"/>
    <cellStyle name="20% - Accent3 6 2" xfId="7119" xr:uid="{00000000-0005-0000-0000-00002F180000}"/>
    <cellStyle name="20% - Accent3 6 3" xfId="15319" xr:uid="{00000000-0005-0000-0000-000030180000}"/>
    <cellStyle name="20% - Accent3 6_060617_hinnat" xfId="23273" xr:uid="{00000000-0005-0000-0000-000031180000}"/>
    <cellStyle name="20% - Accent3 7" xfId="1796" xr:uid="{00000000-0005-0000-0000-000032180000}"/>
    <cellStyle name="20% - Accent3 7 2" xfId="7120" xr:uid="{00000000-0005-0000-0000-000033180000}"/>
    <cellStyle name="20% - Accent3 7 3" xfId="15320" xr:uid="{00000000-0005-0000-0000-000034180000}"/>
    <cellStyle name="20% - Accent3 7_060617_hinnat" xfId="23274" xr:uid="{00000000-0005-0000-0000-000035180000}"/>
    <cellStyle name="20% - Accent3 8" xfId="1797" xr:uid="{00000000-0005-0000-0000-000036180000}"/>
    <cellStyle name="20% - Accent3 8 2" xfId="7121" xr:uid="{00000000-0005-0000-0000-000037180000}"/>
    <cellStyle name="20% - Accent3 8 3" xfId="15321" xr:uid="{00000000-0005-0000-0000-000038180000}"/>
    <cellStyle name="20% - Accent3 8_060617_hinnat" xfId="23275" xr:uid="{00000000-0005-0000-0000-000039180000}"/>
    <cellStyle name="20% - Accent3 9" xfId="1798" xr:uid="{00000000-0005-0000-0000-00003A180000}"/>
    <cellStyle name="20% - Accent3 9 2" xfId="7122" xr:uid="{00000000-0005-0000-0000-00003B180000}"/>
    <cellStyle name="20% - Accent3 9 3" xfId="15322" xr:uid="{00000000-0005-0000-0000-00003C180000}"/>
    <cellStyle name="20% - Accent3 9_060617_hinnat" xfId="23276" xr:uid="{00000000-0005-0000-0000-00003D180000}"/>
    <cellStyle name="20% - Accent3_##Keskeiset" xfId="5489" xr:uid="{00000000-0005-0000-0000-00003E180000}"/>
    <cellStyle name="20% - Accent4" xfId="15" xr:uid="{00000000-0005-0000-0000-00003F180000}"/>
    <cellStyle name="20% - Accent4 10" xfId="1799" xr:uid="{00000000-0005-0000-0000-000040180000}"/>
    <cellStyle name="20% - Accent4 10 2" xfId="7123" xr:uid="{00000000-0005-0000-0000-000041180000}"/>
    <cellStyle name="20% - Accent4 10 3" xfId="15323" xr:uid="{00000000-0005-0000-0000-000042180000}"/>
    <cellStyle name="20% - Accent4 10_060617_hinnat" xfId="23278" xr:uid="{00000000-0005-0000-0000-000043180000}"/>
    <cellStyle name="20% - Accent4 11" xfId="23277" xr:uid="{00000000-0005-0000-0000-000044180000}"/>
    <cellStyle name="20% - Accent4 12" xfId="24949" xr:uid="{00000000-0005-0000-0000-000045180000}"/>
    <cellStyle name="20% - Accent4 13" xfId="26737" xr:uid="{00000000-0005-0000-0000-000046180000}"/>
    <cellStyle name="20% - Accent4 14" xfId="24986" xr:uid="{00000000-0005-0000-0000-000047180000}"/>
    <cellStyle name="20% - Accent4 15" xfId="26728" xr:uid="{00000000-0005-0000-0000-000048180000}"/>
    <cellStyle name="20% - Accent4 16" xfId="24972" xr:uid="{00000000-0005-0000-0000-000049180000}"/>
    <cellStyle name="20% - Accent4 17" xfId="28505" xr:uid="{00000000-0005-0000-0000-00004A180000}"/>
    <cellStyle name="20% - Accent4 18" xfId="28530" xr:uid="{00000000-0005-0000-0000-00004B180000}"/>
    <cellStyle name="20% - Accent4 19" xfId="28560" xr:uid="{00000000-0005-0000-0000-00004C180000}"/>
    <cellStyle name="20% - Accent4 2" xfId="16" xr:uid="{00000000-0005-0000-0000-00004D180000}"/>
    <cellStyle name="20% - Accent4 2 10" xfId="25917" xr:uid="{00000000-0005-0000-0000-00004E180000}"/>
    <cellStyle name="20% - Accent4 2 2" xfId="1800" xr:uid="{00000000-0005-0000-0000-00004F180000}"/>
    <cellStyle name="20% - Accent4 2 2 2" xfId="7125" xr:uid="{00000000-0005-0000-0000-000050180000}"/>
    <cellStyle name="20% - Accent4 2 2 3" xfId="15324" xr:uid="{00000000-0005-0000-0000-000051180000}"/>
    <cellStyle name="20% - Accent4 2 2_060617_hinnat" xfId="23279" xr:uid="{00000000-0005-0000-0000-000052180000}"/>
    <cellStyle name="20% - Accent4 2 3" xfId="25075" xr:uid="{00000000-0005-0000-0000-000053180000}"/>
    <cellStyle name="20% - Accent4 2 4" xfId="26182" xr:uid="{00000000-0005-0000-0000-000054180000}"/>
    <cellStyle name="20% - Accent4 2 5" xfId="26281" xr:uid="{00000000-0005-0000-0000-000055180000}"/>
    <cellStyle name="20% - Accent4 2 6" xfId="26394" xr:uid="{00000000-0005-0000-0000-000056180000}"/>
    <cellStyle name="20% - Accent4 2 7" xfId="25432" xr:uid="{00000000-0005-0000-0000-000057180000}"/>
    <cellStyle name="20% - Accent4 2 8" xfId="26098" xr:uid="{00000000-0005-0000-0000-000058180000}"/>
    <cellStyle name="20% - Accent4 2 9" xfId="25428" xr:uid="{00000000-0005-0000-0000-000059180000}"/>
    <cellStyle name="20% - Accent4 2_##Keskeiset" xfId="7124" xr:uid="{00000000-0005-0000-0000-00005A180000}"/>
    <cellStyle name="20% - Accent4 3" xfId="1801" xr:uid="{00000000-0005-0000-0000-00005B180000}"/>
    <cellStyle name="20% - Accent4 3 2" xfId="1802" xr:uid="{00000000-0005-0000-0000-00005C180000}"/>
    <cellStyle name="20% - Accent4 3 2 2" xfId="7127" xr:uid="{00000000-0005-0000-0000-00005D180000}"/>
    <cellStyle name="20% - Accent4 3 2 3" xfId="15326" xr:uid="{00000000-0005-0000-0000-00005E180000}"/>
    <cellStyle name="20% - Accent4 3 2_060617_hinnat" xfId="23280" xr:uid="{00000000-0005-0000-0000-00005F180000}"/>
    <cellStyle name="20% - Accent4 3 3" xfId="5492" xr:uid="{00000000-0005-0000-0000-000060180000}"/>
    <cellStyle name="20% - Accent4 3 4" xfId="15325" xr:uid="{00000000-0005-0000-0000-000061180000}"/>
    <cellStyle name="20% - Accent4 3_##Keskeiset" xfId="7126" xr:uid="{00000000-0005-0000-0000-000062180000}"/>
    <cellStyle name="20% - Accent4 4" xfId="1803" xr:uid="{00000000-0005-0000-0000-000063180000}"/>
    <cellStyle name="20% - Accent4 4 2" xfId="1804" xr:uid="{00000000-0005-0000-0000-000064180000}"/>
    <cellStyle name="20% - Accent4 4 2 2" xfId="7129" xr:uid="{00000000-0005-0000-0000-000065180000}"/>
    <cellStyle name="20% - Accent4 4 2 3" xfId="15328" xr:uid="{00000000-0005-0000-0000-000066180000}"/>
    <cellStyle name="20% - Accent4 4 2_060617_hinnat" xfId="23281" xr:uid="{00000000-0005-0000-0000-000067180000}"/>
    <cellStyle name="20% - Accent4 4 3" xfId="7128" xr:uid="{00000000-0005-0000-0000-000068180000}"/>
    <cellStyle name="20% - Accent4 4 4" xfId="15327" xr:uid="{00000000-0005-0000-0000-000069180000}"/>
    <cellStyle name="20% - Accent4 4_060617_hinnat" xfId="23282" xr:uid="{00000000-0005-0000-0000-00006A180000}"/>
    <cellStyle name="20% - Accent4 5" xfId="1805" xr:uid="{00000000-0005-0000-0000-00006B180000}"/>
    <cellStyle name="20% - Accent4 5 2" xfId="7130" xr:uid="{00000000-0005-0000-0000-00006C180000}"/>
    <cellStyle name="20% - Accent4 5 3" xfId="15329" xr:uid="{00000000-0005-0000-0000-00006D180000}"/>
    <cellStyle name="20% - Accent4 5_060617_hinnat" xfId="23283" xr:uid="{00000000-0005-0000-0000-00006E180000}"/>
    <cellStyle name="20% - Accent4 6" xfId="1806" xr:uid="{00000000-0005-0000-0000-00006F180000}"/>
    <cellStyle name="20% - Accent4 6 2" xfId="7131" xr:uid="{00000000-0005-0000-0000-000070180000}"/>
    <cellStyle name="20% - Accent4 6 3" xfId="15330" xr:uid="{00000000-0005-0000-0000-000071180000}"/>
    <cellStyle name="20% - Accent4 6_060617_hinnat" xfId="23284" xr:uid="{00000000-0005-0000-0000-000072180000}"/>
    <cellStyle name="20% - Accent4 7" xfId="1807" xr:uid="{00000000-0005-0000-0000-000073180000}"/>
    <cellStyle name="20% - Accent4 7 2" xfId="7132" xr:uid="{00000000-0005-0000-0000-000074180000}"/>
    <cellStyle name="20% - Accent4 7 3" xfId="15331" xr:uid="{00000000-0005-0000-0000-000075180000}"/>
    <cellStyle name="20% - Accent4 7_060617_hinnat" xfId="23285" xr:uid="{00000000-0005-0000-0000-000076180000}"/>
    <cellStyle name="20% - Accent4 8" xfId="1808" xr:uid="{00000000-0005-0000-0000-000077180000}"/>
    <cellStyle name="20% - Accent4 8 2" xfId="7133" xr:uid="{00000000-0005-0000-0000-000078180000}"/>
    <cellStyle name="20% - Accent4 8 3" xfId="15332" xr:uid="{00000000-0005-0000-0000-000079180000}"/>
    <cellStyle name="20% - Accent4 8_060617_hinnat" xfId="23286" xr:uid="{00000000-0005-0000-0000-00007A180000}"/>
    <cellStyle name="20% - Accent4 9" xfId="1809" xr:uid="{00000000-0005-0000-0000-00007B180000}"/>
    <cellStyle name="20% - Accent4 9 2" xfId="7134" xr:uid="{00000000-0005-0000-0000-00007C180000}"/>
    <cellStyle name="20% - Accent4 9 3" xfId="15333" xr:uid="{00000000-0005-0000-0000-00007D180000}"/>
    <cellStyle name="20% - Accent4 9_060617_hinnat" xfId="23287" xr:uid="{00000000-0005-0000-0000-00007E180000}"/>
    <cellStyle name="20% - Accent4_##Keskeiset" xfId="5491" xr:uid="{00000000-0005-0000-0000-00007F180000}"/>
    <cellStyle name="20% - Accent5" xfId="17" xr:uid="{00000000-0005-0000-0000-000080180000}"/>
    <cellStyle name="20% - Accent5 10" xfId="1810" xr:uid="{00000000-0005-0000-0000-000081180000}"/>
    <cellStyle name="20% - Accent5 10 2" xfId="7135" xr:uid="{00000000-0005-0000-0000-000082180000}"/>
    <cellStyle name="20% - Accent5 10 3" xfId="15334" xr:uid="{00000000-0005-0000-0000-000083180000}"/>
    <cellStyle name="20% - Accent5 10_060617_hinnat" xfId="23289" xr:uid="{00000000-0005-0000-0000-000084180000}"/>
    <cellStyle name="20% - Accent5 11" xfId="23288" xr:uid="{00000000-0005-0000-0000-000085180000}"/>
    <cellStyle name="20% - Accent5 12" xfId="24947" xr:uid="{00000000-0005-0000-0000-000086180000}"/>
    <cellStyle name="20% - Accent5 13" xfId="26748" xr:uid="{00000000-0005-0000-0000-000087180000}"/>
    <cellStyle name="20% - Accent5 14" xfId="25002" xr:uid="{00000000-0005-0000-0000-000088180000}"/>
    <cellStyle name="20% - Accent5 15" xfId="26732" xr:uid="{00000000-0005-0000-0000-000089180000}"/>
    <cellStyle name="20% - Accent5 16" xfId="24978" xr:uid="{00000000-0005-0000-0000-00008A180000}"/>
    <cellStyle name="20% - Accent5 17" xfId="28506" xr:uid="{00000000-0005-0000-0000-00008B180000}"/>
    <cellStyle name="20% - Accent5 18" xfId="28539" xr:uid="{00000000-0005-0000-0000-00008C180000}"/>
    <cellStyle name="20% - Accent5 19" xfId="28562" xr:uid="{00000000-0005-0000-0000-00008D180000}"/>
    <cellStyle name="20% - Accent5 2" xfId="18" xr:uid="{00000000-0005-0000-0000-00008E180000}"/>
    <cellStyle name="20% - Accent5 2 10" xfId="26710" xr:uid="{00000000-0005-0000-0000-00008F180000}"/>
    <cellStyle name="20% - Accent5 2 2" xfId="1811" xr:uid="{00000000-0005-0000-0000-000090180000}"/>
    <cellStyle name="20% - Accent5 2 2 2" xfId="7137" xr:uid="{00000000-0005-0000-0000-000091180000}"/>
    <cellStyle name="20% - Accent5 2 2 3" xfId="15335" xr:uid="{00000000-0005-0000-0000-000092180000}"/>
    <cellStyle name="20% - Accent5 2 2_060617_hinnat" xfId="23290" xr:uid="{00000000-0005-0000-0000-000093180000}"/>
    <cellStyle name="20% - Accent5 2 3" xfId="25076" xr:uid="{00000000-0005-0000-0000-000094180000}"/>
    <cellStyle name="20% - Accent5 2 4" xfId="25656" xr:uid="{00000000-0005-0000-0000-000095180000}"/>
    <cellStyle name="20% - Accent5 2 5" xfId="25524" xr:uid="{00000000-0005-0000-0000-000096180000}"/>
    <cellStyle name="20% - Accent5 2 6" xfId="26264" xr:uid="{00000000-0005-0000-0000-000097180000}"/>
    <cellStyle name="20% - Accent5 2 7" xfId="25693" xr:uid="{00000000-0005-0000-0000-000098180000}"/>
    <cellStyle name="20% - Accent5 2 8" xfId="26392" xr:uid="{00000000-0005-0000-0000-000099180000}"/>
    <cellStyle name="20% - Accent5 2 9" xfId="25552" xr:uid="{00000000-0005-0000-0000-00009A180000}"/>
    <cellStyle name="20% - Accent5 2_##Keskeiset" xfId="7136" xr:uid="{00000000-0005-0000-0000-00009B180000}"/>
    <cellStyle name="20% - Accent5 3" xfId="1812" xr:uid="{00000000-0005-0000-0000-00009C180000}"/>
    <cellStyle name="20% - Accent5 3 2" xfId="1813" xr:uid="{00000000-0005-0000-0000-00009D180000}"/>
    <cellStyle name="20% - Accent5 3 2 2" xfId="7138" xr:uid="{00000000-0005-0000-0000-00009E180000}"/>
    <cellStyle name="20% - Accent5 3 2 3" xfId="15337" xr:uid="{00000000-0005-0000-0000-00009F180000}"/>
    <cellStyle name="20% - Accent5 3 2_060617_hinnat" xfId="23291" xr:uid="{00000000-0005-0000-0000-0000A0180000}"/>
    <cellStyle name="20% - Accent5 3 3" xfId="5494" xr:uid="{00000000-0005-0000-0000-0000A1180000}"/>
    <cellStyle name="20% - Accent5 3 4" xfId="15336" xr:uid="{00000000-0005-0000-0000-0000A2180000}"/>
    <cellStyle name="20% - Accent5 3_060617_hinnat" xfId="23292" xr:uid="{00000000-0005-0000-0000-0000A3180000}"/>
    <cellStyle name="20% - Accent5 4" xfId="1814" xr:uid="{00000000-0005-0000-0000-0000A4180000}"/>
    <cellStyle name="20% - Accent5 4 2" xfId="1815" xr:uid="{00000000-0005-0000-0000-0000A5180000}"/>
    <cellStyle name="20% - Accent5 4 2 2" xfId="7140" xr:uid="{00000000-0005-0000-0000-0000A6180000}"/>
    <cellStyle name="20% - Accent5 4 2 3" xfId="15339" xr:uid="{00000000-0005-0000-0000-0000A7180000}"/>
    <cellStyle name="20% - Accent5 4 2_060617_hinnat" xfId="23293" xr:uid="{00000000-0005-0000-0000-0000A8180000}"/>
    <cellStyle name="20% - Accent5 4 3" xfId="7139" xr:uid="{00000000-0005-0000-0000-0000A9180000}"/>
    <cellStyle name="20% - Accent5 4 4" xfId="15338" xr:uid="{00000000-0005-0000-0000-0000AA180000}"/>
    <cellStyle name="20% - Accent5 4_060617_hinnat" xfId="23294" xr:uid="{00000000-0005-0000-0000-0000AB180000}"/>
    <cellStyle name="20% - Accent5 5" xfId="1816" xr:uid="{00000000-0005-0000-0000-0000AC180000}"/>
    <cellStyle name="20% - Accent5 5 2" xfId="7141" xr:uid="{00000000-0005-0000-0000-0000AD180000}"/>
    <cellStyle name="20% - Accent5 5 3" xfId="15340" xr:uid="{00000000-0005-0000-0000-0000AE180000}"/>
    <cellStyle name="20% - Accent5 5_060617_hinnat" xfId="23295" xr:uid="{00000000-0005-0000-0000-0000AF180000}"/>
    <cellStyle name="20% - Accent5 6" xfId="1817" xr:uid="{00000000-0005-0000-0000-0000B0180000}"/>
    <cellStyle name="20% - Accent5 6 2" xfId="7142" xr:uid="{00000000-0005-0000-0000-0000B1180000}"/>
    <cellStyle name="20% - Accent5 6 3" xfId="15341" xr:uid="{00000000-0005-0000-0000-0000B2180000}"/>
    <cellStyle name="20% - Accent5 6_060617_hinnat" xfId="23296" xr:uid="{00000000-0005-0000-0000-0000B3180000}"/>
    <cellStyle name="20% - Accent5 7" xfId="1818" xr:uid="{00000000-0005-0000-0000-0000B4180000}"/>
    <cellStyle name="20% - Accent5 7 2" xfId="7143" xr:uid="{00000000-0005-0000-0000-0000B5180000}"/>
    <cellStyle name="20% - Accent5 7 3" xfId="15342" xr:uid="{00000000-0005-0000-0000-0000B6180000}"/>
    <cellStyle name="20% - Accent5 7_060617_hinnat" xfId="23297" xr:uid="{00000000-0005-0000-0000-0000B7180000}"/>
    <cellStyle name="20% - Accent5 8" xfId="1819" xr:uid="{00000000-0005-0000-0000-0000B8180000}"/>
    <cellStyle name="20% - Accent5 8 2" xfId="7144" xr:uid="{00000000-0005-0000-0000-0000B9180000}"/>
    <cellStyle name="20% - Accent5 8 3" xfId="15343" xr:uid="{00000000-0005-0000-0000-0000BA180000}"/>
    <cellStyle name="20% - Accent5 8_060617_hinnat" xfId="23298" xr:uid="{00000000-0005-0000-0000-0000BB180000}"/>
    <cellStyle name="20% - Accent5 9" xfId="1820" xr:uid="{00000000-0005-0000-0000-0000BC180000}"/>
    <cellStyle name="20% - Accent5 9 2" xfId="7145" xr:uid="{00000000-0005-0000-0000-0000BD180000}"/>
    <cellStyle name="20% - Accent5 9 3" xfId="15344" xr:uid="{00000000-0005-0000-0000-0000BE180000}"/>
    <cellStyle name="20% - Accent5 9_060617_hinnat" xfId="23299" xr:uid="{00000000-0005-0000-0000-0000BF180000}"/>
    <cellStyle name="20% - Accent5_##Keskeiset" xfId="5493" xr:uid="{00000000-0005-0000-0000-0000C0180000}"/>
    <cellStyle name="20% - Accent6" xfId="19" xr:uid="{00000000-0005-0000-0000-0000C1180000}"/>
    <cellStyle name="20% - Accent6 10" xfId="1821" xr:uid="{00000000-0005-0000-0000-0000C2180000}"/>
    <cellStyle name="20% - Accent6 10 2" xfId="7146" xr:uid="{00000000-0005-0000-0000-0000C3180000}"/>
    <cellStyle name="20% - Accent6 10 3" xfId="15345" xr:uid="{00000000-0005-0000-0000-0000C4180000}"/>
    <cellStyle name="20% - Accent6 10_060617_hinnat" xfId="23301" xr:uid="{00000000-0005-0000-0000-0000C5180000}"/>
    <cellStyle name="20% - Accent6 11" xfId="23300" xr:uid="{00000000-0005-0000-0000-0000C6180000}"/>
    <cellStyle name="20% - Accent6 12" xfId="24946" xr:uid="{00000000-0005-0000-0000-0000C7180000}"/>
    <cellStyle name="20% - Accent6 13" xfId="26755" xr:uid="{00000000-0005-0000-0000-0000C8180000}"/>
    <cellStyle name="20% - Accent6 14" xfId="25013" xr:uid="{00000000-0005-0000-0000-0000C9180000}"/>
    <cellStyle name="20% - Accent6 15" xfId="26735" xr:uid="{00000000-0005-0000-0000-0000CA180000}"/>
    <cellStyle name="20% - Accent6 16" xfId="26743" xr:uid="{00000000-0005-0000-0000-0000CB180000}"/>
    <cellStyle name="20% - Accent6 17" xfId="28507" xr:uid="{00000000-0005-0000-0000-0000CC180000}"/>
    <cellStyle name="20% - Accent6 18" xfId="28501" xr:uid="{00000000-0005-0000-0000-0000CD180000}"/>
    <cellStyle name="20% - Accent6 19" xfId="28544" xr:uid="{00000000-0005-0000-0000-0000CE180000}"/>
    <cellStyle name="20% - Accent6 2" xfId="20" xr:uid="{00000000-0005-0000-0000-0000CF180000}"/>
    <cellStyle name="20% - Accent6 2 10" xfId="25892" xr:uid="{00000000-0005-0000-0000-0000D0180000}"/>
    <cellStyle name="20% - Accent6 2 2" xfId="1822" xr:uid="{00000000-0005-0000-0000-0000D1180000}"/>
    <cellStyle name="20% - Accent6 2 2 2" xfId="7148" xr:uid="{00000000-0005-0000-0000-0000D2180000}"/>
    <cellStyle name="20% - Accent6 2 2 3" xfId="15346" xr:uid="{00000000-0005-0000-0000-0000D3180000}"/>
    <cellStyle name="20% - Accent6 2 2_060617_hinnat" xfId="23302" xr:uid="{00000000-0005-0000-0000-0000D4180000}"/>
    <cellStyle name="20% - Accent6 2 3" xfId="25077" xr:uid="{00000000-0005-0000-0000-0000D5180000}"/>
    <cellStyle name="20% - Accent6 2 4" xfId="26494" xr:uid="{00000000-0005-0000-0000-0000D6180000}"/>
    <cellStyle name="20% - Accent6 2 5" xfId="26590" xr:uid="{00000000-0005-0000-0000-0000D7180000}"/>
    <cellStyle name="20% - Accent6 2 6" xfId="26436" xr:uid="{00000000-0005-0000-0000-0000D8180000}"/>
    <cellStyle name="20% - Accent6 2 7" xfId="26670" xr:uid="{00000000-0005-0000-0000-0000D9180000}"/>
    <cellStyle name="20% - Accent6 2 8" xfId="25874" xr:uid="{00000000-0005-0000-0000-0000DA180000}"/>
    <cellStyle name="20% - Accent6 2 9" xfId="26075" xr:uid="{00000000-0005-0000-0000-0000DB180000}"/>
    <cellStyle name="20% - Accent6 2_##Keskeiset" xfId="7147" xr:uid="{00000000-0005-0000-0000-0000DC180000}"/>
    <cellStyle name="20% - Accent6 3" xfId="1823" xr:uid="{00000000-0005-0000-0000-0000DD180000}"/>
    <cellStyle name="20% - Accent6 3 2" xfId="1824" xr:uid="{00000000-0005-0000-0000-0000DE180000}"/>
    <cellStyle name="20% - Accent6 3 2 2" xfId="7150" xr:uid="{00000000-0005-0000-0000-0000DF180000}"/>
    <cellStyle name="20% - Accent6 3 2 3" xfId="15348" xr:uid="{00000000-0005-0000-0000-0000E0180000}"/>
    <cellStyle name="20% - Accent6 3 2_060617_hinnat" xfId="23303" xr:uid="{00000000-0005-0000-0000-0000E1180000}"/>
    <cellStyle name="20% - Accent6 3 3" xfId="5496" xr:uid="{00000000-0005-0000-0000-0000E2180000}"/>
    <cellStyle name="20% - Accent6 3 4" xfId="15347" xr:uid="{00000000-0005-0000-0000-0000E3180000}"/>
    <cellStyle name="20% - Accent6 3_##Keskeiset" xfId="7149" xr:uid="{00000000-0005-0000-0000-0000E4180000}"/>
    <cellStyle name="20% - Accent6 4" xfId="1825" xr:uid="{00000000-0005-0000-0000-0000E5180000}"/>
    <cellStyle name="20% - Accent6 4 2" xfId="1826" xr:uid="{00000000-0005-0000-0000-0000E6180000}"/>
    <cellStyle name="20% - Accent6 4 2 2" xfId="7152" xr:uid="{00000000-0005-0000-0000-0000E7180000}"/>
    <cellStyle name="20% - Accent6 4 2 3" xfId="15350" xr:uid="{00000000-0005-0000-0000-0000E8180000}"/>
    <cellStyle name="20% - Accent6 4 2_060617_hinnat" xfId="23304" xr:uid="{00000000-0005-0000-0000-0000E9180000}"/>
    <cellStyle name="20% - Accent6 4 3" xfId="7151" xr:uid="{00000000-0005-0000-0000-0000EA180000}"/>
    <cellStyle name="20% - Accent6 4 4" xfId="15349" xr:uid="{00000000-0005-0000-0000-0000EB180000}"/>
    <cellStyle name="20% - Accent6 4_060617_hinnat" xfId="23305" xr:uid="{00000000-0005-0000-0000-0000EC180000}"/>
    <cellStyle name="20% - Accent6 5" xfId="1827" xr:uid="{00000000-0005-0000-0000-0000ED180000}"/>
    <cellStyle name="20% - Accent6 5 2" xfId="7153" xr:uid="{00000000-0005-0000-0000-0000EE180000}"/>
    <cellStyle name="20% - Accent6 5 3" xfId="15351" xr:uid="{00000000-0005-0000-0000-0000EF180000}"/>
    <cellStyle name="20% - Accent6 5_060617_hinnat" xfId="23306" xr:uid="{00000000-0005-0000-0000-0000F0180000}"/>
    <cellStyle name="20% - Accent6 6" xfId="1828" xr:uid="{00000000-0005-0000-0000-0000F1180000}"/>
    <cellStyle name="20% - Accent6 6 2" xfId="7154" xr:uid="{00000000-0005-0000-0000-0000F2180000}"/>
    <cellStyle name="20% - Accent6 6 3" xfId="15352" xr:uid="{00000000-0005-0000-0000-0000F3180000}"/>
    <cellStyle name="20% - Accent6 6_060617_hinnat" xfId="23307" xr:uid="{00000000-0005-0000-0000-0000F4180000}"/>
    <cellStyle name="20% - Accent6 7" xfId="1829" xr:uid="{00000000-0005-0000-0000-0000F5180000}"/>
    <cellStyle name="20% - Accent6 7 2" xfId="7155" xr:uid="{00000000-0005-0000-0000-0000F6180000}"/>
    <cellStyle name="20% - Accent6 7 3" xfId="15353" xr:uid="{00000000-0005-0000-0000-0000F7180000}"/>
    <cellStyle name="20% - Accent6 7_060617_hinnat" xfId="23308" xr:uid="{00000000-0005-0000-0000-0000F8180000}"/>
    <cellStyle name="20% - Accent6 8" xfId="1830" xr:uid="{00000000-0005-0000-0000-0000F9180000}"/>
    <cellStyle name="20% - Accent6 8 2" xfId="7156" xr:uid="{00000000-0005-0000-0000-0000FA180000}"/>
    <cellStyle name="20% - Accent6 8 3" xfId="15354" xr:uid="{00000000-0005-0000-0000-0000FB180000}"/>
    <cellStyle name="20% - Accent6 8_060617_hinnat" xfId="23309" xr:uid="{00000000-0005-0000-0000-0000FC180000}"/>
    <cellStyle name="20% - Accent6 9" xfId="1831" xr:uid="{00000000-0005-0000-0000-0000FD180000}"/>
    <cellStyle name="20% - Accent6 9 2" xfId="7157" xr:uid="{00000000-0005-0000-0000-0000FE180000}"/>
    <cellStyle name="20% - Accent6 9 3" xfId="15355" xr:uid="{00000000-0005-0000-0000-0000FF180000}"/>
    <cellStyle name="20% - Accent6 9_060617_hinnat" xfId="23310" xr:uid="{00000000-0005-0000-0000-000000190000}"/>
    <cellStyle name="20% - Accent6_##Keskeiset" xfId="5495" xr:uid="{00000000-0005-0000-0000-000001190000}"/>
    <cellStyle name="3 indents" xfId="1832" xr:uid="{00000000-0005-0000-0000-000002190000}"/>
    <cellStyle name="3 indents 2" xfId="1833" xr:uid="{00000000-0005-0000-0000-000003190000}"/>
    <cellStyle name="3 indents 3" xfId="1834" xr:uid="{00000000-0005-0000-0000-000004190000}"/>
    <cellStyle name="3 indents_060617_hinnat" xfId="23311" xr:uid="{00000000-0005-0000-0000-000005190000}"/>
    <cellStyle name="4 indents" xfId="1835" xr:uid="{00000000-0005-0000-0000-000006190000}"/>
    <cellStyle name="4 indents 2" xfId="1836" xr:uid="{00000000-0005-0000-0000-000007190000}"/>
    <cellStyle name="4 indents 3" xfId="1837" xr:uid="{00000000-0005-0000-0000-000008190000}"/>
    <cellStyle name="4 indents_060617_hinnat" xfId="23312" xr:uid="{00000000-0005-0000-0000-000009190000}"/>
    <cellStyle name="40 % - Aksentti1" xfId="334" xr:uid="{00000000-0005-0000-0000-00000A190000}"/>
    <cellStyle name="40 % - Aksentti1 10" xfId="1838" xr:uid="{00000000-0005-0000-0000-00000B190000}"/>
    <cellStyle name="40 % - Aksentti1 10 10" xfId="1839" xr:uid="{00000000-0005-0000-0000-00000C190000}"/>
    <cellStyle name="40 % - Aksentti1 10 10 2" xfId="7160" xr:uid="{00000000-0005-0000-0000-00000D190000}"/>
    <cellStyle name="40 % - Aksentti1 10 10 3" xfId="15359" xr:uid="{00000000-0005-0000-0000-00000E190000}"/>
    <cellStyle name="40 % - Aksentti1 10 10_060617_hinnat" xfId="23313" xr:uid="{00000000-0005-0000-0000-00000F190000}"/>
    <cellStyle name="40 % - Aksentti1 10 11" xfId="7159" xr:uid="{00000000-0005-0000-0000-000010190000}"/>
    <cellStyle name="40 % - Aksentti1 10 12" xfId="15358" xr:uid="{00000000-0005-0000-0000-000011190000}"/>
    <cellStyle name="40 % - Aksentti1 10 2" xfId="1840" xr:uid="{00000000-0005-0000-0000-000012190000}"/>
    <cellStyle name="40 % - Aksentti1 10 2 2" xfId="1841" xr:uid="{00000000-0005-0000-0000-000013190000}"/>
    <cellStyle name="40 % - Aksentti1 10 2 2 2" xfId="1842" xr:uid="{00000000-0005-0000-0000-000014190000}"/>
    <cellStyle name="40 % - Aksentti1 10 2 2 2 2" xfId="7163" xr:uid="{00000000-0005-0000-0000-000015190000}"/>
    <cellStyle name="40 % - Aksentti1 10 2 2 2 3" xfId="15362" xr:uid="{00000000-0005-0000-0000-000016190000}"/>
    <cellStyle name="40 % - Aksentti1 10 2 2 2_060617_hinnat" xfId="23314" xr:uid="{00000000-0005-0000-0000-000017190000}"/>
    <cellStyle name="40 % - Aksentti1 10 2 2 3" xfId="7162" xr:uid="{00000000-0005-0000-0000-000018190000}"/>
    <cellStyle name="40 % - Aksentti1 10 2 2 4" xfId="15361" xr:uid="{00000000-0005-0000-0000-000019190000}"/>
    <cellStyle name="40 % - Aksentti1 10 2 2_060617_hinnat" xfId="23315" xr:uid="{00000000-0005-0000-0000-00001A190000}"/>
    <cellStyle name="40 % - Aksentti1 10 2 3" xfId="1843" xr:uid="{00000000-0005-0000-0000-00001B190000}"/>
    <cellStyle name="40 % - Aksentti1 10 2 3 2" xfId="7164" xr:uid="{00000000-0005-0000-0000-00001C190000}"/>
    <cellStyle name="40 % - Aksentti1 10 2 3 3" xfId="15363" xr:uid="{00000000-0005-0000-0000-00001D190000}"/>
    <cellStyle name="40 % - Aksentti1 10 2 3_060617_hinnat" xfId="23316" xr:uid="{00000000-0005-0000-0000-00001E190000}"/>
    <cellStyle name="40 % - Aksentti1 10 2 4" xfId="7161" xr:uid="{00000000-0005-0000-0000-00001F190000}"/>
    <cellStyle name="40 % - Aksentti1 10 2 5" xfId="15360" xr:uid="{00000000-0005-0000-0000-000020190000}"/>
    <cellStyle name="40 % - Aksentti1 10 2_060617_hinnat" xfId="23317" xr:uid="{00000000-0005-0000-0000-000021190000}"/>
    <cellStyle name="40 % - Aksentti1 10 3" xfId="1844" xr:uid="{00000000-0005-0000-0000-000022190000}"/>
    <cellStyle name="40 % - Aksentti1 10 3 2" xfId="1845" xr:uid="{00000000-0005-0000-0000-000023190000}"/>
    <cellStyle name="40 % - Aksentti1 10 3 2 2" xfId="7166" xr:uid="{00000000-0005-0000-0000-000024190000}"/>
    <cellStyle name="40 % - Aksentti1 10 3 2 3" xfId="15365" xr:uid="{00000000-0005-0000-0000-000025190000}"/>
    <cellStyle name="40 % - Aksentti1 10 3 2_060617_hinnat" xfId="23318" xr:uid="{00000000-0005-0000-0000-000026190000}"/>
    <cellStyle name="40 % - Aksentti1 10 3 3" xfId="7165" xr:uid="{00000000-0005-0000-0000-000027190000}"/>
    <cellStyle name="40 % - Aksentti1 10 3 4" xfId="15364" xr:uid="{00000000-0005-0000-0000-000028190000}"/>
    <cellStyle name="40 % - Aksentti1 10 3_060617_hinnat" xfId="23319" xr:uid="{00000000-0005-0000-0000-000029190000}"/>
    <cellStyle name="40 % - Aksentti1 10 4" xfId="1846" xr:uid="{00000000-0005-0000-0000-00002A190000}"/>
    <cellStyle name="40 % - Aksentti1 10 4 2" xfId="7167" xr:uid="{00000000-0005-0000-0000-00002B190000}"/>
    <cellStyle name="40 % - Aksentti1 10 4 3" xfId="15366" xr:uid="{00000000-0005-0000-0000-00002C190000}"/>
    <cellStyle name="40 % - Aksentti1 10 4_060617_hinnat" xfId="23320" xr:uid="{00000000-0005-0000-0000-00002D190000}"/>
    <cellStyle name="40 % - Aksentti1 10 5" xfId="1847" xr:uid="{00000000-0005-0000-0000-00002E190000}"/>
    <cellStyle name="40 % - Aksentti1 10 5 2" xfId="7168" xr:uid="{00000000-0005-0000-0000-00002F190000}"/>
    <cellStyle name="40 % - Aksentti1 10 5 3" xfId="15367" xr:uid="{00000000-0005-0000-0000-000030190000}"/>
    <cellStyle name="40 % - Aksentti1 10 5_060617_hinnat" xfId="23321" xr:uid="{00000000-0005-0000-0000-000031190000}"/>
    <cellStyle name="40 % - Aksentti1 10 6" xfId="1848" xr:uid="{00000000-0005-0000-0000-000032190000}"/>
    <cellStyle name="40 % - Aksentti1 10 6 2" xfId="7169" xr:uid="{00000000-0005-0000-0000-000033190000}"/>
    <cellStyle name="40 % - Aksentti1 10 6 3" xfId="15368" xr:uid="{00000000-0005-0000-0000-000034190000}"/>
    <cellStyle name="40 % - Aksentti1 10 6_060617_hinnat" xfId="23322" xr:uid="{00000000-0005-0000-0000-000035190000}"/>
    <cellStyle name="40 % - Aksentti1 10 7" xfId="1849" xr:uid="{00000000-0005-0000-0000-000036190000}"/>
    <cellStyle name="40 % - Aksentti1 10 7 2" xfId="7170" xr:uid="{00000000-0005-0000-0000-000037190000}"/>
    <cellStyle name="40 % - Aksentti1 10 7 3" xfId="15369" xr:uid="{00000000-0005-0000-0000-000038190000}"/>
    <cellStyle name="40 % - Aksentti1 10 7_060617_hinnat" xfId="23323" xr:uid="{00000000-0005-0000-0000-000039190000}"/>
    <cellStyle name="40 % - Aksentti1 10 8" xfId="1850" xr:uid="{00000000-0005-0000-0000-00003A190000}"/>
    <cellStyle name="40 % - Aksentti1 10 8 2" xfId="7171" xr:uid="{00000000-0005-0000-0000-00003B190000}"/>
    <cellStyle name="40 % - Aksentti1 10 8 3" xfId="15370" xr:uid="{00000000-0005-0000-0000-00003C190000}"/>
    <cellStyle name="40 % - Aksentti1 10 8_060617_hinnat" xfId="23324" xr:uid="{00000000-0005-0000-0000-00003D190000}"/>
    <cellStyle name="40 % - Aksentti1 10 9" xfId="1851" xr:uid="{00000000-0005-0000-0000-00003E190000}"/>
    <cellStyle name="40 % - Aksentti1 10 9 2" xfId="7172" xr:uid="{00000000-0005-0000-0000-00003F190000}"/>
    <cellStyle name="40 % - Aksentti1 10 9 3" xfId="15371" xr:uid="{00000000-0005-0000-0000-000040190000}"/>
    <cellStyle name="40 % - Aksentti1 10 9_060617_hinnat" xfId="23325" xr:uid="{00000000-0005-0000-0000-000041190000}"/>
    <cellStyle name="40 % - Aksentti1 10_060617_hinnat" xfId="23326" xr:uid="{00000000-0005-0000-0000-000042190000}"/>
    <cellStyle name="40 % - Aksentti1 11" xfId="1852" xr:uid="{00000000-0005-0000-0000-000043190000}"/>
    <cellStyle name="40 % - Aksentti1 11 10" xfId="1853" xr:uid="{00000000-0005-0000-0000-000044190000}"/>
    <cellStyle name="40 % - Aksentti1 11 10 2" xfId="7174" xr:uid="{00000000-0005-0000-0000-000045190000}"/>
    <cellStyle name="40 % - Aksentti1 11 10 3" xfId="15373" xr:uid="{00000000-0005-0000-0000-000046190000}"/>
    <cellStyle name="40 % - Aksentti1 11 10_060617_hinnat" xfId="23327" xr:uid="{00000000-0005-0000-0000-000047190000}"/>
    <cellStyle name="40 % - Aksentti1 11 11" xfId="7173" xr:uid="{00000000-0005-0000-0000-000048190000}"/>
    <cellStyle name="40 % - Aksentti1 11 12" xfId="15372" xr:uid="{00000000-0005-0000-0000-000049190000}"/>
    <cellStyle name="40 % - Aksentti1 11 2" xfId="1854" xr:uid="{00000000-0005-0000-0000-00004A190000}"/>
    <cellStyle name="40 % - Aksentti1 11 2 2" xfId="1855" xr:uid="{00000000-0005-0000-0000-00004B190000}"/>
    <cellStyle name="40 % - Aksentti1 11 2 2 2" xfId="1856" xr:uid="{00000000-0005-0000-0000-00004C190000}"/>
    <cellStyle name="40 % - Aksentti1 11 2 2 2 2" xfId="7177" xr:uid="{00000000-0005-0000-0000-00004D190000}"/>
    <cellStyle name="40 % - Aksentti1 11 2 2 2 3" xfId="15376" xr:uid="{00000000-0005-0000-0000-00004E190000}"/>
    <cellStyle name="40 % - Aksentti1 11 2 2 2_060617_hinnat" xfId="23328" xr:uid="{00000000-0005-0000-0000-00004F190000}"/>
    <cellStyle name="40 % - Aksentti1 11 2 2 3" xfId="7176" xr:uid="{00000000-0005-0000-0000-000050190000}"/>
    <cellStyle name="40 % - Aksentti1 11 2 2 4" xfId="15375" xr:uid="{00000000-0005-0000-0000-000051190000}"/>
    <cellStyle name="40 % - Aksentti1 11 2 2_060617_hinnat" xfId="23329" xr:uid="{00000000-0005-0000-0000-000052190000}"/>
    <cellStyle name="40 % - Aksentti1 11 2 3" xfId="1857" xr:uid="{00000000-0005-0000-0000-000053190000}"/>
    <cellStyle name="40 % - Aksentti1 11 2 3 2" xfId="7178" xr:uid="{00000000-0005-0000-0000-000054190000}"/>
    <cellStyle name="40 % - Aksentti1 11 2 3 3" xfId="15377" xr:uid="{00000000-0005-0000-0000-000055190000}"/>
    <cellStyle name="40 % - Aksentti1 11 2 3_060617_hinnat" xfId="23330" xr:uid="{00000000-0005-0000-0000-000056190000}"/>
    <cellStyle name="40 % - Aksentti1 11 2 4" xfId="7175" xr:uid="{00000000-0005-0000-0000-000057190000}"/>
    <cellStyle name="40 % - Aksentti1 11 2 5" xfId="15374" xr:uid="{00000000-0005-0000-0000-000058190000}"/>
    <cellStyle name="40 % - Aksentti1 11 2_060617_hinnat" xfId="23331" xr:uid="{00000000-0005-0000-0000-000059190000}"/>
    <cellStyle name="40 % - Aksentti1 11 3" xfId="1858" xr:uid="{00000000-0005-0000-0000-00005A190000}"/>
    <cellStyle name="40 % - Aksentti1 11 3 2" xfId="1859" xr:uid="{00000000-0005-0000-0000-00005B190000}"/>
    <cellStyle name="40 % - Aksentti1 11 3 2 2" xfId="7180" xr:uid="{00000000-0005-0000-0000-00005C190000}"/>
    <cellStyle name="40 % - Aksentti1 11 3 2 3" xfId="15379" xr:uid="{00000000-0005-0000-0000-00005D190000}"/>
    <cellStyle name="40 % - Aksentti1 11 3 2_060617_hinnat" xfId="23332" xr:uid="{00000000-0005-0000-0000-00005E190000}"/>
    <cellStyle name="40 % - Aksentti1 11 3 3" xfId="7179" xr:uid="{00000000-0005-0000-0000-00005F190000}"/>
    <cellStyle name="40 % - Aksentti1 11 3 4" xfId="15378" xr:uid="{00000000-0005-0000-0000-000060190000}"/>
    <cellStyle name="40 % - Aksentti1 11 3_060617_hinnat" xfId="23333" xr:uid="{00000000-0005-0000-0000-000061190000}"/>
    <cellStyle name="40 % - Aksentti1 11 4" xfId="1860" xr:uid="{00000000-0005-0000-0000-000062190000}"/>
    <cellStyle name="40 % - Aksentti1 11 4 2" xfId="7181" xr:uid="{00000000-0005-0000-0000-000063190000}"/>
    <cellStyle name="40 % - Aksentti1 11 4 3" xfId="15380" xr:uid="{00000000-0005-0000-0000-000064190000}"/>
    <cellStyle name="40 % - Aksentti1 11 4_060617_hinnat" xfId="23334" xr:uid="{00000000-0005-0000-0000-000065190000}"/>
    <cellStyle name="40 % - Aksentti1 11 5" xfId="1861" xr:uid="{00000000-0005-0000-0000-000066190000}"/>
    <cellStyle name="40 % - Aksentti1 11 5 2" xfId="7182" xr:uid="{00000000-0005-0000-0000-000067190000}"/>
    <cellStyle name="40 % - Aksentti1 11 5 3" xfId="15381" xr:uid="{00000000-0005-0000-0000-000068190000}"/>
    <cellStyle name="40 % - Aksentti1 11 5_060617_hinnat" xfId="23335" xr:uid="{00000000-0005-0000-0000-000069190000}"/>
    <cellStyle name="40 % - Aksentti1 11 6" xfId="1862" xr:uid="{00000000-0005-0000-0000-00006A190000}"/>
    <cellStyle name="40 % - Aksentti1 11 6 2" xfId="7183" xr:uid="{00000000-0005-0000-0000-00006B190000}"/>
    <cellStyle name="40 % - Aksentti1 11 6 3" xfId="15382" xr:uid="{00000000-0005-0000-0000-00006C190000}"/>
    <cellStyle name="40 % - Aksentti1 11 6_060617_hinnat" xfId="23336" xr:uid="{00000000-0005-0000-0000-00006D190000}"/>
    <cellStyle name="40 % - Aksentti1 11 7" xfId="1863" xr:uid="{00000000-0005-0000-0000-00006E190000}"/>
    <cellStyle name="40 % - Aksentti1 11 7 2" xfId="7184" xr:uid="{00000000-0005-0000-0000-00006F190000}"/>
    <cellStyle name="40 % - Aksentti1 11 7 3" xfId="15383" xr:uid="{00000000-0005-0000-0000-000070190000}"/>
    <cellStyle name="40 % - Aksentti1 11 7_060617_hinnat" xfId="23337" xr:uid="{00000000-0005-0000-0000-000071190000}"/>
    <cellStyle name="40 % - Aksentti1 11 8" xfId="1864" xr:uid="{00000000-0005-0000-0000-000072190000}"/>
    <cellStyle name="40 % - Aksentti1 11 8 2" xfId="7185" xr:uid="{00000000-0005-0000-0000-000073190000}"/>
    <cellStyle name="40 % - Aksentti1 11 8 3" xfId="15384" xr:uid="{00000000-0005-0000-0000-000074190000}"/>
    <cellStyle name="40 % - Aksentti1 11 8_060617_hinnat" xfId="23338" xr:uid="{00000000-0005-0000-0000-000075190000}"/>
    <cellStyle name="40 % - Aksentti1 11 9" xfId="1865" xr:uid="{00000000-0005-0000-0000-000076190000}"/>
    <cellStyle name="40 % - Aksentti1 11 9 2" xfId="7186" xr:uid="{00000000-0005-0000-0000-000077190000}"/>
    <cellStyle name="40 % - Aksentti1 11 9 3" xfId="15385" xr:uid="{00000000-0005-0000-0000-000078190000}"/>
    <cellStyle name="40 % - Aksentti1 11 9_060617_hinnat" xfId="23339" xr:uid="{00000000-0005-0000-0000-000079190000}"/>
    <cellStyle name="40 % - Aksentti1 11_060617_hinnat" xfId="23340" xr:uid="{00000000-0005-0000-0000-00007A190000}"/>
    <cellStyle name="40 % - Aksentti1 12" xfId="1866" xr:uid="{00000000-0005-0000-0000-00007B190000}"/>
    <cellStyle name="40 % - Aksentti1 12 10" xfId="1867" xr:uid="{00000000-0005-0000-0000-00007C190000}"/>
    <cellStyle name="40 % - Aksentti1 12 10 2" xfId="7188" xr:uid="{00000000-0005-0000-0000-00007D190000}"/>
    <cellStyle name="40 % - Aksentti1 12 10 3" xfId="15387" xr:uid="{00000000-0005-0000-0000-00007E190000}"/>
    <cellStyle name="40 % - Aksentti1 12 10_060617_hinnat" xfId="23341" xr:uid="{00000000-0005-0000-0000-00007F190000}"/>
    <cellStyle name="40 % - Aksentti1 12 11" xfId="7187" xr:uid="{00000000-0005-0000-0000-000080190000}"/>
    <cellStyle name="40 % - Aksentti1 12 12" xfId="15386" xr:uid="{00000000-0005-0000-0000-000081190000}"/>
    <cellStyle name="40 % - Aksentti1 12 2" xfId="1868" xr:uid="{00000000-0005-0000-0000-000082190000}"/>
    <cellStyle name="40 % - Aksentti1 12 2 2" xfId="1869" xr:uid="{00000000-0005-0000-0000-000083190000}"/>
    <cellStyle name="40 % - Aksentti1 12 2 2 2" xfId="1870" xr:uid="{00000000-0005-0000-0000-000084190000}"/>
    <cellStyle name="40 % - Aksentti1 12 2 2 2 2" xfId="7191" xr:uid="{00000000-0005-0000-0000-000085190000}"/>
    <cellStyle name="40 % - Aksentti1 12 2 2 2 3" xfId="15390" xr:uid="{00000000-0005-0000-0000-000086190000}"/>
    <cellStyle name="40 % - Aksentti1 12 2 2 2_060617_hinnat" xfId="23342" xr:uid="{00000000-0005-0000-0000-000087190000}"/>
    <cellStyle name="40 % - Aksentti1 12 2 2 3" xfId="7190" xr:uid="{00000000-0005-0000-0000-000088190000}"/>
    <cellStyle name="40 % - Aksentti1 12 2 2 4" xfId="15389" xr:uid="{00000000-0005-0000-0000-000089190000}"/>
    <cellStyle name="40 % - Aksentti1 12 2 2_060617_hinnat" xfId="23343" xr:uid="{00000000-0005-0000-0000-00008A190000}"/>
    <cellStyle name="40 % - Aksentti1 12 2 3" xfId="1871" xr:uid="{00000000-0005-0000-0000-00008B190000}"/>
    <cellStyle name="40 % - Aksentti1 12 2 3 2" xfId="7192" xr:uid="{00000000-0005-0000-0000-00008C190000}"/>
    <cellStyle name="40 % - Aksentti1 12 2 3 3" xfId="15391" xr:uid="{00000000-0005-0000-0000-00008D190000}"/>
    <cellStyle name="40 % - Aksentti1 12 2 3_060617_hinnat" xfId="23344" xr:uid="{00000000-0005-0000-0000-00008E190000}"/>
    <cellStyle name="40 % - Aksentti1 12 2 4" xfId="7189" xr:uid="{00000000-0005-0000-0000-00008F190000}"/>
    <cellStyle name="40 % - Aksentti1 12 2 5" xfId="15388" xr:uid="{00000000-0005-0000-0000-000090190000}"/>
    <cellStyle name="40 % - Aksentti1 12 2_060617_hinnat" xfId="23345" xr:uid="{00000000-0005-0000-0000-000091190000}"/>
    <cellStyle name="40 % - Aksentti1 12 3" xfId="1872" xr:uid="{00000000-0005-0000-0000-000092190000}"/>
    <cellStyle name="40 % - Aksentti1 12 3 2" xfId="1873" xr:uid="{00000000-0005-0000-0000-000093190000}"/>
    <cellStyle name="40 % - Aksentti1 12 3 2 2" xfId="7194" xr:uid="{00000000-0005-0000-0000-000094190000}"/>
    <cellStyle name="40 % - Aksentti1 12 3 2 3" xfId="15393" xr:uid="{00000000-0005-0000-0000-000095190000}"/>
    <cellStyle name="40 % - Aksentti1 12 3 2_060617_hinnat" xfId="23346" xr:uid="{00000000-0005-0000-0000-000096190000}"/>
    <cellStyle name="40 % - Aksentti1 12 3 3" xfId="7193" xr:uid="{00000000-0005-0000-0000-000097190000}"/>
    <cellStyle name="40 % - Aksentti1 12 3 4" xfId="15392" xr:uid="{00000000-0005-0000-0000-000098190000}"/>
    <cellStyle name="40 % - Aksentti1 12 3_060617_hinnat" xfId="23347" xr:uid="{00000000-0005-0000-0000-000099190000}"/>
    <cellStyle name="40 % - Aksentti1 12 4" xfId="1874" xr:uid="{00000000-0005-0000-0000-00009A190000}"/>
    <cellStyle name="40 % - Aksentti1 12 4 2" xfId="7195" xr:uid="{00000000-0005-0000-0000-00009B190000}"/>
    <cellStyle name="40 % - Aksentti1 12 4 3" xfId="15394" xr:uid="{00000000-0005-0000-0000-00009C190000}"/>
    <cellStyle name="40 % - Aksentti1 12 4_060617_hinnat" xfId="23348" xr:uid="{00000000-0005-0000-0000-00009D190000}"/>
    <cellStyle name="40 % - Aksentti1 12 5" xfId="1875" xr:uid="{00000000-0005-0000-0000-00009E190000}"/>
    <cellStyle name="40 % - Aksentti1 12 5 2" xfId="7196" xr:uid="{00000000-0005-0000-0000-00009F190000}"/>
    <cellStyle name="40 % - Aksentti1 12 5 3" xfId="15395" xr:uid="{00000000-0005-0000-0000-0000A0190000}"/>
    <cellStyle name="40 % - Aksentti1 12 5_060617_hinnat" xfId="23349" xr:uid="{00000000-0005-0000-0000-0000A1190000}"/>
    <cellStyle name="40 % - Aksentti1 12 6" xfId="1876" xr:uid="{00000000-0005-0000-0000-0000A2190000}"/>
    <cellStyle name="40 % - Aksentti1 12 6 2" xfId="7197" xr:uid="{00000000-0005-0000-0000-0000A3190000}"/>
    <cellStyle name="40 % - Aksentti1 12 6 3" xfId="15396" xr:uid="{00000000-0005-0000-0000-0000A4190000}"/>
    <cellStyle name="40 % - Aksentti1 12 6_060617_hinnat" xfId="23350" xr:uid="{00000000-0005-0000-0000-0000A5190000}"/>
    <cellStyle name="40 % - Aksentti1 12 7" xfId="1877" xr:uid="{00000000-0005-0000-0000-0000A6190000}"/>
    <cellStyle name="40 % - Aksentti1 12 7 2" xfId="7198" xr:uid="{00000000-0005-0000-0000-0000A7190000}"/>
    <cellStyle name="40 % - Aksentti1 12 7 3" xfId="15397" xr:uid="{00000000-0005-0000-0000-0000A8190000}"/>
    <cellStyle name="40 % - Aksentti1 12 7_060617_hinnat" xfId="23351" xr:uid="{00000000-0005-0000-0000-0000A9190000}"/>
    <cellStyle name="40 % - Aksentti1 12 8" xfId="1878" xr:uid="{00000000-0005-0000-0000-0000AA190000}"/>
    <cellStyle name="40 % - Aksentti1 12 8 2" xfId="7199" xr:uid="{00000000-0005-0000-0000-0000AB190000}"/>
    <cellStyle name="40 % - Aksentti1 12 8 3" xfId="15398" xr:uid="{00000000-0005-0000-0000-0000AC190000}"/>
    <cellStyle name="40 % - Aksentti1 12 8_060617_hinnat" xfId="23352" xr:uid="{00000000-0005-0000-0000-0000AD190000}"/>
    <cellStyle name="40 % - Aksentti1 12 9" xfId="1879" xr:uid="{00000000-0005-0000-0000-0000AE190000}"/>
    <cellStyle name="40 % - Aksentti1 12 9 2" xfId="7200" xr:uid="{00000000-0005-0000-0000-0000AF190000}"/>
    <cellStyle name="40 % - Aksentti1 12 9 3" xfId="15399" xr:uid="{00000000-0005-0000-0000-0000B0190000}"/>
    <cellStyle name="40 % - Aksentti1 12 9_060617_hinnat" xfId="23353" xr:uid="{00000000-0005-0000-0000-0000B1190000}"/>
    <cellStyle name="40 % - Aksentti1 12_060617_hinnat" xfId="23354" xr:uid="{00000000-0005-0000-0000-0000B2190000}"/>
    <cellStyle name="40 % - Aksentti1 13" xfId="1880" xr:uid="{00000000-0005-0000-0000-0000B3190000}"/>
    <cellStyle name="40 % - Aksentti1 13 10" xfId="1881" xr:uid="{00000000-0005-0000-0000-0000B4190000}"/>
    <cellStyle name="40 % - Aksentti1 13 10 2" xfId="7202" xr:uid="{00000000-0005-0000-0000-0000B5190000}"/>
    <cellStyle name="40 % - Aksentti1 13 10 3" xfId="15401" xr:uid="{00000000-0005-0000-0000-0000B6190000}"/>
    <cellStyle name="40 % - Aksentti1 13 10_060617_hinnat" xfId="23355" xr:uid="{00000000-0005-0000-0000-0000B7190000}"/>
    <cellStyle name="40 % - Aksentti1 13 11" xfId="7201" xr:uid="{00000000-0005-0000-0000-0000B8190000}"/>
    <cellStyle name="40 % - Aksentti1 13 12" xfId="15400" xr:uid="{00000000-0005-0000-0000-0000B9190000}"/>
    <cellStyle name="40 % - Aksentti1 13 2" xfId="1882" xr:uid="{00000000-0005-0000-0000-0000BA190000}"/>
    <cellStyle name="40 % - Aksentti1 13 2 2" xfId="1883" xr:uid="{00000000-0005-0000-0000-0000BB190000}"/>
    <cellStyle name="40 % - Aksentti1 13 2 2 2" xfId="7204" xr:uid="{00000000-0005-0000-0000-0000BC190000}"/>
    <cellStyle name="40 % - Aksentti1 13 2 2 3" xfId="15403" xr:uid="{00000000-0005-0000-0000-0000BD190000}"/>
    <cellStyle name="40 % - Aksentti1 13 2 2_060617_hinnat" xfId="23356" xr:uid="{00000000-0005-0000-0000-0000BE190000}"/>
    <cellStyle name="40 % - Aksentti1 13 2 3" xfId="7203" xr:uid="{00000000-0005-0000-0000-0000BF190000}"/>
    <cellStyle name="40 % - Aksentti1 13 2 4" xfId="15402" xr:uid="{00000000-0005-0000-0000-0000C0190000}"/>
    <cellStyle name="40 % - Aksentti1 13 2_060617_hinnat" xfId="23357" xr:uid="{00000000-0005-0000-0000-0000C1190000}"/>
    <cellStyle name="40 % - Aksentti1 13 3" xfId="1884" xr:uid="{00000000-0005-0000-0000-0000C2190000}"/>
    <cellStyle name="40 % - Aksentti1 13 3 2" xfId="7205" xr:uid="{00000000-0005-0000-0000-0000C3190000}"/>
    <cellStyle name="40 % - Aksentti1 13 3 3" xfId="15404" xr:uid="{00000000-0005-0000-0000-0000C4190000}"/>
    <cellStyle name="40 % - Aksentti1 13 3_060617_hinnat" xfId="23358" xr:uid="{00000000-0005-0000-0000-0000C5190000}"/>
    <cellStyle name="40 % - Aksentti1 13 4" xfId="1885" xr:uid="{00000000-0005-0000-0000-0000C6190000}"/>
    <cellStyle name="40 % - Aksentti1 13 4 2" xfId="7206" xr:uid="{00000000-0005-0000-0000-0000C7190000}"/>
    <cellStyle name="40 % - Aksentti1 13 4 3" xfId="15405" xr:uid="{00000000-0005-0000-0000-0000C8190000}"/>
    <cellStyle name="40 % - Aksentti1 13 4_060617_hinnat" xfId="23359" xr:uid="{00000000-0005-0000-0000-0000C9190000}"/>
    <cellStyle name="40 % - Aksentti1 13 5" xfId="1886" xr:uid="{00000000-0005-0000-0000-0000CA190000}"/>
    <cellStyle name="40 % - Aksentti1 13 5 2" xfId="7207" xr:uid="{00000000-0005-0000-0000-0000CB190000}"/>
    <cellStyle name="40 % - Aksentti1 13 5 3" xfId="15406" xr:uid="{00000000-0005-0000-0000-0000CC190000}"/>
    <cellStyle name="40 % - Aksentti1 13 5_060617_hinnat" xfId="23360" xr:uid="{00000000-0005-0000-0000-0000CD190000}"/>
    <cellStyle name="40 % - Aksentti1 13 6" xfId="1887" xr:uid="{00000000-0005-0000-0000-0000CE190000}"/>
    <cellStyle name="40 % - Aksentti1 13 6 2" xfId="7208" xr:uid="{00000000-0005-0000-0000-0000CF190000}"/>
    <cellStyle name="40 % - Aksentti1 13 6 3" xfId="15407" xr:uid="{00000000-0005-0000-0000-0000D0190000}"/>
    <cellStyle name="40 % - Aksentti1 13 6_060617_hinnat" xfId="23361" xr:uid="{00000000-0005-0000-0000-0000D1190000}"/>
    <cellStyle name="40 % - Aksentti1 13 7" xfId="1888" xr:uid="{00000000-0005-0000-0000-0000D2190000}"/>
    <cellStyle name="40 % - Aksentti1 13 7 2" xfId="7209" xr:uid="{00000000-0005-0000-0000-0000D3190000}"/>
    <cellStyle name="40 % - Aksentti1 13 7 3" xfId="15408" xr:uid="{00000000-0005-0000-0000-0000D4190000}"/>
    <cellStyle name="40 % - Aksentti1 13 7_060617_hinnat" xfId="23362" xr:uid="{00000000-0005-0000-0000-0000D5190000}"/>
    <cellStyle name="40 % - Aksentti1 13 8" xfId="1889" xr:uid="{00000000-0005-0000-0000-0000D6190000}"/>
    <cellStyle name="40 % - Aksentti1 13 8 2" xfId="7210" xr:uid="{00000000-0005-0000-0000-0000D7190000}"/>
    <cellStyle name="40 % - Aksentti1 13 8 3" xfId="15409" xr:uid="{00000000-0005-0000-0000-0000D8190000}"/>
    <cellStyle name="40 % - Aksentti1 13 8_060617_hinnat" xfId="23363" xr:uid="{00000000-0005-0000-0000-0000D9190000}"/>
    <cellStyle name="40 % - Aksentti1 13 9" xfId="1890" xr:uid="{00000000-0005-0000-0000-0000DA190000}"/>
    <cellStyle name="40 % - Aksentti1 13 9 2" xfId="7211" xr:uid="{00000000-0005-0000-0000-0000DB190000}"/>
    <cellStyle name="40 % - Aksentti1 13 9 3" xfId="15410" xr:uid="{00000000-0005-0000-0000-0000DC190000}"/>
    <cellStyle name="40 % - Aksentti1 13 9_060617_hinnat" xfId="23364" xr:uid="{00000000-0005-0000-0000-0000DD190000}"/>
    <cellStyle name="40 % - Aksentti1 13_060617_hinnat" xfId="23365" xr:uid="{00000000-0005-0000-0000-0000DE190000}"/>
    <cellStyle name="40 % - Aksentti1 14" xfId="1891" xr:uid="{00000000-0005-0000-0000-0000DF190000}"/>
    <cellStyle name="40 % - Aksentti1 14 10" xfId="1892" xr:uid="{00000000-0005-0000-0000-0000E0190000}"/>
    <cellStyle name="40 % - Aksentti1 14 10 2" xfId="7213" xr:uid="{00000000-0005-0000-0000-0000E1190000}"/>
    <cellStyle name="40 % - Aksentti1 14 10 3" xfId="15412" xr:uid="{00000000-0005-0000-0000-0000E2190000}"/>
    <cellStyle name="40 % - Aksentti1 14 10_060617_hinnat" xfId="23366" xr:uid="{00000000-0005-0000-0000-0000E3190000}"/>
    <cellStyle name="40 % - Aksentti1 14 11" xfId="7212" xr:uid="{00000000-0005-0000-0000-0000E4190000}"/>
    <cellStyle name="40 % - Aksentti1 14 12" xfId="15411" xr:uid="{00000000-0005-0000-0000-0000E5190000}"/>
    <cellStyle name="40 % - Aksentti1 14 2" xfId="1893" xr:uid="{00000000-0005-0000-0000-0000E6190000}"/>
    <cellStyle name="40 % - Aksentti1 14 2 2" xfId="1894" xr:uid="{00000000-0005-0000-0000-0000E7190000}"/>
    <cellStyle name="40 % - Aksentti1 14 2 2 2" xfId="7215" xr:uid="{00000000-0005-0000-0000-0000E8190000}"/>
    <cellStyle name="40 % - Aksentti1 14 2 2 3" xfId="15414" xr:uid="{00000000-0005-0000-0000-0000E9190000}"/>
    <cellStyle name="40 % - Aksentti1 14 2 2_060617_hinnat" xfId="23367" xr:uid="{00000000-0005-0000-0000-0000EA190000}"/>
    <cellStyle name="40 % - Aksentti1 14 2 3" xfId="7214" xr:uid="{00000000-0005-0000-0000-0000EB190000}"/>
    <cellStyle name="40 % - Aksentti1 14 2 4" xfId="15413" xr:uid="{00000000-0005-0000-0000-0000EC190000}"/>
    <cellStyle name="40 % - Aksentti1 14 2_060617_hinnat" xfId="23368" xr:uid="{00000000-0005-0000-0000-0000ED190000}"/>
    <cellStyle name="40 % - Aksentti1 14 3" xfId="1895" xr:uid="{00000000-0005-0000-0000-0000EE190000}"/>
    <cellStyle name="40 % - Aksentti1 14 3 2" xfId="7216" xr:uid="{00000000-0005-0000-0000-0000EF190000}"/>
    <cellStyle name="40 % - Aksentti1 14 3 3" xfId="15415" xr:uid="{00000000-0005-0000-0000-0000F0190000}"/>
    <cellStyle name="40 % - Aksentti1 14 3_060617_hinnat" xfId="23369" xr:uid="{00000000-0005-0000-0000-0000F1190000}"/>
    <cellStyle name="40 % - Aksentti1 14 4" xfId="1896" xr:uid="{00000000-0005-0000-0000-0000F2190000}"/>
    <cellStyle name="40 % - Aksentti1 14 4 2" xfId="7217" xr:uid="{00000000-0005-0000-0000-0000F3190000}"/>
    <cellStyle name="40 % - Aksentti1 14 4 3" xfId="15416" xr:uid="{00000000-0005-0000-0000-0000F4190000}"/>
    <cellStyle name="40 % - Aksentti1 14 4_060617_hinnat" xfId="23370" xr:uid="{00000000-0005-0000-0000-0000F5190000}"/>
    <cellStyle name="40 % - Aksentti1 14 5" xfId="1897" xr:uid="{00000000-0005-0000-0000-0000F6190000}"/>
    <cellStyle name="40 % - Aksentti1 14 5 2" xfId="7218" xr:uid="{00000000-0005-0000-0000-0000F7190000}"/>
    <cellStyle name="40 % - Aksentti1 14 5 3" xfId="15417" xr:uid="{00000000-0005-0000-0000-0000F8190000}"/>
    <cellStyle name="40 % - Aksentti1 14 5_060617_hinnat" xfId="23371" xr:uid="{00000000-0005-0000-0000-0000F9190000}"/>
    <cellStyle name="40 % - Aksentti1 14 6" xfId="1898" xr:uid="{00000000-0005-0000-0000-0000FA190000}"/>
    <cellStyle name="40 % - Aksentti1 14 6 2" xfId="7219" xr:uid="{00000000-0005-0000-0000-0000FB190000}"/>
    <cellStyle name="40 % - Aksentti1 14 6 3" xfId="15418" xr:uid="{00000000-0005-0000-0000-0000FC190000}"/>
    <cellStyle name="40 % - Aksentti1 14 6_060617_hinnat" xfId="23372" xr:uid="{00000000-0005-0000-0000-0000FD190000}"/>
    <cellStyle name="40 % - Aksentti1 14 7" xfId="1899" xr:uid="{00000000-0005-0000-0000-0000FE190000}"/>
    <cellStyle name="40 % - Aksentti1 14 7 2" xfId="7220" xr:uid="{00000000-0005-0000-0000-0000FF190000}"/>
    <cellStyle name="40 % - Aksentti1 14 7 3" xfId="15419" xr:uid="{00000000-0005-0000-0000-0000001A0000}"/>
    <cellStyle name="40 % - Aksentti1 14 7_060617_hinnat" xfId="23373" xr:uid="{00000000-0005-0000-0000-0000011A0000}"/>
    <cellStyle name="40 % - Aksentti1 14 8" xfId="1900" xr:uid="{00000000-0005-0000-0000-0000021A0000}"/>
    <cellStyle name="40 % - Aksentti1 14 8 2" xfId="7221" xr:uid="{00000000-0005-0000-0000-0000031A0000}"/>
    <cellStyle name="40 % - Aksentti1 14 8 3" xfId="15420" xr:uid="{00000000-0005-0000-0000-0000041A0000}"/>
    <cellStyle name="40 % - Aksentti1 14 8_060617_hinnat" xfId="23374" xr:uid="{00000000-0005-0000-0000-0000051A0000}"/>
    <cellStyle name="40 % - Aksentti1 14 9" xfId="1901" xr:uid="{00000000-0005-0000-0000-0000061A0000}"/>
    <cellStyle name="40 % - Aksentti1 14 9 2" xfId="7222" xr:uid="{00000000-0005-0000-0000-0000071A0000}"/>
    <cellStyle name="40 % - Aksentti1 14 9 3" xfId="15421" xr:uid="{00000000-0005-0000-0000-0000081A0000}"/>
    <cellStyle name="40 % - Aksentti1 14 9_060617_hinnat" xfId="23375" xr:uid="{00000000-0005-0000-0000-0000091A0000}"/>
    <cellStyle name="40 % - Aksentti1 14_060617_hinnat" xfId="23376" xr:uid="{00000000-0005-0000-0000-00000A1A0000}"/>
    <cellStyle name="40 % - Aksentti1 15" xfId="1902" xr:uid="{00000000-0005-0000-0000-00000B1A0000}"/>
    <cellStyle name="40 % - Aksentti1 15 10" xfId="1903" xr:uid="{00000000-0005-0000-0000-00000C1A0000}"/>
    <cellStyle name="40 % - Aksentti1 15 10 2" xfId="7224" xr:uid="{00000000-0005-0000-0000-00000D1A0000}"/>
    <cellStyle name="40 % - Aksentti1 15 10 3" xfId="15423" xr:uid="{00000000-0005-0000-0000-00000E1A0000}"/>
    <cellStyle name="40 % - Aksentti1 15 10_060617_hinnat" xfId="23377" xr:uid="{00000000-0005-0000-0000-00000F1A0000}"/>
    <cellStyle name="40 % - Aksentti1 15 11" xfId="7223" xr:uid="{00000000-0005-0000-0000-0000101A0000}"/>
    <cellStyle name="40 % - Aksentti1 15 12" xfId="15422" xr:uid="{00000000-0005-0000-0000-0000111A0000}"/>
    <cellStyle name="40 % - Aksentti1 15 2" xfId="1904" xr:uid="{00000000-0005-0000-0000-0000121A0000}"/>
    <cellStyle name="40 % - Aksentti1 15 2 2" xfId="1905" xr:uid="{00000000-0005-0000-0000-0000131A0000}"/>
    <cellStyle name="40 % - Aksentti1 15 2 2 2" xfId="7226" xr:uid="{00000000-0005-0000-0000-0000141A0000}"/>
    <cellStyle name="40 % - Aksentti1 15 2 2 3" xfId="15425" xr:uid="{00000000-0005-0000-0000-0000151A0000}"/>
    <cellStyle name="40 % - Aksentti1 15 2 2_060617_hinnat" xfId="23378" xr:uid="{00000000-0005-0000-0000-0000161A0000}"/>
    <cellStyle name="40 % - Aksentti1 15 2 3" xfId="7225" xr:uid="{00000000-0005-0000-0000-0000171A0000}"/>
    <cellStyle name="40 % - Aksentti1 15 2 4" xfId="15424" xr:uid="{00000000-0005-0000-0000-0000181A0000}"/>
    <cellStyle name="40 % - Aksentti1 15 2_060617_hinnat" xfId="23379" xr:uid="{00000000-0005-0000-0000-0000191A0000}"/>
    <cellStyle name="40 % - Aksentti1 15 3" xfId="1906" xr:uid="{00000000-0005-0000-0000-00001A1A0000}"/>
    <cellStyle name="40 % - Aksentti1 15 3 2" xfId="7227" xr:uid="{00000000-0005-0000-0000-00001B1A0000}"/>
    <cellStyle name="40 % - Aksentti1 15 3 3" xfId="15426" xr:uid="{00000000-0005-0000-0000-00001C1A0000}"/>
    <cellStyle name="40 % - Aksentti1 15 3_060617_hinnat" xfId="23380" xr:uid="{00000000-0005-0000-0000-00001D1A0000}"/>
    <cellStyle name="40 % - Aksentti1 15 4" xfId="1907" xr:uid="{00000000-0005-0000-0000-00001E1A0000}"/>
    <cellStyle name="40 % - Aksentti1 15 4 2" xfId="7228" xr:uid="{00000000-0005-0000-0000-00001F1A0000}"/>
    <cellStyle name="40 % - Aksentti1 15 4 3" xfId="15427" xr:uid="{00000000-0005-0000-0000-0000201A0000}"/>
    <cellStyle name="40 % - Aksentti1 15 4_060617_hinnat" xfId="23381" xr:uid="{00000000-0005-0000-0000-0000211A0000}"/>
    <cellStyle name="40 % - Aksentti1 15 5" xfId="1908" xr:uid="{00000000-0005-0000-0000-0000221A0000}"/>
    <cellStyle name="40 % - Aksentti1 15 5 2" xfId="7229" xr:uid="{00000000-0005-0000-0000-0000231A0000}"/>
    <cellStyle name="40 % - Aksentti1 15 5 3" xfId="15428" xr:uid="{00000000-0005-0000-0000-0000241A0000}"/>
    <cellStyle name="40 % - Aksentti1 15 5_060617_hinnat" xfId="23382" xr:uid="{00000000-0005-0000-0000-0000251A0000}"/>
    <cellStyle name="40 % - Aksentti1 15 6" xfId="1909" xr:uid="{00000000-0005-0000-0000-0000261A0000}"/>
    <cellStyle name="40 % - Aksentti1 15 6 2" xfId="7230" xr:uid="{00000000-0005-0000-0000-0000271A0000}"/>
    <cellStyle name="40 % - Aksentti1 15 6 3" xfId="15429" xr:uid="{00000000-0005-0000-0000-0000281A0000}"/>
    <cellStyle name="40 % - Aksentti1 15 6_060617_hinnat" xfId="23383" xr:uid="{00000000-0005-0000-0000-0000291A0000}"/>
    <cellStyle name="40 % - Aksentti1 15 7" xfId="1910" xr:uid="{00000000-0005-0000-0000-00002A1A0000}"/>
    <cellStyle name="40 % - Aksentti1 15 7 2" xfId="7231" xr:uid="{00000000-0005-0000-0000-00002B1A0000}"/>
    <cellStyle name="40 % - Aksentti1 15 7 3" xfId="15430" xr:uid="{00000000-0005-0000-0000-00002C1A0000}"/>
    <cellStyle name="40 % - Aksentti1 15 7_060617_hinnat" xfId="23384" xr:uid="{00000000-0005-0000-0000-00002D1A0000}"/>
    <cellStyle name="40 % - Aksentti1 15 8" xfId="1911" xr:uid="{00000000-0005-0000-0000-00002E1A0000}"/>
    <cellStyle name="40 % - Aksentti1 15 8 2" xfId="7232" xr:uid="{00000000-0005-0000-0000-00002F1A0000}"/>
    <cellStyle name="40 % - Aksentti1 15 8 3" xfId="15431" xr:uid="{00000000-0005-0000-0000-0000301A0000}"/>
    <cellStyle name="40 % - Aksentti1 15 8_060617_hinnat" xfId="23385" xr:uid="{00000000-0005-0000-0000-0000311A0000}"/>
    <cellStyle name="40 % - Aksentti1 15 9" xfId="1912" xr:uid="{00000000-0005-0000-0000-0000321A0000}"/>
    <cellStyle name="40 % - Aksentti1 15 9 2" xfId="7233" xr:uid="{00000000-0005-0000-0000-0000331A0000}"/>
    <cellStyle name="40 % - Aksentti1 15 9 3" xfId="15432" xr:uid="{00000000-0005-0000-0000-0000341A0000}"/>
    <cellStyle name="40 % - Aksentti1 15 9_060617_hinnat" xfId="23386" xr:uid="{00000000-0005-0000-0000-0000351A0000}"/>
    <cellStyle name="40 % - Aksentti1 15_060617_hinnat" xfId="23387" xr:uid="{00000000-0005-0000-0000-0000361A0000}"/>
    <cellStyle name="40 % - Aksentti1 16" xfId="1913" xr:uid="{00000000-0005-0000-0000-0000371A0000}"/>
    <cellStyle name="40 % - Aksentti1 16 2" xfId="7234" xr:uid="{00000000-0005-0000-0000-0000381A0000}"/>
    <cellStyle name="40 % - Aksentti1 16 3" xfId="15433" xr:uid="{00000000-0005-0000-0000-0000391A0000}"/>
    <cellStyle name="40 % - Aksentti1 16_060617_hinnat" xfId="23388" xr:uid="{00000000-0005-0000-0000-00003A1A0000}"/>
    <cellStyle name="40 % - Aksentti1 17" xfId="1914" xr:uid="{00000000-0005-0000-0000-00003B1A0000}"/>
    <cellStyle name="40 % - Aksentti1 17 2" xfId="7235" xr:uid="{00000000-0005-0000-0000-00003C1A0000}"/>
    <cellStyle name="40 % - Aksentti1 17 3" xfId="15434" xr:uid="{00000000-0005-0000-0000-00003D1A0000}"/>
    <cellStyle name="40 % - Aksentti1 17_060617_hinnat" xfId="23389" xr:uid="{00000000-0005-0000-0000-00003E1A0000}"/>
    <cellStyle name="40 % - Aksentti1 18" xfId="1915" xr:uid="{00000000-0005-0000-0000-00003F1A0000}"/>
    <cellStyle name="40 % - Aksentti1 18 2" xfId="7236" xr:uid="{00000000-0005-0000-0000-0000401A0000}"/>
    <cellStyle name="40 % - Aksentti1 18 3" xfId="15435" xr:uid="{00000000-0005-0000-0000-0000411A0000}"/>
    <cellStyle name="40 % - Aksentti1 18_060617_hinnat" xfId="23390" xr:uid="{00000000-0005-0000-0000-0000421A0000}"/>
    <cellStyle name="40 % - Aksentti1 19" xfId="1916" xr:uid="{00000000-0005-0000-0000-0000431A0000}"/>
    <cellStyle name="40 % - Aksentti1 19 2" xfId="7237" xr:uid="{00000000-0005-0000-0000-0000441A0000}"/>
    <cellStyle name="40 % - Aksentti1 19 3" xfId="15436" xr:uid="{00000000-0005-0000-0000-0000451A0000}"/>
    <cellStyle name="40 % - Aksentti1 19_060617_hinnat" xfId="23391" xr:uid="{00000000-0005-0000-0000-0000461A0000}"/>
    <cellStyle name="40 % - Aksentti1 2" xfId="21" xr:uid="{00000000-0005-0000-0000-0000471A0000}"/>
    <cellStyle name="40 % - Aksentti1 2 10" xfId="1918" xr:uid="{00000000-0005-0000-0000-0000481A0000}"/>
    <cellStyle name="40 % - Aksentti1 2 10 2" xfId="7239" xr:uid="{00000000-0005-0000-0000-0000491A0000}"/>
    <cellStyle name="40 % - Aksentti1 2 10 3" xfId="15438" xr:uid="{00000000-0005-0000-0000-00004A1A0000}"/>
    <cellStyle name="40 % - Aksentti1 2 10_060617_hinnat" xfId="23393" xr:uid="{00000000-0005-0000-0000-00004B1A0000}"/>
    <cellStyle name="40 % - Aksentti1 2 11" xfId="1917" xr:uid="{00000000-0005-0000-0000-00004C1A0000}"/>
    <cellStyle name="40 % - Aksentti1 2 11 2" xfId="7240" xr:uid="{00000000-0005-0000-0000-00004D1A0000}"/>
    <cellStyle name="40 % - Aksentti1 2 11 3" xfId="15437" xr:uid="{00000000-0005-0000-0000-00004E1A0000}"/>
    <cellStyle name="40 % - Aksentti1 2 11_060617_hinnat" xfId="23394" xr:uid="{00000000-0005-0000-0000-00004F1A0000}"/>
    <cellStyle name="40 % - Aksentti1 2 12" xfId="25055" xr:uid="{00000000-0005-0000-0000-0000501A0000}"/>
    <cellStyle name="40 % - Aksentti1 2 13" xfId="26500" xr:uid="{00000000-0005-0000-0000-0000511A0000}"/>
    <cellStyle name="40 % - Aksentti1 2 14" xfId="25521" xr:uid="{00000000-0005-0000-0000-0000521A0000}"/>
    <cellStyle name="40 % - Aksentti1 2 15" xfId="25738" xr:uid="{00000000-0005-0000-0000-0000531A0000}"/>
    <cellStyle name="40 % - Aksentti1 2 16" xfId="25844" xr:uid="{00000000-0005-0000-0000-0000541A0000}"/>
    <cellStyle name="40 % - Aksentti1 2 17" xfId="25616" xr:uid="{00000000-0005-0000-0000-0000551A0000}"/>
    <cellStyle name="40 % - Aksentti1 2 18" xfId="26039" xr:uid="{00000000-0005-0000-0000-0000561A0000}"/>
    <cellStyle name="40 % - Aksentti1 2 19" xfId="26355" xr:uid="{00000000-0005-0000-0000-0000571A0000}"/>
    <cellStyle name="40 % - Aksentti1 2 2" xfId="151" xr:uid="{00000000-0005-0000-0000-0000581A0000}"/>
    <cellStyle name="40 % - Aksentti1 2 2 10" xfId="1920" xr:uid="{00000000-0005-0000-0000-0000591A0000}"/>
    <cellStyle name="40 % - Aksentti1 2 2 10 2" xfId="7242" xr:uid="{00000000-0005-0000-0000-00005A1A0000}"/>
    <cellStyle name="40 % - Aksentti1 2 2 10 3" xfId="15440" xr:uid="{00000000-0005-0000-0000-00005B1A0000}"/>
    <cellStyle name="40 % - Aksentti1 2 2 10_060617_hinnat" xfId="23396" xr:uid="{00000000-0005-0000-0000-00005C1A0000}"/>
    <cellStyle name="40 % - Aksentti1 2 2 11" xfId="1919" xr:uid="{00000000-0005-0000-0000-00005D1A0000}"/>
    <cellStyle name="40 % - Aksentti1 2 2 11 2" xfId="7243" xr:uid="{00000000-0005-0000-0000-00005E1A0000}"/>
    <cellStyle name="40 % - Aksentti1 2 2 11 3" xfId="15439" xr:uid="{00000000-0005-0000-0000-00005F1A0000}"/>
    <cellStyle name="40 % - Aksentti1 2 2 11_060617_hinnat" xfId="23397" xr:uid="{00000000-0005-0000-0000-0000601A0000}"/>
    <cellStyle name="40 % - Aksentti1 2 2 12" xfId="25078" xr:uid="{00000000-0005-0000-0000-0000611A0000}"/>
    <cellStyle name="40 % - Aksentti1 2 2 13" xfId="26181" xr:uid="{00000000-0005-0000-0000-0000621A0000}"/>
    <cellStyle name="40 % - Aksentti1 2 2 14" xfId="25332" xr:uid="{00000000-0005-0000-0000-0000631A0000}"/>
    <cellStyle name="40 % - Aksentti1 2 2 15" xfId="25837" xr:uid="{00000000-0005-0000-0000-0000641A0000}"/>
    <cellStyle name="40 % - Aksentti1 2 2 16" xfId="26078" xr:uid="{00000000-0005-0000-0000-0000651A0000}"/>
    <cellStyle name="40 % - Aksentti1 2 2 17" xfId="26541" xr:uid="{00000000-0005-0000-0000-0000661A0000}"/>
    <cellStyle name="40 % - Aksentti1 2 2 18" xfId="25885" xr:uid="{00000000-0005-0000-0000-0000671A0000}"/>
    <cellStyle name="40 % - Aksentti1 2 2 19" xfId="25829" xr:uid="{00000000-0005-0000-0000-0000681A0000}"/>
    <cellStyle name="40 % - Aksentti1 2 2 2" xfId="376" xr:uid="{00000000-0005-0000-0000-0000691A0000}"/>
    <cellStyle name="40 % - Aksentti1 2 2 2 10" xfId="10947" xr:uid="{00000000-0005-0000-0000-00006A1A0000}"/>
    <cellStyle name="40 % - Aksentti1 2 2 2 2" xfId="1922" xr:uid="{00000000-0005-0000-0000-00006B1A0000}"/>
    <cellStyle name="40 % - Aksentti1 2 2 2 2 2" xfId="7245" xr:uid="{00000000-0005-0000-0000-00006C1A0000}"/>
    <cellStyle name="40 % - Aksentti1 2 2 2 2 3" xfId="15442" xr:uid="{00000000-0005-0000-0000-00006D1A0000}"/>
    <cellStyle name="40 % - Aksentti1 2 2 2 2_060617_hinnat" xfId="23398" xr:uid="{00000000-0005-0000-0000-00006E1A0000}"/>
    <cellStyle name="40 % - Aksentti1 2 2 2 3" xfId="1921" xr:uid="{00000000-0005-0000-0000-00006F1A0000}"/>
    <cellStyle name="40 % - Aksentti1 2 2 2 3 2" xfId="7246" xr:uid="{00000000-0005-0000-0000-0000701A0000}"/>
    <cellStyle name="40 % - Aksentti1 2 2 2 3 3" xfId="15441" xr:uid="{00000000-0005-0000-0000-0000711A0000}"/>
    <cellStyle name="40 % - Aksentti1 2 2 2 3_060617_hinnat" xfId="23399" xr:uid="{00000000-0005-0000-0000-0000721A0000}"/>
    <cellStyle name="40 % - Aksentti1 2 2 2 4" xfId="10854" xr:uid="{00000000-0005-0000-0000-0000731A0000}"/>
    <cellStyle name="40 % - Aksentti1 2 2 2 5" xfId="11089" xr:uid="{00000000-0005-0000-0000-0000741A0000}"/>
    <cellStyle name="40 % - Aksentti1 2 2 2 6" xfId="12972" xr:uid="{00000000-0005-0000-0000-0000751A0000}"/>
    <cellStyle name="40 % - Aksentti1 2 2 2 7" xfId="13913" xr:uid="{00000000-0005-0000-0000-0000761A0000}"/>
    <cellStyle name="40 % - Aksentti1 2 2 2 8" xfId="20261" xr:uid="{00000000-0005-0000-0000-0000771A0000}"/>
    <cellStyle name="40 % - Aksentti1 2 2 2 9" xfId="10856" xr:uid="{00000000-0005-0000-0000-0000781A0000}"/>
    <cellStyle name="40 % - Aksentti1 2 2 2_##Keskeiset" xfId="7244" xr:uid="{00000000-0005-0000-0000-0000791A0000}"/>
    <cellStyle name="40 % - Aksentti1 2 2 20" xfId="25402" xr:uid="{00000000-0005-0000-0000-00007A1A0000}"/>
    <cellStyle name="40 % - Aksentti1 2 2 21" xfId="25883" xr:uid="{00000000-0005-0000-0000-00007B1A0000}"/>
    <cellStyle name="40 % - Aksentti1 2 2 22" xfId="25264" xr:uid="{00000000-0005-0000-0000-00007C1A0000}"/>
    <cellStyle name="40 % - Aksentti1 2 2 23" xfId="25993" xr:uid="{00000000-0005-0000-0000-00007D1A0000}"/>
    <cellStyle name="40 % - Aksentti1 2 2 24" xfId="25818" xr:uid="{00000000-0005-0000-0000-00007E1A0000}"/>
    <cellStyle name="40 % - Aksentti1 2 2 25" xfId="25821" xr:uid="{00000000-0005-0000-0000-00007F1A0000}"/>
    <cellStyle name="40 % - Aksentti1 2 2 26" xfId="26418" xr:uid="{00000000-0005-0000-0000-0000801A0000}"/>
    <cellStyle name="40 % - Aksentti1 2 2 27" xfId="26707" xr:uid="{00000000-0005-0000-0000-0000811A0000}"/>
    <cellStyle name="40 % - Aksentti1 2 2 28" xfId="23395" xr:uid="{00000000-0005-0000-0000-0000821A0000}"/>
    <cellStyle name="40 % - Aksentti1 2 2 29" xfId="24941" xr:uid="{00000000-0005-0000-0000-0000831A0000}"/>
    <cellStyle name="40 % - Aksentti1 2 2 3" xfId="1923" xr:uid="{00000000-0005-0000-0000-0000841A0000}"/>
    <cellStyle name="40 % - Aksentti1 2 2 3 2" xfId="10855" xr:uid="{00000000-0005-0000-0000-0000851A0000}"/>
    <cellStyle name="40 % - Aksentti1 2 2 3 3" xfId="15443" xr:uid="{00000000-0005-0000-0000-0000861A0000}"/>
    <cellStyle name="40 % - Aksentti1 2 2 3_DataIX" xfId="30543" xr:uid="{00000000-0005-0000-0000-0000871A0000}"/>
    <cellStyle name="40 % - Aksentti1 2 2 30" xfId="26749" xr:uid="{00000000-0005-0000-0000-0000881A0000}"/>
    <cellStyle name="40 % - Aksentti1 2 2 31" xfId="25003" xr:uid="{00000000-0005-0000-0000-0000891A0000}"/>
    <cellStyle name="40 % - Aksentti1 2 2 32" xfId="26750" xr:uid="{00000000-0005-0000-0000-00008A1A0000}"/>
    <cellStyle name="40 % - Aksentti1 2 2 33" xfId="25005" xr:uid="{00000000-0005-0000-0000-00008B1A0000}"/>
    <cellStyle name="40 % - Aksentti1 2 2 4" xfId="1924" xr:uid="{00000000-0005-0000-0000-00008C1A0000}"/>
    <cellStyle name="40 % - Aksentti1 2 2 4 2" xfId="7247" xr:uid="{00000000-0005-0000-0000-00008D1A0000}"/>
    <cellStyle name="40 % - Aksentti1 2 2 4 3" xfId="15444" xr:uid="{00000000-0005-0000-0000-00008E1A0000}"/>
    <cellStyle name="40 % - Aksentti1 2 2 4_060617_hinnat" xfId="23400" xr:uid="{00000000-0005-0000-0000-00008F1A0000}"/>
    <cellStyle name="40 % - Aksentti1 2 2 5" xfId="1925" xr:uid="{00000000-0005-0000-0000-0000901A0000}"/>
    <cellStyle name="40 % - Aksentti1 2 2 5 2" xfId="7248" xr:uid="{00000000-0005-0000-0000-0000911A0000}"/>
    <cellStyle name="40 % - Aksentti1 2 2 5 3" xfId="15445" xr:uid="{00000000-0005-0000-0000-0000921A0000}"/>
    <cellStyle name="40 % - Aksentti1 2 2 5_060617_hinnat" xfId="23401" xr:uid="{00000000-0005-0000-0000-0000931A0000}"/>
    <cellStyle name="40 % - Aksentti1 2 2 6" xfId="1926" xr:uid="{00000000-0005-0000-0000-0000941A0000}"/>
    <cellStyle name="40 % - Aksentti1 2 2 6 2" xfId="7249" xr:uid="{00000000-0005-0000-0000-0000951A0000}"/>
    <cellStyle name="40 % - Aksentti1 2 2 6 3" xfId="15446" xr:uid="{00000000-0005-0000-0000-0000961A0000}"/>
    <cellStyle name="40 % - Aksentti1 2 2 6_060617_hinnat" xfId="23402" xr:uid="{00000000-0005-0000-0000-0000971A0000}"/>
    <cellStyle name="40 % - Aksentti1 2 2 7" xfId="1927" xr:uid="{00000000-0005-0000-0000-0000981A0000}"/>
    <cellStyle name="40 % - Aksentti1 2 2 7 2" xfId="7250" xr:uid="{00000000-0005-0000-0000-0000991A0000}"/>
    <cellStyle name="40 % - Aksentti1 2 2 7 3" xfId="15447" xr:uid="{00000000-0005-0000-0000-00009A1A0000}"/>
    <cellStyle name="40 % - Aksentti1 2 2 7_060617_hinnat" xfId="23403" xr:uid="{00000000-0005-0000-0000-00009B1A0000}"/>
    <cellStyle name="40 % - Aksentti1 2 2 8" xfId="1928" xr:uid="{00000000-0005-0000-0000-00009C1A0000}"/>
    <cellStyle name="40 % - Aksentti1 2 2 8 2" xfId="7251" xr:uid="{00000000-0005-0000-0000-00009D1A0000}"/>
    <cellStyle name="40 % - Aksentti1 2 2 8 3" xfId="15448" xr:uid="{00000000-0005-0000-0000-00009E1A0000}"/>
    <cellStyle name="40 % - Aksentti1 2 2 8_060617_hinnat" xfId="23404" xr:uid="{00000000-0005-0000-0000-00009F1A0000}"/>
    <cellStyle name="40 % - Aksentti1 2 2 9" xfId="1929" xr:uid="{00000000-0005-0000-0000-0000A01A0000}"/>
    <cellStyle name="40 % - Aksentti1 2 2 9 2" xfId="7252" xr:uid="{00000000-0005-0000-0000-0000A11A0000}"/>
    <cellStyle name="40 % - Aksentti1 2 2 9 3" xfId="15449" xr:uid="{00000000-0005-0000-0000-0000A21A0000}"/>
    <cellStyle name="40 % - Aksentti1 2 2 9_060617_hinnat" xfId="23405" xr:uid="{00000000-0005-0000-0000-0000A31A0000}"/>
    <cellStyle name="40 % - Aksentti1 2 2_##Keskeiset" xfId="7241" xr:uid="{00000000-0005-0000-0000-0000A41A0000}"/>
    <cellStyle name="40 % - Aksentti1 2 20" xfId="26427" xr:uid="{00000000-0005-0000-0000-0000A51A0000}"/>
    <cellStyle name="40 % - Aksentti1 2 21" xfId="25467" xr:uid="{00000000-0005-0000-0000-0000A61A0000}"/>
    <cellStyle name="40 % - Aksentti1 2 22" xfId="26318" xr:uid="{00000000-0005-0000-0000-0000A71A0000}"/>
    <cellStyle name="40 % - Aksentti1 2 23" xfId="25722" xr:uid="{00000000-0005-0000-0000-0000A81A0000}"/>
    <cellStyle name="40 % - Aksentti1 2 24" xfId="26226" xr:uid="{00000000-0005-0000-0000-0000A91A0000}"/>
    <cellStyle name="40 % - Aksentti1 2 25" xfId="26635" xr:uid="{00000000-0005-0000-0000-0000AA1A0000}"/>
    <cellStyle name="40 % - Aksentti1 2 26" xfId="25730" xr:uid="{00000000-0005-0000-0000-0000AB1A0000}"/>
    <cellStyle name="40 % - Aksentti1 2 27" xfId="26063" xr:uid="{00000000-0005-0000-0000-0000AC1A0000}"/>
    <cellStyle name="40 % - Aksentti1 2 28" xfId="23392" xr:uid="{00000000-0005-0000-0000-0000AD1A0000}"/>
    <cellStyle name="40 % - Aksentti1 2 29" xfId="24942" xr:uid="{00000000-0005-0000-0000-0000AE1A0000}"/>
    <cellStyle name="40 % - Aksentti1 2 3" xfId="152" xr:uid="{00000000-0005-0000-0000-0000AF1A0000}"/>
    <cellStyle name="40 % - Aksentti1 2 3 2" xfId="1931" xr:uid="{00000000-0005-0000-0000-0000B01A0000}"/>
    <cellStyle name="40 % - Aksentti1 2 3 2 2" xfId="1932" xr:uid="{00000000-0005-0000-0000-0000B11A0000}"/>
    <cellStyle name="40 % - Aksentti1 2 3 2 2 2" xfId="7254" xr:uid="{00000000-0005-0000-0000-0000B21A0000}"/>
    <cellStyle name="40 % - Aksentti1 2 3 2 2 3" xfId="15452" xr:uid="{00000000-0005-0000-0000-0000B31A0000}"/>
    <cellStyle name="40 % - Aksentti1 2 3 2 2_060617_hinnat" xfId="23406" xr:uid="{00000000-0005-0000-0000-0000B41A0000}"/>
    <cellStyle name="40 % - Aksentti1 2 3 2 3" xfId="5498" xr:uid="{00000000-0005-0000-0000-0000B51A0000}"/>
    <cellStyle name="40 % - Aksentti1 2 3 2 4" xfId="15451" xr:uid="{00000000-0005-0000-0000-0000B61A0000}"/>
    <cellStyle name="40 % - Aksentti1 2 3 2_##Keskeiset" xfId="7253" xr:uid="{00000000-0005-0000-0000-0000B71A0000}"/>
    <cellStyle name="40 % - Aksentti1 2 3 3" xfId="1933" xr:uid="{00000000-0005-0000-0000-0000B81A0000}"/>
    <cellStyle name="40 % - Aksentti1 2 3 3 2" xfId="7255" xr:uid="{00000000-0005-0000-0000-0000B91A0000}"/>
    <cellStyle name="40 % - Aksentti1 2 3 3 3" xfId="15453" xr:uid="{00000000-0005-0000-0000-0000BA1A0000}"/>
    <cellStyle name="40 % - Aksentti1 2 3 3_060617_hinnat" xfId="23407" xr:uid="{00000000-0005-0000-0000-0000BB1A0000}"/>
    <cellStyle name="40 % - Aksentti1 2 3 4" xfId="1930" xr:uid="{00000000-0005-0000-0000-0000BC1A0000}"/>
    <cellStyle name="40 % - Aksentti1 2 3 4 2" xfId="7256" xr:uid="{00000000-0005-0000-0000-0000BD1A0000}"/>
    <cellStyle name="40 % - Aksentti1 2 3 4 3" xfId="15450" xr:uid="{00000000-0005-0000-0000-0000BE1A0000}"/>
    <cellStyle name="40 % - Aksentti1 2 3 4_060617_hinnat" xfId="23408" xr:uid="{00000000-0005-0000-0000-0000BF1A0000}"/>
    <cellStyle name="40 % - Aksentti1 2 3_##Keskeiset" xfId="5497" xr:uid="{00000000-0005-0000-0000-0000C01A0000}"/>
    <cellStyle name="40 % - Aksentti1 2 30" xfId="26753" xr:uid="{00000000-0005-0000-0000-0000C11A0000}"/>
    <cellStyle name="40 % - Aksentti1 2 31" xfId="25008" xr:uid="{00000000-0005-0000-0000-0000C21A0000}"/>
    <cellStyle name="40 % - Aksentti1 2 32" xfId="26733" xr:uid="{00000000-0005-0000-0000-0000C31A0000}"/>
    <cellStyle name="40 % - Aksentti1 2 33" xfId="24981" xr:uid="{00000000-0005-0000-0000-0000C41A0000}"/>
    <cellStyle name="40 % - Aksentti1 2 4" xfId="1934" xr:uid="{00000000-0005-0000-0000-0000C51A0000}"/>
    <cellStyle name="40 % - Aksentti1 2 4 2" xfId="1935" xr:uid="{00000000-0005-0000-0000-0000C61A0000}"/>
    <cellStyle name="40 % - Aksentti1 2 4 2 2" xfId="1936" xr:uid="{00000000-0005-0000-0000-0000C71A0000}"/>
    <cellStyle name="40 % - Aksentti1 2 4 2 2 2" xfId="7259" xr:uid="{00000000-0005-0000-0000-0000C81A0000}"/>
    <cellStyle name="40 % - Aksentti1 2 4 2 2 3" xfId="15456" xr:uid="{00000000-0005-0000-0000-0000C91A0000}"/>
    <cellStyle name="40 % - Aksentti1 2 4 2 2_060617_hinnat" xfId="23409" xr:uid="{00000000-0005-0000-0000-0000CA1A0000}"/>
    <cellStyle name="40 % - Aksentti1 2 4 2 3" xfId="7258" xr:uid="{00000000-0005-0000-0000-0000CB1A0000}"/>
    <cellStyle name="40 % - Aksentti1 2 4 2 4" xfId="15455" xr:uid="{00000000-0005-0000-0000-0000CC1A0000}"/>
    <cellStyle name="40 % - Aksentti1 2 4 2_060617_hinnat" xfId="23410" xr:uid="{00000000-0005-0000-0000-0000CD1A0000}"/>
    <cellStyle name="40 % - Aksentti1 2 4 3" xfId="1937" xr:uid="{00000000-0005-0000-0000-0000CE1A0000}"/>
    <cellStyle name="40 % - Aksentti1 2 4 3 2" xfId="7260" xr:uid="{00000000-0005-0000-0000-0000CF1A0000}"/>
    <cellStyle name="40 % - Aksentti1 2 4 3 3" xfId="15457" xr:uid="{00000000-0005-0000-0000-0000D01A0000}"/>
    <cellStyle name="40 % - Aksentti1 2 4 3_060617_hinnat" xfId="23411" xr:uid="{00000000-0005-0000-0000-0000D11A0000}"/>
    <cellStyle name="40 % - Aksentti1 2 4 4" xfId="5499" xr:uid="{00000000-0005-0000-0000-0000D21A0000}"/>
    <cellStyle name="40 % - Aksentti1 2 4 4 2" xfId="11334" xr:uid="{00000000-0005-0000-0000-0000D31A0000}"/>
    <cellStyle name="40 % - Aksentti1 2 4 4 3" xfId="18745" xr:uid="{00000000-0005-0000-0000-0000D41A0000}"/>
    <cellStyle name="40 % - Aksentti1 2 4 4_DataIX" xfId="30544" xr:uid="{00000000-0005-0000-0000-0000D51A0000}"/>
    <cellStyle name="40 % - Aksentti1 2 4 5" xfId="5317" xr:uid="{00000000-0005-0000-0000-0000D61A0000}"/>
    <cellStyle name="40 % - Aksentti1 2 4 5 2" xfId="11335" xr:uid="{00000000-0005-0000-0000-0000D71A0000}"/>
    <cellStyle name="40 % - Aksentti1 2 4 5 3" xfId="18641" xr:uid="{00000000-0005-0000-0000-0000D81A0000}"/>
    <cellStyle name="40 % - Aksentti1 2 4 5_DataIX" xfId="30545" xr:uid="{00000000-0005-0000-0000-0000D91A0000}"/>
    <cellStyle name="40 % - Aksentti1 2 4 6" xfId="10610" xr:uid="{00000000-0005-0000-0000-0000DA1A0000}"/>
    <cellStyle name="40 % - Aksentti1 2 4 6 2" xfId="11336" xr:uid="{00000000-0005-0000-0000-0000DB1A0000}"/>
    <cellStyle name="40 % - Aksentti1 2 4 6 3" xfId="20392" xr:uid="{00000000-0005-0000-0000-0000DC1A0000}"/>
    <cellStyle name="40 % - Aksentti1 2 4 6_DataIX" xfId="30546" xr:uid="{00000000-0005-0000-0000-0000DD1A0000}"/>
    <cellStyle name="40 % - Aksentti1 2 4 7" xfId="10564" xr:uid="{00000000-0005-0000-0000-0000DE1A0000}"/>
    <cellStyle name="40 % - Aksentti1 2 4 7 2" xfId="11337" xr:uid="{00000000-0005-0000-0000-0000DF1A0000}"/>
    <cellStyle name="40 % - Aksentti1 2 4 7 3" xfId="20346" xr:uid="{00000000-0005-0000-0000-0000E01A0000}"/>
    <cellStyle name="40 % - Aksentti1 2 4 7_DataIX" xfId="30547" xr:uid="{00000000-0005-0000-0000-0000E11A0000}"/>
    <cellStyle name="40 % - Aksentti1 2 4 8" xfId="10575" xr:uid="{00000000-0005-0000-0000-0000E21A0000}"/>
    <cellStyle name="40 % - Aksentti1 2 4 8 2" xfId="11338" xr:uid="{00000000-0005-0000-0000-0000E31A0000}"/>
    <cellStyle name="40 % - Aksentti1 2 4 8 3" xfId="20357" xr:uid="{00000000-0005-0000-0000-0000E41A0000}"/>
    <cellStyle name="40 % - Aksentti1 2 4 8_DataIX" xfId="30548" xr:uid="{00000000-0005-0000-0000-0000E51A0000}"/>
    <cellStyle name="40 % - Aksentti1 2 4 9" xfId="15454" xr:uid="{00000000-0005-0000-0000-0000E61A0000}"/>
    <cellStyle name="40 % - Aksentti1 2 4_##Keskeiset" xfId="7257" xr:uid="{00000000-0005-0000-0000-0000E71A0000}"/>
    <cellStyle name="40 % - Aksentti1 2 5" xfId="1938" xr:uid="{00000000-0005-0000-0000-0000E81A0000}"/>
    <cellStyle name="40 % - Aksentti1 2 5 2" xfId="1939" xr:uid="{00000000-0005-0000-0000-0000E91A0000}"/>
    <cellStyle name="40 % - Aksentti1 2 5 2 2" xfId="7262" xr:uid="{00000000-0005-0000-0000-0000EA1A0000}"/>
    <cellStyle name="40 % - Aksentti1 2 5 2 3" xfId="15459" xr:uid="{00000000-0005-0000-0000-0000EB1A0000}"/>
    <cellStyle name="40 % - Aksentti1 2 5 2_060617_hinnat" xfId="23412" xr:uid="{00000000-0005-0000-0000-0000EC1A0000}"/>
    <cellStyle name="40 % - Aksentti1 2 5 3" xfId="7261" xr:uid="{00000000-0005-0000-0000-0000ED1A0000}"/>
    <cellStyle name="40 % - Aksentti1 2 5 4" xfId="15458" xr:uid="{00000000-0005-0000-0000-0000EE1A0000}"/>
    <cellStyle name="40 % - Aksentti1 2 5_060617_hinnat" xfId="23413" xr:uid="{00000000-0005-0000-0000-0000EF1A0000}"/>
    <cellStyle name="40 % - Aksentti1 2 6" xfId="1940" xr:uid="{00000000-0005-0000-0000-0000F01A0000}"/>
    <cellStyle name="40 % - Aksentti1 2 6 2" xfId="7263" xr:uid="{00000000-0005-0000-0000-0000F11A0000}"/>
    <cellStyle name="40 % - Aksentti1 2 6 3" xfId="15460" xr:uid="{00000000-0005-0000-0000-0000F21A0000}"/>
    <cellStyle name="40 % - Aksentti1 2 6_060617_hinnat" xfId="23414" xr:uid="{00000000-0005-0000-0000-0000F31A0000}"/>
    <cellStyle name="40 % - Aksentti1 2 7" xfId="1941" xr:uid="{00000000-0005-0000-0000-0000F41A0000}"/>
    <cellStyle name="40 % - Aksentti1 2 7 2" xfId="7264" xr:uid="{00000000-0005-0000-0000-0000F51A0000}"/>
    <cellStyle name="40 % - Aksentti1 2 7 3" xfId="15461" xr:uid="{00000000-0005-0000-0000-0000F61A0000}"/>
    <cellStyle name="40 % - Aksentti1 2 7_060617_hinnat" xfId="23415" xr:uid="{00000000-0005-0000-0000-0000F71A0000}"/>
    <cellStyle name="40 % - Aksentti1 2 8" xfId="1942" xr:uid="{00000000-0005-0000-0000-0000F81A0000}"/>
    <cellStyle name="40 % - Aksentti1 2 8 2" xfId="7265" xr:uid="{00000000-0005-0000-0000-0000F91A0000}"/>
    <cellStyle name="40 % - Aksentti1 2 8 3" xfId="15462" xr:uid="{00000000-0005-0000-0000-0000FA1A0000}"/>
    <cellStyle name="40 % - Aksentti1 2 8_060617_hinnat" xfId="23416" xr:uid="{00000000-0005-0000-0000-0000FB1A0000}"/>
    <cellStyle name="40 % - Aksentti1 2 9" xfId="1943" xr:uid="{00000000-0005-0000-0000-0000FC1A0000}"/>
    <cellStyle name="40 % - Aksentti1 2 9 2" xfId="7266" xr:uid="{00000000-0005-0000-0000-0000FD1A0000}"/>
    <cellStyle name="40 % - Aksentti1 2 9 3" xfId="15463" xr:uid="{00000000-0005-0000-0000-0000FE1A0000}"/>
    <cellStyle name="40 % - Aksentti1 2 9_060617_hinnat" xfId="23417" xr:uid="{00000000-0005-0000-0000-0000FF1A0000}"/>
    <cellStyle name="40 % - Aksentti1 2_##Keskeiset" xfId="7238" xr:uid="{00000000-0005-0000-0000-0000001B0000}"/>
    <cellStyle name="40 % - Aksentti1 20" xfId="1944" xr:uid="{00000000-0005-0000-0000-0000011B0000}"/>
    <cellStyle name="40 % - Aksentti1 20 2" xfId="7267" xr:uid="{00000000-0005-0000-0000-0000021B0000}"/>
    <cellStyle name="40 % - Aksentti1 20 3" xfId="15464" xr:uid="{00000000-0005-0000-0000-0000031B0000}"/>
    <cellStyle name="40 % - Aksentti1 20_060617_hinnat" xfId="23418" xr:uid="{00000000-0005-0000-0000-0000041B0000}"/>
    <cellStyle name="40 % - Aksentti1 21" xfId="1945" xr:uid="{00000000-0005-0000-0000-0000051B0000}"/>
    <cellStyle name="40 % - Aksentti1 21 2" xfId="7268" xr:uid="{00000000-0005-0000-0000-0000061B0000}"/>
    <cellStyle name="40 % - Aksentti1 21 3" xfId="15465" xr:uid="{00000000-0005-0000-0000-0000071B0000}"/>
    <cellStyle name="40 % - Aksentti1 21_060617_hinnat" xfId="23419" xr:uid="{00000000-0005-0000-0000-0000081B0000}"/>
    <cellStyle name="40 % - Aksentti1 22" xfId="1946" xr:uid="{00000000-0005-0000-0000-0000091B0000}"/>
    <cellStyle name="40 % - Aksentti1 22 2" xfId="7269" xr:uid="{00000000-0005-0000-0000-00000A1B0000}"/>
    <cellStyle name="40 % - Aksentti1 22 3" xfId="15466" xr:uid="{00000000-0005-0000-0000-00000B1B0000}"/>
    <cellStyle name="40 % - Aksentti1 22_060617_hinnat" xfId="23420" xr:uid="{00000000-0005-0000-0000-00000C1B0000}"/>
    <cellStyle name="40 % - Aksentti1 23" xfId="1947" xr:uid="{00000000-0005-0000-0000-00000D1B0000}"/>
    <cellStyle name="40 % - Aksentti1 23 2" xfId="7270" xr:uid="{00000000-0005-0000-0000-00000E1B0000}"/>
    <cellStyle name="40 % - Aksentti1 23 3" xfId="15467" xr:uid="{00000000-0005-0000-0000-00000F1B0000}"/>
    <cellStyle name="40 % - Aksentti1 23_060617_hinnat" xfId="23421" xr:uid="{00000000-0005-0000-0000-0000101B0000}"/>
    <cellStyle name="40 % - Aksentti1 24" xfId="1948" xr:uid="{00000000-0005-0000-0000-0000111B0000}"/>
    <cellStyle name="40 % - Aksentti1 24 2" xfId="7271" xr:uid="{00000000-0005-0000-0000-0000121B0000}"/>
    <cellStyle name="40 % - Aksentti1 24 3" xfId="15468" xr:uid="{00000000-0005-0000-0000-0000131B0000}"/>
    <cellStyle name="40 % - Aksentti1 24_060617_hinnat" xfId="23422" xr:uid="{00000000-0005-0000-0000-0000141B0000}"/>
    <cellStyle name="40 % - Aksentti1 25" xfId="1949" xr:uid="{00000000-0005-0000-0000-0000151B0000}"/>
    <cellStyle name="40 % - Aksentti1 25 2" xfId="7272" xr:uid="{00000000-0005-0000-0000-0000161B0000}"/>
    <cellStyle name="40 % - Aksentti1 25 3" xfId="15469" xr:uid="{00000000-0005-0000-0000-0000171B0000}"/>
    <cellStyle name="40 % - Aksentti1 25_060617_hinnat" xfId="23423" xr:uid="{00000000-0005-0000-0000-0000181B0000}"/>
    <cellStyle name="40 % - Aksentti1 26" xfId="1950" xr:uid="{00000000-0005-0000-0000-0000191B0000}"/>
    <cellStyle name="40 % - Aksentti1 26 2" xfId="7273" xr:uid="{00000000-0005-0000-0000-00001A1B0000}"/>
    <cellStyle name="40 % - Aksentti1 26 3" xfId="15470" xr:uid="{00000000-0005-0000-0000-00001B1B0000}"/>
    <cellStyle name="40 % - Aksentti1 26_060617_hinnat" xfId="23424" xr:uid="{00000000-0005-0000-0000-00001C1B0000}"/>
    <cellStyle name="40 % - Aksentti1 27" xfId="1951" xr:uid="{00000000-0005-0000-0000-00001D1B0000}"/>
    <cellStyle name="40 % - Aksentti1 27 2" xfId="7274" xr:uid="{00000000-0005-0000-0000-00001E1B0000}"/>
    <cellStyle name="40 % - Aksentti1 27 3" xfId="15471" xr:uid="{00000000-0005-0000-0000-00001F1B0000}"/>
    <cellStyle name="40 % - Aksentti1 27_060617_hinnat" xfId="23425" xr:uid="{00000000-0005-0000-0000-0000201B0000}"/>
    <cellStyle name="40 % - Aksentti1 28" xfId="1952" xr:uid="{00000000-0005-0000-0000-0000211B0000}"/>
    <cellStyle name="40 % - Aksentti1 28 2" xfId="7275" xr:uid="{00000000-0005-0000-0000-0000221B0000}"/>
    <cellStyle name="40 % - Aksentti1 28 3" xfId="15472" xr:uid="{00000000-0005-0000-0000-0000231B0000}"/>
    <cellStyle name="40 % - Aksentti1 28_060617_hinnat" xfId="23426" xr:uid="{00000000-0005-0000-0000-0000241B0000}"/>
    <cellStyle name="40 % - Aksentti1 29" xfId="10646" xr:uid="{00000000-0005-0000-0000-0000251B0000}"/>
    <cellStyle name="40 % - Aksentti1 29 2" xfId="27764" xr:uid="{00000000-0005-0000-0000-0000261B0000}"/>
    <cellStyle name="40 % - Aksentti1 29_DataIX" xfId="30549" xr:uid="{00000000-0005-0000-0000-0000271B0000}"/>
    <cellStyle name="40 % - Aksentti1 3" xfId="150" xr:uid="{00000000-0005-0000-0000-0000281B0000}"/>
    <cellStyle name="40 % - Aksentti1 3 10" xfId="1954" xr:uid="{00000000-0005-0000-0000-0000291B0000}"/>
    <cellStyle name="40 % - Aksentti1 3 10 2" xfId="7276" xr:uid="{00000000-0005-0000-0000-00002A1B0000}"/>
    <cellStyle name="40 % - Aksentti1 3 10 3" xfId="15474" xr:uid="{00000000-0005-0000-0000-00002B1B0000}"/>
    <cellStyle name="40 % - Aksentti1 3 10_060617_hinnat" xfId="23427" xr:uid="{00000000-0005-0000-0000-00002C1B0000}"/>
    <cellStyle name="40 % - Aksentti1 3 11" xfId="1953" xr:uid="{00000000-0005-0000-0000-00002D1B0000}"/>
    <cellStyle name="40 % - Aksentti1 3 11 2" xfId="7277" xr:uid="{00000000-0005-0000-0000-00002E1B0000}"/>
    <cellStyle name="40 % - Aksentti1 3 11 3" xfId="15473" xr:uid="{00000000-0005-0000-0000-00002F1B0000}"/>
    <cellStyle name="40 % - Aksentti1 3 11_060617_hinnat" xfId="23428" xr:uid="{00000000-0005-0000-0000-0000301B0000}"/>
    <cellStyle name="40 % - Aksentti1 3 2" xfId="1955" xr:uid="{00000000-0005-0000-0000-0000311B0000}"/>
    <cellStyle name="40 % - Aksentti1 3 2 10" xfId="1956" xr:uid="{00000000-0005-0000-0000-0000321B0000}"/>
    <cellStyle name="40 % - Aksentti1 3 2 10 2" xfId="7279" xr:uid="{00000000-0005-0000-0000-0000331B0000}"/>
    <cellStyle name="40 % - Aksentti1 3 2 10 3" xfId="15476" xr:uid="{00000000-0005-0000-0000-0000341B0000}"/>
    <cellStyle name="40 % - Aksentti1 3 2 10_060617_hinnat" xfId="23429" xr:uid="{00000000-0005-0000-0000-0000351B0000}"/>
    <cellStyle name="40 % - Aksentti1 3 2 11" xfId="7278" xr:uid="{00000000-0005-0000-0000-0000361B0000}"/>
    <cellStyle name="40 % - Aksentti1 3 2 12" xfId="15475" xr:uid="{00000000-0005-0000-0000-0000371B0000}"/>
    <cellStyle name="40 % - Aksentti1 3 2 2" xfId="1957" xr:uid="{00000000-0005-0000-0000-0000381B0000}"/>
    <cellStyle name="40 % - Aksentti1 3 2 2 2" xfId="1958" xr:uid="{00000000-0005-0000-0000-0000391B0000}"/>
    <cellStyle name="40 % - Aksentti1 3 2 2 2 2" xfId="7281" xr:uid="{00000000-0005-0000-0000-00003A1B0000}"/>
    <cellStyle name="40 % - Aksentti1 3 2 2 2 3" xfId="15478" xr:uid="{00000000-0005-0000-0000-00003B1B0000}"/>
    <cellStyle name="40 % - Aksentti1 3 2 2 2_060617_hinnat" xfId="23431" xr:uid="{00000000-0005-0000-0000-00003C1B0000}"/>
    <cellStyle name="40 % - Aksentti1 3 2 2 3" xfId="7280" xr:uid="{00000000-0005-0000-0000-00003D1B0000}"/>
    <cellStyle name="40 % - Aksentti1 3 2 2 4" xfId="15477" xr:uid="{00000000-0005-0000-0000-00003E1B0000}"/>
    <cellStyle name="40 % - Aksentti1 3 2 2_060617_hinnat" xfId="23432" xr:uid="{00000000-0005-0000-0000-00003F1B0000}"/>
    <cellStyle name="40 % - Aksentti1 3 2 3" xfId="1959" xr:uid="{00000000-0005-0000-0000-0000401B0000}"/>
    <cellStyle name="40 % - Aksentti1 3 2 3 2" xfId="7282" xr:uid="{00000000-0005-0000-0000-0000411B0000}"/>
    <cellStyle name="40 % - Aksentti1 3 2 3 3" xfId="15479" xr:uid="{00000000-0005-0000-0000-0000421B0000}"/>
    <cellStyle name="40 % - Aksentti1 3 2 3_060617_hinnat" xfId="23433" xr:uid="{00000000-0005-0000-0000-0000431B0000}"/>
    <cellStyle name="40 % - Aksentti1 3 2 4" xfId="1960" xr:uid="{00000000-0005-0000-0000-0000441B0000}"/>
    <cellStyle name="40 % - Aksentti1 3 2 4 2" xfId="7283" xr:uid="{00000000-0005-0000-0000-0000451B0000}"/>
    <cellStyle name="40 % - Aksentti1 3 2 4 3" xfId="15480" xr:uid="{00000000-0005-0000-0000-0000461B0000}"/>
    <cellStyle name="40 % - Aksentti1 3 2 4_060617_hinnat" xfId="23434" xr:uid="{00000000-0005-0000-0000-0000471B0000}"/>
    <cellStyle name="40 % - Aksentti1 3 2 5" xfId="1961" xr:uid="{00000000-0005-0000-0000-0000481B0000}"/>
    <cellStyle name="40 % - Aksentti1 3 2 5 2" xfId="7284" xr:uid="{00000000-0005-0000-0000-0000491B0000}"/>
    <cellStyle name="40 % - Aksentti1 3 2 5 3" xfId="15481" xr:uid="{00000000-0005-0000-0000-00004A1B0000}"/>
    <cellStyle name="40 % - Aksentti1 3 2 5_060617_hinnat" xfId="23436" xr:uid="{00000000-0005-0000-0000-00004B1B0000}"/>
    <cellStyle name="40 % - Aksentti1 3 2 6" xfId="1962" xr:uid="{00000000-0005-0000-0000-00004C1B0000}"/>
    <cellStyle name="40 % - Aksentti1 3 2 6 2" xfId="7285" xr:uid="{00000000-0005-0000-0000-00004D1B0000}"/>
    <cellStyle name="40 % - Aksentti1 3 2 6 3" xfId="15482" xr:uid="{00000000-0005-0000-0000-00004E1B0000}"/>
    <cellStyle name="40 % - Aksentti1 3 2 6_060617_hinnat" xfId="23437" xr:uid="{00000000-0005-0000-0000-00004F1B0000}"/>
    <cellStyle name="40 % - Aksentti1 3 2 7" xfId="1963" xr:uid="{00000000-0005-0000-0000-0000501B0000}"/>
    <cellStyle name="40 % - Aksentti1 3 2 7 2" xfId="7286" xr:uid="{00000000-0005-0000-0000-0000511B0000}"/>
    <cellStyle name="40 % - Aksentti1 3 2 7 3" xfId="15483" xr:uid="{00000000-0005-0000-0000-0000521B0000}"/>
    <cellStyle name="40 % - Aksentti1 3 2 7_060617_hinnat" xfId="23438" xr:uid="{00000000-0005-0000-0000-0000531B0000}"/>
    <cellStyle name="40 % - Aksentti1 3 2 8" xfId="1964" xr:uid="{00000000-0005-0000-0000-0000541B0000}"/>
    <cellStyle name="40 % - Aksentti1 3 2 8 2" xfId="7287" xr:uid="{00000000-0005-0000-0000-0000551B0000}"/>
    <cellStyle name="40 % - Aksentti1 3 2 8 3" xfId="15484" xr:uid="{00000000-0005-0000-0000-0000561B0000}"/>
    <cellStyle name="40 % - Aksentti1 3 2 8_060617_hinnat" xfId="23439" xr:uid="{00000000-0005-0000-0000-0000571B0000}"/>
    <cellStyle name="40 % - Aksentti1 3 2 9" xfId="1965" xr:uid="{00000000-0005-0000-0000-0000581B0000}"/>
    <cellStyle name="40 % - Aksentti1 3 2 9 2" xfId="7288" xr:uid="{00000000-0005-0000-0000-0000591B0000}"/>
    <cellStyle name="40 % - Aksentti1 3 2 9 3" xfId="15485" xr:uid="{00000000-0005-0000-0000-00005A1B0000}"/>
    <cellStyle name="40 % - Aksentti1 3 2 9_060617_hinnat" xfId="23440" xr:uid="{00000000-0005-0000-0000-00005B1B0000}"/>
    <cellStyle name="40 % - Aksentti1 3 2_060617_hinnat" xfId="23441" xr:uid="{00000000-0005-0000-0000-00005C1B0000}"/>
    <cellStyle name="40 % - Aksentti1 3 3" xfId="1966" xr:uid="{00000000-0005-0000-0000-00005D1B0000}"/>
    <cellStyle name="40 % - Aksentti1 3 3 2" xfId="1967" xr:uid="{00000000-0005-0000-0000-00005E1B0000}"/>
    <cellStyle name="40 % - Aksentti1 3 3 2 2" xfId="1968" xr:uid="{00000000-0005-0000-0000-00005F1B0000}"/>
    <cellStyle name="40 % - Aksentti1 3 3 2 2 2" xfId="7291" xr:uid="{00000000-0005-0000-0000-0000601B0000}"/>
    <cellStyle name="40 % - Aksentti1 3 3 2 2 3" xfId="15488" xr:uid="{00000000-0005-0000-0000-0000611B0000}"/>
    <cellStyle name="40 % - Aksentti1 3 3 2 2_060617_hinnat" xfId="23442" xr:uid="{00000000-0005-0000-0000-0000621B0000}"/>
    <cellStyle name="40 % - Aksentti1 3 3 2 3" xfId="7290" xr:uid="{00000000-0005-0000-0000-0000631B0000}"/>
    <cellStyle name="40 % - Aksentti1 3 3 2 4" xfId="15487" xr:uid="{00000000-0005-0000-0000-0000641B0000}"/>
    <cellStyle name="40 % - Aksentti1 3 3 2_060617_hinnat" xfId="23443" xr:uid="{00000000-0005-0000-0000-0000651B0000}"/>
    <cellStyle name="40 % - Aksentti1 3 3 3" xfId="1969" xr:uid="{00000000-0005-0000-0000-0000661B0000}"/>
    <cellStyle name="40 % - Aksentti1 3 3 3 2" xfId="7292" xr:uid="{00000000-0005-0000-0000-0000671B0000}"/>
    <cellStyle name="40 % - Aksentti1 3 3 3 3" xfId="15489" xr:uid="{00000000-0005-0000-0000-0000681B0000}"/>
    <cellStyle name="40 % - Aksentti1 3 3 3_060617_hinnat" xfId="23444" xr:uid="{00000000-0005-0000-0000-0000691B0000}"/>
    <cellStyle name="40 % - Aksentti1 3 3 4" xfId="7289" xr:uid="{00000000-0005-0000-0000-00006A1B0000}"/>
    <cellStyle name="40 % - Aksentti1 3 3 5" xfId="15486" xr:uid="{00000000-0005-0000-0000-00006B1B0000}"/>
    <cellStyle name="40 % - Aksentti1 3 3_060617_hinnat" xfId="23445" xr:uid="{00000000-0005-0000-0000-00006C1B0000}"/>
    <cellStyle name="40 % - Aksentti1 3 4" xfId="1970" xr:uid="{00000000-0005-0000-0000-00006D1B0000}"/>
    <cellStyle name="40 % - Aksentti1 3 4 2" xfId="1971" xr:uid="{00000000-0005-0000-0000-00006E1B0000}"/>
    <cellStyle name="40 % - Aksentti1 3 4 2 2" xfId="1972" xr:uid="{00000000-0005-0000-0000-00006F1B0000}"/>
    <cellStyle name="40 % - Aksentti1 3 4 2 2 2" xfId="7295" xr:uid="{00000000-0005-0000-0000-0000701B0000}"/>
    <cellStyle name="40 % - Aksentti1 3 4 2 2 3" xfId="15492" xr:uid="{00000000-0005-0000-0000-0000711B0000}"/>
    <cellStyle name="40 % - Aksentti1 3 4 2 2_060617_hinnat" xfId="23446" xr:uid="{00000000-0005-0000-0000-0000721B0000}"/>
    <cellStyle name="40 % - Aksentti1 3 4 2 3" xfId="7294" xr:uid="{00000000-0005-0000-0000-0000731B0000}"/>
    <cellStyle name="40 % - Aksentti1 3 4 2 4" xfId="15491" xr:uid="{00000000-0005-0000-0000-0000741B0000}"/>
    <cellStyle name="40 % - Aksentti1 3 4 2_060617_hinnat" xfId="23447" xr:uid="{00000000-0005-0000-0000-0000751B0000}"/>
    <cellStyle name="40 % - Aksentti1 3 4 3" xfId="1973" xr:uid="{00000000-0005-0000-0000-0000761B0000}"/>
    <cellStyle name="40 % - Aksentti1 3 4 3 2" xfId="7296" xr:uid="{00000000-0005-0000-0000-0000771B0000}"/>
    <cellStyle name="40 % - Aksentti1 3 4 3 3" xfId="15493" xr:uid="{00000000-0005-0000-0000-0000781B0000}"/>
    <cellStyle name="40 % - Aksentti1 3 4 3_060617_hinnat" xfId="23448" xr:uid="{00000000-0005-0000-0000-0000791B0000}"/>
    <cellStyle name="40 % - Aksentti1 3 4 4" xfId="7293" xr:uid="{00000000-0005-0000-0000-00007A1B0000}"/>
    <cellStyle name="40 % - Aksentti1 3 4 5" xfId="15490" xr:uid="{00000000-0005-0000-0000-00007B1B0000}"/>
    <cellStyle name="40 % - Aksentti1 3 4_060617_hinnat" xfId="23449" xr:uid="{00000000-0005-0000-0000-00007C1B0000}"/>
    <cellStyle name="40 % - Aksentti1 3 5" xfId="1974" xr:uid="{00000000-0005-0000-0000-00007D1B0000}"/>
    <cellStyle name="40 % - Aksentti1 3 5 2" xfId="1975" xr:uid="{00000000-0005-0000-0000-00007E1B0000}"/>
    <cellStyle name="40 % - Aksentti1 3 5 2 2" xfId="7298" xr:uid="{00000000-0005-0000-0000-00007F1B0000}"/>
    <cellStyle name="40 % - Aksentti1 3 5 2 3" xfId="15495" xr:uid="{00000000-0005-0000-0000-0000801B0000}"/>
    <cellStyle name="40 % - Aksentti1 3 5 2_060617_hinnat" xfId="23450" xr:uid="{00000000-0005-0000-0000-0000811B0000}"/>
    <cellStyle name="40 % - Aksentti1 3 5 3" xfId="7297" xr:uid="{00000000-0005-0000-0000-0000821B0000}"/>
    <cellStyle name="40 % - Aksentti1 3 5 4" xfId="15494" xr:uid="{00000000-0005-0000-0000-0000831B0000}"/>
    <cellStyle name="40 % - Aksentti1 3 5_060617_hinnat" xfId="23451" xr:uid="{00000000-0005-0000-0000-0000841B0000}"/>
    <cellStyle name="40 % - Aksentti1 3 6" xfId="1976" xr:uid="{00000000-0005-0000-0000-0000851B0000}"/>
    <cellStyle name="40 % - Aksentti1 3 6 2" xfId="7299" xr:uid="{00000000-0005-0000-0000-0000861B0000}"/>
    <cellStyle name="40 % - Aksentti1 3 6 3" xfId="15496" xr:uid="{00000000-0005-0000-0000-0000871B0000}"/>
    <cellStyle name="40 % - Aksentti1 3 6_060617_hinnat" xfId="23452" xr:uid="{00000000-0005-0000-0000-0000881B0000}"/>
    <cellStyle name="40 % - Aksentti1 3 7" xfId="1977" xr:uid="{00000000-0005-0000-0000-0000891B0000}"/>
    <cellStyle name="40 % - Aksentti1 3 7 2" xfId="7300" xr:uid="{00000000-0005-0000-0000-00008A1B0000}"/>
    <cellStyle name="40 % - Aksentti1 3 7 3" xfId="15497" xr:uid="{00000000-0005-0000-0000-00008B1B0000}"/>
    <cellStyle name="40 % - Aksentti1 3 7_060617_hinnat" xfId="23453" xr:uid="{00000000-0005-0000-0000-00008C1B0000}"/>
    <cellStyle name="40 % - Aksentti1 3 8" xfId="1978" xr:uid="{00000000-0005-0000-0000-00008D1B0000}"/>
    <cellStyle name="40 % - Aksentti1 3 8 2" xfId="7301" xr:uid="{00000000-0005-0000-0000-00008E1B0000}"/>
    <cellStyle name="40 % - Aksentti1 3 8 3" xfId="15498" xr:uid="{00000000-0005-0000-0000-00008F1B0000}"/>
    <cellStyle name="40 % - Aksentti1 3 8_060617_hinnat" xfId="23454" xr:uid="{00000000-0005-0000-0000-0000901B0000}"/>
    <cellStyle name="40 % - Aksentti1 3 9" xfId="1979" xr:uid="{00000000-0005-0000-0000-0000911B0000}"/>
    <cellStyle name="40 % - Aksentti1 3 9 2" xfId="7302" xr:uid="{00000000-0005-0000-0000-0000921B0000}"/>
    <cellStyle name="40 % - Aksentti1 3 9 3" xfId="15499" xr:uid="{00000000-0005-0000-0000-0000931B0000}"/>
    <cellStyle name="40 % - Aksentti1 3 9_060617_hinnat" xfId="23455" xr:uid="{00000000-0005-0000-0000-0000941B0000}"/>
    <cellStyle name="40 % - Aksentti1 3_060617_hinnat" xfId="23456" xr:uid="{00000000-0005-0000-0000-0000951B0000}"/>
    <cellStyle name="40 % - Aksentti1 30" xfId="13084" xr:uid="{00000000-0005-0000-0000-0000961B0000}"/>
    <cellStyle name="40 % - Aksentti1 31" xfId="13196" xr:uid="{00000000-0005-0000-0000-0000971B0000}"/>
    <cellStyle name="40 % - Aksentti1 32" xfId="13250" xr:uid="{00000000-0005-0000-0000-0000981B0000}"/>
    <cellStyle name="40 % - Aksentti1 33" xfId="13173" xr:uid="{00000000-0005-0000-0000-0000991B0000}"/>
    <cellStyle name="40 % - Aksentti1 34" xfId="13893" xr:uid="{00000000-0005-0000-0000-00009A1B0000}"/>
    <cellStyle name="40 % - Aksentti1 35" xfId="13842" xr:uid="{00000000-0005-0000-0000-00009B1B0000}"/>
    <cellStyle name="40 % - Aksentti1 36" xfId="26375" xr:uid="{00000000-0005-0000-0000-00009C1B0000}"/>
    <cellStyle name="40 % - Aksentti1 37" xfId="26382" xr:uid="{00000000-0005-0000-0000-00009D1B0000}"/>
    <cellStyle name="40 % - Aksentti1 38" xfId="25911" xr:uid="{00000000-0005-0000-0000-00009E1B0000}"/>
    <cellStyle name="40 % - Aksentti1 39" xfId="26699" xr:uid="{00000000-0005-0000-0000-00009F1B0000}"/>
    <cellStyle name="40 % - Aksentti1 4" xfId="1980" xr:uid="{00000000-0005-0000-0000-0000A01B0000}"/>
    <cellStyle name="40 % - Aksentti1 4 10" xfId="1981" xr:uid="{00000000-0005-0000-0000-0000A11B0000}"/>
    <cellStyle name="40 % - Aksentti1 4 10 2" xfId="7304" xr:uid="{00000000-0005-0000-0000-0000A21B0000}"/>
    <cellStyle name="40 % - Aksentti1 4 10 3" xfId="15501" xr:uid="{00000000-0005-0000-0000-0000A31B0000}"/>
    <cellStyle name="40 % - Aksentti1 4 10_060617_hinnat" xfId="23457" xr:uid="{00000000-0005-0000-0000-0000A41B0000}"/>
    <cellStyle name="40 % - Aksentti1 4 11" xfId="5500" xr:uid="{00000000-0005-0000-0000-0000A51B0000}"/>
    <cellStyle name="40 % - Aksentti1 4 12" xfId="15500" xr:uid="{00000000-0005-0000-0000-0000A61B0000}"/>
    <cellStyle name="40 % - Aksentti1 4 2" xfId="1982" xr:uid="{00000000-0005-0000-0000-0000A71B0000}"/>
    <cellStyle name="40 % - Aksentti1 4 2 2" xfId="1983" xr:uid="{00000000-0005-0000-0000-0000A81B0000}"/>
    <cellStyle name="40 % - Aksentti1 4 2 2 2" xfId="1984" xr:uid="{00000000-0005-0000-0000-0000A91B0000}"/>
    <cellStyle name="40 % - Aksentti1 4 2 2 2 2" xfId="7307" xr:uid="{00000000-0005-0000-0000-0000AA1B0000}"/>
    <cellStyle name="40 % - Aksentti1 4 2 2 2 3" xfId="15504" xr:uid="{00000000-0005-0000-0000-0000AB1B0000}"/>
    <cellStyle name="40 % - Aksentti1 4 2 2 2_060617_hinnat" xfId="23458" xr:uid="{00000000-0005-0000-0000-0000AC1B0000}"/>
    <cellStyle name="40 % - Aksentti1 4 2 2 3" xfId="7306" xr:uid="{00000000-0005-0000-0000-0000AD1B0000}"/>
    <cellStyle name="40 % - Aksentti1 4 2 2 4" xfId="15503" xr:uid="{00000000-0005-0000-0000-0000AE1B0000}"/>
    <cellStyle name="40 % - Aksentti1 4 2 2_060617_hinnat" xfId="23459" xr:uid="{00000000-0005-0000-0000-0000AF1B0000}"/>
    <cellStyle name="40 % - Aksentti1 4 2 3" xfId="1985" xr:uid="{00000000-0005-0000-0000-0000B01B0000}"/>
    <cellStyle name="40 % - Aksentti1 4 2 3 2" xfId="7308" xr:uid="{00000000-0005-0000-0000-0000B11B0000}"/>
    <cellStyle name="40 % - Aksentti1 4 2 3 3" xfId="15505" xr:uid="{00000000-0005-0000-0000-0000B21B0000}"/>
    <cellStyle name="40 % - Aksentti1 4 2 3_060617_hinnat" xfId="23460" xr:uid="{00000000-0005-0000-0000-0000B31B0000}"/>
    <cellStyle name="40 % - Aksentti1 4 2 4" xfId="7305" xr:uid="{00000000-0005-0000-0000-0000B41B0000}"/>
    <cellStyle name="40 % - Aksentti1 4 2 5" xfId="15502" xr:uid="{00000000-0005-0000-0000-0000B51B0000}"/>
    <cellStyle name="40 % - Aksentti1 4 2_060617_hinnat" xfId="23461" xr:uid="{00000000-0005-0000-0000-0000B61B0000}"/>
    <cellStyle name="40 % - Aksentti1 4 3" xfId="1986" xr:uid="{00000000-0005-0000-0000-0000B71B0000}"/>
    <cellStyle name="40 % - Aksentti1 4 3 2" xfId="1987" xr:uid="{00000000-0005-0000-0000-0000B81B0000}"/>
    <cellStyle name="40 % - Aksentti1 4 3 2 2" xfId="7310" xr:uid="{00000000-0005-0000-0000-0000B91B0000}"/>
    <cellStyle name="40 % - Aksentti1 4 3 2 3" xfId="15507" xr:uid="{00000000-0005-0000-0000-0000BA1B0000}"/>
    <cellStyle name="40 % - Aksentti1 4 3 2_060617_hinnat" xfId="23462" xr:uid="{00000000-0005-0000-0000-0000BB1B0000}"/>
    <cellStyle name="40 % - Aksentti1 4 3 3" xfId="7309" xr:uid="{00000000-0005-0000-0000-0000BC1B0000}"/>
    <cellStyle name="40 % - Aksentti1 4 3 4" xfId="15506" xr:uid="{00000000-0005-0000-0000-0000BD1B0000}"/>
    <cellStyle name="40 % - Aksentti1 4 3_060617_hinnat" xfId="23463" xr:uid="{00000000-0005-0000-0000-0000BE1B0000}"/>
    <cellStyle name="40 % - Aksentti1 4 4" xfId="1988" xr:uid="{00000000-0005-0000-0000-0000BF1B0000}"/>
    <cellStyle name="40 % - Aksentti1 4 4 2" xfId="7311" xr:uid="{00000000-0005-0000-0000-0000C01B0000}"/>
    <cellStyle name="40 % - Aksentti1 4 4 3" xfId="15508" xr:uid="{00000000-0005-0000-0000-0000C11B0000}"/>
    <cellStyle name="40 % - Aksentti1 4 4_060617_hinnat" xfId="23464" xr:uid="{00000000-0005-0000-0000-0000C21B0000}"/>
    <cellStyle name="40 % - Aksentti1 4 5" xfId="1989" xr:uid="{00000000-0005-0000-0000-0000C31B0000}"/>
    <cellStyle name="40 % - Aksentti1 4 5 2" xfId="7312" xr:uid="{00000000-0005-0000-0000-0000C41B0000}"/>
    <cellStyle name="40 % - Aksentti1 4 5 3" xfId="15509" xr:uid="{00000000-0005-0000-0000-0000C51B0000}"/>
    <cellStyle name="40 % - Aksentti1 4 5_060617_hinnat" xfId="23465" xr:uid="{00000000-0005-0000-0000-0000C61B0000}"/>
    <cellStyle name="40 % - Aksentti1 4 6" xfId="1990" xr:uid="{00000000-0005-0000-0000-0000C71B0000}"/>
    <cellStyle name="40 % - Aksentti1 4 6 2" xfId="7313" xr:uid="{00000000-0005-0000-0000-0000C81B0000}"/>
    <cellStyle name="40 % - Aksentti1 4 6 3" xfId="15510" xr:uid="{00000000-0005-0000-0000-0000C91B0000}"/>
    <cellStyle name="40 % - Aksentti1 4 6_060617_hinnat" xfId="23466" xr:uid="{00000000-0005-0000-0000-0000CA1B0000}"/>
    <cellStyle name="40 % - Aksentti1 4 7" xfId="1991" xr:uid="{00000000-0005-0000-0000-0000CB1B0000}"/>
    <cellStyle name="40 % - Aksentti1 4 7 2" xfId="7314" xr:uid="{00000000-0005-0000-0000-0000CC1B0000}"/>
    <cellStyle name="40 % - Aksentti1 4 7 3" xfId="15511" xr:uid="{00000000-0005-0000-0000-0000CD1B0000}"/>
    <cellStyle name="40 % - Aksentti1 4 7_060617_hinnat" xfId="23467" xr:uid="{00000000-0005-0000-0000-0000CE1B0000}"/>
    <cellStyle name="40 % - Aksentti1 4 8" xfId="1992" xr:uid="{00000000-0005-0000-0000-0000CF1B0000}"/>
    <cellStyle name="40 % - Aksentti1 4 8 2" xfId="7315" xr:uid="{00000000-0005-0000-0000-0000D01B0000}"/>
    <cellStyle name="40 % - Aksentti1 4 8 3" xfId="15512" xr:uid="{00000000-0005-0000-0000-0000D11B0000}"/>
    <cellStyle name="40 % - Aksentti1 4 8_060617_hinnat" xfId="23468" xr:uid="{00000000-0005-0000-0000-0000D21B0000}"/>
    <cellStyle name="40 % - Aksentti1 4 9" xfId="1993" xr:uid="{00000000-0005-0000-0000-0000D31B0000}"/>
    <cellStyle name="40 % - Aksentti1 4 9 2" xfId="7316" xr:uid="{00000000-0005-0000-0000-0000D41B0000}"/>
    <cellStyle name="40 % - Aksentti1 4 9 3" xfId="15513" xr:uid="{00000000-0005-0000-0000-0000D51B0000}"/>
    <cellStyle name="40 % - Aksentti1 4 9_060617_hinnat" xfId="23469" xr:uid="{00000000-0005-0000-0000-0000D61B0000}"/>
    <cellStyle name="40 % - Aksentti1 4_##Keskeiset" xfId="7303" xr:uid="{00000000-0005-0000-0000-0000D71B0000}"/>
    <cellStyle name="40 % - Aksentti1 40" xfId="25593" xr:uid="{00000000-0005-0000-0000-0000D81B0000}"/>
    <cellStyle name="40 % - Aksentti1 41" xfId="26529" xr:uid="{00000000-0005-0000-0000-0000D91B0000}"/>
    <cellStyle name="40 % - Aksentti1 42" xfId="25799" xr:uid="{00000000-0005-0000-0000-0000DA1B0000}"/>
    <cellStyle name="40 % - Aksentti1 43" xfId="25545" xr:uid="{00000000-0005-0000-0000-0000DB1B0000}"/>
    <cellStyle name="40 % - Aksentti1 44" xfId="25880" xr:uid="{00000000-0005-0000-0000-0000DC1B0000}"/>
    <cellStyle name="40 % - Aksentti1 5" xfId="1994" xr:uid="{00000000-0005-0000-0000-0000DD1B0000}"/>
    <cellStyle name="40 % - Aksentti1 5 10" xfId="1995" xr:uid="{00000000-0005-0000-0000-0000DE1B0000}"/>
    <cellStyle name="40 % - Aksentti1 5 10 2" xfId="7318" xr:uid="{00000000-0005-0000-0000-0000DF1B0000}"/>
    <cellStyle name="40 % - Aksentti1 5 10 3" xfId="15515" xr:uid="{00000000-0005-0000-0000-0000E01B0000}"/>
    <cellStyle name="40 % - Aksentti1 5 10_060617_hinnat" xfId="23470" xr:uid="{00000000-0005-0000-0000-0000E11B0000}"/>
    <cellStyle name="40 % - Aksentti1 5 11" xfId="7317" xr:uid="{00000000-0005-0000-0000-0000E21B0000}"/>
    <cellStyle name="40 % - Aksentti1 5 12" xfId="15514" xr:uid="{00000000-0005-0000-0000-0000E31B0000}"/>
    <cellStyle name="40 % - Aksentti1 5 2" xfId="1996" xr:uid="{00000000-0005-0000-0000-0000E41B0000}"/>
    <cellStyle name="40 % - Aksentti1 5 2 2" xfId="1997" xr:uid="{00000000-0005-0000-0000-0000E51B0000}"/>
    <cellStyle name="40 % - Aksentti1 5 2 2 2" xfId="1998" xr:uid="{00000000-0005-0000-0000-0000E61B0000}"/>
    <cellStyle name="40 % - Aksentti1 5 2 2 2 2" xfId="7321" xr:uid="{00000000-0005-0000-0000-0000E71B0000}"/>
    <cellStyle name="40 % - Aksentti1 5 2 2 2 3" xfId="15518" xr:uid="{00000000-0005-0000-0000-0000E81B0000}"/>
    <cellStyle name="40 % - Aksentti1 5 2 2 2_060617_hinnat" xfId="23471" xr:uid="{00000000-0005-0000-0000-0000E91B0000}"/>
    <cellStyle name="40 % - Aksentti1 5 2 2 3" xfId="7320" xr:uid="{00000000-0005-0000-0000-0000EA1B0000}"/>
    <cellStyle name="40 % - Aksentti1 5 2 2 4" xfId="15517" xr:uid="{00000000-0005-0000-0000-0000EB1B0000}"/>
    <cellStyle name="40 % - Aksentti1 5 2 2_060617_hinnat" xfId="23472" xr:uid="{00000000-0005-0000-0000-0000EC1B0000}"/>
    <cellStyle name="40 % - Aksentti1 5 2 3" xfId="1999" xr:uid="{00000000-0005-0000-0000-0000ED1B0000}"/>
    <cellStyle name="40 % - Aksentti1 5 2 3 2" xfId="7322" xr:uid="{00000000-0005-0000-0000-0000EE1B0000}"/>
    <cellStyle name="40 % - Aksentti1 5 2 3 3" xfId="15519" xr:uid="{00000000-0005-0000-0000-0000EF1B0000}"/>
    <cellStyle name="40 % - Aksentti1 5 2 3_060617_hinnat" xfId="23473" xr:uid="{00000000-0005-0000-0000-0000F01B0000}"/>
    <cellStyle name="40 % - Aksentti1 5 2 4" xfId="7319" xr:uid="{00000000-0005-0000-0000-0000F11B0000}"/>
    <cellStyle name="40 % - Aksentti1 5 2 5" xfId="15516" xr:uid="{00000000-0005-0000-0000-0000F21B0000}"/>
    <cellStyle name="40 % - Aksentti1 5 2_060617_hinnat" xfId="23474" xr:uid="{00000000-0005-0000-0000-0000F31B0000}"/>
    <cellStyle name="40 % - Aksentti1 5 3" xfId="2000" xr:uid="{00000000-0005-0000-0000-0000F41B0000}"/>
    <cellStyle name="40 % - Aksentti1 5 3 2" xfId="2001" xr:uid="{00000000-0005-0000-0000-0000F51B0000}"/>
    <cellStyle name="40 % - Aksentti1 5 3 2 2" xfId="7324" xr:uid="{00000000-0005-0000-0000-0000F61B0000}"/>
    <cellStyle name="40 % - Aksentti1 5 3 2 3" xfId="15521" xr:uid="{00000000-0005-0000-0000-0000F71B0000}"/>
    <cellStyle name="40 % - Aksentti1 5 3 2_060617_hinnat" xfId="23475" xr:uid="{00000000-0005-0000-0000-0000F81B0000}"/>
    <cellStyle name="40 % - Aksentti1 5 3 3" xfId="7323" xr:uid="{00000000-0005-0000-0000-0000F91B0000}"/>
    <cellStyle name="40 % - Aksentti1 5 3 4" xfId="15520" xr:uid="{00000000-0005-0000-0000-0000FA1B0000}"/>
    <cellStyle name="40 % - Aksentti1 5 3_060617_hinnat" xfId="23476" xr:uid="{00000000-0005-0000-0000-0000FB1B0000}"/>
    <cellStyle name="40 % - Aksentti1 5 4" xfId="2002" xr:uid="{00000000-0005-0000-0000-0000FC1B0000}"/>
    <cellStyle name="40 % - Aksentti1 5 4 2" xfId="7325" xr:uid="{00000000-0005-0000-0000-0000FD1B0000}"/>
    <cellStyle name="40 % - Aksentti1 5 4 3" xfId="15522" xr:uid="{00000000-0005-0000-0000-0000FE1B0000}"/>
    <cellStyle name="40 % - Aksentti1 5 4_060617_hinnat" xfId="23477" xr:uid="{00000000-0005-0000-0000-0000FF1B0000}"/>
    <cellStyle name="40 % - Aksentti1 5 5" xfId="2003" xr:uid="{00000000-0005-0000-0000-0000001C0000}"/>
    <cellStyle name="40 % - Aksentti1 5 5 2" xfId="7326" xr:uid="{00000000-0005-0000-0000-0000011C0000}"/>
    <cellStyle name="40 % - Aksentti1 5 5 3" xfId="15523" xr:uid="{00000000-0005-0000-0000-0000021C0000}"/>
    <cellStyle name="40 % - Aksentti1 5 5_060617_hinnat" xfId="23478" xr:uid="{00000000-0005-0000-0000-0000031C0000}"/>
    <cellStyle name="40 % - Aksentti1 5 6" xfId="2004" xr:uid="{00000000-0005-0000-0000-0000041C0000}"/>
    <cellStyle name="40 % - Aksentti1 5 6 2" xfId="7327" xr:uid="{00000000-0005-0000-0000-0000051C0000}"/>
    <cellStyle name="40 % - Aksentti1 5 6 3" xfId="15524" xr:uid="{00000000-0005-0000-0000-0000061C0000}"/>
    <cellStyle name="40 % - Aksentti1 5 6_060617_hinnat" xfId="23479" xr:uid="{00000000-0005-0000-0000-0000071C0000}"/>
    <cellStyle name="40 % - Aksentti1 5 7" xfId="2005" xr:uid="{00000000-0005-0000-0000-0000081C0000}"/>
    <cellStyle name="40 % - Aksentti1 5 7 2" xfId="7328" xr:uid="{00000000-0005-0000-0000-0000091C0000}"/>
    <cellStyle name="40 % - Aksentti1 5 7 3" xfId="15525" xr:uid="{00000000-0005-0000-0000-00000A1C0000}"/>
    <cellStyle name="40 % - Aksentti1 5 7_060617_hinnat" xfId="23480" xr:uid="{00000000-0005-0000-0000-00000B1C0000}"/>
    <cellStyle name="40 % - Aksentti1 5 8" xfId="2006" xr:uid="{00000000-0005-0000-0000-00000C1C0000}"/>
    <cellStyle name="40 % - Aksentti1 5 8 2" xfId="7329" xr:uid="{00000000-0005-0000-0000-00000D1C0000}"/>
    <cellStyle name="40 % - Aksentti1 5 8 3" xfId="15526" xr:uid="{00000000-0005-0000-0000-00000E1C0000}"/>
    <cellStyle name="40 % - Aksentti1 5 8_060617_hinnat" xfId="23481" xr:uid="{00000000-0005-0000-0000-00000F1C0000}"/>
    <cellStyle name="40 % - Aksentti1 5 9" xfId="2007" xr:uid="{00000000-0005-0000-0000-0000101C0000}"/>
    <cellStyle name="40 % - Aksentti1 5 9 2" xfId="7330" xr:uid="{00000000-0005-0000-0000-0000111C0000}"/>
    <cellStyle name="40 % - Aksentti1 5 9 3" xfId="15527" xr:uid="{00000000-0005-0000-0000-0000121C0000}"/>
    <cellStyle name="40 % - Aksentti1 5 9_060617_hinnat" xfId="23482" xr:uid="{00000000-0005-0000-0000-0000131C0000}"/>
    <cellStyle name="40 % - Aksentti1 5_060617_hinnat" xfId="23483" xr:uid="{00000000-0005-0000-0000-0000141C0000}"/>
    <cellStyle name="40 % - Aksentti1 6" xfId="2008" xr:uid="{00000000-0005-0000-0000-0000151C0000}"/>
    <cellStyle name="40 % - Aksentti1 6 10" xfId="2009" xr:uid="{00000000-0005-0000-0000-0000161C0000}"/>
    <cellStyle name="40 % - Aksentti1 6 10 2" xfId="7332" xr:uid="{00000000-0005-0000-0000-0000171C0000}"/>
    <cellStyle name="40 % - Aksentti1 6 10 3" xfId="15529" xr:uid="{00000000-0005-0000-0000-0000181C0000}"/>
    <cellStyle name="40 % - Aksentti1 6 10_060617_hinnat" xfId="23484" xr:uid="{00000000-0005-0000-0000-0000191C0000}"/>
    <cellStyle name="40 % - Aksentti1 6 11" xfId="7331" xr:uid="{00000000-0005-0000-0000-00001A1C0000}"/>
    <cellStyle name="40 % - Aksentti1 6 12" xfId="15528" xr:uid="{00000000-0005-0000-0000-00001B1C0000}"/>
    <cellStyle name="40 % - Aksentti1 6 2" xfId="2010" xr:uid="{00000000-0005-0000-0000-00001C1C0000}"/>
    <cellStyle name="40 % - Aksentti1 6 2 2" xfId="2011" xr:uid="{00000000-0005-0000-0000-00001D1C0000}"/>
    <cellStyle name="40 % - Aksentti1 6 2 2 2" xfId="2012" xr:uid="{00000000-0005-0000-0000-00001E1C0000}"/>
    <cellStyle name="40 % - Aksentti1 6 2 2 2 2" xfId="7335" xr:uid="{00000000-0005-0000-0000-00001F1C0000}"/>
    <cellStyle name="40 % - Aksentti1 6 2 2 2 3" xfId="15532" xr:uid="{00000000-0005-0000-0000-0000201C0000}"/>
    <cellStyle name="40 % - Aksentti1 6 2 2 2_060617_hinnat" xfId="23485" xr:uid="{00000000-0005-0000-0000-0000211C0000}"/>
    <cellStyle name="40 % - Aksentti1 6 2 2 3" xfId="7334" xr:uid="{00000000-0005-0000-0000-0000221C0000}"/>
    <cellStyle name="40 % - Aksentti1 6 2 2 4" xfId="15531" xr:uid="{00000000-0005-0000-0000-0000231C0000}"/>
    <cellStyle name="40 % - Aksentti1 6 2 2_060617_hinnat" xfId="23486" xr:uid="{00000000-0005-0000-0000-0000241C0000}"/>
    <cellStyle name="40 % - Aksentti1 6 2 3" xfId="2013" xr:uid="{00000000-0005-0000-0000-0000251C0000}"/>
    <cellStyle name="40 % - Aksentti1 6 2 3 2" xfId="7336" xr:uid="{00000000-0005-0000-0000-0000261C0000}"/>
    <cellStyle name="40 % - Aksentti1 6 2 3 3" xfId="15533" xr:uid="{00000000-0005-0000-0000-0000271C0000}"/>
    <cellStyle name="40 % - Aksentti1 6 2 3_060617_hinnat" xfId="23487" xr:uid="{00000000-0005-0000-0000-0000281C0000}"/>
    <cellStyle name="40 % - Aksentti1 6 2 4" xfId="7333" xr:uid="{00000000-0005-0000-0000-0000291C0000}"/>
    <cellStyle name="40 % - Aksentti1 6 2 5" xfId="15530" xr:uid="{00000000-0005-0000-0000-00002A1C0000}"/>
    <cellStyle name="40 % - Aksentti1 6 2_060617_hinnat" xfId="23488" xr:uid="{00000000-0005-0000-0000-00002B1C0000}"/>
    <cellStyle name="40 % - Aksentti1 6 3" xfId="2014" xr:uid="{00000000-0005-0000-0000-00002C1C0000}"/>
    <cellStyle name="40 % - Aksentti1 6 3 2" xfId="2015" xr:uid="{00000000-0005-0000-0000-00002D1C0000}"/>
    <cellStyle name="40 % - Aksentti1 6 3 2 2" xfId="7338" xr:uid="{00000000-0005-0000-0000-00002E1C0000}"/>
    <cellStyle name="40 % - Aksentti1 6 3 2 3" xfId="15535" xr:uid="{00000000-0005-0000-0000-00002F1C0000}"/>
    <cellStyle name="40 % - Aksentti1 6 3 2_060617_hinnat" xfId="23489" xr:uid="{00000000-0005-0000-0000-0000301C0000}"/>
    <cellStyle name="40 % - Aksentti1 6 3 3" xfId="7337" xr:uid="{00000000-0005-0000-0000-0000311C0000}"/>
    <cellStyle name="40 % - Aksentti1 6 3 4" xfId="15534" xr:uid="{00000000-0005-0000-0000-0000321C0000}"/>
    <cellStyle name="40 % - Aksentti1 6 3_060617_hinnat" xfId="23490" xr:uid="{00000000-0005-0000-0000-0000331C0000}"/>
    <cellStyle name="40 % - Aksentti1 6 4" xfId="2016" xr:uid="{00000000-0005-0000-0000-0000341C0000}"/>
    <cellStyle name="40 % - Aksentti1 6 4 2" xfId="7339" xr:uid="{00000000-0005-0000-0000-0000351C0000}"/>
    <cellStyle name="40 % - Aksentti1 6 4 3" xfId="15536" xr:uid="{00000000-0005-0000-0000-0000361C0000}"/>
    <cellStyle name="40 % - Aksentti1 6 4_060617_hinnat" xfId="23491" xr:uid="{00000000-0005-0000-0000-0000371C0000}"/>
    <cellStyle name="40 % - Aksentti1 6 5" xfId="2017" xr:uid="{00000000-0005-0000-0000-0000381C0000}"/>
    <cellStyle name="40 % - Aksentti1 6 5 2" xfId="7340" xr:uid="{00000000-0005-0000-0000-0000391C0000}"/>
    <cellStyle name="40 % - Aksentti1 6 5 3" xfId="15537" xr:uid="{00000000-0005-0000-0000-00003A1C0000}"/>
    <cellStyle name="40 % - Aksentti1 6 5_060617_hinnat" xfId="23492" xr:uid="{00000000-0005-0000-0000-00003B1C0000}"/>
    <cellStyle name="40 % - Aksentti1 6 6" xfId="2018" xr:uid="{00000000-0005-0000-0000-00003C1C0000}"/>
    <cellStyle name="40 % - Aksentti1 6 6 2" xfId="7341" xr:uid="{00000000-0005-0000-0000-00003D1C0000}"/>
    <cellStyle name="40 % - Aksentti1 6 6 3" xfId="15538" xr:uid="{00000000-0005-0000-0000-00003E1C0000}"/>
    <cellStyle name="40 % - Aksentti1 6 6_060617_hinnat" xfId="23493" xr:uid="{00000000-0005-0000-0000-00003F1C0000}"/>
    <cellStyle name="40 % - Aksentti1 6 7" xfId="2019" xr:uid="{00000000-0005-0000-0000-0000401C0000}"/>
    <cellStyle name="40 % - Aksentti1 6 7 2" xfId="7342" xr:uid="{00000000-0005-0000-0000-0000411C0000}"/>
    <cellStyle name="40 % - Aksentti1 6 7 3" xfId="15539" xr:uid="{00000000-0005-0000-0000-0000421C0000}"/>
    <cellStyle name="40 % - Aksentti1 6 7_060617_hinnat" xfId="23494" xr:uid="{00000000-0005-0000-0000-0000431C0000}"/>
    <cellStyle name="40 % - Aksentti1 6 8" xfId="2020" xr:uid="{00000000-0005-0000-0000-0000441C0000}"/>
    <cellStyle name="40 % - Aksentti1 6 8 2" xfId="7343" xr:uid="{00000000-0005-0000-0000-0000451C0000}"/>
    <cellStyle name="40 % - Aksentti1 6 8 3" xfId="15540" xr:uid="{00000000-0005-0000-0000-0000461C0000}"/>
    <cellStyle name="40 % - Aksentti1 6 8_060617_hinnat" xfId="23495" xr:uid="{00000000-0005-0000-0000-0000471C0000}"/>
    <cellStyle name="40 % - Aksentti1 6 9" xfId="2021" xr:uid="{00000000-0005-0000-0000-0000481C0000}"/>
    <cellStyle name="40 % - Aksentti1 6 9 2" xfId="7344" xr:uid="{00000000-0005-0000-0000-0000491C0000}"/>
    <cellStyle name="40 % - Aksentti1 6 9 3" xfId="15541" xr:uid="{00000000-0005-0000-0000-00004A1C0000}"/>
    <cellStyle name="40 % - Aksentti1 6 9_060617_hinnat" xfId="23496" xr:uid="{00000000-0005-0000-0000-00004B1C0000}"/>
    <cellStyle name="40 % - Aksentti1 6_060617_hinnat" xfId="23497" xr:uid="{00000000-0005-0000-0000-00004C1C0000}"/>
    <cellStyle name="40 % - Aksentti1 7" xfId="2022" xr:uid="{00000000-0005-0000-0000-00004D1C0000}"/>
    <cellStyle name="40 % - Aksentti1 7 10" xfId="2023" xr:uid="{00000000-0005-0000-0000-00004E1C0000}"/>
    <cellStyle name="40 % - Aksentti1 7 10 2" xfId="7346" xr:uid="{00000000-0005-0000-0000-00004F1C0000}"/>
    <cellStyle name="40 % - Aksentti1 7 10 3" xfId="15543" xr:uid="{00000000-0005-0000-0000-0000501C0000}"/>
    <cellStyle name="40 % - Aksentti1 7 10_060617_hinnat" xfId="23498" xr:uid="{00000000-0005-0000-0000-0000511C0000}"/>
    <cellStyle name="40 % - Aksentti1 7 11" xfId="7345" xr:uid="{00000000-0005-0000-0000-0000521C0000}"/>
    <cellStyle name="40 % - Aksentti1 7 12" xfId="15542" xr:uid="{00000000-0005-0000-0000-0000531C0000}"/>
    <cellStyle name="40 % - Aksentti1 7 2" xfId="2024" xr:uid="{00000000-0005-0000-0000-0000541C0000}"/>
    <cellStyle name="40 % - Aksentti1 7 2 2" xfId="2025" xr:uid="{00000000-0005-0000-0000-0000551C0000}"/>
    <cellStyle name="40 % - Aksentti1 7 2 2 2" xfId="2026" xr:uid="{00000000-0005-0000-0000-0000561C0000}"/>
    <cellStyle name="40 % - Aksentti1 7 2 2 2 2" xfId="7349" xr:uid="{00000000-0005-0000-0000-0000571C0000}"/>
    <cellStyle name="40 % - Aksentti1 7 2 2 2 3" xfId="15546" xr:uid="{00000000-0005-0000-0000-0000581C0000}"/>
    <cellStyle name="40 % - Aksentti1 7 2 2 2_060617_hinnat" xfId="23499" xr:uid="{00000000-0005-0000-0000-0000591C0000}"/>
    <cellStyle name="40 % - Aksentti1 7 2 2 3" xfId="7348" xr:uid="{00000000-0005-0000-0000-00005A1C0000}"/>
    <cellStyle name="40 % - Aksentti1 7 2 2 4" xfId="15545" xr:uid="{00000000-0005-0000-0000-00005B1C0000}"/>
    <cellStyle name="40 % - Aksentti1 7 2 2_060617_hinnat" xfId="23500" xr:uid="{00000000-0005-0000-0000-00005C1C0000}"/>
    <cellStyle name="40 % - Aksentti1 7 2 3" xfId="2027" xr:uid="{00000000-0005-0000-0000-00005D1C0000}"/>
    <cellStyle name="40 % - Aksentti1 7 2 3 2" xfId="7350" xr:uid="{00000000-0005-0000-0000-00005E1C0000}"/>
    <cellStyle name="40 % - Aksentti1 7 2 3 3" xfId="15547" xr:uid="{00000000-0005-0000-0000-00005F1C0000}"/>
    <cellStyle name="40 % - Aksentti1 7 2 3_060617_hinnat" xfId="23501" xr:uid="{00000000-0005-0000-0000-0000601C0000}"/>
    <cellStyle name="40 % - Aksentti1 7 2 4" xfId="7347" xr:uid="{00000000-0005-0000-0000-0000611C0000}"/>
    <cellStyle name="40 % - Aksentti1 7 2 5" xfId="15544" xr:uid="{00000000-0005-0000-0000-0000621C0000}"/>
    <cellStyle name="40 % - Aksentti1 7 2_060617_hinnat" xfId="23502" xr:uid="{00000000-0005-0000-0000-0000631C0000}"/>
    <cellStyle name="40 % - Aksentti1 7 3" xfId="2028" xr:uid="{00000000-0005-0000-0000-0000641C0000}"/>
    <cellStyle name="40 % - Aksentti1 7 3 2" xfId="2029" xr:uid="{00000000-0005-0000-0000-0000651C0000}"/>
    <cellStyle name="40 % - Aksentti1 7 3 2 2" xfId="7352" xr:uid="{00000000-0005-0000-0000-0000661C0000}"/>
    <cellStyle name="40 % - Aksentti1 7 3 2 3" xfId="15549" xr:uid="{00000000-0005-0000-0000-0000671C0000}"/>
    <cellStyle name="40 % - Aksentti1 7 3 2_060617_hinnat" xfId="23503" xr:uid="{00000000-0005-0000-0000-0000681C0000}"/>
    <cellStyle name="40 % - Aksentti1 7 3 3" xfId="7351" xr:uid="{00000000-0005-0000-0000-0000691C0000}"/>
    <cellStyle name="40 % - Aksentti1 7 3 4" xfId="15548" xr:uid="{00000000-0005-0000-0000-00006A1C0000}"/>
    <cellStyle name="40 % - Aksentti1 7 3_060617_hinnat" xfId="23504" xr:uid="{00000000-0005-0000-0000-00006B1C0000}"/>
    <cellStyle name="40 % - Aksentti1 7 4" xfId="2030" xr:uid="{00000000-0005-0000-0000-00006C1C0000}"/>
    <cellStyle name="40 % - Aksentti1 7 4 2" xfId="7353" xr:uid="{00000000-0005-0000-0000-00006D1C0000}"/>
    <cellStyle name="40 % - Aksentti1 7 4 3" xfId="15550" xr:uid="{00000000-0005-0000-0000-00006E1C0000}"/>
    <cellStyle name="40 % - Aksentti1 7 4_060617_hinnat" xfId="23505" xr:uid="{00000000-0005-0000-0000-00006F1C0000}"/>
    <cellStyle name="40 % - Aksentti1 7 5" xfId="2031" xr:uid="{00000000-0005-0000-0000-0000701C0000}"/>
    <cellStyle name="40 % - Aksentti1 7 5 2" xfId="7354" xr:uid="{00000000-0005-0000-0000-0000711C0000}"/>
    <cellStyle name="40 % - Aksentti1 7 5 3" xfId="15551" xr:uid="{00000000-0005-0000-0000-0000721C0000}"/>
    <cellStyle name="40 % - Aksentti1 7 5_060617_hinnat" xfId="23506" xr:uid="{00000000-0005-0000-0000-0000731C0000}"/>
    <cellStyle name="40 % - Aksentti1 7 6" xfId="2032" xr:uid="{00000000-0005-0000-0000-0000741C0000}"/>
    <cellStyle name="40 % - Aksentti1 7 6 2" xfId="7355" xr:uid="{00000000-0005-0000-0000-0000751C0000}"/>
    <cellStyle name="40 % - Aksentti1 7 6 3" xfId="15552" xr:uid="{00000000-0005-0000-0000-0000761C0000}"/>
    <cellStyle name="40 % - Aksentti1 7 6_060617_hinnat" xfId="23507" xr:uid="{00000000-0005-0000-0000-0000771C0000}"/>
    <cellStyle name="40 % - Aksentti1 7 7" xfId="2033" xr:uid="{00000000-0005-0000-0000-0000781C0000}"/>
    <cellStyle name="40 % - Aksentti1 7 7 2" xfId="7356" xr:uid="{00000000-0005-0000-0000-0000791C0000}"/>
    <cellStyle name="40 % - Aksentti1 7 7 3" xfId="15553" xr:uid="{00000000-0005-0000-0000-00007A1C0000}"/>
    <cellStyle name="40 % - Aksentti1 7 7_060617_hinnat" xfId="23509" xr:uid="{00000000-0005-0000-0000-00007B1C0000}"/>
    <cellStyle name="40 % - Aksentti1 7 8" xfId="2034" xr:uid="{00000000-0005-0000-0000-00007C1C0000}"/>
    <cellStyle name="40 % - Aksentti1 7 8 2" xfId="7357" xr:uid="{00000000-0005-0000-0000-00007D1C0000}"/>
    <cellStyle name="40 % - Aksentti1 7 8 3" xfId="15554" xr:uid="{00000000-0005-0000-0000-00007E1C0000}"/>
    <cellStyle name="40 % - Aksentti1 7 8_060617_hinnat" xfId="23510" xr:uid="{00000000-0005-0000-0000-00007F1C0000}"/>
    <cellStyle name="40 % - Aksentti1 7 9" xfId="2035" xr:uid="{00000000-0005-0000-0000-0000801C0000}"/>
    <cellStyle name="40 % - Aksentti1 7 9 2" xfId="7358" xr:uid="{00000000-0005-0000-0000-0000811C0000}"/>
    <cellStyle name="40 % - Aksentti1 7 9 3" xfId="15555" xr:uid="{00000000-0005-0000-0000-0000821C0000}"/>
    <cellStyle name="40 % - Aksentti1 7 9_060617_hinnat" xfId="23511" xr:uid="{00000000-0005-0000-0000-0000831C0000}"/>
    <cellStyle name="40 % - Aksentti1 7_060617_hinnat" xfId="23512" xr:uid="{00000000-0005-0000-0000-0000841C0000}"/>
    <cellStyle name="40 % - Aksentti1 8" xfId="2036" xr:uid="{00000000-0005-0000-0000-0000851C0000}"/>
    <cellStyle name="40 % - Aksentti1 8 10" xfId="2037" xr:uid="{00000000-0005-0000-0000-0000861C0000}"/>
    <cellStyle name="40 % - Aksentti1 8 10 2" xfId="7360" xr:uid="{00000000-0005-0000-0000-0000871C0000}"/>
    <cellStyle name="40 % - Aksentti1 8 10 3" xfId="15557" xr:uid="{00000000-0005-0000-0000-0000881C0000}"/>
    <cellStyle name="40 % - Aksentti1 8 10_060617_hinnat" xfId="23514" xr:uid="{00000000-0005-0000-0000-0000891C0000}"/>
    <cellStyle name="40 % - Aksentti1 8 11" xfId="7359" xr:uid="{00000000-0005-0000-0000-00008A1C0000}"/>
    <cellStyle name="40 % - Aksentti1 8 12" xfId="15556" xr:uid="{00000000-0005-0000-0000-00008B1C0000}"/>
    <cellStyle name="40 % - Aksentti1 8 2" xfId="2038" xr:uid="{00000000-0005-0000-0000-00008C1C0000}"/>
    <cellStyle name="40 % - Aksentti1 8 2 2" xfId="2039" xr:uid="{00000000-0005-0000-0000-00008D1C0000}"/>
    <cellStyle name="40 % - Aksentti1 8 2 2 2" xfId="2040" xr:uid="{00000000-0005-0000-0000-00008E1C0000}"/>
    <cellStyle name="40 % - Aksentti1 8 2 2 2 2" xfId="7363" xr:uid="{00000000-0005-0000-0000-00008F1C0000}"/>
    <cellStyle name="40 % - Aksentti1 8 2 2 2 3" xfId="15560" xr:uid="{00000000-0005-0000-0000-0000901C0000}"/>
    <cellStyle name="40 % - Aksentti1 8 2 2 2_060617_hinnat" xfId="23515" xr:uid="{00000000-0005-0000-0000-0000911C0000}"/>
    <cellStyle name="40 % - Aksentti1 8 2 2 3" xfId="7362" xr:uid="{00000000-0005-0000-0000-0000921C0000}"/>
    <cellStyle name="40 % - Aksentti1 8 2 2 4" xfId="15559" xr:uid="{00000000-0005-0000-0000-0000931C0000}"/>
    <cellStyle name="40 % - Aksentti1 8 2 2_060617_hinnat" xfId="23516" xr:uid="{00000000-0005-0000-0000-0000941C0000}"/>
    <cellStyle name="40 % - Aksentti1 8 2 3" xfId="2041" xr:uid="{00000000-0005-0000-0000-0000951C0000}"/>
    <cellStyle name="40 % - Aksentti1 8 2 3 2" xfId="7364" xr:uid="{00000000-0005-0000-0000-0000961C0000}"/>
    <cellStyle name="40 % - Aksentti1 8 2 3 3" xfId="15561" xr:uid="{00000000-0005-0000-0000-0000971C0000}"/>
    <cellStyle name="40 % - Aksentti1 8 2 3_060617_hinnat" xfId="23517" xr:uid="{00000000-0005-0000-0000-0000981C0000}"/>
    <cellStyle name="40 % - Aksentti1 8 2 4" xfId="7361" xr:uid="{00000000-0005-0000-0000-0000991C0000}"/>
    <cellStyle name="40 % - Aksentti1 8 2 5" xfId="15558" xr:uid="{00000000-0005-0000-0000-00009A1C0000}"/>
    <cellStyle name="40 % - Aksentti1 8 2_060617_hinnat" xfId="23518" xr:uid="{00000000-0005-0000-0000-00009B1C0000}"/>
    <cellStyle name="40 % - Aksentti1 8 3" xfId="2042" xr:uid="{00000000-0005-0000-0000-00009C1C0000}"/>
    <cellStyle name="40 % - Aksentti1 8 3 2" xfId="2043" xr:uid="{00000000-0005-0000-0000-00009D1C0000}"/>
    <cellStyle name="40 % - Aksentti1 8 3 2 2" xfId="7366" xr:uid="{00000000-0005-0000-0000-00009E1C0000}"/>
    <cellStyle name="40 % - Aksentti1 8 3 2 3" xfId="15563" xr:uid="{00000000-0005-0000-0000-00009F1C0000}"/>
    <cellStyle name="40 % - Aksentti1 8 3 2_060617_hinnat" xfId="23519" xr:uid="{00000000-0005-0000-0000-0000A01C0000}"/>
    <cellStyle name="40 % - Aksentti1 8 3 3" xfId="7365" xr:uid="{00000000-0005-0000-0000-0000A11C0000}"/>
    <cellStyle name="40 % - Aksentti1 8 3 4" xfId="15562" xr:uid="{00000000-0005-0000-0000-0000A21C0000}"/>
    <cellStyle name="40 % - Aksentti1 8 3_060617_hinnat" xfId="23520" xr:uid="{00000000-0005-0000-0000-0000A31C0000}"/>
    <cellStyle name="40 % - Aksentti1 8 4" xfId="2044" xr:uid="{00000000-0005-0000-0000-0000A41C0000}"/>
    <cellStyle name="40 % - Aksentti1 8 4 2" xfId="7367" xr:uid="{00000000-0005-0000-0000-0000A51C0000}"/>
    <cellStyle name="40 % - Aksentti1 8 4 3" xfId="15564" xr:uid="{00000000-0005-0000-0000-0000A61C0000}"/>
    <cellStyle name="40 % - Aksentti1 8 4_060617_hinnat" xfId="23521" xr:uid="{00000000-0005-0000-0000-0000A71C0000}"/>
    <cellStyle name="40 % - Aksentti1 8 5" xfId="2045" xr:uid="{00000000-0005-0000-0000-0000A81C0000}"/>
    <cellStyle name="40 % - Aksentti1 8 5 2" xfId="7368" xr:uid="{00000000-0005-0000-0000-0000A91C0000}"/>
    <cellStyle name="40 % - Aksentti1 8 5 3" xfId="15565" xr:uid="{00000000-0005-0000-0000-0000AA1C0000}"/>
    <cellStyle name="40 % - Aksentti1 8 5_060617_hinnat" xfId="23522" xr:uid="{00000000-0005-0000-0000-0000AB1C0000}"/>
    <cellStyle name="40 % - Aksentti1 8 6" xfId="2046" xr:uid="{00000000-0005-0000-0000-0000AC1C0000}"/>
    <cellStyle name="40 % - Aksentti1 8 6 2" xfId="7369" xr:uid="{00000000-0005-0000-0000-0000AD1C0000}"/>
    <cellStyle name="40 % - Aksentti1 8 6 3" xfId="15566" xr:uid="{00000000-0005-0000-0000-0000AE1C0000}"/>
    <cellStyle name="40 % - Aksentti1 8 6_060617_hinnat" xfId="23523" xr:uid="{00000000-0005-0000-0000-0000AF1C0000}"/>
    <cellStyle name="40 % - Aksentti1 8 7" xfId="2047" xr:uid="{00000000-0005-0000-0000-0000B01C0000}"/>
    <cellStyle name="40 % - Aksentti1 8 7 2" xfId="7370" xr:uid="{00000000-0005-0000-0000-0000B11C0000}"/>
    <cellStyle name="40 % - Aksentti1 8 7 3" xfId="15567" xr:uid="{00000000-0005-0000-0000-0000B21C0000}"/>
    <cellStyle name="40 % - Aksentti1 8 7_060617_hinnat" xfId="23524" xr:uid="{00000000-0005-0000-0000-0000B31C0000}"/>
    <cellStyle name="40 % - Aksentti1 8 8" xfId="2048" xr:uid="{00000000-0005-0000-0000-0000B41C0000}"/>
    <cellStyle name="40 % - Aksentti1 8 8 2" xfId="7371" xr:uid="{00000000-0005-0000-0000-0000B51C0000}"/>
    <cellStyle name="40 % - Aksentti1 8 8 3" xfId="15568" xr:uid="{00000000-0005-0000-0000-0000B61C0000}"/>
    <cellStyle name="40 % - Aksentti1 8 8_060617_hinnat" xfId="23525" xr:uid="{00000000-0005-0000-0000-0000B71C0000}"/>
    <cellStyle name="40 % - Aksentti1 8 9" xfId="2049" xr:uid="{00000000-0005-0000-0000-0000B81C0000}"/>
    <cellStyle name="40 % - Aksentti1 8 9 2" xfId="7372" xr:uid="{00000000-0005-0000-0000-0000B91C0000}"/>
    <cellStyle name="40 % - Aksentti1 8 9 3" xfId="15569" xr:uid="{00000000-0005-0000-0000-0000BA1C0000}"/>
    <cellStyle name="40 % - Aksentti1 8 9_060617_hinnat" xfId="23526" xr:uid="{00000000-0005-0000-0000-0000BB1C0000}"/>
    <cellStyle name="40 % - Aksentti1 8_060617_hinnat" xfId="23527" xr:uid="{00000000-0005-0000-0000-0000BC1C0000}"/>
    <cellStyle name="40 % - Aksentti1 9" xfId="2050" xr:uid="{00000000-0005-0000-0000-0000BD1C0000}"/>
    <cellStyle name="40 % - Aksentti1 9 10" xfId="2051" xr:uid="{00000000-0005-0000-0000-0000BE1C0000}"/>
    <cellStyle name="40 % - Aksentti1 9 10 2" xfId="7374" xr:uid="{00000000-0005-0000-0000-0000BF1C0000}"/>
    <cellStyle name="40 % - Aksentti1 9 10 3" xfId="15571" xr:uid="{00000000-0005-0000-0000-0000C01C0000}"/>
    <cellStyle name="40 % - Aksentti1 9 10_060617_hinnat" xfId="23528" xr:uid="{00000000-0005-0000-0000-0000C11C0000}"/>
    <cellStyle name="40 % - Aksentti1 9 11" xfId="7373" xr:uid="{00000000-0005-0000-0000-0000C21C0000}"/>
    <cellStyle name="40 % - Aksentti1 9 12" xfId="15570" xr:uid="{00000000-0005-0000-0000-0000C31C0000}"/>
    <cellStyle name="40 % - Aksentti1 9 2" xfId="2052" xr:uid="{00000000-0005-0000-0000-0000C41C0000}"/>
    <cellStyle name="40 % - Aksentti1 9 2 2" xfId="2053" xr:uid="{00000000-0005-0000-0000-0000C51C0000}"/>
    <cellStyle name="40 % - Aksentti1 9 2 2 2" xfId="2054" xr:uid="{00000000-0005-0000-0000-0000C61C0000}"/>
    <cellStyle name="40 % - Aksentti1 9 2 2 2 2" xfId="7377" xr:uid="{00000000-0005-0000-0000-0000C71C0000}"/>
    <cellStyle name="40 % - Aksentti1 9 2 2 2 3" xfId="15574" xr:uid="{00000000-0005-0000-0000-0000C81C0000}"/>
    <cellStyle name="40 % - Aksentti1 9 2 2 2_060617_hinnat" xfId="23529" xr:uid="{00000000-0005-0000-0000-0000C91C0000}"/>
    <cellStyle name="40 % - Aksentti1 9 2 2 3" xfId="7376" xr:uid="{00000000-0005-0000-0000-0000CA1C0000}"/>
    <cellStyle name="40 % - Aksentti1 9 2 2 4" xfId="15573" xr:uid="{00000000-0005-0000-0000-0000CB1C0000}"/>
    <cellStyle name="40 % - Aksentti1 9 2 2_060617_hinnat" xfId="23530" xr:uid="{00000000-0005-0000-0000-0000CC1C0000}"/>
    <cellStyle name="40 % - Aksentti1 9 2 3" xfId="2055" xr:uid="{00000000-0005-0000-0000-0000CD1C0000}"/>
    <cellStyle name="40 % - Aksentti1 9 2 3 2" xfId="7378" xr:uid="{00000000-0005-0000-0000-0000CE1C0000}"/>
    <cellStyle name="40 % - Aksentti1 9 2 3 3" xfId="15575" xr:uid="{00000000-0005-0000-0000-0000CF1C0000}"/>
    <cellStyle name="40 % - Aksentti1 9 2 3_060617_hinnat" xfId="23531" xr:uid="{00000000-0005-0000-0000-0000D01C0000}"/>
    <cellStyle name="40 % - Aksentti1 9 2 4" xfId="7375" xr:uid="{00000000-0005-0000-0000-0000D11C0000}"/>
    <cellStyle name="40 % - Aksentti1 9 2 5" xfId="15572" xr:uid="{00000000-0005-0000-0000-0000D21C0000}"/>
    <cellStyle name="40 % - Aksentti1 9 2_060617_hinnat" xfId="23532" xr:uid="{00000000-0005-0000-0000-0000D31C0000}"/>
    <cellStyle name="40 % - Aksentti1 9 3" xfId="2056" xr:uid="{00000000-0005-0000-0000-0000D41C0000}"/>
    <cellStyle name="40 % - Aksentti1 9 3 2" xfId="2057" xr:uid="{00000000-0005-0000-0000-0000D51C0000}"/>
    <cellStyle name="40 % - Aksentti1 9 3 2 2" xfId="7380" xr:uid="{00000000-0005-0000-0000-0000D61C0000}"/>
    <cellStyle name="40 % - Aksentti1 9 3 2 3" xfId="15577" xr:uid="{00000000-0005-0000-0000-0000D71C0000}"/>
    <cellStyle name="40 % - Aksentti1 9 3 2_060617_hinnat" xfId="23533" xr:uid="{00000000-0005-0000-0000-0000D81C0000}"/>
    <cellStyle name="40 % - Aksentti1 9 3 3" xfId="7379" xr:uid="{00000000-0005-0000-0000-0000D91C0000}"/>
    <cellStyle name="40 % - Aksentti1 9 3 4" xfId="15576" xr:uid="{00000000-0005-0000-0000-0000DA1C0000}"/>
    <cellStyle name="40 % - Aksentti1 9 3_060617_hinnat" xfId="23534" xr:uid="{00000000-0005-0000-0000-0000DB1C0000}"/>
    <cellStyle name="40 % - Aksentti1 9 4" xfId="2058" xr:uid="{00000000-0005-0000-0000-0000DC1C0000}"/>
    <cellStyle name="40 % - Aksentti1 9 4 2" xfId="7381" xr:uid="{00000000-0005-0000-0000-0000DD1C0000}"/>
    <cellStyle name="40 % - Aksentti1 9 4 3" xfId="15578" xr:uid="{00000000-0005-0000-0000-0000DE1C0000}"/>
    <cellStyle name="40 % - Aksentti1 9 4_060617_hinnat" xfId="23535" xr:uid="{00000000-0005-0000-0000-0000DF1C0000}"/>
    <cellStyle name="40 % - Aksentti1 9 5" xfId="2059" xr:uid="{00000000-0005-0000-0000-0000E01C0000}"/>
    <cellStyle name="40 % - Aksentti1 9 5 2" xfId="7382" xr:uid="{00000000-0005-0000-0000-0000E11C0000}"/>
    <cellStyle name="40 % - Aksentti1 9 5 3" xfId="15579" xr:uid="{00000000-0005-0000-0000-0000E21C0000}"/>
    <cellStyle name="40 % - Aksentti1 9 5_060617_hinnat" xfId="23536" xr:uid="{00000000-0005-0000-0000-0000E31C0000}"/>
    <cellStyle name="40 % - Aksentti1 9 6" xfId="2060" xr:uid="{00000000-0005-0000-0000-0000E41C0000}"/>
    <cellStyle name="40 % - Aksentti1 9 6 2" xfId="7383" xr:uid="{00000000-0005-0000-0000-0000E51C0000}"/>
    <cellStyle name="40 % - Aksentti1 9 6 3" xfId="15580" xr:uid="{00000000-0005-0000-0000-0000E61C0000}"/>
    <cellStyle name="40 % - Aksentti1 9 6_060617_hinnat" xfId="23537" xr:uid="{00000000-0005-0000-0000-0000E71C0000}"/>
    <cellStyle name="40 % - Aksentti1 9 7" xfId="2061" xr:uid="{00000000-0005-0000-0000-0000E81C0000}"/>
    <cellStyle name="40 % - Aksentti1 9 7 2" xfId="7384" xr:uid="{00000000-0005-0000-0000-0000E91C0000}"/>
    <cellStyle name="40 % - Aksentti1 9 7 3" xfId="15581" xr:uid="{00000000-0005-0000-0000-0000EA1C0000}"/>
    <cellStyle name="40 % - Aksentti1 9 7_060617_hinnat" xfId="23538" xr:uid="{00000000-0005-0000-0000-0000EB1C0000}"/>
    <cellStyle name="40 % - Aksentti1 9 8" xfId="2062" xr:uid="{00000000-0005-0000-0000-0000EC1C0000}"/>
    <cellStyle name="40 % - Aksentti1 9 8 2" xfId="7385" xr:uid="{00000000-0005-0000-0000-0000ED1C0000}"/>
    <cellStyle name="40 % - Aksentti1 9 8 3" xfId="15582" xr:uid="{00000000-0005-0000-0000-0000EE1C0000}"/>
    <cellStyle name="40 % - Aksentti1 9 8_060617_hinnat" xfId="23539" xr:uid="{00000000-0005-0000-0000-0000EF1C0000}"/>
    <cellStyle name="40 % - Aksentti1 9 9" xfId="2063" xr:uid="{00000000-0005-0000-0000-0000F01C0000}"/>
    <cellStyle name="40 % - Aksentti1 9 9 2" xfId="7386" xr:uid="{00000000-0005-0000-0000-0000F11C0000}"/>
    <cellStyle name="40 % - Aksentti1 9 9 3" xfId="15583" xr:uid="{00000000-0005-0000-0000-0000F21C0000}"/>
    <cellStyle name="40 % - Aksentti1 9 9_060617_hinnat" xfId="23540" xr:uid="{00000000-0005-0000-0000-0000F31C0000}"/>
    <cellStyle name="40 % - Aksentti1 9_060617_hinnat" xfId="23541" xr:uid="{00000000-0005-0000-0000-0000F41C0000}"/>
    <cellStyle name="40 % - Aksentti1_##KansantalKehitys" xfId="5412" xr:uid="{00000000-0005-0000-0000-0000F51C0000}"/>
    <cellStyle name="40 % - Aksentti2" xfId="335" xr:uid="{00000000-0005-0000-0000-0000F61C0000}"/>
    <cellStyle name="40 % - Aksentti2 10" xfId="2064" xr:uid="{00000000-0005-0000-0000-0000F71C0000}"/>
    <cellStyle name="40 % - Aksentti2 10 10" xfId="2065" xr:uid="{00000000-0005-0000-0000-0000F81C0000}"/>
    <cellStyle name="40 % - Aksentti2 10 10 2" xfId="7388" xr:uid="{00000000-0005-0000-0000-0000F91C0000}"/>
    <cellStyle name="40 % - Aksentti2 10 10 3" xfId="15585" xr:uid="{00000000-0005-0000-0000-0000FA1C0000}"/>
    <cellStyle name="40 % - Aksentti2 10 10_060617_hinnat" xfId="23542" xr:uid="{00000000-0005-0000-0000-0000FB1C0000}"/>
    <cellStyle name="40 % - Aksentti2 10 11" xfId="7387" xr:uid="{00000000-0005-0000-0000-0000FC1C0000}"/>
    <cellStyle name="40 % - Aksentti2 10 12" xfId="15584" xr:uid="{00000000-0005-0000-0000-0000FD1C0000}"/>
    <cellStyle name="40 % - Aksentti2 10 2" xfId="2066" xr:uid="{00000000-0005-0000-0000-0000FE1C0000}"/>
    <cellStyle name="40 % - Aksentti2 10 2 2" xfId="2067" xr:uid="{00000000-0005-0000-0000-0000FF1C0000}"/>
    <cellStyle name="40 % - Aksentti2 10 2 2 2" xfId="2068" xr:uid="{00000000-0005-0000-0000-0000001D0000}"/>
    <cellStyle name="40 % - Aksentti2 10 2 2 2 2" xfId="7391" xr:uid="{00000000-0005-0000-0000-0000011D0000}"/>
    <cellStyle name="40 % - Aksentti2 10 2 2 2 3" xfId="15588" xr:uid="{00000000-0005-0000-0000-0000021D0000}"/>
    <cellStyle name="40 % - Aksentti2 10 2 2 2_060617_hinnat" xfId="23543" xr:uid="{00000000-0005-0000-0000-0000031D0000}"/>
    <cellStyle name="40 % - Aksentti2 10 2 2 3" xfId="7390" xr:uid="{00000000-0005-0000-0000-0000041D0000}"/>
    <cellStyle name="40 % - Aksentti2 10 2 2 4" xfId="15587" xr:uid="{00000000-0005-0000-0000-0000051D0000}"/>
    <cellStyle name="40 % - Aksentti2 10 2 2_060617_hinnat" xfId="23544" xr:uid="{00000000-0005-0000-0000-0000061D0000}"/>
    <cellStyle name="40 % - Aksentti2 10 2 3" xfId="2069" xr:uid="{00000000-0005-0000-0000-0000071D0000}"/>
    <cellStyle name="40 % - Aksentti2 10 2 3 2" xfId="7392" xr:uid="{00000000-0005-0000-0000-0000081D0000}"/>
    <cellStyle name="40 % - Aksentti2 10 2 3 3" xfId="15589" xr:uid="{00000000-0005-0000-0000-0000091D0000}"/>
    <cellStyle name="40 % - Aksentti2 10 2 3_060617_hinnat" xfId="23545" xr:uid="{00000000-0005-0000-0000-00000A1D0000}"/>
    <cellStyle name="40 % - Aksentti2 10 2 4" xfId="7389" xr:uid="{00000000-0005-0000-0000-00000B1D0000}"/>
    <cellStyle name="40 % - Aksentti2 10 2 5" xfId="15586" xr:uid="{00000000-0005-0000-0000-00000C1D0000}"/>
    <cellStyle name="40 % - Aksentti2 10 2_060617_hinnat" xfId="23546" xr:uid="{00000000-0005-0000-0000-00000D1D0000}"/>
    <cellStyle name="40 % - Aksentti2 10 3" xfId="2070" xr:uid="{00000000-0005-0000-0000-00000E1D0000}"/>
    <cellStyle name="40 % - Aksentti2 10 3 2" xfId="2071" xr:uid="{00000000-0005-0000-0000-00000F1D0000}"/>
    <cellStyle name="40 % - Aksentti2 10 3 2 2" xfId="7394" xr:uid="{00000000-0005-0000-0000-0000101D0000}"/>
    <cellStyle name="40 % - Aksentti2 10 3 2 3" xfId="15591" xr:uid="{00000000-0005-0000-0000-0000111D0000}"/>
    <cellStyle name="40 % - Aksentti2 10 3 2_060617_hinnat" xfId="23547" xr:uid="{00000000-0005-0000-0000-0000121D0000}"/>
    <cellStyle name="40 % - Aksentti2 10 3 3" xfId="7393" xr:uid="{00000000-0005-0000-0000-0000131D0000}"/>
    <cellStyle name="40 % - Aksentti2 10 3 4" xfId="15590" xr:uid="{00000000-0005-0000-0000-0000141D0000}"/>
    <cellStyle name="40 % - Aksentti2 10 3_060617_hinnat" xfId="23548" xr:uid="{00000000-0005-0000-0000-0000151D0000}"/>
    <cellStyle name="40 % - Aksentti2 10 4" xfId="2072" xr:uid="{00000000-0005-0000-0000-0000161D0000}"/>
    <cellStyle name="40 % - Aksentti2 10 4 2" xfId="7395" xr:uid="{00000000-0005-0000-0000-0000171D0000}"/>
    <cellStyle name="40 % - Aksentti2 10 4 3" xfId="15592" xr:uid="{00000000-0005-0000-0000-0000181D0000}"/>
    <cellStyle name="40 % - Aksentti2 10 4_060617_hinnat" xfId="23549" xr:uid="{00000000-0005-0000-0000-0000191D0000}"/>
    <cellStyle name="40 % - Aksentti2 10 5" xfId="2073" xr:uid="{00000000-0005-0000-0000-00001A1D0000}"/>
    <cellStyle name="40 % - Aksentti2 10 5 2" xfId="7396" xr:uid="{00000000-0005-0000-0000-00001B1D0000}"/>
    <cellStyle name="40 % - Aksentti2 10 5 3" xfId="15593" xr:uid="{00000000-0005-0000-0000-00001C1D0000}"/>
    <cellStyle name="40 % - Aksentti2 10 5_060617_hinnat" xfId="23550" xr:uid="{00000000-0005-0000-0000-00001D1D0000}"/>
    <cellStyle name="40 % - Aksentti2 10 6" xfId="2074" xr:uid="{00000000-0005-0000-0000-00001E1D0000}"/>
    <cellStyle name="40 % - Aksentti2 10 6 2" xfId="7397" xr:uid="{00000000-0005-0000-0000-00001F1D0000}"/>
    <cellStyle name="40 % - Aksentti2 10 6 3" xfId="15594" xr:uid="{00000000-0005-0000-0000-0000201D0000}"/>
    <cellStyle name="40 % - Aksentti2 10 6_060617_hinnat" xfId="23551" xr:uid="{00000000-0005-0000-0000-0000211D0000}"/>
    <cellStyle name="40 % - Aksentti2 10 7" xfId="2075" xr:uid="{00000000-0005-0000-0000-0000221D0000}"/>
    <cellStyle name="40 % - Aksentti2 10 7 2" xfId="7398" xr:uid="{00000000-0005-0000-0000-0000231D0000}"/>
    <cellStyle name="40 % - Aksentti2 10 7 3" xfId="15595" xr:uid="{00000000-0005-0000-0000-0000241D0000}"/>
    <cellStyle name="40 % - Aksentti2 10 7_060617_hinnat" xfId="23552" xr:uid="{00000000-0005-0000-0000-0000251D0000}"/>
    <cellStyle name="40 % - Aksentti2 10 8" xfId="2076" xr:uid="{00000000-0005-0000-0000-0000261D0000}"/>
    <cellStyle name="40 % - Aksentti2 10 8 2" xfId="7399" xr:uid="{00000000-0005-0000-0000-0000271D0000}"/>
    <cellStyle name="40 % - Aksentti2 10 8 3" xfId="15596" xr:uid="{00000000-0005-0000-0000-0000281D0000}"/>
    <cellStyle name="40 % - Aksentti2 10 8_060617_hinnat" xfId="23553" xr:uid="{00000000-0005-0000-0000-0000291D0000}"/>
    <cellStyle name="40 % - Aksentti2 10 9" xfId="2077" xr:uid="{00000000-0005-0000-0000-00002A1D0000}"/>
    <cellStyle name="40 % - Aksentti2 10 9 2" xfId="7400" xr:uid="{00000000-0005-0000-0000-00002B1D0000}"/>
    <cellStyle name="40 % - Aksentti2 10 9 3" xfId="15597" xr:uid="{00000000-0005-0000-0000-00002C1D0000}"/>
    <cellStyle name="40 % - Aksentti2 10 9_060617_hinnat" xfId="23554" xr:uid="{00000000-0005-0000-0000-00002D1D0000}"/>
    <cellStyle name="40 % - Aksentti2 10_060617_hinnat" xfId="23555" xr:uid="{00000000-0005-0000-0000-00002E1D0000}"/>
    <cellStyle name="40 % - Aksentti2 11" xfId="2078" xr:uid="{00000000-0005-0000-0000-00002F1D0000}"/>
    <cellStyle name="40 % - Aksentti2 11 10" xfId="2079" xr:uid="{00000000-0005-0000-0000-0000301D0000}"/>
    <cellStyle name="40 % - Aksentti2 11 10 2" xfId="7402" xr:uid="{00000000-0005-0000-0000-0000311D0000}"/>
    <cellStyle name="40 % - Aksentti2 11 10 3" xfId="15599" xr:uid="{00000000-0005-0000-0000-0000321D0000}"/>
    <cellStyle name="40 % - Aksentti2 11 10_060617_hinnat" xfId="23556" xr:uid="{00000000-0005-0000-0000-0000331D0000}"/>
    <cellStyle name="40 % - Aksentti2 11 11" xfId="7401" xr:uid="{00000000-0005-0000-0000-0000341D0000}"/>
    <cellStyle name="40 % - Aksentti2 11 12" xfId="15598" xr:uid="{00000000-0005-0000-0000-0000351D0000}"/>
    <cellStyle name="40 % - Aksentti2 11 2" xfId="2080" xr:uid="{00000000-0005-0000-0000-0000361D0000}"/>
    <cellStyle name="40 % - Aksentti2 11 2 2" xfId="2081" xr:uid="{00000000-0005-0000-0000-0000371D0000}"/>
    <cellStyle name="40 % - Aksentti2 11 2 2 2" xfId="2082" xr:uid="{00000000-0005-0000-0000-0000381D0000}"/>
    <cellStyle name="40 % - Aksentti2 11 2 2 2 2" xfId="7405" xr:uid="{00000000-0005-0000-0000-0000391D0000}"/>
    <cellStyle name="40 % - Aksentti2 11 2 2 2 3" xfId="15602" xr:uid="{00000000-0005-0000-0000-00003A1D0000}"/>
    <cellStyle name="40 % - Aksentti2 11 2 2 2_060617_hinnat" xfId="23557" xr:uid="{00000000-0005-0000-0000-00003B1D0000}"/>
    <cellStyle name="40 % - Aksentti2 11 2 2 3" xfId="7404" xr:uid="{00000000-0005-0000-0000-00003C1D0000}"/>
    <cellStyle name="40 % - Aksentti2 11 2 2 4" xfId="15601" xr:uid="{00000000-0005-0000-0000-00003D1D0000}"/>
    <cellStyle name="40 % - Aksentti2 11 2 2_060617_hinnat" xfId="23558" xr:uid="{00000000-0005-0000-0000-00003E1D0000}"/>
    <cellStyle name="40 % - Aksentti2 11 2 3" xfId="2083" xr:uid="{00000000-0005-0000-0000-00003F1D0000}"/>
    <cellStyle name="40 % - Aksentti2 11 2 3 2" xfId="7406" xr:uid="{00000000-0005-0000-0000-0000401D0000}"/>
    <cellStyle name="40 % - Aksentti2 11 2 3 3" xfId="15603" xr:uid="{00000000-0005-0000-0000-0000411D0000}"/>
    <cellStyle name="40 % - Aksentti2 11 2 3_060617_hinnat" xfId="23559" xr:uid="{00000000-0005-0000-0000-0000421D0000}"/>
    <cellStyle name="40 % - Aksentti2 11 2 4" xfId="7403" xr:uid="{00000000-0005-0000-0000-0000431D0000}"/>
    <cellStyle name="40 % - Aksentti2 11 2 5" xfId="15600" xr:uid="{00000000-0005-0000-0000-0000441D0000}"/>
    <cellStyle name="40 % - Aksentti2 11 2_060617_hinnat" xfId="23560" xr:uid="{00000000-0005-0000-0000-0000451D0000}"/>
    <cellStyle name="40 % - Aksentti2 11 3" xfId="2084" xr:uid="{00000000-0005-0000-0000-0000461D0000}"/>
    <cellStyle name="40 % - Aksentti2 11 3 2" xfId="2085" xr:uid="{00000000-0005-0000-0000-0000471D0000}"/>
    <cellStyle name="40 % - Aksentti2 11 3 2 2" xfId="7408" xr:uid="{00000000-0005-0000-0000-0000481D0000}"/>
    <cellStyle name="40 % - Aksentti2 11 3 2 3" xfId="15605" xr:uid="{00000000-0005-0000-0000-0000491D0000}"/>
    <cellStyle name="40 % - Aksentti2 11 3 2_060617_hinnat" xfId="23561" xr:uid="{00000000-0005-0000-0000-00004A1D0000}"/>
    <cellStyle name="40 % - Aksentti2 11 3 3" xfId="7407" xr:uid="{00000000-0005-0000-0000-00004B1D0000}"/>
    <cellStyle name="40 % - Aksentti2 11 3 4" xfId="15604" xr:uid="{00000000-0005-0000-0000-00004C1D0000}"/>
    <cellStyle name="40 % - Aksentti2 11 3_060617_hinnat" xfId="23562" xr:uid="{00000000-0005-0000-0000-00004D1D0000}"/>
    <cellStyle name="40 % - Aksentti2 11 4" xfId="2086" xr:uid="{00000000-0005-0000-0000-00004E1D0000}"/>
    <cellStyle name="40 % - Aksentti2 11 4 2" xfId="7409" xr:uid="{00000000-0005-0000-0000-00004F1D0000}"/>
    <cellStyle name="40 % - Aksentti2 11 4 3" xfId="15606" xr:uid="{00000000-0005-0000-0000-0000501D0000}"/>
    <cellStyle name="40 % - Aksentti2 11 4_060617_hinnat" xfId="23563" xr:uid="{00000000-0005-0000-0000-0000511D0000}"/>
    <cellStyle name="40 % - Aksentti2 11 5" xfId="2087" xr:uid="{00000000-0005-0000-0000-0000521D0000}"/>
    <cellStyle name="40 % - Aksentti2 11 5 2" xfId="7410" xr:uid="{00000000-0005-0000-0000-0000531D0000}"/>
    <cellStyle name="40 % - Aksentti2 11 5 3" xfId="15607" xr:uid="{00000000-0005-0000-0000-0000541D0000}"/>
    <cellStyle name="40 % - Aksentti2 11 5_060617_hinnat" xfId="23564" xr:uid="{00000000-0005-0000-0000-0000551D0000}"/>
    <cellStyle name="40 % - Aksentti2 11 6" xfId="2088" xr:uid="{00000000-0005-0000-0000-0000561D0000}"/>
    <cellStyle name="40 % - Aksentti2 11 6 2" xfId="7411" xr:uid="{00000000-0005-0000-0000-0000571D0000}"/>
    <cellStyle name="40 % - Aksentti2 11 6 3" xfId="15608" xr:uid="{00000000-0005-0000-0000-0000581D0000}"/>
    <cellStyle name="40 % - Aksentti2 11 6_060617_hinnat" xfId="23565" xr:uid="{00000000-0005-0000-0000-0000591D0000}"/>
    <cellStyle name="40 % - Aksentti2 11 7" xfId="2089" xr:uid="{00000000-0005-0000-0000-00005A1D0000}"/>
    <cellStyle name="40 % - Aksentti2 11 7 2" xfId="7412" xr:uid="{00000000-0005-0000-0000-00005B1D0000}"/>
    <cellStyle name="40 % - Aksentti2 11 7 3" xfId="15609" xr:uid="{00000000-0005-0000-0000-00005C1D0000}"/>
    <cellStyle name="40 % - Aksentti2 11 7_060617_hinnat" xfId="23566" xr:uid="{00000000-0005-0000-0000-00005D1D0000}"/>
    <cellStyle name="40 % - Aksentti2 11 8" xfId="2090" xr:uid="{00000000-0005-0000-0000-00005E1D0000}"/>
    <cellStyle name="40 % - Aksentti2 11 8 2" xfId="7413" xr:uid="{00000000-0005-0000-0000-00005F1D0000}"/>
    <cellStyle name="40 % - Aksentti2 11 8 3" xfId="15610" xr:uid="{00000000-0005-0000-0000-0000601D0000}"/>
    <cellStyle name="40 % - Aksentti2 11 8_060617_hinnat" xfId="23567" xr:uid="{00000000-0005-0000-0000-0000611D0000}"/>
    <cellStyle name="40 % - Aksentti2 11 9" xfId="2091" xr:uid="{00000000-0005-0000-0000-0000621D0000}"/>
    <cellStyle name="40 % - Aksentti2 11 9 2" xfId="7414" xr:uid="{00000000-0005-0000-0000-0000631D0000}"/>
    <cellStyle name="40 % - Aksentti2 11 9 3" xfId="15611" xr:uid="{00000000-0005-0000-0000-0000641D0000}"/>
    <cellStyle name="40 % - Aksentti2 11 9_060617_hinnat" xfId="23568" xr:uid="{00000000-0005-0000-0000-0000651D0000}"/>
    <cellStyle name="40 % - Aksentti2 11_060617_hinnat" xfId="23569" xr:uid="{00000000-0005-0000-0000-0000661D0000}"/>
    <cellStyle name="40 % - Aksentti2 12" xfId="2092" xr:uid="{00000000-0005-0000-0000-0000671D0000}"/>
    <cellStyle name="40 % - Aksentti2 12 10" xfId="2093" xr:uid="{00000000-0005-0000-0000-0000681D0000}"/>
    <cellStyle name="40 % - Aksentti2 12 10 2" xfId="7416" xr:uid="{00000000-0005-0000-0000-0000691D0000}"/>
    <cellStyle name="40 % - Aksentti2 12 10 3" xfId="15613" xr:uid="{00000000-0005-0000-0000-00006A1D0000}"/>
    <cellStyle name="40 % - Aksentti2 12 10_060617_hinnat" xfId="23570" xr:uid="{00000000-0005-0000-0000-00006B1D0000}"/>
    <cellStyle name="40 % - Aksentti2 12 11" xfId="7415" xr:uid="{00000000-0005-0000-0000-00006C1D0000}"/>
    <cellStyle name="40 % - Aksentti2 12 12" xfId="15612" xr:uid="{00000000-0005-0000-0000-00006D1D0000}"/>
    <cellStyle name="40 % - Aksentti2 12 2" xfId="2094" xr:uid="{00000000-0005-0000-0000-00006E1D0000}"/>
    <cellStyle name="40 % - Aksentti2 12 2 2" xfId="2095" xr:uid="{00000000-0005-0000-0000-00006F1D0000}"/>
    <cellStyle name="40 % - Aksentti2 12 2 2 2" xfId="2096" xr:uid="{00000000-0005-0000-0000-0000701D0000}"/>
    <cellStyle name="40 % - Aksentti2 12 2 2 2 2" xfId="7419" xr:uid="{00000000-0005-0000-0000-0000711D0000}"/>
    <cellStyle name="40 % - Aksentti2 12 2 2 2 3" xfId="15616" xr:uid="{00000000-0005-0000-0000-0000721D0000}"/>
    <cellStyle name="40 % - Aksentti2 12 2 2 2_060617_hinnat" xfId="23571" xr:uid="{00000000-0005-0000-0000-0000731D0000}"/>
    <cellStyle name="40 % - Aksentti2 12 2 2 3" xfId="7418" xr:uid="{00000000-0005-0000-0000-0000741D0000}"/>
    <cellStyle name="40 % - Aksentti2 12 2 2 4" xfId="15615" xr:uid="{00000000-0005-0000-0000-0000751D0000}"/>
    <cellStyle name="40 % - Aksentti2 12 2 2_060617_hinnat" xfId="23572" xr:uid="{00000000-0005-0000-0000-0000761D0000}"/>
    <cellStyle name="40 % - Aksentti2 12 2 3" xfId="2097" xr:uid="{00000000-0005-0000-0000-0000771D0000}"/>
    <cellStyle name="40 % - Aksentti2 12 2 3 2" xfId="7420" xr:uid="{00000000-0005-0000-0000-0000781D0000}"/>
    <cellStyle name="40 % - Aksentti2 12 2 3 3" xfId="15617" xr:uid="{00000000-0005-0000-0000-0000791D0000}"/>
    <cellStyle name="40 % - Aksentti2 12 2 3_060617_hinnat" xfId="23573" xr:uid="{00000000-0005-0000-0000-00007A1D0000}"/>
    <cellStyle name="40 % - Aksentti2 12 2 4" xfId="7417" xr:uid="{00000000-0005-0000-0000-00007B1D0000}"/>
    <cellStyle name="40 % - Aksentti2 12 2 5" xfId="15614" xr:uid="{00000000-0005-0000-0000-00007C1D0000}"/>
    <cellStyle name="40 % - Aksentti2 12 2_060617_hinnat" xfId="23574" xr:uid="{00000000-0005-0000-0000-00007D1D0000}"/>
    <cellStyle name="40 % - Aksentti2 12 3" xfId="2098" xr:uid="{00000000-0005-0000-0000-00007E1D0000}"/>
    <cellStyle name="40 % - Aksentti2 12 3 2" xfId="2099" xr:uid="{00000000-0005-0000-0000-00007F1D0000}"/>
    <cellStyle name="40 % - Aksentti2 12 3 2 2" xfId="7422" xr:uid="{00000000-0005-0000-0000-0000801D0000}"/>
    <cellStyle name="40 % - Aksentti2 12 3 2 3" xfId="15619" xr:uid="{00000000-0005-0000-0000-0000811D0000}"/>
    <cellStyle name="40 % - Aksentti2 12 3 2_060617_hinnat" xfId="23575" xr:uid="{00000000-0005-0000-0000-0000821D0000}"/>
    <cellStyle name="40 % - Aksentti2 12 3 3" xfId="7421" xr:uid="{00000000-0005-0000-0000-0000831D0000}"/>
    <cellStyle name="40 % - Aksentti2 12 3 4" xfId="15618" xr:uid="{00000000-0005-0000-0000-0000841D0000}"/>
    <cellStyle name="40 % - Aksentti2 12 3_060617_hinnat" xfId="23576" xr:uid="{00000000-0005-0000-0000-0000851D0000}"/>
    <cellStyle name="40 % - Aksentti2 12 4" xfId="2100" xr:uid="{00000000-0005-0000-0000-0000861D0000}"/>
    <cellStyle name="40 % - Aksentti2 12 4 2" xfId="7423" xr:uid="{00000000-0005-0000-0000-0000871D0000}"/>
    <cellStyle name="40 % - Aksentti2 12 4 3" xfId="15620" xr:uid="{00000000-0005-0000-0000-0000881D0000}"/>
    <cellStyle name="40 % - Aksentti2 12 4_060617_hinnat" xfId="23577" xr:uid="{00000000-0005-0000-0000-0000891D0000}"/>
    <cellStyle name="40 % - Aksentti2 12 5" xfId="2101" xr:uid="{00000000-0005-0000-0000-00008A1D0000}"/>
    <cellStyle name="40 % - Aksentti2 12 5 2" xfId="7424" xr:uid="{00000000-0005-0000-0000-00008B1D0000}"/>
    <cellStyle name="40 % - Aksentti2 12 5 3" xfId="15621" xr:uid="{00000000-0005-0000-0000-00008C1D0000}"/>
    <cellStyle name="40 % - Aksentti2 12 5_060617_hinnat" xfId="23578" xr:uid="{00000000-0005-0000-0000-00008D1D0000}"/>
    <cellStyle name="40 % - Aksentti2 12 6" xfId="2102" xr:uid="{00000000-0005-0000-0000-00008E1D0000}"/>
    <cellStyle name="40 % - Aksentti2 12 6 2" xfId="7425" xr:uid="{00000000-0005-0000-0000-00008F1D0000}"/>
    <cellStyle name="40 % - Aksentti2 12 6 3" xfId="15622" xr:uid="{00000000-0005-0000-0000-0000901D0000}"/>
    <cellStyle name="40 % - Aksentti2 12 6_060617_hinnat" xfId="23579" xr:uid="{00000000-0005-0000-0000-0000911D0000}"/>
    <cellStyle name="40 % - Aksentti2 12 7" xfId="2103" xr:uid="{00000000-0005-0000-0000-0000921D0000}"/>
    <cellStyle name="40 % - Aksentti2 12 7 2" xfId="7426" xr:uid="{00000000-0005-0000-0000-0000931D0000}"/>
    <cellStyle name="40 % - Aksentti2 12 7 3" xfId="15623" xr:uid="{00000000-0005-0000-0000-0000941D0000}"/>
    <cellStyle name="40 % - Aksentti2 12 7_060617_hinnat" xfId="23580" xr:uid="{00000000-0005-0000-0000-0000951D0000}"/>
    <cellStyle name="40 % - Aksentti2 12 8" xfId="2104" xr:uid="{00000000-0005-0000-0000-0000961D0000}"/>
    <cellStyle name="40 % - Aksentti2 12 8 2" xfId="7427" xr:uid="{00000000-0005-0000-0000-0000971D0000}"/>
    <cellStyle name="40 % - Aksentti2 12 8 3" xfId="15624" xr:uid="{00000000-0005-0000-0000-0000981D0000}"/>
    <cellStyle name="40 % - Aksentti2 12 8_060617_hinnat" xfId="23581" xr:uid="{00000000-0005-0000-0000-0000991D0000}"/>
    <cellStyle name="40 % - Aksentti2 12 9" xfId="2105" xr:uid="{00000000-0005-0000-0000-00009A1D0000}"/>
    <cellStyle name="40 % - Aksentti2 12 9 2" xfId="7428" xr:uid="{00000000-0005-0000-0000-00009B1D0000}"/>
    <cellStyle name="40 % - Aksentti2 12 9 3" xfId="15625" xr:uid="{00000000-0005-0000-0000-00009C1D0000}"/>
    <cellStyle name="40 % - Aksentti2 12 9_060617_hinnat" xfId="23582" xr:uid="{00000000-0005-0000-0000-00009D1D0000}"/>
    <cellStyle name="40 % - Aksentti2 12_060617_hinnat" xfId="23583" xr:uid="{00000000-0005-0000-0000-00009E1D0000}"/>
    <cellStyle name="40 % - Aksentti2 13" xfId="2106" xr:uid="{00000000-0005-0000-0000-00009F1D0000}"/>
    <cellStyle name="40 % - Aksentti2 13 10" xfId="2107" xr:uid="{00000000-0005-0000-0000-0000A01D0000}"/>
    <cellStyle name="40 % - Aksentti2 13 10 2" xfId="7430" xr:uid="{00000000-0005-0000-0000-0000A11D0000}"/>
    <cellStyle name="40 % - Aksentti2 13 10 3" xfId="15627" xr:uid="{00000000-0005-0000-0000-0000A21D0000}"/>
    <cellStyle name="40 % - Aksentti2 13 10_060617_hinnat" xfId="23584" xr:uid="{00000000-0005-0000-0000-0000A31D0000}"/>
    <cellStyle name="40 % - Aksentti2 13 11" xfId="7429" xr:uid="{00000000-0005-0000-0000-0000A41D0000}"/>
    <cellStyle name="40 % - Aksentti2 13 12" xfId="15626" xr:uid="{00000000-0005-0000-0000-0000A51D0000}"/>
    <cellStyle name="40 % - Aksentti2 13 2" xfId="2108" xr:uid="{00000000-0005-0000-0000-0000A61D0000}"/>
    <cellStyle name="40 % - Aksentti2 13 2 2" xfId="2109" xr:uid="{00000000-0005-0000-0000-0000A71D0000}"/>
    <cellStyle name="40 % - Aksentti2 13 2 2 2" xfId="7432" xr:uid="{00000000-0005-0000-0000-0000A81D0000}"/>
    <cellStyle name="40 % - Aksentti2 13 2 2 3" xfId="15629" xr:uid="{00000000-0005-0000-0000-0000A91D0000}"/>
    <cellStyle name="40 % - Aksentti2 13 2 2_060617_hinnat" xfId="23586" xr:uid="{00000000-0005-0000-0000-0000AA1D0000}"/>
    <cellStyle name="40 % - Aksentti2 13 2 3" xfId="7431" xr:uid="{00000000-0005-0000-0000-0000AB1D0000}"/>
    <cellStyle name="40 % - Aksentti2 13 2 4" xfId="15628" xr:uid="{00000000-0005-0000-0000-0000AC1D0000}"/>
    <cellStyle name="40 % - Aksentti2 13 2_060617_hinnat" xfId="23587" xr:uid="{00000000-0005-0000-0000-0000AD1D0000}"/>
    <cellStyle name="40 % - Aksentti2 13 3" xfId="2110" xr:uid="{00000000-0005-0000-0000-0000AE1D0000}"/>
    <cellStyle name="40 % - Aksentti2 13 3 2" xfId="7433" xr:uid="{00000000-0005-0000-0000-0000AF1D0000}"/>
    <cellStyle name="40 % - Aksentti2 13 3 3" xfId="15630" xr:uid="{00000000-0005-0000-0000-0000B01D0000}"/>
    <cellStyle name="40 % - Aksentti2 13 3_060617_hinnat" xfId="23588" xr:uid="{00000000-0005-0000-0000-0000B11D0000}"/>
    <cellStyle name="40 % - Aksentti2 13 4" xfId="2111" xr:uid="{00000000-0005-0000-0000-0000B21D0000}"/>
    <cellStyle name="40 % - Aksentti2 13 4 2" xfId="7434" xr:uid="{00000000-0005-0000-0000-0000B31D0000}"/>
    <cellStyle name="40 % - Aksentti2 13 4 3" xfId="15631" xr:uid="{00000000-0005-0000-0000-0000B41D0000}"/>
    <cellStyle name="40 % - Aksentti2 13 4_060617_hinnat" xfId="23589" xr:uid="{00000000-0005-0000-0000-0000B51D0000}"/>
    <cellStyle name="40 % - Aksentti2 13 5" xfId="2112" xr:uid="{00000000-0005-0000-0000-0000B61D0000}"/>
    <cellStyle name="40 % - Aksentti2 13 5 2" xfId="7435" xr:uid="{00000000-0005-0000-0000-0000B71D0000}"/>
    <cellStyle name="40 % - Aksentti2 13 5 3" xfId="15632" xr:uid="{00000000-0005-0000-0000-0000B81D0000}"/>
    <cellStyle name="40 % - Aksentti2 13 5_060617_hinnat" xfId="23590" xr:uid="{00000000-0005-0000-0000-0000B91D0000}"/>
    <cellStyle name="40 % - Aksentti2 13 6" xfId="2113" xr:uid="{00000000-0005-0000-0000-0000BA1D0000}"/>
    <cellStyle name="40 % - Aksentti2 13 6 2" xfId="7436" xr:uid="{00000000-0005-0000-0000-0000BB1D0000}"/>
    <cellStyle name="40 % - Aksentti2 13 6 3" xfId="15633" xr:uid="{00000000-0005-0000-0000-0000BC1D0000}"/>
    <cellStyle name="40 % - Aksentti2 13 6_060617_hinnat" xfId="23591" xr:uid="{00000000-0005-0000-0000-0000BD1D0000}"/>
    <cellStyle name="40 % - Aksentti2 13 7" xfId="2114" xr:uid="{00000000-0005-0000-0000-0000BE1D0000}"/>
    <cellStyle name="40 % - Aksentti2 13 7 2" xfId="7437" xr:uid="{00000000-0005-0000-0000-0000BF1D0000}"/>
    <cellStyle name="40 % - Aksentti2 13 7 3" xfId="15634" xr:uid="{00000000-0005-0000-0000-0000C01D0000}"/>
    <cellStyle name="40 % - Aksentti2 13 7_060617_hinnat" xfId="23592" xr:uid="{00000000-0005-0000-0000-0000C11D0000}"/>
    <cellStyle name="40 % - Aksentti2 13 8" xfId="2115" xr:uid="{00000000-0005-0000-0000-0000C21D0000}"/>
    <cellStyle name="40 % - Aksentti2 13 8 2" xfId="7438" xr:uid="{00000000-0005-0000-0000-0000C31D0000}"/>
    <cellStyle name="40 % - Aksentti2 13 8 3" xfId="15635" xr:uid="{00000000-0005-0000-0000-0000C41D0000}"/>
    <cellStyle name="40 % - Aksentti2 13 8_060617_hinnat" xfId="23593" xr:uid="{00000000-0005-0000-0000-0000C51D0000}"/>
    <cellStyle name="40 % - Aksentti2 13 9" xfId="2116" xr:uid="{00000000-0005-0000-0000-0000C61D0000}"/>
    <cellStyle name="40 % - Aksentti2 13 9 2" xfId="7439" xr:uid="{00000000-0005-0000-0000-0000C71D0000}"/>
    <cellStyle name="40 % - Aksentti2 13 9 3" xfId="15636" xr:uid="{00000000-0005-0000-0000-0000C81D0000}"/>
    <cellStyle name="40 % - Aksentti2 13 9_060617_hinnat" xfId="23594" xr:uid="{00000000-0005-0000-0000-0000C91D0000}"/>
    <cellStyle name="40 % - Aksentti2 13_060617_hinnat" xfId="23595" xr:uid="{00000000-0005-0000-0000-0000CA1D0000}"/>
    <cellStyle name="40 % - Aksentti2 14" xfId="2117" xr:uid="{00000000-0005-0000-0000-0000CB1D0000}"/>
    <cellStyle name="40 % - Aksentti2 14 10" xfId="2118" xr:uid="{00000000-0005-0000-0000-0000CC1D0000}"/>
    <cellStyle name="40 % - Aksentti2 14 10 2" xfId="7441" xr:uid="{00000000-0005-0000-0000-0000CD1D0000}"/>
    <cellStyle name="40 % - Aksentti2 14 10 3" xfId="15638" xr:uid="{00000000-0005-0000-0000-0000CE1D0000}"/>
    <cellStyle name="40 % - Aksentti2 14 10_060617_hinnat" xfId="23596" xr:uid="{00000000-0005-0000-0000-0000CF1D0000}"/>
    <cellStyle name="40 % - Aksentti2 14 11" xfId="7440" xr:uid="{00000000-0005-0000-0000-0000D01D0000}"/>
    <cellStyle name="40 % - Aksentti2 14 12" xfId="15637" xr:uid="{00000000-0005-0000-0000-0000D11D0000}"/>
    <cellStyle name="40 % - Aksentti2 14 2" xfId="2119" xr:uid="{00000000-0005-0000-0000-0000D21D0000}"/>
    <cellStyle name="40 % - Aksentti2 14 2 2" xfId="2120" xr:uid="{00000000-0005-0000-0000-0000D31D0000}"/>
    <cellStyle name="40 % - Aksentti2 14 2 2 2" xfId="7443" xr:uid="{00000000-0005-0000-0000-0000D41D0000}"/>
    <cellStyle name="40 % - Aksentti2 14 2 2 3" xfId="15640" xr:uid="{00000000-0005-0000-0000-0000D51D0000}"/>
    <cellStyle name="40 % - Aksentti2 14 2 2_060617_hinnat" xfId="23597" xr:uid="{00000000-0005-0000-0000-0000D61D0000}"/>
    <cellStyle name="40 % - Aksentti2 14 2 3" xfId="7442" xr:uid="{00000000-0005-0000-0000-0000D71D0000}"/>
    <cellStyle name="40 % - Aksentti2 14 2 4" xfId="15639" xr:uid="{00000000-0005-0000-0000-0000D81D0000}"/>
    <cellStyle name="40 % - Aksentti2 14 2_060617_hinnat" xfId="23598" xr:uid="{00000000-0005-0000-0000-0000D91D0000}"/>
    <cellStyle name="40 % - Aksentti2 14 3" xfId="2121" xr:uid="{00000000-0005-0000-0000-0000DA1D0000}"/>
    <cellStyle name="40 % - Aksentti2 14 3 2" xfId="7444" xr:uid="{00000000-0005-0000-0000-0000DB1D0000}"/>
    <cellStyle name="40 % - Aksentti2 14 3 3" xfId="15641" xr:uid="{00000000-0005-0000-0000-0000DC1D0000}"/>
    <cellStyle name="40 % - Aksentti2 14 3_060617_hinnat" xfId="23599" xr:uid="{00000000-0005-0000-0000-0000DD1D0000}"/>
    <cellStyle name="40 % - Aksentti2 14 4" xfId="2122" xr:uid="{00000000-0005-0000-0000-0000DE1D0000}"/>
    <cellStyle name="40 % - Aksentti2 14 4 2" xfId="7445" xr:uid="{00000000-0005-0000-0000-0000DF1D0000}"/>
    <cellStyle name="40 % - Aksentti2 14 4 3" xfId="15642" xr:uid="{00000000-0005-0000-0000-0000E01D0000}"/>
    <cellStyle name="40 % - Aksentti2 14 4_060617_hinnat" xfId="23600" xr:uid="{00000000-0005-0000-0000-0000E11D0000}"/>
    <cellStyle name="40 % - Aksentti2 14 5" xfId="2123" xr:uid="{00000000-0005-0000-0000-0000E21D0000}"/>
    <cellStyle name="40 % - Aksentti2 14 5 2" xfId="7446" xr:uid="{00000000-0005-0000-0000-0000E31D0000}"/>
    <cellStyle name="40 % - Aksentti2 14 5 3" xfId="15643" xr:uid="{00000000-0005-0000-0000-0000E41D0000}"/>
    <cellStyle name="40 % - Aksentti2 14 5_060617_hinnat" xfId="23601" xr:uid="{00000000-0005-0000-0000-0000E51D0000}"/>
    <cellStyle name="40 % - Aksentti2 14 6" xfId="2124" xr:uid="{00000000-0005-0000-0000-0000E61D0000}"/>
    <cellStyle name="40 % - Aksentti2 14 6 2" xfId="7447" xr:uid="{00000000-0005-0000-0000-0000E71D0000}"/>
    <cellStyle name="40 % - Aksentti2 14 6 3" xfId="15644" xr:uid="{00000000-0005-0000-0000-0000E81D0000}"/>
    <cellStyle name="40 % - Aksentti2 14 6_060617_hinnat" xfId="23602" xr:uid="{00000000-0005-0000-0000-0000E91D0000}"/>
    <cellStyle name="40 % - Aksentti2 14 7" xfId="2125" xr:uid="{00000000-0005-0000-0000-0000EA1D0000}"/>
    <cellStyle name="40 % - Aksentti2 14 7 2" xfId="7448" xr:uid="{00000000-0005-0000-0000-0000EB1D0000}"/>
    <cellStyle name="40 % - Aksentti2 14 7 3" xfId="15645" xr:uid="{00000000-0005-0000-0000-0000EC1D0000}"/>
    <cellStyle name="40 % - Aksentti2 14 7_060617_hinnat" xfId="23603" xr:uid="{00000000-0005-0000-0000-0000ED1D0000}"/>
    <cellStyle name="40 % - Aksentti2 14 8" xfId="2126" xr:uid="{00000000-0005-0000-0000-0000EE1D0000}"/>
    <cellStyle name="40 % - Aksentti2 14 8 2" xfId="7449" xr:uid="{00000000-0005-0000-0000-0000EF1D0000}"/>
    <cellStyle name="40 % - Aksentti2 14 8 3" xfId="15646" xr:uid="{00000000-0005-0000-0000-0000F01D0000}"/>
    <cellStyle name="40 % - Aksentti2 14 8_060617_hinnat" xfId="23605" xr:uid="{00000000-0005-0000-0000-0000F11D0000}"/>
    <cellStyle name="40 % - Aksentti2 14 9" xfId="2127" xr:uid="{00000000-0005-0000-0000-0000F21D0000}"/>
    <cellStyle name="40 % - Aksentti2 14 9 2" xfId="7450" xr:uid="{00000000-0005-0000-0000-0000F31D0000}"/>
    <cellStyle name="40 % - Aksentti2 14 9 3" xfId="15647" xr:uid="{00000000-0005-0000-0000-0000F41D0000}"/>
    <cellStyle name="40 % - Aksentti2 14 9_060617_hinnat" xfId="23606" xr:uid="{00000000-0005-0000-0000-0000F51D0000}"/>
    <cellStyle name="40 % - Aksentti2 14_060617_hinnat" xfId="23607" xr:uid="{00000000-0005-0000-0000-0000F61D0000}"/>
    <cellStyle name="40 % - Aksentti2 15" xfId="2128" xr:uid="{00000000-0005-0000-0000-0000F71D0000}"/>
    <cellStyle name="40 % - Aksentti2 15 10" xfId="2129" xr:uid="{00000000-0005-0000-0000-0000F81D0000}"/>
    <cellStyle name="40 % - Aksentti2 15 10 2" xfId="7452" xr:uid="{00000000-0005-0000-0000-0000F91D0000}"/>
    <cellStyle name="40 % - Aksentti2 15 10 3" xfId="15649" xr:uid="{00000000-0005-0000-0000-0000FA1D0000}"/>
    <cellStyle name="40 % - Aksentti2 15 10_060617_hinnat" xfId="23608" xr:uid="{00000000-0005-0000-0000-0000FB1D0000}"/>
    <cellStyle name="40 % - Aksentti2 15 11" xfId="7451" xr:uid="{00000000-0005-0000-0000-0000FC1D0000}"/>
    <cellStyle name="40 % - Aksentti2 15 12" xfId="15648" xr:uid="{00000000-0005-0000-0000-0000FD1D0000}"/>
    <cellStyle name="40 % - Aksentti2 15 2" xfId="2130" xr:uid="{00000000-0005-0000-0000-0000FE1D0000}"/>
    <cellStyle name="40 % - Aksentti2 15 2 2" xfId="2131" xr:uid="{00000000-0005-0000-0000-0000FF1D0000}"/>
    <cellStyle name="40 % - Aksentti2 15 2 2 2" xfId="7454" xr:uid="{00000000-0005-0000-0000-0000001E0000}"/>
    <cellStyle name="40 % - Aksentti2 15 2 2 3" xfId="15651" xr:uid="{00000000-0005-0000-0000-0000011E0000}"/>
    <cellStyle name="40 % - Aksentti2 15 2 2_060617_hinnat" xfId="23609" xr:uid="{00000000-0005-0000-0000-0000021E0000}"/>
    <cellStyle name="40 % - Aksentti2 15 2 3" xfId="7453" xr:uid="{00000000-0005-0000-0000-0000031E0000}"/>
    <cellStyle name="40 % - Aksentti2 15 2 4" xfId="15650" xr:uid="{00000000-0005-0000-0000-0000041E0000}"/>
    <cellStyle name="40 % - Aksentti2 15 2_060617_hinnat" xfId="23610" xr:uid="{00000000-0005-0000-0000-0000051E0000}"/>
    <cellStyle name="40 % - Aksentti2 15 3" xfId="2132" xr:uid="{00000000-0005-0000-0000-0000061E0000}"/>
    <cellStyle name="40 % - Aksentti2 15 3 2" xfId="7455" xr:uid="{00000000-0005-0000-0000-0000071E0000}"/>
    <cellStyle name="40 % - Aksentti2 15 3 3" xfId="15652" xr:uid="{00000000-0005-0000-0000-0000081E0000}"/>
    <cellStyle name="40 % - Aksentti2 15 3_060617_hinnat" xfId="23611" xr:uid="{00000000-0005-0000-0000-0000091E0000}"/>
    <cellStyle name="40 % - Aksentti2 15 4" xfId="2133" xr:uid="{00000000-0005-0000-0000-00000A1E0000}"/>
    <cellStyle name="40 % - Aksentti2 15 4 2" xfId="7456" xr:uid="{00000000-0005-0000-0000-00000B1E0000}"/>
    <cellStyle name="40 % - Aksentti2 15 4 3" xfId="15653" xr:uid="{00000000-0005-0000-0000-00000C1E0000}"/>
    <cellStyle name="40 % - Aksentti2 15 4_060617_hinnat" xfId="23612" xr:uid="{00000000-0005-0000-0000-00000D1E0000}"/>
    <cellStyle name="40 % - Aksentti2 15 5" xfId="2134" xr:uid="{00000000-0005-0000-0000-00000E1E0000}"/>
    <cellStyle name="40 % - Aksentti2 15 5 2" xfId="7457" xr:uid="{00000000-0005-0000-0000-00000F1E0000}"/>
    <cellStyle name="40 % - Aksentti2 15 5 3" xfId="15654" xr:uid="{00000000-0005-0000-0000-0000101E0000}"/>
    <cellStyle name="40 % - Aksentti2 15 5_060617_hinnat" xfId="23613" xr:uid="{00000000-0005-0000-0000-0000111E0000}"/>
    <cellStyle name="40 % - Aksentti2 15 6" xfId="2135" xr:uid="{00000000-0005-0000-0000-0000121E0000}"/>
    <cellStyle name="40 % - Aksentti2 15 6 2" xfId="7458" xr:uid="{00000000-0005-0000-0000-0000131E0000}"/>
    <cellStyle name="40 % - Aksentti2 15 6 3" xfId="15655" xr:uid="{00000000-0005-0000-0000-0000141E0000}"/>
    <cellStyle name="40 % - Aksentti2 15 6_060617_hinnat" xfId="23614" xr:uid="{00000000-0005-0000-0000-0000151E0000}"/>
    <cellStyle name="40 % - Aksentti2 15 7" xfId="2136" xr:uid="{00000000-0005-0000-0000-0000161E0000}"/>
    <cellStyle name="40 % - Aksentti2 15 7 2" xfId="7459" xr:uid="{00000000-0005-0000-0000-0000171E0000}"/>
    <cellStyle name="40 % - Aksentti2 15 7 3" xfId="15656" xr:uid="{00000000-0005-0000-0000-0000181E0000}"/>
    <cellStyle name="40 % - Aksentti2 15 7_060617_hinnat" xfId="23615" xr:uid="{00000000-0005-0000-0000-0000191E0000}"/>
    <cellStyle name="40 % - Aksentti2 15 8" xfId="2137" xr:uid="{00000000-0005-0000-0000-00001A1E0000}"/>
    <cellStyle name="40 % - Aksentti2 15 8 2" xfId="7460" xr:uid="{00000000-0005-0000-0000-00001B1E0000}"/>
    <cellStyle name="40 % - Aksentti2 15 8 3" xfId="15657" xr:uid="{00000000-0005-0000-0000-00001C1E0000}"/>
    <cellStyle name="40 % - Aksentti2 15 8_060617_hinnat" xfId="23616" xr:uid="{00000000-0005-0000-0000-00001D1E0000}"/>
    <cellStyle name="40 % - Aksentti2 15 9" xfId="2138" xr:uid="{00000000-0005-0000-0000-00001E1E0000}"/>
    <cellStyle name="40 % - Aksentti2 15 9 2" xfId="7461" xr:uid="{00000000-0005-0000-0000-00001F1E0000}"/>
    <cellStyle name="40 % - Aksentti2 15 9 3" xfId="15658" xr:uid="{00000000-0005-0000-0000-0000201E0000}"/>
    <cellStyle name="40 % - Aksentti2 15 9_060617_hinnat" xfId="23617" xr:uid="{00000000-0005-0000-0000-0000211E0000}"/>
    <cellStyle name="40 % - Aksentti2 15_060617_hinnat" xfId="23618" xr:uid="{00000000-0005-0000-0000-0000221E0000}"/>
    <cellStyle name="40 % - Aksentti2 16" xfId="2139" xr:uid="{00000000-0005-0000-0000-0000231E0000}"/>
    <cellStyle name="40 % - Aksentti2 16 2" xfId="7462" xr:uid="{00000000-0005-0000-0000-0000241E0000}"/>
    <cellStyle name="40 % - Aksentti2 16 3" xfId="15659" xr:uid="{00000000-0005-0000-0000-0000251E0000}"/>
    <cellStyle name="40 % - Aksentti2 16_060617_hinnat" xfId="23619" xr:uid="{00000000-0005-0000-0000-0000261E0000}"/>
    <cellStyle name="40 % - Aksentti2 17" xfId="2140" xr:uid="{00000000-0005-0000-0000-0000271E0000}"/>
    <cellStyle name="40 % - Aksentti2 17 2" xfId="7463" xr:uid="{00000000-0005-0000-0000-0000281E0000}"/>
    <cellStyle name="40 % - Aksentti2 17 3" xfId="15660" xr:uid="{00000000-0005-0000-0000-0000291E0000}"/>
    <cellStyle name="40 % - Aksentti2 17_060617_hinnat" xfId="23620" xr:uid="{00000000-0005-0000-0000-00002A1E0000}"/>
    <cellStyle name="40 % - Aksentti2 18" xfId="2141" xr:uid="{00000000-0005-0000-0000-00002B1E0000}"/>
    <cellStyle name="40 % - Aksentti2 18 2" xfId="7464" xr:uid="{00000000-0005-0000-0000-00002C1E0000}"/>
    <cellStyle name="40 % - Aksentti2 18 3" xfId="15661" xr:uid="{00000000-0005-0000-0000-00002D1E0000}"/>
    <cellStyle name="40 % - Aksentti2 18_060617_hinnat" xfId="23622" xr:uid="{00000000-0005-0000-0000-00002E1E0000}"/>
    <cellStyle name="40 % - Aksentti2 19" xfId="2142" xr:uid="{00000000-0005-0000-0000-00002F1E0000}"/>
    <cellStyle name="40 % - Aksentti2 19 2" xfId="7465" xr:uid="{00000000-0005-0000-0000-0000301E0000}"/>
    <cellStyle name="40 % - Aksentti2 19 3" xfId="15662" xr:uid="{00000000-0005-0000-0000-0000311E0000}"/>
    <cellStyle name="40 % - Aksentti2 19_060617_hinnat" xfId="23623" xr:uid="{00000000-0005-0000-0000-0000321E0000}"/>
    <cellStyle name="40 % - Aksentti2 2" xfId="22" xr:uid="{00000000-0005-0000-0000-0000331E0000}"/>
    <cellStyle name="40 % - Aksentti2 2 10" xfId="2144" xr:uid="{00000000-0005-0000-0000-0000341E0000}"/>
    <cellStyle name="40 % - Aksentti2 2 10 2" xfId="7467" xr:uid="{00000000-0005-0000-0000-0000351E0000}"/>
    <cellStyle name="40 % - Aksentti2 2 10 3" xfId="15664" xr:uid="{00000000-0005-0000-0000-0000361E0000}"/>
    <cellStyle name="40 % - Aksentti2 2 10_060617_hinnat" xfId="23625" xr:uid="{00000000-0005-0000-0000-0000371E0000}"/>
    <cellStyle name="40 % - Aksentti2 2 11" xfId="2143" xr:uid="{00000000-0005-0000-0000-0000381E0000}"/>
    <cellStyle name="40 % - Aksentti2 2 11 2" xfId="7468" xr:uid="{00000000-0005-0000-0000-0000391E0000}"/>
    <cellStyle name="40 % - Aksentti2 2 11 3" xfId="15663" xr:uid="{00000000-0005-0000-0000-00003A1E0000}"/>
    <cellStyle name="40 % - Aksentti2 2 11_060617_hinnat" xfId="23626" xr:uid="{00000000-0005-0000-0000-00003B1E0000}"/>
    <cellStyle name="40 % - Aksentti2 2 12" xfId="25056" xr:uid="{00000000-0005-0000-0000-00003C1E0000}"/>
    <cellStyle name="40 % - Aksentti2 2 13" xfId="26189" xr:uid="{00000000-0005-0000-0000-00003D1E0000}"/>
    <cellStyle name="40 % - Aksentti2 2 14" xfId="26594" xr:uid="{00000000-0005-0000-0000-00003E1E0000}"/>
    <cellStyle name="40 % - Aksentti2 2 15" xfId="25462" xr:uid="{00000000-0005-0000-0000-00003F1E0000}"/>
    <cellStyle name="40 % - Aksentti2 2 16" xfId="25611" xr:uid="{00000000-0005-0000-0000-0000401E0000}"/>
    <cellStyle name="40 % - Aksentti2 2 17" xfId="25749" xr:uid="{00000000-0005-0000-0000-0000411E0000}"/>
    <cellStyle name="40 % - Aksentti2 2 18" xfId="25319" xr:uid="{00000000-0005-0000-0000-0000421E0000}"/>
    <cellStyle name="40 % - Aksentti2 2 19" xfId="25822" xr:uid="{00000000-0005-0000-0000-0000431E0000}"/>
    <cellStyle name="40 % - Aksentti2 2 2" xfId="154" xr:uid="{00000000-0005-0000-0000-0000441E0000}"/>
    <cellStyle name="40 % - Aksentti2 2 2 10" xfId="2146" xr:uid="{00000000-0005-0000-0000-0000451E0000}"/>
    <cellStyle name="40 % - Aksentti2 2 2 10 2" xfId="7470" xr:uid="{00000000-0005-0000-0000-0000461E0000}"/>
    <cellStyle name="40 % - Aksentti2 2 2 10 3" xfId="15666" xr:uid="{00000000-0005-0000-0000-0000471E0000}"/>
    <cellStyle name="40 % - Aksentti2 2 2 10_060617_hinnat" xfId="23629" xr:uid="{00000000-0005-0000-0000-0000481E0000}"/>
    <cellStyle name="40 % - Aksentti2 2 2 11" xfId="2145" xr:uid="{00000000-0005-0000-0000-0000491E0000}"/>
    <cellStyle name="40 % - Aksentti2 2 2 11 2" xfId="7471" xr:uid="{00000000-0005-0000-0000-00004A1E0000}"/>
    <cellStyle name="40 % - Aksentti2 2 2 11 3" xfId="15665" xr:uid="{00000000-0005-0000-0000-00004B1E0000}"/>
    <cellStyle name="40 % - Aksentti2 2 2 11_060617_hinnat" xfId="23630" xr:uid="{00000000-0005-0000-0000-00004C1E0000}"/>
    <cellStyle name="40 % - Aksentti2 2 2 12" xfId="25079" xr:uid="{00000000-0005-0000-0000-00004D1E0000}"/>
    <cellStyle name="40 % - Aksentti2 2 2 13" xfId="25655" xr:uid="{00000000-0005-0000-0000-00004E1E0000}"/>
    <cellStyle name="40 % - Aksentti2 2 2 14" xfId="25959" xr:uid="{00000000-0005-0000-0000-00004F1E0000}"/>
    <cellStyle name="40 % - Aksentti2 2 2 15" xfId="25737" xr:uid="{00000000-0005-0000-0000-0000501E0000}"/>
    <cellStyle name="40 % - Aksentti2 2 2 16" xfId="26553" xr:uid="{00000000-0005-0000-0000-0000511E0000}"/>
    <cellStyle name="40 % - Aksentti2 2 2 17" xfId="26068" xr:uid="{00000000-0005-0000-0000-0000521E0000}"/>
    <cellStyle name="40 % - Aksentti2 2 2 18" xfId="25920" xr:uid="{00000000-0005-0000-0000-0000531E0000}"/>
    <cellStyle name="40 % - Aksentti2 2 2 19" xfId="25267" xr:uid="{00000000-0005-0000-0000-0000541E0000}"/>
    <cellStyle name="40 % - Aksentti2 2 2 2" xfId="377" xr:uid="{00000000-0005-0000-0000-0000551E0000}"/>
    <cellStyle name="40 % - Aksentti2 2 2 2 10" xfId="11307" xr:uid="{00000000-0005-0000-0000-0000561E0000}"/>
    <cellStyle name="40 % - Aksentti2 2 2 2 2" xfId="2148" xr:uid="{00000000-0005-0000-0000-0000571E0000}"/>
    <cellStyle name="40 % - Aksentti2 2 2 2 2 2" xfId="7473" xr:uid="{00000000-0005-0000-0000-0000581E0000}"/>
    <cellStyle name="40 % - Aksentti2 2 2 2 2 3" xfId="15668" xr:uid="{00000000-0005-0000-0000-0000591E0000}"/>
    <cellStyle name="40 % - Aksentti2 2 2 2 2_060617_hinnat" xfId="23631" xr:uid="{00000000-0005-0000-0000-00005A1E0000}"/>
    <cellStyle name="40 % - Aksentti2 2 2 2 3" xfId="2147" xr:uid="{00000000-0005-0000-0000-00005B1E0000}"/>
    <cellStyle name="40 % - Aksentti2 2 2 2 3 2" xfId="7474" xr:uid="{00000000-0005-0000-0000-00005C1E0000}"/>
    <cellStyle name="40 % - Aksentti2 2 2 2 3 3" xfId="15667" xr:uid="{00000000-0005-0000-0000-00005D1E0000}"/>
    <cellStyle name="40 % - Aksentti2 2 2 2 3_060617_hinnat" xfId="23632" xr:uid="{00000000-0005-0000-0000-00005E1E0000}"/>
    <cellStyle name="40 % - Aksentti2 2 2 2 4" xfId="10878" xr:uid="{00000000-0005-0000-0000-00005F1E0000}"/>
    <cellStyle name="40 % - Aksentti2 2 2 2 5" xfId="11075" xr:uid="{00000000-0005-0000-0000-0000601E0000}"/>
    <cellStyle name="40 % - Aksentti2 2 2 2 6" xfId="10946" xr:uid="{00000000-0005-0000-0000-0000611E0000}"/>
    <cellStyle name="40 % - Aksentti2 2 2 2 7" xfId="13914" xr:uid="{00000000-0005-0000-0000-0000621E0000}"/>
    <cellStyle name="40 % - Aksentti2 2 2 2 8" xfId="20599" xr:uid="{00000000-0005-0000-0000-0000631E0000}"/>
    <cellStyle name="40 % - Aksentti2 2 2 2 9" xfId="10998" xr:uid="{00000000-0005-0000-0000-0000641E0000}"/>
    <cellStyle name="40 % - Aksentti2 2 2 2_##Keskeiset" xfId="7472" xr:uid="{00000000-0005-0000-0000-0000651E0000}"/>
    <cellStyle name="40 % - Aksentti2 2 2 20" xfId="25825" xr:uid="{00000000-0005-0000-0000-0000661E0000}"/>
    <cellStyle name="40 % - Aksentti2 2 2 21" xfId="26390" xr:uid="{00000000-0005-0000-0000-0000671E0000}"/>
    <cellStyle name="40 % - Aksentti2 2 2 22" xfId="25312" xr:uid="{00000000-0005-0000-0000-0000681E0000}"/>
    <cellStyle name="40 % - Aksentti2 2 2 23" xfId="25922" xr:uid="{00000000-0005-0000-0000-0000691E0000}"/>
    <cellStyle name="40 % - Aksentti2 2 2 24" xfId="25615" xr:uid="{00000000-0005-0000-0000-00006A1E0000}"/>
    <cellStyle name="40 % - Aksentti2 2 2 25" xfId="25953" xr:uid="{00000000-0005-0000-0000-00006B1E0000}"/>
    <cellStyle name="40 % - Aksentti2 2 2 26" xfId="26441" xr:uid="{00000000-0005-0000-0000-00006C1E0000}"/>
    <cellStyle name="40 % - Aksentti2 2 2 27" xfId="25440" xr:uid="{00000000-0005-0000-0000-00006D1E0000}"/>
    <cellStyle name="40 % - Aksentti2 2 2 28" xfId="23627" xr:uid="{00000000-0005-0000-0000-00006E1E0000}"/>
    <cellStyle name="40 % - Aksentti2 2 2 29" xfId="24925" xr:uid="{00000000-0005-0000-0000-00006F1E0000}"/>
    <cellStyle name="40 % - Aksentti2 2 2 3" xfId="2149" xr:uid="{00000000-0005-0000-0000-0000701E0000}"/>
    <cellStyle name="40 % - Aksentti2 2 2 3 2" xfId="10879" xr:uid="{00000000-0005-0000-0000-0000711E0000}"/>
    <cellStyle name="40 % - Aksentti2 2 2 3 3" xfId="15669" xr:uid="{00000000-0005-0000-0000-0000721E0000}"/>
    <cellStyle name="40 % - Aksentti2 2 2 3_DataIX" xfId="30550" xr:uid="{00000000-0005-0000-0000-0000731E0000}"/>
    <cellStyle name="40 % - Aksentti2 2 2 30" xfId="23188" xr:uid="{00000000-0005-0000-0000-0000741E0000}"/>
    <cellStyle name="40 % - Aksentti2 2 2 31" xfId="24919" xr:uid="{00000000-0005-0000-0000-0000751E0000}"/>
    <cellStyle name="40 % - Aksentti2 2 2 32" xfId="23193" xr:uid="{00000000-0005-0000-0000-0000761E0000}"/>
    <cellStyle name="40 % - Aksentti2 2 2 33" xfId="24756" xr:uid="{00000000-0005-0000-0000-0000771E0000}"/>
    <cellStyle name="40 % - Aksentti2 2 2 4" xfId="2150" xr:uid="{00000000-0005-0000-0000-0000781E0000}"/>
    <cellStyle name="40 % - Aksentti2 2 2 4 2" xfId="7475" xr:uid="{00000000-0005-0000-0000-0000791E0000}"/>
    <cellStyle name="40 % - Aksentti2 2 2 4 3" xfId="15670" xr:uid="{00000000-0005-0000-0000-00007A1E0000}"/>
    <cellStyle name="40 % - Aksentti2 2 2 4_060617_hinnat" xfId="23633" xr:uid="{00000000-0005-0000-0000-00007B1E0000}"/>
    <cellStyle name="40 % - Aksentti2 2 2 5" xfId="2151" xr:uid="{00000000-0005-0000-0000-00007C1E0000}"/>
    <cellStyle name="40 % - Aksentti2 2 2 5 2" xfId="7476" xr:uid="{00000000-0005-0000-0000-00007D1E0000}"/>
    <cellStyle name="40 % - Aksentti2 2 2 5 3" xfId="15671" xr:uid="{00000000-0005-0000-0000-00007E1E0000}"/>
    <cellStyle name="40 % - Aksentti2 2 2 5_060617_hinnat" xfId="23634" xr:uid="{00000000-0005-0000-0000-00007F1E0000}"/>
    <cellStyle name="40 % - Aksentti2 2 2 6" xfId="2152" xr:uid="{00000000-0005-0000-0000-0000801E0000}"/>
    <cellStyle name="40 % - Aksentti2 2 2 6 2" xfId="7477" xr:uid="{00000000-0005-0000-0000-0000811E0000}"/>
    <cellStyle name="40 % - Aksentti2 2 2 6 3" xfId="15672" xr:uid="{00000000-0005-0000-0000-0000821E0000}"/>
    <cellStyle name="40 % - Aksentti2 2 2 6_060617_hinnat" xfId="23635" xr:uid="{00000000-0005-0000-0000-0000831E0000}"/>
    <cellStyle name="40 % - Aksentti2 2 2 7" xfId="2153" xr:uid="{00000000-0005-0000-0000-0000841E0000}"/>
    <cellStyle name="40 % - Aksentti2 2 2 7 2" xfId="7478" xr:uid="{00000000-0005-0000-0000-0000851E0000}"/>
    <cellStyle name="40 % - Aksentti2 2 2 7 3" xfId="15673" xr:uid="{00000000-0005-0000-0000-0000861E0000}"/>
    <cellStyle name="40 % - Aksentti2 2 2 7_060617_hinnat" xfId="23636" xr:uid="{00000000-0005-0000-0000-0000871E0000}"/>
    <cellStyle name="40 % - Aksentti2 2 2 8" xfId="2154" xr:uid="{00000000-0005-0000-0000-0000881E0000}"/>
    <cellStyle name="40 % - Aksentti2 2 2 8 2" xfId="7479" xr:uid="{00000000-0005-0000-0000-0000891E0000}"/>
    <cellStyle name="40 % - Aksentti2 2 2 8 3" xfId="15674" xr:uid="{00000000-0005-0000-0000-00008A1E0000}"/>
    <cellStyle name="40 % - Aksentti2 2 2 8_060617_hinnat" xfId="23637" xr:uid="{00000000-0005-0000-0000-00008B1E0000}"/>
    <cellStyle name="40 % - Aksentti2 2 2 9" xfId="2155" xr:uid="{00000000-0005-0000-0000-00008C1E0000}"/>
    <cellStyle name="40 % - Aksentti2 2 2 9 2" xfId="7480" xr:uid="{00000000-0005-0000-0000-00008D1E0000}"/>
    <cellStyle name="40 % - Aksentti2 2 2 9 3" xfId="15675" xr:uid="{00000000-0005-0000-0000-00008E1E0000}"/>
    <cellStyle name="40 % - Aksentti2 2 2 9_060617_hinnat" xfId="23638" xr:uid="{00000000-0005-0000-0000-00008F1E0000}"/>
    <cellStyle name="40 % - Aksentti2 2 2_##Keskeiset" xfId="7469" xr:uid="{00000000-0005-0000-0000-0000901E0000}"/>
    <cellStyle name="40 % - Aksentti2 2 20" xfId="26321" xr:uid="{00000000-0005-0000-0000-0000911E0000}"/>
    <cellStyle name="40 % - Aksentti2 2 21" xfId="26674" xr:uid="{00000000-0005-0000-0000-0000921E0000}"/>
    <cellStyle name="40 % - Aksentti2 2 22" xfId="25725" xr:uid="{00000000-0005-0000-0000-0000931E0000}"/>
    <cellStyle name="40 % - Aksentti2 2 23" xfId="26389" xr:uid="{00000000-0005-0000-0000-0000941E0000}"/>
    <cellStyle name="40 % - Aksentti2 2 24" xfId="26362" xr:uid="{00000000-0005-0000-0000-0000951E0000}"/>
    <cellStyle name="40 % - Aksentti2 2 25" xfId="25978" xr:uid="{00000000-0005-0000-0000-0000961E0000}"/>
    <cellStyle name="40 % - Aksentti2 2 26" xfId="25468" xr:uid="{00000000-0005-0000-0000-0000971E0000}"/>
    <cellStyle name="40 % - Aksentti2 2 27" xfId="26372" xr:uid="{00000000-0005-0000-0000-0000981E0000}"/>
    <cellStyle name="40 % - Aksentti2 2 28" xfId="23624" xr:uid="{00000000-0005-0000-0000-0000991E0000}"/>
    <cellStyle name="40 % - Aksentti2 2 29" xfId="24926" xr:uid="{00000000-0005-0000-0000-00009A1E0000}"/>
    <cellStyle name="40 % - Aksentti2 2 3" xfId="155" xr:uid="{00000000-0005-0000-0000-00009B1E0000}"/>
    <cellStyle name="40 % - Aksentti2 2 3 2" xfId="2157" xr:uid="{00000000-0005-0000-0000-00009C1E0000}"/>
    <cellStyle name="40 % - Aksentti2 2 3 2 2" xfId="2158" xr:uid="{00000000-0005-0000-0000-00009D1E0000}"/>
    <cellStyle name="40 % - Aksentti2 2 3 2 2 2" xfId="7481" xr:uid="{00000000-0005-0000-0000-00009E1E0000}"/>
    <cellStyle name="40 % - Aksentti2 2 3 2 2 3" xfId="15678" xr:uid="{00000000-0005-0000-0000-00009F1E0000}"/>
    <cellStyle name="40 % - Aksentti2 2 3 2 2_060617_hinnat" xfId="23639" xr:uid="{00000000-0005-0000-0000-0000A01E0000}"/>
    <cellStyle name="40 % - Aksentti2 2 3 2 3" xfId="5502" xr:uid="{00000000-0005-0000-0000-0000A11E0000}"/>
    <cellStyle name="40 % - Aksentti2 2 3 2 4" xfId="15677" xr:uid="{00000000-0005-0000-0000-0000A21E0000}"/>
    <cellStyle name="40 % - Aksentti2 2 3 2_060617_hinnat" xfId="23640" xr:uid="{00000000-0005-0000-0000-0000A31E0000}"/>
    <cellStyle name="40 % - Aksentti2 2 3 3" xfId="2159" xr:uid="{00000000-0005-0000-0000-0000A41E0000}"/>
    <cellStyle name="40 % - Aksentti2 2 3 3 2" xfId="7482" xr:uid="{00000000-0005-0000-0000-0000A51E0000}"/>
    <cellStyle name="40 % - Aksentti2 2 3 3 2 2" xfId="11353" xr:uid="{00000000-0005-0000-0000-0000A61E0000}"/>
    <cellStyle name="40 % - Aksentti2 2 3 3 2 3" xfId="19135" xr:uid="{00000000-0005-0000-0000-0000A71E0000}"/>
    <cellStyle name="40 % - Aksentti2 2 3 3 2_DataIX" xfId="30551" xr:uid="{00000000-0005-0000-0000-0000A81E0000}"/>
    <cellStyle name="40 % - Aksentti2 2 3 3 3" xfId="15679" xr:uid="{00000000-0005-0000-0000-0000A91E0000}"/>
    <cellStyle name="40 % - Aksentti2 2 3 3_060617_hinnat" xfId="23641" xr:uid="{00000000-0005-0000-0000-0000AA1E0000}"/>
    <cellStyle name="40 % - Aksentti2 2 3 4" xfId="2156" xr:uid="{00000000-0005-0000-0000-0000AB1E0000}"/>
    <cellStyle name="40 % - Aksentti2 2 3 4 2" xfId="7483" xr:uid="{00000000-0005-0000-0000-0000AC1E0000}"/>
    <cellStyle name="40 % - Aksentti2 2 3 4 2 2" xfId="11354" xr:uid="{00000000-0005-0000-0000-0000AD1E0000}"/>
    <cellStyle name="40 % - Aksentti2 2 3 4 2 3" xfId="19136" xr:uid="{00000000-0005-0000-0000-0000AE1E0000}"/>
    <cellStyle name="40 % - Aksentti2 2 3 4 2_DataIX" xfId="30552" xr:uid="{00000000-0005-0000-0000-0000AF1E0000}"/>
    <cellStyle name="40 % - Aksentti2 2 3 4 3" xfId="15676" xr:uid="{00000000-0005-0000-0000-0000B01E0000}"/>
    <cellStyle name="40 % - Aksentti2 2 3 4_060617_hinnat" xfId="23642" xr:uid="{00000000-0005-0000-0000-0000B11E0000}"/>
    <cellStyle name="40 % - Aksentti2 2 3_##Keskeiset" xfId="5501" xr:uid="{00000000-0005-0000-0000-0000B21E0000}"/>
    <cellStyle name="40 % - Aksentti2 2 30" xfId="23187" xr:uid="{00000000-0005-0000-0000-0000B31E0000}"/>
    <cellStyle name="40 % - Aksentti2 2 31" xfId="24920" xr:uid="{00000000-0005-0000-0000-0000B41E0000}"/>
    <cellStyle name="40 % - Aksentti2 2 32" xfId="23192" xr:uid="{00000000-0005-0000-0000-0000B51E0000}"/>
    <cellStyle name="40 % - Aksentti2 2 33" xfId="24760" xr:uid="{00000000-0005-0000-0000-0000B61E0000}"/>
    <cellStyle name="40 % - Aksentti2 2 4" xfId="2160" xr:uid="{00000000-0005-0000-0000-0000B71E0000}"/>
    <cellStyle name="40 % - Aksentti2 2 4 2" xfId="2161" xr:uid="{00000000-0005-0000-0000-0000B81E0000}"/>
    <cellStyle name="40 % - Aksentti2 2 4 2 2" xfId="2162" xr:uid="{00000000-0005-0000-0000-0000B91E0000}"/>
    <cellStyle name="40 % - Aksentti2 2 4 2 2 2" xfId="7486" xr:uid="{00000000-0005-0000-0000-0000BA1E0000}"/>
    <cellStyle name="40 % - Aksentti2 2 4 2 2 2 2" xfId="11355" xr:uid="{00000000-0005-0000-0000-0000BB1E0000}"/>
    <cellStyle name="40 % - Aksentti2 2 4 2 2 2 3" xfId="19138" xr:uid="{00000000-0005-0000-0000-0000BC1E0000}"/>
    <cellStyle name="40 % - Aksentti2 2 4 2 2 2_DataIX" xfId="30553" xr:uid="{00000000-0005-0000-0000-0000BD1E0000}"/>
    <cellStyle name="40 % - Aksentti2 2 4 2 2 3" xfId="15682" xr:uid="{00000000-0005-0000-0000-0000BE1E0000}"/>
    <cellStyle name="40 % - Aksentti2 2 4 2 2_060617_hinnat" xfId="23644" xr:uid="{00000000-0005-0000-0000-0000BF1E0000}"/>
    <cellStyle name="40 % - Aksentti2 2 4 2 3" xfId="7485" xr:uid="{00000000-0005-0000-0000-0000C01E0000}"/>
    <cellStyle name="40 % - Aksentti2 2 4 2 3 2" xfId="11356" xr:uid="{00000000-0005-0000-0000-0000C11E0000}"/>
    <cellStyle name="40 % - Aksentti2 2 4 2 3 3" xfId="19137" xr:uid="{00000000-0005-0000-0000-0000C21E0000}"/>
    <cellStyle name="40 % - Aksentti2 2 4 2 3_DataIX" xfId="30554" xr:uid="{00000000-0005-0000-0000-0000C31E0000}"/>
    <cellStyle name="40 % - Aksentti2 2 4 2 4" xfId="15681" xr:uid="{00000000-0005-0000-0000-0000C41E0000}"/>
    <cellStyle name="40 % - Aksentti2 2 4 2_060617_hinnat" xfId="23645" xr:uid="{00000000-0005-0000-0000-0000C51E0000}"/>
    <cellStyle name="40 % - Aksentti2 2 4 3" xfId="2163" xr:uid="{00000000-0005-0000-0000-0000C61E0000}"/>
    <cellStyle name="40 % - Aksentti2 2 4 3 2" xfId="7487" xr:uid="{00000000-0005-0000-0000-0000C71E0000}"/>
    <cellStyle name="40 % - Aksentti2 2 4 3 2 2" xfId="11357" xr:uid="{00000000-0005-0000-0000-0000C81E0000}"/>
    <cellStyle name="40 % - Aksentti2 2 4 3 2 3" xfId="19139" xr:uid="{00000000-0005-0000-0000-0000C91E0000}"/>
    <cellStyle name="40 % - Aksentti2 2 4 3 2_DataIX" xfId="30555" xr:uid="{00000000-0005-0000-0000-0000CA1E0000}"/>
    <cellStyle name="40 % - Aksentti2 2 4 3 3" xfId="15683" xr:uid="{00000000-0005-0000-0000-0000CB1E0000}"/>
    <cellStyle name="40 % - Aksentti2 2 4 3_060617_hinnat" xfId="23646" xr:uid="{00000000-0005-0000-0000-0000CC1E0000}"/>
    <cellStyle name="40 % - Aksentti2 2 4 4" xfId="5503" xr:uid="{00000000-0005-0000-0000-0000CD1E0000}"/>
    <cellStyle name="40 % - Aksentti2 2 4 4 2" xfId="11358" xr:uid="{00000000-0005-0000-0000-0000CE1E0000}"/>
    <cellStyle name="40 % - Aksentti2 2 4 4 3" xfId="18746" xr:uid="{00000000-0005-0000-0000-0000CF1E0000}"/>
    <cellStyle name="40 % - Aksentti2 2 4 4_DataIX" xfId="30556" xr:uid="{00000000-0005-0000-0000-0000D01E0000}"/>
    <cellStyle name="40 % - Aksentti2 2 4 5" xfId="5720" xr:uid="{00000000-0005-0000-0000-0000D11E0000}"/>
    <cellStyle name="40 % - Aksentti2 2 4 5 2" xfId="11359" xr:uid="{00000000-0005-0000-0000-0000D21E0000}"/>
    <cellStyle name="40 % - Aksentti2 2 4 5 3" xfId="18931" xr:uid="{00000000-0005-0000-0000-0000D31E0000}"/>
    <cellStyle name="40 % - Aksentti2 2 4 5_DataIX" xfId="30557" xr:uid="{00000000-0005-0000-0000-0000D41E0000}"/>
    <cellStyle name="40 % - Aksentti2 2 4 6" xfId="10609" xr:uid="{00000000-0005-0000-0000-0000D51E0000}"/>
    <cellStyle name="40 % - Aksentti2 2 4 6 2" xfId="11360" xr:uid="{00000000-0005-0000-0000-0000D61E0000}"/>
    <cellStyle name="40 % - Aksentti2 2 4 6 3" xfId="20391" xr:uid="{00000000-0005-0000-0000-0000D71E0000}"/>
    <cellStyle name="40 % - Aksentti2 2 4 6_DataIX" xfId="30558" xr:uid="{00000000-0005-0000-0000-0000D81E0000}"/>
    <cellStyle name="40 % - Aksentti2 2 4 7" xfId="10565" xr:uid="{00000000-0005-0000-0000-0000D91E0000}"/>
    <cellStyle name="40 % - Aksentti2 2 4 7 2" xfId="11361" xr:uid="{00000000-0005-0000-0000-0000DA1E0000}"/>
    <cellStyle name="40 % - Aksentti2 2 4 7 3" xfId="20347" xr:uid="{00000000-0005-0000-0000-0000DB1E0000}"/>
    <cellStyle name="40 % - Aksentti2 2 4 7_DataIX" xfId="30559" xr:uid="{00000000-0005-0000-0000-0000DC1E0000}"/>
    <cellStyle name="40 % - Aksentti2 2 4 8" xfId="10574" xr:uid="{00000000-0005-0000-0000-0000DD1E0000}"/>
    <cellStyle name="40 % - Aksentti2 2 4 8 2" xfId="11362" xr:uid="{00000000-0005-0000-0000-0000DE1E0000}"/>
    <cellStyle name="40 % - Aksentti2 2 4 8 3" xfId="20356" xr:uid="{00000000-0005-0000-0000-0000DF1E0000}"/>
    <cellStyle name="40 % - Aksentti2 2 4 8_DataIX" xfId="30560" xr:uid="{00000000-0005-0000-0000-0000E01E0000}"/>
    <cellStyle name="40 % - Aksentti2 2 4 9" xfId="15680" xr:uid="{00000000-0005-0000-0000-0000E11E0000}"/>
    <cellStyle name="40 % - Aksentti2 2 4_##Keskeiset" xfId="7484" xr:uid="{00000000-0005-0000-0000-0000E21E0000}"/>
    <cellStyle name="40 % - Aksentti2 2 5" xfId="2164" xr:uid="{00000000-0005-0000-0000-0000E31E0000}"/>
    <cellStyle name="40 % - Aksentti2 2 5 2" xfId="2165" xr:uid="{00000000-0005-0000-0000-0000E41E0000}"/>
    <cellStyle name="40 % - Aksentti2 2 5 2 2" xfId="7489" xr:uid="{00000000-0005-0000-0000-0000E51E0000}"/>
    <cellStyle name="40 % - Aksentti2 2 5 2 2 2" xfId="11363" xr:uid="{00000000-0005-0000-0000-0000E61E0000}"/>
    <cellStyle name="40 % - Aksentti2 2 5 2 2 3" xfId="19141" xr:uid="{00000000-0005-0000-0000-0000E71E0000}"/>
    <cellStyle name="40 % - Aksentti2 2 5 2 2_DataIX" xfId="30561" xr:uid="{00000000-0005-0000-0000-0000E81E0000}"/>
    <cellStyle name="40 % - Aksentti2 2 5 2 3" xfId="15685" xr:uid="{00000000-0005-0000-0000-0000E91E0000}"/>
    <cellStyle name="40 % - Aksentti2 2 5 2_060617_hinnat" xfId="23647" xr:uid="{00000000-0005-0000-0000-0000EA1E0000}"/>
    <cellStyle name="40 % - Aksentti2 2 5 3" xfId="7488" xr:uid="{00000000-0005-0000-0000-0000EB1E0000}"/>
    <cellStyle name="40 % - Aksentti2 2 5 3 2" xfId="11364" xr:uid="{00000000-0005-0000-0000-0000EC1E0000}"/>
    <cellStyle name="40 % - Aksentti2 2 5 3 3" xfId="19140" xr:uid="{00000000-0005-0000-0000-0000ED1E0000}"/>
    <cellStyle name="40 % - Aksentti2 2 5 3_DataIX" xfId="30562" xr:uid="{00000000-0005-0000-0000-0000EE1E0000}"/>
    <cellStyle name="40 % - Aksentti2 2 5 4" xfId="15684" xr:uid="{00000000-0005-0000-0000-0000EF1E0000}"/>
    <cellStyle name="40 % - Aksentti2 2 5_060617_hinnat" xfId="23648" xr:uid="{00000000-0005-0000-0000-0000F01E0000}"/>
    <cellStyle name="40 % - Aksentti2 2 6" xfId="2166" xr:uid="{00000000-0005-0000-0000-0000F11E0000}"/>
    <cellStyle name="40 % - Aksentti2 2 6 2" xfId="7490" xr:uid="{00000000-0005-0000-0000-0000F21E0000}"/>
    <cellStyle name="40 % - Aksentti2 2 6 2 2" xfId="11365" xr:uid="{00000000-0005-0000-0000-0000F31E0000}"/>
    <cellStyle name="40 % - Aksentti2 2 6 2 3" xfId="19142" xr:uid="{00000000-0005-0000-0000-0000F41E0000}"/>
    <cellStyle name="40 % - Aksentti2 2 6 2_DataIX" xfId="30563" xr:uid="{00000000-0005-0000-0000-0000F51E0000}"/>
    <cellStyle name="40 % - Aksentti2 2 6 3" xfId="15686" xr:uid="{00000000-0005-0000-0000-0000F61E0000}"/>
    <cellStyle name="40 % - Aksentti2 2 6_060617_hinnat" xfId="23649" xr:uid="{00000000-0005-0000-0000-0000F71E0000}"/>
    <cellStyle name="40 % - Aksentti2 2 7" xfId="2167" xr:uid="{00000000-0005-0000-0000-0000F81E0000}"/>
    <cellStyle name="40 % - Aksentti2 2 7 2" xfId="7491" xr:uid="{00000000-0005-0000-0000-0000F91E0000}"/>
    <cellStyle name="40 % - Aksentti2 2 7 2 2" xfId="11366" xr:uid="{00000000-0005-0000-0000-0000FA1E0000}"/>
    <cellStyle name="40 % - Aksentti2 2 7 2 3" xfId="19143" xr:uid="{00000000-0005-0000-0000-0000FB1E0000}"/>
    <cellStyle name="40 % - Aksentti2 2 7 2_DataIX" xfId="30564" xr:uid="{00000000-0005-0000-0000-0000FC1E0000}"/>
    <cellStyle name="40 % - Aksentti2 2 7 3" xfId="15687" xr:uid="{00000000-0005-0000-0000-0000FD1E0000}"/>
    <cellStyle name="40 % - Aksentti2 2 7_060617_hinnat" xfId="23651" xr:uid="{00000000-0005-0000-0000-0000FE1E0000}"/>
    <cellStyle name="40 % - Aksentti2 2 8" xfId="2168" xr:uid="{00000000-0005-0000-0000-0000FF1E0000}"/>
    <cellStyle name="40 % - Aksentti2 2 8 2" xfId="7492" xr:uid="{00000000-0005-0000-0000-0000001F0000}"/>
    <cellStyle name="40 % - Aksentti2 2 8 2 2" xfId="11367" xr:uid="{00000000-0005-0000-0000-0000011F0000}"/>
    <cellStyle name="40 % - Aksentti2 2 8 2 3" xfId="19144" xr:uid="{00000000-0005-0000-0000-0000021F0000}"/>
    <cellStyle name="40 % - Aksentti2 2 8 2_DataIX" xfId="30565" xr:uid="{00000000-0005-0000-0000-0000031F0000}"/>
    <cellStyle name="40 % - Aksentti2 2 8 3" xfId="15688" xr:uid="{00000000-0005-0000-0000-0000041F0000}"/>
    <cellStyle name="40 % - Aksentti2 2 8_060617_hinnat" xfId="23652" xr:uid="{00000000-0005-0000-0000-0000051F0000}"/>
    <cellStyle name="40 % - Aksentti2 2 9" xfId="2169" xr:uid="{00000000-0005-0000-0000-0000061F0000}"/>
    <cellStyle name="40 % - Aksentti2 2 9 2" xfId="7493" xr:uid="{00000000-0005-0000-0000-0000071F0000}"/>
    <cellStyle name="40 % - Aksentti2 2 9 2 2" xfId="11368" xr:uid="{00000000-0005-0000-0000-0000081F0000}"/>
    <cellStyle name="40 % - Aksentti2 2 9 2 3" xfId="19145" xr:uid="{00000000-0005-0000-0000-0000091F0000}"/>
    <cellStyle name="40 % - Aksentti2 2 9 2_DataIX" xfId="30566" xr:uid="{00000000-0005-0000-0000-00000A1F0000}"/>
    <cellStyle name="40 % - Aksentti2 2 9 3" xfId="15689" xr:uid="{00000000-0005-0000-0000-00000B1F0000}"/>
    <cellStyle name="40 % - Aksentti2 2 9_060617_hinnat" xfId="23653" xr:uid="{00000000-0005-0000-0000-00000C1F0000}"/>
    <cellStyle name="40 % - Aksentti2 2_##Keskeiset" xfId="7466" xr:uid="{00000000-0005-0000-0000-00000D1F0000}"/>
    <cellStyle name="40 % - Aksentti2 20" xfId="2170" xr:uid="{00000000-0005-0000-0000-00000E1F0000}"/>
    <cellStyle name="40 % - Aksentti2 20 2" xfId="7494" xr:uid="{00000000-0005-0000-0000-00000F1F0000}"/>
    <cellStyle name="40 % - Aksentti2 20 2 2" xfId="11369" xr:uid="{00000000-0005-0000-0000-0000101F0000}"/>
    <cellStyle name="40 % - Aksentti2 20 2 3" xfId="19146" xr:uid="{00000000-0005-0000-0000-0000111F0000}"/>
    <cellStyle name="40 % - Aksentti2 20 2_DataIX" xfId="30567" xr:uid="{00000000-0005-0000-0000-0000121F0000}"/>
    <cellStyle name="40 % - Aksentti2 20 3" xfId="15690" xr:uid="{00000000-0005-0000-0000-0000131F0000}"/>
    <cellStyle name="40 % - Aksentti2 20_060617_hinnat" xfId="23655" xr:uid="{00000000-0005-0000-0000-0000141F0000}"/>
    <cellStyle name="40 % - Aksentti2 21" xfId="2171" xr:uid="{00000000-0005-0000-0000-0000151F0000}"/>
    <cellStyle name="40 % - Aksentti2 21 2" xfId="7495" xr:uid="{00000000-0005-0000-0000-0000161F0000}"/>
    <cellStyle name="40 % - Aksentti2 21 2 2" xfId="11370" xr:uid="{00000000-0005-0000-0000-0000171F0000}"/>
    <cellStyle name="40 % - Aksentti2 21 2 3" xfId="19147" xr:uid="{00000000-0005-0000-0000-0000181F0000}"/>
    <cellStyle name="40 % - Aksentti2 21 2_DataIX" xfId="30568" xr:uid="{00000000-0005-0000-0000-0000191F0000}"/>
    <cellStyle name="40 % - Aksentti2 21 3" xfId="15691" xr:uid="{00000000-0005-0000-0000-00001A1F0000}"/>
    <cellStyle name="40 % - Aksentti2 21_060617_hinnat" xfId="23656" xr:uid="{00000000-0005-0000-0000-00001B1F0000}"/>
    <cellStyle name="40 % - Aksentti2 22" xfId="2172" xr:uid="{00000000-0005-0000-0000-00001C1F0000}"/>
    <cellStyle name="40 % - Aksentti2 22 2" xfId="7496" xr:uid="{00000000-0005-0000-0000-00001D1F0000}"/>
    <cellStyle name="40 % - Aksentti2 22 2 2" xfId="11371" xr:uid="{00000000-0005-0000-0000-00001E1F0000}"/>
    <cellStyle name="40 % - Aksentti2 22 2 3" xfId="19148" xr:uid="{00000000-0005-0000-0000-00001F1F0000}"/>
    <cellStyle name="40 % - Aksentti2 22 2_DataIX" xfId="30569" xr:uid="{00000000-0005-0000-0000-0000201F0000}"/>
    <cellStyle name="40 % - Aksentti2 22 3" xfId="15692" xr:uid="{00000000-0005-0000-0000-0000211F0000}"/>
    <cellStyle name="40 % - Aksentti2 22_060617_hinnat" xfId="23657" xr:uid="{00000000-0005-0000-0000-0000221F0000}"/>
    <cellStyle name="40 % - Aksentti2 23" xfId="2173" xr:uid="{00000000-0005-0000-0000-0000231F0000}"/>
    <cellStyle name="40 % - Aksentti2 23 2" xfId="7497" xr:uid="{00000000-0005-0000-0000-0000241F0000}"/>
    <cellStyle name="40 % - Aksentti2 23 2 2" xfId="11372" xr:uid="{00000000-0005-0000-0000-0000251F0000}"/>
    <cellStyle name="40 % - Aksentti2 23 2 3" xfId="19149" xr:uid="{00000000-0005-0000-0000-0000261F0000}"/>
    <cellStyle name="40 % - Aksentti2 23 2_DataIX" xfId="30570" xr:uid="{00000000-0005-0000-0000-0000271F0000}"/>
    <cellStyle name="40 % - Aksentti2 23 3" xfId="15693" xr:uid="{00000000-0005-0000-0000-0000281F0000}"/>
    <cellStyle name="40 % - Aksentti2 23_060617_hinnat" xfId="23658" xr:uid="{00000000-0005-0000-0000-0000291F0000}"/>
    <cellStyle name="40 % - Aksentti2 24" xfId="2174" xr:uid="{00000000-0005-0000-0000-00002A1F0000}"/>
    <cellStyle name="40 % - Aksentti2 24 2" xfId="7498" xr:uid="{00000000-0005-0000-0000-00002B1F0000}"/>
    <cellStyle name="40 % - Aksentti2 24 2 2" xfId="11373" xr:uid="{00000000-0005-0000-0000-00002C1F0000}"/>
    <cellStyle name="40 % - Aksentti2 24 2 3" xfId="19150" xr:uid="{00000000-0005-0000-0000-00002D1F0000}"/>
    <cellStyle name="40 % - Aksentti2 24 2_DataIX" xfId="30571" xr:uid="{00000000-0005-0000-0000-00002E1F0000}"/>
    <cellStyle name="40 % - Aksentti2 24 3" xfId="15694" xr:uid="{00000000-0005-0000-0000-00002F1F0000}"/>
    <cellStyle name="40 % - Aksentti2 24_060617_hinnat" xfId="23659" xr:uid="{00000000-0005-0000-0000-0000301F0000}"/>
    <cellStyle name="40 % - Aksentti2 25" xfId="2175" xr:uid="{00000000-0005-0000-0000-0000311F0000}"/>
    <cellStyle name="40 % - Aksentti2 25 2" xfId="7499" xr:uid="{00000000-0005-0000-0000-0000321F0000}"/>
    <cellStyle name="40 % - Aksentti2 25 2 2" xfId="11374" xr:uid="{00000000-0005-0000-0000-0000331F0000}"/>
    <cellStyle name="40 % - Aksentti2 25 2 3" xfId="19151" xr:uid="{00000000-0005-0000-0000-0000341F0000}"/>
    <cellStyle name="40 % - Aksentti2 25 2_DataIX" xfId="30572" xr:uid="{00000000-0005-0000-0000-0000351F0000}"/>
    <cellStyle name="40 % - Aksentti2 25 3" xfId="15695" xr:uid="{00000000-0005-0000-0000-0000361F0000}"/>
    <cellStyle name="40 % - Aksentti2 25_060617_hinnat" xfId="23660" xr:uid="{00000000-0005-0000-0000-0000371F0000}"/>
    <cellStyle name="40 % - Aksentti2 26" xfId="2176" xr:uid="{00000000-0005-0000-0000-0000381F0000}"/>
    <cellStyle name="40 % - Aksentti2 26 2" xfId="7500" xr:uid="{00000000-0005-0000-0000-0000391F0000}"/>
    <cellStyle name="40 % - Aksentti2 26 2 2" xfId="11375" xr:uid="{00000000-0005-0000-0000-00003A1F0000}"/>
    <cellStyle name="40 % - Aksentti2 26 2 3" xfId="19152" xr:uid="{00000000-0005-0000-0000-00003B1F0000}"/>
    <cellStyle name="40 % - Aksentti2 26 2_DataIX" xfId="30573" xr:uid="{00000000-0005-0000-0000-00003C1F0000}"/>
    <cellStyle name="40 % - Aksentti2 26 3" xfId="15696" xr:uid="{00000000-0005-0000-0000-00003D1F0000}"/>
    <cellStyle name="40 % - Aksentti2 26_060617_hinnat" xfId="23661" xr:uid="{00000000-0005-0000-0000-00003E1F0000}"/>
    <cellStyle name="40 % - Aksentti2 27" xfId="2177" xr:uid="{00000000-0005-0000-0000-00003F1F0000}"/>
    <cellStyle name="40 % - Aksentti2 27 2" xfId="7501" xr:uid="{00000000-0005-0000-0000-0000401F0000}"/>
    <cellStyle name="40 % - Aksentti2 27 2 2" xfId="11376" xr:uid="{00000000-0005-0000-0000-0000411F0000}"/>
    <cellStyle name="40 % - Aksentti2 27 2 3" xfId="19153" xr:uid="{00000000-0005-0000-0000-0000421F0000}"/>
    <cellStyle name="40 % - Aksentti2 27 2_DataIX" xfId="30574" xr:uid="{00000000-0005-0000-0000-0000431F0000}"/>
    <cellStyle name="40 % - Aksentti2 27 3" xfId="15697" xr:uid="{00000000-0005-0000-0000-0000441F0000}"/>
    <cellStyle name="40 % - Aksentti2 27_060617_hinnat" xfId="23663" xr:uid="{00000000-0005-0000-0000-0000451F0000}"/>
    <cellStyle name="40 % - Aksentti2 28" xfId="2178" xr:uid="{00000000-0005-0000-0000-0000461F0000}"/>
    <cellStyle name="40 % - Aksentti2 28 2" xfId="7502" xr:uid="{00000000-0005-0000-0000-0000471F0000}"/>
    <cellStyle name="40 % - Aksentti2 28 2 2" xfId="11377" xr:uid="{00000000-0005-0000-0000-0000481F0000}"/>
    <cellStyle name="40 % - Aksentti2 28 2 3" xfId="19154" xr:uid="{00000000-0005-0000-0000-0000491F0000}"/>
    <cellStyle name="40 % - Aksentti2 28 2_DataIX" xfId="30575" xr:uid="{00000000-0005-0000-0000-00004A1F0000}"/>
    <cellStyle name="40 % - Aksentti2 28 3" xfId="15698" xr:uid="{00000000-0005-0000-0000-00004B1F0000}"/>
    <cellStyle name="40 % - Aksentti2 28_060617_hinnat" xfId="23664" xr:uid="{00000000-0005-0000-0000-00004C1F0000}"/>
    <cellStyle name="40 % - Aksentti2 29" xfId="10647" xr:uid="{00000000-0005-0000-0000-00004D1F0000}"/>
    <cellStyle name="40 % - Aksentti2 29 2" xfId="27765" xr:uid="{00000000-0005-0000-0000-00004E1F0000}"/>
    <cellStyle name="40 % - Aksentti2 29_DataIX" xfId="30576" xr:uid="{00000000-0005-0000-0000-00004F1F0000}"/>
    <cellStyle name="40 % - Aksentti2 3" xfId="153" xr:uid="{00000000-0005-0000-0000-0000501F0000}"/>
    <cellStyle name="40 % - Aksentti2 3 10" xfId="2180" xr:uid="{00000000-0005-0000-0000-0000511F0000}"/>
    <cellStyle name="40 % - Aksentti2 3 10 2" xfId="7503" xr:uid="{00000000-0005-0000-0000-0000521F0000}"/>
    <cellStyle name="40 % - Aksentti2 3 10 2 2" xfId="11378" xr:uid="{00000000-0005-0000-0000-0000531F0000}"/>
    <cellStyle name="40 % - Aksentti2 3 10 2 3" xfId="19155" xr:uid="{00000000-0005-0000-0000-0000541F0000}"/>
    <cellStyle name="40 % - Aksentti2 3 10 2_DataIX" xfId="30577" xr:uid="{00000000-0005-0000-0000-0000551F0000}"/>
    <cellStyle name="40 % - Aksentti2 3 10 3" xfId="15700" xr:uid="{00000000-0005-0000-0000-0000561F0000}"/>
    <cellStyle name="40 % - Aksentti2 3 10_060617_hinnat" xfId="23665" xr:uid="{00000000-0005-0000-0000-0000571F0000}"/>
    <cellStyle name="40 % - Aksentti2 3 11" xfId="2179" xr:uid="{00000000-0005-0000-0000-0000581F0000}"/>
    <cellStyle name="40 % - Aksentti2 3 11 2" xfId="7504" xr:uid="{00000000-0005-0000-0000-0000591F0000}"/>
    <cellStyle name="40 % - Aksentti2 3 11 2 2" xfId="11379" xr:uid="{00000000-0005-0000-0000-00005A1F0000}"/>
    <cellStyle name="40 % - Aksentti2 3 11 2 3" xfId="19156" xr:uid="{00000000-0005-0000-0000-00005B1F0000}"/>
    <cellStyle name="40 % - Aksentti2 3 11 2_DataIX" xfId="30578" xr:uid="{00000000-0005-0000-0000-00005C1F0000}"/>
    <cellStyle name="40 % - Aksentti2 3 11 3" xfId="15699" xr:uid="{00000000-0005-0000-0000-00005D1F0000}"/>
    <cellStyle name="40 % - Aksentti2 3 11_060617_hinnat" xfId="23666" xr:uid="{00000000-0005-0000-0000-00005E1F0000}"/>
    <cellStyle name="40 % - Aksentti2 3 2" xfId="2181" xr:uid="{00000000-0005-0000-0000-00005F1F0000}"/>
    <cellStyle name="40 % - Aksentti2 3 2 10" xfId="2182" xr:uid="{00000000-0005-0000-0000-0000601F0000}"/>
    <cellStyle name="40 % - Aksentti2 3 2 10 2" xfId="7506" xr:uid="{00000000-0005-0000-0000-0000611F0000}"/>
    <cellStyle name="40 % - Aksentti2 3 2 10 2 2" xfId="11380" xr:uid="{00000000-0005-0000-0000-0000621F0000}"/>
    <cellStyle name="40 % - Aksentti2 3 2 10 2 3" xfId="19158" xr:uid="{00000000-0005-0000-0000-0000631F0000}"/>
    <cellStyle name="40 % - Aksentti2 3 2 10 2_DataIX" xfId="30579" xr:uid="{00000000-0005-0000-0000-0000641F0000}"/>
    <cellStyle name="40 % - Aksentti2 3 2 10 3" xfId="15702" xr:uid="{00000000-0005-0000-0000-0000651F0000}"/>
    <cellStyle name="40 % - Aksentti2 3 2 10_060617_hinnat" xfId="23667" xr:uid="{00000000-0005-0000-0000-0000661F0000}"/>
    <cellStyle name="40 % - Aksentti2 3 2 11" xfId="7505" xr:uid="{00000000-0005-0000-0000-0000671F0000}"/>
    <cellStyle name="40 % - Aksentti2 3 2 11 2" xfId="11381" xr:uid="{00000000-0005-0000-0000-0000681F0000}"/>
    <cellStyle name="40 % - Aksentti2 3 2 11 3" xfId="19157" xr:uid="{00000000-0005-0000-0000-0000691F0000}"/>
    <cellStyle name="40 % - Aksentti2 3 2 11_DataIX" xfId="30580" xr:uid="{00000000-0005-0000-0000-00006A1F0000}"/>
    <cellStyle name="40 % - Aksentti2 3 2 12" xfId="15701" xr:uid="{00000000-0005-0000-0000-00006B1F0000}"/>
    <cellStyle name="40 % - Aksentti2 3 2 2" xfId="2183" xr:uid="{00000000-0005-0000-0000-00006C1F0000}"/>
    <cellStyle name="40 % - Aksentti2 3 2 2 2" xfId="2184" xr:uid="{00000000-0005-0000-0000-00006D1F0000}"/>
    <cellStyle name="40 % - Aksentti2 3 2 2 2 2" xfId="7508" xr:uid="{00000000-0005-0000-0000-00006E1F0000}"/>
    <cellStyle name="40 % - Aksentti2 3 2 2 2 2 2" xfId="11382" xr:uid="{00000000-0005-0000-0000-00006F1F0000}"/>
    <cellStyle name="40 % - Aksentti2 3 2 2 2 2 3" xfId="19160" xr:uid="{00000000-0005-0000-0000-0000701F0000}"/>
    <cellStyle name="40 % - Aksentti2 3 2 2 2 2_DataIX" xfId="30581" xr:uid="{00000000-0005-0000-0000-0000711F0000}"/>
    <cellStyle name="40 % - Aksentti2 3 2 2 2 3" xfId="15704" xr:uid="{00000000-0005-0000-0000-0000721F0000}"/>
    <cellStyle name="40 % - Aksentti2 3 2 2 2_060617_hinnat" xfId="23668" xr:uid="{00000000-0005-0000-0000-0000731F0000}"/>
    <cellStyle name="40 % - Aksentti2 3 2 2 3" xfId="7507" xr:uid="{00000000-0005-0000-0000-0000741F0000}"/>
    <cellStyle name="40 % - Aksentti2 3 2 2 3 2" xfId="11383" xr:uid="{00000000-0005-0000-0000-0000751F0000}"/>
    <cellStyle name="40 % - Aksentti2 3 2 2 3 3" xfId="19159" xr:uid="{00000000-0005-0000-0000-0000761F0000}"/>
    <cellStyle name="40 % - Aksentti2 3 2 2 3_DataIX" xfId="30582" xr:uid="{00000000-0005-0000-0000-0000771F0000}"/>
    <cellStyle name="40 % - Aksentti2 3 2 2 4" xfId="15703" xr:uid="{00000000-0005-0000-0000-0000781F0000}"/>
    <cellStyle name="40 % - Aksentti2 3 2 2_060617_hinnat" xfId="23670" xr:uid="{00000000-0005-0000-0000-0000791F0000}"/>
    <cellStyle name="40 % - Aksentti2 3 2 3" xfId="2185" xr:uid="{00000000-0005-0000-0000-00007A1F0000}"/>
    <cellStyle name="40 % - Aksentti2 3 2 3 2" xfId="7509" xr:uid="{00000000-0005-0000-0000-00007B1F0000}"/>
    <cellStyle name="40 % - Aksentti2 3 2 3 2 2" xfId="11384" xr:uid="{00000000-0005-0000-0000-00007C1F0000}"/>
    <cellStyle name="40 % - Aksentti2 3 2 3 2 3" xfId="19161" xr:uid="{00000000-0005-0000-0000-00007D1F0000}"/>
    <cellStyle name="40 % - Aksentti2 3 2 3 2_DataIX" xfId="30583" xr:uid="{00000000-0005-0000-0000-00007E1F0000}"/>
    <cellStyle name="40 % - Aksentti2 3 2 3 3" xfId="15705" xr:uid="{00000000-0005-0000-0000-00007F1F0000}"/>
    <cellStyle name="40 % - Aksentti2 3 2 3_060617_hinnat" xfId="23671" xr:uid="{00000000-0005-0000-0000-0000801F0000}"/>
    <cellStyle name="40 % - Aksentti2 3 2 4" xfId="2186" xr:uid="{00000000-0005-0000-0000-0000811F0000}"/>
    <cellStyle name="40 % - Aksentti2 3 2 4 2" xfId="7510" xr:uid="{00000000-0005-0000-0000-0000821F0000}"/>
    <cellStyle name="40 % - Aksentti2 3 2 4 2 2" xfId="11385" xr:uid="{00000000-0005-0000-0000-0000831F0000}"/>
    <cellStyle name="40 % - Aksentti2 3 2 4 2 3" xfId="19162" xr:uid="{00000000-0005-0000-0000-0000841F0000}"/>
    <cellStyle name="40 % - Aksentti2 3 2 4 2_DataIX" xfId="30584" xr:uid="{00000000-0005-0000-0000-0000851F0000}"/>
    <cellStyle name="40 % - Aksentti2 3 2 4 3" xfId="15706" xr:uid="{00000000-0005-0000-0000-0000861F0000}"/>
    <cellStyle name="40 % - Aksentti2 3 2 4_060617_hinnat" xfId="23672" xr:uid="{00000000-0005-0000-0000-0000871F0000}"/>
    <cellStyle name="40 % - Aksentti2 3 2 5" xfId="2187" xr:uid="{00000000-0005-0000-0000-0000881F0000}"/>
    <cellStyle name="40 % - Aksentti2 3 2 5 2" xfId="7511" xr:uid="{00000000-0005-0000-0000-0000891F0000}"/>
    <cellStyle name="40 % - Aksentti2 3 2 5 2 2" xfId="11386" xr:uid="{00000000-0005-0000-0000-00008A1F0000}"/>
    <cellStyle name="40 % - Aksentti2 3 2 5 2 3" xfId="19163" xr:uid="{00000000-0005-0000-0000-00008B1F0000}"/>
    <cellStyle name="40 % - Aksentti2 3 2 5 2_DataIX" xfId="30585" xr:uid="{00000000-0005-0000-0000-00008C1F0000}"/>
    <cellStyle name="40 % - Aksentti2 3 2 5 3" xfId="15707" xr:uid="{00000000-0005-0000-0000-00008D1F0000}"/>
    <cellStyle name="40 % - Aksentti2 3 2 5_060617_hinnat" xfId="23673" xr:uid="{00000000-0005-0000-0000-00008E1F0000}"/>
    <cellStyle name="40 % - Aksentti2 3 2 6" xfId="2188" xr:uid="{00000000-0005-0000-0000-00008F1F0000}"/>
    <cellStyle name="40 % - Aksentti2 3 2 6 2" xfId="7512" xr:uid="{00000000-0005-0000-0000-0000901F0000}"/>
    <cellStyle name="40 % - Aksentti2 3 2 6 2 2" xfId="11387" xr:uid="{00000000-0005-0000-0000-0000911F0000}"/>
    <cellStyle name="40 % - Aksentti2 3 2 6 2 3" xfId="19164" xr:uid="{00000000-0005-0000-0000-0000921F0000}"/>
    <cellStyle name="40 % - Aksentti2 3 2 6 2_DataIX" xfId="30586" xr:uid="{00000000-0005-0000-0000-0000931F0000}"/>
    <cellStyle name="40 % - Aksentti2 3 2 6 3" xfId="15708" xr:uid="{00000000-0005-0000-0000-0000941F0000}"/>
    <cellStyle name="40 % - Aksentti2 3 2 6_060617_hinnat" xfId="23674" xr:uid="{00000000-0005-0000-0000-0000951F0000}"/>
    <cellStyle name="40 % - Aksentti2 3 2 7" xfId="2189" xr:uid="{00000000-0005-0000-0000-0000961F0000}"/>
    <cellStyle name="40 % - Aksentti2 3 2 7 2" xfId="7513" xr:uid="{00000000-0005-0000-0000-0000971F0000}"/>
    <cellStyle name="40 % - Aksentti2 3 2 7 2 2" xfId="11388" xr:uid="{00000000-0005-0000-0000-0000981F0000}"/>
    <cellStyle name="40 % - Aksentti2 3 2 7 2 3" xfId="19165" xr:uid="{00000000-0005-0000-0000-0000991F0000}"/>
    <cellStyle name="40 % - Aksentti2 3 2 7 2_DataIX" xfId="30587" xr:uid="{00000000-0005-0000-0000-00009A1F0000}"/>
    <cellStyle name="40 % - Aksentti2 3 2 7 3" xfId="15709" xr:uid="{00000000-0005-0000-0000-00009B1F0000}"/>
    <cellStyle name="40 % - Aksentti2 3 2 7_060617_hinnat" xfId="23675" xr:uid="{00000000-0005-0000-0000-00009C1F0000}"/>
    <cellStyle name="40 % - Aksentti2 3 2 8" xfId="2190" xr:uid="{00000000-0005-0000-0000-00009D1F0000}"/>
    <cellStyle name="40 % - Aksentti2 3 2 8 2" xfId="7514" xr:uid="{00000000-0005-0000-0000-00009E1F0000}"/>
    <cellStyle name="40 % - Aksentti2 3 2 8 2 2" xfId="11389" xr:uid="{00000000-0005-0000-0000-00009F1F0000}"/>
    <cellStyle name="40 % - Aksentti2 3 2 8 2 3" xfId="19166" xr:uid="{00000000-0005-0000-0000-0000A01F0000}"/>
    <cellStyle name="40 % - Aksentti2 3 2 8 2_DataIX" xfId="30588" xr:uid="{00000000-0005-0000-0000-0000A11F0000}"/>
    <cellStyle name="40 % - Aksentti2 3 2 8 3" xfId="15710" xr:uid="{00000000-0005-0000-0000-0000A21F0000}"/>
    <cellStyle name="40 % - Aksentti2 3 2 8_060617_hinnat" xfId="23676" xr:uid="{00000000-0005-0000-0000-0000A31F0000}"/>
    <cellStyle name="40 % - Aksentti2 3 2 9" xfId="2191" xr:uid="{00000000-0005-0000-0000-0000A41F0000}"/>
    <cellStyle name="40 % - Aksentti2 3 2 9 2" xfId="7515" xr:uid="{00000000-0005-0000-0000-0000A51F0000}"/>
    <cellStyle name="40 % - Aksentti2 3 2 9 2 2" xfId="11390" xr:uid="{00000000-0005-0000-0000-0000A61F0000}"/>
    <cellStyle name="40 % - Aksentti2 3 2 9 2 3" xfId="19167" xr:uid="{00000000-0005-0000-0000-0000A71F0000}"/>
    <cellStyle name="40 % - Aksentti2 3 2 9 2_DataIX" xfId="30589" xr:uid="{00000000-0005-0000-0000-0000A81F0000}"/>
    <cellStyle name="40 % - Aksentti2 3 2 9 3" xfId="15711" xr:uid="{00000000-0005-0000-0000-0000A91F0000}"/>
    <cellStyle name="40 % - Aksentti2 3 2 9_060617_hinnat" xfId="23677" xr:uid="{00000000-0005-0000-0000-0000AA1F0000}"/>
    <cellStyle name="40 % - Aksentti2 3 2_060617_hinnat" xfId="23678" xr:uid="{00000000-0005-0000-0000-0000AB1F0000}"/>
    <cellStyle name="40 % - Aksentti2 3 3" xfId="2192" xr:uid="{00000000-0005-0000-0000-0000AC1F0000}"/>
    <cellStyle name="40 % - Aksentti2 3 3 2" xfId="2193" xr:uid="{00000000-0005-0000-0000-0000AD1F0000}"/>
    <cellStyle name="40 % - Aksentti2 3 3 2 2" xfId="2194" xr:uid="{00000000-0005-0000-0000-0000AE1F0000}"/>
    <cellStyle name="40 % - Aksentti2 3 3 2 2 2" xfId="7518" xr:uid="{00000000-0005-0000-0000-0000AF1F0000}"/>
    <cellStyle name="40 % - Aksentti2 3 3 2 2 2 2" xfId="11391" xr:uid="{00000000-0005-0000-0000-0000B01F0000}"/>
    <cellStyle name="40 % - Aksentti2 3 3 2 2 2 3" xfId="19170" xr:uid="{00000000-0005-0000-0000-0000B11F0000}"/>
    <cellStyle name="40 % - Aksentti2 3 3 2 2 2_DataIX" xfId="30590" xr:uid="{00000000-0005-0000-0000-0000B21F0000}"/>
    <cellStyle name="40 % - Aksentti2 3 3 2 2 3" xfId="15714" xr:uid="{00000000-0005-0000-0000-0000B31F0000}"/>
    <cellStyle name="40 % - Aksentti2 3 3 2 2_060617_hinnat" xfId="23680" xr:uid="{00000000-0005-0000-0000-0000B41F0000}"/>
    <cellStyle name="40 % - Aksentti2 3 3 2 3" xfId="7517" xr:uid="{00000000-0005-0000-0000-0000B51F0000}"/>
    <cellStyle name="40 % - Aksentti2 3 3 2 3 2" xfId="11392" xr:uid="{00000000-0005-0000-0000-0000B61F0000}"/>
    <cellStyle name="40 % - Aksentti2 3 3 2 3 3" xfId="19169" xr:uid="{00000000-0005-0000-0000-0000B71F0000}"/>
    <cellStyle name="40 % - Aksentti2 3 3 2 3_DataIX" xfId="30591" xr:uid="{00000000-0005-0000-0000-0000B81F0000}"/>
    <cellStyle name="40 % - Aksentti2 3 3 2 4" xfId="15713" xr:uid="{00000000-0005-0000-0000-0000B91F0000}"/>
    <cellStyle name="40 % - Aksentti2 3 3 2_060617_hinnat" xfId="23681" xr:uid="{00000000-0005-0000-0000-0000BA1F0000}"/>
    <cellStyle name="40 % - Aksentti2 3 3 3" xfId="2195" xr:uid="{00000000-0005-0000-0000-0000BB1F0000}"/>
    <cellStyle name="40 % - Aksentti2 3 3 3 2" xfId="7519" xr:uid="{00000000-0005-0000-0000-0000BC1F0000}"/>
    <cellStyle name="40 % - Aksentti2 3 3 3 2 2" xfId="11393" xr:uid="{00000000-0005-0000-0000-0000BD1F0000}"/>
    <cellStyle name="40 % - Aksentti2 3 3 3 2 3" xfId="19171" xr:uid="{00000000-0005-0000-0000-0000BE1F0000}"/>
    <cellStyle name="40 % - Aksentti2 3 3 3 2_DataIX" xfId="30592" xr:uid="{00000000-0005-0000-0000-0000BF1F0000}"/>
    <cellStyle name="40 % - Aksentti2 3 3 3 3" xfId="15715" xr:uid="{00000000-0005-0000-0000-0000C01F0000}"/>
    <cellStyle name="40 % - Aksentti2 3 3 3_060617_hinnat" xfId="23683" xr:uid="{00000000-0005-0000-0000-0000C11F0000}"/>
    <cellStyle name="40 % - Aksentti2 3 3 4" xfId="7516" xr:uid="{00000000-0005-0000-0000-0000C21F0000}"/>
    <cellStyle name="40 % - Aksentti2 3 3 4 2" xfId="11394" xr:uid="{00000000-0005-0000-0000-0000C31F0000}"/>
    <cellStyle name="40 % - Aksentti2 3 3 4 3" xfId="19168" xr:uid="{00000000-0005-0000-0000-0000C41F0000}"/>
    <cellStyle name="40 % - Aksentti2 3 3 4_DataIX" xfId="30593" xr:uid="{00000000-0005-0000-0000-0000C51F0000}"/>
    <cellStyle name="40 % - Aksentti2 3 3 5" xfId="15712" xr:uid="{00000000-0005-0000-0000-0000C61F0000}"/>
    <cellStyle name="40 % - Aksentti2 3 3_060617_hinnat" xfId="23684" xr:uid="{00000000-0005-0000-0000-0000C71F0000}"/>
    <cellStyle name="40 % - Aksentti2 3 4" xfId="2196" xr:uid="{00000000-0005-0000-0000-0000C81F0000}"/>
    <cellStyle name="40 % - Aksentti2 3 4 2" xfId="2197" xr:uid="{00000000-0005-0000-0000-0000C91F0000}"/>
    <cellStyle name="40 % - Aksentti2 3 4 2 2" xfId="2198" xr:uid="{00000000-0005-0000-0000-0000CA1F0000}"/>
    <cellStyle name="40 % - Aksentti2 3 4 2 2 2" xfId="7522" xr:uid="{00000000-0005-0000-0000-0000CB1F0000}"/>
    <cellStyle name="40 % - Aksentti2 3 4 2 2 2 2" xfId="11395" xr:uid="{00000000-0005-0000-0000-0000CC1F0000}"/>
    <cellStyle name="40 % - Aksentti2 3 4 2 2 2 3" xfId="19174" xr:uid="{00000000-0005-0000-0000-0000CD1F0000}"/>
    <cellStyle name="40 % - Aksentti2 3 4 2 2 2_DataIX" xfId="30594" xr:uid="{00000000-0005-0000-0000-0000CE1F0000}"/>
    <cellStyle name="40 % - Aksentti2 3 4 2 2 3" xfId="15718" xr:uid="{00000000-0005-0000-0000-0000CF1F0000}"/>
    <cellStyle name="40 % - Aksentti2 3 4 2 2_060617_hinnat" xfId="23686" xr:uid="{00000000-0005-0000-0000-0000D01F0000}"/>
    <cellStyle name="40 % - Aksentti2 3 4 2 3" xfId="7521" xr:uid="{00000000-0005-0000-0000-0000D11F0000}"/>
    <cellStyle name="40 % - Aksentti2 3 4 2 3 2" xfId="11396" xr:uid="{00000000-0005-0000-0000-0000D21F0000}"/>
    <cellStyle name="40 % - Aksentti2 3 4 2 3 3" xfId="19173" xr:uid="{00000000-0005-0000-0000-0000D31F0000}"/>
    <cellStyle name="40 % - Aksentti2 3 4 2 3_DataIX" xfId="30595" xr:uid="{00000000-0005-0000-0000-0000D41F0000}"/>
    <cellStyle name="40 % - Aksentti2 3 4 2 4" xfId="15717" xr:uid="{00000000-0005-0000-0000-0000D51F0000}"/>
    <cellStyle name="40 % - Aksentti2 3 4 2_060617_hinnat" xfId="23687" xr:uid="{00000000-0005-0000-0000-0000D61F0000}"/>
    <cellStyle name="40 % - Aksentti2 3 4 3" xfId="2199" xr:uid="{00000000-0005-0000-0000-0000D71F0000}"/>
    <cellStyle name="40 % - Aksentti2 3 4 3 2" xfId="7523" xr:uid="{00000000-0005-0000-0000-0000D81F0000}"/>
    <cellStyle name="40 % - Aksentti2 3 4 3 2 2" xfId="11397" xr:uid="{00000000-0005-0000-0000-0000D91F0000}"/>
    <cellStyle name="40 % - Aksentti2 3 4 3 2 3" xfId="19175" xr:uid="{00000000-0005-0000-0000-0000DA1F0000}"/>
    <cellStyle name="40 % - Aksentti2 3 4 3 2_DataIX" xfId="30596" xr:uid="{00000000-0005-0000-0000-0000DB1F0000}"/>
    <cellStyle name="40 % - Aksentti2 3 4 3 3" xfId="15719" xr:uid="{00000000-0005-0000-0000-0000DC1F0000}"/>
    <cellStyle name="40 % - Aksentti2 3 4 3_060617_hinnat" xfId="23688" xr:uid="{00000000-0005-0000-0000-0000DD1F0000}"/>
    <cellStyle name="40 % - Aksentti2 3 4 4" xfId="7520" xr:uid="{00000000-0005-0000-0000-0000DE1F0000}"/>
    <cellStyle name="40 % - Aksentti2 3 4 4 2" xfId="11398" xr:uid="{00000000-0005-0000-0000-0000DF1F0000}"/>
    <cellStyle name="40 % - Aksentti2 3 4 4 3" xfId="19172" xr:uid="{00000000-0005-0000-0000-0000E01F0000}"/>
    <cellStyle name="40 % - Aksentti2 3 4 4_DataIX" xfId="30597" xr:uid="{00000000-0005-0000-0000-0000E11F0000}"/>
    <cellStyle name="40 % - Aksentti2 3 4 5" xfId="15716" xr:uid="{00000000-0005-0000-0000-0000E21F0000}"/>
    <cellStyle name="40 % - Aksentti2 3 4_060617_hinnat" xfId="23689" xr:uid="{00000000-0005-0000-0000-0000E31F0000}"/>
    <cellStyle name="40 % - Aksentti2 3 5" xfId="2200" xr:uid="{00000000-0005-0000-0000-0000E41F0000}"/>
    <cellStyle name="40 % - Aksentti2 3 5 2" xfId="2201" xr:uid="{00000000-0005-0000-0000-0000E51F0000}"/>
    <cellStyle name="40 % - Aksentti2 3 5 2 2" xfId="7525" xr:uid="{00000000-0005-0000-0000-0000E61F0000}"/>
    <cellStyle name="40 % - Aksentti2 3 5 2 2 2" xfId="11399" xr:uid="{00000000-0005-0000-0000-0000E71F0000}"/>
    <cellStyle name="40 % - Aksentti2 3 5 2 2 3" xfId="19177" xr:uid="{00000000-0005-0000-0000-0000E81F0000}"/>
    <cellStyle name="40 % - Aksentti2 3 5 2 2_DataIX" xfId="30598" xr:uid="{00000000-0005-0000-0000-0000E91F0000}"/>
    <cellStyle name="40 % - Aksentti2 3 5 2 3" xfId="15721" xr:uid="{00000000-0005-0000-0000-0000EA1F0000}"/>
    <cellStyle name="40 % - Aksentti2 3 5 2_060617_hinnat" xfId="23692" xr:uid="{00000000-0005-0000-0000-0000EB1F0000}"/>
    <cellStyle name="40 % - Aksentti2 3 5 3" xfId="7524" xr:uid="{00000000-0005-0000-0000-0000EC1F0000}"/>
    <cellStyle name="40 % - Aksentti2 3 5 3 2" xfId="11400" xr:uid="{00000000-0005-0000-0000-0000ED1F0000}"/>
    <cellStyle name="40 % - Aksentti2 3 5 3 3" xfId="19176" xr:uid="{00000000-0005-0000-0000-0000EE1F0000}"/>
    <cellStyle name="40 % - Aksentti2 3 5 3_DataIX" xfId="30599" xr:uid="{00000000-0005-0000-0000-0000EF1F0000}"/>
    <cellStyle name="40 % - Aksentti2 3 5 4" xfId="15720" xr:uid="{00000000-0005-0000-0000-0000F01F0000}"/>
    <cellStyle name="40 % - Aksentti2 3 5_060617_hinnat" xfId="23693" xr:uid="{00000000-0005-0000-0000-0000F11F0000}"/>
    <cellStyle name="40 % - Aksentti2 3 6" xfId="2202" xr:uid="{00000000-0005-0000-0000-0000F21F0000}"/>
    <cellStyle name="40 % - Aksentti2 3 6 2" xfId="7526" xr:uid="{00000000-0005-0000-0000-0000F31F0000}"/>
    <cellStyle name="40 % - Aksentti2 3 6 2 2" xfId="11401" xr:uid="{00000000-0005-0000-0000-0000F41F0000}"/>
    <cellStyle name="40 % - Aksentti2 3 6 2 3" xfId="19178" xr:uid="{00000000-0005-0000-0000-0000F51F0000}"/>
    <cellStyle name="40 % - Aksentti2 3 6 2_DataIX" xfId="30600" xr:uid="{00000000-0005-0000-0000-0000F61F0000}"/>
    <cellStyle name="40 % - Aksentti2 3 6 3" xfId="15722" xr:uid="{00000000-0005-0000-0000-0000F71F0000}"/>
    <cellStyle name="40 % - Aksentti2 3 6_060617_hinnat" xfId="23694" xr:uid="{00000000-0005-0000-0000-0000F81F0000}"/>
    <cellStyle name="40 % - Aksentti2 3 7" xfId="2203" xr:uid="{00000000-0005-0000-0000-0000F91F0000}"/>
    <cellStyle name="40 % - Aksentti2 3 7 2" xfId="7527" xr:uid="{00000000-0005-0000-0000-0000FA1F0000}"/>
    <cellStyle name="40 % - Aksentti2 3 7 2 2" xfId="11402" xr:uid="{00000000-0005-0000-0000-0000FB1F0000}"/>
    <cellStyle name="40 % - Aksentti2 3 7 2 3" xfId="19179" xr:uid="{00000000-0005-0000-0000-0000FC1F0000}"/>
    <cellStyle name="40 % - Aksentti2 3 7 2_DataIX" xfId="30601" xr:uid="{00000000-0005-0000-0000-0000FD1F0000}"/>
    <cellStyle name="40 % - Aksentti2 3 7 3" xfId="15723" xr:uid="{00000000-0005-0000-0000-0000FE1F0000}"/>
    <cellStyle name="40 % - Aksentti2 3 7_060617_hinnat" xfId="23695" xr:uid="{00000000-0005-0000-0000-0000FF1F0000}"/>
    <cellStyle name="40 % - Aksentti2 3 8" xfId="2204" xr:uid="{00000000-0005-0000-0000-000000200000}"/>
    <cellStyle name="40 % - Aksentti2 3 8 2" xfId="7528" xr:uid="{00000000-0005-0000-0000-000001200000}"/>
    <cellStyle name="40 % - Aksentti2 3 8 2 2" xfId="11403" xr:uid="{00000000-0005-0000-0000-000002200000}"/>
    <cellStyle name="40 % - Aksentti2 3 8 2 3" xfId="19180" xr:uid="{00000000-0005-0000-0000-000003200000}"/>
    <cellStyle name="40 % - Aksentti2 3 8 2_DataIX" xfId="30602" xr:uid="{00000000-0005-0000-0000-000004200000}"/>
    <cellStyle name="40 % - Aksentti2 3 8 3" xfId="15724" xr:uid="{00000000-0005-0000-0000-000005200000}"/>
    <cellStyle name="40 % - Aksentti2 3 8_060617_hinnat" xfId="23696" xr:uid="{00000000-0005-0000-0000-000006200000}"/>
    <cellStyle name="40 % - Aksentti2 3 9" xfId="2205" xr:uid="{00000000-0005-0000-0000-000007200000}"/>
    <cellStyle name="40 % - Aksentti2 3 9 2" xfId="7529" xr:uid="{00000000-0005-0000-0000-000008200000}"/>
    <cellStyle name="40 % - Aksentti2 3 9 2 2" xfId="11404" xr:uid="{00000000-0005-0000-0000-000009200000}"/>
    <cellStyle name="40 % - Aksentti2 3 9 2 3" xfId="19181" xr:uid="{00000000-0005-0000-0000-00000A200000}"/>
    <cellStyle name="40 % - Aksentti2 3 9 2_DataIX" xfId="30603" xr:uid="{00000000-0005-0000-0000-00000B200000}"/>
    <cellStyle name="40 % - Aksentti2 3 9 3" xfId="15725" xr:uid="{00000000-0005-0000-0000-00000C200000}"/>
    <cellStyle name="40 % - Aksentti2 3 9_060617_hinnat" xfId="23697" xr:uid="{00000000-0005-0000-0000-00000D200000}"/>
    <cellStyle name="40 % - Aksentti2 3_060617_hinnat" xfId="23698" xr:uid="{00000000-0005-0000-0000-00000E200000}"/>
    <cellStyle name="40 % - Aksentti2 4" xfId="2206" xr:uid="{00000000-0005-0000-0000-00000F200000}"/>
    <cellStyle name="40 % - Aksentti2 4 10" xfId="2207" xr:uid="{00000000-0005-0000-0000-000010200000}"/>
    <cellStyle name="40 % - Aksentti2 4 10 2" xfId="7530" xr:uid="{00000000-0005-0000-0000-000011200000}"/>
    <cellStyle name="40 % - Aksentti2 4 10 2 2" xfId="11405" xr:uid="{00000000-0005-0000-0000-000012200000}"/>
    <cellStyle name="40 % - Aksentti2 4 10 2 3" xfId="19182" xr:uid="{00000000-0005-0000-0000-000013200000}"/>
    <cellStyle name="40 % - Aksentti2 4 10 2_DataIX" xfId="30604" xr:uid="{00000000-0005-0000-0000-000014200000}"/>
    <cellStyle name="40 % - Aksentti2 4 10 3" xfId="15727" xr:uid="{00000000-0005-0000-0000-000015200000}"/>
    <cellStyle name="40 % - Aksentti2 4 10_060617_hinnat" xfId="23699" xr:uid="{00000000-0005-0000-0000-000016200000}"/>
    <cellStyle name="40 % - Aksentti2 4 11" xfId="5504" xr:uid="{00000000-0005-0000-0000-000017200000}"/>
    <cellStyle name="40 % - Aksentti2 4 11 2" xfId="11406" xr:uid="{00000000-0005-0000-0000-000018200000}"/>
    <cellStyle name="40 % - Aksentti2 4 11 3" xfId="18747" xr:uid="{00000000-0005-0000-0000-000019200000}"/>
    <cellStyle name="40 % - Aksentti2 4 11_DataIX" xfId="30605" xr:uid="{00000000-0005-0000-0000-00001A200000}"/>
    <cellStyle name="40 % - Aksentti2 4 12" xfId="15726" xr:uid="{00000000-0005-0000-0000-00001B200000}"/>
    <cellStyle name="40 % - Aksentti2 4 2" xfId="2208" xr:uid="{00000000-0005-0000-0000-00001C200000}"/>
    <cellStyle name="40 % - Aksentti2 4 2 2" xfId="2209" xr:uid="{00000000-0005-0000-0000-00001D200000}"/>
    <cellStyle name="40 % - Aksentti2 4 2 2 2" xfId="2210" xr:uid="{00000000-0005-0000-0000-00001E200000}"/>
    <cellStyle name="40 % - Aksentti2 4 2 2 2 2" xfId="7533" xr:uid="{00000000-0005-0000-0000-00001F200000}"/>
    <cellStyle name="40 % - Aksentti2 4 2 2 2 2 2" xfId="11407" xr:uid="{00000000-0005-0000-0000-000020200000}"/>
    <cellStyle name="40 % - Aksentti2 4 2 2 2 2 3" xfId="19185" xr:uid="{00000000-0005-0000-0000-000021200000}"/>
    <cellStyle name="40 % - Aksentti2 4 2 2 2 2_DataIX" xfId="30606" xr:uid="{00000000-0005-0000-0000-000022200000}"/>
    <cellStyle name="40 % - Aksentti2 4 2 2 2 3" xfId="15730" xr:uid="{00000000-0005-0000-0000-000023200000}"/>
    <cellStyle name="40 % - Aksentti2 4 2 2 2_060617_hinnat" xfId="23701" xr:uid="{00000000-0005-0000-0000-000024200000}"/>
    <cellStyle name="40 % - Aksentti2 4 2 2 3" xfId="7532" xr:uid="{00000000-0005-0000-0000-000025200000}"/>
    <cellStyle name="40 % - Aksentti2 4 2 2 3 2" xfId="11408" xr:uid="{00000000-0005-0000-0000-000026200000}"/>
    <cellStyle name="40 % - Aksentti2 4 2 2 3 3" xfId="19184" xr:uid="{00000000-0005-0000-0000-000027200000}"/>
    <cellStyle name="40 % - Aksentti2 4 2 2 3_DataIX" xfId="30607" xr:uid="{00000000-0005-0000-0000-000028200000}"/>
    <cellStyle name="40 % - Aksentti2 4 2 2 4" xfId="15729" xr:uid="{00000000-0005-0000-0000-000029200000}"/>
    <cellStyle name="40 % - Aksentti2 4 2 2_060617_hinnat" xfId="23702" xr:uid="{00000000-0005-0000-0000-00002A200000}"/>
    <cellStyle name="40 % - Aksentti2 4 2 3" xfId="2211" xr:uid="{00000000-0005-0000-0000-00002B200000}"/>
    <cellStyle name="40 % - Aksentti2 4 2 3 2" xfId="7534" xr:uid="{00000000-0005-0000-0000-00002C200000}"/>
    <cellStyle name="40 % - Aksentti2 4 2 3 2 2" xfId="11409" xr:uid="{00000000-0005-0000-0000-00002D200000}"/>
    <cellStyle name="40 % - Aksentti2 4 2 3 2 3" xfId="19186" xr:uid="{00000000-0005-0000-0000-00002E200000}"/>
    <cellStyle name="40 % - Aksentti2 4 2 3 2_DataIX" xfId="30608" xr:uid="{00000000-0005-0000-0000-00002F200000}"/>
    <cellStyle name="40 % - Aksentti2 4 2 3 3" xfId="15731" xr:uid="{00000000-0005-0000-0000-000030200000}"/>
    <cellStyle name="40 % - Aksentti2 4 2 3_060617_hinnat" xfId="23703" xr:uid="{00000000-0005-0000-0000-000031200000}"/>
    <cellStyle name="40 % - Aksentti2 4 2 4" xfId="7531" xr:uid="{00000000-0005-0000-0000-000032200000}"/>
    <cellStyle name="40 % - Aksentti2 4 2 4 2" xfId="11410" xr:uid="{00000000-0005-0000-0000-000033200000}"/>
    <cellStyle name="40 % - Aksentti2 4 2 4 3" xfId="19183" xr:uid="{00000000-0005-0000-0000-000034200000}"/>
    <cellStyle name="40 % - Aksentti2 4 2 4_DataIX" xfId="30609" xr:uid="{00000000-0005-0000-0000-000035200000}"/>
    <cellStyle name="40 % - Aksentti2 4 2 5" xfId="15728" xr:uid="{00000000-0005-0000-0000-000036200000}"/>
    <cellStyle name="40 % - Aksentti2 4 2_060617_hinnat" xfId="23704" xr:uid="{00000000-0005-0000-0000-000037200000}"/>
    <cellStyle name="40 % - Aksentti2 4 3" xfId="2212" xr:uid="{00000000-0005-0000-0000-000038200000}"/>
    <cellStyle name="40 % - Aksentti2 4 3 2" xfId="2213" xr:uid="{00000000-0005-0000-0000-000039200000}"/>
    <cellStyle name="40 % - Aksentti2 4 3 2 2" xfId="7536" xr:uid="{00000000-0005-0000-0000-00003A200000}"/>
    <cellStyle name="40 % - Aksentti2 4 3 2 2 2" xfId="11411" xr:uid="{00000000-0005-0000-0000-00003B200000}"/>
    <cellStyle name="40 % - Aksentti2 4 3 2 2 3" xfId="19188" xr:uid="{00000000-0005-0000-0000-00003C200000}"/>
    <cellStyle name="40 % - Aksentti2 4 3 2 2_DataIX" xfId="30610" xr:uid="{00000000-0005-0000-0000-00003D200000}"/>
    <cellStyle name="40 % - Aksentti2 4 3 2 3" xfId="15733" xr:uid="{00000000-0005-0000-0000-00003E200000}"/>
    <cellStyle name="40 % - Aksentti2 4 3 2_060617_hinnat" xfId="23707" xr:uid="{00000000-0005-0000-0000-00003F200000}"/>
    <cellStyle name="40 % - Aksentti2 4 3 3" xfId="7535" xr:uid="{00000000-0005-0000-0000-000040200000}"/>
    <cellStyle name="40 % - Aksentti2 4 3 3 2" xfId="11412" xr:uid="{00000000-0005-0000-0000-000041200000}"/>
    <cellStyle name="40 % - Aksentti2 4 3 3 3" xfId="19187" xr:uid="{00000000-0005-0000-0000-000042200000}"/>
    <cellStyle name="40 % - Aksentti2 4 3 3_DataIX" xfId="30611" xr:uid="{00000000-0005-0000-0000-000043200000}"/>
    <cellStyle name="40 % - Aksentti2 4 3 4" xfId="15732" xr:uid="{00000000-0005-0000-0000-000044200000}"/>
    <cellStyle name="40 % - Aksentti2 4 3_060617_hinnat" xfId="23708" xr:uid="{00000000-0005-0000-0000-000045200000}"/>
    <cellStyle name="40 % - Aksentti2 4 4" xfId="2214" xr:uid="{00000000-0005-0000-0000-000046200000}"/>
    <cellStyle name="40 % - Aksentti2 4 4 2" xfId="7537" xr:uid="{00000000-0005-0000-0000-000047200000}"/>
    <cellStyle name="40 % - Aksentti2 4 4 2 2" xfId="11413" xr:uid="{00000000-0005-0000-0000-000048200000}"/>
    <cellStyle name="40 % - Aksentti2 4 4 2 3" xfId="19189" xr:uid="{00000000-0005-0000-0000-000049200000}"/>
    <cellStyle name="40 % - Aksentti2 4 4 2_DataIX" xfId="30612" xr:uid="{00000000-0005-0000-0000-00004A200000}"/>
    <cellStyle name="40 % - Aksentti2 4 4 3" xfId="15734" xr:uid="{00000000-0005-0000-0000-00004B200000}"/>
    <cellStyle name="40 % - Aksentti2 4 4_060617_hinnat" xfId="23709" xr:uid="{00000000-0005-0000-0000-00004C200000}"/>
    <cellStyle name="40 % - Aksentti2 4 5" xfId="2215" xr:uid="{00000000-0005-0000-0000-00004D200000}"/>
    <cellStyle name="40 % - Aksentti2 4 5 2" xfId="7538" xr:uid="{00000000-0005-0000-0000-00004E200000}"/>
    <cellStyle name="40 % - Aksentti2 4 5 2 2" xfId="11414" xr:uid="{00000000-0005-0000-0000-00004F200000}"/>
    <cellStyle name="40 % - Aksentti2 4 5 2 3" xfId="19190" xr:uid="{00000000-0005-0000-0000-000050200000}"/>
    <cellStyle name="40 % - Aksentti2 4 5 2_DataIX" xfId="30613" xr:uid="{00000000-0005-0000-0000-000051200000}"/>
    <cellStyle name="40 % - Aksentti2 4 5 3" xfId="15735" xr:uid="{00000000-0005-0000-0000-000052200000}"/>
    <cellStyle name="40 % - Aksentti2 4 5_060617_hinnat" xfId="23710" xr:uid="{00000000-0005-0000-0000-000053200000}"/>
    <cellStyle name="40 % - Aksentti2 4 6" xfId="2216" xr:uid="{00000000-0005-0000-0000-000054200000}"/>
    <cellStyle name="40 % - Aksentti2 4 6 2" xfId="7539" xr:uid="{00000000-0005-0000-0000-000055200000}"/>
    <cellStyle name="40 % - Aksentti2 4 6 2 2" xfId="11415" xr:uid="{00000000-0005-0000-0000-000056200000}"/>
    <cellStyle name="40 % - Aksentti2 4 6 2 3" xfId="19191" xr:uid="{00000000-0005-0000-0000-000057200000}"/>
    <cellStyle name="40 % - Aksentti2 4 6 2_DataIX" xfId="30614" xr:uid="{00000000-0005-0000-0000-000058200000}"/>
    <cellStyle name="40 % - Aksentti2 4 6 3" xfId="15736" xr:uid="{00000000-0005-0000-0000-000059200000}"/>
    <cellStyle name="40 % - Aksentti2 4 6_060617_hinnat" xfId="23711" xr:uid="{00000000-0005-0000-0000-00005A200000}"/>
    <cellStyle name="40 % - Aksentti2 4 7" xfId="2217" xr:uid="{00000000-0005-0000-0000-00005B200000}"/>
    <cellStyle name="40 % - Aksentti2 4 7 2" xfId="7540" xr:uid="{00000000-0005-0000-0000-00005C200000}"/>
    <cellStyle name="40 % - Aksentti2 4 7 2 2" xfId="11416" xr:uid="{00000000-0005-0000-0000-00005D200000}"/>
    <cellStyle name="40 % - Aksentti2 4 7 2 3" xfId="19192" xr:uid="{00000000-0005-0000-0000-00005E200000}"/>
    <cellStyle name="40 % - Aksentti2 4 7 2_DataIX" xfId="30615" xr:uid="{00000000-0005-0000-0000-00005F200000}"/>
    <cellStyle name="40 % - Aksentti2 4 7 3" xfId="15737" xr:uid="{00000000-0005-0000-0000-000060200000}"/>
    <cellStyle name="40 % - Aksentti2 4 7_060617_hinnat" xfId="23712" xr:uid="{00000000-0005-0000-0000-000061200000}"/>
    <cellStyle name="40 % - Aksentti2 4 8" xfId="2218" xr:uid="{00000000-0005-0000-0000-000062200000}"/>
    <cellStyle name="40 % - Aksentti2 4 8 2" xfId="7541" xr:uid="{00000000-0005-0000-0000-000063200000}"/>
    <cellStyle name="40 % - Aksentti2 4 8 2 2" xfId="11417" xr:uid="{00000000-0005-0000-0000-000064200000}"/>
    <cellStyle name="40 % - Aksentti2 4 8 2 3" xfId="19193" xr:uid="{00000000-0005-0000-0000-000065200000}"/>
    <cellStyle name="40 % - Aksentti2 4 8 2_DataIX" xfId="30616" xr:uid="{00000000-0005-0000-0000-000066200000}"/>
    <cellStyle name="40 % - Aksentti2 4 8 3" xfId="15738" xr:uid="{00000000-0005-0000-0000-000067200000}"/>
    <cellStyle name="40 % - Aksentti2 4 8_060617_hinnat" xfId="23713" xr:uid="{00000000-0005-0000-0000-000068200000}"/>
    <cellStyle name="40 % - Aksentti2 4 9" xfId="2219" xr:uid="{00000000-0005-0000-0000-000069200000}"/>
    <cellStyle name="40 % - Aksentti2 4 9 2" xfId="7542" xr:uid="{00000000-0005-0000-0000-00006A200000}"/>
    <cellStyle name="40 % - Aksentti2 4 9 2 2" xfId="11418" xr:uid="{00000000-0005-0000-0000-00006B200000}"/>
    <cellStyle name="40 % - Aksentti2 4 9 2 3" xfId="19194" xr:uid="{00000000-0005-0000-0000-00006C200000}"/>
    <cellStyle name="40 % - Aksentti2 4 9 2_DataIX" xfId="30617" xr:uid="{00000000-0005-0000-0000-00006D200000}"/>
    <cellStyle name="40 % - Aksentti2 4 9 3" xfId="15739" xr:uid="{00000000-0005-0000-0000-00006E200000}"/>
    <cellStyle name="40 % - Aksentti2 4 9_060617_hinnat" xfId="23714" xr:uid="{00000000-0005-0000-0000-00006F200000}"/>
    <cellStyle name="40 % - Aksentti2 4_060617_hinnat" xfId="23715" xr:uid="{00000000-0005-0000-0000-000070200000}"/>
    <cellStyle name="40 % - Aksentti2 5" xfId="2220" xr:uid="{00000000-0005-0000-0000-000071200000}"/>
    <cellStyle name="40 % - Aksentti2 5 10" xfId="2221" xr:uid="{00000000-0005-0000-0000-000072200000}"/>
    <cellStyle name="40 % - Aksentti2 5 10 2" xfId="7544" xr:uid="{00000000-0005-0000-0000-000073200000}"/>
    <cellStyle name="40 % - Aksentti2 5 10 2 2" xfId="11419" xr:uid="{00000000-0005-0000-0000-000074200000}"/>
    <cellStyle name="40 % - Aksentti2 5 10 2 3" xfId="19196" xr:uid="{00000000-0005-0000-0000-000075200000}"/>
    <cellStyle name="40 % - Aksentti2 5 10 2_DataIX" xfId="30618" xr:uid="{00000000-0005-0000-0000-000076200000}"/>
    <cellStyle name="40 % - Aksentti2 5 10 3" xfId="15741" xr:uid="{00000000-0005-0000-0000-000077200000}"/>
    <cellStyle name="40 % - Aksentti2 5 10_060617_hinnat" xfId="23716" xr:uid="{00000000-0005-0000-0000-000078200000}"/>
    <cellStyle name="40 % - Aksentti2 5 11" xfId="7543" xr:uid="{00000000-0005-0000-0000-000079200000}"/>
    <cellStyle name="40 % - Aksentti2 5 11 2" xfId="11420" xr:uid="{00000000-0005-0000-0000-00007A200000}"/>
    <cellStyle name="40 % - Aksentti2 5 11 3" xfId="19195" xr:uid="{00000000-0005-0000-0000-00007B200000}"/>
    <cellStyle name="40 % - Aksentti2 5 11_DataIX" xfId="30619" xr:uid="{00000000-0005-0000-0000-00007C200000}"/>
    <cellStyle name="40 % - Aksentti2 5 12" xfId="15740" xr:uid="{00000000-0005-0000-0000-00007D200000}"/>
    <cellStyle name="40 % - Aksentti2 5 2" xfId="2222" xr:uid="{00000000-0005-0000-0000-00007E200000}"/>
    <cellStyle name="40 % - Aksentti2 5 2 2" xfId="2223" xr:uid="{00000000-0005-0000-0000-00007F200000}"/>
    <cellStyle name="40 % - Aksentti2 5 2 2 2" xfId="2224" xr:uid="{00000000-0005-0000-0000-000080200000}"/>
    <cellStyle name="40 % - Aksentti2 5 2 2 2 2" xfId="7547" xr:uid="{00000000-0005-0000-0000-000081200000}"/>
    <cellStyle name="40 % - Aksentti2 5 2 2 2 2 2" xfId="11421" xr:uid="{00000000-0005-0000-0000-000082200000}"/>
    <cellStyle name="40 % - Aksentti2 5 2 2 2 2 3" xfId="19199" xr:uid="{00000000-0005-0000-0000-000083200000}"/>
    <cellStyle name="40 % - Aksentti2 5 2 2 2 2_DataIX" xfId="30620" xr:uid="{00000000-0005-0000-0000-000084200000}"/>
    <cellStyle name="40 % - Aksentti2 5 2 2 2 3" xfId="15744" xr:uid="{00000000-0005-0000-0000-000085200000}"/>
    <cellStyle name="40 % - Aksentti2 5 2 2 2_060617_hinnat" xfId="23717" xr:uid="{00000000-0005-0000-0000-000086200000}"/>
    <cellStyle name="40 % - Aksentti2 5 2 2 3" xfId="7546" xr:uid="{00000000-0005-0000-0000-000087200000}"/>
    <cellStyle name="40 % - Aksentti2 5 2 2 3 2" xfId="11422" xr:uid="{00000000-0005-0000-0000-000088200000}"/>
    <cellStyle name="40 % - Aksentti2 5 2 2 3 3" xfId="19198" xr:uid="{00000000-0005-0000-0000-000089200000}"/>
    <cellStyle name="40 % - Aksentti2 5 2 2 3_DataIX" xfId="30621" xr:uid="{00000000-0005-0000-0000-00008A200000}"/>
    <cellStyle name="40 % - Aksentti2 5 2 2 4" xfId="15743" xr:uid="{00000000-0005-0000-0000-00008B200000}"/>
    <cellStyle name="40 % - Aksentti2 5 2 2_060617_hinnat" xfId="23718" xr:uid="{00000000-0005-0000-0000-00008C200000}"/>
    <cellStyle name="40 % - Aksentti2 5 2 3" xfId="2225" xr:uid="{00000000-0005-0000-0000-00008D200000}"/>
    <cellStyle name="40 % - Aksentti2 5 2 3 2" xfId="7548" xr:uid="{00000000-0005-0000-0000-00008E200000}"/>
    <cellStyle name="40 % - Aksentti2 5 2 3 2 2" xfId="11423" xr:uid="{00000000-0005-0000-0000-00008F200000}"/>
    <cellStyle name="40 % - Aksentti2 5 2 3 2 3" xfId="19200" xr:uid="{00000000-0005-0000-0000-000090200000}"/>
    <cellStyle name="40 % - Aksentti2 5 2 3 2_DataIX" xfId="30622" xr:uid="{00000000-0005-0000-0000-000091200000}"/>
    <cellStyle name="40 % - Aksentti2 5 2 3 3" xfId="15745" xr:uid="{00000000-0005-0000-0000-000092200000}"/>
    <cellStyle name="40 % - Aksentti2 5 2 3_060617_hinnat" xfId="23719" xr:uid="{00000000-0005-0000-0000-000093200000}"/>
    <cellStyle name="40 % - Aksentti2 5 2 4" xfId="7545" xr:uid="{00000000-0005-0000-0000-000094200000}"/>
    <cellStyle name="40 % - Aksentti2 5 2 4 2" xfId="11424" xr:uid="{00000000-0005-0000-0000-000095200000}"/>
    <cellStyle name="40 % - Aksentti2 5 2 4 3" xfId="19197" xr:uid="{00000000-0005-0000-0000-000096200000}"/>
    <cellStyle name="40 % - Aksentti2 5 2 4_DataIX" xfId="30623" xr:uid="{00000000-0005-0000-0000-000097200000}"/>
    <cellStyle name="40 % - Aksentti2 5 2 5" xfId="15742" xr:uid="{00000000-0005-0000-0000-000098200000}"/>
    <cellStyle name="40 % - Aksentti2 5 2_060617_hinnat" xfId="23720" xr:uid="{00000000-0005-0000-0000-000099200000}"/>
    <cellStyle name="40 % - Aksentti2 5 3" xfId="2226" xr:uid="{00000000-0005-0000-0000-00009A200000}"/>
    <cellStyle name="40 % - Aksentti2 5 3 2" xfId="2227" xr:uid="{00000000-0005-0000-0000-00009B200000}"/>
    <cellStyle name="40 % - Aksentti2 5 3 2 2" xfId="7550" xr:uid="{00000000-0005-0000-0000-00009C200000}"/>
    <cellStyle name="40 % - Aksentti2 5 3 2 2 2" xfId="11425" xr:uid="{00000000-0005-0000-0000-00009D200000}"/>
    <cellStyle name="40 % - Aksentti2 5 3 2 2 3" xfId="19202" xr:uid="{00000000-0005-0000-0000-00009E200000}"/>
    <cellStyle name="40 % - Aksentti2 5 3 2 2_DataIX" xfId="30624" xr:uid="{00000000-0005-0000-0000-00009F200000}"/>
    <cellStyle name="40 % - Aksentti2 5 3 2 3" xfId="15747" xr:uid="{00000000-0005-0000-0000-0000A0200000}"/>
    <cellStyle name="40 % - Aksentti2 5 3 2_060617_hinnat" xfId="23721" xr:uid="{00000000-0005-0000-0000-0000A1200000}"/>
    <cellStyle name="40 % - Aksentti2 5 3 3" xfId="7549" xr:uid="{00000000-0005-0000-0000-0000A2200000}"/>
    <cellStyle name="40 % - Aksentti2 5 3 3 2" xfId="11426" xr:uid="{00000000-0005-0000-0000-0000A3200000}"/>
    <cellStyle name="40 % - Aksentti2 5 3 3 3" xfId="19201" xr:uid="{00000000-0005-0000-0000-0000A4200000}"/>
    <cellStyle name="40 % - Aksentti2 5 3 3_DataIX" xfId="30625" xr:uid="{00000000-0005-0000-0000-0000A5200000}"/>
    <cellStyle name="40 % - Aksentti2 5 3 4" xfId="15746" xr:uid="{00000000-0005-0000-0000-0000A6200000}"/>
    <cellStyle name="40 % - Aksentti2 5 3_060617_hinnat" xfId="23722" xr:uid="{00000000-0005-0000-0000-0000A7200000}"/>
    <cellStyle name="40 % - Aksentti2 5 4" xfId="2228" xr:uid="{00000000-0005-0000-0000-0000A8200000}"/>
    <cellStyle name="40 % - Aksentti2 5 4 2" xfId="7551" xr:uid="{00000000-0005-0000-0000-0000A9200000}"/>
    <cellStyle name="40 % - Aksentti2 5 4 2 2" xfId="11427" xr:uid="{00000000-0005-0000-0000-0000AA200000}"/>
    <cellStyle name="40 % - Aksentti2 5 4 2 3" xfId="19203" xr:uid="{00000000-0005-0000-0000-0000AB200000}"/>
    <cellStyle name="40 % - Aksentti2 5 4 2_DataIX" xfId="30626" xr:uid="{00000000-0005-0000-0000-0000AC200000}"/>
    <cellStyle name="40 % - Aksentti2 5 4 3" xfId="15748" xr:uid="{00000000-0005-0000-0000-0000AD200000}"/>
    <cellStyle name="40 % - Aksentti2 5 4_060617_hinnat" xfId="23723" xr:uid="{00000000-0005-0000-0000-0000AE200000}"/>
    <cellStyle name="40 % - Aksentti2 5 5" xfId="2229" xr:uid="{00000000-0005-0000-0000-0000AF200000}"/>
    <cellStyle name="40 % - Aksentti2 5 5 2" xfId="7552" xr:uid="{00000000-0005-0000-0000-0000B0200000}"/>
    <cellStyle name="40 % - Aksentti2 5 5 2 2" xfId="11428" xr:uid="{00000000-0005-0000-0000-0000B1200000}"/>
    <cellStyle name="40 % - Aksentti2 5 5 2 3" xfId="19204" xr:uid="{00000000-0005-0000-0000-0000B2200000}"/>
    <cellStyle name="40 % - Aksentti2 5 5 2_DataIX" xfId="30627" xr:uid="{00000000-0005-0000-0000-0000B3200000}"/>
    <cellStyle name="40 % - Aksentti2 5 5 3" xfId="15749" xr:uid="{00000000-0005-0000-0000-0000B4200000}"/>
    <cellStyle name="40 % - Aksentti2 5 5_060617_hinnat" xfId="23724" xr:uid="{00000000-0005-0000-0000-0000B5200000}"/>
    <cellStyle name="40 % - Aksentti2 5 6" xfId="2230" xr:uid="{00000000-0005-0000-0000-0000B6200000}"/>
    <cellStyle name="40 % - Aksentti2 5 6 2" xfId="7553" xr:uid="{00000000-0005-0000-0000-0000B7200000}"/>
    <cellStyle name="40 % - Aksentti2 5 6 2 2" xfId="11429" xr:uid="{00000000-0005-0000-0000-0000B8200000}"/>
    <cellStyle name="40 % - Aksentti2 5 6 2 3" xfId="19205" xr:uid="{00000000-0005-0000-0000-0000B9200000}"/>
    <cellStyle name="40 % - Aksentti2 5 6 2_DataIX" xfId="30628" xr:uid="{00000000-0005-0000-0000-0000BA200000}"/>
    <cellStyle name="40 % - Aksentti2 5 6 3" xfId="15750" xr:uid="{00000000-0005-0000-0000-0000BB200000}"/>
    <cellStyle name="40 % - Aksentti2 5 6_060617_hinnat" xfId="23725" xr:uid="{00000000-0005-0000-0000-0000BC200000}"/>
    <cellStyle name="40 % - Aksentti2 5 7" xfId="2231" xr:uid="{00000000-0005-0000-0000-0000BD200000}"/>
    <cellStyle name="40 % - Aksentti2 5 7 2" xfId="7554" xr:uid="{00000000-0005-0000-0000-0000BE200000}"/>
    <cellStyle name="40 % - Aksentti2 5 7 2 2" xfId="11430" xr:uid="{00000000-0005-0000-0000-0000BF200000}"/>
    <cellStyle name="40 % - Aksentti2 5 7 2 3" xfId="19206" xr:uid="{00000000-0005-0000-0000-0000C0200000}"/>
    <cellStyle name="40 % - Aksentti2 5 7 2_DataIX" xfId="30629" xr:uid="{00000000-0005-0000-0000-0000C1200000}"/>
    <cellStyle name="40 % - Aksentti2 5 7 3" xfId="15751" xr:uid="{00000000-0005-0000-0000-0000C2200000}"/>
    <cellStyle name="40 % - Aksentti2 5 7_060617_hinnat" xfId="23726" xr:uid="{00000000-0005-0000-0000-0000C3200000}"/>
    <cellStyle name="40 % - Aksentti2 5 8" xfId="2232" xr:uid="{00000000-0005-0000-0000-0000C4200000}"/>
    <cellStyle name="40 % - Aksentti2 5 8 2" xfId="7555" xr:uid="{00000000-0005-0000-0000-0000C5200000}"/>
    <cellStyle name="40 % - Aksentti2 5 8 2 2" xfId="11431" xr:uid="{00000000-0005-0000-0000-0000C6200000}"/>
    <cellStyle name="40 % - Aksentti2 5 8 2 3" xfId="19207" xr:uid="{00000000-0005-0000-0000-0000C7200000}"/>
    <cellStyle name="40 % - Aksentti2 5 8 2_DataIX" xfId="30630" xr:uid="{00000000-0005-0000-0000-0000C8200000}"/>
    <cellStyle name="40 % - Aksentti2 5 8 3" xfId="15752" xr:uid="{00000000-0005-0000-0000-0000C9200000}"/>
    <cellStyle name="40 % - Aksentti2 5 8_060617_hinnat" xfId="23727" xr:uid="{00000000-0005-0000-0000-0000CA200000}"/>
    <cellStyle name="40 % - Aksentti2 5 9" xfId="2233" xr:uid="{00000000-0005-0000-0000-0000CB200000}"/>
    <cellStyle name="40 % - Aksentti2 5 9 2" xfId="7556" xr:uid="{00000000-0005-0000-0000-0000CC200000}"/>
    <cellStyle name="40 % - Aksentti2 5 9 2 2" xfId="11432" xr:uid="{00000000-0005-0000-0000-0000CD200000}"/>
    <cellStyle name="40 % - Aksentti2 5 9 2 3" xfId="19208" xr:uid="{00000000-0005-0000-0000-0000CE200000}"/>
    <cellStyle name="40 % - Aksentti2 5 9 2_DataIX" xfId="30631" xr:uid="{00000000-0005-0000-0000-0000CF200000}"/>
    <cellStyle name="40 % - Aksentti2 5 9 3" xfId="15753" xr:uid="{00000000-0005-0000-0000-0000D0200000}"/>
    <cellStyle name="40 % - Aksentti2 5 9_060617_hinnat" xfId="23728" xr:uid="{00000000-0005-0000-0000-0000D1200000}"/>
    <cellStyle name="40 % - Aksentti2 5_060617_hinnat" xfId="23729" xr:uid="{00000000-0005-0000-0000-0000D2200000}"/>
    <cellStyle name="40 % - Aksentti2 6" xfId="2234" xr:uid="{00000000-0005-0000-0000-0000D3200000}"/>
    <cellStyle name="40 % - Aksentti2 6 10" xfId="2235" xr:uid="{00000000-0005-0000-0000-0000D4200000}"/>
    <cellStyle name="40 % - Aksentti2 6 10 2" xfId="7558" xr:uid="{00000000-0005-0000-0000-0000D5200000}"/>
    <cellStyle name="40 % - Aksentti2 6 10 2 2" xfId="11433" xr:uid="{00000000-0005-0000-0000-0000D6200000}"/>
    <cellStyle name="40 % - Aksentti2 6 10 2 3" xfId="19210" xr:uid="{00000000-0005-0000-0000-0000D7200000}"/>
    <cellStyle name="40 % - Aksentti2 6 10 2_DataIX" xfId="30632" xr:uid="{00000000-0005-0000-0000-0000D8200000}"/>
    <cellStyle name="40 % - Aksentti2 6 10 3" xfId="15755" xr:uid="{00000000-0005-0000-0000-0000D9200000}"/>
    <cellStyle name="40 % - Aksentti2 6 10_060617_hinnat" xfId="23730" xr:uid="{00000000-0005-0000-0000-0000DA200000}"/>
    <cellStyle name="40 % - Aksentti2 6 11" xfId="7557" xr:uid="{00000000-0005-0000-0000-0000DB200000}"/>
    <cellStyle name="40 % - Aksentti2 6 11 2" xfId="11434" xr:uid="{00000000-0005-0000-0000-0000DC200000}"/>
    <cellStyle name="40 % - Aksentti2 6 11 3" xfId="19209" xr:uid="{00000000-0005-0000-0000-0000DD200000}"/>
    <cellStyle name="40 % - Aksentti2 6 11_DataIX" xfId="30633" xr:uid="{00000000-0005-0000-0000-0000DE200000}"/>
    <cellStyle name="40 % - Aksentti2 6 12" xfId="15754" xr:uid="{00000000-0005-0000-0000-0000DF200000}"/>
    <cellStyle name="40 % - Aksentti2 6 2" xfId="2236" xr:uid="{00000000-0005-0000-0000-0000E0200000}"/>
    <cellStyle name="40 % - Aksentti2 6 2 2" xfId="2237" xr:uid="{00000000-0005-0000-0000-0000E1200000}"/>
    <cellStyle name="40 % - Aksentti2 6 2 2 2" xfId="2238" xr:uid="{00000000-0005-0000-0000-0000E2200000}"/>
    <cellStyle name="40 % - Aksentti2 6 2 2 2 2" xfId="7561" xr:uid="{00000000-0005-0000-0000-0000E3200000}"/>
    <cellStyle name="40 % - Aksentti2 6 2 2 2 2 2" xfId="11435" xr:uid="{00000000-0005-0000-0000-0000E4200000}"/>
    <cellStyle name="40 % - Aksentti2 6 2 2 2 2 3" xfId="19213" xr:uid="{00000000-0005-0000-0000-0000E5200000}"/>
    <cellStyle name="40 % - Aksentti2 6 2 2 2 2_DataIX" xfId="30634" xr:uid="{00000000-0005-0000-0000-0000E6200000}"/>
    <cellStyle name="40 % - Aksentti2 6 2 2 2 3" xfId="15758" xr:uid="{00000000-0005-0000-0000-0000E7200000}"/>
    <cellStyle name="40 % - Aksentti2 6 2 2 2_060617_hinnat" xfId="23731" xr:uid="{00000000-0005-0000-0000-0000E8200000}"/>
    <cellStyle name="40 % - Aksentti2 6 2 2 3" xfId="7560" xr:uid="{00000000-0005-0000-0000-0000E9200000}"/>
    <cellStyle name="40 % - Aksentti2 6 2 2 3 2" xfId="11436" xr:uid="{00000000-0005-0000-0000-0000EA200000}"/>
    <cellStyle name="40 % - Aksentti2 6 2 2 3 3" xfId="19212" xr:uid="{00000000-0005-0000-0000-0000EB200000}"/>
    <cellStyle name="40 % - Aksentti2 6 2 2 3_DataIX" xfId="30635" xr:uid="{00000000-0005-0000-0000-0000EC200000}"/>
    <cellStyle name="40 % - Aksentti2 6 2 2 4" xfId="15757" xr:uid="{00000000-0005-0000-0000-0000ED200000}"/>
    <cellStyle name="40 % - Aksentti2 6 2 2_060617_hinnat" xfId="23732" xr:uid="{00000000-0005-0000-0000-0000EE200000}"/>
    <cellStyle name="40 % - Aksentti2 6 2 3" xfId="2239" xr:uid="{00000000-0005-0000-0000-0000EF200000}"/>
    <cellStyle name="40 % - Aksentti2 6 2 3 2" xfId="7562" xr:uid="{00000000-0005-0000-0000-0000F0200000}"/>
    <cellStyle name="40 % - Aksentti2 6 2 3 2 2" xfId="11437" xr:uid="{00000000-0005-0000-0000-0000F1200000}"/>
    <cellStyle name="40 % - Aksentti2 6 2 3 2 3" xfId="19214" xr:uid="{00000000-0005-0000-0000-0000F2200000}"/>
    <cellStyle name="40 % - Aksentti2 6 2 3 2_DataIX" xfId="30636" xr:uid="{00000000-0005-0000-0000-0000F3200000}"/>
    <cellStyle name="40 % - Aksentti2 6 2 3 3" xfId="15759" xr:uid="{00000000-0005-0000-0000-0000F4200000}"/>
    <cellStyle name="40 % - Aksentti2 6 2 3_060617_hinnat" xfId="23733" xr:uid="{00000000-0005-0000-0000-0000F5200000}"/>
    <cellStyle name="40 % - Aksentti2 6 2 4" xfId="7559" xr:uid="{00000000-0005-0000-0000-0000F6200000}"/>
    <cellStyle name="40 % - Aksentti2 6 2 4 2" xfId="11438" xr:uid="{00000000-0005-0000-0000-0000F7200000}"/>
    <cellStyle name="40 % - Aksentti2 6 2 4 3" xfId="19211" xr:uid="{00000000-0005-0000-0000-0000F8200000}"/>
    <cellStyle name="40 % - Aksentti2 6 2 4_DataIX" xfId="30637" xr:uid="{00000000-0005-0000-0000-0000F9200000}"/>
    <cellStyle name="40 % - Aksentti2 6 2 5" xfId="15756" xr:uid="{00000000-0005-0000-0000-0000FA200000}"/>
    <cellStyle name="40 % - Aksentti2 6 2_060617_hinnat" xfId="23734" xr:uid="{00000000-0005-0000-0000-0000FB200000}"/>
    <cellStyle name="40 % - Aksentti2 6 3" xfId="2240" xr:uid="{00000000-0005-0000-0000-0000FC200000}"/>
    <cellStyle name="40 % - Aksentti2 6 3 2" xfId="2241" xr:uid="{00000000-0005-0000-0000-0000FD200000}"/>
    <cellStyle name="40 % - Aksentti2 6 3 2 2" xfId="7564" xr:uid="{00000000-0005-0000-0000-0000FE200000}"/>
    <cellStyle name="40 % - Aksentti2 6 3 2 2 2" xfId="11439" xr:uid="{00000000-0005-0000-0000-0000FF200000}"/>
    <cellStyle name="40 % - Aksentti2 6 3 2 2 3" xfId="19216" xr:uid="{00000000-0005-0000-0000-000000210000}"/>
    <cellStyle name="40 % - Aksentti2 6 3 2 2_DataIX" xfId="30638" xr:uid="{00000000-0005-0000-0000-000001210000}"/>
    <cellStyle name="40 % - Aksentti2 6 3 2 3" xfId="15761" xr:uid="{00000000-0005-0000-0000-000002210000}"/>
    <cellStyle name="40 % - Aksentti2 6 3 2_060617_hinnat" xfId="23735" xr:uid="{00000000-0005-0000-0000-000003210000}"/>
    <cellStyle name="40 % - Aksentti2 6 3 3" xfId="7563" xr:uid="{00000000-0005-0000-0000-000004210000}"/>
    <cellStyle name="40 % - Aksentti2 6 3 3 2" xfId="11440" xr:uid="{00000000-0005-0000-0000-000005210000}"/>
    <cellStyle name="40 % - Aksentti2 6 3 3 3" xfId="19215" xr:uid="{00000000-0005-0000-0000-000006210000}"/>
    <cellStyle name="40 % - Aksentti2 6 3 3_DataIX" xfId="30639" xr:uid="{00000000-0005-0000-0000-000007210000}"/>
    <cellStyle name="40 % - Aksentti2 6 3 4" xfId="15760" xr:uid="{00000000-0005-0000-0000-000008210000}"/>
    <cellStyle name="40 % - Aksentti2 6 3_060617_hinnat" xfId="23736" xr:uid="{00000000-0005-0000-0000-000009210000}"/>
    <cellStyle name="40 % - Aksentti2 6 4" xfId="2242" xr:uid="{00000000-0005-0000-0000-00000A210000}"/>
    <cellStyle name="40 % - Aksentti2 6 4 2" xfId="7565" xr:uid="{00000000-0005-0000-0000-00000B210000}"/>
    <cellStyle name="40 % - Aksentti2 6 4 2 2" xfId="11441" xr:uid="{00000000-0005-0000-0000-00000C210000}"/>
    <cellStyle name="40 % - Aksentti2 6 4 2 3" xfId="19217" xr:uid="{00000000-0005-0000-0000-00000D210000}"/>
    <cellStyle name="40 % - Aksentti2 6 4 2_DataIX" xfId="30640" xr:uid="{00000000-0005-0000-0000-00000E210000}"/>
    <cellStyle name="40 % - Aksentti2 6 4 3" xfId="15762" xr:uid="{00000000-0005-0000-0000-00000F210000}"/>
    <cellStyle name="40 % - Aksentti2 6 4_060617_hinnat" xfId="23737" xr:uid="{00000000-0005-0000-0000-000010210000}"/>
    <cellStyle name="40 % - Aksentti2 6 5" xfId="2243" xr:uid="{00000000-0005-0000-0000-000011210000}"/>
    <cellStyle name="40 % - Aksentti2 6 5 2" xfId="7566" xr:uid="{00000000-0005-0000-0000-000012210000}"/>
    <cellStyle name="40 % - Aksentti2 6 5 2 2" xfId="11442" xr:uid="{00000000-0005-0000-0000-000013210000}"/>
    <cellStyle name="40 % - Aksentti2 6 5 2 3" xfId="19218" xr:uid="{00000000-0005-0000-0000-000014210000}"/>
    <cellStyle name="40 % - Aksentti2 6 5 2_DataIX" xfId="30641" xr:uid="{00000000-0005-0000-0000-000015210000}"/>
    <cellStyle name="40 % - Aksentti2 6 5 3" xfId="15763" xr:uid="{00000000-0005-0000-0000-000016210000}"/>
    <cellStyle name="40 % - Aksentti2 6 5_060617_hinnat" xfId="23738" xr:uid="{00000000-0005-0000-0000-000017210000}"/>
    <cellStyle name="40 % - Aksentti2 6 6" xfId="2244" xr:uid="{00000000-0005-0000-0000-000018210000}"/>
    <cellStyle name="40 % - Aksentti2 6 6 2" xfId="7567" xr:uid="{00000000-0005-0000-0000-000019210000}"/>
    <cellStyle name="40 % - Aksentti2 6 6 2 2" xfId="11443" xr:uid="{00000000-0005-0000-0000-00001A210000}"/>
    <cellStyle name="40 % - Aksentti2 6 6 2 3" xfId="19219" xr:uid="{00000000-0005-0000-0000-00001B210000}"/>
    <cellStyle name="40 % - Aksentti2 6 6 2_DataIX" xfId="30642" xr:uid="{00000000-0005-0000-0000-00001C210000}"/>
    <cellStyle name="40 % - Aksentti2 6 6 3" xfId="15764" xr:uid="{00000000-0005-0000-0000-00001D210000}"/>
    <cellStyle name="40 % - Aksentti2 6 6_060617_hinnat" xfId="23739" xr:uid="{00000000-0005-0000-0000-00001E210000}"/>
    <cellStyle name="40 % - Aksentti2 6 7" xfId="2245" xr:uid="{00000000-0005-0000-0000-00001F210000}"/>
    <cellStyle name="40 % - Aksentti2 6 7 2" xfId="7568" xr:uid="{00000000-0005-0000-0000-000020210000}"/>
    <cellStyle name="40 % - Aksentti2 6 7 2 2" xfId="11444" xr:uid="{00000000-0005-0000-0000-000021210000}"/>
    <cellStyle name="40 % - Aksentti2 6 7 2 3" xfId="19220" xr:uid="{00000000-0005-0000-0000-000022210000}"/>
    <cellStyle name="40 % - Aksentti2 6 7 2_DataIX" xfId="30643" xr:uid="{00000000-0005-0000-0000-000023210000}"/>
    <cellStyle name="40 % - Aksentti2 6 7 3" xfId="15765" xr:uid="{00000000-0005-0000-0000-000024210000}"/>
    <cellStyle name="40 % - Aksentti2 6 7_060617_hinnat" xfId="23740" xr:uid="{00000000-0005-0000-0000-000025210000}"/>
    <cellStyle name="40 % - Aksentti2 6 8" xfId="2246" xr:uid="{00000000-0005-0000-0000-000026210000}"/>
    <cellStyle name="40 % - Aksentti2 6 8 2" xfId="7569" xr:uid="{00000000-0005-0000-0000-000027210000}"/>
    <cellStyle name="40 % - Aksentti2 6 8 2 2" xfId="11445" xr:uid="{00000000-0005-0000-0000-000028210000}"/>
    <cellStyle name="40 % - Aksentti2 6 8 2 3" xfId="19221" xr:uid="{00000000-0005-0000-0000-000029210000}"/>
    <cellStyle name="40 % - Aksentti2 6 8 2_DataIX" xfId="30644" xr:uid="{00000000-0005-0000-0000-00002A210000}"/>
    <cellStyle name="40 % - Aksentti2 6 8 3" xfId="15766" xr:uid="{00000000-0005-0000-0000-00002B210000}"/>
    <cellStyle name="40 % - Aksentti2 6 8_060617_hinnat" xfId="23741" xr:uid="{00000000-0005-0000-0000-00002C210000}"/>
    <cellStyle name="40 % - Aksentti2 6 9" xfId="2247" xr:uid="{00000000-0005-0000-0000-00002D210000}"/>
    <cellStyle name="40 % - Aksentti2 6 9 2" xfId="7570" xr:uid="{00000000-0005-0000-0000-00002E210000}"/>
    <cellStyle name="40 % - Aksentti2 6 9 2 2" xfId="11446" xr:uid="{00000000-0005-0000-0000-00002F210000}"/>
    <cellStyle name="40 % - Aksentti2 6 9 2 3" xfId="19222" xr:uid="{00000000-0005-0000-0000-000030210000}"/>
    <cellStyle name="40 % - Aksentti2 6 9 2_DataIX" xfId="30645" xr:uid="{00000000-0005-0000-0000-000031210000}"/>
    <cellStyle name="40 % - Aksentti2 6 9 3" xfId="15767" xr:uid="{00000000-0005-0000-0000-000032210000}"/>
    <cellStyle name="40 % - Aksentti2 6 9_060617_hinnat" xfId="23742" xr:uid="{00000000-0005-0000-0000-000033210000}"/>
    <cellStyle name="40 % - Aksentti2 6_060617_hinnat" xfId="23743" xr:uid="{00000000-0005-0000-0000-000034210000}"/>
    <cellStyle name="40 % - Aksentti2 7" xfId="2248" xr:uid="{00000000-0005-0000-0000-000035210000}"/>
    <cellStyle name="40 % - Aksentti2 7 10" xfId="2249" xr:uid="{00000000-0005-0000-0000-000036210000}"/>
    <cellStyle name="40 % - Aksentti2 7 10 2" xfId="7572" xr:uid="{00000000-0005-0000-0000-000037210000}"/>
    <cellStyle name="40 % - Aksentti2 7 10 2 2" xfId="11447" xr:uid="{00000000-0005-0000-0000-000038210000}"/>
    <cellStyle name="40 % - Aksentti2 7 10 2 3" xfId="19224" xr:uid="{00000000-0005-0000-0000-000039210000}"/>
    <cellStyle name="40 % - Aksentti2 7 10 2_DataIX" xfId="30646" xr:uid="{00000000-0005-0000-0000-00003A210000}"/>
    <cellStyle name="40 % - Aksentti2 7 10 3" xfId="15769" xr:uid="{00000000-0005-0000-0000-00003B210000}"/>
    <cellStyle name="40 % - Aksentti2 7 10_060617_hinnat" xfId="23744" xr:uid="{00000000-0005-0000-0000-00003C210000}"/>
    <cellStyle name="40 % - Aksentti2 7 11" xfId="7571" xr:uid="{00000000-0005-0000-0000-00003D210000}"/>
    <cellStyle name="40 % - Aksentti2 7 11 2" xfId="11448" xr:uid="{00000000-0005-0000-0000-00003E210000}"/>
    <cellStyle name="40 % - Aksentti2 7 11 3" xfId="19223" xr:uid="{00000000-0005-0000-0000-00003F210000}"/>
    <cellStyle name="40 % - Aksentti2 7 11_DataIX" xfId="30647" xr:uid="{00000000-0005-0000-0000-000040210000}"/>
    <cellStyle name="40 % - Aksentti2 7 12" xfId="15768" xr:uid="{00000000-0005-0000-0000-000041210000}"/>
    <cellStyle name="40 % - Aksentti2 7 2" xfId="2250" xr:uid="{00000000-0005-0000-0000-000042210000}"/>
    <cellStyle name="40 % - Aksentti2 7 2 2" xfId="2251" xr:uid="{00000000-0005-0000-0000-000043210000}"/>
    <cellStyle name="40 % - Aksentti2 7 2 2 2" xfId="2252" xr:uid="{00000000-0005-0000-0000-000044210000}"/>
    <cellStyle name="40 % - Aksentti2 7 2 2 2 2" xfId="7575" xr:uid="{00000000-0005-0000-0000-000045210000}"/>
    <cellStyle name="40 % - Aksentti2 7 2 2 2 2 2" xfId="11449" xr:uid="{00000000-0005-0000-0000-000046210000}"/>
    <cellStyle name="40 % - Aksentti2 7 2 2 2 2 3" xfId="19227" xr:uid="{00000000-0005-0000-0000-000047210000}"/>
    <cellStyle name="40 % - Aksentti2 7 2 2 2 2_DataIX" xfId="30648" xr:uid="{00000000-0005-0000-0000-000048210000}"/>
    <cellStyle name="40 % - Aksentti2 7 2 2 2 3" xfId="15772" xr:uid="{00000000-0005-0000-0000-000049210000}"/>
    <cellStyle name="40 % - Aksentti2 7 2 2 2_060617_hinnat" xfId="23745" xr:uid="{00000000-0005-0000-0000-00004A210000}"/>
    <cellStyle name="40 % - Aksentti2 7 2 2 3" xfId="7574" xr:uid="{00000000-0005-0000-0000-00004B210000}"/>
    <cellStyle name="40 % - Aksentti2 7 2 2 3 2" xfId="11450" xr:uid="{00000000-0005-0000-0000-00004C210000}"/>
    <cellStyle name="40 % - Aksentti2 7 2 2 3 3" xfId="19226" xr:uid="{00000000-0005-0000-0000-00004D210000}"/>
    <cellStyle name="40 % - Aksentti2 7 2 2 3_DataIX" xfId="30649" xr:uid="{00000000-0005-0000-0000-00004E210000}"/>
    <cellStyle name="40 % - Aksentti2 7 2 2 4" xfId="15771" xr:uid="{00000000-0005-0000-0000-00004F210000}"/>
    <cellStyle name="40 % - Aksentti2 7 2 2_060617_hinnat" xfId="23746" xr:uid="{00000000-0005-0000-0000-000050210000}"/>
    <cellStyle name="40 % - Aksentti2 7 2 3" xfId="2253" xr:uid="{00000000-0005-0000-0000-000051210000}"/>
    <cellStyle name="40 % - Aksentti2 7 2 3 2" xfId="7576" xr:uid="{00000000-0005-0000-0000-000052210000}"/>
    <cellStyle name="40 % - Aksentti2 7 2 3 2 2" xfId="11451" xr:uid="{00000000-0005-0000-0000-000053210000}"/>
    <cellStyle name="40 % - Aksentti2 7 2 3 2 3" xfId="19228" xr:uid="{00000000-0005-0000-0000-000054210000}"/>
    <cellStyle name="40 % - Aksentti2 7 2 3 2_DataIX" xfId="30650" xr:uid="{00000000-0005-0000-0000-000055210000}"/>
    <cellStyle name="40 % - Aksentti2 7 2 3 3" xfId="15773" xr:uid="{00000000-0005-0000-0000-000056210000}"/>
    <cellStyle name="40 % - Aksentti2 7 2 3_060617_hinnat" xfId="23747" xr:uid="{00000000-0005-0000-0000-000057210000}"/>
    <cellStyle name="40 % - Aksentti2 7 2 4" xfId="7573" xr:uid="{00000000-0005-0000-0000-000058210000}"/>
    <cellStyle name="40 % - Aksentti2 7 2 4 2" xfId="11452" xr:uid="{00000000-0005-0000-0000-000059210000}"/>
    <cellStyle name="40 % - Aksentti2 7 2 4 3" xfId="19225" xr:uid="{00000000-0005-0000-0000-00005A210000}"/>
    <cellStyle name="40 % - Aksentti2 7 2 4_DataIX" xfId="30651" xr:uid="{00000000-0005-0000-0000-00005B210000}"/>
    <cellStyle name="40 % - Aksentti2 7 2 5" xfId="15770" xr:uid="{00000000-0005-0000-0000-00005C210000}"/>
    <cellStyle name="40 % - Aksentti2 7 2_060617_hinnat" xfId="23748" xr:uid="{00000000-0005-0000-0000-00005D210000}"/>
    <cellStyle name="40 % - Aksentti2 7 3" xfId="2254" xr:uid="{00000000-0005-0000-0000-00005E210000}"/>
    <cellStyle name="40 % - Aksentti2 7 3 2" xfId="2255" xr:uid="{00000000-0005-0000-0000-00005F210000}"/>
    <cellStyle name="40 % - Aksentti2 7 3 2 2" xfId="7578" xr:uid="{00000000-0005-0000-0000-000060210000}"/>
    <cellStyle name="40 % - Aksentti2 7 3 2 2 2" xfId="11453" xr:uid="{00000000-0005-0000-0000-000061210000}"/>
    <cellStyle name="40 % - Aksentti2 7 3 2 2 3" xfId="19230" xr:uid="{00000000-0005-0000-0000-000062210000}"/>
    <cellStyle name="40 % - Aksentti2 7 3 2 2_DataIX" xfId="30652" xr:uid="{00000000-0005-0000-0000-000063210000}"/>
    <cellStyle name="40 % - Aksentti2 7 3 2 3" xfId="15775" xr:uid="{00000000-0005-0000-0000-000064210000}"/>
    <cellStyle name="40 % - Aksentti2 7 3 2_060617_hinnat" xfId="23749" xr:uid="{00000000-0005-0000-0000-000065210000}"/>
    <cellStyle name="40 % - Aksentti2 7 3 3" xfId="7577" xr:uid="{00000000-0005-0000-0000-000066210000}"/>
    <cellStyle name="40 % - Aksentti2 7 3 3 2" xfId="11454" xr:uid="{00000000-0005-0000-0000-000067210000}"/>
    <cellStyle name="40 % - Aksentti2 7 3 3 3" xfId="19229" xr:uid="{00000000-0005-0000-0000-000068210000}"/>
    <cellStyle name="40 % - Aksentti2 7 3 3_DataIX" xfId="30653" xr:uid="{00000000-0005-0000-0000-000069210000}"/>
    <cellStyle name="40 % - Aksentti2 7 3 4" xfId="15774" xr:uid="{00000000-0005-0000-0000-00006A210000}"/>
    <cellStyle name="40 % - Aksentti2 7 3_060617_hinnat" xfId="23750" xr:uid="{00000000-0005-0000-0000-00006B210000}"/>
    <cellStyle name="40 % - Aksentti2 7 4" xfId="2256" xr:uid="{00000000-0005-0000-0000-00006C210000}"/>
    <cellStyle name="40 % - Aksentti2 7 4 2" xfId="7579" xr:uid="{00000000-0005-0000-0000-00006D210000}"/>
    <cellStyle name="40 % - Aksentti2 7 4 2 2" xfId="11455" xr:uid="{00000000-0005-0000-0000-00006E210000}"/>
    <cellStyle name="40 % - Aksentti2 7 4 2 3" xfId="19231" xr:uid="{00000000-0005-0000-0000-00006F210000}"/>
    <cellStyle name="40 % - Aksentti2 7 4 2_DataIX" xfId="30654" xr:uid="{00000000-0005-0000-0000-000070210000}"/>
    <cellStyle name="40 % - Aksentti2 7 4 3" xfId="15776" xr:uid="{00000000-0005-0000-0000-000071210000}"/>
    <cellStyle name="40 % - Aksentti2 7 4_060617_hinnat" xfId="23751" xr:uid="{00000000-0005-0000-0000-000072210000}"/>
    <cellStyle name="40 % - Aksentti2 7 5" xfId="2257" xr:uid="{00000000-0005-0000-0000-000073210000}"/>
    <cellStyle name="40 % - Aksentti2 7 5 2" xfId="7580" xr:uid="{00000000-0005-0000-0000-000074210000}"/>
    <cellStyle name="40 % - Aksentti2 7 5 2 2" xfId="11456" xr:uid="{00000000-0005-0000-0000-000075210000}"/>
    <cellStyle name="40 % - Aksentti2 7 5 2 3" xfId="19232" xr:uid="{00000000-0005-0000-0000-000076210000}"/>
    <cellStyle name="40 % - Aksentti2 7 5 2_DataIX" xfId="30655" xr:uid="{00000000-0005-0000-0000-000077210000}"/>
    <cellStyle name="40 % - Aksentti2 7 5 3" xfId="15777" xr:uid="{00000000-0005-0000-0000-000078210000}"/>
    <cellStyle name="40 % - Aksentti2 7 5_060617_hinnat" xfId="23752" xr:uid="{00000000-0005-0000-0000-000079210000}"/>
    <cellStyle name="40 % - Aksentti2 7 6" xfId="2258" xr:uid="{00000000-0005-0000-0000-00007A210000}"/>
    <cellStyle name="40 % - Aksentti2 7 6 2" xfId="7581" xr:uid="{00000000-0005-0000-0000-00007B210000}"/>
    <cellStyle name="40 % - Aksentti2 7 6 2 2" xfId="11457" xr:uid="{00000000-0005-0000-0000-00007C210000}"/>
    <cellStyle name="40 % - Aksentti2 7 6 2 3" xfId="19233" xr:uid="{00000000-0005-0000-0000-00007D210000}"/>
    <cellStyle name="40 % - Aksentti2 7 6 2_DataIX" xfId="30656" xr:uid="{00000000-0005-0000-0000-00007E210000}"/>
    <cellStyle name="40 % - Aksentti2 7 6 3" xfId="15778" xr:uid="{00000000-0005-0000-0000-00007F210000}"/>
    <cellStyle name="40 % - Aksentti2 7 6_060617_hinnat" xfId="23753" xr:uid="{00000000-0005-0000-0000-000080210000}"/>
    <cellStyle name="40 % - Aksentti2 7 7" xfId="2259" xr:uid="{00000000-0005-0000-0000-000081210000}"/>
    <cellStyle name="40 % - Aksentti2 7 7 2" xfId="7582" xr:uid="{00000000-0005-0000-0000-000082210000}"/>
    <cellStyle name="40 % - Aksentti2 7 7 2 2" xfId="11458" xr:uid="{00000000-0005-0000-0000-000083210000}"/>
    <cellStyle name="40 % - Aksentti2 7 7 2 3" xfId="19234" xr:uid="{00000000-0005-0000-0000-000084210000}"/>
    <cellStyle name="40 % - Aksentti2 7 7 2_DataIX" xfId="30657" xr:uid="{00000000-0005-0000-0000-000085210000}"/>
    <cellStyle name="40 % - Aksentti2 7 7 3" xfId="15779" xr:uid="{00000000-0005-0000-0000-000086210000}"/>
    <cellStyle name="40 % - Aksentti2 7 7_060617_hinnat" xfId="23754" xr:uid="{00000000-0005-0000-0000-000087210000}"/>
    <cellStyle name="40 % - Aksentti2 7 8" xfId="2260" xr:uid="{00000000-0005-0000-0000-000088210000}"/>
    <cellStyle name="40 % - Aksentti2 7 8 2" xfId="7583" xr:uid="{00000000-0005-0000-0000-000089210000}"/>
    <cellStyle name="40 % - Aksentti2 7 8 2 2" xfId="11459" xr:uid="{00000000-0005-0000-0000-00008A210000}"/>
    <cellStyle name="40 % - Aksentti2 7 8 2 3" xfId="19235" xr:uid="{00000000-0005-0000-0000-00008B210000}"/>
    <cellStyle name="40 % - Aksentti2 7 8 2_DataIX" xfId="30658" xr:uid="{00000000-0005-0000-0000-00008C210000}"/>
    <cellStyle name="40 % - Aksentti2 7 8 3" xfId="15780" xr:uid="{00000000-0005-0000-0000-00008D210000}"/>
    <cellStyle name="40 % - Aksentti2 7 8_060617_hinnat" xfId="23755" xr:uid="{00000000-0005-0000-0000-00008E210000}"/>
    <cellStyle name="40 % - Aksentti2 7 9" xfId="2261" xr:uid="{00000000-0005-0000-0000-00008F210000}"/>
    <cellStyle name="40 % - Aksentti2 7 9 2" xfId="7584" xr:uid="{00000000-0005-0000-0000-000090210000}"/>
    <cellStyle name="40 % - Aksentti2 7 9 2 2" xfId="11460" xr:uid="{00000000-0005-0000-0000-000091210000}"/>
    <cellStyle name="40 % - Aksentti2 7 9 2 3" xfId="19236" xr:uid="{00000000-0005-0000-0000-000092210000}"/>
    <cellStyle name="40 % - Aksentti2 7 9 2_DataIX" xfId="30659" xr:uid="{00000000-0005-0000-0000-000093210000}"/>
    <cellStyle name="40 % - Aksentti2 7 9 3" xfId="15781" xr:uid="{00000000-0005-0000-0000-000094210000}"/>
    <cellStyle name="40 % - Aksentti2 7 9_060617_hinnat" xfId="23756" xr:uid="{00000000-0005-0000-0000-000095210000}"/>
    <cellStyle name="40 % - Aksentti2 7_060617_hinnat" xfId="23757" xr:uid="{00000000-0005-0000-0000-000096210000}"/>
    <cellStyle name="40 % - Aksentti2 8" xfId="2262" xr:uid="{00000000-0005-0000-0000-000097210000}"/>
    <cellStyle name="40 % - Aksentti2 8 10" xfId="2263" xr:uid="{00000000-0005-0000-0000-000098210000}"/>
    <cellStyle name="40 % - Aksentti2 8 10 2" xfId="7586" xr:uid="{00000000-0005-0000-0000-000099210000}"/>
    <cellStyle name="40 % - Aksentti2 8 10 2 2" xfId="11461" xr:uid="{00000000-0005-0000-0000-00009A210000}"/>
    <cellStyle name="40 % - Aksentti2 8 10 2 3" xfId="19238" xr:uid="{00000000-0005-0000-0000-00009B210000}"/>
    <cellStyle name="40 % - Aksentti2 8 10 2_DataIX" xfId="30660" xr:uid="{00000000-0005-0000-0000-00009C210000}"/>
    <cellStyle name="40 % - Aksentti2 8 10 3" xfId="15783" xr:uid="{00000000-0005-0000-0000-00009D210000}"/>
    <cellStyle name="40 % - Aksentti2 8 10_060617_hinnat" xfId="23758" xr:uid="{00000000-0005-0000-0000-00009E210000}"/>
    <cellStyle name="40 % - Aksentti2 8 11" xfId="7585" xr:uid="{00000000-0005-0000-0000-00009F210000}"/>
    <cellStyle name="40 % - Aksentti2 8 11 2" xfId="11462" xr:uid="{00000000-0005-0000-0000-0000A0210000}"/>
    <cellStyle name="40 % - Aksentti2 8 11 3" xfId="19237" xr:uid="{00000000-0005-0000-0000-0000A1210000}"/>
    <cellStyle name="40 % - Aksentti2 8 11_DataIX" xfId="30661" xr:uid="{00000000-0005-0000-0000-0000A2210000}"/>
    <cellStyle name="40 % - Aksentti2 8 12" xfId="15782" xr:uid="{00000000-0005-0000-0000-0000A3210000}"/>
    <cellStyle name="40 % - Aksentti2 8 2" xfId="2264" xr:uid="{00000000-0005-0000-0000-0000A4210000}"/>
    <cellStyle name="40 % - Aksentti2 8 2 2" xfId="2265" xr:uid="{00000000-0005-0000-0000-0000A5210000}"/>
    <cellStyle name="40 % - Aksentti2 8 2 2 2" xfId="2266" xr:uid="{00000000-0005-0000-0000-0000A6210000}"/>
    <cellStyle name="40 % - Aksentti2 8 2 2 2 2" xfId="7589" xr:uid="{00000000-0005-0000-0000-0000A7210000}"/>
    <cellStyle name="40 % - Aksentti2 8 2 2 2 2 2" xfId="11463" xr:uid="{00000000-0005-0000-0000-0000A8210000}"/>
    <cellStyle name="40 % - Aksentti2 8 2 2 2 2 3" xfId="19241" xr:uid="{00000000-0005-0000-0000-0000A9210000}"/>
    <cellStyle name="40 % - Aksentti2 8 2 2 2 2_DataIX" xfId="30662" xr:uid="{00000000-0005-0000-0000-0000AA210000}"/>
    <cellStyle name="40 % - Aksentti2 8 2 2 2 3" xfId="15786" xr:uid="{00000000-0005-0000-0000-0000AB210000}"/>
    <cellStyle name="40 % - Aksentti2 8 2 2 2_060617_hinnat" xfId="23759" xr:uid="{00000000-0005-0000-0000-0000AC210000}"/>
    <cellStyle name="40 % - Aksentti2 8 2 2 3" xfId="7588" xr:uid="{00000000-0005-0000-0000-0000AD210000}"/>
    <cellStyle name="40 % - Aksentti2 8 2 2 3 2" xfId="11464" xr:uid="{00000000-0005-0000-0000-0000AE210000}"/>
    <cellStyle name="40 % - Aksentti2 8 2 2 3 3" xfId="19240" xr:uid="{00000000-0005-0000-0000-0000AF210000}"/>
    <cellStyle name="40 % - Aksentti2 8 2 2 3_DataIX" xfId="30663" xr:uid="{00000000-0005-0000-0000-0000B0210000}"/>
    <cellStyle name="40 % - Aksentti2 8 2 2 4" xfId="15785" xr:uid="{00000000-0005-0000-0000-0000B1210000}"/>
    <cellStyle name="40 % - Aksentti2 8 2 2_060617_hinnat" xfId="23760" xr:uid="{00000000-0005-0000-0000-0000B2210000}"/>
    <cellStyle name="40 % - Aksentti2 8 2 3" xfId="2267" xr:uid="{00000000-0005-0000-0000-0000B3210000}"/>
    <cellStyle name="40 % - Aksentti2 8 2 3 2" xfId="7590" xr:uid="{00000000-0005-0000-0000-0000B4210000}"/>
    <cellStyle name="40 % - Aksentti2 8 2 3 2 2" xfId="11465" xr:uid="{00000000-0005-0000-0000-0000B5210000}"/>
    <cellStyle name="40 % - Aksentti2 8 2 3 2 3" xfId="19242" xr:uid="{00000000-0005-0000-0000-0000B6210000}"/>
    <cellStyle name="40 % - Aksentti2 8 2 3 2_DataIX" xfId="30664" xr:uid="{00000000-0005-0000-0000-0000B7210000}"/>
    <cellStyle name="40 % - Aksentti2 8 2 3 3" xfId="15787" xr:uid="{00000000-0005-0000-0000-0000B8210000}"/>
    <cellStyle name="40 % - Aksentti2 8 2 3_060617_hinnat" xfId="23761" xr:uid="{00000000-0005-0000-0000-0000B9210000}"/>
    <cellStyle name="40 % - Aksentti2 8 2 4" xfId="7587" xr:uid="{00000000-0005-0000-0000-0000BA210000}"/>
    <cellStyle name="40 % - Aksentti2 8 2 4 2" xfId="11466" xr:uid="{00000000-0005-0000-0000-0000BB210000}"/>
    <cellStyle name="40 % - Aksentti2 8 2 4 3" xfId="19239" xr:uid="{00000000-0005-0000-0000-0000BC210000}"/>
    <cellStyle name="40 % - Aksentti2 8 2 4_DataIX" xfId="30665" xr:uid="{00000000-0005-0000-0000-0000BD210000}"/>
    <cellStyle name="40 % - Aksentti2 8 2 5" xfId="15784" xr:uid="{00000000-0005-0000-0000-0000BE210000}"/>
    <cellStyle name="40 % - Aksentti2 8 2_060617_hinnat" xfId="23762" xr:uid="{00000000-0005-0000-0000-0000BF210000}"/>
    <cellStyle name="40 % - Aksentti2 8 3" xfId="2268" xr:uid="{00000000-0005-0000-0000-0000C0210000}"/>
    <cellStyle name="40 % - Aksentti2 8 3 2" xfId="2269" xr:uid="{00000000-0005-0000-0000-0000C1210000}"/>
    <cellStyle name="40 % - Aksentti2 8 3 2 2" xfId="7592" xr:uid="{00000000-0005-0000-0000-0000C2210000}"/>
    <cellStyle name="40 % - Aksentti2 8 3 2 2 2" xfId="11467" xr:uid="{00000000-0005-0000-0000-0000C3210000}"/>
    <cellStyle name="40 % - Aksentti2 8 3 2 2 3" xfId="19244" xr:uid="{00000000-0005-0000-0000-0000C4210000}"/>
    <cellStyle name="40 % - Aksentti2 8 3 2 2_DataIX" xfId="30666" xr:uid="{00000000-0005-0000-0000-0000C5210000}"/>
    <cellStyle name="40 % - Aksentti2 8 3 2 3" xfId="15789" xr:uid="{00000000-0005-0000-0000-0000C6210000}"/>
    <cellStyle name="40 % - Aksentti2 8 3 2_060617_hinnat" xfId="23763" xr:uid="{00000000-0005-0000-0000-0000C7210000}"/>
    <cellStyle name="40 % - Aksentti2 8 3 3" xfId="7591" xr:uid="{00000000-0005-0000-0000-0000C8210000}"/>
    <cellStyle name="40 % - Aksentti2 8 3 3 2" xfId="11468" xr:uid="{00000000-0005-0000-0000-0000C9210000}"/>
    <cellStyle name="40 % - Aksentti2 8 3 3 3" xfId="19243" xr:uid="{00000000-0005-0000-0000-0000CA210000}"/>
    <cellStyle name="40 % - Aksentti2 8 3 3_DataIX" xfId="30667" xr:uid="{00000000-0005-0000-0000-0000CB210000}"/>
    <cellStyle name="40 % - Aksentti2 8 3 4" xfId="15788" xr:uid="{00000000-0005-0000-0000-0000CC210000}"/>
    <cellStyle name="40 % - Aksentti2 8 3_060617_hinnat" xfId="23764" xr:uid="{00000000-0005-0000-0000-0000CD210000}"/>
    <cellStyle name="40 % - Aksentti2 8 4" xfId="2270" xr:uid="{00000000-0005-0000-0000-0000CE210000}"/>
    <cellStyle name="40 % - Aksentti2 8 4 2" xfId="7593" xr:uid="{00000000-0005-0000-0000-0000CF210000}"/>
    <cellStyle name="40 % - Aksentti2 8 4 2 2" xfId="11469" xr:uid="{00000000-0005-0000-0000-0000D0210000}"/>
    <cellStyle name="40 % - Aksentti2 8 4 2 3" xfId="19245" xr:uid="{00000000-0005-0000-0000-0000D1210000}"/>
    <cellStyle name="40 % - Aksentti2 8 4 2_DataIX" xfId="30668" xr:uid="{00000000-0005-0000-0000-0000D2210000}"/>
    <cellStyle name="40 % - Aksentti2 8 4 3" xfId="15790" xr:uid="{00000000-0005-0000-0000-0000D3210000}"/>
    <cellStyle name="40 % - Aksentti2 8 4_060617_hinnat" xfId="23765" xr:uid="{00000000-0005-0000-0000-0000D4210000}"/>
    <cellStyle name="40 % - Aksentti2 8 5" xfId="2271" xr:uid="{00000000-0005-0000-0000-0000D5210000}"/>
    <cellStyle name="40 % - Aksentti2 8 5 2" xfId="7594" xr:uid="{00000000-0005-0000-0000-0000D6210000}"/>
    <cellStyle name="40 % - Aksentti2 8 5 2 2" xfId="11470" xr:uid="{00000000-0005-0000-0000-0000D7210000}"/>
    <cellStyle name="40 % - Aksentti2 8 5 2 3" xfId="19246" xr:uid="{00000000-0005-0000-0000-0000D8210000}"/>
    <cellStyle name="40 % - Aksentti2 8 5 2_DataIX" xfId="30669" xr:uid="{00000000-0005-0000-0000-0000D9210000}"/>
    <cellStyle name="40 % - Aksentti2 8 5 3" xfId="15791" xr:uid="{00000000-0005-0000-0000-0000DA210000}"/>
    <cellStyle name="40 % - Aksentti2 8 5_060617_hinnat" xfId="23766" xr:uid="{00000000-0005-0000-0000-0000DB210000}"/>
    <cellStyle name="40 % - Aksentti2 8 6" xfId="2272" xr:uid="{00000000-0005-0000-0000-0000DC210000}"/>
    <cellStyle name="40 % - Aksentti2 8 6 2" xfId="7595" xr:uid="{00000000-0005-0000-0000-0000DD210000}"/>
    <cellStyle name="40 % - Aksentti2 8 6 2 2" xfId="11471" xr:uid="{00000000-0005-0000-0000-0000DE210000}"/>
    <cellStyle name="40 % - Aksentti2 8 6 2 3" xfId="19247" xr:uid="{00000000-0005-0000-0000-0000DF210000}"/>
    <cellStyle name="40 % - Aksentti2 8 6 2_DataIX" xfId="30670" xr:uid="{00000000-0005-0000-0000-0000E0210000}"/>
    <cellStyle name="40 % - Aksentti2 8 6 3" xfId="15792" xr:uid="{00000000-0005-0000-0000-0000E1210000}"/>
    <cellStyle name="40 % - Aksentti2 8 6_060617_hinnat" xfId="23767" xr:uid="{00000000-0005-0000-0000-0000E2210000}"/>
    <cellStyle name="40 % - Aksentti2 8 7" xfId="2273" xr:uid="{00000000-0005-0000-0000-0000E3210000}"/>
    <cellStyle name="40 % - Aksentti2 8 7 2" xfId="7596" xr:uid="{00000000-0005-0000-0000-0000E4210000}"/>
    <cellStyle name="40 % - Aksentti2 8 7 2 2" xfId="11472" xr:uid="{00000000-0005-0000-0000-0000E5210000}"/>
    <cellStyle name="40 % - Aksentti2 8 7 2 3" xfId="19248" xr:uid="{00000000-0005-0000-0000-0000E6210000}"/>
    <cellStyle name="40 % - Aksentti2 8 7 2_DataIX" xfId="30671" xr:uid="{00000000-0005-0000-0000-0000E7210000}"/>
    <cellStyle name="40 % - Aksentti2 8 7 3" xfId="15793" xr:uid="{00000000-0005-0000-0000-0000E8210000}"/>
    <cellStyle name="40 % - Aksentti2 8 7_060617_hinnat" xfId="23768" xr:uid="{00000000-0005-0000-0000-0000E9210000}"/>
    <cellStyle name="40 % - Aksentti2 8 8" xfId="2274" xr:uid="{00000000-0005-0000-0000-0000EA210000}"/>
    <cellStyle name="40 % - Aksentti2 8 8 2" xfId="7597" xr:uid="{00000000-0005-0000-0000-0000EB210000}"/>
    <cellStyle name="40 % - Aksentti2 8 8 2 2" xfId="11473" xr:uid="{00000000-0005-0000-0000-0000EC210000}"/>
    <cellStyle name="40 % - Aksentti2 8 8 2 3" xfId="19249" xr:uid="{00000000-0005-0000-0000-0000ED210000}"/>
    <cellStyle name="40 % - Aksentti2 8 8 2_DataIX" xfId="30672" xr:uid="{00000000-0005-0000-0000-0000EE210000}"/>
    <cellStyle name="40 % - Aksentti2 8 8 3" xfId="15794" xr:uid="{00000000-0005-0000-0000-0000EF210000}"/>
    <cellStyle name="40 % - Aksentti2 8 8_060617_hinnat" xfId="23769" xr:uid="{00000000-0005-0000-0000-0000F0210000}"/>
    <cellStyle name="40 % - Aksentti2 8 9" xfId="2275" xr:uid="{00000000-0005-0000-0000-0000F1210000}"/>
    <cellStyle name="40 % - Aksentti2 8 9 2" xfId="7598" xr:uid="{00000000-0005-0000-0000-0000F2210000}"/>
    <cellStyle name="40 % - Aksentti2 8 9 2 2" xfId="11474" xr:uid="{00000000-0005-0000-0000-0000F3210000}"/>
    <cellStyle name="40 % - Aksentti2 8 9 2 3" xfId="19250" xr:uid="{00000000-0005-0000-0000-0000F4210000}"/>
    <cellStyle name="40 % - Aksentti2 8 9 2_DataIX" xfId="30673" xr:uid="{00000000-0005-0000-0000-0000F5210000}"/>
    <cellStyle name="40 % - Aksentti2 8 9 3" xfId="15795" xr:uid="{00000000-0005-0000-0000-0000F6210000}"/>
    <cellStyle name="40 % - Aksentti2 8 9_060617_hinnat" xfId="23770" xr:uid="{00000000-0005-0000-0000-0000F7210000}"/>
    <cellStyle name="40 % - Aksentti2 8_060617_hinnat" xfId="23771" xr:uid="{00000000-0005-0000-0000-0000F8210000}"/>
    <cellStyle name="40 % - Aksentti2 9" xfId="2276" xr:uid="{00000000-0005-0000-0000-0000F9210000}"/>
    <cellStyle name="40 % - Aksentti2 9 10" xfId="2277" xr:uid="{00000000-0005-0000-0000-0000FA210000}"/>
    <cellStyle name="40 % - Aksentti2 9 10 2" xfId="7600" xr:uid="{00000000-0005-0000-0000-0000FB210000}"/>
    <cellStyle name="40 % - Aksentti2 9 10 2 2" xfId="11475" xr:uid="{00000000-0005-0000-0000-0000FC210000}"/>
    <cellStyle name="40 % - Aksentti2 9 10 2 3" xfId="19252" xr:uid="{00000000-0005-0000-0000-0000FD210000}"/>
    <cellStyle name="40 % - Aksentti2 9 10 2_DataIX" xfId="30674" xr:uid="{00000000-0005-0000-0000-0000FE210000}"/>
    <cellStyle name="40 % - Aksentti2 9 10 3" xfId="15797" xr:uid="{00000000-0005-0000-0000-0000FF210000}"/>
    <cellStyle name="40 % - Aksentti2 9 10_060617_hinnat" xfId="23772" xr:uid="{00000000-0005-0000-0000-000000220000}"/>
    <cellStyle name="40 % - Aksentti2 9 11" xfId="7599" xr:uid="{00000000-0005-0000-0000-000001220000}"/>
    <cellStyle name="40 % - Aksentti2 9 11 2" xfId="11476" xr:uid="{00000000-0005-0000-0000-000002220000}"/>
    <cellStyle name="40 % - Aksentti2 9 11 3" xfId="19251" xr:uid="{00000000-0005-0000-0000-000003220000}"/>
    <cellStyle name="40 % - Aksentti2 9 11_DataIX" xfId="30675" xr:uid="{00000000-0005-0000-0000-000004220000}"/>
    <cellStyle name="40 % - Aksentti2 9 12" xfId="15796" xr:uid="{00000000-0005-0000-0000-000005220000}"/>
    <cellStyle name="40 % - Aksentti2 9 2" xfId="2278" xr:uid="{00000000-0005-0000-0000-000006220000}"/>
    <cellStyle name="40 % - Aksentti2 9 2 2" xfId="2279" xr:uid="{00000000-0005-0000-0000-000007220000}"/>
    <cellStyle name="40 % - Aksentti2 9 2 2 2" xfId="2280" xr:uid="{00000000-0005-0000-0000-000008220000}"/>
    <cellStyle name="40 % - Aksentti2 9 2 2 2 2" xfId="7603" xr:uid="{00000000-0005-0000-0000-000009220000}"/>
    <cellStyle name="40 % - Aksentti2 9 2 2 2 2 2" xfId="11477" xr:uid="{00000000-0005-0000-0000-00000A220000}"/>
    <cellStyle name="40 % - Aksentti2 9 2 2 2 2 3" xfId="19255" xr:uid="{00000000-0005-0000-0000-00000B220000}"/>
    <cellStyle name="40 % - Aksentti2 9 2 2 2 2_DataIX" xfId="30676" xr:uid="{00000000-0005-0000-0000-00000C220000}"/>
    <cellStyle name="40 % - Aksentti2 9 2 2 2 3" xfId="15800" xr:uid="{00000000-0005-0000-0000-00000D220000}"/>
    <cellStyle name="40 % - Aksentti2 9 2 2 2_060617_hinnat" xfId="23773" xr:uid="{00000000-0005-0000-0000-00000E220000}"/>
    <cellStyle name="40 % - Aksentti2 9 2 2 3" xfId="7602" xr:uid="{00000000-0005-0000-0000-00000F220000}"/>
    <cellStyle name="40 % - Aksentti2 9 2 2 3 2" xfId="11478" xr:uid="{00000000-0005-0000-0000-000010220000}"/>
    <cellStyle name="40 % - Aksentti2 9 2 2 3 3" xfId="19254" xr:uid="{00000000-0005-0000-0000-000011220000}"/>
    <cellStyle name="40 % - Aksentti2 9 2 2 3_DataIX" xfId="30677" xr:uid="{00000000-0005-0000-0000-000012220000}"/>
    <cellStyle name="40 % - Aksentti2 9 2 2 4" xfId="15799" xr:uid="{00000000-0005-0000-0000-000013220000}"/>
    <cellStyle name="40 % - Aksentti2 9 2 2_060617_hinnat" xfId="23774" xr:uid="{00000000-0005-0000-0000-000014220000}"/>
    <cellStyle name="40 % - Aksentti2 9 2 3" xfId="2281" xr:uid="{00000000-0005-0000-0000-000015220000}"/>
    <cellStyle name="40 % - Aksentti2 9 2 3 2" xfId="7604" xr:uid="{00000000-0005-0000-0000-000016220000}"/>
    <cellStyle name="40 % - Aksentti2 9 2 3 2 2" xfId="11479" xr:uid="{00000000-0005-0000-0000-000017220000}"/>
    <cellStyle name="40 % - Aksentti2 9 2 3 2 3" xfId="19256" xr:uid="{00000000-0005-0000-0000-000018220000}"/>
    <cellStyle name="40 % - Aksentti2 9 2 3 2_DataIX" xfId="30678" xr:uid="{00000000-0005-0000-0000-000019220000}"/>
    <cellStyle name="40 % - Aksentti2 9 2 3 3" xfId="15801" xr:uid="{00000000-0005-0000-0000-00001A220000}"/>
    <cellStyle name="40 % - Aksentti2 9 2 3_060617_hinnat" xfId="23775" xr:uid="{00000000-0005-0000-0000-00001B220000}"/>
    <cellStyle name="40 % - Aksentti2 9 2 4" xfId="7601" xr:uid="{00000000-0005-0000-0000-00001C220000}"/>
    <cellStyle name="40 % - Aksentti2 9 2 4 2" xfId="11480" xr:uid="{00000000-0005-0000-0000-00001D220000}"/>
    <cellStyle name="40 % - Aksentti2 9 2 4 3" xfId="19253" xr:uid="{00000000-0005-0000-0000-00001E220000}"/>
    <cellStyle name="40 % - Aksentti2 9 2 4_DataIX" xfId="30679" xr:uid="{00000000-0005-0000-0000-00001F220000}"/>
    <cellStyle name="40 % - Aksentti2 9 2 5" xfId="15798" xr:uid="{00000000-0005-0000-0000-000020220000}"/>
    <cellStyle name="40 % - Aksentti2 9 2_060617_hinnat" xfId="23776" xr:uid="{00000000-0005-0000-0000-000021220000}"/>
    <cellStyle name="40 % - Aksentti2 9 3" xfId="2282" xr:uid="{00000000-0005-0000-0000-000022220000}"/>
    <cellStyle name="40 % - Aksentti2 9 3 2" xfId="2283" xr:uid="{00000000-0005-0000-0000-000023220000}"/>
    <cellStyle name="40 % - Aksentti2 9 3 2 2" xfId="7606" xr:uid="{00000000-0005-0000-0000-000024220000}"/>
    <cellStyle name="40 % - Aksentti2 9 3 2 2 2" xfId="11481" xr:uid="{00000000-0005-0000-0000-000025220000}"/>
    <cellStyle name="40 % - Aksentti2 9 3 2 2 3" xfId="19258" xr:uid="{00000000-0005-0000-0000-000026220000}"/>
    <cellStyle name="40 % - Aksentti2 9 3 2 2_DataIX" xfId="30680" xr:uid="{00000000-0005-0000-0000-000027220000}"/>
    <cellStyle name="40 % - Aksentti2 9 3 2 3" xfId="15803" xr:uid="{00000000-0005-0000-0000-000028220000}"/>
    <cellStyle name="40 % - Aksentti2 9 3 2_060617_hinnat" xfId="23777" xr:uid="{00000000-0005-0000-0000-000029220000}"/>
    <cellStyle name="40 % - Aksentti2 9 3 3" xfId="7605" xr:uid="{00000000-0005-0000-0000-00002A220000}"/>
    <cellStyle name="40 % - Aksentti2 9 3 3 2" xfId="11482" xr:uid="{00000000-0005-0000-0000-00002B220000}"/>
    <cellStyle name="40 % - Aksentti2 9 3 3 3" xfId="19257" xr:uid="{00000000-0005-0000-0000-00002C220000}"/>
    <cellStyle name="40 % - Aksentti2 9 3 3_DataIX" xfId="30681" xr:uid="{00000000-0005-0000-0000-00002D220000}"/>
    <cellStyle name="40 % - Aksentti2 9 3 4" xfId="15802" xr:uid="{00000000-0005-0000-0000-00002E220000}"/>
    <cellStyle name="40 % - Aksentti2 9 3_060617_hinnat" xfId="23778" xr:uid="{00000000-0005-0000-0000-00002F220000}"/>
    <cellStyle name="40 % - Aksentti2 9 4" xfId="2284" xr:uid="{00000000-0005-0000-0000-000030220000}"/>
    <cellStyle name="40 % - Aksentti2 9 4 2" xfId="7607" xr:uid="{00000000-0005-0000-0000-000031220000}"/>
    <cellStyle name="40 % - Aksentti2 9 4 2 2" xfId="11483" xr:uid="{00000000-0005-0000-0000-000032220000}"/>
    <cellStyle name="40 % - Aksentti2 9 4 2 3" xfId="19259" xr:uid="{00000000-0005-0000-0000-000033220000}"/>
    <cellStyle name="40 % - Aksentti2 9 4 2_DataIX" xfId="30682" xr:uid="{00000000-0005-0000-0000-000034220000}"/>
    <cellStyle name="40 % - Aksentti2 9 4 3" xfId="15804" xr:uid="{00000000-0005-0000-0000-000035220000}"/>
    <cellStyle name="40 % - Aksentti2 9 4_060617_hinnat" xfId="23779" xr:uid="{00000000-0005-0000-0000-000036220000}"/>
    <cellStyle name="40 % - Aksentti2 9 5" xfId="2285" xr:uid="{00000000-0005-0000-0000-000037220000}"/>
    <cellStyle name="40 % - Aksentti2 9 5 2" xfId="7608" xr:uid="{00000000-0005-0000-0000-000038220000}"/>
    <cellStyle name="40 % - Aksentti2 9 5 2 2" xfId="11484" xr:uid="{00000000-0005-0000-0000-000039220000}"/>
    <cellStyle name="40 % - Aksentti2 9 5 2 3" xfId="19260" xr:uid="{00000000-0005-0000-0000-00003A220000}"/>
    <cellStyle name="40 % - Aksentti2 9 5 2_DataIX" xfId="30683" xr:uid="{00000000-0005-0000-0000-00003B220000}"/>
    <cellStyle name="40 % - Aksentti2 9 5 3" xfId="15805" xr:uid="{00000000-0005-0000-0000-00003C220000}"/>
    <cellStyle name="40 % - Aksentti2 9 5_060617_hinnat" xfId="23780" xr:uid="{00000000-0005-0000-0000-00003D220000}"/>
    <cellStyle name="40 % - Aksentti2 9 6" xfId="2286" xr:uid="{00000000-0005-0000-0000-00003E220000}"/>
    <cellStyle name="40 % - Aksentti2 9 6 2" xfId="7609" xr:uid="{00000000-0005-0000-0000-00003F220000}"/>
    <cellStyle name="40 % - Aksentti2 9 6 2 2" xfId="11485" xr:uid="{00000000-0005-0000-0000-000040220000}"/>
    <cellStyle name="40 % - Aksentti2 9 6 2 3" xfId="19261" xr:uid="{00000000-0005-0000-0000-000041220000}"/>
    <cellStyle name="40 % - Aksentti2 9 6 2_DataIX" xfId="30684" xr:uid="{00000000-0005-0000-0000-000042220000}"/>
    <cellStyle name="40 % - Aksentti2 9 6 3" xfId="15806" xr:uid="{00000000-0005-0000-0000-000043220000}"/>
    <cellStyle name="40 % - Aksentti2 9 6_060617_hinnat" xfId="23781" xr:uid="{00000000-0005-0000-0000-000044220000}"/>
    <cellStyle name="40 % - Aksentti2 9 7" xfId="2287" xr:uid="{00000000-0005-0000-0000-000045220000}"/>
    <cellStyle name="40 % - Aksentti2 9 7 2" xfId="7610" xr:uid="{00000000-0005-0000-0000-000046220000}"/>
    <cellStyle name="40 % - Aksentti2 9 7 2 2" xfId="11486" xr:uid="{00000000-0005-0000-0000-000047220000}"/>
    <cellStyle name="40 % - Aksentti2 9 7 2 3" xfId="19262" xr:uid="{00000000-0005-0000-0000-000048220000}"/>
    <cellStyle name="40 % - Aksentti2 9 7 2_DataIX" xfId="30685" xr:uid="{00000000-0005-0000-0000-000049220000}"/>
    <cellStyle name="40 % - Aksentti2 9 7 3" xfId="15807" xr:uid="{00000000-0005-0000-0000-00004A220000}"/>
    <cellStyle name="40 % - Aksentti2 9 7_060617_hinnat" xfId="23782" xr:uid="{00000000-0005-0000-0000-00004B220000}"/>
    <cellStyle name="40 % - Aksentti2 9 8" xfId="2288" xr:uid="{00000000-0005-0000-0000-00004C220000}"/>
    <cellStyle name="40 % - Aksentti2 9 8 2" xfId="7611" xr:uid="{00000000-0005-0000-0000-00004D220000}"/>
    <cellStyle name="40 % - Aksentti2 9 8 2 2" xfId="11487" xr:uid="{00000000-0005-0000-0000-00004E220000}"/>
    <cellStyle name="40 % - Aksentti2 9 8 2 3" xfId="19263" xr:uid="{00000000-0005-0000-0000-00004F220000}"/>
    <cellStyle name="40 % - Aksentti2 9 8 2_DataIX" xfId="30686" xr:uid="{00000000-0005-0000-0000-000050220000}"/>
    <cellStyle name="40 % - Aksentti2 9 8 3" xfId="15808" xr:uid="{00000000-0005-0000-0000-000051220000}"/>
    <cellStyle name="40 % - Aksentti2 9 8_060617_hinnat" xfId="23783" xr:uid="{00000000-0005-0000-0000-000052220000}"/>
    <cellStyle name="40 % - Aksentti2 9 9" xfId="2289" xr:uid="{00000000-0005-0000-0000-000053220000}"/>
    <cellStyle name="40 % - Aksentti2 9 9 2" xfId="7612" xr:uid="{00000000-0005-0000-0000-000054220000}"/>
    <cellStyle name="40 % - Aksentti2 9 9 2 2" xfId="11488" xr:uid="{00000000-0005-0000-0000-000055220000}"/>
    <cellStyle name="40 % - Aksentti2 9 9 2 3" xfId="19264" xr:uid="{00000000-0005-0000-0000-000056220000}"/>
    <cellStyle name="40 % - Aksentti2 9 9 2_DataIX" xfId="30687" xr:uid="{00000000-0005-0000-0000-000057220000}"/>
    <cellStyle name="40 % - Aksentti2 9 9 3" xfId="15809" xr:uid="{00000000-0005-0000-0000-000058220000}"/>
    <cellStyle name="40 % - Aksentti2 9 9_060617_hinnat" xfId="23784" xr:uid="{00000000-0005-0000-0000-000059220000}"/>
    <cellStyle name="40 % - Aksentti2 9_060617_hinnat" xfId="23785" xr:uid="{00000000-0005-0000-0000-00005A220000}"/>
    <cellStyle name="40 % - Aksentti2_##KansantalKehitys" xfId="5413" xr:uid="{00000000-0005-0000-0000-00005B220000}"/>
    <cellStyle name="40 % - Aksentti3" xfId="336" xr:uid="{00000000-0005-0000-0000-00005C220000}"/>
    <cellStyle name="40 % - Aksentti3 10" xfId="2290" xr:uid="{00000000-0005-0000-0000-00005D220000}"/>
    <cellStyle name="40 % - Aksentti3 10 10" xfId="2291" xr:uid="{00000000-0005-0000-0000-00005E220000}"/>
    <cellStyle name="40 % - Aksentti3 10 10 2" xfId="7614" xr:uid="{00000000-0005-0000-0000-00005F220000}"/>
    <cellStyle name="40 % - Aksentti3 10 10 2 2" xfId="11489" xr:uid="{00000000-0005-0000-0000-000060220000}"/>
    <cellStyle name="40 % - Aksentti3 10 10 2 3" xfId="19266" xr:uid="{00000000-0005-0000-0000-000061220000}"/>
    <cellStyle name="40 % - Aksentti3 10 10 2_DataIX" xfId="30688" xr:uid="{00000000-0005-0000-0000-000062220000}"/>
    <cellStyle name="40 % - Aksentti3 10 10 3" xfId="15811" xr:uid="{00000000-0005-0000-0000-000063220000}"/>
    <cellStyle name="40 % - Aksentti3 10 10_060617_hinnat" xfId="23786" xr:uid="{00000000-0005-0000-0000-000064220000}"/>
    <cellStyle name="40 % - Aksentti3 10 11" xfId="7613" xr:uid="{00000000-0005-0000-0000-000065220000}"/>
    <cellStyle name="40 % - Aksentti3 10 11 2" xfId="11490" xr:uid="{00000000-0005-0000-0000-000066220000}"/>
    <cellStyle name="40 % - Aksentti3 10 11 3" xfId="19265" xr:uid="{00000000-0005-0000-0000-000067220000}"/>
    <cellStyle name="40 % - Aksentti3 10 11_DataIX" xfId="30689" xr:uid="{00000000-0005-0000-0000-000068220000}"/>
    <cellStyle name="40 % - Aksentti3 10 12" xfId="15810" xr:uid="{00000000-0005-0000-0000-000069220000}"/>
    <cellStyle name="40 % - Aksentti3 10 2" xfId="2292" xr:uid="{00000000-0005-0000-0000-00006A220000}"/>
    <cellStyle name="40 % - Aksentti3 10 2 2" xfId="2293" xr:uid="{00000000-0005-0000-0000-00006B220000}"/>
    <cellStyle name="40 % - Aksentti3 10 2 2 2" xfId="2294" xr:uid="{00000000-0005-0000-0000-00006C220000}"/>
    <cellStyle name="40 % - Aksentti3 10 2 2 2 2" xfId="7617" xr:uid="{00000000-0005-0000-0000-00006D220000}"/>
    <cellStyle name="40 % - Aksentti3 10 2 2 2 2 2" xfId="11491" xr:uid="{00000000-0005-0000-0000-00006E220000}"/>
    <cellStyle name="40 % - Aksentti3 10 2 2 2 2 3" xfId="19269" xr:uid="{00000000-0005-0000-0000-00006F220000}"/>
    <cellStyle name="40 % - Aksentti3 10 2 2 2 2_DataIX" xfId="30690" xr:uid="{00000000-0005-0000-0000-000070220000}"/>
    <cellStyle name="40 % - Aksentti3 10 2 2 2 3" xfId="15814" xr:uid="{00000000-0005-0000-0000-000071220000}"/>
    <cellStyle name="40 % - Aksentti3 10 2 2 2_060617_hinnat" xfId="23787" xr:uid="{00000000-0005-0000-0000-000072220000}"/>
    <cellStyle name="40 % - Aksentti3 10 2 2 3" xfId="7616" xr:uid="{00000000-0005-0000-0000-000073220000}"/>
    <cellStyle name="40 % - Aksentti3 10 2 2 3 2" xfId="11492" xr:uid="{00000000-0005-0000-0000-000074220000}"/>
    <cellStyle name="40 % - Aksentti3 10 2 2 3 3" xfId="19268" xr:uid="{00000000-0005-0000-0000-000075220000}"/>
    <cellStyle name="40 % - Aksentti3 10 2 2 3_DataIX" xfId="30691" xr:uid="{00000000-0005-0000-0000-000076220000}"/>
    <cellStyle name="40 % - Aksentti3 10 2 2 4" xfId="15813" xr:uid="{00000000-0005-0000-0000-000077220000}"/>
    <cellStyle name="40 % - Aksentti3 10 2 2_060617_hinnat" xfId="23788" xr:uid="{00000000-0005-0000-0000-000078220000}"/>
    <cellStyle name="40 % - Aksentti3 10 2 3" xfId="2295" xr:uid="{00000000-0005-0000-0000-000079220000}"/>
    <cellStyle name="40 % - Aksentti3 10 2 3 2" xfId="7618" xr:uid="{00000000-0005-0000-0000-00007A220000}"/>
    <cellStyle name="40 % - Aksentti3 10 2 3 2 2" xfId="11493" xr:uid="{00000000-0005-0000-0000-00007B220000}"/>
    <cellStyle name="40 % - Aksentti3 10 2 3 2 3" xfId="19270" xr:uid="{00000000-0005-0000-0000-00007C220000}"/>
    <cellStyle name="40 % - Aksentti3 10 2 3 2_DataIX" xfId="30692" xr:uid="{00000000-0005-0000-0000-00007D220000}"/>
    <cellStyle name="40 % - Aksentti3 10 2 3 3" xfId="15815" xr:uid="{00000000-0005-0000-0000-00007E220000}"/>
    <cellStyle name="40 % - Aksentti3 10 2 3_060617_hinnat" xfId="23789" xr:uid="{00000000-0005-0000-0000-00007F220000}"/>
    <cellStyle name="40 % - Aksentti3 10 2 4" xfId="7615" xr:uid="{00000000-0005-0000-0000-000080220000}"/>
    <cellStyle name="40 % - Aksentti3 10 2 4 2" xfId="11494" xr:uid="{00000000-0005-0000-0000-000081220000}"/>
    <cellStyle name="40 % - Aksentti3 10 2 4 3" xfId="19267" xr:uid="{00000000-0005-0000-0000-000082220000}"/>
    <cellStyle name="40 % - Aksentti3 10 2 4_DataIX" xfId="30693" xr:uid="{00000000-0005-0000-0000-000083220000}"/>
    <cellStyle name="40 % - Aksentti3 10 2 5" xfId="15812" xr:uid="{00000000-0005-0000-0000-000084220000}"/>
    <cellStyle name="40 % - Aksentti3 10 2_060617_hinnat" xfId="23790" xr:uid="{00000000-0005-0000-0000-000085220000}"/>
    <cellStyle name="40 % - Aksentti3 10 3" xfId="2296" xr:uid="{00000000-0005-0000-0000-000086220000}"/>
    <cellStyle name="40 % - Aksentti3 10 3 2" xfId="2297" xr:uid="{00000000-0005-0000-0000-000087220000}"/>
    <cellStyle name="40 % - Aksentti3 10 3 2 2" xfId="7620" xr:uid="{00000000-0005-0000-0000-000088220000}"/>
    <cellStyle name="40 % - Aksentti3 10 3 2 2 2" xfId="11495" xr:uid="{00000000-0005-0000-0000-000089220000}"/>
    <cellStyle name="40 % - Aksentti3 10 3 2 2 3" xfId="19272" xr:uid="{00000000-0005-0000-0000-00008A220000}"/>
    <cellStyle name="40 % - Aksentti3 10 3 2 2_DataIX" xfId="30694" xr:uid="{00000000-0005-0000-0000-00008B220000}"/>
    <cellStyle name="40 % - Aksentti3 10 3 2 3" xfId="15817" xr:uid="{00000000-0005-0000-0000-00008C220000}"/>
    <cellStyle name="40 % - Aksentti3 10 3 2_060617_hinnat" xfId="23791" xr:uid="{00000000-0005-0000-0000-00008D220000}"/>
    <cellStyle name="40 % - Aksentti3 10 3 3" xfId="7619" xr:uid="{00000000-0005-0000-0000-00008E220000}"/>
    <cellStyle name="40 % - Aksentti3 10 3 3 2" xfId="11496" xr:uid="{00000000-0005-0000-0000-00008F220000}"/>
    <cellStyle name="40 % - Aksentti3 10 3 3 3" xfId="19271" xr:uid="{00000000-0005-0000-0000-000090220000}"/>
    <cellStyle name="40 % - Aksentti3 10 3 3_DataIX" xfId="30695" xr:uid="{00000000-0005-0000-0000-000091220000}"/>
    <cellStyle name="40 % - Aksentti3 10 3 4" xfId="15816" xr:uid="{00000000-0005-0000-0000-000092220000}"/>
    <cellStyle name="40 % - Aksentti3 10 3_060617_hinnat" xfId="23792" xr:uid="{00000000-0005-0000-0000-000093220000}"/>
    <cellStyle name="40 % - Aksentti3 10 4" xfId="2298" xr:uid="{00000000-0005-0000-0000-000094220000}"/>
    <cellStyle name="40 % - Aksentti3 10 4 2" xfId="7621" xr:uid="{00000000-0005-0000-0000-000095220000}"/>
    <cellStyle name="40 % - Aksentti3 10 4 2 2" xfId="11497" xr:uid="{00000000-0005-0000-0000-000096220000}"/>
    <cellStyle name="40 % - Aksentti3 10 4 2 3" xfId="19273" xr:uid="{00000000-0005-0000-0000-000097220000}"/>
    <cellStyle name="40 % - Aksentti3 10 4 2_DataIX" xfId="30696" xr:uid="{00000000-0005-0000-0000-000098220000}"/>
    <cellStyle name="40 % - Aksentti3 10 4 3" xfId="15818" xr:uid="{00000000-0005-0000-0000-000099220000}"/>
    <cellStyle name="40 % - Aksentti3 10 4_060617_hinnat" xfId="23793" xr:uid="{00000000-0005-0000-0000-00009A220000}"/>
    <cellStyle name="40 % - Aksentti3 10 5" xfId="2299" xr:uid="{00000000-0005-0000-0000-00009B220000}"/>
    <cellStyle name="40 % - Aksentti3 10 5 2" xfId="7622" xr:uid="{00000000-0005-0000-0000-00009C220000}"/>
    <cellStyle name="40 % - Aksentti3 10 5 2 2" xfId="11498" xr:uid="{00000000-0005-0000-0000-00009D220000}"/>
    <cellStyle name="40 % - Aksentti3 10 5 2 3" xfId="19274" xr:uid="{00000000-0005-0000-0000-00009E220000}"/>
    <cellStyle name="40 % - Aksentti3 10 5 2_DataIX" xfId="30697" xr:uid="{00000000-0005-0000-0000-00009F220000}"/>
    <cellStyle name="40 % - Aksentti3 10 5 3" xfId="15819" xr:uid="{00000000-0005-0000-0000-0000A0220000}"/>
    <cellStyle name="40 % - Aksentti3 10 5_060617_hinnat" xfId="23794" xr:uid="{00000000-0005-0000-0000-0000A1220000}"/>
    <cellStyle name="40 % - Aksentti3 10 6" xfId="2300" xr:uid="{00000000-0005-0000-0000-0000A2220000}"/>
    <cellStyle name="40 % - Aksentti3 10 6 2" xfId="7623" xr:uid="{00000000-0005-0000-0000-0000A3220000}"/>
    <cellStyle name="40 % - Aksentti3 10 6 2 2" xfId="11499" xr:uid="{00000000-0005-0000-0000-0000A4220000}"/>
    <cellStyle name="40 % - Aksentti3 10 6 2 3" xfId="19275" xr:uid="{00000000-0005-0000-0000-0000A5220000}"/>
    <cellStyle name="40 % - Aksentti3 10 6 2_DataIX" xfId="30698" xr:uid="{00000000-0005-0000-0000-0000A6220000}"/>
    <cellStyle name="40 % - Aksentti3 10 6 3" xfId="15820" xr:uid="{00000000-0005-0000-0000-0000A7220000}"/>
    <cellStyle name="40 % - Aksentti3 10 6_060617_hinnat" xfId="23795" xr:uid="{00000000-0005-0000-0000-0000A8220000}"/>
    <cellStyle name="40 % - Aksentti3 10 7" xfId="2301" xr:uid="{00000000-0005-0000-0000-0000A9220000}"/>
    <cellStyle name="40 % - Aksentti3 10 7 2" xfId="7624" xr:uid="{00000000-0005-0000-0000-0000AA220000}"/>
    <cellStyle name="40 % - Aksentti3 10 7 2 2" xfId="11500" xr:uid="{00000000-0005-0000-0000-0000AB220000}"/>
    <cellStyle name="40 % - Aksentti3 10 7 2 3" xfId="19276" xr:uid="{00000000-0005-0000-0000-0000AC220000}"/>
    <cellStyle name="40 % - Aksentti3 10 7 2_DataIX" xfId="30699" xr:uid="{00000000-0005-0000-0000-0000AD220000}"/>
    <cellStyle name="40 % - Aksentti3 10 7 3" xfId="15821" xr:uid="{00000000-0005-0000-0000-0000AE220000}"/>
    <cellStyle name="40 % - Aksentti3 10 7_060617_hinnat" xfId="23796" xr:uid="{00000000-0005-0000-0000-0000AF220000}"/>
    <cellStyle name="40 % - Aksentti3 10 8" xfId="2302" xr:uid="{00000000-0005-0000-0000-0000B0220000}"/>
    <cellStyle name="40 % - Aksentti3 10 8 2" xfId="7625" xr:uid="{00000000-0005-0000-0000-0000B1220000}"/>
    <cellStyle name="40 % - Aksentti3 10 8 2 2" xfId="11501" xr:uid="{00000000-0005-0000-0000-0000B2220000}"/>
    <cellStyle name="40 % - Aksentti3 10 8 2 3" xfId="19277" xr:uid="{00000000-0005-0000-0000-0000B3220000}"/>
    <cellStyle name="40 % - Aksentti3 10 8 2_DataIX" xfId="30700" xr:uid="{00000000-0005-0000-0000-0000B4220000}"/>
    <cellStyle name="40 % - Aksentti3 10 8 3" xfId="15822" xr:uid="{00000000-0005-0000-0000-0000B5220000}"/>
    <cellStyle name="40 % - Aksentti3 10 8_060617_hinnat" xfId="23797" xr:uid="{00000000-0005-0000-0000-0000B6220000}"/>
    <cellStyle name="40 % - Aksentti3 10 9" xfId="2303" xr:uid="{00000000-0005-0000-0000-0000B7220000}"/>
    <cellStyle name="40 % - Aksentti3 10 9 2" xfId="7626" xr:uid="{00000000-0005-0000-0000-0000B8220000}"/>
    <cellStyle name="40 % - Aksentti3 10 9 2 2" xfId="11502" xr:uid="{00000000-0005-0000-0000-0000B9220000}"/>
    <cellStyle name="40 % - Aksentti3 10 9 2 3" xfId="19278" xr:uid="{00000000-0005-0000-0000-0000BA220000}"/>
    <cellStyle name="40 % - Aksentti3 10 9 2_DataIX" xfId="30701" xr:uid="{00000000-0005-0000-0000-0000BB220000}"/>
    <cellStyle name="40 % - Aksentti3 10 9 3" xfId="15823" xr:uid="{00000000-0005-0000-0000-0000BC220000}"/>
    <cellStyle name="40 % - Aksentti3 10 9_060617_hinnat" xfId="23798" xr:uid="{00000000-0005-0000-0000-0000BD220000}"/>
    <cellStyle name="40 % - Aksentti3 10_060617_hinnat" xfId="23799" xr:uid="{00000000-0005-0000-0000-0000BE220000}"/>
    <cellStyle name="40 % - Aksentti3 11" xfId="2304" xr:uid="{00000000-0005-0000-0000-0000BF220000}"/>
    <cellStyle name="40 % - Aksentti3 11 10" xfId="2305" xr:uid="{00000000-0005-0000-0000-0000C0220000}"/>
    <cellStyle name="40 % - Aksentti3 11 10 2" xfId="7628" xr:uid="{00000000-0005-0000-0000-0000C1220000}"/>
    <cellStyle name="40 % - Aksentti3 11 10 2 2" xfId="11503" xr:uid="{00000000-0005-0000-0000-0000C2220000}"/>
    <cellStyle name="40 % - Aksentti3 11 10 2 3" xfId="19280" xr:uid="{00000000-0005-0000-0000-0000C3220000}"/>
    <cellStyle name="40 % - Aksentti3 11 10 2_DataIX" xfId="30702" xr:uid="{00000000-0005-0000-0000-0000C4220000}"/>
    <cellStyle name="40 % - Aksentti3 11 10 3" xfId="15825" xr:uid="{00000000-0005-0000-0000-0000C5220000}"/>
    <cellStyle name="40 % - Aksentti3 11 10_060617_hinnat" xfId="23800" xr:uid="{00000000-0005-0000-0000-0000C6220000}"/>
    <cellStyle name="40 % - Aksentti3 11 11" xfId="7627" xr:uid="{00000000-0005-0000-0000-0000C7220000}"/>
    <cellStyle name="40 % - Aksentti3 11 11 2" xfId="11504" xr:uid="{00000000-0005-0000-0000-0000C8220000}"/>
    <cellStyle name="40 % - Aksentti3 11 11 3" xfId="19279" xr:uid="{00000000-0005-0000-0000-0000C9220000}"/>
    <cellStyle name="40 % - Aksentti3 11 11_DataIX" xfId="30703" xr:uid="{00000000-0005-0000-0000-0000CA220000}"/>
    <cellStyle name="40 % - Aksentti3 11 12" xfId="15824" xr:uid="{00000000-0005-0000-0000-0000CB220000}"/>
    <cellStyle name="40 % - Aksentti3 11 2" xfId="2306" xr:uid="{00000000-0005-0000-0000-0000CC220000}"/>
    <cellStyle name="40 % - Aksentti3 11 2 2" xfId="2307" xr:uid="{00000000-0005-0000-0000-0000CD220000}"/>
    <cellStyle name="40 % - Aksentti3 11 2 2 2" xfId="2308" xr:uid="{00000000-0005-0000-0000-0000CE220000}"/>
    <cellStyle name="40 % - Aksentti3 11 2 2 2 2" xfId="7631" xr:uid="{00000000-0005-0000-0000-0000CF220000}"/>
    <cellStyle name="40 % - Aksentti3 11 2 2 2 2 2" xfId="11505" xr:uid="{00000000-0005-0000-0000-0000D0220000}"/>
    <cellStyle name="40 % - Aksentti3 11 2 2 2 2 3" xfId="19283" xr:uid="{00000000-0005-0000-0000-0000D1220000}"/>
    <cellStyle name="40 % - Aksentti3 11 2 2 2 2_DataIX" xfId="30704" xr:uid="{00000000-0005-0000-0000-0000D2220000}"/>
    <cellStyle name="40 % - Aksentti3 11 2 2 2 3" xfId="15828" xr:uid="{00000000-0005-0000-0000-0000D3220000}"/>
    <cellStyle name="40 % - Aksentti3 11 2 2 2_060617_hinnat" xfId="23801" xr:uid="{00000000-0005-0000-0000-0000D4220000}"/>
    <cellStyle name="40 % - Aksentti3 11 2 2 3" xfId="7630" xr:uid="{00000000-0005-0000-0000-0000D5220000}"/>
    <cellStyle name="40 % - Aksentti3 11 2 2 3 2" xfId="11506" xr:uid="{00000000-0005-0000-0000-0000D6220000}"/>
    <cellStyle name="40 % - Aksentti3 11 2 2 3 3" xfId="19282" xr:uid="{00000000-0005-0000-0000-0000D7220000}"/>
    <cellStyle name="40 % - Aksentti3 11 2 2 3_DataIX" xfId="30705" xr:uid="{00000000-0005-0000-0000-0000D8220000}"/>
    <cellStyle name="40 % - Aksentti3 11 2 2 4" xfId="15827" xr:uid="{00000000-0005-0000-0000-0000D9220000}"/>
    <cellStyle name="40 % - Aksentti3 11 2 2_060617_hinnat" xfId="23802" xr:uid="{00000000-0005-0000-0000-0000DA220000}"/>
    <cellStyle name="40 % - Aksentti3 11 2 3" xfId="2309" xr:uid="{00000000-0005-0000-0000-0000DB220000}"/>
    <cellStyle name="40 % - Aksentti3 11 2 3 2" xfId="7632" xr:uid="{00000000-0005-0000-0000-0000DC220000}"/>
    <cellStyle name="40 % - Aksentti3 11 2 3 2 2" xfId="11507" xr:uid="{00000000-0005-0000-0000-0000DD220000}"/>
    <cellStyle name="40 % - Aksentti3 11 2 3 2 3" xfId="19284" xr:uid="{00000000-0005-0000-0000-0000DE220000}"/>
    <cellStyle name="40 % - Aksentti3 11 2 3 2_DataIX" xfId="30706" xr:uid="{00000000-0005-0000-0000-0000DF220000}"/>
    <cellStyle name="40 % - Aksentti3 11 2 3 3" xfId="15829" xr:uid="{00000000-0005-0000-0000-0000E0220000}"/>
    <cellStyle name="40 % - Aksentti3 11 2 3_060617_hinnat" xfId="23803" xr:uid="{00000000-0005-0000-0000-0000E1220000}"/>
    <cellStyle name="40 % - Aksentti3 11 2 4" xfId="7629" xr:uid="{00000000-0005-0000-0000-0000E2220000}"/>
    <cellStyle name="40 % - Aksentti3 11 2 4 2" xfId="11508" xr:uid="{00000000-0005-0000-0000-0000E3220000}"/>
    <cellStyle name="40 % - Aksentti3 11 2 4 3" xfId="19281" xr:uid="{00000000-0005-0000-0000-0000E4220000}"/>
    <cellStyle name="40 % - Aksentti3 11 2 4_DataIX" xfId="30707" xr:uid="{00000000-0005-0000-0000-0000E5220000}"/>
    <cellStyle name="40 % - Aksentti3 11 2 5" xfId="15826" xr:uid="{00000000-0005-0000-0000-0000E6220000}"/>
    <cellStyle name="40 % - Aksentti3 11 2_060617_hinnat" xfId="23804" xr:uid="{00000000-0005-0000-0000-0000E7220000}"/>
    <cellStyle name="40 % - Aksentti3 11 3" xfId="2310" xr:uid="{00000000-0005-0000-0000-0000E8220000}"/>
    <cellStyle name="40 % - Aksentti3 11 3 2" xfId="2311" xr:uid="{00000000-0005-0000-0000-0000E9220000}"/>
    <cellStyle name="40 % - Aksentti3 11 3 2 2" xfId="7634" xr:uid="{00000000-0005-0000-0000-0000EA220000}"/>
    <cellStyle name="40 % - Aksentti3 11 3 2 2 2" xfId="11509" xr:uid="{00000000-0005-0000-0000-0000EB220000}"/>
    <cellStyle name="40 % - Aksentti3 11 3 2 2 3" xfId="19286" xr:uid="{00000000-0005-0000-0000-0000EC220000}"/>
    <cellStyle name="40 % - Aksentti3 11 3 2 2_DataIX" xfId="30708" xr:uid="{00000000-0005-0000-0000-0000ED220000}"/>
    <cellStyle name="40 % - Aksentti3 11 3 2 3" xfId="15831" xr:uid="{00000000-0005-0000-0000-0000EE220000}"/>
    <cellStyle name="40 % - Aksentti3 11 3 2_060617_hinnat" xfId="23805" xr:uid="{00000000-0005-0000-0000-0000EF220000}"/>
    <cellStyle name="40 % - Aksentti3 11 3 3" xfId="7633" xr:uid="{00000000-0005-0000-0000-0000F0220000}"/>
    <cellStyle name="40 % - Aksentti3 11 3 3 2" xfId="11510" xr:uid="{00000000-0005-0000-0000-0000F1220000}"/>
    <cellStyle name="40 % - Aksentti3 11 3 3 3" xfId="19285" xr:uid="{00000000-0005-0000-0000-0000F2220000}"/>
    <cellStyle name="40 % - Aksentti3 11 3 3_DataIX" xfId="30709" xr:uid="{00000000-0005-0000-0000-0000F3220000}"/>
    <cellStyle name="40 % - Aksentti3 11 3 4" xfId="15830" xr:uid="{00000000-0005-0000-0000-0000F4220000}"/>
    <cellStyle name="40 % - Aksentti3 11 3_060617_hinnat" xfId="23806" xr:uid="{00000000-0005-0000-0000-0000F5220000}"/>
    <cellStyle name="40 % - Aksentti3 11 4" xfId="2312" xr:uid="{00000000-0005-0000-0000-0000F6220000}"/>
    <cellStyle name="40 % - Aksentti3 11 4 2" xfId="7635" xr:uid="{00000000-0005-0000-0000-0000F7220000}"/>
    <cellStyle name="40 % - Aksentti3 11 4 2 2" xfId="11511" xr:uid="{00000000-0005-0000-0000-0000F8220000}"/>
    <cellStyle name="40 % - Aksentti3 11 4 2 3" xfId="19287" xr:uid="{00000000-0005-0000-0000-0000F9220000}"/>
    <cellStyle name="40 % - Aksentti3 11 4 2_DataIX" xfId="30710" xr:uid="{00000000-0005-0000-0000-0000FA220000}"/>
    <cellStyle name="40 % - Aksentti3 11 4 3" xfId="15832" xr:uid="{00000000-0005-0000-0000-0000FB220000}"/>
    <cellStyle name="40 % - Aksentti3 11 4_060617_hinnat" xfId="23807" xr:uid="{00000000-0005-0000-0000-0000FC220000}"/>
    <cellStyle name="40 % - Aksentti3 11 5" xfId="2313" xr:uid="{00000000-0005-0000-0000-0000FD220000}"/>
    <cellStyle name="40 % - Aksentti3 11 5 2" xfId="7636" xr:uid="{00000000-0005-0000-0000-0000FE220000}"/>
    <cellStyle name="40 % - Aksentti3 11 5 2 2" xfId="11512" xr:uid="{00000000-0005-0000-0000-0000FF220000}"/>
    <cellStyle name="40 % - Aksentti3 11 5 2 3" xfId="19288" xr:uid="{00000000-0005-0000-0000-000000230000}"/>
    <cellStyle name="40 % - Aksentti3 11 5 2_DataIX" xfId="30711" xr:uid="{00000000-0005-0000-0000-000001230000}"/>
    <cellStyle name="40 % - Aksentti3 11 5 3" xfId="15833" xr:uid="{00000000-0005-0000-0000-000002230000}"/>
    <cellStyle name="40 % - Aksentti3 11 5_060617_hinnat" xfId="23808" xr:uid="{00000000-0005-0000-0000-000003230000}"/>
    <cellStyle name="40 % - Aksentti3 11 6" xfId="2314" xr:uid="{00000000-0005-0000-0000-000004230000}"/>
    <cellStyle name="40 % - Aksentti3 11 6 2" xfId="7637" xr:uid="{00000000-0005-0000-0000-000005230000}"/>
    <cellStyle name="40 % - Aksentti3 11 6 2 2" xfId="11513" xr:uid="{00000000-0005-0000-0000-000006230000}"/>
    <cellStyle name="40 % - Aksentti3 11 6 2 3" xfId="19289" xr:uid="{00000000-0005-0000-0000-000007230000}"/>
    <cellStyle name="40 % - Aksentti3 11 6 2_DataIX" xfId="30712" xr:uid="{00000000-0005-0000-0000-000008230000}"/>
    <cellStyle name="40 % - Aksentti3 11 6 3" xfId="15834" xr:uid="{00000000-0005-0000-0000-000009230000}"/>
    <cellStyle name="40 % - Aksentti3 11 6_060617_hinnat" xfId="23809" xr:uid="{00000000-0005-0000-0000-00000A230000}"/>
    <cellStyle name="40 % - Aksentti3 11 7" xfId="2315" xr:uid="{00000000-0005-0000-0000-00000B230000}"/>
    <cellStyle name="40 % - Aksentti3 11 7 2" xfId="7638" xr:uid="{00000000-0005-0000-0000-00000C230000}"/>
    <cellStyle name="40 % - Aksentti3 11 7 2 2" xfId="11514" xr:uid="{00000000-0005-0000-0000-00000D230000}"/>
    <cellStyle name="40 % - Aksentti3 11 7 2 3" xfId="19290" xr:uid="{00000000-0005-0000-0000-00000E230000}"/>
    <cellStyle name="40 % - Aksentti3 11 7 2_DataIX" xfId="30713" xr:uid="{00000000-0005-0000-0000-00000F230000}"/>
    <cellStyle name="40 % - Aksentti3 11 7 3" xfId="15835" xr:uid="{00000000-0005-0000-0000-000010230000}"/>
    <cellStyle name="40 % - Aksentti3 11 7_060617_hinnat" xfId="23810" xr:uid="{00000000-0005-0000-0000-000011230000}"/>
    <cellStyle name="40 % - Aksentti3 11 8" xfId="2316" xr:uid="{00000000-0005-0000-0000-000012230000}"/>
    <cellStyle name="40 % - Aksentti3 11 8 2" xfId="7639" xr:uid="{00000000-0005-0000-0000-000013230000}"/>
    <cellStyle name="40 % - Aksentti3 11 8 2 2" xfId="11515" xr:uid="{00000000-0005-0000-0000-000014230000}"/>
    <cellStyle name="40 % - Aksentti3 11 8 2 3" xfId="19291" xr:uid="{00000000-0005-0000-0000-000015230000}"/>
    <cellStyle name="40 % - Aksentti3 11 8 2_DataIX" xfId="30714" xr:uid="{00000000-0005-0000-0000-000016230000}"/>
    <cellStyle name="40 % - Aksentti3 11 8 3" xfId="15836" xr:uid="{00000000-0005-0000-0000-000017230000}"/>
    <cellStyle name="40 % - Aksentti3 11 8_060617_hinnat" xfId="23811" xr:uid="{00000000-0005-0000-0000-000018230000}"/>
    <cellStyle name="40 % - Aksentti3 11 9" xfId="2317" xr:uid="{00000000-0005-0000-0000-000019230000}"/>
    <cellStyle name="40 % - Aksentti3 11 9 2" xfId="7640" xr:uid="{00000000-0005-0000-0000-00001A230000}"/>
    <cellStyle name="40 % - Aksentti3 11 9 2 2" xfId="11516" xr:uid="{00000000-0005-0000-0000-00001B230000}"/>
    <cellStyle name="40 % - Aksentti3 11 9 2 3" xfId="19292" xr:uid="{00000000-0005-0000-0000-00001C230000}"/>
    <cellStyle name="40 % - Aksentti3 11 9 2_DataIX" xfId="30715" xr:uid="{00000000-0005-0000-0000-00001D230000}"/>
    <cellStyle name="40 % - Aksentti3 11 9 3" xfId="15837" xr:uid="{00000000-0005-0000-0000-00001E230000}"/>
    <cellStyle name="40 % - Aksentti3 11 9_060617_hinnat" xfId="23812" xr:uid="{00000000-0005-0000-0000-00001F230000}"/>
    <cellStyle name="40 % - Aksentti3 11_060617_hinnat" xfId="23813" xr:uid="{00000000-0005-0000-0000-000020230000}"/>
    <cellStyle name="40 % - Aksentti3 12" xfId="2318" xr:uid="{00000000-0005-0000-0000-000021230000}"/>
    <cellStyle name="40 % - Aksentti3 12 10" xfId="2319" xr:uid="{00000000-0005-0000-0000-000022230000}"/>
    <cellStyle name="40 % - Aksentti3 12 10 2" xfId="7642" xr:uid="{00000000-0005-0000-0000-000023230000}"/>
    <cellStyle name="40 % - Aksentti3 12 10 2 2" xfId="11517" xr:uid="{00000000-0005-0000-0000-000024230000}"/>
    <cellStyle name="40 % - Aksentti3 12 10 2 3" xfId="19294" xr:uid="{00000000-0005-0000-0000-000025230000}"/>
    <cellStyle name="40 % - Aksentti3 12 10 2_DataIX" xfId="30716" xr:uid="{00000000-0005-0000-0000-000026230000}"/>
    <cellStyle name="40 % - Aksentti3 12 10 3" xfId="15839" xr:uid="{00000000-0005-0000-0000-000027230000}"/>
    <cellStyle name="40 % - Aksentti3 12 10_060617_hinnat" xfId="23814" xr:uid="{00000000-0005-0000-0000-000028230000}"/>
    <cellStyle name="40 % - Aksentti3 12 11" xfId="7641" xr:uid="{00000000-0005-0000-0000-000029230000}"/>
    <cellStyle name="40 % - Aksentti3 12 11 2" xfId="11518" xr:uid="{00000000-0005-0000-0000-00002A230000}"/>
    <cellStyle name="40 % - Aksentti3 12 11 3" xfId="19293" xr:uid="{00000000-0005-0000-0000-00002B230000}"/>
    <cellStyle name="40 % - Aksentti3 12 11_DataIX" xfId="30717" xr:uid="{00000000-0005-0000-0000-00002C230000}"/>
    <cellStyle name="40 % - Aksentti3 12 12" xfId="15838" xr:uid="{00000000-0005-0000-0000-00002D230000}"/>
    <cellStyle name="40 % - Aksentti3 12 2" xfId="2320" xr:uid="{00000000-0005-0000-0000-00002E230000}"/>
    <cellStyle name="40 % - Aksentti3 12 2 2" xfId="2321" xr:uid="{00000000-0005-0000-0000-00002F230000}"/>
    <cellStyle name="40 % - Aksentti3 12 2 2 2" xfId="2322" xr:uid="{00000000-0005-0000-0000-000030230000}"/>
    <cellStyle name="40 % - Aksentti3 12 2 2 2 2" xfId="7645" xr:uid="{00000000-0005-0000-0000-000031230000}"/>
    <cellStyle name="40 % - Aksentti3 12 2 2 2 2 2" xfId="11519" xr:uid="{00000000-0005-0000-0000-000032230000}"/>
    <cellStyle name="40 % - Aksentti3 12 2 2 2 2 3" xfId="19297" xr:uid="{00000000-0005-0000-0000-000033230000}"/>
    <cellStyle name="40 % - Aksentti3 12 2 2 2 2_DataIX" xfId="30718" xr:uid="{00000000-0005-0000-0000-000034230000}"/>
    <cellStyle name="40 % - Aksentti3 12 2 2 2 3" xfId="15842" xr:uid="{00000000-0005-0000-0000-000035230000}"/>
    <cellStyle name="40 % - Aksentti3 12 2 2 2_060617_hinnat" xfId="23815" xr:uid="{00000000-0005-0000-0000-000036230000}"/>
    <cellStyle name="40 % - Aksentti3 12 2 2 3" xfId="7644" xr:uid="{00000000-0005-0000-0000-000037230000}"/>
    <cellStyle name="40 % - Aksentti3 12 2 2 3 2" xfId="11520" xr:uid="{00000000-0005-0000-0000-000038230000}"/>
    <cellStyle name="40 % - Aksentti3 12 2 2 3 3" xfId="19296" xr:uid="{00000000-0005-0000-0000-000039230000}"/>
    <cellStyle name="40 % - Aksentti3 12 2 2 3_DataIX" xfId="30719" xr:uid="{00000000-0005-0000-0000-00003A230000}"/>
    <cellStyle name="40 % - Aksentti3 12 2 2 4" xfId="15841" xr:uid="{00000000-0005-0000-0000-00003B230000}"/>
    <cellStyle name="40 % - Aksentti3 12 2 2_060617_hinnat" xfId="23816" xr:uid="{00000000-0005-0000-0000-00003C230000}"/>
    <cellStyle name="40 % - Aksentti3 12 2 3" xfId="2323" xr:uid="{00000000-0005-0000-0000-00003D230000}"/>
    <cellStyle name="40 % - Aksentti3 12 2 3 2" xfId="7646" xr:uid="{00000000-0005-0000-0000-00003E230000}"/>
    <cellStyle name="40 % - Aksentti3 12 2 3 2 2" xfId="11521" xr:uid="{00000000-0005-0000-0000-00003F230000}"/>
    <cellStyle name="40 % - Aksentti3 12 2 3 2 3" xfId="19298" xr:uid="{00000000-0005-0000-0000-000040230000}"/>
    <cellStyle name="40 % - Aksentti3 12 2 3 2_DataIX" xfId="30720" xr:uid="{00000000-0005-0000-0000-000041230000}"/>
    <cellStyle name="40 % - Aksentti3 12 2 3 3" xfId="15843" xr:uid="{00000000-0005-0000-0000-000042230000}"/>
    <cellStyle name="40 % - Aksentti3 12 2 3_060617_hinnat" xfId="23817" xr:uid="{00000000-0005-0000-0000-000043230000}"/>
    <cellStyle name="40 % - Aksentti3 12 2 4" xfId="7643" xr:uid="{00000000-0005-0000-0000-000044230000}"/>
    <cellStyle name="40 % - Aksentti3 12 2 4 2" xfId="11522" xr:uid="{00000000-0005-0000-0000-000045230000}"/>
    <cellStyle name="40 % - Aksentti3 12 2 4 3" xfId="19295" xr:uid="{00000000-0005-0000-0000-000046230000}"/>
    <cellStyle name="40 % - Aksentti3 12 2 4_DataIX" xfId="30721" xr:uid="{00000000-0005-0000-0000-000047230000}"/>
    <cellStyle name="40 % - Aksentti3 12 2 5" xfId="15840" xr:uid="{00000000-0005-0000-0000-000048230000}"/>
    <cellStyle name="40 % - Aksentti3 12 2_060617_hinnat" xfId="23818" xr:uid="{00000000-0005-0000-0000-000049230000}"/>
    <cellStyle name="40 % - Aksentti3 12 3" xfId="2324" xr:uid="{00000000-0005-0000-0000-00004A230000}"/>
    <cellStyle name="40 % - Aksentti3 12 3 2" xfId="2325" xr:uid="{00000000-0005-0000-0000-00004B230000}"/>
    <cellStyle name="40 % - Aksentti3 12 3 2 2" xfId="7648" xr:uid="{00000000-0005-0000-0000-00004C230000}"/>
    <cellStyle name="40 % - Aksentti3 12 3 2 2 2" xfId="11523" xr:uid="{00000000-0005-0000-0000-00004D230000}"/>
    <cellStyle name="40 % - Aksentti3 12 3 2 2 3" xfId="19300" xr:uid="{00000000-0005-0000-0000-00004E230000}"/>
    <cellStyle name="40 % - Aksentti3 12 3 2 2_DataIX" xfId="30722" xr:uid="{00000000-0005-0000-0000-00004F230000}"/>
    <cellStyle name="40 % - Aksentti3 12 3 2 3" xfId="15845" xr:uid="{00000000-0005-0000-0000-000050230000}"/>
    <cellStyle name="40 % - Aksentti3 12 3 2_060617_hinnat" xfId="23819" xr:uid="{00000000-0005-0000-0000-000051230000}"/>
    <cellStyle name="40 % - Aksentti3 12 3 3" xfId="7647" xr:uid="{00000000-0005-0000-0000-000052230000}"/>
    <cellStyle name="40 % - Aksentti3 12 3 3 2" xfId="11524" xr:uid="{00000000-0005-0000-0000-000053230000}"/>
    <cellStyle name="40 % - Aksentti3 12 3 3 3" xfId="19299" xr:uid="{00000000-0005-0000-0000-000054230000}"/>
    <cellStyle name="40 % - Aksentti3 12 3 3_DataIX" xfId="30723" xr:uid="{00000000-0005-0000-0000-000055230000}"/>
    <cellStyle name="40 % - Aksentti3 12 3 4" xfId="15844" xr:uid="{00000000-0005-0000-0000-000056230000}"/>
    <cellStyle name="40 % - Aksentti3 12 3_060617_hinnat" xfId="23820" xr:uid="{00000000-0005-0000-0000-000057230000}"/>
    <cellStyle name="40 % - Aksentti3 12 4" xfId="2326" xr:uid="{00000000-0005-0000-0000-000058230000}"/>
    <cellStyle name="40 % - Aksentti3 12 4 2" xfId="7649" xr:uid="{00000000-0005-0000-0000-000059230000}"/>
    <cellStyle name="40 % - Aksentti3 12 4 2 2" xfId="11525" xr:uid="{00000000-0005-0000-0000-00005A230000}"/>
    <cellStyle name="40 % - Aksentti3 12 4 2 3" xfId="19301" xr:uid="{00000000-0005-0000-0000-00005B230000}"/>
    <cellStyle name="40 % - Aksentti3 12 4 2_DataIX" xfId="30724" xr:uid="{00000000-0005-0000-0000-00005C230000}"/>
    <cellStyle name="40 % - Aksentti3 12 4 3" xfId="15846" xr:uid="{00000000-0005-0000-0000-00005D230000}"/>
    <cellStyle name="40 % - Aksentti3 12 4_060617_hinnat" xfId="23821" xr:uid="{00000000-0005-0000-0000-00005E230000}"/>
    <cellStyle name="40 % - Aksentti3 12 5" xfId="2327" xr:uid="{00000000-0005-0000-0000-00005F230000}"/>
    <cellStyle name="40 % - Aksentti3 12 5 2" xfId="7650" xr:uid="{00000000-0005-0000-0000-000060230000}"/>
    <cellStyle name="40 % - Aksentti3 12 5 2 2" xfId="11526" xr:uid="{00000000-0005-0000-0000-000061230000}"/>
    <cellStyle name="40 % - Aksentti3 12 5 2 3" xfId="19302" xr:uid="{00000000-0005-0000-0000-000062230000}"/>
    <cellStyle name="40 % - Aksentti3 12 5 2_DataIX" xfId="30725" xr:uid="{00000000-0005-0000-0000-000063230000}"/>
    <cellStyle name="40 % - Aksentti3 12 5 3" xfId="15847" xr:uid="{00000000-0005-0000-0000-000064230000}"/>
    <cellStyle name="40 % - Aksentti3 12 5_060617_hinnat" xfId="23822" xr:uid="{00000000-0005-0000-0000-000065230000}"/>
    <cellStyle name="40 % - Aksentti3 12 6" xfId="2328" xr:uid="{00000000-0005-0000-0000-000066230000}"/>
    <cellStyle name="40 % - Aksentti3 12 6 2" xfId="7651" xr:uid="{00000000-0005-0000-0000-000067230000}"/>
    <cellStyle name="40 % - Aksentti3 12 6 2 2" xfId="11527" xr:uid="{00000000-0005-0000-0000-000068230000}"/>
    <cellStyle name="40 % - Aksentti3 12 6 2 3" xfId="19303" xr:uid="{00000000-0005-0000-0000-000069230000}"/>
    <cellStyle name="40 % - Aksentti3 12 6 2_DataIX" xfId="30726" xr:uid="{00000000-0005-0000-0000-00006A230000}"/>
    <cellStyle name="40 % - Aksentti3 12 6 3" xfId="15848" xr:uid="{00000000-0005-0000-0000-00006B230000}"/>
    <cellStyle name="40 % - Aksentti3 12 6_060617_hinnat" xfId="23823" xr:uid="{00000000-0005-0000-0000-00006C230000}"/>
    <cellStyle name="40 % - Aksentti3 12 7" xfId="2329" xr:uid="{00000000-0005-0000-0000-00006D230000}"/>
    <cellStyle name="40 % - Aksentti3 12 7 2" xfId="7652" xr:uid="{00000000-0005-0000-0000-00006E230000}"/>
    <cellStyle name="40 % - Aksentti3 12 7 2 2" xfId="11528" xr:uid="{00000000-0005-0000-0000-00006F230000}"/>
    <cellStyle name="40 % - Aksentti3 12 7 2 3" xfId="19304" xr:uid="{00000000-0005-0000-0000-000070230000}"/>
    <cellStyle name="40 % - Aksentti3 12 7 2_DataIX" xfId="30727" xr:uid="{00000000-0005-0000-0000-000071230000}"/>
    <cellStyle name="40 % - Aksentti3 12 7 3" xfId="15849" xr:uid="{00000000-0005-0000-0000-000072230000}"/>
    <cellStyle name="40 % - Aksentti3 12 7_060617_hinnat" xfId="23824" xr:uid="{00000000-0005-0000-0000-000073230000}"/>
    <cellStyle name="40 % - Aksentti3 12 8" xfId="2330" xr:uid="{00000000-0005-0000-0000-000074230000}"/>
    <cellStyle name="40 % - Aksentti3 12 8 2" xfId="7653" xr:uid="{00000000-0005-0000-0000-000075230000}"/>
    <cellStyle name="40 % - Aksentti3 12 8 2 2" xfId="11529" xr:uid="{00000000-0005-0000-0000-000076230000}"/>
    <cellStyle name="40 % - Aksentti3 12 8 2 3" xfId="19305" xr:uid="{00000000-0005-0000-0000-000077230000}"/>
    <cellStyle name="40 % - Aksentti3 12 8 2_DataIX" xfId="30728" xr:uid="{00000000-0005-0000-0000-000078230000}"/>
    <cellStyle name="40 % - Aksentti3 12 8 3" xfId="15850" xr:uid="{00000000-0005-0000-0000-000079230000}"/>
    <cellStyle name="40 % - Aksentti3 12 8_060617_hinnat" xfId="23825" xr:uid="{00000000-0005-0000-0000-00007A230000}"/>
    <cellStyle name="40 % - Aksentti3 12 9" xfId="2331" xr:uid="{00000000-0005-0000-0000-00007B230000}"/>
    <cellStyle name="40 % - Aksentti3 12 9 2" xfId="7654" xr:uid="{00000000-0005-0000-0000-00007C230000}"/>
    <cellStyle name="40 % - Aksentti3 12 9 2 2" xfId="11530" xr:uid="{00000000-0005-0000-0000-00007D230000}"/>
    <cellStyle name="40 % - Aksentti3 12 9 2 3" xfId="19306" xr:uid="{00000000-0005-0000-0000-00007E230000}"/>
    <cellStyle name="40 % - Aksentti3 12 9 2_DataIX" xfId="30729" xr:uid="{00000000-0005-0000-0000-00007F230000}"/>
    <cellStyle name="40 % - Aksentti3 12 9 3" xfId="15851" xr:uid="{00000000-0005-0000-0000-000080230000}"/>
    <cellStyle name="40 % - Aksentti3 12 9_060617_hinnat" xfId="23826" xr:uid="{00000000-0005-0000-0000-000081230000}"/>
    <cellStyle name="40 % - Aksentti3 12_060617_hinnat" xfId="23827" xr:uid="{00000000-0005-0000-0000-000082230000}"/>
    <cellStyle name="40 % - Aksentti3 13" xfId="2332" xr:uid="{00000000-0005-0000-0000-000083230000}"/>
    <cellStyle name="40 % - Aksentti3 13 10" xfId="2333" xr:uid="{00000000-0005-0000-0000-000084230000}"/>
    <cellStyle name="40 % - Aksentti3 13 10 2" xfId="7656" xr:uid="{00000000-0005-0000-0000-000085230000}"/>
    <cellStyle name="40 % - Aksentti3 13 10 2 2" xfId="11531" xr:uid="{00000000-0005-0000-0000-000086230000}"/>
    <cellStyle name="40 % - Aksentti3 13 10 2 3" xfId="19308" xr:uid="{00000000-0005-0000-0000-000087230000}"/>
    <cellStyle name="40 % - Aksentti3 13 10 2_DataIX" xfId="30730" xr:uid="{00000000-0005-0000-0000-000088230000}"/>
    <cellStyle name="40 % - Aksentti3 13 10 3" xfId="15853" xr:uid="{00000000-0005-0000-0000-000089230000}"/>
    <cellStyle name="40 % - Aksentti3 13 10_060617_hinnat" xfId="23828" xr:uid="{00000000-0005-0000-0000-00008A230000}"/>
    <cellStyle name="40 % - Aksentti3 13 11" xfId="7655" xr:uid="{00000000-0005-0000-0000-00008B230000}"/>
    <cellStyle name="40 % - Aksentti3 13 11 2" xfId="11532" xr:uid="{00000000-0005-0000-0000-00008C230000}"/>
    <cellStyle name="40 % - Aksentti3 13 11 3" xfId="19307" xr:uid="{00000000-0005-0000-0000-00008D230000}"/>
    <cellStyle name="40 % - Aksentti3 13 11_DataIX" xfId="30731" xr:uid="{00000000-0005-0000-0000-00008E230000}"/>
    <cellStyle name="40 % - Aksentti3 13 12" xfId="15852" xr:uid="{00000000-0005-0000-0000-00008F230000}"/>
    <cellStyle name="40 % - Aksentti3 13 2" xfId="2334" xr:uid="{00000000-0005-0000-0000-000090230000}"/>
    <cellStyle name="40 % - Aksentti3 13 2 2" xfId="2335" xr:uid="{00000000-0005-0000-0000-000091230000}"/>
    <cellStyle name="40 % - Aksentti3 13 2 2 2" xfId="7658" xr:uid="{00000000-0005-0000-0000-000092230000}"/>
    <cellStyle name="40 % - Aksentti3 13 2 2 2 2" xfId="11533" xr:uid="{00000000-0005-0000-0000-000093230000}"/>
    <cellStyle name="40 % - Aksentti3 13 2 2 2 3" xfId="19310" xr:uid="{00000000-0005-0000-0000-000094230000}"/>
    <cellStyle name="40 % - Aksentti3 13 2 2 2_DataIX" xfId="30732" xr:uid="{00000000-0005-0000-0000-000095230000}"/>
    <cellStyle name="40 % - Aksentti3 13 2 2 3" xfId="15855" xr:uid="{00000000-0005-0000-0000-000096230000}"/>
    <cellStyle name="40 % - Aksentti3 13 2 2_060617_hinnat" xfId="23829" xr:uid="{00000000-0005-0000-0000-000097230000}"/>
    <cellStyle name="40 % - Aksentti3 13 2 3" xfId="7657" xr:uid="{00000000-0005-0000-0000-000098230000}"/>
    <cellStyle name="40 % - Aksentti3 13 2 3 2" xfId="11534" xr:uid="{00000000-0005-0000-0000-000099230000}"/>
    <cellStyle name="40 % - Aksentti3 13 2 3 3" xfId="19309" xr:uid="{00000000-0005-0000-0000-00009A230000}"/>
    <cellStyle name="40 % - Aksentti3 13 2 3_DataIX" xfId="30733" xr:uid="{00000000-0005-0000-0000-00009B230000}"/>
    <cellStyle name="40 % - Aksentti3 13 2 4" xfId="15854" xr:uid="{00000000-0005-0000-0000-00009C230000}"/>
    <cellStyle name="40 % - Aksentti3 13 2_060617_hinnat" xfId="23830" xr:uid="{00000000-0005-0000-0000-00009D230000}"/>
    <cellStyle name="40 % - Aksentti3 13 3" xfId="2336" xr:uid="{00000000-0005-0000-0000-00009E230000}"/>
    <cellStyle name="40 % - Aksentti3 13 3 2" xfId="7659" xr:uid="{00000000-0005-0000-0000-00009F230000}"/>
    <cellStyle name="40 % - Aksentti3 13 3 2 2" xfId="11535" xr:uid="{00000000-0005-0000-0000-0000A0230000}"/>
    <cellStyle name="40 % - Aksentti3 13 3 2 3" xfId="19311" xr:uid="{00000000-0005-0000-0000-0000A1230000}"/>
    <cellStyle name="40 % - Aksentti3 13 3 2_DataIX" xfId="30734" xr:uid="{00000000-0005-0000-0000-0000A2230000}"/>
    <cellStyle name="40 % - Aksentti3 13 3 3" xfId="15856" xr:uid="{00000000-0005-0000-0000-0000A3230000}"/>
    <cellStyle name="40 % - Aksentti3 13 3_060617_hinnat" xfId="23831" xr:uid="{00000000-0005-0000-0000-0000A4230000}"/>
    <cellStyle name="40 % - Aksentti3 13 4" xfId="2337" xr:uid="{00000000-0005-0000-0000-0000A5230000}"/>
    <cellStyle name="40 % - Aksentti3 13 4 2" xfId="7660" xr:uid="{00000000-0005-0000-0000-0000A6230000}"/>
    <cellStyle name="40 % - Aksentti3 13 4 2 2" xfId="11536" xr:uid="{00000000-0005-0000-0000-0000A7230000}"/>
    <cellStyle name="40 % - Aksentti3 13 4 2 3" xfId="19312" xr:uid="{00000000-0005-0000-0000-0000A8230000}"/>
    <cellStyle name="40 % - Aksentti3 13 4 2_DataIX" xfId="30735" xr:uid="{00000000-0005-0000-0000-0000A9230000}"/>
    <cellStyle name="40 % - Aksentti3 13 4 3" xfId="15857" xr:uid="{00000000-0005-0000-0000-0000AA230000}"/>
    <cellStyle name="40 % - Aksentti3 13 4_060617_hinnat" xfId="23832" xr:uid="{00000000-0005-0000-0000-0000AB230000}"/>
    <cellStyle name="40 % - Aksentti3 13 5" xfId="2338" xr:uid="{00000000-0005-0000-0000-0000AC230000}"/>
    <cellStyle name="40 % - Aksentti3 13 5 2" xfId="7661" xr:uid="{00000000-0005-0000-0000-0000AD230000}"/>
    <cellStyle name="40 % - Aksentti3 13 5 2 2" xfId="11537" xr:uid="{00000000-0005-0000-0000-0000AE230000}"/>
    <cellStyle name="40 % - Aksentti3 13 5 2 3" xfId="19313" xr:uid="{00000000-0005-0000-0000-0000AF230000}"/>
    <cellStyle name="40 % - Aksentti3 13 5 2_DataIX" xfId="30736" xr:uid="{00000000-0005-0000-0000-0000B0230000}"/>
    <cellStyle name="40 % - Aksentti3 13 5 3" xfId="15858" xr:uid="{00000000-0005-0000-0000-0000B1230000}"/>
    <cellStyle name="40 % - Aksentti3 13 5_060617_hinnat" xfId="23833" xr:uid="{00000000-0005-0000-0000-0000B2230000}"/>
    <cellStyle name="40 % - Aksentti3 13 6" xfId="2339" xr:uid="{00000000-0005-0000-0000-0000B3230000}"/>
    <cellStyle name="40 % - Aksentti3 13 6 2" xfId="7662" xr:uid="{00000000-0005-0000-0000-0000B4230000}"/>
    <cellStyle name="40 % - Aksentti3 13 6 2 2" xfId="11538" xr:uid="{00000000-0005-0000-0000-0000B5230000}"/>
    <cellStyle name="40 % - Aksentti3 13 6 2 3" xfId="19314" xr:uid="{00000000-0005-0000-0000-0000B6230000}"/>
    <cellStyle name="40 % - Aksentti3 13 6 2_DataIX" xfId="30737" xr:uid="{00000000-0005-0000-0000-0000B7230000}"/>
    <cellStyle name="40 % - Aksentti3 13 6 3" xfId="15859" xr:uid="{00000000-0005-0000-0000-0000B8230000}"/>
    <cellStyle name="40 % - Aksentti3 13 6_060617_hinnat" xfId="23834" xr:uid="{00000000-0005-0000-0000-0000B9230000}"/>
    <cellStyle name="40 % - Aksentti3 13 7" xfId="2340" xr:uid="{00000000-0005-0000-0000-0000BA230000}"/>
    <cellStyle name="40 % - Aksentti3 13 7 2" xfId="7663" xr:uid="{00000000-0005-0000-0000-0000BB230000}"/>
    <cellStyle name="40 % - Aksentti3 13 7 2 2" xfId="11539" xr:uid="{00000000-0005-0000-0000-0000BC230000}"/>
    <cellStyle name="40 % - Aksentti3 13 7 2 3" xfId="19315" xr:uid="{00000000-0005-0000-0000-0000BD230000}"/>
    <cellStyle name="40 % - Aksentti3 13 7 2_DataIX" xfId="30738" xr:uid="{00000000-0005-0000-0000-0000BE230000}"/>
    <cellStyle name="40 % - Aksentti3 13 7 3" xfId="15860" xr:uid="{00000000-0005-0000-0000-0000BF230000}"/>
    <cellStyle name="40 % - Aksentti3 13 7_060617_hinnat" xfId="23835" xr:uid="{00000000-0005-0000-0000-0000C0230000}"/>
    <cellStyle name="40 % - Aksentti3 13 8" xfId="2341" xr:uid="{00000000-0005-0000-0000-0000C1230000}"/>
    <cellStyle name="40 % - Aksentti3 13 8 2" xfId="7664" xr:uid="{00000000-0005-0000-0000-0000C2230000}"/>
    <cellStyle name="40 % - Aksentti3 13 8 2 2" xfId="11540" xr:uid="{00000000-0005-0000-0000-0000C3230000}"/>
    <cellStyle name="40 % - Aksentti3 13 8 2 3" xfId="19316" xr:uid="{00000000-0005-0000-0000-0000C4230000}"/>
    <cellStyle name="40 % - Aksentti3 13 8 2_DataIX" xfId="30739" xr:uid="{00000000-0005-0000-0000-0000C5230000}"/>
    <cellStyle name="40 % - Aksentti3 13 8 3" xfId="15861" xr:uid="{00000000-0005-0000-0000-0000C6230000}"/>
    <cellStyle name="40 % - Aksentti3 13 8_060617_hinnat" xfId="23836" xr:uid="{00000000-0005-0000-0000-0000C7230000}"/>
    <cellStyle name="40 % - Aksentti3 13 9" xfId="2342" xr:uid="{00000000-0005-0000-0000-0000C8230000}"/>
    <cellStyle name="40 % - Aksentti3 13 9 2" xfId="7665" xr:uid="{00000000-0005-0000-0000-0000C9230000}"/>
    <cellStyle name="40 % - Aksentti3 13 9 2 2" xfId="11541" xr:uid="{00000000-0005-0000-0000-0000CA230000}"/>
    <cellStyle name="40 % - Aksentti3 13 9 2 3" xfId="19317" xr:uid="{00000000-0005-0000-0000-0000CB230000}"/>
    <cellStyle name="40 % - Aksentti3 13 9 2_DataIX" xfId="30740" xr:uid="{00000000-0005-0000-0000-0000CC230000}"/>
    <cellStyle name="40 % - Aksentti3 13 9 3" xfId="15862" xr:uid="{00000000-0005-0000-0000-0000CD230000}"/>
    <cellStyle name="40 % - Aksentti3 13 9_060617_hinnat" xfId="23837" xr:uid="{00000000-0005-0000-0000-0000CE230000}"/>
    <cellStyle name="40 % - Aksentti3 13_060617_hinnat" xfId="23838" xr:uid="{00000000-0005-0000-0000-0000CF230000}"/>
    <cellStyle name="40 % - Aksentti3 14" xfId="2343" xr:uid="{00000000-0005-0000-0000-0000D0230000}"/>
    <cellStyle name="40 % - Aksentti3 14 10" xfId="2344" xr:uid="{00000000-0005-0000-0000-0000D1230000}"/>
    <cellStyle name="40 % - Aksentti3 14 10 2" xfId="7667" xr:uid="{00000000-0005-0000-0000-0000D2230000}"/>
    <cellStyle name="40 % - Aksentti3 14 10 2 2" xfId="11542" xr:uid="{00000000-0005-0000-0000-0000D3230000}"/>
    <cellStyle name="40 % - Aksentti3 14 10 2 3" xfId="19319" xr:uid="{00000000-0005-0000-0000-0000D4230000}"/>
    <cellStyle name="40 % - Aksentti3 14 10 2_DataIX" xfId="30741" xr:uid="{00000000-0005-0000-0000-0000D5230000}"/>
    <cellStyle name="40 % - Aksentti3 14 10 3" xfId="15864" xr:uid="{00000000-0005-0000-0000-0000D6230000}"/>
    <cellStyle name="40 % - Aksentti3 14 10_060617_hinnat" xfId="23839" xr:uid="{00000000-0005-0000-0000-0000D7230000}"/>
    <cellStyle name="40 % - Aksentti3 14 11" xfId="7666" xr:uid="{00000000-0005-0000-0000-0000D8230000}"/>
    <cellStyle name="40 % - Aksentti3 14 11 2" xfId="11543" xr:uid="{00000000-0005-0000-0000-0000D9230000}"/>
    <cellStyle name="40 % - Aksentti3 14 11 3" xfId="19318" xr:uid="{00000000-0005-0000-0000-0000DA230000}"/>
    <cellStyle name="40 % - Aksentti3 14 11_DataIX" xfId="30742" xr:uid="{00000000-0005-0000-0000-0000DB230000}"/>
    <cellStyle name="40 % - Aksentti3 14 12" xfId="15863" xr:uid="{00000000-0005-0000-0000-0000DC230000}"/>
    <cellStyle name="40 % - Aksentti3 14 2" xfId="2345" xr:uid="{00000000-0005-0000-0000-0000DD230000}"/>
    <cellStyle name="40 % - Aksentti3 14 2 2" xfId="2346" xr:uid="{00000000-0005-0000-0000-0000DE230000}"/>
    <cellStyle name="40 % - Aksentti3 14 2 2 2" xfId="7669" xr:uid="{00000000-0005-0000-0000-0000DF230000}"/>
    <cellStyle name="40 % - Aksentti3 14 2 2 2 2" xfId="11544" xr:uid="{00000000-0005-0000-0000-0000E0230000}"/>
    <cellStyle name="40 % - Aksentti3 14 2 2 2 3" xfId="19321" xr:uid="{00000000-0005-0000-0000-0000E1230000}"/>
    <cellStyle name="40 % - Aksentti3 14 2 2 2_DataIX" xfId="30743" xr:uid="{00000000-0005-0000-0000-0000E2230000}"/>
    <cellStyle name="40 % - Aksentti3 14 2 2 3" xfId="15866" xr:uid="{00000000-0005-0000-0000-0000E3230000}"/>
    <cellStyle name="40 % - Aksentti3 14 2 2_060617_hinnat" xfId="23840" xr:uid="{00000000-0005-0000-0000-0000E4230000}"/>
    <cellStyle name="40 % - Aksentti3 14 2 3" xfId="7668" xr:uid="{00000000-0005-0000-0000-0000E5230000}"/>
    <cellStyle name="40 % - Aksentti3 14 2 3 2" xfId="11545" xr:uid="{00000000-0005-0000-0000-0000E6230000}"/>
    <cellStyle name="40 % - Aksentti3 14 2 3 3" xfId="19320" xr:uid="{00000000-0005-0000-0000-0000E7230000}"/>
    <cellStyle name="40 % - Aksentti3 14 2 3_DataIX" xfId="30744" xr:uid="{00000000-0005-0000-0000-0000E8230000}"/>
    <cellStyle name="40 % - Aksentti3 14 2 4" xfId="15865" xr:uid="{00000000-0005-0000-0000-0000E9230000}"/>
    <cellStyle name="40 % - Aksentti3 14 2_060617_hinnat" xfId="23841" xr:uid="{00000000-0005-0000-0000-0000EA230000}"/>
    <cellStyle name="40 % - Aksentti3 14 3" xfId="2347" xr:uid="{00000000-0005-0000-0000-0000EB230000}"/>
    <cellStyle name="40 % - Aksentti3 14 3 2" xfId="7670" xr:uid="{00000000-0005-0000-0000-0000EC230000}"/>
    <cellStyle name="40 % - Aksentti3 14 3 2 2" xfId="11546" xr:uid="{00000000-0005-0000-0000-0000ED230000}"/>
    <cellStyle name="40 % - Aksentti3 14 3 2 3" xfId="19322" xr:uid="{00000000-0005-0000-0000-0000EE230000}"/>
    <cellStyle name="40 % - Aksentti3 14 3 2_DataIX" xfId="30745" xr:uid="{00000000-0005-0000-0000-0000EF230000}"/>
    <cellStyle name="40 % - Aksentti3 14 3 3" xfId="15867" xr:uid="{00000000-0005-0000-0000-0000F0230000}"/>
    <cellStyle name="40 % - Aksentti3 14 3_060617_hinnat" xfId="23842" xr:uid="{00000000-0005-0000-0000-0000F1230000}"/>
    <cellStyle name="40 % - Aksentti3 14 4" xfId="2348" xr:uid="{00000000-0005-0000-0000-0000F2230000}"/>
    <cellStyle name="40 % - Aksentti3 14 4 2" xfId="7671" xr:uid="{00000000-0005-0000-0000-0000F3230000}"/>
    <cellStyle name="40 % - Aksentti3 14 4 2 2" xfId="11547" xr:uid="{00000000-0005-0000-0000-0000F4230000}"/>
    <cellStyle name="40 % - Aksentti3 14 4 2 3" xfId="19323" xr:uid="{00000000-0005-0000-0000-0000F5230000}"/>
    <cellStyle name="40 % - Aksentti3 14 4 2_DataIX" xfId="30746" xr:uid="{00000000-0005-0000-0000-0000F6230000}"/>
    <cellStyle name="40 % - Aksentti3 14 4 3" xfId="15868" xr:uid="{00000000-0005-0000-0000-0000F7230000}"/>
    <cellStyle name="40 % - Aksentti3 14 4_060617_hinnat" xfId="23843" xr:uid="{00000000-0005-0000-0000-0000F8230000}"/>
    <cellStyle name="40 % - Aksentti3 14 5" xfId="2349" xr:uid="{00000000-0005-0000-0000-0000F9230000}"/>
    <cellStyle name="40 % - Aksentti3 14 5 2" xfId="7672" xr:uid="{00000000-0005-0000-0000-0000FA230000}"/>
    <cellStyle name="40 % - Aksentti3 14 5 2 2" xfId="11548" xr:uid="{00000000-0005-0000-0000-0000FB230000}"/>
    <cellStyle name="40 % - Aksentti3 14 5 2 3" xfId="19324" xr:uid="{00000000-0005-0000-0000-0000FC230000}"/>
    <cellStyle name="40 % - Aksentti3 14 5 2_DataIX" xfId="30747" xr:uid="{00000000-0005-0000-0000-0000FD230000}"/>
    <cellStyle name="40 % - Aksentti3 14 5 3" xfId="15869" xr:uid="{00000000-0005-0000-0000-0000FE230000}"/>
    <cellStyle name="40 % - Aksentti3 14 5_060617_hinnat" xfId="23844" xr:uid="{00000000-0005-0000-0000-0000FF230000}"/>
    <cellStyle name="40 % - Aksentti3 14 6" xfId="2350" xr:uid="{00000000-0005-0000-0000-000000240000}"/>
    <cellStyle name="40 % - Aksentti3 14 6 2" xfId="7673" xr:uid="{00000000-0005-0000-0000-000001240000}"/>
    <cellStyle name="40 % - Aksentti3 14 6 2 2" xfId="11549" xr:uid="{00000000-0005-0000-0000-000002240000}"/>
    <cellStyle name="40 % - Aksentti3 14 6 2 3" xfId="19325" xr:uid="{00000000-0005-0000-0000-000003240000}"/>
    <cellStyle name="40 % - Aksentti3 14 6 2_DataIX" xfId="30748" xr:uid="{00000000-0005-0000-0000-000004240000}"/>
    <cellStyle name="40 % - Aksentti3 14 6 3" xfId="15870" xr:uid="{00000000-0005-0000-0000-000005240000}"/>
    <cellStyle name="40 % - Aksentti3 14 6_060617_hinnat" xfId="23845" xr:uid="{00000000-0005-0000-0000-000006240000}"/>
    <cellStyle name="40 % - Aksentti3 14 7" xfId="2351" xr:uid="{00000000-0005-0000-0000-000007240000}"/>
    <cellStyle name="40 % - Aksentti3 14 7 2" xfId="7674" xr:uid="{00000000-0005-0000-0000-000008240000}"/>
    <cellStyle name="40 % - Aksentti3 14 7 2 2" xfId="11550" xr:uid="{00000000-0005-0000-0000-000009240000}"/>
    <cellStyle name="40 % - Aksentti3 14 7 2 3" xfId="19326" xr:uid="{00000000-0005-0000-0000-00000A240000}"/>
    <cellStyle name="40 % - Aksentti3 14 7 2_DataIX" xfId="30749" xr:uid="{00000000-0005-0000-0000-00000B240000}"/>
    <cellStyle name="40 % - Aksentti3 14 7 3" xfId="15871" xr:uid="{00000000-0005-0000-0000-00000C240000}"/>
    <cellStyle name="40 % - Aksentti3 14 7_060617_hinnat" xfId="23846" xr:uid="{00000000-0005-0000-0000-00000D240000}"/>
    <cellStyle name="40 % - Aksentti3 14 8" xfId="2352" xr:uid="{00000000-0005-0000-0000-00000E240000}"/>
    <cellStyle name="40 % - Aksentti3 14 8 2" xfId="7675" xr:uid="{00000000-0005-0000-0000-00000F240000}"/>
    <cellStyle name="40 % - Aksentti3 14 8 2 2" xfId="11551" xr:uid="{00000000-0005-0000-0000-000010240000}"/>
    <cellStyle name="40 % - Aksentti3 14 8 2 3" xfId="19327" xr:uid="{00000000-0005-0000-0000-000011240000}"/>
    <cellStyle name="40 % - Aksentti3 14 8 2_DataIX" xfId="30750" xr:uid="{00000000-0005-0000-0000-000012240000}"/>
    <cellStyle name="40 % - Aksentti3 14 8 3" xfId="15872" xr:uid="{00000000-0005-0000-0000-000013240000}"/>
    <cellStyle name="40 % - Aksentti3 14 8_060617_hinnat" xfId="23847" xr:uid="{00000000-0005-0000-0000-000014240000}"/>
    <cellStyle name="40 % - Aksentti3 14 9" xfId="2353" xr:uid="{00000000-0005-0000-0000-000015240000}"/>
    <cellStyle name="40 % - Aksentti3 14 9 2" xfId="7676" xr:uid="{00000000-0005-0000-0000-000016240000}"/>
    <cellStyle name="40 % - Aksentti3 14 9 2 2" xfId="11552" xr:uid="{00000000-0005-0000-0000-000017240000}"/>
    <cellStyle name="40 % - Aksentti3 14 9 2 3" xfId="19328" xr:uid="{00000000-0005-0000-0000-000018240000}"/>
    <cellStyle name="40 % - Aksentti3 14 9 2_DataIX" xfId="30751" xr:uid="{00000000-0005-0000-0000-000019240000}"/>
    <cellStyle name="40 % - Aksentti3 14 9 3" xfId="15873" xr:uid="{00000000-0005-0000-0000-00001A240000}"/>
    <cellStyle name="40 % - Aksentti3 14 9_060617_hinnat" xfId="23848" xr:uid="{00000000-0005-0000-0000-00001B240000}"/>
    <cellStyle name="40 % - Aksentti3 14_060617_hinnat" xfId="23849" xr:uid="{00000000-0005-0000-0000-00001C240000}"/>
    <cellStyle name="40 % - Aksentti3 15" xfId="2354" xr:uid="{00000000-0005-0000-0000-00001D240000}"/>
    <cellStyle name="40 % - Aksentti3 15 10" xfId="2355" xr:uid="{00000000-0005-0000-0000-00001E240000}"/>
    <cellStyle name="40 % - Aksentti3 15 10 2" xfId="7678" xr:uid="{00000000-0005-0000-0000-00001F240000}"/>
    <cellStyle name="40 % - Aksentti3 15 10 2 2" xfId="11553" xr:uid="{00000000-0005-0000-0000-000020240000}"/>
    <cellStyle name="40 % - Aksentti3 15 10 2 3" xfId="19330" xr:uid="{00000000-0005-0000-0000-000021240000}"/>
    <cellStyle name="40 % - Aksentti3 15 10 2_DataIX" xfId="30752" xr:uid="{00000000-0005-0000-0000-000022240000}"/>
    <cellStyle name="40 % - Aksentti3 15 10 3" xfId="15875" xr:uid="{00000000-0005-0000-0000-000023240000}"/>
    <cellStyle name="40 % - Aksentti3 15 10_060617_hinnat" xfId="23850" xr:uid="{00000000-0005-0000-0000-000024240000}"/>
    <cellStyle name="40 % - Aksentti3 15 11" xfId="7677" xr:uid="{00000000-0005-0000-0000-000025240000}"/>
    <cellStyle name="40 % - Aksentti3 15 11 2" xfId="11554" xr:uid="{00000000-0005-0000-0000-000026240000}"/>
    <cellStyle name="40 % - Aksentti3 15 11 3" xfId="19329" xr:uid="{00000000-0005-0000-0000-000027240000}"/>
    <cellStyle name="40 % - Aksentti3 15 11_DataIX" xfId="30753" xr:uid="{00000000-0005-0000-0000-000028240000}"/>
    <cellStyle name="40 % - Aksentti3 15 12" xfId="15874" xr:uid="{00000000-0005-0000-0000-000029240000}"/>
    <cellStyle name="40 % - Aksentti3 15 2" xfId="2356" xr:uid="{00000000-0005-0000-0000-00002A240000}"/>
    <cellStyle name="40 % - Aksentti3 15 2 2" xfId="2357" xr:uid="{00000000-0005-0000-0000-00002B240000}"/>
    <cellStyle name="40 % - Aksentti3 15 2 2 2" xfId="7680" xr:uid="{00000000-0005-0000-0000-00002C240000}"/>
    <cellStyle name="40 % - Aksentti3 15 2 2 2 2" xfId="11555" xr:uid="{00000000-0005-0000-0000-00002D240000}"/>
    <cellStyle name="40 % - Aksentti3 15 2 2 2 3" xfId="19332" xr:uid="{00000000-0005-0000-0000-00002E240000}"/>
    <cellStyle name="40 % - Aksentti3 15 2 2 2_DataIX" xfId="30754" xr:uid="{00000000-0005-0000-0000-00002F240000}"/>
    <cellStyle name="40 % - Aksentti3 15 2 2 3" xfId="15877" xr:uid="{00000000-0005-0000-0000-000030240000}"/>
    <cellStyle name="40 % - Aksentti3 15 2 2_060617_hinnat" xfId="23851" xr:uid="{00000000-0005-0000-0000-000031240000}"/>
    <cellStyle name="40 % - Aksentti3 15 2 3" xfId="7679" xr:uid="{00000000-0005-0000-0000-000032240000}"/>
    <cellStyle name="40 % - Aksentti3 15 2 3 2" xfId="11556" xr:uid="{00000000-0005-0000-0000-000033240000}"/>
    <cellStyle name="40 % - Aksentti3 15 2 3 3" xfId="19331" xr:uid="{00000000-0005-0000-0000-000034240000}"/>
    <cellStyle name="40 % - Aksentti3 15 2 3_DataIX" xfId="30755" xr:uid="{00000000-0005-0000-0000-000035240000}"/>
    <cellStyle name="40 % - Aksentti3 15 2 4" xfId="15876" xr:uid="{00000000-0005-0000-0000-000036240000}"/>
    <cellStyle name="40 % - Aksentti3 15 2_060617_hinnat" xfId="23852" xr:uid="{00000000-0005-0000-0000-000037240000}"/>
    <cellStyle name="40 % - Aksentti3 15 3" xfId="2358" xr:uid="{00000000-0005-0000-0000-000038240000}"/>
    <cellStyle name="40 % - Aksentti3 15 3 2" xfId="7681" xr:uid="{00000000-0005-0000-0000-000039240000}"/>
    <cellStyle name="40 % - Aksentti3 15 3 2 2" xfId="11557" xr:uid="{00000000-0005-0000-0000-00003A240000}"/>
    <cellStyle name="40 % - Aksentti3 15 3 2 3" xfId="19333" xr:uid="{00000000-0005-0000-0000-00003B240000}"/>
    <cellStyle name="40 % - Aksentti3 15 3 2_DataIX" xfId="30756" xr:uid="{00000000-0005-0000-0000-00003C240000}"/>
    <cellStyle name="40 % - Aksentti3 15 3 3" xfId="15878" xr:uid="{00000000-0005-0000-0000-00003D240000}"/>
    <cellStyle name="40 % - Aksentti3 15 3_060617_hinnat" xfId="23853" xr:uid="{00000000-0005-0000-0000-00003E240000}"/>
    <cellStyle name="40 % - Aksentti3 15 4" xfId="2359" xr:uid="{00000000-0005-0000-0000-00003F240000}"/>
    <cellStyle name="40 % - Aksentti3 15 4 2" xfId="7682" xr:uid="{00000000-0005-0000-0000-000040240000}"/>
    <cellStyle name="40 % - Aksentti3 15 4 2 2" xfId="11558" xr:uid="{00000000-0005-0000-0000-000041240000}"/>
    <cellStyle name="40 % - Aksentti3 15 4 2 3" xfId="19334" xr:uid="{00000000-0005-0000-0000-000042240000}"/>
    <cellStyle name="40 % - Aksentti3 15 4 2_DataIX" xfId="30757" xr:uid="{00000000-0005-0000-0000-000043240000}"/>
    <cellStyle name="40 % - Aksentti3 15 4 3" xfId="15879" xr:uid="{00000000-0005-0000-0000-000044240000}"/>
    <cellStyle name="40 % - Aksentti3 15 4_060617_hinnat" xfId="23854" xr:uid="{00000000-0005-0000-0000-000045240000}"/>
    <cellStyle name="40 % - Aksentti3 15 5" xfId="2360" xr:uid="{00000000-0005-0000-0000-000046240000}"/>
    <cellStyle name="40 % - Aksentti3 15 5 2" xfId="7683" xr:uid="{00000000-0005-0000-0000-000047240000}"/>
    <cellStyle name="40 % - Aksentti3 15 5 2 2" xfId="11559" xr:uid="{00000000-0005-0000-0000-000048240000}"/>
    <cellStyle name="40 % - Aksentti3 15 5 2 3" xfId="19335" xr:uid="{00000000-0005-0000-0000-000049240000}"/>
    <cellStyle name="40 % - Aksentti3 15 5 2_DataIX" xfId="30758" xr:uid="{00000000-0005-0000-0000-00004A240000}"/>
    <cellStyle name="40 % - Aksentti3 15 5 3" xfId="15880" xr:uid="{00000000-0005-0000-0000-00004B240000}"/>
    <cellStyle name="40 % - Aksentti3 15 5_060617_hinnat" xfId="23855" xr:uid="{00000000-0005-0000-0000-00004C240000}"/>
    <cellStyle name="40 % - Aksentti3 15 6" xfId="2361" xr:uid="{00000000-0005-0000-0000-00004D240000}"/>
    <cellStyle name="40 % - Aksentti3 15 6 2" xfId="7684" xr:uid="{00000000-0005-0000-0000-00004E240000}"/>
    <cellStyle name="40 % - Aksentti3 15 6 2 2" xfId="11560" xr:uid="{00000000-0005-0000-0000-00004F240000}"/>
    <cellStyle name="40 % - Aksentti3 15 6 2 3" xfId="19336" xr:uid="{00000000-0005-0000-0000-000050240000}"/>
    <cellStyle name="40 % - Aksentti3 15 6 2_DataIX" xfId="30759" xr:uid="{00000000-0005-0000-0000-000051240000}"/>
    <cellStyle name="40 % - Aksentti3 15 6 3" xfId="15881" xr:uid="{00000000-0005-0000-0000-000052240000}"/>
    <cellStyle name="40 % - Aksentti3 15 6_060617_hinnat" xfId="23856" xr:uid="{00000000-0005-0000-0000-000053240000}"/>
    <cellStyle name="40 % - Aksentti3 15 7" xfId="2362" xr:uid="{00000000-0005-0000-0000-000054240000}"/>
    <cellStyle name="40 % - Aksentti3 15 7 2" xfId="7685" xr:uid="{00000000-0005-0000-0000-000055240000}"/>
    <cellStyle name="40 % - Aksentti3 15 7 2 2" xfId="11561" xr:uid="{00000000-0005-0000-0000-000056240000}"/>
    <cellStyle name="40 % - Aksentti3 15 7 2 3" xfId="19337" xr:uid="{00000000-0005-0000-0000-000057240000}"/>
    <cellStyle name="40 % - Aksentti3 15 7 2_DataIX" xfId="30760" xr:uid="{00000000-0005-0000-0000-000058240000}"/>
    <cellStyle name="40 % - Aksentti3 15 7 3" xfId="15882" xr:uid="{00000000-0005-0000-0000-000059240000}"/>
    <cellStyle name="40 % - Aksentti3 15 7_060617_hinnat" xfId="23857" xr:uid="{00000000-0005-0000-0000-00005A240000}"/>
    <cellStyle name="40 % - Aksentti3 15 8" xfId="2363" xr:uid="{00000000-0005-0000-0000-00005B240000}"/>
    <cellStyle name="40 % - Aksentti3 15 8 2" xfId="7686" xr:uid="{00000000-0005-0000-0000-00005C240000}"/>
    <cellStyle name="40 % - Aksentti3 15 8 2 2" xfId="11562" xr:uid="{00000000-0005-0000-0000-00005D240000}"/>
    <cellStyle name="40 % - Aksentti3 15 8 2 3" xfId="19338" xr:uid="{00000000-0005-0000-0000-00005E240000}"/>
    <cellStyle name="40 % - Aksentti3 15 8 2_DataIX" xfId="30761" xr:uid="{00000000-0005-0000-0000-00005F240000}"/>
    <cellStyle name="40 % - Aksentti3 15 8 3" xfId="15883" xr:uid="{00000000-0005-0000-0000-000060240000}"/>
    <cellStyle name="40 % - Aksentti3 15 8_060617_hinnat" xfId="23858" xr:uid="{00000000-0005-0000-0000-000061240000}"/>
    <cellStyle name="40 % - Aksentti3 15 9" xfId="2364" xr:uid="{00000000-0005-0000-0000-000062240000}"/>
    <cellStyle name="40 % - Aksentti3 15 9 2" xfId="7687" xr:uid="{00000000-0005-0000-0000-000063240000}"/>
    <cellStyle name="40 % - Aksentti3 15 9 2 2" xfId="11563" xr:uid="{00000000-0005-0000-0000-000064240000}"/>
    <cellStyle name="40 % - Aksentti3 15 9 2 3" xfId="19339" xr:uid="{00000000-0005-0000-0000-000065240000}"/>
    <cellStyle name="40 % - Aksentti3 15 9 2_DataIX" xfId="30762" xr:uid="{00000000-0005-0000-0000-000066240000}"/>
    <cellStyle name="40 % - Aksentti3 15 9 3" xfId="15884" xr:uid="{00000000-0005-0000-0000-000067240000}"/>
    <cellStyle name="40 % - Aksentti3 15 9_060617_hinnat" xfId="23859" xr:uid="{00000000-0005-0000-0000-000068240000}"/>
    <cellStyle name="40 % - Aksentti3 15_060617_hinnat" xfId="23860" xr:uid="{00000000-0005-0000-0000-000069240000}"/>
    <cellStyle name="40 % - Aksentti3 16" xfId="2365" xr:uid="{00000000-0005-0000-0000-00006A240000}"/>
    <cellStyle name="40 % - Aksentti3 16 2" xfId="7688" xr:uid="{00000000-0005-0000-0000-00006B240000}"/>
    <cellStyle name="40 % - Aksentti3 16 2 2" xfId="11564" xr:uid="{00000000-0005-0000-0000-00006C240000}"/>
    <cellStyle name="40 % - Aksentti3 16 2 3" xfId="19340" xr:uid="{00000000-0005-0000-0000-00006D240000}"/>
    <cellStyle name="40 % - Aksentti3 16 2_DataIX" xfId="30763" xr:uid="{00000000-0005-0000-0000-00006E240000}"/>
    <cellStyle name="40 % - Aksentti3 16 3" xfId="15885" xr:uid="{00000000-0005-0000-0000-00006F240000}"/>
    <cellStyle name="40 % - Aksentti3 16_060617_hinnat" xfId="23861" xr:uid="{00000000-0005-0000-0000-000070240000}"/>
    <cellStyle name="40 % - Aksentti3 17" xfId="2366" xr:uid="{00000000-0005-0000-0000-000071240000}"/>
    <cellStyle name="40 % - Aksentti3 17 2" xfId="7689" xr:uid="{00000000-0005-0000-0000-000072240000}"/>
    <cellStyle name="40 % - Aksentti3 17 2 2" xfId="11565" xr:uid="{00000000-0005-0000-0000-000073240000}"/>
    <cellStyle name="40 % - Aksentti3 17 2 3" xfId="19341" xr:uid="{00000000-0005-0000-0000-000074240000}"/>
    <cellStyle name="40 % - Aksentti3 17 2_DataIX" xfId="30764" xr:uid="{00000000-0005-0000-0000-000075240000}"/>
    <cellStyle name="40 % - Aksentti3 17 3" xfId="15886" xr:uid="{00000000-0005-0000-0000-000076240000}"/>
    <cellStyle name="40 % - Aksentti3 17_060617_hinnat" xfId="23862" xr:uid="{00000000-0005-0000-0000-000077240000}"/>
    <cellStyle name="40 % - Aksentti3 18" xfId="2367" xr:uid="{00000000-0005-0000-0000-000078240000}"/>
    <cellStyle name="40 % - Aksentti3 18 2" xfId="7690" xr:uid="{00000000-0005-0000-0000-000079240000}"/>
    <cellStyle name="40 % - Aksentti3 18 2 2" xfId="11566" xr:uid="{00000000-0005-0000-0000-00007A240000}"/>
    <cellStyle name="40 % - Aksentti3 18 2 3" xfId="19342" xr:uid="{00000000-0005-0000-0000-00007B240000}"/>
    <cellStyle name="40 % - Aksentti3 18 2_DataIX" xfId="30765" xr:uid="{00000000-0005-0000-0000-00007C240000}"/>
    <cellStyle name="40 % - Aksentti3 18 3" xfId="15887" xr:uid="{00000000-0005-0000-0000-00007D240000}"/>
    <cellStyle name="40 % - Aksentti3 18_060617_hinnat" xfId="23863" xr:uid="{00000000-0005-0000-0000-00007E240000}"/>
    <cellStyle name="40 % - Aksentti3 19" xfId="2368" xr:uid="{00000000-0005-0000-0000-00007F240000}"/>
    <cellStyle name="40 % - Aksentti3 19 2" xfId="7691" xr:uid="{00000000-0005-0000-0000-000080240000}"/>
    <cellStyle name="40 % - Aksentti3 19 2 2" xfId="11567" xr:uid="{00000000-0005-0000-0000-000081240000}"/>
    <cellStyle name="40 % - Aksentti3 19 2 3" xfId="19343" xr:uid="{00000000-0005-0000-0000-000082240000}"/>
    <cellStyle name="40 % - Aksentti3 19 2_DataIX" xfId="30766" xr:uid="{00000000-0005-0000-0000-000083240000}"/>
    <cellStyle name="40 % - Aksentti3 19 3" xfId="15888" xr:uid="{00000000-0005-0000-0000-000084240000}"/>
    <cellStyle name="40 % - Aksentti3 19_060617_hinnat" xfId="23864" xr:uid="{00000000-0005-0000-0000-000085240000}"/>
    <cellStyle name="40 % - Aksentti3 2" xfId="23" xr:uid="{00000000-0005-0000-0000-000086240000}"/>
    <cellStyle name="40 % - Aksentti3 2 10" xfId="2370" xr:uid="{00000000-0005-0000-0000-000087240000}"/>
    <cellStyle name="40 % - Aksentti3 2 10 2" xfId="7693" xr:uid="{00000000-0005-0000-0000-000088240000}"/>
    <cellStyle name="40 % - Aksentti3 2 10 2 2" xfId="11568" xr:uid="{00000000-0005-0000-0000-000089240000}"/>
    <cellStyle name="40 % - Aksentti3 2 10 2 3" xfId="19344" xr:uid="{00000000-0005-0000-0000-00008A240000}"/>
    <cellStyle name="40 % - Aksentti3 2 10 2_DataIX" xfId="30767" xr:uid="{00000000-0005-0000-0000-00008B240000}"/>
    <cellStyle name="40 % - Aksentti3 2 10 3" xfId="15890" xr:uid="{00000000-0005-0000-0000-00008C240000}"/>
    <cellStyle name="40 % - Aksentti3 2 10_060617_hinnat" xfId="23866" xr:uid="{00000000-0005-0000-0000-00008D240000}"/>
    <cellStyle name="40 % - Aksentti3 2 11" xfId="2369" xr:uid="{00000000-0005-0000-0000-00008E240000}"/>
    <cellStyle name="40 % - Aksentti3 2 11 2" xfId="7694" xr:uid="{00000000-0005-0000-0000-00008F240000}"/>
    <cellStyle name="40 % - Aksentti3 2 11 2 2" xfId="11569" xr:uid="{00000000-0005-0000-0000-000090240000}"/>
    <cellStyle name="40 % - Aksentti3 2 11 2 3" xfId="19345" xr:uid="{00000000-0005-0000-0000-000091240000}"/>
    <cellStyle name="40 % - Aksentti3 2 11 2_DataIX" xfId="30768" xr:uid="{00000000-0005-0000-0000-000092240000}"/>
    <cellStyle name="40 % - Aksentti3 2 11 3" xfId="15889" xr:uid="{00000000-0005-0000-0000-000093240000}"/>
    <cellStyle name="40 % - Aksentti3 2 11_060617_hinnat" xfId="23867" xr:uid="{00000000-0005-0000-0000-000094240000}"/>
    <cellStyle name="40 % - Aksentti3 2 12" xfId="25057" xr:uid="{00000000-0005-0000-0000-000095240000}"/>
    <cellStyle name="40 % - Aksentti3 2 13" xfId="25663" xr:uid="{00000000-0005-0000-0000-000096240000}"/>
    <cellStyle name="40 % - Aksentti3 2 14" xfId="26277" xr:uid="{00000000-0005-0000-0000-000097240000}"/>
    <cellStyle name="40 % - Aksentti3 2 15" xfId="25400" xr:uid="{00000000-0005-0000-0000-000098240000}"/>
    <cellStyle name="40 % - Aksentti3 2 16" xfId="25617" xr:uid="{00000000-0005-0000-0000-000099240000}"/>
    <cellStyle name="40 % - Aksentti3 2 17" xfId="26065" xr:uid="{00000000-0005-0000-0000-00009A240000}"/>
    <cellStyle name="40 % - Aksentti3 2 18" xfId="26036" xr:uid="{00000000-0005-0000-0000-00009B240000}"/>
    <cellStyle name="40 % - Aksentti3 2 19" xfId="26060" xr:uid="{00000000-0005-0000-0000-00009C240000}"/>
    <cellStyle name="40 % - Aksentti3 2 2" xfId="157" xr:uid="{00000000-0005-0000-0000-00009D240000}"/>
    <cellStyle name="40 % - Aksentti3 2 2 10" xfId="2372" xr:uid="{00000000-0005-0000-0000-00009E240000}"/>
    <cellStyle name="40 % - Aksentti3 2 2 10 2" xfId="7696" xr:uid="{00000000-0005-0000-0000-00009F240000}"/>
    <cellStyle name="40 % - Aksentti3 2 2 10 2 2" xfId="11570" xr:uid="{00000000-0005-0000-0000-0000A0240000}"/>
    <cellStyle name="40 % - Aksentti3 2 2 10 2 3" xfId="19346" xr:uid="{00000000-0005-0000-0000-0000A1240000}"/>
    <cellStyle name="40 % - Aksentti3 2 2 10 2_DataIX" xfId="30769" xr:uid="{00000000-0005-0000-0000-0000A2240000}"/>
    <cellStyle name="40 % - Aksentti3 2 2 10 3" xfId="15892" xr:uid="{00000000-0005-0000-0000-0000A3240000}"/>
    <cellStyle name="40 % - Aksentti3 2 2 10_060617_hinnat" xfId="23869" xr:uid="{00000000-0005-0000-0000-0000A4240000}"/>
    <cellStyle name="40 % - Aksentti3 2 2 11" xfId="2371" xr:uid="{00000000-0005-0000-0000-0000A5240000}"/>
    <cellStyle name="40 % - Aksentti3 2 2 11 2" xfId="7697" xr:uid="{00000000-0005-0000-0000-0000A6240000}"/>
    <cellStyle name="40 % - Aksentti3 2 2 11 2 2" xfId="11571" xr:uid="{00000000-0005-0000-0000-0000A7240000}"/>
    <cellStyle name="40 % - Aksentti3 2 2 11 2 3" xfId="19347" xr:uid="{00000000-0005-0000-0000-0000A8240000}"/>
    <cellStyle name="40 % - Aksentti3 2 2 11 2_DataIX" xfId="30770" xr:uid="{00000000-0005-0000-0000-0000A9240000}"/>
    <cellStyle name="40 % - Aksentti3 2 2 11 3" xfId="15891" xr:uid="{00000000-0005-0000-0000-0000AA240000}"/>
    <cellStyle name="40 % - Aksentti3 2 2 11_060617_hinnat" xfId="23870" xr:uid="{00000000-0005-0000-0000-0000AB240000}"/>
    <cellStyle name="40 % - Aksentti3 2 2 12" xfId="25080" xr:uid="{00000000-0005-0000-0000-0000AC240000}"/>
    <cellStyle name="40 % - Aksentti3 2 2 13" xfId="26180" xr:uid="{00000000-0005-0000-0000-0000AD240000}"/>
    <cellStyle name="40 % - Aksentti3 2 2 14" xfId="26282" xr:uid="{00000000-0005-0000-0000-0000AE240000}"/>
    <cellStyle name="40 % - Aksentti3 2 2 15" xfId="25399" xr:uid="{00000000-0005-0000-0000-0000AF240000}"/>
    <cellStyle name="40 % - Aksentti3 2 2 16" xfId="25680" xr:uid="{00000000-0005-0000-0000-0000B0240000}"/>
    <cellStyle name="40 % - Aksentti3 2 2 17" xfId="25303" xr:uid="{00000000-0005-0000-0000-0000B1240000}"/>
    <cellStyle name="40 % - Aksentti3 2 2 18" xfId="25535" xr:uid="{00000000-0005-0000-0000-0000B2240000}"/>
    <cellStyle name="40 % - Aksentti3 2 2 19" xfId="25296" xr:uid="{00000000-0005-0000-0000-0000B3240000}"/>
    <cellStyle name="40 % - Aksentti3 2 2 2" xfId="378" xr:uid="{00000000-0005-0000-0000-0000B4240000}"/>
    <cellStyle name="40 % - Aksentti3 2 2 2 10" xfId="11219" xr:uid="{00000000-0005-0000-0000-0000B5240000}"/>
    <cellStyle name="40 % - Aksentti3 2 2 2 2" xfId="2374" xr:uid="{00000000-0005-0000-0000-0000B6240000}"/>
    <cellStyle name="40 % - Aksentti3 2 2 2 2 2" xfId="7699" xr:uid="{00000000-0005-0000-0000-0000B7240000}"/>
    <cellStyle name="40 % - Aksentti3 2 2 2 2 2 2" xfId="11572" xr:uid="{00000000-0005-0000-0000-0000B8240000}"/>
    <cellStyle name="40 % - Aksentti3 2 2 2 2 2 3" xfId="19348" xr:uid="{00000000-0005-0000-0000-0000B9240000}"/>
    <cellStyle name="40 % - Aksentti3 2 2 2 2 2_DataIX" xfId="30771" xr:uid="{00000000-0005-0000-0000-0000BA240000}"/>
    <cellStyle name="40 % - Aksentti3 2 2 2 2 3" xfId="15894" xr:uid="{00000000-0005-0000-0000-0000BB240000}"/>
    <cellStyle name="40 % - Aksentti3 2 2 2 2_060617_hinnat" xfId="23871" xr:uid="{00000000-0005-0000-0000-0000BC240000}"/>
    <cellStyle name="40 % - Aksentti3 2 2 2 3" xfId="2373" xr:uid="{00000000-0005-0000-0000-0000BD240000}"/>
    <cellStyle name="40 % - Aksentti3 2 2 2 3 2" xfId="7700" xr:uid="{00000000-0005-0000-0000-0000BE240000}"/>
    <cellStyle name="40 % - Aksentti3 2 2 2 3 2 2" xfId="11573" xr:uid="{00000000-0005-0000-0000-0000BF240000}"/>
    <cellStyle name="40 % - Aksentti3 2 2 2 3 2 3" xfId="19349" xr:uid="{00000000-0005-0000-0000-0000C0240000}"/>
    <cellStyle name="40 % - Aksentti3 2 2 2 3 2_DataIX" xfId="30772" xr:uid="{00000000-0005-0000-0000-0000C1240000}"/>
    <cellStyle name="40 % - Aksentti3 2 2 2 3 3" xfId="15893" xr:uid="{00000000-0005-0000-0000-0000C2240000}"/>
    <cellStyle name="40 % - Aksentti3 2 2 2 3_060617_hinnat" xfId="23872" xr:uid="{00000000-0005-0000-0000-0000C3240000}"/>
    <cellStyle name="40 % - Aksentti3 2 2 2 4" xfId="10901" xr:uid="{00000000-0005-0000-0000-0000C4240000}"/>
    <cellStyle name="40 % - Aksentti3 2 2 2 5" xfId="11070" xr:uid="{00000000-0005-0000-0000-0000C5240000}"/>
    <cellStyle name="40 % - Aksentti3 2 2 2 6" xfId="11220" xr:uid="{00000000-0005-0000-0000-0000C6240000}"/>
    <cellStyle name="40 % - Aksentti3 2 2 2 7" xfId="13915" xr:uid="{00000000-0005-0000-0000-0000C7240000}"/>
    <cellStyle name="40 % - Aksentti3 2 2 2 8" xfId="20260" xr:uid="{00000000-0005-0000-0000-0000C8240000}"/>
    <cellStyle name="40 % - Aksentti3 2 2 2 9" xfId="13479" xr:uid="{00000000-0005-0000-0000-0000C9240000}"/>
    <cellStyle name="40 % - Aksentti3 2 2 2_##Keskeiset" xfId="7698" xr:uid="{00000000-0005-0000-0000-0000CA240000}"/>
    <cellStyle name="40 % - Aksentti3 2 2 20" xfId="26324" xr:uid="{00000000-0005-0000-0000-0000CB240000}"/>
    <cellStyle name="40 % - Aksentti3 2 2 21" xfId="25879" xr:uid="{00000000-0005-0000-0000-0000CC240000}"/>
    <cellStyle name="40 % - Aksentti3 2 2 22" xfId="26556" xr:uid="{00000000-0005-0000-0000-0000CD240000}"/>
    <cellStyle name="40 % - Aksentti3 2 2 23" xfId="26648" xr:uid="{00000000-0005-0000-0000-0000CE240000}"/>
    <cellStyle name="40 % - Aksentti3 2 2 24" xfId="25986" xr:uid="{00000000-0005-0000-0000-0000CF240000}"/>
    <cellStyle name="40 % - Aksentti3 2 2 25" xfId="26692" xr:uid="{00000000-0005-0000-0000-0000D0240000}"/>
    <cellStyle name="40 % - Aksentti3 2 2 26" xfId="26217" xr:uid="{00000000-0005-0000-0000-0000D1240000}"/>
    <cellStyle name="40 % - Aksentti3 2 2 27" xfId="25533" xr:uid="{00000000-0005-0000-0000-0000D2240000}"/>
    <cellStyle name="40 % - Aksentti3 2 2 28" xfId="23868" xr:uid="{00000000-0005-0000-0000-0000D3240000}"/>
    <cellStyle name="40 % - Aksentti3 2 2 29" xfId="24910" xr:uid="{00000000-0005-0000-0000-0000D4240000}"/>
    <cellStyle name="40 % - Aksentti3 2 2 3" xfId="2375" xr:uid="{00000000-0005-0000-0000-0000D5240000}"/>
    <cellStyle name="40 % - Aksentti3 2 2 3 2" xfId="10902" xr:uid="{00000000-0005-0000-0000-0000D6240000}"/>
    <cellStyle name="40 % - Aksentti3 2 2 3 3" xfId="15895" xr:uid="{00000000-0005-0000-0000-0000D7240000}"/>
    <cellStyle name="40 % - Aksentti3 2 2 3_DataIX" xfId="30773" xr:uid="{00000000-0005-0000-0000-0000D8240000}"/>
    <cellStyle name="40 % - Aksentti3 2 2 30" xfId="23195" xr:uid="{00000000-0005-0000-0000-0000D9240000}"/>
    <cellStyle name="40 % - Aksentti3 2 2 31" xfId="24704" xr:uid="{00000000-0005-0000-0000-0000DA240000}"/>
    <cellStyle name="40 % - Aksentti3 2 2 32" xfId="23197" xr:uid="{00000000-0005-0000-0000-0000DB240000}"/>
    <cellStyle name="40 % - Aksentti3 2 2 33" xfId="24548" xr:uid="{00000000-0005-0000-0000-0000DC240000}"/>
    <cellStyle name="40 % - Aksentti3 2 2 4" xfId="2376" xr:uid="{00000000-0005-0000-0000-0000DD240000}"/>
    <cellStyle name="40 % - Aksentti3 2 2 4 2" xfId="7701" xr:uid="{00000000-0005-0000-0000-0000DE240000}"/>
    <cellStyle name="40 % - Aksentti3 2 2 4 2 2" xfId="11574" xr:uid="{00000000-0005-0000-0000-0000DF240000}"/>
    <cellStyle name="40 % - Aksentti3 2 2 4 2 3" xfId="19350" xr:uid="{00000000-0005-0000-0000-0000E0240000}"/>
    <cellStyle name="40 % - Aksentti3 2 2 4 2_DataIX" xfId="30774" xr:uid="{00000000-0005-0000-0000-0000E1240000}"/>
    <cellStyle name="40 % - Aksentti3 2 2 4 3" xfId="15896" xr:uid="{00000000-0005-0000-0000-0000E2240000}"/>
    <cellStyle name="40 % - Aksentti3 2 2 4_060617_hinnat" xfId="23873" xr:uid="{00000000-0005-0000-0000-0000E3240000}"/>
    <cellStyle name="40 % - Aksentti3 2 2 5" xfId="2377" xr:uid="{00000000-0005-0000-0000-0000E4240000}"/>
    <cellStyle name="40 % - Aksentti3 2 2 5 2" xfId="7702" xr:uid="{00000000-0005-0000-0000-0000E5240000}"/>
    <cellStyle name="40 % - Aksentti3 2 2 5 2 2" xfId="11575" xr:uid="{00000000-0005-0000-0000-0000E6240000}"/>
    <cellStyle name="40 % - Aksentti3 2 2 5 2 3" xfId="19351" xr:uid="{00000000-0005-0000-0000-0000E7240000}"/>
    <cellStyle name="40 % - Aksentti3 2 2 5 2_DataIX" xfId="30775" xr:uid="{00000000-0005-0000-0000-0000E8240000}"/>
    <cellStyle name="40 % - Aksentti3 2 2 5 3" xfId="15897" xr:uid="{00000000-0005-0000-0000-0000E9240000}"/>
    <cellStyle name="40 % - Aksentti3 2 2 5_060617_hinnat" xfId="23874" xr:uid="{00000000-0005-0000-0000-0000EA240000}"/>
    <cellStyle name="40 % - Aksentti3 2 2 6" xfId="2378" xr:uid="{00000000-0005-0000-0000-0000EB240000}"/>
    <cellStyle name="40 % - Aksentti3 2 2 6 2" xfId="7703" xr:uid="{00000000-0005-0000-0000-0000EC240000}"/>
    <cellStyle name="40 % - Aksentti3 2 2 6 2 2" xfId="11576" xr:uid="{00000000-0005-0000-0000-0000ED240000}"/>
    <cellStyle name="40 % - Aksentti3 2 2 6 2 3" xfId="19352" xr:uid="{00000000-0005-0000-0000-0000EE240000}"/>
    <cellStyle name="40 % - Aksentti3 2 2 6 2_DataIX" xfId="30776" xr:uid="{00000000-0005-0000-0000-0000EF240000}"/>
    <cellStyle name="40 % - Aksentti3 2 2 6 3" xfId="15898" xr:uid="{00000000-0005-0000-0000-0000F0240000}"/>
    <cellStyle name="40 % - Aksentti3 2 2 6_060617_hinnat" xfId="23875" xr:uid="{00000000-0005-0000-0000-0000F1240000}"/>
    <cellStyle name="40 % - Aksentti3 2 2 7" xfId="2379" xr:uid="{00000000-0005-0000-0000-0000F2240000}"/>
    <cellStyle name="40 % - Aksentti3 2 2 7 2" xfId="7704" xr:uid="{00000000-0005-0000-0000-0000F3240000}"/>
    <cellStyle name="40 % - Aksentti3 2 2 7 2 2" xfId="11577" xr:uid="{00000000-0005-0000-0000-0000F4240000}"/>
    <cellStyle name="40 % - Aksentti3 2 2 7 2 3" xfId="19353" xr:uid="{00000000-0005-0000-0000-0000F5240000}"/>
    <cellStyle name="40 % - Aksentti3 2 2 7 2_DataIX" xfId="30777" xr:uid="{00000000-0005-0000-0000-0000F6240000}"/>
    <cellStyle name="40 % - Aksentti3 2 2 7 3" xfId="15899" xr:uid="{00000000-0005-0000-0000-0000F7240000}"/>
    <cellStyle name="40 % - Aksentti3 2 2 7_060617_hinnat" xfId="23876" xr:uid="{00000000-0005-0000-0000-0000F8240000}"/>
    <cellStyle name="40 % - Aksentti3 2 2 8" xfId="2380" xr:uid="{00000000-0005-0000-0000-0000F9240000}"/>
    <cellStyle name="40 % - Aksentti3 2 2 8 2" xfId="7705" xr:uid="{00000000-0005-0000-0000-0000FA240000}"/>
    <cellStyle name="40 % - Aksentti3 2 2 8 2 2" xfId="11578" xr:uid="{00000000-0005-0000-0000-0000FB240000}"/>
    <cellStyle name="40 % - Aksentti3 2 2 8 2 3" xfId="19354" xr:uid="{00000000-0005-0000-0000-0000FC240000}"/>
    <cellStyle name="40 % - Aksentti3 2 2 8 2_DataIX" xfId="30778" xr:uid="{00000000-0005-0000-0000-0000FD240000}"/>
    <cellStyle name="40 % - Aksentti3 2 2 8 3" xfId="15900" xr:uid="{00000000-0005-0000-0000-0000FE240000}"/>
    <cellStyle name="40 % - Aksentti3 2 2 8_060617_hinnat" xfId="23877" xr:uid="{00000000-0005-0000-0000-0000FF240000}"/>
    <cellStyle name="40 % - Aksentti3 2 2 9" xfId="2381" xr:uid="{00000000-0005-0000-0000-000000250000}"/>
    <cellStyle name="40 % - Aksentti3 2 2 9 2" xfId="7706" xr:uid="{00000000-0005-0000-0000-000001250000}"/>
    <cellStyle name="40 % - Aksentti3 2 2 9 2 2" xfId="11579" xr:uid="{00000000-0005-0000-0000-000002250000}"/>
    <cellStyle name="40 % - Aksentti3 2 2 9 2 3" xfId="19355" xr:uid="{00000000-0005-0000-0000-000003250000}"/>
    <cellStyle name="40 % - Aksentti3 2 2 9 2_DataIX" xfId="30779" xr:uid="{00000000-0005-0000-0000-000004250000}"/>
    <cellStyle name="40 % - Aksentti3 2 2 9 3" xfId="15901" xr:uid="{00000000-0005-0000-0000-000005250000}"/>
    <cellStyle name="40 % - Aksentti3 2 2 9_060617_hinnat" xfId="23878" xr:uid="{00000000-0005-0000-0000-000006250000}"/>
    <cellStyle name="40 % - Aksentti3 2 2_##Keskeiset" xfId="7695" xr:uid="{00000000-0005-0000-0000-000007250000}"/>
    <cellStyle name="40 % - Aksentti3 2 20" xfId="25916" xr:uid="{00000000-0005-0000-0000-000008250000}"/>
    <cellStyle name="40 % - Aksentti3 2 21" xfId="25587" xr:uid="{00000000-0005-0000-0000-000009250000}"/>
    <cellStyle name="40 % - Aksentti3 2 22" xfId="26066" xr:uid="{00000000-0005-0000-0000-00000A250000}"/>
    <cellStyle name="40 % - Aksentti3 2 23" xfId="26398" xr:uid="{00000000-0005-0000-0000-00000B250000}"/>
    <cellStyle name="40 % - Aksentti3 2 24" xfId="25557" xr:uid="{00000000-0005-0000-0000-00000C250000}"/>
    <cellStyle name="40 % - Aksentti3 2 25" xfId="26376" xr:uid="{00000000-0005-0000-0000-00000D250000}"/>
    <cellStyle name="40 % - Aksentti3 2 26" xfId="26407" xr:uid="{00000000-0005-0000-0000-00000E250000}"/>
    <cellStyle name="40 % - Aksentti3 2 27" xfId="26050" xr:uid="{00000000-0005-0000-0000-00000F250000}"/>
    <cellStyle name="40 % - Aksentti3 2 28" xfId="23865" xr:uid="{00000000-0005-0000-0000-000010250000}"/>
    <cellStyle name="40 % - Aksentti3 2 29" xfId="24912" xr:uid="{00000000-0005-0000-0000-000011250000}"/>
    <cellStyle name="40 % - Aksentti3 2 3" xfId="158" xr:uid="{00000000-0005-0000-0000-000012250000}"/>
    <cellStyle name="40 % - Aksentti3 2 3 2" xfId="2383" xr:uid="{00000000-0005-0000-0000-000013250000}"/>
    <cellStyle name="40 % - Aksentti3 2 3 2 2" xfId="2384" xr:uid="{00000000-0005-0000-0000-000014250000}"/>
    <cellStyle name="40 % - Aksentti3 2 3 2 2 2" xfId="7708" xr:uid="{00000000-0005-0000-0000-000015250000}"/>
    <cellStyle name="40 % - Aksentti3 2 3 2 2 2 2" xfId="11580" xr:uid="{00000000-0005-0000-0000-000016250000}"/>
    <cellStyle name="40 % - Aksentti3 2 3 2 2 2 3" xfId="19356" xr:uid="{00000000-0005-0000-0000-000017250000}"/>
    <cellStyle name="40 % - Aksentti3 2 3 2 2 2_DataIX" xfId="30780" xr:uid="{00000000-0005-0000-0000-000018250000}"/>
    <cellStyle name="40 % - Aksentti3 2 3 2 2 3" xfId="15904" xr:uid="{00000000-0005-0000-0000-000019250000}"/>
    <cellStyle name="40 % - Aksentti3 2 3 2 2_060617_hinnat" xfId="23879" xr:uid="{00000000-0005-0000-0000-00001A250000}"/>
    <cellStyle name="40 % - Aksentti3 2 3 2 3" xfId="5506" xr:uid="{00000000-0005-0000-0000-00001B250000}"/>
    <cellStyle name="40 % - Aksentti3 2 3 2 3 2" xfId="11581" xr:uid="{00000000-0005-0000-0000-00001C250000}"/>
    <cellStyle name="40 % - Aksentti3 2 3 2 3 3" xfId="18748" xr:uid="{00000000-0005-0000-0000-00001D250000}"/>
    <cellStyle name="40 % - Aksentti3 2 3 2 3_DataIX" xfId="30781" xr:uid="{00000000-0005-0000-0000-00001E250000}"/>
    <cellStyle name="40 % - Aksentti3 2 3 2 4" xfId="15903" xr:uid="{00000000-0005-0000-0000-00001F250000}"/>
    <cellStyle name="40 % - Aksentti3 2 3 2_##Keskeiset" xfId="7707" xr:uid="{00000000-0005-0000-0000-000020250000}"/>
    <cellStyle name="40 % - Aksentti3 2 3 3" xfId="2385" xr:uid="{00000000-0005-0000-0000-000021250000}"/>
    <cellStyle name="40 % - Aksentti3 2 3 3 2" xfId="7709" xr:uid="{00000000-0005-0000-0000-000022250000}"/>
    <cellStyle name="40 % - Aksentti3 2 3 3 2 2" xfId="11582" xr:uid="{00000000-0005-0000-0000-000023250000}"/>
    <cellStyle name="40 % - Aksentti3 2 3 3 2 3" xfId="19357" xr:uid="{00000000-0005-0000-0000-000024250000}"/>
    <cellStyle name="40 % - Aksentti3 2 3 3 2_DataIX" xfId="30782" xr:uid="{00000000-0005-0000-0000-000025250000}"/>
    <cellStyle name="40 % - Aksentti3 2 3 3 3" xfId="15905" xr:uid="{00000000-0005-0000-0000-000026250000}"/>
    <cellStyle name="40 % - Aksentti3 2 3 3_060617_hinnat" xfId="23880" xr:uid="{00000000-0005-0000-0000-000027250000}"/>
    <cellStyle name="40 % - Aksentti3 2 3 4" xfId="2382" xr:uid="{00000000-0005-0000-0000-000028250000}"/>
    <cellStyle name="40 % - Aksentti3 2 3 4 2" xfId="7710" xr:uid="{00000000-0005-0000-0000-000029250000}"/>
    <cellStyle name="40 % - Aksentti3 2 3 4 2 2" xfId="11583" xr:uid="{00000000-0005-0000-0000-00002A250000}"/>
    <cellStyle name="40 % - Aksentti3 2 3 4 2 3" xfId="19358" xr:uid="{00000000-0005-0000-0000-00002B250000}"/>
    <cellStyle name="40 % - Aksentti3 2 3 4 2_DataIX" xfId="30783" xr:uid="{00000000-0005-0000-0000-00002C250000}"/>
    <cellStyle name="40 % - Aksentti3 2 3 4 3" xfId="15902" xr:uid="{00000000-0005-0000-0000-00002D250000}"/>
    <cellStyle name="40 % - Aksentti3 2 3 4_060617_hinnat" xfId="23881" xr:uid="{00000000-0005-0000-0000-00002E250000}"/>
    <cellStyle name="40 % - Aksentti3 2 3_##Keskeiset" xfId="5505" xr:uid="{00000000-0005-0000-0000-00002F250000}"/>
    <cellStyle name="40 % - Aksentti3 2 30" xfId="23194" xr:uid="{00000000-0005-0000-0000-000030250000}"/>
    <cellStyle name="40 % - Aksentti3 2 31" xfId="24708" xr:uid="{00000000-0005-0000-0000-000031250000}"/>
    <cellStyle name="40 % - Aksentti3 2 32" xfId="23196" xr:uid="{00000000-0005-0000-0000-000032250000}"/>
    <cellStyle name="40 % - Aksentti3 2 33" xfId="24550" xr:uid="{00000000-0005-0000-0000-000033250000}"/>
    <cellStyle name="40 % - Aksentti3 2 4" xfId="2386" xr:uid="{00000000-0005-0000-0000-000034250000}"/>
    <cellStyle name="40 % - Aksentti3 2 4 2" xfId="2387" xr:uid="{00000000-0005-0000-0000-000035250000}"/>
    <cellStyle name="40 % - Aksentti3 2 4 2 2" xfId="2388" xr:uid="{00000000-0005-0000-0000-000036250000}"/>
    <cellStyle name="40 % - Aksentti3 2 4 2 2 2" xfId="7713" xr:uid="{00000000-0005-0000-0000-000037250000}"/>
    <cellStyle name="40 % - Aksentti3 2 4 2 2 2 2" xfId="11584" xr:uid="{00000000-0005-0000-0000-000038250000}"/>
    <cellStyle name="40 % - Aksentti3 2 4 2 2 2 3" xfId="19360" xr:uid="{00000000-0005-0000-0000-000039250000}"/>
    <cellStyle name="40 % - Aksentti3 2 4 2 2 2_DataIX" xfId="30784" xr:uid="{00000000-0005-0000-0000-00003A250000}"/>
    <cellStyle name="40 % - Aksentti3 2 4 2 2 3" xfId="15908" xr:uid="{00000000-0005-0000-0000-00003B250000}"/>
    <cellStyle name="40 % - Aksentti3 2 4 2 2_060617_hinnat" xfId="23882" xr:uid="{00000000-0005-0000-0000-00003C250000}"/>
    <cellStyle name="40 % - Aksentti3 2 4 2 3" xfId="7712" xr:uid="{00000000-0005-0000-0000-00003D250000}"/>
    <cellStyle name="40 % - Aksentti3 2 4 2 3 2" xfId="11585" xr:uid="{00000000-0005-0000-0000-00003E250000}"/>
    <cellStyle name="40 % - Aksentti3 2 4 2 3 3" xfId="19359" xr:uid="{00000000-0005-0000-0000-00003F250000}"/>
    <cellStyle name="40 % - Aksentti3 2 4 2 3_DataIX" xfId="30785" xr:uid="{00000000-0005-0000-0000-000040250000}"/>
    <cellStyle name="40 % - Aksentti3 2 4 2 4" xfId="15907" xr:uid="{00000000-0005-0000-0000-000041250000}"/>
    <cellStyle name="40 % - Aksentti3 2 4 2_060617_hinnat" xfId="23883" xr:uid="{00000000-0005-0000-0000-000042250000}"/>
    <cellStyle name="40 % - Aksentti3 2 4 3" xfId="2389" xr:uid="{00000000-0005-0000-0000-000043250000}"/>
    <cellStyle name="40 % - Aksentti3 2 4 3 2" xfId="7714" xr:uid="{00000000-0005-0000-0000-000044250000}"/>
    <cellStyle name="40 % - Aksentti3 2 4 3 2 2" xfId="11586" xr:uid="{00000000-0005-0000-0000-000045250000}"/>
    <cellStyle name="40 % - Aksentti3 2 4 3 2 3" xfId="19361" xr:uid="{00000000-0005-0000-0000-000046250000}"/>
    <cellStyle name="40 % - Aksentti3 2 4 3 2_DataIX" xfId="30786" xr:uid="{00000000-0005-0000-0000-000047250000}"/>
    <cellStyle name="40 % - Aksentti3 2 4 3 3" xfId="15909" xr:uid="{00000000-0005-0000-0000-000048250000}"/>
    <cellStyle name="40 % - Aksentti3 2 4 3_060617_hinnat" xfId="23884" xr:uid="{00000000-0005-0000-0000-000049250000}"/>
    <cellStyle name="40 % - Aksentti3 2 4 4" xfId="5507" xr:uid="{00000000-0005-0000-0000-00004A250000}"/>
    <cellStyle name="40 % - Aksentti3 2 4 4 2" xfId="11587" xr:uid="{00000000-0005-0000-0000-00004B250000}"/>
    <cellStyle name="40 % - Aksentti3 2 4 4 3" xfId="18749" xr:uid="{00000000-0005-0000-0000-00004C250000}"/>
    <cellStyle name="40 % - Aksentti3 2 4 4_DataIX" xfId="30787" xr:uid="{00000000-0005-0000-0000-00004D250000}"/>
    <cellStyle name="40 % - Aksentti3 2 4 5" xfId="10540" xr:uid="{00000000-0005-0000-0000-00004E250000}"/>
    <cellStyle name="40 % - Aksentti3 2 4 5 2" xfId="11588" xr:uid="{00000000-0005-0000-0000-00004F250000}"/>
    <cellStyle name="40 % - Aksentti3 2 4 5 3" xfId="20322" xr:uid="{00000000-0005-0000-0000-000050250000}"/>
    <cellStyle name="40 % - Aksentti3 2 4 5_DataIX" xfId="30788" xr:uid="{00000000-0005-0000-0000-000051250000}"/>
    <cellStyle name="40 % - Aksentti3 2 4 6" xfId="10608" xr:uid="{00000000-0005-0000-0000-000052250000}"/>
    <cellStyle name="40 % - Aksentti3 2 4 6 2" xfId="11589" xr:uid="{00000000-0005-0000-0000-000053250000}"/>
    <cellStyle name="40 % - Aksentti3 2 4 6 3" xfId="20390" xr:uid="{00000000-0005-0000-0000-000054250000}"/>
    <cellStyle name="40 % - Aksentti3 2 4 6_DataIX" xfId="30789" xr:uid="{00000000-0005-0000-0000-000055250000}"/>
    <cellStyle name="40 % - Aksentti3 2 4 7" xfId="10566" xr:uid="{00000000-0005-0000-0000-000056250000}"/>
    <cellStyle name="40 % - Aksentti3 2 4 7 2" xfId="11590" xr:uid="{00000000-0005-0000-0000-000057250000}"/>
    <cellStyle name="40 % - Aksentti3 2 4 7 3" xfId="20348" xr:uid="{00000000-0005-0000-0000-000058250000}"/>
    <cellStyle name="40 % - Aksentti3 2 4 7_DataIX" xfId="30790" xr:uid="{00000000-0005-0000-0000-000059250000}"/>
    <cellStyle name="40 % - Aksentti3 2 4 8" xfId="10573" xr:uid="{00000000-0005-0000-0000-00005A250000}"/>
    <cellStyle name="40 % - Aksentti3 2 4 8 2" xfId="11591" xr:uid="{00000000-0005-0000-0000-00005B250000}"/>
    <cellStyle name="40 % - Aksentti3 2 4 8 3" xfId="20355" xr:uid="{00000000-0005-0000-0000-00005C250000}"/>
    <cellStyle name="40 % - Aksentti3 2 4 8_DataIX" xfId="30791" xr:uid="{00000000-0005-0000-0000-00005D250000}"/>
    <cellStyle name="40 % - Aksentti3 2 4 9" xfId="15906" xr:uid="{00000000-0005-0000-0000-00005E250000}"/>
    <cellStyle name="40 % - Aksentti3 2 4_##Keskeiset" xfId="7711" xr:uid="{00000000-0005-0000-0000-00005F250000}"/>
    <cellStyle name="40 % - Aksentti3 2 5" xfId="2390" xr:uid="{00000000-0005-0000-0000-000060250000}"/>
    <cellStyle name="40 % - Aksentti3 2 5 2" xfId="2391" xr:uid="{00000000-0005-0000-0000-000061250000}"/>
    <cellStyle name="40 % - Aksentti3 2 5 2 2" xfId="7716" xr:uid="{00000000-0005-0000-0000-000062250000}"/>
    <cellStyle name="40 % - Aksentti3 2 5 2 2 2" xfId="11592" xr:uid="{00000000-0005-0000-0000-000063250000}"/>
    <cellStyle name="40 % - Aksentti3 2 5 2 2 3" xfId="19363" xr:uid="{00000000-0005-0000-0000-000064250000}"/>
    <cellStyle name="40 % - Aksentti3 2 5 2 2_DataIX" xfId="30792" xr:uid="{00000000-0005-0000-0000-000065250000}"/>
    <cellStyle name="40 % - Aksentti3 2 5 2 3" xfId="15911" xr:uid="{00000000-0005-0000-0000-000066250000}"/>
    <cellStyle name="40 % - Aksentti3 2 5 2_060617_hinnat" xfId="23885" xr:uid="{00000000-0005-0000-0000-000067250000}"/>
    <cellStyle name="40 % - Aksentti3 2 5 3" xfId="7715" xr:uid="{00000000-0005-0000-0000-000068250000}"/>
    <cellStyle name="40 % - Aksentti3 2 5 3 2" xfId="11593" xr:uid="{00000000-0005-0000-0000-000069250000}"/>
    <cellStyle name="40 % - Aksentti3 2 5 3 3" xfId="19362" xr:uid="{00000000-0005-0000-0000-00006A250000}"/>
    <cellStyle name="40 % - Aksentti3 2 5 3_DataIX" xfId="30793" xr:uid="{00000000-0005-0000-0000-00006B250000}"/>
    <cellStyle name="40 % - Aksentti3 2 5 4" xfId="15910" xr:uid="{00000000-0005-0000-0000-00006C250000}"/>
    <cellStyle name="40 % - Aksentti3 2 5_060617_hinnat" xfId="23886" xr:uid="{00000000-0005-0000-0000-00006D250000}"/>
    <cellStyle name="40 % - Aksentti3 2 6" xfId="2392" xr:uid="{00000000-0005-0000-0000-00006E250000}"/>
    <cellStyle name="40 % - Aksentti3 2 6 2" xfId="7717" xr:uid="{00000000-0005-0000-0000-00006F250000}"/>
    <cellStyle name="40 % - Aksentti3 2 6 2 2" xfId="11594" xr:uid="{00000000-0005-0000-0000-000070250000}"/>
    <cellStyle name="40 % - Aksentti3 2 6 2 3" xfId="19364" xr:uid="{00000000-0005-0000-0000-000071250000}"/>
    <cellStyle name="40 % - Aksentti3 2 6 2_DataIX" xfId="30794" xr:uid="{00000000-0005-0000-0000-000072250000}"/>
    <cellStyle name="40 % - Aksentti3 2 6 3" xfId="15912" xr:uid="{00000000-0005-0000-0000-000073250000}"/>
    <cellStyle name="40 % - Aksentti3 2 6_060617_hinnat" xfId="23887" xr:uid="{00000000-0005-0000-0000-000074250000}"/>
    <cellStyle name="40 % - Aksentti3 2 7" xfId="2393" xr:uid="{00000000-0005-0000-0000-000075250000}"/>
    <cellStyle name="40 % - Aksentti3 2 7 2" xfId="7718" xr:uid="{00000000-0005-0000-0000-000076250000}"/>
    <cellStyle name="40 % - Aksentti3 2 7 2 2" xfId="11595" xr:uid="{00000000-0005-0000-0000-000077250000}"/>
    <cellStyle name="40 % - Aksentti3 2 7 2 3" xfId="19365" xr:uid="{00000000-0005-0000-0000-000078250000}"/>
    <cellStyle name="40 % - Aksentti3 2 7 2_DataIX" xfId="30795" xr:uid="{00000000-0005-0000-0000-000079250000}"/>
    <cellStyle name="40 % - Aksentti3 2 7 3" xfId="15913" xr:uid="{00000000-0005-0000-0000-00007A250000}"/>
    <cellStyle name="40 % - Aksentti3 2 7_060617_hinnat" xfId="23889" xr:uid="{00000000-0005-0000-0000-00007B250000}"/>
    <cellStyle name="40 % - Aksentti3 2 8" xfId="2394" xr:uid="{00000000-0005-0000-0000-00007C250000}"/>
    <cellStyle name="40 % - Aksentti3 2 8 2" xfId="7719" xr:uid="{00000000-0005-0000-0000-00007D250000}"/>
    <cellStyle name="40 % - Aksentti3 2 8 2 2" xfId="11596" xr:uid="{00000000-0005-0000-0000-00007E250000}"/>
    <cellStyle name="40 % - Aksentti3 2 8 2 3" xfId="19366" xr:uid="{00000000-0005-0000-0000-00007F250000}"/>
    <cellStyle name="40 % - Aksentti3 2 8 2_DataIX" xfId="30796" xr:uid="{00000000-0005-0000-0000-000080250000}"/>
    <cellStyle name="40 % - Aksentti3 2 8 3" xfId="15914" xr:uid="{00000000-0005-0000-0000-000081250000}"/>
    <cellStyle name="40 % - Aksentti3 2 8_060617_hinnat" xfId="23890" xr:uid="{00000000-0005-0000-0000-000082250000}"/>
    <cellStyle name="40 % - Aksentti3 2 9" xfId="2395" xr:uid="{00000000-0005-0000-0000-000083250000}"/>
    <cellStyle name="40 % - Aksentti3 2 9 2" xfId="7720" xr:uid="{00000000-0005-0000-0000-000084250000}"/>
    <cellStyle name="40 % - Aksentti3 2 9 2 2" xfId="11597" xr:uid="{00000000-0005-0000-0000-000085250000}"/>
    <cellStyle name="40 % - Aksentti3 2 9 2 3" xfId="19367" xr:uid="{00000000-0005-0000-0000-000086250000}"/>
    <cellStyle name="40 % - Aksentti3 2 9 2_DataIX" xfId="30797" xr:uid="{00000000-0005-0000-0000-000087250000}"/>
    <cellStyle name="40 % - Aksentti3 2 9 3" xfId="15915" xr:uid="{00000000-0005-0000-0000-000088250000}"/>
    <cellStyle name="40 % - Aksentti3 2 9_060617_hinnat" xfId="23891" xr:uid="{00000000-0005-0000-0000-000089250000}"/>
    <cellStyle name="40 % - Aksentti3 2_##Keskeiset" xfId="7692" xr:uid="{00000000-0005-0000-0000-00008A250000}"/>
    <cellStyle name="40 % - Aksentti3 20" xfId="2396" xr:uid="{00000000-0005-0000-0000-00008B250000}"/>
    <cellStyle name="40 % - Aksentti3 20 2" xfId="7721" xr:uid="{00000000-0005-0000-0000-00008C250000}"/>
    <cellStyle name="40 % - Aksentti3 20 2 2" xfId="11598" xr:uid="{00000000-0005-0000-0000-00008D250000}"/>
    <cellStyle name="40 % - Aksentti3 20 2 3" xfId="19368" xr:uid="{00000000-0005-0000-0000-00008E250000}"/>
    <cellStyle name="40 % - Aksentti3 20 2_DataIX" xfId="30798" xr:uid="{00000000-0005-0000-0000-00008F250000}"/>
    <cellStyle name="40 % - Aksentti3 20 3" xfId="15916" xr:uid="{00000000-0005-0000-0000-000090250000}"/>
    <cellStyle name="40 % - Aksentti3 20_060617_hinnat" xfId="23892" xr:uid="{00000000-0005-0000-0000-000091250000}"/>
    <cellStyle name="40 % - Aksentti3 21" xfId="2397" xr:uid="{00000000-0005-0000-0000-000092250000}"/>
    <cellStyle name="40 % - Aksentti3 21 2" xfId="7722" xr:uid="{00000000-0005-0000-0000-000093250000}"/>
    <cellStyle name="40 % - Aksentti3 21 2 2" xfId="11599" xr:uid="{00000000-0005-0000-0000-000094250000}"/>
    <cellStyle name="40 % - Aksentti3 21 2 3" xfId="19369" xr:uid="{00000000-0005-0000-0000-000095250000}"/>
    <cellStyle name="40 % - Aksentti3 21 2_DataIX" xfId="30799" xr:uid="{00000000-0005-0000-0000-000096250000}"/>
    <cellStyle name="40 % - Aksentti3 21 3" xfId="15917" xr:uid="{00000000-0005-0000-0000-000097250000}"/>
    <cellStyle name="40 % - Aksentti3 21_060617_hinnat" xfId="23893" xr:uid="{00000000-0005-0000-0000-000098250000}"/>
    <cellStyle name="40 % - Aksentti3 22" xfId="2398" xr:uid="{00000000-0005-0000-0000-000099250000}"/>
    <cellStyle name="40 % - Aksentti3 22 2" xfId="7723" xr:uid="{00000000-0005-0000-0000-00009A250000}"/>
    <cellStyle name="40 % - Aksentti3 22 2 2" xfId="11600" xr:uid="{00000000-0005-0000-0000-00009B250000}"/>
    <cellStyle name="40 % - Aksentti3 22 2 3" xfId="19370" xr:uid="{00000000-0005-0000-0000-00009C250000}"/>
    <cellStyle name="40 % - Aksentti3 22 2_DataIX" xfId="30800" xr:uid="{00000000-0005-0000-0000-00009D250000}"/>
    <cellStyle name="40 % - Aksentti3 22 3" xfId="15918" xr:uid="{00000000-0005-0000-0000-00009E250000}"/>
    <cellStyle name="40 % - Aksentti3 22_060617_hinnat" xfId="23894" xr:uid="{00000000-0005-0000-0000-00009F250000}"/>
    <cellStyle name="40 % - Aksentti3 23" xfId="2399" xr:uid="{00000000-0005-0000-0000-0000A0250000}"/>
    <cellStyle name="40 % - Aksentti3 23 2" xfId="7724" xr:uid="{00000000-0005-0000-0000-0000A1250000}"/>
    <cellStyle name="40 % - Aksentti3 23 2 2" xfId="11601" xr:uid="{00000000-0005-0000-0000-0000A2250000}"/>
    <cellStyle name="40 % - Aksentti3 23 2 3" xfId="19371" xr:uid="{00000000-0005-0000-0000-0000A3250000}"/>
    <cellStyle name="40 % - Aksentti3 23 2_DataIX" xfId="30801" xr:uid="{00000000-0005-0000-0000-0000A4250000}"/>
    <cellStyle name="40 % - Aksentti3 23 3" xfId="15919" xr:uid="{00000000-0005-0000-0000-0000A5250000}"/>
    <cellStyle name="40 % - Aksentti3 23_060617_hinnat" xfId="23895" xr:uid="{00000000-0005-0000-0000-0000A6250000}"/>
    <cellStyle name="40 % - Aksentti3 24" xfId="2400" xr:uid="{00000000-0005-0000-0000-0000A7250000}"/>
    <cellStyle name="40 % - Aksentti3 24 2" xfId="7725" xr:uid="{00000000-0005-0000-0000-0000A8250000}"/>
    <cellStyle name="40 % - Aksentti3 24 2 2" xfId="11602" xr:uid="{00000000-0005-0000-0000-0000A9250000}"/>
    <cellStyle name="40 % - Aksentti3 24 2 3" xfId="19372" xr:uid="{00000000-0005-0000-0000-0000AA250000}"/>
    <cellStyle name="40 % - Aksentti3 24 2_DataIX" xfId="30802" xr:uid="{00000000-0005-0000-0000-0000AB250000}"/>
    <cellStyle name="40 % - Aksentti3 24 3" xfId="15920" xr:uid="{00000000-0005-0000-0000-0000AC250000}"/>
    <cellStyle name="40 % - Aksentti3 24_060617_hinnat" xfId="23897" xr:uid="{00000000-0005-0000-0000-0000AD250000}"/>
    <cellStyle name="40 % - Aksentti3 25" xfId="2401" xr:uid="{00000000-0005-0000-0000-0000AE250000}"/>
    <cellStyle name="40 % - Aksentti3 25 2" xfId="7726" xr:uid="{00000000-0005-0000-0000-0000AF250000}"/>
    <cellStyle name="40 % - Aksentti3 25 2 2" xfId="11603" xr:uid="{00000000-0005-0000-0000-0000B0250000}"/>
    <cellStyle name="40 % - Aksentti3 25 2 3" xfId="19373" xr:uid="{00000000-0005-0000-0000-0000B1250000}"/>
    <cellStyle name="40 % - Aksentti3 25 2_DataIX" xfId="30803" xr:uid="{00000000-0005-0000-0000-0000B2250000}"/>
    <cellStyle name="40 % - Aksentti3 25 3" xfId="15921" xr:uid="{00000000-0005-0000-0000-0000B3250000}"/>
    <cellStyle name="40 % - Aksentti3 25_060617_hinnat" xfId="23899" xr:uid="{00000000-0005-0000-0000-0000B4250000}"/>
    <cellStyle name="40 % - Aksentti3 26" xfId="2402" xr:uid="{00000000-0005-0000-0000-0000B5250000}"/>
    <cellStyle name="40 % - Aksentti3 26 2" xfId="7727" xr:uid="{00000000-0005-0000-0000-0000B6250000}"/>
    <cellStyle name="40 % - Aksentti3 26 2 2" xfId="11604" xr:uid="{00000000-0005-0000-0000-0000B7250000}"/>
    <cellStyle name="40 % - Aksentti3 26 2 3" xfId="19374" xr:uid="{00000000-0005-0000-0000-0000B8250000}"/>
    <cellStyle name="40 % - Aksentti3 26 2_DataIX" xfId="30804" xr:uid="{00000000-0005-0000-0000-0000B9250000}"/>
    <cellStyle name="40 % - Aksentti3 26 3" xfId="15922" xr:uid="{00000000-0005-0000-0000-0000BA250000}"/>
    <cellStyle name="40 % - Aksentti3 26_060617_hinnat" xfId="23900" xr:uid="{00000000-0005-0000-0000-0000BB250000}"/>
    <cellStyle name="40 % - Aksentti3 27" xfId="2403" xr:uid="{00000000-0005-0000-0000-0000BC250000}"/>
    <cellStyle name="40 % - Aksentti3 27 2" xfId="7728" xr:uid="{00000000-0005-0000-0000-0000BD250000}"/>
    <cellStyle name="40 % - Aksentti3 27 2 2" xfId="11605" xr:uid="{00000000-0005-0000-0000-0000BE250000}"/>
    <cellStyle name="40 % - Aksentti3 27 2 3" xfId="19375" xr:uid="{00000000-0005-0000-0000-0000BF250000}"/>
    <cellStyle name="40 % - Aksentti3 27 2_DataIX" xfId="30805" xr:uid="{00000000-0005-0000-0000-0000C0250000}"/>
    <cellStyle name="40 % - Aksentti3 27 3" xfId="15923" xr:uid="{00000000-0005-0000-0000-0000C1250000}"/>
    <cellStyle name="40 % - Aksentti3 27_060617_hinnat" xfId="23901" xr:uid="{00000000-0005-0000-0000-0000C2250000}"/>
    <cellStyle name="40 % - Aksentti3 28" xfId="2404" xr:uid="{00000000-0005-0000-0000-0000C3250000}"/>
    <cellStyle name="40 % - Aksentti3 28 2" xfId="7729" xr:uid="{00000000-0005-0000-0000-0000C4250000}"/>
    <cellStyle name="40 % - Aksentti3 28 2 2" xfId="11606" xr:uid="{00000000-0005-0000-0000-0000C5250000}"/>
    <cellStyle name="40 % - Aksentti3 28 2 3" xfId="19376" xr:uid="{00000000-0005-0000-0000-0000C6250000}"/>
    <cellStyle name="40 % - Aksentti3 28 2_DataIX" xfId="30806" xr:uid="{00000000-0005-0000-0000-0000C7250000}"/>
    <cellStyle name="40 % - Aksentti3 28 3" xfId="15924" xr:uid="{00000000-0005-0000-0000-0000C8250000}"/>
    <cellStyle name="40 % - Aksentti3 28_060617_hinnat" xfId="23903" xr:uid="{00000000-0005-0000-0000-0000C9250000}"/>
    <cellStyle name="40 % - Aksentti3 29" xfId="10648" xr:uid="{00000000-0005-0000-0000-0000CA250000}"/>
    <cellStyle name="40 % - Aksentti3 29 2" xfId="27766" xr:uid="{00000000-0005-0000-0000-0000CB250000}"/>
    <cellStyle name="40 % - Aksentti3 29_DataIX" xfId="30807" xr:uid="{00000000-0005-0000-0000-0000CC250000}"/>
    <cellStyle name="40 % - Aksentti3 3" xfId="156" xr:uid="{00000000-0005-0000-0000-0000CD250000}"/>
    <cellStyle name="40 % - Aksentti3 3 10" xfId="2406" xr:uid="{00000000-0005-0000-0000-0000CE250000}"/>
    <cellStyle name="40 % - Aksentti3 3 10 2" xfId="7730" xr:uid="{00000000-0005-0000-0000-0000CF250000}"/>
    <cellStyle name="40 % - Aksentti3 3 10 2 2" xfId="11607" xr:uid="{00000000-0005-0000-0000-0000D0250000}"/>
    <cellStyle name="40 % - Aksentti3 3 10 2 3" xfId="19377" xr:uid="{00000000-0005-0000-0000-0000D1250000}"/>
    <cellStyle name="40 % - Aksentti3 3 10 2_DataIX" xfId="30808" xr:uid="{00000000-0005-0000-0000-0000D2250000}"/>
    <cellStyle name="40 % - Aksentti3 3 10 3" xfId="15926" xr:uid="{00000000-0005-0000-0000-0000D3250000}"/>
    <cellStyle name="40 % - Aksentti3 3 10_060617_hinnat" xfId="23904" xr:uid="{00000000-0005-0000-0000-0000D4250000}"/>
    <cellStyle name="40 % - Aksentti3 3 11" xfId="2405" xr:uid="{00000000-0005-0000-0000-0000D5250000}"/>
    <cellStyle name="40 % - Aksentti3 3 11 2" xfId="7731" xr:uid="{00000000-0005-0000-0000-0000D6250000}"/>
    <cellStyle name="40 % - Aksentti3 3 11 2 2" xfId="11608" xr:uid="{00000000-0005-0000-0000-0000D7250000}"/>
    <cellStyle name="40 % - Aksentti3 3 11 2 3" xfId="19378" xr:uid="{00000000-0005-0000-0000-0000D8250000}"/>
    <cellStyle name="40 % - Aksentti3 3 11 2_DataIX" xfId="30809" xr:uid="{00000000-0005-0000-0000-0000D9250000}"/>
    <cellStyle name="40 % - Aksentti3 3 11 3" xfId="15925" xr:uid="{00000000-0005-0000-0000-0000DA250000}"/>
    <cellStyle name="40 % - Aksentti3 3 11_060617_hinnat" xfId="23905" xr:uid="{00000000-0005-0000-0000-0000DB250000}"/>
    <cellStyle name="40 % - Aksentti3 3 2" xfId="2407" xr:uid="{00000000-0005-0000-0000-0000DC250000}"/>
    <cellStyle name="40 % - Aksentti3 3 2 10" xfId="2408" xr:uid="{00000000-0005-0000-0000-0000DD250000}"/>
    <cellStyle name="40 % - Aksentti3 3 2 10 2" xfId="7733" xr:uid="{00000000-0005-0000-0000-0000DE250000}"/>
    <cellStyle name="40 % - Aksentti3 3 2 10 2 2" xfId="11609" xr:uid="{00000000-0005-0000-0000-0000DF250000}"/>
    <cellStyle name="40 % - Aksentti3 3 2 10 2 3" xfId="19380" xr:uid="{00000000-0005-0000-0000-0000E0250000}"/>
    <cellStyle name="40 % - Aksentti3 3 2 10 2_DataIX" xfId="30810" xr:uid="{00000000-0005-0000-0000-0000E1250000}"/>
    <cellStyle name="40 % - Aksentti3 3 2 10 3" xfId="15928" xr:uid="{00000000-0005-0000-0000-0000E2250000}"/>
    <cellStyle name="40 % - Aksentti3 3 2 10_060617_hinnat" xfId="23906" xr:uid="{00000000-0005-0000-0000-0000E3250000}"/>
    <cellStyle name="40 % - Aksentti3 3 2 11" xfId="7732" xr:uid="{00000000-0005-0000-0000-0000E4250000}"/>
    <cellStyle name="40 % - Aksentti3 3 2 11 2" xfId="11610" xr:uid="{00000000-0005-0000-0000-0000E5250000}"/>
    <cellStyle name="40 % - Aksentti3 3 2 11 3" xfId="19379" xr:uid="{00000000-0005-0000-0000-0000E6250000}"/>
    <cellStyle name="40 % - Aksentti3 3 2 11_DataIX" xfId="30811" xr:uid="{00000000-0005-0000-0000-0000E7250000}"/>
    <cellStyle name="40 % - Aksentti3 3 2 12" xfId="15927" xr:uid="{00000000-0005-0000-0000-0000E8250000}"/>
    <cellStyle name="40 % - Aksentti3 3 2 2" xfId="2409" xr:uid="{00000000-0005-0000-0000-0000E9250000}"/>
    <cellStyle name="40 % - Aksentti3 3 2 2 2" xfId="2410" xr:uid="{00000000-0005-0000-0000-0000EA250000}"/>
    <cellStyle name="40 % - Aksentti3 3 2 2 2 2" xfId="7735" xr:uid="{00000000-0005-0000-0000-0000EB250000}"/>
    <cellStyle name="40 % - Aksentti3 3 2 2 2 2 2" xfId="11611" xr:uid="{00000000-0005-0000-0000-0000EC250000}"/>
    <cellStyle name="40 % - Aksentti3 3 2 2 2 2 3" xfId="19382" xr:uid="{00000000-0005-0000-0000-0000ED250000}"/>
    <cellStyle name="40 % - Aksentti3 3 2 2 2 2_DataIX" xfId="30812" xr:uid="{00000000-0005-0000-0000-0000EE250000}"/>
    <cellStyle name="40 % - Aksentti3 3 2 2 2 3" xfId="15930" xr:uid="{00000000-0005-0000-0000-0000EF250000}"/>
    <cellStyle name="40 % - Aksentti3 3 2 2 2_060617_hinnat" xfId="23907" xr:uid="{00000000-0005-0000-0000-0000F0250000}"/>
    <cellStyle name="40 % - Aksentti3 3 2 2 3" xfId="7734" xr:uid="{00000000-0005-0000-0000-0000F1250000}"/>
    <cellStyle name="40 % - Aksentti3 3 2 2 3 2" xfId="11612" xr:uid="{00000000-0005-0000-0000-0000F2250000}"/>
    <cellStyle name="40 % - Aksentti3 3 2 2 3 3" xfId="19381" xr:uid="{00000000-0005-0000-0000-0000F3250000}"/>
    <cellStyle name="40 % - Aksentti3 3 2 2 3_DataIX" xfId="30813" xr:uid="{00000000-0005-0000-0000-0000F4250000}"/>
    <cellStyle name="40 % - Aksentti3 3 2 2 4" xfId="15929" xr:uid="{00000000-0005-0000-0000-0000F5250000}"/>
    <cellStyle name="40 % - Aksentti3 3 2 2_060617_hinnat" xfId="23908" xr:uid="{00000000-0005-0000-0000-0000F6250000}"/>
    <cellStyle name="40 % - Aksentti3 3 2 3" xfId="2411" xr:uid="{00000000-0005-0000-0000-0000F7250000}"/>
    <cellStyle name="40 % - Aksentti3 3 2 3 2" xfId="7736" xr:uid="{00000000-0005-0000-0000-0000F8250000}"/>
    <cellStyle name="40 % - Aksentti3 3 2 3 2 2" xfId="11613" xr:uid="{00000000-0005-0000-0000-0000F9250000}"/>
    <cellStyle name="40 % - Aksentti3 3 2 3 2 3" xfId="19383" xr:uid="{00000000-0005-0000-0000-0000FA250000}"/>
    <cellStyle name="40 % - Aksentti3 3 2 3 2_DataIX" xfId="30814" xr:uid="{00000000-0005-0000-0000-0000FB250000}"/>
    <cellStyle name="40 % - Aksentti3 3 2 3 3" xfId="15931" xr:uid="{00000000-0005-0000-0000-0000FC250000}"/>
    <cellStyle name="40 % - Aksentti3 3 2 3_060617_hinnat" xfId="23909" xr:uid="{00000000-0005-0000-0000-0000FD250000}"/>
    <cellStyle name="40 % - Aksentti3 3 2 4" xfId="2412" xr:uid="{00000000-0005-0000-0000-0000FE250000}"/>
    <cellStyle name="40 % - Aksentti3 3 2 4 2" xfId="7737" xr:uid="{00000000-0005-0000-0000-0000FF250000}"/>
    <cellStyle name="40 % - Aksentti3 3 2 4 2 2" xfId="11614" xr:uid="{00000000-0005-0000-0000-000000260000}"/>
    <cellStyle name="40 % - Aksentti3 3 2 4 2 3" xfId="19384" xr:uid="{00000000-0005-0000-0000-000001260000}"/>
    <cellStyle name="40 % - Aksentti3 3 2 4 2_DataIX" xfId="30815" xr:uid="{00000000-0005-0000-0000-000002260000}"/>
    <cellStyle name="40 % - Aksentti3 3 2 4 3" xfId="15932" xr:uid="{00000000-0005-0000-0000-000003260000}"/>
    <cellStyle name="40 % - Aksentti3 3 2 4_060617_hinnat" xfId="23911" xr:uid="{00000000-0005-0000-0000-000004260000}"/>
    <cellStyle name="40 % - Aksentti3 3 2 5" xfId="2413" xr:uid="{00000000-0005-0000-0000-000005260000}"/>
    <cellStyle name="40 % - Aksentti3 3 2 5 2" xfId="7738" xr:uid="{00000000-0005-0000-0000-000006260000}"/>
    <cellStyle name="40 % - Aksentti3 3 2 5 2 2" xfId="11615" xr:uid="{00000000-0005-0000-0000-000007260000}"/>
    <cellStyle name="40 % - Aksentti3 3 2 5 2 3" xfId="19385" xr:uid="{00000000-0005-0000-0000-000008260000}"/>
    <cellStyle name="40 % - Aksentti3 3 2 5 2_DataIX" xfId="30816" xr:uid="{00000000-0005-0000-0000-000009260000}"/>
    <cellStyle name="40 % - Aksentti3 3 2 5 3" xfId="15933" xr:uid="{00000000-0005-0000-0000-00000A260000}"/>
    <cellStyle name="40 % - Aksentti3 3 2 5_060617_hinnat" xfId="23913" xr:uid="{00000000-0005-0000-0000-00000B260000}"/>
    <cellStyle name="40 % - Aksentti3 3 2 6" xfId="2414" xr:uid="{00000000-0005-0000-0000-00000C260000}"/>
    <cellStyle name="40 % - Aksentti3 3 2 6 2" xfId="7739" xr:uid="{00000000-0005-0000-0000-00000D260000}"/>
    <cellStyle name="40 % - Aksentti3 3 2 6 2 2" xfId="11616" xr:uid="{00000000-0005-0000-0000-00000E260000}"/>
    <cellStyle name="40 % - Aksentti3 3 2 6 2 3" xfId="19386" xr:uid="{00000000-0005-0000-0000-00000F260000}"/>
    <cellStyle name="40 % - Aksentti3 3 2 6 2_DataIX" xfId="30817" xr:uid="{00000000-0005-0000-0000-000010260000}"/>
    <cellStyle name="40 % - Aksentti3 3 2 6 3" xfId="15934" xr:uid="{00000000-0005-0000-0000-000011260000}"/>
    <cellStyle name="40 % - Aksentti3 3 2 6_060617_hinnat" xfId="23914" xr:uid="{00000000-0005-0000-0000-000012260000}"/>
    <cellStyle name="40 % - Aksentti3 3 2 7" xfId="2415" xr:uid="{00000000-0005-0000-0000-000013260000}"/>
    <cellStyle name="40 % - Aksentti3 3 2 7 2" xfId="7740" xr:uid="{00000000-0005-0000-0000-000014260000}"/>
    <cellStyle name="40 % - Aksentti3 3 2 7 2 2" xfId="11617" xr:uid="{00000000-0005-0000-0000-000015260000}"/>
    <cellStyle name="40 % - Aksentti3 3 2 7 2 3" xfId="19387" xr:uid="{00000000-0005-0000-0000-000016260000}"/>
    <cellStyle name="40 % - Aksentti3 3 2 7 2_DataIX" xfId="30818" xr:uid="{00000000-0005-0000-0000-000017260000}"/>
    <cellStyle name="40 % - Aksentti3 3 2 7 3" xfId="15935" xr:uid="{00000000-0005-0000-0000-000018260000}"/>
    <cellStyle name="40 % - Aksentti3 3 2 7_060617_hinnat" xfId="23916" xr:uid="{00000000-0005-0000-0000-000019260000}"/>
    <cellStyle name="40 % - Aksentti3 3 2 8" xfId="2416" xr:uid="{00000000-0005-0000-0000-00001A260000}"/>
    <cellStyle name="40 % - Aksentti3 3 2 8 2" xfId="7741" xr:uid="{00000000-0005-0000-0000-00001B260000}"/>
    <cellStyle name="40 % - Aksentti3 3 2 8 2 2" xfId="11618" xr:uid="{00000000-0005-0000-0000-00001C260000}"/>
    <cellStyle name="40 % - Aksentti3 3 2 8 2 3" xfId="19388" xr:uid="{00000000-0005-0000-0000-00001D260000}"/>
    <cellStyle name="40 % - Aksentti3 3 2 8 2_DataIX" xfId="30819" xr:uid="{00000000-0005-0000-0000-00001E260000}"/>
    <cellStyle name="40 % - Aksentti3 3 2 8 3" xfId="15936" xr:uid="{00000000-0005-0000-0000-00001F260000}"/>
    <cellStyle name="40 % - Aksentti3 3 2 8_060617_hinnat" xfId="23917" xr:uid="{00000000-0005-0000-0000-000020260000}"/>
    <cellStyle name="40 % - Aksentti3 3 2 9" xfId="2417" xr:uid="{00000000-0005-0000-0000-000021260000}"/>
    <cellStyle name="40 % - Aksentti3 3 2 9 2" xfId="7742" xr:uid="{00000000-0005-0000-0000-000022260000}"/>
    <cellStyle name="40 % - Aksentti3 3 2 9 2 2" xfId="11619" xr:uid="{00000000-0005-0000-0000-000023260000}"/>
    <cellStyle name="40 % - Aksentti3 3 2 9 2 3" xfId="19389" xr:uid="{00000000-0005-0000-0000-000024260000}"/>
    <cellStyle name="40 % - Aksentti3 3 2 9 2_DataIX" xfId="30820" xr:uid="{00000000-0005-0000-0000-000025260000}"/>
    <cellStyle name="40 % - Aksentti3 3 2 9 3" xfId="15937" xr:uid="{00000000-0005-0000-0000-000026260000}"/>
    <cellStyle name="40 % - Aksentti3 3 2 9_060617_hinnat" xfId="23918" xr:uid="{00000000-0005-0000-0000-000027260000}"/>
    <cellStyle name="40 % - Aksentti3 3 2_060617_hinnat" xfId="23919" xr:uid="{00000000-0005-0000-0000-000028260000}"/>
    <cellStyle name="40 % - Aksentti3 3 3" xfId="2418" xr:uid="{00000000-0005-0000-0000-000029260000}"/>
    <cellStyle name="40 % - Aksentti3 3 3 2" xfId="2419" xr:uid="{00000000-0005-0000-0000-00002A260000}"/>
    <cellStyle name="40 % - Aksentti3 3 3 2 2" xfId="2420" xr:uid="{00000000-0005-0000-0000-00002B260000}"/>
    <cellStyle name="40 % - Aksentti3 3 3 2 2 2" xfId="7745" xr:uid="{00000000-0005-0000-0000-00002C260000}"/>
    <cellStyle name="40 % - Aksentti3 3 3 2 2 2 2" xfId="11620" xr:uid="{00000000-0005-0000-0000-00002D260000}"/>
    <cellStyle name="40 % - Aksentti3 3 3 2 2 2 3" xfId="19392" xr:uid="{00000000-0005-0000-0000-00002E260000}"/>
    <cellStyle name="40 % - Aksentti3 3 3 2 2 2_DataIX" xfId="30821" xr:uid="{00000000-0005-0000-0000-00002F260000}"/>
    <cellStyle name="40 % - Aksentti3 3 3 2 2 3" xfId="15940" xr:uid="{00000000-0005-0000-0000-000030260000}"/>
    <cellStyle name="40 % - Aksentti3 3 3 2 2_060617_hinnat" xfId="23920" xr:uid="{00000000-0005-0000-0000-000031260000}"/>
    <cellStyle name="40 % - Aksentti3 3 3 2 3" xfId="7744" xr:uid="{00000000-0005-0000-0000-000032260000}"/>
    <cellStyle name="40 % - Aksentti3 3 3 2 3 2" xfId="11621" xr:uid="{00000000-0005-0000-0000-000033260000}"/>
    <cellStyle name="40 % - Aksentti3 3 3 2 3 3" xfId="19391" xr:uid="{00000000-0005-0000-0000-000034260000}"/>
    <cellStyle name="40 % - Aksentti3 3 3 2 3_DataIX" xfId="30822" xr:uid="{00000000-0005-0000-0000-000035260000}"/>
    <cellStyle name="40 % - Aksentti3 3 3 2 4" xfId="15939" xr:uid="{00000000-0005-0000-0000-000036260000}"/>
    <cellStyle name="40 % - Aksentti3 3 3 2_060617_hinnat" xfId="23921" xr:uid="{00000000-0005-0000-0000-000037260000}"/>
    <cellStyle name="40 % - Aksentti3 3 3 3" xfId="2421" xr:uid="{00000000-0005-0000-0000-000038260000}"/>
    <cellStyle name="40 % - Aksentti3 3 3 3 2" xfId="7746" xr:uid="{00000000-0005-0000-0000-000039260000}"/>
    <cellStyle name="40 % - Aksentti3 3 3 3 2 2" xfId="11622" xr:uid="{00000000-0005-0000-0000-00003A260000}"/>
    <cellStyle name="40 % - Aksentti3 3 3 3 2 3" xfId="19393" xr:uid="{00000000-0005-0000-0000-00003B260000}"/>
    <cellStyle name="40 % - Aksentti3 3 3 3 2_DataIX" xfId="30823" xr:uid="{00000000-0005-0000-0000-00003C260000}"/>
    <cellStyle name="40 % - Aksentti3 3 3 3 3" xfId="15941" xr:uid="{00000000-0005-0000-0000-00003D260000}"/>
    <cellStyle name="40 % - Aksentti3 3 3 3_060617_hinnat" xfId="23923" xr:uid="{00000000-0005-0000-0000-00003E260000}"/>
    <cellStyle name="40 % - Aksentti3 3 3 4" xfId="7743" xr:uid="{00000000-0005-0000-0000-00003F260000}"/>
    <cellStyle name="40 % - Aksentti3 3 3 4 2" xfId="11623" xr:uid="{00000000-0005-0000-0000-000040260000}"/>
    <cellStyle name="40 % - Aksentti3 3 3 4 3" xfId="19390" xr:uid="{00000000-0005-0000-0000-000041260000}"/>
    <cellStyle name="40 % - Aksentti3 3 3 4_DataIX" xfId="30824" xr:uid="{00000000-0005-0000-0000-000042260000}"/>
    <cellStyle name="40 % - Aksentti3 3 3 5" xfId="15938" xr:uid="{00000000-0005-0000-0000-000043260000}"/>
    <cellStyle name="40 % - Aksentti3 3 3_060617_hinnat" xfId="23924" xr:uid="{00000000-0005-0000-0000-000044260000}"/>
    <cellStyle name="40 % - Aksentti3 3 4" xfId="2422" xr:uid="{00000000-0005-0000-0000-000045260000}"/>
    <cellStyle name="40 % - Aksentti3 3 4 2" xfId="2423" xr:uid="{00000000-0005-0000-0000-000046260000}"/>
    <cellStyle name="40 % - Aksentti3 3 4 2 2" xfId="2424" xr:uid="{00000000-0005-0000-0000-000047260000}"/>
    <cellStyle name="40 % - Aksentti3 3 4 2 2 2" xfId="7749" xr:uid="{00000000-0005-0000-0000-000048260000}"/>
    <cellStyle name="40 % - Aksentti3 3 4 2 2 2 2" xfId="11624" xr:uid="{00000000-0005-0000-0000-000049260000}"/>
    <cellStyle name="40 % - Aksentti3 3 4 2 2 2 3" xfId="19396" xr:uid="{00000000-0005-0000-0000-00004A260000}"/>
    <cellStyle name="40 % - Aksentti3 3 4 2 2 2_DataIX" xfId="30825" xr:uid="{00000000-0005-0000-0000-00004B260000}"/>
    <cellStyle name="40 % - Aksentti3 3 4 2 2 3" xfId="15944" xr:uid="{00000000-0005-0000-0000-00004C260000}"/>
    <cellStyle name="40 % - Aksentti3 3 4 2 2_060617_hinnat" xfId="23925" xr:uid="{00000000-0005-0000-0000-00004D260000}"/>
    <cellStyle name="40 % - Aksentti3 3 4 2 3" xfId="7748" xr:uid="{00000000-0005-0000-0000-00004E260000}"/>
    <cellStyle name="40 % - Aksentti3 3 4 2 3 2" xfId="11625" xr:uid="{00000000-0005-0000-0000-00004F260000}"/>
    <cellStyle name="40 % - Aksentti3 3 4 2 3 3" xfId="19395" xr:uid="{00000000-0005-0000-0000-000050260000}"/>
    <cellStyle name="40 % - Aksentti3 3 4 2 3_DataIX" xfId="30826" xr:uid="{00000000-0005-0000-0000-000051260000}"/>
    <cellStyle name="40 % - Aksentti3 3 4 2 4" xfId="15943" xr:uid="{00000000-0005-0000-0000-000052260000}"/>
    <cellStyle name="40 % - Aksentti3 3 4 2_060617_hinnat" xfId="23926" xr:uid="{00000000-0005-0000-0000-000053260000}"/>
    <cellStyle name="40 % - Aksentti3 3 4 3" xfId="2425" xr:uid="{00000000-0005-0000-0000-000054260000}"/>
    <cellStyle name="40 % - Aksentti3 3 4 3 2" xfId="7750" xr:uid="{00000000-0005-0000-0000-000055260000}"/>
    <cellStyle name="40 % - Aksentti3 3 4 3 2 2" xfId="11626" xr:uid="{00000000-0005-0000-0000-000056260000}"/>
    <cellStyle name="40 % - Aksentti3 3 4 3 2 3" xfId="19397" xr:uid="{00000000-0005-0000-0000-000057260000}"/>
    <cellStyle name="40 % - Aksentti3 3 4 3 2_DataIX" xfId="30827" xr:uid="{00000000-0005-0000-0000-000058260000}"/>
    <cellStyle name="40 % - Aksentti3 3 4 3 3" xfId="15945" xr:uid="{00000000-0005-0000-0000-000059260000}"/>
    <cellStyle name="40 % - Aksentti3 3 4 3_060617_hinnat" xfId="23927" xr:uid="{00000000-0005-0000-0000-00005A260000}"/>
    <cellStyle name="40 % - Aksentti3 3 4 4" xfId="7747" xr:uid="{00000000-0005-0000-0000-00005B260000}"/>
    <cellStyle name="40 % - Aksentti3 3 4 4 2" xfId="11627" xr:uid="{00000000-0005-0000-0000-00005C260000}"/>
    <cellStyle name="40 % - Aksentti3 3 4 4 3" xfId="19394" xr:uid="{00000000-0005-0000-0000-00005D260000}"/>
    <cellStyle name="40 % - Aksentti3 3 4 4_DataIX" xfId="30828" xr:uid="{00000000-0005-0000-0000-00005E260000}"/>
    <cellStyle name="40 % - Aksentti3 3 4 5" xfId="15942" xr:uid="{00000000-0005-0000-0000-00005F260000}"/>
    <cellStyle name="40 % - Aksentti3 3 4_060617_hinnat" xfId="23928" xr:uid="{00000000-0005-0000-0000-000060260000}"/>
    <cellStyle name="40 % - Aksentti3 3 5" xfId="2426" xr:uid="{00000000-0005-0000-0000-000061260000}"/>
    <cellStyle name="40 % - Aksentti3 3 5 2" xfId="2427" xr:uid="{00000000-0005-0000-0000-000062260000}"/>
    <cellStyle name="40 % - Aksentti3 3 5 2 2" xfId="7752" xr:uid="{00000000-0005-0000-0000-000063260000}"/>
    <cellStyle name="40 % - Aksentti3 3 5 2 2 2" xfId="11628" xr:uid="{00000000-0005-0000-0000-000064260000}"/>
    <cellStyle name="40 % - Aksentti3 3 5 2 2 3" xfId="19399" xr:uid="{00000000-0005-0000-0000-000065260000}"/>
    <cellStyle name="40 % - Aksentti3 3 5 2 2_DataIX" xfId="30829" xr:uid="{00000000-0005-0000-0000-000066260000}"/>
    <cellStyle name="40 % - Aksentti3 3 5 2 3" xfId="15947" xr:uid="{00000000-0005-0000-0000-000067260000}"/>
    <cellStyle name="40 % - Aksentti3 3 5 2_060617_hinnat" xfId="23929" xr:uid="{00000000-0005-0000-0000-000068260000}"/>
    <cellStyle name="40 % - Aksentti3 3 5 3" xfId="7751" xr:uid="{00000000-0005-0000-0000-000069260000}"/>
    <cellStyle name="40 % - Aksentti3 3 5 3 2" xfId="11629" xr:uid="{00000000-0005-0000-0000-00006A260000}"/>
    <cellStyle name="40 % - Aksentti3 3 5 3 3" xfId="19398" xr:uid="{00000000-0005-0000-0000-00006B260000}"/>
    <cellStyle name="40 % - Aksentti3 3 5 3_DataIX" xfId="30830" xr:uid="{00000000-0005-0000-0000-00006C260000}"/>
    <cellStyle name="40 % - Aksentti3 3 5 4" xfId="15946" xr:uid="{00000000-0005-0000-0000-00006D260000}"/>
    <cellStyle name="40 % - Aksentti3 3 5_060617_hinnat" xfId="23930" xr:uid="{00000000-0005-0000-0000-00006E260000}"/>
    <cellStyle name="40 % - Aksentti3 3 6" xfId="2428" xr:uid="{00000000-0005-0000-0000-00006F260000}"/>
    <cellStyle name="40 % - Aksentti3 3 6 2" xfId="7753" xr:uid="{00000000-0005-0000-0000-000070260000}"/>
    <cellStyle name="40 % - Aksentti3 3 6 2 2" xfId="11630" xr:uid="{00000000-0005-0000-0000-000071260000}"/>
    <cellStyle name="40 % - Aksentti3 3 6 2 3" xfId="19400" xr:uid="{00000000-0005-0000-0000-000072260000}"/>
    <cellStyle name="40 % - Aksentti3 3 6 2_DataIX" xfId="30831" xr:uid="{00000000-0005-0000-0000-000073260000}"/>
    <cellStyle name="40 % - Aksentti3 3 6 3" xfId="15948" xr:uid="{00000000-0005-0000-0000-000074260000}"/>
    <cellStyle name="40 % - Aksentti3 3 6_060617_hinnat" xfId="23931" xr:uid="{00000000-0005-0000-0000-000075260000}"/>
    <cellStyle name="40 % - Aksentti3 3 7" xfId="2429" xr:uid="{00000000-0005-0000-0000-000076260000}"/>
    <cellStyle name="40 % - Aksentti3 3 7 2" xfId="7754" xr:uid="{00000000-0005-0000-0000-000077260000}"/>
    <cellStyle name="40 % - Aksentti3 3 7 2 2" xfId="11631" xr:uid="{00000000-0005-0000-0000-000078260000}"/>
    <cellStyle name="40 % - Aksentti3 3 7 2 3" xfId="19401" xr:uid="{00000000-0005-0000-0000-000079260000}"/>
    <cellStyle name="40 % - Aksentti3 3 7 2_DataIX" xfId="30832" xr:uid="{00000000-0005-0000-0000-00007A260000}"/>
    <cellStyle name="40 % - Aksentti3 3 7 3" xfId="15949" xr:uid="{00000000-0005-0000-0000-00007B260000}"/>
    <cellStyle name="40 % - Aksentti3 3 7_060617_hinnat" xfId="23932" xr:uid="{00000000-0005-0000-0000-00007C260000}"/>
    <cellStyle name="40 % - Aksentti3 3 8" xfId="2430" xr:uid="{00000000-0005-0000-0000-00007D260000}"/>
    <cellStyle name="40 % - Aksentti3 3 8 2" xfId="7755" xr:uid="{00000000-0005-0000-0000-00007E260000}"/>
    <cellStyle name="40 % - Aksentti3 3 8 2 2" xfId="11632" xr:uid="{00000000-0005-0000-0000-00007F260000}"/>
    <cellStyle name="40 % - Aksentti3 3 8 2 3" xfId="19402" xr:uid="{00000000-0005-0000-0000-000080260000}"/>
    <cellStyle name="40 % - Aksentti3 3 8 2_DataIX" xfId="30833" xr:uid="{00000000-0005-0000-0000-000081260000}"/>
    <cellStyle name="40 % - Aksentti3 3 8 3" xfId="15950" xr:uid="{00000000-0005-0000-0000-000082260000}"/>
    <cellStyle name="40 % - Aksentti3 3 8_060617_hinnat" xfId="23933" xr:uid="{00000000-0005-0000-0000-000083260000}"/>
    <cellStyle name="40 % - Aksentti3 3 9" xfId="2431" xr:uid="{00000000-0005-0000-0000-000084260000}"/>
    <cellStyle name="40 % - Aksentti3 3 9 2" xfId="7756" xr:uid="{00000000-0005-0000-0000-000085260000}"/>
    <cellStyle name="40 % - Aksentti3 3 9 2 2" xfId="11633" xr:uid="{00000000-0005-0000-0000-000086260000}"/>
    <cellStyle name="40 % - Aksentti3 3 9 2 3" xfId="19403" xr:uid="{00000000-0005-0000-0000-000087260000}"/>
    <cellStyle name="40 % - Aksentti3 3 9 2_DataIX" xfId="30834" xr:uid="{00000000-0005-0000-0000-000088260000}"/>
    <cellStyle name="40 % - Aksentti3 3 9 3" xfId="15951" xr:uid="{00000000-0005-0000-0000-000089260000}"/>
    <cellStyle name="40 % - Aksentti3 3 9_060617_hinnat" xfId="23934" xr:uid="{00000000-0005-0000-0000-00008A260000}"/>
    <cellStyle name="40 % - Aksentti3 3_060617_hinnat" xfId="23935" xr:uid="{00000000-0005-0000-0000-00008B260000}"/>
    <cellStyle name="40 % - Aksentti3 30" xfId="13085" xr:uid="{00000000-0005-0000-0000-00008C260000}"/>
    <cellStyle name="40 % - Aksentti3 31" xfId="13319" xr:uid="{00000000-0005-0000-0000-00008D260000}"/>
    <cellStyle name="40 % - Aksentti3 32" xfId="13218" xr:uid="{00000000-0005-0000-0000-00008E260000}"/>
    <cellStyle name="40 % - Aksentti3 33" xfId="13130" xr:uid="{00000000-0005-0000-0000-00008F260000}"/>
    <cellStyle name="40 % - Aksentti3 34" xfId="13894" xr:uid="{00000000-0005-0000-0000-000090260000}"/>
    <cellStyle name="40 % - Aksentti3 35" xfId="13867" xr:uid="{00000000-0005-0000-0000-000091260000}"/>
    <cellStyle name="40 % - Aksentti3 36" xfId="25506" xr:uid="{00000000-0005-0000-0000-000092260000}"/>
    <cellStyle name="40 % - Aksentti3 37" xfId="25912" xr:uid="{00000000-0005-0000-0000-000093260000}"/>
    <cellStyle name="40 % - Aksentti3 38" xfId="26317" xr:uid="{00000000-0005-0000-0000-000094260000}"/>
    <cellStyle name="40 % - Aksentti3 39" xfId="26654" xr:uid="{00000000-0005-0000-0000-000095260000}"/>
    <cellStyle name="40 % - Aksentti3 4" xfId="2432" xr:uid="{00000000-0005-0000-0000-000096260000}"/>
    <cellStyle name="40 % - Aksentti3 4 10" xfId="2433" xr:uid="{00000000-0005-0000-0000-000097260000}"/>
    <cellStyle name="40 % - Aksentti3 4 10 2" xfId="7758" xr:uid="{00000000-0005-0000-0000-000098260000}"/>
    <cellStyle name="40 % - Aksentti3 4 10 2 2" xfId="11634" xr:uid="{00000000-0005-0000-0000-000099260000}"/>
    <cellStyle name="40 % - Aksentti3 4 10 2 3" xfId="19404" xr:uid="{00000000-0005-0000-0000-00009A260000}"/>
    <cellStyle name="40 % - Aksentti3 4 10 2_DataIX" xfId="30835" xr:uid="{00000000-0005-0000-0000-00009B260000}"/>
    <cellStyle name="40 % - Aksentti3 4 10 3" xfId="15953" xr:uid="{00000000-0005-0000-0000-00009C260000}"/>
    <cellStyle name="40 % - Aksentti3 4 10_060617_hinnat" xfId="23937" xr:uid="{00000000-0005-0000-0000-00009D260000}"/>
    <cellStyle name="40 % - Aksentti3 4 11" xfId="5508" xr:uid="{00000000-0005-0000-0000-00009E260000}"/>
    <cellStyle name="40 % - Aksentti3 4 11 2" xfId="11635" xr:uid="{00000000-0005-0000-0000-00009F260000}"/>
    <cellStyle name="40 % - Aksentti3 4 11 3" xfId="18750" xr:uid="{00000000-0005-0000-0000-0000A0260000}"/>
    <cellStyle name="40 % - Aksentti3 4 11_DataIX" xfId="30836" xr:uid="{00000000-0005-0000-0000-0000A1260000}"/>
    <cellStyle name="40 % - Aksentti3 4 12" xfId="15952" xr:uid="{00000000-0005-0000-0000-0000A2260000}"/>
    <cellStyle name="40 % - Aksentti3 4 2" xfId="2434" xr:uid="{00000000-0005-0000-0000-0000A3260000}"/>
    <cellStyle name="40 % - Aksentti3 4 2 2" xfId="2435" xr:uid="{00000000-0005-0000-0000-0000A4260000}"/>
    <cellStyle name="40 % - Aksentti3 4 2 2 2" xfId="2436" xr:uid="{00000000-0005-0000-0000-0000A5260000}"/>
    <cellStyle name="40 % - Aksentti3 4 2 2 2 2" xfId="7761" xr:uid="{00000000-0005-0000-0000-0000A6260000}"/>
    <cellStyle name="40 % - Aksentti3 4 2 2 2 2 2" xfId="11636" xr:uid="{00000000-0005-0000-0000-0000A7260000}"/>
    <cellStyle name="40 % - Aksentti3 4 2 2 2 2 3" xfId="19407" xr:uid="{00000000-0005-0000-0000-0000A8260000}"/>
    <cellStyle name="40 % - Aksentti3 4 2 2 2 2_DataIX" xfId="30837" xr:uid="{00000000-0005-0000-0000-0000A9260000}"/>
    <cellStyle name="40 % - Aksentti3 4 2 2 2 3" xfId="15956" xr:uid="{00000000-0005-0000-0000-0000AA260000}"/>
    <cellStyle name="40 % - Aksentti3 4 2 2 2_060617_hinnat" xfId="23938" xr:uid="{00000000-0005-0000-0000-0000AB260000}"/>
    <cellStyle name="40 % - Aksentti3 4 2 2 3" xfId="7760" xr:uid="{00000000-0005-0000-0000-0000AC260000}"/>
    <cellStyle name="40 % - Aksentti3 4 2 2 3 2" xfId="11637" xr:uid="{00000000-0005-0000-0000-0000AD260000}"/>
    <cellStyle name="40 % - Aksentti3 4 2 2 3 3" xfId="19406" xr:uid="{00000000-0005-0000-0000-0000AE260000}"/>
    <cellStyle name="40 % - Aksentti3 4 2 2 3_DataIX" xfId="30838" xr:uid="{00000000-0005-0000-0000-0000AF260000}"/>
    <cellStyle name="40 % - Aksentti3 4 2 2 4" xfId="15955" xr:uid="{00000000-0005-0000-0000-0000B0260000}"/>
    <cellStyle name="40 % - Aksentti3 4 2 2_060617_hinnat" xfId="23939" xr:uid="{00000000-0005-0000-0000-0000B1260000}"/>
    <cellStyle name="40 % - Aksentti3 4 2 3" xfId="2437" xr:uid="{00000000-0005-0000-0000-0000B2260000}"/>
    <cellStyle name="40 % - Aksentti3 4 2 3 2" xfId="7762" xr:uid="{00000000-0005-0000-0000-0000B3260000}"/>
    <cellStyle name="40 % - Aksentti3 4 2 3 2 2" xfId="11638" xr:uid="{00000000-0005-0000-0000-0000B4260000}"/>
    <cellStyle name="40 % - Aksentti3 4 2 3 2 3" xfId="19408" xr:uid="{00000000-0005-0000-0000-0000B5260000}"/>
    <cellStyle name="40 % - Aksentti3 4 2 3 2_DataIX" xfId="30839" xr:uid="{00000000-0005-0000-0000-0000B6260000}"/>
    <cellStyle name="40 % - Aksentti3 4 2 3 3" xfId="15957" xr:uid="{00000000-0005-0000-0000-0000B7260000}"/>
    <cellStyle name="40 % - Aksentti3 4 2 3_060617_hinnat" xfId="23940" xr:uid="{00000000-0005-0000-0000-0000B8260000}"/>
    <cellStyle name="40 % - Aksentti3 4 2 4" xfId="7759" xr:uid="{00000000-0005-0000-0000-0000B9260000}"/>
    <cellStyle name="40 % - Aksentti3 4 2 4 2" xfId="11639" xr:uid="{00000000-0005-0000-0000-0000BA260000}"/>
    <cellStyle name="40 % - Aksentti3 4 2 4 3" xfId="19405" xr:uid="{00000000-0005-0000-0000-0000BB260000}"/>
    <cellStyle name="40 % - Aksentti3 4 2 4_DataIX" xfId="30840" xr:uid="{00000000-0005-0000-0000-0000BC260000}"/>
    <cellStyle name="40 % - Aksentti3 4 2 5" xfId="15954" xr:uid="{00000000-0005-0000-0000-0000BD260000}"/>
    <cellStyle name="40 % - Aksentti3 4 2_060617_hinnat" xfId="23941" xr:uid="{00000000-0005-0000-0000-0000BE260000}"/>
    <cellStyle name="40 % - Aksentti3 4 3" xfId="2438" xr:uid="{00000000-0005-0000-0000-0000BF260000}"/>
    <cellStyle name="40 % - Aksentti3 4 3 2" xfId="2439" xr:uid="{00000000-0005-0000-0000-0000C0260000}"/>
    <cellStyle name="40 % - Aksentti3 4 3 2 2" xfId="7764" xr:uid="{00000000-0005-0000-0000-0000C1260000}"/>
    <cellStyle name="40 % - Aksentti3 4 3 2 2 2" xfId="11640" xr:uid="{00000000-0005-0000-0000-0000C2260000}"/>
    <cellStyle name="40 % - Aksentti3 4 3 2 2 3" xfId="19410" xr:uid="{00000000-0005-0000-0000-0000C3260000}"/>
    <cellStyle name="40 % - Aksentti3 4 3 2 2_DataIX" xfId="30841" xr:uid="{00000000-0005-0000-0000-0000C4260000}"/>
    <cellStyle name="40 % - Aksentti3 4 3 2 3" xfId="15959" xr:uid="{00000000-0005-0000-0000-0000C5260000}"/>
    <cellStyle name="40 % - Aksentti3 4 3 2_060617_hinnat" xfId="23942" xr:uid="{00000000-0005-0000-0000-0000C6260000}"/>
    <cellStyle name="40 % - Aksentti3 4 3 3" xfId="7763" xr:uid="{00000000-0005-0000-0000-0000C7260000}"/>
    <cellStyle name="40 % - Aksentti3 4 3 3 2" xfId="11641" xr:uid="{00000000-0005-0000-0000-0000C8260000}"/>
    <cellStyle name="40 % - Aksentti3 4 3 3 3" xfId="19409" xr:uid="{00000000-0005-0000-0000-0000C9260000}"/>
    <cellStyle name="40 % - Aksentti3 4 3 3_DataIX" xfId="30842" xr:uid="{00000000-0005-0000-0000-0000CA260000}"/>
    <cellStyle name="40 % - Aksentti3 4 3 4" xfId="15958" xr:uid="{00000000-0005-0000-0000-0000CB260000}"/>
    <cellStyle name="40 % - Aksentti3 4 3_060617_hinnat" xfId="23943" xr:uid="{00000000-0005-0000-0000-0000CC260000}"/>
    <cellStyle name="40 % - Aksentti3 4 4" xfId="2440" xr:uid="{00000000-0005-0000-0000-0000CD260000}"/>
    <cellStyle name="40 % - Aksentti3 4 4 2" xfId="7765" xr:uid="{00000000-0005-0000-0000-0000CE260000}"/>
    <cellStyle name="40 % - Aksentti3 4 4 2 2" xfId="11642" xr:uid="{00000000-0005-0000-0000-0000CF260000}"/>
    <cellStyle name="40 % - Aksentti3 4 4 2 3" xfId="19411" xr:uid="{00000000-0005-0000-0000-0000D0260000}"/>
    <cellStyle name="40 % - Aksentti3 4 4 2_DataIX" xfId="30843" xr:uid="{00000000-0005-0000-0000-0000D1260000}"/>
    <cellStyle name="40 % - Aksentti3 4 4 3" xfId="15960" xr:uid="{00000000-0005-0000-0000-0000D2260000}"/>
    <cellStyle name="40 % - Aksentti3 4 4_060617_hinnat" xfId="23944" xr:uid="{00000000-0005-0000-0000-0000D3260000}"/>
    <cellStyle name="40 % - Aksentti3 4 5" xfId="2441" xr:uid="{00000000-0005-0000-0000-0000D4260000}"/>
    <cellStyle name="40 % - Aksentti3 4 5 2" xfId="7766" xr:uid="{00000000-0005-0000-0000-0000D5260000}"/>
    <cellStyle name="40 % - Aksentti3 4 5 2 2" xfId="11643" xr:uid="{00000000-0005-0000-0000-0000D6260000}"/>
    <cellStyle name="40 % - Aksentti3 4 5 2 3" xfId="19412" xr:uid="{00000000-0005-0000-0000-0000D7260000}"/>
    <cellStyle name="40 % - Aksentti3 4 5 2_DataIX" xfId="30844" xr:uid="{00000000-0005-0000-0000-0000D8260000}"/>
    <cellStyle name="40 % - Aksentti3 4 5 3" xfId="15961" xr:uid="{00000000-0005-0000-0000-0000D9260000}"/>
    <cellStyle name="40 % - Aksentti3 4 5_060617_hinnat" xfId="23945" xr:uid="{00000000-0005-0000-0000-0000DA260000}"/>
    <cellStyle name="40 % - Aksentti3 4 6" xfId="2442" xr:uid="{00000000-0005-0000-0000-0000DB260000}"/>
    <cellStyle name="40 % - Aksentti3 4 6 2" xfId="7767" xr:uid="{00000000-0005-0000-0000-0000DC260000}"/>
    <cellStyle name="40 % - Aksentti3 4 6 2 2" xfId="11644" xr:uid="{00000000-0005-0000-0000-0000DD260000}"/>
    <cellStyle name="40 % - Aksentti3 4 6 2 3" xfId="19413" xr:uid="{00000000-0005-0000-0000-0000DE260000}"/>
    <cellStyle name="40 % - Aksentti3 4 6 2_DataIX" xfId="30845" xr:uid="{00000000-0005-0000-0000-0000DF260000}"/>
    <cellStyle name="40 % - Aksentti3 4 6 3" xfId="15962" xr:uid="{00000000-0005-0000-0000-0000E0260000}"/>
    <cellStyle name="40 % - Aksentti3 4 6_060617_hinnat" xfId="23946" xr:uid="{00000000-0005-0000-0000-0000E1260000}"/>
    <cellStyle name="40 % - Aksentti3 4 7" xfId="2443" xr:uid="{00000000-0005-0000-0000-0000E2260000}"/>
    <cellStyle name="40 % - Aksentti3 4 7 2" xfId="7768" xr:uid="{00000000-0005-0000-0000-0000E3260000}"/>
    <cellStyle name="40 % - Aksentti3 4 7 2 2" xfId="11645" xr:uid="{00000000-0005-0000-0000-0000E4260000}"/>
    <cellStyle name="40 % - Aksentti3 4 7 2 3" xfId="19414" xr:uid="{00000000-0005-0000-0000-0000E5260000}"/>
    <cellStyle name="40 % - Aksentti3 4 7 2_DataIX" xfId="30846" xr:uid="{00000000-0005-0000-0000-0000E6260000}"/>
    <cellStyle name="40 % - Aksentti3 4 7 3" xfId="15963" xr:uid="{00000000-0005-0000-0000-0000E7260000}"/>
    <cellStyle name="40 % - Aksentti3 4 7_060617_hinnat" xfId="23947" xr:uid="{00000000-0005-0000-0000-0000E8260000}"/>
    <cellStyle name="40 % - Aksentti3 4 8" xfId="2444" xr:uid="{00000000-0005-0000-0000-0000E9260000}"/>
    <cellStyle name="40 % - Aksentti3 4 8 2" xfId="7769" xr:uid="{00000000-0005-0000-0000-0000EA260000}"/>
    <cellStyle name="40 % - Aksentti3 4 8 2 2" xfId="11646" xr:uid="{00000000-0005-0000-0000-0000EB260000}"/>
    <cellStyle name="40 % - Aksentti3 4 8 2 3" xfId="19415" xr:uid="{00000000-0005-0000-0000-0000EC260000}"/>
    <cellStyle name="40 % - Aksentti3 4 8 2_DataIX" xfId="30847" xr:uid="{00000000-0005-0000-0000-0000ED260000}"/>
    <cellStyle name="40 % - Aksentti3 4 8 3" xfId="15964" xr:uid="{00000000-0005-0000-0000-0000EE260000}"/>
    <cellStyle name="40 % - Aksentti3 4 8_060617_hinnat" xfId="23948" xr:uid="{00000000-0005-0000-0000-0000EF260000}"/>
    <cellStyle name="40 % - Aksentti3 4 9" xfId="2445" xr:uid="{00000000-0005-0000-0000-0000F0260000}"/>
    <cellStyle name="40 % - Aksentti3 4 9 2" xfId="7770" xr:uid="{00000000-0005-0000-0000-0000F1260000}"/>
    <cellStyle name="40 % - Aksentti3 4 9 2 2" xfId="11647" xr:uid="{00000000-0005-0000-0000-0000F2260000}"/>
    <cellStyle name="40 % - Aksentti3 4 9 2 3" xfId="19416" xr:uid="{00000000-0005-0000-0000-0000F3260000}"/>
    <cellStyle name="40 % - Aksentti3 4 9 2_DataIX" xfId="30848" xr:uid="{00000000-0005-0000-0000-0000F4260000}"/>
    <cellStyle name="40 % - Aksentti3 4 9 3" xfId="15965" xr:uid="{00000000-0005-0000-0000-0000F5260000}"/>
    <cellStyle name="40 % - Aksentti3 4 9_060617_hinnat" xfId="23949" xr:uid="{00000000-0005-0000-0000-0000F6260000}"/>
    <cellStyle name="40 % - Aksentti3 4_##Keskeiset" xfId="7757" xr:uid="{00000000-0005-0000-0000-0000F7260000}"/>
    <cellStyle name="40 % - Aksentti3 40" xfId="25595" xr:uid="{00000000-0005-0000-0000-0000F8260000}"/>
    <cellStyle name="40 % - Aksentti3 41" xfId="25505" xr:uid="{00000000-0005-0000-0000-0000F9260000}"/>
    <cellStyle name="40 % - Aksentti3 42" xfId="26221" xr:uid="{00000000-0005-0000-0000-0000FA260000}"/>
    <cellStyle name="40 % - Aksentti3 43" xfId="25502" xr:uid="{00000000-0005-0000-0000-0000FB260000}"/>
    <cellStyle name="40 % - Aksentti3 44" xfId="25475" xr:uid="{00000000-0005-0000-0000-0000FC260000}"/>
    <cellStyle name="40 % - Aksentti3 5" xfId="2446" xr:uid="{00000000-0005-0000-0000-0000FD260000}"/>
    <cellStyle name="40 % - Aksentti3 5 10" xfId="2447" xr:uid="{00000000-0005-0000-0000-0000FE260000}"/>
    <cellStyle name="40 % - Aksentti3 5 10 2" xfId="7772" xr:uid="{00000000-0005-0000-0000-0000FF260000}"/>
    <cellStyle name="40 % - Aksentti3 5 10 2 2" xfId="11648" xr:uid="{00000000-0005-0000-0000-000000270000}"/>
    <cellStyle name="40 % - Aksentti3 5 10 2 3" xfId="19418" xr:uid="{00000000-0005-0000-0000-000001270000}"/>
    <cellStyle name="40 % - Aksentti3 5 10 2_DataIX" xfId="30849" xr:uid="{00000000-0005-0000-0000-000002270000}"/>
    <cellStyle name="40 % - Aksentti3 5 10 3" xfId="15967" xr:uid="{00000000-0005-0000-0000-000003270000}"/>
    <cellStyle name="40 % - Aksentti3 5 10_060617_hinnat" xfId="23950" xr:uid="{00000000-0005-0000-0000-000004270000}"/>
    <cellStyle name="40 % - Aksentti3 5 11" xfId="7771" xr:uid="{00000000-0005-0000-0000-000005270000}"/>
    <cellStyle name="40 % - Aksentti3 5 11 2" xfId="11649" xr:uid="{00000000-0005-0000-0000-000006270000}"/>
    <cellStyle name="40 % - Aksentti3 5 11 3" xfId="19417" xr:uid="{00000000-0005-0000-0000-000007270000}"/>
    <cellStyle name="40 % - Aksentti3 5 11_DataIX" xfId="30850" xr:uid="{00000000-0005-0000-0000-000008270000}"/>
    <cellStyle name="40 % - Aksentti3 5 12" xfId="15966" xr:uid="{00000000-0005-0000-0000-000009270000}"/>
    <cellStyle name="40 % - Aksentti3 5 2" xfId="2448" xr:uid="{00000000-0005-0000-0000-00000A270000}"/>
    <cellStyle name="40 % - Aksentti3 5 2 2" xfId="2449" xr:uid="{00000000-0005-0000-0000-00000B270000}"/>
    <cellStyle name="40 % - Aksentti3 5 2 2 2" xfId="2450" xr:uid="{00000000-0005-0000-0000-00000C270000}"/>
    <cellStyle name="40 % - Aksentti3 5 2 2 2 2" xfId="7775" xr:uid="{00000000-0005-0000-0000-00000D270000}"/>
    <cellStyle name="40 % - Aksentti3 5 2 2 2 2 2" xfId="11650" xr:uid="{00000000-0005-0000-0000-00000E270000}"/>
    <cellStyle name="40 % - Aksentti3 5 2 2 2 2 3" xfId="19421" xr:uid="{00000000-0005-0000-0000-00000F270000}"/>
    <cellStyle name="40 % - Aksentti3 5 2 2 2 2_DataIX" xfId="30851" xr:uid="{00000000-0005-0000-0000-000010270000}"/>
    <cellStyle name="40 % - Aksentti3 5 2 2 2 3" xfId="15970" xr:uid="{00000000-0005-0000-0000-000011270000}"/>
    <cellStyle name="40 % - Aksentti3 5 2 2 2_060617_hinnat" xfId="23951" xr:uid="{00000000-0005-0000-0000-000012270000}"/>
    <cellStyle name="40 % - Aksentti3 5 2 2 3" xfId="7774" xr:uid="{00000000-0005-0000-0000-000013270000}"/>
    <cellStyle name="40 % - Aksentti3 5 2 2 3 2" xfId="11651" xr:uid="{00000000-0005-0000-0000-000014270000}"/>
    <cellStyle name="40 % - Aksentti3 5 2 2 3 3" xfId="19420" xr:uid="{00000000-0005-0000-0000-000015270000}"/>
    <cellStyle name="40 % - Aksentti3 5 2 2 3_DataIX" xfId="30852" xr:uid="{00000000-0005-0000-0000-000016270000}"/>
    <cellStyle name="40 % - Aksentti3 5 2 2 4" xfId="15969" xr:uid="{00000000-0005-0000-0000-000017270000}"/>
    <cellStyle name="40 % - Aksentti3 5 2 2_060617_hinnat" xfId="23953" xr:uid="{00000000-0005-0000-0000-000018270000}"/>
    <cellStyle name="40 % - Aksentti3 5 2 3" xfId="2451" xr:uid="{00000000-0005-0000-0000-000019270000}"/>
    <cellStyle name="40 % - Aksentti3 5 2 3 2" xfId="7776" xr:uid="{00000000-0005-0000-0000-00001A270000}"/>
    <cellStyle name="40 % - Aksentti3 5 2 3 2 2" xfId="11652" xr:uid="{00000000-0005-0000-0000-00001B270000}"/>
    <cellStyle name="40 % - Aksentti3 5 2 3 2 3" xfId="19422" xr:uid="{00000000-0005-0000-0000-00001C270000}"/>
    <cellStyle name="40 % - Aksentti3 5 2 3 2_DataIX" xfId="30853" xr:uid="{00000000-0005-0000-0000-00001D270000}"/>
    <cellStyle name="40 % - Aksentti3 5 2 3 3" xfId="15971" xr:uid="{00000000-0005-0000-0000-00001E270000}"/>
    <cellStyle name="40 % - Aksentti3 5 2 3_060617_hinnat" xfId="23954" xr:uid="{00000000-0005-0000-0000-00001F270000}"/>
    <cellStyle name="40 % - Aksentti3 5 2 4" xfId="7773" xr:uid="{00000000-0005-0000-0000-000020270000}"/>
    <cellStyle name="40 % - Aksentti3 5 2 4 2" xfId="11653" xr:uid="{00000000-0005-0000-0000-000021270000}"/>
    <cellStyle name="40 % - Aksentti3 5 2 4 3" xfId="19419" xr:uid="{00000000-0005-0000-0000-000022270000}"/>
    <cellStyle name="40 % - Aksentti3 5 2 4_DataIX" xfId="30854" xr:uid="{00000000-0005-0000-0000-000023270000}"/>
    <cellStyle name="40 % - Aksentti3 5 2 5" xfId="15968" xr:uid="{00000000-0005-0000-0000-000024270000}"/>
    <cellStyle name="40 % - Aksentti3 5 2_060617_hinnat" xfId="23955" xr:uid="{00000000-0005-0000-0000-000025270000}"/>
    <cellStyle name="40 % - Aksentti3 5 3" xfId="2452" xr:uid="{00000000-0005-0000-0000-000026270000}"/>
    <cellStyle name="40 % - Aksentti3 5 3 2" xfId="2453" xr:uid="{00000000-0005-0000-0000-000027270000}"/>
    <cellStyle name="40 % - Aksentti3 5 3 2 2" xfId="7778" xr:uid="{00000000-0005-0000-0000-000028270000}"/>
    <cellStyle name="40 % - Aksentti3 5 3 2 2 2" xfId="11654" xr:uid="{00000000-0005-0000-0000-000029270000}"/>
    <cellStyle name="40 % - Aksentti3 5 3 2 2 3" xfId="19424" xr:uid="{00000000-0005-0000-0000-00002A270000}"/>
    <cellStyle name="40 % - Aksentti3 5 3 2 2_DataIX" xfId="30855" xr:uid="{00000000-0005-0000-0000-00002B270000}"/>
    <cellStyle name="40 % - Aksentti3 5 3 2 3" xfId="15973" xr:uid="{00000000-0005-0000-0000-00002C270000}"/>
    <cellStyle name="40 % - Aksentti3 5 3 2_060617_hinnat" xfId="23956" xr:uid="{00000000-0005-0000-0000-00002D270000}"/>
    <cellStyle name="40 % - Aksentti3 5 3 3" xfId="7777" xr:uid="{00000000-0005-0000-0000-00002E270000}"/>
    <cellStyle name="40 % - Aksentti3 5 3 3 2" xfId="11655" xr:uid="{00000000-0005-0000-0000-00002F270000}"/>
    <cellStyle name="40 % - Aksentti3 5 3 3 3" xfId="19423" xr:uid="{00000000-0005-0000-0000-000030270000}"/>
    <cellStyle name="40 % - Aksentti3 5 3 3_DataIX" xfId="30856" xr:uid="{00000000-0005-0000-0000-000031270000}"/>
    <cellStyle name="40 % - Aksentti3 5 3 4" xfId="15972" xr:uid="{00000000-0005-0000-0000-000032270000}"/>
    <cellStyle name="40 % - Aksentti3 5 3_060617_hinnat" xfId="23958" xr:uid="{00000000-0005-0000-0000-000033270000}"/>
    <cellStyle name="40 % - Aksentti3 5 4" xfId="2454" xr:uid="{00000000-0005-0000-0000-000034270000}"/>
    <cellStyle name="40 % - Aksentti3 5 4 2" xfId="7779" xr:uid="{00000000-0005-0000-0000-000035270000}"/>
    <cellStyle name="40 % - Aksentti3 5 4 2 2" xfId="11656" xr:uid="{00000000-0005-0000-0000-000036270000}"/>
    <cellStyle name="40 % - Aksentti3 5 4 2 3" xfId="19425" xr:uid="{00000000-0005-0000-0000-000037270000}"/>
    <cellStyle name="40 % - Aksentti3 5 4 2_DataIX" xfId="30857" xr:uid="{00000000-0005-0000-0000-000038270000}"/>
    <cellStyle name="40 % - Aksentti3 5 4 3" xfId="15974" xr:uid="{00000000-0005-0000-0000-000039270000}"/>
    <cellStyle name="40 % - Aksentti3 5 4_060617_hinnat" xfId="23959" xr:uid="{00000000-0005-0000-0000-00003A270000}"/>
    <cellStyle name="40 % - Aksentti3 5 5" xfId="2455" xr:uid="{00000000-0005-0000-0000-00003B270000}"/>
    <cellStyle name="40 % - Aksentti3 5 5 2" xfId="7780" xr:uid="{00000000-0005-0000-0000-00003C270000}"/>
    <cellStyle name="40 % - Aksentti3 5 5 2 2" xfId="11657" xr:uid="{00000000-0005-0000-0000-00003D270000}"/>
    <cellStyle name="40 % - Aksentti3 5 5 2 3" xfId="19426" xr:uid="{00000000-0005-0000-0000-00003E270000}"/>
    <cellStyle name="40 % - Aksentti3 5 5 2_DataIX" xfId="30858" xr:uid="{00000000-0005-0000-0000-00003F270000}"/>
    <cellStyle name="40 % - Aksentti3 5 5 3" xfId="15975" xr:uid="{00000000-0005-0000-0000-000040270000}"/>
    <cellStyle name="40 % - Aksentti3 5 5_060617_hinnat" xfId="23960" xr:uid="{00000000-0005-0000-0000-000041270000}"/>
    <cellStyle name="40 % - Aksentti3 5 6" xfId="2456" xr:uid="{00000000-0005-0000-0000-000042270000}"/>
    <cellStyle name="40 % - Aksentti3 5 6 2" xfId="7781" xr:uid="{00000000-0005-0000-0000-000043270000}"/>
    <cellStyle name="40 % - Aksentti3 5 6 2 2" xfId="11658" xr:uid="{00000000-0005-0000-0000-000044270000}"/>
    <cellStyle name="40 % - Aksentti3 5 6 2 3" xfId="19427" xr:uid="{00000000-0005-0000-0000-000045270000}"/>
    <cellStyle name="40 % - Aksentti3 5 6 2_DataIX" xfId="30859" xr:uid="{00000000-0005-0000-0000-000046270000}"/>
    <cellStyle name="40 % - Aksentti3 5 6 3" xfId="15976" xr:uid="{00000000-0005-0000-0000-000047270000}"/>
    <cellStyle name="40 % - Aksentti3 5 6_060617_hinnat" xfId="23961" xr:uid="{00000000-0005-0000-0000-000048270000}"/>
    <cellStyle name="40 % - Aksentti3 5 7" xfId="2457" xr:uid="{00000000-0005-0000-0000-000049270000}"/>
    <cellStyle name="40 % - Aksentti3 5 7 2" xfId="7782" xr:uid="{00000000-0005-0000-0000-00004A270000}"/>
    <cellStyle name="40 % - Aksentti3 5 7 2 2" xfId="11659" xr:uid="{00000000-0005-0000-0000-00004B270000}"/>
    <cellStyle name="40 % - Aksentti3 5 7 2 3" xfId="19428" xr:uid="{00000000-0005-0000-0000-00004C270000}"/>
    <cellStyle name="40 % - Aksentti3 5 7 2_DataIX" xfId="30860" xr:uid="{00000000-0005-0000-0000-00004D270000}"/>
    <cellStyle name="40 % - Aksentti3 5 7 3" xfId="15977" xr:uid="{00000000-0005-0000-0000-00004E270000}"/>
    <cellStyle name="40 % - Aksentti3 5 7_060617_hinnat" xfId="23962" xr:uid="{00000000-0005-0000-0000-00004F270000}"/>
    <cellStyle name="40 % - Aksentti3 5 8" xfId="2458" xr:uid="{00000000-0005-0000-0000-000050270000}"/>
    <cellStyle name="40 % - Aksentti3 5 8 2" xfId="7783" xr:uid="{00000000-0005-0000-0000-000051270000}"/>
    <cellStyle name="40 % - Aksentti3 5 8 2 2" xfId="11660" xr:uid="{00000000-0005-0000-0000-000052270000}"/>
    <cellStyle name="40 % - Aksentti3 5 8 2 3" xfId="19429" xr:uid="{00000000-0005-0000-0000-000053270000}"/>
    <cellStyle name="40 % - Aksentti3 5 8 2_DataIX" xfId="30861" xr:uid="{00000000-0005-0000-0000-000054270000}"/>
    <cellStyle name="40 % - Aksentti3 5 8 3" xfId="15978" xr:uid="{00000000-0005-0000-0000-000055270000}"/>
    <cellStyle name="40 % - Aksentti3 5 8_060617_hinnat" xfId="23963" xr:uid="{00000000-0005-0000-0000-000056270000}"/>
    <cellStyle name="40 % - Aksentti3 5 9" xfId="2459" xr:uid="{00000000-0005-0000-0000-000057270000}"/>
    <cellStyle name="40 % - Aksentti3 5 9 2" xfId="7784" xr:uid="{00000000-0005-0000-0000-000058270000}"/>
    <cellStyle name="40 % - Aksentti3 5 9 2 2" xfId="11661" xr:uid="{00000000-0005-0000-0000-000059270000}"/>
    <cellStyle name="40 % - Aksentti3 5 9 2 3" xfId="19430" xr:uid="{00000000-0005-0000-0000-00005A270000}"/>
    <cellStyle name="40 % - Aksentti3 5 9 2_DataIX" xfId="30862" xr:uid="{00000000-0005-0000-0000-00005B270000}"/>
    <cellStyle name="40 % - Aksentti3 5 9 3" xfId="15979" xr:uid="{00000000-0005-0000-0000-00005C270000}"/>
    <cellStyle name="40 % - Aksentti3 5 9_060617_hinnat" xfId="23964" xr:uid="{00000000-0005-0000-0000-00005D270000}"/>
    <cellStyle name="40 % - Aksentti3 5_060617_hinnat" xfId="23965" xr:uid="{00000000-0005-0000-0000-00005E270000}"/>
    <cellStyle name="40 % - Aksentti3 6" xfId="2460" xr:uid="{00000000-0005-0000-0000-00005F270000}"/>
    <cellStyle name="40 % - Aksentti3 6 10" xfId="2461" xr:uid="{00000000-0005-0000-0000-000060270000}"/>
    <cellStyle name="40 % - Aksentti3 6 10 2" xfId="7786" xr:uid="{00000000-0005-0000-0000-000061270000}"/>
    <cellStyle name="40 % - Aksentti3 6 10 2 2" xfId="11662" xr:uid="{00000000-0005-0000-0000-000062270000}"/>
    <cellStyle name="40 % - Aksentti3 6 10 2 3" xfId="19432" xr:uid="{00000000-0005-0000-0000-000063270000}"/>
    <cellStyle name="40 % - Aksentti3 6 10 2_DataIX" xfId="30863" xr:uid="{00000000-0005-0000-0000-000064270000}"/>
    <cellStyle name="40 % - Aksentti3 6 10 3" xfId="15981" xr:uid="{00000000-0005-0000-0000-000065270000}"/>
    <cellStyle name="40 % - Aksentti3 6 10_060617_hinnat" xfId="23966" xr:uid="{00000000-0005-0000-0000-000066270000}"/>
    <cellStyle name="40 % - Aksentti3 6 11" xfId="7785" xr:uid="{00000000-0005-0000-0000-000067270000}"/>
    <cellStyle name="40 % - Aksentti3 6 11 2" xfId="11663" xr:uid="{00000000-0005-0000-0000-000068270000}"/>
    <cellStyle name="40 % - Aksentti3 6 11 3" xfId="19431" xr:uid="{00000000-0005-0000-0000-000069270000}"/>
    <cellStyle name="40 % - Aksentti3 6 11_DataIX" xfId="30864" xr:uid="{00000000-0005-0000-0000-00006A270000}"/>
    <cellStyle name="40 % - Aksentti3 6 12" xfId="15980" xr:uid="{00000000-0005-0000-0000-00006B270000}"/>
    <cellStyle name="40 % - Aksentti3 6 2" xfId="2462" xr:uid="{00000000-0005-0000-0000-00006C270000}"/>
    <cellStyle name="40 % - Aksentti3 6 2 2" xfId="2463" xr:uid="{00000000-0005-0000-0000-00006D270000}"/>
    <cellStyle name="40 % - Aksentti3 6 2 2 2" xfId="2464" xr:uid="{00000000-0005-0000-0000-00006E270000}"/>
    <cellStyle name="40 % - Aksentti3 6 2 2 2 2" xfId="7789" xr:uid="{00000000-0005-0000-0000-00006F270000}"/>
    <cellStyle name="40 % - Aksentti3 6 2 2 2 2 2" xfId="11664" xr:uid="{00000000-0005-0000-0000-000070270000}"/>
    <cellStyle name="40 % - Aksentti3 6 2 2 2 2 3" xfId="19435" xr:uid="{00000000-0005-0000-0000-000071270000}"/>
    <cellStyle name="40 % - Aksentti3 6 2 2 2 2_DataIX" xfId="30865" xr:uid="{00000000-0005-0000-0000-000072270000}"/>
    <cellStyle name="40 % - Aksentti3 6 2 2 2 3" xfId="15984" xr:uid="{00000000-0005-0000-0000-000073270000}"/>
    <cellStyle name="40 % - Aksentti3 6 2 2 2_060617_hinnat" xfId="23967" xr:uid="{00000000-0005-0000-0000-000074270000}"/>
    <cellStyle name="40 % - Aksentti3 6 2 2 3" xfId="7788" xr:uid="{00000000-0005-0000-0000-000075270000}"/>
    <cellStyle name="40 % - Aksentti3 6 2 2 3 2" xfId="11665" xr:uid="{00000000-0005-0000-0000-000076270000}"/>
    <cellStyle name="40 % - Aksentti3 6 2 2 3 3" xfId="19434" xr:uid="{00000000-0005-0000-0000-000077270000}"/>
    <cellStyle name="40 % - Aksentti3 6 2 2 3_DataIX" xfId="30866" xr:uid="{00000000-0005-0000-0000-000078270000}"/>
    <cellStyle name="40 % - Aksentti3 6 2 2 4" xfId="15983" xr:uid="{00000000-0005-0000-0000-000079270000}"/>
    <cellStyle name="40 % - Aksentti3 6 2 2_060617_hinnat" xfId="23968" xr:uid="{00000000-0005-0000-0000-00007A270000}"/>
    <cellStyle name="40 % - Aksentti3 6 2 3" xfId="2465" xr:uid="{00000000-0005-0000-0000-00007B270000}"/>
    <cellStyle name="40 % - Aksentti3 6 2 3 2" xfId="7790" xr:uid="{00000000-0005-0000-0000-00007C270000}"/>
    <cellStyle name="40 % - Aksentti3 6 2 3 2 2" xfId="11666" xr:uid="{00000000-0005-0000-0000-00007D270000}"/>
    <cellStyle name="40 % - Aksentti3 6 2 3 2 3" xfId="19436" xr:uid="{00000000-0005-0000-0000-00007E270000}"/>
    <cellStyle name="40 % - Aksentti3 6 2 3 2_DataIX" xfId="30867" xr:uid="{00000000-0005-0000-0000-00007F270000}"/>
    <cellStyle name="40 % - Aksentti3 6 2 3 3" xfId="15985" xr:uid="{00000000-0005-0000-0000-000080270000}"/>
    <cellStyle name="40 % - Aksentti3 6 2 3_060617_hinnat" xfId="23969" xr:uid="{00000000-0005-0000-0000-000081270000}"/>
    <cellStyle name="40 % - Aksentti3 6 2 4" xfId="7787" xr:uid="{00000000-0005-0000-0000-000082270000}"/>
    <cellStyle name="40 % - Aksentti3 6 2 4 2" xfId="11667" xr:uid="{00000000-0005-0000-0000-000083270000}"/>
    <cellStyle name="40 % - Aksentti3 6 2 4 3" xfId="19433" xr:uid="{00000000-0005-0000-0000-000084270000}"/>
    <cellStyle name="40 % - Aksentti3 6 2 4_DataIX" xfId="30868" xr:uid="{00000000-0005-0000-0000-000085270000}"/>
    <cellStyle name="40 % - Aksentti3 6 2 5" xfId="15982" xr:uid="{00000000-0005-0000-0000-000086270000}"/>
    <cellStyle name="40 % - Aksentti3 6 2_060617_hinnat" xfId="23970" xr:uid="{00000000-0005-0000-0000-000087270000}"/>
    <cellStyle name="40 % - Aksentti3 6 3" xfId="2466" xr:uid="{00000000-0005-0000-0000-000088270000}"/>
    <cellStyle name="40 % - Aksentti3 6 3 2" xfId="2467" xr:uid="{00000000-0005-0000-0000-000089270000}"/>
    <cellStyle name="40 % - Aksentti3 6 3 2 2" xfId="7792" xr:uid="{00000000-0005-0000-0000-00008A270000}"/>
    <cellStyle name="40 % - Aksentti3 6 3 2 2 2" xfId="11668" xr:uid="{00000000-0005-0000-0000-00008B270000}"/>
    <cellStyle name="40 % - Aksentti3 6 3 2 2 3" xfId="19438" xr:uid="{00000000-0005-0000-0000-00008C270000}"/>
    <cellStyle name="40 % - Aksentti3 6 3 2 2_DataIX" xfId="30869" xr:uid="{00000000-0005-0000-0000-00008D270000}"/>
    <cellStyle name="40 % - Aksentti3 6 3 2 3" xfId="15987" xr:uid="{00000000-0005-0000-0000-00008E270000}"/>
    <cellStyle name="40 % - Aksentti3 6 3 2_060617_hinnat" xfId="23971" xr:uid="{00000000-0005-0000-0000-00008F270000}"/>
    <cellStyle name="40 % - Aksentti3 6 3 3" xfId="7791" xr:uid="{00000000-0005-0000-0000-000090270000}"/>
    <cellStyle name="40 % - Aksentti3 6 3 3 2" xfId="11669" xr:uid="{00000000-0005-0000-0000-000091270000}"/>
    <cellStyle name="40 % - Aksentti3 6 3 3 3" xfId="19437" xr:uid="{00000000-0005-0000-0000-000092270000}"/>
    <cellStyle name="40 % - Aksentti3 6 3 3_DataIX" xfId="30870" xr:uid="{00000000-0005-0000-0000-000093270000}"/>
    <cellStyle name="40 % - Aksentti3 6 3 4" xfId="15986" xr:uid="{00000000-0005-0000-0000-000094270000}"/>
    <cellStyle name="40 % - Aksentti3 6 3_060617_hinnat" xfId="23972" xr:uid="{00000000-0005-0000-0000-000095270000}"/>
    <cellStyle name="40 % - Aksentti3 6 4" xfId="2468" xr:uid="{00000000-0005-0000-0000-000096270000}"/>
    <cellStyle name="40 % - Aksentti3 6 4 2" xfId="7793" xr:uid="{00000000-0005-0000-0000-000097270000}"/>
    <cellStyle name="40 % - Aksentti3 6 4 2 2" xfId="11670" xr:uid="{00000000-0005-0000-0000-000098270000}"/>
    <cellStyle name="40 % - Aksentti3 6 4 2 3" xfId="19439" xr:uid="{00000000-0005-0000-0000-000099270000}"/>
    <cellStyle name="40 % - Aksentti3 6 4 2_DataIX" xfId="30871" xr:uid="{00000000-0005-0000-0000-00009A270000}"/>
    <cellStyle name="40 % - Aksentti3 6 4 3" xfId="15988" xr:uid="{00000000-0005-0000-0000-00009B270000}"/>
    <cellStyle name="40 % - Aksentti3 6 4_060617_hinnat" xfId="23974" xr:uid="{00000000-0005-0000-0000-00009C270000}"/>
    <cellStyle name="40 % - Aksentti3 6 5" xfId="2469" xr:uid="{00000000-0005-0000-0000-00009D270000}"/>
    <cellStyle name="40 % - Aksentti3 6 5 2" xfId="7794" xr:uid="{00000000-0005-0000-0000-00009E270000}"/>
    <cellStyle name="40 % - Aksentti3 6 5 2 2" xfId="11671" xr:uid="{00000000-0005-0000-0000-00009F270000}"/>
    <cellStyle name="40 % - Aksentti3 6 5 2 3" xfId="19440" xr:uid="{00000000-0005-0000-0000-0000A0270000}"/>
    <cellStyle name="40 % - Aksentti3 6 5 2_DataIX" xfId="30872" xr:uid="{00000000-0005-0000-0000-0000A1270000}"/>
    <cellStyle name="40 % - Aksentti3 6 5 3" xfId="15989" xr:uid="{00000000-0005-0000-0000-0000A2270000}"/>
    <cellStyle name="40 % - Aksentti3 6 5_060617_hinnat" xfId="23975" xr:uid="{00000000-0005-0000-0000-0000A3270000}"/>
    <cellStyle name="40 % - Aksentti3 6 6" xfId="2470" xr:uid="{00000000-0005-0000-0000-0000A4270000}"/>
    <cellStyle name="40 % - Aksentti3 6 6 2" xfId="7795" xr:uid="{00000000-0005-0000-0000-0000A5270000}"/>
    <cellStyle name="40 % - Aksentti3 6 6 2 2" xfId="11672" xr:uid="{00000000-0005-0000-0000-0000A6270000}"/>
    <cellStyle name="40 % - Aksentti3 6 6 2 3" xfId="19441" xr:uid="{00000000-0005-0000-0000-0000A7270000}"/>
    <cellStyle name="40 % - Aksentti3 6 6 2_DataIX" xfId="30873" xr:uid="{00000000-0005-0000-0000-0000A8270000}"/>
    <cellStyle name="40 % - Aksentti3 6 6 3" xfId="15990" xr:uid="{00000000-0005-0000-0000-0000A9270000}"/>
    <cellStyle name="40 % - Aksentti3 6 6_060617_hinnat" xfId="23976" xr:uid="{00000000-0005-0000-0000-0000AA270000}"/>
    <cellStyle name="40 % - Aksentti3 6 7" xfId="2471" xr:uid="{00000000-0005-0000-0000-0000AB270000}"/>
    <cellStyle name="40 % - Aksentti3 6 7 2" xfId="7796" xr:uid="{00000000-0005-0000-0000-0000AC270000}"/>
    <cellStyle name="40 % - Aksentti3 6 7 2 2" xfId="11673" xr:uid="{00000000-0005-0000-0000-0000AD270000}"/>
    <cellStyle name="40 % - Aksentti3 6 7 2 3" xfId="19442" xr:uid="{00000000-0005-0000-0000-0000AE270000}"/>
    <cellStyle name="40 % - Aksentti3 6 7 2_DataIX" xfId="30874" xr:uid="{00000000-0005-0000-0000-0000AF270000}"/>
    <cellStyle name="40 % - Aksentti3 6 7 3" xfId="15991" xr:uid="{00000000-0005-0000-0000-0000B0270000}"/>
    <cellStyle name="40 % - Aksentti3 6 7_060617_hinnat" xfId="23977" xr:uid="{00000000-0005-0000-0000-0000B1270000}"/>
    <cellStyle name="40 % - Aksentti3 6 8" xfId="2472" xr:uid="{00000000-0005-0000-0000-0000B2270000}"/>
    <cellStyle name="40 % - Aksentti3 6 8 2" xfId="7797" xr:uid="{00000000-0005-0000-0000-0000B3270000}"/>
    <cellStyle name="40 % - Aksentti3 6 8 2 2" xfId="11674" xr:uid="{00000000-0005-0000-0000-0000B4270000}"/>
    <cellStyle name="40 % - Aksentti3 6 8 2 3" xfId="19443" xr:uid="{00000000-0005-0000-0000-0000B5270000}"/>
    <cellStyle name="40 % - Aksentti3 6 8 2_DataIX" xfId="30875" xr:uid="{00000000-0005-0000-0000-0000B6270000}"/>
    <cellStyle name="40 % - Aksentti3 6 8 3" xfId="15992" xr:uid="{00000000-0005-0000-0000-0000B7270000}"/>
    <cellStyle name="40 % - Aksentti3 6 8_060617_hinnat" xfId="23978" xr:uid="{00000000-0005-0000-0000-0000B8270000}"/>
    <cellStyle name="40 % - Aksentti3 6 9" xfId="2473" xr:uid="{00000000-0005-0000-0000-0000B9270000}"/>
    <cellStyle name="40 % - Aksentti3 6 9 2" xfId="7798" xr:uid="{00000000-0005-0000-0000-0000BA270000}"/>
    <cellStyle name="40 % - Aksentti3 6 9 2 2" xfId="11675" xr:uid="{00000000-0005-0000-0000-0000BB270000}"/>
    <cellStyle name="40 % - Aksentti3 6 9 2 3" xfId="19444" xr:uid="{00000000-0005-0000-0000-0000BC270000}"/>
    <cellStyle name="40 % - Aksentti3 6 9 2_DataIX" xfId="30876" xr:uid="{00000000-0005-0000-0000-0000BD270000}"/>
    <cellStyle name="40 % - Aksentti3 6 9 3" xfId="15993" xr:uid="{00000000-0005-0000-0000-0000BE270000}"/>
    <cellStyle name="40 % - Aksentti3 6 9_060617_hinnat" xfId="23979" xr:uid="{00000000-0005-0000-0000-0000BF270000}"/>
    <cellStyle name="40 % - Aksentti3 6_060617_hinnat" xfId="23980" xr:uid="{00000000-0005-0000-0000-0000C0270000}"/>
    <cellStyle name="40 % - Aksentti3 7" xfId="2474" xr:uid="{00000000-0005-0000-0000-0000C1270000}"/>
    <cellStyle name="40 % - Aksentti3 7 10" xfId="2475" xr:uid="{00000000-0005-0000-0000-0000C2270000}"/>
    <cellStyle name="40 % - Aksentti3 7 10 2" xfId="7800" xr:uid="{00000000-0005-0000-0000-0000C3270000}"/>
    <cellStyle name="40 % - Aksentti3 7 10 2 2" xfId="11676" xr:uid="{00000000-0005-0000-0000-0000C4270000}"/>
    <cellStyle name="40 % - Aksentti3 7 10 2 3" xfId="19446" xr:uid="{00000000-0005-0000-0000-0000C5270000}"/>
    <cellStyle name="40 % - Aksentti3 7 10 2_DataIX" xfId="30877" xr:uid="{00000000-0005-0000-0000-0000C6270000}"/>
    <cellStyle name="40 % - Aksentti3 7 10 3" xfId="15995" xr:uid="{00000000-0005-0000-0000-0000C7270000}"/>
    <cellStyle name="40 % - Aksentti3 7 10_060617_hinnat" xfId="23981" xr:uid="{00000000-0005-0000-0000-0000C8270000}"/>
    <cellStyle name="40 % - Aksentti3 7 11" xfId="7799" xr:uid="{00000000-0005-0000-0000-0000C9270000}"/>
    <cellStyle name="40 % - Aksentti3 7 11 2" xfId="11677" xr:uid="{00000000-0005-0000-0000-0000CA270000}"/>
    <cellStyle name="40 % - Aksentti3 7 11 3" xfId="19445" xr:uid="{00000000-0005-0000-0000-0000CB270000}"/>
    <cellStyle name="40 % - Aksentti3 7 11_DataIX" xfId="30878" xr:uid="{00000000-0005-0000-0000-0000CC270000}"/>
    <cellStyle name="40 % - Aksentti3 7 12" xfId="15994" xr:uid="{00000000-0005-0000-0000-0000CD270000}"/>
    <cellStyle name="40 % - Aksentti3 7 2" xfId="2476" xr:uid="{00000000-0005-0000-0000-0000CE270000}"/>
    <cellStyle name="40 % - Aksentti3 7 2 2" xfId="2477" xr:uid="{00000000-0005-0000-0000-0000CF270000}"/>
    <cellStyle name="40 % - Aksentti3 7 2 2 2" xfId="2478" xr:uid="{00000000-0005-0000-0000-0000D0270000}"/>
    <cellStyle name="40 % - Aksentti3 7 2 2 2 2" xfId="7803" xr:uid="{00000000-0005-0000-0000-0000D1270000}"/>
    <cellStyle name="40 % - Aksentti3 7 2 2 2 2 2" xfId="11678" xr:uid="{00000000-0005-0000-0000-0000D2270000}"/>
    <cellStyle name="40 % - Aksentti3 7 2 2 2 2 3" xfId="19449" xr:uid="{00000000-0005-0000-0000-0000D3270000}"/>
    <cellStyle name="40 % - Aksentti3 7 2 2 2 2_DataIX" xfId="30879" xr:uid="{00000000-0005-0000-0000-0000D4270000}"/>
    <cellStyle name="40 % - Aksentti3 7 2 2 2 3" xfId="15998" xr:uid="{00000000-0005-0000-0000-0000D5270000}"/>
    <cellStyle name="40 % - Aksentti3 7 2 2 2_060617_hinnat" xfId="23982" xr:uid="{00000000-0005-0000-0000-0000D6270000}"/>
    <cellStyle name="40 % - Aksentti3 7 2 2 3" xfId="7802" xr:uid="{00000000-0005-0000-0000-0000D7270000}"/>
    <cellStyle name="40 % - Aksentti3 7 2 2 3 2" xfId="11679" xr:uid="{00000000-0005-0000-0000-0000D8270000}"/>
    <cellStyle name="40 % - Aksentti3 7 2 2 3 3" xfId="19448" xr:uid="{00000000-0005-0000-0000-0000D9270000}"/>
    <cellStyle name="40 % - Aksentti3 7 2 2 3_DataIX" xfId="30880" xr:uid="{00000000-0005-0000-0000-0000DA270000}"/>
    <cellStyle name="40 % - Aksentti3 7 2 2 4" xfId="15997" xr:uid="{00000000-0005-0000-0000-0000DB270000}"/>
    <cellStyle name="40 % - Aksentti3 7 2 2_060617_hinnat" xfId="23983" xr:uid="{00000000-0005-0000-0000-0000DC270000}"/>
    <cellStyle name="40 % - Aksentti3 7 2 3" xfId="2479" xr:uid="{00000000-0005-0000-0000-0000DD270000}"/>
    <cellStyle name="40 % - Aksentti3 7 2 3 2" xfId="7804" xr:uid="{00000000-0005-0000-0000-0000DE270000}"/>
    <cellStyle name="40 % - Aksentti3 7 2 3 2 2" xfId="11680" xr:uid="{00000000-0005-0000-0000-0000DF270000}"/>
    <cellStyle name="40 % - Aksentti3 7 2 3 2 3" xfId="19450" xr:uid="{00000000-0005-0000-0000-0000E0270000}"/>
    <cellStyle name="40 % - Aksentti3 7 2 3 2_DataIX" xfId="30881" xr:uid="{00000000-0005-0000-0000-0000E1270000}"/>
    <cellStyle name="40 % - Aksentti3 7 2 3 3" xfId="15999" xr:uid="{00000000-0005-0000-0000-0000E2270000}"/>
    <cellStyle name="40 % - Aksentti3 7 2 3_060617_hinnat" xfId="23984" xr:uid="{00000000-0005-0000-0000-0000E3270000}"/>
    <cellStyle name="40 % - Aksentti3 7 2 4" xfId="7801" xr:uid="{00000000-0005-0000-0000-0000E4270000}"/>
    <cellStyle name="40 % - Aksentti3 7 2 4 2" xfId="11681" xr:uid="{00000000-0005-0000-0000-0000E5270000}"/>
    <cellStyle name="40 % - Aksentti3 7 2 4 3" xfId="19447" xr:uid="{00000000-0005-0000-0000-0000E6270000}"/>
    <cellStyle name="40 % - Aksentti3 7 2 4_DataIX" xfId="30882" xr:uid="{00000000-0005-0000-0000-0000E7270000}"/>
    <cellStyle name="40 % - Aksentti3 7 2 5" xfId="15996" xr:uid="{00000000-0005-0000-0000-0000E8270000}"/>
    <cellStyle name="40 % - Aksentti3 7 2_060617_hinnat" xfId="23985" xr:uid="{00000000-0005-0000-0000-0000E9270000}"/>
    <cellStyle name="40 % - Aksentti3 7 3" xfId="2480" xr:uid="{00000000-0005-0000-0000-0000EA270000}"/>
    <cellStyle name="40 % - Aksentti3 7 3 2" xfId="2481" xr:uid="{00000000-0005-0000-0000-0000EB270000}"/>
    <cellStyle name="40 % - Aksentti3 7 3 2 2" xfId="7806" xr:uid="{00000000-0005-0000-0000-0000EC270000}"/>
    <cellStyle name="40 % - Aksentti3 7 3 2 2 2" xfId="11682" xr:uid="{00000000-0005-0000-0000-0000ED270000}"/>
    <cellStyle name="40 % - Aksentti3 7 3 2 2 3" xfId="19452" xr:uid="{00000000-0005-0000-0000-0000EE270000}"/>
    <cellStyle name="40 % - Aksentti3 7 3 2 2_DataIX" xfId="30883" xr:uid="{00000000-0005-0000-0000-0000EF270000}"/>
    <cellStyle name="40 % - Aksentti3 7 3 2 3" xfId="16001" xr:uid="{00000000-0005-0000-0000-0000F0270000}"/>
    <cellStyle name="40 % - Aksentti3 7 3 2_060617_hinnat" xfId="23986" xr:uid="{00000000-0005-0000-0000-0000F1270000}"/>
    <cellStyle name="40 % - Aksentti3 7 3 3" xfId="7805" xr:uid="{00000000-0005-0000-0000-0000F2270000}"/>
    <cellStyle name="40 % - Aksentti3 7 3 3 2" xfId="11683" xr:uid="{00000000-0005-0000-0000-0000F3270000}"/>
    <cellStyle name="40 % - Aksentti3 7 3 3 3" xfId="19451" xr:uid="{00000000-0005-0000-0000-0000F4270000}"/>
    <cellStyle name="40 % - Aksentti3 7 3 3_DataIX" xfId="30884" xr:uid="{00000000-0005-0000-0000-0000F5270000}"/>
    <cellStyle name="40 % - Aksentti3 7 3 4" xfId="16000" xr:uid="{00000000-0005-0000-0000-0000F6270000}"/>
    <cellStyle name="40 % - Aksentti3 7 3_060617_hinnat" xfId="23987" xr:uid="{00000000-0005-0000-0000-0000F7270000}"/>
    <cellStyle name="40 % - Aksentti3 7 4" xfId="2482" xr:uid="{00000000-0005-0000-0000-0000F8270000}"/>
    <cellStyle name="40 % - Aksentti3 7 4 2" xfId="7807" xr:uid="{00000000-0005-0000-0000-0000F9270000}"/>
    <cellStyle name="40 % - Aksentti3 7 4 2 2" xfId="11684" xr:uid="{00000000-0005-0000-0000-0000FA270000}"/>
    <cellStyle name="40 % - Aksentti3 7 4 2 3" xfId="19453" xr:uid="{00000000-0005-0000-0000-0000FB270000}"/>
    <cellStyle name="40 % - Aksentti3 7 4 2_DataIX" xfId="30885" xr:uid="{00000000-0005-0000-0000-0000FC270000}"/>
    <cellStyle name="40 % - Aksentti3 7 4 3" xfId="16002" xr:uid="{00000000-0005-0000-0000-0000FD270000}"/>
    <cellStyle name="40 % - Aksentti3 7 4_060617_hinnat" xfId="23988" xr:uid="{00000000-0005-0000-0000-0000FE270000}"/>
    <cellStyle name="40 % - Aksentti3 7 5" xfId="2483" xr:uid="{00000000-0005-0000-0000-0000FF270000}"/>
    <cellStyle name="40 % - Aksentti3 7 5 2" xfId="7808" xr:uid="{00000000-0005-0000-0000-000000280000}"/>
    <cellStyle name="40 % - Aksentti3 7 5 2 2" xfId="11685" xr:uid="{00000000-0005-0000-0000-000001280000}"/>
    <cellStyle name="40 % - Aksentti3 7 5 2 3" xfId="19454" xr:uid="{00000000-0005-0000-0000-000002280000}"/>
    <cellStyle name="40 % - Aksentti3 7 5 2_DataIX" xfId="30886" xr:uid="{00000000-0005-0000-0000-000003280000}"/>
    <cellStyle name="40 % - Aksentti3 7 5 3" xfId="16003" xr:uid="{00000000-0005-0000-0000-000004280000}"/>
    <cellStyle name="40 % - Aksentti3 7 5_060617_hinnat" xfId="23989" xr:uid="{00000000-0005-0000-0000-000005280000}"/>
    <cellStyle name="40 % - Aksentti3 7 6" xfId="2484" xr:uid="{00000000-0005-0000-0000-000006280000}"/>
    <cellStyle name="40 % - Aksentti3 7 6 2" xfId="7809" xr:uid="{00000000-0005-0000-0000-000007280000}"/>
    <cellStyle name="40 % - Aksentti3 7 6 2 2" xfId="11686" xr:uid="{00000000-0005-0000-0000-000008280000}"/>
    <cellStyle name="40 % - Aksentti3 7 6 2 3" xfId="19455" xr:uid="{00000000-0005-0000-0000-000009280000}"/>
    <cellStyle name="40 % - Aksentti3 7 6 2_DataIX" xfId="30887" xr:uid="{00000000-0005-0000-0000-00000A280000}"/>
    <cellStyle name="40 % - Aksentti3 7 6 3" xfId="16004" xr:uid="{00000000-0005-0000-0000-00000B280000}"/>
    <cellStyle name="40 % - Aksentti3 7 6_060617_hinnat" xfId="23990" xr:uid="{00000000-0005-0000-0000-00000C280000}"/>
    <cellStyle name="40 % - Aksentti3 7 7" xfId="2485" xr:uid="{00000000-0005-0000-0000-00000D280000}"/>
    <cellStyle name="40 % - Aksentti3 7 7 2" xfId="7810" xr:uid="{00000000-0005-0000-0000-00000E280000}"/>
    <cellStyle name="40 % - Aksentti3 7 7 2 2" xfId="11687" xr:uid="{00000000-0005-0000-0000-00000F280000}"/>
    <cellStyle name="40 % - Aksentti3 7 7 2 3" xfId="19456" xr:uid="{00000000-0005-0000-0000-000010280000}"/>
    <cellStyle name="40 % - Aksentti3 7 7 2_DataIX" xfId="30888" xr:uid="{00000000-0005-0000-0000-000011280000}"/>
    <cellStyle name="40 % - Aksentti3 7 7 3" xfId="16005" xr:uid="{00000000-0005-0000-0000-000012280000}"/>
    <cellStyle name="40 % - Aksentti3 7 7_060617_hinnat" xfId="23991" xr:uid="{00000000-0005-0000-0000-000013280000}"/>
    <cellStyle name="40 % - Aksentti3 7 8" xfId="2486" xr:uid="{00000000-0005-0000-0000-000014280000}"/>
    <cellStyle name="40 % - Aksentti3 7 8 2" xfId="7811" xr:uid="{00000000-0005-0000-0000-000015280000}"/>
    <cellStyle name="40 % - Aksentti3 7 8 2 2" xfId="11688" xr:uid="{00000000-0005-0000-0000-000016280000}"/>
    <cellStyle name="40 % - Aksentti3 7 8 2 3" xfId="19457" xr:uid="{00000000-0005-0000-0000-000017280000}"/>
    <cellStyle name="40 % - Aksentti3 7 8 2_DataIX" xfId="30889" xr:uid="{00000000-0005-0000-0000-000018280000}"/>
    <cellStyle name="40 % - Aksentti3 7 8 3" xfId="16006" xr:uid="{00000000-0005-0000-0000-000019280000}"/>
    <cellStyle name="40 % - Aksentti3 7 8_060617_hinnat" xfId="23992" xr:uid="{00000000-0005-0000-0000-00001A280000}"/>
    <cellStyle name="40 % - Aksentti3 7 9" xfId="2487" xr:uid="{00000000-0005-0000-0000-00001B280000}"/>
    <cellStyle name="40 % - Aksentti3 7 9 2" xfId="7812" xr:uid="{00000000-0005-0000-0000-00001C280000}"/>
    <cellStyle name="40 % - Aksentti3 7 9 2 2" xfId="11689" xr:uid="{00000000-0005-0000-0000-00001D280000}"/>
    <cellStyle name="40 % - Aksentti3 7 9 2 3" xfId="19458" xr:uid="{00000000-0005-0000-0000-00001E280000}"/>
    <cellStyle name="40 % - Aksentti3 7 9 2_DataIX" xfId="30890" xr:uid="{00000000-0005-0000-0000-00001F280000}"/>
    <cellStyle name="40 % - Aksentti3 7 9 3" xfId="16007" xr:uid="{00000000-0005-0000-0000-000020280000}"/>
    <cellStyle name="40 % - Aksentti3 7 9_060617_hinnat" xfId="23994" xr:uid="{00000000-0005-0000-0000-000021280000}"/>
    <cellStyle name="40 % - Aksentti3 7_060617_hinnat" xfId="23995" xr:uid="{00000000-0005-0000-0000-000022280000}"/>
    <cellStyle name="40 % - Aksentti3 8" xfId="2488" xr:uid="{00000000-0005-0000-0000-000023280000}"/>
    <cellStyle name="40 % - Aksentti3 8 10" xfId="2489" xr:uid="{00000000-0005-0000-0000-000024280000}"/>
    <cellStyle name="40 % - Aksentti3 8 10 2" xfId="7814" xr:uid="{00000000-0005-0000-0000-000025280000}"/>
    <cellStyle name="40 % - Aksentti3 8 10 2 2" xfId="11690" xr:uid="{00000000-0005-0000-0000-000026280000}"/>
    <cellStyle name="40 % - Aksentti3 8 10 2 3" xfId="19460" xr:uid="{00000000-0005-0000-0000-000027280000}"/>
    <cellStyle name="40 % - Aksentti3 8 10 2_DataIX" xfId="30891" xr:uid="{00000000-0005-0000-0000-000028280000}"/>
    <cellStyle name="40 % - Aksentti3 8 10 3" xfId="16009" xr:uid="{00000000-0005-0000-0000-000029280000}"/>
    <cellStyle name="40 % - Aksentti3 8 10_060617_hinnat" xfId="23996" xr:uid="{00000000-0005-0000-0000-00002A280000}"/>
    <cellStyle name="40 % - Aksentti3 8 11" xfId="7813" xr:uid="{00000000-0005-0000-0000-00002B280000}"/>
    <cellStyle name="40 % - Aksentti3 8 11 2" xfId="11691" xr:uid="{00000000-0005-0000-0000-00002C280000}"/>
    <cellStyle name="40 % - Aksentti3 8 11 3" xfId="19459" xr:uid="{00000000-0005-0000-0000-00002D280000}"/>
    <cellStyle name="40 % - Aksentti3 8 11_DataIX" xfId="30892" xr:uid="{00000000-0005-0000-0000-00002E280000}"/>
    <cellStyle name="40 % - Aksentti3 8 12" xfId="16008" xr:uid="{00000000-0005-0000-0000-00002F280000}"/>
    <cellStyle name="40 % - Aksentti3 8 2" xfId="2490" xr:uid="{00000000-0005-0000-0000-000030280000}"/>
    <cellStyle name="40 % - Aksentti3 8 2 2" xfId="2491" xr:uid="{00000000-0005-0000-0000-000031280000}"/>
    <cellStyle name="40 % - Aksentti3 8 2 2 2" xfId="2492" xr:uid="{00000000-0005-0000-0000-000032280000}"/>
    <cellStyle name="40 % - Aksentti3 8 2 2 2 2" xfId="7817" xr:uid="{00000000-0005-0000-0000-000033280000}"/>
    <cellStyle name="40 % - Aksentti3 8 2 2 2 2 2" xfId="11692" xr:uid="{00000000-0005-0000-0000-000034280000}"/>
    <cellStyle name="40 % - Aksentti3 8 2 2 2 2 3" xfId="19463" xr:uid="{00000000-0005-0000-0000-000035280000}"/>
    <cellStyle name="40 % - Aksentti3 8 2 2 2 2_DataIX" xfId="30893" xr:uid="{00000000-0005-0000-0000-000036280000}"/>
    <cellStyle name="40 % - Aksentti3 8 2 2 2 3" xfId="16012" xr:uid="{00000000-0005-0000-0000-000037280000}"/>
    <cellStyle name="40 % - Aksentti3 8 2 2 2_060617_hinnat" xfId="23997" xr:uid="{00000000-0005-0000-0000-000038280000}"/>
    <cellStyle name="40 % - Aksentti3 8 2 2 3" xfId="7816" xr:uid="{00000000-0005-0000-0000-000039280000}"/>
    <cellStyle name="40 % - Aksentti3 8 2 2 3 2" xfId="11693" xr:uid="{00000000-0005-0000-0000-00003A280000}"/>
    <cellStyle name="40 % - Aksentti3 8 2 2 3 3" xfId="19462" xr:uid="{00000000-0005-0000-0000-00003B280000}"/>
    <cellStyle name="40 % - Aksentti3 8 2 2 3_DataIX" xfId="30894" xr:uid="{00000000-0005-0000-0000-00003C280000}"/>
    <cellStyle name="40 % - Aksentti3 8 2 2 4" xfId="16011" xr:uid="{00000000-0005-0000-0000-00003D280000}"/>
    <cellStyle name="40 % - Aksentti3 8 2 2_060617_hinnat" xfId="23998" xr:uid="{00000000-0005-0000-0000-00003E280000}"/>
    <cellStyle name="40 % - Aksentti3 8 2 3" xfId="2493" xr:uid="{00000000-0005-0000-0000-00003F280000}"/>
    <cellStyle name="40 % - Aksentti3 8 2 3 2" xfId="7818" xr:uid="{00000000-0005-0000-0000-000040280000}"/>
    <cellStyle name="40 % - Aksentti3 8 2 3 2 2" xfId="11694" xr:uid="{00000000-0005-0000-0000-000041280000}"/>
    <cellStyle name="40 % - Aksentti3 8 2 3 2 3" xfId="19464" xr:uid="{00000000-0005-0000-0000-000042280000}"/>
    <cellStyle name="40 % - Aksentti3 8 2 3 2_DataIX" xfId="30895" xr:uid="{00000000-0005-0000-0000-000043280000}"/>
    <cellStyle name="40 % - Aksentti3 8 2 3 3" xfId="16013" xr:uid="{00000000-0005-0000-0000-000044280000}"/>
    <cellStyle name="40 % - Aksentti3 8 2 3_060617_hinnat" xfId="23999" xr:uid="{00000000-0005-0000-0000-000045280000}"/>
    <cellStyle name="40 % - Aksentti3 8 2 4" xfId="7815" xr:uid="{00000000-0005-0000-0000-000046280000}"/>
    <cellStyle name="40 % - Aksentti3 8 2 4 2" xfId="11695" xr:uid="{00000000-0005-0000-0000-000047280000}"/>
    <cellStyle name="40 % - Aksentti3 8 2 4 3" xfId="19461" xr:uid="{00000000-0005-0000-0000-000048280000}"/>
    <cellStyle name="40 % - Aksentti3 8 2 4_DataIX" xfId="30896" xr:uid="{00000000-0005-0000-0000-000049280000}"/>
    <cellStyle name="40 % - Aksentti3 8 2 5" xfId="16010" xr:uid="{00000000-0005-0000-0000-00004A280000}"/>
    <cellStyle name="40 % - Aksentti3 8 2_060617_hinnat" xfId="24000" xr:uid="{00000000-0005-0000-0000-00004B280000}"/>
    <cellStyle name="40 % - Aksentti3 8 3" xfId="2494" xr:uid="{00000000-0005-0000-0000-00004C280000}"/>
    <cellStyle name="40 % - Aksentti3 8 3 2" xfId="2495" xr:uid="{00000000-0005-0000-0000-00004D280000}"/>
    <cellStyle name="40 % - Aksentti3 8 3 2 2" xfId="7820" xr:uid="{00000000-0005-0000-0000-00004E280000}"/>
    <cellStyle name="40 % - Aksentti3 8 3 2 2 2" xfId="11696" xr:uid="{00000000-0005-0000-0000-00004F280000}"/>
    <cellStyle name="40 % - Aksentti3 8 3 2 2 3" xfId="19466" xr:uid="{00000000-0005-0000-0000-000050280000}"/>
    <cellStyle name="40 % - Aksentti3 8 3 2 2_DataIX" xfId="30897" xr:uid="{00000000-0005-0000-0000-000051280000}"/>
    <cellStyle name="40 % - Aksentti3 8 3 2 3" xfId="16015" xr:uid="{00000000-0005-0000-0000-000052280000}"/>
    <cellStyle name="40 % - Aksentti3 8 3 2_060617_hinnat" xfId="24001" xr:uid="{00000000-0005-0000-0000-000053280000}"/>
    <cellStyle name="40 % - Aksentti3 8 3 3" xfId="7819" xr:uid="{00000000-0005-0000-0000-000054280000}"/>
    <cellStyle name="40 % - Aksentti3 8 3 3 2" xfId="11697" xr:uid="{00000000-0005-0000-0000-000055280000}"/>
    <cellStyle name="40 % - Aksentti3 8 3 3 3" xfId="19465" xr:uid="{00000000-0005-0000-0000-000056280000}"/>
    <cellStyle name="40 % - Aksentti3 8 3 3_DataIX" xfId="30898" xr:uid="{00000000-0005-0000-0000-000057280000}"/>
    <cellStyle name="40 % - Aksentti3 8 3 4" xfId="16014" xr:uid="{00000000-0005-0000-0000-000058280000}"/>
    <cellStyle name="40 % - Aksentti3 8 3_060617_hinnat" xfId="24002" xr:uid="{00000000-0005-0000-0000-000059280000}"/>
    <cellStyle name="40 % - Aksentti3 8 4" xfId="2496" xr:uid="{00000000-0005-0000-0000-00005A280000}"/>
    <cellStyle name="40 % - Aksentti3 8 4 2" xfId="7821" xr:uid="{00000000-0005-0000-0000-00005B280000}"/>
    <cellStyle name="40 % - Aksentti3 8 4 2 2" xfId="11698" xr:uid="{00000000-0005-0000-0000-00005C280000}"/>
    <cellStyle name="40 % - Aksentti3 8 4 2 3" xfId="19467" xr:uid="{00000000-0005-0000-0000-00005D280000}"/>
    <cellStyle name="40 % - Aksentti3 8 4 2_DataIX" xfId="30899" xr:uid="{00000000-0005-0000-0000-00005E280000}"/>
    <cellStyle name="40 % - Aksentti3 8 4 3" xfId="16016" xr:uid="{00000000-0005-0000-0000-00005F280000}"/>
    <cellStyle name="40 % - Aksentti3 8 4_060617_hinnat" xfId="24003" xr:uid="{00000000-0005-0000-0000-000060280000}"/>
    <cellStyle name="40 % - Aksentti3 8 5" xfId="2497" xr:uid="{00000000-0005-0000-0000-000061280000}"/>
    <cellStyle name="40 % - Aksentti3 8 5 2" xfId="7822" xr:uid="{00000000-0005-0000-0000-000062280000}"/>
    <cellStyle name="40 % - Aksentti3 8 5 2 2" xfId="11699" xr:uid="{00000000-0005-0000-0000-000063280000}"/>
    <cellStyle name="40 % - Aksentti3 8 5 2 3" xfId="19468" xr:uid="{00000000-0005-0000-0000-000064280000}"/>
    <cellStyle name="40 % - Aksentti3 8 5 2_DataIX" xfId="30900" xr:uid="{00000000-0005-0000-0000-000065280000}"/>
    <cellStyle name="40 % - Aksentti3 8 5 3" xfId="16017" xr:uid="{00000000-0005-0000-0000-000066280000}"/>
    <cellStyle name="40 % - Aksentti3 8 5_060617_hinnat" xfId="24004" xr:uid="{00000000-0005-0000-0000-000067280000}"/>
    <cellStyle name="40 % - Aksentti3 8 6" xfId="2498" xr:uid="{00000000-0005-0000-0000-000068280000}"/>
    <cellStyle name="40 % - Aksentti3 8 6 2" xfId="7823" xr:uid="{00000000-0005-0000-0000-000069280000}"/>
    <cellStyle name="40 % - Aksentti3 8 6 2 2" xfId="11700" xr:uid="{00000000-0005-0000-0000-00006A280000}"/>
    <cellStyle name="40 % - Aksentti3 8 6 2 3" xfId="19469" xr:uid="{00000000-0005-0000-0000-00006B280000}"/>
    <cellStyle name="40 % - Aksentti3 8 6 2_DataIX" xfId="30901" xr:uid="{00000000-0005-0000-0000-00006C280000}"/>
    <cellStyle name="40 % - Aksentti3 8 6 3" xfId="16018" xr:uid="{00000000-0005-0000-0000-00006D280000}"/>
    <cellStyle name="40 % - Aksentti3 8 6_060617_hinnat" xfId="24005" xr:uid="{00000000-0005-0000-0000-00006E280000}"/>
    <cellStyle name="40 % - Aksentti3 8 7" xfId="2499" xr:uid="{00000000-0005-0000-0000-00006F280000}"/>
    <cellStyle name="40 % - Aksentti3 8 7 2" xfId="7824" xr:uid="{00000000-0005-0000-0000-000070280000}"/>
    <cellStyle name="40 % - Aksentti3 8 7 2 2" xfId="11701" xr:uid="{00000000-0005-0000-0000-000071280000}"/>
    <cellStyle name="40 % - Aksentti3 8 7 2 3" xfId="19470" xr:uid="{00000000-0005-0000-0000-000072280000}"/>
    <cellStyle name="40 % - Aksentti3 8 7 2_DataIX" xfId="30902" xr:uid="{00000000-0005-0000-0000-000073280000}"/>
    <cellStyle name="40 % - Aksentti3 8 7 3" xfId="16019" xr:uid="{00000000-0005-0000-0000-000074280000}"/>
    <cellStyle name="40 % - Aksentti3 8 7_060617_hinnat" xfId="24006" xr:uid="{00000000-0005-0000-0000-000075280000}"/>
    <cellStyle name="40 % - Aksentti3 8 8" xfId="2500" xr:uid="{00000000-0005-0000-0000-000076280000}"/>
    <cellStyle name="40 % - Aksentti3 8 8 2" xfId="7825" xr:uid="{00000000-0005-0000-0000-000077280000}"/>
    <cellStyle name="40 % - Aksentti3 8 8 2 2" xfId="11702" xr:uid="{00000000-0005-0000-0000-000078280000}"/>
    <cellStyle name="40 % - Aksentti3 8 8 2 3" xfId="19471" xr:uid="{00000000-0005-0000-0000-000079280000}"/>
    <cellStyle name="40 % - Aksentti3 8 8 2_DataIX" xfId="30903" xr:uid="{00000000-0005-0000-0000-00007A280000}"/>
    <cellStyle name="40 % - Aksentti3 8 8 3" xfId="16020" xr:uid="{00000000-0005-0000-0000-00007B280000}"/>
    <cellStyle name="40 % - Aksentti3 8 8_060617_hinnat" xfId="24007" xr:uid="{00000000-0005-0000-0000-00007C280000}"/>
    <cellStyle name="40 % - Aksentti3 8 9" xfId="2501" xr:uid="{00000000-0005-0000-0000-00007D280000}"/>
    <cellStyle name="40 % - Aksentti3 8 9 2" xfId="7826" xr:uid="{00000000-0005-0000-0000-00007E280000}"/>
    <cellStyle name="40 % - Aksentti3 8 9 2 2" xfId="11703" xr:uid="{00000000-0005-0000-0000-00007F280000}"/>
    <cellStyle name="40 % - Aksentti3 8 9 2 3" xfId="19472" xr:uid="{00000000-0005-0000-0000-000080280000}"/>
    <cellStyle name="40 % - Aksentti3 8 9 2_DataIX" xfId="30904" xr:uid="{00000000-0005-0000-0000-000081280000}"/>
    <cellStyle name="40 % - Aksentti3 8 9 3" xfId="16021" xr:uid="{00000000-0005-0000-0000-000082280000}"/>
    <cellStyle name="40 % - Aksentti3 8 9_060617_hinnat" xfId="24008" xr:uid="{00000000-0005-0000-0000-000083280000}"/>
    <cellStyle name="40 % - Aksentti3 8_060617_hinnat" xfId="24009" xr:uid="{00000000-0005-0000-0000-000084280000}"/>
    <cellStyle name="40 % - Aksentti3 9" xfId="2502" xr:uid="{00000000-0005-0000-0000-000085280000}"/>
    <cellStyle name="40 % - Aksentti3 9 10" xfId="2503" xr:uid="{00000000-0005-0000-0000-000086280000}"/>
    <cellStyle name="40 % - Aksentti3 9 10 2" xfId="7828" xr:uid="{00000000-0005-0000-0000-000087280000}"/>
    <cellStyle name="40 % - Aksentti3 9 10 2 2" xfId="11704" xr:uid="{00000000-0005-0000-0000-000088280000}"/>
    <cellStyle name="40 % - Aksentti3 9 10 2 3" xfId="19474" xr:uid="{00000000-0005-0000-0000-000089280000}"/>
    <cellStyle name="40 % - Aksentti3 9 10 2_DataIX" xfId="30905" xr:uid="{00000000-0005-0000-0000-00008A280000}"/>
    <cellStyle name="40 % - Aksentti3 9 10 3" xfId="16023" xr:uid="{00000000-0005-0000-0000-00008B280000}"/>
    <cellStyle name="40 % - Aksentti3 9 10_060617_hinnat" xfId="24010" xr:uid="{00000000-0005-0000-0000-00008C280000}"/>
    <cellStyle name="40 % - Aksentti3 9 11" xfId="7827" xr:uid="{00000000-0005-0000-0000-00008D280000}"/>
    <cellStyle name="40 % - Aksentti3 9 11 2" xfId="11705" xr:uid="{00000000-0005-0000-0000-00008E280000}"/>
    <cellStyle name="40 % - Aksentti3 9 11 3" xfId="19473" xr:uid="{00000000-0005-0000-0000-00008F280000}"/>
    <cellStyle name="40 % - Aksentti3 9 11_DataIX" xfId="30906" xr:uid="{00000000-0005-0000-0000-000090280000}"/>
    <cellStyle name="40 % - Aksentti3 9 12" xfId="16022" xr:uid="{00000000-0005-0000-0000-000091280000}"/>
    <cellStyle name="40 % - Aksentti3 9 2" xfId="2504" xr:uid="{00000000-0005-0000-0000-000092280000}"/>
    <cellStyle name="40 % - Aksentti3 9 2 2" xfId="2505" xr:uid="{00000000-0005-0000-0000-000093280000}"/>
    <cellStyle name="40 % - Aksentti3 9 2 2 2" xfId="2506" xr:uid="{00000000-0005-0000-0000-000094280000}"/>
    <cellStyle name="40 % - Aksentti3 9 2 2 2 2" xfId="7831" xr:uid="{00000000-0005-0000-0000-000095280000}"/>
    <cellStyle name="40 % - Aksentti3 9 2 2 2 2 2" xfId="11706" xr:uid="{00000000-0005-0000-0000-000096280000}"/>
    <cellStyle name="40 % - Aksentti3 9 2 2 2 2 3" xfId="19477" xr:uid="{00000000-0005-0000-0000-000097280000}"/>
    <cellStyle name="40 % - Aksentti3 9 2 2 2 2_DataIX" xfId="30907" xr:uid="{00000000-0005-0000-0000-000098280000}"/>
    <cellStyle name="40 % - Aksentti3 9 2 2 2 3" xfId="16026" xr:uid="{00000000-0005-0000-0000-000099280000}"/>
    <cellStyle name="40 % - Aksentti3 9 2 2 2_060617_hinnat" xfId="24011" xr:uid="{00000000-0005-0000-0000-00009A280000}"/>
    <cellStyle name="40 % - Aksentti3 9 2 2 3" xfId="7830" xr:uid="{00000000-0005-0000-0000-00009B280000}"/>
    <cellStyle name="40 % - Aksentti3 9 2 2 3 2" xfId="11707" xr:uid="{00000000-0005-0000-0000-00009C280000}"/>
    <cellStyle name="40 % - Aksentti3 9 2 2 3 3" xfId="19476" xr:uid="{00000000-0005-0000-0000-00009D280000}"/>
    <cellStyle name="40 % - Aksentti3 9 2 2 3_DataIX" xfId="30908" xr:uid="{00000000-0005-0000-0000-00009E280000}"/>
    <cellStyle name="40 % - Aksentti3 9 2 2 4" xfId="16025" xr:uid="{00000000-0005-0000-0000-00009F280000}"/>
    <cellStyle name="40 % - Aksentti3 9 2 2_060617_hinnat" xfId="24012" xr:uid="{00000000-0005-0000-0000-0000A0280000}"/>
    <cellStyle name="40 % - Aksentti3 9 2 3" xfId="2507" xr:uid="{00000000-0005-0000-0000-0000A1280000}"/>
    <cellStyle name="40 % - Aksentti3 9 2 3 2" xfId="7832" xr:uid="{00000000-0005-0000-0000-0000A2280000}"/>
    <cellStyle name="40 % - Aksentti3 9 2 3 2 2" xfId="11708" xr:uid="{00000000-0005-0000-0000-0000A3280000}"/>
    <cellStyle name="40 % - Aksentti3 9 2 3 2 3" xfId="19478" xr:uid="{00000000-0005-0000-0000-0000A4280000}"/>
    <cellStyle name="40 % - Aksentti3 9 2 3 2_DataIX" xfId="30909" xr:uid="{00000000-0005-0000-0000-0000A5280000}"/>
    <cellStyle name="40 % - Aksentti3 9 2 3 3" xfId="16027" xr:uid="{00000000-0005-0000-0000-0000A6280000}"/>
    <cellStyle name="40 % - Aksentti3 9 2 3_060617_hinnat" xfId="24013" xr:uid="{00000000-0005-0000-0000-0000A7280000}"/>
    <cellStyle name="40 % - Aksentti3 9 2 4" xfId="7829" xr:uid="{00000000-0005-0000-0000-0000A8280000}"/>
    <cellStyle name="40 % - Aksentti3 9 2 4 2" xfId="11709" xr:uid="{00000000-0005-0000-0000-0000A9280000}"/>
    <cellStyle name="40 % - Aksentti3 9 2 4 3" xfId="19475" xr:uid="{00000000-0005-0000-0000-0000AA280000}"/>
    <cellStyle name="40 % - Aksentti3 9 2 4_DataIX" xfId="30910" xr:uid="{00000000-0005-0000-0000-0000AB280000}"/>
    <cellStyle name="40 % - Aksentti3 9 2 5" xfId="16024" xr:uid="{00000000-0005-0000-0000-0000AC280000}"/>
    <cellStyle name="40 % - Aksentti3 9 2_060617_hinnat" xfId="24014" xr:uid="{00000000-0005-0000-0000-0000AD280000}"/>
    <cellStyle name="40 % - Aksentti3 9 3" xfId="2508" xr:uid="{00000000-0005-0000-0000-0000AE280000}"/>
    <cellStyle name="40 % - Aksentti3 9 3 2" xfId="2509" xr:uid="{00000000-0005-0000-0000-0000AF280000}"/>
    <cellStyle name="40 % - Aksentti3 9 3 2 2" xfId="7834" xr:uid="{00000000-0005-0000-0000-0000B0280000}"/>
    <cellStyle name="40 % - Aksentti3 9 3 2 2 2" xfId="11710" xr:uid="{00000000-0005-0000-0000-0000B1280000}"/>
    <cellStyle name="40 % - Aksentti3 9 3 2 2 3" xfId="19480" xr:uid="{00000000-0005-0000-0000-0000B2280000}"/>
    <cellStyle name="40 % - Aksentti3 9 3 2 2_DataIX" xfId="30911" xr:uid="{00000000-0005-0000-0000-0000B3280000}"/>
    <cellStyle name="40 % - Aksentti3 9 3 2 3" xfId="16029" xr:uid="{00000000-0005-0000-0000-0000B4280000}"/>
    <cellStyle name="40 % - Aksentti3 9 3 2_060617_hinnat" xfId="24015" xr:uid="{00000000-0005-0000-0000-0000B5280000}"/>
    <cellStyle name="40 % - Aksentti3 9 3 3" xfId="7833" xr:uid="{00000000-0005-0000-0000-0000B6280000}"/>
    <cellStyle name="40 % - Aksentti3 9 3 3 2" xfId="11711" xr:uid="{00000000-0005-0000-0000-0000B7280000}"/>
    <cellStyle name="40 % - Aksentti3 9 3 3 3" xfId="19479" xr:uid="{00000000-0005-0000-0000-0000B8280000}"/>
    <cellStyle name="40 % - Aksentti3 9 3 3_DataIX" xfId="30912" xr:uid="{00000000-0005-0000-0000-0000B9280000}"/>
    <cellStyle name="40 % - Aksentti3 9 3 4" xfId="16028" xr:uid="{00000000-0005-0000-0000-0000BA280000}"/>
    <cellStyle name="40 % - Aksentti3 9 3_060617_hinnat" xfId="24016" xr:uid="{00000000-0005-0000-0000-0000BB280000}"/>
    <cellStyle name="40 % - Aksentti3 9 4" xfId="2510" xr:uid="{00000000-0005-0000-0000-0000BC280000}"/>
    <cellStyle name="40 % - Aksentti3 9 4 2" xfId="7835" xr:uid="{00000000-0005-0000-0000-0000BD280000}"/>
    <cellStyle name="40 % - Aksentti3 9 4 2 2" xfId="11712" xr:uid="{00000000-0005-0000-0000-0000BE280000}"/>
    <cellStyle name="40 % - Aksentti3 9 4 2 3" xfId="19481" xr:uid="{00000000-0005-0000-0000-0000BF280000}"/>
    <cellStyle name="40 % - Aksentti3 9 4 2_DataIX" xfId="30913" xr:uid="{00000000-0005-0000-0000-0000C0280000}"/>
    <cellStyle name="40 % - Aksentti3 9 4 3" xfId="16030" xr:uid="{00000000-0005-0000-0000-0000C1280000}"/>
    <cellStyle name="40 % - Aksentti3 9 4_060617_hinnat" xfId="24017" xr:uid="{00000000-0005-0000-0000-0000C2280000}"/>
    <cellStyle name="40 % - Aksentti3 9 5" xfId="2511" xr:uid="{00000000-0005-0000-0000-0000C3280000}"/>
    <cellStyle name="40 % - Aksentti3 9 5 2" xfId="7836" xr:uid="{00000000-0005-0000-0000-0000C4280000}"/>
    <cellStyle name="40 % - Aksentti3 9 5 2 2" xfId="11713" xr:uid="{00000000-0005-0000-0000-0000C5280000}"/>
    <cellStyle name="40 % - Aksentti3 9 5 2 3" xfId="19482" xr:uid="{00000000-0005-0000-0000-0000C6280000}"/>
    <cellStyle name="40 % - Aksentti3 9 5 2_DataIX" xfId="30914" xr:uid="{00000000-0005-0000-0000-0000C7280000}"/>
    <cellStyle name="40 % - Aksentti3 9 5 3" xfId="16031" xr:uid="{00000000-0005-0000-0000-0000C8280000}"/>
    <cellStyle name="40 % - Aksentti3 9 5_060617_hinnat" xfId="24018" xr:uid="{00000000-0005-0000-0000-0000C9280000}"/>
    <cellStyle name="40 % - Aksentti3 9 6" xfId="2512" xr:uid="{00000000-0005-0000-0000-0000CA280000}"/>
    <cellStyle name="40 % - Aksentti3 9 6 2" xfId="7837" xr:uid="{00000000-0005-0000-0000-0000CB280000}"/>
    <cellStyle name="40 % - Aksentti3 9 6 2 2" xfId="11714" xr:uid="{00000000-0005-0000-0000-0000CC280000}"/>
    <cellStyle name="40 % - Aksentti3 9 6 2 3" xfId="19483" xr:uid="{00000000-0005-0000-0000-0000CD280000}"/>
    <cellStyle name="40 % - Aksentti3 9 6 2_DataIX" xfId="30915" xr:uid="{00000000-0005-0000-0000-0000CE280000}"/>
    <cellStyle name="40 % - Aksentti3 9 6 3" xfId="16032" xr:uid="{00000000-0005-0000-0000-0000CF280000}"/>
    <cellStyle name="40 % - Aksentti3 9 6_060617_hinnat" xfId="24019" xr:uid="{00000000-0005-0000-0000-0000D0280000}"/>
    <cellStyle name="40 % - Aksentti3 9 7" xfId="2513" xr:uid="{00000000-0005-0000-0000-0000D1280000}"/>
    <cellStyle name="40 % - Aksentti3 9 7 2" xfId="7838" xr:uid="{00000000-0005-0000-0000-0000D2280000}"/>
    <cellStyle name="40 % - Aksentti3 9 7 2 2" xfId="11715" xr:uid="{00000000-0005-0000-0000-0000D3280000}"/>
    <cellStyle name="40 % - Aksentti3 9 7 2 3" xfId="19484" xr:uid="{00000000-0005-0000-0000-0000D4280000}"/>
    <cellStyle name="40 % - Aksentti3 9 7 2_DataIX" xfId="30916" xr:uid="{00000000-0005-0000-0000-0000D5280000}"/>
    <cellStyle name="40 % - Aksentti3 9 7 3" xfId="16033" xr:uid="{00000000-0005-0000-0000-0000D6280000}"/>
    <cellStyle name="40 % - Aksentti3 9 7_060617_hinnat" xfId="24020" xr:uid="{00000000-0005-0000-0000-0000D7280000}"/>
    <cellStyle name="40 % - Aksentti3 9 8" xfId="2514" xr:uid="{00000000-0005-0000-0000-0000D8280000}"/>
    <cellStyle name="40 % - Aksentti3 9 8 2" xfId="7839" xr:uid="{00000000-0005-0000-0000-0000D9280000}"/>
    <cellStyle name="40 % - Aksentti3 9 8 2 2" xfId="11716" xr:uid="{00000000-0005-0000-0000-0000DA280000}"/>
    <cellStyle name="40 % - Aksentti3 9 8 2 3" xfId="19485" xr:uid="{00000000-0005-0000-0000-0000DB280000}"/>
    <cellStyle name="40 % - Aksentti3 9 8 2_DataIX" xfId="30917" xr:uid="{00000000-0005-0000-0000-0000DC280000}"/>
    <cellStyle name="40 % - Aksentti3 9 8 3" xfId="16034" xr:uid="{00000000-0005-0000-0000-0000DD280000}"/>
    <cellStyle name="40 % - Aksentti3 9 8_060617_hinnat" xfId="24021" xr:uid="{00000000-0005-0000-0000-0000DE280000}"/>
    <cellStyle name="40 % - Aksentti3 9 9" xfId="2515" xr:uid="{00000000-0005-0000-0000-0000DF280000}"/>
    <cellStyle name="40 % - Aksentti3 9 9 2" xfId="7840" xr:uid="{00000000-0005-0000-0000-0000E0280000}"/>
    <cellStyle name="40 % - Aksentti3 9 9 2 2" xfId="11717" xr:uid="{00000000-0005-0000-0000-0000E1280000}"/>
    <cellStyle name="40 % - Aksentti3 9 9 2 3" xfId="19486" xr:uid="{00000000-0005-0000-0000-0000E2280000}"/>
    <cellStyle name="40 % - Aksentti3 9 9 2_DataIX" xfId="30918" xr:uid="{00000000-0005-0000-0000-0000E3280000}"/>
    <cellStyle name="40 % - Aksentti3 9 9 3" xfId="16035" xr:uid="{00000000-0005-0000-0000-0000E4280000}"/>
    <cellStyle name="40 % - Aksentti3 9 9_060617_hinnat" xfId="24022" xr:uid="{00000000-0005-0000-0000-0000E5280000}"/>
    <cellStyle name="40 % - Aksentti3 9_060617_hinnat" xfId="24023" xr:uid="{00000000-0005-0000-0000-0000E6280000}"/>
    <cellStyle name="40 % - Aksentti3_##KansantalKehitys" xfId="5414" xr:uid="{00000000-0005-0000-0000-0000E7280000}"/>
    <cellStyle name="40 % - Aksentti4" xfId="337" xr:uid="{00000000-0005-0000-0000-0000E8280000}"/>
    <cellStyle name="40 % - Aksentti4 10" xfId="2516" xr:uid="{00000000-0005-0000-0000-0000E9280000}"/>
    <cellStyle name="40 % - Aksentti4 10 10" xfId="2517" xr:uid="{00000000-0005-0000-0000-0000EA280000}"/>
    <cellStyle name="40 % - Aksentti4 10 10 2" xfId="7842" xr:uid="{00000000-0005-0000-0000-0000EB280000}"/>
    <cellStyle name="40 % - Aksentti4 10 10 2 2" xfId="11718" xr:uid="{00000000-0005-0000-0000-0000EC280000}"/>
    <cellStyle name="40 % - Aksentti4 10 10 2 3" xfId="19488" xr:uid="{00000000-0005-0000-0000-0000ED280000}"/>
    <cellStyle name="40 % - Aksentti4 10 10 2_DataIX" xfId="30919" xr:uid="{00000000-0005-0000-0000-0000EE280000}"/>
    <cellStyle name="40 % - Aksentti4 10 10 3" xfId="16037" xr:uid="{00000000-0005-0000-0000-0000EF280000}"/>
    <cellStyle name="40 % - Aksentti4 10 10_060617_hinnat" xfId="24024" xr:uid="{00000000-0005-0000-0000-0000F0280000}"/>
    <cellStyle name="40 % - Aksentti4 10 11" xfId="7841" xr:uid="{00000000-0005-0000-0000-0000F1280000}"/>
    <cellStyle name="40 % - Aksentti4 10 11 2" xfId="11719" xr:uid="{00000000-0005-0000-0000-0000F2280000}"/>
    <cellStyle name="40 % - Aksentti4 10 11 3" xfId="19487" xr:uid="{00000000-0005-0000-0000-0000F3280000}"/>
    <cellStyle name="40 % - Aksentti4 10 11_DataIX" xfId="30920" xr:uid="{00000000-0005-0000-0000-0000F4280000}"/>
    <cellStyle name="40 % - Aksentti4 10 12" xfId="16036" xr:uid="{00000000-0005-0000-0000-0000F5280000}"/>
    <cellStyle name="40 % - Aksentti4 10 2" xfId="2518" xr:uid="{00000000-0005-0000-0000-0000F6280000}"/>
    <cellStyle name="40 % - Aksentti4 10 2 2" xfId="2519" xr:uid="{00000000-0005-0000-0000-0000F7280000}"/>
    <cellStyle name="40 % - Aksentti4 10 2 2 2" xfId="2520" xr:uid="{00000000-0005-0000-0000-0000F8280000}"/>
    <cellStyle name="40 % - Aksentti4 10 2 2 2 2" xfId="7845" xr:uid="{00000000-0005-0000-0000-0000F9280000}"/>
    <cellStyle name="40 % - Aksentti4 10 2 2 2 2 2" xfId="11720" xr:uid="{00000000-0005-0000-0000-0000FA280000}"/>
    <cellStyle name="40 % - Aksentti4 10 2 2 2 2 3" xfId="19491" xr:uid="{00000000-0005-0000-0000-0000FB280000}"/>
    <cellStyle name="40 % - Aksentti4 10 2 2 2 2_DataIX" xfId="30921" xr:uid="{00000000-0005-0000-0000-0000FC280000}"/>
    <cellStyle name="40 % - Aksentti4 10 2 2 2 3" xfId="16040" xr:uid="{00000000-0005-0000-0000-0000FD280000}"/>
    <cellStyle name="40 % - Aksentti4 10 2 2 2_060617_hinnat" xfId="24025" xr:uid="{00000000-0005-0000-0000-0000FE280000}"/>
    <cellStyle name="40 % - Aksentti4 10 2 2 3" xfId="7844" xr:uid="{00000000-0005-0000-0000-0000FF280000}"/>
    <cellStyle name="40 % - Aksentti4 10 2 2 3 2" xfId="11721" xr:uid="{00000000-0005-0000-0000-000000290000}"/>
    <cellStyle name="40 % - Aksentti4 10 2 2 3 3" xfId="19490" xr:uid="{00000000-0005-0000-0000-000001290000}"/>
    <cellStyle name="40 % - Aksentti4 10 2 2 3_DataIX" xfId="30922" xr:uid="{00000000-0005-0000-0000-000002290000}"/>
    <cellStyle name="40 % - Aksentti4 10 2 2 4" xfId="16039" xr:uid="{00000000-0005-0000-0000-000003290000}"/>
    <cellStyle name="40 % - Aksentti4 10 2 2_060617_hinnat" xfId="24026" xr:uid="{00000000-0005-0000-0000-000004290000}"/>
    <cellStyle name="40 % - Aksentti4 10 2 3" xfId="2521" xr:uid="{00000000-0005-0000-0000-000005290000}"/>
    <cellStyle name="40 % - Aksentti4 10 2 3 2" xfId="7846" xr:uid="{00000000-0005-0000-0000-000006290000}"/>
    <cellStyle name="40 % - Aksentti4 10 2 3 2 2" xfId="11722" xr:uid="{00000000-0005-0000-0000-000007290000}"/>
    <cellStyle name="40 % - Aksentti4 10 2 3 2 3" xfId="19492" xr:uid="{00000000-0005-0000-0000-000008290000}"/>
    <cellStyle name="40 % - Aksentti4 10 2 3 2_DataIX" xfId="30923" xr:uid="{00000000-0005-0000-0000-000009290000}"/>
    <cellStyle name="40 % - Aksentti4 10 2 3 3" xfId="16041" xr:uid="{00000000-0005-0000-0000-00000A290000}"/>
    <cellStyle name="40 % - Aksentti4 10 2 3_060617_hinnat" xfId="24027" xr:uid="{00000000-0005-0000-0000-00000B290000}"/>
    <cellStyle name="40 % - Aksentti4 10 2 4" xfId="7843" xr:uid="{00000000-0005-0000-0000-00000C290000}"/>
    <cellStyle name="40 % - Aksentti4 10 2 4 2" xfId="11723" xr:uid="{00000000-0005-0000-0000-00000D290000}"/>
    <cellStyle name="40 % - Aksentti4 10 2 4 3" xfId="19489" xr:uid="{00000000-0005-0000-0000-00000E290000}"/>
    <cellStyle name="40 % - Aksentti4 10 2 4_DataIX" xfId="30924" xr:uid="{00000000-0005-0000-0000-00000F290000}"/>
    <cellStyle name="40 % - Aksentti4 10 2 5" xfId="16038" xr:uid="{00000000-0005-0000-0000-000010290000}"/>
    <cellStyle name="40 % - Aksentti4 10 2_060617_hinnat" xfId="24028" xr:uid="{00000000-0005-0000-0000-000011290000}"/>
    <cellStyle name="40 % - Aksentti4 10 3" xfId="2522" xr:uid="{00000000-0005-0000-0000-000012290000}"/>
    <cellStyle name="40 % - Aksentti4 10 3 2" xfId="2523" xr:uid="{00000000-0005-0000-0000-000013290000}"/>
    <cellStyle name="40 % - Aksentti4 10 3 2 2" xfId="7848" xr:uid="{00000000-0005-0000-0000-000014290000}"/>
    <cellStyle name="40 % - Aksentti4 10 3 2 2 2" xfId="11724" xr:uid="{00000000-0005-0000-0000-000015290000}"/>
    <cellStyle name="40 % - Aksentti4 10 3 2 2 3" xfId="19494" xr:uid="{00000000-0005-0000-0000-000016290000}"/>
    <cellStyle name="40 % - Aksentti4 10 3 2 2_DataIX" xfId="30925" xr:uid="{00000000-0005-0000-0000-000017290000}"/>
    <cellStyle name="40 % - Aksentti4 10 3 2 3" xfId="16043" xr:uid="{00000000-0005-0000-0000-000018290000}"/>
    <cellStyle name="40 % - Aksentti4 10 3 2_060617_hinnat" xfId="24029" xr:uid="{00000000-0005-0000-0000-000019290000}"/>
    <cellStyle name="40 % - Aksentti4 10 3 3" xfId="7847" xr:uid="{00000000-0005-0000-0000-00001A290000}"/>
    <cellStyle name="40 % - Aksentti4 10 3 3 2" xfId="11725" xr:uid="{00000000-0005-0000-0000-00001B290000}"/>
    <cellStyle name="40 % - Aksentti4 10 3 3 3" xfId="19493" xr:uid="{00000000-0005-0000-0000-00001C290000}"/>
    <cellStyle name="40 % - Aksentti4 10 3 3_DataIX" xfId="30926" xr:uid="{00000000-0005-0000-0000-00001D290000}"/>
    <cellStyle name="40 % - Aksentti4 10 3 4" xfId="16042" xr:uid="{00000000-0005-0000-0000-00001E290000}"/>
    <cellStyle name="40 % - Aksentti4 10 3_060617_hinnat" xfId="24030" xr:uid="{00000000-0005-0000-0000-00001F290000}"/>
    <cellStyle name="40 % - Aksentti4 10 4" xfId="2524" xr:uid="{00000000-0005-0000-0000-000020290000}"/>
    <cellStyle name="40 % - Aksentti4 10 4 2" xfId="7849" xr:uid="{00000000-0005-0000-0000-000021290000}"/>
    <cellStyle name="40 % - Aksentti4 10 4 2 2" xfId="11726" xr:uid="{00000000-0005-0000-0000-000022290000}"/>
    <cellStyle name="40 % - Aksentti4 10 4 2 3" xfId="19495" xr:uid="{00000000-0005-0000-0000-000023290000}"/>
    <cellStyle name="40 % - Aksentti4 10 4 2_DataIX" xfId="30927" xr:uid="{00000000-0005-0000-0000-000024290000}"/>
    <cellStyle name="40 % - Aksentti4 10 4 3" xfId="16044" xr:uid="{00000000-0005-0000-0000-000025290000}"/>
    <cellStyle name="40 % - Aksentti4 10 4_060617_hinnat" xfId="24031" xr:uid="{00000000-0005-0000-0000-000026290000}"/>
    <cellStyle name="40 % - Aksentti4 10 5" xfId="2525" xr:uid="{00000000-0005-0000-0000-000027290000}"/>
    <cellStyle name="40 % - Aksentti4 10 5 2" xfId="7850" xr:uid="{00000000-0005-0000-0000-000028290000}"/>
    <cellStyle name="40 % - Aksentti4 10 5 2 2" xfId="11727" xr:uid="{00000000-0005-0000-0000-000029290000}"/>
    <cellStyle name="40 % - Aksentti4 10 5 2 3" xfId="19496" xr:uid="{00000000-0005-0000-0000-00002A290000}"/>
    <cellStyle name="40 % - Aksentti4 10 5 2_DataIX" xfId="30928" xr:uid="{00000000-0005-0000-0000-00002B290000}"/>
    <cellStyle name="40 % - Aksentti4 10 5 3" xfId="16045" xr:uid="{00000000-0005-0000-0000-00002C290000}"/>
    <cellStyle name="40 % - Aksentti4 10 5_060617_hinnat" xfId="24032" xr:uid="{00000000-0005-0000-0000-00002D290000}"/>
    <cellStyle name="40 % - Aksentti4 10 6" xfId="2526" xr:uid="{00000000-0005-0000-0000-00002E290000}"/>
    <cellStyle name="40 % - Aksentti4 10 6 2" xfId="7851" xr:uid="{00000000-0005-0000-0000-00002F290000}"/>
    <cellStyle name="40 % - Aksentti4 10 6 2 2" xfId="11728" xr:uid="{00000000-0005-0000-0000-000030290000}"/>
    <cellStyle name="40 % - Aksentti4 10 6 2 3" xfId="19497" xr:uid="{00000000-0005-0000-0000-000031290000}"/>
    <cellStyle name="40 % - Aksentti4 10 6 2_DataIX" xfId="30929" xr:uid="{00000000-0005-0000-0000-000032290000}"/>
    <cellStyle name="40 % - Aksentti4 10 6 3" xfId="16046" xr:uid="{00000000-0005-0000-0000-000033290000}"/>
    <cellStyle name="40 % - Aksentti4 10 6_060617_hinnat" xfId="24033" xr:uid="{00000000-0005-0000-0000-000034290000}"/>
    <cellStyle name="40 % - Aksentti4 10 7" xfId="2527" xr:uid="{00000000-0005-0000-0000-000035290000}"/>
    <cellStyle name="40 % - Aksentti4 10 7 2" xfId="7852" xr:uid="{00000000-0005-0000-0000-000036290000}"/>
    <cellStyle name="40 % - Aksentti4 10 7 2 2" xfId="11729" xr:uid="{00000000-0005-0000-0000-000037290000}"/>
    <cellStyle name="40 % - Aksentti4 10 7 2 3" xfId="19498" xr:uid="{00000000-0005-0000-0000-000038290000}"/>
    <cellStyle name="40 % - Aksentti4 10 7 2_DataIX" xfId="30930" xr:uid="{00000000-0005-0000-0000-000039290000}"/>
    <cellStyle name="40 % - Aksentti4 10 7 3" xfId="16047" xr:uid="{00000000-0005-0000-0000-00003A290000}"/>
    <cellStyle name="40 % - Aksentti4 10 7_060617_hinnat" xfId="24034" xr:uid="{00000000-0005-0000-0000-00003B290000}"/>
    <cellStyle name="40 % - Aksentti4 10 8" xfId="2528" xr:uid="{00000000-0005-0000-0000-00003C290000}"/>
    <cellStyle name="40 % - Aksentti4 10 8 2" xfId="7853" xr:uid="{00000000-0005-0000-0000-00003D290000}"/>
    <cellStyle name="40 % - Aksentti4 10 8 2 2" xfId="11730" xr:uid="{00000000-0005-0000-0000-00003E290000}"/>
    <cellStyle name="40 % - Aksentti4 10 8 2 3" xfId="19499" xr:uid="{00000000-0005-0000-0000-00003F290000}"/>
    <cellStyle name="40 % - Aksentti4 10 8 2_DataIX" xfId="30931" xr:uid="{00000000-0005-0000-0000-000040290000}"/>
    <cellStyle name="40 % - Aksentti4 10 8 3" xfId="16048" xr:uid="{00000000-0005-0000-0000-000041290000}"/>
    <cellStyle name="40 % - Aksentti4 10 8_060617_hinnat" xfId="24035" xr:uid="{00000000-0005-0000-0000-000042290000}"/>
    <cellStyle name="40 % - Aksentti4 10 9" xfId="2529" xr:uid="{00000000-0005-0000-0000-000043290000}"/>
    <cellStyle name="40 % - Aksentti4 10 9 2" xfId="7854" xr:uid="{00000000-0005-0000-0000-000044290000}"/>
    <cellStyle name="40 % - Aksentti4 10 9 2 2" xfId="11731" xr:uid="{00000000-0005-0000-0000-000045290000}"/>
    <cellStyle name="40 % - Aksentti4 10 9 2 3" xfId="19500" xr:uid="{00000000-0005-0000-0000-000046290000}"/>
    <cellStyle name="40 % - Aksentti4 10 9 2_DataIX" xfId="30932" xr:uid="{00000000-0005-0000-0000-000047290000}"/>
    <cellStyle name="40 % - Aksentti4 10 9 3" xfId="16049" xr:uid="{00000000-0005-0000-0000-000048290000}"/>
    <cellStyle name="40 % - Aksentti4 10 9_060617_hinnat" xfId="24036" xr:uid="{00000000-0005-0000-0000-000049290000}"/>
    <cellStyle name="40 % - Aksentti4 10_060617_hinnat" xfId="24037" xr:uid="{00000000-0005-0000-0000-00004A290000}"/>
    <cellStyle name="40 % - Aksentti4 11" xfId="2530" xr:uid="{00000000-0005-0000-0000-00004B290000}"/>
    <cellStyle name="40 % - Aksentti4 11 10" xfId="2531" xr:uid="{00000000-0005-0000-0000-00004C290000}"/>
    <cellStyle name="40 % - Aksentti4 11 10 2" xfId="7856" xr:uid="{00000000-0005-0000-0000-00004D290000}"/>
    <cellStyle name="40 % - Aksentti4 11 10 2 2" xfId="11732" xr:uid="{00000000-0005-0000-0000-00004E290000}"/>
    <cellStyle name="40 % - Aksentti4 11 10 2 3" xfId="19502" xr:uid="{00000000-0005-0000-0000-00004F290000}"/>
    <cellStyle name="40 % - Aksentti4 11 10 2_DataIX" xfId="30933" xr:uid="{00000000-0005-0000-0000-000050290000}"/>
    <cellStyle name="40 % - Aksentti4 11 10 3" xfId="16051" xr:uid="{00000000-0005-0000-0000-000051290000}"/>
    <cellStyle name="40 % - Aksentti4 11 10_060617_hinnat" xfId="24038" xr:uid="{00000000-0005-0000-0000-000052290000}"/>
    <cellStyle name="40 % - Aksentti4 11 11" xfId="7855" xr:uid="{00000000-0005-0000-0000-000053290000}"/>
    <cellStyle name="40 % - Aksentti4 11 11 2" xfId="11733" xr:uid="{00000000-0005-0000-0000-000054290000}"/>
    <cellStyle name="40 % - Aksentti4 11 11 3" xfId="19501" xr:uid="{00000000-0005-0000-0000-000055290000}"/>
    <cellStyle name="40 % - Aksentti4 11 11_DataIX" xfId="30934" xr:uid="{00000000-0005-0000-0000-000056290000}"/>
    <cellStyle name="40 % - Aksentti4 11 12" xfId="16050" xr:uid="{00000000-0005-0000-0000-000057290000}"/>
    <cellStyle name="40 % - Aksentti4 11 2" xfId="2532" xr:uid="{00000000-0005-0000-0000-000058290000}"/>
    <cellStyle name="40 % - Aksentti4 11 2 2" xfId="2533" xr:uid="{00000000-0005-0000-0000-000059290000}"/>
    <cellStyle name="40 % - Aksentti4 11 2 2 2" xfId="2534" xr:uid="{00000000-0005-0000-0000-00005A290000}"/>
    <cellStyle name="40 % - Aksentti4 11 2 2 2 2" xfId="7859" xr:uid="{00000000-0005-0000-0000-00005B290000}"/>
    <cellStyle name="40 % - Aksentti4 11 2 2 2 2 2" xfId="11734" xr:uid="{00000000-0005-0000-0000-00005C290000}"/>
    <cellStyle name="40 % - Aksentti4 11 2 2 2 2 3" xfId="19505" xr:uid="{00000000-0005-0000-0000-00005D290000}"/>
    <cellStyle name="40 % - Aksentti4 11 2 2 2 2_DataIX" xfId="30935" xr:uid="{00000000-0005-0000-0000-00005E290000}"/>
    <cellStyle name="40 % - Aksentti4 11 2 2 2 3" xfId="16054" xr:uid="{00000000-0005-0000-0000-00005F290000}"/>
    <cellStyle name="40 % - Aksentti4 11 2 2 2_060617_hinnat" xfId="24039" xr:uid="{00000000-0005-0000-0000-000060290000}"/>
    <cellStyle name="40 % - Aksentti4 11 2 2 3" xfId="7858" xr:uid="{00000000-0005-0000-0000-000061290000}"/>
    <cellStyle name="40 % - Aksentti4 11 2 2 3 2" xfId="11735" xr:uid="{00000000-0005-0000-0000-000062290000}"/>
    <cellStyle name="40 % - Aksentti4 11 2 2 3 3" xfId="19504" xr:uid="{00000000-0005-0000-0000-000063290000}"/>
    <cellStyle name="40 % - Aksentti4 11 2 2 3_DataIX" xfId="30936" xr:uid="{00000000-0005-0000-0000-000064290000}"/>
    <cellStyle name="40 % - Aksentti4 11 2 2 4" xfId="16053" xr:uid="{00000000-0005-0000-0000-000065290000}"/>
    <cellStyle name="40 % - Aksentti4 11 2 2_060617_hinnat" xfId="24040" xr:uid="{00000000-0005-0000-0000-000066290000}"/>
    <cellStyle name="40 % - Aksentti4 11 2 3" xfId="2535" xr:uid="{00000000-0005-0000-0000-000067290000}"/>
    <cellStyle name="40 % - Aksentti4 11 2 3 2" xfId="7860" xr:uid="{00000000-0005-0000-0000-000068290000}"/>
    <cellStyle name="40 % - Aksentti4 11 2 3 2 2" xfId="11736" xr:uid="{00000000-0005-0000-0000-000069290000}"/>
    <cellStyle name="40 % - Aksentti4 11 2 3 2 3" xfId="19506" xr:uid="{00000000-0005-0000-0000-00006A290000}"/>
    <cellStyle name="40 % - Aksentti4 11 2 3 2_DataIX" xfId="30937" xr:uid="{00000000-0005-0000-0000-00006B290000}"/>
    <cellStyle name="40 % - Aksentti4 11 2 3 3" xfId="16055" xr:uid="{00000000-0005-0000-0000-00006C290000}"/>
    <cellStyle name="40 % - Aksentti4 11 2 3_060617_hinnat" xfId="24041" xr:uid="{00000000-0005-0000-0000-00006D290000}"/>
    <cellStyle name="40 % - Aksentti4 11 2 4" xfId="7857" xr:uid="{00000000-0005-0000-0000-00006E290000}"/>
    <cellStyle name="40 % - Aksentti4 11 2 4 2" xfId="11737" xr:uid="{00000000-0005-0000-0000-00006F290000}"/>
    <cellStyle name="40 % - Aksentti4 11 2 4 3" xfId="19503" xr:uid="{00000000-0005-0000-0000-000070290000}"/>
    <cellStyle name="40 % - Aksentti4 11 2 4_DataIX" xfId="30938" xr:uid="{00000000-0005-0000-0000-000071290000}"/>
    <cellStyle name="40 % - Aksentti4 11 2 5" xfId="16052" xr:uid="{00000000-0005-0000-0000-000072290000}"/>
    <cellStyle name="40 % - Aksentti4 11 2_060617_hinnat" xfId="24042" xr:uid="{00000000-0005-0000-0000-000073290000}"/>
    <cellStyle name="40 % - Aksentti4 11 3" xfId="2536" xr:uid="{00000000-0005-0000-0000-000074290000}"/>
    <cellStyle name="40 % - Aksentti4 11 3 2" xfId="2537" xr:uid="{00000000-0005-0000-0000-000075290000}"/>
    <cellStyle name="40 % - Aksentti4 11 3 2 2" xfId="7862" xr:uid="{00000000-0005-0000-0000-000076290000}"/>
    <cellStyle name="40 % - Aksentti4 11 3 2 2 2" xfId="11738" xr:uid="{00000000-0005-0000-0000-000077290000}"/>
    <cellStyle name="40 % - Aksentti4 11 3 2 2 3" xfId="19508" xr:uid="{00000000-0005-0000-0000-000078290000}"/>
    <cellStyle name="40 % - Aksentti4 11 3 2 2_DataIX" xfId="30939" xr:uid="{00000000-0005-0000-0000-000079290000}"/>
    <cellStyle name="40 % - Aksentti4 11 3 2 3" xfId="16057" xr:uid="{00000000-0005-0000-0000-00007A290000}"/>
    <cellStyle name="40 % - Aksentti4 11 3 2_060617_hinnat" xfId="24043" xr:uid="{00000000-0005-0000-0000-00007B290000}"/>
    <cellStyle name="40 % - Aksentti4 11 3 3" xfId="7861" xr:uid="{00000000-0005-0000-0000-00007C290000}"/>
    <cellStyle name="40 % - Aksentti4 11 3 3 2" xfId="11739" xr:uid="{00000000-0005-0000-0000-00007D290000}"/>
    <cellStyle name="40 % - Aksentti4 11 3 3 3" xfId="19507" xr:uid="{00000000-0005-0000-0000-00007E290000}"/>
    <cellStyle name="40 % - Aksentti4 11 3 3_DataIX" xfId="30940" xr:uid="{00000000-0005-0000-0000-00007F290000}"/>
    <cellStyle name="40 % - Aksentti4 11 3 4" xfId="16056" xr:uid="{00000000-0005-0000-0000-000080290000}"/>
    <cellStyle name="40 % - Aksentti4 11 3_060617_hinnat" xfId="24044" xr:uid="{00000000-0005-0000-0000-000081290000}"/>
    <cellStyle name="40 % - Aksentti4 11 4" xfId="2538" xr:uid="{00000000-0005-0000-0000-000082290000}"/>
    <cellStyle name="40 % - Aksentti4 11 4 2" xfId="7863" xr:uid="{00000000-0005-0000-0000-000083290000}"/>
    <cellStyle name="40 % - Aksentti4 11 4 2 2" xfId="11740" xr:uid="{00000000-0005-0000-0000-000084290000}"/>
    <cellStyle name="40 % - Aksentti4 11 4 2 3" xfId="19509" xr:uid="{00000000-0005-0000-0000-000085290000}"/>
    <cellStyle name="40 % - Aksentti4 11 4 2_DataIX" xfId="30941" xr:uid="{00000000-0005-0000-0000-000086290000}"/>
    <cellStyle name="40 % - Aksentti4 11 4 3" xfId="16058" xr:uid="{00000000-0005-0000-0000-000087290000}"/>
    <cellStyle name="40 % - Aksentti4 11 4_060617_hinnat" xfId="24045" xr:uid="{00000000-0005-0000-0000-000088290000}"/>
    <cellStyle name="40 % - Aksentti4 11 5" xfId="2539" xr:uid="{00000000-0005-0000-0000-000089290000}"/>
    <cellStyle name="40 % - Aksentti4 11 5 2" xfId="7864" xr:uid="{00000000-0005-0000-0000-00008A290000}"/>
    <cellStyle name="40 % - Aksentti4 11 5 2 2" xfId="11741" xr:uid="{00000000-0005-0000-0000-00008B290000}"/>
    <cellStyle name="40 % - Aksentti4 11 5 2 3" xfId="19510" xr:uid="{00000000-0005-0000-0000-00008C290000}"/>
    <cellStyle name="40 % - Aksentti4 11 5 2_DataIX" xfId="30942" xr:uid="{00000000-0005-0000-0000-00008D290000}"/>
    <cellStyle name="40 % - Aksentti4 11 5 3" xfId="16059" xr:uid="{00000000-0005-0000-0000-00008E290000}"/>
    <cellStyle name="40 % - Aksentti4 11 5_060617_hinnat" xfId="24046" xr:uid="{00000000-0005-0000-0000-00008F290000}"/>
    <cellStyle name="40 % - Aksentti4 11 6" xfId="2540" xr:uid="{00000000-0005-0000-0000-000090290000}"/>
    <cellStyle name="40 % - Aksentti4 11 6 2" xfId="7865" xr:uid="{00000000-0005-0000-0000-000091290000}"/>
    <cellStyle name="40 % - Aksentti4 11 6 2 2" xfId="11742" xr:uid="{00000000-0005-0000-0000-000092290000}"/>
    <cellStyle name="40 % - Aksentti4 11 6 2 3" xfId="19511" xr:uid="{00000000-0005-0000-0000-000093290000}"/>
    <cellStyle name="40 % - Aksentti4 11 6 2_DataIX" xfId="30943" xr:uid="{00000000-0005-0000-0000-000094290000}"/>
    <cellStyle name="40 % - Aksentti4 11 6 3" xfId="16060" xr:uid="{00000000-0005-0000-0000-000095290000}"/>
    <cellStyle name="40 % - Aksentti4 11 6_060617_hinnat" xfId="24047" xr:uid="{00000000-0005-0000-0000-000096290000}"/>
    <cellStyle name="40 % - Aksentti4 11 7" xfId="2541" xr:uid="{00000000-0005-0000-0000-000097290000}"/>
    <cellStyle name="40 % - Aksentti4 11 7 2" xfId="7866" xr:uid="{00000000-0005-0000-0000-000098290000}"/>
    <cellStyle name="40 % - Aksentti4 11 7 2 2" xfId="11743" xr:uid="{00000000-0005-0000-0000-000099290000}"/>
    <cellStyle name="40 % - Aksentti4 11 7 2 3" xfId="19512" xr:uid="{00000000-0005-0000-0000-00009A290000}"/>
    <cellStyle name="40 % - Aksentti4 11 7 2_DataIX" xfId="30944" xr:uid="{00000000-0005-0000-0000-00009B290000}"/>
    <cellStyle name="40 % - Aksentti4 11 7 3" xfId="16061" xr:uid="{00000000-0005-0000-0000-00009C290000}"/>
    <cellStyle name="40 % - Aksentti4 11 7_060617_hinnat" xfId="24048" xr:uid="{00000000-0005-0000-0000-00009D290000}"/>
    <cellStyle name="40 % - Aksentti4 11 8" xfId="2542" xr:uid="{00000000-0005-0000-0000-00009E290000}"/>
    <cellStyle name="40 % - Aksentti4 11 8 2" xfId="7867" xr:uid="{00000000-0005-0000-0000-00009F290000}"/>
    <cellStyle name="40 % - Aksentti4 11 8 2 2" xfId="11744" xr:uid="{00000000-0005-0000-0000-0000A0290000}"/>
    <cellStyle name="40 % - Aksentti4 11 8 2 3" xfId="19513" xr:uid="{00000000-0005-0000-0000-0000A1290000}"/>
    <cellStyle name="40 % - Aksentti4 11 8 2_DataIX" xfId="30945" xr:uid="{00000000-0005-0000-0000-0000A2290000}"/>
    <cellStyle name="40 % - Aksentti4 11 8 3" xfId="16062" xr:uid="{00000000-0005-0000-0000-0000A3290000}"/>
    <cellStyle name="40 % - Aksentti4 11 8_060617_hinnat" xfId="24049" xr:uid="{00000000-0005-0000-0000-0000A4290000}"/>
    <cellStyle name="40 % - Aksentti4 11 9" xfId="2543" xr:uid="{00000000-0005-0000-0000-0000A5290000}"/>
    <cellStyle name="40 % - Aksentti4 11 9 2" xfId="7868" xr:uid="{00000000-0005-0000-0000-0000A6290000}"/>
    <cellStyle name="40 % - Aksentti4 11 9 2 2" xfId="11745" xr:uid="{00000000-0005-0000-0000-0000A7290000}"/>
    <cellStyle name="40 % - Aksentti4 11 9 2 3" xfId="19514" xr:uid="{00000000-0005-0000-0000-0000A8290000}"/>
    <cellStyle name="40 % - Aksentti4 11 9 2_DataIX" xfId="30946" xr:uid="{00000000-0005-0000-0000-0000A9290000}"/>
    <cellStyle name="40 % - Aksentti4 11 9 3" xfId="16063" xr:uid="{00000000-0005-0000-0000-0000AA290000}"/>
    <cellStyle name="40 % - Aksentti4 11 9_060617_hinnat" xfId="24050" xr:uid="{00000000-0005-0000-0000-0000AB290000}"/>
    <cellStyle name="40 % - Aksentti4 11_060617_hinnat" xfId="24051" xr:uid="{00000000-0005-0000-0000-0000AC290000}"/>
    <cellStyle name="40 % - Aksentti4 12" xfId="2544" xr:uid="{00000000-0005-0000-0000-0000AD290000}"/>
    <cellStyle name="40 % - Aksentti4 12 10" xfId="2545" xr:uid="{00000000-0005-0000-0000-0000AE290000}"/>
    <cellStyle name="40 % - Aksentti4 12 10 2" xfId="7870" xr:uid="{00000000-0005-0000-0000-0000AF290000}"/>
    <cellStyle name="40 % - Aksentti4 12 10 2 2" xfId="11746" xr:uid="{00000000-0005-0000-0000-0000B0290000}"/>
    <cellStyle name="40 % - Aksentti4 12 10 2 3" xfId="19516" xr:uid="{00000000-0005-0000-0000-0000B1290000}"/>
    <cellStyle name="40 % - Aksentti4 12 10 2_DataIX" xfId="30947" xr:uid="{00000000-0005-0000-0000-0000B2290000}"/>
    <cellStyle name="40 % - Aksentti4 12 10 3" xfId="16065" xr:uid="{00000000-0005-0000-0000-0000B3290000}"/>
    <cellStyle name="40 % - Aksentti4 12 10_060617_hinnat" xfId="24052" xr:uid="{00000000-0005-0000-0000-0000B4290000}"/>
    <cellStyle name="40 % - Aksentti4 12 11" xfId="7869" xr:uid="{00000000-0005-0000-0000-0000B5290000}"/>
    <cellStyle name="40 % - Aksentti4 12 11 2" xfId="11747" xr:uid="{00000000-0005-0000-0000-0000B6290000}"/>
    <cellStyle name="40 % - Aksentti4 12 11 3" xfId="19515" xr:uid="{00000000-0005-0000-0000-0000B7290000}"/>
    <cellStyle name="40 % - Aksentti4 12 11_DataIX" xfId="30948" xr:uid="{00000000-0005-0000-0000-0000B8290000}"/>
    <cellStyle name="40 % - Aksentti4 12 12" xfId="16064" xr:uid="{00000000-0005-0000-0000-0000B9290000}"/>
    <cellStyle name="40 % - Aksentti4 12 2" xfId="2546" xr:uid="{00000000-0005-0000-0000-0000BA290000}"/>
    <cellStyle name="40 % - Aksentti4 12 2 2" xfId="2547" xr:uid="{00000000-0005-0000-0000-0000BB290000}"/>
    <cellStyle name="40 % - Aksentti4 12 2 2 2" xfId="2548" xr:uid="{00000000-0005-0000-0000-0000BC290000}"/>
    <cellStyle name="40 % - Aksentti4 12 2 2 2 2" xfId="7873" xr:uid="{00000000-0005-0000-0000-0000BD290000}"/>
    <cellStyle name="40 % - Aksentti4 12 2 2 2 2 2" xfId="11748" xr:uid="{00000000-0005-0000-0000-0000BE290000}"/>
    <cellStyle name="40 % - Aksentti4 12 2 2 2 2 3" xfId="19519" xr:uid="{00000000-0005-0000-0000-0000BF290000}"/>
    <cellStyle name="40 % - Aksentti4 12 2 2 2 2_DataIX" xfId="30949" xr:uid="{00000000-0005-0000-0000-0000C0290000}"/>
    <cellStyle name="40 % - Aksentti4 12 2 2 2 3" xfId="16068" xr:uid="{00000000-0005-0000-0000-0000C1290000}"/>
    <cellStyle name="40 % - Aksentti4 12 2 2 2_060617_hinnat" xfId="24053" xr:uid="{00000000-0005-0000-0000-0000C2290000}"/>
    <cellStyle name="40 % - Aksentti4 12 2 2 3" xfId="7872" xr:uid="{00000000-0005-0000-0000-0000C3290000}"/>
    <cellStyle name="40 % - Aksentti4 12 2 2 3 2" xfId="11749" xr:uid="{00000000-0005-0000-0000-0000C4290000}"/>
    <cellStyle name="40 % - Aksentti4 12 2 2 3 3" xfId="19518" xr:uid="{00000000-0005-0000-0000-0000C5290000}"/>
    <cellStyle name="40 % - Aksentti4 12 2 2 3_DataIX" xfId="30950" xr:uid="{00000000-0005-0000-0000-0000C6290000}"/>
    <cellStyle name="40 % - Aksentti4 12 2 2 4" xfId="16067" xr:uid="{00000000-0005-0000-0000-0000C7290000}"/>
    <cellStyle name="40 % - Aksentti4 12 2 2_060617_hinnat" xfId="24054" xr:uid="{00000000-0005-0000-0000-0000C8290000}"/>
    <cellStyle name="40 % - Aksentti4 12 2 3" xfId="2549" xr:uid="{00000000-0005-0000-0000-0000C9290000}"/>
    <cellStyle name="40 % - Aksentti4 12 2 3 2" xfId="7874" xr:uid="{00000000-0005-0000-0000-0000CA290000}"/>
    <cellStyle name="40 % - Aksentti4 12 2 3 2 2" xfId="11750" xr:uid="{00000000-0005-0000-0000-0000CB290000}"/>
    <cellStyle name="40 % - Aksentti4 12 2 3 2 3" xfId="19520" xr:uid="{00000000-0005-0000-0000-0000CC290000}"/>
    <cellStyle name="40 % - Aksentti4 12 2 3 2_DataIX" xfId="30951" xr:uid="{00000000-0005-0000-0000-0000CD290000}"/>
    <cellStyle name="40 % - Aksentti4 12 2 3 3" xfId="16069" xr:uid="{00000000-0005-0000-0000-0000CE290000}"/>
    <cellStyle name="40 % - Aksentti4 12 2 3_060617_hinnat" xfId="24055" xr:uid="{00000000-0005-0000-0000-0000CF290000}"/>
    <cellStyle name="40 % - Aksentti4 12 2 4" xfId="7871" xr:uid="{00000000-0005-0000-0000-0000D0290000}"/>
    <cellStyle name="40 % - Aksentti4 12 2 4 2" xfId="11751" xr:uid="{00000000-0005-0000-0000-0000D1290000}"/>
    <cellStyle name="40 % - Aksentti4 12 2 4 3" xfId="19517" xr:uid="{00000000-0005-0000-0000-0000D2290000}"/>
    <cellStyle name="40 % - Aksentti4 12 2 4_DataIX" xfId="30952" xr:uid="{00000000-0005-0000-0000-0000D3290000}"/>
    <cellStyle name="40 % - Aksentti4 12 2 5" xfId="16066" xr:uid="{00000000-0005-0000-0000-0000D4290000}"/>
    <cellStyle name="40 % - Aksentti4 12 2_060617_hinnat" xfId="24056" xr:uid="{00000000-0005-0000-0000-0000D5290000}"/>
    <cellStyle name="40 % - Aksentti4 12 3" xfId="2550" xr:uid="{00000000-0005-0000-0000-0000D6290000}"/>
    <cellStyle name="40 % - Aksentti4 12 3 2" xfId="2551" xr:uid="{00000000-0005-0000-0000-0000D7290000}"/>
    <cellStyle name="40 % - Aksentti4 12 3 2 2" xfId="7876" xr:uid="{00000000-0005-0000-0000-0000D8290000}"/>
    <cellStyle name="40 % - Aksentti4 12 3 2 2 2" xfId="11752" xr:uid="{00000000-0005-0000-0000-0000D9290000}"/>
    <cellStyle name="40 % - Aksentti4 12 3 2 2 3" xfId="19522" xr:uid="{00000000-0005-0000-0000-0000DA290000}"/>
    <cellStyle name="40 % - Aksentti4 12 3 2 2_DataIX" xfId="30953" xr:uid="{00000000-0005-0000-0000-0000DB290000}"/>
    <cellStyle name="40 % - Aksentti4 12 3 2 3" xfId="16071" xr:uid="{00000000-0005-0000-0000-0000DC290000}"/>
    <cellStyle name="40 % - Aksentti4 12 3 2_060617_hinnat" xfId="24057" xr:uid="{00000000-0005-0000-0000-0000DD290000}"/>
    <cellStyle name="40 % - Aksentti4 12 3 3" xfId="7875" xr:uid="{00000000-0005-0000-0000-0000DE290000}"/>
    <cellStyle name="40 % - Aksentti4 12 3 3 2" xfId="11753" xr:uid="{00000000-0005-0000-0000-0000DF290000}"/>
    <cellStyle name="40 % - Aksentti4 12 3 3 3" xfId="19521" xr:uid="{00000000-0005-0000-0000-0000E0290000}"/>
    <cellStyle name="40 % - Aksentti4 12 3 3_DataIX" xfId="30954" xr:uid="{00000000-0005-0000-0000-0000E1290000}"/>
    <cellStyle name="40 % - Aksentti4 12 3 4" xfId="16070" xr:uid="{00000000-0005-0000-0000-0000E2290000}"/>
    <cellStyle name="40 % - Aksentti4 12 3_060617_hinnat" xfId="24058" xr:uid="{00000000-0005-0000-0000-0000E3290000}"/>
    <cellStyle name="40 % - Aksentti4 12 4" xfId="2552" xr:uid="{00000000-0005-0000-0000-0000E4290000}"/>
    <cellStyle name="40 % - Aksentti4 12 4 2" xfId="7877" xr:uid="{00000000-0005-0000-0000-0000E5290000}"/>
    <cellStyle name="40 % - Aksentti4 12 4 2 2" xfId="11754" xr:uid="{00000000-0005-0000-0000-0000E6290000}"/>
    <cellStyle name="40 % - Aksentti4 12 4 2 3" xfId="19523" xr:uid="{00000000-0005-0000-0000-0000E7290000}"/>
    <cellStyle name="40 % - Aksentti4 12 4 2_DataIX" xfId="30955" xr:uid="{00000000-0005-0000-0000-0000E8290000}"/>
    <cellStyle name="40 % - Aksentti4 12 4 3" xfId="16072" xr:uid="{00000000-0005-0000-0000-0000E9290000}"/>
    <cellStyle name="40 % - Aksentti4 12 4_060617_hinnat" xfId="24059" xr:uid="{00000000-0005-0000-0000-0000EA290000}"/>
    <cellStyle name="40 % - Aksentti4 12 5" xfId="2553" xr:uid="{00000000-0005-0000-0000-0000EB290000}"/>
    <cellStyle name="40 % - Aksentti4 12 5 2" xfId="7878" xr:uid="{00000000-0005-0000-0000-0000EC290000}"/>
    <cellStyle name="40 % - Aksentti4 12 5 2 2" xfId="11755" xr:uid="{00000000-0005-0000-0000-0000ED290000}"/>
    <cellStyle name="40 % - Aksentti4 12 5 2 3" xfId="19524" xr:uid="{00000000-0005-0000-0000-0000EE290000}"/>
    <cellStyle name="40 % - Aksentti4 12 5 2_DataIX" xfId="30956" xr:uid="{00000000-0005-0000-0000-0000EF290000}"/>
    <cellStyle name="40 % - Aksentti4 12 5 3" xfId="16073" xr:uid="{00000000-0005-0000-0000-0000F0290000}"/>
    <cellStyle name="40 % - Aksentti4 12 5_060617_hinnat" xfId="24060" xr:uid="{00000000-0005-0000-0000-0000F1290000}"/>
    <cellStyle name="40 % - Aksentti4 12 6" xfId="2554" xr:uid="{00000000-0005-0000-0000-0000F2290000}"/>
    <cellStyle name="40 % - Aksentti4 12 6 2" xfId="7879" xr:uid="{00000000-0005-0000-0000-0000F3290000}"/>
    <cellStyle name="40 % - Aksentti4 12 6 2 2" xfId="11756" xr:uid="{00000000-0005-0000-0000-0000F4290000}"/>
    <cellStyle name="40 % - Aksentti4 12 6 2 3" xfId="19525" xr:uid="{00000000-0005-0000-0000-0000F5290000}"/>
    <cellStyle name="40 % - Aksentti4 12 6 2_DataIX" xfId="30957" xr:uid="{00000000-0005-0000-0000-0000F6290000}"/>
    <cellStyle name="40 % - Aksentti4 12 6 3" xfId="16074" xr:uid="{00000000-0005-0000-0000-0000F7290000}"/>
    <cellStyle name="40 % - Aksentti4 12 6_060617_hinnat" xfId="24061" xr:uid="{00000000-0005-0000-0000-0000F8290000}"/>
    <cellStyle name="40 % - Aksentti4 12 7" xfId="2555" xr:uid="{00000000-0005-0000-0000-0000F9290000}"/>
    <cellStyle name="40 % - Aksentti4 12 7 2" xfId="7880" xr:uid="{00000000-0005-0000-0000-0000FA290000}"/>
    <cellStyle name="40 % - Aksentti4 12 7 2 2" xfId="11757" xr:uid="{00000000-0005-0000-0000-0000FB290000}"/>
    <cellStyle name="40 % - Aksentti4 12 7 2 3" xfId="19526" xr:uid="{00000000-0005-0000-0000-0000FC290000}"/>
    <cellStyle name="40 % - Aksentti4 12 7 2_DataIX" xfId="30958" xr:uid="{00000000-0005-0000-0000-0000FD290000}"/>
    <cellStyle name="40 % - Aksentti4 12 7 3" xfId="16075" xr:uid="{00000000-0005-0000-0000-0000FE290000}"/>
    <cellStyle name="40 % - Aksentti4 12 7_060617_hinnat" xfId="24062" xr:uid="{00000000-0005-0000-0000-0000FF290000}"/>
    <cellStyle name="40 % - Aksentti4 12 8" xfId="2556" xr:uid="{00000000-0005-0000-0000-0000002A0000}"/>
    <cellStyle name="40 % - Aksentti4 12 8 2" xfId="7881" xr:uid="{00000000-0005-0000-0000-0000012A0000}"/>
    <cellStyle name="40 % - Aksentti4 12 8 2 2" xfId="11758" xr:uid="{00000000-0005-0000-0000-0000022A0000}"/>
    <cellStyle name="40 % - Aksentti4 12 8 2 3" xfId="19527" xr:uid="{00000000-0005-0000-0000-0000032A0000}"/>
    <cellStyle name="40 % - Aksentti4 12 8 2_DataIX" xfId="30959" xr:uid="{00000000-0005-0000-0000-0000042A0000}"/>
    <cellStyle name="40 % - Aksentti4 12 8 3" xfId="16076" xr:uid="{00000000-0005-0000-0000-0000052A0000}"/>
    <cellStyle name="40 % - Aksentti4 12 8_060617_hinnat" xfId="24063" xr:uid="{00000000-0005-0000-0000-0000062A0000}"/>
    <cellStyle name="40 % - Aksentti4 12 9" xfId="2557" xr:uid="{00000000-0005-0000-0000-0000072A0000}"/>
    <cellStyle name="40 % - Aksentti4 12 9 2" xfId="7882" xr:uid="{00000000-0005-0000-0000-0000082A0000}"/>
    <cellStyle name="40 % - Aksentti4 12 9 2 2" xfId="11759" xr:uid="{00000000-0005-0000-0000-0000092A0000}"/>
    <cellStyle name="40 % - Aksentti4 12 9 2 3" xfId="19528" xr:uid="{00000000-0005-0000-0000-00000A2A0000}"/>
    <cellStyle name="40 % - Aksentti4 12 9 2_DataIX" xfId="30960" xr:uid="{00000000-0005-0000-0000-00000B2A0000}"/>
    <cellStyle name="40 % - Aksentti4 12 9 3" xfId="16077" xr:uid="{00000000-0005-0000-0000-00000C2A0000}"/>
    <cellStyle name="40 % - Aksentti4 12 9_060617_hinnat" xfId="24064" xr:uid="{00000000-0005-0000-0000-00000D2A0000}"/>
    <cellStyle name="40 % - Aksentti4 12_060617_hinnat" xfId="24065" xr:uid="{00000000-0005-0000-0000-00000E2A0000}"/>
    <cellStyle name="40 % - Aksentti4 13" xfId="2558" xr:uid="{00000000-0005-0000-0000-00000F2A0000}"/>
    <cellStyle name="40 % - Aksentti4 13 10" xfId="2559" xr:uid="{00000000-0005-0000-0000-0000102A0000}"/>
    <cellStyle name="40 % - Aksentti4 13 10 2" xfId="7884" xr:uid="{00000000-0005-0000-0000-0000112A0000}"/>
    <cellStyle name="40 % - Aksentti4 13 10 2 2" xfId="11760" xr:uid="{00000000-0005-0000-0000-0000122A0000}"/>
    <cellStyle name="40 % - Aksentti4 13 10 2 3" xfId="19530" xr:uid="{00000000-0005-0000-0000-0000132A0000}"/>
    <cellStyle name="40 % - Aksentti4 13 10 2_DataIX" xfId="30961" xr:uid="{00000000-0005-0000-0000-0000142A0000}"/>
    <cellStyle name="40 % - Aksentti4 13 10 3" xfId="16079" xr:uid="{00000000-0005-0000-0000-0000152A0000}"/>
    <cellStyle name="40 % - Aksentti4 13 10_060617_hinnat" xfId="24067" xr:uid="{00000000-0005-0000-0000-0000162A0000}"/>
    <cellStyle name="40 % - Aksentti4 13 11" xfId="7883" xr:uid="{00000000-0005-0000-0000-0000172A0000}"/>
    <cellStyle name="40 % - Aksentti4 13 11 2" xfId="11761" xr:uid="{00000000-0005-0000-0000-0000182A0000}"/>
    <cellStyle name="40 % - Aksentti4 13 11 3" xfId="19529" xr:uid="{00000000-0005-0000-0000-0000192A0000}"/>
    <cellStyle name="40 % - Aksentti4 13 11_DataIX" xfId="30962" xr:uid="{00000000-0005-0000-0000-00001A2A0000}"/>
    <cellStyle name="40 % - Aksentti4 13 12" xfId="16078" xr:uid="{00000000-0005-0000-0000-00001B2A0000}"/>
    <cellStyle name="40 % - Aksentti4 13 2" xfId="2560" xr:uid="{00000000-0005-0000-0000-00001C2A0000}"/>
    <cellStyle name="40 % - Aksentti4 13 2 2" xfId="2561" xr:uid="{00000000-0005-0000-0000-00001D2A0000}"/>
    <cellStyle name="40 % - Aksentti4 13 2 2 2" xfId="7886" xr:uid="{00000000-0005-0000-0000-00001E2A0000}"/>
    <cellStyle name="40 % - Aksentti4 13 2 2 2 2" xfId="11762" xr:uid="{00000000-0005-0000-0000-00001F2A0000}"/>
    <cellStyle name="40 % - Aksentti4 13 2 2 2 3" xfId="19532" xr:uid="{00000000-0005-0000-0000-0000202A0000}"/>
    <cellStyle name="40 % - Aksentti4 13 2 2 2_DataIX" xfId="30963" xr:uid="{00000000-0005-0000-0000-0000212A0000}"/>
    <cellStyle name="40 % - Aksentti4 13 2 2 3" xfId="16081" xr:uid="{00000000-0005-0000-0000-0000222A0000}"/>
    <cellStyle name="40 % - Aksentti4 13 2 2_060617_hinnat" xfId="24068" xr:uid="{00000000-0005-0000-0000-0000232A0000}"/>
    <cellStyle name="40 % - Aksentti4 13 2 3" xfId="7885" xr:uid="{00000000-0005-0000-0000-0000242A0000}"/>
    <cellStyle name="40 % - Aksentti4 13 2 3 2" xfId="11763" xr:uid="{00000000-0005-0000-0000-0000252A0000}"/>
    <cellStyle name="40 % - Aksentti4 13 2 3 3" xfId="19531" xr:uid="{00000000-0005-0000-0000-0000262A0000}"/>
    <cellStyle name="40 % - Aksentti4 13 2 3_DataIX" xfId="30964" xr:uid="{00000000-0005-0000-0000-0000272A0000}"/>
    <cellStyle name="40 % - Aksentti4 13 2 4" xfId="16080" xr:uid="{00000000-0005-0000-0000-0000282A0000}"/>
    <cellStyle name="40 % - Aksentti4 13 2_060617_hinnat" xfId="24070" xr:uid="{00000000-0005-0000-0000-0000292A0000}"/>
    <cellStyle name="40 % - Aksentti4 13 3" xfId="2562" xr:uid="{00000000-0005-0000-0000-00002A2A0000}"/>
    <cellStyle name="40 % - Aksentti4 13 3 2" xfId="7887" xr:uid="{00000000-0005-0000-0000-00002B2A0000}"/>
    <cellStyle name="40 % - Aksentti4 13 3 2 2" xfId="11764" xr:uid="{00000000-0005-0000-0000-00002C2A0000}"/>
    <cellStyle name="40 % - Aksentti4 13 3 2 3" xfId="19533" xr:uid="{00000000-0005-0000-0000-00002D2A0000}"/>
    <cellStyle name="40 % - Aksentti4 13 3 2_DataIX" xfId="30965" xr:uid="{00000000-0005-0000-0000-00002E2A0000}"/>
    <cellStyle name="40 % - Aksentti4 13 3 3" xfId="16082" xr:uid="{00000000-0005-0000-0000-00002F2A0000}"/>
    <cellStyle name="40 % - Aksentti4 13 3_060617_hinnat" xfId="24071" xr:uid="{00000000-0005-0000-0000-0000302A0000}"/>
    <cellStyle name="40 % - Aksentti4 13 4" xfId="2563" xr:uid="{00000000-0005-0000-0000-0000312A0000}"/>
    <cellStyle name="40 % - Aksentti4 13 4 2" xfId="7888" xr:uid="{00000000-0005-0000-0000-0000322A0000}"/>
    <cellStyle name="40 % - Aksentti4 13 4 2 2" xfId="11765" xr:uid="{00000000-0005-0000-0000-0000332A0000}"/>
    <cellStyle name="40 % - Aksentti4 13 4 2 3" xfId="19534" xr:uid="{00000000-0005-0000-0000-0000342A0000}"/>
    <cellStyle name="40 % - Aksentti4 13 4 2_DataIX" xfId="30966" xr:uid="{00000000-0005-0000-0000-0000352A0000}"/>
    <cellStyle name="40 % - Aksentti4 13 4 3" xfId="16083" xr:uid="{00000000-0005-0000-0000-0000362A0000}"/>
    <cellStyle name="40 % - Aksentti4 13 4_060617_hinnat" xfId="24072" xr:uid="{00000000-0005-0000-0000-0000372A0000}"/>
    <cellStyle name="40 % - Aksentti4 13 5" xfId="2564" xr:uid="{00000000-0005-0000-0000-0000382A0000}"/>
    <cellStyle name="40 % - Aksentti4 13 5 2" xfId="7889" xr:uid="{00000000-0005-0000-0000-0000392A0000}"/>
    <cellStyle name="40 % - Aksentti4 13 5 2 2" xfId="11766" xr:uid="{00000000-0005-0000-0000-00003A2A0000}"/>
    <cellStyle name="40 % - Aksentti4 13 5 2 3" xfId="19535" xr:uid="{00000000-0005-0000-0000-00003B2A0000}"/>
    <cellStyle name="40 % - Aksentti4 13 5 2_DataIX" xfId="30967" xr:uid="{00000000-0005-0000-0000-00003C2A0000}"/>
    <cellStyle name="40 % - Aksentti4 13 5 3" xfId="16084" xr:uid="{00000000-0005-0000-0000-00003D2A0000}"/>
    <cellStyle name="40 % - Aksentti4 13 5_060617_hinnat" xfId="24073" xr:uid="{00000000-0005-0000-0000-00003E2A0000}"/>
    <cellStyle name="40 % - Aksentti4 13 6" xfId="2565" xr:uid="{00000000-0005-0000-0000-00003F2A0000}"/>
    <cellStyle name="40 % - Aksentti4 13 6 2" xfId="7890" xr:uid="{00000000-0005-0000-0000-0000402A0000}"/>
    <cellStyle name="40 % - Aksentti4 13 6 2 2" xfId="11767" xr:uid="{00000000-0005-0000-0000-0000412A0000}"/>
    <cellStyle name="40 % - Aksentti4 13 6 2 3" xfId="19536" xr:uid="{00000000-0005-0000-0000-0000422A0000}"/>
    <cellStyle name="40 % - Aksentti4 13 6 2_DataIX" xfId="30968" xr:uid="{00000000-0005-0000-0000-0000432A0000}"/>
    <cellStyle name="40 % - Aksentti4 13 6 3" xfId="16085" xr:uid="{00000000-0005-0000-0000-0000442A0000}"/>
    <cellStyle name="40 % - Aksentti4 13 6_060617_hinnat" xfId="24074" xr:uid="{00000000-0005-0000-0000-0000452A0000}"/>
    <cellStyle name="40 % - Aksentti4 13 7" xfId="2566" xr:uid="{00000000-0005-0000-0000-0000462A0000}"/>
    <cellStyle name="40 % - Aksentti4 13 7 2" xfId="7891" xr:uid="{00000000-0005-0000-0000-0000472A0000}"/>
    <cellStyle name="40 % - Aksentti4 13 7 2 2" xfId="11768" xr:uid="{00000000-0005-0000-0000-0000482A0000}"/>
    <cellStyle name="40 % - Aksentti4 13 7 2 3" xfId="19537" xr:uid="{00000000-0005-0000-0000-0000492A0000}"/>
    <cellStyle name="40 % - Aksentti4 13 7 2_DataIX" xfId="30969" xr:uid="{00000000-0005-0000-0000-00004A2A0000}"/>
    <cellStyle name="40 % - Aksentti4 13 7 3" xfId="16086" xr:uid="{00000000-0005-0000-0000-00004B2A0000}"/>
    <cellStyle name="40 % - Aksentti4 13 7_060617_hinnat" xfId="24075" xr:uid="{00000000-0005-0000-0000-00004C2A0000}"/>
    <cellStyle name="40 % - Aksentti4 13 8" xfId="2567" xr:uid="{00000000-0005-0000-0000-00004D2A0000}"/>
    <cellStyle name="40 % - Aksentti4 13 8 2" xfId="7892" xr:uid="{00000000-0005-0000-0000-00004E2A0000}"/>
    <cellStyle name="40 % - Aksentti4 13 8 2 2" xfId="11769" xr:uid="{00000000-0005-0000-0000-00004F2A0000}"/>
    <cellStyle name="40 % - Aksentti4 13 8 2 3" xfId="19538" xr:uid="{00000000-0005-0000-0000-0000502A0000}"/>
    <cellStyle name="40 % - Aksentti4 13 8 2_DataIX" xfId="30970" xr:uid="{00000000-0005-0000-0000-0000512A0000}"/>
    <cellStyle name="40 % - Aksentti4 13 8 3" xfId="16087" xr:uid="{00000000-0005-0000-0000-0000522A0000}"/>
    <cellStyle name="40 % - Aksentti4 13 8_060617_hinnat" xfId="24076" xr:uid="{00000000-0005-0000-0000-0000532A0000}"/>
    <cellStyle name="40 % - Aksentti4 13 9" xfId="2568" xr:uid="{00000000-0005-0000-0000-0000542A0000}"/>
    <cellStyle name="40 % - Aksentti4 13 9 2" xfId="7893" xr:uid="{00000000-0005-0000-0000-0000552A0000}"/>
    <cellStyle name="40 % - Aksentti4 13 9 2 2" xfId="11770" xr:uid="{00000000-0005-0000-0000-0000562A0000}"/>
    <cellStyle name="40 % - Aksentti4 13 9 2 3" xfId="19539" xr:uid="{00000000-0005-0000-0000-0000572A0000}"/>
    <cellStyle name="40 % - Aksentti4 13 9 2_DataIX" xfId="30971" xr:uid="{00000000-0005-0000-0000-0000582A0000}"/>
    <cellStyle name="40 % - Aksentti4 13 9 3" xfId="16088" xr:uid="{00000000-0005-0000-0000-0000592A0000}"/>
    <cellStyle name="40 % - Aksentti4 13 9_060617_hinnat" xfId="24077" xr:uid="{00000000-0005-0000-0000-00005A2A0000}"/>
    <cellStyle name="40 % - Aksentti4 13_060617_hinnat" xfId="24078" xr:uid="{00000000-0005-0000-0000-00005B2A0000}"/>
    <cellStyle name="40 % - Aksentti4 14" xfId="2569" xr:uid="{00000000-0005-0000-0000-00005C2A0000}"/>
    <cellStyle name="40 % - Aksentti4 14 10" xfId="2570" xr:uid="{00000000-0005-0000-0000-00005D2A0000}"/>
    <cellStyle name="40 % - Aksentti4 14 10 2" xfId="7895" xr:uid="{00000000-0005-0000-0000-00005E2A0000}"/>
    <cellStyle name="40 % - Aksentti4 14 10 2 2" xfId="11771" xr:uid="{00000000-0005-0000-0000-00005F2A0000}"/>
    <cellStyle name="40 % - Aksentti4 14 10 2 3" xfId="19541" xr:uid="{00000000-0005-0000-0000-0000602A0000}"/>
    <cellStyle name="40 % - Aksentti4 14 10 2_DataIX" xfId="30972" xr:uid="{00000000-0005-0000-0000-0000612A0000}"/>
    <cellStyle name="40 % - Aksentti4 14 10 3" xfId="16090" xr:uid="{00000000-0005-0000-0000-0000622A0000}"/>
    <cellStyle name="40 % - Aksentti4 14 10_060617_hinnat" xfId="24079" xr:uid="{00000000-0005-0000-0000-0000632A0000}"/>
    <cellStyle name="40 % - Aksentti4 14 11" xfId="7894" xr:uid="{00000000-0005-0000-0000-0000642A0000}"/>
    <cellStyle name="40 % - Aksentti4 14 11 2" xfId="11772" xr:uid="{00000000-0005-0000-0000-0000652A0000}"/>
    <cellStyle name="40 % - Aksentti4 14 11 3" xfId="19540" xr:uid="{00000000-0005-0000-0000-0000662A0000}"/>
    <cellStyle name="40 % - Aksentti4 14 11_DataIX" xfId="30973" xr:uid="{00000000-0005-0000-0000-0000672A0000}"/>
    <cellStyle name="40 % - Aksentti4 14 12" xfId="16089" xr:uid="{00000000-0005-0000-0000-0000682A0000}"/>
    <cellStyle name="40 % - Aksentti4 14 2" xfId="2571" xr:uid="{00000000-0005-0000-0000-0000692A0000}"/>
    <cellStyle name="40 % - Aksentti4 14 2 2" xfId="2572" xr:uid="{00000000-0005-0000-0000-00006A2A0000}"/>
    <cellStyle name="40 % - Aksentti4 14 2 2 2" xfId="7897" xr:uid="{00000000-0005-0000-0000-00006B2A0000}"/>
    <cellStyle name="40 % - Aksentti4 14 2 2 2 2" xfId="11773" xr:uid="{00000000-0005-0000-0000-00006C2A0000}"/>
    <cellStyle name="40 % - Aksentti4 14 2 2 2 3" xfId="19543" xr:uid="{00000000-0005-0000-0000-00006D2A0000}"/>
    <cellStyle name="40 % - Aksentti4 14 2 2 2_DataIX" xfId="30974" xr:uid="{00000000-0005-0000-0000-00006E2A0000}"/>
    <cellStyle name="40 % - Aksentti4 14 2 2 3" xfId="16092" xr:uid="{00000000-0005-0000-0000-00006F2A0000}"/>
    <cellStyle name="40 % - Aksentti4 14 2 2_060617_hinnat" xfId="24080" xr:uid="{00000000-0005-0000-0000-0000702A0000}"/>
    <cellStyle name="40 % - Aksentti4 14 2 3" xfId="7896" xr:uid="{00000000-0005-0000-0000-0000712A0000}"/>
    <cellStyle name="40 % - Aksentti4 14 2 3 2" xfId="11774" xr:uid="{00000000-0005-0000-0000-0000722A0000}"/>
    <cellStyle name="40 % - Aksentti4 14 2 3 3" xfId="19542" xr:uid="{00000000-0005-0000-0000-0000732A0000}"/>
    <cellStyle name="40 % - Aksentti4 14 2 3_DataIX" xfId="30975" xr:uid="{00000000-0005-0000-0000-0000742A0000}"/>
    <cellStyle name="40 % - Aksentti4 14 2 4" xfId="16091" xr:uid="{00000000-0005-0000-0000-0000752A0000}"/>
    <cellStyle name="40 % - Aksentti4 14 2_060617_hinnat" xfId="24081" xr:uid="{00000000-0005-0000-0000-0000762A0000}"/>
    <cellStyle name="40 % - Aksentti4 14 3" xfId="2573" xr:uid="{00000000-0005-0000-0000-0000772A0000}"/>
    <cellStyle name="40 % - Aksentti4 14 3 2" xfId="7898" xr:uid="{00000000-0005-0000-0000-0000782A0000}"/>
    <cellStyle name="40 % - Aksentti4 14 3 2 2" xfId="11775" xr:uid="{00000000-0005-0000-0000-0000792A0000}"/>
    <cellStyle name="40 % - Aksentti4 14 3 2 3" xfId="19544" xr:uid="{00000000-0005-0000-0000-00007A2A0000}"/>
    <cellStyle name="40 % - Aksentti4 14 3 2_DataIX" xfId="30976" xr:uid="{00000000-0005-0000-0000-00007B2A0000}"/>
    <cellStyle name="40 % - Aksentti4 14 3 3" xfId="16093" xr:uid="{00000000-0005-0000-0000-00007C2A0000}"/>
    <cellStyle name="40 % - Aksentti4 14 3_060617_hinnat" xfId="24082" xr:uid="{00000000-0005-0000-0000-00007D2A0000}"/>
    <cellStyle name="40 % - Aksentti4 14 4" xfId="2574" xr:uid="{00000000-0005-0000-0000-00007E2A0000}"/>
    <cellStyle name="40 % - Aksentti4 14 4 2" xfId="7899" xr:uid="{00000000-0005-0000-0000-00007F2A0000}"/>
    <cellStyle name="40 % - Aksentti4 14 4 2 2" xfId="11776" xr:uid="{00000000-0005-0000-0000-0000802A0000}"/>
    <cellStyle name="40 % - Aksentti4 14 4 2 3" xfId="19545" xr:uid="{00000000-0005-0000-0000-0000812A0000}"/>
    <cellStyle name="40 % - Aksentti4 14 4 2_DataIX" xfId="30977" xr:uid="{00000000-0005-0000-0000-0000822A0000}"/>
    <cellStyle name="40 % - Aksentti4 14 4 3" xfId="16094" xr:uid="{00000000-0005-0000-0000-0000832A0000}"/>
    <cellStyle name="40 % - Aksentti4 14 4_060617_hinnat" xfId="24083" xr:uid="{00000000-0005-0000-0000-0000842A0000}"/>
    <cellStyle name="40 % - Aksentti4 14 5" xfId="2575" xr:uid="{00000000-0005-0000-0000-0000852A0000}"/>
    <cellStyle name="40 % - Aksentti4 14 5 2" xfId="7900" xr:uid="{00000000-0005-0000-0000-0000862A0000}"/>
    <cellStyle name="40 % - Aksentti4 14 5 2 2" xfId="11777" xr:uid="{00000000-0005-0000-0000-0000872A0000}"/>
    <cellStyle name="40 % - Aksentti4 14 5 2 3" xfId="19546" xr:uid="{00000000-0005-0000-0000-0000882A0000}"/>
    <cellStyle name="40 % - Aksentti4 14 5 2_DataIX" xfId="30978" xr:uid="{00000000-0005-0000-0000-0000892A0000}"/>
    <cellStyle name="40 % - Aksentti4 14 5 3" xfId="16095" xr:uid="{00000000-0005-0000-0000-00008A2A0000}"/>
    <cellStyle name="40 % - Aksentti4 14 5_060617_hinnat" xfId="24084" xr:uid="{00000000-0005-0000-0000-00008B2A0000}"/>
    <cellStyle name="40 % - Aksentti4 14 6" xfId="2576" xr:uid="{00000000-0005-0000-0000-00008C2A0000}"/>
    <cellStyle name="40 % - Aksentti4 14 6 2" xfId="7901" xr:uid="{00000000-0005-0000-0000-00008D2A0000}"/>
    <cellStyle name="40 % - Aksentti4 14 6 2 2" xfId="11778" xr:uid="{00000000-0005-0000-0000-00008E2A0000}"/>
    <cellStyle name="40 % - Aksentti4 14 6 2 3" xfId="19547" xr:uid="{00000000-0005-0000-0000-00008F2A0000}"/>
    <cellStyle name="40 % - Aksentti4 14 6 2_DataIX" xfId="30979" xr:uid="{00000000-0005-0000-0000-0000902A0000}"/>
    <cellStyle name="40 % - Aksentti4 14 6 3" xfId="16096" xr:uid="{00000000-0005-0000-0000-0000912A0000}"/>
    <cellStyle name="40 % - Aksentti4 14 6_060617_hinnat" xfId="24085" xr:uid="{00000000-0005-0000-0000-0000922A0000}"/>
    <cellStyle name="40 % - Aksentti4 14 7" xfId="2577" xr:uid="{00000000-0005-0000-0000-0000932A0000}"/>
    <cellStyle name="40 % - Aksentti4 14 7 2" xfId="7902" xr:uid="{00000000-0005-0000-0000-0000942A0000}"/>
    <cellStyle name="40 % - Aksentti4 14 7 2 2" xfId="11779" xr:uid="{00000000-0005-0000-0000-0000952A0000}"/>
    <cellStyle name="40 % - Aksentti4 14 7 2 3" xfId="19548" xr:uid="{00000000-0005-0000-0000-0000962A0000}"/>
    <cellStyle name="40 % - Aksentti4 14 7 2_DataIX" xfId="30980" xr:uid="{00000000-0005-0000-0000-0000972A0000}"/>
    <cellStyle name="40 % - Aksentti4 14 7 3" xfId="16097" xr:uid="{00000000-0005-0000-0000-0000982A0000}"/>
    <cellStyle name="40 % - Aksentti4 14 7_060617_hinnat" xfId="24086" xr:uid="{00000000-0005-0000-0000-0000992A0000}"/>
    <cellStyle name="40 % - Aksentti4 14 8" xfId="2578" xr:uid="{00000000-0005-0000-0000-00009A2A0000}"/>
    <cellStyle name="40 % - Aksentti4 14 8 2" xfId="7903" xr:uid="{00000000-0005-0000-0000-00009B2A0000}"/>
    <cellStyle name="40 % - Aksentti4 14 8 2 2" xfId="11780" xr:uid="{00000000-0005-0000-0000-00009C2A0000}"/>
    <cellStyle name="40 % - Aksentti4 14 8 2 3" xfId="19549" xr:uid="{00000000-0005-0000-0000-00009D2A0000}"/>
    <cellStyle name="40 % - Aksentti4 14 8 2_DataIX" xfId="30981" xr:uid="{00000000-0005-0000-0000-00009E2A0000}"/>
    <cellStyle name="40 % - Aksentti4 14 8 3" xfId="16098" xr:uid="{00000000-0005-0000-0000-00009F2A0000}"/>
    <cellStyle name="40 % - Aksentti4 14 8_060617_hinnat" xfId="24087" xr:uid="{00000000-0005-0000-0000-0000A02A0000}"/>
    <cellStyle name="40 % - Aksentti4 14 9" xfId="2579" xr:uid="{00000000-0005-0000-0000-0000A12A0000}"/>
    <cellStyle name="40 % - Aksentti4 14 9 2" xfId="7904" xr:uid="{00000000-0005-0000-0000-0000A22A0000}"/>
    <cellStyle name="40 % - Aksentti4 14 9 2 2" xfId="11781" xr:uid="{00000000-0005-0000-0000-0000A32A0000}"/>
    <cellStyle name="40 % - Aksentti4 14 9 2 3" xfId="19550" xr:uid="{00000000-0005-0000-0000-0000A42A0000}"/>
    <cellStyle name="40 % - Aksentti4 14 9 2_DataIX" xfId="30982" xr:uid="{00000000-0005-0000-0000-0000A52A0000}"/>
    <cellStyle name="40 % - Aksentti4 14 9 3" xfId="16099" xr:uid="{00000000-0005-0000-0000-0000A62A0000}"/>
    <cellStyle name="40 % - Aksentti4 14 9_060617_hinnat" xfId="24088" xr:uid="{00000000-0005-0000-0000-0000A72A0000}"/>
    <cellStyle name="40 % - Aksentti4 14_060617_hinnat" xfId="24089" xr:uid="{00000000-0005-0000-0000-0000A82A0000}"/>
    <cellStyle name="40 % - Aksentti4 15" xfId="2580" xr:uid="{00000000-0005-0000-0000-0000A92A0000}"/>
    <cellStyle name="40 % - Aksentti4 15 10" xfId="2581" xr:uid="{00000000-0005-0000-0000-0000AA2A0000}"/>
    <cellStyle name="40 % - Aksentti4 15 10 2" xfId="7906" xr:uid="{00000000-0005-0000-0000-0000AB2A0000}"/>
    <cellStyle name="40 % - Aksentti4 15 10 2 2" xfId="11782" xr:uid="{00000000-0005-0000-0000-0000AC2A0000}"/>
    <cellStyle name="40 % - Aksentti4 15 10 2 3" xfId="19552" xr:uid="{00000000-0005-0000-0000-0000AD2A0000}"/>
    <cellStyle name="40 % - Aksentti4 15 10 2_DataIX" xfId="30983" xr:uid="{00000000-0005-0000-0000-0000AE2A0000}"/>
    <cellStyle name="40 % - Aksentti4 15 10 3" xfId="16101" xr:uid="{00000000-0005-0000-0000-0000AF2A0000}"/>
    <cellStyle name="40 % - Aksentti4 15 10_060617_hinnat" xfId="24090" xr:uid="{00000000-0005-0000-0000-0000B02A0000}"/>
    <cellStyle name="40 % - Aksentti4 15 11" xfId="7905" xr:uid="{00000000-0005-0000-0000-0000B12A0000}"/>
    <cellStyle name="40 % - Aksentti4 15 11 2" xfId="11783" xr:uid="{00000000-0005-0000-0000-0000B22A0000}"/>
    <cellStyle name="40 % - Aksentti4 15 11 3" xfId="19551" xr:uid="{00000000-0005-0000-0000-0000B32A0000}"/>
    <cellStyle name="40 % - Aksentti4 15 11_DataIX" xfId="30984" xr:uid="{00000000-0005-0000-0000-0000B42A0000}"/>
    <cellStyle name="40 % - Aksentti4 15 12" xfId="16100" xr:uid="{00000000-0005-0000-0000-0000B52A0000}"/>
    <cellStyle name="40 % - Aksentti4 15 2" xfId="2582" xr:uid="{00000000-0005-0000-0000-0000B62A0000}"/>
    <cellStyle name="40 % - Aksentti4 15 2 2" xfId="2583" xr:uid="{00000000-0005-0000-0000-0000B72A0000}"/>
    <cellStyle name="40 % - Aksentti4 15 2 2 2" xfId="7908" xr:uid="{00000000-0005-0000-0000-0000B82A0000}"/>
    <cellStyle name="40 % - Aksentti4 15 2 2 2 2" xfId="11784" xr:uid="{00000000-0005-0000-0000-0000B92A0000}"/>
    <cellStyle name="40 % - Aksentti4 15 2 2 2 3" xfId="19554" xr:uid="{00000000-0005-0000-0000-0000BA2A0000}"/>
    <cellStyle name="40 % - Aksentti4 15 2 2 2_DataIX" xfId="30985" xr:uid="{00000000-0005-0000-0000-0000BB2A0000}"/>
    <cellStyle name="40 % - Aksentti4 15 2 2 3" xfId="16103" xr:uid="{00000000-0005-0000-0000-0000BC2A0000}"/>
    <cellStyle name="40 % - Aksentti4 15 2 2_060617_hinnat" xfId="24091" xr:uid="{00000000-0005-0000-0000-0000BD2A0000}"/>
    <cellStyle name="40 % - Aksentti4 15 2 3" xfId="7907" xr:uid="{00000000-0005-0000-0000-0000BE2A0000}"/>
    <cellStyle name="40 % - Aksentti4 15 2 3 2" xfId="11785" xr:uid="{00000000-0005-0000-0000-0000BF2A0000}"/>
    <cellStyle name="40 % - Aksentti4 15 2 3 3" xfId="19553" xr:uid="{00000000-0005-0000-0000-0000C02A0000}"/>
    <cellStyle name="40 % - Aksentti4 15 2 3_DataIX" xfId="30986" xr:uid="{00000000-0005-0000-0000-0000C12A0000}"/>
    <cellStyle name="40 % - Aksentti4 15 2 4" xfId="16102" xr:uid="{00000000-0005-0000-0000-0000C22A0000}"/>
    <cellStyle name="40 % - Aksentti4 15 2_060617_hinnat" xfId="24092" xr:uid="{00000000-0005-0000-0000-0000C32A0000}"/>
    <cellStyle name="40 % - Aksentti4 15 3" xfId="2584" xr:uid="{00000000-0005-0000-0000-0000C42A0000}"/>
    <cellStyle name="40 % - Aksentti4 15 3 2" xfId="7909" xr:uid="{00000000-0005-0000-0000-0000C52A0000}"/>
    <cellStyle name="40 % - Aksentti4 15 3 2 2" xfId="11786" xr:uid="{00000000-0005-0000-0000-0000C62A0000}"/>
    <cellStyle name="40 % - Aksentti4 15 3 2 3" xfId="19555" xr:uid="{00000000-0005-0000-0000-0000C72A0000}"/>
    <cellStyle name="40 % - Aksentti4 15 3 2_DataIX" xfId="30987" xr:uid="{00000000-0005-0000-0000-0000C82A0000}"/>
    <cellStyle name="40 % - Aksentti4 15 3 3" xfId="16104" xr:uid="{00000000-0005-0000-0000-0000C92A0000}"/>
    <cellStyle name="40 % - Aksentti4 15 3_060617_hinnat" xfId="24093" xr:uid="{00000000-0005-0000-0000-0000CA2A0000}"/>
    <cellStyle name="40 % - Aksentti4 15 4" xfId="2585" xr:uid="{00000000-0005-0000-0000-0000CB2A0000}"/>
    <cellStyle name="40 % - Aksentti4 15 4 2" xfId="7910" xr:uid="{00000000-0005-0000-0000-0000CC2A0000}"/>
    <cellStyle name="40 % - Aksentti4 15 4 2 2" xfId="11787" xr:uid="{00000000-0005-0000-0000-0000CD2A0000}"/>
    <cellStyle name="40 % - Aksentti4 15 4 2 3" xfId="19556" xr:uid="{00000000-0005-0000-0000-0000CE2A0000}"/>
    <cellStyle name="40 % - Aksentti4 15 4 2_DataIX" xfId="30988" xr:uid="{00000000-0005-0000-0000-0000CF2A0000}"/>
    <cellStyle name="40 % - Aksentti4 15 4 3" xfId="16105" xr:uid="{00000000-0005-0000-0000-0000D02A0000}"/>
    <cellStyle name="40 % - Aksentti4 15 4_060617_hinnat" xfId="24094" xr:uid="{00000000-0005-0000-0000-0000D12A0000}"/>
    <cellStyle name="40 % - Aksentti4 15 5" xfId="2586" xr:uid="{00000000-0005-0000-0000-0000D22A0000}"/>
    <cellStyle name="40 % - Aksentti4 15 5 2" xfId="7911" xr:uid="{00000000-0005-0000-0000-0000D32A0000}"/>
    <cellStyle name="40 % - Aksentti4 15 5 2 2" xfId="11788" xr:uid="{00000000-0005-0000-0000-0000D42A0000}"/>
    <cellStyle name="40 % - Aksentti4 15 5 2 3" xfId="19557" xr:uid="{00000000-0005-0000-0000-0000D52A0000}"/>
    <cellStyle name="40 % - Aksentti4 15 5 2_DataIX" xfId="30989" xr:uid="{00000000-0005-0000-0000-0000D62A0000}"/>
    <cellStyle name="40 % - Aksentti4 15 5 3" xfId="16106" xr:uid="{00000000-0005-0000-0000-0000D72A0000}"/>
    <cellStyle name="40 % - Aksentti4 15 5_060617_hinnat" xfId="24095" xr:uid="{00000000-0005-0000-0000-0000D82A0000}"/>
    <cellStyle name="40 % - Aksentti4 15 6" xfId="2587" xr:uid="{00000000-0005-0000-0000-0000D92A0000}"/>
    <cellStyle name="40 % - Aksentti4 15 6 2" xfId="7912" xr:uid="{00000000-0005-0000-0000-0000DA2A0000}"/>
    <cellStyle name="40 % - Aksentti4 15 6 2 2" xfId="11789" xr:uid="{00000000-0005-0000-0000-0000DB2A0000}"/>
    <cellStyle name="40 % - Aksentti4 15 6 2 3" xfId="19558" xr:uid="{00000000-0005-0000-0000-0000DC2A0000}"/>
    <cellStyle name="40 % - Aksentti4 15 6 2_DataIX" xfId="30990" xr:uid="{00000000-0005-0000-0000-0000DD2A0000}"/>
    <cellStyle name="40 % - Aksentti4 15 6 3" xfId="16107" xr:uid="{00000000-0005-0000-0000-0000DE2A0000}"/>
    <cellStyle name="40 % - Aksentti4 15 6_060617_hinnat" xfId="24096" xr:uid="{00000000-0005-0000-0000-0000DF2A0000}"/>
    <cellStyle name="40 % - Aksentti4 15 7" xfId="2588" xr:uid="{00000000-0005-0000-0000-0000E02A0000}"/>
    <cellStyle name="40 % - Aksentti4 15 7 2" xfId="7913" xr:uid="{00000000-0005-0000-0000-0000E12A0000}"/>
    <cellStyle name="40 % - Aksentti4 15 7 2 2" xfId="11790" xr:uid="{00000000-0005-0000-0000-0000E22A0000}"/>
    <cellStyle name="40 % - Aksentti4 15 7 2 3" xfId="19559" xr:uid="{00000000-0005-0000-0000-0000E32A0000}"/>
    <cellStyle name="40 % - Aksentti4 15 7 2_DataIX" xfId="30991" xr:uid="{00000000-0005-0000-0000-0000E42A0000}"/>
    <cellStyle name="40 % - Aksentti4 15 7 3" xfId="16108" xr:uid="{00000000-0005-0000-0000-0000E52A0000}"/>
    <cellStyle name="40 % - Aksentti4 15 7_060617_hinnat" xfId="24097" xr:uid="{00000000-0005-0000-0000-0000E62A0000}"/>
    <cellStyle name="40 % - Aksentti4 15 8" xfId="2589" xr:uid="{00000000-0005-0000-0000-0000E72A0000}"/>
    <cellStyle name="40 % - Aksentti4 15 8 2" xfId="7914" xr:uid="{00000000-0005-0000-0000-0000E82A0000}"/>
    <cellStyle name="40 % - Aksentti4 15 8 2 2" xfId="11791" xr:uid="{00000000-0005-0000-0000-0000E92A0000}"/>
    <cellStyle name="40 % - Aksentti4 15 8 2 3" xfId="19560" xr:uid="{00000000-0005-0000-0000-0000EA2A0000}"/>
    <cellStyle name="40 % - Aksentti4 15 8 2_DataIX" xfId="30992" xr:uid="{00000000-0005-0000-0000-0000EB2A0000}"/>
    <cellStyle name="40 % - Aksentti4 15 8 3" xfId="16109" xr:uid="{00000000-0005-0000-0000-0000EC2A0000}"/>
    <cellStyle name="40 % - Aksentti4 15 8_060617_hinnat" xfId="24098" xr:uid="{00000000-0005-0000-0000-0000ED2A0000}"/>
    <cellStyle name="40 % - Aksentti4 15 9" xfId="2590" xr:uid="{00000000-0005-0000-0000-0000EE2A0000}"/>
    <cellStyle name="40 % - Aksentti4 15 9 2" xfId="7915" xr:uid="{00000000-0005-0000-0000-0000EF2A0000}"/>
    <cellStyle name="40 % - Aksentti4 15 9 2 2" xfId="11792" xr:uid="{00000000-0005-0000-0000-0000F02A0000}"/>
    <cellStyle name="40 % - Aksentti4 15 9 2 3" xfId="19561" xr:uid="{00000000-0005-0000-0000-0000F12A0000}"/>
    <cellStyle name="40 % - Aksentti4 15 9 2_DataIX" xfId="30993" xr:uid="{00000000-0005-0000-0000-0000F22A0000}"/>
    <cellStyle name="40 % - Aksentti4 15 9 3" xfId="16110" xr:uid="{00000000-0005-0000-0000-0000F32A0000}"/>
    <cellStyle name="40 % - Aksentti4 15 9_060617_hinnat" xfId="24099" xr:uid="{00000000-0005-0000-0000-0000F42A0000}"/>
    <cellStyle name="40 % - Aksentti4 15_060617_hinnat" xfId="24100" xr:uid="{00000000-0005-0000-0000-0000F52A0000}"/>
    <cellStyle name="40 % - Aksentti4 16" xfId="2591" xr:uid="{00000000-0005-0000-0000-0000F62A0000}"/>
    <cellStyle name="40 % - Aksentti4 16 2" xfId="7916" xr:uid="{00000000-0005-0000-0000-0000F72A0000}"/>
    <cellStyle name="40 % - Aksentti4 16 2 2" xfId="11793" xr:uid="{00000000-0005-0000-0000-0000F82A0000}"/>
    <cellStyle name="40 % - Aksentti4 16 2 3" xfId="19562" xr:uid="{00000000-0005-0000-0000-0000F92A0000}"/>
    <cellStyle name="40 % - Aksentti4 16 2_DataIX" xfId="30994" xr:uid="{00000000-0005-0000-0000-0000FA2A0000}"/>
    <cellStyle name="40 % - Aksentti4 16 3" xfId="16111" xr:uid="{00000000-0005-0000-0000-0000FB2A0000}"/>
    <cellStyle name="40 % - Aksentti4 16_060617_hinnat" xfId="24101" xr:uid="{00000000-0005-0000-0000-0000FC2A0000}"/>
    <cellStyle name="40 % - Aksentti4 17" xfId="2592" xr:uid="{00000000-0005-0000-0000-0000FD2A0000}"/>
    <cellStyle name="40 % - Aksentti4 17 2" xfId="7917" xr:uid="{00000000-0005-0000-0000-0000FE2A0000}"/>
    <cellStyle name="40 % - Aksentti4 17 2 2" xfId="11794" xr:uid="{00000000-0005-0000-0000-0000FF2A0000}"/>
    <cellStyle name="40 % - Aksentti4 17 2 3" xfId="19563" xr:uid="{00000000-0005-0000-0000-0000002B0000}"/>
    <cellStyle name="40 % - Aksentti4 17 2_DataIX" xfId="30995" xr:uid="{00000000-0005-0000-0000-0000012B0000}"/>
    <cellStyle name="40 % - Aksentti4 17 3" xfId="16112" xr:uid="{00000000-0005-0000-0000-0000022B0000}"/>
    <cellStyle name="40 % - Aksentti4 17_060617_hinnat" xfId="24102" xr:uid="{00000000-0005-0000-0000-0000032B0000}"/>
    <cellStyle name="40 % - Aksentti4 18" xfId="2593" xr:uid="{00000000-0005-0000-0000-0000042B0000}"/>
    <cellStyle name="40 % - Aksentti4 18 2" xfId="7918" xr:uid="{00000000-0005-0000-0000-0000052B0000}"/>
    <cellStyle name="40 % - Aksentti4 18 2 2" xfId="11795" xr:uid="{00000000-0005-0000-0000-0000062B0000}"/>
    <cellStyle name="40 % - Aksentti4 18 2 3" xfId="19564" xr:uid="{00000000-0005-0000-0000-0000072B0000}"/>
    <cellStyle name="40 % - Aksentti4 18 2_DataIX" xfId="30996" xr:uid="{00000000-0005-0000-0000-0000082B0000}"/>
    <cellStyle name="40 % - Aksentti4 18 3" xfId="16113" xr:uid="{00000000-0005-0000-0000-0000092B0000}"/>
    <cellStyle name="40 % - Aksentti4 18_060617_hinnat" xfId="24103" xr:uid="{00000000-0005-0000-0000-00000A2B0000}"/>
    <cellStyle name="40 % - Aksentti4 19" xfId="2594" xr:uid="{00000000-0005-0000-0000-00000B2B0000}"/>
    <cellStyle name="40 % - Aksentti4 19 2" xfId="7919" xr:uid="{00000000-0005-0000-0000-00000C2B0000}"/>
    <cellStyle name="40 % - Aksentti4 19 2 2" xfId="11796" xr:uid="{00000000-0005-0000-0000-00000D2B0000}"/>
    <cellStyle name="40 % - Aksentti4 19 2 3" xfId="19565" xr:uid="{00000000-0005-0000-0000-00000E2B0000}"/>
    <cellStyle name="40 % - Aksentti4 19 2_DataIX" xfId="30997" xr:uid="{00000000-0005-0000-0000-00000F2B0000}"/>
    <cellStyle name="40 % - Aksentti4 19 3" xfId="16114" xr:uid="{00000000-0005-0000-0000-0000102B0000}"/>
    <cellStyle name="40 % - Aksentti4 19_060617_hinnat" xfId="24104" xr:uid="{00000000-0005-0000-0000-0000112B0000}"/>
    <cellStyle name="40 % - Aksentti4 2" xfId="24" xr:uid="{00000000-0005-0000-0000-0000122B0000}"/>
    <cellStyle name="40 % - Aksentti4 2 10" xfId="2596" xr:uid="{00000000-0005-0000-0000-0000132B0000}"/>
    <cellStyle name="40 % - Aksentti4 2 10 2" xfId="7921" xr:uid="{00000000-0005-0000-0000-0000142B0000}"/>
    <cellStyle name="40 % - Aksentti4 2 10 2 2" xfId="11797" xr:uid="{00000000-0005-0000-0000-0000152B0000}"/>
    <cellStyle name="40 % - Aksentti4 2 10 2 3" xfId="19566" xr:uid="{00000000-0005-0000-0000-0000162B0000}"/>
    <cellStyle name="40 % - Aksentti4 2 10 2_DataIX" xfId="30998" xr:uid="{00000000-0005-0000-0000-0000172B0000}"/>
    <cellStyle name="40 % - Aksentti4 2 10 3" xfId="16116" xr:uid="{00000000-0005-0000-0000-0000182B0000}"/>
    <cellStyle name="40 % - Aksentti4 2 10_060617_hinnat" xfId="24106" xr:uid="{00000000-0005-0000-0000-0000192B0000}"/>
    <cellStyle name="40 % - Aksentti4 2 11" xfId="2595" xr:uid="{00000000-0005-0000-0000-00001A2B0000}"/>
    <cellStyle name="40 % - Aksentti4 2 11 2" xfId="7922" xr:uid="{00000000-0005-0000-0000-00001B2B0000}"/>
    <cellStyle name="40 % - Aksentti4 2 11 2 2" xfId="11798" xr:uid="{00000000-0005-0000-0000-00001C2B0000}"/>
    <cellStyle name="40 % - Aksentti4 2 11 2 3" xfId="19567" xr:uid="{00000000-0005-0000-0000-00001D2B0000}"/>
    <cellStyle name="40 % - Aksentti4 2 11 2_DataIX" xfId="30999" xr:uid="{00000000-0005-0000-0000-00001E2B0000}"/>
    <cellStyle name="40 % - Aksentti4 2 11 3" xfId="16115" xr:uid="{00000000-0005-0000-0000-00001F2B0000}"/>
    <cellStyle name="40 % - Aksentti4 2 11_060617_hinnat" xfId="24107" xr:uid="{00000000-0005-0000-0000-0000202B0000}"/>
    <cellStyle name="40 % - Aksentti4 2 12" xfId="25058" xr:uid="{00000000-0005-0000-0000-0000212B0000}"/>
    <cellStyle name="40 % - Aksentti4 2 13" xfId="26499" xr:uid="{00000000-0005-0000-0000-0000222B0000}"/>
    <cellStyle name="40 % - Aksentti4 2 14" xfId="25958" xr:uid="{00000000-0005-0000-0000-0000232B0000}"/>
    <cellStyle name="40 % - Aksentti4 2 15" xfId="25623" xr:uid="{00000000-0005-0000-0000-0000242B0000}"/>
    <cellStyle name="40 % - Aksentti4 2 16" xfId="25262" xr:uid="{00000000-0005-0000-0000-0000252B0000}"/>
    <cellStyle name="40 % - Aksentti4 2 17" xfId="26247" xr:uid="{00000000-0005-0000-0000-0000262B0000}"/>
    <cellStyle name="40 % - Aksentti4 2 18" xfId="25481" xr:uid="{00000000-0005-0000-0000-0000272B0000}"/>
    <cellStyle name="40 % - Aksentti4 2 19" xfId="25686" xr:uid="{00000000-0005-0000-0000-0000282B0000}"/>
    <cellStyle name="40 % - Aksentti4 2 2" xfId="160" xr:uid="{00000000-0005-0000-0000-0000292B0000}"/>
    <cellStyle name="40 % - Aksentti4 2 2 10" xfId="2598" xr:uid="{00000000-0005-0000-0000-00002A2B0000}"/>
    <cellStyle name="40 % - Aksentti4 2 2 10 2" xfId="7924" xr:uid="{00000000-0005-0000-0000-00002B2B0000}"/>
    <cellStyle name="40 % - Aksentti4 2 2 10 2 2" xfId="11799" xr:uid="{00000000-0005-0000-0000-00002C2B0000}"/>
    <cellStyle name="40 % - Aksentti4 2 2 10 2 3" xfId="19568" xr:uid="{00000000-0005-0000-0000-00002D2B0000}"/>
    <cellStyle name="40 % - Aksentti4 2 2 10 2_DataIX" xfId="31000" xr:uid="{00000000-0005-0000-0000-00002E2B0000}"/>
    <cellStyle name="40 % - Aksentti4 2 2 10 3" xfId="16118" xr:uid="{00000000-0005-0000-0000-00002F2B0000}"/>
    <cellStyle name="40 % - Aksentti4 2 2 10_060617_hinnat" xfId="24109" xr:uid="{00000000-0005-0000-0000-0000302B0000}"/>
    <cellStyle name="40 % - Aksentti4 2 2 11" xfId="2597" xr:uid="{00000000-0005-0000-0000-0000312B0000}"/>
    <cellStyle name="40 % - Aksentti4 2 2 11 2" xfId="7925" xr:uid="{00000000-0005-0000-0000-0000322B0000}"/>
    <cellStyle name="40 % - Aksentti4 2 2 11 2 2" xfId="11800" xr:uid="{00000000-0005-0000-0000-0000332B0000}"/>
    <cellStyle name="40 % - Aksentti4 2 2 11 2 3" xfId="19569" xr:uid="{00000000-0005-0000-0000-0000342B0000}"/>
    <cellStyle name="40 % - Aksentti4 2 2 11 2_DataIX" xfId="31001" xr:uid="{00000000-0005-0000-0000-0000352B0000}"/>
    <cellStyle name="40 % - Aksentti4 2 2 11 3" xfId="16117" xr:uid="{00000000-0005-0000-0000-0000362B0000}"/>
    <cellStyle name="40 % - Aksentti4 2 2 11_060617_hinnat" xfId="24110" xr:uid="{00000000-0005-0000-0000-0000372B0000}"/>
    <cellStyle name="40 % - Aksentti4 2 2 12" xfId="25081" xr:uid="{00000000-0005-0000-0000-0000382B0000}"/>
    <cellStyle name="40 % - Aksentti4 2 2 13" xfId="25654" xr:uid="{00000000-0005-0000-0000-0000392B0000}"/>
    <cellStyle name="40 % - Aksentti4 2 2 14" xfId="25525" xr:uid="{00000000-0005-0000-0000-00003A2B0000}"/>
    <cellStyle name="40 % - Aksentti4 2 2 15" xfId="25951" xr:uid="{00000000-0005-0000-0000-00003B2B0000}"/>
    <cellStyle name="40 % - Aksentti4 2 2 16" xfId="25708" xr:uid="{00000000-0005-0000-0000-00003C2B0000}"/>
    <cellStyle name="40 % - Aksentti4 2 2 17" xfId="26633" xr:uid="{00000000-0005-0000-0000-00003D2B0000}"/>
    <cellStyle name="40 % - Aksentti4 2 2 18" xfId="26408" xr:uid="{00000000-0005-0000-0000-00003E2B0000}"/>
    <cellStyle name="40 % - Aksentti4 2 2 19" xfId="26268" xr:uid="{00000000-0005-0000-0000-00003F2B0000}"/>
    <cellStyle name="40 % - Aksentti4 2 2 2" xfId="379" xr:uid="{00000000-0005-0000-0000-0000402B0000}"/>
    <cellStyle name="40 % - Aksentti4 2 2 2 10" xfId="13592" xr:uid="{00000000-0005-0000-0000-0000412B0000}"/>
    <cellStyle name="40 % - Aksentti4 2 2 2 2" xfId="2600" xr:uid="{00000000-0005-0000-0000-0000422B0000}"/>
    <cellStyle name="40 % - Aksentti4 2 2 2 2 2" xfId="7927" xr:uid="{00000000-0005-0000-0000-0000432B0000}"/>
    <cellStyle name="40 % - Aksentti4 2 2 2 2 2 2" xfId="11801" xr:uid="{00000000-0005-0000-0000-0000442B0000}"/>
    <cellStyle name="40 % - Aksentti4 2 2 2 2 2 3" xfId="19570" xr:uid="{00000000-0005-0000-0000-0000452B0000}"/>
    <cellStyle name="40 % - Aksentti4 2 2 2 2 2_DataIX" xfId="31002" xr:uid="{00000000-0005-0000-0000-0000462B0000}"/>
    <cellStyle name="40 % - Aksentti4 2 2 2 2 3" xfId="16120" xr:uid="{00000000-0005-0000-0000-0000472B0000}"/>
    <cellStyle name="40 % - Aksentti4 2 2 2 2_060617_hinnat" xfId="24111" xr:uid="{00000000-0005-0000-0000-0000482B0000}"/>
    <cellStyle name="40 % - Aksentti4 2 2 2 3" xfId="2599" xr:uid="{00000000-0005-0000-0000-0000492B0000}"/>
    <cellStyle name="40 % - Aksentti4 2 2 2 3 2" xfId="7928" xr:uid="{00000000-0005-0000-0000-00004A2B0000}"/>
    <cellStyle name="40 % - Aksentti4 2 2 2 3 2 2" xfId="11802" xr:uid="{00000000-0005-0000-0000-00004B2B0000}"/>
    <cellStyle name="40 % - Aksentti4 2 2 2 3 2 3" xfId="19571" xr:uid="{00000000-0005-0000-0000-00004C2B0000}"/>
    <cellStyle name="40 % - Aksentti4 2 2 2 3 2_DataIX" xfId="31003" xr:uid="{00000000-0005-0000-0000-00004D2B0000}"/>
    <cellStyle name="40 % - Aksentti4 2 2 2 3 3" xfId="16119" xr:uid="{00000000-0005-0000-0000-00004E2B0000}"/>
    <cellStyle name="40 % - Aksentti4 2 2 2 3_060617_hinnat" xfId="24112" xr:uid="{00000000-0005-0000-0000-00004F2B0000}"/>
    <cellStyle name="40 % - Aksentti4 2 2 2 4" xfId="10924" xr:uid="{00000000-0005-0000-0000-0000502B0000}"/>
    <cellStyle name="40 % - Aksentti4 2 2 2 5" xfId="11050" xr:uid="{00000000-0005-0000-0000-0000512B0000}"/>
    <cellStyle name="40 % - Aksentti4 2 2 2 6" xfId="10773" xr:uid="{00000000-0005-0000-0000-0000522B0000}"/>
    <cellStyle name="40 % - Aksentti4 2 2 2 7" xfId="13916" xr:uid="{00000000-0005-0000-0000-0000532B0000}"/>
    <cellStyle name="40 % - Aksentti4 2 2 2 8" xfId="20598" xr:uid="{00000000-0005-0000-0000-0000542B0000}"/>
    <cellStyle name="40 % - Aksentti4 2 2 2 9" xfId="11106" xr:uid="{00000000-0005-0000-0000-0000552B0000}"/>
    <cellStyle name="40 % - Aksentti4 2 2 2_##Keskeiset" xfId="7926" xr:uid="{00000000-0005-0000-0000-0000562B0000}"/>
    <cellStyle name="40 % - Aksentti4 2 2 20" xfId="25742" xr:uid="{00000000-0005-0000-0000-0000572B0000}"/>
    <cellStyle name="40 % - Aksentti4 2 2 21" xfId="25558" xr:uid="{00000000-0005-0000-0000-0000582B0000}"/>
    <cellStyle name="40 % - Aksentti4 2 2 22" xfId="25866" xr:uid="{00000000-0005-0000-0000-0000592B0000}"/>
    <cellStyle name="40 % - Aksentti4 2 2 23" xfId="26037" xr:uid="{00000000-0005-0000-0000-00005A2B0000}"/>
    <cellStyle name="40 % - Aksentti4 2 2 24" xfId="26045" xr:uid="{00000000-0005-0000-0000-00005B2B0000}"/>
    <cellStyle name="40 % - Aksentti4 2 2 25" xfId="25464" xr:uid="{00000000-0005-0000-0000-00005C2B0000}"/>
    <cellStyle name="40 % - Aksentti4 2 2 26" xfId="26455" xr:uid="{00000000-0005-0000-0000-00005D2B0000}"/>
    <cellStyle name="40 % - Aksentti4 2 2 27" xfId="25961" xr:uid="{00000000-0005-0000-0000-00005E2B0000}"/>
    <cellStyle name="40 % - Aksentti4 2 2 28" xfId="24108" xr:uid="{00000000-0005-0000-0000-00005F2B0000}"/>
    <cellStyle name="40 % - Aksentti4 2 2 29" xfId="24600" xr:uid="{00000000-0005-0000-0000-0000602B0000}"/>
    <cellStyle name="40 % - Aksentti4 2 2 3" xfId="2601" xr:uid="{00000000-0005-0000-0000-0000612B0000}"/>
    <cellStyle name="40 % - Aksentti4 2 2 3 2" xfId="10925" xr:uid="{00000000-0005-0000-0000-0000622B0000}"/>
    <cellStyle name="40 % - Aksentti4 2 2 3 3" xfId="16121" xr:uid="{00000000-0005-0000-0000-0000632B0000}"/>
    <cellStyle name="40 % - Aksentti4 2 2 3_DataIX" xfId="31004" xr:uid="{00000000-0005-0000-0000-0000642B0000}"/>
    <cellStyle name="40 % - Aksentti4 2 2 30" xfId="23201" xr:uid="{00000000-0005-0000-0000-0000652B0000}"/>
    <cellStyle name="40 % - Aksentti4 2 2 31" xfId="24448" xr:uid="{00000000-0005-0000-0000-0000662B0000}"/>
    <cellStyle name="40 % - Aksentti4 2 2 32" xfId="23262" xr:uid="{00000000-0005-0000-0000-0000672B0000}"/>
    <cellStyle name="40 % - Aksentti4 2 2 33" xfId="24301" xr:uid="{00000000-0005-0000-0000-0000682B0000}"/>
    <cellStyle name="40 % - Aksentti4 2 2 4" xfId="2602" xr:uid="{00000000-0005-0000-0000-0000692B0000}"/>
    <cellStyle name="40 % - Aksentti4 2 2 4 2" xfId="7929" xr:uid="{00000000-0005-0000-0000-00006A2B0000}"/>
    <cellStyle name="40 % - Aksentti4 2 2 4 2 2" xfId="11803" xr:uid="{00000000-0005-0000-0000-00006B2B0000}"/>
    <cellStyle name="40 % - Aksentti4 2 2 4 2 3" xfId="19572" xr:uid="{00000000-0005-0000-0000-00006C2B0000}"/>
    <cellStyle name="40 % - Aksentti4 2 2 4 2_DataIX" xfId="31005" xr:uid="{00000000-0005-0000-0000-00006D2B0000}"/>
    <cellStyle name="40 % - Aksentti4 2 2 4 3" xfId="16122" xr:uid="{00000000-0005-0000-0000-00006E2B0000}"/>
    <cellStyle name="40 % - Aksentti4 2 2 4_060617_hinnat" xfId="24113" xr:uid="{00000000-0005-0000-0000-00006F2B0000}"/>
    <cellStyle name="40 % - Aksentti4 2 2 5" xfId="2603" xr:uid="{00000000-0005-0000-0000-0000702B0000}"/>
    <cellStyle name="40 % - Aksentti4 2 2 5 2" xfId="7930" xr:uid="{00000000-0005-0000-0000-0000712B0000}"/>
    <cellStyle name="40 % - Aksentti4 2 2 5 2 2" xfId="11804" xr:uid="{00000000-0005-0000-0000-0000722B0000}"/>
    <cellStyle name="40 % - Aksentti4 2 2 5 2 3" xfId="19573" xr:uid="{00000000-0005-0000-0000-0000732B0000}"/>
    <cellStyle name="40 % - Aksentti4 2 2 5 2_DataIX" xfId="31006" xr:uid="{00000000-0005-0000-0000-0000742B0000}"/>
    <cellStyle name="40 % - Aksentti4 2 2 5 3" xfId="16123" xr:uid="{00000000-0005-0000-0000-0000752B0000}"/>
    <cellStyle name="40 % - Aksentti4 2 2 5_060617_hinnat" xfId="24114" xr:uid="{00000000-0005-0000-0000-0000762B0000}"/>
    <cellStyle name="40 % - Aksentti4 2 2 6" xfId="2604" xr:uid="{00000000-0005-0000-0000-0000772B0000}"/>
    <cellStyle name="40 % - Aksentti4 2 2 6 2" xfId="7931" xr:uid="{00000000-0005-0000-0000-0000782B0000}"/>
    <cellStyle name="40 % - Aksentti4 2 2 6 2 2" xfId="11805" xr:uid="{00000000-0005-0000-0000-0000792B0000}"/>
    <cellStyle name="40 % - Aksentti4 2 2 6 2 3" xfId="19574" xr:uid="{00000000-0005-0000-0000-00007A2B0000}"/>
    <cellStyle name="40 % - Aksentti4 2 2 6 2_DataIX" xfId="31007" xr:uid="{00000000-0005-0000-0000-00007B2B0000}"/>
    <cellStyle name="40 % - Aksentti4 2 2 6 3" xfId="16124" xr:uid="{00000000-0005-0000-0000-00007C2B0000}"/>
    <cellStyle name="40 % - Aksentti4 2 2 6_060617_hinnat" xfId="24115" xr:uid="{00000000-0005-0000-0000-00007D2B0000}"/>
    <cellStyle name="40 % - Aksentti4 2 2 7" xfId="2605" xr:uid="{00000000-0005-0000-0000-00007E2B0000}"/>
    <cellStyle name="40 % - Aksentti4 2 2 7 2" xfId="7932" xr:uid="{00000000-0005-0000-0000-00007F2B0000}"/>
    <cellStyle name="40 % - Aksentti4 2 2 7 2 2" xfId="11806" xr:uid="{00000000-0005-0000-0000-0000802B0000}"/>
    <cellStyle name="40 % - Aksentti4 2 2 7 2 3" xfId="19575" xr:uid="{00000000-0005-0000-0000-0000812B0000}"/>
    <cellStyle name="40 % - Aksentti4 2 2 7 2_DataIX" xfId="31008" xr:uid="{00000000-0005-0000-0000-0000822B0000}"/>
    <cellStyle name="40 % - Aksentti4 2 2 7 3" xfId="16125" xr:uid="{00000000-0005-0000-0000-0000832B0000}"/>
    <cellStyle name="40 % - Aksentti4 2 2 7_060617_hinnat" xfId="24116" xr:uid="{00000000-0005-0000-0000-0000842B0000}"/>
    <cellStyle name="40 % - Aksentti4 2 2 8" xfId="2606" xr:uid="{00000000-0005-0000-0000-0000852B0000}"/>
    <cellStyle name="40 % - Aksentti4 2 2 8 2" xfId="7933" xr:uid="{00000000-0005-0000-0000-0000862B0000}"/>
    <cellStyle name="40 % - Aksentti4 2 2 8 2 2" xfId="11807" xr:uid="{00000000-0005-0000-0000-0000872B0000}"/>
    <cellStyle name="40 % - Aksentti4 2 2 8 2 3" xfId="19576" xr:uid="{00000000-0005-0000-0000-0000882B0000}"/>
    <cellStyle name="40 % - Aksentti4 2 2 8 2_DataIX" xfId="31009" xr:uid="{00000000-0005-0000-0000-0000892B0000}"/>
    <cellStyle name="40 % - Aksentti4 2 2 8 3" xfId="16126" xr:uid="{00000000-0005-0000-0000-00008A2B0000}"/>
    <cellStyle name="40 % - Aksentti4 2 2 8_060617_hinnat" xfId="24117" xr:uid="{00000000-0005-0000-0000-00008B2B0000}"/>
    <cellStyle name="40 % - Aksentti4 2 2 9" xfId="2607" xr:uid="{00000000-0005-0000-0000-00008C2B0000}"/>
    <cellStyle name="40 % - Aksentti4 2 2 9 2" xfId="7934" xr:uid="{00000000-0005-0000-0000-00008D2B0000}"/>
    <cellStyle name="40 % - Aksentti4 2 2 9 2 2" xfId="11808" xr:uid="{00000000-0005-0000-0000-00008E2B0000}"/>
    <cellStyle name="40 % - Aksentti4 2 2 9 2 3" xfId="19577" xr:uid="{00000000-0005-0000-0000-00008F2B0000}"/>
    <cellStyle name="40 % - Aksentti4 2 2 9 2_DataIX" xfId="31010" xr:uid="{00000000-0005-0000-0000-0000902B0000}"/>
    <cellStyle name="40 % - Aksentti4 2 2 9 3" xfId="16127" xr:uid="{00000000-0005-0000-0000-0000912B0000}"/>
    <cellStyle name="40 % - Aksentti4 2 2 9_060617_hinnat" xfId="24118" xr:uid="{00000000-0005-0000-0000-0000922B0000}"/>
    <cellStyle name="40 % - Aksentti4 2 2_##Keskeiset" xfId="7923" xr:uid="{00000000-0005-0000-0000-0000932B0000}"/>
    <cellStyle name="40 % - Aksentti4 2 20" xfId="25412" xr:uid="{00000000-0005-0000-0000-0000942B0000}"/>
    <cellStyle name="40 % - Aksentti4 2 21" xfId="25317" xr:uid="{00000000-0005-0000-0000-0000952B0000}"/>
    <cellStyle name="40 % - Aksentti4 2 22" xfId="25710" xr:uid="{00000000-0005-0000-0000-0000962B0000}"/>
    <cellStyle name="40 % - Aksentti4 2 23" xfId="26698" xr:uid="{00000000-0005-0000-0000-0000972B0000}"/>
    <cellStyle name="40 % - Aksentti4 2 24" xfId="25570" xr:uid="{00000000-0005-0000-0000-0000982B0000}"/>
    <cellStyle name="40 % - Aksentti4 2 25" xfId="26456" xr:uid="{00000000-0005-0000-0000-0000992B0000}"/>
    <cellStyle name="40 % - Aksentti4 2 26" xfId="26546" xr:uid="{00000000-0005-0000-0000-00009A2B0000}"/>
    <cellStyle name="40 % - Aksentti4 2 27" xfId="26619" xr:uid="{00000000-0005-0000-0000-00009B2B0000}"/>
    <cellStyle name="40 % - Aksentti4 2 28" xfId="24105" xr:uid="{00000000-0005-0000-0000-00009C2B0000}"/>
    <cellStyle name="40 % - Aksentti4 2 29" xfId="24603" xr:uid="{00000000-0005-0000-0000-00009D2B0000}"/>
    <cellStyle name="40 % - Aksentti4 2 3" xfId="161" xr:uid="{00000000-0005-0000-0000-00009E2B0000}"/>
    <cellStyle name="40 % - Aksentti4 2 3 2" xfId="2609" xr:uid="{00000000-0005-0000-0000-00009F2B0000}"/>
    <cellStyle name="40 % - Aksentti4 2 3 2 2" xfId="2610" xr:uid="{00000000-0005-0000-0000-0000A02B0000}"/>
    <cellStyle name="40 % - Aksentti4 2 3 2 2 2" xfId="7936" xr:uid="{00000000-0005-0000-0000-0000A12B0000}"/>
    <cellStyle name="40 % - Aksentti4 2 3 2 2 2 2" xfId="11809" xr:uid="{00000000-0005-0000-0000-0000A22B0000}"/>
    <cellStyle name="40 % - Aksentti4 2 3 2 2 2 3" xfId="19578" xr:uid="{00000000-0005-0000-0000-0000A32B0000}"/>
    <cellStyle name="40 % - Aksentti4 2 3 2 2 2_DataIX" xfId="31011" xr:uid="{00000000-0005-0000-0000-0000A42B0000}"/>
    <cellStyle name="40 % - Aksentti4 2 3 2 2 3" xfId="16130" xr:uid="{00000000-0005-0000-0000-0000A52B0000}"/>
    <cellStyle name="40 % - Aksentti4 2 3 2 2_060617_hinnat" xfId="24119" xr:uid="{00000000-0005-0000-0000-0000A62B0000}"/>
    <cellStyle name="40 % - Aksentti4 2 3 2 3" xfId="5510" xr:uid="{00000000-0005-0000-0000-0000A72B0000}"/>
    <cellStyle name="40 % - Aksentti4 2 3 2 3 2" xfId="11810" xr:uid="{00000000-0005-0000-0000-0000A82B0000}"/>
    <cellStyle name="40 % - Aksentti4 2 3 2 3 3" xfId="18751" xr:uid="{00000000-0005-0000-0000-0000A92B0000}"/>
    <cellStyle name="40 % - Aksentti4 2 3 2 3_DataIX" xfId="31012" xr:uid="{00000000-0005-0000-0000-0000AA2B0000}"/>
    <cellStyle name="40 % - Aksentti4 2 3 2 4" xfId="16129" xr:uid="{00000000-0005-0000-0000-0000AB2B0000}"/>
    <cellStyle name="40 % - Aksentti4 2 3 2_##Keskeiset" xfId="7935" xr:uid="{00000000-0005-0000-0000-0000AC2B0000}"/>
    <cellStyle name="40 % - Aksentti4 2 3 3" xfId="2611" xr:uid="{00000000-0005-0000-0000-0000AD2B0000}"/>
    <cellStyle name="40 % - Aksentti4 2 3 3 2" xfId="7937" xr:uid="{00000000-0005-0000-0000-0000AE2B0000}"/>
    <cellStyle name="40 % - Aksentti4 2 3 3 2 2" xfId="11811" xr:uid="{00000000-0005-0000-0000-0000AF2B0000}"/>
    <cellStyle name="40 % - Aksentti4 2 3 3 2 3" xfId="19579" xr:uid="{00000000-0005-0000-0000-0000B02B0000}"/>
    <cellStyle name="40 % - Aksentti4 2 3 3 2_DataIX" xfId="31013" xr:uid="{00000000-0005-0000-0000-0000B12B0000}"/>
    <cellStyle name="40 % - Aksentti4 2 3 3 3" xfId="16131" xr:uid="{00000000-0005-0000-0000-0000B22B0000}"/>
    <cellStyle name="40 % - Aksentti4 2 3 3_060617_hinnat" xfId="24120" xr:uid="{00000000-0005-0000-0000-0000B32B0000}"/>
    <cellStyle name="40 % - Aksentti4 2 3 4" xfId="2608" xr:uid="{00000000-0005-0000-0000-0000B42B0000}"/>
    <cellStyle name="40 % - Aksentti4 2 3 4 2" xfId="7938" xr:uid="{00000000-0005-0000-0000-0000B52B0000}"/>
    <cellStyle name="40 % - Aksentti4 2 3 4 2 2" xfId="11812" xr:uid="{00000000-0005-0000-0000-0000B62B0000}"/>
    <cellStyle name="40 % - Aksentti4 2 3 4 2 3" xfId="19580" xr:uid="{00000000-0005-0000-0000-0000B72B0000}"/>
    <cellStyle name="40 % - Aksentti4 2 3 4 2_DataIX" xfId="31014" xr:uid="{00000000-0005-0000-0000-0000B82B0000}"/>
    <cellStyle name="40 % - Aksentti4 2 3 4 3" xfId="16128" xr:uid="{00000000-0005-0000-0000-0000B92B0000}"/>
    <cellStyle name="40 % - Aksentti4 2 3 4_060617_hinnat" xfId="24121" xr:uid="{00000000-0005-0000-0000-0000BA2B0000}"/>
    <cellStyle name="40 % - Aksentti4 2 3_##Keskeiset" xfId="5509" xr:uid="{00000000-0005-0000-0000-0000BB2B0000}"/>
    <cellStyle name="40 % - Aksentti4 2 30" xfId="23200" xr:uid="{00000000-0005-0000-0000-0000BC2B0000}"/>
    <cellStyle name="40 % - Aksentti4 2 31" xfId="24453" xr:uid="{00000000-0005-0000-0000-0000BD2B0000}"/>
    <cellStyle name="40 % - Aksentti4 2 32" xfId="23257" xr:uid="{00000000-0005-0000-0000-0000BE2B0000}"/>
    <cellStyle name="40 % - Aksentti4 2 33" xfId="24305" xr:uid="{00000000-0005-0000-0000-0000BF2B0000}"/>
    <cellStyle name="40 % - Aksentti4 2 4" xfId="2612" xr:uid="{00000000-0005-0000-0000-0000C02B0000}"/>
    <cellStyle name="40 % - Aksentti4 2 4 2" xfId="2613" xr:uid="{00000000-0005-0000-0000-0000C12B0000}"/>
    <cellStyle name="40 % - Aksentti4 2 4 2 2" xfId="2614" xr:uid="{00000000-0005-0000-0000-0000C22B0000}"/>
    <cellStyle name="40 % - Aksentti4 2 4 2 2 2" xfId="7941" xr:uid="{00000000-0005-0000-0000-0000C32B0000}"/>
    <cellStyle name="40 % - Aksentti4 2 4 2 2 2 2" xfId="11813" xr:uid="{00000000-0005-0000-0000-0000C42B0000}"/>
    <cellStyle name="40 % - Aksentti4 2 4 2 2 2 3" xfId="19582" xr:uid="{00000000-0005-0000-0000-0000C52B0000}"/>
    <cellStyle name="40 % - Aksentti4 2 4 2 2 2_DataIX" xfId="31015" xr:uid="{00000000-0005-0000-0000-0000C62B0000}"/>
    <cellStyle name="40 % - Aksentti4 2 4 2 2 3" xfId="16134" xr:uid="{00000000-0005-0000-0000-0000C72B0000}"/>
    <cellStyle name="40 % - Aksentti4 2 4 2 2_060617_hinnat" xfId="24122" xr:uid="{00000000-0005-0000-0000-0000C82B0000}"/>
    <cellStyle name="40 % - Aksentti4 2 4 2 3" xfId="7940" xr:uid="{00000000-0005-0000-0000-0000C92B0000}"/>
    <cellStyle name="40 % - Aksentti4 2 4 2 3 2" xfId="11814" xr:uid="{00000000-0005-0000-0000-0000CA2B0000}"/>
    <cellStyle name="40 % - Aksentti4 2 4 2 3 3" xfId="19581" xr:uid="{00000000-0005-0000-0000-0000CB2B0000}"/>
    <cellStyle name="40 % - Aksentti4 2 4 2 3_DataIX" xfId="31016" xr:uid="{00000000-0005-0000-0000-0000CC2B0000}"/>
    <cellStyle name="40 % - Aksentti4 2 4 2 4" xfId="16133" xr:uid="{00000000-0005-0000-0000-0000CD2B0000}"/>
    <cellStyle name="40 % - Aksentti4 2 4 2_060617_hinnat" xfId="24123" xr:uid="{00000000-0005-0000-0000-0000CE2B0000}"/>
    <cellStyle name="40 % - Aksentti4 2 4 3" xfId="2615" xr:uid="{00000000-0005-0000-0000-0000CF2B0000}"/>
    <cellStyle name="40 % - Aksentti4 2 4 3 2" xfId="7942" xr:uid="{00000000-0005-0000-0000-0000D02B0000}"/>
    <cellStyle name="40 % - Aksentti4 2 4 3 2 2" xfId="11815" xr:uid="{00000000-0005-0000-0000-0000D12B0000}"/>
    <cellStyle name="40 % - Aksentti4 2 4 3 2 3" xfId="19583" xr:uid="{00000000-0005-0000-0000-0000D22B0000}"/>
    <cellStyle name="40 % - Aksentti4 2 4 3 2_DataIX" xfId="31017" xr:uid="{00000000-0005-0000-0000-0000D32B0000}"/>
    <cellStyle name="40 % - Aksentti4 2 4 3 3" xfId="16135" xr:uid="{00000000-0005-0000-0000-0000D42B0000}"/>
    <cellStyle name="40 % - Aksentti4 2 4 3_060617_hinnat" xfId="24124" xr:uid="{00000000-0005-0000-0000-0000D52B0000}"/>
    <cellStyle name="40 % - Aksentti4 2 4 4" xfId="5511" xr:uid="{00000000-0005-0000-0000-0000D62B0000}"/>
    <cellStyle name="40 % - Aksentti4 2 4 4 2" xfId="11816" xr:uid="{00000000-0005-0000-0000-0000D72B0000}"/>
    <cellStyle name="40 % - Aksentti4 2 4 4 3" xfId="18752" xr:uid="{00000000-0005-0000-0000-0000D82B0000}"/>
    <cellStyle name="40 % - Aksentti4 2 4 4_DataIX" xfId="31018" xr:uid="{00000000-0005-0000-0000-0000D92B0000}"/>
    <cellStyle name="40 % - Aksentti4 2 4 5" xfId="10541" xr:uid="{00000000-0005-0000-0000-0000DA2B0000}"/>
    <cellStyle name="40 % - Aksentti4 2 4 5 2" xfId="11817" xr:uid="{00000000-0005-0000-0000-0000DB2B0000}"/>
    <cellStyle name="40 % - Aksentti4 2 4 5 3" xfId="20323" xr:uid="{00000000-0005-0000-0000-0000DC2B0000}"/>
    <cellStyle name="40 % - Aksentti4 2 4 5_DataIX" xfId="31019" xr:uid="{00000000-0005-0000-0000-0000DD2B0000}"/>
    <cellStyle name="40 % - Aksentti4 2 4 6" xfId="10607" xr:uid="{00000000-0005-0000-0000-0000DE2B0000}"/>
    <cellStyle name="40 % - Aksentti4 2 4 6 2" xfId="11818" xr:uid="{00000000-0005-0000-0000-0000DF2B0000}"/>
    <cellStyle name="40 % - Aksentti4 2 4 6 3" xfId="20389" xr:uid="{00000000-0005-0000-0000-0000E02B0000}"/>
    <cellStyle name="40 % - Aksentti4 2 4 6_DataIX" xfId="31020" xr:uid="{00000000-0005-0000-0000-0000E12B0000}"/>
    <cellStyle name="40 % - Aksentti4 2 4 7" xfId="10567" xr:uid="{00000000-0005-0000-0000-0000E22B0000}"/>
    <cellStyle name="40 % - Aksentti4 2 4 7 2" xfId="11819" xr:uid="{00000000-0005-0000-0000-0000E32B0000}"/>
    <cellStyle name="40 % - Aksentti4 2 4 7 3" xfId="20349" xr:uid="{00000000-0005-0000-0000-0000E42B0000}"/>
    <cellStyle name="40 % - Aksentti4 2 4 7_DataIX" xfId="31021" xr:uid="{00000000-0005-0000-0000-0000E52B0000}"/>
    <cellStyle name="40 % - Aksentti4 2 4 8" xfId="10572" xr:uid="{00000000-0005-0000-0000-0000E62B0000}"/>
    <cellStyle name="40 % - Aksentti4 2 4 8 2" xfId="11820" xr:uid="{00000000-0005-0000-0000-0000E72B0000}"/>
    <cellStyle name="40 % - Aksentti4 2 4 8 3" xfId="20354" xr:uid="{00000000-0005-0000-0000-0000E82B0000}"/>
    <cellStyle name="40 % - Aksentti4 2 4 8_DataIX" xfId="31022" xr:uid="{00000000-0005-0000-0000-0000E92B0000}"/>
    <cellStyle name="40 % - Aksentti4 2 4 9" xfId="16132" xr:uid="{00000000-0005-0000-0000-0000EA2B0000}"/>
    <cellStyle name="40 % - Aksentti4 2 4_##Keskeiset" xfId="7939" xr:uid="{00000000-0005-0000-0000-0000EB2B0000}"/>
    <cellStyle name="40 % - Aksentti4 2 5" xfId="2616" xr:uid="{00000000-0005-0000-0000-0000EC2B0000}"/>
    <cellStyle name="40 % - Aksentti4 2 5 2" xfId="2617" xr:uid="{00000000-0005-0000-0000-0000ED2B0000}"/>
    <cellStyle name="40 % - Aksentti4 2 5 2 2" xfId="7944" xr:uid="{00000000-0005-0000-0000-0000EE2B0000}"/>
    <cellStyle name="40 % - Aksentti4 2 5 2 2 2" xfId="11821" xr:uid="{00000000-0005-0000-0000-0000EF2B0000}"/>
    <cellStyle name="40 % - Aksentti4 2 5 2 2 3" xfId="19585" xr:uid="{00000000-0005-0000-0000-0000F02B0000}"/>
    <cellStyle name="40 % - Aksentti4 2 5 2 2_DataIX" xfId="31023" xr:uid="{00000000-0005-0000-0000-0000F12B0000}"/>
    <cellStyle name="40 % - Aksentti4 2 5 2 3" xfId="16137" xr:uid="{00000000-0005-0000-0000-0000F22B0000}"/>
    <cellStyle name="40 % - Aksentti4 2 5 2_060617_hinnat" xfId="24125" xr:uid="{00000000-0005-0000-0000-0000F32B0000}"/>
    <cellStyle name="40 % - Aksentti4 2 5 3" xfId="7943" xr:uid="{00000000-0005-0000-0000-0000F42B0000}"/>
    <cellStyle name="40 % - Aksentti4 2 5 3 2" xfId="11822" xr:uid="{00000000-0005-0000-0000-0000F52B0000}"/>
    <cellStyle name="40 % - Aksentti4 2 5 3 3" xfId="19584" xr:uid="{00000000-0005-0000-0000-0000F62B0000}"/>
    <cellStyle name="40 % - Aksentti4 2 5 3_DataIX" xfId="31024" xr:uid="{00000000-0005-0000-0000-0000F72B0000}"/>
    <cellStyle name="40 % - Aksentti4 2 5 4" xfId="16136" xr:uid="{00000000-0005-0000-0000-0000F82B0000}"/>
    <cellStyle name="40 % - Aksentti4 2 5_060617_hinnat" xfId="24126" xr:uid="{00000000-0005-0000-0000-0000F92B0000}"/>
    <cellStyle name="40 % - Aksentti4 2 6" xfId="2618" xr:uid="{00000000-0005-0000-0000-0000FA2B0000}"/>
    <cellStyle name="40 % - Aksentti4 2 6 2" xfId="7945" xr:uid="{00000000-0005-0000-0000-0000FB2B0000}"/>
    <cellStyle name="40 % - Aksentti4 2 6 2 2" xfId="11823" xr:uid="{00000000-0005-0000-0000-0000FC2B0000}"/>
    <cellStyle name="40 % - Aksentti4 2 6 2 3" xfId="19586" xr:uid="{00000000-0005-0000-0000-0000FD2B0000}"/>
    <cellStyle name="40 % - Aksentti4 2 6 2_DataIX" xfId="31025" xr:uid="{00000000-0005-0000-0000-0000FE2B0000}"/>
    <cellStyle name="40 % - Aksentti4 2 6 3" xfId="16138" xr:uid="{00000000-0005-0000-0000-0000FF2B0000}"/>
    <cellStyle name="40 % - Aksentti4 2 6_060617_hinnat" xfId="24127" xr:uid="{00000000-0005-0000-0000-0000002C0000}"/>
    <cellStyle name="40 % - Aksentti4 2 7" xfId="2619" xr:uid="{00000000-0005-0000-0000-0000012C0000}"/>
    <cellStyle name="40 % - Aksentti4 2 7 2" xfId="7946" xr:uid="{00000000-0005-0000-0000-0000022C0000}"/>
    <cellStyle name="40 % - Aksentti4 2 7 2 2" xfId="11824" xr:uid="{00000000-0005-0000-0000-0000032C0000}"/>
    <cellStyle name="40 % - Aksentti4 2 7 2 3" xfId="19587" xr:uid="{00000000-0005-0000-0000-0000042C0000}"/>
    <cellStyle name="40 % - Aksentti4 2 7 2_DataIX" xfId="31026" xr:uid="{00000000-0005-0000-0000-0000052C0000}"/>
    <cellStyle name="40 % - Aksentti4 2 7 3" xfId="16139" xr:uid="{00000000-0005-0000-0000-0000062C0000}"/>
    <cellStyle name="40 % - Aksentti4 2 7_060617_hinnat" xfId="24128" xr:uid="{00000000-0005-0000-0000-0000072C0000}"/>
    <cellStyle name="40 % - Aksentti4 2 8" xfId="2620" xr:uid="{00000000-0005-0000-0000-0000082C0000}"/>
    <cellStyle name="40 % - Aksentti4 2 8 2" xfId="7947" xr:uid="{00000000-0005-0000-0000-0000092C0000}"/>
    <cellStyle name="40 % - Aksentti4 2 8 2 2" xfId="11825" xr:uid="{00000000-0005-0000-0000-00000A2C0000}"/>
    <cellStyle name="40 % - Aksentti4 2 8 2 3" xfId="19588" xr:uid="{00000000-0005-0000-0000-00000B2C0000}"/>
    <cellStyle name="40 % - Aksentti4 2 8 2_DataIX" xfId="31027" xr:uid="{00000000-0005-0000-0000-00000C2C0000}"/>
    <cellStyle name="40 % - Aksentti4 2 8 3" xfId="16140" xr:uid="{00000000-0005-0000-0000-00000D2C0000}"/>
    <cellStyle name="40 % - Aksentti4 2 8_060617_hinnat" xfId="24129" xr:uid="{00000000-0005-0000-0000-00000E2C0000}"/>
    <cellStyle name="40 % - Aksentti4 2 9" xfId="2621" xr:uid="{00000000-0005-0000-0000-00000F2C0000}"/>
    <cellStyle name="40 % - Aksentti4 2 9 2" xfId="7948" xr:uid="{00000000-0005-0000-0000-0000102C0000}"/>
    <cellStyle name="40 % - Aksentti4 2 9 2 2" xfId="11826" xr:uid="{00000000-0005-0000-0000-0000112C0000}"/>
    <cellStyle name="40 % - Aksentti4 2 9 2 3" xfId="19589" xr:uid="{00000000-0005-0000-0000-0000122C0000}"/>
    <cellStyle name="40 % - Aksentti4 2 9 2_DataIX" xfId="31028" xr:uid="{00000000-0005-0000-0000-0000132C0000}"/>
    <cellStyle name="40 % - Aksentti4 2 9 3" xfId="16141" xr:uid="{00000000-0005-0000-0000-0000142C0000}"/>
    <cellStyle name="40 % - Aksentti4 2 9_060617_hinnat" xfId="24130" xr:uid="{00000000-0005-0000-0000-0000152C0000}"/>
    <cellStyle name="40 % - Aksentti4 2_##Keskeiset" xfId="7920" xr:uid="{00000000-0005-0000-0000-0000162C0000}"/>
    <cellStyle name="40 % - Aksentti4 20" xfId="2622" xr:uid="{00000000-0005-0000-0000-0000172C0000}"/>
    <cellStyle name="40 % - Aksentti4 20 2" xfId="7949" xr:uid="{00000000-0005-0000-0000-0000182C0000}"/>
    <cellStyle name="40 % - Aksentti4 20 2 2" xfId="11827" xr:uid="{00000000-0005-0000-0000-0000192C0000}"/>
    <cellStyle name="40 % - Aksentti4 20 2 3" xfId="19590" xr:uid="{00000000-0005-0000-0000-00001A2C0000}"/>
    <cellStyle name="40 % - Aksentti4 20 2_DataIX" xfId="31029" xr:uid="{00000000-0005-0000-0000-00001B2C0000}"/>
    <cellStyle name="40 % - Aksentti4 20 3" xfId="16142" xr:uid="{00000000-0005-0000-0000-00001C2C0000}"/>
    <cellStyle name="40 % - Aksentti4 20_060617_hinnat" xfId="24131" xr:uid="{00000000-0005-0000-0000-00001D2C0000}"/>
    <cellStyle name="40 % - Aksentti4 21" xfId="2623" xr:uid="{00000000-0005-0000-0000-00001E2C0000}"/>
    <cellStyle name="40 % - Aksentti4 21 2" xfId="7950" xr:uid="{00000000-0005-0000-0000-00001F2C0000}"/>
    <cellStyle name="40 % - Aksentti4 21 2 2" xfId="11828" xr:uid="{00000000-0005-0000-0000-0000202C0000}"/>
    <cellStyle name="40 % - Aksentti4 21 2 3" xfId="19591" xr:uid="{00000000-0005-0000-0000-0000212C0000}"/>
    <cellStyle name="40 % - Aksentti4 21 2_DataIX" xfId="31030" xr:uid="{00000000-0005-0000-0000-0000222C0000}"/>
    <cellStyle name="40 % - Aksentti4 21 3" xfId="16143" xr:uid="{00000000-0005-0000-0000-0000232C0000}"/>
    <cellStyle name="40 % - Aksentti4 21_060617_hinnat" xfId="24132" xr:uid="{00000000-0005-0000-0000-0000242C0000}"/>
    <cellStyle name="40 % - Aksentti4 22" xfId="2624" xr:uid="{00000000-0005-0000-0000-0000252C0000}"/>
    <cellStyle name="40 % - Aksentti4 22 2" xfId="7951" xr:uid="{00000000-0005-0000-0000-0000262C0000}"/>
    <cellStyle name="40 % - Aksentti4 22 2 2" xfId="11829" xr:uid="{00000000-0005-0000-0000-0000272C0000}"/>
    <cellStyle name="40 % - Aksentti4 22 2 3" xfId="19592" xr:uid="{00000000-0005-0000-0000-0000282C0000}"/>
    <cellStyle name="40 % - Aksentti4 22 2_DataIX" xfId="31031" xr:uid="{00000000-0005-0000-0000-0000292C0000}"/>
    <cellStyle name="40 % - Aksentti4 22 3" xfId="16144" xr:uid="{00000000-0005-0000-0000-00002A2C0000}"/>
    <cellStyle name="40 % - Aksentti4 22_060617_hinnat" xfId="24133" xr:uid="{00000000-0005-0000-0000-00002B2C0000}"/>
    <cellStyle name="40 % - Aksentti4 23" xfId="2625" xr:uid="{00000000-0005-0000-0000-00002C2C0000}"/>
    <cellStyle name="40 % - Aksentti4 23 2" xfId="7952" xr:uid="{00000000-0005-0000-0000-00002D2C0000}"/>
    <cellStyle name="40 % - Aksentti4 23 2 2" xfId="11830" xr:uid="{00000000-0005-0000-0000-00002E2C0000}"/>
    <cellStyle name="40 % - Aksentti4 23 2 3" xfId="19593" xr:uid="{00000000-0005-0000-0000-00002F2C0000}"/>
    <cellStyle name="40 % - Aksentti4 23 2_DataIX" xfId="31032" xr:uid="{00000000-0005-0000-0000-0000302C0000}"/>
    <cellStyle name="40 % - Aksentti4 23 3" xfId="16145" xr:uid="{00000000-0005-0000-0000-0000312C0000}"/>
    <cellStyle name="40 % - Aksentti4 23_060617_hinnat" xfId="24134" xr:uid="{00000000-0005-0000-0000-0000322C0000}"/>
    <cellStyle name="40 % - Aksentti4 24" xfId="2626" xr:uid="{00000000-0005-0000-0000-0000332C0000}"/>
    <cellStyle name="40 % - Aksentti4 24 2" xfId="7953" xr:uid="{00000000-0005-0000-0000-0000342C0000}"/>
    <cellStyle name="40 % - Aksentti4 24 2 2" xfId="11831" xr:uid="{00000000-0005-0000-0000-0000352C0000}"/>
    <cellStyle name="40 % - Aksentti4 24 2 3" xfId="19594" xr:uid="{00000000-0005-0000-0000-0000362C0000}"/>
    <cellStyle name="40 % - Aksentti4 24 2_DataIX" xfId="31033" xr:uid="{00000000-0005-0000-0000-0000372C0000}"/>
    <cellStyle name="40 % - Aksentti4 24 3" xfId="16146" xr:uid="{00000000-0005-0000-0000-0000382C0000}"/>
    <cellStyle name="40 % - Aksentti4 24_060617_hinnat" xfId="24135" xr:uid="{00000000-0005-0000-0000-0000392C0000}"/>
    <cellStyle name="40 % - Aksentti4 25" xfId="2627" xr:uid="{00000000-0005-0000-0000-00003A2C0000}"/>
    <cellStyle name="40 % - Aksentti4 25 2" xfId="7954" xr:uid="{00000000-0005-0000-0000-00003B2C0000}"/>
    <cellStyle name="40 % - Aksentti4 25 2 2" xfId="11832" xr:uid="{00000000-0005-0000-0000-00003C2C0000}"/>
    <cellStyle name="40 % - Aksentti4 25 2 3" xfId="19595" xr:uid="{00000000-0005-0000-0000-00003D2C0000}"/>
    <cellStyle name="40 % - Aksentti4 25 2_DataIX" xfId="31034" xr:uid="{00000000-0005-0000-0000-00003E2C0000}"/>
    <cellStyle name="40 % - Aksentti4 25 3" xfId="16147" xr:uid="{00000000-0005-0000-0000-00003F2C0000}"/>
    <cellStyle name="40 % - Aksentti4 25_060617_hinnat" xfId="24136" xr:uid="{00000000-0005-0000-0000-0000402C0000}"/>
    <cellStyle name="40 % - Aksentti4 26" xfId="2628" xr:uid="{00000000-0005-0000-0000-0000412C0000}"/>
    <cellStyle name="40 % - Aksentti4 26 2" xfId="7955" xr:uid="{00000000-0005-0000-0000-0000422C0000}"/>
    <cellStyle name="40 % - Aksentti4 26 2 2" xfId="11833" xr:uid="{00000000-0005-0000-0000-0000432C0000}"/>
    <cellStyle name="40 % - Aksentti4 26 2 3" xfId="19596" xr:uid="{00000000-0005-0000-0000-0000442C0000}"/>
    <cellStyle name="40 % - Aksentti4 26 2_DataIX" xfId="31035" xr:uid="{00000000-0005-0000-0000-0000452C0000}"/>
    <cellStyle name="40 % - Aksentti4 26 3" xfId="16148" xr:uid="{00000000-0005-0000-0000-0000462C0000}"/>
    <cellStyle name="40 % - Aksentti4 26_060617_hinnat" xfId="24137" xr:uid="{00000000-0005-0000-0000-0000472C0000}"/>
    <cellStyle name="40 % - Aksentti4 27" xfId="2629" xr:uid="{00000000-0005-0000-0000-0000482C0000}"/>
    <cellStyle name="40 % - Aksentti4 27 2" xfId="7956" xr:uid="{00000000-0005-0000-0000-0000492C0000}"/>
    <cellStyle name="40 % - Aksentti4 27 2 2" xfId="11834" xr:uid="{00000000-0005-0000-0000-00004A2C0000}"/>
    <cellStyle name="40 % - Aksentti4 27 2 3" xfId="19597" xr:uid="{00000000-0005-0000-0000-00004B2C0000}"/>
    <cellStyle name="40 % - Aksentti4 27 2_DataIX" xfId="31036" xr:uid="{00000000-0005-0000-0000-00004C2C0000}"/>
    <cellStyle name="40 % - Aksentti4 27 3" xfId="16149" xr:uid="{00000000-0005-0000-0000-00004D2C0000}"/>
    <cellStyle name="40 % - Aksentti4 27_060617_hinnat" xfId="24139" xr:uid="{00000000-0005-0000-0000-00004E2C0000}"/>
    <cellStyle name="40 % - Aksentti4 28" xfId="2630" xr:uid="{00000000-0005-0000-0000-00004F2C0000}"/>
    <cellStyle name="40 % - Aksentti4 28 2" xfId="7957" xr:uid="{00000000-0005-0000-0000-0000502C0000}"/>
    <cellStyle name="40 % - Aksentti4 28 2 2" xfId="11835" xr:uid="{00000000-0005-0000-0000-0000512C0000}"/>
    <cellStyle name="40 % - Aksentti4 28 2 3" xfId="19598" xr:uid="{00000000-0005-0000-0000-0000522C0000}"/>
    <cellStyle name="40 % - Aksentti4 28 2_DataIX" xfId="31037" xr:uid="{00000000-0005-0000-0000-0000532C0000}"/>
    <cellStyle name="40 % - Aksentti4 28 3" xfId="16150" xr:uid="{00000000-0005-0000-0000-0000542C0000}"/>
    <cellStyle name="40 % - Aksentti4 28_060617_hinnat" xfId="24140" xr:uid="{00000000-0005-0000-0000-0000552C0000}"/>
    <cellStyle name="40 % - Aksentti4 29" xfId="10649" xr:uid="{00000000-0005-0000-0000-0000562C0000}"/>
    <cellStyle name="40 % - Aksentti4 29 2" xfId="27767" xr:uid="{00000000-0005-0000-0000-0000572C0000}"/>
    <cellStyle name="40 % - Aksentti4 29_DataIX" xfId="31038" xr:uid="{00000000-0005-0000-0000-0000582C0000}"/>
    <cellStyle name="40 % - Aksentti4 3" xfId="159" xr:uid="{00000000-0005-0000-0000-0000592C0000}"/>
    <cellStyle name="40 % - Aksentti4 3 10" xfId="2632" xr:uid="{00000000-0005-0000-0000-00005A2C0000}"/>
    <cellStyle name="40 % - Aksentti4 3 10 2" xfId="7958" xr:uid="{00000000-0005-0000-0000-00005B2C0000}"/>
    <cellStyle name="40 % - Aksentti4 3 10 2 2" xfId="11836" xr:uid="{00000000-0005-0000-0000-00005C2C0000}"/>
    <cellStyle name="40 % - Aksentti4 3 10 2 3" xfId="19599" xr:uid="{00000000-0005-0000-0000-00005D2C0000}"/>
    <cellStyle name="40 % - Aksentti4 3 10 2_DataIX" xfId="31039" xr:uid="{00000000-0005-0000-0000-00005E2C0000}"/>
    <cellStyle name="40 % - Aksentti4 3 10 3" xfId="16152" xr:uid="{00000000-0005-0000-0000-00005F2C0000}"/>
    <cellStyle name="40 % - Aksentti4 3 10_060617_hinnat" xfId="24141" xr:uid="{00000000-0005-0000-0000-0000602C0000}"/>
    <cellStyle name="40 % - Aksentti4 3 11" xfId="2631" xr:uid="{00000000-0005-0000-0000-0000612C0000}"/>
    <cellStyle name="40 % - Aksentti4 3 11 2" xfId="7959" xr:uid="{00000000-0005-0000-0000-0000622C0000}"/>
    <cellStyle name="40 % - Aksentti4 3 11 2 2" xfId="11837" xr:uid="{00000000-0005-0000-0000-0000632C0000}"/>
    <cellStyle name="40 % - Aksentti4 3 11 2 3" xfId="19600" xr:uid="{00000000-0005-0000-0000-0000642C0000}"/>
    <cellStyle name="40 % - Aksentti4 3 11 2_DataIX" xfId="31040" xr:uid="{00000000-0005-0000-0000-0000652C0000}"/>
    <cellStyle name="40 % - Aksentti4 3 11 3" xfId="16151" xr:uid="{00000000-0005-0000-0000-0000662C0000}"/>
    <cellStyle name="40 % - Aksentti4 3 11_060617_hinnat" xfId="24143" xr:uid="{00000000-0005-0000-0000-0000672C0000}"/>
    <cellStyle name="40 % - Aksentti4 3 2" xfId="2633" xr:uid="{00000000-0005-0000-0000-0000682C0000}"/>
    <cellStyle name="40 % - Aksentti4 3 2 10" xfId="2634" xr:uid="{00000000-0005-0000-0000-0000692C0000}"/>
    <cellStyle name="40 % - Aksentti4 3 2 10 2" xfId="7961" xr:uid="{00000000-0005-0000-0000-00006A2C0000}"/>
    <cellStyle name="40 % - Aksentti4 3 2 10 2 2" xfId="11838" xr:uid="{00000000-0005-0000-0000-00006B2C0000}"/>
    <cellStyle name="40 % - Aksentti4 3 2 10 2 3" xfId="19602" xr:uid="{00000000-0005-0000-0000-00006C2C0000}"/>
    <cellStyle name="40 % - Aksentti4 3 2 10 2_DataIX" xfId="31041" xr:uid="{00000000-0005-0000-0000-00006D2C0000}"/>
    <cellStyle name="40 % - Aksentti4 3 2 10 3" xfId="16154" xr:uid="{00000000-0005-0000-0000-00006E2C0000}"/>
    <cellStyle name="40 % - Aksentti4 3 2 10_060617_hinnat" xfId="24144" xr:uid="{00000000-0005-0000-0000-00006F2C0000}"/>
    <cellStyle name="40 % - Aksentti4 3 2 11" xfId="7960" xr:uid="{00000000-0005-0000-0000-0000702C0000}"/>
    <cellStyle name="40 % - Aksentti4 3 2 11 2" xfId="11839" xr:uid="{00000000-0005-0000-0000-0000712C0000}"/>
    <cellStyle name="40 % - Aksentti4 3 2 11 3" xfId="19601" xr:uid="{00000000-0005-0000-0000-0000722C0000}"/>
    <cellStyle name="40 % - Aksentti4 3 2 11_DataIX" xfId="31042" xr:uid="{00000000-0005-0000-0000-0000732C0000}"/>
    <cellStyle name="40 % - Aksentti4 3 2 12" xfId="16153" xr:uid="{00000000-0005-0000-0000-0000742C0000}"/>
    <cellStyle name="40 % - Aksentti4 3 2 2" xfId="2635" xr:uid="{00000000-0005-0000-0000-0000752C0000}"/>
    <cellStyle name="40 % - Aksentti4 3 2 2 2" xfId="2636" xr:uid="{00000000-0005-0000-0000-0000762C0000}"/>
    <cellStyle name="40 % - Aksentti4 3 2 2 2 2" xfId="7963" xr:uid="{00000000-0005-0000-0000-0000772C0000}"/>
    <cellStyle name="40 % - Aksentti4 3 2 2 2 2 2" xfId="11840" xr:uid="{00000000-0005-0000-0000-0000782C0000}"/>
    <cellStyle name="40 % - Aksentti4 3 2 2 2 2 3" xfId="19604" xr:uid="{00000000-0005-0000-0000-0000792C0000}"/>
    <cellStyle name="40 % - Aksentti4 3 2 2 2 2_DataIX" xfId="31043" xr:uid="{00000000-0005-0000-0000-00007A2C0000}"/>
    <cellStyle name="40 % - Aksentti4 3 2 2 2 3" xfId="16156" xr:uid="{00000000-0005-0000-0000-00007B2C0000}"/>
    <cellStyle name="40 % - Aksentti4 3 2 2 2_060617_hinnat" xfId="24145" xr:uid="{00000000-0005-0000-0000-00007C2C0000}"/>
    <cellStyle name="40 % - Aksentti4 3 2 2 3" xfId="7962" xr:uid="{00000000-0005-0000-0000-00007D2C0000}"/>
    <cellStyle name="40 % - Aksentti4 3 2 2 3 2" xfId="11841" xr:uid="{00000000-0005-0000-0000-00007E2C0000}"/>
    <cellStyle name="40 % - Aksentti4 3 2 2 3 3" xfId="19603" xr:uid="{00000000-0005-0000-0000-00007F2C0000}"/>
    <cellStyle name="40 % - Aksentti4 3 2 2 3_DataIX" xfId="31044" xr:uid="{00000000-0005-0000-0000-0000802C0000}"/>
    <cellStyle name="40 % - Aksentti4 3 2 2 4" xfId="16155" xr:uid="{00000000-0005-0000-0000-0000812C0000}"/>
    <cellStyle name="40 % - Aksentti4 3 2 2_060617_hinnat" xfId="24146" xr:uid="{00000000-0005-0000-0000-0000822C0000}"/>
    <cellStyle name="40 % - Aksentti4 3 2 3" xfId="2637" xr:uid="{00000000-0005-0000-0000-0000832C0000}"/>
    <cellStyle name="40 % - Aksentti4 3 2 3 2" xfId="7964" xr:uid="{00000000-0005-0000-0000-0000842C0000}"/>
    <cellStyle name="40 % - Aksentti4 3 2 3 2 2" xfId="11842" xr:uid="{00000000-0005-0000-0000-0000852C0000}"/>
    <cellStyle name="40 % - Aksentti4 3 2 3 2 3" xfId="19605" xr:uid="{00000000-0005-0000-0000-0000862C0000}"/>
    <cellStyle name="40 % - Aksentti4 3 2 3 2_DataIX" xfId="31045" xr:uid="{00000000-0005-0000-0000-0000872C0000}"/>
    <cellStyle name="40 % - Aksentti4 3 2 3 3" xfId="16157" xr:uid="{00000000-0005-0000-0000-0000882C0000}"/>
    <cellStyle name="40 % - Aksentti4 3 2 3_060617_hinnat" xfId="24147" xr:uid="{00000000-0005-0000-0000-0000892C0000}"/>
    <cellStyle name="40 % - Aksentti4 3 2 4" xfId="2638" xr:uid="{00000000-0005-0000-0000-00008A2C0000}"/>
    <cellStyle name="40 % - Aksentti4 3 2 4 2" xfId="7965" xr:uid="{00000000-0005-0000-0000-00008B2C0000}"/>
    <cellStyle name="40 % - Aksentti4 3 2 4 2 2" xfId="11843" xr:uid="{00000000-0005-0000-0000-00008C2C0000}"/>
    <cellStyle name="40 % - Aksentti4 3 2 4 2 3" xfId="19606" xr:uid="{00000000-0005-0000-0000-00008D2C0000}"/>
    <cellStyle name="40 % - Aksentti4 3 2 4 2_DataIX" xfId="31046" xr:uid="{00000000-0005-0000-0000-00008E2C0000}"/>
    <cellStyle name="40 % - Aksentti4 3 2 4 3" xfId="16158" xr:uid="{00000000-0005-0000-0000-00008F2C0000}"/>
    <cellStyle name="40 % - Aksentti4 3 2 4_060617_hinnat" xfId="24148" xr:uid="{00000000-0005-0000-0000-0000902C0000}"/>
    <cellStyle name="40 % - Aksentti4 3 2 5" xfId="2639" xr:uid="{00000000-0005-0000-0000-0000912C0000}"/>
    <cellStyle name="40 % - Aksentti4 3 2 5 2" xfId="7966" xr:uid="{00000000-0005-0000-0000-0000922C0000}"/>
    <cellStyle name="40 % - Aksentti4 3 2 5 2 2" xfId="11844" xr:uid="{00000000-0005-0000-0000-0000932C0000}"/>
    <cellStyle name="40 % - Aksentti4 3 2 5 2 3" xfId="19607" xr:uid="{00000000-0005-0000-0000-0000942C0000}"/>
    <cellStyle name="40 % - Aksentti4 3 2 5 2_DataIX" xfId="31047" xr:uid="{00000000-0005-0000-0000-0000952C0000}"/>
    <cellStyle name="40 % - Aksentti4 3 2 5 3" xfId="16159" xr:uid="{00000000-0005-0000-0000-0000962C0000}"/>
    <cellStyle name="40 % - Aksentti4 3 2 5_060617_hinnat" xfId="24149" xr:uid="{00000000-0005-0000-0000-0000972C0000}"/>
    <cellStyle name="40 % - Aksentti4 3 2 6" xfId="2640" xr:uid="{00000000-0005-0000-0000-0000982C0000}"/>
    <cellStyle name="40 % - Aksentti4 3 2 6 2" xfId="7967" xr:uid="{00000000-0005-0000-0000-0000992C0000}"/>
    <cellStyle name="40 % - Aksentti4 3 2 6 2 2" xfId="11845" xr:uid="{00000000-0005-0000-0000-00009A2C0000}"/>
    <cellStyle name="40 % - Aksentti4 3 2 6 2 3" xfId="19608" xr:uid="{00000000-0005-0000-0000-00009B2C0000}"/>
    <cellStyle name="40 % - Aksentti4 3 2 6 2_DataIX" xfId="31048" xr:uid="{00000000-0005-0000-0000-00009C2C0000}"/>
    <cellStyle name="40 % - Aksentti4 3 2 6 3" xfId="16160" xr:uid="{00000000-0005-0000-0000-00009D2C0000}"/>
    <cellStyle name="40 % - Aksentti4 3 2 6_060617_hinnat" xfId="24150" xr:uid="{00000000-0005-0000-0000-00009E2C0000}"/>
    <cellStyle name="40 % - Aksentti4 3 2 7" xfId="2641" xr:uid="{00000000-0005-0000-0000-00009F2C0000}"/>
    <cellStyle name="40 % - Aksentti4 3 2 7 2" xfId="7968" xr:uid="{00000000-0005-0000-0000-0000A02C0000}"/>
    <cellStyle name="40 % - Aksentti4 3 2 7 2 2" xfId="11846" xr:uid="{00000000-0005-0000-0000-0000A12C0000}"/>
    <cellStyle name="40 % - Aksentti4 3 2 7 2 3" xfId="19609" xr:uid="{00000000-0005-0000-0000-0000A22C0000}"/>
    <cellStyle name="40 % - Aksentti4 3 2 7 2_DataIX" xfId="31049" xr:uid="{00000000-0005-0000-0000-0000A32C0000}"/>
    <cellStyle name="40 % - Aksentti4 3 2 7 3" xfId="16161" xr:uid="{00000000-0005-0000-0000-0000A42C0000}"/>
    <cellStyle name="40 % - Aksentti4 3 2 7_060617_hinnat" xfId="24151" xr:uid="{00000000-0005-0000-0000-0000A52C0000}"/>
    <cellStyle name="40 % - Aksentti4 3 2 8" xfId="2642" xr:uid="{00000000-0005-0000-0000-0000A62C0000}"/>
    <cellStyle name="40 % - Aksentti4 3 2 8 2" xfId="7969" xr:uid="{00000000-0005-0000-0000-0000A72C0000}"/>
    <cellStyle name="40 % - Aksentti4 3 2 8 2 2" xfId="11847" xr:uid="{00000000-0005-0000-0000-0000A82C0000}"/>
    <cellStyle name="40 % - Aksentti4 3 2 8 2 3" xfId="19610" xr:uid="{00000000-0005-0000-0000-0000A92C0000}"/>
    <cellStyle name="40 % - Aksentti4 3 2 8 2_DataIX" xfId="31050" xr:uid="{00000000-0005-0000-0000-0000AA2C0000}"/>
    <cellStyle name="40 % - Aksentti4 3 2 8 3" xfId="16162" xr:uid="{00000000-0005-0000-0000-0000AB2C0000}"/>
    <cellStyle name="40 % - Aksentti4 3 2 8_060617_hinnat" xfId="24152" xr:uid="{00000000-0005-0000-0000-0000AC2C0000}"/>
    <cellStyle name="40 % - Aksentti4 3 2 9" xfId="2643" xr:uid="{00000000-0005-0000-0000-0000AD2C0000}"/>
    <cellStyle name="40 % - Aksentti4 3 2 9 2" xfId="7970" xr:uid="{00000000-0005-0000-0000-0000AE2C0000}"/>
    <cellStyle name="40 % - Aksentti4 3 2 9 2 2" xfId="11848" xr:uid="{00000000-0005-0000-0000-0000AF2C0000}"/>
    <cellStyle name="40 % - Aksentti4 3 2 9 2 3" xfId="19611" xr:uid="{00000000-0005-0000-0000-0000B02C0000}"/>
    <cellStyle name="40 % - Aksentti4 3 2 9 2_DataIX" xfId="31051" xr:uid="{00000000-0005-0000-0000-0000B12C0000}"/>
    <cellStyle name="40 % - Aksentti4 3 2 9 3" xfId="16163" xr:uid="{00000000-0005-0000-0000-0000B22C0000}"/>
    <cellStyle name="40 % - Aksentti4 3 2 9_060617_hinnat" xfId="24153" xr:uid="{00000000-0005-0000-0000-0000B32C0000}"/>
    <cellStyle name="40 % - Aksentti4 3 2_060617_hinnat" xfId="24154" xr:uid="{00000000-0005-0000-0000-0000B42C0000}"/>
    <cellStyle name="40 % - Aksentti4 3 3" xfId="2644" xr:uid="{00000000-0005-0000-0000-0000B52C0000}"/>
    <cellStyle name="40 % - Aksentti4 3 3 2" xfId="2645" xr:uid="{00000000-0005-0000-0000-0000B62C0000}"/>
    <cellStyle name="40 % - Aksentti4 3 3 2 2" xfId="2646" xr:uid="{00000000-0005-0000-0000-0000B72C0000}"/>
    <cellStyle name="40 % - Aksentti4 3 3 2 2 2" xfId="7973" xr:uid="{00000000-0005-0000-0000-0000B82C0000}"/>
    <cellStyle name="40 % - Aksentti4 3 3 2 2 2 2" xfId="11849" xr:uid="{00000000-0005-0000-0000-0000B92C0000}"/>
    <cellStyle name="40 % - Aksentti4 3 3 2 2 2 3" xfId="19614" xr:uid="{00000000-0005-0000-0000-0000BA2C0000}"/>
    <cellStyle name="40 % - Aksentti4 3 3 2 2 2_DataIX" xfId="31052" xr:uid="{00000000-0005-0000-0000-0000BB2C0000}"/>
    <cellStyle name="40 % - Aksentti4 3 3 2 2 3" xfId="16166" xr:uid="{00000000-0005-0000-0000-0000BC2C0000}"/>
    <cellStyle name="40 % - Aksentti4 3 3 2 2_060617_hinnat" xfId="24155" xr:uid="{00000000-0005-0000-0000-0000BD2C0000}"/>
    <cellStyle name="40 % - Aksentti4 3 3 2 3" xfId="7972" xr:uid="{00000000-0005-0000-0000-0000BE2C0000}"/>
    <cellStyle name="40 % - Aksentti4 3 3 2 3 2" xfId="11850" xr:uid="{00000000-0005-0000-0000-0000BF2C0000}"/>
    <cellStyle name="40 % - Aksentti4 3 3 2 3 3" xfId="19613" xr:uid="{00000000-0005-0000-0000-0000C02C0000}"/>
    <cellStyle name="40 % - Aksentti4 3 3 2 3_DataIX" xfId="31053" xr:uid="{00000000-0005-0000-0000-0000C12C0000}"/>
    <cellStyle name="40 % - Aksentti4 3 3 2 4" xfId="16165" xr:uid="{00000000-0005-0000-0000-0000C22C0000}"/>
    <cellStyle name="40 % - Aksentti4 3 3 2_060617_hinnat" xfId="24156" xr:uid="{00000000-0005-0000-0000-0000C32C0000}"/>
    <cellStyle name="40 % - Aksentti4 3 3 3" xfId="2647" xr:uid="{00000000-0005-0000-0000-0000C42C0000}"/>
    <cellStyle name="40 % - Aksentti4 3 3 3 2" xfId="7974" xr:uid="{00000000-0005-0000-0000-0000C52C0000}"/>
    <cellStyle name="40 % - Aksentti4 3 3 3 2 2" xfId="11851" xr:uid="{00000000-0005-0000-0000-0000C62C0000}"/>
    <cellStyle name="40 % - Aksentti4 3 3 3 2 3" xfId="19615" xr:uid="{00000000-0005-0000-0000-0000C72C0000}"/>
    <cellStyle name="40 % - Aksentti4 3 3 3 2_DataIX" xfId="31054" xr:uid="{00000000-0005-0000-0000-0000C82C0000}"/>
    <cellStyle name="40 % - Aksentti4 3 3 3 3" xfId="16167" xr:uid="{00000000-0005-0000-0000-0000C92C0000}"/>
    <cellStyle name="40 % - Aksentti4 3 3 3_060617_hinnat" xfId="24157" xr:uid="{00000000-0005-0000-0000-0000CA2C0000}"/>
    <cellStyle name="40 % - Aksentti4 3 3 4" xfId="7971" xr:uid="{00000000-0005-0000-0000-0000CB2C0000}"/>
    <cellStyle name="40 % - Aksentti4 3 3 4 2" xfId="11852" xr:uid="{00000000-0005-0000-0000-0000CC2C0000}"/>
    <cellStyle name="40 % - Aksentti4 3 3 4 3" xfId="19612" xr:uid="{00000000-0005-0000-0000-0000CD2C0000}"/>
    <cellStyle name="40 % - Aksentti4 3 3 4_DataIX" xfId="31055" xr:uid="{00000000-0005-0000-0000-0000CE2C0000}"/>
    <cellStyle name="40 % - Aksentti4 3 3 5" xfId="16164" xr:uid="{00000000-0005-0000-0000-0000CF2C0000}"/>
    <cellStyle name="40 % - Aksentti4 3 3_060617_hinnat" xfId="24158" xr:uid="{00000000-0005-0000-0000-0000D02C0000}"/>
    <cellStyle name="40 % - Aksentti4 3 4" xfId="2648" xr:uid="{00000000-0005-0000-0000-0000D12C0000}"/>
    <cellStyle name="40 % - Aksentti4 3 4 2" xfId="2649" xr:uid="{00000000-0005-0000-0000-0000D22C0000}"/>
    <cellStyle name="40 % - Aksentti4 3 4 2 2" xfId="2650" xr:uid="{00000000-0005-0000-0000-0000D32C0000}"/>
    <cellStyle name="40 % - Aksentti4 3 4 2 2 2" xfId="7977" xr:uid="{00000000-0005-0000-0000-0000D42C0000}"/>
    <cellStyle name="40 % - Aksentti4 3 4 2 2 2 2" xfId="11853" xr:uid="{00000000-0005-0000-0000-0000D52C0000}"/>
    <cellStyle name="40 % - Aksentti4 3 4 2 2 2 3" xfId="19618" xr:uid="{00000000-0005-0000-0000-0000D62C0000}"/>
    <cellStyle name="40 % - Aksentti4 3 4 2 2 2_DataIX" xfId="31056" xr:uid="{00000000-0005-0000-0000-0000D72C0000}"/>
    <cellStyle name="40 % - Aksentti4 3 4 2 2 3" xfId="16170" xr:uid="{00000000-0005-0000-0000-0000D82C0000}"/>
    <cellStyle name="40 % - Aksentti4 3 4 2 2_060617_hinnat" xfId="24159" xr:uid="{00000000-0005-0000-0000-0000D92C0000}"/>
    <cellStyle name="40 % - Aksentti4 3 4 2 3" xfId="7976" xr:uid="{00000000-0005-0000-0000-0000DA2C0000}"/>
    <cellStyle name="40 % - Aksentti4 3 4 2 3 2" xfId="11854" xr:uid="{00000000-0005-0000-0000-0000DB2C0000}"/>
    <cellStyle name="40 % - Aksentti4 3 4 2 3 3" xfId="19617" xr:uid="{00000000-0005-0000-0000-0000DC2C0000}"/>
    <cellStyle name="40 % - Aksentti4 3 4 2 3_DataIX" xfId="31057" xr:uid="{00000000-0005-0000-0000-0000DD2C0000}"/>
    <cellStyle name="40 % - Aksentti4 3 4 2 4" xfId="16169" xr:uid="{00000000-0005-0000-0000-0000DE2C0000}"/>
    <cellStyle name="40 % - Aksentti4 3 4 2_060617_hinnat" xfId="24160" xr:uid="{00000000-0005-0000-0000-0000DF2C0000}"/>
    <cellStyle name="40 % - Aksentti4 3 4 3" xfId="2651" xr:uid="{00000000-0005-0000-0000-0000E02C0000}"/>
    <cellStyle name="40 % - Aksentti4 3 4 3 2" xfId="7978" xr:uid="{00000000-0005-0000-0000-0000E12C0000}"/>
    <cellStyle name="40 % - Aksentti4 3 4 3 2 2" xfId="11855" xr:uid="{00000000-0005-0000-0000-0000E22C0000}"/>
    <cellStyle name="40 % - Aksentti4 3 4 3 2 3" xfId="19619" xr:uid="{00000000-0005-0000-0000-0000E32C0000}"/>
    <cellStyle name="40 % - Aksentti4 3 4 3 2_DataIX" xfId="31058" xr:uid="{00000000-0005-0000-0000-0000E42C0000}"/>
    <cellStyle name="40 % - Aksentti4 3 4 3 3" xfId="16171" xr:uid="{00000000-0005-0000-0000-0000E52C0000}"/>
    <cellStyle name="40 % - Aksentti4 3 4 3_060617_hinnat" xfId="24161" xr:uid="{00000000-0005-0000-0000-0000E62C0000}"/>
    <cellStyle name="40 % - Aksentti4 3 4 4" xfId="7975" xr:uid="{00000000-0005-0000-0000-0000E72C0000}"/>
    <cellStyle name="40 % - Aksentti4 3 4 4 2" xfId="11856" xr:uid="{00000000-0005-0000-0000-0000E82C0000}"/>
    <cellStyle name="40 % - Aksentti4 3 4 4 3" xfId="19616" xr:uid="{00000000-0005-0000-0000-0000E92C0000}"/>
    <cellStyle name="40 % - Aksentti4 3 4 4_DataIX" xfId="31059" xr:uid="{00000000-0005-0000-0000-0000EA2C0000}"/>
    <cellStyle name="40 % - Aksentti4 3 4 5" xfId="16168" xr:uid="{00000000-0005-0000-0000-0000EB2C0000}"/>
    <cellStyle name="40 % - Aksentti4 3 4_060617_hinnat" xfId="24162" xr:uid="{00000000-0005-0000-0000-0000EC2C0000}"/>
    <cellStyle name="40 % - Aksentti4 3 5" xfId="2652" xr:uid="{00000000-0005-0000-0000-0000ED2C0000}"/>
    <cellStyle name="40 % - Aksentti4 3 5 2" xfId="2653" xr:uid="{00000000-0005-0000-0000-0000EE2C0000}"/>
    <cellStyle name="40 % - Aksentti4 3 5 2 2" xfId="7980" xr:uid="{00000000-0005-0000-0000-0000EF2C0000}"/>
    <cellStyle name="40 % - Aksentti4 3 5 2 2 2" xfId="11857" xr:uid="{00000000-0005-0000-0000-0000F02C0000}"/>
    <cellStyle name="40 % - Aksentti4 3 5 2 2 3" xfId="19621" xr:uid="{00000000-0005-0000-0000-0000F12C0000}"/>
    <cellStyle name="40 % - Aksentti4 3 5 2 2_DataIX" xfId="31060" xr:uid="{00000000-0005-0000-0000-0000F22C0000}"/>
    <cellStyle name="40 % - Aksentti4 3 5 2 3" xfId="16173" xr:uid="{00000000-0005-0000-0000-0000F32C0000}"/>
    <cellStyle name="40 % - Aksentti4 3 5 2_060617_hinnat" xfId="24163" xr:uid="{00000000-0005-0000-0000-0000F42C0000}"/>
    <cellStyle name="40 % - Aksentti4 3 5 3" xfId="7979" xr:uid="{00000000-0005-0000-0000-0000F52C0000}"/>
    <cellStyle name="40 % - Aksentti4 3 5 3 2" xfId="11858" xr:uid="{00000000-0005-0000-0000-0000F62C0000}"/>
    <cellStyle name="40 % - Aksentti4 3 5 3 3" xfId="19620" xr:uid="{00000000-0005-0000-0000-0000F72C0000}"/>
    <cellStyle name="40 % - Aksentti4 3 5 3_DataIX" xfId="31061" xr:uid="{00000000-0005-0000-0000-0000F82C0000}"/>
    <cellStyle name="40 % - Aksentti4 3 5 4" xfId="16172" xr:uid="{00000000-0005-0000-0000-0000F92C0000}"/>
    <cellStyle name="40 % - Aksentti4 3 5_060617_hinnat" xfId="24164" xr:uid="{00000000-0005-0000-0000-0000FA2C0000}"/>
    <cellStyle name="40 % - Aksentti4 3 6" xfId="2654" xr:uid="{00000000-0005-0000-0000-0000FB2C0000}"/>
    <cellStyle name="40 % - Aksentti4 3 6 2" xfId="7981" xr:uid="{00000000-0005-0000-0000-0000FC2C0000}"/>
    <cellStyle name="40 % - Aksentti4 3 6 2 2" xfId="11859" xr:uid="{00000000-0005-0000-0000-0000FD2C0000}"/>
    <cellStyle name="40 % - Aksentti4 3 6 2 3" xfId="19622" xr:uid="{00000000-0005-0000-0000-0000FE2C0000}"/>
    <cellStyle name="40 % - Aksentti4 3 6 2_DataIX" xfId="31062" xr:uid="{00000000-0005-0000-0000-0000FF2C0000}"/>
    <cellStyle name="40 % - Aksentti4 3 6 3" xfId="16174" xr:uid="{00000000-0005-0000-0000-0000002D0000}"/>
    <cellStyle name="40 % - Aksentti4 3 6_060617_hinnat" xfId="24165" xr:uid="{00000000-0005-0000-0000-0000012D0000}"/>
    <cellStyle name="40 % - Aksentti4 3 7" xfId="2655" xr:uid="{00000000-0005-0000-0000-0000022D0000}"/>
    <cellStyle name="40 % - Aksentti4 3 7 2" xfId="7982" xr:uid="{00000000-0005-0000-0000-0000032D0000}"/>
    <cellStyle name="40 % - Aksentti4 3 7 2 2" xfId="11860" xr:uid="{00000000-0005-0000-0000-0000042D0000}"/>
    <cellStyle name="40 % - Aksentti4 3 7 2 3" xfId="19623" xr:uid="{00000000-0005-0000-0000-0000052D0000}"/>
    <cellStyle name="40 % - Aksentti4 3 7 2_DataIX" xfId="31063" xr:uid="{00000000-0005-0000-0000-0000062D0000}"/>
    <cellStyle name="40 % - Aksentti4 3 7 3" xfId="16175" xr:uid="{00000000-0005-0000-0000-0000072D0000}"/>
    <cellStyle name="40 % - Aksentti4 3 7_060617_hinnat" xfId="24166" xr:uid="{00000000-0005-0000-0000-0000082D0000}"/>
    <cellStyle name="40 % - Aksentti4 3 8" xfId="2656" xr:uid="{00000000-0005-0000-0000-0000092D0000}"/>
    <cellStyle name="40 % - Aksentti4 3 8 2" xfId="7983" xr:uid="{00000000-0005-0000-0000-00000A2D0000}"/>
    <cellStyle name="40 % - Aksentti4 3 8 2 2" xfId="11861" xr:uid="{00000000-0005-0000-0000-00000B2D0000}"/>
    <cellStyle name="40 % - Aksentti4 3 8 2 3" xfId="19624" xr:uid="{00000000-0005-0000-0000-00000C2D0000}"/>
    <cellStyle name="40 % - Aksentti4 3 8 2_DataIX" xfId="31064" xr:uid="{00000000-0005-0000-0000-00000D2D0000}"/>
    <cellStyle name="40 % - Aksentti4 3 8 3" xfId="16176" xr:uid="{00000000-0005-0000-0000-00000E2D0000}"/>
    <cellStyle name="40 % - Aksentti4 3 8_060617_hinnat" xfId="24167" xr:uid="{00000000-0005-0000-0000-00000F2D0000}"/>
    <cellStyle name="40 % - Aksentti4 3 9" xfId="2657" xr:uid="{00000000-0005-0000-0000-0000102D0000}"/>
    <cellStyle name="40 % - Aksentti4 3 9 2" xfId="7984" xr:uid="{00000000-0005-0000-0000-0000112D0000}"/>
    <cellStyle name="40 % - Aksentti4 3 9 2 2" xfId="11862" xr:uid="{00000000-0005-0000-0000-0000122D0000}"/>
    <cellStyle name="40 % - Aksentti4 3 9 2 3" xfId="19625" xr:uid="{00000000-0005-0000-0000-0000132D0000}"/>
    <cellStyle name="40 % - Aksentti4 3 9 2_DataIX" xfId="31065" xr:uid="{00000000-0005-0000-0000-0000142D0000}"/>
    <cellStyle name="40 % - Aksentti4 3 9 3" xfId="16177" xr:uid="{00000000-0005-0000-0000-0000152D0000}"/>
    <cellStyle name="40 % - Aksentti4 3 9_060617_hinnat" xfId="24168" xr:uid="{00000000-0005-0000-0000-0000162D0000}"/>
    <cellStyle name="40 % - Aksentti4 3_060617_hinnat" xfId="24169" xr:uid="{00000000-0005-0000-0000-0000172D0000}"/>
    <cellStyle name="40 % - Aksentti4 30" xfId="13086" xr:uid="{00000000-0005-0000-0000-0000182D0000}"/>
    <cellStyle name="40 % - Aksentti4 31" xfId="13195" xr:uid="{00000000-0005-0000-0000-0000192D0000}"/>
    <cellStyle name="40 % - Aksentti4 32" xfId="13167" xr:uid="{00000000-0005-0000-0000-00001A2D0000}"/>
    <cellStyle name="40 % - Aksentti4 33" xfId="13240" xr:uid="{00000000-0005-0000-0000-00001B2D0000}"/>
    <cellStyle name="40 % - Aksentti4 34" xfId="13895" xr:uid="{00000000-0005-0000-0000-00001C2D0000}"/>
    <cellStyle name="40 % - Aksentti4 35" xfId="13808" xr:uid="{00000000-0005-0000-0000-00001D2D0000}"/>
    <cellStyle name="40 % - Aksentti4 36" xfId="25411" xr:uid="{00000000-0005-0000-0000-00001E2D0000}"/>
    <cellStyle name="40 % - Aksentti4 37" xfId="25556" xr:uid="{00000000-0005-0000-0000-00001F2D0000}"/>
    <cellStyle name="40 % - Aksentti4 38" xfId="25681" xr:uid="{00000000-0005-0000-0000-0000202D0000}"/>
    <cellStyle name="40 % - Aksentti4 39" xfId="25470" xr:uid="{00000000-0005-0000-0000-0000212D0000}"/>
    <cellStyle name="40 % - Aksentti4 4" xfId="2658" xr:uid="{00000000-0005-0000-0000-0000222D0000}"/>
    <cellStyle name="40 % - Aksentti4 4 10" xfId="2659" xr:uid="{00000000-0005-0000-0000-0000232D0000}"/>
    <cellStyle name="40 % - Aksentti4 4 10 2" xfId="7986" xr:uid="{00000000-0005-0000-0000-0000242D0000}"/>
    <cellStyle name="40 % - Aksentti4 4 10 2 2" xfId="11863" xr:uid="{00000000-0005-0000-0000-0000252D0000}"/>
    <cellStyle name="40 % - Aksentti4 4 10 2 3" xfId="19626" xr:uid="{00000000-0005-0000-0000-0000262D0000}"/>
    <cellStyle name="40 % - Aksentti4 4 10 2_DataIX" xfId="31066" xr:uid="{00000000-0005-0000-0000-0000272D0000}"/>
    <cellStyle name="40 % - Aksentti4 4 10 3" xfId="16179" xr:uid="{00000000-0005-0000-0000-0000282D0000}"/>
    <cellStyle name="40 % - Aksentti4 4 10_060617_hinnat" xfId="24170" xr:uid="{00000000-0005-0000-0000-0000292D0000}"/>
    <cellStyle name="40 % - Aksentti4 4 11" xfId="5512" xr:uid="{00000000-0005-0000-0000-00002A2D0000}"/>
    <cellStyle name="40 % - Aksentti4 4 11 2" xfId="11864" xr:uid="{00000000-0005-0000-0000-00002B2D0000}"/>
    <cellStyle name="40 % - Aksentti4 4 11 3" xfId="18753" xr:uid="{00000000-0005-0000-0000-00002C2D0000}"/>
    <cellStyle name="40 % - Aksentti4 4 11_DataIX" xfId="31067" xr:uid="{00000000-0005-0000-0000-00002D2D0000}"/>
    <cellStyle name="40 % - Aksentti4 4 12" xfId="16178" xr:uid="{00000000-0005-0000-0000-00002E2D0000}"/>
    <cellStyle name="40 % - Aksentti4 4 2" xfId="2660" xr:uid="{00000000-0005-0000-0000-00002F2D0000}"/>
    <cellStyle name="40 % - Aksentti4 4 2 2" xfId="2661" xr:uid="{00000000-0005-0000-0000-0000302D0000}"/>
    <cellStyle name="40 % - Aksentti4 4 2 2 2" xfId="2662" xr:uid="{00000000-0005-0000-0000-0000312D0000}"/>
    <cellStyle name="40 % - Aksentti4 4 2 2 2 2" xfId="7989" xr:uid="{00000000-0005-0000-0000-0000322D0000}"/>
    <cellStyle name="40 % - Aksentti4 4 2 2 2 2 2" xfId="11865" xr:uid="{00000000-0005-0000-0000-0000332D0000}"/>
    <cellStyle name="40 % - Aksentti4 4 2 2 2 2 3" xfId="19629" xr:uid="{00000000-0005-0000-0000-0000342D0000}"/>
    <cellStyle name="40 % - Aksentti4 4 2 2 2 2_DataIX" xfId="31068" xr:uid="{00000000-0005-0000-0000-0000352D0000}"/>
    <cellStyle name="40 % - Aksentti4 4 2 2 2 3" xfId="16182" xr:uid="{00000000-0005-0000-0000-0000362D0000}"/>
    <cellStyle name="40 % - Aksentti4 4 2 2 2_060617_hinnat" xfId="24171" xr:uid="{00000000-0005-0000-0000-0000372D0000}"/>
    <cellStyle name="40 % - Aksentti4 4 2 2 3" xfId="7988" xr:uid="{00000000-0005-0000-0000-0000382D0000}"/>
    <cellStyle name="40 % - Aksentti4 4 2 2 3 2" xfId="11866" xr:uid="{00000000-0005-0000-0000-0000392D0000}"/>
    <cellStyle name="40 % - Aksentti4 4 2 2 3 3" xfId="19628" xr:uid="{00000000-0005-0000-0000-00003A2D0000}"/>
    <cellStyle name="40 % - Aksentti4 4 2 2 3_DataIX" xfId="31069" xr:uid="{00000000-0005-0000-0000-00003B2D0000}"/>
    <cellStyle name="40 % - Aksentti4 4 2 2 4" xfId="16181" xr:uid="{00000000-0005-0000-0000-00003C2D0000}"/>
    <cellStyle name="40 % - Aksentti4 4 2 2_060617_hinnat" xfId="24172" xr:uid="{00000000-0005-0000-0000-00003D2D0000}"/>
    <cellStyle name="40 % - Aksentti4 4 2 3" xfId="2663" xr:uid="{00000000-0005-0000-0000-00003E2D0000}"/>
    <cellStyle name="40 % - Aksentti4 4 2 3 2" xfId="7990" xr:uid="{00000000-0005-0000-0000-00003F2D0000}"/>
    <cellStyle name="40 % - Aksentti4 4 2 3 2 2" xfId="11867" xr:uid="{00000000-0005-0000-0000-0000402D0000}"/>
    <cellStyle name="40 % - Aksentti4 4 2 3 2 3" xfId="19630" xr:uid="{00000000-0005-0000-0000-0000412D0000}"/>
    <cellStyle name="40 % - Aksentti4 4 2 3 2_DataIX" xfId="31070" xr:uid="{00000000-0005-0000-0000-0000422D0000}"/>
    <cellStyle name="40 % - Aksentti4 4 2 3 3" xfId="16183" xr:uid="{00000000-0005-0000-0000-0000432D0000}"/>
    <cellStyle name="40 % - Aksentti4 4 2 3_060617_hinnat" xfId="24173" xr:uid="{00000000-0005-0000-0000-0000442D0000}"/>
    <cellStyle name="40 % - Aksentti4 4 2 4" xfId="7987" xr:uid="{00000000-0005-0000-0000-0000452D0000}"/>
    <cellStyle name="40 % - Aksentti4 4 2 4 2" xfId="11868" xr:uid="{00000000-0005-0000-0000-0000462D0000}"/>
    <cellStyle name="40 % - Aksentti4 4 2 4 3" xfId="19627" xr:uid="{00000000-0005-0000-0000-0000472D0000}"/>
    <cellStyle name="40 % - Aksentti4 4 2 4_DataIX" xfId="31071" xr:uid="{00000000-0005-0000-0000-0000482D0000}"/>
    <cellStyle name="40 % - Aksentti4 4 2 5" xfId="16180" xr:uid="{00000000-0005-0000-0000-0000492D0000}"/>
    <cellStyle name="40 % - Aksentti4 4 2_060617_hinnat" xfId="24174" xr:uid="{00000000-0005-0000-0000-00004A2D0000}"/>
    <cellStyle name="40 % - Aksentti4 4 3" xfId="2664" xr:uid="{00000000-0005-0000-0000-00004B2D0000}"/>
    <cellStyle name="40 % - Aksentti4 4 3 2" xfId="2665" xr:uid="{00000000-0005-0000-0000-00004C2D0000}"/>
    <cellStyle name="40 % - Aksentti4 4 3 2 2" xfId="7992" xr:uid="{00000000-0005-0000-0000-00004D2D0000}"/>
    <cellStyle name="40 % - Aksentti4 4 3 2 2 2" xfId="11869" xr:uid="{00000000-0005-0000-0000-00004E2D0000}"/>
    <cellStyle name="40 % - Aksentti4 4 3 2 2 3" xfId="19632" xr:uid="{00000000-0005-0000-0000-00004F2D0000}"/>
    <cellStyle name="40 % - Aksentti4 4 3 2 2_DataIX" xfId="31072" xr:uid="{00000000-0005-0000-0000-0000502D0000}"/>
    <cellStyle name="40 % - Aksentti4 4 3 2 3" xfId="16185" xr:uid="{00000000-0005-0000-0000-0000512D0000}"/>
    <cellStyle name="40 % - Aksentti4 4 3 2_060617_hinnat" xfId="24175" xr:uid="{00000000-0005-0000-0000-0000522D0000}"/>
    <cellStyle name="40 % - Aksentti4 4 3 3" xfId="7991" xr:uid="{00000000-0005-0000-0000-0000532D0000}"/>
    <cellStyle name="40 % - Aksentti4 4 3 3 2" xfId="11870" xr:uid="{00000000-0005-0000-0000-0000542D0000}"/>
    <cellStyle name="40 % - Aksentti4 4 3 3 3" xfId="19631" xr:uid="{00000000-0005-0000-0000-0000552D0000}"/>
    <cellStyle name="40 % - Aksentti4 4 3 3_DataIX" xfId="31073" xr:uid="{00000000-0005-0000-0000-0000562D0000}"/>
    <cellStyle name="40 % - Aksentti4 4 3 4" xfId="16184" xr:uid="{00000000-0005-0000-0000-0000572D0000}"/>
    <cellStyle name="40 % - Aksentti4 4 3_060617_hinnat" xfId="24176" xr:uid="{00000000-0005-0000-0000-0000582D0000}"/>
    <cellStyle name="40 % - Aksentti4 4 4" xfId="2666" xr:uid="{00000000-0005-0000-0000-0000592D0000}"/>
    <cellStyle name="40 % - Aksentti4 4 4 2" xfId="7993" xr:uid="{00000000-0005-0000-0000-00005A2D0000}"/>
    <cellStyle name="40 % - Aksentti4 4 4 2 2" xfId="11871" xr:uid="{00000000-0005-0000-0000-00005B2D0000}"/>
    <cellStyle name="40 % - Aksentti4 4 4 2 3" xfId="19633" xr:uid="{00000000-0005-0000-0000-00005C2D0000}"/>
    <cellStyle name="40 % - Aksentti4 4 4 2_DataIX" xfId="31074" xr:uid="{00000000-0005-0000-0000-00005D2D0000}"/>
    <cellStyle name="40 % - Aksentti4 4 4 3" xfId="16186" xr:uid="{00000000-0005-0000-0000-00005E2D0000}"/>
    <cellStyle name="40 % - Aksentti4 4 4_060617_hinnat" xfId="24177" xr:uid="{00000000-0005-0000-0000-00005F2D0000}"/>
    <cellStyle name="40 % - Aksentti4 4 5" xfId="2667" xr:uid="{00000000-0005-0000-0000-0000602D0000}"/>
    <cellStyle name="40 % - Aksentti4 4 5 2" xfId="7994" xr:uid="{00000000-0005-0000-0000-0000612D0000}"/>
    <cellStyle name="40 % - Aksentti4 4 5 2 2" xfId="11872" xr:uid="{00000000-0005-0000-0000-0000622D0000}"/>
    <cellStyle name="40 % - Aksentti4 4 5 2 3" xfId="19634" xr:uid="{00000000-0005-0000-0000-0000632D0000}"/>
    <cellStyle name="40 % - Aksentti4 4 5 2_DataIX" xfId="31075" xr:uid="{00000000-0005-0000-0000-0000642D0000}"/>
    <cellStyle name="40 % - Aksentti4 4 5 3" xfId="16187" xr:uid="{00000000-0005-0000-0000-0000652D0000}"/>
    <cellStyle name="40 % - Aksentti4 4 5_060617_hinnat" xfId="24178" xr:uid="{00000000-0005-0000-0000-0000662D0000}"/>
    <cellStyle name="40 % - Aksentti4 4 6" xfId="2668" xr:uid="{00000000-0005-0000-0000-0000672D0000}"/>
    <cellStyle name="40 % - Aksentti4 4 6 2" xfId="7995" xr:uid="{00000000-0005-0000-0000-0000682D0000}"/>
    <cellStyle name="40 % - Aksentti4 4 6 2 2" xfId="11873" xr:uid="{00000000-0005-0000-0000-0000692D0000}"/>
    <cellStyle name="40 % - Aksentti4 4 6 2 3" xfId="19635" xr:uid="{00000000-0005-0000-0000-00006A2D0000}"/>
    <cellStyle name="40 % - Aksentti4 4 6 2_DataIX" xfId="31076" xr:uid="{00000000-0005-0000-0000-00006B2D0000}"/>
    <cellStyle name="40 % - Aksentti4 4 6 3" xfId="16188" xr:uid="{00000000-0005-0000-0000-00006C2D0000}"/>
    <cellStyle name="40 % - Aksentti4 4 6_060617_hinnat" xfId="24179" xr:uid="{00000000-0005-0000-0000-00006D2D0000}"/>
    <cellStyle name="40 % - Aksentti4 4 7" xfId="2669" xr:uid="{00000000-0005-0000-0000-00006E2D0000}"/>
    <cellStyle name="40 % - Aksentti4 4 7 2" xfId="7996" xr:uid="{00000000-0005-0000-0000-00006F2D0000}"/>
    <cellStyle name="40 % - Aksentti4 4 7 2 2" xfId="11874" xr:uid="{00000000-0005-0000-0000-0000702D0000}"/>
    <cellStyle name="40 % - Aksentti4 4 7 2 3" xfId="19636" xr:uid="{00000000-0005-0000-0000-0000712D0000}"/>
    <cellStyle name="40 % - Aksentti4 4 7 2_DataIX" xfId="31077" xr:uid="{00000000-0005-0000-0000-0000722D0000}"/>
    <cellStyle name="40 % - Aksentti4 4 7 3" xfId="16189" xr:uid="{00000000-0005-0000-0000-0000732D0000}"/>
    <cellStyle name="40 % - Aksentti4 4 7_060617_hinnat" xfId="24180" xr:uid="{00000000-0005-0000-0000-0000742D0000}"/>
    <cellStyle name="40 % - Aksentti4 4 8" xfId="2670" xr:uid="{00000000-0005-0000-0000-0000752D0000}"/>
    <cellStyle name="40 % - Aksentti4 4 8 2" xfId="7997" xr:uid="{00000000-0005-0000-0000-0000762D0000}"/>
    <cellStyle name="40 % - Aksentti4 4 8 2 2" xfId="11875" xr:uid="{00000000-0005-0000-0000-0000772D0000}"/>
    <cellStyle name="40 % - Aksentti4 4 8 2 3" xfId="19637" xr:uid="{00000000-0005-0000-0000-0000782D0000}"/>
    <cellStyle name="40 % - Aksentti4 4 8 2_DataIX" xfId="31078" xr:uid="{00000000-0005-0000-0000-0000792D0000}"/>
    <cellStyle name="40 % - Aksentti4 4 8 3" xfId="16190" xr:uid="{00000000-0005-0000-0000-00007A2D0000}"/>
    <cellStyle name="40 % - Aksentti4 4 8_060617_hinnat" xfId="24181" xr:uid="{00000000-0005-0000-0000-00007B2D0000}"/>
    <cellStyle name="40 % - Aksentti4 4 9" xfId="2671" xr:uid="{00000000-0005-0000-0000-00007C2D0000}"/>
    <cellStyle name="40 % - Aksentti4 4 9 2" xfId="7998" xr:uid="{00000000-0005-0000-0000-00007D2D0000}"/>
    <cellStyle name="40 % - Aksentti4 4 9 2 2" xfId="11876" xr:uid="{00000000-0005-0000-0000-00007E2D0000}"/>
    <cellStyle name="40 % - Aksentti4 4 9 2 3" xfId="19638" xr:uid="{00000000-0005-0000-0000-00007F2D0000}"/>
    <cellStyle name="40 % - Aksentti4 4 9 2_DataIX" xfId="31079" xr:uid="{00000000-0005-0000-0000-0000802D0000}"/>
    <cellStyle name="40 % - Aksentti4 4 9 3" xfId="16191" xr:uid="{00000000-0005-0000-0000-0000812D0000}"/>
    <cellStyle name="40 % - Aksentti4 4 9_060617_hinnat" xfId="24182" xr:uid="{00000000-0005-0000-0000-0000822D0000}"/>
    <cellStyle name="40 % - Aksentti4 4_##Keskeiset" xfId="7985" xr:uid="{00000000-0005-0000-0000-0000832D0000}"/>
    <cellStyle name="40 % - Aksentti4 40" xfId="26373" xr:uid="{00000000-0005-0000-0000-0000842D0000}"/>
    <cellStyle name="40 % - Aksentti4 41" xfId="25998" xr:uid="{00000000-0005-0000-0000-0000852D0000}"/>
    <cellStyle name="40 % - Aksentti4 42" xfId="25816" xr:uid="{00000000-0005-0000-0000-0000862D0000}"/>
    <cellStyle name="40 % - Aksentti4 43" xfId="26557" xr:uid="{00000000-0005-0000-0000-0000872D0000}"/>
    <cellStyle name="40 % - Aksentti4 44" xfId="25805" xr:uid="{00000000-0005-0000-0000-0000882D0000}"/>
    <cellStyle name="40 % - Aksentti4 5" xfId="2672" xr:uid="{00000000-0005-0000-0000-0000892D0000}"/>
    <cellStyle name="40 % - Aksentti4 5 10" xfId="2673" xr:uid="{00000000-0005-0000-0000-00008A2D0000}"/>
    <cellStyle name="40 % - Aksentti4 5 10 2" xfId="8000" xr:uid="{00000000-0005-0000-0000-00008B2D0000}"/>
    <cellStyle name="40 % - Aksentti4 5 10 2 2" xfId="11877" xr:uid="{00000000-0005-0000-0000-00008C2D0000}"/>
    <cellStyle name="40 % - Aksentti4 5 10 2 3" xfId="19640" xr:uid="{00000000-0005-0000-0000-00008D2D0000}"/>
    <cellStyle name="40 % - Aksentti4 5 10 2_DataIX" xfId="31080" xr:uid="{00000000-0005-0000-0000-00008E2D0000}"/>
    <cellStyle name="40 % - Aksentti4 5 10 3" xfId="16193" xr:uid="{00000000-0005-0000-0000-00008F2D0000}"/>
    <cellStyle name="40 % - Aksentti4 5 10_060617_hinnat" xfId="24183" xr:uid="{00000000-0005-0000-0000-0000902D0000}"/>
    <cellStyle name="40 % - Aksentti4 5 11" xfId="7999" xr:uid="{00000000-0005-0000-0000-0000912D0000}"/>
    <cellStyle name="40 % - Aksentti4 5 11 2" xfId="11878" xr:uid="{00000000-0005-0000-0000-0000922D0000}"/>
    <cellStyle name="40 % - Aksentti4 5 11 3" xfId="19639" xr:uid="{00000000-0005-0000-0000-0000932D0000}"/>
    <cellStyle name="40 % - Aksentti4 5 11_DataIX" xfId="31081" xr:uid="{00000000-0005-0000-0000-0000942D0000}"/>
    <cellStyle name="40 % - Aksentti4 5 12" xfId="16192" xr:uid="{00000000-0005-0000-0000-0000952D0000}"/>
    <cellStyle name="40 % - Aksentti4 5 2" xfId="2674" xr:uid="{00000000-0005-0000-0000-0000962D0000}"/>
    <cellStyle name="40 % - Aksentti4 5 2 2" xfId="2675" xr:uid="{00000000-0005-0000-0000-0000972D0000}"/>
    <cellStyle name="40 % - Aksentti4 5 2 2 2" xfId="2676" xr:uid="{00000000-0005-0000-0000-0000982D0000}"/>
    <cellStyle name="40 % - Aksentti4 5 2 2 2 2" xfId="8003" xr:uid="{00000000-0005-0000-0000-0000992D0000}"/>
    <cellStyle name="40 % - Aksentti4 5 2 2 2 2 2" xfId="11879" xr:uid="{00000000-0005-0000-0000-00009A2D0000}"/>
    <cellStyle name="40 % - Aksentti4 5 2 2 2 2 3" xfId="19643" xr:uid="{00000000-0005-0000-0000-00009B2D0000}"/>
    <cellStyle name="40 % - Aksentti4 5 2 2 2 2_DataIX" xfId="31082" xr:uid="{00000000-0005-0000-0000-00009C2D0000}"/>
    <cellStyle name="40 % - Aksentti4 5 2 2 2 3" xfId="16196" xr:uid="{00000000-0005-0000-0000-00009D2D0000}"/>
    <cellStyle name="40 % - Aksentti4 5 2 2 2_060617_hinnat" xfId="24184" xr:uid="{00000000-0005-0000-0000-00009E2D0000}"/>
    <cellStyle name="40 % - Aksentti4 5 2 2 3" xfId="8002" xr:uid="{00000000-0005-0000-0000-00009F2D0000}"/>
    <cellStyle name="40 % - Aksentti4 5 2 2 3 2" xfId="11880" xr:uid="{00000000-0005-0000-0000-0000A02D0000}"/>
    <cellStyle name="40 % - Aksentti4 5 2 2 3 3" xfId="19642" xr:uid="{00000000-0005-0000-0000-0000A12D0000}"/>
    <cellStyle name="40 % - Aksentti4 5 2 2 3_DataIX" xfId="31083" xr:uid="{00000000-0005-0000-0000-0000A22D0000}"/>
    <cellStyle name="40 % - Aksentti4 5 2 2 4" xfId="16195" xr:uid="{00000000-0005-0000-0000-0000A32D0000}"/>
    <cellStyle name="40 % - Aksentti4 5 2 2_060617_hinnat" xfId="24185" xr:uid="{00000000-0005-0000-0000-0000A42D0000}"/>
    <cellStyle name="40 % - Aksentti4 5 2 3" xfId="2677" xr:uid="{00000000-0005-0000-0000-0000A52D0000}"/>
    <cellStyle name="40 % - Aksentti4 5 2 3 2" xfId="8004" xr:uid="{00000000-0005-0000-0000-0000A62D0000}"/>
    <cellStyle name="40 % - Aksentti4 5 2 3 2 2" xfId="11881" xr:uid="{00000000-0005-0000-0000-0000A72D0000}"/>
    <cellStyle name="40 % - Aksentti4 5 2 3 2 3" xfId="19644" xr:uid="{00000000-0005-0000-0000-0000A82D0000}"/>
    <cellStyle name="40 % - Aksentti4 5 2 3 2_DataIX" xfId="31084" xr:uid="{00000000-0005-0000-0000-0000A92D0000}"/>
    <cellStyle name="40 % - Aksentti4 5 2 3 3" xfId="16197" xr:uid="{00000000-0005-0000-0000-0000AA2D0000}"/>
    <cellStyle name="40 % - Aksentti4 5 2 3_060617_hinnat" xfId="24186" xr:uid="{00000000-0005-0000-0000-0000AB2D0000}"/>
    <cellStyle name="40 % - Aksentti4 5 2 4" xfId="8001" xr:uid="{00000000-0005-0000-0000-0000AC2D0000}"/>
    <cellStyle name="40 % - Aksentti4 5 2 4 2" xfId="11882" xr:uid="{00000000-0005-0000-0000-0000AD2D0000}"/>
    <cellStyle name="40 % - Aksentti4 5 2 4 3" xfId="19641" xr:uid="{00000000-0005-0000-0000-0000AE2D0000}"/>
    <cellStyle name="40 % - Aksentti4 5 2 4_DataIX" xfId="31085" xr:uid="{00000000-0005-0000-0000-0000AF2D0000}"/>
    <cellStyle name="40 % - Aksentti4 5 2 5" xfId="16194" xr:uid="{00000000-0005-0000-0000-0000B02D0000}"/>
    <cellStyle name="40 % - Aksentti4 5 2_060617_hinnat" xfId="24187" xr:uid="{00000000-0005-0000-0000-0000B12D0000}"/>
    <cellStyle name="40 % - Aksentti4 5 3" xfId="2678" xr:uid="{00000000-0005-0000-0000-0000B22D0000}"/>
    <cellStyle name="40 % - Aksentti4 5 3 2" xfId="2679" xr:uid="{00000000-0005-0000-0000-0000B32D0000}"/>
    <cellStyle name="40 % - Aksentti4 5 3 2 2" xfId="8006" xr:uid="{00000000-0005-0000-0000-0000B42D0000}"/>
    <cellStyle name="40 % - Aksentti4 5 3 2 2 2" xfId="11883" xr:uid="{00000000-0005-0000-0000-0000B52D0000}"/>
    <cellStyle name="40 % - Aksentti4 5 3 2 2 3" xfId="19646" xr:uid="{00000000-0005-0000-0000-0000B62D0000}"/>
    <cellStyle name="40 % - Aksentti4 5 3 2 2_DataIX" xfId="31086" xr:uid="{00000000-0005-0000-0000-0000B72D0000}"/>
    <cellStyle name="40 % - Aksentti4 5 3 2 3" xfId="16199" xr:uid="{00000000-0005-0000-0000-0000B82D0000}"/>
    <cellStyle name="40 % - Aksentti4 5 3 2_060617_hinnat" xfId="24188" xr:uid="{00000000-0005-0000-0000-0000B92D0000}"/>
    <cellStyle name="40 % - Aksentti4 5 3 3" xfId="8005" xr:uid="{00000000-0005-0000-0000-0000BA2D0000}"/>
    <cellStyle name="40 % - Aksentti4 5 3 3 2" xfId="11884" xr:uid="{00000000-0005-0000-0000-0000BB2D0000}"/>
    <cellStyle name="40 % - Aksentti4 5 3 3 3" xfId="19645" xr:uid="{00000000-0005-0000-0000-0000BC2D0000}"/>
    <cellStyle name="40 % - Aksentti4 5 3 3_DataIX" xfId="31087" xr:uid="{00000000-0005-0000-0000-0000BD2D0000}"/>
    <cellStyle name="40 % - Aksentti4 5 3 4" xfId="16198" xr:uid="{00000000-0005-0000-0000-0000BE2D0000}"/>
    <cellStyle name="40 % - Aksentti4 5 3_060617_hinnat" xfId="24189" xr:uid="{00000000-0005-0000-0000-0000BF2D0000}"/>
    <cellStyle name="40 % - Aksentti4 5 4" xfId="2680" xr:uid="{00000000-0005-0000-0000-0000C02D0000}"/>
    <cellStyle name="40 % - Aksentti4 5 4 2" xfId="8007" xr:uid="{00000000-0005-0000-0000-0000C12D0000}"/>
    <cellStyle name="40 % - Aksentti4 5 4 2 2" xfId="11885" xr:uid="{00000000-0005-0000-0000-0000C22D0000}"/>
    <cellStyle name="40 % - Aksentti4 5 4 2 3" xfId="19647" xr:uid="{00000000-0005-0000-0000-0000C32D0000}"/>
    <cellStyle name="40 % - Aksentti4 5 4 2_DataIX" xfId="31088" xr:uid="{00000000-0005-0000-0000-0000C42D0000}"/>
    <cellStyle name="40 % - Aksentti4 5 4 3" xfId="16200" xr:uid="{00000000-0005-0000-0000-0000C52D0000}"/>
    <cellStyle name="40 % - Aksentti4 5 4_060617_hinnat" xfId="24190" xr:uid="{00000000-0005-0000-0000-0000C62D0000}"/>
    <cellStyle name="40 % - Aksentti4 5 5" xfId="2681" xr:uid="{00000000-0005-0000-0000-0000C72D0000}"/>
    <cellStyle name="40 % - Aksentti4 5 5 2" xfId="8008" xr:uid="{00000000-0005-0000-0000-0000C82D0000}"/>
    <cellStyle name="40 % - Aksentti4 5 5 2 2" xfId="11886" xr:uid="{00000000-0005-0000-0000-0000C92D0000}"/>
    <cellStyle name="40 % - Aksentti4 5 5 2 3" xfId="19648" xr:uid="{00000000-0005-0000-0000-0000CA2D0000}"/>
    <cellStyle name="40 % - Aksentti4 5 5 2_DataIX" xfId="31089" xr:uid="{00000000-0005-0000-0000-0000CB2D0000}"/>
    <cellStyle name="40 % - Aksentti4 5 5 3" xfId="16201" xr:uid="{00000000-0005-0000-0000-0000CC2D0000}"/>
    <cellStyle name="40 % - Aksentti4 5 5_060617_hinnat" xfId="24191" xr:uid="{00000000-0005-0000-0000-0000CD2D0000}"/>
    <cellStyle name="40 % - Aksentti4 5 6" xfId="2682" xr:uid="{00000000-0005-0000-0000-0000CE2D0000}"/>
    <cellStyle name="40 % - Aksentti4 5 6 2" xfId="8009" xr:uid="{00000000-0005-0000-0000-0000CF2D0000}"/>
    <cellStyle name="40 % - Aksentti4 5 6 2 2" xfId="11887" xr:uid="{00000000-0005-0000-0000-0000D02D0000}"/>
    <cellStyle name="40 % - Aksentti4 5 6 2 3" xfId="19649" xr:uid="{00000000-0005-0000-0000-0000D12D0000}"/>
    <cellStyle name="40 % - Aksentti4 5 6 2_DataIX" xfId="31090" xr:uid="{00000000-0005-0000-0000-0000D22D0000}"/>
    <cellStyle name="40 % - Aksentti4 5 6 3" xfId="16202" xr:uid="{00000000-0005-0000-0000-0000D32D0000}"/>
    <cellStyle name="40 % - Aksentti4 5 6_060617_hinnat" xfId="24192" xr:uid="{00000000-0005-0000-0000-0000D42D0000}"/>
    <cellStyle name="40 % - Aksentti4 5 7" xfId="2683" xr:uid="{00000000-0005-0000-0000-0000D52D0000}"/>
    <cellStyle name="40 % - Aksentti4 5 7 2" xfId="8010" xr:uid="{00000000-0005-0000-0000-0000D62D0000}"/>
    <cellStyle name="40 % - Aksentti4 5 7 2 2" xfId="11888" xr:uid="{00000000-0005-0000-0000-0000D72D0000}"/>
    <cellStyle name="40 % - Aksentti4 5 7 2 3" xfId="19650" xr:uid="{00000000-0005-0000-0000-0000D82D0000}"/>
    <cellStyle name="40 % - Aksentti4 5 7 2_DataIX" xfId="31091" xr:uid="{00000000-0005-0000-0000-0000D92D0000}"/>
    <cellStyle name="40 % - Aksentti4 5 7 3" xfId="16203" xr:uid="{00000000-0005-0000-0000-0000DA2D0000}"/>
    <cellStyle name="40 % - Aksentti4 5 7_060617_hinnat" xfId="24193" xr:uid="{00000000-0005-0000-0000-0000DB2D0000}"/>
    <cellStyle name="40 % - Aksentti4 5 8" xfId="2684" xr:uid="{00000000-0005-0000-0000-0000DC2D0000}"/>
    <cellStyle name="40 % - Aksentti4 5 8 2" xfId="8011" xr:uid="{00000000-0005-0000-0000-0000DD2D0000}"/>
    <cellStyle name="40 % - Aksentti4 5 8 2 2" xfId="11889" xr:uid="{00000000-0005-0000-0000-0000DE2D0000}"/>
    <cellStyle name="40 % - Aksentti4 5 8 2 3" xfId="19651" xr:uid="{00000000-0005-0000-0000-0000DF2D0000}"/>
    <cellStyle name="40 % - Aksentti4 5 8 2_DataIX" xfId="31092" xr:uid="{00000000-0005-0000-0000-0000E02D0000}"/>
    <cellStyle name="40 % - Aksentti4 5 8 3" xfId="16204" xr:uid="{00000000-0005-0000-0000-0000E12D0000}"/>
    <cellStyle name="40 % - Aksentti4 5 8_060617_hinnat" xfId="24194" xr:uid="{00000000-0005-0000-0000-0000E22D0000}"/>
    <cellStyle name="40 % - Aksentti4 5 9" xfId="2685" xr:uid="{00000000-0005-0000-0000-0000E32D0000}"/>
    <cellStyle name="40 % - Aksentti4 5 9 2" xfId="8012" xr:uid="{00000000-0005-0000-0000-0000E42D0000}"/>
    <cellStyle name="40 % - Aksentti4 5 9 2 2" xfId="11890" xr:uid="{00000000-0005-0000-0000-0000E52D0000}"/>
    <cellStyle name="40 % - Aksentti4 5 9 2 3" xfId="19652" xr:uid="{00000000-0005-0000-0000-0000E62D0000}"/>
    <cellStyle name="40 % - Aksentti4 5 9 2_DataIX" xfId="31093" xr:uid="{00000000-0005-0000-0000-0000E72D0000}"/>
    <cellStyle name="40 % - Aksentti4 5 9 3" xfId="16205" xr:uid="{00000000-0005-0000-0000-0000E82D0000}"/>
    <cellStyle name="40 % - Aksentti4 5 9_060617_hinnat" xfId="24195" xr:uid="{00000000-0005-0000-0000-0000E92D0000}"/>
    <cellStyle name="40 % - Aksentti4 5_060617_hinnat" xfId="24196" xr:uid="{00000000-0005-0000-0000-0000EA2D0000}"/>
    <cellStyle name="40 % - Aksentti4 6" xfId="2686" xr:uid="{00000000-0005-0000-0000-0000EB2D0000}"/>
    <cellStyle name="40 % - Aksentti4 6 10" xfId="2687" xr:uid="{00000000-0005-0000-0000-0000EC2D0000}"/>
    <cellStyle name="40 % - Aksentti4 6 10 2" xfId="8014" xr:uid="{00000000-0005-0000-0000-0000ED2D0000}"/>
    <cellStyle name="40 % - Aksentti4 6 10 2 2" xfId="11891" xr:uid="{00000000-0005-0000-0000-0000EE2D0000}"/>
    <cellStyle name="40 % - Aksentti4 6 10 2 3" xfId="19654" xr:uid="{00000000-0005-0000-0000-0000EF2D0000}"/>
    <cellStyle name="40 % - Aksentti4 6 10 2_DataIX" xfId="31094" xr:uid="{00000000-0005-0000-0000-0000F02D0000}"/>
    <cellStyle name="40 % - Aksentti4 6 10 3" xfId="16207" xr:uid="{00000000-0005-0000-0000-0000F12D0000}"/>
    <cellStyle name="40 % - Aksentti4 6 10_060617_hinnat" xfId="24197" xr:uid="{00000000-0005-0000-0000-0000F22D0000}"/>
    <cellStyle name="40 % - Aksentti4 6 11" xfId="8013" xr:uid="{00000000-0005-0000-0000-0000F32D0000}"/>
    <cellStyle name="40 % - Aksentti4 6 11 2" xfId="11892" xr:uid="{00000000-0005-0000-0000-0000F42D0000}"/>
    <cellStyle name="40 % - Aksentti4 6 11 3" xfId="19653" xr:uid="{00000000-0005-0000-0000-0000F52D0000}"/>
    <cellStyle name="40 % - Aksentti4 6 11_DataIX" xfId="31095" xr:uid="{00000000-0005-0000-0000-0000F62D0000}"/>
    <cellStyle name="40 % - Aksentti4 6 12" xfId="16206" xr:uid="{00000000-0005-0000-0000-0000F72D0000}"/>
    <cellStyle name="40 % - Aksentti4 6 2" xfId="2688" xr:uid="{00000000-0005-0000-0000-0000F82D0000}"/>
    <cellStyle name="40 % - Aksentti4 6 2 2" xfId="2689" xr:uid="{00000000-0005-0000-0000-0000F92D0000}"/>
    <cellStyle name="40 % - Aksentti4 6 2 2 2" xfId="2690" xr:uid="{00000000-0005-0000-0000-0000FA2D0000}"/>
    <cellStyle name="40 % - Aksentti4 6 2 2 2 2" xfId="8017" xr:uid="{00000000-0005-0000-0000-0000FB2D0000}"/>
    <cellStyle name="40 % - Aksentti4 6 2 2 2 2 2" xfId="11893" xr:uid="{00000000-0005-0000-0000-0000FC2D0000}"/>
    <cellStyle name="40 % - Aksentti4 6 2 2 2 2 3" xfId="19657" xr:uid="{00000000-0005-0000-0000-0000FD2D0000}"/>
    <cellStyle name="40 % - Aksentti4 6 2 2 2 2_DataIX" xfId="31096" xr:uid="{00000000-0005-0000-0000-0000FE2D0000}"/>
    <cellStyle name="40 % - Aksentti4 6 2 2 2 3" xfId="16210" xr:uid="{00000000-0005-0000-0000-0000FF2D0000}"/>
    <cellStyle name="40 % - Aksentti4 6 2 2 2_060617_hinnat" xfId="24198" xr:uid="{00000000-0005-0000-0000-0000002E0000}"/>
    <cellStyle name="40 % - Aksentti4 6 2 2 3" xfId="8016" xr:uid="{00000000-0005-0000-0000-0000012E0000}"/>
    <cellStyle name="40 % - Aksentti4 6 2 2 3 2" xfId="11894" xr:uid="{00000000-0005-0000-0000-0000022E0000}"/>
    <cellStyle name="40 % - Aksentti4 6 2 2 3 3" xfId="19656" xr:uid="{00000000-0005-0000-0000-0000032E0000}"/>
    <cellStyle name="40 % - Aksentti4 6 2 2 3_DataIX" xfId="31097" xr:uid="{00000000-0005-0000-0000-0000042E0000}"/>
    <cellStyle name="40 % - Aksentti4 6 2 2 4" xfId="16209" xr:uid="{00000000-0005-0000-0000-0000052E0000}"/>
    <cellStyle name="40 % - Aksentti4 6 2 2_060617_hinnat" xfId="24199" xr:uid="{00000000-0005-0000-0000-0000062E0000}"/>
    <cellStyle name="40 % - Aksentti4 6 2 3" xfId="2691" xr:uid="{00000000-0005-0000-0000-0000072E0000}"/>
    <cellStyle name="40 % - Aksentti4 6 2 3 2" xfId="8018" xr:uid="{00000000-0005-0000-0000-0000082E0000}"/>
    <cellStyle name="40 % - Aksentti4 6 2 3 2 2" xfId="11895" xr:uid="{00000000-0005-0000-0000-0000092E0000}"/>
    <cellStyle name="40 % - Aksentti4 6 2 3 2 3" xfId="19658" xr:uid="{00000000-0005-0000-0000-00000A2E0000}"/>
    <cellStyle name="40 % - Aksentti4 6 2 3 2_DataIX" xfId="31098" xr:uid="{00000000-0005-0000-0000-00000B2E0000}"/>
    <cellStyle name="40 % - Aksentti4 6 2 3 3" xfId="16211" xr:uid="{00000000-0005-0000-0000-00000C2E0000}"/>
    <cellStyle name="40 % - Aksentti4 6 2 3_060617_hinnat" xfId="24200" xr:uid="{00000000-0005-0000-0000-00000D2E0000}"/>
    <cellStyle name="40 % - Aksentti4 6 2 4" xfId="8015" xr:uid="{00000000-0005-0000-0000-00000E2E0000}"/>
    <cellStyle name="40 % - Aksentti4 6 2 4 2" xfId="11896" xr:uid="{00000000-0005-0000-0000-00000F2E0000}"/>
    <cellStyle name="40 % - Aksentti4 6 2 4 3" xfId="19655" xr:uid="{00000000-0005-0000-0000-0000102E0000}"/>
    <cellStyle name="40 % - Aksentti4 6 2 4_DataIX" xfId="31099" xr:uid="{00000000-0005-0000-0000-0000112E0000}"/>
    <cellStyle name="40 % - Aksentti4 6 2 5" xfId="16208" xr:uid="{00000000-0005-0000-0000-0000122E0000}"/>
    <cellStyle name="40 % - Aksentti4 6 2_060617_hinnat" xfId="24201" xr:uid="{00000000-0005-0000-0000-0000132E0000}"/>
    <cellStyle name="40 % - Aksentti4 6 3" xfId="2692" xr:uid="{00000000-0005-0000-0000-0000142E0000}"/>
    <cellStyle name="40 % - Aksentti4 6 3 2" xfId="2693" xr:uid="{00000000-0005-0000-0000-0000152E0000}"/>
    <cellStyle name="40 % - Aksentti4 6 3 2 2" xfId="8020" xr:uid="{00000000-0005-0000-0000-0000162E0000}"/>
    <cellStyle name="40 % - Aksentti4 6 3 2 2 2" xfId="11897" xr:uid="{00000000-0005-0000-0000-0000172E0000}"/>
    <cellStyle name="40 % - Aksentti4 6 3 2 2 3" xfId="19660" xr:uid="{00000000-0005-0000-0000-0000182E0000}"/>
    <cellStyle name="40 % - Aksentti4 6 3 2 2_DataIX" xfId="31100" xr:uid="{00000000-0005-0000-0000-0000192E0000}"/>
    <cellStyle name="40 % - Aksentti4 6 3 2 3" xfId="16213" xr:uid="{00000000-0005-0000-0000-00001A2E0000}"/>
    <cellStyle name="40 % - Aksentti4 6 3 2_060617_hinnat" xfId="24202" xr:uid="{00000000-0005-0000-0000-00001B2E0000}"/>
    <cellStyle name="40 % - Aksentti4 6 3 3" xfId="8019" xr:uid="{00000000-0005-0000-0000-00001C2E0000}"/>
    <cellStyle name="40 % - Aksentti4 6 3 3 2" xfId="11898" xr:uid="{00000000-0005-0000-0000-00001D2E0000}"/>
    <cellStyle name="40 % - Aksentti4 6 3 3 3" xfId="19659" xr:uid="{00000000-0005-0000-0000-00001E2E0000}"/>
    <cellStyle name="40 % - Aksentti4 6 3 3_DataIX" xfId="31101" xr:uid="{00000000-0005-0000-0000-00001F2E0000}"/>
    <cellStyle name="40 % - Aksentti4 6 3 4" xfId="16212" xr:uid="{00000000-0005-0000-0000-0000202E0000}"/>
    <cellStyle name="40 % - Aksentti4 6 3_060617_hinnat" xfId="24203" xr:uid="{00000000-0005-0000-0000-0000212E0000}"/>
    <cellStyle name="40 % - Aksentti4 6 4" xfId="2694" xr:uid="{00000000-0005-0000-0000-0000222E0000}"/>
    <cellStyle name="40 % - Aksentti4 6 4 2" xfId="8021" xr:uid="{00000000-0005-0000-0000-0000232E0000}"/>
    <cellStyle name="40 % - Aksentti4 6 4 2 2" xfId="11899" xr:uid="{00000000-0005-0000-0000-0000242E0000}"/>
    <cellStyle name="40 % - Aksentti4 6 4 2 3" xfId="19661" xr:uid="{00000000-0005-0000-0000-0000252E0000}"/>
    <cellStyle name="40 % - Aksentti4 6 4 2_DataIX" xfId="31102" xr:uid="{00000000-0005-0000-0000-0000262E0000}"/>
    <cellStyle name="40 % - Aksentti4 6 4 3" xfId="16214" xr:uid="{00000000-0005-0000-0000-0000272E0000}"/>
    <cellStyle name="40 % - Aksentti4 6 4_060617_hinnat" xfId="24204" xr:uid="{00000000-0005-0000-0000-0000282E0000}"/>
    <cellStyle name="40 % - Aksentti4 6 5" xfId="2695" xr:uid="{00000000-0005-0000-0000-0000292E0000}"/>
    <cellStyle name="40 % - Aksentti4 6 5 2" xfId="8022" xr:uid="{00000000-0005-0000-0000-00002A2E0000}"/>
    <cellStyle name="40 % - Aksentti4 6 5 2 2" xfId="11900" xr:uid="{00000000-0005-0000-0000-00002B2E0000}"/>
    <cellStyle name="40 % - Aksentti4 6 5 2 3" xfId="19662" xr:uid="{00000000-0005-0000-0000-00002C2E0000}"/>
    <cellStyle name="40 % - Aksentti4 6 5 2_DataIX" xfId="31103" xr:uid="{00000000-0005-0000-0000-00002D2E0000}"/>
    <cellStyle name="40 % - Aksentti4 6 5 3" xfId="16215" xr:uid="{00000000-0005-0000-0000-00002E2E0000}"/>
    <cellStyle name="40 % - Aksentti4 6 5_060617_hinnat" xfId="24205" xr:uid="{00000000-0005-0000-0000-00002F2E0000}"/>
    <cellStyle name="40 % - Aksentti4 6 6" xfId="2696" xr:uid="{00000000-0005-0000-0000-0000302E0000}"/>
    <cellStyle name="40 % - Aksentti4 6 6 2" xfId="8023" xr:uid="{00000000-0005-0000-0000-0000312E0000}"/>
    <cellStyle name="40 % - Aksentti4 6 6 2 2" xfId="11901" xr:uid="{00000000-0005-0000-0000-0000322E0000}"/>
    <cellStyle name="40 % - Aksentti4 6 6 2 3" xfId="19663" xr:uid="{00000000-0005-0000-0000-0000332E0000}"/>
    <cellStyle name="40 % - Aksentti4 6 6 2_DataIX" xfId="31104" xr:uid="{00000000-0005-0000-0000-0000342E0000}"/>
    <cellStyle name="40 % - Aksentti4 6 6 3" xfId="16216" xr:uid="{00000000-0005-0000-0000-0000352E0000}"/>
    <cellStyle name="40 % - Aksentti4 6 6_060617_hinnat" xfId="24206" xr:uid="{00000000-0005-0000-0000-0000362E0000}"/>
    <cellStyle name="40 % - Aksentti4 6 7" xfId="2697" xr:uid="{00000000-0005-0000-0000-0000372E0000}"/>
    <cellStyle name="40 % - Aksentti4 6 7 2" xfId="8024" xr:uid="{00000000-0005-0000-0000-0000382E0000}"/>
    <cellStyle name="40 % - Aksentti4 6 7 2 2" xfId="11902" xr:uid="{00000000-0005-0000-0000-0000392E0000}"/>
    <cellStyle name="40 % - Aksentti4 6 7 2 3" xfId="19664" xr:uid="{00000000-0005-0000-0000-00003A2E0000}"/>
    <cellStyle name="40 % - Aksentti4 6 7 2_DataIX" xfId="31105" xr:uid="{00000000-0005-0000-0000-00003B2E0000}"/>
    <cellStyle name="40 % - Aksentti4 6 7 3" xfId="16217" xr:uid="{00000000-0005-0000-0000-00003C2E0000}"/>
    <cellStyle name="40 % - Aksentti4 6 7_060617_hinnat" xfId="24207" xr:uid="{00000000-0005-0000-0000-00003D2E0000}"/>
    <cellStyle name="40 % - Aksentti4 6 8" xfId="2698" xr:uid="{00000000-0005-0000-0000-00003E2E0000}"/>
    <cellStyle name="40 % - Aksentti4 6 8 2" xfId="8025" xr:uid="{00000000-0005-0000-0000-00003F2E0000}"/>
    <cellStyle name="40 % - Aksentti4 6 8 2 2" xfId="11903" xr:uid="{00000000-0005-0000-0000-0000402E0000}"/>
    <cellStyle name="40 % - Aksentti4 6 8 2 3" xfId="19665" xr:uid="{00000000-0005-0000-0000-0000412E0000}"/>
    <cellStyle name="40 % - Aksentti4 6 8 2_DataIX" xfId="31106" xr:uid="{00000000-0005-0000-0000-0000422E0000}"/>
    <cellStyle name="40 % - Aksentti4 6 8 3" xfId="16218" xr:uid="{00000000-0005-0000-0000-0000432E0000}"/>
    <cellStyle name="40 % - Aksentti4 6 8_060617_hinnat" xfId="24208" xr:uid="{00000000-0005-0000-0000-0000442E0000}"/>
    <cellStyle name="40 % - Aksentti4 6 9" xfId="2699" xr:uid="{00000000-0005-0000-0000-0000452E0000}"/>
    <cellStyle name="40 % - Aksentti4 6 9 2" xfId="8026" xr:uid="{00000000-0005-0000-0000-0000462E0000}"/>
    <cellStyle name="40 % - Aksentti4 6 9 2 2" xfId="11904" xr:uid="{00000000-0005-0000-0000-0000472E0000}"/>
    <cellStyle name="40 % - Aksentti4 6 9 2 3" xfId="19666" xr:uid="{00000000-0005-0000-0000-0000482E0000}"/>
    <cellStyle name="40 % - Aksentti4 6 9 2_DataIX" xfId="31107" xr:uid="{00000000-0005-0000-0000-0000492E0000}"/>
    <cellStyle name="40 % - Aksentti4 6 9 3" xfId="16219" xr:uid="{00000000-0005-0000-0000-00004A2E0000}"/>
    <cellStyle name="40 % - Aksentti4 6 9_060617_hinnat" xfId="24209" xr:uid="{00000000-0005-0000-0000-00004B2E0000}"/>
    <cellStyle name="40 % - Aksentti4 6_060617_hinnat" xfId="24210" xr:uid="{00000000-0005-0000-0000-00004C2E0000}"/>
    <cellStyle name="40 % - Aksentti4 7" xfId="2700" xr:uid="{00000000-0005-0000-0000-00004D2E0000}"/>
    <cellStyle name="40 % - Aksentti4 7 10" xfId="2701" xr:uid="{00000000-0005-0000-0000-00004E2E0000}"/>
    <cellStyle name="40 % - Aksentti4 7 10 2" xfId="8028" xr:uid="{00000000-0005-0000-0000-00004F2E0000}"/>
    <cellStyle name="40 % - Aksentti4 7 10 2 2" xfId="11905" xr:uid="{00000000-0005-0000-0000-0000502E0000}"/>
    <cellStyle name="40 % - Aksentti4 7 10 2 3" xfId="19668" xr:uid="{00000000-0005-0000-0000-0000512E0000}"/>
    <cellStyle name="40 % - Aksentti4 7 10 2_DataIX" xfId="31108" xr:uid="{00000000-0005-0000-0000-0000522E0000}"/>
    <cellStyle name="40 % - Aksentti4 7 10 3" xfId="16221" xr:uid="{00000000-0005-0000-0000-0000532E0000}"/>
    <cellStyle name="40 % - Aksentti4 7 10_060617_hinnat" xfId="24211" xr:uid="{00000000-0005-0000-0000-0000542E0000}"/>
    <cellStyle name="40 % - Aksentti4 7 11" xfId="8027" xr:uid="{00000000-0005-0000-0000-0000552E0000}"/>
    <cellStyle name="40 % - Aksentti4 7 11 2" xfId="11906" xr:uid="{00000000-0005-0000-0000-0000562E0000}"/>
    <cellStyle name="40 % - Aksentti4 7 11 3" xfId="19667" xr:uid="{00000000-0005-0000-0000-0000572E0000}"/>
    <cellStyle name="40 % - Aksentti4 7 11_DataIX" xfId="31109" xr:uid="{00000000-0005-0000-0000-0000582E0000}"/>
    <cellStyle name="40 % - Aksentti4 7 12" xfId="16220" xr:uid="{00000000-0005-0000-0000-0000592E0000}"/>
    <cellStyle name="40 % - Aksentti4 7 2" xfId="2702" xr:uid="{00000000-0005-0000-0000-00005A2E0000}"/>
    <cellStyle name="40 % - Aksentti4 7 2 2" xfId="2703" xr:uid="{00000000-0005-0000-0000-00005B2E0000}"/>
    <cellStyle name="40 % - Aksentti4 7 2 2 2" xfId="2704" xr:uid="{00000000-0005-0000-0000-00005C2E0000}"/>
    <cellStyle name="40 % - Aksentti4 7 2 2 2 2" xfId="8031" xr:uid="{00000000-0005-0000-0000-00005D2E0000}"/>
    <cellStyle name="40 % - Aksentti4 7 2 2 2 2 2" xfId="11907" xr:uid="{00000000-0005-0000-0000-00005E2E0000}"/>
    <cellStyle name="40 % - Aksentti4 7 2 2 2 2 3" xfId="19671" xr:uid="{00000000-0005-0000-0000-00005F2E0000}"/>
    <cellStyle name="40 % - Aksentti4 7 2 2 2 2_DataIX" xfId="31110" xr:uid="{00000000-0005-0000-0000-0000602E0000}"/>
    <cellStyle name="40 % - Aksentti4 7 2 2 2 3" xfId="16224" xr:uid="{00000000-0005-0000-0000-0000612E0000}"/>
    <cellStyle name="40 % - Aksentti4 7 2 2 2_060617_hinnat" xfId="24212" xr:uid="{00000000-0005-0000-0000-0000622E0000}"/>
    <cellStyle name="40 % - Aksentti4 7 2 2 3" xfId="8030" xr:uid="{00000000-0005-0000-0000-0000632E0000}"/>
    <cellStyle name="40 % - Aksentti4 7 2 2 3 2" xfId="11908" xr:uid="{00000000-0005-0000-0000-0000642E0000}"/>
    <cellStyle name="40 % - Aksentti4 7 2 2 3 3" xfId="19670" xr:uid="{00000000-0005-0000-0000-0000652E0000}"/>
    <cellStyle name="40 % - Aksentti4 7 2 2 3_DataIX" xfId="31111" xr:uid="{00000000-0005-0000-0000-0000662E0000}"/>
    <cellStyle name="40 % - Aksentti4 7 2 2 4" xfId="16223" xr:uid="{00000000-0005-0000-0000-0000672E0000}"/>
    <cellStyle name="40 % - Aksentti4 7 2 2_060617_hinnat" xfId="24213" xr:uid="{00000000-0005-0000-0000-0000682E0000}"/>
    <cellStyle name="40 % - Aksentti4 7 2 3" xfId="2705" xr:uid="{00000000-0005-0000-0000-0000692E0000}"/>
    <cellStyle name="40 % - Aksentti4 7 2 3 2" xfId="8032" xr:uid="{00000000-0005-0000-0000-00006A2E0000}"/>
    <cellStyle name="40 % - Aksentti4 7 2 3 2 2" xfId="11909" xr:uid="{00000000-0005-0000-0000-00006B2E0000}"/>
    <cellStyle name="40 % - Aksentti4 7 2 3 2 3" xfId="19672" xr:uid="{00000000-0005-0000-0000-00006C2E0000}"/>
    <cellStyle name="40 % - Aksentti4 7 2 3 2_DataIX" xfId="31112" xr:uid="{00000000-0005-0000-0000-00006D2E0000}"/>
    <cellStyle name="40 % - Aksentti4 7 2 3 3" xfId="16225" xr:uid="{00000000-0005-0000-0000-00006E2E0000}"/>
    <cellStyle name="40 % - Aksentti4 7 2 3_060617_hinnat" xfId="24214" xr:uid="{00000000-0005-0000-0000-00006F2E0000}"/>
    <cellStyle name="40 % - Aksentti4 7 2 4" xfId="8029" xr:uid="{00000000-0005-0000-0000-0000702E0000}"/>
    <cellStyle name="40 % - Aksentti4 7 2 4 2" xfId="11910" xr:uid="{00000000-0005-0000-0000-0000712E0000}"/>
    <cellStyle name="40 % - Aksentti4 7 2 4 3" xfId="19669" xr:uid="{00000000-0005-0000-0000-0000722E0000}"/>
    <cellStyle name="40 % - Aksentti4 7 2 4_DataIX" xfId="31113" xr:uid="{00000000-0005-0000-0000-0000732E0000}"/>
    <cellStyle name="40 % - Aksentti4 7 2 5" xfId="16222" xr:uid="{00000000-0005-0000-0000-0000742E0000}"/>
    <cellStyle name="40 % - Aksentti4 7 2_060617_hinnat" xfId="24215" xr:uid="{00000000-0005-0000-0000-0000752E0000}"/>
    <cellStyle name="40 % - Aksentti4 7 3" xfId="2706" xr:uid="{00000000-0005-0000-0000-0000762E0000}"/>
    <cellStyle name="40 % - Aksentti4 7 3 2" xfId="2707" xr:uid="{00000000-0005-0000-0000-0000772E0000}"/>
    <cellStyle name="40 % - Aksentti4 7 3 2 2" xfId="8034" xr:uid="{00000000-0005-0000-0000-0000782E0000}"/>
    <cellStyle name="40 % - Aksentti4 7 3 2 2 2" xfId="11911" xr:uid="{00000000-0005-0000-0000-0000792E0000}"/>
    <cellStyle name="40 % - Aksentti4 7 3 2 2 3" xfId="19674" xr:uid="{00000000-0005-0000-0000-00007A2E0000}"/>
    <cellStyle name="40 % - Aksentti4 7 3 2 2_DataIX" xfId="31114" xr:uid="{00000000-0005-0000-0000-00007B2E0000}"/>
    <cellStyle name="40 % - Aksentti4 7 3 2 3" xfId="16227" xr:uid="{00000000-0005-0000-0000-00007C2E0000}"/>
    <cellStyle name="40 % - Aksentti4 7 3 2_060617_hinnat" xfId="24216" xr:uid="{00000000-0005-0000-0000-00007D2E0000}"/>
    <cellStyle name="40 % - Aksentti4 7 3 3" xfId="8033" xr:uid="{00000000-0005-0000-0000-00007E2E0000}"/>
    <cellStyle name="40 % - Aksentti4 7 3 3 2" xfId="11912" xr:uid="{00000000-0005-0000-0000-00007F2E0000}"/>
    <cellStyle name="40 % - Aksentti4 7 3 3 3" xfId="19673" xr:uid="{00000000-0005-0000-0000-0000802E0000}"/>
    <cellStyle name="40 % - Aksentti4 7 3 3_DataIX" xfId="31115" xr:uid="{00000000-0005-0000-0000-0000812E0000}"/>
    <cellStyle name="40 % - Aksentti4 7 3 4" xfId="16226" xr:uid="{00000000-0005-0000-0000-0000822E0000}"/>
    <cellStyle name="40 % - Aksentti4 7 3_060617_hinnat" xfId="24217" xr:uid="{00000000-0005-0000-0000-0000832E0000}"/>
    <cellStyle name="40 % - Aksentti4 7 4" xfId="2708" xr:uid="{00000000-0005-0000-0000-0000842E0000}"/>
    <cellStyle name="40 % - Aksentti4 7 4 2" xfId="8035" xr:uid="{00000000-0005-0000-0000-0000852E0000}"/>
    <cellStyle name="40 % - Aksentti4 7 4 2 2" xfId="11913" xr:uid="{00000000-0005-0000-0000-0000862E0000}"/>
    <cellStyle name="40 % - Aksentti4 7 4 2 3" xfId="19675" xr:uid="{00000000-0005-0000-0000-0000872E0000}"/>
    <cellStyle name="40 % - Aksentti4 7 4 2_DataIX" xfId="31116" xr:uid="{00000000-0005-0000-0000-0000882E0000}"/>
    <cellStyle name="40 % - Aksentti4 7 4 3" xfId="16228" xr:uid="{00000000-0005-0000-0000-0000892E0000}"/>
    <cellStyle name="40 % - Aksentti4 7 4_060617_hinnat" xfId="24218" xr:uid="{00000000-0005-0000-0000-00008A2E0000}"/>
    <cellStyle name="40 % - Aksentti4 7 5" xfId="2709" xr:uid="{00000000-0005-0000-0000-00008B2E0000}"/>
    <cellStyle name="40 % - Aksentti4 7 5 2" xfId="8036" xr:uid="{00000000-0005-0000-0000-00008C2E0000}"/>
    <cellStyle name="40 % - Aksentti4 7 5 2 2" xfId="11914" xr:uid="{00000000-0005-0000-0000-00008D2E0000}"/>
    <cellStyle name="40 % - Aksentti4 7 5 2 3" xfId="19676" xr:uid="{00000000-0005-0000-0000-00008E2E0000}"/>
    <cellStyle name="40 % - Aksentti4 7 5 2_DataIX" xfId="31117" xr:uid="{00000000-0005-0000-0000-00008F2E0000}"/>
    <cellStyle name="40 % - Aksentti4 7 5 3" xfId="16229" xr:uid="{00000000-0005-0000-0000-0000902E0000}"/>
    <cellStyle name="40 % - Aksentti4 7 5_060617_hinnat" xfId="24219" xr:uid="{00000000-0005-0000-0000-0000912E0000}"/>
    <cellStyle name="40 % - Aksentti4 7 6" xfId="2710" xr:uid="{00000000-0005-0000-0000-0000922E0000}"/>
    <cellStyle name="40 % - Aksentti4 7 6 2" xfId="8037" xr:uid="{00000000-0005-0000-0000-0000932E0000}"/>
    <cellStyle name="40 % - Aksentti4 7 6 2 2" xfId="11915" xr:uid="{00000000-0005-0000-0000-0000942E0000}"/>
    <cellStyle name="40 % - Aksentti4 7 6 2 3" xfId="19677" xr:uid="{00000000-0005-0000-0000-0000952E0000}"/>
    <cellStyle name="40 % - Aksentti4 7 6 2_DataIX" xfId="31118" xr:uid="{00000000-0005-0000-0000-0000962E0000}"/>
    <cellStyle name="40 % - Aksentti4 7 6 3" xfId="16230" xr:uid="{00000000-0005-0000-0000-0000972E0000}"/>
    <cellStyle name="40 % - Aksentti4 7 6_060617_hinnat" xfId="24220" xr:uid="{00000000-0005-0000-0000-0000982E0000}"/>
    <cellStyle name="40 % - Aksentti4 7 7" xfId="2711" xr:uid="{00000000-0005-0000-0000-0000992E0000}"/>
    <cellStyle name="40 % - Aksentti4 7 7 2" xfId="8038" xr:uid="{00000000-0005-0000-0000-00009A2E0000}"/>
    <cellStyle name="40 % - Aksentti4 7 7 2 2" xfId="11916" xr:uid="{00000000-0005-0000-0000-00009B2E0000}"/>
    <cellStyle name="40 % - Aksentti4 7 7 2 3" xfId="19678" xr:uid="{00000000-0005-0000-0000-00009C2E0000}"/>
    <cellStyle name="40 % - Aksentti4 7 7 2_DataIX" xfId="31119" xr:uid="{00000000-0005-0000-0000-00009D2E0000}"/>
    <cellStyle name="40 % - Aksentti4 7 7 3" xfId="16231" xr:uid="{00000000-0005-0000-0000-00009E2E0000}"/>
    <cellStyle name="40 % - Aksentti4 7 7_060617_hinnat" xfId="24221" xr:uid="{00000000-0005-0000-0000-00009F2E0000}"/>
    <cellStyle name="40 % - Aksentti4 7 8" xfId="2712" xr:uid="{00000000-0005-0000-0000-0000A02E0000}"/>
    <cellStyle name="40 % - Aksentti4 7 8 2" xfId="8039" xr:uid="{00000000-0005-0000-0000-0000A12E0000}"/>
    <cellStyle name="40 % - Aksentti4 7 8 2 2" xfId="11917" xr:uid="{00000000-0005-0000-0000-0000A22E0000}"/>
    <cellStyle name="40 % - Aksentti4 7 8 2 3" xfId="19679" xr:uid="{00000000-0005-0000-0000-0000A32E0000}"/>
    <cellStyle name="40 % - Aksentti4 7 8 2_DataIX" xfId="31120" xr:uid="{00000000-0005-0000-0000-0000A42E0000}"/>
    <cellStyle name="40 % - Aksentti4 7 8 3" xfId="16232" xr:uid="{00000000-0005-0000-0000-0000A52E0000}"/>
    <cellStyle name="40 % - Aksentti4 7 8_060617_hinnat" xfId="24222" xr:uid="{00000000-0005-0000-0000-0000A62E0000}"/>
    <cellStyle name="40 % - Aksentti4 7 9" xfId="2713" xr:uid="{00000000-0005-0000-0000-0000A72E0000}"/>
    <cellStyle name="40 % - Aksentti4 7 9 2" xfId="8040" xr:uid="{00000000-0005-0000-0000-0000A82E0000}"/>
    <cellStyle name="40 % - Aksentti4 7 9 2 2" xfId="11918" xr:uid="{00000000-0005-0000-0000-0000A92E0000}"/>
    <cellStyle name="40 % - Aksentti4 7 9 2 3" xfId="19680" xr:uid="{00000000-0005-0000-0000-0000AA2E0000}"/>
    <cellStyle name="40 % - Aksentti4 7 9 2_DataIX" xfId="31121" xr:uid="{00000000-0005-0000-0000-0000AB2E0000}"/>
    <cellStyle name="40 % - Aksentti4 7 9 3" xfId="16233" xr:uid="{00000000-0005-0000-0000-0000AC2E0000}"/>
    <cellStyle name="40 % - Aksentti4 7 9_060617_hinnat" xfId="24223" xr:uid="{00000000-0005-0000-0000-0000AD2E0000}"/>
    <cellStyle name="40 % - Aksentti4 7_060617_hinnat" xfId="24224" xr:uid="{00000000-0005-0000-0000-0000AE2E0000}"/>
    <cellStyle name="40 % - Aksentti4 8" xfId="2714" xr:uid="{00000000-0005-0000-0000-0000AF2E0000}"/>
    <cellStyle name="40 % - Aksentti4 8 10" xfId="2715" xr:uid="{00000000-0005-0000-0000-0000B02E0000}"/>
    <cellStyle name="40 % - Aksentti4 8 10 2" xfId="8042" xr:uid="{00000000-0005-0000-0000-0000B12E0000}"/>
    <cellStyle name="40 % - Aksentti4 8 10 2 2" xfId="11919" xr:uid="{00000000-0005-0000-0000-0000B22E0000}"/>
    <cellStyle name="40 % - Aksentti4 8 10 2 3" xfId="19682" xr:uid="{00000000-0005-0000-0000-0000B32E0000}"/>
    <cellStyle name="40 % - Aksentti4 8 10 2_DataIX" xfId="31122" xr:uid="{00000000-0005-0000-0000-0000B42E0000}"/>
    <cellStyle name="40 % - Aksentti4 8 10 3" xfId="16235" xr:uid="{00000000-0005-0000-0000-0000B52E0000}"/>
    <cellStyle name="40 % - Aksentti4 8 10_060617_hinnat" xfId="24225" xr:uid="{00000000-0005-0000-0000-0000B62E0000}"/>
    <cellStyle name="40 % - Aksentti4 8 11" xfId="8041" xr:uid="{00000000-0005-0000-0000-0000B72E0000}"/>
    <cellStyle name="40 % - Aksentti4 8 11 2" xfId="11920" xr:uid="{00000000-0005-0000-0000-0000B82E0000}"/>
    <cellStyle name="40 % - Aksentti4 8 11 3" xfId="19681" xr:uid="{00000000-0005-0000-0000-0000B92E0000}"/>
    <cellStyle name="40 % - Aksentti4 8 11_DataIX" xfId="31123" xr:uid="{00000000-0005-0000-0000-0000BA2E0000}"/>
    <cellStyle name="40 % - Aksentti4 8 12" xfId="16234" xr:uid="{00000000-0005-0000-0000-0000BB2E0000}"/>
    <cellStyle name="40 % - Aksentti4 8 2" xfId="2716" xr:uid="{00000000-0005-0000-0000-0000BC2E0000}"/>
    <cellStyle name="40 % - Aksentti4 8 2 2" xfId="2717" xr:uid="{00000000-0005-0000-0000-0000BD2E0000}"/>
    <cellStyle name="40 % - Aksentti4 8 2 2 2" xfId="2718" xr:uid="{00000000-0005-0000-0000-0000BE2E0000}"/>
    <cellStyle name="40 % - Aksentti4 8 2 2 2 2" xfId="8045" xr:uid="{00000000-0005-0000-0000-0000BF2E0000}"/>
    <cellStyle name="40 % - Aksentti4 8 2 2 2 2 2" xfId="11921" xr:uid="{00000000-0005-0000-0000-0000C02E0000}"/>
    <cellStyle name="40 % - Aksentti4 8 2 2 2 2 3" xfId="19685" xr:uid="{00000000-0005-0000-0000-0000C12E0000}"/>
    <cellStyle name="40 % - Aksentti4 8 2 2 2 2_DataIX" xfId="31124" xr:uid="{00000000-0005-0000-0000-0000C22E0000}"/>
    <cellStyle name="40 % - Aksentti4 8 2 2 2 3" xfId="16238" xr:uid="{00000000-0005-0000-0000-0000C32E0000}"/>
    <cellStyle name="40 % - Aksentti4 8 2 2 2_060617_hinnat" xfId="24226" xr:uid="{00000000-0005-0000-0000-0000C42E0000}"/>
    <cellStyle name="40 % - Aksentti4 8 2 2 3" xfId="8044" xr:uid="{00000000-0005-0000-0000-0000C52E0000}"/>
    <cellStyle name="40 % - Aksentti4 8 2 2 3 2" xfId="11922" xr:uid="{00000000-0005-0000-0000-0000C62E0000}"/>
    <cellStyle name="40 % - Aksentti4 8 2 2 3 3" xfId="19684" xr:uid="{00000000-0005-0000-0000-0000C72E0000}"/>
    <cellStyle name="40 % - Aksentti4 8 2 2 3_DataIX" xfId="31125" xr:uid="{00000000-0005-0000-0000-0000C82E0000}"/>
    <cellStyle name="40 % - Aksentti4 8 2 2 4" xfId="16237" xr:uid="{00000000-0005-0000-0000-0000C92E0000}"/>
    <cellStyle name="40 % - Aksentti4 8 2 2_060617_hinnat" xfId="24227" xr:uid="{00000000-0005-0000-0000-0000CA2E0000}"/>
    <cellStyle name="40 % - Aksentti4 8 2 3" xfId="2719" xr:uid="{00000000-0005-0000-0000-0000CB2E0000}"/>
    <cellStyle name="40 % - Aksentti4 8 2 3 2" xfId="8046" xr:uid="{00000000-0005-0000-0000-0000CC2E0000}"/>
    <cellStyle name="40 % - Aksentti4 8 2 3 2 2" xfId="11923" xr:uid="{00000000-0005-0000-0000-0000CD2E0000}"/>
    <cellStyle name="40 % - Aksentti4 8 2 3 2 3" xfId="19686" xr:uid="{00000000-0005-0000-0000-0000CE2E0000}"/>
    <cellStyle name="40 % - Aksentti4 8 2 3 2_DataIX" xfId="31126" xr:uid="{00000000-0005-0000-0000-0000CF2E0000}"/>
    <cellStyle name="40 % - Aksentti4 8 2 3 3" xfId="16239" xr:uid="{00000000-0005-0000-0000-0000D02E0000}"/>
    <cellStyle name="40 % - Aksentti4 8 2 3_060617_hinnat" xfId="24228" xr:uid="{00000000-0005-0000-0000-0000D12E0000}"/>
    <cellStyle name="40 % - Aksentti4 8 2 4" xfId="8043" xr:uid="{00000000-0005-0000-0000-0000D22E0000}"/>
    <cellStyle name="40 % - Aksentti4 8 2 4 2" xfId="11924" xr:uid="{00000000-0005-0000-0000-0000D32E0000}"/>
    <cellStyle name="40 % - Aksentti4 8 2 4 3" xfId="19683" xr:uid="{00000000-0005-0000-0000-0000D42E0000}"/>
    <cellStyle name="40 % - Aksentti4 8 2 4_DataIX" xfId="31127" xr:uid="{00000000-0005-0000-0000-0000D52E0000}"/>
    <cellStyle name="40 % - Aksentti4 8 2 5" xfId="16236" xr:uid="{00000000-0005-0000-0000-0000D62E0000}"/>
    <cellStyle name="40 % - Aksentti4 8 2_060617_hinnat" xfId="24229" xr:uid="{00000000-0005-0000-0000-0000D72E0000}"/>
    <cellStyle name="40 % - Aksentti4 8 3" xfId="2720" xr:uid="{00000000-0005-0000-0000-0000D82E0000}"/>
    <cellStyle name="40 % - Aksentti4 8 3 2" xfId="2721" xr:uid="{00000000-0005-0000-0000-0000D92E0000}"/>
    <cellStyle name="40 % - Aksentti4 8 3 2 2" xfId="8048" xr:uid="{00000000-0005-0000-0000-0000DA2E0000}"/>
    <cellStyle name="40 % - Aksentti4 8 3 2 2 2" xfId="11925" xr:uid="{00000000-0005-0000-0000-0000DB2E0000}"/>
    <cellStyle name="40 % - Aksentti4 8 3 2 2 3" xfId="19688" xr:uid="{00000000-0005-0000-0000-0000DC2E0000}"/>
    <cellStyle name="40 % - Aksentti4 8 3 2 2_DataIX" xfId="31128" xr:uid="{00000000-0005-0000-0000-0000DD2E0000}"/>
    <cellStyle name="40 % - Aksentti4 8 3 2 3" xfId="16241" xr:uid="{00000000-0005-0000-0000-0000DE2E0000}"/>
    <cellStyle name="40 % - Aksentti4 8 3 2_060617_hinnat" xfId="24230" xr:uid="{00000000-0005-0000-0000-0000DF2E0000}"/>
    <cellStyle name="40 % - Aksentti4 8 3 3" xfId="8047" xr:uid="{00000000-0005-0000-0000-0000E02E0000}"/>
    <cellStyle name="40 % - Aksentti4 8 3 3 2" xfId="11926" xr:uid="{00000000-0005-0000-0000-0000E12E0000}"/>
    <cellStyle name="40 % - Aksentti4 8 3 3 3" xfId="19687" xr:uid="{00000000-0005-0000-0000-0000E22E0000}"/>
    <cellStyle name="40 % - Aksentti4 8 3 3_DataIX" xfId="31129" xr:uid="{00000000-0005-0000-0000-0000E32E0000}"/>
    <cellStyle name="40 % - Aksentti4 8 3 4" xfId="16240" xr:uid="{00000000-0005-0000-0000-0000E42E0000}"/>
    <cellStyle name="40 % - Aksentti4 8 3_060617_hinnat" xfId="24231" xr:uid="{00000000-0005-0000-0000-0000E52E0000}"/>
    <cellStyle name="40 % - Aksentti4 8 4" xfId="2722" xr:uid="{00000000-0005-0000-0000-0000E62E0000}"/>
    <cellStyle name="40 % - Aksentti4 8 4 2" xfId="8049" xr:uid="{00000000-0005-0000-0000-0000E72E0000}"/>
    <cellStyle name="40 % - Aksentti4 8 4 2 2" xfId="11927" xr:uid="{00000000-0005-0000-0000-0000E82E0000}"/>
    <cellStyle name="40 % - Aksentti4 8 4 2 3" xfId="19689" xr:uid="{00000000-0005-0000-0000-0000E92E0000}"/>
    <cellStyle name="40 % - Aksentti4 8 4 2_DataIX" xfId="31130" xr:uid="{00000000-0005-0000-0000-0000EA2E0000}"/>
    <cellStyle name="40 % - Aksentti4 8 4 3" xfId="16242" xr:uid="{00000000-0005-0000-0000-0000EB2E0000}"/>
    <cellStyle name="40 % - Aksentti4 8 4_060617_hinnat" xfId="24232" xr:uid="{00000000-0005-0000-0000-0000EC2E0000}"/>
    <cellStyle name="40 % - Aksentti4 8 5" xfId="2723" xr:uid="{00000000-0005-0000-0000-0000ED2E0000}"/>
    <cellStyle name="40 % - Aksentti4 8 5 2" xfId="8050" xr:uid="{00000000-0005-0000-0000-0000EE2E0000}"/>
    <cellStyle name="40 % - Aksentti4 8 5 2 2" xfId="11928" xr:uid="{00000000-0005-0000-0000-0000EF2E0000}"/>
    <cellStyle name="40 % - Aksentti4 8 5 2 3" xfId="19690" xr:uid="{00000000-0005-0000-0000-0000F02E0000}"/>
    <cellStyle name="40 % - Aksentti4 8 5 2_DataIX" xfId="31131" xr:uid="{00000000-0005-0000-0000-0000F12E0000}"/>
    <cellStyle name="40 % - Aksentti4 8 5 3" xfId="16243" xr:uid="{00000000-0005-0000-0000-0000F22E0000}"/>
    <cellStyle name="40 % - Aksentti4 8 5_060617_hinnat" xfId="24233" xr:uid="{00000000-0005-0000-0000-0000F32E0000}"/>
    <cellStyle name="40 % - Aksentti4 8 6" xfId="2724" xr:uid="{00000000-0005-0000-0000-0000F42E0000}"/>
    <cellStyle name="40 % - Aksentti4 8 6 2" xfId="8051" xr:uid="{00000000-0005-0000-0000-0000F52E0000}"/>
    <cellStyle name="40 % - Aksentti4 8 6 2 2" xfId="11929" xr:uid="{00000000-0005-0000-0000-0000F62E0000}"/>
    <cellStyle name="40 % - Aksentti4 8 6 2 3" xfId="19691" xr:uid="{00000000-0005-0000-0000-0000F72E0000}"/>
    <cellStyle name="40 % - Aksentti4 8 6 2_DataIX" xfId="31132" xr:uid="{00000000-0005-0000-0000-0000F82E0000}"/>
    <cellStyle name="40 % - Aksentti4 8 6 3" xfId="16244" xr:uid="{00000000-0005-0000-0000-0000F92E0000}"/>
    <cellStyle name="40 % - Aksentti4 8 6_060617_hinnat" xfId="24234" xr:uid="{00000000-0005-0000-0000-0000FA2E0000}"/>
    <cellStyle name="40 % - Aksentti4 8 7" xfId="2725" xr:uid="{00000000-0005-0000-0000-0000FB2E0000}"/>
    <cellStyle name="40 % - Aksentti4 8 7 2" xfId="8052" xr:uid="{00000000-0005-0000-0000-0000FC2E0000}"/>
    <cellStyle name="40 % - Aksentti4 8 7 2 2" xfId="11930" xr:uid="{00000000-0005-0000-0000-0000FD2E0000}"/>
    <cellStyle name="40 % - Aksentti4 8 7 2 3" xfId="19692" xr:uid="{00000000-0005-0000-0000-0000FE2E0000}"/>
    <cellStyle name="40 % - Aksentti4 8 7 2_DataIX" xfId="31133" xr:uid="{00000000-0005-0000-0000-0000FF2E0000}"/>
    <cellStyle name="40 % - Aksentti4 8 7 3" xfId="16245" xr:uid="{00000000-0005-0000-0000-0000002F0000}"/>
    <cellStyle name="40 % - Aksentti4 8 7_060617_hinnat" xfId="24235" xr:uid="{00000000-0005-0000-0000-0000012F0000}"/>
    <cellStyle name="40 % - Aksentti4 8 8" xfId="2726" xr:uid="{00000000-0005-0000-0000-0000022F0000}"/>
    <cellStyle name="40 % - Aksentti4 8 8 2" xfId="8053" xr:uid="{00000000-0005-0000-0000-0000032F0000}"/>
    <cellStyle name="40 % - Aksentti4 8 8 2 2" xfId="11931" xr:uid="{00000000-0005-0000-0000-0000042F0000}"/>
    <cellStyle name="40 % - Aksentti4 8 8 2 3" xfId="19693" xr:uid="{00000000-0005-0000-0000-0000052F0000}"/>
    <cellStyle name="40 % - Aksentti4 8 8 2_DataIX" xfId="31134" xr:uid="{00000000-0005-0000-0000-0000062F0000}"/>
    <cellStyle name="40 % - Aksentti4 8 8 3" xfId="16246" xr:uid="{00000000-0005-0000-0000-0000072F0000}"/>
    <cellStyle name="40 % - Aksentti4 8 8_060617_hinnat" xfId="24236" xr:uid="{00000000-0005-0000-0000-0000082F0000}"/>
    <cellStyle name="40 % - Aksentti4 8 9" xfId="2727" xr:uid="{00000000-0005-0000-0000-0000092F0000}"/>
    <cellStyle name="40 % - Aksentti4 8 9 2" xfId="8054" xr:uid="{00000000-0005-0000-0000-00000A2F0000}"/>
    <cellStyle name="40 % - Aksentti4 8 9 2 2" xfId="11932" xr:uid="{00000000-0005-0000-0000-00000B2F0000}"/>
    <cellStyle name="40 % - Aksentti4 8 9 2 3" xfId="19694" xr:uid="{00000000-0005-0000-0000-00000C2F0000}"/>
    <cellStyle name="40 % - Aksentti4 8 9 2_DataIX" xfId="31135" xr:uid="{00000000-0005-0000-0000-00000D2F0000}"/>
    <cellStyle name="40 % - Aksentti4 8 9 3" xfId="16247" xr:uid="{00000000-0005-0000-0000-00000E2F0000}"/>
    <cellStyle name="40 % - Aksentti4 8 9_060617_hinnat" xfId="24237" xr:uid="{00000000-0005-0000-0000-00000F2F0000}"/>
    <cellStyle name="40 % - Aksentti4 8_060617_hinnat" xfId="24238" xr:uid="{00000000-0005-0000-0000-0000102F0000}"/>
    <cellStyle name="40 % - Aksentti4 9" xfId="2728" xr:uid="{00000000-0005-0000-0000-0000112F0000}"/>
    <cellStyle name="40 % - Aksentti4 9 10" xfId="2729" xr:uid="{00000000-0005-0000-0000-0000122F0000}"/>
    <cellStyle name="40 % - Aksentti4 9 10 2" xfId="8056" xr:uid="{00000000-0005-0000-0000-0000132F0000}"/>
    <cellStyle name="40 % - Aksentti4 9 10 2 2" xfId="11933" xr:uid="{00000000-0005-0000-0000-0000142F0000}"/>
    <cellStyle name="40 % - Aksentti4 9 10 2 3" xfId="19696" xr:uid="{00000000-0005-0000-0000-0000152F0000}"/>
    <cellStyle name="40 % - Aksentti4 9 10 2_DataIX" xfId="31136" xr:uid="{00000000-0005-0000-0000-0000162F0000}"/>
    <cellStyle name="40 % - Aksentti4 9 10 3" xfId="16249" xr:uid="{00000000-0005-0000-0000-0000172F0000}"/>
    <cellStyle name="40 % - Aksentti4 9 10_060617_hinnat" xfId="24239" xr:uid="{00000000-0005-0000-0000-0000182F0000}"/>
    <cellStyle name="40 % - Aksentti4 9 11" xfId="8055" xr:uid="{00000000-0005-0000-0000-0000192F0000}"/>
    <cellStyle name="40 % - Aksentti4 9 11 2" xfId="11934" xr:uid="{00000000-0005-0000-0000-00001A2F0000}"/>
    <cellStyle name="40 % - Aksentti4 9 11 3" xfId="19695" xr:uid="{00000000-0005-0000-0000-00001B2F0000}"/>
    <cellStyle name="40 % - Aksentti4 9 11_DataIX" xfId="31137" xr:uid="{00000000-0005-0000-0000-00001C2F0000}"/>
    <cellStyle name="40 % - Aksentti4 9 12" xfId="16248" xr:uid="{00000000-0005-0000-0000-00001D2F0000}"/>
    <cellStyle name="40 % - Aksentti4 9 2" xfId="2730" xr:uid="{00000000-0005-0000-0000-00001E2F0000}"/>
    <cellStyle name="40 % - Aksentti4 9 2 2" xfId="2731" xr:uid="{00000000-0005-0000-0000-00001F2F0000}"/>
    <cellStyle name="40 % - Aksentti4 9 2 2 2" xfId="2732" xr:uid="{00000000-0005-0000-0000-0000202F0000}"/>
    <cellStyle name="40 % - Aksentti4 9 2 2 2 2" xfId="8059" xr:uid="{00000000-0005-0000-0000-0000212F0000}"/>
    <cellStyle name="40 % - Aksentti4 9 2 2 2 2 2" xfId="11935" xr:uid="{00000000-0005-0000-0000-0000222F0000}"/>
    <cellStyle name="40 % - Aksentti4 9 2 2 2 2 3" xfId="19699" xr:uid="{00000000-0005-0000-0000-0000232F0000}"/>
    <cellStyle name="40 % - Aksentti4 9 2 2 2 2_DataIX" xfId="31138" xr:uid="{00000000-0005-0000-0000-0000242F0000}"/>
    <cellStyle name="40 % - Aksentti4 9 2 2 2 3" xfId="16252" xr:uid="{00000000-0005-0000-0000-0000252F0000}"/>
    <cellStyle name="40 % - Aksentti4 9 2 2 2_060617_hinnat" xfId="24240" xr:uid="{00000000-0005-0000-0000-0000262F0000}"/>
    <cellStyle name="40 % - Aksentti4 9 2 2 3" xfId="8058" xr:uid="{00000000-0005-0000-0000-0000272F0000}"/>
    <cellStyle name="40 % - Aksentti4 9 2 2 3 2" xfId="11936" xr:uid="{00000000-0005-0000-0000-0000282F0000}"/>
    <cellStyle name="40 % - Aksentti4 9 2 2 3 3" xfId="19698" xr:uid="{00000000-0005-0000-0000-0000292F0000}"/>
    <cellStyle name="40 % - Aksentti4 9 2 2 3_DataIX" xfId="31139" xr:uid="{00000000-0005-0000-0000-00002A2F0000}"/>
    <cellStyle name="40 % - Aksentti4 9 2 2 4" xfId="16251" xr:uid="{00000000-0005-0000-0000-00002B2F0000}"/>
    <cellStyle name="40 % - Aksentti4 9 2 2_060617_hinnat" xfId="24241" xr:uid="{00000000-0005-0000-0000-00002C2F0000}"/>
    <cellStyle name="40 % - Aksentti4 9 2 3" xfId="2733" xr:uid="{00000000-0005-0000-0000-00002D2F0000}"/>
    <cellStyle name="40 % - Aksentti4 9 2 3 2" xfId="8060" xr:uid="{00000000-0005-0000-0000-00002E2F0000}"/>
    <cellStyle name="40 % - Aksentti4 9 2 3 2 2" xfId="11937" xr:uid="{00000000-0005-0000-0000-00002F2F0000}"/>
    <cellStyle name="40 % - Aksentti4 9 2 3 2 3" xfId="19700" xr:uid="{00000000-0005-0000-0000-0000302F0000}"/>
    <cellStyle name="40 % - Aksentti4 9 2 3 2_DataIX" xfId="31140" xr:uid="{00000000-0005-0000-0000-0000312F0000}"/>
    <cellStyle name="40 % - Aksentti4 9 2 3 3" xfId="16253" xr:uid="{00000000-0005-0000-0000-0000322F0000}"/>
    <cellStyle name="40 % - Aksentti4 9 2 3_060617_hinnat" xfId="24242" xr:uid="{00000000-0005-0000-0000-0000332F0000}"/>
    <cellStyle name="40 % - Aksentti4 9 2 4" xfId="8057" xr:uid="{00000000-0005-0000-0000-0000342F0000}"/>
    <cellStyle name="40 % - Aksentti4 9 2 4 2" xfId="11938" xr:uid="{00000000-0005-0000-0000-0000352F0000}"/>
    <cellStyle name="40 % - Aksentti4 9 2 4 3" xfId="19697" xr:uid="{00000000-0005-0000-0000-0000362F0000}"/>
    <cellStyle name="40 % - Aksentti4 9 2 4_DataIX" xfId="31141" xr:uid="{00000000-0005-0000-0000-0000372F0000}"/>
    <cellStyle name="40 % - Aksentti4 9 2 5" xfId="16250" xr:uid="{00000000-0005-0000-0000-0000382F0000}"/>
    <cellStyle name="40 % - Aksentti4 9 2_060617_hinnat" xfId="24243" xr:uid="{00000000-0005-0000-0000-0000392F0000}"/>
    <cellStyle name="40 % - Aksentti4 9 3" xfId="2734" xr:uid="{00000000-0005-0000-0000-00003A2F0000}"/>
    <cellStyle name="40 % - Aksentti4 9 3 2" xfId="2735" xr:uid="{00000000-0005-0000-0000-00003B2F0000}"/>
    <cellStyle name="40 % - Aksentti4 9 3 2 2" xfId="8062" xr:uid="{00000000-0005-0000-0000-00003C2F0000}"/>
    <cellStyle name="40 % - Aksentti4 9 3 2 2 2" xfId="11939" xr:uid="{00000000-0005-0000-0000-00003D2F0000}"/>
    <cellStyle name="40 % - Aksentti4 9 3 2 2 3" xfId="19702" xr:uid="{00000000-0005-0000-0000-00003E2F0000}"/>
    <cellStyle name="40 % - Aksentti4 9 3 2 2_DataIX" xfId="31142" xr:uid="{00000000-0005-0000-0000-00003F2F0000}"/>
    <cellStyle name="40 % - Aksentti4 9 3 2 3" xfId="16255" xr:uid="{00000000-0005-0000-0000-0000402F0000}"/>
    <cellStyle name="40 % - Aksentti4 9 3 2_060617_hinnat" xfId="24244" xr:uid="{00000000-0005-0000-0000-0000412F0000}"/>
    <cellStyle name="40 % - Aksentti4 9 3 3" xfId="8061" xr:uid="{00000000-0005-0000-0000-0000422F0000}"/>
    <cellStyle name="40 % - Aksentti4 9 3 3 2" xfId="11940" xr:uid="{00000000-0005-0000-0000-0000432F0000}"/>
    <cellStyle name="40 % - Aksentti4 9 3 3 3" xfId="19701" xr:uid="{00000000-0005-0000-0000-0000442F0000}"/>
    <cellStyle name="40 % - Aksentti4 9 3 3_DataIX" xfId="31143" xr:uid="{00000000-0005-0000-0000-0000452F0000}"/>
    <cellStyle name="40 % - Aksentti4 9 3 4" xfId="16254" xr:uid="{00000000-0005-0000-0000-0000462F0000}"/>
    <cellStyle name="40 % - Aksentti4 9 3_060617_hinnat" xfId="24245" xr:uid="{00000000-0005-0000-0000-0000472F0000}"/>
    <cellStyle name="40 % - Aksentti4 9 4" xfId="2736" xr:uid="{00000000-0005-0000-0000-0000482F0000}"/>
    <cellStyle name="40 % - Aksentti4 9 4 2" xfId="8063" xr:uid="{00000000-0005-0000-0000-0000492F0000}"/>
    <cellStyle name="40 % - Aksentti4 9 4 2 2" xfId="11941" xr:uid="{00000000-0005-0000-0000-00004A2F0000}"/>
    <cellStyle name="40 % - Aksentti4 9 4 2 3" xfId="19703" xr:uid="{00000000-0005-0000-0000-00004B2F0000}"/>
    <cellStyle name="40 % - Aksentti4 9 4 2_DataIX" xfId="31144" xr:uid="{00000000-0005-0000-0000-00004C2F0000}"/>
    <cellStyle name="40 % - Aksentti4 9 4 3" xfId="16256" xr:uid="{00000000-0005-0000-0000-00004D2F0000}"/>
    <cellStyle name="40 % - Aksentti4 9 4_060617_hinnat" xfId="24246" xr:uid="{00000000-0005-0000-0000-00004E2F0000}"/>
    <cellStyle name="40 % - Aksentti4 9 5" xfId="2737" xr:uid="{00000000-0005-0000-0000-00004F2F0000}"/>
    <cellStyle name="40 % - Aksentti4 9 5 2" xfId="8064" xr:uid="{00000000-0005-0000-0000-0000502F0000}"/>
    <cellStyle name="40 % - Aksentti4 9 5 2 2" xfId="11942" xr:uid="{00000000-0005-0000-0000-0000512F0000}"/>
    <cellStyle name="40 % - Aksentti4 9 5 2 3" xfId="19704" xr:uid="{00000000-0005-0000-0000-0000522F0000}"/>
    <cellStyle name="40 % - Aksentti4 9 5 2_DataIX" xfId="31145" xr:uid="{00000000-0005-0000-0000-0000532F0000}"/>
    <cellStyle name="40 % - Aksentti4 9 5 3" xfId="16257" xr:uid="{00000000-0005-0000-0000-0000542F0000}"/>
    <cellStyle name="40 % - Aksentti4 9 5_060617_hinnat" xfId="24247" xr:uid="{00000000-0005-0000-0000-0000552F0000}"/>
    <cellStyle name="40 % - Aksentti4 9 6" xfId="2738" xr:uid="{00000000-0005-0000-0000-0000562F0000}"/>
    <cellStyle name="40 % - Aksentti4 9 6 2" xfId="8065" xr:uid="{00000000-0005-0000-0000-0000572F0000}"/>
    <cellStyle name="40 % - Aksentti4 9 6 2 2" xfId="11943" xr:uid="{00000000-0005-0000-0000-0000582F0000}"/>
    <cellStyle name="40 % - Aksentti4 9 6 2 3" xfId="19705" xr:uid="{00000000-0005-0000-0000-0000592F0000}"/>
    <cellStyle name="40 % - Aksentti4 9 6 2_DataIX" xfId="31146" xr:uid="{00000000-0005-0000-0000-00005A2F0000}"/>
    <cellStyle name="40 % - Aksentti4 9 6 3" xfId="16258" xr:uid="{00000000-0005-0000-0000-00005B2F0000}"/>
    <cellStyle name="40 % - Aksentti4 9 6_060617_hinnat" xfId="24248" xr:uid="{00000000-0005-0000-0000-00005C2F0000}"/>
    <cellStyle name="40 % - Aksentti4 9 7" xfId="2739" xr:uid="{00000000-0005-0000-0000-00005D2F0000}"/>
    <cellStyle name="40 % - Aksentti4 9 7 2" xfId="8066" xr:uid="{00000000-0005-0000-0000-00005E2F0000}"/>
    <cellStyle name="40 % - Aksentti4 9 7 2 2" xfId="11944" xr:uid="{00000000-0005-0000-0000-00005F2F0000}"/>
    <cellStyle name="40 % - Aksentti4 9 7 2 3" xfId="19706" xr:uid="{00000000-0005-0000-0000-0000602F0000}"/>
    <cellStyle name="40 % - Aksentti4 9 7 2_DataIX" xfId="31147" xr:uid="{00000000-0005-0000-0000-0000612F0000}"/>
    <cellStyle name="40 % - Aksentti4 9 7 3" xfId="16259" xr:uid="{00000000-0005-0000-0000-0000622F0000}"/>
    <cellStyle name="40 % - Aksentti4 9 7_060617_hinnat" xfId="24249" xr:uid="{00000000-0005-0000-0000-0000632F0000}"/>
    <cellStyle name="40 % - Aksentti4 9 8" xfId="2740" xr:uid="{00000000-0005-0000-0000-0000642F0000}"/>
    <cellStyle name="40 % - Aksentti4 9 8 2" xfId="8067" xr:uid="{00000000-0005-0000-0000-0000652F0000}"/>
    <cellStyle name="40 % - Aksentti4 9 8 2 2" xfId="11945" xr:uid="{00000000-0005-0000-0000-0000662F0000}"/>
    <cellStyle name="40 % - Aksentti4 9 8 2 3" xfId="19707" xr:uid="{00000000-0005-0000-0000-0000672F0000}"/>
    <cellStyle name="40 % - Aksentti4 9 8 2_DataIX" xfId="31148" xr:uid="{00000000-0005-0000-0000-0000682F0000}"/>
    <cellStyle name="40 % - Aksentti4 9 8 3" xfId="16260" xr:uid="{00000000-0005-0000-0000-0000692F0000}"/>
    <cellStyle name="40 % - Aksentti4 9 8_060617_hinnat" xfId="24250" xr:uid="{00000000-0005-0000-0000-00006A2F0000}"/>
    <cellStyle name="40 % - Aksentti4 9 9" xfId="2741" xr:uid="{00000000-0005-0000-0000-00006B2F0000}"/>
    <cellStyle name="40 % - Aksentti4 9 9 2" xfId="8068" xr:uid="{00000000-0005-0000-0000-00006C2F0000}"/>
    <cellStyle name="40 % - Aksentti4 9 9 2 2" xfId="11946" xr:uid="{00000000-0005-0000-0000-00006D2F0000}"/>
    <cellStyle name="40 % - Aksentti4 9 9 2 3" xfId="19708" xr:uid="{00000000-0005-0000-0000-00006E2F0000}"/>
    <cellStyle name="40 % - Aksentti4 9 9 2_DataIX" xfId="31149" xr:uid="{00000000-0005-0000-0000-00006F2F0000}"/>
    <cellStyle name="40 % - Aksentti4 9 9 3" xfId="16261" xr:uid="{00000000-0005-0000-0000-0000702F0000}"/>
    <cellStyle name="40 % - Aksentti4 9 9_060617_hinnat" xfId="24251" xr:uid="{00000000-0005-0000-0000-0000712F0000}"/>
    <cellStyle name="40 % - Aksentti4 9_060617_hinnat" xfId="24252" xr:uid="{00000000-0005-0000-0000-0000722F0000}"/>
    <cellStyle name="40 % - Aksentti4_##KansantalKehitys" xfId="5415" xr:uid="{00000000-0005-0000-0000-0000732F0000}"/>
    <cellStyle name="40 % - Aksentti5" xfId="338" xr:uid="{00000000-0005-0000-0000-0000742F0000}"/>
    <cellStyle name="40 % - Aksentti5 10" xfId="2742" xr:uid="{00000000-0005-0000-0000-0000752F0000}"/>
    <cellStyle name="40 % - Aksentti5 10 10" xfId="2743" xr:uid="{00000000-0005-0000-0000-0000762F0000}"/>
    <cellStyle name="40 % - Aksentti5 10 10 2" xfId="8070" xr:uid="{00000000-0005-0000-0000-0000772F0000}"/>
    <cellStyle name="40 % - Aksentti5 10 10 2 2" xfId="11947" xr:uid="{00000000-0005-0000-0000-0000782F0000}"/>
    <cellStyle name="40 % - Aksentti5 10 10 2 3" xfId="19710" xr:uid="{00000000-0005-0000-0000-0000792F0000}"/>
    <cellStyle name="40 % - Aksentti5 10 10 2_DataIX" xfId="31150" xr:uid="{00000000-0005-0000-0000-00007A2F0000}"/>
    <cellStyle name="40 % - Aksentti5 10 10 3" xfId="16263" xr:uid="{00000000-0005-0000-0000-00007B2F0000}"/>
    <cellStyle name="40 % - Aksentti5 10 10_060617_hinnat" xfId="24253" xr:uid="{00000000-0005-0000-0000-00007C2F0000}"/>
    <cellStyle name="40 % - Aksentti5 10 11" xfId="8069" xr:uid="{00000000-0005-0000-0000-00007D2F0000}"/>
    <cellStyle name="40 % - Aksentti5 10 11 2" xfId="11948" xr:uid="{00000000-0005-0000-0000-00007E2F0000}"/>
    <cellStyle name="40 % - Aksentti5 10 11 3" xfId="19709" xr:uid="{00000000-0005-0000-0000-00007F2F0000}"/>
    <cellStyle name="40 % - Aksentti5 10 11_DataIX" xfId="31151" xr:uid="{00000000-0005-0000-0000-0000802F0000}"/>
    <cellStyle name="40 % - Aksentti5 10 12" xfId="16262" xr:uid="{00000000-0005-0000-0000-0000812F0000}"/>
    <cellStyle name="40 % - Aksentti5 10 2" xfId="2744" xr:uid="{00000000-0005-0000-0000-0000822F0000}"/>
    <cellStyle name="40 % - Aksentti5 10 2 2" xfId="2745" xr:uid="{00000000-0005-0000-0000-0000832F0000}"/>
    <cellStyle name="40 % - Aksentti5 10 2 2 2" xfId="2746" xr:uid="{00000000-0005-0000-0000-0000842F0000}"/>
    <cellStyle name="40 % - Aksentti5 10 2 2 2 2" xfId="8073" xr:uid="{00000000-0005-0000-0000-0000852F0000}"/>
    <cellStyle name="40 % - Aksentti5 10 2 2 2 2 2" xfId="11949" xr:uid="{00000000-0005-0000-0000-0000862F0000}"/>
    <cellStyle name="40 % - Aksentti5 10 2 2 2 2 3" xfId="19713" xr:uid="{00000000-0005-0000-0000-0000872F0000}"/>
    <cellStyle name="40 % - Aksentti5 10 2 2 2 2_DataIX" xfId="31152" xr:uid="{00000000-0005-0000-0000-0000882F0000}"/>
    <cellStyle name="40 % - Aksentti5 10 2 2 2 3" xfId="16266" xr:uid="{00000000-0005-0000-0000-0000892F0000}"/>
    <cellStyle name="40 % - Aksentti5 10 2 2 2_060617_hinnat" xfId="24254" xr:uid="{00000000-0005-0000-0000-00008A2F0000}"/>
    <cellStyle name="40 % - Aksentti5 10 2 2 3" xfId="8072" xr:uid="{00000000-0005-0000-0000-00008B2F0000}"/>
    <cellStyle name="40 % - Aksentti5 10 2 2 3 2" xfId="11950" xr:uid="{00000000-0005-0000-0000-00008C2F0000}"/>
    <cellStyle name="40 % - Aksentti5 10 2 2 3 3" xfId="19712" xr:uid="{00000000-0005-0000-0000-00008D2F0000}"/>
    <cellStyle name="40 % - Aksentti5 10 2 2 3_DataIX" xfId="31153" xr:uid="{00000000-0005-0000-0000-00008E2F0000}"/>
    <cellStyle name="40 % - Aksentti5 10 2 2 4" xfId="16265" xr:uid="{00000000-0005-0000-0000-00008F2F0000}"/>
    <cellStyle name="40 % - Aksentti5 10 2 2_060617_hinnat" xfId="24255" xr:uid="{00000000-0005-0000-0000-0000902F0000}"/>
    <cellStyle name="40 % - Aksentti5 10 2 3" xfId="2747" xr:uid="{00000000-0005-0000-0000-0000912F0000}"/>
    <cellStyle name="40 % - Aksentti5 10 2 3 2" xfId="8074" xr:uid="{00000000-0005-0000-0000-0000922F0000}"/>
    <cellStyle name="40 % - Aksentti5 10 2 3 2 2" xfId="11951" xr:uid="{00000000-0005-0000-0000-0000932F0000}"/>
    <cellStyle name="40 % - Aksentti5 10 2 3 2 3" xfId="19714" xr:uid="{00000000-0005-0000-0000-0000942F0000}"/>
    <cellStyle name="40 % - Aksentti5 10 2 3 2_DataIX" xfId="31154" xr:uid="{00000000-0005-0000-0000-0000952F0000}"/>
    <cellStyle name="40 % - Aksentti5 10 2 3 3" xfId="16267" xr:uid="{00000000-0005-0000-0000-0000962F0000}"/>
    <cellStyle name="40 % - Aksentti5 10 2 3_060617_hinnat" xfId="24256" xr:uid="{00000000-0005-0000-0000-0000972F0000}"/>
    <cellStyle name="40 % - Aksentti5 10 2 4" xfId="8071" xr:uid="{00000000-0005-0000-0000-0000982F0000}"/>
    <cellStyle name="40 % - Aksentti5 10 2 4 2" xfId="11952" xr:uid="{00000000-0005-0000-0000-0000992F0000}"/>
    <cellStyle name="40 % - Aksentti5 10 2 4 3" xfId="19711" xr:uid="{00000000-0005-0000-0000-00009A2F0000}"/>
    <cellStyle name="40 % - Aksentti5 10 2 4_DataIX" xfId="31155" xr:uid="{00000000-0005-0000-0000-00009B2F0000}"/>
    <cellStyle name="40 % - Aksentti5 10 2 5" xfId="16264" xr:uid="{00000000-0005-0000-0000-00009C2F0000}"/>
    <cellStyle name="40 % - Aksentti5 10 2_060617_hinnat" xfId="24257" xr:uid="{00000000-0005-0000-0000-00009D2F0000}"/>
    <cellStyle name="40 % - Aksentti5 10 3" xfId="2748" xr:uid="{00000000-0005-0000-0000-00009E2F0000}"/>
    <cellStyle name="40 % - Aksentti5 10 3 2" xfId="2749" xr:uid="{00000000-0005-0000-0000-00009F2F0000}"/>
    <cellStyle name="40 % - Aksentti5 10 3 2 2" xfId="8076" xr:uid="{00000000-0005-0000-0000-0000A02F0000}"/>
    <cellStyle name="40 % - Aksentti5 10 3 2 2 2" xfId="11953" xr:uid="{00000000-0005-0000-0000-0000A12F0000}"/>
    <cellStyle name="40 % - Aksentti5 10 3 2 2 3" xfId="19716" xr:uid="{00000000-0005-0000-0000-0000A22F0000}"/>
    <cellStyle name="40 % - Aksentti5 10 3 2 2_DataIX" xfId="31156" xr:uid="{00000000-0005-0000-0000-0000A32F0000}"/>
    <cellStyle name="40 % - Aksentti5 10 3 2 3" xfId="16269" xr:uid="{00000000-0005-0000-0000-0000A42F0000}"/>
    <cellStyle name="40 % - Aksentti5 10 3 2_060617_hinnat" xfId="24258" xr:uid="{00000000-0005-0000-0000-0000A52F0000}"/>
    <cellStyle name="40 % - Aksentti5 10 3 3" xfId="8075" xr:uid="{00000000-0005-0000-0000-0000A62F0000}"/>
    <cellStyle name="40 % - Aksentti5 10 3 3 2" xfId="11954" xr:uid="{00000000-0005-0000-0000-0000A72F0000}"/>
    <cellStyle name="40 % - Aksentti5 10 3 3 3" xfId="19715" xr:uid="{00000000-0005-0000-0000-0000A82F0000}"/>
    <cellStyle name="40 % - Aksentti5 10 3 3_DataIX" xfId="31157" xr:uid="{00000000-0005-0000-0000-0000A92F0000}"/>
    <cellStyle name="40 % - Aksentti5 10 3 4" xfId="16268" xr:uid="{00000000-0005-0000-0000-0000AA2F0000}"/>
    <cellStyle name="40 % - Aksentti5 10 3_060617_hinnat" xfId="24259" xr:uid="{00000000-0005-0000-0000-0000AB2F0000}"/>
    <cellStyle name="40 % - Aksentti5 10 4" xfId="2750" xr:uid="{00000000-0005-0000-0000-0000AC2F0000}"/>
    <cellStyle name="40 % - Aksentti5 10 4 2" xfId="8077" xr:uid="{00000000-0005-0000-0000-0000AD2F0000}"/>
    <cellStyle name="40 % - Aksentti5 10 4 2 2" xfId="11955" xr:uid="{00000000-0005-0000-0000-0000AE2F0000}"/>
    <cellStyle name="40 % - Aksentti5 10 4 2 3" xfId="19717" xr:uid="{00000000-0005-0000-0000-0000AF2F0000}"/>
    <cellStyle name="40 % - Aksentti5 10 4 2_DataIX" xfId="31158" xr:uid="{00000000-0005-0000-0000-0000B02F0000}"/>
    <cellStyle name="40 % - Aksentti5 10 4 3" xfId="16270" xr:uid="{00000000-0005-0000-0000-0000B12F0000}"/>
    <cellStyle name="40 % - Aksentti5 10 4_060617_hinnat" xfId="24261" xr:uid="{00000000-0005-0000-0000-0000B22F0000}"/>
    <cellStyle name="40 % - Aksentti5 10 5" xfId="2751" xr:uid="{00000000-0005-0000-0000-0000B32F0000}"/>
    <cellStyle name="40 % - Aksentti5 10 5 2" xfId="8078" xr:uid="{00000000-0005-0000-0000-0000B42F0000}"/>
    <cellStyle name="40 % - Aksentti5 10 5 2 2" xfId="11956" xr:uid="{00000000-0005-0000-0000-0000B52F0000}"/>
    <cellStyle name="40 % - Aksentti5 10 5 2 3" xfId="19718" xr:uid="{00000000-0005-0000-0000-0000B62F0000}"/>
    <cellStyle name="40 % - Aksentti5 10 5 2_DataIX" xfId="31159" xr:uid="{00000000-0005-0000-0000-0000B72F0000}"/>
    <cellStyle name="40 % - Aksentti5 10 5 3" xfId="16271" xr:uid="{00000000-0005-0000-0000-0000B82F0000}"/>
    <cellStyle name="40 % - Aksentti5 10 5_060617_hinnat" xfId="24262" xr:uid="{00000000-0005-0000-0000-0000B92F0000}"/>
    <cellStyle name="40 % - Aksentti5 10 6" xfId="2752" xr:uid="{00000000-0005-0000-0000-0000BA2F0000}"/>
    <cellStyle name="40 % - Aksentti5 10 6 2" xfId="8079" xr:uid="{00000000-0005-0000-0000-0000BB2F0000}"/>
    <cellStyle name="40 % - Aksentti5 10 6 2 2" xfId="11957" xr:uid="{00000000-0005-0000-0000-0000BC2F0000}"/>
    <cellStyle name="40 % - Aksentti5 10 6 2 3" xfId="19719" xr:uid="{00000000-0005-0000-0000-0000BD2F0000}"/>
    <cellStyle name="40 % - Aksentti5 10 6 2_DataIX" xfId="31160" xr:uid="{00000000-0005-0000-0000-0000BE2F0000}"/>
    <cellStyle name="40 % - Aksentti5 10 6 3" xfId="16272" xr:uid="{00000000-0005-0000-0000-0000BF2F0000}"/>
    <cellStyle name="40 % - Aksentti5 10 6_060617_hinnat" xfId="24263" xr:uid="{00000000-0005-0000-0000-0000C02F0000}"/>
    <cellStyle name="40 % - Aksentti5 10 7" xfId="2753" xr:uid="{00000000-0005-0000-0000-0000C12F0000}"/>
    <cellStyle name="40 % - Aksentti5 10 7 2" xfId="8080" xr:uid="{00000000-0005-0000-0000-0000C22F0000}"/>
    <cellStyle name="40 % - Aksentti5 10 7 2 2" xfId="11958" xr:uid="{00000000-0005-0000-0000-0000C32F0000}"/>
    <cellStyle name="40 % - Aksentti5 10 7 2 3" xfId="19720" xr:uid="{00000000-0005-0000-0000-0000C42F0000}"/>
    <cellStyle name="40 % - Aksentti5 10 7 2_DataIX" xfId="31161" xr:uid="{00000000-0005-0000-0000-0000C52F0000}"/>
    <cellStyle name="40 % - Aksentti5 10 7 3" xfId="16273" xr:uid="{00000000-0005-0000-0000-0000C62F0000}"/>
    <cellStyle name="40 % - Aksentti5 10 7_060617_hinnat" xfId="24265" xr:uid="{00000000-0005-0000-0000-0000C72F0000}"/>
    <cellStyle name="40 % - Aksentti5 10 8" xfId="2754" xr:uid="{00000000-0005-0000-0000-0000C82F0000}"/>
    <cellStyle name="40 % - Aksentti5 10 8 2" xfId="8081" xr:uid="{00000000-0005-0000-0000-0000C92F0000}"/>
    <cellStyle name="40 % - Aksentti5 10 8 2 2" xfId="11959" xr:uid="{00000000-0005-0000-0000-0000CA2F0000}"/>
    <cellStyle name="40 % - Aksentti5 10 8 2 3" xfId="19721" xr:uid="{00000000-0005-0000-0000-0000CB2F0000}"/>
    <cellStyle name="40 % - Aksentti5 10 8 2_DataIX" xfId="31162" xr:uid="{00000000-0005-0000-0000-0000CC2F0000}"/>
    <cellStyle name="40 % - Aksentti5 10 8 3" xfId="16274" xr:uid="{00000000-0005-0000-0000-0000CD2F0000}"/>
    <cellStyle name="40 % - Aksentti5 10 8_060617_hinnat" xfId="24266" xr:uid="{00000000-0005-0000-0000-0000CE2F0000}"/>
    <cellStyle name="40 % - Aksentti5 10 9" xfId="2755" xr:uid="{00000000-0005-0000-0000-0000CF2F0000}"/>
    <cellStyle name="40 % - Aksentti5 10 9 2" xfId="8082" xr:uid="{00000000-0005-0000-0000-0000D02F0000}"/>
    <cellStyle name="40 % - Aksentti5 10 9 2 2" xfId="11960" xr:uid="{00000000-0005-0000-0000-0000D12F0000}"/>
    <cellStyle name="40 % - Aksentti5 10 9 2 3" xfId="19722" xr:uid="{00000000-0005-0000-0000-0000D22F0000}"/>
    <cellStyle name="40 % - Aksentti5 10 9 2_DataIX" xfId="31163" xr:uid="{00000000-0005-0000-0000-0000D32F0000}"/>
    <cellStyle name="40 % - Aksentti5 10 9 3" xfId="16275" xr:uid="{00000000-0005-0000-0000-0000D42F0000}"/>
    <cellStyle name="40 % - Aksentti5 10 9_060617_hinnat" xfId="24267" xr:uid="{00000000-0005-0000-0000-0000D52F0000}"/>
    <cellStyle name="40 % - Aksentti5 10_060617_hinnat" xfId="24268" xr:uid="{00000000-0005-0000-0000-0000D62F0000}"/>
    <cellStyle name="40 % - Aksentti5 11" xfId="2756" xr:uid="{00000000-0005-0000-0000-0000D72F0000}"/>
    <cellStyle name="40 % - Aksentti5 11 10" xfId="2757" xr:uid="{00000000-0005-0000-0000-0000D82F0000}"/>
    <cellStyle name="40 % - Aksentti5 11 10 2" xfId="8084" xr:uid="{00000000-0005-0000-0000-0000D92F0000}"/>
    <cellStyle name="40 % - Aksentti5 11 10 2 2" xfId="11961" xr:uid="{00000000-0005-0000-0000-0000DA2F0000}"/>
    <cellStyle name="40 % - Aksentti5 11 10 2 3" xfId="19724" xr:uid="{00000000-0005-0000-0000-0000DB2F0000}"/>
    <cellStyle name="40 % - Aksentti5 11 10 2_DataIX" xfId="31164" xr:uid="{00000000-0005-0000-0000-0000DC2F0000}"/>
    <cellStyle name="40 % - Aksentti5 11 10 3" xfId="16277" xr:uid="{00000000-0005-0000-0000-0000DD2F0000}"/>
    <cellStyle name="40 % - Aksentti5 11 10_060617_hinnat" xfId="24269" xr:uid="{00000000-0005-0000-0000-0000DE2F0000}"/>
    <cellStyle name="40 % - Aksentti5 11 11" xfId="8083" xr:uid="{00000000-0005-0000-0000-0000DF2F0000}"/>
    <cellStyle name="40 % - Aksentti5 11 11 2" xfId="11962" xr:uid="{00000000-0005-0000-0000-0000E02F0000}"/>
    <cellStyle name="40 % - Aksentti5 11 11 3" xfId="19723" xr:uid="{00000000-0005-0000-0000-0000E12F0000}"/>
    <cellStyle name="40 % - Aksentti5 11 11_DataIX" xfId="31165" xr:uid="{00000000-0005-0000-0000-0000E22F0000}"/>
    <cellStyle name="40 % - Aksentti5 11 12" xfId="16276" xr:uid="{00000000-0005-0000-0000-0000E32F0000}"/>
    <cellStyle name="40 % - Aksentti5 11 2" xfId="2758" xr:uid="{00000000-0005-0000-0000-0000E42F0000}"/>
    <cellStyle name="40 % - Aksentti5 11 2 2" xfId="2759" xr:uid="{00000000-0005-0000-0000-0000E52F0000}"/>
    <cellStyle name="40 % - Aksentti5 11 2 2 2" xfId="2760" xr:uid="{00000000-0005-0000-0000-0000E62F0000}"/>
    <cellStyle name="40 % - Aksentti5 11 2 2 2 2" xfId="8087" xr:uid="{00000000-0005-0000-0000-0000E72F0000}"/>
    <cellStyle name="40 % - Aksentti5 11 2 2 2 2 2" xfId="11963" xr:uid="{00000000-0005-0000-0000-0000E82F0000}"/>
    <cellStyle name="40 % - Aksentti5 11 2 2 2 2 3" xfId="19727" xr:uid="{00000000-0005-0000-0000-0000E92F0000}"/>
    <cellStyle name="40 % - Aksentti5 11 2 2 2 2_DataIX" xfId="31166" xr:uid="{00000000-0005-0000-0000-0000EA2F0000}"/>
    <cellStyle name="40 % - Aksentti5 11 2 2 2 3" xfId="16280" xr:uid="{00000000-0005-0000-0000-0000EB2F0000}"/>
    <cellStyle name="40 % - Aksentti5 11 2 2 2_060617_hinnat" xfId="24270" xr:uid="{00000000-0005-0000-0000-0000EC2F0000}"/>
    <cellStyle name="40 % - Aksentti5 11 2 2 3" xfId="8086" xr:uid="{00000000-0005-0000-0000-0000ED2F0000}"/>
    <cellStyle name="40 % - Aksentti5 11 2 2 3 2" xfId="11964" xr:uid="{00000000-0005-0000-0000-0000EE2F0000}"/>
    <cellStyle name="40 % - Aksentti5 11 2 2 3 3" xfId="19726" xr:uid="{00000000-0005-0000-0000-0000EF2F0000}"/>
    <cellStyle name="40 % - Aksentti5 11 2 2 3_DataIX" xfId="31167" xr:uid="{00000000-0005-0000-0000-0000F02F0000}"/>
    <cellStyle name="40 % - Aksentti5 11 2 2 4" xfId="16279" xr:uid="{00000000-0005-0000-0000-0000F12F0000}"/>
    <cellStyle name="40 % - Aksentti5 11 2 2_060617_hinnat" xfId="24271" xr:uid="{00000000-0005-0000-0000-0000F22F0000}"/>
    <cellStyle name="40 % - Aksentti5 11 2 3" xfId="2761" xr:uid="{00000000-0005-0000-0000-0000F32F0000}"/>
    <cellStyle name="40 % - Aksentti5 11 2 3 2" xfId="8088" xr:uid="{00000000-0005-0000-0000-0000F42F0000}"/>
    <cellStyle name="40 % - Aksentti5 11 2 3 2 2" xfId="11965" xr:uid="{00000000-0005-0000-0000-0000F52F0000}"/>
    <cellStyle name="40 % - Aksentti5 11 2 3 2 3" xfId="19728" xr:uid="{00000000-0005-0000-0000-0000F62F0000}"/>
    <cellStyle name="40 % - Aksentti5 11 2 3 2_DataIX" xfId="31168" xr:uid="{00000000-0005-0000-0000-0000F72F0000}"/>
    <cellStyle name="40 % - Aksentti5 11 2 3 3" xfId="16281" xr:uid="{00000000-0005-0000-0000-0000F82F0000}"/>
    <cellStyle name="40 % - Aksentti5 11 2 3_060617_hinnat" xfId="24272" xr:uid="{00000000-0005-0000-0000-0000F92F0000}"/>
    <cellStyle name="40 % - Aksentti5 11 2 4" xfId="8085" xr:uid="{00000000-0005-0000-0000-0000FA2F0000}"/>
    <cellStyle name="40 % - Aksentti5 11 2 4 2" xfId="11966" xr:uid="{00000000-0005-0000-0000-0000FB2F0000}"/>
    <cellStyle name="40 % - Aksentti5 11 2 4 3" xfId="19725" xr:uid="{00000000-0005-0000-0000-0000FC2F0000}"/>
    <cellStyle name="40 % - Aksentti5 11 2 4_DataIX" xfId="31169" xr:uid="{00000000-0005-0000-0000-0000FD2F0000}"/>
    <cellStyle name="40 % - Aksentti5 11 2 5" xfId="16278" xr:uid="{00000000-0005-0000-0000-0000FE2F0000}"/>
    <cellStyle name="40 % - Aksentti5 11 2_060617_hinnat" xfId="24273" xr:uid="{00000000-0005-0000-0000-0000FF2F0000}"/>
    <cellStyle name="40 % - Aksentti5 11 3" xfId="2762" xr:uid="{00000000-0005-0000-0000-000000300000}"/>
    <cellStyle name="40 % - Aksentti5 11 3 2" xfId="2763" xr:uid="{00000000-0005-0000-0000-000001300000}"/>
    <cellStyle name="40 % - Aksentti5 11 3 2 2" xfId="8090" xr:uid="{00000000-0005-0000-0000-000002300000}"/>
    <cellStyle name="40 % - Aksentti5 11 3 2 2 2" xfId="11967" xr:uid="{00000000-0005-0000-0000-000003300000}"/>
    <cellStyle name="40 % - Aksentti5 11 3 2 2 3" xfId="19730" xr:uid="{00000000-0005-0000-0000-000004300000}"/>
    <cellStyle name="40 % - Aksentti5 11 3 2 2_DataIX" xfId="31170" xr:uid="{00000000-0005-0000-0000-000005300000}"/>
    <cellStyle name="40 % - Aksentti5 11 3 2 3" xfId="16283" xr:uid="{00000000-0005-0000-0000-000006300000}"/>
    <cellStyle name="40 % - Aksentti5 11 3 2_060617_hinnat" xfId="24274" xr:uid="{00000000-0005-0000-0000-000007300000}"/>
    <cellStyle name="40 % - Aksentti5 11 3 3" xfId="8089" xr:uid="{00000000-0005-0000-0000-000008300000}"/>
    <cellStyle name="40 % - Aksentti5 11 3 3 2" xfId="11968" xr:uid="{00000000-0005-0000-0000-000009300000}"/>
    <cellStyle name="40 % - Aksentti5 11 3 3 3" xfId="19729" xr:uid="{00000000-0005-0000-0000-00000A300000}"/>
    <cellStyle name="40 % - Aksentti5 11 3 3_DataIX" xfId="31171" xr:uid="{00000000-0005-0000-0000-00000B300000}"/>
    <cellStyle name="40 % - Aksentti5 11 3 4" xfId="16282" xr:uid="{00000000-0005-0000-0000-00000C300000}"/>
    <cellStyle name="40 % - Aksentti5 11 3_060617_hinnat" xfId="24275" xr:uid="{00000000-0005-0000-0000-00000D300000}"/>
    <cellStyle name="40 % - Aksentti5 11 4" xfId="2764" xr:uid="{00000000-0005-0000-0000-00000E300000}"/>
    <cellStyle name="40 % - Aksentti5 11 4 2" xfId="8091" xr:uid="{00000000-0005-0000-0000-00000F300000}"/>
    <cellStyle name="40 % - Aksentti5 11 4 2 2" xfId="11969" xr:uid="{00000000-0005-0000-0000-000010300000}"/>
    <cellStyle name="40 % - Aksentti5 11 4 2 3" xfId="19731" xr:uid="{00000000-0005-0000-0000-000011300000}"/>
    <cellStyle name="40 % - Aksentti5 11 4 2_DataIX" xfId="31172" xr:uid="{00000000-0005-0000-0000-000012300000}"/>
    <cellStyle name="40 % - Aksentti5 11 4 3" xfId="16284" xr:uid="{00000000-0005-0000-0000-000013300000}"/>
    <cellStyle name="40 % - Aksentti5 11 4_060617_hinnat" xfId="24276" xr:uid="{00000000-0005-0000-0000-000014300000}"/>
    <cellStyle name="40 % - Aksentti5 11 5" xfId="2765" xr:uid="{00000000-0005-0000-0000-000015300000}"/>
    <cellStyle name="40 % - Aksentti5 11 5 2" xfId="8092" xr:uid="{00000000-0005-0000-0000-000016300000}"/>
    <cellStyle name="40 % - Aksentti5 11 5 2 2" xfId="11970" xr:uid="{00000000-0005-0000-0000-000017300000}"/>
    <cellStyle name="40 % - Aksentti5 11 5 2 3" xfId="19732" xr:uid="{00000000-0005-0000-0000-000018300000}"/>
    <cellStyle name="40 % - Aksentti5 11 5 2_DataIX" xfId="31173" xr:uid="{00000000-0005-0000-0000-000019300000}"/>
    <cellStyle name="40 % - Aksentti5 11 5 3" xfId="16285" xr:uid="{00000000-0005-0000-0000-00001A300000}"/>
    <cellStyle name="40 % - Aksentti5 11 5_060617_hinnat" xfId="24277" xr:uid="{00000000-0005-0000-0000-00001B300000}"/>
    <cellStyle name="40 % - Aksentti5 11 6" xfId="2766" xr:uid="{00000000-0005-0000-0000-00001C300000}"/>
    <cellStyle name="40 % - Aksentti5 11 6 2" xfId="8093" xr:uid="{00000000-0005-0000-0000-00001D300000}"/>
    <cellStyle name="40 % - Aksentti5 11 6 2 2" xfId="11971" xr:uid="{00000000-0005-0000-0000-00001E300000}"/>
    <cellStyle name="40 % - Aksentti5 11 6 2 3" xfId="19733" xr:uid="{00000000-0005-0000-0000-00001F300000}"/>
    <cellStyle name="40 % - Aksentti5 11 6 2_DataIX" xfId="31174" xr:uid="{00000000-0005-0000-0000-000020300000}"/>
    <cellStyle name="40 % - Aksentti5 11 6 3" xfId="16286" xr:uid="{00000000-0005-0000-0000-000021300000}"/>
    <cellStyle name="40 % - Aksentti5 11 6_060617_hinnat" xfId="24278" xr:uid="{00000000-0005-0000-0000-000022300000}"/>
    <cellStyle name="40 % - Aksentti5 11 7" xfId="2767" xr:uid="{00000000-0005-0000-0000-000023300000}"/>
    <cellStyle name="40 % - Aksentti5 11 7 2" xfId="8094" xr:uid="{00000000-0005-0000-0000-000024300000}"/>
    <cellStyle name="40 % - Aksentti5 11 7 2 2" xfId="11972" xr:uid="{00000000-0005-0000-0000-000025300000}"/>
    <cellStyle name="40 % - Aksentti5 11 7 2 3" xfId="19734" xr:uid="{00000000-0005-0000-0000-000026300000}"/>
    <cellStyle name="40 % - Aksentti5 11 7 2_DataIX" xfId="31175" xr:uid="{00000000-0005-0000-0000-000027300000}"/>
    <cellStyle name="40 % - Aksentti5 11 7 3" xfId="16287" xr:uid="{00000000-0005-0000-0000-000028300000}"/>
    <cellStyle name="40 % - Aksentti5 11 7_060617_hinnat" xfId="24279" xr:uid="{00000000-0005-0000-0000-000029300000}"/>
    <cellStyle name="40 % - Aksentti5 11 8" xfId="2768" xr:uid="{00000000-0005-0000-0000-00002A300000}"/>
    <cellStyle name="40 % - Aksentti5 11 8 2" xfId="8095" xr:uid="{00000000-0005-0000-0000-00002B300000}"/>
    <cellStyle name="40 % - Aksentti5 11 8 2 2" xfId="11973" xr:uid="{00000000-0005-0000-0000-00002C300000}"/>
    <cellStyle name="40 % - Aksentti5 11 8 2 3" xfId="19735" xr:uid="{00000000-0005-0000-0000-00002D300000}"/>
    <cellStyle name="40 % - Aksentti5 11 8 2_DataIX" xfId="31176" xr:uid="{00000000-0005-0000-0000-00002E300000}"/>
    <cellStyle name="40 % - Aksentti5 11 8 3" xfId="16288" xr:uid="{00000000-0005-0000-0000-00002F300000}"/>
    <cellStyle name="40 % - Aksentti5 11 8_060617_hinnat" xfId="24280" xr:uid="{00000000-0005-0000-0000-000030300000}"/>
    <cellStyle name="40 % - Aksentti5 11 9" xfId="2769" xr:uid="{00000000-0005-0000-0000-000031300000}"/>
    <cellStyle name="40 % - Aksentti5 11 9 2" xfId="8096" xr:uid="{00000000-0005-0000-0000-000032300000}"/>
    <cellStyle name="40 % - Aksentti5 11 9 2 2" xfId="11974" xr:uid="{00000000-0005-0000-0000-000033300000}"/>
    <cellStyle name="40 % - Aksentti5 11 9 2 3" xfId="19736" xr:uid="{00000000-0005-0000-0000-000034300000}"/>
    <cellStyle name="40 % - Aksentti5 11 9 2_DataIX" xfId="31177" xr:uid="{00000000-0005-0000-0000-000035300000}"/>
    <cellStyle name="40 % - Aksentti5 11 9 3" xfId="16289" xr:uid="{00000000-0005-0000-0000-000036300000}"/>
    <cellStyle name="40 % - Aksentti5 11 9_060617_hinnat" xfId="24281" xr:uid="{00000000-0005-0000-0000-000037300000}"/>
    <cellStyle name="40 % - Aksentti5 11_060617_hinnat" xfId="24282" xr:uid="{00000000-0005-0000-0000-000038300000}"/>
    <cellStyle name="40 % - Aksentti5 12" xfId="2770" xr:uid="{00000000-0005-0000-0000-000039300000}"/>
    <cellStyle name="40 % - Aksentti5 12 10" xfId="2771" xr:uid="{00000000-0005-0000-0000-00003A300000}"/>
    <cellStyle name="40 % - Aksentti5 12 10 2" xfId="8098" xr:uid="{00000000-0005-0000-0000-00003B300000}"/>
    <cellStyle name="40 % - Aksentti5 12 10 2 2" xfId="11975" xr:uid="{00000000-0005-0000-0000-00003C300000}"/>
    <cellStyle name="40 % - Aksentti5 12 10 2 3" xfId="19738" xr:uid="{00000000-0005-0000-0000-00003D300000}"/>
    <cellStyle name="40 % - Aksentti5 12 10 2_DataIX" xfId="31178" xr:uid="{00000000-0005-0000-0000-00003E300000}"/>
    <cellStyle name="40 % - Aksentti5 12 10 3" xfId="16291" xr:uid="{00000000-0005-0000-0000-00003F300000}"/>
    <cellStyle name="40 % - Aksentti5 12 10_060617_hinnat" xfId="24283" xr:uid="{00000000-0005-0000-0000-000040300000}"/>
    <cellStyle name="40 % - Aksentti5 12 11" xfId="8097" xr:uid="{00000000-0005-0000-0000-000041300000}"/>
    <cellStyle name="40 % - Aksentti5 12 11 2" xfId="11976" xr:uid="{00000000-0005-0000-0000-000042300000}"/>
    <cellStyle name="40 % - Aksentti5 12 11 3" xfId="19737" xr:uid="{00000000-0005-0000-0000-000043300000}"/>
    <cellStyle name="40 % - Aksentti5 12 11_DataIX" xfId="31179" xr:uid="{00000000-0005-0000-0000-000044300000}"/>
    <cellStyle name="40 % - Aksentti5 12 12" xfId="16290" xr:uid="{00000000-0005-0000-0000-000045300000}"/>
    <cellStyle name="40 % - Aksentti5 12 2" xfId="2772" xr:uid="{00000000-0005-0000-0000-000046300000}"/>
    <cellStyle name="40 % - Aksentti5 12 2 2" xfId="2773" xr:uid="{00000000-0005-0000-0000-000047300000}"/>
    <cellStyle name="40 % - Aksentti5 12 2 2 2" xfId="2774" xr:uid="{00000000-0005-0000-0000-000048300000}"/>
    <cellStyle name="40 % - Aksentti5 12 2 2 2 2" xfId="8101" xr:uid="{00000000-0005-0000-0000-000049300000}"/>
    <cellStyle name="40 % - Aksentti5 12 2 2 2 2 2" xfId="11977" xr:uid="{00000000-0005-0000-0000-00004A300000}"/>
    <cellStyle name="40 % - Aksentti5 12 2 2 2 2 3" xfId="19741" xr:uid="{00000000-0005-0000-0000-00004B300000}"/>
    <cellStyle name="40 % - Aksentti5 12 2 2 2 2_DataIX" xfId="31180" xr:uid="{00000000-0005-0000-0000-00004C300000}"/>
    <cellStyle name="40 % - Aksentti5 12 2 2 2 3" xfId="16294" xr:uid="{00000000-0005-0000-0000-00004D300000}"/>
    <cellStyle name="40 % - Aksentti5 12 2 2 2_060617_hinnat" xfId="24284" xr:uid="{00000000-0005-0000-0000-00004E300000}"/>
    <cellStyle name="40 % - Aksentti5 12 2 2 3" xfId="8100" xr:uid="{00000000-0005-0000-0000-00004F300000}"/>
    <cellStyle name="40 % - Aksentti5 12 2 2 3 2" xfId="11978" xr:uid="{00000000-0005-0000-0000-000050300000}"/>
    <cellStyle name="40 % - Aksentti5 12 2 2 3 3" xfId="19740" xr:uid="{00000000-0005-0000-0000-000051300000}"/>
    <cellStyle name="40 % - Aksentti5 12 2 2 3_DataIX" xfId="31181" xr:uid="{00000000-0005-0000-0000-000052300000}"/>
    <cellStyle name="40 % - Aksentti5 12 2 2 4" xfId="16293" xr:uid="{00000000-0005-0000-0000-000053300000}"/>
    <cellStyle name="40 % - Aksentti5 12 2 2_060617_hinnat" xfId="24285" xr:uid="{00000000-0005-0000-0000-000054300000}"/>
    <cellStyle name="40 % - Aksentti5 12 2 3" xfId="2775" xr:uid="{00000000-0005-0000-0000-000055300000}"/>
    <cellStyle name="40 % - Aksentti5 12 2 3 2" xfId="8102" xr:uid="{00000000-0005-0000-0000-000056300000}"/>
    <cellStyle name="40 % - Aksentti5 12 2 3 2 2" xfId="11979" xr:uid="{00000000-0005-0000-0000-000057300000}"/>
    <cellStyle name="40 % - Aksentti5 12 2 3 2 3" xfId="19742" xr:uid="{00000000-0005-0000-0000-000058300000}"/>
    <cellStyle name="40 % - Aksentti5 12 2 3 2_DataIX" xfId="31182" xr:uid="{00000000-0005-0000-0000-000059300000}"/>
    <cellStyle name="40 % - Aksentti5 12 2 3 3" xfId="16295" xr:uid="{00000000-0005-0000-0000-00005A300000}"/>
    <cellStyle name="40 % - Aksentti5 12 2 3_060617_hinnat" xfId="24286" xr:uid="{00000000-0005-0000-0000-00005B300000}"/>
    <cellStyle name="40 % - Aksentti5 12 2 4" xfId="8099" xr:uid="{00000000-0005-0000-0000-00005C300000}"/>
    <cellStyle name="40 % - Aksentti5 12 2 4 2" xfId="11980" xr:uid="{00000000-0005-0000-0000-00005D300000}"/>
    <cellStyle name="40 % - Aksentti5 12 2 4 3" xfId="19739" xr:uid="{00000000-0005-0000-0000-00005E300000}"/>
    <cellStyle name="40 % - Aksentti5 12 2 4_DataIX" xfId="31183" xr:uid="{00000000-0005-0000-0000-00005F300000}"/>
    <cellStyle name="40 % - Aksentti5 12 2 5" xfId="16292" xr:uid="{00000000-0005-0000-0000-000060300000}"/>
    <cellStyle name="40 % - Aksentti5 12 2_060617_hinnat" xfId="24287" xr:uid="{00000000-0005-0000-0000-000061300000}"/>
    <cellStyle name="40 % - Aksentti5 12 3" xfId="2776" xr:uid="{00000000-0005-0000-0000-000062300000}"/>
    <cellStyle name="40 % - Aksentti5 12 3 2" xfId="2777" xr:uid="{00000000-0005-0000-0000-000063300000}"/>
    <cellStyle name="40 % - Aksentti5 12 3 2 2" xfId="8104" xr:uid="{00000000-0005-0000-0000-000064300000}"/>
    <cellStyle name="40 % - Aksentti5 12 3 2 2 2" xfId="11981" xr:uid="{00000000-0005-0000-0000-000065300000}"/>
    <cellStyle name="40 % - Aksentti5 12 3 2 2 3" xfId="19744" xr:uid="{00000000-0005-0000-0000-000066300000}"/>
    <cellStyle name="40 % - Aksentti5 12 3 2 2_DataIX" xfId="31184" xr:uid="{00000000-0005-0000-0000-000067300000}"/>
    <cellStyle name="40 % - Aksentti5 12 3 2 3" xfId="16297" xr:uid="{00000000-0005-0000-0000-000068300000}"/>
    <cellStyle name="40 % - Aksentti5 12 3 2_060617_hinnat" xfId="24288" xr:uid="{00000000-0005-0000-0000-000069300000}"/>
    <cellStyle name="40 % - Aksentti5 12 3 3" xfId="8103" xr:uid="{00000000-0005-0000-0000-00006A300000}"/>
    <cellStyle name="40 % - Aksentti5 12 3 3 2" xfId="11982" xr:uid="{00000000-0005-0000-0000-00006B300000}"/>
    <cellStyle name="40 % - Aksentti5 12 3 3 3" xfId="19743" xr:uid="{00000000-0005-0000-0000-00006C300000}"/>
    <cellStyle name="40 % - Aksentti5 12 3 3_DataIX" xfId="31185" xr:uid="{00000000-0005-0000-0000-00006D300000}"/>
    <cellStyle name="40 % - Aksentti5 12 3 4" xfId="16296" xr:uid="{00000000-0005-0000-0000-00006E300000}"/>
    <cellStyle name="40 % - Aksentti5 12 3_060617_hinnat" xfId="24289" xr:uid="{00000000-0005-0000-0000-00006F300000}"/>
    <cellStyle name="40 % - Aksentti5 12 4" xfId="2778" xr:uid="{00000000-0005-0000-0000-000070300000}"/>
    <cellStyle name="40 % - Aksentti5 12 4 2" xfId="8105" xr:uid="{00000000-0005-0000-0000-000071300000}"/>
    <cellStyle name="40 % - Aksentti5 12 4 2 2" xfId="11983" xr:uid="{00000000-0005-0000-0000-000072300000}"/>
    <cellStyle name="40 % - Aksentti5 12 4 2 3" xfId="19745" xr:uid="{00000000-0005-0000-0000-000073300000}"/>
    <cellStyle name="40 % - Aksentti5 12 4 2_DataIX" xfId="31186" xr:uid="{00000000-0005-0000-0000-000074300000}"/>
    <cellStyle name="40 % - Aksentti5 12 4 3" xfId="16298" xr:uid="{00000000-0005-0000-0000-000075300000}"/>
    <cellStyle name="40 % - Aksentti5 12 4_060617_hinnat" xfId="24290" xr:uid="{00000000-0005-0000-0000-000076300000}"/>
    <cellStyle name="40 % - Aksentti5 12 5" xfId="2779" xr:uid="{00000000-0005-0000-0000-000077300000}"/>
    <cellStyle name="40 % - Aksentti5 12 5 2" xfId="8106" xr:uid="{00000000-0005-0000-0000-000078300000}"/>
    <cellStyle name="40 % - Aksentti5 12 5 2 2" xfId="11984" xr:uid="{00000000-0005-0000-0000-000079300000}"/>
    <cellStyle name="40 % - Aksentti5 12 5 2 3" xfId="19746" xr:uid="{00000000-0005-0000-0000-00007A300000}"/>
    <cellStyle name="40 % - Aksentti5 12 5 2_DataIX" xfId="31187" xr:uid="{00000000-0005-0000-0000-00007B300000}"/>
    <cellStyle name="40 % - Aksentti5 12 5 3" xfId="16299" xr:uid="{00000000-0005-0000-0000-00007C300000}"/>
    <cellStyle name="40 % - Aksentti5 12 5_060617_hinnat" xfId="24291" xr:uid="{00000000-0005-0000-0000-00007D300000}"/>
    <cellStyle name="40 % - Aksentti5 12 6" xfId="2780" xr:uid="{00000000-0005-0000-0000-00007E300000}"/>
    <cellStyle name="40 % - Aksentti5 12 6 2" xfId="8107" xr:uid="{00000000-0005-0000-0000-00007F300000}"/>
    <cellStyle name="40 % - Aksentti5 12 6 2 2" xfId="11985" xr:uid="{00000000-0005-0000-0000-000080300000}"/>
    <cellStyle name="40 % - Aksentti5 12 6 2 3" xfId="19747" xr:uid="{00000000-0005-0000-0000-000081300000}"/>
    <cellStyle name="40 % - Aksentti5 12 6 2_DataIX" xfId="31188" xr:uid="{00000000-0005-0000-0000-000082300000}"/>
    <cellStyle name="40 % - Aksentti5 12 6 3" xfId="16300" xr:uid="{00000000-0005-0000-0000-000083300000}"/>
    <cellStyle name="40 % - Aksentti5 12 6_060617_hinnat" xfId="24292" xr:uid="{00000000-0005-0000-0000-000084300000}"/>
    <cellStyle name="40 % - Aksentti5 12 7" xfId="2781" xr:uid="{00000000-0005-0000-0000-000085300000}"/>
    <cellStyle name="40 % - Aksentti5 12 7 2" xfId="8108" xr:uid="{00000000-0005-0000-0000-000086300000}"/>
    <cellStyle name="40 % - Aksentti5 12 7 2 2" xfId="11986" xr:uid="{00000000-0005-0000-0000-000087300000}"/>
    <cellStyle name="40 % - Aksentti5 12 7 2 3" xfId="19748" xr:uid="{00000000-0005-0000-0000-000088300000}"/>
    <cellStyle name="40 % - Aksentti5 12 7 2_DataIX" xfId="31189" xr:uid="{00000000-0005-0000-0000-000089300000}"/>
    <cellStyle name="40 % - Aksentti5 12 7 3" xfId="16301" xr:uid="{00000000-0005-0000-0000-00008A300000}"/>
    <cellStyle name="40 % - Aksentti5 12 7_060617_hinnat" xfId="24293" xr:uid="{00000000-0005-0000-0000-00008B300000}"/>
    <cellStyle name="40 % - Aksentti5 12 8" xfId="2782" xr:uid="{00000000-0005-0000-0000-00008C300000}"/>
    <cellStyle name="40 % - Aksentti5 12 8 2" xfId="8109" xr:uid="{00000000-0005-0000-0000-00008D300000}"/>
    <cellStyle name="40 % - Aksentti5 12 8 2 2" xfId="11987" xr:uid="{00000000-0005-0000-0000-00008E300000}"/>
    <cellStyle name="40 % - Aksentti5 12 8 2 3" xfId="19749" xr:uid="{00000000-0005-0000-0000-00008F300000}"/>
    <cellStyle name="40 % - Aksentti5 12 8 2_DataIX" xfId="31190" xr:uid="{00000000-0005-0000-0000-000090300000}"/>
    <cellStyle name="40 % - Aksentti5 12 8 3" xfId="16302" xr:uid="{00000000-0005-0000-0000-000091300000}"/>
    <cellStyle name="40 % - Aksentti5 12 8_060617_hinnat" xfId="24294" xr:uid="{00000000-0005-0000-0000-000092300000}"/>
    <cellStyle name="40 % - Aksentti5 12 9" xfId="2783" xr:uid="{00000000-0005-0000-0000-000093300000}"/>
    <cellStyle name="40 % - Aksentti5 12 9 2" xfId="8110" xr:uid="{00000000-0005-0000-0000-000094300000}"/>
    <cellStyle name="40 % - Aksentti5 12 9 2 2" xfId="11988" xr:uid="{00000000-0005-0000-0000-000095300000}"/>
    <cellStyle name="40 % - Aksentti5 12 9 2 3" xfId="19750" xr:uid="{00000000-0005-0000-0000-000096300000}"/>
    <cellStyle name="40 % - Aksentti5 12 9 2_DataIX" xfId="31191" xr:uid="{00000000-0005-0000-0000-000097300000}"/>
    <cellStyle name="40 % - Aksentti5 12 9 3" xfId="16303" xr:uid="{00000000-0005-0000-0000-000098300000}"/>
    <cellStyle name="40 % - Aksentti5 12 9_060617_hinnat" xfId="24295" xr:uid="{00000000-0005-0000-0000-000099300000}"/>
    <cellStyle name="40 % - Aksentti5 12_060617_hinnat" xfId="24296" xr:uid="{00000000-0005-0000-0000-00009A300000}"/>
    <cellStyle name="40 % - Aksentti5 13" xfId="2784" xr:uid="{00000000-0005-0000-0000-00009B300000}"/>
    <cellStyle name="40 % - Aksentti5 13 10" xfId="2785" xr:uid="{00000000-0005-0000-0000-00009C300000}"/>
    <cellStyle name="40 % - Aksentti5 13 10 2" xfId="8112" xr:uid="{00000000-0005-0000-0000-00009D300000}"/>
    <cellStyle name="40 % - Aksentti5 13 10 2 2" xfId="11989" xr:uid="{00000000-0005-0000-0000-00009E300000}"/>
    <cellStyle name="40 % - Aksentti5 13 10 2 3" xfId="19752" xr:uid="{00000000-0005-0000-0000-00009F300000}"/>
    <cellStyle name="40 % - Aksentti5 13 10 2_DataIX" xfId="31192" xr:uid="{00000000-0005-0000-0000-0000A0300000}"/>
    <cellStyle name="40 % - Aksentti5 13 10 3" xfId="16305" xr:uid="{00000000-0005-0000-0000-0000A1300000}"/>
    <cellStyle name="40 % - Aksentti5 13 10_060617_hinnat" xfId="24297" xr:uid="{00000000-0005-0000-0000-0000A2300000}"/>
    <cellStyle name="40 % - Aksentti5 13 11" xfId="8111" xr:uid="{00000000-0005-0000-0000-0000A3300000}"/>
    <cellStyle name="40 % - Aksentti5 13 11 2" xfId="11990" xr:uid="{00000000-0005-0000-0000-0000A4300000}"/>
    <cellStyle name="40 % - Aksentti5 13 11 3" xfId="19751" xr:uid="{00000000-0005-0000-0000-0000A5300000}"/>
    <cellStyle name="40 % - Aksentti5 13 11_DataIX" xfId="31193" xr:uid="{00000000-0005-0000-0000-0000A6300000}"/>
    <cellStyle name="40 % - Aksentti5 13 12" xfId="16304" xr:uid="{00000000-0005-0000-0000-0000A7300000}"/>
    <cellStyle name="40 % - Aksentti5 13 2" xfId="2786" xr:uid="{00000000-0005-0000-0000-0000A8300000}"/>
    <cellStyle name="40 % - Aksentti5 13 2 2" xfId="2787" xr:uid="{00000000-0005-0000-0000-0000A9300000}"/>
    <cellStyle name="40 % - Aksentti5 13 2 2 2" xfId="8114" xr:uid="{00000000-0005-0000-0000-0000AA300000}"/>
    <cellStyle name="40 % - Aksentti5 13 2 2 2 2" xfId="11991" xr:uid="{00000000-0005-0000-0000-0000AB300000}"/>
    <cellStyle name="40 % - Aksentti5 13 2 2 2 3" xfId="19754" xr:uid="{00000000-0005-0000-0000-0000AC300000}"/>
    <cellStyle name="40 % - Aksentti5 13 2 2 2_DataIX" xfId="31194" xr:uid="{00000000-0005-0000-0000-0000AD300000}"/>
    <cellStyle name="40 % - Aksentti5 13 2 2 3" xfId="16307" xr:uid="{00000000-0005-0000-0000-0000AE300000}"/>
    <cellStyle name="40 % - Aksentti5 13 2 2_060617_hinnat" xfId="24298" xr:uid="{00000000-0005-0000-0000-0000AF300000}"/>
    <cellStyle name="40 % - Aksentti5 13 2 3" xfId="8113" xr:uid="{00000000-0005-0000-0000-0000B0300000}"/>
    <cellStyle name="40 % - Aksentti5 13 2 3 2" xfId="11992" xr:uid="{00000000-0005-0000-0000-0000B1300000}"/>
    <cellStyle name="40 % - Aksentti5 13 2 3 3" xfId="19753" xr:uid="{00000000-0005-0000-0000-0000B2300000}"/>
    <cellStyle name="40 % - Aksentti5 13 2 3_DataIX" xfId="31195" xr:uid="{00000000-0005-0000-0000-0000B3300000}"/>
    <cellStyle name="40 % - Aksentti5 13 2 4" xfId="16306" xr:uid="{00000000-0005-0000-0000-0000B4300000}"/>
    <cellStyle name="40 % - Aksentti5 13 2_060617_hinnat" xfId="24299" xr:uid="{00000000-0005-0000-0000-0000B5300000}"/>
    <cellStyle name="40 % - Aksentti5 13 3" xfId="2788" xr:uid="{00000000-0005-0000-0000-0000B6300000}"/>
    <cellStyle name="40 % - Aksentti5 13 3 2" xfId="8115" xr:uid="{00000000-0005-0000-0000-0000B7300000}"/>
    <cellStyle name="40 % - Aksentti5 13 3 2 2" xfId="11993" xr:uid="{00000000-0005-0000-0000-0000B8300000}"/>
    <cellStyle name="40 % - Aksentti5 13 3 2 3" xfId="19755" xr:uid="{00000000-0005-0000-0000-0000B9300000}"/>
    <cellStyle name="40 % - Aksentti5 13 3 2_DataIX" xfId="31196" xr:uid="{00000000-0005-0000-0000-0000BA300000}"/>
    <cellStyle name="40 % - Aksentti5 13 3 3" xfId="16308" xr:uid="{00000000-0005-0000-0000-0000BB300000}"/>
    <cellStyle name="40 % - Aksentti5 13 3_060617_hinnat" xfId="24300" xr:uid="{00000000-0005-0000-0000-0000BC300000}"/>
    <cellStyle name="40 % - Aksentti5 13 4" xfId="2789" xr:uid="{00000000-0005-0000-0000-0000BD300000}"/>
    <cellStyle name="40 % - Aksentti5 13 4 2" xfId="8116" xr:uid="{00000000-0005-0000-0000-0000BE300000}"/>
    <cellStyle name="40 % - Aksentti5 13 4 2 2" xfId="11994" xr:uid="{00000000-0005-0000-0000-0000BF300000}"/>
    <cellStyle name="40 % - Aksentti5 13 4 2 3" xfId="19756" xr:uid="{00000000-0005-0000-0000-0000C0300000}"/>
    <cellStyle name="40 % - Aksentti5 13 4 2_DataIX" xfId="31197" xr:uid="{00000000-0005-0000-0000-0000C1300000}"/>
    <cellStyle name="40 % - Aksentti5 13 4 3" xfId="16309" xr:uid="{00000000-0005-0000-0000-0000C2300000}"/>
    <cellStyle name="40 % - Aksentti5 13 4_060617_hinnat" xfId="24302" xr:uid="{00000000-0005-0000-0000-0000C3300000}"/>
    <cellStyle name="40 % - Aksentti5 13 5" xfId="2790" xr:uid="{00000000-0005-0000-0000-0000C4300000}"/>
    <cellStyle name="40 % - Aksentti5 13 5 2" xfId="8117" xr:uid="{00000000-0005-0000-0000-0000C5300000}"/>
    <cellStyle name="40 % - Aksentti5 13 5 2 2" xfId="11995" xr:uid="{00000000-0005-0000-0000-0000C6300000}"/>
    <cellStyle name="40 % - Aksentti5 13 5 2 3" xfId="19757" xr:uid="{00000000-0005-0000-0000-0000C7300000}"/>
    <cellStyle name="40 % - Aksentti5 13 5 2_DataIX" xfId="31198" xr:uid="{00000000-0005-0000-0000-0000C8300000}"/>
    <cellStyle name="40 % - Aksentti5 13 5 3" xfId="16310" xr:uid="{00000000-0005-0000-0000-0000C9300000}"/>
    <cellStyle name="40 % - Aksentti5 13 5_060617_hinnat" xfId="24303" xr:uid="{00000000-0005-0000-0000-0000CA300000}"/>
    <cellStyle name="40 % - Aksentti5 13 6" xfId="2791" xr:uid="{00000000-0005-0000-0000-0000CB300000}"/>
    <cellStyle name="40 % - Aksentti5 13 6 2" xfId="8118" xr:uid="{00000000-0005-0000-0000-0000CC300000}"/>
    <cellStyle name="40 % - Aksentti5 13 6 2 2" xfId="11996" xr:uid="{00000000-0005-0000-0000-0000CD300000}"/>
    <cellStyle name="40 % - Aksentti5 13 6 2 3" xfId="19758" xr:uid="{00000000-0005-0000-0000-0000CE300000}"/>
    <cellStyle name="40 % - Aksentti5 13 6 2_DataIX" xfId="31199" xr:uid="{00000000-0005-0000-0000-0000CF300000}"/>
    <cellStyle name="40 % - Aksentti5 13 6 3" xfId="16311" xr:uid="{00000000-0005-0000-0000-0000D0300000}"/>
    <cellStyle name="40 % - Aksentti5 13 6_060617_hinnat" xfId="24304" xr:uid="{00000000-0005-0000-0000-0000D1300000}"/>
    <cellStyle name="40 % - Aksentti5 13 7" xfId="2792" xr:uid="{00000000-0005-0000-0000-0000D2300000}"/>
    <cellStyle name="40 % - Aksentti5 13 7 2" xfId="8119" xr:uid="{00000000-0005-0000-0000-0000D3300000}"/>
    <cellStyle name="40 % - Aksentti5 13 7 2 2" xfId="11997" xr:uid="{00000000-0005-0000-0000-0000D4300000}"/>
    <cellStyle name="40 % - Aksentti5 13 7 2 3" xfId="19759" xr:uid="{00000000-0005-0000-0000-0000D5300000}"/>
    <cellStyle name="40 % - Aksentti5 13 7 2_DataIX" xfId="31200" xr:uid="{00000000-0005-0000-0000-0000D6300000}"/>
    <cellStyle name="40 % - Aksentti5 13 7 3" xfId="16312" xr:uid="{00000000-0005-0000-0000-0000D7300000}"/>
    <cellStyle name="40 % - Aksentti5 13 7_060617_hinnat" xfId="24306" xr:uid="{00000000-0005-0000-0000-0000D8300000}"/>
    <cellStyle name="40 % - Aksentti5 13 8" xfId="2793" xr:uid="{00000000-0005-0000-0000-0000D9300000}"/>
    <cellStyle name="40 % - Aksentti5 13 8 2" xfId="8120" xr:uid="{00000000-0005-0000-0000-0000DA300000}"/>
    <cellStyle name="40 % - Aksentti5 13 8 2 2" xfId="11998" xr:uid="{00000000-0005-0000-0000-0000DB300000}"/>
    <cellStyle name="40 % - Aksentti5 13 8 2 3" xfId="19760" xr:uid="{00000000-0005-0000-0000-0000DC300000}"/>
    <cellStyle name="40 % - Aksentti5 13 8 2_DataIX" xfId="31201" xr:uid="{00000000-0005-0000-0000-0000DD300000}"/>
    <cellStyle name="40 % - Aksentti5 13 8 3" xfId="16313" xr:uid="{00000000-0005-0000-0000-0000DE300000}"/>
    <cellStyle name="40 % - Aksentti5 13 8_060617_hinnat" xfId="24307" xr:uid="{00000000-0005-0000-0000-0000DF300000}"/>
    <cellStyle name="40 % - Aksentti5 13 9" xfId="2794" xr:uid="{00000000-0005-0000-0000-0000E0300000}"/>
    <cellStyle name="40 % - Aksentti5 13 9 2" xfId="8121" xr:uid="{00000000-0005-0000-0000-0000E1300000}"/>
    <cellStyle name="40 % - Aksentti5 13 9 2 2" xfId="11999" xr:uid="{00000000-0005-0000-0000-0000E2300000}"/>
    <cellStyle name="40 % - Aksentti5 13 9 2 3" xfId="19761" xr:uid="{00000000-0005-0000-0000-0000E3300000}"/>
    <cellStyle name="40 % - Aksentti5 13 9 2_DataIX" xfId="31202" xr:uid="{00000000-0005-0000-0000-0000E4300000}"/>
    <cellStyle name="40 % - Aksentti5 13 9 3" xfId="16314" xr:uid="{00000000-0005-0000-0000-0000E5300000}"/>
    <cellStyle name="40 % - Aksentti5 13 9_060617_hinnat" xfId="24308" xr:uid="{00000000-0005-0000-0000-0000E6300000}"/>
    <cellStyle name="40 % - Aksentti5 13_060617_hinnat" xfId="24309" xr:uid="{00000000-0005-0000-0000-0000E7300000}"/>
    <cellStyle name="40 % - Aksentti5 14" xfId="2795" xr:uid="{00000000-0005-0000-0000-0000E8300000}"/>
    <cellStyle name="40 % - Aksentti5 14 10" xfId="2796" xr:uid="{00000000-0005-0000-0000-0000E9300000}"/>
    <cellStyle name="40 % - Aksentti5 14 10 2" xfId="8123" xr:uid="{00000000-0005-0000-0000-0000EA300000}"/>
    <cellStyle name="40 % - Aksentti5 14 10 2 2" xfId="12000" xr:uid="{00000000-0005-0000-0000-0000EB300000}"/>
    <cellStyle name="40 % - Aksentti5 14 10 2 3" xfId="19763" xr:uid="{00000000-0005-0000-0000-0000EC300000}"/>
    <cellStyle name="40 % - Aksentti5 14 10 2_DataIX" xfId="31203" xr:uid="{00000000-0005-0000-0000-0000ED300000}"/>
    <cellStyle name="40 % - Aksentti5 14 10 3" xfId="16316" xr:uid="{00000000-0005-0000-0000-0000EE300000}"/>
    <cellStyle name="40 % - Aksentti5 14 10_060617_hinnat" xfId="24310" xr:uid="{00000000-0005-0000-0000-0000EF300000}"/>
    <cellStyle name="40 % - Aksentti5 14 11" xfId="8122" xr:uid="{00000000-0005-0000-0000-0000F0300000}"/>
    <cellStyle name="40 % - Aksentti5 14 11 2" xfId="12001" xr:uid="{00000000-0005-0000-0000-0000F1300000}"/>
    <cellStyle name="40 % - Aksentti5 14 11 3" xfId="19762" xr:uid="{00000000-0005-0000-0000-0000F2300000}"/>
    <cellStyle name="40 % - Aksentti5 14 11_DataIX" xfId="31204" xr:uid="{00000000-0005-0000-0000-0000F3300000}"/>
    <cellStyle name="40 % - Aksentti5 14 12" xfId="16315" xr:uid="{00000000-0005-0000-0000-0000F4300000}"/>
    <cellStyle name="40 % - Aksentti5 14 2" xfId="2797" xr:uid="{00000000-0005-0000-0000-0000F5300000}"/>
    <cellStyle name="40 % - Aksentti5 14 2 2" xfId="2798" xr:uid="{00000000-0005-0000-0000-0000F6300000}"/>
    <cellStyle name="40 % - Aksentti5 14 2 2 2" xfId="8125" xr:uid="{00000000-0005-0000-0000-0000F7300000}"/>
    <cellStyle name="40 % - Aksentti5 14 2 2 2 2" xfId="12002" xr:uid="{00000000-0005-0000-0000-0000F8300000}"/>
    <cellStyle name="40 % - Aksentti5 14 2 2 2 3" xfId="19765" xr:uid="{00000000-0005-0000-0000-0000F9300000}"/>
    <cellStyle name="40 % - Aksentti5 14 2 2 2_DataIX" xfId="31205" xr:uid="{00000000-0005-0000-0000-0000FA300000}"/>
    <cellStyle name="40 % - Aksentti5 14 2 2 3" xfId="16318" xr:uid="{00000000-0005-0000-0000-0000FB300000}"/>
    <cellStyle name="40 % - Aksentti5 14 2 2_060617_hinnat" xfId="24311" xr:uid="{00000000-0005-0000-0000-0000FC300000}"/>
    <cellStyle name="40 % - Aksentti5 14 2 3" xfId="8124" xr:uid="{00000000-0005-0000-0000-0000FD300000}"/>
    <cellStyle name="40 % - Aksentti5 14 2 3 2" xfId="12003" xr:uid="{00000000-0005-0000-0000-0000FE300000}"/>
    <cellStyle name="40 % - Aksentti5 14 2 3 3" xfId="19764" xr:uid="{00000000-0005-0000-0000-0000FF300000}"/>
    <cellStyle name="40 % - Aksentti5 14 2 3_DataIX" xfId="31206" xr:uid="{00000000-0005-0000-0000-000000310000}"/>
    <cellStyle name="40 % - Aksentti5 14 2 4" xfId="16317" xr:uid="{00000000-0005-0000-0000-000001310000}"/>
    <cellStyle name="40 % - Aksentti5 14 2_060617_hinnat" xfId="24312" xr:uid="{00000000-0005-0000-0000-000002310000}"/>
    <cellStyle name="40 % - Aksentti5 14 3" xfId="2799" xr:uid="{00000000-0005-0000-0000-000003310000}"/>
    <cellStyle name="40 % - Aksentti5 14 3 2" xfId="8126" xr:uid="{00000000-0005-0000-0000-000004310000}"/>
    <cellStyle name="40 % - Aksentti5 14 3 2 2" xfId="12004" xr:uid="{00000000-0005-0000-0000-000005310000}"/>
    <cellStyle name="40 % - Aksentti5 14 3 2 3" xfId="19766" xr:uid="{00000000-0005-0000-0000-000006310000}"/>
    <cellStyle name="40 % - Aksentti5 14 3 2_DataIX" xfId="31207" xr:uid="{00000000-0005-0000-0000-000007310000}"/>
    <cellStyle name="40 % - Aksentti5 14 3 3" xfId="16319" xr:uid="{00000000-0005-0000-0000-000008310000}"/>
    <cellStyle name="40 % - Aksentti5 14 3_060617_hinnat" xfId="24313" xr:uid="{00000000-0005-0000-0000-000009310000}"/>
    <cellStyle name="40 % - Aksentti5 14 4" xfId="2800" xr:uid="{00000000-0005-0000-0000-00000A310000}"/>
    <cellStyle name="40 % - Aksentti5 14 4 2" xfId="8127" xr:uid="{00000000-0005-0000-0000-00000B310000}"/>
    <cellStyle name="40 % - Aksentti5 14 4 2 2" xfId="12005" xr:uid="{00000000-0005-0000-0000-00000C310000}"/>
    <cellStyle name="40 % - Aksentti5 14 4 2 3" xfId="19767" xr:uid="{00000000-0005-0000-0000-00000D310000}"/>
    <cellStyle name="40 % - Aksentti5 14 4 2_DataIX" xfId="31208" xr:uid="{00000000-0005-0000-0000-00000E310000}"/>
    <cellStyle name="40 % - Aksentti5 14 4 3" xfId="16320" xr:uid="{00000000-0005-0000-0000-00000F310000}"/>
    <cellStyle name="40 % - Aksentti5 14 4_060617_hinnat" xfId="24314" xr:uid="{00000000-0005-0000-0000-000010310000}"/>
    <cellStyle name="40 % - Aksentti5 14 5" xfId="2801" xr:uid="{00000000-0005-0000-0000-000011310000}"/>
    <cellStyle name="40 % - Aksentti5 14 5 2" xfId="8128" xr:uid="{00000000-0005-0000-0000-000012310000}"/>
    <cellStyle name="40 % - Aksentti5 14 5 2 2" xfId="12006" xr:uid="{00000000-0005-0000-0000-000013310000}"/>
    <cellStyle name="40 % - Aksentti5 14 5 2 3" xfId="19768" xr:uid="{00000000-0005-0000-0000-000014310000}"/>
    <cellStyle name="40 % - Aksentti5 14 5 2_DataIX" xfId="31209" xr:uid="{00000000-0005-0000-0000-000015310000}"/>
    <cellStyle name="40 % - Aksentti5 14 5 3" xfId="16321" xr:uid="{00000000-0005-0000-0000-000016310000}"/>
    <cellStyle name="40 % - Aksentti5 14 5_060617_hinnat" xfId="24315" xr:uid="{00000000-0005-0000-0000-000017310000}"/>
    <cellStyle name="40 % - Aksentti5 14 6" xfId="2802" xr:uid="{00000000-0005-0000-0000-000018310000}"/>
    <cellStyle name="40 % - Aksentti5 14 6 2" xfId="8129" xr:uid="{00000000-0005-0000-0000-000019310000}"/>
    <cellStyle name="40 % - Aksentti5 14 6 2 2" xfId="12007" xr:uid="{00000000-0005-0000-0000-00001A310000}"/>
    <cellStyle name="40 % - Aksentti5 14 6 2 3" xfId="19769" xr:uid="{00000000-0005-0000-0000-00001B310000}"/>
    <cellStyle name="40 % - Aksentti5 14 6 2_DataIX" xfId="31210" xr:uid="{00000000-0005-0000-0000-00001C310000}"/>
    <cellStyle name="40 % - Aksentti5 14 6 3" xfId="16322" xr:uid="{00000000-0005-0000-0000-00001D310000}"/>
    <cellStyle name="40 % - Aksentti5 14 6_060617_hinnat" xfId="24316" xr:uid="{00000000-0005-0000-0000-00001E310000}"/>
    <cellStyle name="40 % - Aksentti5 14 7" xfId="2803" xr:uid="{00000000-0005-0000-0000-00001F310000}"/>
    <cellStyle name="40 % - Aksentti5 14 7 2" xfId="8130" xr:uid="{00000000-0005-0000-0000-000020310000}"/>
    <cellStyle name="40 % - Aksentti5 14 7 2 2" xfId="12008" xr:uid="{00000000-0005-0000-0000-000021310000}"/>
    <cellStyle name="40 % - Aksentti5 14 7 2 3" xfId="19770" xr:uid="{00000000-0005-0000-0000-000022310000}"/>
    <cellStyle name="40 % - Aksentti5 14 7 2_DataIX" xfId="31211" xr:uid="{00000000-0005-0000-0000-000023310000}"/>
    <cellStyle name="40 % - Aksentti5 14 7 3" xfId="16323" xr:uid="{00000000-0005-0000-0000-000024310000}"/>
    <cellStyle name="40 % - Aksentti5 14 7_060617_hinnat" xfId="24317" xr:uid="{00000000-0005-0000-0000-000025310000}"/>
    <cellStyle name="40 % - Aksentti5 14 8" xfId="2804" xr:uid="{00000000-0005-0000-0000-000026310000}"/>
    <cellStyle name="40 % - Aksentti5 14 8 2" xfId="8131" xr:uid="{00000000-0005-0000-0000-000027310000}"/>
    <cellStyle name="40 % - Aksentti5 14 8 2 2" xfId="12009" xr:uid="{00000000-0005-0000-0000-000028310000}"/>
    <cellStyle name="40 % - Aksentti5 14 8 2 3" xfId="19771" xr:uid="{00000000-0005-0000-0000-000029310000}"/>
    <cellStyle name="40 % - Aksentti5 14 8 2_DataIX" xfId="31212" xr:uid="{00000000-0005-0000-0000-00002A310000}"/>
    <cellStyle name="40 % - Aksentti5 14 8 3" xfId="16324" xr:uid="{00000000-0005-0000-0000-00002B310000}"/>
    <cellStyle name="40 % - Aksentti5 14 8_060617_hinnat" xfId="24318" xr:uid="{00000000-0005-0000-0000-00002C310000}"/>
    <cellStyle name="40 % - Aksentti5 14 9" xfId="2805" xr:uid="{00000000-0005-0000-0000-00002D310000}"/>
    <cellStyle name="40 % - Aksentti5 14 9 2" xfId="8132" xr:uid="{00000000-0005-0000-0000-00002E310000}"/>
    <cellStyle name="40 % - Aksentti5 14 9 2 2" xfId="12010" xr:uid="{00000000-0005-0000-0000-00002F310000}"/>
    <cellStyle name="40 % - Aksentti5 14 9 2 3" xfId="19772" xr:uid="{00000000-0005-0000-0000-000030310000}"/>
    <cellStyle name="40 % - Aksentti5 14 9 2_DataIX" xfId="31213" xr:uid="{00000000-0005-0000-0000-000031310000}"/>
    <cellStyle name="40 % - Aksentti5 14 9 3" xfId="16325" xr:uid="{00000000-0005-0000-0000-000032310000}"/>
    <cellStyle name="40 % - Aksentti5 14 9_060617_hinnat" xfId="24319" xr:uid="{00000000-0005-0000-0000-000033310000}"/>
    <cellStyle name="40 % - Aksentti5 14_060617_hinnat" xfId="24320" xr:uid="{00000000-0005-0000-0000-000034310000}"/>
    <cellStyle name="40 % - Aksentti5 15" xfId="2806" xr:uid="{00000000-0005-0000-0000-000035310000}"/>
    <cellStyle name="40 % - Aksentti5 15 10" xfId="2807" xr:uid="{00000000-0005-0000-0000-000036310000}"/>
    <cellStyle name="40 % - Aksentti5 15 10 2" xfId="8134" xr:uid="{00000000-0005-0000-0000-000037310000}"/>
    <cellStyle name="40 % - Aksentti5 15 10 2 2" xfId="12011" xr:uid="{00000000-0005-0000-0000-000038310000}"/>
    <cellStyle name="40 % - Aksentti5 15 10 2 3" xfId="19774" xr:uid="{00000000-0005-0000-0000-000039310000}"/>
    <cellStyle name="40 % - Aksentti5 15 10 2_DataIX" xfId="31214" xr:uid="{00000000-0005-0000-0000-00003A310000}"/>
    <cellStyle name="40 % - Aksentti5 15 10 3" xfId="16327" xr:uid="{00000000-0005-0000-0000-00003B310000}"/>
    <cellStyle name="40 % - Aksentti5 15 10_060617_hinnat" xfId="24321" xr:uid="{00000000-0005-0000-0000-00003C310000}"/>
    <cellStyle name="40 % - Aksentti5 15 11" xfId="8133" xr:uid="{00000000-0005-0000-0000-00003D310000}"/>
    <cellStyle name="40 % - Aksentti5 15 11 2" xfId="12012" xr:uid="{00000000-0005-0000-0000-00003E310000}"/>
    <cellStyle name="40 % - Aksentti5 15 11 3" xfId="19773" xr:uid="{00000000-0005-0000-0000-00003F310000}"/>
    <cellStyle name="40 % - Aksentti5 15 11_DataIX" xfId="31215" xr:uid="{00000000-0005-0000-0000-000040310000}"/>
    <cellStyle name="40 % - Aksentti5 15 12" xfId="16326" xr:uid="{00000000-0005-0000-0000-000041310000}"/>
    <cellStyle name="40 % - Aksentti5 15 2" xfId="2808" xr:uid="{00000000-0005-0000-0000-000042310000}"/>
    <cellStyle name="40 % - Aksentti5 15 2 2" xfId="2809" xr:uid="{00000000-0005-0000-0000-000043310000}"/>
    <cellStyle name="40 % - Aksentti5 15 2 2 2" xfId="8136" xr:uid="{00000000-0005-0000-0000-000044310000}"/>
    <cellStyle name="40 % - Aksentti5 15 2 2 2 2" xfId="12013" xr:uid="{00000000-0005-0000-0000-000045310000}"/>
    <cellStyle name="40 % - Aksentti5 15 2 2 2 3" xfId="19776" xr:uid="{00000000-0005-0000-0000-000046310000}"/>
    <cellStyle name="40 % - Aksentti5 15 2 2 2_DataIX" xfId="31216" xr:uid="{00000000-0005-0000-0000-000047310000}"/>
    <cellStyle name="40 % - Aksentti5 15 2 2 3" xfId="16329" xr:uid="{00000000-0005-0000-0000-000048310000}"/>
    <cellStyle name="40 % - Aksentti5 15 2 2_060617_hinnat" xfId="24322" xr:uid="{00000000-0005-0000-0000-000049310000}"/>
    <cellStyle name="40 % - Aksentti5 15 2 3" xfId="8135" xr:uid="{00000000-0005-0000-0000-00004A310000}"/>
    <cellStyle name="40 % - Aksentti5 15 2 3 2" xfId="12014" xr:uid="{00000000-0005-0000-0000-00004B310000}"/>
    <cellStyle name="40 % - Aksentti5 15 2 3 3" xfId="19775" xr:uid="{00000000-0005-0000-0000-00004C310000}"/>
    <cellStyle name="40 % - Aksentti5 15 2 3_DataIX" xfId="31217" xr:uid="{00000000-0005-0000-0000-00004D310000}"/>
    <cellStyle name="40 % - Aksentti5 15 2 4" xfId="16328" xr:uid="{00000000-0005-0000-0000-00004E310000}"/>
    <cellStyle name="40 % - Aksentti5 15 2_060617_hinnat" xfId="24323" xr:uid="{00000000-0005-0000-0000-00004F310000}"/>
    <cellStyle name="40 % - Aksentti5 15 3" xfId="2810" xr:uid="{00000000-0005-0000-0000-000050310000}"/>
    <cellStyle name="40 % - Aksentti5 15 3 2" xfId="8137" xr:uid="{00000000-0005-0000-0000-000051310000}"/>
    <cellStyle name="40 % - Aksentti5 15 3 2 2" xfId="12015" xr:uid="{00000000-0005-0000-0000-000052310000}"/>
    <cellStyle name="40 % - Aksentti5 15 3 2 3" xfId="19777" xr:uid="{00000000-0005-0000-0000-000053310000}"/>
    <cellStyle name="40 % - Aksentti5 15 3 2_DataIX" xfId="31218" xr:uid="{00000000-0005-0000-0000-000054310000}"/>
    <cellStyle name="40 % - Aksentti5 15 3 3" xfId="16330" xr:uid="{00000000-0005-0000-0000-000055310000}"/>
    <cellStyle name="40 % - Aksentti5 15 3_060617_hinnat" xfId="24324" xr:uid="{00000000-0005-0000-0000-000056310000}"/>
    <cellStyle name="40 % - Aksentti5 15 4" xfId="2811" xr:uid="{00000000-0005-0000-0000-000057310000}"/>
    <cellStyle name="40 % - Aksentti5 15 4 2" xfId="8138" xr:uid="{00000000-0005-0000-0000-000058310000}"/>
    <cellStyle name="40 % - Aksentti5 15 4 2 2" xfId="12016" xr:uid="{00000000-0005-0000-0000-000059310000}"/>
    <cellStyle name="40 % - Aksentti5 15 4 2 3" xfId="19778" xr:uid="{00000000-0005-0000-0000-00005A310000}"/>
    <cellStyle name="40 % - Aksentti5 15 4 2_DataIX" xfId="31219" xr:uid="{00000000-0005-0000-0000-00005B310000}"/>
    <cellStyle name="40 % - Aksentti5 15 4 3" xfId="16331" xr:uid="{00000000-0005-0000-0000-00005C310000}"/>
    <cellStyle name="40 % - Aksentti5 15 4_060617_hinnat" xfId="24325" xr:uid="{00000000-0005-0000-0000-00005D310000}"/>
    <cellStyle name="40 % - Aksentti5 15 5" xfId="2812" xr:uid="{00000000-0005-0000-0000-00005E310000}"/>
    <cellStyle name="40 % - Aksentti5 15 5 2" xfId="8139" xr:uid="{00000000-0005-0000-0000-00005F310000}"/>
    <cellStyle name="40 % - Aksentti5 15 5 2 2" xfId="12017" xr:uid="{00000000-0005-0000-0000-000060310000}"/>
    <cellStyle name="40 % - Aksentti5 15 5 2 3" xfId="19779" xr:uid="{00000000-0005-0000-0000-000061310000}"/>
    <cellStyle name="40 % - Aksentti5 15 5 2_DataIX" xfId="31220" xr:uid="{00000000-0005-0000-0000-000062310000}"/>
    <cellStyle name="40 % - Aksentti5 15 5 3" xfId="16332" xr:uid="{00000000-0005-0000-0000-000063310000}"/>
    <cellStyle name="40 % - Aksentti5 15 5_060617_hinnat" xfId="24326" xr:uid="{00000000-0005-0000-0000-000064310000}"/>
    <cellStyle name="40 % - Aksentti5 15 6" xfId="2813" xr:uid="{00000000-0005-0000-0000-000065310000}"/>
    <cellStyle name="40 % - Aksentti5 15 6 2" xfId="8140" xr:uid="{00000000-0005-0000-0000-000066310000}"/>
    <cellStyle name="40 % - Aksentti5 15 6 2 2" xfId="12018" xr:uid="{00000000-0005-0000-0000-000067310000}"/>
    <cellStyle name="40 % - Aksentti5 15 6 2 3" xfId="19780" xr:uid="{00000000-0005-0000-0000-000068310000}"/>
    <cellStyle name="40 % - Aksentti5 15 6 2_DataIX" xfId="31221" xr:uid="{00000000-0005-0000-0000-000069310000}"/>
    <cellStyle name="40 % - Aksentti5 15 6 3" xfId="16333" xr:uid="{00000000-0005-0000-0000-00006A310000}"/>
    <cellStyle name="40 % - Aksentti5 15 6_060617_hinnat" xfId="24327" xr:uid="{00000000-0005-0000-0000-00006B310000}"/>
    <cellStyle name="40 % - Aksentti5 15 7" xfId="2814" xr:uid="{00000000-0005-0000-0000-00006C310000}"/>
    <cellStyle name="40 % - Aksentti5 15 7 2" xfId="8141" xr:uid="{00000000-0005-0000-0000-00006D310000}"/>
    <cellStyle name="40 % - Aksentti5 15 7 2 2" xfId="12019" xr:uid="{00000000-0005-0000-0000-00006E310000}"/>
    <cellStyle name="40 % - Aksentti5 15 7 2 3" xfId="19781" xr:uid="{00000000-0005-0000-0000-00006F310000}"/>
    <cellStyle name="40 % - Aksentti5 15 7 2_DataIX" xfId="31222" xr:uid="{00000000-0005-0000-0000-000070310000}"/>
    <cellStyle name="40 % - Aksentti5 15 7 3" xfId="16334" xr:uid="{00000000-0005-0000-0000-000071310000}"/>
    <cellStyle name="40 % - Aksentti5 15 7_060617_hinnat" xfId="24328" xr:uid="{00000000-0005-0000-0000-000072310000}"/>
    <cellStyle name="40 % - Aksentti5 15 8" xfId="2815" xr:uid="{00000000-0005-0000-0000-000073310000}"/>
    <cellStyle name="40 % - Aksentti5 15 8 2" xfId="8142" xr:uid="{00000000-0005-0000-0000-000074310000}"/>
    <cellStyle name="40 % - Aksentti5 15 8 2 2" xfId="12020" xr:uid="{00000000-0005-0000-0000-000075310000}"/>
    <cellStyle name="40 % - Aksentti5 15 8 2 3" xfId="19782" xr:uid="{00000000-0005-0000-0000-000076310000}"/>
    <cellStyle name="40 % - Aksentti5 15 8 2_DataIX" xfId="31223" xr:uid="{00000000-0005-0000-0000-000077310000}"/>
    <cellStyle name="40 % - Aksentti5 15 8 3" xfId="16335" xr:uid="{00000000-0005-0000-0000-000078310000}"/>
    <cellStyle name="40 % - Aksentti5 15 8_060617_hinnat" xfId="24329" xr:uid="{00000000-0005-0000-0000-000079310000}"/>
    <cellStyle name="40 % - Aksentti5 15 9" xfId="2816" xr:uid="{00000000-0005-0000-0000-00007A310000}"/>
    <cellStyle name="40 % - Aksentti5 15 9 2" xfId="8143" xr:uid="{00000000-0005-0000-0000-00007B310000}"/>
    <cellStyle name="40 % - Aksentti5 15 9 2 2" xfId="12021" xr:uid="{00000000-0005-0000-0000-00007C310000}"/>
    <cellStyle name="40 % - Aksentti5 15 9 2 3" xfId="19783" xr:uid="{00000000-0005-0000-0000-00007D310000}"/>
    <cellStyle name="40 % - Aksentti5 15 9 2_DataIX" xfId="31224" xr:uid="{00000000-0005-0000-0000-00007E310000}"/>
    <cellStyle name="40 % - Aksentti5 15 9 3" xfId="16336" xr:uid="{00000000-0005-0000-0000-00007F310000}"/>
    <cellStyle name="40 % - Aksentti5 15 9_060617_hinnat" xfId="24330" xr:uid="{00000000-0005-0000-0000-000080310000}"/>
    <cellStyle name="40 % - Aksentti5 15_060617_hinnat" xfId="24331" xr:uid="{00000000-0005-0000-0000-000081310000}"/>
    <cellStyle name="40 % - Aksentti5 16" xfId="2817" xr:uid="{00000000-0005-0000-0000-000082310000}"/>
    <cellStyle name="40 % - Aksentti5 16 2" xfId="8144" xr:uid="{00000000-0005-0000-0000-000083310000}"/>
    <cellStyle name="40 % - Aksentti5 16 2 2" xfId="12022" xr:uid="{00000000-0005-0000-0000-000084310000}"/>
    <cellStyle name="40 % - Aksentti5 16 2 3" xfId="19784" xr:uid="{00000000-0005-0000-0000-000085310000}"/>
    <cellStyle name="40 % - Aksentti5 16 2_DataIX" xfId="31225" xr:uid="{00000000-0005-0000-0000-000086310000}"/>
    <cellStyle name="40 % - Aksentti5 16 3" xfId="16337" xr:uid="{00000000-0005-0000-0000-000087310000}"/>
    <cellStyle name="40 % - Aksentti5 16_060617_hinnat" xfId="24332" xr:uid="{00000000-0005-0000-0000-000088310000}"/>
    <cellStyle name="40 % - Aksentti5 17" xfId="2818" xr:uid="{00000000-0005-0000-0000-000089310000}"/>
    <cellStyle name="40 % - Aksentti5 17 2" xfId="8145" xr:uid="{00000000-0005-0000-0000-00008A310000}"/>
    <cellStyle name="40 % - Aksentti5 17 2 2" xfId="12023" xr:uid="{00000000-0005-0000-0000-00008B310000}"/>
    <cellStyle name="40 % - Aksentti5 17 2 3" xfId="19785" xr:uid="{00000000-0005-0000-0000-00008C310000}"/>
    <cellStyle name="40 % - Aksentti5 17 2_DataIX" xfId="31226" xr:uid="{00000000-0005-0000-0000-00008D310000}"/>
    <cellStyle name="40 % - Aksentti5 17 3" xfId="16338" xr:uid="{00000000-0005-0000-0000-00008E310000}"/>
    <cellStyle name="40 % - Aksentti5 17_060617_hinnat" xfId="24333" xr:uid="{00000000-0005-0000-0000-00008F310000}"/>
    <cellStyle name="40 % - Aksentti5 18" xfId="2819" xr:uid="{00000000-0005-0000-0000-000090310000}"/>
    <cellStyle name="40 % - Aksentti5 18 2" xfId="8146" xr:uid="{00000000-0005-0000-0000-000091310000}"/>
    <cellStyle name="40 % - Aksentti5 18 2 2" xfId="12024" xr:uid="{00000000-0005-0000-0000-000092310000}"/>
    <cellStyle name="40 % - Aksentti5 18 2 3" xfId="19786" xr:uid="{00000000-0005-0000-0000-000093310000}"/>
    <cellStyle name="40 % - Aksentti5 18 2_DataIX" xfId="31227" xr:uid="{00000000-0005-0000-0000-000094310000}"/>
    <cellStyle name="40 % - Aksentti5 18 3" xfId="16339" xr:uid="{00000000-0005-0000-0000-000095310000}"/>
    <cellStyle name="40 % - Aksentti5 18_060617_hinnat" xfId="24334" xr:uid="{00000000-0005-0000-0000-000096310000}"/>
    <cellStyle name="40 % - Aksentti5 19" xfId="2820" xr:uid="{00000000-0005-0000-0000-000097310000}"/>
    <cellStyle name="40 % - Aksentti5 19 2" xfId="8147" xr:uid="{00000000-0005-0000-0000-000098310000}"/>
    <cellStyle name="40 % - Aksentti5 19 2 2" xfId="12025" xr:uid="{00000000-0005-0000-0000-000099310000}"/>
    <cellStyle name="40 % - Aksentti5 19 2 3" xfId="19787" xr:uid="{00000000-0005-0000-0000-00009A310000}"/>
    <cellStyle name="40 % - Aksentti5 19 2_DataIX" xfId="31228" xr:uid="{00000000-0005-0000-0000-00009B310000}"/>
    <cellStyle name="40 % - Aksentti5 19 3" xfId="16340" xr:uid="{00000000-0005-0000-0000-00009C310000}"/>
    <cellStyle name="40 % - Aksentti5 19_060617_hinnat" xfId="24335" xr:uid="{00000000-0005-0000-0000-00009D310000}"/>
    <cellStyle name="40 % - Aksentti5 2" xfId="25" xr:uid="{00000000-0005-0000-0000-00009E310000}"/>
    <cellStyle name="40 % - Aksentti5 2 10" xfId="2822" xr:uid="{00000000-0005-0000-0000-00009F310000}"/>
    <cellStyle name="40 % - Aksentti5 2 10 2" xfId="8149" xr:uid="{00000000-0005-0000-0000-0000A0310000}"/>
    <cellStyle name="40 % - Aksentti5 2 10 2 2" xfId="12026" xr:uid="{00000000-0005-0000-0000-0000A1310000}"/>
    <cellStyle name="40 % - Aksentti5 2 10 2 3" xfId="19788" xr:uid="{00000000-0005-0000-0000-0000A2310000}"/>
    <cellStyle name="40 % - Aksentti5 2 10 2_DataIX" xfId="31229" xr:uid="{00000000-0005-0000-0000-0000A3310000}"/>
    <cellStyle name="40 % - Aksentti5 2 10 3" xfId="16342" xr:uid="{00000000-0005-0000-0000-0000A4310000}"/>
    <cellStyle name="40 % - Aksentti5 2 10_060617_hinnat" xfId="24337" xr:uid="{00000000-0005-0000-0000-0000A5310000}"/>
    <cellStyle name="40 % - Aksentti5 2 11" xfId="2821" xr:uid="{00000000-0005-0000-0000-0000A6310000}"/>
    <cellStyle name="40 % - Aksentti5 2 11 2" xfId="8150" xr:uid="{00000000-0005-0000-0000-0000A7310000}"/>
    <cellStyle name="40 % - Aksentti5 2 11 2 2" xfId="12027" xr:uid="{00000000-0005-0000-0000-0000A8310000}"/>
    <cellStyle name="40 % - Aksentti5 2 11 2 3" xfId="19789" xr:uid="{00000000-0005-0000-0000-0000A9310000}"/>
    <cellStyle name="40 % - Aksentti5 2 11 2_DataIX" xfId="31230" xr:uid="{00000000-0005-0000-0000-0000AA310000}"/>
    <cellStyle name="40 % - Aksentti5 2 11 3" xfId="16341" xr:uid="{00000000-0005-0000-0000-0000AB310000}"/>
    <cellStyle name="40 % - Aksentti5 2 11_060617_hinnat" xfId="24338" xr:uid="{00000000-0005-0000-0000-0000AC310000}"/>
    <cellStyle name="40 % - Aksentti5 2 12" xfId="25059" xr:uid="{00000000-0005-0000-0000-0000AD310000}"/>
    <cellStyle name="40 % - Aksentti5 2 13" xfId="26188" xr:uid="{00000000-0005-0000-0000-0000AE310000}"/>
    <cellStyle name="40 % - Aksentti5 2 14" xfId="26593" xr:uid="{00000000-0005-0000-0000-0000AF310000}"/>
    <cellStyle name="40 % - Aksentti5 2 15" xfId="26239" xr:uid="{00000000-0005-0000-0000-0000B0310000}"/>
    <cellStyle name="40 % - Aksentti5 2 16" xfId="25540" xr:uid="{00000000-0005-0000-0000-0000B1310000}"/>
    <cellStyle name="40 % - Aksentti5 2 17" xfId="25393" xr:uid="{00000000-0005-0000-0000-0000B2310000}"/>
    <cellStyle name="40 % - Aksentti5 2 18" xfId="25717" xr:uid="{00000000-0005-0000-0000-0000B3310000}"/>
    <cellStyle name="40 % - Aksentti5 2 19" xfId="26415" xr:uid="{00000000-0005-0000-0000-0000B4310000}"/>
    <cellStyle name="40 % - Aksentti5 2 2" xfId="163" xr:uid="{00000000-0005-0000-0000-0000B5310000}"/>
    <cellStyle name="40 % - Aksentti5 2 2 10" xfId="2824" xr:uid="{00000000-0005-0000-0000-0000B6310000}"/>
    <cellStyle name="40 % - Aksentti5 2 2 10 2" xfId="8152" xr:uid="{00000000-0005-0000-0000-0000B7310000}"/>
    <cellStyle name="40 % - Aksentti5 2 2 10 2 2" xfId="12028" xr:uid="{00000000-0005-0000-0000-0000B8310000}"/>
    <cellStyle name="40 % - Aksentti5 2 2 10 2 3" xfId="19790" xr:uid="{00000000-0005-0000-0000-0000B9310000}"/>
    <cellStyle name="40 % - Aksentti5 2 2 10 2_DataIX" xfId="31231" xr:uid="{00000000-0005-0000-0000-0000BA310000}"/>
    <cellStyle name="40 % - Aksentti5 2 2 10 3" xfId="16344" xr:uid="{00000000-0005-0000-0000-0000BB310000}"/>
    <cellStyle name="40 % - Aksentti5 2 2 10_060617_hinnat" xfId="24340" xr:uid="{00000000-0005-0000-0000-0000BC310000}"/>
    <cellStyle name="40 % - Aksentti5 2 2 11" xfId="2823" xr:uid="{00000000-0005-0000-0000-0000BD310000}"/>
    <cellStyle name="40 % - Aksentti5 2 2 11 2" xfId="8153" xr:uid="{00000000-0005-0000-0000-0000BE310000}"/>
    <cellStyle name="40 % - Aksentti5 2 2 11 2 2" xfId="12029" xr:uid="{00000000-0005-0000-0000-0000BF310000}"/>
    <cellStyle name="40 % - Aksentti5 2 2 11 2 3" xfId="19791" xr:uid="{00000000-0005-0000-0000-0000C0310000}"/>
    <cellStyle name="40 % - Aksentti5 2 2 11 2_DataIX" xfId="31232" xr:uid="{00000000-0005-0000-0000-0000C1310000}"/>
    <cellStyle name="40 % - Aksentti5 2 2 11 3" xfId="16343" xr:uid="{00000000-0005-0000-0000-0000C2310000}"/>
    <cellStyle name="40 % - Aksentti5 2 2 11_060617_hinnat" xfId="24341" xr:uid="{00000000-0005-0000-0000-0000C3310000}"/>
    <cellStyle name="40 % - Aksentti5 2 2 12" xfId="25082" xr:uid="{00000000-0005-0000-0000-0000C4310000}"/>
    <cellStyle name="40 % - Aksentti5 2 2 13" xfId="26179" xr:uid="{00000000-0005-0000-0000-0000C5310000}"/>
    <cellStyle name="40 % - Aksentti5 2 2 14" xfId="25751" xr:uid="{00000000-0005-0000-0000-0000C6310000}"/>
    <cellStyle name="40 % - Aksentti5 2 2 15" xfId="26010" xr:uid="{00000000-0005-0000-0000-0000C7310000}"/>
    <cellStyle name="40 % - Aksentti5 2 2 16" xfId="26252" xr:uid="{00000000-0005-0000-0000-0000C8310000}"/>
    <cellStyle name="40 % - Aksentti5 2 2 17" xfId="25850" xr:uid="{00000000-0005-0000-0000-0000C9310000}"/>
    <cellStyle name="40 % - Aksentti5 2 2 18" xfId="25499" xr:uid="{00000000-0005-0000-0000-0000CA310000}"/>
    <cellStyle name="40 % - Aksentti5 2 2 19" xfId="25243" xr:uid="{00000000-0005-0000-0000-0000CB310000}"/>
    <cellStyle name="40 % - Aksentti5 2 2 2" xfId="380" xr:uid="{00000000-0005-0000-0000-0000CC310000}"/>
    <cellStyle name="40 % - Aksentti5 2 2 2 10" xfId="12656" xr:uid="{00000000-0005-0000-0000-0000CD310000}"/>
    <cellStyle name="40 % - Aksentti5 2 2 2 2" xfId="2826" xr:uid="{00000000-0005-0000-0000-0000CE310000}"/>
    <cellStyle name="40 % - Aksentti5 2 2 2 2 2" xfId="8155" xr:uid="{00000000-0005-0000-0000-0000CF310000}"/>
    <cellStyle name="40 % - Aksentti5 2 2 2 2 2 2" xfId="12030" xr:uid="{00000000-0005-0000-0000-0000D0310000}"/>
    <cellStyle name="40 % - Aksentti5 2 2 2 2 2 3" xfId="19792" xr:uid="{00000000-0005-0000-0000-0000D1310000}"/>
    <cellStyle name="40 % - Aksentti5 2 2 2 2 2_DataIX" xfId="31233" xr:uid="{00000000-0005-0000-0000-0000D2310000}"/>
    <cellStyle name="40 % - Aksentti5 2 2 2 2 3" xfId="16346" xr:uid="{00000000-0005-0000-0000-0000D3310000}"/>
    <cellStyle name="40 % - Aksentti5 2 2 2 2_060617_hinnat" xfId="24342" xr:uid="{00000000-0005-0000-0000-0000D4310000}"/>
    <cellStyle name="40 % - Aksentti5 2 2 2 3" xfId="2825" xr:uid="{00000000-0005-0000-0000-0000D5310000}"/>
    <cellStyle name="40 % - Aksentti5 2 2 2 3 2" xfId="8156" xr:uid="{00000000-0005-0000-0000-0000D6310000}"/>
    <cellStyle name="40 % - Aksentti5 2 2 2 3 2 2" xfId="12031" xr:uid="{00000000-0005-0000-0000-0000D7310000}"/>
    <cellStyle name="40 % - Aksentti5 2 2 2 3 2 3" xfId="19793" xr:uid="{00000000-0005-0000-0000-0000D8310000}"/>
    <cellStyle name="40 % - Aksentti5 2 2 2 3 2_DataIX" xfId="31234" xr:uid="{00000000-0005-0000-0000-0000D9310000}"/>
    <cellStyle name="40 % - Aksentti5 2 2 2 3 3" xfId="16345" xr:uid="{00000000-0005-0000-0000-0000DA310000}"/>
    <cellStyle name="40 % - Aksentti5 2 2 2 3_060617_hinnat" xfId="24343" xr:uid="{00000000-0005-0000-0000-0000DB310000}"/>
    <cellStyle name="40 % - Aksentti5 2 2 2 4" xfId="10937" xr:uid="{00000000-0005-0000-0000-0000DC310000}"/>
    <cellStyle name="40 % - Aksentti5 2 2 2 5" xfId="12619" xr:uid="{00000000-0005-0000-0000-0000DD310000}"/>
    <cellStyle name="40 % - Aksentti5 2 2 2 6" xfId="10958" xr:uid="{00000000-0005-0000-0000-0000DE310000}"/>
    <cellStyle name="40 % - Aksentti5 2 2 2 7" xfId="13917" xr:uid="{00000000-0005-0000-0000-0000DF310000}"/>
    <cellStyle name="40 % - Aksentti5 2 2 2 8" xfId="20259" xr:uid="{00000000-0005-0000-0000-0000E0310000}"/>
    <cellStyle name="40 % - Aksentti5 2 2 2 9" xfId="11071" xr:uid="{00000000-0005-0000-0000-0000E1310000}"/>
    <cellStyle name="40 % - Aksentti5 2 2 2_##Keskeiset" xfId="8154" xr:uid="{00000000-0005-0000-0000-0000E2310000}"/>
    <cellStyle name="40 % - Aksentti5 2 2 20" xfId="26250" xr:uid="{00000000-0005-0000-0000-0000E3310000}"/>
    <cellStyle name="40 % - Aksentti5 2 2 21" xfId="26412" xr:uid="{00000000-0005-0000-0000-0000E4310000}"/>
    <cellStyle name="40 % - Aksentti5 2 2 22" xfId="26615" xr:uid="{00000000-0005-0000-0000-0000E5310000}"/>
    <cellStyle name="40 % - Aksentti5 2 2 23" xfId="26673" xr:uid="{00000000-0005-0000-0000-0000E6310000}"/>
    <cellStyle name="40 % - Aksentti5 2 2 24" xfId="26686" xr:uid="{00000000-0005-0000-0000-0000E7310000}"/>
    <cellStyle name="40 % - Aksentti5 2 2 25" xfId="26333" xr:uid="{00000000-0005-0000-0000-0000E8310000}"/>
    <cellStyle name="40 % - Aksentti5 2 2 26" xfId="26385" xr:uid="{00000000-0005-0000-0000-0000E9310000}"/>
    <cellStyle name="40 % - Aksentti5 2 2 27" xfId="26709" xr:uid="{00000000-0005-0000-0000-0000EA310000}"/>
    <cellStyle name="40 % - Aksentti5 2 2 28" xfId="24339" xr:uid="{00000000-0005-0000-0000-0000EB310000}"/>
    <cellStyle name="40 % - Aksentti5 2 2 29" xfId="24260" xr:uid="{00000000-0005-0000-0000-0000EC310000}"/>
    <cellStyle name="40 % - Aksentti5 2 2 3" xfId="2827" xr:uid="{00000000-0005-0000-0000-0000ED310000}"/>
    <cellStyle name="40 % - Aksentti5 2 2 3 2" xfId="10938" xr:uid="{00000000-0005-0000-0000-0000EE310000}"/>
    <cellStyle name="40 % - Aksentti5 2 2 3 3" xfId="16347" xr:uid="{00000000-0005-0000-0000-0000EF310000}"/>
    <cellStyle name="40 % - Aksentti5 2 2 3_DataIX" xfId="31235" xr:uid="{00000000-0005-0000-0000-0000F0310000}"/>
    <cellStyle name="40 % - Aksentti5 2 2 30" xfId="23435" xr:uid="{00000000-0005-0000-0000-0000F1310000}"/>
    <cellStyle name="40 % - Aksentti5 2 2 31" xfId="24138" xr:uid="{00000000-0005-0000-0000-0000F2310000}"/>
    <cellStyle name="40 % - Aksentti5 2 2 32" xfId="23513" xr:uid="{00000000-0005-0000-0000-0000F3310000}"/>
    <cellStyle name="40 % - Aksentti5 2 2 33" xfId="24066" xr:uid="{00000000-0005-0000-0000-0000F4310000}"/>
    <cellStyle name="40 % - Aksentti5 2 2 4" xfId="2828" xr:uid="{00000000-0005-0000-0000-0000F5310000}"/>
    <cellStyle name="40 % - Aksentti5 2 2 4 2" xfId="8157" xr:uid="{00000000-0005-0000-0000-0000F6310000}"/>
    <cellStyle name="40 % - Aksentti5 2 2 4 2 2" xfId="12032" xr:uid="{00000000-0005-0000-0000-0000F7310000}"/>
    <cellStyle name="40 % - Aksentti5 2 2 4 2 3" xfId="19794" xr:uid="{00000000-0005-0000-0000-0000F8310000}"/>
    <cellStyle name="40 % - Aksentti5 2 2 4 2_DataIX" xfId="31236" xr:uid="{00000000-0005-0000-0000-0000F9310000}"/>
    <cellStyle name="40 % - Aksentti5 2 2 4 3" xfId="16348" xr:uid="{00000000-0005-0000-0000-0000FA310000}"/>
    <cellStyle name="40 % - Aksentti5 2 2 4_060617_hinnat" xfId="24344" xr:uid="{00000000-0005-0000-0000-0000FB310000}"/>
    <cellStyle name="40 % - Aksentti5 2 2 5" xfId="2829" xr:uid="{00000000-0005-0000-0000-0000FC310000}"/>
    <cellStyle name="40 % - Aksentti5 2 2 5 2" xfId="8158" xr:uid="{00000000-0005-0000-0000-0000FD310000}"/>
    <cellStyle name="40 % - Aksentti5 2 2 5 2 2" xfId="12033" xr:uid="{00000000-0005-0000-0000-0000FE310000}"/>
    <cellStyle name="40 % - Aksentti5 2 2 5 2 3" xfId="19795" xr:uid="{00000000-0005-0000-0000-0000FF310000}"/>
    <cellStyle name="40 % - Aksentti5 2 2 5 2_DataIX" xfId="31237" xr:uid="{00000000-0005-0000-0000-000000320000}"/>
    <cellStyle name="40 % - Aksentti5 2 2 5 3" xfId="16349" xr:uid="{00000000-0005-0000-0000-000001320000}"/>
    <cellStyle name="40 % - Aksentti5 2 2 5_060617_hinnat" xfId="24345" xr:uid="{00000000-0005-0000-0000-000002320000}"/>
    <cellStyle name="40 % - Aksentti5 2 2 6" xfId="2830" xr:uid="{00000000-0005-0000-0000-000003320000}"/>
    <cellStyle name="40 % - Aksentti5 2 2 6 2" xfId="8159" xr:uid="{00000000-0005-0000-0000-000004320000}"/>
    <cellStyle name="40 % - Aksentti5 2 2 6 2 2" xfId="12034" xr:uid="{00000000-0005-0000-0000-000005320000}"/>
    <cellStyle name="40 % - Aksentti5 2 2 6 2 3" xfId="19796" xr:uid="{00000000-0005-0000-0000-000006320000}"/>
    <cellStyle name="40 % - Aksentti5 2 2 6 2_DataIX" xfId="31238" xr:uid="{00000000-0005-0000-0000-000007320000}"/>
    <cellStyle name="40 % - Aksentti5 2 2 6 3" xfId="16350" xr:uid="{00000000-0005-0000-0000-000008320000}"/>
    <cellStyle name="40 % - Aksentti5 2 2 6_060617_hinnat" xfId="24346" xr:uid="{00000000-0005-0000-0000-000009320000}"/>
    <cellStyle name="40 % - Aksentti5 2 2 7" xfId="2831" xr:uid="{00000000-0005-0000-0000-00000A320000}"/>
    <cellStyle name="40 % - Aksentti5 2 2 7 2" xfId="8160" xr:uid="{00000000-0005-0000-0000-00000B320000}"/>
    <cellStyle name="40 % - Aksentti5 2 2 7 2 2" xfId="12035" xr:uid="{00000000-0005-0000-0000-00000C320000}"/>
    <cellStyle name="40 % - Aksentti5 2 2 7 2 3" xfId="19797" xr:uid="{00000000-0005-0000-0000-00000D320000}"/>
    <cellStyle name="40 % - Aksentti5 2 2 7 2_DataIX" xfId="31239" xr:uid="{00000000-0005-0000-0000-00000E320000}"/>
    <cellStyle name="40 % - Aksentti5 2 2 7 3" xfId="16351" xr:uid="{00000000-0005-0000-0000-00000F320000}"/>
    <cellStyle name="40 % - Aksentti5 2 2 7_060617_hinnat" xfId="24347" xr:uid="{00000000-0005-0000-0000-000010320000}"/>
    <cellStyle name="40 % - Aksentti5 2 2 8" xfId="2832" xr:uid="{00000000-0005-0000-0000-000011320000}"/>
    <cellStyle name="40 % - Aksentti5 2 2 8 2" xfId="8161" xr:uid="{00000000-0005-0000-0000-000012320000}"/>
    <cellStyle name="40 % - Aksentti5 2 2 8 2 2" xfId="12036" xr:uid="{00000000-0005-0000-0000-000013320000}"/>
    <cellStyle name="40 % - Aksentti5 2 2 8 2 3" xfId="19798" xr:uid="{00000000-0005-0000-0000-000014320000}"/>
    <cellStyle name="40 % - Aksentti5 2 2 8 2_DataIX" xfId="31240" xr:uid="{00000000-0005-0000-0000-000015320000}"/>
    <cellStyle name="40 % - Aksentti5 2 2 8 3" xfId="16352" xr:uid="{00000000-0005-0000-0000-000016320000}"/>
    <cellStyle name="40 % - Aksentti5 2 2 8_060617_hinnat" xfId="24348" xr:uid="{00000000-0005-0000-0000-000017320000}"/>
    <cellStyle name="40 % - Aksentti5 2 2 9" xfId="2833" xr:uid="{00000000-0005-0000-0000-000018320000}"/>
    <cellStyle name="40 % - Aksentti5 2 2 9 2" xfId="8162" xr:uid="{00000000-0005-0000-0000-000019320000}"/>
    <cellStyle name="40 % - Aksentti5 2 2 9 2 2" xfId="12037" xr:uid="{00000000-0005-0000-0000-00001A320000}"/>
    <cellStyle name="40 % - Aksentti5 2 2 9 2 3" xfId="19799" xr:uid="{00000000-0005-0000-0000-00001B320000}"/>
    <cellStyle name="40 % - Aksentti5 2 2 9 2_DataIX" xfId="31241" xr:uid="{00000000-0005-0000-0000-00001C320000}"/>
    <cellStyle name="40 % - Aksentti5 2 2 9 3" xfId="16353" xr:uid="{00000000-0005-0000-0000-00001D320000}"/>
    <cellStyle name="40 % - Aksentti5 2 2 9_060617_hinnat" xfId="24349" xr:uid="{00000000-0005-0000-0000-00001E320000}"/>
    <cellStyle name="40 % - Aksentti5 2 2_##Keskeiset" xfId="8151" xr:uid="{00000000-0005-0000-0000-00001F320000}"/>
    <cellStyle name="40 % - Aksentti5 2 20" xfId="26422" xr:uid="{00000000-0005-0000-0000-000020320000}"/>
    <cellStyle name="40 % - Aksentti5 2 21" xfId="25806" xr:uid="{00000000-0005-0000-0000-000021320000}"/>
    <cellStyle name="40 % - Aksentti5 2 22" xfId="25549" xr:uid="{00000000-0005-0000-0000-000022320000}"/>
    <cellStyle name="40 % - Aksentti5 2 23" xfId="26716" xr:uid="{00000000-0005-0000-0000-000023320000}"/>
    <cellStyle name="40 % - Aksentti5 2 24" xfId="26259" xr:uid="{00000000-0005-0000-0000-000024320000}"/>
    <cellStyle name="40 % - Aksentti5 2 25" xfId="25430" xr:uid="{00000000-0005-0000-0000-000025320000}"/>
    <cellStyle name="40 % - Aksentti5 2 26" xfId="26521" xr:uid="{00000000-0005-0000-0000-000026320000}"/>
    <cellStyle name="40 % - Aksentti5 2 27" xfId="25536" xr:uid="{00000000-0005-0000-0000-000027320000}"/>
    <cellStyle name="40 % - Aksentti5 2 28" xfId="24336" xr:uid="{00000000-0005-0000-0000-000028320000}"/>
    <cellStyle name="40 % - Aksentti5 2 29" xfId="24264" xr:uid="{00000000-0005-0000-0000-000029320000}"/>
    <cellStyle name="40 % - Aksentti5 2 3" xfId="164" xr:uid="{00000000-0005-0000-0000-00002A320000}"/>
    <cellStyle name="40 % - Aksentti5 2 3 2" xfId="2835" xr:uid="{00000000-0005-0000-0000-00002B320000}"/>
    <cellStyle name="40 % - Aksentti5 2 3 2 2" xfId="2836" xr:uid="{00000000-0005-0000-0000-00002C320000}"/>
    <cellStyle name="40 % - Aksentti5 2 3 2 2 2" xfId="8164" xr:uid="{00000000-0005-0000-0000-00002D320000}"/>
    <cellStyle name="40 % - Aksentti5 2 3 2 2 2 2" xfId="12038" xr:uid="{00000000-0005-0000-0000-00002E320000}"/>
    <cellStyle name="40 % - Aksentti5 2 3 2 2 2 3" xfId="19800" xr:uid="{00000000-0005-0000-0000-00002F320000}"/>
    <cellStyle name="40 % - Aksentti5 2 3 2 2 2_DataIX" xfId="31242" xr:uid="{00000000-0005-0000-0000-000030320000}"/>
    <cellStyle name="40 % - Aksentti5 2 3 2 2 3" xfId="16356" xr:uid="{00000000-0005-0000-0000-000031320000}"/>
    <cellStyle name="40 % - Aksentti5 2 3 2 2_060617_hinnat" xfId="24350" xr:uid="{00000000-0005-0000-0000-000032320000}"/>
    <cellStyle name="40 % - Aksentti5 2 3 2 3" xfId="5514" xr:uid="{00000000-0005-0000-0000-000033320000}"/>
    <cellStyle name="40 % - Aksentti5 2 3 2 3 2" xfId="12039" xr:uid="{00000000-0005-0000-0000-000034320000}"/>
    <cellStyle name="40 % - Aksentti5 2 3 2 3 3" xfId="18754" xr:uid="{00000000-0005-0000-0000-000035320000}"/>
    <cellStyle name="40 % - Aksentti5 2 3 2 3_DataIX" xfId="31243" xr:uid="{00000000-0005-0000-0000-000036320000}"/>
    <cellStyle name="40 % - Aksentti5 2 3 2 4" xfId="16355" xr:uid="{00000000-0005-0000-0000-000037320000}"/>
    <cellStyle name="40 % - Aksentti5 2 3 2_##Keskeiset" xfId="8163" xr:uid="{00000000-0005-0000-0000-000038320000}"/>
    <cellStyle name="40 % - Aksentti5 2 3 3" xfId="2837" xr:uid="{00000000-0005-0000-0000-000039320000}"/>
    <cellStyle name="40 % - Aksentti5 2 3 3 2" xfId="8165" xr:uid="{00000000-0005-0000-0000-00003A320000}"/>
    <cellStyle name="40 % - Aksentti5 2 3 3 2 2" xfId="12040" xr:uid="{00000000-0005-0000-0000-00003B320000}"/>
    <cellStyle name="40 % - Aksentti5 2 3 3 2 3" xfId="19801" xr:uid="{00000000-0005-0000-0000-00003C320000}"/>
    <cellStyle name="40 % - Aksentti5 2 3 3 2_DataIX" xfId="31244" xr:uid="{00000000-0005-0000-0000-00003D320000}"/>
    <cellStyle name="40 % - Aksentti5 2 3 3 3" xfId="16357" xr:uid="{00000000-0005-0000-0000-00003E320000}"/>
    <cellStyle name="40 % - Aksentti5 2 3 3_060617_hinnat" xfId="24351" xr:uid="{00000000-0005-0000-0000-00003F320000}"/>
    <cellStyle name="40 % - Aksentti5 2 3 4" xfId="2834" xr:uid="{00000000-0005-0000-0000-000040320000}"/>
    <cellStyle name="40 % - Aksentti5 2 3 4 2" xfId="8166" xr:uid="{00000000-0005-0000-0000-000041320000}"/>
    <cellStyle name="40 % - Aksentti5 2 3 4 2 2" xfId="12041" xr:uid="{00000000-0005-0000-0000-000042320000}"/>
    <cellStyle name="40 % - Aksentti5 2 3 4 2 3" xfId="19802" xr:uid="{00000000-0005-0000-0000-000043320000}"/>
    <cellStyle name="40 % - Aksentti5 2 3 4 2_DataIX" xfId="31245" xr:uid="{00000000-0005-0000-0000-000044320000}"/>
    <cellStyle name="40 % - Aksentti5 2 3 4 3" xfId="16354" xr:uid="{00000000-0005-0000-0000-000045320000}"/>
    <cellStyle name="40 % - Aksentti5 2 3 4_060617_hinnat" xfId="24352" xr:uid="{00000000-0005-0000-0000-000046320000}"/>
    <cellStyle name="40 % - Aksentti5 2 3_##Keskeiset" xfId="5513" xr:uid="{00000000-0005-0000-0000-000047320000}"/>
    <cellStyle name="40 % - Aksentti5 2 30" xfId="23430" xr:uid="{00000000-0005-0000-0000-000048320000}"/>
    <cellStyle name="40 % - Aksentti5 2 31" xfId="24142" xr:uid="{00000000-0005-0000-0000-000049320000}"/>
    <cellStyle name="40 % - Aksentti5 2 32" xfId="23508" xr:uid="{00000000-0005-0000-0000-00004A320000}"/>
    <cellStyle name="40 % - Aksentti5 2 33" xfId="24069" xr:uid="{00000000-0005-0000-0000-00004B320000}"/>
    <cellStyle name="40 % - Aksentti5 2 4" xfId="2838" xr:uid="{00000000-0005-0000-0000-00004C320000}"/>
    <cellStyle name="40 % - Aksentti5 2 4 2" xfId="2839" xr:uid="{00000000-0005-0000-0000-00004D320000}"/>
    <cellStyle name="40 % - Aksentti5 2 4 2 2" xfId="2840" xr:uid="{00000000-0005-0000-0000-00004E320000}"/>
    <cellStyle name="40 % - Aksentti5 2 4 2 2 2" xfId="8169" xr:uid="{00000000-0005-0000-0000-00004F320000}"/>
    <cellStyle name="40 % - Aksentti5 2 4 2 2 2 2" xfId="12042" xr:uid="{00000000-0005-0000-0000-000050320000}"/>
    <cellStyle name="40 % - Aksentti5 2 4 2 2 2 3" xfId="19804" xr:uid="{00000000-0005-0000-0000-000051320000}"/>
    <cellStyle name="40 % - Aksentti5 2 4 2 2 2_DataIX" xfId="31246" xr:uid="{00000000-0005-0000-0000-000052320000}"/>
    <cellStyle name="40 % - Aksentti5 2 4 2 2 3" xfId="16360" xr:uid="{00000000-0005-0000-0000-000053320000}"/>
    <cellStyle name="40 % - Aksentti5 2 4 2 2_060617_hinnat" xfId="24353" xr:uid="{00000000-0005-0000-0000-000054320000}"/>
    <cellStyle name="40 % - Aksentti5 2 4 2 3" xfId="8168" xr:uid="{00000000-0005-0000-0000-000055320000}"/>
    <cellStyle name="40 % - Aksentti5 2 4 2 3 2" xfId="12043" xr:uid="{00000000-0005-0000-0000-000056320000}"/>
    <cellStyle name="40 % - Aksentti5 2 4 2 3 3" xfId="19803" xr:uid="{00000000-0005-0000-0000-000057320000}"/>
    <cellStyle name="40 % - Aksentti5 2 4 2 3_DataIX" xfId="31247" xr:uid="{00000000-0005-0000-0000-000058320000}"/>
    <cellStyle name="40 % - Aksentti5 2 4 2 4" xfId="16359" xr:uid="{00000000-0005-0000-0000-000059320000}"/>
    <cellStyle name="40 % - Aksentti5 2 4 2_060617_hinnat" xfId="24354" xr:uid="{00000000-0005-0000-0000-00005A320000}"/>
    <cellStyle name="40 % - Aksentti5 2 4 3" xfId="2841" xr:uid="{00000000-0005-0000-0000-00005B320000}"/>
    <cellStyle name="40 % - Aksentti5 2 4 3 2" xfId="8170" xr:uid="{00000000-0005-0000-0000-00005C320000}"/>
    <cellStyle name="40 % - Aksentti5 2 4 3 2 2" xfId="12044" xr:uid="{00000000-0005-0000-0000-00005D320000}"/>
    <cellStyle name="40 % - Aksentti5 2 4 3 2 3" xfId="19805" xr:uid="{00000000-0005-0000-0000-00005E320000}"/>
    <cellStyle name="40 % - Aksentti5 2 4 3 2_DataIX" xfId="31248" xr:uid="{00000000-0005-0000-0000-00005F320000}"/>
    <cellStyle name="40 % - Aksentti5 2 4 3 3" xfId="16361" xr:uid="{00000000-0005-0000-0000-000060320000}"/>
    <cellStyle name="40 % - Aksentti5 2 4 3_060617_hinnat" xfId="24355" xr:uid="{00000000-0005-0000-0000-000061320000}"/>
    <cellStyle name="40 % - Aksentti5 2 4 4" xfId="5515" xr:uid="{00000000-0005-0000-0000-000062320000}"/>
    <cellStyle name="40 % - Aksentti5 2 4 4 2" xfId="12045" xr:uid="{00000000-0005-0000-0000-000063320000}"/>
    <cellStyle name="40 % - Aksentti5 2 4 4 3" xfId="18755" xr:uid="{00000000-0005-0000-0000-000064320000}"/>
    <cellStyle name="40 % - Aksentti5 2 4 4_DataIX" xfId="31249" xr:uid="{00000000-0005-0000-0000-000065320000}"/>
    <cellStyle name="40 % - Aksentti5 2 4 5" xfId="10542" xr:uid="{00000000-0005-0000-0000-000066320000}"/>
    <cellStyle name="40 % - Aksentti5 2 4 5 2" xfId="12046" xr:uid="{00000000-0005-0000-0000-000067320000}"/>
    <cellStyle name="40 % - Aksentti5 2 4 5 3" xfId="20324" xr:uid="{00000000-0005-0000-0000-000068320000}"/>
    <cellStyle name="40 % - Aksentti5 2 4 5_DataIX" xfId="31250" xr:uid="{00000000-0005-0000-0000-000069320000}"/>
    <cellStyle name="40 % - Aksentti5 2 4 6" xfId="5404" xr:uid="{00000000-0005-0000-0000-00006A320000}"/>
    <cellStyle name="40 % - Aksentti5 2 4 6 2" xfId="12047" xr:uid="{00000000-0005-0000-0000-00006B320000}"/>
    <cellStyle name="40 % - Aksentti5 2 4 6 3" xfId="18728" xr:uid="{00000000-0005-0000-0000-00006C320000}"/>
    <cellStyle name="40 % - Aksentti5 2 4 6_DataIX" xfId="31251" xr:uid="{00000000-0005-0000-0000-00006D320000}"/>
    <cellStyle name="40 % - Aksentti5 2 4 7" xfId="10628" xr:uid="{00000000-0005-0000-0000-00006E320000}"/>
    <cellStyle name="40 % - Aksentti5 2 4 7 2" xfId="12048" xr:uid="{00000000-0005-0000-0000-00006F320000}"/>
    <cellStyle name="40 % - Aksentti5 2 4 7 3" xfId="20410" xr:uid="{00000000-0005-0000-0000-000070320000}"/>
    <cellStyle name="40 % - Aksentti5 2 4 7_DataIX" xfId="31252" xr:uid="{00000000-0005-0000-0000-000071320000}"/>
    <cellStyle name="40 % - Aksentti5 2 4 8" xfId="10571" xr:uid="{00000000-0005-0000-0000-000072320000}"/>
    <cellStyle name="40 % - Aksentti5 2 4 8 2" xfId="12049" xr:uid="{00000000-0005-0000-0000-000073320000}"/>
    <cellStyle name="40 % - Aksentti5 2 4 8 3" xfId="20353" xr:uid="{00000000-0005-0000-0000-000074320000}"/>
    <cellStyle name="40 % - Aksentti5 2 4 8_DataIX" xfId="31253" xr:uid="{00000000-0005-0000-0000-000075320000}"/>
    <cellStyle name="40 % - Aksentti5 2 4 9" xfId="16358" xr:uid="{00000000-0005-0000-0000-000076320000}"/>
    <cellStyle name="40 % - Aksentti5 2 4_##Keskeiset" xfId="8167" xr:uid="{00000000-0005-0000-0000-000077320000}"/>
    <cellStyle name="40 % - Aksentti5 2 5" xfId="2842" xr:uid="{00000000-0005-0000-0000-000078320000}"/>
    <cellStyle name="40 % - Aksentti5 2 5 2" xfId="2843" xr:uid="{00000000-0005-0000-0000-000079320000}"/>
    <cellStyle name="40 % - Aksentti5 2 5 2 2" xfId="8172" xr:uid="{00000000-0005-0000-0000-00007A320000}"/>
    <cellStyle name="40 % - Aksentti5 2 5 2 2 2" xfId="12050" xr:uid="{00000000-0005-0000-0000-00007B320000}"/>
    <cellStyle name="40 % - Aksentti5 2 5 2 2 3" xfId="19807" xr:uid="{00000000-0005-0000-0000-00007C320000}"/>
    <cellStyle name="40 % - Aksentti5 2 5 2 2_DataIX" xfId="31254" xr:uid="{00000000-0005-0000-0000-00007D320000}"/>
    <cellStyle name="40 % - Aksentti5 2 5 2 3" xfId="16363" xr:uid="{00000000-0005-0000-0000-00007E320000}"/>
    <cellStyle name="40 % - Aksentti5 2 5 2_060617_hinnat" xfId="24356" xr:uid="{00000000-0005-0000-0000-00007F320000}"/>
    <cellStyle name="40 % - Aksentti5 2 5 3" xfId="8171" xr:uid="{00000000-0005-0000-0000-000080320000}"/>
    <cellStyle name="40 % - Aksentti5 2 5 3 2" xfId="12051" xr:uid="{00000000-0005-0000-0000-000081320000}"/>
    <cellStyle name="40 % - Aksentti5 2 5 3 3" xfId="19806" xr:uid="{00000000-0005-0000-0000-000082320000}"/>
    <cellStyle name="40 % - Aksentti5 2 5 3_DataIX" xfId="31255" xr:uid="{00000000-0005-0000-0000-000083320000}"/>
    <cellStyle name="40 % - Aksentti5 2 5 4" xfId="16362" xr:uid="{00000000-0005-0000-0000-000084320000}"/>
    <cellStyle name="40 % - Aksentti5 2 5_060617_hinnat" xfId="24357" xr:uid="{00000000-0005-0000-0000-000085320000}"/>
    <cellStyle name="40 % - Aksentti5 2 6" xfId="2844" xr:uid="{00000000-0005-0000-0000-000086320000}"/>
    <cellStyle name="40 % - Aksentti5 2 6 2" xfId="8173" xr:uid="{00000000-0005-0000-0000-000087320000}"/>
    <cellStyle name="40 % - Aksentti5 2 6 2 2" xfId="12052" xr:uid="{00000000-0005-0000-0000-000088320000}"/>
    <cellStyle name="40 % - Aksentti5 2 6 2 3" xfId="19808" xr:uid="{00000000-0005-0000-0000-000089320000}"/>
    <cellStyle name="40 % - Aksentti5 2 6 2_DataIX" xfId="31256" xr:uid="{00000000-0005-0000-0000-00008A320000}"/>
    <cellStyle name="40 % - Aksentti5 2 6 3" xfId="16364" xr:uid="{00000000-0005-0000-0000-00008B320000}"/>
    <cellStyle name="40 % - Aksentti5 2 6_060617_hinnat" xfId="24358" xr:uid="{00000000-0005-0000-0000-00008C320000}"/>
    <cellStyle name="40 % - Aksentti5 2 7" xfId="2845" xr:uid="{00000000-0005-0000-0000-00008D320000}"/>
    <cellStyle name="40 % - Aksentti5 2 7 2" xfId="8174" xr:uid="{00000000-0005-0000-0000-00008E320000}"/>
    <cellStyle name="40 % - Aksentti5 2 7 2 2" xfId="12053" xr:uid="{00000000-0005-0000-0000-00008F320000}"/>
    <cellStyle name="40 % - Aksentti5 2 7 2 3" xfId="19809" xr:uid="{00000000-0005-0000-0000-000090320000}"/>
    <cellStyle name="40 % - Aksentti5 2 7 2_DataIX" xfId="31257" xr:uid="{00000000-0005-0000-0000-000091320000}"/>
    <cellStyle name="40 % - Aksentti5 2 7 3" xfId="16365" xr:uid="{00000000-0005-0000-0000-000092320000}"/>
    <cellStyle name="40 % - Aksentti5 2 7_060617_hinnat" xfId="24359" xr:uid="{00000000-0005-0000-0000-000093320000}"/>
    <cellStyle name="40 % - Aksentti5 2 8" xfId="2846" xr:uid="{00000000-0005-0000-0000-000094320000}"/>
    <cellStyle name="40 % - Aksentti5 2 8 2" xfId="8175" xr:uid="{00000000-0005-0000-0000-000095320000}"/>
    <cellStyle name="40 % - Aksentti5 2 8 2 2" xfId="12054" xr:uid="{00000000-0005-0000-0000-000096320000}"/>
    <cellStyle name="40 % - Aksentti5 2 8 2 3" xfId="19810" xr:uid="{00000000-0005-0000-0000-000097320000}"/>
    <cellStyle name="40 % - Aksentti5 2 8 2_DataIX" xfId="31258" xr:uid="{00000000-0005-0000-0000-000098320000}"/>
    <cellStyle name="40 % - Aksentti5 2 8 3" xfId="16366" xr:uid="{00000000-0005-0000-0000-000099320000}"/>
    <cellStyle name="40 % - Aksentti5 2 8_060617_hinnat" xfId="24360" xr:uid="{00000000-0005-0000-0000-00009A320000}"/>
    <cellStyle name="40 % - Aksentti5 2 9" xfId="2847" xr:uid="{00000000-0005-0000-0000-00009B320000}"/>
    <cellStyle name="40 % - Aksentti5 2 9 2" xfId="8176" xr:uid="{00000000-0005-0000-0000-00009C320000}"/>
    <cellStyle name="40 % - Aksentti5 2 9 2 2" xfId="12055" xr:uid="{00000000-0005-0000-0000-00009D320000}"/>
    <cellStyle name="40 % - Aksentti5 2 9 2 3" xfId="19811" xr:uid="{00000000-0005-0000-0000-00009E320000}"/>
    <cellStyle name="40 % - Aksentti5 2 9 2_DataIX" xfId="31259" xr:uid="{00000000-0005-0000-0000-00009F320000}"/>
    <cellStyle name="40 % - Aksentti5 2 9 3" xfId="16367" xr:uid="{00000000-0005-0000-0000-0000A0320000}"/>
    <cellStyle name="40 % - Aksentti5 2 9_060617_hinnat" xfId="24361" xr:uid="{00000000-0005-0000-0000-0000A1320000}"/>
    <cellStyle name="40 % - Aksentti5 2_##Keskeiset" xfId="8148" xr:uid="{00000000-0005-0000-0000-0000A2320000}"/>
    <cellStyle name="40 % - Aksentti5 20" xfId="2848" xr:uid="{00000000-0005-0000-0000-0000A3320000}"/>
    <cellStyle name="40 % - Aksentti5 20 2" xfId="8177" xr:uid="{00000000-0005-0000-0000-0000A4320000}"/>
    <cellStyle name="40 % - Aksentti5 20 2 2" xfId="12056" xr:uid="{00000000-0005-0000-0000-0000A5320000}"/>
    <cellStyle name="40 % - Aksentti5 20 2 3" xfId="19812" xr:uid="{00000000-0005-0000-0000-0000A6320000}"/>
    <cellStyle name="40 % - Aksentti5 20 2_DataIX" xfId="31260" xr:uid="{00000000-0005-0000-0000-0000A7320000}"/>
    <cellStyle name="40 % - Aksentti5 20 3" xfId="16368" xr:uid="{00000000-0005-0000-0000-0000A8320000}"/>
    <cellStyle name="40 % - Aksentti5 20_060617_hinnat" xfId="24362" xr:uid="{00000000-0005-0000-0000-0000A9320000}"/>
    <cellStyle name="40 % - Aksentti5 21" xfId="2849" xr:uid="{00000000-0005-0000-0000-0000AA320000}"/>
    <cellStyle name="40 % - Aksentti5 21 2" xfId="8178" xr:uid="{00000000-0005-0000-0000-0000AB320000}"/>
    <cellStyle name="40 % - Aksentti5 21 2 2" xfId="12057" xr:uid="{00000000-0005-0000-0000-0000AC320000}"/>
    <cellStyle name="40 % - Aksentti5 21 2 3" xfId="19813" xr:uid="{00000000-0005-0000-0000-0000AD320000}"/>
    <cellStyle name="40 % - Aksentti5 21 2_DataIX" xfId="31261" xr:uid="{00000000-0005-0000-0000-0000AE320000}"/>
    <cellStyle name="40 % - Aksentti5 21 3" xfId="16369" xr:uid="{00000000-0005-0000-0000-0000AF320000}"/>
    <cellStyle name="40 % - Aksentti5 21_060617_hinnat" xfId="24363" xr:uid="{00000000-0005-0000-0000-0000B0320000}"/>
    <cellStyle name="40 % - Aksentti5 22" xfId="2850" xr:uid="{00000000-0005-0000-0000-0000B1320000}"/>
    <cellStyle name="40 % - Aksentti5 22 2" xfId="8179" xr:uid="{00000000-0005-0000-0000-0000B2320000}"/>
    <cellStyle name="40 % - Aksentti5 22 2 2" xfId="12058" xr:uid="{00000000-0005-0000-0000-0000B3320000}"/>
    <cellStyle name="40 % - Aksentti5 22 2 3" xfId="19814" xr:uid="{00000000-0005-0000-0000-0000B4320000}"/>
    <cellStyle name="40 % - Aksentti5 22 2_DataIX" xfId="31262" xr:uid="{00000000-0005-0000-0000-0000B5320000}"/>
    <cellStyle name="40 % - Aksentti5 22 3" xfId="16370" xr:uid="{00000000-0005-0000-0000-0000B6320000}"/>
    <cellStyle name="40 % - Aksentti5 22_060617_hinnat" xfId="24364" xr:uid="{00000000-0005-0000-0000-0000B7320000}"/>
    <cellStyle name="40 % - Aksentti5 23" xfId="2851" xr:uid="{00000000-0005-0000-0000-0000B8320000}"/>
    <cellStyle name="40 % - Aksentti5 23 2" xfId="8180" xr:uid="{00000000-0005-0000-0000-0000B9320000}"/>
    <cellStyle name="40 % - Aksentti5 23 2 2" xfId="12059" xr:uid="{00000000-0005-0000-0000-0000BA320000}"/>
    <cellStyle name="40 % - Aksentti5 23 2 3" xfId="19815" xr:uid="{00000000-0005-0000-0000-0000BB320000}"/>
    <cellStyle name="40 % - Aksentti5 23 2_DataIX" xfId="31263" xr:uid="{00000000-0005-0000-0000-0000BC320000}"/>
    <cellStyle name="40 % - Aksentti5 23 3" xfId="16371" xr:uid="{00000000-0005-0000-0000-0000BD320000}"/>
    <cellStyle name="40 % - Aksentti5 23_060617_hinnat" xfId="24365" xr:uid="{00000000-0005-0000-0000-0000BE320000}"/>
    <cellStyle name="40 % - Aksentti5 24" xfId="2852" xr:uid="{00000000-0005-0000-0000-0000BF320000}"/>
    <cellStyle name="40 % - Aksentti5 24 2" xfId="8181" xr:uid="{00000000-0005-0000-0000-0000C0320000}"/>
    <cellStyle name="40 % - Aksentti5 24 2 2" xfId="12060" xr:uid="{00000000-0005-0000-0000-0000C1320000}"/>
    <cellStyle name="40 % - Aksentti5 24 2 3" xfId="19816" xr:uid="{00000000-0005-0000-0000-0000C2320000}"/>
    <cellStyle name="40 % - Aksentti5 24 2_DataIX" xfId="31264" xr:uid="{00000000-0005-0000-0000-0000C3320000}"/>
    <cellStyle name="40 % - Aksentti5 24 3" xfId="16372" xr:uid="{00000000-0005-0000-0000-0000C4320000}"/>
    <cellStyle name="40 % - Aksentti5 24_060617_hinnat" xfId="24366" xr:uid="{00000000-0005-0000-0000-0000C5320000}"/>
    <cellStyle name="40 % - Aksentti5 25" xfId="2853" xr:uid="{00000000-0005-0000-0000-0000C6320000}"/>
    <cellStyle name="40 % - Aksentti5 25 2" xfId="8182" xr:uid="{00000000-0005-0000-0000-0000C7320000}"/>
    <cellStyle name="40 % - Aksentti5 25 2 2" xfId="12061" xr:uid="{00000000-0005-0000-0000-0000C8320000}"/>
    <cellStyle name="40 % - Aksentti5 25 2 3" xfId="19817" xr:uid="{00000000-0005-0000-0000-0000C9320000}"/>
    <cellStyle name="40 % - Aksentti5 25 2_DataIX" xfId="31265" xr:uid="{00000000-0005-0000-0000-0000CA320000}"/>
    <cellStyle name="40 % - Aksentti5 25 3" xfId="16373" xr:uid="{00000000-0005-0000-0000-0000CB320000}"/>
    <cellStyle name="40 % - Aksentti5 25_060617_hinnat" xfId="24367" xr:uid="{00000000-0005-0000-0000-0000CC320000}"/>
    <cellStyle name="40 % - Aksentti5 26" xfId="2854" xr:uid="{00000000-0005-0000-0000-0000CD320000}"/>
    <cellStyle name="40 % - Aksentti5 26 2" xfId="8183" xr:uid="{00000000-0005-0000-0000-0000CE320000}"/>
    <cellStyle name="40 % - Aksentti5 26 2 2" xfId="12062" xr:uid="{00000000-0005-0000-0000-0000CF320000}"/>
    <cellStyle name="40 % - Aksentti5 26 2 3" xfId="19818" xr:uid="{00000000-0005-0000-0000-0000D0320000}"/>
    <cellStyle name="40 % - Aksentti5 26 2_DataIX" xfId="31266" xr:uid="{00000000-0005-0000-0000-0000D1320000}"/>
    <cellStyle name="40 % - Aksentti5 26 3" xfId="16374" xr:uid="{00000000-0005-0000-0000-0000D2320000}"/>
    <cellStyle name="40 % - Aksentti5 26_060617_hinnat" xfId="24368" xr:uid="{00000000-0005-0000-0000-0000D3320000}"/>
    <cellStyle name="40 % - Aksentti5 27" xfId="2855" xr:uid="{00000000-0005-0000-0000-0000D4320000}"/>
    <cellStyle name="40 % - Aksentti5 27 2" xfId="8184" xr:uid="{00000000-0005-0000-0000-0000D5320000}"/>
    <cellStyle name="40 % - Aksentti5 27 2 2" xfId="12063" xr:uid="{00000000-0005-0000-0000-0000D6320000}"/>
    <cellStyle name="40 % - Aksentti5 27 2 3" xfId="19819" xr:uid="{00000000-0005-0000-0000-0000D7320000}"/>
    <cellStyle name="40 % - Aksentti5 27 2_DataIX" xfId="31267" xr:uid="{00000000-0005-0000-0000-0000D8320000}"/>
    <cellStyle name="40 % - Aksentti5 27 3" xfId="16375" xr:uid="{00000000-0005-0000-0000-0000D9320000}"/>
    <cellStyle name="40 % - Aksentti5 27_060617_hinnat" xfId="24369" xr:uid="{00000000-0005-0000-0000-0000DA320000}"/>
    <cellStyle name="40 % - Aksentti5 28" xfId="2856" xr:uid="{00000000-0005-0000-0000-0000DB320000}"/>
    <cellStyle name="40 % - Aksentti5 28 2" xfId="8185" xr:uid="{00000000-0005-0000-0000-0000DC320000}"/>
    <cellStyle name="40 % - Aksentti5 28 2 2" xfId="12064" xr:uid="{00000000-0005-0000-0000-0000DD320000}"/>
    <cellStyle name="40 % - Aksentti5 28 2 3" xfId="19820" xr:uid="{00000000-0005-0000-0000-0000DE320000}"/>
    <cellStyle name="40 % - Aksentti5 28 2_DataIX" xfId="31268" xr:uid="{00000000-0005-0000-0000-0000DF320000}"/>
    <cellStyle name="40 % - Aksentti5 28 3" xfId="16376" xr:uid="{00000000-0005-0000-0000-0000E0320000}"/>
    <cellStyle name="40 % - Aksentti5 28_060617_hinnat" xfId="24370" xr:uid="{00000000-0005-0000-0000-0000E1320000}"/>
    <cellStyle name="40 % - Aksentti5 29" xfId="10650" xr:uid="{00000000-0005-0000-0000-0000E2320000}"/>
    <cellStyle name="40 % - Aksentti5 29 2" xfId="27768" xr:uid="{00000000-0005-0000-0000-0000E3320000}"/>
    <cellStyle name="40 % - Aksentti5 29_DataIX" xfId="31269" xr:uid="{00000000-0005-0000-0000-0000E4320000}"/>
    <cellStyle name="40 % - Aksentti5 3" xfId="162" xr:uid="{00000000-0005-0000-0000-0000E5320000}"/>
    <cellStyle name="40 % - Aksentti5 3 10" xfId="2858" xr:uid="{00000000-0005-0000-0000-0000E6320000}"/>
    <cellStyle name="40 % - Aksentti5 3 10 2" xfId="8186" xr:uid="{00000000-0005-0000-0000-0000E7320000}"/>
    <cellStyle name="40 % - Aksentti5 3 10 2 2" xfId="12065" xr:uid="{00000000-0005-0000-0000-0000E8320000}"/>
    <cellStyle name="40 % - Aksentti5 3 10 2 3" xfId="19821" xr:uid="{00000000-0005-0000-0000-0000E9320000}"/>
    <cellStyle name="40 % - Aksentti5 3 10 2_DataIX" xfId="31270" xr:uid="{00000000-0005-0000-0000-0000EA320000}"/>
    <cellStyle name="40 % - Aksentti5 3 10 3" xfId="16378" xr:uid="{00000000-0005-0000-0000-0000EB320000}"/>
    <cellStyle name="40 % - Aksentti5 3 10_060617_hinnat" xfId="24371" xr:uid="{00000000-0005-0000-0000-0000EC320000}"/>
    <cellStyle name="40 % - Aksentti5 3 11" xfId="2857" xr:uid="{00000000-0005-0000-0000-0000ED320000}"/>
    <cellStyle name="40 % - Aksentti5 3 11 2" xfId="8187" xr:uid="{00000000-0005-0000-0000-0000EE320000}"/>
    <cellStyle name="40 % - Aksentti5 3 11 2 2" xfId="12066" xr:uid="{00000000-0005-0000-0000-0000EF320000}"/>
    <cellStyle name="40 % - Aksentti5 3 11 2 3" xfId="19822" xr:uid="{00000000-0005-0000-0000-0000F0320000}"/>
    <cellStyle name="40 % - Aksentti5 3 11 2_DataIX" xfId="31271" xr:uid="{00000000-0005-0000-0000-0000F1320000}"/>
    <cellStyle name="40 % - Aksentti5 3 11 3" xfId="16377" xr:uid="{00000000-0005-0000-0000-0000F2320000}"/>
    <cellStyle name="40 % - Aksentti5 3 11_060617_hinnat" xfId="24372" xr:uid="{00000000-0005-0000-0000-0000F3320000}"/>
    <cellStyle name="40 % - Aksentti5 3 2" xfId="2859" xr:uid="{00000000-0005-0000-0000-0000F4320000}"/>
    <cellStyle name="40 % - Aksentti5 3 2 10" xfId="2860" xr:uid="{00000000-0005-0000-0000-0000F5320000}"/>
    <cellStyle name="40 % - Aksentti5 3 2 10 2" xfId="8189" xr:uid="{00000000-0005-0000-0000-0000F6320000}"/>
    <cellStyle name="40 % - Aksentti5 3 2 10 2 2" xfId="12067" xr:uid="{00000000-0005-0000-0000-0000F7320000}"/>
    <cellStyle name="40 % - Aksentti5 3 2 10 2 3" xfId="19824" xr:uid="{00000000-0005-0000-0000-0000F8320000}"/>
    <cellStyle name="40 % - Aksentti5 3 2 10 2_DataIX" xfId="31272" xr:uid="{00000000-0005-0000-0000-0000F9320000}"/>
    <cellStyle name="40 % - Aksentti5 3 2 10 3" xfId="16380" xr:uid="{00000000-0005-0000-0000-0000FA320000}"/>
    <cellStyle name="40 % - Aksentti5 3 2 10_060617_hinnat" xfId="24373" xr:uid="{00000000-0005-0000-0000-0000FB320000}"/>
    <cellStyle name="40 % - Aksentti5 3 2 11" xfId="8188" xr:uid="{00000000-0005-0000-0000-0000FC320000}"/>
    <cellStyle name="40 % - Aksentti5 3 2 11 2" xfId="12068" xr:uid="{00000000-0005-0000-0000-0000FD320000}"/>
    <cellStyle name="40 % - Aksentti5 3 2 11 3" xfId="19823" xr:uid="{00000000-0005-0000-0000-0000FE320000}"/>
    <cellStyle name="40 % - Aksentti5 3 2 11_DataIX" xfId="31273" xr:uid="{00000000-0005-0000-0000-0000FF320000}"/>
    <cellStyle name="40 % - Aksentti5 3 2 12" xfId="16379" xr:uid="{00000000-0005-0000-0000-000000330000}"/>
    <cellStyle name="40 % - Aksentti5 3 2 2" xfId="2861" xr:uid="{00000000-0005-0000-0000-000001330000}"/>
    <cellStyle name="40 % - Aksentti5 3 2 2 2" xfId="2862" xr:uid="{00000000-0005-0000-0000-000002330000}"/>
    <cellStyle name="40 % - Aksentti5 3 2 2 2 2" xfId="8191" xr:uid="{00000000-0005-0000-0000-000003330000}"/>
    <cellStyle name="40 % - Aksentti5 3 2 2 2 2 2" xfId="12069" xr:uid="{00000000-0005-0000-0000-000004330000}"/>
    <cellStyle name="40 % - Aksentti5 3 2 2 2 2 3" xfId="19826" xr:uid="{00000000-0005-0000-0000-000005330000}"/>
    <cellStyle name="40 % - Aksentti5 3 2 2 2 2_DataIX" xfId="31274" xr:uid="{00000000-0005-0000-0000-000006330000}"/>
    <cellStyle name="40 % - Aksentti5 3 2 2 2 3" xfId="16382" xr:uid="{00000000-0005-0000-0000-000007330000}"/>
    <cellStyle name="40 % - Aksentti5 3 2 2 2_060617_hinnat" xfId="24374" xr:uid="{00000000-0005-0000-0000-000008330000}"/>
    <cellStyle name="40 % - Aksentti5 3 2 2 3" xfId="8190" xr:uid="{00000000-0005-0000-0000-000009330000}"/>
    <cellStyle name="40 % - Aksentti5 3 2 2 3 2" xfId="12070" xr:uid="{00000000-0005-0000-0000-00000A330000}"/>
    <cellStyle name="40 % - Aksentti5 3 2 2 3 3" xfId="19825" xr:uid="{00000000-0005-0000-0000-00000B330000}"/>
    <cellStyle name="40 % - Aksentti5 3 2 2 3_DataIX" xfId="31275" xr:uid="{00000000-0005-0000-0000-00000C330000}"/>
    <cellStyle name="40 % - Aksentti5 3 2 2 4" xfId="16381" xr:uid="{00000000-0005-0000-0000-00000D330000}"/>
    <cellStyle name="40 % - Aksentti5 3 2 2_060617_hinnat" xfId="24375" xr:uid="{00000000-0005-0000-0000-00000E330000}"/>
    <cellStyle name="40 % - Aksentti5 3 2 3" xfId="2863" xr:uid="{00000000-0005-0000-0000-00000F330000}"/>
    <cellStyle name="40 % - Aksentti5 3 2 3 2" xfId="8192" xr:uid="{00000000-0005-0000-0000-000010330000}"/>
    <cellStyle name="40 % - Aksentti5 3 2 3 2 2" xfId="12071" xr:uid="{00000000-0005-0000-0000-000011330000}"/>
    <cellStyle name="40 % - Aksentti5 3 2 3 2 3" xfId="19827" xr:uid="{00000000-0005-0000-0000-000012330000}"/>
    <cellStyle name="40 % - Aksentti5 3 2 3 2_DataIX" xfId="31276" xr:uid="{00000000-0005-0000-0000-000013330000}"/>
    <cellStyle name="40 % - Aksentti5 3 2 3 3" xfId="16383" xr:uid="{00000000-0005-0000-0000-000014330000}"/>
    <cellStyle name="40 % - Aksentti5 3 2 3_060617_hinnat" xfId="24376" xr:uid="{00000000-0005-0000-0000-000015330000}"/>
    <cellStyle name="40 % - Aksentti5 3 2 4" xfId="2864" xr:uid="{00000000-0005-0000-0000-000016330000}"/>
    <cellStyle name="40 % - Aksentti5 3 2 4 2" xfId="8193" xr:uid="{00000000-0005-0000-0000-000017330000}"/>
    <cellStyle name="40 % - Aksentti5 3 2 4 2 2" xfId="12072" xr:uid="{00000000-0005-0000-0000-000018330000}"/>
    <cellStyle name="40 % - Aksentti5 3 2 4 2 3" xfId="19828" xr:uid="{00000000-0005-0000-0000-000019330000}"/>
    <cellStyle name="40 % - Aksentti5 3 2 4 2_DataIX" xfId="31277" xr:uid="{00000000-0005-0000-0000-00001A330000}"/>
    <cellStyle name="40 % - Aksentti5 3 2 4 3" xfId="16384" xr:uid="{00000000-0005-0000-0000-00001B330000}"/>
    <cellStyle name="40 % - Aksentti5 3 2 4_060617_hinnat" xfId="24377" xr:uid="{00000000-0005-0000-0000-00001C330000}"/>
    <cellStyle name="40 % - Aksentti5 3 2 5" xfId="2865" xr:uid="{00000000-0005-0000-0000-00001D330000}"/>
    <cellStyle name="40 % - Aksentti5 3 2 5 2" xfId="8194" xr:uid="{00000000-0005-0000-0000-00001E330000}"/>
    <cellStyle name="40 % - Aksentti5 3 2 5 2 2" xfId="12073" xr:uid="{00000000-0005-0000-0000-00001F330000}"/>
    <cellStyle name="40 % - Aksentti5 3 2 5 2 3" xfId="19829" xr:uid="{00000000-0005-0000-0000-000020330000}"/>
    <cellStyle name="40 % - Aksentti5 3 2 5 2_DataIX" xfId="31278" xr:uid="{00000000-0005-0000-0000-000021330000}"/>
    <cellStyle name="40 % - Aksentti5 3 2 5 3" xfId="16385" xr:uid="{00000000-0005-0000-0000-000022330000}"/>
    <cellStyle name="40 % - Aksentti5 3 2 5_060617_hinnat" xfId="24378" xr:uid="{00000000-0005-0000-0000-000023330000}"/>
    <cellStyle name="40 % - Aksentti5 3 2 6" xfId="2866" xr:uid="{00000000-0005-0000-0000-000024330000}"/>
    <cellStyle name="40 % - Aksentti5 3 2 6 2" xfId="8195" xr:uid="{00000000-0005-0000-0000-000025330000}"/>
    <cellStyle name="40 % - Aksentti5 3 2 6 2 2" xfId="12074" xr:uid="{00000000-0005-0000-0000-000026330000}"/>
    <cellStyle name="40 % - Aksentti5 3 2 6 2 3" xfId="19830" xr:uid="{00000000-0005-0000-0000-000027330000}"/>
    <cellStyle name="40 % - Aksentti5 3 2 6 2_DataIX" xfId="31279" xr:uid="{00000000-0005-0000-0000-000028330000}"/>
    <cellStyle name="40 % - Aksentti5 3 2 6 3" xfId="16386" xr:uid="{00000000-0005-0000-0000-000029330000}"/>
    <cellStyle name="40 % - Aksentti5 3 2 6_060617_hinnat" xfId="24379" xr:uid="{00000000-0005-0000-0000-00002A330000}"/>
    <cellStyle name="40 % - Aksentti5 3 2 7" xfId="2867" xr:uid="{00000000-0005-0000-0000-00002B330000}"/>
    <cellStyle name="40 % - Aksentti5 3 2 7 2" xfId="8196" xr:uid="{00000000-0005-0000-0000-00002C330000}"/>
    <cellStyle name="40 % - Aksentti5 3 2 7 2 2" xfId="12075" xr:uid="{00000000-0005-0000-0000-00002D330000}"/>
    <cellStyle name="40 % - Aksentti5 3 2 7 2 3" xfId="19831" xr:uid="{00000000-0005-0000-0000-00002E330000}"/>
    <cellStyle name="40 % - Aksentti5 3 2 7 2_DataIX" xfId="31280" xr:uid="{00000000-0005-0000-0000-00002F330000}"/>
    <cellStyle name="40 % - Aksentti5 3 2 7 3" xfId="16387" xr:uid="{00000000-0005-0000-0000-000030330000}"/>
    <cellStyle name="40 % - Aksentti5 3 2 7_060617_hinnat" xfId="24380" xr:uid="{00000000-0005-0000-0000-000031330000}"/>
    <cellStyle name="40 % - Aksentti5 3 2 8" xfId="2868" xr:uid="{00000000-0005-0000-0000-000032330000}"/>
    <cellStyle name="40 % - Aksentti5 3 2 8 2" xfId="8197" xr:uid="{00000000-0005-0000-0000-000033330000}"/>
    <cellStyle name="40 % - Aksentti5 3 2 8 2 2" xfId="12076" xr:uid="{00000000-0005-0000-0000-000034330000}"/>
    <cellStyle name="40 % - Aksentti5 3 2 8 2 3" xfId="19832" xr:uid="{00000000-0005-0000-0000-000035330000}"/>
    <cellStyle name="40 % - Aksentti5 3 2 8 2_DataIX" xfId="31281" xr:uid="{00000000-0005-0000-0000-000036330000}"/>
    <cellStyle name="40 % - Aksentti5 3 2 8 3" xfId="16388" xr:uid="{00000000-0005-0000-0000-000037330000}"/>
    <cellStyle name="40 % - Aksentti5 3 2 8_060617_hinnat" xfId="24381" xr:uid="{00000000-0005-0000-0000-000038330000}"/>
    <cellStyle name="40 % - Aksentti5 3 2 9" xfId="2869" xr:uid="{00000000-0005-0000-0000-000039330000}"/>
    <cellStyle name="40 % - Aksentti5 3 2 9 2" xfId="8198" xr:uid="{00000000-0005-0000-0000-00003A330000}"/>
    <cellStyle name="40 % - Aksentti5 3 2 9 2 2" xfId="12077" xr:uid="{00000000-0005-0000-0000-00003B330000}"/>
    <cellStyle name="40 % - Aksentti5 3 2 9 2 3" xfId="19833" xr:uid="{00000000-0005-0000-0000-00003C330000}"/>
    <cellStyle name="40 % - Aksentti5 3 2 9 2_DataIX" xfId="31282" xr:uid="{00000000-0005-0000-0000-00003D330000}"/>
    <cellStyle name="40 % - Aksentti5 3 2 9 3" xfId="16389" xr:uid="{00000000-0005-0000-0000-00003E330000}"/>
    <cellStyle name="40 % - Aksentti5 3 2 9_060617_hinnat" xfId="24382" xr:uid="{00000000-0005-0000-0000-00003F330000}"/>
    <cellStyle name="40 % - Aksentti5 3 2_060617_hinnat" xfId="24383" xr:uid="{00000000-0005-0000-0000-000040330000}"/>
    <cellStyle name="40 % - Aksentti5 3 3" xfId="2870" xr:uid="{00000000-0005-0000-0000-000041330000}"/>
    <cellStyle name="40 % - Aksentti5 3 3 2" xfId="2871" xr:uid="{00000000-0005-0000-0000-000042330000}"/>
    <cellStyle name="40 % - Aksentti5 3 3 2 2" xfId="2872" xr:uid="{00000000-0005-0000-0000-000043330000}"/>
    <cellStyle name="40 % - Aksentti5 3 3 2 2 2" xfId="8201" xr:uid="{00000000-0005-0000-0000-000044330000}"/>
    <cellStyle name="40 % - Aksentti5 3 3 2 2 2 2" xfId="12078" xr:uid="{00000000-0005-0000-0000-000045330000}"/>
    <cellStyle name="40 % - Aksentti5 3 3 2 2 2 3" xfId="19836" xr:uid="{00000000-0005-0000-0000-000046330000}"/>
    <cellStyle name="40 % - Aksentti5 3 3 2 2 2_DataIX" xfId="31283" xr:uid="{00000000-0005-0000-0000-000047330000}"/>
    <cellStyle name="40 % - Aksentti5 3 3 2 2 3" xfId="16392" xr:uid="{00000000-0005-0000-0000-000048330000}"/>
    <cellStyle name="40 % - Aksentti5 3 3 2 2_060617_hinnat" xfId="24384" xr:uid="{00000000-0005-0000-0000-000049330000}"/>
    <cellStyle name="40 % - Aksentti5 3 3 2 3" xfId="8200" xr:uid="{00000000-0005-0000-0000-00004A330000}"/>
    <cellStyle name="40 % - Aksentti5 3 3 2 3 2" xfId="12079" xr:uid="{00000000-0005-0000-0000-00004B330000}"/>
    <cellStyle name="40 % - Aksentti5 3 3 2 3 3" xfId="19835" xr:uid="{00000000-0005-0000-0000-00004C330000}"/>
    <cellStyle name="40 % - Aksentti5 3 3 2 3_DataIX" xfId="31284" xr:uid="{00000000-0005-0000-0000-00004D330000}"/>
    <cellStyle name="40 % - Aksentti5 3 3 2 4" xfId="16391" xr:uid="{00000000-0005-0000-0000-00004E330000}"/>
    <cellStyle name="40 % - Aksentti5 3 3 2_060617_hinnat" xfId="24385" xr:uid="{00000000-0005-0000-0000-00004F330000}"/>
    <cellStyle name="40 % - Aksentti5 3 3 3" xfId="2873" xr:uid="{00000000-0005-0000-0000-000050330000}"/>
    <cellStyle name="40 % - Aksentti5 3 3 3 2" xfId="8202" xr:uid="{00000000-0005-0000-0000-000051330000}"/>
    <cellStyle name="40 % - Aksentti5 3 3 3 2 2" xfId="12080" xr:uid="{00000000-0005-0000-0000-000052330000}"/>
    <cellStyle name="40 % - Aksentti5 3 3 3 2 3" xfId="19837" xr:uid="{00000000-0005-0000-0000-000053330000}"/>
    <cellStyle name="40 % - Aksentti5 3 3 3 2_DataIX" xfId="31285" xr:uid="{00000000-0005-0000-0000-000054330000}"/>
    <cellStyle name="40 % - Aksentti5 3 3 3 3" xfId="16393" xr:uid="{00000000-0005-0000-0000-000055330000}"/>
    <cellStyle name="40 % - Aksentti5 3 3 3_060617_hinnat" xfId="24386" xr:uid="{00000000-0005-0000-0000-000056330000}"/>
    <cellStyle name="40 % - Aksentti5 3 3 4" xfId="8199" xr:uid="{00000000-0005-0000-0000-000057330000}"/>
    <cellStyle name="40 % - Aksentti5 3 3 4 2" xfId="12081" xr:uid="{00000000-0005-0000-0000-000058330000}"/>
    <cellStyle name="40 % - Aksentti5 3 3 4 3" xfId="19834" xr:uid="{00000000-0005-0000-0000-000059330000}"/>
    <cellStyle name="40 % - Aksentti5 3 3 4_DataIX" xfId="31286" xr:uid="{00000000-0005-0000-0000-00005A330000}"/>
    <cellStyle name="40 % - Aksentti5 3 3 5" xfId="16390" xr:uid="{00000000-0005-0000-0000-00005B330000}"/>
    <cellStyle name="40 % - Aksentti5 3 3_060617_hinnat" xfId="24387" xr:uid="{00000000-0005-0000-0000-00005C330000}"/>
    <cellStyle name="40 % - Aksentti5 3 4" xfId="2874" xr:uid="{00000000-0005-0000-0000-00005D330000}"/>
    <cellStyle name="40 % - Aksentti5 3 4 2" xfId="2875" xr:uid="{00000000-0005-0000-0000-00005E330000}"/>
    <cellStyle name="40 % - Aksentti5 3 4 2 2" xfId="2876" xr:uid="{00000000-0005-0000-0000-00005F330000}"/>
    <cellStyle name="40 % - Aksentti5 3 4 2 2 2" xfId="8205" xr:uid="{00000000-0005-0000-0000-000060330000}"/>
    <cellStyle name="40 % - Aksentti5 3 4 2 2 2 2" xfId="12082" xr:uid="{00000000-0005-0000-0000-000061330000}"/>
    <cellStyle name="40 % - Aksentti5 3 4 2 2 2 3" xfId="19840" xr:uid="{00000000-0005-0000-0000-000062330000}"/>
    <cellStyle name="40 % - Aksentti5 3 4 2 2 2_DataIX" xfId="31287" xr:uid="{00000000-0005-0000-0000-000063330000}"/>
    <cellStyle name="40 % - Aksentti5 3 4 2 2 3" xfId="16396" xr:uid="{00000000-0005-0000-0000-000064330000}"/>
    <cellStyle name="40 % - Aksentti5 3 4 2 2_060617_hinnat" xfId="24388" xr:uid="{00000000-0005-0000-0000-000065330000}"/>
    <cellStyle name="40 % - Aksentti5 3 4 2 3" xfId="8204" xr:uid="{00000000-0005-0000-0000-000066330000}"/>
    <cellStyle name="40 % - Aksentti5 3 4 2 3 2" xfId="12083" xr:uid="{00000000-0005-0000-0000-000067330000}"/>
    <cellStyle name="40 % - Aksentti5 3 4 2 3 3" xfId="19839" xr:uid="{00000000-0005-0000-0000-000068330000}"/>
    <cellStyle name="40 % - Aksentti5 3 4 2 3_DataIX" xfId="31288" xr:uid="{00000000-0005-0000-0000-000069330000}"/>
    <cellStyle name="40 % - Aksentti5 3 4 2 4" xfId="16395" xr:uid="{00000000-0005-0000-0000-00006A330000}"/>
    <cellStyle name="40 % - Aksentti5 3 4 2_060617_hinnat" xfId="24389" xr:uid="{00000000-0005-0000-0000-00006B330000}"/>
    <cellStyle name="40 % - Aksentti5 3 4 3" xfId="2877" xr:uid="{00000000-0005-0000-0000-00006C330000}"/>
    <cellStyle name="40 % - Aksentti5 3 4 3 2" xfId="8206" xr:uid="{00000000-0005-0000-0000-00006D330000}"/>
    <cellStyle name="40 % - Aksentti5 3 4 3 2 2" xfId="12084" xr:uid="{00000000-0005-0000-0000-00006E330000}"/>
    <cellStyle name="40 % - Aksentti5 3 4 3 2 3" xfId="19841" xr:uid="{00000000-0005-0000-0000-00006F330000}"/>
    <cellStyle name="40 % - Aksentti5 3 4 3 2_DataIX" xfId="31289" xr:uid="{00000000-0005-0000-0000-000070330000}"/>
    <cellStyle name="40 % - Aksentti5 3 4 3 3" xfId="16397" xr:uid="{00000000-0005-0000-0000-000071330000}"/>
    <cellStyle name="40 % - Aksentti5 3 4 3_060617_hinnat" xfId="24390" xr:uid="{00000000-0005-0000-0000-000072330000}"/>
    <cellStyle name="40 % - Aksentti5 3 4 4" xfId="8203" xr:uid="{00000000-0005-0000-0000-000073330000}"/>
    <cellStyle name="40 % - Aksentti5 3 4 4 2" xfId="12085" xr:uid="{00000000-0005-0000-0000-000074330000}"/>
    <cellStyle name="40 % - Aksentti5 3 4 4 3" xfId="19838" xr:uid="{00000000-0005-0000-0000-000075330000}"/>
    <cellStyle name="40 % - Aksentti5 3 4 4_DataIX" xfId="31290" xr:uid="{00000000-0005-0000-0000-000076330000}"/>
    <cellStyle name="40 % - Aksentti5 3 4 5" xfId="16394" xr:uid="{00000000-0005-0000-0000-000077330000}"/>
    <cellStyle name="40 % - Aksentti5 3 4_060617_hinnat" xfId="24391" xr:uid="{00000000-0005-0000-0000-000078330000}"/>
    <cellStyle name="40 % - Aksentti5 3 5" xfId="2878" xr:uid="{00000000-0005-0000-0000-000079330000}"/>
    <cellStyle name="40 % - Aksentti5 3 5 2" xfId="2879" xr:uid="{00000000-0005-0000-0000-00007A330000}"/>
    <cellStyle name="40 % - Aksentti5 3 5 2 2" xfId="8208" xr:uid="{00000000-0005-0000-0000-00007B330000}"/>
    <cellStyle name="40 % - Aksentti5 3 5 2 2 2" xfId="12086" xr:uid="{00000000-0005-0000-0000-00007C330000}"/>
    <cellStyle name="40 % - Aksentti5 3 5 2 2 3" xfId="19843" xr:uid="{00000000-0005-0000-0000-00007D330000}"/>
    <cellStyle name="40 % - Aksentti5 3 5 2 2_DataIX" xfId="31291" xr:uid="{00000000-0005-0000-0000-00007E330000}"/>
    <cellStyle name="40 % - Aksentti5 3 5 2 3" xfId="16399" xr:uid="{00000000-0005-0000-0000-00007F330000}"/>
    <cellStyle name="40 % - Aksentti5 3 5 2_060617_hinnat" xfId="24392" xr:uid="{00000000-0005-0000-0000-000080330000}"/>
    <cellStyle name="40 % - Aksentti5 3 5 3" xfId="8207" xr:uid="{00000000-0005-0000-0000-000081330000}"/>
    <cellStyle name="40 % - Aksentti5 3 5 3 2" xfId="12087" xr:uid="{00000000-0005-0000-0000-000082330000}"/>
    <cellStyle name="40 % - Aksentti5 3 5 3 3" xfId="19842" xr:uid="{00000000-0005-0000-0000-000083330000}"/>
    <cellStyle name="40 % - Aksentti5 3 5 3_DataIX" xfId="31292" xr:uid="{00000000-0005-0000-0000-000084330000}"/>
    <cellStyle name="40 % - Aksentti5 3 5 4" xfId="16398" xr:uid="{00000000-0005-0000-0000-000085330000}"/>
    <cellStyle name="40 % - Aksentti5 3 5_060617_hinnat" xfId="24393" xr:uid="{00000000-0005-0000-0000-000086330000}"/>
    <cellStyle name="40 % - Aksentti5 3 6" xfId="2880" xr:uid="{00000000-0005-0000-0000-000087330000}"/>
    <cellStyle name="40 % - Aksentti5 3 6 2" xfId="8209" xr:uid="{00000000-0005-0000-0000-000088330000}"/>
    <cellStyle name="40 % - Aksentti5 3 6 2 2" xfId="12088" xr:uid="{00000000-0005-0000-0000-000089330000}"/>
    <cellStyle name="40 % - Aksentti5 3 6 2 3" xfId="19844" xr:uid="{00000000-0005-0000-0000-00008A330000}"/>
    <cellStyle name="40 % - Aksentti5 3 6 2_DataIX" xfId="31293" xr:uid="{00000000-0005-0000-0000-00008B330000}"/>
    <cellStyle name="40 % - Aksentti5 3 6 3" xfId="16400" xr:uid="{00000000-0005-0000-0000-00008C330000}"/>
    <cellStyle name="40 % - Aksentti5 3 6_060617_hinnat" xfId="24394" xr:uid="{00000000-0005-0000-0000-00008D330000}"/>
    <cellStyle name="40 % - Aksentti5 3 7" xfId="2881" xr:uid="{00000000-0005-0000-0000-00008E330000}"/>
    <cellStyle name="40 % - Aksentti5 3 7 2" xfId="8210" xr:uid="{00000000-0005-0000-0000-00008F330000}"/>
    <cellStyle name="40 % - Aksentti5 3 7 2 2" xfId="12089" xr:uid="{00000000-0005-0000-0000-000090330000}"/>
    <cellStyle name="40 % - Aksentti5 3 7 2 3" xfId="19845" xr:uid="{00000000-0005-0000-0000-000091330000}"/>
    <cellStyle name="40 % - Aksentti5 3 7 2_DataIX" xfId="31294" xr:uid="{00000000-0005-0000-0000-000092330000}"/>
    <cellStyle name="40 % - Aksentti5 3 7 3" xfId="16401" xr:uid="{00000000-0005-0000-0000-000093330000}"/>
    <cellStyle name="40 % - Aksentti5 3 7_060617_hinnat" xfId="24395" xr:uid="{00000000-0005-0000-0000-000094330000}"/>
    <cellStyle name="40 % - Aksentti5 3 8" xfId="2882" xr:uid="{00000000-0005-0000-0000-000095330000}"/>
    <cellStyle name="40 % - Aksentti5 3 8 2" xfId="8211" xr:uid="{00000000-0005-0000-0000-000096330000}"/>
    <cellStyle name="40 % - Aksentti5 3 8 2 2" xfId="12090" xr:uid="{00000000-0005-0000-0000-000097330000}"/>
    <cellStyle name="40 % - Aksentti5 3 8 2 3" xfId="19846" xr:uid="{00000000-0005-0000-0000-000098330000}"/>
    <cellStyle name="40 % - Aksentti5 3 8 2_DataIX" xfId="31295" xr:uid="{00000000-0005-0000-0000-000099330000}"/>
    <cellStyle name="40 % - Aksentti5 3 8 3" xfId="16402" xr:uid="{00000000-0005-0000-0000-00009A330000}"/>
    <cellStyle name="40 % - Aksentti5 3 8_060617_hinnat" xfId="24396" xr:uid="{00000000-0005-0000-0000-00009B330000}"/>
    <cellStyle name="40 % - Aksentti5 3 9" xfId="2883" xr:uid="{00000000-0005-0000-0000-00009C330000}"/>
    <cellStyle name="40 % - Aksentti5 3 9 2" xfId="8212" xr:uid="{00000000-0005-0000-0000-00009D330000}"/>
    <cellStyle name="40 % - Aksentti5 3 9 2 2" xfId="12091" xr:uid="{00000000-0005-0000-0000-00009E330000}"/>
    <cellStyle name="40 % - Aksentti5 3 9 2 3" xfId="19847" xr:uid="{00000000-0005-0000-0000-00009F330000}"/>
    <cellStyle name="40 % - Aksentti5 3 9 2_DataIX" xfId="31296" xr:uid="{00000000-0005-0000-0000-0000A0330000}"/>
    <cellStyle name="40 % - Aksentti5 3 9 3" xfId="16403" xr:uid="{00000000-0005-0000-0000-0000A1330000}"/>
    <cellStyle name="40 % - Aksentti5 3 9_060617_hinnat" xfId="24397" xr:uid="{00000000-0005-0000-0000-0000A2330000}"/>
    <cellStyle name="40 % - Aksentti5 3_060617_hinnat" xfId="24398" xr:uid="{00000000-0005-0000-0000-0000A3330000}"/>
    <cellStyle name="40 % - Aksentti5 30" xfId="13087" xr:uid="{00000000-0005-0000-0000-0000A4330000}"/>
    <cellStyle name="40 % - Aksentti5 31" xfId="13394" xr:uid="{00000000-0005-0000-0000-0000A5330000}"/>
    <cellStyle name="40 % - Aksentti5 32" xfId="13322" xr:uid="{00000000-0005-0000-0000-0000A6330000}"/>
    <cellStyle name="40 % - Aksentti5 33" xfId="13132" xr:uid="{00000000-0005-0000-0000-0000A7330000}"/>
    <cellStyle name="40 % - Aksentti5 34" xfId="13896" xr:uid="{00000000-0005-0000-0000-0000A8330000}"/>
    <cellStyle name="40 % - Aksentti5 35" xfId="13797" xr:uid="{00000000-0005-0000-0000-0000A9330000}"/>
    <cellStyle name="40 % - Aksentti5 36" xfId="25407" xr:uid="{00000000-0005-0000-0000-0000AA330000}"/>
    <cellStyle name="40 % - Aksentti5 37" xfId="25504" xr:uid="{00000000-0005-0000-0000-0000AB330000}"/>
    <cellStyle name="40 % - Aksentti5 38" xfId="26337" xr:uid="{00000000-0005-0000-0000-0000AC330000}"/>
    <cellStyle name="40 % - Aksentti5 39" xfId="25389" xr:uid="{00000000-0005-0000-0000-0000AD330000}"/>
    <cellStyle name="40 % - Aksentti5 4" xfId="2884" xr:uid="{00000000-0005-0000-0000-0000AE330000}"/>
    <cellStyle name="40 % - Aksentti5 4 10" xfId="2885" xr:uid="{00000000-0005-0000-0000-0000AF330000}"/>
    <cellStyle name="40 % - Aksentti5 4 10 2" xfId="8214" xr:uid="{00000000-0005-0000-0000-0000B0330000}"/>
    <cellStyle name="40 % - Aksentti5 4 10 2 2" xfId="12092" xr:uid="{00000000-0005-0000-0000-0000B1330000}"/>
    <cellStyle name="40 % - Aksentti5 4 10 2 3" xfId="19848" xr:uid="{00000000-0005-0000-0000-0000B2330000}"/>
    <cellStyle name="40 % - Aksentti5 4 10 2_DataIX" xfId="31297" xr:uid="{00000000-0005-0000-0000-0000B3330000}"/>
    <cellStyle name="40 % - Aksentti5 4 10 3" xfId="16405" xr:uid="{00000000-0005-0000-0000-0000B4330000}"/>
    <cellStyle name="40 % - Aksentti5 4 10_060617_hinnat" xfId="24399" xr:uid="{00000000-0005-0000-0000-0000B5330000}"/>
    <cellStyle name="40 % - Aksentti5 4 11" xfId="5516" xr:uid="{00000000-0005-0000-0000-0000B6330000}"/>
    <cellStyle name="40 % - Aksentti5 4 11 2" xfId="12093" xr:uid="{00000000-0005-0000-0000-0000B7330000}"/>
    <cellStyle name="40 % - Aksentti5 4 11 3" xfId="18756" xr:uid="{00000000-0005-0000-0000-0000B8330000}"/>
    <cellStyle name="40 % - Aksentti5 4 11_DataIX" xfId="31298" xr:uid="{00000000-0005-0000-0000-0000B9330000}"/>
    <cellStyle name="40 % - Aksentti5 4 12" xfId="16404" xr:uid="{00000000-0005-0000-0000-0000BA330000}"/>
    <cellStyle name="40 % - Aksentti5 4 2" xfId="2886" xr:uid="{00000000-0005-0000-0000-0000BB330000}"/>
    <cellStyle name="40 % - Aksentti5 4 2 2" xfId="2887" xr:uid="{00000000-0005-0000-0000-0000BC330000}"/>
    <cellStyle name="40 % - Aksentti5 4 2 2 2" xfId="2888" xr:uid="{00000000-0005-0000-0000-0000BD330000}"/>
    <cellStyle name="40 % - Aksentti5 4 2 2 2 2" xfId="8217" xr:uid="{00000000-0005-0000-0000-0000BE330000}"/>
    <cellStyle name="40 % - Aksentti5 4 2 2 2 2 2" xfId="12094" xr:uid="{00000000-0005-0000-0000-0000BF330000}"/>
    <cellStyle name="40 % - Aksentti5 4 2 2 2 2 3" xfId="19851" xr:uid="{00000000-0005-0000-0000-0000C0330000}"/>
    <cellStyle name="40 % - Aksentti5 4 2 2 2 2_DataIX" xfId="31299" xr:uid="{00000000-0005-0000-0000-0000C1330000}"/>
    <cellStyle name="40 % - Aksentti5 4 2 2 2 3" xfId="16408" xr:uid="{00000000-0005-0000-0000-0000C2330000}"/>
    <cellStyle name="40 % - Aksentti5 4 2 2 2_060617_hinnat" xfId="24400" xr:uid="{00000000-0005-0000-0000-0000C3330000}"/>
    <cellStyle name="40 % - Aksentti5 4 2 2 3" xfId="8216" xr:uid="{00000000-0005-0000-0000-0000C4330000}"/>
    <cellStyle name="40 % - Aksentti5 4 2 2 3 2" xfId="12095" xr:uid="{00000000-0005-0000-0000-0000C5330000}"/>
    <cellStyle name="40 % - Aksentti5 4 2 2 3 3" xfId="19850" xr:uid="{00000000-0005-0000-0000-0000C6330000}"/>
    <cellStyle name="40 % - Aksentti5 4 2 2 3_DataIX" xfId="31300" xr:uid="{00000000-0005-0000-0000-0000C7330000}"/>
    <cellStyle name="40 % - Aksentti5 4 2 2 4" xfId="16407" xr:uid="{00000000-0005-0000-0000-0000C8330000}"/>
    <cellStyle name="40 % - Aksentti5 4 2 2_060617_hinnat" xfId="24401" xr:uid="{00000000-0005-0000-0000-0000C9330000}"/>
    <cellStyle name="40 % - Aksentti5 4 2 3" xfId="2889" xr:uid="{00000000-0005-0000-0000-0000CA330000}"/>
    <cellStyle name="40 % - Aksentti5 4 2 3 2" xfId="8218" xr:uid="{00000000-0005-0000-0000-0000CB330000}"/>
    <cellStyle name="40 % - Aksentti5 4 2 3 2 2" xfId="12096" xr:uid="{00000000-0005-0000-0000-0000CC330000}"/>
    <cellStyle name="40 % - Aksentti5 4 2 3 2 3" xfId="19852" xr:uid="{00000000-0005-0000-0000-0000CD330000}"/>
    <cellStyle name="40 % - Aksentti5 4 2 3 2_DataIX" xfId="31301" xr:uid="{00000000-0005-0000-0000-0000CE330000}"/>
    <cellStyle name="40 % - Aksentti5 4 2 3 3" xfId="16409" xr:uid="{00000000-0005-0000-0000-0000CF330000}"/>
    <cellStyle name="40 % - Aksentti5 4 2 3_060617_hinnat" xfId="24402" xr:uid="{00000000-0005-0000-0000-0000D0330000}"/>
    <cellStyle name="40 % - Aksentti5 4 2 4" xfId="8215" xr:uid="{00000000-0005-0000-0000-0000D1330000}"/>
    <cellStyle name="40 % - Aksentti5 4 2 4 2" xfId="12097" xr:uid="{00000000-0005-0000-0000-0000D2330000}"/>
    <cellStyle name="40 % - Aksentti5 4 2 4 3" xfId="19849" xr:uid="{00000000-0005-0000-0000-0000D3330000}"/>
    <cellStyle name="40 % - Aksentti5 4 2 4_DataIX" xfId="31302" xr:uid="{00000000-0005-0000-0000-0000D4330000}"/>
    <cellStyle name="40 % - Aksentti5 4 2 5" xfId="16406" xr:uid="{00000000-0005-0000-0000-0000D5330000}"/>
    <cellStyle name="40 % - Aksentti5 4 2_060617_hinnat" xfId="24403" xr:uid="{00000000-0005-0000-0000-0000D6330000}"/>
    <cellStyle name="40 % - Aksentti5 4 3" xfId="2890" xr:uid="{00000000-0005-0000-0000-0000D7330000}"/>
    <cellStyle name="40 % - Aksentti5 4 3 2" xfId="2891" xr:uid="{00000000-0005-0000-0000-0000D8330000}"/>
    <cellStyle name="40 % - Aksentti5 4 3 2 2" xfId="8220" xr:uid="{00000000-0005-0000-0000-0000D9330000}"/>
    <cellStyle name="40 % - Aksentti5 4 3 2 2 2" xfId="12098" xr:uid="{00000000-0005-0000-0000-0000DA330000}"/>
    <cellStyle name="40 % - Aksentti5 4 3 2 2 3" xfId="19854" xr:uid="{00000000-0005-0000-0000-0000DB330000}"/>
    <cellStyle name="40 % - Aksentti5 4 3 2 2_DataIX" xfId="31303" xr:uid="{00000000-0005-0000-0000-0000DC330000}"/>
    <cellStyle name="40 % - Aksentti5 4 3 2 3" xfId="16411" xr:uid="{00000000-0005-0000-0000-0000DD330000}"/>
    <cellStyle name="40 % - Aksentti5 4 3 2_060617_hinnat" xfId="24404" xr:uid="{00000000-0005-0000-0000-0000DE330000}"/>
    <cellStyle name="40 % - Aksentti5 4 3 3" xfId="8219" xr:uid="{00000000-0005-0000-0000-0000DF330000}"/>
    <cellStyle name="40 % - Aksentti5 4 3 3 2" xfId="12099" xr:uid="{00000000-0005-0000-0000-0000E0330000}"/>
    <cellStyle name="40 % - Aksentti5 4 3 3 3" xfId="19853" xr:uid="{00000000-0005-0000-0000-0000E1330000}"/>
    <cellStyle name="40 % - Aksentti5 4 3 3_DataIX" xfId="31304" xr:uid="{00000000-0005-0000-0000-0000E2330000}"/>
    <cellStyle name="40 % - Aksentti5 4 3 4" xfId="16410" xr:uid="{00000000-0005-0000-0000-0000E3330000}"/>
    <cellStyle name="40 % - Aksentti5 4 3_060617_hinnat" xfId="24405" xr:uid="{00000000-0005-0000-0000-0000E4330000}"/>
    <cellStyle name="40 % - Aksentti5 4 4" xfId="2892" xr:uid="{00000000-0005-0000-0000-0000E5330000}"/>
    <cellStyle name="40 % - Aksentti5 4 4 2" xfId="8221" xr:uid="{00000000-0005-0000-0000-0000E6330000}"/>
    <cellStyle name="40 % - Aksentti5 4 4 2 2" xfId="12100" xr:uid="{00000000-0005-0000-0000-0000E7330000}"/>
    <cellStyle name="40 % - Aksentti5 4 4 2 3" xfId="19855" xr:uid="{00000000-0005-0000-0000-0000E8330000}"/>
    <cellStyle name="40 % - Aksentti5 4 4 2_DataIX" xfId="31305" xr:uid="{00000000-0005-0000-0000-0000E9330000}"/>
    <cellStyle name="40 % - Aksentti5 4 4 3" xfId="16412" xr:uid="{00000000-0005-0000-0000-0000EA330000}"/>
    <cellStyle name="40 % - Aksentti5 4 4_060617_hinnat" xfId="24406" xr:uid="{00000000-0005-0000-0000-0000EB330000}"/>
    <cellStyle name="40 % - Aksentti5 4 5" xfId="2893" xr:uid="{00000000-0005-0000-0000-0000EC330000}"/>
    <cellStyle name="40 % - Aksentti5 4 5 2" xfId="8222" xr:uid="{00000000-0005-0000-0000-0000ED330000}"/>
    <cellStyle name="40 % - Aksentti5 4 5 2 2" xfId="12101" xr:uid="{00000000-0005-0000-0000-0000EE330000}"/>
    <cellStyle name="40 % - Aksentti5 4 5 2 3" xfId="19856" xr:uid="{00000000-0005-0000-0000-0000EF330000}"/>
    <cellStyle name="40 % - Aksentti5 4 5 2_DataIX" xfId="31306" xr:uid="{00000000-0005-0000-0000-0000F0330000}"/>
    <cellStyle name="40 % - Aksentti5 4 5 3" xfId="16413" xr:uid="{00000000-0005-0000-0000-0000F1330000}"/>
    <cellStyle name="40 % - Aksentti5 4 5_060617_hinnat" xfId="24407" xr:uid="{00000000-0005-0000-0000-0000F2330000}"/>
    <cellStyle name="40 % - Aksentti5 4 6" xfId="2894" xr:uid="{00000000-0005-0000-0000-0000F3330000}"/>
    <cellStyle name="40 % - Aksentti5 4 6 2" xfId="8223" xr:uid="{00000000-0005-0000-0000-0000F4330000}"/>
    <cellStyle name="40 % - Aksentti5 4 6 2 2" xfId="12102" xr:uid="{00000000-0005-0000-0000-0000F5330000}"/>
    <cellStyle name="40 % - Aksentti5 4 6 2 3" xfId="19857" xr:uid="{00000000-0005-0000-0000-0000F6330000}"/>
    <cellStyle name="40 % - Aksentti5 4 6 2_DataIX" xfId="31307" xr:uid="{00000000-0005-0000-0000-0000F7330000}"/>
    <cellStyle name="40 % - Aksentti5 4 6 3" xfId="16414" xr:uid="{00000000-0005-0000-0000-0000F8330000}"/>
    <cellStyle name="40 % - Aksentti5 4 6_060617_hinnat" xfId="24408" xr:uid="{00000000-0005-0000-0000-0000F9330000}"/>
    <cellStyle name="40 % - Aksentti5 4 7" xfId="2895" xr:uid="{00000000-0005-0000-0000-0000FA330000}"/>
    <cellStyle name="40 % - Aksentti5 4 7 2" xfId="8224" xr:uid="{00000000-0005-0000-0000-0000FB330000}"/>
    <cellStyle name="40 % - Aksentti5 4 7 2 2" xfId="12103" xr:uid="{00000000-0005-0000-0000-0000FC330000}"/>
    <cellStyle name="40 % - Aksentti5 4 7 2 3" xfId="19858" xr:uid="{00000000-0005-0000-0000-0000FD330000}"/>
    <cellStyle name="40 % - Aksentti5 4 7 2_DataIX" xfId="31308" xr:uid="{00000000-0005-0000-0000-0000FE330000}"/>
    <cellStyle name="40 % - Aksentti5 4 7 3" xfId="16415" xr:uid="{00000000-0005-0000-0000-0000FF330000}"/>
    <cellStyle name="40 % - Aksentti5 4 7_060617_hinnat" xfId="24409" xr:uid="{00000000-0005-0000-0000-000000340000}"/>
    <cellStyle name="40 % - Aksentti5 4 8" xfId="2896" xr:uid="{00000000-0005-0000-0000-000001340000}"/>
    <cellStyle name="40 % - Aksentti5 4 8 2" xfId="8225" xr:uid="{00000000-0005-0000-0000-000002340000}"/>
    <cellStyle name="40 % - Aksentti5 4 8 2 2" xfId="12104" xr:uid="{00000000-0005-0000-0000-000003340000}"/>
    <cellStyle name="40 % - Aksentti5 4 8 2 3" xfId="19859" xr:uid="{00000000-0005-0000-0000-000004340000}"/>
    <cellStyle name="40 % - Aksentti5 4 8 2_DataIX" xfId="31309" xr:uid="{00000000-0005-0000-0000-000005340000}"/>
    <cellStyle name="40 % - Aksentti5 4 8 3" xfId="16416" xr:uid="{00000000-0005-0000-0000-000006340000}"/>
    <cellStyle name="40 % - Aksentti5 4 8_060617_hinnat" xfId="24410" xr:uid="{00000000-0005-0000-0000-000007340000}"/>
    <cellStyle name="40 % - Aksentti5 4 9" xfId="2897" xr:uid="{00000000-0005-0000-0000-000008340000}"/>
    <cellStyle name="40 % - Aksentti5 4 9 2" xfId="8226" xr:uid="{00000000-0005-0000-0000-000009340000}"/>
    <cellStyle name="40 % - Aksentti5 4 9 2 2" xfId="12105" xr:uid="{00000000-0005-0000-0000-00000A340000}"/>
    <cellStyle name="40 % - Aksentti5 4 9 2 3" xfId="19860" xr:uid="{00000000-0005-0000-0000-00000B340000}"/>
    <cellStyle name="40 % - Aksentti5 4 9 2_DataIX" xfId="31310" xr:uid="{00000000-0005-0000-0000-00000C340000}"/>
    <cellStyle name="40 % - Aksentti5 4 9 3" xfId="16417" xr:uid="{00000000-0005-0000-0000-00000D340000}"/>
    <cellStyle name="40 % - Aksentti5 4 9_060617_hinnat" xfId="24411" xr:uid="{00000000-0005-0000-0000-00000E340000}"/>
    <cellStyle name="40 % - Aksentti5 4_##Keskeiset" xfId="8213" xr:uid="{00000000-0005-0000-0000-00000F340000}"/>
    <cellStyle name="40 % - Aksentti5 40" xfId="26013" xr:uid="{00000000-0005-0000-0000-000010340000}"/>
    <cellStyle name="40 % - Aksentti5 41" xfId="26528" xr:uid="{00000000-0005-0000-0000-000011340000}"/>
    <cellStyle name="40 % - Aksentti5 42" xfId="25882" xr:uid="{00000000-0005-0000-0000-000012340000}"/>
    <cellStyle name="40 % - Aksentti5 43" xfId="25270" xr:uid="{00000000-0005-0000-0000-000013340000}"/>
    <cellStyle name="40 % - Aksentti5 44" xfId="25684" xr:uid="{00000000-0005-0000-0000-000014340000}"/>
    <cellStyle name="40 % - Aksentti5 5" xfId="2898" xr:uid="{00000000-0005-0000-0000-000015340000}"/>
    <cellStyle name="40 % - Aksentti5 5 10" xfId="2899" xr:uid="{00000000-0005-0000-0000-000016340000}"/>
    <cellStyle name="40 % - Aksentti5 5 10 2" xfId="8228" xr:uid="{00000000-0005-0000-0000-000017340000}"/>
    <cellStyle name="40 % - Aksentti5 5 10 2 2" xfId="12106" xr:uid="{00000000-0005-0000-0000-000018340000}"/>
    <cellStyle name="40 % - Aksentti5 5 10 2 3" xfId="19862" xr:uid="{00000000-0005-0000-0000-000019340000}"/>
    <cellStyle name="40 % - Aksentti5 5 10 2_DataIX" xfId="31311" xr:uid="{00000000-0005-0000-0000-00001A340000}"/>
    <cellStyle name="40 % - Aksentti5 5 10 3" xfId="16419" xr:uid="{00000000-0005-0000-0000-00001B340000}"/>
    <cellStyle name="40 % - Aksentti5 5 10_060617_hinnat" xfId="24412" xr:uid="{00000000-0005-0000-0000-00001C340000}"/>
    <cellStyle name="40 % - Aksentti5 5 11" xfId="8227" xr:uid="{00000000-0005-0000-0000-00001D340000}"/>
    <cellStyle name="40 % - Aksentti5 5 11 2" xfId="12107" xr:uid="{00000000-0005-0000-0000-00001E340000}"/>
    <cellStyle name="40 % - Aksentti5 5 11 3" xfId="19861" xr:uid="{00000000-0005-0000-0000-00001F340000}"/>
    <cellStyle name="40 % - Aksentti5 5 11_DataIX" xfId="31312" xr:uid="{00000000-0005-0000-0000-000020340000}"/>
    <cellStyle name="40 % - Aksentti5 5 12" xfId="16418" xr:uid="{00000000-0005-0000-0000-000021340000}"/>
    <cellStyle name="40 % - Aksentti5 5 2" xfId="2900" xr:uid="{00000000-0005-0000-0000-000022340000}"/>
    <cellStyle name="40 % - Aksentti5 5 2 2" xfId="2901" xr:uid="{00000000-0005-0000-0000-000023340000}"/>
    <cellStyle name="40 % - Aksentti5 5 2 2 2" xfId="2902" xr:uid="{00000000-0005-0000-0000-000024340000}"/>
    <cellStyle name="40 % - Aksentti5 5 2 2 2 2" xfId="8231" xr:uid="{00000000-0005-0000-0000-000025340000}"/>
    <cellStyle name="40 % - Aksentti5 5 2 2 2 2 2" xfId="12108" xr:uid="{00000000-0005-0000-0000-000026340000}"/>
    <cellStyle name="40 % - Aksentti5 5 2 2 2 2 3" xfId="19865" xr:uid="{00000000-0005-0000-0000-000027340000}"/>
    <cellStyle name="40 % - Aksentti5 5 2 2 2 2_DataIX" xfId="31313" xr:uid="{00000000-0005-0000-0000-000028340000}"/>
    <cellStyle name="40 % - Aksentti5 5 2 2 2 3" xfId="16422" xr:uid="{00000000-0005-0000-0000-000029340000}"/>
    <cellStyle name="40 % - Aksentti5 5 2 2 2_060617_hinnat" xfId="24413" xr:uid="{00000000-0005-0000-0000-00002A340000}"/>
    <cellStyle name="40 % - Aksentti5 5 2 2 3" xfId="8230" xr:uid="{00000000-0005-0000-0000-00002B340000}"/>
    <cellStyle name="40 % - Aksentti5 5 2 2 3 2" xfId="12109" xr:uid="{00000000-0005-0000-0000-00002C340000}"/>
    <cellStyle name="40 % - Aksentti5 5 2 2 3 3" xfId="19864" xr:uid="{00000000-0005-0000-0000-00002D340000}"/>
    <cellStyle name="40 % - Aksentti5 5 2 2 3_DataIX" xfId="31314" xr:uid="{00000000-0005-0000-0000-00002E340000}"/>
    <cellStyle name="40 % - Aksentti5 5 2 2 4" xfId="16421" xr:uid="{00000000-0005-0000-0000-00002F340000}"/>
    <cellStyle name="40 % - Aksentti5 5 2 2_060617_hinnat" xfId="24414" xr:uid="{00000000-0005-0000-0000-000030340000}"/>
    <cellStyle name="40 % - Aksentti5 5 2 3" xfId="2903" xr:uid="{00000000-0005-0000-0000-000031340000}"/>
    <cellStyle name="40 % - Aksentti5 5 2 3 2" xfId="8232" xr:uid="{00000000-0005-0000-0000-000032340000}"/>
    <cellStyle name="40 % - Aksentti5 5 2 3 2 2" xfId="12110" xr:uid="{00000000-0005-0000-0000-000033340000}"/>
    <cellStyle name="40 % - Aksentti5 5 2 3 2 3" xfId="19866" xr:uid="{00000000-0005-0000-0000-000034340000}"/>
    <cellStyle name="40 % - Aksentti5 5 2 3 2_DataIX" xfId="31315" xr:uid="{00000000-0005-0000-0000-000035340000}"/>
    <cellStyle name="40 % - Aksentti5 5 2 3 3" xfId="16423" xr:uid="{00000000-0005-0000-0000-000036340000}"/>
    <cellStyle name="40 % - Aksentti5 5 2 3_060617_hinnat" xfId="24415" xr:uid="{00000000-0005-0000-0000-000037340000}"/>
    <cellStyle name="40 % - Aksentti5 5 2 4" xfId="8229" xr:uid="{00000000-0005-0000-0000-000038340000}"/>
    <cellStyle name="40 % - Aksentti5 5 2 4 2" xfId="12111" xr:uid="{00000000-0005-0000-0000-000039340000}"/>
    <cellStyle name="40 % - Aksentti5 5 2 4 3" xfId="19863" xr:uid="{00000000-0005-0000-0000-00003A340000}"/>
    <cellStyle name="40 % - Aksentti5 5 2 4_DataIX" xfId="31316" xr:uid="{00000000-0005-0000-0000-00003B340000}"/>
    <cellStyle name="40 % - Aksentti5 5 2 5" xfId="16420" xr:uid="{00000000-0005-0000-0000-00003C340000}"/>
    <cellStyle name="40 % - Aksentti5 5 2_060617_hinnat" xfId="24416" xr:uid="{00000000-0005-0000-0000-00003D340000}"/>
    <cellStyle name="40 % - Aksentti5 5 3" xfId="2904" xr:uid="{00000000-0005-0000-0000-00003E340000}"/>
    <cellStyle name="40 % - Aksentti5 5 3 2" xfId="2905" xr:uid="{00000000-0005-0000-0000-00003F340000}"/>
    <cellStyle name="40 % - Aksentti5 5 3 2 2" xfId="8234" xr:uid="{00000000-0005-0000-0000-000040340000}"/>
    <cellStyle name="40 % - Aksentti5 5 3 2 2 2" xfId="12112" xr:uid="{00000000-0005-0000-0000-000041340000}"/>
    <cellStyle name="40 % - Aksentti5 5 3 2 2 3" xfId="19868" xr:uid="{00000000-0005-0000-0000-000042340000}"/>
    <cellStyle name="40 % - Aksentti5 5 3 2 2_DataIX" xfId="31317" xr:uid="{00000000-0005-0000-0000-000043340000}"/>
    <cellStyle name="40 % - Aksentti5 5 3 2 3" xfId="16425" xr:uid="{00000000-0005-0000-0000-000044340000}"/>
    <cellStyle name="40 % - Aksentti5 5 3 2_060617_hinnat" xfId="24417" xr:uid="{00000000-0005-0000-0000-000045340000}"/>
    <cellStyle name="40 % - Aksentti5 5 3 3" xfId="8233" xr:uid="{00000000-0005-0000-0000-000046340000}"/>
    <cellStyle name="40 % - Aksentti5 5 3 3 2" xfId="12113" xr:uid="{00000000-0005-0000-0000-000047340000}"/>
    <cellStyle name="40 % - Aksentti5 5 3 3 3" xfId="19867" xr:uid="{00000000-0005-0000-0000-000048340000}"/>
    <cellStyle name="40 % - Aksentti5 5 3 3_DataIX" xfId="31318" xr:uid="{00000000-0005-0000-0000-000049340000}"/>
    <cellStyle name="40 % - Aksentti5 5 3 4" xfId="16424" xr:uid="{00000000-0005-0000-0000-00004A340000}"/>
    <cellStyle name="40 % - Aksentti5 5 3_060617_hinnat" xfId="24418" xr:uid="{00000000-0005-0000-0000-00004B340000}"/>
    <cellStyle name="40 % - Aksentti5 5 4" xfId="2906" xr:uid="{00000000-0005-0000-0000-00004C340000}"/>
    <cellStyle name="40 % - Aksentti5 5 4 2" xfId="8235" xr:uid="{00000000-0005-0000-0000-00004D340000}"/>
    <cellStyle name="40 % - Aksentti5 5 4 2 2" xfId="12114" xr:uid="{00000000-0005-0000-0000-00004E340000}"/>
    <cellStyle name="40 % - Aksentti5 5 4 2 3" xfId="19869" xr:uid="{00000000-0005-0000-0000-00004F340000}"/>
    <cellStyle name="40 % - Aksentti5 5 4 2_DataIX" xfId="31319" xr:uid="{00000000-0005-0000-0000-000050340000}"/>
    <cellStyle name="40 % - Aksentti5 5 4 3" xfId="16426" xr:uid="{00000000-0005-0000-0000-000051340000}"/>
    <cellStyle name="40 % - Aksentti5 5 4_060617_hinnat" xfId="24419" xr:uid="{00000000-0005-0000-0000-000052340000}"/>
    <cellStyle name="40 % - Aksentti5 5 5" xfId="2907" xr:uid="{00000000-0005-0000-0000-000053340000}"/>
    <cellStyle name="40 % - Aksentti5 5 5 2" xfId="8236" xr:uid="{00000000-0005-0000-0000-000054340000}"/>
    <cellStyle name="40 % - Aksentti5 5 5 2 2" xfId="12115" xr:uid="{00000000-0005-0000-0000-000055340000}"/>
    <cellStyle name="40 % - Aksentti5 5 5 2 3" xfId="19870" xr:uid="{00000000-0005-0000-0000-000056340000}"/>
    <cellStyle name="40 % - Aksentti5 5 5 2_DataIX" xfId="31320" xr:uid="{00000000-0005-0000-0000-000057340000}"/>
    <cellStyle name="40 % - Aksentti5 5 5 3" xfId="16427" xr:uid="{00000000-0005-0000-0000-000058340000}"/>
    <cellStyle name="40 % - Aksentti5 5 5_060617_hinnat" xfId="24420" xr:uid="{00000000-0005-0000-0000-000059340000}"/>
    <cellStyle name="40 % - Aksentti5 5 6" xfId="2908" xr:uid="{00000000-0005-0000-0000-00005A340000}"/>
    <cellStyle name="40 % - Aksentti5 5 6 2" xfId="8237" xr:uid="{00000000-0005-0000-0000-00005B340000}"/>
    <cellStyle name="40 % - Aksentti5 5 6 2 2" xfId="12116" xr:uid="{00000000-0005-0000-0000-00005C340000}"/>
    <cellStyle name="40 % - Aksentti5 5 6 2 3" xfId="19871" xr:uid="{00000000-0005-0000-0000-00005D340000}"/>
    <cellStyle name="40 % - Aksentti5 5 6 2_DataIX" xfId="31321" xr:uid="{00000000-0005-0000-0000-00005E340000}"/>
    <cellStyle name="40 % - Aksentti5 5 6 3" xfId="16428" xr:uid="{00000000-0005-0000-0000-00005F340000}"/>
    <cellStyle name="40 % - Aksentti5 5 6_060617_hinnat" xfId="24421" xr:uid="{00000000-0005-0000-0000-000060340000}"/>
    <cellStyle name="40 % - Aksentti5 5 7" xfId="2909" xr:uid="{00000000-0005-0000-0000-000061340000}"/>
    <cellStyle name="40 % - Aksentti5 5 7 2" xfId="8238" xr:uid="{00000000-0005-0000-0000-000062340000}"/>
    <cellStyle name="40 % - Aksentti5 5 7 2 2" xfId="12117" xr:uid="{00000000-0005-0000-0000-000063340000}"/>
    <cellStyle name="40 % - Aksentti5 5 7 2 3" xfId="19872" xr:uid="{00000000-0005-0000-0000-000064340000}"/>
    <cellStyle name="40 % - Aksentti5 5 7 2_DataIX" xfId="31322" xr:uid="{00000000-0005-0000-0000-000065340000}"/>
    <cellStyle name="40 % - Aksentti5 5 7 3" xfId="16429" xr:uid="{00000000-0005-0000-0000-000066340000}"/>
    <cellStyle name="40 % - Aksentti5 5 7_060617_hinnat" xfId="24422" xr:uid="{00000000-0005-0000-0000-000067340000}"/>
    <cellStyle name="40 % - Aksentti5 5 8" xfId="2910" xr:uid="{00000000-0005-0000-0000-000068340000}"/>
    <cellStyle name="40 % - Aksentti5 5 8 2" xfId="8239" xr:uid="{00000000-0005-0000-0000-000069340000}"/>
    <cellStyle name="40 % - Aksentti5 5 8 2 2" xfId="12118" xr:uid="{00000000-0005-0000-0000-00006A340000}"/>
    <cellStyle name="40 % - Aksentti5 5 8 2 3" xfId="19873" xr:uid="{00000000-0005-0000-0000-00006B340000}"/>
    <cellStyle name="40 % - Aksentti5 5 8 2_DataIX" xfId="31323" xr:uid="{00000000-0005-0000-0000-00006C340000}"/>
    <cellStyle name="40 % - Aksentti5 5 8 3" xfId="16430" xr:uid="{00000000-0005-0000-0000-00006D340000}"/>
    <cellStyle name="40 % - Aksentti5 5 8_060617_hinnat" xfId="24423" xr:uid="{00000000-0005-0000-0000-00006E340000}"/>
    <cellStyle name="40 % - Aksentti5 5 9" xfId="2911" xr:uid="{00000000-0005-0000-0000-00006F340000}"/>
    <cellStyle name="40 % - Aksentti5 5 9 2" xfId="8240" xr:uid="{00000000-0005-0000-0000-000070340000}"/>
    <cellStyle name="40 % - Aksentti5 5 9 2 2" xfId="12119" xr:uid="{00000000-0005-0000-0000-000071340000}"/>
    <cellStyle name="40 % - Aksentti5 5 9 2 3" xfId="19874" xr:uid="{00000000-0005-0000-0000-000072340000}"/>
    <cellStyle name="40 % - Aksentti5 5 9 2_DataIX" xfId="31324" xr:uid="{00000000-0005-0000-0000-000073340000}"/>
    <cellStyle name="40 % - Aksentti5 5 9 3" xfId="16431" xr:uid="{00000000-0005-0000-0000-000074340000}"/>
    <cellStyle name="40 % - Aksentti5 5 9_060617_hinnat" xfId="24424" xr:uid="{00000000-0005-0000-0000-000075340000}"/>
    <cellStyle name="40 % - Aksentti5 5_060617_hinnat" xfId="24425" xr:uid="{00000000-0005-0000-0000-000076340000}"/>
    <cellStyle name="40 % - Aksentti5 6" xfId="2912" xr:uid="{00000000-0005-0000-0000-000077340000}"/>
    <cellStyle name="40 % - Aksentti5 6 10" xfId="2913" xr:uid="{00000000-0005-0000-0000-000078340000}"/>
    <cellStyle name="40 % - Aksentti5 6 10 2" xfId="8242" xr:uid="{00000000-0005-0000-0000-000079340000}"/>
    <cellStyle name="40 % - Aksentti5 6 10 2 2" xfId="12120" xr:uid="{00000000-0005-0000-0000-00007A340000}"/>
    <cellStyle name="40 % - Aksentti5 6 10 2 3" xfId="19876" xr:uid="{00000000-0005-0000-0000-00007B340000}"/>
    <cellStyle name="40 % - Aksentti5 6 10 2_DataIX" xfId="31325" xr:uid="{00000000-0005-0000-0000-00007C340000}"/>
    <cellStyle name="40 % - Aksentti5 6 10 3" xfId="16433" xr:uid="{00000000-0005-0000-0000-00007D340000}"/>
    <cellStyle name="40 % - Aksentti5 6 10_060617_hinnat" xfId="24426" xr:uid="{00000000-0005-0000-0000-00007E340000}"/>
    <cellStyle name="40 % - Aksentti5 6 11" xfId="8241" xr:uid="{00000000-0005-0000-0000-00007F340000}"/>
    <cellStyle name="40 % - Aksentti5 6 11 2" xfId="12121" xr:uid="{00000000-0005-0000-0000-000080340000}"/>
    <cellStyle name="40 % - Aksentti5 6 11 3" xfId="19875" xr:uid="{00000000-0005-0000-0000-000081340000}"/>
    <cellStyle name="40 % - Aksentti5 6 11_DataIX" xfId="31326" xr:uid="{00000000-0005-0000-0000-000082340000}"/>
    <cellStyle name="40 % - Aksentti5 6 12" xfId="16432" xr:uid="{00000000-0005-0000-0000-000083340000}"/>
    <cellStyle name="40 % - Aksentti5 6 2" xfId="2914" xr:uid="{00000000-0005-0000-0000-000084340000}"/>
    <cellStyle name="40 % - Aksentti5 6 2 2" xfId="2915" xr:uid="{00000000-0005-0000-0000-000085340000}"/>
    <cellStyle name="40 % - Aksentti5 6 2 2 2" xfId="2916" xr:uid="{00000000-0005-0000-0000-000086340000}"/>
    <cellStyle name="40 % - Aksentti5 6 2 2 2 2" xfId="8245" xr:uid="{00000000-0005-0000-0000-000087340000}"/>
    <cellStyle name="40 % - Aksentti5 6 2 2 2 2 2" xfId="12122" xr:uid="{00000000-0005-0000-0000-000088340000}"/>
    <cellStyle name="40 % - Aksentti5 6 2 2 2 2 3" xfId="19879" xr:uid="{00000000-0005-0000-0000-000089340000}"/>
    <cellStyle name="40 % - Aksentti5 6 2 2 2 2_DataIX" xfId="31327" xr:uid="{00000000-0005-0000-0000-00008A340000}"/>
    <cellStyle name="40 % - Aksentti5 6 2 2 2 3" xfId="16436" xr:uid="{00000000-0005-0000-0000-00008B340000}"/>
    <cellStyle name="40 % - Aksentti5 6 2 2 2_060617_hinnat" xfId="24427" xr:uid="{00000000-0005-0000-0000-00008C340000}"/>
    <cellStyle name="40 % - Aksentti5 6 2 2 3" xfId="8244" xr:uid="{00000000-0005-0000-0000-00008D340000}"/>
    <cellStyle name="40 % - Aksentti5 6 2 2 3 2" xfId="12123" xr:uid="{00000000-0005-0000-0000-00008E340000}"/>
    <cellStyle name="40 % - Aksentti5 6 2 2 3 3" xfId="19878" xr:uid="{00000000-0005-0000-0000-00008F340000}"/>
    <cellStyle name="40 % - Aksentti5 6 2 2 3_DataIX" xfId="31328" xr:uid="{00000000-0005-0000-0000-000090340000}"/>
    <cellStyle name="40 % - Aksentti5 6 2 2 4" xfId="16435" xr:uid="{00000000-0005-0000-0000-000091340000}"/>
    <cellStyle name="40 % - Aksentti5 6 2 2_060617_hinnat" xfId="24428" xr:uid="{00000000-0005-0000-0000-000092340000}"/>
    <cellStyle name="40 % - Aksentti5 6 2 3" xfId="2917" xr:uid="{00000000-0005-0000-0000-000093340000}"/>
    <cellStyle name="40 % - Aksentti5 6 2 3 2" xfId="8246" xr:uid="{00000000-0005-0000-0000-000094340000}"/>
    <cellStyle name="40 % - Aksentti5 6 2 3 2 2" xfId="12124" xr:uid="{00000000-0005-0000-0000-000095340000}"/>
    <cellStyle name="40 % - Aksentti5 6 2 3 2 3" xfId="19880" xr:uid="{00000000-0005-0000-0000-000096340000}"/>
    <cellStyle name="40 % - Aksentti5 6 2 3 2_DataIX" xfId="31329" xr:uid="{00000000-0005-0000-0000-000097340000}"/>
    <cellStyle name="40 % - Aksentti5 6 2 3 3" xfId="16437" xr:uid="{00000000-0005-0000-0000-000098340000}"/>
    <cellStyle name="40 % - Aksentti5 6 2 3_060617_hinnat" xfId="24429" xr:uid="{00000000-0005-0000-0000-000099340000}"/>
    <cellStyle name="40 % - Aksentti5 6 2 4" xfId="8243" xr:uid="{00000000-0005-0000-0000-00009A340000}"/>
    <cellStyle name="40 % - Aksentti5 6 2 4 2" xfId="12125" xr:uid="{00000000-0005-0000-0000-00009B340000}"/>
    <cellStyle name="40 % - Aksentti5 6 2 4 3" xfId="19877" xr:uid="{00000000-0005-0000-0000-00009C340000}"/>
    <cellStyle name="40 % - Aksentti5 6 2 4_DataIX" xfId="31330" xr:uid="{00000000-0005-0000-0000-00009D340000}"/>
    <cellStyle name="40 % - Aksentti5 6 2 5" xfId="16434" xr:uid="{00000000-0005-0000-0000-00009E340000}"/>
    <cellStyle name="40 % - Aksentti5 6 2_060617_hinnat" xfId="24430" xr:uid="{00000000-0005-0000-0000-00009F340000}"/>
    <cellStyle name="40 % - Aksentti5 6 3" xfId="2918" xr:uid="{00000000-0005-0000-0000-0000A0340000}"/>
    <cellStyle name="40 % - Aksentti5 6 3 2" xfId="2919" xr:uid="{00000000-0005-0000-0000-0000A1340000}"/>
    <cellStyle name="40 % - Aksentti5 6 3 2 2" xfId="8248" xr:uid="{00000000-0005-0000-0000-0000A2340000}"/>
    <cellStyle name="40 % - Aksentti5 6 3 2 2 2" xfId="12126" xr:uid="{00000000-0005-0000-0000-0000A3340000}"/>
    <cellStyle name="40 % - Aksentti5 6 3 2 2 3" xfId="19882" xr:uid="{00000000-0005-0000-0000-0000A4340000}"/>
    <cellStyle name="40 % - Aksentti5 6 3 2 2_DataIX" xfId="31331" xr:uid="{00000000-0005-0000-0000-0000A5340000}"/>
    <cellStyle name="40 % - Aksentti5 6 3 2 3" xfId="16439" xr:uid="{00000000-0005-0000-0000-0000A6340000}"/>
    <cellStyle name="40 % - Aksentti5 6 3 2_060617_hinnat" xfId="24431" xr:uid="{00000000-0005-0000-0000-0000A7340000}"/>
    <cellStyle name="40 % - Aksentti5 6 3 3" xfId="8247" xr:uid="{00000000-0005-0000-0000-0000A8340000}"/>
    <cellStyle name="40 % - Aksentti5 6 3 3 2" xfId="12127" xr:uid="{00000000-0005-0000-0000-0000A9340000}"/>
    <cellStyle name="40 % - Aksentti5 6 3 3 3" xfId="19881" xr:uid="{00000000-0005-0000-0000-0000AA340000}"/>
    <cellStyle name="40 % - Aksentti5 6 3 3_DataIX" xfId="31332" xr:uid="{00000000-0005-0000-0000-0000AB340000}"/>
    <cellStyle name="40 % - Aksentti5 6 3 4" xfId="16438" xr:uid="{00000000-0005-0000-0000-0000AC340000}"/>
    <cellStyle name="40 % - Aksentti5 6 3_060617_hinnat" xfId="24432" xr:uid="{00000000-0005-0000-0000-0000AD340000}"/>
    <cellStyle name="40 % - Aksentti5 6 4" xfId="2920" xr:uid="{00000000-0005-0000-0000-0000AE340000}"/>
    <cellStyle name="40 % - Aksentti5 6 4 2" xfId="8249" xr:uid="{00000000-0005-0000-0000-0000AF340000}"/>
    <cellStyle name="40 % - Aksentti5 6 4 2 2" xfId="12128" xr:uid="{00000000-0005-0000-0000-0000B0340000}"/>
    <cellStyle name="40 % - Aksentti5 6 4 2 3" xfId="19883" xr:uid="{00000000-0005-0000-0000-0000B1340000}"/>
    <cellStyle name="40 % - Aksentti5 6 4 2_DataIX" xfId="31333" xr:uid="{00000000-0005-0000-0000-0000B2340000}"/>
    <cellStyle name="40 % - Aksentti5 6 4 3" xfId="16440" xr:uid="{00000000-0005-0000-0000-0000B3340000}"/>
    <cellStyle name="40 % - Aksentti5 6 4_060617_hinnat" xfId="24433" xr:uid="{00000000-0005-0000-0000-0000B4340000}"/>
    <cellStyle name="40 % - Aksentti5 6 5" xfId="2921" xr:uid="{00000000-0005-0000-0000-0000B5340000}"/>
    <cellStyle name="40 % - Aksentti5 6 5 2" xfId="8250" xr:uid="{00000000-0005-0000-0000-0000B6340000}"/>
    <cellStyle name="40 % - Aksentti5 6 5 2 2" xfId="12129" xr:uid="{00000000-0005-0000-0000-0000B7340000}"/>
    <cellStyle name="40 % - Aksentti5 6 5 2 3" xfId="19884" xr:uid="{00000000-0005-0000-0000-0000B8340000}"/>
    <cellStyle name="40 % - Aksentti5 6 5 2_DataIX" xfId="31334" xr:uid="{00000000-0005-0000-0000-0000B9340000}"/>
    <cellStyle name="40 % - Aksentti5 6 5 3" xfId="16441" xr:uid="{00000000-0005-0000-0000-0000BA340000}"/>
    <cellStyle name="40 % - Aksentti5 6 5_060617_hinnat" xfId="24434" xr:uid="{00000000-0005-0000-0000-0000BB340000}"/>
    <cellStyle name="40 % - Aksentti5 6 6" xfId="2922" xr:uid="{00000000-0005-0000-0000-0000BC340000}"/>
    <cellStyle name="40 % - Aksentti5 6 6 2" xfId="8251" xr:uid="{00000000-0005-0000-0000-0000BD340000}"/>
    <cellStyle name="40 % - Aksentti5 6 6 2 2" xfId="12130" xr:uid="{00000000-0005-0000-0000-0000BE340000}"/>
    <cellStyle name="40 % - Aksentti5 6 6 2 3" xfId="19885" xr:uid="{00000000-0005-0000-0000-0000BF340000}"/>
    <cellStyle name="40 % - Aksentti5 6 6 2_DataIX" xfId="31335" xr:uid="{00000000-0005-0000-0000-0000C0340000}"/>
    <cellStyle name="40 % - Aksentti5 6 6 3" xfId="16442" xr:uid="{00000000-0005-0000-0000-0000C1340000}"/>
    <cellStyle name="40 % - Aksentti5 6 6_060617_hinnat" xfId="24435" xr:uid="{00000000-0005-0000-0000-0000C2340000}"/>
    <cellStyle name="40 % - Aksentti5 6 7" xfId="2923" xr:uid="{00000000-0005-0000-0000-0000C3340000}"/>
    <cellStyle name="40 % - Aksentti5 6 7 2" xfId="8252" xr:uid="{00000000-0005-0000-0000-0000C4340000}"/>
    <cellStyle name="40 % - Aksentti5 6 7 2 2" xfId="12131" xr:uid="{00000000-0005-0000-0000-0000C5340000}"/>
    <cellStyle name="40 % - Aksentti5 6 7 2 3" xfId="19886" xr:uid="{00000000-0005-0000-0000-0000C6340000}"/>
    <cellStyle name="40 % - Aksentti5 6 7 2_DataIX" xfId="31336" xr:uid="{00000000-0005-0000-0000-0000C7340000}"/>
    <cellStyle name="40 % - Aksentti5 6 7 3" xfId="16443" xr:uid="{00000000-0005-0000-0000-0000C8340000}"/>
    <cellStyle name="40 % - Aksentti5 6 7_060617_hinnat" xfId="24436" xr:uid="{00000000-0005-0000-0000-0000C9340000}"/>
    <cellStyle name="40 % - Aksentti5 6 8" xfId="2924" xr:uid="{00000000-0005-0000-0000-0000CA340000}"/>
    <cellStyle name="40 % - Aksentti5 6 8 2" xfId="8253" xr:uid="{00000000-0005-0000-0000-0000CB340000}"/>
    <cellStyle name="40 % - Aksentti5 6 8 2 2" xfId="12132" xr:uid="{00000000-0005-0000-0000-0000CC340000}"/>
    <cellStyle name="40 % - Aksentti5 6 8 2 3" xfId="19887" xr:uid="{00000000-0005-0000-0000-0000CD340000}"/>
    <cellStyle name="40 % - Aksentti5 6 8 2_DataIX" xfId="31337" xr:uid="{00000000-0005-0000-0000-0000CE340000}"/>
    <cellStyle name="40 % - Aksentti5 6 8 3" xfId="16444" xr:uid="{00000000-0005-0000-0000-0000CF340000}"/>
    <cellStyle name="40 % - Aksentti5 6 8_060617_hinnat" xfId="24437" xr:uid="{00000000-0005-0000-0000-0000D0340000}"/>
    <cellStyle name="40 % - Aksentti5 6 9" xfId="2925" xr:uid="{00000000-0005-0000-0000-0000D1340000}"/>
    <cellStyle name="40 % - Aksentti5 6 9 2" xfId="8254" xr:uid="{00000000-0005-0000-0000-0000D2340000}"/>
    <cellStyle name="40 % - Aksentti5 6 9 2 2" xfId="12133" xr:uid="{00000000-0005-0000-0000-0000D3340000}"/>
    <cellStyle name="40 % - Aksentti5 6 9 2 3" xfId="19888" xr:uid="{00000000-0005-0000-0000-0000D4340000}"/>
    <cellStyle name="40 % - Aksentti5 6 9 2_DataIX" xfId="31338" xr:uid="{00000000-0005-0000-0000-0000D5340000}"/>
    <cellStyle name="40 % - Aksentti5 6 9 3" xfId="16445" xr:uid="{00000000-0005-0000-0000-0000D6340000}"/>
    <cellStyle name="40 % - Aksentti5 6 9_060617_hinnat" xfId="24438" xr:uid="{00000000-0005-0000-0000-0000D7340000}"/>
    <cellStyle name="40 % - Aksentti5 6_060617_hinnat" xfId="24439" xr:uid="{00000000-0005-0000-0000-0000D8340000}"/>
    <cellStyle name="40 % - Aksentti5 7" xfId="2926" xr:uid="{00000000-0005-0000-0000-0000D9340000}"/>
    <cellStyle name="40 % - Aksentti5 7 10" xfId="2927" xr:uid="{00000000-0005-0000-0000-0000DA340000}"/>
    <cellStyle name="40 % - Aksentti5 7 10 2" xfId="8256" xr:uid="{00000000-0005-0000-0000-0000DB340000}"/>
    <cellStyle name="40 % - Aksentti5 7 10 2 2" xfId="12134" xr:uid="{00000000-0005-0000-0000-0000DC340000}"/>
    <cellStyle name="40 % - Aksentti5 7 10 2 3" xfId="19890" xr:uid="{00000000-0005-0000-0000-0000DD340000}"/>
    <cellStyle name="40 % - Aksentti5 7 10 2_DataIX" xfId="31339" xr:uid="{00000000-0005-0000-0000-0000DE340000}"/>
    <cellStyle name="40 % - Aksentti5 7 10 3" xfId="16447" xr:uid="{00000000-0005-0000-0000-0000DF340000}"/>
    <cellStyle name="40 % - Aksentti5 7 10_060617_hinnat" xfId="24440" xr:uid="{00000000-0005-0000-0000-0000E0340000}"/>
    <cellStyle name="40 % - Aksentti5 7 11" xfId="8255" xr:uid="{00000000-0005-0000-0000-0000E1340000}"/>
    <cellStyle name="40 % - Aksentti5 7 11 2" xfId="12135" xr:uid="{00000000-0005-0000-0000-0000E2340000}"/>
    <cellStyle name="40 % - Aksentti5 7 11 3" xfId="19889" xr:uid="{00000000-0005-0000-0000-0000E3340000}"/>
    <cellStyle name="40 % - Aksentti5 7 11_DataIX" xfId="31340" xr:uid="{00000000-0005-0000-0000-0000E4340000}"/>
    <cellStyle name="40 % - Aksentti5 7 12" xfId="16446" xr:uid="{00000000-0005-0000-0000-0000E5340000}"/>
    <cellStyle name="40 % - Aksentti5 7 2" xfId="2928" xr:uid="{00000000-0005-0000-0000-0000E6340000}"/>
    <cellStyle name="40 % - Aksentti5 7 2 2" xfId="2929" xr:uid="{00000000-0005-0000-0000-0000E7340000}"/>
    <cellStyle name="40 % - Aksentti5 7 2 2 2" xfId="2930" xr:uid="{00000000-0005-0000-0000-0000E8340000}"/>
    <cellStyle name="40 % - Aksentti5 7 2 2 2 2" xfId="8259" xr:uid="{00000000-0005-0000-0000-0000E9340000}"/>
    <cellStyle name="40 % - Aksentti5 7 2 2 2 2 2" xfId="12136" xr:uid="{00000000-0005-0000-0000-0000EA340000}"/>
    <cellStyle name="40 % - Aksentti5 7 2 2 2 2 3" xfId="19893" xr:uid="{00000000-0005-0000-0000-0000EB340000}"/>
    <cellStyle name="40 % - Aksentti5 7 2 2 2 2_DataIX" xfId="31341" xr:uid="{00000000-0005-0000-0000-0000EC340000}"/>
    <cellStyle name="40 % - Aksentti5 7 2 2 2 3" xfId="16450" xr:uid="{00000000-0005-0000-0000-0000ED340000}"/>
    <cellStyle name="40 % - Aksentti5 7 2 2 2_060617_hinnat" xfId="24441" xr:uid="{00000000-0005-0000-0000-0000EE340000}"/>
    <cellStyle name="40 % - Aksentti5 7 2 2 3" xfId="8258" xr:uid="{00000000-0005-0000-0000-0000EF340000}"/>
    <cellStyle name="40 % - Aksentti5 7 2 2 3 2" xfId="12137" xr:uid="{00000000-0005-0000-0000-0000F0340000}"/>
    <cellStyle name="40 % - Aksentti5 7 2 2 3 3" xfId="19892" xr:uid="{00000000-0005-0000-0000-0000F1340000}"/>
    <cellStyle name="40 % - Aksentti5 7 2 2 3_DataIX" xfId="31342" xr:uid="{00000000-0005-0000-0000-0000F2340000}"/>
    <cellStyle name="40 % - Aksentti5 7 2 2 4" xfId="16449" xr:uid="{00000000-0005-0000-0000-0000F3340000}"/>
    <cellStyle name="40 % - Aksentti5 7 2 2_060617_hinnat" xfId="24442" xr:uid="{00000000-0005-0000-0000-0000F4340000}"/>
    <cellStyle name="40 % - Aksentti5 7 2 3" xfId="2931" xr:uid="{00000000-0005-0000-0000-0000F5340000}"/>
    <cellStyle name="40 % - Aksentti5 7 2 3 2" xfId="8260" xr:uid="{00000000-0005-0000-0000-0000F6340000}"/>
    <cellStyle name="40 % - Aksentti5 7 2 3 2 2" xfId="12138" xr:uid="{00000000-0005-0000-0000-0000F7340000}"/>
    <cellStyle name="40 % - Aksentti5 7 2 3 2 3" xfId="19894" xr:uid="{00000000-0005-0000-0000-0000F8340000}"/>
    <cellStyle name="40 % - Aksentti5 7 2 3 2_DataIX" xfId="31343" xr:uid="{00000000-0005-0000-0000-0000F9340000}"/>
    <cellStyle name="40 % - Aksentti5 7 2 3 3" xfId="16451" xr:uid="{00000000-0005-0000-0000-0000FA340000}"/>
    <cellStyle name="40 % - Aksentti5 7 2 3_060617_hinnat" xfId="24443" xr:uid="{00000000-0005-0000-0000-0000FB340000}"/>
    <cellStyle name="40 % - Aksentti5 7 2 4" xfId="8257" xr:uid="{00000000-0005-0000-0000-0000FC340000}"/>
    <cellStyle name="40 % - Aksentti5 7 2 4 2" xfId="12139" xr:uid="{00000000-0005-0000-0000-0000FD340000}"/>
    <cellStyle name="40 % - Aksentti5 7 2 4 3" xfId="19891" xr:uid="{00000000-0005-0000-0000-0000FE340000}"/>
    <cellStyle name="40 % - Aksentti5 7 2 4_DataIX" xfId="31344" xr:uid="{00000000-0005-0000-0000-0000FF340000}"/>
    <cellStyle name="40 % - Aksentti5 7 2 5" xfId="16448" xr:uid="{00000000-0005-0000-0000-000000350000}"/>
    <cellStyle name="40 % - Aksentti5 7 2_060617_hinnat" xfId="24444" xr:uid="{00000000-0005-0000-0000-000001350000}"/>
    <cellStyle name="40 % - Aksentti5 7 3" xfId="2932" xr:uid="{00000000-0005-0000-0000-000002350000}"/>
    <cellStyle name="40 % - Aksentti5 7 3 2" xfId="2933" xr:uid="{00000000-0005-0000-0000-000003350000}"/>
    <cellStyle name="40 % - Aksentti5 7 3 2 2" xfId="8262" xr:uid="{00000000-0005-0000-0000-000004350000}"/>
    <cellStyle name="40 % - Aksentti5 7 3 2 2 2" xfId="12140" xr:uid="{00000000-0005-0000-0000-000005350000}"/>
    <cellStyle name="40 % - Aksentti5 7 3 2 2 3" xfId="19896" xr:uid="{00000000-0005-0000-0000-000006350000}"/>
    <cellStyle name="40 % - Aksentti5 7 3 2 2_DataIX" xfId="31345" xr:uid="{00000000-0005-0000-0000-000007350000}"/>
    <cellStyle name="40 % - Aksentti5 7 3 2 3" xfId="16453" xr:uid="{00000000-0005-0000-0000-000008350000}"/>
    <cellStyle name="40 % - Aksentti5 7 3 2_060617_hinnat" xfId="24445" xr:uid="{00000000-0005-0000-0000-000009350000}"/>
    <cellStyle name="40 % - Aksentti5 7 3 3" xfId="8261" xr:uid="{00000000-0005-0000-0000-00000A350000}"/>
    <cellStyle name="40 % - Aksentti5 7 3 3 2" xfId="12141" xr:uid="{00000000-0005-0000-0000-00000B350000}"/>
    <cellStyle name="40 % - Aksentti5 7 3 3 3" xfId="19895" xr:uid="{00000000-0005-0000-0000-00000C350000}"/>
    <cellStyle name="40 % - Aksentti5 7 3 3_DataIX" xfId="31346" xr:uid="{00000000-0005-0000-0000-00000D350000}"/>
    <cellStyle name="40 % - Aksentti5 7 3 4" xfId="16452" xr:uid="{00000000-0005-0000-0000-00000E350000}"/>
    <cellStyle name="40 % - Aksentti5 7 3_060617_hinnat" xfId="24446" xr:uid="{00000000-0005-0000-0000-00000F350000}"/>
    <cellStyle name="40 % - Aksentti5 7 4" xfId="2934" xr:uid="{00000000-0005-0000-0000-000010350000}"/>
    <cellStyle name="40 % - Aksentti5 7 4 2" xfId="8263" xr:uid="{00000000-0005-0000-0000-000011350000}"/>
    <cellStyle name="40 % - Aksentti5 7 4 2 2" xfId="12142" xr:uid="{00000000-0005-0000-0000-000012350000}"/>
    <cellStyle name="40 % - Aksentti5 7 4 2 3" xfId="19897" xr:uid="{00000000-0005-0000-0000-000013350000}"/>
    <cellStyle name="40 % - Aksentti5 7 4 2_DataIX" xfId="31347" xr:uid="{00000000-0005-0000-0000-000014350000}"/>
    <cellStyle name="40 % - Aksentti5 7 4 3" xfId="16454" xr:uid="{00000000-0005-0000-0000-000015350000}"/>
    <cellStyle name="40 % - Aksentti5 7 4_060617_hinnat" xfId="24447" xr:uid="{00000000-0005-0000-0000-000016350000}"/>
    <cellStyle name="40 % - Aksentti5 7 5" xfId="2935" xr:uid="{00000000-0005-0000-0000-000017350000}"/>
    <cellStyle name="40 % - Aksentti5 7 5 2" xfId="8264" xr:uid="{00000000-0005-0000-0000-000018350000}"/>
    <cellStyle name="40 % - Aksentti5 7 5 2 2" xfId="12143" xr:uid="{00000000-0005-0000-0000-000019350000}"/>
    <cellStyle name="40 % - Aksentti5 7 5 2 3" xfId="19898" xr:uid="{00000000-0005-0000-0000-00001A350000}"/>
    <cellStyle name="40 % - Aksentti5 7 5 2_DataIX" xfId="31348" xr:uid="{00000000-0005-0000-0000-00001B350000}"/>
    <cellStyle name="40 % - Aksentti5 7 5 3" xfId="16455" xr:uid="{00000000-0005-0000-0000-00001C350000}"/>
    <cellStyle name="40 % - Aksentti5 7 5_060617_hinnat" xfId="24449" xr:uid="{00000000-0005-0000-0000-00001D350000}"/>
    <cellStyle name="40 % - Aksentti5 7 6" xfId="2936" xr:uid="{00000000-0005-0000-0000-00001E350000}"/>
    <cellStyle name="40 % - Aksentti5 7 6 2" xfId="8265" xr:uid="{00000000-0005-0000-0000-00001F350000}"/>
    <cellStyle name="40 % - Aksentti5 7 6 2 2" xfId="12144" xr:uid="{00000000-0005-0000-0000-000020350000}"/>
    <cellStyle name="40 % - Aksentti5 7 6 2 3" xfId="19899" xr:uid="{00000000-0005-0000-0000-000021350000}"/>
    <cellStyle name="40 % - Aksentti5 7 6 2_DataIX" xfId="31349" xr:uid="{00000000-0005-0000-0000-000022350000}"/>
    <cellStyle name="40 % - Aksentti5 7 6 3" xfId="16456" xr:uid="{00000000-0005-0000-0000-000023350000}"/>
    <cellStyle name="40 % - Aksentti5 7 6_060617_hinnat" xfId="24450" xr:uid="{00000000-0005-0000-0000-000024350000}"/>
    <cellStyle name="40 % - Aksentti5 7 7" xfId="2937" xr:uid="{00000000-0005-0000-0000-000025350000}"/>
    <cellStyle name="40 % - Aksentti5 7 7 2" xfId="8266" xr:uid="{00000000-0005-0000-0000-000026350000}"/>
    <cellStyle name="40 % - Aksentti5 7 7 2 2" xfId="12145" xr:uid="{00000000-0005-0000-0000-000027350000}"/>
    <cellStyle name="40 % - Aksentti5 7 7 2 3" xfId="19900" xr:uid="{00000000-0005-0000-0000-000028350000}"/>
    <cellStyle name="40 % - Aksentti5 7 7 2_DataIX" xfId="31350" xr:uid="{00000000-0005-0000-0000-000029350000}"/>
    <cellStyle name="40 % - Aksentti5 7 7 3" xfId="16457" xr:uid="{00000000-0005-0000-0000-00002A350000}"/>
    <cellStyle name="40 % - Aksentti5 7 7_060617_hinnat" xfId="24451" xr:uid="{00000000-0005-0000-0000-00002B350000}"/>
    <cellStyle name="40 % - Aksentti5 7 8" xfId="2938" xr:uid="{00000000-0005-0000-0000-00002C350000}"/>
    <cellStyle name="40 % - Aksentti5 7 8 2" xfId="8267" xr:uid="{00000000-0005-0000-0000-00002D350000}"/>
    <cellStyle name="40 % - Aksentti5 7 8 2 2" xfId="12146" xr:uid="{00000000-0005-0000-0000-00002E350000}"/>
    <cellStyle name="40 % - Aksentti5 7 8 2 3" xfId="19901" xr:uid="{00000000-0005-0000-0000-00002F350000}"/>
    <cellStyle name="40 % - Aksentti5 7 8 2_DataIX" xfId="31351" xr:uid="{00000000-0005-0000-0000-000030350000}"/>
    <cellStyle name="40 % - Aksentti5 7 8 3" xfId="16458" xr:uid="{00000000-0005-0000-0000-000031350000}"/>
    <cellStyle name="40 % - Aksentti5 7 8_060617_hinnat" xfId="24452" xr:uid="{00000000-0005-0000-0000-000032350000}"/>
    <cellStyle name="40 % - Aksentti5 7 9" xfId="2939" xr:uid="{00000000-0005-0000-0000-000033350000}"/>
    <cellStyle name="40 % - Aksentti5 7 9 2" xfId="8268" xr:uid="{00000000-0005-0000-0000-000034350000}"/>
    <cellStyle name="40 % - Aksentti5 7 9 2 2" xfId="12147" xr:uid="{00000000-0005-0000-0000-000035350000}"/>
    <cellStyle name="40 % - Aksentti5 7 9 2 3" xfId="19902" xr:uid="{00000000-0005-0000-0000-000036350000}"/>
    <cellStyle name="40 % - Aksentti5 7 9 2_DataIX" xfId="31352" xr:uid="{00000000-0005-0000-0000-000037350000}"/>
    <cellStyle name="40 % - Aksentti5 7 9 3" xfId="16459" xr:uid="{00000000-0005-0000-0000-000038350000}"/>
    <cellStyle name="40 % - Aksentti5 7 9_060617_hinnat" xfId="24454" xr:uid="{00000000-0005-0000-0000-000039350000}"/>
    <cellStyle name="40 % - Aksentti5 7_060617_hinnat" xfId="24455" xr:uid="{00000000-0005-0000-0000-00003A350000}"/>
    <cellStyle name="40 % - Aksentti5 8" xfId="2940" xr:uid="{00000000-0005-0000-0000-00003B350000}"/>
    <cellStyle name="40 % - Aksentti5 8 10" xfId="2941" xr:uid="{00000000-0005-0000-0000-00003C350000}"/>
    <cellStyle name="40 % - Aksentti5 8 10 2" xfId="8270" xr:uid="{00000000-0005-0000-0000-00003D350000}"/>
    <cellStyle name="40 % - Aksentti5 8 10 2 2" xfId="12148" xr:uid="{00000000-0005-0000-0000-00003E350000}"/>
    <cellStyle name="40 % - Aksentti5 8 10 2 3" xfId="19904" xr:uid="{00000000-0005-0000-0000-00003F350000}"/>
    <cellStyle name="40 % - Aksentti5 8 10 2_DataIX" xfId="31353" xr:uid="{00000000-0005-0000-0000-000040350000}"/>
    <cellStyle name="40 % - Aksentti5 8 10 3" xfId="16461" xr:uid="{00000000-0005-0000-0000-000041350000}"/>
    <cellStyle name="40 % - Aksentti5 8 10_060617_hinnat" xfId="24456" xr:uid="{00000000-0005-0000-0000-000042350000}"/>
    <cellStyle name="40 % - Aksentti5 8 11" xfId="8269" xr:uid="{00000000-0005-0000-0000-000043350000}"/>
    <cellStyle name="40 % - Aksentti5 8 11 2" xfId="12149" xr:uid="{00000000-0005-0000-0000-000044350000}"/>
    <cellStyle name="40 % - Aksentti5 8 11 3" xfId="19903" xr:uid="{00000000-0005-0000-0000-000045350000}"/>
    <cellStyle name="40 % - Aksentti5 8 11_DataIX" xfId="31354" xr:uid="{00000000-0005-0000-0000-000046350000}"/>
    <cellStyle name="40 % - Aksentti5 8 12" xfId="16460" xr:uid="{00000000-0005-0000-0000-000047350000}"/>
    <cellStyle name="40 % - Aksentti5 8 2" xfId="2942" xr:uid="{00000000-0005-0000-0000-000048350000}"/>
    <cellStyle name="40 % - Aksentti5 8 2 2" xfId="2943" xr:uid="{00000000-0005-0000-0000-000049350000}"/>
    <cellStyle name="40 % - Aksentti5 8 2 2 2" xfId="2944" xr:uid="{00000000-0005-0000-0000-00004A350000}"/>
    <cellStyle name="40 % - Aksentti5 8 2 2 2 2" xfId="8273" xr:uid="{00000000-0005-0000-0000-00004B350000}"/>
    <cellStyle name="40 % - Aksentti5 8 2 2 2 2 2" xfId="12150" xr:uid="{00000000-0005-0000-0000-00004C350000}"/>
    <cellStyle name="40 % - Aksentti5 8 2 2 2 2 3" xfId="19907" xr:uid="{00000000-0005-0000-0000-00004D350000}"/>
    <cellStyle name="40 % - Aksentti5 8 2 2 2 2_DataIX" xfId="31355" xr:uid="{00000000-0005-0000-0000-00004E350000}"/>
    <cellStyle name="40 % - Aksentti5 8 2 2 2 3" xfId="16464" xr:uid="{00000000-0005-0000-0000-00004F350000}"/>
    <cellStyle name="40 % - Aksentti5 8 2 2 2_060617_hinnat" xfId="24457" xr:uid="{00000000-0005-0000-0000-000050350000}"/>
    <cellStyle name="40 % - Aksentti5 8 2 2 3" xfId="8272" xr:uid="{00000000-0005-0000-0000-000051350000}"/>
    <cellStyle name="40 % - Aksentti5 8 2 2 3 2" xfId="12151" xr:uid="{00000000-0005-0000-0000-000052350000}"/>
    <cellStyle name="40 % - Aksentti5 8 2 2 3 3" xfId="19906" xr:uid="{00000000-0005-0000-0000-000053350000}"/>
    <cellStyle name="40 % - Aksentti5 8 2 2 3_DataIX" xfId="31356" xr:uid="{00000000-0005-0000-0000-000054350000}"/>
    <cellStyle name="40 % - Aksentti5 8 2 2 4" xfId="16463" xr:uid="{00000000-0005-0000-0000-000055350000}"/>
    <cellStyle name="40 % - Aksentti5 8 2 2_060617_hinnat" xfId="24458" xr:uid="{00000000-0005-0000-0000-000056350000}"/>
    <cellStyle name="40 % - Aksentti5 8 2 3" xfId="2945" xr:uid="{00000000-0005-0000-0000-000057350000}"/>
    <cellStyle name="40 % - Aksentti5 8 2 3 2" xfId="8274" xr:uid="{00000000-0005-0000-0000-000058350000}"/>
    <cellStyle name="40 % - Aksentti5 8 2 3 2 2" xfId="12152" xr:uid="{00000000-0005-0000-0000-000059350000}"/>
    <cellStyle name="40 % - Aksentti5 8 2 3 2 3" xfId="19908" xr:uid="{00000000-0005-0000-0000-00005A350000}"/>
    <cellStyle name="40 % - Aksentti5 8 2 3 2_DataIX" xfId="31357" xr:uid="{00000000-0005-0000-0000-00005B350000}"/>
    <cellStyle name="40 % - Aksentti5 8 2 3 3" xfId="16465" xr:uid="{00000000-0005-0000-0000-00005C350000}"/>
    <cellStyle name="40 % - Aksentti5 8 2 3_060617_hinnat" xfId="24459" xr:uid="{00000000-0005-0000-0000-00005D350000}"/>
    <cellStyle name="40 % - Aksentti5 8 2 4" xfId="8271" xr:uid="{00000000-0005-0000-0000-00005E350000}"/>
    <cellStyle name="40 % - Aksentti5 8 2 4 2" xfId="12153" xr:uid="{00000000-0005-0000-0000-00005F350000}"/>
    <cellStyle name="40 % - Aksentti5 8 2 4 3" xfId="19905" xr:uid="{00000000-0005-0000-0000-000060350000}"/>
    <cellStyle name="40 % - Aksentti5 8 2 4_DataIX" xfId="31358" xr:uid="{00000000-0005-0000-0000-000061350000}"/>
    <cellStyle name="40 % - Aksentti5 8 2 5" xfId="16462" xr:uid="{00000000-0005-0000-0000-000062350000}"/>
    <cellStyle name="40 % - Aksentti5 8 2_060617_hinnat" xfId="24460" xr:uid="{00000000-0005-0000-0000-000063350000}"/>
    <cellStyle name="40 % - Aksentti5 8 3" xfId="2946" xr:uid="{00000000-0005-0000-0000-000064350000}"/>
    <cellStyle name="40 % - Aksentti5 8 3 2" xfId="2947" xr:uid="{00000000-0005-0000-0000-000065350000}"/>
    <cellStyle name="40 % - Aksentti5 8 3 2 2" xfId="8276" xr:uid="{00000000-0005-0000-0000-000066350000}"/>
    <cellStyle name="40 % - Aksentti5 8 3 2 2 2" xfId="12154" xr:uid="{00000000-0005-0000-0000-000067350000}"/>
    <cellStyle name="40 % - Aksentti5 8 3 2 2 3" xfId="19910" xr:uid="{00000000-0005-0000-0000-000068350000}"/>
    <cellStyle name="40 % - Aksentti5 8 3 2 2_DataIX" xfId="31359" xr:uid="{00000000-0005-0000-0000-000069350000}"/>
    <cellStyle name="40 % - Aksentti5 8 3 2 3" xfId="16467" xr:uid="{00000000-0005-0000-0000-00006A350000}"/>
    <cellStyle name="40 % - Aksentti5 8 3 2_060617_hinnat" xfId="24461" xr:uid="{00000000-0005-0000-0000-00006B350000}"/>
    <cellStyle name="40 % - Aksentti5 8 3 3" xfId="8275" xr:uid="{00000000-0005-0000-0000-00006C350000}"/>
    <cellStyle name="40 % - Aksentti5 8 3 3 2" xfId="12155" xr:uid="{00000000-0005-0000-0000-00006D350000}"/>
    <cellStyle name="40 % - Aksentti5 8 3 3 3" xfId="19909" xr:uid="{00000000-0005-0000-0000-00006E350000}"/>
    <cellStyle name="40 % - Aksentti5 8 3 3_DataIX" xfId="31360" xr:uid="{00000000-0005-0000-0000-00006F350000}"/>
    <cellStyle name="40 % - Aksentti5 8 3 4" xfId="16466" xr:uid="{00000000-0005-0000-0000-000070350000}"/>
    <cellStyle name="40 % - Aksentti5 8 3_060617_hinnat" xfId="24462" xr:uid="{00000000-0005-0000-0000-000071350000}"/>
    <cellStyle name="40 % - Aksentti5 8 4" xfId="2948" xr:uid="{00000000-0005-0000-0000-000072350000}"/>
    <cellStyle name="40 % - Aksentti5 8 4 2" xfId="8277" xr:uid="{00000000-0005-0000-0000-000073350000}"/>
    <cellStyle name="40 % - Aksentti5 8 4 2 2" xfId="12156" xr:uid="{00000000-0005-0000-0000-000074350000}"/>
    <cellStyle name="40 % - Aksentti5 8 4 2 3" xfId="19911" xr:uid="{00000000-0005-0000-0000-000075350000}"/>
    <cellStyle name="40 % - Aksentti5 8 4 2_DataIX" xfId="31361" xr:uid="{00000000-0005-0000-0000-000076350000}"/>
    <cellStyle name="40 % - Aksentti5 8 4 3" xfId="16468" xr:uid="{00000000-0005-0000-0000-000077350000}"/>
    <cellStyle name="40 % - Aksentti5 8 4_060617_hinnat" xfId="24463" xr:uid="{00000000-0005-0000-0000-000078350000}"/>
    <cellStyle name="40 % - Aksentti5 8 5" xfId="2949" xr:uid="{00000000-0005-0000-0000-000079350000}"/>
    <cellStyle name="40 % - Aksentti5 8 5 2" xfId="8278" xr:uid="{00000000-0005-0000-0000-00007A350000}"/>
    <cellStyle name="40 % - Aksentti5 8 5 2 2" xfId="12157" xr:uid="{00000000-0005-0000-0000-00007B350000}"/>
    <cellStyle name="40 % - Aksentti5 8 5 2 3" xfId="19912" xr:uid="{00000000-0005-0000-0000-00007C350000}"/>
    <cellStyle name="40 % - Aksentti5 8 5 2_DataIX" xfId="31362" xr:uid="{00000000-0005-0000-0000-00007D350000}"/>
    <cellStyle name="40 % - Aksentti5 8 5 3" xfId="16469" xr:uid="{00000000-0005-0000-0000-00007E350000}"/>
    <cellStyle name="40 % - Aksentti5 8 5_060617_hinnat" xfId="24464" xr:uid="{00000000-0005-0000-0000-00007F350000}"/>
    <cellStyle name="40 % - Aksentti5 8 6" xfId="2950" xr:uid="{00000000-0005-0000-0000-000080350000}"/>
    <cellStyle name="40 % - Aksentti5 8 6 2" xfId="8279" xr:uid="{00000000-0005-0000-0000-000081350000}"/>
    <cellStyle name="40 % - Aksentti5 8 6 2 2" xfId="12158" xr:uid="{00000000-0005-0000-0000-000082350000}"/>
    <cellStyle name="40 % - Aksentti5 8 6 2 3" xfId="19913" xr:uid="{00000000-0005-0000-0000-000083350000}"/>
    <cellStyle name="40 % - Aksentti5 8 6 2_DataIX" xfId="31363" xr:uid="{00000000-0005-0000-0000-000084350000}"/>
    <cellStyle name="40 % - Aksentti5 8 6 3" xfId="16470" xr:uid="{00000000-0005-0000-0000-000085350000}"/>
    <cellStyle name="40 % - Aksentti5 8 6_060617_hinnat" xfId="24465" xr:uid="{00000000-0005-0000-0000-000086350000}"/>
    <cellStyle name="40 % - Aksentti5 8 7" xfId="2951" xr:uid="{00000000-0005-0000-0000-000087350000}"/>
    <cellStyle name="40 % - Aksentti5 8 7 2" xfId="8280" xr:uid="{00000000-0005-0000-0000-000088350000}"/>
    <cellStyle name="40 % - Aksentti5 8 7 2 2" xfId="12159" xr:uid="{00000000-0005-0000-0000-000089350000}"/>
    <cellStyle name="40 % - Aksentti5 8 7 2 3" xfId="19914" xr:uid="{00000000-0005-0000-0000-00008A350000}"/>
    <cellStyle name="40 % - Aksentti5 8 7 2_DataIX" xfId="31364" xr:uid="{00000000-0005-0000-0000-00008B350000}"/>
    <cellStyle name="40 % - Aksentti5 8 7 3" xfId="16471" xr:uid="{00000000-0005-0000-0000-00008C350000}"/>
    <cellStyle name="40 % - Aksentti5 8 7_060617_hinnat" xfId="24466" xr:uid="{00000000-0005-0000-0000-00008D350000}"/>
    <cellStyle name="40 % - Aksentti5 8 8" xfId="2952" xr:uid="{00000000-0005-0000-0000-00008E350000}"/>
    <cellStyle name="40 % - Aksentti5 8 8 2" xfId="8281" xr:uid="{00000000-0005-0000-0000-00008F350000}"/>
    <cellStyle name="40 % - Aksentti5 8 8 2 2" xfId="12160" xr:uid="{00000000-0005-0000-0000-000090350000}"/>
    <cellStyle name="40 % - Aksentti5 8 8 2 3" xfId="19915" xr:uid="{00000000-0005-0000-0000-000091350000}"/>
    <cellStyle name="40 % - Aksentti5 8 8 2_DataIX" xfId="31365" xr:uid="{00000000-0005-0000-0000-000092350000}"/>
    <cellStyle name="40 % - Aksentti5 8 8 3" xfId="16472" xr:uid="{00000000-0005-0000-0000-000093350000}"/>
    <cellStyle name="40 % - Aksentti5 8 8_060617_hinnat" xfId="24467" xr:uid="{00000000-0005-0000-0000-000094350000}"/>
    <cellStyle name="40 % - Aksentti5 8 9" xfId="2953" xr:uid="{00000000-0005-0000-0000-000095350000}"/>
    <cellStyle name="40 % - Aksentti5 8 9 2" xfId="8282" xr:uid="{00000000-0005-0000-0000-000096350000}"/>
    <cellStyle name="40 % - Aksentti5 8 9 2 2" xfId="12161" xr:uid="{00000000-0005-0000-0000-000097350000}"/>
    <cellStyle name="40 % - Aksentti5 8 9 2 3" xfId="19916" xr:uid="{00000000-0005-0000-0000-000098350000}"/>
    <cellStyle name="40 % - Aksentti5 8 9 2_DataIX" xfId="31366" xr:uid="{00000000-0005-0000-0000-000099350000}"/>
    <cellStyle name="40 % - Aksentti5 8 9 3" xfId="16473" xr:uid="{00000000-0005-0000-0000-00009A350000}"/>
    <cellStyle name="40 % - Aksentti5 8 9_060617_hinnat" xfId="24468" xr:uid="{00000000-0005-0000-0000-00009B350000}"/>
    <cellStyle name="40 % - Aksentti5 8_060617_hinnat" xfId="24469" xr:uid="{00000000-0005-0000-0000-00009C350000}"/>
    <cellStyle name="40 % - Aksentti5 9" xfId="2954" xr:uid="{00000000-0005-0000-0000-00009D350000}"/>
    <cellStyle name="40 % - Aksentti5 9 10" xfId="2955" xr:uid="{00000000-0005-0000-0000-00009E350000}"/>
    <cellStyle name="40 % - Aksentti5 9 10 2" xfId="8284" xr:uid="{00000000-0005-0000-0000-00009F350000}"/>
    <cellStyle name="40 % - Aksentti5 9 10 2 2" xfId="12162" xr:uid="{00000000-0005-0000-0000-0000A0350000}"/>
    <cellStyle name="40 % - Aksentti5 9 10 2 3" xfId="19918" xr:uid="{00000000-0005-0000-0000-0000A1350000}"/>
    <cellStyle name="40 % - Aksentti5 9 10 2_DataIX" xfId="31367" xr:uid="{00000000-0005-0000-0000-0000A2350000}"/>
    <cellStyle name="40 % - Aksentti5 9 10 3" xfId="16475" xr:uid="{00000000-0005-0000-0000-0000A3350000}"/>
    <cellStyle name="40 % - Aksentti5 9 10_060617_hinnat" xfId="24470" xr:uid="{00000000-0005-0000-0000-0000A4350000}"/>
    <cellStyle name="40 % - Aksentti5 9 11" xfId="8283" xr:uid="{00000000-0005-0000-0000-0000A5350000}"/>
    <cellStyle name="40 % - Aksentti5 9 11 2" xfId="12163" xr:uid="{00000000-0005-0000-0000-0000A6350000}"/>
    <cellStyle name="40 % - Aksentti5 9 11 3" xfId="19917" xr:uid="{00000000-0005-0000-0000-0000A7350000}"/>
    <cellStyle name="40 % - Aksentti5 9 11_DataIX" xfId="31368" xr:uid="{00000000-0005-0000-0000-0000A8350000}"/>
    <cellStyle name="40 % - Aksentti5 9 12" xfId="16474" xr:uid="{00000000-0005-0000-0000-0000A9350000}"/>
    <cellStyle name="40 % - Aksentti5 9 2" xfId="2956" xr:uid="{00000000-0005-0000-0000-0000AA350000}"/>
    <cellStyle name="40 % - Aksentti5 9 2 2" xfId="2957" xr:uid="{00000000-0005-0000-0000-0000AB350000}"/>
    <cellStyle name="40 % - Aksentti5 9 2 2 2" xfId="2958" xr:uid="{00000000-0005-0000-0000-0000AC350000}"/>
    <cellStyle name="40 % - Aksentti5 9 2 2 2 2" xfId="8287" xr:uid="{00000000-0005-0000-0000-0000AD350000}"/>
    <cellStyle name="40 % - Aksentti5 9 2 2 2 2 2" xfId="12164" xr:uid="{00000000-0005-0000-0000-0000AE350000}"/>
    <cellStyle name="40 % - Aksentti5 9 2 2 2 2 3" xfId="19921" xr:uid="{00000000-0005-0000-0000-0000AF350000}"/>
    <cellStyle name="40 % - Aksentti5 9 2 2 2 2_DataIX" xfId="31369" xr:uid="{00000000-0005-0000-0000-0000B0350000}"/>
    <cellStyle name="40 % - Aksentti5 9 2 2 2 3" xfId="16478" xr:uid="{00000000-0005-0000-0000-0000B1350000}"/>
    <cellStyle name="40 % - Aksentti5 9 2 2 2_060617_hinnat" xfId="24471" xr:uid="{00000000-0005-0000-0000-0000B2350000}"/>
    <cellStyle name="40 % - Aksentti5 9 2 2 3" xfId="8286" xr:uid="{00000000-0005-0000-0000-0000B3350000}"/>
    <cellStyle name="40 % - Aksentti5 9 2 2 3 2" xfId="12165" xr:uid="{00000000-0005-0000-0000-0000B4350000}"/>
    <cellStyle name="40 % - Aksentti5 9 2 2 3 3" xfId="19920" xr:uid="{00000000-0005-0000-0000-0000B5350000}"/>
    <cellStyle name="40 % - Aksentti5 9 2 2 3_DataIX" xfId="31370" xr:uid="{00000000-0005-0000-0000-0000B6350000}"/>
    <cellStyle name="40 % - Aksentti5 9 2 2 4" xfId="16477" xr:uid="{00000000-0005-0000-0000-0000B7350000}"/>
    <cellStyle name="40 % - Aksentti5 9 2 2_060617_hinnat" xfId="24472" xr:uid="{00000000-0005-0000-0000-0000B8350000}"/>
    <cellStyle name="40 % - Aksentti5 9 2 3" xfId="2959" xr:uid="{00000000-0005-0000-0000-0000B9350000}"/>
    <cellStyle name="40 % - Aksentti5 9 2 3 2" xfId="8288" xr:uid="{00000000-0005-0000-0000-0000BA350000}"/>
    <cellStyle name="40 % - Aksentti5 9 2 3 2 2" xfId="12166" xr:uid="{00000000-0005-0000-0000-0000BB350000}"/>
    <cellStyle name="40 % - Aksentti5 9 2 3 2 3" xfId="19922" xr:uid="{00000000-0005-0000-0000-0000BC350000}"/>
    <cellStyle name="40 % - Aksentti5 9 2 3 2_DataIX" xfId="31371" xr:uid="{00000000-0005-0000-0000-0000BD350000}"/>
    <cellStyle name="40 % - Aksentti5 9 2 3 3" xfId="16479" xr:uid="{00000000-0005-0000-0000-0000BE350000}"/>
    <cellStyle name="40 % - Aksentti5 9 2 3_060617_hinnat" xfId="24473" xr:uid="{00000000-0005-0000-0000-0000BF350000}"/>
    <cellStyle name="40 % - Aksentti5 9 2 4" xfId="8285" xr:uid="{00000000-0005-0000-0000-0000C0350000}"/>
    <cellStyle name="40 % - Aksentti5 9 2 4 2" xfId="12167" xr:uid="{00000000-0005-0000-0000-0000C1350000}"/>
    <cellStyle name="40 % - Aksentti5 9 2 4 3" xfId="19919" xr:uid="{00000000-0005-0000-0000-0000C2350000}"/>
    <cellStyle name="40 % - Aksentti5 9 2 4_DataIX" xfId="31372" xr:uid="{00000000-0005-0000-0000-0000C3350000}"/>
    <cellStyle name="40 % - Aksentti5 9 2 5" xfId="16476" xr:uid="{00000000-0005-0000-0000-0000C4350000}"/>
    <cellStyle name="40 % - Aksentti5 9 2_060617_hinnat" xfId="24474" xr:uid="{00000000-0005-0000-0000-0000C5350000}"/>
    <cellStyle name="40 % - Aksentti5 9 3" xfId="2960" xr:uid="{00000000-0005-0000-0000-0000C6350000}"/>
    <cellStyle name="40 % - Aksentti5 9 3 2" xfId="2961" xr:uid="{00000000-0005-0000-0000-0000C7350000}"/>
    <cellStyle name="40 % - Aksentti5 9 3 2 2" xfId="8290" xr:uid="{00000000-0005-0000-0000-0000C8350000}"/>
    <cellStyle name="40 % - Aksentti5 9 3 2 2 2" xfId="12168" xr:uid="{00000000-0005-0000-0000-0000C9350000}"/>
    <cellStyle name="40 % - Aksentti5 9 3 2 2 3" xfId="19924" xr:uid="{00000000-0005-0000-0000-0000CA350000}"/>
    <cellStyle name="40 % - Aksentti5 9 3 2 2_DataIX" xfId="31373" xr:uid="{00000000-0005-0000-0000-0000CB350000}"/>
    <cellStyle name="40 % - Aksentti5 9 3 2 3" xfId="16481" xr:uid="{00000000-0005-0000-0000-0000CC350000}"/>
    <cellStyle name="40 % - Aksentti5 9 3 2_060617_hinnat" xfId="24475" xr:uid="{00000000-0005-0000-0000-0000CD350000}"/>
    <cellStyle name="40 % - Aksentti5 9 3 3" xfId="8289" xr:uid="{00000000-0005-0000-0000-0000CE350000}"/>
    <cellStyle name="40 % - Aksentti5 9 3 3 2" xfId="12169" xr:uid="{00000000-0005-0000-0000-0000CF350000}"/>
    <cellStyle name="40 % - Aksentti5 9 3 3 3" xfId="19923" xr:uid="{00000000-0005-0000-0000-0000D0350000}"/>
    <cellStyle name="40 % - Aksentti5 9 3 3_DataIX" xfId="31374" xr:uid="{00000000-0005-0000-0000-0000D1350000}"/>
    <cellStyle name="40 % - Aksentti5 9 3 4" xfId="16480" xr:uid="{00000000-0005-0000-0000-0000D2350000}"/>
    <cellStyle name="40 % - Aksentti5 9 3_060617_hinnat" xfId="24476" xr:uid="{00000000-0005-0000-0000-0000D3350000}"/>
    <cellStyle name="40 % - Aksentti5 9 4" xfId="2962" xr:uid="{00000000-0005-0000-0000-0000D4350000}"/>
    <cellStyle name="40 % - Aksentti5 9 4 2" xfId="8291" xr:uid="{00000000-0005-0000-0000-0000D5350000}"/>
    <cellStyle name="40 % - Aksentti5 9 4 2 2" xfId="12170" xr:uid="{00000000-0005-0000-0000-0000D6350000}"/>
    <cellStyle name="40 % - Aksentti5 9 4 2 3" xfId="19925" xr:uid="{00000000-0005-0000-0000-0000D7350000}"/>
    <cellStyle name="40 % - Aksentti5 9 4 2_DataIX" xfId="31375" xr:uid="{00000000-0005-0000-0000-0000D8350000}"/>
    <cellStyle name="40 % - Aksentti5 9 4 3" xfId="16482" xr:uid="{00000000-0005-0000-0000-0000D9350000}"/>
    <cellStyle name="40 % - Aksentti5 9 4_060617_hinnat" xfId="24477" xr:uid="{00000000-0005-0000-0000-0000DA350000}"/>
    <cellStyle name="40 % - Aksentti5 9 5" xfId="2963" xr:uid="{00000000-0005-0000-0000-0000DB350000}"/>
    <cellStyle name="40 % - Aksentti5 9 5 2" xfId="8292" xr:uid="{00000000-0005-0000-0000-0000DC350000}"/>
    <cellStyle name="40 % - Aksentti5 9 5 2 2" xfId="12171" xr:uid="{00000000-0005-0000-0000-0000DD350000}"/>
    <cellStyle name="40 % - Aksentti5 9 5 2 3" xfId="19926" xr:uid="{00000000-0005-0000-0000-0000DE350000}"/>
    <cellStyle name="40 % - Aksentti5 9 5 2_DataIX" xfId="31376" xr:uid="{00000000-0005-0000-0000-0000DF350000}"/>
    <cellStyle name="40 % - Aksentti5 9 5 3" xfId="16483" xr:uid="{00000000-0005-0000-0000-0000E0350000}"/>
    <cellStyle name="40 % - Aksentti5 9 5_060617_hinnat" xfId="24478" xr:uid="{00000000-0005-0000-0000-0000E1350000}"/>
    <cellStyle name="40 % - Aksentti5 9 6" xfId="2964" xr:uid="{00000000-0005-0000-0000-0000E2350000}"/>
    <cellStyle name="40 % - Aksentti5 9 6 2" xfId="8293" xr:uid="{00000000-0005-0000-0000-0000E3350000}"/>
    <cellStyle name="40 % - Aksentti5 9 6 2 2" xfId="12172" xr:uid="{00000000-0005-0000-0000-0000E4350000}"/>
    <cellStyle name="40 % - Aksentti5 9 6 2 3" xfId="19927" xr:uid="{00000000-0005-0000-0000-0000E5350000}"/>
    <cellStyle name="40 % - Aksentti5 9 6 2_DataIX" xfId="31377" xr:uid="{00000000-0005-0000-0000-0000E6350000}"/>
    <cellStyle name="40 % - Aksentti5 9 6 3" xfId="16484" xr:uid="{00000000-0005-0000-0000-0000E7350000}"/>
    <cellStyle name="40 % - Aksentti5 9 6_060617_hinnat" xfId="24479" xr:uid="{00000000-0005-0000-0000-0000E8350000}"/>
    <cellStyle name="40 % - Aksentti5 9 7" xfId="2965" xr:uid="{00000000-0005-0000-0000-0000E9350000}"/>
    <cellStyle name="40 % - Aksentti5 9 7 2" xfId="8294" xr:uid="{00000000-0005-0000-0000-0000EA350000}"/>
    <cellStyle name="40 % - Aksentti5 9 7 2 2" xfId="12173" xr:uid="{00000000-0005-0000-0000-0000EB350000}"/>
    <cellStyle name="40 % - Aksentti5 9 7 2 3" xfId="19928" xr:uid="{00000000-0005-0000-0000-0000EC350000}"/>
    <cellStyle name="40 % - Aksentti5 9 7 2_DataIX" xfId="31378" xr:uid="{00000000-0005-0000-0000-0000ED350000}"/>
    <cellStyle name="40 % - Aksentti5 9 7 3" xfId="16485" xr:uid="{00000000-0005-0000-0000-0000EE350000}"/>
    <cellStyle name="40 % - Aksentti5 9 7_060617_hinnat" xfId="24480" xr:uid="{00000000-0005-0000-0000-0000EF350000}"/>
    <cellStyle name="40 % - Aksentti5 9 8" xfId="2966" xr:uid="{00000000-0005-0000-0000-0000F0350000}"/>
    <cellStyle name="40 % - Aksentti5 9 8 2" xfId="8295" xr:uid="{00000000-0005-0000-0000-0000F1350000}"/>
    <cellStyle name="40 % - Aksentti5 9 8 2 2" xfId="12174" xr:uid="{00000000-0005-0000-0000-0000F2350000}"/>
    <cellStyle name="40 % - Aksentti5 9 8 2 3" xfId="19929" xr:uid="{00000000-0005-0000-0000-0000F3350000}"/>
    <cellStyle name="40 % - Aksentti5 9 8 2_DataIX" xfId="31379" xr:uid="{00000000-0005-0000-0000-0000F4350000}"/>
    <cellStyle name="40 % - Aksentti5 9 8 3" xfId="16486" xr:uid="{00000000-0005-0000-0000-0000F5350000}"/>
    <cellStyle name="40 % - Aksentti5 9 8_060617_hinnat" xfId="24481" xr:uid="{00000000-0005-0000-0000-0000F6350000}"/>
    <cellStyle name="40 % - Aksentti5 9 9" xfId="2967" xr:uid="{00000000-0005-0000-0000-0000F7350000}"/>
    <cellStyle name="40 % - Aksentti5 9 9 2" xfId="8296" xr:uid="{00000000-0005-0000-0000-0000F8350000}"/>
    <cellStyle name="40 % - Aksentti5 9 9 2 2" xfId="12175" xr:uid="{00000000-0005-0000-0000-0000F9350000}"/>
    <cellStyle name="40 % - Aksentti5 9 9 2 3" xfId="19930" xr:uid="{00000000-0005-0000-0000-0000FA350000}"/>
    <cellStyle name="40 % - Aksentti5 9 9 2_DataIX" xfId="31380" xr:uid="{00000000-0005-0000-0000-0000FB350000}"/>
    <cellStyle name="40 % - Aksentti5 9 9 3" xfId="16487" xr:uid="{00000000-0005-0000-0000-0000FC350000}"/>
    <cellStyle name="40 % - Aksentti5 9 9_060617_hinnat" xfId="24482" xr:uid="{00000000-0005-0000-0000-0000FD350000}"/>
    <cellStyle name="40 % - Aksentti5 9_060617_hinnat" xfId="24483" xr:uid="{00000000-0005-0000-0000-0000FE350000}"/>
    <cellStyle name="40 % - Aksentti5_##KansantalKehitys" xfId="5416" xr:uid="{00000000-0005-0000-0000-0000FF350000}"/>
    <cellStyle name="40 % - Aksentti6" xfId="339" xr:uid="{00000000-0005-0000-0000-000000360000}"/>
    <cellStyle name="40 % - Aksentti6 10" xfId="2968" xr:uid="{00000000-0005-0000-0000-000001360000}"/>
    <cellStyle name="40 % - Aksentti6 10 10" xfId="2969" xr:uid="{00000000-0005-0000-0000-000002360000}"/>
    <cellStyle name="40 % - Aksentti6 10 10 2" xfId="8298" xr:uid="{00000000-0005-0000-0000-000003360000}"/>
    <cellStyle name="40 % - Aksentti6 10 10 2 2" xfId="12176" xr:uid="{00000000-0005-0000-0000-000004360000}"/>
    <cellStyle name="40 % - Aksentti6 10 10 2 3" xfId="19932" xr:uid="{00000000-0005-0000-0000-000005360000}"/>
    <cellStyle name="40 % - Aksentti6 10 10 2_DataIX" xfId="31381" xr:uid="{00000000-0005-0000-0000-000006360000}"/>
    <cellStyle name="40 % - Aksentti6 10 10 3" xfId="16489" xr:uid="{00000000-0005-0000-0000-000007360000}"/>
    <cellStyle name="40 % - Aksentti6 10 10_060617_hinnat" xfId="24484" xr:uid="{00000000-0005-0000-0000-000008360000}"/>
    <cellStyle name="40 % - Aksentti6 10 11" xfId="8297" xr:uid="{00000000-0005-0000-0000-000009360000}"/>
    <cellStyle name="40 % - Aksentti6 10 11 2" xfId="12177" xr:uid="{00000000-0005-0000-0000-00000A360000}"/>
    <cellStyle name="40 % - Aksentti6 10 11 3" xfId="19931" xr:uid="{00000000-0005-0000-0000-00000B360000}"/>
    <cellStyle name="40 % - Aksentti6 10 11_DataIX" xfId="31382" xr:uid="{00000000-0005-0000-0000-00000C360000}"/>
    <cellStyle name="40 % - Aksentti6 10 12" xfId="16488" xr:uid="{00000000-0005-0000-0000-00000D360000}"/>
    <cellStyle name="40 % - Aksentti6 10 2" xfId="2970" xr:uid="{00000000-0005-0000-0000-00000E360000}"/>
    <cellStyle name="40 % - Aksentti6 10 2 2" xfId="2971" xr:uid="{00000000-0005-0000-0000-00000F360000}"/>
    <cellStyle name="40 % - Aksentti6 10 2 2 2" xfId="2972" xr:uid="{00000000-0005-0000-0000-000010360000}"/>
    <cellStyle name="40 % - Aksentti6 10 2 2 2 2" xfId="8301" xr:uid="{00000000-0005-0000-0000-000011360000}"/>
    <cellStyle name="40 % - Aksentti6 10 2 2 2 2 2" xfId="12178" xr:uid="{00000000-0005-0000-0000-000012360000}"/>
    <cellStyle name="40 % - Aksentti6 10 2 2 2 2 3" xfId="19935" xr:uid="{00000000-0005-0000-0000-000013360000}"/>
    <cellStyle name="40 % - Aksentti6 10 2 2 2 2_DataIX" xfId="31383" xr:uid="{00000000-0005-0000-0000-000014360000}"/>
    <cellStyle name="40 % - Aksentti6 10 2 2 2 3" xfId="16492" xr:uid="{00000000-0005-0000-0000-000015360000}"/>
    <cellStyle name="40 % - Aksentti6 10 2 2 2_060617_hinnat" xfId="24485" xr:uid="{00000000-0005-0000-0000-000016360000}"/>
    <cellStyle name="40 % - Aksentti6 10 2 2 3" xfId="8300" xr:uid="{00000000-0005-0000-0000-000017360000}"/>
    <cellStyle name="40 % - Aksentti6 10 2 2 3 2" xfId="12179" xr:uid="{00000000-0005-0000-0000-000018360000}"/>
    <cellStyle name="40 % - Aksentti6 10 2 2 3 3" xfId="19934" xr:uid="{00000000-0005-0000-0000-000019360000}"/>
    <cellStyle name="40 % - Aksentti6 10 2 2 3_DataIX" xfId="31384" xr:uid="{00000000-0005-0000-0000-00001A360000}"/>
    <cellStyle name="40 % - Aksentti6 10 2 2 4" xfId="16491" xr:uid="{00000000-0005-0000-0000-00001B360000}"/>
    <cellStyle name="40 % - Aksentti6 10 2 2_060617_hinnat" xfId="24486" xr:uid="{00000000-0005-0000-0000-00001C360000}"/>
    <cellStyle name="40 % - Aksentti6 10 2 3" xfId="2973" xr:uid="{00000000-0005-0000-0000-00001D360000}"/>
    <cellStyle name="40 % - Aksentti6 10 2 3 2" xfId="8302" xr:uid="{00000000-0005-0000-0000-00001E360000}"/>
    <cellStyle name="40 % - Aksentti6 10 2 3 2 2" xfId="12180" xr:uid="{00000000-0005-0000-0000-00001F360000}"/>
    <cellStyle name="40 % - Aksentti6 10 2 3 2 3" xfId="19936" xr:uid="{00000000-0005-0000-0000-000020360000}"/>
    <cellStyle name="40 % - Aksentti6 10 2 3 2_DataIX" xfId="31385" xr:uid="{00000000-0005-0000-0000-000021360000}"/>
    <cellStyle name="40 % - Aksentti6 10 2 3 3" xfId="16493" xr:uid="{00000000-0005-0000-0000-000022360000}"/>
    <cellStyle name="40 % - Aksentti6 10 2 3_060617_hinnat" xfId="24487" xr:uid="{00000000-0005-0000-0000-000023360000}"/>
    <cellStyle name="40 % - Aksentti6 10 2 4" xfId="8299" xr:uid="{00000000-0005-0000-0000-000024360000}"/>
    <cellStyle name="40 % - Aksentti6 10 2 4 2" xfId="12181" xr:uid="{00000000-0005-0000-0000-000025360000}"/>
    <cellStyle name="40 % - Aksentti6 10 2 4 3" xfId="19933" xr:uid="{00000000-0005-0000-0000-000026360000}"/>
    <cellStyle name="40 % - Aksentti6 10 2 4_DataIX" xfId="31386" xr:uid="{00000000-0005-0000-0000-000027360000}"/>
    <cellStyle name="40 % - Aksentti6 10 2 5" xfId="16490" xr:uid="{00000000-0005-0000-0000-000028360000}"/>
    <cellStyle name="40 % - Aksentti6 10 2_060617_hinnat" xfId="24488" xr:uid="{00000000-0005-0000-0000-000029360000}"/>
    <cellStyle name="40 % - Aksentti6 10 3" xfId="2974" xr:uid="{00000000-0005-0000-0000-00002A360000}"/>
    <cellStyle name="40 % - Aksentti6 10 3 2" xfId="2975" xr:uid="{00000000-0005-0000-0000-00002B360000}"/>
    <cellStyle name="40 % - Aksentti6 10 3 2 2" xfId="8304" xr:uid="{00000000-0005-0000-0000-00002C360000}"/>
    <cellStyle name="40 % - Aksentti6 10 3 2 2 2" xfId="12182" xr:uid="{00000000-0005-0000-0000-00002D360000}"/>
    <cellStyle name="40 % - Aksentti6 10 3 2 2 3" xfId="19938" xr:uid="{00000000-0005-0000-0000-00002E360000}"/>
    <cellStyle name="40 % - Aksentti6 10 3 2 2_DataIX" xfId="31387" xr:uid="{00000000-0005-0000-0000-00002F360000}"/>
    <cellStyle name="40 % - Aksentti6 10 3 2 3" xfId="16495" xr:uid="{00000000-0005-0000-0000-000030360000}"/>
    <cellStyle name="40 % - Aksentti6 10 3 2_060617_hinnat" xfId="24489" xr:uid="{00000000-0005-0000-0000-000031360000}"/>
    <cellStyle name="40 % - Aksentti6 10 3 3" xfId="8303" xr:uid="{00000000-0005-0000-0000-000032360000}"/>
    <cellStyle name="40 % - Aksentti6 10 3 3 2" xfId="12183" xr:uid="{00000000-0005-0000-0000-000033360000}"/>
    <cellStyle name="40 % - Aksentti6 10 3 3 3" xfId="19937" xr:uid="{00000000-0005-0000-0000-000034360000}"/>
    <cellStyle name="40 % - Aksentti6 10 3 3_DataIX" xfId="31388" xr:uid="{00000000-0005-0000-0000-000035360000}"/>
    <cellStyle name="40 % - Aksentti6 10 3 4" xfId="16494" xr:uid="{00000000-0005-0000-0000-000036360000}"/>
    <cellStyle name="40 % - Aksentti6 10 3_060617_hinnat" xfId="24490" xr:uid="{00000000-0005-0000-0000-000037360000}"/>
    <cellStyle name="40 % - Aksentti6 10 4" xfId="2976" xr:uid="{00000000-0005-0000-0000-000038360000}"/>
    <cellStyle name="40 % - Aksentti6 10 4 2" xfId="8305" xr:uid="{00000000-0005-0000-0000-000039360000}"/>
    <cellStyle name="40 % - Aksentti6 10 4 2 2" xfId="12184" xr:uid="{00000000-0005-0000-0000-00003A360000}"/>
    <cellStyle name="40 % - Aksentti6 10 4 2 3" xfId="19939" xr:uid="{00000000-0005-0000-0000-00003B360000}"/>
    <cellStyle name="40 % - Aksentti6 10 4 2_DataIX" xfId="31389" xr:uid="{00000000-0005-0000-0000-00003C360000}"/>
    <cellStyle name="40 % - Aksentti6 10 4 3" xfId="16496" xr:uid="{00000000-0005-0000-0000-00003D360000}"/>
    <cellStyle name="40 % - Aksentti6 10 4_060617_hinnat" xfId="24491" xr:uid="{00000000-0005-0000-0000-00003E360000}"/>
    <cellStyle name="40 % - Aksentti6 10 5" xfId="2977" xr:uid="{00000000-0005-0000-0000-00003F360000}"/>
    <cellStyle name="40 % - Aksentti6 10 5 2" xfId="8306" xr:uid="{00000000-0005-0000-0000-000040360000}"/>
    <cellStyle name="40 % - Aksentti6 10 5 2 2" xfId="12185" xr:uid="{00000000-0005-0000-0000-000041360000}"/>
    <cellStyle name="40 % - Aksentti6 10 5 2 3" xfId="19940" xr:uid="{00000000-0005-0000-0000-000042360000}"/>
    <cellStyle name="40 % - Aksentti6 10 5 2_DataIX" xfId="31390" xr:uid="{00000000-0005-0000-0000-000043360000}"/>
    <cellStyle name="40 % - Aksentti6 10 5 3" xfId="16497" xr:uid="{00000000-0005-0000-0000-000044360000}"/>
    <cellStyle name="40 % - Aksentti6 10 5_060617_hinnat" xfId="24492" xr:uid="{00000000-0005-0000-0000-000045360000}"/>
    <cellStyle name="40 % - Aksentti6 10 6" xfId="2978" xr:uid="{00000000-0005-0000-0000-000046360000}"/>
    <cellStyle name="40 % - Aksentti6 10 6 2" xfId="8307" xr:uid="{00000000-0005-0000-0000-000047360000}"/>
    <cellStyle name="40 % - Aksentti6 10 6 2 2" xfId="12186" xr:uid="{00000000-0005-0000-0000-000048360000}"/>
    <cellStyle name="40 % - Aksentti6 10 6 2 3" xfId="19941" xr:uid="{00000000-0005-0000-0000-000049360000}"/>
    <cellStyle name="40 % - Aksentti6 10 6 2_DataIX" xfId="31391" xr:uid="{00000000-0005-0000-0000-00004A360000}"/>
    <cellStyle name="40 % - Aksentti6 10 6 3" xfId="16498" xr:uid="{00000000-0005-0000-0000-00004B360000}"/>
    <cellStyle name="40 % - Aksentti6 10 6_060617_hinnat" xfId="24493" xr:uid="{00000000-0005-0000-0000-00004C360000}"/>
    <cellStyle name="40 % - Aksentti6 10 7" xfId="2979" xr:uid="{00000000-0005-0000-0000-00004D360000}"/>
    <cellStyle name="40 % - Aksentti6 10 7 2" xfId="8308" xr:uid="{00000000-0005-0000-0000-00004E360000}"/>
    <cellStyle name="40 % - Aksentti6 10 7 2 2" xfId="12187" xr:uid="{00000000-0005-0000-0000-00004F360000}"/>
    <cellStyle name="40 % - Aksentti6 10 7 2 3" xfId="19942" xr:uid="{00000000-0005-0000-0000-000050360000}"/>
    <cellStyle name="40 % - Aksentti6 10 7 2_DataIX" xfId="31392" xr:uid="{00000000-0005-0000-0000-000051360000}"/>
    <cellStyle name="40 % - Aksentti6 10 7 3" xfId="16499" xr:uid="{00000000-0005-0000-0000-000052360000}"/>
    <cellStyle name="40 % - Aksentti6 10 7_060617_hinnat" xfId="24494" xr:uid="{00000000-0005-0000-0000-000053360000}"/>
    <cellStyle name="40 % - Aksentti6 10 8" xfId="2980" xr:uid="{00000000-0005-0000-0000-000054360000}"/>
    <cellStyle name="40 % - Aksentti6 10 8 2" xfId="8309" xr:uid="{00000000-0005-0000-0000-000055360000}"/>
    <cellStyle name="40 % - Aksentti6 10 8 2 2" xfId="12188" xr:uid="{00000000-0005-0000-0000-000056360000}"/>
    <cellStyle name="40 % - Aksentti6 10 8 2 3" xfId="19943" xr:uid="{00000000-0005-0000-0000-000057360000}"/>
    <cellStyle name="40 % - Aksentti6 10 8 2_DataIX" xfId="31393" xr:uid="{00000000-0005-0000-0000-000058360000}"/>
    <cellStyle name="40 % - Aksentti6 10 8 3" xfId="16500" xr:uid="{00000000-0005-0000-0000-000059360000}"/>
    <cellStyle name="40 % - Aksentti6 10 8_060617_hinnat" xfId="24495" xr:uid="{00000000-0005-0000-0000-00005A360000}"/>
    <cellStyle name="40 % - Aksentti6 10 9" xfId="2981" xr:uid="{00000000-0005-0000-0000-00005B360000}"/>
    <cellStyle name="40 % - Aksentti6 10 9 2" xfId="8310" xr:uid="{00000000-0005-0000-0000-00005C360000}"/>
    <cellStyle name="40 % - Aksentti6 10 9 2 2" xfId="12189" xr:uid="{00000000-0005-0000-0000-00005D360000}"/>
    <cellStyle name="40 % - Aksentti6 10 9 2 3" xfId="19944" xr:uid="{00000000-0005-0000-0000-00005E360000}"/>
    <cellStyle name="40 % - Aksentti6 10 9 2_DataIX" xfId="31394" xr:uid="{00000000-0005-0000-0000-00005F360000}"/>
    <cellStyle name="40 % - Aksentti6 10 9 3" xfId="16501" xr:uid="{00000000-0005-0000-0000-000060360000}"/>
    <cellStyle name="40 % - Aksentti6 10 9_060617_hinnat" xfId="24496" xr:uid="{00000000-0005-0000-0000-000061360000}"/>
    <cellStyle name="40 % - Aksentti6 10_060617_hinnat" xfId="24497" xr:uid="{00000000-0005-0000-0000-000062360000}"/>
    <cellStyle name="40 % - Aksentti6 11" xfId="2982" xr:uid="{00000000-0005-0000-0000-000063360000}"/>
    <cellStyle name="40 % - Aksentti6 11 10" xfId="2983" xr:uid="{00000000-0005-0000-0000-000064360000}"/>
    <cellStyle name="40 % - Aksentti6 11 10 2" xfId="8312" xr:uid="{00000000-0005-0000-0000-000065360000}"/>
    <cellStyle name="40 % - Aksentti6 11 10 2 2" xfId="12190" xr:uid="{00000000-0005-0000-0000-000066360000}"/>
    <cellStyle name="40 % - Aksentti6 11 10 2 3" xfId="19946" xr:uid="{00000000-0005-0000-0000-000067360000}"/>
    <cellStyle name="40 % - Aksentti6 11 10 2_DataIX" xfId="31395" xr:uid="{00000000-0005-0000-0000-000068360000}"/>
    <cellStyle name="40 % - Aksentti6 11 10 3" xfId="16503" xr:uid="{00000000-0005-0000-0000-000069360000}"/>
    <cellStyle name="40 % - Aksentti6 11 10_060617_hinnat" xfId="24498" xr:uid="{00000000-0005-0000-0000-00006A360000}"/>
    <cellStyle name="40 % - Aksentti6 11 11" xfId="8311" xr:uid="{00000000-0005-0000-0000-00006B360000}"/>
    <cellStyle name="40 % - Aksentti6 11 11 2" xfId="12191" xr:uid="{00000000-0005-0000-0000-00006C360000}"/>
    <cellStyle name="40 % - Aksentti6 11 11 3" xfId="19945" xr:uid="{00000000-0005-0000-0000-00006D360000}"/>
    <cellStyle name="40 % - Aksentti6 11 11_DataIX" xfId="31396" xr:uid="{00000000-0005-0000-0000-00006E360000}"/>
    <cellStyle name="40 % - Aksentti6 11 12" xfId="16502" xr:uid="{00000000-0005-0000-0000-00006F360000}"/>
    <cellStyle name="40 % - Aksentti6 11 2" xfId="2984" xr:uid="{00000000-0005-0000-0000-000070360000}"/>
    <cellStyle name="40 % - Aksentti6 11 2 2" xfId="2985" xr:uid="{00000000-0005-0000-0000-000071360000}"/>
    <cellStyle name="40 % - Aksentti6 11 2 2 2" xfId="2986" xr:uid="{00000000-0005-0000-0000-000072360000}"/>
    <cellStyle name="40 % - Aksentti6 11 2 2 2 2" xfId="8315" xr:uid="{00000000-0005-0000-0000-000073360000}"/>
    <cellStyle name="40 % - Aksentti6 11 2 2 2 2 2" xfId="12192" xr:uid="{00000000-0005-0000-0000-000074360000}"/>
    <cellStyle name="40 % - Aksentti6 11 2 2 2 2 3" xfId="19949" xr:uid="{00000000-0005-0000-0000-000075360000}"/>
    <cellStyle name="40 % - Aksentti6 11 2 2 2 2_DataIX" xfId="31397" xr:uid="{00000000-0005-0000-0000-000076360000}"/>
    <cellStyle name="40 % - Aksentti6 11 2 2 2 3" xfId="16506" xr:uid="{00000000-0005-0000-0000-000077360000}"/>
    <cellStyle name="40 % - Aksentti6 11 2 2 2_060617_hinnat" xfId="24499" xr:uid="{00000000-0005-0000-0000-000078360000}"/>
    <cellStyle name="40 % - Aksentti6 11 2 2 3" xfId="8314" xr:uid="{00000000-0005-0000-0000-000079360000}"/>
    <cellStyle name="40 % - Aksentti6 11 2 2 3 2" xfId="12193" xr:uid="{00000000-0005-0000-0000-00007A360000}"/>
    <cellStyle name="40 % - Aksentti6 11 2 2 3 3" xfId="19948" xr:uid="{00000000-0005-0000-0000-00007B360000}"/>
    <cellStyle name="40 % - Aksentti6 11 2 2 3_DataIX" xfId="31398" xr:uid="{00000000-0005-0000-0000-00007C360000}"/>
    <cellStyle name="40 % - Aksentti6 11 2 2 4" xfId="16505" xr:uid="{00000000-0005-0000-0000-00007D360000}"/>
    <cellStyle name="40 % - Aksentti6 11 2 2_060617_hinnat" xfId="24500" xr:uid="{00000000-0005-0000-0000-00007E360000}"/>
    <cellStyle name="40 % - Aksentti6 11 2 3" xfId="2987" xr:uid="{00000000-0005-0000-0000-00007F360000}"/>
    <cellStyle name="40 % - Aksentti6 11 2 3 2" xfId="8316" xr:uid="{00000000-0005-0000-0000-000080360000}"/>
    <cellStyle name="40 % - Aksentti6 11 2 3 2 2" xfId="12194" xr:uid="{00000000-0005-0000-0000-000081360000}"/>
    <cellStyle name="40 % - Aksentti6 11 2 3 2 3" xfId="19950" xr:uid="{00000000-0005-0000-0000-000082360000}"/>
    <cellStyle name="40 % - Aksentti6 11 2 3 2_DataIX" xfId="31399" xr:uid="{00000000-0005-0000-0000-000083360000}"/>
    <cellStyle name="40 % - Aksentti6 11 2 3 3" xfId="16507" xr:uid="{00000000-0005-0000-0000-000084360000}"/>
    <cellStyle name="40 % - Aksentti6 11 2 3_060617_hinnat" xfId="24501" xr:uid="{00000000-0005-0000-0000-000085360000}"/>
    <cellStyle name="40 % - Aksentti6 11 2 4" xfId="8313" xr:uid="{00000000-0005-0000-0000-000086360000}"/>
    <cellStyle name="40 % - Aksentti6 11 2 4 2" xfId="12195" xr:uid="{00000000-0005-0000-0000-000087360000}"/>
    <cellStyle name="40 % - Aksentti6 11 2 4 3" xfId="19947" xr:uid="{00000000-0005-0000-0000-000088360000}"/>
    <cellStyle name="40 % - Aksentti6 11 2 4_DataIX" xfId="31400" xr:uid="{00000000-0005-0000-0000-000089360000}"/>
    <cellStyle name="40 % - Aksentti6 11 2 5" xfId="16504" xr:uid="{00000000-0005-0000-0000-00008A360000}"/>
    <cellStyle name="40 % - Aksentti6 11 2_060617_hinnat" xfId="24502" xr:uid="{00000000-0005-0000-0000-00008B360000}"/>
    <cellStyle name="40 % - Aksentti6 11 3" xfId="2988" xr:uid="{00000000-0005-0000-0000-00008C360000}"/>
    <cellStyle name="40 % - Aksentti6 11 3 2" xfId="2989" xr:uid="{00000000-0005-0000-0000-00008D360000}"/>
    <cellStyle name="40 % - Aksentti6 11 3 2 2" xfId="8318" xr:uid="{00000000-0005-0000-0000-00008E360000}"/>
    <cellStyle name="40 % - Aksentti6 11 3 2 2 2" xfId="12196" xr:uid="{00000000-0005-0000-0000-00008F360000}"/>
    <cellStyle name="40 % - Aksentti6 11 3 2 2 3" xfId="19952" xr:uid="{00000000-0005-0000-0000-000090360000}"/>
    <cellStyle name="40 % - Aksentti6 11 3 2 2_DataIX" xfId="31401" xr:uid="{00000000-0005-0000-0000-000091360000}"/>
    <cellStyle name="40 % - Aksentti6 11 3 2 3" xfId="16509" xr:uid="{00000000-0005-0000-0000-000092360000}"/>
    <cellStyle name="40 % - Aksentti6 11 3 2_060617_hinnat" xfId="24503" xr:uid="{00000000-0005-0000-0000-000093360000}"/>
    <cellStyle name="40 % - Aksentti6 11 3 3" xfId="8317" xr:uid="{00000000-0005-0000-0000-000094360000}"/>
    <cellStyle name="40 % - Aksentti6 11 3 3 2" xfId="12197" xr:uid="{00000000-0005-0000-0000-000095360000}"/>
    <cellStyle name="40 % - Aksentti6 11 3 3 3" xfId="19951" xr:uid="{00000000-0005-0000-0000-000096360000}"/>
    <cellStyle name="40 % - Aksentti6 11 3 3_DataIX" xfId="31402" xr:uid="{00000000-0005-0000-0000-000097360000}"/>
    <cellStyle name="40 % - Aksentti6 11 3 4" xfId="16508" xr:uid="{00000000-0005-0000-0000-000098360000}"/>
    <cellStyle name="40 % - Aksentti6 11 3_060617_hinnat" xfId="24504" xr:uid="{00000000-0005-0000-0000-000099360000}"/>
    <cellStyle name="40 % - Aksentti6 11 4" xfId="2990" xr:uid="{00000000-0005-0000-0000-00009A360000}"/>
    <cellStyle name="40 % - Aksentti6 11 4 2" xfId="8319" xr:uid="{00000000-0005-0000-0000-00009B360000}"/>
    <cellStyle name="40 % - Aksentti6 11 4 2 2" xfId="12198" xr:uid="{00000000-0005-0000-0000-00009C360000}"/>
    <cellStyle name="40 % - Aksentti6 11 4 2 3" xfId="19953" xr:uid="{00000000-0005-0000-0000-00009D360000}"/>
    <cellStyle name="40 % - Aksentti6 11 4 2_DataIX" xfId="31403" xr:uid="{00000000-0005-0000-0000-00009E360000}"/>
    <cellStyle name="40 % - Aksentti6 11 4 3" xfId="16510" xr:uid="{00000000-0005-0000-0000-00009F360000}"/>
    <cellStyle name="40 % - Aksentti6 11 4_060617_hinnat" xfId="24505" xr:uid="{00000000-0005-0000-0000-0000A0360000}"/>
    <cellStyle name="40 % - Aksentti6 11 5" xfId="2991" xr:uid="{00000000-0005-0000-0000-0000A1360000}"/>
    <cellStyle name="40 % - Aksentti6 11 5 2" xfId="8320" xr:uid="{00000000-0005-0000-0000-0000A2360000}"/>
    <cellStyle name="40 % - Aksentti6 11 5 2 2" xfId="12199" xr:uid="{00000000-0005-0000-0000-0000A3360000}"/>
    <cellStyle name="40 % - Aksentti6 11 5 2 3" xfId="19954" xr:uid="{00000000-0005-0000-0000-0000A4360000}"/>
    <cellStyle name="40 % - Aksentti6 11 5 2_DataIX" xfId="31404" xr:uid="{00000000-0005-0000-0000-0000A5360000}"/>
    <cellStyle name="40 % - Aksentti6 11 5 3" xfId="16511" xr:uid="{00000000-0005-0000-0000-0000A6360000}"/>
    <cellStyle name="40 % - Aksentti6 11 5_060617_hinnat" xfId="24506" xr:uid="{00000000-0005-0000-0000-0000A7360000}"/>
    <cellStyle name="40 % - Aksentti6 11 6" xfId="2992" xr:uid="{00000000-0005-0000-0000-0000A8360000}"/>
    <cellStyle name="40 % - Aksentti6 11 6 2" xfId="8321" xr:uid="{00000000-0005-0000-0000-0000A9360000}"/>
    <cellStyle name="40 % - Aksentti6 11 6 2 2" xfId="12200" xr:uid="{00000000-0005-0000-0000-0000AA360000}"/>
    <cellStyle name="40 % - Aksentti6 11 6 2 3" xfId="19955" xr:uid="{00000000-0005-0000-0000-0000AB360000}"/>
    <cellStyle name="40 % - Aksentti6 11 6 2_DataIX" xfId="31405" xr:uid="{00000000-0005-0000-0000-0000AC360000}"/>
    <cellStyle name="40 % - Aksentti6 11 6 3" xfId="16512" xr:uid="{00000000-0005-0000-0000-0000AD360000}"/>
    <cellStyle name="40 % - Aksentti6 11 6_060617_hinnat" xfId="24507" xr:uid="{00000000-0005-0000-0000-0000AE360000}"/>
    <cellStyle name="40 % - Aksentti6 11 7" xfId="2993" xr:uid="{00000000-0005-0000-0000-0000AF360000}"/>
    <cellStyle name="40 % - Aksentti6 11 7 2" xfId="8322" xr:uid="{00000000-0005-0000-0000-0000B0360000}"/>
    <cellStyle name="40 % - Aksentti6 11 7 2 2" xfId="12201" xr:uid="{00000000-0005-0000-0000-0000B1360000}"/>
    <cellStyle name="40 % - Aksentti6 11 7 2 3" xfId="19956" xr:uid="{00000000-0005-0000-0000-0000B2360000}"/>
    <cellStyle name="40 % - Aksentti6 11 7 2_DataIX" xfId="31406" xr:uid="{00000000-0005-0000-0000-0000B3360000}"/>
    <cellStyle name="40 % - Aksentti6 11 7 3" xfId="16513" xr:uid="{00000000-0005-0000-0000-0000B4360000}"/>
    <cellStyle name="40 % - Aksentti6 11 7_060617_hinnat" xfId="24508" xr:uid="{00000000-0005-0000-0000-0000B5360000}"/>
    <cellStyle name="40 % - Aksentti6 11 8" xfId="2994" xr:uid="{00000000-0005-0000-0000-0000B6360000}"/>
    <cellStyle name="40 % - Aksentti6 11 8 2" xfId="8323" xr:uid="{00000000-0005-0000-0000-0000B7360000}"/>
    <cellStyle name="40 % - Aksentti6 11 8 2 2" xfId="12202" xr:uid="{00000000-0005-0000-0000-0000B8360000}"/>
    <cellStyle name="40 % - Aksentti6 11 8 2 3" xfId="19957" xr:uid="{00000000-0005-0000-0000-0000B9360000}"/>
    <cellStyle name="40 % - Aksentti6 11 8 2_DataIX" xfId="31407" xr:uid="{00000000-0005-0000-0000-0000BA360000}"/>
    <cellStyle name="40 % - Aksentti6 11 8 3" xfId="16514" xr:uid="{00000000-0005-0000-0000-0000BB360000}"/>
    <cellStyle name="40 % - Aksentti6 11 8_060617_hinnat" xfId="24509" xr:uid="{00000000-0005-0000-0000-0000BC360000}"/>
    <cellStyle name="40 % - Aksentti6 11 9" xfId="2995" xr:uid="{00000000-0005-0000-0000-0000BD360000}"/>
    <cellStyle name="40 % - Aksentti6 11 9 2" xfId="8324" xr:uid="{00000000-0005-0000-0000-0000BE360000}"/>
    <cellStyle name="40 % - Aksentti6 11 9 2 2" xfId="12203" xr:uid="{00000000-0005-0000-0000-0000BF360000}"/>
    <cellStyle name="40 % - Aksentti6 11 9 2 3" xfId="19958" xr:uid="{00000000-0005-0000-0000-0000C0360000}"/>
    <cellStyle name="40 % - Aksentti6 11 9 2_DataIX" xfId="31408" xr:uid="{00000000-0005-0000-0000-0000C1360000}"/>
    <cellStyle name="40 % - Aksentti6 11 9 3" xfId="16515" xr:uid="{00000000-0005-0000-0000-0000C2360000}"/>
    <cellStyle name="40 % - Aksentti6 11 9_060617_hinnat" xfId="24510" xr:uid="{00000000-0005-0000-0000-0000C3360000}"/>
    <cellStyle name="40 % - Aksentti6 11_060617_hinnat" xfId="24511" xr:uid="{00000000-0005-0000-0000-0000C4360000}"/>
    <cellStyle name="40 % - Aksentti6 12" xfId="2996" xr:uid="{00000000-0005-0000-0000-0000C5360000}"/>
    <cellStyle name="40 % - Aksentti6 12 10" xfId="2997" xr:uid="{00000000-0005-0000-0000-0000C6360000}"/>
    <cellStyle name="40 % - Aksentti6 12 10 2" xfId="8326" xr:uid="{00000000-0005-0000-0000-0000C7360000}"/>
    <cellStyle name="40 % - Aksentti6 12 10 2 2" xfId="12204" xr:uid="{00000000-0005-0000-0000-0000C8360000}"/>
    <cellStyle name="40 % - Aksentti6 12 10 2 3" xfId="19960" xr:uid="{00000000-0005-0000-0000-0000C9360000}"/>
    <cellStyle name="40 % - Aksentti6 12 10 2_DataIX" xfId="31409" xr:uid="{00000000-0005-0000-0000-0000CA360000}"/>
    <cellStyle name="40 % - Aksentti6 12 10 3" xfId="16517" xr:uid="{00000000-0005-0000-0000-0000CB360000}"/>
    <cellStyle name="40 % - Aksentti6 12 10_060617_hinnat" xfId="24512" xr:uid="{00000000-0005-0000-0000-0000CC360000}"/>
    <cellStyle name="40 % - Aksentti6 12 11" xfId="8325" xr:uid="{00000000-0005-0000-0000-0000CD360000}"/>
    <cellStyle name="40 % - Aksentti6 12 11 2" xfId="12205" xr:uid="{00000000-0005-0000-0000-0000CE360000}"/>
    <cellStyle name="40 % - Aksentti6 12 11 3" xfId="19959" xr:uid="{00000000-0005-0000-0000-0000CF360000}"/>
    <cellStyle name="40 % - Aksentti6 12 11_DataIX" xfId="31410" xr:uid="{00000000-0005-0000-0000-0000D0360000}"/>
    <cellStyle name="40 % - Aksentti6 12 12" xfId="16516" xr:uid="{00000000-0005-0000-0000-0000D1360000}"/>
    <cellStyle name="40 % - Aksentti6 12 2" xfId="2998" xr:uid="{00000000-0005-0000-0000-0000D2360000}"/>
    <cellStyle name="40 % - Aksentti6 12 2 2" xfId="2999" xr:uid="{00000000-0005-0000-0000-0000D3360000}"/>
    <cellStyle name="40 % - Aksentti6 12 2 2 2" xfId="3000" xr:uid="{00000000-0005-0000-0000-0000D4360000}"/>
    <cellStyle name="40 % - Aksentti6 12 2 2 2 2" xfId="8329" xr:uid="{00000000-0005-0000-0000-0000D5360000}"/>
    <cellStyle name="40 % - Aksentti6 12 2 2 2 2 2" xfId="12206" xr:uid="{00000000-0005-0000-0000-0000D6360000}"/>
    <cellStyle name="40 % - Aksentti6 12 2 2 2 2 3" xfId="19963" xr:uid="{00000000-0005-0000-0000-0000D7360000}"/>
    <cellStyle name="40 % - Aksentti6 12 2 2 2 2_DataIX" xfId="31411" xr:uid="{00000000-0005-0000-0000-0000D8360000}"/>
    <cellStyle name="40 % - Aksentti6 12 2 2 2 3" xfId="16520" xr:uid="{00000000-0005-0000-0000-0000D9360000}"/>
    <cellStyle name="40 % - Aksentti6 12 2 2 2_060617_hinnat" xfId="24513" xr:uid="{00000000-0005-0000-0000-0000DA360000}"/>
    <cellStyle name="40 % - Aksentti6 12 2 2 3" xfId="8328" xr:uid="{00000000-0005-0000-0000-0000DB360000}"/>
    <cellStyle name="40 % - Aksentti6 12 2 2 3 2" xfId="12207" xr:uid="{00000000-0005-0000-0000-0000DC360000}"/>
    <cellStyle name="40 % - Aksentti6 12 2 2 3 3" xfId="19962" xr:uid="{00000000-0005-0000-0000-0000DD360000}"/>
    <cellStyle name="40 % - Aksentti6 12 2 2 3_DataIX" xfId="31412" xr:uid="{00000000-0005-0000-0000-0000DE360000}"/>
    <cellStyle name="40 % - Aksentti6 12 2 2 4" xfId="16519" xr:uid="{00000000-0005-0000-0000-0000DF360000}"/>
    <cellStyle name="40 % - Aksentti6 12 2 2_060617_hinnat" xfId="24514" xr:uid="{00000000-0005-0000-0000-0000E0360000}"/>
    <cellStyle name="40 % - Aksentti6 12 2 3" xfId="3001" xr:uid="{00000000-0005-0000-0000-0000E1360000}"/>
    <cellStyle name="40 % - Aksentti6 12 2 3 2" xfId="8330" xr:uid="{00000000-0005-0000-0000-0000E2360000}"/>
    <cellStyle name="40 % - Aksentti6 12 2 3 2 2" xfId="12208" xr:uid="{00000000-0005-0000-0000-0000E3360000}"/>
    <cellStyle name="40 % - Aksentti6 12 2 3 2 3" xfId="19964" xr:uid="{00000000-0005-0000-0000-0000E4360000}"/>
    <cellStyle name="40 % - Aksentti6 12 2 3 2_DataIX" xfId="31413" xr:uid="{00000000-0005-0000-0000-0000E5360000}"/>
    <cellStyle name="40 % - Aksentti6 12 2 3 3" xfId="16521" xr:uid="{00000000-0005-0000-0000-0000E6360000}"/>
    <cellStyle name="40 % - Aksentti6 12 2 3_060617_hinnat" xfId="24515" xr:uid="{00000000-0005-0000-0000-0000E7360000}"/>
    <cellStyle name="40 % - Aksentti6 12 2 4" xfId="8327" xr:uid="{00000000-0005-0000-0000-0000E8360000}"/>
    <cellStyle name="40 % - Aksentti6 12 2 4 2" xfId="12209" xr:uid="{00000000-0005-0000-0000-0000E9360000}"/>
    <cellStyle name="40 % - Aksentti6 12 2 4 3" xfId="19961" xr:uid="{00000000-0005-0000-0000-0000EA360000}"/>
    <cellStyle name="40 % - Aksentti6 12 2 4_DataIX" xfId="31414" xr:uid="{00000000-0005-0000-0000-0000EB360000}"/>
    <cellStyle name="40 % - Aksentti6 12 2 5" xfId="16518" xr:uid="{00000000-0005-0000-0000-0000EC360000}"/>
    <cellStyle name="40 % - Aksentti6 12 2_060617_hinnat" xfId="24516" xr:uid="{00000000-0005-0000-0000-0000ED360000}"/>
    <cellStyle name="40 % - Aksentti6 12 3" xfId="3002" xr:uid="{00000000-0005-0000-0000-0000EE360000}"/>
    <cellStyle name="40 % - Aksentti6 12 3 2" xfId="3003" xr:uid="{00000000-0005-0000-0000-0000EF360000}"/>
    <cellStyle name="40 % - Aksentti6 12 3 2 2" xfId="8332" xr:uid="{00000000-0005-0000-0000-0000F0360000}"/>
    <cellStyle name="40 % - Aksentti6 12 3 2 2 2" xfId="12210" xr:uid="{00000000-0005-0000-0000-0000F1360000}"/>
    <cellStyle name="40 % - Aksentti6 12 3 2 2 3" xfId="19966" xr:uid="{00000000-0005-0000-0000-0000F2360000}"/>
    <cellStyle name="40 % - Aksentti6 12 3 2 2_DataIX" xfId="31415" xr:uid="{00000000-0005-0000-0000-0000F3360000}"/>
    <cellStyle name="40 % - Aksentti6 12 3 2 3" xfId="16523" xr:uid="{00000000-0005-0000-0000-0000F4360000}"/>
    <cellStyle name="40 % - Aksentti6 12 3 2_060617_hinnat" xfId="24517" xr:uid="{00000000-0005-0000-0000-0000F5360000}"/>
    <cellStyle name="40 % - Aksentti6 12 3 3" xfId="8331" xr:uid="{00000000-0005-0000-0000-0000F6360000}"/>
    <cellStyle name="40 % - Aksentti6 12 3 3 2" xfId="12211" xr:uid="{00000000-0005-0000-0000-0000F7360000}"/>
    <cellStyle name="40 % - Aksentti6 12 3 3 3" xfId="19965" xr:uid="{00000000-0005-0000-0000-0000F8360000}"/>
    <cellStyle name="40 % - Aksentti6 12 3 3_DataIX" xfId="31416" xr:uid="{00000000-0005-0000-0000-0000F9360000}"/>
    <cellStyle name="40 % - Aksentti6 12 3 4" xfId="16522" xr:uid="{00000000-0005-0000-0000-0000FA360000}"/>
    <cellStyle name="40 % - Aksentti6 12 3_060617_hinnat" xfId="24518" xr:uid="{00000000-0005-0000-0000-0000FB360000}"/>
    <cellStyle name="40 % - Aksentti6 12 4" xfId="3004" xr:uid="{00000000-0005-0000-0000-0000FC360000}"/>
    <cellStyle name="40 % - Aksentti6 12 4 2" xfId="8333" xr:uid="{00000000-0005-0000-0000-0000FD360000}"/>
    <cellStyle name="40 % - Aksentti6 12 4 2 2" xfId="12212" xr:uid="{00000000-0005-0000-0000-0000FE360000}"/>
    <cellStyle name="40 % - Aksentti6 12 4 2 3" xfId="19967" xr:uid="{00000000-0005-0000-0000-0000FF360000}"/>
    <cellStyle name="40 % - Aksentti6 12 4 2_DataIX" xfId="31417" xr:uid="{00000000-0005-0000-0000-000000370000}"/>
    <cellStyle name="40 % - Aksentti6 12 4 3" xfId="16524" xr:uid="{00000000-0005-0000-0000-000001370000}"/>
    <cellStyle name="40 % - Aksentti6 12 4_060617_hinnat" xfId="24519" xr:uid="{00000000-0005-0000-0000-000002370000}"/>
    <cellStyle name="40 % - Aksentti6 12 5" xfId="3005" xr:uid="{00000000-0005-0000-0000-000003370000}"/>
    <cellStyle name="40 % - Aksentti6 12 5 2" xfId="8334" xr:uid="{00000000-0005-0000-0000-000004370000}"/>
    <cellStyle name="40 % - Aksentti6 12 5 2 2" xfId="12213" xr:uid="{00000000-0005-0000-0000-000005370000}"/>
    <cellStyle name="40 % - Aksentti6 12 5 2 3" xfId="19968" xr:uid="{00000000-0005-0000-0000-000006370000}"/>
    <cellStyle name="40 % - Aksentti6 12 5 2_DataIX" xfId="31418" xr:uid="{00000000-0005-0000-0000-000007370000}"/>
    <cellStyle name="40 % - Aksentti6 12 5 3" xfId="16525" xr:uid="{00000000-0005-0000-0000-000008370000}"/>
    <cellStyle name="40 % - Aksentti6 12 5_060617_hinnat" xfId="24520" xr:uid="{00000000-0005-0000-0000-000009370000}"/>
    <cellStyle name="40 % - Aksentti6 12 6" xfId="3006" xr:uid="{00000000-0005-0000-0000-00000A370000}"/>
    <cellStyle name="40 % - Aksentti6 12 6 2" xfId="8335" xr:uid="{00000000-0005-0000-0000-00000B370000}"/>
    <cellStyle name="40 % - Aksentti6 12 6 2 2" xfId="12214" xr:uid="{00000000-0005-0000-0000-00000C370000}"/>
    <cellStyle name="40 % - Aksentti6 12 6 2 3" xfId="19969" xr:uid="{00000000-0005-0000-0000-00000D370000}"/>
    <cellStyle name="40 % - Aksentti6 12 6 2_DataIX" xfId="31419" xr:uid="{00000000-0005-0000-0000-00000E370000}"/>
    <cellStyle name="40 % - Aksentti6 12 6 3" xfId="16526" xr:uid="{00000000-0005-0000-0000-00000F370000}"/>
    <cellStyle name="40 % - Aksentti6 12 6_060617_hinnat" xfId="24521" xr:uid="{00000000-0005-0000-0000-000010370000}"/>
    <cellStyle name="40 % - Aksentti6 12 7" xfId="3007" xr:uid="{00000000-0005-0000-0000-000011370000}"/>
    <cellStyle name="40 % - Aksentti6 12 7 2" xfId="8336" xr:uid="{00000000-0005-0000-0000-000012370000}"/>
    <cellStyle name="40 % - Aksentti6 12 7 2 2" xfId="12215" xr:uid="{00000000-0005-0000-0000-000013370000}"/>
    <cellStyle name="40 % - Aksentti6 12 7 2 3" xfId="19970" xr:uid="{00000000-0005-0000-0000-000014370000}"/>
    <cellStyle name="40 % - Aksentti6 12 7 2_DataIX" xfId="31420" xr:uid="{00000000-0005-0000-0000-000015370000}"/>
    <cellStyle name="40 % - Aksentti6 12 7 3" xfId="16527" xr:uid="{00000000-0005-0000-0000-000016370000}"/>
    <cellStyle name="40 % - Aksentti6 12 7_060617_hinnat" xfId="24522" xr:uid="{00000000-0005-0000-0000-000017370000}"/>
    <cellStyle name="40 % - Aksentti6 12 8" xfId="3008" xr:uid="{00000000-0005-0000-0000-000018370000}"/>
    <cellStyle name="40 % - Aksentti6 12 8 2" xfId="8337" xr:uid="{00000000-0005-0000-0000-000019370000}"/>
    <cellStyle name="40 % - Aksentti6 12 8 2 2" xfId="12216" xr:uid="{00000000-0005-0000-0000-00001A370000}"/>
    <cellStyle name="40 % - Aksentti6 12 8 2 3" xfId="19971" xr:uid="{00000000-0005-0000-0000-00001B370000}"/>
    <cellStyle name="40 % - Aksentti6 12 8 2_DataIX" xfId="31421" xr:uid="{00000000-0005-0000-0000-00001C370000}"/>
    <cellStyle name="40 % - Aksentti6 12 8 3" xfId="16528" xr:uid="{00000000-0005-0000-0000-00001D370000}"/>
    <cellStyle name="40 % - Aksentti6 12 8_060617_hinnat" xfId="24523" xr:uid="{00000000-0005-0000-0000-00001E370000}"/>
    <cellStyle name="40 % - Aksentti6 12 9" xfId="3009" xr:uid="{00000000-0005-0000-0000-00001F370000}"/>
    <cellStyle name="40 % - Aksentti6 12 9 2" xfId="8338" xr:uid="{00000000-0005-0000-0000-000020370000}"/>
    <cellStyle name="40 % - Aksentti6 12 9 2 2" xfId="12217" xr:uid="{00000000-0005-0000-0000-000021370000}"/>
    <cellStyle name="40 % - Aksentti6 12 9 2 3" xfId="19972" xr:uid="{00000000-0005-0000-0000-000022370000}"/>
    <cellStyle name="40 % - Aksentti6 12 9 2_DataIX" xfId="31422" xr:uid="{00000000-0005-0000-0000-000023370000}"/>
    <cellStyle name="40 % - Aksentti6 12 9 3" xfId="16529" xr:uid="{00000000-0005-0000-0000-000024370000}"/>
    <cellStyle name="40 % - Aksentti6 12 9_060617_hinnat" xfId="24524" xr:uid="{00000000-0005-0000-0000-000025370000}"/>
    <cellStyle name="40 % - Aksentti6 12_060617_hinnat" xfId="24525" xr:uid="{00000000-0005-0000-0000-000026370000}"/>
    <cellStyle name="40 % - Aksentti6 13" xfId="3010" xr:uid="{00000000-0005-0000-0000-000027370000}"/>
    <cellStyle name="40 % - Aksentti6 13 10" xfId="3011" xr:uid="{00000000-0005-0000-0000-000028370000}"/>
    <cellStyle name="40 % - Aksentti6 13 10 2" xfId="8340" xr:uid="{00000000-0005-0000-0000-000029370000}"/>
    <cellStyle name="40 % - Aksentti6 13 10 2 2" xfId="12218" xr:uid="{00000000-0005-0000-0000-00002A370000}"/>
    <cellStyle name="40 % - Aksentti6 13 10 2 3" xfId="19974" xr:uid="{00000000-0005-0000-0000-00002B370000}"/>
    <cellStyle name="40 % - Aksentti6 13 10 2_DataIX" xfId="31423" xr:uid="{00000000-0005-0000-0000-00002C370000}"/>
    <cellStyle name="40 % - Aksentti6 13 10 3" xfId="16531" xr:uid="{00000000-0005-0000-0000-00002D370000}"/>
    <cellStyle name="40 % - Aksentti6 13 10_060617_hinnat" xfId="24526" xr:uid="{00000000-0005-0000-0000-00002E370000}"/>
    <cellStyle name="40 % - Aksentti6 13 11" xfId="8339" xr:uid="{00000000-0005-0000-0000-00002F370000}"/>
    <cellStyle name="40 % - Aksentti6 13 11 2" xfId="12219" xr:uid="{00000000-0005-0000-0000-000030370000}"/>
    <cellStyle name="40 % - Aksentti6 13 11 3" xfId="19973" xr:uid="{00000000-0005-0000-0000-000031370000}"/>
    <cellStyle name="40 % - Aksentti6 13 11_DataIX" xfId="31424" xr:uid="{00000000-0005-0000-0000-000032370000}"/>
    <cellStyle name="40 % - Aksentti6 13 12" xfId="16530" xr:uid="{00000000-0005-0000-0000-000033370000}"/>
    <cellStyle name="40 % - Aksentti6 13 2" xfId="3012" xr:uid="{00000000-0005-0000-0000-000034370000}"/>
    <cellStyle name="40 % - Aksentti6 13 2 2" xfId="3013" xr:uid="{00000000-0005-0000-0000-000035370000}"/>
    <cellStyle name="40 % - Aksentti6 13 2 2 2" xfId="8342" xr:uid="{00000000-0005-0000-0000-000036370000}"/>
    <cellStyle name="40 % - Aksentti6 13 2 2 2 2" xfId="12220" xr:uid="{00000000-0005-0000-0000-000037370000}"/>
    <cellStyle name="40 % - Aksentti6 13 2 2 2 3" xfId="19976" xr:uid="{00000000-0005-0000-0000-000038370000}"/>
    <cellStyle name="40 % - Aksentti6 13 2 2 2_DataIX" xfId="31425" xr:uid="{00000000-0005-0000-0000-000039370000}"/>
    <cellStyle name="40 % - Aksentti6 13 2 2 3" xfId="16533" xr:uid="{00000000-0005-0000-0000-00003A370000}"/>
    <cellStyle name="40 % - Aksentti6 13 2 2_060617_hinnat" xfId="24527" xr:uid="{00000000-0005-0000-0000-00003B370000}"/>
    <cellStyle name="40 % - Aksentti6 13 2 3" xfId="8341" xr:uid="{00000000-0005-0000-0000-00003C370000}"/>
    <cellStyle name="40 % - Aksentti6 13 2 3 2" xfId="12221" xr:uid="{00000000-0005-0000-0000-00003D370000}"/>
    <cellStyle name="40 % - Aksentti6 13 2 3 3" xfId="19975" xr:uid="{00000000-0005-0000-0000-00003E370000}"/>
    <cellStyle name="40 % - Aksentti6 13 2 3_DataIX" xfId="31426" xr:uid="{00000000-0005-0000-0000-00003F370000}"/>
    <cellStyle name="40 % - Aksentti6 13 2 4" xfId="16532" xr:uid="{00000000-0005-0000-0000-000040370000}"/>
    <cellStyle name="40 % - Aksentti6 13 2_060617_hinnat" xfId="24528" xr:uid="{00000000-0005-0000-0000-000041370000}"/>
    <cellStyle name="40 % - Aksentti6 13 3" xfId="3014" xr:uid="{00000000-0005-0000-0000-000042370000}"/>
    <cellStyle name="40 % - Aksentti6 13 3 2" xfId="8343" xr:uid="{00000000-0005-0000-0000-000043370000}"/>
    <cellStyle name="40 % - Aksentti6 13 3 2 2" xfId="12222" xr:uid="{00000000-0005-0000-0000-000044370000}"/>
    <cellStyle name="40 % - Aksentti6 13 3 2 3" xfId="19977" xr:uid="{00000000-0005-0000-0000-000045370000}"/>
    <cellStyle name="40 % - Aksentti6 13 3 2_DataIX" xfId="31427" xr:uid="{00000000-0005-0000-0000-000046370000}"/>
    <cellStyle name="40 % - Aksentti6 13 3 3" xfId="16534" xr:uid="{00000000-0005-0000-0000-000047370000}"/>
    <cellStyle name="40 % - Aksentti6 13 3_060617_hinnat" xfId="24529" xr:uid="{00000000-0005-0000-0000-000048370000}"/>
    <cellStyle name="40 % - Aksentti6 13 4" xfId="3015" xr:uid="{00000000-0005-0000-0000-000049370000}"/>
    <cellStyle name="40 % - Aksentti6 13 4 2" xfId="8344" xr:uid="{00000000-0005-0000-0000-00004A370000}"/>
    <cellStyle name="40 % - Aksentti6 13 4 2 2" xfId="12223" xr:uid="{00000000-0005-0000-0000-00004B370000}"/>
    <cellStyle name="40 % - Aksentti6 13 4 2 3" xfId="19978" xr:uid="{00000000-0005-0000-0000-00004C370000}"/>
    <cellStyle name="40 % - Aksentti6 13 4 2_DataIX" xfId="31428" xr:uid="{00000000-0005-0000-0000-00004D370000}"/>
    <cellStyle name="40 % - Aksentti6 13 4 3" xfId="16535" xr:uid="{00000000-0005-0000-0000-00004E370000}"/>
    <cellStyle name="40 % - Aksentti6 13 4_060617_hinnat" xfId="24530" xr:uid="{00000000-0005-0000-0000-00004F370000}"/>
    <cellStyle name="40 % - Aksentti6 13 5" xfId="3016" xr:uid="{00000000-0005-0000-0000-000050370000}"/>
    <cellStyle name="40 % - Aksentti6 13 5 2" xfId="8345" xr:uid="{00000000-0005-0000-0000-000051370000}"/>
    <cellStyle name="40 % - Aksentti6 13 5 2 2" xfId="12224" xr:uid="{00000000-0005-0000-0000-000052370000}"/>
    <cellStyle name="40 % - Aksentti6 13 5 2 3" xfId="19979" xr:uid="{00000000-0005-0000-0000-000053370000}"/>
    <cellStyle name="40 % - Aksentti6 13 5 2_DataIX" xfId="31429" xr:uid="{00000000-0005-0000-0000-000054370000}"/>
    <cellStyle name="40 % - Aksentti6 13 5 3" xfId="16536" xr:uid="{00000000-0005-0000-0000-000055370000}"/>
    <cellStyle name="40 % - Aksentti6 13 5_060617_hinnat" xfId="24531" xr:uid="{00000000-0005-0000-0000-000056370000}"/>
    <cellStyle name="40 % - Aksentti6 13 6" xfId="3017" xr:uid="{00000000-0005-0000-0000-000057370000}"/>
    <cellStyle name="40 % - Aksentti6 13 6 2" xfId="8346" xr:uid="{00000000-0005-0000-0000-000058370000}"/>
    <cellStyle name="40 % - Aksentti6 13 6 2 2" xfId="12225" xr:uid="{00000000-0005-0000-0000-000059370000}"/>
    <cellStyle name="40 % - Aksentti6 13 6 2 3" xfId="19980" xr:uid="{00000000-0005-0000-0000-00005A370000}"/>
    <cellStyle name="40 % - Aksentti6 13 6 2_DataIX" xfId="31430" xr:uid="{00000000-0005-0000-0000-00005B370000}"/>
    <cellStyle name="40 % - Aksentti6 13 6 3" xfId="16537" xr:uid="{00000000-0005-0000-0000-00005C370000}"/>
    <cellStyle name="40 % - Aksentti6 13 6_060617_hinnat" xfId="24532" xr:uid="{00000000-0005-0000-0000-00005D370000}"/>
    <cellStyle name="40 % - Aksentti6 13 7" xfId="3018" xr:uid="{00000000-0005-0000-0000-00005E370000}"/>
    <cellStyle name="40 % - Aksentti6 13 7 2" xfId="8347" xr:uid="{00000000-0005-0000-0000-00005F370000}"/>
    <cellStyle name="40 % - Aksentti6 13 7 2 2" xfId="12226" xr:uid="{00000000-0005-0000-0000-000060370000}"/>
    <cellStyle name="40 % - Aksentti6 13 7 2 3" xfId="19981" xr:uid="{00000000-0005-0000-0000-000061370000}"/>
    <cellStyle name="40 % - Aksentti6 13 7 2_DataIX" xfId="31431" xr:uid="{00000000-0005-0000-0000-000062370000}"/>
    <cellStyle name="40 % - Aksentti6 13 7 3" xfId="16538" xr:uid="{00000000-0005-0000-0000-000063370000}"/>
    <cellStyle name="40 % - Aksentti6 13 7_060617_hinnat" xfId="24533" xr:uid="{00000000-0005-0000-0000-000064370000}"/>
    <cellStyle name="40 % - Aksentti6 13 8" xfId="3019" xr:uid="{00000000-0005-0000-0000-000065370000}"/>
    <cellStyle name="40 % - Aksentti6 13 8 2" xfId="8348" xr:uid="{00000000-0005-0000-0000-000066370000}"/>
    <cellStyle name="40 % - Aksentti6 13 8 2 2" xfId="12227" xr:uid="{00000000-0005-0000-0000-000067370000}"/>
    <cellStyle name="40 % - Aksentti6 13 8 2 3" xfId="19982" xr:uid="{00000000-0005-0000-0000-000068370000}"/>
    <cellStyle name="40 % - Aksentti6 13 8 2_DataIX" xfId="31432" xr:uid="{00000000-0005-0000-0000-000069370000}"/>
    <cellStyle name="40 % - Aksentti6 13 8 3" xfId="16539" xr:uid="{00000000-0005-0000-0000-00006A370000}"/>
    <cellStyle name="40 % - Aksentti6 13 8_060617_hinnat" xfId="24534" xr:uid="{00000000-0005-0000-0000-00006B370000}"/>
    <cellStyle name="40 % - Aksentti6 13 9" xfId="3020" xr:uid="{00000000-0005-0000-0000-00006C370000}"/>
    <cellStyle name="40 % - Aksentti6 13 9 2" xfId="8349" xr:uid="{00000000-0005-0000-0000-00006D370000}"/>
    <cellStyle name="40 % - Aksentti6 13 9 2 2" xfId="12228" xr:uid="{00000000-0005-0000-0000-00006E370000}"/>
    <cellStyle name="40 % - Aksentti6 13 9 2 3" xfId="19983" xr:uid="{00000000-0005-0000-0000-00006F370000}"/>
    <cellStyle name="40 % - Aksentti6 13 9 2_DataIX" xfId="31433" xr:uid="{00000000-0005-0000-0000-000070370000}"/>
    <cellStyle name="40 % - Aksentti6 13 9 3" xfId="16540" xr:uid="{00000000-0005-0000-0000-000071370000}"/>
    <cellStyle name="40 % - Aksentti6 13 9_060617_hinnat" xfId="24535" xr:uid="{00000000-0005-0000-0000-000072370000}"/>
    <cellStyle name="40 % - Aksentti6 13_060617_hinnat" xfId="24536" xr:uid="{00000000-0005-0000-0000-000073370000}"/>
    <cellStyle name="40 % - Aksentti6 14" xfId="3021" xr:uid="{00000000-0005-0000-0000-000074370000}"/>
    <cellStyle name="40 % - Aksentti6 14 10" xfId="3022" xr:uid="{00000000-0005-0000-0000-000075370000}"/>
    <cellStyle name="40 % - Aksentti6 14 10 2" xfId="8351" xr:uid="{00000000-0005-0000-0000-000076370000}"/>
    <cellStyle name="40 % - Aksentti6 14 10 2 2" xfId="12229" xr:uid="{00000000-0005-0000-0000-000077370000}"/>
    <cellStyle name="40 % - Aksentti6 14 10 2 3" xfId="19985" xr:uid="{00000000-0005-0000-0000-000078370000}"/>
    <cellStyle name="40 % - Aksentti6 14 10 2_DataIX" xfId="31434" xr:uid="{00000000-0005-0000-0000-000079370000}"/>
    <cellStyle name="40 % - Aksentti6 14 10 3" xfId="16542" xr:uid="{00000000-0005-0000-0000-00007A370000}"/>
    <cellStyle name="40 % - Aksentti6 14 10_060617_hinnat" xfId="24537" xr:uid="{00000000-0005-0000-0000-00007B370000}"/>
    <cellStyle name="40 % - Aksentti6 14 11" xfId="8350" xr:uid="{00000000-0005-0000-0000-00007C370000}"/>
    <cellStyle name="40 % - Aksentti6 14 11 2" xfId="12230" xr:uid="{00000000-0005-0000-0000-00007D370000}"/>
    <cellStyle name="40 % - Aksentti6 14 11 3" xfId="19984" xr:uid="{00000000-0005-0000-0000-00007E370000}"/>
    <cellStyle name="40 % - Aksentti6 14 11_DataIX" xfId="31435" xr:uid="{00000000-0005-0000-0000-00007F370000}"/>
    <cellStyle name="40 % - Aksentti6 14 12" xfId="16541" xr:uid="{00000000-0005-0000-0000-000080370000}"/>
    <cellStyle name="40 % - Aksentti6 14 2" xfId="3023" xr:uid="{00000000-0005-0000-0000-000081370000}"/>
    <cellStyle name="40 % - Aksentti6 14 2 2" xfId="3024" xr:uid="{00000000-0005-0000-0000-000082370000}"/>
    <cellStyle name="40 % - Aksentti6 14 2 2 2" xfId="8353" xr:uid="{00000000-0005-0000-0000-000083370000}"/>
    <cellStyle name="40 % - Aksentti6 14 2 2 2 2" xfId="12231" xr:uid="{00000000-0005-0000-0000-000084370000}"/>
    <cellStyle name="40 % - Aksentti6 14 2 2 2 3" xfId="19987" xr:uid="{00000000-0005-0000-0000-000085370000}"/>
    <cellStyle name="40 % - Aksentti6 14 2 2 2_DataIX" xfId="31436" xr:uid="{00000000-0005-0000-0000-000086370000}"/>
    <cellStyle name="40 % - Aksentti6 14 2 2 3" xfId="16544" xr:uid="{00000000-0005-0000-0000-000087370000}"/>
    <cellStyle name="40 % - Aksentti6 14 2 2_060617_hinnat" xfId="24538" xr:uid="{00000000-0005-0000-0000-000088370000}"/>
    <cellStyle name="40 % - Aksentti6 14 2 3" xfId="8352" xr:uid="{00000000-0005-0000-0000-000089370000}"/>
    <cellStyle name="40 % - Aksentti6 14 2 3 2" xfId="12232" xr:uid="{00000000-0005-0000-0000-00008A370000}"/>
    <cellStyle name="40 % - Aksentti6 14 2 3 3" xfId="19986" xr:uid="{00000000-0005-0000-0000-00008B370000}"/>
    <cellStyle name="40 % - Aksentti6 14 2 3_DataIX" xfId="31437" xr:uid="{00000000-0005-0000-0000-00008C370000}"/>
    <cellStyle name="40 % - Aksentti6 14 2 4" xfId="16543" xr:uid="{00000000-0005-0000-0000-00008D370000}"/>
    <cellStyle name="40 % - Aksentti6 14 2_060617_hinnat" xfId="24539" xr:uid="{00000000-0005-0000-0000-00008E370000}"/>
    <cellStyle name="40 % - Aksentti6 14 3" xfId="3025" xr:uid="{00000000-0005-0000-0000-00008F370000}"/>
    <cellStyle name="40 % - Aksentti6 14 3 2" xfId="8354" xr:uid="{00000000-0005-0000-0000-000090370000}"/>
    <cellStyle name="40 % - Aksentti6 14 3 2 2" xfId="12233" xr:uid="{00000000-0005-0000-0000-000091370000}"/>
    <cellStyle name="40 % - Aksentti6 14 3 2 3" xfId="19988" xr:uid="{00000000-0005-0000-0000-000092370000}"/>
    <cellStyle name="40 % - Aksentti6 14 3 2_DataIX" xfId="31438" xr:uid="{00000000-0005-0000-0000-000093370000}"/>
    <cellStyle name="40 % - Aksentti6 14 3 3" xfId="16545" xr:uid="{00000000-0005-0000-0000-000094370000}"/>
    <cellStyle name="40 % - Aksentti6 14 3_060617_hinnat" xfId="24540" xr:uid="{00000000-0005-0000-0000-000095370000}"/>
    <cellStyle name="40 % - Aksentti6 14 4" xfId="3026" xr:uid="{00000000-0005-0000-0000-000096370000}"/>
    <cellStyle name="40 % - Aksentti6 14 4 2" xfId="8355" xr:uid="{00000000-0005-0000-0000-000097370000}"/>
    <cellStyle name="40 % - Aksentti6 14 4 2 2" xfId="12234" xr:uid="{00000000-0005-0000-0000-000098370000}"/>
    <cellStyle name="40 % - Aksentti6 14 4 2 3" xfId="19989" xr:uid="{00000000-0005-0000-0000-000099370000}"/>
    <cellStyle name="40 % - Aksentti6 14 4 2_DataIX" xfId="31439" xr:uid="{00000000-0005-0000-0000-00009A370000}"/>
    <cellStyle name="40 % - Aksentti6 14 4 3" xfId="16546" xr:uid="{00000000-0005-0000-0000-00009B370000}"/>
    <cellStyle name="40 % - Aksentti6 14 4_060617_hinnat" xfId="24541" xr:uid="{00000000-0005-0000-0000-00009C370000}"/>
    <cellStyle name="40 % - Aksentti6 14 5" xfId="3027" xr:uid="{00000000-0005-0000-0000-00009D370000}"/>
    <cellStyle name="40 % - Aksentti6 14 5 2" xfId="8356" xr:uid="{00000000-0005-0000-0000-00009E370000}"/>
    <cellStyle name="40 % - Aksentti6 14 5 2 2" xfId="12235" xr:uid="{00000000-0005-0000-0000-00009F370000}"/>
    <cellStyle name="40 % - Aksentti6 14 5 2 3" xfId="19990" xr:uid="{00000000-0005-0000-0000-0000A0370000}"/>
    <cellStyle name="40 % - Aksentti6 14 5 2_DataIX" xfId="31440" xr:uid="{00000000-0005-0000-0000-0000A1370000}"/>
    <cellStyle name="40 % - Aksentti6 14 5 3" xfId="16547" xr:uid="{00000000-0005-0000-0000-0000A2370000}"/>
    <cellStyle name="40 % - Aksentti6 14 5_060617_hinnat" xfId="24542" xr:uid="{00000000-0005-0000-0000-0000A3370000}"/>
    <cellStyle name="40 % - Aksentti6 14 6" xfId="3028" xr:uid="{00000000-0005-0000-0000-0000A4370000}"/>
    <cellStyle name="40 % - Aksentti6 14 6 2" xfId="8357" xr:uid="{00000000-0005-0000-0000-0000A5370000}"/>
    <cellStyle name="40 % - Aksentti6 14 6 2 2" xfId="12236" xr:uid="{00000000-0005-0000-0000-0000A6370000}"/>
    <cellStyle name="40 % - Aksentti6 14 6 2 3" xfId="19991" xr:uid="{00000000-0005-0000-0000-0000A7370000}"/>
    <cellStyle name="40 % - Aksentti6 14 6 2_DataIX" xfId="31441" xr:uid="{00000000-0005-0000-0000-0000A8370000}"/>
    <cellStyle name="40 % - Aksentti6 14 6 3" xfId="16548" xr:uid="{00000000-0005-0000-0000-0000A9370000}"/>
    <cellStyle name="40 % - Aksentti6 14 6_060617_hinnat" xfId="24543" xr:uid="{00000000-0005-0000-0000-0000AA370000}"/>
    <cellStyle name="40 % - Aksentti6 14 7" xfId="3029" xr:uid="{00000000-0005-0000-0000-0000AB370000}"/>
    <cellStyle name="40 % - Aksentti6 14 7 2" xfId="8358" xr:uid="{00000000-0005-0000-0000-0000AC370000}"/>
    <cellStyle name="40 % - Aksentti6 14 7 2 2" xfId="12237" xr:uid="{00000000-0005-0000-0000-0000AD370000}"/>
    <cellStyle name="40 % - Aksentti6 14 7 2 3" xfId="19992" xr:uid="{00000000-0005-0000-0000-0000AE370000}"/>
    <cellStyle name="40 % - Aksentti6 14 7 2_DataIX" xfId="31442" xr:uid="{00000000-0005-0000-0000-0000AF370000}"/>
    <cellStyle name="40 % - Aksentti6 14 7 3" xfId="16549" xr:uid="{00000000-0005-0000-0000-0000B0370000}"/>
    <cellStyle name="40 % - Aksentti6 14 7_060617_hinnat" xfId="24544" xr:uid="{00000000-0005-0000-0000-0000B1370000}"/>
    <cellStyle name="40 % - Aksentti6 14 8" xfId="3030" xr:uid="{00000000-0005-0000-0000-0000B2370000}"/>
    <cellStyle name="40 % - Aksentti6 14 8 2" xfId="8359" xr:uid="{00000000-0005-0000-0000-0000B3370000}"/>
    <cellStyle name="40 % - Aksentti6 14 8 2 2" xfId="12238" xr:uid="{00000000-0005-0000-0000-0000B4370000}"/>
    <cellStyle name="40 % - Aksentti6 14 8 2 3" xfId="19993" xr:uid="{00000000-0005-0000-0000-0000B5370000}"/>
    <cellStyle name="40 % - Aksentti6 14 8 2_DataIX" xfId="31443" xr:uid="{00000000-0005-0000-0000-0000B6370000}"/>
    <cellStyle name="40 % - Aksentti6 14 8 3" xfId="16550" xr:uid="{00000000-0005-0000-0000-0000B7370000}"/>
    <cellStyle name="40 % - Aksentti6 14 8_060617_hinnat" xfId="24545" xr:uid="{00000000-0005-0000-0000-0000B8370000}"/>
    <cellStyle name="40 % - Aksentti6 14 9" xfId="3031" xr:uid="{00000000-0005-0000-0000-0000B9370000}"/>
    <cellStyle name="40 % - Aksentti6 14 9 2" xfId="8360" xr:uid="{00000000-0005-0000-0000-0000BA370000}"/>
    <cellStyle name="40 % - Aksentti6 14 9 2 2" xfId="12239" xr:uid="{00000000-0005-0000-0000-0000BB370000}"/>
    <cellStyle name="40 % - Aksentti6 14 9 2 3" xfId="19994" xr:uid="{00000000-0005-0000-0000-0000BC370000}"/>
    <cellStyle name="40 % - Aksentti6 14 9 2_DataIX" xfId="31444" xr:uid="{00000000-0005-0000-0000-0000BD370000}"/>
    <cellStyle name="40 % - Aksentti6 14 9 3" xfId="16551" xr:uid="{00000000-0005-0000-0000-0000BE370000}"/>
    <cellStyle name="40 % - Aksentti6 14 9_060617_hinnat" xfId="24546" xr:uid="{00000000-0005-0000-0000-0000BF370000}"/>
    <cellStyle name="40 % - Aksentti6 14_060617_hinnat" xfId="24547" xr:uid="{00000000-0005-0000-0000-0000C0370000}"/>
    <cellStyle name="40 % - Aksentti6 15" xfId="3032" xr:uid="{00000000-0005-0000-0000-0000C1370000}"/>
    <cellStyle name="40 % - Aksentti6 15 10" xfId="3033" xr:uid="{00000000-0005-0000-0000-0000C2370000}"/>
    <cellStyle name="40 % - Aksentti6 15 10 2" xfId="8362" xr:uid="{00000000-0005-0000-0000-0000C3370000}"/>
    <cellStyle name="40 % - Aksentti6 15 10 2 2" xfId="12240" xr:uid="{00000000-0005-0000-0000-0000C4370000}"/>
    <cellStyle name="40 % - Aksentti6 15 10 2 3" xfId="19996" xr:uid="{00000000-0005-0000-0000-0000C5370000}"/>
    <cellStyle name="40 % - Aksentti6 15 10 2_DataIX" xfId="31445" xr:uid="{00000000-0005-0000-0000-0000C6370000}"/>
    <cellStyle name="40 % - Aksentti6 15 10 3" xfId="16553" xr:uid="{00000000-0005-0000-0000-0000C7370000}"/>
    <cellStyle name="40 % - Aksentti6 15 10_060617_hinnat" xfId="24549" xr:uid="{00000000-0005-0000-0000-0000C8370000}"/>
    <cellStyle name="40 % - Aksentti6 15 11" xfId="8361" xr:uid="{00000000-0005-0000-0000-0000C9370000}"/>
    <cellStyle name="40 % - Aksentti6 15 11 2" xfId="12241" xr:uid="{00000000-0005-0000-0000-0000CA370000}"/>
    <cellStyle name="40 % - Aksentti6 15 11 3" xfId="19995" xr:uid="{00000000-0005-0000-0000-0000CB370000}"/>
    <cellStyle name="40 % - Aksentti6 15 11_DataIX" xfId="31446" xr:uid="{00000000-0005-0000-0000-0000CC370000}"/>
    <cellStyle name="40 % - Aksentti6 15 12" xfId="16552" xr:uid="{00000000-0005-0000-0000-0000CD370000}"/>
    <cellStyle name="40 % - Aksentti6 15 2" xfId="3034" xr:uid="{00000000-0005-0000-0000-0000CE370000}"/>
    <cellStyle name="40 % - Aksentti6 15 2 2" xfId="3035" xr:uid="{00000000-0005-0000-0000-0000CF370000}"/>
    <cellStyle name="40 % - Aksentti6 15 2 2 2" xfId="8364" xr:uid="{00000000-0005-0000-0000-0000D0370000}"/>
    <cellStyle name="40 % - Aksentti6 15 2 2 2 2" xfId="12242" xr:uid="{00000000-0005-0000-0000-0000D1370000}"/>
    <cellStyle name="40 % - Aksentti6 15 2 2 2 3" xfId="19998" xr:uid="{00000000-0005-0000-0000-0000D2370000}"/>
    <cellStyle name="40 % - Aksentti6 15 2 2 2_DataIX" xfId="31447" xr:uid="{00000000-0005-0000-0000-0000D3370000}"/>
    <cellStyle name="40 % - Aksentti6 15 2 2 3" xfId="16555" xr:uid="{00000000-0005-0000-0000-0000D4370000}"/>
    <cellStyle name="40 % - Aksentti6 15 2 2_060617_hinnat" xfId="24551" xr:uid="{00000000-0005-0000-0000-0000D5370000}"/>
    <cellStyle name="40 % - Aksentti6 15 2 3" xfId="8363" xr:uid="{00000000-0005-0000-0000-0000D6370000}"/>
    <cellStyle name="40 % - Aksentti6 15 2 3 2" xfId="12243" xr:uid="{00000000-0005-0000-0000-0000D7370000}"/>
    <cellStyle name="40 % - Aksentti6 15 2 3 3" xfId="19997" xr:uid="{00000000-0005-0000-0000-0000D8370000}"/>
    <cellStyle name="40 % - Aksentti6 15 2 3_DataIX" xfId="31448" xr:uid="{00000000-0005-0000-0000-0000D9370000}"/>
    <cellStyle name="40 % - Aksentti6 15 2 4" xfId="16554" xr:uid="{00000000-0005-0000-0000-0000DA370000}"/>
    <cellStyle name="40 % - Aksentti6 15 2_060617_hinnat" xfId="24552" xr:uid="{00000000-0005-0000-0000-0000DB370000}"/>
    <cellStyle name="40 % - Aksentti6 15 3" xfId="3036" xr:uid="{00000000-0005-0000-0000-0000DC370000}"/>
    <cellStyle name="40 % - Aksentti6 15 3 2" xfId="8365" xr:uid="{00000000-0005-0000-0000-0000DD370000}"/>
    <cellStyle name="40 % - Aksentti6 15 3 2 2" xfId="12244" xr:uid="{00000000-0005-0000-0000-0000DE370000}"/>
    <cellStyle name="40 % - Aksentti6 15 3 2 3" xfId="19999" xr:uid="{00000000-0005-0000-0000-0000DF370000}"/>
    <cellStyle name="40 % - Aksentti6 15 3 2_DataIX" xfId="31449" xr:uid="{00000000-0005-0000-0000-0000E0370000}"/>
    <cellStyle name="40 % - Aksentti6 15 3 3" xfId="16556" xr:uid="{00000000-0005-0000-0000-0000E1370000}"/>
    <cellStyle name="40 % - Aksentti6 15 3_060617_hinnat" xfId="24553" xr:uid="{00000000-0005-0000-0000-0000E2370000}"/>
    <cellStyle name="40 % - Aksentti6 15 4" xfId="3037" xr:uid="{00000000-0005-0000-0000-0000E3370000}"/>
    <cellStyle name="40 % - Aksentti6 15 4 2" xfId="8366" xr:uid="{00000000-0005-0000-0000-0000E4370000}"/>
    <cellStyle name="40 % - Aksentti6 15 4 2 2" xfId="12245" xr:uid="{00000000-0005-0000-0000-0000E5370000}"/>
    <cellStyle name="40 % - Aksentti6 15 4 2 3" xfId="20000" xr:uid="{00000000-0005-0000-0000-0000E6370000}"/>
    <cellStyle name="40 % - Aksentti6 15 4 2_DataIX" xfId="31450" xr:uid="{00000000-0005-0000-0000-0000E7370000}"/>
    <cellStyle name="40 % - Aksentti6 15 4 3" xfId="16557" xr:uid="{00000000-0005-0000-0000-0000E8370000}"/>
    <cellStyle name="40 % - Aksentti6 15 4_060617_hinnat" xfId="24554" xr:uid="{00000000-0005-0000-0000-0000E9370000}"/>
    <cellStyle name="40 % - Aksentti6 15 5" xfId="3038" xr:uid="{00000000-0005-0000-0000-0000EA370000}"/>
    <cellStyle name="40 % - Aksentti6 15 5 2" xfId="8367" xr:uid="{00000000-0005-0000-0000-0000EB370000}"/>
    <cellStyle name="40 % - Aksentti6 15 5 2 2" xfId="12246" xr:uid="{00000000-0005-0000-0000-0000EC370000}"/>
    <cellStyle name="40 % - Aksentti6 15 5 2 3" xfId="20001" xr:uid="{00000000-0005-0000-0000-0000ED370000}"/>
    <cellStyle name="40 % - Aksentti6 15 5 2_DataIX" xfId="31451" xr:uid="{00000000-0005-0000-0000-0000EE370000}"/>
    <cellStyle name="40 % - Aksentti6 15 5 3" xfId="16558" xr:uid="{00000000-0005-0000-0000-0000EF370000}"/>
    <cellStyle name="40 % - Aksentti6 15 5_060617_hinnat" xfId="24555" xr:uid="{00000000-0005-0000-0000-0000F0370000}"/>
    <cellStyle name="40 % - Aksentti6 15 6" xfId="3039" xr:uid="{00000000-0005-0000-0000-0000F1370000}"/>
    <cellStyle name="40 % - Aksentti6 15 6 2" xfId="8368" xr:uid="{00000000-0005-0000-0000-0000F2370000}"/>
    <cellStyle name="40 % - Aksentti6 15 6 2 2" xfId="12247" xr:uid="{00000000-0005-0000-0000-0000F3370000}"/>
    <cellStyle name="40 % - Aksentti6 15 6 2 3" xfId="20002" xr:uid="{00000000-0005-0000-0000-0000F4370000}"/>
    <cellStyle name="40 % - Aksentti6 15 6 2_DataIX" xfId="31452" xr:uid="{00000000-0005-0000-0000-0000F5370000}"/>
    <cellStyle name="40 % - Aksentti6 15 6 3" xfId="16559" xr:uid="{00000000-0005-0000-0000-0000F6370000}"/>
    <cellStyle name="40 % - Aksentti6 15 6_060617_hinnat" xfId="24556" xr:uid="{00000000-0005-0000-0000-0000F7370000}"/>
    <cellStyle name="40 % - Aksentti6 15 7" xfId="3040" xr:uid="{00000000-0005-0000-0000-0000F8370000}"/>
    <cellStyle name="40 % - Aksentti6 15 7 2" xfId="8369" xr:uid="{00000000-0005-0000-0000-0000F9370000}"/>
    <cellStyle name="40 % - Aksentti6 15 7 2 2" xfId="12248" xr:uid="{00000000-0005-0000-0000-0000FA370000}"/>
    <cellStyle name="40 % - Aksentti6 15 7 2 3" xfId="20003" xr:uid="{00000000-0005-0000-0000-0000FB370000}"/>
    <cellStyle name="40 % - Aksentti6 15 7 2_DataIX" xfId="31453" xr:uid="{00000000-0005-0000-0000-0000FC370000}"/>
    <cellStyle name="40 % - Aksentti6 15 7 3" xfId="16560" xr:uid="{00000000-0005-0000-0000-0000FD370000}"/>
    <cellStyle name="40 % - Aksentti6 15 7_060617_hinnat" xfId="24557" xr:uid="{00000000-0005-0000-0000-0000FE370000}"/>
    <cellStyle name="40 % - Aksentti6 15 8" xfId="3041" xr:uid="{00000000-0005-0000-0000-0000FF370000}"/>
    <cellStyle name="40 % - Aksentti6 15 8 2" xfId="8370" xr:uid="{00000000-0005-0000-0000-000000380000}"/>
    <cellStyle name="40 % - Aksentti6 15 8 2 2" xfId="12249" xr:uid="{00000000-0005-0000-0000-000001380000}"/>
    <cellStyle name="40 % - Aksentti6 15 8 2 3" xfId="20004" xr:uid="{00000000-0005-0000-0000-000002380000}"/>
    <cellStyle name="40 % - Aksentti6 15 8 2_DataIX" xfId="31454" xr:uid="{00000000-0005-0000-0000-000003380000}"/>
    <cellStyle name="40 % - Aksentti6 15 8 3" xfId="16561" xr:uid="{00000000-0005-0000-0000-000004380000}"/>
    <cellStyle name="40 % - Aksentti6 15 8_060617_hinnat" xfId="24558" xr:uid="{00000000-0005-0000-0000-000005380000}"/>
    <cellStyle name="40 % - Aksentti6 15 9" xfId="3042" xr:uid="{00000000-0005-0000-0000-000006380000}"/>
    <cellStyle name="40 % - Aksentti6 15 9 2" xfId="8371" xr:uid="{00000000-0005-0000-0000-000007380000}"/>
    <cellStyle name="40 % - Aksentti6 15 9 2 2" xfId="12250" xr:uid="{00000000-0005-0000-0000-000008380000}"/>
    <cellStyle name="40 % - Aksentti6 15 9 2 3" xfId="20005" xr:uid="{00000000-0005-0000-0000-000009380000}"/>
    <cellStyle name="40 % - Aksentti6 15 9 2_DataIX" xfId="31455" xr:uid="{00000000-0005-0000-0000-00000A380000}"/>
    <cellStyle name="40 % - Aksentti6 15 9 3" xfId="16562" xr:uid="{00000000-0005-0000-0000-00000B380000}"/>
    <cellStyle name="40 % - Aksentti6 15 9_060617_hinnat" xfId="24559" xr:uid="{00000000-0005-0000-0000-00000C380000}"/>
    <cellStyle name="40 % - Aksentti6 15_060617_hinnat" xfId="24560" xr:uid="{00000000-0005-0000-0000-00000D380000}"/>
    <cellStyle name="40 % - Aksentti6 16" xfId="3043" xr:uid="{00000000-0005-0000-0000-00000E380000}"/>
    <cellStyle name="40 % - Aksentti6 16 2" xfId="8372" xr:uid="{00000000-0005-0000-0000-00000F380000}"/>
    <cellStyle name="40 % - Aksentti6 16 2 2" xfId="12251" xr:uid="{00000000-0005-0000-0000-000010380000}"/>
    <cellStyle name="40 % - Aksentti6 16 2 3" xfId="20006" xr:uid="{00000000-0005-0000-0000-000011380000}"/>
    <cellStyle name="40 % - Aksentti6 16 2_DataIX" xfId="31456" xr:uid="{00000000-0005-0000-0000-000012380000}"/>
    <cellStyle name="40 % - Aksentti6 16 3" xfId="16563" xr:uid="{00000000-0005-0000-0000-000013380000}"/>
    <cellStyle name="40 % - Aksentti6 16_060617_hinnat" xfId="24561" xr:uid="{00000000-0005-0000-0000-000014380000}"/>
    <cellStyle name="40 % - Aksentti6 17" xfId="3044" xr:uid="{00000000-0005-0000-0000-000015380000}"/>
    <cellStyle name="40 % - Aksentti6 17 2" xfId="8373" xr:uid="{00000000-0005-0000-0000-000016380000}"/>
    <cellStyle name="40 % - Aksentti6 17 2 2" xfId="12252" xr:uid="{00000000-0005-0000-0000-000017380000}"/>
    <cellStyle name="40 % - Aksentti6 17 2 3" xfId="20007" xr:uid="{00000000-0005-0000-0000-000018380000}"/>
    <cellStyle name="40 % - Aksentti6 17 2_DataIX" xfId="31457" xr:uid="{00000000-0005-0000-0000-000019380000}"/>
    <cellStyle name="40 % - Aksentti6 17 3" xfId="16564" xr:uid="{00000000-0005-0000-0000-00001A380000}"/>
    <cellStyle name="40 % - Aksentti6 17_060617_hinnat" xfId="24562" xr:uid="{00000000-0005-0000-0000-00001B380000}"/>
    <cellStyle name="40 % - Aksentti6 18" xfId="3045" xr:uid="{00000000-0005-0000-0000-00001C380000}"/>
    <cellStyle name="40 % - Aksentti6 18 2" xfId="8374" xr:uid="{00000000-0005-0000-0000-00001D380000}"/>
    <cellStyle name="40 % - Aksentti6 18 2 2" xfId="12253" xr:uid="{00000000-0005-0000-0000-00001E380000}"/>
    <cellStyle name="40 % - Aksentti6 18 2 3" xfId="20008" xr:uid="{00000000-0005-0000-0000-00001F380000}"/>
    <cellStyle name="40 % - Aksentti6 18 2_DataIX" xfId="31458" xr:uid="{00000000-0005-0000-0000-000020380000}"/>
    <cellStyle name="40 % - Aksentti6 18 3" xfId="16565" xr:uid="{00000000-0005-0000-0000-000021380000}"/>
    <cellStyle name="40 % - Aksentti6 18_060617_hinnat" xfId="24563" xr:uid="{00000000-0005-0000-0000-000022380000}"/>
    <cellStyle name="40 % - Aksentti6 19" xfId="3046" xr:uid="{00000000-0005-0000-0000-000023380000}"/>
    <cellStyle name="40 % - Aksentti6 19 2" xfId="8375" xr:uid="{00000000-0005-0000-0000-000024380000}"/>
    <cellStyle name="40 % - Aksentti6 19 2 2" xfId="12254" xr:uid="{00000000-0005-0000-0000-000025380000}"/>
    <cellStyle name="40 % - Aksentti6 19 2 3" xfId="20009" xr:uid="{00000000-0005-0000-0000-000026380000}"/>
    <cellStyle name="40 % - Aksentti6 19 2_DataIX" xfId="31459" xr:uid="{00000000-0005-0000-0000-000027380000}"/>
    <cellStyle name="40 % - Aksentti6 19 3" xfId="16566" xr:uid="{00000000-0005-0000-0000-000028380000}"/>
    <cellStyle name="40 % - Aksentti6 19_060617_hinnat" xfId="24564" xr:uid="{00000000-0005-0000-0000-000029380000}"/>
    <cellStyle name="40 % - Aksentti6 2" xfId="26" xr:uid="{00000000-0005-0000-0000-00002A380000}"/>
    <cellStyle name="40 % - Aksentti6 2 10" xfId="3048" xr:uid="{00000000-0005-0000-0000-00002B380000}"/>
    <cellStyle name="40 % - Aksentti6 2 10 2" xfId="8377" xr:uid="{00000000-0005-0000-0000-00002C380000}"/>
    <cellStyle name="40 % - Aksentti6 2 10 2 2" xfId="12255" xr:uid="{00000000-0005-0000-0000-00002D380000}"/>
    <cellStyle name="40 % - Aksentti6 2 10 2 3" xfId="20010" xr:uid="{00000000-0005-0000-0000-00002E380000}"/>
    <cellStyle name="40 % - Aksentti6 2 10 2_DataIX" xfId="31460" xr:uid="{00000000-0005-0000-0000-00002F380000}"/>
    <cellStyle name="40 % - Aksentti6 2 10 3" xfId="16568" xr:uid="{00000000-0005-0000-0000-000030380000}"/>
    <cellStyle name="40 % - Aksentti6 2 10_060617_hinnat" xfId="24566" xr:uid="{00000000-0005-0000-0000-000031380000}"/>
    <cellStyle name="40 % - Aksentti6 2 11" xfId="3047" xr:uid="{00000000-0005-0000-0000-000032380000}"/>
    <cellStyle name="40 % - Aksentti6 2 11 2" xfId="8378" xr:uid="{00000000-0005-0000-0000-000033380000}"/>
    <cellStyle name="40 % - Aksentti6 2 11 2 2" xfId="12256" xr:uid="{00000000-0005-0000-0000-000034380000}"/>
    <cellStyle name="40 % - Aksentti6 2 11 2 3" xfId="20011" xr:uid="{00000000-0005-0000-0000-000035380000}"/>
    <cellStyle name="40 % - Aksentti6 2 11 2_DataIX" xfId="31461" xr:uid="{00000000-0005-0000-0000-000036380000}"/>
    <cellStyle name="40 % - Aksentti6 2 11 3" xfId="16567" xr:uid="{00000000-0005-0000-0000-000037380000}"/>
    <cellStyle name="40 % - Aksentti6 2 11_060617_hinnat" xfId="24567" xr:uid="{00000000-0005-0000-0000-000038380000}"/>
    <cellStyle name="40 % - Aksentti6 2 12" xfId="25060" xr:uid="{00000000-0005-0000-0000-000039380000}"/>
    <cellStyle name="40 % - Aksentti6 2 13" xfId="25662" xr:uid="{00000000-0005-0000-0000-00003A380000}"/>
    <cellStyle name="40 % - Aksentti6 2 14" xfId="25746" xr:uid="{00000000-0005-0000-0000-00003B380000}"/>
    <cellStyle name="40 % - Aksentti6 2 15" xfId="26214" xr:uid="{00000000-0005-0000-0000-00003C380000}"/>
    <cellStyle name="40 % - Aksentti6 2 16" xfId="26380" xr:uid="{00000000-0005-0000-0000-00003D380000}"/>
    <cellStyle name="40 % - Aksentti6 2 17" xfId="26205" xr:uid="{00000000-0005-0000-0000-00003E380000}"/>
    <cellStyle name="40 % - Aksentti6 2 18" xfId="25245" xr:uid="{00000000-0005-0000-0000-00003F380000}"/>
    <cellStyle name="40 % - Aksentti6 2 19" xfId="26659" xr:uid="{00000000-0005-0000-0000-000040380000}"/>
    <cellStyle name="40 % - Aksentti6 2 2" xfId="166" xr:uid="{00000000-0005-0000-0000-000041380000}"/>
    <cellStyle name="40 % - Aksentti6 2 2 10" xfId="3050" xr:uid="{00000000-0005-0000-0000-000042380000}"/>
    <cellStyle name="40 % - Aksentti6 2 2 10 2" xfId="8380" xr:uid="{00000000-0005-0000-0000-000043380000}"/>
    <cellStyle name="40 % - Aksentti6 2 2 10 2 2" xfId="12257" xr:uid="{00000000-0005-0000-0000-000044380000}"/>
    <cellStyle name="40 % - Aksentti6 2 2 10 2 3" xfId="20012" xr:uid="{00000000-0005-0000-0000-000045380000}"/>
    <cellStyle name="40 % - Aksentti6 2 2 10 2_DataIX" xfId="31462" xr:uid="{00000000-0005-0000-0000-000046380000}"/>
    <cellStyle name="40 % - Aksentti6 2 2 10 3" xfId="16570" xr:uid="{00000000-0005-0000-0000-000047380000}"/>
    <cellStyle name="40 % - Aksentti6 2 2 10_060617_hinnat" xfId="24569" xr:uid="{00000000-0005-0000-0000-000048380000}"/>
    <cellStyle name="40 % - Aksentti6 2 2 11" xfId="3049" xr:uid="{00000000-0005-0000-0000-000049380000}"/>
    <cellStyle name="40 % - Aksentti6 2 2 11 2" xfId="8381" xr:uid="{00000000-0005-0000-0000-00004A380000}"/>
    <cellStyle name="40 % - Aksentti6 2 2 11 2 2" xfId="12258" xr:uid="{00000000-0005-0000-0000-00004B380000}"/>
    <cellStyle name="40 % - Aksentti6 2 2 11 2 3" xfId="20013" xr:uid="{00000000-0005-0000-0000-00004C380000}"/>
    <cellStyle name="40 % - Aksentti6 2 2 11 2_DataIX" xfId="31463" xr:uid="{00000000-0005-0000-0000-00004D380000}"/>
    <cellStyle name="40 % - Aksentti6 2 2 11 3" xfId="16569" xr:uid="{00000000-0005-0000-0000-00004E380000}"/>
    <cellStyle name="40 % - Aksentti6 2 2 11_060617_hinnat" xfId="24570" xr:uid="{00000000-0005-0000-0000-00004F380000}"/>
    <cellStyle name="40 % - Aksentti6 2 2 12" xfId="25083" xr:uid="{00000000-0005-0000-0000-000050380000}"/>
    <cellStyle name="40 % - Aksentti6 2 2 13" xfId="26178" xr:uid="{00000000-0005-0000-0000-000051380000}"/>
    <cellStyle name="40 % - Aksentti6 2 2 14" xfId="26283" xr:uid="{00000000-0005-0000-0000-000052380000}"/>
    <cellStyle name="40 % - Aksentti6 2 2 15" xfId="25564" xr:uid="{00000000-0005-0000-0000-000053380000}"/>
    <cellStyle name="40 % - Aksentti6 2 2 16" xfId="25384" xr:uid="{00000000-0005-0000-0000-000054380000}"/>
    <cellStyle name="40 % - Aksentti6 2 2 17" xfId="26046" xr:uid="{00000000-0005-0000-0000-000055380000}"/>
    <cellStyle name="40 % - Aksentti6 2 2 18" xfId="26404" xr:uid="{00000000-0005-0000-0000-000056380000}"/>
    <cellStyle name="40 % - Aksentti6 2 2 19" xfId="25360" xr:uid="{00000000-0005-0000-0000-000057380000}"/>
    <cellStyle name="40 % - Aksentti6 2 2 2" xfId="381" xr:uid="{00000000-0005-0000-0000-000058380000}"/>
    <cellStyle name="40 % - Aksentti6 2 2 2 10" xfId="12987" xr:uid="{00000000-0005-0000-0000-000059380000}"/>
    <cellStyle name="40 % - Aksentti6 2 2 2 2" xfId="3052" xr:uid="{00000000-0005-0000-0000-00005A380000}"/>
    <cellStyle name="40 % - Aksentti6 2 2 2 2 2" xfId="8383" xr:uid="{00000000-0005-0000-0000-00005B380000}"/>
    <cellStyle name="40 % - Aksentti6 2 2 2 2 2 2" xfId="12259" xr:uid="{00000000-0005-0000-0000-00005C380000}"/>
    <cellStyle name="40 % - Aksentti6 2 2 2 2 2 3" xfId="20014" xr:uid="{00000000-0005-0000-0000-00005D380000}"/>
    <cellStyle name="40 % - Aksentti6 2 2 2 2 2_DataIX" xfId="31464" xr:uid="{00000000-0005-0000-0000-00005E380000}"/>
    <cellStyle name="40 % - Aksentti6 2 2 2 2 3" xfId="16572" xr:uid="{00000000-0005-0000-0000-00005F380000}"/>
    <cellStyle name="40 % - Aksentti6 2 2 2 2_060617_hinnat" xfId="24571" xr:uid="{00000000-0005-0000-0000-000060380000}"/>
    <cellStyle name="40 % - Aksentti6 2 2 2 3" xfId="3051" xr:uid="{00000000-0005-0000-0000-000061380000}"/>
    <cellStyle name="40 % - Aksentti6 2 2 2 3 2" xfId="8384" xr:uid="{00000000-0005-0000-0000-000062380000}"/>
    <cellStyle name="40 % - Aksentti6 2 2 2 3 2 2" xfId="12260" xr:uid="{00000000-0005-0000-0000-000063380000}"/>
    <cellStyle name="40 % - Aksentti6 2 2 2 3 2 3" xfId="20015" xr:uid="{00000000-0005-0000-0000-000064380000}"/>
    <cellStyle name="40 % - Aksentti6 2 2 2 3 2_DataIX" xfId="31465" xr:uid="{00000000-0005-0000-0000-000065380000}"/>
    <cellStyle name="40 % - Aksentti6 2 2 2 3 3" xfId="16571" xr:uid="{00000000-0005-0000-0000-000066380000}"/>
    <cellStyle name="40 % - Aksentti6 2 2 2 3_060617_hinnat" xfId="24572" xr:uid="{00000000-0005-0000-0000-000067380000}"/>
    <cellStyle name="40 % - Aksentti6 2 2 2 4" xfId="10956" xr:uid="{00000000-0005-0000-0000-000068380000}"/>
    <cellStyle name="40 % - Aksentti6 2 2 2 5" xfId="12610" xr:uid="{00000000-0005-0000-0000-000069380000}"/>
    <cellStyle name="40 % - Aksentti6 2 2 2 6" xfId="10965" xr:uid="{00000000-0005-0000-0000-00006A380000}"/>
    <cellStyle name="40 % - Aksentti6 2 2 2 7" xfId="13918" xr:uid="{00000000-0005-0000-0000-00006B380000}"/>
    <cellStyle name="40 % - Aksentti6 2 2 2 8" xfId="20597" xr:uid="{00000000-0005-0000-0000-00006C380000}"/>
    <cellStyle name="40 % - Aksentti6 2 2 2 9" xfId="13582" xr:uid="{00000000-0005-0000-0000-00006D380000}"/>
    <cellStyle name="40 % - Aksentti6 2 2 2_##Keskeiset" xfId="8382" xr:uid="{00000000-0005-0000-0000-00006E380000}"/>
    <cellStyle name="40 % - Aksentti6 2 2 20" xfId="25809" xr:uid="{00000000-0005-0000-0000-00006F380000}"/>
    <cellStyle name="40 % - Aksentti6 2 2 21" xfId="25395" xr:uid="{00000000-0005-0000-0000-000070380000}"/>
    <cellStyle name="40 % - Aksentti6 2 2 22" xfId="26030" xr:uid="{00000000-0005-0000-0000-000071380000}"/>
    <cellStyle name="40 % - Aksentti6 2 2 23" xfId="25842" xr:uid="{00000000-0005-0000-0000-000072380000}"/>
    <cellStyle name="40 % - Aksentti6 2 2 24" xfId="26694" xr:uid="{00000000-0005-0000-0000-000073380000}"/>
    <cellStyle name="40 % - Aksentti6 2 2 25" xfId="25546" xr:uid="{00000000-0005-0000-0000-000074380000}"/>
    <cellStyle name="40 % - Aksentti6 2 2 26" xfId="26269" xr:uid="{00000000-0005-0000-0000-000075380000}"/>
    <cellStyle name="40 % - Aksentti6 2 2 27" xfId="26428" xr:uid="{00000000-0005-0000-0000-000076380000}"/>
    <cellStyle name="40 % - Aksentti6 2 2 28" xfId="24568" xr:uid="{00000000-0005-0000-0000-000077380000}"/>
    <cellStyle name="40 % - Aksentti6 2 2 29" xfId="23910" xr:uid="{00000000-0005-0000-0000-000078380000}"/>
    <cellStyle name="40 % - Aksentti6 2 2 3" xfId="3053" xr:uid="{00000000-0005-0000-0000-000079380000}"/>
    <cellStyle name="40 % - Aksentti6 2 2 3 2" xfId="10957" xr:uid="{00000000-0005-0000-0000-00007A380000}"/>
    <cellStyle name="40 % - Aksentti6 2 2 3 3" xfId="16573" xr:uid="{00000000-0005-0000-0000-00007B380000}"/>
    <cellStyle name="40 % - Aksentti6 2 2 3_DataIX" xfId="31466" xr:uid="{00000000-0005-0000-0000-00007C380000}"/>
    <cellStyle name="40 % - Aksentti6 2 2 30" xfId="23691" xr:uid="{00000000-0005-0000-0000-00007D380000}"/>
    <cellStyle name="40 % - Aksentti6 2 2 31" xfId="23896" xr:uid="{00000000-0005-0000-0000-00007E380000}"/>
    <cellStyle name="40 % - Aksentti6 2 2 32" xfId="23706" xr:uid="{00000000-0005-0000-0000-00007F380000}"/>
    <cellStyle name="40 % - Aksentti6 2 2 33" xfId="23888" xr:uid="{00000000-0005-0000-0000-000080380000}"/>
    <cellStyle name="40 % - Aksentti6 2 2 4" xfId="3054" xr:uid="{00000000-0005-0000-0000-000081380000}"/>
    <cellStyle name="40 % - Aksentti6 2 2 4 2" xfId="8385" xr:uid="{00000000-0005-0000-0000-000082380000}"/>
    <cellStyle name="40 % - Aksentti6 2 2 4 2 2" xfId="12261" xr:uid="{00000000-0005-0000-0000-000083380000}"/>
    <cellStyle name="40 % - Aksentti6 2 2 4 2 3" xfId="20016" xr:uid="{00000000-0005-0000-0000-000084380000}"/>
    <cellStyle name="40 % - Aksentti6 2 2 4 2_DataIX" xfId="31467" xr:uid="{00000000-0005-0000-0000-000085380000}"/>
    <cellStyle name="40 % - Aksentti6 2 2 4 3" xfId="16574" xr:uid="{00000000-0005-0000-0000-000086380000}"/>
    <cellStyle name="40 % - Aksentti6 2 2 4_060617_hinnat" xfId="24573" xr:uid="{00000000-0005-0000-0000-000087380000}"/>
    <cellStyle name="40 % - Aksentti6 2 2 5" xfId="3055" xr:uid="{00000000-0005-0000-0000-000088380000}"/>
    <cellStyle name="40 % - Aksentti6 2 2 5 2" xfId="8386" xr:uid="{00000000-0005-0000-0000-000089380000}"/>
    <cellStyle name="40 % - Aksentti6 2 2 5 2 2" xfId="12262" xr:uid="{00000000-0005-0000-0000-00008A380000}"/>
    <cellStyle name="40 % - Aksentti6 2 2 5 2 3" xfId="20017" xr:uid="{00000000-0005-0000-0000-00008B380000}"/>
    <cellStyle name="40 % - Aksentti6 2 2 5 2_DataIX" xfId="31468" xr:uid="{00000000-0005-0000-0000-00008C380000}"/>
    <cellStyle name="40 % - Aksentti6 2 2 5 3" xfId="16575" xr:uid="{00000000-0005-0000-0000-00008D380000}"/>
    <cellStyle name="40 % - Aksentti6 2 2 5_060617_hinnat" xfId="24574" xr:uid="{00000000-0005-0000-0000-00008E380000}"/>
    <cellStyle name="40 % - Aksentti6 2 2 6" xfId="3056" xr:uid="{00000000-0005-0000-0000-00008F380000}"/>
    <cellStyle name="40 % - Aksentti6 2 2 6 2" xfId="8387" xr:uid="{00000000-0005-0000-0000-000090380000}"/>
    <cellStyle name="40 % - Aksentti6 2 2 6 2 2" xfId="12263" xr:uid="{00000000-0005-0000-0000-000091380000}"/>
    <cellStyle name="40 % - Aksentti6 2 2 6 2 3" xfId="20018" xr:uid="{00000000-0005-0000-0000-000092380000}"/>
    <cellStyle name="40 % - Aksentti6 2 2 6 2_DataIX" xfId="31469" xr:uid="{00000000-0005-0000-0000-000093380000}"/>
    <cellStyle name="40 % - Aksentti6 2 2 6 3" xfId="16576" xr:uid="{00000000-0005-0000-0000-000094380000}"/>
    <cellStyle name="40 % - Aksentti6 2 2 6_060617_hinnat" xfId="24575" xr:uid="{00000000-0005-0000-0000-000095380000}"/>
    <cellStyle name="40 % - Aksentti6 2 2 7" xfId="3057" xr:uid="{00000000-0005-0000-0000-000096380000}"/>
    <cellStyle name="40 % - Aksentti6 2 2 7 2" xfId="8388" xr:uid="{00000000-0005-0000-0000-000097380000}"/>
    <cellStyle name="40 % - Aksentti6 2 2 7 2 2" xfId="12264" xr:uid="{00000000-0005-0000-0000-000098380000}"/>
    <cellStyle name="40 % - Aksentti6 2 2 7 2 3" xfId="20019" xr:uid="{00000000-0005-0000-0000-000099380000}"/>
    <cellStyle name="40 % - Aksentti6 2 2 7 2_DataIX" xfId="31470" xr:uid="{00000000-0005-0000-0000-00009A380000}"/>
    <cellStyle name="40 % - Aksentti6 2 2 7 3" xfId="16577" xr:uid="{00000000-0005-0000-0000-00009B380000}"/>
    <cellStyle name="40 % - Aksentti6 2 2 7_060617_hinnat" xfId="24576" xr:uid="{00000000-0005-0000-0000-00009C380000}"/>
    <cellStyle name="40 % - Aksentti6 2 2 8" xfId="3058" xr:uid="{00000000-0005-0000-0000-00009D380000}"/>
    <cellStyle name="40 % - Aksentti6 2 2 8 2" xfId="8389" xr:uid="{00000000-0005-0000-0000-00009E380000}"/>
    <cellStyle name="40 % - Aksentti6 2 2 8 2 2" xfId="12265" xr:uid="{00000000-0005-0000-0000-00009F380000}"/>
    <cellStyle name="40 % - Aksentti6 2 2 8 2 3" xfId="20020" xr:uid="{00000000-0005-0000-0000-0000A0380000}"/>
    <cellStyle name="40 % - Aksentti6 2 2 8 2_DataIX" xfId="31471" xr:uid="{00000000-0005-0000-0000-0000A1380000}"/>
    <cellStyle name="40 % - Aksentti6 2 2 8 3" xfId="16578" xr:uid="{00000000-0005-0000-0000-0000A2380000}"/>
    <cellStyle name="40 % - Aksentti6 2 2 8_060617_hinnat" xfId="24577" xr:uid="{00000000-0005-0000-0000-0000A3380000}"/>
    <cellStyle name="40 % - Aksentti6 2 2 9" xfId="3059" xr:uid="{00000000-0005-0000-0000-0000A4380000}"/>
    <cellStyle name="40 % - Aksentti6 2 2 9 2" xfId="8390" xr:uid="{00000000-0005-0000-0000-0000A5380000}"/>
    <cellStyle name="40 % - Aksentti6 2 2 9 2 2" xfId="12266" xr:uid="{00000000-0005-0000-0000-0000A6380000}"/>
    <cellStyle name="40 % - Aksentti6 2 2 9 2 3" xfId="20021" xr:uid="{00000000-0005-0000-0000-0000A7380000}"/>
    <cellStyle name="40 % - Aksentti6 2 2 9 2_DataIX" xfId="31472" xr:uid="{00000000-0005-0000-0000-0000A8380000}"/>
    <cellStyle name="40 % - Aksentti6 2 2 9 3" xfId="16579" xr:uid="{00000000-0005-0000-0000-0000A9380000}"/>
    <cellStyle name="40 % - Aksentti6 2 2 9_060617_hinnat" xfId="24578" xr:uid="{00000000-0005-0000-0000-0000AA380000}"/>
    <cellStyle name="40 % - Aksentti6 2 2_##Keskeiset" xfId="8379" xr:uid="{00000000-0005-0000-0000-0000AB380000}"/>
    <cellStyle name="40 % - Aksentti6 2 20" xfId="25786" xr:uid="{00000000-0005-0000-0000-0000AC380000}"/>
    <cellStyle name="40 % - Aksentti6 2 21" xfId="25609" xr:uid="{00000000-0005-0000-0000-0000AD380000}"/>
    <cellStyle name="40 % - Aksentti6 2 22" xfId="26076" xr:uid="{00000000-0005-0000-0000-0000AE380000}"/>
    <cellStyle name="40 % - Aksentti6 2 23" xfId="26007" xr:uid="{00000000-0005-0000-0000-0000AF380000}"/>
    <cellStyle name="40 % - Aksentti6 2 24" xfId="25294" xr:uid="{00000000-0005-0000-0000-0000B0380000}"/>
    <cellStyle name="40 % - Aksentti6 2 25" xfId="25364" xr:uid="{00000000-0005-0000-0000-0000B1380000}"/>
    <cellStyle name="40 % - Aksentti6 2 26" xfId="25800" xr:uid="{00000000-0005-0000-0000-0000B2380000}"/>
    <cellStyle name="40 % - Aksentti6 2 27" xfId="26256" xr:uid="{00000000-0005-0000-0000-0000B3380000}"/>
    <cellStyle name="40 % - Aksentti6 2 28" xfId="24565" xr:uid="{00000000-0005-0000-0000-0000B4380000}"/>
    <cellStyle name="40 % - Aksentti6 2 29" xfId="23915" xr:uid="{00000000-0005-0000-0000-0000B5380000}"/>
    <cellStyle name="40 % - Aksentti6 2 3" xfId="167" xr:uid="{00000000-0005-0000-0000-0000B6380000}"/>
    <cellStyle name="40 % - Aksentti6 2 3 2" xfId="3061" xr:uid="{00000000-0005-0000-0000-0000B7380000}"/>
    <cellStyle name="40 % - Aksentti6 2 3 2 2" xfId="3062" xr:uid="{00000000-0005-0000-0000-0000B8380000}"/>
    <cellStyle name="40 % - Aksentti6 2 3 2 2 2" xfId="8392" xr:uid="{00000000-0005-0000-0000-0000B9380000}"/>
    <cellStyle name="40 % - Aksentti6 2 3 2 2 2 2" xfId="12267" xr:uid="{00000000-0005-0000-0000-0000BA380000}"/>
    <cellStyle name="40 % - Aksentti6 2 3 2 2 2 3" xfId="20022" xr:uid="{00000000-0005-0000-0000-0000BB380000}"/>
    <cellStyle name="40 % - Aksentti6 2 3 2 2 2_DataIX" xfId="31473" xr:uid="{00000000-0005-0000-0000-0000BC380000}"/>
    <cellStyle name="40 % - Aksentti6 2 3 2 2 3" xfId="16582" xr:uid="{00000000-0005-0000-0000-0000BD380000}"/>
    <cellStyle name="40 % - Aksentti6 2 3 2 2_060617_hinnat" xfId="24579" xr:uid="{00000000-0005-0000-0000-0000BE380000}"/>
    <cellStyle name="40 % - Aksentti6 2 3 2 3" xfId="5518" xr:uid="{00000000-0005-0000-0000-0000BF380000}"/>
    <cellStyle name="40 % - Aksentti6 2 3 2 3 2" xfId="12268" xr:uid="{00000000-0005-0000-0000-0000C0380000}"/>
    <cellStyle name="40 % - Aksentti6 2 3 2 3 3" xfId="18757" xr:uid="{00000000-0005-0000-0000-0000C1380000}"/>
    <cellStyle name="40 % - Aksentti6 2 3 2 3_DataIX" xfId="31474" xr:uid="{00000000-0005-0000-0000-0000C2380000}"/>
    <cellStyle name="40 % - Aksentti6 2 3 2 4" xfId="16581" xr:uid="{00000000-0005-0000-0000-0000C3380000}"/>
    <cellStyle name="40 % - Aksentti6 2 3 2_##Keskeiset" xfId="8391" xr:uid="{00000000-0005-0000-0000-0000C4380000}"/>
    <cellStyle name="40 % - Aksentti6 2 3 3" xfId="3063" xr:uid="{00000000-0005-0000-0000-0000C5380000}"/>
    <cellStyle name="40 % - Aksentti6 2 3 3 2" xfId="8393" xr:uid="{00000000-0005-0000-0000-0000C6380000}"/>
    <cellStyle name="40 % - Aksentti6 2 3 3 2 2" xfId="12269" xr:uid="{00000000-0005-0000-0000-0000C7380000}"/>
    <cellStyle name="40 % - Aksentti6 2 3 3 2 3" xfId="20023" xr:uid="{00000000-0005-0000-0000-0000C8380000}"/>
    <cellStyle name="40 % - Aksentti6 2 3 3 2_DataIX" xfId="31475" xr:uid="{00000000-0005-0000-0000-0000C9380000}"/>
    <cellStyle name="40 % - Aksentti6 2 3 3 3" xfId="16583" xr:uid="{00000000-0005-0000-0000-0000CA380000}"/>
    <cellStyle name="40 % - Aksentti6 2 3 3_060617_hinnat" xfId="24580" xr:uid="{00000000-0005-0000-0000-0000CB380000}"/>
    <cellStyle name="40 % - Aksentti6 2 3 4" xfId="3060" xr:uid="{00000000-0005-0000-0000-0000CC380000}"/>
    <cellStyle name="40 % - Aksentti6 2 3 4 2" xfId="8394" xr:uid="{00000000-0005-0000-0000-0000CD380000}"/>
    <cellStyle name="40 % - Aksentti6 2 3 4 2 2" xfId="12270" xr:uid="{00000000-0005-0000-0000-0000CE380000}"/>
    <cellStyle name="40 % - Aksentti6 2 3 4 2 3" xfId="20024" xr:uid="{00000000-0005-0000-0000-0000CF380000}"/>
    <cellStyle name="40 % - Aksentti6 2 3 4 2_DataIX" xfId="31476" xr:uid="{00000000-0005-0000-0000-0000D0380000}"/>
    <cellStyle name="40 % - Aksentti6 2 3 4 3" xfId="16580" xr:uid="{00000000-0005-0000-0000-0000D1380000}"/>
    <cellStyle name="40 % - Aksentti6 2 3 4_060617_hinnat" xfId="24581" xr:uid="{00000000-0005-0000-0000-0000D2380000}"/>
    <cellStyle name="40 % - Aksentti6 2 3_##Keskeiset" xfId="5517" xr:uid="{00000000-0005-0000-0000-0000D3380000}"/>
    <cellStyle name="40 % - Aksentti6 2 30" xfId="23685" xr:uid="{00000000-0005-0000-0000-0000D4380000}"/>
    <cellStyle name="40 % - Aksentti6 2 31" xfId="23902" xr:uid="{00000000-0005-0000-0000-0000D5380000}"/>
    <cellStyle name="40 % - Aksentti6 2 32" xfId="23700" xr:uid="{00000000-0005-0000-0000-0000D6380000}"/>
    <cellStyle name="40 % - Aksentti6 2 33" xfId="26745" xr:uid="{00000000-0005-0000-0000-0000D7380000}"/>
    <cellStyle name="40 % - Aksentti6 2 4" xfId="3064" xr:uid="{00000000-0005-0000-0000-0000D8380000}"/>
    <cellStyle name="40 % - Aksentti6 2 4 2" xfId="3065" xr:uid="{00000000-0005-0000-0000-0000D9380000}"/>
    <cellStyle name="40 % - Aksentti6 2 4 2 2" xfId="3066" xr:uid="{00000000-0005-0000-0000-0000DA380000}"/>
    <cellStyle name="40 % - Aksentti6 2 4 2 2 2" xfId="8397" xr:uid="{00000000-0005-0000-0000-0000DB380000}"/>
    <cellStyle name="40 % - Aksentti6 2 4 2 2 2 2" xfId="12271" xr:uid="{00000000-0005-0000-0000-0000DC380000}"/>
    <cellStyle name="40 % - Aksentti6 2 4 2 2 2 3" xfId="20026" xr:uid="{00000000-0005-0000-0000-0000DD380000}"/>
    <cellStyle name="40 % - Aksentti6 2 4 2 2 2_DataIX" xfId="31477" xr:uid="{00000000-0005-0000-0000-0000DE380000}"/>
    <cellStyle name="40 % - Aksentti6 2 4 2 2 3" xfId="16586" xr:uid="{00000000-0005-0000-0000-0000DF380000}"/>
    <cellStyle name="40 % - Aksentti6 2 4 2 2_060617_hinnat" xfId="24582" xr:uid="{00000000-0005-0000-0000-0000E0380000}"/>
    <cellStyle name="40 % - Aksentti6 2 4 2 3" xfId="8396" xr:uid="{00000000-0005-0000-0000-0000E1380000}"/>
    <cellStyle name="40 % - Aksentti6 2 4 2 3 2" xfId="12272" xr:uid="{00000000-0005-0000-0000-0000E2380000}"/>
    <cellStyle name="40 % - Aksentti6 2 4 2 3 3" xfId="20025" xr:uid="{00000000-0005-0000-0000-0000E3380000}"/>
    <cellStyle name="40 % - Aksentti6 2 4 2 3_DataIX" xfId="31478" xr:uid="{00000000-0005-0000-0000-0000E4380000}"/>
    <cellStyle name="40 % - Aksentti6 2 4 2 4" xfId="16585" xr:uid="{00000000-0005-0000-0000-0000E5380000}"/>
    <cellStyle name="40 % - Aksentti6 2 4 2_060617_hinnat" xfId="24583" xr:uid="{00000000-0005-0000-0000-0000E6380000}"/>
    <cellStyle name="40 % - Aksentti6 2 4 3" xfId="3067" xr:uid="{00000000-0005-0000-0000-0000E7380000}"/>
    <cellStyle name="40 % - Aksentti6 2 4 3 2" xfId="8398" xr:uid="{00000000-0005-0000-0000-0000E8380000}"/>
    <cellStyle name="40 % - Aksentti6 2 4 3 2 2" xfId="12273" xr:uid="{00000000-0005-0000-0000-0000E9380000}"/>
    <cellStyle name="40 % - Aksentti6 2 4 3 2 3" xfId="20027" xr:uid="{00000000-0005-0000-0000-0000EA380000}"/>
    <cellStyle name="40 % - Aksentti6 2 4 3 2_DataIX" xfId="31479" xr:uid="{00000000-0005-0000-0000-0000EB380000}"/>
    <cellStyle name="40 % - Aksentti6 2 4 3 3" xfId="16587" xr:uid="{00000000-0005-0000-0000-0000EC380000}"/>
    <cellStyle name="40 % - Aksentti6 2 4 3_060617_hinnat" xfId="24584" xr:uid="{00000000-0005-0000-0000-0000ED380000}"/>
    <cellStyle name="40 % - Aksentti6 2 4 4" xfId="5519" xr:uid="{00000000-0005-0000-0000-0000EE380000}"/>
    <cellStyle name="40 % - Aksentti6 2 4 4 2" xfId="12274" xr:uid="{00000000-0005-0000-0000-0000EF380000}"/>
    <cellStyle name="40 % - Aksentti6 2 4 4 3" xfId="18758" xr:uid="{00000000-0005-0000-0000-0000F0380000}"/>
    <cellStyle name="40 % - Aksentti6 2 4 4_DataIX" xfId="31480" xr:uid="{00000000-0005-0000-0000-0000F1380000}"/>
    <cellStyle name="40 % - Aksentti6 2 4 5" xfId="10543" xr:uid="{00000000-0005-0000-0000-0000F2380000}"/>
    <cellStyle name="40 % - Aksentti6 2 4 5 2" xfId="12275" xr:uid="{00000000-0005-0000-0000-0000F3380000}"/>
    <cellStyle name="40 % - Aksentti6 2 4 5 3" xfId="20325" xr:uid="{00000000-0005-0000-0000-0000F4380000}"/>
    <cellStyle name="40 % - Aksentti6 2 4 5_DataIX" xfId="31481" xr:uid="{00000000-0005-0000-0000-0000F5380000}"/>
    <cellStyle name="40 % - Aksentti6 2 4 6" xfId="5307" xr:uid="{00000000-0005-0000-0000-0000F6380000}"/>
    <cellStyle name="40 % - Aksentti6 2 4 6 2" xfId="12276" xr:uid="{00000000-0005-0000-0000-0000F7380000}"/>
    <cellStyle name="40 % - Aksentti6 2 4 6 3" xfId="18631" xr:uid="{00000000-0005-0000-0000-0000F8380000}"/>
    <cellStyle name="40 % - Aksentti6 2 4 6_DataIX" xfId="31482" xr:uid="{00000000-0005-0000-0000-0000F9380000}"/>
    <cellStyle name="40 % - Aksentti6 2 4 7" xfId="10627" xr:uid="{00000000-0005-0000-0000-0000FA380000}"/>
    <cellStyle name="40 % - Aksentti6 2 4 7 2" xfId="12277" xr:uid="{00000000-0005-0000-0000-0000FB380000}"/>
    <cellStyle name="40 % - Aksentti6 2 4 7 3" xfId="20409" xr:uid="{00000000-0005-0000-0000-0000FC380000}"/>
    <cellStyle name="40 % - Aksentti6 2 4 7_DataIX" xfId="31483" xr:uid="{00000000-0005-0000-0000-0000FD380000}"/>
    <cellStyle name="40 % - Aksentti6 2 4 8" xfId="10570" xr:uid="{00000000-0005-0000-0000-0000FE380000}"/>
    <cellStyle name="40 % - Aksentti6 2 4 8 2" xfId="12278" xr:uid="{00000000-0005-0000-0000-0000FF380000}"/>
    <cellStyle name="40 % - Aksentti6 2 4 8 3" xfId="20352" xr:uid="{00000000-0005-0000-0000-000000390000}"/>
    <cellStyle name="40 % - Aksentti6 2 4 8_DataIX" xfId="31484" xr:uid="{00000000-0005-0000-0000-000001390000}"/>
    <cellStyle name="40 % - Aksentti6 2 4 9" xfId="16584" xr:uid="{00000000-0005-0000-0000-000002390000}"/>
    <cellStyle name="40 % - Aksentti6 2 4_##Keskeiset" xfId="8395" xr:uid="{00000000-0005-0000-0000-000003390000}"/>
    <cellStyle name="40 % - Aksentti6 2 5" xfId="3068" xr:uid="{00000000-0005-0000-0000-000004390000}"/>
    <cellStyle name="40 % - Aksentti6 2 5 2" xfId="3069" xr:uid="{00000000-0005-0000-0000-000005390000}"/>
    <cellStyle name="40 % - Aksentti6 2 5 2 2" xfId="8400" xr:uid="{00000000-0005-0000-0000-000006390000}"/>
    <cellStyle name="40 % - Aksentti6 2 5 2 2 2" xfId="12279" xr:uid="{00000000-0005-0000-0000-000007390000}"/>
    <cellStyle name="40 % - Aksentti6 2 5 2 2 3" xfId="20029" xr:uid="{00000000-0005-0000-0000-000008390000}"/>
    <cellStyle name="40 % - Aksentti6 2 5 2 2_DataIX" xfId="31485" xr:uid="{00000000-0005-0000-0000-000009390000}"/>
    <cellStyle name="40 % - Aksentti6 2 5 2 3" xfId="16589" xr:uid="{00000000-0005-0000-0000-00000A390000}"/>
    <cellStyle name="40 % - Aksentti6 2 5 2_060617_hinnat" xfId="24585" xr:uid="{00000000-0005-0000-0000-00000B390000}"/>
    <cellStyle name="40 % - Aksentti6 2 5 3" xfId="8399" xr:uid="{00000000-0005-0000-0000-00000C390000}"/>
    <cellStyle name="40 % - Aksentti6 2 5 3 2" xfId="12280" xr:uid="{00000000-0005-0000-0000-00000D390000}"/>
    <cellStyle name="40 % - Aksentti6 2 5 3 3" xfId="20028" xr:uid="{00000000-0005-0000-0000-00000E390000}"/>
    <cellStyle name="40 % - Aksentti6 2 5 3_DataIX" xfId="31486" xr:uid="{00000000-0005-0000-0000-00000F390000}"/>
    <cellStyle name="40 % - Aksentti6 2 5 4" xfId="16588" xr:uid="{00000000-0005-0000-0000-000010390000}"/>
    <cellStyle name="40 % - Aksentti6 2 5_060617_hinnat" xfId="24586" xr:uid="{00000000-0005-0000-0000-000011390000}"/>
    <cellStyle name="40 % - Aksentti6 2 6" xfId="3070" xr:uid="{00000000-0005-0000-0000-000012390000}"/>
    <cellStyle name="40 % - Aksentti6 2 6 2" xfId="8401" xr:uid="{00000000-0005-0000-0000-000013390000}"/>
    <cellStyle name="40 % - Aksentti6 2 6 2 2" xfId="12281" xr:uid="{00000000-0005-0000-0000-000014390000}"/>
    <cellStyle name="40 % - Aksentti6 2 6 2 3" xfId="20030" xr:uid="{00000000-0005-0000-0000-000015390000}"/>
    <cellStyle name="40 % - Aksentti6 2 6 2_DataIX" xfId="31487" xr:uid="{00000000-0005-0000-0000-000016390000}"/>
    <cellStyle name="40 % - Aksentti6 2 6 3" xfId="16590" xr:uid="{00000000-0005-0000-0000-000017390000}"/>
    <cellStyle name="40 % - Aksentti6 2 6_060617_hinnat" xfId="24587" xr:uid="{00000000-0005-0000-0000-000018390000}"/>
    <cellStyle name="40 % - Aksentti6 2 7" xfId="3071" xr:uid="{00000000-0005-0000-0000-000019390000}"/>
    <cellStyle name="40 % - Aksentti6 2 7 2" xfId="8402" xr:uid="{00000000-0005-0000-0000-00001A390000}"/>
    <cellStyle name="40 % - Aksentti6 2 7 2 2" xfId="12282" xr:uid="{00000000-0005-0000-0000-00001B390000}"/>
    <cellStyle name="40 % - Aksentti6 2 7 2 3" xfId="20031" xr:uid="{00000000-0005-0000-0000-00001C390000}"/>
    <cellStyle name="40 % - Aksentti6 2 7 2_DataIX" xfId="31488" xr:uid="{00000000-0005-0000-0000-00001D390000}"/>
    <cellStyle name="40 % - Aksentti6 2 7 3" xfId="16591" xr:uid="{00000000-0005-0000-0000-00001E390000}"/>
    <cellStyle name="40 % - Aksentti6 2 7_060617_hinnat" xfId="24588" xr:uid="{00000000-0005-0000-0000-00001F390000}"/>
    <cellStyle name="40 % - Aksentti6 2 8" xfId="3072" xr:uid="{00000000-0005-0000-0000-000020390000}"/>
    <cellStyle name="40 % - Aksentti6 2 8 2" xfId="8403" xr:uid="{00000000-0005-0000-0000-000021390000}"/>
    <cellStyle name="40 % - Aksentti6 2 8 2 2" xfId="12283" xr:uid="{00000000-0005-0000-0000-000022390000}"/>
    <cellStyle name="40 % - Aksentti6 2 8 2 3" xfId="20032" xr:uid="{00000000-0005-0000-0000-000023390000}"/>
    <cellStyle name="40 % - Aksentti6 2 8 2_DataIX" xfId="31489" xr:uid="{00000000-0005-0000-0000-000024390000}"/>
    <cellStyle name="40 % - Aksentti6 2 8 3" xfId="16592" xr:uid="{00000000-0005-0000-0000-000025390000}"/>
    <cellStyle name="40 % - Aksentti6 2 8_060617_hinnat" xfId="24589" xr:uid="{00000000-0005-0000-0000-000026390000}"/>
    <cellStyle name="40 % - Aksentti6 2 9" xfId="3073" xr:uid="{00000000-0005-0000-0000-000027390000}"/>
    <cellStyle name="40 % - Aksentti6 2 9 2" xfId="8404" xr:uid="{00000000-0005-0000-0000-000028390000}"/>
    <cellStyle name="40 % - Aksentti6 2 9 2 2" xfId="12284" xr:uid="{00000000-0005-0000-0000-000029390000}"/>
    <cellStyle name="40 % - Aksentti6 2 9 2 3" xfId="20033" xr:uid="{00000000-0005-0000-0000-00002A390000}"/>
    <cellStyle name="40 % - Aksentti6 2 9 2_DataIX" xfId="31490" xr:uid="{00000000-0005-0000-0000-00002B390000}"/>
    <cellStyle name="40 % - Aksentti6 2 9 3" xfId="16593" xr:uid="{00000000-0005-0000-0000-00002C390000}"/>
    <cellStyle name="40 % - Aksentti6 2 9_060617_hinnat" xfId="24590" xr:uid="{00000000-0005-0000-0000-00002D390000}"/>
    <cellStyle name="40 % - Aksentti6 2_##Keskeiset" xfId="8376" xr:uid="{00000000-0005-0000-0000-00002E390000}"/>
    <cellStyle name="40 % - Aksentti6 20" xfId="3074" xr:uid="{00000000-0005-0000-0000-00002F390000}"/>
    <cellStyle name="40 % - Aksentti6 20 2" xfId="8405" xr:uid="{00000000-0005-0000-0000-000030390000}"/>
    <cellStyle name="40 % - Aksentti6 20 2 2" xfId="12285" xr:uid="{00000000-0005-0000-0000-000031390000}"/>
    <cellStyle name="40 % - Aksentti6 20 2 3" xfId="20034" xr:uid="{00000000-0005-0000-0000-000032390000}"/>
    <cellStyle name="40 % - Aksentti6 20 2_DataIX" xfId="31491" xr:uid="{00000000-0005-0000-0000-000033390000}"/>
    <cellStyle name="40 % - Aksentti6 20 3" xfId="16594" xr:uid="{00000000-0005-0000-0000-000034390000}"/>
    <cellStyle name="40 % - Aksentti6 20_060617_hinnat" xfId="24591" xr:uid="{00000000-0005-0000-0000-000035390000}"/>
    <cellStyle name="40 % - Aksentti6 21" xfId="3075" xr:uid="{00000000-0005-0000-0000-000036390000}"/>
    <cellStyle name="40 % - Aksentti6 21 2" xfId="8406" xr:uid="{00000000-0005-0000-0000-000037390000}"/>
    <cellStyle name="40 % - Aksentti6 21 2 2" xfId="12286" xr:uid="{00000000-0005-0000-0000-000038390000}"/>
    <cellStyle name="40 % - Aksentti6 21 2 3" xfId="20035" xr:uid="{00000000-0005-0000-0000-000039390000}"/>
    <cellStyle name="40 % - Aksentti6 21 2_DataIX" xfId="31492" xr:uid="{00000000-0005-0000-0000-00003A390000}"/>
    <cellStyle name="40 % - Aksentti6 21 3" xfId="16595" xr:uid="{00000000-0005-0000-0000-00003B390000}"/>
    <cellStyle name="40 % - Aksentti6 21_060617_hinnat" xfId="24592" xr:uid="{00000000-0005-0000-0000-00003C390000}"/>
    <cellStyle name="40 % - Aksentti6 22" xfId="3076" xr:uid="{00000000-0005-0000-0000-00003D390000}"/>
    <cellStyle name="40 % - Aksentti6 22 2" xfId="8407" xr:uid="{00000000-0005-0000-0000-00003E390000}"/>
    <cellStyle name="40 % - Aksentti6 22 2 2" xfId="12287" xr:uid="{00000000-0005-0000-0000-00003F390000}"/>
    <cellStyle name="40 % - Aksentti6 22 2 3" xfId="20036" xr:uid="{00000000-0005-0000-0000-000040390000}"/>
    <cellStyle name="40 % - Aksentti6 22 2_DataIX" xfId="31493" xr:uid="{00000000-0005-0000-0000-000041390000}"/>
    <cellStyle name="40 % - Aksentti6 22 3" xfId="16596" xr:uid="{00000000-0005-0000-0000-000042390000}"/>
    <cellStyle name="40 % - Aksentti6 22_060617_hinnat" xfId="24593" xr:uid="{00000000-0005-0000-0000-000043390000}"/>
    <cellStyle name="40 % - Aksentti6 23" xfId="3077" xr:uid="{00000000-0005-0000-0000-000044390000}"/>
    <cellStyle name="40 % - Aksentti6 23 2" xfId="8408" xr:uid="{00000000-0005-0000-0000-000045390000}"/>
    <cellStyle name="40 % - Aksentti6 23 2 2" xfId="12288" xr:uid="{00000000-0005-0000-0000-000046390000}"/>
    <cellStyle name="40 % - Aksentti6 23 2 3" xfId="20037" xr:uid="{00000000-0005-0000-0000-000047390000}"/>
    <cellStyle name="40 % - Aksentti6 23 2_DataIX" xfId="31494" xr:uid="{00000000-0005-0000-0000-000048390000}"/>
    <cellStyle name="40 % - Aksentti6 23 3" xfId="16597" xr:uid="{00000000-0005-0000-0000-000049390000}"/>
    <cellStyle name="40 % - Aksentti6 23_060617_hinnat" xfId="24594" xr:uid="{00000000-0005-0000-0000-00004A390000}"/>
    <cellStyle name="40 % - Aksentti6 24" xfId="3078" xr:uid="{00000000-0005-0000-0000-00004B390000}"/>
    <cellStyle name="40 % - Aksentti6 24 2" xfId="8409" xr:uid="{00000000-0005-0000-0000-00004C390000}"/>
    <cellStyle name="40 % - Aksentti6 24 2 2" xfId="12289" xr:uid="{00000000-0005-0000-0000-00004D390000}"/>
    <cellStyle name="40 % - Aksentti6 24 2 3" xfId="20038" xr:uid="{00000000-0005-0000-0000-00004E390000}"/>
    <cellStyle name="40 % - Aksentti6 24 2_DataIX" xfId="31495" xr:uid="{00000000-0005-0000-0000-00004F390000}"/>
    <cellStyle name="40 % - Aksentti6 24 3" xfId="16598" xr:uid="{00000000-0005-0000-0000-000050390000}"/>
    <cellStyle name="40 % - Aksentti6 24_060617_hinnat" xfId="24595" xr:uid="{00000000-0005-0000-0000-000051390000}"/>
    <cellStyle name="40 % - Aksentti6 25" xfId="3079" xr:uid="{00000000-0005-0000-0000-000052390000}"/>
    <cellStyle name="40 % - Aksentti6 25 2" xfId="8410" xr:uid="{00000000-0005-0000-0000-000053390000}"/>
    <cellStyle name="40 % - Aksentti6 25 2 2" xfId="12290" xr:uid="{00000000-0005-0000-0000-000054390000}"/>
    <cellStyle name="40 % - Aksentti6 25 2 3" xfId="20039" xr:uid="{00000000-0005-0000-0000-000055390000}"/>
    <cellStyle name="40 % - Aksentti6 25 2_DataIX" xfId="31496" xr:uid="{00000000-0005-0000-0000-000056390000}"/>
    <cellStyle name="40 % - Aksentti6 25 3" xfId="16599" xr:uid="{00000000-0005-0000-0000-000057390000}"/>
    <cellStyle name="40 % - Aksentti6 25_060617_hinnat" xfId="24596" xr:uid="{00000000-0005-0000-0000-000058390000}"/>
    <cellStyle name="40 % - Aksentti6 26" xfId="3080" xr:uid="{00000000-0005-0000-0000-000059390000}"/>
    <cellStyle name="40 % - Aksentti6 26 2" xfId="8411" xr:uid="{00000000-0005-0000-0000-00005A390000}"/>
    <cellStyle name="40 % - Aksentti6 26 2 2" xfId="12291" xr:uid="{00000000-0005-0000-0000-00005B390000}"/>
    <cellStyle name="40 % - Aksentti6 26 2 3" xfId="20040" xr:uid="{00000000-0005-0000-0000-00005C390000}"/>
    <cellStyle name="40 % - Aksentti6 26 2_DataIX" xfId="31497" xr:uid="{00000000-0005-0000-0000-00005D390000}"/>
    <cellStyle name="40 % - Aksentti6 26 3" xfId="16600" xr:uid="{00000000-0005-0000-0000-00005E390000}"/>
    <cellStyle name="40 % - Aksentti6 26_060617_hinnat" xfId="24597" xr:uid="{00000000-0005-0000-0000-00005F390000}"/>
    <cellStyle name="40 % - Aksentti6 27" xfId="3081" xr:uid="{00000000-0005-0000-0000-000060390000}"/>
    <cellStyle name="40 % - Aksentti6 27 2" xfId="8412" xr:uid="{00000000-0005-0000-0000-000061390000}"/>
    <cellStyle name="40 % - Aksentti6 27 2 2" xfId="12292" xr:uid="{00000000-0005-0000-0000-000062390000}"/>
    <cellStyle name="40 % - Aksentti6 27 2 3" xfId="20041" xr:uid="{00000000-0005-0000-0000-000063390000}"/>
    <cellStyle name="40 % - Aksentti6 27 2_DataIX" xfId="31498" xr:uid="{00000000-0005-0000-0000-000064390000}"/>
    <cellStyle name="40 % - Aksentti6 27 3" xfId="16601" xr:uid="{00000000-0005-0000-0000-000065390000}"/>
    <cellStyle name="40 % - Aksentti6 27_060617_hinnat" xfId="24598" xr:uid="{00000000-0005-0000-0000-000066390000}"/>
    <cellStyle name="40 % - Aksentti6 28" xfId="3082" xr:uid="{00000000-0005-0000-0000-000067390000}"/>
    <cellStyle name="40 % - Aksentti6 28 2" xfId="8413" xr:uid="{00000000-0005-0000-0000-000068390000}"/>
    <cellStyle name="40 % - Aksentti6 28 2 2" xfId="12293" xr:uid="{00000000-0005-0000-0000-000069390000}"/>
    <cellStyle name="40 % - Aksentti6 28 2 3" xfId="20042" xr:uid="{00000000-0005-0000-0000-00006A390000}"/>
    <cellStyle name="40 % - Aksentti6 28 2_DataIX" xfId="31499" xr:uid="{00000000-0005-0000-0000-00006B390000}"/>
    <cellStyle name="40 % - Aksentti6 28 3" xfId="16602" xr:uid="{00000000-0005-0000-0000-00006C390000}"/>
    <cellStyle name="40 % - Aksentti6 28_060617_hinnat" xfId="24599" xr:uid="{00000000-0005-0000-0000-00006D390000}"/>
    <cellStyle name="40 % - Aksentti6 29" xfId="10651" xr:uid="{00000000-0005-0000-0000-00006E390000}"/>
    <cellStyle name="40 % - Aksentti6 29 2" xfId="27769" xr:uid="{00000000-0005-0000-0000-00006F390000}"/>
    <cellStyle name="40 % - Aksentti6 29_DataIX" xfId="31500" xr:uid="{00000000-0005-0000-0000-000070390000}"/>
    <cellStyle name="40 % - Aksentti6 3" xfId="165" xr:uid="{00000000-0005-0000-0000-000071390000}"/>
    <cellStyle name="40 % - Aksentti6 3 10" xfId="3084" xr:uid="{00000000-0005-0000-0000-000072390000}"/>
    <cellStyle name="40 % - Aksentti6 3 10 2" xfId="8414" xr:uid="{00000000-0005-0000-0000-000073390000}"/>
    <cellStyle name="40 % - Aksentti6 3 10 2 2" xfId="12294" xr:uid="{00000000-0005-0000-0000-000074390000}"/>
    <cellStyle name="40 % - Aksentti6 3 10 2 3" xfId="20043" xr:uid="{00000000-0005-0000-0000-000075390000}"/>
    <cellStyle name="40 % - Aksentti6 3 10 2_DataIX" xfId="31501" xr:uid="{00000000-0005-0000-0000-000076390000}"/>
    <cellStyle name="40 % - Aksentti6 3 10 3" xfId="16604" xr:uid="{00000000-0005-0000-0000-000077390000}"/>
    <cellStyle name="40 % - Aksentti6 3 10_060617_hinnat" xfId="24601" xr:uid="{00000000-0005-0000-0000-000078390000}"/>
    <cellStyle name="40 % - Aksentti6 3 11" xfId="3083" xr:uid="{00000000-0005-0000-0000-000079390000}"/>
    <cellStyle name="40 % - Aksentti6 3 11 2" xfId="8415" xr:uid="{00000000-0005-0000-0000-00007A390000}"/>
    <cellStyle name="40 % - Aksentti6 3 11 2 2" xfId="12295" xr:uid="{00000000-0005-0000-0000-00007B390000}"/>
    <cellStyle name="40 % - Aksentti6 3 11 2 3" xfId="20044" xr:uid="{00000000-0005-0000-0000-00007C390000}"/>
    <cellStyle name="40 % - Aksentti6 3 11 2_DataIX" xfId="31502" xr:uid="{00000000-0005-0000-0000-00007D390000}"/>
    <cellStyle name="40 % - Aksentti6 3 11 3" xfId="16603" xr:uid="{00000000-0005-0000-0000-00007E390000}"/>
    <cellStyle name="40 % - Aksentti6 3 11_060617_hinnat" xfId="24602" xr:uid="{00000000-0005-0000-0000-00007F390000}"/>
    <cellStyle name="40 % - Aksentti6 3 2" xfId="3085" xr:uid="{00000000-0005-0000-0000-000080390000}"/>
    <cellStyle name="40 % - Aksentti6 3 2 10" xfId="3086" xr:uid="{00000000-0005-0000-0000-000081390000}"/>
    <cellStyle name="40 % - Aksentti6 3 2 10 2" xfId="8417" xr:uid="{00000000-0005-0000-0000-000082390000}"/>
    <cellStyle name="40 % - Aksentti6 3 2 10 2 2" xfId="12296" xr:uid="{00000000-0005-0000-0000-000083390000}"/>
    <cellStyle name="40 % - Aksentti6 3 2 10 2 3" xfId="20046" xr:uid="{00000000-0005-0000-0000-000084390000}"/>
    <cellStyle name="40 % - Aksentti6 3 2 10 2_DataIX" xfId="31503" xr:uid="{00000000-0005-0000-0000-000085390000}"/>
    <cellStyle name="40 % - Aksentti6 3 2 10 3" xfId="16606" xr:uid="{00000000-0005-0000-0000-000086390000}"/>
    <cellStyle name="40 % - Aksentti6 3 2 10_060617_hinnat" xfId="24604" xr:uid="{00000000-0005-0000-0000-000087390000}"/>
    <cellStyle name="40 % - Aksentti6 3 2 11" xfId="8416" xr:uid="{00000000-0005-0000-0000-000088390000}"/>
    <cellStyle name="40 % - Aksentti6 3 2 11 2" xfId="12297" xr:uid="{00000000-0005-0000-0000-000089390000}"/>
    <cellStyle name="40 % - Aksentti6 3 2 11 3" xfId="20045" xr:uid="{00000000-0005-0000-0000-00008A390000}"/>
    <cellStyle name="40 % - Aksentti6 3 2 11_DataIX" xfId="31504" xr:uid="{00000000-0005-0000-0000-00008B390000}"/>
    <cellStyle name="40 % - Aksentti6 3 2 12" xfId="16605" xr:uid="{00000000-0005-0000-0000-00008C390000}"/>
    <cellStyle name="40 % - Aksentti6 3 2 2" xfId="3087" xr:uid="{00000000-0005-0000-0000-00008D390000}"/>
    <cellStyle name="40 % - Aksentti6 3 2 2 2" xfId="3088" xr:uid="{00000000-0005-0000-0000-00008E390000}"/>
    <cellStyle name="40 % - Aksentti6 3 2 2 2 2" xfId="8419" xr:uid="{00000000-0005-0000-0000-00008F390000}"/>
    <cellStyle name="40 % - Aksentti6 3 2 2 2 2 2" xfId="12298" xr:uid="{00000000-0005-0000-0000-000090390000}"/>
    <cellStyle name="40 % - Aksentti6 3 2 2 2 2 3" xfId="20048" xr:uid="{00000000-0005-0000-0000-000091390000}"/>
    <cellStyle name="40 % - Aksentti6 3 2 2 2 2_DataIX" xfId="31505" xr:uid="{00000000-0005-0000-0000-000092390000}"/>
    <cellStyle name="40 % - Aksentti6 3 2 2 2 3" xfId="16608" xr:uid="{00000000-0005-0000-0000-000093390000}"/>
    <cellStyle name="40 % - Aksentti6 3 2 2 2_060617_hinnat" xfId="24605" xr:uid="{00000000-0005-0000-0000-000094390000}"/>
    <cellStyle name="40 % - Aksentti6 3 2 2 3" xfId="8418" xr:uid="{00000000-0005-0000-0000-000095390000}"/>
    <cellStyle name="40 % - Aksentti6 3 2 2 3 2" xfId="12299" xr:uid="{00000000-0005-0000-0000-000096390000}"/>
    <cellStyle name="40 % - Aksentti6 3 2 2 3 3" xfId="20047" xr:uid="{00000000-0005-0000-0000-000097390000}"/>
    <cellStyle name="40 % - Aksentti6 3 2 2 3_DataIX" xfId="31506" xr:uid="{00000000-0005-0000-0000-000098390000}"/>
    <cellStyle name="40 % - Aksentti6 3 2 2 4" xfId="16607" xr:uid="{00000000-0005-0000-0000-000099390000}"/>
    <cellStyle name="40 % - Aksentti6 3 2 2_060617_hinnat" xfId="24606" xr:uid="{00000000-0005-0000-0000-00009A390000}"/>
    <cellStyle name="40 % - Aksentti6 3 2 3" xfId="3089" xr:uid="{00000000-0005-0000-0000-00009B390000}"/>
    <cellStyle name="40 % - Aksentti6 3 2 3 2" xfId="8420" xr:uid="{00000000-0005-0000-0000-00009C390000}"/>
    <cellStyle name="40 % - Aksentti6 3 2 3 2 2" xfId="12300" xr:uid="{00000000-0005-0000-0000-00009D390000}"/>
    <cellStyle name="40 % - Aksentti6 3 2 3 2 3" xfId="20049" xr:uid="{00000000-0005-0000-0000-00009E390000}"/>
    <cellStyle name="40 % - Aksentti6 3 2 3 2_DataIX" xfId="31507" xr:uid="{00000000-0005-0000-0000-00009F390000}"/>
    <cellStyle name="40 % - Aksentti6 3 2 3 3" xfId="16609" xr:uid="{00000000-0005-0000-0000-0000A0390000}"/>
    <cellStyle name="40 % - Aksentti6 3 2 3_060617_hinnat" xfId="24607" xr:uid="{00000000-0005-0000-0000-0000A1390000}"/>
    <cellStyle name="40 % - Aksentti6 3 2 4" xfId="3090" xr:uid="{00000000-0005-0000-0000-0000A2390000}"/>
    <cellStyle name="40 % - Aksentti6 3 2 4 2" xfId="8421" xr:uid="{00000000-0005-0000-0000-0000A3390000}"/>
    <cellStyle name="40 % - Aksentti6 3 2 4 2 2" xfId="12301" xr:uid="{00000000-0005-0000-0000-0000A4390000}"/>
    <cellStyle name="40 % - Aksentti6 3 2 4 2 3" xfId="20050" xr:uid="{00000000-0005-0000-0000-0000A5390000}"/>
    <cellStyle name="40 % - Aksentti6 3 2 4 2_DataIX" xfId="31508" xr:uid="{00000000-0005-0000-0000-0000A6390000}"/>
    <cellStyle name="40 % - Aksentti6 3 2 4 3" xfId="16610" xr:uid="{00000000-0005-0000-0000-0000A7390000}"/>
    <cellStyle name="40 % - Aksentti6 3 2 4_060617_hinnat" xfId="24608" xr:uid="{00000000-0005-0000-0000-0000A8390000}"/>
    <cellStyle name="40 % - Aksentti6 3 2 5" xfId="3091" xr:uid="{00000000-0005-0000-0000-0000A9390000}"/>
    <cellStyle name="40 % - Aksentti6 3 2 5 2" xfId="8422" xr:uid="{00000000-0005-0000-0000-0000AA390000}"/>
    <cellStyle name="40 % - Aksentti6 3 2 5 2 2" xfId="12302" xr:uid="{00000000-0005-0000-0000-0000AB390000}"/>
    <cellStyle name="40 % - Aksentti6 3 2 5 2 3" xfId="20051" xr:uid="{00000000-0005-0000-0000-0000AC390000}"/>
    <cellStyle name="40 % - Aksentti6 3 2 5 2_DataIX" xfId="31509" xr:uid="{00000000-0005-0000-0000-0000AD390000}"/>
    <cellStyle name="40 % - Aksentti6 3 2 5 3" xfId="16611" xr:uid="{00000000-0005-0000-0000-0000AE390000}"/>
    <cellStyle name="40 % - Aksentti6 3 2 5_060617_hinnat" xfId="24609" xr:uid="{00000000-0005-0000-0000-0000AF390000}"/>
    <cellStyle name="40 % - Aksentti6 3 2 6" xfId="3092" xr:uid="{00000000-0005-0000-0000-0000B0390000}"/>
    <cellStyle name="40 % - Aksentti6 3 2 6 2" xfId="8423" xr:uid="{00000000-0005-0000-0000-0000B1390000}"/>
    <cellStyle name="40 % - Aksentti6 3 2 6 2 2" xfId="12303" xr:uid="{00000000-0005-0000-0000-0000B2390000}"/>
    <cellStyle name="40 % - Aksentti6 3 2 6 2 3" xfId="20052" xr:uid="{00000000-0005-0000-0000-0000B3390000}"/>
    <cellStyle name="40 % - Aksentti6 3 2 6 2_DataIX" xfId="31510" xr:uid="{00000000-0005-0000-0000-0000B4390000}"/>
    <cellStyle name="40 % - Aksentti6 3 2 6 3" xfId="16612" xr:uid="{00000000-0005-0000-0000-0000B5390000}"/>
    <cellStyle name="40 % - Aksentti6 3 2 6_060617_hinnat" xfId="24610" xr:uid="{00000000-0005-0000-0000-0000B6390000}"/>
    <cellStyle name="40 % - Aksentti6 3 2 7" xfId="3093" xr:uid="{00000000-0005-0000-0000-0000B7390000}"/>
    <cellStyle name="40 % - Aksentti6 3 2 7 2" xfId="8424" xr:uid="{00000000-0005-0000-0000-0000B8390000}"/>
    <cellStyle name="40 % - Aksentti6 3 2 7 2 2" xfId="12304" xr:uid="{00000000-0005-0000-0000-0000B9390000}"/>
    <cellStyle name="40 % - Aksentti6 3 2 7 2 3" xfId="20053" xr:uid="{00000000-0005-0000-0000-0000BA390000}"/>
    <cellStyle name="40 % - Aksentti6 3 2 7 2_DataIX" xfId="31511" xr:uid="{00000000-0005-0000-0000-0000BB390000}"/>
    <cellStyle name="40 % - Aksentti6 3 2 7 3" xfId="16613" xr:uid="{00000000-0005-0000-0000-0000BC390000}"/>
    <cellStyle name="40 % - Aksentti6 3 2 7_060617_hinnat" xfId="24611" xr:uid="{00000000-0005-0000-0000-0000BD390000}"/>
    <cellStyle name="40 % - Aksentti6 3 2 8" xfId="3094" xr:uid="{00000000-0005-0000-0000-0000BE390000}"/>
    <cellStyle name="40 % - Aksentti6 3 2 8 2" xfId="8425" xr:uid="{00000000-0005-0000-0000-0000BF390000}"/>
    <cellStyle name="40 % - Aksentti6 3 2 8 2 2" xfId="12305" xr:uid="{00000000-0005-0000-0000-0000C0390000}"/>
    <cellStyle name="40 % - Aksentti6 3 2 8 2 3" xfId="20054" xr:uid="{00000000-0005-0000-0000-0000C1390000}"/>
    <cellStyle name="40 % - Aksentti6 3 2 8 2_DataIX" xfId="31512" xr:uid="{00000000-0005-0000-0000-0000C2390000}"/>
    <cellStyle name="40 % - Aksentti6 3 2 8 3" xfId="16614" xr:uid="{00000000-0005-0000-0000-0000C3390000}"/>
    <cellStyle name="40 % - Aksentti6 3 2 8_060617_hinnat" xfId="24612" xr:uid="{00000000-0005-0000-0000-0000C4390000}"/>
    <cellStyle name="40 % - Aksentti6 3 2 9" xfId="3095" xr:uid="{00000000-0005-0000-0000-0000C5390000}"/>
    <cellStyle name="40 % - Aksentti6 3 2 9 2" xfId="8426" xr:uid="{00000000-0005-0000-0000-0000C6390000}"/>
    <cellStyle name="40 % - Aksentti6 3 2 9 2 2" xfId="12306" xr:uid="{00000000-0005-0000-0000-0000C7390000}"/>
    <cellStyle name="40 % - Aksentti6 3 2 9 2 3" xfId="20055" xr:uid="{00000000-0005-0000-0000-0000C8390000}"/>
    <cellStyle name="40 % - Aksentti6 3 2 9 2_DataIX" xfId="31513" xr:uid="{00000000-0005-0000-0000-0000C9390000}"/>
    <cellStyle name="40 % - Aksentti6 3 2 9 3" xfId="16615" xr:uid="{00000000-0005-0000-0000-0000CA390000}"/>
    <cellStyle name="40 % - Aksentti6 3 2 9_060617_hinnat" xfId="24613" xr:uid="{00000000-0005-0000-0000-0000CB390000}"/>
    <cellStyle name="40 % - Aksentti6 3 2_060617_hinnat" xfId="24614" xr:uid="{00000000-0005-0000-0000-0000CC390000}"/>
    <cellStyle name="40 % - Aksentti6 3 3" xfId="3096" xr:uid="{00000000-0005-0000-0000-0000CD390000}"/>
    <cellStyle name="40 % - Aksentti6 3 3 2" xfId="3097" xr:uid="{00000000-0005-0000-0000-0000CE390000}"/>
    <cellStyle name="40 % - Aksentti6 3 3 2 2" xfId="3098" xr:uid="{00000000-0005-0000-0000-0000CF390000}"/>
    <cellStyle name="40 % - Aksentti6 3 3 2 2 2" xfId="8429" xr:uid="{00000000-0005-0000-0000-0000D0390000}"/>
    <cellStyle name="40 % - Aksentti6 3 3 2 2 2 2" xfId="12307" xr:uid="{00000000-0005-0000-0000-0000D1390000}"/>
    <cellStyle name="40 % - Aksentti6 3 3 2 2 2 3" xfId="20058" xr:uid="{00000000-0005-0000-0000-0000D2390000}"/>
    <cellStyle name="40 % - Aksentti6 3 3 2 2 2_DataIX" xfId="31514" xr:uid="{00000000-0005-0000-0000-0000D3390000}"/>
    <cellStyle name="40 % - Aksentti6 3 3 2 2 3" xfId="16618" xr:uid="{00000000-0005-0000-0000-0000D4390000}"/>
    <cellStyle name="40 % - Aksentti6 3 3 2 2_060617_hinnat" xfId="24615" xr:uid="{00000000-0005-0000-0000-0000D5390000}"/>
    <cellStyle name="40 % - Aksentti6 3 3 2 3" xfId="8428" xr:uid="{00000000-0005-0000-0000-0000D6390000}"/>
    <cellStyle name="40 % - Aksentti6 3 3 2 3 2" xfId="12308" xr:uid="{00000000-0005-0000-0000-0000D7390000}"/>
    <cellStyle name="40 % - Aksentti6 3 3 2 3 3" xfId="20057" xr:uid="{00000000-0005-0000-0000-0000D8390000}"/>
    <cellStyle name="40 % - Aksentti6 3 3 2 3_DataIX" xfId="31515" xr:uid="{00000000-0005-0000-0000-0000D9390000}"/>
    <cellStyle name="40 % - Aksentti6 3 3 2 4" xfId="16617" xr:uid="{00000000-0005-0000-0000-0000DA390000}"/>
    <cellStyle name="40 % - Aksentti6 3 3 2_060617_hinnat" xfId="24616" xr:uid="{00000000-0005-0000-0000-0000DB390000}"/>
    <cellStyle name="40 % - Aksentti6 3 3 3" xfId="3099" xr:uid="{00000000-0005-0000-0000-0000DC390000}"/>
    <cellStyle name="40 % - Aksentti6 3 3 3 2" xfId="8430" xr:uid="{00000000-0005-0000-0000-0000DD390000}"/>
    <cellStyle name="40 % - Aksentti6 3 3 3 2 2" xfId="12309" xr:uid="{00000000-0005-0000-0000-0000DE390000}"/>
    <cellStyle name="40 % - Aksentti6 3 3 3 2 3" xfId="20059" xr:uid="{00000000-0005-0000-0000-0000DF390000}"/>
    <cellStyle name="40 % - Aksentti6 3 3 3 2_DataIX" xfId="31516" xr:uid="{00000000-0005-0000-0000-0000E0390000}"/>
    <cellStyle name="40 % - Aksentti6 3 3 3 3" xfId="16619" xr:uid="{00000000-0005-0000-0000-0000E1390000}"/>
    <cellStyle name="40 % - Aksentti6 3 3 3_060617_hinnat" xfId="24617" xr:uid="{00000000-0005-0000-0000-0000E2390000}"/>
    <cellStyle name="40 % - Aksentti6 3 3 4" xfId="8427" xr:uid="{00000000-0005-0000-0000-0000E3390000}"/>
    <cellStyle name="40 % - Aksentti6 3 3 4 2" xfId="12310" xr:uid="{00000000-0005-0000-0000-0000E4390000}"/>
    <cellStyle name="40 % - Aksentti6 3 3 4 3" xfId="20056" xr:uid="{00000000-0005-0000-0000-0000E5390000}"/>
    <cellStyle name="40 % - Aksentti6 3 3 4_DataIX" xfId="31517" xr:uid="{00000000-0005-0000-0000-0000E6390000}"/>
    <cellStyle name="40 % - Aksentti6 3 3 5" xfId="16616" xr:uid="{00000000-0005-0000-0000-0000E7390000}"/>
    <cellStyle name="40 % - Aksentti6 3 3_060617_hinnat" xfId="24618" xr:uid="{00000000-0005-0000-0000-0000E8390000}"/>
    <cellStyle name="40 % - Aksentti6 3 4" xfId="3100" xr:uid="{00000000-0005-0000-0000-0000E9390000}"/>
    <cellStyle name="40 % - Aksentti6 3 4 2" xfId="3101" xr:uid="{00000000-0005-0000-0000-0000EA390000}"/>
    <cellStyle name="40 % - Aksentti6 3 4 2 2" xfId="3102" xr:uid="{00000000-0005-0000-0000-0000EB390000}"/>
    <cellStyle name="40 % - Aksentti6 3 4 2 2 2" xfId="8433" xr:uid="{00000000-0005-0000-0000-0000EC390000}"/>
    <cellStyle name="40 % - Aksentti6 3 4 2 2 2 2" xfId="12311" xr:uid="{00000000-0005-0000-0000-0000ED390000}"/>
    <cellStyle name="40 % - Aksentti6 3 4 2 2 2 3" xfId="20062" xr:uid="{00000000-0005-0000-0000-0000EE390000}"/>
    <cellStyle name="40 % - Aksentti6 3 4 2 2 2_DataIX" xfId="31518" xr:uid="{00000000-0005-0000-0000-0000EF390000}"/>
    <cellStyle name="40 % - Aksentti6 3 4 2 2 3" xfId="16622" xr:uid="{00000000-0005-0000-0000-0000F0390000}"/>
    <cellStyle name="40 % - Aksentti6 3 4 2 2_060617_hinnat" xfId="24619" xr:uid="{00000000-0005-0000-0000-0000F1390000}"/>
    <cellStyle name="40 % - Aksentti6 3 4 2 3" xfId="8432" xr:uid="{00000000-0005-0000-0000-0000F2390000}"/>
    <cellStyle name="40 % - Aksentti6 3 4 2 3 2" xfId="12312" xr:uid="{00000000-0005-0000-0000-0000F3390000}"/>
    <cellStyle name="40 % - Aksentti6 3 4 2 3 3" xfId="20061" xr:uid="{00000000-0005-0000-0000-0000F4390000}"/>
    <cellStyle name="40 % - Aksentti6 3 4 2 3_DataIX" xfId="31519" xr:uid="{00000000-0005-0000-0000-0000F5390000}"/>
    <cellStyle name="40 % - Aksentti6 3 4 2 4" xfId="16621" xr:uid="{00000000-0005-0000-0000-0000F6390000}"/>
    <cellStyle name="40 % - Aksentti6 3 4 2_060617_hinnat" xfId="24620" xr:uid="{00000000-0005-0000-0000-0000F7390000}"/>
    <cellStyle name="40 % - Aksentti6 3 4 3" xfId="3103" xr:uid="{00000000-0005-0000-0000-0000F8390000}"/>
    <cellStyle name="40 % - Aksentti6 3 4 3 2" xfId="8434" xr:uid="{00000000-0005-0000-0000-0000F9390000}"/>
    <cellStyle name="40 % - Aksentti6 3 4 3 2 2" xfId="12313" xr:uid="{00000000-0005-0000-0000-0000FA390000}"/>
    <cellStyle name="40 % - Aksentti6 3 4 3 2 3" xfId="20063" xr:uid="{00000000-0005-0000-0000-0000FB390000}"/>
    <cellStyle name="40 % - Aksentti6 3 4 3 2_DataIX" xfId="31520" xr:uid="{00000000-0005-0000-0000-0000FC390000}"/>
    <cellStyle name="40 % - Aksentti6 3 4 3 3" xfId="16623" xr:uid="{00000000-0005-0000-0000-0000FD390000}"/>
    <cellStyle name="40 % - Aksentti6 3 4 3_060617_hinnat" xfId="24621" xr:uid="{00000000-0005-0000-0000-0000FE390000}"/>
    <cellStyle name="40 % - Aksentti6 3 4 4" xfId="8431" xr:uid="{00000000-0005-0000-0000-0000FF390000}"/>
    <cellStyle name="40 % - Aksentti6 3 4 4 2" xfId="12314" xr:uid="{00000000-0005-0000-0000-0000003A0000}"/>
    <cellStyle name="40 % - Aksentti6 3 4 4 3" xfId="20060" xr:uid="{00000000-0005-0000-0000-0000013A0000}"/>
    <cellStyle name="40 % - Aksentti6 3 4 4_DataIX" xfId="31521" xr:uid="{00000000-0005-0000-0000-0000023A0000}"/>
    <cellStyle name="40 % - Aksentti6 3 4 5" xfId="16620" xr:uid="{00000000-0005-0000-0000-0000033A0000}"/>
    <cellStyle name="40 % - Aksentti6 3 4_060617_hinnat" xfId="24622" xr:uid="{00000000-0005-0000-0000-0000043A0000}"/>
    <cellStyle name="40 % - Aksentti6 3 5" xfId="3104" xr:uid="{00000000-0005-0000-0000-0000053A0000}"/>
    <cellStyle name="40 % - Aksentti6 3 5 2" xfId="3105" xr:uid="{00000000-0005-0000-0000-0000063A0000}"/>
    <cellStyle name="40 % - Aksentti6 3 5 2 2" xfId="8436" xr:uid="{00000000-0005-0000-0000-0000073A0000}"/>
    <cellStyle name="40 % - Aksentti6 3 5 2 2 2" xfId="12315" xr:uid="{00000000-0005-0000-0000-0000083A0000}"/>
    <cellStyle name="40 % - Aksentti6 3 5 2 2 3" xfId="20065" xr:uid="{00000000-0005-0000-0000-0000093A0000}"/>
    <cellStyle name="40 % - Aksentti6 3 5 2 2_DataIX" xfId="31522" xr:uid="{00000000-0005-0000-0000-00000A3A0000}"/>
    <cellStyle name="40 % - Aksentti6 3 5 2 3" xfId="16625" xr:uid="{00000000-0005-0000-0000-00000B3A0000}"/>
    <cellStyle name="40 % - Aksentti6 3 5 2_060617_hinnat" xfId="24623" xr:uid="{00000000-0005-0000-0000-00000C3A0000}"/>
    <cellStyle name="40 % - Aksentti6 3 5 3" xfId="8435" xr:uid="{00000000-0005-0000-0000-00000D3A0000}"/>
    <cellStyle name="40 % - Aksentti6 3 5 3 2" xfId="12316" xr:uid="{00000000-0005-0000-0000-00000E3A0000}"/>
    <cellStyle name="40 % - Aksentti6 3 5 3 3" xfId="20064" xr:uid="{00000000-0005-0000-0000-00000F3A0000}"/>
    <cellStyle name="40 % - Aksentti6 3 5 3_DataIX" xfId="31523" xr:uid="{00000000-0005-0000-0000-0000103A0000}"/>
    <cellStyle name="40 % - Aksentti6 3 5 4" xfId="16624" xr:uid="{00000000-0005-0000-0000-0000113A0000}"/>
    <cellStyle name="40 % - Aksentti6 3 5_060617_hinnat" xfId="24624" xr:uid="{00000000-0005-0000-0000-0000123A0000}"/>
    <cellStyle name="40 % - Aksentti6 3 6" xfId="3106" xr:uid="{00000000-0005-0000-0000-0000133A0000}"/>
    <cellStyle name="40 % - Aksentti6 3 6 2" xfId="8437" xr:uid="{00000000-0005-0000-0000-0000143A0000}"/>
    <cellStyle name="40 % - Aksentti6 3 6 2 2" xfId="12317" xr:uid="{00000000-0005-0000-0000-0000153A0000}"/>
    <cellStyle name="40 % - Aksentti6 3 6 2 3" xfId="20066" xr:uid="{00000000-0005-0000-0000-0000163A0000}"/>
    <cellStyle name="40 % - Aksentti6 3 6 2_DataIX" xfId="31524" xr:uid="{00000000-0005-0000-0000-0000173A0000}"/>
    <cellStyle name="40 % - Aksentti6 3 6 3" xfId="16626" xr:uid="{00000000-0005-0000-0000-0000183A0000}"/>
    <cellStyle name="40 % - Aksentti6 3 6_060617_hinnat" xfId="24625" xr:uid="{00000000-0005-0000-0000-0000193A0000}"/>
    <cellStyle name="40 % - Aksentti6 3 7" xfId="3107" xr:uid="{00000000-0005-0000-0000-00001A3A0000}"/>
    <cellStyle name="40 % - Aksentti6 3 7 2" xfId="8438" xr:uid="{00000000-0005-0000-0000-00001B3A0000}"/>
    <cellStyle name="40 % - Aksentti6 3 7 2 2" xfId="12318" xr:uid="{00000000-0005-0000-0000-00001C3A0000}"/>
    <cellStyle name="40 % - Aksentti6 3 7 2 3" xfId="20067" xr:uid="{00000000-0005-0000-0000-00001D3A0000}"/>
    <cellStyle name="40 % - Aksentti6 3 7 2_DataIX" xfId="31525" xr:uid="{00000000-0005-0000-0000-00001E3A0000}"/>
    <cellStyle name="40 % - Aksentti6 3 7 3" xfId="16627" xr:uid="{00000000-0005-0000-0000-00001F3A0000}"/>
    <cellStyle name="40 % - Aksentti6 3 7_060617_hinnat" xfId="24626" xr:uid="{00000000-0005-0000-0000-0000203A0000}"/>
    <cellStyle name="40 % - Aksentti6 3 8" xfId="3108" xr:uid="{00000000-0005-0000-0000-0000213A0000}"/>
    <cellStyle name="40 % - Aksentti6 3 8 2" xfId="8439" xr:uid="{00000000-0005-0000-0000-0000223A0000}"/>
    <cellStyle name="40 % - Aksentti6 3 8 2 2" xfId="12319" xr:uid="{00000000-0005-0000-0000-0000233A0000}"/>
    <cellStyle name="40 % - Aksentti6 3 8 2 3" xfId="20068" xr:uid="{00000000-0005-0000-0000-0000243A0000}"/>
    <cellStyle name="40 % - Aksentti6 3 8 2_DataIX" xfId="31526" xr:uid="{00000000-0005-0000-0000-0000253A0000}"/>
    <cellStyle name="40 % - Aksentti6 3 8 3" xfId="16628" xr:uid="{00000000-0005-0000-0000-0000263A0000}"/>
    <cellStyle name="40 % - Aksentti6 3 8_060617_hinnat" xfId="24627" xr:uid="{00000000-0005-0000-0000-0000273A0000}"/>
    <cellStyle name="40 % - Aksentti6 3 9" xfId="3109" xr:uid="{00000000-0005-0000-0000-0000283A0000}"/>
    <cellStyle name="40 % - Aksentti6 3 9 2" xfId="8440" xr:uid="{00000000-0005-0000-0000-0000293A0000}"/>
    <cellStyle name="40 % - Aksentti6 3 9 2 2" xfId="12320" xr:uid="{00000000-0005-0000-0000-00002A3A0000}"/>
    <cellStyle name="40 % - Aksentti6 3 9 2 3" xfId="20069" xr:uid="{00000000-0005-0000-0000-00002B3A0000}"/>
    <cellStyle name="40 % - Aksentti6 3 9 2_DataIX" xfId="31527" xr:uid="{00000000-0005-0000-0000-00002C3A0000}"/>
    <cellStyle name="40 % - Aksentti6 3 9 3" xfId="16629" xr:uid="{00000000-0005-0000-0000-00002D3A0000}"/>
    <cellStyle name="40 % - Aksentti6 3 9_060617_hinnat" xfId="24628" xr:uid="{00000000-0005-0000-0000-00002E3A0000}"/>
    <cellStyle name="40 % - Aksentti6 3_060617_hinnat" xfId="24629" xr:uid="{00000000-0005-0000-0000-00002F3A0000}"/>
    <cellStyle name="40 % - Aksentti6 30" xfId="13088" xr:uid="{00000000-0005-0000-0000-0000303A0000}"/>
    <cellStyle name="40 % - Aksentti6 31" xfId="13318" xr:uid="{00000000-0005-0000-0000-0000313A0000}"/>
    <cellStyle name="40 % - Aksentti6 32" xfId="13339" xr:uid="{00000000-0005-0000-0000-0000323A0000}"/>
    <cellStyle name="40 % - Aksentti6 33" xfId="13373" xr:uid="{00000000-0005-0000-0000-0000333A0000}"/>
    <cellStyle name="40 % - Aksentti6 34" xfId="13897" xr:uid="{00000000-0005-0000-0000-0000343A0000}"/>
    <cellStyle name="40 % - Aksentti6 35" xfId="20269" xr:uid="{00000000-0005-0000-0000-0000353A0000}"/>
    <cellStyle name="40 % - Aksentti6 36" xfId="25685" xr:uid="{00000000-0005-0000-0000-0000363A0000}"/>
    <cellStyle name="40 % - Aksentti6 37" xfId="26646" xr:uid="{00000000-0005-0000-0000-0000373A0000}"/>
    <cellStyle name="40 % - Aksentti6 38" xfId="26700" xr:uid="{00000000-0005-0000-0000-0000383A0000}"/>
    <cellStyle name="40 % - Aksentti6 39" xfId="25579" xr:uid="{00000000-0005-0000-0000-0000393A0000}"/>
    <cellStyle name="40 % - Aksentti6 4" xfId="3110" xr:uid="{00000000-0005-0000-0000-00003A3A0000}"/>
    <cellStyle name="40 % - Aksentti6 4 10" xfId="3111" xr:uid="{00000000-0005-0000-0000-00003B3A0000}"/>
    <cellStyle name="40 % - Aksentti6 4 10 2" xfId="8442" xr:uid="{00000000-0005-0000-0000-00003C3A0000}"/>
    <cellStyle name="40 % - Aksentti6 4 10 2 2" xfId="12321" xr:uid="{00000000-0005-0000-0000-00003D3A0000}"/>
    <cellStyle name="40 % - Aksentti6 4 10 2 3" xfId="20070" xr:uid="{00000000-0005-0000-0000-00003E3A0000}"/>
    <cellStyle name="40 % - Aksentti6 4 10 2_DataIX" xfId="31528" xr:uid="{00000000-0005-0000-0000-00003F3A0000}"/>
    <cellStyle name="40 % - Aksentti6 4 10 3" xfId="16631" xr:uid="{00000000-0005-0000-0000-0000403A0000}"/>
    <cellStyle name="40 % - Aksentti6 4 10_060617_hinnat" xfId="24630" xr:uid="{00000000-0005-0000-0000-0000413A0000}"/>
    <cellStyle name="40 % - Aksentti6 4 11" xfId="5520" xr:uid="{00000000-0005-0000-0000-0000423A0000}"/>
    <cellStyle name="40 % - Aksentti6 4 11 2" xfId="12322" xr:uid="{00000000-0005-0000-0000-0000433A0000}"/>
    <cellStyle name="40 % - Aksentti6 4 11 3" xfId="18759" xr:uid="{00000000-0005-0000-0000-0000443A0000}"/>
    <cellStyle name="40 % - Aksentti6 4 11_DataIX" xfId="31529" xr:uid="{00000000-0005-0000-0000-0000453A0000}"/>
    <cellStyle name="40 % - Aksentti6 4 12" xfId="16630" xr:uid="{00000000-0005-0000-0000-0000463A0000}"/>
    <cellStyle name="40 % - Aksentti6 4 2" xfId="3112" xr:uid="{00000000-0005-0000-0000-0000473A0000}"/>
    <cellStyle name="40 % - Aksentti6 4 2 2" xfId="3113" xr:uid="{00000000-0005-0000-0000-0000483A0000}"/>
    <cellStyle name="40 % - Aksentti6 4 2 2 2" xfId="3114" xr:uid="{00000000-0005-0000-0000-0000493A0000}"/>
    <cellStyle name="40 % - Aksentti6 4 2 2 2 2" xfId="8445" xr:uid="{00000000-0005-0000-0000-00004A3A0000}"/>
    <cellStyle name="40 % - Aksentti6 4 2 2 2 2 2" xfId="12323" xr:uid="{00000000-0005-0000-0000-00004B3A0000}"/>
    <cellStyle name="40 % - Aksentti6 4 2 2 2 2 3" xfId="20073" xr:uid="{00000000-0005-0000-0000-00004C3A0000}"/>
    <cellStyle name="40 % - Aksentti6 4 2 2 2 2_DataIX" xfId="31530" xr:uid="{00000000-0005-0000-0000-00004D3A0000}"/>
    <cellStyle name="40 % - Aksentti6 4 2 2 2 3" xfId="16634" xr:uid="{00000000-0005-0000-0000-00004E3A0000}"/>
    <cellStyle name="40 % - Aksentti6 4 2 2 2_060617_hinnat" xfId="24631" xr:uid="{00000000-0005-0000-0000-00004F3A0000}"/>
    <cellStyle name="40 % - Aksentti6 4 2 2 3" xfId="8444" xr:uid="{00000000-0005-0000-0000-0000503A0000}"/>
    <cellStyle name="40 % - Aksentti6 4 2 2 3 2" xfId="12324" xr:uid="{00000000-0005-0000-0000-0000513A0000}"/>
    <cellStyle name="40 % - Aksentti6 4 2 2 3 3" xfId="20072" xr:uid="{00000000-0005-0000-0000-0000523A0000}"/>
    <cellStyle name="40 % - Aksentti6 4 2 2 3_DataIX" xfId="31531" xr:uid="{00000000-0005-0000-0000-0000533A0000}"/>
    <cellStyle name="40 % - Aksentti6 4 2 2 4" xfId="16633" xr:uid="{00000000-0005-0000-0000-0000543A0000}"/>
    <cellStyle name="40 % - Aksentti6 4 2 2_060617_hinnat" xfId="24632" xr:uid="{00000000-0005-0000-0000-0000553A0000}"/>
    <cellStyle name="40 % - Aksentti6 4 2 3" xfId="3115" xr:uid="{00000000-0005-0000-0000-0000563A0000}"/>
    <cellStyle name="40 % - Aksentti6 4 2 3 2" xfId="8446" xr:uid="{00000000-0005-0000-0000-0000573A0000}"/>
    <cellStyle name="40 % - Aksentti6 4 2 3 2 2" xfId="12325" xr:uid="{00000000-0005-0000-0000-0000583A0000}"/>
    <cellStyle name="40 % - Aksentti6 4 2 3 2 3" xfId="20074" xr:uid="{00000000-0005-0000-0000-0000593A0000}"/>
    <cellStyle name="40 % - Aksentti6 4 2 3 2_DataIX" xfId="31532" xr:uid="{00000000-0005-0000-0000-00005A3A0000}"/>
    <cellStyle name="40 % - Aksentti6 4 2 3 3" xfId="16635" xr:uid="{00000000-0005-0000-0000-00005B3A0000}"/>
    <cellStyle name="40 % - Aksentti6 4 2 3_060617_hinnat" xfId="24633" xr:uid="{00000000-0005-0000-0000-00005C3A0000}"/>
    <cellStyle name="40 % - Aksentti6 4 2 4" xfId="8443" xr:uid="{00000000-0005-0000-0000-00005D3A0000}"/>
    <cellStyle name="40 % - Aksentti6 4 2 4 2" xfId="12326" xr:uid="{00000000-0005-0000-0000-00005E3A0000}"/>
    <cellStyle name="40 % - Aksentti6 4 2 4 3" xfId="20071" xr:uid="{00000000-0005-0000-0000-00005F3A0000}"/>
    <cellStyle name="40 % - Aksentti6 4 2 4_DataIX" xfId="31533" xr:uid="{00000000-0005-0000-0000-0000603A0000}"/>
    <cellStyle name="40 % - Aksentti6 4 2 5" xfId="16632" xr:uid="{00000000-0005-0000-0000-0000613A0000}"/>
    <cellStyle name="40 % - Aksentti6 4 2_060617_hinnat" xfId="24634" xr:uid="{00000000-0005-0000-0000-0000623A0000}"/>
    <cellStyle name="40 % - Aksentti6 4 3" xfId="3116" xr:uid="{00000000-0005-0000-0000-0000633A0000}"/>
    <cellStyle name="40 % - Aksentti6 4 3 2" xfId="3117" xr:uid="{00000000-0005-0000-0000-0000643A0000}"/>
    <cellStyle name="40 % - Aksentti6 4 3 2 2" xfId="8448" xr:uid="{00000000-0005-0000-0000-0000653A0000}"/>
    <cellStyle name="40 % - Aksentti6 4 3 2 2 2" xfId="12327" xr:uid="{00000000-0005-0000-0000-0000663A0000}"/>
    <cellStyle name="40 % - Aksentti6 4 3 2 2 3" xfId="20076" xr:uid="{00000000-0005-0000-0000-0000673A0000}"/>
    <cellStyle name="40 % - Aksentti6 4 3 2 2_DataIX" xfId="31534" xr:uid="{00000000-0005-0000-0000-0000683A0000}"/>
    <cellStyle name="40 % - Aksentti6 4 3 2 3" xfId="16637" xr:uid="{00000000-0005-0000-0000-0000693A0000}"/>
    <cellStyle name="40 % - Aksentti6 4 3 2_060617_hinnat" xfId="24635" xr:uid="{00000000-0005-0000-0000-00006A3A0000}"/>
    <cellStyle name="40 % - Aksentti6 4 3 3" xfId="8447" xr:uid="{00000000-0005-0000-0000-00006B3A0000}"/>
    <cellStyle name="40 % - Aksentti6 4 3 3 2" xfId="12328" xr:uid="{00000000-0005-0000-0000-00006C3A0000}"/>
    <cellStyle name="40 % - Aksentti6 4 3 3 3" xfId="20075" xr:uid="{00000000-0005-0000-0000-00006D3A0000}"/>
    <cellStyle name="40 % - Aksentti6 4 3 3_DataIX" xfId="31535" xr:uid="{00000000-0005-0000-0000-00006E3A0000}"/>
    <cellStyle name="40 % - Aksentti6 4 3 4" xfId="16636" xr:uid="{00000000-0005-0000-0000-00006F3A0000}"/>
    <cellStyle name="40 % - Aksentti6 4 3_060617_hinnat" xfId="24636" xr:uid="{00000000-0005-0000-0000-0000703A0000}"/>
    <cellStyle name="40 % - Aksentti6 4 4" xfId="3118" xr:uid="{00000000-0005-0000-0000-0000713A0000}"/>
    <cellStyle name="40 % - Aksentti6 4 4 2" xfId="8449" xr:uid="{00000000-0005-0000-0000-0000723A0000}"/>
    <cellStyle name="40 % - Aksentti6 4 4 2 2" xfId="12329" xr:uid="{00000000-0005-0000-0000-0000733A0000}"/>
    <cellStyle name="40 % - Aksentti6 4 4 2 3" xfId="20077" xr:uid="{00000000-0005-0000-0000-0000743A0000}"/>
    <cellStyle name="40 % - Aksentti6 4 4 2_DataIX" xfId="31536" xr:uid="{00000000-0005-0000-0000-0000753A0000}"/>
    <cellStyle name="40 % - Aksentti6 4 4 3" xfId="16638" xr:uid="{00000000-0005-0000-0000-0000763A0000}"/>
    <cellStyle name="40 % - Aksentti6 4 4_060617_hinnat" xfId="24637" xr:uid="{00000000-0005-0000-0000-0000773A0000}"/>
    <cellStyle name="40 % - Aksentti6 4 5" xfId="3119" xr:uid="{00000000-0005-0000-0000-0000783A0000}"/>
    <cellStyle name="40 % - Aksentti6 4 5 2" xfId="8450" xr:uid="{00000000-0005-0000-0000-0000793A0000}"/>
    <cellStyle name="40 % - Aksentti6 4 5 2 2" xfId="12330" xr:uid="{00000000-0005-0000-0000-00007A3A0000}"/>
    <cellStyle name="40 % - Aksentti6 4 5 2 3" xfId="20078" xr:uid="{00000000-0005-0000-0000-00007B3A0000}"/>
    <cellStyle name="40 % - Aksentti6 4 5 2_DataIX" xfId="31537" xr:uid="{00000000-0005-0000-0000-00007C3A0000}"/>
    <cellStyle name="40 % - Aksentti6 4 5 3" xfId="16639" xr:uid="{00000000-0005-0000-0000-00007D3A0000}"/>
    <cellStyle name="40 % - Aksentti6 4 5_060617_hinnat" xfId="24638" xr:uid="{00000000-0005-0000-0000-00007E3A0000}"/>
    <cellStyle name="40 % - Aksentti6 4 6" xfId="3120" xr:uid="{00000000-0005-0000-0000-00007F3A0000}"/>
    <cellStyle name="40 % - Aksentti6 4 6 2" xfId="8451" xr:uid="{00000000-0005-0000-0000-0000803A0000}"/>
    <cellStyle name="40 % - Aksentti6 4 6 2 2" xfId="12331" xr:uid="{00000000-0005-0000-0000-0000813A0000}"/>
    <cellStyle name="40 % - Aksentti6 4 6 2 3" xfId="20079" xr:uid="{00000000-0005-0000-0000-0000823A0000}"/>
    <cellStyle name="40 % - Aksentti6 4 6 2_DataIX" xfId="31538" xr:uid="{00000000-0005-0000-0000-0000833A0000}"/>
    <cellStyle name="40 % - Aksentti6 4 6 3" xfId="16640" xr:uid="{00000000-0005-0000-0000-0000843A0000}"/>
    <cellStyle name="40 % - Aksentti6 4 6_060617_hinnat" xfId="24639" xr:uid="{00000000-0005-0000-0000-0000853A0000}"/>
    <cellStyle name="40 % - Aksentti6 4 7" xfId="3121" xr:uid="{00000000-0005-0000-0000-0000863A0000}"/>
    <cellStyle name="40 % - Aksentti6 4 7 2" xfId="8452" xr:uid="{00000000-0005-0000-0000-0000873A0000}"/>
    <cellStyle name="40 % - Aksentti6 4 7 2 2" xfId="12332" xr:uid="{00000000-0005-0000-0000-0000883A0000}"/>
    <cellStyle name="40 % - Aksentti6 4 7 2 3" xfId="20080" xr:uid="{00000000-0005-0000-0000-0000893A0000}"/>
    <cellStyle name="40 % - Aksentti6 4 7 2_DataIX" xfId="31539" xr:uid="{00000000-0005-0000-0000-00008A3A0000}"/>
    <cellStyle name="40 % - Aksentti6 4 7 3" xfId="16641" xr:uid="{00000000-0005-0000-0000-00008B3A0000}"/>
    <cellStyle name="40 % - Aksentti6 4 7_060617_hinnat" xfId="24640" xr:uid="{00000000-0005-0000-0000-00008C3A0000}"/>
    <cellStyle name="40 % - Aksentti6 4 8" xfId="3122" xr:uid="{00000000-0005-0000-0000-00008D3A0000}"/>
    <cellStyle name="40 % - Aksentti6 4 8 2" xfId="8453" xr:uid="{00000000-0005-0000-0000-00008E3A0000}"/>
    <cellStyle name="40 % - Aksentti6 4 8 2 2" xfId="12333" xr:uid="{00000000-0005-0000-0000-00008F3A0000}"/>
    <cellStyle name="40 % - Aksentti6 4 8 2 3" xfId="20081" xr:uid="{00000000-0005-0000-0000-0000903A0000}"/>
    <cellStyle name="40 % - Aksentti6 4 8 2_DataIX" xfId="31540" xr:uid="{00000000-0005-0000-0000-0000913A0000}"/>
    <cellStyle name="40 % - Aksentti6 4 8 3" xfId="16642" xr:uid="{00000000-0005-0000-0000-0000923A0000}"/>
    <cellStyle name="40 % - Aksentti6 4 8_060617_hinnat" xfId="24641" xr:uid="{00000000-0005-0000-0000-0000933A0000}"/>
    <cellStyle name="40 % - Aksentti6 4 9" xfId="3123" xr:uid="{00000000-0005-0000-0000-0000943A0000}"/>
    <cellStyle name="40 % - Aksentti6 4 9 2" xfId="8454" xr:uid="{00000000-0005-0000-0000-0000953A0000}"/>
    <cellStyle name="40 % - Aksentti6 4 9 2 2" xfId="12334" xr:uid="{00000000-0005-0000-0000-0000963A0000}"/>
    <cellStyle name="40 % - Aksentti6 4 9 2 3" xfId="20082" xr:uid="{00000000-0005-0000-0000-0000973A0000}"/>
    <cellStyle name="40 % - Aksentti6 4 9 2_DataIX" xfId="31541" xr:uid="{00000000-0005-0000-0000-0000983A0000}"/>
    <cellStyle name="40 % - Aksentti6 4 9 3" xfId="16643" xr:uid="{00000000-0005-0000-0000-0000993A0000}"/>
    <cellStyle name="40 % - Aksentti6 4 9_060617_hinnat" xfId="24642" xr:uid="{00000000-0005-0000-0000-00009A3A0000}"/>
    <cellStyle name="40 % - Aksentti6 4_##Keskeiset" xfId="8441" xr:uid="{00000000-0005-0000-0000-00009B3A0000}"/>
    <cellStyle name="40 % - Aksentti6 40" xfId="25791" xr:uid="{00000000-0005-0000-0000-00009C3A0000}"/>
    <cellStyle name="40 % - Aksentti6 41" xfId="25853" xr:uid="{00000000-0005-0000-0000-00009D3A0000}"/>
    <cellStyle name="40 % - Aksentti6 42" xfId="25981" xr:uid="{00000000-0005-0000-0000-00009E3A0000}"/>
    <cellStyle name="40 % - Aksentti6 43" xfId="26005" xr:uid="{00000000-0005-0000-0000-00009F3A0000}"/>
    <cellStyle name="40 % - Aksentti6 44" xfId="26606" xr:uid="{00000000-0005-0000-0000-0000A03A0000}"/>
    <cellStyle name="40 % - Aksentti6 5" xfId="3124" xr:uid="{00000000-0005-0000-0000-0000A13A0000}"/>
    <cellStyle name="40 % - Aksentti6 5 10" xfId="3125" xr:uid="{00000000-0005-0000-0000-0000A23A0000}"/>
    <cellStyle name="40 % - Aksentti6 5 10 2" xfId="8456" xr:uid="{00000000-0005-0000-0000-0000A33A0000}"/>
    <cellStyle name="40 % - Aksentti6 5 10 2 2" xfId="12335" xr:uid="{00000000-0005-0000-0000-0000A43A0000}"/>
    <cellStyle name="40 % - Aksentti6 5 10 2 3" xfId="20084" xr:uid="{00000000-0005-0000-0000-0000A53A0000}"/>
    <cellStyle name="40 % - Aksentti6 5 10 2_DataIX" xfId="31542" xr:uid="{00000000-0005-0000-0000-0000A63A0000}"/>
    <cellStyle name="40 % - Aksentti6 5 10 3" xfId="16645" xr:uid="{00000000-0005-0000-0000-0000A73A0000}"/>
    <cellStyle name="40 % - Aksentti6 5 10_060617_hinnat" xfId="24643" xr:uid="{00000000-0005-0000-0000-0000A83A0000}"/>
    <cellStyle name="40 % - Aksentti6 5 11" xfId="8455" xr:uid="{00000000-0005-0000-0000-0000A93A0000}"/>
    <cellStyle name="40 % - Aksentti6 5 11 2" xfId="12336" xr:uid="{00000000-0005-0000-0000-0000AA3A0000}"/>
    <cellStyle name="40 % - Aksentti6 5 11 3" xfId="20083" xr:uid="{00000000-0005-0000-0000-0000AB3A0000}"/>
    <cellStyle name="40 % - Aksentti6 5 11_DataIX" xfId="31543" xr:uid="{00000000-0005-0000-0000-0000AC3A0000}"/>
    <cellStyle name="40 % - Aksentti6 5 12" xfId="16644" xr:uid="{00000000-0005-0000-0000-0000AD3A0000}"/>
    <cellStyle name="40 % - Aksentti6 5 2" xfId="3126" xr:uid="{00000000-0005-0000-0000-0000AE3A0000}"/>
    <cellStyle name="40 % - Aksentti6 5 2 2" xfId="3127" xr:uid="{00000000-0005-0000-0000-0000AF3A0000}"/>
    <cellStyle name="40 % - Aksentti6 5 2 2 2" xfId="3128" xr:uid="{00000000-0005-0000-0000-0000B03A0000}"/>
    <cellStyle name="40 % - Aksentti6 5 2 2 2 2" xfId="8459" xr:uid="{00000000-0005-0000-0000-0000B13A0000}"/>
    <cellStyle name="40 % - Aksentti6 5 2 2 2 2 2" xfId="12337" xr:uid="{00000000-0005-0000-0000-0000B23A0000}"/>
    <cellStyle name="40 % - Aksentti6 5 2 2 2 2 3" xfId="20087" xr:uid="{00000000-0005-0000-0000-0000B33A0000}"/>
    <cellStyle name="40 % - Aksentti6 5 2 2 2 2_DataIX" xfId="31544" xr:uid="{00000000-0005-0000-0000-0000B43A0000}"/>
    <cellStyle name="40 % - Aksentti6 5 2 2 2 3" xfId="16648" xr:uid="{00000000-0005-0000-0000-0000B53A0000}"/>
    <cellStyle name="40 % - Aksentti6 5 2 2 2_060617_hinnat" xfId="24644" xr:uid="{00000000-0005-0000-0000-0000B63A0000}"/>
    <cellStyle name="40 % - Aksentti6 5 2 2 3" xfId="8458" xr:uid="{00000000-0005-0000-0000-0000B73A0000}"/>
    <cellStyle name="40 % - Aksentti6 5 2 2 3 2" xfId="12338" xr:uid="{00000000-0005-0000-0000-0000B83A0000}"/>
    <cellStyle name="40 % - Aksentti6 5 2 2 3 3" xfId="20086" xr:uid="{00000000-0005-0000-0000-0000B93A0000}"/>
    <cellStyle name="40 % - Aksentti6 5 2 2 3_DataIX" xfId="31545" xr:uid="{00000000-0005-0000-0000-0000BA3A0000}"/>
    <cellStyle name="40 % - Aksentti6 5 2 2 4" xfId="16647" xr:uid="{00000000-0005-0000-0000-0000BB3A0000}"/>
    <cellStyle name="40 % - Aksentti6 5 2 2_060617_hinnat" xfId="24645" xr:uid="{00000000-0005-0000-0000-0000BC3A0000}"/>
    <cellStyle name="40 % - Aksentti6 5 2 3" xfId="3129" xr:uid="{00000000-0005-0000-0000-0000BD3A0000}"/>
    <cellStyle name="40 % - Aksentti6 5 2 3 2" xfId="8460" xr:uid="{00000000-0005-0000-0000-0000BE3A0000}"/>
    <cellStyle name="40 % - Aksentti6 5 2 3 2 2" xfId="12339" xr:uid="{00000000-0005-0000-0000-0000BF3A0000}"/>
    <cellStyle name="40 % - Aksentti6 5 2 3 2 3" xfId="20088" xr:uid="{00000000-0005-0000-0000-0000C03A0000}"/>
    <cellStyle name="40 % - Aksentti6 5 2 3 2_DataIX" xfId="31546" xr:uid="{00000000-0005-0000-0000-0000C13A0000}"/>
    <cellStyle name="40 % - Aksentti6 5 2 3 3" xfId="16649" xr:uid="{00000000-0005-0000-0000-0000C23A0000}"/>
    <cellStyle name="40 % - Aksentti6 5 2 3_060617_hinnat" xfId="24646" xr:uid="{00000000-0005-0000-0000-0000C33A0000}"/>
    <cellStyle name="40 % - Aksentti6 5 2 4" xfId="8457" xr:uid="{00000000-0005-0000-0000-0000C43A0000}"/>
    <cellStyle name="40 % - Aksentti6 5 2 4 2" xfId="12340" xr:uid="{00000000-0005-0000-0000-0000C53A0000}"/>
    <cellStyle name="40 % - Aksentti6 5 2 4 3" xfId="20085" xr:uid="{00000000-0005-0000-0000-0000C63A0000}"/>
    <cellStyle name="40 % - Aksentti6 5 2 4_DataIX" xfId="31547" xr:uid="{00000000-0005-0000-0000-0000C73A0000}"/>
    <cellStyle name="40 % - Aksentti6 5 2 5" xfId="16646" xr:uid="{00000000-0005-0000-0000-0000C83A0000}"/>
    <cellStyle name="40 % - Aksentti6 5 2_060617_hinnat" xfId="24647" xr:uid="{00000000-0005-0000-0000-0000C93A0000}"/>
    <cellStyle name="40 % - Aksentti6 5 3" xfId="3130" xr:uid="{00000000-0005-0000-0000-0000CA3A0000}"/>
    <cellStyle name="40 % - Aksentti6 5 3 2" xfId="3131" xr:uid="{00000000-0005-0000-0000-0000CB3A0000}"/>
    <cellStyle name="40 % - Aksentti6 5 3 2 2" xfId="8462" xr:uid="{00000000-0005-0000-0000-0000CC3A0000}"/>
    <cellStyle name="40 % - Aksentti6 5 3 2 2 2" xfId="12341" xr:uid="{00000000-0005-0000-0000-0000CD3A0000}"/>
    <cellStyle name="40 % - Aksentti6 5 3 2 2 3" xfId="20090" xr:uid="{00000000-0005-0000-0000-0000CE3A0000}"/>
    <cellStyle name="40 % - Aksentti6 5 3 2 2_DataIX" xfId="31548" xr:uid="{00000000-0005-0000-0000-0000CF3A0000}"/>
    <cellStyle name="40 % - Aksentti6 5 3 2 3" xfId="16651" xr:uid="{00000000-0005-0000-0000-0000D03A0000}"/>
    <cellStyle name="40 % - Aksentti6 5 3 2_060617_hinnat" xfId="24648" xr:uid="{00000000-0005-0000-0000-0000D13A0000}"/>
    <cellStyle name="40 % - Aksentti6 5 3 3" xfId="8461" xr:uid="{00000000-0005-0000-0000-0000D23A0000}"/>
    <cellStyle name="40 % - Aksentti6 5 3 3 2" xfId="12342" xr:uid="{00000000-0005-0000-0000-0000D33A0000}"/>
    <cellStyle name="40 % - Aksentti6 5 3 3 3" xfId="20089" xr:uid="{00000000-0005-0000-0000-0000D43A0000}"/>
    <cellStyle name="40 % - Aksentti6 5 3 3_DataIX" xfId="31549" xr:uid="{00000000-0005-0000-0000-0000D53A0000}"/>
    <cellStyle name="40 % - Aksentti6 5 3 4" xfId="16650" xr:uid="{00000000-0005-0000-0000-0000D63A0000}"/>
    <cellStyle name="40 % - Aksentti6 5 3_060617_hinnat" xfId="24649" xr:uid="{00000000-0005-0000-0000-0000D73A0000}"/>
    <cellStyle name="40 % - Aksentti6 5 4" xfId="3132" xr:uid="{00000000-0005-0000-0000-0000D83A0000}"/>
    <cellStyle name="40 % - Aksentti6 5 4 2" xfId="8463" xr:uid="{00000000-0005-0000-0000-0000D93A0000}"/>
    <cellStyle name="40 % - Aksentti6 5 4 2 2" xfId="12343" xr:uid="{00000000-0005-0000-0000-0000DA3A0000}"/>
    <cellStyle name="40 % - Aksentti6 5 4 2 3" xfId="20091" xr:uid="{00000000-0005-0000-0000-0000DB3A0000}"/>
    <cellStyle name="40 % - Aksentti6 5 4 2_DataIX" xfId="31550" xr:uid="{00000000-0005-0000-0000-0000DC3A0000}"/>
    <cellStyle name="40 % - Aksentti6 5 4 3" xfId="16652" xr:uid="{00000000-0005-0000-0000-0000DD3A0000}"/>
    <cellStyle name="40 % - Aksentti6 5 4_060617_hinnat" xfId="24650" xr:uid="{00000000-0005-0000-0000-0000DE3A0000}"/>
    <cellStyle name="40 % - Aksentti6 5 5" xfId="3133" xr:uid="{00000000-0005-0000-0000-0000DF3A0000}"/>
    <cellStyle name="40 % - Aksentti6 5 5 2" xfId="8464" xr:uid="{00000000-0005-0000-0000-0000E03A0000}"/>
    <cellStyle name="40 % - Aksentti6 5 5 2 2" xfId="12344" xr:uid="{00000000-0005-0000-0000-0000E13A0000}"/>
    <cellStyle name="40 % - Aksentti6 5 5 2 3" xfId="20092" xr:uid="{00000000-0005-0000-0000-0000E23A0000}"/>
    <cellStyle name="40 % - Aksentti6 5 5 2_DataIX" xfId="31551" xr:uid="{00000000-0005-0000-0000-0000E33A0000}"/>
    <cellStyle name="40 % - Aksentti6 5 5 3" xfId="16653" xr:uid="{00000000-0005-0000-0000-0000E43A0000}"/>
    <cellStyle name="40 % - Aksentti6 5 5_060617_hinnat" xfId="24651" xr:uid="{00000000-0005-0000-0000-0000E53A0000}"/>
    <cellStyle name="40 % - Aksentti6 5 6" xfId="3134" xr:uid="{00000000-0005-0000-0000-0000E63A0000}"/>
    <cellStyle name="40 % - Aksentti6 5 6 2" xfId="8465" xr:uid="{00000000-0005-0000-0000-0000E73A0000}"/>
    <cellStyle name="40 % - Aksentti6 5 6 2 2" xfId="12345" xr:uid="{00000000-0005-0000-0000-0000E83A0000}"/>
    <cellStyle name="40 % - Aksentti6 5 6 2 3" xfId="20093" xr:uid="{00000000-0005-0000-0000-0000E93A0000}"/>
    <cellStyle name="40 % - Aksentti6 5 6 2_DataIX" xfId="31552" xr:uid="{00000000-0005-0000-0000-0000EA3A0000}"/>
    <cellStyle name="40 % - Aksentti6 5 6 3" xfId="16654" xr:uid="{00000000-0005-0000-0000-0000EB3A0000}"/>
    <cellStyle name="40 % - Aksentti6 5 6_060617_hinnat" xfId="24652" xr:uid="{00000000-0005-0000-0000-0000EC3A0000}"/>
    <cellStyle name="40 % - Aksentti6 5 7" xfId="3135" xr:uid="{00000000-0005-0000-0000-0000ED3A0000}"/>
    <cellStyle name="40 % - Aksentti6 5 7 2" xfId="8466" xr:uid="{00000000-0005-0000-0000-0000EE3A0000}"/>
    <cellStyle name="40 % - Aksentti6 5 7 2 2" xfId="12346" xr:uid="{00000000-0005-0000-0000-0000EF3A0000}"/>
    <cellStyle name="40 % - Aksentti6 5 7 2 3" xfId="20094" xr:uid="{00000000-0005-0000-0000-0000F03A0000}"/>
    <cellStyle name="40 % - Aksentti6 5 7 2_DataIX" xfId="31553" xr:uid="{00000000-0005-0000-0000-0000F13A0000}"/>
    <cellStyle name="40 % - Aksentti6 5 7 3" xfId="16655" xr:uid="{00000000-0005-0000-0000-0000F23A0000}"/>
    <cellStyle name="40 % - Aksentti6 5 7_060617_hinnat" xfId="24653" xr:uid="{00000000-0005-0000-0000-0000F33A0000}"/>
    <cellStyle name="40 % - Aksentti6 5 8" xfId="3136" xr:uid="{00000000-0005-0000-0000-0000F43A0000}"/>
    <cellStyle name="40 % - Aksentti6 5 8 2" xfId="8467" xr:uid="{00000000-0005-0000-0000-0000F53A0000}"/>
    <cellStyle name="40 % - Aksentti6 5 8 2 2" xfId="12347" xr:uid="{00000000-0005-0000-0000-0000F63A0000}"/>
    <cellStyle name="40 % - Aksentti6 5 8 2 3" xfId="20095" xr:uid="{00000000-0005-0000-0000-0000F73A0000}"/>
    <cellStyle name="40 % - Aksentti6 5 8 2_DataIX" xfId="31554" xr:uid="{00000000-0005-0000-0000-0000F83A0000}"/>
    <cellStyle name="40 % - Aksentti6 5 8 3" xfId="16656" xr:uid="{00000000-0005-0000-0000-0000F93A0000}"/>
    <cellStyle name="40 % - Aksentti6 5 8_060617_hinnat" xfId="24654" xr:uid="{00000000-0005-0000-0000-0000FA3A0000}"/>
    <cellStyle name="40 % - Aksentti6 5 9" xfId="3137" xr:uid="{00000000-0005-0000-0000-0000FB3A0000}"/>
    <cellStyle name="40 % - Aksentti6 5 9 2" xfId="8468" xr:uid="{00000000-0005-0000-0000-0000FC3A0000}"/>
    <cellStyle name="40 % - Aksentti6 5 9 2 2" xfId="12348" xr:uid="{00000000-0005-0000-0000-0000FD3A0000}"/>
    <cellStyle name="40 % - Aksentti6 5 9 2 3" xfId="20096" xr:uid="{00000000-0005-0000-0000-0000FE3A0000}"/>
    <cellStyle name="40 % - Aksentti6 5 9 2_DataIX" xfId="31555" xr:uid="{00000000-0005-0000-0000-0000FF3A0000}"/>
    <cellStyle name="40 % - Aksentti6 5 9 3" xfId="16657" xr:uid="{00000000-0005-0000-0000-0000003B0000}"/>
    <cellStyle name="40 % - Aksentti6 5 9_060617_hinnat" xfId="24655" xr:uid="{00000000-0005-0000-0000-0000013B0000}"/>
    <cellStyle name="40 % - Aksentti6 5_060617_hinnat" xfId="24656" xr:uid="{00000000-0005-0000-0000-0000023B0000}"/>
    <cellStyle name="40 % - Aksentti6 6" xfId="3138" xr:uid="{00000000-0005-0000-0000-0000033B0000}"/>
    <cellStyle name="40 % - Aksentti6 6 10" xfId="3139" xr:uid="{00000000-0005-0000-0000-0000043B0000}"/>
    <cellStyle name="40 % - Aksentti6 6 10 2" xfId="8470" xr:uid="{00000000-0005-0000-0000-0000053B0000}"/>
    <cellStyle name="40 % - Aksentti6 6 10 2 2" xfId="12349" xr:uid="{00000000-0005-0000-0000-0000063B0000}"/>
    <cellStyle name="40 % - Aksentti6 6 10 2 3" xfId="20098" xr:uid="{00000000-0005-0000-0000-0000073B0000}"/>
    <cellStyle name="40 % - Aksentti6 6 10 2_DataIX" xfId="31556" xr:uid="{00000000-0005-0000-0000-0000083B0000}"/>
    <cellStyle name="40 % - Aksentti6 6 10 3" xfId="16659" xr:uid="{00000000-0005-0000-0000-0000093B0000}"/>
    <cellStyle name="40 % - Aksentti6 6 10_060617_hinnat" xfId="24657" xr:uid="{00000000-0005-0000-0000-00000A3B0000}"/>
    <cellStyle name="40 % - Aksentti6 6 11" xfId="8469" xr:uid="{00000000-0005-0000-0000-00000B3B0000}"/>
    <cellStyle name="40 % - Aksentti6 6 11 2" xfId="12350" xr:uid="{00000000-0005-0000-0000-00000C3B0000}"/>
    <cellStyle name="40 % - Aksentti6 6 11 3" xfId="20097" xr:uid="{00000000-0005-0000-0000-00000D3B0000}"/>
    <cellStyle name="40 % - Aksentti6 6 11_DataIX" xfId="31557" xr:uid="{00000000-0005-0000-0000-00000E3B0000}"/>
    <cellStyle name="40 % - Aksentti6 6 12" xfId="16658" xr:uid="{00000000-0005-0000-0000-00000F3B0000}"/>
    <cellStyle name="40 % - Aksentti6 6 2" xfId="3140" xr:uid="{00000000-0005-0000-0000-0000103B0000}"/>
    <cellStyle name="40 % - Aksentti6 6 2 2" xfId="3141" xr:uid="{00000000-0005-0000-0000-0000113B0000}"/>
    <cellStyle name="40 % - Aksentti6 6 2 2 2" xfId="3142" xr:uid="{00000000-0005-0000-0000-0000123B0000}"/>
    <cellStyle name="40 % - Aksentti6 6 2 2 2 2" xfId="8473" xr:uid="{00000000-0005-0000-0000-0000133B0000}"/>
    <cellStyle name="40 % - Aksentti6 6 2 2 2 2 2" xfId="12351" xr:uid="{00000000-0005-0000-0000-0000143B0000}"/>
    <cellStyle name="40 % - Aksentti6 6 2 2 2 2 3" xfId="20101" xr:uid="{00000000-0005-0000-0000-0000153B0000}"/>
    <cellStyle name="40 % - Aksentti6 6 2 2 2 2_DataIX" xfId="31558" xr:uid="{00000000-0005-0000-0000-0000163B0000}"/>
    <cellStyle name="40 % - Aksentti6 6 2 2 2 3" xfId="16662" xr:uid="{00000000-0005-0000-0000-0000173B0000}"/>
    <cellStyle name="40 % - Aksentti6 6 2 2 2_060617_hinnat" xfId="24658" xr:uid="{00000000-0005-0000-0000-0000183B0000}"/>
    <cellStyle name="40 % - Aksentti6 6 2 2 3" xfId="8472" xr:uid="{00000000-0005-0000-0000-0000193B0000}"/>
    <cellStyle name="40 % - Aksentti6 6 2 2 3 2" xfId="12352" xr:uid="{00000000-0005-0000-0000-00001A3B0000}"/>
    <cellStyle name="40 % - Aksentti6 6 2 2 3 3" xfId="20100" xr:uid="{00000000-0005-0000-0000-00001B3B0000}"/>
    <cellStyle name="40 % - Aksentti6 6 2 2 3_DataIX" xfId="31559" xr:uid="{00000000-0005-0000-0000-00001C3B0000}"/>
    <cellStyle name="40 % - Aksentti6 6 2 2 4" xfId="16661" xr:uid="{00000000-0005-0000-0000-00001D3B0000}"/>
    <cellStyle name="40 % - Aksentti6 6 2 2_060617_hinnat" xfId="24659" xr:uid="{00000000-0005-0000-0000-00001E3B0000}"/>
    <cellStyle name="40 % - Aksentti6 6 2 3" xfId="3143" xr:uid="{00000000-0005-0000-0000-00001F3B0000}"/>
    <cellStyle name="40 % - Aksentti6 6 2 3 2" xfId="8474" xr:uid="{00000000-0005-0000-0000-0000203B0000}"/>
    <cellStyle name="40 % - Aksentti6 6 2 3 2 2" xfId="12353" xr:uid="{00000000-0005-0000-0000-0000213B0000}"/>
    <cellStyle name="40 % - Aksentti6 6 2 3 2 3" xfId="20102" xr:uid="{00000000-0005-0000-0000-0000223B0000}"/>
    <cellStyle name="40 % - Aksentti6 6 2 3 2_DataIX" xfId="31560" xr:uid="{00000000-0005-0000-0000-0000233B0000}"/>
    <cellStyle name="40 % - Aksentti6 6 2 3 3" xfId="16663" xr:uid="{00000000-0005-0000-0000-0000243B0000}"/>
    <cellStyle name="40 % - Aksentti6 6 2 3_060617_hinnat" xfId="24660" xr:uid="{00000000-0005-0000-0000-0000253B0000}"/>
    <cellStyle name="40 % - Aksentti6 6 2 4" xfId="8471" xr:uid="{00000000-0005-0000-0000-0000263B0000}"/>
    <cellStyle name="40 % - Aksentti6 6 2 4 2" xfId="12354" xr:uid="{00000000-0005-0000-0000-0000273B0000}"/>
    <cellStyle name="40 % - Aksentti6 6 2 4 3" xfId="20099" xr:uid="{00000000-0005-0000-0000-0000283B0000}"/>
    <cellStyle name="40 % - Aksentti6 6 2 4_DataIX" xfId="31561" xr:uid="{00000000-0005-0000-0000-0000293B0000}"/>
    <cellStyle name="40 % - Aksentti6 6 2 5" xfId="16660" xr:uid="{00000000-0005-0000-0000-00002A3B0000}"/>
    <cellStyle name="40 % - Aksentti6 6 2_060617_hinnat" xfId="24661" xr:uid="{00000000-0005-0000-0000-00002B3B0000}"/>
    <cellStyle name="40 % - Aksentti6 6 3" xfId="3144" xr:uid="{00000000-0005-0000-0000-00002C3B0000}"/>
    <cellStyle name="40 % - Aksentti6 6 3 2" xfId="3145" xr:uid="{00000000-0005-0000-0000-00002D3B0000}"/>
    <cellStyle name="40 % - Aksentti6 6 3 2 2" xfId="8476" xr:uid="{00000000-0005-0000-0000-00002E3B0000}"/>
    <cellStyle name="40 % - Aksentti6 6 3 2 2 2" xfId="12355" xr:uid="{00000000-0005-0000-0000-00002F3B0000}"/>
    <cellStyle name="40 % - Aksentti6 6 3 2 2 3" xfId="20104" xr:uid="{00000000-0005-0000-0000-0000303B0000}"/>
    <cellStyle name="40 % - Aksentti6 6 3 2 2_DataIX" xfId="31562" xr:uid="{00000000-0005-0000-0000-0000313B0000}"/>
    <cellStyle name="40 % - Aksentti6 6 3 2 3" xfId="16665" xr:uid="{00000000-0005-0000-0000-0000323B0000}"/>
    <cellStyle name="40 % - Aksentti6 6 3 2_060617_hinnat" xfId="24662" xr:uid="{00000000-0005-0000-0000-0000333B0000}"/>
    <cellStyle name="40 % - Aksentti6 6 3 3" xfId="8475" xr:uid="{00000000-0005-0000-0000-0000343B0000}"/>
    <cellStyle name="40 % - Aksentti6 6 3 3 2" xfId="12356" xr:uid="{00000000-0005-0000-0000-0000353B0000}"/>
    <cellStyle name="40 % - Aksentti6 6 3 3 3" xfId="20103" xr:uid="{00000000-0005-0000-0000-0000363B0000}"/>
    <cellStyle name="40 % - Aksentti6 6 3 3_DataIX" xfId="31563" xr:uid="{00000000-0005-0000-0000-0000373B0000}"/>
    <cellStyle name="40 % - Aksentti6 6 3 4" xfId="16664" xr:uid="{00000000-0005-0000-0000-0000383B0000}"/>
    <cellStyle name="40 % - Aksentti6 6 3_060617_hinnat" xfId="24663" xr:uid="{00000000-0005-0000-0000-0000393B0000}"/>
    <cellStyle name="40 % - Aksentti6 6 4" xfId="3146" xr:uid="{00000000-0005-0000-0000-00003A3B0000}"/>
    <cellStyle name="40 % - Aksentti6 6 4 2" xfId="8477" xr:uid="{00000000-0005-0000-0000-00003B3B0000}"/>
    <cellStyle name="40 % - Aksentti6 6 4 2 2" xfId="12357" xr:uid="{00000000-0005-0000-0000-00003C3B0000}"/>
    <cellStyle name="40 % - Aksentti6 6 4 2 3" xfId="20105" xr:uid="{00000000-0005-0000-0000-00003D3B0000}"/>
    <cellStyle name="40 % - Aksentti6 6 4 2_DataIX" xfId="31564" xr:uid="{00000000-0005-0000-0000-00003E3B0000}"/>
    <cellStyle name="40 % - Aksentti6 6 4 3" xfId="16666" xr:uid="{00000000-0005-0000-0000-00003F3B0000}"/>
    <cellStyle name="40 % - Aksentti6 6 4_060617_hinnat" xfId="24664" xr:uid="{00000000-0005-0000-0000-0000403B0000}"/>
    <cellStyle name="40 % - Aksentti6 6 5" xfId="3147" xr:uid="{00000000-0005-0000-0000-0000413B0000}"/>
    <cellStyle name="40 % - Aksentti6 6 5 2" xfId="8478" xr:uid="{00000000-0005-0000-0000-0000423B0000}"/>
    <cellStyle name="40 % - Aksentti6 6 5 2 2" xfId="12358" xr:uid="{00000000-0005-0000-0000-0000433B0000}"/>
    <cellStyle name="40 % - Aksentti6 6 5 2 3" xfId="20106" xr:uid="{00000000-0005-0000-0000-0000443B0000}"/>
    <cellStyle name="40 % - Aksentti6 6 5 2_DataIX" xfId="31565" xr:uid="{00000000-0005-0000-0000-0000453B0000}"/>
    <cellStyle name="40 % - Aksentti6 6 5 3" xfId="16667" xr:uid="{00000000-0005-0000-0000-0000463B0000}"/>
    <cellStyle name="40 % - Aksentti6 6 5_060617_hinnat" xfId="24665" xr:uid="{00000000-0005-0000-0000-0000473B0000}"/>
    <cellStyle name="40 % - Aksentti6 6 6" xfId="3148" xr:uid="{00000000-0005-0000-0000-0000483B0000}"/>
    <cellStyle name="40 % - Aksentti6 6 6 2" xfId="8479" xr:uid="{00000000-0005-0000-0000-0000493B0000}"/>
    <cellStyle name="40 % - Aksentti6 6 6 2 2" xfId="12359" xr:uid="{00000000-0005-0000-0000-00004A3B0000}"/>
    <cellStyle name="40 % - Aksentti6 6 6 2 3" xfId="20107" xr:uid="{00000000-0005-0000-0000-00004B3B0000}"/>
    <cellStyle name="40 % - Aksentti6 6 6 2_DataIX" xfId="31566" xr:uid="{00000000-0005-0000-0000-00004C3B0000}"/>
    <cellStyle name="40 % - Aksentti6 6 6 3" xfId="16668" xr:uid="{00000000-0005-0000-0000-00004D3B0000}"/>
    <cellStyle name="40 % - Aksentti6 6 6_060617_hinnat" xfId="24666" xr:uid="{00000000-0005-0000-0000-00004E3B0000}"/>
    <cellStyle name="40 % - Aksentti6 6 7" xfId="3149" xr:uid="{00000000-0005-0000-0000-00004F3B0000}"/>
    <cellStyle name="40 % - Aksentti6 6 7 2" xfId="8480" xr:uid="{00000000-0005-0000-0000-0000503B0000}"/>
    <cellStyle name="40 % - Aksentti6 6 7 2 2" xfId="12360" xr:uid="{00000000-0005-0000-0000-0000513B0000}"/>
    <cellStyle name="40 % - Aksentti6 6 7 2 3" xfId="20108" xr:uid="{00000000-0005-0000-0000-0000523B0000}"/>
    <cellStyle name="40 % - Aksentti6 6 7 2_DataIX" xfId="31567" xr:uid="{00000000-0005-0000-0000-0000533B0000}"/>
    <cellStyle name="40 % - Aksentti6 6 7 3" xfId="16669" xr:uid="{00000000-0005-0000-0000-0000543B0000}"/>
    <cellStyle name="40 % - Aksentti6 6 7_060617_hinnat" xfId="24667" xr:uid="{00000000-0005-0000-0000-0000553B0000}"/>
    <cellStyle name="40 % - Aksentti6 6 8" xfId="3150" xr:uid="{00000000-0005-0000-0000-0000563B0000}"/>
    <cellStyle name="40 % - Aksentti6 6 8 2" xfId="8481" xr:uid="{00000000-0005-0000-0000-0000573B0000}"/>
    <cellStyle name="40 % - Aksentti6 6 8 2 2" xfId="12361" xr:uid="{00000000-0005-0000-0000-0000583B0000}"/>
    <cellStyle name="40 % - Aksentti6 6 8 2 3" xfId="20109" xr:uid="{00000000-0005-0000-0000-0000593B0000}"/>
    <cellStyle name="40 % - Aksentti6 6 8 2_DataIX" xfId="31568" xr:uid="{00000000-0005-0000-0000-00005A3B0000}"/>
    <cellStyle name="40 % - Aksentti6 6 8 3" xfId="16670" xr:uid="{00000000-0005-0000-0000-00005B3B0000}"/>
    <cellStyle name="40 % - Aksentti6 6 8_060617_hinnat" xfId="24668" xr:uid="{00000000-0005-0000-0000-00005C3B0000}"/>
    <cellStyle name="40 % - Aksentti6 6 9" xfId="3151" xr:uid="{00000000-0005-0000-0000-00005D3B0000}"/>
    <cellStyle name="40 % - Aksentti6 6 9 2" xfId="8482" xr:uid="{00000000-0005-0000-0000-00005E3B0000}"/>
    <cellStyle name="40 % - Aksentti6 6 9 2 2" xfId="12362" xr:uid="{00000000-0005-0000-0000-00005F3B0000}"/>
    <cellStyle name="40 % - Aksentti6 6 9 2 3" xfId="20110" xr:uid="{00000000-0005-0000-0000-0000603B0000}"/>
    <cellStyle name="40 % - Aksentti6 6 9 2_DataIX" xfId="31569" xr:uid="{00000000-0005-0000-0000-0000613B0000}"/>
    <cellStyle name="40 % - Aksentti6 6 9 3" xfId="16671" xr:uid="{00000000-0005-0000-0000-0000623B0000}"/>
    <cellStyle name="40 % - Aksentti6 6 9_060617_hinnat" xfId="24669" xr:uid="{00000000-0005-0000-0000-0000633B0000}"/>
    <cellStyle name="40 % - Aksentti6 6_060617_hinnat" xfId="24670" xr:uid="{00000000-0005-0000-0000-0000643B0000}"/>
    <cellStyle name="40 % - Aksentti6 7" xfId="3152" xr:uid="{00000000-0005-0000-0000-0000653B0000}"/>
    <cellStyle name="40 % - Aksentti6 7 10" xfId="3153" xr:uid="{00000000-0005-0000-0000-0000663B0000}"/>
    <cellStyle name="40 % - Aksentti6 7 10 2" xfId="8484" xr:uid="{00000000-0005-0000-0000-0000673B0000}"/>
    <cellStyle name="40 % - Aksentti6 7 10 2 2" xfId="12363" xr:uid="{00000000-0005-0000-0000-0000683B0000}"/>
    <cellStyle name="40 % - Aksentti6 7 10 2 3" xfId="20112" xr:uid="{00000000-0005-0000-0000-0000693B0000}"/>
    <cellStyle name="40 % - Aksentti6 7 10 2_DataIX" xfId="31570" xr:uid="{00000000-0005-0000-0000-00006A3B0000}"/>
    <cellStyle name="40 % - Aksentti6 7 10 3" xfId="16673" xr:uid="{00000000-0005-0000-0000-00006B3B0000}"/>
    <cellStyle name="40 % - Aksentti6 7 10_060617_hinnat" xfId="24671" xr:uid="{00000000-0005-0000-0000-00006C3B0000}"/>
    <cellStyle name="40 % - Aksentti6 7 11" xfId="8483" xr:uid="{00000000-0005-0000-0000-00006D3B0000}"/>
    <cellStyle name="40 % - Aksentti6 7 11 2" xfId="12364" xr:uid="{00000000-0005-0000-0000-00006E3B0000}"/>
    <cellStyle name="40 % - Aksentti6 7 11 3" xfId="20111" xr:uid="{00000000-0005-0000-0000-00006F3B0000}"/>
    <cellStyle name="40 % - Aksentti6 7 11_DataIX" xfId="31571" xr:uid="{00000000-0005-0000-0000-0000703B0000}"/>
    <cellStyle name="40 % - Aksentti6 7 12" xfId="16672" xr:uid="{00000000-0005-0000-0000-0000713B0000}"/>
    <cellStyle name="40 % - Aksentti6 7 2" xfId="3154" xr:uid="{00000000-0005-0000-0000-0000723B0000}"/>
    <cellStyle name="40 % - Aksentti6 7 2 2" xfId="3155" xr:uid="{00000000-0005-0000-0000-0000733B0000}"/>
    <cellStyle name="40 % - Aksentti6 7 2 2 2" xfId="3156" xr:uid="{00000000-0005-0000-0000-0000743B0000}"/>
    <cellStyle name="40 % - Aksentti6 7 2 2 2 2" xfId="8487" xr:uid="{00000000-0005-0000-0000-0000753B0000}"/>
    <cellStyle name="40 % - Aksentti6 7 2 2 2 2 2" xfId="12365" xr:uid="{00000000-0005-0000-0000-0000763B0000}"/>
    <cellStyle name="40 % - Aksentti6 7 2 2 2 2 3" xfId="20115" xr:uid="{00000000-0005-0000-0000-0000773B0000}"/>
    <cellStyle name="40 % - Aksentti6 7 2 2 2 2_DataIX" xfId="31572" xr:uid="{00000000-0005-0000-0000-0000783B0000}"/>
    <cellStyle name="40 % - Aksentti6 7 2 2 2 3" xfId="16676" xr:uid="{00000000-0005-0000-0000-0000793B0000}"/>
    <cellStyle name="40 % - Aksentti6 7 2 2 2_060617_hinnat" xfId="24672" xr:uid="{00000000-0005-0000-0000-00007A3B0000}"/>
    <cellStyle name="40 % - Aksentti6 7 2 2 3" xfId="8486" xr:uid="{00000000-0005-0000-0000-00007B3B0000}"/>
    <cellStyle name="40 % - Aksentti6 7 2 2 3 2" xfId="12366" xr:uid="{00000000-0005-0000-0000-00007C3B0000}"/>
    <cellStyle name="40 % - Aksentti6 7 2 2 3 3" xfId="20114" xr:uid="{00000000-0005-0000-0000-00007D3B0000}"/>
    <cellStyle name="40 % - Aksentti6 7 2 2 3_DataIX" xfId="31573" xr:uid="{00000000-0005-0000-0000-00007E3B0000}"/>
    <cellStyle name="40 % - Aksentti6 7 2 2 4" xfId="16675" xr:uid="{00000000-0005-0000-0000-00007F3B0000}"/>
    <cellStyle name="40 % - Aksentti6 7 2 2_060617_hinnat" xfId="24673" xr:uid="{00000000-0005-0000-0000-0000803B0000}"/>
    <cellStyle name="40 % - Aksentti6 7 2 3" xfId="3157" xr:uid="{00000000-0005-0000-0000-0000813B0000}"/>
    <cellStyle name="40 % - Aksentti6 7 2 3 2" xfId="8488" xr:uid="{00000000-0005-0000-0000-0000823B0000}"/>
    <cellStyle name="40 % - Aksentti6 7 2 3 2 2" xfId="12367" xr:uid="{00000000-0005-0000-0000-0000833B0000}"/>
    <cellStyle name="40 % - Aksentti6 7 2 3 2 3" xfId="20116" xr:uid="{00000000-0005-0000-0000-0000843B0000}"/>
    <cellStyle name="40 % - Aksentti6 7 2 3 2_DataIX" xfId="31574" xr:uid="{00000000-0005-0000-0000-0000853B0000}"/>
    <cellStyle name="40 % - Aksentti6 7 2 3 3" xfId="16677" xr:uid="{00000000-0005-0000-0000-0000863B0000}"/>
    <cellStyle name="40 % - Aksentti6 7 2 3_060617_hinnat" xfId="24674" xr:uid="{00000000-0005-0000-0000-0000873B0000}"/>
    <cellStyle name="40 % - Aksentti6 7 2 4" xfId="8485" xr:uid="{00000000-0005-0000-0000-0000883B0000}"/>
    <cellStyle name="40 % - Aksentti6 7 2 4 2" xfId="12368" xr:uid="{00000000-0005-0000-0000-0000893B0000}"/>
    <cellStyle name="40 % - Aksentti6 7 2 4 3" xfId="20113" xr:uid="{00000000-0005-0000-0000-00008A3B0000}"/>
    <cellStyle name="40 % - Aksentti6 7 2 4_DataIX" xfId="31575" xr:uid="{00000000-0005-0000-0000-00008B3B0000}"/>
    <cellStyle name="40 % - Aksentti6 7 2 5" xfId="16674" xr:uid="{00000000-0005-0000-0000-00008C3B0000}"/>
    <cellStyle name="40 % - Aksentti6 7 2_060617_hinnat" xfId="24675" xr:uid="{00000000-0005-0000-0000-00008D3B0000}"/>
    <cellStyle name="40 % - Aksentti6 7 3" xfId="3158" xr:uid="{00000000-0005-0000-0000-00008E3B0000}"/>
    <cellStyle name="40 % - Aksentti6 7 3 2" xfId="3159" xr:uid="{00000000-0005-0000-0000-00008F3B0000}"/>
    <cellStyle name="40 % - Aksentti6 7 3 2 2" xfId="8490" xr:uid="{00000000-0005-0000-0000-0000903B0000}"/>
    <cellStyle name="40 % - Aksentti6 7 3 2 2 2" xfId="12369" xr:uid="{00000000-0005-0000-0000-0000913B0000}"/>
    <cellStyle name="40 % - Aksentti6 7 3 2 2 3" xfId="20118" xr:uid="{00000000-0005-0000-0000-0000923B0000}"/>
    <cellStyle name="40 % - Aksentti6 7 3 2 2_DataIX" xfId="31576" xr:uid="{00000000-0005-0000-0000-0000933B0000}"/>
    <cellStyle name="40 % - Aksentti6 7 3 2 3" xfId="16679" xr:uid="{00000000-0005-0000-0000-0000943B0000}"/>
    <cellStyle name="40 % - Aksentti6 7 3 2_060617_hinnat" xfId="24676" xr:uid="{00000000-0005-0000-0000-0000953B0000}"/>
    <cellStyle name="40 % - Aksentti6 7 3 3" xfId="8489" xr:uid="{00000000-0005-0000-0000-0000963B0000}"/>
    <cellStyle name="40 % - Aksentti6 7 3 3 2" xfId="12370" xr:uid="{00000000-0005-0000-0000-0000973B0000}"/>
    <cellStyle name="40 % - Aksentti6 7 3 3 3" xfId="20117" xr:uid="{00000000-0005-0000-0000-0000983B0000}"/>
    <cellStyle name="40 % - Aksentti6 7 3 3_DataIX" xfId="31577" xr:uid="{00000000-0005-0000-0000-0000993B0000}"/>
    <cellStyle name="40 % - Aksentti6 7 3 4" xfId="16678" xr:uid="{00000000-0005-0000-0000-00009A3B0000}"/>
    <cellStyle name="40 % - Aksentti6 7 3_060617_hinnat" xfId="24677" xr:uid="{00000000-0005-0000-0000-00009B3B0000}"/>
    <cellStyle name="40 % - Aksentti6 7 4" xfId="3160" xr:uid="{00000000-0005-0000-0000-00009C3B0000}"/>
    <cellStyle name="40 % - Aksentti6 7 4 2" xfId="8491" xr:uid="{00000000-0005-0000-0000-00009D3B0000}"/>
    <cellStyle name="40 % - Aksentti6 7 4 2 2" xfId="12371" xr:uid="{00000000-0005-0000-0000-00009E3B0000}"/>
    <cellStyle name="40 % - Aksentti6 7 4 2 3" xfId="20119" xr:uid="{00000000-0005-0000-0000-00009F3B0000}"/>
    <cellStyle name="40 % - Aksentti6 7 4 2_DataIX" xfId="31578" xr:uid="{00000000-0005-0000-0000-0000A03B0000}"/>
    <cellStyle name="40 % - Aksentti6 7 4 3" xfId="16680" xr:uid="{00000000-0005-0000-0000-0000A13B0000}"/>
    <cellStyle name="40 % - Aksentti6 7 4_060617_hinnat" xfId="24678" xr:uid="{00000000-0005-0000-0000-0000A23B0000}"/>
    <cellStyle name="40 % - Aksentti6 7 5" xfId="3161" xr:uid="{00000000-0005-0000-0000-0000A33B0000}"/>
    <cellStyle name="40 % - Aksentti6 7 5 2" xfId="8492" xr:uid="{00000000-0005-0000-0000-0000A43B0000}"/>
    <cellStyle name="40 % - Aksentti6 7 5 2 2" xfId="12372" xr:uid="{00000000-0005-0000-0000-0000A53B0000}"/>
    <cellStyle name="40 % - Aksentti6 7 5 2 3" xfId="20120" xr:uid="{00000000-0005-0000-0000-0000A63B0000}"/>
    <cellStyle name="40 % - Aksentti6 7 5 2_DataIX" xfId="31579" xr:uid="{00000000-0005-0000-0000-0000A73B0000}"/>
    <cellStyle name="40 % - Aksentti6 7 5 3" xfId="16681" xr:uid="{00000000-0005-0000-0000-0000A83B0000}"/>
    <cellStyle name="40 % - Aksentti6 7 5_060617_hinnat" xfId="24679" xr:uid="{00000000-0005-0000-0000-0000A93B0000}"/>
    <cellStyle name="40 % - Aksentti6 7 6" xfId="3162" xr:uid="{00000000-0005-0000-0000-0000AA3B0000}"/>
    <cellStyle name="40 % - Aksentti6 7 6 2" xfId="8493" xr:uid="{00000000-0005-0000-0000-0000AB3B0000}"/>
    <cellStyle name="40 % - Aksentti6 7 6 2 2" xfId="12373" xr:uid="{00000000-0005-0000-0000-0000AC3B0000}"/>
    <cellStyle name="40 % - Aksentti6 7 6 2 3" xfId="20121" xr:uid="{00000000-0005-0000-0000-0000AD3B0000}"/>
    <cellStyle name="40 % - Aksentti6 7 6 2_DataIX" xfId="31580" xr:uid="{00000000-0005-0000-0000-0000AE3B0000}"/>
    <cellStyle name="40 % - Aksentti6 7 6 3" xfId="16682" xr:uid="{00000000-0005-0000-0000-0000AF3B0000}"/>
    <cellStyle name="40 % - Aksentti6 7 6_060617_hinnat" xfId="24680" xr:uid="{00000000-0005-0000-0000-0000B03B0000}"/>
    <cellStyle name="40 % - Aksentti6 7 7" xfId="3163" xr:uid="{00000000-0005-0000-0000-0000B13B0000}"/>
    <cellStyle name="40 % - Aksentti6 7 7 2" xfId="8494" xr:uid="{00000000-0005-0000-0000-0000B23B0000}"/>
    <cellStyle name="40 % - Aksentti6 7 7 2 2" xfId="12374" xr:uid="{00000000-0005-0000-0000-0000B33B0000}"/>
    <cellStyle name="40 % - Aksentti6 7 7 2 3" xfId="20122" xr:uid="{00000000-0005-0000-0000-0000B43B0000}"/>
    <cellStyle name="40 % - Aksentti6 7 7 2_DataIX" xfId="31581" xr:uid="{00000000-0005-0000-0000-0000B53B0000}"/>
    <cellStyle name="40 % - Aksentti6 7 7 3" xfId="16683" xr:uid="{00000000-0005-0000-0000-0000B63B0000}"/>
    <cellStyle name="40 % - Aksentti6 7 7_060617_hinnat" xfId="24681" xr:uid="{00000000-0005-0000-0000-0000B73B0000}"/>
    <cellStyle name="40 % - Aksentti6 7 8" xfId="3164" xr:uid="{00000000-0005-0000-0000-0000B83B0000}"/>
    <cellStyle name="40 % - Aksentti6 7 8 2" xfId="8495" xr:uid="{00000000-0005-0000-0000-0000B93B0000}"/>
    <cellStyle name="40 % - Aksentti6 7 8 2 2" xfId="12375" xr:uid="{00000000-0005-0000-0000-0000BA3B0000}"/>
    <cellStyle name="40 % - Aksentti6 7 8 2 3" xfId="20123" xr:uid="{00000000-0005-0000-0000-0000BB3B0000}"/>
    <cellStyle name="40 % - Aksentti6 7 8 2_DataIX" xfId="31582" xr:uid="{00000000-0005-0000-0000-0000BC3B0000}"/>
    <cellStyle name="40 % - Aksentti6 7 8 3" xfId="16684" xr:uid="{00000000-0005-0000-0000-0000BD3B0000}"/>
    <cellStyle name="40 % - Aksentti6 7 8_060617_hinnat" xfId="24682" xr:uid="{00000000-0005-0000-0000-0000BE3B0000}"/>
    <cellStyle name="40 % - Aksentti6 7 9" xfId="3165" xr:uid="{00000000-0005-0000-0000-0000BF3B0000}"/>
    <cellStyle name="40 % - Aksentti6 7 9 2" xfId="8496" xr:uid="{00000000-0005-0000-0000-0000C03B0000}"/>
    <cellStyle name="40 % - Aksentti6 7 9 2 2" xfId="12376" xr:uid="{00000000-0005-0000-0000-0000C13B0000}"/>
    <cellStyle name="40 % - Aksentti6 7 9 2 3" xfId="20124" xr:uid="{00000000-0005-0000-0000-0000C23B0000}"/>
    <cellStyle name="40 % - Aksentti6 7 9 2_DataIX" xfId="31583" xr:uid="{00000000-0005-0000-0000-0000C33B0000}"/>
    <cellStyle name="40 % - Aksentti6 7 9 3" xfId="16685" xr:uid="{00000000-0005-0000-0000-0000C43B0000}"/>
    <cellStyle name="40 % - Aksentti6 7 9_060617_hinnat" xfId="24683" xr:uid="{00000000-0005-0000-0000-0000C53B0000}"/>
    <cellStyle name="40 % - Aksentti6 7_060617_hinnat" xfId="24684" xr:uid="{00000000-0005-0000-0000-0000C63B0000}"/>
    <cellStyle name="40 % - Aksentti6 8" xfId="3166" xr:uid="{00000000-0005-0000-0000-0000C73B0000}"/>
    <cellStyle name="40 % - Aksentti6 8 10" xfId="3167" xr:uid="{00000000-0005-0000-0000-0000C83B0000}"/>
    <cellStyle name="40 % - Aksentti6 8 10 2" xfId="8498" xr:uid="{00000000-0005-0000-0000-0000C93B0000}"/>
    <cellStyle name="40 % - Aksentti6 8 10 2 2" xfId="12377" xr:uid="{00000000-0005-0000-0000-0000CA3B0000}"/>
    <cellStyle name="40 % - Aksentti6 8 10 2 3" xfId="20126" xr:uid="{00000000-0005-0000-0000-0000CB3B0000}"/>
    <cellStyle name="40 % - Aksentti6 8 10 2_DataIX" xfId="31584" xr:uid="{00000000-0005-0000-0000-0000CC3B0000}"/>
    <cellStyle name="40 % - Aksentti6 8 10 3" xfId="16687" xr:uid="{00000000-0005-0000-0000-0000CD3B0000}"/>
    <cellStyle name="40 % - Aksentti6 8 10_060617_hinnat" xfId="24685" xr:uid="{00000000-0005-0000-0000-0000CE3B0000}"/>
    <cellStyle name="40 % - Aksentti6 8 11" xfId="8497" xr:uid="{00000000-0005-0000-0000-0000CF3B0000}"/>
    <cellStyle name="40 % - Aksentti6 8 11 2" xfId="12378" xr:uid="{00000000-0005-0000-0000-0000D03B0000}"/>
    <cellStyle name="40 % - Aksentti6 8 11 3" xfId="20125" xr:uid="{00000000-0005-0000-0000-0000D13B0000}"/>
    <cellStyle name="40 % - Aksentti6 8 11_DataIX" xfId="31585" xr:uid="{00000000-0005-0000-0000-0000D23B0000}"/>
    <cellStyle name="40 % - Aksentti6 8 12" xfId="16686" xr:uid="{00000000-0005-0000-0000-0000D33B0000}"/>
    <cellStyle name="40 % - Aksentti6 8 2" xfId="3168" xr:uid="{00000000-0005-0000-0000-0000D43B0000}"/>
    <cellStyle name="40 % - Aksentti6 8 2 2" xfId="3169" xr:uid="{00000000-0005-0000-0000-0000D53B0000}"/>
    <cellStyle name="40 % - Aksentti6 8 2 2 2" xfId="3170" xr:uid="{00000000-0005-0000-0000-0000D63B0000}"/>
    <cellStyle name="40 % - Aksentti6 8 2 2 2 2" xfId="8501" xr:uid="{00000000-0005-0000-0000-0000D73B0000}"/>
    <cellStyle name="40 % - Aksentti6 8 2 2 2 2 2" xfId="12379" xr:uid="{00000000-0005-0000-0000-0000D83B0000}"/>
    <cellStyle name="40 % - Aksentti6 8 2 2 2 2 3" xfId="20129" xr:uid="{00000000-0005-0000-0000-0000D93B0000}"/>
    <cellStyle name="40 % - Aksentti6 8 2 2 2 2_DataIX" xfId="31586" xr:uid="{00000000-0005-0000-0000-0000DA3B0000}"/>
    <cellStyle name="40 % - Aksentti6 8 2 2 2 3" xfId="16690" xr:uid="{00000000-0005-0000-0000-0000DB3B0000}"/>
    <cellStyle name="40 % - Aksentti6 8 2 2 2_060617_hinnat" xfId="24686" xr:uid="{00000000-0005-0000-0000-0000DC3B0000}"/>
    <cellStyle name="40 % - Aksentti6 8 2 2 3" xfId="8500" xr:uid="{00000000-0005-0000-0000-0000DD3B0000}"/>
    <cellStyle name="40 % - Aksentti6 8 2 2 3 2" xfId="12380" xr:uid="{00000000-0005-0000-0000-0000DE3B0000}"/>
    <cellStyle name="40 % - Aksentti6 8 2 2 3 3" xfId="20128" xr:uid="{00000000-0005-0000-0000-0000DF3B0000}"/>
    <cellStyle name="40 % - Aksentti6 8 2 2 3_DataIX" xfId="31587" xr:uid="{00000000-0005-0000-0000-0000E03B0000}"/>
    <cellStyle name="40 % - Aksentti6 8 2 2 4" xfId="16689" xr:uid="{00000000-0005-0000-0000-0000E13B0000}"/>
    <cellStyle name="40 % - Aksentti6 8 2 2_060617_hinnat" xfId="24687" xr:uid="{00000000-0005-0000-0000-0000E23B0000}"/>
    <cellStyle name="40 % - Aksentti6 8 2 3" xfId="3171" xr:uid="{00000000-0005-0000-0000-0000E33B0000}"/>
    <cellStyle name="40 % - Aksentti6 8 2 3 2" xfId="8502" xr:uid="{00000000-0005-0000-0000-0000E43B0000}"/>
    <cellStyle name="40 % - Aksentti6 8 2 3 2 2" xfId="12381" xr:uid="{00000000-0005-0000-0000-0000E53B0000}"/>
    <cellStyle name="40 % - Aksentti6 8 2 3 2 3" xfId="20130" xr:uid="{00000000-0005-0000-0000-0000E63B0000}"/>
    <cellStyle name="40 % - Aksentti6 8 2 3 2_DataIX" xfId="31588" xr:uid="{00000000-0005-0000-0000-0000E73B0000}"/>
    <cellStyle name="40 % - Aksentti6 8 2 3 3" xfId="16691" xr:uid="{00000000-0005-0000-0000-0000E83B0000}"/>
    <cellStyle name="40 % - Aksentti6 8 2 3_060617_hinnat" xfId="24688" xr:uid="{00000000-0005-0000-0000-0000E93B0000}"/>
    <cellStyle name="40 % - Aksentti6 8 2 4" xfId="8499" xr:uid="{00000000-0005-0000-0000-0000EA3B0000}"/>
    <cellStyle name="40 % - Aksentti6 8 2 4 2" xfId="12382" xr:uid="{00000000-0005-0000-0000-0000EB3B0000}"/>
    <cellStyle name="40 % - Aksentti6 8 2 4 3" xfId="20127" xr:uid="{00000000-0005-0000-0000-0000EC3B0000}"/>
    <cellStyle name="40 % - Aksentti6 8 2 4_DataIX" xfId="31589" xr:uid="{00000000-0005-0000-0000-0000ED3B0000}"/>
    <cellStyle name="40 % - Aksentti6 8 2 5" xfId="16688" xr:uid="{00000000-0005-0000-0000-0000EE3B0000}"/>
    <cellStyle name="40 % - Aksentti6 8 2_060617_hinnat" xfId="24689" xr:uid="{00000000-0005-0000-0000-0000EF3B0000}"/>
    <cellStyle name="40 % - Aksentti6 8 3" xfId="3172" xr:uid="{00000000-0005-0000-0000-0000F03B0000}"/>
    <cellStyle name="40 % - Aksentti6 8 3 2" xfId="3173" xr:uid="{00000000-0005-0000-0000-0000F13B0000}"/>
    <cellStyle name="40 % - Aksentti6 8 3 2 2" xfId="8504" xr:uid="{00000000-0005-0000-0000-0000F23B0000}"/>
    <cellStyle name="40 % - Aksentti6 8 3 2 2 2" xfId="12383" xr:uid="{00000000-0005-0000-0000-0000F33B0000}"/>
    <cellStyle name="40 % - Aksentti6 8 3 2 2 3" xfId="20132" xr:uid="{00000000-0005-0000-0000-0000F43B0000}"/>
    <cellStyle name="40 % - Aksentti6 8 3 2 2_DataIX" xfId="31590" xr:uid="{00000000-0005-0000-0000-0000F53B0000}"/>
    <cellStyle name="40 % - Aksentti6 8 3 2 3" xfId="16693" xr:uid="{00000000-0005-0000-0000-0000F63B0000}"/>
    <cellStyle name="40 % - Aksentti6 8 3 2_060617_hinnat" xfId="24690" xr:uid="{00000000-0005-0000-0000-0000F73B0000}"/>
    <cellStyle name="40 % - Aksentti6 8 3 3" xfId="8503" xr:uid="{00000000-0005-0000-0000-0000F83B0000}"/>
    <cellStyle name="40 % - Aksentti6 8 3 3 2" xfId="12384" xr:uid="{00000000-0005-0000-0000-0000F93B0000}"/>
    <cellStyle name="40 % - Aksentti6 8 3 3 3" xfId="20131" xr:uid="{00000000-0005-0000-0000-0000FA3B0000}"/>
    <cellStyle name="40 % - Aksentti6 8 3 3_DataIX" xfId="31591" xr:uid="{00000000-0005-0000-0000-0000FB3B0000}"/>
    <cellStyle name="40 % - Aksentti6 8 3 4" xfId="16692" xr:uid="{00000000-0005-0000-0000-0000FC3B0000}"/>
    <cellStyle name="40 % - Aksentti6 8 3_060617_hinnat" xfId="24691" xr:uid="{00000000-0005-0000-0000-0000FD3B0000}"/>
    <cellStyle name="40 % - Aksentti6 8 4" xfId="3174" xr:uid="{00000000-0005-0000-0000-0000FE3B0000}"/>
    <cellStyle name="40 % - Aksentti6 8 4 2" xfId="8505" xr:uid="{00000000-0005-0000-0000-0000FF3B0000}"/>
    <cellStyle name="40 % - Aksentti6 8 4 2 2" xfId="12385" xr:uid="{00000000-0005-0000-0000-0000003C0000}"/>
    <cellStyle name="40 % - Aksentti6 8 4 2 3" xfId="20133" xr:uid="{00000000-0005-0000-0000-0000013C0000}"/>
    <cellStyle name="40 % - Aksentti6 8 4 2_DataIX" xfId="31592" xr:uid="{00000000-0005-0000-0000-0000023C0000}"/>
    <cellStyle name="40 % - Aksentti6 8 4 3" xfId="16694" xr:uid="{00000000-0005-0000-0000-0000033C0000}"/>
    <cellStyle name="40 % - Aksentti6 8 4_060617_hinnat" xfId="24692" xr:uid="{00000000-0005-0000-0000-0000043C0000}"/>
    <cellStyle name="40 % - Aksentti6 8 5" xfId="3175" xr:uid="{00000000-0005-0000-0000-0000053C0000}"/>
    <cellStyle name="40 % - Aksentti6 8 5 2" xfId="8506" xr:uid="{00000000-0005-0000-0000-0000063C0000}"/>
    <cellStyle name="40 % - Aksentti6 8 5 2 2" xfId="12386" xr:uid="{00000000-0005-0000-0000-0000073C0000}"/>
    <cellStyle name="40 % - Aksentti6 8 5 2 3" xfId="20134" xr:uid="{00000000-0005-0000-0000-0000083C0000}"/>
    <cellStyle name="40 % - Aksentti6 8 5 2_DataIX" xfId="31593" xr:uid="{00000000-0005-0000-0000-0000093C0000}"/>
    <cellStyle name="40 % - Aksentti6 8 5 3" xfId="16695" xr:uid="{00000000-0005-0000-0000-00000A3C0000}"/>
    <cellStyle name="40 % - Aksentti6 8 5_060617_hinnat" xfId="24693" xr:uid="{00000000-0005-0000-0000-00000B3C0000}"/>
    <cellStyle name="40 % - Aksentti6 8 6" xfId="3176" xr:uid="{00000000-0005-0000-0000-00000C3C0000}"/>
    <cellStyle name="40 % - Aksentti6 8 6 2" xfId="8507" xr:uid="{00000000-0005-0000-0000-00000D3C0000}"/>
    <cellStyle name="40 % - Aksentti6 8 6 2 2" xfId="12387" xr:uid="{00000000-0005-0000-0000-00000E3C0000}"/>
    <cellStyle name="40 % - Aksentti6 8 6 2 3" xfId="20135" xr:uid="{00000000-0005-0000-0000-00000F3C0000}"/>
    <cellStyle name="40 % - Aksentti6 8 6 2_DataIX" xfId="31594" xr:uid="{00000000-0005-0000-0000-0000103C0000}"/>
    <cellStyle name="40 % - Aksentti6 8 6 3" xfId="16696" xr:uid="{00000000-0005-0000-0000-0000113C0000}"/>
    <cellStyle name="40 % - Aksentti6 8 6_060617_hinnat" xfId="24694" xr:uid="{00000000-0005-0000-0000-0000123C0000}"/>
    <cellStyle name="40 % - Aksentti6 8 7" xfId="3177" xr:uid="{00000000-0005-0000-0000-0000133C0000}"/>
    <cellStyle name="40 % - Aksentti6 8 7 2" xfId="8508" xr:uid="{00000000-0005-0000-0000-0000143C0000}"/>
    <cellStyle name="40 % - Aksentti6 8 7 2 2" xfId="12388" xr:uid="{00000000-0005-0000-0000-0000153C0000}"/>
    <cellStyle name="40 % - Aksentti6 8 7 2 3" xfId="20136" xr:uid="{00000000-0005-0000-0000-0000163C0000}"/>
    <cellStyle name="40 % - Aksentti6 8 7 2_DataIX" xfId="31595" xr:uid="{00000000-0005-0000-0000-0000173C0000}"/>
    <cellStyle name="40 % - Aksentti6 8 7 3" xfId="16697" xr:uid="{00000000-0005-0000-0000-0000183C0000}"/>
    <cellStyle name="40 % - Aksentti6 8 7_060617_hinnat" xfId="24695" xr:uid="{00000000-0005-0000-0000-0000193C0000}"/>
    <cellStyle name="40 % - Aksentti6 8 8" xfId="3178" xr:uid="{00000000-0005-0000-0000-00001A3C0000}"/>
    <cellStyle name="40 % - Aksentti6 8 8 2" xfId="8509" xr:uid="{00000000-0005-0000-0000-00001B3C0000}"/>
    <cellStyle name="40 % - Aksentti6 8 8 2 2" xfId="12389" xr:uid="{00000000-0005-0000-0000-00001C3C0000}"/>
    <cellStyle name="40 % - Aksentti6 8 8 2 3" xfId="20137" xr:uid="{00000000-0005-0000-0000-00001D3C0000}"/>
    <cellStyle name="40 % - Aksentti6 8 8 2_DataIX" xfId="31596" xr:uid="{00000000-0005-0000-0000-00001E3C0000}"/>
    <cellStyle name="40 % - Aksentti6 8 8 3" xfId="16698" xr:uid="{00000000-0005-0000-0000-00001F3C0000}"/>
    <cellStyle name="40 % - Aksentti6 8 8_060617_hinnat" xfId="24696" xr:uid="{00000000-0005-0000-0000-0000203C0000}"/>
    <cellStyle name="40 % - Aksentti6 8 9" xfId="3179" xr:uid="{00000000-0005-0000-0000-0000213C0000}"/>
    <cellStyle name="40 % - Aksentti6 8 9 2" xfId="8510" xr:uid="{00000000-0005-0000-0000-0000223C0000}"/>
    <cellStyle name="40 % - Aksentti6 8 9 2 2" xfId="12390" xr:uid="{00000000-0005-0000-0000-0000233C0000}"/>
    <cellStyle name="40 % - Aksentti6 8 9 2 3" xfId="20138" xr:uid="{00000000-0005-0000-0000-0000243C0000}"/>
    <cellStyle name="40 % - Aksentti6 8 9 2_DataIX" xfId="31597" xr:uid="{00000000-0005-0000-0000-0000253C0000}"/>
    <cellStyle name="40 % - Aksentti6 8 9 3" xfId="16699" xr:uid="{00000000-0005-0000-0000-0000263C0000}"/>
    <cellStyle name="40 % - Aksentti6 8 9_060617_hinnat" xfId="24697" xr:uid="{00000000-0005-0000-0000-0000273C0000}"/>
    <cellStyle name="40 % - Aksentti6 8_060617_hinnat" xfId="24698" xr:uid="{00000000-0005-0000-0000-0000283C0000}"/>
    <cellStyle name="40 % - Aksentti6 9" xfId="3180" xr:uid="{00000000-0005-0000-0000-0000293C0000}"/>
    <cellStyle name="40 % - Aksentti6 9 10" xfId="3181" xr:uid="{00000000-0005-0000-0000-00002A3C0000}"/>
    <cellStyle name="40 % - Aksentti6 9 10 2" xfId="8512" xr:uid="{00000000-0005-0000-0000-00002B3C0000}"/>
    <cellStyle name="40 % - Aksentti6 9 10 2 2" xfId="12391" xr:uid="{00000000-0005-0000-0000-00002C3C0000}"/>
    <cellStyle name="40 % - Aksentti6 9 10 2 3" xfId="20140" xr:uid="{00000000-0005-0000-0000-00002D3C0000}"/>
    <cellStyle name="40 % - Aksentti6 9 10 2_DataIX" xfId="31598" xr:uid="{00000000-0005-0000-0000-00002E3C0000}"/>
    <cellStyle name="40 % - Aksentti6 9 10 3" xfId="16701" xr:uid="{00000000-0005-0000-0000-00002F3C0000}"/>
    <cellStyle name="40 % - Aksentti6 9 10_060617_hinnat" xfId="24699" xr:uid="{00000000-0005-0000-0000-0000303C0000}"/>
    <cellStyle name="40 % - Aksentti6 9 11" xfId="8511" xr:uid="{00000000-0005-0000-0000-0000313C0000}"/>
    <cellStyle name="40 % - Aksentti6 9 11 2" xfId="12392" xr:uid="{00000000-0005-0000-0000-0000323C0000}"/>
    <cellStyle name="40 % - Aksentti6 9 11 3" xfId="20139" xr:uid="{00000000-0005-0000-0000-0000333C0000}"/>
    <cellStyle name="40 % - Aksentti6 9 11_DataIX" xfId="31599" xr:uid="{00000000-0005-0000-0000-0000343C0000}"/>
    <cellStyle name="40 % - Aksentti6 9 12" xfId="16700" xr:uid="{00000000-0005-0000-0000-0000353C0000}"/>
    <cellStyle name="40 % - Aksentti6 9 2" xfId="3182" xr:uid="{00000000-0005-0000-0000-0000363C0000}"/>
    <cellStyle name="40 % - Aksentti6 9 2 2" xfId="3183" xr:uid="{00000000-0005-0000-0000-0000373C0000}"/>
    <cellStyle name="40 % - Aksentti6 9 2 2 2" xfId="3184" xr:uid="{00000000-0005-0000-0000-0000383C0000}"/>
    <cellStyle name="40 % - Aksentti6 9 2 2 2 2" xfId="8515" xr:uid="{00000000-0005-0000-0000-0000393C0000}"/>
    <cellStyle name="40 % - Aksentti6 9 2 2 2 2 2" xfId="12393" xr:uid="{00000000-0005-0000-0000-00003A3C0000}"/>
    <cellStyle name="40 % - Aksentti6 9 2 2 2 2 3" xfId="20143" xr:uid="{00000000-0005-0000-0000-00003B3C0000}"/>
    <cellStyle name="40 % - Aksentti6 9 2 2 2 2_DataIX" xfId="31600" xr:uid="{00000000-0005-0000-0000-00003C3C0000}"/>
    <cellStyle name="40 % - Aksentti6 9 2 2 2 3" xfId="16704" xr:uid="{00000000-0005-0000-0000-00003D3C0000}"/>
    <cellStyle name="40 % - Aksentti6 9 2 2 2_060617_hinnat" xfId="24700" xr:uid="{00000000-0005-0000-0000-00003E3C0000}"/>
    <cellStyle name="40 % - Aksentti6 9 2 2 3" xfId="8514" xr:uid="{00000000-0005-0000-0000-00003F3C0000}"/>
    <cellStyle name="40 % - Aksentti6 9 2 2 3 2" xfId="12394" xr:uid="{00000000-0005-0000-0000-0000403C0000}"/>
    <cellStyle name="40 % - Aksentti6 9 2 2 3 3" xfId="20142" xr:uid="{00000000-0005-0000-0000-0000413C0000}"/>
    <cellStyle name="40 % - Aksentti6 9 2 2 3_DataIX" xfId="31601" xr:uid="{00000000-0005-0000-0000-0000423C0000}"/>
    <cellStyle name="40 % - Aksentti6 9 2 2 4" xfId="16703" xr:uid="{00000000-0005-0000-0000-0000433C0000}"/>
    <cellStyle name="40 % - Aksentti6 9 2 2_060617_hinnat" xfId="24701" xr:uid="{00000000-0005-0000-0000-0000443C0000}"/>
    <cellStyle name="40 % - Aksentti6 9 2 3" xfId="3185" xr:uid="{00000000-0005-0000-0000-0000453C0000}"/>
    <cellStyle name="40 % - Aksentti6 9 2 3 2" xfId="8516" xr:uid="{00000000-0005-0000-0000-0000463C0000}"/>
    <cellStyle name="40 % - Aksentti6 9 2 3 2 2" xfId="12395" xr:uid="{00000000-0005-0000-0000-0000473C0000}"/>
    <cellStyle name="40 % - Aksentti6 9 2 3 2 3" xfId="20144" xr:uid="{00000000-0005-0000-0000-0000483C0000}"/>
    <cellStyle name="40 % - Aksentti6 9 2 3 2_DataIX" xfId="31602" xr:uid="{00000000-0005-0000-0000-0000493C0000}"/>
    <cellStyle name="40 % - Aksentti6 9 2 3 3" xfId="16705" xr:uid="{00000000-0005-0000-0000-00004A3C0000}"/>
    <cellStyle name="40 % - Aksentti6 9 2 3_060617_hinnat" xfId="24702" xr:uid="{00000000-0005-0000-0000-00004B3C0000}"/>
    <cellStyle name="40 % - Aksentti6 9 2 4" xfId="8513" xr:uid="{00000000-0005-0000-0000-00004C3C0000}"/>
    <cellStyle name="40 % - Aksentti6 9 2 4 2" xfId="12396" xr:uid="{00000000-0005-0000-0000-00004D3C0000}"/>
    <cellStyle name="40 % - Aksentti6 9 2 4 3" xfId="20141" xr:uid="{00000000-0005-0000-0000-00004E3C0000}"/>
    <cellStyle name="40 % - Aksentti6 9 2 4_DataIX" xfId="31603" xr:uid="{00000000-0005-0000-0000-00004F3C0000}"/>
    <cellStyle name="40 % - Aksentti6 9 2 5" xfId="16702" xr:uid="{00000000-0005-0000-0000-0000503C0000}"/>
    <cellStyle name="40 % - Aksentti6 9 2_060617_hinnat" xfId="24703" xr:uid="{00000000-0005-0000-0000-0000513C0000}"/>
    <cellStyle name="40 % - Aksentti6 9 3" xfId="3186" xr:uid="{00000000-0005-0000-0000-0000523C0000}"/>
    <cellStyle name="40 % - Aksentti6 9 3 2" xfId="3187" xr:uid="{00000000-0005-0000-0000-0000533C0000}"/>
    <cellStyle name="40 % - Aksentti6 9 3 2 2" xfId="8518" xr:uid="{00000000-0005-0000-0000-0000543C0000}"/>
    <cellStyle name="40 % - Aksentti6 9 3 2 2 2" xfId="12397" xr:uid="{00000000-0005-0000-0000-0000553C0000}"/>
    <cellStyle name="40 % - Aksentti6 9 3 2 2 3" xfId="20146" xr:uid="{00000000-0005-0000-0000-0000563C0000}"/>
    <cellStyle name="40 % - Aksentti6 9 3 2 2_DataIX" xfId="31604" xr:uid="{00000000-0005-0000-0000-0000573C0000}"/>
    <cellStyle name="40 % - Aksentti6 9 3 2 3" xfId="16707" xr:uid="{00000000-0005-0000-0000-0000583C0000}"/>
    <cellStyle name="40 % - Aksentti6 9 3 2_060617_hinnat" xfId="24705" xr:uid="{00000000-0005-0000-0000-0000593C0000}"/>
    <cellStyle name="40 % - Aksentti6 9 3 3" xfId="8517" xr:uid="{00000000-0005-0000-0000-00005A3C0000}"/>
    <cellStyle name="40 % - Aksentti6 9 3 3 2" xfId="12398" xr:uid="{00000000-0005-0000-0000-00005B3C0000}"/>
    <cellStyle name="40 % - Aksentti6 9 3 3 3" xfId="20145" xr:uid="{00000000-0005-0000-0000-00005C3C0000}"/>
    <cellStyle name="40 % - Aksentti6 9 3 3_DataIX" xfId="31605" xr:uid="{00000000-0005-0000-0000-00005D3C0000}"/>
    <cellStyle name="40 % - Aksentti6 9 3 4" xfId="16706" xr:uid="{00000000-0005-0000-0000-00005E3C0000}"/>
    <cellStyle name="40 % - Aksentti6 9 3_060617_hinnat" xfId="24706" xr:uid="{00000000-0005-0000-0000-00005F3C0000}"/>
    <cellStyle name="40 % - Aksentti6 9 4" xfId="3188" xr:uid="{00000000-0005-0000-0000-0000603C0000}"/>
    <cellStyle name="40 % - Aksentti6 9 4 2" xfId="8519" xr:uid="{00000000-0005-0000-0000-0000613C0000}"/>
    <cellStyle name="40 % - Aksentti6 9 4 2 2" xfId="12399" xr:uid="{00000000-0005-0000-0000-0000623C0000}"/>
    <cellStyle name="40 % - Aksentti6 9 4 2 3" xfId="20147" xr:uid="{00000000-0005-0000-0000-0000633C0000}"/>
    <cellStyle name="40 % - Aksentti6 9 4 2_DataIX" xfId="31606" xr:uid="{00000000-0005-0000-0000-0000643C0000}"/>
    <cellStyle name="40 % - Aksentti6 9 4 3" xfId="16708" xr:uid="{00000000-0005-0000-0000-0000653C0000}"/>
    <cellStyle name="40 % - Aksentti6 9 4_060617_hinnat" xfId="24707" xr:uid="{00000000-0005-0000-0000-0000663C0000}"/>
    <cellStyle name="40 % - Aksentti6 9 5" xfId="3189" xr:uid="{00000000-0005-0000-0000-0000673C0000}"/>
    <cellStyle name="40 % - Aksentti6 9 5 2" xfId="8520" xr:uid="{00000000-0005-0000-0000-0000683C0000}"/>
    <cellStyle name="40 % - Aksentti6 9 5 2 2" xfId="12400" xr:uid="{00000000-0005-0000-0000-0000693C0000}"/>
    <cellStyle name="40 % - Aksentti6 9 5 2 3" xfId="20148" xr:uid="{00000000-0005-0000-0000-00006A3C0000}"/>
    <cellStyle name="40 % - Aksentti6 9 5 2_DataIX" xfId="31607" xr:uid="{00000000-0005-0000-0000-00006B3C0000}"/>
    <cellStyle name="40 % - Aksentti6 9 5 3" xfId="16709" xr:uid="{00000000-0005-0000-0000-00006C3C0000}"/>
    <cellStyle name="40 % - Aksentti6 9 5_060617_hinnat" xfId="24709" xr:uid="{00000000-0005-0000-0000-00006D3C0000}"/>
    <cellStyle name="40 % - Aksentti6 9 6" xfId="3190" xr:uid="{00000000-0005-0000-0000-00006E3C0000}"/>
    <cellStyle name="40 % - Aksentti6 9 6 2" xfId="8521" xr:uid="{00000000-0005-0000-0000-00006F3C0000}"/>
    <cellStyle name="40 % - Aksentti6 9 6 2 2" xfId="12401" xr:uid="{00000000-0005-0000-0000-0000703C0000}"/>
    <cellStyle name="40 % - Aksentti6 9 6 2 3" xfId="20149" xr:uid="{00000000-0005-0000-0000-0000713C0000}"/>
    <cellStyle name="40 % - Aksentti6 9 6 2_DataIX" xfId="31608" xr:uid="{00000000-0005-0000-0000-0000723C0000}"/>
    <cellStyle name="40 % - Aksentti6 9 6 3" xfId="16710" xr:uid="{00000000-0005-0000-0000-0000733C0000}"/>
    <cellStyle name="40 % - Aksentti6 9 6_060617_hinnat" xfId="24710" xr:uid="{00000000-0005-0000-0000-0000743C0000}"/>
    <cellStyle name="40 % - Aksentti6 9 7" xfId="3191" xr:uid="{00000000-0005-0000-0000-0000753C0000}"/>
    <cellStyle name="40 % - Aksentti6 9 7 2" xfId="8522" xr:uid="{00000000-0005-0000-0000-0000763C0000}"/>
    <cellStyle name="40 % - Aksentti6 9 7 2 2" xfId="12402" xr:uid="{00000000-0005-0000-0000-0000773C0000}"/>
    <cellStyle name="40 % - Aksentti6 9 7 2 3" xfId="20150" xr:uid="{00000000-0005-0000-0000-0000783C0000}"/>
    <cellStyle name="40 % - Aksentti6 9 7 2_DataIX" xfId="31609" xr:uid="{00000000-0005-0000-0000-0000793C0000}"/>
    <cellStyle name="40 % - Aksentti6 9 7 3" xfId="16711" xr:uid="{00000000-0005-0000-0000-00007A3C0000}"/>
    <cellStyle name="40 % - Aksentti6 9 7_060617_hinnat" xfId="24711" xr:uid="{00000000-0005-0000-0000-00007B3C0000}"/>
    <cellStyle name="40 % - Aksentti6 9 8" xfId="3192" xr:uid="{00000000-0005-0000-0000-00007C3C0000}"/>
    <cellStyle name="40 % - Aksentti6 9 8 2" xfId="8523" xr:uid="{00000000-0005-0000-0000-00007D3C0000}"/>
    <cellStyle name="40 % - Aksentti6 9 8 2 2" xfId="12403" xr:uid="{00000000-0005-0000-0000-00007E3C0000}"/>
    <cellStyle name="40 % - Aksentti6 9 8 2 3" xfId="20151" xr:uid="{00000000-0005-0000-0000-00007F3C0000}"/>
    <cellStyle name="40 % - Aksentti6 9 8 2_DataIX" xfId="31610" xr:uid="{00000000-0005-0000-0000-0000803C0000}"/>
    <cellStyle name="40 % - Aksentti6 9 8 3" xfId="16712" xr:uid="{00000000-0005-0000-0000-0000813C0000}"/>
    <cellStyle name="40 % - Aksentti6 9 8_060617_hinnat" xfId="24712" xr:uid="{00000000-0005-0000-0000-0000823C0000}"/>
    <cellStyle name="40 % - Aksentti6 9 9" xfId="3193" xr:uid="{00000000-0005-0000-0000-0000833C0000}"/>
    <cellStyle name="40 % - Aksentti6 9 9 2" xfId="8524" xr:uid="{00000000-0005-0000-0000-0000843C0000}"/>
    <cellStyle name="40 % - Aksentti6 9 9 2 2" xfId="12404" xr:uid="{00000000-0005-0000-0000-0000853C0000}"/>
    <cellStyle name="40 % - Aksentti6 9 9 2 3" xfId="20152" xr:uid="{00000000-0005-0000-0000-0000863C0000}"/>
    <cellStyle name="40 % - Aksentti6 9 9 2_DataIX" xfId="31611" xr:uid="{00000000-0005-0000-0000-0000873C0000}"/>
    <cellStyle name="40 % - Aksentti6 9 9 3" xfId="16713" xr:uid="{00000000-0005-0000-0000-0000883C0000}"/>
    <cellStyle name="40 % - Aksentti6 9 9_060617_hinnat" xfId="24713" xr:uid="{00000000-0005-0000-0000-0000893C0000}"/>
    <cellStyle name="40 % - Aksentti6 9_060617_hinnat" xfId="24714" xr:uid="{00000000-0005-0000-0000-00008A3C0000}"/>
    <cellStyle name="40 % - Aksentti6_##KansantalKehitys" xfId="5417" xr:uid="{00000000-0005-0000-0000-00008B3C0000}"/>
    <cellStyle name="40% - Accent1" xfId="27" xr:uid="{00000000-0005-0000-0000-00008C3C0000}"/>
    <cellStyle name="40% - Accent1 10" xfId="3194" xr:uid="{00000000-0005-0000-0000-00008D3C0000}"/>
    <cellStyle name="40% - Accent1 10 2" xfId="8525" xr:uid="{00000000-0005-0000-0000-00008E3C0000}"/>
    <cellStyle name="40% - Accent1 10 2 2" xfId="12405" xr:uid="{00000000-0005-0000-0000-00008F3C0000}"/>
    <cellStyle name="40% - Accent1 10 2 3" xfId="20153" xr:uid="{00000000-0005-0000-0000-0000903C0000}"/>
    <cellStyle name="40% - Accent1 10 2_DataIX" xfId="31612" xr:uid="{00000000-0005-0000-0000-0000913C0000}"/>
    <cellStyle name="40% - Accent1 10 3" xfId="16714" xr:uid="{00000000-0005-0000-0000-0000923C0000}"/>
    <cellStyle name="40% - Accent1 10_060617_hinnat" xfId="24716" xr:uid="{00000000-0005-0000-0000-0000933C0000}"/>
    <cellStyle name="40% - Accent1 11" xfId="24715" xr:uid="{00000000-0005-0000-0000-0000943C0000}"/>
    <cellStyle name="40% - Accent1 12" xfId="23682" xr:uid="{00000000-0005-0000-0000-0000953C0000}"/>
    <cellStyle name="40% - Accent1 13" xfId="26742" xr:uid="{00000000-0005-0000-0000-0000963C0000}"/>
    <cellStyle name="40% - Accent1 14" xfId="24990" xr:uid="{00000000-0005-0000-0000-0000973C0000}"/>
    <cellStyle name="40% - Accent1 15" xfId="26730" xr:uid="{00000000-0005-0000-0000-0000983C0000}"/>
    <cellStyle name="40% - Accent1 16" xfId="24974" xr:uid="{00000000-0005-0000-0000-0000993C0000}"/>
    <cellStyle name="40% - Accent1 17" xfId="28508" xr:uid="{00000000-0005-0000-0000-00009A3C0000}"/>
    <cellStyle name="40% - Accent1 18" xfId="28538" xr:uid="{00000000-0005-0000-0000-00009B3C0000}"/>
    <cellStyle name="40% - Accent1 19" xfId="28545" xr:uid="{00000000-0005-0000-0000-00009C3C0000}"/>
    <cellStyle name="40% - Accent1 2" xfId="28" xr:uid="{00000000-0005-0000-0000-00009D3C0000}"/>
    <cellStyle name="40% - Accent1 2 10" xfId="26682" xr:uid="{00000000-0005-0000-0000-00009E3C0000}"/>
    <cellStyle name="40% - Accent1 2 2" xfId="3195" xr:uid="{00000000-0005-0000-0000-00009F3C0000}"/>
    <cellStyle name="40% - Accent1 2 2 2" xfId="8527" xr:uid="{00000000-0005-0000-0000-0000A03C0000}"/>
    <cellStyle name="40% - Accent1 2 2 2 2" xfId="12406" xr:uid="{00000000-0005-0000-0000-0000A13C0000}"/>
    <cellStyle name="40% - Accent1 2 2 2 3" xfId="20154" xr:uid="{00000000-0005-0000-0000-0000A23C0000}"/>
    <cellStyle name="40% - Accent1 2 2 2_DataIX" xfId="31613" xr:uid="{00000000-0005-0000-0000-0000A33C0000}"/>
    <cellStyle name="40% - Accent1 2 2 3" xfId="16715" xr:uid="{00000000-0005-0000-0000-0000A43C0000}"/>
    <cellStyle name="40% - Accent1 2 2_060617_hinnat" xfId="24717" xr:uid="{00000000-0005-0000-0000-0000A53C0000}"/>
    <cellStyle name="40% - Accent1 2 3" xfId="25084" xr:uid="{00000000-0005-0000-0000-0000A63C0000}"/>
    <cellStyle name="40% - Accent1 2 4" xfId="26177" xr:uid="{00000000-0005-0000-0000-0000A73C0000}"/>
    <cellStyle name="40% - Accent1 2 5" xfId="25333" xr:uid="{00000000-0005-0000-0000-0000A83C0000}"/>
    <cellStyle name="40% - Accent1 2 6" xfId="25836" xr:uid="{00000000-0005-0000-0000-0000A93C0000}"/>
    <cellStyle name="40% - Accent1 2 7" xfId="26631" xr:uid="{00000000-0005-0000-0000-0000AA3C0000}"/>
    <cellStyle name="40% - Accent1 2 8" xfId="25989" xr:uid="{00000000-0005-0000-0000-0000AB3C0000}"/>
    <cellStyle name="40% - Accent1 2 9" xfId="25943" xr:uid="{00000000-0005-0000-0000-0000AC3C0000}"/>
    <cellStyle name="40% - Accent1 2_##Keskeiset" xfId="8526" xr:uid="{00000000-0005-0000-0000-0000AD3C0000}"/>
    <cellStyle name="40% - Accent1 3" xfId="3196" xr:uid="{00000000-0005-0000-0000-0000AE3C0000}"/>
    <cellStyle name="40% - Accent1 3 2" xfId="3197" xr:uid="{00000000-0005-0000-0000-0000AF3C0000}"/>
    <cellStyle name="40% - Accent1 3 2 2" xfId="8529" xr:uid="{00000000-0005-0000-0000-0000B03C0000}"/>
    <cellStyle name="40% - Accent1 3 2 2 2" xfId="12407" xr:uid="{00000000-0005-0000-0000-0000B13C0000}"/>
    <cellStyle name="40% - Accent1 3 2 2 3" xfId="20155" xr:uid="{00000000-0005-0000-0000-0000B23C0000}"/>
    <cellStyle name="40% - Accent1 3 2 2_DataIX" xfId="31614" xr:uid="{00000000-0005-0000-0000-0000B33C0000}"/>
    <cellStyle name="40% - Accent1 3 2 3" xfId="16717" xr:uid="{00000000-0005-0000-0000-0000B43C0000}"/>
    <cellStyle name="40% - Accent1 3 2_060617_hinnat" xfId="24718" xr:uid="{00000000-0005-0000-0000-0000B53C0000}"/>
    <cellStyle name="40% - Accent1 3 3" xfId="5522" xr:uid="{00000000-0005-0000-0000-0000B63C0000}"/>
    <cellStyle name="40% - Accent1 3 3 2" xfId="12408" xr:uid="{00000000-0005-0000-0000-0000B73C0000}"/>
    <cellStyle name="40% - Accent1 3 3 3" xfId="18760" xr:uid="{00000000-0005-0000-0000-0000B83C0000}"/>
    <cellStyle name="40% - Accent1 3 3_DataIX" xfId="31615" xr:uid="{00000000-0005-0000-0000-0000B93C0000}"/>
    <cellStyle name="40% - Accent1 3 4" xfId="16716" xr:uid="{00000000-0005-0000-0000-0000BA3C0000}"/>
    <cellStyle name="40% - Accent1 3_##Keskeiset" xfId="8528" xr:uid="{00000000-0005-0000-0000-0000BB3C0000}"/>
    <cellStyle name="40% - Accent1 4" xfId="3198" xr:uid="{00000000-0005-0000-0000-0000BC3C0000}"/>
    <cellStyle name="40% - Accent1 4 2" xfId="3199" xr:uid="{00000000-0005-0000-0000-0000BD3C0000}"/>
    <cellStyle name="40% - Accent1 4 2 2" xfId="8531" xr:uid="{00000000-0005-0000-0000-0000BE3C0000}"/>
    <cellStyle name="40% - Accent1 4 2 2 2" xfId="12409" xr:uid="{00000000-0005-0000-0000-0000BF3C0000}"/>
    <cellStyle name="40% - Accent1 4 2 2 3" xfId="20157" xr:uid="{00000000-0005-0000-0000-0000C03C0000}"/>
    <cellStyle name="40% - Accent1 4 2 2_DataIX" xfId="31616" xr:uid="{00000000-0005-0000-0000-0000C13C0000}"/>
    <cellStyle name="40% - Accent1 4 2 3" xfId="16719" xr:uid="{00000000-0005-0000-0000-0000C23C0000}"/>
    <cellStyle name="40% - Accent1 4 2_060617_hinnat" xfId="24719" xr:uid="{00000000-0005-0000-0000-0000C33C0000}"/>
    <cellStyle name="40% - Accent1 4 3" xfId="8530" xr:uid="{00000000-0005-0000-0000-0000C43C0000}"/>
    <cellStyle name="40% - Accent1 4 3 2" xfId="12410" xr:uid="{00000000-0005-0000-0000-0000C53C0000}"/>
    <cellStyle name="40% - Accent1 4 3 3" xfId="20156" xr:uid="{00000000-0005-0000-0000-0000C63C0000}"/>
    <cellStyle name="40% - Accent1 4 3_DataIX" xfId="31617" xr:uid="{00000000-0005-0000-0000-0000C73C0000}"/>
    <cellStyle name="40% - Accent1 4 4" xfId="16718" xr:uid="{00000000-0005-0000-0000-0000C83C0000}"/>
    <cellStyle name="40% - Accent1 4_060617_hinnat" xfId="24720" xr:uid="{00000000-0005-0000-0000-0000C93C0000}"/>
    <cellStyle name="40% - Accent1 5" xfId="3200" xr:uid="{00000000-0005-0000-0000-0000CA3C0000}"/>
    <cellStyle name="40% - Accent1 5 2" xfId="8532" xr:uid="{00000000-0005-0000-0000-0000CB3C0000}"/>
    <cellStyle name="40% - Accent1 5 2 2" xfId="12411" xr:uid="{00000000-0005-0000-0000-0000CC3C0000}"/>
    <cellStyle name="40% - Accent1 5 2 3" xfId="20158" xr:uid="{00000000-0005-0000-0000-0000CD3C0000}"/>
    <cellStyle name="40% - Accent1 5 2_DataIX" xfId="31618" xr:uid="{00000000-0005-0000-0000-0000CE3C0000}"/>
    <cellStyle name="40% - Accent1 5 3" xfId="16720" xr:uid="{00000000-0005-0000-0000-0000CF3C0000}"/>
    <cellStyle name="40% - Accent1 5_060617_hinnat" xfId="24721" xr:uid="{00000000-0005-0000-0000-0000D03C0000}"/>
    <cellStyle name="40% - Accent1 6" xfId="3201" xr:uid="{00000000-0005-0000-0000-0000D13C0000}"/>
    <cellStyle name="40% - Accent1 6 2" xfId="8533" xr:uid="{00000000-0005-0000-0000-0000D23C0000}"/>
    <cellStyle name="40% - Accent1 6 2 2" xfId="12412" xr:uid="{00000000-0005-0000-0000-0000D33C0000}"/>
    <cellStyle name="40% - Accent1 6 2 3" xfId="20159" xr:uid="{00000000-0005-0000-0000-0000D43C0000}"/>
    <cellStyle name="40% - Accent1 6 2_DataIX" xfId="31619" xr:uid="{00000000-0005-0000-0000-0000D53C0000}"/>
    <cellStyle name="40% - Accent1 6 3" xfId="16721" xr:uid="{00000000-0005-0000-0000-0000D63C0000}"/>
    <cellStyle name="40% - Accent1 6_060617_hinnat" xfId="24722" xr:uid="{00000000-0005-0000-0000-0000D73C0000}"/>
    <cellStyle name="40% - Accent1 7" xfId="3202" xr:uid="{00000000-0005-0000-0000-0000D83C0000}"/>
    <cellStyle name="40% - Accent1 7 2" xfId="8534" xr:uid="{00000000-0005-0000-0000-0000D93C0000}"/>
    <cellStyle name="40% - Accent1 7 2 2" xfId="12413" xr:uid="{00000000-0005-0000-0000-0000DA3C0000}"/>
    <cellStyle name="40% - Accent1 7 2 3" xfId="20160" xr:uid="{00000000-0005-0000-0000-0000DB3C0000}"/>
    <cellStyle name="40% - Accent1 7 2_DataIX" xfId="31620" xr:uid="{00000000-0005-0000-0000-0000DC3C0000}"/>
    <cellStyle name="40% - Accent1 7 3" xfId="16722" xr:uid="{00000000-0005-0000-0000-0000DD3C0000}"/>
    <cellStyle name="40% - Accent1 7_060617_hinnat" xfId="24723" xr:uid="{00000000-0005-0000-0000-0000DE3C0000}"/>
    <cellStyle name="40% - Accent1 8" xfId="3203" xr:uid="{00000000-0005-0000-0000-0000DF3C0000}"/>
    <cellStyle name="40% - Accent1 8 2" xfId="8535" xr:uid="{00000000-0005-0000-0000-0000E03C0000}"/>
    <cellStyle name="40% - Accent1 8 2 2" xfId="12414" xr:uid="{00000000-0005-0000-0000-0000E13C0000}"/>
    <cellStyle name="40% - Accent1 8 2 3" xfId="20161" xr:uid="{00000000-0005-0000-0000-0000E23C0000}"/>
    <cellStyle name="40% - Accent1 8 2_DataIX" xfId="31621" xr:uid="{00000000-0005-0000-0000-0000E33C0000}"/>
    <cellStyle name="40% - Accent1 8 3" xfId="16723" xr:uid="{00000000-0005-0000-0000-0000E43C0000}"/>
    <cellStyle name="40% - Accent1 8_060617_hinnat" xfId="24724" xr:uid="{00000000-0005-0000-0000-0000E53C0000}"/>
    <cellStyle name="40% - Accent1 9" xfId="3204" xr:uid="{00000000-0005-0000-0000-0000E63C0000}"/>
    <cellStyle name="40% - Accent1 9 2" xfId="8536" xr:uid="{00000000-0005-0000-0000-0000E73C0000}"/>
    <cellStyle name="40% - Accent1 9 2 2" xfId="12415" xr:uid="{00000000-0005-0000-0000-0000E83C0000}"/>
    <cellStyle name="40% - Accent1 9 2 3" xfId="20162" xr:uid="{00000000-0005-0000-0000-0000E93C0000}"/>
    <cellStyle name="40% - Accent1 9 2_DataIX" xfId="31622" xr:uid="{00000000-0005-0000-0000-0000EA3C0000}"/>
    <cellStyle name="40% - Accent1 9 3" xfId="16724" xr:uid="{00000000-0005-0000-0000-0000EB3C0000}"/>
    <cellStyle name="40% - Accent1 9_060617_hinnat" xfId="24725" xr:uid="{00000000-0005-0000-0000-0000EC3C0000}"/>
    <cellStyle name="40% - Accent1_##Keskeiset" xfId="5521" xr:uid="{00000000-0005-0000-0000-0000ED3C0000}"/>
    <cellStyle name="40% - Accent2" xfId="29" xr:uid="{00000000-0005-0000-0000-0000EE3C0000}"/>
    <cellStyle name="40% - Accent2 10" xfId="3205" xr:uid="{00000000-0005-0000-0000-0000EF3C0000}"/>
    <cellStyle name="40% - Accent2 10 2" xfId="8537" xr:uid="{00000000-0005-0000-0000-0000F03C0000}"/>
    <cellStyle name="40% - Accent2 10 2 2" xfId="12416" xr:uid="{00000000-0005-0000-0000-0000F13C0000}"/>
    <cellStyle name="40% - Accent2 10 2 3" xfId="20163" xr:uid="{00000000-0005-0000-0000-0000F23C0000}"/>
    <cellStyle name="40% - Accent2 10 2_DataIX" xfId="31623" xr:uid="{00000000-0005-0000-0000-0000F33C0000}"/>
    <cellStyle name="40% - Accent2 10 3" xfId="16725" xr:uid="{00000000-0005-0000-0000-0000F43C0000}"/>
    <cellStyle name="40% - Accent2 10_060617_hinnat" xfId="24727" xr:uid="{00000000-0005-0000-0000-0000F53C0000}"/>
    <cellStyle name="40% - Accent2 11" xfId="24726" xr:uid="{00000000-0005-0000-0000-0000F63C0000}"/>
    <cellStyle name="40% - Accent2 12" xfId="23662" xr:uid="{00000000-0005-0000-0000-0000F73C0000}"/>
    <cellStyle name="40% - Accent2 13" xfId="23912" xr:uid="{00000000-0005-0000-0000-0000F83C0000}"/>
    <cellStyle name="40% - Accent2 14" xfId="23690" xr:uid="{00000000-0005-0000-0000-0000F93C0000}"/>
    <cellStyle name="40% - Accent2 15" xfId="23898" xr:uid="{00000000-0005-0000-0000-0000FA3C0000}"/>
    <cellStyle name="40% - Accent2 16" xfId="23705" xr:uid="{00000000-0005-0000-0000-0000FB3C0000}"/>
    <cellStyle name="40% - Accent2 17" xfId="28509" xr:uid="{00000000-0005-0000-0000-0000FC3C0000}"/>
    <cellStyle name="40% - Accent2 18" xfId="28500" xr:uid="{00000000-0005-0000-0000-0000FD3C0000}"/>
    <cellStyle name="40% - Accent2 19" xfId="28559" xr:uid="{00000000-0005-0000-0000-0000FE3C0000}"/>
    <cellStyle name="40% - Accent2 2" xfId="30" xr:uid="{00000000-0005-0000-0000-0000FF3C0000}"/>
    <cellStyle name="40% - Accent2 2 10" xfId="25300" xr:uid="{00000000-0005-0000-0000-0000003D0000}"/>
    <cellStyle name="40% - Accent2 2 2" xfId="3206" xr:uid="{00000000-0005-0000-0000-0000013D0000}"/>
    <cellStyle name="40% - Accent2 2 2 2" xfId="8539" xr:uid="{00000000-0005-0000-0000-0000023D0000}"/>
    <cellStyle name="40% - Accent2 2 2 2 2" xfId="12417" xr:uid="{00000000-0005-0000-0000-0000033D0000}"/>
    <cellStyle name="40% - Accent2 2 2 2 3" xfId="20164" xr:uid="{00000000-0005-0000-0000-0000043D0000}"/>
    <cellStyle name="40% - Accent2 2 2 2_DataIX" xfId="31624" xr:uid="{00000000-0005-0000-0000-0000053D0000}"/>
    <cellStyle name="40% - Accent2 2 2 3" xfId="16726" xr:uid="{00000000-0005-0000-0000-0000063D0000}"/>
    <cellStyle name="40% - Accent2 2 2_060617_hinnat" xfId="24728" xr:uid="{00000000-0005-0000-0000-0000073D0000}"/>
    <cellStyle name="40% - Accent2 2 3" xfId="25085" xr:uid="{00000000-0005-0000-0000-0000083D0000}"/>
    <cellStyle name="40% - Accent2 2 4" xfId="26492" xr:uid="{00000000-0005-0000-0000-0000093D0000}"/>
    <cellStyle name="40% - Accent2 2 5" xfId="26588" xr:uid="{00000000-0005-0000-0000-00000A3D0000}"/>
    <cellStyle name="40% - Accent2 2 6" xfId="25511" xr:uid="{00000000-0005-0000-0000-00000B3D0000}"/>
    <cellStyle name="40% - Accent2 2 7" xfId="25914" xr:uid="{00000000-0005-0000-0000-00000C3D0000}"/>
    <cellStyle name="40% - Accent2 2 8" xfId="25295" xr:uid="{00000000-0005-0000-0000-00000D3D0000}"/>
    <cellStyle name="40% - Accent2 2 9" xfId="26208" xr:uid="{00000000-0005-0000-0000-00000E3D0000}"/>
    <cellStyle name="40% - Accent2 2_##Keskeiset" xfId="8538" xr:uid="{00000000-0005-0000-0000-00000F3D0000}"/>
    <cellStyle name="40% - Accent2 3" xfId="3207" xr:uid="{00000000-0005-0000-0000-0000103D0000}"/>
    <cellStyle name="40% - Accent2 3 2" xfId="3208" xr:uid="{00000000-0005-0000-0000-0000113D0000}"/>
    <cellStyle name="40% - Accent2 3 2 2" xfId="8540" xr:uid="{00000000-0005-0000-0000-0000123D0000}"/>
    <cellStyle name="40% - Accent2 3 2 2 2" xfId="12418" xr:uid="{00000000-0005-0000-0000-0000133D0000}"/>
    <cellStyle name="40% - Accent2 3 2 2 3" xfId="20165" xr:uid="{00000000-0005-0000-0000-0000143D0000}"/>
    <cellStyle name="40% - Accent2 3 2 2_DataIX" xfId="31625" xr:uid="{00000000-0005-0000-0000-0000153D0000}"/>
    <cellStyle name="40% - Accent2 3 2 3" xfId="16728" xr:uid="{00000000-0005-0000-0000-0000163D0000}"/>
    <cellStyle name="40% - Accent2 3 2_060617_hinnat" xfId="24729" xr:uid="{00000000-0005-0000-0000-0000173D0000}"/>
    <cellStyle name="40% - Accent2 3 3" xfId="5524" xr:uid="{00000000-0005-0000-0000-0000183D0000}"/>
    <cellStyle name="40% - Accent2 3 3 2" xfId="12419" xr:uid="{00000000-0005-0000-0000-0000193D0000}"/>
    <cellStyle name="40% - Accent2 3 3 3" xfId="18761" xr:uid="{00000000-0005-0000-0000-00001A3D0000}"/>
    <cellStyle name="40% - Accent2 3 3_DataIX" xfId="31626" xr:uid="{00000000-0005-0000-0000-00001B3D0000}"/>
    <cellStyle name="40% - Accent2 3 4" xfId="16727" xr:uid="{00000000-0005-0000-0000-00001C3D0000}"/>
    <cellStyle name="40% - Accent2 3_060617_hinnat" xfId="24730" xr:uid="{00000000-0005-0000-0000-00001D3D0000}"/>
    <cellStyle name="40% - Accent2 4" xfId="3209" xr:uid="{00000000-0005-0000-0000-00001E3D0000}"/>
    <cellStyle name="40% - Accent2 4 2" xfId="3210" xr:uid="{00000000-0005-0000-0000-00001F3D0000}"/>
    <cellStyle name="40% - Accent2 4 2 2" xfId="8542" xr:uid="{00000000-0005-0000-0000-0000203D0000}"/>
    <cellStyle name="40% - Accent2 4 2 2 2" xfId="12420" xr:uid="{00000000-0005-0000-0000-0000213D0000}"/>
    <cellStyle name="40% - Accent2 4 2 2 3" xfId="20167" xr:uid="{00000000-0005-0000-0000-0000223D0000}"/>
    <cellStyle name="40% - Accent2 4 2 2_DataIX" xfId="31627" xr:uid="{00000000-0005-0000-0000-0000233D0000}"/>
    <cellStyle name="40% - Accent2 4 2 3" xfId="16730" xr:uid="{00000000-0005-0000-0000-0000243D0000}"/>
    <cellStyle name="40% - Accent2 4 2_060617_hinnat" xfId="24731" xr:uid="{00000000-0005-0000-0000-0000253D0000}"/>
    <cellStyle name="40% - Accent2 4 3" xfId="8541" xr:uid="{00000000-0005-0000-0000-0000263D0000}"/>
    <cellStyle name="40% - Accent2 4 3 2" xfId="12421" xr:uid="{00000000-0005-0000-0000-0000273D0000}"/>
    <cellStyle name="40% - Accent2 4 3 3" xfId="20166" xr:uid="{00000000-0005-0000-0000-0000283D0000}"/>
    <cellStyle name="40% - Accent2 4 3_DataIX" xfId="31628" xr:uid="{00000000-0005-0000-0000-0000293D0000}"/>
    <cellStyle name="40% - Accent2 4 4" xfId="16729" xr:uid="{00000000-0005-0000-0000-00002A3D0000}"/>
    <cellStyle name="40% - Accent2 4_060617_hinnat" xfId="24732" xr:uid="{00000000-0005-0000-0000-00002B3D0000}"/>
    <cellStyle name="40% - Accent2 5" xfId="3211" xr:uid="{00000000-0005-0000-0000-00002C3D0000}"/>
    <cellStyle name="40% - Accent2 5 2" xfId="8543" xr:uid="{00000000-0005-0000-0000-00002D3D0000}"/>
    <cellStyle name="40% - Accent2 5 2 2" xfId="12422" xr:uid="{00000000-0005-0000-0000-00002E3D0000}"/>
    <cellStyle name="40% - Accent2 5 2 3" xfId="20168" xr:uid="{00000000-0005-0000-0000-00002F3D0000}"/>
    <cellStyle name="40% - Accent2 5 2_DataIX" xfId="31629" xr:uid="{00000000-0005-0000-0000-0000303D0000}"/>
    <cellStyle name="40% - Accent2 5 3" xfId="16731" xr:uid="{00000000-0005-0000-0000-0000313D0000}"/>
    <cellStyle name="40% - Accent2 5_060617_hinnat" xfId="24733" xr:uid="{00000000-0005-0000-0000-0000323D0000}"/>
    <cellStyle name="40% - Accent2 6" xfId="3212" xr:uid="{00000000-0005-0000-0000-0000333D0000}"/>
    <cellStyle name="40% - Accent2 6 2" xfId="8544" xr:uid="{00000000-0005-0000-0000-0000343D0000}"/>
    <cellStyle name="40% - Accent2 6 2 2" xfId="12423" xr:uid="{00000000-0005-0000-0000-0000353D0000}"/>
    <cellStyle name="40% - Accent2 6 2 3" xfId="20169" xr:uid="{00000000-0005-0000-0000-0000363D0000}"/>
    <cellStyle name="40% - Accent2 6 2_DataIX" xfId="31630" xr:uid="{00000000-0005-0000-0000-0000373D0000}"/>
    <cellStyle name="40% - Accent2 6 3" xfId="16732" xr:uid="{00000000-0005-0000-0000-0000383D0000}"/>
    <cellStyle name="40% - Accent2 6_060617_hinnat" xfId="24734" xr:uid="{00000000-0005-0000-0000-0000393D0000}"/>
    <cellStyle name="40% - Accent2 7" xfId="3213" xr:uid="{00000000-0005-0000-0000-00003A3D0000}"/>
    <cellStyle name="40% - Accent2 7 2" xfId="8545" xr:uid="{00000000-0005-0000-0000-00003B3D0000}"/>
    <cellStyle name="40% - Accent2 7 2 2" xfId="12424" xr:uid="{00000000-0005-0000-0000-00003C3D0000}"/>
    <cellStyle name="40% - Accent2 7 2 3" xfId="20170" xr:uid="{00000000-0005-0000-0000-00003D3D0000}"/>
    <cellStyle name="40% - Accent2 7 2_DataIX" xfId="31631" xr:uid="{00000000-0005-0000-0000-00003E3D0000}"/>
    <cellStyle name="40% - Accent2 7 3" xfId="16733" xr:uid="{00000000-0005-0000-0000-00003F3D0000}"/>
    <cellStyle name="40% - Accent2 7_060617_hinnat" xfId="24735" xr:uid="{00000000-0005-0000-0000-0000403D0000}"/>
    <cellStyle name="40% - Accent2 8" xfId="3214" xr:uid="{00000000-0005-0000-0000-0000413D0000}"/>
    <cellStyle name="40% - Accent2 8 2" xfId="8546" xr:uid="{00000000-0005-0000-0000-0000423D0000}"/>
    <cellStyle name="40% - Accent2 8 2 2" xfId="12425" xr:uid="{00000000-0005-0000-0000-0000433D0000}"/>
    <cellStyle name="40% - Accent2 8 2 3" xfId="20171" xr:uid="{00000000-0005-0000-0000-0000443D0000}"/>
    <cellStyle name="40% - Accent2 8 2_DataIX" xfId="31632" xr:uid="{00000000-0005-0000-0000-0000453D0000}"/>
    <cellStyle name="40% - Accent2 8 3" xfId="16734" xr:uid="{00000000-0005-0000-0000-0000463D0000}"/>
    <cellStyle name="40% - Accent2 8_060617_hinnat" xfId="24736" xr:uid="{00000000-0005-0000-0000-0000473D0000}"/>
    <cellStyle name="40% - Accent2 9" xfId="3215" xr:uid="{00000000-0005-0000-0000-0000483D0000}"/>
    <cellStyle name="40% - Accent2 9 2" xfId="8547" xr:uid="{00000000-0005-0000-0000-0000493D0000}"/>
    <cellStyle name="40% - Accent2 9 2 2" xfId="12426" xr:uid="{00000000-0005-0000-0000-00004A3D0000}"/>
    <cellStyle name="40% - Accent2 9 2 3" xfId="20172" xr:uid="{00000000-0005-0000-0000-00004B3D0000}"/>
    <cellStyle name="40% - Accent2 9 2_DataIX" xfId="31633" xr:uid="{00000000-0005-0000-0000-00004C3D0000}"/>
    <cellStyle name="40% - Accent2 9 3" xfId="16735" xr:uid="{00000000-0005-0000-0000-00004D3D0000}"/>
    <cellStyle name="40% - Accent2 9_060617_hinnat" xfId="24737" xr:uid="{00000000-0005-0000-0000-00004E3D0000}"/>
    <cellStyle name="40% - Accent2_##Keskeiset" xfId="5523" xr:uid="{00000000-0005-0000-0000-00004F3D0000}"/>
    <cellStyle name="40% - Accent3" xfId="31" xr:uid="{00000000-0005-0000-0000-0000503D0000}"/>
    <cellStyle name="40% - Accent3 10" xfId="3216" xr:uid="{00000000-0005-0000-0000-0000513D0000}"/>
    <cellStyle name="40% - Accent3 10 2" xfId="8548" xr:uid="{00000000-0005-0000-0000-0000523D0000}"/>
    <cellStyle name="40% - Accent3 10 2 2" xfId="12427" xr:uid="{00000000-0005-0000-0000-0000533D0000}"/>
    <cellStyle name="40% - Accent3 10 2 3" xfId="20173" xr:uid="{00000000-0005-0000-0000-0000543D0000}"/>
    <cellStyle name="40% - Accent3 10 2_DataIX" xfId="31634" xr:uid="{00000000-0005-0000-0000-0000553D0000}"/>
    <cellStyle name="40% - Accent3 10 3" xfId="16736" xr:uid="{00000000-0005-0000-0000-0000563D0000}"/>
    <cellStyle name="40% - Accent3 10_060617_hinnat" xfId="24739" xr:uid="{00000000-0005-0000-0000-0000573D0000}"/>
    <cellStyle name="40% - Accent3 11" xfId="24738" xr:uid="{00000000-0005-0000-0000-0000583D0000}"/>
    <cellStyle name="40% - Accent3 12" xfId="23643" xr:uid="{00000000-0005-0000-0000-0000593D0000}"/>
    <cellStyle name="40% - Accent3 13" xfId="23936" xr:uid="{00000000-0005-0000-0000-00005A3D0000}"/>
    <cellStyle name="40% - Accent3 14" xfId="23669" xr:uid="{00000000-0005-0000-0000-00005B3D0000}"/>
    <cellStyle name="40% - Accent3 15" xfId="26736" xr:uid="{00000000-0005-0000-0000-00005C3D0000}"/>
    <cellStyle name="40% - Accent3 16" xfId="24983" xr:uid="{00000000-0005-0000-0000-00005D3D0000}"/>
    <cellStyle name="40% - Accent3 17" xfId="28510" xr:uid="{00000000-0005-0000-0000-00005E3D0000}"/>
    <cellStyle name="40% - Accent3 18" xfId="28537" xr:uid="{00000000-0005-0000-0000-00005F3D0000}"/>
    <cellStyle name="40% - Accent3 19" xfId="28567" xr:uid="{00000000-0005-0000-0000-0000603D0000}"/>
    <cellStyle name="40% - Accent3 2" xfId="32" xr:uid="{00000000-0005-0000-0000-0000613D0000}"/>
    <cellStyle name="40% - Accent3 2 10" xfId="26535" xr:uid="{00000000-0005-0000-0000-0000623D0000}"/>
    <cellStyle name="40% - Accent3 2 2" xfId="3217" xr:uid="{00000000-0005-0000-0000-0000633D0000}"/>
    <cellStyle name="40% - Accent3 2 2 2" xfId="8550" xr:uid="{00000000-0005-0000-0000-0000643D0000}"/>
    <cellStyle name="40% - Accent3 2 2 2 2" xfId="12428" xr:uid="{00000000-0005-0000-0000-0000653D0000}"/>
    <cellStyle name="40% - Accent3 2 2 2 3" xfId="20174" xr:uid="{00000000-0005-0000-0000-0000663D0000}"/>
    <cellStyle name="40% - Accent3 2 2 2_DataIX" xfId="31635" xr:uid="{00000000-0005-0000-0000-0000673D0000}"/>
    <cellStyle name="40% - Accent3 2 2 3" xfId="16737" xr:uid="{00000000-0005-0000-0000-0000683D0000}"/>
    <cellStyle name="40% - Accent3 2 2_060617_hinnat" xfId="24740" xr:uid="{00000000-0005-0000-0000-0000693D0000}"/>
    <cellStyle name="40% - Accent3 2 3" xfId="25086" xr:uid="{00000000-0005-0000-0000-00006A3D0000}"/>
    <cellStyle name="40% - Accent3 2 4" xfId="26176" xr:uid="{00000000-0005-0000-0000-00006B3D0000}"/>
    <cellStyle name="40% - Accent3 2 5" xfId="25752" xr:uid="{00000000-0005-0000-0000-00006C3D0000}"/>
    <cellStyle name="40% - Accent3 2 6" xfId="25908" xr:uid="{00000000-0005-0000-0000-00006D3D0000}"/>
    <cellStyle name="40% - Accent3 2 7" xfId="26449" xr:uid="{00000000-0005-0000-0000-00006E3D0000}"/>
    <cellStyle name="40% - Accent3 2 8" xfId="25977" xr:uid="{00000000-0005-0000-0000-00006F3D0000}"/>
    <cellStyle name="40% - Accent3 2 9" xfId="26253" xr:uid="{00000000-0005-0000-0000-0000703D0000}"/>
    <cellStyle name="40% - Accent3 2_##Keskeiset" xfId="8549" xr:uid="{00000000-0005-0000-0000-0000713D0000}"/>
    <cellStyle name="40% - Accent3 3" xfId="3218" xr:uid="{00000000-0005-0000-0000-0000723D0000}"/>
    <cellStyle name="40% - Accent3 3 2" xfId="3219" xr:uid="{00000000-0005-0000-0000-0000733D0000}"/>
    <cellStyle name="40% - Accent3 3 2 2" xfId="8552" xr:uid="{00000000-0005-0000-0000-0000743D0000}"/>
    <cellStyle name="40% - Accent3 3 2 2 2" xfId="12429" xr:uid="{00000000-0005-0000-0000-0000753D0000}"/>
    <cellStyle name="40% - Accent3 3 2 2 3" xfId="20175" xr:uid="{00000000-0005-0000-0000-0000763D0000}"/>
    <cellStyle name="40% - Accent3 3 2 2_DataIX" xfId="31636" xr:uid="{00000000-0005-0000-0000-0000773D0000}"/>
    <cellStyle name="40% - Accent3 3 2 3" xfId="16739" xr:uid="{00000000-0005-0000-0000-0000783D0000}"/>
    <cellStyle name="40% - Accent3 3 2_060617_hinnat" xfId="24741" xr:uid="{00000000-0005-0000-0000-0000793D0000}"/>
    <cellStyle name="40% - Accent3 3 3" xfId="5526" xr:uid="{00000000-0005-0000-0000-00007A3D0000}"/>
    <cellStyle name="40% - Accent3 3 3 2" xfId="12430" xr:uid="{00000000-0005-0000-0000-00007B3D0000}"/>
    <cellStyle name="40% - Accent3 3 3 3" xfId="18762" xr:uid="{00000000-0005-0000-0000-00007C3D0000}"/>
    <cellStyle name="40% - Accent3 3 3_DataIX" xfId="31637" xr:uid="{00000000-0005-0000-0000-00007D3D0000}"/>
    <cellStyle name="40% - Accent3 3 4" xfId="16738" xr:uid="{00000000-0005-0000-0000-00007E3D0000}"/>
    <cellStyle name="40% - Accent3 3_##Keskeiset" xfId="8551" xr:uid="{00000000-0005-0000-0000-00007F3D0000}"/>
    <cellStyle name="40% - Accent3 4" xfId="3220" xr:uid="{00000000-0005-0000-0000-0000803D0000}"/>
    <cellStyle name="40% - Accent3 4 2" xfId="3221" xr:uid="{00000000-0005-0000-0000-0000813D0000}"/>
    <cellStyle name="40% - Accent3 4 2 2" xfId="8554" xr:uid="{00000000-0005-0000-0000-0000823D0000}"/>
    <cellStyle name="40% - Accent3 4 2 2 2" xfId="12431" xr:uid="{00000000-0005-0000-0000-0000833D0000}"/>
    <cellStyle name="40% - Accent3 4 2 2 3" xfId="20177" xr:uid="{00000000-0005-0000-0000-0000843D0000}"/>
    <cellStyle name="40% - Accent3 4 2 2_DataIX" xfId="31638" xr:uid="{00000000-0005-0000-0000-0000853D0000}"/>
    <cellStyle name="40% - Accent3 4 2 3" xfId="16741" xr:uid="{00000000-0005-0000-0000-0000863D0000}"/>
    <cellStyle name="40% - Accent3 4 2_060617_hinnat" xfId="24742" xr:uid="{00000000-0005-0000-0000-0000873D0000}"/>
    <cellStyle name="40% - Accent3 4 3" xfId="8553" xr:uid="{00000000-0005-0000-0000-0000883D0000}"/>
    <cellStyle name="40% - Accent3 4 3 2" xfId="12432" xr:uid="{00000000-0005-0000-0000-0000893D0000}"/>
    <cellStyle name="40% - Accent3 4 3 3" xfId="20176" xr:uid="{00000000-0005-0000-0000-00008A3D0000}"/>
    <cellStyle name="40% - Accent3 4 3_DataIX" xfId="31639" xr:uid="{00000000-0005-0000-0000-00008B3D0000}"/>
    <cellStyle name="40% - Accent3 4 4" xfId="16740" xr:uid="{00000000-0005-0000-0000-00008C3D0000}"/>
    <cellStyle name="40% - Accent3 4_060617_hinnat" xfId="24743" xr:uid="{00000000-0005-0000-0000-00008D3D0000}"/>
    <cellStyle name="40% - Accent3 5" xfId="3222" xr:uid="{00000000-0005-0000-0000-00008E3D0000}"/>
    <cellStyle name="40% - Accent3 5 2" xfId="8555" xr:uid="{00000000-0005-0000-0000-00008F3D0000}"/>
    <cellStyle name="40% - Accent3 5 2 2" xfId="12433" xr:uid="{00000000-0005-0000-0000-0000903D0000}"/>
    <cellStyle name="40% - Accent3 5 2 3" xfId="20178" xr:uid="{00000000-0005-0000-0000-0000913D0000}"/>
    <cellStyle name="40% - Accent3 5 2_DataIX" xfId="31640" xr:uid="{00000000-0005-0000-0000-0000923D0000}"/>
    <cellStyle name="40% - Accent3 5 3" xfId="16742" xr:uid="{00000000-0005-0000-0000-0000933D0000}"/>
    <cellStyle name="40% - Accent3 5_060617_hinnat" xfId="24744" xr:uid="{00000000-0005-0000-0000-0000943D0000}"/>
    <cellStyle name="40% - Accent3 6" xfId="3223" xr:uid="{00000000-0005-0000-0000-0000953D0000}"/>
    <cellStyle name="40% - Accent3 6 2" xfId="8556" xr:uid="{00000000-0005-0000-0000-0000963D0000}"/>
    <cellStyle name="40% - Accent3 6 2 2" xfId="12434" xr:uid="{00000000-0005-0000-0000-0000973D0000}"/>
    <cellStyle name="40% - Accent3 6 2 3" xfId="20179" xr:uid="{00000000-0005-0000-0000-0000983D0000}"/>
    <cellStyle name="40% - Accent3 6 2_DataIX" xfId="31641" xr:uid="{00000000-0005-0000-0000-0000993D0000}"/>
    <cellStyle name="40% - Accent3 6 3" xfId="16743" xr:uid="{00000000-0005-0000-0000-00009A3D0000}"/>
    <cellStyle name="40% - Accent3 6_060617_hinnat" xfId="24745" xr:uid="{00000000-0005-0000-0000-00009B3D0000}"/>
    <cellStyle name="40% - Accent3 7" xfId="3224" xr:uid="{00000000-0005-0000-0000-00009C3D0000}"/>
    <cellStyle name="40% - Accent3 7 2" xfId="8557" xr:uid="{00000000-0005-0000-0000-00009D3D0000}"/>
    <cellStyle name="40% - Accent3 7 2 2" xfId="12435" xr:uid="{00000000-0005-0000-0000-00009E3D0000}"/>
    <cellStyle name="40% - Accent3 7 2 3" xfId="20180" xr:uid="{00000000-0005-0000-0000-00009F3D0000}"/>
    <cellStyle name="40% - Accent3 7 2_DataIX" xfId="31642" xr:uid="{00000000-0005-0000-0000-0000A03D0000}"/>
    <cellStyle name="40% - Accent3 7 3" xfId="16744" xr:uid="{00000000-0005-0000-0000-0000A13D0000}"/>
    <cellStyle name="40% - Accent3 7_060617_hinnat" xfId="24746" xr:uid="{00000000-0005-0000-0000-0000A23D0000}"/>
    <cellStyle name="40% - Accent3 8" xfId="3225" xr:uid="{00000000-0005-0000-0000-0000A33D0000}"/>
    <cellStyle name="40% - Accent3 8 2" xfId="8558" xr:uid="{00000000-0005-0000-0000-0000A43D0000}"/>
    <cellStyle name="40% - Accent3 8 2 2" xfId="12436" xr:uid="{00000000-0005-0000-0000-0000A53D0000}"/>
    <cellStyle name="40% - Accent3 8 2 3" xfId="20181" xr:uid="{00000000-0005-0000-0000-0000A63D0000}"/>
    <cellStyle name="40% - Accent3 8 2_DataIX" xfId="31643" xr:uid="{00000000-0005-0000-0000-0000A73D0000}"/>
    <cellStyle name="40% - Accent3 8 3" xfId="16745" xr:uid="{00000000-0005-0000-0000-0000A83D0000}"/>
    <cellStyle name="40% - Accent3 8_060617_hinnat" xfId="24747" xr:uid="{00000000-0005-0000-0000-0000A93D0000}"/>
    <cellStyle name="40% - Accent3 9" xfId="3226" xr:uid="{00000000-0005-0000-0000-0000AA3D0000}"/>
    <cellStyle name="40% - Accent3 9 2" xfId="8559" xr:uid="{00000000-0005-0000-0000-0000AB3D0000}"/>
    <cellStyle name="40% - Accent3 9 2 2" xfId="12437" xr:uid="{00000000-0005-0000-0000-0000AC3D0000}"/>
    <cellStyle name="40% - Accent3 9 2 3" xfId="20182" xr:uid="{00000000-0005-0000-0000-0000AD3D0000}"/>
    <cellStyle name="40% - Accent3 9 2_DataIX" xfId="31644" xr:uid="{00000000-0005-0000-0000-0000AE3D0000}"/>
    <cellStyle name="40% - Accent3 9 3" xfId="16746" xr:uid="{00000000-0005-0000-0000-0000AF3D0000}"/>
    <cellStyle name="40% - Accent3 9_060617_hinnat" xfId="24748" xr:uid="{00000000-0005-0000-0000-0000B03D0000}"/>
    <cellStyle name="40% - Accent3_##Keskeiset" xfId="5525" xr:uid="{00000000-0005-0000-0000-0000B13D0000}"/>
    <cellStyle name="40% - Accent4" xfId="33" xr:uid="{00000000-0005-0000-0000-0000B23D0000}"/>
    <cellStyle name="40% - Accent4 10" xfId="3227" xr:uid="{00000000-0005-0000-0000-0000B33D0000}"/>
    <cellStyle name="40% - Accent4 10 2" xfId="8560" xr:uid="{00000000-0005-0000-0000-0000B43D0000}"/>
    <cellStyle name="40% - Accent4 10 2 2" xfId="12438" xr:uid="{00000000-0005-0000-0000-0000B53D0000}"/>
    <cellStyle name="40% - Accent4 10 2 3" xfId="20183" xr:uid="{00000000-0005-0000-0000-0000B63D0000}"/>
    <cellStyle name="40% - Accent4 10 2_DataIX" xfId="31645" xr:uid="{00000000-0005-0000-0000-0000B73D0000}"/>
    <cellStyle name="40% - Accent4 10 3" xfId="16747" xr:uid="{00000000-0005-0000-0000-0000B83D0000}"/>
    <cellStyle name="40% - Accent4 10_060617_hinnat" xfId="24750" xr:uid="{00000000-0005-0000-0000-0000B93D0000}"/>
    <cellStyle name="40% - Accent4 11" xfId="24749" xr:uid="{00000000-0005-0000-0000-0000BA3D0000}"/>
    <cellStyle name="40% - Accent4 12" xfId="23628" xr:uid="{00000000-0005-0000-0000-0000BB3D0000}"/>
    <cellStyle name="40% - Accent4 13" xfId="23952" xr:uid="{00000000-0005-0000-0000-0000BC3D0000}"/>
    <cellStyle name="40% - Accent4 14" xfId="23654" xr:uid="{00000000-0005-0000-0000-0000BD3D0000}"/>
    <cellStyle name="40% - Accent4 15" xfId="23922" xr:uid="{00000000-0005-0000-0000-0000BE3D0000}"/>
    <cellStyle name="40% - Accent4 16" xfId="23679" xr:uid="{00000000-0005-0000-0000-0000BF3D0000}"/>
    <cellStyle name="40% - Accent4 17" xfId="28511" xr:uid="{00000000-0005-0000-0000-0000C03D0000}"/>
    <cellStyle name="40% - Accent4 18" xfId="28521" xr:uid="{00000000-0005-0000-0000-0000C13D0000}"/>
    <cellStyle name="40% - Accent4 19" xfId="28557" xr:uid="{00000000-0005-0000-0000-0000C23D0000}"/>
    <cellStyle name="40% - Accent4 2" xfId="34" xr:uid="{00000000-0005-0000-0000-0000C33D0000}"/>
    <cellStyle name="40% - Accent4 2 10" xfId="26081" xr:uid="{00000000-0005-0000-0000-0000C43D0000}"/>
    <cellStyle name="40% - Accent4 2 2" xfId="3228" xr:uid="{00000000-0005-0000-0000-0000C53D0000}"/>
    <cellStyle name="40% - Accent4 2 2 2" xfId="8562" xr:uid="{00000000-0005-0000-0000-0000C63D0000}"/>
    <cellStyle name="40% - Accent4 2 2 2 2" xfId="12439" xr:uid="{00000000-0005-0000-0000-0000C73D0000}"/>
    <cellStyle name="40% - Accent4 2 2 2 3" xfId="20184" xr:uid="{00000000-0005-0000-0000-0000C83D0000}"/>
    <cellStyle name="40% - Accent4 2 2 2_DataIX" xfId="31646" xr:uid="{00000000-0005-0000-0000-0000C93D0000}"/>
    <cellStyle name="40% - Accent4 2 2 3" xfId="16748" xr:uid="{00000000-0005-0000-0000-0000CA3D0000}"/>
    <cellStyle name="40% - Accent4 2 2_060617_hinnat" xfId="24751" xr:uid="{00000000-0005-0000-0000-0000CB3D0000}"/>
    <cellStyle name="40% - Accent4 2 3" xfId="25087" xr:uid="{00000000-0005-0000-0000-0000CC3D0000}"/>
    <cellStyle name="40% - Accent4 2 4" xfId="25653" xr:uid="{00000000-0005-0000-0000-0000CD3D0000}"/>
    <cellStyle name="40% - Accent4 2 5" xfId="25960" xr:uid="{00000000-0005-0000-0000-0000CE3D0000}"/>
    <cellStyle name="40% - Accent4 2 6" xfId="26327" xr:uid="{00000000-0005-0000-0000-0000CF3D0000}"/>
    <cellStyle name="40% - Accent4 2 7" xfId="26354" xr:uid="{00000000-0005-0000-0000-0000D03D0000}"/>
    <cellStyle name="40% - Accent4 2 8" xfId="25371" xr:uid="{00000000-0005-0000-0000-0000D13D0000}"/>
    <cellStyle name="40% - Accent4 2 9" xfId="25417" xr:uid="{00000000-0005-0000-0000-0000D23D0000}"/>
    <cellStyle name="40% - Accent4 2_##Keskeiset" xfId="8561" xr:uid="{00000000-0005-0000-0000-0000D33D0000}"/>
    <cellStyle name="40% - Accent4 3" xfId="3229" xr:uid="{00000000-0005-0000-0000-0000D43D0000}"/>
    <cellStyle name="40% - Accent4 3 2" xfId="3230" xr:uid="{00000000-0005-0000-0000-0000D53D0000}"/>
    <cellStyle name="40% - Accent4 3 2 2" xfId="8564" xr:uid="{00000000-0005-0000-0000-0000D63D0000}"/>
    <cellStyle name="40% - Accent4 3 2 2 2" xfId="12440" xr:uid="{00000000-0005-0000-0000-0000D73D0000}"/>
    <cellStyle name="40% - Accent4 3 2 2 3" xfId="20185" xr:uid="{00000000-0005-0000-0000-0000D83D0000}"/>
    <cellStyle name="40% - Accent4 3 2 2_DataIX" xfId="31647" xr:uid="{00000000-0005-0000-0000-0000D93D0000}"/>
    <cellStyle name="40% - Accent4 3 2 3" xfId="16750" xr:uid="{00000000-0005-0000-0000-0000DA3D0000}"/>
    <cellStyle name="40% - Accent4 3 2_060617_hinnat" xfId="24752" xr:uid="{00000000-0005-0000-0000-0000DB3D0000}"/>
    <cellStyle name="40% - Accent4 3 3" xfId="5528" xr:uid="{00000000-0005-0000-0000-0000DC3D0000}"/>
    <cellStyle name="40% - Accent4 3 3 2" xfId="12441" xr:uid="{00000000-0005-0000-0000-0000DD3D0000}"/>
    <cellStyle name="40% - Accent4 3 3 3" xfId="18763" xr:uid="{00000000-0005-0000-0000-0000DE3D0000}"/>
    <cellStyle name="40% - Accent4 3 3_DataIX" xfId="31648" xr:uid="{00000000-0005-0000-0000-0000DF3D0000}"/>
    <cellStyle name="40% - Accent4 3 4" xfId="16749" xr:uid="{00000000-0005-0000-0000-0000E03D0000}"/>
    <cellStyle name="40% - Accent4 3_##Keskeiset" xfId="8563" xr:uid="{00000000-0005-0000-0000-0000E13D0000}"/>
    <cellStyle name="40% - Accent4 4" xfId="3231" xr:uid="{00000000-0005-0000-0000-0000E23D0000}"/>
    <cellStyle name="40% - Accent4 4 2" xfId="3232" xr:uid="{00000000-0005-0000-0000-0000E33D0000}"/>
    <cellStyle name="40% - Accent4 4 2 2" xfId="8566" xr:uid="{00000000-0005-0000-0000-0000E43D0000}"/>
    <cellStyle name="40% - Accent4 4 2 2 2" xfId="12442" xr:uid="{00000000-0005-0000-0000-0000E53D0000}"/>
    <cellStyle name="40% - Accent4 4 2 2 3" xfId="20187" xr:uid="{00000000-0005-0000-0000-0000E63D0000}"/>
    <cellStyle name="40% - Accent4 4 2 2_DataIX" xfId="31649" xr:uid="{00000000-0005-0000-0000-0000E73D0000}"/>
    <cellStyle name="40% - Accent4 4 2 3" xfId="16752" xr:uid="{00000000-0005-0000-0000-0000E83D0000}"/>
    <cellStyle name="40% - Accent4 4 2_060617_hinnat" xfId="24753" xr:uid="{00000000-0005-0000-0000-0000E93D0000}"/>
    <cellStyle name="40% - Accent4 4 3" xfId="8565" xr:uid="{00000000-0005-0000-0000-0000EA3D0000}"/>
    <cellStyle name="40% - Accent4 4 3 2" xfId="12443" xr:uid="{00000000-0005-0000-0000-0000EB3D0000}"/>
    <cellStyle name="40% - Accent4 4 3 3" xfId="20186" xr:uid="{00000000-0005-0000-0000-0000EC3D0000}"/>
    <cellStyle name="40% - Accent4 4 3_DataIX" xfId="31650" xr:uid="{00000000-0005-0000-0000-0000ED3D0000}"/>
    <cellStyle name="40% - Accent4 4 4" xfId="16751" xr:uid="{00000000-0005-0000-0000-0000EE3D0000}"/>
    <cellStyle name="40% - Accent4 4_060617_hinnat" xfId="24754" xr:uid="{00000000-0005-0000-0000-0000EF3D0000}"/>
    <cellStyle name="40% - Accent4 5" xfId="3233" xr:uid="{00000000-0005-0000-0000-0000F03D0000}"/>
    <cellStyle name="40% - Accent4 5 2" xfId="8567" xr:uid="{00000000-0005-0000-0000-0000F13D0000}"/>
    <cellStyle name="40% - Accent4 5 2 2" xfId="12444" xr:uid="{00000000-0005-0000-0000-0000F23D0000}"/>
    <cellStyle name="40% - Accent4 5 2 3" xfId="20188" xr:uid="{00000000-0005-0000-0000-0000F33D0000}"/>
    <cellStyle name="40% - Accent4 5 2_DataIX" xfId="31651" xr:uid="{00000000-0005-0000-0000-0000F43D0000}"/>
    <cellStyle name="40% - Accent4 5 3" xfId="16753" xr:uid="{00000000-0005-0000-0000-0000F53D0000}"/>
    <cellStyle name="40% - Accent4 5_060617_hinnat" xfId="24755" xr:uid="{00000000-0005-0000-0000-0000F63D0000}"/>
    <cellStyle name="40% - Accent4 6" xfId="3234" xr:uid="{00000000-0005-0000-0000-0000F73D0000}"/>
    <cellStyle name="40% - Accent4 6 2" xfId="8568" xr:uid="{00000000-0005-0000-0000-0000F83D0000}"/>
    <cellStyle name="40% - Accent4 6 2 2" xfId="12445" xr:uid="{00000000-0005-0000-0000-0000F93D0000}"/>
    <cellStyle name="40% - Accent4 6 2 3" xfId="20189" xr:uid="{00000000-0005-0000-0000-0000FA3D0000}"/>
    <cellStyle name="40% - Accent4 6 2_DataIX" xfId="31652" xr:uid="{00000000-0005-0000-0000-0000FB3D0000}"/>
    <cellStyle name="40% - Accent4 6 3" xfId="16754" xr:uid="{00000000-0005-0000-0000-0000FC3D0000}"/>
    <cellStyle name="40% - Accent4 6_060617_hinnat" xfId="24757" xr:uid="{00000000-0005-0000-0000-0000FD3D0000}"/>
    <cellStyle name="40% - Accent4 7" xfId="3235" xr:uid="{00000000-0005-0000-0000-0000FE3D0000}"/>
    <cellStyle name="40% - Accent4 7 2" xfId="8569" xr:uid="{00000000-0005-0000-0000-0000FF3D0000}"/>
    <cellStyle name="40% - Accent4 7 2 2" xfId="12446" xr:uid="{00000000-0005-0000-0000-0000003E0000}"/>
    <cellStyle name="40% - Accent4 7 2 3" xfId="20190" xr:uid="{00000000-0005-0000-0000-0000013E0000}"/>
    <cellStyle name="40% - Accent4 7 2_DataIX" xfId="31653" xr:uid="{00000000-0005-0000-0000-0000023E0000}"/>
    <cellStyle name="40% - Accent4 7 3" xfId="16755" xr:uid="{00000000-0005-0000-0000-0000033E0000}"/>
    <cellStyle name="40% - Accent4 7_060617_hinnat" xfId="24758" xr:uid="{00000000-0005-0000-0000-0000043E0000}"/>
    <cellStyle name="40% - Accent4 8" xfId="3236" xr:uid="{00000000-0005-0000-0000-0000053E0000}"/>
    <cellStyle name="40% - Accent4 8 2" xfId="8570" xr:uid="{00000000-0005-0000-0000-0000063E0000}"/>
    <cellStyle name="40% - Accent4 8 2 2" xfId="12447" xr:uid="{00000000-0005-0000-0000-0000073E0000}"/>
    <cellStyle name="40% - Accent4 8 2 3" xfId="20191" xr:uid="{00000000-0005-0000-0000-0000083E0000}"/>
    <cellStyle name="40% - Accent4 8 2_DataIX" xfId="31654" xr:uid="{00000000-0005-0000-0000-0000093E0000}"/>
    <cellStyle name="40% - Accent4 8 3" xfId="16756" xr:uid="{00000000-0005-0000-0000-00000A3E0000}"/>
    <cellStyle name="40% - Accent4 8_060617_hinnat" xfId="24759" xr:uid="{00000000-0005-0000-0000-00000B3E0000}"/>
    <cellStyle name="40% - Accent4 9" xfId="3237" xr:uid="{00000000-0005-0000-0000-00000C3E0000}"/>
    <cellStyle name="40% - Accent4 9 2" xfId="8571" xr:uid="{00000000-0005-0000-0000-00000D3E0000}"/>
    <cellStyle name="40% - Accent4 9 2 2" xfId="12448" xr:uid="{00000000-0005-0000-0000-00000E3E0000}"/>
    <cellStyle name="40% - Accent4 9 2 3" xfId="20192" xr:uid="{00000000-0005-0000-0000-00000F3E0000}"/>
    <cellStyle name="40% - Accent4 9 2_DataIX" xfId="31655" xr:uid="{00000000-0005-0000-0000-0000103E0000}"/>
    <cellStyle name="40% - Accent4 9 3" xfId="16757" xr:uid="{00000000-0005-0000-0000-0000113E0000}"/>
    <cellStyle name="40% - Accent4 9_060617_hinnat" xfId="24761" xr:uid="{00000000-0005-0000-0000-0000123E0000}"/>
    <cellStyle name="40% - Accent4_##Keskeiset" xfId="5527" xr:uid="{00000000-0005-0000-0000-0000133E0000}"/>
    <cellStyle name="40% - Accent5" xfId="35" xr:uid="{00000000-0005-0000-0000-0000143E0000}"/>
    <cellStyle name="40% - Accent5 10" xfId="3238" xr:uid="{00000000-0005-0000-0000-0000153E0000}"/>
    <cellStyle name="40% - Accent5 10 2" xfId="8572" xr:uid="{00000000-0005-0000-0000-0000163E0000}"/>
    <cellStyle name="40% - Accent5 10 2 2" xfId="12449" xr:uid="{00000000-0005-0000-0000-0000173E0000}"/>
    <cellStyle name="40% - Accent5 10 2 3" xfId="20193" xr:uid="{00000000-0005-0000-0000-0000183E0000}"/>
    <cellStyle name="40% - Accent5 10 2_DataIX" xfId="31656" xr:uid="{00000000-0005-0000-0000-0000193E0000}"/>
    <cellStyle name="40% - Accent5 10 3" xfId="16758" xr:uid="{00000000-0005-0000-0000-00001A3E0000}"/>
    <cellStyle name="40% - Accent5 10_060617_hinnat" xfId="24763" xr:uid="{00000000-0005-0000-0000-00001B3E0000}"/>
    <cellStyle name="40% - Accent5 11" xfId="24762" xr:uid="{00000000-0005-0000-0000-00001C3E0000}"/>
    <cellStyle name="40% - Accent5 12" xfId="23604" xr:uid="{00000000-0005-0000-0000-00001D3E0000}"/>
    <cellStyle name="40% - Accent5 13" xfId="23973" xr:uid="{00000000-0005-0000-0000-00001E3E0000}"/>
    <cellStyle name="40% - Accent5 14" xfId="26751" xr:uid="{00000000-0005-0000-0000-00001F3E0000}"/>
    <cellStyle name="40% - Accent5 15" xfId="25007" xr:uid="{00000000-0005-0000-0000-0000203E0000}"/>
    <cellStyle name="40% - Accent5 16" xfId="26754" xr:uid="{00000000-0005-0000-0000-0000213E0000}"/>
    <cellStyle name="40% - Accent5 17" xfId="28512" xr:uid="{00000000-0005-0000-0000-0000223E0000}"/>
    <cellStyle name="40% - Accent5 18" xfId="28520" xr:uid="{00000000-0005-0000-0000-0000233E0000}"/>
    <cellStyle name="40% - Accent5 19" xfId="28558" xr:uid="{00000000-0005-0000-0000-0000243E0000}"/>
    <cellStyle name="40% - Accent5 2" xfId="36" xr:uid="{00000000-0005-0000-0000-0000253E0000}"/>
    <cellStyle name="40% - Accent5 2 10" xfId="25377" xr:uid="{00000000-0005-0000-0000-0000263E0000}"/>
    <cellStyle name="40% - Accent5 2 2" xfId="3239" xr:uid="{00000000-0005-0000-0000-0000273E0000}"/>
    <cellStyle name="40% - Accent5 2 2 2" xfId="8574" xr:uid="{00000000-0005-0000-0000-0000283E0000}"/>
    <cellStyle name="40% - Accent5 2 2 2 2" xfId="12450" xr:uid="{00000000-0005-0000-0000-0000293E0000}"/>
    <cellStyle name="40% - Accent5 2 2 2 3" xfId="20194" xr:uid="{00000000-0005-0000-0000-00002A3E0000}"/>
    <cellStyle name="40% - Accent5 2 2 2_DataIX" xfId="31657" xr:uid="{00000000-0005-0000-0000-00002B3E0000}"/>
    <cellStyle name="40% - Accent5 2 2 3" xfId="16759" xr:uid="{00000000-0005-0000-0000-00002C3E0000}"/>
    <cellStyle name="40% - Accent5 2 2_060617_hinnat" xfId="24764" xr:uid="{00000000-0005-0000-0000-00002D3E0000}"/>
    <cellStyle name="40% - Accent5 2 3" xfId="25088" xr:uid="{00000000-0005-0000-0000-00002E3E0000}"/>
    <cellStyle name="40% - Accent5 2 4" xfId="26491" xr:uid="{00000000-0005-0000-0000-00002F3E0000}"/>
    <cellStyle name="40% - Accent5 2 5" xfId="26587" xr:uid="{00000000-0005-0000-0000-0000303E0000}"/>
    <cellStyle name="40% - Accent5 2 6" xfId="26238" xr:uid="{00000000-0005-0000-0000-0000313E0000}"/>
    <cellStyle name="40% - Accent5 2 7" xfId="25477" xr:uid="{00000000-0005-0000-0000-0000323E0000}"/>
    <cellStyle name="40% - Accent5 2 8" xfId="25310" xr:uid="{00000000-0005-0000-0000-0000333E0000}"/>
    <cellStyle name="40% - Accent5 2 9" xfId="26610" xr:uid="{00000000-0005-0000-0000-0000343E0000}"/>
    <cellStyle name="40% - Accent5 2_##Keskeiset" xfId="8573" xr:uid="{00000000-0005-0000-0000-0000353E0000}"/>
    <cellStyle name="40% - Accent5 3" xfId="3240" xr:uid="{00000000-0005-0000-0000-0000363E0000}"/>
    <cellStyle name="40% - Accent5 3 2" xfId="3241" xr:uid="{00000000-0005-0000-0000-0000373E0000}"/>
    <cellStyle name="40% - Accent5 3 2 2" xfId="8576" xr:uid="{00000000-0005-0000-0000-0000383E0000}"/>
    <cellStyle name="40% - Accent5 3 2 2 2" xfId="12451" xr:uid="{00000000-0005-0000-0000-0000393E0000}"/>
    <cellStyle name="40% - Accent5 3 2 2 3" xfId="20195" xr:uid="{00000000-0005-0000-0000-00003A3E0000}"/>
    <cellStyle name="40% - Accent5 3 2 2_DataIX" xfId="31658" xr:uid="{00000000-0005-0000-0000-00003B3E0000}"/>
    <cellStyle name="40% - Accent5 3 2 3" xfId="16761" xr:uid="{00000000-0005-0000-0000-00003C3E0000}"/>
    <cellStyle name="40% - Accent5 3 2_060617_hinnat" xfId="24765" xr:uid="{00000000-0005-0000-0000-00003D3E0000}"/>
    <cellStyle name="40% - Accent5 3 3" xfId="5530" xr:uid="{00000000-0005-0000-0000-00003E3E0000}"/>
    <cellStyle name="40% - Accent5 3 3 2" xfId="12452" xr:uid="{00000000-0005-0000-0000-00003F3E0000}"/>
    <cellStyle name="40% - Accent5 3 3 3" xfId="18764" xr:uid="{00000000-0005-0000-0000-0000403E0000}"/>
    <cellStyle name="40% - Accent5 3 3_DataIX" xfId="31659" xr:uid="{00000000-0005-0000-0000-0000413E0000}"/>
    <cellStyle name="40% - Accent5 3 4" xfId="16760" xr:uid="{00000000-0005-0000-0000-0000423E0000}"/>
    <cellStyle name="40% - Accent5 3_##Keskeiset" xfId="8575" xr:uid="{00000000-0005-0000-0000-0000433E0000}"/>
    <cellStyle name="40% - Accent5 4" xfId="3242" xr:uid="{00000000-0005-0000-0000-0000443E0000}"/>
    <cellStyle name="40% - Accent5 4 2" xfId="3243" xr:uid="{00000000-0005-0000-0000-0000453E0000}"/>
    <cellStyle name="40% - Accent5 4 2 2" xfId="8578" xr:uid="{00000000-0005-0000-0000-0000463E0000}"/>
    <cellStyle name="40% - Accent5 4 2 2 2" xfId="12453" xr:uid="{00000000-0005-0000-0000-0000473E0000}"/>
    <cellStyle name="40% - Accent5 4 2 2 3" xfId="20197" xr:uid="{00000000-0005-0000-0000-0000483E0000}"/>
    <cellStyle name="40% - Accent5 4 2 2_DataIX" xfId="31660" xr:uid="{00000000-0005-0000-0000-0000493E0000}"/>
    <cellStyle name="40% - Accent5 4 2 3" xfId="16763" xr:uid="{00000000-0005-0000-0000-00004A3E0000}"/>
    <cellStyle name="40% - Accent5 4 2_060617_hinnat" xfId="24766" xr:uid="{00000000-0005-0000-0000-00004B3E0000}"/>
    <cellStyle name="40% - Accent5 4 3" xfId="8577" xr:uid="{00000000-0005-0000-0000-00004C3E0000}"/>
    <cellStyle name="40% - Accent5 4 3 2" xfId="12454" xr:uid="{00000000-0005-0000-0000-00004D3E0000}"/>
    <cellStyle name="40% - Accent5 4 3 3" xfId="20196" xr:uid="{00000000-0005-0000-0000-00004E3E0000}"/>
    <cellStyle name="40% - Accent5 4 3_DataIX" xfId="31661" xr:uid="{00000000-0005-0000-0000-00004F3E0000}"/>
    <cellStyle name="40% - Accent5 4 4" xfId="16762" xr:uid="{00000000-0005-0000-0000-0000503E0000}"/>
    <cellStyle name="40% - Accent5 4_060617_hinnat" xfId="24767" xr:uid="{00000000-0005-0000-0000-0000513E0000}"/>
    <cellStyle name="40% - Accent5 5" xfId="3244" xr:uid="{00000000-0005-0000-0000-0000523E0000}"/>
    <cellStyle name="40% - Accent5 5 2" xfId="8579" xr:uid="{00000000-0005-0000-0000-0000533E0000}"/>
    <cellStyle name="40% - Accent5 5 2 2" xfId="12455" xr:uid="{00000000-0005-0000-0000-0000543E0000}"/>
    <cellStyle name="40% - Accent5 5 2 3" xfId="20198" xr:uid="{00000000-0005-0000-0000-0000553E0000}"/>
    <cellStyle name="40% - Accent5 5 2_DataIX" xfId="31662" xr:uid="{00000000-0005-0000-0000-0000563E0000}"/>
    <cellStyle name="40% - Accent5 5 3" xfId="16764" xr:uid="{00000000-0005-0000-0000-0000573E0000}"/>
    <cellStyle name="40% - Accent5 5_060617_hinnat" xfId="24768" xr:uid="{00000000-0005-0000-0000-0000583E0000}"/>
    <cellStyle name="40% - Accent5 6" xfId="3245" xr:uid="{00000000-0005-0000-0000-0000593E0000}"/>
    <cellStyle name="40% - Accent5 6 2" xfId="8580" xr:uid="{00000000-0005-0000-0000-00005A3E0000}"/>
    <cellStyle name="40% - Accent5 6 2 2" xfId="12456" xr:uid="{00000000-0005-0000-0000-00005B3E0000}"/>
    <cellStyle name="40% - Accent5 6 2 3" xfId="20199" xr:uid="{00000000-0005-0000-0000-00005C3E0000}"/>
    <cellStyle name="40% - Accent5 6 2_DataIX" xfId="31663" xr:uid="{00000000-0005-0000-0000-00005D3E0000}"/>
    <cellStyle name="40% - Accent5 6 3" xfId="16765" xr:uid="{00000000-0005-0000-0000-00005E3E0000}"/>
    <cellStyle name="40% - Accent5 6_060617_hinnat" xfId="24769" xr:uid="{00000000-0005-0000-0000-00005F3E0000}"/>
    <cellStyle name="40% - Accent5 7" xfId="3246" xr:uid="{00000000-0005-0000-0000-0000603E0000}"/>
    <cellStyle name="40% - Accent5 7 2" xfId="8581" xr:uid="{00000000-0005-0000-0000-0000613E0000}"/>
    <cellStyle name="40% - Accent5 7 2 2" xfId="12457" xr:uid="{00000000-0005-0000-0000-0000623E0000}"/>
    <cellStyle name="40% - Accent5 7 2 3" xfId="20200" xr:uid="{00000000-0005-0000-0000-0000633E0000}"/>
    <cellStyle name="40% - Accent5 7 2_DataIX" xfId="31664" xr:uid="{00000000-0005-0000-0000-0000643E0000}"/>
    <cellStyle name="40% - Accent5 7 3" xfId="16766" xr:uid="{00000000-0005-0000-0000-0000653E0000}"/>
    <cellStyle name="40% - Accent5 7_060617_hinnat" xfId="24770" xr:uid="{00000000-0005-0000-0000-0000663E0000}"/>
    <cellStyle name="40% - Accent5 8" xfId="3247" xr:uid="{00000000-0005-0000-0000-0000673E0000}"/>
    <cellStyle name="40% - Accent5 8 2" xfId="8582" xr:uid="{00000000-0005-0000-0000-0000683E0000}"/>
    <cellStyle name="40% - Accent5 8 2 2" xfId="12458" xr:uid="{00000000-0005-0000-0000-0000693E0000}"/>
    <cellStyle name="40% - Accent5 8 2 3" xfId="20201" xr:uid="{00000000-0005-0000-0000-00006A3E0000}"/>
    <cellStyle name="40% - Accent5 8 2_DataIX" xfId="31665" xr:uid="{00000000-0005-0000-0000-00006B3E0000}"/>
    <cellStyle name="40% - Accent5 8 3" xfId="16767" xr:uid="{00000000-0005-0000-0000-00006C3E0000}"/>
    <cellStyle name="40% - Accent5 8_060617_hinnat" xfId="24771" xr:uid="{00000000-0005-0000-0000-00006D3E0000}"/>
    <cellStyle name="40% - Accent5 9" xfId="3248" xr:uid="{00000000-0005-0000-0000-00006E3E0000}"/>
    <cellStyle name="40% - Accent5 9 2" xfId="8583" xr:uid="{00000000-0005-0000-0000-00006F3E0000}"/>
    <cellStyle name="40% - Accent5 9 2 2" xfId="12459" xr:uid="{00000000-0005-0000-0000-0000703E0000}"/>
    <cellStyle name="40% - Accent5 9 2 3" xfId="20202" xr:uid="{00000000-0005-0000-0000-0000713E0000}"/>
    <cellStyle name="40% - Accent5 9 2_DataIX" xfId="31666" xr:uid="{00000000-0005-0000-0000-0000723E0000}"/>
    <cellStyle name="40% - Accent5 9 3" xfId="16768" xr:uid="{00000000-0005-0000-0000-0000733E0000}"/>
    <cellStyle name="40% - Accent5 9_060617_hinnat" xfId="24772" xr:uid="{00000000-0005-0000-0000-0000743E0000}"/>
    <cellStyle name="40% - Accent5_##Keskeiset" xfId="5529" xr:uid="{00000000-0005-0000-0000-0000753E0000}"/>
    <cellStyle name="40% - Accent6" xfId="37" xr:uid="{00000000-0005-0000-0000-0000763E0000}"/>
    <cellStyle name="40% - Accent6 10" xfId="3249" xr:uid="{00000000-0005-0000-0000-0000773E0000}"/>
    <cellStyle name="40% - Accent6 10 2" xfId="8584" xr:uid="{00000000-0005-0000-0000-0000783E0000}"/>
    <cellStyle name="40% - Accent6 10 2 2" xfId="12460" xr:uid="{00000000-0005-0000-0000-0000793E0000}"/>
    <cellStyle name="40% - Accent6 10 2 3" xfId="20203" xr:uid="{00000000-0005-0000-0000-00007A3E0000}"/>
    <cellStyle name="40% - Accent6 10 2_DataIX" xfId="31667" xr:uid="{00000000-0005-0000-0000-00007B3E0000}"/>
    <cellStyle name="40% - Accent6 10 3" xfId="16769" xr:uid="{00000000-0005-0000-0000-00007C3E0000}"/>
    <cellStyle name="40% - Accent6 10_060617_hinnat" xfId="24774" xr:uid="{00000000-0005-0000-0000-00007D3E0000}"/>
    <cellStyle name="40% - Accent6 11" xfId="24773" xr:uid="{00000000-0005-0000-0000-00007E3E0000}"/>
    <cellStyle name="40% - Accent6 12" xfId="23585" xr:uid="{00000000-0005-0000-0000-00007F3E0000}"/>
    <cellStyle name="40% - Accent6 13" xfId="23993" xr:uid="{00000000-0005-0000-0000-0000803E0000}"/>
    <cellStyle name="40% - Accent6 14" xfId="23621" xr:uid="{00000000-0005-0000-0000-0000813E0000}"/>
    <cellStyle name="40% - Accent6 15" xfId="23957" xr:uid="{00000000-0005-0000-0000-0000823E0000}"/>
    <cellStyle name="40% - Accent6 16" xfId="23650" xr:uid="{00000000-0005-0000-0000-0000833E0000}"/>
    <cellStyle name="40% - Accent6 17" xfId="28513" xr:uid="{00000000-0005-0000-0000-0000843E0000}"/>
    <cellStyle name="40% - Accent6 18" xfId="28519" xr:uid="{00000000-0005-0000-0000-0000853E0000}"/>
    <cellStyle name="40% - Accent6 19" xfId="28566" xr:uid="{00000000-0005-0000-0000-0000863E0000}"/>
    <cellStyle name="40% - Accent6 2" xfId="38" xr:uid="{00000000-0005-0000-0000-0000873E0000}"/>
    <cellStyle name="40% - Accent6 2 10" xfId="25896" xr:uid="{00000000-0005-0000-0000-0000883E0000}"/>
    <cellStyle name="40% - Accent6 2 2" xfId="3250" xr:uid="{00000000-0005-0000-0000-0000893E0000}"/>
    <cellStyle name="40% - Accent6 2 2 2" xfId="8586" xr:uid="{00000000-0005-0000-0000-00008A3E0000}"/>
    <cellStyle name="40% - Accent6 2 2 2 2" xfId="12461" xr:uid="{00000000-0005-0000-0000-00008B3E0000}"/>
    <cellStyle name="40% - Accent6 2 2 2 3" xfId="20204" xr:uid="{00000000-0005-0000-0000-00008C3E0000}"/>
    <cellStyle name="40% - Accent6 2 2 2_DataIX" xfId="31668" xr:uid="{00000000-0005-0000-0000-00008D3E0000}"/>
    <cellStyle name="40% - Accent6 2 2 3" xfId="16770" xr:uid="{00000000-0005-0000-0000-00008E3E0000}"/>
    <cellStyle name="40% - Accent6 2 2_060617_hinnat" xfId="24775" xr:uid="{00000000-0005-0000-0000-00008F3E0000}"/>
    <cellStyle name="40% - Accent6 2 3" xfId="25089" xr:uid="{00000000-0005-0000-0000-0000903E0000}"/>
    <cellStyle name="40% - Accent6 2 4" xfId="26175" xr:uid="{00000000-0005-0000-0000-0000913E0000}"/>
    <cellStyle name="40% - Accent6 2 5" xfId="26284" xr:uid="{00000000-0005-0000-0000-0000923E0000}"/>
    <cellStyle name="40% - Accent6 2 6" xfId="25257" xr:uid="{00000000-0005-0000-0000-0000933E0000}"/>
    <cellStyle name="40% - Accent6 2 7" xfId="25938" xr:uid="{00000000-0005-0000-0000-0000943E0000}"/>
    <cellStyle name="40% - Accent6 2 8" xfId="25472" xr:uid="{00000000-0005-0000-0000-0000953E0000}"/>
    <cellStyle name="40% - Accent6 2 9" xfId="25500" xr:uid="{00000000-0005-0000-0000-0000963E0000}"/>
    <cellStyle name="40% - Accent6 2_##Keskeiset" xfId="8585" xr:uid="{00000000-0005-0000-0000-0000973E0000}"/>
    <cellStyle name="40% - Accent6 3" xfId="3251" xr:uid="{00000000-0005-0000-0000-0000983E0000}"/>
    <cellStyle name="40% - Accent6 3 2" xfId="3252" xr:uid="{00000000-0005-0000-0000-0000993E0000}"/>
    <cellStyle name="40% - Accent6 3 2 2" xfId="8588" xr:uid="{00000000-0005-0000-0000-00009A3E0000}"/>
    <cellStyle name="40% - Accent6 3 2 2 2" xfId="12462" xr:uid="{00000000-0005-0000-0000-00009B3E0000}"/>
    <cellStyle name="40% - Accent6 3 2 2 3" xfId="20205" xr:uid="{00000000-0005-0000-0000-00009C3E0000}"/>
    <cellStyle name="40% - Accent6 3 2 2_DataIX" xfId="31669" xr:uid="{00000000-0005-0000-0000-00009D3E0000}"/>
    <cellStyle name="40% - Accent6 3 2 3" xfId="16772" xr:uid="{00000000-0005-0000-0000-00009E3E0000}"/>
    <cellStyle name="40% - Accent6 3 2_060617_hinnat" xfId="24776" xr:uid="{00000000-0005-0000-0000-00009F3E0000}"/>
    <cellStyle name="40% - Accent6 3 3" xfId="5532" xr:uid="{00000000-0005-0000-0000-0000A03E0000}"/>
    <cellStyle name="40% - Accent6 3 3 2" xfId="12463" xr:uid="{00000000-0005-0000-0000-0000A13E0000}"/>
    <cellStyle name="40% - Accent6 3 3 3" xfId="18766" xr:uid="{00000000-0005-0000-0000-0000A23E0000}"/>
    <cellStyle name="40% - Accent6 3 3_DataIX" xfId="31670" xr:uid="{00000000-0005-0000-0000-0000A33E0000}"/>
    <cellStyle name="40% - Accent6 3 4" xfId="16771" xr:uid="{00000000-0005-0000-0000-0000A43E0000}"/>
    <cellStyle name="40% - Accent6 3_##Keskeiset" xfId="8587" xr:uid="{00000000-0005-0000-0000-0000A53E0000}"/>
    <cellStyle name="40% - Accent6 4" xfId="3253" xr:uid="{00000000-0005-0000-0000-0000A63E0000}"/>
    <cellStyle name="40% - Accent6 4 2" xfId="3254" xr:uid="{00000000-0005-0000-0000-0000A73E0000}"/>
    <cellStyle name="40% - Accent6 4 2 2" xfId="8590" xr:uid="{00000000-0005-0000-0000-0000A83E0000}"/>
    <cellStyle name="40% - Accent6 4 2 2 2" xfId="12464" xr:uid="{00000000-0005-0000-0000-0000A93E0000}"/>
    <cellStyle name="40% - Accent6 4 2 2 3" xfId="20207" xr:uid="{00000000-0005-0000-0000-0000AA3E0000}"/>
    <cellStyle name="40% - Accent6 4 2 2_DataIX" xfId="31671" xr:uid="{00000000-0005-0000-0000-0000AB3E0000}"/>
    <cellStyle name="40% - Accent6 4 2 3" xfId="16774" xr:uid="{00000000-0005-0000-0000-0000AC3E0000}"/>
    <cellStyle name="40% - Accent6 4 2_060617_hinnat" xfId="24777" xr:uid="{00000000-0005-0000-0000-0000AD3E0000}"/>
    <cellStyle name="40% - Accent6 4 3" xfId="8589" xr:uid="{00000000-0005-0000-0000-0000AE3E0000}"/>
    <cellStyle name="40% - Accent6 4 3 2" xfId="12465" xr:uid="{00000000-0005-0000-0000-0000AF3E0000}"/>
    <cellStyle name="40% - Accent6 4 3 3" xfId="20206" xr:uid="{00000000-0005-0000-0000-0000B03E0000}"/>
    <cellStyle name="40% - Accent6 4 3_DataIX" xfId="31672" xr:uid="{00000000-0005-0000-0000-0000B13E0000}"/>
    <cellStyle name="40% - Accent6 4 4" xfId="16773" xr:uid="{00000000-0005-0000-0000-0000B23E0000}"/>
    <cellStyle name="40% - Accent6 4_060617_hinnat" xfId="24778" xr:uid="{00000000-0005-0000-0000-0000B33E0000}"/>
    <cellStyle name="40% - Accent6 5" xfId="3255" xr:uid="{00000000-0005-0000-0000-0000B43E0000}"/>
    <cellStyle name="40% - Accent6 5 2" xfId="8591" xr:uid="{00000000-0005-0000-0000-0000B53E0000}"/>
    <cellStyle name="40% - Accent6 5 2 2" xfId="12466" xr:uid="{00000000-0005-0000-0000-0000B63E0000}"/>
    <cellStyle name="40% - Accent6 5 2 3" xfId="20208" xr:uid="{00000000-0005-0000-0000-0000B73E0000}"/>
    <cellStyle name="40% - Accent6 5 2_DataIX" xfId="31673" xr:uid="{00000000-0005-0000-0000-0000B83E0000}"/>
    <cellStyle name="40% - Accent6 5 3" xfId="16775" xr:uid="{00000000-0005-0000-0000-0000B93E0000}"/>
    <cellStyle name="40% - Accent6 5_060617_hinnat" xfId="24779" xr:uid="{00000000-0005-0000-0000-0000BA3E0000}"/>
    <cellStyle name="40% - Accent6 6" xfId="3256" xr:uid="{00000000-0005-0000-0000-0000BB3E0000}"/>
    <cellStyle name="40% - Accent6 6 2" xfId="8592" xr:uid="{00000000-0005-0000-0000-0000BC3E0000}"/>
    <cellStyle name="40% - Accent6 6 2 2" xfId="12467" xr:uid="{00000000-0005-0000-0000-0000BD3E0000}"/>
    <cellStyle name="40% - Accent6 6 2 3" xfId="20209" xr:uid="{00000000-0005-0000-0000-0000BE3E0000}"/>
    <cellStyle name="40% - Accent6 6 2_DataIX" xfId="31674" xr:uid="{00000000-0005-0000-0000-0000BF3E0000}"/>
    <cellStyle name="40% - Accent6 6 3" xfId="16776" xr:uid="{00000000-0005-0000-0000-0000C03E0000}"/>
    <cellStyle name="40% - Accent6 6_060617_hinnat" xfId="24780" xr:uid="{00000000-0005-0000-0000-0000C13E0000}"/>
    <cellStyle name="40% - Accent6 7" xfId="3257" xr:uid="{00000000-0005-0000-0000-0000C23E0000}"/>
    <cellStyle name="40% - Accent6 7 2" xfId="8593" xr:uid="{00000000-0005-0000-0000-0000C33E0000}"/>
    <cellStyle name="40% - Accent6 7 2 2" xfId="12468" xr:uid="{00000000-0005-0000-0000-0000C43E0000}"/>
    <cellStyle name="40% - Accent6 7 2 3" xfId="20210" xr:uid="{00000000-0005-0000-0000-0000C53E0000}"/>
    <cellStyle name="40% - Accent6 7 2_DataIX" xfId="31675" xr:uid="{00000000-0005-0000-0000-0000C63E0000}"/>
    <cellStyle name="40% - Accent6 7 3" xfId="16777" xr:uid="{00000000-0005-0000-0000-0000C73E0000}"/>
    <cellStyle name="40% - Accent6 7_060617_hinnat" xfId="24781" xr:uid="{00000000-0005-0000-0000-0000C83E0000}"/>
    <cellStyle name="40% - Accent6 8" xfId="3258" xr:uid="{00000000-0005-0000-0000-0000C93E0000}"/>
    <cellStyle name="40% - Accent6 8 2" xfId="8594" xr:uid="{00000000-0005-0000-0000-0000CA3E0000}"/>
    <cellStyle name="40% - Accent6 8 2 2" xfId="12469" xr:uid="{00000000-0005-0000-0000-0000CB3E0000}"/>
    <cellStyle name="40% - Accent6 8 2 3" xfId="20211" xr:uid="{00000000-0005-0000-0000-0000CC3E0000}"/>
    <cellStyle name="40% - Accent6 8 2_DataIX" xfId="31676" xr:uid="{00000000-0005-0000-0000-0000CD3E0000}"/>
    <cellStyle name="40% - Accent6 8 3" xfId="16778" xr:uid="{00000000-0005-0000-0000-0000CE3E0000}"/>
    <cellStyle name="40% - Accent6 8_060617_hinnat" xfId="24782" xr:uid="{00000000-0005-0000-0000-0000CF3E0000}"/>
    <cellStyle name="40% - Accent6 9" xfId="3259" xr:uid="{00000000-0005-0000-0000-0000D03E0000}"/>
    <cellStyle name="40% - Accent6 9 2" xfId="8595" xr:uid="{00000000-0005-0000-0000-0000D13E0000}"/>
    <cellStyle name="40% - Accent6 9 2 2" xfId="12470" xr:uid="{00000000-0005-0000-0000-0000D23E0000}"/>
    <cellStyle name="40% - Accent6 9 2 3" xfId="20212" xr:uid="{00000000-0005-0000-0000-0000D33E0000}"/>
    <cellStyle name="40% - Accent6 9 2_DataIX" xfId="31677" xr:uid="{00000000-0005-0000-0000-0000D43E0000}"/>
    <cellStyle name="40% - Accent6 9 3" xfId="16779" xr:uid="{00000000-0005-0000-0000-0000D53E0000}"/>
    <cellStyle name="40% - Accent6 9_060617_hinnat" xfId="24783" xr:uid="{00000000-0005-0000-0000-0000D63E0000}"/>
    <cellStyle name="40% - Accent6_##Keskeiset" xfId="5531" xr:uid="{00000000-0005-0000-0000-0000D73E0000}"/>
    <cellStyle name="5 indents" xfId="3260" xr:uid="{00000000-0005-0000-0000-0000D83E0000}"/>
    <cellStyle name="60 % - Aksentti1" xfId="340" xr:uid="{00000000-0005-0000-0000-0000D93E0000}"/>
    <cellStyle name="60 % - Aksentti1 2" xfId="169" xr:uid="{00000000-0005-0000-0000-0000DA3E0000}"/>
    <cellStyle name="60 % - Aksentti1 2 2" xfId="3261" xr:uid="{00000000-0005-0000-0000-0000DB3E0000}"/>
    <cellStyle name="60 % - Aksentti1 2 2 2" xfId="8596" xr:uid="{00000000-0005-0000-0000-0000DC3E0000}"/>
    <cellStyle name="60 % - Aksentti1 2 2 2 2" xfId="12471" xr:uid="{00000000-0005-0000-0000-0000DD3E0000}"/>
    <cellStyle name="60 % - Aksentti1 2 2 2 3" xfId="20213" xr:uid="{00000000-0005-0000-0000-0000DE3E0000}"/>
    <cellStyle name="60 % - Aksentti1 2 2 2_DataIX" xfId="31678" xr:uid="{00000000-0005-0000-0000-0000DF3E0000}"/>
    <cellStyle name="60 % - Aksentti1 2 2 3" xfId="16780" xr:uid="{00000000-0005-0000-0000-0000E03E0000}"/>
    <cellStyle name="60 % - Aksentti1 2 2_060617_hinnat" xfId="24784" xr:uid="{00000000-0005-0000-0000-0000E13E0000}"/>
    <cellStyle name="60 % - Aksentti1 2_060617_hinnat" xfId="24785" xr:uid="{00000000-0005-0000-0000-0000E23E0000}"/>
    <cellStyle name="60 % - Aksentti1 3" xfId="168" xr:uid="{00000000-0005-0000-0000-0000E33E0000}"/>
    <cellStyle name="60 % - Aksentti1 4" xfId="5533" xr:uid="{00000000-0005-0000-0000-0000E43E0000}"/>
    <cellStyle name="60 % - Aksentti1 4 2" xfId="12472" xr:uid="{00000000-0005-0000-0000-0000E53E0000}"/>
    <cellStyle name="60 % - Aksentti1 4 3" xfId="18767" xr:uid="{00000000-0005-0000-0000-0000E63E0000}"/>
    <cellStyle name="60 % - Aksentti1 4 4" xfId="27770" xr:uid="{00000000-0005-0000-0000-0000E73E0000}"/>
    <cellStyle name="60 % - Aksentti1 4_DataIX" xfId="31679" xr:uid="{00000000-0005-0000-0000-0000E83E0000}"/>
    <cellStyle name="60 % - Aksentti1 5" xfId="10652" xr:uid="{00000000-0005-0000-0000-0000E93E0000}"/>
    <cellStyle name="60 % - Aksentti1_##KansantalKehitys" xfId="5418" xr:uid="{00000000-0005-0000-0000-0000EA3E0000}"/>
    <cellStyle name="60 % - Aksentti2" xfId="341" xr:uid="{00000000-0005-0000-0000-0000EB3E0000}"/>
    <cellStyle name="60 % - Aksentti2 2" xfId="171" xr:uid="{00000000-0005-0000-0000-0000EC3E0000}"/>
    <cellStyle name="60 % - Aksentti2 2 2" xfId="3262" xr:uid="{00000000-0005-0000-0000-0000ED3E0000}"/>
    <cellStyle name="60 % - Aksentti2 2 2 2" xfId="8597" xr:uid="{00000000-0005-0000-0000-0000EE3E0000}"/>
    <cellStyle name="60 % - Aksentti2 2 2 2 2" xfId="12473" xr:uid="{00000000-0005-0000-0000-0000EF3E0000}"/>
    <cellStyle name="60 % - Aksentti2 2 2 2 3" xfId="20214" xr:uid="{00000000-0005-0000-0000-0000F03E0000}"/>
    <cellStyle name="60 % - Aksentti2 2 2 2_DataIX" xfId="31680" xr:uid="{00000000-0005-0000-0000-0000F13E0000}"/>
    <cellStyle name="60 % - Aksentti2 2 2 3" xfId="16781" xr:uid="{00000000-0005-0000-0000-0000F23E0000}"/>
    <cellStyle name="60 % - Aksentti2 2 2_060617_hinnat" xfId="24786" xr:uid="{00000000-0005-0000-0000-0000F33E0000}"/>
    <cellStyle name="60 % - Aksentti2 2_060617_hinnat" xfId="24787" xr:uid="{00000000-0005-0000-0000-0000F43E0000}"/>
    <cellStyle name="60 % - Aksentti2 3" xfId="170" xr:uid="{00000000-0005-0000-0000-0000F53E0000}"/>
    <cellStyle name="60 % - Aksentti2 4" xfId="5534" xr:uid="{00000000-0005-0000-0000-0000F63E0000}"/>
    <cellStyle name="60 % - Aksentti2 4 2" xfId="12474" xr:uid="{00000000-0005-0000-0000-0000F73E0000}"/>
    <cellStyle name="60 % - Aksentti2 4 3" xfId="18768" xr:uid="{00000000-0005-0000-0000-0000F83E0000}"/>
    <cellStyle name="60 % - Aksentti2 4 4" xfId="27771" xr:uid="{00000000-0005-0000-0000-0000F93E0000}"/>
    <cellStyle name="60 % - Aksentti2 4_DataIX" xfId="31681" xr:uid="{00000000-0005-0000-0000-0000FA3E0000}"/>
    <cellStyle name="60 % - Aksentti2 5" xfId="10653" xr:uid="{00000000-0005-0000-0000-0000FB3E0000}"/>
    <cellStyle name="60 % - Aksentti2_##KansantalKehitys" xfId="5419" xr:uid="{00000000-0005-0000-0000-0000FC3E0000}"/>
    <cellStyle name="60 % - Aksentti3" xfId="342" xr:uid="{00000000-0005-0000-0000-0000FD3E0000}"/>
    <cellStyle name="60 % - Aksentti3 2" xfId="173" xr:uid="{00000000-0005-0000-0000-0000FE3E0000}"/>
    <cellStyle name="60 % - Aksentti3 2 2" xfId="3263" xr:uid="{00000000-0005-0000-0000-0000FF3E0000}"/>
    <cellStyle name="60 % - Aksentti3 2 2 2" xfId="8598" xr:uid="{00000000-0005-0000-0000-0000003F0000}"/>
    <cellStyle name="60 % - Aksentti3 2 2 2 2" xfId="12475" xr:uid="{00000000-0005-0000-0000-0000013F0000}"/>
    <cellStyle name="60 % - Aksentti3 2 2 2 3" xfId="20215" xr:uid="{00000000-0005-0000-0000-0000023F0000}"/>
    <cellStyle name="60 % - Aksentti3 2 2 2_DataIX" xfId="31682" xr:uid="{00000000-0005-0000-0000-0000033F0000}"/>
    <cellStyle name="60 % - Aksentti3 2 2 3" xfId="16782" xr:uid="{00000000-0005-0000-0000-0000043F0000}"/>
    <cellStyle name="60 % - Aksentti3 2 2_060617_hinnat" xfId="24788" xr:uid="{00000000-0005-0000-0000-0000053F0000}"/>
    <cellStyle name="60 % - Aksentti3 2_060617_hinnat" xfId="24789" xr:uid="{00000000-0005-0000-0000-0000063F0000}"/>
    <cellStyle name="60 % - Aksentti3 3" xfId="172" xr:uid="{00000000-0005-0000-0000-0000073F0000}"/>
    <cellStyle name="60 % - Aksentti3 4" xfId="5535" xr:uid="{00000000-0005-0000-0000-0000083F0000}"/>
    <cellStyle name="60 % - Aksentti3 4 2" xfId="12476" xr:uid="{00000000-0005-0000-0000-0000093F0000}"/>
    <cellStyle name="60 % - Aksentti3 4 3" xfId="18769" xr:uid="{00000000-0005-0000-0000-00000A3F0000}"/>
    <cellStyle name="60 % - Aksentti3 4 4" xfId="27772" xr:uid="{00000000-0005-0000-0000-00000B3F0000}"/>
    <cellStyle name="60 % - Aksentti3 4_DataIX" xfId="31683" xr:uid="{00000000-0005-0000-0000-00000C3F0000}"/>
    <cellStyle name="60 % - Aksentti3 5" xfId="10654" xr:uid="{00000000-0005-0000-0000-00000D3F0000}"/>
    <cellStyle name="60 % - Aksentti3_##KansantalKehitys" xfId="5420" xr:uid="{00000000-0005-0000-0000-00000E3F0000}"/>
    <cellStyle name="60 % - Aksentti4" xfId="343" xr:uid="{00000000-0005-0000-0000-00000F3F0000}"/>
    <cellStyle name="60 % - Aksentti4 2" xfId="175" xr:uid="{00000000-0005-0000-0000-0000103F0000}"/>
    <cellStyle name="60 % - Aksentti4 2 2" xfId="3264" xr:uid="{00000000-0005-0000-0000-0000113F0000}"/>
    <cellStyle name="60 % - Aksentti4 2 2 2" xfId="8599" xr:uid="{00000000-0005-0000-0000-0000123F0000}"/>
    <cellStyle name="60 % - Aksentti4 2 2 2 2" xfId="12477" xr:uid="{00000000-0005-0000-0000-0000133F0000}"/>
    <cellStyle name="60 % - Aksentti4 2 2 2 3" xfId="20216" xr:uid="{00000000-0005-0000-0000-0000143F0000}"/>
    <cellStyle name="60 % - Aksentti4 2 2 2_DataIX" xfId="31684" xr:uid="{00000000-0005-0000-0000-0000153F0000}"/>
    <cellStyle name="60 % - Aksentti4 2 2 3" xfId="16783" xr:uid="{00000000-0005-0000-0000-0000163F0000}"/>
    <cellStyle name="60 % - Aksentti4 2 2_060617_hinnat" xfId="24790" xr:uid="{00000000-0005-0000-0000-0000173F0000}"/>
    <cellStyle name="60 % - Aksentti4 2_060617_hinnat" xfId="24791" xr:uid="{00000000-0005-0000-0000-0000183F0000}"/>
    <cellStyle name="60 % - Aksentti4 3" xfId="174" xr:uid="{00000000-0005-0000-0000-0000193F0000}"/>
    <cellStyle name="60 % - Aksentti4 4" xfId="5536" xr:uid="{00000000-0005-0000-0000-00001A3F0000}"/>
    <cellStyle name="60 % - Aksentti4 4 2" xfId="12478" xr:uid="{00000000-0005-0000-0000-00001B3F0000}"/>
    <cellStyle name="60 % - Aksentti4 4 3" xfId="18770" xr:uid="{00000000-0005-0000-0000-00001C3F0000}"/>
    <cellStyle name="60 % - Aksentti4 4 4" xfId="27773" xr:uid="{00000000-0005-0000-0000-00001D3F0000}"/>
    <cellStyle name="60 % - Aksentti4 4_DataIX" xfId="31685" xr:uid="{00000000-0005-0000-0000-00001E3F0000}"/>
    <cellStyle name="60 % - Aksentti4 5" xfId="10655" xr:uid="{00000000-0005-0000-0000-00001F3F0000}"/>
    <cellStyle name="60 % - Aksentti4_##KansantalKehitys" xfId="5421" xr:uid="{00000000-0005-0000-0000-0000203F0000}"/>
    <cellStyle name="60 % - Aksentti5" xfId="344" xr:uid="{00000000-0005-0000-0000-0000213F0000}"/>
    <cellStyle name="60 % - Aksentti5 2" xfId="177" xr:uid="{00000000-0005-0000-0000-0000223F0000}"/>
    <cellStyle name="60 % - Aksentti5 2 2" xfId="3265" xr:uid="{00000000-0005-0000-0000-0000233F0000}"/>
    <cellStyle name="60 % - Aksentti5 2 2 2" xfId="8600" xr:uid="{00000000-0005-0000-0000-0000243F0000}"/>
    <cellStyle name="60 % - Aksentti5 2 2 2 2" xfId="12479" xr:uid="{00000000-0005-0000-0000-0000253F0000}"/>
    <cellStyle name="60 % - Aksentti5 2 2 2 3" xfId="20217" xr:uid="{00000000-0005-0000-0000-0000263F0000}"/>
    <cellStyle name="60 % - Aksentti5 2 2 2_DataIX" xfId="31686" xr:uid="{00000000-0005-0000-0000-0000273F0000}"/>
    <cellStyle name="60 % - Aksentti5 2 2 3" xfId="16784" xr:uid="{00000000-0005-0000-0000-0000283F0000}"/>
    <cellStyle name="60 % - Aksentti5 2 2_060617_hinnat" xfId="24792" xr:uid="{00000000-0005-0000-0000-0000293F0000}"/>
    <cellStyle name="60 % - Aksentti5 2_060617_hinnat" xfId="24793" xr:uid="{00000000-0005-0000-0000-00002A3F0000}"/>
    <cellStyle name="60 % - Aksentti5 3" xfId="176" xr:uid="{00000000-0005-0000-0000-00002B3F0000}"/>
    <cellStyle name="60 % - Aksentti5 4" xfId="5537" xr:uid="{00000000-0005-0000-0000-00002C3F0000}"/>
    <cellStyle name="60 % - Aksentti5 4 2" xfId="12480" xr:uid="{00000000-0005-0000-0000-00002D3F0000}"/>
    <cellStyle name="60 % - Aksentti5 4 3" xfId="18771" xr:uid="{00000000-0005-0000-0000-00002E3F0000}"/>
    <cellStyle name="60 % - Aksentti5 4 4" xfId="27774" xr:uid="{00000000-0005-0000-0000-00002F3F0000}"/>
    <cellStyle name="60 % - Aksentti5 4_DataIX" xfId="31687" xr:uid="{00000000-0005-0000-0000-0000303F0000}"/>
    <cellStyle name="60 % - Aksentti5 5" xfId="10656" xr:uid="{00000000-0005-0000-0000-0000313F0000}"/>
    <cellStyle name="60 % - Aksentti5_##KansantalKehitys" xfId="5422" xr:uid="{00000000-0005-0000-0000-0000323F0000}"/>
    <cellStyle name="60 % - Aksentti6" xfId="345" xr:uid="{00000000-0005-0000-0000-0000333F0000}"/>
    <cellStyle name="60 % - Aksentti6 2" xfId="179" xr:uid="{00000000-0005-0000-0000-0000343F0000}"/>
    <cellStyle name="60 % - Aksentti6 2 2" xfId="3266" xr:uid="{00000000-0005-0000-0000-0000353F0000}"/>
    <cellStyle name="60 % - Aksentti6 2 2 2" xfId="8601" xr:uid="{00000000-0005-0000-0000-0000363F0000}"/>
    <cellStyle name="60 % - Aksentti6 2 2 2 2" xfId="12481" xr:uid="{00000000-0005-0000-0000-0000373F0000}"/>
    <cellStyle name="60 % - Aksentti6 2 2 2 3" xfId="20218" xr:uid="{00000000-0005-0000-0000-0000383F0000}"/>
    <cellStyle name="60 % - Aksentti6 2 2 2_DataIX" xfId="31688" xr:uid="{00000000-0005-0000-0000-0000393F0000}"/>
    <cellStyle name="60 % - Aksentti6 2 2 3" xfId="16785" xr:uid="{00000000-0005-0000-0000-00003A3F0000}"/>
    <cellStyle name="60 % - Aksentti6 2 2_060617_hinnat" xfId="24794" xr:uid="{00000000-0005-0000-0000-00003B3F0000}"/>
    <cellStyle name="60 % - Aksentti6 2_060617_hinnat" xfId="24795" xr:uid="{00000000-0005-0000-0000-00003C3F0000}"/>
    <cellStyle name="60 % - Aksentti6 3" xfId="178" xr:uid="{00000000-0005-0000-0000-00003D3F0000}"/>
    <cellStyle name="60 % - Aksentti6 4" xfId="5538" xr:uid="{00000000-0005-0000-0000-00003E3F0000}"/>
    <cellStyle name="60 % - Aksentti6 4 2" xfId="12482" xr:uid="{00000000-0005-0000-0000-00003F3F0000}"/>
    <cellStyle name="60 % - Aksentti6 4 3" xfId="18772" xr:uid="{00000000-0005-0000-0000-0000403F0000}"/>
    <cellStyle name="60 % - Aksentti6 4 4" xfId="27775" xr:uid="{00000000-0005-0000-0000-0000413F0000}"/>
    <cellStyle name="60 % - Aksentti6 4_DataIX" xfId="31689" xr:uid="{00000000-0005-0000-0000-0000423F0000}"/>
    <cellStyle name="60 % - Aksentti6 5" xfId="10657" xr:uid="{00000000-0005-0000-0000-0000433F0000}"/>
    <cellStyle name="60 % - Aksentti6_##KansantalKehitys" xfId="5423" xr:uid="{00000000-0005-0000-0000-0000443F0000}"/>
    <cellStyle name="60% - Accent1" xfId="39" xr:uid="{00000000-0005-0000-0000-0000453F0000}"/>
    <cellStyle name="60% - Accent1 2" xfId="40" xr:uid="{00000000-0005-0000-0000-0000463F0000}"/>
    <cellStyle name="60% - Accent1 2 10" xfId="26661" xr:uid="{00000000-0005-0000-0000-0000473F0000}"/>
    <cellStyle name="60% - Accent1 2 11" xfId="24797" xr:uid="{00000000-0005-0000-0000-0000483F0000}"/>
    <cellStyle name="60% - Accent1 2 2" xfId="3267" xr:uid="{00000000-0005-0000-0000-0000493F0000}"/>
    <cellStyle name="60% - Accent1 2 2 2" xfId="8603" xr:uid="{00000000-0005-0000-0000-00004A3F0000}"/>
    <cellStyle name="60% - Accent1 2 2 2 2" xfId="12483" xr:uid="{00000000-0005-0000-0000-00004B3F0000}"/>
    <cellStyle name="60% - Accent1 2 2 2 3" xfId="20219" xr:uid="{00000000-0005-0000-0000-00004C3F0000}"/>
    <cellStyle name="60% - Accent1 2 2 2_DataIX" xfId="31690" xr:uid="{00000000-0005-0000-0000-00004D3F0000}"/>
    <cellStyle name="60% - Accent1 2 2 3" xfId="16786" xr:uid="{00000000-0005-0000-0000-00004E3F0000}"/>
    <cellStyle name="60% - Accent1 2 2_060617_hinnat" xfId="24798" xr:uid="{00000000-0005-0000-0000-00004F3F0000}"/>
    <cellStyle name="60% - Accent1 2 3" xfId="25092" xr:uid="{00000000-0005-0000-0000-0000503F0000}"/>
    <cellStyle name="60% - Accent1 2 4" xfId="26173" xr:uid="{00000000-0005-0000-0000-0000513F0000}"/>
    <cellStyle name="60% - Accent1 2 5" xfId="25334" xr:uid="{00000000-0005-0000-0000-0000523F0000}"/>
    <cellStyle name="60% - Accent1 2 6" xfId="26009" xr:uid="{00000000-0005-0000-0000-0000533F0000}"/>
    <cellStyle name="60% - Accent1 2 7" xfId="25298" xr:uid="{00000000-0005-0000-0000-0000543F0000}"/>
    <cellStyle name="60% - Accent1 2 8" xfId="26357" xr:uid="{00000000-0005-0000-0000-0000553F0000}"/>
    <cellStyle name="60% - Accent1 2 9" xfId="25531" xr:uid="{00000000-0005-0000-0000-0000563F0000}"/>
    <cellStyle name="60% - Accent1 2_##Keskeiset" xfId="8602" xr:uid="{00000000-0005-0000-0000-0000573F0000}"/>
    <cellStyle name="60% - Accent1 3" xfId="5540" xr:uid="{00000000-0005-0000-0000-0000583F0000}"/>
    <cellStyle name="60% - Accent1 3 2" xfId="12484" xr:uid="{00000000-0005-0000-0000-0000593F0000}"/>
    <cellStyle name="60% - Accent1 3 3" xfId="18773" xr:uid="{00000000-0005-0000-0000-00005A3F0000}"/>
    <cellStyle name="60% - Accent1 3_DataIX" xfId="31691" xr:uid="{00000000-0005-0000-0000-00005B3F0000}"/>
    <cellStyle name="60% - Accent1 4" xfId="24796" xr:uid="{00000000-0005-0000-0000-00005C3F0000}"/>
    <cellStyle name="60% - Accent1_##Keskeiset" xfId="5539" xr:uid="{00000000-0005-0000-0000-00005D3F0000}"/>
    <cellStyle name="60% - Accent2" xfId="41" xr:uid="{00000000-0005-0000-0000-00005E3F0000}"/>
    <cellStyle name="60% - Accent2 2" xfId="42" xr:uid="{00000000-0005-0000-0000-00005F3F0000}"/>
    <cellStyle name="60% - Accent2 2 10" xfId="26084" xr:uid="{00000000-0005-0000-0000-0000603F0000}"/>
    <cellStyle name="60% - Accent2 2 11" xfId="24800" xr:uid="{00000000-0005-0000-0000-0000613F0000}"/>
    <cellStyle name="60% - Accent2 2 2" xfId="3268" xr:uid="{00000000-0005-0000-0000-0000623F0000}"/>
    <cellStyle name="60% - Accent2 2 2 2" xfId="8605" xr:uid="{00000000-0005-0000-0000-0000633F0000}"/>
    <cellStyle name="60% - Accent2 2 2 2 2" xfId="12485" xr:uid="{00000000-0005-0000-0000-0000643F0000}"/>
    <cellStyle name="60% - Accent2 2 2 2 3" xfId="20220" xr:uid="{00000000-0005-0000-0000-0000653F0000}"/>
    <cellStyle name="60% - Accent2 2 2 2_DataIX" xfId="31692" xr:uid="{00000000-0005-0000-0000-0000663F0000}"/>
    <cellStyle name="60% - Accent2 2 2 3" xfId="16787" xr:uid="{00000000-0005-0000-0000-0000673F0000}"/>
    <cellStyle name="60% - Accent2 2 2_060617_hinnat" xfId="24801" xr:uid="{00000000-0005-0000-0000-0000683F0000}"/>
    <cellStyle name="60% - Accent2 2 3" xfId="25093" xr:uid="{00000000-0005-0000-0000-0000693F0000}"/>
    <cellStyle name="60% - Accent2 2 4" xfId="25652" xr:uid="{00000000-0005-0000-0000-00006A3F0000}"/>
    <cellStyle name="60% - Accent2 2 5" xfId="26345" xr:uid="{00000000-0005-0000-0000-00006B3F0000}"/>
    <cellStyle name="60% - Accent2 2 6" xfId="26094" xr:uid="{00000000-0005-0000-0000-00006C3F0000}"/>
    <cellStyle name="60% - Accent2 2 7" xfId="25970" xr:uid="{00000000-0005-0000-0000-00006D3F0000}"/>
    <cellStyle name="60% - Accent2 2 8" xfId="25311" xr:uid="{00000000-0005-0000-0000-00006E3F0000}"/>
    <cellStyle name="60% - Accent2 2 9" xfId="26044" xr:uid="{00000000-0005-0000-0000-00006F3F0000}"/>
    <cellStyle name="60% - Accent2 2_##Keskeiset" xfId="8604" xr:uid="{00000000-0005-0000-0000-0000703F0000}"/>
    <cellStyle name="60% - Accent2 3" xfId="5542" xr:uid="{00000000-0005-0000-0000-0000713F0000}"/>
    <cellStyle name="60% - Accent2 3 2" xfId="12486" xr:uid="{00000000-0005-0000-0000-0000723F0000}"/>
    <cellStyle name="60% - Accent2 3 3" xfId="18774" xr:uid="{00000000-0005-0000-0000-0000733F0000}"/>
    <cellStyle name="60% - Accent2 3_DataIX" xfId="31693" xr:uid="{00000000-0005-0000-0000-0000743F0000}"/>
    <cellStyle name="60% - Accent2 4" xfId="24799" xr:uid="{00000000-0005-0000-0000-0000753F0000}"/>
    <cellStyle name="60% - Accent2_##Keskeiset" xfId="5541" xr:uid="{00000000-0005-0000-0000-0000763F0000}"/>
    <cellStyle name="60% - Accent3" xfId="43" xr:uid="{00000000-0005-0000-0000-0000773F0000}"/>
    <cellStyle name="60% - Accent3 2" xfId="44" xr:uid="{00000000-0005-0000-0000-0000783F0000}"/>
    <cellStyle name="60% - Accent3 2 10" xfId="25726" xr:uid="{00000000-0005-0000-0000-0000793F0000}"/>
    <cellStyle name="60% - Accent3 2 11" xfId="24803" xr:uid="{00000000-0005-0000-0000-00007A3F0000}"/>
    <cellStyle name="60% - Accent3 2 2" xfId="3269" xr:uid="{00000000-0005-0000-0000-00007B3F0000}"/>
    <cellStyle name="60% - Accent3 2 2 2" xfId="8607" xr:uid="{00000000-0005-0000-0000-00007C3F0000}"/>
    <cellStyle name="60% - Accent3 2 2 2 2" xfId="12487" xr:uid="{00000000-0005-0000-0000-00007D3F0000}"/>
    <cellStyle name="60% - Accent3 2 2 2 3" xfId="20221" xr:uid="{00000000-0005-0000-0000-00007E3F0000}"/>
    <cellStyle name="60% - Accent3 2 2 2_DataIX" xfId="31694" xr:uid="{00000000-0005-0000-0000-00007F3F0000}"/>
    <cellStyle name="60% - Accent3 2 2 3" xfId="16788" xr:uid="{00000000-0005-0000-0000-0000803F0000}"/>
    <cellStyle name="60% - Accent3 2 2_060617_hinnat" xfId="24804" xr:uid="{00000000-0005-0000-0000-0000813F0000}"/>
    <cellStyle name="60% - Accent3 2 3" xfId="25094" xr:uid="{00000000-0005-0000-0000-0000823F0000}"/>
    <cellStyle name="60% - Accent3 2 4" xfId="26172" xr:uid="{00000000-0005-0000-0000-0000833F0000}"/>
    <cellStyle name="60% - Accent3 2 5" xfId="25753" xr:uid="{00000000-0005-0000-0000-0000843F0000}"/>
    <cellStyle name="60% - Accent3 2 6" xfId="25461" xr:uid="{00000000-0005-0000-0000-0000853F0000}"/>
    <cellStyle name="60% - Accent3 2 7" xfId="25415" xr:uid="{00000000-0005-0000-0000-0000863F0000}"/>
    <cellStyle name="60% - Accent3 2 8" xfId="26675" xr:uid="{00000000-0005-0000-0000-0000873F0000}"/>
    <cellStyle name="60% - Accent3 2 9" xfId="26369" xr:uid="{00000000-0005-0000-0000-0000883F0000}"/>
    <cellStyle name="60% - Accent3 2_##Keskeiset" xfId="8606" xr:uid="{00000000-0005-0000-0000-0000893F0000}"/>
    <cellStyle name="60% - Accent3 3" xfId="5544" xr:uid="{00000000-0005-0000-0000-00008A3F0000}"/>
    <cellStyle name="60% - Accent3 3 2" xfId="12488" xr:uid="{00000000-0005-0000-0000-00008B3F0000}"/>
    <cellStyle name="60% - Accent3 3 3" xfId="18775" xr:uid="{00000000-0005-0000-0000-00008C3F0000}"/>
    <cellStyle name="60% - Accent3 3_DataIX" xfId="31695" xr:uid="{00000000-0005-0000-0000-00008D3F0000}"/>
    <cellStyle name="60% - Accent3 4" xfId="24802" xr:uid="{00000000-0005-0000-0000-00008E3F0000}"/>
    <cellStyle name="60% - Accent3_##Keskeiset" xfId="5543" xr:uid="{00000000-0005-0000-0000-00008F3F0000}"/>
    <cellStyle name="60% - Accent4" xfId="45" xr:uid="{00000000-0005-0000-0000-0000903F0000}"/>
    <cellStyle name="60% - Accent4 2" xfId="46" xr:uid="{00000000-0005-0000-0000-0000913F0000}"/>
    <cellStyle name="60% - Accent4 2 10" xfId="25788" xr:uid="{00000000-0005-0000-0000-0000923F0000}"/>
    <cellStyle name="60% - Accent4 2 11" xfId="24806" xr:uid="{00000000-0005-0000-0000-0000933F0000}"/>
    <cellStyle name="60% - Accent4 2 2" xfId="3270" xr:uid="{00000000-0005-0000-0000-0000943F0000}"/>
    <cellStyle name="60% - Accent4 2 2 2" xfId="8609" xr:uid="{00000000-0005-0000-0000-0000953F0000}"/>
    <cellStyle name="60% - Accent4 2 2 2 2" xfId="12489" xr:uid="{00000000-0005-0000-0000-0000963F0000}"/>
    <cellStyle name="60% - Accent4 2 2 2 3" xfId="20222" xr:uid="{00000000-0005-0000-0000-0000973F0000}"/>
    <cellStyle name="60% - Accent4 2 2 2_DataIX" xfId="31696" xr:uid="{00000000-0005-0000-0000-0000983F0000}"/>
    <cellStyle name="60% - Accent4 2 2 3" xfId="16789" xr:uid="{00000000-0005-0000-0000-0000993F0000}"/>
    <cellStyle name="60% - Accent4 2 2_060617_hinnat" xfId="24807" xr:uid="{00000000-0005-0000-0000-00009A3F0000}"/>
    <cellStyle name="60% - Accent4 2 3" xfId="25095" xr:uid="{00000000-0005-0000-0000-00009B3F0000}"/>
    <cellStyle name="60% - Accent4 2 4" xfId="26171" xr:uid="{00000000-0005-0000-0000-00009C3F0000}"/>
    <cellStyle name="60% - Accent4 2 5" xfId="26285" xr:uid="{00000000-0005-0000-0000-00009D3F0000}"/>
    <cellStyle name="60% - Accent4 2 6" xfId="25563" xr:uid="{00000000-0005-0000-0000-00009E3F0000}"/>
    <cellStyle name="60% - Accent4 2 7" xfId="25814" xr:uid="{00000000-0005-0000-0000-00009F3F0000}"/>
    <cellStyle name="60% - Accent4 2 8" xfId="25881" xr:uid="{00000000-0005-0000-0000-0000A03F0000}"/>
    <cellStyle name="60% - Accent4 2 9" xfId="26040" xr:uid="{00000000-0005-0000-0000-0000A13F0000}"/>
    <cellStyle name="60% - Accent4 2_##Keskeiset" xfId="8608" xr:uid="{00000000-0005-0000-0000-0000A23F0000}"/>
    <cellStyle name="60% - Accent4 3" xfId="5546" xr:uid="{00000000-0005-0000-0000-0000A33F0000}"/>
    <cellStyle name="60% - Accent4 3 2" xfId="12490" xr:uid="{00000000-0005-0000-0000-0000A43F0000}"/>
    <cellStyle name="60% - Accent4 3 3" xfId="18777" xr:uid="{00000000-0005-0000-0000-0000A53F0000}"/>
    <cellStyle name="60% - Accent4 3_DataIX" xfId="31697" xr:uid="{00000000-0005-0000-0000-0000A63F0000}"/>
    <cellStyle name="60% - Accent4 4" xfId="24805" xr:uid="{00000000-0005-0000-0000-0000A73F0000}"/>
    <cellStyle name="60% - Accent4_##Keskeiset" xfId="5545" xr:uid="{00000000-0005-0000-0000-0000A83F0000}"/>
    <cellStyle name="60% - Accent5" xfId="47" xr:uid="{00000000-0005-0000-0000-0000A93F0000}"/>
    <cellStyle name="60% - Accent5 2" xfId="48" xr:uid="{00000000-0005-0000-0000-0000AA3F0000}"/>
    <cellStyle name="60% - Accent5 2 10" xfId="25039" xr:uid="{00000000-0005-0000-0000-0000AB3F0000}"/>
    <cellStyle name="60% - Accent5 2 11" xfId="24809" xr:uid="{00000000-0005-0000-0000-0000AC3F0000}"/>
    <cellStyle name="60% - Accent5 2 2" xfId="3271" xr:uid="{00000000-0005-0000-0000-0000AD3F0000}"/>
    <cellStyle name="60% - Accent5 2 2 2" xfId="8611" xr:uid="{00000000-0005-0000-0000-0000AE3F0000}"/>
    <cellStyle name="60% - Accent5 2 2 2 2" xfId="12491" xr:uid="{00000000-0005-0000-0000-0000AF3F0000}"/>
    <cellStyle name="60% - Accent5 2 2 2 3" xfId="20223" xr:uid="{00000000-0005-0000-0000-0000B03F0000}"/>
    <cellStyle name="60% - Accent5 2 2 2_DataIX" xfId="31698" xr:uid="{00000000-0005-0000-0000-0000B13F0000}"/>
    <cellStyle name="60% - Accent5 2 2 3" xfId="16790" xr:uid="{00000000-0005-0000-0000-0000B23F0000}"/>
    <cellStyle name="60% - Accent5 2 2_060617_hinnat" xfId="24810" xr:uid="{00000000-0005-0000-0000-0000B33F0000}"/>
    <cellStyle name="60% - Accent5 2 3" xfId="25096" xr:uid="{00000000-0005-0000-0000-0000B43F0000}"/>
    <cellStyle name="60% - Accent5 2 4" xfId="26170" xr:uid="{00000000-0005-0000-0000-0000B53F0000}"/>
    <cellStyle name="60% - Accent5 2 5" xfId="25335" xr:uid="{00000000-0005-0000-0000-0000B63F0000}"/>
    <cellStyle name="60% - Accent5 2 6" xfId="25278" xr:uid="{00000000-0005-0000-0000-0000B73F0000}"/>
    <cellStyle name="60% - Accent5 2 7" xfId="25541" xr:uid="{00000000-0005-0000-0000-0000B83F0000}"/>
    <cellStyle name="60% - Accent5 2 8" xfId="25828" xr:uid="{00000000-0005-0000-0000-0000B93F0000}"/>
    <cellStyle name="60% - Accent5 2 9" xfId="25260" xr:uid="{00000000-0005-0000-0000-0000BA3F0000}"/>
    <cellStyle name="60% - Accent5 2_##Keskeiset" xfId="8610" xr:uid="{00000000-0005-0000-0000-0000BB3F0000}"/>
    <cellStyle name="60% - Accent5 3" xfId="5548" xr:uid="{00000000-0005-0000-0000-0000BC3F0000}"/>
    <cellStyle name="60% - Accent5 3 2" xfId="12492" xr:uid="{00000000-0005-0000-0000-0000BD3F0000}"/>
    <cellStyle name="60% - Accent5 3 3" xfId="18779" xr:uid="{00000000-0005-0000-0000-0000BE3F0000}"/>
    <cellStyle name="60% - Accent5 3_DataIX" xfId="31699" xr:uid="{00000000-0005-0000-0000-0000BF3F0000}"/>
    <cellStyle name="60% - Accent5 4" xfId="24808" xr:uid="{00000000-0005-0000-0000-0000C03F0000}"/>
    <cellStyle name="60% - Accent5_##Keskeiset" xfId="5547" xr:uid="{00000000-0005-0000-0000-0000C13F0000}"/>
    <cellStyle name="60% - Accent6" xfId="49" xr:uid="{00000000-0005-0000-0000-0000C23F0000}"/>
    <cellStyle name="60% - Accent6 2" xfId="50" xr:uid="{00000000-0005-0000-0000-0000C33F0000}"/>
    <cellStyle name="60% - Accent6 2 10" xfId="26622" xr:uid="{00000000-0005-0000-0000-0000C43F0000}"/>
    <cellStyle name="60% - Accent6 2 11" xfId="24812" xr:uid="{00000000-0005-0000-0000-0000C53F0000}"/>
    <cellStyle name="60% - Accent6 2 2" xfId="3272" xr:uid="{00000000-0005-0000-0000-0000C63F0000}"/>
    <cellStyle name="60% - Accent6 2 2 2" xfId="8613" xr:uid="{00000000-0005-0000-0000-0000C73F0000}"/>
    <cellStyle name="60% - Accent6 2 2 2 2" xfId="12493" xr:uid="{00000000-0005-0000-0000-0000C83F0000}"/>
    <cellStyle name="60% - Accent6 2 2 2 3" xfId="20224" xr:uid="{00000000-0005-0000-0000-0000C93F0000}"/>
    <cellStyle name="60% - Accent6 2 2 2_DataIX" xfId="31700" xr:uid="{00000000-0005-0000-0000-0000CA3F0000}"/>
    <cellStyle name="60% - Accent6 2 2 3" xfId="16791" xr:uid="{00000000-0005-0000-0000-0000CB3F0000}"/>
    <cellStyle name="60% - Accent6 2 2_060617_hinnat" xfId="24813" xr:uid="{00000000-0005-0000-0000-0000CC3F0000}"/>
    <cellStyle name="60% - Accent6 2 3" xfId="25097" xr:uid="{00000000-0005-0000-0000-0000CD3F0000}"/>
    <cellStyle name="60% - Accent6 2 4" xfId="26169" xr:uid="{00000000-0005-0000-0000-0000CE3F0000}"/>
    <cellStyle name="60% - Accent6 2 5" xfId="25754" xr:uid="{00000000-0005-0000-0000-0000CF3F0000}"/>
    <cellStyle name="60% - Accent6 2 6" xfId="26059" xr:uid="{00000000-0005-0000-0000-0000D03F0000}"/>
    <cellStyle name="60% - Accent6 2 7" xfId="26526" xr:uid="{00000000-0005-0000-0000-0000D13F0000}"/>
    <cellStyle name="60% - Accent6 2 8" xfId="25955" xr:uid="{00000000-0005-0000-0000-0000D23F0000}"/>
    <cellStyle name="60% - Accent6 2 9" xfId="25734" xr:uid="{00000000-0005-0000-0000-0000D33F0000}"/>
    <cellStyle name="60% - Accent6 2_##Keskeiset" xfId="8612" xr:uid="{00000000-0005-0000-0000-0000D43F0000}"/>
    <cellStyle name="60% - Accent6 3" xfId="5550" xr:uid="{00000000-0005-0000-0000-0000D53F0000}"/>
    <cellStyle name="60% - Accent6 3 2" xfId="12494" xr:uid="{00000000-0005-0000-0000-0000D63F0000}"/>
    <cellStyle name="60% - Accent6 3 3" xfId="18780" xr:uid="{00000000-0005-0000-0000-0000D73F0000}"/>
    <cellStyle name="60% - Accent6 3_DataIX" xfId="31701" xr:uid="{00000000-0005-0000-0000-0000D83F0000}"/>
    <cellStyle name="60% - Accent6 4" xfId="24811" xr:uid="{00000000-0005-0000-0000-0000D93F0000}"/>
    <cellStyle name="60% - Accent6_##Keskeiset" xfId="5549" xr:uid="{00000000-0005-0000-0000-0000DA3F0000}"/>
    <cellStyle name="absolute difference" xfId="3273" xr:uid="{00000000-0005-0000-0000-0000DB3F0000}"/>
    <cellStyle name="Accent1" xfId="51" xr:uid="{00000000-0005-0000-0000-0000DC3F0000}"/>
    <cellStyle name="Accent1 2" xfId="52" xr:uid="{00000000-0005-0000-0000-0000DD3F0000}"/>
    <cellStyle name="Accent1 2 10" xfId="26443" xr:uid="{00000000-0005-0000-0000-0000DE3F0000}"/>
    <cellStyle name="Accent1 2 11" xfId="24815" xr:uid="{00000000-0005-0000-0000-0000DF3F0000}"/>
    <cellStyle name="Accent1 2 2" xfId="3274" xr:uid="{00000000-0005-0000-0000-0000E03F0000}"/>
    <cellStyle name="Accent1 2 2 2" xfId="8615" xr:uid="{00000000-0005-0000-0000-0000E13F0000}"/>
    <cellStyle name="Accent1 2 2 2 2" xfId="12495" xr:uid="{00000000-0005-0000-0000-0000E23F0000}"/>
    <cellStyle name="Accent1 2 2 2 3" xfId="20225" xr:uid="{00000000-0005-0000-0000-0000E33F0000}"/>
    <cellStyle name="Accent1 2 2 2_DataIX" xfId="31702" xr:uid="{00000000-0005-0000-0000-0000E43F0000}"/>
    <cellStyle name="Accent1 2 2 3" xfId="16792" xr:uid="{00000000-0005-0000-0000-0000E53F0000}"/>
    <cellStyle name="Accent1 2 2_060617_hinnat" xfId="24816" xr:uid="{00000000-0005-0000-0000-0000E63F0000}"/>
    <cellStyle name="Accent1 2 3" xfId="25098" xr:uid="{00000000-0005-0000-0000-0000E73F0000}"/>
    <cellStyle name="Accent1 2 4" xfId="26490" xr:uid="{00000000-0005-0000-0000-0000E83F0000}"/>
    <cellStyle name="Accent1 2 5" xfId="26286" xr:uid="{00000000-0005-0000-0000-0000E93F0000}"/>
    <cellStyle name="Accent1 2 6" xfId="25907" xr:uid="{00000000-0005-0000-0000-0000EA3F0000}"/>
    <cellStyle name="Accent1 2 7" xfId="26669" xr:uid="{00000000-0005-0000-0000-0000EB3F0000}"/>
    <cellStyle name="Accent1 2 8" xfId="25367" xr:uid="{00000000-0005-0000-0000-0000EC3F0000}"/>
    <cellStyle name="Accent1 2 9" xfId="26312" xr:uid="{00000000-0005-0000-0000-0000ED3F0000}"/>
    <cellStyle name="Accent1 2_##Keskeiset" xfId="8614" xr:uid="{00000000-0005-0000-0000-0000EE3F0000}"/>
    <cellStyle name="Accent1 3" xfId="5552" xr:uid="{00000000-0005-0000-0000-0000EF3F0000}"/>
    <cellStyle name="Accent1 3 2" xfId="12496" xr:uid="{00000000-0005-0000-0000-0000F03F0000}"/>
    <cellStyle name="Accent1 3 3" xfId="18781" xr:uid="{00000000-0005-0000-0000-0000F13F0000}"/>
    <cellStyle name="Accent1 3_DataIX" xfId="31703" xr:uid="{00000000-0005-0000-0000-0000F23F0000}"/>
    <cellStyle name="Accent1 4" xfId="24814" xr:uid="{00000000-0005-0000-0000-0000F33F0000}"/>
    <cellStyle name="Accent1_##Keskeiset" xfId="5551" xr:uid="{00000000-0005-0000-0000-0000F43F0000}"/>
    <cellStyle name="Accent2" xfId="53" xr:uid="{00000000-0005-0000-0000-0000F53F0000}"/>
    <cellStyle name="Accent2 2" xfId="54" xr:uid="{00000000-0005-0000-0000-0000F63F0000}"/>
    <cellStyle name="Accent2 2 10" xfId="25420" xr:uid="{00000000-0005-0000-0000-0000F73F0000}"/>
    <cellStyle name="Accent2 2 11" xfId="24818" xr:uid="{00000000-0005-0000-0000-0000F83F0000}"/>
    <cellStyle name="Accent2 2 2" xfId="3275" xr:uid="{00000000-0005-0000-0000-0000F93F0000}"/>
    <cellStyle name="Accent2 2 2 2" xfId="8617" xr:uid="{00000000-0005-0000-0000-0000FA3F0000}"/>
    <cellStyle name="Accent2 2 2 2 2" xfId="12497" xr:uid="{00000000-0005-0000-0000-0000FB3F0000}"/>
    <cellStyle name="Accent2 2 2 2 3" xfId="20226" xr:uid="{00000000-0005-0000-0000-0000FC3F0000}"/>
    <cellStyle name="Accent2 2 2 2_DataIX" xfId="31704" xr:uid="{00000000-0005-0000-0000-0000FD3F0000}"/>
    <cellStyle name="Accent2 2 2 3" xfId="16793" xr:uid="{00000000-0005-0000-0000-0000FE3F0000}"/>
    <cellStyle name="Accent2 2 2_060617_hinnat" xfId="24819" xr:uid="{00000000-0005-0000-0000-0000FF3F0000}"/>
    <cellStyle name="Accent2 2 3" xfId="25099" xr:uid="{00000000-0005-0000-0000-000000400000}"/>
    <cellStyle name="Accent2 2 4" xfId="26168" xr:uid="{00000000-0005-0000-0000-000001400000}"/>
    <cellStyle name="Accent2 2 5" xfId="26586" xr:uid="{00000000-0005-0000-0000-000002400000}"/>
    <cellStyle name="Accent2 2 6" xfId="26237" xr:uid="{00000000-0005-0000-0000-000003400000}"/>
    <cellStyle name="Accent2 2 7" xfId="25930" xr:uid="{00000000-0005-0000-0000-000004400000}"/>
    <cellStyle name="Accent2 2 8" xfId="25503" xr:uid="{00000000-0005-0000-0000-000005400000}"/>
    <cellStyle name="Accent2 2 9" xfId="26439" xr:uid="{00000000-0005-0000-0000-000006400000}"/>
    <cellStyle name="Accent2 2_##Keskeiset" xfId="8616" xr:uid="{00000000-0005-0000-0000-000007400000}"/>
    <cellStyle name="Accent2 3" xfId="5554" xr:uid="{00000000-0005-0000-0000-000008400000}"/>
    <cellStyle name="Accent2 3 2" xfId="12498" xr:uid="{00000000-0005-0000-0000-000009400000}"/>
    <cellStyle name="Accent2 3 3" xfId="18782" xr:uid="{00000000-0005-0000-0000-00000A400000}"/>
    <cellStyle name="Accent2 3_DataIX" xfId="31705" xr:uid="{00000000-0005-0000-0000-00000B400000}"/>
    <cellStyle name="Accent2 4" xfId="24817" xr:uid="{00000000-0005-0000-0000-00000C400000}"/>
    <cellStyle name="Accent2_##Keskeiset" xfId="5553" xr:uid="{00000000-0005-0000-0000-00000D400000}"/>
    <cellStyle name="Accent3" xfId="55" xr:uid="{00000000-0005-0000-0000-00000E400000}"/>
    <cellStyle name="Accent3 2" xfId="56" xr:uid="{00000000-0005-0000-0000-00000F400000}"/>
    <cellStyle name="Accent3 2 10" xfId="26187" xr:uid="{00000000-0005-0000-0000-000010400000}"/>
    <cellStyle name="Accent3 2 11" xfId="24821" xr:uid="{00000000-0005-0000-0000-000011400000}"/>
    <cellStyle name="Accent3 2 2" xfId="3276" xr:uid="{00000000-0005-0000-0000-000012400000}"/>
    <cellStyle name="Accent3 2 2 2" xfId="8619" xr:uid="{00000000-0005-0000-0000-000013400000}"/>
    <cellStyle name="Accent3 2 2 2 2" xfId="12499" xr:uid="{00000000-0005-0000-0000-000014400000}"/>
    <cellStyle name="Accent3 2 2 2 3" xfId="20227" xr:uid="{00000000-0005-0000-0000-000015400000}"/>
    <cellStyle name="Accent3 2 2 2_DataIX" xfId="31706" xr:uid="{00000000-0005-0000-0000-000016400000}"/>
    <cellStyle name="Accent3 2 2 3" xfId="16794" xr:uid="{00000000-0005-0000-0000-000017400000}"/>
    <cellStyle name="Accent3 2 2_060617_hinnat" xfId="24822" xr:uid="{00000000-0005-0000-0000-000018400000}"/>
    <cellStyle name="Accent3 2 3" xfId="25100" xr:uid="{00000000-0005-0000-0000-000019400000}"/>
    <cellStyle name="Accent3 2 4" xfId="26167" xr:uid="{00000000-0005-0000-0000-00001A400000}"/>
    <cellStyle name="Accent3 2 5" xfId="26287" xr:uid="{00000000-0005-0000-0000-00001B400000}"/>
    <cellStyle name="Accent3 2 6" xfId="26435" xr:uid="{00000000-0005-0000-0000-00001C400000}"/>
    <cellStyle name="Accent3 2 7" xfId="25859" xr:uid="{00000000-0005-0000-0000-00001D400000}"/>
    <cellStyle name="Accent3 2 8" xfId="25426" xr:uid="{00000000-0005-0000-0000-00001E400000}"/>
    <cellStyle name="Accent3 2 9" xfId="26388" xr:uid="{00000000-0005-0000-0000-00001F400000}"/>
    <cellStyle name="Accent3 2_##Keskeiset" xfId="8618" xr:uid="{00000000-0005-0000-0000-000020400000}"/>
    <cellStyle name="Accent3 3" xfId="5556" xr:uid="{00000000-0005-0000-0000-000021400000}"/>
    <cellStyle name="Accent3 3 2" xfId="12500" xr:uid="{00000000-0005-0000-0000-000022400000}"/>
    <cellStyle name="Accent3 3 3" xfId="18783" xr:uid="{00000000-0005-0000-0000-000023400000}"/>
    <cellStyle name="Accent3 3_DataIX" xfId="31707" xr:uid="{00000000-0005-0000-0000-000024400000}"/>
    <cellStyle name="Accent3 4" xfId="24820" xr:uid="{00000000-0005-0000-0000-000025400000}"/>
    <cellStyle name="Accent3_##Keskeiset" xfId="5555" xr:uid="{00000000-0005-0000-0000-000026400000}"/>
    <cellStyle name="Accent4" xfId="57" xr:uid="{00000000-0005-0000-0000-000027400000}"/>
    <cellStyle name="Accent4 2" xfId="58" xr:uid="{00000000-0005-0000-0000-000028400000}"/>
    <cellStyle name="Accent4 2 10" xfId="25985" xr:uid="{00000000-0005-0000-0000-000029400000}"/>
    <cellStyle name="Accent4 2 11" xfId="24824" xr:uid="{00000000-0005-0000-0000-00002A400000}"/>
    <cellStyle name="Accent4 2 2" xfId="3277" xr:uid="{00000000-0005-0000-0000-00002B400000}"/>
    <cellStyle name="Accent4 2 2 2" xfId="8621" xr:uid="{00000000-0005-0000-0000-00002C400000}"/>
    <cellStyle name="Accent4 2 2 2 2" xfId="12501" xr:uid="{00000000-0005-0000-0000-00002D400000}"/>
    <cellStyle name="Accent4 2 2 2 3" xfId="20228" xr:uid="{00000000-0005-0000-0000-00002E400000}"/>
    <cellStyle name="Accent4 2 2 2_DataIX" xfId="31708" xr:uid="{00000000-0005-0000-0000-00002F400000}"/>
    <cellStyle name="Accent4 2 2 3" xfId="16795" xr:uid="{00000000-0005-0000-0000-000030400000}"/>
    <cellStyle name="Accent4 2 2_060617_hinnat" xfId="24825" xr:uid="{00000000-0005-0000-0000-000031400000}"/>
    <cellStyle name="Accent4 2 3" xfId="25101" xr:uid="{00000000-0005-0000-0000-000032400000}"/>
    <cellStyle name="Accent4 2 4" xfId="26166" xr:uid="{00000000-0005-0000-0000-000033400000}"/>
    <cellStyle name="Accent4 2 5" xfId="25336" xr:uid="{00000000-0005-0000-0000-000034400000}"/>
    <cellStyle name="Accent4 2 6" xfId="25622" xr:uid="{00000000-0005-0000-0000-000035400000}"/>
    <cellStyle name="Accent4 2 7" xfId="26016" xr:uid="{00000000-0005-0000-0000-000036400000}"/>
    <cellStyle name="Accent4 2 8" xfId="25997" xr:uid="{00000000-0005-0000-0000-000037400000}"/>
    <cellStyle name="Accent4 2 9" xfId="25802" xr:uid="{00000000-0005-0000-0000-000038400000}"/>
    <cellStyle name="Accent4 2_##Keskeiset" xfId="8620" xr:uid="{00000000-0005-0000-0000-000039400000}"/>
    <cellStyle name="Accent4 3" xfId="5558" xr:uid="{00000000-0005-0000-0000-00003A400000}"/>
    <cellStyle name="Accent4 3 2" xfId="12502" xr:uid="{00000000-0005-0000-0000-00003B400000}"/>
    <cellStyle name="Accent4 3 3" xfId="18785" xr:uid="{00000000-0005-0000-0000-00003C400000}"/>
    <cellStyle name="Accent4 3_DataIX" xfId="31709" xr:uid="{00000000-0005-0000-0000-00003D400000}"/>
    <cellStyle name="Accent4 4" xfId="24823" xr:uid="{00000000-0005-0000-0000-00003E400000}"/>
    <cellStyle name="Accent4_##Keskeiset" xfId="5557" xr:uid="{00000000-0005-0000-0000-00003F400000}"/>
    <cellStyle name="Accent5" xfId="59" xr:uid="{00000000-0005-0000-0000-000040400000}"/>
    <cellStyle name="Accent5 2" xfId="60" xr:uid="{00000000-0005-0000-0000-000041400000}"/>
    <cellStyle name="Accent5 2 10" xfId="25810" xr:uid="{00000000-0005-0000-0000-000042400000}"/>
    <cellStyle name="Accent5 2 11" xfId="24827" xr:uid="{00000000-0005-0000-0000-000043400000}"/>
    <cellStyle name="Accent5 2 2" xfId="3278" xr:uid="{00000000-0005-0000-0000-000044400000}"/>
    <cellStyle name="Accent5 2 2 2" xfId="8623" xr:uid="{00000000-0005-0000-0000-000045400000}"/>
    <cellStyle name="Accent5 2 2 2 2" xfId="12503" xr:uid="{00000000-0005-0000-0000-000046400000}"/>
    <cellStyle name="Accent5 2 2 2 3" xfId="20229" xr:uid="{00000000-0005-0000-0000-000047400000}"/>
    <cellStyle name="Accent5 2 2 2_DataIX" xfId="31710" xr:uid="{00000000-0005-0000-0000-000048400000}"/>
    <cellStyle name="Accent5 2 2 3" xfId="16796" xr:uid="{00000000-0005-0000-0000-000049400000}"/>
    <cellStyle name="Accent5 2 2_060617_hinnat" xfId="24828" xr:uid="{00000000-0005-0000-0000-00004A400000}"/>
    <cellStyle name="Accent5 2 3" xfId="25102" xr:uid="{00000000-0005-0000-0000-00004B400000}"/>
    <cellStyle name="Accent5 2 4" xfId="26165" xr:uid="{00000000-0005-0000-0000-00004C400000}"/>
    <cellStyle name="Accent5 2 5" xfId="25337" xr:uid="{00000000-0005-0000-0000-00004D400000}"/>
    <cellStyle name="Accent5 2 6" xfId="25906" xr:uid="{00000000-0005-0000-0000-00004E400000}"/>
    <cellStyle name="Accent5 2 7" xfId="26069" xr:uid="{00000000-0005-0000-0000-00004F400000}"/>
    <cellStyle name="Accent5 2 8" xfId="25473" xr:uid="{00000000-0005-0000-0000-000050400000}"/>
    <cellStyle name="Accent5 2 9" xfId="26660" xr:uid="{00000000-0005-0000-0000-000051400000}"/>
    <cellStyle name="Accent5 2_##Keskeiset" xfId="8622" xr:uid="{00000000-0005-0000-0000-000052400000}"/>
    <cellStyle name="Accent5 3" xfId="5560" xr:uid="{00000000-0005-0000-0000-000053400000}"/>
    <cellStyle name="Accent5 3 2" xfId="12504" xr:uid="{00000000-0005-0000-0000-000054400000}"/>
    <cellStyle name="Accent5 3 3" xfId="18786" xr:uid="{00000000-0005-0000-0000-000055400000}"/>
    <cellStyle name="Accent5 3_DataIX" xfId="31711" xr:uid="{00000000-0005-0000-0000-000056400000}"/>
    <cellStyle name="Accent5 4" xfId="24826" xr:uid="{00000000-0005-0000-0000-000057400000}"/>
    <cellStyle name="Accent5_##Keskeiset" xfId="5559" xr:uid="{00000000-0005-0000-0000-000058400000}"/>
    <cellStyle name="Accent6" xfId="61" xr:uid="{00000000-0005-0000-0000-000059400000}"/>
    <cellStyle name="Accent6 2" xfId="62" xr:uid="{00000000-0005-0000-0000-00005A400000}"/>
    <cellStyle name="Accent6 2 10" xfId="25471" xr:uid="{00000000-0005-0000-0000-00005B400000}"/>
    <cellStyle name="Accent6 2 11" xfId="24830" xr:uid="{00000000-0005-0000-0000-00005C400000}"/>
    <cellStyle name="Accent6 2 2" xfId="3279" xr:uid="{00000000-0005-0000-0000-00005D400000}"/>
    <cellStyle name="Accent6 2 2 2" xfId="8625" xr:uid="{00000000-0005-0000-0000-00005E400000}"/>
    <cellStyle name="Accent6 2 2 2 2" xfId="12505" xr:uid="{00000000-0005-0000-0000-00005F400000}"/>
    <cellStyle name="Accent6 2 2 2 3" xfId="20230" xr:uid="{00000000-0005-0000-0000-000060400000}"/>
    <cellStyle name="Accent6 2 2 2_DataIX" xfId="31712" xr:uid="{00000000-0005-0000-0000-000061400000}"/>
    <cellStyle name="Accent6 2 2 3" xfId="16797" xr:uid="{00000000-0005-0000-0000-000062400000}"/>
    <cellStyle name="Accent6 2 2_060617_hinnat" xfId="24831" xr:uid="{00000000-0005-0000-0000-000063400000}"/>
    <cellStyle name="Accent6 2 3" xfId="25103" xr:uid="{00000000-0005-0000-0000-000064400000}"/>
    <cellStyle name="Accent6 2 4" xfId="26489" xr:uid="{00000000-0005-0000-0000-000065400000}"/>
    <cellStyle name="Accent6 2 5" xfId="25755" xr:uid="{00000000-0005-0000-0000-000066400000}"/>
    <cellStyle name="Accent6 2 6" xfId="25706" xr:uid="{00000000-0005-0000-0000-000067400000}"/>
    <cellStyle name="Accent6 2 7" xfId="25373" xr:uid="{00000000-0005-0000-0000-000068400000}"/>
    <cellStyle name="Accent6 2 8" xfId="26223" xr:uid="{00000000-0005-0000-0000-000069400000}"/>
    <cellStyle name="Accent6 2 9" xfId="26649" xr:uid="{00000000-0005-0000-0000-00006A400000}"/>
    <cellStyle name="Accent6 2_##Keskeiset" xfId="8624" xr:uid="{00000000-0005-0000-0000-00006B400000}"/>
    <cellStyle name="Accent6 3" xfId="5562" xr:uid="{00000000-0005-0000-0000-00006C400000}"/>
    <cellStyle name="Accent6 3 2" xfId="12506" xr:uid="{00000000-0005-0000-0000-00006D400000}"/>
    <cellStyle name="Accent6 3 3" xfId="18788" xr:uid="{00000000-0005-0000-0000-00006E400000}"/>
    <cellStyle name="Accent6 3_DataIX" xfId="31713" xr:uid="{00000000-0005-0000-0000-00006F400000}"/>
    <cellStyle name="Accent6 4" xfId="24829" xr:uid="{00000000-0005-0000-0000-000070400000}"/>
    <cellStyle name="Accent6_##Keskeiset" xfId="5561" xr:uid="{00000000-0005-0000-0000-000071400000}"/>
    <cellStyle name="Aksentti1" xfId="346" xr:uid="{00000000-0005-0000-0000-000072400000}"/>
    <cellStyle name="Aksentti1 2" xfId="181" xr:uid="{00000000-0005-0000-0000-000073400000}"/>
    <cellStyle name="Aksentti1 2 2" xfId="3281" xr:uid="{00000000-0005-0000-0000-000074400000}"/>
    <cellStyle name="Aksentti1 2 2 2" xfId="8626" xr:uid="{00000000-0005-0000-0000-000075400000}"/>
    <cellStyle name="Aksentti1 2 2 2 2" xfId="12507" xr:uid="{00000000-0005-0000-0000-000076400000}"/>
    <cellStyle name="Aksentti1 2 2 2 3" xfId="20231" xr:uid="{00000000-0005-0000-0000-000077400000}"/>
    <cellStyle name="Aksentti1 2 2 2_DataIX" xfId="31714" xr:uid="{00000000-0005-0000-0000-000078400000}"/>
    <cellStyle name="Aksentti1 2 2 3" xfId="16799" xr:uid="{00000000-0005-0000-0000-000079400000}"/>
    <cellStyle name="Aksentti1 2 2_060617_hinnat" xfId="24832" xr:uid="{00000000-0005-0000-0000-00007A400000}"/>
    <cellStyle name="Aksentti1 2 3" xfId="3280" xr:uid="{00000000-0005-0000-0000-00007B400000}"/>
    <cellStyle name="Aksentti1 2 3 2" xfId="8627" xr:uid="{00000000-0005-0000-0000-00007C400000}"/>
    <cellStyle name="Aksentti1 2 3 2 2" xfId="12508" xr:uid="{00000000-0005-0000-0000-00007D400000}"/>
    <cellStyle name="Aksentti1 2 3 2 3" xfId="20232" xr:uid="{00000000-0005-0000-0000-00007E400000}"/>
    <cellStyle name="Aksentti1 2 3 2_DataIX" xfId="31715" xr:uid="{00000000-0005-0000-0000-00007F400000}"/>
    <cellStyle name="Aksentti1 2 3 3" xfId="16798" xr:uid="{00000000-0005-0000-0000-000080400000}"/>
    <cellStyle name="Aksentti1 2 3_060617_hinnat" xfId="24833" xr:uid="{00000000-0005-0000-0000-000081400000}"/>
    <cellStyle name="Aksentti1 2_060617_hinnat" xfId="24834" xr:uid="{00000000-0005-0000-0000-000082400000}"/>
    <cellStyle name="Aksentti1 3" xfId="180" xr:uid="{00000000-0005-0000-0000-000083400000}"/>
    <cellStyle name="Aksentti1 3 2" xfId="3282" xr:uid="{00000000-0005-0000-0000-000084400000}"/>
    <cellStyle name="Aksentti1 3 2 2" xfId="8628" xr:uid="{00000000-0005-0000-0000-000085400000}"/>
    <cellStyle name="Aksentti1 3 2 2 2" xfId="12509" xr:uid="{00000000-0005-0000-0000-000086400000}"/>
    <cellStyle name="Aksentti1 3 2 2 3" xfId="20233" xr:uid="{00000000-0005-0000-0000-000087400000}"/>
    <cellStyle name="Aksentti1 3 2 2_DataIX" xfId="31716" xr:uid="{00000000-0005-0000-0000-000088400000}"/>
    <cellStyle name="Aksentti1 3 2 3" xfId="16800" xr:uid="{00000000-0005-0000-0000-000089400000}"/>
    <cellStyle name="Aksentti1 3 2_060617_hinnat" xfId="24835" xr:uid="{00000000-0005-0000-0000-00008A400000}"/>
    <cellStyle name="Aksentti1 3_060617_hinnat" xfId="24836" xr:uid="{00000000-0005-0000-0000-00008B400000}"/>
    <cellStyle name="Aksentti1 4" xfId="5563" xr:uid="{00000000-0005-0000-0000-00008C400000}"/>
    <cellStyle name="Aksentti1 4 2" xfId="12510" xr:uid="{00000000-0005-0000-0000-00008D400000}"/>
    <cellStyle name="Aksentti1 4 3" xfId="18789" xr:uid="{00000000-0005-0000-0000-00008E400000}"/>
    <cellStyle name="Aksentti1 4 4" xfId="27776" xr:uid="{00000000-0005-0000-0000-00008F400000}"/>
    <cellStyle name="Aksentti1 4_DataIX" xfId="31717" xr:uid="{00000000-0005-0000-0000-000090400000}"/>
    <cellStyle name="Aksentti1 5" xfId="10658" xr:uid="{00000000-0005-0000-0000-000091400000}"/>
    <cellStyle name="Aksentti1_##KansantalKehitys" xfId="5424" xr:uid="{00000000-0005-0000-0000-000092400000}"/>
    <cellStyle name="Aksentti2" xfId="347" xr:uid="{00000000-0005-0000-0000-000093400000}"/>
    <cellStyle name="Aksentti2 2" xfId="183" xr:uid="{00000000-0005-0000-0000-000094400000}"/>
    <cellStyle name="Aksentti2 2 2" xfId="3283" xr:uid="{00000000-0005-0000-0000-000095400000}"/>
    <cellStyle name="Aksentti2 2 2 2" xfId="8629" xr:uid="{00000000-0005-0000-0000-000096400000}"/>
    <cellStyle name="Aksentti2 2 2 2 2" xfId="12511" xr:uid="{00000000-0005-0000-0000-000097400000}"/>
    <cellStyle name="Aksentti2 2 2 2 3" xfId="20234" xr:uid="{00000000-0005-0000-0000-000098400000}"/>
    <cellStyle name="Aksentti2 2 2 2_DataIX" xfId="31718" xr:uid="{00000000-0005-0000-0000-000099400000}"/>
    <cellStyle name="Aksentti2 2 2 3" xfId="16801" xr:uid="{00000000-0005-0000-0000-00009A400000}"/>
    <cellStyle name="Aksentti2 2 2_060617_hinnat" xfId="24837" xr:uid="{00000000-0005-0000-0000-00009B400000}"/>
    <cellStyle name="Aksentti2 2_060617_hinnat" xfId="24838" xr:uid="{00000000-0005-0000-0000-00009C400000}"/>
    <cellStyle name="Aksentti2 3" xfId="182" xr:uid="{00000000-0005-0000-0000-00009D400000}"/>
    <cellStyle name="Aksentti2 4" xfId="5564" xr:uid="{00000000-0005-0000-0000-00009E400000}"/>
    <cellStyle name="Aksentti2 4 2" xfId="12512" xr:uid="{00000000-0005-0000-0000-00009F400000}"/>
    <cellStyle name="Aksentti2 4 3" xfId="18790" xr:uid="{00000000-0005-0000-0000-0000A0400000}"/>
    <cellStyle name="Aksentti2 4 4" xfId="27777" xr:uid="{00000000-0005-0000-0000-0000A1400000}"/>
    <cellStyle name="Aksentti2 4_DataIX" xfId="31719" xr:uid="{00000000-0005-0000-0000-0000A2400000}"/>
    <cellStyle name="Aksentti2 5" xfId="10659" xr:uid="{00000000-0005-0000-0000-0000A3400000}"/>
    <cellStyle name="Aksentti2_##KansantalKehitys" xfId="5425" xr:uid="{00000000-0005-0000-0000-0000A4400000}"/>
    <cellStyle name="Aksentti3" xfId="348" xr:uid="{00000000-0005-0000-0000-0000A5400000}"/>
    <cellStyle name="Aksentti3 2" xfId="185" xr:uid="{00000000-0005-0000-0000-0000A6400000}"/>
    <cellStyle name="Aksentti3 2 2" xfId="3284" xr:uid="{00000000-0005-0000-0000-0000A7400000}"/>
    <cellStyle name="Aksentti3 2 2 2" xfId="8630" xr:uid="{00000000-0005-0000-0000-0000A8400000}"/>
    <cellStyle name="Aksentti3 2 2 2 2" xfId="12513" xr:uid="{00000000-0005-0000-0000-0000A9400000}"/>
    <cellStyle name="Aksentti3 2 2 2 3" xfId="20235" xr:uid="{00000000-0005-0000-0000-0000AA400000}"/>
    <cellStyle name="Aksentti3 2 2 2_DataIX" xfId="31720" xr:uid="{00000000-0005-0000-0000-0000AB400000}"/>
    <cellStyle name="Aksentti3 2 2 3" xfId="16802" xr:uid="{00000000-0005-0000-0000-0000AC400000}"/>
    <cellStyle name="Aksentti3 2 2_060617_hinnat" xfId="24839" xr:uid="{00000000-0005-0000-0000-0000AD400000}"/>
    <cellStyle name="Aksentti3 2_060617_hinnat" xfId="24840" xr:uid="{00000000-0005-0000-0000-0000AE400000}"/>
    <cellStyle name="Aksentti3 3" xfId="184" xr:uid="{00000000-0005-0000-0000-0000AF400000}"/>
    <cellStyle name="Aksentti3 4" xfId="5565" xr:uid="{00000000-0005-0000-0000-0000B0400000}"/>
    <cellStyle name="Aksentti3 4 2" xfId="12514" xr:uid="{00000000-0005-0000-0000-0000B1400000}"/>
    <cellStyle name="Aksentti3 4 3" xfId="18791" xr:uid="{00000000-0005-0000-0000-0000B2400000}"/>
    <cellStyle name="Aksentti3 4 4" xfId="27778" xr:uid="{00000000-0005-0000-0000-0000B3400000}"/>
    <cellStyle name="Aksentti3 4_DataIX" xfId="31721" xr:uid="{00000000-0005-0000-0000-0000B4400000}"/>
    <cellStyle name="Aksentti3 5" xfId="10660" xr:uid="{00000000-0005-0000-0000-0000B5400000}"/>
    <cellStyle name="Aksentti3_##KansantalKehitys" xfId="5426" xr:uid="{00000000-0005-0000-0000-0000B6400000}"/>
    <cellStyle name="Aksentti4" xfId="349" xr:uid="{00000000-0005-0000-0000-0000B7400000}"/>
    <cellStyle name="Aksentti4 2" xfId="187" xr:uid="{00000000-0005-0000-0000-0000B8400000}"/>
    <cellStyle name="Aksentti4 2 2" xfId="3285" xr:uid="{00000000-0005-0000-0000-0000B9400000}"/>
    <cellStyle name="Aksentti4 2 2 2" xfId="8631" xr:uid="{00000000-0005-0000-0000-0000BA400000}"/>
    <cellStyle name="Aksentti4 2 2 2 2" xfId="12515" xr:uid="{00000000-0005-0000-0000-0000BB400000}"/>
    <cellStyle name="Aksentti4 2 2 2 3" xfId="20236" xr:uid="{00000000-0005-0000-0000-0000BC400000}"/>
    <cellStyle name="Aksentti4 2 2 2_DataIX" xfId="31722" xr:uid="{00000000-0005-0000-0000-0000BD400000}"/>
    <cellStyle name="Aksentti4 2 2 3" xfId="16803" xr:uid="{00000000-0005-0000-0000-0000BE400000}"/>
    <cellStyle name="Aksentti4 2 2_060617_hinnat" xfId="24841" xr:uid="{00000000-0005-0000-0000-0000BF400000}"/>
    <cellStyle name="Aksentti4 2_060617_hinnat" xfId="24842" xr:uid="{00000000-0005-0000-0000-0000C0400000}"/>
    <cellStyle name="Aksentti4 3" xfId="186" xr:uid="{00000000-0005-0000-0000-0000C1400000}"/>
    <cellStyle name="Aksentti4 4" xfId="5566" xr:uid="{00000000-0005-0000-0000-0000C2400000}"/>
    <cellStyle name="Aksentti4 4 2" xfId="12516" xr:uid="{00000000-0005-0000-0000-0000C3400000}"/>
    <cellStyle name="Aksentti4 4 3" xfId="18792" xr:uid="{00000000-0005-0000-0000-0000C4400000}"/>
    <cellStyle name="Aksentti4 4 4" xfId="27779" xr:uid="{00000000-0005-0000-0000-0000C5400000}"/>
    <cellStyle name="Aksentti4 4_DataIX" xfId="31723" xr:uid="{00000000-0005-0000-0000-0000C6400000}"/>
    <cellStyle name="Aksentti4 5" xfId="10661" xr:uid="{00000000-0005-0000-0000-0000C7400000}"/>
    <cellStyle name="Aksentti4_##KansantalKehitys" xfId="5427" xr:uid="{00000000-0005-0000-0000-0000C8400000}"/>
    <cellStyle name="Aksentti5" xfId="350" xr:uid="{00000000-0005-0000-0000-0000C9400000}"/>
    <cellStyle name="Aksentti5 2" xfId="189" xr:uid="{00000000-0005-0000-0000-0000CA400000}"/>
    <cellStyle name="Aksentti5 2 2" xfId="3286" xr:uid="{00000000-0005-0000-0000-0000CB400000}"/>
    <cellStyle name="Aksentti5 2 2 2" xfId="8632" xr:uid="{00000000-0005-0000-0000-0000CC400000}"/>
    <cellStyle name="Aksentti5 2 2 2 2" xfId="12517" xr:uid="{00000000-0005-0000-0000-0000CD400000}"/>
    <cellStyle name="Aksentti5 2 2 2 3" xfId="20237" xr:uid="{00000000-0005-0000-0000-0000CE400000}"/>
    <cellStyle name="Aksentti5 2 2 2_DataIX" xfId="31724" xr:uid="{00000000-0005-0000-0000-0000CF400000}"/>
    <cellStyle name="Aksentti5 2 2 3" xfId="16804" xr:uid="{00000000-0005-0000-0000-0000D0400000}"/>
    <cellStyle name="Aksentti5 2 2_060617_hinnat" xfId="24843" xr:uid="{00000000-0005-0000-0000-0000D1400000}"/>
    <cellStyle name="Aksentti5 2_060617_hinnat" xfId="24844" xr:uid="{00000000-0005-0000-0000-0000D2400000}"/>
    <cellStyle name="Aksentti5 3" xfId="188" xr:uid="{00000000-0005-0000-0000-0000D3400000}"/>
    <cellStyle name="Aksentti5 4" xfId="5567" xr:uid="{00000000-0005-0000-0000-0000D4400000}"/>
    <cellStyle name="Aksentti5 4 2" xfId="12518" xr:uid="{00000000-0005-0000-0000-0000D5400000}"/>
    <cellStyle name="Aksentti5 4 3" xfId="18793" xr:uid="{00000000-0005-0000-0000-0000D6400000}"/>
    <cellStyle name="Aksentti5 4 4" xfId="27780" xr:uid="{00000000-0005-0000-0000-0000D7400000}"/>
    <cellStyle name="Aksentti5 4_DataIX" xfId="31725" xr:uid="{00000000-0005-0000-0000-0000D8400000}"/>
    <cellStyle name="Aksentti5 5" xfId="10662" xr:uid="{00000000-0005-0000-0000-0000D9400000}"/>
    <cellStyle name="Aksentti5_##KansantalKehitys" xfId="5428" xr:uid="{00000000-0005-0000-0000-0000DA400000}"/>
    <cellStyle name="Aksentti6" xfId="351" xr:uid="{00000000-0005-0000-0000-0000DB400000}"/>
    <cellStyle name="Aksentti6 2" xfId="191" xr:uid="{00000000-0005-0000-0000-0000DC400000}"/>
    <cellStyle name="Aksentti6 2 2" xfId="3288" xr:uid="{00000000-0005-0000-0000-0000DD400000}"/>
    <cellStyle name="Aksentti6 2 2 2" xfId="8633" xr:uid="{00000000-0005-0000-0000-0000DE400000}"/>
    <cellStyle name="Aksentti6 2 2 2 2" xfId="12519" xr:uid="{00000000-0005-0000-0000-0000DF400000}"/>
    <cellStyle name="Aksentti6 2 2 2 3" xfId="20238" xr:uid="{00000000-0005-0000-0000-0000E0400000}"/>
    <cellStyle name="Aksentti6 2 2 2_DataIX" xfId="31726" xr:uid="{00000000-0005-0000-0000-0000E1400000}"/>
    <cellStyle name="Aksentti6 2 2 3" xfId="16806" xr:uid="{00000000-0005-0000-0000-0000E2400000}"/>
    <cellStyle name="Aksentti6 2 2_060617_hinnat" xfId="24845" xr:uid="{00000000-0005-0000-0000-0000E3400000}"/>
    <cellStyle name="Aksentti6 2_060617_hinnat" xfId="24846" xr:uid="{00000000-0005-0000-0000-0000E4400000}"/>
    <cellStyle name="Aksentti6 3" xfId="190" xr:uid="{00000000-0005-0000-0000-0000E5400000}"/>
    <cellStyle name="Aksentti6 4" xfId="5568" xr:uid="{00000000-0005-0000-0000-0000E6400000}"/>
    <cellStyle name="Aksentti6 4 2" xfId="12520" xr:uid="{00000000-0005-0000-0000-0000E7400000}"/>
    <cellStyle name="Aksentti6 4 3" xfId="18794" xr:uid="{00000000-0005-0000-0000-0000E8400000}"/>
    <cellStyle name="Aksentti6 4 4" xfId="27781" xr:uid="{00000000-0005-0000-0000-0000E9400000}"/>
    <cellStyle name="Aksentti6 4_DataIX" xfId="31727" xr:uid="{00000000-0005-0000-0000-0000EA400000}"/>
    <cellStyle name="Aksentti6 5" xfId="10663" xr:uid="{00000000-0005-0000-0000-0000EB400000}"/>
    <cellStyle name="Aksentti6_##KansantalKehitys" xfId="5429" xr:uid="{00000000-0005-0000-0000-0000EC400000}"/>
    <cellStyle name="ANCLAS,REZONES Y SUS PARTES,DE FUNDICION,DE HIERRO O DE ACERO" xfId="2" xr:uid="{00000000-0005-0000-0000-0000ED400000}"/>
    <cellStyle name="ANCLAS,REZONES Y SUS PARTES,DE FUNDICION,DE HIERRO O DE ACERO 2" xfId="63" xr:uid="{00000000-0005-0000-0000-0000EE400000}"/>
    <cellStyle name="ANCLAS,REZONES Y SUS PARTES,DE FUNDICION,DE HIERRO O DE ACERO 3" xfId="325" xr:uid="{00000000-0005-0000-0000-0000EF400000}"/>
    <cellStyle name="ANCLAS,REZONES Y SUS PARTES,DE FUNDICION,DE HIERRO O DE ACERO 3 2" xfId="3291" xr:uid="{00000000-0005-0000-0000-0000F0400000}"/>
    <cellStyle name="ANCLAS,REZONES Y SUS PARTES,DE FUNDICION,DE HIERRO O DE ACERO 3_060617_hinnat" xfId="24847" xr:uid="{00000000-0005-0000-0000-0000F1400000}"/>
    <cellStyle name="ANCLAS,REZONES Y SUS PARTES,DE FUNDICION,DE HIERRO O DE ACERO 4" xfId="3292" xr:uid="{00000000-0005-0000-0000-0000F2400000}"/>
    <cellStyle name="ANCLAS,REZONES Y SUS PARTES,DE FUNDICION,DE HIERRO O DE ACERO 5" xfId="3293" xr:uid="{00000000-0005-0000-0000-0000F3400000}"/>
    <cellStyle name="ANCLAS,REZONES Y SUS PARTES,DE FUNDICION,DE HIERRO O DE ACERO 6" xfId="3290" xr:uid="{00000000-0005-0000-0000-0000F4400000}"/>
    <cellStyle name="ANCLAS,REZONES Y SUS PARTES,DE FUNDICION,DE HIERRO O DE ACERO_##KansantalKehitys" xfId="5430" xr:uid="{00000000-0005-0000-0000-0000F5400000}"/>
    <cellStyle name="Avattu hyperlinkki 2" xfId="3295" xr:uid="{00000000-0005-0000-0000-0000F6400000}"/>
    <cellStyle name="Bad" xfId="64" xr:uid="{00000000-0005-0000-0000-0000F7400000}"/>
    <cellStyle name="Bad 2" xfId="65" xr:uid="{00000000-0005-0000-0000-0000F8400000}"/>
    <cellStyle name="Bad 2 10" xfId="25887" xr:uid="{00000000-0005-0000-0000-0000F9400000}"/>
    <cellStyle name="Bad 2 11" xfId="24849" xr:uid="{00000000-0005-0000-0000-0000FA400000}"/>
    <cellStyle name="Bad 2 2" xfId="3296" xr:uid="{00000000-0005-0000-0000-0000FB400000}"/>
    <cellStyle name="Bad 2 2 2" xfId="8635" xr:uid="{00000000-0005-0000-0000-0000FC400000}"/>
    <cellStyle name="Bad 2 2 2 2" xfId="12521" xr:uid="{00000000-0005-0000-0000-0000FD400000}"/>
    <cellStyle name="Bad 2 2 2 3" xfId="20239" xr:uid="{00000000-0005-0000-0000-0000FE400000}"/>
    <cellStyle name="Bad 2 2 2_DataIX" xfId="31728" xr:uid="{00000000-0005-0000-0000-0000FF400000}"/>
    <cellStyle name="Bad 2 2 3" xfId="16809" xr:uid="{00000000-0005-0000-0000-000000410000}"/>
    <cellStyle name="Bad 2 2_060617_hinnat" xfId="24850" xr:uid="{00000000-0005-0000-0000-000001410000}"/>
    <cellStyle name="Bad 2 3" xfId="25107" xr:uid="{00000000-0005-0000-0000-000002410000}"/>
    <cellStyle name="Bad 2 4" xfId="26163" xr:uid="{00000000-0005-0000-0000-000003410000}"/>
    <cellStyle name="Bad 2 5" xfId="25756" xr:uid="{00000000-0005-0000-0000-000004410000}"/>
    <cellStyle name="Bad 2 6" xfId="26058" xr:uid="{00000000-0005-0000-0000-000005410000}"/>
    <cellStyle name="Bad 2 7" xfId="25793" xr:uid="{00000000-0005-0000-0000-000006410000}"/>
    <cellStyle name="Bad 2 8" xfId="25409" xr:uid="{00000000-0005-0000-0000-000007410000}"/>
    <cellStyle name="Bad 2 9" xfId="25515" xr:uid="{00000000-0005-0000-0000-000008410000}"/>
    <cellStyle name="Bad 2_##Keskeiset" xfId="8634" xr:uid="{00000000-0005-0000-0000-000009410000}"/>
    <cellStyle name="Bad 3" xfId="5570" xr:uid="{00000000-0005-0000-0000-00000A410000}"/>
    <cellStyle name="Bad 3 2" xfId="12522" xr:uid="{00000000-0005-0000-0000-00000B410000}"/>
    <cellStyle name="Bad 3 3" xfId="18795" xr:uid="{00000000-0005-0000-0000-00000C410000}"/>
    <cellStyle name="Bad 3_DataIX" xfId="31729" xr:uid="{00000000-0005-0000-0000-00000D410000}"/>
    <cellStyle name="Bad 4" xfId="24848" xr:uid="{00000000-0005-0000-0000-00000E410000}"/>
    <cellStyle name="Bad_##Keskeiset" xfId="5569" xr:uid="{00000000-0005-0000-0000-00000F410000}"/>
    <cellStyle name="calc laskentasolu" xfId="192" xr:uid="{00000000-0005-0000-0000-000010410000}"/>
    <cellStyle name="calc laskentasolu 2" xfId="25108" xr:uid="{00000000-0005-0000-0000-000011410000}"/>
    <cellStyle name="calc laskentasolu 3" xfId="24851" xr:uid="{00000000-0005-0000-0000-000012410000}"/>
    <cellStyle name="calc laskentasolu_DataIX" xfId="31730" xr:uid="{00000000-0005-0000-0000-000013410000}"/>
    <cellStyle name="Calculation" xfId="66" xr:uid="{00000000-0005-0000-0000-000014410000}"/>
    <cellStyle name="Calculation 10" xfId="10620" xr:uid="{00000000-0005-0000-0000-000015410000}"/>
    <cellStyle name="Calculation 10 2" xfId="12523" xr:uid="{00000000-0005-0000-0000-000016410000}"/>
    <cellStyle name="Calculation 10 3" xfId="20402" xr:uid="{00000000-0005-0000-0000-000017410000}"/>
    <cellStyle name="Calculation 10 3 2" xfId="10759" xr:uid="{00000000-0005-0000-0000-000018410000}"/>
    <cellStyle name="Calculation 10 3_DataIX" xfId="31732" xr:uid="{00000000-0005-0000-0000-000019410000}"/>
    <cellStyle name="Calculation 10 4" xfId="21003" xr:uid="{00000000-0005-0000-0000-00001A410000}"/>
    <cellStyle name="Calculation 10 4 2" xfId="22060" xr:uid="{00000000-0005-0000-0000-00001B410000}"/>
    <cellStyle name="Calculation 10 4_DataIX" xfId="31733" xr:uid="{00000000-0005-0000-0000-00001C410000}"/>
    <cellStyle name="Calculation 10_DataIX" xfId="31731" xr:uid="{00000000-0005-0000-0000-00001D410000}"/>
    <cellStyle name="Calculation 11" xfId="13792" xr:uid="{00000000-0005-0000-0000-00001E410000}"/>
    <cellStyle name="Calculation 11 2" xfId="24852" xr:uid="{00000000-0005-0000-0000-00001F410000}"/>
    <cellStyle name="Calculation 11 3" xfId="26885" xr:uid="{00000000-0005-0000-0000-000020410000}"/>
    <cellStyle name="Calculation 11 4" xfId="22930" xr:uid="{00000000-0005-0000-0000-000021410000}"/>
    <cellStyle name="Calculation 11_DataIX" xfId="31734" xr:uid="{00000000-0005-0000-0000-000022410000}"/>
    <cellStyle name="Calculation 12" xfId="18805" xr:uid="{00000000-0005-0000-0000-000023410000}"/>
    <cellStyle name="Calculation 13" xfId="22706" xr:uid="{00000000-0005-0000-0000-000024410000}"/>
    <cellStyle name="Calculation 14" xfId="22708" xr:uid="{00000000-0005-0000-0000-000025410000}"/>
    <cellStyle name="Calculation 15" xfId="22443" xr:uid="{00000000-0005-0000-0000-000026410000}"/>
    <cellStyle name="Calculation 16" xfId="28073" xr:uid="{00000000-0005-0000-0000-000027410000}"/>
    <cellStyle name="Calculation 17" xfId="28124" xr:uid="{00000000-0005-0000-0000-000028410000}"/>
    <cellStyle name="Calculation 18" xfId="28442" xr:uid="{00000000-0005-0000-0000-000029410000}"/>
    <cellStyle name="Calculation 19" xfId="28592" xr:uid="{00000000-0005-0000-0000-00002A410000}"/>
    <cellStyle name="Calculation 2" xfId="67" xr:uid="{00000000-0005-0000-0000-00002B410000}"/>
    <cellStyle name="Calculation 2 10" xfId="25106" xr:uid="{00000000-0005-0000-0000-00002C410000}"/>
    <cellStyle name="Calculation 2 11" xfId="24853" xr:uid="{00000000-0005-0000-0000-00002D410000}"/>
    <cellStyle name="Calculation 2 11 2" xfId="26886" xr:uid="{00000000-0005-0000-0000-00002E410000}"/>
    <cellStyle name="Calculation 2 11 3" xfId="26778" xr:uid="{00000000-0005-0000-0000-00002F410000}"/>
    <cellStyle name="Calculation 2 11_DataIX" xfId="31735" xr:uid="{00000000-0005-0000-0000-000030410000}"/>
    <cellStyle name="Calculation 2 2" xfId="3297" xr:uid="{00000000-0005-0000-0000-000031410000}"/>
    <cellStyle name="Calculation 2 2 10" xfId="22654" xr:uid="{00000000-0005-0000-0000-000032410000}"/>
    <cellStyle name="Calculation 2 2 11" xfId="22887" xr:uid="{00000000-0005-0000-0000-000033410000}"/>
    <cellStyle name="Calculation 2 2 12" xfId="23081" xr:uid="{00000000-0005-0000-0000-000034410000}"/>
    <cellStyle name="Calculation 2 2 13" xfId="27973" xr:uid="{00000000-0005-0000-0000-000035410000}"/>
    <cellStyle name="Calculation 2 2 14" xfId="27972" xr:uid="{00000000-0005-0000-0000-000036410000}"/>
    <cellStyle name="Calculation 2 2 15" xfId="28299" xr:uid="{00000000-0005-0000-0000-000037410000}"/>
    <cellStyle name="Calculation 2 2 16" xfId="28656" xr:uid="{00000000-0005-0000-0000-000038410000}"/>
    <cellStyle name="Calculation 2 2 17" xfId="28663" xr:uid="{00000000-0005-0000-0000-000039410000}"/>
    <cellStyle name="Calculation 2 2 18" xfId="29108" xr:uid="{00000000-0005-0000-0000-00003A410000}"/>
    <cellStyle name="Calculation 2 2 19" xfId="29107" xr:uid="{00000000-0005-0000-0000-00003B410000}"/>
    <cellStyle name="Calculation 2 2 2" xfId="8637" xr:uid="{00000000-0005-0000-0000-00003C410000}"/>
    <cellStyle name="Calculation 2 2 2 2" xfId="12524" xr:uid="{00000000-0005-0000-0000-00003D410000}"/>
    <cellStyle name="Calculation 2 2 2 3" xfId="20240" xr:uid="{00000000-0005-0000-0000-00003E410000}"/>
    <cellStyle name="Calculation 2 2 2 3 2" xfId="10828" xr:uid="{00000000-0005-0000-0000-00003F410000}"/>
    <cellStyle name="Calculation 2 2 2 3_DataIX" xfId="31737" xr:uid="{00000000-0005-0000-0000-000040410000}"/>
    <cellStyle name="Calculation 2 2 2 4" xfId="20963" xr:uid="{00000000-0005-0000-0000-000041410000}"/>
    <cellStyle name="Calculation 2 2 2 4 2" xfId="11316" xr:uid="{00000000-0005-0000-0000-000042410000}"/>
    <cellStyle name="Calculation 2 2 2 4_DataIX" xfId="31738" xr:uid="{00000000-0005-0000-0000-000043410000}"/>
    <cellStyle name="Calculation 2 2 2_DataIX" xfId="31736" xr:uid="{00000000-0005-0000-0000-000044410000}"/>
    <cellStyle name="Calculation 2 2 3" xfId="10569" xr:uid="{00000000-0005-0000-0000-000045410000}"/>
    <cellStyle name="Calculation 2 2 3 2" xfId="12525" xr:uid="{00000000-0005-0000-0000-000046410000}"/>
    <cellStyle name="Calculation 2 2 3 3" xfId="20351" xr:uid="{00000000-0005-0000-0000-000047410000}"/>
    <cellStyle name="Calculation 2 2 3 3 2" xfId="21479" xr:uid="{00000000-0005-0000-0000-000048410000}"/>
    <cellStyle name="Calculation 2 2 3 3_DataIX" xfId="31740" xr:uid="{00000000-0005-0000-0000-000049410000}"/>
    <cellStyle name="Calculation 2 2 3 4" xfId="20975" xr:uid="{00000000-0005-0000-0000-00004A410000}"/>
    <cellStyle name="Calculation 2 2 3 4 2" xfId="22152" xr:uid="{00000000-0005-0000-0000-00004B410000}"/>
    <cellStyle name="Calculation 2 2 3 4_DataIX" xfId="31741" xr:uid="{00000000-0005-0000-0000-00004C410000}"/>
    <cellStyle name="Calculation 2 2 3_DataIX" xfId="31739" xr:uid="{00000000-0005-0000-0000-00004D410000}"/>
    <cellStyle name="Calculation 2 2 4" xfId="13157" xr:uid="{00000000-0005-0000-0000-00004E410000}"/>
    <cellStyle name="Calculation 2 2 4 2" xfId="20792" xr:uid="{00000000-0005-0000-0000-00004F410000}"/>
    <cellStyle name="Calculation 2 2 4 2 2" xfId="11347" xr:uid="{00000000-0005-0000-0000-000050410000}"/>
    <cellStyle name="Calculation 2 2 4 2_DataIX" xfId="31743" xr:uid="{00000000-0005-0000-0000-000051410000}"/>
    <cellStyle name="Calculation 2 2 4 3" xfId="21160" xr:uid="{00000000-0005-0000-0000-000052410000}"/>
    <cellStyle name="Calculation 2 2 4 3 2" xfId="12788" xr:uid="{00000000-0005-0000-0000-000053410000}"/>
    <cellStyle name="Calculation 2 2 4 3_DataIX" xfId="31744" xr:uid="{00000000-0005-0000-0000-000054410000}"/>
    <cellStyle name="Calculation 2 2 4 4" xfId="13649" xr:uid="{00000000-0005-0000-0000-000055410000}"/>
    <cellStyle name="Calculation 2 2 4 5" xfId="25487" xr:uid="{00000000-0005-0000-0000-000056410000}"/>
    <cellStyle name="Calculation 2 2 4 6" xfId="27116" xr:uid="{00000000-0005-0000-0000-000057410000}"/>
    <cellStyle name="Calculation 2 2 4 7" xfId="27462" xr:uid="{00000000-0005-0000-0000-000058410000}"/>
    <cellStyle name="Calculation 2 2 4_DataIX" xfId="31742" xr:uid="{00000000-0005-0000-0000-000059410000}"/>
    <cellStyle name="Calculation 2 2 5" xfId="13208" xr:uid="{00000000-0005-0000-0000-00005A410000}"/>
    <cellStyle name="Calculation 2 2 5 2" xfId="21197" xr:uid="{00000000-0005-0000-0000-00005B410000}"/>
    <cellStyle name="Calculation 2 2 5 2 2" xfId="11305" xr:uid="{00000000-0005-0000-0000-00005C410000}"/>
    <cellStyle name="Calculation 2 2 5 2_DataIX" xfId="31746" xr:uid="{00000000-0005-0000-0000-00005D410000}"/>
    <cellStyle name="Calculation 2 2 5 3" xfId="11072" xr:uid="{00000000-0005-0000-0000-00005E410000}"/>
    <cellStyle name="Calculation 2 2 5 4" xfId="26022" xr:uid="{00000000-0005-0000-0000-00005F410000}"/>
    <cellStyle name="Calculation 2 2 5 5" xfId="27298" xr:uid="{00000000-0005-0000-0000-000060410000}"/>
    <cellStyle name="Calculation 2 2 5 6" xfId="22894" xr:uid="{00000000-0005-0000-0000-000061410000}"/>
    <cellStyle name="Calculation 2 2 5_DataIX" xfId="31745" xr:uid="{00000000-0005-0000-0000-000062410000}"/>
    <cellStyle name="Calculation 2 2 6" xfId="16810" xr:uid="{00000000-0005-0000-0000-000063410000}"/>
    <cellStyle name="Calculation 2 2 7" xfId="20662" xr:uid="{00000000-0005-0000-0000-000064410000}"/>
    <cellStyle name="Calculation 2 2 8" xfId="22432" xr:uid="{00000000-0005-0000-0000-000065410000}"/>
    <cellStyle name="Calculation 2 2 9" xfId="22436" xr:uid="{00000000-0005-0000-0000-000066410000}"/>
    <cellStyle name="Calculation 2 2_060617_hinnat" xfId="24854" xr:uid="{00000000-0005-0000-0000-000067410000}"/>
    <cellStyle name="Calculation 2 3" xfId="25109" xr:uid="{00000000-0005-0000-0000-000068410000}"/>
    <cellStyle name="Calculation 2 4" xfId="26162" xr:uid="{00000000-0005-0000-0000-000069410000}"/>
    <cellStyle name="Calculation 2 5" xfId="26585" xr:uid="{00000000-0005-0000-0000-00006A410000}"/>
    <cellStyle name="Calculation 2 6" xfId="25460" xr:uid="{00000000-0005-0000-0000-00006B410000}"/>
    <cellStyle name="Calculation 2 7" xfId="26668" xr:uid="{00000000-0005-0000-0000-00006C410000}"/>
    <cellStyle name="Calculation 2 8" xfId="26258" xr:uid="{00000000-0005-0000-0000-00006D410000}"/>
    <cellStyle name="Calculation 2 9" xfId="25876" xr:uid="{00000000-0005-0000-0000-00006E410000}"/>
    <cellStyle name="Calculation 2_##Keskeiset" xfId="8636" xr:uid="{00000000-0005-0000-0000-00006F410000}"/>
    <cellStyle name="Calculation 20" xfId="28978" xr:uid="{00000000-0005-0000-0000-000070410000}"/>
    <cellStyle name="Calculation 21" xfId="28984" xr:uid="{00000000-0005-0000-0000-000071410000}"/>
    <cellStyle name="Calculation 22" xfId="28985" xr:uid="{00000000-0005-0000-0000-000072410000}"/>
    <cellStyle name="Calculation 23" xfId="29208" xr:uid="{00000000-0005-0000-0000-000073410000}"/>
    <cellStyle name="Calculation 3" xfId="193" xr:uid="{00000000-0005-0000-0000-000074410000}"/>
    <cellStyle name="Calculation 3 10" xfId="22611" xr:uid="{00000000-0005-0000-0000-000075410000}"/>
    <cellStyle name="Calculation 3 10 2" xfId="26099" xr:uid="{00000000-0005-0000-0000-000076410000}"/>
    <cellStyle name="Calculation 3 10 3" xfId="27323" xr:uid="{00000000-0005-0000-0000-000077410000}"/>
    <cellStyle name="Calculation 3 10 4" xfId="22785" xr:uid="{00000000-0005-0000-0000-000078410000}"/>
    <cellStyle name="Calculation 3 10_DataIX" xfId="31747" xr:uid="{00000000-0005-0000-0000-000079410000}"/>
    <cellStyle name="Calculation 3 11" xfId="22680" xr:uid="{00000000-0005-0000-0000-00007A410000}"/>
    <cellStyle name="Calculation 3 12" xfId="22718" xr:uid="{00000000-0005-0000-0000-00007B410000}"/>
    <cellStyle name="Calculation 3 13" xfId="23104" xr:uid="{00000000-0005-0000-0000-00007C410000}"/>
    <cellStyle name="Calculation 3 14" xfId="22936" xr:uid="{00000000-0005-0000-0000-00007D410000}"/>
    <cellStyle name="Calculation 3 15" xfId="27870" xr:uid="{00000000-0005-0000-0000-00007E410000}"/>
    <cellStyle name="Calculation 3 16" xfId="28063" xr:uid="{00000000-0005-0000-0000-00007F410000}"/>
    <cellStyle name="Calculation 3 17" xfId="28201" xr:uid="{00000000-0005-0000-0000-000080410000}"/>
    <cellStyle name="Calculation 3 18" xfId="28815" xr:uid="{00000000-0005-0000-0000-000081410000}"/>
    <cellStyle name="Calculation 3 19" xfId="28729" xr:uid="{00000000-0005-0000-0000-000082410000}"/>
    <cellStyle name="Calculation 3 2" xfId="294" xr:uid="{00000000-0005-0000-0000-000083410000}"/>
    <cellStyle name="Calculation 3 2 10" xfId="22719" xr:uid="{00000000-0005-0000-0000-000084410000}"/>
    <cellStyle name="Calculation 3 2 10 2" xfId="27563" xr:uid="{00000000-0005-0000-0000-000085410000}"/>
    <cellStyle name="Calculation 3 2 10 3" xfId="26766" xr:uid="{00000000-0005-0000-0000-000086410000}"/>
    <cellStyle name="Calculation 3 2 10_DataIX" xfId="31748" xr:uid="{00000000-0005-0000-0000-000087410000}"/>
    <cellStyle name="Calculation 3 2 11" xfId="23103" xr:uid="{00000000-0005-0000-0000-000088410000}"/>
    <cellStyle name="Calculation 3 2 12" xfId="22897" xr:uid="{00000000-0005-0000-0000-000089410000}"/>
    <cellStyle name="Calculation 3 2 13" xfId="27871" xr:uid="{00000000-0005-0000-0000-00008A410000}"/>
    <cellStyle name="Calculation 3 2 14" xfId="28062" xr:uid="{00000000-0005-0000-0000-00008B410000}"/>
    <cellStyle name="Calculation 3 2 15" xfId="28202" xr:uid="{00000000-0005-0000-0000-00008C410000}"/>
    <cellStyle name="Calculation 3 2 16" xfId="28814" xr:uid="{00000000-0005-0000-0000-00008D410000}"/>
    <cellStyle name="Calculation 3 2 17" xfId="28731" xr:uid="{00000000-0005-0000-0000-00008E410000}"/>
    <cellStyle name="Calculation 3 2 18" xfId="29006" xr:uid="{00000000-0005-0000-0000-00008F410000}"/>
    <cellStyle name="Calculation 3 2 19" xfId="29197" xr:uid="{00000000-0005-0000-0000-000090410000}"/>
    <cellStyle name="Calculation 3 2 2" xfId="5272" xr:uid="{00000000-0005-0000-0000-000091410000}"/>
    <cellStyle name="Calculation 3 2 2 10" xfId="23046" xr:uid="{00000000-0005-0000-0000-000092410000}"/>
    <cellStyle name="Calculation 3 2 2 11" xfId="25035" xr:uid="{00000000-0005-0000-0000-000093410000}"/>
    <cellStyle name="Calculation 3 2 2 12" xfId="27974" xr:uid="{00000000-0005-0000-0000-000094410000}"/>
    <cellStyle name="Calculation 3 2 2 13" xfId="27971" xr:uid="{00000000-0005-0000-0000-000095410000}"/>
    <cellStyle name="Calculation 3 2 2 14" xfId="28300" xr:uid="{00000000-0005-0000-0000-000096410000}"/>
    <cellStyle name="Calculation 3 2 2 15" xfId="28655" xr:uid="{00000000-0005-0000-0000-000097410000}"/>
    <cellStyle name="Calculation 3 2 2 16" xfId="28662" xr:uid="{00000000-0005-0000-0000-000098410000}"/>
    <cellStyle name="Calculation 3 2 2 17" xfId="29109" xr:uid="{00000000-0005-0000-0000-000099410000}"/>
    <cellStyle name="Calculation 3 2 2 18" xfId="29106" xr:uid="{00000000-0005-0000-0000-00009A410000}"/>
    <cellStyle name="Calculation 3 2 2 2" xfId="5572" xr:uid="{00000000-0005-0000-0000-00009B410000}"/>
    <cellStyle name="Calculation 3 2 2 2 2" xfId="12526" xr:uid="{00000000-0005-0000-0000-00009C410000}"/>
    <cellStyle name="Calculation 3 2 2 2 3" xfId="18796" xr:uid="{00000000-0005-0000-0000-00009D410000}"/>
    <cellStyle name="Calculation 3 2 2 2 3 2" xfId="22082" xr:uid="{00000000-0005-0000-0000-00009E410000}"/>
    <cellStyle name="Calculation 3 2 2 2 3_DataIX" xfId="31750" xr:uid="{00000000-0005-0000-0000-00009F410000}"/>
    <cellStyle name="Calculation 3 2 2 2 4" xfId="20459" xr:uid="{00000000-0005-0000-0000-0000A0410000}"/>
    <cellStyle name="Calculation 3 2 2 2 4 2" xfId="22045" xr:uid="{00000000-0005-0000-0000-0000A1410000}"/>
    <cellStyle name="Calculation 3 2 2 2 4_DataIX" xfId="31751" xr:uid="{00000000-0005-0000-0000-0000A2410000}"/>
    <cellStyle name="Calculation 3 2 2 2_DataIX" xfId="31749" xr:uid="{00000000-0005-0000-0000-0000A3410000}"/>
    <cellStyle name="Calculation 3 2 2 3" xfId="13158" xr:uid="{00000000-0005-0000-0000-0000A4410000}"/>
    <cellStyle name="Calculation 3 2 2 3 2" xfId="20793" xr:uid="{00000000-0005-0000-0000-0000A5410000}"/>
    <cellStyle name="Calculation 3 2 2 3 2 2" xfId="10869" xr:uid="{00000000-0005-0000-0000-0000A6410000}"/>
    <cellStyle name="Calculation 3 2 2 3 2_DataIX" xfId="31753" xr:uid="{00000000-0005-0000-0000-0000A7410000}"/>
    <cellStyle name="Calculation 3 2 2 3 3" xfId="21161" xr:uid="{00000000-0005-0000-0000-0000A8410000}"/>
    <cellStyle name="Calculation 3 2 2 3 3 2" xfId="21820" xr:uid="{00000000-0005-0000-0000-0000A9410000}"/>
    <cellStyle name="Calculation 3 2 2 3 3_DataIX" xfId="31754" xr:uid="{00000000-0005-0000-0000-0000AA410000}"/>
    <cellStyle name="Calculation 3 2 2 3 4" xfId="10975" xr:uid="{00000000-0005-0000-0000-0000AB410000}"/>
    <cellStyle name="Calculation 3 2 2 3 5" xfId="25488" xr:uid="{00000000-0005-0000-0000-0000AC410000}"/>
    <cellStyle name="Calculation 3 2 2 3 6" xfId="27117" xr:uid="{00000000-0005-0000-0000-0000AD410000}"/>
    <cellStyle name="Calculation 3 2 2 3 7" xfId="22916" xr:uid="{00000000-0005-0000-0000-0000AE410000}"/>
    <cellStyle name="Calculation 3 2 2 3_DataIX" xfId="31752" xr:uid="{00000000-0005-0000-0000-0000AF410000}"/>
    <cellStyle name="Calculation 3 2 2 4" xfId="13148" xr:uid="{00000000-0005-0000-0000-0000B0410000}"/>
    <cellStyle name="Calculation 3 2 2 4 2" xfId="21153" xr:uid="{00000000-0005-0000-0000-0000B1410000}"/>
    <cellStyle name="Calculation 3 2 2 4 2 2" xfId="13515" xr:uid="{00000000-0005-0000-0000-0000B2410000}"/>
    <cellStyle name="Calculation 3 2 2 4 2_DataIX" xfId="31756" xr:uid="{00000000-0005-0000-0000-0000B3410000}"/>
    <cellStyle name="Calculation 3 2 2 4 3" xfId="13613" xr:uid="{00000000-0005-0000-0000-0000B4410000}"/>
    <cellStyle name="Calculation 3 2 2 4 4" xfId="25574" xr:uid="{00000000-0005-0000-0000-0000B5410000}"/>
    <cellStyle name="Calculation 3 2 2 4 5" xfId="27151" xr:uid="{00000000-0005-0000-0000-0000B6410000}"/>
    <cellStyle name="Calculation 3 2 2 4 6" xfId="22900" xr:uid="{00000000-0005-0000-0000-0000B7410000}"/>
    <cellStyle name="Calculation 3 2 2 4_DataIX" xfId="31755" xr:uid="{00000000-0005-0000-0000-0000B8410000}"/>
    <cellStyle name="Calculation 3 2 2 5" xfId="19028" xr:uid="{00000000-0005-0000-0000-0000B9410000}"/>
    <cellStyle name="Calculation 3 2 2 5 2" xfId="22263" xr:uid="{00000000-0005-0000-0000-0000BA410000}"/>
    <cellStyle name="Calculation 3 2 2 5_DataIX" xfId="31757" xr:uid="{00000000-0005-0000-0000-0000BB410000}"/>
    <cellStyle name="Calculation 3 2 2 6" xfId="21573" xr:uid="{00000000-0005-0000-0000-0000BC410000}"/>
    <cellStyle name="Calculation 3 2 2 7" xfId="22431" xr:uid="{00000000-0005-0000-0000-0000BD410000}"/>
    <cellStyle name="Calculation 3 2 2 8" xfId="22435" xr:uid="{00000000-0005-0000-0000-0000BE410000}"/>
    <cellStyle name="Calculation 3 2 2 9" xfId="22685" xr:uid="{00000000-0005-0000-0000-0000BF410000}"/>
    <cellStyle name="Calculation 3 2 2_060617_hinnat" xfId="24855" xr:uid="{00000000-0005-0000-0000-0000C0410000}"/>
    <cellStyle name="Calculation 3 2 3" xfId="5573" xr:uid="{00000000-0005-0000-0000-0000C1410000}"/>
    <cellStyle name="Calculation 3 2 3 2" xfId="5313" xr:uid="{00000000-0005-0000-0000-0000C2410000}"/>
    <cellStyle name="Calculation 3 2 3 2 2" xfId="12528" xr:uid="{00000000-0005-0000-0000-0000C3410000}"/>
    <cellStyle name="Calculation 3 2 3 2 3" xfId="18637" xr:uid="{00000000-0005-0000-0000-0000C4410000}"/>
    <cellStyle name="Calculation 3 2 3 2 3 2" xfId="22201" xr:uid="{00000000-0005-0000-0000-0000C5410000}"/>
    <cellStyle name="Calculation 3 2 3 2 3_DataIX" xfId="31760" xr:uid="{00000000-0005-0000-0000-0000C6410000}"/>
    <cellStyle name="Calculation 3 2 3 2 4" xfId="20498" xr:uid="{00000000-0005-0000-0000-0000C7410000}"/>
    <cellStyle name="Calculation 3 2 3 2 4 2" xfId="20677" xr:uid="{00000000-0005-0000-0000-0000C8410000}"/>
    <cellStyle name="Calculation 3 2 3 2 4_DataIX" xfId="31761" xr:uid="{00000000-0005-0000-0000-0000C9410000}"/>
    <cellStyle name="Calculation 3 2 3 2_DataIX" xfId="31759" xr:uid="{00000000-0005-0000-0000-0000CA410000}"/>
    <cellStyle name="Calculation 3 2 3 3" xfId="12527" xr:uid="{00000000-0005-0000-0000-0000CB410000}"/>
    <cellStyle name="Calculation 3 2 3 4" xfId="18797" xr:uid="{00000000-0005-0000-0000-0000CC410000}"/>
    <cellStyle name="Calculation 3 2 3 4 2" xfId="21948" xr:uid="{00000000-0005-0000-0000-0000CD410000}"/>
    <cellStyle name="Calculation 3 2 3 4_DataIX" xfId="31762" xr:uid="{00000000-0005-0000-0000-0000CE410000}"/>
    <cellStyle name="Calculation 3 2 3 5" xfId="18977" xr:uid="{00000000-0005-0000-0000-0000CF410000}"/>
    <cellStyle name="Calculation 3 2 3 5 2" xfId="21849" xr:uid="{00000000-0005-0000-0000-0000D0410000}"/>
    <cellStyle name="Calculation 3 2 3 5_DataIX" xfId="31763" xr:uid="{00000000-0005-0000-0000-0000D1410000}"/>
    <cellStyle name="Calculation 3 2 3_DataIX" xfId="31758" xr:uid="{00000000-0005-0000-0000-0000D2410000}"/>
    <cellStyle name="Calculation 3 2 4" xfId="5333" xr:uid="{00000000-0005-0000-0000-0000D3410000}"/>
    <cellStyle name="Calculation 3 2 4 2" xfId="12529" xr:uid="{00000000-0005-0000-0000-0000D4410000}"/>
    <cellStyle name="Calculation 3 2 4 3" xfId="18657" xr:uid="{00000000-0005-0000-0000-0000D5410000}"/>
    <cellStyle name="Calculation 3 2 4 3 2" xfId="21840" xr:uid="{00000000-0005-0000-0000-0000D6410000}"/>
    <cellStyle name="Calculation 3 2 4 3_DataIX" xfId="31765" xr:uid="{00000000-0005-0000-0000-0000D7410000}"/>
    <cellStyle name="Calculation 3 2 4 4" xfId="20492" xr:uid="{00000000-0005-0000-0000-0000D8410000}"/>
    <cellStyle name="Calculation 3 2 4 4 2" xfId="21861" xr:uid="{00000000-0005-0000-0000-0000D9410000}"/>
    <cellStyle name="Calculation 3 2 4 4_DataIX" xfId="31766" xr:uid="{00000000-0005-0000-0000-0000DA410000}"/>
    <cellStyle name="Calculation 3 2 4_DataIX" xfId="31764" xr:uid="{00000000-0005-0000-0000-0000DB410000}"/>
    <cellStyle name="Calculation 3 2 5" xfId="20607" xr:uid="{00000000-0005-0000-0000-0000DC410000}"/>
    <cellStyle name="Calculation 3 2 5 2" xfId="11206" xr:uid="{00000000-0005-0000-0000-0000DD410000}"/>
    <cellStyle name="Calculation 3 2 5 3" xfId="25111" xr:uid="{00000000-0005-0000-0000-0000DE410000}"/>
    <cellStyle name="Calculation 3 2 5 4" xfId="26925" xr:uid="{00000000-0005-0000-0000-0000DF410000}"/>
    <cellStyle name="Calculation 3 2 5 5" xfId="22804" xr:uid="{00000000-0005-0000-0000-0000E0410000}"/>
    <cellStyle name="Calculation 3 2 5_DataIX" xfId="31767" xr:uid="{00000000-0005-0000-0000-0000E1410000}"/>
    <cellStyle name="Calculation 3 2 6" xfId="13633" xr:uid="{00000000-0005-0000-0000-0000E2410000}"/>
    <cellStyle name="Calculation 3 2 6 2" xfId="25483" xr:uid="{00000000-0005-0000-0000-0000E3410000}"/>
    <cellStyle name="Calculation 3 2 6 3" xfId="27114" xr:uid="{00000000-0005-0000-0000-0000E4410000}"/>
    <cellStyle name="Calculation 3 2 6 4" xfId="23110" xr:uid="{00000000-0005-0000-0000-0000E5410000}"/>
    <cellStyle name="Calculation 3 2 6_DataIX" xfId="31768" xr:uid="{00000000-0005-0000-0000-0000E6410000}"/>
    <cellStyle name="Calculation 3 2 7" xfId="22295" xr:uid="{00000000-0005-0000-0000-0000E7410000}"/>
    <cellStyle name="Calculation 3 2 7 2" xfId="25607" xr:uid="{00000000-0005-0000-0000-0000E8410000}"/>
    <cellStyle name="Calculation 3 2 7 3" xfId="27163" xr:uid="{00000000-0005-0000-0000-0000E9410000}"/>
    <cellStyle name="Calculation 3 2 7 4" xfId="22846" xr:uid="{00000000-0005-0000-0000-0000EA410000}"/>
    <cellStyle name="Calculation 3 2 7_DataIX" xfId="31769" xr:uid="{00000000-0005-0000-0000-0000EB410000}"/>
    <cellStyle name="Calculation 3 2 8" xfId="22610" xr:uid="{00000000-0005-0000-0000-0000EC410000}"/>
    <cellStyle name="Calculation 3 2 8 2" xfId="26074" xr:uid="{00000000-0005-0000-0000-0000ED410000}"/>
    <cellStyle name="Calculation 3 2 8 3" xfId="27318" xr:uid="{00000000-0005-0000-0000-0000EE410000}"/>
    <cellStyle name="Calculation 3 2 8 4" xfId="26858" xr:uid="{00000000-0005-0000-0000-0000EF410000}"/>
    <cellStyle name="Calculation 3 2 8_DataIX" xfId="31770" xr:uid="{00000000-0005-0000-0000-0000F0410000}"/>
    <cellStyle name="Calculation 3 2 9" xfId="22681" xr:uid="{00000000-0005-0000-0000-0000F1410000}"/>
    <cellStyle name="Calculation 3 2 9 2" xfId="25994" xr:uid="{00000000-0005-0000-0000-0000F2410000}"/>
    <cellStyle name="Calculation 3 2 9 3" xfId="27291" xr:uid="{00000000-0005-0000-0000-0000F3410000}"/>
    <cellStyle name="Calculation 3 2 9 4" xfId="27597" xr:uid="{00000000-0005-0000-0000-0000F4410000}"/>
    <cellStyle name="Calculation 3 2 9_DataIX" xfId="31771" xr:uid="{00000000-0005-0000-0000-0000F5410000}"/>
    <cellStyle name="Calculation 3 2_060617_hinnat" xfId="24856" xr:uid="{00000000-0005-0000-0000-0000F6410000}"/>
    <cellStyle name="Calculation 3 20" xfId="29005" xr:uid="{00000000-0005-0000-0000-0000F7410000}"/>
    <cellStyle name="Calculation 3 21" xfId="29198" xr:uid="{00000000-0005-0000-0000-0000F8410000}"/>
    <cellStyle name="Calculation 3 3" xfId="293" xr:uid="{00000000-0005-0000-0000-0000F9410000}"/>
    <cellStyle name="Calculation 3 3 10" xfId="25841" xr:uid="{00000000-0005-0000-0000-0000FA410000}"/>
    <cellStyle name="Calculation 3 3 10 2" xfId="27243" xr:uid="{00000000-0005-0000-0000-0000FB410000}"/>
    <cellStyle name="Calculation 3 3 10 3" xfId="27627" xr:uid="{00000000-0005-0000-0000-0000FC410000}"/>
    <cellStyle name="Calculation 3 3 10_DataIX" xfId="31772" xr:uid="{00000000-0005-0000-0000-0000FD410000}"/>
    <cellStyle name="Calculation 3 3 11" xfId="23102" xr:uid="{00000000-0005-0000-0000-0000FE410000}"/>
    <cellStyle name="Calculation 3 3 12" xfId="26964" xr:uid="{00000000-0005-0000-0000-0000FF410000}"/>
    <cellStyle name="Calculation 3 3 13" xfId="27872" xr:uid="{00000000-0005-0000-0000-000000420000}"/>
    <cellStyle name="Calculation 3 3 14" xfId="28061" xr:uid="{00000000-0005-0000-0000-000001420000}"/>
    <cellStyle name="Calculation 3 3 15" xfId="28203" xr:uid="{00000000-0005-0000-0000-000002420000}"/>
    <cellStyle name="Calculation 3 3 16" xfId="28609" xr:uid="{00000000-0005-0000-0000-000003420000}"/>
    <cellStyle name="Calculation 3 3 17" xfId="28730" xr:uid="{00000000-0005-0000-0000-000004420000}"/>
    <cellStyle name="Calculation 3 3 18" xfId="29007" xr:uid="{00000000-0005-0000-0000-000005420000}"/>
    <cellStyle name="Calculation 3 3 19" xfId="29196" xr:uid="{00000000-0005-0000-0000-000006420000}"/>
    <cellStyle name="Calculation 3 3 2" xfId="5271" xr:uid="{00000000-0005-0000-0000-000007420000}"/>
    <cellStyle name="Calculation 3 3 2 10" xfId="22886" xr:uid="{00000000-0005-0000-0000-000008420000}"/>
    <cellStyle name="Calculation 3 3 2 11" xfId="23112" xr:uid="{00000000-0005-0000-0000-000009420000}"/>
    <cellStyle name="Calculation 3 3 2 12" xfId="27975" xr:uid="{00000000-0005-0000-0000-00000A420000}"/>
    <cellStyle name="Calculation 3 3 2 13" xfId="27970" xr:uid="{00000000-0005-0000-0000-00000B420000}"/>
    <cellStyle name="Calculation 3 3 2 14" xfId="28301" xr:uid="{00000000-0005-0000-0000-00000C420000}"/>
    <cellStyle name="Calculation 3 3 2 15" xfId="28654" xr:uid="{00000000-0005-0000-0000-00000D420000}"/>
    <cellStyle name="Calculation 3 3 2 16" xfId="28661" xr:uid="{00000000-0005-0000-0000-00000E420000}"/>
    <cellStyle name="Calculation 3 3 2 17" xfId="29110" xr:uid="{00000000-0005-0000-0000-00000F420000}"/>
    <cellStyle name="Calculation 3 3 2 18" xfId="29105" xr:uid="{00000000-0005-0000-0000-000010420000}"/>
    <cellStyle name="Calculation 3 3 2 2" xfId="8638" xr:uid="{00000000-0005-0000-0000-000011420000}"/>
    <cellStyle name="Calculation 3 3 2 2 2" xfId="12530" xr:uid="{00000000-0005-0000-0000-000012420000}"/>
    <cellStyle name="Calculation 3 3 2 2 3" xfId="20241" xr:uid="{00000000-0005-0000-0000-000013420000}"/>
    <cellStyle name="Calculation 3 3 2 2 3 2" xfId="11317" xr:uid="{00000000-0005-0000-0000-000014420000}"/>
    <cellStyle name="Calculation 3 3 2 2 3_DataIX" xfId="31774" xr:uid="{00000000-0005-0000-0000-000015420000}"/>
    <cellStyle name="Calculation 3 3 2 2 4" xfId="20964" xr:uid="{00000000-0005-0000-0000-000016420000}"/>
    <cellStyle name="Calculation 3 3 2 2 4 2" xfId="21813" xr:uid="{00000000-0005-0000-0000-000017420000}"/>
    <cellStyle name="Calculation 3 3 2 2 4_DataIX" xfId="31775" xr:uid="{00000000-0005-0000-0000-000018420000}"/>
    <cellStyle name="Calculation 3 3 2 2_DataIX" xfId="31773" xr:uid="{00000000-0005-0000-0000-000019420000}"/>
    <cellStyle name="Calculation 3 3 2 3" xfId="13159" xr:uid="{00000000-0005-0000-0000-00001A420000}"/>
    <cellStyle name="Calculation 3 3 2 3 2" xfId="20794" xr:uid="{00000000-0005-0000-0000-00001B420000}"/>
    <cellStyle name="Calculation 3 3 2 3 2 2" xfId="21450" xr:uid="{00000000-0005-0000-0000-00001C420000}"/>
    <cellStyle name="Calculation 3 3 2 3 2_DataIX" xfId="31777" xr:uid="{00000000-0005-0000-0000-00001D420000}"/>
    <cellStyle name="Calculation 3 3 2 3 3" xfId="21162" xr:uid="{00000000-0005-0000-0000-00001E420000}"/>
    <cellStyle name="Calculation 3 3 2 3 3 2" xfId="21556" xr:uid="{00000000-0005-0000-0000-00001F420000}"/>
    <cellStyle name="Calculation 3 3 2 3 3_DataIX" xfId="31778" xr:uid="{00000000-0005-0000-0000-000020420000}"/>
    <cellStyle name="Calculation 3 3 2 3 4" xfId="11333" xr:uid="{00000000-0005-0000-0000-000021420000}"/>
    <cellStyle name="Calculation 3 3 2 3 5" xfId="25489" xr:uid="{00000000-0005-0000-0000-000022420000}"/>
    <cellStyle name="Calculation 3 3 2 3 6" xfId="27118" xr:uid="{00000000-0005-0000-0000-000023420000}"/>
    <cellStyle name="Calculation 3 3 2 3 7" xfId="23057" xr:uid="{00000000-0005-0000-0000-000024420000}"/>
    <cellStyle name="Calculation 3 3 2 3_DataIX" xfId="31776" xr:uid="{00000000-0005-0000-0000-000025420000}"/>
    <cellStyle name="Calculation 3 3 2 4" xfId="13172" xr:uid="{00000000-0005-0000-0000-000026420000}"/>
    <cellStyle name="Calculation 3 3 2 4 2" xfId="21172" xr:uid="{00000000-0005-0000-0000-000027420000}"/>
    <cellStyle name="Calculation 3 3 2 4 2 2" xfId="22066" xr:uid="{00000000-0005-0000-0000-000028420000}"/>
    <cellStyle name="Calculation 3 3 2 4 2_DataIX" xfId="31780" xr:uid="{00000000-0005-0000-0000-000029420000}"/>
    <cellStyle name="Calculation 3 3 2 4 3" xfId="10874" xr:uid="{00000000-0005-0000-0000-00002A420000}"/>
    <cellStyle name="Calculation 3 3 2 4 4" xfId="26402" xr:uid="{00000000-0005-0000-0000-00002B420000}"/>
    <cellStyle name="Calculation 3 3 2 4 5" xfId="27457" xr:uid="{00000000-0005-0000-0000-00002C420000}"/>
    <cellStyle name="Calculation 3 3 2 4 6" xfId="23135" xr:uid="{00000000-0005-0000-0000-00002D420000}"/>
    <cellStyle name="Calculation 3 3 2 4_DataIX" xfId="31779" xr:uid="{00000000-0005-0000-0000-00002E420000}"/>
    <cellStyle name="Calculation 3 3 2 5" xfId="20508" xr:uid="{00000000-0005-0000-0000-00002F420000}"/>
    <cellStyle name="Calculation 3 3 2 5 2" xfId="13789" xr:uid="{00000000-0005-0000-0000-000030420000}"/>
    <cellStyle name="Calculation 3 3 2 5_DataIX" xfId="31781" xr:uid="{00000000-0005-0000-0000-000031420000}"/>
    <cellStyle name="Calculation 3 3 2 6" xfId="11095" xr:uid="{00000000-0005-0000-0000-000032420000}"/>
    <cellStyle name="Calculation 3 3 2 7" xfId="22430" xr:uid="{00000000-0005-0000-0000-000033420000}"/>
    <cellStyle name="Calculation 3 3 2 8" xfId="22527" xr:uid="{00000000-0005-0000-0000-000034420000}"/>
    <cellStyle name="Calculation 3 3 2 9" xfId="22438" xr:uid="{00000000-0005-0000-0000-000035420000}"/>
    <cellStyle name="Calculation 3 3 2_060617_hinnat" xfId="24857" xr:uid="{00000000-0005-0000-0000-000036420000}"/>
    <cellStyle name="Calculation 3 3 3" xfId="5334" xr:uid="{00000000-0005-0000-0000-000037420000}"/>
    <cellStyle name="Calculation 3 3 3 2" xfId="12531" xr:uid="{00000000-0005-0000-0000-000038420000}"/>
    <cellStyle name="Calculation 3 3 3 3" xfId="18658" xr:uid="{00000000-0005-0000-0000-000039420000}"/>
    <cellStyle name="Calculation 3 3 3 3 2" xfId="21961" xr:uid="{00000000-0005-0000-0000-00003A420000}"/>
    <cellStyle name="Calculation 3 3 3 3_DataIX" xfId="31783" xr:uid="{00000000-0005-0000-0000-00003B420000}"/>
    <cellStyle name="Calculation 3 3 3 4" xfId="19012" xr:uid="{00000000-0005-0000-0000-00003C420000}"/>
    <cellStyle name="Calculation 3 3 3 4 2" xfId="21648" xr:uid="{00000000-0005-0000-0000-00003D420000}"/>
    <cellStyle name="Calculation 3 3 3 4_DataIX" xfId="31784" xr:uid="{00000000-0005-0000-0000-00003E420000}"/>
    <cellStyle name="Calculation 3 3 3_DataIX" xfId="31782" xr:uid="{00000000-0005-0000-0000-00003F420000}"/>
    <cellStyle name="Calculation 3 3 4" xfId="20606" xr:uid="{00000000-0005-0000-0000-000040420000}"/>
    <cellStyle name="Calculation 3 3 4 2" xfId="11246" xr:uid="{00000000-0005-0000-0000-000041420000}"/>
    <cellStyle name="Calculation 3 3 4 3" xfId="25112" xr:uid="{00000000-0005-0000-0000-000042420000}"/>
    <cellStyle name="Calculation 3 3 4 4" xfId="26926" xr:uid="{00000000-0005-0000-0000-000043420000}"/>
    <cellStyle name="Calculation 3 3 4 5" xfId="27428" xr:uid="{00000000-0005-0000-0000-000044420000}"/>
    <cellStyle name="Calculation 3 3 4_DataIX" xfId="31785" xr:uid="{00000000-0005-0000-0000-000045420000}"/>
    <cellStyle name="Calculation 3 3 5" xfId="10993" xr:uid="{00000000-0005-0000-0000-000046420000}"/>
    <cellStyle name="Calculation 3 3 5 2" xfId="26713" xr:uid="{00000000-0005-0000-0000-000047420000}"/>
    <cellStyle name="Calculation 3 3 5 3" xfId="27589" xr:uid="{00000000-0005-0000-0000-000048420000}"/>
    <cellStyle name="Calculation 3 3 5 4" xfId="26834" xr:uid="{00000000-0005-0000-0000-000049420000}"/>
    <cellStyle name="Calculation 3 3 5_DataIX" xfId="31786" xr:uid="{00000000-0005-0000-0000-00004A420000}"/>
    <cellStyle name="Calculation 3 3 6" xfId="22296" xr:uid="{00000000-0005-0000-0000-00004B420000}"/>
    <cellStyle name="Calculation 3 3 6 2" xfId="26004" xr:uid="{00000000-0005-0000-0000-00004C420000}"/>
    <cellStyle name="Calculation 3 3 6 3" xfId="27294" xr:uid="{00000000-0005-0000-0000-00004D420000}"/>
    <cellStyle name="Calculation 3 3 6 4" xfId="26771" xr:uid="{00000000-0005-0000-0000-00004E420000}"/>
    <cellStyle name="Calculation 3 3 6_DataIX" xfId="31787" xr:uid="{00000000-0005-0000-0000-00004F420000}"/>
    <cellStyle name="Calculation 3 3 7" xfId="22287" xr:uid="{00000000-0005-0000-0000-000050420000}"/>
    <cellStyle name="Calculation 3 3 7 2" xfId="26207" xr:uid="{00000000-0005-0000-0000-000051420000}"/>
    <cellStyle name="Calculation 3 3 7 3" xfId="27382" xr:uid="{00000000-0005-0000-0000-000052420000}"/>
    <cellStyle name="Calculation 3 3 7 4" xfId="23134" xr:uid="{00000000-0005-0000-0000-000053420000}"/>
    <cellStyle name="Calculation 3 3 7_DataIX" xfId="31788" xr:uid="{00000000-0005-0000-0000-000054420000}"/>
    <cellStyle name="Calculation 3 3 8" xfId="22660" xr:uid="{00000000-0005-0000-0000-000055420000}"/>
    <cellStyle name="Calculation 3 3 8 2" xfId="26691" xr:uid="{00000000-0005-0000-0000-000056420000}"/>
    <cellStyle name="Calculation 3 3 8 3" xfId="27583" xr:uid="{00000000-0005-0000-0000-000057420000}"/>
    <cellStyle name="Calculation 3 3 8 4" xfId="22834" xr:uid="{00000000-0005-0000-0000-000058420000}"/>
    <cellStyle name="Calculation 3 3 8_DataIX" xfId="31789" xr:uid="{00000000-0005-0000-0000-000059420000}"/>
    <cellStyle name="Calculation 3 3 9" xfId="22444" xr:uid="{00000000-0005-0000-0000-00005A420000}"/>
    <cellStyle name="Calculation 3 3 9 2" xfId="27273" xr:uid="{00000000-0005-0000-0000-00005B420000}"/>
    <cellStyle name="Calculation 3 3 9 3" xfId="22726" xr:uid="{00000000-0005-0000-0000-00005C420000}"/>
    <cellStyle name="Calculation 3 3 9_DataIX" xfId="31790" xr:uid="{00000000-0005-0000-0000-00005D420000}"/>
    <cellStyle name="Calculation 3 3_060617_hinnat" xfId="24858" xr:uid="{00000000-0005-0000-0000-00005E420000}"/>
    <cellStyle name="Calculation 3 4" xfId="5273" xr:uid="{00000000-0005-0000-0000-00005F420000}"/>
    <cellStyle name="Calculation 3 4 10" xfId="23045" xr:uid="{00000000-0005-0000-0000-000060420000}"/>
    <cellStyle name="Calculation 3 4 11" xfId="22942" xr:uid="{00000000-0005-0000-0000-000061420000}"/>
    <cellStyle name="Calculation 3 4 12" xfId="27976" xr:uid="{00000000-0005-0000-0000-000062420000}"/>
    <cellStyle name="Calculation 3 4 13" xfId="27969" xr:uid="{00000000-0005-0000-0000-000063420000}"/>
    <cellStyle name="Calculation 3 4 14" xfId="28302" xr:uid="{00000000-0005-0000-0000-000064420000}"/>
    <cellStyle name="Calculation 3 4 15" xfId="28653" xr:uid="{00000000-0005-0000-0000-000065420000}"/>
    <cellStyle name="Calculation 3 4 16" xfId="28660" xr:uid="{00000000-0005-0000-0000-000066420000}"/>
    <cellStyle name="Calculation 3 4 17" xfId="29111" xr:uid="{00000000-0005-0000-0000-000067420000}"/>
    <cellStyle name="Calculation 3 4 18" xfId="29104" xr:uid="{00000000-0005-0000-0000-000068420000}"/>
    <cellStyle name="Calculation 3 4 2" xfId="5574" xr:uid="{00000000-0005-0000-0000-000069420000}"/>
    <cellStyle name="Calculation 3 4 2 2" xfId="12532" xr:uid="{00000000-0005-0000-0000-00006A420000}"/>
    <cellStyle name="Calculation 3 4 2 3" xfId="18798" xr:uid="{00000000-0005-0000-0000-00006B420000}"/>
    <cellStyle name="Calculation 3 4 2 3 2" xfId="10772" xr:uid="{00000000-0005-0000-0000-00006C420000}"/>
    <cellStyle name="Calculation 3 4 2 3_DataIX" xfId="31792" xr:uid="{00000000-0005-0000-0000-00006D420000}"/>
    <cellStyle name="Calculation 3 4 2 4" xfId="20460" xr:uid="{00000000-0005-0000-0000-00006E420000}"/>
    <cellStyle name="Calculation 3 4 2 4 2" xfId="13056" xr:uid="{00000000-0005-0000-0000-00006F420000}"/>
    <cellStyle name="Calculation 3 4 2 4_DataIX" xfId="31793" xr:uid="{00000000-0005-0000-0000-000070420000}"/>
    <cellStyle name="Calculation 3 4 2_DataIX" xfId="31791" xr:uid="{00000000-0005-0000-0000-000071420000}"/>
    <cellStyle name="Calculation 3 4 3" xfId="13160" xr:uid="{00000000-0005-0000-0000-000072420000}"/>
    <cellStyle name="Calculation 3 4 3 2" xfId="20795" xr:uid="{00000000-0005-0000-0000-000073420000}"/>
    <cellStyle name="Calculation 3 4 3 2 2" xfId="11001" xr:uid="{00000000-0005-0000-0000-000074420000}"/>
    <cellStyle name="Calculation 3 4 3 2_DataIX" xfId="31795" xr:uid="{00000000-0005-0000-0000-000075420000}"/>
    <cellStyle name="Calculation 3 4 3 3" xfId="21163" xr:uid="{00000000-0005-0000-0000-000076420000}"/>
    <cellStyle name="Calculation 3 4 3 3 2" xfId="21639" xr:uid="{00000000-0005-0000-0000-000077420000}"/>
    <cellStyle name="Calculation 3 4 3 3_DataIX" xfId="31796" xr:uid="{00000000-0005-0000-0000-000078420000}"/>
    <cellStyle name="Calculation 3 4 3 4" xfId="13769" xr:uid="{00000000-0005-0000-0000-000079420000}"/>
    <cellStyle name="Calculation 3 4 3 5" xfId="25490" xr:uid="{00000000-0005-0000-0000-00007A420000}"/>
    <cellStyle name="Calculation 3 4 3 6" xfId="27119" xr:uid="{00000000-0005-0000-0000-00007B420000}"/>
    <cellStyle name="Calculation 3 4 3 7" xfId="23138" xr:uid="{00000000-0005-0000-0000-00007C420000}"/>
    <cellStyle name="Calculation 3 4 3_DataIX" xfId="31794" xr:uid="{00000000-0005-0000-0000-00007D420000}"/>
    <cellStyle name="Calculation 3 4 4" xfId="13258" xr:uid="{00000000-0005-0000-0000-00007E420000}"/>
    <cellStyle name="Calculation 3 4 4 2" xfId="21236" xr:uid="{00000000-0005-0000-0000-00007F420000}"/>
    <cellStyle name="Calculation 3 4 4 2 2" xfId="10933" xr:uid="{00000000-0005-0000-0000-000080420000}"/>
    <cellStyle name="Calculation 3 4 4 2_DataIX" xfId="31798" xr:uid="{00000000-0005-0000-0000-000081420000}"/>
    <cellStyle name="Calculation 3 4 4 3" xfId="21453" xr:uid="{00000000-0005-0000-0000-000082420000}"/>
    <cellStyle name="Calculation 3 4 4 4" xfId="26021" xr:uid="{00000000-0005-0000-0000-000083420000}"/>
    <cellStyle name="Calculation 3 4 4 5" xfId="27297" xr:uid="{00000000-0005-0000-0000-000084420000}"/>
    <cellStyle name="Calculation 3 4 4 6" xfId="23084" xr:uid="{00000000-0005-0000-0000-000085420000}"/>
    <cellStyle name="Calculation 3 4 4_DataIX" xfId="31797" xr:uid="{00000000-0005-0000-0000-000086420000}"/>
    <cellStyle name="Calculation 3 4 5" xfId="20507" xr:uid="{00000000-0005-0000-0000-000087420000}"/>
    <cellStyle name="Calculation 3 4 5 2" xfId="20692" xr:uid="{00000000-0005-0000-0000-000088420000}"/>
    <cellStyle name="Calculation 3 4 5_DataIX" xfId="31799" xr:uid="{00000000-0005-0000-0000-000089420000}"/>
    <cellStyle name="Calculation 3 4 6" xfId="20697" xr:uid="{00000000-0005-0000-0000-00008A420000}"/>
    <cellStyle name="Calculation 3 4 7" xfId="22429" xr:uid="{00000000-0005-0000-0000-00008B420000}"/>
    <cellStyle name="Calculation 3 4 8" xfId="22434" xr:uid="{00000000-0005-0000-0000-00008C420000}"/>
    <cellStyle name="Calculation 3 4 9" xfId="22653" xr:uid="{00000000-0005-0000-0000-00008D420000}"/>
    <cellStyle name="Calculation 3 4_060617_hinnat" xfId="24859" xr:uid="{00000000-0005-0000-0000-00008E420000}"/>
    <cellStyle name="Calculation 3 5" xfId="5575" xr:uid="{00000000-0005-0000-0000-00008F420000}"/>
    <cellStyle name="Calculation 3 5 2" xfId="10606" xr:uid="{00000000-0005-0000-0000-000090420000}"/>
    <cellStyle name="Calculation 3 5 2 2" xfId="12534" xr:uid="{00000000-0005-0000-0000-000091420000}"/>
    <cellStyle name="Calculation 3 5 2 3" xfId="20388" xr:uid="{00000000-0005-0000-0000-000092420000}"/>
    <cellStyle name="Calculation 3 5 2 3 2" xfId="22042" xr:uid="{00000000-0005-0000-0000-000093420000}"/>
    <cellStyle name="Calculation 3 5 2 3_DataIX" xfId="31802" xr:uid="{00000000-0005-0000-0000-000094420000}"/>
    <cellStyle name="Calculation 3 5 2 4" xfId="20999" xr:uid="{00000000-0005-0000-0000-000095420000}"/>
    <cellStyle name="Calculation 3 5 2 4 2" xfId="20689" xr:uid="{00000000-0005-0000-0000-000096420000}"/>
    <cellStyle name="Calculation 3 5 2 4_DataIX" xfId="31803" xr:uid="{00000000-0005-0000-0000-000097420000}"/>
    <cellStyle name="Calculation 3 5 2_DataIX" xfId="31801" xr:uid="{00000000-0005-0000-0000-000098420000}"/>
    <cellStyle name="Calculation 3 5 3" xfId="12533" xr:uid="{00000000-0005-0000-0000-000099420000}"/>
    <cellStyle name="Calculation 3 5 4" xfId="18799" xr:uid="{00000000-0005-0000-0000-00009A420000}"/>
    <cellStyle name="Calculation 3 5 4 2" xfId="20709" xr:uid="{00000000-0005-0000-0000-00009B420000}"/>
    <cellStyle name="Calculation 3 5 4_DataIX" xfId="31804" xr:uid="{00000000-0005-0000-0000-00009C420000}"/>
    <cellStyle name="Calculation 3 5 5" xfId="18978" xr:uid="{00000000-0005-0000-0000-00009D420000}"/>
    <cellStyle name="Calculation 3 5 5 2" xfId="21406" xr:uid="{00000000-0005-0000-0000-00009E420000}"/>
    <cellStyle name="Calculation 3 5 5_DataIX" xfId="31805" xr:uid="{00000000-0005-0000-0000-00009F420000}"/>
    <cellStyle name="Calculation 3 5_DataIX" xfId="31800" xr:uid="{00000000-0005-0000-0000-0000A0420000}"/>
    <cellStyle name="Calculation 3 6" xfId="5332" xr:uid="{00000000-0005-0000-0000-0000A1420000}"/>
    <cellStyle name="Calculation 3 6 2" xfId="12535" xr:uid="{00000000-0005-0000-0000-0000A2420000}"/>
    <cellStyle name="Calculation 3 6 3" xfId="18656" xr:uid="{00000000-0005-0000-0000-0000A3420000}"/>
    <cellStyle name="Calculation 3 6 3 2" xfId="22248" xr:uid="{00000000-0005-0000-0000-0000A4420000}"/>
    <cellStyle name="Calculation 3 6 3_DataIX" xfId="31807" xr:uid="{00000000-0005-0000-0000-0000A5420000}"/>
    <cellStyle name="Calculation 3 6 4" xfId="19013" xr:uid="{00000000-0005-0000-0000-0000A6420000}"/>
    <cellStyle name="Calculation 3 6 4 2" xfId="10951" xr:uid="{00000000-0005-0000-0000-0000A7420000}"/>
    <cellStyle name="Calculation 3 6 4_DataIX" xfId="31808" xr:uid="{00000000-0005-0000-0000-0000A8420000}"/>
    <cellStyle name="Calculation 3 6_DataIX" xfId="31806" xr:uid="{00000000-0005-0000-0000-0000A9420000}"/>
    <cellStyle name="Calculation 3 7" xfId="20319" xr:uid="{00000000-0005-0000-0000-0000AA420000}"/>
    <cellStyle name="Calculation 3 7 2" xfId="22190" xr:uid="{00000000-0005-0000-0000-0000AB420000}"/>
    <cellStyle name="Calculation 3 7 3" xfId="25110" xr:uid="{00000000-0005-0000-0000-0000AC420000}"/>
    <cellStyle name="Calculation 3 7 4" xfId="26924" xr:uid="{00000000-0005-0000-0000-0000AD420000}"/>
    <cellStyle name="Calculation 3 7 5" xfId="22856" xr:uid="{00000000-0005-0000-0000-0000AE420000}"/>
    <cellStyle name="Calculation 3 7_DataIX" xfId="31809" xr:uid="{00000000-0005-0000-0000-0000AF420000}"/>
    <cellStyle name="Calculation 3 8" xfId="21838" xr:uid="{00000000-0005-0000-0000-0000B0420000}"/>
    <cellStyle name="Calculation 3 8 2" xfId="26336" xr:uid="{00000000-0005-0000-0000-0000B1420000}"/>
    <cellStyle name="Calculation 3 8 3" xfId="27434" xr:uid="{00000000-0005-0000-0000-0000B2420000}"/>
    <cellStyle name="Calculation 3 8 4" xfId="22937" xr:uid="{00000000-0005-0000-0000-0000B3420000}"/>
    <cellStyle name="Calculation 3 8_DataIX" xfId="31810" xr:uid="{00000000-0005-0000-0000-0000B4420000}"/>
    <cellStyle name="Calculation 3 9" xfId="22294" xr:uid="{00000000-0005-0000-0000-0000B5420000}"/>
    <cellStyle name="Calculation 3 9 2" xfId="26652" xr:uid="{00000000-0005-0000-0000-0000B6420000}"/>
    <cellStyle name="Calculation 3 9 3" xfId="27568" xr:uid="{00000000-0005-0000-0000-0000B7420000}"/>
    <cellStyle name="Calculation 3 9 4" xfId="23055" xr:uid="{00000000-0005-0000-0000-0000B8420000}"/>
    <cellStyle name="Calculation 3 9_DataIX" xfId="31811" xr:uid="{00000000-0005-0000-0000-0000B9420000}"/>
    <cellStyle name="Calculation 3_060617_hinnat" xfId="24860" xr:uid="{00000000-0005-0000-0000-0000BA420000}"/>
    <cellStyle name="Calculation 4" xfId="252" xr:uid="{00000000-0005-0000-0000-0000BB420000}"/>
    <cellStyle name="Calculation 4 10" xfId="22511" xr:uid="{00000000-0005-0000-0000-0000BC420000}"/>
    <cellStyle name="Calculation 4 10 2" xfId="26097" xr:uid="{00000000-0005-0000-0000-0000BD420000}"/>
    <cellStyle name="Calculation 4 10 3" xfId="27322" xr:uid="{00000000-0005-0000-0000-0000BE420000}"/>
    <cellStyle name="Calculation 4 10 4" xfId="26842" xr:uid="{00000000-0005-0000-0000-0000BF420000}"/>
    <cellStyle name="Calculation 4 10_DataIX" xfId="31812" xr:uid="{00000000-0005-0000-0000-0000C0420000}"/>
    <cellStyle name="Calculation 4 11" xfId="22626" xr:uid="{00000000-0005-0000-0000-0000C1420000}"/>
    <cellStyle name="Calculation 4 12" xfId="22929" xr:uid="{00000000-0005-0000-0000-0000C2420000}"/>
    <cellStyle name="Calculation 4 13" xfId="23116" xr:uid="{00000000-0005-0000-0000-0000C3420000}"/>
    <cellStyle name="Calculation 4 14" xfId="27873" xr:uid="{00000000-0005-0000-0000-0000C4420000}"/>
    <cellStyle name="Calculation 4 15" xfId="28060" xr:uid="{00000000-0005-0000-0000-0000C5420000}"/>
    <cellStyle name="Calculation 4 16" xfId="28204" xr:uid="{00000000-0005-0000-0000-0000C6420000}"/>
    <cellStyle name="Calculation 4 17" xfId="28813" xr:uid="{00000000-0005-0000-0000-0000C7420000}"/>
    <cellStyle name="Calculation 4 18" xfId="28923" xr:uid="{00000000-0005-0000-0000-0000C8420000}"/>
    <cellStyle name="Calculation 4 19" xfId="29008" xr:uid="{00000000-0005-0000-0000-0000C9420000}"/>
    <cellStyle name="Calculation 4 2" xfId="307" xr:uid="{00000000-0005-0000-0000-0000CA420000}"/>
    <cellStyle name="Calculation 4 2 10" xfId="26397" xr:uid="{00000000-0005-0000-0000-0000CB420000}"/>
    <cellStyle name="Calculation 4 2 10 2" xfId="27454" xr:uid="{00000000-0005-0000-0000-0000CC420000}"/>
    <cellStyle name="Calculation 4 2 10 3" xfId="22864" xr:uid="{00000000-0005-0000-0000-0000CD420000}"/>
    <cellStyle name="Calculation 4 2 10_DataIX" xfId="31813" xr:uid="{00000000-0005-0000-0000-0000CE420000}"/>
    <cellStyle name="Calculation 4 2 11" xfId="23101" xr:uid="{00000000-0005-0000-0000-0000CF420000}"/>
    <cellStyle name="Calculation 4 2 12" xfId="22835" xr:uid="{00000000-0005-0000-0000-0000D0420000}"/>
    <cellStyle name="Calculation 4 2 13" xfId="27874" xr:uid="{00000000-0005-0000-0000-0000D1420000}"/>
    <cellStyle name="Calculation 4 2 14" xfId="28059" xr:uid="{00000000-0005-0000-0000-0000D2420000}"/>
    <cellStyle name="Calculation 4 2 15" xfId="28205" xr:uid="{00000000-0005-0000-0000-0000D3420000}"/>
    <cellStyle name="Calculation 4 2 16" xfId="28812" xr:uid="{00000000-0005-0000-0000-0000D4420000}"/>
    <cellStyle name="Calculation 4 2 17" xfId="28728" xr:uid="{00000000-0005-0000-0000-0000D5420000}"/>
    <cellStyle name="Calculation 4 2 18" xfId="29009" xr:uid="{00000000-0005-0000-0000-0000D6420000}"/>
    <cellStyle name="Calculation 4 2 19" xfId="29194" xr:uid="{00000000-0005-0000-0000-0000D7420000}"/>
    <cellStyle name="Calculation 4 2 2" xfId="5269" xr:uid="{00000000-0005-0000-0000-0000D8420000}"/>
    <cellStyle name="Calculation 4 2 2 10" xfId="22885" xr:uid="{00000000-0005-0000-0000-0000D9420000}"/>
    <cellStyle name="Calculation 4 2 2 11" xfId="25590" xr:uid="{00000000-0005-0000-0000-0000DA420000}"/>
    <cellStyle name="Calculation 4 2 2 12" xfId="27977" xr:uid="{00000000-0005-0000-0000-0000DB420000}"/>
    <cellStyle name="Calculation 4 2 2 13" xfId="27968" xr:uid="{00000000-0005-0000-0000-0000DC420000}"/>
    <cellStyle name="Calculation 4 2 2 14" xfId="28303" xr:uid="{00000000-0005-0000-0000-0000DD420000}"/>
    <cellStyle name="Calculation 4 2 2 15" xfId="28652" xr:uid="{00000000-0005-0000-0000-0000DE420000}"/>
    <cellStyle name="Calculation 4 2 2 16" xfId="28659" xr:uid="{00000000-0005-0000-0000-0000DF420000}"/>
    <cellStyle name="Calculation 4 2 2 17" xfId="29112" xr:uid="{00000000-0005-0000-0000-0000E0420000}"/>
    <cellStyle name="Calculation 4 2 2 18" xfId="29103" xr:uid="{00000000-0005-0000-0000-0000E1420000}"/>
    <cellStyle name="Calculation 4 2 2 2" xfId="8639" xr:uid="{00000000-0005-0000-0000-0000E2420000}"/>
    <cellStyle name="Calculation 4 2 2 2 2" xfId="12536" xr:uid="{00000000-0005-0000-0000-0000E3420000}"/>
    <cellStyle name="Calculation 4 2 2 2 3" xfId="20242" xr:uid="{00000000-0005-0000-0000-0000E4420000}"/>
    <cellStyle name="Calculation 4 2 2 2 3 2" xfId="22038" xr:uid="{00000000-0005-0000-0000-0000E5420000}"/>
    <cellStyle name="Calculation 4 2 2 2 3_DataIX" xfId="31815" xr:uid="{00000000-0005-0000-0000-0000E6420000}"/>
    <cellStyle name="Calculation 4 2 2 2 4" xfId="20965" xr:uid="{00000000-0005-0000-0000-0000E7420000}"/>
    <cellStyle name="Calculation 4 2 2 2 4 2" xfId="20670" xr:uid="{00000000-0005-0000-0000-0000E8420000}"/>
    <cellStyle name="Calculation 4 2 2 2 4_DataIX" xfId="31816" xr:uid="{00000000-0005-0000-0000-0000E9420000}"/>
    <cellStyle name="Calculation 4 2 2 2_DataIX" xfId="31814" xr:uid="{00000000-0005-0000-0000-0000EA420000}"/>
    <cellStyle name="Calculation 4 2 2 3" xfId="13161" xr:uid="{00000000-0005-0000-0000-0000EB420000}"/>
    <cellStyle name="Calculation 4 2 2 3 2" xfId="20796" xr:uid="{00000000-0005-0000-0000-0000EC420000}"/>
    <cellStyle name="Calculation 4 2 2 3 2 2" xfId="21935" xr:uid="{00000000-0005-0000-0000-0000ED420000}"/>
    <cellStyle name="Calculation 4 2 2 3 2_DataIX" xfId="31818" xr:uid="{00000000-0005-0000-0000-0000EE420000}"/>
    <cellStyle name="Calculation 4 2 2 3 3" xfId="21164" xr:uid="{00000000-0005-0000-0000-0000EF420000}"/>
    <cellStyle name="Calculation 4 2 2 3 3 2" xfId="12669" xr:uid="{00000000-0005-0000-0000-0000F0420000}"/>
    <cellStyle name="Calculation 4 2 2 3 3_DataIX" xfId="31819" xr:uid="{00000000-0005-0000-0000-0000F1420000}"/>
    <cellStyle name="Calculation 4 2 2 3 4" xfId="21576" xr:uid="{00000000-0005-0000-0000-0000F2420000}"/>
    <cellStyle name="Calculation 4 2 2 3 5" xfId="25491" xr:uid="{00000000-0005-0000-0000-0000F3420000}"/>
    <cellStyle name="Calculation 4 2 2 3 6" xfId="27120" xr:uid="{00000000-0005-0000-0000-0000F4420000}"/>
    <cellStyle name="Calculation 4 2 2 3 7" xfId="22869" xr:uid="{00000000-0005-0000-0000-0000F5420000}"/>
    <cellStyle name="Calculation 4 2 2 3_DataIX" xfId="31817" xr:uid="{00000000-0005-0000-0000-0000F6420000}"/>
    <cellStyle name="Calculation 4 2 2 4" xfId="13332" xr:uid="{00000000-0005-0000-0000-0000F7420000}"/>
    <cellStyle name="Calculation 4 2 2 4 2" xfId="21299" xr:uid="{00000000-0005-0000-0000-0000F8420000}"/>
    <cellStyle name="Calculation 4 2 2 4 2 2" xfId="22071" xr:uid="{00000000-0005-0000-0000-0000F9420000}"/>
    <cellStyle name="Calculation 4 2 2 4 2_DataIX" xfId="31821" xr:uid="{00000000-0005-0000-0000-0000FA420000}"/>
    <cellStyle name="Calculation 4 2 2 4 3" xfId="10888" xr:uid="{00000000-0005-0000-0000-0000FB420000}"/>
    <cellStyle name="Calculation 4 2 2 4 4" xfId="25573" xr:uid="{00000000-0005-0000-0000-0000FC420000}"/>
    <cellStyle name="Calculation 4 2 2 4 5" xfId="27150" xr:uid="{00000000-0005-0000-0000-0000FD420000}"/>
    <cellStyle name="Calculation 4 2 2 4 6" xfId="23048" xr:uid="{00000000-0005-0000-0000-0000FE420000}"/>
    <cellStyle name="Calculation 4 2 2 4_DataIX" xfId="31820" xr:uid="{00000000-0005-0000-0000-0000FF420000}"/>
    <cellStyle name="Calculation 4 2 2 5" xfId="20509" xr:uid="{00000000-0005-0000-0000-000000430000}"/>
    <cellStyle name="Calculation 4 2 2 5 2" xfId="10847" xr:uid="{00000000-0005-0000-0000-000001430000}"/>
    <cellStyle name="Calculation 4 2 2 5_DataIX" xfId="31822" xr:uid="{00000000-0005-0000-0000-000002430000}"/>
    <cellStyle name="Calculation 4 2 2 6" xfId="12980" xr:uid="{00000000-0005-0000-0000-000003430000}"/>
    <cellStyle name="Calculation 4 2 2 7" xfId="22428" xr:uid="{00000000-0005-0000-0000-000004430000}"/>
    <cellStyle name="Calculation 4 2 2 8" xfId="22433" xr:uid="{00000000-0005-0000-0000-000005430000}"/>
    <cellStyle name="Calculation 4 2 2 9" xfId="22437" xr:uid="{00000000-0005-0000-0000-000006430000}"/>
    <cellStyle name="Calculation 4 2 2_060617_hinnat" xfId="24861" xr:uid="{00000000-0005-0000-0000-000007430000}"/>
    <cellStyle name="Calculation 4 2 3" xfId="5336" xr:uid="{00000000-0005-0000-0000-000008430000}"/>
    <cellStyle name="Calculation 4 2 3 2" xfId="12537" xr:uid="{00000000-0005-0000-0000-000009430000}"/>
    <cellStyle name="Calculation 4 2 3 3" xfId="18660" xr:uid="{00000000-0005-0000-0000-00000A430000}"/>
    <cellStyle name="Calculation 4 2 3 3 2" xfId="21929" xr:uid="{00000000-0005-0000-0000-00000B430000}"/>
    <cellStyle name="Calculation 4 2 3 3_DataIX" xfId="31824" xr:uid="{00000000-0005-0000-0000-00000C430000}"/>
    <cellStyle name="Calculation 4 2 3 4" xfId="19010" xr:uid="{00000000-0005-0000-0000-00000D430000}"/>
    <cellStyle name="Calculation 4 2 3 4 2" xfId="13554" xr:uid="{00000000-0005-0000-0000-00000E430000}"/>
    <cellStyle name="Calculation 4 2 3 4_DataIX" xfId="31825" xr:uid="{00000000-0005-0000-0000-00000F430000}"/>
    <cellStyle name="Calculation 4 2 3_DataIX" xfId="31823" xr:uid="{00000000-0005-0000-0000-000010430000}"/>
    <cellStyle name="Calculation 4 2 4" xfId="20285" xr:uid="{00000000-0005-0000-0000-000011430000}"/>
    <cellStyle name="Calculation 4 2 4 2" xfId="13467" xr:uid="{00000000-0005-0000-0000-000012430000}"/>
    <cellStyle name="Calculation 4 2 4 3" xfId="25114" xr:uid="{00000000-0005-0000-0000-000013430000}"/>
    <cellStyle name="Calculation 4 2 4 4" xfId="26928" xr:uid="{00000000-0005-0000-0000-000014430000}"/>
    <cellStyle name="Calculation 4 2 4 5" xfId="22898" xr:uid="{00000000-0005-0000-0000-000015430000}"/>
    <cellStyle name="Calculation 4 2 4_DataIX" xfId="31826" xr:uid="{00000000-0005-0000-0000-000016430000}"/>
    <cellStyle name="Calculation 4 2 5" xfId="21462" xr:uid="{00000000-0005-0000-0000-000017430000}"/>
    <cellStyle name="Calculation 4 2 5 2" xfId="25942" xr:uid="{00000000-0005-0000-0000-000018430000}"/>
    <cellStyle name="Calculation 4 2 5 3" xfId="27272" xr:uid="{00000000-0005-0000-0000-000019430000}"/>
    <cellStyle name="Calculation 4 2 5 4" xfId="26772" xr:uid="{00000000-0005-0000-0000-00001A430000}"/>
    <cellStyle name="Calculation 4 2 5_DataIX" xfId="31827" xr:uid="{00000000-0005-0000-0000-00001B430000}"/>
    <cellStyle name="Calculation 4 2 6" xfId="22298" xr:uid="{00000000-0005-0000-0000-00001C430000}"/>
    <cellStyle name="Calculation 4 2 6 2" xfId="25293" xr:uid="{00000000-0005-0000-0000-00001D430000}"/>
    <cellStyle name="Calculation 4 2 6 3" xfId="27039" xr:uid="{00000000-0005-0000-0000-00001E430000}"/>
    <cellStyle name="Calculation 4 2 6 4" xfId="26920" xr:uid="{00000000-0005-0000-0000-00001F430000}"/>
    <cellStyle name="Calculation 4 2 6_DataIX" xfId="31828" xr:uid="{00000000-0005-0000-0000-000020430000}"/>
    <cellStyle name="Calculation 4 2 7" xfId="22608" xr:uid="{00000000-0005-0000-0000-000021430000}"/>
    <cellStyle name="Calculation 4 2 7 2" xfId="25676" xr:uid="{00000000-0005-0000-0000-000022430000}"/>
    <cellStyle name="Calculation 4 2 7 3" xfId="27192" xr:uid="{00000000-0005-0000-0000-000023430000}"/>
    <cellStyle name="Calculation 4 2 7 4" xfId="26865" xr:uid="{00000000-0005-0000-0000-000024430000}"/>
    <cellStyle name="Calculation 4 2 7_DataIX" xfId="31829" xr:uid="{00000000-0005-0000-0000-000025430000}"/>
    <cellStyle name="Calculation 4 2 8" xfId="22510" xr:uid="{00000000-0005-0000-0000-000026430000}"/>
    <cellStyle name="Calculation 4 2 8 2" xfId="25435" xr:uid="{00000000-0005-0000-0000-000027430000}"/>
    <cellStyle name="Calculation 4 2 8 3" xfId="27096" xr:uid="{00000000-0005-0000-0000-000028430000}"/>
    <cellStyle name="Calculation 4 2 8 4" xfId="22890" xr:uid="{00000000-0005-0000-0000-000029430000}"/>
    <cellStyle name="Calculation 4 2 8_DataIX" xfId="31830" xr:uid="{00000000-0005-0000-0000-00002A430000}"/>
    <cellStyle name="Calculation 4 2 9" xfId="22627" xr:uid="{00000000-0005-0000-0000-00002B430000}"/>
    <cellStyle name="Calculation 4 2 9 2" xfId="27191" xr:uid="{00000000-0005-0000-0000-00002C430000}"/>
    <cellStyle name="Calculation 4 2 9 3" xfId="26775" xr:uid="{00000000-0005-0000-0000-00002D430000}"/>
    <cellStyle name="Calculation 4 2 9_DataIX" xfId="31831" xr:uid="{00000000-0005-0000-0000-00002E430000}"/>
    <cellStyle name="Calculation 4 2_060617_hinnat" xfId="24862" xr:uid="{00000000-0005-0000-0000-00002F430000}"/>
    <cellStyle name="Calculation 4 20" xfId="29195" xr:uid="{00000000-0005-0000-0000-000030430000}"/>
    <cellStyle name="Calculation 4 3" xfId="5270" xr:uid="{00000000-0005-0000-0000-000031430000}"/>
    <cellStyle name="Calculation 4 3 10" xfId="23044" xr:uid="{00000000-0005-0000-0000-000032430000}"/>
    <cellStyle name="Calculation 4 3 11" xfId="22803" xr:uid="{00000000-0005-0000-0000-000033430000}"/>
    <cellStyle name="Calculation 4 3 12" xfId="27978" xr:uid="{00000000-0005-0000-0000-000034430000}"/>
    <cellStyle name="Calculation 4 3 13" xfId="27967" xr:uid="{00000000-0005-0000-0000-000035430000}"/>
    <cellStyle name="Calculation 4 3 14" xfId="28304" xr:uid="{00000000-0005-0000-0000-000036430000}"/>
    <cellStyle name="Calculation 4 3 15" xfId="28651" xr:uid="{00000000-0005-0000-0000-000037430000}"/>
    <cellStyle name="Calculation 4 3 16" xfId="28658" xr:uid="{00000000-0005-0000-0000-000038430000}"/>
    <cellStyle name="Calculation 4 3 17" xfId="29113" xr:uid="{00000000-0005-0000-0000-000039430000}"/>
    <cellStyle name="Calculation 4 3 18" xfId="29102" xr:uid="{00000000-0005-0000-0000-00003A430000}"/>
    <cellStyle name="Calculation 4 3 2" xfId="5576" xr:uid="{00000000-0005-0000-0000-00003B430000}"/>
    <cellStyle name="Calculation 4 3 2 2" xfId="12538" xr:uid="{00000000-0005-0000-0000-00003C430000}"/>
    <cellStyle name="Calculation 4 3 2 3" xfId="18800" xr:uid="{00000000-0005-0000-0000-00003D430000}"/>
    <cellStyle name="Calculation 4 3 2 3 2" xfId="21901" xr:uid="{00000000-0005-0000-0000-00003E430000}"/>
    <cellStyle name="Calculation 4 3 2 3_DataIX" xfId="31833" xr:uid="{00000000-0005-0000-0000-00003F430000}"/>
    <cellStyle name="Calculation 4 3 2 4" xfId="20456" xr:uid="{00000000-0005-0000-0000-000040430000}"/>
    <cellStyle name="Calculation 4 3 2 4 2" xfId="13032" xr:uid="{00000000-0005-0000-0000-000041430000}"/>
    <cellStyle name="Calculation 4 3 2 4_DataIX" xfId="31834" xr:uid="{00000000-0005-0000-0000-000042430000}"/>
    <cellStyle name="Calculation 4 3 2_DataIX" xfId="31832" xr:uid="{00000000-0005-0000-0000-000043430000}"/>
    <cellStyle name="Calculation 4 3 3" xfId="13162" xr:uid="{00000000-0005-0000-0000-000044430000}"/>
    <cellStyle name="Calculation 4 3 3 2" xfId="20797" xr:uid="{00000000-0005-0000-0000-000045430000}"/>
    <cellStyle name="Calculation 4 3 3 2 2" xfId="21489" xr:uid="{00000000-0005-0000-0000-000046430000}"/>
    <cellStyle name="Calculation 4 3 3 2_DataIX" xfId="31836" xr:uid="{00000000-0005-0000-0000-000047430000}"/>
    <cellStyle name="Calculation 4 3 3 3" xfId="21165" xr:uid="{00000000-0005-0000-0000-000048430000}"/>
    <cellStyle name="Calculation 4 3 3 3 2" xfId="21440" xr:uid="{00000000-0005-0000-0000-000049430000}"/>
    <cellStyle name="Calculation 4 3 3 3_DataIX" xfId="31837" xr:uid="{00000000-0005-0000-0000-00004A430000}"/>
    <cellStyle name="Calculation 4 3 3 4" xfId="10777" xr:uid="{00000000-0005-0000-0000-00004B430000}"/>
    <cellStyle name="Calculation 4 3 3 5" xfId="25492" xr:uid="{00000000-0005-0000-0000-00004C430000}"/>
    <cellStyle name="Calculation 4 3 3 6" xfId="27121" xr:uid="{00000000-0005-0000-0000-00004D430000}"/>
    <cellStyle name="Calculation 4 3 3 7" xfId="22827" xr:uid="{00000000-0005-0000-0000-00004E430000}"/>
    <cellStyle name="Calculation 4 3 3_DataIX" xfId="31835" xr:uid="{00000000-0005-0000-0000-00004F430000}"/>
    <cellStyle name="Calculation 4 3 4" xfId="13237" xr:uid="{00000000-0005-0000-0000-000050430000}"/>
    <cellStyle name="Calculation 4 3 4 2" xfId="21223" xr:uid="{00000000-0005-0000-0000-000051430000}"/>
    <cellStyle name="Calculation 4 3 4 2 2" xfId="11216" xr:uid="{00000000-0005-0000-0000-000052430000}"/>
    <cellStyle name="Calculation 4 3 4 2_DataIX" xfId="31839" xr:uid="{00000000-0005-0000-0000-000053430000}"/>
    <cellStyle name="Calculation 4 3 4 3" xfId="12871" xr:uid="{00000000-0005-0000-0000-000054430000}"/>
    <cellStyle name="Calculation 4 3 4 4" xfId="26401" xr:uid="{00000000-0005-0000-0000-000055430000}"/>
    <cellStyle name="Calculation 4 3 4 5" xfId="27456" xr:uid="{00000000-0005-0000-0000-000056430000}"/>
    <cellStyle name="Calculation 4 3 4 6" xfId="22876" xr:uid="{00000000-0005-0000-0000-000057430000}"/>
    <cellStyle name="Calculation 4 3 4_DataIX" xfId="31838" xr:uid="{00000000-0005-0000-0000-000058430000}"/>
    <cellStyle name="Calculation 4 3 5" xfId="19029" xr:uid="{00000000-0005-0000-0000-000059430000}"/>
    <cellStyle name="Calculation 4 3 5 2" xfId="21476" xr:uid="{00000000-0005-0000-0000-00005A430000}"/>
    <cellStyle name="Calculation 4 3 5_DataIX" xfId="31840" xr:uid="{00000000-0005-0000-0000-00005B430000}"/>
    <cellStyle name="Calculation 4 3 6" xfId="13626" xr:uid="{00000000-0005-0000-0000-00005C430000}"/>
    <cellStyle name="Calculation 4 3 7" xfId="22427" xr:uid="{00000000-0005-0000-0000-00005D430000}"/>
    <cellStyle name="Calculation 4 3 8" xfId="22526" xr:uid="{00000000-0005-0000-0000-00005E430000}"/>
    <cellStyle name="Calculation 4 3 9" xfId="22652" xr:uid="{00000000-0005-0000-0000-00005F430000}"/>
    <cellStyle name="Calculation 4 3_060617_hinnat" xfId="24863" xr:uid="{00000000-0005-0000-0000-000060430000}"/>
    <cellStyle name="Calculation 4 4" xfId="5577" xr:uid="{00000000-0005-0000-0000-000061430000}"/>
    <cellStyle name="Calculation 4 4 2" xfId="10605" xr:uid="{00000000-0005-0000-0000-000062430000}"/>
    <cellStyle name="Calculation 4 4 2 2" xfId="12540" xr:uid="{00000000-0005-0000-0000-000063430000}"/>
    <cellStyle name="Calculation 4 4 2 3" xfId="20387" xr:uid="{00000000-0005-0000-0000-000064430000}"/>
    <cellStyle name="Calculation 4 4 2 3 2" xfId="10770" xr:uid="{00000000-0005-0000-0000-000065430000}"/>
    <cellStyle name="Calculation 4 4 2 3_DataIX" xfId="31843" xr:uid="{00000000-0005-0000-0000-000066430000}"/>
    <cellStyle name="Calculation 4 4 2 4" xfId="20998" xr:uid="{00000000-0005-0000-0000-000067430000}"/>
    <cellStyle name="Calculation 4 4 2 4 2" xfId="13504" xr:uid="{00000000-0005-0000-0000-000068430000}"/>
    <cellStyle name="Calculation 4 4 2 4_DataIX" xfId="31844" xr:uid="{00000000-0005-0000-0000-000069430000}"/>
    <cellStyle name="Calculation 4 4 2_DataIX" xfId="31842" xr:uid="{00000000-0005-0000-0000-00006A430000}"/>
    <cellStyle name="Calculation 4 4 3" xfId="12539" xr:uid="{00000000-0005-0000-0000-00006B430000}"/>
    <cellStyle name="Calculation 4 4 4" xfId="18801" xr:uid="{00000000-0005-0000-0000-00006C430000}"/>
    <cellStyle name="Calculation 4 4 4 2" xfId="21911" xr:uid="{00000000-0005-0000-0000-00006D430000}"/>
    <cellStyle name="Calculation 4 4 4_DataIX" xfId="31845" xr:uid="{00000000-0005-0000-0000-00006E430000}"/>
    <cellStyle name="Calculation 4 4 5" xfId="18975" xr:uid="{00000000-0005-0000-0000-00006F430000}"/>
    <cellStyle name="Calculation 4 4 5 2" xfId="13744" xr:uid="{00000000-0005-0000-0000-000070430000}"/>
    <cellStyle name="Calculation 4 4 5_DataIX" xfId="31846" xr:uid="{00000000-0005-0000-0000-000071430000}"/>
    <cellStyle name="Calculation 4 4_DataIX" xfId="31841" xr:uid="{00000000-0005-0000-0000-000072430000}"/>
    <cellStyle name="Calculation 4 5" xfId="5335" xr:uid="{00000000-0005-0000-0000-000073430000}"/>
    <cellStyle name="Calculation 4 5 2" xfId="12541" xr:uid="{00000000-0005-0000-0000-000074430000}"/>
    <cellStyle name="Calculation 4 5 3" xfId="18659" xr:uid="{00000000-0005-0000-0000-000075430000}"/>
    <cellStyle name="Calculation 4 5 3 2" xfId="20718" xr:uid="{00000000-0005-0000-0000-000076430000}"/>
    <cellStyle name="Calculation 4 5 3_DataIX" xfId="31848" xr:uid="{00000000-0005-0000-0000-000077430000}"/>
    <cellStyle name="Calculation 4 5 4" xfId="20490" xr:uid="{00000000-0005-0000-0000-000078430000}"/>
    <cellStyle name="Calculation 4 5 4 2" xfId="21523" xr:uid="{00000000-0005-0000-0000-000079430000}"/>
    <cellStyle name="Calculation 4 5 4_DataIX" xfId="31849" xr:uid="{00000000-0005-0000-0000-00007A430000}"/>
    <cellStyle name="Calculation 4 5_DataIX" xfId="31847" xr:uid="{00000000-0005-0000-0000-00007B430000}"/>
    <cellStyle name="Calculation 4 6" xfId="20900" xr:uid="{00000000-0005-0000-0000-00007C430000}"/>
    <cellStyle name="Calculation 4 6 2" xfId="11102" xr:uid="{00000000-0005-0000-0000-00007D430000}"/>
    <cellStyle name="Calculation 4 6 3" xfId="25113" xr:uid="{00000000-0005-0000-0000-00007E430000}"/>
    <cellStyle name="Calculation 4 6 4" xfId="26927" xr:uid="{00000000-0005-0000-0000-00007F430000}"/>
    <cellStyle name="Calculation 4 6 5" xfId="26899" xr:uid="{00000000-0005-0000-0000-000080430000}"/>
    <cellStyle name="Calculation 4 6_DataIX" xfId="31850" xr:uid="{00000000-0005-0000-0000-000081430000}"/>
    <cellStyle name="Calculation 4 7" xfId="11104" xr:uid="{00000000-0005-0000-0000-000082430000}"/>
    <cellStyle name="Calculation 4 7 2" xfId="25683" xr:uid="{00000000-0005-0000-0000-000083430000}"/>
    <cellStyle name="Calculation 4 7 3" xfId="27195" xr:uid="{00000000-0005-0000-0000-000084430000}"/>
    <cellStyle name="Calculation 4 7 4" xfId="26846" xr:uid="{00000000-0005-0000-0000-000085430000}"/>
    <cellStyle name="Calculation 4 7_DataIX" xfId="31851" xr:uid="{00000000-0005-0000-0000-000086430000}"/>
    <cellStyle name="Calculation 4 8" xfId="22297" xr:uid="{00000000-0005-0000-0000-000087430000}"/>
    <cellStyle name="Calculation 4 8 2" xfId="26488" xr:uid="{00000000-0005-0000-0000-000088430000}"/>
    <cellStyle name="Calculation 4 8 3" xfId="27505" xr:uid="{00000000-0005-0000-0000-000089430000}"/>
    <cellStyle name="Calculation 4 8 4" xfId="27630" xr:uid="{00000000-0005-0000-0000-00008A430000}"/>
    <cellStyle name="Calculation 4 8_DataIX" xfId="31852" xr:uid="{00000000-0005-0000-0000-00008B430000}"/>
    <cellStyle name="Calculation 4 9" xfId="22609" xr:uid="{00000000-0005-0000-0000-00008C430000}"/>
    <cellStyle name="Calculation 4 9 2" xfId="25370" xr:uid="{00000000-0005-0000-0000-00008D430000}"/>
    <cellStyle name="Calculation 4 9 3" xfId="27073" xr:uid="{00000000-0005-0000-0000-00008E430000}"/>
    <cellStyle name="Calculation 4 9 4" xfId="26789" xr:uid="{00000000-0005-0000-0000-00008F430000}"/>
    <cellStyle name="Calculation 4 9_DataIX" xfId="31853" xr:uid="{00000000-0005-0000-0000-000090430000}"/>
    <cellStyle name="Calculation 4_060617_hinnat" xfId="24864" xr:uid="{00000000-0005-0000-0000-000091430000}"/>
    <cellStyle name="Calculation 5" xfId="5274" xr:uid="{00000000-0005-0000-0000-000092430000}"/>
    <cellStyle name="Calculation 5 10" xfId="22884" xr:uid="{00000000-0005-0000-0000-000093430000}"/>
    <cellStyle name="Calculation 5 11" xfId="27602" xr:uid="{00000000-0005-0000-0000-000094430000}"/>
    <cellStyle name="Calculation 5 12" xfId="27979" xr:uid="{00000000-0005-0000-0000-000095430000}"/>
    <cellStyle name="Calculation 5 13" xfId="27966" xr:uid="{00000000-0005-0000-0000-000096430000}"/>
    <cellStyle name="Calculation 5 14" xfId="28305" xr:uid="{00000000-0005-0000-0000-000097430000}"/>
    <cellStyle name="Calculation 5 15" xfId="28650" xr:uid="{00000000-0005-0000-0000-000098430000}"/>
    <cellStyle name="Calculation 5 16" xfId="28657" xr:uid="{00000000-0005-0000-0000-000099430000}"/>
    <cellStyle name="Calculation 5 17" xfId="29114" xr:uid="{00000000-0005-0000-0000-00009A430000}"/>
    <cellStyle name="Calculation 5 18" xfId="29101" xr:uid="{00000000-0005-0000-0000-00009B430000}"/>
    <cellStyle name="Calculation 5 2" xfId="5578" xr:uid="{00000000-0005-0000-0000-00009C430000}"/>
    <cellStyle name="Calculation 5 2 2" xfId="12542" xr:uid="{00000000-0005-0000-0000-00009D430000}"/>
    <cellStyle name="Calculation 5 2 3" xfId="18802" xr:uid="{00000000-0005-0000-0000-00009E430000}"/>
    <cellStyle name="Calculation 5 2 3 2" xfId="13069" xr:uid="{00000000-0005-0000-0000-00009F430000}"/>
    <cellStyle name="Calculation 5 2 3_DataIX" xfId="31855" xr:uid="{00000000-0005-0000-0000-0000A0430000}"/>
    <cellStyle name="Calculation 5 2 4" xfId="20458" xr:uid="{00000000-0005-0000-0000-0000A1430000}"/>
    <cellStyle name="Calculation 5 2 4 2" xfId="21522" xr:uid="{00000000-0005-0000-0000-0000A2430000}"/>
    <cellStyle name="Calculation 5 2 4_DataIX" xfId="31856" xr:uid="{00000000-0005-0000-0000-0000A3430000}"/>
    <cellStyle name="Calculation 5 2_DataIX" xfId="31854" xr:uid="{00000000-0005-0000-0000-0000A4430000}"/>
    <cellStyle name="Calculation 5 3" xfId="13163" xr:uid="{00000000-0005-0000-0000-0000A5430000}"/>
    <cellStyle name="Calculation 5 3 2" xfId="20798" xr:uid="{00000000-0005-0000-0000-0000A6430000}"/>
    <cellStyle name="Calculation 5 3 2 2" xfId="10782" xr:uid="{00000000-0005-0000-0000-0000A7430000}"/>
    <cellStyle name="Calculation 5 3 2_DataIX" xfId="31858" xr:uid="{00000000-0005-0000-0000-0000A8430000}"/>
    <cellStyle name="Calculation 5 3 3" xfId="21166" xr:uid="{00000000-0005-0000-0000-0000A9430000}"/>
    <cellStyle name="Calculation 5 3 3 2" xfId="21768" xr:uid="{00000000-0005-0000-0000-0000AA430000}"/>
    <cellStyle name="Calculation 5 3 3_DataIX" xfId="31859" xr:uid="{00000000-0005-0000-0000-0000AB430000}"/>
    <cellStyle name="Calculation 5 3 4" xfId="21384" xr:uid="{00000000-0005-0000-0000-0000AC430000}"/>
    <cellStyle name="Calculation 5 3 5" xfId="25493" xr:uid="{00000000-0005-0000-0000-0000AD430000}"/>
    <cellStyle name="Calculation 5 3 6" xfId="27122" xr:uid="{00000000-0005-0000-0000-0000AE430000}"/>
    <cellStyle name="Calculation 5 3 7" xfId="27129" xr:uid="{00000000-0005-0000-0000-0000AF430000}"/>
    <cellStyle name="Calculation 5 3_DataIX" xfId="31857" xr:uid="{00000000-0005-0000-0000-0000B0430000}"/>
    <cellStyle name="Calculation 5 4" xfId="13121" xr:uid="{00000000-0005-0000-0000-0000B1430000}"/>
    <cellStyle name="Calculation 5 4 2" xfId="21132" xr:uid="{00000000-0005-0000-0000-0000B2430000}"/>
    <cellStyle name="Calculation 5 4 2 2" xfId="12984" xr:uid="{00000000-0005-0000-0000-0000B3430000}"/>
    <cellStyle name="Calculation 5 4 2_DataIX" xfId="31861" xr:uid="{00000000-0005-0000-0000-0000B4430000}"/>
    <cellStyle name="Calculation 5 4 3" xfId="12703" xr:uid="{00000000-0005-0000-0000-0000B5430000}"/>
    <cellStyle name="Calculation 5 4 4" xfId="26020" xr:uid="{00000000-0005-0000-0000-0000B6430000}"/>
    <cellStyle name="Calculation 5 4 5" xfId="27296" xr:uid="{00000000-0005-0000-0000-0000B7430000}"/>
    <cellStyle name="Calculation 5 4 6" xfId="25901" xr:uid="{00000000-0005-0000-0000-0000B8430000}"/>
    <cellStyle name="Calculation 5 4_DataIX" xfId="31860" xr:uid="{00000000-0005-0000-0000-0000B9430000}"/>
    <cellStyle name="Calculation 5 5" xfId="19027" xr:uid="{00000000-0005-0000-0000-0000BA430000}"/>
    <cellStyle name="Calculation 5 5 2" xfId="21713" xr:uid="{00000000-0005-0000-0000-0000BB430000}"/>
    <cellStyle name="Calculation 5 5_DataIX" xfId="31862" xr:uid="{00000000-0005-0000-0000-0000BC430000}"/>
    <cellStyle name="Calculation 5 6" xfId="22024" xr:uid="{00000000-0005-0000-0000-0000BD430000}"/>
    <cellStyle name="Calculation 5 7" xfId="22426" xr:uid="{00000000-0005-0000-0000-0000BE430000}"/>
    <cellStyle name="Calculation 5 8" xfId="22613" xr:uid="{00000000-0005-0000-0000-0000BF430000}"/>
    <cellStyle name="Calculation 5 9" xfId="22712" xr:uid="{00000000-0005-0000-0000-0000C0430000}"/>
    <cellStyle name="Calculation 5_060617_hinnat" xfId="24865" xr:uid="{00000000-0005-0000-0000-0000C1430000}"/>
    <cellStyle name="Calculation 6" xfId="5579" xr:uid="{00000000-0005-0000-0000-0000C2430000}"/>
    <cellStyle name="Calculation 6 2" xfId="10603" xr:uid="{00000000-0005-0000-0000-0000C3430000}"/>
    <cellStyle name="Calculation 6 2 2" xfId="12544" xr:uid="{00000000-0005-0000-0000-0000C4430000}"/>
    <cellStyle name="Calculation 6 2 3" xfId="20385" xr:uid="{00000000-0005-0000-0000-0000C5430000}"/>
    <cellStyle name="Calculation 6 2 3 2" xfId="10948" xr:uid="{00000000-0005-0000-0000-0000C6430000}"/>
    <cellStyle name="Calculation 6 2 3_DataIX" xfId="31865" xr:uid="{00000000-0005-0000-0000-0000C7430000}"/>
    <cellStyle name="Calculation 6 2 4" xfId="20996" xr:uid="{00000000-0005-0000-0000-0000C8430000}"/>
    <cellStyle name="Calculation 6 2 4 2" xfId="10695" xr:uid="{00000000-0005-0000-0000-0000C9430000}"/>
    <cellStyle name="Calculation 6 2 4_DataIX" xfId="31866" xr:uid="{00000000-0005-0000-0000-0000CA430000}"/>
    <cellStyle name="Calculation 6 2_DataIX" xfId="31864" xr:uid="{00000000-0005-0000-0000-0000CB430000}"/>
    <cellStyle name="Calculation 6 3" xfId="12543" xr:uid="{00000000-0005-0000-0000-0000CC430000}"/>
    <cellStyle name="Calculation 6 4" xfId="18803" xr:uid="{00000000-0005-0000-0000-0000CD430000}"/>
    <cellStyle name="Calculation 6 4 2" xfId="21965" xr:uid="{00000000-0005-0000-0000-0000CE430000}"/>
    <cellStyle name="Calculation 6 4_DataIX" xfId="31867" xr:uid="{00000000-0005-0000-0000-0000CF430000}"/>
    <cellStyle name="Calculation 6 5" xfId="18976" xr:uid="{00000000-0005-0000-0000-0000D0430000}"/>
    <cellStyle name="Calculation 6 5 2" xfId="12624" xr:uid="{00000000-0005-0000-0000-0000D1430000}"/>
    <cellStyle name="Calculation 6 5_DataIX" xfId="31868" xr:uid="{00000000-0005-0000-0000-0000D2430000}"/>
    <cellStyle name="Calculation 6_DataIX" xfId="31863" xr:uid="{00000000-0005-0000-0000-0000D3430000}"/>
    <cellStyle name="Calculation 7" xfId="5580" xr:uid="{00000000-0005-0000-0000-0000D4430000}"/>
    <cellStyle name="Calculation 7 2" xfId="10604" xr:uid="{00000000-0005-0000-0000-0000D5430000}"/>
    <cellStyle name="Calculation 7 2 2" xfId="12546" xr:uid="{00000000-0005-0000-0000-0000D6430000}"/>
    <cellStyle name="Calculation 7 2 3" xfId="20386" xr:uid="{00000000-0005-0000-0000-0000D7430000}"/>
    <cellStyle name="Calculation 7 2 3 2" xfId="21714" xr:uid="{00000000-0005-0000-0000-0000D8430000}"/>
    <cellStyle name="Calculation 7 2 3_DataIX" xfId="31871" xr:uid="{00000000-0005-0000-0000-0000D9430000}"/>
    <cellStyle name="Calculation 7 2 4" xfId="20997" xr:uid="{00000000-0005-0000-0000-0000DA430000}"/>
    <cellStyle name="Calculation 7 2 4 2" xfId="13474" xr:uid="{00000000-0005-0000-0000-0000DB430000}"/>
    <cellStyle name="Calculation 7 2 4_DataIX" xfId="31872" xr:uid="{00000000-0005-0000-0000-0000DC430000}"/>
    <cellStyle name="Calculation 7 2_DataIX" xfId="31870" xr:uid="{00000000-0005-0000-0000-0000DD430000}"/>
    <cellStyle name="Calculation 7 3" xfId="12545" xr:uid="{00000000-0005-0000-0000-0000DE430000}"/>
    <cellStyle name="Calculation 7 4" xfId="18804" xr:uid="{00000000-0005-0000-0000-0000DF430000}"/>
    <cellStyle name="Calculation 7 4 2" xfId="13025" xr:uid="{00000000-0005-0000-0000-0000E0430000}"/>
    <cellStyle name="Calculation 7 4_DataIX" xfId="31873" xr:uid="{00000000-0005-0000-0000-0000E1430000}"/>
    <cellStyle name="Calculation 7 5" xfId="20457" xr:uid="{00000000-0005-0000-0000-0000E2430000}"/>
    <cellStyle name="Calculation 7 5 2" xfId="21415" xr:uid="{00000000-0005-0000-0000-0000E3430000}"/>
    <cellStyle name="Calculation 7 5_DataIX" xfId="31874" xr:uid="{00000000-0005-0000-0000-0000E4430000}"/>
    <cellStyle name="Calculation 7_DataIX" xfId="31869" xr:uid="{00000000-0005-0000-0000-0000E5430000}"/>
    <cellStyle name="Calculation 8" xfId="5453" xr:uid="{00000000-0005-0000-0000-0000E6430000}"/>
    <cellStyle name="Calculation 8 2" xfId="12547" xr:uid="{00000000-0005-0000-0000-0000E7430000}"/>
    <cellStyle name="Calculation 8 3" xfId="18730" xr:uid="{00000000-0005-0000-0000-0000E8430000}"/>
    <cellStyle name="Calculation 8 3 2" xfId="21896" xr:uid="{00000000-0005-0000-0000-0000E9430000}"/>
    <cellStyle name="Calculation 8 3_DataIX" xfId="31876" xr:uid="{00000000-0005-0000-0000-0000EA430000}"/>
    <cellStyle name="Calculation 8 4" xfId="18738" xr:uid="{00000000-0005-0000-0000-0000EB430000}"/>
    <cellStyle name="Calculation 8 4 2" xfId="21964" xr:uid="{00000000-0005-0000-0000-0000EC430000}"/>
    <cellStyle name="Calculation 8 4_DataIX" xfId="31877" xr:uid="{00000000-0005-0000-0000-0000ED430000}"/>
    <cellStyle name="Calculation 8_DataIX" xfId="31875" xr:uid="{00000000-0005-0000-0000-0000EE430000}"/>
    <cellStyle name="Calculation 9" xfId="5300" xr:uid="{00000000-0005-0000-0000-0000EF430000}"/>
    <cellStyle name="Calculation 9 2" xfId="12548" xr:uid="{00000000-0005-0000-0000-0000F0430000}"/>
    <cellStyle name="Calculation 9 3" xfId="18624" xr:uid="{00000000-0005-0000-0000-0000F1430000}"/>
    <cellStyle name="Calculation 9 3 2" xfId="13016" xr:uid="{00000000-0005-0000-0000-0000F2430000}"/>
    <cellStyle name="Calculation 9 3_DataIX" xfId="31879" xr:uid="{00000000-0005-0000-0000-0000F3430000}"/>
    <cellStyle name="Calculation 9 4" xfId="19020" xr:uid="{00000000-0005-0000-0000-0000F4430000}"/>
    <cellStyle name="Calculation 9 4 2" xfId="10900" xr:uid="{00000000-0005-0000-0000-0000F5430000}"/>
    <cellStyle name="Calculation 9 4_DataIX" xfId="31880" xr:uid="{00000000-0005-0000-0000-0000F6430000}"/>
    <cellStyle name="Calculation 9_DataIX" xfId="31878" xr:uid="{00000000-0005-0000-0000-0000F7430000}"/>
    <cellStyle name="Calculation_##Keskeiset" xfId="5571" xr:uid="{00000000-0005-0000-0000-0000F8430000}"/>
    <cellStyle name="Celkem" xfId="3298" xr:uid="{00000000-0005-0000-0000-0000F9430000}"/>
    <cellStyle name="Check Cell" xfId="68" xr:uid="{00000000-0005-0000-0000-0000FA430000}"/>
    <cellStyle name="Check Cell 2" xfId="69" xr:uid="{00000000-0005-0000-0000-0000FB430000}"/>
    <cellStyle name="Check Cell 2 10" xfId="25854" xr:uid="{00000000-0005-0000-0000-0000FC430000}"/>
    <cellStyle name="Check Cell 2 11" xfId="24867" xr:uid="{00000000-0005-0000-0000-0000FD430000}"/>
    <cellStyle name="Check Cell 2 2" xfId="3299" xr:uid="{00000000-0005-0000-0000-0000FE430000}"/>
    <cellStyle name="Check Cell 2 2 2" xfId="8641" xr:uid="{00000000-0005-0000-0000-0000FF430000}"/>
    <cellStyle name="Check Cell 2 2 2 2" xfId="12549" xr:uid="{00000000-0005-0000-0000-000000440000}"/>
    <cellStyle name="Check Cell 2 2 2 3" xfId="20243" xr:uid="{00000000-0005-0000-0000-000001440000}"/>
    <cellStyle name="Check Cell 2 2 2_DataIX" xfId="31881" xr:uid="{00000000-0005-0000-0000-000002440000}"/>
    <cellStyle name="Check Cell 2 2 3" xfId="16811" xr:uid="{00000000-0005-0000-0000-000003440000}"/>
    <cellStyle name="Check Cell 2 2_060617_hinnat" xfId="24868" xr:uid="{00000000-0005-0000-0000-000004440000}"/>
    <cellStyle name="Check Cell 2 3" xfId="25115" xr:uid="{00000000-0005-0000-0000-000005440000}"/>
    <cellStyle name="Check Cell 2 4" xfId="25651" xr:uid="{00000000-0005-0000-0000-000006440000}"/>
    <cellStyle name="Check Cell 2 5" xfId="25757" xr:uid="{00000000-0005-0000-0000-000007440000}"/>
    <cellStyle name="Check Cell 2 6" xfId="25602" xr:uid="{00000000-0005-0000-0000-000008440000}"/>
    <cellStyle name="Check Cell 2 7" xfId="25719" xr:uid="{00000000-0005-0000-0000-000009440000}"/>
    <cellStyle name="Check Cell 2 8" xfId="26338" xr:uid="{00000000-0005-0000-0000-00000A440000}"/>
    <cellStyle name="Check Cell 2 9" xfId="25446" xr:uid="{00000000-0005-0000-0000-00000B440000}"/>
    <cellStyle name="Check Cell 2_##Keskeiset" xfId="8640" xr:uid="{00000000-0005-0000-0000-00000C440000}"/>
    <cellStyle name="Check Cell 3" xfId="5582" xr:uid="{00000000-0005-0000-0000-00000D440000}"/>
    <cellStyle name="Check Cell 3 2" xfId="12550" xr:uid="{00000000-0005-0000-0000-00000E440000}"/>
    <cellStyle name="Check Cell 3 3" xfId="18806" xr:uid="{00000000-0005-0000-0000-00000F440000}"/>
    <cellStyle name="Check Cell 3_DataIX" xfId="31882" xr:uid="{00000000-0005-0000-0000-000010440000}"/>
    <cellStyle name="Check Cell 4" xfId="24866" xr:uid="{00000000-0005-0000-0000-000011440000}"/>
    <cellStyle name="Check Cell_##Keskeiset" xfId="5581" xr:uid="{00000000-0005-0000-0000-000012440000}"/>
    <cellStyle name="CHF" xfId="3300" xr:uid="{00000000-0005-0000-0000-000013440000}"/>
    <cellStyle name="Comma  - Style1" xfId="382" xr:uid="{00000000-0005-0000-0000-000014440000}"/>
    <cellStyle name="Comma [0]" xfId="70" xr:uid="{00000000-0005-0000-0000-000015440000}"/>
    <cellStyle name="Comma [0] 2" xfId="28988" xr:uid="{00000000-0005-0000-0000-000016440000}"/>
    <cellStyle name="Comma [0]_DataIX" xfId="31883" xr:uid="{00000000-0005-0000-0000-000017440000}"/>
    <cellStyle name="Comma 2" xfId="3301" xr:uid="{00000000-0005-0000-0000-000018440000}"/>
    <cellStyle name="Comma 2 2" xfId="24869" xr:uid="{00000000-0005-0000-0000-000019440000}"/>
    <cellStyle name="Comma 2 2 2" xfId="27817" xr:uid="{00000000-0005-0000-0000-00001A440000}"/>
    <cellStyle name="Comma 2 2_DataIX" xfId="31885" xr:uid="{00000000-0005-0000-0000-00001B440000}"/>
    <cellStyle name="Comma 2 3" xfId="27803" xr:uid="{00000000-0005-0000-0000-00001C440000}"/>
    <cellStyle name="Comma 2 4" xfId="29115" xr:uid="{00000000-0005-0000-0000-00001D440000}"/>
    <cellStyle name="Comma 2_DataIX" xfId="31884" xr:uid="{00000000-0005-0000-0000-00001E440000}"/>
    <cellStyle name="Comma 3" xfId="3302" xr:uid="{00000000-0005-0000-0000-00001F440000}"/>
    <cellStyle name="Comma 3 2" xfId="24870" xr:uid="{00000000-0005-0000-0000-000020440000}"/>
    <cellStyle name="Comma 3 2 2" xfId="27818" xr:uid="{00000000-0005-0000-0000-000021440000}"/>
    <cellStyle name="Comma 3 2_DataIX" xfId="31887" xr:uid="{00000000-0005-0000-0000-000022440000}"/>
    <cellStyle name="Comma 3 3" xfId="27804" xr:uid="{00000000-0005-0000-0000-000023440000}"/>
    <cellStyle name="Comma 3 4" xfId="29116" xr:uid="{00000000-0005-0000-0000-000024440000}"/>
    <cellStyle name="Comma 3_DataIX" xfId="31886" xr:uid="{00000000-0005-0000-0000-000025440000}"/>
    <cellStyle name="Comma 4" xfId="28529" xr:uid="{00000000-0005-0000-0000-000026440000}"/>
    <cellStyle name="Comma 5" xfId="28555" xr:uid="{00000000-0005-0000-0000-000027440000}"/>
    <cellStyle name="Comma 6" xfId="28516" xr:uid="{00000000-0005-0000-0000-000028440000}"/>
    <cellStyle name="Comma0" xfId="3303" xr:uid="{00000000-0005-0000-0000-000029440000}"/>
    <cellStyle name="Curren - Style2" xfId="383" xr:uid="{00000000-0005-0000-0000-00002A440000}"/>
    <cellStyle name="Currency [0]" xfId="71" xr:uid="{00000000-0005-0000-0000-00002B440000}"/>
    <cellStyle name="Currency 2" xfId="3305" xr:uid="{00000000-0005-0000-0000-00002C440000}"/>
    <cellStyle name="Currency0" xfId="3306" xr:uid="{00000000-0005-0000-0000-00002D440000}"/>
    <cellStyle name="Date" xfId="3307" xr:uid="{00000000-0005-0000-0000-00002E440000}"/>
    <cellStyle name="Datum" xfId="3308" xr:uid="{00000000-0005-0000-0000-00002F440000}"/>
    <cellStyle name="day of week" xfId="3309" xr:uid="{00000000-0005-0000-0000-000030440000}"/>
    <cellStyle name="DEM" xfId="3310" xr:uid="{00000000-0005-0000-0000-000031440000}"/>
    <cellStyle name="Dezimal [0]_Ansatz" xfId="3311" xr:uid="{00000000-0005-0000-0000-000032440000}"/>
    <cellStyle name="Dezimal_Ansatz" xfId="3312" xr:uid="{00000000-0005-0000-0000-000033440000}"/>
    <cellStyle name="Erotin 2" xfId="195" xr:uid="{00000000-0005-0000-0000-000034440000}"/>
    <cellStyle name="Erotin 2 2" xfId="3313" xr:uid="{00000000-0005-0000-0000-000035440000}"/>
    <cellStyle name="Erotin 2_060617_hinnat" xfId="24871" xr:uid="{00000000-0005-0000-0000-000036440000}"/>
    <cellStyle name="Erotin 3" xfId="196" xr:uid="{00000000-0005-0000-0000-000037440000}"/>
    <cellStyle name="Erotin 3 2" xfId="3315" xr:uid="{00000000-0005-0000-0000-000038440000}"/>
    <cellStyle name="Erotin 3 2 2" xfId="10634" xr:uid="{00000000-0005-0000-0000-000039440000}"/>
    <cellStyle name="Erotin 3 2 2 2" xfId="11197" xr:uid="{00000000-0005-0000-0000-00003A440000}"/>
    <cellStyle name="Erotin 3 2 2 2 2" xfId="27820" xr:uid="{00000000-0005-0000-0000-00003B440000}"/>
    <cellStyle name="Erotin 3 2 2 2_DataIX" xfId="31888" xr:uid="{00000000-0005-0000-0000-00003C440000}"/>
    <cellStyle name="Erotin 3 2 2 3" xfId="20593" xr:uid="{00000000-0005-0000-0000-00003D440000}"/>
    <cellStyle name="Erotin 3 2 2 4" xfId="27805" xr:uid="{00000000-0005-0000-0000-00003E440000}"/>
    <cellStyle name="Erotin 3 2 3" xfId="10973" xr:uid="{00000000-0005-0000-0000-00003F440000}"/>
    <cellStyle name="Erotin 3 2 3 2" xfId="27819" xr:uid="{00000000-0005-0000-0000-000040440000}"/>
    <cellStyle name="Erotin 3 2 3_DataIX" xfId="31889" xr:uid="{00000000-0005-0000-0000-000041440000}"/>
    <cellStyle name="Erotin 3 2 4" xfId="16814" xr:uid="{00000000-0005-0000-0000-000042440000}"/>
    <cellStyle name="Erotin 3 2 5" xfId="29117" xr:uid="{00000000-0005-0000-0000-000043440000}"/>
    <cellStyle name="Erotin 3 2_060617_hinnat" xfId="24872" xr:uid="{00000000-0005-0000-0000-000044440000}"/>
    <cellStyle name="Erotin 3 3" xfId="3314" xr:uid="{00000000-0005-0000-0000-000045440000}"/>
    <cellStyle name="Erotin 3 3 2" xfId="8642" xr:uid="{00000000-0005-0000-0000-000046440000}"/>
    <cellStyle name="Erotin 3 3 2 2" xfId="11198" xr:uid="{00000000-0005-0000-0000-000047440000}"/>
    <cellStyle name="Erotin 3 3 2 2 2" xfId="27822" xr:uid="{00000000-0005-0000-0000-000048440000}"/>
    <cellStyle name="Erotin 3 3 2 2_DataIX" xfId="31891" xr:uid="{00000000-0005-0000-0000-000049440000}"/>
    <cellStyle name="Erotin 3 3 2 3" xfId="20244" xr:uid="{00000000-0005-0000-0000-00004A440000}"/>
    <cellStyle name="Erotin 3 3 2_DataIX" xfId="31890" xr:uid="{00000000-0005-0000-0000-00004B440000}"/>
    <cellStyle name="Erotin 3 3 3" xfId="10974" xr:uid="{00000000-0005-0000-0000-00004C440000}"/>
    <cellStyle name="Erotin 3 3 3 2" xfId="27821" xr:uid="{00000000-0005-0000-0000-00004D440000}"/>
    <cellStyle name="Erotin 3 3 3_DataIX" xfId="31892" xr:uid="{00000000-0005-0000-0000-00004E440000}"/>
    <cellStyle name="Erotin 3 3 4" xfId="16813" xr:uid="{00000000-0005-0000-0000-00004F440000}"/>
    <cellStyle name="Erotin 3 3 5" xfId="29118" xr:uid="{00000000-0005-0000-0000-000050440000}"/>
    <cellStyle name="Erotin 3 3_060617_hinnat" xfId="24873" xr:uid="{00000000-0005-0000-0000-000051440000}"/>
    <cellStyle name="Erotin 3_060617_hinnat" xfId="24874" xr:uid="{00000000-0005-0000-0000-000052440000}"/>
    <cellStyle name="Erotin 4" xfId="194" xr:uid="{00000000-0005-0000-0000-000053440000}"/>
    <cellStyle name="Erotin 4 2" xfId="3317" xr:uid="{00000000-0005-0000-0000-000054440000}"/>
    <cellStyle name="Erotin 4 3" xfId="3316" xr:uid="{00000000-0005-0000-0000-000055440000}"/>
    <cellStyle name="Erotin 4 3 2" xfId="8643" xr:uid="{00000000-0005-0000-0000-000056440000}"/>
    <cellStyle name="Erotin 4 3 2 2" xfId="11199" xr:uid="{00000000-0005-0000-0000-000057440000}"/>
    <cellStyle name="Erotin 4 3 2 2 2" xfId="27824" xr:uid="{00000000-0005-0000-0000-000058440000}"/>
    <cellStyle name="Erotin 4 3 2 2_DataIX" xfId="31894" xr:uid="{00000000-0005-0000-0000-000059440000}"/>
    <cellStyle name="Erotin 4 3 2 3" xfId="20245" xr:uid="{00000000-0005-0000-0000-00005A440000}"/>
    <cellStyle name="Erotin 4 3 2_DataIX" xfId="31893" xr:uid="{00000000-0005-0000-0000-00005B440000}"/>
    <cellStyle name="Erotin 4 3 3" xfId="10976" xr:uid="{00000000-0005-0000-0000-00005C440000}"/>
    <cellStyle name="Erotin 4 3 3 2" xfId="27823" xr:uid="{00000000-0005-0000-0000-00005D440000}"/>
    <cellStyle name="Erotin 4 3 3_DataIX" xfId="31895" xr:uid="{00000000-0005-0000-0000-00005E440000}"/>
    <cellStyle name="Erotin 4 3 4" xfId="16815" xr:uid="{00000000-0005-0000-0000-00005F440000}"/>
    <cellStyle name="Erotin 4 3 5" xfId="29119" xr:uid="{00000000-0005-0000-0000-000060440000}"/>
    <cellStyle name="Erotin 4 3_060617_hinnat" xfId="24875" xr:uid="{00000000-0005-0000-0000-000061440000}"/>
    <cellStyle name="Erotin 4_060617_hinnat" xfId="24876" xr:uid="{00000000-0005-0000-0000-000062440000}"/>
    <cellStyle name="Euro" xfId="72" xr:uid="{00000000-0005-0000-0000-000063440000}"/>
    <cellStyle name="Euro 2" xfId="3319" xr:uid="{00000000-0005-0000-0000-000064440000}"/>
    <cellStyle name="Euro 2 2" xfId="10635" xr:uid="{00000000-0005-0000-0000-000065440000}"/>
    <cellStyle name="Euro 2 2 2" xfId="11200" xr:uid="{00000000-0005-0000-0000-000066440000}"/>
    <cellStyle name="Euro 2 2 2 2" xfId="27826" xr:uid="{00000000-0005-0000-0000-000067440000}"/>
    <cellStyle name="Euro 2 2 2_DataIX" xfId="31896" xr:uid="{00000000-0005-0000-0000-000068440000}"/>
    <cellStyle name="Euro 2 2 3" xfId="20594" xr:uid="{00000000-0005-0000-0000-000069440000}"/>
    <cellStyle name="Euro 2 2 4" xfId="27806" xr:uid="{00000000-0005-0000-0000-00006A440000}"/>
    <cellStyle name="Euro 2 3" xfId="10977" xr:uid="{00000000-0005-0000-0000-00006B440000}"/>
    <cellStyle name="Euro 2 3 2" xfId="27825" xr:uid="{00000000-0005-0000-0000-00006C440000}"/>
    <cellStyle name="Euro 2 3_DataIX" xfId="31897" xr:uid="{00000000-0005-0000-0000-00006D440000}"/>
    <cellStyle name="Euro 2 4" xfId="16817" xr:uid="{00000000-0005-0000-0000-00006E440000}"/>
    <cellStyle name="Euro 2_060617_hinnat" xfId="24877" xr:uid="{00000000-0005-0000-0000-00006F440000}"/>
    <cellStyle name="Euro 3" xfId="3320" xr:uid="{00000000-0005-0000-0000-000070440000}"/>
    <cellStyle name="Euro 4" xfId="3321" xr:uid="{00000000-0005-0000-0000-000071440000}"/>
    <cellStyle name="Euro_060617_hinnat" xfId="24878" xr:uid="{00000000-0005-0000-0000-000072440000}"/>
    <cellStyle name="Explanatory Text" xfId="73" xr:uid="{00000000-0005-0000-0000-000073440000}"/>
    <cellStyle name="Explanatory Text 2" xfId="74" xr:uid="{00000000-0005-0000-0000-000074440000}"/>
    <cellStyle name="Explanatory Text 2 10" xfId="25571" xr:uid="{00000000-0005-0000-0000-000075440000}"/>
    <cellStyle name="Explanatory Text 2 11" xfId="24880" xr:uid="{00000000-0005-0000-0000-000076440000}"/>
    <cellStyle name="Explanatory Text 2 2" xfId="3322" xr:uid="{00000000-0005-0000-0000-000077440000}"/>
    <cellStyle name="Explanatory Text 2 2 2" xfId="8645" xr:uid="{00000000-0005-0000-0000-000078440000}"/>
    <cellStyle name="Explanatory Text 2 2 2 2" xfId="12551" xr:uid="{00000000-0005-0000-0000-000079440000}"/>
    <cellStyle name="Explanatory Text 2 2 2 3" xfId="20246" xr:uid="{00000000-0005-0000-0000-00007A440000}"/>
    <cellStyle name="Explanatory Text 2 2 2_DataIX" xfId="31898" xr:uid="{00000000-0005-0000-0000-00007B440000}"/>
    <cellStyle name="Explanatory Text 2 2 3" xfId="16818" xr:uid="{00000000-0005-0000-0000-00007C440000}"/>
    <cellStyle name="Explanatory Text 2 2_060617_hinnat" xfId="24881" xr:uid="{00000000-0005-0000-0000-00007D440000}"/>
    <cellStyle name="Explanatory Text 2 3" xfId="25116" xr:uid="{00000000-0005-0000-0000-00007E440000}"/>
    <cellStyle name="Explanatory Text 2 4" xfId="26160" xr:uid="{00000000-0005-0000-0000-00007F440000}"/>
    <cellStyle name="Explanatory Text 2 5" xfId="26584" xr:uid="{00000000-0005-0000-0000-000080440000}"/>
    <cellStyle name="Explanatory Text 2 6" xfId="26236" xr:uid="{00000000-0005-0000-0000-000081440000}"/>
    <cellStyle name="Explanatory Text 2 7" xfId="26667" xr:uid="{00000000-0005-0000-0000-000082440000}"/>
    <cellStyle name="Explanatory Text 2 8" xfId="25392" xr:uid="{00000000-0005-0000-0000-000083440000}"/>
    <cellStyle name="Explanatory Text 2 9" xfId="25840" xr:uid="{00000000-0005-0000-0000-000084440000}"/>
    <cellStyle name="Explanatory Text 2_##Keskeiset" xfId="8644" xr:uid="{00000000-0005-0000-0000-000085440000}"/>
    <cellStyle name="Explanatory Text 3" xfId="5584" xr:uid="{00000000-0005-0000-0000-000086440000}"/>
    <cellStyle name="Explanatory Text 3 2" xfId="12552" xr:uid="{00000000-0005-0000-0000-000087440000}"/>
    <cellStyle name="Explanatory Text 3 3" xfId="18807" xr:uid="{00000000-0005-0000-0000-000088440000}"/>
    <cellStyle name="Explanatory Text 3_DataIX" xfId="31899" xr:uid="{00000000-0005-0000-0000-000089440000}"/>
    <cellStyle name="Explanatory Text 4" xfId="24879" xr:uid="{00000000-0005-0000-0000-00008A440000}"/>
    <cellStyle name="Explanatory Text_##Keskeiset" xfId="5583" xr:uid="{00000000-0005-0000-0000-00008B440000}"/>
    <cellStyle name="Finanční0" xfId="3323" xr:uid="{00000000-0005-0000-0000-00008C440000}"/>
    <cellStyle name="Finanèní0" xfId="3324" xr:uid="{00000000-0005-0000-0000-00008D440000}"/>
    <cellStyle name="Fixed" xfId="3325" xr:uid="{00000000-0005-0000-0000-00008E440000}"/>
    <cellStyle name="fixed0 - Style4" xfId="3326" xr:uid="{00000000-0005-0000-0000-00008F440000}"/>
    <cellStyle name="Följde hyperlänken" xfId="3327" xr:uid="{00000000-0005-0000-0000-000090440000}"/>
    <cellStyle name="Följde hyperlänken 10" xfId="3328" xr:uid="{00000000-0005-0000-0000-000091440000}"/>
    <cellStyle name="Följde hyperlänken 10 2" xfId="3329" xr:uid="{00000000-0005-0000-0000-000092440000}"/>
    <cellStyle name="Följde hyperlänken 10 3" xfId="3330" xr:uid="{00000000-0005-0000-0000-000093440000}"/>
    <cellStyle name="Följde hyperlänken 10 4" xfId="3331" xr:uid="{00000000-0005-0000-0000-000094440000}"/>
    <cellStyle name="Följde hyperlänken 10_060617_hinnat" xfId="24882" xr:uid="{00000000-0005-0000-0000-000095440000}"/>
    <cellStyle name="Följde hyperlänken 11" xfId="3332" xr:uid="{00000000-0005-0000-0000-000096440000}"/>
    <cellStyle name="Följde hyperlänken 11 2" xfId="3333" xr:uid="{00000000-0005-0000-0000-000097440000}"/>
    <cellStyle name="Följde hyperlänken 11 3" xfId="3334" xr:uid="{00000000-0005-0000-0000-000098440000}"/>
    <cellStyle name="Följde hyperlänken 11 4" xfId="3335" xr:uid="{00000000-0005-0000-0000-000099440000}"/>
    <cellStyle name="Följde hyperlänken 11_060617_hinnat" xfId="24883" xr:uid="{00000000-0005-0000-0000-00009A440000}"/>
    <cellStyle name="Följde hyperlänken 12" xfId="3336" xr:uid="{00000000-0005-0000-0000-00009B440000}"/>
    <cellStyle name="Följde hyperlänken 12 2" xfId="3337" xr:uid="{00000000-0005-0000-0000-00009C440000}"/>
    <cellStyle name="Följde hyperlänken 12 3" xfId="3338" xr:uid="{00000000-0005-0000-0000-00009D440000}"/>
    <cellStyle name="Följde hyperlänken 12 4" xfId="3339" xr:uid="{00000000-0005-0000-0000-00009E440000}"/>
    <cellStyle name="Följde hyperlänken 12_060617_hinnat" xfId="24884" xr:uid="{00000000-0005-0000-0000-00009F440000}"/>
    <cellStyle name="Följde hyperlänken 13" xfId="3340" xr:uid="{00000000-0005-0000-0000-0000A0440000}"/>
    <cellStyle name="Följde hyperlänken 13 2" xfId="3341" xr:uid="{00000000-0005-0000-0000-0000A1440000}"/>
    <cellStyle name="Följde hyperlänken 13 3" xfId="3342" xr:uid="{00000000-0005-0000-0000-0000A2440000}"/>
    <cellStyle name="Följde hyperlänken 13 4" xfId="3343" xr:uid="{00000000-0005-0000-0000-0000A3440000}"/>
    <cellStyle name="Följde hyperlänken 13_060617_hinnat" xfId="24885" xr:uid="{00000000-0005-0000-0000-0000A4440000}"/>
    <cellStyle name="Följde hyperlänken 14" xfId="3344" xr:uid="{00000000-0005-0000-0000-0000A5440000}"/>
    <cellStyle name="Följde hyperlänken 14 2" xfId="3345" xr:uid="{00000000-0005-0000-0000-0000A6440000}"/>
    <cellStyle name="Följde hyperlänken 14 3" xfId="3346" xr:uid="{00000000-0005-0000-0000-0000A7440000}"/>
    <cellStyle name="Följde hyperlänken 14 4" xfId="3347" xr:uid="{00000000-0005-0000-0000-0000A8440000}"/>
    <cellStyle name="Följde hyperlänken 14_060617_hinnat" xfId="24886" xr:uid="{00000000-0005-0000-0000-0000A9440000}"/>
    <cellStyle name="Följde hyperlänken 15" xfId="3348" xr:uid="{00000000-0005-0000-0000-0000AA440000}"/>
    <cellStyle name="Följde hyperlänken 15 2" xfId="3349" xr:uid="{00000000-0005-0000-0000-0000AB440000}"/>
    <cellStyle name="Följde hyperlänken 15 3" xfId="3350" xr:uid="{00000000-0005-0000-0000-0000AC440000}"/>
    <cellStyle name="Följde hyperlänken 15 4" xfId="3351" xr:uid="{00000000-0005-0000-0000-0000AD440000}"/>
    <cellStyle name="Följde hyperlänken 15_060617_hinnat" xfId="24887" xr:uid="{00000000-0005-0000-0000-0000AE440000}"/>
    <cellStyle name="Följde hyperlänken 16" xfId="3352" xr:uid="{00000000-0005-0000-0000-0000AF440000}"/>
    <cellStyle name="Följde hyperlänken 16 2" xfId="3353" xr:uid="{00000000-0005-0000-0000-0000B0440000}"/>
    <cellStyle name="Följde hyperlänken 16 3" xfId="3354" xr:uid="{00000000-0005-0000-0000-0000B1440000}"/>
    <cellStyle name="Följde hyperlänken 16 4" xfId="3355" xr:uid="{00000000-0005-0000-0000-0000B2440000}"/>
    <cellStyle name="Följde hyperlänken 16_060617_hinnat" xfId="24888" xr:uid="{00000000-0005-0000-0000-0000B3440000}"/>
    <cellStyle name="Följde hyperlänken 17" xfId="3356" xr:uid="{00000000-0005-0000-0000-0000B4440000}"/>
    <cellStyle name="Följde hyperlänken 17 2" xfId="3357" xr:uid="{00000000-0005-0000-0000-0000B5440000}"/>
    <cellStyle name="Följde hyperlänken 17 3" xfId="3358" xr:uid="{00000000-0005-0000-0000-0000B6440000}"/>
    <cellStyle name="Följde hyperlänken 17 4" xfId="3359" xr:uid="{00000000-0005-0000-0000-0000B7440000}"/>
    <cellStyle name="Följde hyperlänken 17_060617_hinnat" xfId="24889" xr:uid="{00000000-0005-0000-0000-0000B8440000}"/>
    <cellStyle name="Följde hyperlänken 18" xfId="3360" xr:uid="{00000000-0005-0000-0000-0000B9440000}"/>
    <cellStyle name="Följde hyperlänken 18 2" xfId="3361" xr:uid="{00000000-0005-0000-0000-0000BA440000}"/>
    <cellStyle name="Följde hyperlänken 18 3" xfId="3362" xr:uid="{00000000-0005-0000-0000-0000BB440000}"/>
    <cellStyle name="Följde hyperlänken 18 4" xfId="3363" xr:uid="{00000000-0005-0000-0000-0000BC440000}"/>
    <cellStyle name="Följde hyperlänken 18_060617_hinnat" xfId="24890" xr:uid="{00000000-0005-0000-0000-0000BD440000}"/>
    <cellStyle name="Följde hyperlänken 19" xfId="3364" xr:uid="{00000000-0005-0000-0000-0000BE440000}"/>
    <cellStyle name="Följde hyperlänken 19 2" xfId="3365" xr:uid="{00000000-0005-0000-0000-0000BF440000}"/>
    <cellStyle name="Följde hyperlänken 19 3" xfId="3366" xr:uid="{00000000-0005-0000-0000-0000C0440000}"/>
    <cellStyle name="Följde hyperlänken 19 4" xfId="3367" xr:uid="{00000000-0005-0000-0000-0000C1440000}"/>
    <cellStyle name="Följde hyperlänken 19_060617_hinnat" xfId="24891" xr:uid="{00000000-0005-0000-0000-0000C2440000}"/>
    <cellStyle name="Följde hyperlänken 2" xfId="3368" xr:uid="{00000000-0005-0000-0000-0000C3440000}"/>
    <cellStyle name="Följde hyperlänken 2 2" xfId="3369" xr:uid="{00000000-0005-0000-0000-0000C4440000}"/>
    <cellStyle name="Följde hyperlänken 2 3" xfId="3370" xr:uid="{00000000-0005-0000-0000-0000C5440000}"/>
    <cellStyle name="Följde hyperlänken 2 4" xfId="3371" xr:uid="{00000000-0005-0000-0000-0000C6440000}"/>
    <cellStyle name="Följde hyperlänken 2_060617_hinnat" xfId="24892" xr:uid="{00000000-0005-0000-0000-0000C7440000}"/>
    <cellStyle name="Följde hyperlänken 20" xfId="3372" xr:uid="{00000000-0005-0000-0000-0000C8440000}"/>
    <cellStyle name="Följde hyperlänken 20 2" xfId="3373" xr:uid="{00000000-0005-0000-0000-0000C9440000}"/>
    <cellStyle name="Följde hyperlänken 20 3" xfId="3374" xr:uid="{00000000-0005-0000-0000-0000CA440000}"/>
    <cellStyle name="Följde hyperlänken 20 4" xfId="3375" xr:uid="{00000000-0005-0000-0000-0000CB440000}"/>
    <cellStyle name="Följde hyperlänken 20_060617_hinnat" xfId="24893" xr:uid="{00000000-0005-0000-0000-0000CC440000}"/>
    <cellStyle name="Följde hyperlänken 21" xfId="3376" xr:uid="{00000000-0005-0000-0000-0000CD440000}"/>
    <cellStyle name="Följde hyperlänken 21 2" xfId="3377" xr:uid="{00000000-0005-0000-0000-0000CE440000}"/>
    <cellStyle name="Följde hyperlänken 21 3" xfId="3378" xr:uid="{00000000-0005-0000-0000-0000CF440000}"/>
    <cellStyle name="Följde hyperlänken 21 4" xfId="3379" xr:uid="{00000000-0005-0000-0000-0000D0440000}"/>
    <cellStyle name="Följde hyperlänken 21_060617_hinnat" xfId="24894" xr:uid="{00000000-0005-0000-0000-0000D1440000}"/>
    <cellStyle name="Följde hyperlänken 22" xfId="3380" xr:uid="{00000000-0005-0000-0000-0000D2440000}"/>
    <cellStyle name="Följde hyperlänken 22 2" xfId="3381" xr:uid="{00000000-0005-0000-0000-0000D3440000}"/>
    <cellStyle name="Följde hyperlänken 22 3" xfId="3382" xr:uid="{00000000-0005-0000-0000-0000D4440000}"/>
    <cellStyle name="Följde hyperlänken 22 4" xfId="3383" xr:uid="{00000000-0005-0000-0000-0000D5440000}"/>
    <cellStyle name="Följde hyperlänken 22_060617_hinnat" xfId="24895" xr:uid="{00000000-0005-0000-0000-0000D6440000}"/>
    <cellStyle name="Följde hyperlänken 23" xfId="3384" xr:uid="{00000000-0005-0000-0000-0000D7440000}"/>
    <cellStyle name="Följde hyperlänken 23 2" xfId="3385" xr:uid="{00000000-0005-0000-0000-0000D8440000}"/>
    <cellStyle name="Följde hyperlänken 23 3" xfId="3386" xr:uid="{00000000-0005-0000-0000-0000D9440000}"/>
    <cellStyle name="Följde hyperlänken 23 4" xfId="3387" xr:uid="{00000000-0005-0000-0000-0000DA440000}"/>
    <cellStyle name="Följde hyperlänken 23_060617_hinnat" xfId="24896" xr:uid="{00000000-0005-0000-0000-0000DB440000}"/>
    <cellStyle name="Följde hyperlänken 24" xfId="3388" xr:uid="{00000000-0005-0000-0000-0000DC440000}"/>
    <cellStyle name="Följde hyperlänken 24 2" xfId="3389" xr:uid="{00000000-0005-0000-0000-0000DD440000}"/>
    <cellStyle name="Följde hyperlänken 24 3" xfId="3390" xr:uid="{00000000-0005-0000-0000-0000DE440000}"/>
    <cellStyle name="Följde hyperlänken 24 4" xfId="3391" xr:uid="{00000000-0005-0000-0000-0000DF440000}"/>
    <cellStyle name="Följde hyperlänken 24_060617_hinnat" xfId="24897" xr:uid="{00000000-0005-0000-0000-0000E0440000}"/>
    <cellStyle name="Följde hyperlänken 25" xfId="3392" xr:uid="{00000000-0005-0000-0000-0000E1440000}"/>
    <cellStyle name="Följde hyperlänken 25 2" xfId="3393" xr:uid="{00000000-0005-0000-0000-0000E2440000}"/>
    <cellStyle name="Följde hyperlänken 25 3" xfId="3394" xr:uid="{00000000-0005-0000-0000-0000E3440000}"/>
    <cellStyle name="Följde hyperlänken 25 4" xfId="3395" xr:uid="{00000000-0005-0000-0000-0000E4440000}"/>
    <cellStyle name="Följde hyperlänken 25_060617_hinnat" xfId="24898" xr:uid="{00000000-0005-0000-0000-0000E5440000}"/>
    <cellStyle name="Följde hyperlänken 26" xfId="3396" xr:uid="{00000000-0005-0000-0000-0000E6440000}"/>
    <cellStyle name="Följde hyperlänken 26 2" xfId="3397" xr:uid="{00000000-0005-0000-0000-0000E7440000}"/>
    <cellStyle name="Följde hyperlänken 26 3" xfId="3398" xr:uid="{00000000-0005-0000-0000-0000E8440000}"/>
    <cellStyle name="Följde hyperlänken 26 4" xfId="3399" xr:uid="{00000000-0005-0000-0000-0000E9440000}"/>
    <cellStyle name="Följde hyperlänken 26_060617_hinnat" xfId="24899" xr:uid="{00000000-0005-0000-0000-0000EA440000}"/>
    <cellStyle name="Följde hyperlänken 27" xfId="3400" xr:uid="{00000000-0005-0000-0000-0000EB440000}"/>
    <cellStyle name="Följde hyperlänken 27 2" xfId="3401" xr:uid="{00000000-0005-0000-0000-0000EC440000}"/>
    <cellStyle name="Följde hyperlänken 27 3" xfId="3402" xr:uid="{00000000-0005-0000-0000-0000ED440000}"/>
    <cellStyle name="Följde hyperlänken 27 4" xfId="3403" xr:uid="{00000000-0005-0000-0000-0000EE440000}"/>
    <cellStyle name="Följde hyperlänken 27_060617_hinnat" xfId="24900" xr:uid="{00000000-0005-0000-0000-0000EF440000}"/>
    <cellStyle name="Följde hyperlänken 28" xfId="3404" xr:uid="{00000000-0005-0000-0000-0000F0440000}"/>
    <cellStyle name="Följde hyperlänken 28 2" xfId="3405" xr:uid="{00000000-0005-0000-0000-0000F1440000}"/>
    <cellStyle name="Följde hyperlänken 28 3" xfId="3406" xr:uid="{00000000-0005-0000-0000-0000F2440000}"/>
    <cellStyle name="Följde hyperlänken 28 4" xfId="3407" xr:uid="{00000000-0005-0000-0000-0000F3440000}"/>
    <cellStyle name="Följde hyperlänken 28_060617_hinnat" xfId="24901" xr:uid="{00000000-0005-0000-0000-0000F4440000}"/>
    <cellStyle name="Följde hyperlänken 29" xfId="3408" xr:uid="{00000000-0005-0000-0000-0000F5440000}"/>
    <cellStyle name="Följde hyperlänken 29 2" xfId="3409" xr:uid="{00000000-0005-0000-0000-0000F6440000}"/>
    <cellStyle name="Följde hyperlänken 29 3" xfId="3410" xr:uid="{00000000-0005-0000-0000-0000F7440000}"/>
    <cellStyle name="Följde hyperlänken 29 4" xfId="3411" xr:uid="{00000000-0005-0000-0000-0000F8440000}"/>
    <cellStyle name="Följde hyperlänken 29_060617_hinnat" xfId="24902" xr:uid="{00000000-0005-0000-0000-0000F9440000}"/>
    <cellStyle name="Följde hyperlänken 3" xfId="3412" xr:uid="{00000000-0005-0000-0000-0000FA440000}"/>
    <cellStyle name="Följde hyperlänken 3 2" xfId="3413" xr:uid="{00000000-0005-0000-0000-0000FB440000}"/>
    <cellStyle name="Följde hyperlänken 3 3" xfId="3414" xr:uid="{00000000-0005-0000-0000-0000FC440000}"/>
    <cellStyle name="Följde hyperlänken 3 4" xfId="3415" xr:uid="{00000000-0005-0000-0000-0000FD440000}"/>
    <cellStyle name="Följde hyperlänken 3_060617_hinnat" xfId="24903" xr:uid="{00000000-0005-0000-0000-0000FE440000}"/>
    <cellStyle name="Följde hyperlänken 30" xfId="3416" xr:uid="{00000000-0005-0000-0000-0000FF440000}"/>
    <cellStyle name="Följde hyperlänken 30 2" xfId="3417" xr:uid="{00000000-0005-0000-0000-000000450000}"/>
    <cellStyle name="Följde hyperlänken 30 3" xfId="3418" xr:uid="{00000000-0005-0000-0000-000001450000}"/>
    <cellStyle name="Följde hyperlänken 30 4" xfId="3419" xr:uid="{00000000-0005-0000-0000-000002450000}"/>
    <cellStyle name="Följde hyperlänken 30_060617_hinnat" xfId="24904" xr:uid="{00000000-0005-0000-0000-000003450000}"/>
    <cellStyle name="Följde hyperlänken 31" xfId="3420" xr:uid="{00000000-0005-0000-0000-000004450000}"/>
    <cellStyle name="Följde hyperlänken 31 2" xfId="3421" xr:uid="{00000000-0005-0000-0000-000005450000}"/>
    <cellStyle name="Följde hyperlänken 31 3" xfId="3422" xr:uid="{00000000-0005-0000-0000-000006450000}"/>
    <cellStyle name="Följde hyperlänken 31 4" xfId="3423" xr:uid="{00000000-0005-0000-0000-000007450000}"/>
    <cellStyle name="Följde hyperlänken 31_060617_hinnat" xfId="24905" xr:uid="{00000000-0005-0000-0000-000008450000}"/>
    <cellStyle name="Följde hyperlänken 32" xfId="3424" xr:uid="{00000000-0005-0000-0000-000009450000}"/>
    <cellStyle name="Följde hyperlänken 32 2" xfId="3425" xr:uid="{00000000-0005-0000-0000-00000A450000}"/>
    <cellStyle name="Följde hyperlänken 32 3" xfId="3426" xr:uid="{00000000-0005-0000-0000-00000B450000}"/>
    <cellStyle name="Följde hyperlänken 32 4" xfId="3427" xr:uid="{00000000-0005-0000-0000-00000C450000}"/>
    <cellStyle name="Följde hyperlänken 32_060617_hinnat" xfId="24906" xr:uid="{00000000-0005-0000-0000-00000D450000}"/>
    <cellStyle name="Följde hyperlänken 33" xfId="3428" xr:uid="{00000000-0005-0000-0000-00000E450000}"/>
    <cellStyle name="Följde hyperlänken 33 2" xfId="3429" xr:uid="{00000000-0005-0000-0000-00000F450000}"/>
    <cellStyle name="Följde hyperlänken 33 3" xfId="3430" xr:uid="{00000000-0005-0000-0000-000010450000}"/>
    <cellStyle name="Följde hyperlänken 33 4" xfId="3431" xr:uid="{00000000-0005-0000-0000-000011450000}"/>
    <cellStyle name="Följde hyperlänken 33_060617_hinnat" xfId="24907" xr:uid="{00000000-0005-0000-0000-000012450000}"/>
    <cellStyle name="Följde hyperlänken 34" xfId="3432" xr:uid="{00000000-0005-0000-0000-000013450000}"/>
    <cellStyle name="Följde hyperlänken 34 2" xfId="3433" xr:uid="{00000000-0005-0000-0000-000014450000}"/>
    <cellStyle name="Följde hyperlänken 34 3" xfId="3434" xr:uid="{00000000-0005-0000-0000-000015450000}"/>
    <cellStyle name="Följde hyperlänken 34 4" xfId="3435" xr:uid="{00000000-0005-0000-0000-000016450000}"/>
    <cellStyle name="Följde hyperlänken 34_060617_hinnat" xfId="24908" xr:uid="{00000000-0005-0000-0000-000017450000}"/>
    <cellStyle name="Följde hyperlänken 35" xfId="3436" xr:uid="{00000000-0005-0000-0000-000018450000}"/>
    <cellStyle name="Följde hyperlänken 35 2" xfId="3437" xr:uid="{00000000-0005-0000-0000-000019450000}"/>
    <cellStyle name="Följde hyperlänken 35 3" xfId="3438" xr:uid="{00000000-0005-0000-0000-00001A450000}"/>
    <cellStyle name="Följde hyperlänken 35 4" xfId="3439" xr:uid="{00000000-0005-0000-0000-00001B450000}"/>
    <cellStyle name="Följde hyperlänken 35_060617_hinnat" xfId="24909" xr:uid="{00000000-0005-0000-0000-00001C450000}"/>
    <cellStyle name="Följde hyperlänken 36" xfId="3440" xr:uid="{00000000-0005-0000-0000-00001D450000}"/>
    <cellStyle name="Följde hyperlänken 36 2" xfId="3441" xr:uid="{00000000-0005-0000-0000-00001E450000}"/>
    <cellStyle name="Följde hyperlänken 36 3" xfId="3442" xr:uid="{00000000-0005-0000-0000-00001F450000}"/>
    <cellStyle name="Följde hyperlänken 36 4" xfId="3443" xr:uid="{00000000-0005-0000-0000-000020450000}"/>
    <cellStyle name="Följde hyperlänken 36_060617_hinnat" xfId="24911" xr:uid="{00000000-0005-0000-0000-000021450000}"/>
    <cellStyle name="Följde hyperlänken 37" xfId="3444" xr:uid="{00000000-0005-0000-0000-000022450000}"/>
    <cellStyle name="Följde hyperlänken 37 2" xfId="3445" xr:uid="{00000000-0005-0000-0000-000023450000}"/>
    <cellStyle name="Följde hyperlänken 37 3" xfId="3446" xr:uid="{00000000-0005-0000-0000-000024450000}"/>
    <cellStyle name="Följde hyperlänken 37 4" xfId="3447" xr:uid="{00000000-0005-0000-0000-000025450000}"/>
    <cellStyle name="Följde hyperlänken 37_060617_hinnat" xfId="24913" xr:uid="{00000000-0005-0000-0000-000026450000}"/>
    <cellStyle name="Följde hyperlänken 38" xfId="3448" xr:uid="{00000000-0005-0000-0000-000027450000}"/>
    <cellStyle name="Följde hyperlänken 38 2" xfId="3449" xr:uid="{00000000-0005-0000-0000-000028450000}"/>
    <cellStyle name="Följde hyperlänken 38 3" xfId="3450" xr:uid="{00000000-0005-0000-0000-000029450000}"/>
    <cellStyle name="Följde hyperlänken 38 4" xfId="3451" xr:uid="{00000000-0005-0000-0000-00002A450000}"/>
    <cellStyle name="Följde hyperlänken 38_060617_hinnat" xfId="24914" xr:uid="{00000000-0005-0000-0000-00002B450000}"/>
    <cellStyle name="Följde hyperlänken 39" xfId="3452" xr:uid="{00000000-0005-0000-0000-00002C450000}"/>
    <cellStyle name="Följde hyperlänken 39 2" xfId="3453" xr:uid="{00000000-0005-0000-0000-00002D450000}"/>
    <cellStyle name="Följde hyperlänken 39 3" xfId="3454" xr:uid="{00000000-0005-0000-0000-00002E450000}"/>
    <cellStyle name="Följde hyperlänken 39 4" xfId="3455" xr:uid="{00000000-0005-0000-0000-00002F450000}"/>
    <cellStyle name="Följde hyperlänken 39_060617_hinnat" xfId="24915" xr:uid="{00000000-0005-0000-0000-000030450000}"/>
    <cellStyle name="Följde hyperlänken 4" xfId="3456" xr:uid="{00000000-0005-0000-0000-000031450000}"/>
    <cellStyle name="Följde hyperlänken 4 2" xfId="3457" xr:uid="{00000000-0005-0000-0000-000032450000}"/>
    <cellStyle name="Följde hyperlänken 4 3" xfId="3458" xr:uid="{00000000-0005-0000-0000-000033450000}"/>
    <cellStyle name="Följde hyperlänken 4 4" xfId="3459" xr:uid="{00000000-0005-0000-0000-000034450000}"/>
    <cellStyle name="Följde hyperlänken 4_060617_hinnat" xfId="24916" xr:uid="{00000000-0005-0000-0000-000035450000}"/>
    <cellStyle name="Följde hyperlänken 40" xfId="3460" xr:uid="{00000000-0005-0000-0000-000036450000}"/>
    <cellStyle name="Följde hyperlänken 40 2" xfId="3461" xr:uid="{00000000-0005-0000-0000-000037450000}"/>
    <cellStyle name="Följde hyperlänken 40 3" xfId="3462" xr:uid="{00000000-0005-0000-0000-000038450000}"/>
    <cellStyle name="Följde hyperlänken 40 4" xfId="3463" xr:uid="{00000000-0005-0000-0000-000039450000}"/>
    <cellStyle name="Följde hyperlänken 40_060617_hinnat" xfId="24917" xr:uid="{00000000-0005-0000-0000-00003A450000}"/>
    <cellStyle name="Följde hyperlänken 41" xfId="3464" xr:uid="{00000000-0005-0000-0000-00003B450000}"/>
    <cellStyle name="Följde hyperlänken 41 2" xfId="3465" xr:uid="{00000000-0005-0000-0000-00003C450000}"/>
    <cellStyle name="Följde hyperlänken 41 3" xfId="3466" xr:uid="{00000000-0005-0000-0000-00003D450000}"/>
    <cellStyle name="Följde hyperlänken 41 4" xfId="3467" xr:uid="{00000000-0005-0000-0000-00003E450000}"/>
    <cellStyle name="Följde hyperlänken 41 4 2" xfId="8648" xr:uid="{00000000-0005-0000-0000-00003F450000}"/>
    <cellStyle name="Följde hyperlänken 41 4 3" xfId="16819" xr:uid="{00000000-0005-0000-0000-000040450000}"/>
    <cellStyle name="Följde hyperlänken 41 4_DataIX" xfId="31900" xr:uid="{00000000-0005-0000-0000-000041450000}"/>
    <cellStyle name="Följde hyperlänken 41_060617_hinnat" xfId="24918" xr:uid="{00000000-0005-0000-0000-000042450000}"/>
    <cellStyle name="Följde hyperlänken 42" xfId="3468" xr:uid="{00000000-0005-0000-0000-000043450000}"/>
    <cellStyle name="Följde hyperlänken 42 2" xfId="3469" xr:uid="{00000000-0005-0000-0000-000044450000}"/>
    <cellStyle name="Följde hyperlänken 42 2 2" xfId="8650" xr:uid="{00000000-0005-0000-0000-000045450000}"/>
    <cellStyle name="Följde hyperlänken 42 2 3" xfId="16821" xr:uid="{00000000-0005-0000-0000-000046450000}"/>
    <cellStyle name="Följde hyperlänken 42 2_DataIX" xfId="31902" xr:uid="{00000000-0005-0000-0000-000047450000}"/>
    <cellStyle name="Följde hyperlänken 42 3" xfId="3470" xr:uid="{00000000-0005-0000-0000-000048450000}"/>
    <cellStyle name="Följde hyperlänken 42 3 2" xfId="8651" xr:uid="{00000000-0005-0000-0000-000049450000}"/>
    <cellStyle name="Följde hyperlänken 42 3 3" xfId="16822" xr:uid="{00000000-0005-0000-0000-00004A450000}"/>
    <cellStyle name="Följde hyperlänken 42 3_DataIX" xfId="31903" xr:uid="{00000000-0005-0000-0000-00004B450000}"/>
    <cellStyle name="Följde hyperlänken 42 4" xfId="3471" xr:uid="{00000000-0005-0000-0000-00004C450000}"/>
    <cellStyle name="Följde hyperlänken 42 4 2" xfId="8652" xr:uid="{00000000-0005-0000-0000-00004D450000}"/>
    <cellStyle name="Följde hyperlänken 42 4 3" xfId="16823" xr:uid="{00000000-0005-0000-0000-00004E450000}"/>
    <cellStyle name="Följde hyperlänken 42 4_DataIX" xfId="31904" xr:uid="{00000000-0005-0000-0000-00004F450000}"/>
    <cellStyle name="Följde hyperlänken 42 5" xfId="8649" xr:uid="{00000000-0005-0000-0000-000050450000}"/>
    <cellStyle name="Följde hyperlänken 42 6" xfId="16820" xr:uid="{00000000-0005-0000-0000-000051450000}"/>
    <cellStyle name="Följde hyperlänken 42_DataIX" xfId="31901" xr:uid="{00000000-0005-0000-0000-000052450000}"/>
    <cellStyle name="Följde hyperlänken 43" xfId="3472" xr:uid="{00000000-0005-0000-0000-000053450000}"/>
    <cellStyle name="Följde hyperlänken 43 2" xfId="3473" xr:uid="{00000000-0005-0000-0000-000054450000}"/>
    <cellStyle name="Följde hyperlänken 43 2 2" xfId="8654" xr:uid="{00000000-0005-0000-0000-000055450000}"/>
    <cellStyle name="Följde hyperlänken 43 2 3" xfId="16825" xr:uid="{00000000-0005-0000-0000-000056450000}"/>
    <cellStyle name="Följde hyperlänken 43 2_DataIX" xfId="31906" xr:uid="{00000000-0005-0000-0000-000057450000}"/>
    <cellStyle name="Följde hyperlänken 43 3" xfId="3474" xr:uid="{00000000-0005-0000-0000-000058450000}"/>
    <cellStyle name="Följde hyperlänken 43 3 2" xfId="8655" xr:uid="{00000000-0005-0000-0000-000059450000}"/>
    <cellStyle name="Följde hyperlänken 43 3 3" xfId="16826" xr:uid="{00000000-0005-0000-0000-00005A450000}"/>
    <cellStyle name="Följde hyperlänken 43 3_DataIX" xfId="31907" xr:uid="{00000000-0005-0000-0000-00005B450000}"/>
    <cellStyle name="Följde hyperlänken 43 4" xfId="3475" xr:uid="{00000000-0005-0000-0000-00005C450000}"/>
    <cellStyle name="Följde hyperlänken 43 4 2" xfId="8656" xr:uid="{00000000-0005-0000-0000-00005D450000}"/>
    <cellStyle name="Följde hyperlänken 43 4 3" xfId="16827" xr:uid="{00000000-0005-0000-0000-00005E450000}"/>
    <cellStyle name="Följde hyperlänken 43 4_DataIX" xfId="31908" xr:uid="{00000000-0005-0000-0000-00005F450000}"/>
    <cellStyle name="Följde hyperlänken 43 5" xfId="8653" xr:uid="{00000000-0005-0000-0000-000060450000}"/>
    <cellStyle name="Följde hyperlänken 43 6" xfId="16824" xr:uid="{00000000-0005-0000-0000-000061450000}"/>
    <cellStyle name="Följde hyperlänken 43_DataIX" xfId="31905" xr:uid="{00000000-0005-0000-0000-000062450000}"/>
    <cellStyle name="Följde hyperlänken 44" xfId="3476" xr:uid="{00000000-0005-0000-0000-000063450000}"/>
    <cellStyle name="Följde hyperlänken 44 2" xfId="3477" xr:uid="{00000000-0005-0000-0000-000064450000}"/>
    <cellStyle name="Följde hyperlänken 44 2 2" xfId="8658" xr:uid="{00000000-0005-0000-0000-000065450000}"/>
    <cellStyle name="Följde hyperlänken 44 2 3" xfId="16829" xr:uid="{00000000-0005-0000-0000-000066450000}"/>
    <cellStyle name="Följde hyperlänken 44 2_DataIX" xfId="31910" xr:uid="{00000000-0005-0000-0000-000067450000}"/>
    <cellStyle name="Följde hyperlänken 44 3" xfId="3478" xr:uid="{00000000-0005-0000-0000-000068450000}"/>
    <cellStyle name="Följde hyperlänken 44 3 2" xfId="8659" xr:uid="{00000000-0005-0000-0000-000069450000}"/>
    <cellStyle name="Följde hyperlänken 44 3 3" xfId="16830" xr:uid="{00000000-0005-0000-0000-00006A450000}"/>
    <cellStyle name="Följde hyperlänken 44 3_DataIX" xfId="31911" xr:uid="{00000000-0005-0000-0000-00006B450000}"/>
    <cellStyle name="Följde hyperlänken 44 4" xfId="3479" xr:uid="{00000000-0005-0000-0000-00006C450000}"/>
    <cellStyle name="Följde hyperlänken 44 4 2" xfId="8660" xr:uid="{00000000-0005-0000-0000-00006D450000}"/>
    <cellStyle name="Följde hyperlänken 44 4 3" xfId="16831" xr:uid="{00000000-0005-0000-0000-00006E450000}"/>
    <cellStyle name="Följde hyperlänken 44 4_DataIX" xfId="31912" xr:uid="{00000000-0005-0000-0000-00006F450000}"/>
    <cellStyle name="Följde hyperlänken 44 5" xfId="8657" xr:uid="{00000000-0005-0000-0000-000070450000}"/>
    <cellStyle name="Följde hyperlänken 44 6" xfId="16828" xr:uid="{00000000-0005-0000-0000-000071450000}"/>
    <cellStyle name="Följde hyperlänken 44_DataIX" xfId="31909" xr:uid="{00000000-0005-0000-0000-000072450000}"/>
    <cellStyle name="Följde hyperlänken 45" xfId="3480" xr:uid="{00000000-0005-0000-0000-000073450000}"/>
    <cellStyle name="Följde hyperlänken 45 2" xfId="3481" xr:uid="{00000000-0005-0000-0000-000074450000}"/>
    <cellStyle name="Följde hyperlänken 45 2 2" xfId="8662" xr:uid="{00000000-0005-0000-0000-000075450000}"/>
    <cellStyle name="Följde hyperlänken 45 2 3" xfId="16833" xr:uid="{00000000-0005-0000-0000-000076450000}"/>
    <cellStyle name="Följde hyperlänken 45 2_DataIX" xfId="31914" xr:uid="{00000000-0005-0000-0000-000077450000}"/>
    <cellStyle name="Följde hyperlänken 45 3" xfId="3482" xr:uid="{00000000-0005-0000-0000-000078450000}"/>
    <cellStyle name="Följde hyperlänken 45 3 2" xfId="8663" xr:uid="{00000000-0005-0000-0000-000079450000}"/>
    <cellStyle name="Följde hyperlänken 45 3 3" xfId="16834" xr:uid="{00000000-0005-0000-0000-00007A450000}"/>
    <cellStyle name="Följde hyperlänken 45 3_DataIX" xfId="31915" xr:uid="{00000000-0005-0000-0000-00007B450000}"/>
    <cellStyle name="Följde hyperlänken 45 4" xfId="3483" xr:uid="{00000000-0005-0000-0000-00007C450000}"/>
    <cellStyle name="Följde hyperlänken 45 4 2" xfId="8664" xr:uid="{00000000-0005-0000-0000-00007D450000}"/>
    <cellStyle name="Följde hyperlänken 45 4 3" xfId="16835" xr:uid="{00000000-0005-0000-0000-00007E450000}"/>
    <cellStyle name="Följde hyperlänken 45 4_DataIX" xfId="31916" xr:uid="{00000000-0005-0000-0000-00007F450000}"/>
    <cellStyle name="Följde hyperlänken 45 5" xfId="8661" xr:uid="{00000000-0005-0000-0000-000080450000}"/>
    <cellStyle name="Följde hyperlänken 45 6" xfId="16832" xr:uid="{00000000-0005-0000-0000-000081450000}"/>
    <cellStyle name="Följde hyperlänken 45_DataIX" xfId="31913" xr:uid="{00000000-0005-0000-0000-000082450000}"/>
    <cellStyle name="Följde hyperlänken 46" xfId="3484" xr:uid="{00000000-0005-0000-0000-000083450000}"/>
    <cellStyle name="Följde hyperlänken 46 2" xfId="3485" xr:uid="{00000000-0005-0000-0000-000084450000}"/>
    <cellStyle name="Följde hyperlänken 46 2 2" xfId="8666" xr:uid="{00000000-0005-0000-0000-000085450000}"/>
    <cellStyle name="Följde hyperlänken 46 2 3" xfId="16837" xr:uid="{00000000-0005-0000-0000-000086450000}"/>
    <cellStyle name="Följde hyperlänken 46 2_DataIX" xfId="31918" xr:uid="{00000000-0005-0000-0000-000087450000}"/>
    <cellStyle name="Följde hyperlänken 46 3" xfId="3486" xr:uid="{00000000-0005-0000-0000-000088450000}"/>
    <cellStyle name="Följde hyperlänken 46 3 2" xfId="8667" xr:uid="{00000000-0005-0000-0000-000089450000}"/>
    <cellStyle name="Följde hyperlänken 46 3 3" xfId="16838" xr:uid="{00000000-0005-0000-0000-00008A450000}"/>
    <cellStyle name="Följde hyperlänken 46 3_DataIX" xfId="31919" xr:uid="{00000000-0005-0000-0000-00008B450000}"/>
    <cellStyle name="Följde hyperlänken 46 4" xfId="3487" xr:uid="{00000000-0005-0000-0000-00008C450000}"/>
    <cellStyle name="Följde hyperlänken 46 4 2" xfId="8668" xr:uid="{00000000-0005-0000-0000-00008D450000}"/>
    <cellStyle name="Följde hyperlänken 46 4 3" xfId="16839" xr:uid="{00000000-0005-0000-0000-00008E450000}"/>
    <cellStyle name="Följde hyperlänken 46 4_DataIX" xfId="31920" xr:uid="{00000000-0005-0000-0000-00008F450000}"/>
    <cellStyle name="Följde hyperlänken 46 5" xfId="8665" xr:uid="{00000000-0005-0000-0000-000090450000}"/>
    <cellStyle name="Följde hyperlänken 46 6" xfId="16836" xr:uid="{00000000-0005-0000-0000-000091450000}"/>
    <cellStyle name="Följde hyperlänken 46_DataIX" xfId="31917" xr:uid="{00000000-0005-0000-0000-000092450000}"/>
    <cellStyle name="Följde hyperlänken 47" xfId="3488" xr:uid="{00000000-0005-0000-0000-000093450000}"/>
    <cellStyle name="Följde hyperlänken 47 2" xfId="3489" xr:uid="{00000000-0005-0000-0000-000094450000}"/>
    <cellStyle name="Följde hyperlänken 47 2 2" xfId="8670" xr:uid="{00000000-0005-0000-0000-000095450000}"/>
    <cellStyle name="Följde hyperlänken 47 2 3" xfId="16841" xr:uid="{00000000-0005-0000-0000-000096450000}"/>
    <cellStyle name="Följde hyperlänken 47 2_DataIX" xfId="31922" xr:uid="{00000000-0005-0000-0000-000097450000}"/>
    <cellStyle name="Följde hyperlänken 47 3" xfId="3490" xr:uid="{00000000-0005-0000-0000-000098450000}"/>
    <cellStyle name="Följde hyperlänken 47 3 2" xfId="8671" xr:uid="{00000000-0005-0000-0000-000099450000}"/>
    <cellStyle name="Följde hyperlänken 47 3 3" xfId="16842" xr:uid="{00000000-0005-0000-0000-00009A450000}"/>
    <cellStyle name="Följde hyperlänken 47 3_DataIX" xfId="31923" xr:uid="{00000000-0005-0000-0000-00009B450000}"/>
    <cellStyle name="Följde hyperlänken 47 4" xfId="3491" xr:uid="{00000000-0005-0000-0000-00009C450000}"/>
    <cellStyle name="Följde hyperlänken 47 4 2" xfId="8672" xr:uid="{00000000-0005-0000-0000-00009D450000}"/>
    <cellStyle name="Följde hyperlänken 47 4 3" xfId="16843" xr:uid="{00000000-0005-0000-0000-00009E450000}"/>
    <cellStyle name="Följde hyperlänken 47 4_DataIX" xfId="31924" xr:uid="{00000000-0005-0000-0000-00009F450000}"/>
    <cellStyle name="Följde hyperlänken 47 5" xfId="8669" xr:uid="{00000000-0005-0000-0000-0000A0450000}"/>
    <cellStyle name="Följde hyperlänken 47 6" xfId="16840" xr:uid="{00000000-0005-0000-0000-0000A1450000}"/>
    <cellStyle name="Följde hyperlänken 47_DataIX" xfId="31921" xr:uid="{00000000-0005-0000-0000-0000A2450000}"/>
    <cellStyle name="Följde hyperlänken 48" xfId="3492" xr:uid="{00000000-0005-0000-0000-0000A3450000}"/>
    <cellStyle name="Följde hyperlänken 48 2" xfId="3493" xr:uid="{00000000-0005-0000-0000-0000A4450000}"/>
    <cellStyle name="Följde hyperlänken 48 2 2" xfId="8674" xr:uid="{00000000-0005-0000-0000-0000A5450000}"/>
    <cellStyle name="Följde hyperlänken 48 2 3" xfId="16845" xr:uid="{00000000-0005-0000-0000-0000A6450000}"/>
    <cellStyle name="Följde hyperlänken 48 2_DataIX" xfId="31926" xr:uid="{00000000-0005-0000-0000-0000A7450000}"/>
    <cellStyle name="Följde hyperlänken 48 3" xfId="3494" xr:uid="{00000000-0005-0000-0000-0000A8450000}"/>
    <cellStyle name="Följde hyperlänken 48 3 2" xfId="8675" xr:uid="{00000000-0005-0000-0000-0000A9450000}"/>
    <cellStyle name="Följde hyperlänken 48 3 3" xfId="16846" xr:uid="{00000000-0005-0000-0000-0000AA450000}"/>
    <cellStyle name="Följde hyperlänken 48 3_DataIX" xfId="31927" xr:uid="{00000000-0005-0000-0000-0000AB450000}"/>
    <cellStyle name="Följde hyperlänken 48 4" xfId="3495" xr:uid="{00000000-0005-0000-0000-0000AC450000}"/>
    <cellStyle name="Följde hyperlänken 48 4 2" xfId="8676" xr:uid="{00000000-0005-0000-0000-0000AD450000}"/>
    <cellStyle name="Följde hyperlänken 48 4 3" xfId="16847" xr:uid="{00000000-0005-0000-0000-0000AE450000}"/>
    <cellStyle name="Följde hyperlänken 48 4_DataIX" xfId="31928" xr:uid="{00000000-0005-0000-0000-0000AF450000}"/>
    <cellStyle name="Följde hyperlänken 48 5" xfId="8673" xr:uid="{00000000-0005-0000-0000-0000B0450000}"/>
    <cellStyle name="Följde hyperlänken 48 6" xfId="16844" xr:uid="{00000000-0005-0000-0000-0000B1450000}"/>
    <cellStyle name="Följde hyperlänken 48_DataIX" xfId="31925" xr:uid="{00000000-0005-0000-0000-0000B2450000}"/>
    <cellStyle name="Följde hyperlänken 49" xfId="3496" xr:uid="{00000000-0005-0000-0000-0000B3450000}"/>
    <cellStyle name="Följde hyperlänken 49 2" xfId="3497" xr:uid="{00000000-0005-0000-0000-0000B4450000}"/>
    <cellStyle name="Följde hyperlänken 49 2 2" xfId="8678" xr:uid="{00000000-0005-0000-0000-0000B5450000}"/>
    <cellStyle name="Följde hyperlänken 49 2 3" xfId="16849" xr:uid="{00000000-0005-0000-0000-0000B6450000}"/>
    <cellStyle name="Följde hyperlänken 49 2_DataIX" xfId="31930" xr:uid="{00000000-0005-0000-0000-0000B7450000}"/>
    <cellStyle name="Följde hyperlänken 49 3" xfId="3498" xr:uid="{00000000-0005-0000-0000-0000B8450000}"/>
    <cellStyle name="Följde hyperlänken 49 3 2" xfId="8679" xr:uid="{00000000-0005-0000-0000-0000B9450000}"/>
    <cellStyle name="Följde hyperlänken 49 3 3" xfId="16850" xr:uid="{00000000-0005-0000-0000-0000BA450000}"/>
    <cellStyle name="Följde hyperlänken 49 3_DataIX" xfId="31931" xr:uid="{00000000-0005-0000-0000-0000BB450000}"/>
    <cellStyle name="Följde hyperlänken 49 4" xfId="3499" xr:uid="{00000000-0005-0000-0000-0000BC450000}"/>
    <cellStyle name="Följde hyperlänken 49 4 2" xfId="8680" xr:uid="{00000000-0005-0000-0000-0000BD450000}"/>
    <cellStyle name="Följde hyperlänken 49 4 3" xfId="16851" xr:uid="{00000000-0005-0000-0000-0000BE450000}"/>
    <cellStyle name="Följde hyperlänken 49 4_DataIX" xfId="31932" xr:uid="{00000000-0005-0000-0000-0000BF450000}"/>
    <cellStyle name="Följde hyperlänken 49 5" xfId="8677" xr:uid="{00000000-0005-0000-0000-0000C0450000}"/>
    <cellStyle name="Följde hyperlänken 49 6" xfId="16848" xr:uid="{00000000-0005-0000-0000-0000C1450000}"/>
    <cellStyle name="Följde hyperlänken 49_DataIX" xfId="31929" xr:uid="{00000000-0005-0000-0000-0000C2450000}"/>
    <cellStyle name="Följde hyperlänken 5" xfId="3500" xr:uid="{00000000-0005-0000-0000-0000C3450000}"/>
    <cellStyle name="Följde hyperlänken 5 2" xfId="3501" xr:uid="{00000000-0005-0000-0000-0000C4450000}"/>
    <cellStyle name="Följde hyperlänken 5 2 2" xfId="8682" xr:uid="{00000000-0005-0000-0000-0000C5450000}"/>
    <cellStyle name="Följde hyperlänken 5 2 3" xfId="16853" xr:uid="{00000000-0005-0000-0000-0000C6450000}"/>
    <cellStyle name="Följde hyperlänken 5 2_DataIX" xfId="31934" xr:uid="{00000000-0005-0000-0000-0000C7450000}"/>
    <cellStyle name="Följde hyperlänken 5 3" xfId="3502" xr:uid="{00000000-0005-0000-0000-0000C8450000}"/>
    <cellStyle name="Följde hyperlänken 5 3 2" xfId="8683" xr:uid="{00000000-0005-0000-0000-0000C9450000}"/>
    <cellStyle name="Följde hyperlänken 5 3 3" xfId="16854" xr:uid="{00000000-0005-0000-0000-0000CA450000}"/>
    <cellStyle name="Följde hyperlänken 5 3_DataIX" xfId="31935" xr:uid="{00000000-0005-0000-0000-0000CB450000}"/>
    <cellStyle name="Följde hyperlänken 5 4" xfId="3503" xr:uid="{00000000-0005-0000-0000-0000CC450000}"/>
    <cellStyle name="Följde hyperlänken 5 4 2" xfId="8684" xr:uid="{00000000-0005-0000-0000-0000CD450000}"/>
    <cellStyle name="Följde hyperlänken 5 4 3" xfId="16855" xr:uid="{00000000-0005-0000-0000-0000CE450000}"/>
    <cellStyle name="Följde hyperlänken 5 4_DataIX" xfId="31936" xr:uid="{00000000-0005-0000-0000-0000CF450000}"/>
    <cellStyle name="Följde hyperlänken 5 5" xfId="8681" xr:uid="{00000000-0005-0000-0000-0000D0450000}"/>
    <cellStyle name="Följde hyperlänken 5 6" xfId="16852" xr:uid="{00000000-0005-0000-0000-0000D1450000}"/>
    <cellStyle name="Följde hyperlänken 5_DataIX" xfId="31933" xr:uid="{00000000-0005-0000-0000-0000D2450000}"/>
    <cellStyle name="Följde hyperlänken 50" xfId="3504" xr:uid="{00000000-0005-0000-0000-0000D3450000}"/>
    <cellStyle name="Följde hyperlänken 50 2" xfId="3505" xr:uid="{00000000-0005-0000-0000-0000D4450000}"/>
    <cellStyle name="Följde hyperlänken 50 2 2" xfId="8686" xr:uid="{00000000-0005-0000-0000-0000D5450000}"/>
    <cellStyle name="Följde hyperlänken 50 2 3" xfId="16857" xr:uid="{00000000-0005-0000-0000-0000D6450000}"/>
    <cellStyle name="Följde hyperlänken 50 2_DataIX" xfId="31938" xr:uid="{00000000-0005-0000-0000-0000D7450000}"/>
    <cellStyle name="Följde hyperlänken 50 3" xfId="3506" xr:uid="{00000000-0005-0000-0000-0000D8450000}"/>
    <cellStyle name="Följde hyperlänken 50 3 2" xfId="8687" xr:uid="{00000000-0005-0000-0000-0000D9450000}"/>
    <cellStyle name="Följde hyperlänken 50 3 3" xfId="16858" xr:uid="{00000000-0005-0000-0000-0000DA450000}"/>
    <cellStyle name="Följde hyperlänken 50 3_DataIX" xfId="31939" xr:uid="{00000000-0005-0000-0000-0000DB450000}"/>
    <cellStyle name="Följde hyperlänken 50 4" xfId="3507" xr:uid="{00000000-0005-0000-0000-0000DC450000}"/>
    <cellStyle name="Följde hyperlänken 50 4 2" xfId="8688" xr:uid="{00000000-0005-0000-0000-0000DD450000}"/>
    <cellStyle name="Följde hyperlänken 50 4 3" xfId="16859" xr:uid="{00000000-0005-0000-0000-0000DE450000}"/>
    <cellStyle name="Följde hyperlänken 50 4_DataIX" xfId="31940" xr:uid="{00000000-0005-0000-0000-0000DF450000}"/>
    <cellStyle name="Följde hyperlänken 50 5" xfId="8685" xr:uid="{00000000-0005-0000-0000-0000E0450000}"/>
    <cellStyle name="Följde hyperlänken 50 6" xfId="16856" xr:uid="{00000000-0005-0000-0000-0000E1450000}"/>
    <cellStyle name="Följde hyperlänken 50_DataIX" xfId="31937" xr:uid="{00000000-0005-0000-0000-0000E2450000}"/>
    <cellStyle name="Följde hyperlänken 51" xfId="3508" xr:uid="{00000000-0005-0000-0000-0000E3450000}"/>
    <cellStyle name="Följde hyperlänken 51 2" xfId="3509" xr:uid="{00000000-0005-0000-0000-0000E4450000}"/>
    <cellStyle name="Följde hyperlänken 51 2 2" xfId="8690" xr:uid="{00000000-0005-0000-0000-0000E5450000}"/>
    <cellStyle name="Följde hyperlänken 51 2 3" xfId="16861" xr:uid="{00000000-0005-0000-0000-0000E6450000}"/>
    <cellStyle name="Följde hyperlänken 51 2_DataIX" xfId="31942" xr:uid="{00000000-0005-0000-0000-0000E7450000}"/>
    <cellStyle name="Följde hyperlänken 51 3" xfId="3510" xr:uid="{00000000-0005-0000-0000-0000E8450000}"/>
    <cellStyle name="Följde hyperlänken 51 3 2" xfId="8691" xr:uid="{00000000-0005-0000-0000-0000E9450000}"/>
    <cellStyle name="Följde hyperlänken 51 3 3" xfId="16862" xr:uid="{00000000-0005-0000-0000-0000EA450000}"/>
    <cellStyle name="Följde hyperlänken 51 3_DataIX" xfId="31943" xr:uid="{00000000-0005-0000-0000-0000EB450000}"/>
    <cellStyle name="Följde hyperlänken 51 4" xfId="3511" xr:uid="{00000000-0005-0000-0000-0000EC450000}"/>
    <cellStyle name="Följde hyperlänken 51 4 2" xfId="8692" xr:uid="{00000000-0005-0000-0000-0000ED450000}"/>
    <cellStyle name="Följde hyperlänken 51 4 3" xfId="16863" xr:uid="{00000000-0005-0000-0000-0000EE450000}"/>
    <cellStyle name="Följde hyperlänken 51 4_DataIX" xfId="31944" xr:uid="{00000000-0005-0000-0000-0000EF450000}"/>
    <cellStyle name="Följde hyperlänken 51 5" xfId="8689" xr:uid="{00000000-0005-0000-0000-0000F0450000}"/>
    <cellStyle name="Följde hyperlänken 51 6" xfId="16860" xr:uid="{00000000-0005-0000-0000-0000F1450000}"/>
    <cellStyle name="Följde hyperlänken 51_DataIX" xfId="31941" xr:uid="{00000000-0005-0000-0000-0000F2450000}"/>
    <cellStyle name="Följde hyperlänken 52" xfId="3512" xr:uid="{00000000-0005-0000-0000-0000F3450000}"/>
    <cellStyle name="Följde hyperlänken 52 2" xfId="3513" xr:uid="{00000000-0005-0000-0000-0000F4450000}"/>
    <cellStyle name="Följde hyperlänken 52 2 2" xfId="8694" xr:uid="{00000000-0005-0000-0000-0000F5450000}"/>
    <cellStyle name="Följde hyperlänken 52 2 3" xfId="16865" xr:uid="{00000000-0005-0000-0000-0000F6450000}"/>
    <cellStyle name="Följde hyperlänken 52 2_DataIX" xfId="31946" xr:uid="{00000000-0005-0000-0000-0000F7450000}"/>
    <cellStyle name="Följde hyperlänken 52 3" xfId="3514" xr:uid="{00000000-0005-0000-0000-0000F8450000}"/>
    <cellStyle name="Följde hyperlänken 52 3 2" xfId="8695" xr:uid="{00000000-0005-0000-0000-0000F9450000}"/>
    <cellStyle name="Följde hyperlänken 52 3 3" xfId="16866" xr:uid="{00000000-0005-0000-0000-0000FA450000}"/>
    <cellStyle name="Följde hyperlänken 52 3_DataIX" xfId="31947" xr:uid="{00000000-0005-0000-0000-0000FB450000}"/>
    <cellStyle name="Följde hyperlänken 52 4" xfId="3515" xr:uid="{00000000-0005-0000-0000-0000FC450000}"/>
    <cellStyle name="Följde hyperlänken 52 4 2" xfId="8696" xr:uid="{00000000-0005-0000-0000-0000FD450000}"/>
    <cellStyle name="Följde hyperlänken 52 4 3" xfId="16867" xr:uid="{00000000-0005-0000-0000-0000FE450000}"/>
    <cellStyle name="Följde hyperlänken 52 4_DataIX" xfId="31948" xr:uid="{00000000-0005-0000-0000-0000FF450000}"/>
    <cellStyle name="Följde hyperlänken 52 5" xfId="8693" xr:uid="{00000000-0005-0000-0000-000000460000}"/>
    <cellStyle name="Följde hyperlänken 52 6" xfId="16864" xr:uid="{00000000-0005-0000-0000-000001460000}"/>
    <cellStyle name="Följde hyperlänken 52_DataIX" xfId="31945" xr:uid="{00000000-0005-0000-0000-000002460000}"/>
    <cellStyle name="Följde hyperlänken 53" xfId="3516" xr:uid="{00000000-0005-0000-0000-000003460000}"/>
    <cellStyle name="Följde hyperlänken 53 2" xfId="3517" xr:uid="{00000000-0005-0000-0000-000004460000}"/>
    <cellStyle name="Följde hyperlänken 53 2 2" xfId="8698" xr:uid="{00000000-0005-0000-0000-000005460000}"/>
    <cellStyle name="Följde hyperlänken 53 2 3" xfId="16869" xr:uid="{00000000-0005-0000-0000-000006460000}"/>
    <cellStyle name="Följde hyperlänken 53 2_DataIX" xfId="31950" xr:uid="{00000000-0005-0000-0000-000007460000}"/>
    <cellStyle name="Följde hyperlänken 53 3" xfId="3518" xr:uid="{00000000-0005-0000-0000-000008460000}"/>
    <cellStyle name="Följde hyperlänken 53 3 2" xfId="8699" xr:uid="{00000000-0005-0000-0000-000009460000}"/>
    <cellStyle name="Följde hyperlänken 53 3 3" xfId="16870" xr:uid="{00000000-0005-0000-0000-00000A460000}"/>
    <cellStyle name="Följde hyperlänken 53 3_DataIX" xfId="31951" xr:uid="{00000000-0005-0000-0000-00000B460000}"/>
    <cellStyle name="Följde hyperlänken 53 4" xfId="3519" xr:uid="{00000000-0005-0000-0000-00000C460000}"/>
    <cellStyle name="Följde hyperlänken 53 4 2" xfId="8700" xr:uid="{00000000-0005-0000-0000-00000D460000}"/>
    <cellStyle name="Följde hyperlänken 53 4 3" xfId="16871" xr:uid="{00000000-0005-0000-0000-00000E460000}"/>
    <cellStyle name="Följde hyperlänken 53 4_DataIX" xfId="31952" xr:uid="{00000000-0005-0000-0000-00000F460000}"/>
    <cellStyle name="Följde hyperlänken 53 5" xfId="8697" xr:uid="{00000000-0005-0000-0000-000010460000}"/>
    <cellStyle name="Följde hyperlänken 53 6" xfId="16868" xr:uid="{00000000-0005-0000-0000-000011460000}"/>
    <cellStyle name="Följde hyperlänken 53_DataIX" xfId="31949" xr:uid="{00000000-0005-0000-0000-000012460000}"/>
    <cellStyle name="Följde hyperlänken 54" xfId="3520" xr:uid="{00000000-0005-0000-0000-000013460000}"/>
    <cellStyle name="Följde hyperlänken 54 2" xfId="3521" xr:uid="{00000000-0005-0000-0000-000014460000}"/>
    <cellStyle name="Följde hyperlänken 54 2 2" xfId="8702" xr:uid="{00000000-0005-0000-0000-000015460000}"/>
    <cellStyle name="Följde hyperlänken 54 2 3" xfId="16873" xr:uid="{00000000-0005-0000-0000-000016460000}"/>
    <cellStyle name="Följde hyperlänken 54 2_DataIX" xfId="31954" xr:uid="{00000000-0005-0000-0000-000017460000}"/>
    <cellStyle name="Följde hyperlänken 54 3" xfId="3522" xr:uid="{00000000-0005-0000-0000-000018460000}"/>
    <cellStyle name="Följde hyperlänken 54 3 2" xfId="8703" xr:uid="{00000000-0005-0000-0000-000019460000}"/>
    <cellStyle name="Följde hyperlänken 54 3 3" xfId="16874" xr:uid="{00000000-0005-0000-0000-00001A460000}"/>
    <cellStyle name="Följde hyperlänken 54 3_DataIX" xfId="31955" xr:uid="{00000000-0005-0000-0000-00001B460000}"/>
    <cellStyle name="Följde hyperlänken 54 4" xfId="3523" xr:uid="{00000000-0005-0000-0000-00001C460000}"/>
    <cellStyle name="Följde hyperlänken 54 4 2" xfId="8704" xr:uid="{00000000-0005-0000-0000-00001D460000}"/>
    <cellStyle name="Följde hyperlänken 54 4 3" xfId="16875" xr:uid="{00000000-0005-0000-0000-00001E460000}"/>
    <cellStyle name="Följde hyperlänken 54 4_DataIX" xfId="31956" xr:uid="{00000000-0005-0000-0000-00001F460000}"/>
    <cellStyle name="Följde hyperlänken 54 5" xfId="8701" xr:uid="{00000000-0005-0000-0000-000020460000}"/>
    <cellStyle name="Följde hyperlänken 54 6" xfId="16872" xr:uid="{00000000-0005-0000-0000-000021460000}"/>
    <cellStyle name="Följde hyperlänken 54_DataIX" xfId="31953" xr:uid="{00000000-0005-0000-0000-000022460000}"/>
    <cellStyle name="Följde hyperlänken 55" xfId="3524" xr:uid="{00000000-0005-0000-0000-000023460000}"/>
    <cellStyle name="Följde hyperlänken 55 2" xfId="3525" xr:uid="{00000000-0005-0000-0000-000024460000}"/>
    <cellStyle name="Följde hyperlänken 55 2 2" xfId="8706" xr:uid="{00000000-0005-0000-0000-000025460000}"/>
    <cellStyle name="Följde hyperlänken 55 2 3" xfId="16877" xr:uid="{00000000-0005-0000-0000-000026460000}"/>
    <cellStyle name="Följde hyperlänken 55 2_DataIX" xfId="31958" xr:uid="{00000000-0005-0000-0000-000027460000}"/>
    <cellStyle name="Följde hyperlänken 55 3" xfId="3526" xr:uid="{00000000-0005-0000-0000-000028460000}"/>
    <cellStyle name="Följde hyperlänken 55 3 2" xfId="8707" xr:uid="{00000000-0005-0000-0000-000029460000}"/>
    <cellStyle name="Följde hyperlänken 55 3 3" xfId="16878" xr:uid="{00000000-0005-0000-0000-00002A460000}"/>
    <cellStyle name="Följde hyperlänken 55 3_DataIX" xfId="31959" xr:uid="{00000000-0005-0000-0000-00002B460000}"/>
    <cellStyle name="Följde hyperlänken 55 4" xfId="3527" xr:uid="{00000000-0005-0000-0000-00002C460000}"/>
    <cellStyle name="Följde hyperlänken 55 4 2" xfId="8708" xr:uid="{00000000-0005-0000-0000-00002D460000}"/>
    <cellStyle name="Följde hyperlänken 55 4 3" xfId="16879" xr:uid="{00000000-0005-0000-0000-00002E460000}"/>
    <cellStyle name="Följde hyperlänken 55 4_DataIX" xfId="31960" xr:uid="{00000000-0005-0000-0000-00002F460000}"/>
    <cellStyle name="Följde hyperlänken 55 5" xfId="8705" xr:uid="{00000000-0005-0000-0000-000030460000}"/>
    <cellStyle name="Följde hyperlänken 55 6" xfId="16876" xr:uid="{00000000-0005-0000-0000-000031460000}"/>
    <cellStyle name="Följde hyperlänken 55_DataIX" xfId="31957" xr:uid="{00000000-0005-0000-0000-000032460000}"/>
    <cellStyle name="Följde hyperlänken 56" xfId="3528" xr:uid="{00000000-0005-0000-0000-000033460000}"/>
    <cellStyle name="Följde hyperlänken 56 2" xfId="3529" xr:uid="{00000000-0005-0000-0000-000034460000}"/>
    <cellStyle name="Följde hyperlänken 56 2 2" xfId="8710" xr:uid="{00000000-0005-0000-0000-000035460000}"/>
    <cellStyle name="Följde hyperlänken 56 2 3" xfId="16881" xr:uid="{00000000-0005-0000-0000-000036460000}"/>
    <cellStyle name="Följde hyperlänken 56 2_DataIX" xfId="31962" xr:uid="{00000000-0005-0000-0000-000037460000}"/>
    <cellStyle name="Följde hyperlänken 56 3" xfId="3530" xr:uid="{00000000-0005-0000-0000-000038460000}"/>
    <cellStyle name="Följde hyperlänken 56 3 2" xfId="8711" xr:uid="{00000000-0005-0000-0000-000039460000}"/>
    <cellStyle name="Följde hyperlänken 56 3 3" xfId="16882" xr:uid="{00000000-0005-0000-0000-00003A460000}"/>
    <cellStyle name="Följde hyperlänken 56 3_DataIX" xfId="31963" xr:uid="{00000000-0005-0000-0000-00003B460000}"/>
    <cellStyle name="Följde hyperlänken 56 4" xfId="3531" xr:uid="{00000000-0005-0000-0000-00003C460000}"/>
    <cellStyle name="Följde hyperlänken 56 4 2" xfId="8712" xr:uid="{00000000-0005-0000-0000-00003D460000}"/>
    <cellStyle name="Följde hyperlänken 56 4 3" xfId="16883" xr:uid="{00000000-0005-0000-0000-00003E460000}"/>
    <cellStyle name="Följde hyperlänken 56 4_DataIX" xfId="31964" xr:uid="{00000000-0005-0000-0000-00003F460000}"/>
    <cellStyle name="Följde hyperlänken 56 5" xfId="8709" xr:uid="{00000000-0005-0000-0000-000040460000}"/>
    <cellStyle name="Följde hyperlänken 56 6" xfId="16880" xr:uid="{00000000-0005-0000-0000-000041460000}"/>
    <cellStyle name="Följde hyperlänken 56_DataIX" xfId="31961" xr:uid="{00000000-0005-0000-0000-000042460000}"/>
    <cellStyle name="Följde hyperlänken 57" xfId="3532" xr:uid="{00000000-0005-0000-0000-000043460000}"/>
    <cellStyle name="Följde hyperlänken 57 2" xfId="3533" xr:uid="{00000000-0005-0000-0000-000044460000}"/>
    <cellStyle name="Följde hyperlänken 57 2 2" xfId="8714" xr:uid="{00000000-0005-0000-0000-000045460000}"/>
    <cellStyle name="Följde hyperlänken 57 2 3" xfId="16885" xr:uid="{00000000-0005-0000-0000-000046460000}"/>
    <cellStyle name="Följde hyperlänken 57 2_DataIX" xfId="31966" xr:uid="{00000000-0005-0000-0000-000047460000}"/>
    <cellStyle name="Följde hyperlänken 57 3" xfId="3534" xr:uid="{00000000-0005-0000-0000-000048460000}"/>
    <cellStyle name="Följde hyperlänken 57 3 2" xfId="8715" xr:uid="{00000000-0005-0000-0000-000049460000}"/>
    <cellStyle name="Följde hyperlänken 57 3 3" xfId="16886" xr:uid="{00000000-0005-0000-0000-00004A460000}"/>
    <cellStyle name="Följde hyperlänken 57 3_DataIX" xfId="31967" xr:uid="{00000000-0005-0000-0000-00004B460000}"/>
    <cellStyle name="Följde hyperlänken 57 4" xfId="3535" xr:uid="{00000000-0005-0000-0000-00004C460000}"/>
    <cellStyle name="Följde hyperlänken 57 4 2" xfId="8716" xr:uid="{00000000-0005-0000-0000-00004D460000}"/>
    <cellStyle name="Följde hyperlänken 57 4 3" xfId="16887" xr:uid="{00000000-0005-0000-0000-00004E460000}"/>
    <cellStyle name="Följde hyperlänken 57 4_DataIX" xfId="31968" xr:uid="{00000000-0005-0000-0000-00004F460000}"/>
    <cellStyle name="Följde hyperlänken 57 5" xfId="8713" xr:uid="{00000000-0005-0000-0000-000050460000}"/>
    <cellStyle name="Följde hyperlänken 57 6" xfId="16884" xr:uid="{00000000-0005-0000-0000-000051460000}"/>
    <cellStyle name="Följde hyperlänken 57_DataIX" xfId="31965" xr:uid="{00000000-0005-0000-0000-000052460000}"/>
    <cellStyle name="Följde hyperlänken 58" xfId="3536" xr:uid="{00000000-0005-0000-0000-000053460000}"/>
    <cellStyle name="Följde hyperlänken 58 2" xfId="3537" xr:uid="{00000000-0005-0000-0000-000054460000}"/>
    <cellStyle name="Följde hyperlänken 58 2 2" xfId="8718" xr:uid="{00000000-0005-0000-0000-000055460000}"/>
    <cellStyle name="Följde hyperlänken 58 2 3" xfId="16889" xr:uid="{00000000-0005-0000-0000-000056460000}"/>
    <cellStyle name="Följde hyperlänken 58 2_DataIX" xfId="31970" xr:uid="{00000000-0005-0000-0000-000057460000}"/>
    <cellStyle name="Följde hyperlänken 58 3" xfId="3538" xr:uid="{00000000-0005-0000-0000-000058460000}"/>
    <cellStyle name="Följde hyperlänken 58 3 2" xfId="8719" xr:uid="{00000000-0005-0000-0000-000059460000}"/>
    <cellStyle name="Följde hyperlänken 58 3 3" xfId="16890" xr:uid="{00000000-0005-0000-0000-00005A460000}"/>
    <cellStyle name="Följde hyperlänken 58 3_DataIX" xfId="31971" xr:uid="{00000000-0005-0000-0000-00005B460000}"/>
    <cellStyle name="Följde hyperlänken 58 4" xfId="3539" xr:uid="{00000000-0005-0000-0000-00005C460000}"/>
    <cellStyle name="Följde hyperlänken 58 4 2" xfId="8720" xr:uid="{00000000-0005-0000-0000-00005D460000}"/>
    <cellStyle name="Följde hyperlänken 58 4 3" xfId="16891" xr:uid="{00000000-0005-0000-0000-00005E460000}"/>
    <cellStyle name="Följde hyperlänken 58 4_DataIX" xfId="31972" xr:uid="{00000000-0005-0000-0000-00005F460000}"/>
    <cellStyle name="Följde hyperlänken 58 5" xfId="8717" xr:uid="{00000000-0005-0000-0000-000060460000}"/>
    <cellStyle name="Följde hyperlänken 58 6" xfId="16888" xr:uid="{00000000-0005-0000-0000-000061460000}"/>
    <cellStyle name="Följde hyperlänken 58_DataIX" xfId="31969" xr:uid="{00000000-0005-0000-0000-000062460000}"/>
    <cellStyle name="Följde hyperlänken 59" xfId="3540" xr:uid="{00000000-0005-0000-0000-000063460000}"/>
    <cellStyle name="Följde hyperlänken 59 2" xfId="3541" xr:uid="{00000000-0005-0000-0000-000064460000}"/>
    <cellStyle name="Följde hyperlänken 59 2 2" xfId="8722" xr:uid="{00000000-0005-0000-0000-000065460000}"/>
    <cellStyle name="Följde hyperlänken 59 2 3" xfId="16893" xr:uid="{00000000-0005-0000-0000-000066460000}"/>
    <cellStyle name="Följde hyperlänken 59 2_DataIX" xfId="31974" xr:uid="{00000000-0005-0000-0000-000067460000}"/>
    <cellStyle name="Följde hyperlänken 59 3" xfId="3542" xr:uid="{00000000-0005-0000-0000-000068460000}"/>
    <cellStyle name="Följde hyperlänken 59 3 2" xfId="8723" xr:uid="{00000000-0005-0000-0000-000069460000}"/>
    <cellStyle name="Följde hyperlänken 59 3 3" xfId="16894" xr:uid="{00000000-0005-0000-0000-00006A460000}"/>
    <cellStyle name="Följde hyperlänken 59 3_DataIX" xfId="31975" xr:uid="{00000000-0005-0000-0000-00006B460000}"/>
    <cellStyle name="Följde hyperlänken 59 4" xfId="3543" xr:uid="{00000000-0005-0000-0000-00006C460000}"/>
    <cellStyle name="Följde hyperlänken 59 4 2" xfId="8724" xr:uid="{00000000-0005-0000-0000-00006D460000}"/>
    <cellStyle name="Följde hyperlänken 59 4 3" xfId="16895" xr:uid="{00000000-0005-0000-0000-00006E460000}"/>
    <cellStyle name="Följde hyperlänken 59 4_DataIX" xfId="31976" xr:uid="{00000000-0005-0000-0000-00006F460000}"/>
    <cellStyle name="Följde hyperlänken 59 5" xfId="8721" xr:uid="{00000000-0005-0000-0000-000070460000}"/>
    <cellStyle name="Följde hyperlänken 59 6" xfId="16892" xr:uid="{00000000-0005-0000-0000-000071460000}"/>
    <cellStyle name="Följde hyperlänken 59_DataIX" xfId="31973" xr:uid="{00000000-0005-0000-0000-000072460000}"/>
    <cellStyle name="Följde hyperlänken 6" xfId="3544" xr:uid="{00000000-0005-0000-0000-000073460000}"/>
    <cellStyle name="Följde hyperlänken 6 2" xfId="3545" xr:uid="{00000000-0005-0000-0000-000074460000}"/>
    <cellStyle name="Följde hyperlänken 6 2 2" xfId="8726" xr:uid="{00000000-0005-0000-0000-000075460000}"/>
    <cellStyle name="Följde hyperlänken 6 2 3" xfId="16897" xr:uid="{00000000-0005-0000-0000-000076460000}"/>
    <cellStyle name="Följde hyperlänken 6 2_DataIX" xfId="31978" xr:uid="{00000000-0005-0000-0000-000077460000}"/>
    <cellStyle name="Följde hyperlänken 6 3" xfId="3546" xr:uid="{00000000-0005-0000-0000-000078460000}"/>
    <cellStyle name="Följde hyperlänken 6 3 2" xfId="8727" xr:uid="{00000000-0005-0000-0000-000079460000}"/>
    <cellStyle name="Följde hyperlänken 6 3 3" xfId="16898" xr:uid="{00000000-0005-0000-0000-00007A460000}"/>
    <cellStyle name="Följde hyperlänken 6 3_DataIX" xfId="31979" xr:uid="{00000000-0005-0000-0000-00007B460000}"/>
    <cellStyle name="Följde hyperlänken 6 4" xfId="3547" xr:uid="{00000000-0005-0000-0000-00007C460000}"/>
    <cellStyle name="Följde hyperlänken 6 4 2" xfId="8728" xr:uid="{00000000-0005-0000-0000-00007D460000}"/>
    <cellStyle name="Följde hyperlänken 6 4 3" xfId="16899" xr:uid="{00000000-0005-0000-0000-00007E460000}"/>
    <cellStyle name="Följde hyperlänken 6 4_DataIX" xfId="31980" xr:uid="{00000000-0005-0000-0000-00007F460000}"/>
    <cellStyle name="Följde hyperlänken 6 5" xfId="8725" xr:uid="{00000000-0005-0000-0000-000080460000}"/>
    <cellStyle name="Följde hyperlänken 6 6" xfId="16896" xr:uid="{00000000-0005-0000-0000-000081460000}"/>
    <cellStyle name="Följde hyperlänken 6_DataIX" xfId="31977" xr:uid="{00000000-0005-0000-0000-000082460000}"/>
    <cellStyle name="Följde hyperlänken 60" xfId="3548" xr:uid="{00000000-0005-0000-0000-000083460000}"/>
    <cellStyle name="Följde hyperlänken 60 2" xfId="3549" xr:uid="{00000000-0005-0000-0000-000084460000}"/>
    <cellStyle name="Följde hyperlänken 60 2 2" xfId="8730" xr:uid="{00000000-0005-0000-0000-000085460000}"/>
    <cellStyle name="Följde hyperlänken 60 2 3" xfId="16901" xr:uid="{00000000-0005-0000-0000-000086460000}"/>
    <cellStyle name="Följde hyperlänken 60 2_DataIX" xfId="31982" xr:uid="{00000000-0005-0000-0000-000087460000}"/>
    <cellStyle name="Följde hyperlänken 60 3" xfId="3550" xr:uid="{00000000-0005-0000-0000-000088460000}"/>
    <cellStyle name="Följde hyperlänken 60 3 2" xfId="8731" xr:uid="{00000000-0005-0000-0000-000089460000}"/>
    <cellStyle name="Följde hyperlänken 60 3 3" xfId="16902" xr:uid="{00000000-0005-0000-0000-00008A460000}"/>
    <cellStyle name="Följde hyperlänken 60 3_DataIX" xfId="31983" xr:uid="{00000000-0005-0000-0000-00008B460000}"/>
    <cellStyle name="Följde hyperlänken 60 4" xfId="3551" xr:uid="{00000000-0005-0000-0000-00008C460000}"/>
    <cellStyle name="Följde hyperlänken 60 4 2" xfId="8732" xr:uid="{00000000-0005-0000-0000-00008D460000}"/>
    <cellStyle name="Följde hyperlänken 60 4 3" xfId="16903" xr:uid="{00000000-0005-0000-0000-00008E460000}"/>
    <cellStyle name="Följde hyperlänken 60 4_DataIX" xfId="31984" xr:uid="{00000000-0005-0000-0000-00008F460000}"/>
    <cellStyle name="Följde hyperlänken 60 5" xfId="8729" xr:uid="{00000000-0005-0000-0000-000090460000}"/>
    <cellStyle name="Följde hyperlänken 60 6" xfId="16900" xr:uid="{00000000-0005-0000-0000-000091460000}"/>
    <cellStyle name="Följde hyperlänken 60_DataIX" xfId="31981" xr:uid="{00000000-0005-0000-0000-000092460000}"/>
    <cellStyle name="Följde hyperlänken 61" xfId="3552" xr:uid="{00000000-0005-0000-0000-000093460000}"/>
    <cellStyle name="Följde hyperlänken 61 2" xfId="3553" xr:uid="{00000000-0005-0000-0000-000094460000}"/>
    <cellStyle name="Följde hyperlänken 61 2 2" xfId="8734" xr:uid="{00000000-0005-0000-0000-000095460000}"/>
    <cellStyle name="Följde hyperlänken 61 2 3" xfId="16905" xr:uid="{00000000-0005-0000-0000-000096460000}"/>
    <cellStyle name="Följde hyperlänken 61 2_DataIX" xfId="31986" xr:uid="{00000000-0005-0000-0000-000097460000}"/>
    <cellStyle name="Följde hyperlänken 61 3" xfId="3554" xr:uid="{00000000-0005-0000-0000-000098460000}"/>
    <cellStyle name="Följde hyperlänken 61 3 2" xfId="8735" xr:uid="{00000000-0005-0000-0000-000099460000}"/>
    <cellStyle name="Följde hyperlänken 61 3 3" xfId="16906" xr:uid="{00000000-0005-0000-0000-00009A460000}"/>
    <cellStyle name="Följde hyperlänken 61 3_DataIX" xfId="31987" xr:uid="{00000000-0005-0000-0000-00009B460000}"/>
    <cellStyle name="Följde hyperlänken 61 4" xfId="3555" xr:uid="{00000000-0005-0000-0000-00009C460000}"/>
    <cellStyle name="Följde hyperlänken 61 4 2" xfId="8736" xr:uid="{00000000-0005-0000-0000-00009D460000}"/>
    <cellStyle name="Följde hyperlänken 61 4 3" xfId="16907" xr:uid="{00000000-0005-0000-0000-00009E460000}"/>
    <cellStyle name="Följde hyperlänken 61 4_DataIX" xfId="31988" xr:uid="{00000000-0005-0000-0000-00009F460000}"/>
    <cellStyle name="Följde hyperlänken 61 5" xfId="8733" xr:uid="{00000000-0005-0000-0000-0000A0460000}"/>
    <cellStyle name="Följde hyperlänken 61 6" xfId="16904" xr:uid="{00000000-0005-0000-0000-0000A1460000}"/>
    <cellStyle name="Följde hyperlänken 61_DataIX" xfId="31985" xr:uid="{00000000-0005-0000-0000-0000A2460000}"/>
    <cellStyle name="Följde hyperlänken 62" xfId="3556" xr:uid="{00000000-0005-0000-0000-0000A3460000}"/>
    <cellStyle name="Följde hyperlänken 62 2" xfId="3557" xr:uid="{00000000-0005-0000-0000-0000A4460000}"/>
    <cellStyle name="Följde hyperlänken 62 2 2" xfId="8738" xr:uid="{00000000-0005-0000-0000-0000A5460000}"/>
    <cellStyle name="Följde hyperlänken 62 2 3" xfId="16909" xr:uid="{00000000-0005-0000-0000-0000A6460000}"/>
    <cellStyle name="Följde hyperlänken 62 2_DataIX" xfId="31990" xr:uid="{00000000-0005-0000-0000-0000A7460000}"/>
    <cellStyle name="Följde hyperlänken 62 3" xfId="3558" xr:uid="{00000000-0005-0000-0000-0000A8460000}"/>
    <cellStyle name="Följde hyperlänken 62 3 2" xfId="8739" xr:uid="{00000000-0005-0000-0000-0000A9460000}"/>
    <cellStyle name="Följde hyperlänken 62 3 3" xfId="16910" xr:uid="{00000000-0005-0000-0000-0000AA460000}"/>
    <cellStyle name="Följde hyperlänken 62 3_DataIX" xfId="31991" xr:uid="{00000000-0005-0000-0000-0000AB460000}"/>
    <cellStyle name="Följde hyperlänken 62 4" xfId="3559" xr:uid="{00000000-0005-0000-0000-0000AC460000}"/>
    <cellStyle name="Följde hyperlänken 62 4 2" xfId="8740" xr:uid="{00000000-0005-0000-0000-0000AD460000}"/>
    <cellStyle name="Följde hyperlänken 62 4 3" xfId="16911" xr:uid="{00000000-0005-0000-0000-0000AE460000}"/>
    <cellStyle name="Följde hyperlänken 62 4_DataIX" xfId="31992" xr:uid="{00000000-0005-0000-0000-0000AF460000}"/>
    <cellStyle name="Följde hyperlänken 62 5" xfId="8737" xr:uid="{00000000-0005-0000-0000-0000B0460000}"/>
    <cellStyle name="Följde hyperlänken 62 6" xfId="16908" xr:uid="{00000000-0005-0000-0000-0000B1460000}"/>
    <cellStyle name="Följde hyperlänken 62_DataIX" xfId="31989" xr:uid="{00000000-0005-0000-0000-0000B2460000}"/>
    <cellStyle name="Följde hyperlänken 63" xfId="3560" xr:uid="{00000000-0005-0000-0000-0000B3460000}"/>
    <cellStyle name="Följde hyperlänken 63 2" xfId="3561" xr:uid="{00000000-0005-0000-0000-0000B4460000}"/>
    <cellStyle name="Följde hyperlänken 63 2 2" xfId="8742" xr:uid="{00000000-0005-0000-0000-0000B5460000}"/>
    <cellStyle name="Följde hyperlänken 63 2 3" xfId="16913" xr:uid="{00000000-0005-0000-0000-0000B6460000}"/>
    <cellStyle name="Följde hyperlänken 63 2_DataIX" xfId="31994" xr:uid="{00000000-0005-0000-0000-0000B7460000}"/>
    <cellStyle name="Följde hyperlänken 63 3" xfId="3562" xr:uid="{00000000-0005-0000-0000-0000B8460000}"/>
    <cellStyle name="Följde hyperlänken 63 3 2" xfId="8743" xr:uid="{00000000-0005-0000-0000-0000B9460000}"/>
    <cellStyle name="Följde hyperlänken 63 3 3" xfId="16914" xr:uid="{00000000-0005-0000-0000-0000BA460000}"/>
    <cellStyle name="Följde hyperlänken 63 3_DataIX" xfId="31995" xr:uid="{00000000-0005-0000-0000-0000BB460000}"/>
    <cellStyle name="Följde hyperlänken 63 4" xfId="3563" xr:uid="{00000000-0005-0000-0000-0000BC460000}"/>
    <cellStyle name="Följde hyperlänken 63 4 2" xfId="8744" xr:uid="{00000000-0005-0000-0000-0000BD460000}"/>
    <cellStyle name="Följde hyperlänken 63 4 3" xfId="16915" xr:uid="{00000000-0005-0000-0000-0000BE460000}"/>
    <cellStyle name="Följde hyperlänken 63 4_DataIX" xfId="31996" xr:uid="{00000000-0005-0000-0000-0000BF460000}"/>
    <cellStyle name="Följde hyperlänken 63 5" xfId="8741" xr:uid="{00000000-0005-0000-0000-0000C0460000}"/>
    <cellStyle name="Följde hyperlänken 63 6" xfId="16912" xr:uid="{00000000-0005-0000-0000-0000C1460000}"/>
    <cellStyle name="Följde hyperlänken 63_DataIX" xfId="31993" xr:uid="{00000000-0005-0000-0000-0000C2460000}"/>
    <cellStyle name="Följde hyperlänken 64" xfId="3564" xr:uid="{00000000-0005-0000-0000-0000C3460000}"/>
    <cellStyle name="Följde hyperlänken 64 2" xfId="3565" xr:uid="{00000000-0005-0000-0000-0000C4460000}"/>
    <cellStyle name="Följde hyperlänken 64 2 2" xfId="8746" xr:uid="{00000000-0005-0000-0000-0000C5460000}"/>
    <cellStyle name="Följde hyperlänken 64 2 3" xfId="16917" xr:uid="{00000000-0005-0000-0000-0000C6460000}"/>
    <cellStyle name="Följde hyperlänken 64 2_DataIX" xfId="31998" xr:uid="{00000000-0005-0000-0000-0000C7460000}"/>
    <cellStyle name="Följde hyperlänken 64 3" xfId="3566" xr:uid="{00000000-0005-0000-0000-0000C8460000}"/>
    <cellStyle name="Följde hyperlänken 64 3 2" xfId="8747" xr:uid="{00000000-0005-0000-0000-0000C9460000}"/>
    <cellStyle name="Följde hyperlänken 64 3 3" xfId="16918" xr:uid="{00000000-0005-0000-0000-0000CA460000}"/>
    <cellStyle name="Följde hyperlänken 64 3_DataIX" xfId="31999" xr:uid="{00000000-0005-0000-0000-0000CB460000}"/>
    <cellStyle name="Följde hyperlänken 64 4" xfId="3567" xr:uid="{00000000-0005-0000-0000-0000CC460000}"/>
    <cellStyle name="Följde hyperlänken 64 4 2" xfId="8748" xr:uid="{00000000-0005-0000-0000-0000CD460000}"/>
    <cellStyle name="Följde hyperlänken 64 4 3" xfId="16919" xr:uid="{00000000-0005-0000-0000-0000CE460000}"/>
    <cellStyle name="Följde hyperlänken 64 4_DataIX" xfId="32000" xr:uid="{00000000-0005-0000-0000-0000CF460000}"/>
    <cellStyle name="Följde hyperlänken 64 5" xfId="8745" xr:uid="{00000000-0005-0000-0000-0000D0460000}"/>
    <cellStyle name="Följde hyperlänken 64 6" xfId="16916" xr:uid="{00000000-0005-0000-0000-0000D1460000}"/>
    <cellStyle name="Följde hyperlänken 64_DataIX" xfId="31997" xr:uid="{00000000-0005-0000-0000-0000D2460000}"/>
    <cellStyle name="Följde hyperlänken 65" xfId="3568" xr:uid="{00000000-0005-0000-0000-0000D3460000}"/>
    <cellStyle name="Följde hyperlänken 65 2" xfId="3569" xr:uid="{00000000-0005-0000-0000-0000D4460000}"/>
    <cellStyle name="Följde hyperlänken 65 2 2" xfId="8750" xr:uid="{00000000-0005-0000-0000-0000D5460000}"/>
    <cellStyle name="Följde hyperlänken 65 2 3" xfId="16921" xr:uid="{00000000-0005-0000-0000-0000D6460000}"/>
    <cellStyle name="Följde hyperlänken 65 2_DataIX" xfId="32002" xr:uid="{00000000-0005-0000-0000-0000D7460000}"/>
    <cellStyle name="Följde hyperlänken 65 3" xfId="3570" xr:uid="{00000000-0005-0000-0000-0000D8460000}"/>
    <cellStyle name="Följde hyperlänken 65 3 2" xfId="8751" xr:uid="{00000000-0005-0000-0000-0000D9460000}"/>
    <cellStyle name="Följde hyperlänken 65 3 3" xfId="16922" xr:uid="{00000000-0005-0000-0000-0000DA460000}"/>
    <cellStyle name="Följde hyperlänken 65 3_DataIX" xfId="32003" xr:uid="{00000000-0005-0000-0000-0000DB460000}"/>
    <cellStyle name="Följde hyperlänken 65 4" xfId="3571" xr:uid="{00000000-0005-0000-0000-0000DC460000}"/>
    <cellStyle name="Följde hyperlänken 65 4 2" xfId="8752" xr:uid="{00000000-0005-0000-0000-0000DD460000}"/>
    <cellStyle name="Följde hyperlänken 65 4 3" xfId="16923" xr:uid="{00000000-0005-0000-0000-0000DE460000}"/>
    <cellStyle name="Följde hyperlänken 65 4_DataIX" xfId="32004" xr:uid="{00000000-0005-0000-0000-0000DF460000}"/>
    <cellStyle name="Följde hyperlänken 65 5" xfId="8749" xr:uid="{00000000-0005-0000-0000-0000E0460000}"/>
    <cellStyle name="Följde hyperlänken 65 6" xfId="16920" xr:uid="{00000000-0005-0000-0000-0000E1460000}"/>
    <cellStyle name="Följde hyperlänken 65_DataIX" xfId="32001" xr:uid="{00000000-0005-0000-0000-0000E2460000}"/>
    <cellStyle name="Följde hyperlänken 66" xfId="3572" xr:uid="{00000000-0005-0000-0000-0000E3460000}"/>
    <cellStyle name="Följde hyperlänken 66 2" xfId="3573" xr:uid="{00000000-0005-0000-0000-0000E4460000}"/>
    <cellStyle name="Följde hyperlänken 66 2 2" xfId="8754" xr:uid="{00000000-0005-0000-0000-0000E5460000}"/>
    <cellStyle name="Följde hyperlänken 66 2 3" xfId="16925" xr:uid="{00000000-0005-0000-0000-0000E6460000}"/>
    <cellStyle name="Följde hyperlänken 66 2_DataIX" xfId="32006" xr:uid="{00000000-0005-0000-0000-0000E7460000}"/>
    <cellStyle name="Följde hyperlänken 66 3" xfId="3574" xr:uid="{00000000-0005-0000-0000-0000E8460000}"/>
    <cellStyle name="Följde hyperlänken 66 3 2" xfId="8755" xr:uid="{00000000-0005-0000-0000-0000E9460000}"/>
    <cellStyle name="Följde hyperlänken 66 3 3" xfId="16926" xr:uid="{00000000-0005-0000-0000-0000EA460000}"/>
    <cellStyle name="Följde hyperlänken 66 3_DataIX" xfId="32007" xr:uid="{00000000-0005-0000-0000-0000EB460000}"/>
    <cellStyle name="Följde hyperlänken 66 4" xfId="3575" xr:uid="{00000000-0005-0000-0000-0000EC460000}"/>
    <cellStyle name="Följde hyperlänken 66 4 2" xfId="8756" xr:uid="{00000000-0005-0000-0000-0000ED460000}"/>
    <cellStyle name="Följde hyperlänken 66 4 3" xfId="16927" xr:uid="{00000000-0005-0000-0000-0000EE460000}"/>
    <cellStyle name="Följde hyperlänken 66 4_DataIX" xfId="32008" xr:uid="{00000000-0005-0000-0000-0000EF460000}"/>
    <cellStyle name="Följde hyperlänken 66 5" xfId="8753" xr:uid="{00000000-0005-0000-0000-0000F0460000}"/>
    <cellStyle name="Följde hyperlänken 66 6" xfId="16924" xr:uid="{00000000-0005-0000-0000-0000F1460000}"/>
    <cellStyle name="Följde hyperlänken 66_DataIX" xfId="32005" xr:uid="{00000000-0005-0000-0000-0000F2460000}"/>
    <cellStyle name="Följde hyperlänken 67" xfId="3576" xr:uid="{00000000-0005-0000-0000-0000F3460000}"/>
    <cellStyle name="Följde hyperlänken 67 2" xfId="3577" xr:uid="{00000000-0005-0000-0000-0000F4460000}"/>
    <cellStyle name="Följde hyperlänken 67 2 2" xfId="8758" xr:uid="{00000000-0005-0000-0000-0000F5460000}"/>
    <cellStyle name="Följde hyperlänken 67 2 3" xfId="16929" xr:uid="{00000000-0005-0000-0000-0000F6460000}"/>
    <cellStyle name="Följde hyperlänken 67 2_DataIX" xfId="32010" xr:uid="{00000000-0005-0000-0000-0000F7460000}"/>
    <cellStyle name="Följde hyperlänken 67 3" xfId="3578" xr:uid="{00000000-0005-0000-0000-0000F8460000}"/>
    <cellStyle name="Följde hyperlänken 67 3 2" xfId="8759" xr:uid="{00000000-0005-0000-0000-0000F9460000}"/>
    <cellStyle name="Följde hyperlänken 67 3 3" xfId="16930" xr:uid="{00000000-0005-0000-0000-0000FA460000}"/>
    <cellStyle name="Följde hyperlänken 67 3_DataIX" xfId="32011" xr:uid="{00000000-0005-0000-0000-0000FB460000}"/>
    <cellStyle name="Följde hyperlänken 67 4" xfId="3579" xr:uid="{00000000-0005-0000-0000-0000FC460000}"/>
    <cellStyle name="Följde hyperlänken 67 4 2" xfId="8760" xr:uid="{00000000-0005-0000-0000-0000FD460000}"/>
    <cellStyle name="Följde hyperlänken 67 4 3" xfId="16931" xr:uid="{00000000-0005-0000-0000-0000FE460000}"/>
    <cellStyle name="Följde hyperlänken 67 4_DataIX" xfId="32012" xr:uid="{00000000-0005-0000-0000-0000FF460000}"/>
    <cellStyle name="Följde hyperlänken 67 5" xfId="8757" xr:uid="{00000000-0005-0000-0000-000000470000}"/>
    <cellStyle name="Följde hyperlänken 67 6" xfId="16928" xr:uid="{00000000-0005-0000-0000-000001470000}"/>
    <cellStyle name="Följde hyperlänken 67_DataIX" xfId="32009" xr:uid="{00000000-0005-0000-0000-000002470000}"/>
    <cellStyle name="Följde hyperlänken 68" xfId="3580" xr:uid="{00000000-0005-0000-0000-000003470000}"/>
    <cellStyle name="Följde hyperlänken 68 2" xfId="3581" xr:uid="{00000000-0005-0000-0000-000004470000}"/>
    <cellStyle name="Följde hyperlänken 68 2 2" xfId="8762" xr:uid="{00000000-0005-0000-0000-000005470000}"/>
    <cellStyle name="Följde hyperlänken 68 2 3" xfId="16933" xr:uid="{00000000-0005-0000-0000-000006470000}"/>
    <cellStyle name="Följde hyperlänken 68 2_DataIX" xfId="32014" xr:uid="{00000000-0005-0000-0000-000007470000}"/>
    <cellStyle name="Följde hyperlänken 68 3" xfId="3582" xr:uid="{00000000-0005-0000-0000-000008470000}"/>
    <cellStyle name="Följde hyperlänken 68 3 2" xfId="8763" xr:uid="{00000000-0005-0000-0000-000009470000}"/>
    <cellStyle name="Följde hyperlänken 68 3 3" xfId="16934" xr:uid="{00000000-0005-0000-0000-00000A470000}"/>
    <cellStyle name="Följde hyperlänken 68 3_DataIX" xfId="32015" xr:uid="{00000000-0005-0000-0000-00000B470000}"/>
    <cellStyle name="Följde hyperlänken 68 4" xfId="3583" xr:uid="{00000000-0005-0000-0000-00000C470000}"/>
    <cellStyle name="Följde hyperlänken 68 4 2" xfId="8764" xr:uid="{00000000-0005-0000-0000-00000D470000}"/>
    <cellStyle name="Följde hyperlänken 68 4 3" xfId="16935" xr:uid="{00000000-0005-0000-0000-00000E470000}"/>
    <cellStyle name="Följde hyperlänken 68 4_DataIX" xfId="32016" xr:uid="{00000000-0005-0000-0000-00000F470000}"/>
    <cellStyle name="Följde hyperlänken 68 5" xfId="8761" xr:uid="{00000000-0005-0000-0000-000010470000}"/>
    <cellStyle name="Följde hyperlänken 68 6" xfId="16932" xr:uid="{00000000-0005-0000-0000-000011470000}"/>
    <cellStyle name="Följde hyperlänken 68_DataIX" xfId="32013" xr:uid="{00000000-0005-0000-0000-000012470000}"/>
    <cellStyle name="Följde hyperlänken 69" xfId="3584" xr:uid="{00000000-0005-0000-0000-000013470000}"/>
    <cellStyle name="Följde hyperlänken 69 2" xfId="3585" xr:uid="{00000000-0005-0000-0000-000014470000}"/>
    <cellStyle name="Följde hyperlänken 69 2 2" xfId="8766" xr:uid="{00000000-0005-0000-0000-000015470000}"/>
    <cellStyle name="Följde hyperlänken 69 2 3" xfId="16937" xr:uid="{00000000-0005-0000-0000-000016470000}"/>
    <cellStyle name="Följde hyperlänken 69 2_DataIX" xfId="32018" xr:uid="{00000000-0005-0000-0000-000017470000}"/>
    <cellStyle name="Följde hyperlänken 69 3" xfId="3586" xr:uid="{00000000-0005-0000-0000-000018470000}"/>
    <cellStyle name="Följde hyperlänken 69 3 2" xfId="8767" xr:uid="{00000000-0005-0000-0000-000019470000}"/>
    <cellStyle name="Följde hyperlänken 69 3 3" xfId="16938" xr:uid="{00000000-0005-0000-0000-00001A470000}"/>
    <cellStyle name="Följde hyperlänken 69 3_DataIX" xfId="32019" xr:uid="{00000000-0005-0000-0000-00001B470000}"/>
    <cellStyle name="Följde hyperlänken 69 4" xfId="3587" xr:uid="{00000000-0005-0000-0000-00001C470000}"/>
    <cellStyle name="Följde hyperlänken 69 4 2" xfId="8768" xr:uid="{00000000-0005-0000-0000-00001D470000}"/>
    <cellStyle name="Följde hyperlänken 69 4 3" xfId="16939" xr:uid="{00000000-0005-0000-0000-00001E470000}"/>
    <cellStyle name="Följde hyperlänken 69 4_DataIX" xfId="32020" xr:uid="{00000000-0005-0000-0000-00001F470000}"/>
    <cellStyle name="Följde hyperlänken 69 5" xfId="8765" xr:uid="{00000000-0005-0000-0000-000020470000}"/>
    <cellStyle name="Följde hyperlänken 69 6" xfId="16936" xr:uid="{00000000-0005-0000-0000-000021470000}"/>
    <cellStyle name="Följde hyperlänken 69_DataIX" xfId="32017" xr:uid="{00000000-0005-0000-0000-000022470000}"/>
    <cellStyle name="Följde hyperlänken 7" xfId="3588" xr:uid="{00000000-0005-0000-0000-000023470000}"/>
    <cellStyle name="Följde hyperlänken 7 2" xfId="3589" xr:uid="{00000000-0005-0000-0000-000024470000}"/>
    <cellStyle name="Följde hyperlänken 7 2 2" xfId="8770" xr:uid="{00000000-0005-0000-0000-000025470000}"/>
    <cellStyle name="Följde hyperlänken 7 2 3" xfId="16941" xr:uid="{00000000-0005-0000-0000-000026470000}"/>
    <cellStyle name="Följde hyperlänken 7 2_DataIX" xfId="32022" xr:uid="{00000000-0005-0000-0000-000027470000}"/>
    <cellStyle name="Följde hyperlänken 7 3" xfId="3590" xr:uid="{00000000-0005-0000-0000-000028470000}"/>
    <cellStyle name="Följde hyperlänken 7 3 2" xfId="8771" xr:uid="{00000000-0005-0000-0000-000029470000}"/>
    <cellStyle name="Följde hyperlänken 7 3 3" xfId="16942" xr:uid="{00000000-0005-0000-0000-00002A470000}"/>
    <cellStyle name="Följde hyperlänken 7 3_DataIX" xfId="32023" xr:uid="{00000000-0005-0000-0000-00002B470000}"/>
    <cellStyle name="Följde hyperlänken 7 4" xfId="3591" xr:uid="{00000000-0005-0000-0000-00002C470000}"/>
    <cellStyle name="Följde hyperlänken 7 4 2" xfId="8772" xr:uid="{00000000-0005-0000-0000-00002D470000}"/>
    <cellStyle name="Följde hyperlänken 7 4 3" xfId="16943" xr:uid="{00000000-0005-0000-0000-00002E470000}"/>
    <cellStyle name="Följde hyperlänken 7 4_DataIX" xfId="32024" xr:uid="{00000000-0005-0000-0000-00002F470000}"/>
    <cellStyle name="Följde hyperlänken 7 5" xfId="8769" xr:uid="{00000000-0005-0000-0000-000030470000}"/>
    <cellStyle name="Följde hyperlänken 7 6" xfId="16940" xr:uid="{00000000-0005-0000-0000-000031470000}"/>
    <cellStyle name="Följde hyperlänken 7_DataIX" xfId="32021" xr:uid="{00000000-0005-0000-0000-000032470000}"/>
    <cellStyle name="Följde hyperlänken 70" xfId="3592" xr:uid="{00000000-0005-0000-0000-000033470000}"/>
    <cellStyle name="Följde hyperlänken 70 2" xfId="3593" xr:uid="{00000000-0005-0000-0000-000034470000}"/>
    <cellStyle name="Följde hyperlänken 70 2 2" xfId="8774" xr:uid="{00000000-0005-0000-0000-000035470000}"/>
    <cellStyle name="Följde hyperlänken 70 2 3" xfId="16945" xr:uid="{00000000-0005-0000-0000-000036470000}"/>
    <cellStyle name="Följde hyperlänken 70 2_DataIX" xfId="32026" xr:uid="{00000000-0005-0000-0000-000037470000}"/>
    <cellStyle name="Följde hyperlänken 70 3" xfId="3594" xr:uid="{00000000-0005-0000-0000-000038470000}"/>
    <cellStyle name="Följde hyperlänken 70 3 2" xfId="8775" xr:uid="{00000000-0005-0000-0000-000039470000}"/>
    <cellStyle name="Följde hyperlänken 70 3 3" xfId="16946" xr:uid="{00000000-0005-0000-0000-00003A470000}"/>
    <cellStyle name="Följde hyperlänken 70 3_DataIX" xfId="32027" xr:uid="{00000000-0005-0000-0000-00003B470000}"/>
    <cellStyle name="Följde hyperlänken 70 4" xfId="3595" xr:uid="{00000000-0005-0000-0000-00003C470000}"/>
    <cellStyle name="Följde hyperlänken 70 4 2" xfId="8776" xr:uid="{00000000-0005-0000-0000-00003D470000}"/>
    <cellStyle name="Följde hyperlänken 70 4 3" xfId="16947" xr:uid="{00000000-0005-0000-0000-00003E470000}"/>
    <cellStyle name="Följde hyperlänken 70 4_DataIX" xfId="32028" xr:uid="{00000000-0005-0000-0000-00003F470000}"/>
    <cellStyle name="Följde hyperlänken 70 5" xfId="8773" xr:uid="{00000000-0005-0000-0000-000040470000}"/>
    <cellStyle name="Följde hyperlänken 70 6" xfId="16944" xr:uid="{00000000-0005-0000-0000-000041470000}"/>
    <cellStyle name="Följde hyperlänken 70_DataIX" xfId="32025" xr:uid="{00000000-0005-0000-0000-000042470000}"/>
    <cellStyle name="Följde hyperlänken 71" xfId="3596" xr:uid="{00000000-0005-0000-0000-000043470000}"/>
    <cellStyle name="Följde hyperlänken 71 2" xfId="3597" xr:uid="{00000000-0005-0000-0000-000044470000}"/>
    <cellStyle name="Följde hyperlänken 71 2 2" xfId="8778" xr:uid="{00000000-0005-0000-0000-000045470000}"/>
    <cellStyle name="Följde hyperlänken 71 2 3" xfId="16949" xr:uid="{00000000-0005-0000-0000-000046470000}"/>
    <cellStyle name="Följde hyperlänken 71 2_DataIX" xfId="32030" xr:uid="{00000000-0005-0000-0000-000047470000}"/>
    <cellStyle name="Följde hyperlänken 71 3" xfId="3598" xr:uid="{00000000-0005-0000-0000-000048470000}"/>
    <cellStyle name="Följde hyperlänken 71 3 2" xfId="8779" xr:uid="{00000000-0005-0000-0000-000049470000}"/>
    <cellStyle name="Följde hyperlänken 71 3 3" xfId="16950" xr:uid="{00000000-0005-0000-0000-00004A470000}"/>
    <cellStyle name="Följde hyperlänken 71 3_DataIX" xfId="32031" xr:uid="{00000000-0005-0000-0000-00004B470000}"/>
    <cellStyle name="Följde hyperlänken 71 4" xfId="3599" xr:uid="{00000000-0005-0000-0000-00004C470000}"/>
    <cellStyle name="Följde hyperlänken 71 4 2" xfId="8780" xr:uid="{00000000-0005-0000-0000-00004D470000}"/>
    <cellStyle name="Följde hyperlänken 71 4 3" xfId="16951" xr:uid="{00000000-0005-0000-0000-00004E470000}"/>
    <cellStyle name="Följde hyperlänken 71 4_DataIX" xfId="32032" xr:uid="{00000000-0005-0000-0000-00004F470000}"/>
    <cellStyle name="Följde hyperlänken 71 5" xfId="8777" xr:uid="{00000000-0005-0000-0000-000050470000}"/>
    <cellStyle name="Följde hyperlänken 71 6" xfId="16948" xr:uid="{00000000-0005-0000-0000-000051470000}"/>
    <cellStyle name="Följde hyperlänken 71_DataIX" xfId="32029" xr:uid="{00000000-0005-0000-0000-000052470000}"/>
    <cellStyle name="Följde hyperlänken 72" xfId="3600" xr:uid="{00000000-0005-0000-0000-000053470000}"/>
    <cellStyle name="Följde hyperlänken 72 2" xfId="3601" xr:uid="{00000000-0005-0000-0000-000054470000}"/>
    <cellStyle name="Följde hyperlänken 72 2 2" xfId="8782" xr:uid="{00000000-0005-0000-0000-000055470000}"/>
    <cellStyle name="Följde hyperlänken 72 2 3" xfId="16953" xr:uid="{00000000-0005-0000-0000-000056470000}"/>
    <cellStyle name="Följde hyperlänken 72 2_DataIX" xfId="32034" xr:uid="{00000000-0005-0000-0000-000057470000}"/>
    <cellStyle name="Följde hyperlänken 72 3" xfId="3602" xr:uid="{00000000-0005-0000-0000-000058470000}"/>
    <cellStyle name="Följde hyperlänken 72 3 2" xfId="8783" xr:uid="{00000000-0005-0000-0000-000059470000}"/>
    <cellStyle name="Följde hyperlänken 72 3 3" xfId="16954" xr:uid="{00000000-0005-0000-0000-00005A470000}"/>
    <cellStyle name="Följde hyperlänken 72 3_DataIX" xfId="32035" xr:uid="{00000000-0005-0000-0000-00005B470000}"/>
    <cellStyle name="Följde hyperlänken 72 4" xfId="3603" xr:uid="{00000000-0005-0000-0000-00005C470000}"/>
    <cellStyle name="Följde hyperlänken 72 4 2" xfId="8784" xr:uid="{00000000-0005-0000-0000-00005D470000}"/>
    <cellStyle name="Följde hyperlänken 72 4 3" xfId="16955" xr:uid="{00000000-0005-0000-0000-00005E470000}"/>
    <cellStyle name="Följde hyperlänken 72 4_DataIX" xfId="32036" xr:uid="{00000000-0005-0000-0000-00005F470000}"/>
    <cellStyle name="Följde hyperlänken 72 5" xfId="8781" xr:uid="{00000000-0005-0000-0000-000060470000}"/>
    <cellStyle name="Följde hyperlänken 72 6" xfId="16952" xr:uid="{00000000-0005-0000-0000-000061470000}"/>
    <cellStyle name="Följde hyperlänken 72_DataIX" xfId="32033" xr:uid="{00000000-0005-0000-0000-000062470000}"/>
    <cellStyle name="Följde hyperlänken 73" xfId="3604" xr:uid="{00000000-0005-0000-0000-000063470000}"/>
    <cellStyle name="Följde hyperlänken 73 2" xfId="3605" xr:uid="{00000000-0005-0000-0000-000064470000}"/>
    <cellStyle name="Följde hyperlänken 73 2 2" xfId="8786" xr:uid="{00000000-0005-0000-0000-000065470000}"/>
    <cellStyle name="Följde hyperlänken 73 2 3" xfId="16957" xr:uid="{00000000-0005-0000-0000-000066470000}"/>
    <cellStyle name="Följde hyperlänken 73 2_DataIX" xfId="32038" xr:uid="{00000000-0005-0000-0000-000067470000}"/>
    <cellStyle name="Följde hyperlänken 73 3" xfId="3606" xr:uid="{00000000-0005-0000-0000-000068470000}"/>
    <cellStyle name="Följde hyperlänken 73 3 2" xfId="8787" xr:uid="{00000000-0005-0000-0000-000069470000}"/>
    <cellStyle name="Följde hyperlänken 73 3 3" xfId="16958" xr:uid="{00000000-0005-0000-0000-00006A470000}"/>
    <cellStyle name="Följde hyperlänken 73 3_DataIX" xfId="32039" xr:uid="{00000000-0005-0000-0000-00006B470000}"/>
    <cellStyle name="Följde hyperlänken 73 4" xfId="3607" xr:uid="{00000000-0005-0000-0000-00006C470000}"/>
    <cellStyle name="Följde hyperlänken 73 4 2" xfId="8788" xr:uid="{00000000-0005-0000-0000-00006D470000}"/>
    <cellStyle name="Följde hyperlänken 73 4 3" xfId="16959" xr:uid="{00000000-0005-0000-0000-00006E470000}"/>
    <cellStyle name="Följde hyperlänken 73 4_DataIX" xfId="32040" xr:uid="{00000000-0005-0000-0000-00006F470000}"/>
    <cellStyle name="Följde hyperlänken 73 5" xfId="8785" xr:uid="{00000000-0005-0000-0000-000070470000}"/>
    <cellStyle name="Följde hyperlänken 73 6" xfId="16956" xr:uid="{00000000-0005-0000-0000-000071470000}"/>
    <cellStyle name="Följde hyperlänken 73_DataIX" xfId="32037" xr:uid="{00000000-0005-0000-0000-000072470000}"/>
    <cellStyle name="Följde hyperlänken 74" xfId="3608" xr:uid="{00000000-0005-0000-0000-000073470000}"/>
    <cellStyle name="Följde hyperlänken 74 2" xfId="3609" xr:uid="{00000000-0005-0000-0000-000074470000}"/>
    <cellStyle name="Följde hyperlänken 74 2 2" xfId="8790" xr:uid="{00000000-0005-0000-0000-000075470000}"/>
    <cellStyle name="Följde hyperlänken 74 2 3" xfId="16961" xr:uid="{00000000-0005-0000-0000-000076470000}"/>
    <cellStyle name="Följde hyperlänken 74 2_DataIX" xfId="32042" xr:uid="{00000000-0005-0000-0000-000077470000}"/>
    <cellStyle name="Följde hyperlänken 74 3" xfId="3610" xr:uid="{00000000-0005-0000-0000-000078470000}"/>
    <cellStyle name="Följde hyperlänken 74 3 2" xfId="8791" xr:uid="{00000000-0005-0000-0000-000079470000}"/>
    <cellStyle name="Följde hyperlänken 74 3 3" xfId="16962" xr:uid="{00000000-0005-0000-0000-00007A470000}"/>
    <cellStyle name="Följde hyperlänken 74 3_DataIX" xfId="32043" xr:uid="{00000000-0005-0000-0000-00007B470000}"/>
    <cellStyle name="Följde hyperlänken 74 4" xfId="3611" xr:uid="{00000000-0005-0000-0000-00007C470000}"/>
    <cellStyle name="Följde hyperlänken 74 4 2" xfId="8792" xr:uid="{00000000-0005-0000-0000-00007D470000}"/>
    <cellStyle name="Följde hyperlänken 74 4 3" xfId="16963" xr:uid="{00000000-0005-0000-0000-00007E470000}"/>
    <cellStyle name="Följde hyperlänken 74 4_DataIX" xfId="32044" xr:uid="{00000000-0005-0000-0000-00007F470000}"/>
    <cellStyle name="Följde hyperlänken 74 5" xfId="8789" xr:uid="{00000000-0005-0000-0000-000080470000}"/>
    <cellStyle name="Följde hyperlänken 74 6" xfId="16960" xr:uid="{00000000-0005-0000-0000-000081470000}"/>
    <cellStyle name="Följde hyperlänken 74_DataIX" xfId="32041" xr:uid="{00000000-0005-0000-0000-000082470000}"/>
    <cellStyle name="Följde hyperlänken 75" xfId="3612" xr:uid="{00000000-0005-0000-0000-000083470000}"/>
    <cellStyle name="Följde hyperlänken 75 2" xfId="3613" xr:uid="{00000000-0005-0000-0000-000084470000}"/>
    <cellStyle name="Följde hyperlänken 75 2 2" xfId="8794" xr:uid="{00000000-0005-0000-0000-000085470000}"/>
    <cellStyle name="Följde hyperlänken 75 2 3" xfId="16965" xr:uid="{00000000-0005-0000-0000-000086470000}"/>
    <cellStyle name="Följde hyperlänken 75 2_DataIX" xfId="32046" xr:uid="{00000000-0005-0000-0000-000087470000}"/>
    <cellStyle name="Följde hyperlänken 75 3" xfId="3614" xr:uid="{00000000-0005-0000-0000-000088470000}"/>
    <cellStyle name="Följde hyperlänken 75 3 2" xfId="8795" xr:uid="{00000000-0005-0000-0000-000089470000}"/>
    <cellStyle name="Följde hyperlänken 75 3 3" xfId="16966" xr:uid="{00000000-0005-0000-0000-00008A470000}"/>
    <cellStyle name="Följde hyperlänken 75 3_DataIX" xfId="32047" xr:uid="{00000000-0005-0000-0000-00008B470000}"/>
    <cellStyle name="Följde hyperlänken 75 4" xfId="3615" xr:uid="{00000000-0005-0000-0000-00008C470000}"/>
    <cellStyle name="Följde hyperlänken 75 4 2" xfId="8796" xr:uid="{00000000-0005-0000-0000-00008D470000}"/>
    <cellStyle name="Följde hyperlänken 75 4 3" xfId="16967" xr:uid="{00000000-0005-0000-0000-00008E470000}"/>
    <cellStyle name="Följde hyperlänken 75 4_DataIX" xfId="32048" xr:uid="{00000000-0005-0000-0000-00008F470000}"/>
    <cellStyle name="Följde hyperlänken 75 5" xfId="8793" xr:uid="{00000000-0005-0000-0000-000090470000}"/>
    <cellStyle name="Följde hyperlänken 75 6" xfId="16964" xr:uid="{00000000-0005-0000-0000-000091470000}"/>
    <cellStyle name="Följde hyperlänken 75_DataIX" xfId="32045" xr:uid="{00000000-0005-0000-0000-000092470000}"/>
    <cellStyle name="Följde hyperlänken 76" xfId="3616" xr:uid="{00000000-0005-0000-0000-000093470000}"/>
    <cellStyle name="Följde hyperlänken 76 2" xfId="3617" xr:uid="{00000000-0005-0000-0000-000094470000}"/>
    <cellStyle name="Följde hyperlänken 76 2 2" xfId="8798" xr:uid="{00000000-0005-0000-0000-000095470000}"/>
    <cellStyle name="Följde hyperlänken 76 2 3" xfId="16969" xr:uid="{00000000-0005-0000-0000-000096470000}"/>
    <cellStyle name="Följde hyperlänken 76 2_DataIX" xfId="32050" xr:uid="{00000000-0005-0000-0000-000097470000}"/>
    <cellStyle name="Följde hyperlänken 76 3" xfId="3618" xr:uid="{00000000-0005-0000-0000-000098470000}"/>
    <cellStyle name="Följde hyperlänken 76 3 2" xfId="8799" xr:uid="{00000000-0005-0000-0000-000099470000}"/>
    <cellStyle name="Följde hyperlänken 76 3 3" xfId="16970" xr:uid="{00000000-0005-0000-0000-00009A470000}"/>
    <cellStyle name="Följde hyperlänken 76 3_DataIX" xfId="32051" xr:uid="{00000000-0005-0000-0000-00009B470000}"/>
    <cellStyle name="Följde hyperlänken 76 4" xfId="3619" xr:uid="{00000000-0005-0000-0000-00009C470000}"/>
    <cellStyle name="Följde hyperlänken 76 4 2" xfId="8800" xr:uid="{00000000-0005-0000-0000-00009D470000}"/>
    <cellStyle name="Följde hyperlänken 76 4 3" xfId="16971" xr:uid="{00000000-0005-0000-0000-00009E470000}"/>
    <cellStyle name="Följde hyperlänken 76 4_DataIX" xfId="32052" xr:uid="{00000000-0005-0000-0000-00009F470000}"/>
    <cellStyle name="Följde hyperlänken 76 5" xfId="8797" xr:uid="{00000000-0005-0000-0000-0000A0470000}"/>
    <cellStyle name="Följde hyperlänken 76 6" xfId="16968" xr:uid="{00000000-0005-0000-0000-0000A1470000}"/>
    <cellStyle name="Följde hyperlänken 76_DataIX" xfId="32049" xr:uid="{00000000-0005-0000-0000-0000A2470000}"/>
    <cellStyle name="Följde hyperlänken 77" xfId="3620" xr:uid="{00000000-0005-0000-0000-0000A3470000}"/>
    <cellStyle name="Följde hyperlänken 77 2" xfId="3621" xr:uid="{00000000-0005-0000-0000-0000A4470000}"/>
    <cellStyle name="Följde hyperlänken 77 2 2" xfId="8802" xr:uid="{00000000-0005-0000-0000-0000A5470000}"/>
    <cellStyle name="Följde hyperlänken 77 2 3" xfId="16973" xr:uid="{00000000-0005-0000-0000-0000A6470000}"/>
    <cellStyle name="Följde hyperlänken 77 2_DataIX" xfId="32054" xr:uid="{00000000-0005-0000-0000-0000A7470000}"/>
    <cellStyle name="Följde hyperlänken 77 3" xfId="3622" xr:uid="{00000000-0005-0000-0000-0000A8470000}"/>
    <cellStyle name="Följde hyperlänken 77 3 2" xfId="8803" xr:uid="{00000000-0005-0000-0000-0000A9470000}"/>
    <cellStyle name="Följde hyperlänken 77 3 3" xfId="16974" xr:uid="{00000000-0005-0000-0000-0000AA470000}"/>
    <cellStyle name="Följde hyperlänken 77 3_DataIX" xfId="32055" xr:uid="{00000000-0005-0000-0000-0000AB470000}"/>
    <cellStyle name="Följde hyperlänken 77 4" xfId="3623" xr:uid="{00000000-0005-0000-0000-0000AC470000}"/>
    <cellStyle name="Följde hyperlänken 77 4 2" xfId="8804" xr:uid="{00000000-0005-0000-0000-0000AD470000}"/>
    <cellStyle name="Följde hyperlänken 77 4 3" xfId="16975" xr:uid="{00000000-0005-0000-0000-0000AE470000}"/>
    <cellStyle name="Följde hyperlänken 77 4_DataIX" xfId="32056" xr:uid="{00000000-0005-0000-0000-0000AF470000}"/>
    <cellStyle name="Följde hyperlänken 77 5" xfId="8801" xr:uid="{00000000-0005-0000-0000-0000B0470000}"/>
    <cellStyle name="Följde hyperlänken 77 6" xfId="16972" xr:uid="{00000000-0005-0000-0000-0000B1470000}"/>
    <cellStyle name="Följde hyperlänken 77_DataIX" xfId="32053" xr:uid="{00000000-0005-0000-0000-0000B2470000}"/>
    <cellStyle name="Följde hyperlänken 78" xfId="3624" xr:uid="{00000000-0005-0000-0000-0000B3470000}"/>
    <cellStyle name="Följde hyperlänken 78 2" xfId="3625" xr:uid="{00000000-0005-0000-0000-0000B4470000}"/>
    <cellStyle name="Följde hyperlänken 78 2 2" xfId="8806" xr:uid="{00000000-0005-0000-0000-0000B5470000}"/>
    <cellStyle name="Följde hyperlänken 78 2 3" xfId="16977" xr:uid="{00000000-0005-0000-0000-0000B6470000}"/>
    <cellStyle name="Följde hyperlänken 78 2_DataIX" xfId="32058" xr:uid="{00000000-0005-0000-0000-0000B7470000}"/>
    <cellStyle name="Följde hyperlänken 78 3" xfId="3626" xr:uid="{00000000-0005-0000-0000-0000B8470000}"/>
    <cellStyle name="Följde hyperlänken 78 3 2" xfId="8807" xr:uid="{00000000-0005-0000-0000-0000B9470000}"/>
    <cellStyle name="Följde hyperlänken 78 3 3" xfId="16978" xr:uid="{00000000-0005-0000-0000-0000BA470000}"/>
    <cellStyle name="Följde hyperlänken 78 3_DataIX" xfId="32059" xr:uid="{00000000-0005-0000-0000-0000BB470000}"/>
    <cellStyle name="Följde hyperlänken 78 4" xfId="3627" xr:uid="{00000000-0005-0000-0000-0000BC470000}"/>
    <cellStyle name="Följde hyperlänken 78 4 2" xfId="8808" xr:uid="{00000000-0005-0000-0000-0000BD470000}"/>
    <cellStyle name="Följde hyperlänken 78 4 3" xfId="16979" xr:uid="{00000000-0005-0000-0000-0000BE470000}"/>
    <cellStyle name="Följde hyperlänken 78 4_DataIX" xfId="32060" xr:uid="{00000000-0005-0000-0000-0000BF470000}"/>
    <cellStyle name="Följde hyperlänken 78 5" xfId="8805" xr:uid="{00000000-0005-0000-0000-0000C0470000}"/>
    <cellStyle name="Följde hyperlänken 78 6" xfId="16976" xr:uid="{00000000-0005-0000-0000-0000C1470000}"/>
    <cellStyle name="Följde hyperlänken 78_DataIX" xfId="32057" xr:uid="{00000000-0005-0000-0000-0000C2470000}"/>
    <cellStyle name="Följde hyperlänken 79" xfId="3628" xr:uid="{00000000-0005-0000-0000-0000C3470000}"/>
    <cellStyle name="Följde hyperlänken 79 2" xfId="3629" xr:uid="{00000000-0005-0000-0000-0000C4470000}"/>
    <cellStyle name="Följde hyperlänken 79 2 2" xfId="8810" xr:uid="{00000000-0005-0000-0000-0000C5470000}"/>
    <cellStyle name="Följde hyperlänken 79 2 3" xfId="16981" xr:uid="{00000000-0005-0000-0000-0000C6470000}"/>
    <cellStyle name="Följde hyperlänken 79 2_DataIX" xfId="32062" xr:uid="{00000000-0005-0000-0000-0000C7470000}"/>
    <cellStyle name="Följde hyperlänken 79 3" xfId="3630" xr:uid="{00000000-0005-0000-0000-0000C8470000}"/>
    <cellStyle name="Följde hyperlänken 79 3 2" xfId="8811" xr:uid="{00000000-0005-0000-0000-0000C9470000}"/>
    <cellStyle name="Följde hyperlänken 79 3 3" xfId="16982" xr:uid="{00000000-0005-0000-0000-0000CA470000}"/>
    <cellStyle name="Följde hyperlänken 79 3_DataIX" xfId="32063" xr:uid="{00000000-0005-0000-0000-0000CB470000}"/>
    <cellStyle name="Följde hyperlänken 79 4" xfId="3631" xr:uid="{00000000-0005-0000-0000-0000CC470000}"/>
    <cellStyle name="Följde hyperlänken 79 4 2" xfId="8812" xr:uid="{00000000-0005-0000-0000-0000CD470000}"/>
    <cellStyle name="Följde hyperlänken 79 4 3" xfId="16983" xr:uid="{00000000-0005-0000-0000-0000CE470000}"/>
    <cellStyle name="Följde hyperlänken 79 4_DataIX" xfId="32064" xr:uid="{00000000-0005-0000-0000-0000CF470000}"/>
    <cellStyle name="Följde hyperlänken 79 5" xfId="8809" xr:uid="{00000000-0005-0000-0000-0000D0470000}"/>
    <cellStyle name="Följde hyperlänken 79 6" xfId="16980" xr:uid="{00000000-0005-0000-0000-0000D1470000}"/>
    <cellStyle name="Följde hyperlänken 79_DataIX" xfId="32061" xr:uid="{00000000-0005-0000-0000-0000D2470000}"/>
    <cellStyle name="Följde hyperlänken 8" xfId="3632" xr:uid="{00000000-0005-0000-0000-0000D3470000}"/>
    <cellStyle name="Följde hyperlänken 8 2" xfId="3633" xr:uid="{00000000-0005-0000-0000-0000D4470000}"/>
    <cellStyle name="Följde hyperlänken 8 2 2" xfId="8814" xr:uid="{00000000-0005-0000-0000-0000D5470000}"/>
    <cellStyle name="Följde hyperlänken 8 2 3" xfId="16985" xr:uid="{00000000-0005-0000-0000-0000D6470000}"/>
    <cellStyle name="Följde hyperlänken 8 2_DataIX" xfId="32066" xr:uid="{00000000-0005-0000-0000-0000D7470000}"/>
    <cellStyle name="Följde hyperlänken 8 3" xfId="3634" xr:uid="{00000000-0005-0000-0000-0000D8470000}"/>
    <cellStyle name="Följde hyperlänken 8 3 2" xfId="8815" xr:uid="{00000000-0005-0000-0000-0000D9470000}"/>
    <cellStyle name="Följde hyperlänken 8 3 3" xfId="16986" xr:uid="{00000000-0005-0000-0000-0000DA470000}"/>
    <cellStyle name="Följde hyperlänken 8 3_DataIX" xfId="32067" xr:uid="{00000000-0005-0000-0000-0000DB470000}"/>
    <cellStyle name="Följde hyperlänken 8 4" xfId="3635" xr:uid="{00000000-0005-0000-0000-0000DC470000}"/>
    <cellStyle name="Följde hyperlänken 8 4 2" xfId="8816" xr:uid="{00000000-0005-0000-0000-0000DD470000}"/>
    <cellStyle name="Följde hyperlänken 8 4 3" xfId="16987" xr:uid="{00000000-0005-0000-0000-0000DE470000}"/>
    <cellStyle name="Följde hyperlänken 8 4_DataIX" xfId="32068" xr:uid="{00000000-0005-0000-0000-0000DF470000}"/>
    <cellStyle name="Följde hyperlänken 8 5" xfId="8813" xr:uid="{00000000-0005-0000-0000-0000E0470000}"/>
    <cellStyle name="Följde hyperlänken 8 6" xfId="16984" xr:uid="{00000000-0005-0000-0000-0000E1470000}"/>
    <cellStyle name="Följde hyperlänken 8_DataIX" xfId="32065" xr:uid="{00000000-0005-0000-0000-0000E2470000}"/>
    <cellStyle name="Följde hyperlänken 80" xfId="3636" xr:uid="{00000000-0005-0000-0000-0000E3470000}"/>
    <cellStyle name="Följde hyperlänken 80 2" xfId="3637" xr:uid="{00000000-0005-0000-0000-0000E4470000}"/>
    <cellStyle name="Följde hyperlänken 80 2 2" xfId="8818" xr:uid="{00000000-0005-0000-0000-0000E5470000}"/>
    <cellStyle name="Följde hyperlänken 80 2 3" xfId="16989" xr:uid="{00000000-0005-0000-0000-0000E6470000}"/>
    <cellStyle name="Följde hyperlänken 80 2_DataIX" xfId="32070" xr:uid="{00000000-0005-0000-0000-0000E7470000}"/>
    <cellStyle name="Följde hyperlänken 80 3" xfId="3638" xr:uid="{00000000-0005-0000-0000-0000E8470000}"/>
    <cellStyle name="Följde hyperlänken 80 3 2" xfId="8819" xr:uid="{00000000-0005-0000-0000-0000E9470000}"/>
    <cellStyle name="Följde hyperlänken 80 3 3" xfId="16990" xr:uid="{00000000-0005-0000-0000-0000EA470000}"/>
    <cellStyle name="Följde hyperlänken 80 3_DataIX" xfId="32071" xr:uid="{00000000-0005-0000-0000-0000EB470000}"/>
    <cellStyle name="Följde hyperlänken 80 4" xfId="3639" xr:uid="{00000000-0005-0000-0000-0000EC470000}"/>
    <cellStyle name="Följde hyperlänken 80 4 2" xfId="8820" xr:uid="{00000000-0005-0000-0000-0000ED470000}"/>
    <cellStyle name="Följde hyperlänken 80 4 3" xfId="16991" xr:uid="{00000000-0005-0000-0000-0000EE470000}"/>
    <cellStyle name="Följde hyperlänken 80 4_DataIX" xfId="32072" xr:uid="{00000000-0005-0000-0000-0000EF470000}"/>
    <cellStyle name="Följde hyperlänken 80 5" xfId="8817" xr:uid="{00000000-0005-0000-0000-0000F0470000}"/>
    <cellStyle name="Följde hyperlänken 80 6" xfId="16988" xr:uid="{00000000-0005-0000-0000-0000F1470000}"/>
    <cellStyle name="Följde hyperlänken 80_DataIX" xfId="32069" xr:uid="{00000000-0005-0000-0000-0000F2470000}"/>
    <cellStyle name="Följde hyperlänken 81" xfId="3640" xr:uid="{00000000-0005-0000-0000-0000F3470000}"/>
    <cellStyle name="Följde hyperlänken 81 2" xfId="3641" xr:uid="{00000000-0005-0000-0000-0000F4470000}"/>
    <cellStyle name="Följde hyperlänken 81 2 2" xfId="8822" xr:uid="{00000000-0005-0000-0000-0000F5470000}"/>
    <cellStyle name="Följde hyperlänken 81 2 3" xfId="16993" xr:uid="{00000000-0005-0000-0000-0000F6470000}"/>
    <cellStyle name="Följde hyperlänken 81 2_DataIX" xfId="32074" xr:uid="{00000000-0005-0000-0000-0000F7470000}"/>
    <cellStyle name="Följde hyperlänken 81 3" xfId="3642" xr:uid="{00000000-0005-0000-0000-0000F8470000}"/>
    <cellStyle name="Följde hyperlänken 81 3 2" xfId="8823" xr:uid="{00000000-0005-0000-0000-0000F9470000}"/>
    <cellStyle name="Följde hyperlänken 81 3 3" xfId="16994" xr:uid="{00000000-0005-0000-0000-0000FA470000}"/>
    <cellStyle name="Följde hyperlänken 81 3_DataIX" xfId="32075" xr:uid="{00000000-0005-0000-0000-0000FB470000}"/>
    <cellStyle name="Följde hyperlänken 81 4" xfId="3643" xr:uid="{00000000-0005-0000-0000-0000FC470000}"/>
    <cellStyle name="Följde hyperlänken 81 4 2" xfId="8824" xr:uid="{00000000-0005-0000-0000-0000FD470000}"/>
    <cellStyle name="Följde hyperlänken 81 4 3" xfId="16995" xr:uid="{00000000-0005-0000-0000-0000FE470000}"/>
    <cellStyle name="Följde hyperlänken 81 4_DataIX" xfId="32076" xr:uid="{00000000-0005-0000-0000-0000FF470000}"/>
    <cellStyle name="Följde hyperlänken 81 5" xfId="8821" xr:uid="{00000000-0005-0000-0000-000000480000}"/>
    <cellStyle name="Följde hyperlänken 81 6" xfId="16992" xr:uid="{00000000-0005-0000-0000-000001480000}"/>
    <cellStyle name="Följde hyperlänken 81_DataIX" xfId="32073" xr:uid="{00000000-0005-0000-0000-000002480000}"/>
    <cellStyle name="Följde hyperlänken 82" xfId="3644" xr:uid="{00000000-0005-0000-0000-000003480000}"/>
    <cellStyle name="Följde hyperlänken 82 2" xfId="3645" xr:uid="{00000000-0005-0000-0000-000004480000}"/>
    <cellStyle name="Följde hyperlänken 82 2 2" xfId="8826" xr:uid="{00000000-0005-0000-0000-000005480000}"/>
    <cellStyle name="Följde hyperlänken 82 2 3" xfId="16997" xr:uid="{00000000-0005-0000-0000-000006480000}"/>
    <cellStyle name="Följde hyperlänken 82 2_DataIX" xfId="32078" xr:uid="{00000000-0005-0000-0000-000007480000}"/>
    <cellStyle name="Följde hyperlänken 82 3" xfId="3646" xr:uid="{00000000-0005-0000-0000-000008480000}"/>
    <cellStyle name="Följde hyperlänken 82 3 2" xfId="8827" xr:uid="{00000000-0005-0000-0000-000009480000}"/>
    <cellStyle name="Följde hyperlänken 82 3 3" xfId="16998" xr:uid="{00000000-0005-0000-0000-00000A480000}"/>
    <cellStyle name="Följde hyperlänken 82 3_DataIX" xfId="32079" xr:uid="{00000000-0005-0000-0000-00000B480000}"/>
    <cellStyle name="Följde hyperlänken 82 4" xfId="3647" xr:uid="{00000000-0005-0000-0000-00000C480000}"/>
    <cellStyle name="Följde hyperlänken 82 4 2" xfId="8828" xr:uid="{00000000-0005-0000-0000-00000D480000}"/>
    <cellStyle name="Följde hyperlänken 82 4 3" xfId="16999" xr:uid="{00000000-0005-0000-0000-00000E480000}"/>
    <cellStyle name="Följde hyperlänken 82 4_DataIX" xfId="32080" xr:uid="{00000000-0005-0000-0000-00000F480000}"/>
    <cellStyle name="Följde hyperlänken 82 5" xfId="8825" xr:uid="{00000000-0005-0000-0000-000010480000}"/>
    <cellStyle name="Följde hyperlänken 82 6" xfId="16996" xr:uid="{00000000-0005-0000-0000-000011480000}"/>
    <cellStyle name="Följde hyperlänken 82_DataIX" xfId="32077" xr:uid="{00000000-0005-0000-0000-000012480000}"/>
    <cellStyle name="Följde hyperlänken 83" xfId="3648" xr:uid="{00000000-0005-0000-0000-000013480000}"/>
    <cellStyle name="Följde hyperlänken 83 2" xfId="3649" xr:uid="{00000000-0005-0000-0000-000014480000}"/>
    <cellStyle name="Följde hyperlänken 83 2 2" xfId="8830" xr:uid="{00000000-0005-0000-0000-000015480000}"/>
    <cellStyle name="Följde hyperlänken 83 2 3" xfId="17001" xr:uid="{00000000-0005-0000-0000-000016480000}"/>
    <cellStyle name="Följde hyperlänken 83 2_DataIX" xfId="32082" xr:uid="{00000000-0005-0000-0000-000017480000}"/>
    <cellStyle name="Följde hyperlänken 83 3" xfId="3650" xr:uid="{00000000-0005-0000-0000-000018480000}"/>
    <cellStyle name="Följde hyperlänken 83 3 2" xfId="8831" xr:uid="{00000000-0005-0000-0000-000019480000}"/>
    <cellStyle name="Följde hyperlänken 83 3 3" xfId="17002" xr:uid="{00000000-0005-0000-0000-00001A480000}"/>
    <cellStyle name="Följde hyperlänken 83 3_DataIX" xfId="32083" xr:uid="{00000000-0005-0000-0000-00001B480000}"/>
    <cellStyle name="Följde hyperlänken 83 4" xfId="3651" xr:uid="{00000000-0005-0000-0000-00001C480000}"/>
    <cellStyle name="Följde hyperlänken 83 4 2" xfId="8832" xr:uid="{00000000-0005-0000-0000-00001D480000}"/>
    <cellStyle name="Följde hyperlänken 83 4 3" xfId="17003" xr:uid="{00000000-0005-0000-0000-00001E480000}"/>
    <cellStyle name="Följde hyperlänken 83 4_DataIX" xfId="32084" xr:uid="{00000000-0005-0000-0000-00001F480000}"/>
    <cellStyle name="Följde hyperlänken 83 5" xfId="8829" xr:uid="{00000000-0005-0000-0000-000020480000}"/>
    <cellStyle name="Följde hyperlänken 83 6" xfId="17000" xr:uid="{00000000-0005-0000-0000-000021480000}"/>
    <cellStyle name="Följde hyperlänken 83_DataIX" xfId="32081" xr:uid="{00000000-0005-0000-0000-000022480000}"/>
    <cellStyle name="Följde hyperlänken 84" xfId="3652" xr:uid="{00000000-0005-0000-0000-000023480000}"/>
    <cellStyle name="Följde hyperlänken 84 2" xfId="3653" xr:uid="{00000000-0005-0000-0000-000024480000}"/>
    <cellStyle name="Följde hyperlänken 84 2 2" xfId="8834" xr:uid="{00000000-0005-0000-0000-000025480000}"/>
    <cellStyle name="Följde hyperlänken 84 2 3" xfId="17005" xr:uid="{00000000-0005-0000-0000-000026480000}"/>
    <cellStyle name="Följde hyperlänken 84 2_DataIX" xfId="32086" xr:uid="{00000000-0005-0000-0000-000027480000}"/>
    <cellStyle name="Följde hyperlänken 84 3" xfId="3654" xr:uid="{00000000-0005-0000-0000-000028480000}"/>
    <cellStyle name="Följde hyperlänken 84 3 2" xfId="8835" xr:uid="{00000000-0005-0000-0000-000029480000}"/>
    <cellStyle name="Följde hyperlänken 84 3 3" xfId="17006" xr:uid="{00000000-0005-0000-0000-00002A480000}"/>
    <cellStyle name="Följde hyperlänken 84 3_DataIX" xfId="32087" xr:uid="{00000000-0005-0000-0000-00002B480000}"/>
    <cellStyle name="Följde hyperlänken 84 4" xfId="3655" xr:uid="{00000000-0005-0000-0000-00002C480000}"/>
    <cellStyle name="Följde hyperlänken 84 4 2" xfId="8836" xr:uid="{00000000-0005-0000-0000-00002D480000}"/>
    <cellStyle name="Följde hyperlänken 84 4 3" xfId="17007" xr:uid="{00000000-0005-0000-0000-00002E480000}"/>
    <cellStyle name="Följde hyperlänken 84 4_DataIX" xfId="32088" xr:uid="{00000000-0005-0000-0000-00002F480000}"/>
    <cellStyle name="Följde hyperlänken 84 5" xfId="8833" xr:uid="{00000000-0005-0000-0000-000030480000}"/>
    <cellStyle name="Följde hyperlänken 84 6" xfId="17004" xr:uid="{00000000-0005-0000-0000-000031480000}"/>
    <cellStyle name="Följde hyperlänken 84_DataIX" xfId="32085" xr:uid="{00000000-0005-0000-0000-000032480000}"/>
    <cellStyle name="Följde hyperlänken 85" xfId="3656" xr:uid="{00000000-0005-0000-0000-000033480000}"/>
    <cellStyle name="Följde hyperlänken 85 2" xfId="3657" xr:uid="{00000000-0005-0000-0000-000034480000}"/>
    <cellStyle name="Följde hyperlänken 85 2 2" xfId="8838" xr:uid="{00000000-0005-0000-0000-000035480000}"/>
    <cellStyle name="Följde hyperlänken 85 2 3" xfId="17009" xr:uid="{00000000-0005-0000-0000-000036480000}"/>
    <cellStyle name="Följde hyperlänken 85 2_DataIX" xfId="32090" xr:uid="{00000000-0005-0000-0000-000037480000}"/>
    <cellStyle name="Följde hyperlänken 85 3" xfId="3658" xr:uid="{00000000-0005-0000-0000-000038480000}"/>
    <cellStyle name="Följde hyperlänken 85 3 2" xfId="8839" xr:uid="{00000000-0005-0000-0000-000039480000}"/>
    <cellStyle name="Följde hyperlänken 85 3 3" xfId="17010" xr:uid="{00000000-0005-0000-0000-00003A480000}"/>
    <cellStyle name="Följde hyperlänken 85 3_DataIX" xfId="32091" xr:uid="{00000000-0005-0000-0000-00003B480000}"/>
    <cellStyle name="Följde hyperlänken 85 4" xfId="3659" xr:uid="{00000000-0005-0000-0000-00003C480000}"/>
    <cellStyle name="Följde hyperlänken 85 4 2" xfId="8840" xr:uid="{00000000-0005-0000-0000-00003D480000}"/>
    <cellStyle name="Följde hyperlänken 85 4 3" xfId="17011" xr:uid="{00000000-0005-0000-0000-00003E480000}"/>
    <cellStyle name="Följde hyperlänken 85 4_DataIX" xfId="32092" xr:uid="{00000000-0005-0000-0000-00003F480000}"/>
    <cellStyle name="Följde hyperlänken 85 5" xfId="8837" xr:uid="{00000000-0005-0000-0000-000040480000}"/>
    <cellStyle name="Följde hyperlänken 85 6" xfId="17008" xr:uid="{00000000-0005-0000-0000-000041480000}"/>
    <cellStyle name="Följde hyperlänken 85_DataIX" xfId="32089" xr:uid="{00000000-0005-0000-0000-000042480000}"/>
    <cellStyle name="Följde hyperlänken 86" xfId="3660" xr:uid="{00000000-0005-0000-0000-000043480000}"/>
    <cellStyle name="Följde hyperlänken 86 2" xfId="3661" xr:uid="{00000000-0005-0000-0000-000044480000}"/>
    <cellStyle name="Följde hyperlänken 86 2 2" xfId="8842" xr:uid="{00000000-0005-0000-0000-000045480000}"/>
    <cellStyle name="Följde hyperlänken 86 2 3" xfId="17013" xr:uid="{00000000-0005-0000-0000-000046480000}"/>
    <cellStyle name="Följde hyperlänken 86 2_DataIX" xfId="32094" xr:uid="{00000000-0005-0000-0000-000047480000}"/>
    <cellStyle name="Följde hyperlänken 86 3" xfId="3662" xr:uid="{00000000-0005-0000-0000-000048480000}"/>
    <cellStyle name="Följde hyperlänken 86 3 2" xfId="8843" xr:uid="{00000000-0005-0000-0000-000049480000}"/>
    <cellStyle name="Följde hyperlänken 86 3 3" xfId="17014" xr:uid="{00000000-0005-0000-0000-00004A480000}"/>
    <cellStyle name="Följde hyperlänken 86 3_DataIX" xfId="32095" xr:uid="{00000000-0005-0000-0000-00004B480000}"/>
    <cellStyle name="Följde hyperlänken 86 4" xfId="3663" xr:uid="{00000000-0005-0000-0000-00004C480000}"/>
    <cellStyle name="Följde hyperlänken 86 4 2" xfId="8844" xr:uid="{00000000-0005-0000-0000-00004D480000}"/>
    <cellStyle name="Följde hyperlänken 86 4 3" xfId="17015" xr:uid="{00000000-0005-0000-0000-00004E480000}"/>
    <cellStyle name="Följde hyperlänken 86 4_DataIX" xfId="32096" xr:uid="{00000000-0005-0000-0000-00004F480000}"/>
    <cellStyle name="Följde hyperlänken 86 5" xfId="8841" xr:uid="{00000000-0005-0000-0000-000050480000}"/>
    <cellStyle name="Följde hyperlänken 86 6" xfId="17012" xr:uid="{00000000-0005-0000-0000-000051480000}"/>
    <cellStyle name="Följde hyperlänken 86_DataIX" xfId="32093" xr:uid="{00000000-0005-0000-0000-000052480000}"/>
    <cellStyle name="Följde hyperlänken 87" xfId="3664" xr:uid="{00000000-0005-0000-0000-000053480000}"/>
    <cellStyle name="Följde hyperlänken 87 2" xfId="3665" xr:uid="{00000000-0005-0000-0000-000054480000}"/>
    <cellStyle name="Följde hyperlänken 87 2 2" xfId="8846" xr:uid="{00000000-0005-0000-0000-000055480000}"/>
    <cellStyle name="Följde hyperlänken 87 2 3" xfId="17017" xr:uid="{00000000-0005-0000-0000-000056480000}"/>
    <cellStyle name="Följde hyperlänken 87 2_DataIX" xfId="32098" xr:uid="{00000000-0005-0000-0000-000057480000}"/>
    <cellStyle name="Följde hyperlänken 87 3" xfId="3666" xr:uid="{00000000-0005-0000-0000-000058480000}"/>
    <cellStyle name="Följde hyperlänken 87 3 2" xfId="8847" xr:uid="{00000000-0005-0000-0000-000059480000}"/>
    <cellStyle name="Följde hyperlänken 87 3 3" xfId="17018" xr:uid="{00000000-0005-0000-0000-00005A480000}"/>
    <cellStyle name="Följde hyperlänken 87 3_DataIX" xfId="32099" xr:uid="{00000000-0005-0000-0000-00005B480000}"/>
    <cellStyle name="Följde hyperlänken 87 4" xfId="3667" xr:uid="{00000000-0005-0000-0000-00005C480000}"/>
    <cellStyle name="Följde hyperlänken 87 4 2" xfId="8848" xr:uid="{00000000-0005-0000-0000-00005D480000}"/>
    <cellStyle name="Följde hyperlänken 87 4 3" xfId="17019" xr:uid="{00000000-0005-0000-0000-00005E480000}"/>
    <cellStyle name="Följde hyperlänken 87 4_DataIX" xfId="32100" xr:uid="{00000000-0005-0000-0000-00005F480000}"/>
    <cellStyle name="Följde hyperlänken 87 5" xfId="8845" xr:uid="{00000000-0005-0000-0000-000060480000}"/>
    <cellStyle name="Följde hyperlänken 87 6" xfId="17016" xr:uid="{00000000-0005-0000-0000-000061480000}"/>
    <cellStyle name="Följde hyperlänken 87_DataIX" xfId="32097" xr:uid="{00000000-0005-0000-0000-000062480000}"/>
    <cellStyle name="Följde hyperlänken 88" xfId="3668" xr:uid="{00000000-0005-0000-0000-000063480000}"/>
    <cellStyle name="Följde hyperlänken 88 2" xfId="3669" xr:uid="{00000000-0005-0000-0000-000064480000}"/>
    <cellStyle name="Följde hyperlänken 88 2 2" xfId="8850" xr:uid="{00000000-0005-0000-0000-000065480000}"/>
    <cellStyle name="Följde hyperlänken 88 2 3" xfId="17021" xr:uid="{00000000-0005-0000-0000-000066480000}"/>
    <cellStyle name="Följde hyperlänken 88 2_DataIX" xfId="32102" xr:uid="{00000000-0005-0000-0000-000067480000}"/>
    <cellStyle name="Följde hyperlänken 88 3" xfId="3670" xr:uid="{00000000-0005-0000-0000-000068480000}"/>
    <cellStyle name="Följde hyperlänken 88 3 2" xfId="8851" xr:uid="{00000000-0005-0000-0000-000069480000}"/>
    <cellStyle name="Följde hyperlänken 88 3 3" xfId="17022" xr:uid="{00000000-0005-0000-0000-00006A480000}"/>
    <cellStyle name="Följde hyperlänken 88 3_DataIX" xfId="32103" xr:uid="{00000000-0005-0000-0000-00006B480000}"/>
    <cellStyle name="Följde hyperlänken 88 4" xfId="3671" xr:uid="{00000000-0005-0000-0000-00006C480000}"/>
    <cellStyle name="Följde hyperlänken 88 4 2" xfId="8852" xr:uid="{00000000-0005-0000-0000-00006D480000}"/>
    <cellStyle name="Följde hyperlänken 88 4 3" xfId="17023" xr:uid="{00000000-0005-0000-0000-00006E480000}"/>
    <cellStyle name="Följde hyperlänken 88 4_DataIX" xfId="32104" xr:uid="{00000000-0005-0000-0000-00006F480000}"/>
    <cellStyle name="Följde hyperlänken 88 5" xfId="8849" xr:uid="{00000000-0005-0000-0000-000070480000}"/>
    <cellStyle name="Följde hyperlänken 88 6" xfId="17020" xr:uid="{00000000-0005-0000-0000-000071480000}"/>
    <cellStyle name="Följde hyperlänken 88_DataIX" xfId="32101" xr:uid="{00000000-0005-0000-0000-000072480000}"/>
    <cellStyle name="Följde hyperlänken 89" xfId="3672" xr:uid="{00000000-0005-0000-0000-000073480000}"/>
    <cellStyle name="Följde hyperlänken 89 2" xfId="3673" xr:uid="{00000000-0005-0000-0000-000074480000}"/>
    <cellStyle name="Följde hyperlänken 89 2 2" xfId="8854" xr:uid="{00000000-0005-0000-0000-000075480000}"/>
    <cellStyle name="Följde hyperlänken 89 2 3" xfId="17025" xr:uid="{00000000-0005-0000-0000-000076480000}"/>
    <cellStyle name="Följde hyperlänken 89 2_DataIX" xfId="32106" xr:uid="{00000000-0005-0000-0000-000077480000}"/>
    <cellStyle name="Följde hyperlänken 89 3" xfId="3674" xr:uid="{00000000-0005-0000-0000-000078480000}"/>
    <cellStyle name="Följde hyperlänken 89 3 2" xfId="8855" xr:uid="{00000000-0005-0000-0000-000079480000}"/>
    <cellStyle name="Följde hyperlänken 89 3 3" xfId="17026" xr:uid="{00000000-0005-0000-0000-00007A480000}"/>
    <cellStyle name="Följde hyperlänken 89 3_DataIX" xfId="32107" xr:uid="{00000000-0005-0000-0000-00007B480000}"/>
    <cellStyle name="Följde hyperlänken 89 4" xfId="3675" xr:uid="{00000000-0005-0000-0000-00007C480000}"/>
    <cellStyle name="Följde hyperlänken 89 4 2" xfId="8856" xr:uid="{00000000-0005-0000-0000-00007D480000}"/>
    <cellStyle name="Följde hyperlänken 89 4 3" xfId="17027" xr:uid="{00000000-0005-0000-0000-00007E480000}"/>
    <cellStyle name="Följde hyperlänken 89 4_DataIX" xfId="32108" xr:uid="{00000000-0005-0000-0000-00007F480000}"/>
    <cellStyle name="Följde hyperlänken 89 5" xfId="8853" xr:uid="{00000000-0005-0000-0000-000080480000}"/>
    <cellStyle name="Följde hyperlänken 89 6" xfId="17024" xr:uid="{00000000-0005-0000-0000-000081480000}"/>
    <cellStyle name="Följde hyperlänken 89_DataIX" xfId="32105" xr:uid="{00000000-0005-0000-0000-000082480000}"/>
    <cellStyle name="Följde hyperlänken 9" xfId="3676" xr:uid="{00000000-0005-0000-0000-000083480000}"/>
    <cellStyle name="Följde hyperlänken 9 2" xfId="3677" xr:uid="{00000000-0005-0000-0000-000084480000}"/>
    <cellStyle name="Följde hyperlänken 9 2 2" xfId="8858" xr:uid="{00000000-0005-0000-0000-000085480000}"/>
    <cellStyle name="Följde hyperlänken 9 2 3" xfId="17029" xr:uid="{00000000-0005-0000-0000-000086480000}"/>
    <cellStyle name="Följde hyperlänken 9 2_DataIX" xfId="32110" xr:uid="{00000000-0005-0000-0000-000087480000}"/>
    <cellStyle name="Följde hyperlänken 9 3" xfId="3678" xr:uid="{00000000-0005-0000-0000-000088480000}"/>
    <cellStyle name="Följde hyperlänken 9 3 2" xfId="8859" xr:uid="{00000000-0005-0000-0000-000089480000}"/>
    <cellStyle name="Följde hyperlänken 9 3 3" xfId="17030" xr:uid="{00000000-0005-0000-0000-00008A480000}"/>
    <cellStyle name="Följde hyperlänken 9 3_DataIX" xfId="32111" xr:uid="{00000000-0005-0000-0000-00008B480000}"/>
    <cellStyle name="Följde hyperlänken 9 4" xfId="3679" xr:uid="{00000000-0005-0000-0000-00008C480000}"/>
    <cellStyle name="Följde hyperlänken 9 4 2" xfId="8860" xr:uid="{00000000-0005-0000-0000-00008D480000}"/>
    <cellStyle name="Följde hyperlänken 9 4 3" xfId="17031" xr:uid="{00000000-0005-0000-0000-00008E480000}"/>
    <cellStyle name="Följde hyperlänken 9 4_DataIX" xfId="32112" xr:uid="{00000000-0005-0000-0000-00008F480000}"/>
    <cellStyle name="Följde hyperlänken 9 5" xfId="8857" xr:uid="{00000000-0005-0000-0000-000090480000}"/>
    <cellStyle name="Följde hyperlänken 9 6" xfId="17028" xr:uid="{00000000-0005-0000-0000-000091480000}"/>
    <cellStyle name="Följde hyperlänken 9_DataIX" xfId="32109" xr:uid="{00000000-0005-0000-0000-000092480000}"/>
    <cellStyle name="Följde hyperlänken 90" xfId="3680" xr:uid="{00000000-0005-0000-0000-000093480000}"/>
    <cellStyle name="Följde hyperlänken 90 2" xfId="3681" xr:uid="{00000000-0005-0000-0000-000094480000}"/>
    <cellStyle name="Följde hyperlänken 90 2 2" xfId="8862" xr:uid="{00000000-0005-0000-0000-000095480000}"/>
    <cellStyle name="Följde hyperlänken 90 2 3" xfId="17033" xr:uid="{00000000-0005-0000-0000-000096480000}"/>
    <cellStyle name="Följde hyperlänken 90 2_DataIX" xfId="32114" xr:uid="{00000000-0005-0000-0000-000097480000}"/>
    <cellStyle name="Följde hyperlänken 90 3" xfId="3682" xr:uid="{00000000-0005-0000-0000-000098480000}"/>
    <cellStyle name="Följde hyperlänken 90 3 2" xfId="8863" xr:uid="{00000000-0005-0000-0000-000099480000}"/>
    <cellStyle name="Följde hyperlänken 90 3 3" xfId="17034" xr:uid="{00000000-0005-0000-0000-00009A480000}"/>
    <cellStyle name="Följde hyperlänken 90 3_DataIX" xfId="32115" xr:uid="{00000000-0005-0000-0000-00009B480000}"/>
    <cellStyle name="Följde hyperlänken 90 4" xfId="8861" xr:uid="{00000000-0005-0000-0000-00009C480000}"/>
    <cellStyle name="Följde hyperlänken 90 5" xfId="17032" xr:uid="{00000000-0005-0000-0000-00009D480000}"/>
    <cellStyle name="Följde hyperlänken 90_DataIX" xfId="32113" xr:uid="{00000000-0005-0000-0000-00009E480000}"/>
    <cellStyle name="Följde hyperlänken 91" xfId="3683" xr:uid="{00000000-0005-0000-0000-00009F480000}"/>
    <cellStyle name="Följde hyperlänken 91 2" xfId="3684" xr:uid="{00000000-0005-0000-0000-0000A0480000}"/>
    <cellStyle name="Följde hyperlänken 91 2 2" xfId="8865" xr:uid="{00000000-0005-0000-0000-0000A1480000}"/>
    <cellStyle name="Följde hyperlänken 91 2 3" xfId="17036" xr:uid="{00000000-0005-0000-0000-0000A2480000}"/>
    <cellStyle name="Följde hyperlänken 91 2_DataIX" xfId="32117" xr:uid="{00000000-0005-0000-0000-0000A3480000}"/>
    <cellStyle name="Följde hyperlänken 91 3" xfId="3685" xr:uid="{00000000-0005-0000-0000-0000A4480000}"/>
    <cellStyle name="Följde hyperlänken 91 3 2" xfId="8866" xr:uid="{00000000-0005-0000-0000-0000A5480000}"/>
    <cellStyle name="Följde hyperlänken 91 3 3" xfId="17037" xr:uid="{00000000-0005-0000-0000-0000A6480000}"/>
    <cellStyle name="Följde hyperlänken 91 3_DataIX" xfId="32118" xr:uid="{00000000-0005-0000-0000-0000A7480000}"/>
    <cellStyle name="Följde hyperlänken 91 4" xfId="8864" xr:uid="{00000000-0005-0000-0000-0000A8480000}"/>
    <cellStyle name="Följde hyperlänken 91 5" xfId="17035" xr:uid="{00000000-0005-0000-0000-0000A9480000}"/>
    <cellStyle name="Följde hyperlänken 91_DataIX" xfId="32116" xr:uid="{00000000-0005-0000-0000-0000AA480000}"/>
    <cellStyle name="Följde hyperlänken 92" xfId="3686" xr:uid="{00000000-0005-0000-0000-0000AB480000}"/>
    <cellStyle name="Följde hyperlänken 92 2" xfId="3687" xr:uid="{00000000-0005-0000-0000-0000AC480000}"/>
    <cellStyle name="Följde hyperlänken 92 2 2" xfId="8868" xr:uid="{00000000-0005-0000-0000-0000AD480000}"/>
    <cellStyle name="Följde hyperlänken 92 2 3" xfId="17039" xr:uid="{00000000-0005-0000-0000-0000AE480000}"/>
    <cellStyle name="Följde hyperlänken 92 2_DataIX" xfId="32120" xr:uid="{00000000-0005-0000-0000-0000AF480000}"/>
    <cellStyle name="Följde hyperlänken 92 3" xfId="3688" xr:uid="{00000000-0005-0000-0000-0000B0480000}"/>
    <cellStyle name="Följde hyperlänken 92 3 2" xfId="8869" xr:uid="{00000000-0005-0000-0000-0000B1480000}"/>
    <cellStyle name="Följde hyperlänken 92 3 3" xfId="17040" xr:uid="{00000000-0005-0000-0000-0000B2480000}"/>
    <cellStyle name="Följde hyperlänken 92 3_DataIX" xfId="32121" xr:uid="{00000000-0005-0000-0000-0000B3480000}"/>
    <cellStyle name="Följde hyperlänken 92 4" xfId="8867" xr:uid="{00000000-0005-0000-0000-0000B4480000}"/>
    <cellStyle name="Följde hyperlänken 92 5" xfId="17038" xr:uid="{00000000-0005-0000-0000-0000B5480000}"/>
    <cellStyle name="Följde hyperlänken 92_DataIX" xfId="32119" xr:uid="{00000000-0005-0000-0000-0000B6480000}"/>
    <cellStyle name="Följde hyperlänken 93" xfId="3689" xr:uid="{00000000-0005-0000-0000-0000B7480000}"/>
    <cellStyle name="Följde hyperlänken 93 2" xfId="3690" xr:uid="{00000000-0005-0000-0000-0000B8480000}"/>
    <cellStyle name="Följde hyperlänken 93 2 2" xfId="8871" xr:uid="{00000000-0005-0000-0000-0000B9480000}"/>
    <cellStyle name="Följde hyperlänken 93 2 3" xfId="17042" xr:uid="{00000000-0005-0000-0000-0000BA480000}"/>
    <cellStyle name="Följde hyperlänken 93 2_DataIX" xfId="32123" xr:uid="{00000000-0005-0000-0000-0000BB480000}"/>
    <cellStyle name="Följde hyperlänken 93 3" xfId="3691" xr:uid="{00000000-0005-0000-0000-0000BC480000}"/>
    <cellStyle name="Följde hyperlänken 93 3 2" xfId="8872" xr:uid="{00000000-0005-0000-0000-0000BD480000}"/>
    <cellStyle name="Följde hyperlänken 93 3 3" xfId="17043" xr:uid="{00000000-0005-0000-0000-0000BE480000}"/>
    <cellStyle name="Följde hyperlänken 93 3_DataIX" xfId="32124" xr:uid="{00000000-0005-0000-0000-0000BF480000}"/>
    <cellStyle name="Följde hyperlänken 93 4" xfId="8870" xr:uid="{00000000-0005-0000-0000-0000C0480000}"/>
    <cellStyle name="Följde hyperlänken 93 5" xfId="17041" xr:uid="{00000000-0005-0000-0000-0000C1480000}"/>
    <cellStyle name="Följde hyperlänken 93_DataIX" xfId="32122" xr:uid="{00000000-0005-0000-0000-0000C2480000}"/>
    <cellStyle name="Följde hyperlänken 94" xfId="3692" xr:uid="{00000000-0005-0000-0000-0000C3480000}"/>
    <cellStyle name="Följde hyperlänken 94 2" xfId="3693" xr:uid="{00000000-0005-0000-0000-0000C4480000}"/>
    <cellStyle name="Följde hyperlänken 94 2 2" xfId="8874" xr:uid="{00000000-0005-0000-0000-0000C5480000}"/>
    <cellStyle name="Följde hyperlänken 94 2 3" xfId="17045" xr:uid="{00000000-0005-0000-0000-0000C6480000}"/>
    <cellStyle name="Följde hyperlänken 94 2_DataIX" xfId="32126" xr:uid="{00000000-0005-0000-0000-0000C7480000}"/>
    <cellStyle name="Följde hyperlänken 94 3" xfId="3694" xr:uid="{00000000-0005-0000-0000-0000C8480000}"/>
    <cellStyle name="Följde hyperlänken 94 3 2" xfId="8875" xr:uid="{00000000-0005-0000-0000-0000C9480000}"/>
    <cellStyle name="Följde hyperlänken 94 3 3" xfId="17046" xr:uid="{00000000-0005-0000-0000-0000CA480000}"/>
    <cellStyle name="Följde hyperlänken 94 3_DataIX" xfId="32127" xr:uid="{00000000-0005-0000-0000-0000CB480000}"/>
    <cellStyle name="Följde hyperlänken 94 4" xfId="8873" xr:uid="{00000000-0005-0000-0000-0000CC480000}"/>
    <cellStyle name="Följde hyperlänken 94 5" xfId="17044" xr:uid="{00000000-0005-0000-0000-0000CD480000}"/>
    <cellStyle name="Följde hyperlänken 94_DataIX" xfId="32125" xr:uid="{00000000-0005-0000-0000-0000CE480000}"/>
    <cellStyle name="Följde hyperlänken 95" xfId="3695" xr:uid="{00000000-0005-0000-0000-0000CF480000}"/>
    <cellStyle name="Följde hyperlänken 95 2" xfId="3696" xr:uid="{00000000-0005-0000-0000-0000D0480000}"/>
    <cellStyle name="Följde hyperlänken 95 2 2" xfId="8877" xr:uid="{00000000-0005-0000-0000-0000D1480000}"/>
    <cellStyle name="Följde hyperlänken 95 2 3" xfId="17048" xr:uid="{00000000-0005-0000-0000-0000D2480000}"/>
    <cellStyle name="Följde hyperlänken 95 2_DataIX" xfId="32129" xr:uid="{00000000-0005-0000-0000-0000D3480000}"/>
    <cellStyle name="Följde hyperlänken 95 3" xfId="3697" xr:uid="{00000000-0005-0000-0000-0000D4480000}"/>
    <cellStyle name="Följde hyperlänken 95 3 2" xfId="8878" xr:uid="{00000000-0005-0000-0000-0000D5480000}"/>
    <cellStyle name="Följde hyperlänken 95 3 3" xfId="17049" xr:uid="{00000000-0005-0000-0000-0000D6480000}"/>
    <cellStyle name="Följde hyperlänken 95 3_DataIX" xfId="32130" xr:uid="{00000000-0005-0000-0000-0000D7480000}"/>
    <cellStyle name="Följde hyperlänken 95 4" xfId="8876" xr:uid="{00000000-0005-0000-0000-0000D8480000}"/>
    <cellStyle name="Följde hyperlänken 95 5" xfId="17047" xr:uid="{00000000-0005-0000-0000-0000D9480000}"/>
    <cellStyle name="Följde hyperlänken 95_DataIX" xfId="32128" xr:uid="{00000000-0005-0000-0000-0000DA480000}"/>
    <cellStyle name="Följde hyperlänken 96" xfId="3698" xr:uid="{00000000-0005-0000-0000-0000DB480000}"/>
    <cellStyle name="Följde hyperlänken 96 2" xfId="3699" xr:uid="{00000000-0005-0000-0000-0000DC480000}"/>
    <cellStyle name="Följde hyperlänken 96 2 2" xfId="8880" xr:uid="{00000000-0005-0000-0000-0000DD480000}"/>
    <cellStyle name="Följde hyperlänken 96 2 3" xfId="17051" xr:uid="{00000000-0005-0000-0000-0000DE480000}"/>
    <cellStyle name="Följde hyperlänken 96 2_DataIX" xfId="32132" xr:uid="{00000000-0005-0000-0000-0000DF480000}"/>
    <cellStyle name="Följde hyperlänken 96 3" xfId="3700" xr:uid="{00000000-0005-0000-0000-0000E0480000}"/>
    <cellStyle name="Följde hyperlänken 96 3 2" xfId="8881" xr:uid="{00000000-0005-0000-0000-0000E1480000}"/>
    <cellStyle name="Följde hyperlänken 96 3 3" xfId="17052" xr:uid="{00000000-0005-0000-0000-0000E2480000}"/>
    <cellStyle name="Följde hyperlänken 96 3_DataIX" xfId="32133" xr:uid="{00000000-0005-0000-0000-0000E3480000}"/>
    <cellStyle name="Följde hyperlänken 96 4" xfId="8879" xr:uid="{00000000-0005-0000-0000-0000E4480000}"/>
    <cellStyle name="Följde hyperlänken 96 5" xfId="17050" xr:uid="{00000000-0005-0000-0000-0000E5480000}"/>
    <cellStyle name="Följde hyperlänken 96_DataIX" xfId="32131" xr:uid="{00000000-0005-0000-0000-0000E6480000}"/>
    <cellStyle name="Följde hyperlänken 97" xfId="3701" xr:uid="{00000000-0005-0000-0000-0000E7480000}"/>
    <cellStyle name="Följde hyperlänken 97 2" xfId="3702" xr:uid="{00000000-0005-0000-0000-0000E8480000}"/>
    <cellStyle name="Följde hyperlänken 97 2 2" xfId="8883" xr:uid="{00000000-0005-0000-0000-0000E9480000}"/>
    <cellStyle name="Följde hyperlänken 97 2 3" xfId="17054" xr:uid="{00000000-0005-0000-0000-0000EA480000}"/>
    <cellStyle name="Följde hyperlänken 97 2_DataIX" xfId="32135" xr:uid="{00000000-0005-0000-0000-0000EB480000}"/>
    <cellStyle name="Följde hyperlänken 97 3" xfId="3703" xr:uid="{00000000-0005-0000-0000-0000EC480000}"/>
    <cellStyle name="Följde hyperlänken 97 3 2" xfId="8884" xr:uid="{00000000-0005-0000-0000-0000ED480000}"/>
    <cellStyle name="Följde hyperlänken 97 3 3" xfId="17055" xr:uid="{00000000-0005-0000-0000-0000EE480000}"/>
    <cellStyle name="Följde hyperlänken 97 3_DataIX" xfId="32136" xr:uid="{00000000-0005-0000-0000-0000EF480000}"/>
    <cellStyle name="Följde hyperlänken 97 4" xfId="8882" xr:uid="{00000000-0005-0000-0000-0000F0480000}"/>
    <cellStyle name="Följde hyperlänken 97 5" xfId="17053" xr:uid="{00000000-0005-0000-0000-0000F1480000}"/>
    <cellStyle name="Följde hyperlänken 97_DataIX" xfId="32134" xr:uid="{00000000-0005-0000-0000-0000F2480000}"/>
    <cellStyle name="Följde hyperlänken_060617_hinnat" xfId="24927" xr:uid="{00000000-0005-0000-0000-0000F3480000}"/>
    <cellStyle name="Good" xfId="75" xr:uid="{00000000-0005-0000-0000-0000F4480000}"/>
    <cellStyle name="Good 2" xfId="76" xr:uid="{00000000-0005-0000-0000-0000F5480000}"/>
    <cellStyle name="Good 2 10" xfId="25618" xr:uid="{00000000-0005-0000-0000-0000F6480000}"/>
    <cellStyle name="Good 2 2" xfId="3704" xr:uid="{00000000-0005-0000-0000-0000F7480000}"/>
    <cellStyle name="Good 2 2 2" xfId="8886" xr:uid="{00000000-0005-0000-0000-0000F8480000}"/>
    <cellStyle name="Good 2 2 3" xfId="17056" xr:uid="{00000000-0005-0000-0000-0000F9480000}"/>
    <cellStyle name="Good 2 2_DataIX" xfId="32137" xr:uid="{00000000-0005-0000-0000-0000FA480000}"/>
    <cellStyle name="Good 2 3" xfId="25117" xr:uid="{00000000-0005-0000-0000-0000FB480000}"/>
    <cellStyle name="Good 2 4" xfId="25650" xr:uid="{00000000-0005-0000-0000-0000FC480000}"/>
    <cellStyle name="Good 2 5" xfId="25338" xr:uid="{00000000-0005-0000-0000-0000FD480000}"/>
    <cellStyle name="Good 2 6" xfId="25459" xr:uid="{00000000-0005-0000-0000-0000FE480000}"/>
    <cellStyle name="Good 2 7" xfId="25478" xr:uid="{00000000-0005-0000-0000-0000FF480000}"/>
    <cellStyle name="Good 2 8" xfId="25584" xr:uid="{00000000-0005-0000-0000-000000490000}"/>
    <cellStyle name="Good 2 9" xfId="25855" xr:uid="{00000000-0005-0000-0000-000001490000}"/>
    <cellStyle name="Good 2_##Keskeiset" xfId="8885" xr:uid="{00000000-0005-0000-0000-000002490000}"/>
    <cellStyle name="Good 3" xfId="5586" xr:uid="{00000000-0005-0000-0000-000003490000}"/>
    <cellStyle name="Good 3 2" xfId="12569" xr:uid="{00000000-0005-0000-0000-000004490000}"/>
    <cellStyle name="Good 3 3" xfId="18808" xr:uid="{00000000-0005-0000-0000-000005490000}"/>
    <cellStyle name="Good 3_DataIX" xfId="32138" xr:uid="{00000000-0005-0000-0000-000006490000}"/>
    <cellStyle name="Good_##Keskeiset" xfId="5585" xr:uid="{00000000-0005-0000-0000-000007490000}"/>
    <cellStyle name="Grey" xfId="3705" xr:uid="{00000000-0005-0000-0000-000008490000}"/>
    <cellStyle name="Grey 2" xfId="8887" xr:uid="{00000000-0005-0000-0000-000009490000}"/>
    <cellStyle name="Grey 3" xfId="17057" xr:uid="{00000000-0005-0000-0000-00000A490000}"/>
    <cellStyle name="Grey_DataIX" xfId="32139" xr:uid="{00000000-0005-0000-0000-00000B490000}"/>
    <cellStyle name="Header" xfId="3706" xr:uid="{00000000-0005-0000-0000-00000C490000}"/>
    <cellStyle name="Header 2" xfId="8888" xr:uid="{00000000-0005-0000-0000-00000D490000}"/>
    <cellStyle name="Header 3" xfId="17058" xr:uid="{00000000-0005-0000-0000-00000E490000}"/>
    <cellStyle name="Header style" xfId="3707" xr:uid="{00000000-0005-0000-0000-00000F490000}"/>
    <cellStyle name="Header style 2" xfId="8889" xr:uid="{00000000-0005-0000-0000-000010490000}"/>
    <cellStyle name="Header style 3" xfId="17059" xr:uid="{00000000-0005-0000-0000-000011490000}"/>
    <cellStyle name="Header style_DataIX" xfId="32141" xr:uid="{00000000-0005-0000-0000-000012490000}"/>
    <cellStyle name="Header_DataIX" xfId="32140" xr:uid="{00000000-0005-0000-0000-000013490000}"/>
    <cellStyle name="Header1" xfId="77" xr:uid="{00000000-0005-0000-0000-000014490000}"/>
    <cellStyle name="Header1 2" xfId="25029" xr:uid="{00000000-0005-0000-0000-000015490000}"/>
    <cellStyle name="Header1 3" xfId="24928" xr:uid="{00000000-0005-0000-0000-000016490000}"/>
    <cellStyle name="Header1_DataIX" xfId="32142" xr:uid="{00000000-0005-0000-0000-000017490000}"/>
    <cellStyle name="Header2" xfId="78" xr:uid="{00000000-0005-0000-0000-000018490000}"/>
    <cellStyle name="Header2 2" xfId="25030" xr:uid="{00000000-0005-0000-0000-000019490000}"/>
    <cellStyle name="Header2 3" xfId="24929" xr:uid="{00000000-0005-0000-0000-00001A490000}"/>
    <cellStyle name="Header2_DataIX" xfId="32143" xr:uid="{00000000-0005-0000-0000-00001B490000}"/>
    <cellStyle name="Header3" xfId="79" xr:uid="{00000000-0005-0000-0000-00001C490000}"/>
    <cellStyle name="Header3 10" xfId="22920" xr:uid="{00000000-0005-0000-0000-00001D490000}"/>
    <cellStyle name="Header3 11" xfId="28123" xr:uid="{00000000-0005-0000-0000-00001E490000}"/>
    <cellStyle name="Header3 12" xfId="28593" xr:uid="{00000000-0005-0000-0000-00001F490000}"/>
    <cellStyle name="Header3 13" xfId="28977" xr:uid="{00000000-0005-0000-0000-000020490000}"/>
    <cellStyle name="Header3 14" xfId="28989" xr:uid="{00000000-0005-0000-0000-000021490000}"/>
    <cellStyle name="Header3 15" xfId="29207" xr:uid="{00000000-0005-0000-0000-000022490000}"/>
    <cellStyle name="Header3 2" xfId="80" xr:uid="{00000000-0005-0000-0000-000023490000}"/>
    <cellStyle name="Header3 2 10" xfId="27633" xr:uid="{00000000-0005-0000-0000-000024490000}"/>
    <cellStyle name="Header3 2 11" xfId="28122" xr:uid="{00000000-0005-0000-0000-000025490000}"/>
    <cellStyle name="Header3 2 12" xfId="28594" xr:uid="{00000000-0005-0000-0000-000026490000}"/>
    <cellStyle name="Header3 2 13" xfId="28976" xr:uid="{00000000-0005-0000-0000-000027490000}"/>
    <cellStyle name="Header3 2 14" xfId="28990" xr:uid="{00000000-0005-0000-0000-000028490000}"/>
    <cellStyle name="Header3 2 15" xfId="29206" xr:uid="{00000000-0005-0000-0000-000029490000}"/>
    <cellStyle name="Header3 2 2" xfId="198" xr:uid="{00000000-0005-0000-0000-00002A490000}"/>
    <cellStyle name="Header3 2 2 10" xfId="22607" xr:uid="{00000000-0005-0000-0000-00002B490000}"/>
    <cellStyle name="Header3 2 2 11" xfId="22651" xr:uid="{00000000-0005-0000-0000-00002C490000}"/>
    <cellStyle name="Header3 2 2 12" xfId="22464" xr:uid="{00000000-0005-0000-0000-00002D490000}"/>
    <cellStyle name="Header3 2 2 13" xfId="22731" xr:uid="{00000000-0005-0000-0000-00002E490000}"/>
    <cellStyle name="Header3 2 2 14" xfId="27634" xr:uid="{00000000-0005-0000-0000-00002F490000}"/>
    <cellStyle name="Header3 2 2 15" xfId="27875" xr:uid="{00000000-0005-0000-0000-000030490000}"/>
    <cellStyle name="Header3 2 2 16" xfId="28119" xr:uid="{00000000-0005-0000-0000-000031490000}"/>
    <cellStyle name="Header3 2 2 17" xfId="28206" xr:uid="{00000000-0005-0000-0000-000032490000}"/>
    <cellStyle name="Header3 2 2 18" xfId="28430" xr:uid="{00000000-0005-0000-0000-000033490000}"/>
    <cellStyle name="Header3 2 2 19" xfId="28610" xr:uid="{00000000-0005-0000-0000-000034490000}"/>
    <cellStyle name="Header3 2 2 2" xfId="296" xr:uid="{00000000-0005-0000-0000-000035490000}"/>
    <cellStyle name="Header3 2 2 2 10" xfId="22509" xr:uid="{00000000-0005-0000-0000-000036490000}"/>
    <cellStyle name="Header3 2 2 2 11" xfId="22650" xr:uid="{00000000-0005-0000-0000-000037490000}"/>
    <cellStyle name="Header3 2 2 2 12" xfId="22463" xr:uid="{00000000-0005-0000-0000-000038490000}"/>
    <cellStyle name="Header3 2 2 2 13" xfId="22732" xr:uid="{00000000-0005-0000-0000-000039490000}"/>
    <cellStyle name="Header3 2 2 2 14" xfId="27635" xr:uid="{00000000-0005-0000-0000-00003A490000}"/>
    <cellStyle name="Header3 2 2 2 15" xfId="27876" xr:uid="{00000000-0005-0000-0000-00003B490000}"/>
    <cellStyle name="Header3 2 2 2 16" xfId="28118" xr:uid="{00000000-0005-0000-0000-00003C490000}"/>
    <cellStyle name="Header3 2 2 2 17" xfId="28207" xr:uid="{00000000-0005-0000-0000-00003D490000}"/>
    <cellStyle name="Header3 2 2 2 18" xfId="28246" xr:uid="{00000000-0005-0000-0000-00003E490000}"/>
    <cellStyle name="Header3 2 2 2 19" xfId="28611" xr:uid="{00000000-0005-0000-0000-00003F490000}"/>
    <cellStyle name="Header3 2 2 2 2" xfId="5268" xr:uid="{00000000-0005-0000-0000-000040490000}"/>
    <cellStyle name="Header3 2 2 2 2 2" xfId="11007" xr:uid="{00000000-0005-0000-0000-000041490000}"/>
    <cellStyle name="Header3 2 2 2 2 3" xfId="18598" xr:uid="{00000000-0005-0000-0000-000042490000}"/>
    <cellStyle name="Header3 2 2 2 2_DataIX" xfId="32144" xr:uid="{00000000-0005-0000-0000-000043490000}"/>
    <cellStyle name="Header3 2 2 2 20" xfId="28810" xr:uid="{00000000-0005-0000-0000-000044490000}"/>
    <cellStyle name="Header3 2 2 2 21" xfId="28961" xr:uid="{00000000-0005-0000-0000-000045490000}"/>
    <cellStyle name="Header3 2 2 2 22" xfId="28726" xr:uid="{00000000-0005-0000-0000-000046490000}"/>
    <cellStyle name="Header3 2 2 2 23" xfId="28876" xr:uid="{00000000-0005-0000-0000-000047490000}"/>
    <cellStyle name="Header3 2 2 2 24" xfId="29011" xr:uid="{00000000-0005-0000-0000-000048490000}"/>
    <cellStyle name="Header3 2 2 2 25" xfId="28996" xr:uid="{00000000-0005-0000-0000-000049490000}"/>
    <cellStyle name="Header3 2 2 2 3" xfId="13094" xr:uid="{00000000-0005-0000-0000-00004A490000}"/>
    <cellStyle name="Header3 2 2 2 3 2" xfId="20745" xr:uid="{00000000-0005-0000-0000-00004B490000}"/>
    <cellStyle name="Header3 2 2 2 3 3" xfId="25120" xr:uid="{00000000-0005-0000-0000-00004C490000}"/>
    <cellStyle name="Header3 2 2 2 3 4" xfId="26931" xr:uid="{00000000-0005-0000-0000-00004D490000}"/>
    <cellStyle name="Header3 2 2 2 3 5" xfId="22780" xr:uid="{00000000-0005-0000-0000-00004E490000}"/>
    <cellStyle name="Header3 2 2 2 3 6" xfId="27659" xr:uid="{00000000-0005-0000-0000-00004F490000}"/>
    <cellStyle name="Header3 2 2 2 3_DataIX" xfId="32145" xr:uid="{00000000-0005-0000-0000-000050490000}"/>
    <cellStyle name="Header3 2 2 2 4" xfId="13221" xr:uid="{00000000-0005-0000-0000-000051490000}"/>
    <cellStyle name="Header3 2 2 2 4 2" xfId="26158" xr:uid="{00000000-0005-0000-0000-000052490000}"/>
    <cellStyle name="Header3 2 2 2 4 3" xfId="27368" xr:uid="{00000000-0005-0000-0000-000053490000}"/>
    <cellStyle name="Header3 2 2 2 4 4" xfId="27593" xr:uid="{00000000-0005-0000-0000-000054490000}"/>
    <cellStyle name="Header3 2 2 2 4 5" xfId="27704" xr:uid="{00000000-0005-0000-0000-000055490000}"/>
    <cellStyle name="Header3 2 2 2 4_DataIX" xfId="32146" xr:uid="{00000000-0005-0000-0000-000056490000}"/>
    <cellStyle name="Header3 2 2 2 5" xfId="22300" xr:uid="{00000000-0005-0000-0000-000057490000}"/>
    <cellStyle name="Header3 2 2 2 6" xfId="22606" xr:uid="{00000000-0005-0000-0000-000058490000}"/>
    <cellStyle name="Header3 2 2 2 7" xfId="22696" xr:uid="{00000000-0005-0000-0000-000059490000}"/>
    <cellStyle name="Header3 2 2 2 8" xfId="22525" xr:uid="{00000000-0005-0000-0000-00005A490000}"/>
    <cellStyle name="Header3 2 2 2 9" xfId="22615" xr:uid="{00000000-0005-0000-0000-00005B490000}"/>
    <cellStyle name="Header3 2 2 2_##Keskeiset" xfId="8893" xr:uid="{00000000-0005-0000-0000-00005C490000}"/>
    <cellStyle name="Header3 2 2 20" xfId="28811" xr:uid="{00000000-0005-0000-0000-00005D490000}"/>
    <cellStyle name="Header3 2 2 21" xfId="28962" xr:uid="{00000000-0005-0000-0000-00005E490000}"/>
    <cellStyle name="Header3 2 2 22" xfId="28727" xr:uid="{00000000-0005-0000-0000-00005F490000}"/>
    <cellStyle name="Header3 2 2 23" xfId="28877" xr:uid="{00000000-0005-0000-0000-000060490000}"/>
    <cellStyle name="Header3 2 2 24" xfId="29010" xr:uid="{00000000-0005-0000-0000-000061490000}"/>
    <cellStyle name="Header3 2 2 25" xfId="29049" xr:uid="{00000000-0005-0000-0000-000062490000}"/>
    <cellStyle name="Header3 2 2 3" xfId="271" xr:uid="{00000000-0005-0000-0000-000063490000}"/>
    <cellStyle name="Header3 2 2 3 10" xfId="22695" xr:uid="{00000000-0005-0000-0000-000064490000}"/>
    <cellStyle name="Header3 2 2 3 10 2" xfId="25498" xr:uid="{00000000-0005-0000-0000-000065490000}"/>
    <cellStyle name="Header3 2 2 3 10 3" xfId="27124" xr:uid="{00000000-0005-0000-0000-000066490000}"/>
    <cellStyle name="Header3 2 2 3 10 4" xfId="22934" xr:uid="{00000000-0005-0000-0000-000067490000}"/>
    <cellStyle name="Header3 2 2 3 10 5" xfId="27678" xr:uid="{00000000-0005-0000-0000-000068490000}"/>
    <cellStyle name="Header3 2 2 3 10_DataIX" xfId="32147" xr:uid="{00000000-0005-0000-0000-000069490000}"/>
    <cellStyle name="Header3 2 2 3 11" xfId="22649" xr:uid="{00000000-0005-0000-0000-00006A490000}"/>
    <cellStyle name="Header3 2 2 3 12" xfId="22461" xr:uid="{00000000-0005-0000-0000-00006B490000}"/>
    <cellStyle name="Header3 2 2 3 13" xfId="22733" xr:uid="{00000000-0005-0000-0000-00006C490000}"/>
    <cellStyle name="Header3 2 2 3 14" xfId="27877" xr:uid="{00000000-0005-0000-0000-00006D490000}"/>
    <cellStyle name="Header3 2 2 3 15" xfId="28117" xr:uid="{00000000-0005-0000-0000-00006E490000}"/>
    <cellStyle name="Header3 2 2 3 16" xfId="28208" xr:uid="{00000000-0005-0000-0000-00006F490000}"/>
    <cellStyle name="Header3 2 2 3 17" xfId="28194" xr:uid="{00000000-0005-0000-0000-000070490000}"/>
    <cellStyle name="Header3 2 2 3 18" xfId="28612" xr:uid="{00000000-0005-0000-0000-000071490000}"/>
    <cellStyle name="Header3 2 2 3 19" xfId="28643" xr:uid="{00000000-0005-0000-0000-000072490000}"/>
    <cellStyle name="Header3 2 2 3 2" xfId="5267" xr:uid="{00000000-0005-0000-0000-000073490000}"/>
    <cellStyle name="Header3 2 2 3 2 2" xfId="8895" xr:uid="{00000000-0005-0000-0000-000074490000}"/>
    <cellStyle name="Header3 2 2 3 2 3" xfId="18597" xr:uid="{00000000-0005-0000-0000-000075490000}"/>
    <cellStyle name="Header3 2 2 3 2_DataIX" xfId="32148" xr:uid="{00000000-0005-0000-0000-000076490000}"/>
    <cellStyle name="Header3 2 2 3 20" xfId="28960" xr:uid="{00000000-0005-0000-0000-000077490000}"/>
    <cellStyle name="Header3 2 2 3 21" xfId="28924" xr:uid="{00000000-0005-0000-0000-000078490000}"/>
    <cellStyle name="Header3 2 2 3 22" xfId="28875" xr:uid="{00000000-0005-0000-0000-000079490000}"/>
    <cellStyle name="Header3 2 2 3 23" xfId="29012" xr:uid="{00000000-0005-0000-0000-00007A490000}"/>
    <cellStyle name="Header3 2 2 3 24" xfId="29193" xr:uid="{00000000-0005-0000-0000-00007B490000}"/>
    <cellStyle name="Header3 2 2 3 3" xfId="13095" xr:uid="{00000000-0005-0000-0000-00007C490000}"/>
    <cellStyle name="Header3 2 2 3 3 2" xfId="20746" xr:uid="{00000000-0005-0000-0000-00007D490000}"/>
    <cellStyle name="Header3 2 2 3 3 3" xfId="25121" xr:uid="{00000000-0005-0000-0000-00007E490000}"/>
    <cellStyle name="Header3 2 2 3 3 4" xfId="26932" xr:uid="{00000000-0005-0000-0000-00007F490000}"/>
    <cellStyle name="Header3 2 2 3 3 5" xfId="22883" xr:uid="{00000000-0005-0000-0000-000080490000}"/>
    <cellStyle name="Header3 2 2 3 3 6" xfId="27660" xr:uid="{00000000-0005-0000-0000-000081490000}"/>
    <cellStyle name="Header3 2 2 3 3_DataIX" xfId="32149" xr:uid="{00000000-0005-0000-0000-000082490000}"/>
    <cellStyle name="Header3 2 2 3 4" xfId="13191" xr:uid="{00000000-0005-0000-0000-000083490000}"/>
    <cellStyle name="Header3 2 2 3 4 2" xfId="20816" xr:uid="{00000000-0005-0000-0000-000084490000}"/>
    <cellStyle name="Header3 2 2 3 4 3" xfId="25649" xr:uid="{00000000-0005-0000-0000-000085490000}"/>
    <cellStyle name="Header3 2 2 3 4 4" xfId="27186" xr:uid="{00000000-0005-0000-0000-000086490000}"/>
    <cellStyle name="Header3 2 2 3 4 5" xfId="23080" xr:uid="{00000000-0005-0000-0000-000087490000}"/>
    <cellStyle name="Header3 2 2 3 4 6" xfId="27688" xr:uid="{00000000-0005-0000-0000-000088490000}"/>
    <cellStyle name="Header3 2 2 3 4_DataIX" xfId="32150" xr:uid="{00000000-0005-0000-0000-000089490000}"/>
    <cellStyle name="Header3 2 2 3 5" xfId="13324" xr:uid="{00000000-0005-0000-0000-00008A490000}"/>
    <cellStyle name="Header3 2 2 3 5 2" xfId="26289" xr:uid="{00000000-0005-0000-0000-00008B490000}"/>
    <cellStyle name="Header3 2 2 3 5 3" xfId="27403" xr:uid="{00000000-0005-0000-0000-00008C490000}"/>
    <cellStyle name="Header3 2 2 3 5 4" xfId="27453" xr:uid="{00000000-0005-0000-0000-00008D490000}"/>
    <cellStyle name="Header3 2 2 3 5 5" xfId="27709" xr:uid="{00000000-0005-0000-0000-00008E490000}"/>
    <cellStyle name="Header3 2 2 3 5_DataIX" xfId="32151" xr:uid="{00000000-0005-0000-0000-00008F490000}"/>
    <cellStyle name="Header3 2 2 3 6" xfId="13376" xr:uid="{00000000-0005-0000-0000-000090490000}"/>
    <cellStyle name="Header3 2 2 3 6 2" xfId="26434" xr:uid="{00000000-0005-0000-0000-000091490000}"/>
    <cellStyle name="Header3 2 2 3 6 3" xfId="27473" xr:uid="{00000000-0005-0000-0000-000092490000}"/>
    <cellStyle name="Header3 2 2 3 6 4" xfId="23054" xr:uid="{00000000-0005-0000-0000-000093490000}"/>
    <cellStyle name="Header3 2 2 3 6 5" xfId="27710" xr:uid="{00000000-0005-0000-0000-000094490000}"/>
    <cellStyle name="Header3 2 2 3 6_DataIX" xfId="32152" xr:uid="{00000000-0005-0000-0000-000095490000}"/>
    <cellStyle name="Header3 2 2 3 7" xfId="13845" xr:uid="{00000000-0005-0000-0000-000096490000}"/>
    <cellStyle name="Header3 2 2 3 7 2" xfId="25416" xr:uid="{00000000-0005-0000-0000-000097490000}"/>
    <cellStyle name="Header3 2 2 3 7 3" xfId="27090" xr:uid="{00000000-0005-0000-0000-000098490000}"/>
    <cellStyle name="Header3 2 2 3 7 4" xfId="26818" xr:uid="{00000000-0005-0000-0000-000099490000}"/>
    <cellStyle name="Header3 2 2 3 7 5" xfId="27676" xr:uid="{00000000-0005-0000-0000-00009A490000}"/>
    <cellStyle name="Header3 2 2 3 7_DataIX" xfId="32153" xr:uid="{00000000-0005-0000-0000-00009B490000}"/>
    <cellStyle name="Header3 2 2 3 8" xfId="22301" xr:uid="{00000000-0005-0000-0000-00009C490000}"/>
    <cellStyle name="Header3 2 2 3 8 2" xfId="25862" xr:uid="{00000000-0005-0000-0000-00009D490000}"/>
    <cellStyle name="Header3 2 2 3 8 3" xfId="27249" xr:uid="{00000000-0005-0000-0000-00009E490000}"/>
    <cellStyle name="Header3 2 2 3 8 4" xfId="26815" xr:uid="{00000000-0005-0000-0000-00009F490000}"/>
    <cellStyle name="Header3 2 2 3 8 5" xfId="27694" xr:uid="{00000000-0005-0000-0000-0000A0490000}"/>
    <cellStyle name="Header3 2 2 3 8_DataIX" xfId="32154" xr:uid="{00000000-0005-0000-0000-0000A1490000}"/>
    <cellStyle name="Header3 2 2 3 9" xfId="22605" xr:uid="{00000000-0005-0000-0000-0000A2490000}"/>
    <cellStyle name="Header3 2 2 3 9 2" xfId="25950" xr:uid="{00000000-0005-0000-0000-0000A3490000}"/>
    <cellStyle name="Header3 2 2 3 9 3" xfId="27277" xr:uid="{00000000-0005-0000-0000-0000A4490000}"/>
    <cellStyle name="Header3 2 2 3 9 4" xfId="22959" xr:uid="{00000000-0005-0000-0000-0000A5490000}"/>
    <cellStyle name="Header3 2 2 3 9 5" xfId="27695" xr:uid="{00000000-0005-0000-0000-0000A6490000}"/>
    <cellStyle name="Header3 2 2 3 9_DataIX" xfId="32155" xr:uid="{00000000-0005-0000-0000-0000A7490000}"/>
    <cellStyle name="Header3 2 2 3_##Keskeiset" xfId="8894" xr:uid="{00000000-0005-0000-0000-0000A8490000}"/>
    <cellStyle name="Header3 2 2 4" xfId="275" xr:uid="{00000000-0005-0000-0000-0000A9490000}"/>
    <cellStyle name="Header3 2 2 4 10" xfId="28116" xr:uid="{00000000-0005-0000-0000-0000AA490000}"/>
    <cellStyle name="Header3 2 2 4 11" xfId="28209" xr:uid="{00000000-0005-0000-0000-0000AB490000}"/>
    <cellStyle name="Header3 2 2 4 12" xfId="28429" xr:uid="{00000000-0005-0000-0000-0000AC490000}"/>
    <cellStyle name="Header3 2 2 4 13" xfId="28613" xr:uid="{00000000-0005-0000-0000-0000AD490000}"/>
    <cellStyle name="Header3 2 2 4 14" xfId="28809" xr:uid="{00000000-0005-0000-0000-0000AE490000}"/>
    <cellStyle name="Header3 2 2 4 15" xfId="28959" xr:uid="{00000000-0005-0000-0000-0000AF490000}"/>
    <cellStyle name="Header3 2 2 4 16" xfId="29013" xr:uid="{00000000-0005-0000-0000-0000B0490000}"/>
    <cellStyle name="Header3 2 2 4 17" xfId="28995" xr:uid="{00000000-0005-0000-0000-0000B1490000}"/>
    <cellStyle name="Header3 2 2 4 2" xfId="13096" xr:uid="{00000000-0005-0000-0000-0000B2490000}"/>
    <cellStyle name="Header3 2 2 4 2 2" xfId="20747" xr:uid="{00000000-0005-0000-0000-0000B3490000}"/>
    <cellStyle name="Header3 2 2 4 2 3" xfId="25122" xr:uid="{00000000-0005-0000-0000-0000B4490000}"/>
    <cellStyle name="Header3 2 2 4 2 4" xfId="26933" xr:uid="{00000000-0005-0000-0000-0000B5490000}"/>
    <cellStyle name="Header3 2 2 4 2 5" xfId="23012" xr:uid="{00000000-0005-0000-0000-0000B6490000}"/>
    <cellStyle name="Header3 2 2 4 2 6" xfId="27661" xr:uid="{00000000-0005-0000-0000-0000B7490000}"/>
    <cellStyle name="Header3 2 2 4 2_DataIX" xfId="32157" xr:uid="{00000000-0005-0000-0000-0000B8490000}"/>
    <cellStyle name="Header3 2 2 4 3" xfId="13342" xr:uid="{00000000-0005-0000-0000-0000B9490000}"/>
    <cellStyle name="Header3 2 2 4 3 2" xfId="26485" xr:uid="{00000000-0005-0000-0000-0000BA490000}"/>
    <cellStyle name="Header3 2 2 4 3 3" xfId="27503" xr:uid="{00000000-0005-0000-0000-0000BB490000}"/>
    <cellStyle name="Header3 2 2 4 3 4" xfId="27631" xr:uid="{00000000-0005-0000-0000-0000BC490000}"/>
    <cellStyle name="Header3 2 2 4 3 5" xfId="27715" xr:uid="{00000000-0005-0000-0000-0000BD490000}"/>
    <cellStyle name="Header3 2 2 4 3_DataIX" xfId="32158" xr:uid="{00000000-0005-0000-0000-0000BE490000}"/>
    <cellStyle name="Header3 2 2 4 4" xfId="22302" xr:uid="{00000000-0005-0000-0000-0000BF490000}"/>
    <cellStyle name="Header3 2 2 4 4 2" xfId="24930" xr:uid="{00000000-0005-0000-0000-0000C0490000}"/>
    <cellStyle name="Header3 2 2 4 4_DataIX" xfId="32159" xr:uid="{00000000-0005-0000-0000-0000C1490000}"/>
    <cellStyle name="Header3 2 2 4 5" xfId="22604" xr:uid="{00000000-0005-0000-0000-0000C2490000}"/>
    <cellStyle name="Header3 2 2 4 6" xfId="22648" xr:uid="{00000000-0005-0000-0000-0000C3490000}"/>
    <cellStyle name="Header3 2 2 4 7" xfId="22462" xr:uid="{00000000-0005-0000-0000-0000C4490000}"/>
    <cellStyle name="Header3 2 2 4 8" xfId="22734" xr:uid="{00000000-0005-0000-0000-0000C5490000}"/>
    <cellStyle name="Header3 2 2 4 9" xfId="27878" xr:uid="{00000000-0005-0000-0000-0000C6490000}"/>
    <cellStyle name="Header3 2 2 4_DataIX" xfId="32156" xr:uid="{00000000-0005-0000-0000-0000C7490000}"/>
    <cellStyle name="Header3 2 2 5" xfId="5587" xr:uid="{00000000-0005-0000-0000-0000C8490000}"/>
    <cellStyle name="Header3 2 2 5 2" xfId="12570" xr:uid="{00000000-0005-0000-0000-0000C9490000}"/>
    <cellStyle name="Header3 2 2 5 3" xfId="18809" xr:uid="{00000000-0005-0000-0000-0000CA490000}"/>
    <cellStyle name="Header3 2 2 5_DataIX" xfId="32160" xr:uid="{00000000-0005-0000-0000-0000CB490000}"/>
    <cellStyle name="Header3 2 2 6" xfId="13093" xr:uid="{00000000-0005-0000-0000-0000CC490000}"/>
    <cellStyle name="Header3 2 2 6 2" xfId="20744" xr:uid="{00000000-0005-0000-0000-0000CD490000}"/>
    <cellStyle name="Header3 2 2 6 3" xfId="25119" xr:uid="{00000000-0005-0000-0000-0000CE490000}"/>
    <cellStyle name="Header3 2 2 6 4" xfId="26930" xr:uid="{00000000-0005-0000-0000-0000CF490000}"/>
    <cellStyle name="Header3 2 2 6 5" xfId="22910" xr:uid="{00000000-0005-0000-0000-0000D0490000}"/>
    <cellStyle name="Header3 2 2 6 6" xfId="27658" xr:uid="{00000000-0005-0000-0000-0000D1490000}"/>
    <cellStyle name="Header3 2 2 6_DataIX" xfId="32161" xr:uid="{00000000-0005-0000-0000-0000D2490000}"/>
    <cellStyle name="Header3 2 2 7" xfId="13341" xr:uid="{00000000-0005-0000-0000-0000D3490000}"/>
    <cellStyle name="Header3 2 2 7 2" xfId="26486" xr:uid="{00000000-0005-0000-0000-0000D4490000}"/>
    <cellStyle name="Header3 2 2 7 3" xfId="27504" xr:uid="{00000000-0005-0000-0000-0000D5490000}"/>
    <cellStyle name="Header3 2 2 7 4" xfId="22775" xr:uid="{00000000-0005-0000-0000-0000D6490000}"/>
    <cellStyle name="Header3 2 2 7 5" xfId="27716" xr:uid="{00000000-0005-0000-0000-0000D7490000}"/>
    <cellStyle name="Header3 2 2 7_DataIX" xfId="32162" xr:uid="{00000000-0005-0000-0000-0000D8490000}"/>
    <cellStyle name="Header3 2 2 8" xfId="20318" xr:uid="{00000000-0005-0000-0000-0000D9490000}"/>
    <cellStyle name="Header3 2 2 8 2" xfId="13548" xr:uid="{00000000-0005-0000-0000-0000DA490000}"/>
    <cellStyle name="Header3 2 2 8_DataIX" xfId="32163" xr:uid="{00000000-0005-0000-0000-0000DB490000}"/>
    <cellStyle name="Header3 2 2 9" xfId="22299" xr:uid="{00000000-0005-0000-0000-0000DC490000}"/>
    <cellStyle name="Header3 2 2_##Keskeiset" xfId="8892" xr:uid="{00000000-0005-0000-0000-0000DD490000}"/>
    <cellStyle name="Header3 2 3" xfId="254" xr:uid="{00000000-0005-0000-0000-0000DE490000}"/>
    <cellStyle name="Header3 2 3 10" xfId="22603" xr:uid="{00000000-0005-0000-0000-0000DF490000}"/>
    <cellStyle name="Header3 2 3 10 2" xfId="26651" xr:uid="{00000000-0005-0000-0000-0000E0490000}"/>
    <cellStyle name="Header3 2 3 10 3" xfId="27567" xr:uid="{00000000-0005-0000-0000-0000E1490000}"/>
    <cellStyle name="Header3 2 3 10 4" xfId="22865" xr:uid="{00000000-0005-0000-0000-0000E2490000}"/>
    <cellStyle name="Header3 2 3 10 5" xfId="27727" xr:uid="{00000000-0005-0000-0000-0000E3490000}"/>
    <cellStyle name="Header3 2 3 10_DataIX" xfId="32164" xr:uid="{00000000-0005-0000-0000-0000E4490000}"/>
    <cellStyle name="Header3 2 3 11" xfId="22647" xr:uid="{00000000-0005-0000-0000-0000E5490000}"/>
    <cellStyle name="Header3 2 3 12" xfId="22633" xr:uid="{00000000-0005-0000-0000-0000E6490000}"/>
    <cellStyle name="Header3 2 3 13" xfId="22735" xr:uid="{00000000-0005-0000-0000-0000E7490000}"/>
    <cellStyle name="Header3 2 3 14" xfId="27879" xr:uid="{00000000-0005-0000-0000-0000E8490000}"/>
    <cellStyle name="Header3 2 3 15" xfId="28115" xr:uid="{00000000-0005-0000-0000-0000E9490000}"/>
    <cellStyle name="Header3 2 3 16" xfId="28210" xr:uid="{00000000-0005-0000-0000-0000EA490000}"/>
    <cellStyle name="Header3 2 3 17" xfId="28193" xr:uid="{00000000-0005-0000-0000-0000EB490000}"/>
    <cellStyle name="Header3 2 3 18" xfId="28614" xr:uid="{00000000-0005-0000-0000-0000EC490000}"/>
    <cellStyle name="Header3 2 3 19" xfId="28642" xr:uid="{00000000-0005-0000-0000-0000ED490000}"/>
    <cellStyle name="Header3 2 3 2" xfId="309" xr:uid="{00000000-0005-0000-0000-0000EE490000}"/>
    <cellStyle name="Header3 2 3 2 10" xfId="22694" xr:uid="{00000000-0005-0000-0000-0000EF490000}"/>
    <cellStyle name="Header3 2 3 2 10 2" xfId="25375" xr:uid="{00000000-0005-0000-0000-0000F0490000}"/>
    <cellStyle name="Header3 2 3 2 10 3" xfId="27076" xr:uid="{00000000-0005-0000-0000-0000F1490000}"/>
    <cellStyle name="Header3 2 3 2 10 4" xfId="26878" xr:uid="{00000000-0005-0000-0000-0000F2490000}"/>
    <cellStyle name="Header3 2 3 2 10 5" xfId="27674" xr:uid="{00000000-0005-0000-0000-0000F3490000}"/>
    <cellStyle name="Header3 2 3 2 10_DataIX" xfId="32165" xr:uid="{00000000-0005-0000-0000-0000F4490000}"/>
    <cellStyle name="Header3 2 3 2 11" xfId="22646" xr:uid="{00000000-0005-0000-0000-0000F5490000}"/>
    <cellStyle name="Header3 2 3 2 12" xfId="22632" xr:uid="{00000000-0005-0000-0000-0000F6490000}"/>
    <cellStyle name="Header3 2 3 2 13" xfId="22736" xr:uid="{00000000-0005-0000-0000-0000F7490000}"/>
    <cellStyle name="Header3 2 3 2 14" xfId="27880" xr:uid="{00000000-0005-0000-0000-0000F8490000}"/>
    <cellStyle name="Header3 2 3 2 15" xfId="28114" xr:uid="{00000000-0005-0000-0000-0000F9490000}"/>
    <cellStyle name="Header3 2 3 2 16" xfId="28211" xr:uid="{00000000-0005-0000-0000-0000FA490000}"/>
    <cellStyle name="Header3 2 3 2 17" xfId="28428" xr:uid="{00000000-0005-0000-0000-0000FB490000}"/>
    <cellStyle name="Header3 2 3 2 18" xfId="28615" xr:uid="{00000000-0005-0000-0000-0000FC490000}"/>
    <cellStyle name="Header3 2 3 2 19" xfId="28808" xr:uid="{00000000-0005-0000-0000-0000FD490000}"/>
    <cellStyle name="Header3 2 3 2 2" xfId="5265" xr:uid="{00000000-0005-0000-0000-0000FE490000}"/>
    <cellStyle name="Header3 2 3 2 2 2" xfId="8898" xr:uid="{00000000-0005-0000-0000-0000FF490000}"/>
    <cellStyle name="Header3 2 3 2 2 3" xfId="18595" xr:uid="{00000000-0005-0000-0000-0000004A0000}"/>
    <cellStyle name="Header3 2 3 2 2_DataIX" xfId="32166" xr:uid="{00000000-0005-0000-0000-0000014A0000}"/>
    <cellStyle name="Header3 2 3 2 20" xfId="28957" xr:uid="{00000000-0005-0000-0000-0000024A0000}"/>
    <cellStyle name="Header3 2 3 2 21" xfId="28724" xr:uid="{00000000-0005-0000-0000-0000034A0000}"/>
    <cellStyle name="Header3 2 3 2 22" xfId="28873" xr:uid="{00000000-0005-0000-0000-0000044A0000}"/>
    <cellStyle name="Header3 2 3 2 23" xfId="29015" xr:uid="{00000000-0005-0000-0000-0000054A0000}"/>
    <cellStyle name="Header3 2 3 2 24" xfId="29191" xr:uid="{00000000-0005-0000-0000-0000064A0000}"/>
    <cellStyle name="Header3 2 3 2 3" xfId="13098" xr:uid="{00000000-0005-0000-0000-0000074A0000}"/>
    <cellStyle name="Header3 2 3 2 3 2" xfId="20749" xr:uid="{00000000-0005-0000-0000-0000084A0000}"/>
    <cellStyle name="Header3 2 3 2 3 3" xfId="25124" xr:uid="{00000000-0005-0000-0000-0000094A0000}"/>
    <cellStyle name="Header3 2 3 2 3 4" xfId="26935" xr:uid="{00000000-0005-0000-0000-00000A4A0000}"/>
    <cellStyle name="Header3 2 3 2 3 5" xfId="22777" xr:uid="{00000000-0005-0000-0000-00000B4A0000}"/>
    <cellStyle name="Header3 2 3 2 3 6" xfId="27663" xr:uid="{00000000-0005-0000-0000-00000C4A0000}"/>
    <cellStyle name="Header3 2 3 2 3_DataIX" xfId="32167" xr:uid="{00000000-0005-0000-0000-00000D4A0000}"/>
    <cellStyle name="Header3 2 3 2 4" xfId="13310" xr:uid="{00000000-0005-0000-0000-00000E4A0000}"/>
    <cellStyle name="Header3 2 3 2 4 2" xfId="20898" xr:uid="{00000000-0005-0000-0000-00000F4A0000}"/>
    <cellStyle name="Header3 2 3 2 4 3" xfId="25648" xr:uid="{00000000-0005-0000-0000-0000104A0000}"/>
    <cellStyle name="Header3 2 3 2 4 4" xfId="27185" xr:uid="{00000000-0005-0000-0000-0000114A0000}"/>
    <cellStyle name="Header3 2 3 2 4 5" xfId="22860" xr:uid="{00000000-0005-0000-0000-0000124A0000}"/>
    <cellStyle name="Header3 2 3 2 4 6" xfId="27687" xr:uid="{00000000-0005-0000-0000-0000134A0000}"/>
    <cellStyle name="Header3 2 3 2 4_DataIX" xfId="32168" xr:uid="{00000000-0005-0000-0000-0000144A0000}"/>
    <cellStyle name="Header3 2 3 2 5" xfId="13134" xr:uid="{00000000-0005-0000-0000-0000154A0000}"/>
    <cellStyle name="Header3 2 3 2 5 2" xfId="25758" xr:uid="{00000000-0005-0000-0000-0000164A0000}"/>
    <cellStyle name="Header3 2 3 2 5 3" xfId="27213" xr:uid="{00000000-0005-0000-0000-0000174A0000}"/>
    <cellStyle name="Header3 2 3 2 5 4" xfId="22825" xr:uid="{00000000-0005-0000-0000-0000184A0000}"/>
    <cellStyle name="Header3 2 3 2 5 5" xfId="27691" xr:uid="{00000000-0005-0000-0000-0000194A0000}"/>
    <cellStyle name="Header3 2 3 2 5_DataIX" xfId="32169" xr:uid="{00000000-0005-0000-0000-00001A4A0000}"/>
    <cellStyle name="Header3 2 3 2 6" xfId="13128" xr:uid="{00000000-0005-0000-0000-00001B4A0000}"/>
    <cellStyle name="Header3 2 3 2 6 2" xfId="25689" xr:uid="{00000000-0005-0000-0000-00001C4A0000}"/>
    <cellStyle name="Header3 2 3 2 6 3" xfId="27197" xr:uid="{00000000-0005-0000-0000-00001D4A0000}"/>
    <cellStyle name="Header3 2 3 2 6 4" xfId="23122" xr:uid="{00000000-0005-0000-0000-00001E4A0000}"/>
    <cellStyle name="Header3 2 3 2 6 5" xfId="27689" xr:uid="{00000000-0005-0000-0000-00001F4A0000}"/>
    <cellStyle name="Header3 2 3 2 6_DataIX" xfId="32170" xr:uid="{00000000-0005-0000-0000-0000204A0000}"/>
    <cellStyle name="Header3 2 3 2 7" xfId="13873" xr:uid="{00000000-0005-0000-0000-0000214A0000}"/>
    <cellStyle name="Header3 2 3 2 7 2" xfId="26043" xr:uid="{00000000-0005-0000-0000-0000224A0000}"/>
    <cellStyle name="Header3 2 3 2 7 3" xfId="27304" xr:uid="{00000000-0005-0000-0000-0000234A0000}"/>
    <cellStyle name="Header3 2 3 2 7 4" xfId="26770" xr:uid="{00000000-0005-0000-0000-0000244A0000}"/>
    <cellStyle name="Header3 2 3 2 7 5" xfId="27697" xr:uid="{00000000-0005-0000-0000-0000254A0000}"/>
    <cellStyle name="Header3 2 3 2 7_DataIX" xfId="32171" xr:uid="{00000000-0005-0000-0000-0000264A0000}"/>
    <cellStyle name="Header3 2 3 2 8" xfId="22304" xr:uid="{00000000-0005-0000-0000-0000274A0000}"/>
    <cellStyle name="Header3 2 3 2 8 2" xfId="26272" xr:uid="{00000000-0005-0000-0000-0000284A0000}"/>
    <cellStyle name="Header3 2 3 2 8 3" xfId="27400" xr:uid="{00000000-0005-0000-0000-0000294A0000}"/>
    <cellStyle name="Header3 2 3 2 8 4" xfId="22925" xr:uid="{00000000-0005-0000-0000-00002A4A0000}"/>
    <cellStyle name="Header3 2 3 2 8 5" xfId="27708" xr:uid="{00000000-0005-0000-0000-00002B4A0000}"/>
    <cellStyle name="Header3 2 3 2 8_DataIX" xfId="32172" xr:uid="{00000000-0005-0000-0000-00002C4A0000}"/>
    <cellStyle name="Header3 2 3 2 9" xfId="22602" xr:uid="{00000000-0005-0000-0000-00002D4A0000}"/>
    <cellStyle name="Header3 2 3 2 9 2" xfId="26625" xr:uid="{00000000-0005-0000-0000-00002E4A0000}"/>
    <cellStyle name="Header3 2 3 2 9 3" xfId="27555" xr:uid="{00000000-0005-0000-0000-00002F4A0000}"/>
    <cellStyle name="Header3 2 3 2 9 4" xfId="22758" xr:uid="{00000000-0005-0000-0000-0000304A0000}"/>
    <cellStyle name="Header3 2 3 2 9 5" xfId="27726" xr:uid="{00000000-0005-0000-0000-0000314A0000}"/>
    <cellStyle name="Header3 2 3 2 9_DataIX" xfId="32173" xr:uid="{00000000-0005-0000-0000-0000324A0000}"/>
    <cellStyle name="Header3 2 3 2_##Keskeiset" xfId="8897" xr:uid="{00000000-0005-0000-0000-0000334A0000}"/>
    <cellStyle name="Header3 2 3 20" xfId="28958" xr:uid="{00000000-0005-0000-0000-0000344A0000}"/>
    <cellStyle name="Header3 2 3 21" xfId="28725" xr:uid="{00000000-0005-0000-0000-0000354A0000}"/>
    <cellStyle name="Header3 2 3 22" xfId="28874" xr:uid="{00000000-0005-0000-0000-0000364A0000}"/>
    <cellStyle name="Header3 2 3 23" xfId="29014" xr:uid="{00000000-0005-0000-0000-0000374A0000}"/>
    <cellStyle name="Header3 2 3 24" xfId="29192" xr:uid="{00000000-0005-0000-0000-0000384A0000}"/>
    <cellStyle name="Header3 2 3 3" xfId="5266" xr:uid="{00000000-0005-0000-0000-0000394A0000}"/>
    <cellStyle name="Header3 2 3 3 2" xfId="11008" xr:uid="{00000000-0005-0000-0000-00003A4A0000}"/>
    <cellStyle name="Header3 2 3 3 3" xfId="18596" xr:uid="{00000000-0005-0000-0000-00003B4A0000}"/>
    <cellStyle name="Header3 2 3 3_DataIX" xfId="32174" xr:uid="{00000000-0005-0000-0000-00003C4A0000}"/>
    <cellStyle name="Header3 2 3 4" xfId="13097" xr:uid="{00000000-0005-0000-0000-00003D4A0000}"/>
    <cellStyle name="Header3 2 3 4 2" xfId="20748" xr:uid="{00000000-0005-0000-0000-00003E4A0000}"/>
    <cellStyle name="Header3 2 3 4 3" xfId="25123" xr:uid="{00000000-0005-0000-0000-00003F4A0000}"/>
    <cellStyle name="Header3 2 3 4 4" xfId="26934" xr:uid="{00000000-0005-0000-0000-0000404A0000}"/>
    <cellStyle name="Header3 2 3 4 5" xfId="26830" xr:uid="{00000000-0005-0000-0000-0000414A0000}"/>
    <cellStyle name="Header3 2 3 4 6" xfId="27662" xr:uid="{00000000-0005-0000-0000-0000424A0000}"/>
    <cellStyle name="Header3 2 3 4_DataIX" xfId="32175" xr:uid="{00000000-0005-0000-0000-0000434A0000}"/>
    <cellStyle name="Header3 2 3 5" xfId="13311" xr:uid="{00000000-0005-0000-0000-0000444A0000}"/>
    <cellStyle name="Header3 2 3 5 2" xfId="20899" xr:uid="{00000000-0005-0000-0000-0000454A0000}"/>
    <cellStyle name="Header3 2 3 5 3" xfId="26157" xr:uid="{00000000-0005-0000-0000-0000464A0000}"/>
    <cellStyle name="Header3 2 3 5 4" xfId="27367" xr:uid="{00000000-0005-0000-0000-0000474A0000}"/>
    <cellStyle name="Header3 2 3 5 5" xfId="22817" xr:uid="{00000000-0005-0000-0000-0000484A0000}"/>
    <cellStyle name="Header3 2 3 5 6" xfId="27703" xr:uid="{00000000-0005-0000-0000-0000494A0000}"/>
    <cellStyle name="Header3 2 3 5_DataIX" xfId="32176" xr:uid="{00000000-0005-0000-0000-00004A4A0000}"/>
    <cellStyle name="Header3 2 3 6" xfId="13361" xr:uid="{00000000-0005-0000-0000-00004B4A0000}"/>
    <cellStyle name="Header3 2 3 6 2" xfId="26583" xr:uid="{00000000-0005-0000-0000-00004C4A0000}"/>
    <cellStyle name="Header3 2 3 6 3" xfId="27541" xr:uid="{00000000-0005-0000-0000-00004D4A0000}"/>
    <cellStyle name="Header3 2 3 6 4" xfId="27613" xr:uid="{00000000-0005-0000-0000-00004E4A0000}"/>
    <cellStyle name="Header3 2 3 6 5" xfId="27724" xr:uid="{00000000-0005-0000-0000-00004F4A0000}"/>
    <cellStyle name="Header3 2 3 6_DataIX" xfId="32177" xr:uid="{00000000-0005-0000-0000-0000504A0000}"/>
    <cellStyle name="Header3 2 3 7" xfId="13398" xr:uid="{00000000-0005-0000-0000-0000514A0000}"/>
    <cellStyle name="Header3 2 3 7 2" xfId="25458" xr:uid="{00000000-0005-0000-0000-0000524A0000}"/>
    <cellStyle name="Header3 2 3 7 3" xfId="27109" xr:uid="{00000000-0005-0000-0000-0000534A0000}"/>
    <cellStyle name="Header3 2 3 7 4" xfId="22837" xr:uid="{00000000-0005-0000-0000-0000544A0000}"/>
    <cellStyle name="Header3 2 3 7 5" xfId="27677" xr:uid="{00000000-0005-0000-0000-0000554A0000}"/>
    <cellStyle name="Header3 2 3 7_DataIX" xfId="32178" xr:uid="{00000000-0005-0000-0000-0000564A0000}"/>
    <cellStyle name="Header3 2 3 8" xfId="13828" xr:uid="{00000000-0005-0000-0000-0000574A0000}"/>
    <cellStyle name="Header3 2 3 8 2" xfId="26070" xr:uid="{00000000-0005-0000-0000-0000584A0000}"/>
    <cellStyle name="Header3 2 3 8 3" xfId="27315" xr:uid="{00000000-0005-0000-0000-0000594A0000}"/>
    <cellStyle name="Header3 2 3 8 4" xfId="22792" xr:uid="{00000000-0005-0000-0000-00005A4A0000}"/>
    <cellStyle name="Header3 2 3 8 5" xfId="27699" xr:uid="{00000000-0005-0000-0000-00005B4A0000}"/>
    <cellStyle name="Header3 2 3 8_DataIX" xfId="32179" xr:uid="{00000000-0005-0000-0000-00005C4A0000}"/>
    <cellStyle name="Header3 2 3 9" xfId="22303" xr:uid="{00000000-0005-0000-0000-00005D4A0000}"/>
    <cellStyle name="Header3 2 3 9 2" xfId="25718" xr:uid="{00000000-0005-0000-0000-00005E4A0000}"/>
    <cellStyle name="Header3 2 3 9 3" xfId="27208" xr:uid="{00000000-0005-0000-0000-00005F4A0000}"/>
    <cellStyle name="Header3 2 3 9 4" xfId="26893" xr:uid="{00000000-0005-0000-0000-0000604A0000}"/>
    <cellStyle name="Header3 2 3 9 5" xfId="27690" xr:uid="{00000000-0005-0000-0000-0000614A0000}"/>
    <cellStyle name="Header3 2 3 9_DataIX" xfId="32180" xr:uid="{00000000-0005-0000-0000-0000624A0000}"/>
    <cellStyle name="Header3 2 3_##Keskeiset" xfId="8896" xr:uid="{00000000-0005-0000-0000-0000634A0000}"/>
    <cellStyle name="Header3 2 4" xfId="286" xr:uid="{00000000-0005-0000-0000-0000644A0000}"/>
    <cellStyle name="Header3 2 4 10" xfId="28113" xr:uid="{00000000-0005-0000-0000-0000654A0000}"/>
    <cellStyle name="Header3 2 4 11" xfId="28212" xr:uid="{00000000-0005-0000-0000-0000664A0000}"/>
    <cellStyle name="Header3 2 4 12" xfId="28427" xr:uid="{00000000-0005-0000-0000-0000674A0000}"/>
    <cellStyle name="Header3 2 4 13" xfId="28616" xr:uid="{00000000-0005-0000-0000-0000684A0000}"/>
    <cellStyle name="Header3 2 4 14" xfId="28641" xr:uid="{00000000-0005-0000-0000-0000694A0000}"/>
    <cellStyle name="Header3 2 4 15" xfId="28956" xr:uid="{00000000-0005-0000-0000-00006A4A0000}"/>
    <cellStyle name="Header3 2 4 16" xfId="29016" xr:uid="{00000000-0005-0000-0000-00006B4A0000}"/>
    <cellStyle name="Header3 2 4 17" xfId="29004" xr:uid="{00000000-0005-0000-0000-00006C4A0000}"/>
    <cellStyle name="Header3 2 4 2" xfId="13099" xr:uid="{00000000-0005-0000-0000-00006D4A0000}"/>
    <cellStyle name="Header3 2 4 2 2" xfId="20750" xr:uid="{00000000-0005-0000-0000-00006E4A0000}"/>
    <cellStyle name="Header3 2 4 2 3" xfId="25125" xr:uid="{00000000-0005-0000-0000-00006F4A0000}"/>
    <cellStyle name="Header3 2 4 2 4" xfId="26936" xr:uid="{00000000-0005-0000-0000-0000704A0000}"/>
    <cellStyle name="Header3 2 4 2 5" xfId="26604" xr:uid="{00000000-0005-0000-0000-0000714A0000}"/>
    <cellStyle name="Header3 2 4 2 6" xfId="27664" xr:uid="{00000000-0005-0000-0000-0000724A0000}"/>
    <cellStyle name="Header3 2 4 2_DataIX" xfId="32182" xr:uid="{00000000-0005-0000-0000-0000734A0000}"/>
    <cellStyle name="Header3 2 4 3" xfId="13202" xr:uid="{00000000-0005-0000-0000-0000744A0000}"/>
    <cellStyle name="Header3 2 4 3 2" xfId="26484" xr:uid="{00000000-0005-0000-0000-0000754A0000}"/>
    <cellStyle name="Header3 2 4 3 3" xfId="27502" xr:uid="{00000000-0005-0000-0000-0000764A0000}"/>
    <cellStyle name="Header3 2 4 3 4" xfId="22819" xr:uid="{00000000-0005-0000-0000-0000774A0000}"/>
    <cellStyle name="Header3 2 4 3 5" xfId="27714" xr:uid="{00000000-0005-0000-0000-0000784A0000}"/>
    <cellStyle name="Header3 2 4 3_DataIX" xfId="32183" xr:uid="{00000000-0005-0000-0000-0000794A0000}"/>
    <cellStyle name="Header3 2 4 4" xfId="22305" xr:uid="{00000000-0005-0000-0000-00007A4A0000}"/>
    <cellStyle name="Header3 2 4 4 2" xfId="24932" xr:uid="{00000000-0005-0000-0000-00007B4A0000}"/>
    <cellStyle name="Header3 2 4 4_DataIX" xfId="32184" xr:uid="{00000000-0005-0000-0000-00007C4A0000}"/>
    <cellStyle name="Header3 2 4 5" xfId="22601" xr:uid="{00000000-0005-0000-0000-00007D4A0000}"/>
    <cellStyle name="Header3 2 4 6" xfId="22645" xr:uid="{00000000-0005-0000-0000-00007E4A0000}"/>
    <cellStyle name="Header3 2 4 7" xfId="22656" xr:uid="{00000000-0005-0000-0000-00007F4A0000}"/>
    <cellStyle name="Header3 2 4 8" xfId="22737" xr:uid="{00000000-0005-0000-0000-0000804A0000}"/>
    <cellStyle name="Header3 2 4 9" xfId="27881" xr:uid="{00000000-0005-0000-0000-0000814A0000}"/>
    <cellStyle name="Header3 2 4_DataIX" xfId="32181" xr:uid="{00000000-0005-0000-0000-0000824A0000}"/>
    <cellStyle name="Header3 2 5" xfId="13092" xr:uid="{00000000-0005-0000-0000-0000834A0000}"/>
    <cellStyle name="Header3 2 5 2" xfId="20743" xr:uid="{00000000-0005-0000-0000-0000844A0000}"/>
    <cellStyle name="Header3 2 5 3" xfId="25118" xr:uid="{00000000-0005-0000-0000-0000854A0000}"/>
    <cellStyle name="Header3 2 5 4" xfId="26929" xr:uid="{00000000-0005-0000-0000-0000864A0000}"/>
    <cellStyle name="Header3 2 5 5" xfId="22878" xr:uid="{00000000-0005-0000-0000-0000874A0000}"/>
    <cellStyle name="Header3 2 5 6" xfId="27657" xr:uid="{00000000-0005-0000-0000-0000884A0000}"/>
    <cellStyle name="Header3 2 5_DataIX" xfId="32185" xr:uid="{00000000-0005-0000-0000-0000894A0000}"/>
    <cellStyle name="Header3 2 6" xfId="13252" xr:uid="{00000000-0005-0000-0000-00008A4A0000}"/>
    <cellStyle name="Header3 2 6 2" xfId="26159" xr:uid="{00000000-0005-0000-0000-00008B4A0000}"/>
    <cellStyle name="Header3 2 6 3" xfId="27369" xr:uid="{00000000-0005-0000-0000-00008C4A0000}"/>
    <cellStyle name="Header3 2 6 4" xfId="22874" xr:uid="{00000000-0005-0000-0000-00008D4A0000}"/>
    <cellStyle name="Header3 2 6 5" xfId="27705" xr:uid="{00000000-0005-0000-0000-00008E4A0000}"/>
    <cellStyle name="Header3 2 6_DataIX" xfId="32186" xr:uid="{00000000-0005-0000-0000-00008F4A0000}"/>
    <cellStyle name="Header3 2 7" xfId="22283" xr:uid="{00000000-0005-0000-0000-0000904A0000}"/>
    <cellStyle name="Header3 2 8" xfId="22621" xr:uid="{00000000-0005-0000-0000-0000914A0000}"/>
    <cellStyle name="Header3 2 9" xfId="22730" xr:uid="{00000000-0005-0000-0000-0000924A0000}"/>
    <cellStyle name="Header3 2_##Keskeiset" xfId="8891" xr:uid="{00000000-0005-0000-0000-0000934A0000}"/>
    <cellStyle name="Header3 3" xfId="197" xr:uid="{00000000-0005-0000-0000-0000944A0000}"/>
    <cellStyle name="Header3 3 10" xfId="22600" xr:uid="{00000000-0005-0000-0000-0000954A0000}"/>
    <cellStyle name="Header3 3 11" xfId="22644" xr:uid="{00000000-0005-0000-0000-0000964A0000}"/>
    <cellStyle name="Header3 3 12" xfId="22628" xr:uid="{00000000-0005-0000-0000-0000974A0000}"/>
    <cellStyle name="Header3 3 13" xfId="22738" xr:uid="{00000000-0005-0000-0000-0000984A0000}"/>
    <cellStyle name="Header3 3 14" xfId="27636" xr:uid="{00000000-0005-0000-0000-0000994A0000}"/>
    <cellStyle name="Header3 3 15" xfId="27882" xr:uid="{00000000-0005-0000-0000-00009A4A0000}"/>
    <cellStyle name="Header3 3 16" xfId="28112" xr:uid="{00000000-0005-0000-0000-00009B4A0000}"/>
    <cellStyle name="Header3 3 17" xfId="28213" xr:uid="{00000000-0005-0000-0000-00009C4A0000}"/>
    <cellStyle name="Header3 3 18" xfId="28200" xr:uid="{00000000-0005-0000-0000-00009D4A0000}"/>
    <cellStyle name="Header3 3 19" xfId="28617" xr:uid="{00000000-0005-0000-0000-00009E4A0000}"/>
    <cellStyle name="Header3 3 2" xfId="295" xr:uid="{00000000-0005-0000-0000-00009F4A0000}"/>
    <cellStyle name="Header3 3 2 10" xfId="22508" xr:uid="{00000000-0005-0000-0000-0000A04A0000}"/>
    <cellStyle name="Header3 3 2 11" xfId="22643" xr:uid="{00000000-0005-0000-0000-0000A14A0000}"/>
    <cellStyle name="Header3 3 2 12" xfId="22716" xr:uid="{00000000-0005-0000-0000-0000A24A0000}"/>
    <cellStyle name="Header3 3 2 13" xfId="22739" xr:uid="{00000000-0005-0000-0000-0000A34A0000}"/>
    <cellStyle name="Header3 3 2 14" xfId="27637" xr:uid="{00000000-0005-0000-0000-0000A44A0000}"/>
    <cellStyle name="Header3 3 2 15" xfId="27883" xr:uid="{00000000-0005-0000-0000-0000A54A0000}"/>
    <cellStyle name="Header3 3 2 16" xfId="28111" xr:uid="{00000000-0005-0000-0000-0000A64A0000}"/>
    <cellStyle name="Header3 3 2 17" xfId="28214" xr:uid="{00000000-0005-0000-0000-0000A74A0000}"/>
    <cellStyle name="Header3 3 2 18" xfId="28426" xr:uid="{00000000-0005-0000-0000-0000A84A0000}"/>
    <cellStyle name="Header3 3 2 19" xfId="28618" xr:uid="{00000000-0005-0000-0000-0000A94A0000}"/>
    <cellStyle name="Header3 3 2 2" xfId="5264" xr:uid="{00000000-0005-0000-0000-0000AA4A0000}"/>
    <cellStyle name="Header3 3 2 2 2" xfId="11009" xr:uid="{00000000-0005-0000-0000-0000AB4A0000}"/>
    <cellStyle name="Header3 3 2 2 3" xfId="18594" xr:uid="{00000000-0005-0000-0000-0000AC4A0000}"/>
    <cellStyle name="Header3 3 2 2_DataIX" xfId="32187" xr:uid="{00000000-0005-0000-0000-0000AD4A0000}"/>
    <cellStyle name="Header3 3 2 20" xfId="28807" xr:uid="{00000000-0005-0000-0000-0000AE4A0000}"/>
    <cellStyle name="Header3 3 2 21" xfId="28954" xr:uid="{00000000-0005-0000-0000-0000AF4A0000}"/>
    <cellStyle name="Header3 3 2 22" xfId="28723" xr:uid="{00000000-0005-0000-0000-0000B04A0000}"/>
    <cellStyle name="Header3 3 2 23" xfId="28871" xr:uid="{00000000-0005-0000-0000-0000B14A0000}"/>
    <cellStyle name="Header3 3 2 24" xfId="29018" xr:uid="{00000000-0005-0000-0000-0000B24A0000}"/>
    <cellStyle name="Header3 3 2 25" xfId="29189" xr:uid="{00000000-0005-0000-0000-0000B34A0000}"/>
    <cellStyle name="Header3 3 2 3" xfId="13101" xr:uid="{00000000-0005-0000-0000-0000B44A0000}"/>
    <cellStyle name="Header3 3 2 3 2" xfId="20752" xr:uid="{00000000-0005-0000-0000-0000B54A0000}"/>
    <cellStyle name="Header3 3 2 3 3" xfId="25127" xr:uid="{00000000-0005-0000-0000-0000B64A0000}"/>
    <cellStyle name="Header3 3 2 3 4" xfId="26938" xr:uid="{00000000-0005-0000-0000-0000B74A0000}"/>
    <cellStyle name="Header3 3 2 3 5" xfId="26797" xr:uid="{00000000-0005-0000-0000-0000B84A0000}"/>
    <cellStyle name="Header3 3 2 3 6" xfId="27666" xr:uid="{00000000-0005-0000-0000-0000B94A0000}"/>
    <cellStyle name="Header3 3 2 3_DataIX" xfId="32188" xr:uid="{00000000-0005-0000-0000-0000BA4A0000}"/>
    <cellStyle name="Header3 3 2 4" xfId="13253" xr:uid="{00000000-0005-0000-0000-0000BB4A0000}"/>
    <cellStyle name="Header3 3 2 4 2" xfId="25647" xr:uid="{00000000-0005-0000-0000-0000BC4A0000}"/>
    <cellStyle name="Header3 3 2 4 3" xfId="27184" xr:uid="{00000000-0005-0000-0000-0000BD4A0000}"/>
    <cellStyle name="Header3 3 2 4 4" xfId="26759" xr:uid="{00000000-0005-0000-0000-0000BE4A0000}"/>
    <cellStyle name="Header3 3 2 4 5" xfId="27686" xr:uid="{00000000-0005-0000-0000-0000BF4A0000}"/>
    <cellStyle name="Header3 3 2 4_DataIX" xfId="32189" xr:uid="{00000000-0005-0000-0000-0000C04A0000}"/>
    <cellStyle name="Header3 3 2 5" xfId="22307" xr:uid="{00000000-0005-0000-0000-0000C14A0000}"/>
    <cellStyle name="Header3 3 2 6" xfId="22599" xr:uid="{00000000-0005-0000-0000-0000C24A0000}"/>
    <cellStyle name="Header3 3 2 7" xfId="22693" xr:uid="{00000000-0005-0000-0000-0000C34A0000}"/>
    <cellStyle name="Header3 3 2 8" xfId="22285" xr:uid="{00000000-0005-0000-0000-0000C44A0000}"/>
    <cellStyle name="Header3 3 2 9" xfId="22674" xr:uid="{00000000-0005-0000-0000-0000C54A0000}"/>
    <cellStyle name="Header3 3 2_##Keskeiset" xfId="8900" xr:uid="{00000000-0005-0000-0000-0000C64A0000}"/>
    <cellStyle name="Header3 3 20" xfId="28640" xr:uid="{00000000-0005-0000-0000-0000C74A0000}"/>
    <cellStyle name="Header3 3 21" xfId="28955" xr:uid="{00000000-0005-0000-0000-0000C84A0000}"/>
    <cellStyle name="Header3 3 22" xfId="28971" xr:uid="{00000000-0005-0000-0000-0000C94A0000}"/>
    <cellStyle name="Header3 3 23" xfId="28872" xr:uid="{00000000-0005-0000-0000-0000CA4A0000}"/>
    <cellStyle name="Header3 3 24" xfId="29017" xr:uid="{00000000-0005-0000-0000-0000CB4A0000}"/>
    <cellStyle name="Header3 3 25" xfId="29190" xr:uid="{00000000-0005-0000-0000-0000CC4A0000}"/>
    <cellStyle name="Header3 3 3" xfId="292" xr:uid="{00000000-0005-0000-0000-0000CD4A0000}"/>
    <cellStyle name="Header3 3 3 10" xfId="22692" xr:uid="{00000000-0005-0000-0000-0000CE4A0000}"/>
    <cellStyle name="Header3 3 3 10 2" xfId="26209" xr:uid="{00000000-0005-0000-0000-0000CF4A0000}"/>
    <cellStyle name="Header3 3 3 10 3" xfId="27383" xr:uid="{00000000-0005-0000-0000-0000D04A0000}"/>
    <cellStyle name="Header3 3 3 10 4" xfId="22875" xr:uid="{00000000-0005-0000-0000-0000D14A0000}"/>
    <cellStyle name="Header3 3 3 10 5" xfId="27706" xr:uid="{00000000-0005-0000-0000-0000D24A0000}"/>
    <cellStyle name="Header3 3 3 10_DataIX" xfId="32190" xr:uid="{00000000-0005-0000-0000-0000D34A0000}"/>
    <cellStyle name="Header3 3 3 11" xfId="22642" xr:uid="{00000000-0005-0000-0000-0000D44A0000}"/>
    <cellStyle name="Header3 3 3 12" xfId="22678" xr:uid="{00000000-0005-0000-0000-0000D54A0000}"/>
    <cellStyle name="Header3 3 3 13" xfId="22740" xr:uid="{00000000-0005-0000-0000-0000D64A0000}"/>
    <cellStyle name="Header3 3 3 14" xfId="27884" xr:uid="{00000000-0005-0000-0000-0000D74A0000}"/>
    <cellStyle name="Header3 3 3 15" xfId="28110" xr:uid="{00000000-0005-0000-0000-0000D84A0000}"/>
    <cellStyle name="Header3 3 3 16" xfId="28215" xr:uid="{00000000-0005-0000-0000-0000D94A0000}"/>
    <cellStyle name="Header3 3 3 17" xfId="28425" xr:uid="{00000000-0005-0000-0000-0000DA4A0000}"/>
    <cellStyle name="Header3 3 3 18" xfId="28619" xr:uid="{00000000-0005-0000-0000-0000DB4A0000}"/>
    <cellStyle name="Header3 3 3 19" xfId="28603" xr:uid="{00000000-0005-0000-0000-0000DC4A0000}"/>
    <cellStyle name="Header3 3 3 2" xfId="5263" xr:uid="{00000000-0005-0000-0000-0000DD4A0000}"/>
    <cellStyle name="Header3 3 3 2 2" xfId="8902" xr:uid="{00000000-0005-0000-0000-0000DE4A0000}"/>
    <cellStyle name="Header3 3 3 2 3" xfId="18593" xr:uid="{00000000-0005-0000-0000-0000DF4A0000}"/>
    <cellStyle name="Header3 3 3 2_DataIX" xfId="32191" xr:uid="{00000000-0005-0000-0000-0000E04A0000}"/>
    <cellStyle name="Header3 3 3 20" xfId="28953" xr:uid="{00000000-0005-0000-0000-0000E14A0000}"/>
    <cellStyle name="Header3 3 3 21" xfId="28722" xr:uid="{00000000-0005-0000-0000-0000E24A0000}"/>
    <cellStyle name="Header3 3 3 22" xfId="28870" xr:uid="{00000000-0005-0000-0000-0000E34A0000}"/>
    <cellStyle name="Header3 3 3 23" xfId="29019" xr:uid="{00000000-0005-0000-0000-0000E44A0000}"/>
    <cellStyle name="Header3 3 3 24" xfId="29188" xr:uid="{00000000-0005-0000-0000-0000E54A0000}"/>
    <cellStyle name="Header3 3 3 3" xfId="13102" xr:uid="{00000000-0005-0000-0000-0000E64A0000}"/>
    <cellStyle name="Header3 3 3 3 2" xfId="20753" xr:uid="{00000000-0005-0000-0000-0000E74A0000}"/>
    <cellStyle name="Header3 3 3 3 3" xfId="25128" xr:uid="{00000000-0005-0000-0000-0000E84A0000}"/>
    <cellStyle name="Header3 3 3 3 4" xfId="26939" xr:uid="{00000000-0005-0000-0000-0000E94A0000}"/>
    <cellStyle name="Header3 3 3 3 5" xfId="26794" xr:uid="{00000000-0005-0000-0000-0000EA4A0000}"/>
    <cellStyle name="Header3 3 3 3 6" xfId="27667" xr:uid="{00000000-0005-0000-0000-0000EB4A0000}"/>
    <cellStyle name="Header3 3 3 3_DataIX" xfId="32192" xr:uid="{00000000-0005-0000-0000-0000EC4A0000}"/>
    <cellStyle name="Header3 3 3 4" xfId="13114" xr:uid="{00000000-0005-0000-0000-0000ED4A0000}"/>
    <cellStyle name="Header3 3 3 4 2" xfId="20765" xr:uid="{00000000-0005-0000-0000-0000EE4A0000}"/>
    <cellStyle name="Header3 3 3 4 3" xfId="26483" xr:uid="{00000000-0005-0000-0000-0000EF4A0000}"/>
    <cellStyle name="Header3 3 3 4 4" xfId="27501" xr:uid="{00000000-0005-0000-0000-0000F04A0000}"/>
    <cellStyle name="Header3 3 3 4 5" xfId="22980" xr:uid="{00000000-0005-0000-0000-0000F14A0000}"/>
    <cellStyle name="Header3 3 3 4 6" xfId="27713" xr:uid="{00000000-0005-0000-0000-0000F24A0000}"/>
    <cellStyle name="Header3 3 3 4_DataIX" xfId="32193" xr:uid="{00000000-0005-0000-0000-0000F34A0000}"/>
    <cellStyle name="Header3 3 3 5" xfId="13325" xr:uid="{00000000-0005-0000-0000-0000F44A0000}"/>
    <cellStyle name="Header3 3 3 5 2" xfId="25526" xr:uid="{00000000-0005-0000-0000-0000F54A0000}"/>
    <cellStyle name="Header3 3 3 5 3" xfId="27132" xr:uid="{00000000-0005-0000-0000-0000F64A0000}"/>
    <cellStyle name="Header3 3 3 5 4" xfId="22757" xr:uid="{00000000-0005-0000-0000-0000F74A0000}"/>
    <cellStyle name="Header3 3 3 5 5" xfId="27680" xr:uid="{00000000-0005-0000-0000-0000F84A0000}"/>
    <cellStyle name="Header3 3 3 5_DataIX" xfId="32194" xr:uid="{00000000-0005-0000-0000-0000F94A0000}"/>
    <cellStyle name="Header3 3 3 6" xfId="13337" xr:uid="{00000000-0005-0000-0000-0000FA4A0000}"/>
    <cellStyle name="Header3 3 3 6 2" xfId="25510" xr:uid="{00000000-0005-0000-0000-0000FB4A0000}"/>
    <cellStyle name="Header3 3 3 6 3" xfId="27128" xr:uid="{00000000-0005-0000-0000-0000FC4A0000}"/>
    <cellStyle name="Header3 3 3 6 4" xfId="23111" xr:uid="{00000000-0005-0000-0000-0000FD4A0000}"/>
    <cellStyle name="Header3 3 3 6 5" xfId="27679" xr:uid="{00000000-0005-0000-0000-0000FE4A0000}"/>
    <cellStyle name="Header3 3 3 6_DataIX" xfId="32195" xr:uid="{00000000-0005-0000-0000-0000FF4A0000}"/>
    <cellStyle name="Header3 3 3 7" xfId="13862" xr:uid="{00000000-0005-0000-0000-0000004B0000}"/>
    <cellStyle name="Header3 3 3 7 2" xfId="25845" xr:uid="{00000000-0005-0000-0000-0000014B0000}"/>
    <cellStyle name="Header3 3 3 7 3" xfId="27244" xr:uid="{00000000-0005-0000-0000-0000024B0000}"/>
    <cellStyle name="Header3 3 3 7 4" xfId="22917" xr:uid="{00000000-0005-0000-0000-0000034B0000}"/>
    <cellStyle name="Header3 3 3 7 5" xfId="27693" xr:uid="{00000000-0005-0000-0000-0000044B0000}"/>
    <cellStyle name="Header3 3 3 7_DataIX" xfId="32196" xr:uid="{00000000-0005-0000-0000-0000054B0000}"/>
    <cellStyle name="Header3 3 3 8" xfId="22308" xr:uid="{00000000-0005-0000-0000-0000064B0000}"/>
    <cellStyle name="Header3 3 3 8 2" xfId="25787" xr:uid="{00000000-0005-0000-0000-0000074B0000}"/>
    <cellStyle name="Header3 3 3 8 3" xfId="27230" xr:uid="{00000000-0005-0000-0000-0000084B0000}"/>
    <cellStyle name="Header3 3 3 8 4" xfId="23094" xr:uid="{00000000-0005-0000-0000-0000094B0000}"/>
    <cellStyle name="Header3 3 3 8 5" xfId="27692" xr:uid="{00000000-0005-0000-0000-00000A4B0000}"/>
    <cellStyle name="Header3 3 3 8_DataIX" xfId="32197" xr:uid="{00000000-0005-0000-0000-00000B4B0000}"/>
    <cellStyle name="Header3 3 3 9" xfId="22598" xr:uid="{00000000-0005-0000-0000-00000C4B0000}"/>
    <cellStyle name="Header3 3 3 9 2" xfId="26444" xr:uid="{00000000-0005-0000-0000-00000D4B0000}"/>
    <cellStyle name="Header3 3 3 9 3" xfId="27474" xr:uid="{00000000-0005-0000-0000-00000E4B0000}"/>
    <cellStyle name="Header3 3 3 9 4" xfId="22909" xr:uid="{00000000-0005-0000-0000-00000F4B0000}"/>
    <cellStyle name="Header3 3 3 9 5" xfId="27711" xr:uid="{00000000-0005-0000-0000-0000104B0000}"/>
    <cellStyle name="Header3 3 3 9_DataIX" xfId="32198" xr:uid="{00000000-0005-0000-0000-0000114B0000}"/>
    <cellStyle name="Header3 3 3_##Keskeiset" xfId="8901" xr:uid="{00000000-0005-0000-0000-0000124B0000}"/>
    <cellStyle name="Header3 3 4" xfId="305" xr:uid="{00000000-0005-0000-0000-0000134B0000}"/>
    <cellStyle name="Header3 3 4 10" xfId="28109" xr:uid="{00000000-0005-0000-0000-0000144B0000}"/>
    <cellStyle name="Header3 3 4 11" xfId="28216" xr:uid="{00000000-0005-0000-0000-0000154B0000}"/>
    <cellStyle name="Header3 3 4 12" xfId="28424" xr:uid="{00000000-0005-0000-0000-0000164B0000}"/>
    <cellStyle name="Header3 3 4 13" xfId="28620" xr:uid="{00000000-0005-0000-0000-0000174B0000}"/>
    <cellStyle name="Header3 3 4 14" xfId="28602" xr:uid="{00000000-0005-0000-0000-0000184B0000}"/>
    <cellStyle name="Header3 3 4 15" xfId="28952" xr:uid="{00000000-0005-0000-0000-0000194B0000}"/>
    <cellStyle name="Header3 3 4 16" xfId="29020" xr:uid="{00000000-0005-0000-0000-00001A4B0000}"/>
    <cellStyle name="Header3 3 4 17" xfId="29187" xr:uid="{00000000-0005-0000-0000-00001B4B0000}"/>
    <cellStyle name="Header3 3 4 2" xfId="13103" xr:uid="{00000000-0005-0000-0000-00001C4B0000}"/>
    <cellStyle name="Header3 3 4 2 2" xfId="20754" xr:uid="{00000000-0005-0000-0000-00001D4B0000}"/>
    <cellStyle name="Header3 3 4 2 3" xfId="25129" xr:uid="{00000000-0005-0000-0000-00001E4B0000}"/>
    <cellStyle name="Header3 3 4 2 4" xfId="26940" xr:uid="{00000000-0005-0000-0000-00001F4B0000}"/>
    <cellStyle name="Header3 3 4 2 5" xfId="22882" xr:uid="{00000000-0005-0000-0000-0000204B0000}"/>
    <cellStyle name="Header3 3 4 2 6" xfId="27668" xr:uid="{00000000-0005-0000-0000-0000214B0000}"/>
    <cellStyle name="Header3 3 4 2_DataIX" xfId="32200" xr:uid="{00000000-0005-0000-0000-0000224B0000}"/>
    <cellStyle name="Header3 3 4 3" xfId="13343" xr:uid="{00000000-0005-0000-0000-0000234B0000}"/>
    <cellStyle name="Header3 3 4 3 2" xfId="26155" xr:uid="{00000000-0005-0000-0000-0000244B0000}"/>
    <cellStyle name="Header3 3 4 3 3" xfId="27365" xr:uid="{00000000-0005-0000-0000-0000254B0000}"/>
    <cellStyle name="Header3 3 4 3 4" xfId="26785" xr:uid="{00000000-0005-0000-0000-0000264B0000}"/>
    <cellStyle name="Header3 3 4 3 5" xfId="27701" xr:uid="{00000000-0005-0000-0000-0000274B0000}"/>
    <cellStyle name="Header3 3 4 3_DataIX" xfId="32201" xr:uid="{00000000-0005-0000-0000-0000284B0000}"/>
    <cellStyle name="Header3 3 4 4" xfId="22309" xr:uid="{00000000-0005-0000-0000-0000294B0000}"/>
    <cellStyle name="Header3 3 4 4 2" xfId="24933" xr:uid="{00000000-0005-0000-0000-00002A4B0000}"/>
    <cellStyle name="Header3 3 4 4_DataIX" xfId="32202" xr:uid="{00000000-0005-0000-0000-00002B4B0000}"/>
    <cellStyle name="Header3 3 4 5" xfId="22597" xr:uid="{00000000-0005-0000-0000-00002C4B0000}"/>
    <cellStyle name="Header3 3 4 6" xfId="22641" xr:uid="{00000000-0005-0000-0000-00002D4B0000}"/>
    <cellStyle name="Header3 3 4 7" xfId="22715" xr:uid="{00000000-0005-0000-0000-00002E4B0000}"/>
    <cellStyle name="Header3 3 4 8" xfId="22741" xr:uid="{00000000-0005-0000-0000-00002F4B0000}"/>
    <cellStyle name="Header3 3 4 9" xfId="27885" xr:uid="{00000000-0005-0000-0000-0000304B0000}"/>
    <cellStyle name="Header3 3 4_DataIX" xfId="32199" xr:uid="{00000000-0005-0000-0000-0000314B0000}"/>
    <cellStyle name="Header3 3 5" xfId="5588" xr:uid="{00000000-0005-0000-0000-0000324B0000}"/>
    <cellStyle name="Header3 3 5 2" xfId="12571" xr:uid="{00000000-0005-0000-0000-0000334B0000}"/>
    <cellStyle name="Header3 3 5 3" xfId="18810" xr:uid="{00000000-0005-0000-0000-0000344B0000}"/>
    <cellStyle name="Header3 3 5_DataIX" xfId="32203" xr:uid="{00000000-0005-0000-0000-0000354B0000}"/>
    <cellStyle name="Header3 3 6" xfId="13100" xr:uid="{00000000-0005-0000-0000-0000364B0000}"/>
    <cellStyle name="Header3 3 6 2" xfId="20751" xr:uid="{00000000-0005-0000-0000-0000374B0000}"/>
    <cellStyle name="Header3 3 6 3" xfId="25126" xr:uid="{00000000-0005-0000-0000-0000384B0000}"/>
    <cellStyle name="Header3 3 6 4" xfId="26937" xr:uid="{00000000-0005-0000-0000-0000394B0000}"/>
    <cellStyle name="Header3 3 6 5" xfId="26756" xr:uid="{00000000-0005-0000-0000-00003A4B0000}"/>
    <cellStyle name="Header3 3 6 6" xfId="27665" xr:uid="{00000000-0005-0000-0000-00003B4B0000}"/>
    <cellStyle name="Header3 3 6_DataIX" xfId="32204" xr:uid="{00000000-0005-0000-0000-00003C4B0000}"/>
    <cellStyle name="Header3 3 7" xfId="13222" xr:uid="{00000000-0005-0000-0000-00003D4B0000}"/>
    <cellStyle name="Header3 3 7 2" xfId="26156" xr:uid="{00000000-0005-0000-0000-00003E4B0000}"/>
    <cellStyle name="Header3 3 7 3" xfId="27366" xr:uid="{00000000-0005-0000-0000-00003F4B0000}"/>
    <cellStyle name="Header3 3 7 4" xfId="23035" xr:uid="{00000000-0005-0000-0000-0000404B0000}"/>
    <cellStyle name="Header3 3 7 5" xfId="27702" xr:uid="{00000000-0005-0000-0000-0000414B0000}"/>
    <cellStyle name="Header3 3 7_DataIX" xfId="32205" xr:uid="{00000000-0005-0000-0000-0000424B0000}"/>
    <cellStyle name="Header3 3 8" xfId="20848" xr:uid="{00000000-0005-0000-0000-0000434B0000}"/>
    <cellStyle name="Header3 3 8 2" xfId="13680" xr:uid="{00000000-0005-0000-0000-0000444B0000}"/>
    <cellStyle name="Header3 3 8_DataIX" xfId="32206" xr:uid="{00000000-0005-0000-0000-0000454B0000}"/>
    <cellStyle name="Header3 3 9" xfId="22306" xr:uid="{00000000-0005-0000-0000-0000464B0000}"/>
    <cellStyle name="Header3 3_##Keskeiset" xfId="8899" xr:uid="{00000000-0005-0000-0000-0000474B0000}"/>
    <cellStyle name="Header3 4" xfId="253" xr:uid="{00000000-0005-0000-0000-0000484B0000}"/>
    <cellStyle name="Header3 4 10" xfId="22596" xr:uid="{00000000-0005-0000-0000-0000494B0000}"/>
    <cellStyle name="Header3 4 10 2" xfId="25996" xr:uid="{00000000-0005-0000-0000-00004A4B0000}"/>
    <cellStyle name="Header3 4 10 3" xfId="27292" xr:uid="{00000000-0005-0000-0000-00004B4B0000}"/>
    <cellStyle name="Header3 4 10 4" xfId="22977" xr:uid="{00000000-0005-0000-0000-00004C4B0000}"/>
    <cellStyle name="Header3 4 10 5" xfId="27696" xr:uid="{00000000-0005-0000-0000-00004D4B0000}"/>
    <cellStyle name="Header3 4 10_DataIX" xfId="32207" xr:uid="{00000000-0005-0000-0000-00004E4B0000}"/>
    <cellStyle name="Header3 4 11" xfId="22640" xr:uid="{00000000-0005-0000-0000-00004F4B0000}"/>
    <cellStyle name="Header3 4 12" xfId="22518" xr:uid="{00000000-0005-0000-0000-0000504B0000}"/>
    <cellStyle name="Header3 4 13" xfId="22742" xr:uid="{00000000-0005-0000-0000-0000514B0000}"/>
    <cellStyle name="Header3 4 14" xfId="27886" xr:uid="{00000000-0005-0000-0000-0000524B0000}"/>
    <cellStyle name="Header3 4 15" xfId="28108" xr:uid="{00000000-0005-0000-0000-0000534B0000}"/>
    <cellStyle name="Header3 4 16" xfId="28217" xr:uid="{00000000-0005-0000-0000-0000544B0000}"/>
    <cellStyle name="Header3 4 17" xfId="28423" xr:uid="{00000000-0005-0000-0000-0000554B0000}"/>
    <cellStyle name="Header3 4 18" xfId="28621" xr:uid="{00000000-0005-0000-0000-0000564B0000}"/>
    <cellStyle name="Header3 4 19" xfId="28639" xr:uid="{00000000-0005-0000-0000-0000574B0000}"/>
    <cellStyle name="Header3 4 2" xfId="308" xr:uid="{00000000-0005-0000-0000-0000584B0000}"/>
    <cellStyle name="Header3 4 2 10" xfId="22691" xr:uid="{00000000-0005-0000-0000-0000594B0000}"/>
    <cellStyle name="Header3 4 2 10 2" xfId="25575" xr:uid="{00000000-0005-0000-0000-00005A4B0000}"/>
    <cellStyle name="Header3 4 2 10 3" xfId="27152" xr:uid="{00000000-0005-0000-0000-00005B4B0000}"/>
    <cellStyle name="Header3 4 2 10 4" xfId="26817" xr:uid="{00000000-0005-0000-0000-00005C4B0000}"/>
    <cellStyle name="Header3 4 2 10 5" xfId="27684" xr:uid="{00000000-0005-0000-0000-00005D4B0000}"/>
    <cellStyle name="Header3 4 2 10_DataIX" xfId="32208" xr:uid="{00000000-0005-0000-0000-00005E4B0000}"/>
    <cellStyle name="Header3 4 2 11" xfId="22638" xr:uid="{00000000-0005-0000-0000-00005F4B0000}"/>
    <cellStyle name="Header3 4 2 12" xfId="22679" xr:uid="{00000000-0005-0000-0000-0000604B0000}"/>
    <cellStyle name="Header3 4 2 13" xfId="22743" xr:uid="{00000000-0005-0000-0000-0000614B0000}"/>
    <cellStyle name="Header3 4 2 14" xfId="27887" xr:uid="{00000000-0005-0000-0000-0000624B0000}"/>
    <cellStyle name="Header3 4 2 15" xfId="28064" xr:uid="{00000000-0005-0000-0000-0000634B0000}"/>
    <cellStyle name="Header3 4 2 16" xfId="28218" xr:uid="{00000000-0005-0000-0000-0000644B0000}"/>
    <cellStyle name="Header3 4 2 17" xfId="28422" xr:uid="{00000000-0005-0000-0000-0000654B0000}"/>
    <cellStyle name="Header3 4 2 18" xfId="28622" xr:uid="{00000000-0005-0000-0000-0000664B0000}"/>
    <cellStyle name="Header3 4 2 19" xfId="28638" xr:uid="{00000000-0005-0000-0000-0000674B0000}"/>
    <cellStyle name="Header3 4 2 2" xfId="5261" xr:uid="{00000000-0005-0000-0000-0000684B0000}"/>
    <cellStyle name="Header3 4 2 2 2" xfId="8905" xr:uid="{00000000-0005-0000-0000-0000694B0000}"/>
    <cellStyle name="Header3 4 2 2 3" xfId="18591" xr:uid="{00000000-0005-0000-0000-00006A4B0000}"/>
    <cellStyle name="Header3 4 2 2_DataIX" xfId="32209" xr:uid="{00000000-0005-0000-0000-00006B4B0000}"/>
    <cellStyle name="Header3 4 2 20" xfId="28950" xr:uid="{00000000-0005-0000-0000-00006C4B0000}"/>
    <cellStyle name="Header3 4 2 21" xfId="28720" xr:uid="{00000000-0005-0000-0000-00006D4B0000}"/>
    <cellStyle name="Header3 4 2 22" xfId="28868" xr:uid="{00000000-0005-0000-0000-00006E4B0000}"/>
    <cellStyle name="Header3 4 2 23" xfId="29022" xr:uid="{00000000-0005-0000-0000-00006F4B0000}"/>
    <cellStyle name="Header3 4 2 24" xfId="29185" xr:uid="{00000000-0005-0000-0000-0000704B0000}"/>
    <cellStyle name="Header3 4 2 3" xfId="13105" xr:uid="{00000000-0005-0000-0000-0000714B0000}"/>
    <cellStyle name="Header3 4 2 3 2" xfId="20756" xr:uid="{00000000-0005-0000-0000-0000724B0000}"/>
    <cellStyle name="Header3 4 2 3 3" xfId="25131" xr:uid="{00000000-0005-0000-0000-0000734B0000}"/>
    <cellStyle name="Header3 4 2 3 4" xfId="26942" xr:uid="{00000000-0005-0000-0000-0000744B0000}"/>
    <cellStyle name="Header3 4 2 3 5" xfId="26891" xr:uid="{00000000-0005-0000-0000-0000754B0000}"/>
    <cellStyle name="Header3 4 2 3 6" xfId="27670" xr:uid="{00000000-0005-0000-0000-0000764B0000}"/>
    <cellStyle name="Header3 4 2 3_DataIX" xfId="32210" xr:uid="{00000000-0005-0000-0000-0000774B0000}"/>
    <cellStyle name="Header3 4 2 4" xfId="13392" xr:uid="{00000000-0005-0000-0000-0000784B0000}"/>
    <cellStyle name="Header3 4 2 4 2" xfId="20950" xr:uid="{00000000-0005-0000-0000-0000794B0000}"/>
    <cellStyle name="Header3 4 2 4 3" xfId="26482" xr:uid="{00000000-0005-0000-0000-00007A4B0000}"/>
    <cellStyle name="Header3 4 2 4 4" xfId="27500" xr:uid="{00000000-0005-0000-0000-00007B4B0000}"/>
    <cellStyle name="Header3 4 2 4 5" xfId="22786" xr:uid="{00000000-0005-0000-0000-00007C4B0000}"/>
    <cellStyle name="Header3 4 2 4 6" xfId="27712" xr:uid="{00000000-0005-0000-0000-00007D4B0000}"/>
    <cellStyle name="Header3 4 2 4_DataIX" xfId="32211" xr:uid="{00000000-0005-0000-0000-00007E4B0000}"/>
    <cellStyle name="Header3 4 2 5" xfId="13115" xr:uid="{00000000-0005-0000-0000-00007F4B0000}"/>
    <cellStyle name="Header3 4 2 5 2" xfId="25527" xr:uid="{00000000-0005-0000-0000-0000804B0000}"/>
    <cellStyle name="Header3 4 2 5 3" xfId="27133" xr:uid="{00000000-0005-0000-0000-0000814B0000}"/>
    <cellStyle name="Header3 4 2 5 4" xfId="27080" xr:uid="{00000000-0005-0000-0000-0000824B0000}"/>
    <cellStyle name="Header3 4 2 5 5" xfId="27681" xr:uid="{00000000-0005-0000-0000-0000834B0000}"/>
    <cellStyle name="Header3 4 2 5_DataIX" xfId="32212" xr:uid="{00000000-0005-0000-0000-0000844B0000}"/>
    <cellStyle name="Header3 4 2 6" xfId="13165" xr:uid="{00000000-0005-0000-0000-0000854B0000}"/>
    <cellStyle name="Header3 4 2 6 2" xfId="25314" xr:uid="{00000000-0005-0000-0000-0000864B0000}"/>
    <cellStyle name="Header3 4 2 6 3" xfId="27046" xr:uid="{00000000-0005-0000-0000-0000874B0000}"/>
    <cellStyle name="Header3 4 2 6 4" xfId="22830" xr:uid="{00000000-0005-0000-0000-0000884B0000}"/>
    <cellStyle name="Header3 4 2 6 5" xfId="27672" xr:uid="{00000000-0005-0000-0000-0000894B0000}"/>
    <cellStyle name="Header3 4 2 6_DataIX" xfId="32213" xr:uid="{00000000-0005-0000-0000-00008A4B0000}"/>
    <cellStyle name="Header3 4 2 7" xfId="13872" xr:uid="{00000000-0005-0000-0000-00008B4B0000}"/>
    <cellStyle name="Header3 4 2 7 2" xfId="26242" xr:uid="{00000000-0005-0000-0000-00008C4B0000}"/>
    <cellStyle name="Header3 4 2 7 3" xfId="27391" xr:uid="{00000000-0005-0000-0000-00008D4B0000}"/>
    <cellStyle name="Header3 4 2 7 4" xfId="23070" xr:uid="{00000000-0005-0000-0000-00008E4B0000}"/>
    <cellStyle name="Header3 4 2 7 5" xfId="27707" xr:uid="{00000000-0005-0000-0000-00008F4B0000}"/>
    <cellStyle name="Header3 4 2 7_DataIX" xfId="32214" xr:uid="{00000000-0005-0000-0000-0000904B0000}"/>
    <cellStyle name="Header3 4 2 8" xfId="22311" xr:uid="{00000000-0005-0000-0000-0000914B0000}"/>
    <cellStyle name="Header3 4 2 8 2" xfId="26614" xr:uid="{00000000-0005-0000-0000-0000924B0000}"/>
    <cellStyle name="Header3 4 2 8 3" xfId="27551" xr:uid="{00000000-0005-0000-0000-0000934B0000}"/>
    <cellStyle name="Header3 4 2 8 4" xfId="27079" xr:uid="{00000000-0005-0000-0000-0000944B0000}"/>
    <cellStyle name="Header3 4 2 8 5" xfId="27725" xr:uid="{00000000-0005-0000-0000-0000954B0000}"/>
    <cellStyle name="Header3 4 2 8_DataIX" xfId="32215" xr:uid="{00000000-0005-0000-0000-0000964B0000}"/>
    <cellStyle name="Header3 4 2 9" xfId="22595" xr:uid="{00000000-0005-0000-0000-0000974B0000}"/>
    <cellStyle name="Header3 4 2 9 2" xfId="25568" xr:uid="{00000000-0005-0000-0000-0000984B0000}"/>
    <cellStyle name="Header3 4 2 9 3" xfId="27147" xr:uid="{00000000-0005-0000-0000-0000994B0000}"/>
    <cellStyle name="Header3 4 2 9 4" xfId="26919" xr:uid="{00000000-0005-0000-0000-00009A4B0000}"/>
    <cellStyle name="Header3 4 2 9 5" xfId="27683" xr:uid="{00000000-0005-0000-0000-00009B4B0000}"/>
    <cellStyle name="Header3 4 2 9_DataIX" xfId="32216" xr:uid="{00000000-0005-0000-0000-00009C4B0000}"/>
    <cellStyle name="Header3 4 2_##Keskeiset" xfId="8904" xr:uid="{00000000-0005-0000-0000-00009D4B0000}"/>
    <cellStyle name="Header3 4 20" xfId="28951" xr:uid="{00000000-0005-0000-0000-00009E4B0000}"/>
    <cellStyle name="Header3 4 21" xfId="28721" xr:uid="{00000000-0005-0000-0000-00009F4B0000}"/>
    <cellStyle name="Header3 4 22" xfId="28869" xr:uid="{00000000-0005-0000-0000-0000A04B0000}"/>
    <cellStyle name="Header3 4 23" xfId="29021" xr:uid="{00000000-0005-0000-0000-0000A14B0000}"/>
    <cellStyle name="Header3 4 24" xfId="29186" xr:uid="{00000000-0005-0000-0000-0000A24B0000}"/>
    <cellStyle name="Header3 4 3" xfId="5262" xr:uid="{00000000-0005-0000-0000-0000A34B0000}"/>
    <cellStyle name="Header3 4 3 2" xfId="11010" xr:uid="{00000000-0005-0000-0000-0000A44B0000}"/>
    <cellStyle name="Header3 4 3 3" xfId="18592" xr:uid="{00000000-0005-0000-0000-0000A54B0000}"/>
    <cellStyle name="Header3 4 3_DataIX" xfId="32217" xr:uid="{00000000-0005-0000-0000-0000A64B0000}"/>
    <cellStyle name="Header3 4 4" xfId="13104" xr:uid="{00000000-0005-0000-0000-0000A74B0000}"/>
    <cellStyle name="Header3 4 4 2" xfId="20755" xr:uid="{00000000-0005-0000-0000-0000A84B0000}"/>
    <cellStyle name="Header3 4 4 3" xfId="25130" xr:uid="{00000000-0005-0000-0000-0000A94B0000}"/>
    <cellStyle name="Header3 4 4 4" xfId="26941" xr:uid="{00000000-0005-0000-0000-0000AA4B0000}"/>
    <cellStyle name="Header3 4 4 5" xfId="26871" xr:uid="{00000000-0005-0000-0000-0000AB4B0000}"/>
    <cellStyle name="Header3 4 4 6" xfId="27669" xr:uid="{00000000-0005-0000-0000-0000AC4B0000}"/>
    <cellStyle name="Header3 4 4_DataIX" xfId="32218" xr:uid="{00000000-0005-0000-0000-0000AD4B0000}"/>
    <cellStyle name="Header3 4 5" xfId="13308" xr:uid="{00000000-0005-0000-0000-0000AE4B0000}"/>
    <cellStyle name="Header3 4 5 2" xfId="20896" xr:uid="{00000000-0005-0000-0000-0000AF4B0000}"/>
    <cellStyle name="Header3 4 5 3" xfId="25646" xr:uid="{00000000-0005-0000-0000-0000B04B0000}"/>
    <cellStyle name="Header3 4 5 4" xfId="27183" xr:uid="{00000000-0005-0000-0000-0000B14B0000}"/>
    <cellStyle name="Header3 4 5 5" xfId="26866" xr:uid="{00000000-0005-0000-0000-0000B24B0000}"/>
    <cellStyle name="Header3 4 5 6" xfId="27685" xr:uid="{00000000-0005-0000-0000-0000B34B0000}"/>
    <cellStyle name="Header3 4 5_DataIX" xfId="32219" xr:uid="{00000000-0005-0000-0000-0000B44B0000}"/>
    <cellStyle name="Header3 4 6" xfId="13362" xr:uid="{00000000-0005-0000-0000-0000B54B0000}"/>
    <cellStyle name="Header3 4 6 2" xfId="25339" xr:uid="{00000000-0005-0000-0000-0000B64B0000}"/>
    <cellStyle name="Header3 4 6 3" xfId="27054" xr:uid="{00000000-0005-0000-0000-0000B74B0000}"/>
    <cellStyle name="Header3 4 6 4" xfId="22899" xr:uid="{00000000-0005-0000-0000-0000B84B0000}"/>
    <cellStyle name="Header3 4 6 5" xfId="27673" xr:uid="{00000000-0005-0000-0000-0000B94B0000}"/>
    <cellStyle name="Header3 4 6_DataIX" xfId="32220" xr:uid="{00000000-0005-0000-0000-0000BA4B0000}"/>
    <cellStyle name="Header3 4 7" xfId="13239" xr:uid="{00000000-0005-0000-0000-0000BB4B0000}"/>
    <cellStyle name="Header3 4 7 2" xfId="25562" xr:uid="{00000000-0005-0000-0000-0000BC4B0000}"/>
    <cellStyle name="Header3 4 7 3" xfId="27145" xr:uid="{00000000-0005-0000-0000-0000BD4B0000}"/>
    <cellStyle name="Header3 4 7 4" xfId="23129" xr:uid="{00000000-0005-0000-0000-0000BE4B0000}"/>
    <cellStyle name="Header3 4 7 5" xfId="27682" xr:uid="{00000000-0005-0000-0000-0000BF4B0000}"/>
    <cellStyle name="Header3 4 7_DataIX" xfId="32221" xr:uid="{00000000-0005-0000-0000-0000C04B0000}"/>
    <cellStyle name="Header3 4 8" xfId="13827" xr:uid="{00000000-0005-0000-0000-0000C14B0000}"/>
    <cellStyle name="Header3 4 8 2" xfId="25385" xr:uid="{00000000-0005-0000-0000-0000C24B0000}"/>
    <cellStyle name="Header3 4 8 3" xfId="27082" xr:uid="{00000000-0005-0000-0000-0000C34B0000}"/>
    <cellStyle name="Header3 4 8 4" xfId="26788" xr:uid="{00000000-0005-0000-0000-0000C44B0000}"/>
    <cellStyle name="Header3 4 8 5" xfId="27675" xr:uid="{00000000-0005-0000-0000-0000C54B0000}"/>
    <cellStyle name="Header3 4 8_DataIX" xfId="32222" xr:uid="{00000000-0005-0000-0000-0000C64B0000}"/>
    <cellStyle name="Header3 4 9" xfId="22310" xr:uid="{00000000-0005-0000-0000-0000C74B0000}"/>
    <cellStyle name="Header3 4 9 2" xfId="26051" xr:uid="{00000000-0005-0000-0000-0000C84B0000}"/>
    <cellStyle name="Header3 4 9 3" xfId="27305" xr:uid="{00000000-0005-0000-0000-0000C94B0000}"/>
    <cellStyle name="Header3 4 9 4" xfId="23130" xr:uid="{00000000-0005-0000-0000-0000CA4B0000}"/>
    <cellStyle name="Header3 4 9 5" xfId="27698" xr:uid="{00000000-0005-0000-0000-0000CB4B0000}"/>
    <cellStyle name="Header3 4 9_DataIX" xfId="32223" xr:uid="{00000000-0005-0000-0000-0000CC4B0000}"/>
    <cellStyle name="Header3 4_##Keskeiset" xfId="8903" xr:uid="{00000000-0005-0000-0000-0000CD4B0000}"/>
    <cellStyle name="Header3 5" xfId="287" xr:uid="{00000000-0005-0000-0000-0000CE4B0000}"/>
    <cellStyle name="Header3 5 10" xfId="27989" xr:uid="{00000000-0005-0000-0000-0000CF4B0000}"/>
    <cellStyle name="Header3 5 11" xfId="28219" xr:uid="{00000000-0005-0000-0000-0000D04B0000}"/>
    <cellStyle name="Header3 5 12" xfId="28421" xr:uid="{00000000-0005-0000-0000-0000D14B0000}"/>
    <cellStyle name="Header3 5 13" xfId="28623" xr:uid="{00000000-0005-0000-0000-0000D24B0000}"/>
    <cellStyle name="Header3 5 14" xfId="28637" xr:uid="{00000000-0005-0000-0000-0000D34B0000}"/>
    <cellStyle name="Header3 5 15" xfId="28949" xr:uid="{00000000-0005-0000-0000-0000D44B0000}"/>
    <cellStyle name="Header3 5 16" xfId="29023" xr:uid="{00000000-0005-0000-0000-0000D54B0000}"/>
    <cellStyle name="Header3 5 17" xfId="29184" xr:uid="{00000000-0005-0000-0000-0000D64B0000}"/>
    <cellStyle name="Header3 5 2" xfId="13106" xr:uid="{00000000-0005-0000-0000-0000D74B0000}"/>
    <cellStyle name="Header3 5 2 2" xfId="20757" xr:uid="{00000000-0005-0000-0000-0000D84B0000}"/>
    <cellStyle name="Header3 5 2 3" xfId="25132" xr:uid="{00000000-0005-0000-0000-0000D94B0000}"/>
    <cellStyle name="Header3 5 2 4" xfId="26943" xr:uid="{00000000-0005-0000-0000-0000DA4B0000}"/>
    <cellStyle name="Header3 5 2 5" xfId="22764" xr:uid="{00000000-0005-0000-0000-0000DB4B0000}"/>
    <cellStyle name="Header3 5 2 6" xfId="27671" xr:uid="{00000000-0005-0000-0000-0000DC4B0000}"/>
    <cellStyle name="Header3 5 2_DataIX" xfId="32225" xr:uid="{00000000-0005-0000-0000-0000DD4B0000}"/>
    <cellStyle name="Header3 5 3" xfId="13135" xr:uid="{00000000-0005-0000-0000-0000DE4B0000}"/>
    <cellStyle name="Header3 5 3 2" xfId="26154" xr:uid="{00000000-0005-0000-0000-0000DF4B0000}"/>
    <cellStyle name="Header3 5 3 3" xfId="27364" xr:uid="{00000000-0005-0000-0000-0000E04B0000}"/>
    <cellStyle name="Header3 5 3 4" xfId="26808" xr:uid="{00000000-0005-0000-0000-0000E14B0000}"/>
    <cellStyle name="Header3 5 3 5" xfId="27700" xr:uid="{00000000-0005-0000-0000-0000E24B0000}"/>
    <cellStyle name="Header3 5 3_DataIX" xfId="32226" xr:uid="{00000000-0005-0000-0000-0000E34B0000}"/>
    <cellStyle name="Header3 5 4" xfId="22312" xr:uid="{00000000-0005-0000-0000-0000E44B0000}"/>
    <cellStyle name="Header3 5 4 2" xfId="24935" xr:uid="{00000000-0005-0000-0000-0000E54B0000}"/>
    <cellStyle name="Header3 5 4_DataIX" xfId="32227" xr:uid="{00000000-0005-0000-0000-0000E64B0000}"/>
    <cellStyle name="Header3 5 5" xfId="22594" xr:uid="{00000000-0005-0000-0000-0000E74B0000}"/>
    <cellStyle name="Header3 5 6" xfId="22639" xr:uid="{00000000-0005-0000-0000-0000E84B0000}"/>
    <cellStyle name="Header3 5 7" xfId="22677" xr:uid="{00000000-0005-0000-0000-0000E94B0000}"/>
    <cellStyle name="Header3 5 8" xfId="22744" xr:uid="{00000000-0005-0000-0000-0000EA4B0000}"/>
    <cellStyle name="Header3 5 9" xfId="27888" xr:uid="{00000000-0005-0000-0000-0000EB4B0000}"/>
    <cellStyle name="Header3 5_DataIX" xfId="32224" xr:uid="{00000000-0005-0000-0000-0000EC4B0000}"/>
    <cellStyle name="Header3 6" xfId="20648" xr:uid="{00000000-0005-0000-0000-0000ED4B0000}"/>
    <cellStyle name="Header3 6 2" xfId="25031" xr:uid="{00000000-0005-0000-0000-0000EE4B0000}"/>
    <cellStyle name="Header3 6 3" xfId="26904" xr:uid="{00000000-0005-0000-0000-0000EF4B0000}"/>
    <cellStyle name="Header3 6 4" xfId="27167" xr:uid="{00000000-0005-0000-0000-0000F04B0000}"/>
    <cellStyle name="Header3 6 5" xfId="27656" xr:uid="{00000000-0005-0000-0000-0000F14B0000}"/>
    <cellStyle name="Header3 6_DataIX" xfId="32228" xr:uid="{00000000-0005-0000-0000-0000F24B0000}"/>
    <cellStyle name="Header3 7" xfId="22282" xr:uid="{00000000-0005-0000-0000-0000F34B0000}"/>
    <cellStyle name="Header3 8" xfId="22622" xr:uid="{00000000-0005-0000-0000-0000F44B0000}"/>
    <cellStyle name="Header3 9" xfId="26803" xr:uid="{00000000-0005-0000-0000-0000F54B0000}"/>
    <cellStyle name="Header3_##Keskeiset" xfId="8890" xr:uid="{00000000-0005-0000-0000-0000F64B0000}"/>
    <cellStyle name="Heading 1" xfId="81" xr:uid="{00000000-0005-0000-0000-0000F74B0000}"/>
    <cellStyle name="Heading 1 2" xfId="82" xr:uid="{00000000-0005-0000-0000-0000F84B0000}"/>
    <cellStyle name="Heading 1 2 10" xfId="25974" xr:uid="{00000000-0005-0000-0000-0000F94B0000}"/>
    <cellStyle name="Heading 1 2 2" xfId="3709" xr:uid="{00000000-0005-0000-0000-0000FA4B0000}"/>
    <cellStyle name="Heading 1 2 2 2" xfId="8907" xr:uid="{00000000-0005-0000-0000-0000FB4B0000}"/>
    <cellStyle name="Heading 1 2 2 3" xfId="17061" xr:uid="{00000000-0005-0000-0000-0000FC4B0000}"/>
    <cellStyle name="Heading 1 2 2_DataIX" xfId="32229" xr:uid="{00000000-0005-0000-0000-0000FD4B0000}"/>
    <cellStyle name="Heading 1 2 3" xfId="3708" xr:uid="{00000000-0005-0000-0000-0000FE4B0000}"/>
    <cellStyle name="Heading 1 2 3 2" xfId="8908" xr:uid="{00000000-0005-0000-0000-0000FF4B0000}"/>
    <cellStyle name="Heading 1 2 3 3" xfId="17060" xr:uid="{00000000-0005-0000-0000-0000004C0000}"/>
    <cellStyle name="Heading 1 2 3_DataIX" xfId="32230" xr:uid="{00000000-0005-0000-0000-0000014C0000}"/>
    <cellStyle name="Heading 1 2 4" xfId="25133" xr:uid="{00000000-0005-0000-0000-0000024C0000}"/>
    <cellStyle name="Heading 1 2 5" xfId="25645" xr:uid="{00000000-0005-0000-0000-0000034C0000}"/>
    <cellStyle name="Heading 1 2 6" xfId="25759" xr:uid="{00000000-0005-0000-0000-0000044C0000}"/>
    <cellStyle name="Heading 1 2 7" xfId="25398" xr:uid="{00000000-0005-0000-0000-0000054C0000}"/>
    <cellStyle name="Heading 1 2 8" xfId="26630" xr:uid="{00000000-0005-0000-0000-0000064C0000}"/>
    <cellStyle name="Heading 1 2 9" xfId="26416" xr:uid="{00000000-0005-0000-0000-0000074C0000}"/>
    <cellStyle name="Heading 1 2_##Keskeiset" xfId="8906" xr:uid="{00000000-0005-0000-0000-0000084C0000}"/>
    <cellStyle name="Heading 1 3" xfId="5590" xr:uid="{00000000-0005-0000-0000-0000094C0000}"/>
    <cellStyle name="Heading 1 3 2" xfId="12572" xr:uid="{00000000-0005-0000-0000-00000A4C0000}"/>
    <cellStyle name="Heading 1 3 3" xfId="18811" xr:uid="{00000000-0005-0000-0000-00000B4C0000}"/>
    <cellStyle name="Heading 1 3_DataIX" xfId="32231" xr:uid="{00000000-0005-0000-0000-00000C4C0000}"/>
    <cellStyle name="Heading 1_##Keskeiset" xfId="5589" xr:uid="{00000000-0005-0000-0000-00000D4C0000}"/>
    <cellStyle name="Heading 2" xfId="83" xr:uid="{00000000-0005-0000-0000-00000E4C0000}"/>
    <cellStyle name="Heading 2 2" xfId="84" xr:uid="{00000000-0005-0000-0000-00000F4C0000}"/>
    <cellStyle name="Heading 2 2 10" xfId="25696" xr:uid="{00000000-0005-0000-0000-0000104C0000}"/>
    <cellStyle name="Heading 2 2 2" xfId="3711" xr:uid="{00000000-0005-0000-0000-0000114C0000}"/>
    <cellStyle name="Heading 2 2 2 2" xfId="8910" xr:uid="{00000000-0005-0000-0000-0000124C0000}"/>
    <cellStyle name="Heading 2 2 2 3" xfId="17063" xr:uid="{00000000-0005-0000-0000-0000134C0000}"/>
    <cellStyle name="Heading 2 2 2_DataIX" xfId="32232" xr:uid="{00000000-0005-0000-0000-0000144C0000}"/>
    <cellStyle name="Heading 2 2 3" xfId="3710" xr:uid="{00000000-0005-0000-0000-0000154C0000}"/>
    <cellStyle name="Heading 2 2 3 2" xfId="8911" xr:uid="{00000000-0005-0000-0000-0000164C0000}"/>
    <cellStyle name="Heading 2 2 3 3" xfId="17062" xr:uid="{00000000-0005-0000-0000-0000174C0000}"/>
    <cellStyle name="Heading 2 2 3_DataIX" xfId="32233" xr:uid="{00000000-0005-0000-0000-0000184C0000}"/>
    <cellStyle name="Heading 2 2 4" xfId="25134" xr:uid="{00000000-0005-0000-0000-0000194C0000}"/>
    <cellStyle name="Heading 2 2 5" xfId="26481" xr:uid="{00000000-0005-0000-0000-00001A4C0000}"/>
    <cellStyle name="Heading 2 2 6" xfId="25962" xr:uid="{00000000-0005-0000-0000-00001B4C0000}"/>
    <cellStyle name="Heading 2 2 7" xfId="26093" xr:uid="{00000000-0005-0000-0000-00001C4C0000}"/>
    <cellStyle name="Heading 2 2 8" xfId="26552" xr:uid="{00000000-0005-0000-0000-00001D4C0000}"/>
    <cellStyle name="Heading 2 2 9" xfId="26371" xr:uid="{00000000-0005-0000-0000-00001E4C0000}"/>
    <cellStyle name="Heading 2 2_##Keskeiset" xfId="8909" xr:uid="{00000000-0005-0000-0000-00001F4C0000}"/>
    <cellStyle name="Heading 2 3" xfId="3712" xr:uid="{00000000-0005-0000-0000-0000204C0000}"/>
    <cellStyle name="Heading 2 3 2" xfId="5592" xr:uid="{00000000-0005-0000-0000-0000214C0000}"/>
    <cellStyle name="Heading 2 3 2 2" xfId="12573" xr:uid="{00000000-0005-0000-0000-0000224C0000}"/>
    <cellStyle name="Heading 2 3 2 3" xfId="18812" xr:uid="{00000000-0005-0000-0000-0000234C0000}"/>
    <cellStyle name="Heading 2 3 2_DataIX" xfId="32235" xr:uid="{00000000-0005-0000-0000-0000244C0000}"/>
    <cellStyle name="Heading 2 3 3" xfId="11011" xr:uid="{00000000-0005-0000-0000-0000254C0000}"/>
    <cellStyle name="Heading 2 3 4" xfId="17064" xr:uid="{00000000-0005-0000-0000-0000264C0000}"/>
    <cellStyle name="Heading 2 3_DataIX" xfId="32234" xr:uid="{00000000-0005-0000-0000-0000274C0000}"/>
    <cellStyle name="Heading 2_##Keskeiset" xfId="5591" xr:uid="{00000000-0005-0000-0000-0000284C0000}"/>
    <cellStyle name="Heading 3" xfId="85" xr:uid="{00000000-0005-0000-0000-0000294C0000}"/>
    <cellStyle name="Heading 3 2" xfId="86" xr:uid="{00000000-0005-0000-0000-00002A4C0000}"/>
    <cellStyle name="Heading 3 2 10" xfId="25980" xr:uid="{00000000-0005-0000-0000-00002B4C0000}"/>
    <cellStyle name="Heading 3 2 2" xfId="3713" xr:uid="{00000000-0005-0000-0000-00002C4C0000}"/>
    <cellStyle name="Heading 3 2 2 2" xfId="8913" xr:uid="{00000000-0005-0000-0000-00002D4C0000}"/>
    <cellStyle name="Heading 3 2 2 3" xfId="17065" xr:uid="{00000000-0005-0000-0000-00002E4C0000}"/>
    <cellStyle name="Heading 3 2 2_DataIX" xfId="32236" xr:uid="{00000000-0005-0000-0000-00002F4C0000}"/>
    <cellStyle name="Heading 3 2 3" xfId="25135" xr:uid="{00000000-0005-0000-0000-0000304C0000}"/>
    <cellStyle name="Heading 3 2 4" xfId="26153" xr:uid="{00000000-0005-0000-0000-0000314C0000}"/>
    <cellStyle name="Heading 3 2 5" xfId="26582" xr:uid="{00000000-0005-0000-0000-0000324C0000}"/>
    <cellStyle name="Heading 3 2 6" xfId="26235" xr:uid="{00000000-0005-0000-0000-0000334C0000}"/>
    <cellStyle name="Heading 3 2 7" xfId="25931" xr:uid="{00000000-0005-0000-0000-0000344C0000}"/>
    <cellStyle name="Heading 3 2 8" xfId="26026" xr:uid="{00000000-0005-0000-0000-0000354C0000}"/>
    <cellStyle name="Heading 3 2 9" xfId="25923" xr:uid="{00000000-0005-0000-0000-0000364C0000}"/>
    <cellStyle name="Heading 3 2_##Keskeiset" xfId="8912" xr:uid="{00000000-0005-0000-0000-0000374C0000}"/>
    <cellStyle name="Heading 3 3" xfId="5594" xr:uid="{00000000-0005-0000-0000-0000384C0000}"/>
    <cellStyle name="Heading 3 3 2" xfId="12574" xr:uid="{00000000-0005-0000-0000-0000394C0000}"/>
    <cellStyle name="Heading 3 3 3" xfId="18814" xr:uid="{00000000-0005-0000-0000-00003A4C0000}"/>
    <cellStyle name="Heading 3 3_DataIX" xfId="32237" xr:uid="{00000000-0005-0000-0000-00003B4C0000}"/>
    <cellStyle name="Heading 3_##Keskeiset" xfId="5593" xr:uid="{00000000-0005-0000-0000-00003C4C0000}"/>
    <cellStyle name="Heading 4" xfId="87" xr:uid="{00000000-0005-0000-0000-00003D4C0000}"/>
    <cellStyle name="Heading 4 2" xfId="88" xr:uid="{00000000-0005-0000-0000-00003E4C0000}"/>
    <cellStyle name="Heading 4 2 10" xfId="25952" xr:uid="{00000000-0005-0000-0000-00003F4C0000}"/>
    <cellStyle name="Heading 4 2 2" xfId="3714" xr:uid="{00000000-0005-0000-0000-0000404C0000}"/>
    <cellStyle name="Heading 4 2 2 2" xfId="8915" xr:uid="{00000000-0005-0000-0000-0000414C0000}"/>
    <cellStyle name="Heading 4 2 2 3" xfId="17066" xr:uid="{00000000-0005-0000-0000-0000424C0000}"/>
    <cellStyle name="Heading 4 2 2_DataIX" xfId="32238" xr:uid="{00000000-0005-0000-0000-0000434C0000}"/>
    <cellStyle name="Heading 4 2 3" xfId="25136" xr:uid="{00000000-0005-0000-0000-0000444C0000}"/>
    <cellStyle name="Heading 4 2 4" xfId="26152" xr:uid="{00000000-0005-0000-0000-0000454C0000}"/>
    <cellStyle name="Heading 4 2 5" xfId="26290" xr:uid="{00000000-0005-0000-0000-0000464C0000}"/>
    <cellStyle name="Heading 4 2 6" xfId="25256" xr:uid="{00000000-0005-0000-0000-0000474C0000}"/>
    <cellStyle name="Heading 4 2 7" xfId="25091" xr:uid="{00000000-0005-0000-0000-0000484C0000}"/>
    <cellStyle name="Heading 4 2 8" xfId="26538" xr:uid="{00000000-0005-0000-0000-0000494C0000}"/>
    <cellStyle name="Heading 4 2 9" xfId="26241" xr:uid="{00000000-0005-0000-0000-00004A4C0000}"/>
    <cellStyle name="Heading 4 2_##Keskeiset" xfId="8914" xr:uid="{00000000-0005-0000-0000-00004B4C0000}"/>
    <cellStyle name="Heading 4 3" xfId="5596" xr:uid="{00000000-0005-0000-0000-00004C4C0000}"/>
    <cellStyle name="Heading 4 3 2" xfId="12575" xr:uid="{00000000-0005-0000-0000-00004D4C0000}"/>
    <cellStyle name="Heading 4 3 3" xfId="18815" xr:uid="{00000000-0005-0000-0000-00004E4C0000}"/>
    <cellStyle name="Heading 4 3_DataIX" xfId="32239" xr:uid="{00000000-0005-0000-0000-00004F4C0000}"/>
    <cellStyle name="Heading 4_##Keskeiset" xfId="5595" xr:uid="{00000000-0005-0000-0000-0000504C0000}"/>
    <cellStyle name="Hipervínculo_IIF" xfId="3715" xr:uid="{00000000-0005-0000-0000-0000514C0000}"/>
    <cellStyle name="Huomautus" xfId="352" xr:uid="{00000000-0005-0000-0000-0000524C0000}"/>
    <cellStyle name="Huomautus 10" xfId="3716" xr:uid="{00000000-0005-0000-0000-0000534C0000}"/>
    <cellStyle name="Huomautus 10 2" xfId="3717" xr:uid="{00000000-0005-0000-0000-0000544C0000}"/>
    <cellStyle name="Huomautus 10 2 2" xfId="3718" xr:uid="{00000000-0005-0000-0000-0000554C0000}"/>
    <cellStyle name="Huomautus 10 2 2 2" xfId="3719" xr:uid="{00000000-0005-0000-0000-0000564C0000}"/>
    <cellStyle name="Huomautus 10 2 2 2 2" xfId="8919" xr:uid="{00000000-0005-0000-0000-0000574C0000}"/>
    <cellStyle name="Huomautus 10 2 2 2 3" xfId="17070" xr:uid="{00000000-0005-0000-0000-0000584C0000}"/>
    <cellStyle name="Huomautus 10 2 2 2_DataIX" xfId="32243" xr:uid="{00000000-0005-0000-0000-0000594C0000}"/>
    <cellStyle name="Huomautus 10 2 2 3" xfId="8918" xr:uid="{00000000-0005-0000-0000-00005A4C0000}"/>
    <cellStyle name="Huomautus 10 2 2 4" xfId="17069" xr:uid="{00000000-0005-0000-0000-00005B4C0000}"/>
    <cellStyle name="Huomautus 10 2 2_DataIX" xfId="32242" xr:uid="{00000000-0005-0000-0000-00005C4C0000}"/>
    <cellStyle name="Huomautus 10 2 3" xfId="3720" xr:uid="{00000000-0005-0000-0000-00005D4C0000}"/>
    <cellStyle name="Huomautus 10 2 3 2" xfId="8920" xr:uid="{00000000-0005-0000-0000-00005E4C0000}"/>
    <cellStyle name="Huomautus 10 2 3 3" xfId="17071" xr:uid="{00000000-0005-0000-0000-00005F4C0000}"/>
    <cellStyle name="Huomautus 10 2 3_DataIX" xfId="32244" xr:uid="{00000000-0005-0000-0000-0000604C0000}"/>
    <cellStyle name="Huomautus 10 2 4" xfId="8917" xr:uid="{00000000-0005-0000-0000-0000614C0000}"/>
    <cellStyle name="Huomautus 10 2 5" xfId="17068" xr:uid="{00000000-0005-0000-0000-0000624C0000}"/>
    <cellStyle name="Huomautus 10 2_DataIX" xfId="32241" xr:uid="{00000000-0005-0000-0000-0000634C0000}"/>
    <cellStyle name="Huomautus 10 3" xfId="3721" xr:uid="{00000000-0005-0000-0000-0000644C0000}"/>
    <cellStyle name="Huomautus 10 3 2" xfId="3722" xr:uid="{00000000-0005-0000-0000-0000654C0000}"/>
    <cellStyle name="Huomautus 10 3 2 2" xfId="8922" xr:uid="{00000000-0005-0000-0000-0000664C0000}"/>
    <cellStyle name="Huomautus 10 3 2 3" xfId="17073" xr:uid="{00000000-0005-0000-0000-0000674C0000}"/>
    <cellStyle name="Huomautus 10 3 2_DataIX" xfId="32246" xr:uid="{00000000-0005-0000-0000-0000684C0000}"/>
    <cellStyle name="Huomautus 10 3 3" xfId="8921" xr:uid="{00000000-0005-0000-0000-0000694C0000}"/>
    <cellStyle name="Huomautus 10 3 4" xfId="17072" xr:uid="{00000000-0005-0000-0000-00006A4C0000}"/>
    <cellStyle name="Huomautus 10 3_DataIX" xfId="32245" xr:uid="{00000000-0005-0000-0000-00006B4C0000}"/>
    <cellStyle name="Huomautus 10 4" xfId="3723" xr:uid="{00000000-0005-0000-0000-00006C4C0000}"/>
    <cellStyle name="Huomautus 10 4 2" xfId="8923" xr:uid="{00000000-0005-0000-0000-00006D4C0000}"/>
    <cellStyle name="Huomautus 10 4 3" xfId="17074" xr:uid="{00000000-0005-0000-0000-00006E4C0000}"/>
    <cellStyle name="Huomautus 10 4_DataIX" xfId="32247" xr:uid="{00000000-0005-0000-0000-00006F4C0000}"/>
    <cellStyle name="Huomautus 10 5" xfId="3724" xr:uid="{00000000-0005-0000-0000-0000704C0000}"/>
    <cellStyle name="Huomautus 10 5 2" xfId="8924" xr:uid="{00000000-0005-0000-0000-0000714C0000}"/>
    <cellStyle name="Huomautus 10 5 3" xfId="17075" xr:uid="{00000000-0005-0000-0000-0000724C0000}"/>
    <cellStyle name="Huomautus 10 5_DataIX" xfId="32248" xr:uid="{00000000-0005-0000-0000-0000734C0000}"/>
    <cellStyle name="Huomautus 10 6" xfId="8916" xr:uid="{00000000-0005-0000-0000-0000744C0000}"/>
    <cellStyle name="Huomautus 10 7" xfId="17067" xr:uid="{00000000-0005-0000-0000-0000754C0000}"/>
    <cellStyle name="Huomautus 10_DataIX" xfId="32240" xr:uid="{00000000-0005-0000-0000-0000764C0000}"/>
    <cellStyle name="Huomautus 11" xfId="3725" xr:uid="{00000000-0005-0000-0000-0000774C0000}"/>
    <cellStyle name="Huomautus 11 2" xfId="3726" xr:uid="{00000000-0005-0000-0000-0000784C0000}"/>
    <cellStyle name="Huomautus 11 2 2" xfId="3727" xr:uid="{00000000-0005-0000-0000-0000794C0000}"/>
    <cellStyle name="Huomautus 11 2 2 2" xfId="3728" xr:uid="{00000000-0005-0000-0000-00007A4C0000}"/>
    <cellStyle name="Huomautus 11 2 2 2 2" xfId="8928" xr:uid="{00000000-0005-0000-0000-00007B4C0000}"/>
    <cellStyle name="Huomautus 11 2 2 2 3" xfId="17079" xr:uid="{00000000-0005-0000-0000-00007C4C0000}"/>
    <cellStyle name="Huomautus 11 2 2 2_DataIX" xfId="32252" xr:uid="{00000000-0005-0000-0000-00007D4C0000}"/>
    <cellStyle name="Huomautus 11 2 2 3" xfId="8927" xr:uid="{00000000-0005-0000-0000-00007E4C0000}"/>
    <cellStyle name="Huomautus 11 2 2 4" xfId="17078" xr:uid="{00000000-0005-0000-0000-00007F4C0000}"/>
    <cellStyle name="Huomautus 11 2 2_DataIX" xfId="32251" xr:uid="{00000000-0005-0000-0000-0000804C0000}"/>
    <cellStyle name="Huomautus 11 2 3" xfId="3729" xr:uid="{00000000-0005-0000-0000-0000814C0000}"/>
    <cellStyle name="Huomautus 11 2 3 2" xfId="8929" xr:uid="{00000000-0005-0000-0000-0000824C0000}"/>
    <cellStyle name="Huomautus 11 2 3 3" xfId="17080" xr:uid="{00000000-0005-0000-0000-0000834C0000}"/>
    <cellStyle name="Huomautus 11 2 3_DataIX" xfId="32253" xr:uid="{00000000-0005-0000-0000-0000844C0000}"/>
    <cellStyle name="Huomautus 11 2 4" xfId="8926" xr:uid="{00000000-0005-0000-0000-0000854C0000}"/>
    <cellStyle name="Huomautus 11 2 5" xfId="17077" xr:uid="{00000000-0005-0000-0000-0000864C0000}"/>
    <cellStyle name="Huomautus 11 2_DataIX" xfId="32250" xr:uid="{00000000-0005-0000-0000-0000874C0000}"/>
    <cellStyle name="Huomautus 11 3" xfId="3730" xr:uid="{00000000-0005-0000-0000-0000884C0000}"/>
    <cellStyle name="Huomautus 11 3 2" xfId="3731" xr:uid="{00000000-0005-0000-0000-0000894C0000}"/>
    <cellStyle name="Huomautus 11 3 2 2" xfId="8931" xr:uid="{00000000-0005-0000-0000-00008A4C0000}"/>
    <cellStyle name="Huomautus 11 3 2 3" xfId="17082" xr:uid="{00000000-0005-0000-0000-00008B4C0000}"/>
    <cellStyle name="Huomautus 11 3 2_DataIX" xfId="32255" xr:uid="{00000000-0005-0000-0000-00008C4C0000}"/>
    <cellStyle name="Huomautus 11 3 3" xfId="8930" xr:uid="{00000000-0005-0000-0000-00008D4C0000}"/>
    <cellStyle name="Huomautus 11 3 4" xfId="17081" xr:uid="{00000000-0005-0000-0000-00008E4C0000}"/>
    <cellStyle name="Huomautus 11 3_DataIX" xfId="32254" xr:uid="{00000000-0005-0000-0000-00008F4C0000}"/>
    <cellStyle name="Huomautus 11 4" xfId="3732" xr:uid="{00000000-0005-0000-0000-0000904C0000}"/>
    <cellStyle name="Huomautus 11 4 2" xfId="8932" xr:uid="{00000000-0005-0000-0000-0000914C0000}"/>
    <cellStyle name="Huomautus 11 4 3" xfId="17083" xr:uid="{00000000-0005-0000-0000-0000924C0000}"/>
    <cellStyle name="Huomautus 11 4_DataIX" xfId="32256" xr:uid="{00000000-0005-0000-0000-0000934C0000}"/>
    <cellStyle name="Huomautus 11 5" xfId="3733" xr:uid="{00000000-0005-0000-0000-0000944C0000}"/>
    <cellStyle name="Huomautus 11 5 2" xfId="8933" xr:uid="{00000000-0005-0000-0000-0000954C0000}"/>
    <cellStyle name="Huomautus 11 5 3" xfId="17084" xr:uid="{00000000-0005-0000-0000-0000964C0000}"/>
    <cellStyle name="Huomautus 11 5_DataIX" xfId="32257" xr:uid="{00000000-0005-0000-0000-0000974C0000}"/>
    <cellStyle name="Huomautus 11 6" xfId="8925" xr:uid="{00000000-0005-0000-0000-0000984C0000}"/>
    <cellStyle name="Huomautus 11 7" xfId="17076" xr:uid="{00000000-0005-0000-0000-0000994C0000}"/>
    <cellStyle name="Huomautus 11_DataIX" xfId="32249" xr:uid="{00000000-0005-0000-0000-00009A4C0000}"/>
    <cellStyle name="Huomautus 12" xfId="3734" xr:uid="{00000000-0005-0000-0000-00009B4C0000}"/>
    <cellStyle name="Huomautus 12 2" xfId="3735" xr:uid="{00000000-0005-0000-0000-00009C4C0000}"/>
    <cellStyle name="Huomautus 12 2 2" xfId="3736" xr:uid="{00000000-0005-0000-0000-00009D4C0000}"/>
    <cellStyle name="Huomautus 12 2 2 2" xfId="3737" xr:uid="{00000000-0005-0000-0000-00009E4C0000}"/>
    <cellStyle name="Huomautus 12 2 2 2 2" xfId="8937" xr:uid="{00000000-0005-0000-0000-00009F4C0000}"/>
    <cellStyle name="Huomautus 12 2 2 2 3" xfId="17088" xr:uid="{00000000-0005-0000-0000-0000A04C0000}"/>
    <cellStyle name="Huomautus 12 2 2 2_DataIX" xfId="32261" xr:uid="{00000000-0005-0000-0000-0000A14C0000}"/>
    <cellStyle name="Huomautus 12 2 2 3" xfId="8936" xr:uid="{00000000-0005-0000-0000-0000A24C0000}"/>
    <cellStyle name="Huomautus 12 2 2 4" xfId="17087" xr:uid="{00000000-0005-0000-0000-0000A34C0000}"/>
    <cellStyle name="Huomautus 12 2 2_DataIX" xfId="32260" xr:uid="{00000000-0005-0000-0000-0000A44C0000}"/>
    <cellStyle name="Huomautus 12 2 3" xfId="3738" xr:uid="{00000000-0005-0000-0000-0000A54C0000}"/>
    <cellStyle name="Huomautus 12 2 3 2" xfId="8938" xr:uid="{00000000-0005-0000-0000-0000A64C0000}"/>
    <cellStyle name="Huomautus 12 2 3 3" xfId="17089" xr:uid="{00000000-0005-0000-0000-0000A74C0000}"/>
    <cellStyle name="Huomautus 12 2 3_DataIX" xfId="32262" xr:uid="{00000000-0005-0000-0000-0000A84C0000}"/>
    <cellStyle name="Huomautus 12 2 4" xfId="8935" xr:uid="{00000000-0005-0000-0000-0000A94C0000}"/>
    <cellStyle name="Huomautus 12 2 5" xfId="17086" xr:uid="{00000000-0005-0000-0000-0000AA4C0000}"/>
    <cellStyle name="Huomautus 12 2_DataIX" xfId="32259" xr:uid="{00000000-0005-0000-0000-0000AB4C0000}"/>
    <cellStyle name="Huomautus 12 3" xfId="3739" xr:uid="{00000000-0005-0000-0000-0000AC4C0000}"/>
    <cellStyle name="Huomautus 12 3 2" xfId="3740" xr:uid="{00000000-0005-0000-0000-0000AD4C0000}"/>
    <cellStyle name="Huomautus 12 3 2 2" xfId="8940" xr:uid="{00000000-0005-0000-0000-0000AE4C0000}"/>
    <cellStyle name="Huomautus 12 3 2 3" xfId="17091" xr:uid="{00000000-0005-0000-0000-0000AF4C0000}"/>
    <cellStyle name="Huomautus 12 3 2_DataIX" xfId="32264" xr:uid="{00000000-0005-0000-0000-0000B04C0000}"/>
    <cellStyle name="Huomautus 12 3 3" xfId="8939" xr:uid="{00000000-0005-0000-0000-0000B14C0000}"/>
    <cellStyle name="Huomautus 12 3 4" xfId="17090" xr:uid="{00000000-0005-0000-0000-0000B24C0000}"/>
    <cellStyle name="Huomautus 12 3_DataIX" xfId="32263" xr:uid="{00000000-0005-0000-0000-0000B34C0000}"/>
    <cellStyle name="Huomautus 12 4" xfId="3741" xr:uid="{00000000-0005-0000-0000-0000B44C0000}"/>
    <cellStyle name="Huomautus 12 4 2" xfId="8941" xr:uid="{00000000-0005-0000-0000-0000B54C0000}"/>
    <cellStyle name="Huomautus 12 4 3" xfId="17092" xr:uid="{00000000-0005-0000-0000-0000B64C0000}"/>
    <cellStyle name="Huomautus 12 4_DataIX" xfId="32265" xr:uid="{00000000-0005-0000-0000-0000B74C0000}"/>
    <cellStyle name="Huomautus 12 5" xfId="3742" xr:uid="{00000000-0005-0000-0000-0000B84C0000}"/>
    <cellStyle name="Huomautus 12 5 2" xfId="8942" xr:uid="{00000000-0005-0000-0000-0000B94C0000}"/>
    <cellStyle name="Huomautus 12 5 3" xfId="17093" xr:uid="{00000000-0005-0000-0000-0000BA4C0000}"/>
    <cellStyle name="Huomautus 12 5_DataIX" xfId="32266" xr:uid="{00000000-0005-0000-0000-0000BB4C0000}"/>
    <cellStyle name="Huomautus 12 6" xfId="8934" xr:uid="{00000000-0005-0000-0000-0000BC4C0000}"/>
    <cellStyle name="Huomautus 12 7" xfId="17085" xr:uid="{00000000-0005-0000-0000-0000BD4C0000}"/>
    <cellStyle name="Huomautus 12_DataIX" xfId="32258" xr:uid="{00000000-0005-0000-0000-0000BE4C0000}"/>
    <cellStyle name="Huomautus 13" xfId="3743" xr:uid="{00000000-0005-0000-0000-0000BF4C0000}"/>
    <cellStyle name="Huomautus 13 2" xfId="3744" xr:uid="{00000000-0005-0000-0000-0000C04C0000}"/>
    <cellStyle name="Huomautus 13 2 2" xfId="3745" xr:uid="{00000000-0005-0000-0000-0000C14C0000}"/>
    <cellStyle name="Huomautus 13 2 2 2" xfId="3746" xr:uid="{00000000-0005-0000-0000-0000C24C0000}"/>
    <cellStyle name="Huomautus 13 2 2 2 2" xfId="8946" xr:uid="{00000000-0005-0000-0000-0000C34C0000}"/>
    <cellStyle name="Huomautus 13 2 2 2 3" xfId="17097" xr:uid="{00000000-0005-0000-0000-0000C44C0000}"/>
    <cellStyle name="Huomautus 13 2 2 2_DataIX" xfId="32270" xr:uid="{00000000-0005-0000-0000-0000C54C0000}"/>
    <cellStyle name="Huomautus 13 2 2 3" xfId="8945" xr:uid="{00000000-0005-0000-0000-0000C64C0000}"/>
    <cellStyle name="Huomautus 13 2 2 4" xfId="17096" xr:uid="{00000000-0005-0000-0000-0000C74C0000}"/>
    <cellStyle name="Huomautus 13 2 2_DataIX" xfId="32269" xr:uid="{00000000-0005-0000-0000-0000C84C0000}"/>
    <cellStyle name="Huomautus 13 2 3" xfId="3747" xr:uid="{00000000-0005-0000-0000-0000C94C0000}"/>
    <cellStyle name="Huomautus 13 2 3 2" xfId="8947" xr:uid="{00000000-0005-0000-0000-0000CA4C0000}"/>
    <cellStyle name="Huomautus 13 2 3 3" xfId="17098" xr:uid="{00000000-0005-0000-0000-0000CB4C0000}"/>
    <cellStyle name="Huomautus 13 2 3_DataIX" xfId="32271" xr:uid="{00000000-0005-0000-0000-0000CC4C0000}"/>
    <cellStyle name="Huomautus 13 2 4" xfId="8944" xr:uid="{00000000-0005-0000-0000-0000CD4C0000}"/>
    <cellStyle name="Huomautus 13 2 5" xfId="17095" xr:uid="{00000000-0005-0000-0000-0000CE4C0000}"/>
    <cellStyle name="Huomautus 13 2_DataIX" xfId="32268" xr:uid="{00000000-0005-0000-0000-0000CF4C0000}"/>
    <cellStyle name="Huomautus 13 3" xfId="3748" xr:uid="{00000000-0005-0000-0000-0000D04C0000}"/>
    <cellStyle name="Huomautus 13 3 2" xfId="3749" xr:uid="{00000000-0005-0000-0000-0000D14C0000}"/>
    <cellStyle name="Huomautus 13 3 2 2" xfId="8949" xr:uid="{00000000-0005-0000-0000-0000D24C0000}"/>
    <cellStyle name="Huomautus 13 3 2 3" xfId="17100" xr:uid="{00000000-0005-0000-0000-0000D34C0000}"/>
    <cellStyle name="Huomautus 13 3 2_DataIX" xfId="32273" xr:uid="{00000000-0005-0000-0000-0000D44C0000}"/>
    <cellStyle name="Huomautus 13 3 3" xfId="8948" xr:uid="{00000000-0005-0000-0000-0000D54C0000}"/>
    <cellStyle name="Huomautus 13 3 4" xfId="17099" xr:uid="{00000000-0005-0000-0000-0000D64C0000}"/>
    <cellStyle name="Huomautus 13 3_DataIX" xfId="32272" xr:uid="{00000000-0005-0000-0000-0000D74C0000}"/>
    <cellStyle name="Huomautus 13 4" xfId="3750" xr:uid="{00000000-0005-0000-0000-0000D84C0000}"/>
    <cellStyle name="Huomautus 13 4 2" xfId="8950" xr:uid="{00000000-0005-0000-0000-0000D94C0000}"/>
    <cellStyle name="Huomautus 13 4 3" xfId="17101" xr:uid="{00000000-0005-0000-0000-0000DA4C0000}"/>
    <cellStyle name="Huomautus 13 4_DataIX" xfId="32274" xr:uid="{00000000-0005-0000-0000-0000DB4C0000}"/>
    <cellStyle name="Huomautus 13 5" xfId="3751" xr:uid="{00000000-0005-0000-0000-0000DC4C0000}"/>
    <cellStyle name="Huomautus 13 5 2" xfId="8951" xr:uid="{00000000-0005-0000-0000-0000DD4C0000}"/>
    <cellStyle name="Huomautus 13 5 3" xfId="17102" xr:uid="{00000000-0005-0000-0000-0000DE4C0000}"/>
    <cellStyle name="Huomautus 13 5_DataIX" xfId="32275" xr:uid="{00000000-0005-0000-0000-0000DF4C0000}"/>
    <cellStyle name="Huomautus 13 6" xfId="8943" xr:uid="{00000000-0005-0000-0000-0000E04C0000}"/>
    <cellStyle name="Huomautus 13 7" xfId="17094" xr:uid="{00000000-0005-0000-0000-0000E14C0000}"/>
    <cellStyle name="Huomautus 13_DataIX" xfId="32267" xr:uid="{00000000-0005-0000-0000-0000E24C0000}"/>
    <cellStyle name="Huomautus 14" xfId="3752" xr:uid="{00000000-0005-0000-0000-0000E34C0000}"/>
    <cellStyle name="Huomautus 14 2" xfId="8952" xr:uid="{00000000-0005-0000-0000-0000E44C0000}"/>
    <cellStyle name="Huomautus 14 3" xfId="17103" xr:uid="{00000000-0005-0000-0000-0000E54C0000}"/>
    <cellStyle name="Huomautus 14_DataIX" xfId="32276" xr:uid="{00000000-0005-0000-0000-0000E64C0000}"/>
    <cellStyle name="Huomautus 15" xfId="3753" xr:uid="{00000000-0005-0000-0000-0000E74C0000}"/>
    <cellStyle name="Huomautus 15 2" xfId="8953" xr:uid="{00000000-0005-0000-0000-0000E84C0000}"/>
    <cellStyle name="Huomautus 15 3" xfId="17104" xr:uid="{00000000-0005-0000-0000-0000E94C0000}"/>
    <cellStyle name="Huomautus 15_DataIX" xfId="32277" xr:uid="{00000000-0005-0000-0000-0000EA4C0000}"/>
    <cellStyle name="Huomautus 16" xfId="3754" xr:uid="{00000000-0005-0000-0000-0000EB4C0000}"/>
    <cellStyle name="Huomautus 16 2" xfId="8954" xr:uid="{00000000-0005-0000-0000-0000EC4C0000}"/>
    <cellStyle name="Huomautus 16 3" xfId="17105" xr:uid="{00000000-0005-0000-0000-0000ED4C0000}"/>
    <cellStyle name="Huomautus 16_DataIX" xfId="32278" xr:uid="{00000000-0005-0000-0000-0000EE4C0000}"/>
    <cellStyle name="Huomautus 17" xfId="3755" xr:uid="{00000000-0005-0000-0000-0000EF4C0000}"/>
    <cellStyle name="Huomautus 17 2" xfId="8955" xr:uid="{00000000-0005-0000-0000-0000F04C0000}"/>
    <cellStyle name="Huomautus 17 3" xfId="17106" xr:uid="{00000000-0005-0000-0000-0000F14C0000}"/>
    <cellStyle name="Huomautus 17_DataIX" xfId="32279" xr:uid="{00000000-0005-0000-0000-0000F24C0000}"/>
    <cellStyle name="Huomautus 18" xfId="3756" xr:uid="{00000000-0005-0000-0000-0000F34C0000}"/>
    <cellStyle name="Huomautus 18 2" xfId="8956" xr:uid="{00000000-0005-0000-0000-0000F44C0000}"/>
    <cellStyle name="Huomautus 18 3" xfId="17107" xr:uid="{00000000-0005-0000-0000-0000F54C0000}"/>
    <cellStyle name="Huomautus 18_DataIX" xfId="32280" xr:uid="{00000000-0005-0000-0000-0000F64C0000}"/>
    <cellStyle name="Huomautus 19" xfId="3757" xr:uid="{00000000-0005-0000-0000-0000F74C0000}"/>
    <cellStyle name="Huomautus 19 2" xfId="8957" xr:uid="{00000000-0005-0000-0000-0000F84C0000}"/>
    <cellStyle name="Huomautus 19 3" xfId="17108" xr:uid="{00000000-0005-0000-0000-0000F94C0000}"/>
    <cellStyle name="Huomautus 19_DataIX" xfId="32281" xr:uid="{00000000-0005-0000-0000-0000FA4C0000}"/>
    <cellStyle name="Huomautus 2" xfId="89" xr:uid="{00000000-0005-0000-0000-0000FB4C0000}"/>
    <cellStyle name="Huomautus 2 10" xfId="3758" xr:uid="{00000000-0005-0000-0000-0000FC4C0000}"/>
    <cellStyle name="Huomautus 2 10 2" xfId="8959" xr:uid="{00000000-0005-0000-0000-0000FD4C0000}"/>
    <cellStyle name="Huomautus 2 10 3" xfId="17109" xr:uid="{00000000-0005-0000-0000-0000FE4C0000}"/>
    <cellStyle name="Huomautus 2 10_DataIX" xfId="32282" xr:uid="{00000000-0005-0000-0000-0000FF4C0000}"/>
    <cellStyle name="Huomautus 2 11" xfId="25061" xr:uid="{00000000-0005-0000-0000-0000004D0000}"/>
    <cellStyle name="Huomautus 2 12" xfId="26498" xr:uid="{00000000-0005-0000-0000-0000014D0000}"/>
    <cellStyle name="Huomautus 2 13" xfId="26344" xr:uid="{00000000-0005-0000-0000-0000024D0000}"/>
    <cellStyle name="Huomautus 2 14" xfId="26328" xr:uid="{00000000-0005-0000-0000-0000034D0000}"/>
    <cellStyle name="Huomautus 2 15" xfId="25969" xr:uid="{00000000-0005-0000-0000-0000044D0000}"/>
    <cellStyle name="Huomautus 2 16" xfId="25431" xr:uid="{00000000-0005-0000-0000-0000054D0000}"/>
    <cellStyle name="Huomautus 2 17" xfId="25865" xr:uid="{00000000-0005-0000-0000-0000064D0000}"/>
    <cellStyle name="Huomautus 2 18" xfId="25728" xr:uid="{00000000-0005-0000-0000-0000074D0000}"/>
    <cellStyle name="Huomautus 2 19" xfId="25249" xr:uid="{00000000-0005-0000-0000-0000084D0000}"/>
    <cellStyle name="Huomautus 2 2" xfId="200" xr:uid="{00000000-0005-0000-0000-0000094D0000}"/>
    <cellStyle name="Huomautus 2 2 10" xfId="25340" xr:uid="{00000000-0005-0000-0000-00000A4D0000}"/>
    <cellStyle name="Huomautus 2 2 2" xfId="384" xr:uid="{00000000-0005-0000-0000-00000B4D0000}"/>
    <cellStyle name="Huomautus 2 2 2 2" xfId="3761" xr:uid="{00000000-0005-0000-0000-00000C4D0000}"/>
    <cellStyle name="Huomautus 2 2 2 2 2" xfId="3762" xr:uid="{00000000-0005-0000-0000-00000D4D0000}"/>
    <cellStyle name="Huomautus 2 2 2 2 2 2" xfId="8963" xr:uid="{00000000-0005-0000-0000-00000E4D0000}"/>
    <cellStyle name="Huomautus 2 2 2 2 2 3" xfId="17113" xr:uid="{00000000-0005-0000-0000-00000F4D0000}"/>
    <cellStyle name="Huomautus 2 2 2 2 2_DataIX" xfId="32284" xr:uid="{00000000-0005-0000-0000-0000104D0000}"/>
    <cellStyle name="Huomautus 2 2 2 2 3" xfId="8962" xr:uid="{00000000-0005-0000-0000-0000114D0000}"/>
    <cellStyle name="Huomautus 2 2 2 2 4" xfId="17112" xr:uid="{00000000-0005-0000-0000-0000124D0000}"/>
    <cellStyle name="Huomautus 2 2 2 2_DataIX" xfId="32283" xr:uid="{00000000-0005-0000-0000-0000134D0000}"/>
    <cellStyle name="Huomautus 2 2 2 3" xfId="3763" xr:uid="{00000000-0005-0000-0000-0000144D0000}"/>
    <cellStyle name="Huomautus 2 2 2 3 2" xfId="8964" xr:uid="{00000000-0005-0000-0000-0000154D0000}"/>
    <cellStyle name="Huomautus 2 2 2 3 3" xfId="17114" xr:uid="{00000000-0005-0000-0000-0000164D0000}"/>
    <cellStyle name="Huomautus 2 2 2 3_DataIX" xfId="32285" xr:uid="{00000000-0005-0000-0000-0000174D0000}"/>
    <cellStyle name="Huomautus 2 2 2 4" xfId="3764" xr:uid="{00000000-0005-0000-0000-0000184D0000}"/>
    <cellStyle name="Huomautus 2 2 2 4 2" xfId="8965" xr:uid="{00000000-0005-0000-0000-0000194D0000}"/>
    <cellStyle name="Huomautus 2 2 2 4 3" xfId="17115" xr:uid="{00000000-0005-0000-0000-00001A4D0000}"/>
    <cellStyle name="Huomautus 2 2 2 4_DataIX" xfId="32286" xr:uid="{00000000-0005-0000-0000-00001B4D0000}"/>
    <cellStyle name="Huomautus 2 2 2 5" xfId="3760" xr:uid="{00000000-0005-0000-0000-00001C4D0000}"/>
    <cellStyle name="Huomautus 2 2 2 5 2" xfId="8966" xr:uid="{00000000-0005-0000-0000-00001D4D0000}"/>
    <cellStyle name="Huomautus 2 2 2 5 3" xfId="17111" xr:uid="{00000000-0005-0000-0000-00001E4D0000}"/>
    <cellStyle name="Huomautus 2 2 2 5_DataIX" xfId="32287" xr:uid="{00000000-0005-0000-0000-00001F4D0000}"/>
    <cellStyle name="Huomautus 2 2 2 6" xfId="13919" xr:uid="{00000000-0005-0000-0000-0000204D0000}"/>
    <cellStyle name="Huomautus 2 2 2 7" xfId="20258" xr:uid="{00000000-0005-0000-0000-0000214D0000}"/>
    <cellStyle name="Huomautus 2 2 2_##Keskeiset" xfId="8961" xr:uid="{00000000-0005-0000-0000-0000224D0000}"/>
    <cellStyle name="Huomautus 2 2 3" xfId="3765" xr:uid="{00000000-0005-0000-0000-0000234D0000}"/>
    <cellStyle name="Huomautus 2 2 3 2" xfId="3766" xr:uid="{00000000-0005-0000-0000-0000244D0000}"/>
    <cellStyle name="Huomautus 2 2 3 2 2" xfId="8968" xr:uid="{00000000-0005-0000-0000-0000254D0000}"/>
    <cellStyle name="Huomautus 2 2 3 2 3" xfId="17117" xr:uid="{00000000-0005-0000-0000-0000264D0000}"/>
    <cellStyle name="Huomautus 2 2 3 2_DataIX" xfId="32288" xr:uid="{00000000-0005-0000-0000-0000274D0000}"/>
    <cellStyle name="Huomautus 2 2 3 3" xfId="5597" xr:uid="{00000000-0005-0000-0000-0000284D0000}"/>
    <cellStyle name="Huomautus 2 2 3 3 2" xfId="12577" xr:uid="{00000000-0005-0000-0000-0000294D0000}"/>
    <cellStyle name="Huomautus 2 2 3 3 3" xfId="18816" xr:uid="{00000000-0005-0000-0000-00002A4D0000}"/>
    <cellStyle name="Huomautus 2 2 3 3_DataIX" xfId="32289" xr:uid="{00000000-0005-0000-0000-00002B4D0000}"/>
    <cellStyle name="Huomautus 2 2 3 4" xfId="17116" xr:uid="{00000000-0005-0000-0000-00002C4D0000}"/>
    <cellStyle name="Huomautus 2 2 3_##Keskeiset" xfId="8967" xr:uid="{00000000-0005-0000-0000-00002D4D0000}"/>
    <cellStyle name="Huomautus 2 2 4" xfId="3767" xr:uid="{00000000-0005-0000-0000-00002E4D0000}"/>
    <cellStyle name="Huomautus 2 2 4 2" xfId="8969" xr:uid="{00000000-0005-0000-0000-00002F4D0000}"/>
    <cellStyle name="Huomautus 2 2 4 3" xfId="17118" xr:uid="{00000000-0005-0000-0000-0000304D0000}"/>
    <cellStyle name="Huomautus 2 2 4_DataIX" xfId="32290" xr:uid="{00000000-0005-0000-0000-0000314D0000}"/>
    <cellStyle name="Huomautus 2 2 5" xfId="3768" xr:uid="{00000000-0005-0000-0000-0000324D0000}"/>
    <cellStyle name="Huomautus 2 2 5 2" xfId="8970" xr:uid="{00000000-0005-0000-0000-0000334D0000}"/>
    <cellStyle name="Huomautus 2 2 5 3" xfId="17119" xr:uid="{00000000-0005-0000-0000-0000344D0000}"/>
    <cellStyle name="Huomautus 2 2 5_DataIX" xfId="32291" xr:uid="{00000000-0005-0000-0000-0000354D0000}"/>
    <cellStyle name="Huomautus 2 2 6" xfId="3769" xr:uid="{00000000-0005-0000-0000-0000364D0000}"/>
    <cellStyle name="Huomautus 2 2 6 2" xfId="8971" xr:uid="{00000000-0005-0000-0000-0000374D0000}"/>
    <cellStyle name="Huomautus 2 2 6 3" xfId="17120" xr:uid="{00000000-0005-0000-0000-0000384D0000}"/>
    <cellStyle name="Huomautus 2 2 6_DataIX" xfId="32292" xr:uid="{00000000-0005-0000-0000-0000394D0000}"/>
    <cellStyle name="Huomautus 2 2 7" xfId="3759" xr:uid="{00000000-0005-0000-0000-00003A4D0000}"/>
    <cellStyle name="Huomautus 2 2 7 2" xfId="8972" xr:uid="{00000000-0005-0000-0000-00003B4D0000}"/>
    <cellStyle name="Huomautus 2 2 7 3" xfId="17110" xr:uid="{00000000-0005-0000-0000-00003C4D0000}"/>
    <cellStyle name="Huomautus 2 2 7_DataIX" xfId="32293" xr:uid="{00000000-0005-0000-0000-00003D4D0000}"/>
    <cellStyle name="Huomautus 2 2 8" xfId="25137" xr:uid="{00000000-0005-0000-0000-00003E4D0000}"/>
    <cellStyle name="Huomautus 2 2 9" xfId="25644" xr:uid="{00000000-0005-0000-0000-00003F4D0000}"/>
    <cellStyle name="Huomautus 2 2_##Keskeiset" xfId="8960" xr:uid="{00000000-0005-0000-0000-0000404D0000}"/>
    <cellStyle name="Huomautus 2 20" xfId="25711" xr:uid="{00000000-0005-0000-0000-0000414D0000}"/>
    <cellStyle name="Huomautus 2 21" xfId="26458" xr:uid="{00000000-0005-0000-0000-0000424D0000}"/>
    <cellStyle name="Huomautus 2 22" xfId="26545" xr:uid="{00000000-0005-0000-0000-0000434D0000}"/>
    <cellStyle name="Huomautus 2 23" xfId="26718" xr:uid="{00000000-0005-0000-0000-0000444D0000}"/>
    <cellStyle name="Huomautus 2 24" xfId="26202" xr:uid="{00000000-0005-0000-0000-0000454D0000}"/>
    <cellStyle name="Huomautus 2 25" xfId="26671" xr:uid="{00000000-0005-0000-0000-0000464D0000}"/>
    <cellStyle name="Huomautus 2 26" xfId="26403" xr:uid="{00000000-0005-0000-0000-0000474D0000}"/>
    <cellStyle name="Huomautus 2 3" xfId="201" xr:uid="{00000000-0005-0000-0000-0000484D0000}"/>
    <cellStyle name="Huomautus 2 3 10" xfId="13213" xr:uid="{00000000-0005-0000-0000-0000494D0000}"/>
    <cellStyle name="Huomautus 2 3 10 2" xfId="21202" xr:uid="{00000000-0005-0000-0000-00004A4D0000}"/>
    <cellStyle name="Huomautus 2 3 10 2 2" xfId="21745" xr:uid="{00000000-0005-0000-0000-00004B4D0000}"/>
    <cellStyle name="Huomautus 2 3 10 2_DataIX" xfId="32295" xr:uid="{00000000-0005-0000-0000-00004C4D0000}"/>
    <cellStyle name="Huomautus 2 3 10 3" xfId="13784" xr:uid="{00000000-0005-0000-0000-00004D4D0000}"/>
    <cellStyle name="Huomautus 2 3 10 4" xfId="27437" xr:uid="{00000000-0005-0000-0000-00004E4D0000}"/>
    <cellStyle name="Huomautus 2 3 10 5" xfId="22948" xr:uid="{00000000-0005-0000-0000-00004F4D0000}"/>
    <cellStyle name="Huomautus 2 3 10_DataIX" xfId="32294" xr:uid="{00000000-0005-0000-0000-0000504D0000}"/>
    <cellStyle name="Huomautus 2 3 11" xfId="10697" xr:uid="{00000000-0005-0000-0000-0000514D0000}"/>
    <cellStyle name="Huomautus 2 3 11 2" xfId="21014" xr:uid="{00000000-0005-0000-0000-0000524D0000}"/>
    <cellStyle name="Huomautus 2 3 11 2 2" xfId="21942" xr:uid="{00000000-0005-0000-0000-0000534D0000}"/>
    <cellStyle name="Huomautus 2 3 11 2_DataIX" xfId="32297" xr:uid="{00000000-0005-0000-0000-0000544D0000}"/>
    <cellStyle name="Huomautus 2 3 11 3" xfId="20691" xr:uid="{00000000-0005-0000-0000-0000554D0000}"/>
    <cellStyle name="Huomautus 2 3 11 4" xfId="27518" xr:uid="{00000000-0005-0000-0000-0000564D0000}"/>
    <cellStyle name="Huomautus 2 3 11 5" xfId="23013" xr:uid="{00000000-0005-0000-0000-0000574D0000}"/>
    <cellStyle name="Huomautus 2 3 11_DataIX" xfId="32296" xr:uid="{00000000-0005-0000-0000-0000584D0000}"/>
    <cellStyle name="Huomautus 2 3 12" xfId="20775" xr:uid="{00000000-0005-0000-0000-0000594D0000}"/>
    <cellStyle name="Huomautus 2 3 12 2" xfId="21989" xr:uid="{00000000-0005-0000-0000-00005A4D0000}"/>
    <cellStyle name="Huomautus 2 3 12_DataIX" xfId="32298" xr:uid="{00000000-0005-0000-0000-00005B4D0000}"/>
    <cellStyle name="Huomautus 2 3 13" xfId="10873" xr:uid="{00000000-0005-0000-0000-00005C4D0000}"/>
    <cellStyle name="Huomautus 2 3 14" xfId="22313" xr:uid="{00000000-0005-0000-0000-00005D4D0000}"/>
    <cellStyle name="Huomautus 2 3 15" xfId="22593" xr:uid="{00000000-0005-0000-0000-00005E4D0000}"/>
    <cellStyle name="Huomautus 2 3 16" xfId="22665" xr:uid="{00000000-0005-0000-0000-00005F4D0000}"/>
    <cellStyle name="Huomautus 2 3 17" xfId="22658" xr:uid="{00000000-0005-0000-0000-0000604D0000}"/>
    <cellStyle name="Huomautus 2 3 18" xfId="27889" xr:uid="{00000000-0005-0000-0000-0000614D0000}"/>
    <cellStyle name="Huomautus 2 3 19" xfId="28058" xr:uid="{00000000-0005-0000-0000-0000624D0000}"/>
    <cellStyle name="Huomautus 2 3 2" xfId="270" xr:uid="{00000000-0005-0000-0000-0000634D0000}"/>
    <cellStyle name="Huomautus 2 3 2 10" xfId="10698" xr:uid="{00000000-0005-0000-0000-0000644D0000}"/>
    <cellStyle name="Huomautus 2 3 2 10 2" xfId="21015" xr:uid="{00000000-0005-0000-0000-0000654D0000}"/>
    <cellStyle name="Huomautus 2 3 2 10 2 2" xfId="13747" xr:uid="{00000000-0005-0000-0000-0000664D0000}"/>
    <cellStyle name="Huomautus 2 3 2 10 2_DataIX" xfId="32300" xr:uid="{00000000-0005-0000-0000-0000674D0000}"/>
    <cellStyle name="Huomautus 2 3 2 10 3" xfId="21984" xr:uid="{00000000-0005-0000-0000-0000684D0000}"/>
    <cellStyle name="Huomautus 2 3 2 10 4" xfId="27108" xr:uid="{00000000-0005-0000-0000-0000694D0000}"/>
    <cellStyle name="Huomautus 2 3 2 10 5" xfId="22824" xr:uid="{00000000-0005-0000-0000-00006A4D0000}"/>
    <cellStyle name="Huomautus 2 3 2 10_DataIX" xfId="32299" xr:uid="{00000000-0005-0000-0000-00006B4D0000}"/>
    <cellStyle name="Huomautus 2 3 2 11" xfId="13844" xr:uid="{00000000-0005-0000-0000-00006C4D0000}"/>
    <cellStyle name="Huomautus 2 3 2 11 2" xfId="11045" xr:uid="{00000000-0005-0000-0000-00006D4D0000}"/>
    <cellStyle name="Huomautus 2 3 2 11 3" xfId="11262" xr:uid="{00000000-0005-0000-0000-00006E4D0000}"/>
    <cellStyle name="Huomautus 2 3 2 11 4" xfId="27466" xr:uid="{00000000-0005-0000-0000-00006F4D0000}"/>
    <cellStyle name="Huomautus 2 3 2 11 5" xfId="27592" xr:uid="{00000000-0005-0000-0000-0000704D0000}"/>
    <cellStyle name="Huomautus 2 3 2 11_DataIX" xfId="32301" xr:uid="{00000000-0005-0000-0000-0000714D0000}"/>
    <cellStyle name="Huomautus 2 3 2 12" xfId="13816" xr:uid="{00000000-0005-0000-0000-0000724D0000}"/>
    <cellStyle name="Huomautus 2 3 2 12 2" xfId="12584" xr:uid="{00000000-0005-0000-0000-0000734D0000}"/>
    <cellStyle name="Huomautus 2 3 2 12_DataIX" xfId="32302" xr:uid="{00000000-0005-0000-0000-0000744D0000}"/>
    <cellStyle name="Huomautus 2 3 2 13" xfId="11099" xr:uid="{00000000-0005-0000-0000-0000754D0000}"/>
    <cellStyle name="Huomautus 2 3 2 14" xfId="22314" xr:uid="{00000000-0005-0000-0000-0000764D0000}"/>
    <cellStyle name="Huomautus 2 3 2 15" xfId="22286" xr:uid="{00000000-0005-0000-0000-0000774D0000}"/>
    <cellStyle name="Huomautus 2 3 2 16" xfId="22522" xr:uid="{00000000-0005-0000-0000-0000784D0000}"/>
    <cellStyle name="Huomautus 2 3 2 17" xfId="22450" xr:uid="{00000000-0005-0000-0000-0000794D0000}"/>
    <cellStyle name="Huomautus 2 3 2 18" xfId="27890" xr:uid="{00000000-0005-0000-0000-00007A4D0000}"/>
    <cellStyle name="Huomautus 2 3 2 19" xfId="27863" xr:uid="{00000000-0005-0000-0000-00007B4D0000}"/>
    <cellStyle name="Huomautus 2 3 2 2" xfId="3772" xr:uid="{00000000-0005-0000-0000-00007C4D0000}"/>
    <cellStyle name="Huomautus 2 3 2 2 2" xfId="8974" xr:uid="{00000000-0005-0000-0000-00007D4D0000}"/>
    <cellStyle name="Huomautus 2 3 2 2 3" xfId="17123" xr:uid="{00000000-0005-0000-0000-00007E4D0000}"/>
    <cellStyle name="Huomautus 2 3 2 2_DataIX" xfId="32303" xr:uid="{00000000-0005-0000-0000-00007F4D0000}"/>
    <cellStyle name="Huomautus 2 3 2 20" xfId="28221" xr:uid="{00000000-0005-0000-0000-0000804D0000}"/>
    <cellStyle name="Huomautus 2 3 2 21" xfId="28192" xr:uid="{00000000-0005-0000-0000-0000814D0000}"/>
    <cellStyle name="Huomautus 2 3 2 22" xfId="28490" xr:uid="{00000000-0005-0000-0000-0000824D0000}"/>
    <cellStyle name="Huomautus 2 3 2 23" xfId="28350" xr:uid="{00000000-0005-0000-0000-0000834D0000}"/>
    <cellStyle name="Huomautus 2 3 2 24" xfId="28806" xr:uid="{00000000-0005-0000-0000-0000844D0000}"/>
    <cellStyle name="Huomautus 2 3 2 25" xfId="28948" xr:uid="{00000000-0005-0000-0000-0000854D0000}"/>
    <cellStyle name="Huomautus 2 3 2 26" xfId="28718" xr:uid="{00000000-0005-0000-0000-0000864D0000}"/>
    <cellStyle name="Huomautus 2 3 2 27" xfId="28866" xr:uid="{00000000-0005-0000-0000-0000874D0000}"/>
    <cellStyle name="Huomautus 2 3 2 28" xfId="29025" xr:uid="{00000000-0005-0000-0000-0000884D0000}"/>
    <cellStyle name="Huomautus 2 3 2 29" xfId="29182" xr:uid="{00000000-0005-0000-0000-0000894D0000}"/>
    <cellStyle name="Huomautus 2 3 2 3" xfId="3773" xr:uid="{00000000-0005-0000-0000-00008A4D0000}"/>
    <cellStyle name="Huomautus 2 3 2 3 2" xfId="8975" xr:uid="{00000000-0005-0000-0000-00008B4D0000}"/>
    <cellStyle name="Huomautus 2 3 2 3 3" xfId="17124" xr:uid="{00000000-0005-0000-0000-00008C4D0000}"/>
    <cellStyle name="Huomautus 2 3 2 3_DataIX" xfId="32304" xr:uid="{00000000-0005-0000-0000-00008D4D0000}"/>
    <cellStyle name="Huomautus 2 3 2 4" xfId="3771" xr:uid="{00000000-0005-0000-0000-00008E4D0000}"/>
    <cellStyle name="Huomautus 2 3 2 4 2" xfId="8976" xr:uid="{00000000-0005-0000-0000-00008F4D0000}"/>
    <cellStyle name="Huomautus 2 3 2 4 3" xfId="17122" xr:uid="{00000000-0005-0000-0000-0000904D0000}"/>
    <cellStyle name="Huomautus 2 3 2 4_DataIX" xfId="32305" xr:uid="{00000000-0005-0000-0000-0000914D0000}"/>
    <cellStyle name="Huomautus 2 3 2 5" xfId="5259" xr:uid="{00000000-0005-0000-0000-0000924D0000}"/>
    <cellStyle name="Huomautus 2 3 2 5 2" xfId="8977" xr:uid="{00000000-0005-0000-0000-0000934D0000}"/>
    <cellStyle name="Huomautus 2 3 2 5 3" xfId="18589" xr:uid="{00000000-0005-0000-0000-0000944D0000}"/>
    <cellStyle name="Huomautus 2 3 2 5 3 2" xfId="21627" xr:uid="{00000000-0005-0000-0000-0000954D0000}"/>
    <cellStyle name="Huomautus 2 3 2 5 3 3" xfId="22028" xr:uid="{00000000-0005-0000-0000-0000964D0000}"/>
    <cellStyle name="Huomautus 2 3 2 5 3_DataIX" xfId="32307" xr:uid="{00000000-0005-0000-0000-0000974D0000}"/>
    <cellStyle name="Huomautus 2 3 2 5 4" xfId="20511" xr:uid="{00000000-0005-0000-0000-0000984D0000}"/>
    <cellStyle name="Huomautus 2 3 2 5 4 2" xfId="22225" xr:uid="{00000000-0005-0000-0000-0000994D0000}"/>
    <cellStyle name="Huomautus 2 3 2 5 4_DataIX" xfId="32308" xr:uid="{00000000-0005-0000-0000-00009A4D0000}"/>
    <cellStyle name="Huomautus 2 3 2 5_DataIX" xfId="32306" xr:uid="{00000000-0005-0000-0000-00009B4D0000}"/>
    <cellStyle name="Huomautus 2 3 2 6" xfId="5337" xr:uid="{00000000-0005-0000-0000-00009C4D0000}"/>
    <cellStyle name="Huomautus 2 3 2 6 2" xfId="12578" xr:uid="{00000000-0005-0000-0000-00009D4D0000}"/>
    <cellStyle name="Huomautus 2 3 2 6 3" xfId="18661" xr:uid="{00000000-0005-0000-0000-00009E4D0000}"/>
    <cellStyle name="Huomautus 2 3 2 6 3 2" xfId="21649" xr:uid="{00000000-0005-0000-0000-00009F4D0000}"/>
    <cellStyle name="Huomautus 2 3 2 6 3 3" xfId="21466" xr:uid="{00000000-0005-0000-0000-0000A04D0000}"/>
    <cellStyle name="Huomautus 2 3 2 6 3_DataIX" xfId="32310" xr:uid="{00000000-0005-0000-0000-0000A14D0000}"/>
    <cellStyle name="Huomautus 2 3 2 6 4" xfId="20491" xr:uid="{00000000-0005-0000-0000-0000A24D0000}"/>
    <cellStyle name="Huomautus 2 3 2 6 4 2" xfId="21932" xr:uid="{00000000-0005-0000-0000-0000A34D0000}"/>
    <cellStyle name="Huomautus 2 3 2 6 4_DataIX" xfId="32311" xr:uid="{00000000-0005-0000-0000-0000A44D0000}"/>
    <cellStyle name="Huomautus 2 3 2 6_DataIX" xfId="32309" xr:uid="{00000000-0005-0000-0000-0000A54D0000}"/>
    <cellStyle name="Huomautus 2 3 2 7" xfId="13190" xr:uid="{00000000-0005-0000-0000-0000A64D0000}"/>
    <cellStyle name="Huomautus 2 3 2 7 2" xfId="20815" xr:uid="{00000000-0005-0000-0000-0000A74D0000}"/>
    <cellStyle name="Huomautus 2 3 2 7 2 2" xfId="22137" xr:uid="{00000000-0005-0000-0000-0000A84D0000}"/>
    <cellStyle name="Huomautus 2 3 2 7 2 3" xfId="21535" xr:uid="{00000000-0005-0000-0000-0000A94D0000}"/>
    <cellStyle name="Huomautus 2 3 2 7 2_DataIX" xfId="32313" xr:uid="{00000000-0005-0000-0000-0000AA4D0000}"/>
    <cellStyle name="Huomautus 2 3 2 7 3" xfId="21188" xr:uid="{00000000-0005-0000-0000-0000AB4D0000}"/>
    <cellStyle name="Huomautus 2 3 2 7 3 2" xfId="20687" xr:uid="{00000000-0005-0000-0000-0000AC4D0000}"/>
    <cellStyle name="Huomautus 2 3 2 7 3_DataIX" xfId="32314" xr:uid="{00000000-0005-0000-0000-0000AD4D0000}"/>
    <cellStyle name="Huomautus 2 3 2 7 4" xfId="13449" xr:uid="{00000000-0005-0000-0000-0000AE4D0000}"/>
    <cellStyle name="Huomautus 2 3 2 7 5" xfId="26945" xr:uid="{00000000-0005-0000-0000-0000AF4D0000}"/>
    <cellStyle name="Huomautus 2 3 2 7 6" xfId="26764" xr:uid="{00000000-0005-0000-0000-0000B04D0000}"/>
    <cellStyle name="Huomautus 2 3 2 7_DataIX" xfId="32312" xr:uid="{00000000-0005-0000-0000-0000B14D0000}"/>
    <cellStyle name="Huomautus 2 3 2 8" xfId="13363" xr:uid="{00000000-0005-0000-0000-0000B24D0000}"/>
    <cellStyle name="Huomautus 2 3 2 8 2" xfId="20931" xr:uid="{00000000-0005-0000-0000-0000B34D0000}"/>
    <cellStyle name="Huomautus 2 3 2 8 2 2" xfId="22180" xr:uid="{00000000-0005-0000-0000-0000B44D0000}"/>
    <cellStyle name="Huomautus 2 3 2 8 2 3" xfId="10781" xr:uid="{00000000-0005-0000-0000-0000B54D0000}"/>
    <cellStyle name="Huomautus 2 3 2 8 2_DataIX" xfId="32316" xr:uid="{00000000-0005-0000-0000-0000B64D0000}"/>
    <cellStyle name="Huomautus 2 3 2 8 3" xfId="21320" xr:uid="{00000000-0005-0000-0000-0000B74D0000}"/>
    <cellStyle name="Huomautus 2 3 2 8 3 2" xfId="10758" xr:uid="{00000000-0005-0000-0000-0000B84D0000}"/>
    <cellStyle name="Huomautus 2 3 2 8 3_DataIX" xfId="32317" xr:uid="{00000000-0005-0000-0000-0000B94D0000}"/>
    <cellStyle name="Huomautus 2 3 2 8 4" xfId="13662" xr:uid="{00000000-0005-0000-0000-0000BA4D0000}"/>
    <cellStyle name="Huomautus 2 3 2 8 5" xfId="27362" xr:uid="{00000000-0005-0000-0000-0000BB4D0000}"/>
    <cellStyle name="Huomautus 2 3 2 8 6" xfId="22978" xr:uid="{00000000-0005-0000-0000-0000BC4D0000}"/>
    <cellStyle name="Huomautus 2 3 2 8_DataIX" xfId="32315" xr:uid="{00000000-0005-0000-0000-0000BD4D0000}"/>
    <cellStyle name="Huomautus 2 3 2 9" xfId="13260" xr:uid="{00000000-0005-0000-0000-0000BE4D0000}"/>
    <cellStyle name="Huomautus 2 3 2 9 2" xfId="21238" xr:uid="{00000000-0005-0000-0000-0000BF4D0000}"/>
    <cellStyle name="Huomautus 2 3 2 9 2 2" xfId="21564" xr:uid="{00000000-0005-0000-0000-0000C04D0000}"/>
    <cellStyle name="Huomautus 2 3 2 9 2_DataIX" xfId="32319" xr:uid="{00000000-0005-0000-0000-0000C14D0000}"/>
    <cellStyle name="Huomautus 2 3 2 9 3" xfId="12697" xr:uid="{00000000-0005-0000-0000-0000C24D0000}"/>
    <cellStyle name="Huomautus 2 3 2 9 4" xfId="27214" xr:uid="{00000000-0005-0000-0000-0000C34D0000}"/>
    <cellStyle name="Huomautus 2 3 2 9 5" xfId="22870" xr:uid="{00000000-0005-0000-0000-0000C44D0000}"/>
    <cellStyle name="Huomautus 2 3 2 9_DataIX" xfId="32318" xr:uid="{00000000-0005-0000-0000-0000C54D0000}"/>
    <cellStyle name="Huomautus 2 3 2_##Keskeiset" xfId="8973" xr:uid="{00000000-0005-0000-0000-0000C64D0000}"/>
    <cellStyle name="Huomautus 2 3 20" xfId="28220" xr:uid="{00000000-0005-0000-0000-0000C74D0000}"/>
    <cellStyle name="Huomautus 2 3 21" xfId="28420" xr:uid="{00000000-0005-0000-0000-0000C84D0000}"/>
    <cellStyle name="Huomautus 2 3 22" xfId="28491" xr:uid="{00000000-0005-0000-0000-0000C94D0000}"/>
    <cellStyle name="Huomautus 2 3 23" xfId="28351" xr:uid="{00000000-0005-0000-0000-0000CA4D0000}"/>
    <cellStyle name="Huomautus 2 3 24" xfId="28636" xr:uid="{00000000-0005-0000-0000-0000CB4D0000}"/>
    <cellStyle name="Huomautus 2 3 25" xfId="28732" xr:uid="{00000000-0005-0000-0000-0000CC4D0000}"/>
    <cellStyle name="Huomautus 2 3 26" xfId="28719" xr:uid="{00000000-0005-0000-0000-0000CD4D0000}"/>
    <cellStyle name="Huomautus 2 3 27" xfId="28867" xr:uid="{00000000-0005-0000-0000-0000CE4D0000}"/>
    <cellStyle name="Huomautus 2 3 28" xfId="29024" xr:uid="{00000000-0005-0000-0000-0000CF4D0000}"/>
    <cellStyle name="Huomautus 2 3 29" xfId="29183" xr:uid="{00000000-0005-0000-0000-0000D04D0000}"/>
    <cellStyle name="Huomautus 2 3 3" xfId="3774" xr:uid="{00000000-0005-0000-0000-0000D14D0000}"/>
    <cellStyle name="Huomautus 2 3 3 2" xfId="5598" xr:uid="{00000000-0005-0000-0000-0000D24D0000}"/>
    <cellStyle name="Huomautus 2 3 3 2 2" xfId="12579" xr:uid="{00000000-0005-0000-0000-0000D34D0000}"/>
    <cellStyle name="Huomautus 2 3 3 2 3" xfId="18817" xr:uid="{00000000-0005-0000-0000-0000D44D0000}"/>
    <cellStyle name="Huomautus 2 3 3 2 3 2" xfId="21700" xr:uid="{00000000-0005-0000-0000-0000D54D0000}"/>
    <cellStyle name="Huomautus 2 3 3 2 3 3" xfId="22239" xr:uid="{00000000-0005-0000-0000-0000D64D0000}"/>
    <cellStyle name="Huomautus 2 3 3 2 3_DataIX" xfId="32322" xr:uid="{00000000-0005-0000-0000-0000D74D0000}"/>
    <cellStyle name="Huomautus 2 3 3 2 4" xfId="20455" xr:uid="{00000000-0005-0000-0000-0000D84D0000}"/>
    <cellStyle name="Huomautus 2 3 3 2 4 2" xfId="10815" xr:uid="{00000000-0005-0000-0000-0000D94D0000}"/>
    <cellStyle name="Huomautus 2 3 3 2 4_DataIX" xfId="32323" xr:uid="{00000000-0005-0000-0000-0000DA4D0000}"/>
    <cellStyle name="Huomautus 2 3 3 2_DataIX" xfId="32321" xr:uid="{00000000-0005-0000-0000-0000DB4D0000}"/>
    <cellStyle name="Huomautus 2 3 3 3" xfId="11019" xr:uid="{00000000-0005-0000-0000-0000DC4D0000}"/>
    <cellStyle name="Huomautus 2 3 3 4" xfId="17125" xr:uid="{00000000-0005-0000-0000-0000DD4D0000}"/>
    <cellStyle name="Huomautus 2 3 3_DataIX" xfId="32320" xr:uid="{00000000-0005-0000-0000-0000DE4D0000}"/>
    <cellStyle name="Huomautus 2 3 4" xfId="3775" xr:uid="{00000000-0005-0000-0000-0000DF4D0000}"/>
    <cellStyle name="Huomautus 2 3 4 2" xfId="5599" xr:uid="{00000000-0005-0000-0000-0000E04D0000}"/>
    <cellStyle name="Huomautus 2 3 4 2 2" xfId="12580" xr:uid="{00000000-0005-0000-0000-0000E14D0000}"/>
    <cellStyle name="Huomautus 2 3 4 2 3" xfId="18818" xr:uid="{00000000-0005-0000-0000-0000E24D0000}"/>
    <cellStyle name="Huomautus 2 3 4 2 3 2" xfId="21701" xr:uid="{00000000-0005-0000-0000-0000E34D0000}"/>
    <cellStyle name="Huomautus 2 3 4 2 3 3" xfId="13591" xr:uid="{00000000-0005-0000-0000-0000E44D0000}"/>
    <cellStyle name="Huomautus 2 3 4 2 3_DataIX" xfId="32326" xr:uid="{00000000-0005-0000-0000-0000E54D0000}"/>
    <cellStyle name="Huomautus 2 3 4 2 4" xfId="18974" xr:uid="{00000000-0005-0000-0000-0000E64D0000}"/>
    <cellStyle name="Huomautus 2 3 4 2 4 2" xfId="21785" xr:uid="{00000000-0005-0000-0000-0000E74D0000}"/>
    <cellStyle name="Huomautus 2 3 4 2 4_DataIX" xfId="32327" xr:uid="{00000000-0005-0000-0000-0000E84D0000}"/>
    <cellStyle name="Huomautus 2 3 4 2_DataIX" xfId="32325" xr:uid="{00000000-0005-0000-0000-0000E94D0000}"/>
    <cellStyle name="Huomautus 2 3 4 3" xfId="11020" xr:uid="{00000000-0005-0000-0000-0000EA4D0000}"/>
    <cellStyle name="Huomautus 2 3 4 4" xfId="17126" xr:uid="{00000000-0005-0000-0000-0000EB4D0000}"/>
    <cellStyle name="Huomautus 2 3 4_DataIX" xfId="32324" xr:uid="{00000000-0005-0000-0000-0000EC4D0000}"/>
    <cellStyle name="Huomautus 2 3 5" xfId="3770" xr:uid="{00000000-0005-0000-0000-0000ED4D0000}"/>
    <cellStyle name="Huomautus 2 3 5 2" xfId="5600" xr:uid="{00000000-0005-0000-0000-0000EE4D0000}"/>
    <cellStyle name="Huomautus 2 3 5 2 2" xfId="12581" xr:uid="{00000000-0005-0000-0000-0000EF4D0000}"/>
    <cellStyle name="Huomautus 2 3 5 2 3" xfId="18819" xr:uid="{00000000-0005-0000-0000-0000F04D0000}"/>
    <cellStyle name="Huomautus 2 3 5 2 3 2" xfId="21702" xr:uid="{00000000-0005-0000-0000-0000F14D0000}"/>
    <cellStyle name="Huomautus 2 3 5 2 3 3" xfId="10774" xr:uid="{00000000-0005-0000-0000-0000F24D0000}"/>
    <cellStyle name="Huomautus 2 3 5 2 3_DataIX" xfId="32330" xr:uid="{00000000-0005-0000-0000-0000F34D0000}"/>
    <cellStyle name="Huomautus 2 3 5 2 4" xfId="20454" xr:uid="{00000000-0005-0000-0000-0000F44D0000}"/>
    <cellStyle name="Huomautus 2 3 5 2 4 2" xfId="21755" xr:uid="{00000000-0005-0000-0000-0000F54D0000}"/>
    <cellStyle name="Huomautus 2 3 5 2 4_DataIX" xfId="32331" xr:uid="{00000000-0005-0000-0000-0000F64D0000}"/>
    <cellStyle name="Huomautus 2 3 5 2_DataIX" xfId="32329" xr:uid="{00000000-0005-0000-0000-0000F74D0000}"/>
    <cellStyle name="Huomautus 2 3 5 3" xfId="11021" xr:uid="{00000000-0005-0000-0000-0000F84D0000}"/>
    <cellStyle name="Huomautus 2 3 5 4" xfId="17121" xr:uid="{00000000-0005-0000-0000-0000F94D0000}"/>
    <cellStyle name="Huomautus 2 3 5_DataIX" xfId="32328" xr:uid="{00000000-0005-0000-0000-0000FA4D0000}"/>
    <cellStyle name="Huomautus 2 3 6" xfId="5260" xr:uid="{00000000-0005-0000-0000-0000FB4D0000}"/>
    <cellStyle name="Huomautus 2 3 6 2" xfId="8978" xr:uid="{00000000-0005-0000-0000-0000FC4D0000}"/>
    <cellStyle name="Huomautus 2 3 6 3" xfId="18590" xr:uid="{00000000-0005-0000-0000-0000FD4D0000}"/>
    <cellStyle name="Huomautus 2 3 6 3 2" xfId="21628" xr:uid="{00000000-0005-0000-0000-0000FE4D0000}"/>
    <cellStyle name="Huomautus 2 3 6 3 3" xfId="21396" xr:uid="{00000000-0005-0000-0000-0000FF4D0000}"/>
    <cellStyle name="Huomautus 2 3 6 3_DataIX" xfId="32333" xr:uid="{00000000-0005-0000-0000-0000004E0000}"/>
    <cellStyle name="Huomautus 2 3 6 4" xfId="19031" xr:uid="{00000000-0005-0000-0000-0000014E0000}"/>
    <cellStyle name="Huomautus 2 3 6 4 2" xfId="21750" xr:uid="{00000000-0005-0000-0000-0000024E0000}"/>
    <cellStyle name="Huomautus 2 3 6 4_DataIX" xfId="32334" xr:uid="{00000000-0005-0000-0000-0000034E0000}"/>
    <cellStyle name="Huomautus 2 3 6_DataIX" xfId="32332" xr:uid="{00000000-0005-0000-0000-0000044E0000}"/>
    <cellStyle name="Huomautus 2 3 7" xfId="5320" xr:uid="{00000000-0005-0000-0000-0000054E0000}"/>
    <cellStyle name="Huomautus 2 3 7 2" xfId="12582" xr:uid="{00000000-0005-0000-0000-0000064E0000}"/>
    <cellStyle name="Huomautus 2 3 7 3" xfId="18644" xr:uid="{00000000-0005-0000-0000-0000074E0000}"/>
    <cellStyle name="Huomautus 2 3 7 3 2" xfId="21644" xr:uid="{00000000-0005-0000-0000-0000084E0000}"/>
    <cellStyle name="Huomautus 2 3 7 3 3" xfId="11026" xr:uid="{00000000-0005-0000-0000-0000094E0000}"/>
    <cellStyle name="Huomautus 2 3 7 3_DataIX" xfId="32336" xr:uid="{00000000-0005-0000-0000-00000A4E0000}"/>
    <cellStyle name="Huomautus 2 3 7 4" xfId="20495" xr:uid="{00000000-0005-0000-0000-00000B4E0000}"/>
    <cellStyle name="Huomautus 2 3 7 4 2" xfId="22211" xr:uid="{00000000-0005-0000-0000-00000C4E0000}"/>
    <cellStyle name="Huomautus 2 3 7 4_DataIX" xfId="32337" xr:uid="{00000000-0005-0000-0000-00000D4E0000}"/>
    <cellStyle name="Huomautus 2 3 7_DataIX" xfId="32335" xr:uid="{00000000-0005-0000-0000-00000E4E0000}"/>
    <cellStyle name="Huomautus 2 3 8" xfId="13306" xr:uid="{00000000-0005-0000-0000-00000F4E0000}"/>
    <cellStyle name="Huomautus 2 3 8 2" xfId="20895" xr:uid="{00000000-0005-0000-0000-0000104E0000}"/>
    <cellStyle name="Huomautus 2 3 8 2 2" xfId="22166" xr:uid="{00000000-0005-0000-0000-0000114E0000}"/>
    <cellStyle name="Huomautus 2 3 8 2 3" xfId="22139" xr:uid="{00000000-0005-0000-0000-0000124E0000}"/>
    <cellStyle name="Huomautus 2 3 8 2_DataIX" xfId="32339" xr:uid="{00000000-0005-0000-0000-0000134E0000}"/>
    <cellStyle name="Huomautus 2 3 8 3" xfId="21283" xr:uid="{00000000-0005-0000-0000-0000144E0000}"/>
    <cellStyle name="Huomautus 2 3 8 3 2" xfId="13578" xr:uid="{00000000-0005-0000-0000-0000154E0000}"/>
    <cellStyle name="Huomautus 2 3 8 3_DataIX" xfId="32340" xr:uid="{00000000-0005-0000-0000-0000164E0000}"/>
    <cellStyle name="Huomautus 2 3 8 4" xfId="11351" xr:uid="{00000000-0005-0000-0000-0000174E0000}"/>
    <cellStyle name="Huomautus 2 3 8 5" xfId="26944" xr:uid="{00000000-0005-0000-0000-0000184E0000}"/>
    <cellStyle name="Huomautus 2 3 8 6" xfId="27601" xr:uid="{00000000-0005-0000-0000-0000194E0000}"/>
    <cellStyle name="Huomautus 2 3 8_DataIX" xfId="32338" xr:uid="{00000000-0005-0000-0000-00001A4E0000}"/>
    <cellStyle name="Huomautus 2 3 9" xfId="13344" xr:uid="{00000000-0005-0000-0000-00001B4E0000}"/>
    <cellStyle name="Huomautus 2 3 9 2" xfId="20916" xr:uid="{00000000-0005-0000-0000-00001C4E0000}"/>
    <cellStyle name="Huomautus 2 3 9 2 2" xfId="22176" xr:uid="{00000000-0005-0000-0000-00001D4E0000}"/>
    <cellStyle name="Huomautus 2 3 9 2 3" xfId="10824" xr:uid="{00000000-0005-0000-0000-00001E4E0000}"/>
    <cellStyle name="Huomautus 2 3 9 2_DataIX" xfId="32342" xr:uid="{00000000-0005-0000-0000-00001F4E0000}"/>
    <cellStyle name="Huomautus 2 3 9 3" xfId="21304" xr:uid="{00000000-0005-0000-0000-0000204E0000}"/>
    <cellStyle name="Huomautus 2 3 9 3 2" xfId="21766" xr:uid="{00000000-0005-0000-0000-0000214E0000}"/>
    <cellStyle name="Huomautus 2 3 9 3_DataIX" xfId="32343" xr:uid="{00000000-0005-0000-0000-0000224E0000}"/>
    <cellStyle name="Huomautus 2 3 9 4" xfId="13694" xr:uid="{00000000-0005-0000-0000-0000234E0000}"/>
    <cellStyle name="Huomautus 2 3 9 5" xfId="27363" xr:uid="{00000000-0005-0000-0000-0000244E0000}"/>
    <cellStyle name="Huomautus 2 3 9 6" xfId="26840" xr:uid="{00000000-0005-0000-0000-0000254E0000}"/>
    <cellStyle name="Huomautus 2 3 9_DataIX" xfId="32341" xr:uid="{00000000-0005-0000-0000-0000264E0000}"/>
    <cellStyle name="Huomautus 2 3_##Keskeiset" xfId="5405" xr:uid="{00000000-0005-0000-0000-0000274E0000}"/>
    <cellStyle name="Huomautus 2 4" xfId="3776" xr:uid="{00000000-0005-0000-0000-0000284E0000}"/>
    <cellStyle name="Huomautus 2 4 2" xfId="3777" xr:uid="{00000000-0005-0000-0000-0000294E0000}"/>
    <cellStyle name="Huomautus 2 4 2 2" xfId="3778" xr:uid="{00000000-0005-0000-0000-00002A4E0000}"/>
    <cellStyle name="Huomautus 2 4 2 2 2" xfId="8981" xr:uid="{00000000-0005-0000-0000-00002B4E0000}"/>
    <cellStyle name="Huomautus 2 4 2 2 3" xfId="17129" xr:uid="{00000000-0005-0000-0000-00002C4E0000}"/>
    <cellStyle name="Huomautus 2 4 2 2_DataIX" xfId="32345" xr:uid="{00000000-0005-0000-0000-00002D4E0000}"/>
    <cellStyle name="Huomautus 2 4 2 3" xfId="8980" xr:uid="{00000000-0005-0000-0000-00002E4E0000}"/>
    <cellStyle name="Huomautus 2 4 2 4" xfId="17128" xr:uid="{00000000-0005-0000-0000-00002F4E0000}"/>
    <cellStyle name="Huomautus 2 4 2_DataIX" xfId="32344" xr:uid="{00000000-0005-0000-0000-0000304E0000}"/>
    <cellStyle name="Huomautus 2 4 3" xfId="3779" xr:uid="{00000000-0005-0000-0000-0000314E0000}"/>
    <cellStyle name="Huomautus 2 4 3 2" xfId="8982" xr:uid="{00000000-0005-0000-0000-0000324E0000}"/>
    <cellStyle name="Huomautus 2 4 3 3" xfId="17130" xr:uid="{00000000-0005-0000-0000-0000334E0000}"/>
    <cellStyle name="Huomautus 2 4 3_DataIX" xfId="32346" xr:uid="{00000000-0005-0000-0000-0000344E0000}"/>
    <cellStyle name="Huomautus 2 4 4" xfId="3780" xr:uid="{00000000-0005-0000-0000-0000354E0000}"/>
    <cellStyle name="Huomautus 2 4 4 2" xfId="8983" xr:uid="{00000000-0005-0000-0000-0000364E0000}"/>
    <cellStyle name="Huomautus 2 4 4 3" xfId="17131" xr:uid="{00000000-0005-0000-0000-0000374E0000}"/>
    <cellStyle name="Huomautus 2 4 4_DataIX" xfId="32347" xr:uid="{00000000-0005-0000-0000-0000384E0000}"/>
    <cellStyle name="Huomautus 2 4 5" xfId="5601" xr:uid="{00000000-0005-0000-0000-0000394E0000}"/>
    <cellStyle name="Huomautus 2 4 5 2" xfId="12583" xr:uid="{00000000-0005-0000-0000-00003A4E0000}"/>
    <cellStyle name="Huomautus 2 4 5 3" xfId="18820" xr:uid="{00000000-0005-0000-0000-00003B4E0000}"/>
    <cellStyle name="Huomautus 2 4 5_DataIX" xfId="32348" xr:uid="{00000000-0005-0000-0000-00003C4E0000}"/>
    <cellStyle name="Huomautus 2 4 6" xfId="17127" xr:uid="{00000000-0005-0000-0000-00003D4E0000}"/>
    <cellStyle name="Huomautus 2 4_##Keskeiset" xfId="8979" xr:uid="{00000000-0005-0000-0000-00003E4E0000}"/>
    <cellStyle name="Huomautus 2 5" xfId="3781" xr:uid="{00000000-0005-0000-0000-00003F4E0000}"/>
    <cellStyle name="Huomautus 2 5 2" xfId="3782" xr:uid="{00000000-0005-0000-0000-0000404E0000}"/>
    <cellStyle name="Huomautus 2 5 2 2" xfId="3783" xr:uid="{00000000-0005-0000-0000-0000414E0000}"/>
    <cellStyle name="Huomautus 2 5 2 2 2" xfId="8986" xr:uid="{00000000-0005-0000-0000-0000424E0000}"/>
    <cellStyle name="Huomautus 2 5 2 2 3" xfId="17134" xr:uid="{00000000-0005-0000-0000-0000434E0000}"/>
    <cellStyle name="Huomautus 2 5 2 2_DataIX" xfId="32351" xr:uid="{00000000-0005-0000-0000-0000444E0000}"/>
    <cellStyle name="Huomautus 2 5 2 3" xfId="8985" xr:uid="{00000000-0005-0000-0000-0000454E0000}"/>
    <cellStyle name="Huomautus 2 5 2 4" xfId="17133" xr:uid="{00000000-0005-0000-0000-0000464E0000}"/>
    <cellStyle name="Huomautus 2 5 2_DataIX" xfId="32350" xr:uid="{00000000-0005-0000-0000-0000474E0000}"/>
    <cellStyle name="Huomautus 2 5 3" xfId="3784" xr:uid="{00000000-0005-0000-0000-0000484E0000}"/>
    <cellStyle name="Huomautus 2 5 3 2" xfId="8987" xr:uid="{00000000-0005-0000-0000-0000494E0000}"/>
    <cellStyle name="Huomautus 2 5 3 3" xfId="17135" xr:uid="{00000000-0005-0000-0000-00004A4E0000}"/>
    <cellStyle name="Huomautus 2 5 3_DataIX" xfId="32352" xr:uid="{00000000-0005-0000-0000-00004B4E0000}"/>
    <cellStyle name="Huomautus 2 5 4" xfId="8984" xr:uid="{00000000-0005-0000-0000-00004C4E0000}"/>
    <cellStyle name="Huomautus 2 5 5" xfId="17132" xr:uid="{00000000-0005-0000-0000-00004D4E0000}"/>
    <cellStyle name="Huomautus 2 5_DataIX" xfId="32349" xr:uid="{00000000-0005-0000-0000-00004E4E0000}"/>
    <cellStyle name="Huomautus 2 6" xfId="3785" xr:uid="{00000000-0005-0000-0000-00004F4E0000}"/>
    <cellStyle name="Huomautus 2 6 2" xfId="3786" xr:uid="{00000000-0005-0000-0000-0000504E0000}"/>
    <cellStyle name="Huomautus 2 6 2 2" xfId="8989" xr:uid="{00000000-0005-0000-0000-0000514E0000}"/>
    <cellStyle name="Huomautus 2 6 2 3" xfId="17137" xr:uid="{00000000-0005-0000-0000-0000524E0000}"/>
    <cellStyle name="Huomautus 2 6 2_DataIX" xfId="32354" xr:uid="{00000000-0005-0000-0000-0000534E0000}"/>
    <cellStyle name="Huomautus 2 6 3" xfId="8988" xr:uid="{00000000-0005-0000-0000-0000544E0000}"/>
    <cellStyle name="Huomautus 2 6 4" xfId="17136" xr:uid="{00000000-0005-0000-0000-0000554E0000}"/>
    <cellStyle name="Huomautus 2 6_DataIX" xfId="32353" xr:uid="{00000000-0005-0000-0000-0000564E0000}"/>
    <cellStyle name="Huomautus 2 7" xfId="3787" xr:uid="{00000000-0005-0000-0000-0000574E0000}"/>
    <cellStyle name="Huomautus 2 7 2" xfId="8990" xr:uid="{00000000-0005-0000-0000-0000584E0000}"/>
    <cellStyle name="Huomautus 2 7 3" xfId="17138" xr:uid="{00000000-0005-0000-0000-0000594E0000}"/>
    <cellStyle name="Huomautus 2 7_DataIX" xfId="32355" xr:uid="{00000000-0005-0000-0000-00005A4E0000}"/>
    <cellStyle name="Huomautus 2 8" xfId="3788" xr:uid="{00000000-0005-0000-0000-00005B4E0000}"/>
    <cellStyle name="Huomautus 2 8 2" xfId="8991" xr:uid="{00000000-0005-0000-0000-00005C4E0000}"/>
    <cellStyle name="Huomautus 2 8 3" xfId="17139" xr:uid="{00000000-0005-0000-0000-00005D4E0000}"/>
    <cellStyle name="Huomautus 2 8_DataIX" xfId="32356" xr:uid="{00000000-0005-0000-0000-00005E4E0000}"/>
    <cellStyle name="Huomautus 2 9" xfId="3789" xr:uid="{00000000-0005-0000-0000-00005F4E0000}"/>
    <cellStyle name="Huomautus 2 9 2" xfId="8992" xr:uid="{00000000-0005-0000-0000-0000604E0000}"/>
    <cellStyle name="Huomautus 2 9 3" xfId="17140" xr:uid="{00000000-0005-0000-0000-0000614E0000}"/>
    <cellStyle name="Huomautus 2 9_DataIX" xfId="32357" xr:uid="{00000000-0005-0000-0000-0000624E0000}"/>
    <cellStyle name="Huomautus 2_##Keskeiset" xfId="8958" xr:uid="{00000000-0005-0000-0000-0000634E0000}"/>
    <cellStyle name="Huomautus 20" xfId="3790" xr:uid="{00000000-0005-0000-0000-0000644E0000}"/>
    <cellStyle name="Huomautus 20 2" xfId="8993" xr:uid="{00000000-0005-0000-0000-0000654E0000}"/>
    <cellStyle name="Huomautus 20 3" xfId="17141" xr:uid="{00000000-0005-0000-0000-0000664E0000}"/>
    <cellStyle name="Huomautus 20_DataIX" xfId="32358" xr:uid="{00000000-0005-0000-0000-0000674E0000}"/>
    <cellStyle name="Huomautus 21" xfId="3791" xr:uid="{00000000-0005-0000-0000-0000684E0000}"/>
    <cellStyle name="Huomautus 21 2" xfId="8994" xr:uid="{00000000-0005-0000-0000-0000694E0000}"/>
    <cellStyle name="Huomautus 21 3" xfId="17142" xr:uid="{00000000-0005-0000-0000-00006A4E0000}"/>
    <cellStyle name="Huomautus 21_DataIX" xfId="32359" xr:uid="{00000000-0005-0000-0000-00006B4E0000}"/>
    <cellStyle name="Huomautus 22" xfId="3792" xr:uid="{00000000-0005-0000-0000-00006C4E0000}"/>
    <cellStyle name="Huomautus 22 2" xfId="8995" xr:uid="{00000000-0005-0000-0000-00006D4E0000}"/>
    <cellStyle name="Huomautus 22 3" xfId="17143" xr:uid="{00000000-0005-0000-0000-00006E4E0000}"/>
    <cellStyle name="Huomautus 22_DataIX" xfId="32360" xr:uid="{00000000-0005-0000-0000-00006F4E0000}"/>
    <cellStyle name="Huomautus 23" xfId="3793" xr:uid="{00000000-0005-0000-0000-0000704E0000}"/>
    <cellStyle name="Huomautus 23 2" xfId="8996" xr:uid="{00000000-0005-0000-0000-0000714E0000}"/>
    <cellStyle name="Huomautus 23 3" xfId="17144" xr:uid="{00000000-0005-0000-0000-0000724E0000}"/>
    <cellStyle name="Huomautus 23_DataIX" xfId="32361" xr:uid="{00000000-0005-0000-0000-0000734E0000}"/>
    <cellStyle name="Huomautus 24" xfId="3794" xr:uid="{00000000-0005-0000-0000-0000744E0000}"/>
    <cellStyle name="Huomautus 24 2" xfId="8997" xr:uid="{00000000-0005-0000-0000-0000754E0000}"/>
    <cellStyle name="Huomautus 24 3" xfId="17145" xr:uid="{00000000-0005-0000-0000-0000764E0000}"/>
    <cellStyle name="Huomautus 24_DataIX" xfId="32362" xr:uid="{00000000-0005-0000-0000-0000774E0000}"/>
    <cellStyle name="Huomautus 25" xfId="5301" xr:uid="{00000000-0005-0000-0000-0000784E0000}"/>
    <cellStyle name="Huomautus 25 2" xfId="12585" xr:uid="{00000000-0005-0000-0000-0000794E0000}"/>
    <cellStyle name="Huomautus 25 3" xfId="18625" xr:uid="{00000000-0005-0000-0000-00007A4E0000}"/>
    <cellStyle name="Huomautus 25 4" xfId="27782" xr:uid="{00000000-0005-0000-0000-00007B4E0000}"/>
    <cellStyle name="Huomautus 25_DataIX" xfId="32363" xr:uid="{00000000-0005-0000-0000-00007C4E0000}"/>
    <cellStyle name="Huomautus 26" xfId="5360" xr:uid="{00000000-0005-0000-0000-00007D4E0000}"/>
    <cellStyle name="Huomautus 26 2" xfId="12586" xr:uid="{00000000-0005-0000-0000-00007E4E0000}"/>
    <cellStyle name="Huomautus 26 3" xfId="18684" xr:uid="{00000000-0005-0000-0000-00007F4E0000}"/>
    <cellStyle name="Huomautus 26_DataIX" xfId="32364" xr:uid="{00000000-0005-0000-0000-0000804E0000}"/>
    <cellStyle name="Huomautus 27" xfId="10626" xr:uid="{00000000-0005-0000-0000-0000814E0000}"/>
    <cellStyle name="Huomautus 27 2" xfId="12587" xr:uid="{00000000-0005-0000-0000-0000824E0000}"/>
    <cellStyle name="Huomautus 27 3" xfId="20408" xr:uid="{00000000-0005-0000-0000-0000834E0000}"/>
    <cellStyle name="Huomautus 27_DataIX" xfId="32365" xr:uid="{00000000-0005-0000-0000-0000844E0000}"/>
    <cellStyle name="Huomautus 28" xfId="10629" xr:uid="{00000000-0005-0000-0000-0000854E0000}"/>
    <cellStyle name="Huomautus 28 2" xfId="12588" xr:uid="{00000000-0005-0000-0000-0000864E0000}"/>
    <cellStyle name="Huomautus 28 3" xfId="20411" xr:uid="{00000000-0005-0000-0000-0000874E0000}"/>
    <cellStyle name="Huomautus 28_DataIX" xfId="32366" xr:uid="{00000000-0005-0000-0000-0000884E0000}"/>
    <cellStyle name="Huomautus 29" xfId="10632" xr:uid="{00000000-0005-0000-0000-0000894E0000}"/>
    <cellStyle name="Huomautus 29 2" xfId="12589" xr:uid="{00000000-0005-0000-0000-00008A4E0000}"/>
    <cellStyle name="Huomautus 29 3" xfId="20414" xr:uid="{00000000-0005-0000-0000-00008B4E0000}"/>
    <cellStyle name="Huomautus 29_DataIX" xfId="32367" xr:uid="{00000000-0005-0000-0000-00008C4E0000}"/>
    <cellStyle name="Huomautus 3" xfId="90" xr:uid="{00000000-0005-0000-0000-00008D4E0000}"/>
    <cellStyle name="Huomautus 3 10" xfId="25062" xr:uid="{00000000-0005-0000-0000-00008E4E0000}"/>
    <cellStyle name="Huomautus 3 2" xfId="385" xr:uid="{00000000-0005-0000-0000-00008F4E0000}"/>
    <cellStyle name="Huomautus 3 2 2" xfId="386" xr:uid="{00000000-0005-0000-0000-0000904E0000}"/>
    <cellStyle name="Huomautus 3 2 2 2" xfId="3798" xr:uid="{00000000-0005-0000-0000-0000914E0000}"/>
    <cellStyle name="Huomautus 3 2 2 2 2" xfId="9001" xr:uid="{00000000-0005-0000-0000-0000924E0000}"/>
    <cellStyle name="Huomautus 3 2 2 2 3" xfId="17149" xr:uid="{00000000-0005-0000-0000-0000934E0000}"/>
    <cellStyle name="Huomautus 3 2 2 2_DataIX" xfId="32368" xr:uid="{00000000-0005-0000-0000-0000944E0000}"/>
    <cellStyle name="Huomautus 3 2 2 3" xfId="3797" xr:uid="{00000000-0005-0000-0000-0000954E0000}"/>
    <cellStyle name="Huomautus 3 2 2 3 2" xfId="9002" xr:uid="{00000000-0005-0000-0000-0000964E0000}"/>
    <cellStyle name="Huomautus 3 2 2 3 3" xfId="17148" xr:uid="{00000000-0005-0000-0000-0000974E0000}"/>
    <cellStyle name="Huomautus 3 2 2 3_DataIX" xfId="32369" xr:uid="{00000000-0005-0000-0000-0000984E0000}"/>
    <cellStyle name="Huomautus 3 2 2 4" xfId="13921" xr:uid="{00000000-0005-0000-0000-0000994E0000}"/>
    <cellStyle name="Huomautus 3 2 2 5" xfId="20256" xr:uid="{00000000-0005-0000-0000-00009A4E0000}"/>
    <cellStyle name="Huomautus 3 2 2_##Keskeiset" xfId="9000" xr:uid="{00000000-0005-0000-0000-00009B4E0000}"/>
    <cellStyle name="Huomautus 3 2 3" xfId="3799" xr:uid="{00000000-0005-0000-0000-00009C4E0000}"/>
    <cellStyle name="Huomautus 3 2 3 2" xfId="9003" xr:uid="{00000000-0005-0000-0000-00009D4E0000}"/>
    <cellStyle name="Huomautus 3 2 3 3" xfId="17150" xr:uid="{00000000-0005-0000-0000-00009E4E0000}"/>
    <cellStyle name="Huomautus 3 2 3_DataIX" xfId="32370" xr:uid="{00000000-0005-0000-0000-00009F4E0000}"/>
    <cellStyle name="Huomautus 3 2 4" xfId="3800" xr:uid="{00000000-0005-0000-0000-0000A04E0000}"/>
    <cellStyle name="Huomautus 3 2 4 2" xfId="9004" xr:uid="{00000000-0005-0000-0000-0000A14E0000}"/>
    <cellStyle name="Huomautus 3 2 4 3" xfId="17151" xr:uid="{00000000-0005-0000-0000-0000A24E0000}"/>
    <cellStyle name="Huomautus 3 2 4_DataIX" xfId="32371" xr:uid="{00000000-0005-0000-0000-0000A34E0000}"/>
    <cellStyle name="Huomautus 3 2 5" xfId="3796" xr:uid="{00000000-0005-0000-0000-0000A44E0000}"/>
    <cellStyle name="Huomautus 3 2 5 2" xfId="9005" xr:uid="{00000000-0005-0000-0000-0000A54E0000}"/>
    <cellStyle name="Huomautus 3 2 5 3" xfId="17147" xr:uid="{00000000-0005-0000-0000-0000A64E0000}"/>
    <cellStyle name="Huomautus 3 2 5_DataIX" xfId="32372" xr:uid="{00000000-0005-0000-0000-0000A74E0000}"/>
    <cellStyle name="Huomautus 3 2 6" xfId="13920" xr:uid="{00000000-0005-0000-0000-0000A84E0000}"/>
    <cellStyle name="Huomautus 3 2 7" xfId="20253" xr:uid="{00000000-0005-0000-0000-0000A94E0000}"/>
    <cellStyle name="Huomautus 3 2_##Keskeiset" xfId="8999" xr:uid="{00000000-0005-0000-0000-0000AA4E0000}"/>
    <cellStyle name="Huomautus 3 3" xfId="387" xr:uid="{00000000-0005-0000-0000-0000AB4E0000}"/>
    <cellStyle name="Huomautus 3 3 2" xfId="3802" xr:uid="{00000000-0005-0000-0000-0000AC4E0000}"/>
    <cellStyle name="Huomautus 3 3 2 2" xfId="3803" xr:uid="{00000000-0005-0000-0000-0000AD4E0000}"/>
    <cellStyle name="Huomautus 3 3 2 2 2" xfId="9008" xr:uid="{00000000-0005-0000-0000-0000AE4E0000}"/>
    <cellStyle name="Huomautus 3 3 2 2 3" xfId="17154" xr:uid="{00000000-0005-0000-0000-0000AF4E0000}"/>
    <cellStyle name="Huomautus 3 3 2 2_DataIX" xfId="32374" xr:uid="{00000000-0005-0000-0000-0000B04E0000}"/>
    <cellStyle name="Huomautus 3 3 2 3" xfId="9007" xr:uid="{00000000-0005-0000-0000-0000B14E0000}"/>
    <cellStyle name="Huomautus 3 3 2 4" xfId="17153" xr:uid="{00000000-0005-0000-0000-0000B24E0000}"/>
    <cellStyle name="Huomautus 3 3 2_DataIX" xfId="32373" xr:uid="{00000000-0005-0000-0000-0000B34E0000}"/>
    <cellStyle name="Huomautus 3 3 3" xfId="3804" xr:uid="{00000000-0005-0000-0000-0000B44E0000}"/>
    <cellStyle name="Huomautus 3 3 3 2" xfId="9009" xr:uid="{00000000-0005-0000-0000-0000B54E0000}"/>
    <cellStyle name="Huomautus 3 3 3 3" xfId="17155" xr:uid="{00000000-0005-0000-0000-0000B64E0000}"/>
    <cellStyle name="Huomautus 3 3 3_DataIX" xfId="32375" xr:uid="{00000000-0005-0000-0000-0000B74E0000}"/>
    <cellStyle name="Huomautus 3 3 4" xfId="3801" xr:uid="{00000000-0005-0000-0000-0000B84E0000}"/>
    <cellStyle name="Huomautus 3 3 4 2" xfId="9010" xr:uid="{00000000-0005-0000-0000-0000B94E0000}"/>
    <cellStyle name="Huomautus 3 3 4 3" xfId="17152" xr:uid="{00000000-0005-0000-0000-0000BA4E0000}"/>
    <cellStyle name="Huomautus 3 3 4_DataIX" xfId="32376" xr:uid="{00000000-0005-0000-0000-0000BB4E0000}"/>
    <cellStyle name="Huomautus 3 3 5" xfId="13922" xr:uid="{00000000-0005-0000-0000-0000BC4E0000}"/>
    <cellStyle name="Huomautus 3 3 6" xfId="20596" xr:uid="{00000000-0005-0000-0000-0000BD4E0000}"/>
    <cellStyle name="Huomautus 3 3_##Keskeiset" xfId="9006" xr:uid="{00000000-0005-0000-0000-0000BE4E0000}"/>
    <cellStyle name="Huomautus 3 4" xfId="3805" xr:uid="{00000000-0005-0000-0000-0000BF4E0000}"/>
    <cellStyle name="Huomautus 3 4 2" xfId="3806" xr:uid="{00000000-0005-0000-0000-0000C04E0000}"/>
    <cellStyle name="Huomautus 3 4 2 2" xfId="3807" xr:uid="{00000000-0005-0000-0000-0000C14E0000}"/>
    <cellStyle name="Huomautus 3 4 2 2 2" xfId="9013" xr:uid="{00000000-0005-0000-0000-0000C24E0000}"/>
    <cellStyle name="Huomautus 3 4 2 2 3" xfId="17158" xr:uid="{00000000-0005-0000-0000-0000C34E0000}"/>
    <cellStyle name="Huomautus 3 4 2 2_DataIX" xfId="32378" xr:uid="{00000000-0005-0000-0000-0000C44E0000}"/>
    <cellStyle name="Huomautus 3 4 2 3" xfId="9012" xr:uid="{00000000-0005-0000-0000-0000C54E0000}"/>
    <cellStyle name="Huomautus 3 4 2 4" xfId="17157" xr:uid="{00000000-0005-0000-0000-0000C64E0000}"/>
    <cellStyle name="Huomautus 3 4 2_DataIX" xfId="32377" xr:uid="{00000000-0005-0000-0000-0000C74E0000}"/>
    <cellStyle name="Huomautus 3 4 3" xfId="3808" xr:uid="{00000000-0005-0000-0000-0000C84E0000}"/>
    <cellStyle name="Huomautus 3 4 3 2" xfId="9014" xr:uid="{00000000-0005-0000-0000-0000C94E0000}"/>
    <cellStyle name="Huomautus 3 4 3 3" xfId="17159" xr:uid="{00000000-0005-0000-0000-0000CA4E0000}"/>
    <cellStyle name="Huomautus 3 4 3_DataIX" xfId="32379" xr:uid="{00000000-0005-0000-0000-0000CB4E0000}"/>
    <cellStyle name="Huomautus 3 4 4" xfId="5602" xr:uid="{00000000-0005-0000-0000-0000CC4E0000}"/>
    <cellStyle name="Huomautus 3 4 4 2" xfId="12590" xr:uid="{00000000-0005-0000-0000-0000CD4E0000}"/>
    <cellStyle name="Huomautus 3 4 4 3" xfId="18821" xr:uid="{00000000-0005-0000-0000-0000CE4E0000}"/>
    <cellStyle name="Huomautus 3 4 4_DataIX" xfId="32380" xr:uid="{00000000-0005-0000-0000-0000CF4E0000}"/>
    <cellStyle name="Huomautus 3 4 5" xfId="17156" xr:uid="{00000000-0005-0000-0000-0000D04E0000}"/>
    <cellStyle name="Huomautus 3 4_##Keskeiset" xfId="9011" xr:uid="{00000000-0005-0000-0000-0000D14E0000}"/>
    <cellStyle name="Huomautus 3 5" xfId="3809" xr:uid="{00000000-0005-0000-0000-0000D24E0000}"/>
    <cellStyle name="Huomautus 3 5 2" xfId="3810" xr:uid="{00000000-0005-0000-0000-0000D34E0000}"/>
    <cellStyle name="Huomautus 3 5 2 2" xfId="9016" xr:uid="{00000000-0005-0000-0000-0000D44E0000}"/>
    <cellStyle name="Huomautus 3 5 2 3" xfId="17161" xr:uid="{00000000-0005-0000-0000-0000D54E0000}"/>
    <cellStyle name="Huomautus 3 5 2_DataIX" xfId="32382" xr:uid="{00000000-0005-0000-0000-0000D64E0000}"/>
    <cellStyle name="Huomautus 3 5 3" xfId="9015" xr:uid="{00000000-0005-0000-0000-0000D74E0000}"/>
    <cellStyle name="Huomautus 3 5 4" xfId="17160" xr:uid="{00000000-0005-0000-0000-0000D84E0000}"/>
    <cellStyle name="Huomautus 3 5_DataIX" xfId="32381" xr:uid="{00000000-0005-0000-0000-0000D94E0000}"/>
    <cellStyle name="Huomautus 3 6" xfId="3811" xr:uid="{00000000-0005-0000-0000-0000DA4E0000}"/>
    <cellStyle name="Huomautus 3 6 2" xfId="9017" xr:uid="{00000000-0005-0000-0000-0000DB4E0000}"/>
    <cellStyle name="Huomautus 3 6 3" xfId="17162" xr:uid="{00000000-0005-0000-0000-0000DC4E0000}"/>
    <cellStyle name="Huomautus 3 6_DataIX" xfId="32383" xr:uid="{00000000-0005-0000-0000-0000DD4E0000}"/>
    <cellStyle name="Huomautus 3 7" xfId="3812" xr:uid="{00000000-0005-0000-0000-0000DE4E0000}"/>
    <cellStyle name="Huomautus 3 7 2" xfId="9018" xr:uid="{00000000-0005-0000-0000-0000DF4E0000}"/>
    <cellStyle name="Huomautus 3 7 3" xfId="17163" xr:uid="{00000000-0005-0000-0000-0000E04E0000}"/>
    <cellStyle name="Huomautus 3 7_DataIX" xfId="32384" xr:uid="{00000000-0005-0000-0000-0000E14E0000}"/>
    <cellStyle name="Huomautus 3 8" xfId="3813" xr:uid="{00000000-0005-0000-0000-0000E24E0000}"/>
    <cellStyle name="Huomautus 3 8 2" xfId="9019" xr:uid="{00000000-0005-0000-0000-0000E34E0000}"/>
    <cellStyle name="Huomautus 3 8 3" xfId="17164" xr:uid="{00000000-0005-0000-0000-0000E44E0000}"/>
    <cellStyle name="Huomautus 3 8_DataIX" xfId="32385" xr:uid="{00000000-0005-0000-0000-0000E54E0000}"/>
    <cellStyle name="Huomautus 3 9" xfId="3795" xr:uid="{00000000-0005-0000-0000-0000E64E0000}"/>
    <cellStyle name="Huomautus 3 9 2" xfId="9020" xr:uid="{00000000-0005-0000-0000-0000E74E0000}"/>
    <cellStyle name="Huomautus 3 9 3" xfId="17146" xr:uid="{00000000-0005-0000-0000-0000E84E0000}"/>
    <cellStyle name="Huomautus 3 9_DataIX" xfId="32386" xr:uid="{00000000-0005-0000-0000-0000E94E0000}"/>
    <cellStyle name="Huomautus 3_##Keskeiset" xfId="8998" xr:uid="{00000000-0005-0000-0000-0000EA4E0000}"/>
    <cellStyle name="Huomautus 30" xfId="10665" xr:uid="{00000000-0005-0000-0000-0000EB4E0000}"/>
    <cellStyle name="Huomautus 30 2" xfId="20604" xr:uid="{00000000-0005-0000-0000-0000EC4E0000}"/>
    <cellStyle name="Huomautus 30 2 2" xfId="21922" xr:uid="{00000000-0005-0000-0000-0000ED4E0000}"/>
    <cellStyle name="Huomautus 30 2 3" xfId="21526" xr:uid="{00000000-0005-0000-0000-0000EE4E0000}"/>
    <cellStyle name="Huomautus 30 2_DataIX" xfId="32388" xr:uid="{00000000-0005-0000-0000-0000EF4E0000}"/>
    <cellStyle name="Huomautus 30 3" xfId="21004" xr:uid="{00000000-0005-0000-0000-0000F04E0000}"/>
    <cellStyle name="Huomautus 30 3 2" xfId="21997" xr:uid="{00000000-0005-0000-0000-0000F14E0000}"/>
    <cellStyle name="Huomautus 30 3_DataIX" xfId="32389" xr:uid="{00000000-0005-0000-0000-0000F24E0000}"/>
    <cellStyle name="Huomautus 30 4" xfId="21919" xr:uid="{00000000-0005-0000-0000-0000F34E0000}"/>
    <cellStyle name="Huomautus 30 5" xfId="26905" xr:uid="{00000000-0005-0000-0000-0000F44E0000}"/>
    <cellStyle name="Huomautus 30 6" xfId="26884" xr:uid="{00000000-0005-0000-0000-0000F54E0000}"/>
    <cellStyle name="Huomautus 30_DataIX" xfId="32387" xr:uid="{00000000-0005-0000-0000-0000F64E0000}"/>
    <cellStyle name="Huomautus 31" xfId="13089" xr:uid="{00000000-0005-0000-0000-0000F74E0000}"/>
    <cellStyle name="Huomautus 31 2" xfId="20741" xr:uid="{00000000-0005-0000-0000-0000F84E0000}"/>
    <cellStyle name="Huomautus 31 2 2" xfId="22116" xr:uid="{00000000-0005-0000-0000-0000F94E0000}"/>
    <cellStyle name="Huomautus 31 2 3" xfId="20674" xr:uid="{00000000-0005-0000-0000-0000FA4E0000}"/>
    <cellStyle name="Huomautus 31 2_DataIX" xfId="32391" xr:uid="{00000000-0005-0000-0000-0000FB4E0000}"/>
    <cellStyle name="Huomautus 31 3" xfId="21118" xr:uid="{00000000-0005-0000-0000-0000FC4E0000}"/>
    <cellStyle name="Huomautus 31 3 2" xfId="11042" xr:uid="{00000000-0005-0000-0000-0000FD4E0000}"/>
    <cellStyle name="Huomautus 31 3_DataIX" xfId="32392" xr:uid="{00000000-0005-0000-0000-0000FE4E0000}"/>
    <cellStyle name="Huomautus 31 4" xfId="13771" xr:uid="{00000000-0005-0000-0000-0000FF4E0000}"/>
    <cellStyle name="Huomautus 31 5" xfId="27377" xr:uid="{00000000-0005-0000-0000-0000004F0000}"/>
    <cellStyle name="Huomautus 31 6" xfId="22938" xr:uid="{00000000-0005-0000-0000-0000014F0000}"/>
    <cellStyle name="Huomautus 31_DataIX" xfId="32390" xr:uid="{00000000-0005-0000-0000-0000024F0000}"/>
    <cellStyle name="Huomautus 32" xfId="13317" xr:uid="{00000000-0005-0000-0000-0000034F0000}"/>
    <cellStyle name="Huomautus 32 2" xfId="20905" xr:uid="{00000000-0005-0000-0000-0000044F0000}"/>
    <cellStyle name="Huomautus 32 2 2" xfId="22170" xr:uid="{00000000-0005-0000-0000-0000054F0000}"/>
    <cellStyle name="Huomautus 32 2 3" xfId="13748" xr:uid="{00000000-0005-0000-0000-0000064F0000}"/>
    <cellStyle name="Huomautus 32 2_DataIX" xfId="32394" xr:uid="{00000000-0005-0000-0000-0000074F0000}"/>
    <cellStyle name="Huomautus 32 3" xfId="21291" xr:uid="{00000000-0005-0000-0000-0000084F0000}"/>
    <cellStyle name="Huomautus 32 3 2" xfId="12727" xr:uid="{00000000-0005-0000-0000-0000094F0000}"/>
    <cellStyle name="Huomautus 32 3_DataIX" xfId="32395" xr:uid="{00000000-0005-0000-0000-00000A4F0000}"/>
    <cellStyle name="Huomautus 32 4" xfId="21580" xr:uid="{00000000-0005-0000-0000-00000B4F0000}"/>
    <cellStyle name="Huomautus 32 5" xfId="27549" xr:uid="{00000000-0005-0000-0000-00000C4F0000}"/>
    <cellStyle name="Huomautus 32 6" xfId="26901" xr:uid="{00000000-0005-0000-0000-00000D4F0000}"/>
    <cellStyle name="Huomautus 32_DataIX" xfId="32393" xr:uid="{00000000-0005-0000-0000-00000E4F0000}"/>
    <cellStyle name="Huomautus 33" xfId="13219" xr:uid="{00000000-0005-0000-0000-00000F4F0000}"/>
    <cellStyle name="Huomautus 33 2" xfId="20831" xr:uid="{00000000-0005-0000-0000-0000104F0000}"/>
    <cellStyle name="Huomautus 33 2 2" xfId="22141" xr:uid="{00000000-0005-0000-0000-0000114F0000}"/>
    <cellStyle name="Huomautus 33 2 3" xfId="12733" xr:uid="{00000000-0005-0000-0000-0000124F0000}"/>
    <cellStyle name="Huomautus 33 2_DataIX" xfId="32397" xr:uid="{00000000-0005-0000-0000-0000134F0000}"/>
    <cellStyle name="Huomautus 33 3" xfId="21207" xr:uid="{00000000-0005-0000-0000-0000144F0000}"/>
    <cellStyle name="Huomautus 33 3 2" xfId="21746" xr:uid="{00000000-0005-0000-0000-0000154F0000}"/>
    <cellStyle name="Huomautus 33 3_DataIX" xfId="32398" xr:uid="{00000000-0005-0000-0000-0000164F0000}"/>
    <cellStyle name="Huomautus 33 4" xfId="13761" xr:uid="{00000000-0005-0000-0000-0000174F0000}"/>
    <cellStyle name="Huomautus 33 5" xfId="27205" xr:uid="{00000000-0005-0000-0000-0000184F0000}"/>
    <cellStyle name="Huomautus 33 6" xfId="22850" xr:uid="{00000000-0005-0000-0000-0000194F0000}"/>
    <cellStyle name="Huomautus 33_DataIX" xfId="32396" xr:uid="{00000000-0005-0000-0000-00001A4F0000}"/>
    <cellStyle name="Huomautus 34" xfId="13266" xr:uid="{00000000-0005-0000-0000-00001B4F0000}"/>
    <cellStyle name="Huomautus 34 2" xfId="21243" xr:uid="{00000000-0005-0000-0000-00001C4F0000}"/>
    <cellStyle name="Huomautus 34 2 2" xfId="10913" xr:uid="{00000000-0005-0000-0000-00001D4F0000}"/>
    <cellStyle name="Huomautus 34 2_DataIX" xfId="32400" xr:uid="{00000000-0005-0000-0000-00001E4F0000}"/>
    <cellStyle name="Huomautus 34 3" xfId="21388" xr:uid="{00000000-0005-0000-0000-00001F4F0000}"/>
    <cellStyle name="Huomautus 34 4" xfId="27516" xr:uid="{00000000-0005-0000-0000-0000204F0000}"/>
    <cellStyle name="Huomautus 34 5" xfId="27479" xr:uid="{00000000-0005-0000-0000-0000214F0000}"/>
    <cellStyle name="Huomautus 34_DataIX" xfId="32399" xr:uid="{00000000-0005-0000-0000-0000224F0000}"/>
    <cellStyle name="Huomautus 35" xfId="13898" xr:uid="{00000000-0005-0000-0000-0000234F0000}"/>
    <cellStyle name="Huomautus 35 2" xfId="11098" xr:uid="{00000000-0005-0000-0000-0000244F0000}"/>
    <cellStyle name="Huomautus 35 3" xfId="21461" xr:uid="{00000000-0005-0000-0000-0000254F0000}"/>
    <cellStyle name="Huomautus 35 4" xfId="27427" xr:uid="{00000000-0005-0000-0000-0000264F0000}"/>
    <cellStyle name="Huomautus 35 5" xfId="22995" xr:uid="{00000000-0005-0000-0000-0000274F0000}"/>
    <cellStyle name="Huomautus 35_DataIX" xfId="32401" xr:uid="{00000000-0005-0000-0000-0000284F0000}"/>
    <cellStyle name="Huomautus 36" xfId="20602" xr:uid="{00000000-0005-0000-0000-0000294F0000}"/>
    <cellStyle name="Huomautus 36 2" xfId="21666" xr:uid="{00000000-0005-0000-0000-00002A4F0000}"/>
    <cellStyle name="Huomautus 36 3" xfId="27542" xr:uid="{00000000-0005-0000-0000-00002B4F0000}"/>
    <cellStyle name="Huomautus 36 4" xfId="22941" xr:uid="{00000000-0005-0000-0000-00002C4F0000}"/>
    <cellStyle name="Huomautus 36_DataIX" xfId="32402" xr:uid="{00000000-0005-0000-0000-00002D4F0000}"/>
    <cellStyle name="Huomautus 37" xfId="25362" xr:uid="{00000000-0005-0000-0000-00002E4F0000}"/>
    <cellStyle name="Huomautus 37 2" xfId="27071" xr:uid="{00000000-0005-0000-0000-00002F4F0000}"/>
    <cellStyle name="Huomautus 37 3" xfId="27599" xr:uid="{00000000-0005-0000-0000-0000304F0000}"/>
    <cellStyle name="Huomautus 37_DataIX" xfId="32403" xr:uid="{00000000-0005-0000-0000-0000314F0000}"/>
    <cellStyle name="Huomautus 38" xfId="26701" xr:uid="{00000000-0005-0000-0000-0000324F0000}"/>
    <cellStyle name="Huomautus 38 2" xfId="27585" xr:uid="{00000000-0005-0000-0000-0000334F0000}"/>
    <cellStyle name="Huomautus 38 3" xfId="26781" xr:uid="{00000000-0005-0000-0000-0000344F0000}"/>
    <cellStyle name="Huomautus 38_DataIX" xfId="32404" xr:uid="{00000000-0005-0000-0000-0000354F0000}"/>
    <cellStyle name="Huomautus 39" xfId="25266" xr:uid="{00000000-0005-0000-0000-0000364F0000}"/>
    <cellStyle name="Huomautus 39 2" xfId="27023" xr:uid="{00000000-0005-0000-0000-0000374F0000}"/>
    <cellStyle name="Huomautus 39 3" xfId="27123" xr:uid="{00000000-0005-0000-0000-0000384F0000}"/>
    <cellStyle name="Huomautus 39_DataIX" xfId="32405" xr:uid="{00000000-0005-0000-0000-0000394F0000}"/>
    <cellStyle name="Huomautus 4" xfId="202" xr:uid="{00000000-0005-0000-0000-00003A4F0000}"/>
    <cellStyle name="Huomautus 4 10" xfId="13116" xr:uid="{00000000-0005-0000-0000-00003B4F0000}"/>
    <cellStyle name="Huomautus 4 10 2" xfId="20766" xr:uid="{00000000-0005-0000-0000-00003C4F0000}"/>
    <cellStyle name="Huomautus 4 10 2 2" xfId="22123" xr:uid="{00000000-0005-0000-0000-00003D4F0000}"/>
    <cellStyle name="Huomautus 4 10 2 3" xfId="22153" xr:uid="{00000000-0005-0000-0000-00003E4F0000}"/>
    <cellStyle name="Huomautus 4 10 2_DataIX" xfId="32407" xr:uid="{00000000-0005-0000-0000-00003F4F0000}"/>
    <cellStyle name="Huomautus 4 10 3" xfId="21127" xr:uid="{00000000-0005-0000-0000-0000404F0000}"/>
    <cellStyle name="Huomautus 4 10 3 2" xfId="21637" xr:uid="{00000000-0005-0000-0000-0000414F0000}"/>
    <cellStyle name="Huomautus 4 10 3_DataIX" xfId="32408" xr:uid="{00000000-0005-0000-0000-0000424F0000}"/>
    <cellStyle name="Huomautus 4 10 4" xfId="11193" xr:uid="{00000000-0005-0000-0000-0000434F0000}"/>
    <cellStyle name="Huomautus 4 10 5" xfId="27499" xr:uid="{00000000-0005-0000-0000-0000444F0000}"/>
    <cellStyle name="Huomautus 4 10 6" xfId="23098" xr:uid="{00000000-0005-0000-0000-0000454F0000}"/>
    <cellStyle name="Huomautus 4 10_DataIX" xfId="32406" xr:uid="{00000000-0005-0000-0000-0000464F0000}"/>
    <cellStyle name="Huomautus 4 11" xfId="13375" xr:uid="{00000000-0005-0000-0000-0000474F0000}"/>
    <cellStyle name="Huomautus 4 11 2" xfId="21331" xr:uid="{00000000-0005-0000-0000-0000484F0000}"/>
    <cellStyle name="Huomautus 4 11 2 2" xfId="21753" xr:uid="{00000000-0005-0000-0000-0000494F0000}"/>
    <cellStyle name="Huomautus 4 11 2_DataIX" xfId="32410" xr:uid="{00000000-0005-0000-0000-00004A4F0000}"/>
    <cellStyle name="Huomautus 4 11 3" xfId="11209" xr:uid="{00000000-0005-0000-0000-00004B4F0000}"/>
    <cellStyle name="Huomautus 4 11 4" xfId="27404" xr:uid="{00000000-0005-0000-0000-00004C4F0000}"/>
    <cellStyle name="Huomautus 4 11 5" xfId="22933" xr:uid="{00000000-0005-0000-0000-00004D4F0000}"/>
    <cellStyle name="Huomautus 4 11_DataIX" xfId="32409" xr:uid="{00000000-0005-0000-0000-00004E4F0000}"/>
    <cellStyle name="Huomautus 4 12" xfId="10699" xr:uid="{00000000-0005-0000-0000-00004F4F0000}"/>
    <cellStyle name="Huomautus 4 12 2" xfId="21016" xr:uid="{00000000-0005-0000-0000-0000504F0000}"/>
    <cellStyle name="Huomautus 4 12 2 2" xfId="11097" xr:uid="{00000000-0005-0000-0000-0000514F0000}"/>
    <cellStyle name="Huomautus 4 12 2_DataIX" xfId="32412" xr:uid="{00000000-0005-0000-0000-0000524F0000}"/>
    <cellStyle name="Huomautus 4 12 3" xfId="20676" xr:uid="{00000000-0005-0000-0000-0000534F0000}"/>
    <cellStyle name="Huomautus 4 12_DataIX" xfId="32411" xr:uid="{00000000-0005-0000-0000-0000544F0000}"/>
    <cellStyle name="Huomautus 4 13" xfId="13801" xr:uid="{00000000-0005-0000-0000-0000554F0000}"/>
    <cellStyle name="Huomautus 4 13 2" xfId="13577" xr:uid="{00000000-0005-0000-0000-0000564F0000}"/>
    <cellStyle name="Huomautus 4 13_DataIX" xfId="32413" xr:uid="{00000000-0005-0000-0000-0000574F0000}"/>
    <cellStyle name="Huomautus 4 14" xfId="13502" xr:uid="{00000000-0005-0000-0000-0000584F0000}"/>
    <cellStyle name="Huomautus 4 15" xfId="22315" xr:uid="{00000000-0005-0000-0000-0000594F0000}"/>
    <cellStyle name="Huomautus 4 16" xfId="22592" xr:uid="{00000000-0005-0000-0000-00005A4F0000}"/>
    <cellStyle name="Huomautus 4 17" xfId="22517" xr:uid="{00000000-0005-0000-0000-00005B4F0000}"/>
    <cellStyle name="Huomautus 4 18" xfId="22720" xr:uid="{00000000-0005-0000-0000-00005C4F0000}"/>
    <cellStyle name="Huomautus 4 19" xfId="27891" xr:uid="{00000000-0005-0000-0000-00005D4F0000}"/>
    <cellStyle name="Huomautus 4 2" xfId="290" xr:uid="{00000000-0005-0000-0000-00005E4F0000}"/>
    <cellStyle name="Huomautus 4 2 10" xfId="10700" xr:uid="{00000000-0005-0000-0000-00005F4F0000}"/>
    <cellStyle name="Huomautus 4 2 10 2" xfId="21017" xr:uid="{00000000-0005-0000-0000-0000604F0000}"/>
    <cellStyle name="Huomautus 4 2 10 2 2" xfId="13788" xr:uid="{00000000-0005-0000-0000-0000614F0000}"/>
    <cellStyle name="Huomautus 4 2 10 2_DataIX" xfId="32415" xr:uid="{00000000-0005-0000-0000-0000624F0000}"/>
    <cellStyle name="Huomautus 4 2 10 3" xfId="13412" xr:uid="{00000000-0005-0000-0000-0000634F0000}"/>
    <cellStyle name="Huomautus 4 2 10 4" xfId="27203" xr:uid="{00000000-0005-0000-0000-0000644F0000}"/>
    <cellStyle name="Huomautus 4 2 10 5" xfId="27621" xr:uid="{00000000-0005-0000-0000-0000654F0000}"/>
    <cellStyle name="Huomautus 4 2 10_DataIX" xfId="32414" xr:uid="{00000000-0005-0000-0000-0000664F0000}"/>
    <cellStyle name="Huomautus 4 2 11" xfId="13860" xr:uid="{00000000-0005-0000-0000-0000674F0000}"/>
    <cellStyle name="Huomautus 4 2 11 2" xfId="13595" xr:uid="{00000000-0005-0000-0000-0000684F0000}"/>
    <cellStyle name="Huomautus 4 2 11 3" xfId="13489" xr:uid="{00000000-0005-0000-0000-0000694F0000}"/>
    <cellStyle name="Huomautus 4 2 11 4" xfId="27580" xr:uid="{00000000-0005-0000-0000-00006A4F0000}"/>
    <cellStyle name="Huomautus 4 2 11 5" xfId="22922" xr:uid="{00000000-0005-0000-0000-00006B4F0000}"/>
    <cellStyle name="Huomautus 4 2 11_DataIX" xfId="32416" xr:uid="{00000000-0005-0000-0000-00006C4F0000}"/>
    <cellStyle name="Huomautus 4 2 12" xfId="20851" xr:uid="{00000000-0005-0000-0000-00006D4F0000}"/>
    <cellStyle name="Huomautus 4 2 12 2" xfId="21601" xr:uid="{00000000-0005-0000-0000-00006E4F0000}"/>
    <cellStyle name="Huomautus 4 2 12_DataIX" xfId="32417" xr:uid="{00000000-0005-0000-0000-00006F4F0000}"/>
    <cellStyle name="Huomautus 4 2 13" xfId="21697" xr:uid="{00000000-0005-0000-0000-0000704F0000}"/>
    <cellStyle name="Huomautus 4 2 14" xfId="22316" xr:uid="{00000000-0005-0000-0000-0000714F0000}"/>
    <cellStyle name="Huomautus 4 2 15" xfId="22591" xr:uid="{00000000-0005-0000-0000-0000724F0000}"/>
    <cellStyle name="Huomautus 4 2 16" xfId="22516" xr:uid="{00000000-0005-0000-0000-0000734F0000}"/>
    <cellStyle name="Huomautus 4 2 17" xfId="22618" xr:uid="{00000000-0005-0000-0000-0000744F0000}"/>
    <cellStyle name="Huomautus 4 2 18" xfId="27892" xr:uid="{00000000-0005-0000-0000-0000754F0000}"/>
    <cellStyle name="Huomautus 4 2 19" xfId="28056" xr:uid="{00000000-0005-0000-0000-0000764F0000}"/>
    <cellStyle name="Huomautus 4 2 2" xfId="3816" xr:uid="{00000000-0005-0000-0000-0000774F0000}"/>
    <cellStyle name="Huomautus 4 2 2 2" xfId="3817" xr:uid="{00000000-0005-0000-0000-0000784F0000}"/>
    <cellStyle name="Huomautus 4 2 2 2 2" xfId="9024" xr:uid="{00000000-0005-0000-0000-0000794F0000}"/>
    <cellStyle name="Huomautus 4 2 2 2 3" xfId="17168" xr:uid="{00000000-0005-0000-0000-00007A4F0000}"/>
    <cellStyle name="Huomautus 4 2 2 2_DataIX" xfId="32419" xr:uid="{00000000-0005-0000-0000-00007B4F0000}"/>
    <cellStyle name="Huomautus 4 2 2 3" xfId="9023" xr:uid="{00000000-0005-0000-0000-00007C4F0000}"/>
    <cellStyle name="Huomautus 4 2 2 4" xfId="17167" xr:uid="{00000000-0005-0000-0000-00007D4F0000}"/>
    <cellStyle name="Huomautus 4 2 2_DataIX" xfId="32418" xr:uid="{00000000-0005-0000-0000-00007E4F0000}"/>
    <cellStyle name="Huomautus 4 2 20" xfId="28223" xr:uid="{00000000-0005-0000-0000-00007F4F0000}"/>
    <cellStyle name="Huomautus 4 2 21" xfId="28418" xr:uid="{00000000-0005-0000-0000-0000804F0000}"/>
    <cellStyle name="Huomautus 4 2 22" xfId="28488" xr:uid="{00000000-0005-0000-0000-0000814F0000}"/>
    <cellStyle name="Huomautus 4 2 23" xfId="28348" xr:uid="{00000000-0005-0000-0000-0000824F0000}"/>
    <cellStyle name="Huomautus 4 2 24" xfId="28634" xr:uid="{00000000-0005-0000-0000-0000834F0000}"/>
    <cellStyle name="Huomautus 4 2 25" xfId="28945" xr:uid="{00000000-0005-0000-0000-0000844F0000}"/>
    <cellStyle name="Huomautus 4 2 26" xfId="28716" xr:uid="{00000000-0005-0000-0000-0000854F0000}"/>
    <cellStyle name="Huomautus 4 2 27" xfId="28865" xr:uid="{00000000-0005-0000-0000-0000864F0000}"/>
    <cellStyle name="Huomautus 4 2 28" xfId="29027" xr:uid="{00000000-0005-0000-0000-0000874F0000}"/>
    <cellStyle name="Huomautus 4 2 29" xfId="29180" xr:uid="{00000000-0005-0000-0000-0000884F0000}"/>
    <cellStyle name="Huomautus 4 2 3" xfId="3818" xr:uid="{00000000-0005-0000-0000-0000894F0000}"/>
    <cellStyle name="Huomautus 4 2 3 2" xfId="9025" xr:uid="{00000000-0005-0000-0000-00008A4F0000}"/>
    <cellStyle name="Huomautus 4 2 3 3" xfId="17169" xr:uid="{00000000-0005-0000-0000-00008B4F0000}"/>
    <cellStyle name="Huomautus 4 2 3_DataIX" xfId="32420" xr:uid="{00000000-0005-0000-0000-00008C4F0000}"/>
    <cellStyle name="Huomautus 4 2 4" xfId="3815" xr:uid="{00000000-0005-0000-0000-00008D4F0000}"/>
    <cellStyle name="Huomautus 4 2 4 2" xfId="9026" xr:uid="{00000000-0005-0000-0000-00008E4F0000}"/>
    <cellStyle name="Huomautus 4 2 4 3" xfId="17166" xr:uid="{00000000-0005-0000-0000-00008F4F0000}"/>
    <cellStyle name="Huomautus 4 2 4_DataIX" xfId="32421" xr:uid="{00000000-0005-0000-0000-0000904F0000}"/>
    <cellStyle name="Huomautus 4 2 5" xfId="5257" xr:uid="{00000000-0005-0000-0000-0000914F0000}"/>
    <cellStyle name="Huomautus 4 2 5 2" xfId="9027" xr:uid="{00000000-0005-0000-0000-0000924F0000}"/>
    <cellStyle name="Huomautus 4 2 5 3" xfId="18587" xr:uid="{00000000-0005-0000-0000-0000934F0000}"/>
    <cellStyle name="Huomautus 4 2 5 3 2" xfId="21625" xr:uid="{00000000-0005-0000-0000-0000944F0000}"/>
    <cellStyle name="Huomautus 4 2 5 3 3" xfId="22189" xr:uid="{00000000-0005-0000-0000-0000954F0000}"/>
    <cellStyle name="Huomautus 4 2 5 3_DataIX" xfId="32423" xr:uid="{00000000-0005-0000-0000-0000964F0000}"/>
    <cellStyle name="Huomautus 4 2 5 4" xfId="20512" xr:uid="{00000000-0005-0000-0000-0000974F0000}"/>
    <cellStyle name="Huomautus 4 2 5 4 2" xfId="22047" xr:uid="{00000000-0005-0000-0000-0000984F0000}"/>
    <cellStyle name="Huomautus 4 2 5 4_DataIX" xfId="32424" xr:uid="{00000000-0005-0000-0000-0000994F0000}"/>
    <cellStyle name="Huomautus 4 2 5_DataIX" xfId="32422" xr:uid="{00000000-0005-0000-0000-00009A4F0000}"/>
    <cellStyle name="Huomautus 4 2 6" xfId="5338" xr:uid="{00000000-0005-0000-0000-00009B4F0000}"/>
    <cellStyle name="Huomautus 4 2 6 2" xfId="12591" xr:uid="{00000000-0005-0000-0000-00009C4F0000}"/>
    <cellStyle name="Huomautus 4 2 6 3" xfId="18662" xr:uid="{00000000-0005-0000-0000-00009D4F0000}"/>
    <cellStyle name="Huomautus 4 2 6 3 2" xfId="21650" xr:uid="{00000000-0005-0000-0000-00009E4F0000}"/>
    <cellStyle name="Huomautus 4 2 6 3 3" xfId="21776" xr:uid="{00000000-0005-0000-0000-00009F4F0000}"/>
    <cellStyle name="Huomautus 4 2 6 3_DataIX" xfId="32426" xr:uid="{00000000-0005-0000-0000-0000A04F0000}"/>
    <cellStyle name="Huomautus 4 2 6 4" xfId="19011" xr:uid="{00000000-0005-0000-0000-0000A14F0000}"/>
    <cellStyle name="Huomautus 4 2 6 4 2" xfId="20681" xr:uid="{00000000-0005-0000-0000-0000A24F0000}"/>
    <cellStyle name="Huomautus 4 2 6 4_DataIX" xfId="32427" xr:uid="{00000000-0005-0000-0000-0000A34F0000}"/>
    <cellStyle name="Huomautus 4 2 6_DataIX" xfId="32425" xr:uid="{00000000-0005-0000-0000-0000A44F0000}"/>
    <cellStyle name="Huomautus 4 2 7" xfId="13305" xr:uid="{00000000-0005-0000-0000-0000A54F0000}"/>
    <cellStyle name="Huomautus 4 2 7 2" xfId="20894" xr:uid="{00000000-0005-0000-0000-0000A64F0000}"/>
    <cellStyle name="Huomautus 4 2 7 2 2" xfId="22165" xr:uid="{00000000-0005-0000-0000-0000A74F0000}"/>
    <cellStyle name="Huomautus 4 2 7 2 3" xfId="13071" xr:uid="{00000000-0005-0000-0000-0000A84F0000}"/>
    <cellStyle name="Huomautus 4 2 7 2_DataIX" xfId="32429" xr:uid="{00000000-0005-0000-0000-0000A94F0000}"/>
    <cellStyle name="Huomautus 4 2 7 3" xfId="21282" xr:uid="{00000000-0005-0000-0000-0000AA4F0000}"/>
    <cellStyle name="Huomautus 4 2 7 3 2" xfId="13587" xr:uid="{00000000-0005-0000-0000-0000AB4F0000}"/>
    <cellStyle name="Huomautus 4 2 7 3_DataIX" xfId="32430" xr:uid="{00000000-0005-0000-0000-0000AC4F0000}"/>
    <cellStyle name="Huomautus 4 2 7 4" xfId="13650" xr:uid="{00000000-0005-0000-0000-0000AD4F0000}"/>
    <cellStyle name="Huomautus 4 2 7 5" xfId="26947" xr:uid="{00000000-0005-0000-0000-0000AE4F0000}"/>
    <cellStyle name="Huomautus 4 2 7 6" xfId="22924" xr:uid="{00000000-0005-0000-0000-0000AF4F0000}"/>
    <cellStyle name="Huomautus 4 2 7_DataIX" xfId="32428" xr:uid="{00000000-0005-0000-0000-0000B04F0000}"/>
    <cellStyle name="Huomautus 4 2 8" xfId="13136" xr:uid="{00000000-0005-0000-0000-0000B14F0000}"/>
    <cellStyle name="Huomautus 4 2 8 2" xfId="20776" xr:uid="{00000000-0005-0000-0000-0000B24F0000}"/>
    <cellStyle name="Huomautus 4 2 8 2 2" xfId="22125" xr:uid="{00000000-0005-0000-0000-0000B34F0000}"/>
    <cellStyle name="Huomautus 4 2 8 2 3" xfId="13059" xr:uid="{00000000-0005-0000-0000-0000B44F0000}"/>
    <cellStyle name="Huomautus 4 2 8 2_DataIX" xfId="32432" xr:uid="{00000000-0005-0000-0000-0000B54F0000}"/>
    <cellStyle name="Huomautus 4 2 8 3" xfId="21141" xr:uid="{00000000-0005-0000-0000-0000B64F0000}"/>
    <cellStyle name="Huomautus 4 2 8 3 2" xfId="13570" xr:uid="{00000000-0005-0000-0000-0000B74F0000}"/>
    <cellStyle name="Huomautus 4 2 8 3_DataIX" xfId="32433" xr:uid="{00000000-0005-0000-0000-0000B84F0000}"/>
    <cellStyle name="Huomautus 4 2 8 4" xfId="21506" xr:uid="{00000000-0005-0000-0000-0000B94F0000}"/>
    <cellStyle name="Huomautus 4 2 8 5" xfId="27361" xr:uid="{00000000-0005-0000-0000-0000BA4F0000}"/>
    <cellStyle name="Huomautus 4 2 8 6" xfId="26900" xr:uid="{00000000-0005-0000-0000-0000BB4F0000}"/>
    <cellStyle name="Huomautus 4 2 8_DataIX" xfId="32431" xr:uid="{00000000-0005-0000-0000-0000BC4F0000}"/>
    <cellStyle name="Huomautus 4 2 9" xfId="13372" xr:uid="{00000000-0005-0000-0000-0000BD4F0000}"/>
    <cellStyle name="Huomautus 4 2 9 2" xfId="21329" xr:uid="{00000000-0005-0000-0000-0000BE4F0000}"/>
    <cellStyle name="Huomautus 4 2 9 2 2" xfId="22009" xr:uid="{00000000-0005-0000-0000-0000BF4F0000}"/>
    <cellStyle name="Huomautus 4 2 9 2_DataIX" xfId="32435" xr:uid="{00000000-0005-0000-0000-0000C04F0000}"/>
    <cellStyle name="Huomautus 4 2 9 3" xfId="21581" xr:uid="{00000000-0005-0000-0000-0000C14F0000}"/>
    <cellStyle name="Huomautus 4 2 9 4" xfId="27540" xr:uid="{00000000-0005-0000-0000-0000C24F0000}"/>
    <cellStyle name="Huomautus 4 2 9 5" xfId="23150" xr:uid="{00000000-0005-0000-0000-0000C34F0000}"/>
    <cellStyle name="Huomautus 4 2 9_DataIX" xfId="32434" xr:uid="{00000000-0005-0000-0000-0000C44F0000}"/>
    <cellStyle name="Huomautus 4 2_##Keskeiset" xfId="9022" xr:uid="{00000000-0005-0000-0000-0000C54F0000}"/>
    <cellStyle name="Huomautus 4 20" xfId="28057" xr:uid="{00000000-0005-0000-0000-0000C64F0000}"/>
    <cellStyle name="Huomautus 4 21" xfId="28222" xr:uid="{00000000-0005-0000-0000-0000C74F0000}"/>
    <cellStyle name="Huomautus 4 22" xfId="28419" xr:uid="{00000000-0005-0000-0000-0000C84F0000}"/>
    <cellStyle name="Huomautus 4 23" xfId="28489" xr:uid="{00000000-0005-0000-0000-0000C94F0000}"/>
    <cellStyle name="Huomautus 4 24" xfId="28349" xr:uid="{00000000-0005-0000-0000-0000CA4F0000}"/>
    <cellStyle name="Huomautus 4 25" xfId="28635" xr:uid="{00000000-0005-0000-0000-0000CB4F0000}"/>
    <cellStyle name="Huomautus 4 26" xfId="28947" xr:uid="{00000000-0005-0000-0000-0000CC4F0000}"/>
    <cellStyle name="Huomautus 4 27" xfId="28717" xr:uid="{00000000-0005-0000-0000-0000CD4F0000}"/>
    <cellStyle name="Huomautus 4 28" xfId="28864" xr:uid="{00000000-0005-0000-0000-0000CE4F0000}"/>
    <cellStyle name="Huomautus 4 29" xfId="29026" xr:uid="{00000000-0005-0000-0000-0000CF4F0000}"/>
    <cellStyle name="Huomautus 4 3" xfId="3819" xr:uid="{00000000-0005-0000-0000-0000D04F0000}"/>
    <cellStyle name="Huomautus 4 3 2" xfId="3820" xr:uid="{00000000-0005-0000-0000-0000D14F0000}"/>
    <cellStyle name="Huomautus 4 3 2 2" xfId="9029" xr:uid="{00000000-0005-0000-0000-0000D24F0000}"/>
    <cellStyle name="Huomautus 4 3 2 3" xfId="17171" xr:uid="{00000000-0005-0000-0000-0000D34F0000}"/>
    <cellStyle name="Huomautus 4 3 2_DataIX" xfId="32436" xr:uid="{00000000-0005-0000-0000-0000D44F0000}"/>
    <cellStyle name="Huomautus 4 3 3" xfId="5603" xr:uid="{00000000-0005-0000-0000-0000D54F0000}"/>
    <cellStyle name="Huomautus 4 3 3 2" xfId="12592" xr:uid="{00000000-0005-0000-0000-0000D64F0000}"/>
    <cellStyle name="Huomautus 4 3 3 3" xfId="18822" xr:uid="{00000000-0005-0000-0000-0000D74F0000}"/>
    <cellStyle name="Huomautus 4 3 3 3 2" xfId="21703" xr:uid="{00000000-0005-0000-0000-0000D84F0000}"/>
    <cellStyle name="Huomautus 4 3 3 3 3" xfId="10785" xr:uid="{00000000-0005-0000-0000-0000D94F0000}"/>
    <cellStyle name="Huomautus 4 3 3 3_DataIX" xfId="32438" xr:uid="{00000000-0005-0000-0000-0000DA4F0000}"/>
    <cellStyle name="Huomautus 4 3 3 4" xfId="18973" xr:uid="{00000000-0005-0000-0000-0000DB4F0000}"/>
    <cellStyle name="Huomautus 4 3 3 4 2" xfId="22034" xr:uid="{00000000-0005-0000-0000-0000DC4F0000}"/>
    <cellStyle name="Huomautus 4 3 3 4_DataIX" xfId="32439" xr:uid="{00000000-0005-0000-0000-0000DD4F0000}"/>
    <cellStyle name="Huomautus 4 3 3_DataIX" xfId="32437" xr:uid="{00000000-0005-0000-0000-0000DE4F0000}"/>
    <cellStyle name="Huomautus 4 3 4" xfId="17170" xr:uid="{00000000-0005-0000-0000-0000DF4F0000}"/>
    <cellStyle name="Huomautus 4 3_##Keskeiset" xfId="9028" xr:uid="{00000000-0005-0000-0000-0000E04F0000}"/>
    <cellStyle name="Huomautus 4 30" xfId="29181" xr:uid="{00000000-0005-0000-0000-0000E14F0000}"/>
    <cellStyle name="Huomautus 4 4" xfId="3821" xr:uid="{00000000-0005-0000-0000-0000E24F0000}"/>
    <cellStyle name="Huomautus 4 4 2" xfId="5604" xr:uid="{00000000-0005-0000-0000-0000E34F0000}"/>
    <cellStyle name="Huomautus 4 4 2 2" xfId="12593" xr:uid="{00000000-0005-0000-0000-0000E44F0000}"/>
    <cellStyle name="Huomautus 4 4 2 3" xfId="18823" xr:uid="{00000000-0005-0000-0000-0000E54F0000}"/>
    <cellStyle name="Huomautus 4 4 2 3 2" xfId="21704" xr:uid="{00000000-0005-0000-0000-0000E64F0000}"/>
    <cellStyle name="Huomautus 4 4 2 3 3" xfId="21966" xr:uid="{00000000-0005-0000-0000-0000E74F0000}"/>
    <cellStyle name="Huomautus 4 4 2 3_DataIX" xfId="32442" xr:uid="{00000000-0005-0000-0000-0000E84F0000}"/>
    <cellStyle name="Huomautus 4 4 2 4" xfId="20451" xr:uid="{00000000-0005-0000-0000-0000E94F0000}"/>
    <cellStyle name="Huomautus 4 4 2 4 2" xfId="10801" xr:uid="{00000000-0005-0000-0000-0000EA4F0000}"/>
    <cellStyle name="Huomautus 4 4 2 4_DataIX" xfId="32443" xr:uid="{00000000-0005-0000-0000-0000EB4F0000}"/>
    <cellStyle name="Huomautus 4 4 2_DataIX" xfId="32441" xr:uid="{00000000-0005-0000-0000-0000EC4F0000}"/>
    <cellStyle name="Huomautus 4 4 3" xfId="11022" xr:uid="{00000000-0005-0000-0000-0000ED4F0000}"/>
    <cellStyle name="Huomautus 4 4 4" xfId="17172" xr:uid="{00000000-0005-0000-0000-0000EE4F0000}"/>
    <cellStyle name="Huomautus 4 4_DataIX" xfId="32440" xr:uid="{00000000-0005-0000-0000-0000EF4F0000}"/>
    <cellStyle name="Huomautus 4 5" xfId="3822" xr:uid="{00000000-0005-0000-0000-0000F04F0000}"/>
    <cellStyle name="Huomautus 4 5 2" xfId="9030" xr:uid="{00000000-0005-0000-0000-0000F14F0000}"/>
    <cellStyle name="Huomautus 4 5 3" xfId="17173" xr:uid="{00000000-0005-0000-0000-0000F24F0000}"/>
    <cellStyle name="Huomautus 4 5_DataIX" xfId="32444" xr:uid="{00000000-0005-0000-0000-0000F34F0000}"/>
    <cellStyle name="Huomautus 4 6" xfId="3814" xr:uid="{00000000-0005-0000-0000-0000F44F0000}"/>
    <cellStyle name="Huomautus 4 6 2" xfId="9031" xr:uid="{00000000-0005-0000-0000-0000F54F0000}"/>
    <cellStyle name="Huomautus 4 6 3" xfId="17165" xr:uid="{00000000-0005-0000-0000-0000F64F0000}"/>
    <cellStyle name="Huomautus 4 6_DataIX" xfId="32445" xr:uid="{00000000-0005-0000-0000-0000F74F0000}"/>
    <cellStyle name="Huomautus 4 7" xfId="5258" xr:uid="{00000000-0005-0000-0000-0000F84F0000}"/>
    <cellStyle name="Huomautus 4 7 2" xfId="9032" xr:uid="{00000000-0005-0000-0000-0000F94F0000}"/>
    <cellStyle name="Huomautus 4 7 3" xfId="18588" xr:uid="{00000000-0005-0000-0000-0000FA4F0000}"/>
    <cellStyle name="Huomautus 4 7 3 2" xfId="21626" xr:uid="{00000000-0005-0000-0000-0000FB4F0000}"/>
    <cellStyle name="Huomautus 4 7 3 3" xfId="22092" xr:uid="{00000000-0005-0000-0000-0000FC4F0000}"/>
    <cellStyle name="Huomautus 4 7 3_DataIX" xfId="32447" xr:uid="{00000000-0005-0000-0000-0000FD4F0000}"/>
    <cellStyle name="Huomautus 4 7 4" xfId="19032" xr:uid="{00000000-0005-0000-0000-0000FE4F0000}"/>
    <cellStyle name="Huomautus 4 7 4 2" xfId="13503" xr:uid="{00000000-0005-0000-0000-0000FF4F0000}"/>
    <cellStyle name="Huomautus 4 7 4_DataIX" xfId="32448" xr:uid="{00000000-0005-0000-0000-000000500000}"/>
    <cellStyle name="Huomautus 4 7_DataIX" xfId="32446" xr:uid="{00000000-0005-0000-0000-000001500000}"/>
    <cellStyle name="Huomautus 4 8" xfId="5321" xr:uid="{00000000-0005-0000-0000-000002500000}"/>
    <cellStyle name="Huomautus 4 8 2" xfId="12594" xr:uid="{00000000-0005-0000-0000-000003500000}"/>
    <cellStyle name="Huomautus 4 8 3" xfId="18645" xr:uid="{00000000-0005-0000-0000-000004500000}"/>
    <cellStyle name="Huomautus 4 8 3 2" xfId="21645" xr:uid="{00000000-0005-0000-0000-000005500000}"/>
    <cellStyle name="Huomautus 4 8 3 3" xfId="10859" xr:uid="{00000000-0005-0000-0000-000006500000}"/>
    <cellStyle name="Huomautus 4 8 3_DataIX" xfId="32450" xr:uid="{00000000-0005-0000-0000-000007500000}"/>
    <cellStyle name="Huomautus 4 8 4" xfId="19016" xr:uid="{00000000-0005-0000-0000-000008500000}"/>
    <cellStyle name="Huomautus 4 8 4 2" xfId="21910" xr:uid="{00000000-0005-0000-0000-000009500000}"/>
    <cellStyle name="Huomautus 4 8 4_DataIX" xfId="32451" xr:uid="{00000000-0005-0000-0000-00000A500000}"/>
    <cellStyle name="Huomautus 4 8_DataIX" xfId="32449" xr:uid="{00000000-0005-0000-0000-00000B500000}"/>
    <cellStyle name="Huomautus 4 9" xfId="13391" xr:uid="{00000000-0005-0000-0000-00000C500000}"/>
    <cellStyle name="Huomautus 4 9 2" xfId="20949" xr:uid="{00000000-0005-0000-0000-00000D500000}"/>
    <cellStyle name="Huomautus 4 9 2 2" xfId="22187" xr:uid="{00000000-0005-0000-0000-00000E500000}"/>
    <cellStyle name="Huomautus 4 9 2 3" xfId="10831" xr:uid="{00000000-0005-0000-0000-00000F500000}"/>
    <cellStyle name="Huomautus 4 9 2_DataIX" xfId="32453" xr:uid="{00000000-0005-0000-0000-000010500000}"/>
    <cellStyle name="Huomautus 4 9 3" xfId="21346" xr:uid="{00000000-0005-0000-0000-000011500000}"/>
    <cellStyle name="Huomautus 4 9 3 2" xfId="22249" xr:uid="{00000000-0005-0000-0000-000012500000}"/>
    <cellStyle name="Huomautus 4 9 3_DataIX" xfId="32454" xr:uid="{00000000-0005-0000-0000-000013500000}"/>
    <cellStyle name="Huomautus 4 9 4" xfId="21835" xr:uid="{00000000-0005-0000-0000-000014500000}"/>
    <cellStyle name="Huomautus 4 9 5" xfId="26946" xr:uid="{00000000-0005-0000-0000-000015500000}"/>
    <cellStyle name="Huomautus 4 9 6" xfId="26804" xr:uid="{00000000-0005-0000-0000-000016500000}"/>
    <cellStyle name="Huomautus 4 9_DataIX" xfId="32452" xr:uid="{00000000-0005-0000-0000-000017500000}"/>
    <cellStyle name="Huomautus 4_##Keskeiset" xfId="9021" xr:uid="{00000000-0005-0000-0000-000018500000}"/>
    <cellStyle name="Huomautus 40" xfId="25445" xr:uid="{00000000-0005-0000-0000-000019500000}"/>
    <cellStyle name="Huomautus 40 2" xfId="27099" xr:uid="{00000000-0005-0000-0000-00001A500000}"/>
    <cellStyle name="Huomautus 40 3" xfId="26761" xr:uid="{00000000-0005-0000-0000-00001B500000}"/>
    <cellStyle name="Huomautus 40_DataIX" xfId="32455" xr:uid="{00000000-0005-0000-0000-00001C500000}"/>
    <cellStyle name="Huomautus 41" xfId="25807" xr:uid="{00000000-0005-0000-0000-00001D500000}"/>
    <cellStyle name="Huomautus 41 2" xfId="27234" xr:uid="{00000000-0005-0000-0000-00001E500000}"/>
    <cellStyle name="Huomautus 41 3" xfId="22955" xr:uid="{00000000-0005-0000-0000-00001F500000}"/>
    <cellStyle name="Huomautus 41_DataIX" xfId="32456" xr:uid="{00000000-0005-0000-0000-000020500000}"/>
    <cellStyle name="Huomautus 42" xfId="26332" xr:uid="{00000000-0005-0000-0000-000021500000}"/>
    <cellStyle name="Huomautus 42 2" xfId="27433" xr:uid="{00000000-0005-0000-0000-000022500000}"/>
    <cellStyle name="Huomautus 42 3" xfId="27596" xr:uid="{00000000-0005-0000-0000-000023500000}"/>
    <cellStyle name="Huomautus 42_DataIX" xfId="32457" xr:uid="{00000000-0005-0000-0000-000024500000}"/>
    <cellStyle name="Huomautus 43" xfId="25321" xr:uid="{00000000-0005-0000-0000-000025500000}"/>
    <cellStyle name="Huomautus 43 2" xfId="27048" xr:uid="{00000000-0005-0000-0000-000026500000}"/>
    <cellStyle name="Huomautus 43 3" xfId="26870" xr:uid="{00000000-0005-0000-0000-000027500000}"/>
    <cellStyle name="Huomautus 43_DataIX" xfId="32458" xr:uid="{00000000-0005-0000-0000-000028500000}"/>
    <cellStyle name="Huomautus 44" xfId="26626" xr:uid="{00000000-0005-0000-0000-000029500000}"/>
    <cellStyle name="Huomautus 44 2" xfId="27556" xr:uid="{00000000-0005-0000-0000-00002A500000}"/>
    <cellStyle name="Huomautus 44 3" xfId="27164" xr:uid="{00000000-0005-0000-0000-00002B500000}"/>
    <cellStyle name="Huomautus 44_DataIX" xfId="32459" xr:uid="{00000000-0005-0000-0000-00002C500000}"/>
    <cellStyle name="Huomautus 45" xfId="25921" xr:uid="{00000000-0005-0000-0000-00002D500000}"/>
    <cellStyle name="Huomautus 45 2" xfId="27267" xr:uid="{00000000-0005-0000-0000-00002E500000}"/>
    <cellStyle name="Huomautus 45 3" xfId="26773" xr:uid="{00000000-0005-0000-0000-00002F500000}"/>
    <cellStyle name="Huomautus 45_DataIX" xfId="32460" xr:uid="{00000000-0005-0000-0000-000030500000}"/>
    <cellStyle name="Huomautus 46" xfId="22725" xr:uid="{00000000-0005-0000-0000-000031500000}"/>
    <cellStyle name="Huomautus 47" xfId="22769" xr:uid="{00000000-0005-0000-0000-000032500000}"/>
    <cellStyle name="Huomautus 48" xfId="26832" xr:uid="{00000000-0005-0000-0000-000033500000}"/>
    <cellStyle name="Huomautus 49" xfId="22759" xr:uid="{00000000-0005-0000-0000-000034500000}"/>
    <cellStyle name="Huomautus 5" xfId="199" xr:uid="{00000000-0005-0000-0000-000035500000}"/>
    <cellStyle name="Huomautus 5 10" xfId="13223" xr:uid="{00000000-0005-0000-0000-000036500000}"/>
    <cellStyle name="Huomautus 5 10 2" xfId="20833" xr:uid="{00000000-0005-0000-0000-000037500000}"/>
    <cellStyle name="Huomautus 5 10 2 2" xfId="22142" xr:uid="{00000000-0005-0000-0000-000038500000}"/>
    <cellStyle name="Huomautus 5 10 2 3" xfId="21539" xr:uid="{00000000-0005-0000-0000-000039500000}"/>
    <cellStyle name="Huomautus 5 10 2_DataIX" xfId="32462" xr:uid="{00000000-0005-0000-0000-00003A500000}"/>
    <cellStyle name="Huomautus 5 10 3" xfId="21209" xr:uid="{00000000-0005-0000-0000-00003B500000}"/>
    <cellStyle name="Huomautus 5 10 3 2" xfId="21441" xr:uid="{00000000-0005-0000-0000-00003C500000}"/>
    <cellStyle name="Huomautus 5 10 3_DataIX" xfId="32463" xr:uid="{00000000-0005-0000-0000-00003D500000}"/>
    <cellStyle name="Huomautus 5 10 4" xfId="21454" xr:uid="{00000000-0005-0000-0000-00003E500000}"/>
    <cellStyle name="Huomautus 5 10 5" xfId="27182" xr:uid="{00000000-0005-0000-0000-00003F500000}"/>
    <cellStyle name="Huomautus 5 10 6" xfId="22923" xr:uid="{00000000-0005-0000-0000-000040500000}"/>
    <cellStyle name="Huomautus 5 10_DataIX" xfId="32461" xr:uid="{00000000-0005-0000-0000-000041500000}"/>
    <cellStyle name="Huomautus 5 11" xfId="13244" xr:uid="{00000000-0005-0000-0000-000042500000}"/>
    <cellStyle name="Huomautus 5 11 2" xfId="21228" xr:uid="{00000000-0005-0000-0000-000043500000}"/>
    <cellStyle name="Huomautus 5 11 2 2" xfId="21874" xr:uid="{00000000-0005-0000-0000-000044500000}"/>
    <cellStyle name="Huomautus 5 11 2_DataIX" xfId="32465" xr:uid="{00000000-0005-0000-0000-000045500000}"/>
    <cellStyle name="Huomautus 5 11 3" xfId="10988" xr:uid="{00000000-0005-0000-0000-000046500000}"/>
    <cellStyle name="Huomautus 5 11 4" xfId="27055" xr:uid="{00000000-0005-0000-0000-000047500000}"/>
    <cellStyle name="Huomautus 5 11 5" xfId="27581" xr:uid="{00000000-0005-0000-0000-000048500000}"/>
    <cellStyle name="Huomautus 5 11_DataIX" xfId="32464" xr:uid="{00000000-0005-0000-0000-000049500000}"/>
    <cellStyle name="Huomautus 5 12" xfId="10701" xr:uid="{00000000-0005-0000-0000-00004A500000}"/>
    <cellStyle name="Huomautus 5 12 2" xfId="21018" xr:uid="{00000000-0005-0000-0000-00004B500000}"/>
    <cellStyle name="Huomautus 5 12 2 2" xfId="22219" xr:uid="{00000000-0005-0000-0000-00004C500000}"/>
    <cellStyle name="Huomautus 5 12 2_DataIX" xfId="32467" xr:uid="{00000000-0005-0000-0000-00004D500000}"/>
    <cellStyle name="Huomautus 5 12 3" xfId="22049" xr:uid="{00000000-0005-0000-0000-00004E500000}"/>
    <cellStyle name="Huomautus 5 12_DataIX" xfId="32466" xr:uid="{00000000-0005-0000-0000-00004F500000}"/>
    <cellStyle name="Huomautus 5 13" xfId="20828" xr:uid="{00000000-0005-0000-0000-000050500000}"/>
    <cellStyle name="Huomautus 5 13 2" xfId="10940" xr:uid="{00000000-0005-0000-0000-000051500000}"/>
    <cellStyle name="Huomautus 5 13_DataIX" xfId="32468" xr:uid="{00000000-0005-0000-0000-000052500000}"/>
    <cellStyle name="Huomautus 5 14" xfId="18813" xr:uid="{00000000-0005-0000-0000-000053500000}"/>
    <cellStyle name="Huomautus 5 15" xfId="22317" xr:uid="{00000000-0005-0000-0000-000054500000}"/>
    <cellStyle name="Huomautus 5 16" xfId="22590" xr:uid="{00000000-0005-0000-0000-000055500000}"/>
    <cellStyle name="Huomautus 5 17" xfId="22507" xr:uid="{00000000-0005-0000-0000-000056500000}"/>
    <cellStyle name="Huomautus 5 18" xfId="22398" xr:uid="{00000000-0005-0000-0000-000057500000}"/>
    <cellStyle name="Huomautus 5 19" xfId="27893" xr:uid="{00000000-0005-0000-0000-000058500000}"/>
    <cellStyle name="Huomautus 5 2" xfId="291" xr:uid="{00000000-0005-0000-0000-000059500000}"/>
    <cellStyle name="Huomautus 5 2 10" xfId="10702" xr:uid="{00000000-0005-0000-0000-00005A500000}"/>
    <cellStyle name="Huomautus 5 2 10 2" xfId="21019" xr:uid="{00000000-0005-0000-0000-00005B500000}"/>
    <cellStyle name="Huomautus 5 2 10 2 2" xfId="10796" xr:uid="{00000000-0005-0000-0000-00005C500000}"/>
    <cellStyle name="Huomautus 5 2 10 2_DataIX" xfId="32470" xr:uid="{00000000-0005-0000-0000-00005D500000}"/>
    <cellStyle name="Huomautus 5 2 10 3" xfId="21798" xr:uid="{00000000-0005-0000-0000-00005E500000}"/>
    <cellStyle name="Huomautus 5 2 10 4" xfId="27398" xr:uid="{00000000-0005-0000-0000-00005F500000}"/>
    <cellStyle name="Huomautus 5 2 10 5" xfId="23041" xr:uid="{00000000-0005-0000-0000-000060500000}"/>
    <cellStyle name="Huomautus 5 2 10_DataIX" xfId="32469" xr:uid="{00000000-0005-0000-0000-000061500000}"/>
    <cellStyle name="Huomautus 5 2 11" xfId="13861" xr:uid="{00000000-0005-0000-0000-000062500000}"/>
    <cellStyle name="Huomautus 5 2 11 2" xfId="11276" xr:uid="{00000000-0005-0000-0000-000063500000}"/>
    <cellStyle name="Huomautus 5 2 11 3" xfId="12566" xr:uid="{00000000-0005-0000-0000-000064500000}"/>
    <cellStyle name="Huomautus 5 2 11 4" xfId="27312" xr:uid="{00000000-0005-0000-0000-000065500000}"/>
    <cellStyle name="Huomautus 5 2 11 5" xfId="22810" xr:uid="{00000000-0005-0000-0000-000066500000}"/>
    <cellStyle name="Huomautus 5 2 11_DataIX" xfId="32471" xr:uid="{00000000-0005-0000-0000-000067500000}"/>
    <cellStyle name="Huomautus 5 2 12" xfId="20818" xr:uid="{00000000-0005-0000-0000-000068500000}"/>
    <cellStyle name="Huomautus 5 2 12 2" xfId="12762" xr:uid="{00000000-0005-0000-0000-000069500000}"/>
    <cellStyle name="Huomautus 5 2 12_DataIX" xfId="32472" xr:uid="{00000000-0005-0000-0000-00006A500000}"/>
    <cellStyle name="Huomautus 5 2 13" xfId="11120" xr:uid="{00000000-0005-0000-0000-00006B500000}"/>
    <cellStyle name="Huomautus 5 2 14" xfId="22318" xr:uid="{00000000-0005-0000-0000-00006C500000}"/>
    <cellStyle name="Huomautus 5 2 15" xfId="22589" xr:uid="{00000000-0005-0000-0000-00006D500000}"/>
    <cellStyle name="Huomautus 5 2 16" xfId="22506" xr:uid="{00000000-0005-0000-0000-00006E500000}"/>
    <cellStyle name="Huomautus 5 2 17" xfId="22625" xr:uid="{00000000-0005-0000-0000-00006F500000}"/>
    <cellStyle name="Huomautus 5 2 18" xfId="27894" xr:uid="{00000000-0005-0000-0000-000070500000}"/>
    <cellStyle name="Huomautus 5 2 19" xfId="28054" xr:uid="{00000000-0005-0000-0000-000071500000}"/>
    <cellStyle name="Huomautus 5 2 2" xfId="3825" xr:uid="{00000000-0005-0000-0000-000072500000}"/>
    <cellStyle name="Huomautus 5 2 2 2" xfId="3826" xr:uid="{00000000-0005-0000-0000-000073500000}"/>
    <cellStyle name="Huomautus 5 2 2 2 2" xfId="9036" xr:uid="{00000000-0005-0000-0000-000074500000}"/>
    <cellStyle name="Huomautus 5 2 2 2 3" xfId="17177" xr:uid="{00000000-0005-0000-0000-000075500000}"/>
    <cellStyle name="Huomautus 5 2 2 2_DataIX" xfId="32474" xr:uid="{00000000-0005-0000-0000-000076500000}"/>
    <cellStyle name="Huomautus 5 2 2 3" xfId="9035" xr:uid="{00000000-0005-0000-0000-000077500000}"/>
    <cellStyle name="Huomautus 5 2 2 4" xfId="17176" xr:uid="{00000000-0005-0000-0000-000078500000}"/>
    <cellStyle name="Huomautus 5 2 2_DataIX" xfId="32473" xr:uid="{00000000-0005-0000-0000-000079500000}"/>
    <cellStyle name="Huomautus 5 2 20" xfId="28225" xr:uid="{00000000-0005-0000-0000-00007A500000}"/>
    <cellStyle name="Huomautus 5 2 21" xfId="28416" xr:uid="{00000000-0005-0000-0000-00007B500000}"/>
    <cellStyle name="Huomautus 5 2 22" xfId="28486" xr:uid="{00000000-0005-0000-0000-00007C500000}"/>
    <cellStyle name="Huomautus 5 2 23" xfId="28431" xr:uid="{00000000-0005-0000-0000-00007D500000}"/>
    <cellStyle name="Huomautus 5 2 24" xfId="28805" xr:uid="{00000000-0005-0000-0000-00007E500000}"/>
    <cellStyle name="Huomautus 5 2 25" xfId="28944" xr:uid="{00000000-0005-0000-0000-00007F500000}"/>
    <cellStyle name="Huomautus 5 2 26" xfId="28714" xr:uid="{00000000-0005-0000-0000-000080500000}"/>
    <cellStyle name="Huomautus 5 2 27" xfId="28862" xr:uid="{00000000-0005-0000-0000-000081500000}"/>
    <cellStyle name="Huomautus 5 2 28" xfId="29029" xr:uid="{00000000-0005-0000-0000-000082500000}"/>
    <cellStyle name="Huomautus 5 2 29" xfId="29178" xr:uid="{00000000-0005-0000-0000-000083500000}"/>
    <cellStyle name="Huomautus 5 2 3" xfId="3827" xr:uid="{00000000-0005-0000-0000-000084500000}"/>
    <cellStyle name="Huomautus 5 2 3 2" xfId="9037" xr:uid="{00000000-0005-0000-0000-000085500000}"/>
    <cellStyle name="Huomautus 5 2 3 3" xfId="17178" xr:uid="{00000000-0005-0000-0000-000086500000}"/>
    <cellStyle name="Huomautus 5 2 3_DataIX" xfId="32475" xr:uid="{00000000-0005-0000-0000-000087500000}"/>
    <cellStyle name="Huomautus 5 2 4" xfId="3824" xr:uid="{00000000-0005-0000-0000-000088500000}"/>
    <cellStyle name="Huomautus 5 2 4 2" xfId="9038" xr:uid="{00000000-0005-0000-0000-000089500000}"/>
    <cellStyle name="Huomautus 5 2 4 3" xfId="17175" xr:uid="{00000000-0005-0000-0000-00008A500000}"/>
    <cellStyle name="Huomautus 5 2 4_DataIX" xfId="32476" xr:uid="{00000000-0005-0000-0000-00008B500000}"/>
    <cellStyle name="Huomautus 5 2 5" xfId="5255" xr:uid="{00000000-0005-0000-0000-00008C500000}"/>
    <cellStyle name="Huomautus 5 2 5 2" xfId="9039" xr:uid="{00000000-0005-0000-0000-00008D500000}"/>
    <cellStyle name="Huomautus 5 2 5 3" xfId="18585" xr:uid="{00000000-0005-0000-0000-00008E500000}"/>
    <cellStyle name="Huomautus 5 2 5 3 2" xfId="21623" xr:uid="{00000000-0005-0000-0000-00008F500000}"/>
    <cellStyle name="Huomautus 5 2 5 3 3" xfId="11085" xr:uid="{00000000-0005-0000-0000-000090500000}"/>
    <cellStyle name="Huomautus 5 2 5 3_DataIX" xfId="32478" xr:uid="{00000000-0005-0000-0000-000091500000}"/>
    <cellStyle name="Huomautus 5 2 5 4" xfId="20510" xr:uid="{00000000-0005-0000-0000-000092500000}"/>
    <cellStyle name="Huomautus 5 2 5 4 2" xfId="22115" xr:uid="{00000000-0005-0000-0000-000093500000}"/>
    <cellStyle name="Huomautus 5 2 5 4_DataIX" xfId="32479" xr:uid="{00000000-0005-0000-0000-000094500000}"/>
    <cellStyle name="Huomautus 5 2 5_DataIX" xfId="32477" xr:uid="{00000000-0005-0000-0000-000095500000}"/>
    <cellStyle name="Huomautus 5 2 6" xfId="5340" xr:uid="{00000000-0005-0000-0000-000096500000}"/>
    <cellStyle name="Huomautus 5 2 6 2" xfId="12595" xr:uid="{00000000-0005-0000-0000-000097500000}"/>
    <cellStyle name="Huomautus 5 2 6 3" xfId="18664" xr:uid="{00000000-0005-0000-0000-000098500000}"/>
    <cellStyle name="Huomautus 5 2 6 3 2" xfId="21652" xr:uid="{00000000-0005-0000-0000-000099500000}"/>
    <cellStyle name="Huomautus 5 2 6 3 3" xfId="22208" xr:uid="{00000000-0005-0000-0000-00009A500000}"/>
    <cellStyle name="Huomautus 5 2 6 3_DataIX" xfId="32481" xr:uid="{00000000-0005-0000-0000-00009B500000}"/>
    <cellStyle name="Huomautus 5 2 6 4" xfId="19006" xr:uid="{00000000-0005-0000-0000-00009C500000}"/>
    <cellStyle name="Huomautus 5 2 6 4 2" xfId="13497" xr:uid="{00000000-0005-0000-0000-00009D500000}"/>
    <cellStyle name="Huomautus 5 2 6 4_DataIX" xfId="32482" xr:uid="{00000000-0005-0000-0000-00009E500000}"/>
    <cellStyle name="Huomautus 5 2 6_DataIX" xfId="32480" xr:uid="{00000000-0005-0000-0000-00009F500000}"/>
    <cellStyle name="Huomautus 5 2 7" xfId="13390" xr:uid="{00000000-0005-0000-0000-0000A0500000}"/>
    <cellStyle name="Huomautus 5 2 7 2" xfId="20948" xr:uid="{00000000-0005-0000-0000-0000A1500000}"/>
    <cellStyle name="Huomautus 5 2 7 2 2" xfId="22186" xr:uid="{00000000-0005-0000-0000-0000A2500000}"/>
    <cellStyle name="Huomautus 5 2 7 2 3" xfId="22058" xr:uid="{00000000-0005-0000-0000-0000A3500000}"/>
    <cellStyle name="Huomautus 5 2 7 2_DataIX" xfId="32484" xr:uid="{00000000-0005-0000-0000-0000A4500000}"/>
    <cellStyle name="Huomautus 5 2 7 3" xfId="21345" xr:uid="{00000000-0005-0000-0000-0000A5500000}"/>
    <cellStyle name="Huomautus 5 2 7 3 2" xfId="10954" xr:uid="{00000000-0005-0000-0000-0000A6500000}"/>
    <cellStyle name="Huomautus 5 2 7 3_DataIX" xfId="32485" xr:uid="{00000000-0005-0000-0000-0000A7500000}"/>
    <cellStyle name="Huomautus 5 2 7 4" xfId="13019" xr:uid="{00000000-0005-0000-0000-0000A8500000}"/>
    <cellStyle name="Huomautus 5 2 7 5" xfId="26949" xr:uid="{00000000-0005-0000-0000-0000A9500000}"/>
    <cellStyle name="Huomautus 5 2 7 6" xfId="26896" xr:uid="{00000000-0005-0000-0000-0000AA500000}"/>
    <cellStyle name="Huomautus 5 2 7_DataIX" xfId="32483" xr:uid="{00000000-0005-0000-0000-0000AB500000}"/>
    <cellStyle name="Huomautus 5 2 8" xfId="13168" xr:uid="{00000000-0005-0000-0000-0000AC500000}"/>
    <cellStyle name="Huomautus 5 2 8 2" xfId="20799" xr:uid="{00000000-0005-0000-0000-0000AD500000}"/>
    <cellStyle name="Huomautus 5 2 8 2 2" xfId="22131" xr:uid="{00000000-0005-0000-0000-0000AE500000}"/>
    <cellStyle name="Huomautus 5 2 8 2 3" xfId="12567" xr:uid="{00000000-0005-0000-0000-0000AF500000}"/>
    <cellStyle name="Huomautus 5 2 8 2_DataIX" xfId="32487" xr:uid="{00000000-0005-0000-0000-0000B0500000}"/>
    <cellStyle name="Huomautus 5 2 8 3" xfId="21168" xr:uid="{00000000-0005-0000-0000-0000B1500000}"/>
    <cellStyle name="Huomautus 5 2 8 3 2" xfId="13408" xr:uid="{00000000-0005-0000-0000-0000B2500000}"/>
    <cellStyle name="Huomautus 5 2 8 3_DataIX" xfId="32488" xr:uid="{00000000-0005-0000-0000-0000B3500000}"/>
    <cellStyle name="Huomautus 5 2 8 4" xfId="13584" xr:uid="{00000000-0005-0000-0000-0000B4500000}"/>
    <cellStyle name="Huomautus 5 2 8 5" xfId="27360" xr:uid="{00000000-0005-0000-0000-0000B5500000}"/>
    <cellStyle name="Huomautus 5 2 8 6" xfId="22907" xr:uid="{00000000-0005-0000-0000-0000B6500000}"/>
    <cellStyle name="Huomautus 5 2 8_DataIX" xfId="32486" xr:uid="{00000000-0005-0000-0000-0000B7500000}"/>
    <cellStyle name="Huomautus 5 2 9" xfId="13150" xr:uid="{00000000-0005-0000-0000-0000B8500000}"/>
    <cellStyle name="Huomautus 5 2 9 2" xfId="21155" xr:uid="{00000000-0005-0000-0000-0000B9500000}"/>
    <cellStyle name="Huomautus 5 2 9 2 2" xfId="11303" xr:uid="{00000000-0005-0000-0000-0000BA500000}"/>
    <cellStyle name="Huomautus 5 2 9 2_DataIX" xfId="32490" xr:uid="{00000000-0005-0000-0000-0000BB500000}"/>
    <cellStyle name="Huomautus 5 2 9 3" xfId="21452" xr:uid="{00000000-0005-0000-0000-0000BC500000}"/>
    <cellStyle name="Huomautus 5 2 9 4" xfId="27134" xr:uid="{00000000-0005-0000-0000-0000BD500000}"/>
    <cellStyle name="Huomautus 5 2 9 5" xfId="22905" xr:uid="{00000000-0005-0000-0000-0000BE500000}"/>
    <cellStyle name="Huomautus 5 2 9_DataIX" xfId="32489" xr:uid="{00000000-0005-0000-0000-0000BF500000}"/>
    <cellStyle name="Huomautus 5 2_##Keskeiset" xfId="9034" xr:uid="{00000000-0005-0000-0000-0000C0500000}"/>
    <cellStyle name="Huomautus 5 20" xfId="28055" xr:uid="{00000000-0005-0000-0000-0000C1500000}"/>
    <cellStyle name="Huomautus 5 21" xfId="28224" xr:uid="{00000000-0005-0000-0000-0000C2500000}"/>
    <cellStyle name="Huomautus 5 22" xfId="28417" xr:uid="{00000000-0005-0000-0000-0000C3500000}"/>
    <cellStyle name="Huomautus 5 23" xfId="28487" xr:uid="{00000000-0005-0000-0000-0000C4500000}"/>
    <cellStyle name="Huomautus 5 24" xfId="28352" xr:uid="{00000000-0005-0000-0000-0000C5500000}"/>
    <cellStyle name="Huomautus 5 25" xfId="28633" xr:uid="{00000000-0005-0000-0000-0000C6500000}"/>
    <cellStyle name="Huomautus 5 26" xfId="28946" xr:uid="{00000000-0005-0000-0000-0000C7500000}"/>
    <cellStyle name="Huomautus 5 27" xfId="28715" xr:uid="{00000000-0005-0000-0000-0000C8500000}"/>
    <cellStyle name="Huomautus 5 28" xfId="28863" xr:uid="{00000000-0005-0000-0000-0000C9500000}"/>
    <cellStyle name="Huomautus 5 29" xfId="29028" xr:uid="{00000000-0005-0000-0000-0000CA500000}"/>
    <cellStyle name="Huomautus 5 3" xfId="3828" xr:uid="{00000000-0005-0000-0000-0000CB500000}"/>
    <cellStyle name="Huomautus 5 3 2" xfId="3829" xr:uid="{00000000-0005-0000-0000-0000CC500000}"/>
    <cellStyle name="Huomautus 5 3 2 2" xfId="9041" xr:uid="{00000000-0005-0000-0000-0000CD500000}"/>
    <cellStyle name="Huomautus 5 3 2 3" xfId="17180" xr:uid="{00000000-0005-0000-0000-0000CE500000}"/>
    <cellStyle name="Huomautus 5 3 2_DataIX" xfId="32491" xr:uid="{00000000-0005-0000-0000-0000CF500000}"/>
    <cellStyle name="Huomautus 5 3 3" xfId="5605" xr:uid="{00000000-0005-0000-0000-0000D0500000}"/>
    <cellStyle name="Huomautus 5 3 3 2" xfId="12596" xr:uid="{00000000-0005-0000-0000-0000D1500000}"/>
    <cellStyle name="Huomautus 5 3 3 3" xfId="18824" xr:uid="{00000000-0005-0000-0000-0000D2500000}"/>
    <cellStyle name="Huomautus 5 3 3 3 2" xfId="21705" xr:uid="{00000000-0005-0000-0000-0000D3500000}"/>
    <cellStyle name="Huomautus 5 3 3 3 3" xfId="22140" xr:uid="{00000000-0005-0000-0000-0000D4500000}"/>
    <cellStyle name="Huomautus 5 3 3 3_DataIX" xfId="32493" xr:uid="{00000000-0005-0000-0000-0000D5500000}"/>
    <cellStyle name="Huomautus 5 3 3 4" xfId="18970" xr:uid="{00000000-0005-0000-0000-0000D6500000}"/>
    <cellStyle name="Huomautus 5 3 3 4 2" xfId="21970" xr:uid="{00000000-0005-0000-0000-0000D7500000}"/>
    <cellStyle name="Huomautus 5 3 3 4_DataIX" xfId="32494" xr:uid="{00000000-0005-0000-0000-0000D8500000}"/>
    <cellStyle name="Huomautus 5 3 3_DataIX" xfId="32492" xr:uid="{00000000-0005-0000-0000-0000D9500000}"/>
    <cellStyle name="Huomautus 5 3 4" xfId="17179" xr:uid="{00000000-0005-0000-0000-0000DA500000}"/>
    <cellStyle name="Huomautus 5 3_##Keskeiset" xfId="9040" xr:uid="{00000000-0005-0000-0000-0000DB500000}"/>
    <cellStyle name="Huomautus 5 30" xfId="29179" xr:uid="{00000000-0005-0000-0000-0000DC500000}"/>
    <cellStyle name="Huomautus 5 4" xfId="3830" xr:uid="{00000000-0005-0000-0000-0000DD500000}"/>
    <cellStyle name="Huomautus 5 4 2" xfId="5606" xr:uid="{00000000-0005-0000-0000-0000DE500000}"/>
    <cellStyle name="Huomautus 5 4 2 2" xfId="12597" xr:uid="{00000000-0005-0000-0000-0000DF500000}"/>
    <cellStyle name="Huomautus 5 4 2 3" xfId="18825" xr:uid="{00000000-0005-0000-0000-0000E0500000}"/>
    <cellStyle name="Huomautus 5 4 2 3 2" xfId="21706" xr:uid="{00000000-0005-0000-0000-0000E1500000}"/>
    <cellStyle name="Huomautus 5 4 2 3 3" xfId="21877" xr:uid="{00000000-0005-0000-0000-0000E2500000}"/>
    <cellStyle name="Huomautus 5 4 2 3_DataIX" xfId="32497" xr:uid="{00000000-0005-0000-0000-0000E3500000}"/>
    <cellStyle name="Huomautus 5 4 2 4" xfId="20453" xr:uid="{00000000-0005-0000-0000-0000E4500000}"/>
    <cellStyle name="Huomautus 5 4 2 4 2" xfId="10961" xr:uid="{00000000-0005-0000-0000-0000E5500000}"/>
    <cellStyle name="Huomautus 5 4 2 4_DataIX" xfId="32498" xr:uid="{00000000-0005-0000-0000-0000E6500000}"/>
    <cellStyle name="Huomautus 5 4 2_DataIX" xfId="32496" xr:uid="{00000000-0005-0000-0000-0000E7500000}"/>
    <cellStyle name="Huomautus 5 4 3" xfId="11023" xr:uid="{00000000-0005-0000-0000-0000E8500000}"/>
    <cellStyle name="Huomautus 5 4 4" xfId="17181" xr:uid="{00000000-0005-0000-0000-0000E9500000}"/>
    <cellStyle name="Huomautus 5 4_DataIX" xfId="32495" xr:uid="{00000000-0005-0000-0000-0000EA500000}"/>
    <cellStyle name="Huomautus 5 5" xfId="3831" xr:uid="{00000000-0005-0000-0000-0000EB500000}"/>
    <cellStyle name="Huomautus 5 5 2" xfId="9042" xr:uid="{00000000-0005-0000-0000-0000EC500000}"/>
    <cellStyle name="Huomautus 5 5 3" xfId="17182" xr:uid="{00000000-0005-0000-0000-0000ED500000}"/>
    <cellStyle name="Huomautus 5 5_DataIX" xfId="32499" xr:uid="{00000000-0005-0000-0000-0000EE500000}"/>
    <cellStyle name="Huomautus 5 6" xfId="3823" xr:uid="{00000000-0005-0000-0000-0000EF500000}"/>
    <cellStyle name="Huomautus 5 6 2" xfId="9043" xr:uid="{00000000-0005-0000-0000-0000F0500000}"/>
    <cellStyle name="Huomautus 5 6 3" xfId="17174" xr:uid="{00000000-0005-0000-0000-0000F1500000}"/>
    <cellStyle name="Huomautus 5 6_DataIX" xfId="32500" xr:uid="{00000000-0005-0000-0000-0000F2500000}"/>
    <cellStyle name="Huomautus 5 7" xfId="5256" xr:uid="{00000000-0005-0000-0000-0000F3500000}"/>
    <cellStyle name="Huomautus 5 7 2" xfId="9044" xr:uid="{00000000-0005-0000-0000-0000F4500000}"/>
    <cellStyle name="Huomautus 5 7 3" xfId="18586" xr:uid="{00000000-0005-0000-0000-0000F5500000}"/>
    <cellStyle name="Huomautus 5 7 3 2" xfId="21624" xr:uid="{00000000-0005-0000-0000-0000F6500000}"/>
    <cellStyle name="Huomautus 5 7 3 3" xfId="21775" xr:uid="{00000000-0005-0000-0000-0000F7500000}"/>
    <cellStyle name="Huomautus 5 7 3_DataIX" xfId="32502" xr:uid="{00000000-0005-0000-0000-0000F8500000}"/>
    <cellStyle name="Huomautus 5 7 4" xfId="19030" xr:uid="{00000000-0005-0000-0000-0000F9500000}"/>
    <cellStyle name="Huomautus 5 7 4 2" xfId="11226" xr:uid="{00000000-0005-0000-0000-0000FA500000}"/>
    <cellStyle name="Huomautus 5 7 4_DataIX" xfId="32503" xr:uid="{00000000-0005-0000-0000-0000FB500000}"/>
    <cellStyle name="Huomautus 5 7_DataIX" xfId="32501" xr:uid="{00000000-0005-0000-0000-0000FC500000}"/>
    <cellStyle name="Huomautus 5 8" xfId="5339" xr:uid="{00000000-0005-0000-0000-0000FD500000}"/>
    <cellStyle name="Huomautus 5 8 2" xfId="12598" xr:uid="{00000000-0005-0000-0000-0000FE500000}"/>
    <cellStyle name="Huomautus 5 8 3" xfId="18663" xr:uid="{00000000-0005-0000-0000-0000FF500000}"/>
    <cellStyle name="Huomautus 5 8 3 2" xfId="21651" xr:uid="{00000000-0005-0000-0000-000000510000}"/>
    <cellStyle name="Huomautus 5 8 3 3" xfId="22079" xr:uid="{00000000-0005-0000-0000-000001510000}"/>
    <cellStyle name="Huomautus 5 8 3_DataIX" xfId="32505" xr:uid="{00000000-0005-0000-0000-000002510000}"/>
    <cellStyle name="Huomautus 5 8 4" xfId="20486" xr:uid="{00000000-0005-0000-0000-000003510000}"/>
    <cellStyle name="Huomautus 5 8 4 2" xfId="10797" xr:uid="{00000000-0005-0000-0000-000004510000}"/>
    <cellStyle name="Huomautus 5 8 4_DataIX" xfId="32506" xr:uid="{00000000-0005-0000-0000-000005510000}"/>
    <cellStyle name="Huomautus 5 8_DataIX" xfId="32504" xr:uid="{00000000-0005-0000-0000-000006510000}"/>
    <cellStyle name="Huomautus 5 9" xfId="13189" xr:uid="{00000000-0005-0000-0000-000007510000}"/>
    <cellStyle name="Huomautus 5 9 2" xfId="20814" xr:uid="{00000000-0005-0000-0000-000008510000}"/>
    <cellStyle name="Huomautus 5 9 2 2" xfId="22136" xr:uid="{00000000-0005-0000-0000-000009510000}"/>
    <cellStyle name="Huomautus 5 9 2 3" xfId="13445" xr:uid="{00000000-0005-0000-0000-00000A510000}"/>
    <cellStyle name="Huomautus 5 9 2_DataIX" xfId="32508" xr:uid="{00000000-0005-0000-0000-00000B510000}"/>
    <cellStyle name="Huomautus 5 9 3" xfId="21187" xr:uid="{00000000-0005-0000-0000-00000C510000}"/>
    <cellStyle name="Huomautus 5 9 3 2" xfId="20732" xr:uid="{00000000-0005-0000-0000-00000D510000}"/>
    <cellStyle name="Huomautus 5 9 3_DataIX" xfId="32509" xr:uid="{00000000-0005-0000-0000-00000E510000}"/>
    <cellStyle name="Huomautus 5 9 4" xfId="20614" xr:uid="{00000000-0005-0000-0000-00000F510000}"/>
    <cellStyle name="Huomautus 5 9 5" xfId="26948" xr:uid="{00000000-0005-0000-0000-000010510000}"/>
    <cellStyle name="Huomautus 5 9 6" xfId="26848" xr:uid="{00000000-0005-0000-0000-000011510000}"/>
    <cellStyle name="Huomautus 5 9_DataIX" xfId="32507" xr:uid="{00000000-0005-0000-0000-000012510000}"/>
    <cellStyle name="Huomautus 5_##Keskeiset" xfId="9033" xr:uid="{00000000-0005-0000-0000-000013510000}"/>
    <cellStyle name="Huomautus 50" xfId="27632" xr:uid="{00000000-0005-0000-0000-000014510000}"/>
    <cellStyle name="Huomautus 51" xfId="27728" xr:uid="{00000000-0005-0000-0000-000015510000}"/>
    <cellStyle name="Huomautus 52" xfId="27801" xr:uid="{00000000-0005-0000-0000-000016510000}"/>
    <cellStyle name="Huomautus 53" xfId="28126" xr:uid="{00000000-0005-0000-0000-000017510000}"/>
    <cellStyle name="Huomautus 54" xfId="28183" xr:uid="{00000000-0005-0000-0000-000018510000}"/>
    <cellStyle name="Huomautus 6" xfId="3832" xr:uid="{00000000-0005-0000-0000-000019510000}"/>
    <cellStyle name="Huomautus 6 2" xfId="3833" xr:uid="{00000000-0005-0000-0000-00001A510000}"/>
    <cellStyle name="Huomautus 6 2 2" xfId="3834" xr:uid="{00000000-0005-0000-0000-00001B510000}"/>
    <cellStyle name="Huomautus 6 2 2 2" xfId="3835" xr:uid="{00000000-0005-0000-0000-00001C510000}"/>
    <cellStyle name="Huomautus 6 2 2 2 2" xfId="9048" xr:uid="{00000000-0005-0000-0000-00001D510000}"/>
    <cellStyle name="Huomautus 6 2 2 2 3" xfId="17186" xr:uid="{00000000-0005-0000-0000-00001E510000}"/>
    <cellStyle name="Huomautus 6 2 2 2_DataIX" xfId="32512" xr:uid="{00000000-0005-0000-0000-00001F510000}"/>
    <cellStyle name="Huomautus 6 2 2 3" xfId="9047" xr:uid="{00000000-0005-0000-0000-000020510000}"/>
    <cellStyle name="Huomautus 6 2 2 4" xfId="17185" xr:uid="{00000000-0005-0000-0000-000021510000}"/>
    <cellStyle name="Huomautus 6 2 2_DataIX" xfId="32511" xr:uid="{00000000-0005-0000-0000-000022510000}"/>
    <cellStyle name="Huomautus 6 2 3" xfId="3836" xr:uid="{00000000-0005-0000-0000-000023510000}"/>
    <cellStyle name="Huomautus 6 2 3 2" xfId="9049" xr:uid="{00000000-0005-0000-0000-000024510000}"/>
    <cellStyle name="Huomautus 6 2 3 3" xfId="17187" xr:uid="{00000000-0005-0000-0000-000025510000}"/>
    <cellStyle name="Huomautus 6 2 3_DataIX" xfId="32513" xr:uid="{00000000-0005-0000-0000-000026510000}"/>
    <cellStyle name="Huomautus 6 2 4" xfId="9046" xr:uid="{00000000-0005-0000-0000-000027510000}"/>
    <cellStyle name="Huomautus 6 2 5" xfId="17184" xr:uid="{00000000-0005-0000-0000-000028510000}"/>
    <cellStyle name="Huomautus 6 2_DataIX" xfId="32510" xr:uid="{00000000-0005-0000-0000-000029510000}"/>
    <cellStyle name="Huomautus 6 3" xfId="3837" xr:uid="{00000000-0005-0000-0000-00002A510000}"/>
    <cellStyle name="Huomautus 6 3 2" xfId="3838" xr:uid="{00000000-0005-0000-0000-00002B510000}"/>
    <cellStyle name="Huomautus 6 3 2 2" xfId="9051" xr:uid="{00000000-0005-0000-0000-00002C510000}"/>
    <cellStyle name="Huomautus 6 3 2 3" xfId="17189" xr:uid="{00000000-0005-0000-0000-00002D510000}"/>
    <cellStyle name="Huomautus 6 3 2_DataIX" xfId="32515" xr:uid="{00000000-0005-0000-0000-00002E510000}"/>
    <cellStyle name="Huomautus 6 3 3" xfId="9050" xr:uid="{00000000-0005-0000-0000-00002F510000}"/>
    <cellStyle name="Huomautus 6 3 4" xfId="17188" xr:uid="{00000000-0005-0000-0000-000030510000}"/>
    <cellStyle name="Huomautus 6 3_DataIX" xfId="32514" xr:uid="{00000000-0005-0000-0000-000031510000}"/>
    <cellStyle name="Huomautus 6 4" xfId="3839" xr:uid="{00000000-0005-0000-0000-000032510000}"/>
    <cellStyle name="Huomautus 6 4 2" xfId="9052" xr:uid="{00000000-0005-0000-0000-000033510000}"/>
    <cellStyle name="Huomautus 6 4 3" xfId="17190" xr:uid="{00000000-0005-0000-0000-000034510000}"/>
    <cellStyle name="Huomautus 6 4_DataIX" xfId="32516" xr:uid="{00000000-0005-0000-0000-000035510000}"/>
    <cellStyle name="Huomautus 6 5" xfId="3840" xr:uid="{00000000-0005-0000-0000-000036510000}"/>
    <cellStyle name="Huomautus 6 5 2" xfId="9053" xr:uid="{00000000-0005-0000-0000-000037510000}"/>
    <cellStyle name="Huomautus 6 5 3" xfId="17191" xr:uid="{00000000-0005-0000-0000-000038510000}"/>
    <cellStyle name="Huomautus 6 5_DataIX" xfId="32517" xr:uid="{00000000-0005-0000-0000-000039510000}"/>
    <cellStyle name="Huomautus 6 6" xfId="5607" xr:uid="{00000000-0005-0000-0000-00003A510000}"/>
    <cellStyle name="Huomautus 6 6 2" xfId="12599" xr:uid="{00000000-0005-0000-0000-00003B510000}"/>
    <cellStyle name="Huomautus 6 6 3" xfId="18826" xr:uid="{00000000-0005-0000-0000-00003C510000}"/>
    <cellStyle name="Huomautus 6 6 3 2" xfId="21707" xr:uid="{00000000-0005-0000-0000-00003D510000}"/>
    <cellStyle name="Huomautus 6 6 3 3" xfId="22031" xr:uid="{00000000-0005-0000-0000-00003E510000}"/>
    <cellStyle name="Huomautus 6 6 3_DataIX" xfId="32519" xr:uid="{00000000-0005-0000-0000-00003F510000}"/>
    <cellStyle name="Huomautus 6 6 4" xfId="18972" xr:uid="{00000000-0005-0000-0000-000040510000}"/>
    <cellStyle name="Huomautus 6 6 4 2" xfId="22203" xr:uid="{00000000-0005-0000-0000-000041510000}"/>
    <cellStyle name="Huomautus 6 6 4_DataIX" xfId="32520" xr:uid="{00000000-0005-0000-0000-000042510000}"/>
    <cellStyle name="Huomautus 6 6_DataIX" xfId="32518" xr:uid="{00000000-0005-0000-0000-000043510000}"/>
    <cellStyle name="Huomautus 6 7" xfId="17183" xr:uid="{00000000-0005-0000-0000-000044510000}"/>
    <cellStyle name="Huomautus 6_##Keskeiset" xfId="9045" xr:uid="{00000000-0005-0000-0000-000045510000}"/>
    <cellStyle name="Huomautus 7" xfId="3841" xr:uid="{00000000-0005-0000-0000-000046510000}"/>
    <cellStyle name="Huomautus 7 2" xfId="3842" xr:uid="{00000000-0005-0000-0000-000047510000}"/>
    <cellStyle name="Huomautus 7 2 2" xfId="3843" xr:uid="{00000000-0005-0000-0000-000048510000}"/>
    <cellStyle name="Huomautus 7 2 2 2" xfId="3844" xr:uid="{00000000-0005-0000-0000-000049510000}"/>
    <cellStyle name="Huomautus 7 2 2 2 2" xfId="9057" xr:uid="{00000000-0005-0000-0000-00004A510000}"/>
    <cellStyle name="Huomautus 7 2 2 2 3" xfId="17195" xr:uid="{00000000-0005-0000-0000-00004B510000}"/>
    <cellStyle name="Huomautus 7 2 2 2_DataIX" xfId="32523" xr:uid="{00000000-0005-0000-0000-00004C510000}"/>
    <cellStyle name="Huomautus 7 2 2 3" xfId="9056" xr:uid="{00000000-0005-0000-0000-00004D510000}"/>
    <cellStyle name="Huomautus 7 2 2 4" xfId="17194" xr:uid="{00000000-0005-0000-0000-00004E510000}"/>
    <cellStyle name="Huomautus 7 2 2_DataIX" xfId="32522" xr:uid="{00000000-0005-0000-0000-00004F510000}"/>
    <cellStyle name="Huomautus 7 2 3" xfId="3845" xr:uid="{00000000-0005-0000-0000-000050510000}"/>
    <cellStyle name="Huomautus 7 2 3 2" xfId="9058" xr:uid="{00000000-0005-0000-0000-000051510000}"/>
    <cellStyle name="Huomautus 7 2 3 3" xfId="17196" xr:uid="{00000000-0005-0000-0000-000052510000}"/>
    <cellStyle name="Huomautus 7 2 3_DataIX" xfId="32524" xr:uid="{00000000-0005-0000-0000-000053510000}"/>
    <cellStyle name="Huomautus 7 2 4" xfId="9055" xr:uid="{00000000-0005-0000-0000-000054510000}"/>
    <cellStyle name="Huomautus 7 2 5" xfId="17193" xr:uid="{00000000-0005-0000-0000-000055510000}"/>
    <cellStyle name="Huomautus 7 2_DataIX" xfId="32521" xr:uid="{00000000-0005-0000-0000-000056510000}"/>
    <cellStyle name="Huomautus 7 3" xfId="3846" xr:uid="{00000000-0005-0000-0000-000057510000}"/>
    <cellStyle name="Huomautus 7 3 2" xfId="3847" xr:uid="{00000000-0005-0000-0000-000058510000}"/>
    <cellStyle name="Huomautus 7 3 2 2" xfId="9060" xr:uid="{00000000-0005-0000-0000-000059510000}"/>
    <cellStyle name="Huomautus 7 3 2 3" xfId="17198" xr:uid="{00000000-0005-0000-0000-00005A510000}"/>
    <cellStyle name="Huomautus 7 3 2_DataIX" xfId="32526" xr:uid="{00000000-0005-0000-0000-00005B510000}"/>
    <cellStyle name="Huomautus 7 3 3" xfId="9059" xr:uid="{00000000-0005-0000-0000-00005C510000}"/>
    <cellStyle name="Huomautus 7 3 4" xfId="17197" xr:uid="{00000000-0005-0000-0000-00005D510000}"/>
    <cellStyle name="Huomautus 7 3_DataIX" xfId="32525" xr:uid="{00000000-0005-0000-0000-00005E510000}"/>
    <cellStyle name="Huomautus 7 4" xfId="3848" xr:uid="{00000000-0005-0000-0000-00005F510000}"/>
    <cellStyle name="Huomautus 7 4 2" xfId="9061" xr:uid="{00000000-0005-0000-0000-000060510000}"/>
    <cellStyle name="Huomautus 7 4 3" xfId="17199" xr:uid="{00000000-0005-0000-0000-000061510000}"/>
    <cellStyle name="Huomautus 7 4_DataIX" xfId="32527" xr:uid="{00000000-0005-0000-0000-000062510000}"/>
    <cellStyle name="Huomautus 7 5" xfId="3849" xr:uid="{00000000-0005-0000-0000-000063510000}"/>
    <cellStyle name="Huomautus 7 5 2" xfId="9062" xr:uid="{00000000-0005-0000-0000-000064510000}"/>
    <cellStyle name="Huomautus 7 5 3" xfId="17200" xr:uid="{00000000-0005-0000-0000-000065510000}"/>
    <cellStyle name="Huomautus 7 5_DataIX" xfId="32528" xr:uid="{00000000-0005-0000-0000-000066510000}"/>
    <cellStyle name="Huomautus 7 6" xfId="5608" xr:uid="{00000000-0005-0000-0000-000067510000}"/>
    <cellStyle name="Huomautus 7 6 2" xfId="12601" xr:uid="{00000000-0005-0000-0000-000068510000}"/>
    <cellStyle name="Huomautus 7 6 3" xfId="18827" xr:uid="{00000000-0005-0000-0000-000069510000}"/>
    <cellStyle name="Huomautus 7 6 3 2" xfId="21708" xr:uid="{00000000-0005-0000-0000-00006A510000}"/>
    <cellStyle name="Huomautus 7 6 3 3" xfId="21780" xr:uid="{00000000-0005-0000-0000-00006B510000}"/>
    <cellStyle name="Huomautus 7 6 3_DataIX" xfId="32530" xr:uid="{00000000-0005-0000-0000-00006C510000}"/>
    <cellStyle name="Huomautus 7 6 4" xfId="20452" xr:uid="{00000000-0005-0000-0000-00006D510000}"/>
    <cellStyle name="Huomautus 7 6 4 2" xfId="10802" xr:uid="{00000000-0005-0000-0000-00006E510000}"/>
    <cellStyle name="Huomautus 7 6 4_DataIX" xfId="32531" xr:uid="{00000000-0005-0000-0000-00006F510000}"/>
    <cellStyle name="Huomautus 7 6_DataIX" xfId="32529" xr:uid="{00000000-0005-0000-0000-000070510000}"/>
    <cellStyle name="Huomautus 7 7" xfId="17192" xr:uid="{00000000-0005-0000-0000-000071510000}"/>
    <cellStyle name="Huomautus 7_##Keskeiset" xfId="9054" xr:uid="{00000000-0005-0000-0000-000072510000}"/>
    <cellStyle name="Huomautus 8" xfId="3850" xr:uid="{00000000-0005-0000-0000-000073510000}"/>
    <cellStyle name="Huomautus 8 2" xfId="3851" xr:uid="{00000000-0005-0000-0000-000074510000}"/>
    <cellStyle name="Huomautus 8 2 2" xfId="3852" xr:uid="{00000000-0005-0000-0000-000075510000}"/>
    <cellStyle name="Huomautus 8 2 2 2" xfId="3853" xr:uid="{00000000-0005-0000-0000-000076510000}"/>
    <cellStyle name="Huomautus 8 2 2 2 2" xfId="9066" xr:uid="{00000000-0005-0000-0000-000077510000}"/>
    <cellStyle name="Huomautus 8 2 2 2 3" xfId="17204" xr:uid="{00000000-0005-0000-0000-000078510000}"/>
    <cellStyle name="Huomautus 8 2 2 2_DataIX" xfId="32534" xr:uid="{00000000-0005-0000-0000-000079510000}"/>
    <cellStyle name="Huomautus 8 2 2 3" xfId="9065" xr:uid="{00000000-0005-0000-0000-00007A510000}"/>
    <cellStyle name="Huomautus 8 2 2 4" xfId="17203" xr:uid="{00000000-0005-0000-0000-00007B510000}"/>
    <cellStyle name="Huomautus 8 2 2_DataIX" xfId="32533" xr:uid="{00000000-0005-0000-0000-00007C510000}"/>
    <cellStyle name="Huomautus 8 2 3" xfId="3854" xr:uid="{00000000-0005-0000-0000-00007D510000}"/>
    <cellStyle name="Huomautus 8 2 3 2" xfId="9067" xr:uid="{00000000-0005-0000-0000-00007E510000}"/>
    <cellStyle name="Huomautus 8 2 3 3" xfId="17205" xr:uid="{00000000-0005-0000-0000-00007F510000}"/>
    <cellStyle name="Huomautus 8 2 3_DataIX" xfId="32535" xr:uid="{00000000-0005-0000-0000-000080510000}"/>
    <cellStyle name="Huomautus 8 2 4" xfId="9064" xr:uid="{00000000-0005-0000-0000-000081510000}"/>
    <cellStyle name="Huomautus 8 2 5" xfId="17202" xr:uid="{00000000-0005-0000-0000-000082510000}"/>
    <cellStyle name="Huomautus 8 2_DataIX" xfId="32532" xr:uid="{00000000-0005-0000-0000-000083510000}"/>
    <cellStyle name="Huomautus 8 3" xfId="3855" xr:uid="{00000000-0005-0000-0000-000084510000}"/>
    <cellStyle name="Huomautus 8 3 2" xfId="3856" xr:uid="{00000000-0005-0000-0000-000085510000}"/>
    <cellStyle name="Huomautus 8 3 2 2" xfId="9069" xr:uid="{00000000-0005-0000-0000-000086510000}"/>
    <cellStyle name="Huomautus 8 3 2 3" xfId="17207" xr:uid="{00000000-0005-0000-0000-000087510000}"/>
    <cellStyle name="Huomautus 8 3 2_DataIX" xfId="32537" xr:uid="{00000000-0005-0000-0000-000088510000}"/>
    <cellStyle name="Huomautus 8 3 3" xfId="9068" xr:uid="{00000000-0005-0000-0000-000089510000}"/>
    <cellStyle name="Huomautus 8 3 4" xfId="17206" xr:uid="{00000000-0005-0000-0000-00008A510000}"/>
    <cellStyle name="Huomautus 8 3_DataIX" xfId="32536" xr:uid="{00000000-0005-0000-0000-00008B510000}"/>
    <cellStyle name="Huomautus 8 4" xfId="3857" xr:uid="{00000000-0005-0000-0000-00008C510000}"/>
    <cellStyle name="Huomautus 8 4 2" xfId="9070" xr:uid="{00000000-0005-0000-0000-00008D510000}"/>
    <cellStyle name="Huomautus 8 4 3" xfId="17208" xr:uid="{00000000-0005-0000-0000-00008E510000}"/>
    <cellStyle name="Huomautus 8 4_DataIX" xfId="32538" xr:uid="{00000000-0005-0000-0000-00008F510000}"/>
    <cellStyle name="Huomautus 8 5" xfId="3858" xr:uid="{00000000-0005-0000-0000-000090510000}"/>
    <cellStyle name="Huomautus 8 5 2" xfId="9071" xr:uid="{00000000-0005-0000-0000-000091510000}"/>
    <cellStyle name="Huomautus 8 5 3" xfId="17209" xr:uid="{00000000-0005-0000-0000-000092510000}"/>
    <cellStyle name="Huomautus 8 5_DataIX" xfId="32539" xr:uid="{00000000-0005-0000-0000-000093510000}"/>
    <cellStyle name="Huomautus 8 6" xfId="5609" xr:uid="{00000000-0005-0000-0000-000094510000}"/>
    <cellStyle name="Huomautus 8 6 2" xfId="12602" xr:uid="{00000000-0005-0000-0000-000095510000}"/>
    <cellStyle name="Huomautus 8 6 3" xfId="18828" xr:uid="{00000000-0005-0000-0000-000096510000}"/>
    <cellStyle name="Huomautus 8 6 3 2" xfId="21709" xr:uid="{00000000-0005-0000-0000-000097510000}"/>
    <cellStyle name="Huomautus 8 6 3 3" xfId="22240" xr:uid="{00000000-0005-0000-0000-000098510000}"/>
    <cellStyle name="Huomautus 8 6 3_DataIX" xfId="32541" xr:uid="{00000000-0005-0000-0000-000099510000}"/>
    <cellStyle name="Huomautus 8 6 4" xfId="18971" xr:uid="{00000000-0005-0000-0000-00009A510000}"/>
    <cellStyle name="Huomautus 8 6 4 2" xfId="22241" xr:uid="{00000000-0005-0000-0000-00009B510000}"/>
    <cellStyle name="Huomautus 8 6 4_DataIX" xfId="32542" xr:uid="{00000000-0005-0000-0000-00009C510000}"/>
    <cellStyle name="Huomautus 8 6_DataIX" xfId="32540" xr:uid="{00000000-0005-0000-0000-00009D510000}"/>
    <cellStyle name="Huomautus 8 7" xfId="17201" xr:uid="{00000000-0005-0000-0000-00009E510000}"/>
    <cellStyle name="Huomautus 8_##Keskeiset" xfId="9063" xr:uid="{00000000-0005-0000-0000-00009F510000}"/>
    <cellStyle name="Huomautus 9" xfId="3859" xr:uid="{00000000-0005-0000-0000-0000A0510000}"/>
    <cellStyle name="Huomautus 9 2" xfId="3860" xr:uid="{00000000-0005-0000-0000-0000A1510000}"/>
    <cellStyle name="Huomautus 9 2 2" xfId="3861" xr:uid="{00000000-0005-0000-0000-0000A2510000}"/>
    <cellStyle name="Huomautus 9 2 2 2" xfId="3862" xr:uid="{00000000-0005-0000-0000-0000A3510000}"/>
    <cellStyle name="Huomautus 9 2 2 2 2" xfId="9075" xr:uid="{00000000-0005-0000-0000-0000A4510000}"/>
    <cellStyle name="Huomautus 9 2 2 2 3" xfId="17213" xr:uid="{00000000-0005-0000-0000-0000A5510000}"/>
    <cellStyle name="Huomautus 9 2 2 2_DataIX" xfId="32546" xr:uid="{00000000-0005-0000-0000-0000A6510000}"/>
    <cellStyle name="Huomautus 9 2 2 3" xfId="9074" xr:uid="{00000000-0005-0000-0000-0000A7510000}"/>
    <cellStyle name="Huomautus 9 2 2 4" xfId="17212" xr:uid="{00000000-0005-0000-0000-0000A8510000}"/>
    <cellStyle name="Huomautus 9 2 2_DataIX" xfId="32545" xr:uid="{00000000-0005-0000-0000-0000A9510000}"/>
    <cellStyle name="Huomautus 9 2 3" xfId="3863" xr:uid="{00000000-0005-0000-0000-0000AA510000}"/>
    <cellStyle name="Huomautus 9 2 3 2" xfId="9076" xr:uid="{00000000-0005-0000-0000-0000AB510000}"/>
    <cellStyle name="Huomautus 9 2 3 3" xfId="17214" xr:uid="{00000000-0005-0000-0000-0000AC510000}"/>
    <cellStyle name="Huomautus 9 2 3_DataIX" xfId="32547" xr:uid="{00000000-0005-0000-0000-0000AD510000}"/>
    <cellStyle name="Huomautus 9 2 4" xfId="9073" xr:uid="{00000000-0005-0000-0000-0000AE510000}"/>
    <cellStyle name="Huomautus 9 2 5" xfId="17211" xr:uid="{00000000-0005-0000-0000-0000AF510000}"/>
    <cellStyle name="Huomautus 9 2_DataIX" xfId="32544" xr:uid="{00000000-0005-0000-0000-0000B0510000}"/>
    <cellStyle name="Huomautus 9 3" xfId="3864" xr:uid="{00000000-0005-0000-0000-0000B1510000}"/>
    <cellStyle name="Huomautus 9 3 2" xfId="3865" xr:uid="{00000000-0005-0000-0000-0000B2510000}"/>
    <cellStyle name="Huomautus 9 3 2 2" xfId="9078" xr:uid="{00000000-0005-0000-0000-0000B3510000}"/>
    <cellStyle name="Huomautus 9 3 2 3" xfId="17216" xr:uid="{00000000-0005-0000-0000-0000B4510000}"/>
    <cellStyle name="Huomautus 9 3 2_DataIX" xfId="32549" xr:uid="{00000000-0005-0000-0000-0000B5510000}"/>
    <cellStyle name="Huomautus 9 3 3" xfId="9077" xr:uid="{00000000-0005-0000-0000-0000B6510000}"/>
    <cellStyle name="Huomautus 9 3 4" xfId="17215" xr:uid="{00000000-0005-0000-0000-0000B7510000}"/>
    <cellStyle name="Huomautus 9 3_DataIX" xfId="32548" xr:uid="{00000000-0005-0000-0000-0000B8510000}"/>
    <cellStyle name="Huomautus 9 4" xfId="3866" xr:uid="{00000000-0005-0000-0000-0000B9510000}"/>
    <cellStyle name="Huomautus 9 4 2" xfId="9079" xr:uid="{00000000-0005-0000-0000-0000BA510000}"/>
    <cellStyle name="Huomautus 9 4 3" xfId="17217" xr:uid="{00000000-0005-0000-0000-0000BB510000}"/>
    <cellStyle name="Huomautus 9 4_DataIX" xfId="32550" xr:uid="{00000000-0005-0000-0000-0000BC510000}"/>
    <cellStyle name="Huomautus 9 5" xfId="3867" xr:uid="{00000000-0005-0000-0000-0000BD510000}"/>
    <cellStyle name="Huomautus 9 5 2" xfId="9080" xr:uid="{00000000-0005-0000-0000-0000BE510000}"/>
    <cellStyle name="Huomautus 9 5 3" xfId="17218" xr:uid="{00000000-0005-0000-0000-0000BF510000}"/>
    <cellStyle name="Huomautus 9 5_DataIX" xfId="32551" xr:uid="{00000000-0005-0000-0000-0000C0510000}"/>
    <cellStyle name="Huomautus 9 6" xfId="9072" xr:uid="{00000000-0005-0000-0000-0000C1510000}"/>
    <cellStyle name="Huomautus 9 7" xfId="17210" xr:uid="{00000000-0005-0000-0000-0000C2510000}"/>
    <cellStyle name="Huomautus 9_DataIX" xfId="32543" xr:uid="{00000000-0005-0000-0000-0000C3510000}"/>
    <cellStyle name="Huomautus_##KansantalKehitys" xfId="5431" xr:uid="{00000000-0005-0000-0000-0000C4510000}"/>
    <cellStyle name="Huono" xfId="353" xr:uid="{00000000-0005-0000-0000-0000C5510000}"/>
    <cellStyle name="Huono 10" xfId="26161" xr:uid="{00000000-0005-0000-0000-0000C6510000}"/>
    <cellStyle name="Huono 2" xfId="204" xr:uid="{00000000-0005-0000-0000-0000C7510000}"/>
    <cellStyle name="Huono 2 10" xfId="25936" xr:uid="{00000000-0005-0000-0000-0000C8510000}"/>
    <cellStyle name="Huono 2 2" xfId="3868" xr:uid="{00000000-0005-0000-0000-0000C9510000}"/>
    <cellStyle name="Huono 2 2 2" xfId="9082" xr:uid="{00000000-0005-0000-0000-0000CA510000}"/>
    <cellStyle name="Huono 2 2 3" xfId="17219" xr:uid="{00000000-0005-0000-0000-0000CB510000}"/>
    <cellStyle name="Huono 2 2_DataIX" xfId="32552" xr:uid="{00000000-0005-0000-0000-0000CC510000}"/>
    <cellStyle name="Huono 2 3" xfId="25138" xr:uid="{00000000-0005-0000-0000-0000CD510000}"/>
    <cellStyle name="Huono 2 4" xfId="26151" xr:uid="{00000000-0005-0000-0000-0000CE510000}"/>
    <cellStyle name="Huono 2 5" xfId="25760" xr:uid="{00000000-0005-0000-0000-0000CF510000}"/>
    <cellStyle name="Huono 2 6" xfId="25905" xr:uid="{00000000-0005-0000-0000-0000D0510000}"/>
    <cellStyle name="Huono 2 7" xfId="25860" xr:uid="{00000000-0005-0000-0000-0000D1510000}"/>
    <cellStyle name="Huono 2 8" xfId="25935" xr:uid="{00000000-0005-0000-0000-0000D2510000}"/>
    <cellStyle name="Huono 2 9" xfId="26314" xr:uid="{00000000-0005-0000-0000-0000D3510000}"/>
    <cellStyle name="Huono 2_##Keskeiset" xfId="9081" xr:uid="{00000000-0005-0000-0000-0000D4510000}"/>
    <cellStyle name="Huono 3" xfId="203" xr:uid="{00000000-0005-0000-0000-0000D5510000}"/>
    <cellStyle name="Huono 3 2" xfId="25139" xr:uid="{00000000-0005-0000-0000-0000D6510000}"/>
    <cellStyle name="Huono 3 3" xfId="24940" xr:uid="{00000000-0005-0000-0000-0000D7510000}"/>
    <cellStyle name="Huono 3_DataIX" xfId="32553" xr:uid="{00000000-0005-0000-0000-0000D8510000}"/>
    <cellStyle name="Huono 4" xfId="5610" xr:uid="{00000000-0005-0000-0000-0000D9510000}"/>
    <cellStyle name="Huono 4 2" xfId="12606" xr:uid="{00000000-0005-0000-0000-0000DA510000}"/>
    <cellStyle name="Huono 4 3" xfId="18829" xr:uid="{00000000-0005-0000-0000-0000DB510000}"/>
    <cellStyle name="Huono 4 4" xfId="27783" xr:uid="{00000000-0005-0000-0000-0000DC510000}"/>
    <cellStyle name="Huono 4_DataIX" xfId="32554" xr:uid="{00000000-0005-0000-0000-0000DD510000}"/>
    <cellStyle name="Huono 5" xfId="10666" xr:uid="{00000000-0005-0000-0000-0000DE510000}"/>
    <cellStyle name="Huono 6" xfId="25673" xr:uid="{00000000-0005-0000-0000-0000DF510000}"/>
    <cellStyle name="Huono 7" xfId="26274" xr:uid="{00000000-0005-0000-0000-0000E0510000}"/>
    <cellStyle name="Huono 8" xfId="26216" xr:uid="{00000000-0005-0000-0000-0000E1510000}"/>
    <cellStyle name="Huono 9" xfId="26251" xr:uid="{00000000-0005-0000-0000-0000E2510000}"/>
    <cellStyle name="Huono_##KansantalKehitys" xfId="5432" xr:uid="{00000000-0005-0000-0000-0000E3510000}"/>
    <cellStyle name="Hyperlink 2" xfId="3870" xr:uid="{00000000-0005-0000-0000-0000E4510000}"/>
    <cellStyle name="Hyperlink 2 2" xfId="9083" xr:uid="{00000000-0005-0000-0000-0000E5510000}"/>
    <cellStyle name="Hyperlink 2 3" xfId="17221" xr:uid="{00000000-0005-0000-0000-0000E6510000}"/>
    <cellStyle name="Hyperlink 2_DataIX" xfId="32555" xr:uid="{00000000-0005-0000-0000-0000E7510000}"/>
    <cellStyle name="Hyperlink 3" xfId="28185" xr:uid="{00000000-0005-0000-0000-0000E8510000}"/>
    <cellStyle name="Hyperlink 4" xfId="28532" xr:uid="{00000000-0005-0000-0000-0000E9510000}"/>
    <cellStyle name="Hyperlink 5" xfId="28556" xr:uid="{00000000-0005-0000-0000-0000EA510000}"/>
    <cellStyle name="Hyperlink 6" xfId="28517" xr:uid="{00000000-0005-0000-0000-0000EB510000}"/>
    <cellStyle name="Hyperlinkki 10 2" xfId="3871" xr:uid="{00000000-0005-0000-0000-0000ED510000}"/>
    <cellStyle name="Hyperlinkki 10 2 2" xfId="3872" xr:uid="{00000000-0005-0000-0000-0000EE510000}"/>
    <cellStyle name="Hyperlinkki 10 2 2 2" xfId="9085" xr:uid="{00000000-0005-0000-0000-0000EF510000}"/>
    <cellStyle name="Hyperlinkki 10 2 2 3" xfId="17223" xr:uid="{00000000-0005-0000-0000-0000F0510000}"/>
    <cellStyle name="Hyperlinkki 10 2 2_DataIX" xfId="32557" xr:uid="{00000000-0005-0000-0000-0000F1510000}"/>
    <cellStyle name="Hyperlinkki 10 2 3" xfId="9084" xr:uid="{00000000-0005-0000-0000-0000F2510000}"/>
    <cellStyle name="Hyperlinkki 10 2 4" xfId="17222" xr:uid="{00000000-0005-0000-0000-0000F3510000}"/>
    <cellStyle name="Hyperlinkki 10 2_DataIX" xfId="32556" xr:uid="{00000000-0005-0000-0000-0000F4510000}"/>
    <cellStyle name="Hyperlinkki 102 2" xfId="3873" xr:uid="{00000000-0005-0000-0000-0000F5510000}"/>
    <cellStyle name="Hyperlinkki 102 2 2" xfId="9086" xr:uid="{00000000-0005-0000-0000-0000F6510000}"/>
    <cellStyle name="Hyperlinkki 102 2 3" xfId="17224" xr:uid="{00000000-0005-0000-0000-0000F7510000}"/>
    <cellStyle name="Hyperlinkki 102 2_DataIX" xfId="32558" xr:uid="{00000000-0005-0000-0000-0000F8510000}"/>
    <cellStyle name="Hyperlinkki 115 2" xfId="3874" xr:uid="{00000000-0005-0000-0000-0000F9510000}"/>
    <cellStyle name="Hyperlinkki 115 2 2" xfId="9087" xr:uid="{00000000-0005-0000-0000-0000FA510000}"/>
    <cellStyle name="Hyperlinkki 115 2 3" xfId="17225" xr:uid="{00000000-0005-0000-0000-0000FB510000}"/>
    <cellStyle name="Hyperlinkki 115 2_DataIX" xfId="32559" xr:uid="{00000000-0005-0000-0000-0000FC510000}"/>
    <cellStyle name="Hyperlinkki 115 3" xfId="3875" xr:uid="{00000000-0005-0000-0000-0000FD510000}"/>
    <cellStyle name="Hyperlinkki 115 3 2" xfId="9088" xr:uid="{00000000-0005-0000-0000-0000FE510000}"/>
    <cellStyle name="Hyperlinkki 115 3 3" xfId="17226" xr:uid="{00000000-0005-0000-0000-0000FF510000}"/>
    <cellStyle name="Hyperlinkki 115 3_DataIX" xfId="32560" xr:uid="{00000000-0005-0000-0000-000000520000}"/>
    <cellStyle name="Hyperlinkki 115 4" xfId="3876" xr:uid="{00000000-0005-0000-0000-000001520000}"/>
    <cellStyle name="Hyperlinkki 115 4 2" xfId="9089" xr:uid="{00000000-0005-0000-0000-000002520000}"/>
    <cellStyle name="Hyperlinkki 115 4 3" xfId="17227" xr:uid="{00000000-0005-0000-0000-000003520000}"/>
    <cellStyle name="Hyperlinkki 115 4_DataIX" xfId="32561" xr:uid="{00000000-0005-0000-0000-000004520000}"/>
    <cellStyle name="Hyperlinkki 12 10" xfId="3877" xr:uid="{00000000-0005-0000-0000-000005520000}"/>
    <cellStyle name="Hyperlinkki 12 10 2" xfId="9090" xr:uid="{00000000-0005-0000-0000-000006520000}"/>
    <cellStyle name="Hyperlinkki 12 10 3" xfId="17228" xr:uid="{00000000-0005-0000-0000-000007520000}"/>
    <cellStyle name="Hyperlinkki 12 10_DataIX" xfId="32562" xr:uid="{00000000-0005-0000-0000-000008520000}"/>
    <cellStyle name="Hyperlinkki 12 2" xfId="3878" xr:uid="{00000000-0005-0000-0000-000009520000}"/>
    <cellStyle name="Hyperlinkki 12 2 2" xfId="3879" xr:uid="{00000000-0005-0000-0000-00000A520000}"/>
    <cellStyle name="Hyperlinkki 12 2 2 2" xfId="9092" xr:uid="{00000000-0005-0000-0000-00000B520000}"/>
    <cellStyle name="Hyperlinkki 12 2 2 3" xfId="17230" xr:uid="{00000000-0005-0000-0000-00000C520000}"/>
    <cellStyle name="Hyperlinkki 12 2 2_DataIX" xfId="32564" xr:uid="{00000000-0005-0000-0000-00000D520000}"/>
    <cellStyle name="Hyperlinkki 12 2 3" xfId="3880" xr:uid="{00000000-0005-0000-0000-00000E520000}"/>
    <cellStyle name="Hyperlinkki 12 2 3 2" xfId="9093" xr:uid="{00000000-0005-0000-0000-00000F520000}"/>
    <cellStyle name="Hyperlinkki 12 2 3 3" xfId="17231" xr:uid="{00000000-0005-0000-0000-000010520000}"/>
    <cellStyle name="Hyperlinkki 12 2 3_DataIX" xfId="32565" xr:uid="{00000000-0005-0000-0000-000011520000}"/>
    <cellStyle name="Hyperlinkki 12 2 4" xfId="3881" xr:uid="{00000000-0005-0000-0000-000012520000}"/>
    <cellStyle name="Hyperlinkki 12 2 4 2" xfId="9094" xr:uid="{00000000-0005-0000-0000-000013520000}"/>
    <cellStyle name="Hyperlinkki 12 2 4 3" xfId="17232" xr:uid="{00000000-0005-0000-0000-000014520000}"/>
    <cellStyle name="Hyperlinkki 12 2 4_DataIX" xfId="32566" xr:uid="{00000000-0005-0000-0000-000015520000}"/>
    <cellStyle name="Hyperlinkki 12 2 5" xfId="9091" xr:uid="{00000000-0005-0000-0000-000016520000}"/>
    <cellStyle name="Hyperlinkki 12 2 6" xfId="17229" xr:uid="{00000000-0005-0000-0000-000017520000}"/>
    <cellStyle name="Hyperlinkki 12 2_DataIX" xfId="32563" xr:uid="{00000000-0005-0000-0000-000018520000}"/>
    <cellStyle name="Hyperlinkki 12 3" xfId="3882" xr:uid="{00000000-0005-0000-0000-000019520000}"/>
    <cellStyle name="Hyperlinkki 12 3 2" xfId="3883" xr:uid="{00000000-0005-0000-0000-00001A520000}"/>
    <cellStyle name="Hyperlinkki 12 3 2 2" xfId="9096" xr:uid="{00000000-0005-0000-0000-00001B520000}"/>
    <cellStyle name="Hyperlinkki 12 3 2 3" xfId="17234" xr:uid="{00000000-0005-0000-0000-00001C520000}"/>
    <cellStyle name="Hyperlinkki 12 3 2_DataIX" xfId="32568" xr:uid="{00000000-0005-0000-0000-00001D520000}"/>
    <cellStyle name="Hyperlinkki 12 3 3" xfId="3884" xr:uid="{00000000-0005-0000-0000-00001E520000}"/>
    <cellStyle name="Hyperlinkki 12 3 3 2" xfId="9097" xr:uid="{00000000-0005-0000-0000-00001F520000}"/>
    <cellStyle name="Hyperlinkki 12 3 3 3" xfId="17235" xr:uid="{00000000-0005-0000-0000-000020520000}"/>
    <cellStyle name="Hyperlinkki 12 3 3_DataIX" xfId="32569" xr:uid="{00000000-0005-0000-0000-000021520000}"/>
    <cellStyle name="Hyperlinkki 12 3 4" xfId="3885" xr:uid="{00000000-0005-0000-0000-000022520000}"/>
    <cellStyle name="Hyperlinkki 12 3 4 2" xfId="9098" xr:uid="{00000000-0005-0000-0000-000023520000}"/>
    <cellStyle name="Hyperlinkki 12 3 4 3" xfId="17236" xr:uid="{00000000-0005-0000-0000-000024520000}"/>
    <cellStyle name="Hyperlinkki 12 3 4_DataIX" xfId="32570" xr:uid="{00000000-0005-0000-0000-000025520000}"/>
    <cellStyle name="Hyperlinkki 12 3 5" xfId="9095" xr:uid="{00000000-0005-0000-0000-000026520000}"/>
    <cellStyle name="Hyperlinkki 12 3 6" xfId="17233" xr:uid="{00000000-0005-0000-0000-000027520000}"/>
    <cellStyle name="Hyperlinkki 12 3_DataIX" xfId="32567" xr:uid="{00000000-0005-0000-0000-000028520000}"/>
    <cellStyle name="Hyperlinkki 12 4" xfId="3886" xr:uid="{00000000-0005-0000-0000-000029520000}"/>
    <cellStyle name="Hyperlinkki 12 4 2" xfId="3887" xr:uid="{00000000-0005-0000-0000-00002A520000}"/>
    <cellStyle name="Hyperlinkki 12 4 2 2" xfId="9100" xr:uid="{00000000-0005-0000-0000-00002B520000}"/>
    <cellStyle name="Hyperlinkki 12 4 2 3" xfId="17238" xr:uid="{00000000-0005-0000-0000-00002C520000}"/>
    <cellStyle name="Hyperlinkki 12 4 2_DataIX" xfId="32572" xr:uid="{00000000-0005-0000-0000-00002D520000}"/>
    <cellStyle name="Hyperlinkki 12 4 3" xfId="9099" xr:uid="{00000000-0005-0000-0000-00002E520000}"/>
    <cellStyle name="Hyperlinkki 12 4 4" xfId="17237" xr:uid="{00000000-0005-0000-0000-00002F520000}"/>
    <cellStyle name="Hyperlinkki 12 4_DataIX" xfId="32571" xr:uid="{00000000-0005-0000-0000-000030520000}"/>
    <cellStyle name="Hyperlinkki 12 5" xfId="3888" xr:uid="{00000000-0005-0000-0000-000031520000}"/>
    <cellStyle name="Hyperlinkki 12 5 2" xfId="9101" xr:uid="{00000000-0005-0000-0000-000032520000}"/>
    <cellStyle name="Hyperlinkki 12 5 3" xfId="17239" xr:uid="{00000000-0005-0000-0000-000033520000}"/>
    <cellStyle name="Hyperlinkki 12 5_DataIX" xfId="32573" xr:uid="{00000000-0005-0000-0000-000034520000}"/>
    <cellStyle name="Hyperlinkki 12 6" xfId="3889" xr:uid="{00000000-0005-0000-0000-000035520000}"/>
    <cellStyle name="Hyperlinkki 12 6 2" xfId="9102" xr:uid="{00000000-0005-0000-0000-000036520000}"/>
    <cellStyle name="Hyperlinkki 12 6 3" xfId="17240" xr:uid="{00000000-0005-0000-0000-000037520000}"/>
    <cellStyle name="Hyperlinkki 12 6_DataIX" xfId="32574" xr:uid="{00000000-0005-0000-0000-000038520000}"/>
    <cellStyle name="Hyperlinkki 12 7" xfId="3890" xr:uid="{00000000-0005-0000-0000-000039520000}"/>
    <cellStyle name="Hyperlinkki 12 7 2" xfId="9103" xr:uid="{00000000-0005-0000-0000-00003A520000}"/>
    <cellStyle name="Hyperlinkki 12 7 3" xfId="17241" xr:uid="{00000000-0005-0000-0000-00003B520000}"/>
    <cellStyle name="Hyperlinkki 12 7_DataIX" xfId="32575" xr:uid="{00000000-0005-0000-0000-00003C520000}"/>
    <cellStyle name="Hyperlinkki 12 8" xfId="3891" xr:uid="{00000000-0005-0000-0000-00003D520000}"/>
    <cellStyle name="Hyperlinkki 12 8 2" xfId="9104" xr:uid="{00000000-0005-0000-0000-00003E520000}"/>
    <cellStyle name="Hyperlinkki 12 8 3" xfId="17242" xr:uid="{00000000-0005-0000-0000-00003F520000}"/>
    <cellStyle name="Hyperlinkki 12 8_DataIX" xfId="32576" xr:uid="{00000000-0005-0000-0000-000040520000}"/>
    <cellStyle name="Hyperlinkki 12 9" xfId="3892" xr:uid="{00000000-0005-0000-0000-000041520000}"/>
    <cellStyle name="Hyperlinkki 12 9 2" xfId="9105" xr:uid="{00000000-0005-0000-0000-000042520000}"/>
    <cellStyle name="Hyperlinkki 12 9 3" xfId="17243" xr:uid="{00000000-0005-0000-0000-000043520000}"/>
    <cellStyle name="Hyperlinkki 12 9_DataIX" xfId="32577" xr:uid="{00000000-0005-0000-0000-000044520000}"/>
    <cellStyle name="Hyperlinkki 120 2" xfId="3893" xr:uid="{00000000-0005-0000-0000-000045520000}"/>
    <cellStyle name="Hyperlinkki 120 2 2" xfId="9106" xr:uid="{00000000-0005-0000-0000-000046520000}"/>
    <cellStyle name="Hyperlinkki 120 2 3" xfId="17244" xr:uid="{00000000-0005-0000-0000-000047520000}"/>
    <cellStyle name="Hyperlinkki 120 2_DataIX" xfId="32578" xr:uid="{00000000-0005-0000-0000-000048520000}"/>
    <cellStyle name="Hyperlinkki 120 3" xfId="3894" xr:uid="{00000000-0005-0000-0000-000049520000}"/>
    <cellStyle name="Hyperlinkki 120 3 2" xfId="9107" xr:uid="{00000000-0005-0000-0000-00004A520000}"/>
    <cellStyle name="Hyperlinkki 120 3 3" xfId="17245" xr:uid="{00000000-0005-0000-0000-00004B520000}"/>
    <cellStyle name="Hyperlinkki 120 3_DataIX" xfId="32579" xr:uid="{00000000-0005-0000-0000-00004C520000}"/>
    <cellStyle name="Hyperlinkki 120 4" xfId="3895" xr:uid="{00000000-0005-0000-0000-00004D520000}"/>
    <cellStyle name="Hyperlinkki 120 4 2" xfId="9108" xr:uid="{00000000-0005-0000-0000-00004E520000}"/>
    <cellStyle name="Hyperlinkki 120 4 3" xfId="17246" xr:uid="{00000000-0005-0000-0000-00004F520000}"/>
    <cellStyle name="Hyperlinkki 120 4_DataIX" xfId="32580" xr:uid="{00000000-0005-0000-0000-000050520000}"/>
    <cellStyle name="Hyperlinkki 122 2" xfId="3896" xr:uid="{00000000-0005-0000-0000-000051520000}"/>
    <cellStyle name="Hyperlinkki 122 2 2" xfId="9109" xr:uid="{00000000-0005-0000-0000-000052520000}"/>
    <cellStyle name="Hyperlinkki 122 2 3" xfId="17247" xr:uid="{00000000-0005-0000-0000-000053520000}"/>
    <cellStyle name="Hyperlinkki 122 2_DataIX" xfId="32581" xr:uid="{00000000-0005-0000-0000-000054520000}"/>
    <cellStyle name="Hyperlinkki 122 3" xfId="3897" xr:uid="{00000000-0005-0000-0000-000055520000}"/>
    <cellStyle name="Hyperlinkki 122 3 2" xfId="9110" xr:uid="{00000000-0005-0000-0000-000056520000}"/>
    <cellStyle name="Hyperlinkki 122 3 3" xfId="17248" xr:uid="{00000000-0005-0000-0000-000057520000}"/>
    <cellStyle name="Hyperlinkki 122 3_DataIX" xfId="32582" xr:uid="{00000000-0005-0000-0000-000058520000}"/>
    <cellStyle name="Hyperlinkki 122 4" xfId="3898" xr:uid="{00000000-0005-0000-0000-000059520000}"/>
    <cellStyle name="Hyperlinkki 122 4 2" xfId="9111" xr:uid="{00000000-0005-0000-0000-00005A520000}"/>
    <cellStyle name="Hyperlinkki 122 4 3" xfId="17249" xr:uid="{00000000-0005-0000-0000-00005B520000}"/>
    <cellStyle name="Hyperlinkki 122 4_DataIX" xfId="32583" xr:uid="{00000000-0005-0000-0000-00005C520000}"/>
    <cellStyle name="Hyperlinkki 13 10" xfId="3899" xr:uid="{00000000-0005-0000-0000-00005D520000}"/>
    <cellStyle name="Hyperlinkki 13 10 2" xfId="9112" xr:uid="{00000000-0005-0000-0000-00005E520000}"/>
    <cellStyle name="Hyperlinkki 13 10 3" xfId="17250" xr:uid="{00000000-0005-0000-0000-00005F520000}"/>
    <cellStyle name="Hyperlinkki 13 10_DataIX" xfId="32584" xr:uid="{00000000-0005-0000-0000-000060520000}"/>
    <cellStyle name="Hyperlinkki 13 2" xfId="3900" xr:uid="{00000000-0005-0000-0000-000061520000}"/>
    <cellStyle name="Hyperlinkki 13 2 2" xfId="3901" xr:uid="{00000000-0005-0000-0000-000062520000}"/>
    <cellStyle name="Hyperlinkki 13 2 2 2" xfId="9114" xr:uid="{00000000-0005-0000-0000-000063520000}"/>
    <cellStyle name="Hyperlinkki 13 2 2 3" xfId="17252" xr:uid="{00000000-0005-0000-0000-000064520000}"/>
    <cellStyle name="Hyperlinkki 13 2 2_DataIX" xfId="32586" xr:uid="{00000000-0005-0000-0000-000065520000}"/>
    <cellStyle name="Hyperlinkki 13 2 3" xfId="3902" xr:uid="{00000000-0005-0000-0000-000066520000}"/>
    <cellStyle name="Hyperlinkki 13 2 3 2" xfId="9115" xr:uid="{00000000-0005-0000-0000-000067520000}"/>
    <cellStyle name="Hyperlinkki 13 2 3 3" xfId="17253" xr:uid="{00000000-0005-0000-0000-000068520000}"/>
    <cellStyle name="Hyperlinkki 13 2 3_DataIX" xfId="32587" xr:uid="{00000000-0005-0000-0000-000069520000}"/>
    <cellStyle name="Hyperlinkki 13 2 4" xfId="3903" xr:uid="{00000000-0005-0000-0000-00006A520000}"/>
    <cellStyle name="Hyperlinkki 13 2 4 2" xfId="9116" xr:uid="{00000000-0005-0000-0000-00006B520000}"/>
    <cellStyle name="Hyperlinkki 13 2 4 3" xfId="17254" xr:uid="{00000000-0005-0000-0000-00006C520000}"/>
    <cellStyle name="Hyperlinkki 13 2 4_DataIX" xfId="32588" xr:uid="{00000000-0005-0000-0000-00006D520000}"/>
    <cellStyle name="Hyperlinkki 13 2 5" xfId="9113" xr:uid="{00000000-0005-0000-0000-00006E520000}"/>
    <cellStyle name="Hyperlinkki 13 2 6" xfId="17251" xr:uid="{00000000-0005-0000-0000-00006F520000}"/>
    <cellStyle name="Hyperlinkki 13 2_DataIX" xfId="32585" xr:uid="{00000000-0005-0000-0000-000070520000}"/>
    <cellStyle name="Hyperlinkki 13 3" xfId="3904" xr:uid="{00000000-0005-0000-0000-000071520000}"/>
    <cellStyle name="Hyperlinkki 13 3 2" xfId="3905" xr:uid="{00000000-0005-0000-0000-000072520000}"/>
    <cellStyle name="Hyperlinkki 13 3 2 2" xfId="9118" xr:uid="{00000000-0005-0000-0000-000073520000}"/>
    <cellStyle name="Hyperlinkki 13 3 2 3" xfId="17256" xr:uid="{00000000-0005-0000-0000-000074520000}"/>
    <cellStyle name="Hyperlinkki 13 3 2_DataIX" xfId="32590" xr:uid="{00000000-0005-0000-0000-000075520000}"/>
    <cellStyle name="Hyperlinkki 13 3 3" xfId="3906" xr:uid="{00000000-0005-0000-0000-000076520000}"/>
    <cellStyle name="Hyperlinkki 13 3 3 2" xfId="9119" xr:uid="{00000000-0005-0000-0000-000077520000}"/>
    <cellStyle name="Hyperlinkki 13 3 3 3" xfId="17257" xr:uid="{00000000-0005-0000-0000-000078520000}"/>
    <cellStyle name="Hyperlinkki 13 3 3_DataIX" xfId="32591" xr:uid="{00000000-0005-0000-0000-000079520000}"/>
    <cellStyle name="Hyperlinkki 13 3 4" xfId="3907" xr:uid="{00000000-0005-0000-0000-00007A520000}"/>
    <cellStyle name="Hyperlinkki 13 3 4 2" xfId="9120" xr:uid="{00000000-0005-0000-0000-00007B520000}"/>
    <cellStyle name="Hyperlinkki 13 3 4 3" xfId="17258" xr:uid="{00000000-0005-0000-0000-00007C520000}"/>
    <cellStyle name="Hyperlinkki 13 3 4_DataIX" xfId="32592" xr:uid="{00000000-0005-0000-0000-00007D520000}"/>
    <cellStyle name="Hyperlinkki 13 3 5" xfId="9117" xr:uid="{00000000-0005-0000-0000-00007E520000}"/>
    <cellStyle name="Hyperlinkki 13 3 6" xfId="17255" xr:uid="{00000000-0005-0000-0000-00007F520000}"/>
    <cellStyle name="Hyperlinkki 13 3_DataIX" xfId="32589" xr:uid="{00000000-0005-0000-0000-000080520000}"/>
    <cellStyle name="Hyperlinkki 13 4" xfId="3908" xr:uid="{00000000-0005-0000-0000-000081520000}"/>
    <cellStyle name="Hyperlinkki 13 4 2" xfId="3909" xr:uid="{00000000-0005-0000-0000-000082520000}"/>
    <cellStyle name="Hyperlinkki 13 4 2 2" xfId="9122" xr:uid="{00000000-0005-0000-0000-000083520000}"/>
    <cellStyle name="Hyperlinkki 13 4 2 3" xfId="17260" xr:uid="{00000000-0005-0000-0000-000084520000}"/>
    <cellStyle name="Hyperlinkki 13 4 2_DataIX" xfId="32594" xr:uid="{00000000-0005-0000-0000-000085520000}"/>
    <cellStyle name="Hyperlinkki 13 4 3" xfId="9121" xr:uid="{00000000-0005-0000-0000-000086520000}"/>
    <cellStyle name="Hyperlinkki 13 4 4" xfId="17259" xr:uid="{00000000-0005-0000-0000-000087520000}"/>
    <cellStyle name="Hyperlinkki 13 4_DataIX" xfId="32593" xr:uid="{00000000-0005-0000-0000-000088520000}"/>
    <cellStyle name="Hyperlinkki 13 5" xfId="3910" xr:uid="{00000000-0005-0000-0000-000089520000}"/>
    <cellStyle name="Hyperlinkki 13 5 2" xfId="9123" xr:uid="{00000000-0005-0000-0000-00008A520000}"/>
    <cellStyle name="Hyperlinkki 13 5 3" xfId="17261" xr:uid="{00000000-0005-0000-0000-00008B520000}"/>
    <cellStyle name="Hyperlinkki 13 5_DataIX" xfId="32595" xr:uid="{00000000-0005-0000-0000-00008C520000}"/>
    <cellStyle name="Hyperlinkki 13 6" xfId="3911" xr:uid="{00000000-0005-0000-0000-00008D520000}"/>
    <cellStyle name="Hyperlinkki 13 6 2" xfId="9124" xr:uid="{00000000-0005-0000-0000-00008E520000}"/>
    <cellStyle name="Hyperlinkki 13 6 3" xfId="17262" xr:uid="{00000000-0005-0000-0000-00008F520000}"/>
    <cellStyle name="Hyperlinkki 13 6_DataIX" xfId="32596" xr:uid="{00000000-0005-0000-0000-000090520000}"/>
    <cellStyle name="Hyperlinkki 13 7" xfId="3912" xr:uid="{00000000-0005-0000-0000-000091520000}"/>
    <cellStyle name="Hyperlinkki 13 7 2" xfId="9125" xr:uid="{00000000-0005-0000-0000-000092520000}"/>
    <cellStyle name="Hyperlinkki 13 7 3" xfId="17263" xr:uid="{00000000-0005-0000-0000-000093520000}"/>
    <cellStyle name="Hyperlinkki 13 7_DataIX" xfId="32597" xr:uid="{00000000-0005-0000-0000-000094520000}"/>
    <cellStyle name="Hyperlinkki 13 8" xfId="3913" xr:uid="{00000000-0005-0000-0000-000095520000}"/>
    <cellStyle name="Hyperlinkki 13 8 2" xfId="9126" xr:uid="{00000000-0005-0000-0000-000096520000}"/>
    <cellStyle name="Hyperlinkki 13 8 3" xfId="17264" xr:uid="{00000000-0005-0000-0000-000097520000}"/>
    <cellStyle name="Hyperlinkki 13 8_DataIX" xfId="32598" xr:uid="{00000000-0005-0000-0000-000098520000}"/>
    <cellStyle name="Hyperlinkki 13 9" xfId="3914" xr:uid="{00000000-0005-0000-0000-000099520000}"/>
    <cellStyle name="Hyperlinkki 13 9 2" xfId="9127" xr:uid="{00000000-0005-0000-0000-00009A520000}"/>
    <cellStyle name="Hyperlinkki 13 9 3" xfId="17265" xr:uid="{00000000-0005-0000-0000-00009B520000}"/>
    <cellStyle name="Hyperlinkki 13 9_DataIX" xfId="32599" xr:uid="{00000000-0005-0000-0000-00009C520000}"/>
    <cellStyle name="Hyperlinkki 131 2" xfId="3915" xr:uid="{00000000-0005-0000-0000-00009D520000}"/>
    <cellStyle name="Hyperlinkki 131 2 2" xfId="9128" xr:uid="{00000000-0005-0000-0000-00009E520000}"/>
    <cellStyle name="Hyperlinkki 131 2 3" xfId="17266" xr:uid="{00000000-0005-0000-0000-00009F520000}"/>
    <cellStyle name="Hyperlinkki 131 2_DataIX" xfId="32600" xr:uid="{00000000-0005-0000-0000-0000A0520000}"/>
    <cellStyle name="Hyperlinkki 131 3" xfId="3916" xr:uid="{00000000-0005-0000-0000-0000A1520000}"/>
    <cellStyle name="Hyperlinkki 131 3 2" xfId="9129" xr:uid="{00000000-0005-0000-0000-0000A2520000}"/>
    <cellStyle name="Hyperlinkki 131 3 3" xfId="17267" xr:uid="{00000000-0005-0000-0000-0000A3520000}"/>
    <cellStyle name="Hyperlinkki 131 3_DataIX" xfId="32601" xr:uid="{00000000-0005-0000-0000-0000A4520000}"/>
    <cellStyle name="Hyperlinkki 131 4" xfId="3917" xr:uid="{00000000-0005-0000-0000-0000A5520000}"/>
    <cellStyle name="Hyperlinkki 131 4 2" xfId="9130" xr:uid="{00000000-0005-0000-0000-0000A6520000}"/>
    <cellStyle name="Hyperlinkki 131 4 3" xfId="17268" xr:uid="{00000000-0005-0000-0000-0000A7520000}"/>
    <cellStyle name="Hyperlinkki 131 4_DataIX" xfId="32602" xr:uid="{00000000-0005-0000-0000-0000A8520000}"/>
    <cellStyle name="Hyperlinkki 134 2" xfId="3918" xr:uid="{00000000-0005-0000-0000-0000A9520000}"/>
    <cellStyle name="Hyperlinkki 134 2 2" xfId="9131" xr:uid="{00000000-0005-0000-0000-0000AA520000}"/>
    <cellStyle name="Hyperlinkki 134 2 3" xfId="17269" xr:uid="{00000000-0005-0000-0000-0000AB520000}"/>
    <cellStyle name="Hyperlinkki 134 2_DataIX" xfId="32603" xr:uid="{00000000-0005-0000-0000-0000AC520000}"/>
    <cellStyle name="Hyperlinkki 134 3" xfId="3919" xr:uid="{00000000-0005-0000-0000-0000AD520000}"/>
    <cellStyle name="Hyperlinkki 134 3 2" xfId="9132" xr:uid="{00000000-0005-0000-0000-0000AE520000}"/>
    <cellStyle name="Hyperlinkki 134 3 3" xfId="17270" xr:uid="{00000000-0005-0000-0000-0000AF520000}"/>
    <cellStyle name="Hyperlinkki 134 3_DataIX" xfId="32604" xr:uid="{00000000-0005-0000-0000-0000B0520000}"/>
    <cellStyle name="Hyperlinkki 134 4" xfId="3920" xr:uid="{00000000-0005-0000-0000-0000B1520000}"/>
    <cellStyle name="Hyperlinkki 134 4 2" xfId="9133" xr:uid="{00000000-0005-0000-0000-0000B2520000}"/>
    <cellStyle name="Hyperlinkki 134 4 3" xfId="17271" xr:uid="{00000000-0005-0000-0000-0000B3520000}"/>
    <cellStyle name="Hyperlinkki 134 4_DataIX" xfId="32605" xr:uid="{00000000-0005-0000-0000-0000B4520000}"/>
    <cellStyle name="Hyperlinkki 136" xfId="3921" xr:uid="{00000000-0005-0000-0000-0000B5520000}"/>
    <cellStyle name="Hyperlinkki 136 2" xfId="9134" xr:uid="{00000000-0005-0000-0000-0000B6520000}"/>
    <cellStyle name="Hyperlinkki 136 3" xfId="17272" xr:uid="{00000000-0005-0000-0000-0000B7520000}"/>
    <cellStyle name="Hyperlinkki 136_DataIX" xfId="32606" xr:uid="{00000000-0005-0000-0000-0000B8520000}"/>
    <cellStyle name="Hyperlinkki 137" xfId="3922" xr:uid="{00000000-0005-0000-0000-0000B9520000}"/>
    <cellStyle name="Hyperlinkki 137 2" xfId="9135" xr:uid="{00000000-0005-0000-0000-0000BA520000}"/>
    <cellStyle name="Hyperlinkki 137 3" xfId="17273" xr:uid="{00000000-0005-0000-0000-0000BB520000}"/>
    <cellStyle name="Hyperlinkki 137_DataIX" xfId="32607" xr:uid="{00000000-0005-0000-0000-0000BC520000}"/>
    <cellStyle name="Hyperlinkki 14 2" xfId="3923" xr:uid="{00000000-0005-0000-0000-0000BD520000}"/>
    <cellStyle name="Hyperlinkki 14 2 2" xfId="3924" xr:uid="{00000000-0005-0000-0000-0000BE520000}"/>
    <cellStyle name="Hyperlinkki 14 2 2 2" xfId="9137" xr:uid="{00000000-0005-0000-0000-0000BF520000}"/>
    <cellStyle name="Hyperlinkki 14 2 2 3" xfId="17275" xr:uid="{00000000-0005-0000-0000-0000C0520000}"/>
    <cellStyle name="Hyperlinkki 14 2 2_DataIX" xfId="32609" xr:uid="{00000000-0005-0000-0000-0000C1520000}"/>
    <cellStyle name="Hyperlinkki 14 2 3" xfId="9136" xr:uid="{00000000-0005-0000-0000-0000C2520000}"/>
    <cellStyle name="Hyperlinkki 14 2 4" xfId="17274" xr:uid="{00000000-0005-0000-0000-0000C3520000}"/>
    <cellStyle name="Hyperlinkki 14 2_DataIX" xfId="32608" xr:uid="{00000000-0005-0000-0000-0000C4520000}"/>
    <cellStyle name="Hyperlinkki 15 2" xfId="3925" xr:uid="{00000000-0005-0000-0000-0000C5520000}"/>
    <cellStyle name="Hyperlinkki 15 2 2" xfId="3926" xr:uid="{00000000-0005-0000-0000-0000C6520000}"/>
    <cellStyle name="Hyperlinkki 15 2 2 2" xfId="9139" xr:uid="{00000000-0005-0000-0000-0000C7520000}"/>
    <cellStyle name="Hyperlinkki 15 2 2 3" xfId="17277" xr:uid="{00000000-0005-0000-0000-0000C8520000}"/>
    <cellStyle name="Hyperlinkki 15 2 2_DataIX" xfId="32611" xr:uid="{00000000-0005-0000-0000-0000C9520000}"/>
    <cellStyle name="Hyperlinkki 15 2 3" xfId="9138" xr:uid="{00000000-0005-0000-0000-0000CA520000}"/>
    <cellStyle name="Hyperlinkki 15 2 4" xfId="17276" xr:uid="{00000000-0005-0000-0000-0000CB520000}"/>
    <cellStyle name="Hyperlinkki 15 2_DataIX" xfId="32610" xr:uid="{00000000-0005-0000-0000-0000CC520000}"/>
    <cellStyle name="Hyperlinkki 15 3" xfId="3927" xr:uid="{00000000-0005-0000-0000-0000CD520000}"/>
    <cellStyle name="Hyperlinkki 15 3 2" xfId="9140" xr:uid="{00000000-0005-0000-0000-0000CE520000}"/>
    <cellStyle name="Hyperlinkki 15 3 3" xfId="17278" xr:uid="{00000000-0005-0000-0000-0000CF520000}"/>
    <cellStyle name="Hyperlinkki 15 3_DataIX" xfId="32612" xr:uid="{00000000-0005-0000-0000-0000D0520000}"/>
    <cellStyle name="Hyperlinkki 17 2" xfId="3928" xr:uid="{00000000-0005-0000-0000-0000D1520000}"/>
    <cellStyle name="Hyperlinkki 17 2 2" xfId="3929" xr:uid="{00000000-0005-0000-0000-0000D2520000}"/>
    <cellStyle name="Hyperlinkki 17 2 2 2" xfId="9142" xr:uid="{00000000-0005-0000-0000-0000D3520000}"/>
    <cellStyle name="Hyperlinkki 17 2 2 3" xfId="17280" xr:uid="{00000000-0005-0000-0000-0000D4520000}"/>
    <cellStyle name="Hyperlinkki 17 2 2_DataIX" xfId="32614" xr:uid="{00000000-0005-0000-0000-0000D5520000}"/>
    <cellStyle name="Hyperlinkki 17 2 3" xfId="9141" xr:uid="{00000000-0005-0000-0000-0000D6520000}"/>
    <cellStyle name="Hyperlinkki 17 2 4" xfId="17279" xr:uid="{00000000-0005-0000-0000-0000D7520000}"/>
    <cellStyle name="Hyperlinkki 17 2_DataIX" xfId="32613" xr:uid="{00000000-0005-0000-0000-0000D8520000}"/>
    <cellStyle name="Hyperlinkki 18 10" xfId="3930" xr:uid="{00000000-0005-0000-0000-0000D9520000}"/>
    <cellStyle name="Hyperlinkki 18 10 2" xfId="9143" xr:uid="{00000000-0005-0000-0000-0000DA520000}"/>
    <cellStyle name="Hyperlinkki 18 10 3" xfId="17281" xr:uid="{00000000-0005-0000-0000-0000DB520000}"/>
    <cellStyle name="Hyperlinkki 18 10_DataIX" xfId="32615" xr:uid="{00000000-0005-0000-0000-0000DC520000}"/>
    <cellStyle name="Hyperlinkki 18 2" xfId="3931" xr:uid="{00000000-0005-0000-0000-0000DD520000}"/>
    <cellStyle name="Hyperlinkki 18 2 2" xfId="3932" xr:uid="{00000000-0005-0000-0000-0000DE520000}"/>
    <cellStyle name="Hyperlinkki 18 2 2 2" xfId="9145" xr:uid="{00000000-0005-0000-0000-0000DF520000}"/>
    <cellStyle name="Hyperlinkki 18 2 2 3" xfId="17283" xr:uid="{00000000-0005-0000-0000-0000E0520000}"/>
    <cellStyle name="Hyperlinkki 18 2 2_DataIX" xfId="32617" xr:uid="{00000000-0005-0000-0000-0000E1520000}"/>
    <cellStyle name="Hyperlinkki 18 2 3" xfId="3933" xr:uid="{00000000-0005-0000-0000-0000E2520000}"/>
    <cellStyle name="Hyperlinkki 18 2 3 2" xfId="9146" xr:uid="{00000000-0005-0000-0000-0000E3520000}"/>
    <cellStyle name="Hyperlinkki 18 2 3 3" xfId="17284" xr:uid="{00000000-0005-0000-0000-0000E4520000}"/>
    <cellStyle name="Hyperlinkki 18 2 3_DataIX" xfId="32618" xr:uid="{00000000-0005-0000-0000-0000E5520000}"/>
    <cellStyle name="Hyperlinkki 18 2 4" xfId="3934" xr:uid="{00000000-0005-0000-0000-0000E6520000}"/>
    <cellStyle name="Hyperlinkki 18 2 4 2" xfId="9147" xr:uid="{00000000-0005-0000-0000-0000E7520000}"/>
    <cellStyle name="Hyperlinkki 18 2 4 3" xfId="17285" xr:uid="{00000000-0005-0000-0000-0000E8520000}"/>
    <cellStyle name="Hyperlinkki 18 2 4_DataIX" xfId="32619" xr:uid="{00000000-0005-0000-0000-0000E9520000}"/>
    <cellStyle name="Hyperlinkki 18 2 5" xfId="9144" xr:uid="{00000000-0005-0000-0000-0000EA520000}"/>
    <cellStyle name="Hyperlinkki 18 2 6" xfId="17282" xr:uid="{00000000-0005-0000-0000-0000EB520000}"/>
    <cellStyle name="Hyperlinkki 18 2_DataIX" xfId="32616" xr:uid="{00000000-0005-0000-0000-0000EC520000}"/>
    <cellStyle name="Hyperlinkki 18 3" xfId="3935" xr:uid="{00000000-0005-0000-0000-0000ED520000}"/>
    <cellStyle name="Hyperlinkki 18 3 2" xfId="3936" xr:uid="{00000000-0005-0000-0000-0000EE520000}"/>
    <cellStyle name="Hyperlinkki 18 3 2 2" xfId="9149" xr:uid="{00000000-0005-0000-0000-0000EF520000}"/>
    <cellStyle name="Hyperlinkki 18 3 2 3" xfId="17287" xr:uid="{00000000-0005-0000-0000-0000F0520000}"/>
    <cellStyle name="Hyperlinkki 18 3 2_DataIX" xfId="32621" xr:uid="{00000000-0005-0000-0000-0000F1520000}"/>
    <cellStyle name="Hyperlinkki 18 3 3" xfId="3937" xr:uid="{00000000-0005-0000-0000-0000F2520000}"/>
    <cellStyle name="Hyperlinkki 18 3 3 2" xfId="9150" xr:uid="{00000000-0005-0000-0000-0000F3520000}"/>
    <cellStyle name="Hyperlinkki 18 3 3 3" xfId="17288" xr:uid="{00000000-0005-0000-0000-0000F4520000}"/>
    <cellStyle name="Hyperlinkki 18 3 3_DataIX" xfId="32622" xr:uid="{00000000-0005-0000-0000-0000F5520000}"/>
    <cellStyle name="Hyperlinkki 18 3 4" xfId="3938" xr:uid="{00000000-0005-0000-0000-0000F6520000}"/>
    <cellStyle name="Hyperlinkki 18 3 4 2" xfId="9151" xr:uid="{00000000-0005-0000-0000-0000F7520000}"/>
    <cellStyle name="Hyperlinkki 18 3 4 3" xfId="17289" xr:uid="{00000000-0005-0000-0000-0000F8520000}"/>
    <cellStyle name="Hyperlinkki 18 3 4_DataIX" xfId="32623" xr:uid="{00000000-0005-0000-0000-0000F9520000}"/>
    <cellStyle name="Hyperlinkki 18 3 5" xfId="9148" xr:uid="{00000000-0005-0000-0000-0000FA520000}"/>
    <cellStyle name="Hyperlinkki 18 3 6" xfId="17286" xr:uid="{00000000-0005-0000-0000-0000FB520000}"/>
    <cellStyle name="Hyperlinkki 18 3_DataIX" xfId="32620" xr:uid="{00000000-0005-0000-0000-0000FC520000}"/>
    <cellStyle name="Hyperlinkki 18 4" xfId="3939" xr:uid="{00000000-0005-0000-0000-0000FD520000}"/>
    <cellStyle name="Hyperlinkki 18 4 2" xfId="3940" xr:uid="{00000000-0005-0000-0000-0000FE520000}"/>
    <cellStyle name="Hyperlinkki 18 4 2 2" xfId="9153" xr:uid="{00000000-0005-0000-0000-0000FF520000}"/>
    <cellStyle name="Hyperlinkki 18 4 2 3" xfId="17291" xr:uid="{00000000-0005-0000-0000-000000530000}"/>
    <cellStyle name="Hyperlinkki 18 4 2_DataIX" xfId="32625" xr:uid="{00000000-0005-0000-0000-000001530000}"/>
    <cellStyle name="Hyperlinkki 18 4 3" xfId="9152" xr:uid="{00000000-0005-0000-0000-000002530000}"/>
    <cellStyle name="Hyperlinkki 18 4 4" xfId="17290" xr:uid="{00000000-0005-0000-0000-000003530000}"/>
    <cellStyle name="Hyperlinkki 18 4_DataIX" xfId="32624" xr:uid="{00000000-0005-0000-0000-000004530000}"/>
    <cellStyle name="Hyperlinkki 18 5" xfId="3941" xr:uid="{00000000-0005-0000-0000-000005530000}"/>
    <cellStyle name="Hyperlinkki 18 5 2" xfId="9154" xr:uid="{00000000-0005-0000-0000-000006530000}"/>
    <cellStyle name="Hyperlinkki 18 5 3" xfId="17292" xr:uid="{00000000-0005-0000-0000-000007530000}"/>
    <cellStyle name="Hyperlinkki 18 5_DataIX" xfId="32626" xr:uid="{00000000-0005-0000-0000-000008530000}"/>
    <cellStyle name="Hyperlinkki 18 6" xfId="3942" xr:uid="{00000000-0005-0000-0000-000009530000}"/>
    <cellStyle name="Hyperlinkki 18 6 2" xfId="9155" xr:uid="{00000000-0005-0000-0000-00000A530000}"/>
    <cellStyle name="Hyperlinkki 18 6 3" xfId="17293" xr:uid="{00000000-0005-0000-0000-00000B530000}"/>
    <cellStyle name="Hyperlinkki 18 6_DataIX" xfId="32627" xr:uid="{00000000-0005-0000-0000-00000C530000}"/>
    <cellStyle name="Hyperlinkki 18 7" xfId="3943" xr:uid="{00000000-0005-0000-0000-00000D530000}"/>
    <cellStyle name="Hyperlinkki 18 7 2" xfId="9156" xr:uid="{00000000-0005-0000-0000-00000E530000}"/>
    <cellStyle name="Hyperlinkki 18 7 3" xfId="17294" xr:uid="{00000000-0005-0000-0000-00000F530000}"/>
    <cellStyle name="Hyperlinkki 18 7_DataIX" xfId="32628" xr:uid="{00000000-0005-0000-0000-000010530000}"/>
    <cellStyle name="Hyperlinkki 18 8" xfId="3944" xr:uid="{00000000-0005-0000-0000-000011530000}"/>
    <cellStyle name="Hyperlinkki 18 8 2" xfId="9157" xr:uid="{00000000-0005-0000-0000-000012530000}"/>
    <cellStyle name="Hyperlinkki 18 8 3" xfId="17295" xr:uid="{00000000-0005-0000-0000-000013530000}"/>
    <cellStyle name="Hyperlinkki 18 8_DataIX" xfId="32629" xr:uid="{00000000-0005-0000-0000-000014530000}"/>
    <cellStyle name="Hyperlinkki 18 9" xfId="3945" xr:uid="{00000000-0005-0000-0000-000015530000}"/>
    <cellStyle name="Hyperlinkki 18 9 2" xfId="9158" xr:uid="{00000000-0005-0000-0000-000016530000}"/>
    <cellStyle name="Hyperlinkki 18 9 3" xfId="17296" xr:uid="{00000000-0005-0000-0000-000017530000}"/>
    <cellStyle name="Hyperlinkki 18 9_DataIX" xfId="32630" xr:uid="{00000000-0005-0000-0000-000018530000}"/>
    <cellStyle name="Hyperlinkki 2" xfId="1" xr:uid="{00000000-0005-0000-0000-000019530000}"/>
    <cellStyle name="Hyperlinkki 2 10" xfId="3946" xr:uid="{00000000-0005-0000-0000-00001A530000}"/>
    <cellStyle name="Hyperlinkki 2 10 2" xfId="3947" xr:uid="{00000000-0005-0000-0000-00001B530000}"/>
    <cellStyle name="Hyperlinkki 2 10 2 2" xfId="9160" xr:uid="{00000000-0005-0000-0000-00001C530000}"/>
    <cellStyle name="Hyperlinkki 2 10 2 3" xfId="17298" xr:uid="{00000000-0005-0000-0000-00001D530000}"/>
    <cellStyle name="Hyperlinkki 2 10 2_DataIX" xfId="32632" xr:uid="{00000000-0005-0000-0000-00001E530000}"/>
    <cellStyle name="Hyperlinkki 2 10 3" xfId="9159" xr:uid="{00000000-0005-0000-0000-00001F530000}"/>
    <cellStyle name="Hyperlinkki 2 10 4" xfId="17297" xr:uid="{00000000-0005-0000-0000-000020530000}"/>
    <cellStyle name="Hyperlinkki 2 10_DataIX" xfId="32631" xr:uid="{00000000-0005-0000-0000-000021530000}"/>
    <cellStyle name="Hyperlinkki 2 11" xfId="3948" xr:uid="{00000000-0005-0000-0000-000022530000}"/>
    <cellStyle name="Hyperlinkki 2 11 2" xfId="3949" xr:uid="{00000000-0005-0000-0000-000023530000}"/>
    <cellStyle name="Hyperlinkki 2 11 2 2" xfId="9162" xr:uid="{00000000-0005-0000-0000-000024530000}"/>
    <cellStyle name="Hyperlinkki 2 11 2 3" xfId="17300" xr:uid="{00000000-0005-0000-0000-000025530000}"/>
    <cellStyle name="Hyperlinkki 2 11 2_DataIX" xfId="32634" xr:uid="{00000000-0005-0000-0000-000026530000}"/>
    <cellStyle name="Hyperlinkki 2 11 3" xfId="9161" xr:uid="{00000000-0005-0000-0000-000027530000}"/>
    <cellStyle name="Hyperlinkki 2 11 4" xfId="17299" xr:uid="{00000000-0005-0000-0000-000028530000}"/>
    <cellStyle name="Hyperlinkki 2 11_DataIX" xfId="32633" xr:uid="{00000000-0005-0000-0000-000029530000}"/>
    <cellStyle name="Hyperlinkki 2 12" xfId="3950" xr:uid="{00000000-0005-0000-0000-00002A530000}"/>
    <cellStyle name="Hyperlinkki 2 12 2" xfId="3951" xr:uid="{00000000-0005-0000-0000-00002B530000}"/>
    <cellStyle name="Hyperlinkki 2 12 2 2" xfId="9164" xr:uid="{00000000-0005-0000-0000-00002C530000}"/>
    <cellStyle name="Hyperlinkki 2 12 2 3" xfId="17302" xr:uid="{00000000-0005-0000-0000-00002D530000}"/>
    <cellStyle name="Hyperlinkki 2 12 2_DataIX" xfId="32636" xr:uid="{00000000-0005-0000-0000-00002E530000}"/>
    <cellStyle name="Hyperlinkki 2 12 3" xfId="9163" xr:uid="{00000000-0005-0000-0000-00002F530000}"/>
    <cellStyle name="Hyperlinkki 2 12 4" xfId="17301" xr:uid="{00000000-0005-0000-0000-000030530000}"/>
    <cellStyle name="Hyperlinkki 2 12_DataIX" xfId="32635" xr:uid="{00000000-0005-0000-0000-000031530000}"/>
    <cellStyle name="Hyperlinkki 2 13" xfId="3952" xr:uid="{00000000-0005-0000-0000-000032530000}"/>
    <cellStyle name="Hyperlinkki 2 13 2" xfId="3953" xr:uid="{00000000-0005-0000-0000-000033530000}"/>
    <cellStyle name="Hyperlinkki 2 13 2 2" xfId="9166" xr:uid="{00000000-0005-0000-0000-000034530000}"/>
    <cellStyle name="Hyperlinkki 2 13 2 3" xfId="17304" xr:uid="{00000000-0005-0000-0000-000035530000}"/>
    <cellStyle name="Hyperlinkki 2 13 2_DataIX" xfId="32638" xr:uid="{00000000-0005-0000-0000-000036530000}"/>
    <cellStyle name="Hyperlinkki 2 13 3" xfId="9165" xr:uid="{00000000-0005-0000-0000-000037530000}"/>
    <cellStyle name="Hyperlinkki 2 13 4" xfId="17303" xr:uid="{00000000-0005-0000-0000-000038530000}"/>
    <cellStyle name="Hyperlinkki 2 13_DataIX" xfId="32637" xr:uid="{00000000-0005-0000-0000-000039530000}"/>
    <cellStyle name="Hyperlinkki 2 14" xfId="3954" xr:uid="{00000000-0005-0000-0000-00003A530000}"/>
    <cellStyle name="Hyperlinkki 2 14 2" xfId="3955" xr:uid="{00000000-0005-0000-0000-00003B530000}"/>
    <cellStyle name="Hyperlinkki 2 14 2 2" xfId="9168" xr:uid="{00000000-0005-0000-0000-00003C530000}"/>
    <cellStyle name="Hyperlinkki 2 14 2 3" xfId="17306" xr:uid="{00000000-0005-0000-0000-00003D530000}"/>
    <cellStyle name="Hyperlinkki 2 14 2_DataIX" xfId="32640" xr:uid="{00000000-0005-0000-0000-00003E530000}"/>
    <cellStyle name="Hyperlinkki 2 14 3" xfId="9167" xr:uid="{00000000-0005-0000-0000-00003F530000}"/>
    <cellStyle name="Hyperlinkki 2 14 4" xfId="17305" xr:uid="{00000000-0005-0000-0000-000040530000}"/>
    <cellStyle name="Hyperlinkki 2 14_DataIX" xfId="32639" xr:uid="{00000000-0005-0000-0000-000041530000}"/>
    <cellStyle name="Hyperlinkki 2 15" xfId="3956" xr:uid="{00000000-0005-0000-0000-000042530000}"/>
    <cellStyle name="Hyperlinkki 2 15 2" xfId="3957" xr:uid="{00000000-0005-0000-0000-000043530000}"/>
    <cellStyle name="Hyperlinkki 2 15 2 2" xfId="9170" xr:uid="{00000000-0005-0000-0000-000044530000}"/>
    <cellStyle name="Hyperlinkki 2 15 2 3" xfId="17308" xr:uid="{00000000-0005-0000-0000-000045530000}"/>
    <cellStyle name="Hyperlinkki 2 15 2_DataIX" xfId="32642" xr:uid="{00000000-0005-0000-0000-000046530000}"/>
    <cellStyle name="Hyperlinkki 2 15 3" xfId="9169" xr:uid="{00000000-0005-0000-0000-000047530000}"/>
    <cellStyle name="Hyperlinkki 2 15 4" xfId="17307" xr:uid="{00000000-0005-0000-0000-000048530000}"/>
    <cellStyle name="Hyperlinkki 2 15_DataIX" xfId="32641" xr:uid="{00000000-0005-0000-0000-000049530000}"/>
    <cellStyle name="Hyperlinkki 2 16" xfId="3958" xr:uid="{00000000-0005-0000-0000-00004A530000}"/>
    <cellStyle name="Hyperlinkki 2 16 2" xfId="3959" xr:uid="{00000000-0005-0000-0000-00004B530000}"/>
    <cellStyle name="Hyperlinkki 2 16 2 2" xfId="9172" xr:uid="{00000000-0005-0000-0000-00004C530000}"/>
    <cellStyle name="Hyperlinkki 2 16 2 3" xfId="17310" xr:uid="{00000000-0005-0000-0000-00004D530000}"/>
    <cellStyle name="Hyperlinkki 2 16 2_DataIX" xfId="32644" xr:uid="{00000000-0005-0000-0000-00004E530000}"/>
    <cellStyle name="Hyperlinkki 2 16 3" xfId="9171" xr:uid="{00000000-0005-0000-0000-00004F530000}"/>
    <cellStyle name="Hyperlinkki 2 16 4" xfId="17309" xr:uid="{00000000-0005-0000-0000-000050530000}"/>
    <cellStyle name="Hyperlinkki 2 16_DataIX" xfId="32643" xr:uid="{00000000-0005-0000-0000-000051530000}"/>
    <cellStyle name="Hyperlinkki 2 17" xfId="3960" xr:uid="{00000000-0005-0000-0000-000052530000}"/>
    <cellStyle name="Hyperlinkki 2 17 2" xfId="3961" xr:uid="{00000000-0005-0000-0000-000053530000}"/>
    <cellStyle name="Hyperlinkki 2 17 2 2" xfId="9174" xr:uid="{00000000-0005-0000-0000-000054530000}"/>
    <cellStyle name="Hyperlinkki 2 17 2 3" xfId="17312" xr:uid="{00000000-0005-0000-0000-000055530000}"/>
    <cellStyle name="Hyperlinkki 2 17 2_DataIX" xfId="32646" xr:uid="{00000000-0005-0000-0000-000056530000}"/>
    <cellStyle name="Hyperlinkki 2 17 3" xfId="9173" xr:uid="{00000000-0005-0000-0000-000057530000}"/>
    <cellStyle name="Hyperlinkki 2 17 4" xfId="17311" xr:uid="{00000000-0005-0000-0000-000058530000}"/>
    <cellStyle name="Hyperlinkki 2 17_DataIX" xfId="32645" xr:uid="{00000000-0005-0000-0000-000059530000}"/>
    <cellStyle name="Hyperlinkki 2 18" xfId="3962" xr:uid="{00000000-0005-0000-0000-00005A530000}"/>
    <cellStyle name="Hyperlinkki 2 18 2" xfId="3963" xr:uid="{00000000-0005-0000-0000-00005B530000}"/>
    <cellStyle name="Hyperlinkki 2 18 2 2" xfId="9176" xr:uid="{00000000-0005-0000-0000-00005C530000}"/>
    <cellStyle name="Hyperlinkki 2 18 2 3" xfId="17314" xr:uid="{00000000-0005-0000-0000-00005D530000}"/>
    <cellStyle name="Hyperlinkki 2 18 2_DataIX" xfId="32648" xr:uid="{00000000-0005-0000-0000-00005E530000}"/>
    <cellStyle name="Hyperlinkki 2 18 3" xfId="9175" xr:uid="{00000000-0005-0000-0000-00005F530000}"/>
    <cellStyle name="Hyperlinkki 2 18 4" xfId="17313" xr:uid="{00000000-0005-0000-0000-000060530000}"/>
    <cellStyle name="Hyperlinkki 2 18_DataIX" xfId="32647" xr:uid="{00000000-0005-0000-0000-000061530000}"/>
    <cellStyle name="Hyperlinkki 2 19" xfId="3964" xr:uid="{00000000-0005-0000-0000-000062530000}"/>
    <cellStyle name="Hyperlinkki 2 19 2" xfId="3965" xr:uid="{00000000-0005-0000-0000-000063530000}"/>
    <cellStyle name="Hyperlinkki 2 19 2 2" xfId="9178" xr:uid="{00000000-0005-0000-0000-000064530000}"/>
    <cellStyle name="Hyperlinkki 2 19 2 3" xfId="17316" xr:uid="{00000000-0005-0000-0000-000065530000}"/>
    <cellStyle name="Hyperlinkki 2 19 2_DataIX" xfId="32650" xr:uid="{00000000-0005-0000-0000-000066530000}"/>
    <cellStyle name="Hyperlinkki 2 19 3" xfId="9177" xr:uid="{00000000-0005-0000-0000-000067530000}"/>
    <cellStyle name="Hyperlinkki 2 19 4" xfId="17315" xr:uid="{00000000-0005-0000-0000-000068530000}"/>
    <cellStyle name="Hyperlinkki 2 19_DataIX" xfId="32649" xr:uid="{00000000-0005-0000-0000-000069530000}"/>
    <cellStyle name="Hyperlinkki 2 2" xfId="3966" xr:uid="{00000000-0005-0000-0000-00006A530000}"/>
    <cellStyle name="Hyperlinkki 2 2 2" xfId="3967" xr:uid="{00000000-0005-0000-0000-00006B530000}"/>
    <cellStyle name="Hyperlinkki 2 2 2 2" xfId="3968" xr:uid="{00000000-0005-0000-0000-00006C530000}"/>
    <cellStyle name="Hyperlinkki 2 2 2 2 2" xfId="9181" xr:uid="{00000000-0005-0000-0000-00006D530000}"/>
    <cellStyle name="Hyperlinkki 2 2 2 2 3" xfId="17319" xr:uid="{00000000-0005-0000-0000-00006E530000}"/>
    <cellStyle name="Hyperlinkki 2 2 2 2_DataIX" xfId="32652" xr:uid="{00000000-0005-0000-0000-00006F530000}"/>
    <cellStyle name="Hyperlinkki 2 2 2 3" xfId="9180" xr:uid="{00000000-0005-0000-0000-000070530000}"/>
    <cellStyle name="Hyperlinkki 2 2 2 4" xfId="17318" xr:uid="{00000000-0005-0000-0000-000071530000}"/>
    <cellStyle name="Hyperlinkki 2 2 2_DataIX" xfId="32651" xr:uid="{00000000-0005-0000-0000-000072530000}"/>
    <cellStyle name="Hyperlinkki 2 2 3" xfId="3969" xr:uid="{00000000-0005-0000-0000-000073530000}"/>
    <cellStyle name="Hyperlinkki 2 2 3 2" xfId="9182" xr:uid="{00000000-0005-0000-0000-000074530000}"/>
    <cellStyle name="Hyperlinkki 2 2 3 3" xfId="17320" xr:uid="{00000000-0005-0000-0000-000075530000}"/>
    <cellStyle name="Hyperlinkki 2 2 3_DataIX" xfId="32653" xr:uid="{00000000-0005-0000-0000-000076530000}"/>
    <cellStyle name="Hyperlinkki 2 2 4" xfId="3970" xr:uid="{00000000-0005-0000-0000-000077530000}"/>
    <cellStyle name="Hyperlinkki 2 2 4 2" xfId="9183" xr:uid="{00000000-0005-0000-0000-000078530000}"/>
    <cellStyle name="Hyperlinkki 2 2 4 3" xfId="17321" xr:uid="{00000000-0005-0000-0000-000079530000}"/>
    <cellStyle name="Hyperlinkki 2 2 4_DataIX" xfId="32654" xr:uid="{00000000-0005-0000-0000-00007A530000}"/>
    <cellStyle name="Hyperlinkki 2 2 5" xfId="3971" xr:uid="{00000000-0005-0000-0000-00007B530000}"/>
    <cellStyle name="Hyperlinkki 2 2 5 2" xfId="9184" xr:uid="{00000000-0005-0000-0000-00007C530000}"/>
    <cellStyle name="Hyperlinkki 2 2 5 3" xfId="17322" xr:uid="{00000000-0005-0000-0000-00007D530000}"/>
    <cellStyle name="Hyperlinkki 2 2 5_DataIX" xfId="32655" xr:uid="{00000000-0005-0000-0000-00007E530000}"/>
    <cellStyle name="Hyperlinkki 2 2 6" xfId="17317" xr:uid="{00000000-0005-0000-0000-00007F530000}"/>
    <cellStyle name="Hyperlinkki 2 2_##Keskeiset" xfId="9179" xr:uid="{00000000-0005-0000-0000-000080530000}"/>
    <cellStyle name="Hyperlinkki 2 20" xfId="3972" xr:uid="{00000000-0005-0000-0000-000081530000}"/>
    <cellStyle name="Hyperlinkki 2 20 2" xfId="3973" xr:uid="{00000000-0005-0000-0000-000082530000}"/>
    <cellStyle name="Hyperlinkki 2 20 2 2" xfId="9186" xr:uid="{00000000-0005-0000-0000-000083530000}"/>
    <cellStyle name="Hyperlinkki 2 20 2 3" xfId="17324" xr:uid="{00000000-0005-0000-0000-000084530000}"/>
    <cellStyle name="Hyperlinkki 2 20 2_DataIX" xfId="32657" xr:uid="{00000000-0005-0000-0000-000085530000}"/>
    <cellStyle name="Hyperlinkki 2 20 3" xfId="9185" xr:uid="{00000000-0005-0000-0000-000086530000}"/>
    <cellStyle name="Hyperlinkki 2 20 4" xfId="17323" xr:uid="{00000000-0005-0000-0000-000087530000}"/>
    <cellStyle name="Hyperlinkki 2 20_DataIX" xfId="32656" xr:uid="{00000000-0005-0000-0000-000088530000}"/>
    <cellStyle name="Hyperlinkki 2 21" xfId="3974" xr:uid="{00000000-0005-0000-0000-000089530000}"/>
    <cellStyle name="Hyperlinkki 2 21 2" xfId="3975" xr:uid="{00000000-0005-0000-0000-00008A530000}"/>
    <cellStyle name="Hyperlinkki 2 21 2 2" xfId="9188" xr:uid="{00000000-0005-0000-0000-00008B530000}"/>
    <cellStyle name="Hyperlinkki 2 21 2 3" xfId="17326" xr:uid="{00000000-0005-0000-0000-00008C530000}"/>
    <cellStyle name="Hyperlinkki 2 21 2_DataIX" xfId="32659" xr:uid="{00000000-0005-0000-0000-00008D530000}"/>
    <cellStyle name="Hyperlinkki 2 21 3" xfId="9187" xr:uid="{00000000-0005-0000-0000-00008E530000}"/>
    <cellStyle name="Hyperlinkki 2 21 4" xfId="17325" xr:uid="{00000000-0005-0000-0000-00008F530000}"/>
    <cellStyle name="Hyperlinkki 2 21_DataIX" xfId="32658" xr:uid="{00000000-0005-0000-0000-000090530000}"/>
    <cellStyle name="Hyperlinkki 2 22" xfId="3976" xr:uid="{00000000-0005-0000-0000-000091530000}"/>
    <cellStyle name="Hyperlinkki 2 22 2" xfId="3977" xr:uid="{00000000-0005-0000-0000-000092530000}"/>
    <cellStyle name="Hyperlinkki 2 22 2 2" xfId="9190" xr:uid="{00000000-0005-0000-0000-000093530000}"/>
    <cellStyle name="Hyperlinkki 2 22 2 3" xfId="17328" xr:uid="{00000000-0005-0000-0000-000094530000}"/>
    <cellStyle name="Hyperlinkki 2 22 2_DataIX" xfId="32661" xr:uid="{00000000-0005-0000-0000-000095530000}"/>
    <cellStyle name="Hyperlinkki 2 22 3" xfId="9189" xr:uid="{00000000-0005-0000-0000-000096530000}"/>
    <cellStyle name="Hyperlinkki 2 22 4" xfId="17327" xr:uid="{00000000-0005-0000-0000-000097530000}"/>
    <cellStyle name="Hyperlinkki 2 22_DataIX" xfId="32660" xr:uid="{00000000-0005-0000-0000-000098530000}"/>
    <cellStyle name="Hyperlinkki 2 23" xfId="3978" xr:uid="{00000000-0005-0000-0000-000099530000}"/>
    <cellStyle name="Hyperlinkki 2 23 2" xfId="3979" xr:uid="{00000000-0005-0000-0000-00009A530000}"/>
    <cellStyle name="Hyperlinkki 2 23 2 2" xfId="9192" xr:uid="{00000000-0005-0000-0000-00009B530000}"/>
    <cellStyle name="Hyperlinkki 2 23 2 3" xfId="17330" xr:uid="{00000000-0005-0000-0000-00009C530000}"/>
    <cellStyle name="Hyperlinkki 2 23 2_DataIX" xfId="32663" xr:uid="{00000000-0005-0000-0000-00009D530000}"/>
    <cellStyle name="Hyperlinkki 2 23 3" xfId="9191" xr:uid="{00000000-0005-0000-0000-00009E530000}"/>
    <cellStyle name="Hyperlinkki 2 23 4" xfId="17329" xr:uid="{00000000-0005-0000-0000-00009F530000}"/>
    <cellStyle name="Hyperlinkki 2 23_DataIX" xfId="32662" xr:uid="{00000000-0005-0000-0000-0000A0530000}"/>
    <cellStyle name="Hyperlinkki 2 24" xfId="3980" xr:uid="{00000000-0005-0000-0000-0000A1530000}"/>
    <cellStyle name="Hyperlinkki 2 24 2" xfId="3981" xr:uid="{00000000-0005-0000-0000-0000A2530000}"/>
    <cellStyle name="Hyperlinkki 2 24 2 2" xfId="9194" xr:uid="{00000000-0005-0000-0000-0000A3530000}"/>
    <cellStyle name="Hyperlinkki 2 24 2 3" xfId="17332" xr:uid="{00000000-0005-0000-0000-0000A4530000}"/>
    <cellStyle name="Hyperlinkki 2 24 2_DataIX" xfId="32665" xr:uid="{00000000-0005-0000-0000-0000A5530000}"/>
    <cellStyle name="Hyperlinkki 2 24 3" xfId="9193" xr:uid="{00000000-0005-0000-0000-0000A6530000}"/>
    <cellStyle name="Hyperlinkki 2 24 4" xfId="17331" xr:uid="{00000000-0005-0000-0000-0000A7530000}"/>
    <cellStyle name="Hyperlinkki 2 24_DataIX" xfId="32664" xr:uid="{00000000-0005-0000-0000-0000A8530000}"/>
    <cellStyle name="Hyperlinkki 2 25" xfId="3982" xr:uid="{00000000-0005-0000-0000-0000A9530000}"/>
    <cellStyle name="Hyperlinkki 2 25 2" xfId="3983" xr:uid="{00000000-0005-0000-0000-0000AA530000}"/>
    <cellStyle name="Hyperlinkki 2 25 2 2" xfId="9196" xr:uid="{00000000-0005-0000-0000-0000AB530000}"/>
    <cellStyle name="Hyperlinkki 2 25 2 3" xfId="17334" xr:uid="{00000000-0005-0000-0000-0000AC530000}"/>
    <cellStyle name="Hyperlinkki 2 25 2_DataIX" xfId="32667" xr:uid="{00000000-0005-0000-0000-0000AD530000}"/>
    <cellStyle name="Hyperlinkki 2 25 3" xfId="9195" xr:uid="{00000000-0005-0000-0000-0000AE530000}"/>
    <cellStyle name="Hyperlinkki 2 25 4" xfId="17333" xr:uid="{00000000-0005-0000-0000-0000AF530000}"/>
    <cellStyle name="Hyperlinkki 2 25_DataIX" xfId="32666" xr:uid="{00000000-0005-0000-0000-0000B0530000}"/>
    <cellStyle name="Hyperlinkki 2 26" xfId="3984" xr:uid="{00000000-0005-0000-0000-0000B1530000}"/>
    <cellStyle name="Hyperlinkki 2 26 2" xfId="3985" xr:uid="{00000000-0005-0000-0000-0000B2530000}"/>
    <cellStyle name="Hyperlinkki 2 26 2 2" xfId="9198" xr:uid="{00000000-0005-0000-0000-0000B3530000}"/>
    <cellStyle name="Hyperlinkki 2 26 2 3" xfId="17336" xr:uid="{00000000-0005-0000-0000-0000B4530000}"/>
    <cellStyle name="Hyperlinkki 2 26 2_DataIX" xfId="32669" xr:uid="{00000000-0005-0000-0000-0000B5530000}"/>
    <cellStyle name="Hyperlinkki 2 26 3" xfId="9197" xr:uid="{00000000-0005-0000-0000-0000B6530000}"/>
    <cellStyle name="Hyperlinkki 2 26 4" xfId="17335" xr:uid="{00000000-0005-0000-0000-0000B7530000}"/>
    <cellStyle name="Hyperlinkki 2 26_DataIX" xfId="32668" xr:uid="{00000000-0005-0000-0000-0000B8530000}"/>
    <cellStyle name="Hyperlinkki 2 27" xfId="3986" xr:uid="{00000000-0005-0000-0000-0000B9530000}"/>
    <cellStyle name="Hyperlinkki 2 27 2" xfId="3987" xr:uid="{00000000-0005-0000-0000-0000BA530000}"/>
    <cellStyle name="Hyperlinkki 2 27 2 2" xfId="9200" xr:uid="{00000000-0005-0000-0000-0000BB530000}"/>
    <cellStyle name="Hyperlinkki 2 27 2 3" xfId="17338" xr:uid="{00000000-0005-0000-0000-0000BC530000}"/>
    <cellStyle name="Hyperlinkki 2 27 2_DataIX" xfId="32671" xr:uid="{00000000-0005-0000-0000-0000BD530000}"/>
    <cellStyle name="Hyperlinkki 2 27 3" xfId="9199" xr:uid="{00000000-0005-0000-0000-0000BE530000}"/>
    <cellStyle name="Hyperlinkki 2 27 4" xfId="17337" xr:uid="{00000000-0005-0000-0000-0000BF530000}"/>
    <cellStyle name="Hyperlinkki 2 27_DataIX" xfId="32670" xr:uid="{00000000-0005-0000-0000-0000C0530000}"/>
    <cellStyle name="Hyperlinkki 2 28" xfId="3988" xr:uid="{00000000-0005-0000-0000-0000C1530000}"/>
    <cellStyle name="Hyperlinkki 2 28 2" xfId="3989" xr:uid="{00000000-0005-0000-0000-0000C2530000}"/>
    <cellStyle name="Hyperlinkki 2 28 2 2" xfId="9202" xr:uid="{00000000-0005-0000-0000-0000C3530000}"/>
    <cellStyle name="Hyperlinkki 2 28 2 3" xfId="17340" xr:uid="{00000000-0005-0000-0000-0000C4530000}"/>
    <cellStyle name="Hyperlinkki 2 28 2_DataIX" xfId="32673" xr:uid="{00000000-0005-0000-0000-0000C5530000}"/>
    <cellStyle name="Hyperlinkki 2 28 3" xfId="9201" xr:uid="{00000000-0005-0000-0000-0000C6530000}"/>
    <cellStyle name="Hyperlinkki 2 28 4" xfId="17339" xr:uid="{00000000-0005-0000-0000-0000C7530000}"/>
    <cellStyle name="Hyperlinkki 2 28_DataIX" xfId="32672" xr:uid="{00000000-0005-0000-0000-0000C8530000}"/>
    <cellStyle name="Hyperlinkki 2 29" xfId="3990" xr:uid="{00000000-0005-0000-0000-0000C9530000}"/>
    <cellStyle name="Hyperlinkki 2 29 2" xfId="3991" xr:uid="{00000000-0005-0000-0000-0000CA530000}"/>
    <cellStyle name="Hyperlinkki 2 29 2 2" xfId="9204" xr:uid="{00000000-0005-0000-0000-0000CB530000}"/>
    <cellStyle name="Hyperlinkki 2 29 2 3" xfId="17342" xr:uid="{00000000-0005-0000-0000-0000CC530000}"/>
    <cellStyle name="Hyperlinkki 2 29 2_DataIX" xfId="32675" xr:uid="{00000000-0005-0000-0000-0000CD530000}"/>
    <cellStyle name="Hyperlinkki 2 29 3" xfId="9203" xr:uid="{00000000-0005-0000-0000-0000CE530000}"/>
    <cellStyle name="Hyperlinkki 2 29 4" xfId="17341" xr:uid="{00000000-0005-0000-0000-0000CF530000}"/>
    <cellStyle name="Hyperlinkki 2 29_DataIX" xfId="32674" xr:uid="{00000000-0005-0000-0000-0000D0530000}"/>
    <cellStyle name="Hyperlinkki 2 3" xfId="3992" xr:uid="{00000000-0005-0000-0000-0000D1530000}"/>
    <cellStyle name="Hyperlinkki 2 3 2" xfId="3993" xr:uid="{00000000-0005-0000-0000-0000D2530000}"/>
    <cellStyle name="Hyperlinkki 2 3 2 2" xfId="9206" xr:uid="{00000000-0005-0000-0000-0000D3530000}"/>
    <cellStyle name="Hyperlinkki 2 3 2 3" xfId="17344" xr:uid="{00000000-0005-0000-0000-0000D4530000}"/>
    <cellStyle name="Hyperlinkki 2 3 2_DataIX" xfId="32677" xr:uid="{00000000-0005-0000-0000-0000D5530000}"/>
    <cellStyle name="Hyperlinkki 2 3 3" xfId="3994" xr:uid="{00000000-0005-0000-0000-0000D6530000}"/>
    <cellStyle name="Hyperlinkki 2 3 3 2" xfId="9207" xr:uid="{00000000-0005-0000-0000-0000D7530000}"/>
    <cellStyle name="Hyperlinkki 2 3 3 3" xfId="17345" xr:uid="{00000000-0005-0000-0000-0000D8530000}"/>
    <cellStyle name="Hyperlinkki 2 3 3_DataIX" xfId="32678" xr:uid="{00000000-0005-0000-0000-0000D9530000}"/>
    <cellStyle name="Hyperlinkki 2 3 4" xfId="3995" xr:uid="{00000000-0005-0000-0000-0000DA530000}"/>
    <cellStyle name="Hyperlinkki 2 3 4 2" xfId="9208" xr:uid="{00000000-0005-0000-0000-0000DB530000}"/>
    <cellStyle name="Hyperlinkki 2 3 4 3" xfId="17346" xr:uid="{00000000-0005-0000-0000-0000DC530000}"/>
    <cellStyle name="Hyperlinkki 2 3 4_DataIX" xfId="32679" xr:uid="{00000000-0005-0000-0000-0000DD530000}"/>
    <cellStyle name="Hyperlinkki 2 3 5" xfId="9205" xr:uid="{00000000-0005-0000-0000-0000DE530000}"/>
    <cellStyle name="Hyperlinkki 2 3 6" xfId="17343" xr:uid="{00000000-0005-0000-0000-0000DF530000}"/>
    <cellStyle name="Hyperlinkki 2 3_DataIX" xfId="32676" xr:uid="{00000000-0005-0000-0000-0000E0530000}"/>
    <cellStyle name="Hyperlinkki 2 30" xfId="3996" xr:uid="{00000000-0005-0000-0000-0000E1530000}"/>
    <cellStyle name="Hyperlinkki 2 30 2" xfId="3997" xr:uid="{00000000-0005-0000-0000-0000E2530000}"/>
    <cellStyle name="Hyperlinkki 2 30 2 2" xfId="9210" xr:uid="{00000000-0005-0000-0000-0000E3530000}"/>
    <cellStyle name="Hyperlinkki 2 30 2 3" xfId="17348" xr:uid="{00000000-0005-0000-0000-0000E4530000}"/>
    <cellStyle name="Hyperlinkki 2 30 2_DataIX" xfId="32681" xr:uid="{00000000-0005-0000-0000-0000E5530000}"/>
    <cellStyle name="Hyperlinkki 2 30 3" xfId="9209" xr:uid="{00000000-0005-0000-0000-0000E6530000}"/>
    <cellStyle name="Hyperlinkki 2 30 4" xfId="17347" xr:uid="{00000000-0005-0000-0000-0000E7530000}"/>
    <cellStyle name="Hyperlinkki 2 30_DataIX" xfId="32680" xr:uid="{00000000-0005-0000-0000-0000E8530000}"/>
    <cellStyle name="Hyperlinkki 2 31" xfId="3998" xr:uid="{00000000-0005-0000-0000-0000E9530000}"/>
    <cellStyle name="Hyperlinkki 2 31 2" xfId="9211" xr:uid="{00000000-0005-0000-0000-0000EA530000}"/>
    <cellStyle name="Hyperlinkki 2 31 3" xfId="17349" xr:uid="{00000000-0005-0000-0000-0000EB530000}"/>
    <cellStyle name="Hyperlinkki 2 31_DataIX" xfId="32682" xr:uid="{00000000-0005-0000-0000-0000EC530000}"/>
    <cellStyle name="Hyperlinkki 2 32" xfId="3999" xr:uid="{00000000-0005-0000-0000-0000ED530000}"/>
    <cellStyle name="Hyperlinkki 2 32 2" xfId="9212" xr:uid="{00000000-0005-0000-0000-0000EE530000}"/>
    <cellStyle name="Hyperlinkki 2 32 3" xfId="17350" xr:uid="{00000000-0005-0000-0000-0000EF530000}"/>
    <cellStyle name="Hyperlinkki 2 32_DataIX" xfId="32683" xr:uid="{00000000-0005-0000-0000-0000F0530000}"/>
    <cellStyle name="Hyperlinkki 2 33" xfId="4000" xr:uid="{00000000-0005-0000-0000-0000F1530000}"/>
    <cellStyle name="Hyperlinkki 2 33 2" xfId="9213" xr:uid="{00000000-0005-0000-0000-0000F2530000}"/>
    <cellStyle name="Hyperlinkki 2 33 3" xfId="17351" xr:uid="{00000000-0005-0000-0000-0000F3530000}"/>
    <cellStyle name="Hyperlinkki 2 33_DataIX" xfId="32684" xr:uid="{00000000-0005-0000-0000-0000F4530000}"/>
    <cellStyle name="Hyperlinkki 2 34" xfId="4001" xr:uid="{00000000-0005-0000-0000-0000F5530000}"/>
    <cellStyle name="Hyperlinkki 2 34 2" xfId="9214" xr:uid="{00000000-0005-0000-0000-0000F6530000}"/>
    <cellStyle name="Hyperlinkki 2 34 3" xfId="17352" xr:uid="{00000000-0005-0000-0000-0000F7530000}"/>
    <cellStyle name="Hyperlinkki 2 34_DataIX" xfId="32685" xr:uid="{00000000-0005-0000-0000-0000F8530000}"/>
    <cellStyle name="Hyperlinkki 2 35" xfId="4002" xr:uid="{00000000-0005-0000-0000-0000F9530000}"/>
    <cellStyle name="Hyperlinkki 2 35 2" xfId="9215" xr:uid="{00000000-0005-0000-0000-0000FA530000}"/>
    <cellStyle name="Hyperlinkki 2 35 3" xfId="17353" xr:uid="{00000000-0005-0000-0000-0000FB530000}"/>
    <cellStyle name="Hyperlinkki 2 35_DataIX" xfId="32686" xr:uid="{00000000-0005-0000-0000-0000FC530000}"/>
    <cellStyle name="Hyperlinkki 2 36" xfId="4003" xr:uid="{00000000-0005-0000-0000-0000FD530000}"/>
    <cellStyle name="Hyperlinkki 2 36 2" xfId="9216" xr:uid="{00000000-0005-0000-0000-0000FE530000}"/>
    <cellStyle name="Hyperlinkki 2 36 3" xfId="17354" xr:uid="{00000000-0005-0000-0000-0000FF530000}"/>
    <cellStyle name="Hyperlinkki 2 36_DataIX" xfId="32687" xr:uid="{00000000-0005-0000-0000-000000540000}"/>
    <cellStyle name="Hyperlinkki 2 37" xfId="4004" xr:uid="{00000000-0005-0000-0000-000001540000}"/>
    <cellStyle name="Hyperlinkki 2 37 2" xfId="9217" xr:uid="{00000000-0005-0000-0000-000002540000}"/>
    <cellStyle name="Hyperlinkki 2 37 3" xfId="17355" xr:uid="{00000000-0005-0000-0000-000003540000}"/>
    <cellStyle name="Hyperlinkki 2 37_DataIX" xfId="32688" xr:uid="{00000000-0005-0000-0000-000004540000}"/>
    <cellStyle name="Hyperlinkki 2 38" xfId="4005" xr:uid="{00000000-0005-0000-0000-000005540000}"/>
    <cellStyle name="Hyperlinkki 2 38 2" xfId="9218" xr:uid="{00000000-0005-0000-0000-000006540000}"/>
    <cellStyle name="Hyperlinkki 2 38 3" xfId="17356" xr:uid="{00000000-0005-0000-0000-000007540000}"/>
    <cellStyle name="Hyperlinkki 2 38_DataIX" xfId="32689" xr:uid="{00000000-0005-0000-0000-000008540000}"/>
    <cellStyle name="Hyperlinkki 2 39" xfId="25140" xr:uid="{00000000-0005-0000-0000-000009540000}"/>
    <cellStyle name="Hyperlinkki 2 4" xfId="4006" xr:uid="{00000000-0005-0000-0000-00000A540000}"/>
    <cellStyle name="Hyperlinkki 2 4 2" xfId="4007" xr:uid="{00000000-0005-0000-0000-00000B540000}"/>
    <cellStyle name="Hyperlinkki 2 4 2 2" xfId="9220" xr:uid="{00000000-0005-0000-0000-00000C540000}"/>
    <cellStyle name="Hyperlinkki 2 4 2 3" xfId="17358" xr:uid="{00000000-0005-0000-0000-00000D540000}"/>
    <cellStyle name="Hyperlinkki 2 4 2_DataIX" xfId="32691" xr:uid="{00000000-0005-0000-0000-00000E540000}"/>
    <cellStyle name="Hyperlinkki 2 4 3" xfId="9219" xr:uid="{00000000-0005-0000-0000-00000F540000}"/>
    <cellStyle name="Hyperlinkki 2 4 4" xfId="17357" xr:uid="{00000000-0005-0000-0000-000010540000}"/>
    <cellStyle name="Hyperlinkki 2 4_DataIX" xfId="32690" xr:uid="{00000000-0005-0000-0000-000011540000}"/>
    <cellStyle name="Hyperlinkki 2 40" xfId="26150" xr:uid="{00000000-0005-0000-0000-000012540000}"/>
    <cellStyle name="Hyperlinkki 2 41" xfId="26581" xr:uid="{00000000-0005-0000-0000-000013540000}"/>
    <cellStyle name="Hyperlinkki 2 42" xfId="26234" xr:uid="{00000000-0005-0000-0000-000014540000}"/>
    <cellStyle name="Hyperlinkki 2 43" xfId="25288" xr:uid="{00000000-0005-0000-0000-000015540000}"/>
    <cellStyle name="Hyperlinkki 2 44" xfId="25849" xr:uid="{00000000-0005-0000-0000-000016540000}"/>
    <cellStyle name="Hyperlinkki 2 45" xfId="26417" xr:uid="{00000000-0005-0000-0000-000017540000}"/>
    <cellStyle name="Hyperlinkki 2 46" xfId="26621" xr:uid="{00000000-0005-0000-0000-000018540000}"/>
    <cellStyle name="Hyperlinkki 2 47" xfId="26014" xr:uid="{00000000-0005-0000-0000-000019540000}"/>
    <cellStyle name="Hyperlinkki 2 48" xfId="26218" xr:uid="{00000000-0005-0000-0000-00001A540000}"/>
    <cellStyle name="Hyperlinkki 2 49" xfId="25869" xr:uid="{00000000-0005-0000-0000-00001B540000}"/>
    <cellStyle name="Hyperlinkki 2 5" xfId="4008" xr:uid="{00000000-0005-0000-0000-00001C540000}"/>
    <cellStyle name="Hyperlinkki 2 5 2" xfId="4009" xr:uid="{00000000-0005-0000-0000-00001D540000}"/>
    <cellStyle name="Hyperlinkki 2 5 2 2" xfId="9222" xr:uid="{00000000-0005-0000-0000-00001E540000}"/>
    <cellStyle name="Hyperlinkki 2 5 2 3" xfId="17360" xr:uid="{00000000-0005-0000-0000-00001F540000}"/>
    <cellStyle name="Hyperlinkki 2 5 2_DataIX" xfId="32693" xr:uid="{00000000-0005-0000-0000-000020540000}"/>
    <cellStyle name="Hyperlinkki 2 5 3" xfId="9221" xr:uid="{00000000-0005-0000-0000-000021540000}"/>
    <cellStyle name="Hyperlinkki 2 5 4" xfId="17359" xr:uid="{00000000-0005-0000-0000-000022540000}"/>
    <cellStyle name="Hyperlinkki 2 5_DataIX" xfId="32692" xr:uid="{00000000-0005-0000-0000-000023540000}"/>
    <cellStyle name="Hyperlinkki 2 50" xfId="26370" xr:uid="{00000000-0005-0000-0000-000024540000}"/>
    <cellStyle name="Hyperlinkki 2 51" xfId="25694" xr:uid="{00000000-0005-0000-0000-000025540000}"/>
    <cellStyle name="Hyperlinkki 2 52" xfId="25727" xr:uid="{00000000-0005-0000-0000-000026540000}"/>
    <cellStyle name="Hyperlinkki 2 53" xfId="26623" xr:uid="{00000000-0005-0000-0000-000027540000}"/>
    <cellStyle name="Hyperlinkki 2 54" xfId="25731" xr:uid="{00000000-0005-0000-0000-000028540000}"/>
    <cellStyle name="Hyperlinkki 2 6" xfId="4010" xr:uid="{00000000-0005-0000-0000-000029540000}"/>
    <cellStyle name="Hyperlinkki 2 6 2" xfId="4011" xr:uid="{00000000-0005-0000-0000-00002A540000}"/>
    <cellStyle name="Hyperlinkki 2 6 2 2" xfId="9224" xr:uid="{00000000-0005-0000-0000-00002B540000}"/>
    <cellStyle name="Hyperlinkki 2 6 2 3" xfId="17362" xr:uid="{00000000-0005-0000-0000-00002C540000}"/>
    <cellStyle name="Hyperlinkki 2 6 2_DataIX" xfId="32695" xr:uid="{00000000-0005-0000-0000-00002D540000}"/>
    <cellStyle name="Hyperlinkki 2 6 3" xfId="9223" xr:uid="{00000000-0005-0000-0000-00002E540000}"/>
    <cellStyle name="Hyperlinkki 2 6 4" xfId="17361" xr:uid="{00000000-0005-0000-0000-00002F540000}"/>
    <cellStyle name="Hyperlinkki 2 6_DataIX" xfId="32694" xr:uid="{00000000-0005-0000-0000-000030540000}"/>
    <cellStyle name="Hyperlinkki 2 7" xfId="4012" xr:uid="{00000000-0005-0000-0000-000031540000}"/>
    <cellStyle name="Hyperlinkki 2 7 2" xfId="4013" xr:uid="{00000000-0005-0000-0000-000032540000}"/>
    <cellStyle name="Hyperlinkki 2 7 2 2" xfId="9226" xr:uid="{00000000-0005-0000-0000-000033540000}"/>
    <cellStyle name="Hyperlinkki 2 7 2 3" xfId="17364" xr:uid="{00000000-0005-0000-0000-000034540000}"/>
    <cellStyle name="Hyperlinkki 2 7 2_DataIX" xfId="32697" xr:uid="{00000000-0005-0000-0000-000035540000}"/>
    <cellStyle name="Hyperlinkki 2 7 3" xfId="9225" xr:uid="{00000000-0005-0000-0000-000036540000}"/>
    <cellStyle name="Hyperlinkki 2 7 4" xfId="17363" xr:uid="{00000000-0005-0000-0000-000037540000}"/>
    <cellStyle name="Hyperlinkki 2 7_DataIX" xfId="32696" xr:uid="{00000000-0005-0000-0000-000038540000}"/>
    <cellStyle name="Hyperlinkki 2 8" xfId="4014" xr:uid="{00000000-0005-0000-0000-000039540000}"/>
    <cellStyle name="Hyperlinkki 2 8 2" xfId="4015" xr:uid="{00000000-0005-0000-0000-00003A540000}"/>
    <cellStyle name="Hyperlinkki 2 8 2 2" xfId="9228" xr:uid="{00000000-0005-0000-0000-00003B540000}"/>
    <cellStyle name="Hyperlinkki 2 8 2 3" xfId="17366" xr:uid="{00000000-0005-0000-0000-00003C540000}"/>
    <cellStyle name="Hyperlinkki 2 8 2_DataIX" xfId="32699" xr:uid="{00000000-0005-0000-0000-00003D540000}"/>
    <cellStyle name="Hyperlinkki 2 8 3" xfId="9227" xr:uid="{00000000-0005-0000-0000-00003E540000}"/>
    <cellStyle name="Hyperlinkki 2 8 4" xfId="17365" xr:uid="{00000000-0005-0000-0000-00003F540000}"/>
    <cellStyle name="Hyperlinkki 2 8_DataIX" xfId="32698" xr:uid="{00000000-0005-0000-0000-000040540000}"/>
    <cellStyle name="Hyperlinkki 2 9" xfId="4016" xr:uid="{00000000-0005-0000-0000-000041540000}"/>
    <cellStyle name="Hyperlinkki 2 9 2" xfId="4017" xr:uid="{00000000-0005-0000-0000-000042540000}"/>
    <cellStyle name="Hyperlinkki 2 9 2 2" xfId="9230" xr:uid="{00000000-0005-0000-0000-000043540000}"/>
    <cellStyle name="Hyperlinkki 2 9 2 3" xfId="17368" xr:uid="{00000000-0005-0000-0000-000044540000}"/>
    <cellStyle name="Hyperlinkki 2 9 2_DataIX" xfId="32701" xr:uid="{00000000-0005-0000-0000-000045540000}"/>
    <cellStyle name="Hyperlinkki 2 9 3" xfId="9229" xr:uid="{00000000-0005-0000-0000-000046540000}"/>
    <cellStyle name="Hyperlinkki 2 9 4" xfId="17367" xr:uid="{00000000-0005-0000-0000-000047540000}"/>
    <cellStyle name="Hyperlinkki 2 9_DataIX" xfId="32700" xr:uid="{00000000-0005-0000-0000-000048540000}"/>
    <cellStyle name="Hyperlinkki 2_##Keskeiset" xfId="5611" xr:uid="{00000000-0005-0000-0000-000049540000}"/>
    <cellStyle name="Hyperlinkki 20 2" xfId="4018" xr:uid="{00000000-0005-0000-0000-00004A540000}"/>
    <cellStyle name="Hyperlinkki 20 2 2" xfId="4019" xr:uid="{00000000-0005-0000-0000-00004B540000}"/>
    <cellStyle name="Hyperlinkki 20 2 2 2" xfId="9232" xr:uid="{00000000-0005-0000-0000-00004C540000}"/>
    <cellStyle name="Hyperlinkki 20 2 2 3" xfId="17370" xr:uid="{00000000-0005-0000-0000-00004D540000}"/>
    <cellStyle name="Hyperlinkki 20 2 2_DataIX" xfId="32703" xr:uid="{00000000-0005-0000-0000-00004E540000}"/>
    <cellStyle name="Hyperlinkki 20 2 3" xfId="9231" xr:uid="{00000000-0005-0000-0000-00004F540000}"/>
    <cellStyle name="Hyperlinkki 20 2 4" xfId="17369" xr:uid="{00000000-0005-0000-0000-000050540000}"/>
    <cellStyle name="Hyperlinkki 20 2_DataIX" xfId="32702" xr:uid="{00000000-0005-0000-0000-000051540000}"/>
    <cellStyle name="Hyperlinkki 20 3" xfId="4020" xr:uid="{00000000-0005-0000-0000-000052540000}"/>
    <cellStyle name="Hyperlinkki 20 3 2" xfId="9233" xr:uid="{00000000-0005-0000-0000-000053540000}"/>
    <cellStyle name="Hyperlinkki 20 3 3" xfId="17371" xr:uid="{00000000-0005-0000-0000-000054540000}"/>
    <cellStyle name="Hyperlinkki 20 3_DataIX" xfId="32704" xr:uid="{00000000-0005-0000-0000-000055540000}"/>
    <cellStyle name="Hyperlinkki 21 10" xfId="4021" xr:uid="{00000000-0005-0000-0000-000056540000}"/>
    <cellStyle name="Hyperlinkki 21 10 2" xfId="9234" xr:uid="{00000000-0005-0000-0000-000057540000}"/>
    <cellStyle name="Hyperlinkki 21 10 3" xfId="17372" xr:uid="{00000000-0005-0000-0000-000058540000}"/>
    <cellStyle name="Hyperlinkki 21 10_DataIX" xfId="32705" xr:uid="{00000000-0005-0000-0000-000059540000}"/>
    <cellStyle name="Hyperlinkki 21 11" xfId="4022" xr:uid="{00000000-0005-0000-0000-00005A540000}"/>
    <cellStyle name="Hyperlinkki 21 11 2" xfId="9235" xr:uid="{00000000-0005-0000-0000-00005B540000}"/>
    <cellStyle name="Hyperlinkki 21 11 3" xfId="17373" xr:uid="{00000000-0005-0000-0000-00005C540000}"/>
    <cellStyle name="Hyperlinkki 21 11_DataIX" xfId="32706" xr:uid="{00000000-0005-0000-0000-00005D540000}"/>
    <cellStyle name="Hyperlinkki 21 2" xfId="4023" xr:uid="{00000000-0005-0000-0000-00005E540000}"/>
    <cellStyle name="Hyperlinkki 21 2 2" xfId="4024" xr:uid="{00000000-0005-0000-0000-00005F540000}"/>
    <cellStyle name="Hyperlinkki 21 2 2 2" xfId="9237" xr:uid="{00000000-0005-0000-0000-000060540000}"/>
    <cellStyle name="Hyperlinkki 21 2 2 3" xfId="17375" xr:uid="{00000000-0005-0000-0000-000061540000}"/>
    <cellStyle name="Hyperlinkki 21 2 2_DataIX" xfId="32708" xr:uid="{00000000-0005-0000-0000-000062540000}"/>
    <cellStyle name="Hyperlinkki 21 2 3" xfId="4025" xr:uid="{00000000-0005-0000-0000-000063540000}"/>
    <cellStyle name="Hyperlinkki 21 2 3 2" xfId="9238" xr:uid="{00000000-0005-0000-0000-000064540000}"/>
    <cellStyle name="Hyperlinkki 21 2 3 3" xfId="17376" xr:uid="{00000000-0005-0000-0000-000065540000}"/>
    <cellStyle name="Hyperlinkki 21 2 3_DataIX" xfId="32709" xr:uid="{00000000-0005-0000-0000-000066540000}"/>
    <cellStyle name="Hyperlinkki 21 2 4" xfId="4026" xr:uid="{00000000-0005-0000-0000-000067540000}"/>
    <cellStyle name="Hyperlinkki 21 2 4 2" xfId="9239" xr:uid="{00000000-0005-0000-0000-000068540000}"/>
    <cellStyle name="Hyperlinkki 21 2 4 3" xfId="17377" xr:uid="{00000000-0005-0000-0000-000069540000}"/>
    <cellStyle name="Hyperlinkki 21 2 4_DataIX" xfId="32710" xr:uid="{00000000-0005-0000-0000-00006A540000}"/>
    <cellStyle name="Hyperlinkki 21 2 5" xfId="9236" xr:uid="{00000000-0005-0000-0000-00006B540000}"/>
    <cellStyle name="Hyperlinkki 21 2 6" xfId="17374" xr:uid="{00000000-0005-0000-0000-00006C540000}"/>
    <cellStyle name="Hyperlinkki 21 2_DataIX" xfId="32707" xr:uid="{00000000-0005-0000-0000-00006D540000}"/>
    <cellStyle name="Hyperlinkki 21 3" xfId="4027" xr:uid="{00000000-0005-0000-0000-00006E540000}"/>
    <cellStyle name="Hyperlinkki 21 3 2" xfId="4028" xr:uid="{00000000-0005-0000-0000-00006F540000}"/>
    <cellStyle name="Hyperlinkki 21 3 2 2" xfId="9241" xr:uid="{00000000-0005-0000-0000-000070540000}"/>
    <cellStyle name="Hyperlinkki 21 3 2 3" xfId="17379" xr:uid="{00000000-0005-0000-0000-000071540000}"/>
    <cellStyle name="Hyperlinkki 21 3 2_DataIX" xfId="32712" xr:uid="{00000000-0005-0000-0000-000072540000}"/>
    <cellStyle name="Hyperlinkki 21 3 3" xfId="4029" xr:uid="{00000000-0005-0000-0000-000073540000}"/>
    <cellStyle name="Hyperlinkki 21 3 3 2" xfId="9242" xr:uid="{00000000-0005-0000-0000-000074540000}"/>
    <cellStyle name="Hyperlinkki 21 3 3 3" xfId="17380" xr:uid="{00000000-0005-0000-0000-000075540000}"/>
    <cellStyle name="Hyperlinkki 21 3 3_DataIX" xfId="32713" xr:uid="{00000000-0005-0000-0000-000076540000}"/>
    <cellStyle name="Hyperlinkki 21 3 4" xfId="4030" xr:uid="{00000000-0005-0000-0000-000077540000}"/>
    <cellStyle name="Hyperlinkki 21 3 4 2" xfId="9243" xr:uid="{00000000-0005-0000-0000-000078540000}"/>
    <cellStyle name="Hyperlinkki 21 3 4 3" xfId="17381" xr:uid="{00000000-0005-0000-0000-000079540000}"/>
    <cellStyle name="Hyperlinkki 21 3 4_DataIX" xfId="32714" xr:uid="{00000000-0005-0000-0000-00007A540000}"/>
    <cellStyle name="Hyperlinkki 21 3 5" xfId="9240" xr:uid="{00000000-0005-0000-0000-00007B540000}"/>
    <cellStyle name="Hyperlinkki 21 3 6" xfId="17378" xr:uid="{00000000-0005-0000-0000-00007C540000}"/>
    <cellStyle name="Hyperlinkki 21 3_DataIX" xfId="32711" xr:uid="{00000000-0005-0000-0000-00007D540000}"/>
    <cellStyle name="Hyperlinkki 21 4" xfId="4031" xr:uid="{00000000-0005-0000-0000-00007E540000}"/>
    <cellStyle name="Hyperlinkki 21 4 2" xfId="4032" xr:uid="{00000000-0005-0000-0000-00007F540000}"/>
    <cellStyle name="Hyperlinkki 21 4 2 2" xfId="9245" xr:uid="{00000000-0005-0000-0000-000080540000}"/>
    <cellStyle name="Hyperlinkki 21 4 2 3" xfId="17383" xr:uid="{00000000-0005-0000-0000-000081540000}"/>
    <cellStyle name="Hyperlinkki 21 4 2_DataIX" xfId="32716" xr:uid="{00000000-0005-0000-0000-000082540000}"/>
    <cellStyle name="Hyperlinkki 21 4 3" xfId="9244" xr:uid="{00000000-0005-0000-0000-000083540000}"/>
    <cellStyle name="Hyperlinkki 21 4 4" xfId="17382" xr:uid="{00000000-0005-0000-0000-000084540000}"/>
    <cellStyle name="Hyperlinkki 21 4_DataIX" xfId="32715" xr:uid="{00000000-0005-0000-0000-000085540000}"/>
    <cellStyle name="Hyperlinkki 21 5" xfId="4033" xr:uid="{00000000-0005-0000-0000-000086540000}"/>
    <cellStyle name="Hyperlinkki 21 5 2" xfId="9246" xr:uid="{00000000-0005-0000-0000-000087540000}"/>
    <cellStyle name="Hyperlinkki 21 5 3" xfId="17384" xr:uid="{00000000-0005-0000-0000-000088540000}"/>
    <cellStyle name="Hyperlinkki 21 5_DataIX" xfId="32717" xr:uid="{00000000-0005-0000-0000-000089540000}"/>
    <cellStyle name="Hyperlinkki 21 6" xfId="4034" xr:uid="{00000000-0005-0000-0000-00008A540000}"/>
    <cellStyle name="Hyperlinkki 21 6 2" xfId="9247" xr:uid="{00000000-0005-0000-0000-00008B540000}"/>
    <cellStyle name="Hyperlinkki 21 6 3" xfId="17385" xr:uid="{00000000-0005-0000-0000-00008C540000}"/>
    <cellStyle name="Hyperlinkki 21 6_DataIX" xfId="32718" xr:uid="{00000000-0005-0000-0000-00008D540000}"/>
    <cellStyle name="Hyperlinkki 21 7" xfId="4035" xr:uid="{00000000-0005-0000-0000-00008E540000}"/>
    <cellStyle name="Hyperlinkki 21 7 2" xfId="9248" xr:uid="{00000000-0005-0000-0000-00008F540000}"/>
    <cellStyle name="Hyperlinkki 21 7 3" xfId="17386" xr:uid="{00000000-0005-0000-0000-000090540000}"/>
    <cellStyle name="Hyperlinkki 21 7_DataIX" xfId="32719" xr:uid="{00000000-0005-0000-0000-000091540000}"/>
    <cellStyle name="Hyperlinkki 21 8" xfId="4036" xr:uid="{00000000-0005-0000-0000-000092540000}"/>
    <cellStyle name="Hyperlinkki 21 8 2" xfId="9249" xr:uid="{00000000-0005-0000-0000-000093540000}"/>
    <cellStyle name="Hyperlinkki 21 8 3" xfId="17387" xr:uid="{00000000-0005-0000-0000-000094540000}"/>
    <cellStyle name="Hyperlinkki 21 8_DataIX" xfId="32720" xr:uid="{00000000-0005-0000-0000-000095540000}"/>
    <cellStyle name="Hyperlinkki 21 9" xfId="4037" xr:uid="{00000000-0005-0000-0000-000096540000}"/>
    <cellStyle name="Hyperlinkki 21 9 2" xfId="9250" xr:uid="{00000000-0005-0000-0000-000097540000}"/>
    <cellStyle name="Hyperlinkki 21 9 3" xfId="17388" xr:uid="{00000000-0005-0000-0000-000098540000}"/>
    <cellStyle name="Hyperlinkki 21 9_DataIX" xfId="32721" xr:uid="{00000000-0005-0000-0000-000099540000}"/>
    <cellStyle name="Hyperlinkki 22 2" xfId="4038" xr:uid="{00000000-0005-0000-0000-00009A540000}"/>
    <cellStyle name="Hyperlinkki 22 2 2" xfId="4039" xr:uid="{00000000-0005-0000-0000-00009B540000}"/>
    <cellStyle name="Hyperlinkki 22 2 2 2" xfId="9252" xr:uid="{00000000-0005-0000-0000-00009C540000}"/>
    <cellStyle name="Hyperlinkki 22 2 2 3" xfId="17390" xr:uid="{00000000-0005-0000-0000-00009D540000}"/>
    <cellStyle name="Hyperlinkki 22 2 2_DataIX" xfId="32723" xr:uid="{00000000-0005-0000-0000-00009E540000}"/>
    <cellStyle name="Hyperlinkki 22 2 3" xfId="9251" xr:uid="{00000000-0005-0000-0000-00009F540000}"/>
    <cellStyle name="Hyperlinkki 22 2 4" xfId="17389" xr:uid="{00000000-0005-0000-0000-0000A0540000}"/>
    <cellStyle name="Hyperlinkki 22 2_DataIX" xfId="32722" xr:uid="{00000000-0005-0000-0000-0000A1540000}"/>
    <cellStyle name="Hyperlinkki 24 2" xfId="4040" xr:uid="{00000000-0005-0000-0000-0000A2540000}"/>
    <cellStyle name="Hyperlinkki 24 2 2" xfId="4041" xr:uid="{00000000-0005-0000-0000-0000A3540000}"/>
    <cellStyle name="Hyperlinkki 24 2 2 2" xfId="9254" xr:uid="{00000000-0005-0000-0000-0000A4540000}"/>
    <cellStyle name="Hyperlinkki 24 2 2 3" xfId="17392" xr:uid="{00000000-0005-0000-0000-0000A5540000}"/>
    <cellStyle name="Hyperlinkki 24 2 2_DataIX" xfId="32725" xr:uid="{00000000-0005-0000-0000-0000A6540000}"/>
    <cellStyle name="Hyperlinkki 24 2 3" xfId="9253" xr:uid="{00000000-0005-0000-0000-0000A7540000}"/>
    <cellStyle name="Hyperlinkki 24 2 4" xfId="17391" xr:uid="{00000000-0005-0000-0000-0000A8540000}"/>
    <cellStyle name="Hyperlinkki 24 2_DataIX" xfId="32724" xr:uid="{00000000-0005-0000-0000-0000A9540000}"/>
    <cellStyle name="Hyperlinkki 29 2" xfId="4042" xr:uid="{00000000-0005-0000-0000-0000AA540000}"/>
    <cellStyle name="Hyperlinkki 29 2 2" xfId="4043" xr:uid="{00000000-0005-0000-0000-0000AB540000}"/>
    <cellStyle name="Hyperlinkki 29 2 2 2" xfId="9256" xr:uid="{00000000-0005-0000-0000-0000AC540000}"/>
    <cellStyle name="Hyperlinkki 29 2 2 3" xfId="17394" xr:uid="{00000000-0005-0000-0000-0000AD540000}"/>
    <cellStyle name="Hyperlinkki 29 2 2_DataIX" xfId="32727" xr:uid="{00000000-0005-0000-0000-0000AE540000}"/>
    <cellStyle name="Hyperlinkki 29 2 3" xfId="9255" xr:uid="{00000000-0005-0000-0000-0000AF540000}"/>
    <cellStyle name="Hyperlinkki 29 2 4" xfId="17393" xr:uid="{00000000-0005-0000-0000-0000B0540000}"/>
    <cellStyle name="Hyperlinkki 29 2_DataIX" xfId="32726" xr:uid="{00000000-0005-0000-0000-0000B1540000}"/>
    <cellStyle name="Hyperlinkki 35 2" xfId="4044" xr:uid="{00000000-0005-0000-0000-0000B2540000}"/>
    <cellStyle name="Hyperlinkki 35 2 2" xfId="4045" xr:uid="{00000000-0005-0000-0000-0000B3540000}"/>
    <cellStyle name="Hyperlinkki 35 2 2 2" xfId="9258" xr:uid="{00000000-0005-0000-0000-0000B4540000}"/>
    <cellStyle name="Hyperlinkki 35 2 2 3" xfId="17396" xr:uid="{00000000-0005-0000-0000-0000B5540000}"/>
    <cellStyle name="Hyperlinkki 35 2 2_DataIX" xfId="32729" xr:uid="{00000000-0005-0000-0000-0000B6540000}"/>
    <cellStyle name="Hyperlinkki 35 2 3" xfId="9257" xr:uid="{00000000-0005-0000-0000-0000B7540000}"/>
    <cellStyle name="Hyperlinkki 35 2 4" xfId="17395" xr:uid="{00000000-0005-0000-0000-0000B8540000}"/>
    <cellStyle name="Hyperlinkki 35 2_DataIX" xfId="32728" xr:uid="{00000000-0005-0000-0000-0000B9540000}"/>
    <cellStyle name="Hyperlinkki 4 2" xfId="4046" xr:uid="{00000000-0005-0000-0000-0000BA540000}"/>
    <cellStyle name="Hyperlinkki 4 2 2" xfId="4047" xr:uid="{00000000-0005-0000-0000-0000BB540000}"/>
    <cellStyle name="Hyperlinkki 4 2 2 2" xfId="9260" xr:uid="{00000000-0005-0000-0000-0000BC540000}"/>
    <cellStyle name="Hyperlinkki 4 2 2 3" xfId="17398" xr:uid="{00000000-0005-0000-0000-0000BD540000}"/>
    <cellStyle name="Hyperlinkki 4 2 2_DataIX" xfId="32731" xr:uid="{00000000-0005-0000-0000-0000BE540000}"/>
    <cellStyle name="Hyperlinkki 4 2 3" xfId="4048" xr:uid="{00000000-0005-0000-0000-0000BF540000}"/>
    <cellStyle name="Hyperlinkki 4 2 3 2" xfId="9261" xr:uid="{00000000-0005-0000-0000-0000C0540000}"/>
    <cellStyle name="Hyperlinkki 4 2 3 3" xfId="17399" xr:uid="{00000000-0005-0000-0000-0000C1540000}"/>
    <cellStyle name="Hyperlinkki 4 2 3_DataIX" xfId="32732" xr:uid="{00000000-0005-0000-0000-0000C2540000}"/>
    <cellStyle name="Hyperlinkki 4 2 4" xfId="4049" xr:uid="{00000000-0005-0000-0000-0000C3540000}"/>
    <cellStyle name="Hyperlinkki 4 2 4 2" xfId="9262" xr:uid="{00000000-0005-0000-0000-0000C4540000}"/>
    <cellStyle name="Hyperlinkki 4 2 4 3" xfId="17400" xr:uid="{00000000-0005-0000-0000-0000C5540000}"/>
    <cellStyle name="Hyperlinkki 4 2 4_DataIX" xfId="32733" xr:uid="{00000000-0005-0000-0000-0000C6540000}"/>
    <cellStyle name="Hyperlinkki 4 2 5" xfId="9259" xr:uid="{00000000-0005-0000-0000-0000C7540000}"/>
    <cellStyle name="Hyperlinkki 4 2 6" xfId="17397" xr:uid="{00000000-0005-0000-0000-0000C8540000}"/>
    <cellStyle name="Hyperlinkki 4 2_DataIX" xfId="32730" xr:uid="{00000000-0005-0000-0000-0000C9540000}"/>
    <cellStyle name="Hyperlinkki 4 3" xfId="4050" xr:uid="{00000000-0005-0000-0000-0000CA540000}"/>
    <cellStyle name="Hyperlinkki 4 3 2" xfId="4051" xr:uid="{00000000-0005-0000-0000-0000CB540000}"/>
    <cellStyle name="Hyperlinkki 4 3 2 2" xfId="9264" xr:uid="{00000000-0005-0000-0000-0000CC540000}"/>
    <cellStyle name="Hyperlinkki 4 3 2 3" xfId="17402" xr:uid="{00000000-0005-0000-0000-0000CD540000}"/>
    <cellStyle name="Hyperlinkki 4 3 2_DataIX" xfId="32735" xr:uid="{00000000-0005-0000-0000-0000CE540000}"/>
    <cellStyle name="Hyperlinkki 4 3 3" xfId="4052" xr:uid="{00000000-0005-0000-0000-0000CF540000}"/>
    <cellStyle name="Hyperlinkki 4 3 3 2" xfId="9265" xr:uid="{00000000-0005-0000-0000-0000D0540000}"/>
    <cellStyle name="Hyperlinkki 4 3 3 3" xfId="17403" xr:uid="{00000000-0005-0000-0000-0000D1540000}"/>
    <cellStyle name="Hyperlinkki 4 3 3_DataIX" xfId="32736" xr:uid="{00000000-0005-0000-0000-0000D2540000}"/>
    <cellStyle name="Hyperlinkki 4 3 4" xfId="4053" xr:uid="{00000000-0005-0000-0000-0000D3540000}"/>
    <cellStyle name="Hyperlinkki 4 3 4 2" xfId="9266" xr:uid="{00000000-0005-0000-0000-0000D4540000}"/>
    <cellStyle name="Hyperlinkki 4 3 4 3" xfId="17404" xr:uid="{00000000-0005-0000-0000-0000D5540000}"/>
    <cellStyle name="Hyperlinkki 4 3 4_DataIX" xfId="32737" xr:uid="{00000000-0005-0000-0000-0000D6540000}"/>
    <cellStyle name="Hyperlinkki 4 3 5" xfId="9263" xr:uid="{00000000-0005-0000-0000-0000D7540000}"/>
    <cellStyle name="Hyperlinkki 4 3 6" xfId="17401" xr:uid="{00000000-0005-0000-0000-0000D8540000}"/>
    <cellStyle name="Hyperlinkki 4 3_DataIX" xfId="32734" xr:uid="{00000000-0005-0000-0000-0000D9540000}"/>
    <cellStyle name="Hyperlinkki 4 4" xfId="4054" xr:uid="{00000000-0005-0000-0000-0000DA540000}"/>
    <cellStyle name="Hyperlinkki 4 4 2" xfId="4055" xr:uid="{00000000-0005-0000-0000-0000DB540000}"/>
    <cellStyle name="Hyperlinkki 4 4 2 2" xfId="9268" xr:uid="{00000000-0005-0000-0000-0000DC540000}"/>
    <cellStyle name="Hyperlinkki 4 4 2 3" xfId="17406" xr:uid="{00000000-0005-0000-0000-0000DD540000}"/>
    <cellStyle name="Hyperlinkki 4 4 2_DataIX" xfId="32739" xr:uid="{00000000-0005-0000-0000-0000DE540000}"/>
    <cellStyle name="Hyperlinkki 4 4 3" xfId="9267" xr:uid="{00000000-0005-0000-0000-0000DF540000}"/>
    <cellStyle name="Hyperlinkki 4 4 4" xfId="17405" xr:uid="{00000000-0005-0000-0000-0000E0540000}"/>
    <cellStyle name="Hyperlinkki 4 4_DataIX" xfId="32738" xr:uid="{00000000-0005-0000-0000-0000E1540000}"/>
    <cellStyle name="Hyperlinkki 4 5" xfId="4056" xr:uid="{00000000-0005-0000-0000-0000E2540000}"/>
    <cellStyle name="Hyperlinkki 4 5 2" xfId="9269" xr:uid="{00000000-0005-0000-0000-0000E3540000}"/>
    <cellStyle name="Hyperlinkki 4 5 3" xfId="17407" xr:uid="{00000000-0005-0000-0000-0000E4540000}"/>
    <cellStyle name="Hyperlinkki 4 5_DataIX" xfId="32740" xr:uid="{00000000-0005-0000-0000-0000E5540000}"/>
    <cellStyle name="Hyperlinkki 40 10" xfId="4057" xr:uid="{00000000-0005-0000-0000-0000E6540000}"/>
    <cellStyle name="Hyperlinkki 40 10 2" xfId="9270" xr:uid="{00000000-0005-0000-0000-0000E7540000}"/>
    <cellStyle name="Hyperlinkki 40 10 3" xfId="17408" xr:uid="{00000000-0005-0000-0000-0000E8540000}"/>
    <cellStyle name="Hyperlinkki 40 10_DataIX" xfId="32741" xr:uid="{00000000-0005-0000-0000-0000E9540000}"/>
    <cellStyle name="Hyperlinkki 40 2" xfId="4058" xr:uid="{00000000-0005-0000-0000-0000EA540000}"/>
    <cellStyle name="Hyperlinkki 40 2 2" xfId="4059" xr:uid="{00000000-0005-0000-0000-0000EB540000}"/>
    <cellStyle name="Hyperlinkki 40 2 2 2" xfId="9272" xr:uid="{00000000-0005-0000-0000-0000EC540000}"/>
    <cellStyle name="Hyperlinkki 40 2 2 3" xfId="17410" xr:uid="{00000000-0005-0000-0000-0000ED540000}"/>
    <cellStyle name="Hyperlinkki 40 2 2_DataIX" xfId="32743" xr:uid="{00000000-0005-0000-0000-0000EE540000}"/>
    <cellStyle name="Hyperlinkki 40 2 3" xfId="4060" xr:uid="{00000000-0005-0000-0000-0000EF540000}"/>
    <cellStyle name="Hyperlinkki 40 2 3 2" xfId="9273" xr:uid="{00000000-0005-0000-0000-0000F0540000}"/>
    <cellStyle name="Hyperlinkki 40 2 3 3" xfId="17411" xr:uid="{00000000-0005-0000-0000-0000F1540000}"/>
    <cellStyle name="Hyperlinkki 40 2 3_DataIX" xfId="32744" xr:uid="{00000000-0005-0000-0000-0000F2540000}"/>
    <cellStyle name="Hyperlinkki 40 2 4" xfId="4061" xr:uid="{00000000-0005-0000-0000-0000F3540000}"/>
    <cellStyle name="Hyperlinkki 40 2 4 2" xfId="9274" xr:uid="{00000000-0005-0000-0000-0000F4540000}"/>
    <cellStyle name="Hyperlinkki 40 2 4 3" xfId="17412" xr:uid="{00000000-0005-0000-0000-0000F5540000}"/>
    <cellStyle name="Hyperlinkki 40 2 4_DataIX" xfId="32745" xr:uid="{00000000-0005-0000-0000-0000F6540000}"/>
    <cellStyle name="Hyperlinkki 40 2 5" xfId="9271" xr:uid="{00000000-0005-0000-0000-0000F7540000}"/>
    <cellStyle name="Hyperlinkki 40 2 6" xfId="17409" xr:uid="{00000000-0005-0000-0000-0000F8540000}"/>
    <cellStyle name="Hyperlinkki 40 2_DataIX" xfId="32742" xr:uid="{00000000-0005-0000-0000-0000F9540000}"/>
    <cellStyle name="Hyperlinkki 40 3" xfId="4062" xr:uid="{00000000-0005-0000-0000-0000FA540000}"/>
    <cellStyle name="Hyperlinkki 40 3 2" xfId="4063" xr:uid="{00000000-0005-0000-0000-0000FB540000}"/>
    <cellStyle name="Hyperlinkki 40 3 2 2" xfId="9276" xr:uid="{00000000-0005-0000-0000-0000FC540000}"/>
    <cellStyle name="Hyperlinkki 40 3 2 3" xfId="17414" xr:uid="{00000000-0005-0000-0000-0000FD540000}"/>
    <cellStyle name="Hyperlinkki 40 3 2_DataIX" xfId="32747" xr:uid="{00000000-0005-0000-0000-0000FE540000}"/>
    <cellStyle name="Hyperlinkki 40 3 3" xfId="4064" xr:uid="{00000000-0005-0000-0000-0000FF540000}"/>
    <cellStyle name="Hyperlinkki 40 3 3 2" xfId="9277" xr:uid="{00000000-0005-0000-0000-000000550000}"/>
    <cellStyle name="Hyperlinkki 40 3 3 3" xfId="17415" xr:uid="{00000000-0005-0000-0000-000001550000}"/>
    <cellStyle name="Hyperlinkki 40 3 3_DataIX" xfId="32748" xr:uid="{00000000-0005-0000-0000-000002550000}"/>
    <cellStyle name="Hyperlinkki 40 3 4" xfId="4065" xr:uid="{00000000-0005-0000-0000-000003550000}"/>
    <cellStyle name="Hyperlinkki 40 3 4 2" xfId="9278" xr:uid="{00000000-0005-0000-0000-000004550000}"/>
    <cellStyle name="Hyperlinkki 40 3 4 3" xfId="17416" xr:uid="{00000000-0005-0000-0000-000005550000}"/>
    <cellStyle name="Hyperlinkki 40 3 4_DataIX" xfId="32749" xr:uid="{00000000-0005-0000-0000-000006550000}"/>
    <cellStyle name="Hyperlinkki 40 3 5" xfId="9275" xr:uid="{00000000-0005-0000-0000-000007550000}"/>
    <cellStyle name="Hyperlinkki 40 3 6" xfId="17413" xr:uid="{00000000-0005-0000-0000-000008550000}"/>
    <cellStyle name="Hyperlinkki 40 3_DataIX" xfId="32746" xr:uid="{00000000-0005-0000-0000-000009550000}"/>
    <cellStyle name="Hyperlinkki 40 4" xfId="4066" xr:uid="{00000000-0005-0000-0000-00000A550000}"/>
    <cellStyle name="Hyperlinkki 40 4 2" xfId="9279" xr:uid="{00000000-0005-0000-0000-00000B550000}"/>
    <cellStyle name="Hyperlinkki 40 4 3" xfId="17417" xr:uid="{00000000-0005-0000-0000-00000C550000}"/>
    <cellStyle name="Hyperlinkki 40 4_DataIX" xfId="32750" xr:uid="{00000000-0005-0000-0000-00000D550000}"/>
    <cellStyle name="Hyperlinkki 40 5" xfId="4067" xr:uid="{00000000-0005-0000-0000-00000E550000}"/>
    <cellStyle name="Hyperlinkki 40 5 2" xfId="9280" xr:uid="{00000000-0005-0000-0000-00000F550000}"/>
    <cellStyle name="Hyperlinkki 40 5 3" xfId="17418" xr:uid="{00000000-0005-0000-0000-000010550000}"/>
    <cellStyle name="Hyperlinkki 40 5_DataIX" xfId="32751" xr:uid="{00000000-0005-0000-0000-000011550000}"/>
    <cellStyle name="Hyperlinkki 40 6" xfId="4068" xr:uid="{00000000-0005-0000-0000-000012550000}"/>
    <cellStyle name="Hyperlinkki 40 6 2" xfId="9281" xr:uid="{00000000-0005-0000-0000-000013550000}"/>
    <cellStyle name="Hyperlinkki 40 6 3" xfId="17419" xr:uid="{00000000-0005-0000-0000-000014550000}"/>
    <cellStyle name="Hyperlinkki 40 6_DataIX" xfId="32752" xr:uid="{00000000-0005-0000-0000-000015550000}"/>
    <cellStyle name="Hyperlinkki 40 7" xfId="4069" xr:uid="{00000000-0005-0000-0000-000016550000}"/>
    <cellStyle name="Hyperlinkki 40 7 2" xfId="9282" xr:uid="{00000000-0005-0000-0000-000017550000}"/>
    <cellStyle name="Hyperlinkki 40 7 3" xfId="17420" xr:uid="{00000000-0005-0000-0000-000018550000}"/>
    <cellStyle name="Hyperlinkki 40 7_DataIX" xfId="32753" xr:uid="{00000000-0005-0000-0000-000019550000}"/>
    <cellStyle name="Hyperlinkki 40 8" xfId="4070" xr:uid="{00000000-0005-0000-0000-00001A550000}"/>
    <cellStyle name="Hyperlinkki 40 8 2" xfId="9283" xr:uid="{00000000-0005-0000-0000-00001B550000}"/>
    <cellStyle name="Hyperlinkki 40 8 3" xfId="17421" xr:uid="{00000000-0005-0000-0000-00001C550000}"/>
    <cellStyle name="Hyperlinkki 40 8_DataIX" xfId="32754" xr:uid="{00000000-0005-0000-0000-00001D550000}"/>
    <cellStyle name="Hyperlinkki 40 9" xfId="4071" xr:uid="{00000000-0005-0000-0000-00001E550000}"/>
    <cellStyle name="Hyperlinkki 40 9 2" xfId="9284" xr:uid="{00000000-0005-0000-0000-00001F550000}"/>
    <cellStyle name="Hyperlinkki 40 9 3" xfId="17422" xr:uid="{00000000-0005-0000-0000-000020550000}"/>
    <cellStyle name="Hyperlinkki 40 9_DataIX" xfId="32755" xr:uid="{00000000-0005-0000-0000-000021550000}"/>
    <cellStyle name="Hyperlinkki 49 10" xfId="4072" xr:uid="{00000000-0005-0000-0000-000022550000}"/>
    <cellStyle name="Hyperlinkki 49 10 2" xfId="9285" xr:uid="{00000000-0005-0000-0000-000023550000}"/>
    <cellStyle name="Hyperlinkki 49 10 3" xfId="17423" xr:uid="{00000000-0005-0000-0000-000024550000}"/>
    <cellStyle name="Hyperlinkki 49 10_DataIX" xfId="32756" xr:uid="{00000000-0005-0000-0000-000025550000}"/>
    <cellStyle name="Hyperlinkki 49 2" xfId="4073" xr:uid="{00000000-0005-0000-0000-000026550000}"/>
    <cellStyle name="Hyperlinkki 49 2 2" xfId="4074" xr:uid="{00000000-0005-0000-0000-000027550000}"/>
    <cellStyle name="Hyperlinkki 49 2 2 2" xfId="9287" xr:uid="{00000000-0005-0000-0000-000028550000}"/>
    <cellStyle name="Hyperlinkki 49 2 2 3" xfId="17425" xr:uid="{00000000-0005-0000-0000-000029550000}"/>
    <cellStyle name="Hyperlinkki 49 2 2_DataIX" xfId="32758" xr:uid="{00000000-0005-0000-0000-00002A550000}"/>
    <cellStyle name="Hyperlinkki 49 2 3" xfId="4075" xr:uid="{00000000-0005-0000-0000-00002B550000}"/>
    <cellStyle name="Hyperlinkki 49 2 3 2" xfId="9288" xr:uid="{00000000-0005-0000-0000-00002C550000}"/>
    <cellStyle name="Hyperlinkki 49 2 3 3" xfId="17426" xr:uid="{00000000-0005-0000-0000-00002D550000}"/>
    <cellStyle name="Hyperlinkki 49 2 3_DataIX" xfId="32759" xr:uid="{00000000-0005-0000-0000-00002E550000}"/>
    <cellStyle name="Hyperlinkki 49 2 4" xfId="4076" xr:uid="{00000000-0005-0000-0000-00002F550000}"/>
    <cellStyle name="Hyperlinkki 49 2 4 2" xfId="9289" xr:uid="{00000000-0005-0000-0000-000030550000}"/>
    <cellStyle name="Hyperlinkki 49 2 4 3" xfId="17427" xr:uid="{00000000-0005-0000-0000-000031550000}"/>
    <cellStyle name="Hyperlinkki 49 2 4_DataIX" xfId="32760" xr:uid="{00000000-0005-0000-0000-000032550000}"/>
    <cellStyle name="Hyperlinkki 49 2 5" xfId="9286" xr:uid="{00000000-0005-0000-0000-000033550000}"/>
    <cellStyle name="Hyperlinkki 49 2 6" xfId="17424" xr:uid="{00000000-0005-0000-0000-000034550000}"/>
    <cellStyle name="Hyperlinkki 49 2_DataIX" xfId="32757" xr:uid="{00000000-0005-0000-0000-000035550000}"/>
    <cellStyle name="Hyperlinkki 49 3" xfId="4077" xr:uid="{00000000-0005-0000-0000-000036550000}"/>
    <cellStyle name="Hyperlinkki 49 3 2" xfId="4078" xr:uid="{00000000-0005-0000-0000-000037550000}"/>
    <cellStyle name="Hyperlinkki 49 3 2 2" xfId="9291" xr:uid="{00000000-0005-0000-0000-000038550000}"/>
    <cellStyle name="Hyperlinkki 49 3 2 3" xfId="17429" xr:uid="{00000000-0005-0000-0000-000039550000}"/>
    <cellStyle name="Hyperlinkki 49 3 2_DataIX" xfId="32762" xr:uid="{00000000-0005-0000-0000-00003A550000}"/>
    <cellStyle name="Hyperlinkki 49 3 3" xfId="4079" xr:uid="{00000000-0005-0000-0000-00003B550000}"/>
    <cellStyle name="Hyperlinkki 49 3 3 2" xfId="9292" xr:uid="{00000000-0005-0000-0000-00003C550000}"/>
    <cellStyle name="Hyperlinkki 49 3 3 3" xfId="17430" xr:uid="{00000000-0005-0000-0000-00003D550000}"/>
    <cellStyle name="Hyperlinkki 49 3 3_DataIX" xfId="32763" xr:uid="{00000000-0005-0000-0000-00003E550000}"/>
    <cellStyle name="Hyperlinkki 49 3 4" xfId="4080" xr:uid="{00000000-0005-0000-0000-00003F550000}"/>
    <cellStyle name="Hyperlinkki 49 3 4 2" xfId="9293" xr:uid="{00000000-0005-0000-0000-000040550000}"/>
    <cellStyle name="Hyperlinkki 49 3 4 3" xfId="17431" xr:uid="{00000000-0005-0000-0000-000041550000}"/>
    <cellStyle name="Hyperlinkki 49 3 4_DataIX" xfId="32764" xr:uid="{00000000-0005-0000-0000-000042550000}"/>
    <cellStyle name="Hyperlinkki 49 3 5" xfId="9290" xr:uid="{00000000-0005-0000-0000-000043550000}"/>
    <cellStyle name="Hyperlinkki 49 3 6" xfId="17428" xr:uid="{00000000-0005-0000-0000-000044550000}"/>
    <cellStyle name="Hyperlinkki 49 3_DataIX" xfId="32761" xr:uid="{00000000-0005-0000-0000-000045550000}"/>
    <cellStyle name="Hyperlinkki 49 4" xfId="4081" xr:uid="{00000000-0005-0000-0000-000046550000}"/>
    <cellStyle name="Hyperlinkki 49 4 2" xfId="9294" xr:uid="{00000000-0005-0000-0000-000047550000}"/>
    <cellStyle name="Hyperlinkki 49 4 3" xfId="17432" xr:uid="{00000000-0005-0000-0000-000048550000}"/>
    <cellStyle name="Hyperlinkki 49 4_DataIX" xfId="32765" xr:uid="{00000000-0005-0000-0000-000049550000}"/>
    <cellStyle name="Hyperlinkki 49 5" xfId="4082" xr:uid="{00000000-0005-0000-0000-00004A550000}"/>
    <cellStyle name="Hyperlinkki 49 5 2" xfId="9295" xr:uid="{00000000-0005-0000-0000-00004B550000}"/>
    <cellStyle name="Hyperlinkki 49 5 3" xfId="17433" xr:uid="{00000000-0005-0000-0000-00004C550000}"/>
    <cellStyle name="Hyperlinkki 49 5_DataIX" xfId="32766" xr:uid="{00000000-0005-0000-0000-00004D550000}"/>
    <cellStyle name="Hyperlinkki 49 6" xfId="4083" xr:uid="{00000000-0005-0000-0000-00004E550000}"/>
    <cellStyle name="Hyperlinkki 49 6 2" xfId="9296" xr:uid="{00000000-0005-0000-0000-00004F550000}"/>
    <cellStyle name="Hyperlinkki 49 6 3" xfId="17434" xr:uid="{00000000-0005-0000-0000-000050550000}"/>
    <cellStyle name="Hyperlinkki 49 6_DataIX" xfId="32767" xr:uid="{00000000-0005-0000-0000-000051550000}"/>
    <cellStyle name="Hyperlinkki 49 7" xfId="4084" xr:uid="{00000000-0005-0000-0000-000052550000}"/>
    <cellStyle name="Hyperlinkki 49 7 2" xfId="9297" xr:uid="{00000000-0005-0000-0000-000053550000}"/>
    <cellStyle name="Hyperlinkki 49 7 3" xfId="17435" xr:uid="{00000000-0005-0000-0000-000054550000}"/>
    <cellStyle name="Hyperlinkki 49 7_DataIX" xfId="32768" xr:uid="{00000000-0005-0000-0000-000055550000}"/>
    <cellStyle name="Hyperlinkki 49 8" xfId="4085" xr:uid="{00000000-0005-0000-0000-000056550000}"/>
    <cellStyle name="Hyperlinkki 49 8 2" xfId="9298" xr:uid="{00000000-0005-0000-0000-000057550000}"/>
    <cellStyle name="Hyperlinkki 49 8 3" xfId="17436" xr:uid="{00000000-0005-0000-0000-000058550000}"/>
    <cellStyle name="Hyperlinkki 49 8_DataIX" xfId="32769" xr:uid="{00000000-0005-0000-0000-000059550000}"/>
    <cellStyle name="Hyperlinkki 49 9" xfId="4086" xr:uid="{00000000-0005-0000-0000-00005A550000}"/>
    <cellStyle name="Hyperlinkki 49 9 2" xfId="9299" xr:uid="{00000000-0005-0000-0000-00005B550000}"/>
    <cellStyle name="Hyperlinkki 49 9 3" xfId="17437" xr:uid="{00000000-0005-0000-0000-00005C550000}"/>
    <cellStyle name="Hyperlinkki 49 9_DataIX" xfId="32770" xr:uid="{00000000-0005-0000-0000-00005D550000}"/>
    <cellStyle name="Hyperlinkki 6 2" xfId="4087" xr:uid="{00000000-0005-0000-0000-00005E550000}"/>
    <cellStyle name="Hyperlinkki 6 2 2" xfId="4088" xr:uid="{00000000-0005-0000-0000-00005F550000}"/>
    <cellStyle name="Hyperlinkki 6 2 2 2" xfId="9301" xr:uid="{00000000-0005-0000-0000-000060550000}"/>
    <cellStyle name="Hyperlinkki 6 2 2 3" xfId="17439" xr:uid="{00000000-0005-0000-0000-000061550000}"/>
    <cellStyle name="Hyperlinkki 6 2 2_DataIX" xfId="32772" xr:uid="{00000000-0005-0000-0000-000062550000}"/>
    <cellStyle name="Hyperlinkki 6 2 3" xfId="9300" xr:uid="{00000000-0005-0000-0000-000063550000}"/>
    <cellStyle name="Hyperlinkki 6 2 4" xfId="17438" xr:uid="{00000000-0005-0000-0000-000064550000}"/>
    <cellStyle name="Hyperlinkki 6 2_DataIX" xfId="32771" xr:uid="{00000000-0005-0000-0000-000065550000}"/>
    <cellStyle name="Hyperlinkki 89" xfId="4089" xr:uid="{00000000-0005-0000-0000-000066550000}"/>
    <cellStyle name="Hyperlinkki 89 2" xfId="4090" xr:uid="{00000000-0005-0000-0000-000067550000}"/>
    <cellStyle name="Hyperlinkki 89 2 2" xfId="9303" xr:uid="{00000000-0005-0000-0000-000068550000}"/>
    <cellStyle name="Hyperlinkki 89 2 3" xfId="17441" xr:uid="{00000000-0005-0000-0000-000069550000}"/>
    <cellStyle name="Hyperlinkki 89 2_DataIX" xfId="32774" xr:uid="{00000000-0005-0000-0000-00006A550000}"/>
    <cellStyle name="Hyperlinkki 89 3" xfId="9302" xr:uid="{00000000-0005-0000-0000-00006B550000}"/>
    <cellStyle name="Hyperlinkki 89 4" xfId="17440" xr:uid="{00000000-0005-0000-0000-00006C550000}"/>
    <cellStyle name="Hyperlinkki 89_DataIX" xfId="32773" xr:uid="{00000000-0005-0000-0000-00006D550000}"/>
    <cellStyle name="Hyperlinkki 99 2" xfId="4091" xr:uid="{00000000-0005-0000-0000-00006E550000}"/>
    <cellStyle name="Hyperlinkki 99 2 2" xfId="9304" xr:uid="{00000000-0005-0000-0000-00006F550000}"/>
    <cellStyle name="Hyperlinkki 99 2 3" xfId="17442" xr:uid="{00000000-0005-0000-0000-000070550000}"/>
    <cellStyle name="Hyperlinkki 99 2_DataIX" xfId="32775" xr:uid="{00000000-0005-0000-0000-000071550000}"/>
    <cellStyle name="Hyperlänk" xfId="4092" xr:uid="{00000000-0005-0000-0000-000072550000}"/>
    <cellStyle name="Hyperlänk 10" xfId="4093" xr:uid="{00000000-0005-0000-0000-000073550000}"/>
    <cellStyle name="Hyperlänk 10 2" xfId="9306" xr:uid="{00000000-0005-0000-0000-000074550000}"/>
    <cellStyle name="Hyperlänk 10 3" xfId="17444" xr:uid="{00000000-0005-0000-0000-000075550000}"/>
    <cellStyle name="Hyperlänk 10_DataIX" xfId="32777" xr:uid="{00000000-0005-0000-0000-000076550000}"/>
    <cellStyle name="Hyperlänk 11" xfId="4094" xr:uid="{00000000-0005-0000-0000-000077550000}"/>
    <cellStyle name="Hyperlänk 11 2" xfId="9307" xr:uid="{00000000-0005-0000-0000-000078550000}"/>
    <cellStyle name="Hyperlänk 11 3" xfId="17445" xr:uid="{00000000-0005-0000-0000-000079550000}"/>
    <cellStyle name="Hyperlänk 11_DataIX" xfId="32778" xr:uid="{00000000-0005-0000-0000-00007A550000}"/>
    <cellStyle name="Hyperlänk 12" xfId="4095" xr:uid="{00000000-0005-0000-0000-00007B550000}"/>
    <cellStyle name="Hyperlänk 12 2" xfId="9308" xr:uid="{00000000-0005-0000-0000-00007C550000}"/>
    <cellStyle name="Hyperlänk 12 3" xfId="17446" xr:uid="{00000000-0005-0000-0000-00007D550000}"/>
    <cellStyle name="Hyperlänk 12_DataIX" xfId="32779" xr:uid="{00000000-0005-0000-0000-00007E550000}"/>
    <cellStyle name="Hyperlänk 13" xfId="4096" xr:uid="{00000000-0005-0000-0000-00007F550000}"/>
    <cellStyle name="Hyperlänk 13 2" xfId="9309" xr:uid="{00000000-0005-0000-0000-000080550000}"/>
    <cellStyle name="Hyperlänk 13 3" xfId="17447" xr:uid="{00000000-0005-0000-0000-000081550000}"/>
    <cellStyle name="Hyperlänk 13_DataIX" xfId="32780" xr:uid="{00000000-0005-0000-0000-000082550000}"/>
    <cellStyle name="Hyperlänk 14" xfId="4097" xr:uid="{00000000-0005-0000-0000-000083550000}"/>
    <cellStyle name="Hyperlänk 14 2" xfId="9310" xr:uid="{00000000-0005-0000-0000-000084550000}"/>
    <cellStyle name="Hyperlänk 14 3" xfId="17448" xr:uid="{00000000-0005-0000-0000-000085550000}"/>
    <cellStyle name="Hyperlänk 14_DataIX" xfId="32781" xr:uid="{00000000-0005-0000-0000-000086550000}"/>
    <cellStyle name="Hyperlänk 15" xfId="4098" xr:uid="{00000000-0005-0000-0000-000087550000}"/>
    <cellStyle name="Hyperlänk 15 2" xfId="9311" xr:uid="{00000000-0005-0000-0000-000088550000}"/>
    <cellStyle name="Hyperlänk 15 3" xfId="17449" xr:uid="{00000000-0005-0000-0000-000089550000}"/>
    <cellStyle name="Hyperlänk 15_DataIX" xfId="32782" xr:uid="{00000000-0005-0000-0000-00008A550000}"/>
    <cellStyle name="Hyperlänk 16" xfId="4099" xr:uid="{00000000-0005-0000-0000-00008B550000}"/>
    <cellStyle name="Hyperlänk 16 2" xfId="9312" xr:uid="{00000000-0005-0000-0000-00008C550000}"/>
    <cellStyle name="Hyperlänk 16 3" xfId="17450" xr:uid="{00000000-0005-0000-0000-00008D550000}"/>
    <cellStyle name="Hyperlänk 16_DataIX" xfId="32783" xr:uid="{00000000-0005-0000-0000-00008E550000}"/>
    <cellStyle name="Hyperlänk 17" xfId="4100" xr:uid="{00000000-0005-0000-0000-00008F550000}"/>
    <cellStyle name="Hyperlänk 17 2" xfId="9313" xr:uid="{00000000-0005-0000-0000-000090550000}"/>
    <cellStyle name="Hyperlänk 17 3" xfId="17451" xr:uid="{00000000-0005-0000-0000-000091550000}"/>
    <cellStyle name="Hyperlänk 17_DataIX" xfId="32784" xr:uid="{00000000-0005-0000-0000-000092550000}"/>
    <cellStyle name="Hyperlänk 18" xfId="4101" xr:uid="{00000000-0005-0000-0000-000093550000}"/>
    <cellStyle name="Hyperlänk 18 2" xfId="9314" xr:uid="{00000000-0005-0000-0000-000094550000}"/>
    <cellStyle name="Hyperlänk 18 3" xfId="17452" xr:uid="{00000000-0005-0000-0000-000095550000}"/>
    <cellStyle name="Hyperlänk 18_DataIX" xfId="32785" xr:uid="{00000000-0005-0000-0000-000096550000}"/>
    <cellStyle name="Hyperlänk 19" xfId="4102" xr:uid="{00000000-0005-0000-0000-000097550000}"/>
    <cellStyle name="Hyperlänk 19 2" xfId="9315" xr:uid="{00000000-0005-0000-0000-000098550000}"/>
    <cellStyle name="Hyperlänk 19 3" xfId="17453" xr:uid="{00000000-0005-0000-0000-000099550000}"/>
    <cellStyle name="Hyperlänk 19_DataIX" xfId="32786" xr:uid="{00000000-0005-0000-0000-00009A550000}"/>
    <cellStyle name="Hyperlänk 2" xfId="4103" xr:uid="{00000000-0005-0000-0000-00009B550000}"/>
    <cellStyle name="Hyperlänk 2 2" xfId="4104" xr:uid="{00000000-0005-0000-0000-00009C550000}"/>
    <cellStyle name="Hyperlänk 2 2 2" xfId="9317" xr:uid="{00000000-0005-0000-0000-00009D550000}"/>
    <cellStyle name="Hyperlänk 2 2 3" xfId="17455" xr:uid="{00000000-0005-0000-0000-00009E550000}"/>
    <cellStyle name="Hyperlänk 2 2_DataIX" xfId="32788" xr:uid="{00000000-0005-0000-0000-00009F550000}"/>
    <cellStyle name="Hyperlänk 2 3" xfId="9316" xr:uid="{00000000-0005-0000-0000-0000A0550000}"/>
    <cellStyle name="Hyperlänk 2 4" xfId="17454" xr:uid="{00000000-0005-0000-0000-0000A1550000}"/>
    <cellStyle name="Hyperlänk 2_DataIX" xfId="32787" xr:uid="{00000000-0005-0000-0000-0000A2550000}"/>
    <cellStyle name="Hyperlänk 20" xfId="4105" xr:uid="{00000000-0005-0000-0000-0000A3550000}"/>
    <cellStyle name="Hyperlänk 20 2" xfId="9318" xr:uid="{00000000-0005-0000-0000-0000A4550000}"/>
    <cellStyle name="Hyperlänk 20 3" xfId="17456" xr:uid="{00000000-0005-0000-0000-0000A5550000}"/>
    <cellStyle name="Hyperlänk 20_DataIX" xfId="32789" xr:uid="{00000000-0005-0000-0000-0000A6550000}"/>
    <cellStyle name="Hyperlänk 21" xfId="4106" xr:uid="{00000000-0005-0000-0000-0000A7550000}"/>
    <cellStyle name="Hyperlänk 21 2" xfId="9319" xr:uid="{00000000-0005-0000-0000-0000A8550000}"/>
    <cellStyle name="Hyperlänk 21 3" xfId="17457" xr:uid="{00000000-0005-0000-0000-0000A9550000}"/>
    <cellStyle name="Hyperlänk 21_DataIX" xfId="32790" xr:uid="{00000000-0005-0000-0000-0000AA550000}"/>
    <cellStyle name="Hyperlänk 22" xfId="4107" xr:uid="{00000000-0005-0000-0000-0000AB550000}"/>
    <cellStyle name="Hyperlänk 22 2" xfId="9320" xr:uid="{00000000-0005-0000-0000-0000AC550000}"/>
    <cellStyle name="Hyperlänk 22 3" xfId="17458" xr:uid="{00000000-0005-0000-0000-0000AD550000}"/>
    <cellStyle name="Hyperlänk 22_DataIX" xfId="32791" xr:uid="{00000000-0005-0000-0000-0000AE550000}"/>
    <cellStyle name="Hyperlänk 23" xfId="4108" xr:uid="{00000000-0005-0000-0000-0000AF550000}"/>
    <cellStyle name="Hyperlänk 23 2" xfId="9321" xr:uid="{00000000-0005-0000-0000-0000B0550000}"/>
    <cellStyle name="Hyperlänk 23 3" xfId="17459" xr:uid="{00000000-0005-0000-0000-0000B1550000}"/>
    <cellStyle name="Hyperlänk 23_DataIX" xfId="32792" xr:uid="{00000000-0005-0000-0000-0000B2550000}"/>
    <cellStyle name="Hyperlänk 24" xfId="4109" xr:uid="{00000000-0005-0000-0000-0000B3550000}"/>
    <cellStyle name="Hyperlänk 24 2" xfId="9322" xr:uid="{00000000-0005-0000-0000-0000B4550000}"/>
    <cellStyle name="Hyperlänk 24 3" xfId="17460" xr:uid="{00000000-0005-0000-0000-0000B5550000}"/>
    <cellStyle name="Hyperlänk 24_DataIX" xfId="32793" xr:uid="{00000000-0005-0000-0000-0000B6550000}"/>
    <cellStyle name="Hyperlänk 25" xfId="4110" xr:uid="{00000000-0005-0000-0000-0000B7550000}"/>
    <cellStyle name="Hyperlänk 25 2" xfId="9323" xr:uid="{00000000-0005-0000-0000-0000B8550000}"/>
    <cellStyle name="Hyperlänk 25 3" xfId="17461" xr:uid="{00000000-0005-0000-0000-0000B9550000}"/>
    <cellStyle name="Hyperlänk 25_DataIX" xfId="32794" xr:uid="{00000000-0005-0000-0000-0000BA550000}"/>
    <cellStyle name="Hyperlänk 26" xfId="4111" xr:uid="{00000000-0005-0000-0000-0000BB550000}"/>
    <cellStyle name="Hyperlänk 26 2" xfId="9324" xr:uid="{00000000-0005-0000-0000-0000BC550000}"/>
    <cellStyle name="Hyperlänk 26 3" xfId="17462" xr:uid="{00000000-0005-0000-0000-0000BD550000}"/>
    <cellStyle name="Hyperlänk 26_DataIX" xfId="32795" xr:uid="{00000000-0005-0000-0000-0000BE550000}"/>
    <cellStyle name="Hyperlänk 27" xfId="4112" xr:uid="{00000000-0005-0000-0000-0000BF550000}"/>
    <cellStyle name="Hyperlänk 27 2" xfId="9325" xr:uid="{00000000-0005-0000-0000-0000C0550000}"/>
    <cellStyle name="Hyperlänk 27 3" xfId="17463" xr:uid="{00000000-0005-0000-0000-0000C1550000}"/>
    <cellStyle name="Hyperlänk 27_DataIX" xfId="32796" xr:uid="{00000000-0005-0000-0000-0000C2550000}"/>
    <cellStyle name="Hyperlänk 28" xfId="4113" xr:uid="{00000000-0005-0000-0000-0000C3550000}"/>
    <cellStyle name="Hyperlänk 28 2" xfId="9326" xr:uid="{00000000-0005-0000-0000-0000C4550000}"/>
    <cellStyle name="Hyperlänk 28 3" xfId="17464" xr:uid="{00000000-0005-0000-0000-0000C5550000}"/>
    <cellStyle name="Hyperlänk 28_DataIX" xfId="32797" xr:uid="{00000000-0005-0000-0000-0000C6550000}"/>
    <cellStyle name="Hyperlänk 29" xfId="4114" xr:uid="{00000000-0005-0000-0000-0000C7550000}"/>
    <cellStyle name="Hyperlänk 29 2" xfId="9327" xr:uid="{00000000-0005-0000-0000-0000C8550000}"/>
    <cellStyle name="Hyperlänk 29 3" xfId="17465" xr:uid="{00000000-0005-0000-0000-0000C9550000}"/>
    <cellStyle name="Hyperlänk 29_DataIX" xfId="32798" xr:uid="{00000000-0005-0000-0000-0000CA550000}"/>
    <cellStyle name="Hyperlänk 3" xfId="4115" xr:uid="{00000000-0005-0000-0000-0000CB550000}"/>
    <cellStyle name="Hyperlänk 3 2" xfId="9328" xr:uid="{00000000-0005-0000-0000-0000CC550000}"/>
    <cellStyle name="Hyperlänk 3 3" xfId="17466" xr:uid="{00000000-0005-0000-0000-0000CD550000}"/>
    <cellStyle name="Hyperlänk 3_DataIX" xfId="32799" xr:uid="{00000000-0005-0000-0000-0000CE550000}"/>
    <cellStyle name="Hyperlänk 30" xfId="4116" xr:uid="{00000000-0005-0000-0000-0000CF550000}"/>
    <cellStyle name="Hyperlänk 30 2" xfId="9329" xr:uid="{00000000-0005-0000-0000-0000D0550000}"/>
    <cellStyle name="Hyperlänk 30 3" xfId="17467" xr:uid="{00000000-0005-0000-0000-0000D1550000}"/>
    <cellStyle name="Hyperlänk 30_DataIX" xfId="32800" xr:uid="{00000000-0005-0000-0000-0000D2550000}"/>
    <cellStyle name="Hyperlänk 31" xfId="4117" xr:uid="{00000000-0005-0000-0000-0000D3550000}"/>
    <cellStyle name="Hyperlänk 31 2" xfId="9330" xr:uid="{00000000-0005-0000-0000-0000D4550000}"/>
    <cellStyle name="Hyperlänk 31 3" xfId="17468" xr:uid="{00000000-0005-0000-0000-0000D5550000}"/>
    <cellStyle name="Hyperlänk 31_DataIX" xfId="32801" xr:uid="{00000000-0005-0000-0000-0000D6550000}"/>
    <cellStyle name="Hyperlänk 32" xfId="4118" xr:uid="{00000000-0005-0000-0000-0000D7550000}"/>
    <cellStyle name="Hyperlänk 32 2" xfId="9331" xr:uid="{00000000-0005-0000-0000-0000D8550000}"/>
    <cellStyle name="Hyperlänk 32 3" xfId="17469" xr:uid="{00000000-0005-0000-0000-0000D9550000}"/>
    <cellStyle name="Hyperlänk 32_DataIX" xfId="32802" xr:uid="{00000000-0005-0000-0000-0000DA550000}"/>
    <cellStyle name="Hyperlänk 33" xfId="4119" xr:uid="{00000000-0005-0000-0000-0000DB550000}"/>
    <cellStyle name="Hyperlänk 33 2" xfId="9332" xr:uid="{00000000-0005-0000-0000-0000DC550000}"/>
    <cellStyle name="Hyperlänk 33 3" xfId="17470" xr:uid="{00000000-0005-0000-0000-0000DD550000}"/>
    <cellStyle name="Hyperlänk 33_DataIX" xfId="32803" xr:uid="{00000000-0005-0000-0000-0000DE550000}"/>
    <cellStyle name="Hyperlänk 34" xfId="4120" xr:uid="{00000000-0005-0000-0000-0000DF550000}"/>
    <cellStyle name="Hyperlänk 34 2" xfId="9333" xr:uid="{00000000-0005-0000-0000-0000E0550000}"/>
    <cellStyle name="Hyperlänk 34 3" xfId="17471" xr:uid="{00000000-0005-0000-0000-0000E1550000}"/>
    <cellStyle name="Hyperlänk 34_DataIX" xfId="32804" xr:uid="{00000000-0005-0000-0000-0000E2550000}"/>
    <cellStyle name="Hyperlänk 35" xfId="4121" xr:uid="{00000000-0005-0000-0000-0000E3550000}"/>
    <cellStyle name="Hyperlänk 35 2" xfId="9334" xr:uid="{00000000-0005-0000-0000-0000E4550000}"/>
    <cellStyle name="Hyperlänk 35 3" xfId="17472" xr:uid="{00000000-0005-0000-0000-0000E5550000}"/>
    <cellStyle name="Hyperlänk 35_DataIX" xfId="32805" xr:uid="{00000000-0005-0000-0000-0000E6550000}"/>
    <cellStyle name="Hyperlänk 36" xfId="4122" xr:uid="{00000000-0005-0000-0000-0000E7550000}"/>
    <cellStyle name="Hyperlänk 36 2" xfId="9335" xr:uid="{00000000-0005-0000-0000-0000E8550000}"/>
    <cellStyle name="Hyperlänk 36 3" xfId="17473" xr:uid="{00000000-0005-0000-0000-0000E9550000}"/>
    <cellStyle name="Hyperlänk 36_DataIX" xfId="32806" xr:uid="{00000000-0005-0000-0000-0000EA550000}"/>
    <cellStyle name="Hyperlänk 37" xfId="4123" xr:uid="{00000000-0005-0000-0000-0000EB550000}"/>
    <cellStyle name="Hyperlänk 37 2" xfId="9336" xr:uid="{00000000-0005-0000-0000-0000EC550000}"/>
    <cellStyle name="Hyperlänk 37 3" xfId="17474" xr:uid="{00000000-0005-0000-0000-0000ED550000}"/>
    <cellStyle name="Hyperlänk 37_DataIX" xfId="32807" xr:uid="{00000000-0005-0000-0000-0000EE550000}"/>
    <cellStyle name="Hyperlänk 38" xfId="4124" xr:uid="{00000000-0005-0000-0000-0000EF550000}"/>
    <cellStyle name="Hyperlänk 38 2" xfId="9337" xr:uid="{00000000-0005-0000-0000-0000F0550000}"/>
    <cellStyle name="Hyperlänk 38 3" xfId="17475" xr:uid="{00000000-0005-0000-0000-0000F1550000}"/>
    <cellStyle name="Hyperlänk 38_DataIX" xfId="32808" xr:uid="{00000000-0005-0000-0000-0000F2550000}"/>
    <cellStyle name="Hyperlänk 39" xfId="4125" xr:uid="{00000000-0005-0000-0000-0000F3550000}"/>
    <cellStyle name="Hyperlänk 39 2" xfId="9338" xr:uid="{00000000-0005-0000-0000-0000F4550000}"/>
    <cellStyle name="Hyperlänk 39 3" xfId="17476" xr:uid="{00000000-0005-0000-0000-0000F5550000}"/>
    <cellStyle name="Hyperlänk 39_DataIX" xfId="32809" xr:uid="{00000000-0005-0000-0000-0000F6550000}"/>
    <cellStyle name="Hyperlänk 4" xfId="4126" xr:uid="{00000000-0005-0000-0000-0000F7550000}"/>
    <cellStyle name="Hyperlänk 4 2" xfId="9339" xr:uid="{00000000-0005-0000-0000-0000F8550000}"/>
    <cellStyle name="Hyperlänk 4 3" xfId="17477" xr:uid="{00000000-0005-0000-0000-0000F9550000}"/>
    <cellStyle name="Hyperlänk 4_DataIX" xfId="32810" xr:uid="{00000000-0005-0000-0000-0000FA550000}"/>
    <cellStyle name="Hyperlänk 40" xfId="4127" xr:uid="{00000000-0005-0000-0000-0000FB550000}"/>
    <cellStyle name="Hyperlänk 40 2" xfId="9340" xr:uid="{00000000-0005-0000-0000-0000FC550000}"/>
    <cellStyle name="Hyperlänk 40 3" xfId="17478" xr:uid="{00000000-0005-0000-0000-0000FD550000}"/>
    <cellStyle name="Hyperlänk 40_DataIX" xfId="32811" xr:uid="{00000000-0005-0000-0000-0000FE550000}"/>
    <cellStyle name="Hyperlänk 41" xfId="4128" xr:uid="{00000000-0005-0000-0000-0000FF550000}"/>
    <cellStyle name="Hyperlänk 41 2" xfId="9341" xr:uid="{00000000-0005-0000-0000-000000560000}"/>
    <cellStyle name="Hyperlänk 41 3" xfId="17479" xr:uid="{00000000-0005-0000-0000-000001560000}"/>
    <cellStyle name="Hyperlänk 41_DataIX" xfId="32812" xr:uid="{00000000-0005-0000-0000-000002560000}"/>
    <cellStyle name="Hyperlänk 42" xfId="4129" xr:uid="{00000000-0005-0000-0000-000003560000}"/>
    <cellStyle name="Hyperlänk 42 2" xfId="9342" xr:uid="{00000000-0005-0000-0000-000004560000}"/>
    <cellStyle name="Hyperlänk 42 3" xfId="17480" xr:uid="{00000000-0005-0000-0000-000005560000}"/>
    <cellStyle name="Hyperlänk 42_DataIX" xfId="32813" xr:uid="{00000000-0005-0000-0000-000006560000}"/>
    <cellStyle name="Hyperlänk 43" xfId="4130" xr:uid="{00000000-0005-0000-0000-000007560000}"/>
    <cellStyle name="Hyperlänk 43 2" xfId="9343" xr:uid="{00000000-0005-0000-0000-000008560000}"/>
    <cellStyle name="Hyperlänk 43 3" xfId="17481" xr:uid="{00000000-0005-0000-0000-000009560000}"/>
    <cellStyle name="Hyperlänk 43_DataIX" xfId="32814" xr:uid="{00000000-0005-0000-0000-00000A560000}"/>
    <cellStyle name="Hyperlänk 44" xfId="4131" xr:uid="{00000000-0005-0000-0000-00000B560000}"/>
    <cellStyle name="Hyperlänk 44 2" xfId="9344" xr:uid="{00000000-0005-0000-0000-00000C560000}"/>
    <cellStyle name="Hyperlänk 44 3" xfId="17482" xr:uid="{00000000-0005-0000-0000-00000D560000}"/>
    <cellStyle name="Hyperlänk 44_DataIX" xfId="32815" xr:uid="{00000000-0005-0000-0000-00000E560000}"/>
    <cellStyle name="Hyperlänk 45" xfId="4132" xr:uid="{00000000-0005-0000-0000-00000F560000}"/>
    <cellStyle name="Hyperlänk 45 2" xfId="9345" xr:uid="{00000000-0005-0000-0000-000010560000}"/>
    <cellStyle name="Hyperlänk 45 3" xfId="17483" xr:uid="{00000000-0005-0000-0000-000011560000}"/>
    <cellStyle name="Hyperlänk 45_DataIX" xfId="32816" xr:uid="{00000000-0005-0000-0000-000012560000}"/>
    <cellStyle name="Hyperlänk 46" xfId="4133" xr:uid="{00000000-0005-0000-0000-000013560000}"/>
    <cellStyle name="Hyperlänk 46 2" xfId="9346" xr:uid="{00000000-0005-0000-0000-000014560000}"/>
    <cellStyle name="Hyperlänk 46 3" xfId="17484" xr:uid="{00000000-0005-0000-0000-000015560000}"/>
    <cellStyle name="Hyperlänk 46_DataIX" xfId="32817" xr:uid="{00000000-0005-0000-0000-000016560000}"/>
    <cellStyle name="Hyperlänk 47" xfId="4134" xr:uid="{00000000-0005-0000-0000-000017560000}"/>
    <cellStyle name="Hyperlänk 47 2" xfId="9347" xr:uid="{00000000-0005-0000-0000-000018560000}"/>
    <cellStyle name="Hyperlänk 47 3" xfId="17485" xr:uid="{00000000-0005-0000-0000-000019560000}"/>
    <cellStyle name="Hyperlänk 47_DataIX" xfId="32818" xr:uid="{00000000-0005-0000-0000-00001A560000}"/>
    <cellStyle name="Hyperlänk 48" xfId="4135" xr:uid="{00000000-0005-0000-0000-00001B560000}"/>
    <cellStyle name="Hyperlänk 48 2" xfId="9348" xr:uid="{00000000-0005-0000-0000-00001C560000}"/>
    <cellStyle name="Hyperlänk 48 3" xfId="17486" xr:uid="{00000000-0005-0000-0000-00001D560000}"/>
    <cellStyle name="Hyperlänk 48_DataIX" xfId="32819" xr:uid="{00000000-0005-0000-0000-00001E560000}"/>
    <cellStyle name="Hyperlänk 49" xfId="4136" xr:uid="{00000000-0005-0000-0000-00001F560000}"/>
    <cellStyle name="Hyperlänk 49 2" xfId="9349" xr:uid="{00000000-0005-0000-0000-000020560000}"/>
    <cellStyle name="Hyperlänk 49 3" xfId="17487" xr:uid="{00000000-0005-0000-0000-000021560000}"/>
    <cellStyle name="Hyperlänk 49_DataIX" xfId="32820" xr:uid="{00000000-0005-0000-0000-000022560000}"/>
    <cellStyle name="Hyperlänk 5" xfId="4137" xr:uid="{00000000-0005-0000-0000-000023560000}"/>
    <cellStyle name="Hyperlänk 5 2" xfId="9350" xr:uid="{00000000-0005-0000-0000-000024560000}"/>
    <cellStyle name="Hyperlänk 5 3" xfId="17488" xr:uid="{00000000-0005-0000-0000-000025560000}"/>
    <cellStyle name="Hyperlänk 5_DataIX" xfId="32821" xr:uid="{00000000-0005-0000-0000-000026560000}"/>
    <cellStyle name="Hyperlänk 50" xfId="4138" xr:uid="{00000000-0005-0000-0000-000027560000}"/>
    <cellStyle name="Hyperlänk 50 2" xfId="9351" xr:uid="{00000000-0005-0000-0000-000028560000}"/>
    <cellStyle name="Hyperlänk 50 3" xfId="17489" xr:uid="{00000000-0005-0000-0000-000029560000}"/>
    <cellStyle name="Hyperlänk 50_DataIX" xfId="32822" xr:uid="{00000000-0005-0000-0000-00002A560000}"/>
    <cellStyle name="Hyperlänk 51" xfId="4139" xr:uid="{00000000-0005-0000-0000-00002B560000}"/>
    <cellStyle name="Hyperlänk 51 2" xfId="9352" xr:uid="{00000000-0005-0000-0000-00002C560000}"/>
    <cellStyle name="Hyperlänk 51 3" xfId="17490" xr:uid="{00000000-0005-0000-0000-00002D560000}"/>
    <cellStyle name="Hyperlänk 51_DataIX" xfId="32823" xr:uid="{00000000-0005-0000-0000-00002E560000}"/>
    <cellStyle name="Hyperlänk 52" xfId="4140" xr:uid="{00000000-0005-0000-0000-00002F560000}"/>
    <cellStyle name="Hyperlänk 52 2" xfId="9353" xr:uid="{00000000-0005-0000-0000-000030560000}"/>
    <cellStyle name="Hyperlänk 52 3" xfId="17491" xr:uid="{00000000-0005-0000-0000-000031560000}"/>
    <cellStyle name="Hyperlänk 52_DataIX" xfId="32824" xr:uid="{00000000-0005-0000-0000-000032560000}"/>
    <cellStyle name="Hyperlänk 53" xfId="4141" xr:uid="{00000000-0005-0000-0000-000033560000}"/>
    <cellStyle name="Hyperlänk 53 2" xfId="9354" xr:uid="{00000000-0005-0000-0000-000034560000}"/>
    <cellStyle name="Hyperlänk 53 3" xfId="17492" xr:uid="{00000000-0005-0000-0000-000035560000}"/>
    <cellStyle name="Hyperlänk 53_DataIX" xfId="32825" xr:uid="{00000000-0005-0000-0000-000036560000}"/>
    <cellStyle name="Hyperlänk 54" xfId="4142" xr:uid="{00000000-0005-0000-0000-000037560000}"/>
    <cellStyle name="Hyperlänk 54 2" xfId="9355" xr:uid="{00000000-0005-0000-0000-000038560000}"/>
    <cellStyle name="Hyperlänk 54 3" xfId="17493" xr:uid="{00000000-0005-0000-0000-000039560000}"/>
    <cellStyle name="Hyperlänk 54_DataIX" xfId="32826" xr:uid="{00000000-0005-0000-0000-00003A560000}"/>
    <cellStyle name="Hyperlänk 55" xfId="4143" xr:uid="{00000000-0005-0000-0000-00003B560000}"/>
    <cellStyle name="Hyperlänk 55 2" xfId="9356" xr:uid="{00000000-0005-0000-0000-00003C560000}"/>
    <cellStyle name="Hyperlänk 55 3" xfId="17494" xr:uid="{00000000-0005-0000-0000-00003D560000}"/>
    <cellStyle name="Hyperlänk 55_DataIX" xfId="32827" xr:uid="{00000000-0005-0000-0000-00003E560000}"/>
    <cellStyle name="Hyperlänk 56" xfId="4144" xr:uid="{00000000-0005-0000-0000-00003F560000}"/>
    <cellStyle name="Hyperlänk 56 2" xfId="9357" xr:uid="{00000000-0005-0000-0000-000040560000}"/>
    <cellStyle name="Hyperlänk 56 3" xfId="17495" xr:uid="{00000000-0005-0000-0000-000041560000}"/>
    <cellStyle name="Hyperlänk 56_DataIX" xfId="32828" xr:uid="{00000000-0005-0000-0000-000042560000}"/>
    <cellStyle name="Hyperlänk 57" xfId="4145" xr:uid="{00000000-0005-0000-0000-000043560000}"/>
    <cellStyle name="Hyperlänk 57 2" xfId="9358" xr:uid="{00000000-0005-0000-0000-000044560000}"/>
    <cellStyle name="Hyperlänk 57 3" xfId="17496" xr:uid="{00000000-0005-0000-0000-000045560000}"/>
    <cellStyle name="Hyperlänk 57_DataIX" xfId="32829" xr:uid="{00000000-0005-0000-0000-000046560000}"/>
    <cellStyle name="Hyperlänk 58" xfId="4146" xr:uid="{00000000-0005-0000-0000-000047560000}"/>
    <cellStyle name="Hyperlänk 58 2" xfId="9359" xr:uid="{00000000-0005-0000-0000-000048560000}"/>
    <cellStyle name="Hyperlänk 58 3" xfId="17497" xr:uid="{00000000-0005-0000-0000-000049560000}"/>
    <cellStyle name="Hyperlänk 58_DataIX" xfId="32830" xr:uid="{00000000-0005-0000-0000-00004A560000}"/>
    <cellStyle name="Hyperlänk 59" xfId="4147" xr:uid="{00000000-0005-0000-0000-00004B560000}"/>
    <cellStyle name="Hyperlänk 59 2" xfId="9360" xr:uid="{00000000-0005-0000-0000-00004C560000}"/>
    <cellStyle name="Hyperlänk 59 3" xfId="17498" xr:uid="{00000000-0005-0000-0000-00004D560000}"/>
    <cellStyle name="Hyperlänk 59_DataIX" xfId="32831" xr:uid="{00000000-0005-0000-0000-00004E560000}"/>
    <cellStyle name="Hyperlänk 6" xfId="4148" xr:uid="{00000000-0005-0000-0000-00004F560000}"/>
    <cellStyle name="Hyperlänk 6 2" xfId="9361" xr:uid="{00000000-0005-0000-0000-000050560000}"/>
    <cellStyle name="Hyperlänk 6 3" xfId="17499" xr:uid="{00000000-0005-0000-0000-000051560000}"/>
    <cellStyle name="Hyperlänk 6_DataIX" xfId="32832" xr:uid="{00000000-0005-0000-0000-000052560000}"/>
    <cellStyle name="Hyperlänk 60" xfId="4149" xr:uid="{00000000-0005-0000-0000-000053560000}"/>
    <cellStyle name="Hyperlänk 60 2" xfId="9362" xr:uid="{00000000-0005-0000-0000-000054560000}"/>
    <cellStyle name="Hyperlänk 60 3" xfId="17500" xr:uid="{00000000-0005-0000-0000-000055560000}"/>
    <cellStyle name="Hyperlänk 60_DataIX" xfId="32833" xr:uid="{00000000-0005-0000-0000-000056560000}"/>
    <cellStyle name="Hyperlänk 61" xfId="4150" xr:uid="{00000000-0005-0000-0000-000057560000}"/>
    <cellStyle name="Hyperlänk 61 2" xfId="9363" xr:uid="{00000000-0005-0000-0000-000058560000}"/>
    <cellStyle name="Hyperlänk 61 3" xfId="17501" xr:uid="{00000000-0005-0000-0000-000059560000}"/>
    <cellStyle name="Hyperlänk 61_DataIX" xfId="32834" xr:uid="{00000000-0005-0000-0000-00005A560000}"/>
    <cellStyle name="Hyperlänk 62" xfId="4151" xr:uid="{00000000-0005-0000-0000-00005B560000}"/>
    <cellStyle name="Hyperlänk 62 2" xfId="9364" xr:uid="{00000000-0005-0000-0000-00005C560000}"/>
    <cellStyle name="Hyperlänk 62 3" xfId="17502" xr:uid="{00000000-0005-0000-0000-00005D560000}"/>
    <cellStyle name="Hyperlänk 62_DataIX" xfId="32835" xr:uid="{00000000-0005-0000-0000-00005E560000}"/>
    <cellStyle name="Hyperlänk 63" xfId="4152" xr:uid="{00000000-0005-0000-0000-00005F560000}"/>
    <cellStyle name="Hyperlänk 63 2" xfId="9365" xr:uid="{00000000-0005-0000-0000-000060560000}"/>
    <cellStyle name="Hyperlänk 63 3" xfId="17503" xr:uid="{00000000-0005-0000-0000-000061560000}"/>
    <cellStyle name="Hyperlänk 63_DataIX" xfId="32836" xr:uid="{00000000-0005-0000-0000-000062560000}"/>
    <cellStyle name="Hyperlänk 64" xfId="4153" xr:uid="{00000000-0005-0000-0000-000063560000}"/>
    <cellStyle name="Hyperlänk 64 2" xfId="9366" xr:uid="{00000000-0005-0000-0000-000064560000}"/>
    <cellStyle name="Hyperlänk 64 3" xfId="17504" xr:uid="{00000000-0005-0000-0000-000065560000}"/>
    <cellStyle name="Hyperlänk 64_DataIX" xfId="32837" xr:uid="{00000000-0005-0000-0000-000066560000}"/>
    <cellStyle name="Hyperlänk 65" xfId="4154" xr:uid="{00000000-0005-0000-0000-000067560000}"/>
    <cellStyle name="Hyperlänk 65 2" xfId="9367" xr:uid="{00000000-0005-0000-0000-000068560000}"/>
    <cellStyle name="Hyperlänk 65 3" xfId="17505" xr:uid="{00000000-0005-0000-0000-000069560000}"/>
    <cellStyle name="Hyperlänk 65_DataIX" xfId="32838" xr:uid="{00000000-0005-0000-0000-00006A560000}"/>
    <cellStyle name="Hyperlänk 66" xfId="4155" xr:uid="{00000000-0005-0000-0000-00006B560000}"/>
    <cellStyle name="Hyperlänk 66 2" xfId="9368" xr:uid="{00000000-0005-0000-0000-00006C560000}"/>
    <cellStyle name="Hyperlänk 66 3" xfId="17506" xr:uid="{00000000-0005-0000-0000-00006D560000}"/>
    <cellStyle name="Hyperlänk 66_DataIX" xfId="32839" xr:uid="{00000000-0005-0000-0000-00006E560000}"/>
    <cellStyle name="Hyperlänk 67" xfId="4156" xr:uid="{00000000-0005-0000-0000-00006F560000}"/>
    <cellStyle name="Hyperlänk 67 2" xfId="9369" xr:uid="{00000000-0005-0000-0000-000070560000}"/>
    <cellStyle name="Hyperlänk 67 3" xfId="17507" xr:uid="{00000000-0005-0000-0000-000071560000}"/>
    <cellStyle name="Hyperlänk 67_DataIX" xfId="32840" xr:uid="{00000000-0005-0000-0000-000072560000}"/>
    <cellStyle name="Hyperlänk 68" xfId="4157" xr:uid="{00000000-0005-0000-0000-000073560000}"/>
    <cellStyle name="Hyperlänk 68 2" xfId="9370" xr:uid="{00000000-0005-0000-0000-000074560000}"/>
    <cellStyle name="Hyperlänk 68 3" xfId="17508" xr:uid="{00000000-0005-0000-0000-000075560000}"/>
    <cellStyle name="Hyperlänk 68_DataIX" xfId="32841" xr:uid="{00000000-0005-0000-0000-000076560000}"/>
    <cellStyle name="Hyperlänk 69" xfId="4158" xr:uid="{00000000-0005-0000-0000-000077560000}"/>
    <cellStyle name="Hyperlänk 69 2" xfId="9371" xr:uid="{00000000-0005-0000-0000-000078560000}"/>
    <cellStyle name="Hyperlänk 69 3" xfId="17509" xr:uid="{00000000-0005-0000-0000-000079560000}"/>
    <cellStyle name="Hyperlänk 69_DataIX" xfId="32842" xr:uid="{00000000-0005-0000-0000-00007A560000}"/>
    <cellStyle name="Hyperlänk 7" xfId="4159" xr:uid="{00000000-0005-0000-0000-00007B560000}"/>
    <cellStyle name="Hyperlänk 7 2" xfId="9372" xr:uid="{00000000-0005-0000-0000-00007C560000}"/>
    <cellStyle name="Hyperlänk 7 3" xfId="17510" xr:uid="{00000000-0005-0000-0000-00007D560000}"/>
    <cellStyle name="Hyperlänk 7_DataIX" xfId="32843" xr:uid="{00000000-0005-0000-0000-00007E560000}"/>
    <cellStyle name="Hyperlänk 70" xfId="4160" xr:uid="{00000000-0005-0000-0000-00007F560000}"/>
    <cellStyle name="Hyperlänk 70 2" xfId="9373" xr:uid="{00000000-0005-0000-0000-000080560000}"/>
    <cellStyle name="Hyperlänk 70 3" xfId="17511" xr:uid="{00000000-0005-0000-0000-000081560000}"/>
    <cellStyle name="Hyperlänk 70_DataIX" xfId="32844" xr:uid="{00000000-0005-0000-0000-000082560000}"/>
    <cellStyle name="Hyperlänk 71" xfId="4161" xr:uid="{00000000-0005-0000-0000-000083560000}"/>
    <cellStyle name="Hyperlänk 71 2" xfId="9374" xr:uid="{00000000-0005-0000-0000-000084560000}"/>
    <cellStyle name="Hyperlänk 71 3" xfId="17512" xr:uid="{00000000-0005-0000-0000-000085560000}"/>
    <cellStyle name="Hyperlänk 71_DataIX" xfId="32845" xr:uid="{00000000-0005-0000-0000-000086560000}"/>
    <cellStyle name="Hyperlänk 72" xfId="4162" xr:uid="{00000000-0005-0000-0000-000087560000}"/>
    <cellStyle name="Hyperlänk 72 2" xfId="9375" xr:uid="{00000000-0005-0000-0000-000088560000}"/>
    <cellStyle name="Hyperlänk 72 3" xfId="17513" xr:uid="{00000000-0005-0000-0000-000089560000}"/>
    <cellStyle name="Hyperlänk 72_DataIX" xfId="32846" xr:uid="{00000000-0005-0000-0000-00008A560000}"/>
    <cellStyle name="Hyperlänk 73" xfId="4163" xr:uid="{00000000-0005-0000-0000-00008B560000}"/>
    <cellStyle name="Hyperlänk 73 2" xfId="9376" xr:uid="{00000000-0005-0000-0000-00008C560000}"/>
    <cellStyle name="Hyperlänk 73 3" xfId="17514" xr:uid="{00000000-0005-0000-0000-00008D560000}"/>
    <cellStyle name="Hyperlänk 73_DataIX" xfId="32847" xr:uid="{00000000-0005-0000-0000-00008E560000}"/>
    <cellStyle name="Hyperlänk 74" xfId="4164" xr:uid="{00000000-0005-0000-0000-00008F560000}"/>
    <cellStyle name="Hyperlänk 74 2" xfId="9377" xr:uid="{00000000-0005-0000-0000-000090560000}"/>
    <cellStyle name="Hyperlänk 74 3" xfId="17515" xr:uid="{00000000-0005-0000-0000-000091560000}"/>
    <cellStyle name="Hyperlänk 74_DataIX" xfId="32848" xr:uid="{00000000-0005-0000-0000-000092560000}"/>
    <cellStyle name="Hyperlänk 75" xfId="4165" xr:uid="{00000000-0005-0000-0000-000093560000}"/>
    <cellStyle name="Hyperlänk 75 2" xfId="9378" xr:uid="{00000000-0005-0000-0000-000094560000}"/>
    <cellStyle name="Hyperlänk 75 3" xfId="17516" xr:uid="{00000000-0005-0000-0000-000095560000}"/>
    <cellStyle name="Hyperlänk 75_DataIX" xfId="32849" xr:uid="{00000000-0005-0000-0000-000096560000}"/>
    <cellStyle name="Hyperlänk 76" xfId="4166" xr:uid="{00000000-0005-0000-0000-000097560000}"/>
    <cellStyle name="Hyperlänk 76 2" xfId="9379" xr:uid="{00000000-0005-0000-0000-000098560000}"/>
    <cellStyle name="Hyperlänk 76 3" xfId="17517" xr:uid="{00000000-0005-0000-0000-000099560000}"/>
    <cellStyle name="Hyperlänk 76_DataIX" xfId="32850" xr:uid="{00000000-0005-0000-0000-00009A560000}"/>
    <cellStyle name="Hyperlänk 77" xfId="4167" xr:uid="{00000000-0005-0000-0000-00009B560000}"/>
    <cellStyle name="Hyperlänk 77 2" xfId="9380" xr:uid="{00000000-0005-0000-0000-00009C560000}"/>
    <cellStyle name="Hyperlänk 77 3" xfId="17518" xr:uid="{00000000-0005-0000-0000-00009D560000}"/>
    <cellStyle name="Hyperlänk 77_DataIX" xfId="32851" xr:uid="{00000000-0005-0000-0000-00009E560000}"/>
    <cellStyle name="Hyperlänk 78" xfId="4168" xr:uid="{00000000-0005-0000-0000-00009F560000}"/>
    <cellStyle name="Hyperlänk 78 2" xfId="9381" xr:uid="{00000000-0005-0000-0000-0000A0560000}"/>
    <cellStyle name="Hyperlänk 78 3" xfId="17519" xr:uid="{00000000-0005-0000-0000-0000A1560000}"/>
    <cellStyle name="Hyperlänk 78_DataIX" xfId="32852" xr:uid="{00000000-0005-0000-0000-0000A2560000}"/>
    <cellStyle name="Hyperlänk 79" xfId="4169" xr:uid="{00000000-0005-0000-0000-0000A3560000}"/>
    <cellStyle name="Hyperlänk 79 2" xfId="9382" xr:uid="{00000000-0005-0000-0000-0000A4560000}"/>
    <cellStyle name="Hyperlänk 79 3" xfId="17520" xr:uid="{00000000-0005-0000-0000-0000A5560000}"/>
    <cellStyle name="Hyperlänk 79_DataIX" xfId="32853" xr:uid="{00000000-0005-0000-0000-0000A6560000}"/>
    <cellStyle name="Hyperlänk 8" xfId="4170" xr:uid="{00000000-0005-0000-0000-0000A7560000}"/>
    <cellStyle name="Hyperlänk 8 2" xfId="9383" xr:uid="{00000000-0005-0000-0000-0000A8560000}"/>
    <cellStyle name="Hyperlänk 8 3" xfId="17521" xr:uid="{00000000-0005-0000-0000-0000A9560000}"/>
    <cellStyle name="Hyperlänk 8_DataIX" xfId="32854" xr:uid="{00000000-0005-0000-0000-0000AA560000}"/>
    <cellStyle name="Hyperlänk 80" xfId="4171" xr:uid="{00000000-0005-0000-0000-0000AB560000}"/>
    <cellStyle name="Hyperlänk 80 2" xfId="9384" xr:uid="{00000000-0005-0000-0000-0000AC560000}"/>
    <cellStyle name="Hyperlänk 80 3" xfId="17522" xr:uid="{00000000-0005-0000-0000-0000AD560000}"/>
    <cellStyle name="Hyperlänk 80_DataIX" xfId="32855" xr:uid="{00000000-0005-0000-0000-0000AE560000}"/>
    <cellStyle name="Hyperlänk 81" xfId="4172" xr:uid="{00000000-0005-0000-0000-0000AF560000}"/>
    <cellStyle name="Hyperlänk 81 2" xfId="9385" xr:uid="{00000000-0005-0000-0000-0000B0560000}"/>
    <cellStyle name="Hyperlänk 81 3" xfId="17523" xr:uid="{00000000-0005-0000-0000-0000B1560000}"/>
    <cellStyle name="Hyperlänk 81_DataIX" xfId="32856" xr:uid="{00000000-0005-0000-0000-0000B2560000}"/>
    <cellStyle name="Hyperlänk 82" xfId="4173" xr:uid="{00000000-0005-0000-0000-0000B3560000}"/>
    <cellStyle name="Hyperlänk 82 2" xfId="9386" xr:uid="{00000000-0005-0000-0000-0000B4560000}"/>
    <cellStyle name="Hyperlänk 82 3" xfId="17524" xr:uid="{00000000-0005-0000-0000-0000B5560000}"/>
    <cellStyle name="Hyperlänk 82_DataIX" xfId="32857" xr:uid="{00000000-0005-0000-0000-0000B6560000}"/>
    <cellStyle name="Hyperlänk 83" xfId="4174" xr:uid="{00000000-0005-0000-0000-0000B7560000}"/>
    <cellStyle name="Hyperlänk 83 2" xfId="9387" xr:uid="{00000000-0005-0000-0000-0000B8560000}"/>
    <cellStyle name="Hyperlänk 83 3" xfId="17525" xr:uid="{00000000-0005-0000-0000-0000B9560000}"/>
    <cellStyle name="Hyperlänk 83_DataIX" xfId="32858" xr:uid="{00000000-0005-0000-0000-0000BA560000}"/>
    <cellStyle name="Hyperlänk 84" xfId="4175" xr:uid="{00000000-0005-0000-0000-0000BB560000}"/>
    <cellStyle name="Hyperlänk 84 2" xfId="9388" xr:uid="{00000000-0005-0000-0000-0000BC560000}"/>
    <cellStyle name="Hyperlänk 84 3" xfId="17526" xr:uid="{00000000-0005-0000-0000-0000BD560000}"/>
    <cellStyle name="Hyperlänk 84_DataIX" xfId="32859" xr:uid="{00000000-0005-0000-0000-0000BE560000}"/>
    <cellStyle name="Hyperlänk 85" xfId="4176" xr:uid="{00000000-0005-0000-0000-0000BF560000}"/>
    <cellStyle name="Hyperlänk 85 2" xfId="9389" xr:uid="{00000000-0005-0000-0000-0000C0560000}"/>
    <cellStyle name="Hyperlänk 85 3" xfId="17527" xr:uid="{00000000-0005-0000-0000-0000C1560000}"/>
    <cellStyle name="Hyperlänk 85_DataIX" xfId="32860" xr:uid="{00000000-0005-0000-0000-0000C2560000}"/>
    <cellStyle name="Hyperlänk 86" xfId="4177" xr:uid="{00000000-0005-0000-0000-0000C3560000}"/>
    <cellStyle name="Hyperlänk 86 2" xfId="9390" xr:uid="{00000000-0005-0000-0000-0000C4560000}"/>
    <cellStyle name="Hyperlänk 86 3" xfId="17528" xr:uid="{00000000-0005-0000-0000-0000C5560000}"/>
    <cellStyle name="Hyperlänk 86_DataIX" xfId="32861" xr:uid="{00000000-0005-0000-0000-0000C6560000}"/>
    <cellStyle name="Hyperlänk 87" xfId="4178" xr:uid="{00000000-0005-0000-0000-0000C7560000}"/>
    <cellStyle name="Hyperlänk 87 2" xfId="9391" xr:uid="{00000000-0005-0000-0000-0000C8560000}"/>
    <cellStyle name="Hyperlänk 87 3" xfId="17529" xr:uid="{00000000-0005-0000-0000-0000C9560000}"/>
    <cellStyle name="Hyperlänk 87_DataIX" xfId="32862" xr:uid="{00000000-0005-0000-0000-0000CA560000}"/>
    <cellStyle name="Hyperlänk 88" xfId="4179" xr:uid="{00000000-0005-0000-0000-0000CB560000}"/>
    <cellStyle name="Hyperlänk 88 2" xfId="9392" xr:uid="{00000000-0005-0000-0000-0000CC560000}"/>
    <cellStyle name="Hyperlänk 88 3" xfId="17530" xr:uid="{00000000-0005-0000-0000-0000CD560000}"/>
    <cellStyle name="Hyperlänk 88_DataIX" xfId="32863" xr:uid="{00000000-0005-0000-0000-0000CE560000}"/>
    <cellStyle name="Hyperlänk 89" xfId="4180" xr:uid="{00000000-0005-0000-0000-0000CF560000}"/>
    <cellStyle name="Hyperlänk 89 2" xfId="9393" xr:uid="{00000000-0005-0000-0000-0000D0560000}"/>
    <cellStyle name="Hyperlänk 89 3" xfId="17531" xr:uid="{00000000-0005-0000-0000-0000D1560000}"/>
    <cellStyle name="Hyperlänk 89_DataIX" xfId="32864" xr:uid="{00000000-0005-0000-0000-0000D2560000}"/>
    <cellStyle name="Hyperlänk 9" xfId="4181" xr:uid="{00000000-0005-0000-0000-0000D3560000}"/>
    <cellStyle name="Hyperlänk 9 2" xfId="9394" xr:uid="{00000000-0005-0000-0000-0000D4560000}"/>
    <cellStyle name="Hyperlänk 9 3" xfId="17532" xr:uid="{00000000-0005-0000-0000-0000D5560000}"/>
    <cellStyle name="Hyperlänk 9_DataIX" xfId="32865" xr:uid="{00000000-0005-0000-0000-0000D6560000}"/>
    <cellStyle name="Hyperlänk 90" xfId="4182" xr:uid="{00000000-0005-0000-0000-0000D7560000}"/>
    <cellStyle name="Hyperlänk 90 2" xfId="9395" xr:uid="{00000000-0005-0000-0000-0000D8560000}"/>
    <cellStyle name="Hyperlänk 90 3" xfId="17533" xr:uid="{00000000-0005-0000-0000-0000D9560000}"/>
    <cellStyle name="Hyperlänk 90_DataIX" xfId="32866" xr:uid="{00000000-0005-0000-0000-0000DA560000}"/>
    <cellStyle name="Hyperlänk 91" xfId="4183" xr:uid="{00000000-0005-0000-0000-0000DB560000}"/>
    <cellStyle name="Hyperlänk 91 2" xfId="9396" xr:uid="{00000000-0005-0000-0000-0000DC560000}"/>
    <cellStyle name="Hyperlänk 91 3" xfId="17534" xr:uid="{00000000-0005-0000-0000-0000DD560000}"/>
    <cellStyle name="Hyperlänk 91_DataIX" xfId="32867" xr:uid="{00000000-0005-0000-0000-0000DE560000}"/>
    <cellStyle name="Hyperlänk 92" xfId="4184" xr:uid="{00000000-0005-0000-0000-0000DF560000}"/>
    <cellStyle name="Hyperlänk 92 2" xfId="9397" xr:uid="{00000000-0005-0000-0000-0000E0560000}"/>
    <cellStyle name="Hyperlänk 92 3" xfId="17535" xr:uid="{00000000-0005-0000-0000-0000E1560000}"/>
    <cellStyle name="Hyperlänk 92_DataIX" xfId="32868" xr:uid="{00000000-0005-0000-0000-0000E2560000}"/>
    <cellStyle name="Hyperlänk 93" xfId="4185" xr:uid="{00000000-0005-0000-0000-0000E3560000}"/>
    <cellStyle name="Hyperlänk 93 2" xfId="9398" xr:uid="{00000000-0005-0000-0000-0000E4560000}"/>
    <cellStyle name="Hyperlänk 93 3" xfId="17536" xr:uid="{00000000-0005-0000-0000-0000E5560000}"/>
    <cellStyle name="Hyperlänk 93_DataIX" xfId="32869" xr:uid="{00000000-0005-0000-0000-0000E6560000}"/>
    <cellStyle name="Hyperlänk 94" xfId="4186" xr:uid="{00000000-0005-0000-0000-0000E7560000}"/>
    <cellStyle name="Hyperlänk 94 2" xfId="9399" xr:uid="{00000000-0005-0000-0000-0000E8560000}"/>
    <cellStyle name="Hyperlänk 94 3" xfId="17537" xr:uid="{00000000-0005-0000-0000-0000E9560000}"/>
    <cellStyle name="Hyperlänk 94_DataIX" xfId="32870" xr:uid="{00000000-0005-0000-0000-0000EA560000}"/>
    <cellStyle name="Hyperlänk 95" xfId="4187" xr:uid="{00000000-0005-0000-0000-0000EB560000}"/>
    <cellStyle name="Hyperlänk 95 2" xfId="9400" xr:uid="{00000000-0005-0000-0000-0000EC560000}"/>
    <cellStyle name="Hyperlänk 95 3" xfId="17538" xr:uid="{00000000-0005-0000-0000-0000ED560000}"/>
    <cellStyle name="Hyperlänk 95_DataIX" xfId="32871" xr:uid="{00000000-0005-0000-0000-0000EE560000}"/>
    <cellStyle name="Hyperlänk 96" xfId="4188" xr:uid="{00000000-0005-0000-0000-0000EF560000}"/>
    <cellStyle name="Hyperlänk 96 2" xfId="9401" xr:uid="{00000000-0005-0000-0000-0000F0560000}"/>
    <cellStyle name="Hyperlänk 96 3" xfId="17539" xr:uid="{00000000-0005-0000-0000-0000F1560000}"/>
    <cellStyle name="Hyperlänk 96_DataIX" xfId="32872" xr:uid="{00000000-0005-0000-0000-0000F2560000}"/>
    <cellStyle name="Hyperlänk 97" xfId="4189" xr:uid="{00000000-0005-0000-0000-0000F3560000}"/>
    <cellStyle name="Hyperlänk 97 2" xfId="9402" xr:uid="{00000000-0005-0000-0000-0000F4560000}"/>
    <cellStyle name="Hyperlänk 97 3" xfId="17540" xr:uid="{00000000-0005-0000-0000-0000F5560000}"/>
    <cellStyle name="Hyperlänk 97_DataIX" xfId="32873" xr:uid="{00000000-0005-0000-0000-0000F6560000}"/>
    <cellStyle name="Hyperlänk 98" xfId="9305" xr:uid="{00000000-0005-0000-0000-0000F7560000}"/>
    <cellStyle name="Hyperlänk 99" xfId="17443" xr:uid="{00000000-0005-0000-0000-0000F8560000}"/>
    <cellStyle name="Hyperlänk_DataIX" xfId="32776" xr:uid="{00000000-0005-0000-0000-0000F9560000}"/>
    <cellStyle name="Hyvä" xfId="354" xr:uid="{00000000-0005-0000-0000-0000FA560000}"/>
    <cellStyle name="Hyvä 10" xfId="26406" xr:uid="{00000000-0005-0000-0000-0000FB560000}"/>
    <cellStyle name="Hyvä 2" xfId="206" xr:uid="{00000000-0005-0000-0000-0000FC560000}"/>
    <cellStyle name="Hyvä 2 10" xfId="26019" xr:uid="{00000000-0005-0000-0000-0000FD560000}"/>
    <cellStyle name="Hyvä 2 2" xfId="4190" xr:uid="{00000000-0005-0000-0000-0000FE560000}"/>
    <cellStyle name="Hyvä 2 2 2" xfId="9404" xr:uid="{00000000-0005-0000-0000-0000FF560000}"/>
    <cellStyle name="Hyvä 2 2 3" xfId="17541" xr:uid="{00000000-0005-0000-0000-000000570000}"/>
    <cellStyle name="Hyvä 2 2_DataIX" xfId="32874" xr:uid="{00000000-0005-0000-0000-000001570000}"/>
    <cellStyle name="Hyvä 2 3" xfId="25141" xr:uid="{00000000-0005-0000-0000-000002570000}"/>
    <cellStyle name="Hyvä 2 4" xfId="25643" xr:uid="{00000000-0005-0000-0000-000003570000}"/>
    <cellStyle name="Hyvä 2 5" xfId="25341" xr:uid="{00000000-0005-0000-0000-000004570000}"/>
    <cellStyle name="Hyvä 2 6" xfId="25601" xr:uid="{00000000-0005-0000-0000-000005570000}"/>
    <cellStyle name="Hyvä 2 7" xfId="25794" xr:uid="{00000000-0005-0000-0000-000006570000}"/>
    <cellStyle name="Hyvä 2 8" xfId="26102" xr:uid="{00000000-0005-0000-0000-000007570000}"/>
    <cellStyle name="Hyvä 2 9" xfId="26049" xr:uid="{00000000-0005-0000-0000-000008570000}"/>
    <cellStyle name="Hyvä 2_##Keskeiset" xfId="9403" xr:uid="{00000000-0005-0000-0000-000009570000}"/>
    <cellStyle name="Hyvä 3" xfId="205" xr:uid="{00000000-0005-0000-0000-00000A570000}"/>
    <cellStyle name="Hyvä 3 2" xfId="25142" xr:uid="{00000000-0005-0000-0000-00000B570000}"/>
    <cellStyle name="Hyvä 3 3" xfId="24959" xr:uid="{00000000-0005-0000-0000-00000C570000}"/>
    <cellStyle name="Hyvä 3_DataIX" xfId="32875" xr:uid="{00000000-0005-0000-0000-00000D570000}"/>
    <cellStyle name="Hyvä 4" xfId="5612" xr:uid="{00000000-0005-0000-0000-00000E570000}"/>
    <cellStyle name="Hyvä 4 2" xfId="12629" xr:uid="{00000000-0005-0000-0000-00000F570000}"/>
    <cellStyle name="Hyvä 4 3" xfId="18830" xr:uid="{00000000-0005-0000-0000-000010570000}"/>
    <cellStyle name="Hyvä 4 4" xfId="27784" xr:uid="{00000000-0005-0000-0000-000011570000}"/>
    <cellStyle name="Hyvä 4_DataIX" xfId="32876" xr:uid="{00000000-0005-0000-0000-000012570000}"/>
    <cellStyle name="Hyvä 5" xfId="10667" xr:uid="{00000000-0005-0000-0000-000013570000}"/>
    <cellStyle name="Hyvä 6" xfId="26510" xr:uid="{00000000-0005-0000-0000-000014570000}"/>
    <cellStyle name="Hyvä 7" xfId="26339" xr:uid="{00000000-0005-0000-0000-000015570000}"/>
    <cellStyle name="Hyvä 8" xfId="26096" xr:uid="{00000000-0005-0000-0000-000016570000}"/>
    <cellStyle name="Hyvä 9" xfId="25532" xr:uid="{00000000-0005-0000-0000-000017570000}"/>
    <cellStyle name="Hyvä_##KansantalKehitys" xfId="5433" xr:uid="{00000000-0005-0000-0000-000018570000}"/>
    <cellStyle name="Îáû÷íûé_Table16" xfId="4191" xr:uid="{00000000-0005-0000-0000-000019570000}"/>
    <cellStyle name="imf-one decimal" xfId="4192" xr:uid="{00000000-0005-0000-0000-00001A570000}"/>
    <cellStyle name="imf-one decimal 2" xfId="4193" xr:uid="{00000000-0005-0000-0000-00001B570000}"/>
    <cellStyle name="imf-one decimal 2 2" xfId="9406" xr:uid="{00000000-0005-0000-0000-00001C570000}"/>
    <cellStyle name="imf-one decimal 2 3" xfId="17543" xr:uid="{00000000-0005-0000-0000-00001D570000}"/>
    <cellStyle name="imf-one decimal 2_DataIX" xfId="32878" xr:uid="{00000000-0005-0000-0000-00001E570000}"/>
    <cellStyle name="imf-one decimal 3" xfId="4194" xr:uid="{00000000-0005-0000-0000-00001F570000}"/>
    <cellStyle name="imf-one decimal 3 2" xfId="9407" xr:uid="{00000000-0005-0000-0000-000020570000}"/>
    <cellStyle name="imf-one decimal 3 3" xfId="17544" xr:uid="{00000000-0005-0000-0000-000021570000}"/>
    <cellStyle name="imf-one decimal 3_DataIX" xfId="32879" xr:uid="{00000000-0005-0000-0000-000022570000}"/>
    <cellStyle name="imf-one decimal 4" xfId="9405" xr:uid="{00000000-0005-0000-0000-000023570000}"/>
    <cellStyle name="imf-one decimal 5" xfId="17542" xr:uid="{00000000-0005-0000-0000-000024570000}"/>
    <cellStyle name="imf-one decimal_DataIX" xfId="32877" xr:uid="{00000000-0005-0000-0000-000025570000}"/>
    <cellStyle name="imf-zero decimal" xfId="4195" xr:uid="{00000000-0005-0000-0000-000026570000}"/>
    <cellStyle name="imf-zero decimal 2" xfId="4196" xr:uid="{00000000-0005-0000-0000-000027570000}"/>
    <cellStyle name="imf-zero decimal 2 2" xfId="9409" xr:uid="{00000000-0005-0000-0000-000028570000}"/>
    <cellStyle name="imf-zero decimal 2 3" xfId="17546" xr:uid="{00000000-0005-0000-0000-000029570000}"/>
    <cellStyle name="imf-zero decimal 2_DataIX" xfId="32881" xr:uid="{00000000-0005-0000-0000-00002A570000}"/>
    <cellStyle name="imf-zero decimal 3" xfId="4197" xr:uid="{00000000-0005-0000-0000-00002B570000}"/>
    <cellStyle name="imf-zero decimal 3 2" xfId="9410" xr:uid="{00000000-0005-0000-0000-00002C570000}"/>
    <cellStyle name="imf-zero decimal 3 3" xfId="17547" xr:uid="{00000000-0005-0000-0000-00002D570000}"/>
    <cellStyle name="imf-zero decimal 3_DataIX" xfId="32882" xr:uid="{00000000-0005-0000-0000-00002E570000}"/>
    <cellStyle name="imf-zero decimal 4" xfId="9408" xr:uid="{00000000-0005-0000-0000-00002F570000}"/>
    <cellStyle name="imf-zero decimal 5" xfId="17545" xr:uid="{00000000-0005-0000-0000-000030570000}"/>
    <cellStyle name="imf-zero decimal_DataIX" xfId="32880" xr:uid="{00000000-0005-0000-0000-000031570000}"/>
    <cellStyle name="Input" xfId="91" xr:uid="{00000000-0005-0000-0000-000032570000}"/>
    <cellStyle name="Input [yellow]" xfId="4198" xr:uid="{00000000-0005-0000-0000-000033570000}"/>
    <cellStyle name="Input [yellow] 2" xfId="9411" xr:uid="{00000000-0005-0000-0000-000034570000}"/>
    <cellStyle name="Input [yellow] 3" xfId="17548" xr:uid="{00000000-0005-0000-0000-000035570000}"/>
    <cellStyle name="Input [yellow]_DataIX" xfId="32883" xr:uid="{00000000-0005-0000-0000-000036570000}"/>
    <cellStyle name="Input 10" xfId="5454" xr:uid="{00000000-0005-0000-0000-000037570000}"/>
    <cellStyle name="Input 10 2" xfId="12631" xr:uid="{00000000-0005-0000-0000-000038570000}"/>
    <cellStyle name="Input 10 3" xfId="18731" xr:uid="{00000000-0005-0000-0000-000039570000}"/>
    <cellStyle name="Input 10 3 2" xfId="21843" xr:uid="{00000000-0005-0000-0000-00003A570000}"/>
    <cellStyle name="Input 10 3_DataIX" xfId="32885" xr:uid="{00000000-0005-0000-0000-00003B570000}"/>
    <cellStyle name="Input 10 4" xfId="20462" xr:uid="{00000000-0005-0000-0000-00003C570000}"/>
    <cellStyle name="Input 10 4 2" xfId="22119" xr:uid="{00000000-0005-0000-0000-00003D570000}"/>
    <cellStyle name="Input 10 4_DataIX" xfId="32886" xr:uid="{00000000-0005-0000-0000-00003E570000}"/>
    <cellStyle name="Input 10_DataIX" xfId="32884" xr:uid="{00000000-0005-0000-0000-00003F570000}"/>
    <cellStyle name="Input 11" xfId="7158" xr:uid="{00000000-0005-0000-0000-000040570000}"/>
    <cellStyle name="Input 11 2" xfId="12632" xr:uid="{00000000-0005-0000-0000-000041570000}"/>
    <cellStyle name="Input 11 3" xfId="19133" xr:uid="{00000000-0005-0000-0000-000042570000}"/>
    <cellStyle name="Input 11 3 2" xfId="21788" xr:uid="{00000000-0005-0000-0000-000043570000}"/>
    <cellStyle name="Input 11 3_DataIX" xfId="32888" xr:uid="{00000000-0005-0000-0000-000044570000}"/>
    <cellStyle name="Input 11 4" xfId="20962" xr:uid="{00000000-0005-0000-0000-000045570000}"/>
    <cellStyle name="Input 11 4 2" xfId="10987" xr:uid="{00000000-0005-0000-0000-000046570000}"/>
    <cellStyle name="Input 11 4_DataIX" xfId="32889" xr:uid="{00000000-0005-0000-0000-000047570000}"/>
    <cellStyle name="Input 11_DataIX" xfId="32887" xr:uid="{00000000-0005-0000-0000-000048570000}"/>
    <cellStyle name="Input 12" xfId="10619" xr:uid="{00000000-0005-0000-0000-000049570000}"/>
    <cellStyle name="Input 12 2" xfId="12633" xr:uid="{00000000-0005-0000-0000-00004A570000}"/>
    <cellStyle name="Input 12 3" xfId="20401" xr:uid="{00000000-0005-0000-0000-00004B570000}"/>
    <cellStyle name="Input 12 3 2" xfId="21978" xr:uid="{00000000-0005-0000-0000-00004C570000}"/>
    <cellStyle name="Input 12 3_DataIX" xfId="32891" xr:uid="{00000000-0005-0000-0000-00004D570000}"/>
    <cellStyle name="Input 12 4" xfId="21002" xr:uid="{00000000-0005-0000-0000-00004E570000}"/>
    <cellStyle name="Input 12 4 2" xfId="22230" xr:uid="{00000000-0005-0000-0000-00004F570000}"/>
    <cellStyle name="Input 12 4_DataIX" xfId="32892" xr:uid="{00000000-0005-0000-0000-000050570000}"/>
    <cellStyle name="Input 12_DataIX" xfId="32890" xr:uid="{00000000-0005-0000-0000-000051570000}"/>
    <cellStyle name="Input 13" xfId="10555" xr:uid="{00000000-0005-0000-0000-000052570000}"/>
    <cellStyle name="Input 13 2" xfId="12634" xr:uid="{00000000-0005-0000-0000-000053570000}"/>
    <cellStyle name="Input 13 3" xfId="20337" xr:uid="{00000000-0005-0000-0000-000054570000}"/>
    <cellStyle name="Input 13 3 2" xfId="10868" xr:uid="{00000000-0005-0000-0000-000055570000}"/>
    <cellStyle name="Input 13 3_DataIX" xfId="32894" xr:uid="{00000000-0005-0000-0000-000056570000}"/>
    <cellStyle name="Input 13 4" xfId="20972" xr:uid="{00000000-0005-0000-0000-000057570000}"/>
    <cellStyle name="Input 13 4 2" xfId="13749" xr:uid="{00000000-0005-0000-0000-000058570000}"/>
    <cellStyle name="Input 13 4_DataIX" xfId="32895" xr:uid="{00000000-0005-0000-0000-000059570000}"/>
    <cellStyle name="Input 13_DataIX" xfId="32893" xr:uid="{00000000-0005-0000-0000-00005A570000}"/>
    <cellStyle name="Input 14" xfId="10582" xr:uid="{00000000-0005-0000-0000-00005B570000}"/>
    <cellStyle name="Input 14 2" xfId="12635" xr:uid="{00000000-0005-0000-0000-00005C570000}"/>
    <cellStyle name="Input 14 3" xfId="20364" xr:uid="{00000000-0005-0000-0000-00005D570000}"/>
    <cellStyle name="Input 14 3 2" xfId="10903" xr:uid="{00000000-0005-0000-0000-00005E570000}"/>
    <cellStyle name="Input 14 3_DataIX" xfId="32897" xr:uid="{00000000-0005-0000-0000-00005F570000}"/>
    <cellStyle name="Input 14 4" xfId="20976" xr:uid="{00000000-0005-0000-0000-000060570000}"/>
    <cellStyle name="Input 14 4 2" xfId="13699" xr:uid="{00000000-0005-0000-0000-000061570000}"/>
    <cellStyle name="Input 14 4_DataIX" xfId="32898" xr:uid="{00000000-0005-0000-0000-000062570000}"/>
    <cellStyle name="Input 14_DataIX" xfId="32896" xr:uid="{00000000-0005-0000-0000-000063570000}"/>
    <cellStyle name="Input 15" xfId="13794" xr:uid="{00000000-0005-0000-0000-000064570000}"/>
    <cellStyle name="Input 15 2" xfId="24960" xr:uid="{00000000-0005-0000-0000-000065570000}"/>
    <cellStyle name="Input 15_DataIX" xfId="32899" xr:uid="{00000000-0005-0000-0000-000066570000}"/>
    <cellStyle name="Input 16" xfId="10972" xr:uid="{00000000-0005-0000-0000-000067570000}"/>
    <cellStyle name="Input 16 2" xfId="23179" xr:uid="{00000000-0005-0000-0000-000068570000}"/>
    <cellStyle name="Input 16_DataIX" xfId="32900" xr:uid="{00000000-0005-0000-0000-000069570000}"/>
    <cellStyle name="Input 17" xfId="22012" xr:uid="{00000000-0005-0000-0000-00006A570000}"/>
    <cellStyle name="Input 17 2" xfId="24931" xr:uid="{00000000-0005-0000-0000-00006B570000}"/>
    <cellStyle name="Input 17_DataIX" xfId="32901" xr:uid="{00000000-0005-0000-0000-00006C570000}"/>
    <cellStyle name="Input 18" xfId="13645" xr:uid="{00000000-0005-0000-0000-00006D570000}"/>
    <cellStyle name="Input 18 2" xfId="23186" xr:uid="{00000000-0005-0000-0000-00006E570000}"/>
    <cellStyle name="Input 18_DataIX" xfId="32902" xr:uid="{00000000-0005-0000-0000-00006F570000}"/>
    <cellStyle name="Input 19" xfId="22284" xr:uid="{00000000-0005-0000-0000-000070570000}"/>
    <cellStyle name="Input 19 2" xfId="24921" xr:uid="{00000000-0005-0000-0000-000071570000}"/>
    <cellStyle name="Input 19_DataIX" xfId="32903" xr:uid="{00000000-0005-0000-0000-000072570000}"/>
    <cellStyle name="Input 2" xfId="92" xr:uid="{00000000-0005-0000-0000-000073570000}"/>
    <cellStyle name="Input 2 10" xfId="26413" xr:uid="{00000000-0005-0000-0000-000074570000}"/>
    <cellStyle name="Input 2 2" xfId="4199" xr:uid="{00000000-0005-0000-0000-000075570000}"/>
    <cellStyle name="Input 2 2 2" xfId="9413" xr:uid="{00000000-0005-0000-0000-000076570000}"/>
    <cellStyle name="Input 2 2 3" xfId="17549" xr:uid="{00000000-0005-0000-0000-000077570000}"/>
    <cellStyle name="Input 2 2_DataIX" xfId="32904" xr:uid="{00000000-0005-0000-0000-000078570000}"/>
    <cellStyle name="Input 2 3" xfId="25143" xr:uid="{00000000-0005-0000-0000-000079570000}"/>
    <cellStyle name="Input 2 4" xfId="26149" xr:uid="{00000000-0005-0000-0000-00007A570000}"/>
    <cellStyle name="Input 2 5" xfId="25761" xr:uid="{00000000-0005-0000-0000-00007B570000}"/>
    <cellStyle name="Input 2 6" xfId="25457" xr:uid="{00000000-0005-0000-0000-00007C570000}"/>
    <cellStyle name="Input 2 7" xfId="26666" xr:uid="{00000000-0005-0000-0000-00007D570000}"/>
    <cellStyle name="Input 2 8" xfId="25792" xr:uid="{00000000-0005-0000-0000-00007E570000}"/>
    <cellStyle name="Input 2 9" xfId="25244" xr:uid="{00000000-0005-0000-0000-00007F570000}"/>
    <cellStyle name="Input 2_##Keskeiset" xfId="9412" xr:uid="{00000000-0005-0000-0000-000080570000}"/>
    <cellStyle name="Input 20" xfId="22360" xr:uid="{00000000-0005-0000-0000-000081570000}"/>
    <cellStyle name="Input 20 2" xfId="23191" xr:uid="{00000000-0005-0000-0000-000082570000}"/>
    <cellStyle name="Input 20_DataIX" xfId="32905" xr:uid="{00000000-0005-0000-0000-000083570000}"/>
    <cellStyle name="Input 21" xfId="22705" xr:uid="{00000000-0005-0000-0000-000084570000}"/>
    <cellStyle name="Input 22" xfId="22713" xr:uid="{00000000-0005-0000-0000-000085570000}"/>
    <cellStyle name="Input 23" xfId="22684" xr:uid="{00000000-0005-0000-0000-000086570000}"/>
    <cellStyle name="Input 24" xfId="22662" xr:uid="{00000000-0005-0000-0000-000087570000}"/>
    <cellStyle name="Input 25" xfId="22572" xr:uid="{00000000-0005-0000-0000-000088570000}"/>
    <cellStyle name="Input 26" xfId="22724" xr:uid="{00000000-0005-0000-0000-000089570000}"/>
    <cellStyle name="Input 27" xfId="22447" xr:uid="{00000000-0005-0000-0000-00008A570000}"/>
    <cellStyle name="Input 28" xfId="22442" xr:uid="{00000000-0005-0000-0000-00008B570000}"/>
    <cellStyle name="Input 29" xfId="27757" xr:uid="{00000000-0005-0000-0000-00008C570000}"/>
    <cellStyle name="Input 3" xfId="207" xr:uid="{00000000-0005-0000-0000-00008D570000}"/>
    <cellStyle name="Input 3 10" xfId="13805" xr:uid="{00000000-0005-0000-0000-00008E570000}"/>
    <cellStyle name="Input 3 10 2" xfId="11028" xr:uid="{00000000-0005-0000-0000-00008F570000}"/>
    <cellStyle name="Input 3 10 3" xfId="26213" xr:uid="{00000000-0005-0000-0000-000090570000}"/>
    <cellStyle name="Input 3 10 4" xfId="27385" xr:uid="{00000000-0005-0000-0000-000091570000}"/>
    <cellStyle name="Input 3 10 5" xfId="22987" xr:uid="{00000000-0005-0000-0000-000092570000}"/>
    <cellStyle name="Input 3 10_DataIX" xfId="32906" xr:uid="{00000000-0005-0000-0000-000093570000}"/>
    <cellStyle name="Input 3 11" xfId="20316" xr:uid="{00000000-0005-0000-0000-000094570000}"/>
    <cellStyle name="Input 3 11 2" xfId="10846" xr:uid="{00000000-0005-0000-0000-000095570000}"/>
    <cellStyle name="Input 3 11 3" xfId="25308" xr:uid="{00000000-0005-0000-0000-000096570000}"/>
    <cellStyle name="Input 3 11 4" xfId="27042" xr:uid="{00000000-0005-0000-0000-000097570000}"/>
    <cellStyle name="Input 3 11 5" xfId="23039" xr:uid="{00000000-0005-0000-0000-000098570000}"/>
    <cellStyle name="Input 3 11_DataIX" xfId="32907" xr:uid="{00000000-0005-0000-0000-000099570000}"/>
    <cellStyle name="Input 3 12" xfId="13594" xr:uid="{00000000-0005-0000-0000-00009A570000}"/>
    <cellStyle name="Input 3 13" xfId="22319" xr:uid="{00000000-0005-0000-0000-00009B570000}"/>
    <cellStyle name="Input 3 14" xfId="22588" xr:uid="{00000000-0005-0000-0000-00009C570000}"/>
    <cellStyle name="Input 3 15" xfId="22503" xr:uid="{00000000-0005-0000-0000-00009D570000}"/>
    <cellStyle name="Input 3 16" xfId="22392" xr:uid="{00000000-0005-0000-0000-00009E570000}"/>
    <cellStyle name="Input 3 17" xfId="22949" xr:uid="{00000000-0005-0000-0000-00009F570000}"/>
    <cellStyle name="Input 3 18" xfId="27895" xr:uid="{00000000-0005-0000-0000-0000A0570000}"/>
    <cellStyle name="Input 3 19" xfId="28053" xr:uid="{00000000-0005-0000-0000-0000A1570000}"/>
    <cellStyle name="Input 3 2" xfId="297" xr:uid="{00000000-0005-0000-0000-0000A2570000}"/>
    <cellStyle name="Input 3 2 10" xfId="21463" xr:uid="{00000000-0005-0000-0000-0000A3570000}"/>
    <cellStyle name="Input 3 2 10 2" xfId="26697" xr:uid="{00000000-0005-0000-0000-0000A4570000}"/>
    <cellStyle name="Input 3 2 10 3" xfId="27584" xr:uid="{00000000-0005-0000-0000-0000A5570000}"/>
    <cellStyle name="Input 3 2 10 4" xfId="22866" xr:uid="{00000000-0005-0000-0000-0000A6570000}"/>
    <cellStyle name="Input 3 2 10_DataIX" xfId="32908" xr:uid="{00000000-0005-0000-0000-0000A7570000}"/>
    <cellStyle name="Input 3 2 11" xfId="22320" xr:uid="{00000000-0005-0000-0000-0000A8570000}"/>
    <cellStyle name="Input 3 2 11 2" xfId="26616" xr:uid="{00000000-0005-0000-0000-0000A9570000}"/>
    <cellStyle name="Input 3 2 11 3" xfId="27553" xr:uid="{00000000-0005-0000-0000-0000AA570000}"/>
    <cellStyle name="Input 3 2 11 4" xfId="26853" xr:uid="{00000000-0005-0000-0000-0000AB570000}"/>
    <cellStyle name="Input 3 2 11_DataIX" xfId="32909" xr:uid="{00000000-0005-0000-0000-0000AC570000}"/>
    <cellStyle name="Input 3 2 12" xfId="22587" xr:uid="{00000000-0005-0000-0000-0000AD570000}"/>
    <cellStyle name="Input 3 2 13" xfId="22505" xr:uid="{00000000-0005-0000-0000-0000AE570000}"/>
    <cellStyle name="Input 3 2 14" xfId="22624" xr:uid="{00000000-0005-0000-0000-0000AF570000}"/>
    <cellStyle name="Input 3 2 15" xfId="23022" xr:uid="{00000000-0005-0000-0000-0000B0570000}"/>
    <cellStyle name="Input 3 2 16" xfId="27896" xr:uid="{00000000-0005-0000-0000-0000B1570000}"/>
    <cellStyle name="Input 3 2 17" xfId="28052" xr:uid="{00000000-0005-0000-0000-0000B2570000}"/>
    <cellStyle name="Input 3 2 18" xfId="28227" xr:uid="{00000000-0005-0000-0000-0000B3570000}"/>
    <cellStyle name="Input 3 2 19" xfId="28803" xr:uid="{00000000-0005-0000-0000-0000B4570000}"/>
    <cellStyle name="Input 3 2 2" xfId="5252" xr:uid="{00000000-0005-0000-0000-0000B5570000}"/>
    <cellStyle name="Input 3 2 2 2" xfId="5614" xr:uid="{00000000-0005-0000-0000-0000B6570000}"/>
    <cellStyle name="Input 3 2 2 2 2" xfId="12636" xr:uid="{00000000-0005-0000-0000-0000B7570000}"/>
    <cellStyle name="Input 3 2 2 2 3" xfId="18832" xr:uid="{00000000-0005-0000-0000-0000B8570000}"/>
    <cellStyle name="Input 3 2 2 2 3 2" xfId="13707" xr:uid="{00000000-0005-0000-0000-0000B9570000}"/>
    <cellStyle name="Input 3 2 2 2 3_DataIX" xfId="32912" xr:uid="{00000000-0005-0000-0000-0000BA570000}"/>
    <cellStyle name="Input 3 2 2 2 4" xfId="18969" xr:uid="{00000000-0005-0000-0000-0000BB570000}"/>
    <cellStyle name="Input 3 2 2 2 4 2" xfId="10992" xr:uid="{00000000-0005-0000-0000-0000BC570000}"/>
    <cellStyle name="Input 3 2 2 2 4_DataIX" xfId="32913" xr:uid="{00000000-0005-0000-0000-0000BD570000}"/>
    <cellStyle name="Input 3 2 2 2_DataIX" xfId="32911" xr:uid="{00000000-0005-0000-0000-0000BE570000}"/>
    <cellStyle name="Input 3 2 2 3" xfId="11052" xr:uid="{00000000-0005-0000-0000-0000BF570000}"/>
    <cellStyle name="Input 3 2 2 4" xfId="18582" xr:uid="{00000000-0005-0000-0000-0000C0570000}"/>
    <cellStyle name="Input 3 2 2 4 2" xfId="20659" xr:uid="{00000000-0005-0000-0000-0000C1570000}"/>
    <cellStyle name="Input 3 2 2 4_DataIX" xfId="32914" xr:uid="{00000000-0005-0000-0000-0000C2570000}"/>
    <cellStyle name="Input 3 2 2 5" xfId="19033" xr:uid="{00000000-0005-0000-0000-0000C3570000}"/>
    <cellStyle name="Input 3 2 2 5 2" xfId="11044" xr:uid="{00000000-0005-0000-0000-0000C4570000}"/>
    <cellStyle name="Input 3 2 2 5_DataIX" xfId="32915" xr:uid="{00000000-0005-0000-0000-0000C5570000}"/>
    <cellStyle name="Input 3 2 2_DataIX" xfId="32910" xr:uid="{00000000-0005-0000-0000-0000C6570000}"/>
    <cellStyle name="Input 3 2 20" xfId="28712" xr:uid="{00000000-0005-0000-0000-0000C7570000}"/>
    <cellStyle name="Input 3 2 21" xfId="28981" xr:uid="{00000000-0005-0000-0000-0000C8570000}"/>
    <cellStyle name="Input 3 2 22" xfId="29031" xr:uid="{00000000-0005-0000-0000-0000C9570000}"/>
    <cellStyle name="Input 3 2 23" xfId="29176" xr:uid="{00000000-0005-0000-0000-0000CA570000}"/>
    <cellStyle name="Input 3 2 3" xfId="5615" xr:uid="{00000000-0005-0000-0000-0000CB570000}"/>
    <cellStyle name="Input 3 2 3 2" xfId="10602" xr:uid="{00000000-0005-0000-0000-0000CC570000}"/>
    <cellStyle name="Input 3 2 3 2 2" xfId="12638" xr:uid="{00000000-0005-0000-0000-0000CD570000}"/>
    <cellStyle name="Input 3 2 3 2 3" xfId="20384" xr:uid="{00000000-0005-0000-0000-0000CE570000}"/>
    <cellStyle name="Input 3 2 3 2 3 2" xfId="13536" xr:uid="{00000000-0005-0000-0000-0000CF570000}"/>
    <cellStyle name="Input 3 2 3 2 3_DataIX" xfId="32918" xr:uid="{00000000-0005-0000-0000-0000D0570000}"/>
    <cellStyle name="Input 3 2 3 2 4" xfId="20995" xr:uid="{00000000-0005-0000-0000-0000D1570000}"/>
    <cellStyle name="Input 3 2 3 2 4 2" xfId="13527" xr:uid="{00000000-0005-0000-0000-0000D2570000}"/>
    <cellStyle name="Input 3 2 3 2 4_DataIX" xfId="32919" xr:uid="{00000000-0005-0000-0000-0000D3570000}"/>
    <cellStyle name="Input 3 2 3 2_DataIX" xfId="32917" xr:uid="{00000000-0005-0000-0000-0000D4570000}"/>
    <cellStyle name="Input 3 2 3 3" xfId="12637" xr:uid="{00000000-0005-0000-0000-0000D5570000}"/>
    <cellStyle name="Input 3 2 3 4" xfId="18833" xr:uid="{00000000-0005-0000-0000-0000D6570000}"/>
    <cellStyle name="Input 3 2 3 4 2" xfId="10989" xr:uid="{00000000-0005-0000-0000-0000D7570000}"/>
    <cellStyle name="Input 3 2 3 4_DataIX" xfId="32920" xr:uid="{00000000-0005-0000-0000-0000D8570000}"/>
    <cellStyle name="Input 3 2 3 5" xfId="20441" xr:uid="{00000000-0005-0000-0000-0000D9570000}"/>
    <cellStyle name="Input 3 2 3 5 2" xfId="21792" xr:uid="{00000000-0005-0000-0000-0000DA570000}"/>
    <cellStyle name="Input 3 2 3 5_DataIX" xfId="32921" xr:uid="{00000000-0005-0000-0000-0000DB570000}"/>
    <cellStyle name="Input 3 2 3_DataIX" xfId="32916" xr:uid="{00000000-0005-0000-0000-0000DC570000}"/>
    <cellStyle name="Input 3 2 4" xfId="5342" xr:uid="{00000000-0005-0000-0000-0000DD570000}"/>
    <cellStyle name="Input 3 2 4 2" xfId="12639" xr:uid="{00000000-0005-0000-0000-0000DE570000}"/>
    <cellStyle name="Input 3 2 4 3" xfId="18666" xr:uid="{00000000-0005-0000-0000-0000DF570000}"/>
    <cellStyle name="Input 3 2 4 3 2" xfId="12745" xr:uid="{00000000-0005-0000-0000-0000E0570000}"/>
    <cellStyle name="Input 3 2 4 3_DataIX" xfId="32923" xr:uid="{00000000-0005-0000-0000-0000E1570000}"/>
    <cellStyle name="Input 3 2 4 4" xfId="19009" xr:uid="{00000000-0005-0000-0000-0000E2570000}"/>
    <cellStyle name="Input 3 2 4 4 2" xfId="13007" xr:uid="{00000000-0005-0000-0000-0000E3570000}"/>
    <cellStyle name="Input 3 2 4 4_DataIX" xfId="32924" xr:uid="{00000000-0005-0000-0000-0000E4570000}"/>
    <cellStyle name="Input 3 2 4_DataIX" xfId="32922" xr:uid="{00000000-0005-0000-0000-0000E5570000}"/>
    <cellStyle name="Input 3 2 5" xfId="13303" xr:uid="{00000000-0005-0000-0000-0000E6570000}"/>
    <cellStyle name="Input 3 2 5 2" xfId="20892" xr:uid="{00000000-0005-0000-0000-0000E7570000}"/>
    <cellStyle name="Input 3 2 5 2 2" xfId="22056" xr:uid="{00000000-0005-0000-0000-0000E8570000}"/>
    <cellStyle name="Input 3 2 5 2_DataIX" xfId="32926" xr:uid="{00000000-0005-0000-0000-0000E9570000}"/>
    <cellStyle name="Input 3 2 5 3" xfId="21280" xr:uid="{00000000-0005-0000-0000-0000EA570000}"/>
    <cellStyle name="Input 3 2 5 3 2" xfId="21875" xr:uid="{00000000-0005-0000-0000-0000EB570000}"/>
    <cellStyle name="Input 3 2 5 3_DataIX" xfId="32927" xr:uid="{00000000-0005-0000-0000-0000EC570000}"/>
    <cellStyle name="Input 3 2 5 4" xfId="20644" xr:uid="{00000000-0005-0000-0000-0000ED570000}"/>
    <cellStyle name="Input 3 2 5 5" xfId="25145" xr:uid="{00000000-0005-0000-0000-0000EE570000}"/>
    <cellStyle name="Input 3 2 5 6" xfId="26951" xr:uid="{00000000-0005-0000-0000-0000EF570000}"/>
    <cellStyle name="Input 3 2 5 7" xfId="26888" xr:uid="{00000000-0005-0000-0000-0000F0570000}"/>
    <cellStyle name="Input 3 2 5_DataIX" xfId="32925" xr:uid="{00000000-0005-0000-0000-0000F1570000}"/>
    <cellStyle name="Input 3 2 6" xfId="13326" xr:uid="{00000000-0005-0000-0000-0000F2570000}"/>
    <cellStyle name="Input 3 2 6 2" xfId="20907" xr:uid="{00000000-0005-0000-0000-0000F3570000}"/>
    <cellStyle name="Input 3 2 6 2 2" xfId="13433" xr:uid="{00000000-0005-0000-0000-0000F4570000}"/>
    <cellStyle name="Input 3 2 6 2_DataIX" xfId="32929" xr:uid="{00000000-0005-0000-0000-0000F5570000}"/>
    <cellStyle name="Input 3 2 6 3" xfId="21293" xr:uid="{00000000-0005-0000-0000-0000F6570000}"/>
    <cellStyle name="Input 3 2 6 3 2" xfId="10934" xr:uid="{00000000-0005-0000-0000-0000F7570000}"/>
    <cellStyle name="Input 3 2 6 3_DataIX" xfId="32930" xr:uid="{00000000-0005-0000-0000-0000F8570000}"/>
    <cellStyle name="Input 3 2 6 4" xfId="13020" xr:uid="{00000000-0005-0000-0000-0000F9570000}"/>
    <cellStyle name="Input 3 2 6 5" xfId="26148" xr:uid="{00000000-0005-0000-0000-0000FA570000}"/>
    <cellStyle name="Input 3 2 6 6" xfId="27359" xr:uid="{00000000-0005-0000-0000-0000FB570000}"/>
    <cellStyle name="Input 3 2 6 7" xfId="26897" xr:uid="{00000000-0005-0000-0000-0000FC570000}"/>
    <cellStyle name="Input 3 2 6_DataIX" xfId="32928" xr:uid="{00000000-0005-0000-0000-0000FD570000}"/>
    <cellStyle name="Input 3 2 7" xfId="13217" xr:uid="{00000000-0005-0000-0000-0000FE570000}"/>
    <cellStyle name="Input 3 2 7 2" xfId="20830" xr:uid="{00000000-0005-0000-0000-0000FF570000}"/>
    <cellStyle name="Input 3 2 7 2 2" xfId="11350" xr:uid="{00000000-0005-0000-0000-000000580000}"/>
    <cellStyle name="Input 3 2 7 2_DataIX" xfId="32932" xr:uid="{00000000-0005-0000-0000-000001580000}"/>
    <cellStyle name="Input 3 2 7 3" xfId="21206" xr:uid="{00000000-0005-0000-0000-000002580000}"/>
    <cellStyle name="Input 3 2 7 3 2" xfId="10857" xr:uid="{00000000-0005-0000-0000-000003580000}"/>
    <cellStyle name="Input 3 2 7 3_DataIX" xfId="32933" xr:uid="{00000000-0005-0000-0000-000004580000}"/>
    <cellStyle name="Input 3 2 7 4" xfId="10850" xr:uid="{00000000-0005-0000-0000-000005580000}"/>
    <cellStyle name="Input 3 2 7 5" xfId="26580" xr:uid="{00000000-0005-0000-0000-000006580000}"/>
    <cellStyle name="Input 3 2 7 6" xfId="27539" xr:uid="{00000000-0005-0000-0000-000007580000}"/>
    <cellStyle name="Input 3 2 7 7" xfId="26895" xr:uid="{00000000-0005-0000-0000-000008580000}"/>
    <cellStyle name="Input 3 2 7_DataIX" xfId="32931" xr:uid="{00000000-0005-0000-0000-000009580000}"/>
    <cellStyle name="Input 3 2 8" xfId="13863" xr:uid="{00000000-0005-0000-0000-00000A580000}"/>
    <cellStyle name="Input 3 2 8 2" xfId="12966" xr:uid="{00000000-0005-0000-0000-00000B580000}"/>
    <cellStyle name="Input 3 2 8 3" xfId="25704" xr:uid="{00000000-0005-0000-0000-00000C580000}"/>
    <cellStyle name="Input 3 2 8 4" xfId="27202" xr:uid="{00000000-0005-0000-0000-00000D580000}"/>
    <cellStyle name="Input 3 2 8 5" xfId="27606" xr:uid="{00000000-0005-0000-0000-00000E580000}"/>
    <cellStyle name="Input 3 2 8_DataIX" xfId="32934" xr:uid="{00000000-0005-0000-0000-00000F580000}"/>
    <cellStyle name="Input 3 2 9" xfId="20290" xr:uid="{00000000-0005-0000-0000-000010580000}"/>
    <cellStyle name="Input 3 2 9 2" xfId="10922" xr:uid="{00000000-0005-0000-0000-000011580000}"/>
    <cellStyle name="Input 3 2 9 3" xfId="25479" xr:uid="{00000000-0005-0000-0000-000012580000}"/>
    <cellStyle name="Input 3 2 9 4" xfId="27112" xr:uid="{00000000-0005-0000-0000-000013580000}"/>
    <cellStyle name="Input 3 2 9 5" xfId="27463" xr:uid="{00000000-0005-0000-0000-000014580000}"/>
    <cellStyle name="Input 3 2 9_DataIX" xfId="32935" xr:uid="{00000000-0005-0000-0000-000015580000}"/>
    <cellStyle name="Input 3 2_##Keskeiset" xfId="9415" xr:uid="{00000000-0005-0000-0000-000016580000}"/>
    <cellStyle name="Input 3 20" xfId="28226" xr:uid="{00000000-0005-0000-0000-000017580000}"/>
    <cellStyle name="Input 3 21" xfId="28804" xr:uid="{00000000-0005-0000-0000-000018580000}"/>
    <cellStyle name="Input 3 22" xfId="28713" xr:uid="{00000000-0005-0000-0000-000019580000}"/>
    <cellStyle name="Input 3 23" xfId="28963" xr:uid="{00000000-0005-0000-0000-00001A580000}"/>
    <cellStyle name="Input 3 24" xfId="29030" xr:uid="{00000000-0005-0000-0000-00001B580000}"/>
    <cellStyle name="Input 3 25" xfId="29177" xr:uid="{00000000-0005-0000-0000-00001C580000}"/>
    <cellStyle name="Input 3 3" xfId="289" xr:uid="{00000000-0005-0000-0000-00001D580000}"/>
    <cellStyle name="Input 3 3 10" xfId="13859" xr:uid="{00000000-0005-0000-0000-00001E580000}"/>
    <cellStyle name="Input 3 3 10 2" xfId="13519" xr:uid="{00000000-0005-0000-0000-00001F580000}"/>
    <cellStyle name="Input 3 3 10 3" xfId="25781" xr:uid="{00000000-0005-0000-0000-000020580000}"/>
    <cellStyle name="Input 3 3 10 4" xfId="27227" xr:uid="{00000000-0005-0000-0000-000021580000}"/>
    <cellStyle name="Input 3 3 10 5" xfId="26845" xr:uid="{00000000-0005-0000-0000-000022580000}"/>
    <cellStyle name="Input 3 3 10_DataIX" xfId="32936" xr:uid="{00000000-0005-0000-0000-000023580000}"/>
    <cellStyle name="Input 3 3 11" xfId="20789" xr:uid="{00000000-0005-0000-0000-000024580000}"/>
    <cellStyle name="Input 3 3 11 2" xfId="22260" xr:uid="{00000000-0005-0000-0000-000025580000}"/>
    <cellStyle name="Input 3 3 11 3" xfId="25581" xr:uid="{00000000-0005-0000-0000-000026580000}"/>
    <cellStyle name="Input 3 3 11 4" xfId="27156" xr:uid="{00000000-0005-0000-0000-000027580000}"/>
    <cellStyle name="Input 3 3 11 5" xfId="22794" xr:uid="{00000000-0005-0000-0000-000028580000}"/>
    <cellStyle name="Input 3 3 11_DataIX" xfId="32937" xr:uid="{00000000-0005-0000-0000-000029580000}"/>
    <cellStyle name="Input 3 3 12" xfId="10793" xr:uid="{00000000-0005-0000-0000-00002A580000}"/>
    <cellStyle name="Input 3 3 13" xfId="13021" xr:uid="{00000000-0005-0000-0000-00002B580000}"/>
    <cellStyle name="Input 3 3 14" xfId="22321" xr:uid="{00000000-0005-0000-0000-00002C580000}"/>
    <cellStyle name="Input 3 3 15" xfId="22586" xr:uid="{00000000-0005-0000-0000-00002D580000}"/>
    <cellStyle name="Input 3 3 16" xfId="22504" xr:uid="{00000000-0005-0000-0000-00002E580000}"/>
    <cellStyle name="Input 3 3 17" xfId="22623" xr:uid="{00000000-0005-0000-0000-00002F580000}"/>
    <cellStyle name="Input 3 3 18" xfId="22927" xr:uid="{00000000-0005-0000-0000-000030580000}"/>
    <cellStyle name="Input 3 3 19" xfId="27897" xr:uid="{00000000-0005-0000-0000-000031580000}"/>
    <cellStyle name="Input 3 3 2" xfId="5251" xr:uid="{00000000-0005-0000-0000-000032580000}"/>
    <cellStyle name="Input 3 3 2 2" xfId="9417" xr:uid="{00000000-0005-0000-0000-000033580000}"/>
    <cellStyle name="Input 3 3 2 3" xfId="18581" xr:uid="{00000000-0005-0000-0000-000034580000}"/>
    <cellStyle name="Input 3 3 2 3 2" xfId="13039" xr:uid="{00000000-0005-0000-0000-000035580000}"/>
    <cellStyle name="Input 3 3 2 3_DataIX" xfId="32939" xr:uid="{00000000-0005-0000-0000-000036580000}"/>
    <cellStyle name="Input 3 3 2 4" xfId="20513" xr:uid="{00000000-0005-0000-0000-000037580000}"/>
    <cellStyle name="Input 3 3 2 4 2" xfId="10830" xr:uid="{00000000-0005-0000-0000-000038580000}"/>
    <cellStyle name="Input 3 3 2 4_DataIX" xfId="32940" xr:uid="{00000000-0005-0000-0000-000039580000}"/>
    <cellStyle name="Input 3 3 2_DataIX" xfId="32938" xr:uid="{00000000-0005-0000-0000-00003A580000}"/>
    <cellStyle name="Input 3 3 20" xfId="28051" xr:uid="{00000000-0005-0000-0000-00003B580000}"/>
    <cellStyle name="Input 3 3 21" xfId="28107" xr:uid="{00000000-0005-0000-0000-00003C580000}"/>
    <cellStyle name="Input 3 3 22" xfId="28136" xr:uid="{00000000-0005-0000-0000-00003D580000}"/>
    <cellStyle name="Input 3 3 23" xfId="28228" xr:uid="{00000000-0005-0000-0000-00003E580000}"/>
    <cellStyle name="Input 3 3 24" xfId="28415" xr:uid="{00000000-0005-0000-0000-00003F580000}"/>
    <cellStyle name="Input 3 3 25" xfId="28485" xr:uid="{00000000-0005-0000-0000-000040580000}"/>
    <cellStyle name="Input 3 3 26" xfId="28347" xr:uid="{00000000-0005-0000-0000-000041580000}"/>
    <cellStyle name="Input 3 3 27" xfId="28802" xr:uid="{00000000-0005-0000-0000-000042580000}"/>
    <cellStyle name="Input 3 3 28" xfId="28819" xr:uid="{00000000-0005-0000-0000-000043580000}"/>
    <cellStyle name="Input 3 3 29" xfId="28711" xr:uid="{00000000-0005-0000-0000-000044580000}"/>
    <cellStyle name="Input 3 3 3" xfId="5343" xr:uid="{00000000-0005-0000-0000-000045580000}"/>
    <cellStyle name="Input 3 3 3 2" xfId="12640" xr:uid="{00000000-0005-0000-0000-000046580000}"/>
    <cellStyle name="Input 3 3 3 3" xfId="18667" xr:uid="{00000000-0005-0000-0000-000047580000}"/>
    <cellStyle name="Input 3 3 3 3 2" xfId="21711" xr:uid="{00000000-0005-0000-0000-000048580000}"/>
    <cellStyle name="Input 3 3 3 3_DataIX" xfId="32942" xr:uid="{00000000-0005-0000-0000-000049580000}"/>
    <cellStyle name="Input 3 3 3 4" xfId="20487" xr:uid="{00000000-0005-0000-0000-00004A580000}"/>
    <cellStyle name="Input 3 3 3 4 2" xfId="22233" xr:uid="{00000000-0005-0000-0000-00004B580000}"/>
    <cellStyle name="Input 3 3 3 4_DataIX" xfId="32943" xr:uid="{00000000-0005-0000-0000-00004C580000}"/>
    <cellStyle name="Input 3 3 3_DataIX" xfId="32941" xr:uid="{00000000-0005-0000-0000-00004D580000}"/>
    <cellStyle name="Input 3 3 30" xfId="28645" xr:uid="{00000000-0005-0000-0000-00004E580000}"/>
    <cellStyle name="Input 3 3 31" xfId="29032" xr:uid="{00000000-0005-0000-0000-00004F580000}"/>
    <cellStyle name="Input 3 3 32" xfId="29175" xr:uid="{00000000-0005-0000-0000-000050580000}"/>
    <cellStyle name="Input 3 3 4" xfId="13389" xr:uid="{00000000-0005-0000-0000-000051580000}"/>
    <cellStyle name="Input 3 3 4 2" xfId="20947" xr:uid="{00000000-0005-0000-0000-000052580000}"/>
    <cellStyle name="Input 3 3 4 2 2" xfId="20652" xr:uid="{00000000-0005-0000-0000-000053580000}"/>
    <cellStyle name="Input 3 3 4 2_DataIX" xfId="32945" xr:uid="{00000000-0005-0000-0000-000054580000}"/>
    <cellStyle name="Input 3 3 4 3" xfId="21344" xr:uid="{00000000-0005-0000-0000-000055580000}"/>
    <cellStyle name="Input 3 3 4 3 2" xfId="13644" xr:uid="{00000000-0005-0000-0000-000056580000}"/>
    <cellStyle name="Input 3 3 4 3_DataIX" xfId="32946" xr:uid="{00000000-0005-0000-0000-000057580000}"/>
    <cellStyle name="Input 3 3 4 4" xfId="12698" xr:uid="{00000000-0005-0000-0000-000058580000}"/>
    <cellStyle name="Input 3 3 4 5" xfId="25146" xr:uid="{00000000-0005-0000-0000-000059580000}"/>
    <cellStyle name="Input 3 3 4 6" xfId="26952" xr:uid="{00000000-0005-0000-0000-00005A580000}"/>
    <cellStyle name="Input 3 3 4 7" xfId="27628" xr:uid="{00000000-0005-0000-0000-00005B580000}"/>
    <cellStyle name="Input 3 3 4_DataIX" xfId="32944" xr:uid="{00000000-0005-0000-0000-00005C580000}"/>
    <cellStyle name="Input 3 3 5" xfId="13224" xr:uid="{00000000-0005-0000-0000-00005D580000}"/>
    <cellStyle name="Input 3 3 5 2" xfId="20834" xr:uid="{00000000-0005-0000-0000-00005E580000}"/>
    <cellStyle name="Input 3 3 5 2 2" xfId="10813" xr:uid="{00000000-0005-0000-0000-00005F580000}"/>
    <cellStyle name="Input 3 3 5 2_DataIX" xfId="32948" xr:uid="{00000000-0005-0000-0000-000060580000}"/>
    <cellStyle name="Input 3 3 5 3" xfId="21210" xr:uid="{00000000-0005-0000-0000-000061580000}"/>
    <cellStyle name="Input 3 3 5 3 2" xfId="20666" xr:uid="{00000000-0005-0000-0000-000062580000}"/>
    <cellStyle name="Input 3 3 5 3_DataIX" xfId="32949" xr:uid="{00000000-0005-0000-0000-000063580000}"/>
    <cellStyle name="Input 3 3 5 4" xfId="21387" xr:uid="{00000000-0005-0000-0000-000064580000}"/>
    <cellStyle name="Input 3 3 5 5" xfId="25642" xr:uid="{00000000-0005-0000-0000-000065580000}"/>
    <cellStyle name="Input 3 3 5 6" xfId="27181" xr:uid="{00000000-0005-0000-0000-000066580000}"/>
    <cellStyle name="Input 3 3 5 7" xfId="22946" xr:uid="{00000000-0005-0000-0000-000067580000}"/>
    <cellStyle name="Input 3 3 5_DataIX" xfId="32947" xr:uid="{00000000-0005-0000-0000-000068580000}"/>
    <cellStyle name="Input 3 3 6" xfId="13156" xr:uid="{00000000-0005-0000-0000-000069580000}"/>
    <cellStyle name="Input 3 3 6 2" xfId="20791" xr:uid="{00000000-0005-0000-0000-00006A580000}"/>
    <cellStyle name="Input 3 3 6 2 2" xfId="13462" xr:uid="{00000000-0005-0000-0000-00006B580000}"/>
    <cellStyle name="Input 3 3 6 2_DataIX" xfId="32951" xr:uid="{00000000-0005-0000-0000-00006C580000}"/>
    <cellStyle name="Input 3 3 6 3" xfId="21159" xr:uid="{00000000-0005-0000-0000-00006D580000}"/>
    <cellStyle name="Input 3 3 6 3 2" xfId="11320" xr:uid="{00000000-0005-0000-0000-00006E580000}"/>
    <cellStyle name="Input 3 3 6 3_DataIX" xfId="32952" xr:uid="{00000000-0005-0000-0000-00006F580000}"/>
    <cellStyle name="Input 3 3 6 4" xfId="10784" xr:uid="{00000000-0005-0000-0000-000070580000}"/>
    <cellStyle name="Input 3 3 6 5" xfId="25342" xr:uid="{00000000-0005-0000-0000-000071580000}"/>
    <cellStyle name="Input 3 3 6 6" xfId="27056" xr:uid="{00000000-0005-0000-0000-000072580000}"/>
    <cellStyle name="Input 3 3 6 7" xfId="26762" xr:uid="{00000000-0005-0000-0000-000073580000}"/>
    <cellStyle name="Input 3 3 6_DataIX" xfId="32950" xr:uid="{00000000-0005-0000-0000-000074580000}"/>
    <cellStyle name="Input 3 3 7" xfId="10704" xr:uid="{00000000-0005-0000-0000-000075580000}"/>
    <cellStyle name="Input 3 3 7 2" xfId="21020" xr:uid="{00000000-0005-0000-0000-000076580000}"/>
    <cellStyle name="Input 3 3 7 2 2" xfId="20641" xr:uid="{00000000-0005-0000-0000-000077580000}"/>
    <cellStyle name="Input 3 3 7 2_DataIX" xfId="32954" xr:uid="{00000000-0005-0000-0000-000078580000}"/>
    <cellStyle name="Input 3 3 7 3" xfId="21528" xr:uid="{00000000-0005-0000-0000-000079580000}"/>
    <cellStyle name="Input 3 3 7 4" xfId="26433" xr:uid="{00000000-0005-0000-0000-00007A580000}"/>
    <cellStyle name="Input 3 3 7 5" xfId="27472" xr:uid="{00000000-0005-0000-0000-00007B580000}"/>
    <cellStyle name="Input 3 3 7 6" xfId="26923" xr:uid="{00000000-0005-0000-0000-00007C580000}"/>
    <cellStyle name="Input 3 3 7_DataIX" xfId="32953" xr:uid="{00000000-0005-0000-0000-00007D580000}"/>
    <cellStyle name="Input 3 3 8" xfId="10734" xr:uid="{00000000-0005-0000-0000-00007E580000}"/>
    <cellStyle name="Input 3 3 8 2" xfId="21046" xr:uid="{00000000-0005-0000-0000-00007F580000}"/>
    <cellStyle name="Input 3 3 8 2 2" xfId="21683" xr:uid="{00000000-0005-0000-0000-000080580000}"/>
    <cellStyle name="Input 3 3 8 2_DataIX" xfId="32956" xr:uid="{00000000-0005-0000-0000-000081580000}"/>
    <cellStyle name="Input 3 3 8 3" xfId="10845" xr:uid="{00000000-0005-0000-0000-000082580000}"/>
    <cellStyle name="Input 3 3 8 4" xfId="26367" xr:uid="{00000000-0005-0000-0000-000083580000}"/>
    <cellStyle name="Input 3 3 8 5" xfId="27446" xr:uid="{00000000-0005-0000-0000-000084580000}"/>
    <cellStyle name="Input 3 3 8 6" xfId="22999" xr:uid="{00000000-0005-0000-0000-000085580000}"/>
    <cellStyle name="Input 3 3 8_DataIX" xfId="32955" xr:uid="{00000000-0005-0000-0000-000086580000}"/>
    <cellStyle name="Input 3 3 9" xfId="13676" xr:uid="{00000000-0005-0000-0000-000087580000}"/>
    <cellStyle name="Input 3 3 9 2" xfId="21376" xr:uid="{00000000-0005-0000-0000-000088580000}"/>
    <cellStyle name="Input 3 3 9 2 2" xfId="13657" xr:uid="{00000000-0005-0000-0000-000089580000}"/>
    <cellStyle name="Input 3 3 9 2_DataIX" xfId="32958" xr:uid="{00000000-0005-0000-0000-00008A580000}"/>
    <cellStyle name="Input 3 3 9 3" xfId="11133" xr:uid="{00000000-0005-0000-0000-00008B580000}"/>
    <cellStyle name="Input 3 3 9 4" xfId="25873" xr:uid="{00000000-0005-0000-0000-00008C580000}"/>
    <cellStyle name="Input 3 3 9 5" xfId="27253" xr:uid="{00000000-0005-0000-0000-00008D580000}"/>
    <cellStyle name="Input 3 3 9 6" xfId="22958" xr:uid="{00000000-0005-0000-0000-00008E580000}"/>
    <cellStyle name="Input 3 3 9_DataIX" xfId="32957" xr:uid="{00000000-0005-0000-0000-00008F580000}"/>
    <cellStyle name="Input 3 3_##Keskeiset" xfId="9416" xr:uid="{00000000-0005-0000-0000-000090580000}"/>
    <cellStyle name="Input 3 4" xfId="5253" xr:uid="{00000000-0005-0000-0000-000091580000}"/>
    <cellStyle name="Input 3 4 2" xfId="5616" xr:uid="{00000000-0005-0000-0000-000092580000}"/>
    <cellStyle name="Input 3 4 2 2" xfId="12641" xr:uid="{00000000-0005-0000-0000-000093580000}"/>
    <cellStyle name="Input 3 4 2 3" xfId="18834" xr:uid="{00000000-0005-0000-0000-000094580000}"/>
    <cellStyle name="Input 3 4 2 3 2" xfId="21469" xr:uid="{00000000-0005-0000-0000-000095580000}"/>
    <cellStyle name="Input 3 4 2 3_DataIX" xfId="32961" xr:uid="{00000000-0005-0000-0000-000096580000}"/>
    <cellStyle name="Input 3 4 2 4" xfId="20450" xr:uid="{00000000-0005-0000-0000-000097580000}"/>
    <cellStyle name="Input 3 4 2 4 2" xfId="13729" xr:uid="{00000000-0005-0000-0000-000098580000}"/>
    <cellStyle name="Input 3 4 2 4_DataIX" xfId="32962" xr:uid="{00000000-0005-0000-0000-000099580000}"/>
    <cellStyle name="Input 3 4 2_DataIX" xfId="32960" xr:uid="{00000000-0005-0000-0000-00009A580000}"/>
    <cellStyle name="Input 3 4 3" xfId="11053" xr:uid="{00000000-0005-0000-0000-00009B580000}"/>
    <cellStyle name="Input 3 4 4" xfId="18583" xr:uid="{00000000-0005-0000-0000-00009C580000}"/>
    <cellStyle name="Input 3 4 4 2" xfId="13046" xr:uid="{00000000-0005-0000-0000-00009D580000}"/>
    <cellStyle name="Input 3 4 4_DataIX" xfId="32963" xr:uid="{00000000-0005-0000-0000-00009E580000}"/>
    <cellStyle name="Input 3 4 5" xfId="20514" xr:uid="{00000000-0005-0000-0000-00009F580000}"/>
    <cellStyle name="Input 3 4 5 2" xfId="11256" xr:uid="{00000000-0005-0000-0000-0000A0580000}"/>
    <cellStyle name="Input 3 4 5_DataIX" xfId="32964" xr:uid="{00000000-0005-0000-0000-0000A1580000}"/>
    <cellStyle name="Input 3 4_DataIX" xfId="32959" xr:uid="{00000000-0005-0000-0000-0000A2580000}"/>
    <cellStyle name="Input 3 5" xfId="5617" xr:uid="{00000000-0005-0000-0000-0000A3580000}"/>
    <cellStyle name="Input 3 5 2" xfId="10601" xr:uid="{00000000-0005-0000-0000-0000A4580000}"/>
    <cellStyle name="Input 3 5 2 2" xfId="12643" xr:uid="{00000000-0005-0000-0000-0000A5580000}"/>
    <cellStyle name="Input 3 5 2 3" xfId="20383" xr:uid="{00000000-0005-0000-0000-0000A6580000}"/>
    <cellStyle name="Input 3 5 2 3 2" xfId="21889" xr:uid="{00000000-0005-0000-0000-0000A7580000}"/>
    <cellStyle name="Input 3 5 2 3_DataIX" xfId="32967" xr:uid="{00000000-0005-0000-0000-0000A8580000}"/>
    <cellStyle name="Input 3 5 2 4" xfId="20994" xr:uid="{00000000-0005-0000-0000-0000A9580000}"/>
    <cellStyle name="Input 3 5 2 4 2" xfId="21769" xr:uid="{00000000-0005-0000-0000-0000AA580000}"/>
    <cellStyle name="Input 3 5 2 4_DataIX" xfId="32968" xr:uid="{00000000-0005-0000-0000-0000AB580000}"/>
    <cellStyle name="Input 3 5 2_DataIX" xfId="32966" xr:uid="{00000000-0005-0000-0000-0000AC580000}"/>
    <cellStyle name="Input 3 5 3" xfId="12642" xr:uid="{00000000-0005-0000-0000-0000AD580000}"/>
    <cellStyle name="Input 3 5 4" xfId="18835" xr:uid="{00000000-0005-0000-0000-0000AE580000}"/>
    <cellStyle name="Input 3 5 4 2" xfId="11030" xr:uid="{00000000-0005-0000-0000-0000AF580000}"/>
    <cellStyle name="Input 3 5 4_DataIX" xfId="32969" xr:uid="{00000000-0005-0000-0000-0000B0580000}"/>
    <cellStyle name="Input 3 5 5" xfId="18968" xr:uid="{00000000-0005-0000-0000-0000B1580000}"/>
    <cellStyle name="Input 3 5 5 2" xfId="21924" xr:uid="{00000000-0005-0000-0000-0000B2580000}"/>
    <cellStyle name="Input 3 5 5_DataIX" xfId="32970" xr:uid="{00000000-0005-0000-0000-0000B3580000}"/>
    <cellStyle name="Input 3 5_DataIX" xfId="32965" xr:uid="{00000000-0005-0000-0000-0000B4580000}"/>
    <cellStyle name="Input 3 6" xfId="5341" xr:uid="{00000000-0005-0000-0000-0000B5580000}"/>
    <cellStyle name="Input 3 6 2" xfId="12644" xr:uid="{00000000-0005-0000-0000-0000B6580000}"/>
    <cellStyle name="Input 3 6 3" xfId="18665" xr:uid="{00000000-0005-0000-0000-0000B7580000}"/>
    <cellStyle name="Input 3 6 3 2" xfId="11201" xr:uid="{00000000-0005-0000-0000-0000B8580000}"/>
    <cellStyle name="Input 3 6 3_DataIX" xfId="32972" xr:uid="{00000000-0005-0000-0000-0000B9580000}"/>
    <cellStyle name="Input 3 6 4" xfId="20489" xr:uid="{00000000-0005-0000-0000-0000BA580000}"/>
    <cellStyle name="Input 3 6 4 2" xfId="21794" xr:uid="{00000000-0005-0000-0000-0000BB580000}"/>
    <cellStyle name="Input 3 6 4_DataIX" xfId="32973" xr:uid="{00000000-0005-0000-0000-0000BC580000}"/>
    <cellStyle name="Input 3 6_DataIX" xfId="32971" xr:uid="{00000000-0005-0000-0000-0000BD580000}"/>
    <cellStyle name="Input 3 7" xfId="13304" xr:uid="{00000000-0005-0000-0000-0000BE580000}"/>
    <cellStyle name="Input 3 7 2" xfId="20893" xr:uid="{00000000-0005-0000-0000-0000BF580000}"/>
    <cellStyle name="Input 3 7 2 2" xfId="11227" xr:uid="{00000000-0005-0000-0000-0000C0580000}"/>
    <cellStyle name="Input 3 7 2_DataIX" xfId="32975" xr:uid="{00000000-0005-0000-0000-0000C1580000}"/>
    <cellStyle name="Input 3 7 3" xfId="21281" xr:uid="{00000000-0005-0000-0000-0000C2580000}"/>
    <cellStyle name="Input 3 7 3 2" xfId="21444" xr:uid="{00000000-0005-0000-0000-0000C3580000}"/>
    <cellStyle name="Input 3 7 3_DataIX" xfId="32976" xr:uid="{00000000-0005-0000-0000-0000C4580000}"/>
    <cellStyle name="Input 3 7 4" xfId="12840" xr:uid="{00000000-0005-0000-0000-0000C5580000}"/>
    <cellStyle name="Input 3 7 5" xfId="25144" xr:uid="{00000000-0005-0000-0000-0000C6580000}"/>
    <cellStyle name="Input 3 7 6" xfId="26950" xr:uid="{00000000-0005-0000-0000-0000C7580000}"/>
    <cellStyle name="Input 3 7 7" xfId="23043" xr:uid="{00000000-0005-0000-0000-0000C8580000}"/>
    <cellStyle name="Input 3 7_DataIX" xfId="32974" xr:uid="{00000000-0005-0000-0000-0000C9580000}"/>
    <cellStyle name="Input 3 8" xfId="13137" xr:uid="{00000000-0005-0000-0000-0000CA580000}"/>
    <cellStyle name="Input 3 8 2" xfId="20777" xr:uid="{00000000-0005-0000-0000-0000CB580000}"/>
    <cellStyle name="Input 3 8 2 2" xfId="22053" xr:uid="{00000000-0005-0000-0000-0000CC580000}"/>
    <cellStyle name="Input 3 8 2_DataIX" xfId="32978" xr:uid="{00000000-0005-0000-0000-0000CD580000}"/>
    <cellStyle name="Input 3 8 3" xfId="21142" xr:uid="{00000000-0005-0000-0000-0000CE580000}"/>
    <cellStyle name="Input 3 8 3 2" xfId="11278" xr:uid="{00000000-0005-0000-0000-0000CF580000}"/>
    <cellStyle name="Input 3 8 3_DataIX" xfId="32979" xr:uid="{00000000-0005-0000-0000-0000D0580000}"/>
    <cellStyle name="Input 3 8 4" xfId="21575" xr:uid="{00000000-0005-0000-0000-0000D1580000}"/>
    <cellStyle name="Input 3 8 5" xfId="26480" xr:uid="{00000000-0005-0000-0000-0000D2580000}"/>
    <cellStyle name="Input 3 8 6" xfId="27498" xr:uid="{00000000-0005-0000-0000-0000D3580000}"/>
    <cellStyle name="Input 3 8 7" xfId="23000" xr:uid="{00000000-0005-0000-0000-0000D4580000}"/>
    <cellStyle name="Input 3 8_DataIX" xfId="32977" xr:uid="{00000000-0005-0000-0000-0000D5580000}"/>
    <cellStyle name="Input 3 9" xfId="13177" xr:uid="{00000000-0005-0000-0000-0000D6580000}"/>
    <cellStyle name="Input 3 9 2" xfId="20804" xr:uid="{00000000-0005-0000-0000-0000D7580000}"/>
    <cellStyle name="Input 3 9 2 2" xfId="21943" xr:uid="{00000000-0005-0000-0000-0000D8580000}"/>
    <cellStyle name="Input 3 9 2_DataIX" xfId="32981" xr:uid="{00000000-0005-0000-0000-0000D9580000}"/>
    <cellStyle name="Input 3 9 3" xfId="21176" xr:uid="{00000000-0005-0000-0000-0000DA580000}"/>
    <cellStyle name="Input 3 9 3 2" xfId="21873" xr:uid="{00000000-0005-0000-0000-0000DB580000}"/>
    <cellStyle name="Input 3 9 3_DataIX" xfId="32982" xr:uid="{00000000-0005-0000-0000-0000DC580000}"/>
    <cellStyle name="Input 3 9 4" xfId="13472" xr:uid="{00000000-0005-0000-0000-0000DD580000}"/>
    <cellStyle name="Input 3 9 5" xfId="26291" xr:uid="{00000000-0005-0000-0000-0000DE580000}"/>
    <cellStyle name="Input 3 9 6" xfId="27405" xr:uid="{00000000-0005-0000-0000-0000DF580000}"/>
    <cellStyle name="Input 3 9 7" xfId="22895" xr:uid="{00000000-0005-0000-0000-0000E0580000}"/>
    <cellStyle name="Input 3 9_DataIX" xfId="32980" xr:uid="{00000000-0005-0000-0000-0000E1580000}"/>
    <cellStyle name="Input 3_##Keskeiset" xfId="9414" xr:uid="{00000000-0005-0000-0000-0000E2580000}"/>
    <cellStyle name="Input 30" xfId="27859" xr:uid="{00000000-0005-0000-0000-0000E3580000}"/>
    <cellStyle name="Input 31" xfId="28072" xr:uid="{00000000-0005-0000-0000-0000E4580000}"/>
    <cellStyle name="Input 32" xfId="28121" xr:uid="{00000000-0005-0000-0000-0000E5580000}"/>
    <cellStyle name="Input 33" xfId="28125" xr:uid="{00000000-0005-0000-0000-0000E6580000}"/>
    <cellStyle name="Input 34" xfId="28081" xr:uid="{00000000-0005-0000-0000-0000E7580000}"/>
    <cellStyle name="Input 35" xfId="27983" xr:uid="{00000000-0005-0000-0000-0000E8580000}"/>
    <cellStyle name="Input 36" xfId="28077" xr:uid="{00000000-0005-0000-0000-0000E9580000}"/>
    <cellStyle name="Input 37" xfId="28188" xr:uid="{00000000-0005-0000-0000-0000EA580000}"/>
    <cellStyle name="Input 38" xfId="28441" xr:uid="{00000000-0005-0000-0000-0000EB580000}"/>
    <cellStyle name="Input 39" xfId="28494" xr:uid="{00000000-0005-0000-0000-0000EC580000}"/>
    <cellStyle name="Input 4" xfId="255" xr:uid="{00000000-0005-0000-0000-0000ED580000}"/>
    <cellStyle name="Input 4 10" xfId="10680" xr:uid="{00000000-0005-0000-0000-0000EE580000}"/>
    <cellStyle name="Input 4 10 2" xfId="21009" xr:uid="{00000000-0005-0000-0000-0000EF580000}"/>
    <cellStyle name="Input 4 10 2 2" xfId="10788" xr:uid="{00000000-0005-0000-0000-0000F0580000}"/>
    <cellStyle name="Input 4 10 2_DataIX" xfId="32984" xr:uid="{00000000-0005-0000-0000-0000F1580000}"/>
    <cellStyle name="Input 4 10 3" xfId="22120" xr:uid="{00000000-0005-0000-0000-0000F2580000}"/>
    <cellStyle name="Input 4 10 4" xfId="25405" xr:uid="{00000000-0005-0000-0000-0000F3580000}"/>
    <cellStyle name="Input 4 10 5" xfId="27088" xr:uid="{00000000-0005-0000-0000-0000F4580000}"/>
    <cellStyle name="Input 4 10 6" xfId="22773" xr:uid="{00000000-0005-0000-0000-0000F5580000}"/>
    <cellStyle name="Input 4 10_DataIX" xfId="32983" xr:uid="{00000000-0005-0000-0000-0000F6580000}"/>
    <cellStyle name="Input 4 11" xfId="13829" xr:uid="{00000000-0005-0000-0000-0000F7580000}"/>
    <cellStyle name="Input 4 11 2" xfId="12568" xr:uid="{00000000-0005-0000-0000-0000F8580000}"/>
    <cellStyle name="Input 4 11 3" xfId="25534" xr:uid="{00000000-0005-0000-0000-0000F9580000}"/>
    <cellStyle name="Input 4 11 4" xfId="27140" xr:uid="{00000000-0005-0000-0000-0000FA580000}"/>
    <cellStyle name="Input 4 11 5" xfId="22838" xr:uid="{00000000-0005-0000-0000-0000FB580000}"/>
    <cellStyle name="Input 4 11_DataIX" xfId="32985" xr:uid="{00000000-0005-0000-0000-0000FC580000}"/>
    <cellStyle name="Input 4 12" xfId="20302" xr:uid="{00000000-0005-0000-0000-0000FD580000}"/>
    <cellStyle name="Input 4 12 2" xfId="22204" xr:uid="{00000000-0005-0000-0000-0000FE580000}"/>
    <cellStyle name="Input 4 12_DataIX" xfId="32986" xr:uid="{00000000-0005-0000-0000-0000FF580000}"/>
    <cellStyle name="Input 4 13" xfId="13478" xr:uid="{00000000-0005-0000-0000-000000590000}"/>
    <cellStyle name="Input 4 14" xfId="22322" xr:uid="{00000000-0005-0000-0000-000001590000}"/>
    <cellStyle name="Input 4 15" xfId="22585" xr:uid="{00000000-0005-0000-0000-000002590000}"/>
    <cellStyle name="Input 4 16" xfId="22515" xr:uid="{00000000-0005-0000-0000-000003590000}"/>
    <cellStyle name="Input 4 17" xfId="22635" xr:uid="{00000000-0005-0000-0000-000004590000}"/>
    <cellStyle name="Input 4 18" xfId="23093" xr:uid="{00000000-0005-0000-0000-000005590000}"/>
    <cellStyle name="Input 4 19" xfId="27898" xr:uid="{00000000-0005-0000-0000-000006590000}"/>
    <cellStyle name="Input 4 2" xfId="310" xr:uid="{00000000-0005-0000-0000-000007590000}"/>
    <cellStyle name="Input 4 2 10" xfId="13874" xr:uid="{00000000-0005-0000-0000-000008590000}"/>
    <cellStyle name="Input 4 2 10 2" xfId="13029" xr:uid="{00000000-0005-0000-0000-000009590000}"/>
    <cellStyle name="Input 4 2 10 3" xfId="26522" xr:uid="{00000000-0005-0000-0000-00000A590000}"/>
    <cellStyle name="Input 4 2 10 4" xfId="27510" xr:uid="{00000000-0005-0000-0000-00000B590000}"/>
    <cellStyle name="Input 4 2 10 5" xfId="26263" xr:uid="{00000000-0005-0000-0000-00000C590000}"/>
    <cellStyle name="Input 4 2 10_DataIX" xfId="32987" xr:uid="{00000000-0005-0000-0000-00000D590000}"/>
    <cellStyle name="Input 4 2 11" xfId="20954" xr:uid="{00000000-0005-0000-0000-00000E590000}"/>
    <cellStyle name="Input 4 2 11 2" xfId="11224" xr:uid="{00000000-0005-0000-0000-00000F590000}"/>
    <cellStyle name="Input 4 2 11 3" xfId="26204" xr:uid="{00000000-0005-0000-0000-000010590000}"/>
    <cellStyle name="Input 4 2 11 4" xfId="27381" xr:uid="{00000000-0005-0000-0000-000011590000}"/>
    <cellStyle name="Input 4 2 11 5" xfId="26856" xr:uid="{00000000-0005-0000-0000-000012590000}"/>
    <cellStyle name="Input 4 2 11_DataIX" xfId="32988" xr:uid="{00000000-0005-0000-0000-000013590000}"/>
    <cellStyle name="Input 4 2 12" xfId="13540" xr:uid="{00000000-0005-0000-0000-000014590000}"/>
    <cellStyle name="Input 4 2 13" xfId="11077" xr:uid="{00000000-0005-0000-0000-000015590000}"/>
    <cellStyle name="Input 4 2 14" xfId="22323" xr:uid="{00000000-0005-0000-0000-000016590000}"/>
    <cellStyle name="Input 4 2 15" xfId="22584" xr:uid="{00000000-0005-0000-0000-000017590000}"/>
    <cellStyle name="Input 4 2 16" xfId="22502" xr:uid="{00000000-0005-0000-0000-000018590000}"/>
    <cellStyle name="Input 4 2 17" xfId="22393" xr:uid="{00000000-0005-0000-0000-000019590000}"/>
    <cellStyle name="Input 4 2 18" xfId="23123" xr:uid="{00000000-0005-0000-0000-00001A590000}"/>
    <cellStyle name="Input 4 2 19" xfId="27899" xr:uid="{00000000-0005-0000-0000-00001B590000}"/>
    <cellStyle name="Input 4 2 2" xfId="5249" xr:uid="{00000000-0005-0000-0000-00001C590000}"/>
    <cellStyle name="Input 4 2 2 2" xfId="9420" xr:uid="{00000000-0005-0000-0000-00001D590000}"/>
    <cellStyle name="Input 4 2 2 3" xfId="18579" xr:uid="{00000000-0005-0000-0000-00001E590000}"/>
    <cellStyle name="Input 4 2 2 3 2" xfId="13629" xr:uid="{00000000-0005-0000-0000-00001F590000}"/>
    <cellStyle name="Input 4 2 2 3_DataIX" xfId="32990" xr:uid="{00000000-0005-0000-0000-000020590000}"/>
    <cellStyle name="Input 4 2 2 4" xfId="20515" xr:uid="{00000000-0005-0000-0000-000021590000}"/>
    <cellStyle name="Input 4 2 2 4 2" xfId="21862" xr:uid="{00000000-0005-0000-0000-000022590000}"/>
    <cellStyle name="Input 4 2 2 4_DataIX" xfId="32991" xr:uid="{00000000-0005-0000-0000-000023590000}"/>
    <cellStyle name="Input 4 2 2_DataIX" xfId="32989" xr:uid="{00000000-0005-0000-0000-000024590000}"/>
    <cellStyle name="Input 4 2 20" xfId="28049" xr:uid="{00000000-0005-0000-0000-000025590000}"/>
    <cellStyle name="Input 4 2 21" xfId="28106" xr:uid="{00000000-0005-0000-0000-000026590000}"/>
    <cellStyle name="Input 4 2 22" xfId="28138" xr:uid="{00000000-0005-0000-0000-000027590000}"/>
    <cellStyle name="Input 4 2 23" xfId="28230" xr:uid="{00000000-0005-0000-0000-000028590000}"/>
    <cellStyle name="Input 4 2 24" xfId="28413" xr:uid="{00000000-0005-0000-0000-000029590000}"/>
    <cellStyle name="Input 4 2 25" xfId="28483" xr:uid="{00000000-0005-0000-0000-00002A590000}"/>
    <cellStyle name="Input 4 2 26" xfId="28345" xr:uid="{00000000-0005-0000-0000-00002B590000}"/>
    <cellStyle name="Input 4 2 27" xfId="28800" xr:uid="{00000000-0005-0000-0000-00002C590000}"/>
    <cellStyle name="Input 4 2 28" xfId="28782" xr:uid="{00000000-0005-0000-0000-00002D590000}"/>
    <cellStyle name="Input 4 2 29" xfId="28709" xr:uid="{00000000-0005-0000-0000-00002E590000}"/>
    <cellStyle name="Input 4 2 3" xfId="5345" xr:uid="{00000000-0005-0000-0000-00002F590000}"/>
    <cellStyle name="Input 4 2 3 2" xfId="12645" xr:uid="{00000000-0005-0000-0000-000030590000}"/>
    <cellStyle name="Input 4 2 3 3" xfId="18669" xr:uid="{00000000-0005-0000-0000-000031590000}"/>
    <cellStyle name="Input 4 2 3 3 2" xfId="21397" xr:uid="{00000000-0005-0000-0000-000032590000}"/>
    <cellStyle name="Input 4 2 3 3_DataIX" xfId="32993" xr:uid="{00000000-0005-0000-0000-000033590000}"/>
    <cellStyle name="Input 4 2 3 4" xfId="20488" xr:uid="{00000000-0005-0000-0000-000034590000}"/>
    <cellStyle name="Input 4 2 3 4 2" xfId="22046" xr:uid="{00000000-0005-0000-0000-000035590000}"/>
    <cellStyle name="Input 4 2 3 4_DataIX" xfId="32994" xr:uid="{00000000-0005-0000-0000-000036590000}"/>
    <cellStyle name="Input 4 2 3_DataIX" xfId="32992" xr:uid="{00000000-0005-0000-0000-000037590000}"/>
    <cellStyle name="Input 4 2 30" xfId="28888" xr:uid="{00000000-0005-0000-0000-000038590000}"/>
    <cellStyle name="Input 4 2 31" xfId="29034" xr:uid="{00000000-0005-0000-0000-000039590000}"/>
    <cellStyle name="Input 4 2 32" xfId="29173" xr:uid="{00000000-0005-0000-0000-00003A590000}"/>
    <cellStyle name="Input 4 2 4" xfId="13188" xr:uid="{00000000-0005-0000-0000-00003B590000}"/>
    <cellStyle name="Input 4 2 4 2" xfId="20813" xr:uid="{00000000-0005-0000-0000-00003C590000}"/>
    <cellStyle name="Input 4 2 4 2 2" xfId="20717" xr:uid="{00000000-0005-0000-0000-00003D590000}"/>
    <cellStyle name="Input 4 2 4 2_DataIX" xfId="32996" xr:uid="{00000000-0005-0000-0000-00003E590000}"/>
    <cellStyle name="Input 4 2 4 3" xfId="21186" xr:uid="{00000000-0005-0000-0000-00003F590000}"/>
    <cellStyle name="Input 4 2 4 3 2" xfId="21561" xr:uid="{00000000-0005-0000-0000-000040590000}"/>
    <cellStyle name="Input 4 2 4 3_DataIX" xfId="32997" xr:uid="{00000000-0005-0000-0000-000041590000}"/>
    <cellStyle name="Input 4 2 4 4" xfId="13031" xr:uid="{00000000-0005-0000-0000-000042590000}"/>
    <cellStyle name="Input 4 2 4 5" xfId="25148" xr:uid="{00000000-0005-0000-0000-000043590000}"/>
    <cellStyle name="Input 4 2 4 6" xfId="26954" xr:uid="{00000000-0005-0000-0000-000044590000}"/>
    <cellStyle name="Input 4 2 4 7" xfId="22855" xr:uid="{00000000-0005-0000-0000-000045590000}"/>
    <cellStyle name="Input 4 2 4_DataIX" xfId="32995" xr:uid="{00000000-0005-0000-0000-000046590000}"/>
    <cellStyle name="Input 4 2 5" xfId="13345" xr:uid="{00000000-0005-0000-0000-000047590000}"/>
    <cellStyle name="Input 4 2 5 2" xfId="20917" xr:uid="{00000000-0005-0000-0000-000048590000}"/>
    <cellStyle name="Input 4 2 5 2 2" xfId="13691" xr:uid="{00000000-0005-0000-0000-000049590000}"/>
    <cellStyle name="Input 4 2 5 2_DataIX" xfId="32999" xr:uid="{00000000-0005-0000-0000-00004A590000}"/>
    <cellStyle name="Input 4 2 5 3" xfId="21305" xr:uid="{00000000-0005-0000-0000-00004B590000}"/>
    <cellStyle name="Input 4 2 5 3 2" xfId="12976" xr:uid="{00000000-0005-0000-0000-00004C590000}"/>
    <cellStyle name="Input 4 2 5 3_DataIX" xfId="33000" xr:uid="{00000000-0005-0000-0000-00004D590000}"/>
    <cellStyle name="Input 4 2 5 4" xfId="13022" xr:uid="{00000000-0005-0000-0000-00004E590000}"/>
    <cellStyle name="Input 4 2 5 5" xfId="26146" xr:uid="{00000000-0005-0000-0000-00004F590000}"/>
    <cellStyle name="Input 4 2 5 6" xfId="27357" xr:uid="{00000000-0005-0000-0000-000050590000}"/>
    <cellStyle name="Input 4 2 5 7" xfId="26814" xr:uid="{00000000-0005-0000-0000-000051590000}"/>
    <cellStyle name="Input 4 2 5_DataIX" xfId="32998" xr:uid="{00000000-0005-0000-0000-000052590000}"/>
    <cellStyle name="Input 4 2 6" xfId="13127" xr:uid="{00000000-0005-0000-0000-000053590000}"/>
    <cellStyle name="Input 4 2 6 2" xfId="20774" xr:uid="{00000000-0005-0000-0000-000054590000}"/>
    <cellStyle name="Input 4 2 6 2 2" xfId="20624" xr:uid="{00000000-0005-0000-0000-000055590000}"/>
    <cellStyle name="Input 4 2 6 2_DataIX" xfId="33002" xr:uid="{00000000-0005-0000-0000-000056590000}"/>
    <cellStyle name="Input 4 2 6 3" xfId="21138" xr:uid="{00000000-0005-0000-0000-000057590000}"/>
    <cellStyle name="Input 4 2 6 3 2" xfId="13035" xr:uid="{00000000-0005-0000-0000-000058590000}"/>
    <cellStyle name="Input 4 2 6 3_DataIX" xfId="33003" xr:uid="{00000000-0005-0000-0000-000059590000}"/>
    <cellStyle name="Input 4 2 6 4" xfId="12752" xr:uid="{00000000-0005-0000-0000-00005A590000}"/>
    <cellStyle name="Input 4 2 6 5" xfId="25762" xr:uid="{00000000-0005-0000-0000-00005B590000}"/>
    <cellStyle name="Input 4 2 6 6" xfId="27215" xr:uid="{00000000-0005-0000-0000-00005C590000}"/>
    <cellStyle name="Input 4 2 6 7" xfId="26008" xr:uid="{00000000-0005-0000-0000-00005D590000}"/>
    <cellStyle name="Input 4 2 6_DataIX" xfId="33001" xr:uid="{00000000-0005-0000-0000-00005E590000}"/>
    <cellStyle name="Input 4 2 7" xfId="10706" xr:uid="{00000000-0005-0000-0000-00005F590000}"/>
    <cellStyle name="Input 4 2 7 2" xfId="21022" xr:uid="{00000000-0005-0000-0000-000060590000}"/>
    <cellStyle name="Input 4 2 7 2 2" xfId="13535" xr:uid="{00000000-0005-0000-0000-000061590000}"/>
    <cellStyle name="Input 4 2 7 2_DataIX" xfId="33005" xr:uid="{00000000-0005-0000-0000-000062590000}"/>
    <cellStyle name="Input 4 2 7 3" xfId="21863" xr:uid="{00000000-0005-0000-0000-000063590000}"/>
    <cellStyle name="Input 4 2 7 4" xfId="25904" xr:uid="{00000000-0005-0000-0000-000064590000}"/>
    <cellStyle name="Input 4 2 7 5" xfId="27266" xr:uid="{00000000-0005-0000-0000-000065590000}"/>
    <cellStyle name="Input 4 2 7 6" xfId="22861" xr:uid="{00000000-0005-0000-0000-000066590000}"/>
    <cellStyle name="Input 4 2 7_DataIX" xfId="33004" xr:uid="{00000000-0005-0000-0000-000067590000}"/>
    <cellStyle name="Input 4 2 8" xfId="12862" xr:uid="{00000000-0005-0000-0000-000068590000}"/>
    <cellStyle name="Input 4 2 8 2" xfId="21116" xr:uid="{00000000-0005-0000-0000-000069590000}"/>
    <cellStyle name="Input 4 2 8 2 2" xfId="20688" xr:uid="{00000000-0005-0000-0000-00006A590000}"/>
    <cellStyle name="Input 4 2 8 2_DataIX" xfId="33007" xr:uid="{00000000-0005-0000-0000-00006B590000}"/>
    <cellStyle name="Input 4 2 8 3" xfId="21802" xr:uid="{00000000-0005-0000-0000-00006C590000}"/>
    <cellStyle name="Input 4 2 8 4" xfId="25861" xr:uid="{00000000-0005-0000-0000-00006D590000}"/>
    <cellStyle name="Input 4 2 8 5" xfId="27247" xr:uid="{00000000-0005-0000-0000-00006E590000}"/>
    <cellStyle name="Input 4 2 8 6" xfId="23121" xr:uid="{00000000-0005-0000-0000-00006F590000}"/>
    <cellStyle name="Input 4 2 8_DataIX" xfId="33006" xr:uid="{00000000-0005-0000-0000-000070590000}"/>
    <cellStyle name="Input 4 2 9" xfId="10905" xr:uid="{00000000-0005-0000-0000-000071590000}"/>
    <cellStyle name="Input 4 2 9 2" xfId="21068" xr:uid="{00000000-0005-0000-0000-000072590000}"/>
    <cellStyle name="Input 4 2 9 2 2" xfId="21817" xr:uid="{00000000-0005-0000-0000-000073590000}"/>
    <cellStyle name="Input 4 2 9 2_DataIX" xfId="33009" xr:uid="{00000000-0005-0000-0000-000074590000}"/>
    <cellStyle name="Input 4 2 9 3" xfId="13058" xr:uid="{00000000-0005-0000-0000-000075590000}"/>
    <cellStyle name="Input 4 2 9 4" xfId="25698" xr:uid="{00000000-0005-0000-0000-000076590000}"/>
    <cellStyle name="Input 4 2 9 5" xfId="27200" xr:uid="{00000000-0005-0000-0000-000077590000}"/>
    <cellStyle name="Input 4 2 9 6" xfId="22945" xr:uid="{00000000-0005-0000-0000-000078590000}"/>
    <cellStyle name="Input 4 2 9_DataIX" xfId="33008" xr:uid="{00000000-0005-0000-0000-000079590000}"/>
    <cellStyle name="Input 4 2_##Keskeiset" xfId="9419" xr:uid="{00000000-0005-0000-0000-00007A590000}"/>
    <cellStyle name="Input 4 20" xfId="28050" xr:uid="{00000000-0005-0000-0000-00007B590000}"/>
    <cellStyle name="Input 4 21" xfId="28027" xr:uid="{00000000-0005-0000-0000-00007C590000}"/>
    <cellStyle name="Input 4 22" xfId="28137" xr:uid="{00000000-0005-0000-0000-00007D590000}"/>
    <cellStyle name="Input 4 23" xfId="28229" xr:uid="{00000000-0005-0000-0000-00007E590000}"/>
    <cellStyle name="Input 4 24" xfId="28414" xr:uid="{00000000-0005-0000-0000-00007F590000}"/>
    <cellStyle name="Input 4 25" xfId="28484" xr:uid="{00000000-0005-0000-0000-000080590000}"/>
    <cellStyle name="Input 4 26" xfId="28346" xr:uid="{00000000-0005-0000-0000-000081590000}"/>
    <cellStyle name="Input 4 27" xfId="28801" xr:uid="{00000000-0005-0000-0000-000082590000}"/>
    <cellStyle name="Input 4 28" xfId="28733" xr:uid="{00000000-0005-0000-0000-000083590000}"/>
    <cellStyle name="Input 4 29" xfId="28710" xr:uid="{00000000-0005-0000-0000-000084590000}"/>
    <cellStyle name="Input 4 3" xfId="5250" xr:uid="{00000000-0005-0000-0000-000085590000}"/>
    <cellStyle name="Input 4 3 2" xfId="5618" xr:uid="{00000000-0005-0000-0000-000086590000}"/>
    <cellStyle name="Input 4 3 2 2" xfId="12646" xr:uid="{00000000-0005-0000-0000-000087590000}"/>
    <cellStyle name="Input 4 3 2 3" xfId="18836" xr:uid="{00000000-0005-0000-0000-000088590000}"/>
    <cellStyle name="Input 4 3 2 3 2" xfId="21881" xr:uid="{00000000-0005-0000-0000-000089590000}"/>
    <cellStyle name="Input 4 3 2 3_DataIX" xfId="33012" xr:uid="{00000000-0005-0000-0000-00008A590000}"/>
    <cellStyle name="Input 4 3 2 4" xfId="20449" xr:uid="{00000000-0005-0000-0000-00008B590000}"/>
    <cellStyle name="Input 4 3 2 4 2" xfId="13496" xr:uid="{00000000-0005-0000-0000-00008C590000}"/>
    <cellStyle name="Input 4 3 2 4_DataIX" xfId="33013" xr:uid="{00000000-0005-0000-0000-00008D590000}"/>
    <cellStyle name="Input 4 3 2_DataIX" xfId="33011" xr:uid="{00000000-0005-0000-0000-00008E590000}"/>
    <cellStyle name="Input 4 3 3" xfId="11054" xr:uid="{00000000-0005-0000-0000-00008F590000}"/>
    <cellStyle name="Input 4 3 4" xfId="18580" xr:uid="{00000000-0005-0000-0000-000090590000}"/>
    <cellStyle name="Input 4 3 4 2" xfId="20711" xr:uid="{00000000-0005-0000-0000-000091590000}"/>
    <cellStyle name="Input 4 3 4_DataIX" xfId="33014" xr:uid="{00000000-0005-0000-0000-000092590000}"/>
    <cellStyle name="Input 4 3 5" xfId="19035" xr:uid="{00000000-0005-0000-0000-000093590000}"/>
    <cellStyle name="Input 4 3 5 2" xfId="21940" xr:uid="{00000000-0005-0000-0000-000094590000}"/>
    <cellStyle name="Input 4 3 5_DataIX" xfId="33015" xr:uid="{00000000-0005-0000-0000-000095590000}"/>
    <cellStyle name="Input 4 3_DataIX" xfId="33010" xr:uid="{00000000-0005-0000-0000-000096590000}"/>
    <cellStyle name="Input 4 30" xfId="28664" xr:uid="{00000000-0005-0000-0000-000097590000}"/>
    <cellStyle name="Input 4 31" xfId="29033" xr:uid="{00000000-0005-0000-0000-000098590000}"/>
    <cellStyle name="Input 4 32" xfId="29174" xr:uid="{00000000-0005-0000-0000-000099590000}"/>
    <cellStyle name="Input 4 4" xfId="5619" xr:uid="{00000000-0005-0000-0000-00009A590000}"/>
    <cellStyle name="Input 4 4 2" xfId="10600" xr:uid="{00000000-0005-0000-0000-00009B590000}"/>
    <cellStyle name="Input 4 4 2 2" xfId="12648" xr:uid="{00000000-0005-0000-0000-00009C590000}"/>
    <cellStyle name="Input 4 4 2 3" xfId="20382" xr:uid="{00000000-0005-0000-0000-00009D590000}"/>
    <cellStyle name="Input 4 4 2 3 2" xfId="22088" xr:uid="{00000000-0005-0000-0000-00009E590000}"/>
    <cellStyle name="Input 4 4 2 3_DataIX" xfId="33018" xr:uid="{00000000-0005-0000-0000-00009F590000}"/>
    <cellStyle name="Input 4 4 2 4" xfId="20993" xr:uid="{00000000-0005-0000-0000-0000A0590000}"/>
    <cellStyle name="Input 4 4 2 4 2" xfId="10783" xr:uid="{00000000-0005-0000-0000-0000A1590000}"/>
    <cellStyle name="Input 4 4 2 4_DataIX" xfId="33019" xr:uid="{00000000-0005-0000-0000-0000A2590000}"/>
    <cellStyle name="Input 4 4 2_DataIX" xfId="33017" xr:uid="{00000000-0005-0000-0000-0000A3590000}"/>
    <cellStyle name="Input 4 4 3" xfId="12647" xr:uid="{00000000-0005-0000-0000-0000A4590000}"/>
    <cellStyle name="Input 4 4 4" xfId="18837" xr:uid="{00000000-0005-0000-0000-0000A5590000}"/>
    <cellStyle name="Input 4 4 4 2" xfId="12622" xr:uid="{00000000-0005-0000-0000-0000A6590000}"/>
    <cellStyle name="Input 4 4 4_DataIX" xfId="33020" xr:uid="{00000000-0005-0000-0000-0000A7590000}"/>
    <cellStyle name="Input 4 4 5" xfId="18967" xr:uid="{00000000-0005-0000-0000-0000A8590000}"/>
    <cellStyle name="Input 4 4 5 2" xfId="22143" xr:uid="{00000000-0005-0000-0000-0000A9590000}"/>
    <cellStyle name="Input 4 4 5_DataIX" xfId="33021" xr:uid="{00000000-0005-0000-0000-0000AA590000}"/>
    <cellStyle name="Input 4 4_DataIX" xfId="33016" xr:uid="{00000000-0005-0000-0000-0000AB590000}"/>
    <cellStyle name="Input 4 5" xfId="5344" xr:uid="{00000000-0005-0000-0000-0000AC590000}"/>
    <cellStyle name="Input 4 5 2" xfId="12649" xr:uid="{00000000-0005-0000-0000-0000AD590000}"/>
    <cellStyle name="Input 4 5 3" xfId="18668" xr:uid="{00000000-0005-0000-0000-0000AE590000}"/>
    <cellStyle name="Input 4 5 3 2" xfId="11103" xr:uid="{00000000-0005-0000-0000-0000AF590000}"/>
    <cellStyle name="Input 4 5 3_DataIX" xfId="33023" xr:uid="{00000000-0005-0000-0000-0000B0590000}"/>
    <cellStyle name="Input 4 5 4" xfId="19007" xr:uid="{00000000-0005-0000-0000-0000B1590000}"/>
    <cellStyle name="Input 4 5 4 2" xfId="22217" xr:uid="{00000000-0005-0000-0000-0000B2590000}"/>
    <cellStyle name="Input 4 5 4_DataIX" xfId="33024" xr:uid="{00000000-0005-0000-0000-0000B3590000}"/>
    <cellStyle name="Input 4 5_DataIX" xfId="33022" xr:uid="{00000000-0005-0000-0000-0000B4590000}"/>
    <cellStyle name="Input 4 6" xfId="13302" xr:uid="{00000000-0005-0000-0000-0000B5590000}"/>
    <cellStyle name="Input 4 6 2" xfId="20891" xr:uid="{00000000-0005-0000-0000-0000B6590000}"/>
    <cellStyle name="Input 4 6 2 2" xfId="21534" xr:uid="{00000000-0005-0000-0000-0000B7590000}"/>
    <cellStyle name="Input 4 6 2_DataIX" xfId="33026" xr:uid="{00000000-0005-0000-0000-0000B8590000}"/>
    <cellStyle name="Input 4 6 3" xfId="21279" xr:uid="{00000000-0005-0000-0000-0000B9590000}"/>
    <cellStyle name="Input 4 6 3 2" xfId="21884" xr:uid="{00000000-0005-0000-0000-0000BA590000}"/>
    <cellStyle name="Input 4 6 3_DataIX" xfId="33027" xr:uid="{00000000-0005-0000-0000-0000BB590000}"/>
    <cellStyle name="Input 4 6 4" xfId="13520" xr:uid="{00000000-0005-0000-0000-0000BC590000}"/>
    <cellStyle name="Input 4 6 5" xfId="25147" xr:uid="{00000000-0005-0000-0000-0000BD590000}"/>
    <cellStyle name="Input 4 6 6" xfId="26953" xr:uid="{00000000-0005-0000-0000-0000BE590000}"/>
    <cellStyle name="Input 4 6 7" xfId="22815" xr:uid="{00000000-0005-0000-0000-0000BF590000}"/>
    <cellStyle name="Input 4 6_DataIX" xfId="33025" xr:uid="{00000000-0005-0000-0000-0000C0590000}"/>
    <cellStyle name="Input 4 7" xfId="13364" xr:uid="{00000000-0005-0000-0000-0000C1590000}"/>
    <cellStyle name="Input 4 7 2" xfId="20932" xr:uid="{00000000-0005-0000-0000-0000C2590000}"/>
    <cellStyle name="Input 4 7 2 2" xfId="21810" xr:uid="{00000000-0005-0000-0000-0000C3590000}"/>
    <cellStyle name="Input 4 7 2_DataIX" xfId="33029" xr:uid="{00000000-0005-0000-0000-0000C4590000}"/>
    <cellStyle name="Input 4 7 3" xfId="21321" xr:uid="{00000000-0005-0000-0000-0000C5590000}"/>
    <cellStyle name="Input 4 7 3 2" xfId="12748" xr:uid="{00000000-0005-0000-0000-0000C6590000}"/>
    <cellStyle name="Input 4 7 3_DataIX" xfId="33030" xr:uid="{00000000-0005-0000-0000-0000C7590000}"/>
    <cellStyle name="Input 4 7 4" xfId="11114" xr:uid="{00000000-0005-0000-0000-0000C8590000}"/>
    <cellStyle name="Input 4 7 5" xfId="26147" xr:uid="{00000000-0005-0000-0000-0000C9590000}"/>
    <cellStyle name="Input 4 7 6" xfId="27358" xr:uid="{00000000-0005-0000-0000-0000CA590000}"/>
    <cellStyle name="Input 4 7 7" xfId="22986" xr:uid="{00000000-0005-0000-0000-0000CB590000}"/>
    <cellStyle name="Input 4 7_DataIX" xfId="33028" xr:uid="{00000000-0005-0000-0000-0000CC590000}"/>
    <cellStyle name="Input 4 8" xfId="13397" xr:uid="{00000000-0005-0000-0000-0000CD590000}"/>
    <cellStyle name="Input 4 8 2" xfId="20952" xr:uid="{00000000-0005-0000-0000-0000CE590000}"/>
    <cellStyle name="Input 4 8 2 2" xfId="21869" xr:uid="{00000000-0005-0000-0000-0000CF590000}"/>
    <cellStyle name="Input 4 8 2_DataIX" xfId="33032" xr:uid="{00000000-0005-0000-0000-0000D0590000}"/>
    <cellStyle name="Input 4 8 3" xfId="21350" xr:uid="{00000000-0005-0000-0000-0000D1590000}"/>
    <cellStyle name="Input 4 8 3 2" xfId="11064" xr:uid="{00000000-0005-0000-0000-0000D2590000}"/>
    <cellStyle name="Input 4 8 3_DataIX" xfId="33033" xr:uid="{00000000-0005-0000-0000-0000D3590000}"/>
    <cellStyle name="Input 4 8 4" xfId="11327" xr:uid="{00000000-0005-0000-0000-0000D4590000}"/>
    <cellStyle name="Input 4 8 5" xfId="26346" xr:uid="{00000000-0005-0000-0000-0000D5590000}"/>
    <cellStyle name="Input 4 8 6" xfId="27438" xr:uid="{00000000-0005-0000-0000-0000D6590000}"/>
    <cellStyle name="Input 4 8 7" xfId="23009" xr:uid="{00000000-0005-0000-0000-0000D7590000}"/>
    <cellStyle name="Input 4 8_DataIX" xfId="33031" xr:uid="{00000000-0005-0000-0000-0000D8590000}"/>
    <cellStyle name="Input 4 9" xfId="10705" xr:uid="{00000000-0005-0000-0000-0000D9590000}"/>
    <cellStyle name="Input 4 9 2" xfId="21021" xr:uid="{00000000-0005-0000-0000-0000DA590000}"/>
    <cellStyle name="Input 4 9 2 2" xfId="22196" xr:uid="{00000000-0005-0000-0000-0000DB590000}"/>
    <cellStyle name="Input 4 9 2_DataIX" xfId="33035" xr:uid="{00000000-0005-0000-0000-0000DC590000}"/>
    <cellStyle name="Input 4 9 3" xfId="22179" xr:uid="{00000000-0005-0000-0000-0000DD590000}"/>
    <cellStyle name="Input 4 9 4" xfId="25949" xr:uid="{00000000-0005-0000-0000-0000DE590000}"/>
    <cellStyle name="Input 4 9 5" xfId="27276" xr:uid="{00000000-0005-0000-0000-0000DF590000}"/>
    <cellStyle name="Input 4 9 6" xfId="22893" xr:uid="{00000000-0005-0000-0000-0000E0590000}"/>
    <cellStyle name="Input 4 9_DataIX" xfId="33034" xr:uid="{00000000-0005-0000-0000-0000E1590000}"/>
    <cellStyle name="Input 4_##Keskeiset" xfId="9418" xr:uid="{00000000-0005-0000-0000-0000E2590000}"/>
    <cellStyle name="Input 40" xfId="28495" xr:uid="{00000000-0005-0000-0000-0000E3590000}"/>
    <cellStyle name="Input 41" xfId="28518" xr:uid="{00000000-0005-0000-0000-0000E4590000}"/>
    <cellStyle name="Input 42" xfId="28546" xr:uid="{00000000-0005-0000-0000-0000E5590000}"/>
    <cellStyle name="Input 43" xfId="28514" xr:uid="{00000000-0005-0000-0000-0000E6590000}"/>
    <cellStyle name="Input 44" xfId="28595" xr:uid="{00000000-0005-0000-0000-0000E7590000}"/>
    <cellStyle name="Input 45" xfId="28649" xr:uid="{00000000-0005-0000-0000-0000E8590000}"/>
    <cellStyle name="Input 46" xfId="28975" xr:uid="{00000000-0005-0000-0000-0000E9590000}"/>
    <cellStyle name="Input 47" xfId="28983" xr:uid="{00000000-0005-0000-0000-0000EA590000}"/>
    <cellStyle name="Input 48" xfId="28883" xr:uid="{00000000-0005-0000-0000-0000EB590000}"/>
    <cellStyle name="Input 49" xfId="28991" xr:uid="{00000000-0005-0000-0000-0000EC590000}"/>
    <cellStyle name="Input 5" xfId="5182" xr:uid="{00000000-0005-0000-0000-0000ED590000}"/>
    <cellStyle name="Input 5 2" xfId="5620" xr:uid="{00000000-0005-0000-0000-0000EE590000}"/>
    <cellStyle name="Input 5 2 2" xfId="12650" xr:uid="{00000000-0005-0000-0000-0000EF590000}"/>
    <cellStyle name="Input 5 2 3" xfId="18838" xr:uid="{00000000-0005-0000-0000-0000F0590000}"/>
    <cellStyle name="Input 5 2 3 2" xfId="12723" xr:uid="{00000000-0005-0000-0000-0000F1590000}"/>
    <cellStyle name="Input 5 2 3_DataIX" xfId="33038" xr:uid="{00000000-0005-0000-0000-0000F2590000}"/>
    <cellStyle name="Input 5 2 4" xfId="20448" xr:uid="{00000000-0005-0000-0000-0000F3590000}"/>
    <cellStyle name="Input 5 2 4 2" xfId="10971" xr:uid="{00000000-0005-0000-0000-0000F4590000}"/>
    <cellStyle name="Input 5 2 4_DataIX" xfId="33039" xr:uid="{00000000-0005-0000-0000-0000F5590000}"/>
    <cellStyle name="Input 5 2_DataIX" xfId="33037" xr:uid="{00000000-0005-0000-0000-0000F6590000}"/>
    <cellStyle name="Input 5 3" xfId="10599" xr:uid="{00000000-0005-0000-0000-0000F7590000}"/>
    <cellStyle name="Input 5 3 2" xfId="12651" xr:uid="{00000000-0005-0000-0000-0000F8590000}"/>
    <cellStyle name="Input 5 3 3" xfId="20381" xr:uid="{00000000-0005-0000-0000-0000F9590000}"/>
    <cellStyle name="Input 5 3 3 2" xfId="10919" xr:uid="{00000000-0005-0000-0000-0000FA590000}"/>
    <cellStyle name="Input 5 3 3_DataIX" xfId="33041" xr:uid="{00000000-0005-0000-0000-0000FB590000}"/>
    <cellStyle name="Input 5 3 4" xfId="20992" xr:uid="{00000000-0005-0000-0000-0000FC590000}"/>
    <cellStyle name="Input 5 3 4 2" xfId="22235" xr:uid="{00000000-0005-0000-0000-0000FD590000}"/>
    <cellStyle name="Input 5 3 4_DataIX" xfId="33042" xr:uid="{00000000-0005-0000-0000-0000FE590000}"/>
    <cellStyle name="Input 5 3_DataIX" xfId="33040" xr:uid="{00000000-0005-0000-0000-0000FF590000}"/>
    <cellStyle name="Input 5 4" xfId="11055" xr:uid="{00000000-0005-0000-0000-0000005A0000}"/>
    <cellStyle name="Input 5 5" xfId="18512" xr:uid="{00000000-0005-0000-0000-0000015A0000}"/>
    <cellStyle name="Input 5_DataIX" xfId="33036" xr:uid="{00000000-0005-0000-0000-0000025A0000}"/>
    <cellStyle name="Input 50" xfId="29079" xr:uid="{00000000-0005-0000-0000-0000035A0000}"/>
    <cellStyle name="Input 6" xfId="5179" xr:uid="{00000000-0005-0000-0000-0000045A0000}"/>
    <cellStyle name="Input 6 2" xfId="5621" xr:uid="{00000000-0005-0000-0000-0000055A0000}"/>
    <cellStyle name="Input 6 2 2" xfId="12652" xr:uid="{00000000-0005-0000-0000-0000065A0000}"/>
    <cellStyle name="Input 6 2 3" xfId="18839" xr:uid="{00000000-0005-0000-0000-0000075A0000}"/>
    <cellStyle name="Input 6 2 3 2" xfId="13738" xr:uid="{00000000-0005-0000-0000-0000085A0000}"/>
    <cellStyle name="Input 6 2 3_DataIX" xfId="33045" xr:uid="{00000000-0005-0000-0000-0000095A0000}"/>
    <cellStyle name="Input 6 2 4" xfId="18966" xr:uid="{00000000-0005-0000-0000-00000A5A0000}"/>
    <cellStyle name="Input 6 2 4 2" xfId="11242" xr:uid="{00000000-0005-0000-0000-00000B5A0000}"/>
    <cellStyle name="Input 6 2 4_DataIX" xfId="33046" xr:uid="{00000000-0005-0000-0000-00000C5A0000}"/>
    <cellStyle name="Input 6 2_DataIX" xfId="33044" xr:uid="{00000000-0005-0000-0000-00000D5A0000}"/>
    <cellStyle name="Input 6 3" xfId="10598" xr:uid="{00000000-0005-0000-0000-00000E5A0000}"/>
    <cellStyle name="Input 6 3 2" xfId="12653" xr:uid="{00000000-0005-0000-0000-00000F5A0000}"/>
    <cellStyle name="Input 6 3 3" xfId="20380" xr:uid="{00000000-0005-0000-0000-0000105A0000}"/>
    <cellStyle name="Input 6 3 3 2" xfId="13569" xr:uid="{00000000-0005-0000-0000-0000115A0000}"/>
    <cellStyle name="Input 6 3 3_DataIX" xfId="33048" xr:uid="{00000000-0005-0000-0000-0000125A0000}"/>
    <cellStyle name="Input 6 3 4" xfId="20991" xr:uid="{00000000-0005-0000-0000-0000135A0000}"/>
    <cellStyle name="Input 6 3 4 2" xfId="22133" xr:uid="{00000000-0005-0000-0000-0000145A0000}"/>
    <cellStyle name="Input 6 3 4_DataIX" xfId="33049" xr:uid="{00000000-0005-0000-0000-0000155A0000}"/>
    <cellStyle name="Input 6 3_DataIX" xfId="33047" xr:uid="{00000000-0005-0000-0000-0000165A0000}"/>
    <cellStyle name="Input 6 4" xfId="11056" xr:uid="{00000000-0005-0000-0000-0000175A0000}"/>
    <cellStyle name="Input 6 5" xfId="18509" xr:uid="{00000000-0005-0000-0000-0000185A0000}"/>
    <cellStyle name="Input 6_DataIX" xfId="33043" xr:uid="{00000000-0005-0000-0000-0000195A0000}"/>
    <cellStyle name="Input 7" xfId="5180" xr:uid="{00000000-0005-0000-0000-00001A5A0000}"/>
    <cellStyle name="Input 7 2" xfId="5622" xr:uid="{00000000-0005-0000-0000-00001B5A0000}"/>
    <cellStyle name="Input 7 2 2" xfId="12654" xr:uid="{00000000-0005-0000-0000-00001C5A0000}"/>
    <cellStyle name="Input 7 2 3" xfId="18840" xr:uid="{00000000-0005-0000-0000-00001D5A0000}"/>
    <cellStyle name="Input 7 2 3 2" xfId="11306" xr:uid="{00000000-0005-0000-0000-00001E5A0000}"/>
    <cellStyle name="Input 7 2 3_DataIX" xfId="33052" xr:uid="{00000000-0005-0000-0000-00001F5A0000}"/>
    <cellStyle name="Input 7 2 4" xfId="20447" xr:uid="{00000000-0005-0000-0000-0000205A0000}"/>
    <cellStyle name="Input 7 2 4 2" xfId="21667" xr:uid="{00000000-0005-0000-0000-0000215A0000}"/>
    <cellStyle name="Input 7 2 4_DataIX" xfId="33053" xr:uid="{00000000-0005-0000-0000-0000225A0000}"/>
    <cellStyle name="Input 7 2_DataIX" xfId="33051" xr:uid="{00000000-0005-0000-0000-0000235A0000}"/>
    <cellStyle name="Input 7 3" xfId="10597" xr:uid="{00000000-0005-0000-0000-0000245A0000}"/>
    <cellStyle name="Input 7 3 2" xfId="12655" xr:uid="{00000000-0005-0000-0000-0000255A0000}"/>
    <cellStyle name="Input 7 3 3" xfId="20379" xr:uid="{00000000-0005-0000-0000-0000265A0000}"/>
    <cellStyle name="Input 7 3 3 2" xfId="10861" xr:uid="{00000000-0005-0000-0000-0000275A0000}"/>
    <cellStyle name="Input 7 3 3_DataIX" xfId="33055" xr:uid="{00000000-0005-0000-0000-0000285A0000}"/>
    <cellStyle name="Input 7 3 4" xfId="20990" xr:uid="{00000000-0005-0000-0000-0000295A0000}"/>
    <cellStyle name="Input 7 3 4 2" xfId="21543" xr:uid="{00000000-0005-0000-0000-00002A5A0000}"/>
    <cellStyle name="Input 7 3 4_DataIX" xfId="33056" xr:uid="{00000000-0005-0000-0000-00002B5A0000}"/>
    <cellStyle name="Input 7 3_DataIX" xfId="33054" xr:uid="{00000000-0005-0000-0000-00002C5A0000}"/>
    <cellStyle name="Input 7 4" xfId="11057" xr:uid="{00000000-0005-0000-0000-00002D5A0000}"/>
    <cellStyle name="Input 7 5" xfId="18510" xr:uid="{00000000-0005-0000-0000-00002E5A0000}"/>
    <cellStyle name="Input 7_DataIX" xfId="33050" xr:uid="{00000000-0005-0000-0000-00002F5A0000}"/>
    <cellStyle name="Input 8" xfId="5254" xr:uid="{00000000-0005-0000-0000-0000305A0000}"/>
    <cellStyle name="Input 8 2" xfId="9421" xr:uid="{00000000-0005-0000-0000-0000315A0000}"/>
    <cellStyle name="Input 8 3" xfId="18584" xr:uid="{00000000-0005-0000-0000-0000325A0000}"/>
    <cellStyle name="Input 8 3 2" xfId="13528" xr:uid="{00000000-0005-0000-0000-0000335A0000}"/>
    <cellStyle name="Input 8 3_DataIX" xfId="33058" xr:uid="{00000000-0005-0000-0000-0000345A0000}"/>
    <cellStyle name="Input 8 4" xfId="19034" xr:uid="{00000000-0005-0000-0000-0000355A0000}"/>
    <cellStyle name="Input 8 4 2" xfId="21973" xr:uid="{00000000-0005-0000-0000-0000365A0000}"/>
    <cellStyle name="Input 8 4_DataIX" xfId="33059" xr:uid="{00000000-0005-0000-0000-0000375A0000}"/>
    <cellStyle name="Input 8_DataIX" xfId="33057" xr:uid="{00000000-0005-0000-0000-0000385A0000}"/>
    <cellStyle name="Input 9" xfId="5177" xr:uid="{00000000-0005-0000-0000-0000395A0000}"/>
    <cellStyle name="Input 9 2" xfId="9422" xr:uid="{00000000-0005-0000-0000-00003A5A0000}"/>
    <cellStyle name="Input 9 3" xfId="18507" xr:uid="{00000000-0005-0000-0000-00003B5A0000}"/>
    <cellStyle name="Input 9_DataIX" xfId="33060" xr:uid="{00000000-0005-0000-0000-00003C5A0000}"/>
    <cellStyle name="Input_##Keskeiset" xfId="5613" xr:uid="{00000000-0005-0000-0000-00003D5A0000}"/>
    <cellStyle name="JPY" xfId="4200" xr:uid="{00000000-0005-0000-0000-00003E5A0000}"/>
    <cellStyle name="JPY 2" xfId="9423" xr:uid="{00000000-0005-0000-0000-00003F5A0000}"/>
    <cellStyle name="JPY 3" xfId="17550" xr:uid="{00000000-0005-0000-0000-0000405A0000}"/>
    <cellStyle name="JPY_DataIX" xfId="33061" xr:uid="{00000000-0005-0000-0000-0000415A0000}"/>
    <cellStyle name="Label" xfId="93" xr:uid="{00000000-0005-0000-0000-0000425A0000}"/>
    <cellStyle name="Label 2" xfId="25032" xr:uid="{00000000-0005-0000-0000-0000435A0000}"/>
    <cellStyle name="Label 3" xfId="24961" xr:uid="{00000000-0005-0000-0000-0000445A0000}"/>
    <cellStyle name="Label_DataIX" xfId="33062" xr:uid="{00000000-0005-0000-0000-0000455A0000}"/>
    <cellStyle name="Laskenta" xfId="355" xr:uid="{00000000-0005-0000-0000-0000465A0000}"/>
    <cellStyle name="Laskenta 10" xfId="10631" xr:uid="{00000000-0005-0000-0000-0000475A0000}"/>
    <cellStyle name="Laskenta 10 2" xfId="12657" xr:uid="{00000000-0005-0000-0000-0000485A0000}"/>
    <cellStyle name="Laskenta 10 3" xfId="20413" xr:uid="{00000000-0005-0000-0000-0000495A0000}"/>
    <cellStyle name="Laskenta 10_DataIX" xfId="33063" xr:uid="{00000000-0005-0000-0000-00004A5A0000}"/>
    <cellStyle name="Laskenta 11" xfId="10668" xr:uid="{00000000-0005-0000-0000-00004B5A0000}"/>
    <cellStyle name="Laskenta 11 2" xfId="20605" xr:uid="{00000000-0005-0000-0000-00004C5A0000}"/>
    <cellStyle name="Laskenta 11 2 2" xfId="21909" xr:uid="{00000000-0005-0000-0000-00004D5A0000}"/>
    <cellStyle name="Laskenta 11 2_DataIX" xfId="33065" xr:uid="{00000000-0005-0000-0000-00004E5A0000}"/>
    <cellStyle name="Laskenta 11 3" xfId="21005" xr:uid="{00000000-0005-0000-0000-00004F5A0000}"/>
    <cellStyle name="Laskenta 11 3 2" xfId="13563" xr:uid="{00000000-0005-0000-0000-0000505A0000}"/>
    <cellStyle name="Laskenta 11 3_DataIX" xfId="33066" xr:uid="{00000000-0005-0000-0000-0000515A0000}"/>
    <cellStyle name="Laskenta 11 4" xfId="13685" xr:uid="{00000000-0005-0000-0000-0000525A0000}"/>
    <cellStyle name="Laskenta 11 5" xfId="25033" xr:uid="{00000000-0005-0000-0000-0000535A0000}"/>
    <cellStyle name="Laskenta 11 6" xfId="26906" xr:uid="{00000000-0005-0000-0000-0000545A0000}"/>
    <cellStyle name="Laskenta 11 7" xfId="27372" xr:uid="{00000000-0005-0000-0000-0000555A0000}"/>
    <cellStyle name="Laskenta 11_DataIX" xfId="33064" xr:uid="{00000000-0005-0000-0000-0000565A0000}"/>
    <cellStyle name="Laskenta 12" xfId="13194" xr:uid="{00000000-0005-0000-0000-0000575A0000}"/>
    <cellStyle name="Laskenta 12 2" xfId="20819" xr:uid="{00000000-0005-0000-0000-0000585A0000}"/>
    <cellStyle name="Laskenta 12 2 2" xfId="22267" xr:uid="{00000000-0005-0000-0000-0000595A0000}"/>
    <cellStyle name="Laskenta 12 2_DataIX" xfId="33068" xr:uid="{00000000-0005-0000-0000-00005A5A0000}"/>
    <cellStyle name="Laskenta 12 3" xfId="21190" xr:uid="{00000000-0005-0000-0000-00005B5A0000}"/>
    <cellStyle name="Laskenta 12 3 2" xfId="13712" xr:uid="{00000000-0005-0000-0000-00005C5A0000}"/>
    <cellStyle name="Laskenta 12 3_DataIX" xfId="33069" xr:uid="{00000000-0005-0000-0000-00005D5A0000}"/>
    <cellStyle name="Laskenta 12 4" xfId="21385" xr:uid="{00000000-0005-0000-0000-00005E5A0000}"/>
    <cellStyle name="Laskenta 12 5" xfId="25672" xr:uid="{00000000-0005-0000-0000-00005F5A0000}"/>
    <cellStyle name="Laskenta 12 6" xfId="27190" xr:uid="{00000000-0005-0000-0000-0000605A0000}"/>
    <cellStyle name="Laskenta 12 7" xfId="22747" xr:uid="{00000000-0005-0000-0000-0000615A0000}"/>
    <cellStyle name="Laskenta 12_DataIX" xfId="33067" xr:uid="{00000000-0005-0000-0000-0000625A0000}"/>
    <cellStyle name="Laskenta 13" xfId="13210" xr:uid="{00000000-0005-0000-0000-0000635A0000}"/>
    <cellStyle name="Laskenta 13 2" xfId="20827" xr:uid="{00000000-0005-0000-0000-0000645A0000}"/>
    <cellStyle name="Laskenta 13 2 2" xfId="13622" xr:uid="{00000000-0005-0000-0000-0000655A0000}"/>
    <cellStyle name="Laskenta 13 2_DataIX" xfId="33071" xr:uid="{00000000-0005-0000-0000-0000665A0000}"/>
    <cellStyle name="Laskenta 13 3" xfId="21199" xr:uid="{00000000-0005-0000-0000-0000675A0000}"/>
    <cellStyle name="Laskenta 13 3 2" xfId="13454" xr:uid="{00000000-0005-0000-0000-0000685A0000}"/>
    <cellStyle name="Laskenta 13 3_DataIX" xfId="33072" xr:uid="{00000000-0005-0000-0000-0000695A0000}"/>
    <cellStyle name="Laskenta 13 4" xfId="11065" xr:uid="{00000000-0005-0000-0000-00006A5A0000}"/>
    <cellStyle name="Laskenta 13 5" xfId="25325" xr:uid="{00000000-0005-0000-0000-00006B5A0000}"/>
    <cellStyle name="Laskenta 13 6" xfId="27051" xr:uid="{00000000-0005-0000-0000-00006C5A0000}"/>
    <cellStyle name="Laskenta 13 7" xfId="23076" xr:uid="{00000000-0005-0000-0000-00006D5A0000}"/>
    <cellStyle name="Laskenta 13_DataIX" xfId="33070" xr:uid="{00000000-0005-0000-0000-00006E5A0000}"/>
    <cellStyle name="Laskenta 14" xfId="13899" xr:uid="{00000000-0005-0000-0000-00006F5A0000}"/>
    <cellStyle name="Laskenta 14 2" xfId="20712" xr:uid="{00000000-0005-0000-0000-0000705A0000}"/>
    <cellStyle name="Laskenta 14_DataIX" xfId="33073" xr:uid="{00000000-0005-0000-0000-0000715A0000}"/>
    <cellStyle name="Laskenta 15" xfId="20268" xr:uid="{00000000-0005-0000-0000-0000725A0000}"/>
    <cellStyle name="Laskenta 15 2" xfId="13700" xr:uid="{00000000-0005-0000-0000-0000735A0000}"/>
    <cellStyle name="Laskenta 15_DataIX" xfId="33074" xr:uid="{00000000-0005-0000-0000-0000745A0000}"/>
    <cellStyle name="Laskenta 16" xfId="22851" xr:uid="{00000000-0005-0000-0000-0000755A0000}"/>
    <cellStyle name="Laskenta 17" xfId="28127" xr:uid="{00000000-0005-0000-0000-0000765A0000}"/>
    <cellStyle name="Laskenta 2" xfId="209" xr:uid="{00000000-0005-0000-0000-0000775A0000}"/>
    <cellStyle name="Laskenta 2 10" xfId="5322" xr:uid="{00000000-0005-0000-0000-0000785A0000}"/>
    <cellStyle name="Laskenta 2 10 2" xfId="12658" xr:uid="{00000000-0005-0000-0000-0000795A0000}"/>
    <cellStyle name="Laskenta 2 10 3" xfId="18646" xr:uid="{00000000-0005-0000-0000-00007A5A0000}"/>
    <cellStyle name="Laskenta 2 10 3 2" xfId="21398" xr:uid="{00000000-0005-0000-0000-00007B5A0000}"/>
    <cellStyle name="Laskenta 2 10 3_DataIX" xfId="33076" xr:uid="{00000000-0005-0000-0000-00007C5A0000}"/>
    <cellStyle name="Laskenta 2 10 4" xfId="19004" xr:uid="{00000000-0005-0000-0000-00007D5A0000}"/>
    <cellStyle name="Laskenta 2 10 4 2" xfId="21471" xr:uid="{00000000-0005-0000-0000-00007E5A0000}"/>
    <cellStyle name="Laskenta 2 10 4_DataIX" xfId="33077" xr:uid="{00000000-0005-0000-0000-00007F5A0000}"/>
    <cellStyle name="Laskenta 2 10_DataIX" xfId="33075" xr:uid="{00000000-0005-0000-0000-0000805A0000}"/>
    <cellStyle name="Laskenta 2 11" xfId="13113" xr:uid="{00000000-0005-0000-0000-0000815A0000}"/>
    <cellStyle name="Laskenta 2 11 2" xfId="20764" xr:uid="{00000000-0005-0000-0000-0000825A0000}"/>
    <cellStyle name="Laskenta 2 11 2 2" xfId="10814" xr:uid="{00000000-0005-0000-0000-0000835A0000}"/>
    <cellStyle name="Laskenta 2 11 2_DataIX" xfId="33079" xr:uid="{00000000-0005-0000-0000-0000845A0000}"/>
    <cellStyle name="Laskenta 2 11 3" xfId="21126" xr:uid="{00000000-0005-0000-0000-0000855A0000}"/>
    <cellStyle name="Laskenta 2 11 3 2" xfId="10872" xr:uid="{00000000-0005-0000-0000-0000865A0000}"/>
    <cellStyle name="Laskenta 2 11 3_DataIX" xfId="33080" xr:uid="{00000000-0005-0000-0000-0000875A0000}"/>
    <cellStyle name="Laskenta 2 11 4" xfId="11202" xr:uid="{00000000-0005-0000-0000-0000885A0000}"/>
    <cellStyle name="Laskenta 2 11 5" xfId="25149" xr:uid="{00000000-0005-0000-0000-0000895A0000}"/>
    <cellStyle name="Laskenta 2 11 6" xfId="26955" xr:uid="{00000000-0005-0000-0000-00008A5A0000}"/>
    <cellStyle name="Laskenta 2 11 7" xfId="23027" xr:uid="{00000000-0005-0000-0000-00008B5A0000}"/>
    <cellStyle name="Laskenta 2 11_DataIX" xfId="33078" xr:uid="{00000000-0005-0000-0000-00008C5A0000}"/>
    <cellStyle name="Laskenta 2 12" xfId="13406" xr:uid="{00000000-0005-0000-0000-00008D5A0000}"/>
    <cellStyle name="Laskenta 2 12 2" xfId="20956" xr:uid="{00000000-0005-0000-0000-00008E5A0000}"/>
    <cellStyle name="Laskenta 2 12 2 2" xfId="21492" xr:uid="{00000000-0005-0000-0000-00008F5A0000}"/>
    <cellStyle name="Laskenta 2 12 2_DataIX" xfId="33082" xr:uid="{00000000-0005-0000-0000-0000905A0000}"/>
    <cellStyle name="Laskenta 2 12 3" xfId="21357" xr:uid="{00000000-0005-0000-0000-0000915A0000}"/>
    <cellStyle name="Laskenta 2 12 3 2" xfId="20664" xr:uid="{00000000-0005-0000-0000-0000925A0000}"/>
    <cellStyle name="Laskenta 2 12 3_DataIX" xfId="33083" xr:uid="{00000000-0005-0000-0000-0000935A0000}"/>
    <cellStyle name="Laskenta 2 12 4" xfId="12968" xr:uid="{00000000-0005-0000-0000-0000945A0000}"/>
    <cellStyle name="Laskenta 2 12 5" xfId="26145" xr:uid="{00000000-0005-0000-0000-0000955A0000}"/>
    <cellStyle name="Laskenta 2 12 6" xfId="27356" xr:uid="{00000000-0005-0000-0000-0000965A0000}"/>
    <cellStyle name="Laskenta 2 12 7" xfId="27595" xr:uid="{00000000-0005-0000-0000-0000975A0000}"/>
    <cellStyle name="Laskenta 2 12_DataIX" xfId="33081" xr:uid="{00000000-0005-0000-0000-0000985A0000}"/>
    <cellStyle name="Laskenta 2 13" xfId="13807" xr:uid="{00000000-0005-0000-0000-0000995A0000}"/>
    <cellStyle name="Laskenta 2 13 2" xfId="11034" xr:uid="{00000000-0005-0000-0000-00009A5A0000}"/>
    <cellStyle name="Laskenta 2 13 3" xfId="26292" xr:uid="{00000000-0005-0000-0000-00009B5A0000}"/>
    <cellStyle name="Laskenta 2 13 4" xfId="27406" xr:uid="{00000000-0005-0000-0000-00009C5A0000}"/>
    <cellStyle name="Laskenta 2 13 5" xfId="26855" xr:uid="{00000000-0005-0000-0000-00009D5A0000}"/>
    <cellStyle name="Laskenta 2 13_DataIX" xfId="33084" xr:uid="{00000000-0005-0000-0000-00009E5A0000}"/>
    <cellStyle name="Laskenta 2 14" xfId="20315" xr:uid="{00000000-0005-0000-0000-00009F5A0000}"/>
    <cellStyle name="Laskenta 2 14 2" xfId="13054" xr:uid="{00000000-0005-0000-0000-0000A05A0000}"/>
    <cellStyle name="Laskenta 2 14_DataIX" xfId="33085" xr:uid="{00000000-0005-0000-0000-0000A15A0000}"/>
    <cellStyle name="Laskenta 2 15" xfId="20645" xr:uid="{00000000-0005-0000-0000-0000A25A0000}"/>
    <cellStyle name="Laskenta 2 16" xfId="22324" xr:uid="{00000000-0005-0000-0000-0000A35A0000}"/>
    <cellStyle name="Laskenta 2 17" xfId="22582" xr:uid="{00000000-0005-0000-0000-0000A45A0000}"/>
    <cellStyle name="Laskenta 2 18" xfId="22709" xr:uid="{00000000-0005-0000-0000-0000A55A0000}"/>
    <cellStyle name="Laskenta 2 19" xfId="22634" xr:uid="{00000000-0005-0000-0000-0000A65A0000}"/>
    <cellStyle name="Laskenta 2 2" xfId="257" xr:uid="{00000000-0005-0000-0000-0000A75A0000}"/>
    <cellStyle name="Laskenta 2 2 10" xfId="10733" xr:uid="{00000000-0005-0000-0000-0000A85A0000}"/>
    <cellStyle name="Laskenta 2 2 10 2" xfId="21045" xr:uid="{00000000-0005-0000-0000-0000A95A0000}"/>
    <cellStyle name="Laskenta 2 2 10 2 2" xfId="10963" xr:uid="{00000000-0005-0000-0000-0000AA5A0000}"/>
    <cellStyle name="Laskenta 2 2 10 2_DataIX" xfId="33087" xr:uid="{00000000-0005-0000-0000-0000AB5A0000}"/>
    <cellStyle name="Laskenta 2 2 10 3" xfId="12614" xr:uid="{00000000-0005-0000-0000-0000AC5A0000}"/>
    <cellStyle name="Laskenta 2 2 10 4" xfId="25613" xr:uid="{00000000-0005-0000-0000-0000AD5A0000}"/>
    <cellStyle name="Laskenta 2 2 10 5" xfId="27165" xr:uid="{00000000-0005-0000-0000-0000AE5A0000}"/>
    <cellStyle name="Laskenta 2 2 10 6" xfId="23017" xr:uid="{00000000-0005-0000-0000-0000AF5A0000}"/>
    <cellStyle name="Laskenta 2 2 10_DataIX" xfId="33086" xr:uid="{00000000-0005-0000-0000-0000B05A0000}"/>
    <cellStyle name="Laskenta 2 2 11" xfId="13831" xr:uid="{00000000-0005-0000-0000-0000B15A0000}"/>
    <cellStyle name="Laskenta 2 2 11 2" xfId="21582" xr:uid="{00000000-0005-0000-0000-0000B25A0000}"/>
    <cellStyle name="Laskenta 2 2 11 3" xfId="26254" xr:uid="{00000000-0005-0000-0000-0000B35A0000}"/>
    <cellStyle name="Laskenta 2 2 11 4" xfId="27393" xr:uid="{00000000-0005-0000-0000-0000B45A0000}"/>
    <cellStyle name="Laskenta 2 2 11 5" xfId="27032" xr:uid="{00000000-0005-0000-0000-0000B55A0000}"/>
    <cellStyle name="Laskenta 2 2 11_DataIX" xfId="33088" xr:uid="{00000000-0005-0000-0000-0000B65A0000}"/>
    <cellStyle name="Laskenta 2 2 12" xfId="20844" xr:uid="{00000000-0005-0000-0000-0000B75A0000}"/>
    <cellStyle name="Laskenta 2 2 12 2" xfId="21867" xr:uid="{00000000-0005-0000-0000-0000B85A0000}"/>
    <cellStyle name="Laskenta 2 2 12_DataIX" xfId="33089" xr:uid="{00000000-0005-0000-0000-0000B95A0000}"/>
    <cellStyle name="Laskenta 2 2 13" xfId="11236" xr:uid="{00000000-0005-0000-0000-0000BA5A0000}"/>
    <cellStyle name="Laskenta 2 2 14" xfId="22325" xr:uid="{00000000-0005-0000-0000-0000BB5A0000}"/>
    <cellStyle name="Laskenta 2 2 15" xfId="22581" xr:uid="{00000000-0005-0000-0000-0000BC5A0000}"/>
    <cellStyle name="Laskenta 2 2 16" xfId="22500" xr:uid="{00000000-0005-0000-0000-0000BD5A0000}"/>
    <cellStyle name="Laskenta 2 2 17" xfId="22494" xr:uid="{00000000-0005-0000-0000-0000BE5A0000}"/>
    <cellStyle name="Laskenta 2 2 18" xfId="25028" xr:uid="{00000000-0005-0000-0000-0000BF5A0000}"/>
    <cellStyle name="Laskenta 2 2 19" xfId="27901" xr:uid="{00000000-0005-0000-0000-0000C05A0000}"/>
    <cellStyle name="Laskenta 2 2 2" xfId="312" xr:uid="{00000000-0005-0000-0000-0000C15A0000}"/>
    <cellStyle name="Laskenta 2 2 2 10" xfId="13876" xr:uid="{00000000-0005-0000-0000-0000C25A0000}"/>
    <cellStyle name="Laskenta 2 2 2 10 2" xfId="21393" xr:uid="{00000000-0005-0000-0000-0000C35A0000}"/>
    <cellStyle name="Laskenta 2 2 2 10 3" xfId="25376" xr:uid="{00000000-0005-0000-0000-0000C45A0000}"/>
    <cellStyle name="Laskenta 2 2 2 10 4" xfId="27077" xr:uid="{00000000-0005-0000-0000-0000C55A0000}"/>
    <cellStyle name="Laskenta 2 2 2 10 5" xfId="22791" xr:uid="{00000000-0005-0000-0000-0000C65A0000}"/>
    <cellStyle name="Laskenta 2 2 2 10_DataIX" xfId="33090" xr:uid="{00000000-0005-0000-0000-0000C75A0000}"/>
    <cellStyle name="Laskenta 2 2 2 11" xfId="20279" xr:uid="{00000000-0005-0000-0000-0000C85A0000}"/>
    <cellStyle name="Laskenta 2 2 2 11 2" xfId="13718" xr:uid="{00000000-0005-0000-0000-0000C95A0000}"/>
    <cellStyle name="Laskenta 2 2 2 11 3" xfId="25927" xr:uid="{00000000-0005-0000-0000-0000CA5A0000}"/>
    <cellStyle name="Laskenta 2 2 2 11 4" xfId="27268" xr:uid="{00000000-0005-0000-0000-0000CB5A0000}"/>
    <cellStyle name="Laskenta 2 2 2 11 5" xfId="27619" xr:uid="{00000000-0005-0000-0000-0000CC5A0000}"/>
    <cellStyle name="Laskenta 2 2 2 11_DataIX" xfId="33091" xr:uid="{00000000-0005-0000-0000-0000CD5A0000}"/>
    <cellStyle name="Laskenta 2 2 2 12" xfId="11300" xr:uid="{00000000-0005-0000-0000-0000CE5A0000}"/>
    <cellStyle name="Laskenta 2 2 2 13" xfId="11346" xr:uid="{00000000-0005-0000-0000-0000CF5A0000}"/>
    <cellStyle name="Laskenta 2 2 2 14" xfId="22326" xr:uid="{00000000-0005-0000-0000-0000D05A0000}"/>
    <cellStyle name="Laskenta 2 2 2 15" xfId="22580" xr:uid="{00000000-0005-0000-0000-0000D15A0000}"/>
    <cellStyle name="Laskenta 2 2 2 16" xfId="22501" xr:uid="{00000000-0005-0000-0000-0000D25A0000}"/>
    <cellStyle name="Laskenta 2 2 2 17" xfId="22394" xr:uid="{00000000-0005-0000-0000-0000D35A0000}"/>
    <cellStyle name="Laskenta 2 2 2 18" xfId="23023" xr:uid="{00000000-0005-0000-0000-0000D45A0000}"/>
    <cellStyle name="Laskenta 2 2 2 19" xfId="27902" xr:uid="{00000000-0005-0000-0000-0000D55A0000}"/>
    <cellStyle name="Laskenta 2 2 2 2" xfId="5246" xr:uid="{00000000-0005-0000-0000-0000D65A0000}"/>
    <cellStyle name="Laskenta 2 2 2 2 2" xfId="9427" xr:uid="{00000000-0005-0000-0000-0000D75A0000}"/>
    <cellStyle name="Laskenta 2 2 2 2 3" xfId="18576" xr:uid="{00000000-0005-0000-0000-0000D85A0000}"/>
    <cellStyle name="Laskenta 2 2 2 2 3 2" xfId="22207" xr:uid="{00000000-0005-0000-0000-0000D95A0000}"/>
    <cellStyle name="Laskenta 2 2 2 2 3_DataIX" xfId="33093" xr:uid="{00000000-0005-0000-0000-0000DA5A0000}"/>
    <cellStyle name="Laskenta 2 2 2 2 4" xfId="19037" xr:uid="{00000000-0005-0000-0000-0000DB5A0000}"/>
    <cellStyle name="Laskenta 2 2 2 2 4 2" xfId="18784" xr:uid="{00000000-0005-0000-0000-0000DC5A0000}"/>
    <cellStyle name="Laskenta 2 2 2 2 4_DataIX" xfId="33094" xr:uid="{00000000-0005-0000-0000-0000DD5A0000}"/>
    <cellStyle name="Laskenta 2 2 2 2_DataIX" xfId="33092" xr:uid="{00000000-0005-0000-0000-0000DE5A0000}"/>
    <cellStyle name="Laskenta 2 2 2 20" xfId="28046" xr:uid="{00000000-0005-0000-0000-0000DF5A0000}"/>
    <cellStyle name="Laskenta 2 2 2 21" xfId="28105" xr:uid="{00000000-0005-0000-0000-0000E05A0000}"/>
    <cellStyle name="Laskenta 2 2 2 22" xfId="28140" xr:uid="{00000000-0005-0000-0000-0000E15A0000}"/>
    <cellStyle name="Laskenta 2 2 2 23" xfId="28233" xr:uid="{00000000-0005-0000-0000-0000E25A0000}"/>
    <cellStyle name="Laskenta 2 2 2 24" xfId="28410" xr:uid="{00000000-0005-0000-0000-0000E35A0000}"/>
    <cellStyle name="Laskenta 2 2 2 25" xfId="28482" xr:uid="{00000000-0005-0000-0000-0000E45A0000}"/>
    <cellStyle name="Laskenta 2 2 2 26" xfId="28342" xr:uid="{00000000-0005-0000-0000-0000E55A0000}"/>
    <cellStyle name="Laskenta 2 2 2 27" xfId="28797" xr:uid="{00000000-0005-0000-0000-0000E65A0000}"/>
    <cellStyle name="Laskenta 2 2 2 28" xfId="28941" xr:uid="{00000000-0005-0000-0000-0000E75A0000}"/>
    <cellStyle name="Laskenta 2 2 2 29" xfId="28708" xr:uid="{00000000-0005-0000-0000-0000E85A0000}"/>
    <cellStyle name="Laskenta 2 2 2 3" xfId="5347" xr:uid="{00000000-0005-0000-0000-0000E95A0000}"/>
    <cellStyle name="Laskenta 2 2 2 3 2" xfId="12659" xr:uid="{00000000-0005-0000-0000-0000EA5A0000}"/>
    <cellStyle name="Laskenta 2 2 2 3 3" xfId="18671" xr:uid="{00000000-0005-0000-0000-0000EB5A0000}"/>
    <cellStyle name="Laskenta 2 2 2 3 3 2" xfId="21945" xr:uid="{00000000-0005-0000-0000-0000EC5A0000}"/>
    <cellStyle name="Laskenta 2 2 2 3 3_DataIX" xfId="33096" xr:uid="{00000000-0005-0000-0000-0000ED5A0000}"/>
    <cellStyle name="Laskenta 2 2 2 3 4" xfId="18740" xr:uid="{00000000-0005-0000-0000-0000EE5A0000}"/>
    <cellStyle name="Laskenta 2 2 2 3 4 2" xfId="20617" xr:uid="{00000000-0005-0000-0000-0000EF5A0000}"/>
    <cellStyle name="Laskenta 2 2 2 3 4_DataIX" xfId="33097" xr:uid="{00000000-0005-0000-0000-0000F05A0000}"/>
    <cellStyle name="Laskenta 2 2 2 3_DataIX" xfId="33095" xr:uid="{00000000-0005-0000-0000-0000F15A0000}"/>
    <cellStyle name="Laskenta 2 2 2 30" xfId="28859" xr:uid="{00000000-0005-0000-0000-0000F25A0000}"/>
    <cellStyle name="Laskenta 2 2 2 31" xfId="29037" xr:uid="{00000000-0005-0000-0000-0000F35A0000}"/>
    <cellStyle name="Laskenta 2 2 2 32" xfId="29170" xr:uid="{00000000-0005-0000-0000-0000F45A0000}"/>
    <cellStyle name="Laskenta 2 2 2 4" xfId="13300" xr:uid="{00000000-0005-0000-0000-0000F55A0000}"/>
    <cellStyle name="Laskenta 2 2 2 4 2" xfId="20889" xr:uid="{00000000-0005-0000-0000-0000F65A0000}"/>
    <cellStyle name="Laskenta 2 2 2 4 2 2" xfId="12985" xr:uid="{00000000-0005-0000-0000-0000F75A0000}"/>
    <cellStyle name="Laskenta 2 2 2 4 2_DataIX" xfId="33099" xr:uid="{00000000-0005-0000-0000-0000F85A0000}"/>
    <cellStyle name="Laskenta 2 2 2 4 3" xfId="21277" xr:uid="{00000000-0005-0000-0000-0000F95A0000}"/>
    <cellStyle name="Laskenta 2 2 2 4 3 2" xfId="21824" xr:uid="{00000000-0005-0000-0000-0000FA5A0000}"/>
    <cellStyle name="Laskenta 2 2 2 4 3_DataIX" xfId="33100" xr:uid="{00000000-0005-0000-0000-0000FB5A0000}"/>
    <cellStyle name="Laskenta 2 2 2 4 4" xfId="10920" xr:uid="{00000000-0005-0000-0000-0000FC5A0000}"/>
    <cellStyle name="Laskenta 2 2 2 4 5" xfId="25151" xr:uid="{00000000-0005-0000-0000-0000FD5A0000}"/>
    <cellStyle name="Laskenta 2 2 2 4 6" xfId="26957" xr:uid="{00000000-0005-0000-0000-0000FE5A0000}"/>
    <cellStyle name="Laskenta 2 2 2 4 7" xfId="26831" xr:uid="{00000000-0005-0000-0000-0000FF5A0000}"/>
    <cellStyle name="Laskenta 2 2 2 4_DataIX" xfId="33098" xr:uid="{00000000-0005-0000-0000-0000005B0000}"/>
    <cellStyle name="Laskenta 2 2 2 5" xfId="13225" xr:uid="{00000000-0005-0000-0000-0000015B0000}"/>
    <cellStyle name="Laskenta 2 2 2 5 2" xfId="20835" xr:uid="{00000000-0005-0000-0000-0000025B0000}"/>
    <cellStyle name="Laskenta 2 2 2 5 2 2" xfId="22107" xr:uid="{00000000-0005-0000-0000-0000035B0000}"/>
    <cellStyle name="Laskenta 2 2 2 5 2_DataIX" xfId="33102" xr:uid="{00000000-0005-0000-0000-0000045B0000}"/>
    <cellStyle name="Laskenta 2 2 2 5 3" xfId="21211" xr:uid="{00000000-0005-0000-0000-0000055B0000}"/>
    <cellStyle name="Laskenta 2 2 2 5 3 2" xfId="21952" xr:uid="{00000000-0005-0000-0000-0000065B0000}"/>
    <cellStyle name="Laskenta 2 2 2 5 3_DataIX" xfId="33103" xr:uid="{00000000-0005-0000-0000-0000075B0000}"/>
    <cellStyle name="Laskenta 2 2 2 5 4" xfId="11218" xr:uid="{00000000-0005-0000-0000-0000085B0000}"/>
    <cellStyle name="Laskenta 2 2 2 5 5" xfId="26143" xr:uid="{00000000-0005-0000-0000-0000095B0000}"/>
    <cellStyle name="Laskenta 2 2 2 5 6" xfId="27354" xr:uid="{00000000-0005-0000-0000-00000A5B0000}"/>
    <cellStyle name="Laskenta 2 2 2 5 7" xfId="23040" xr:uid="{00000000-0005-0000-0000-00000B5B0000}"/>
    <cellStyle name="Laskenta 2 2 2 5_DataIX" xfId="33101" xr:uid="{00000000-0005-0000-0000-00000C5B0000}"/>
    <cellStyle name="Laskenta 2 2 2 6" xfId="13371" xr:uid="{00000000-0005-0000-0000-00000D5B0000}"/>
    <cellStyle name="Laskenta 2 2 2 6 2" xfId="20934" xr:uid="{00000000-0005-0000-0000-00000E5B0000}"/>
    <cellStyle name="Laskenta 2 2 2 6 2 2" xfId="13596" xr:uid="{00000000-0005-0000-0000-00000F5B0000}"/>
    <cellStyle name="Laskenta 2 2 2 6 2_DataIX" xfId="33105" xr:uid="{00000000-0005-0000-0000-0000105B0000}"/>
    <cellStyle name="Laskenta 2 2 2 6 3" xfId="21328" xr:uid="{00000000-0005-0000-0000-0000115B0000}"/>
    <cellStyle name="Laskenta 2 2 2 6 3 2" xfId="22072" xr:uid="{00000000-0005-0000-0000-0000125B0000}"/>
    <cellStyle name="Laskenta 2 2 2 6 3_DataIX" xfId="33106" xr:uid="{00000000-0005-0000-0000-0000135B0000}"/>
    <cellStyle name="Laskenta 2 2 2 6 4" xfId="10787" xr:uid="{00000000-0005-0000-0000-0000145B0000}"/>
    <cellStyle name="Laskenta 2 2 2 6 5" xfId="25763" xr:uid="{00000000-0005-0000-0000-0000155B0000}"/>
    <cellStyle name="Laskenta 2 2 2 6 6" xfId="27216" xr:uid="{00000000-0005-0000-0000-0000165B0000}"/>
    <cellStyle name="Laskenta 2 2 2 6 7" xfId="22801" xr:uid="{00000000-0005-0000-0000-0000175B0000}"/>
    <cellStyle name="Laskenta 2 2 2 6_DataIX" xfId="33104" xr:uid="{00000000-0005-0000-0000-0000185B0000}"/>
    <cellStyle name="Laskenta 2 2 2 7" xfId="10708" xr:uid="{00000000-0005-0000-0000-0000195B0000}"/>
    <cellStyle name="Laskenta 2 2 2 7 2" xfId="21024" xr:uid="{00000000-0005-0000-0000-00001A5B0000}"/>
    <cellStyle name="Laskenta 2 2 2 7 2 2" xfId="21447" xr:uid="{00000000-0005-0000-0000-00001B5B0000}"/>
    <cellStyle name="Laskenta 2 2 2 7 2_DataIX" xfId="33108" xr:uid="{00000000-0005-0000-0000-00001C5B0000}"/>
    <cellStyle name="Laskenta 2 2 2 7 3" xfId="10765" xr:uid="{00000000-0005-0000-0000-00001D5B0000}"/>
    <cellStyle name="Laskenta 2 2 2 7 4" xfId="26057" xr:uid="{00000000-0005-0000-0000-00001E5B0000}"/>
    <cellStyle name="Laskenta 2 2 2 7 5" xfId="27311" xr:uid="{00000000-0005-0000-0000-00001F5B0000}"/>
    <cellStyle name="Laskenta 2 2 2 7 6" xfId="23034" xr:uid="{00000000-0005-0000-0000-0000205B0000}"/>
    <cellStyle name="Laskenta 2 2 2 7_DataIX" xfId="33107" xr:uid="{00000000-0005-0000-0000-0000215B0000}"/>
    <cellStyle name="Laskenta 2 2 2 8" xfId="12860" xr:uid="{00000000-0005-0000-0000-0000225B0000}"/>
    <cellStyle name="Laskenta 2 2 2 8 2" xfId="21115" xr:uid="{00000000-0005-0000-0000-0000235B0000}"/>
    <cellStyle name="Laskenta 2 2 2 8 2 2" xfId="11238" xr:uid="{00000000-0005-0000-0000-0000245B0000}"/>
    <cellStyle name="Laskenta 2 2 2 8 2_DataIX" xfId="33110" xr:uid="{00000000-0005-0000-0000-0000255B0000}"/>
    <cellStyle name="Laskenta 2 2 2 8 3" xfId="11295" xr:uid="{00000000-0005-0000-0000-0000265B0000}"/>
    <cellStyle name="Laskenta 2 2 2 8 4" xfId="26211" xr:uid="{00000000-0005-0000-0000-0000275B0000}"/>
    <cellStyle name="Laskenta 2 2 2 8 5" xfId="27384" xr:uid="{00000000-0005-0000-0000-0000285B0000}"/>
    <cellStyle name="Laskenta 2 2 2 8 6" xfId="26768" xr:uid="{00000000-0005-0000-0000-0000295B0000}"/>
    <cellStyle name="Laskenta 2 2 2 8_DataIX" xfId="33109" xr:uid="{00000000-0005-0000-0000-00002A5B0000}"/>
    <cellStyle name="Laskenta 2 2 2 9" xfId="10906" xr:uid="{00000000-0005-0000-0000-00002B5B0000}"/>
    <cellStyle name="Laskenta 2 2 2 9 2" xfId="21069" xr:uid="{00000000-0005-0000-0000-00002C5B0000}"/>
    <cellStyle name="Laskenta 2 2 2 9 2 2" xfId="13447" xr:uid="{00000000-0005-0000-0000-00002D5B0000}"/>
    <cellStyle name="Laskenta 2 2 2 9 2_DataIX" xfId="33112" xr:uid="{00000000-0005-0000-0000-00002E5B0000}"/>
    <cellStyle name="Laskenta 2 2 2 9 3" xfId="22105" xr:uid="{00000000-0005-0000-0000-00002F5B0000}"/>
    <cellStyle name="Laskenta 2 2 2 9 4" xfId="25889" xr:uid="{00000000-0005-0000-0000-0000305B0000}"/>
    <cellStyle name="Laskenta 2 2 2 9 5" xfId="27257" xr:uid="{00000000-0005-0000-0000-0000315B0000}"/>
    <cellStyle name="Laskenta 2 2 2 9 6" xfId="26914" xr:uid="{00000000-0005-0000-0000-0000325B0000}"/>
    <cellStyle name="Laskenta 2 2 2 9_DataIX" xfId="33111" xr:uid="{00000000-0005-0000-0000-0000335B0000}"/>
    <cellStyle name="Laskenta 2 2 2_##Keskeiset" xfId="9426" xr:uid="{00000000-0005-0000-0000-0000345B0000}"/>
    <cellStyle name="Laskenta 2 2 20" xfId="28047" xr:uid="{00000000-0005-0000-0000-0000355B0000}"/>
    <cellStyle name="Laskenta 2 2 21" xfId="28029" xr:uid="{00000000-0005-0000-0000-0000365B0000}"/>
    <cellStyle name="Laskenta 2 2 22" xfId="28139" xr:uid="{00000000-0005-0000-0000-0000375B0000}"/>
    <cellStyle name="Laskenta 2 2 23" xfId="28232" xr:uid="{00000000-0005-0000-0000-0000385B0000}"/>
    <cellStyle name="Laskenta 2 2 24" xfId="28411" xr:uid="{00000000-0005-0000-0000-0000395B0000}"/>
    <cellStyle name="Laskenta 2 2 25" xfId="28355" xr:uid="{00000000-0005-0000-0000-00003A5B0000}"/>
    <cellStyle name="Laskenta 2 2 26" xfId="28343" xr:uid="{00000000-0005-0000-0000-00003B5B0000}"/>
    <cellStyle name="Laskenta 2 2 27" xfId="28798" xr:uid="{00000000-0005-0000-0000-00003C5B0000}"/>
    <cellStyle name="Laskenta 2 2 28" xfId="28783" xr:uid="{00000000-0005-0000-0000-00003D5B0000}"/>
    <cellStyle name="Laskenta 2 2 29" xfId="28885" xr:uid="{00000000-0005-0000-0000-00003E5B0000}"/>
    <cellStyle name="Laskenta 2 2 3" xfId="5247" xr:uid="{00000000-0005-0000-0000-00003F5B0000}"/>
    <cellStyle name="Laskenta 2 2 3 2" xfId="5623" xr:uid="{00000000-0005-0000-0000-0000405B0000}"/>
    <cellStyle name="Laskenta 2 2 3 2 2" xfId="12660" xr:uid="{00000000-0005-0000-0000-0000415B0000}"/>
    <cellStyle name="Laskenta 2 2 3 2 3" xfId="18841" xr:uid="{00000000-0005-0000-0000-0000425B0000}"/>
    <cellStyle name="Laskenta 2 2 3 2 3 2" xfId="21912" xr:uid="{00000000-0005-0000-0000-0000435B0000}"/>
    <cellStyle name="Laskenta 2 2 3 2 3_DataIX" xfId="33115" xr:uid="{00000000-0005-0000-0000-0000445B0000}"/>
    <cellStyle name="Laskenta 2 2 3 2 4" xfId="18965" xr:uid="{00000000-0005-0000-0000-0000455B0000}"/>
    <cellStyle name="Laskenta 2 2 3 2 4 2" xfId="13701" xr:uid="{00000000-0005-0000-0000-0000465B0000}"/>
    <cellStyle name="Laskenta 2 2 3 2 4_DataIX" xfId="33116" xr:uid="{00000000-0005-0000-0000-0000475B0000}"/>
    <cellStyle name="Laskenta 2 2 3 2_DataIX" xfId="33114" xr:uid="{00000000-0005-0000-0000-0000485B0000}"/>
    <cellStyle name="Laskenta 2 2 3 3" xfId="11058" xr:uid="{00000000-0005-0000-0000-0000495B0000}"/>
    <cellStyle name="Laskenta 2 2 3 4" xfId="18577" xr:uid="{00000000-0005-0000-0000-00004A5B0000}"/>
    <cellStyle name="Laskenta 2 2 3 4 2" xfId="21958" xr:uid="{00000000-0005-0000-0000-00004B5B0000}"/>
    <cellStyle name="Laskenta 2 2 3 4_DataIX" xfId="33117" xr:uid="{00000000-0005-0000-0000-00004C5B0000}"/>
    <cellStyle name="Laskenta 2 2 3 5" xfId="20516" xr:uid="{00000000-0005-0000-0000-00004D5B0000}"/>
    <cellStyle name="Laskenta 2 2 3 5 2" xfId="21795" xr:uid="{00000000-0005-0000-0000-00004E5B0000}"/>
    <cellStyle name="Laskenta 2 2 3 5_DataIX" xfId="33118" xr:uid="{00000000-0005-0000-0000-00004F5B0000}"/>
    <cellStyle name="Laskenta 2 2 3_DataIX" xfId="33113" xr:uid="{00000000-0005-0000-0000-0000505B0000}"/>
    <cellStyle name="Laskenta 2 2 30" xfId="28930" xr:uid="{00000000-0005-0000-0000-0000515B0000}"/>
    <cellStyle name="Laskenta 2 2 31" xfId="29036" xr:uid="{00000000-0005-0000-0000-0000525B0000}"/>
    <cellStyle name="Laskenta 2 2 32" xfId="29171" xr:uid="{00000000-0005-0000-0000-0000535B0000}"/>
    <cellStyle name="Laskenta 2 2 4" xfId="5624" xr:uid="{00000000-0005-0000-0000-0000545B0000}"/>
    <cellStyle name="Laskenta 2 2 4 2" xfId="10596" xr:uid="{00000000-0005-0000-0000-0000555B0000}"/>
    <cellStyle name="Laskenta 2 2 4 2 2" xfId="12662" xr:uid="{00000000-0005-0000-0000-0000565B0000}"/>
    <cellStyle name="Laskenta 2 2 4 2 3" xfId="20378" xr:uid="{00000000-0005-0000-0000-0000575B0000}"/>
    <cellStyle name="Laskenta 2 2 4 2 3 2" xfId="11223" xr:uid="{00000000-0005-0000-0000-0000585B0000}"/>
    <cellStyle name="Laskenta 2 2 4 2 3_DataIX" xfId="33121" xr:uid="{00000000-0005-0000-0000-0000595B0000}"/>
    <cellStyle name="Laskenta 2 2 4 2 4" xfId="20989" xr:uid="{00000000-0005-0000-0000-00005A5B0000}"/>
    <cellStyle name="Laskenta 2 2 4 2 4 2" xfId="21812" xr:uid="{00000000-0005-0000-0000-00005B5B0000}"/>
    <cellStyle name="Laskenta 2 2 4 2 4_DataIX" xfId="33122" xr:uid="{00000000-0005-0000-0000-00005C5B0000}"/>
    <cellStyle name="Laskenta 2 2 4 2_DataIX" xfId="33120" xr:uid="{00000000-0005-0000-0000-00005D5B0000}"/>
    <cellStyle name="Laskenta 2 2 4 3" xfId="12661" xr:uid="{00000000-0005-0000-0000-00005E5B0000}"/>
    <cellStyle name="Laskenta 2 2 4 4" xfId="18842" xr:uid="{00000000-0005-0000-0000-00005F5B0000}"/>
    <cellStyle name="Laskenta 2 2 4 4 2" xfId="12616" xr:uid="{00000000-0005-0000-0000-0000605B0000}"/>
    <cellStyle name="Laskenta 2 2 4 4_DataIX" xfId="33123" xr:uid="{00000000-0005-0000-0000-0000615B0000}"/>
    <cellStyle name="Laskenta 2 2 4 5" xfId="20446" xr:uid="{00000000-0005-0000-0000-0000625B0000}"/>
    <cellStyle name="Laskenta 2 2 4 5 2" xfId="20723" xr:uid="{00000000-0005-0000-0000-0000635B0000}"/>
    <cellStyle name="Laskenta 2 2 4 5_DataIX" xfId="33124" xr:uid="{00000000-0005-0000-0000-0000645B0000}"/>
    <cellStyle name="Laskenta 2 2 4_DataIX" xfId="33119" xr:uid="{00000000-0005-0000-0000-0000655B0000}"/>
    <cellStyle name="Laskenta 2 2 5" xfId="5346" xr:uid="{00000000-0005-0000-0000-0000665B0000}"/>
    <cellStyle name="Laskenta 2 2 5 2" xfId="12663" xr:uid="{00000000-0005-0000-0000-0000675B0000}"/>
    <cellStyle name="Laskenta 2 2 5 3" xfId="18670" xr:uid="{00000000-0005-0000-0000-0000685B0000}"/>
    <cellStyle name="Laskenta 2 2 5 3 2" xfId="21751" xr:uid="{00000000-0005-0000-0000-0000695B0000}"/>
    <cellStyle name="Laskenta 2 2 5 3_DataIX" xfId="33126" xr:uid="{00000000-0005-0000-0000-00006A5B0000}"/>
    <cellStyle name="Laskenta 2 2 5 4" xfId="19008" xr:uid="{00000000-0005-0000-0000-00006B5B0000}"/>
    <cellStyle name="Laskenta 2 2 5 4 2" xfId="22101" xr:uid="{00000000-0005-0000-0000-00006C5B0000}"/>
    <cellStyle name="Laskenta 2 2 5 4_DataIX" xfId="33127" xr:uid="{00000000-0005-0000-0000-00006D5B0000}"/>
    <cellStyle name="Laskenta 2 2 5_DataIX" xfId="33125" xr:uid="{00000000-0005-0000-0000-00006E5B0000}"/>
    <cellStyle name="Laskenta 2 2 6" xfId="13301" xr:uid="{00000000-0005-0000-0000-00006F5B0000}"/>
    <cellStyle name="Laskenta 2 2 6 2" xfId="20890" xr:uid="{00000000-0005-0000-0000-0000705B0000}"/>
    <cellStyle name="Laskenta 2 2 6 2 2" xfId="13463" xr:uid="{00000000-0005-0000-0000-0000715B0000}"/>
    <cellStyle name="Laskenta 2 2 6 2_DataIX" xfId="33129" xr:uid="{00000000-0005-0000-0000-0000725B0000}"/>
    <cellStyle name="Laskenta 2 2 6 3" xfId="21278" xr:uid="{00000000-0005-0000-0000-0000735B0000}"/>
    <cellStyle name="Laskenta 2 2 6 3 2" xfId="11112" xr:uid="{00000000-0005-0000-0000-0000745B0000}"/>
    <cellStyle name="Laskenta 2 2 6 3_DataIX" xfId="33130" xr:uid="{00000000-0005-0000-0000-0000755B0000}"/>
    <cellStyle name="Laskenta 2 2 6 4" xfId="11040" xr:uid="{00000000-0005-0000-0000-0000765B0000}"/>
    <cellStyle name="Laskenta 2 2 6 5" xfId="25150" xr:uid="{00000000-0005-0000-0000-0000775B0000}"/>
    <cellStyle name="Laskenta 2 2 6 6" xfId="26956" xr:uid="{00000000-0005-0000-0000-0000785B0000}"/>
    <cellStyle name="Laskenta 2 2 6 7" xfId="22912" xr:uid="{00000000-0005-0000-0000-0000795B0000}"/>
    <cellStyle name="Laskenta 2 2 6_DataIX" xfId="33128" xr:uid="{00000000-0005-0000-0000-00007A5B0000}"/>
    <cellStyle name="Laskenta 2 2 7" xfId="13117" xr:uid="{00000000-0005-0000-0000-00007B5B0000}"/>
    <cellStyle name="Laskenta 2 2 7 2" xfId="20767" xr:uid="{00000000-0005-0000-0000-00007C5B0000}"/>
    <cellStyle name="Laskenta 2 2 7 2 2" xfId="13026" xr:uid="{00000000-0005-0000-0000-00007D5B0000}"/>
    <cellStyle name="Laskenta 2 2 7 2_DataIX" xfId="33132" xr:uid="{00000000-0005-0000-0000-00007E5B0000}"/>
    <cellStyle name="Laskenta 2 2 7 3" xfId="21128" xr:uid="{00000000-0005-0000-0000-00007F5B0000}"/>
    <cellStyle name="Laskenta 2 2 7 3 2" xfId="21495" xr:uid="{00000000-0005-0000-0000-0000805B0000}"/>
    <cellStyle name="Laskenta 2 2 7 3_DataIX" xfId="33133" xr:uid="{00000000-0005-0000-0000-0000815B0000}"/>
    <cellStyle name="Laskenta 2 2 7 4" xfId="12608" xr:uid="{00000000-0005-0000-0000-0000825B0000}"/>
    <cellStyle name="Laskenta 2 2 7 5" xfId="26144" xr:uid="{00000000-0005-0000-0000-0000835B0000}"/>
    <cellStyle name="Laskenta 2 2 7 6" xfId="27355" xr:uid="{00000000-0005-0000-0000-0000845B0000}"/>
    <cellStyle name="Laskenta 2 2 7 7" xfId="26857" xr:uid="{00000000-0005-0000-0000-0000855B0000}"/>
    <cellStyle name="Laskenta 2 2 7_DataIX" xfId="33131" xr:uid="{00000000-0005-0000-0000-0000865B0000}"/>
    <cellStyle name="Laskenta 2 2 8" xfId="13247" xr:uid="{00000000-0005-0000-0000-0000875B0000}"/>
    <cellStyle name="Laskenta 2 2 8 2" xfId="20850" xr:uid="{00000000-0005-0000-0000-0000885B0000}"/>
    <cellStyle name="Laskenta 2 2 8 2 2" xfId="21950" xr:uid="{00000000-0005-0000-0000-0000895B0000}"/>
    <cellStyle name="Laskenta 2 2 8 2_DataIX" xfId="33135" xr:uid="{00000000-0005-0000-0000-00008A5B0000}"/>
    <cellStyle name="Laskenta 2 2 8 3" xfId="21231" xr:uid="{00000000-0005-0000-0000-00008B5B0000}"/>
    <cellStyle name="Laskenta 2 2 8 3 2" xfId="21497" xr:uid="{00000000-0005-0000-0000-00008C5B0000}"/>
    <cellStyle name="Laskenta 2 2 8 3_DataIX" xfId="33136" xr:uid="{00000000-0005-0000-0000-00008D5B0000}"/>
    <cellStyle name="Laskenta 2 2 8 4" xfId="10757" xr:uid="{00000000-0005-0000-0000-00008E5B0000}"/>
    <cellStyle name="Laskenta 2 2 8 5" xfId="25343" xr:uid="{00000000-0005-0000-0000-00008F5B0000}"/>
    <cellStyle name="Laskenta 2 2 8 6" xfId="27057" xr:uid="{00000000-0005-0000-0000-0000905B0000}"/>
    <cellStyle name="Laskenta 2 2 8 7" xfId="27069" xr:uid="{00000000-0005-0000-0000-0000915B0000}"/>
    <cellStyle name="Laskenta 2 2 8_DataIX" xfId="33134" xr:uid="{00000000-0005-0000-0000-0000925B0000}"/>
    <cellStyle name="Laskenta 2 2 9" xfId="10707" xr:uid="{00000000-0005-0000-0000-0000935B0000}"/>
    <cellStyle name="Laskenta 2 2 9 2" xfId="21023" xr:uid="{00000000-0005-0000-0000-0000945B0000}"/>
    <cellStyle name="Laskenta 2 2 9 2 2" xfId="11068" xr:uid="{00000000-0005-0000-0000-0000955B0000}"/>
    <cellStyle name="Laskenta 2 2 9 2_DataIX" xfId="33138" xr:uid="{00000000-0005-0000-0000-0000965B0000}"/>
    <cellStyle name="Laskenta 2 2 9 3" xfId="11245" xr:uid="{00000000-0005-0000-0000-0000975B0000}"/>
    <cellStyle name="Laskenta 2 2 9 4" xfId="25277" xr:uid="{00000000-0005-0000-0000-0000985B0000}"/>
    <cellStyle name="Laskenta 2 2 9 5" xfId="27028" xr:uid="{00000000-0005-0000-0000-0000995B0000}"/>
    <cellStyle name="Laskenta 2 2 9 6" xfId="23113" xr:uid="{00000000-0005-0000-0000-00009A5B0000}"/>
    <cellStyle name="Laskenta 2 2 9_DataIX" xfId="33137" xr:uid="{00000000-0005-0000-0000-00009B5B0000}"/>
    <cellStyle name="Laskenta 2 2_##Keskeiset" xfId="9425" xr:uid="{00000000-0005-0000-0000-00009C5B0000}"/>
    <cellStyle name="Laskenta 2 20" xfId="26801" xr:uid="{00000000-0005-0000-0000-00009D5B0000}"/>
    <cellStyle name="Laskenta 2 21" xfId="27900" xr:uid="{00000000-0005-0000-0000-00009E5B0000}"/>
    <cellStyle name="Laskenta 2 22" xfId="28048" xr:uid="{00000000-0005-0000-0000-00009F5B0000}"/>
    <cellStyle name="Laskenta 2 23" xfId="28028" xr:uid="{00000000-0005-0000-0000-0000A05B0000}"/>
    <cellStyle name="Laskenta 2 24" xfId="28133" xr:uid="{00000000-0005-0000-0000-0000A15B0000}"/>
    <cellStyle name="Laskenta 2 25" xfId="28231" xr:uid="{00000000-0005-0000-0000-0000A25B0000}"/>
    <cellStyle name="Laskenta 2 26" xfId="28412" xr:uid="{00000000-0005-0000-0000-0000A35B0000}"/>
    <cellStyle name="Laskenta 2 27" xfId="28432" xr:uid="{00000000-0005-0000-0000-0000A45B0000}"/>
    <cellStyle name="Laskenta 2 28" xfId="28344" xr:uid="{00000000-0005-0000-0000-0000A55B0000}"/>
    <cellStyle name="Laskenta 2 29" xfId="28799" xr:uid="{00000000-0005-0000-0000-0000A65B0000}"/>
    <cellStyle name="Laskenta 2 3" xfId="269" xr:uid="{00000000-0005-0000-0000-0000A75B0000}"/>
    <cellStyle name="Laskenta 2 3 10" xfId="13843" xr:uid="{00000000-0005-0000-0000-0000A85B0000}"/>
    <cellStyle name="Laskenta 2 3 10 2" xfId="13684" xr:uid="{00000000-0005-0000-0000-0000A95B0000}"/>
    <cellStyle name="Laskenta 2 3 10 3" xfId="26539" xr:uid="{00000000-0005-0000-0000-0000AA5B0000}"/>
    <cellStyle name="Laskenta 2 3 10 4" xfId="27519" xr:uid="{00000000-0005-0000-0000-0000AB5B0000}"/>
    <cellStyle name="Laskenta 2 3 10 5" xfId="22746" xr:uid="{00000000-0005-0000-0000-0000AC5B0000}"/>
    <cellStyle name="Laskenta 2 3 10_DataIX" xfId="33139" xr:uid="{00000000-0005-0000-0000-0000AD5B0000}"/>
    <cellStyle name="Laskenta 2 3 11" xfId="13810" xr:uid="{00000000-0005-0000-0000-0000AE5B0000}"/>
    <cellStyle name="Laskenta 2 3 11 2" xfId="13465" xr:uid="{00000000-0005-0000-0000-0000AF5B0000}"/>
    <cellStyle name="Laskenta 2 3 11 3" xfId="25714" xr:uid="{00000000-0005-0000-0000-0000B05B0000}"/>
    <cellStyle name="Laskenta 2 3 11 4" xfId="27206" xr:uid="{00000000-0005-0000-0000-0000B15B0000}"/>
    <cellStyle name="Laskenta 2 3 11 5" xfId="27598" xr:uid="{00000000-0005-0000-0000-0000B25B0000}"/>
    <cellStyle name="Laskenta 2 3 11_DataIX" xfId="33140" xr:uid="{00000000-0005-0000-0000-0000B35B0000}"/>
    <cellStyle name="Laskenta 2 3 12" xfId="12565" xr:uid="{00000000-0005-0000-0000-0000B45B0000}"/>
    <cellStyle name="Laskenta 2 3 13" xfId="13627" xr:uid="{00000000-0005-0000-0000-0000B55B0000}"/>
    <cellStyle name="Laskenta 2 3 14" xfId="22327" xr:uid="{00000000-0005-0000-0000-0000B65B0000}"/>
    <cellStyle name="Laskenta 2 3 15" xfId="22579" xr:uid="{00000000-0005-0000-0000-0000B75B0000}"/>
    <cellStyle name="Laskenta 2 3 16" xfId="22703" xr:uid="{00000000-0005-0000-0000-0000B85B0000}"/>
    <cellStyle name="Laskenta 2 3 17" xfId="22395" xr:uid="{00000000-0005-0000-0000-0000B95B0000}"/>
    <cellStyle name="Laskenta 2 3 18" xfId="26800" xr:uid="{00000000-0005-0000-0000-0000BA5B0000}"/>
    <cellStyle name="Laskenta 2 3 19" xfId="27903" xr:uid="{00000000-0005-0000-0000-0000BB5B0000}"/>
    <cellStyle name="Laskenta 2 3 2" xfId="5245" xr:uid="{00000000-0005-0000-0000-0000BC5B0000}"/>
    <cellStyle name="Laskenta 2 3 2 2" xfId="9429" xr:uid="{00000000-0005-0000-0000-0000BD5B0000}"/>
    <cellStyle name="Laskenta 2 3 2 3" xfId="18575" xr:uid="{00000000-0005-0000-0000-0000BE5B0000}"/>
    <cellStyle name="Laskenta 2 3 2 3 2" xfId="21928" xr:uid="{00000000-0005-0000-0000-0000BF5B0000}"/>
    <cellStyle name="Laskenta 2 3 2 3_DataIX" xfId="33142" xr:uid="{00000000-0005-0000-0000-0000C05B0000}"/>
    <cellStyle name="Laskenta 2 3 2 4" xfId="20517" xr:uid="{00000000-0005-0000-0000-0000C15B0000}"/>
    <cellStyle name="Laskenta 2 3 2 4 2" xfId="13612" xr:uid="{00000000-0005-0000-0000-0000C25B0000}"/>
    <cellStyle name="Laskenta 2 3 2 4_DataIX" xfId="33143" xr:uid="{00000000-0005-0000-0000-0000C35B0000}"/>
    <cellStyle name="Laskenta 2 3 2_DataIX" xfId="33141" xr:uid="{00000000-0005-0000-0000-0000C45B0000}"/>
    <cellStyle name="Laskenta 2 3 20" xfId="28045" xr:uid="{00000000-0005-0000-0000-0000C55B0000}"/>
    <cellStyle name="Laskenta 2 3 21" xfId="28030" xr:uid="{00000000-0005-0000-0000-0000C65B0000}"/>
    <cellStyle name="Laskenta 2 3 22" xfId="28141" xr:uid="{00000000-0005-0000-0000-0000C75B0000}"/>
    <cellStyle name="Laskenta 2 3 23" xfId="28234" xr:uid="{00000000-0005-0000-0000-0000C85B0000}"/>
    <cellStyle name="Laskenta 2 3 24" xfId="28409" xr:uid="{00000000-0005-0000-0000-0000C95B0000}"/>
    <cellStyle name="Laskenta 2 3 25" xfId="28356" xr:uid="{00000000-0005-0000-0000-0000CA5B0000}"/>
    <cellStyle name="Laskenta 2 3 26" xfId="28341" xr:uid="{00000000-0005-0000-0000-0000CB5B0000}"/>
    <cellStyle name="Laskenta 2 3 27" xfId="28631" xr:uid="{00000000-0005-0000-0000-0000CC5B0000}"/>
    <cellStyle name="Laskenta 2 3 28" xfId="28942" xr:uid="{00000000-0005-0000-0000-0000CD5B0000}"/>
    <cellStyle name="Laskenta 2 3 29" xfId="28886" xr:uid="{00000000-0005-0000-0000-0000CE5B0000}"/>
    <cellStyle name="Laskenta 2 3 3" xfId="5348" xr:uid="{00000000-0005-0000-0000-0000CF5B0000}"/>
    <cellStyle name="Laskenta 2 3 3 2" xfId="12664" xr:uid="{00000000-0005-0000-0000-0000D05B0000}"/>
    <cellStyle name="Laskenta 2 3 3 3" xfId="18672" xr:uid="{00000000-0005-0000-0000-0000D15B0000}"/>
    <cellStyle name="Laskenta 2 3 3 3 2" xfId="22222" xr:uid="{00000000-0005-0000-0000-0000D25B0000}"/>
    <cellStyle name="Laskenta 2 3 3 3_DataIX" xfId="33145" xr:uid="{00000000-0005-0000-0000-0000D35B0000}"/>
    <cellStyle name="Laskenta 2 3 3 4" xfId="20485" xr:uid="{00000000-0005-0000-0000-0000D45B0000}"/>
    <cellStyle name="Laskenta 2 3 3 4 2" xfId="21981" xr:uid="{00000000-0005-0000-0000-0000D55B0000}"/>
    <cellStyle name="Laskenta 2 3 3 4_DataIX" xfId="33146" xr:uid="{00000000-0005-0000-0000-0000D65B0000}"/>
    <cellStyle name="Laskenta 2 3 3_DataIX" xfId="33144" xr:uid="{00000000-0005-0000-0000-0000D75B0000}"/>
    <cellStyle name="Laskenta 2 3 30" xfId="28860" xr:uid="{00000000-0005-0000-0000-0000D85B0000}"/>
    <cellStyle name="Laskenta 2 3 31" xfId="29038" xr:uid="{00000000-0005-0000-0000-0000D95B0000}"/>
    <cellStyle name="Laskenta 2 3 32" xfId="29169" xr:uid="{00000000-0005-0000-0000-0000DA5B0000}"/>
    <cellStyle name="Laskenta 2 3 4" xfId="13388" xr:uid="{00000000-0005-0000-0000-0000DB5B0000}"/>
    <cellStyle name="Laskenta 2 3 4 2" xfId="20946" xr:uid="{00000000-0005-0000-0000-0000DC5B0000}"/>
    <cellStyle name="Laskenta 2 3 4 2 2" xfId="21544" xr:uid="{00000000-0005-0000-0000-0000DD5B0000}"/>
    <cellStyle name="Laskenta 2 3 4 2_DataIX" xfId="33148" xr:uid="{00000000-0005-0000-0000-0000DE5B0000}"/>
    <cellStyle name="Laskenta 2 3 4 3" xfId="21343" xr:uid="{00000000-0005-0000-0000-0000DF5B0000}"/>
    <cellStyle name="Laskenta 2 3 4 3 2" xfId="20685" xr:uid="{00000000-0005-0000-0000-0000E05B0000}"/>
    <cellStyle name="Laskenta 2 3 4 3_DataIX" xfId="33149" xr:uid="{00000000-0005-0000-0000-0000E15B0000}"/>
    <cellStyle name="Laskenta 2 3 4 4" xfId="13692" xr:uid="{00000000-0005-0000-0000-0000E25B0000}"/>
    <cellStyle name="Laskenta 2 3 4 5" xfId="25152" xr:uid="{00000000-0005-0000-0000-0000E35B0000}"/>
    <cellStyle name="Laskenta 2 3 4 6" xfId="26958" xr:uid="{00000000-0005-0000-0000-0000E45B0000}"/>
    <cellStyle name="Laskenta 2 3 4 7" xfId="22967" xr:uid="{00000000-0005-0000-0000-0000E55B0000}"/>
    <cellStyle name="Laskenta 2 3 4_DataIX" xfId="33147" xr:uid="{00000000-0005-0000-0000-0000E65B0000}"/>
    <cellStyle name="Laskenta 2 3 5" xfId="13254" xr:uid="{00000000-0005-0000-0000-0000E75B0000}"/>
    <cellStyle name="Laskenta 2 3 5 2" xfId="20852" xr:uid="{00000000-0005-0000-0000-0000E85B0000}"/>
    <cellStyle name="Laskenta 2 3 5 2 2" xfId="21915" xr:uid="{00000000-0005-0000-0000-0000E95B0000}"/>
    <cellStyle name="Laskenta 2 3 5 2_DataIX" xfId="33151" xr:uid="{00000000-0005-0000-0000-0000EA5B0000}"/>
    <cellStyle name="Laskenta 2 3 5 3" xfId="21232" xr:uid="{00000000-0005-0000-0000-0000EB5B0000}"/>
    <cellStyle name="Laskenta 2 3 5 3 2" xfId="21822" xr:uid="{00000000-0005-0000-0000-0000EC5B0000}"/>
    <cellStyle name="Laskenta 2 3 5 3_DataIX" xfId="33152" xr:uid="{00000000-0005-0000-0000-0000ED5B0000}"/>
    <cellStyle name="Laskenta 2 3 5 4" xfId="11342" xr:uid="{00000000-0005-0000-0000-0000EE5B0000}"/>
    <cellStyle name="Laskenta 2 3 5 5" xfId="26479" xr:uid="{00000000-0005-0000-0000-0000EF5B0000}"/>
    <cellStyle name="Laskenta 2 3 5 6" xfId="27497" xr:uid="{00000000-0005-0000-0000-0000F05B0000}"/>
    <cellStyle name="Laskenta 2 3 5 7" xfId="23063" xr:uid="{00000000-0005-0000-0000-0000F15B0000}"/>
    <cellStyle name="Laskenta 2 3 5_DataIX" xfId="33150" xr:uid="{00000000-0005-0000-0000-0000F25B0000}"/>
    <cellStyle name="Laskenta 2 3 6" xfId="13309" xr:uid="{00000000-0005-0000-0000-0000F35B0000}"/>
    <cellStyle name="Laskenta 2 3 6 2" xfId="20897" xr:uid="{00000000-0005-0000-0000-0000F45B0000}"/>
    <cellStyle name="Laskenta 2 3 6 2 2" xfId="21868" xr:uid="{00000000-0005-0000-0000-0000F55B0000}"/>
    <cellStyle name="Laskenta 2 3 6 2_DataIX" xfId="33154" xr:uid="{00000000-0005-0000-0000-0000F65B0000}"/>
    <cellStyle name="Laskenta 2 3 6 3" xfId="21285" xr:uid="{00000000-0005-0000-0000-0000F75B0000}"/>
    <cellStyle name="Laskenta 2 3 6 3 2" xfId="12702" xr:uid="{00000000-0005-0000-0000-0000F85B0000}"/>
    <cellStyle name="Laskenta 2 3 6 3_DataIX" xfId="33155" xr:uid="{00000000-0005-0000-0000-0000F95B0000}"/>
    <cellStyle name="Laskenta 2 3 6 4" xfId="10945" xr:uid="{00000000-0005-0000-0000-0000FA5B0000}"/>
    <cellStyle name="Laskenta 2 3 6 5" xfId="26293" xr:uid="{00000000-0005-0000-0000-0000FB5B0000}"/>
    <cellStyle name="Laskenta 2 3 6 6" xfId="27407" xr:uid="{00000000-0005-0000-0000-0000FC5B0000}"/>
    <cellStyle name="Laskenta 2 3 6 7" xfId="26839" xr:uid="{00000000-0005-0000-0000-0000FD5B0000}"/>
    <cellStyle name="Laskenta 2 3 6_DataIX" xfId="33153" xr:uid="{00000000-0005-0000-0000-0000FE5B0000}"/>
    <cellStyle name="Laskenta 2 3 7" xfId="10709" xr:uid="{00000000-0005-0000-0000-0000FF5B0000}"/>
    <cellStyle name="Laskenta 2 3 7 2" xfId="21025" xr:uid="{00000000-0005-0000-0000-0000005C0000}"/>
    <cellStyle name="Laskenta 2 3 7 2 2" xfId="11046" xr:uid="{00000000-0005-0000-0000-0000015C0000}"/>
    <cellStyle name="Laskenta 2 3 7 2_DataIX" xfId="33157" xr:uid="{00000000-0005-0000-0000-0000025C0000}"/>
    <cellStyle name="Laskenta 2 3 7 3" xfId="21486" xr:uid="{00000000-0005-0000-0000-0000035C0000}"/>
    <cellStyle name="Laskenta 2 3 7 4" xfId="25456" xr:uid="{00000000-0005-0000-0000-0000045C0000}"/>
    <cellStyle name="Laskenta 2 3 7 5" xfId="27107" xr:uid="{00000000-0005-0000-0000-0000055C0000}"/>
    <cellStyle name="Laskenta 2 3 7 6" xfId="22806" xr:uid="{00000000-0005-0000-0000-0000065C0000}"/>
    <cellStyle name="Laskenta 2 3 7_DataIX" xfId="33156" xr:uid="{00000000-0005-0000-0000-0000075C0000}"/>
    <cellStyle name="Laskenta 2 3 8" xfId="12859" xr:uid="{00000000-0005-0000-0000-0000085C0000}"/>
    <cellStyle name="Laskenta 2 3 8 2" xfId="21114" xr:uid="{00000000-0005-0000-0000-0000095C0000}"/>
    <cellStyle name="Laskenta 2 3 8 2 2" xfId="12982" xr:uid="{00000000-0005-0000-0000-00000A5C0000}"/>
    <cellStyle name="Laskenta 2 3 8 2_DataIX" xfId="33159" xr:uid="{00000000-0005-0000-0000-00000B5C0000}"/>
    <cellStyle name="Laskenta 2 3 8 3" xfId="13458" xr:uid="{00000000-0005-0000-0000-00000C5C0000}"/>
    <cellStyle name="Laskenta 2 3 8 4" xfId="26525" xr:uid="{00000000-0005-0000-0000-00000D5C0000}"/>
    <cellStyle name="Laskenta 2 3 8 5" xfId="27515" xr:uid="{00000000-0005-0000-0000-00000E5C0000}"/>
    <cellStyle name="Laskenta 2 3 8 6" xfId="23126" xr:uid="{00000000-0005-0000-0000-00000F5C0000}"/>
    <cellStyle name="Laskenta 2 3 8_DataIX" xfId="33158" xr:uid="{00000000-0005-0000-0000-0000105C0000}"/>
    <cellStyle name="Laskenta 2 3 9" xfId="13675" xr:uid="{00000000-0005-0000-0000-0000115C0000}"/>
    <cellStyle name="Laskenta 2 3 9 2" xfId="21375" xr:uid="{00000000-0005-0000-0000-0000125C0000}"/>
    <cellStyle name="Laskenta 2 3 9 2 2" xfId="13757" xr:uid="{00000000-0005-0000-0000-0000135C0000}"/>
    <cellStyle name="Laskenta 2 3 9 2_DataIX" xfId="33161" xr:uid="{00000000-0005-0000-0000-0000145C0000}"/>
    <cellStyle name="Laskenta 2 3 9 3" xfId="10944" xr:uid="{00000000-0005-0000-0000-0000155C0000}"/>
    <cellStyle name="Laskenta 2 3 9 4" xfId="26399" xr:uid="{00000000-0005-0000-0000-0000165C0000}"/>
    <cellStyle name="Laskenta 2 3 9 5" xfId="27455" xr:uid="{00000000-0005-0000-0000-0000175C0000}"/>
    <cellStyle name="Laskenta 2 3 9 6" xfId="22843" xr:uid="{00000000-0005-0000-0000-0000185C0000}"/>
    <cellStyle name="Laskenta 2 3 9_DataIX" xfId="33160" xr:uid="{00000000-0005-0000-0000-0000195C0000}"/>
    <cellStyle name="Laskenta 2 3_##Keskeiset" xfId="9428" xr:uid="{00000000-0005-0000-0000-00001A5C0000}"/>
    <cellStyle name="Laskenta 2 30" xfId="28943" xr:uid="{00000000-0005-0000-0000-00001B5C0000}"/>
    <cellStyle name="Laskenta 2 31" xfId="28964" xr:uid="{00000000-0005-0000-0000-00001C5C0000}"/>
    <cellStyle name="Laskenta 2 32" xfId="28861" xr:uid="{00000000-0005-0000-0000-00001D5C0000}"/>
    <cellStyle name="Laskenta 2 33" xfId="29035" xr:uid="{00000000-0005-0000-0000-00001E5C0000}"/>
    <cellStyle name="Laskenta 2 34" xfId="29172" xr:uid="{00000000-0005-0000-0000-00001F5C0000}"/>
    <cellStyle name="Laskenta 2 4" xfId="4201" xr:uid="{00000000-0005-0000-0000-0000205C0000}"/>
    <cellStyle name="Laskenta 2 4 2" xfId="5625" xr:uid="{00000000-0005-0000-0000-0000215C0000}"/>
    <cellStyle name="Laskenta 2 4 2 2" xfId="12665" xr:uid="{00000000-0005-0000-0000-0000225C0000}"/>
    <cellStyle name="Laskenta 2 4 2 3" xfId="18843" xr:uid="{00000000-0005-0000-0000-0000235C0000}"/>
    <cellStyle name="Laskenta 2 4 2 3 2" xfId="21401" xr:uid="{00000000-0005-0000-0000-0000245C0000}"/>
    <cellStyle name="Laskenta 2 4 2 3_DataIX" xfId="33164" xr:uid="{00000000-0005-0000-0000-0000255C0000}"/>
    <cellStyle name="Laskenta 2 4 2 4" xfId="18964" xr:uid="{00000000-0005-0000-0000-0000265C0000}"/>
    <cellStyle name="Laskenta 2 4 2 4 2" xfId="13660" xr:uid="{00000000-0005-0000-0000-0000275C0000}"/>
    <cellStyle name="Laskenta 2 4 2 4_DataIX" xfId="33165" xr:uid="{00000000-0005-0000-0000-0000285C0000}"/>
    <cellStyle name="Laskenta 2 4 2_DataIX" xfId="33163" xr:uid="{00000000-0005-0000-0000-0000295C0000}"/>
    <cellStyle name="Laskenta 2 4 3" xfId="10595" xr:uid="{00000000-0005-0000-0000-00002A5C0000}"/>
    <cellStyle name="Laskenta 2 4 3 2" xfId="12666" xr:uid="{00000000-0005-0000-0000-00002B5C0000}"/>
    <cellStyle name="Laskenta 2 4 3 3" xfId="20377" xr:uid="{00000000-0005-0000-0000-00002C5C0000}"/>
    <cellStyle name="Laskenta 2 4 3 3 2" xfId="21412" xr:uid="{00000000-0005-0000-0000-00002D5C0000}"/>
    <cellStyle name="Laskenta 2 4 3 3_DataIX" xfId="33167" xr:uid="{00000000-0005-0000-0000-00002E5C0000}"/>
    <cellStyle name="Laskenta 2 4 3 4" xfId="20988" xr:uid="{00000000-0005-0000-0000-00002F5C0000}"/>
    <cellStyle name="Laskenta 2 4 3 4 2" xfId="13781" xr:uid="{00000000-0005-0000-0000-0000305C0000}"/>
    <cellStyle name="Laskenta 2 4 3 4_DataIX" xfId="33168" xr:uid="{00000000-0005-0000-0000-0000315C0000}"/>
    <cellStyle name="Laskenta 2 4 3_DataIX" xfId="33166" xr:uid="{00000000-0005-0000-0000-0000325C0000}"/>
    <cellStyle name="Laskenta 2 4 4" xfId="11059" xr:uid="{00000000-0005-0000-0000-0000335C0000}"/>
    <cellStyle name="Laskenta 2 4 5" xfId="17551" xr:uid="{00000000-0005-0000-0000-0000345C0000}"/>
    <cellStyle name="Laskenta 2 4_DataIX" xfId="33162" xr:uid="{00000000-0005-0000-0000-0000355C0000}"/>
    <cellStyle name="Laskenta 2 5" xfId="5183" xr:uid="{00000000-0005-0000-0000-0000365C0000}"/>
    <cellStyle name="Laskenta 2 5 2" xfId="5626" xr:uid="{00000000-0005-0000-0000-0000375C0000}"/>
    <cellStyle name="Laskenta 2 5 2 2" xfId="12667" xr:uid="{00000000-0005-0000-0000-0000385C0000}"/>
    <cellStyle name="Laskenta 2 5 2 3" xfId="18844" xr:uid="{00000000-0005-0000-0000-0000395C0000}"/>
    <cellStyle name="Laskenta 2 5 2 3 2" xfId="20728" xr:uid="{00000000-0005-0000-0000-00003A5C0000}"/>
    <cellStyle name="Laskenta 2 5 2 3_DataIX" xfId="33171" xr:uid="{00000000-0005-0000-0000-00003B5C0000}"/>
    <cellStyle name="Laskenta 2 5 2 4" xfId="20445" xr:uid="{00000000-0005-0000-0000-00003C5C0000}"/>
    <cellStyle name="Laskenta 2 5 2 4 2" xfId="21414" xr:uid="{00000000-0005-0000-0000-00003D5C0000}"/>
    <cellStyle name="Laskenta 2 5 2 4_DataIX" xfId="33172" xr:uid="{00000000-0005-0000-0000-00003E5C0000}"/>
    <cellStyle name="Laskenta 2 5 2_DataIX" xfId="33170" xr:uid="{00000000-0005-0000-0000-00003F5C0000}"/>
    <cellStyle name="Laskenta 2 5 3" xfId="10594" xr:uid="{00000000-0005-0000-0000-0000405C0000}"/>
    <cellStyle name="Laskenta 2 5 3 2" xfId="12668" xr:uid="{00000000-0005-0000-0000-0000415C0000}"/>
    <cellStyle name="Laskenta 2 5 3 3" xfId="20376" xr:uid="{00000000-0005-0000-0000-0000425C0000}"/>
    <cellStyle name="Laskenta 2 5 3 3 2" xfId="21480" xr:uid="{00000000-0005-0000-0000-0000435C0000}"/>
    <cellStyle name="Laskenta 2 5 3 3_DataIX" xfId="33174" xr:uid="{00000000-0005-0000-0000-0000445C0000}"/>
    <cellStyle name="Laskenta 2 5 3 4" xfId="20987" xr:uid="{00000000-0005-0000-0000-0000455C0000}"/>
    <cellStyle name="Laskenta 2 5 3 4 2" xfId="12737" xr:uid="{00000000-0005-0000-0000-0000465C0000}"/>
    <cellStyle name="Laskenta 2 5 3 4_DataIX" xfId="33175" xr:uid="{00000000-0005-0000-0000-0000475C0000}"/>
    <cellStyle name="Laskenta 2 5 3_DataIX" xfId="33173" xr:uid="{00000000-0005-0000-0000-0000485C0000}"/>
    <cellStyle name="Laskenta 2 5 4" xfId="11060" xr:uid="{00000000-0005-0000-0000-0000495C0000}"/>
    <cellStyle name="Laskenta 2 5 5" xfId="18513" xr:uid="{00000000-0005-0000-0000-00004A5C0000}"/>
    <cellStyle name="Laskenta 2 5_DataIX" xfId="33169" xr:uid="{00000000-0005-0000-0000-00004B5C0000}"/>
    <cellStyle name="Laskenta 2 6" xfId="5178" xr:uid="{00000000-0005-0000-0000-00004C5C0000}"/>
    <cellStyle name="Laskenta 2 6 2" xfId="9430" xr:uid="{00000000-0005-0000-0000-00004D5C0000}"/>
    <cellStyle name="Laskenta 2 6 3" xfId="18508" xr:uid="{00000000-0005-0000-0000-00004E5C0000}"/>
    <cellStyle name="Laskenta 2 6_DataIX" xfId="33176" xr:uid="{00000000-0005-0000-0000-00004F5C0000}"/>
    <cellStyle name="Laskenta 2 7" xfId="5181" xr:uid="{00000000-0005-0000-0000-0000505C0000}"/>
    <cellStyle name="Laskenta 2 7 2" xfId="9431" xr:uid="{00000000-0005-0000-0000-0000515C0000}"/>
    <cellStyle name="Laskenta 2 7 3" xfId="18511" xr:uid="{00000000-0005-0000-0000-0000525C0000}"/>
    <cellStyle name="Laskenta 2 7_DataIX" xfId="33177" xr:uid="{00000000-0005-0000-0000-0000535C0000}"/>
    <cellStyle name="Laskenta 2 8" xfId="5248" xr:uid="{00000000-0005-0000-0000-0000545C0000}"/>
    <cellStyle name="Laskenta 2 8 2" xfId="9432" xr:uid="{00000000-0005-0000-0000-0000555C0000}"/>
    <cellStyle name="Laskenta 2 8 3" xfId="18578" xr:uid="{00000000-0005-0000-0000-0000565C0000}"/>
    <cellStyle name="Laskenta 2 8 3 2" xfId="22259" xr:uid="{00000000-0005-0000-0000-0000575C0000}"/>
    <cellStyle name="Laskenta 2 8 3_DataIX" xfId="33179" xr:uid="{00000000-0005-0000-0000-0000585C0000}"/>
    <cellStyle name="Laskenta 2 8 4" xfId="19036" xr:uid="{00000000-0005-0000-0000-0000595C0000}"/>
    <cellStyle name="Laskenta 2 8 4 2" xfId="20693" xr:uid="{00000000-0005-0000-0000-00005A5C0000}"/>
    <cellStyle name="Laskenta 2 8 4_DataIX" xfId="33180" xr:uid="{00000000-0005-0000-0000-00005B5C0000}"/>
    <cellStyle name="Laskenta 2 8_DataIX" xfId="33178" xr:uid="{00000000-0005-0000-0000-00005C5C0000}"/>
    <cellStyle name="Laskenta 2 9" xfId="5176" xr:uid="{00000000-0005-0000-0000-00005D5C0000}"/>
    <cellStyle name="Laskenta 2 9 2" xfId="9433" xr:uid="{00000000-0005-0000-0000-00005E5C0000}"/>
    <cellStyle name="Laskenta 2 9 3" xfId="18506" xr:uid="{00000000-0005-0000-0000-00005F5C0000}"/>
    <cellStyle name="Laskenta 2 9_DataIX" xfId="33181" xr:uid="{00000000-0005-0000-0000-0000605C0000}"/>
    <cellStyle name="Laskenta 2_##Keskeiset" xfId="9424" xr:uid="{00000000-0005-0000-0000-0000615C0000}"/>
    <cellStyle name="Laskenta 3" xfId="208" xr:uid="{00000000-0005-0000-0000-0000625C0000}"/>
    <cellStyle name="Laskenta 3 10" xfId="13806" xr:uid="{00000000-0005-0000-0000-0000635C0000}"/>
    <cellStyle name="Laskenta 3 10 2" xfId="20628" xr:uid="{00000000-0005-0000-0000-0000645C0000}"/>
    <cellStyle name="Laskenta 3 10 3" xfId="25276" xr:uid="{00000000-0005-0000-0000-0000655C0000}"/>
    <cellStyle name="Laskenta 3 10 4" xfId="27027" xr:uid="{00000000-0005-0000-0000-0000665C0000}"/>
    <cellStyle name="Laskenta 3 10 5" xfId="22961" xr:uid="{00000000-0005-0000-0000-0000675C0000}"/>
    <cellStyle name="Laskenta 3 10_DataIX" xfId="33182" xr:uid="{00000000-0005-0000-0000-0000685C0000}"/>
    <cellStyle name="Laskenta 3 11" xfId="20317" xr:uid="{00000000-0005-0000-0000-0000695C0000}"/>
    <cellStyle name="Laskenta 3 11 2" xfId="21976" xr:uid="{00000000-0005-0000-0000-00006A5C0000}"/>
    <cellStyle name="Laskenta 3 11 3" xfId="25819" xr:uid="{00000000-0005-0000-0000-00006B5C0000}"/>
    <cellStyle name="Laskenta 3 11 4" xfId="27235" xr:uid="{00000000-0005-0000-0000-00006C5C0000}"/>
    <cellStyle name="Laskenta 3 11 5" xfId="22953" xr:uid="{00000000-0005-0000-0000-00006D5C0000}"/>
    <cellStyle name="Laskenta 3 11_DataIX" xfId="33183" xr:uid="{00000000-0005-0000-0000-00006E5C0000}"/>
    <cellStyle name="Laskenta 3 12" xfId="10960" xr:uid="{00000000-0005-0000-0000-00006F5C0000}"/>
    <cellStyle name="Laskenta 3 13" xfId="22328" xr:uid="{00000000-0005-0000-0000-0000705C0000}"/>
    <cellStyle name="Laskenta 3 14" xfId="22578" xr:uid="{00000000-0005-0000-0000-0000715C0000}"/>
    <cellStyle name="Laskenta 3 15" xfId="22710" xr:uid="{00000000-0005-0000-0000-0000725C0000}"/>
    <cellStyle name="Laskenta 3 16" xfId="22451" xr:uid="{00000000-0005-0000-0000-0000735C0000}"/>
    <cellStyle name="Laskenta 3 17" xfId="22728" xr:uid="{00000000-0005-0000-0000-0000745C0000}"/>
    <cellStyle name="Laskenta 3 18" xfId="27904" xr:uid="{00000000-0005-0000-0000-0000755C0000}"/>
    <cellStyle name="Laskenta 3 19" xfId="28044" xr:uid="{00000000-0005-0000-0000-0000765C0000}"/>
    <cellStyle name="Laskenta 3 2" xfId="298" xr:uid="{00000000-0005-0000-0000-0000775C0000}"/>
    <cellStyle name="Laskenta 3 2 10" xfId="22074" xr:uid="{00000000-0005-0000-0000-0000785C0000}"/>
    <cellStyle name="Laskenta 3 2 10 2" xfId="26248" xr:uid="{00000000-0005-0000-0000-0000795C0000}"/>
    <cellStyle name="Laskenta 3 2 10 3" xfId="27392" xr:uid="{00000000-0005-0000-0000-00007A5C0000}"/>
    <cellStyle name="Laskenta 3 2 10 4" xfId="23036" xr:uid="{00000000-0005-0000-0000-00007B5C0000}"/>
    <cellStyle name="Laskenta 3 2 10_DataIX" xfId="33184" xr:uid="{00000000-0005-0000-0000-00007C5C0000}"/>
    <cellStyle name="Laskenta 3 2 11" xfId="22329" xr:uid="{00000000-0005-0000-0000-00007D5C0000}"/>
    <cellStyle name="Laskenta 3 2 11 2" xfId="25438" xr:uid="{00000000-0005-0000-0000-00007E5C0000}"/>
    <cellStyle name="Laskenta 3 2 11 3" xfId="27097" xr:uid="{00000000-0005-0000-0000-00007F5C0000}"/>
    <cellStyle name="Laskenta 3 2 11 4" xfId="23082" xr:uid="{00000000-0005-0000-0000-0000805C0000}"/>
    <cellStyle name="Laskenta 3 2 11_DataIX" xfId="33185" xr:uid="{00000000-0005-0000-0000-0000815C0000}"/>
    <cellStyle name="Laskenta 3 2 12" xfId="22577" xr:uid="{00000000-0005-0000-0000-0000825C0000}"/>
    <cellStyle name="Laskenta 3 2 13" xfId="22499" xr:uid="{00000000-0005-0000-0000-0000835C0000}"/>
    <cellStyle name="Laskenta 3 2 14" xfId="22396" xr:uid="{00000000-0005-0000-0000-0000845C0000}"/>
    <cellStyle name="Laskenta 3 2 15" xfId="22853" xr:uid="{00000000-0005-0000-0000-0000855C0000}"/>
    <cellStyle name="Laskenta 3 2 16" xfId="27905" xr:uid="{00000000-0005-0000-0000-0000865C0000}"/>
    <cellStyle name="Laskenta 3 2 17" xfId="28043" xr:uid="{00000000-0005-0000-0000-0000875C0000}"/>
    <cellStyle name="Laskenta 3 2 18" xfId="28236" xr:uid="{00000000-0005-0000-0000-0000885C0000}"/>
    <cellStyle name="Laskenta 3 2 19" xfId="28795" xr:uid="{00000000-0005-0000-0000-0000895C0000}"/>
    <cellStyle name="Laskenta 3 2 2" xfId="5244" xr:uid="{00000000-0005-0000-0000-00008A5C0000}"/>
    <cellStyle name="Laskenta 3 2 2 2" xfId="5627" xr:uid="{00000000-0005-0000-0000-00008B5C0000}"/>
    <cellStyle name="Laskenta 3 2 2 2 2" xfId="12670" xr:uid="{00000000-0005-0000-0000-00008C5C0000}"/>
    <cellStyle name="Laskenta 3 2 2 2 3" xfId="18845" xr:uid="{00000000-0005-0000-0000-00008D5C0000}"/>
    <cellStyle name="Laskenta 3 2 2 2 3 2" xfId="11298" xr:uid="{00000000-0005-0000-0000-00008E5C0000}"/>
    <cellStyle name="Laskenta 3 2 2 2 3_DataIX" xfId="33188" xr:uid="{00000000-0005-0000-0000-00008F5C0000}"/>
    <cellStyle name="Laskenta 3 2 2 2 4" xfId="18963" xr:uid="{00000000-0005-0000-0000-0000905C0000}"/>
    <cellStyle name="Laskenta 3 2 2 2 4 2" xfId="13568" xr:uid="{00000000-0005-0000-0000-0000915C0000}"/>
    <cellStyle name="Laskenta 3 2 2 2 4_DataIX" xfId="33189" xr:uid="{00000000-0005-0000-0000-0000925C0000}"/>
    <cellStyle name="Laskenta 3 2 2 2_DataIX" xfId="33187" xr:uid="{00000000-0005-0000-0000-0000935C0000}"/>
    <cellStyle name="Laskenta 3 2 2 3" xfId="11061" xr:uid="{00000000-0005-0000-0000-0000945C0000}"/>
    <cellStyle name="Laskenta 3 2 2 4" xfId="18574" xr:uid="{00000000-0005-0000-0000-0000955C0000}"/>
    <cellStyle name="Laskenta 3 2 2 4 2" xfId="22264" xr:uid="{00000000-0005-0000-0000-0000965C0000}"/>
    <cellStyle name="Laskenta 3 2 2 4_DataIX" xfId="33190" xr:uid="{00000000-0005-0000-0000-0000975C0000}"/>
    <cellStyle name="Laskenta 3 2 2 5" xfId="19038" xr:uid="{00000000-0005-0000-0000-0000985C0000}"/>
    <cellStyle name="Laskenta 3 2 2 5 2" xfId="21622" xr:uid="{00000000-0005-0000-0000-0000995C0000}"/>
    <cellStyle name="Laskenta 3 2 2 5_DataIX" xfId="33191" xr:uid="{00000000-0005-0000-0000-00009A5C0000}"/>
    <cellStyle name="Laskenta 3 2 2_DataIX" xfId="33186" xr:uid="{00000000-0005-0000-0000-00009B5C0000}"/>
    <cellStyle name="Laskenta 3 2 20" xfId="28706" xr:uid="{00000000-0005-0000-0000-00009C5C0000}"/>
    <cellStyle name="Laskenta 3 2 21" xfId="28701" xr:uid="{00000000-0005-0000-0000-00009D5C0000}"/>
    <cellStyle name="Laskenta 3 2 22" xfId="29040" xr:uid="{00000000-0005-0000-0000-00009E5C0000}"/>
    <cellStyle name="Laskenta 3 2 23" xfId="29167" xr:uid="{00000000-0005-0000-0000-00009F5C0000}"/>
    <cellStyle name="Laskenta 3 2 3" xfId="5628" xr:uid="{00000000-0005-0000-0000-0000A05C0000}"/>
    <cellStyle name="Laskenta 3 2 3 2" xfId="10593" xr:uid="{00000000-0005-0000-0000-0000A15C0000}"/>
    <cellStyle name="Laskenta 3 2 3 2 2" xfId="12672" xr:uid="{00000000-0005-0000-0000-0000A25C0000}"/>
    <cellStyle name="Laskenta 3 2 3 2 3" xfId="20375" xr:uid="{00000000-0005-0000-0000-0000A35C0000}"/>
    <cellStyle name="Laskenta 3 2 3 2 3 2" xfId="22237" xr:uid="{00000000-0005-0000-0000-0000A45C0000}"/>
    <cellStyle name="Laskenta 3 2 3 2 3_DataIX" xfId="33194" xr:uid="{00000000-0005-0000-0000-0000A55C0000}"/>
    <cellStyle name="Laskenta 3 2 3 2 4" xfId="20986" xr:uid="{00000000-0005-0000-0000-0000A65C0000}"/>
    <cellStyle name="Laskenta 3 2 3 2 4 2" xfId="21432" xr:uid="{00000000-0005-0000-0000-0000A75C0000}"/>
    <cellStyle name="Laskenta 3 2 3 2 4_DataIX" xfId="33195" xr:uid="{00000000-0005-0000-0000-0000A85C0000}"/>
    <cellStyle name="Laskenta 3 2 3 2_DataIX" xfId="33193" xr:uid="{00000000-0005-0000-0000-0000A95C0000}"/>
    <cellStyle name="Laskenta 3 2 3 3" xfId="12671" xr:uid="{00000000-0005-0000-0000-0000AA5C0000}"/>
    <cellStyle name="Laskenta 3 2 3 4" xfId="18846" xr:uid="{00000000-0005-0000-0000-0000AB5C0000}"/>
    <cellStyle name="Laskenta 3 2 3 4 2" xfId="22083" xr:uid="{00000000-0005-0000-0000-0000AC5C0000}"/>
    <cellStyle name="Laskenta 3 2 3 4_DataIX" xfId="33196" xr:uid="{00000000-0005-0000-0000-0000AD5C0000}"/>
    <cellStyle name="Laskenta 3 2 3 5" xfId="20443" xr:uid="{00000000-0005-0000-0000-0000AE5C0000}"/>
    <cellStyle name="Laskenta 3 2 3 5 2" xfId="22103" xr:uid="{00000000-0005-0000-0000-0000AF5C0000}"/>
    <cellStyle name="Laskenta 3 2 3 5_DataIX" xfId="33197" xr:uid="{00000000-0005-0000-0000-0000B05C0000}"/>
    <cellStyle name="Laskenta 3 2 3_DataIX" xfId="33192" xr:uid="{00000000-0005-0000-0000-0000B15C0000}"/>
    <cellStyle name="Laskenta 3 2 4" xfId="5350" xr:uid="{00000000-0005-0000-0000-0000B25C0000}"/>
    <cellStyle name="Laskenta 3 2 4 2" xfId="12673" xr:uid="{00000000-0005-0000-0000-0000B35C0000}"/>
    <cellStyle name="Laskenta 3 2 4 3" xfId="18674" xr:uid="{00000000-0005-0000-0000-0000B45C0000}"/>
    <cellStyle name="Laskenta 3 2 4 3 2" xfId="21962" xr:uid="{00000000-0005-0000-0000-0000B55C0000}"/>
    <cellStyle name="Laskenta 3 2 4 3_DataIX" xfId="33199" xr:uid="{00000000-0005-0000-0000-0000B65C0000}"/>
    <cellStyle name="Laskenta 3 2 4 4" xfId="20913" xr:uid="{00000000-0005-0000-0000-0000B75C0000}"/>
    <cellStyle name="Laskenta 3 2 4 4 2" xfId="10807" xr:uid="{00000000-0005-0000-0000-0000B85C0000}"/>
    <cellStyle name="Laskenta 3 2 4 4_DataIX" xfId="33200" xr:uid="{00000000-0005-0000-0000-0000B95C0000}"/>
    <cellStyle name="Laskenta 3 2 4_DataIX" xfId="33198" xr:uid="{00000000-0005-0000-0000-0000BA5C0000}"/>
    <cellStyle name="Laskenta 3 2 5" xfId="13187" xr:uid="{00000000-0005-0000-0000-0000BB5C0000}"/>
    <cellStyle name="Laskenta 3 2 5 2" xfId="20812" xr:uid="{00000000-0005-0000-0000-0000BC5C0000}"/>
    <cellStyle name="Laskenta 3 2 5 2 2" xfId="22193" xr:uid="{00000000-0005-0000-0000-0000BD5C0000}"/>
    <cellStyle name="Laskenta 3 2 5 2_DataIX" xfId="33202" xr:uid="{00000000-0005-0000-0000-0000BE5C0000}"/>
    <cellStyle name="Laskenta 3 2 5 3" xfId="21185" xr:uid="{00000000-0005-0000-0000-0000BF5C0000}"/>
    <cellStyle name="Laskenta 3 2 5 3 2" xfId="21439" xr:uid="{00000000-0005-0000-0000-0000C05C0000}"/>
    <cellStyle name="Laskenta 3 2 5 3_DataIX" xfId="33203" xr:uid="{00000000-0005-0000-0000-0000C15C0000}"/>
    <cellStyle name="Laskenta 3 2 5 4" xfId="13055" xr:uid="{00000000-0005-0000-0000-0000C25C0000}"/>
    <cellStyle name="Laskenta 3 2 5 5" xfId="25154" xr:uid="{00000000-0005-0000-0000-0000C35C0000}"/>
    <cellStyle name="Laskenta 3 2 5 6" xfId="26960" xr:uid="{00000000-0005-0000-0000-0000C45C0000}"/>
    <cellStyle name="Laskenta 3 2 5 7" xfId="22951" xr:uid="{00000000-0005-0000-0000-0000C55C0000}"/>
    <cellStyle name="Laskenta 3 2 5_DataIX" xfId="33201" xr:uid="{00000000-0005-0000-0000-0000C65C0000}"/>
    <cellStyle name="Laskenta 3 2 6" xfId="13138" xr:uid="{00000000-0005-0000-0000-0000C75C0000}"/>
    <cellStyle name="Laskenta 3 2 6 2" xfId="20778" xr:uid="{00000000-0005-0000-0000-0000C85C0000}"/>
    <cellStyle name="Laskenta 3 2 6 2 2" xfId="13466" xr:uid="{00000000-0005-0000-0000-0000C95C0000}"/>
    <cellStyle name="Laskenta 3 2 6 2_DataIX" xfId="33205" xr:uid="{00000000-0005-0000-0000-0000CA5C0000}"/>
    <cellStyle name="Laskenta 3 2 6 3" xfId="21143" xr:uid="{00000000-0005-0000-0000-0000CB5C0000}"/>
    <cellStyle name="Laskenta 3 2 6 3 2" xfId="21602" xr:uid="{00000000-0005-0000-0000-0000CC5C0000}"/>
    <cellStyle name="Laskenta 3 2 6 3_DataIX" xfId="33206" xr:uid="{00000000-0005-0000-0000-0000CD5C0000}"/>
    <cellStyle name="Laskenta 3 2 6 4" xfId="10929" xr:uid="{00000000-0005-0000-0000-0000CE5C0000}"/>
    <cellStyle name="Laskenta 3 2 6 5" xfId="26141" xr:uid="{00000000-0005-0000-0000-0000CF5C0000}"/>
    <cellStyle name="Laskenta 3 2 6 6" xfId="27352" xr:uid="{00000000-0005-0000-0000-0000D05C0000}"/>
    <cellStyle name="Laskenta 3 2 6 7" xfId="27426" xr:uid="{00000000-0005-0000-0000-0000D15C0000}"/>
    <cellStyle name="Laskenta 3 2 6_DataIX" xfId="33204" xr:uid="{00000000-0005-0000-0000-0000D25C0000}"/>
    <cellStyle name="Laskenta 3 2 7" xfId="13170" xr:uid="{00000000-0005-0000-0000-0000D35C0000}"/>
    <cellStyle name="Laskenta 3 2 7 2" xfId="20801" xr:uid="{00000000-0005-0000-0000-0000D45C0000}"/>
    <cellStyle name="Laskenta 3 2 7 2 2" xfId="11318" xr:uid="{00000000-0005-0000-0000-0000D55C0000}"/>
    <cellStyle name="Laskenta 3 2 7 2_DataIX" xfId="33208" xr:uid="{00000000-0005-0000-0000-0000D65C0000}"/>
    <cellStyle name="Laskenta 3 2 7 3" xfId="21170" xr:uid="{00000000-0005-0000-0000-0000D75C0000}"/>
    <cellStyle name="Laskenta 3 2 7 3 2" xfId="13469" xr:uid="{00000000-0005-0000-0000-0000D85C0000}"/>
    <cellStyle name="Laskenta 3 2 7 3_DataIX" xfId="33209" xr:uid="{00000000-0005-0000-0000-0000D95C0000}"/>
    <cellStyle name="Laskenta 3 2 7 4" xfId="13556" xr:uid="{00000000-0005-0000-0000-0000DA5C0000}"/>
    <cellStyle name="Laskenta 3 2 7 5" xfId="26294" xr:uid="{00000000-0005-0000-0000-0000DB5C0000}"/>
    <cellStyle name="Laskenta 3 2 7 6" xfId="27408" xr:uid="{00000000-0005-0000-0000-0000DC5C0000}"/>
    <cellStyle name="Laskenta 3 2 7 7" xfId="22939" xr:uid="{00000000-0005-0000-0000-0000DD5C0000}"/>
    <cellStyle name="Laskenta 3 2 7_DataIX" xfId="33207" xr:uid="{00000000-0005-0000-0000-0000DE5C0000}"/>
    <cellStyle name="Laskenta 3 2 8" xfId="13864" xr:uid="{00000000-0005-0000-0000-0000DF5C0000}"/>
    <cellStyle name="Laskenta 3 2 8 2" xfId="13027" xr:uid="{00000000-0005-0000-0000-0000E05C0000}"/>
    <cellStyle name="Laskenta 3 2 8 3" xfId="26233" xr:uid="{00000000-0005-0000-0000-0000E15C0000}"/>
    <cellStyle name="Laskenta 3 2 8 4" xfId="27389" xr:uid="{00000000-0005-0000-0000-0000E25C0000}"/>
    <cellStyle name="Laskenta 3 2 8 5" xfId="27409" xr:uid="{00000000-0005-0000-0000-0000E35C0000}"/>
    <cellStyle name="Laskenta 3 2 8_DataIX" xfId="33210" xr:uid="{00000000-0005-0000-0000-0000E45C0000}"/>
    <cellStyle name="Laskenta 3 2 9" xfId="13811" xr:uid="{00000000-0005-0000-0000-0000E55C0000}"/>
    <cellStyle name="Laskenta 3 2 9 2" xfId="10908" xr:uid="{00000000-0005-0000-0000-0000E65C0000}"/>
    <cellStyle name="Laskenta 3 2 9 3" xfId="26409" xr:uid="{00000000-0005-0000-0000-0000E75C0000}"/>
    <cellStyle name="Laskenta 3 2 9 4" xfId="27458" xr:uid="{00000000-0005-0000-0000-0000E85C0000}"/>
    <cellStyle name="Laskenta 3 2 9 5" xfId="22921" xr:uid="{00000000-0005-0000-0000-0000E95C0000}"/>
    <cellStyle name="Laskenta 3 2 9_DataIX" xfId="33211" xr:uid="{00000000-0005-0000-0000-0000EA5C0000}"/>
    <cellStyle name="Laskenta 3 2_##Keskeiset" xfId="9435" xr:uid="{00000000-0005-0000-0000-0000EB5C0000}"/>
    <cellStyle name="Laskenta 3 20" xfId="28235" xr:uid="{00000000-0005-0000-0000-0000EC5C0000}"/>
    <cellStyle name="Laskenta 3 21" xfId="28796" xr:uid="{00000000-0005-0000-0000-0000ED5C0000}"/>
    <cellStyle name="Laskenta 3 22" xfId="28707" xr:uid="{00000000-0005-0000-0000-0000EE5C0000}"/>
    <cellStyle name="Laskenta 3 23" xfId="28931" xr:uid="{00000000-0005-0000-0000-0000EF5C0000}"/>
    <cellStyle name="Laskenta 3 24" xfId="29039" xr:uid="{00000000-0005-0000-0000-0000F05C0000}"/>
    <cellStyle name="Laskenta 3 25" xfId="29168" xr:uid="{00000000-0005-0000-0000-0000F15C0000}"/>
    <cellStyle name="Laskenta 3 3" xfId="288" xr:uid="{00000000-0005-0000-0000-0000F25C0000}"/>
    <cellStyle name="Laskenta 3 3 10" xfId="13858" xr:uid="{00000000-0005-0000-0000-0000F35C0000}"/>
    <cellStyle name="Laskenta 3 3 10 2" xfId="13576" xr:uid="{00000000-0005-0000-0000-0000F45C0000}"/>
    <cellStyle name="Laskenta 3 3 10 3" xfId="25567" xr:uid="{00000000-0005-0000-0000-0000F55C0000}"/>
    <cellStyle name="Laskenta 3 3 10 4" xfId="27146" xr:uid="{00000000-0005-0000-0000-0000F65C0000}"/>
    <cellStyle name="Laskenta 3 3 10 5" xfId="23106" xr:uid="{00000000-0005-0000-0000-0000F75C0000}"/>
    <cellStyle name="Laskenta 3 3 10_DataIX" xfId="33212" xr:uid="{00000000-0005-0000-0000-0000F85C0000}"/>
    <cellStyle name="Laskenta 3 3 11" xfId="13902" xr:uid="{00000000-0005-0000-0000-0000F95C0000}"/>
    <cellStyle name="Laskenta 3 3 11 2" xfId="10870" xr:uid="{00000000-0005-0000-0000-0000FA5C0000}"/>
    <cellStyle name="Laskenta 3 3 11 3" xfId="25250" xr:uid="{00000000-0005-0000-0000-0000FB5C0000}"/>
    <cellStyle name="Laskenta 3 3 11 4" xfId="27019" xr:uid="{00000000-0005-0000-0000-0000FC5C0000}"/>
    <cellStyle name="Laskenta 3 3 11 5" xfId="26763" xr:uid="{00000000-0005-0000-0000-0000FD5C0000}"/>
    <cellStyle name="Laskenta 3 3 11_DataIX" xfId="33213" xr:uid="{00000000-0005-0000-0000-0000FE5C0000}"/>
    <cellStyle name="Laskenta 3 3 12" xfId="12712" xr:uid="{00000000-0005-0000-0000-0000FF5C0000}"/>
    <cellStyle name="Laskenta 3 3 13" xfId="11048" xr:uid="{00000000-0005-0000-0000-0000005D0000}"/>
    <cellStyle name="Laskenta 3 3 14" xfId="22330" xr:uid="{00000000-0005-0000-0000-0000015D0000}"/>
    <cellStyle name="Laskenta 3 3 15" xfId="22576" xr:uid="{00000000-0005-0000-0000-0000025D0000}"/>
    <cellStyle name="Laskenta 3 3 16" xfId="22498" xr:uid="{00000000-0005-0000-0000-0000035D0000}"/>
    <cellStyle name="Laskenta 3 3 17" xfId="22293" xr:uid="{00000000-0005-0000-0000-0000045D0000}"/>
    <cellStyle name="Laskenta 3 3 18" xfId="26799" xr:uid="{00000000-0005-0000-0000-0000055D0000}"/>
    <cellStyle name="Laskenta 3 3 19" xfId="27906" xr:uid="{00000000-0005-0000-0000-0000065D0000}"/>
    <cellStyle name="Laskenta 3 3 2" xfId="5243" xr:uid="{00000000-0005-0000-0000-0000075D0000}"/>
    <cellStyle name="Laskenta 3 3 2 2" xfId="9437" xr:uid="{00000000-0005-0000-0000-0000085D0000}"/>
    <cellStyle name="Laskenta 3 3 2 3" xfId="18573" xr:uid="{00000000-0005-0000-0000-0000095D0000}"/>
    <cellStyle name="Laskenta 3 3 2 3 2" xfId="22181" xr:uid="{00000000-0005-0000-0000-00000A5D0000}"/>
    <cellStyle name="Laskenta 3 3 2 3_DataIX" xfId="33215" xr:uid="{00000000-0005-0000-0000-00000B5D0000}"/>
    <cellStyle name="Laskenta 3 3 2 4" xfId="20518" xr:uid="{00000000-0005-0000-0000-00000C5D0000}"/>
    <cellStyle name="Laskenta 3 3 2 4 2" xfId="11352" xr:uid="{00000000-0005-0000-0000-00000D5D0000}"/>
    <cellStyle name="Laskenta 3 3 2 4_DataIX" xfId="33216" xr:uid="{00000000-0005-0000-0000-00000E5D0000}"/>
    <cellStyle name="Laskenta 3 3 2_DataIX" xfId="33214" xr:uid="{00000000-0005-0000-0000-00000F5D0000}"/>
    <cellStyle name="Laskenta 3 3 20" xfId="28042" xr:uid="{00000000-0005-0000-0000-0000105D0000}"/>
    <cellStyle name="Laskenta 3 3 21" xfId="28031" xr:uid="{00000000-0005-0000-0000-0000115D0000}"/>
    <cellStyle name="Laskenta 3 3 22" xfId="28142" xr:uid="{00000000-0005-0000-0000-0000125D0000}"/>
    <cellStyle name="Laskenta 3 3 23" xfId="28237" xr:uid="{00000000-0005-0000-0000-0000135D0000}"/>
    <cellStyle name="Laskenta 3 3 24" xfId="28408" xr:uid="{00000000-0005-0000-0000-0000145D0000}"/>
    <cellStyle name="Laskenta 3 3 25" xfId="28481" xr:uid="{00000000-0005-0000-0000-0000155D0000}"/>
    <cellStyle name="Laskenta 3 3 26" xfId="28340" xr:uid="{00000000-0005-0000-0000-0000165D0000}"/>
    <cellStyle name="Laskenta 3 3 27" xfId="28794" xr:uid="{00000000-0005-0000-0000-0000175D0000}"/>
    <cellStyle name="Laskenta 3 3 28" xfId="28940" xr:uid="{00000000-0005-0000-0000-0000185D0000}"/>
    <cellStyle name="Laskenta 3 3 29" xfId="28625" xr:uid="{00000000-0005-0000-0000-0000195D0000}"/>
    <cellStyle name="Laskenta 3 3 3" xfId="5351" xr:uid="{00000000-0005-0000-0000-00001A5D0000}"/>
    <cellStyle name="Laskenta 3 3 3 2" xfId="12674" xr:uid="{00000000-0005-0000-0000-00001B5D0000}"/>
    <cellStyle name="Laskenta 3 3 3 3" xfId="18675" xr:uid="{00000000-0005-0000-0000-00001C5D0000}"/>
    <cellStyle name="Laskenta 3 3 3 3 2" xfId="20621" xr:uid="{00000000-0005-0000-0000-00001D5D0000}"/>
    <cellStyle name="Laskenta 3 3 3 3_DataIX" xfId="33218" xr:uid="{00000000-0005-0000-0000-00001E5D0000}"/>
    <cellStyle name="Laskenta 3 3 3 4" xfId="20930" xr:uid="{00000000-0005-0000-0000-00001F5D0000}"/>
    <cellStyle name="Laskenta 3 3 3 4 2" xfId="20733" xr:uid="{00000000-0005-0000-0000-0000205D0000}"/>
    <cellStyle name="Laskenta 3 3 3 4_DataIX" xfId="33219" xr:uid="{00000000-0005-0000-0000-0000215D0000}"/>
    <cellStyle name="Laskenta 3 3 3_DataIX" xfId="33217" xr:uid="{00000000-0005-0000-0000-0000225D0000}"/>
    <cellStyle name="Laskenta 3 3 30" xfId="28858" xr:uid="{00000000-0005-0000-0000-0000235D0000}"/>
    <cellStyle name="Laskenta 3 3 31" xfId="29041" xr:uid="{00000000-0005-0000-0000-0000245D0000}"/>
    <cellStyle name="Laskenta 3 3 32" xfId="28993" xr:uid="{00000000-0005-0000-0000-0000255D0000}"/>
    <cellStyle name="Laskenta 3 3 4" xfId="13298" xr:uid="{00000000-0005-0000-0000-0000265D0000}"/>
    <cellStyle name="Laskenta 3 3 4 2" xfId="20887" xr:uid="{00000000-0005-0000-0000-0000275D0000}"/>
    <cellStyle name="Laskenta 3 3 4 2 2" xfId="13611" xr:uid="{00000000-0005-0000-0000-0000285D0000}"/>
    <cellStyle name="Laskenta 3 3 4 2_DataIX" xfId="33221" xr:uid="{00000000-0005-0000-0000-0000295D0000}"/>
    <cellStyle name="Laskenta 3 3 4 3" xfId="21275" xr:uid="{00000000-0005-0000-0000-00002A5D0000}"/>
    <cellStyle name="Laskenta 3 3 4 3 2" xfId="12604" xr:uid="{00000000-0005-0000-0000-00002B5D0000}"/>
    <cellStyle name="Laskenta 3 3 4 3_DataIX" xfId="33222" xr:uid="{00000000-0005-0000-0000-00002C5D0000}"/>
    <cellStyle name="Laskenta 3 3 4 4" xfId="12625" xr:uid="{00000000-0005-0000-0000-00002D5D0000}"/>
    <cellStyle name="Laskenta 3 3 4 5" xfId="25155" xr:uid="{00000000-0005-0000-0000-00002E5D0000}"/>
    <cellStyle name="Laskenta 3 3 4 6" xfId="26961" xr:uid="{00000000-0005-0000-0000-00002F5D0000}"/>
    <cellStyle name="Laskenta 3 3 4 7" xfId="22820" xr:uid="{00000000-0005-0000-0000-0000305D0000}"/>
    <cellStyle name="Laskenta 3 3 4_DataIX" xfId="33220" xr:uid="{00000000-0005-0000-0000-0000315D0000}"/>
    <cellStyle name="Laskenta 3 3 5" xfId="13226" xr:uid="{00000000-0005-0000-0000-0000325D0000}"/>
    <cellStyle name="Laskenta 3 3 5 2" xfId="20836" xr:uid="{00000000-0005-0000-0000-0000335D0000}"/>
    <cellStyle name="Laskenta 3 3 5 2 2" xfId="21743" xr:uid="{00000000-0005-0000-0000-0000345D0000}"/>
    <cellStyle name="Laskenta 3 3 5 2_DataIX" xfId="33224" xr:uid="{00000000-0005-0000-0000-0000355D0000}"/>
    <cellStyle name="Laskenta 3 3 5 3" xfId="21212" xr:uid="{00000000-0005-0000-0000-0000365D0000}"/>
    <cellStyle name="Laskenta 3 3 5 3 2" xfId="12628" xr:uid="{00000000-0005-0000-0000-0000375D0000}"/>
    <cellStyle name="Laskenta 3 3 5 3_DataIX" xfId="33225" xr:uid="{00000000-0005-0000-0000-0000385D0000}"/>
    <cellStyle name="Laskenta 3 3 5 4" xfId="10955" xr:uid="{00000000-0005-0000-0000-0000395D0000}"/>
    <cellStyle name="Laskenta 3 3 5 5" xfId="26478" xr:uid="{00000000-0005-0000-0000-00003A5D0000}"/>
    <cellStyle name="Laskenta 3 3 5 6" xfId="27496" xr:uid="{00000000-0005-0000-0000-00003B5D0000}"/>
    <cellStyle name="Laskenta 3 3 5 7" xfId="26965" xr:uid="{00000000-0005-0000-0000-00003C5D0000}"/>
    <cellStyle name="Laskenta 3 3 5_DataIX" xfId="33223" xr:uid="{00000000-0005-0000-0000-00003D5D0000}"/>
    <cellStyle name="Laskenta 3 3 6" xfId="13126" xr:uid="{00000000-0005-0000-0000-00003E5D0000}"/>
    <cellStyle name="Laskenta 3 3 6 2" xfId="20773" xr:uid="{00000000-0005-0000-0000-00003F5D0000}"/>
    <cellStyle name="Laskenta 3 3 6 2 2" xfId="22252" xr:uid="{00000000-0005-0000-0000-0000405D0000}"/>
    <cellStyle name="Laskenta 3 3 6 2_DataIX" xfId="33227" xr:uid="{00000000-0005-0000-0000-0000415D0000}"/>
    <cellStyle name="Laskenta 3 3 6 3" xfId="21137" xr:uid="{00000000-0005-0000-0000-0000425D0000}"/>
    <cellStyle name="Laskenta 3 3 6 3 2" xfId="21435" xr:uid="{00000000-0005-0000-0000-0000435D0000}"/>
    <cellStyle name="Laskenta 3 3 6 3_DataIX" xfId="33228" xr:uid="{00000000-0005-0000-0000-0000445D0000}"/>
    <cellStyle name="Laskenta 3 3 6 4" xfId="11287" xr:uid="{00000000-0005-0000-0000-0000455D0000}"/>
    <cellStyle name="Laskenta 3 3 6 5" xfId="25344" xr:uid="{00000000-0005-0000-0000-0000465D0000}"/>
    <cellStyle name="Laskenta 3 3 6 6" xfId="27058" xr:uid="{00000000-0005-0000-0000-0000475D0000}"/>
    <cellStyle name="Laskenta 3 3 6 7" xfId="26869" xr:uid="{00000000-0005-0000-0000-0000485D0000}"/>
    <cellStyle name="Laskenta 3 3 6_DataIX" xfId="33226" xr:uid="{00000000-0005-0000-0000-0000495D0000}"/>
    <cellStyle name="Laskenta 3 3 7" xfId="10710" xr:uid="{00000000-0005-0000-0000-00004A5D0000}"/>
    <cellStyle name="Laskenta 3 3 7 2" xfId="21026" xr:uid="{00000000-0005-0000-0000-00004B5D0000}"/>
    <cellStyle name="Laskenta 3 3 7 2 2" xfId="13532" xr:uid="{00000000-0005-0000-0000-00004C5D0000}"/>
    <cellStyle name="Laskenta 3 3 7 2_DataIX" xfId="33230" xr:uid="{00000000-0005-0000-0000-00004D5D0000}"/>
    <cellStyle name="Laskenta 3 3 7 3" xfId="21420" xr:uid="{00000000-0005-0000-0000-00004E5D0000}"/>
    <cellStyle name="Laskenta 3 3 7 4" xfId="26262" xr:uid="{00000000-0005-0000-0000-00004F5D0000}"/>
    <cellStyle name="Laskenta 3 3 7 5" xfId="27397" xr:uid="{00000000-0005-0000-0000-0000505D0000}"/>
    <cellStyle name="Laskenta 3 3 7 6" xfId="22913" xr:uid="{00000000-0005-0000-0000-0000515D0000}"/>
    <cellStyle name="Laskenta 3 3 7_DataIX" xfId="33229" xr:uid="{00000000-0005-0000-0000-0000525D0000}"/>
    <cellStyle name="Laskenta 3 3 8" xfId="12858" xr:uid="{00000000-0005-0000-0000-0000535D0000}"/>
    <cellStyle name="Laskenta 3 3 8 2" xfId="21113" xr:uid="{00000000-0005-0000-0000-0000545D0000}"/>
    <cellStyle name="Laskenta 3 3 8 2 2" xfId="21503" xr:uid="{00000000-0005-0000-0000-0000555D0000}"/>
    <cellStyle name="Laskenta 3 3 8 2_DataIX" xfId="33232" xr:uid="{00000000-0005-0000-0000-0000565D0000}"/>
    <cellStyle name="Laskenta 3 3 8 3" xfId="21988" xr:uid="{00000000-0005-0000-0000-0000575D0000}"/>
    <cellStyle name="Laskenta 3 3 8 4" xfId="25289" xr:uid="{00000000-0005-0000-0000-0000585D0000}"/>
    <cellStyle name="Laskenta 3 3 8 5" xfId="27037" xr:uid="{00000000-0005-0000-0000-0000595D0000}"/>
    <cellStyle name="Laskenta 3 3 8 6" xfId="22943" xr:uid="{00000000-0005-0000-0000-00005A5D0000}"/>
    <cellStyle name="Laskenta 3 3 8_DataIX" xfId="33231" xr:uid="{00000000-0005-0000-0000-00005B5D0000}"/>
    <cellStyle name="Laskenta 3 3 9" xfId="13674" xr:uid="{00000000-0005-0000-0000-00005C5D0000}"/>
    <cellStyle name="Laskenta 3 3 9 2" xfId="21374" xr:uid="{00000000-0005-0000-0000-00005D5D0000}"/>
    <cellStyle name="Laskenta 3 3 9 2 2" xfId="22266" xr:uid="{00000000-0005-0000-0000-00005E5D0000}"/>
    <cellStyle name="Laskenta 3 3 9 2_DataIX" xfId="33234" xr:uid="{00000000-0005-0000-0000-00005F5D0000}"/>
    <cellStyle name="Laskenta 3 3 9 3" xfId="13560" xr:uid="{00000000-0005-0000-0000-0000605D0000}"/>
    <cellStyle name="Laskenta 3 3 9 4" xfId="26641" xr:uid="{00000000-0005-0000-0000-0000615D0000}"/>
    <cellStyle name="Laskenta 3 3 9 5" xfId="27560" xr:uid="{00000000-0005-0000-0000-0000625D0000}"/>
    <cellStyle name="Laskenta 3 3 9 6" xfId="22944" xr:uid="{00000000-0005-0000-0000-0000635D0000}"/>
    <cellStyle name="Laskenta 3 3 9_DataIX" xfId="33233" xr:uid="{00000000-0005-0000-0000-0000645D0000}"/>
    <cellStyle name="Laskenta 3 3_##Keskeiset" xfId="9436" xr:uid="{00000000-0005-0000-0000-0000655D0000}"/>
    <cellStyle name="Laskenta 3 4" xfId="4202" xr:uid="{00000000-0005-0000-0000-0000665D0000}"/>
    <cellStyle name="Laskenta 3 4 2" xfId="5629" xr:uid="{00000000-0005-0000-0000-0000675D0000}"/>
    <cellStyle name="Laskenta 3 4 2 2" xfId="12675" xr:uid="{00000000-0005-0000-0000-0000685D0000}"/>
    <cellStyle name="Laskenta 3 4 2 3" xfId="18847" xr:uid="{00000000-0005-0000-0000-0000695D0000}"/>
    <cellStyle name="Laskenta 3 4 2 3 2" xfId="10693" xr:uid="{00000000-0005-0000-0000-00006A5D0000}"/>
    <cellStyle name="Laskenta 3 4 2 3_DataIX" xfId="33237" xr:uid="{00000000-0005-0000-0000-00006B5D0000}"/>
    <cellStyle name="Laskenta 3 4 2 4" xfId="18961" xr:uid="{00000000-0005-0000-0000-00006C5D0000}"/>
    <cellStyle name="Laskenta 3 4 2 4 2" xfId="13505" xr:uid="{00000000-0005-0000-0000-00006D5D0000}"/>
    <cellStyle name="Laskenta 3 4 2 4_DataIX" xfId="33238" xr:uid="{00000000-0005-0000-0000-00006E5D0000}"/>
    <cellStyle name="Laskenta 3 4 2_DataIX" xfId="33236" xr:uid="{00000000-0005-0000-0000-00006F5D0000}"/>
    <cellStyle name="Laskenta 3 4 3" xfId="11062" xr:uid="{00000000-0005-0000-0000-0000705D0000}"/>
    <cellStyle name="Laskenta 3 4 4" xfId="17552" xr:uid="{00000000-0005-0000-0000-0000715D0000}"/>
    <cellStyle name="Laskenta 3 4 4 2" xfId="12736" xr:uid="{00000000-0005-0000-0000-0000725D0000}"/>
    <cellStyle name="Laskenta 3 4 4_DataIX" xfId="33239" xr:uid="{00000000-0005-0000-0000-0000735D0000}"/>
    <cellStyle name="Laskenta 3 4 5" xfId="19134" xr:uid="{00000000-0005-0000-0000-0000745D0000}"/>
    <cellStyle name="Laskenta 3 4 5 2" xfId="22244" xr:uid="{00000000-0005-0000-0000-0000755D0000}"/>
    <cellStyle name="Laskenta 3 4 5_DataIX" xfId="33240" xr:uid="{00000000-0005-0000-0000-0000765D0000}"/>
    <cellStyle name="Laskenta 3 4_DataIX" xfId="33235" xr:uid="{00000000-0005-0000-0000-0000775D0000}"/>
    <cellStyle name="Laskenta 3 5" xfId="5630" xr:uid="{00000000-0005-0000-0000-0000785D0000}"/>
    <cellStyle name="Laskenta 3 5 2" xfId="5299" xr:uid="{00000000-0005-0000-0000-0000795D0000}"/>
    <cellStyle name="Laskenta 3 5 2 2" xfId="12677" xr:uid="{00000000-0005-0000-0000-00007A5D0000}"/>
    <cellStyle name="Laskenta 3 5 2 3" xfId="18623" xr:uid="{00000000-0005-0000-0000-00007B5D0000}"/>
    <cellStyle name="Laskenta 3 5 2 3 2" xfId="11259" xr:uid="{00000000-0005-0000-0000-00007C5D0000}"/>
    <cellStyle name="Laskenta 3 5 2 3_DataIX" xfId="33243" xr:uid="{00000000-0005-0000-0000-00007D5D0000}"/>
    <cellStyle name="Laskenta 3 5 2 4" xfId="20500" xr:uid="{00000000-0005-0000-0000-00007E5D0000}"/>
    <cellStyle name="Laskenta 3 5 2 4 2" xfId="13511" xr:uid="{00000000-0005-0000-0000-00007F5D0000}"/>
    <cellStyle name="Laskenta 3 5 2 4_DataIX" xfId="33244" xr:uid="{00000000-0005-0000-0000-0000805D0000}"/>
    <cellStyle name="Laskenta 3 5 2_DataIX" xfId="33242" xr:uid="{00000000-0005-0000-0000-0000815D0000}"/>
    <cellStyle name="Laskenta 3 5 3" xfId="12676" xr:uid="{00000000-0005-0000-0000-0000825D0000}"/>
    <cellStyle name="Laskenta 3 5 4" xfId="18848" xr:uid="{00000000-0005-0000-0000-0000835D0000}"/>
    <cellStyle name="Laskenta 3 5 4 2" xfId="11289" xr:uid="{00000000-0005-0000-0000-0000845D0000}"/>
    <cellStyle name="Laskenta 3 5 4_DataIX" xfId="33245" xr:uid="{00000000-0005-0000-0000-0000855D0000}"/>
    <cellStyle name="Laskenta 3 5 5" xfId="20444" xr:uid="{00000000-0005-0000-0000-0000865D0000}"/>
    <cellStyle name="Laskenta 3 5 5 2" xfId="21481" xr:uid="{00000000-0005-0000-0000-0000875D0000}"/>
    <cellStyle name="Laskenta 3 5 5_DataIX" xfId="33246" xr:uid="{00000000-0005-0000-0000-0000885D0000}"/>
    <cellStyle name="Laskenta 3 5_DataIX" xfId="33241" xr:uid="{00000000-0005-0000-0000-0000895D0000}"/>
    <cellStyle name="Laskenta 3 6" xfId="5349" xr:uid="{00000000-0005-0000-0000-00008A5D0000}"/>
    <cellStyle name="Laskenta 3 6 2" xfId="12678" xr:uid="{00000000-0005-0000-0000-00008B5D0000}"/>
    <cellStyle name="Laskenta 3 6 3" xfId="18673" xr:uid="{00000000-0005-0000-0000-00008C5D0000}"/>
    <cellStyle name="Laskenta 3 6 3 2" xfId="11277" xr:uid="{00000000-0005-0000-0000-00008D5D0000}"/>
    <cellStyle name="Laskenta 3 6 3_DataIX" xfId="33248" xr:uid="{00000000-0005-0000-0000-00008E5D0000}"/>
    <cellStyle name="Laskenta 3 6 4" xfId="19005" xr:uid="{00000000-0005-0000-0000-00008F5D0000}"/>
    <cellStyle name="Laskenta 3 6 4 2" xfId="13642" xr:uid="{00000000-0005-0000-0000-0000905D0000}"/>
    <cellStyle name="Laskenta 3 6 4_DataIX" xfId="33249" xr:uid="{00000000-0005-0000-0000-0000915D0000}"/>
    <cellStyle name="Laskenta 3 6_DataIX" xfId="33247" xr:uid="{00000000-0005-0000-0000-0000925D0000}"/>
    <cellStyle name="Laskenta 3 7" xfId="13299" xr:uid="{00000000-0005-0000-0000-0000935D0000}"/>
    <cellStyle name="Laskenta 3 7 2" xfId="20888" xr:uid="{00000000-0005-0000-0000-0000945D0000}"/>
    <cellStyle name="Laskenta 3 7 2 2" xfId="22226" xr:uid="{00000000-0005-0000-0000-0000955D0000}"/>
    <cellStyle name="Laskenta 3 7 2_DataIX" xfId="33251" xr:uid="{00000000-0005-0000-0000-0000965D0000}"/>
    <cellStyle name="Laskenta 3 7 3" xfId="21276" xr:uid="{00000000-0005-0000-0000-0000975D0000}"/>
    <cellStyle name="Laskenta 3 7 3 2" xfId="22070" xr:uid="{00000000-0005-0000-0000-0000985D0000}"/>
    <cellStyle name="Laskenta 3 7 3_DataIX" xfId="33252" xr:uid="{00000000-0005-0000-0000-0000995D0000}"/>
    <cellStyle name="Laskenta 3 7 4" xfId="21510" xr:uid="{00000000-0005-0000-0000-00009A5D0000}"/>
    <cellStyle name="Laskenta 3 7 5" xfId="25153" xr:uid="{00000000-0005-0000-0000-00009B5D0000}"/>
    <cellStyle name="Laskenta 3 7 6" xfId="26959" xr:uid="{00000000-0005-0000-0000-00009C5D0000}"/>
    <cellStyle name="Laskenta 3 7 7" xfId="22751" xr:uid="{00000000-0005-0000-0000-00009D5D0000}"/>
    <cellStyle name="Laskenta 3 7_DataIX" xfId="33250" xr:uid="{00000000-0005-0000-0000-00009E5D0000}"/>
    <cellStyle name="Laskenta 3 8" xfId="13346" xr:uid="{00000000-0005-0000-0000-00009F5D0000}"/>
    <cellStyle name="Laskenta 3 8 2" xfId="20918" xr:uid="{00000000-0005-0000-0000-0000A05D0000}"/>
    <cellStyle name="Laskenta 3 8 2 2" xfId="22090" xr:uid="{00000000-0005-0000-0000-0000A15D0000}"/>
    <cellStyle name="Laskenta 3 8 2_DataIX" xfId="33254" xr:uid="{00000000-0005-0000-0000-0000A25D0000}"/>
    <cellStyle name="Laskenta 3 8 3" xfId="21306" xr:uid="{00000000-0005-0000-0000-0000A35D0000}"/>
    <cellStyle name="Laskenta 3 8 3 2" xfId="13689" xr:uid="{00000000-0005-0000-0000-0000A45D0000}"/>
    <cellStyle name="Laskenta 3 8 3_DataIX" xfId="33255" xr:uid="{00000000-0005-0000-0000-0000A55D0000}"/>
    <cellStyle name="Laskenta 3 8 4" xfId="13741" xr:uid="{00000000-0005-0000-0000-0000A65D0000}"/>
    <cellStyle name="Laskenta 3 8 5" xfId="26142" xr:uid="{00000000-0005-0000-0000-0000A75D0000}"/>
    <cellStyle name="Laskenta 3 8 6" xfId="27353" xr:uid="{00000000-0005-0000-0000-0000A85D0000}"/>
    <cellStyle name="Laskenta 3 8 7" xfId="26841" xr:uid="{00000000-0005-0000-0000-0000A95D0000}"/>
    <cellStyle name="Laskenta 3 8_DataIX" xfId="33253" xr:uid="{00000000-0005-0000-0000-0000AA5D0000}"/>
    <cellStyle name="Laskenta 3 9" xfId="13405" xr:uid="{00000000-0005-0000-0000-0000AB5D0000}"/>
    <cellStyle name="Laskenta 3 9 2" xfId="20955" xr:uid="{00000000-0005-0000-0000-0000AC5D0000}"/>
    <cellStyle name="Laskenta 3 9 2 2" xfId="21916" xr:uid="{00000000-0005-0000-0000-0000AD5D0000}"/>
    <cellStyle name="Laskenta 3 9 2_DataIX" xfId="33257" xr:uid="{00000000-0005-0000-0000-0000AE5D0000}"/>
    <cellStyle name="Laskenta 3 9 3" xfId="21356" xr:uid="{00000000-0005-0000-0000-0000AF5D0000}"/>
    <cellStyle name="Laskenta 3 9 3 2" xfId="21445" xr:uid="{00000000-0005-0000-0000-0000B05D0000}"/>
    <cellStyle name="Laskenta 3 9 3_DataIX" xfId="33258" xr:uid="{00000000-0005-0000-0000-0000B15D0000}"/>
    <cellStyle name="Laskenta 3 9 4" xfId="10880" xr:uid="{00000000-0005-0000-0000-0000B25D0000}"/>
    <cellStyle name="Laskenta 3 9 5" xfId="26579" xr:uid="{00000000-0005-0000-0000-0000B35D0000}"/>
    <cellStyle name="Laskenta 3 9 6" xfId="27538" xr:uid="{00000000-0005-0000-0000-0000B45D0000}"/>
    <cellStyle name="Laskenta 3 9 7" xfId="27432" xr:uid="{00000000-0005-0000-0000-0000B55D0000}"/>
    <cellStyle name="Laskenta 3 9_DataIX" xfId="33256" xr:uid="{00000000-0005-0000-0000-0000B65D0000}"/>
    <cellStyle name="Laskenta 3_##Keskeiset" xfId="9434" xr:uid="{00000000-0005-0000-0000-0000B75D0000}"/>
    <cellStyle name="Laskenta 4" xfId="256" xr:uid="{00000000-0005-0000-0000-0000B85D0000}"/>
    <cellStyle name="Laskenta 4 10" xfId="11171" xr:uid="{00000000-0005-0000-0000-0000B95D0000}"/>
    <cellStyle name="Laskenta 4 10 2" xfId="21093" xr:uid="{00000000-0005-0000-0000-0000BA5D0000}"/>
    <cellStyle name="Laskenta 4 10 2 2" xfId="21436" xr:uid="{00000000-0005-0000-0000-0000BB5D0000}"/>
    <cellStyle name="Laskenta 4 10 2_DataIX" xfId="33260" xr:uid="{00000000-0005-0000-0000-0000BC5D0000}"/>
    <cellStyle name="Laskenta 4 10 3" xfId="11254" xr:uid="{00000000-0005-0000-0000-0000BD5D0000}"/>
    <cellStyle name="Laskenta 4 10 4" xfId="26316" xr:uid="{00000000-0005-0000-0000-0000BE5D0000}"/>
    <cellStyle name="Laskenta 4 10 5" xfId="27423" xr:uid="{00000000-0005-0000-0000-0000BF5D0000}"/>
    <cellStyle name="Laskenta 4 10 6" xfId="22793" xr:uid="{00000000-0005-0000-0000-0000C05D0000}"/>
    <cellStyle name="Laskenta 4 10_DataIX" xfId="33259" xr:uid="{00000000-0005-0000-0000-0000C15D0000}"/>
    <cellStyle name="Laskenta 4 11" xfId="13830" xr:uid="{00000000-0005-0000-0000-0000C25D0000}"/>
    <cellStyle name="Laskenta 4 11 2" xfId="13413" xr:uid="{00000000-0005-0000-0000-0000C35D0000}"/>
    <cellStyle name="Laskenta 4 11 3" xfId="26632" xr:uid="{00000000-0005-0000-0000-0000C45D0000}"/>
    <cellStyle name="Laskenta 4 11 4" xfId="27558" xr:uid="{00000000-0005-0000-0000-0000C55D0000}"/>
    <cellStyle name="Laskenta 4 11 5" xfId="23145" xr:uid="{00000000-0005-0000-0000-0000C65D0000}"/>
    <cellStyle name="Laskenta 4 11_DataIX" xfId="33261" xr:uid="{00000000-0005-0000-0000-0000C75D0000}"/>
    <cellStyle name="Laskenta 4 12" xfId="20297" xr:uid="{00000000-0005-0000-0000-0000C85D0000}"/>
    <cellStyle name="Laskenta 4 12 2" xfId="13493" xr:uid="{00000000-0005-0000-0000-0000C95D0000}"/>
    <cellStyle name="Laskenta 4 12_DataIX" xfId="33262" xr:uid="{00000000-0005-0000-0000-0000CA5D0000}"/>
    <cellStyle name="Laskenta 4 13" xfId="10991" xr:uid="{00000000-0005-0000-0000-0000CB5D0000}"/>
    <cellStyle name="Laskenta 4 14" xfId="22331" xr:uid="{00000000-0005-0000-0000-0000CC5D0000}"/>
    <cellStyle name="Laskenta 4 15" xfId="22575" xr:uid="{00000000-0005-0000-0000-0000CD5D0000}"/>
    <cellStyle name="Laskenta 4 16" xfId="22497" xr:uid="{00000000-0005-0000-0000-0000CE5D0000}"/>
    <cellStyle name="Laskenta 4 17" xfId="22397" xr:uid="{00000000-0005-0000-0000-0000CF5D0000}"/>
    <cellStyle name="Laskenta 4 18" xfId="22771" xr:uid="{00000000-0005-0000-0000-0000D05D0000}"/>
    <cellStyle name="Laskenta 4 19" xfId="27907" xr:uid="{00000000-0005-0000-0000-0000D15D0000}"/>
    <cellStyle name="Laskenta 4 2" xfId="311" xr:uid="{00000000-0005-0000-0000-0000D25D0000}"/>
    <cellStyle name="Laskenta 4 2 10" xfId="13875" xr:uid="{00000000-0005-0000-0000-0000D35D0000}"/>
    <cellStyle name="Laskenta 4 2 10 2" xfId="11013" xr:uid="{00000000-0005-0000-0000-0000D45D0000}"/>
    <cellStyle name="Laskenta 4 2 10 3" xfId="25388" xr:uid="{00000000-0005-0000-0000-0000D55D0000}"/>
    <cellStyle name="Laskenta 4 2 10 4" xfId="27084" xr:uid="{00000000-0005-0000-0000-0000D65D0000}"/>
    <cellStyle name="Laskenta 4 2 10 5" xfId="23089" xr:uid="{00000000-0005-0000-0000-0000D75D0000}"/>
    <cellStyle name="Laskenta 4 2 10_DataIX" xfId="33263" xr:uid="{00000000-0005-0000-0000-0000D85D0000}"/>
    <cellStyle name="Laskenta 4 2 11" xfId="20283" xr:uid="{00000000-0005-0000-0000-0000D95D0000}"/>
    <cellStyle name="Laskenta 4 2 11 2" xfId="21478" xr:uid="{00000000-0005-0000-0000-0000DA5D0000}"/>
    <cellStyle name="Laskenta 4 2 11 3" xfId="25991" xr:uid="{00000000-0005-0000-0000-0000DB5D0000}"/>
    <cellStyle name="Laskenta 4 2 11 4" xfId="27290" xr:uid="{00000000-0005-0000-0000-0000DC5D0000}"/>
    <cellStyle name="Laskenta 4 2 11 5" xfId="23127" xr:uid="{00000000-0005-0000-0000-0000DD5D0000}"/>
    <cellStyle name="Laskenta 4 2 11_DataIX" xfId="33264" xr:uid="{00000000-0005-0000-0000-0000DE5D0000}"/>
    <cellStyle name="Laskenta 4 2 12" xfId="12711" xr:uid="{00000000-0005-0000-0000-0000DF5D0000}"/>
    <cellStyle name="Laskenta 4 2 13" xfId="20731" xr:uid="{00000000-0005-0000-0000-0000E05D0000}"/>
    <cellStyle name="Laskenta 4 2 14" xfId="22332" xr:uid="{00000000-0005-0000-0000-0000E15D0000}"/>
    <cellStyle name="Laskenta 4 2 15" xfId="22574" xr:uid="{00000000-0005-0000-0000-0000E25D0000}"/>
    <cellStyle name="Laskenta 4 2 16" xfId="22496" xr:uid="{00000000-0005-0000-0000-0000E35D0000}"/>
    <cellStyle name="Laskenta 4 2 17" xfId="22512" xr:uid="{00000000-0005-0000-0000-0000E45D0000}"/>
    <cellStyle name="Laskenta 4 2 18" xfId="23024" xr:uid="{00000000-0005-0000-0000-0000E55D0000}"/>
    <cellStyle name="Laskenta 4 2 19" xfId="27908" xr:uid="{00000000-0005-0000-0000-0000E65D0000}"/>
    <cellStyle name="Laskenta 4 2 2" xfId="5241" xr:uid="{00000000-0005-0000-0000-0000E75D0000}"/>
    <cellStyle name="Laskenta 4 2 2 2" xfId="9440" xr:uid="{00000000-0005-0000-0000-0000E85D0000}"/>
    <cellStyle name="Laskenta 4 2 2 3" xfId="18571" xr:uid="{00000000-0005-0000-0000-0000E95D0000}"/>
    <cellStyle name="Laskenta 4 2 2 3 2" xfId="13006" xr:uid="{00000000-0005-0000-0000-0000EA5D0000}"/>
    <cellStyle name="Laskenta 4 2 2 3_DataIX" xfId="33266" xr:uid="{00000000-0005-0000-0000-0000EB5D0000}"/>
    <cellStyle name="Laskenta 4 2 2 4" xfId="20519" xr:uid="{00000000-0005-0000-0000-0000EC5D0000}"/>
    <cellStyle name="Laskenta 4 2 2 4 2" xfId="21485" xr:uid="{00000000-0005-0000-0000-0000ED5D0000}"/>
    <cellStyle name="Laskenta 4 2 2 4_DataIX" xfId="33267" xr:uid="{00000000-0005-0000-0000-0000EE5D0000}"/>
    <cellStyle name="Laskenta 4 2 2_DataIX" xfId="33265" xr:uid="{00000000-0005-0000-0000-0000EF5D0000}"/>
    <cellStyle name="Laskenta 4 2 20" xfId="28041" xr:uid="{00000000-0005-0000-0000-0000F05D0000}"/>
    <cellStyle name="Laskenta 4 2 21" xfId="28104" xr:uid="{00000000-0005-0000-0000-0000F15D0000}"/>
    <cellStyle name="Laskenta 4 2 22" xfId="28144" xr:uid="{00000000-0005-0000-0000-0000F25D0000}"/>
    <cellStyle name="Laskenta 4 2 23" xfId="28239" xr:uid="{00000000-0005-0000-0000-0000F35D0000}"/>
    <cellStyle name="Laskenta 4 2 24" xfId="28407" xr:uid="{00000000-0005-0000-0000-0000F45D0000}"/>
    <cellStyle name="Laskenta 4 2 25" xfId="28480" xr:uid="{00000000-0005-0000-0000-0000F55D0000}"/>
    <cellStyle name="Laskenta 4 2 26" xfId="28339" xr:uid="{00000000-0005-0000-0000-0000F65D0000}"/>
    <cellStyle name="Laskenta 4 2 27" xfId="28793" xr:uid="{00000000-0005-0000-0000-0000F75D0000}"/>
    <cellStyle name="Laskenta 4 2 28" xfId="28939" xr:uid="{00000000-0005-0000-0000-0000F85D0000}"/>
    <cellStyle name="Laskenta 4 2 29" xfId="28705" xr:uid="{00000000-0005-0000-0000-0000F95D0000}"/>
    <cellStyle name="Laskenta 4 2 3" xfId="5353" xr:uid="{00000000-0005-0000-0000-0000FA5D0000}"/>
    <cellStyle name="Laskenta 4 2 3 2" xfId="12679" xr:uid="{00000000-0005-0000-0000-0000FB5D0000}"/>
    <cellStyle name="Laskenta 4 2 3 3" xfId="18677" xr:uid="{00000000-0005-0000-0000-0000FC5D0000}"/>
    <cellStyle name="Laskenta 4 2 3 3 2" xfId="10981" xr:uid="{00000000-0005-0000-0000-0000FD5D0000}"/>
    <cellStyle name="Laskenta 4 2 3 3_DataIX" xfId="33269" xr:uid="{00000000-0005-0000-0000-0000FE5D0000}"/>
    <cellStyle name="Laskenta 4 2 3 4" xfId="20739" xr:uid="{00000000-0005-0000-0000-0000FF5D0000}"/>
    <cellStyle name="Laskenta 4 2 3 4 2" xfId="13722" xr:uid="{00000000-0005-0000-0000-0000005E0000}"/>
    <cellStyle name="Laskenta 4 2 3 4_DataIX" xfId="33270" xr:uid="{00000000-0005-0000-0000-0000015E0000}"/>
    <cellStyle name="Laskenta 4 2 3_DataIX" xfId="33268" xr:uid="{00000000-0005-0000-0000-0000025E0000}"/>
    <cellStyle name="Laskenta 4 2 30" xfId="28857" xr:uid="{00000000-0005-0000-0000-0000035E0000}"/>
    <cellStyle name="Laskenta 4 2 31" xfId="29043" xr:uid="{00000000-0005-0000-0000-0000045E0000}"/>
    <cellStyle name="Laskenta 4 2 32" xfId="29165" xr:uid="{00000000-0005-0000-0000-0000055E0000}"/>
    <cellStyle name="Laskenta 4 2 4" xfId="13387" xr:uid="{00000000-0005-0000-0000-0000065E0000}"/>
    <cellStyle name="Laskenta 4 2 4 2" xfId="20945" xr:uid="{00000000-0005-0000-0000-0000075E0000}"/>
    <cellStyle name="Laskenta 4 2 4 2 2" xfId="10969" xr:uid="{00000000-0005-0000-0000-0000085E0000}"/>
    <cellStyle name="Laskenta 4 2 4 2_DataIX" xfId="33272" xr:uid="{00000000-0005-0000-0000-0000095E0000}"/>
    <cellStyle name="Laskenta 4 2 4 3" xfId="21342" xr:uid="{00000000-0005-0000-0000-00000A5E0000}"/>
    <cellStyle name="Laskenta 4 2 4 3 2" xfId="13024" xr:uid="{00000000-0005-0000-0000-00000B5E0000}"/>
    <cellStyle name="Laskenta 4 2 4 3_DataIX" xfId="33273" xr:uid="{00000000-0005-0000-0000-00000C5E0000}"/>
    <cellStyle name="Laskenta 4 2 4 4" xfId="11067" xr:uid="{00000000-0005-0000-0000-00000D5E0000}"/>
    <cellStyle name="Laskenta 4 2 4 5" xfId="25157" xr:uid="{00000000-0005-0000-0000-00000E5E0000}"/>
    <cellStyle name="Laskenta 4 2 4 6" xfId="26963" xr:uid="{00000000-0005-0000-0000-00000F5E0000}"/>
    <cellStyle name="Laskenta 4 2 4 7" xfId="22753" xr:uid="{00000000-0005-0000-0000-0000105E0000}"/>
    <cellStyle name="Laskenta 4 2 4_DataIX" xfId="33271" xr:uid="{00000000-0005-0000-0000-0000115E0000}"/>
    <cellStyle name="Laskenta 4 2 5" xfId="13348" xr:uid="{00000000-0005-0000-0000-0000125E0000}"/>
    <cellStyle name="Laskenta 4 2 5 2" xfId="20920" xr:uid="{00000000-0005-0000-0000-0000135E0000}"/>
    <cellStyle name="Laskenta 4 2 5 2 2" xfId="13495" xr:uid="{00000000-0005-0000-0000-0000145E0000}"/>
    <cellStyle name="Laskenta 4 2 5 2_DataIX" xfId="33275" xr:uid="{00000000-0005-0000-0000-0000155E0000}"/>
    <cellStyle name="Laskenta 4 2 5 3" xfId="21308" xr:uid="{00000000-0005-0000-0000-0000165E0000}"/>
    <cellStyle name="Laskenta 4 2 5 3 2" xfId="12986" xr:uid="{00000000-0005-0000-0000-0000175E0000}"/>
    <cellStyle name="Laskenta 4 2 5 3_DataIX" xfId="33276" xr:uid="{00000000-0005-0000-0000-0000185E0000}"/>
    <cellStyle name="Laskenta 4 2 5 4" xfId="13698" xr:uid="{00000000-0005-0000-0000-0000195E0000}"/>
    <cellStyle name="Laskenta 4 2 5 5" xfId="25641" xr:uid="{00000000-0005-0000-0000-00001A5E0000}"/>
    <cellStyle name="Laskenta 4 2 5 6" xfId="27180" xr:uid="{00000000-0005-0000-0000-00001B5E0000}"/>
    <cellStyle name="Laskenta 4 2 5 7" xfId="23117" xr:uid="{00000000-0005-0000-0000-00001C5E0000}"/>
    <cellStyle name="Laskenta 4 2 5_DataIX" xfId="33274" xr:uid="{00000000-0005-0000-0000-00001D5E0000}"/>
    <cellStyle name="Laskenta 4 2 6" xfId="13264" xr:uid="{00000000-0005-0000-0000-00001E5E0000}"/>
    <cellStyle name="Laskenta 4 2 6 2" xfId="20857" xr:uid="{00000000-0005-0000-0000-00001F5E0000}"/>
    <cellStyle name="Laskenta 4 2 6 2 2" xfId="13009" xr:uid="{00000000-0005-0000-0000-0000205E0000}"/>
    <cellStyle name="Laskenta 4 2 6 2_DataIX" xfId="33278" xr:uid="{00000000-0005-0000-0000-0000215E0000}"/>
    <cellStyle name="Laskenta 4 2 6 3" xfId="21241" xr:uid="{00000000-0005-0000-0000-0000225E0000}"/>
    <cellStyle name="Laskenta 4 2 6 3 2" xfId="10904" xr:uid="{00000000-0005-0000-0000-0000235E0000}"/>
    <cellStyle name="Laskenta 4 2 6 3_DataIX" xfId="33279" xr:uid="{00000000-0005-0000-0000-0000245E0000}"/>
    <cellStyle name="Laskenta 4 2 6 4" xfId="13004" xr:uid="{00000000-0005-0000-0000-0000255E0000}"/>
    <cellStyle name="Laskenta 4 2 6 5" xfId="25345" xr:uid="{00000000-0005-0000-0000-0000265E0000}"/>
    <cellStyle name="Laskenta 4 2 6 6" xfId="27059" xr:uid="{00000000-0005-0000-0000-0000275E0000}"/>
    <cellStyle name="Laskenta 4 2 6 7" xfId="26879" xr:uid="{00000000-0005-0000-0000-0000285E0000}"/>
    <cellStyle name="Laskenta 4 2 6_DataIX" xfId="33277" xr:uid="{00000000-0005-0000-0000-0000295E0000}"/>
    <cellStyle name="Laskenta 4 2 7" xfId="10712" xr:uid="{00000000-0005-0000-0000-00002A5E0000}"/>
    <cellStyle name="Laskenta 4 2 7 2" xfId="21028" xr:uid="{00000000-0005-0000-0000-00002B5E0000}"/>
    <cellStyle name="Laskenta 4 2 7 2 2" xfId="12728" xr:uid="{00000000-0005-0000-0000-00002C5E0000}"/>
    <cellStyle name="Laskenta 4 2 7 2_DataIX" xfId="33281" xr:uid="{00000000-0005-0000-0000-00002D5E0000}"/>
    <cellStyle name="Laskenta 4 2 7 3" xfId="22258" xr:uid="{00000000-0005-0000-0000-00002E5E0000}"/>
    <cellStyle name="Laskenta 4 2 7 4" xfId="25903" xr:uid="{00000000-0005-0000-0000-00002F5E0000}"/>
    <cellStyle name="Laskenta 4 2 7 5" xfId="27265" xr:uid="{00000000-0005-0000-0000-0000305E0000}"/>
    <cellStyle name="Laskenta 4 2 7 6" xfId="23114" xr:uid="{00000000-0005-0000-0000-0000315E0000}"/>
    <cellStyle name="Laskenta 4 2 7_DataIX" xfId="33280" xr:uid="{00000000-0005-0000-0000-0000325E0000}"/>
    <cellStyle name="Laskenta 4 2 8" xfId="12857" xr:uid="{00000000-0005-0000-0000-0000335E0000}"/>
    <cellStyle name="Laskenta 4 2 8 2" xfId="21112" xr:uid="{00000000-0005-0000-0000-0000345E0000}"/>
    <cellStyle name="Laskenta 4 2 8 2 2" xfId="21770" xr:uid="{00000000-0005-0000-0000-0000355E0000}"/>
    <cellStyle name="Laskenta 4 2 8 2_DataIX" xfId="33283" xr:uid="{00000000-0005-0000-0000-0000365E0000}"/>
    <cellStyle name="Laskenta 4 2 8 3" xfId="12967" xr:uid="{00000000-0005-0000-0000-0000375E0000}"/>
    <cellStyle name="Laskenta 4 2 8 4" xfId="26061" xr:uid="{00000000-0005-0000-0000-0000385E0000}"/>
    <cellStyle name="Laskenta 4 2 8 5" xfId="27313" xr:uid="{00000000-0005-0000-0000-0000395E0000}"/>
    <cellStyle name="Laskenta 4 2 8 6" xfId="26918" xr:uid="{00000000-0005-0000-0000-00003A5E0000}"/>
    <cellStyle name="Laskenta 4 2 8_DataIX" xfId="33282" xr:uid="{00000000-0005-0000-0000-00003B5E0000}"/>
    <cellStyle name="Laskenta 4 2 9" xfId="13435" xr:uid="{00000000-0005-0000-0000-00003C5E0000}"/>
    <cellStyle name="Laskenta 4 2 9 2" xfId="21368" xr:uid="{00000000-0005-0000-0000-00003D5E0000}"/>
    <cellStyle name="Laskenta 4 2 9 2 2" xfId="13721" xr:uid="{00000000-0005-0000-0000-00003E5E0000}"/>
    <cellStyle name="Laskenta 4 2 9 2_DataIX" xfId="33285" xr:uid="{00000000-0005-0000-0000-00003F5E0000}"/>
    <cellStyle name="Laskenta 4 2 9 3" xfId="13486" xr:uid="{00000000-0005-0000-0000-0000405E0000}"/>
    <cellStyle name="Laskenta 4 2 9 4" xfId="25391" xr:uid="{00000000-0005-0000-0000-0000415E0000}"/>
    <cellStyle name="Laskenta 4 2 9 5" xfId="27085" xr:uid="{00000000-0005-0000-0000-0000425E0000}"/>
    <cellStyle name="Laskenta 4 2 9 6" xfId="26877" xr:uid="{00000000-0005-0000-0000-0000435E0000}"/>
    <cellStyle name="Laskenta 4 2 9_DataIX" xfId="33284" xr:uid="{00000000-0005-0000-0000-0000445E0000}"/>
    <cellStyle name="Laskenta 4 2_##Keskeiset" xfId="9439" xr:uid="{00000000-0005-0000-0000-0000455E0000}"/>
    <cellStyle name="Laskenta 4 20" xfId="27862" xr:uid="{00000000-0005-0000-0000-0000465E0000}"/>
    <cellStyle name="Laskenta 4 21" xfId="28032" xr:uid="{00000000-0005-0000-0000-0000475E0000}"/>
    <cellStyle name="Laskenta 4 22" xfId="28143" xr:uid="{00000000-0005-0000-0000-0000485E0000}"/>
    <cellStyle name="Laskenta 4 23" xfId="28238" xr:uid="{00000000-0005-0000-0000-0000495E0000}"/>
    <cellStyle name="Laskenta 4 24" xfId="28191" xr:uid="{00000000-0005-0000-0000-00004A5E0000}"/>
    <cellStyle name="Laskenta 4 25" xfId="28357" xr:uid="{00000000-0005-0000-0000-00004B5E0000}"/>
    <cellStyle name="Laskenta 4 26" xfId="28444" xr:uid="{00000000-0005-0000-0000-00004C5E0000}"/>
    <cellStyle name="Laskenta 4 27" xfId="28630" xr:uid="{00000000-0005-0000-0000-00004D5E0000}"/>
    <cellStyle name="Laskenta 4 28" xfId="28784" xr:uid="{00000000-0005-0000-0000-00004E5E0000}"/>
    <cellStyle name="Laskenta 4 29" xfId="28887" xr:uid="{00000000-0005-0000-0000-00004F5E0000}"/>
    <cellStyle name="Laskenta 4 3" xfId="5242" xr:uid="{00000000-0005-0000-0000-0000505E0000}"/>
    <cellStyle name="Laskenta 4 3 2" xfId="5631" xr:uid="{00000000-0005-0000-0000-0000515E0000}"/>
    <cellStyle name="Laskenta 4 3 2 2" xfId="12680" xr:uid="{00000000-0005-0000-0000-0000525E0000}"/>
    <cellStyle name="Laskenta 4 3 2 3" xfId="18849" xr:uid="{00000000-0005-0000-0000-0000535E0000}"/>
    <cellStyle name="Laskenta 4 3 2 3 2" xfId="21646" xr:uid="{00000000-0005-0000-0000-0000545E0000}"/>
    <cellStyle name="Laskenta 4 3 2 3_DataIX" xfId="33288" xr:uid="{00000000-0005-0000-0000-0000555E0000}"/>
    <cellStyle name="Laskenta 4 3 2 4" xfId="18962" xr:uid="{00000000-0005-0000-0000-0000565E0000}"/>
    <cellStyle name="Laskenta 4 3 2 4 2" xfId="11261" xr:uid="{00000000-0005-0000-0000-0000575E0000}"/>
    <cellStyle name="Laskenta 4 3 2 4_DataIX" xfId="33289" xr:uid="{00000000-0005-0000-0000-0000585E0000}"/>
    <cellStyle name="Laskenta 4 3 2_DataIX" xfId="33287" xr:uid="{00000000-0005-0000-0000-0000595E0000}"/>
    <cellStyle name="Laskenta 4 3 3" xfId="11063" xr:uid="{00000000-0005-0000-0000-00005A5E0000}"/>
    <cellStyle name="Laskenta 4 3 4" xfId="18572" xr:uid="{00000000-0005-0000-0000-00005B5E0000}"/>
    <cellStyle name="Laskenta 4 3 4 2" xfId="21395" xr:uid="{00000000-0005-0000-0000-00005C5E0000}"/>
    <cellStyle name="Laskenta 4 3 4_DataIX" xfId="33290" xr:uid="{00000000-0005-0000-0000-00005D5E0000}"/>
    <cellStyle name="Laskenta 4 3 5" xfId="19039" xr:uid="{00000000-0005-0000-0000-00005E5E0000}"/>
    <cellStyle name="Laskenta 4 3 5 2" xfId="22236" xr:uid="{00000000-0005-0000-0000-00005F5E0000}"/>
    <cellStyle name="Laskenta 4 3 5_DataIX" xfId="33291" xr:uid="{00000000-0005-0000-0000-0000605E0000}"/>
    <cellStyle name="Laskenta 4 3_DataIX" xfId="33286" xr:uid="{00000000-0005-0000-0000-0000615E0000}"/>
    <cellStyle name="Laskenta 4 30" xfId="28700" xr:uid="{00000000-0005-0000-0000-0000625E0000}"/>
    <cellStyle name="Laskenta 4 31" xfId="29042" xr:uid="{00000000-0005-0000-0000-0000635E0000}"/>
    <cellStyle name="Laskenta 4 32" xfId="29166" xr:uid="{00000000-0005-0000-0000-0000645E0000}"/>
    <cellStyle name="Laskenta 4 4" xfId="5632" xr:uid="{00000000-0005-0000-0000-0000655E0000}"/>
    <cellStyle name="Laskenta 4 4 2" xfId="10592" xr:uid="{00000000-0005-0000-0000-0000665E0000}"/>
    <cellStyle name="Laskenta 4 4 2 2" xfId="12682" xr:uid="{00000000-0005-0000-0000-0000675E0000}"/>
    <cellStyle name="Laskenta 4 4 2 3" xfId="20374" xr:uid="{00000000-0005-0000-0000-0000685E0000}"/>
    <cellStyle name="Laskenta 4 4 2 3 2" xfId="11248" xr:uid="{00000000-0005-0000-0000-0000695E0000}"/>
    <cellStyle name="Laskenta 4 4 2 3_DataIX" xfId="33294" xr:uid="{00000000-0005-0000-0000-00006A5E0000}"/>
    <cellStyle name="Laskenta 4 4 2 4" xfId="20985" xr:uid="{00000000-0005-0000-0000-00006B5E0000}"/>
    <cellStyle name="Laskenta 4 4 2 4 2" xfId="11273" xr:uid="{00000000-0005-0000-0000-00006C5E0000}"/>
    <cellStyle name="Laskenta 4 4 2 4_DataIX" xfId="33295" xr:uid="{00000000-0005-0000-0000-00006D5E0000}"/>
    <cellStyle name="Laskenta 4 4 2_DataIX" xfId="33293" xr:uid="{00000000-0005-0000-0000-00006E5E0000}"/>
    <cellStyle name="Laskenta 4 4 3" xfId="12681" xr:uid="{00000000-0005-0000-0000-00006F5E0000}"/>
    <cellStyle name="Laskenta 4 4 4" xfId="18850" xr:uid="{00000000-0005-0000-0000-0000705E0000}"/>
    <cellStyle name="Laskenta 4 4 4 2" xfId="10893" xr:uid="{00000000-0005-0000-0000-0000715E0000}"/>
    <cellStyle name="Laskenta 4 4 4_DataIX" xfId="33296" xr:uid="{00000000-0005-0000-0000-0000725E0000}"/>
    <cellStyle name="Laskenta 4 4 5" xfId="20442" xr:uid="{00000000-0005-0000-0000-0000735E0000}"/>
    <cellStyle name="Laskenta 4 4 5 2" xfId="20625" xr:uid="{00000000-0005-0000-0000-0000745E0000}"/>
    <cellStyle name="Laskenta 4 4 5_DataIX" xfId="33297" xr:uid="{00000000-0005-0000-0000-0000755E0000}"/>
    <cellStyle name="Laskenta 4 4_DataIX" xfId="33292" xr:uid="{00000000-0005-0000-0000-0000765E0000}"/>
    <cellStyle name="Laskenta 4 5" xfId="5352" xr:uid="{00000000-0005-0000-0000-0000775E0000}"/>
    <cellStyle name="Laskenta 4 5 2" xfId="12683" xr:uid="{00000000-0005-0000-0000-0000785E0000}"/>
    <cellStyle name="Laskenta 4 5 3" xfId="18676" xr:uid="{00000000-0005-0000-0000-0000795E0000}"/>
    <cellStyle name="Laskenta 4 5 3 2" xfId="13767" xr:uid="{00000000-0005-0000-0000-00007A5E0000}"/>
    <cellStyle name="Laskenta 4 5 3_DataIX" xfId="33299" xr:uid="{00000000-0005-0000-0000-00007B5E0000}"/>
    <cellStyle name="Laskenta 4 5 4" xfId="20820" xr:uid="{00000000-0005-0000-0000-00007C5E0000}"/>
    <cellStyle name="Laskenta 4 5 4 2" xfId="20653" xr:uid="{00000000-0005-0000-0000-00007D5E0000}"/>
    <cellStyle name="Laskenta 4 5 4_DataIX" xfId="33300" xr:uid="{00000000-0005-0000-0000-00007E5E0000}"/>
    <cellStyle name="Laskenta 4 5_DataIX" xfId="33298" xr:uid="{00000000-0005-0000-0000-00007F5E0000}"/>
    <cellStyle name="Laskenta 4 6" xfId="13297" xr:uid="{00000000-0005-0000-0000-0000805E0000}"/>
    <cellStyle name="Laskenta 4 6 2" xfId="20886" xr:uid="{00000000-0005-0000-0000-0000815E0000}"/>
    <cellStyle name="Laskenta 4 6 2 2" xfId="21808" xr:uid="{00000000-0005-0000-0000-0000825E0000}"/>
    <cellStyle name="Laskenta 4 6 2_DataIX" xfId="33302" xr:uid="{00000000-0005-0000-0000-0000835E0000}"/>
    <cellStyle name="Laskenta 4 6 3" xfId="21274" xr:uid="{00000000-0005-0000-0000-0000845E0000}"/>
    <cellStyle name="Laskenta 4 6 3 2" xfId="13545" xr:uid="{00000000-0005-0000-0000-0000855E0000}"/>
    <cellStyle name="Laskenta 4 6 3_DataIX" xfId="33303" xr:uid="{00000000-0005-0000-0000-0000865E0000}"/>
    <cellStyle name="Laskenta 4 6 4" xfId="12626" xr:uid="{00000000-0005-0000-0000-0000875E0000}"/>
    <cellStyle name="Laskenta 4 6 5" xfId="25156" xr:uid="{00000000-0005-0000-0000-0000885E0000}"/>
    <cellStyle name="Laskenta 4 6 6" xfId="26962" xr:uid="{00000000-0005-0000-0000-0000895E0000}"/>
    <cellStyle name="Laskenta 4 6 7" xfId="23095" xr:uid="{00000000-0005-0000-0000-00008A5E0000}"/>
    <cellStyle name="Laskenta 4 6_DataIX" xfId="33301" xr:uid="{00000000-0005-0000-0000-00008B5E0000}"/>
    <cellStyle name="Laskenta 4 7" xfId="13347" xr:uid="{00000000-0005-0000-0000-00008C5E0000}"/>
    <cellStyle name="Laskenta 4 7 2" xfId="20919" xr:uid="{00000000-0005-0000-0000-00008D5E0000}"/>
    <cellStyle name="Laskenta 4 7 2 2" xfId="13453" xr:uid="{00000000-0005-0000-0000-00008E5E0000}"/>
    <cellStyle name="Laskenta 4 7 2_DataIX" xfId="33305" xr:uid="{00000000-0005-0000-0000-00008F5E0000}"/>
    <cellStyle name="Laskenta 4 7 3" xfId="21307" xr:uid="{00000000-0005-0000-0000-0000905E0000}"/>
    <cellStyle name="Laskenta 4 7 3 2" xfId="21597" xr:uid="{00000000-0005-0000-0000-0000915E0000}"/>
    <cellStyle name="Laskenta 4 7 3_DataIX" xfId="33306" xr:uid="{00000000-0005-0000-0000-0000925E0000}"/>
    <cellStyle name="Laskenta 4 7 4" xfId="21512" xr:uid="{00000000-0005-0000-0000-0000935E0000}"/>
    <cellStyle name="Laskenta 4 7 5" xfId="26140" xr:uid="{00000000-0005-0000-0000-0000945E0000}"/>
    <cellStyle name="Laskenta 4 7 6" xfId="27351" xr:uid="{00000000-0005-0000-0000-0000955E0000}"/>
    <cellStyle name="Laskenta 4 7 7" xfId="26894" xr:uid="{00000000-0005-0000-0000-0000965E0000}"/>
    <cellStyle name="Laskenta 4 7_DataIX" xfId="33304" xr:uid="{00000000-0005-0000-0000-0000975E0000}"/>
    <cellStyle name="Laskenta 4 8" xfId="13220" xr:uid="{00000000-0005-0000-0000-0000985E0000}"/>
    <cellStyle name="Laskenta 4 8 2" xfId="20832" xr:uid="{00000000-0005-0000-0000-0000995E0000}"/>
    <cellStyle name="Laskenta 4 8 2 2" xfId="13616" xr:uid="{00000000-0005-0000-0000-00009A5E0000}"/>
    <cellStyle name="Laskenta 4 8 2_DataIX" xfId="33308" xr:uid="{00000000-0005-0000-0000-00009B5E0000}"/>
    <cellStyle name="Laskenta 4 8 3" xfId="21208" xr:uid="{00000000-0005-0000-0000-00009C5E0000}"/>
    <cellStyle name="Laskenta 4 8 3 2" xfId="13065" xr:uid="{00000000-0005-0000-0000-00009D5E0000}"/>
    <cellStyle name="Laskenta 4 8 3_DataIX" xfId="33309" xr:uid="{00000000-0005-0000-0000-00009E5E0000}"/>
    <cellStyle name="Laskenta 4 8 4" xfId="13625" xr:uid="{00000000-0005-0000-0000-00009F5E0000}"/>
    <cellStyle name="Laskenta 4 8 5" xfId="26578" xr:uid="{00000000-0005-0000-0000-0000A05E0000}"/>
    <cellStyle name="Laskenta 4 8 6" xfId="27537" xr:uid="{00000000-0005-0000-0000-0000A15E0000}"/>
    <cellStyle name="Laskenta 4 8 7" xfId="22989" xr:uid="{00000000-0005-0000-0000-0000A25E0000}"/>
    <cellStyle name="Laskenta 4 8_DataIX" xfId="33307" xr:uid="{00000000-0005-0000-0000-0000A35E0000}"/>
    <cellStyle name="Laskenta 4 9" xfId="10711" xr:uid="{00000000-0005-0000-0000-0000A45E0000}"/>
    <cellStyle name="Laskenta 4 9 2" xfId="21027" xr:uid="{00000000-0005-0000-0000-0000A55E0000}"/>
    <cellStyle name="Laskenta 4 9 2 2" xfId="13000" xr:uid="{00000000-0005-0000-0000-0000A65E0000}"/>
    <cellStyle name="Laskenta 4 9 2_DataIX" xfId="33311" xr:uid="{00000000-0005-0000-0000-0000A75E0000}"/>
    <cellStyle name="Laskenta 4 9 3" xfId="13452" xr:uid="{00000000-0005-0000-0000-0000A85E0000}"/>
    <cellStyle name="Laskenta 4 9 4" xfId="26432" xr:uid="{00000000-0005-0000-0000-0000A95E0000}"/>
    <cellStyle name="Laskenta 4 9 5" xfId="27471" xr:uid="{00000000-0005-0000-0000-0000AA5E0000}"/>
    <cellStyle name="Laskenta 4 9 6" xfId="22979" xr:uid="{00000000-0005-0000-0000-0000AB5E0000}"/>
    <cellStyle name="Laskenta 4 9_DataIX" xfId="33310" xr:uid="{00000000-0005-0000-0000-0000AC5E0000}"/>
    <cellStyle name="Laskenta 4_##Keskeiset" xfId="9438" xr:uid="{00000000-0005-0000-0000-0000AD5E0000}"/>
    <cellStyle name="Laskenta 5" xfId="5633" xr:uid="{00000000-0005-0000-0000-0000AE5E0000}"/>
    <cellStyle name="Laskenta 5 2" xfId="10591" xr:uid="{00000000-0005-0000-0000-0000AF5E0000}"/>
    <cellStyle name="Laskenta 5 2 2" xfId="12685" xr:uid="{00000000-0005-0000-0000-0000B05E0000}"/>
    <cellStyle name="Laskenta 5 2 3" xfId="20373" xr:uid="{00000000-0005-0000-0000-0000B15E0000}"/>
    <cellStyle name="Laskenta 5 2 3 2" xfId="21790" xr:uid="{00000000-0005-0000-0000-0000B25E0000}"/>
    <cellStyle name="Laskenta 5 2 3_DataIX" xfId="33314" xr:uid="{00000000-0005-0000-0000-0000B35E0000}"/>
    <cellStyle name="Laskenta 5 2 4" xfId="20984" xr:uid="{00000000-0005-0000-0000-0000B45E0000}"/>
    <cellStyle name="Laskenta 5 2 4 2" xfId="12768" xr:uid="{00000000-0005-0000-0000-0000B55E0000}"/>
    <cellStyle name="Laskenta 5 2 4_DataIX" xfId="33315" xr:uid="{00000000-0005-0000-0000-0000B65E0000}"/>
    <cellStyle name="Laskenta 5 2_DataIX" xfId="33313" xr:uid="{00000000-0005-0000-0000-0000B75E0000}"/>
    <cellStyle name="Laskenta 5 3" xfId="12684" xr:uid="{00000000-0005-0000-0000-0000B85E0000}"/>
    <cellStyle name="Laskenta 5 4" xfId="18851" xr:uid="{00000000-0005-0000-0000-0000B95E0000}"/>
    <cellStyle name="Laskenta 5 4 2" xfId="13737" xr:uid="{00000000-0005-0000-0000-0000BA5E0000}"/>
    <cellStyle name="Laskenta 5 4_DataIX" xfId="33316" xr:uid="{00000000-0005-0000-0000-0000BB5E0000}"/>
    <cellStyle name="Laskenta 5 5" xfId="18960" xr:uid="{00000000-0005-0000-0000-0000BC5E0000}"/>
    <cellStyle name="Laskenta 5 5 2" xfId="21472" xr:uid="{00000000-0005-0000-0000-0000BD5E0000}"/>
    <cellStyle name="Laskenta 5 5_DataIX" xfId="33317" xr:uid="{00000000-0005-0000-0000-0000BE5E0000}"/>
    <cellStyle name="Laskenta 5 6" xfId="27785" xr:uid="{00000000-0005-0000-0000-0000BF5E0000}"/>
    <cellStyle name="Laskenta 5_DataIX" xfId="33312" xr:uid="{00000000-0005-0000-0000-0000C05E0000}"/>
    <cellStyle name="Laskenta 6" xfId="5302" xr:uid="{00000000-0005-0000-0000-0000C15E0000}"/>
    <cellStyle name="Laskenta 6 2" xfId="12686" xr:uid="{00000000-0005-0000-0000-0000C25E0000}"/>
    <cellStyle name="Laskenta 6 3" xfId="18626" xr:uid="{00000000-0005-0000-0000-0000C35E0000}"/>
    <cellStyle name="Laskenta 6_DataIX" xfId="33318" xr:uid="{00000000-0005-0000-0000-0000C45E0000}"/>
    <cellStyle name="Laskenta 7" xfId="5359" xr:uid="{00000000-0005-0000-0000-0000C55E0000}"/>
    <cellStyle name="Laskenta 7 2" xfId="12687" xr:uid="{00000000-0005-0000-0000-0000C65E0000}"/>
    <cellStyle name="Laskenta 7 3" xfId="18683" xr:uid="{00000000-0005-0000-0000-0000C75E0000}"/>
    <cellStyle name="Laskenta 7_DataIX" xfId="33319" xr:uid="{00000000-0005-0000-0000-0000C85E0000}"/>
    <cellStyle name="Laskenta 8" xfId="10625" xr:uid="{00000000-0005-0000-0000-0000C95E0000}"/>
    <cellStyle name="Laskenta 8 2" xfId="12688" xr:uid="{00000000-0005-0000-0000-0000CA5E0000}"/>
    <cellStyle name="Laskenta 8 3" xfId="20407" xr:uid="{00000000-0005-0000-0000-0000CB5E0000}"/>
    <cellStyle name="Laskenta 8_DataIX" xfId="33320" xr:uid="{00000000-0005-0000-0000-0000CC5E0000}"/>
    <cellStyle name="Laskenta 9" xfId="5314" xr:uid="{00000000-0005-0000-0000-0000CD5E0000}"/>
    <cellStyle name="Laskenta 9 2" xfId="12689" xr:uid="{00000000-0005-0000-0000-0000CE5E0000}"/>
    <cellStyle name="Laskenta 9 3" xfId="18638" xr:uid="{00000000-0005-0000-0000-0000CF5E0000}"/>
    <cellStyle name="Laskenta 9_DataIX" xfId="33321" xr:uid="{00000000-0005-0000-0000-0000D05E0000}"/>
    <cellStyle name="Laskenta_##KansantalKehitys" xfId="5434" xr:uid="{00000000-0005-0000-0000-0000D15E0000}"/>
    <cellStyle name="Laskentasolu" xfId="210" xr:uid="{00000000-0005-0000-0000-0000D25E0000}"/>
    <cellStyle name="Laskentasolu 2" xfId="25158" xr:uid="{00000000-0005-0000-0000-0000D35E0000}"/>
    <cellStyle name="Laskentasolu 3" xfId="24962" xr:uid="{00000000-0005-0000-0000-0000D45E0000}"/>
    <cellStyle name="Laskentasolu_DataIX" xfId="33322" xr:uid="{00000000-0005-0000-0000-0000D55E0000}"/>
    <cellStyle name="Linked Cell" xfId="94" xr:uid="{00000000-0005-0000-0000-0000D65E0000}"/>
    <cellStyle name="Linked Cell 2" xfId="95" xr:uid="{00000000-0005-0000-0000-0000D75E0000}"/>
    <cellStyle name="Linked Cell 2 10" xfId="25820" xr:uid="{00000000-0005-0000-0000-0000D85E0000}"/>
    <cellStyle name="Linked Cell 2 2" xfId="4203" xr:uid="{00000000-0005-0000-0000-0000D95E0000}"/>
    <cellStyle name="Linked Cell 2 2 2" xfId="9442" xr:uid="{00000000-0005-0000-0000-0000DA5E0000}"/>
    <cellStyle name="Linked Cell 2 2 3" xfId="17553" xr:uid="{00000000-0005-0000-0000-0000DB5E0000}"/>
    <cellStyle name="Linked Cell 2 2_DataIX" xfId="33323" xr:uid="{00000000-0005-0000-0000-0000DC5E0000}"/>
    <cellStyle name="Linked Cell 2 3" xfId="25159" xr:uid="{00000000-0005-0000-0000-0000DD5E0000}"/>
    <cellStyle name="Linked Cell 2 4" xfId="26139" xr:uid="{00000000-0005-0000-0000-0000DE5E0000}"/>
    <cellStyle name="Linked Cell 2 5" xfId="25764" xr:uid="{00000000-0005-0000-0000-0000DF5E0000}"/>
    <cellStyle name="Linked Cell 2 6" xfId="25703" xr:uid="{00000000-0005-0000-0000-0000E05E0000}"/>
    <cellStyle name="Linked Cell 2 7" xfId="25932" xr:uid="{00000000-0005-0000-0000-0000E15E0000}"/>
    <cellStyle name="Linked Cell 2 8" xfId="25678" xr:uid="{00000000-0005-0000-0000-0000E25E0000}"/>
    <cellStyle name="Linked Cell 2 9" xfId="25469" xr:uid="{00000000-0005-0000-0000-0000E35E0000}"/>
    <cellStyle name="Linked Cell 2_##Keskeiset" xfId="9441" xr:uid="{00000000-0005-0000-0000-0000E45E0000}"/>
    <cellStyle name="Linked Cell 3" xfId="5635" xr:uid="{00000000-0005-0000-0000-0000E55E0000}"/>
    <cellStyle name="Linked Cell 3 2" xfId="12691" xr:uid="{00000000-0005-0000-0000-0000E65E0000}"/>
    <cellStyle name="Linked Cell 3 3" xfId="18852" xr:uid="{00000000-0005-0000-0000-0000E75E0000}"/>
    <cellStyle name="Linked Cell 3_DataIX" xfId="33324" xr:uid="{00000000-0005-0000-0000-0000E85E0000}"/>
    <cellStyle name="Linked Cell_##Keskeiset" xfId="5634" xr:uid="{00000000-0005-0000-0000-0000E95E0000}"/>
    <cellStyle name="Linkitetty solu" xfId="356" xr:uid="{00000000-0005-0000-0000-0000EA5E0000}"/>
    <cellStyle name="Linkitetty solu 10" xfId="25811" xr:uid="{00000000-0005-0000-0000-0000EB5E0000}"/>
    <cellStyle name="Linkitetty solu 2" xfId="212" xr:uid="{00000000-0005-0000-0000-0000EC5E0000}"/>
    <cellStyle name="Linkitetty solu 2 10" xfId="26185" xr:uid="{00000000-0005-0000-0000-0000ED5E0000}"/>
    <cellStyle name="Linkitetty solu 2 2" xfId="4204" xr:uid="{00000000-0005-0000-0000-0000EE5E0000}"/>
    <cellStyle name="Linkitetty solu 2 2 2" xfId="9444" xr:uid="{00000000-0005-0000-0000-0000EF5E0000}"/>
    <cellStyle name="Linkitetty solu 2 2 3" xfId="17554" xr:uid="{00000000-0005-0000-0000-0000F05E0000}"/>
    <cellStyle name="Linkitetty solu 2 2_DataIX" xfId="33325" xr:uid="{00000000-0005-0000-0000-0000F15E0000}"/>
    <cellStyle name="Linkitetty solu 2 3" xfId="25160" xr:uid="{00000000-0005-0000-0000-0000F25E0000}"/>
    <cellStyle name="Linkitetty solu 2 4" xfId="26477" xr:uid="{00000000-0005-0000-0000-0000F35E0000}"/>
    <cellStyle name="Linkitetty solu 2 5" xfId="26295" xr:uid="{00000000-0005-0000-0000-0000F45E0000}"/>
    <cellStyle name="Linkitetty solu 2 6" xfId="25688" xr:uid="{00000000-0005-0000-0000-0000F55E0000}"/>
    <cellStyle name="Linkitetty solu 2 7" xfId="25972" xr:uid="{00000000-0005-0000-0000-0000F65E0000}"/>
    <cellStyle name="Linkitetty solu 2 8" xfId="25713" xr:uid="{00000000-0005-0000-0000-0000F75E0000}"/>
    <cellStyle name="Linkitetty solu 2 9" xfId="25580" xr:uid="{00000000-0005-0000-0000-0000F85E0000}"/>
    <cellStyle name="Linkitetty solu 2_##Keskeiset" xfId="9443" xr:uid="{00000000-0005-0000-0000-0000F95E0000}"/>
    <cellStyle name="Linkitetty solu 3" xfId="211" xr:uid="{00000000-0005-0000-0000-0000FA5E0000}"/>
    <cellStyle name="Linkitetty solu 3 2" xfId="25161" xr:uid="{00000000-0005-0000-0000-0000FB5E0000}"/>
    <cellStyle name="Linkitetty solu 3 3" xfId="24963" xr:uid="{00000000-0005-0000-0000-0000FC5E0000}"/>
    <cellStyle name="Linkitetty solu 3_DataIX" xfId="33326" xr:uid="{00000000-0005-0000-0000-0000FD5E0000}"/>
    <cellStyle name="Linkitetty solu 4" xfId="5636" xr:uid="{00000000-0005-0000-0000-0000FE5E0000}"/>
    <cellStyle name="Linkitetty solu 4 2" xfId="12692" xr:uid="{00000000-0005-0000-0000-0000FF5E0000}"/>
    <cellStyle name="Linkitetty solu 4 3" xfId="18853" xr:uid="{00000000-0005-0000-0000-0000005F0000}"/>
    <cellStyle name="Linkitetty solu 4 4" xfId="27786" xr:uid="{00000000-0005-0000-0000-0000015F0000}"/>
    <cellStyle name="Linkitetty solu 4_DataIX" xfId="33327" xr:uid="{00000000-0005-0000-0000-0000025F0000}"/>
    <cellStyle name="Linkitetty solu 5" xfId="10669" xr:uid="{00000000-0005-0000-0000-0000035F0000}"/>
    <cellStyle name="Linkitetty solu 6" xfId="26509" xr:uid="{00000000-0005-0000-0000-0000045F0000}"/>
    <cellStyle name="Linkitetty solu 7" xfId="25518" xr:uid="{00000000-0005-0000-0000-0000055F0000}"/>
    <cellStyle name="Linkitetty solu 8" xfId="25514" xr:uid="{00000000-0005-0000-0000-0000065F0000}"/>
    <cellStyle name="Linkitetty solu 9" xfId="26555" xr:uid="{00000000-0005-0000-0000-0000075F0000}"/>
    <cellStyle name="Linkitetty solu_##KansantalKehitys" xfId="5435" xr:uid="{00000000-0005-0000-0000-0000085F0000}"/>
    <cellStyle name="Měna0" xfId="4205" xr:uid="{00000000-0005-0000-0000-0000095F0000}"/>
    <cellStyle name="Měna0 2" xfId="9445" xr:uid="{00000000-0005-0000-0000-00000A5F0000}"/>
    <cellStyle name="Měna0 3" xfId="17555" xr:uid="{00000000-0005-0000-0000-00000B5F0000}"/>
    <cellStyle name="Měna0_DataIX" xfId="33328" xr:uid="{00000000-0005-0000-0000-00000C5F0000}"/>
    <cellStyle name="měny_Vlada-upraveno 15.6" xfId="4206" xr:uid="{00000000-0005-0000-0000-00000D5F0000}"/>
    <cellStyle name="Millares [0]_BALPROGRAMA2001R" xfId="4207" xr:uid="{00000000-0005-0000-0000-00000E5F0000}"/>
    <cellStyle name="Millares_BALPROGRAMA2001R" xfId="4208" xr:uid="{00000000-0005-0000-0000-00000F5F0000}"/>
    <cellStyle name="Milliers [0]_3A_NumeratorReport_Option1_040611" xfId="4209" xr:uid="{00000000-0005-0000-0000-0000105F0000}"/>
    <cellStyle name="Milliers_3A_NumeratorReport_Option1_040611" xfId="4210" xr:uid="{00000000-0005-0000-0000-0000115F0000}"/>
    <cellStyle name="Mìna0" xfId="4211" xr:uid="{00000000-0005-0000-0000-0000125F0000}"/>
    <cellStyle name="Mìna0 2" xfId="9446" xr:uid="{00000000-0005-0000-0000-0000135F0000}"/>
    <cellStyle name="Mìna0 3" xfId="17556" xr:uid="{00000000-0005-0000-0000-0000145F0000}"/>
    <cellStyle name="Mìna0_DataIX" xfId="33329" xr:uid="{00000000-0005-0000-0000-0000155F0000}"/>
    <cellStyle name="Moneda [0]_BALPROGRAMA2001R" xfId="4212" xr:uid="{00000000-0005-0000-0000-0000165F0000}"/>
    <cellStyle name="Moneda_BALPROGRAMA2001R" xfId="4213" xr:uid="{00000000-0005-0000-0000-0000175F0000}"/>
    <cellStyle name="Monétaire [0]_3A_NumeratorReport_Option1_040611" xfId="4214" xr:uid="{00000000-0005-0000-0000-0000185F0000}"/>
    <cellStyle name="Monétaire_3A_NumeratorReport_Option1_040611" xfId="4215" xr:uid="{00000000-0005-0000-0000-0000195F0000}"/>
    <cellStyle name="MTW" xfId="4216" xr:uid="{00000000-0005-0000-0000-00001A5F0000}"/>
    <cellStyle name="MTW 2" xfId="9447" xr:uid="{00000000-0005-0000-0000-00001B5F0000}"/>
    <cellStyle name="MTW 3" xfId="17557" xr:uid="{00000000-0005-0000-0000-00001C5F0000}"/>
    <cellStyle name="MTW_DataIX" xfId="33330" xr:uid="{00000000-0005-0000-0000-00001D5F0000}"/>
    <cellStyle name="Navadno_Slo" xfId="4217" xr:uid="{00000000-0005-0000-0000-00001E5F0000}"/>
    <cellStyle name="Neutraali" xfId="357" xr:uid="{00000000-0005-0000-0000-00001F5F0000}"/>
    <cellStyle name="Neutraali 10" xfId="25610" xr:uid="{00000000-0005-0000-0000-0000205F0000}"/>
    <cellStyle name="Neutraali 2" xfId="214" xr:uid="{00000000-0005-0000-0000-0000215F0000}"/>
    <cellStyle name="Neutraali 2 10" xfId="26452" xr:uid="{00000000-0005-0000-0000-0000225F0000}"/>
    <cellStyle name="Neutraali 2 2" xfId="4218" xr:uid="{00000000-0005-0000-0000-0000235F0000}"/>
    <cellStyle name="Neutraali 2 2 2" xfId="9449" xr:uid="{00000000-0005-0000-0000-0000245F0000}"/>
    <cellStyle name="Neutraali 2 2 3" xfId="17558" xr:uid="{00000000-0005-0000-0000-0000255F0000}"/>
    <cellStyle name="Neutraali 2 2_DataIX" xfId="33331" xr:uid="{00000000-0005-0000-0000-0000265F0000}"/>
    <cellStyle name="Neutraali 2 3" xfId="25162" xr:uid="{00000000-0005-0000-0000-0000275F0000}"/>
    <cellStyle name="Neutraali 2 4" xfId="25640" xr:uid="{00000000-0005-0000-0000-0000285F0000}"/>
    <cellStyle name="Neutraali 2 5" xfId="25765" xr:uid="{00000000-0005-0000-0000-0000295F0000}"/>
    <cellStyle name="Neutraali 2 6" xfId="25455" xr:uid="{00000000-0005-0000-0000-00002A5F0000}"/>
    <cellStyle name="Neutraali 2 7" xfId="26629" xr:uid="{00000000-0005-0000-0000-00002B5F0000}"/>
    <cellStyle name="Neutraali 2 8" xfId="25265" xr:uid="{00000000-0005-0000-0000-00002C5F0000}"/>
    <cellStyle name="Neutraali 2 9" xfId="26684" xr:uid="{00000000-0005-0000-0000-00002D5F0000}"/>
    <cellStyle name="Neutraali 2_##Keskeiset" xfId="9448" xr:uid="{00000000-0005-0000-0000-00002E5F0000}"/>
    <cellStyle name="Neutraali 3" xfId="213" xr:uid="{00000000-0005-0000-0000-00002F5F0000}"/>
    <cellStyle name="Neutraali 3 2" xfId="25163" xr:uid="{00000000-0005-0000-0000-0000305F0000}"/>
    <cellStyle name="Neutraali 3 3" xfId="24964" xr:uid="{00000000-0005-0000-0000-0000315F0000}"/>
    <cellStyle name="Neutraali 3_DataIX" xfId="33332" xr:uid="{00000000-0005-0000-0000-0000325F0000}"/>
    <cellStyle name="Neutraali 4" xfId="5637" xr:uid="{00000000-0005-0000-0000-0000335F0000}"/>
    <cellStyle name="Neutraali 4 2" xfId="12693" xr:uid="{00000000-0005-0000-0000-0000345F0000}"/>
    <cellStyle name="Neutraali 4 3" xfId="18854" xr:uid="{00000000-0005-0000-0000-0000355F0000}"/>
    <cellStyle name="Neutraali 4 4" xfId="27787" xr:uid="{00000000-0005-0000-0000-0000365F0000}"/>
    <cellStyle name="Neutraali 4_DataIX" xfId="33333" xr:uid="{00000000-0005-0000-0000-0000375F0000}"/>
    <cellStyle name="Neutraali 5" xfId="10670" xr:uid="{00000000-0005-0000-0000-0000385F0000}"/>
    <cellStyle name="Neutraali 6" xfId="26197" xr:uid="{00000000-0005-0000-0000-0000395F0000}"/>
    <cellStyle name="Neutraali 7" xfId="26602" xr:uid="{00000000-0005-0000-0000-00003A5F0000}"/>
    <cellStyle name="Neutraali 8" xfId="25463" xr:uid="{00000000-0005-0000-0000-00003B5F0000}"/>
    <cellStyle name="Neutraali 9" xfId="25928" xr:uid="{00000000-0005-0000-0000-00003C5F0000}"/>
    <cellStyle name="Neutraali_##KansantalKehitys" xfId="5436" xr:uid="{00000000-0005-0000-0000-00003D5F0000}"/>
    <cellStyle name="Neutral" xfId="96" xr:uid="{00000000-0005-0000-0000-00003E5F0000}"/>
    <cellStyle name="Neutral 2" xfId="97" xr:uid="{00000000-0005-0000-0000-00003F5F0000}"/>
    <cellStyle name="Neutral 2 10" xfId="25282" xr:uid="{00000000-0005-0000-0000-0000405F0000}"/>
    <cellStyle name="Neutral 2 2" xfId="4219" xr:uid="{00000000-0005-0000-0000-0000415F0000}"/>
    <cellStyle name="Neutral 2 2 2" xfId="9451" xr:uid="{00000000-0005-0000-0000-0000425F0000}"/>
    <cellStyle name="Neutral 2 2 3" xfId="17559" xr:uid="{00000000-0005-0000-0000-0000435F0000}"/>
    <cellStyle name="Neutral 2 2_DataIX" xfId="33334" xr:uid="{00000000-0005-0000-0000-0000445F0000}"/>
    <cellStyle name="Neutral 2 3" xfId="25164" xr:uid="{00000000-0005-0000-0000-0000455F0000}"/>
    <cellStyle name="Neutral 2 4" xfId="26138" xr:uid="{00000000-0005-0000-0000-0000465F0000}"/>
    <cellStyle name="Neutral 2 5" xfId="25346" xr:uid="{00000000-0005-0000-0000-0000475F0000}"/>
    <cellStyle name="Neutral 2 6" xfId="26232" xr:uid="{00000000-0005-0000-0000-0000485F0000}"/>
    <cellStyle name="Neutral 2 7" xfId="26071" xr:uid="{00000000-0005-0000-0000-0000495F0000}"/>
    <cellStyle name="Neutral 2 8" xfId="25995" xr:uid="{00000000-0005-0000-0000-00004A5F0000}"/>
    <cellStyle name="Neutral 2 9" xfId="25496" xr:uid="{00000000-0005-0000-0000-00004B5F0000}"/>
    <cellStyle name="Neutral 2_##Keskeiset" xfId="9450" xr:uid="{00000000-0005-0000-0000-00004C5F0000}"/>
    <cellStyle name="Neutral 3" xfId="5639" xr:uid="{00000000-0005-0000-0000-00004D5F0000}"/>
    <cellStyle name="Neutral 3 2" xfId="12694" xr:uid="{00000000-0005-0000-0000-00004E5F0000}"/>
    <cellStyle name="Neutral 3 3" xfId="18855" xr:uid="{00000000-0005-0000-0000-00004F5F0000}"/>
    <cellStyle name="Neutral 3_DataIX" xfId="33335" xr:uid="{00000000-0005-0000-0000-0000505F0000}"/>
    <cellStyle name="Neutral_##Keskeiset" xfId="5638" xr:uid="{00000000-0005-0000-0000-0000515F0000}"/>
    <cellStyle name="Normaali" xfId="0" builtinId="0"/>
    <cellStyle name="Normaali 10" xfId="98" xr:uid="{00000000-0005-0000-0000-0000535F0000}"/>
    <cellStyle name="Normaali 10 10" xfId="26278" xr:uid="{00000000-0005-0000-0000-0000545F0000}"/>
    <cellStyle name="Normaali 10 11" xfId="28534" xr:uid="{00000000-0005-0000-0000-0000555F0000}"/>
    <cellStyle name="Normaali 10 2" xfId="4220" xr:uid="{00000000-0005-0000-0000-0000565F0000}"/>
    <cellStyle name="Normaali 10 2 2" xfId="4221" xr:uid="{00000000-0005-0000-0000-0000575F0000}"/>
    <cellStyle name="Normaali 10 2 2 2" xfId="4222" xr:uid="{00000000-0005-0000-0000-0000585F0000}"/>
    <cellStyle name="Normaali 10 2 2 2 2" xfId="9455" xr:uid="{00000000-0005-0000-0000-0000595F0000}"/>
    <cellStyle name="Normaali 10 2 2 2 3" xfId="17562" xr:uid="{00000000-0005-0000-0000-00005A5F0000}"/>
    <cellStyle name="Normaali 10 2 2 2_DataIX" xfId="33338" xr:uid="{00000000-0005-0000-0000-00005B5F0000}"/>
    <cellStyle name="Normaali 10 2 2 3" xfId="9454" xr:uid="{00000000-0005-0000-0000-00005C5F0000}"/>
    <cellStyle name="Normaali 10 2 2 4" xfId="17561" xr:uid="{00000000-0005-0000-0000-00005D5F0000}"/>
    <cellStyle name="Normaali 10 2 2 5" xfId="15356" xr:uid="{00000000-0005-0000-0000-00005E5F0000}"/>
    <cellStyle name="Normaali 10 2 2_DataIX" xfId="33337" xr:uid="{00000000-0005-0000-0000-00005F5F0000}"/>
    <cellStyle name="Normaali 10 2 3" xfId="4223" xr:uid="{00000000-0005-0000-0000-0000605F0000}"/>
    <cellStyle name="Normaali 10 2 3 2" xfId="4224" xr:uid="{00000000-0005-0000-0000-0000615F0000}"/>
    <cellStyle name="Normaali 10 2 3 2 2" xfId="9457" xr:uid="{00000000-0005-0000-0000-0000625F0000}"/>
    <cellStyle name="Normaali 10 2 3 2 3" xfId="17564" xr:uid="{00000000-0005-0000-0000-0000635F0000}"/>
    <cellStyle name="Normaali 10 2 3 2_DataIX" xfId="33340" xr:uid="{00000000-0005-0000-0000-0000645F0000}"/>
    <cellStyle name="Normaali 10 2 3 3" xfId="9456" xr:uid="{00000000-0005-0000-0000-0000655F0000}"/>
    <cellStyle name="Normaali 10 2 3 4" xfId="17563" xr:uid="{00000000-0005-0000-0000-0000665F0000}"/>
    <cellStyle name="Normaali 10 2 3_DataIX" xfId="33339" xr:uid="{00000000-0005-0000-0000-0000675F0000}"/>
    <cellStyle name="Normaali 10 2 4" xfId="4225" xr:uid="{00000000-0005-0000-0000-0000685F0000}"/>
    <cellStyle name="Normaali 10 2 4 2" xfId="4226" xr:uid="{00000000-0005-0000-0000-0000695F0000}"/>
    <cellStyle name="Normaali 10 2 4 2 2" xfId="9459" xr:uid="{00000000-0005-0000-0000-00006A5F0000}"/>
    <cellStyle name="Normaali 10 2 4 2 3" xfId="17566" xr:uid="{00000000-0005-0000-0000-00006B5F0000}"/>
    <cellStyle name="Normaali 10 2 4 2_DataIX" xfId="33342" xr:uid="{00000000-0005-0000-0000-00006C5F0000}"/>
    <cellStyle name="Normaali 10 2 4 3" xfId="9458" xr:uid="{00000000-0005-0000-0000-00006D5F0000}"/>
    <cellStyle name="Normaali 10 2 4 4" xfId="17565" xr:uid="{00000000-0005-0000-0000-00006E5F0000}"/>
    <cellStyle name="Normaali 10 2 4_DataIX" xfId="33341" xr:uid="{00000000-0005-0000-0000-00006F5F0000}"/>
    <cellStyle name="Normaali 10 2 5" xfId="4227" xr:uid="{00000000-0005-0000-0000-0000705F0000}"/>
    <cellStyle name="Normaali 10 2 5 2" xfId="9460" xr:uid="{00000000-0005-0000-0000-0000715F0000}"/>
    <cellStyle name="Normaali 10 2 5 3" xfId="17567" xr:uid="{00000000-0005-0000-0000-0000725F0000}"/>
    <cellStyle name="Normaali 10 2 5_DataIX" xfId="33343" xr:uid="{00000000-0005-0000-0000-0000735F0000}"/>
    <cellStyle name="Normaali 10 2 6" xfId="4228" xr:uid="{00000000-0005-0000-0000-0000745F0000}"/>
    <cellStyle name="Normaali 10 2 6 2" xfId="9461" xr:uid="{00000000-0005-0000-0000-0000755F0000}"/>
    <cellStyle name="Normaali 10 2 6 3" xfId="17568" xr:uid="{00000000-0005-0000-0000-0000765F0000}"/>
    <cellStyle name="Normaali 10 2 6_DataIX" xfId="33344" xr:uid="{00000000-0005-0000-0000-0000775F0000}"/>
    <cellStyle name="Normaali 10 2 7" xfId="9453" xr:uid="{00000000-0005-0000-0000-0000785F0000}"/>
    <cellStyle name="Normaali 10 2 8" xfId="17560" xr:uid="{00000000-0005-0000-0000-0000795F0000}"/>
    <cellStyle name="Normaali 10 2 9" xfId="15357" xr:uid="{00000000-0005-0000-0000-00007A5F0000}"/>
    <cellStyle name="Normaali 10 2_DataIX" xfId="33336" xr:uid="{00000000-0005-0000-0000-00007B5F0000}"/>
    <cellStyle name="Normaali 10 3" xfId="4229" xr:uid="{00000000-0005-0000-0000-00007C5F0000}"/>
    <cellStyle name="Normaali 10 3 2" xfId="9462" xr:uid="{00000000-0005-0000-0000-00007D5F0000}"/>
    <cellStyle name="Normaali 10 3 3" xfId="17569" xr:uid="{00000000-0005-0000-0000-00007E5F0000}"/>
    <cellStyle name="Normaali 10 3_DataIX" xfId="33345" xr:uid="{00000000-0005-0000-0000-00007F5F0000}"/>
    <cellStyle name="Normaali 10 4" xfId="4230" xr:uid="{00000000-0005-0000-0000-0000805F0000}"/>
    <cellStyle name="Normaali 10 4 2" xfId="4231" xr:uid="{00000000-0005-0000-0000-0000815F0000}"/>
    <cellStyle name="Normaali 10 4 2 2" xfId="9464" xr:uid="{00000000-0005-0000-0000-0000825F0000}"/>
    <cellStyle name="Normaali 10 4 2 3" xfId="17571" xr:uid="{00000000-0005-0000-0000-0000835F0000}"/>
    <cellStyle name="Normaali 10 4 2_DataIX" xfId="33347" xr:uid="{00000000-0005-0000-0000-0000845F0000}"/>
    <cellStyle name="Normaali 10 4 3" xfId="9463" xr:uid="{00000000-0005-0000-0000-0000855F0000}"/>
    <cellStyle name="Normaali 10 4 4" xfId="17570" xr:uid="{00000000-0005-0000-0000-0000865F0000}"/>
    <cellStyle name="Normaali 10 4_DataIX" xfId="33346" xr:uid="{00000000-0005-0000-0000-0000875F0000}"/>
    <cellStyle name="Normaali 10 5" xfId="4232" xr:uid="{00000000-0005-0000-0000-0000885F0000}"/>
    <cellStyle name="Normaali 10 5 2" xfId="4233" xr:uid="{00000000-0005-0000-0000-0000895F0000}"/>
    <cellStyle name="Normaali 10 5 2 2" xfId="9466" xr:uid="{00000000-0005-0000-0000-00008A5F0000}"/>
    <cellStyle name="Normaali 10 5 2 3" xfId="17573" xr:uid="{00000000-0005-0000-0000-00008B5F0000}"/>
    <cellStyle name="Normaali 10 5 2_DataIX" xfId="33349" xr:uid="{00000000-0005-0000-0000-00008C5F0000}"/>
    <cellStyle name="Normaali 10 5 3" xfId="9465" xr:uid="{00000000-0005-0000-0000-00008D5F0000}"/>
    <cellStyle name="Normaali 10 5 4" xfId="17572" xr:uid="{00000000-0005-0000-0000-00008E5F0000}"/>
    <cellStyle name="Normaali 10 5_DataIX" xfId="33348" xr:uid="{00000000-0005-0000-0000-00008F5F0000}"/>
    <cellStyle name="Normaali 10 6" xfId="4234" xr:uid="{00000000-0005-0000-0000-0000905F0000}"/>
    <cellStyle name="Normaali 10 6 2" xfId="9467" xr:uid="{00000000-0005-0000-0000-0000915F0000}"/>
    <cellStyle name="Normaali 10 6 3" xfId="17574" xr:uid="{00000000-0005-0000-0000-0000925F0000}"/>
    <cellStyle name="Normaali 10 6_DataIX" xfId="33350" xr:uid="{00000000-0005-0000-0000-0000935F0000}"/>
    <cellStyle name="Normaali 10 7" xfId="4235" xr:uid="{00000000-0005-0000-0000-0000945F0000}"/>
    <cellStyle name="Normaali 10 7 2" xfId="9468" xr:uid="{00000000-0005-0000-0000-0000955F0000}"/>
    <cellStyle name="Normaali 10 7 3" xfId="17575" xr:uid="{00000000-0005-0000-0000-0000965F0000}"/>
    <cellStyle name="Normaali 10 7_DataIX" xfId="33351" xr:uid="{00000000-0005-0000-0000-0000975F0000}"/>
    <cellStyle name="Normaali 10 8" xfId="25063" xr:uid="{00000000-0005-0000-0000-0000985F0000}"/>
    <cellStyle name="Normaali 10 9" xfId="25661" xr:uid="{00000000-0005-0000-0000-0000995F0000}"/>
    <cellStyle name="Normaali 10_##Keskeiset" xfId="9452" xr:uid="{00000000-0005-0000-0000-00009A5F0000}"/>
    <cellStyle name="Normaali 11" xfId="99" xr:uid="{00000000-0005-0000-0000-00009B5F0000}"/>
    <cellStyle name="Normaali 11 10" xfId="25259" xr:uid="{00000000-0005-0000-0000-00009C5F0000}"/>
    <cellStyle name="Normaali 11 2" xfId="4236" xr:uid="{00000000-0005-0000-0000-00009D5F0000}"/>
    <cellStyle name="Normaali 11 2 2" xfId="4237" xr:uid="{00000000-0005-0000-0000-00009E5F0000}"/>
    <cellStyle name="Normaali 11 2 2 2" xfId="4238" xr:uid="{00000000-0005-0000-0000-00009F5F0000}"/>
    <cellStyle name="Normaali 11 2 2 2 2" xfId="9472" xr:uid="{00000000-0005-0000-0000-0000A05F0000}"/>
    <cellStyle name="Normaali 11 2 2 2 3" xfId="17578" xr:uid="{00000000-0005-0000-0000-0000A15F0000}"/>
    <cellStyle name="Normaali 11 2 2 2_DataIX" xfId="33354" xr:uid="{00000000-0005-0000-0000-0000A25F0000}"/>
    <cellStyle name="Normaali 11 2 2 3" xfId="4239" xr:uid="{00000000-0005-0000-0000-0000A35F0000}"/>
    <cellStyle name="Normaali 11 2 2 3 2" xfId="9473" xr:uid="{00000000-0005-0000-0000-0000A45F0000}"/>
    <cellStyle name="Normaali 11 2 2 3 3" xfId="17579" xr:uid="{00000000-0005-0000-0000-0000A55F0000}"/>
    <cellStyle name="Normaali 11 2 2 3_DataIX" xfId="33355" xr:uid="{00000000-0005-0000-0000-0000A65F0000}"/>
    <cellStyle name="Normaali 11 2 2 4" xfId="9471" xr:uid="{00000000-0005-0000-0000-0000A75F0000}"/>
    <cellStyle name="Normaali 11 2 2 5" xfId="17577" xr:uid="{00000000-0005-0000-0000-0000A85F0000}"/>
    <cellStyle name="Normaali 11 2 2 6" xfId="19131" xr:uid="{00000000-0005-0000-0000-0000A95F0000}"/>
    <cellStyle name="Normaali 11 2 2_DataIX" xfId="33353" xr:uid="{00000000-0005-0000-0000-0000AA5F0000}"/>
    <cellStyle name="Normaali 11 2 3" xfId="4240" xr:uid="{00000000-0005-0000-0000-0000AB5F0000}"/>
    <cellStyle name="Normaali 11 2 3 2" xfId="4241" xr:uid="{00000000-0005-0000-0000-0000AC5F0000}"/>
    <cellStyle name="Normaali 11 2 3 2 2" xfId="9475" xr:uid="{00000000-0005-0000-0000-0000AD5F0000}"/>
    <cellStyle name="Normaali 11 2 3 2 3" xfId="17581" xr:uid="{00000000-0005-0000-0000-0000AE5F0000}"/>
    <cellStyle name="Normaali 11 2 3 2_DataIX" xfId="33357" xr:uid="{00000000-0005-0000-0000-0000AF5F0000}"/>
    <cellStyle name="Normaali 11 2 3 3" xfId="9474" xr:uid="{00000000-0005-0000-0000-0000B05F0000}"/>
    <cellStyle name="Normaali 11 2 3 4" xfId="17580" xr:uid="{00000000-0005-0000-0000-0000B15F0000}"/>
    <cellStyle name="Normaali 11 2 3_DataIX" xfId="33356" xr:uid="{00000000-0005-0000-0000-0000B25F0000}"/>
    <cellStyle name="Normaali 11 2 4" xfId="4242" xr:uid="{00000000-0005-0000-0000-0000B35F0000}"/>
    <cellStyle name="Normaali 11 2 4 2" xfId="9476" xr:uid="{00000000-0005-0000-0000-0000B45F0000}"/>
    <cellStyle name="Normaali 11 2 4 3" xfId="17582" xr:uid="{00000000-0005-0000-0000-0000B55F0000}"/>
    <cellStyle name="Normaali 11 2 4_DataIX" xfId="33358" xr:uid="{00000000-0005-0000-0000-0000B65F0000}"/>
    <cellStyle name="Normaali 11 2 5" xfId="4243" xr:uid="{00000000-0005-0000-0000-0000B75F0000}"/>
    <cellStyle name="Normaali 11 2 5 2" xfId="9477" xr:uid="{00000000-0005-0000-0000-0000B85F0000}"/>
    <cellStyle name="Normaali 11 2 5 3" xfId="17583" xr:uid="{00000000-0005-0000-0000-0000B95F0000}"/>
    <cellStyle name="Normaali 11 2 5_DataIX" xfId="33359" xr:uid="{00000000-0005-0000-0000-0000BA5F0000}"/>
    <cellStyle name="Normaali 11 2 6" xfId="9470" xr:uid="{00000000-0005-0000-0000-0000BB5F0000}"/>
    <cellStyle name="Normaali 11 2 7" xfId="17576" xr:uid="{00000000-0005-0000-0000-0000BC5F0000}"/>
    <cellStyle name="Normaali 11 2 8" xfId="19132" xr:uid="{00000000-0005-0000-0000-0000BD5F0000}"/>
    <cellStyle name="Normaali 11 2_DataIX" xfId="33352" xr:uid="{00000000-0005-0000-0000-0000BE5F0000}"/>
    <cellStyle name="Normaali 11 3" xfId="4244" xr:uid="{00000000-0005-0000-0000-0000BF5F0000}"/>
    <cellStyle name="Normaali 11 3 2" xfId="4245" xr:uid="{00000000-0005-0000-0000-0000C05F0000}"/>
    <cellStyle name="Normaali 11 3 2 2" xfId="9479" xr:uid="{00000000-0005-0000-0000-0000C15F0000}"/>
    <cellStyle name="Normaali 11 3 2 3" xfId="17585" xr:uid="{00000000-0005-0000-0000-0000C25F0000}"/>
    <cellStyle name="Normaali 11 3 2_DataIX" xfId="33361" xr:uid="{00000000-0005-0000-0000-0000C35F0000}"/>
    <cellStyle name="Normaali 11 3 3" xfId="9478" xr:uid="{00000000-0005-0000-0000-0000C45F0000}"/>
    <cellStyle name="Normaali 11 3 4" xfId="17584" xr:uid="{00000000-0005-0000-0000-0000C55F0000}"/>
    <cellStyle name="Normaali 11 3_DataIX" xfId="33360" xr:uid="{00000000-0005-0000-0000-0000C65F0000}"/>
    <cellStyle name="Normaali 11 4" xfId="4246" xr:uid="{00000000-0005-0000-0000-0000C75F0000}"/>
    <cellStyle name="Normaali 11 4 2" xfId="4247" xr:uid="{00000000-0005-0000-0000-0000C85F0000}"/>
    <cellStyle name="Normaali 11 4 2 2" xfId="9481" xr:uid="{00000000-0005-0000-0000-0000C95F0000}"/>
    <cellStyle name="Normaali 11 4 2 3" xfId="17587" xr:uid="{00000000-0005-0000-0000-0000CA5F0000}"/>
    <cellStyle name="Normaali 11 4 2_DataIX" xfId="33363" xr:uid="{00000000-0005-0000-0000-0000CB5F0000}"/>
    <cellStyle name="Normaali 11 4 3" xfId="9480" xr:uid="{00000000-0005-0000-0000-0000CC5F0000}"/>
    <cellStyle name="Normaali 11 4 4" xfId="17586" xr:uid="{00000000-0005-0000-0000-0000CD5F0000}"/>
    <cellStyle name="Normaali 11 4_DataIX" xfId="33362" xr:uid="{00000000-0005-0000-0000-0000CE5F0000}"/>
    <cellStyle name="Normaali 11 5" xfId="4248" xr:uid="{00000000-0005-0000-0000-0000CF5F0000}"/>
    <cellStyle name="Normaali 11 5 2" xfId="9482" xr:uid="{00000000-0005-0000-0000-0000D05F0000}"/>
    <cellStyle name="Normaali 11 5 3" xfId="17588" xr:uid="{00000000-0005-0000-0000-0000D15F0000}"/>
    <cellStyle name="Normaali 11 5_DataIX" xfId="33364" xr:uid="{00000000-0005-0000-0000-0000D25F0000}"/>
    <cellStyle name="Normaali 11 6" xfId="4249" xr:uid="{00000000-0005-0000-0000-0000D35F0000}"/>
    <cellStyle name="Normaali 11 6 2" xfId="9483" xr:uid="{00000000-0005-0000-0000-0000D45F0000}"/>
    <cellStyle name="Normaali 11 6 3" xfId="17589" xr:uid="{00000000-0005-0000-0000-0000D55F0000}"/>
    <cellStyle name="Normaali 11 6_DataIX" xfId="33365" xr:uid="{00000000-0005-0000-0000-0000D65F0000}"/>
    <cellStyle name="Normaali 11 7" xfId="25040" xr:uid="{00000000-0005-0000-0000-0000D75F0000}"/>
    <cellStyle name="Normaali 11 8" xfId="25668" xr:uid="{00000000-0005-0000-0000-0000D85F0000}"/>
    <cellStyle name="Normaali 11 9" xfId="26276" xr:uid="{00000000-0005-0000-0000-0000D95F0000}"/>
    <cellStyle name="Normaali 11_##Keskeiset" xfId="9469" xr:uid="{00000000-0005-0000-0000-0000DA5F0000}"/>
    <cellStyle name="Normaali 12" xfId="323" xr:uid="{00000000-0005-0000-0000-0000DB5F0000}"/>
    <cellStyle name="Normaali 12 10" xfId="4251" xr:uid="{00000000-0005-0000-0000-0000DC5F0000}"/>
    <cellStyle name="Normaali 12 10 2" xfId="9484" xr:uid="{00000000-0005-0000-0000-0000DD5F0000}"/>
    <cellStyle name="Normaali 12 10 3" xfId="17591" xr:uid="{00000000-0005-0000-0000-0000DE5F0000}"/>
    <cellStyle name="Normaali 12 10_DataIX" xfId="33366" xr:uid="{00000000-0005-0000-0000-0000DF5F0000}"/>
    <cellStyle name="Normaali 12 11" xfId="4252" xr:uid="{00000000-0005-0000-0000-0000E05F0000}"/>
    <cellStyle name="Normaali 12 11 2" xfId="9485" xr:uid="{00000000-0005-0000-0000-0000E15F0000}"/>
    <cellStyle name="Normaali 12 11 3" xfId="17592" xr:uid="{00000000-0005-0000-0000-0000E25F0000}"/>
    <cellStyle name="Normaali 12 11_DataIX" xfId="33367" xr:uid="{00000000-0005-0000-0000-0000E35F0000}"/>
    <cellStyle name="Normaali 12 12" xfId="4250" xr:uid="{00000000-0005-0000-0000-0000E45F0000}"/>
    <cellStyle name="Normaali 12 12 2" xfId="9486" xr:uid="{00000000-0005-0000-0000-0000E55F0000}"/>
    <cellStyle name="Normaali 12 12 3" xfId="17590" xr:uid="{00000000-0005-0000-0000-0000E65F0000}"/>
    <cellStyle name="Normaali 12 12_DataIX" xfId="33368" xr:uid="{00000000-0005-0000-0000-0000E75F0000}"/>
    <cellStyle name="Normaali 12 13" xfId="5291" xr:uid="{00000000-0005-0000-0000-0000E85F0000}"/>
    <cellStyle name="Normaali 12 13 2" xfId="9487" xr:uid="{00000000-0005-0000-0000-0000E95F0000}"/>
    <cellStyle name="Normaali 12 13 3" xfId="18615" xr:uid="{00000000-0005-0000-0000-0000EA5F0000}"/>
    <cellStyle name="Normaali 12 13_DataIX" xfId="33369" xr:uid="{00000000-0005-0000-0000-0000EB5F0000}"/>
    <cellStyle name="Normaali 12 14" xfId="5329" xr:uid="{00000000-0005-0000-0000-0000EC5F0000}"/>
    <cellStyle name="Normaali 12 14 2" xfId="12695" xr:uid="{00000000-0005-0000-0000-0000ED5F0000}"/>
    <cellStyle name="Normaali 12 14 3" xfId="18653" xr:uid="{00000000-0005-0000-0000-0000EE5F0000}"/>
    <cellStyle name="Normaali 12 14_DataIX" xfId="33370" xr:uid="{00000000-0005-0000-0000-0000EF5F0000}"/>
    <cellStyle name="Normaali 12 15" xfId="10713" xr:uid="{00000000-0005-0000-0000-0000F05F0000}"/>
    <cellStyle name="Normaali 12 16" xfId="12845" xr:uid="{00000000-0005-0000-0000-0000F15F0000}"/>
    <cellStyle name="Normaali 12 17" xfId="13434" xr:uid="{00000000-0005-0000-0000-0000F25F0000}"/>
    <cellStyle name="Normaali 12 18" xfId="13042" xr:uid="{00000000-0005-0000-0000-0000F35F0000}"/>
    <cellStyle name="Normaali 12 19" xfId="20735" xr:uid="{00000000-0005-0000-0000-0000F45F0000}"/>
    <cellStyle name="Normaali 12 2" xfId="4253" xr:uid="{00000000-0005-0000-0000-0000F55F0000}"/>
    <cellStyle name="Normaali 12 2 2" xfId="4254" xr:uid="{00000000-0005-0000-0000-0000F65F0000}"/>
    <cellStyle name="Normaali 12 2 2 2" xfId="9489" xr:uid="{00000000-0005-0000-0000-0000F75F0000}"/>
    <cellStyle name="Normaali 12 2 2 3" xfId="17594" xr:uid="{00000000-0005-0000-0000-0000F85F0000}"/>
    <cellStyle name="Normaali 12 2 2_DataIX" xfId="33371" xr:uid="{00000000-0005-0000-0000-0000F95F0000}"/>
    <cellStyle name="Normaali 12 2 3" xfId="4255" xr:uid="{00000000-0005-0000-0000-0000FA5F0000}"/>
    <cellStyle name="Normaali 12 2 3 2" xfId="9490" xr:uid="{00000000-0005-0000-0000-0000FB5F0000}"/>
    <cellStyle name="Normaali 12 2 3 3" xfId="17595" xr:uid="{00000000-0005-0000-0000-0000FC5F0000}"/>
    <cellStyle name="Normaali 12 2 3_DataIX" xfId="33372" xr:uid="{00000000-0005-0000-0000-0000FD5F0000}"/>
    <cellStyle name="Normaali 12 2 4" xfId="4256" xr:uid="{00000000-0005-0000-0000-0000FE5F0000}"/>
    <cellStyle name="Normaali 12 2 4 2" xfId="9491" xr:uid="{00000000-0005-0000-0000-0000FF5F0000}"/>
    <cellStyle name="Normaali 12 2 4 3" xfId="17596" xr:uid="{00000000-0005-0000-0000-000000600000}"/>
    <cellStyle name="Normaali 12 2 4_DataIX" xfId="33373" xr:uid="{00000000-0005-0000-0000-000001600000}"/>
    <cellStyle name="Normaali 12 2 5" xfId="5640" xr:uid="{00000000-0005-0000-0000-000002600000}"/>
    <cellStyle name="Normaali 12 2 5 2" xfId="12696" xr:uid="{00000000-0005-0000-0000-000003600000}"/>
    <cellStyle name="Normaali 12 2 5 3" xfId="18856" xr:uid="{00000000-0005-0000-0000-000004600000}"/>
    <cellStyle name="Normaali 12 2 5_DataIX" xfId="33374" xr:uid="{00000000-0005-0000-0000-000005600000}"/>
    <cellStyle name="Normaali 12 2 6" xfId="17593" xr:uid="{00000000-0005-0000-0000-000006600000}"/>
    <cellStyle name="Normaali 12 2_##Keskeiset" xfId="9488" xr:uid="{00000000-0005-0000-0000-000007600000}"/>
    <cellStyle name="Normaali 12 20" xfId="22149" xr:uid="{00000000-0005-0000-0000-000008600000}"/>
    <cellStyle name="Normaali 12 21" xfId="13011" xr:uid="{00000000-0005-0000-0000-000009600000}"/>
    <cellStyle name="Normaali 12 22" xfId="22333" xr:uid="{00000000-0005-0000-0000-00000A600000}"/>
    <cellStyle name="Normaali 12 23" xfId="22573" xr:uid="{00000000-0005-0000-0000-00000B600000}"/>
    <cellStyle name="Normaali 12 24" xfId="22690" xr:uid="{00000000-0005-0000-0000-00000C600000}"/>
    <cellStyle name="Normaali 12 25" xfId="22524" xr:uid="{00000000-0005-0000-0000-00000D600000}"/>
    <cellStyle name="Normaali 12 26" xfId="22673" xr:uid="{00000000-0005-0000-0000-00000E600000}"/>
    <cellStyle name="Normaali 12 27" xfId="22495" xr:uid="{00000000-0005-0000-0000-00000F600000}"/>
    <cellStyle name="Normaali 12 28" xfId="22637" xr:uid="{00000000-0005-0000-0000-000010600000}"/>
    <cellStyle name="Normaali 12 29" xfId="22460" xr:uid="{00000000-0005-0000-0000-000011600000}"/>
    <cellStyle name="Normaali 12 3" xfId="4257" xr:uid="{00000000-0005-0000-0000-000012600000}"/>
    <cellStyle name="Normaali 12 3 2" xfId="4258" xr:uid="{00000000-0005-0000-0000-000013600000}"/>
    <cellStyle name="Normaali 12 3 2 2" xfId="9493" xr:uid="{00000000-0005-0000-0000-000014600000}"/>
    <cellStyle name="Normaali 12 3 2 3" xfId="17598" xr:uid="{00000000-0005-0000-0000-000015600000}"/>
    <cellStyle name="Normaali 12 3 2_DataIX" xfId="33376" xr:uid="{00000000-0005-0000-0000-000016600000}"/>
    <cellStyle name="Normaali 12 3 3" xfId="4259" xr:uid="{00000000-0005-0000-0000-000017600000}"/>
    <cellStyle name="Normaali 12 3 3 2" xfId="9494" xr:uid="{00000000-0005-0000-0000-000018600000}"/>
    <cellStyle name="Normaali 12 3 3 3" xfId="17599" xr:uid="{00000000-0005-0000-0000-000019600000}"/>
    <cellStyle name="Normaali 12 3 3_DataIX" xfId="33377" xr:uid="{00000000-0005-0000-0000-00001A600000}"/>
    <cellStyle name="Normaali 12 3 4" xfId="4260" xr:uid="{00000000-0005-0000-0000-00001B600000}"/>
    <cellStyle name="Normaali 12 3 4 2" xfId="9495" xr:uid="{00000000-0005-0000-0000-00001C600000}"/>
    <cellStyle name="Normaali 12 3 4 3" xfId="17600" xr:uid="{00000000-0005-0000-0000-00001D600000}"/>
    <cellStyle name="Normaali 12 3 4_DataIX" xfId="33378" xr:uid="{00000000-0005-0000-0000-00001E600000}"/>
    <cellStyle name="Normaali 12 3 5" xfId="9492" xr:uid="{00000000-0005-0000-0000-00001F600000}"/>
    <cellStyle name="Normaali 12 3 6" xfId="17597" xr:uid="{00000000-0005-0000-0000-000020600000}"/>
    <cellStyle name="Normaali 12 3_DataIX" xfId="33375" xr:uid="{00000000-0005-0000-0000-000021600000}"/>
    <cellStyle name="Normaali 12 30" xfId="22399" xr:uid="{00000000-0005-0000-0000-000022600000}"/>
    <cellStyle name="Normaali 12 31" xfId="22687" xr:uid="{00000000-0005-0000-0000-000023600000}"/>
    <cellStyle name="Normaali 12 32" xfId="22745" xr:uid="{00000000-0005-0000-0000-000024600000}"/>
    <cellStyle name="Normaali 12 33" xfId="22928" xr:uid="{00000000-0005-0000-0000-000025600000}"/>
    <cellStyle name="Normaali 12 34" xfId="22772" xr:uid="{00000000-0005-0000-0000-000026600000}"/>
    <cellStyle name="Normaali 12 35" xfId="23083" xr:uid="{00000000-0005-0000-0000-000027600000}"/>
    <cellStyle name="Normaali 12 36" xfId="23108" xr:uid="{00000000-0005-0000-0000-000028600000}"/>
    <cellStyle name="Normaali 12 37" xfId="27638" xr:uid="{00000000-0005-0000-0000-000029600000}"/>
    <cellStyle name="Normaali 12 38" xfId="27729" xr:uid="{00000000-0005-0000-0000-00002A600000}"/>
    <cellStyle name="Normaali 12 39" xfId="27788" xr:uid="{00000000-0005-0000-0000-00002B600000}"/>
    <cellStyle name="Normaali 12 4" xfId="4261" xr:uid="{00000000-0005-0000-0000-00002C600000}"/>
    <cellStyle name="Normaali 12 4 2" xfId="4262" xr:uid="{00000000-0005-0000-0000-00002D600000}"/>
    <cellStyle name="Normaali 12 4 2 2" xfId="9497" xr:uid="{00000000-0005-0000-0000-00002E600000}"/>
    <cellStyle name="Normaali 12 4 2 3" xfId="17602" xr:uid="{00000000-0005-0000-0000-00002F600000}"/>
    <cellStyle name="Normaali 12 4 2_DataIX" xfId="33380" xr:uid="{00000000-0005-0000-0000-000030600000}"/>
    <cellStyle name="Normaali 12 4 3" xfId="9496" xr:uid="{00000000-0005-0000-0000-000031600000}"/>
    <cellStyle name="Normaali 12 4 4" xfId="17601" xr:uid="{00000000-0005-0000-0000-000032600000}"/>
    <cellStyle name="Normaali 12 4_DataIX" xfId="33379" xr:uid="{00000000-0005-0000-0000-000033600000}"/>
    <cellStyle name="Normaali 12 40" xfId="27802" xr:uid="{00000000-0005-0000-0000-000034600000}"/>
    <cellStyle name="Normaali 12 41" xfId="27909" xr:uid="{00000000-0005-0000-0000-000035600000}"/>
    <cellStyle name="Normaali 12 42" xfId="28040" xr:uid="{00000000-0005-0000-0000-000036600000}"/>
    <cellStyle name="Normaali 12 43" xfId="28103" xr:uid="{00000000-0005-0000-0000-000037600000}"/>
    <cellStyle name="Normaali 12 44" xfId="27988" xr:uid="{00000000-0005-0000-0000-000038600000}"/>
    <cellStyle name="Normaali 12 45" xfId="28079" xr:uid="{00000000-0005-0000-0000-000039600000}"/>
    <cellStyle name="Normaali 12 46" xfId="27981" xr:uid="{00000000-0005-0000-0000-00003A600000}"/>
    <cellStyle name="Normaali 12 47" xfId="28075" xr:uid="{00000000-0005-0000-0000-00003B600000}"/>
    <cellStyle name="Normaali 12 48" xfId="28145" xr:uid="{00000000-0005-0000-0000-00003C600000}"/>
    <cellStyle name="Normaali 12 49" xfId="28182" xr:uid="{00000000-0005-0000-0000-00003D600000}"/>
    <cellStyle name="Normaali 12 5" xfId="4263" xr:uid="{00000000-0005-0000-0000-00003E600000}"/>
    <cellStyle name="Normaali 12 5 2" xfId="9498" xr:uid="{00000000-0005-0000-0000-00003F600000}"/>
    <cellStyle name="Normaali 12 5 3" xfId="17603" xr:uid="{00000000-0005-0000-0000-000040600000}"/>
    <cellStyle name="Normaali 12 5_DataIX" xfId="33381" xr:uid="{00000000-0005-0000-0000-000041600000}"/>
    <cellStyle name="Normaali 12 50" xfId="28240" xr:uid="{00000000-0005-0000-0000-000042600000}"/>
    <cellStyle name="Normaali 12 51" xfId="28406" xr:uid="{00000000-0005-0000-0000-000043600000}"/>
    <cellStyle name="Normaali 12 52" xfId="28392" xr:uid="{00000000-0005-0000-0000-000044600000}"/>
    <cellStyle name="Normaali 12 53" xfId="28338" xr:uid="{00000000-0005-0000-0000-000045600000}"/>
    <cellStyle name="Normaali 12 54" xfId="28624" xr:uid="{00000000-0005-0000-0000-000046600000}"/>
    <cellStyle name="Normaali 12 55" xfId="28792" xr:uid="{00000000-0005-0000-0000-000047600000}"/>
    <cellStyle name="Normaali 12 56" xfId="28785" xr:uid="{00000000-0005-0000-0000-000048600000}"/>
    <cellStyle name="Normaali 12 57" xfId="28926" xr:uid="{00000000-0005-0000-0000-000049600000}"/>
    <cellStyle name="Normaali 12 58" xfId="28927" xr:uid="{00000000-0005-0000-0000-00004A600000}"/>
    <cellStyle name="Normaali 12 59" xfId="29044" xr:uid="{00000000-0005-0000-0000-00004B600000}"/>
    <cellStyle name="Normaali 12 6" xfId="4264" xr:uid="{00000000-0005-0000-0000-00004C600000}"/>
    <cellStyle name="Normaali 12 6 2" xfId="9499" xr:uid="{00000000-0005-0000-0000-00004D600000}"/>
    <cellStyle name="Normaali 12 6 3" xfId="17604" xr:uid="{00000000-0005-0000-0000-00004E600000}"/>
    <cellStyle name="Normaali 12 6_DataIX" xfId="33382" xr:uid="{00000000-0005-0000-0000-00004F600000}"/>
    <cellStyle name="Normaali 12 60" xfId="29164" xr:uid="{00000000-0005-0000-0000-000050600000}"/>
    <cellStyle name="Normaali 12 7" xfId="4265" xr:uid="{00000000-0005-0000-0000-000051600000}"/>
    <cellStyle name="Normaali 12 7 2" xfId="9500" xr:uid="{00000000-0005-0000-0000-000052600000}"/>
    <cellStyle name="Normaali 12 7 3" xfId="17605" xr:uid="{00000000-0005-0000-0000-000053600000}"/>
    <cellStyle name="Normaali 12 7_DataIX" xfId="33383" xr:uid="{00000000-0005-0000-0000-000054600000}"/>
    <cellStyle name="Normaali 12 8" xfId="4266" xr:uid="{00000000-0005-0000-0000-000055600000}"/>
    <cellStyle name="Normaali 12 8 2" xfId="9501" xr:uid="{00000000-0005-0000-0000-000056600000}"/>
    <cellStyle name="Normaali 12 8 3" xfId="17606" xr:uid="{00000000-0005-0000-0000-000057600000}"/>
    <cellStyle name="Normaali 12 8_DataIX" xfId="33384" xr:uid="{00000000-0005-0000-0000-000058600000}"/>
    <cellStyle name="Normaali 12 9" xfId="4267" xr:uid="{00000000-0005-0000-0000-000059600000}"/>
    <cellStyle name="Normaali 12 9 2" xfId="9502" xr:uid="{00000000-0005-0000-0000-00005A600000}"/>
    <cellStyle name="Normaali 12 9 3" xfId="17607" xr:uid="{00000000-0005-0000-0000-00005B600000}"/>
    <cellStyle name="Normaali 12 9_DataIX" xfId="33385" xr:uid="{00000000-0005-0000-0000-00005C600000}"/>
    <cellStyle name="Normaali 12_##Keskeiset" xfId="5455" xr:uid="{00000000-0005-0000-0000-00005D600000}"/>
    <cellStyle name="Normaali 123" xfId="4268" xr:uid="{00000000-0005-0000-0000-00005E600000}"/>
    <cellStyle name="Normaali 123 2" xfId="4269" xr:uid="{00000000-0005-0000-0000-00005F600000}"/>
    <cellStyle name="Normaali 123 2 2" xfId="9504" xr:uid="{00000000-0005-0000-0000-000060600000}"/>
    <cellStyle name="Normaali 123 2 3" xfId="17609" xr:uid="{00000000-0005-0000-0000-000061600000}"/>
    <cellStyle name="Normaali 123 2_DataIX" xfId="33387" xr:uid="{00000000-0005-0000-0000-000062600000}"/>
    <cellStyle name="Normaali 123 3" xfId="9503" xr:uid="{00000000-0005-0000-0000-000063600000}"/>
    <cellStyle name="Normaali 123 4" xfId="17608" xr:uid="{00000000-0005-0000-0000-000064600000}"/>
    <cellStyle name="Normaali 123_DataIX" xfId="33386" xr:uid="{00000000-0005-0000-0000-000065600000}"/>
    <cellStyle name="Normaali 125" xfId="4270" xr:uid="{00000000-0005-0000-0000-000066600000}"/>
    <cellStyle name="Normaali 125 2" xfId="4271" xr:uid="{00000000-0005-0000-0000-000067600000}"/>
    <cellStyle name="Normaali 125 2 2" xfId="9506" xr:uid="{00000000-0005-0000-0000-000068600000}"/>
    <cellStyle name="Normaali 125 2 3" xfId="17611" xr:uid="{00000000-0005-0000-0000-000069600000}"/>
    <cellStyle name="Normaali 125 2_DataIX" xfId="33389" xr:uid="{00000000-0005-0000-0000-00006A600000}"/>
    <cellStyle name="Normaali 125 3" xfId="9505" xr:uid="{00000000-0005-0000-0000-00006B600000}"/>
    <cellStyle name="Normaali 125 4" xfId="17610" xr:uid="{00000000-0005-0000-0000-00006C600000}"/>
    <cellStyle name="Normaali 125_DataIX" xfId="33388" xr:uid="{00000000-0005-0000-0000-00006D600000}"/>
    <cellStyle name="Normaali 13" xfId="388" xr:uid="{00000000-0005-0000-0000-00006E600000}"/>
    <cellStyle name="Normaali 13 10" xfId="4272" xr:uid="{00000000-0005-0000-0000-00006F600000}"/>
    <cellStyle name="Normaali 13 10 2" xfId="9508" xr:uid="{00000000-0005-0000-0000-000070600000}"/>
    <cellStyle name="Normaali 13 10 3" xfId="17612" xr:uid="{00000000-0005-0000-0000-000071600000}"/>
    <cellStyle name="Normaali 13 10_DataIX" xfId="33390" xr:uid="{00000000-0005-0000-0000-000072600000}"/>
    <cellStyle name="Normaali 13 11" xfId="13923" xr:uid="{00000000-0005-0000-0000-000073600000}"/>
    <cellStyle name="Normaali 13 12" xfId="20255" xr:uid="{00000000-0005-0000-0000-000074600000}"/>
    <cellStyle name="Normaali 13 2" xfId="4273" xr:uid="{00000000-0005-0000-0000-000075600000}"/>
    <cellStyle name="Normaali 13 2 2" xfId="4274" xr:uid="{00000000-0005-0000-0000-000076600000}"/>
    <cellStyle name="Normaali 13 2 2 2" xfId="9510" xr:uid="{00000000-0005-0000-0000-000077600000}"/>
    <cellStyle name="Normaali 13 2 2 3" xfId="17614" xr:uid="{00000000-0005-0000-0000-000078600000}"/>
    <cellStyle name="Normaali 13 2 2_DataIX" xfId="33392" xr:uid="{00000000-0005-0000-0000-000079600000}"/>
    <cellStyle name="Normaali 13 2 3" xfId="4275" xr:uid="{00000000-0005-0000-0000-00007A600000}"/>
    <cellStyle name="Normaali 13 2 3 2" xfId="9511" xr:uid="{00000000-0005-0000-0000-00007B600000}"/>
    <cellStyle name="Normaali 13 2 3 3" xfId="17615" xr:uid="{00000000-0005-0000-0000-00007C600000}"/>
    <cellStyle name="Normaali 13 2 3_DataIX" xfId="33393" xr:uid="{00000000-0005-0000-0000-00007D600000}"/>
    <cellStyle name="Normaali 13 2 4" xfId="4276" xr:uid="{00000000-0005-0000-0000-00007E600000}"/>
    <cellStyle name="Normaali 13 2 4 2" xfId="9512" xr:uid="{00000000-0005-0000-0000-00007F600000}"/>
    <cellStyle name="Normaali 13 2 4 3" xfId="17616" xr:uid="{00000000-0005-0000-0000-000080600000}"/>
    <cellStyle name="Normaali 13 2 4_DataIX" xfId="33394" xr:uid="{00000000-0005-0000-0000-000081600000}"/>
    <cellStyle name="Normaali 13 2 5" xfId="9509" xr:uid="{00000000-0005-0000-0000-000082600000}"/>
    <cellStyle name="Normaali 13 2 6" xfId="17613" xr:uid="{00000000-0005-0000-0000-000083600000}"/>
    <cellStyle name="Normaali 13 2_DataIX" xfId="33391" xr:uid="{00000000-0005-0000-0000-000084600000}"/>
    <cellStyle name="Normaali 13 3" xfId="4277" xr:uid="{00000000-0005-0000-0000-000085600000}"/>
    <cellStyle name="Normaali 13 3 2" xfId="4278" xr:uid="{00000000-0005-0000-0000-000086600000}"/>
    <cellStyle name="Normaali 13 3 2 2" xfId="9514" xr:uid="{00000000-0005-0000-0000-000087600000}"/>
    <cellStyle name="Normaali 13 3 2 3" xfId="17618" xr:uid="{00000000-0005-0000-0000-000088600000}"/>
    <cellStyle name="Normaali 13 3 2_DataIX" xfId="33396" xr:uid="{00000000-0005-0000-0000-000089600000}"/>
    <cellStyle name="Normaali 13 3 3" xfId="4279" xr:uid="{00000000-0005-0000-0000-00008A600000}"/>
    <cellStyle name="Normaali 13 3 3 2" xfId="9515" xr:uid="{00000000-0005-0000-0000-00008B600000}"/>
    <cellStyle name="Normaali 13 3 3 3" xfId="17619" xr:uid="{00000000-0005-0000-0000-00008C600000}"/>
    <cellStyle name="Normaali 13 3 3_DataIX" xfId="33397" xr:uid="{00000000-0005-0000-0000-00008D600000}"/>
    <cellStyle name="Normaali 13 3 4" xfId="4280" xr:uid="{00000000-0005-0000-0000-00008E600000}"/>
    <cellStyle name="Normaali 13 3 4 2" xfId="9516" xr:uid="{00000000-0005-0000-0000-00008F600000}"/>
    <cellStyle name="Normaali 13 3 4 3" xfId="17620" xr:uid="{00000000-0005-0000-0000-000090600000}"/>
    <cellStyle name="Normaali 13 3 4_DataIX" xfId="33398" xr:uid="{00000000-0005-0000-0000-000091600000}"/>
    <cellStyle name="Normaali 13 3 5" xfId="9513" xr:uid="{00000000-0005-0000-0000-000092600000}"/>
    <cellStyle name="Normaali 13 3 6" xfId="17617" xr:uid="{00000000-0005-0000-0000-000093600000}"/>
    <cellStyle name="Normaali 13 3_DataIX" xfId="33395" xr:uid="{00000000-0005-0000-0000-000094600000}"/>
    <cellStyle name="Normaali 13 4" xfId="4281" xr:uid="{00000000-0005-0000-0000-000095600000}"/>
    <cellStyle name="Normaali 13 4 2" xfId="4282" xr:uid="{00000000-0005-0000-0000-000096600000}"/>
    <cellStyle name="Normaali 13 4 2 2" xfId="9518" xr:uid="{00000000-0005-0000-0000-000097600000}"/>
    <cellStyle name="Normaali 13 4 2 3" xfId="17622" xr:uid="{00000000-0005-0000-0000-000098600000}"/>
    <cellStyle name="Normaali 13 4 2_DataIX" xfId="33400" xr:uid="{00000000-0005-0000-0000-000099600000}"/>
    <cellStyle name="Normaali 13 4 3" xfId="9517" xr:uid="{00000000-0005-0000-0000-00009A600000}"/>
    <cellStyle name="Normaali 13 4 4" xfId="17621" xr:uid="{00000000-0005-0000-0000-00009B600000}"/>
    <cellStyle name="Normaali 13 4_DataIX" xfId="33399" xr:uid="{00000000-0005-0000-0000-00009C600000}"/>
    <cellStyle name="Normaali 13 5" xfId="4283" xr:uid="{00000000-0005-0000-0000-00009D600000}"/>
    <cellStyle name="Normaali 13 5 2" xfId="9519" xr:uid="{00000000-0005-0000-0000-00009E600000}"/>
    <cellStyle name="Normaali 13 5 3" xfId="17623" xr:uid="{00000000-0005-0000-0000-00009F600000}"/>
    <cellStyle name="Normaali 13 5_DataIX" xfId="33401" xr:uid="{00000000-0005-0000-0000-0000A0600000}"/>
    <cellStyle name="Normaali 13 6" xfId="4284" xr:uid="{00000000-0005-0000-0000-0000A1600000}"/>
    <cellStyle name="Normaali 13 6 2" xfId="9520" xr:uid="{00000000-0005-0000-0000-0000A2600000}"/>
    <cellStyle name="Normaali 13 6 3" xfId="17624" xr:uid="{00000000-0005-0000-0000-0000A3600000}"/>
    <cellStyle name="Normaali 13 6_DataIX" xfId="33402" xr:uid="{00000000-0005-0000-0000-0000A4600000}"/>
    <cellStyle name="Normaali 13 7" xfId="4285" xr:uid="{00000000-0005-0000-0000-0000A5600000}"/>
    <cellStyle name="Normaali 13 7 2" xfId="9521" xr:uid="{00000000-0005-0000-0000-0000A6600000}"/>
    <cellStyle name="Normaali 13 7 3" xfId="17625" xr:uid="{00000000-0005-0000-0000-0000A7600000}"/>
    <cellStyle name="Normaali 13 7_DataIX" xfId="33403" xr:uid="{00000000-0005-0000-0000-0000A8600000}"/>
    <cellStyle name="Normaali 13 8" xfId="4286" xr:uid="{00000000-0005-0000-0000-0000A9600000}"/>
    <cellStyle name="Normaali 13 8 2" xfId="9522" xr:uid="{00000000-0005-0000-0000-0000AA600000}"/>
    <cellStyle name="Normaali 13 8 3" xfId="17626" xr:uid="{00000000-0005-0000-0000-0000AB600000}"/>
    <cellStyle name="Normaali 13 8_DataIX" xfId="33404" xr:uid="{00000000-0005-0000-0000-0000AC600000}"/>
    <cellStyle name="Normaali 13 9" xfId="4287" xr:uid="{00000000-0005-0000-0000-0000AD600000}"/>
    <cellStyle name="Normaali 13 9 2" xfId="9523" xr:uid="{00000000-0005-0000-0000-0000AE600000}"/>
    <cellStyle name="Normaali 13 9 3" xfId="17627" xr:uid="{00000000-0005-0000-0000-0000AF600000}"/>
    <cellStyle name="Normaali 13 9_DataIX" xfId="33405" xr:uid="{00000000-0005-0000-0000-0000B0600000}"/>
    <cellStyle name="Normaali 13_##Keskeiset" xfId="9507" xr:uid="{00000000-0005-0000-0000-0000B1600000}"/>
    <cellStyle name="Normaali 135 2" xfId="4288" xr:uid="{00000000-0005-0000-0000-0000B2600000}"/>
    <cellStyle name="Normaali 135 2 2" xfId="9524" xr:uid="{00000000-0005-0000-0000-0000B3600000}"/>
    <cellStyle name="Normaali 135 2 3" xfId="17628" xr:uid="{00000000-0005-0000-0000-0000B4600000}"/>
    <cellStyle name="Normaali 135 2_DataIX" xfId="33406" xr:uid="{00000000-0005-0000-0000-0000B5600000}"/>
    <cellStyle name="Normaali 14" xfId="389" xr:uid="{00000000-0005-0000-0000-0000B6600000}"/>
    <cellStyle name="Normaali 14 2" xfId="4290" xr:uid="{00000000-0005-0000-0000-0000B7600000}"/>
    <cellStyle name="Normaali 14 2 2" xfId="4291" xr:uid="{00000000-0005-0000-0000-0000B8600000}"/>
    <cellStyle name="Normaali 14 2 2 2" xfId="9527" xr:uid="{00000000-0005-0000-0000-0000B9600000}"/>
    <cellStyle name="Normaali 14 2 2 3" xfId="17631" xr:uid="{00000000-0005-0000-0000-0000BA600000}"/>
    <cellStyle name="Normaali 14 2 2_DataIX" xfId="33408" xr:uid="{00000000-0005-0000-0000-0000BB600000}"/>
    <cellStyle name="Normaali 14 2 3" xfId="9526" xr:uid="{00000000-0005-0000-0000-0000BC600000}"/>
    <cellStyle name="Normaali 14 2 4" xfId="17630" xr:uid="{00000000-0005-0000-0000-0000BD600000}"/>
    <cellStyle name="Normaali 14 2_DataIX" xfId="33407" xr:uid="{00000000-0005-0000-0000-0000BE600000}"/>
    <cellStyle name="Normaali 14 3" xfId="4292" xr:uid="{00000000-0005-0000-0000-0000BF600000}"/>
    <cellStyle name="Normaali 14 3 2" xfId="9528" xr:uid="{00000000-0005-0000-0000-0000C0600000}"/>
    <cellStyle name="Normaali 14 3 3" xfId="17632" xr:uid="{00000000-0005-0000-0000-0000C1600000}"/>
    <cellStyle name="Normaali 14 3_DataIX" xfId="33409" xr:uid="{00000000-0005-0000-0000-0000C2600000}"/>
    <cellStyle name="Normaali 14 4" xfId="4293" xr:uid="{00000000-0005-0000-0000-0000C3600000}"/>
    <cellStyle name="Normaali 14 4 2" xfId="9529" xr:uid="{00000000-0005-0000-0000-0000C4600000}"/>
    <cellStyle name="Normaali 14 4 3" xfId="17633" xr:uid="{00000000-0005-0000-0000-0000C5600000}"/>
    <cellStyle name="Normaali 14 4_DataIX" xfId="33410" xr:uid="{00000000-0005-0000-0000-0000C6600000}"/>
    <cellStyle name="Normaali 14 5" xfId="4289" xr:uid="{00000000-0005-0000-0000-0000C7600000}"/>
    <cellStyle name="Normaali 14 5 2" xfId="9530" xr:uid="{00000000-0005-0000-0000-0000C8600000}"/>
    <cellStyle name="Normaali 14 5 3" xfId="17629" xr:uid="{00000000-0005-0000-0000-0000C9600000}"/>
    <cellStyle name="Normaali 14 5_DataIX" xfId="33411" xr:uid="{00000000-0005-0000-0000-0000CA600000}"/>
    <cellStyle name="Normaali 14 6" xfId="13924" xr:uid="{00000000-0005-0000-0000-0000CB600000}"/>
    <cellStyle name="Normaali 14_##Keskeiset" xfId="9525" xr:uid="{00000000-0005-0000-0000-0000CC600000}"/>
    <cellStyle name="Normaali 15" xfId="390" xr:uid="{00000000-0005-0000-0000-0000CD600000}"/>
    <cellStyle name="Normaali 15 10" xfId="4295" xr:uid="{00000000-0005-0000-0000-0000CE600000}"/>
    <cellStyle name="Normaali 15 10 2" xfId="9532" xr:uid="{00000000-0005-0000-0000-0000CF600000}"/>
    <cellStyle name="Normaali 15 10 3" xfId="17635" xr:uid="{00000000-0005-0000-0000-0000D0600000}"/>
    <cellStyle name="Normaali 15 10_DataIX" xfId="33412" xr:uid="{00000000-0005-0000-0000-0000D1600000}"/>
    <cellStyle name="Normaali 15 11" xfId="4296" xr:uid="{00000000-0005-0000-0000-0000D2600000}"/>
    <cellStyle name="Normaali 15 11 2" xfId="9533" xr:uid="{00000000-0005-0000-0000-0000D3600000}"/>
    <cellStyle name="Normaali 15 11 3" xfId="17636" xr:uid="{00000000-0005-0000-0000-0000D4600000}"/>
    <cellStyle name="Normaali 15 11_DataIX" xfId="33413" xr:uid="{00000000-0005-0000-0000-0000D5600000}"/>
    <cellStyle name="Normaali 15 12" xfId="4297" xr:uid="{00000000-0005-0000-0000-0000D6600000}"/>
    <cellStyle name="Normaali 15 12 2" xfId="9534" xr:uid="{00000000-0005-0000-0000-0000D7600000}"/>
    <cellStyle name="Normaali 15 12 3" xfId="17637" xr:uid="{00000000-0005-0000-0000-0000D8600000}"/>
    <cellStyle name="Normaali 15 12_DataIX" xfId="33414" xr:uid="{00000000-0005-0000-0000-0000D9600000}"/>
    <cellStyle name="Normaali 15 13" xfId="4294" xr:uid="{00000000-0005-0000-0000-0000DA600000}"/>
    <cellStyle name="Normaali 15 13 2" xfId="9535" xr:uid="{00000000-0005-0000-0000-0000DB600000}"/>
    <cellStyle name="Normaali 15 13 3" xfId="17634" xr:uid="{00000000-0005-0000-0000-0000DC600000}"/>
    <cellStyle name="Normaali 15 13_DataIX" xfId="33415" xr:uid="{00000000-0005-0000-0000-0000DD600000}"/>
    <cellStyle name="Normaali 15 14" xfId="13925" xr:uid="{00000000-0005-0000-0000-0000DE600000}"/>
    <cellStyle name="Normaali 15 15" xfId="20254" xr:uid="{00000000-0005-0000-0000-0000DF600000}"/>
    <cellStyle name="Normaali 15 2" xfId="4298" xr:uid="{00000000-0005-0000-0000-0000E0600000}"/>
    <cellStyle name="Normaali 15 2 2" xfId="4299" xr:uid="{00000000-0005-0000-0000-0000E1600000}"/>
    <cellStyle name="Normaali 15 2 2 2" xfId="4300" xr:uid="{00000000-0005-0000-0000-0000E2600000}"/>
    <cellStyle name="Normaali 15 2 2 2 2" xfId="9538" xr:uid="{00000000-0005-0000-0000-0000E3600000}"/>
    <cellStyle name="Normaali 15 2 2 2 3" xfId="17640" xr:uid="{00000000-0005-0000-0000-0000E4600000}"/>
    <cellStyle name="Normaali 15 2 2 2_DataIX" xfId="33418" xr:uid="{00000000-0005-0000-0000-0000E5600000}"/>
    <cellStyle name="Normaali 15 2 2 3" xfId="4301" xr:uid="{00000000-0005-0000-0000-0000E6600000}"/>
    <cellStyle name="Normaali 15 2 2 3 2" xfId="9539" xr:uid="{00000000-0005-0000-0000-0000E7600000}"/>
    <cellStyle name="Normaali 15 2 2 3 3" xfId="17641" xr:uid="{00000000-0005-0000-0000-0000E8600000}"/>
    <cellStyle name="Normaali 15 2 2 3_DataIX" xfId="33419" xr:uid="{00000000-0005-0000-0000-0000E9600000}"/>
    <cellStyle name="Normaali 15 2 2 4" xfId="9537" xr:uid="{00000000-0005-0000-0000-0000EA600000}"/>
    <cellStyle name="Normaali 15 2 2 5" xfId="17639" xr:uid="{00000000-0005-0000-0000-0000EB600000}"/>
    <cellStyle name="Normaali 15 2 2 6" xfId="18744" xr:uid="{00000000-0005-0000-0000-0000EC600000}"/>
    <cellStyle name="Normaali 15 2 2_DataIX" xfId="33417" xr:uid="{00000000-0005-0000-0000-0000ED600000}"/>
    <cellStyle name="Normaali 15 2 3" xfId="4302" xr:uid="{00000000-0005-0000-0000-0000EE600000}"/>
    <cellStyle name="Normaali 15 2 3 2" xfId="4303" xr:uid="{00000000-0005-0000-0000-0000EF600000}"/>
    <cellStyle name="Normaali 15 2 3 2 2" xfId="9541" xr:uid="{00000000-0005-0000-0000-0000F0600000}"/>
    <cellStyle name="Normaali 15 2 3 2 3" xfId="17643" xr:uid="{00000000-0005-0000-0000-0000F1600000}"/>
    <cellStyle name="Normaali 15 2 3 2_DataIX" xfId="33421" xr:uid="{00000000-0005-0000-0000-0000F2600000}"/>
    <cellStyle name="Normaali 15 2 3 3" xfId="4304" xr:uid="{00000000-0005-0000-0000-0000F3600000}"/>
    <cellStyle name="Normaali 15 2 3 3 2" xfId="9542" xr:uid="{00000000-0005-0000-0000-0000F4600000}"/>
    <cellStyle name="Normaali 15 2 3 3 3" xfId="17644" xr:uid="{00000000-0005-0000-0000-0000F5600000}"/>
    <cellStyle name="Normaali 15 2 3 3_DataIX" xfId="33422" xr:uid="{00000000-0005-0000-0000-0000F6600000}"/>
    <cellStyle name="Normaali 15 2 3 4" xfId="9540" xr:uid="{00000000-0005-0000-0000-0000F7600000}"/>
    <cellStyle name="Normaali 15 2 3 5" xfId="17642" xr:uid="{00000000-0005-0000-0000-0000F8600000}"/>
    <cellStyle name="Normaali 15 2 3 6" xfId="19129" xr:uid="{00000000-0005-0000-0000-0000F9600000}"/>
    <cellStyle name="Normaali 15 2 3_DataIX" xfId="33420" xr:uid="{00000000-0005-0000-0000-0000FA600000}"/>
    <cellStyle name="Normaali 15 2 4" xfId="4305" xr:uid="{00000000-0005-0000-0000-0000FB600000}"/>
    <cellStyle name="Normaali 15 2 4 2" xfId="4306" xr:uid="{00000000-0005-0000-0000-0000FC600000}"/>
    <cellStyle name="Normaali 15 2 4 2 2" xfId="9544" xr:uid="{00000000-0005-0000-0000-0000FD600000}"/>
    <cellStyle name="Normaali 15 2 4 2 3" xfId="17646" xr:uid="{00000000-0005-0000-0000-0000FE600000}"/>
    <cellStyle name="Normaali 15 2 4 2_DataIX" xfId="33424" xr:uid="{00000000-0005-0000-0000-0000FF600000}"/>
    <cellStyle name="Normaali 15 2 4 3" xfId="9543" xr:uid="{00000000-0005-0000-0000-000000610000}"/>
    <cellStyle name="Normaali 15 2 4 4" xfId="17645" xr:uid="{00000000-0005-0000-0000-000001610000}"/>
    <cellStyle name="Normaali 15 2 4 5" xfId="19128" xr:uid="{00000000-0005-0000-0000-000002610000}"/>
    <cellStyle name="Normaali 15 2 4_DataIX" xfId="33423" xr:uid="{00000000-0005-0000-0000-000003610000}"/>
    <cellStyle name="Normaali 15 2 5" xfId="4307" xr:uid="{00000000-0005-0000-0000-000004610000}"/>
    <cellStyle name="Normaali 15 2 5 2" xfId="9545" xr:uid="{00000000-0005-0000-0000-000005610000}"/>
    <cellStyle name="Normaali 15 2 5 3" xfId="17647" xr:uid="{00000000-0005-0000-0000-000006610000}"/>
    <cellStyle name="Normaali 15 2 5_DataIX" xfId="33425" xr:uid="{00000000-0005-0000-0000-000007610000}"/>
    <cellStyle name="Normaali 15 2 6" xfId="9536" xr:uid="{00000000-0005-0000-0000-000008610000}"/>
    <cellStyle name="Normaali 15 2 7" xfId="17638" xr:uid="{00000000-0005-0000-0000-000009610000}"/>
    <cellStyle name="Normaali 15 2 8" xfId="19130" xr:uid="{00000000-0005-0000-0000-00000A610000}"/>
    <cellStyle name="Normaali 15 2_DataIX" xfId="33416" xr:uid="{00000000-0005-0000-0000-00000B610000}"/>
    <cellStyle name="Normaali 15 3" xfId="4308" xr:uid="{00000000-0005-0000-0000-00000C610000}"/>
    <cellStyle name="Normaali 15 3 2" xfId="4309" xr:uid="{00000000-0005-0000-0000-00000D610000}"/>
    <cellStyle name="Normaali 15 3 2 2" xfId="4310" xr:uid="{00000000-0005-0000-0000-00000E610000}"/>
    <cellStyle name="Normaali 15 3 2 2 2" xfId="9548" xr:uid="{00000000-0005-0000-0000-00000F610000}"/>
    <cellStyle name="Normaali 15 3 2 2 3" xfId="17650" xr:uid="{00000000-0005-0000-0000-000010610000}"/>
    <cellStyle name="Normaali 15 3 2 2_DataIX" xfId="33428" xr:uid="{00000000-0005-0000-0000-000011610000}"/>
    <cellStyle name="Normaali 15 3 2 3" xfId="9547" xr:uid="{00000000-0005-0000-0000-000012610000}"/>
    <cellStyle name="Normaali 15 3 2 4" xfId="17649" xr:uid="{00000000-0005-0000-0000-000013610000}"/>
    <cellStyle name="Normaali 15 3 2 5" xfId="19126" xr:uid="{00000000-0005-0000-0000-000014610000}"/>
    <cellStyle name="Normaali 15 3 2_DataIX" xfId="33427" xr:uid="{00000000-0005-0000-0000-000015610000}"/>
    <cellStyle name="Normaali 15 3 3" xfId="4311" xr:uid="{00000000-0005-0000-0000-000016610000}"/>
    <cellStyle name="Normaali 15 3 3 2" xfId="9549" xr:uid="{00000000-0005-0000-0000-000017610000}"/>
    <cellStyle name="Normaali 15 3 3 3" xfId="17651" xr:uid="{00000000-0005-0000-0000-000018610000}"/>
    <cellStyle name="Normaali 15 3 3_DataIX" xfId="33429" xr:uid="{00000000-0005-0000-0000-000019610000}"/>
    <cellStyle name="Normaali 15 3 4" xfId="4312" xr:uid="{00000000-0005-0000-0000-00001A610000}"/>
    <cellStyle name="Normaali 15 3 4 2" xfId="9550" xr:uid="{00000000-0005-0000-0000-00001B610000}"/>
    <cellStyle name="Normaali 15 3 4 3" xfId="17652" xr:uid="{00000000-0005-0000-0000-00001C610000}"/>
    <cellStyle name="Normaali 15 3 4_DataIX" xfId="33430" xr:uid="{00000000-0005-0000-0000-00001D610000}"/>
    <cellStyle name="Normaali 15 3 5" xfId="4313" xr:uid="{00000000-0005-0000-0000-00001E610000}"/>
    <cellStyle name="Normaali 15 3 5 2" xfId="9551" xr:uid="{00000000-0005-0000-0000-00001F610000}"/>
    <cellStyle name="Normaali 15 3 5 3" xfId="17653" xr:uid="{00000000-0005-0000-0000-000020610000}"/>
    <cellStyle name="Normaali 15 3 5_DataIX" xfId="33431" xr:uid="{00000000-0005-0000-0000-000021610000}"/>
    <cellStyle name="Normaali 15 3 6" xfId="9546" xr:uid="{00000000-0005-0000-0000-000022610000}"/>
    <cellStyle name="Normaali 15 3 7" xfId="17648" xr:uid="{00000000-0005-0000-0000-000023610000}"/>
    <cellStyle name="Normaali 15 3 8" xfId="19127" xr:uid="{00000000-0005-0000-0000-000024610000}"/>
    <cellStyle name="Normaali 15 3_DataIX" xfId="33426" xr:uid="{00000000-0005-0000-0000-000025610000}"/>
    <cellStyle name="Normaali 15 4" xfId="4314" xr:uid="{00000000-0005-0000-0000-000026610000}"/>
    <cellStyle name="Normaali 15 4 2" xfId="4315" xr:uid="{00000000-0005-0000-0000-000027610000}"/>
    <cellStyle name="Normaali 15 4 2 2" xfId="4316" xr:uid="{00000000-0005-0000-0000-000028610000}"/>
    <cellStyle name="Normaali 15 4 2 2 2" xfId="9554" xr:uid="{00000000-0005-0000-0000-000029610000}"/>
    <cellStyle name="Normaali 15 4 2 2 3" xfId="17656" xr:uid="{00000000-0005-0000-0000-00002A610000}"/>
    <cellStyle name="Normaali 15 4 2 2_DataIX" xfId="33434" xr:uid="{00000000-0005-0000-0000-00002B610000}"/>
    <cellStyle name="Normaali 15 4 2 3" xfId="9553" xr:uid="{00000000-0005-0000-0000-00002C610000}"/>
    <cellStyle name="Normaali 15 4 2 4" xfId="17655" xr:uid="{00000000-0005-0000-0000-00002D610000}"/>
    <cellStyle name="Normaali 15 4 2 5" xfId="19124" xr:uid="{00000000-0005-0000-0000-00002E610000}"/>
    <cellStyle name="Normaali 15 4 2_DataIX" xfId="33433" xr:uid="{00000000-0005-0000-0000-00002F610000}"/>
    <cellStyle name="Normaali 15 4 3" xfId="4317" xr:uid="{00000000-0005-0000-0000-000030610000}"/>
    <cellStyle name="Normaali 15 4 3 2" xfId="9555" xr:uid="{00000000-0005-0000-0000-000031610000}"/>
    <cellStyle name="Normaali 15 4 3 3" xfId="17657" xr:uid="{00000000-0005-0000-0000-000032610000}"/>
    <cellStyle name="Normaali 15 4 3_DataIX" xfId="33435" xr:uid="{00000000-0005-0000-0000-000033610000}"/>
    <cellStyle name="Normaali 15 4 4" xfId="9552" xr:uid="{00000000-0005-0000-0000-000034610000}"/>
    <cellStyle name="Normaali 15 4 5" xfId="17654" xr:uid="{00000000-0005-0000-0000-000035610000}"/>
    <cellStyle name="Normaali 15 4 6" xfId="19125" xr:uid="{00000000-0005-0000-0000-000036610000}"/>
    <cellStyle name="Normaali 15 4_DataIX" xfId="33432" xr:uid="{00000000-0005-0000-0000-000037610000}"/>
    <cellStyle name="Normaali 15 5" xfId="4318" xr:uid="{00000000-0005-0000-0000-000038610000}"/>
    <cellStyle name="Normaali 15 5 2" xfId="4319" xr:uid="{00000000-0005-0000-0000-000039610000}"/>
    <cellStyle name="Normaali 15 5 2 2" xfId="9557" xr:uid="{00000000-0005-0000-0000-00003A610000}"/>
    <cellStyle name="Normaali 15 5 2 3" xfId="17659" xr:uid="{00000000-0005-0000-0000-00003B610000}"/>
    <cellStyle name="Normaali 15 5 2_DataIX" xfId="33437" xr:uid="{00000000-0005-0000-0000-00003C610000}"/>
    <cellStyle name="Normaali 15 5 3" xfId="9556" xr:uid="{00000000-0005-0000-0000-00003D610000}"/>
    <cellStyle name="Normaali 15 5 4" xfId="17658" xr:uid="{00000000-0005-0000-0000-00003E610000}"/>
    <cellStyle name="Normaali 15 5 5" xfId="19123" xr:uid="{00000000-0005-0000-0000-00003F610000}"/>
    <cellStyle name="Normaali 15 5_DataIX" xfId="33436" xr:uid="{00000000-0005-0000-0000-000040610000}"/>
    <cellStyle name="Normaali 15 6" xfId="4320" xr:uid="{00000000-0005-0000-0000-000041610000}"/>
    <cellStyle name="Normaali 15 6 2" xfId="9558" xr:uid="{00000000-0005-0000-0000-000042610000}"/>
    <cellStyle name="Normaali 15 6 3" xfId="17660" xr:uid="{00000000-0005-0000-0000-000043610000}"/>
    <cellStyle name="Normaali 15 6_DataIX" xfId="33438" xr:uid="{00000000-0005-0000-0000-000044610000}"/>
    <cellStyle name="Normaali 15 7" xfId="4321" xr:uid="{00000000-0005-0000-0000-000045610000}"/>
    <cellStyle name="Normaali 15 7 2" xfId="9559" xr:uid="{00000000-0005-0000-0000-000046610000}"/>
    <cellStyle name="Normaali 15 7 3" xfId="17661" xr:uid="{00000000-0005-0000-0000-000047610000}"/>
    <cellStyle name="Normaali 15 7_DataIX" xfId="33439" xr:uid="{00000000-0005-0000-0000-000048610000}"/>
    <cellStyle name="Normaali 15 8" xfId="4322" xr:uid="{00000000-0005-0000-0000-000049610000}"/>
    <cellStyle name="Normaali 15 8 2" xfId="9560" xr:uid="{00000000-0005-0000-0000-00004A610000}"/>
    <cellStyle name="Normaali 15 8 3" xfId="17662" xr:uid="{00000000-0005-0000-0000-00004B610000}"/>
    <cellStyle name="Normaali 15 8_DataIX" xfId="33440" xr:uid="{00000000-0005-0000-0000-00004C610000}"/>
    <cellStyle name="Normaali 15 9" xfId="4323" xr:uid="{00000000-0005-0000-0000-00004D610000}"/>
    <cellStyle name="Normaali 15 9 2" xfId="9561" xr:uid="{00000000-0005-0000-0000-00004E610000}"/>
    <cellStyle name="Normaali 15 9 3" xfId="17663" xr:uid="{00000000-0005-0000-0000-00004F610000}"/>
    <cellStyle name="Normaali 15 9_DataIX" xfId="33441" xr:uid="{00000000-0005-0000-0000-000050610000}"/>
    <cellStyle name="Normaali 15_##Keskeiset" xfId="9531" xr:uid="{00000000-0005-0000-0000-000051610000}"/>
    <cellStyle name="Normaali 16" xfId="4324" xr:uid="{00000000-0005-0000-0000-000052610000}"/>
    <cellStyle name="Normaali 16 2" xfId="4325" xr:uid="{00000000-0005-0000-0000-000053610000}"/>
    <cellStyle name="Normaali 16 2 2" xfId="4326" xr:uid="{00000000-0005-0000-0000-000054610000}"/>
    <cellStyle name="Normaali 16 2 2 2" xfId="4327" xr:uid="{00000000-0005-0000-0000-000055610000}"/>
    <cellStyle name="Normaali 16 2 2 2 2" xfId="9565" xr:uid="{00000000-0005-0000-0000-000056610000}"/>
    <cellStyle name="Normaali 16 2 2 2 3" xfId="17667" xr:uid="{00000000-0005-0000-0000-000057610000}"/>
    <cellStyle name="Normaali 16 2 2 2_DataIX" xfId="33445" xr:uid="{00000000-0005-0000-0000-000058610000}"/>
    <cellStyle name="Normaali 16 2 2 3" xfId="4328" xr:uid="{00000000-0005-0000-0000-000059610000}"/>
    <cellStyle name="Normaali 16 2 2 3 2" xfId="9566" xr:uid="{00000000-0005-0000-0000-00005A610000}"/>
    <cellStyle name="Normaali 16 2 2 3 3" xfId="17668" xr:uid="{00000000-0005-0000-0000-00005B610000}"/>
    <cellStyle name="Normaali 16 2 2 3_DataIX" xfId="33446" xr:uid="{00000000-0005-0000-0000-00005C610000}"/>
    <cellStyle name="Normaali 16 2 2 4" xfId="9564" xr:uid="{00000000-0005-0000-0000-00005D610000}"/>
    <cellStyle name="Normaali 16 2 2 5" xfId="17666" xr:uid="{00000000-0005-0000-0000-00005E610000}"/>
    <cellStyle name="Normaali 16 2 2 6" xfId="19122" xr:uid="{00000000-0005-0000-0000-00005F610000}"/>
    <cellStyle name="Normaali 16 2 2_DataIX" xfId="33444" xr:uid="{00000000-0005-0000-0000-000060610000}"/>
    <cellStyle name="Normaali 16 2 3" xfId="4329" xr:uid="{00000000-0005-0000-0000-000061610000}"/>
    <cellStyle name="Normaali 16 2 3 2" xfId="4330" xr:uid="{00000000-0005-0000-0000-000062610000}"/>
    <cellStyle name="Normaali 16 2 3 2 2" xfId="9568" xr:uid="{00000000-0005-0000-0000-000063610000}"/>
    <cellStyle name="Normaali 16 2 3 2 3" xfId="17670" xr:uid="{00000000-0005-0000-0000-000064610000}"/>
    <cellStyle name="Normaali 16 2 3 2_DataIX" xfId="33448" xr:uid="{00000000-0005-0000-0000-000065610000}"/>
    <cellStyle name="Normaali 16 2 3 3" xfId="9567" xr:uid="{00000000-0005-0000-0000-000066610000}"/>
    <cellStyle name="Normaali 16 2 3 4" xfId="17669" xr:uid="{00000000-0005-0000-0000-000067610000}"/>
    <cellStyle name="Normaali 16 2 3_DataIX" xfId="33447" xr:uid="{00000000-0005-0000-0000-000068610000}"/>
    <cellStyle name="Normaali 16 2 4" xfId="4331" xr:uid="{00000000-0005-0000-0000-000069610000}"/>
    <cellStyle name="Normaali 16 2 4 2" xfId="9569" xr:uid="{00000000-0005-0000-0000-00006A610000}"/>
    <cellStyle name="Normaali 16 2 4 3" xfId="17671" xr:uid="{00000000-0005-0000-0000-00006B610000}"/>
    <cellStyle name="Normaali 16 2 4_DataIX" xfId="33449" xr:uid="{00000000-0005-0000-0000-00006C610000}"/>
    <cellStyle name="Normaali 16 2 5" xfId="4332" xr:uid="{00000000-0005-0000-0000-00006D610000}"/>
    <cellStyle name="Normaali 16 2 5 2" xfId="9570" xr:uid="{00000000-0005-0000-0000-00006E610000}"/>
    <cellStyle name="Normaali 16 2 5 3" xfId="17672" xr:uid="{00000000-0005-0000-0000-00006F610000}"/>
    <cellStyle name="Normaali 16 2 5_DataIX" xfId="33450" xr:uid="{00000000-0005-0000-0000-000070610000}"/>
    <cellStyle name="Normaali 16 2 6" xfId="9563" xr:uid="{00000000-0005-0000-0000-000071610000}"/>
    <cellStyle name="Normaali 16 2 7" xfId="17665" xr:uid="{00000000-0005-0000-0000-000072610000}"/>
    <cellStyle name="Normaali 16 2 8" xfId="19121" xr:uid="{00000000-0005-0000-0000-000073610000}"/>
    <cellStyle name="Normaali 16 2_DataIX" xfId="33443" xr:uid="{00000000-0005-0000-0000-000074610000}"/>
    <cellStyle name="Normaali 16 3" xfId="4333" xr:uid="{00000000-0005-0000-0000-000075610000}"/>
    <cellStyle name="Normaali 16 3 2" xfId="4334" xr:uid="{00000000-0005-0000-0000-000076610000}"/>
    <cellStyle name="Normaali 16 3 2 2" xfId="9572" xr:uid="{00000000-0005-0000-0000-000077610000}"/>
    <cellStyle name="Normaali 16 3 2 3" xfId="17674" xr:uid="{00000000-0005-0000-0000-000078610000}"/>
    <cellStyle name="Normaali 16 3 2_DataIX" xfId="33452" xr:uid="{00000000-0005-0000-0000-000079610000}"/>
    <cellStyle name="Normaali 16 3 3" xfId="4335" xr:uid="{00000000-0005-0000-0000-00007A610000}"/>
    <cellStyle name="Normaali 16 3 3 2" xfId="9573" xr:uid="{00000000-0005-0000-0000-00007B610000}"/>
    <cellStyle name="Normaali 16 3 3 3" xfId="17675" xr:uid="{00000000-0005-0000-0000-00007C610000}"/>
    <cellStyle name="Normaali 16 3 3_DataIX" xfId="33453" xr:uid="{00000000-0005-0000-0000-00007D610000}"/>
    <cellStyle name="Normaali 16 3 4" xfId="9571" xr:uid="{00000000-0005-0000-0000-00007E610000}"/>
    <cellStyle name="Normaali 16 3 5" xfId="17673" xr:uid="{00000000-0005-0000-0000-00007F610000}"/>
    <cellStyle name="Normaali 16 3_DataIX" xfId="33451" xr:uid="{00000000-0005-0000-0000-000080610000}"/>
    <cellStyle name="Normaali 16 4" xfId="4336" xr:uid="{00000000-0005-0000-0000-000081610000}"/>
    <cellStyle name="Normaali 16 4 2" xfId="4337" xr:uid="{00000000-0005-0000-0000-000082610000}"/>
    <cellStyle name="Normaali 16 4 2 2" xfId="9575" xr:uid="{00000000-0005-0000-0000-000083610000}"/>
    <cellStyle name="Normaali 16 4 2 3" xfId="17677" xr:uid="{00000000-0005-0000-0000-000084610000}"/>
    <cellStyle name="Normaali 16 4 2_DataIX" xfId="33455" xr:uid="{00000000-0005-0000-0000-000085610000}"/>
    <cellStyle name="Normaali 16 4 3" xfId="9574" xr:uid="{00000000-0005-0000-0000-000086610000}"/>
    <cellStyle name="Normaali 16 4 4" xfId="17676" xr:uid="{00000000-0005-0000-0000-000087610000}"/>
    <cellStyle name="Normaali 16 4_DataIX" xfId="33454" xr:uid="{00000000-0005-0000-0000-000088610000}"/>
    <cellStyle name="Normaali 16 5" xfId="4338" xr:uid="{00000000-0005-0000-0000-000089610000}"/>
    <cellStyle name="Normaali 16 5 2" xfId="9576" xr:uid="{00000000-0005-0000-0000-00008A610000}"/>
    <cellStyle name="Normaali 16 5 3" xfId="17678" xr:uid="{00000000-0005-0000-0000-00008B610000}"/>
    <cellStyle name="Normaali 16 5_DataIX" xfId="33456" xr:uid="{00000000-0005-0000-0000-00008C610000}"/>
    <cellStyle name="Normaali 16 6" xfId="4339" xr:uid="{00000000-0005-0000-0000-00008D610000}"/>
    <cellStyle name="Normaali 16 6 2" xfId="9577" xr:uid="{00000000-0005-0000-0000-00008E610000}"/>
    <cellStyle name="Normaali 16 6 3" xfId="17679" xr:uid="{00000000-0005-0000-0000-00008F610000}"/>
    <cellStyle name="Normaali 16 6_DataIX" xfId="33457" xr:uid="{00000000-0005-0000-0000-000090610000}"/>
    <cellStyle name="Normaali 16 7" xfId="9562" xr:uid="{00000000-0005-0000-0000-000091610000}"/>
    <cellStyle name="Normaali 16 8" xfId="17664" xr:uid="{00000000-0005-0000-0000-000092610000}"/>
    <cellStyle name="Normaali 16_DataIX" xfId="33442" xr:uid="{00000000-0005-0000-0000-000093610000}"/>
    <cellStyle name="Normaali 17" xfId="4340" xr:uid="{00000000-0005-0000-0000-000094610000}"/>
    <cellStyle name="Normaali 17 2" xfId="4341" xr:uid="{00000000-0005-0000-0000-000095610000}"/>
    <cellStyle name="Normaali 17 2 2" xfId="4342" xr:uid="{00000000-0005-0000-0000-000096610000}"/>
    <cellStyle name="Normaali 17 2 2 2" xfId="4343" xr:uid="{00000000-0005-0000-0000-000097610000}"/>
    <cellStyle name="Normaali 17 2 2 2 2" xfId="9581" xr:uid="{00000000-0005-0000-0000-000098610000}"/>
    <cellStyle name="Normaali 17 2 2 2 3" xfId="17683" xr:uid="{00000000-0005-0000-0000-000099610000}"/>
    <cellStyle name="Normaali 17 2 2 2_DataIX" xfId="33461" xr:uid="{00000000-0005-0000-0000-00009A610000}"/>
    <cellStyle name="Normaali 17 2 2 3" xfId="4344" xr:uid="{00000000-0005-0000-0000-00009B610000}"/>
    <cellStyle name="Normaali 17 2 2 3 2" xfId="9582" xr:uid="{00000000-0005-0000-0000-00009C610000}"/>
    <cellStyle name="Normaali 17 2 2 3 3" xfId="17684" xr:uid="{00000000-0005-0000-0000-00009D610000}"/>
    <cellStyle name="Normaali 17 2 2 3_DataIX" xfId="33462" xr:uid="{00000000-0005-0000-0000-00009E610000}"/>
    <cellStyle name="Normaali 17 2 2 4" xfId="9580" xr:uid="{00000000-0005-0000-0000-00009F610000}"/>
    <cellStyle name="Normaali 17 2 2 5" xfId="17682" xr:uid="{00000000-0005-0000-0000-0000A0610000}"/>
    <cellStyle name="Normaali 17 2 2 6" xfId="19119" xr:uid="{00000000-0005-0000-0000-0000A1610000}"/>
    <cellStyle name="Normaali 17 2 2_DataIX" xfId="33460" xr:uid="{00000000-0005-0000-0000-0000A2610000}"/>
    <cellStyle name="Normaali 17 2 3" xfId="4345" xr:uid="{00000000-0005-0000-0000-0000A3610000}"/>
    <cellStyle name="Normaali 17 2 3 2" xfId="4346" xr:uid="{00000000-0005-0000-0000-0000A4610000}"/>
    <cellStyle name="Normaali 17 2 3 2 2" xfId="9584" xr:uid="{00000000-0005-0000-0000-0000A5610000}"/>
    <cellStyle name="Normaali 17 2 3 2 3" xfId="17686" xr:uid="{00000000-0005-0000-0000-0000A6610000}"/>
    <cellStyle name="Normaali 17 2 3 2_DataIX" xfId="33464" xr:uid="{00000000-0005-0000-0000-0000A7610000}"/>
    <cellStyle name="Normaali 17 2 3 3" xfId="9583" xr:uid="{00000000-0005-0000-0000-0000A8610000}"/>
    <cellStyle name="Normaali 17 2 3 4" xfId="17685" xr:uid="{00000000-0005-0000-0000-0000A9610000}"/>
    <cellStyle name="Normaali 17 2 3_DataIX" xfId="33463" xr:uid="{00000000-0005-0000-0000-0000AA610000}"/>
    <cellStyle name="Normaali 17 2 4" xfId="4347" xr:uid="{00000000-0005-0000-0000-0000AB610000}"/>
    <cellStyle name="Normaali 17 2 4 2" xfId="9585" xr:uid="{00000000-0005-0000-0000-0000AC610000}"/>
    <cellStyle name="Normaali 17 2 4 3" xfId="17687" xr:uid="{00000000-0005-0000-0000-0000AD610000}"/>
    <cellStyle name="Normaali 17 2 4_DataIX" xfId="33465" xr:uid="{00000000-0005-0000-0000-0000AE610000}"/>
    <cellStyle name="Normaali 17 2 5" xfId="4348" xr:uid="{00000000-0005-0000-0000-0000AF610000}"/>
    <cellStyle name="Normaali 17 2 5 2" xfId="9586" xr:uid="{00000000-0005-0000-0000-0000B0610000}"/>
    <cellStyle name="Normaali 17 2 5 3" xfId="17688" xr:uid="{00000000-0005-0000-0000-0000B1610000}"/>
    <cellStyle name="Normaali 17 2 5_DataIX" xfId="33466" xr:uid="{00000000-0005-0000-0000-0000B2610000}"/>
    <cellStyle name="Normaali 17 2 6" xfId="9579" xr:uid="{00000000-0005-0000-0000-0000B3610000}"/>
    <cellStyle name="Normaali 17 2 7" xfId="17681" xr:uid="{00000000-0005-0000-0000-0000B4610000}"/>
    <cellStyle name="Normaali 17 2 8" xfId="19118" xr:uid="{00000000-0005-0000-0000-0000B5610000}"/>
    <cellStyle name="Normaali 17 2_DataIX" xfId="33459" xr:uid="{00000000-0005-0000-0000-0000B6610000}"/>
    <cellStyle name="Normaali 17 3" xfId="4349" xr:uid="{00000000-0005-0000-0000-0000B7610000}"/>
    <cellStyle name="Normaali 17 3 2" xfId="4350" xr:uid="{00000000-0005-0000-0000-0000B8610000}"/>
    <cellStyle name="Normaali 17 3 2 2" xfId="9588" xr:uid="{00000000-0005-0000-0000-0000B9610000}"/>
    <cellStyle name="Normaali 17 3 2 3" xfId="17690" xr:uid="{00000000-0005-0000-0000-0000BA610000}"/>
    <cellStyle name="Normaali 17 3 2_DataIX" xfId="33468" xr:uid="{00000000-0005-0000-0000-0000BB610000}"/>
    <cellStyle name="Normaali 17 3 3" xfId="9587" xr:uid="{00000000-0005-0000-0000-0000BC610000}"/>
    <cellStyle name="Normaali 17 3 4" xfId="17689" xr:uid="{00000000-0005-0000-0000-0000BD610000}"/>
    <cellStyle name="Normaali 17 3_DataIX" xfId="33467" xr:uid="{00000000-0005-0000-0000-0000BE610000}"/>
    <cellStyle name="Normaali 17 4" xfId="4351" xr:uid="{00000000-0005-0000-0000-0000BF610000}"/>
    <cellStyle name="Normaali 17 4 2" xfId="4352" xr:uid="{00000000-0005-0000-0000-0000C0610000}"/>
    <cellStyle name="Normaali 17 4 2 2" xfId="9590" xr:uid="{00000000-0005-0000-0000-0000C1610000}"/>
    <cellStyle name="Normaali 17 4 2 3" xfId="17692" xr:uid="{00000000-0005-0000-0000-0000C2610000}"/>
    <cellStyle name="Normaali 17 4 2_DataIX" xfId="33470" xr:uid="{00000000-0005-0000-0000-0000C3610000}"/>
    <cellStyle name="Normaali 17 4 3" xfId="9589" xr:uid="{00000000-0005-0000-0000-0000C4610000}"/>
    <cellStyle name="Normaali 17 4 4" xfId="17691" xr:uid="{00000000-0005-0000-0000-0000C5610000}"/>
    <cellStyle name="Normaali 17 4_DataIX" xfId="33469" xr:uid="{00000000-0005-0000-0000-0000C6610000}"/>
    <cellStyle name="Normaali 17 5" xfId="4353" xr:uid="{00000000-0005-0000-0000-0000C7610000}"/>
    <cellStyle name="Normaali 17 5 2" xfId="9591" xr:uid="{00000000-0005-0000-0000-0000C8610000}"/>
    <cellStyle name="Normaali 17 5 3" xfId="17693" xr:uid="{00000000-0005-0000-0000-0000C9610000}"/>
    <cellStyle name="Normaali 17 5_DataIX" xfId="33471" xr:uid="{00000000-0005-0000-0000-0000CA610000}"/>
    <cellStyle name="Normaali 17 6" xfId="4354" xr:uid="{00000000-0005-0000-0000-0000CB610000}"/>
    <cellStyle name="Normaali 17 6 2" xfId="9592" xr:uid="{00000000-0005-0000-0000-0000CC610000}"/>
    <cellStyle name="Normaali 17 6 3" xfId="17694" xr:uid="{00000000-0005-0000-0000-0000CD610000}"/>
    <cellStyle name="Normaali 17 6_DataIX" xfId="33472" xr:uid="{00000000-0005-0000-0000-0000CE610000}"/>
    <cellStyle name="Normaali 17 7" xfId="9578" xr:uid="{00000000-0005-0000-0000-0000CF610000}"/>
    <cellStyle name="Normaali 17 8" xfId="17680" xr:uid="{00000000-0005-0000-0000-0000D0610000}"/>
    <cellStyle name="Normaali 17 9" xfId="19120" xr:uid="{00000000-0005-0000-0000-0000D1610000}"/>
    <cellStyle name="Normaali 17_DataIX" xfId="33458" xr:uid="{00000000-0005-0000-0000-0000D2610000}"/>
    <cellStyle name="Normaali 18" xfId="4355" xr:uid="{00000000-0005-0000-0000-0000D3610000}"/>
    <cellStyle name="Normaali 18 10" xfId="4356" xr:uid="{00000000-0005-0000-0000-0000D4610000}"/>
    <cellStyle name="Normaali 18 10 2" xfId="9594" xr:uid="{00000000-0005-0000-0000-0000D5610000}"/>
    <cellStyle name="Normaali 18 10 3" xfId="17696" xr:uid="{00000000-0005-0000-0000-0000D6610000}"/>
    <cellStyle name="Normaali 18 10_DataIX" xfId="33474" xr:uid="{00000000-0005-0000-0000-0000D7610000}"/>
    <cellStyle name="Normaali 18 11" xfId="4357" xr:uid="{00000000-0005-0000-0000-0000D8610000}"/>
    <cellStyle name="Normaali 18 11 2" xfId="9595" xr:uid="{00000000-0005-0000-0000-0000D9610000}"/>
    <cellStyle name="Normaali 18 11 3" xfId="17697" xr:uid="{00000000-0005-0000-0000-0000DA610000}"/>
    <cellStyle name="Normaali 18 11_DataIX" xfId="33475" xr:uid="{00000000-0005-0000-0000-0000DB610000}"/>
    <cellStyle name="Normaali 18 12" xfId="9593" xr:uid="{00000000-0005-0000-0000-0000DC610000}"/>
    <cellStyle name="Normaali 18 13" xfId="17695" xr:uid="{00000000-0005-0000-0000-0000DD610000}"/>
    <cellStyle name="Normaali 18 14" xfId="19117" xr:uid="{00000000-0005-0000-0000-0000DE610000}"/>
    <cellStyle name="Normaali 18 2" xfId="4358" xr:uid="{00000000-0005-0000-0000-0000DF610000}"/>
    <cellStyle name="Normaali 18 2 2" xfId="4359" xr:uid="{00000000-0005-0000-0000-0000E0610000}"/>
    <cellStyle name="Normaali 18 2 2 2" xfId="4360" xr:uid="{00000000-0005-0000-0000-0000E1610000}"/>
    <cellStyle name="Normaali 18 2 2 2 2" xfId="9598" xr:uid="{00000000-0005-0000-0000-0000E2610000}"/>
    <cellStyle name="Normaali 18 2 2 2 3" xfId="17700" xr:uid="{00000000-0005-0000-0000-0000E3610000}"/>
    <cellStyle name="Normaali 18 2 2 2_DataIX" xfId="33478" xr:uid="{00000000-0005-0000-0000-0000E4610000}"/>
    <cellStyle name="Normaali 18 2 2 3" xfId="4361" xr:uid="{00000000-0005-0000-0000-0000E5610000}"/>
    <cellStyle name="Normaali 18 2 2 3 2" xfId="9599" xr:uid="{00000000-0005-0000-0000-0000E6610000}"/>
    <cellStyle name="Normaali 18 2 2 3 3" xfId="17701" xr:uid="{00000000-0005-0000-0000-0000E7610000}"/>
    <cellStyle name="Normaali 18 2 2 3_DataIX" xfId="33479" xr:uid="{00000000-0005-0000-0000-0000E8610000}"/>
    <cellStyle name="Normaali 18 2 2 4" xfId="9597" xr:uid="{00000000-0005-0000-0000-0000E9610000}"/>
    <cellStyle name="Normaali 18 2 2 5" xfId="17699" xr:uid="{00000000-0005-0000-0000-0000EA610000}"/>
    <cellStyle name="Normaali 18 2 2 6" xfId="19116" xr:uid="{00000000-0005-0000-0000-0000EB610000}"/>
    <cellStyle name="Normaali 18 2 2_DataIX" xfId="33477" xr:uid="{00000000-0005-0000-0000-0000EC610000}"/>
    <cellStyle name="Normaali 18 2 3" xfId="4362" xr:uid="{00000000-0005-0000-0000-0000ED610000}"/>
    <cellStyle name="Normaali 18 2 3 2" xfId="4363" xr:uid="{00000000-0005-0000-0000-0000EE610000}"/>
    <cellStyle name="Normaali 18 2 3 2 2" xfId="9601" xr:uid="{00000000-0005-0000-0000-0000EF610000}"/>
    <cellStyle name="Normaali 18 2 3 2 3" xfId="17703" xr:uid="{00000000-0005-0000-0000-0000F0610000}"/>
    <cellStyle name="Normaali 18 2 3 2_DataIX" xfId="33481" xr:uid="{00000000-0005-0000-0000-0000F1610000}"/>
    <cellStyle name="Normaali 18 2 3 3" xfId="4364" xr:uid="{00000000-0005-0000-0000-0000F2610000}"/>
    <cellStyle name="Normaali 18 2 3 3 2" xfId="9602" xr:uid="{00000000-0005-0000-0000-0000F3610000}"/>
    <cellStyle name="Normaali 18 2 3 3 3" xfId="17704" xr:uid="{00000000-0005-0000-0000-0000F4610000}"/>
    <cellStyle name="Normaali 18 2 3 3_DataIX" xfId="33482" xr:uid="{00000000-0005-0000-0000-0000F5610000}"/>
    <cellStyle name="Normaali 18 2 3 4" xfId="9600" xr:uid="{00000000-0005-0000-0000-0000F6610000}"/>
    <cellStyle name="Normaali 18 2 3 5" xfId="17702" xr:uid="{00000000-0005-0000-0000-0000F7610000}"/>
    <cellStyle name="Normaali 18 2 3 6" xfId="20591" xr:uid="{00000000-0005-0000-0000-0000F8610000}"/>
    <cellStyle name="Normaali 18 2 3_DataIX" xfId="33480" xr:uid="{00000000-0005-0000-0000-0000F9610000}"/>
    <cellStyle name="Normaali 18 2 4" xfId="4365" xr:uid="{00000000-0005-0000-0000-0000FA610000}"/>
    <cellStyle name="Normaali 18 2 4 2" xfId="4366" xr:uid="{00000000-0005-0000-0000-0000FB610000}"/>
    <cellStyle name="Normaali 18 2 4 2 2" xfId="9604" xr:uid="{00000000-0005-0000-0000-0000FC610000}"/>
    <cellStyle name="Normaali 18 2 4 2 3" xfId="17706" xr:uid="{00000000-0005-0000-0000-0000FD610000}"/>
    <cellStyle name="Normaali 18 2 4 2_DataIX" xfId="33484" xr:uid="{00000000-0005-0000-0000-0000FE610000}"/>
    <cellStyle name="Normaali 18 2 4 3" xfId="9603" xr:uid="{00000000-0005-0000-0000-0000FF610000}"/>
    <cellStyle name="Normaali 18 2 4 4" xfId="17705" xr:uid="{00000000-0005-0000-0000-000000620000}"/>
    <cellStyle name="Normaali 18 2 4 5" xfId="19114" xr:uid="{00000000-0005-0000-0000-000001620000}"/>
    <cellStyle name="Normaali 18 2 4_DataIX" xfId="33483" xr:uid="{00000000-0005-0000-0000-000002620000}"/>
    <cellStyle name="Normaali 18 2 5" xfId="4367" xr:uid="{00000000-0005-0000-0000-000003620000}"/>
    <cellStyle name="Normaali 18 2 5 2" xfId="9605" xr:uid="{00000000-0005-0000-0000-000004620000}"/>
    <cellStyle name="Normaali 18 2 5 3" xfId="17707" xr:uid="{00000000-0005-0000-0000-000005620000}"/>
    <cellStyle name="Normaali 18 2 5_DataIX" xfId="33485" xr:uid="{00000000-0005-0000-0000-000006620000}"/>
    <cellStyle name="Normaali 18 2 6" xfId="9596" xr:uid="{00000000-0005-0000-0000-000007620000}"/>
    <cellStyle name="Normaali 18 2 7" xfId="17698" xr:uid="{00000000-0005-0000-0000-000008620000}"/>
    <cellStyle name="Normaali 18 2 8" xfId="20592" xr:uid="{00000000-0005-0000-0000-000009620000}"/>
    <cellStyle name="Normaali 18 2_DataIX" xfId="33476" xr:uid="{00000000-0005-0000-0000-00000A620000}"/>
    <cellStyle name="Normaali 18 3" xfId="4368" xr:uid="{00000000-0005-0000-0000-00000B620000}"/>
    <cellStyle name="Normaali 18 3 2" xfId="4369" xr:uid="{00000000-0005-0000-0000-00000C620000}"/>
    <cellStyle name="Normaali 18 3 2 2" xfId="4370" xr:uid="{00000000-0005-0000-0000-00000D620000}"/>
    <cellStyle name="Normaali 18 3 2 2 2" xfId="9608" xr:uid="{00000000-0005-0000-0000-00000E620000}"/>
    <cellStyle name="Normaali 18 3 2 2 3" xfId="17710" xr:uid="{00000000-0005-0000-0000-00000F620000}"/>
    <cellStyle name="Normaali 18 3 2 2_DataIX" xfId="33488" xr:uid="{00000000-0005-0000-0000-000010620000}"/>
    <cellStyle name="Normaali 18 3 2 3" xfId="9607" xr:uid="{00000000-0005-0000-0000-000011620000}"/>
    <cellStyle name="Normaali 18 3 2 4" xfId="17709" xr:uid="{00000000-0005-0000-0000-000012620000}"/>
    <cellStyle name="Normaali 18 3 2 5" xfId="19115" xr:uid="{00000000-0005-0000-0000-000013620000}"/>
    <cellStyle name="Normaali 18 3 2_DataIX" xfId="33487" xr:uid="{00000000-0005-0000-0000-000014620000}"/>
    <cellStyle name="Normaali 18 3 3" xfId="4371" xr:uid="{00000000-0005-0000-0000-000015620000}"/>
    <cellStyle name="Normaali 18 3 3 2" xfId="9609" xr:uid="{00000000-0005-0000-0000-000016620000}"/>
    <cellStyle name="Normaali 18 3 3 3" xfId="17711" xr:uid="{00000000-0005-0000-0000-000017620000}"/>
    <cellStyle name="Normaali 18 3 3_DataIX" xfId="33489" xr:uid="{00000000-0005-0000-0000-000018620000}"/>
    <cellStyle name="Normaali 18 3 4" xfId="4372" xr:uid="{00000000-0005-0000-0000-000019620000}"/>
    <cellStyle name="Normaali 18 3 4 2" xfId="9610" xr:uid="{00000000-0005-0000-0000-00001A620000}"/>
    <cellStyle name="Normaali 18 3 4 3" xfId="17712" xr:uid="{00000000-0005-0000-0000-00001B620000}"/>
    <cellStyle name="Normaali 18 3 4_DataIX" xfId="33490" xr:uid="{00000000-0005-0000-0000-00001C620000}"/>
    <cellStyle name="Normaali 18 3 5" xfId="4373" xr:uid="{00000000-0005-0000-0000-00001D620000}"/>
    <cellStyle name="Normaali 18 3 5 2" xfId="9611" xr:uid="{00000000-0005-0000-0000-00001E620000}"/>
    <cellStyle name="Normaali 18 3 5 3" xfId="17713" xr:uid="{00000000-0005-0000-0000-00001F620000}"/>
    <cellStyle name="Normaali 18 3 5_DataIX" xfId="33491" xr:uid="{00000000-0005-0000-0000-000020620000}"/>
    <cellStyle name="Normaali 18 3 6" xfId="9606" xr:uid="{00000000-0005-0000-0000-000021620000}"/>
    <cellStyle name="Normaali 18 3 7" xfId="17708" xr:uid="{00000000-0005-0000-0000-000022620000}"/>
    <cellStyle name="Normaali 18 3 8" xfId="20590" xr:uid="{00000000-0005-0000-0000-000023620000}"/>
    <cellStyle name="Normaali 18 3_DataIX" xfId="33486" xr:uid="{00000000-0005-0000-0000-000024620000}"/>
    <cellStyle name="Normaali 18 4" xfId="4374" xr:uid="{00000000-0005-0000-0000-000025620000}"/>
    <cellStyle name="Normaali 18 4 2" xfId="4375" xr:uid="{00000000-0005-0000-0000-000026620000}"/>
    <cellStyle name="Normaali 18 4 2 2" xfId="4376" xr:uid="{00000000-0005-0000-0000-000027620000}"/>
    <cellStyle name="Normaali 18 4 2 2 2" xfId="9614" xr:uid="{00000000-0005-0000-0000-000028620000}"/>
    <cellStyle name="Normaali 18 4 2 2 3" xfId="17716" xr:uid="{00000000-0005-0000-0000-000029620000}"/>
    <cellStyle name="Normaali 18 4 2 2_DataIX" xfId="33494" xr:uid="{00000000-0005-0000-0000-00002A620000}"/>
    <cellStyle name="Normaali 18 4 2 3" xfId="9613" xr:uid="{00000000-0005-0000-0000-00002B620000}"/>
    <cellStyle name="Normaali 18 4 2 4" xfId="17715" xr:uid="{00000000-0005-0000-0000-00002C620000}"/>
    <cellStyle name="Normaali 18 4 2 5" xfId="20587" xr:uid="{00000000-0005-0000-0000-00002D620000}"/>
    <cellStyle name="Normaali 18 4 2_DataIX" xfId="33493" xr:uid="{00000000-0005-0000-0000-00002E620000}"/>
    <cellStyle name="Normaali 18 4 3" xfId="4377" xr:uid="{00000000-0005-0000-0000-00002F620000}"/>
    <cellStyle name="Normaali 18 4 3 2" xfId="9615" xr:uid="{00000000-0005-0000-0000-000030620000}"/>
    <cellStyle name="Normaali 18 4 3 3" xfId="17717" xr:uid="{00000000-0005-0000-0000-000031620000}"/>
    <cellStyle name="Normaali 18 4 3_DataIX" xfId="33495" xr:uid="{00000000-0005-0000-0000-000032620000}"/>
    <cellStyle name="Normaali 18 4 4" xfId="9612" xr:uid="{00000000-0005-0000-0000-000033620000}"/>
    <cellStyle name="Normaali 18 4 5" xfId="17714" xr:uid="{00000000-0005-0000-0000-000034620000}"/>
    <cellStyle name="Normaali 18 4 6" xfId="19113" xr:uid="{00000000-0005-0000-0000-000035620000}"/>
    <cellStyle name="Normaali 18 4_DataIX" xfId="33492" xr:uid="{00000000-0005-0000-0000-000036620000}"/>
    <cellStyle name="Normaali 18 5" xfId="4378" xr:uid="{00000000-0005-0000-0000-000037620000}"/>
    <cellStyle name="Normaali 18 5 2" xfId="4379" xr:uid="{00000000-0005-0000-0000-000038620000}"/>
    <cellStyle name="Normaali 18 5 2 2" xfId="9617" xr:uid="{00000000-0005-0000-0000-000039620000}"/>
    <cellStyle name="Normaali 18 5 2 3" xfId="17719" xr:uid="{00000000-0005-0000-0000-00003A620000}"/>
    <cellStyle name="Normaali 18 5 2_DataIX" xfId="33497" xr:uid="{00000000-0005-0000-0000-00003B620000}"/>
    <cellStyle name="Normaali 18 5 3" xfId="9616" xr:uid="{00000000-0005-0000-0000-00003C620000}"/>
    <cellStyle name="Normaali 18 5 4" xfId="17718" xr:uid="{00000000-0005-0000-0000-00003D620000}"/>
    <cellStyle name="Normaali 18 5 5" xfId="20589" xr:uid="{00000000-0005-0000-0000-00003E620000}"/>
    <cellStyle name="Normaali 18 5_DataIX" xfId="33496" xr:uid="{00000000-0005-0000-0000-00003F620000}"/>
    <cellStyle name="Normaali 18 6" xfId="4380" xr:uid="{00000000-0005-0000-0000-000040620000}"/>
    <cellStyle name="Normaali 18 6 2" xfId="9618" xr:uid="{00000000-0005-0000-0000-000041620000}"/>
    <cellStyle name="Normaali 18 6 3" xfId="17720" xr:uid="{00000000-0005-0000-0000-000042620000}"/>
    <cellStyle name="Normaali 18 6_DataIX" xfId="33498" xr:uid="{00000000-0005-0000-0000-000043620000}"/>
    <cellStyle name="Normaali 18 7" xfId="4381" xr:uid="{00000000-0005-0000-0000-000044620000}"/>
    <cellStyle name="Normaali 18 7 2" xfId="9619" xr:uid="{00000000-0005-0000-0000-000045620000}"/>
    <cellStyle name="Normaali 18 7 3" xfId="17721" xr:uid="{00000000-0005-0000-0000-000046620000}"/>
    <cellStyle name="Normaali 18 7_DataIX" xfId="33499" xr:uid="{00000000-0005-0000-0000-000047620000}"/>
    <cellStyle name="Normaali 18 8" xfId="4382" xr:uid="{00000000-0005-0000-0000-000048620000}"/>
    <cellStyle name="Normaali 18 8 2" xfId="9620" xr:uid="{00000000-0005-0000-0000-000049620000}"/>
    <cellStyle name="Normaali 18 8 3" xfId="17722" xr:uid="{00000000-0005-0000-0000-00004A620000}"/>
    <cellStyle name="Normaali 18 8_DataIX" xfId="33500" xr:uid="{00000000-0005-0000-0000-00004B620000}"/>
    <cellStyle name="Normaali 18 9" xfId="4383" xr:uid="{00000000-0005-0000-0000-00004C620000}"/>
    <cellStyle name="Normaali 18 9 2" xfId="9621" xr:uid="{00000000-0005-0000-0000-00004D620000}"/>
    <cellStyle name="Normaali 18 9 3" xfId="17723" xr:uid="{00000000-0005-0000-0000-00004E620000}"/>
    <cellStyle name="Normaali 18 9_DataIX" xfId="33501" xr:uid="{00000000-0005-0000-0000-00004F620000}"/>
    <cellStyle name="Normaali 18_DataIX" xfId="33473" xr:uid="{00000000-0005-0000-0000-000050620000}"/>
    <cellStyle name="Normaali 183" xfId="4384" xr:uid="{00000000-0005-0000-0000-000051620000}"/>
    <cellStyle name="Normaali 183 2" xfId="9622" xr:uid="{00000000-0005-0000-0000-000052620000}"/>
    <cellStyle name="Normaali 183 3" xfId="17724" xr:uid="{00000000-0005-0000-0000-000053620000}"/>
    <cellStyle name="Normaali 183_DataIX" xfId="33502" xr:uid="{00000000-0005-0000-0000-000054620000}"/>
    <cellStyle name="Normaali 19" xfId="4385" xr:uid="{00000000-0005-0000-0000-000055620000}"/>
    <cellStyle name="Normaali 19 2" xfId="4386" xr:uid="{00000000-0005-0000-0000-000056620000}"/>
    <cellStyle name="Normaali 19 2 2" xfId="4387" xr:uid="{00000000-0005-0000-0000-000057620000}"/>
    <cellStyle name="Normaali 19 2 2 2" xfId="4388" xr:uid="{00000000-0005-0000-0000-000058620000}"/>
    <cellStyle name="Normaali 19 2 2 2 2" xfId="9626" xr:uid="{00000000-0005-0000-0000-000059620000}"/>
    <cellStyle name="Normaali 19 2 2 2 3" xfId="17728" xr:uid="{00000000-0005-0000-0000-00005A620000}"/>
    <cellStyle name="Normaali 19 2 2 2_DataIX" xfId="33506" xr:uid="{00000000-0005-0000-0000-00005B620000}"/>
    <cellStyle name="Normaali 19 2 2 3" xfId="4389" xr:uid="{00000000-0005-0000-0000-00005C620000}"/>
    <cellStyle name="Normaali 19 2 2 3 2" xfId="9627" xr:uid="{00000000-0005-0000-0000-00005D620000}"/>
    <cellStyle name="Normaali 19 2 2 3 3" xfId="17729" xr:uid="{00000000-0005-0000-0000-00005E620000}"/>
    <cellStyle name="Normaali 19 2 2 3_DataIX" xfId="33507" xr:uid="{00000000-0005-0000-0000-00005F620000}"/>
    <cellStyle name="Normaali 19 2 2 4" xfId="9625" xr:uid="{00000000-0005-0000-0000-000060620000}"/>
    <cellStyle name="Normaali 19 2 2 5" xfId="17727" xr:uid="{00000000-0005-0000-0000-000061620000}"/>
    <cellStyle name="Normaali 19 2 2 6" xfId="19112" xr:uid="{00000000-0005-0000-0000-000062620000}"/>
    <cellStyle name="Normaali 19 2 2_DataIX" xfId="33505" xr:uid="{00000000-0005-0000-0000-000063620000}"/>
    <cellStyle name="Normaali 19 2 3" xfId="4390" xr:uid="{00000000-0005-0000-0000-000064620000}"/>
    <cellStyle name="Normaali 19 2 3 2" xfId="4391" xr:uid="{00000000-0005-0000-0000-000065620000}"/>
    <cellStyle name="Normaali 19 2 3 2 2" xfId="9629" xr:uid="{00000000-0005-0000-0000-000066620000}"/>
    <cellStyle name="Normaali 19 2 3 2 3" xfId="17731" xr:uid="{00000000-0005-0000-0000-000067620000}"/>
    <cellStyle name="Normaali 19 2 3 2_DataIX" xfId="33509" xr:uid="{00000000-0005-0000-0000-000068620000}"/>
    <cellStyle name="Normaali 19 2 3 3" xfId="9628" xr:uid="{00000000-0005-0000-0000-000069620000}"/>
    <cellStyle name="Normaali 19 2 3 4" xfId="17730" xr:uid="{00000000-0005-0000-0000-00006A620000}"/>
    <cellStyle name="Normaali 19 2 3_DataIX" xfId="33508" xr:uid="{00000000-0005-0000-0000-00006B620000}"/>
    <cellStyle name="Normaali 19 2 4" xfId="4392" xr:uid="{00000000-0005-0000-0000-00006C620000}"/>
    <cellStyle name="Normaali 19 2 4 2" xfId="9630" xr:uid="{00000000-0005-0000-0000-00006D620000}"/>
    <cellStyle name="Normaali 19 2 4 3" xfId="17732" xr:uid="{00000000-0005-0000-0000-00006E620000}"/>
    <cellStyle name="Normaali 19 2 4_DataIX" xfId="33510" xr:uid="{00000000-0005-0000-0000-00006F620000}"/>
    <cellStyle name="Normaali 19 2 5" xfId="4393" xr:uid="{00000000-0005-0000-0000-000070620000}"/>
    <cellStyle name="Normaali 19 2 5 2" xfId="9631" xr:uid="{00000000-0005-0000-0000-000071620000}"/>
    <cellStyle name="Normaali 19 2 5 3" xfId="17733" xr:uid="{00000000-0005-0000-0000-000072620000}"/>
    <cellStyle name="Normaali 19 2 5_DataIX" xfId="33511" xr:uid="{00000000-0005-0000-0000-000073620000}"/>
    <cellStyle name="Normaali 19 2 6" xfId="9624" xr:uid="{00000000-0005-0000-0000-000074620000}"/>
    <cellStyle name="Normaali 19 2 7" xfId="17726" xr:uid="{00000000-0005-0000-0000-000075620000}"/>
    <cellStyle name="Normaali 19 2 8" xfId="20588" xr:uid="{00000000-0005-0000-0000-000076620000}"/>
    <cellStyle name="Normaali 19 2_DataIX" xfId="33504" xr:uid="{00000000-0005-0000-0000-000077620000}"/>
    <cellStyle name="Normaali 19 3" xfId="4394" xr:uid="{00000000-0005-0000-0000-000078620000}"/>
    <cellStyle name="Normaali 19 3 2" xfId="4395" xr:uid="{00000000-0005-0000-0000-000079620000}"/>
    <cellStyle name="Normaali 19 3 2 2" xfId="9633" xr:uid="{00000000-0005-0000-0000-00007A620000}"/>
    <cellStyle name="Normaali 19 3 2 3" xfId="17735" xr:uid="{00000000-0005-0000-0000-00007B620000}"/>
    <cellStyle name="Normaali 19 3 2_DataIX" xfId="33513" xr:uid="{00000000-0005-0000-0000-00007C620000}"/>
    <cellStyle name="Normaali 19 3 3" xfId="9632" xr:uid="{00000000-0005-0000-0000-00007D620000}"/>
    <cellStyle name="Normaali 19 3 4" xfId="17734" xr:uid="{00000000-0005-0000-0000-00007E620000}"/>
    <cellStyle name="Normaali 19 3_DataIX" xfId="33512" xr:uid="{00000000-0005-0000-0000-00007F620000}"/>
    <cellStyle name="Normaali 19 4" xfId="4396" xr:uid="{00000000-0005-0000-0000-000080620000}"/>
    <cellStyle name="Normaali 19 4 2" xfId="4397" xr:uid="{00000000-0005-0000-0000-000081620000}"/>
    <cellStyle name="Normaali 19 4 2 2" xfId="9635" xr:uid="{00000000-0005-0000-0000-000082620000}"/>
    <cellStyle name="Normaali 19 4 2 3" xfId="17737" xr:uid="{00000000-0005-0000-0000-000083620000}"/>
    <cellStyle name="Normaali 19 4 2_DataIX" xfId="33515" xr:uid="{00000000-0005-0000-0000-000084620000}"/>
    <cellStyle name="Normaali 19 4 3" xfId="9634" xr:uid="{00000000-0005-0000-0000-000085620000}"/>
    <cellStyle name="Normaali 19 4 4" xfId="17736" xr:uid="{00000000-0005-0000-0000-000086620000}"/>
    <cellStyle name="Normaali 19 4_DataIX" xfId="33514" xr:uid="{00000000-0005-0000-0000-000087620000}"/>
    <cellStyle name="Normaali 19 5" xfId="4398" xr:uid="{00000000-0005-0000-0000-000088620000}"/>
    <cellStyle name="Normaali 19 5 2" xfId="9636" xr:uid="{00000000-0005-0000-0000-000089620000}"/>
    <cellStyle name="Normaali 19 5 3" xfId="17738" xr:uid="{00000000-0005-0000-0000-00008A620000}"/>
    <cellStyle name="Normaali 19 5_DataIX" xfId="33516" xr:uid="{00000000-0005-0000-0000-00008B620000}"/>
    <cellStyle name="Normaali 19 6" xfId="4399" xr:uid="{00000000-0005-0000-0000-00008C620000}"/>
    <cellStyle name="Normaali 19 6 2" xfId="9637" xr:uid="{00000000-0005-0000-0000-00008D620000}"/>
    <cellStyle name="Normaali 19 6 3" xfId="17739" xr:uid="{00000000-0005-0000-0000-00008E620000}"/>
    <cellStyle name="Normaali 19 6_DataIX" xfId="33517" xr:uid="{00000000-0005-0000-0000-00008F620000}"/>
    <cellStyle name="Normaali 19 7" xfId="9623" xr:uid="{00000000-0005-0000-0000-000090620000}"/>
    <cellStyle name="Normaali 19 8" xfId="17725" xr:uid="{00000000-0005-0000-0000-000091620000}"/>
    <cellStyle name="Normaali 19_DataIX" xfId="33503" xr:uid="{00000000-0005-0000-0000-000092620000}"/>
    <cellStyle name="Normaali 2" xfId="100" xr:uid="{00000000-0005-0000-0000-000093620000}"/>
    <cellStyle name="Normaali 2 10" xfId="4401" xr:uid="{00000000-0005-0000-0000-000094620000}"/>
    <cellStyle name="Normaali 2 10 2" xfId="9638" xr:uid="{00000000-0005-0000-0000-000095620000}"/>
    <cellStyle name="Normaali 2 10 3" xfId="17741" xr:uid="{00000000-0005-0000-0000-000096620000}"/>
    <cellStyle name="Normaali 2 10_DataIX" xfId="33518" xr:uid="{00000000-0005-0000-0000-000097620000}"/>
    <cellStyle name="Normaali 2 11" xfId="4402" xr:uid="{00000000-0005-0000-0000-000098620000}"/>
    <cellStyle name="Normaali 2 11 2" xfId="9639" xr:uid="{00000000-0005-0000-0000-000099620000}"/>
    <cellStyle name="Normaali 2 11 3" xfId="17742" xr:uid="{00000000-0005-0000-0000-00009A620000}"/>
    <cellStyle name="Normaali 2 11_DataIX" xfId="33519" xr:uid="{00000000-0005-0000-0000-00009B620000}"/>
    <cellStyle name="Normaali 2 12" xfId="4403" xr:uid="{00000000-0005-0000-0000-00009C620000}"/>
    <cellStyle name="Normaali 2 12 2" xfId="4404" xr:uid="{00000000-0005-0000-0000-00009D620000}"/>
    <cellStyle name="Normaali 2 12 2 2" xfId="4405" xr:uid="{00000000-0005-0000-0000-00009E620000}"/>
    <cellStyle name="Normaali 2 12 2 2 2" xfId="9642" xr:uid="{00000000-0005-0000-0000-00009F620000}"/>
    <cellStyle name="Normaali 2 12 2 2 3" xfId="17745" xr:uid="{00000000-0005-0000-0000-0000A0620000}"/>
    <cellStyle name="Normaali 2 12 2 2_DataIX" xfId="33522" xr:uid="{00000000-0005-0000-0000-0000A1620000}"/>
    <cellStyle name="Normaali 2 12 2 3" xfId="9641" xr:uid="{00000000-0005-0000-0000-0000A2620000}"/>
    <cellStyle name="Normaali 2 12 2 4" xfId="17744" xr:uid="{00000000-0005-0000-0000-0000A3620000}"/>
    <cellStyle name="Normaali 2 12 2_DataIX" xfId="33521" xr:uid="{00000000-0005-0000-0000-0000A4620000}"/>
    <cellStyle name="Normaali 2 12 3" xfId="4406" xr:uid="{00000000-0005-0000-0000-0000A5620000}"/>
    <cellStyle name="Normaali 2 12 3 2" xfId="4407" xr:uid="{00000000-0005-0000-0000-0000A6620000}"/>
    <cellStyle name="Normaali 2 12 3 2 2" xfId="9644" xr:uid="{00000000-0005-0000-0000-0000A7620000}"/>
    <cellStyle name="Normaali 2 12 3 2 3" xfId="17747" xr:uid="{00000000-0005-0000-0000-0000A8620000}"/>
    <cellStyle name="Normaali 2 12 3 2_DataIX" xfId="33524" xr:uid="{00000000-0005-0000-0000-0000A9620000}"/>
    <cellStyle name="Normaali 2 12 3 3" xfId="9643" xr:uid="{00000000-0005-0000-0000-0000AA620000}"/>
    <cellStyle name="Normaali 2 12 3 4" xfId="17746" xr:uid="{00000000-0005-0000-0000-0000AB620000}"/>
    <cellStyle name="Normaali 2 12 3_DataIX" xfId="33523" xr:uid="{00000000-0005-0000-0000-0000AC620000}"/>
    <cellStyle name="Normaali 2 12 4" xfId="4408" xr:uid="{00000000-0005-0000-0000-0000AD620000}"/>
    <cellStyle name="Normaali 2 12 4 2" xfId="9645" xr:uid="{00000000-0005-0000-0000-0000AE620000}"/>
    <cellStyle name="Normaali 2 12 4 3" xfId="17748" xr:uid="{00000000-0005-0000-0000-0000AF620000}"/>
    <cellStyle name="Normaali 2 12 4_DataIX" xfId="33525" xr:uid="{00000000-0005-0000-0000-0000B0620000}"/>
    <cellStyle name="Normaali 2 12 5" xfId="9640" xr:uid="{00000000-0005-0000-0000-0000B1620000}"/>
    <cellStyle name="Normaali 2 12 6" xfId="17743" xr:uid="{00000000-0005-0000-0000-0000B2620000}"/>
    <cellStyle name="Normaali 2 12_DataIX" xfId="33520" xr:uid="{00000000-0005-0000-0000-0000B3620000}"/>
    <cellStyle name="Normaali 2 13" xfId="4409" xr:uid="{00000000-0005-0000-0000-0000B4620000}"/>
    <cellStyle name="Normaali 2 13 2" xfId="4410" xr:uid="{00000000-0005-0000-0000-0000B5620000}"/>
    <cellStyle name="Normaali 2 13 2 2" xfId="9647" xr:uid="{00000000-0005-0000-0000-0000B6620000}"/>
    <cellStyle name="Normaali 2 13 2 3" xfId="17750" xr:uid="{00000000-0005-0000-0000-0000B7620000}"/>
    <cellStyle name="Normaali 2 13 2_DataIX" xfId="33527" xr:uid="{00000000-0005-0000-0000-0000B8620000}"/>
    <cellStyle name="Normaali 2 13 3" xfId="9646" xr:uid="{00000000-0005-0000-0000-0000B9620000}"/>
    <cellStyle name="Normaali 2 13 4" xfId="17749" xr:uid="{00000000-0005-0000-0000-0000BA620000}"/>
    <cellStyle name="Normaali 2 13_DataIX" xfId="33526" xr:uid="{00000000-0005-0000-0000-0000BB620000}"/>
    <cellStyle name="Normaali 2 14" xfId="4411" xr:uid="{00000000-0005-0000-0000-0000BC620000}"/>
    <cellStyle name="Normaali 2 14 2" xfId="4412" xr:uid="{00000000-0005-0000-0000-0000BD620000}"/>
    <cellStyle name="Normaali 2 14 2 2" xfId="9649" xr:uid="{00000000-0005-0000-0000-0000BE620000}"/>
    <cellStyle name="Normaali 2 14 2 3" xfId="17752" xr:uid="{00000000-0005-0000-0000-0000BF620000}"/>
    <cellStyle name="Normaali 2 14 2_DataIX" xfId="33529" xr:uid="{00000000-0005-0000-0000-0000C0620000}"/>
    <cellStyle name="Normaali 2 14 3" xfId="9648" xr:uid="{00000000-0005-0000-0000-0000C1620000}"/>
    <cellStyle name="Normaali 2 14 4" xfId="17751" xr:uid="{00000000-0005-0000-0000-0000C2620000}"/>
    <cellStyle name="Normaali 2 14_DataIX" xfId="33528" xr:uid="{00000000-0005-0000-0000-0000C3620000}"/>
    <cellStyle name="Normaali 2 15" xfId="4413" xr:uid="{00000000-0005-0000-0000-0000C4620000}"/>
    <cellStyle name="Normaali 2 15 2" xfId="4414" xr:uid="{00000000-0005-0000-0000-0000C5620000}"/>
    <cellStyle name="Normaali 2 15 2 2" xfId="9651" xr:uid="{00000000-0005-0000-0000-0000C6620000}"/>
    <cellStyle name="Normaali 2 15 2 3" xfId="17754" xr:uid="{00000000-0005-0000-0000-0000C7620000}"/>
    <cellStyle name="Normaali 2 15 2_DataIX" xfId="33531" xr:uid="{00000000-0005-0000-0000-0000C8620000}"/>
    <cellStyle name="Normaali 2 15 3" xfId="9650" xr:uid="{00000000-0005-0000-0000-0000C9620000}"/>
    <cellStyle name="Normaali 2 15 4" xfId="17753" xr:uid="{00000000-0005-0000-0000-0000CA620000}"/>
    <cellStyle name="Normaali 2 15_DataIX" xfId="33530" xr:uid="{00000000-0005-0000-0000-0000CB620000}"/>
    <cellStyle name="Normaali 2 16" xfId="4415" xr:uid="{00000000-0005-0000-0000-0000CC620000}"/>
    <cellStyle name="Normaali 2 16 2" xfId="9652" xr:uid="{00000000-0005-0000-0000-0000CD620000}"/>
    <cellStyle name="Normaali 2 16 3" xfId="17755" xr:uid="{00000000-0005-0000-0000-0000CE620000}"/>
    <cellStyle name="Normaali 2 16_DataIX" xfId="33532" xr:uid="{00000000-0005-0000-0000-0000CF620000}"/>
    <cellStyle name="Normaali 2 17" xfId="4416" xr:uid="{00000000-0005-0000-0000-0000D0620000}"/>
    <cellStyle name="Normaali 2 17 2" xfId="9653" xr:uid="{00000000-0005-0000-0000-0000D1620000}"/>
    <cellStyle name="Normaali 2 17 3" xfId="17756" xr:uid="{00000000-0005-0000-0000-0000D2620000}"/>
    <cellStyle name="Normaali 2 17_DataIX" xfId="33533" xr:uid="{00000000-0005-0000-0000-0000D3620000}"/>
    <cellStyle name="Normaali 2 18" xfId="4400" xr:uid="{00000000-0005-0000-0000-0000D4620000}"/>
    <cellStyle name="Normaali 2 18 2" xfId="9654" xr:uid="{00000000-0005-0000-0000-0000D5620000}"/>
    <cellStyle name="Normaali 2 18 3" xfId="17740" xr:uid="{00000000-0005-0000-0000-0000D6620000}"/>
    <cellStyle name="Normaali 2 18_DataIX" xfId="33534" xr:uid="{00000000-0005-0000-0000-0000D7620000}"/>
    <cellStyle name="Normaali 2 19" xfId="13795" xr:uid="{00000000-0005-0000-0000-0000D8620000}"/>
    <cellStyle name="Normaali 2 19 2" xfId="25041" xr:uid="{00000000-0005-0000-0000-0000D9620000}"/>
    <cellStyle name="Normaali 2 19_DataIX" xfId="33535" xr:uid="{00000000-0005-0000-0000-0000DA620000}"/>
    <cellStyle name="Normaali 2 2" xfId="101" xr:uid="{00000000-0005-0000-0000-0000DB620000}"/>
    <cellStyle name="Normaali 2 2 10" xfId="25280" xr:uid="{00000000-0005-0000-0000-0000DC620000}"/>
    <cellStyle name="Normaali 2 2 11" xfId="28536" xr:uid="{00000000-0005-0000-0000-0000DD620000}"/>
    <cellStyle name="Normaali 2 2 2" xfId="4418" xr:uid="{00000000-0005-0000-0000-0000DE620000}"/>
    <cellStyle name="Normaali 2 2 2 2" xfId="4419" xr:uid="{00000000-0005-0000-0000-0000DF620000}"/>
    <cellStyle name="Normaali 2 2 2 2 2" xfId="9657" xr:uid="{00000000-0005-0000-0000-0000E0620000}"/>
    <cellStyle name="Normaali 2 2 2 2 3" xfId="17759" xr:uid="{00000000-0005-0000-0000-0000E1620000}"/>
    <cellStyle name="Normaali 2 2 2 2_DataIX" xfId="33537" xr:uid="{00000000-0005-0000-0000-0000E2620000}"/>
    <cellStyle name="Normaali 2 2 2 3" xfId="4420" xr:uid="{00000000-0005-0000-0000-0000E3620000}"/>
    <cellStyle name="Normaali 2 2 2 3 2" xfId="9658" xr:uid="{00000000-0005-0000-0000-0000E4620000}"/>
    <cellStyle name="Normaali 2 2 2 3 3" xfId="17760" xr:uid="{00000000-0005-0000-0000-0000E5620000}"/>
    <cellStyle name="Normaali 2 2 2 3_DataIX" xfId="33538" xr:uid="{00000000-0005-0000-0000-0000E6620000}"/>
    <cellStyle name="Normaali 2 2 2 4" xfId="9656" xr:uid="{00000000-0005-0000-0000-0000E7620000}"/>
    <cellStyle name="Normaali 2 2 2 5" xfId="17758" xr:uid="{00000000-0005-0000-0000-0000E8620000}"/>
    <cellStyle name="Normaali 2 2 2 6" xfId="20586" xr:uid="{00000000-0005-0000-0000-0000E9620000}"/>
    <cellStyle name="Normaali 2 2 2_DataIX" xfId="33536" xr:uid="{00000000-0005-0000-0000-0000EA620000}"/>
    <cellStyle name="Normaali 2 2 3" xfId="4421" xr:uid="{00000000-0005-0000-0000-0000EB620000}"/>
    <cellStyle name="Normaali 2 2 3 2" xfId="4422" xr:uid="{00000000-0005-0000-0000-0000EC620000}"/>
    <cellStyle name="Normaali 2 2 3 2 2" xfId="9660" xr:uid="{00000000-0005-0000-0000-0000ED620000}"/>
    <cellStyle name="Normaali 2 2 3 2 3" xfId="17762" xr:uid="{00000000-0005-0000-0000-0000EE620000}"/>
    <cellStyle name="Normaali 2 2 3 2_DataIX" xfId="33540" xr:uid="{00000000-0005-0000-0000-0000EF620000}"/>
    <cellStyle name="Normaali 2 2 3 3" xfId="9659" xr:uid="{00000000-0005-0000-0000-0000F0620000}"/>
    <cellStyle name="Normaali 2 2 3 4" xfId="17761" xr:uid="{00000000-0005-0000-0000-0000F1620000}"/>
    <cellStyle name="Normaali 2 2 3 5" xfId="19111" xr:uid="{00000000-0005-0000-0000-0000F2620000}"/>
    <cellStyle name="Normaali 2 2 3_DataIX" xfId="33539" xr:uid="{00000000-0005-0000-0000-0000F3620000}"/>
    <cellStyle name="Normaali 2 2 4" xfId="4423" xr:uid="{00000000-0005-0000-0000-0000F4620000}"/>
    <cellStyle name="Normaali 2 2 4 2" xfId="9661" xr:uid="{00000000-0005-0000-0000-0000F5620000}"/>
    <cellStyle name="Normaali 2 2 4 3" xfId="17763" xr:uid="{00000000-0005-0000-0000-0000F6620000}"/>
    <cellStyle name="Normaali 2 2 4_DataIX" xfId="33541" xr:uid="{00000000-0005-0000-0000-0000F7620000}"/>
    <cellStyle name="Normaali 2 2 5" xfId="4424" xr:uid="{00000000-0005-0000-0000-0000F8620000}"/>
    <cellStyle name="Normaali 2 2 5 2" xfId="9662" xr:uid="{00000000-0005-0000-0000-0000F9620000}"/>
    <cellStyle name="Normaali 2 2 5 3" xfId="17764" xr:uid="{00000000-0005-0000-0000-0000FA620000}"/>
    <cellStyle name="Normaali 2 2 5_DataIX" xfId="33542" xr:uid="{00000000-0005-0000-0000-0000FB620000}"/>
    <cellStyle name="Normaali 2 2 6" xfId="4417" xr:uid="{00000000-0005-0000-0000-0000FC620000}"/>
    <cellStyle name="Normaali 2 2 6 2" xfId="9663" xr:uid="{00000000-0005-0000-0000-0000FD620000}"/>
    <cellStyle name="Normaali 2 2 6 3" xfId="17757" xr:uid="{00000000-0005-0000-0000-0000FE620000}"/>
    <cellStyle name="Normaali 2 2 6_DataIX" xfId="33543" xr:uid="{00000000-0005-0000-0000-0000FF620000}"/>
    <cellStyle name="Normaali 2 2 7" xfId="25042" xr:uid="{00000000-0005-0000-0000-000000630000}"/>
    <cellStyle name="Normaali 2 2 8" xfId="26193" xr:uid="{00000000-0005-0000-0000-000001630000}"/>
    <cellStyle name="Normaali 2 2 9" xfId="26598" xr:uid="{00000000-0005-0000-0000-000002630000}"/>
    <cellStyle name="Normaali 2 2_##Keskeiset" xfId="9655" xr:uid="{00000000-0005-0000-0000-000003630000}"/>
    <cellStyle name="Normaali 2 20" xfId="13906" xr:uid="{00000000-0005-0000-0000-000004630000}"/>
    <cellStyle name="Normaali 2 20 2" xfId="26505" xr:uid="{00000000-0005-0000-0000-000005630000}"/>
    <cellStyle name="Normaali 2 20_DataIX" xfId="33544" xr:uid="{00000000-0005-0000-0000-000006630000}"/>
    <cellStyle name="Normaali 2 21" xfId="26342" xr:uid="{00000000-0005-0000-0000-000007630000}"/>
    <cellStyle name="Normaali 2 22" xfId="26265" xr:uid="{00000000-0005-0000-0000-000008630000}"/>
    <cellStyle name="Normaali 2 23" xfId="25913" xr:uid="{00000000-0005-0000-0000-000009630000}"/>
    <cellStyle name="Normaali 2 24" xfId="25857" xr:uid="{00000000-0005-0000-0000-00000A630000}"/>
    <cellStyle name="Normaali 2 25" xfId="25387" xr:uid="{00000000-0005-0000-0000-00000B630000}"/>
    <cellStyle name="Normaali 2 26" xfId="25555" xr:uid="{00000000-0005-0000-0000-00000C630000}"/>
    <cellStyle name="Normaali 2 27" xfId="26083" xr:uid="{00000000-0005-0000-0000-00000D630000}"/>
    <cellStyle name="Normaali 2 28" xfId="25695" xr:uid="{00000000-0005-0000-0000-00000E630000}"/>
    <cellStyle name="Normaali 2 29" xfId="26459" xr:uid="{00000000-0005-0000-0000-00000F630000}"/>
    <cellStyle name="Normaali 2 3" xfId="102" xr:uid="{00000000-0005-0000-0000-000010630000}"/>
    <cellStyle name="Normaali 2 3 10" xfId="28571" xr:uid="{00000000-0005-0000-0000-000011630000}"/>
    <cellStyle name="Normaali 2 3 2" xfId="4426" xr:uid="{00000000-0005-0000-0000-000012630000}"/>
    <cellStyle name="Normaali 2 3 2 2" xfId="4427" xr:uid="{00000000-0005-0000-0000-000013630000}"/>
    <cellStyle name="Normaali 2 3 2 2 2" xfId="9665" xr:uid="{00000000-0005-0000-0000-000014630000}"/>
    <cellStyle name="Normaali 2 3 2 2 3" xfId="17767" xr:uid="{00000000-0005-0000-0000-000015630000}"/>
    <cellStyle name="Normaali 2 3 2 2_DataIX" xfId="33546" xr:uid="{00000000-0005-0000-0000-000016630000}"/>
    <cellStyle name="Normaali 2 3 2 3" xfId="9664" xr:uid="{00000000-0005-0000-0000-000017630000}"/>
    <cellStyle name="Normaali 2 3 2 4" xfId="17766" xr:uid="{00000000-0005-0000-0000-000018630000}"/>
    <cellStyle name="Normaali 2 3 2 5" xfId="20585" xr:uid="{00000000-0005-0000-0000-000019630000}"/>
    <cellStyle name="Normaali 2 3 2_DataIX" xfId="33545" xr:uid="{00000000-0005-0000-0000-00001A630000}"/>
    <cellStyle name="Normaali 2 3 3" xfId="4428" xr:uid="{00000000-0005-0000-0000-00001B630000}"/>
    <cellStyle name="Normaali 2 3 3 2" xfId="4429" xr:uid="{00000000-0005-0000-0000-00001C630000}"/>
    <cellStyle name="Normaali 2 3 3 2 2" xfId="9667" xr:uid="{00000000-0005-0000-0000-00001D630000}"/>
    <cellStyle name="Normaali 2 3 3 2 3" xfId="17769" xr:uid="{00000000-0005-0000-0000-00001E630000}"/>
    <cellStyle name="Normaali 2 3 3 2_DataIX" xfId="33548" xr:uid="{00000000-0005-0000-0000-00001F630000}"/>
    <cellStyle name="Normaali 2 3 3 3" xfId="9666" xr:uid="{00000000-0005-0000-0000-000020630000}"/>
    <cellStyle name="Normaali 2 3 3 4" xfId="17768" xr:uid="{00000000-0005-0000-0000-000021630000}"/>
    <cellStyle name="Normaali 2 3 3_DataIX" xfId="33547" xr:uid="{00000000-0005-0000-0000-000022630000}"/>
    <cellStyle name="Normaali 2 3 4" xfId="4430" xr:uid="{00000000-0005-0000-0000-000023630000}"/>
    <cellStyle name="Normaali 2 3 4 2" xfId="4431" xr:uid="{00000000-0005-0000-0000-000024630000}"/>
    <cellStyle name="Normaali 2 3 4 2 2" xfId="9669" xr:uid="{00000000-0005-0000-0000-000025630000}"/>
    <cellStyle name="Normaali 2 3 4 2 3" xfId="17771" xr:uid="{00000000-0005-0000-0000-000026630000}"/>
    <cellStyle name="Normaali 2 3 4 2_DataIX" xfId="33550" xr:uid="{00000000-0005-0000-0000-000027630000}"/>
    <cellStyle name="Normaali 2 3 4 3" xfId="9668" xr:uid="{00000000-0005-0000-0000-000028630000}"/>
    <cellStyle name="Normaali 2 3 4 4" xfId="17770" xr:uid="{00000000-0005-0000-0000-000029630000}"/>
    <cellStyle name="Normaali 2 3 4_DataIX" xfId="33549" xr:uid="{00000000-0005-0000-0000-00002A630000}"/>
    <cellStyle name="Normaali 2 3 5" xfId="4432" xr:uid="{00000000-0005-0000-0000-00002B630000}"/>
    <cellStyle name="Normaali 2 3 5 2" xfId="9670" xr:uid="{00000000-0005-0000-0000-00002C630000}"/>
    <cellStyle name="Normaali 2 3 5 3" xfId="17772" xr:uid="{00000000-0005-0000-0000-00002D630000}"/>
    <cellStyle name="Normaali 2 3 5_DataIX" xfId="33551" xr:uid="{00000000-0005-0000-0000-00002E630000}"/>
    <cellStyle name="Normaali 2 3 6" xfId="4433" xr:uid="{00000000-0005-0000-0000-00002F630000}"/>
    <cellStyle name="Normaali 2 3 6 2" xfId="9671" xr:uid="{00000000-0005-0000-0000-000030630000}"/>
    <cellStyle name="Normaali 2 3 6 3" xfId="17773" xr:uid="{00000000-0005-0000-0000-000031630000}"/>
    <cellStyle name="Normaali 2 3 6_DataIX" xfId="33552" xr:uid="{00000000-0005-0000-0000-000032630000}"/>
    <cellStyle name="Normaali 2 3 7" xfId="4425" xr:uid="{00000000-0005-0000-0000-000033630000}"/>
    <cellStyle name="Normaali 2 3 7 2" xfId="9672" xr:uid="{00000000-0005-0000-0000-000034630000}"/>
    <cellStyle name="Normaali 2 3 7 3" xfId="17765" xr:uid="{00000000-0005-0000-0000-000035630000}"/>
    <cellStyle name="Normaali 2 3 7_DataIX" xfId="33553" xr:uid="{00000000-0005-0000-0000-000036630000}"/>
    <cellStyle name="Normaali 2 3 8" xfId="28553" xr:uid="{00000000-0005-0000-0000-000037630000}"/>
    <cellStyle name="Normaali 2 3 9" xfId="28568" xr:uid="{00000000-0005-0000-0000-000038630000}"/>
    <cellStyle name="Normaali 2 3_datat" xfId="10633" xr:uid="{00000000-0005-0000-0000-000039630000}"/>
    <cellStyle name="Normaali 2 30" xfId="25987" xr:uid="{00000000-0005-0000-0000-00003A630000}"/>
    <cellStyle name="Normaali 2 31" xfId="26405" xr:uid="{00000000-0005-0000-0000-00003B630000}"/>
    <cellStyle name="Normaali 2 32" xfId="25363" xr:uid="{00000000-0005-0000-0000-00003C630000}"/>
    <cellStyle name="Normaali 2 33" xfId="25306" xr:uid="{00000000-0005-0000-0000-00003D630000}"/>
    <cellStyle name="Normaali 2 34" xfId="25550" xr:uid="{00000000-0005-0000-0000-00003E630000}"/>
    <cellStyle name="Normaali 2 35" xfId="28497" xr:uid="{00000000-0005-0000-0000-00003F630000}"/>
    <cellStyle name="Normaali 2 36" xfId="28527" xr:uid="{00000000-0005-0000-0000-000040630000}"/>
    <cellStyle name="Normaali 2 37" xfId="28541" xr:uid="{00000000-0005-0000-0000-000041630000}"/>
    <cellStyle name="Normaali 2 4" xfId="4434" xr:uid="{00000000-0005-0000-0000-000042630000}"/>
    <cellStyle name="Normaali 2 4 10" xfId="4435" xr:uid="{00000000-0005-0000-0000-000043630000}"/>
    <cellStyle name="Normaali 2 4 10 2" xfId="9674" xr:uid="{00000000-0005-0000-0000-000044630000}"/>
    <cellStyle name="Normaali 2 4 10 3" xfId="17775" xr:uid="{00000000-0005-0000-0000-000045630000}"/>
    <cellStyle name="Normaali 2 4 10_DataIX" xfId="33554" xr:uid="{00000000-0005-0000-0000-000046630000}"/>
    <cellStyle name="Normaali 2 4 11" xfId="5641" xr:uid="{00000000-0005-0000-0000-000047630000}"/>
    <cellStyle name="Normaali 2 4 11 2" xfId="12713" xr:uid="{00000000-0005-0000-0000-000048630000}"/>
    <cellStyle name="Normaali 2 4 11 3" xfId="18857" xr:uid="{00000000-0005-0000-0000-000049630000}"/>
    <cellStyle name="Normaali 2 4 11_DataIX" xfId="33555" xr:uid="{00000000-0005-0000-0000-00004A630000}"/>
    <cellStyle name="Normaali 2 4 12" xfId="17774" xr:uid="{00000000-0005-0000-0000-00004B630000}"/>
    <cellStyle name="Normaali 2 4 13" xfId="20740" xr:uid="{00000000-0005-0000-0000-00004C630000}"/>
    <cellStyle name="Normaali 2 4 2" xfId="4436" xr:uid="{00000000-0005-0000-0000-00004D630000}"/>
    <cellStyle name="Normaali 2 4 2 2" xfId="4437" xr:uid="{00000000-0005-0000-0000-00004E630000}"/>
    <cellStyle name="Normaali 2 4 2 2 2" xfId="4438" xr:uid="{00000000-0005-0000-0000-00004F630000}"/>
    <cellStyle name="Normaali 2 4 2 2 2 2" xfId="9677" xr:uid="{00000000-0005-0000-0000-000050630000}"/>
    <cellStyle name="Normaali 2 4 2 2 2 3" xfId="17778" xr:uid="{00000000-0005-0000-0000-000051630000}"/>
    <cellStyle name="Normaali 2 4 2 2 2_DataIX" xfId="33558" xr:uid="{00000000-0005-0000-0000-000052630000}"/>
    <cellStyle name="Normaali 2 4 2 2 3" xfId="9676" xr:uid="{00000000-0005-0000-0000-000053630000}"/>
    <cellStyle name="Normaali 2 4 2 2 4" xfId="17777" xr:uid="{00000000-0005-0000-0000-000054630000}"/>
    <cellStyle name="Normaali 2 4 2 2_DataIX" xfId="33557" xr:uid="{00000000-0005-0000-0000-000055630000}"/>
    <cellStyle name="Normaali 2 4 2 3" xfId="4439" xr:uid="{00000000-0005-0000-0000-000056630000}"/>
    <cellStyle name="Normaali 2 4 2 3 2" xfId="9678" xr:uid="{00000000-0005-0000-0000-000057630000}"/>
    <cellStyle name="Normaali 2 4 2 3 3" xfId="17779" xr:uid="{00000000-0005-0000-0000-000058630000}"/>
    <cellStyle name="Normaali 2 4 2 3_DataIX" xfId="33559" xr:uid="{00000000-0005-0000-0000-000059630000}"/>
    <cellStyle name="Normaali 2 4 2 4" xfId="9675" xr:uid="{00000000-0005-0000-0000-00005A630000}"/>
    <cellStyle name="Normaali 2 4 2 5" xfId="17776" xr:uid="{00000000-0005-0000-0000-00005B630000}"/>
    <cellStyle name="Normaali 2 4 2_DataIX" xfId="33556" xr:uid="{00000000-0005-0000-0000-00005C630000}"/>
    <cellStyle name="Normaali 2 4 3" xfId="4440" xr:uid="{00000000-0005-0000-0000-00005D630000}"/>
    <cellStyle name="Normaali 2 4 3 2" xfId="4441" xr:uid="{00000000-0005-0000-0000-00005E630000}"/>
    <cellStyle name="Normaali 2 4 3 2 2" xfId="9680" xr:uid="{00000000-0005-0000-0000-00005F630000}"/>
    <cellStyle name="Normaali 2 4 3 2 3" xfId="17781" xr:uid="{00000000-0005-0000-0000-000060630000}"/>
    <cellStyle name="Normaali 2 4 3 2_DataIX" xfId="33561" xr:uid="{00000000-0005-0000-0000-000061630000}"/>
    <cellStyle name="Normaali 2 4 3 3" xfId="9679" xr:uid="{00000000-0005-0000-0000-000062630000}"/>
    <cellStyle name="Normaali 2 4 3 4" xfId="17780" xr:uid="{00000000-0005-0000-0000-000063630000}"/>
    <cellStyle name="Normaali 2 4 3_DataIX" xfId="33560" xr:uid="{00000000-0005-0000-0000-000064630000}"/>
    <cellStyle name="Normaali 2 4 4" xfId="4442" xr:uid="{00000000-0005-0000-0000-000065630000}"/>
    <cellStyle name="Normaali 2 4 4 2" xfId="9681" xr:uid="{00000000-0005-0000-0000-000066630000}"/>
    <cellStyle name="Normaali 2 4 4 3" xfId="17782" xr:uid="{00000000-0005-0000-0000-000067630000}"/>
    <cellStyle name="Normaali 2 4 4_DataIX" xfId="33562" xr:uid="{00000000-0005-0000-0000-000068630000}"/>
    <cellStyle name="Normaali 2 4 5" xfId="4443" xr:uid="{00000000-0005-0000-0000-000069630000}"/>
    <cellStyle name="Normaali 2 4 5 2" xfId="9682" xr:uid="{00000000-0005-0000-0000-00006A630000}"/>
    <cellStyle name="Normaali 2 4 5 3" xfId="17783" xr:uid="{00000000-0005-0000-0000-00006B630000}"/>
    <cellStyle name="Normaali 2 4 5_DataIX" xfId="33563" xr:uid="{00000000-0005-0000-0000-00006C630000}"/>
    <cellStyle name="Normaali 2 4 6" xfId="4444" xr:uid="{00000000-0005-0000-0000-00006D630000}"/>
    <cellStyle name="Normaali 2 4 6 2" xfId="9683" xr:uid="{00000000-0005-0000-0000-00006E630000}"/>
    <cellStyle name="Normaali 2 4 6 3" xfId="17784" xr:uid="{00000000-0005-0000-0000-00006F630000}"/>
    <cellStyle name="Normaali 2 4 6_DataIX" xfId="33564" xr:uid="{00000000-0005-0000-0000-000070630000}"/>
    <cellStyle name="Normaali 2 4 7" xfId="4445" xr:uid="{00000000-0005-0000-0000-000071630000}"/>
    <cellStyle name="Normaali 2 4 7 2" xfId="9684" xr:uid="{00000000-0005-0000-0000-000072630000}"/>
    <cellStyle name="Normaali 2 4 7 3" xfId="17785" xr:uid="{00000000-0005-0000-0000-000073630000}"/>
    <cellStyle name="Normaali 2 4 7_DataIX" xfId="33565" xr:uid="{00000000-0005-0000-0000-000074630000}"/>
    <cellStyle name="Normaali 2 4 8" xfId="4446" xr:uid="{00000000-0005-0000-0000-000075630000}"/>
    <cellStyle name="Normaali 2 4 8 2" xfId="9685" xr:uid="{00000000-0005-0000-0000-000076630000}"/>
    <cellStyle name="Normaali 2 4 8 3" xfId="17786" xr:uid="{00000000-0005-0000-0000-000077630000}"/>
    <cellStyle name="Normaali 2 4 8_DataIX" xfId="33566" xr:uid="{00000000-0005-0000-0000-000078630000}"/>
    <cellStyle name="Normaali 2 4 9" xfId="4447" xr:uid="{00000000-0005-0000-0000-000079630000}"/>
    <cellStyle name="Normaali 2 4 9 2" xfId="9686" xr:uid="{00000000-0005-0000-0000-00007A630000}"/>
    <cellStyle name="Normaali 2 4 9 3" xfId="17787" xr:uid="{00000000-0005-0000-0000-00007B630000}"/>
    <cellStyle name="Normaali 2 4 9_DataIX" xfId="33567" xr:uid="{00000000-0005-0000-0000-00007C630000}"/>
    <cellStyle name="Normaali 2 4_##Keskeiset" xfId="9673" xr:uid="{00000000-0005-0000-0000-00007D630000}"/>
    <cellStyle name="Normaali 2 5" xfId="4448" xr:uid="{00000000-0005-0000-0000-00007E630000}"/>
    <cellStyle name="Normaali 2 5 2" xfId="4449" xr:uid="{00000000-0005-0000-0000-00007F630000}"/>
    <cellStyle name="Normaali 2 5 2 2" xfId="9688" xr:uid="{00000000-0005-0000-0000-000080630000}"/>
    <cellStyle name="Normaali 2 5 2 3" xfId="17789" xr:uid="{00000000-0005-0000-0000-000081630000}"/>
    <cellStyle name="Normaali 2 5 2_DataIX" xfId="33569" xr:uid="{00000000-0005-0000-0000-000082630000}"/>
    <cellStyle name="Normaali 2 5 3" xfId="9687" xr:uid="{00000000-0005-0000-0000-000083630000}"/>
    <cellStyle name="Normaali 2 5 4" xfId="17788" xr:uid="{00000000-0005-0000-0000-000084630000}"/>
    <cellStyle name="Normaali 2 5 5" xfId="19109" xr:uid="{00000000-0005-0000-0000-000085630000}"/>
    <cellStyle name="Normaali 2 5_DataIX" xfId="33568" xr:uid="{00000000-0005-0000-0000-000086630000}"/>
    <cellStyle name="Normaali 2 6" xfId="4450" xr:uid="{00000000-0005-0000-0000-000087630000}"/>
    <cellStyle name="Normaali 2 6 10" xfId="4451" xr:uid="{00000000-0005-0000-0000-000088630000}"/>
    <cellStyle name="Normaali 2 6 10 2" xfId="9690" xr:uid="{00000000-0005-0000-0000-000089630000}"/>
    <cellStyle name="Normaali 2 6 10 3" xfId="17791" xr:uid="{00000000-0005-0000-0000-00008A630000}"/>
    <cellStyle name="Normaali 2 6 10_DataIX" xfId="33571" xr:uid="{00000000-0005-0000-0000-00008B630000}"/>
    <cellStyle name="Normaali 2 6 11" xfId="9689" xr:uid="{00000000-0005-0000-0000-00008C630000}"/>
    <cellStyle name="Normaali 2 6 12" xfId="17790" xr:uid="{00000000-0005-0000-0000-00008D630000}"/>
    <cellStyle name="Normaali 2 6 13" xfId="19110" xr:uid="{00000000-0005-0000-0000-00008E630000}"/>
    <cellStyle name="Normaali 2 6 2" xfId="4452" xr:uid="{00000000-0005-0000-0000-00008F630000}"/>
    <cellStyle name="Normaali 2 6 2 2" xfId="4453" xr:uid="{00000000-0005-0000-0000-000090630000}"/>
    <cellStyle name="Normaali 2 6 2 2 2" xfId="9692" xr:uid="{00000000-0005-0000-0000-000091630000}"/>
    <cellStyle name="Normaali 2 6 2 2 3" xfId="17793" xr:uid="{00000000-0005-0000-0000-000092630000}"/>
    <cellStyle name="Normaali 2 6 2 2_DataIX" xfId="33573" xr:uid="{00000000-0005-0000-0000-000093630000}"/>
    <cellStyle name="Normaali 2 6 2 3" xfId="9691" xr:uid="{00000000-0005-0000-0000-000094630000}"/>
    <cellStyle name="Normaali 2 6 2 4" xfId="17792" xr:uid="{00000000-0005-0000-0000-000095630000}"/>
    <cellStyle name="Normaali 2 6 2_DataIX" xfId="33572" xr:uid="{00000000-0005-0000-0000-000096630000}"/>
    <cellStyle name="Normaali 2 6 3" xfId="4454" xr:uid="{00000000-0005-0000-0000-000097630000}"/>
    <cellStyle name="Normaali 2 6 3 2" xfId="9693" xr:uid="{00000000-0005-0000-0000-000098630000}"/>
    <cellStyle name="Normaali 2 6 3 3" xfId="17794" xr:uid="{00000000-0005-0000-0000-000099630000}"/>
    <cellStyle name="Normaali 2 6 3_DataIX" xfId="33574" xr:uid="{00000000-0005-0000-0000-00009A630000}"/>
    <cellStyle name="Normaali 2 6 4" xfId="4455" xr:uid="{00000000-0005-0000-0000-00009B630000}"/>
    <cellStyle name="Normaali 2 6 4 2" xfId="9694" xr:uid="{00000000-0005-0000-0000-00009C630000}"/>
    <cellStyle name="Normaali 2 6 4 3" xfId="17795" xr:uid="{00000000-0005-0000-0000-00009D630000}"/>
    <cellStyle name="Normaali 2 6 4_DataIX" xfId="33575" xr:uid="{00000000-0005-0000-0000-00009E630000}"/>
    <cellStyle name="Normaali 2 6 5" xfId="4456" xr:uid="{00000000-0005-0000-0000-00009F630000}"/>
    <cellStyle name="Normaali 2 6 5 2" xfId="9695" xr:uid="{00000000-0005-0000-0000-0000A0630000}"/>
    <cellStyle name="Normaali 2 6 5 3" xfId="17796" xr:uid="{00000000-0005-0000-0000-0000A1630000}"/>
    <cellStyle name="Normaali 2 6 5_DataIX" xfId="33576" xr:uid="{00000000-0005-0000-0000-0000A2630000}"/>
    <cellStyle name="Normaali 2 6 6" xfId="4457" xr:uid="{00000000-0005-0000-0000-0000A3630000}"/>
    <cellStyle name="Normaali 2 6 6 2" xfId="9696" xr:uid="{00000000-0005-0000-0000-0000A4630000}"/>
    <cellStyle name="Normaali 2 6 6 3" xfId="17797" xr:uid="{00000000-0005-0000-0000-0000A5630000}"/>
    <cellStyle name="Normaali 2 6 6_DataIX" xfId="33577" xr:uid="{00000000-0005-0000-0000-0000A6630000}"/>
    <cellStyle name="Normaali 2 6 7" xfId="4458" xr:uid="{00000000-0005-0000-0000-0000A7630000}"/>
    <cellStyle name="Normaali 2 6 7 2" xfId="9697" xr:uid="{00000000-0005-0000-0000-0000A8630000}"/>
    <cellStyle name="Normaali 2 6 7 3" xfId="17798" xr:uid="{00000000-0005-0000-0000-0000A9630000}"/>
    <cellStyle name="Normaali 2 6 7_DataIX" xfId="33578" xr:uid="{00000000-0005-0000-0000-0000AA630000}"/>
    <cellStyle name="Normaali 2 6 8" xfId="4459" xr:uid="{00000000-0005-0000-0000-0000AB630000}"/>
    <cellStyle name="Normaali 2 6 8 2" xfId="9698" xr:uid="{00000000-0005-0000-0000-0000AC630000}"/>
    <cellStyle name="Normaali 2 6 8 3" xfId="17799" xr:uid="{00000000-0005-0000-0000-0000AD630000}"/>
    <cellStyle name="Normaali 2 6 8_DataIX" xfId="33579" xr:uid="{00000000-0005-0000-0000-0000AE630000}"/>
    <cellStyle name="Normaali 2 6 9" xfId="4460" xr:uid="{00000000-0005-0000-0000-0000AF630000}"/>
    <cellStyle name="Normaali 2 6 9 2" xfId="9699" xr:uid="{00000000-0005-0000-0000-0000B0630000}"/>
    <cellStyle name="Normaali 2 6 9 3" xfId="17800" xr:uid="{00000000-0005-0000-0000-0000B1630000}"/>
    <cellStyle name="Normaali 2 6 9_DataIX" xfId="33580" xr:uid="{00000000-0005-0000-0000-0000B2630000}"/>
    <cellStyle name="Normaali 2 6_DataIX" xfId="33570" xr:uid="{00000000-0005-0000-0000-0000B3630000}"/>
    <cellStyle name="Normaali 2 7" xfId="4461" xr:uid="{00000000-0005-0000-0000-0000B4630000}"/>
    <cellStyle name="Normaali 2 7 2" xfId="4462" xr:uid="{00000000-0005-0000-0000-0000B5630000}"/>
    <cellStyle name="Normaali 2 7 2 2" xfId="9701" xr:uid="{00000000-0005-0000-0000-0000B6630000}"/>
    <cellStyle name="Normaali 2 7 2 3" xfId="17802" xr:uid="{00000000-0005-0000-0000-0000B7630000}"/>
    <cellStyle name="Normaali 2 7 2_DataIX" xfId="33582" xr:uid="{00000000-0005-0000-0000-0000B8630000}"/>
    <cellStyle name="Normaali 2 7 3" xfId="9700" xr:uid="{00000000-0005-0000-0000-0000B9630000}"/>
    <cellStyle name="Normaali 2 7 4" xfId="17801" xr:uid="{00000000-0005-0000-0000-0000BA630000}"/>
    <cellStyle name="Normaali 2 7 5" xfId="20584" xr:uid="{00000000-0005-0000-0000-0000BB630000}"/>
    <cellStyle name="Normaali 2 7_DataIX" xfId="33581" xr:uid="{00000000-0005-0000-0000-0000BC630000}"/>
    <cellStyle name="Normaali 2 8" xfId="4463" xr:uid="{00000000-0005-0000-0000-0000BD630000}"/>
    <cellStyle name="Normaali 2 8 2" xfId="4464" xr:uid="{00000000-0005-0000-0000-0000BE630000}"/>
    <cellStyle name="Normaali 2 8 2 2" xfId="9703" xr:uid="{00000000-0005-0000-0000-0000BF630000}"/>
    <cellStyle name="Normaali 2 8 2 3" xfId="17804" xr:uid="{00000000-0005-0000-0000-0000C0630000}"/>
    <cellStyle name="Normaali 2 8 2_DataIX" xfId="33584" xr:uid="{00000000-0005-0000-0000-0000C1630000}"/>
    <cellStyle name="Normaali 2 8 3" xfId="9702" xr:uid="{00000000-0005-0000-0000-0000C2630000}"/>
    <cellStyle name="Normaali 2 8 4" xfId="17803" xr:uid="{00000000-0005-0000-0000-0000C3630000}"/>
    <cellStyle name="Normaali 2 8 5" xfId="20579" xr:uid="{00000000-0005-0000-0000-0000C4630000}"/>
    <cellStyle name="Normaali 2 8_DataIX" xfId="33583" xr:uid="{00000000-0005-0000-0000-0000C5630000}"/>
    <cellStyle name="Normaali 2 9" xfId="4465" xr:uid="{00000000-0005-0000-0000-0000C6630000}"/>
    <cellStyle name="Normaali 2 9 2" xfId="9704" xr:uid="{00000000-0005-0000-0000-0000C7630000}"/>
    <cellStyle name="Normaali 2 9 3" xfId="17805" xr:uid="{00000000-0005-0000-0000-0000C8630000}"/>
    <cellStyle name="Normaali 2 9_DataIX" xfId="33585" xr:uid="{00000000-0005-0000-0000-0000C9630000}"/>
    <cellStyle name="Normaali 2_##KansantalKehitys" xfId="5437" xr:uid="{00000000-0005-0000-0000-0000CA630000}"/>
    <cellStyle name="Normaali 20" xfId="4466" xr:uid="{00000000-0005-0000-0000-0000CB630000}"/>
    <cellStyle name="Normaali 20 10" xfId="4467" xr:uid="{00000000-0005-0000-0000-0000CC630000}"/>
    <cellStyle name="Normaali 20 10 2" xfId="9706" xr:uid="{00000000-0005-0000-0000-0000CD630000}"/>
    <cellStyle name="Normaali 20 10 3" xfId="17807" xr:uid="{00000000-0005-0000-0000-0000CE630000}"/>
    <cellStyle name="Normaali 20 10_DataIX" xfId="33587" xr:uid="{00000000-0005-0000-0000-0000CF630000}"/>
    <cellStyle name="Normaali 20 11" xfId="9705" xr:uid="{00000000-0005-0000-0000-0000D0630000}"/>
    <cellStyle name="Normaali 20 12" xfId="17806" xr:uid="{00000000-0005-0000-0000-0000D1630000}"/>
    <cellStyle name="Normaali 20 13" xfId="20583" xr:uid="{00000000-0005-0000-0000-0000D2630000}"/>
    <cellStyle name="Normaali 20 2" xfId="4468" xr:uid="{00000000-0005-0000-0000-0000D3630000}"/>
    <cellStyle name="Normaali 20 2 2" xfId="4469" xr:uid="{00000000-0005-0000-0000-0000D4630000}"/>
    <cellStyle name="Normaali 20 2 2 2" xfId="4470" xr:uid="{00000000-0005-0000-0000-0000D5630000}"/>
    <cellStyle name="Normaali 20 2 2 2 2" xfId="9709" xr:uid="{00000000-0005-0000-0000-0000D6630000}"/>
    <cellStyle name="Normaali 20 2 2 2 3" xfId="17810" xr:uid="{00000000-0005-0000-0000-0000D7630000}"/>
    <cellStyle name="Normaali 20 2 2 2_DataIX" xfId="33590" xr:uid="{00000000-0005-0000-0000-0000D8630000}"/>
    <cellStyle name="Normaali 20 2 2 3" xfId="4471" xr:uid="{00000000-0005-0000-0000-0000D9630000}"/>
    <cellStyle name="Normaali 20 2 2 3 2" xfId="9710" xr:uid="{00000000-0005-0000-0000-0000DA630000}"/>
    <cellStyle name="Normaali 20 2 2 3 3" xfId="17811" xr:uid="{00000000-0005-0000-0000-0000DB630000}"/>
    <cellStyle name="Normaali 20 2 2 3_DataIX" xfId="33591" xr:uid="{00000000-0005-0000-0000-0000DC630000}"/>
    <cellStyle name="Normaali 20 2 2 4" xfId="9708" xr:uid="{00000000-0005-0000-0000-0000DD630000}"/>
    <cellStyle name="Normaali 20 2 2 5" xfId="17809" xr:uid="{00000000-0005-0000-0000-0000DE630000}"/>
    <cellStyle name="Normaali 20 2 2 6" xfId="19108" xr:uid="{00000000-0005-0000-0000-0000DF630000}"/>
    <cellStyle name="Normaali 20 2 2_DataIX" xfId="33589" xr:uid="{00000000-0005-0000-0000-0000E0630000}"/>
    <cellStyle name="Normaali 20 2 3" xfId="4472" xr:uid="{00000000-0005-0000-0000-0000E1630000}"/>
    <cellStyle name="Normaali 20 2 3 2" xfId="4473" xr:uid="{00000000-0005-0000-0000-0000E2630000}"/>
    <cellStyle name="Normaali 20 2 3 2 2" xfId="9712" xr:uid="{00000000-0005-0000-0000-0000E3630000}"/>
    <cellStyle name="Normaali 20 2 3 2 3" xfId="17813" xr:uid="{00000000-0005-0000-0000-0000E4630000}"/>
    <cellStyle name="Normaali 20 2 3 2_DataIX" xfId="33593" xr:uid="{00000000-0005-0000-0000-0000E5630000}"/>
    <cellStyle name="Normaali 20 2 3 3" xfId="4474" xr:uid="{00000000-0005-0000-0000-0000E6630000}"/>
    <cellStyle name="Normaali 20 2 3 3 2" xfId="9713" xr:uid="{00000000-0005-0000-0000-0000E7630000}"/>
    <cellStyle name="Normaali 20 2 3 3 3" xfId="17814" xr:uid="{00000000-0005-0000-0000-0000E8630000}"/>
    <cellStyle name="Normaali 20 2 3 3_DataIX" xfId="33594" xr:uid="{00000000-0005-0000-0000-0000E9630000}"/>
    <cellStyle name="Normaali 20 2 3 4" xfId="9711" xr:uid="{00000000-0005-0000-0000-0000EA630000}"/>
    <cellStyle name="Normaali 20 2 3 5" xfId="17812" xr:uid="{00000000-0005-0000-0000-0000EB630000}"/>
    <cellStyle name="Normaali 20 2 3 6" xfId="20581" xr:uid="{00000000-0005-0000-0000-0000EC630000}"/>
    <cellStyle name="Normaali 20 2 3_DataIX" xfId="33592" xr:uid="{00000000-0005-0000-0000-0000ED630000}"/>
    <cellStyle name="Normaali 20 2 4" xfId="4475" xr:uid="{00000000-0005-0000-0000-0000EE630000}"/>
    <cellStyle name="Normaali 20 2 4 2" xfId="4476" xr:uid="{00000000-0005-0000-0000-0000EF630000}"/>
    <cellStyle name="Normaali 20 2 4 2 2" xfId="9715" xr:uid="{00000000-0005-0000-0000-0000F0630000}"/>
    <cellStyle name="Normaali 20 2 4 2 3" xfId="17816" xr:uid="{00000000-0005-0000-0000-0000F1630000}"/>
    <cellStyle name="Normaali 20 2 4 2_DataIX" xfId="33596" xr:uid="{00000000-0005-0000-0000-0000F2630000}"/>
    <cellStyle name="Normaali 20 2 4 3" xfId="9714" xr:uid="{00000000-0005-0000-0000-0000F3630000}"/>
    <cellStyle name="Normaali 20 2 4 4" xfId="17815" xr:uid="{00000000-0005-0000-0000-0000F4630000}"/>
    <cellStyle name="Normaali 20 2 4 5" xfId="19107" xr:uid="{00000000-0005-0000-0000-0000F5630000}"/>
    <cellStyle name="Normaali 20 2 4_DataIX" xfId="33595" xr:uid="{00000000-0005-0000-0000-0000F6630000}"/>
    <cellStyle name="Normaali 20 2 5" xfId="4477" xr:uid="{00000000-0005-0000-0000-0000F7630000}"/>
    <cellStyle name="Normaali 20 2 5 2" xfId="9716" xr:uid="{00000000-0005-0000-0000-0000F8630000}"/>
    <cellStyle name="Normaali 20 2 5 3" xfId="17817" xr:uid="{00000000-0005-0000-0000-0000F9630000}"/>
    <cellStyle name="Normaali 20 2 5_DataIX" xfId="33597" xr:uid="{00000000-0005-0000-0000-0000FA630000}"/>
    <cellStyle name="Normaali 20 2 6" xfId="9707" xr:uid="{00000000-0005-0000-0000-0000FB630000}"/>
    <cellStyle name="Normaali 20 2 7" xfId="17808" xr:uid="{00000000-0005-0000-0000-0000FC630000}"/>
    <cellStyle name="Normaali 20 2 8" xfId="20582" xr:uid="{00000000-0005-0000-0000-0000FD630000}"/>
    <cellStyle name="Normaali 20 2_DataIX" xfId="33588" xr:uid="{00000000-0005-0000-0000-0000FE630000}"/>
    <cellStyle name="Normaali 20 3" xfId="4478" xr:uid="{00000000-0005-0000-0000-0000FF630000}"/>
    <cellStyle name="Normaali 20 3 2" xfId="4479" xr:uid="{00000000-0005-0000-0000-000000640000}"/>
    <cellStyle name="Normaali 20 3 2 2" xfId="4480" xr:uid="{00000000-0005-0000-0000-000001640000}"/>
    <cellStyle name="Normaali 20 3 2 2 2" xfId="9719" xr:uid="{00000000-0005-0000-0000-000002640000}"/>
    <cellStyle name="Normaali 20 3 2 2 3" xfId="17820" xr:uid="{00000000-0005-0000-0000-000003640000}"/>
    <cellStyle name="Normaali 20 3 2 2_DataIX" xfId="33600" xr:uid="{00000000-0005-0000-0000-000004640000}"/>
    <cellStyle name="Normaali 20 3 2 3" xfId="9718" xr:uid="{00000000-0005-0000-0000-000005640000}"/>
    <cellStyle name="Normaali 20 3 2 4" xfId="17819" xr:uid="{00000000-0005-0000-0000-000006640000}"/>
    <cellStyle name="Normaali 20 3 2 5" xfId="19106" xr:uid="{00000000-0005-0000-0000-000007640000}"/>
    <cellStyle name="Normaali 20 3 2_DataIX" xfId="33599" xr:uid="{00000000-0005-0000-0000-000008640000}"/>
    <cellStyle name="Normaali 20 3 3" xfId="4481" xr:uid="{00000000-0005-0000-0000-000009640000}"/>
    <cellStyle name="Normaali 20 3 3 2" xfId="9720" xr:uid="{00000000-0005-0000-0000-00000A640000}"/>
    <cellStyle name="Normaali 20 3 3 3" xfId="17821" xr:uid="{00000000-0005-0000-0000-00000B640000}"/>
    <cellStyle name="Normaali 20 3 3_DataIX" xfId="33601" xr:uid="{00000000-0005-0000-0000-00000C640000}"/>
    <cellStyle name="Normaali 20 3 4" xfId="4482" xr:uid="{00000000-0005-0000-0000-00000D640000}"/>
    <cellStyle name="Normaali 20 3 4 2" xfId="9721" xr:uid="{00000000-0005-0000-0000-00000E640000}"/>
    <cellStyle name="Normaali 20 3 4 3" xfId="17822" xr:uid="{00000000-0005-0000-0000-00000F640000}"/>
    <cellStyle name="Normaali 20 3 4_DataIX" xfId="33602" xr:uid="{00000000-0005-0000-0000-000010640000}"/>
    <cellStyle name="Normaali 20 3 5" xfId="4483" xr:uid="{00000000-0005-0000-0000-000011640000}"/>
    <cellStyle name="Normaali 20 3 5 2" xfId="9722" xr:uid="{00000000-0005-0000-0000-000012640000}"/>
    <cellStyle name="Normaali 20 3 5 3" xfId="17823" xr:uid="{00000000-0005-0000-0000-000013640000}"/>
    <cellStyle name="Normaali 20 3 5_DataIX" xfId="33603" xr:uid="{00000000-0005-0000-0000-000014640000}"/>
    <cellStyle name="Normaali 20 3 6" xfId="9717" xr:uid="{00000000-0005-0000-0000-000015640000}"/>
    <cellStyle name="Normaali 20 3 7" xfId="17818" xr:uid="{00000000-0005-0000-0000-000016640000}"/>
    <cellStyle name="Normaali 20 3 8" xfId="20580" xr:uid="{00000000-0005-0000-0000-000017640000}"/>
    <cellStyle name="Normaali 20 3_DataIX" xfId="33598" xr:uid="{00000000-0005-0000-0000-000018640000}"/>
    <cellStyle name="Normaali 20 4" xfId="4484" xr:uid="{00000000-0005-0000-0000-000019640000}"/>
    <cellStyle name="Normaali 20 4 2" xfId="4485" xr:uid="{00000000-0005-0000-0000-00001A640000}"/>
    <cellStyle name="Normaali 20 4 2 2" xfId="4486" xr:uid="{00000000-0005-0000-0000-00001B640000}"/>
    <cellStyle name="Normaali 20 4 2 2 2" xfId="9725" xr:uid="{00000000-0005-0000-0000-00001C640000}"/>
    <cellStyle name="Normaali 20 4 2 2 3" xfId="17826" xr:uid="{00000000-0005-0000-0000-00001D640000}"/>
    <cellStyle name="Normaali 20 4 2 2_DataIX" xfId="33606" xr:uid="{00000000-0005-0000-0000-00001E640000}"/>
    <cellStyle name="Normaali 20 4 2 3" xfId="9724" xr:uid="{00000000-0005-0000-0000-00001F640000}"/>
    <cellStyle name="Normaali 20 4 2 4" xfId="17825" xr:uid="{00000000-0005-0000-0000-000020640000}"/>
    <cellStyle name="Normaali 20 4 2 5" xfId="20578" xr:uid="{00000000-0005-0000-0000-000021640000}"/>
    <cellStyle name="Normaali 20 4 2_DataIX" xfId="33605" xr:uid="{00000000-0005-0000-0000-000022640000}"/>
    <cellStyle name="Normaali 20 4 3" xfId="4487" xr:uid="{00000000-0005-0000-0000-000023640000}"/>
    <cellStyle name="Normaali 20 4 3 2" xfId="9726" xr:uid="{00000000-0005-0000-0000-000024640000}"/>
    <cellStyle name="Normaali 20 4 3 3" xfId="17827" xr:uid="{00000000-0005-0000-0000-000025640000}"/>
    <cellStyle name="Normaali 20 4 3_DataIX" xfId="33607" xr:uid="{00000000-0005-0000-0000-000026640000}"/>
    <cellStyle name="Normaali 20 4 4" xfId="9723" xr:uid="{00000000-0005-0000-0000-000027640000}"/>
    <cellStyle name="Normaali 20 4 5" xfId="17824" xr:uid="{00000000-0005-0000-0000-000028640000}"/>
    <cellStyle name="Normaali 20 4 6" xfId="19105" xr:uid="{00000000-0005-0000-0000-000029640000}"/>
    <cellStyle name="Normaali 20 4_DataIX" xfId="33604" xr:uid="{00000000-0005-0000-0000-00002A640000}"/>
    <cellStyle name="Normaali 20 5" xfId="4488" xr:uid="{00000000-0005-0000-0000-00002B640000}"/>
    <cellStyle name="Normaali 20 5 2" xfId="4489" xr:uid="{00000000-0005-0000-0000-00002C640000}"/>
    <cellStyle name="Normaali 20 5 2 2" xfId="9728" xr:uid="{00000000-0005-0000-0000-00002D640000}"/>
    <cellStyle name="Normaali 20 5 2 3" xfId="17829" xr:uid="{00000000-0005-0000-0000-00002E640000}"/>
    <cellStyle name="Normaali 20 5 2_DataIX" xfId="33609" xr:uid="{00000000-0005-0000-0000-00002F640000}"/>
    <cellStyle name="Normaali 20 5 3" xfId="9727" xr:uid="{00000000-0005-0000-0000-000030640000}"/>
    <cellStyle name="Normaali 20 5 4" xfId="17828" xr:uid="{00000000-0005-0000-0000-000031640000}"/>
    <cellStyle name="Normaali 20 5 5" xfId="19104" xr:uid="{00000000-0005-0000-0000-000032640000}"/>
    <cellStyle name="Normaali 20 5_DataIX" xfId="33608" xr:uid="{00000000-0005-0000-0000-000033640000}"/>
    <cellStyle name="Normaali 20 6" xfId="4490" xr:uid="{00000000-0005-0000-0000-000034640000}"/>
    <cellStyle name="Normaali 20 6 2" xfId="9729" xr:uid="{00000000-0005-0000-0000-000035640000}"/>
    <cellStyle name="Normaali 20 6 3" xfId="17830" xr:uid="{00000000-0005-0000-0000-000036640000}"/>
    <cellStyle name="Normaali 20 6_DataIX" xfId="33610" xr:uid="{00000000-0005-0000-0000-000037640000}"/>
    <cellStyle name="Normaali 20 7" xfId="4491" xr:uid="{00000000-0005-0000-0000-000038640000}"/>
    <cellStyle name="Normaali 20 7 2" xfId="9730" xr:uid="{00000000-0005-0000-0000-000039640000}"/>
    <cellStyle name="Normaali 20 7 3" xfId="17831" xr:uid="{00000000-0005-0000-0000-00003A640000}"/>
    <cellStyle name="Normaali 20 7_DataIX" xfId="33611" xr:uid="{00000000-0005-0000-0000-00003B640000}"/>
    <cellStyle name="Normaali 20 8" xfId="4492" xr:uid="{00000000-0005-0000-0000-00003C640000}"/>
    <cellStyle name="Normaali 20 8 2" xfId="9731" xr:uid="{00000000-0005-0000-0000-00003D640000}"/>
    <cellStyle name="Normaali 20 8 3" xfId="17832" xr:uid="{00000000-0005-0000-0000-00003E640000}"/>
    <cellStyle name="Normaali 20 8_DataIX" xfId="33612" xr:uid="{00000000-0005-0000-0000-00003F640000}"/>
    <cellStyle name="Normaali 20 9" xfId="4493" xr:uid="{00000000-0005-0000-0000-000040640000}"/>
    <cellStyle name="Normaali 20 9 2" xfId="9732" xr:uid="{00000000-0005-0000-0000-000041640000}"/>
    <cellStyle name="Normaali 20 9 3" xfId="17833" xr:uid="{00000000-0005-0000-0000-000042640000}"/>
    <cellStyle name="Normaali 20 9_DataIX" xfId="33613" xr:uid="{00000000-0005-0000-0000-000043640000}"/>
    <cellStyle name="Normaali 20_DataIX" xfId="33586" xr:uid="{00000000-0005-0000-0000-000044640000}"/>
    <cellStyle name="Normaali 21" xfId="4494" xr:uid="{00000000-0005-0000-0000-000045640000}"/>
    <cellStyle name="Normaali 21 10" xfId="4495" xr:uid="{00000000-0005-0000-0000-000046640000}"/>
    <cellStyle name="Normaali 21 10 2" xfId="9734" xr:uid="{00000000-0005-0000-0000-000047640000}"/>
    <cellStyle name="Normaali 21 10 3" xfId="17835" xr:uid="{00000000-0005-0000-0000-000048640000}"/>
    <cellStyle name="Normaali 21 10_DataIX" xfId="33615" xr:uid="{00000000-0005-0000-0000-000049640000}"/>
    <cellStyle name="Normaali 21 11" xfId="4496" xr:uid="{00000000-0005-0000-0000-00004A640000}"/>
    <cellStyle name="Normaali 21 11 2" xfId="9735" xr:uid="{00000000-0005-0000-0000-00004B640000}"/>
    <cellStyle name="Normaali 21 11 3" xfId="17836" xr:uid="{00000000-0005-0000-0000-00004C640000}"/>
    <cellStyle name="Normaali 21 11_DataIX" xfId="33616" xr:uid="{00000000-0005-0000-0000-00004D640000}"/>
    <cellStyle name="Normaali 21 12" xfId="9733" xr:uid="{00000000-0005-0000-0000-00004E640000}"/>
    <cellStyle name="Normaali 21 13" xfId="17834" xr:uid="{00000000-0005-0000-0000-00004F640000}"/>
    <cellStyle name="Normaali 21 14" xfId="19103" xr:uid="{00000000-0005-0000-0000-000050640000}"/>
    <cellStyle name="Normaali 21 2" xfId="4497" xr:uid="{00000000-0005-0000-0000-000051640000}"/>
    <cellStyle name="Normaali 21 2 2" xfId="4498" xr:uid="{00000000-0005-0000-0000-000052640000}"/>
    <cellStyle name="Normaali 21 2 2 2" xfId="4499" xr:uid="{00000000-0005-0000-0000-000053640000}"/>
    <cellStyle name="Normaali 21 2 2 2 2" xfId="9738" xr:uid="{00000000-0005-0000-0000-000054640000}"/>
    <cellStyle name="Normaali 21 2 2 2 3" xfId="17839" xr:uid="{00000000-0005-0000-0000-000055640000}"/>
    <cellStyle name="Normaali 21 2 2 2_DataIX" xfId="33619" xr:uid="{00000000-0005-0000-0000-000056640000}"/>
    <cellStyle name="Normaali 21 2 2 3" xfId="4500" xr:uid="{00000000-0005-0000-0000-000057640000}"/>
    <cellStyle name="Normaali 21 2 2 3 2" xfId="9739" xr:uid="{00000000-0005-0000-0000-000058640000}"/>
    <cellStyle name="Normaali 21 2 2 3 3" xfId="17840" xr:uid="{00000000-0005-0000-0000-000059640000}"/>
    <cellStyle name="Normaali 21 2 2 3_DataIX" xfId="33620" xr:uid="{00000000-0005-0000-0000-00005A640000}"/>
    <cellStyle name="Normaali 21 2 2 4" xfId="9737" xr:uid="{00000000-0005-0000-0000-00005B640000}"/>
    <cellStyle name="Normaali 21 2 2 5" xfId="17838" xr:uid="{00000000-0005-0000-0000-00005C640000}"/>
    <cellStyle name="Normaali 21 2 2 6" xfId="19102" xr:uid="{00000000-0005-0000-0000-00005D640000}"/>
    <cellStyle name="Normaali 21 2 2_DataIX" xfId="33618" xr:uid="{00000000-0005-0000-0000-00005E640000}"/>
    <cellStyle name="Normaali 21 2 3" xfId="4501" xr:uid="{00000000-0005-0000-0000-00005F640000}"/>
    <cellStyle name="Normaali 21 2 3 2" xfId="4502" xr:uid="{00000000-0005-0000-0000-000060640000}"/>
    <cellStyle name="Normaali 21 2 3 2 2" xfId="9741" xr:uid="{00000000-0005-0000-0000-000061640000}"/>
    <cellStyle name="Normaali 21 2 3 2 3" xfId="17842" xr:uid="{00000000-0005-0000-0000-000062640000}"/>
    <cellStyle name="Normaali 21 2 3 2_DataIX" xfId="33622" xr:uid="{00000000-0005-0000-0000-000063640000}"/>
    <cellStyle name="Normaali 21 2 3 3" xfId="4503" xr:uid="{00000000-0005-0000-0000-000064640000}"/>
    <cellStyle name="Normaali 21 2 3 3 2" xfId="9742" xr:uid="{00000000-0005-0000-0000-000065640000}"/>
    <cellStyle name="Normaali 21 2 3 3 3" xfId="17843" xr:uid="{00000000-0005-0000-0000-000066640000}"/>
    <cellStyle name="Normaali 21 2 3 3_DataIX" xfId="33623" xr:uid="{00000000-0005-0000-0000-000067640000}"/>
    <cellStyle name="Normaali 21 2 3 4" xfId="9740" xr:uid="{00000000-0005-0000-0000-000068640000}"/>
    <cellStyle name="Normaali 21 2 3 5" xfId="17841" xr:uid="{00000000-0005-0000-0000-000069640000}"/>
    <cellStyle name="Normaali 21 2 3 6" xfId="20576" xr:uid="{00000000-0005-0000-0000-00006A640000}"/>
    <cellStyle name="Normaali 21 2 3_DataIX" xfId="33621" xr:uid="{00000000-0005-0000-0000-00006B640000}"/>
    <cellStyle name="Normaali 21 2 4" xfId="4504" xr:uid="{00000000-0005-0000-0000-00006C640000}"/>
    <cellStyle name="Normaali 21 2 4 2" xfId="4505" xr:uid="{00000000-0005-0000-0000-00006D640000}"/>
    <cellStyle name="Normaali 21 2 4 2 2" xfId="9744" xr:uid="{00000000-0005-0000-0000-00006E640000}"/>
    <cellStyle name="Normaali 21 2 4 2 3" xfId="17845" xr:uid="{00000000-0005-0000-0000-00006F640000}"/>
    <cellStyle name="Normaali 21 2 4 2_DataIX" xfId="33625" xr:uid="{00000000-0005-0000-0000-000070640000}"/>
    <cellStyle name="Normaali 21 2 4 3" xfId="9743" xr:uid="{00000000-0005-0000-0000-000071640000}"/>
    <cellStyle name="Normaali 21 2 4 4" xfId="17844" xr:uid="{00000000-0005-0000-0000-000072640000}"/>
    <cellStyle name="Normaali 21 2 4 5" xfId="19101" xr:uid="{00000000-0005-0000-0000-000073640000}"/>
    <cellStyle name="Normaali 21 2 4_DataIX" xfId="33624" xr:uid="{00000000-0005-0000-0000-000074640000}"/>
    <cellStyle name="Normaali 21 2 5" xfId="4506" xr:uid="{00000000-0005-0000-0000-000075640000}"/>
    <cellStyle name="Normaali 21 2 5 2" xfId="9745" xr:uid="{00000000-0005-0000-0000-000076640000}"/>
    <cellStyle name="Normaali 21 2 5 3" xfId="17846" xr:uid="{00000000-0005-0000-0000-000077640000}"/>
    <cellStyle name="Normaali 21 2 5_DataIX" xfId="33626" xr:uid="{00000000-0005-0000-0000-000078640000}"/>
    <cellStyle name="Normaali 21 2 6" xfId="9736" xr:uid="{00000000-0005-0000-0000-000079640000}"/>
    <cellStyle name="Normaali 21 2 7" xfId="17837" xr:uid="{00000000-0005-0000-0000-00007A640000}"/>
    <cellStyle name="Normaali 21 2 8" xfId="20577" xr:uid="{00000000-0005-0000-0000-00007B640000}"/>
    <cellStyle name="Normaali 21 2_DataIX" xfId="33617" xr:uid="{00000000-0005-0000-0000-00007C640000}"/>
    <cellStyle name="Normaali 21 3" xfId="4507" xr:uid="{00000000-0005-0000-0000-00007D640000}"/>
    <cellStyle name="Normaali 21 3 2" xfId="4508" xr:uid="{00000000-0005-0000-0000-00007E640000}"/>
    <cellStyle name="Normaali 21 3 2 2" xfId="4509" xr:uid="{00000000-0005-0000-0000-00007F640000}"/>
    <cellStyle name="Normaali 21 3 2 2 2" xfId="9748" xr:uid="{00000000-0005-0000-0000-000080640000}"/>
    <cellStyle name="Normaali 21 3 2 2 3" xfId="17849" xr:uid="{00000000-0005-0000-0000-000081640000}"/>
    <cellStyle name="Normaali 21 3 2 2_DataIX" xfId="33629" xr:uid="{00000000-0005-0000-0000-000082640000}"/>
    <cellStyle name="Normaali 21 3 2 3" xfId="9747" xr:uid="{00000000-0005-0000-0000-000083640000}"/>
    <cellStyle name="Normaali 21 3 2 4" xfId="17848" xr:uid="{00000000-0005-0000-0000-000084640000}"/>
    <cellStyle name="Normaali 21 3 2 5" xfId="19100" xr:uid="{00000000-0005-0000-0000-000085640000}"/>
    <cellStyle name="Normaali 21 3 2_DataIX" xfId="33628" xr:uid="{00000000-0005-0000-0000-000086640000}"/>
    <cellStyle name="Normaali 21 3 3" xfId="4510" xr:uid="{00000000-0005-0000-0000-000087640000}"/>
    <cellStyle name="Normaali 21 3 3 2" xfId="9749" xr:uid="{00000000-0005-0000-0000-000088640000}"/>
    <cellStyle name="Normaali 21 3 3 3" xfId="17850" xr:uid="{00000000-0005-0000-0000-000089640000}"/>
    <cellStyle name="Normaali 21 3 3_DataIX" xfId="33630" xr:uid="{00000000-0005-0000-0000-00008A640000}"/>
    <cellStyle name="Normaali 21 3 4" xfId="4511" xr:uid="{00000000-0005-0000-0000-00008B640000}"/>
    <cellStyle name="Normaali 21 3 4 2" xfId="9750" xr:uid="{00000000-0005-0000-0000-00008C640000}"/>
    <cellStyle name="Normaali 21 3 4 3" xfId="17851" xr:uid="{00000000-0005-0000-0000-00008D640000}"/>
    <cellStyle name="Normaali 21 3 4_DataIX" xfId="33631" xr:uid="{00000000-0005-0000-0000-00008E640000}"/>
    <cellStyle name="Normaali 21 3 5" xfId="4512" xr:uid="{00000000-0005-0000-0000-00008F640000}"/>
    <cellStyle name="Normaali 21 3 5 2" xfId="9751" xr:uid="{00000000-0005-0000-0000-000090640000}"/>
    <cellStyle name="Normaali 21 3 5 3" xfId="17852" xr:uid="{00000000-0005-0000-0000-000091640000}"/>
    <cellStyle name="Normaali 21 3 5_DataIX" xfId="33632" xr:uid="{00000000-0005-0000-0000-000092640000}"/>
    <cellStyle name="Normaali 21 3 6" xfId="9746" xr:uid="{00000000-0005-0000-0000-000093640000}"/>
    <cellStyle name="Normaali 21 3 7" xfId="17847" xr:uid="{00000000-0005-0000-0000-000094640000}"/>
    <cellStyle name="Normaali 21 3 8" xfId="20575" xr:uid="{00000000-0005-0000-0000-000095640000}"/>
    <cellStyle name="Normaali 21 3_DataIX" xfId="33627" xr:uid="{00000000-0005-0000-0000-000096640000}"/>
    <cellStyle name="Normaali 21 4" xfId="4513" xr:uid="{00000000-0005-0000-0000-000097640000}"/>
    <cellStyle name="Normaali 21 4 2" xfId="4514" xr:uid="{00000000-0005-0000-0000-000098640000}"/>
    <cellStyle name="Normaali 21 4 2 2" xfId="4515" xr:uid="{00000000-0005-0000-0000-000099640000}"/>
    <cellStyle name="Normaali 21 4 2 2 2" xfId="9754" xr:uid="{00000000-0005-0000-0000-00009A640000}"/>
    <cellStyle name="Normaali 21 4 2 2 3" xfId="17855" xr:uid="{00000000-0005-0000-0000-00009B640000}"/>
    <cellStyle name="Normaali 21 4 2 2_DataIX" xfId="33635" xr:uid="{00000000-0005-0000-0000-00009C640000}"/>
    <cellStyle name="Normaali 21 4 2 3" xfId="9753" xr:uid="{00000000-0005-0000-0000-00009D640000}"/>
    <cellStyle name="Normaali 21 4 2 4" xfId="17854" xr:uid="{00000000-0005-0000-0000-00009E640000}"/>
    <cellStyle name="Normaali 21 4 2 5" xfId="20574" xr:uid="{00000000-0005-0000-0000-00009F640000}"/>
    <cellStyle name="Normaali 21 4 2_DataIX" xfId="33634" xr:uid="{00000000-0005-0000-0000-0000A0640000}"/>
    <cellStyle name="Normaali 21 4 3" xfId="4516" xr:uid="{00000000-0005-0000-0000-0000A1640000}"/>
    <cellStyle name="Normaali 21 4 3 2" xfId="9755" xr:uid="{00000000-0005-0000-0000-0000A2640000}"/>
    <cellStyle name="Normaali 21 4 3 3" xfId="17856" xr:uid="{00000000-0005-0000-0000-0000A3640000}"/>
    <cellStyle name="Normaali 21 4 3_DataIX" xfId="33636" xr:uid="{00000000-0005-0000-0000-0000A4640000}"/>
    <cellStyle name="Normaali 21 4 4" xfId="9752" xr:uid="{00000000-0005-0000-0000-0000A5640000}"/>
    <cellStyle name="Normaali 21 4 5" xfId="17853" xr:uid="{00000000-0005-0000-0000-0000A6640000}"/>
    <cellStyle name="Normaali 21 4 6" xfId="19099" xr:uid="{00000000-0005-0000-0000-0000A7640000}"/>
    <cellStyle name="Normaali 21 4_DataIX" xfId="33633" xr:uid="{00000000-0005-0000-0000-0000A8640000}"/>
    <cellStyle name="Normaali 21 5" xfId="4517" xr:uid="{00000000-0005-0000-0000-0000A9640000}"/>
    <cellStyle name="Normaali 21 5 2" xfId="4518" xr:uid="{00000000-0005-0000-0000-0000AA640000}"/>
    <cellStyle name="Normaali 21 5 2 2" xfId="9757" xr:uid="{00000000-0005-0000-0000-0000AB640000}"/>
    <cellStyle name="Normaali 21 5 2 3" xfId="17858" xr:uid="{00000000-0005-0000-0000-0000AC640000}"/>
    <cellStyle name="Normaali 21 5 2_DataIX" xfId="33638" xr:uid="{00000000-0005-0000-0000-0000AD640000}"/>
    <cellStyle name="Normaali 21 5 3" xfId="9756" xr:uid="{00000000-0005-0000-0000-0000AE640000}"/>
    <cellStyle name="Normaali 21 5 4" xfId="17857" xr:uid="{00000000-0005-0000-0000-0000AF640000}"/>
    <cellStyle name="Normaali 21 5 5" xfId="19098" xr:uid="{00000000-0005-0000-0000-0000B0640000}"/>
    <cellStyle name="Normaali 21 5_DataIX" xfId="33637" xr:uid="{00000000-0005-0000-0000-0000B1640000}"/>
    <cellStyle name="Normaali 21 6" xfId="4519" xr:uid="{00000000-0005-0000-0000-0000B2640000}"/>
    <cellStyle name="Normaali 21 6 2" xfId="9758" xr:uid="{00000000-0005-0000-0000-0000B3640000}"/>
    <cellStyle name="Normaali 21 6 3" xfId="17859" xr:uid="{00000000-0005-0000-0000-0000B4640000}"/>
    <cellStyle name="Normaali 21 6_DataIX" xfId="33639" xr:uid="{00000000-0005-0000-0000-0000B5640000}"/>
    <cellStyle name="Normaali 21 7" xfId="4520" xr:uid="{00000000-0005-0000-0000-0000B6640000}"/>
    <cellStyle name="Normaali 21 7 2" xfId="9759" xr:uid="{00000000-0005-0000-0000-0000B7640000}"/>
    <cellStyle name="Normaali 21 7 3" xfId="17860" xr:uid="{00000000-0005-0000-0000-0000B8640000}"/>
    <cellStyle name="Normaali 21 7_DataIX" xfId="33640" xr:uid="{00000000-0005-0000-0000-0000B9640000}"/>
    <cellStyle name="Normaali 21 8" xfId="4521" xr:uid="{00000000-0005-0000-0000-0000BA640000}"/>
    <cellStyle name="Normaali 21 8 2" xfId="9760" xr:uid="{00000000-0005-0000-0000-0000BB640000}"/>
    <cellStyle name="Normaali 21 8 3" xfId="17861" xr:uid="{00000000-0005-0000-0000-0000BC640000}"/>
    <cellStyle name="Normaali 21 8_DataIX" xfId="33641" xr:uid="{00000000-0005-0000-0000-0000BD640000}"/>
    <cellStyle name="Normaali 21 9" xfId="4522" xr:uid="{00000000-0005-0000-0000-0000BE640000}"/>
    <cellStyle name="Normaali 21 9 2" xfId="9761" xr:uid="{00000000-0005-0000-0000-0000BF640000}"/>
    <cellStyle name="Normaali 21 9 3" xfId="17862" xr:uid="{00000000-0005-0000-0000-0000C0640000}"/>
    <cellStyle name="Normaali 21 9_DataIX" xfId="33642" xr:uid="{00000000-0005-0000-0000-0000C1640000}"/>
    <cellStyle name="Normaali 21_DataIX" xfId="33614" xr:uid="{00000000-0005-0000-0000-0000C2640000}"/>
    <cellStyle name="Normaali 22" xfId="4523" xr:uid="{00000000-0005-0000-0000-0000C3640000}"/>
    <cellStyle name="Normaali 22 2" xfId="4524" xr:uid="{00000000-0005-0000-0000-0000C4640000}"/>
    <cellStyle name="Normaali 22 2 2" xfId="4525" xr:uid="{00000000-0005-0000-0000-0000C5640000}"/>
    <cellStyle name="Normaali 22 2 2 2" xfId="4526" xr:uid="{00000000-0005-0000-0000-0000C6640000}"/>
    <cellStyle name="Normaali 22 2 2 2 2" xfId="9765" xr:uid="{00000000-0005-0000-0000-0000C7640000}"/>
    <cellStyle name="Normaali 22 2 2 2 3" xfId="17866" xr:uid="{00000000-0005-0000-0000-0000C8640000}"/>
    <cellStyle name="Normaali 22 2 2 2_DataIX" xfId="33646" xr:uid="{00000000-0005-0000-0000-0000C9640000}"/>
    <cellStyle name="Normaali 22 2 2 3" xfId="4527" xr:uid="{00000000-0005-0000-0000-0000CA640000}"/>
    <cellStyle name="Normaali 22 2 2 3 2" xfId="9766" xr:uid="{00000000-0005-0000-0000-0000CB640000}"/>
    <cellStyle name="Normaali 22 2 2 3 3" xfId="17867" xr:uid="{00000000-0005-0000-0000-0000CC640000}"/>
    <cellStyle name="Normaali 22 2 2 3_DataIX" xfId="33647" xr:uid="{00000000-0005-0000-0000-0000CD640000}"/>
    <cellStyle name="Normaali 22 2 2 4" xfId="9764" xr:uid="{00000000-0005-0000-0000-0000CE640000}"/>
    <cellStyle name="Normaali 22 2 2 5" xfId="17865" xr:uid="{00000000-0005-0000-0000-0000CF640000}"/>
    <cellStyle name="Normaali 22 2 2 6" xfId="20572" xr:uid="{00000000-0005-0000-0000-0000D0640000}"/>
    <cellStyle name="Normaali 22 2 2_DataIX" xfId="33645" xr:uid="{00000000-0005-0000-0000-0000D1640000}"/>
    <cellStyle name="Normaali 22 2 3" xfId="4528" xr:uid="{00000000-0005-0000-0000-0000D2640000}"/>
    <cellStyle name="Normaali 22 2 3 2" xfId="4529" xr:uid="{00000000-0005-0000-0000-0000D3640000}"/>
    <cellStyle name="Normaali 22 2 3 2 2" xfId="9768" xr:uid="{00000000-0005-0000-0000-0000D4640000}"/>
    <cellStyle name="Normaali 22 2 3 2 3" xfId="17869" xr:uid="{00000000-0005-0000-0000-0000D5640000}"/>
    <cellStyle name="Normaali 22 2 3 2_DataIX" xfId="33649" xr:uid="{00000000-0005-0000-0000-0000D6640000}"/>
    <cellStyle name="Normaali 22 2 3 3" xfId="9767" xr:uid="{00000000-0005-0000-0000-0000D7640000}"/>
    <cellStyle name="Normaali 22 2 3 4" xfId="17868" xr:uid="{00000000-0005-0000-0000-0000D8640000}"/>
    <cellStyle name="Normaali 22 2 3_DataIX" xfId="33648" xr:uid="{00000000-0005-0000-0000-0000D9640000}"/>
    <cellStyle name="Normaali 22 2 4" xfId="4530" xr:uid="{00000000-0005-0000-0000-0000DA640000}"/>
    <cellStyle name="Normaali 22 2 4 2" xfId="9769" xr:uid="{00000000-0005-0000-0000-0000DB640000}"/>
    <cellStyle name="Normaali 22 2 4 3" xfId="17870" xr:uid="{00000000-0005-0000-0000-0000DC640000}"/>
    <cellStyle name="Normaali 22 2 4_DataIX" xfId="33650" xr:uid="{00000000-0005-0000-0000-0000DD640000}"/>
    <cellStyle name="Normaali 22 2 5" xfId="4531" xr:uid="{00000000-0005-0000-0000-0000DE640000}"/>
    <cellStyle name="Normaali 22 2 5 2" xfId="9770" xr:uid="{00000000-0005-0000-0000-0000DF640000}"/>
    <cellStyle name="Normaali 22 2 5 3" xfId="17871" xr:uid="{00000000-0005-0000-0000-0000E0640000}"/>
    <cellStyle name="Normaali 22 2 5_DataIX" xfId="33651" xr:uid="{00000000-0005-0000-0000-0000E1640000}"/>
    <cellStyle name="Normaali 22 2 6" xfId="9763" xr:uid="{00000000-0005-0000-0000-0000E2640000}"/>
    <cellStyle name="Normaali 22 2 7" xfId="17864" xr:uid="{00000000-0005-0000-0000-0000E3640000}"/>
    <cellStyle name="Normaali 22 2 8" xfId="19097" xr:uid="{00000000-0005-0000-0000-0000E4640000}"/>
    <cellStyle name="Normaali 22 2_DataIX" xfId="33644" xr:uid="{00000000-0005-0000-0000-0000E5640000}"/>
    <cellStyle name="Normaali 22 3" xfId="4532" xr:uid="{00000000-0005-0000-0000-0000E6640000}"/>
    <cellStyle name="Normaali 22 3 2" xfId="4533" xr:uid="{00000000-0005-0000-0000-0000E7640000}"/>
    <cellStyle name="Normaali 22 3 2 2" xfId="9772" xr:uid="{00000000-0005-0000-0000-0000E8640000}"/>
    <cellStyle name="Normaali 22 3 2 3" xfId="17873" xr:uid="{00000000-0005-0000-0000-0000E9640000}"/>
    <cellStyle name="Normaali 22 3 2_DataIX" xfId="33653" xr:uid="{00000000-0005-0000-0000-0000EA640000}"/>
    <cellStyle name="Normaali 22 3 3" xfId="9771" xr:uid="{00000000-0005-0000-0000-0000EB640000}"/>
    <cellStyle name="Normaali 22 3 4" xfId="17872" xr:uid="{00000000-0005-0000-0000-0000EC640000}"/>
    <cellStyle name="Normaali 22 3_DataIX" xfId="33652" xr:uid="{00000000-0005-0000-0000-0000ED640000}"/>
    <cellStyle name="Normaali 22 4" xfId="4534" xr:uid="{00000000-0005-0000-0000-0000EE640000}"/>
    <cellStyle name="Normaali 22 4 2" xfId="4535" xr:uid="{00000000-0005-0000-0000-0000EF640000}"/>
    <cellStyle name="Normaali 22 4 2 2" xfId="9774" xr:uid="{00000000-0005-0000-0000-0000F0640000}"/>
    <cellStyle name="Normaali 22 4 2 3" xfId="17875" xr:uid="{00000000-0005-0000-0000-0000F1640000}"/>
    <cellStyle name="Normaali 22 4 2_DataIX" xfId="33655" xr:uid="{00000000-0005-0000-0000-0000F2640000}"/>
    <cellStyle name="Normaali 22 4 3" xfId="9773" xr:uid="{00000000-0005-0000-0000-0000F3640000}"/>
    <cellStyle name="Normaali 22 4 4" xfId="17874" xr:uid="{00000000-0005-0000-0000-0000F4640000}"/>
    <cellStyle name="Normaali 22 4_DataIX" xfId="33654" xr:uid="{00000000-0005-0000-0000-0000F5640000}"/>
    <cellStyle name="Normaali 22 5" xfId="4536" xr:uid="{00000000-0005-0000-0000-0000F6640000}"/>
    <cellStyle name="Normaali 22 5 2" xfId="9775" xr:uid="{00000000-0005-0000-0000-0000F7640000}"/>
    <cellStyle name="Normaali 22 5 3" xfId="17876" xr:uid="{00000000-0005-0000-0000-0000F8640000}"/>
    <cellStyle name="Normaali 22 5_DataIX" xfId="33656" xr:uid="{00000000-0005-0000-0000-0000F9640000}"/>
    <cellStyle name="Normaali 22 6" xfId="4537" xr:uid="{00000000-0005-0000-0000-0000FA640000}"/>
    <cellStyle name="Normaali 22 6 2" xfId="9776" xr:uid="{00000000-0005-0000-0000-0000FB640000}"/>
    <cellStyle name="Normaali 22 6 3" xfId="17877" xr:uid="{00000000-0005-0000-0000-0000FC640000}"/>
    <cellStyle name="Normaali 22 6_DataIX" xfId="33657" xr:uid="{00000000-0005-0000-0000-0000FD640000}"/>
    <cellStyle name="Normaali 22 7" xfId="9762" xr:uid="{00000000-0005-0000-0000-0000FE640000}"/>
    <cellStyle name="Normaali 22 8" xfId="17863" xr:uid="{00000000-0005-0000-0000-0000FF640000}"/>
    <cellStyle name="Normaali 22 9" xfId="20573" xr:uid="{00000000-0005-0000-0000-000000650000}"/>
    <cellStyle name="Normaali 22_DataIX" xfId="33643" xr:uid="{00000000-0005-0000-0000-000001650000}"/>
    <cellStyle name="Normaali 23" xfId="4538" xr:uid="{00000000-0005-0000-0000-000002650000}"/>
    <cellStyle name="Normaali 23 2" xfId="4539" xr:uid="{00000000-0005-0000-0000-000003650000}"/>
    <cellStyle name="Normaali 23 2 2" xfId="4540" xr:uid="{00000000-0005-0000-0000-000004650000}"/>
    <cellStyle name="Normaali 23 2 2 2" xfId="9779" xr:uid="{00000000-0005-0000-0000-000005650000}"/>
    <cellStyle name="Normaali 23 2 2 3" xfId="17880" xr:uid="{00000000-0005-0000-0000-000006650000}"/>
    <cellStyle name="Normaali 23 2 2_DataIX" xfId="33660" xr:uid="{00000000-0005-0000-0000-000007650000}"/>
    <cellStyle name="Normaali 23 2 3" xfId="4541" xr:uid="{00000000-0005-0000-0000-000008650000}"/>
    <cellStyle name="Normaali 23 2 3 2" xfId="9780" xr:uid="{00000000-0005-0000-0000-000009650000}"/>
    <cellStyle name="Normaali 23 2 3 3" xfId="17881" xr:uid="{00000000-0005-0000-0000-00000A650000}"/>
    <cellStyle name="Normaali 23 2 3_DataIX" xfId="33661" xr:uid="{00000000-0005-0000-0000-00000B650000}"/>
    <cellStyle name="Normaali 23 2 4" xfId="4542" xr:uid="{00000000-0005-0000-0000-00000C650000}"/>
    <cellStyle name="Normaali 23 2 4 2" xfId="9781" xr:uid="{00000000-0005-0000-0000-00000D650000}"/>
    <cellStyle name="Normaali 23 2 4 3" xfId="17882" xr:uid="{00000000-0005-0000-0000-00000E650000}"/>
    <cellStyle name="Normaali 23 2 4_DataIX" xfId="33662" xr:uid="{00000000-0005-0000-0000-00000F650000}"/>
    <cellStyle name="Normaali 23 2 5" xfId="9778" xr:uid="{00000000-0005-0000-0000-000010650000}"/>
    <cellStyle name="Normaali 23 2 6" xfId="17879" xr:uid="{00000000-0005-0000-0000-000011650000}"/>
    <cellStyle name="Normaali 23 2_DataIX" xfId="33659" xr:uid="{00000000-0005-0000-0000-000012650000}"/>
    <cellStyle name="Normaali 23 3" xfId="4543" xr:uid="{00000000-0005-0000-0000-000013650000}"/>
    <cellStyle name="Normaali 23 3 2" xfId="4544" xr:uid="{00000000-0005-0000-0000-000014650000}"/>
    <cellStyle name="Normaali 23 3 2 2" xfId="9783" xr:uid="{00000000-0005-0000-0000-000015650000}"/>
    <cellStyle name="Normaali 23 3 2 3" xfId="17884" xr:uid="{00000000-0005-0000-0000-000016650000}"/>
    <cellStyle name="Normaali 23 3 2_DataIX" xfId="33664" xr:uid="{00000000-0005-0000-0000-000017650000}"/>
    <cellStyle name="Normaali 23 3 3" xfId="4545" xr:uid="{00000000-0005-0000-0000-000018650000}"/>
    <cellStyle name="Normaali 23 3 3 2" xfId="9784" xr:uid="{00000000-0005-0000-0000-000019650000}"/>
    <cellStyle name="Normaali 23 3 3 3" xfId="17885" xr:uid="{00000000-0005-0000-0000-00001A650000}"/>
    <cellStyle name="Normaali 23 3 3_DataIX" xfId="33665" xr:uid="{00000000-0005-0000-0000-00001B650000}"/>
    <cellStyle name="Normaali 23 3 4" xfId="4546" xr:uid="{00000000-0005-0000-0000-00001C650000}"/>
    <cellStyle name="Normaali 23 3 4 2" xfId="9785" xr:uid="{00000000-0005-0000-0000-00001D650000}"/>
    <cellStyle name="Normaali 23 3 4 3" xfId="17886" xr:uid="{00000000-0005-0000-0000-00001E650000}"/>
    <cellStyle name="Normaali 23 3 4_DataIX" xfId="33666" xr:uid="{00000000-0005-0000-0000-00001F650000}"/>
    <cellStyle name="Normaali 23 3 5" xfId="9782" xr:uid="{00000000-0005-0000-0000-000020650000}"/>
    <cellStyle name="Normaali 23 3 6" xfId="17883" xr:uid="{00000000-0005-0000-0000-000021650000}"/>
    <cellStyle name="Normaali 23 3_DataIX" xfId="33663" xr:uid="{00000000-0005-0000-0000-000022650000}"/>
    <cellStyle name="Normaali 23 4" xfId="4547" xr:uid="{00000000-0005-0000-0000-000023650000}"/>
    <cellStyle name="Normaali 23 4 2" xfId="4548" xr:uid="{00000000-0005-0000-0000-000024650000}"/>
    <cellStyle name="Normaali 23 4 2 2" xfId="9787" xr:uid="{00000000-0005-0000-0000-000025650000}"/>
    <cellStyle name="Normaali 23 4 2 3" xfId="17888" xr:uid="{00000000-0005-0000-0000-000026650000}"/>
    <cellStyle name="Normaali 23 4 2_DataIX" xfId="33668" xr:uid="{00000000-0005-0000-0000-000027650000}"/>
    <cellStyle name="Normaali 23 4 3" xfId="9786" xr:uid="{00000000-0005-0000-0000-000028650000}"/>
    <cellStyle name="Normaali 23 4 4" xfId="17887" xr:uid="{00000000-0005-0000-0000-000029650000}"/>
    <cellStyle name="Normaali 23 4_DataIX" xfId="33667" xr:uid="{00000000-0005-0000-0000-00002A650000}"/>
    <cellStyle name="Normaali 23 5" xfId="4549" xr:uid="{00000000-0005-0000-0000-00002B650000}"/>
    <cellStyle name="Normaali 23 5 2" xfId="9788" xr:uid="{00000000-0005-0000-0000-00002C650000}"/>
    <cellStyle name="Normaali 23 5 3" xfId="17889" xr:uid="{00000000-0005-0000-0000-00002D650000}"/>
    <cellStyle name="Normaali 23 5_DataIX" xfId="33669" xr:uid="{00000000-0005-0000-0000-00002E650000}"/>
    <cellStyle name="Normaali 23 6" xfId="9777" xr:uid="{00000000-0005-0000-0000-00002F650000}"/>
    <cellStyle name="Normaali 23 7" xfId="17878" xr:uid="{00000000-0005-0000-0000-000030650000}"/>
    <cellStyle name="Normaali 23 8" xfId="19093" xr:uid="{00000000-0005-0000-0000-000031650000}"/>
    <cellStyle name="Normaali 23_DataIX" xfId="33658" xr:uid="{00000000-0005-0000-0000-000032650000}"/>
    <cellStyle name="Normaali 24" xfId="4550" xr:uid="{00000000-0005-0000-0000-000033650000}"/>
    <cellStyle name="Normaali 24 2" xfId="4551" xr:uid="{00000000-0005-0000-0000-000034650000}"/>
    <cellStyle name="Normaali 24 2 2" xfId="4552" xr:uid="{00000000-0005-0000-0000-000035650000}"/>
    <cellStyle name="Normaali 24 2 2 2" xfId="9791" xr:uid="{00000000-0005-0000-0000-000036650000}"/>
    <cellStyle name="Normaali 24 2 2 3" xfId="17892" xr:uid="{00000000-0005-0000-0000-000037650000}"/>
    <cellStyle name="Normaali 24 2 2_DataIX" xfId="33671" xr:uid="{00000000-0005-0000-0000-000038650000}"/>
    <cellStyle name="Normaali 24 2 3" xfId="9790" xr:uid="{00000000-0005-0000-0000-000039650000}"/>
    <cellStyle name="Normaali 24 2 4" xfId="17891" xr:uid="{00000000-0005-0000-0000-00003A650000}"/>
    <cellStyle name="Normaali 24 2_DataIX" xfId="33670" xr:uid="{00000000-0005-0000-0000-00003B650000}"/>
    <cellStyle name="Normaali 24 3" xfId="17890" xr:uid="{00000000-0005-0000-0000-00003C650000}"/>
    <cellStyle name="Normaali 24 4" xfId="19096" xr:uid="{00000000-0005-0000-0000-00003D650000}"/>
    <cellStyle name="Normaali 24_##Keskeiset" xfId="9789" xr:uid="{00000000-0005-0000-0000-00003E650000}"/>
    <cellStyle name="Normaali 25" xfId="4553" xr:uid="{00000000-0005-0000-0000-00003F650000}"/>
    <cellStyle name="Normaali 25 2" xfId="4554" xr:uid="{00000000-0005-0000-0000-000040650000}"/>
    <cellStyle name="Normaali 25 2 2" xfId="4555" xr:uid="{00000000-0005-0000-0000-000041650000}"/>
    <cellStyle name="Normaali 25 2 2 2" xfId="4556" xr:uid="{00000000-0005-0000-0000-000042650000}"/>
    <cellStyle name="Normaali 25 2 2 2 2" xfId="9795" xr:uid="{00000000-0005-0000-0000-000043650000}"/>
    <cellStyle name="Normaali 25 2 2 2 3" xfId="17896" xr:uid="{00000000-0005-0000-0000-000044650000}"/>
    <cellStyle name="Normaali 25 2 2 2_DataIX" xfId="33675" xr:uid="{00000000-0005-0000-0000-000045650000}"/>
    <cellStyle name="Normaali 25 2 2 3" xfId="9794" xr:uid="{00000000-0005-0000-0000-000046650000}"/>
    <cellStyle name="Normaali 25 2 2 4" xfId="17895" xr:uid="{00000000-0005-0000-0000-000047650000}"/>
    <cellStyle name="Normaali 25 2 2 5" xfId="19094" xr:uid="{00000000-0005-0000-0000-000048650000}"/>
    <cellStyle name="Normaali 25 2 2_DataIX" xfId="33674" xr:uid="{00000000-0005-0000-0000-000049650000}"/>
    <cellStyle name="Normaali 25 2 3" xfId="4557" xr:uid="{00000000-0005-0000-0000-00004A650000}"/>
    <cellStyle name="Normaali 25 2 3 2" xfId="9796" xr:uid="{00000000-0005-0000-0000-00004B650000}"/>
    <cellStyle name="Normaali 25 2 3 3" xfId="17897" xr:uid="{00000000-0005-0000-0000-00004C650000}"/>
    <cellStyle name="Normaali 25 2 3_DataIX" xfId="33676" xr:uid="{00000000-0005-0000-0000-00004D650000}"/>
    <cellStyle name="Normaali 25 2 4" xfId="9793" xr:uid="{00000000-0005-0000-0000-00004E650000}"/>
    <cellStyle name="Normaali 25 2 5" xfId="17894" xr:uid="{00000000-0005-0000-0000-00004F650000}"/>
    <cellStyle name="Normaali 25 2 6" xfId="20571" xr:uid="{00000000-0005-0000-0000-000050650000}"/>
    <cellStyle name="Normaali 25 2_DataIX" xfId="33673" xr:uid="{00000000-0005-0000-0000-000051650000}"/>
    <cellStyle name="Normaali 25 3" xfId="4558" xr:uid="{00000000-0005-0000-0000-000052650000}"/>
    <cellStyle name="Normaali 25 3 2" xfId="4559" xr:uid="{00000000-0005-0000-0000-000053650000}"/>
    <cellStyle name="Normaali 25 3 2 2" xfId="9798" xr:uid="{00000000-0005-0000-0000-000054650000}"/>
    <cellStyle name="Normaali 25 3 2 3" xfId="17899" xr:uid="{00000000-0005-0000-0000-000055650000}"/>
    <cellStyle name="Normaali 25 3 2_DataIX" xfId="33678" xr:uid="{00000000-0005-0000-0000-000056650000}"/>
    <cellStyle name="Normaali 25 3 3" xfId="4560" xr:uid="{00000000-0005-0000-0000-000057650000}"/>
    <cellStyle name="Normaali 25 3 3 2" xfId="9799" xr:uid="{00000000-0005-0000-0000-000058650000}"/>
    <cellStyle name="Normaali 25 3 3 3" xfId="17900" xr:uid="{00000000-0005-0000-0000-000059650000}"/>
    <cellStyle name="Normaali 25 3 3_DataIX" xfId="33679" xr:uid="{00000000-0005-0000-0000-00005A650000}"/>
    <cellStyle name="Normaali 25 3 4" xfId="9797" xr:uid="{00000000-0005-0000-0000-00005B650000}"/>
    <cellStyle name="Normaali 25 3 5" xfId="17898" xr:uid="{00000000-0005-0000-0000-00005C650000}"/>
    <cellStyle name="Normaali 25 3 6" xfId="20570" xr:uid="{00000000-0005-0000-0000-00005D650000}"/>
    <cellStyle name="Normaali 25 3_DataIX" xfId="33677" xr:uid="{00000000-0005-0000-0000-00005E650000}"/>
    <cellStyle name="Normaali 25 4" xfId="4561" xr:uid="{00000000-0005-0000-0000-00005F650000}"/>
    <cellStyle name="Normaali 25 4 2" xfId="9800" xr:uid="{00000000-0005-0000-0000-000060650000}"/>
    <cellStyle name="Normaali 25 4 3" xfId="17901" xr:uid="{00000000-0005-0000-0000-000061650000}"/>
    <cellStyle name="Normaali 25 4_DataIX" xfId="33680" xr:uid="{00000000-0005-0000-0000-000062650000}"/>
    <cellStyle name="Normaali 25 5" xfId="4562" xr:uid="{00000000-0005-0000-0000-000063650000}"/>
    <cellStyle name="Normaali 25 5 2" xfId="9801" xr:uid="{00000000-0005-0000-0000-000064650000}"/>
    <cellStyle name="Normaali 25 5 3" xfId="17902" xr:uid="{00000000-0005-0000-0000-000065650000}"/>
    <cellStyle name="Normaali 25 5_DataIX" xfId="33681" xr:uid="{00000000-0005-0000-0000-000066650000}"/>
    <cellStyle name="Normaali 25 6" xfId="9792" xr:uid="{00000000-0005-0000-0000-000067650000}"/>
    <cellStyle name="Normaali 25 7" xfId="17893" xr:uid="{00000000-0005-0000-0000-000068650000}"/>
    <cellStyle name="Normaali 25 8" xfId="19095" xr:uid="{00000000-0005-0000-0000-000069650000}"/>
    <cellStyle name="Normaali 25_DataIX" xfId="33672" xr:uid="{00000000-0005-0000-0000-00006A650000}"/>
    <cellStyle name="Normaali 26" xfId="4563" xr:uid="{00000000-0005-0000-0000-00006B650000}"/>
    <cellStyle name="Normaali 26 2" xfId="4564" xr:uid="{00000000-0005-0000-0000-00006C650000}"/>
    <cellStyle name="Normaali 26 2 2" xfId="4565" xr:uid="{00000000-0005-0000-0000-00006D650000}"/>
    <cellStyle name="Normaali 26 2 2 2" xfId="9804" xr:uid="{00000000-0005-0000-0000-00006E650000}"/>
    <cellStyle name="Normaali 26 2 2 3" xfId="17905" xr:uid="{00000000-0005-0000-0000-00006F650000}"/>
    <cellStyle name="Normaali 26 2 2_DataIX" xfId="33684" xr:uid="{00000000-0005-0000-0000-000070650000}"/>
    <cellStyle name="Normaali 26 2 3" xfId="9803" xr:uid="{00000000-0005-0000-0000-000071650000}"/>
    <cellStyle name="Normaali 26 2 4" xfId="17904" xr:uid="{00000000-0005-0000-0000-000072650000}"/>
    <cellStyle name="Normaali 26 2_DataIX" xfId="33683" xr:uid="{00000000-0005-0000-0000-000073650000}"/>
    <cellStyle name="Normaali 26 3" xfId="9802" xr:uid="{00000000-0005-0000-0000-000074650000}"/>
    <cellStyle name="Normaali 26 4" xfId="17903" xr:uid="{00000000-0005-0000-0000-000075650000}"/>
    <cellStyle name="Normaali 26 5" xfId="20569" xr:uid="{00000000-0005-0000-0000-000076650000}"/>
    <cellStyle name="Normaali 26_DataIX" xfId="33682" xr:uid="{00000000-0005-0000-0000-000077650000}"/>
    <cellStyle name="Normaali 27" xfId="4566" xr:uid="{00000000-0005-0000-0000-000078650000}"/>
    <cellStyle name="Normaali 27 10" xfId="4567" xr:uid="{00000000-0005-0000-0000-000079650000}"/>
    <cellStyle name="Normaali 27 10 2" xfId="9806" xr:uid="{00000000-0005-0000-0000-00007A650000}"/>
    <cellStyle name="Normaali 27 10 3" xfId="17907" xr:uid="{00000000-0005-0000-0000-00007B650000}"/>
    <cellStyle name="Normaali 27 10_DataIX" xfId="33686" xr:uid="{00000000-0005-0000-0000-00007C650000}"/>
    <cellStyle name="Normaali 27 11" xfId="4568" xr:uid="{00000000-0005-0000-0000-00007D650000}"/>
    <cellStyle name="Normaali 27 11 2" xfId="9807" xr:uid="{00000000-0005-0000-0000-00007E650000}"/>
    <cellStyle name="Normaali 27 11 3" xfId="17908" xr:uid="{00000000-0005-0000-0000-00007F650000}"/>
    <cellStyle name="Normaali 27 11_DataIX" xfId="33687" xr:uid="{00000000-0005-0000-0000-000080650000}"/>
    <cellStyle name="Normaali 27 12" xfId="9805" xr:uid="{00000000-0005-0000-0000-000081650000}"/>
    <cellStyle name="Normaali 27 13" xfId="17906" xr:uid="{00000000-0005-0000-0000-000082650000}"/>
    <cellStyle name="Normaali 27 14" xfId="20568" xr:uid="{00000000-0005-0000-0000-000083650000}"/>
    <cellStyle name="Normaali 27 2" xfId="4569" xr:uid="{00000000-0005-0000-0000-000084650000}"/>
    <cellStyle name="Normaali 27 2 2" xfId="4570" xr:uid="{00000000-0005-0000-0000-000085650000}"/>
    <cellStyle name="Normaali 27 2 2 2" xfId="9809" xr:uid="{00000000-0005-0000-0000-000086650000}"/>
    <cellStyle name="Normaali 27 2 2 3" xfId="17910" xr:uid="{00000000-0005-0000-0000-000087650000}"/>
    <cellStyle name="Normaali 27 2 2_DataIX" xfId="33689" xr:uid="{00000000-0005-0000-0000-000088650000}"/>
    <cellStyle name="Normaali 27 2 3" xfId="4571" xr:uid="{00000000-0005-0000-0000-000089650000}"/>
    <cellStyle name="Normaali 27 2 3 2" xfId="9810" xr:uid="{00000000-0005-0000-0000-00008A650000}"/>
    <cellStyle name="Normaali 27 2 3 3" xfId="17911" xr:uid="{00000000-0005-0000-0000-00008B650000}"/>
    <cellStyle name="Normaali 27 2 3_DataIX" xfId="33690" xr:uid="{00000000-0005-0000-0000-00008C650000}"/>
    <cellStyle name="Normaali 27 2 4" xfId="4572" xr:uid="{00000000-0005-0000-0000-00008D650000}"/>
    <cellStyle name="Normaali 27 2 4 2" xfId="9811" xr:uid="{00000000-0005-0000-0000-00008E650000}"/>
    <cellStyle name="Normaali 27 2 4 3" xfId="17912" xr:uid="{00000000-0005-0000-0000-00008F650000}"/>
    <cellStyle name="Normaali 27 2 4_DataIX" xfId="33691" xr:uid="{00000000-0005-0000-0000-000090650000}"/>
    <cellStyle name="Normaali 27 2 5" xfId="9808" xr:uid="{00000000-0005-0000-0000-000091650000}"/>
    <cellStyle name="Normaali 27 2 6" xfId="17909" xr:uid="{00000000-0005-0000-0000-000092650000}"/>
    <cellStyle name="Normaali 27 2_DataIX" xfId="33688" xr:uid="{00000000-0005-0000-0000-000093650000}"/>
    <cellStyle name="Normaali 27 3" xfId="4573" xr:uid="{00000000-0005-0000-0000-000094650000}"/>
    <cellStyle name="Normaali 27 3 2" xfId="4574" xr:uid="{00000000-0005-0000-0000-000095650000}"/>
    <cellStyle name="Normaali 27 3 2 2" xfId="9813" xr:uid="{00000000-0005-0000-0000-000096650000}"/>
    <cellStyle name="Normaali 27 3 2 3" xfId="17914" xr:uid="{00000000-0005-0000-0000-000097650000}"/>
    <cellStyle name="Normaali 27 3 2_DataIX" xfId="33693" xr:uid="{00000000-0005-0000-0000-000098650000}"/>
    <cellStyle name="Normaali 27 3 3" xfId="4575" xr:uid="{00000000-0005-0000-0000-000099650000}"/>
    <cellStyle name="Normaali 27 3 3 2" xfId="9814" xr:uid="{00000000-0005-0000-0000-00009A650000}"/>
    <cellStyle name="Normaali 27 3 3 3" xfId="17915" xr:uid="{00000000-0005-0000-0000-00009B650000}"/>
    <cellStyle name="Normaali 27 3 3_DataIX" xfId="33694" xr:uid="{00000000-0005-0000-0000-00009C650000}"/>
    <cellStyle name="Normaali 27 3 4" xfId="4576" xr:uid="{00000000-0005-0000-0000-00009D650000}"/>
    <cellStyle name="Normaali 27 3 4 2" xfId="9815" xr:uid="{00000000-0005-0000-0000-00009E650000}"/>
    <cellStyle name="Normaali 27 3 4 3" xfId="17916" xr:uid="{00000000-0005-0000-0000-00009F650000}"/>
    <cellStyle name="Normaali 27 3 4_DataIX" xfId="33695" xr:uid="{00000000-0005-0000-0000-0000A0650000}"/>
    <cellStyle name="Normaali 27 3 5" xfId="9812" xr:uid="{00000000-0005-0000-0000-0000A1650000}"/>
    <cellStyle name="Normaali 27 3 6" xfId="17913" xr:uid="{00000000-0005-0000-0000-0000A2650000}"/>
    <cellStyle name="Normaali 27 3_DataIX" xfId="33692" xr:uid="{00000000-0005-0000-0000-0000A3650000}"/>
    <cellStyle name="Normaali 27 4" xfId="4577" xr:uid="{00000000-0005-0000-0000-0000A4650000}"/>
    <cellStyle name="Normaali 27 4 2" xfId="4578" xr:uid="{00000000-0005-0000-0000-0000A5650000}"/>
    <cellStyle name="Normaali 27 4 2 2" xfId="9817" xr:uid="{00000000-0005-0000-0000-0000A6650000}"/>
    <cellStyle name="Normaali 27 4 2 3" xfId="17918" xr:uid="{00000000-0005-0000-0000-0000A7650000}"/>
    <cellStyle name="Normaali 27 4 2_DataIX" xfId="33697" xr:uid="{00000000-0005-0000-0000-0000A8650000}"/>
    <cellStyle name="Normaali 27 4 3" xfId="9816" xr:uid="{00000000-0005-0000-0000-0000A9650000}"/>
    <cellStyle name="Normaali 27 4 4" xfId="17917" xr:uid="{00000000-0005-0000-0000-0000AA650000}"/>
    <cellStyle name="Normaali 27 4_DataIX" xfId="33696" xr:uid="{00000000-0005-0000-0000-0000AB650000}"/>
    <cellStyle name="Normaali 27 5" xfId="4579" xr:uid="{00000000-0005-0000-0000-0000AC650000}"/>
    <cellStyle name="Normaali 27 5 2" xfId="9818" xr:uid="{00000000-0005-0000-0000-0000AD650000}"/>
    <cellStyle name="Normaali 27 5 3" xfId="17919" xr:uid="{00000000-0005-0000-0000-0000AE650000}"/>
    <cellStyle name="Normaali 27 5_DataIX" xfId="33698" xr:uid="{00000000-0005-0000-0000-0000AF650000}"/>
    <cellStyle name="Normaali 27 6" xfId="4580" xr:uid="{00000000-0005-0000-0000-0000B0650000}"/>
    <cellStyle name="Normaali 27 6 2" xfId="9819" xr:uid="{00000000-0005-0000-0000-0000B1650000}"/>
    <cellStyle name="Normaali 27 6 3" xfId="17920" xr:uid="{00000000-0005-0000-0000-0000B2650000}"/>
    <cellStyle name="Normaali 27 6_DataIX" xfId="33699" xr:uid="{00000000-0005-0000-0000-0000B3650000}"/>
    <cellStyle name="Normaali 27 7" xfId="4581" xr:uid="{00000000-0005-0000-0000-0000B4650000}"/>
    <cellStyle name="Normaali 27 7 2" xfId="9820" xr:uid="{00000000-0005-0000-0000-0000B5650000}"/>
    <cellStyle name="Normaali 27 7 3" xfId="17921" xr:uid="{00000000-0005-0000-0000-0000B6650000}"/>
    <cellStyle name="Normaali 27 7_DataIX" xfId="33700" xr:uid="{00000000-0005-0000-0000-0000B7650000}"/>
    <cellStyle name="Normaali 27 8" xfId="4582" xr:uid="{00000000-0005-0000-0000-0000B8650000}"/>
    <cellStyle name="Normaali 27 8 2" xfId="9821" xr:uid="{00000000-0005-0000-0000-0000B9650000}"/>
    <cellStyle name="Normaali 27 8 3" xfId="17922" xr:uid="{00000000-0005-0000-0000-0000BA650000}"/>
    <cellStyle name="Normaali 27 8_DataIX" xfId="33701" xr:uid="{00000000-0005-0000-0000-0000BB650000}"/>
    <cellStyle name="Normaali 27 9" xfId="4583" xr:uid="{00000000-0005-0000-0000-0000BC650000}"/>
    <cellStyle name="Normaali 27 9 2" xfId="9822" xr:uid="{00000000-0005-0000-0000-0000BD650000}"/>
    <cellStyle name="Normaali 27 9 3" xfId="17923" xr:uid="{00000000-0005-0000-0000-0000BE650000}"/>
    <cellStyle name="Normaali 27 9_DataIX" xfId="33702" xr:uid="{00000000-0005-0000-0000-0000BF650000}"/>
    <cellStyle name="Normaali 27_DataIX" xfId="33685" xr:uid="{00000000-0005-0000-0000-0000C0650000}"/>
    <cellStyle name="Normaali 28" xfId="4584" xr:uid="{00000000-0005-0000-0000-0000C1650000}"/>
    <cellStyle name="Normaali 28 2" xfId="4585" xr:uid="{00000000-0005-0000-0000-0000C2650000}"/>
    <cellStyle name="Normaali 28 2 2" xfId="4586" xr:uid="{00000000-0005-0000-0000-0000C3650000}"/>
    <cellStyle name="Normaali 28 2 2 2" xfId="9825" xr:uid="{00000000-0005-0000-0000-0000C4650000}"/>
    <cellStyle name="Normaali 28 2 2 3" xfId="17926" xr:uid="{00000000-0005-0000-0000-0000C5650000}"/>
    <cellStyle name="Normaali 28 2 2_DataIX" xfId="33705" xr:uid="{00000000-0005-0000-0000-0000C6650000}"/>
    <cellStyle name="Normaali 28 2 3" xfId="9824" xr:uid="{00000000-0005-0000-0000-0000C7650000}"/>
    <cellStyle name="Normaali 28 2 4" xfId="17925" xr:uid="{00000000-0005-0000-0000-0000C8650000}"/>
    <cellStyle name="Normaali 28 2_DataIX" xfId="33704" xr:uid="{00000000-0005-0000-0000-0000C9650000}"/>
    <cellStyle name="Normaali 28 3" xfId="4587" xr:uid="{00000000-0005-0000-0000-0000CA650000}"/>
    <cellStyle name="Normaali 28 3 2" xfId="9826" xr:uid="{00000000-0005-0000-0000-0000CB650000}"/>
    <cellStyle name="Normaali 28 3 3" xfId="17927" xr:uid="{00000000-0005-0000-0000-0000CC650000}"/>
    <cellStyle name="Normaali 28 3_DataIX" xfId="33706" xr:uid="{00000000-0005-0000-0000-0000CD650000}"/>
    <cellStyle name="Normaali 28 4" xfId="9823" xr:uid="{00000000-0005-0000-0000-0000CE650000}"/>
    <cellStyle name="Normaali 28 5" xfId="17924" xr:uid="{00000000-0005-0000-0000-0000CF650000}"/>
    <cellStyle name="Normaali 28 6" xfId="19092" xr:uid="{00000000-0005-0000-0000-0000D0650000}"/>
    <cellStyle name="Normaali 28_DataIX" xfId="33703" xr:uid="{00000000-0005-0000-0000-0000D1650000}"/>
    <cellStyle name="Normaali 29" xfId="4588" xr:uid="{00000000-0005-0000-0000-0000D2650000}"/>
    <cellStyle name="Normaali 29 2" xfId="4589" xr:uid="{00000000-0005-0000-0000-0000D3650000}"/>
    <cellStyle name="Normaali 29 2 2" xfId="4590" xr:uid="{00000000-0005-0000-0000-0000D4650000}"/>
    <cellStyle name="Normaali 29 2 2 2" xfId="9829" xr:uid="{00000000-0005-0000-0000-0000D5650000}"/>
    <cellStyle name="Normaali 29 2 2 3" xfId="17930" xr:uid="{00000000-0005-0000-0000-0000D6650000}"/>
    <cellStyle name="Normaali 29 2 2_DataIX" xfId="33709" xr:uid="{00000000-0005-0000-0000-0000D7650000}"/>
    <cellStyle name="Normaali 29 2 3" xfId="9828" xr:uid="{00000000-0005-0000-0000-0000D8650000}"/>
    <cellStyle name="Normaali 29 2 4" xfId="17929" xr:uid="{00000000-0005-0000-0000-0000D9650000}"/>
    <cellStyle name="Normaali 29 2_DataIX" xfId="33708" xr:uid="{00000000-0005-0000-0000-0000DA650000}"/>
    <cellStyle name="Normaali 29 3" xfId="4591" xr:uid="{00000000-0005-0000-0000-0000DB650000}"/>
    <cellStyle name="Normaali 29 3 2" xfId="9830" xr:uid="{00000000-0005-0000-0000-0000DC650000}"/>
    <cellStyle name="Normaali 29 3 3" xfId="17931" xr:uid="{00000000-0005-0000-0000-0000DD650000}"/>
    <cellStyle name="Normaali 29 3_DataIX" xfId="33710" xr:uid="{00000000-0005-0000-0000-0000DE650000}"/>
    <cellStyle name="Normaali 29 4" xfId="9827" xr:uid="{00000000-0005-0000-0000-0000DF650000}"/>
    <cellStyle name="Normaali 29 5" xfId="17928" xr:uid="{00000000-0005-0000-0000-0000E0650000}"/>
    <cellStyle name="Normaali 29 6" xfId="19091" xr:uid="{00000000-0005-0000-0000-0000E1650000}"/>
    <cellStyle name="Normaali 29_DataIX" xfId="33707" xr:uid="{00000000-0005-0000-0000-0000E2650000}"/>
    <cellStyle name="Normaali 3" xfId="103" xr:uid="{00000000-0005-0000-0000-0000E3650000}"/>
    <cellStyle name="Normaali 3 10" xfId="4593" xr:uid="{00000000-0005-0000-0000-0000E4650000}"/>
    <cellStyle name="Normaali 3 10 2" xfId="4594" xr:uid="{00000000-0005-0000-0000-0000E5650000}"/>
    <cellStyle name="Normaali 3 10 2 2" xfId="4595" xr:uid="{00000000-0005-0000-0000-0000E6650000}"/>
    <cellStyle name="Normaali 3 10 2 2 2" xfId="9834" xr:uid="{00000000-0005-0000-0000-0000E7650000}"/>
    <cellStyle name="Normaali 3 10 2 2 3" xfId="17935" xr:uid="{00000000-0005-0000-0000-0000E8650000}"/>
    <cellStyle name="Normaali 3 10 2 2_DataIX" xfId="33713" xr:uid="{00000000-0005-0000-0000-0000E9650000}"/>
    <cellStyle name="Normaali 3 10 2 3" xfId="9833" xr:uid="{00000000-0005-0000-0000-0000EA650000}"/>
    <cellStyle name="Normaali 3 10 2 4" xfId="17934" xr:uid="{00000000-0005-0000-0000-0000EB650000}"/>
    <cellStyle name="Normaali 3 10 2_DataIX" xfId="33712" xr:uid="{00000000-0005-0000-0000-0000EC650000}"/>
    <cellStyle name="Normaali 3 10 3" xfId="4596" xr:uid="{00000000-0005-0000-0000-0000ED650000}"/>
    <cellStyle name="Normaali 3 10 3 2" xfId="4597" xr:uid="{00000000-0005-0000-0000-0000EE650000}"/>
    <cellStyle name="Normaali 3 10 3 2 2" xfId="9836" xr:uid="{00000000-0005-0000-0000-0000EF650000}"/>
    <cellStyle name="Normaali 3 10 3 2 3" xfId="17937" xr:uid="{00000000-0005-0000-0000-0000F0650000}"/>
    <cellStyle name="Normaali 3 10 3 2_DataIX" xfId="33715" xr:uid="{00000000-0005-0000-0000-0000F1650000}"/>
    <cellStyle name="Normaali 3 10 3 3" xfId="9835" xr:uid="{00000000-0005-0000-0000-0000F2650000}"/>
    <cellStyle name="Normaali 3 10 3 4" xfId="17936" xr:uid="{00000000-0005-0000-0000-0000F3650000}"/>
    <cellStyle name="Normaali 3 10 3_DataIX" xfId="33714" xr:uid="{00000000-0005-0000-0000-0000F4650000}"/>
    <cellStyle name="Normaali 3 10 4" xfId="4598" xr:uid="{00000000-0005-0000-0000-0000F5650000}"/>
    <cellStyle name="Normaali 3 10 4 2" xfId="9837" xr:uid="{00000000-0005-0000-0000-0000F6650000}"/>
    <cellStyle name="Normaali 3 10 4 3" xfId="17938" xr:uid="{00000000-0005-0000-0000-0000F7650000}"/>
    <cellStyle name="Normaali 3 10 4_DataIX" xfId="33716" xr:uid="{00000000-0005-0000-0000-0000F8650000}"/>
    <cellStyle name="Normaali 3 10 5" xfId="9832" xr:uid="{00000000-0005-0000-0000-0000F9650000}"/>
    <cellStyle name="Normaali 3 10 6" xfId="17933" xr:uid="{00000000-0005-0000-0000-0000FA650000}"/>
    <cellStyle name="Normaali 3 10_DataIX" xfId="33711" xr:uid="{00000000-0005-0000-0000-0000FB650000}"/>
    <cellStyle name="Normaali 3 11" xfId="4592" xr:uid="{00000000-0005-0000-0000-0000FC650000}"/>
    <cellStyle name="Normaali 3 11 2" xfId="9838" xr:uid="{00000000-0005-0000-0000-0000FD650000}"/>
    <cellStyle name="Normaali 3 11 3" xfId="17932" xr:uid="{00000000-0005-0000-0000-0000FE650000}"/>
    <cellStyle name="Normaali 3 11_DataIX" xfId="33717" xr:uid="{00000000-0005-0000-0000-0000FF650000}"/>
    <cellStyle name="Normaali 3 12" xfId="25016" xr:uid="{00000000-0005-0000-0000-000000660000}"/>
    <cellStyle name="Normaali 3 12 2" xfId="27653" xr:uid="{00000000-0005-0000-0000-000001660000}"/>
    <cellStyle name="Normaali 3 12 3" xfId="27745" xr:uid="{00000000-0005-0000-0000-000002660000}"/>
    <cellStyle name="Normaali 3 12 4" xfId="27830" xr:uid="{00000000-0005-0000-0000-000003660000}"/>
    <cellStyle name="Normaali 3 12_DataIX" xfId="33718" xr:uid="{00000000-0005-0000-0000-000004660000}"/>
    <cellStyle name="Normaali 3 13" xfId="25019" xr:uid="{00000000-0005-0000-0000-000005660000}"/>
    <cellStyle name="Normaali 3 13 2" xfId="27655" xr:uid="{00000000-0005-0000-0000-000006660000}"/>
    <cellStyle name="Normaali 3 13 3" xfId="27747" xr:uid="{00000000-0005-0000-0000-000007660000}"/>
    <cellStyle name="Normaali 3 13 4" xfId="27831" xr:uid="{00000000-0005-0000-0000-000008660000}"/>
    <cellStyle name="Normaali 3 13_DataIX" xfId="33719" xr:uid="{00000000-0005-0000-0000-000009660000}"/>
    <cellStyle name="Normaali 3 14" xfId="25043" xr:uid="{00000000-0005-0000-0000-00000A660000}"/>
    <cellStyle name="Normaali 3 15" xfId="25667" xr:uid="{00000000-0005-0000-0000-00000B660000}"/>
    <cellStyle name="Normaali 3 16" xfId="25744" xr:uid="{00000000-0005-0000-0000-00000C660000}"/>
    <cellStyle name="Normaali 3 17" xfId="26012" xr:uid="{00000000-0005-0000-0000-00000D660000}"/>
    <cellStyle name="Normaali 3 18" xfId="25297" xr:uid="{00000000-0005-0000-0000-00000E660000}"/>
    <cellStyle name="Normaali 3 19" xfId="25537" xr:uid="{00000000-0005-0000-0000-00000F660000}"/>
    <cellStyle name="Normaali 3 2" xfId="104" xr:uid="{00000000-0005-0000-0000-000010660000}"/>
    <cellStyle name="Normaali 3 2 10" xfId="25592" xr:uid="{00000000-0005-0000-0000-000011660000}"/>
    <cellStyle name="Normaali 3 2 2" xfId="4599" xr:uid="{00000000-0005-0000-0000-000012660000}"/>
    <cellStyle name="Normaali 3 2 2 2" xfId="9840" xr:uid="{00000000-0005-0000-0000-000013660000}"/>
    <cellStyle name="Normaali 3 2 2 3" xfId="17939" xr:uid="{00000000-0005-0000-0000-000014660000}"/>
    <cellStyle name="Normaali 3 2 2_DataIX" xfId="33720" xr:uid="{00000000-0005-0000-0000-000015660000}"/>
    <cellStyle name="Normaali 3 2 3" xfId="4600" xr:uid="{00000000-0005-0000-0000-000016660000}"/>
    <cellStyle name="Normaali 3 2 3 2" xfId="9841" xr:uid="{00000000-0005-0000-0000-000017660000}"/>
    <cellStyle name="Normaali 3 2 3 3" xfId="17940" xr:uid="{00000000-0005-0000-0000-000018660000}"/>
    <cellStyle name="Normaali 3 2 3_DataIX" xfId="33721" xr:uid="{00000000-0005-0000-0000-000019660000}"/>
    <cellStyle name="Normaali 3 2 4" xfId="25044" xr:uid="{00000000-0005-0000-0000-00001A660000}"/>
    <cellStyle name="Normaali 3 2 5" xfId="26504" xr:uid="{00000000-0005-0000-0000-00001B660000}"/>
    <cellStyle name="Normaali 3 2 6" xfId="25519" xr:uid="{00000000-0005-0000-0000-00001C660000}"/>
    <cellStyle name="Normaali 3 2 7" xfId="26329" xr:uid="{00000000-0005-0000-0000-00001D660000}"/>
    <cellStyle name="Normaali 3 2 8" xfId="25404" xr:uid="{00000000-0005-0000-0000-00001E660000}"/>
    <cellStyle name="Normaali 3 2 9" xfId="25894" xr:uid="{00000000-0005-0000-0000-00001F660000}"/>
    <cellStyle name="Normaali 3 2_##Keskeiset" xfId="9839" xr:uid="{00000000-0005-0000-0000-000020660000}"/>
    <cellStyle name="Normaali 3 20" xfId="25390" xr:uid="{00000000-0005-0000-0000-000021660000}"/>
    <cellStyle name="Normaali 3 21" xfId="25539" xr:uid="{00000000-0005-0000-0000-000022660000}"/>
    <cellStyle name="Normaali 3 22" xfId="25954" xr:uid="{00000000-0005-0000-0000-000023660000}"/>
    <cellStyle name="Normaali 3 23" xfId="25358" xr:uid="{00000000-0005-0000-0000-000024660000}"/>
    <cellStyle name="Normaali 3 24" xfId="26100" xr:uid="{00000000-0005-0000-0000-000025660000}"/>
    <cellStyle name="Normaali 3 25" xfId="26064" xr:uid="{00000000-0005-0000-0000-000026660000}"/>
    <cellStyle name="Normaali 3 26" xfId="26419" xr:uid="{00000000-0005-0000-0000-000027660000}"/>
    <cellStyle name="Normaali 3 27" xfId="25863" xr:uid="{00000000-0005-0000-0000-000028660000}"/>
    <cellStyle name="Normaali 3 28" xfId="26271" xr:uid="{00000000-0005-0000-0000-000029660000}"/>
    <cellStyle name="Normaali 3 29" xfId="25394" xr:uid="{00000000-0005-0000-0000-00002A660000}"/>
    <cellStyle name="Normaali 3 3" xfId="105" xr:uid="{00000000-0005-0000-0000-00002B660000}"/>
    <cellStyle name="Normaali 3 3 10" xfId="25732" xr:uid="{00000000-0005-0000-0000-00002C660000}"/>
    <cellStyle name="Normaali 3 3 2" xfId="4602" xr:uid="{00000000-0005-0000-0000-00002D660000}"/>
    <cellStyle name="Normaali 3 3 2 2" xfId="9843" xr:uid="{00000000-0005-0000-0000-00002E660000}"/>
    <cellStyle name="Normaali 3 3 2 3" xfId="17942" xr:uid="{00000000-0005-0000-0000-00002F660000}"/>
    <cellStyle name="Normaali 3 3 2_DataIX" xfId="33722" xr:uid="{00000000-0005-0000-0000-000030660000}"/>
    <cellStyle name="Normaali 3 3 3" xfId="4603" xr:uid="{00000000-0005-0000-0000-000031660000}"/>
    <cellStyle name="Normaali 3 3 3 2" xfId="9844" xr:uid="{00000000-0005-0000-0000-000032660000}"/>
    <cellStyle name="Normaali 3 3 3 3" xfId="17943" xr:uid="{00000000-0005-0000-0000-000033660000}"/>
    <cellStyle name="Normaali 3 3 3_DataIX" xfId="33723" xr:uid="{00000000-0005-0000-0000-000034660000}"/>
    <cellStyle name="Normaali 3 3 4" xfId="4601" xr:uid="{00000000-0005-0000-0000-000035660000}"/>
    <cellStyle name="Normaali 3 3 4 2" xfId="9845" xr:uid="{00000000-0005-0000-0000-000036660000}"/>
    <cellStyle name="Normaali 3 3 4 3" xfId="17941" xr:uid="{00000000-0005-0000-0000-000037660000}"/>
    <cellStyle name="Normaali 3 3 4_DataIX" xfId="33724" xr:uid="{00000000-0005-0000-0000-000038660000}"/>
    <cellStyle name="Normaali 3 3 5" xfId="25165" xr:uid="{00000000-0005-0000-0000-000039660000}"/>
    <cellStyle name="Normaali 3 3 6" xfId="25639" xr:uid="{00000000-0005-0000-0000-00003A660000}"/>
    <cellStyle name="Normaali 3 3 7" xfId="25766" xr:uid="{00000000-0005-0000-0000-00003B660000}"/>
    <cellStyle name="Normaali 3 3 8" xfId="25902" xr:uid="{00000000-0005-0000-0000-00003C660000}"/>
    <cellStyle name="Normaali 3 3 9" xfId="25485" xr:uid="{00000000-0005-0000-0000-00003D660000}"/>
    <cellStyle name="Normaali 3 3_##Keskeiset" xfId="9842" xr:uid="{00000000-0005-0000-0000-00003E660000}"/>
    <cellStyle name="Normaali 3 30" xfId="28498" xr:uid="{00000000-0005-0000-0000-00003F660000}"/>
    <cellStyle name="Normaali 3 31" xfId="28526" xr:uid="{00000000-0005-0000-0000-000040660000}"/>
    <cellStyle name="Normaali 3 32" xfId="28542" xr:uid="{00000000-0005-0000-0000-000041660000}"/>
    <cellStyle name="Normaali 3 4" xfId="324" xr:uid="{00000000-0005-0000-0000-000042660000}"/>
    <cellStyle name="Normaali 3 4 10" xfId="25247" xr:uid="{00000000-0005-0000-0000-000043660000}"/>
    <cellStyle name="Normaali 3 4 2" xfId="4605" xr:uid="{00000000-0005-0000-0000-000044660000}"/>
    <cellStyle name="Normaali 3 4 2 2" xfId="9847" xr:uid="{00000000-0005-0000-0000-000045660000}"/>
    <cellStyle name="Normaali 3 4 2 3" xfId="17945" xr:uid="{00000000-0005-0000-0000-000046660000}"/>
    <cellStyle name="Normaali 3 4 2_DataIX" xfId="33725" xr:uid="{00000000-0005-0000-0000-000047660000}"/>
    <cellStyle name="Normaali 3 4 3" xfId="4604" xr:uid="{00000000-0005-0000-0000-000048660000}"/>
    <cellStyle name="Normaali 3 4 3 2" xfId="9848" xr:uid="{00000000-0005-0000-0000-000049660000}"/>
    <cellStyle name="Normaali 3 4 3 3" xfId="17944" xr:uid="{00000000-0005-0000-0000-00004A660000}"/>
    <cellStyle name="Normaali 3 4 3_DataIX" xfId="33726" xr:uid="{00000000-0005-0000-0000-00004B660000}"/>
    <cellStyle name="Normaali 3 4 4" xfId="25166" xr:uid="{00000000-0005-0000-0000-00004C660000}"/>
    <cellStyle name="Normaali 3 4 5" xfId="26137" xr:uid="{00000000-0005-0000-0000-00004D660000}"/>
    <cellStyle name="Normaali 3 4 6" xfId="26347" xr:uid="{00000000-0005-0000-0000-00004E660000}"/>
    <cellStyle name="Normaali 3 4 7" xfId="25509" xr:uid="{00000000-0005-0000-0000-00004F660000}"/>
    <cellStyle name="Normaali 3 4 8" xfId="25542" xr:uid="{00000000-0005-0000-0000-000050660000}"/>
    <cellStyle name="Normaali 3 4 9" xfId="26542" xr:uid="{00000000-0005-0000-0000-000051660000}"/>
    <cellStyle name="Normaali 3 4_##Keskeiset" xfId="9846" xr:uid="{00000000-0005-0000-0000-000052660000}"/>
    <cellStyle name="Normaali 3 5" xfId="4606" xr:uid="{00000000-0005-0000-0000-000053660000}"/>
    <cellStyle name="Normaali 3 5 2" xfId="4607" xr:uid="{00000000-0005-0000-0000-000054660000}"/>
    <cellStyle name="Normaali 3 5 2 2" xfId="9850" xr:uid="{00000000-0005-0000-0000-000055660000}"/>
    <cellStyle name="Normaali 3 5 2 3" xfId="17947" xr:uid="{00000000-0005-0000-0000-000056660000}"/>
    <cellStyle name="Normaali 3 5 2_DataIX" xfId="33728" xr:uid="{00000000-0005-0000-0000-000057660000}"/>
    <cellStyle name="Normaali 3 5 3" xfId="9849" xr:uid="{00000000-0005-0000-0000-000058660000}"/>
    <cellStyle name="Normaali 3 5 4" xfId="17946" xr:uid="{00000000-0005-0000-0000-000059660000}"/>
    <cellStyle name="Normaali 3 5 5" xfId="19090" xr:uid="{00000000-0005-0000-0000-00005A660000}"/>
    <cellStyle name="Normaali 3 5_DataIX" xfId="33727" xr:uid="{00000000-0005-0000-0000-00005B660000}"/>
    <cellStyle name="Normaali 3 6" xfId="4608" xr:uid="{00000000-0005-0000-0000-00005C660000}"/>
    <cellStyle name="Normaali 3 6 2" xfId="9851" xr:uid="{00000000-0005-0000-0000-00005D660000}"/>
    <cellStyle name="Normaali 3 6 3" xfId="17948" xr:uid="{00000000-0005-0000-0000-00005E660000}"/>
    <cellStyle name="Normaali 3 6_DataIX" xfId="33729" xr:uid="{00000000-0005-0000-0000-00005F660000}"/>
    <cellStyle name="Normaali 3 7" xfId="4609" xr:uid="{00000000-0005-0000-0000-000060660000}"/>
    <cellStyle name="Normaali 3 7 2" xfId="9852" xr:uid="{00000000-0005-0000-0000-000061660000}"/>
    <cellStyle name="Normaali 3 7 3" xfId="17949" xr:uid="{00000000-0005-0000-0000-000062660000}"/>
    <cellStyle name="Normaali 3 7_DataIX" xfId="33730" xr:uid="{00000000-0005-0000-0000-000063660000}"/>
    <cellStyle name="Normaali 3 8" xfId="4610" xr:uid="{00000000-0005-0000-0000-000064660000}"/>
    <cellStyle name="Normaali 3 8 2" xfId="9853" xr:uid="{00000000-0005-0000-0000-000065660000}"/>
    <cellStyle name="Normaali 3 8 3" xfId="17950" xr:uid="{00000000-0005-0000-0000-000066660000}"/>
    <cellStyle name="Normaali 3 8_DataIX" xfId="33731" xr:uid="{00000000-0005-0000-0000-000067660000}"/>
    <cellStyle name="Normaali 3 9" xfId="4611" xr:uid="{00000000-0005-0000-0000-000068660000}"/>
    <cellStyle name="Normaali 3 9 2" xfId="9854" xr:uid="{00000000-0005-0000-0000-000069660000}"/>
    <cellStyle name="Normaali 3 9 3" xfId="17951" xr:uid="{00000000-0005-0000-0000-00006A660000}"/>
    <cellStyle name="Normaali 3 9_DataIX" xfId="33732" xr:uid="{00000000-0005-0000-0000-00006B660000}"/>
    <cellStyle name="Normaali 3_##Keskeiset" xfId="9831" xr:uid="{00000000-0005-0000-0000-00006C660000}"/>
    <cellStyle name="Normaali 30" xfId="4612" xr:uid="{00000000-0005-0000-0000-00006D660000}"/>
    <cellStyle name="Normaali 30 10" xfId="4613" xr:uid="{00000000-0005-0000-0000-00006E660000}"/>
    <cellStyle name="Normaali 30 10 2" xfId="9856" xr:uid="{00000000-0005-0000-0000-00006F660000}"/>
    <cellStyle name="Normaali 30 10 3" xfId="17953" xr:uid="{00000000-0005-0000-0000-000070660000}"/>
    <cellStyle name="Normaali 30 10_DataIX" xfId="33734" xr:uid="{00000000-0005-0000-0000-000071660000}"/>
    <cellStyle name="Normaali 30 11" xfId="9855" xr:uid="{00000000-0005-0000-0000-000072660000}"/>
    <cellStyle name="Normaali 30 12" xfId="17952" xr:uid="{00000000-0005-0000-0000-000073660000}"/>
    <cellStyle name="Normaali 30 13" xfId="19089" xr:uid="{00000000-0005-0000-0000-000074660000}"/>
    <cellStyle name="Normaali 30 2" xfId="4614" xr:uid="{00000000-0005-0000-0000-000075660000}"/>
    <cellStyle name="Normaali 30 2 2" xfId="4615" xr:uid="{00000000-0005-0000-0000-000076660000}"/>
    <cellStyle name="Normaali 30 2 2 2" xfId="9858" xr:uid="{00000000-0005-0000-0000-000077660000}"/>
    <cellStyle name="Normaali 30 2 2 3" xfId="17955" xr:uid="{00000000-0005-0000-0000-000078660000}"/>
    <cellStyle name="Normaali 30 2 2_DataIX" xfId="33736" xr:uid="{00000000-0005-0000-0000-000079660000}"/>
    <cellStyle name="Normaali 30 2 3" xfId="4616" xr:uid="{00000000-0005-0000-0000-00007A660000}"/>
    <cellStyle name="Normaali 30 2 3 2" xfId="9859" xr:uid="{00000000-0005-0000-0000-00007B660000}"/>
    <cellStyle name="Normaali 30 2 3 3" xfId="17956" xr:uid="{00000000-0005-0000-0000-00007C660000}"/>
    <cellStyle name="Normaali 30 2 3_DataIX" xfId="33737" xr:uid="{00000000-0005-0000-0000-00007D660000}"/>
    <cellStyle name="Normaali 30 2 4" xfId="4617" xr:uid="{00000000-0005-0000-0000-00007E660000}"/>
    <cellStyle name="Normaali 30 2 4 2" xfId="9860" xr:uid="{00000000-0005-0000-0000-00007F660000}"/>
    <cellStyle name="Normaali 30 2 4 3" xfId="17957" xr:uid="{00000000-0005-0000-0000-000080660000}"/>
    <cellStyle name="Normaali 30 2 4_DataIX" xfId="33738" xr:uid="{00000000-0005-0000-0000-000081660000}"/>
    <cellStyle name="Normaali 30 2 5" xfId="9857" xr:uid="{00000000-0005-0000-0000-000082660000}"/>
    <cellStyle name="Normaali 30 2 6" xfId="17954" xr:uid="{00000000-0005-0000-0000-000083660000}"/>
    <cellStyle name="Normaali 30 2_DataIX" xfId="33735" xr:uid="{00000000-0005-0000-0000-000084660000}"/>
    <cellStyle name="Normaali 30 3" xfId="4618" xr:uid="{00000000-0005-0000-0000-000085660000}"/>
    <cellStyle name="Normaali 30 3 2" xfId="4619" xr:uid="{00000000-0005-0000-0000-000086660000}"/>
    <cellStyle name="Normaali 30 3 2 2" xfId="9862" xr:uid="{00000000-0005-0000-0000-000087660000}"/>
    <cellStyle name="Normaali 30 3 2 3" xfId="17959" xr:uid="{00000000-0005-0000-0000-000088660000}"/>
    <cellStyle name="Normaali 30 3 2_DataIX" xfId="33740" xr:uid="{00000000-0005-0000-0000-000089660000}"/>
    <cellStyle name="Normaali 30 3 3" xfId="4620" xr:uid="{00000000-0005-0000-0000-00008A660000}"/>
    <cellStyle name="Normaali 30 3 3 2" xfId="9863" xr:uid="{00000000-0005-0000-0000-00008B660000}"/>
    <cellStyle name="Normaali 30 3 3 3" xfId="17960" xr:uid="{00000000-0005-0000-0000-00008C660000}"/>
    <cellStyle name="Normaali 30 3 3_DataIX" xfId="33741" xr:uid="{00000000-0005-0000-0000-00008D660000}"/>
    <cellStyle name="Normaali 30 3 4" xfId="4621" xr:uid="{00000000-0005-0000-0000-00008E660000}"/>
    <cellStyle name="Normaali 30 3 4 2" xfId="9864" xr:uid="{00000000-0005-0000-0000-00008F660000}"/>
    <cellStyle name="Normaali 30 3 4 3" xfId="17961" xr:uid="{00000000-0005-0000-0000-000090660000}"/>
    <cellStyle name="Normaali 30 3 4_DataIX" xfId="33742" xr:uid="{00000000-0005-0000-0000-000091660000}"/>
    <cellStyle name="Normaali 30 3 5" xfId="9861" xr:uid="{00000000-0005-0000-0000-000092660000}"/>
    <cellStyle name="Normaali 30 3 6" xfId="17958" xr:uid="{00000000-0005-0000-0000-000093660000}"/>
    <cellStyle name="Normaali 30 3_DataIX" xfId="33739" xr:uid="{00000000-0005-0000-0000-000094660000}"/>
    <cellStyle name="Normaali 30 4" xfId="4622" xr:uid="{00000000-0005-0000-0000-000095660000}"/>
    <cellStyle name="Normaali 30 4 2" xfId="4623" xr:uid="{00000000-0005-0000-0000-000096660000}"/>
    <cellStyle name="Normaali 30 4 2 2" xfId="9866" xr:uid="{00000000-0005-0000-0000-000097660000}"/>
    <cellStyle name="Normaali 30 4 2 3" xfId="17963" xr:uid="{00000000-0005-0000-0000-000098660000}"/>
    <cellStyle name="Normaali 30 4 2_DataIX" xfId="33744" xr:uid="{00000000-0005-0000-0000-000099660000}"/>
    <cellStyle name="Normaali 30 4 3" xfId="9865" xr:uid="{00000000-0005-0000-0000-00009A660000}"/>
    <cellStyle name="Normaali 30 4 4" xfId="17962" xr:uid="{00000000-0005-0000-0000-00009B660000}"/>
    <cellStyle name="Normaali 30 4_DataIX" xfId="33743" xr:uid="{00000000-0005-0000-0000-00009C660000}"/>
    <cellStyle name="Normaali 30 5" xfId="4624" xr:uid="{00000000-0005-0000-0000-00009D660000}"/>
    <cellStyle name="Normaali 30 5 2" xfId="9867" xr:uid="{00000000-0005-0000-0000-00009E660000}"/>
    <cellStyle name="Normaali 30 5 3" xfId="17964" xr:uid="{00000000-0005-0000-0000-00009F660000}"/>
    <cellStyle name="Normaali 30 5_DataIX" xfId="33745" xr:uid="{00000000-0005-0000-0000-0000A0660000}"/>
    <cellStyle name="Normaali 30 6" xfId="4625" xr:uid="{00000000-0005-0000-0000-0000A1660000}"/>
    <cellStyle name="Normaali 30 6 2" xfId="9868" xr:uid="{00000000-0005-0000-0000-0000A2660000}"/>
    <cellStyle name="Normaali 30 6 3" xfId="17965" xr:uid="{00000000-0005-0000-0000-0000A3660000}"/>
    <cellStyle name="Normaali 30 6_DataIX" xfId="33746" xr:uid="{00000000-0005-0000-0000-0000A4660000}"/>
    <cellStyle name="Normaali 30 7" xfId="4626" xr:uid="{00000000-0005-0000-0000-0000A5660000}"/>
    <cellStyle name="Normaali 30 7 2" xfId="9869" xr:uid="{00000000-0005-0000-0000-0000A6660000}"/>
    <cellStyle name="Normaali 30 7 3" xfId="17966" xr:uid="{00000000-0005-0000-0000-0000A7660000}"/>
    <cellStyle name="Normaali 30 7_DataIX" xfId="33747" xr:uid="{00000000-0005-0000-0000-0000A8660000}"/>
    <cellStyle name="Normaali 30 8" xfId="4627" xr:uid="{00000000-0005-0000-0000-0000A9660000}"/>
    <cellStyle name="Normaali 30 8 2" xfId="9870" xr:uid="{00000000-0005-0000-0000-0000AA660000}"/>
    <cellStyle name="Normaali 30 8 3" xfId="17967" xr:uid="{00000000-0005-0000-0000-0000AB660000}"/>
    <cellStyle name="Normaali 30 8_DataIX" xfId="33748" xr:uid="{00000000-0005-0000-0000-0000AC660000}"/>
    <cellStyle name="Normaali 30 9" xfId="4628" xr:uid="{00000000-0005-0000-0000-0000AD660000}"/>
    <cellStyle name="Normaali 30 9 2" xfId="9871" xr:uid="{00000000-0005-0000-0000-0000AE660000}"/>
    <cellStyle name="Normaali 30 9 3" xfId="17968" xr:uid="{00000000-0005-0000-0000-0000AF660000}"/>
    <cellStyle name="Normaali 30 9_DataIX" xfId="33749" xr:uid="{00000000-0005-0000-0000-0000B0660000}"/>
    <cellStyle name="Normaali 30_DataIX" xfId="33733" xr:uid="{00000000-0005-0000-0000-0000B1660000}"/>
    <cellStyle name="Normaali 31" xfId="4629" xr:uid="{00000000-0005-0000-0000-0000B2660000}"/>
    <cellStyle name="Normaali 31 2" xfId="4630" xr:uid="{00000000-0005-0000-0000-0000B3660000}"/>
    <cellStyle name="Normaali 31 2 2" xfId="4631" xr:uid="{00000000-0005-0000-0000-0000B4660000}"/>
    <cellStyle name="Normaali 31 2 2 2" xfId="9874" xr:uid="{00000000-0005-0000-0000-0000B5660000}"/>
    <cellStyle name="Normaali 31 2 2 3" xfId="17971" xr:uid="{00000000-0005-0000-0000-0000B6660000}"/>
    <cellStyle name="Normaali 31 2 2_DataIX" xfId="33752" xr:uid="{00000000-0005-0000-0000-0000B7660000}"/>
    <cellStyle name="Normaali 31 2 3" xfId="9873" xr:uid="{00000000-0005-0000-0000-0000B8660000}"/>
    <cellStyle name="Normaali 31 2 4" xfId="17970" xr:uid="{00000000-0005-0000-0000-0000B9660000}"/>
    <cellStyle name="Normaali 31 2_DataIX" xfId="33751" xr:uid="{00000000-0005-0000-0000-0000BA660000}"/>
    <cellStyle name="Normaali 31 3" xfId="4632" xr:uid="{00000000-0005-0000-0000-0000BB660000}"/>
    <cellStyle name="Normaali 31 3 2" xfId="9875" xr:uid="{00000000-0005-0000-0000-0000BC660000}"/>
    <cellStyle name="Normaali 31 3 3" xfId="17972" xr:uid="{00000000-0005-0000-0000-0000BD660000}"/>
    <cellStyle name="Normaali 31 3_DataIX" xfId="33753" xr:uid="{00000000-0005-0000-0000-0000BE660000}"/>
    <cellStyle name="Normaali 31 4" xfId="9872" xr:uid="{00000000-0005-0000-0000-0000BF660000}"/>
    <cellStyle name="Normaali 31 5" xfId="17969" xr:uid="{00000000-0005-0000-0000-0000C0660000}"/>
    <cellStyle name="Normaali 31 6" xfId="20567" xr:uid="{00000000-0005-0000-0000-0000C1660000}"/>
    <cellStyle name="Normaali 31_DataIX" xfId="33750" xr:uid="{00000000-0005-0000-0000-0000C2660000}"/>
    <cellStyle name="Normaali 32" xfId="4633" xr:uid="{00000000-0005-0000-0000-0000C3660000}"/>
    <cellStyle name="Normaali 32 10" xfId="4634" xr:uid="{00000000-0005-0000-0000-0000C4660000}"/>
    <cellStyle name="Normaali 32 10 2" xfId="9877" xr:uid="{00000000-0005-0000-0000-0000C5660000}"/>
    <cellStyle name="Normaali 32 10 3" xfId="17974" xr:uid="{00000000-0005-0000-0000-0000C6660000}"/>
    <cellStyle name="Normaali 32 10_DataIX" xfId="33755" xr:uid="{00000000-0005-0000-0000-0000C7660000}"/>
    <cellStyle name="Normaali 32 11" xfId="9876" xr:uid="{00000000-0005-0000-0000-0000C8660000}"/>
    <cellStyle name="Normaali 32 12" xfId="17973" xr:uid="{00000000-0005-0000-0000-0000C9660000}"/>
    <cellStyle name="Normaali 32 13" xfId="20566" xr:uid="{00000000-0005-0000-0000-0000CA660000}"/>
    <cellStyle name="Normaali 32 2" xfId="4635" xr:uid="{00000000-0005-0000-0000-0000CB660000}"/>
    <cellStyle name="Normaali 32 2 2" xfId="4636" xr:uid="{00000000-0005-0000-0000-0000CC660000}"/>
    <cellStyle name="Normaali 32 2 2 2" xfId="9879" xr:uid="{00000000-0005-0000-0000-0000CD660000}"/>
    <cellStyle name="Normaali 32 2 2 3" xfId="17976" xr:uid="{00000000-0005-0000-0000-0000CE660000}"/>
    <cellStyle name="Normaali 32 2 2_DataIX" xfId="33757" xr:uid="{00000000-0005-0000-0000-0000CF660000}"/>
    <cellStyle name="Normaali 32 2 3" xfId="4637" xr:uid="{00000000-0005-0000-0000-0000D0660000}"/>
    <cellStyle name="Normaali 32 2 3 2" xfId="9880" xr:uid="{00000000-0005-0000-0000-0000D1660000}"/>
    <cellStyle name="Normaali 32 2 3 3" xfId="17977" xr:uid="{00000000-0005-0000-0000-0000D2660000}"/>
    <cellStyle name="Normaali 32 2 3_DataIX" xfId="33758" xr:uid="{00000000-0005-0000-0000-0000D3660000}"/>
    <cellStyle name="Normaali 32 2 4" xfId="4638" xr:uid="{00000000-0005-0000-0000-0000D4660000}"/>
    <cellStyle name="Normaali 32 2 4 2" xfId="9881" xr:uid="{00000000-0005-0000-0000-0000D5660000}"/>
    <cellStyle name="Normaali 32 2 4 3" xfId="17978" xr:uid="{00000000-0005-0000-0000-0000D6660000}"/>
    <cellStyle name="Normaali 32 2 4_DataIX" xfId="33759" xr:uid="{00000000-0005-0000-0000-0000D7660000}"/>
    <cellStyle name="Normaali 32 2 5" xfId="9878" xr:uid="{00000000-0005-0000-0000-0000D8660000}"/>
    <cellStyle name="Normaali 32 2 6" xfId="17975" xr:uid="{00000000-0005-0000-0000-0000D9660000}"/>
    <cellStyle name="Normaali 32 2_DataIX" xfId="33756" xr:uid="{00000000-0005-0000-0000-0000DA660000}"/>
    <cellStyle name="Normaali 32 3" xfId="4639" xr:uid="{00000000-0005-0000-0000-0000DB660000}"/>
    <cellStyle name="Normaali 32 3 2" xfId="4640" xr:uid="{00000000-0005-0000-0000-0000DC660000}"/>
    <cellStyle name="Normaali 32 3 2 2" xfId="9883" xr:uid="{00000000-0005-0000-0000-0000DD660000}"/>
    <cellStyle name="Normaali 32 3 2 3" xfId="17980" xr:uid="{00000000-0005-0000-0000-0000DE660000}"/>
    <cellStyle name="Normaali 32 3 2_DataIX" xfId="33761" xr:uid="{00000000-0005-0000-0000-0000DF660000}"/>
    <cellStyle name="Normaali 32 3 3" xfId="4641" xr:uid="{00000000-0005-0000-0000-0000E0660000}"/>
    <cellStyle name="Normaali 32 3 3 2" xfId="9884" xr:uid="{00000000-0005-0000-0000-0000E1660000}"/>
    <cellStyle name="Normaali 32 3 3 3" xfId="17981" xr:uid="{00000000-0005-0000-0000-0000E2660000}"/>
    <cellStyle name="Normaali 32 3 3_DataIX" xfId="33762" xr:uid="{00000000-0005-0000-0000-0000E3660000}"/>
    <cellStyle name="Normaali 32 3 4" xfId="4642" xr:uid="{00000000-0005-0000-0000-0000E4660000}"/>
    <cellStyle name="Normaali 32 3 4 2" xfId="9885" xr:uid="{00000000-0005-0000-0000-0000E5660000}"/>
    <cellStyle name="Normaali 32 3 4 3" xfId="17982" xr:uid="{00000000-0005-0000-0000-0000E6660000}"/>
    <cellStyle name="Normaali 32 3 4_DataIX" xfId="33763" xr:uid="{00000000-0005-0000-0000-0000E7660000}"/>
    <cellStyle name="Normaali 32 3 5" xfId="9882" xr:uid="{00000000-0005-0000-0000-0000E8660000}"/>
    <cellStyle name="Normaali 32 3 6" xfId="17979" xr:uid="{00000000-0005-0000-0000-0000E9660000}"/>
    <cellStyle name="Normaali 32 3_DataIX" xfId="33760" xr:uid="{00000000-0005-0000-0000-0000EA660000}"/>
    <cellStyle name="Normaali 32 4" xfId="4643" xr:uid="{00000000-0005-0000-0000-0000EB660000}"/>
    <cellStyle name="Normaali 32 4 2" xfId="4644" xr:uid="{00000000-0005-0000-0000-0000EC660000}"/>
    <cellStyle name="Normaali 32 4 2 2" xfId="9887" xr:uid="{00000000-0005-0000-0000-0000ED660000}"/>
    <cellStyle name="Normaali 32 4 2 3" xfId="17984" xr:uid="{00000000-0005-0000-0000-0000EE660000}"/>
    <cellStyle name="Normaali 32 4 2_DataIX" xfId="33765" xr:uid="{00000000-0005-0000-0000-0000EF660000}"/>
    <cellStyle name="Normaali 32 4 3" xfId="9886" xr:uid="{00000000-0005-0000-0000-0000F0660000}"/>
    <cellStyle name="Normaali 32 4 4" xfId="17983" xr:uid="{00000000-0005-0000-0000-0000F1660000}"/>
    <cellStyle name="Normaali 32 4_DataIX" xfId="33764" xr:uid="{00000000-0005-0000-0000-0000F2660000}"/>
    <cellStyle name="Normaali 32 5" xfId="4645" xr:uid="{00000000-0005-0000-0000-0000F3660000}"/>
    <cellStyle name="Normaali 32 5 2" xfId="9888" xr:uid="{00000000-0005-0000-0000-0000F4660000}"/>
    <cellStyle name="Normaali 32 5 3" xfId="17985" xr:uid="{00000000-0005-0000-0000-0000F5660000}"/>
    <cellStyle name="Normaali 32 5_DataIX" xfId="33766" xr:uid="{00000000-0005-0000-0000-0000F6660000}"/>
    <cellStyle name="Normaali 32 6" xfId="4646" xr:uid="{00000000-0005-0000-0000-0000F7660000}"/>
    <cellStyle name="Normaali 32 6 2" xfId="9889" xr:uid="{00000000-0005-0000-0000-0000F8660000}"/>
    <cellStyle name="Normaali 32 6 3" xfId="17986" xr:uid="{00000000-0005-0000-0000-0000F9660000}"/>
    <cellStyle name="Normaali 32 6_DataIX" xfId="33767" xr:uid="{00000000-0005-0000-0000-0000FA660000}"/>
    <cellStyle name="Normaali 32 7" xfId="4647" xr:uid="{00000000-0005-0000-0000-0000FB660000}"/>
    <cellStyle name="Normaali 32 7 2" xfId="9890" xr:uid="{00000000-0005-0000-0000-0000FC660000}"/>
    <cellStyle name="Normaali 32 7 3" xfId="17987" xr:uid="{00000000-0005-0000-0000-0000FD660000}"/>
    <cellStyle name="Normaali 32 7_DataIX" xfId="33768" xr:uid="{00000000-0005-0000-0000-0000FE660000}"/>
    <cellStyle name="Normaali 32 8" xfId="4648" xr:uid="{00000000-0005-0000-0000-0000FF660000}"/>
    <cellStyle name="Normaali 32 8 2" xfId="9891" xr:uid="{00000000-0005-0000-0000-000000670000}"/>
    <cellStyle name="Normaali 32 8 3" xfId="17988" xr:uid="{00000000-0005-0000-0000-000001670000}"/>
    <cellStyle name="Normaali 32 8_DataIX" xfId="33769" xr:uid="{00000000-0005-0000-0000-000002670000}"/>
    <cellStyle name="Normaali 32 9" xfId="4649" xr:uid="{00000000-0005-0000-0000-000003670000}"/>
    <cellStyle name="Normaali 32 9 2" xfId="9892" xr:uid="{00000000-0005-0000-0000-000004670000}"/>
    <cellStyle name="Normaali 32 9 3" xfId="17989" xr:uid="{00000000-0005-0000-0000-000005670000}"/>
    <cellStyle name="Normaali 32 9_DataIX" xfId="33770" xr:uid="{00000000-0005-0000-0000-000006670000}"/>
    <cellStyle name="Normaali 32_DataIX" xfId="33754" xr:uid="{00000000-0005-0000-0000-000007670000}"/>
    <cellStyle name="Normaali 33" xfId="4650" xr:uid="{00000000-0005-0000-0000-000008670000}"/>
    <cellStyle name="Normaali 33 2" xfId="4651" xr:uid="{00000000-0005-0000-0000-000009670000}"/>
    <cellStyle name="Normaali 33 2 2" xfId="4652" xr:uid="{00000000-0005-0000-0000-00000A670000}"/>
    <cellStyle name="Normaali 33 2 2 2" xfId="9895" xr:uid="{00000000-0005-0000-0000-00000B670000}"/>
    <cellStyle name="Normaali 33 2 2 3" xfId="17992" xr:uid="{00000000-0005-0000-0000-00000C670000}"/>
    <cellStyle name="Normaali 33 2 2_DataIX" xfId="33773" xr:uid="{00000000-0005-0000-0000-00000D670000}"/>
    <cellStyle name="Normaali 33 2 3" xfId="9894" xr:uid="{00000000-0005-0000-0000-00000E670000}"/>
    <cellStyle name="Normaali 33 2 4" xfId="17991" xr:uid="{00000000-0005-0000-0000-00000F670000}"/>
    <cellStyle name="Normaali 33 2_DataIX" xfId="33772" xr:uid="{00000000-0005-0000-0000-000010670000}"/>
    <cellStyle name="Normaali 33 3" xfId="4653" xr:uid="{00000000-0005-0000-0000-000011670000}"/>
    <cellStyle name="Normaali 33 3 2" xfId="9896" xr:uid="{00000000-0005-0000-0000-000012670000}"/>
    <cellStyle name="Normaali 33 3 3" xfId="17993" xr:uid="{00000000-0005-0000-0000-000013670000}"/>
    <cellStyle name="Normaali 33 3_DataIX" xfId="33774" xr:uid="{00000000-0005-0000-0000-000014670000}"/>
    <cellStyle name="Normaali 33 4" xfId="9893" xr:uid="{00000000-0005-0000-0000-000015670000}"/>
    <cellStyle name="Normaali 33 5" xfId="17990" xr:uid="{00000000-0005-0000-0000-000016670000}"/>
    <cellStyle name="Normaali 33 6" xfId="19088" xr:uid="{00000000-0005-0000-0000-000017670000}"/>
    <cellStyle name="Normaali 33_DataIX" xfId="33771" xr:uid="{00000000-0005-0000-0000-000018670000}"/>
    <cellStyle name="Normaali 34" xfId="5292" xr:uid="{00000000-0005-0000-0000-000019670000}"/>
    <cellStyle name="Normaali 34 2" xfId="4654" xr:uid="{00000000-0005-0000-0000-00001A670000}"/>
    <cellStyle name="Normaali 34 2 2" xfId="4655" xr:uid="{00000000-0005-0000-0000-00001B670000}"/>
    <cellStyle name="Normaali 34 2 2 2" xfId="9899" xr:uid="{00000000-0005-0000-0000-00001C670000}"/>
    <cellStyle name="Normaali 34 2 2 3" xfId="17995" xr:uid="{00000000-0005-0000-0000-00001D670000}"/>
    <cellStyle name="Normaali 34 2 2_DataIX" xfId="33777" xr:uid="{00000000-0005-0000-0000-00001E670000}"/>
    <cellStyle name="Normaali 34 2 3" xfId="9898" xr:uid="{00000000-0005-0000-0000-00001F670000}"/>
    <cellStyle name="Normaali 34 2 4" xfId="17994" xr:uid="{00000000-0005-0000-0000-000020670000}"/>
    <cellStyle name="Normaali 34 2_DataIX" xfId="33776" xr:uid="{00000000-0005-0000-0000-000021670000}"/>
    <cellStyle name="Normaali 34 3" xfId="4656" xr:uid="{00000000-0005-0000-0000-000022670000}"/>
    <cellStyle name="Normaali 34 3 2" xfId="9900" xr:uid="{00000000-0005-0000-0000-000023670000}"/>
    <cellStyle name="Normaali 34 3 3" xfId="17996" xr:uid="{00000000-0005-0000-0000-000024670000}"/>
    <cellStyle name="Normaali 34 3_DataIX" xfId="33778" xr:uid="{00000000-0005-0000-0000-000025670000}"/>
    <cellStyle name="Normaali 34 4" xfId="9897" xr:uid="{00000000-0005-0000-0000-000026670000}"/>
    <cellStyle name="Normaali 34 5" xfId="18616" xr:uid="{00000000-0005-0000-0000-000027670000}"/>
    <cellStyle name="Normaali 34 6" xfId="20502" xr:uid="{00000000-0005-0000-0000-000028670000}"/>
    <cellStyle name="Normaali 34_DataIX" xfId="33775" xr:uid="{00000000-0005-0000-0000-000029670000}"/>
    <cellStyle name="Normaali 35" xfId="5296" xr:uid="{00000000-0005-0000-0000-00002A670000}"/>
    <cellStyle name="Normaali 35 2" xfId="4657" xr:uid="{00000000-0005-0000-0000-00002B670000}"/>
    <cellStyle name="Normaali 35 2 2" xfId="9902" xr:uid="{00000000-0005-0000-0000-00002C670000}"/>
    <cellStyle name="Normaali 35 2 3" xfId="17997" xr:uid="{00000000-0005-0000-0000-00002D670000}"/>
    <cellStyle name="Normaali 35 2_DataIX" xfId="33780" xr:uid="{00000000-0005-0000-0000-00002E670000}"/>
    <cellStyle name="Normaali 35 3" xfId="9901" xr:uid="{00000000-0005-0000-0000-00002F670000}"/>
    <cellStyle name="Normaali 35 4" xfId="18620" xr:uid="{00000000-0005-0000-0000-000030670000}"/>
    <cellStyle name="Normaali 35 5" xfId="19022" xr:uid="{00000000-0005-0000-0000-000031670000}"/>
    <cellStyle name="Normaali 35_DataIX" xfId="33779" xr:uid="{00000000-0005-0000-0000-000032670000}"/>
    <cellStyle name="Normaali 36" xfId="5297" xr:uid="{00000000-0005-0000-0000-000033670000}"/>
    <cellStyle name="Normaali 36 2" xfId="4658" xr:uid="{00000000-0005-0000-0000-000034670000}"/>
    <cellStyle name="Normaali 36 2 2" xfId="4659" xr:uid="{00000000-0005-0000-0000-000035670000}"/>
    <cellStyle name="Normaali 36 2 2 2" xfId="9905" xr:uid="{00000000-0005-0000-0000-000036670000}"/>
    <cellStyle name="Normaali 36 2 2 3" xfId="17999" xr:uid="{00000000-0005-0000-0000-000037670000}"/>
    <cellStyle name="Normaali 36 2 2_DataIX" xfId="33783" xr:uid="{00000000-0005-0000-0000-000038670000}"/>
    <cellStyle name="Normaali 36 2 3" xfId="9904" xr:uid="{00000000-0005-0000-0000-000039670000}"/>
    <cellStyle name="Normaali 36 2 4" xfId="17998" xr:uid="{00000000-0005-0000-0000-00003A670000}"/>
    <cellStyle name="Normaali 36 2_DataIX" xfId="33782" xr:uid="{00000000-0005-0000-0000-00003B670000}"/>
    <cellStyle name="Normaali 36 3" xfId="4660" xr:uid="{00000000-0005-0000-0000-00003C670000}"/>
    <cellStyle name="Normaali 36 3 2" xfId="9906" xr:uid="{00000000-0005-0000-0000-00003D670000}"/>
    <cellStyle name="Normaali 36 3 3" xfId="18000" xr:uid="{00000000-0005-0000-0000-00003E670000}"/>
    <cellStyle name="Normaali 36 3_DataIX" xfId="33784" xr:uid="{00000000-0005-0000-0000-00003F670000}"/>
    <cellStyle name="Normaali 36 4" xfId="9903" xr:uid="{00000000-0005-0000-0000-000040670000}"/>
    <cellStyle name="Normaali 36 5" xfId="18621" xr:uid="{00000000-0005-0000-0000-000041670000}"/>
    <cellStyle name="Normaali 36 6" xfId="20501" xr:uid="{00000000-0005-0000-0000-000042670000}"/>
    <cellStyle name="Normaali 36_DataIX" xfId="33781" xr:uid="{00000000-0005-0000-0000-000043670000}"/>
    <cellStyle name="Normaali 37" xfId="5298" xr:uid="{00000000-0005-0000-0000-000044670000}"/>
    <cellStyle name="Normaali 37 2" xfId="4661" xr:uid="{00000000-0005-0000-0000-000045670000}"/>
    <cellStyle name="Normaali 37 2 2" xfId="4662" xr:uid="{00000000-0005-0000-0000-000046670000}"/>
    <cellStyle name="Normaali 37 2 2 2" xfId="9909" xr:uid="{00000000-0005-0000-0000-000047670000}"/>
    <cellStyle name="Normaali 37 2 2 3" xfId="18002" xr:uid="{00000000-0005-0000-0000-000048670000}"/>
    <cellStyle name="Normaali 37 2 2_DataIX" xfId="33787" xr:uid="{00000000-0005-0000-0000-000049670000}"/>
    <cellStyle name="Normaali 37 2 3" xfId="9908" xr:uid="{00000000-0005-0000-0000-00004A670000}"/>
    <cellStyle name="Normaali 37 2 4" xfId="18001" xr:uid="{00000000-0005-0000-0000-00004B670000}"/>
    <cellStyle name="Normaali 37 2_DataIX" xfId="33786" xr:uid="{00000000-0005-0000-0000-00004C670000}"/>
    <cellStyle name="Normaali 37 3" xfId="4663" xr:uid="{00000000-0005-0000-0000-00004D670000}"/>
    <cellStyle name="Normaali 37 3 2" xfId="9910" xr:uid="{00000000-0005-0000-0000-00004E670000}"/>
    <cellStyle name="Normaali 37 3 3" xfId="18003" xr:uid="{00000000-0005-0000-0000-00004F670000}"/>
    <cellStyle name="Normaali 37 3_DataIX" xfId="33788" xr:uid="{00000000-0005-0000-0000-000050670000}"/>
    <cellStyle name="Normaali 37 4" xfId="9907" xr:uid="{00000000-0005-0000-0000-000051670000}"/>
    <cellStyle name="Normaali 37 5" xfId="18622" xr:uid="{00000000-0005-0000-0000-000052670000}"/>
    <cellStyle name="Normaali 37 6" xfId="19021" xr:uid="{00000000-0005-0000-0000-000053670000}"/>
    <cellStyle name="Normaali 37_DataIX" xfId="33785" xr:uid="{00000000-0005-0000-0000-000054670000}"/>
    <cellStyle name="Normaali 38" xfId="10636" xr:uid="{00000000-0005-0000-0000-000055670000}"/>
    <cellStyle name="Normaali 38 2" xfId="4664" xr:uid="{00000000-0005-0000-0000-000056670000}"/>
    <cellStyle name="Normaali 38 2 2" xfId="4665" xr:uid="{00000000-0005-0000-0000-000057670000}"/>
    <cellStyle name="Normaali 38 2 2 2" xfId="9912" xr:uid="{00000000-0005-0000-0000-000058670000}"/>
    <cellStyle name="Normaali 38 2 2 3" xfId="18005" xr:uid="{00000000-0005-0000-0000-000059670000}"/>
    <cellStyle name="Normaali 38 2 2_DataIX" xfId="33790" xr:uid="{00000000-0005-0000-0000-00005A670000}"/>
    <cellStyle name="Normaali 38 2 3" xfId="9911" xr:uid="{00000000-0005-0000-0000-00005B670000}"/>
    <cellStyle name="Normaali 38 2 4" xfId="18004" xr:uid="{00000000-0005-0000-0000-00005C670000}"/>
    <cellStyle name="Normaali 38 2_DataIX" xfId="33789" xr:uid="{00000000-0005-0000-0000-00005D670000}"/>
    <cellStyle name="Normaali 38 3" xfId="24979" xr:uid="{00000000-0005-0000-0000-00005E670000}"/>
    <cellStyle name="Normaali 38 3 2" xfId="27651" xr:uid="{00000000-0005-0000-0000-00005F670000}"/>
    <cellStyle name="Normaali 38 3 3" xfId="27743" xr:uid="{00000000-0005-0000-0000-000060670000}"/>
    <cellStyle name="Normaali 38 3 4" xfId="27829" xr:uid="{00000000-0005-0000-0000-000061670000}"/>
    <cellStyle name="Normaali 38 3_DataIX" xfId="33791" xr:uid="{00000000-0005-0000-0000-000062670000}"/>
    <cellStyle name="Normaali 38 4" xfId="23163" xr:uid="{00000000-0005-0000-0000-000063670000}"/>
    <cellStyle name="Normaali 38 4 2" xfId="27646" xr:uid="{00000000-0005-0000-0000-000064670000}"/>
    <cellStyle name="Normaali 38 4 3" xfId="27738" xr:uid="{00000000-0005-0000-0000-000065670000}"/>
    <cellStyle name="Normaali 38 4 4" xfId="27814" xr:uid="{00000000-0005-0000-0000-000066670000}"/>
    <cellStyle name="Normaali 38 4_DataIX" xfId="33792" xr:uid="{00000000-0005-0000-0000-000067670000}"/>
    <cellStyle name="Normaali 38 5" xfId="24955" xr:uid="{00000000-0005-0000-0000-000068670000}"/>
    <cellStyle name="Normaali 38 5 2" xfId="27650" xr:uid="{00000000-0005-0000-0000-000069670000}"/>
    <cellStyle name="Normaali 38 5 3" xfId="27742" xr:uid="{00000000-0005-0000-0000-00006A670000}"/>
    <cellStyle name="Normaali 38 5 4" xfId="27828" xr:uid="{00000000-0005-0000-0000-00006B670000}"/>
    <cellStyle name="Normaali 38 5_DataIX" xfId="33793" xr:uid="{00000000-0005-0000-0000-00006C670000}"/>
    <cellStyle name="Normaali 38 6" xfId="23171" xr:uid="{00000000-0005-0000-0000-00006D670000}"/>
    <cellStyle name="Normaali 38 6 2" xfId="27647" xr:uid="{00000000-0005-0000-0000-00006E670000}"/>
    <cellStyle name="Normaali 38 6 3" xfId="27739" xr:uid="{00000000-0005-0000-0000-00006F670000}"/>
    <cellStyle name="Normaali 38 6 4" xfId="27815" xr:uid="{00000000-0005-0000-0000-000070670000}"/>
    <cellStyle name="Normaali 38 6_DataIX" xfId="33794" xr:uid="{00000000-0005-0000-0000-000071670000}"/>
    <cellStyle name="Normaali 38 7" xfId="24943" xr:uid="{00000000-0005-0000-0000-000072670000}"/>
    <cellStyle name="Normaali 38 7 2" xfId="27649" xr:uid="{00000000-0005-0000-0000-000073670000}"/>
    <cellStyle name="Normaali 38 7 3" xfId="27741" xr:uid="{00000000-0005-0000-0000-000074670000}"/>
    <cellStyle name="Normaali 38 7 4" xfId="27827" xr:uid="{00000000-0005-0000-0000-000075670000}"/>
    <cellStyle name="Normaali 38 7_DataIX" xfId="33795" xr:uid="{00000000-0005-0000-0000-000076670000}"/>
    <cellStyle name="Normaali 38 8" xfId="23180" xr:uid="{00000000-0005-0000-0000-000077670000}"/>
    <cellStyle name="Normaali 38 8 2" xfId="27648" xr:uid="{00000000-0005-0000-0000-000078670000}"/>
    <cellStyle name="Normaali 38 8 3" xfId="27740" xr:uid="{00000000-0005-0000-0000-000079670000}"/>
    <cellStyle name="Normaali 38 8 4" xfId="27816" xr:uid="{00000000-0005-0000-0000-00007A670000}"/>
    <cellStyle name="Normaali 38 8_DataIX" xfId="33796" xr:uid="{00000000-0005-0000-0000-00007B670000}"/>
    <cellStyle name="Normaali 38 9" xfId="27756" xr:uid="{00000000-0005-0000-0000-00007C670000}"/>
    <cellStyle name="Normaali 38_060617_hinnat" xfId="24980" xr:uid="{00000000-0005-0000-0000-00007D670000}"/>
    <cellStyle name="Normaali 39" xfId="10638" xr:uid="{00000000-0005-0000-0000-00007E670000}"/>
    <cellStyle name="Normaali 39 10" xfId="27744" xr:uid="{00000000-0005-0000-0000-00007F670000}"/>
    <cellStyle name="Normaali 39 2" xfId="4666" xr:uid="{00000000-0005-0000-0000-000080670000}"/>
    <cellStyle name="Normaali 39 2 2" xfId="4667" xr:uid="{00000000-0005-0000-0000-000081670000}"/>
    <cellStyle name="Normaali 39 2 2 2" xfId="9914" xr:uid="{00000000-0005-0000-0000-000082670000}"/>
    <cellStyle name="Normaali 39 2 2 3" xfId="18007" xr:uid="{00000000-0005-0000-0000-000083670000}"/>
    <cellStyle name="Normaali 39 2 2_DataIX" xfId="33799" xr:uid="{00000000-0005-0000-0000-000084670000}"/>
    <cellStyle name="Normaali 39 2 3" xfId="9913" xr:uid="{00000000-0005-0000-0000-000085670000}"/>
    <cellStyle name="Normaali 39 2 4" xfId="18006" xr:uid="{00000000-0005-0000-0000-000086670000}"/>
    <cellStyle name="Normaali 39 2_DataIX" xfId="33798" xr:uid="{00000000-0005-0000-0000-000087670000}"/>
    <cellStyle name="Normaali 39 3" xfId="4668" xr:uid="{00000000-0005-0000-0000-000088670000}"/>
    <cellStyle name="Normaali 39 3 2" xfId="9915" xr:uid="{00000000-0005-0000-0000-000089670000}"/>
    <cellStyle name="Normaali 39 3 3" xfId="18008" xr:uid="{00000000-0005-0000-0000-00008A670000}"/>
    <cellStyle name="Normaali 39 3_DataIX" xfId="33800" xr:uid="{00000000-0005-0000-0000-00008B670000}"/>
    <cellStyle name="Normaali 39 4" xfId="25015" xr:uid="{00000000-0005-0000-0000-00008C670000}"/>
    <cellStyle name="Normaali 39 5" xfId="26902" xr:uid="{00000000-0005-0000-0000-00008D670000}"/>
    <cellStyle name="Normaali 39 6" xfId="22760" xr:uid="{00000000-0005-0000-0000-00008E670000}"/>
    <cellStyle name="Normaali 39 7" xfId="22914" xr:uid="{00000000-0005-0000-0000-00008F670000}"/>
    <cellStyle name="Normaali 39 8" xfId="27467" xr:uid="{00000000-0005-0000-0000-000090670000}"/>
    <cellStyle name="Normaali 39 9" xfId="27652" xr:uid="{00000000-0005-0000-0000-000091670000}"/>
    <cellStyle name="Normaali 39_DataIX" xfId="33797" xr:uid="{00000000-0005-0000-0000-000092670000}"/>
    <cellStyle name="Normaali 4" xfId="106" xr:uid="{00000000-0005-0000-0000-000093670000}"/>
    <cellStyle name="Normaali 4 10" xfId="4670" xr:uid="{00000000-0005-0000-0000-000094670000}"/>
    <cellStyle name="Normaali 4 10 2" xfId="9917" xr:uid="{00000000-0005-0000-0000-000095670000}"/>
    <cellStyle name="Normaali 4 10 3" xfId="18010" xr:uid="{00000000-0005-0000-0000-000096670000}"/>
    <cellStyle name="Normaali 4 10_DataIX" xfId="33801" xr:uid="{00000000-0005-0000-0000-000097670000}"/>
    <cellStyle name="Normaali 4 11" xfId="4671" xr:uid="{00000000-0005-0000-0000-000098670000}"/>
    <cellStyle name="Normaali 4 11 2" xfId="4672" xr:uid="{00000000-0005-0000-0000-000099670000}"/>
    <cellStyle name="Normaali 4 11 2 2" xfId="9919" xr:uid="{00000000-0005-0000-0000-00009A670000}"/>
    <cellStyle name="Normaali 4 11 2 3" xfId="18012" xr:uid="{00000000-0005-0000-0000-00009B670000}"/>
    <cellStyle name="Normaali 4 11 2_DataIX" xfId="33803" xr:uid="{00000000-0005-0000-0000-00009C670000}"/>
    <cellStyle name="Normaali 4 11 3" xfId="9918" xr:uid="{00000000-0005-0000-0000-00009D670000}"/>
    <cellStyle name="Normaali 4 11 4" xfId="18011" xr:uid="{00000000-0005-0000-0000-00009E670000}"/>
    <cellStyle name="Normaali 4 11_DataIX" xfId="33802" xr:uid="{00000000-0005-0000-0000-00009F670000}"/>
    <cellStyle name="Normaali 4 12" xfId="4673" xr:uid="{00000000-0005-0000-0000-0000A0670000}"/>
    <cellStyle name="Normaali 4 12 2" xfId="9920" xr:uid="{00000000-0005-0000-0000-0000A1670000}"/>
    <cellStyle name="Normaali 4 12 3" xfId="18013" xr:uid="{00000000-0005-0000-0000-0000A2670000}"/>
    <cellStyle name="Normaali 4 12_DataIX" xfId="33804" xr:uid="{00000000-0005-0000-0000-0000A3670000}"/>
    <cellStyle name="Normaali 4 13" xfId="4674" xr:uid="{00000000-0005-0000-0000-0000A4670000}"/>
    <cellStyle name="Normaali 4 13 2" xfId="9921" xr:uid="{00000000-0005-0000-0000-0000A5670000}"/>
    <cellStyle name="Normaali 4 13 3" xfId="18014" xr:uid="{00000000-0005-0000-0000-0000A6670000}"/>
    <cellStyle name="Normaali 4 13_DataIX" xfId="33805" xr:uid="{00000000-0005-0000-0000-0000A7670000}"/>
    <cellStyle name="Normaali 4 14" xfId="4675" xr:uid="{00000000-0005-0000-0000-0000A8670000}"/>
    <cellStyle name="Normaali 4 14 2" xfId="9922" xr:uid="{00000000-0005-0000-0000-0000A9670000}"/>
    <cellStyle name="Normaali 4 14 3" xfId="18015" xr:uid="{00000000-0005-0000-0000-0000AA670000}"/>
    <cellStyle name="Normaali 4 14_DataIX" xfId="33806" xr:uid="{00000000-0005-0000-0000-0000AB670000}"/>
    <cellStyle name="Normaali 4 15" xfId="4676" xr:uid="{00000000-0005-0000-0000-0000AC670000}"/>
    <cellStyle name="Normaali 4 15 2" xfId="9923" xr:uid="{00000000-0005-0000-0000-0000AD670000}"/>
    <cellStyle name="Normaali 4 15 3" xfId="18016" xr:uid="{00000000-0005-0000-0000-0000AE670000}"/>
    <cellStyle name="Normaali 4 15_DataIX" xfId="33807" xr:uid="{00000000-0005-0000-0000-0000AF670000}"/>
    <cellStyle name="Normaali 4 16" xfId="4677" xr:uid="{00000000-0005-0000-0000-0000B0670000}"/>
    <cellStyle name="Normaali 4 16 2" xfId="9924" xr:uid="{00000000-0005-0000-0000-0000B1670000}"/>
    <cellStyle name="Normaali 4 16 3" xfId="18017" xr:uid="{00000000-0005-0000-0000-0000B2670000}"/>
    <cellStyle name="Normaali 4 16_DataIX" xfId="33808" xr:uid="{00000000-0005-0000-0000-0000B3670000}"/>
    <cellStyle name="Normaali 4 17" xfId="4678" xr:uid="{00000000-0005-0000-0000-0000B4670000}"/>
    <cellStyle name="Normaali 4 17 2" xfId="9925" xr:uid="{00000000-0005-0000-0000-0000B5670000}"/>
    <cellStyle name="Normaali 4 17 3" xfId="18018" xr:uid="{00000000-0005-0000-0000-0000B6670000}"/>
    <cellStyle name="Normaali 4 17_DataIX" xfId="33809" xr:uid="{00000000-0005-0000-0000-0000B7670000}"/>
    <cellStyle name="Normaali 4 18" xfId="4679" xr:uid="{00000000-0005-0000-0000-0000B8670000}"/>
    <cellStyle name="Normaali 4 18 2" xfId="9926" xr:uid="{00000000-0005-0000-0000-0000B9670000}"/>
    <cellStyle name="Normaali 4 18 3" xfId="18019" xr:uid="{00000000-0005-0000-0000-0000BA670000}"/>
    <cellStyle name="Normaali 4 18_DataIX" xfId="33810" xr:uid="{00000000-0005-0000-0000-0000BB670000}"/>
    <cellStyle name="Normaali 4 19" xfId="4680" xr:uid="{00000000-0005-0000-0000-0000BC670000}"/>
    <cellStyle name="Normaali 4 19 2" xfId="9927" xr:uid="{00000000-0005-0000-0000-0000BD670000}"/>
    <cellStyle name="Normaali 4 19 3" xfId="18020" xr:uid="{00000000-0005-0000-0000-0000BE670000}"/>
    <cellStyle name="Normaali 4 19_DataIX" xfId="33811" xr:uid="{00000000-0005-0000-0000-0000BF670000}"/>
    <cellStyle name="Normaali 4 2" xfId="107" xr:uid="{00000000-0005-0000-0000-0000C0670000}"/>
    <cellStyle name="Normaali 4 2 10" xfId="25702" xr:uid="{00000000-0005-0000-0000-0000C1670000}"/>
    <cellStyle name="Normaali 4 2 2" xfId="4682" xr:uid="{00000000-0005-0000-0000-0000C2670000}"/>
    <cellStyle name="Normaali 4 2 2 2" xfId="4683" xr:uid="{00000000-0005-0000-0000-0000C3670000}"/>
    <cellStyle name="Normaali 4 2 2 2 2" xfId="9930" xr:uid="{00000000-0005-0000-0000-0000C4670000}"/>
    <cellStyle name="Normaali 4 2 2 2 3" xfId="18023" xr:uid="{00000000-0005-0000-0000-0000C5670000}"/>
    <cellStyle name="Normaali 4 2 2 2_DataIX" xfId="33812" xr:uid="{00000000-0005-0000-0000-0000C6670000}"/>
    <cellStyle name="Normaali 4 2 2 3" xfId="4684" xr:uid="{00000000-0005-0000-0000-0000C7670000}"/>
    <cellStyle name="Normaali 4 2 2 3 2" xfId="9931" xr:uid="{00000000-0005-0000-0000-0000C8670000}"/>
    <cellStyle name="Normaali 4 2 2 3 3" xfId="18024" xr:uid="{00000000-0005-0000-0000-0000C9670000}"/>
    <cellStyle name="Normaali 4 2 2 3_DataIX" xfId="33813" xr:uid="{00000000-0005-0000-0000-0000CA670000}"/>
    <cellStyle name="Normaali 4 2 2 4" xfId="5642" xr:uid="{00000000-0005-0000-0000-0000CB670000}"/>
    <cellStyle name="Normaali 4 2 2 4 2" xfId="12730" xr:uid="{00000000-0005-0000-0000-0000CC670000}"/>
    <cellStyle name="Normaali 4 2 2 4 3" xfId="18858" xr:uid="{00000000-0005-0000-0000-0000CD670000}"/>
    <cellStyle name="Normaali 4 2 2 4_DataIX" xfId="33814" xr:uid="{00000000-0005-0000-0000-0000CE670000}"/>
    <cellStyle name="Normaali 4 2 2 5" xfId="18022" xr:uid="{00000000-0005-0000-0000-0000CF670000}"/>
    <cellStyle name="Normaali 4 2 2 6" xfId="19087" xr:uid="{00000000-0005-0000-0000-0000D0670000}"/>
    <cellStyle name="Normaali 4 2 2_##Keskeiset" xfId="9929" xr:uid="{00000000-0005-0000-0000-0000D1670000}"/>
    <cellStyle name="Normaali 4 2 3" xfId="4685" xr:uid="{00000000-0005-0000-0000-0000D2670000}"/>
    <cellStyle name="Normaali 4 2 3 2" xfId="4686" xr:uid="{00000000-0005-0000-0000-0000D3670000}"/>
    <cellStyle name="Normaali 4 2 3 2 2" xfId="9933" xr:uid="{00000000-0005-0000-0000-0000D4670000}"/>
    <cellStyle name="Normaali 4 2 3 2 3" xfId="18026" xr:uid="{00000000-0005-0000-0000-0000D5670000}"/>
    <cellStyle name="Normaali 4 2 3 2_DataIX" xfId="33816" xr:uid="{00000000-0005-0000-0000-0000D6670000}"/>
    <cellStyle name="Normaali 4 2 3 3" xfId="4687" xr:uid="{00000000-0005-0000-0000-0000D7670000}"/>
    <cellStyle name="Normaali 4 2 3 3 2" xfId="9934" xr:uid="{00000000-0005-0000-0000-0000D8670000}"/>
    <cellStyle name="Normaali 4 2 3 3 3" xfId="18027" xr:uid="{00000000-0005-0000-0000-0000D9670000}"/>
    <cellStyle name="Normaali 4 2 3 3_DataIX" xfId="33817" xr:uid="{00000000-0005-0000-0000-0000DA670000}"/>
    <cellStyle name="Normaali 4 2 3 4" xfId="9932" xr:uid="{00000000-0005-0000-0000-0000DB670000}"/>
    <cellStyle name="Normaali 4 2 3 5" xfId="18025" xr:uid="{00000000-0005-0000-0000-0000DC670000}"/>
    <cellStyle name="Normaali 4 2 3 6" xfId="20565" xr:uid="{00000000-0005-0000-0000-0000DD670000}"/>
    <cellStyle name="Normaali 4 2 3_DataIX" xfId="33815" xr:uid="{00000000-0005-0000-0000-0000DE670000}"/>
    <cellStyle name="Normaali 4 2 4" xfId="4688" xr:uid="{00000000-0005-0000-0000-0000DF670000}"/>
    <cellStyle name="Normaali 4 2 4 2" xfId="4689" xr:uid="{00000000-0005-0000-0000-0000E0670000}"/>
    <cellStyle name="Normaali 4 2 4 2 2" xfId="9936" xr:uid="{00000000-0005-0000-0000-0000E1670000}"/>
    <cellStyle name="Normaali 4 2 4 2 3" xfId="18029" xr:uid="{00000000-0005-0000-0000-0000E2670000}"/>
    <cellStyle name="Normaali 4 2 4 2_DataIX" xfId="33819" xr:uid="{00000000-0005-0000-0000-0000E3670000}"/>
    <cellStyle name="Normaali 4 2 4 3" xfId="9935" xr:uid="{00000000-0005-0000-0000-0000E4670000}"/>
    <cellStyle name="Normaali 4 2 4 4" xfId="18028" xr:uid="{00000000-0005-0000-0000-0000E5670000}"/>
    <cellStyle name="Normaali 4 2 4 5" xfId="19086" xr:uid="{00000000-0005-0000-0000-0000E6670000}"/>
    <cellStyle name="Normaali 4 2 4_DataIX" xfId="33818" xr:uid="{00000000-0005-0000-0000-0000E7670000}"/>
    <cellStyle name="Normaali 4 2 5" xfId="4690" xr:uid="{00000000-0005-0000-0000-0000E8670000}"/>
    <cellStyle name="Normaali 4 2 5 2" xfId="9937" xr:uid="{00000000-0005-0000-0000-0000E9670000}"/>
    <cellStyle name="Normaali 4 2 5 3" xfId="18030" xr:uid="{00000000-0005-0000-0000-0000EA670000}"/>
    <cellStyle name="Normaali 4 2 5_DataIX" xfId="33820" xr:uid="{00000000-0005-0000-0000-0000EB670000}"/>
    <cellStyle name="Normaali 4 2 6" xfId="4681" xr:uid="{00000000-0005-0000-0000-0000EC670000}"/>
    <cellStyle name="Normaali 4 2 6 2" xfId="9938" xr:uid="{00000000-0005-0000-0000-0000ED670000}"/>
    <cellStyle name="Normaali 4 2 6 3" xfId="18021" xr:uid="{00000000-0005-0000-0000-0000EE670000}"/>
    <cellStyle name="Normaali 4 2 6_DataIX" xfId="33821" xr:uid="{00000000-0005-0000-0000-0000EF670000}"/>
    <cellStyle name="Normaali 4 2 7" xfId="25167" xr:uid="{00000000-0005-0000-0000-0000F0670000}"/>
    <cellStyle name="Normaali 4 2 8" xfId="26475" xr:uid="{00000000-0005-0000-0000-0000F1670000}"/>
    <cellStyle name="Normaali 4 2 9" xfId="26296" xr:uid="{00000000-0005-0000-0000-0000F2670000}"/>
    <cellStyle name="Normaali 4 2_##Keskeiset" xfId="9928" xr:uid="{00000000-0005-0000-0000-0000F3670000}"/>
    <cellStyle name="Normaali 4 20" xfId="4691" xr:uid="{00000000-0005-0000-0000-0000F4670000}"/>
    <cellStyle name="Normaali 4 20 2" xfId="9939" xr:uid="{00000000-0005-0000-0000-0000F5670000}"/>
    <cellStyle name="Normaali 4 20 3" xfId="18031" xr:uid="{00000000-0005-0000-0000-0000F6670000}"/>
    <cellStyle name="Normaali 4 20_DataIX" xfId="33822" xr:uid="{00000000-0005-0000-0000-0000F7670000}"/>
    <cellStyle name="Normaali 4 21" xfId="4692" xr:uid="{00000000-0005-0000-0000-0000F8670000}"/>
    <cellStyle name="Normaali 4 21 2" xfId="9940" xr:uid="{00000000-0005-0000-0000-0000F9670000}"/>
    <cellStyle name="Normaali 4 21 3" xfId="18032" xr:uid="{00000000-0005-0000-0000-0000FA670000}"/>
    <cellStyle name="Normaali 4 21_DataIX" xfId="33823" xr:uid="{00000000-0005-0000-0000-0000FB670000}"/>
    <cellStyle name="Normaali 4 22" xfId="4693" xr:uid="{00000000-0005-0000-0000-0000FC670000}"/>
    <cellStyle name="Normaali 4 22 2" xfId="9941" xr:uid="{00000000-0005-0000-0000-0000FD670000}"/>
    <cellStyle name="Normaali 4 22 3" xfId="18033" xr:uid="{00000000-0005-0000-0000-0000FE670000}"/>
    <cellStyle name="Normaali 4 22_DataIX" xfId="33824" xr:uid="{00000000-0005-0000-0000-0000FF670000}"/>
    <cellStyle name="Normaali 4 23" xfId="4694" xr:uid="{00000000-0005-0000-0000-000000680000}"/>
    <cellStyle name="Normaali 4 23 2" xfId="9942" xr:uid="{00000000-0005-0000-0000-000001680000}"/>
    <cellStyle name="Normaali 4 23 3" xfId="18034" xr:uid="{00000000-0005-0000-0000-000002680000}"/>
    <cellStyle name="Normaali 4 23_DataIX" xfId="33825" xr:uid="{00000000-0005-0000-0000-000003680000}"/>
    <cellStyle name="Normaali 4 24" xfId="4695" xr:uid="{00000000-0005-0000-0000-000004680000}"/>
    <cellStyle name="Normaali 4 24 2" xfId="9943" xr:uid="{00000000-0005-0000-0000-000005680000}"/>
    <cellStyle name="Normaali 4 24 3" xfId="18035" xr:uid="{00000000-0005-0000-0000-000006680000}"/>
    <cellStyle name="Normaali 4 24_DataIX" xfId="33826" xr:uid="{00000000-0005-0000-0000-000007680000}"/>
    <cellStyle name="Normaali 4 25" xfId="4696" xr:uid="{00000000-0005-0000-0000-000008680000}"/>
    <cellStyle name="Normaali 4 25 2" xfId="9944" xr:uid="{00000000-0005-0000-0000-000009680000}"/>
    <cellStyle name="Normaali 4 25 3" xfId="18036" xr:uid="{00000000-0005-0000-0000-00000A680000}"/>
    <cellStyle name="Normaali 4 25_DataIX" xfId="33827" xr:uid="{00000000-0005-0000-0000-00000B680000}"/>
    <cellStyle name="Normaali 4 26" xfId="4669" xr:uid="{00000000-0005-0000-0000-00000C680000}"/>
    <cellStyle name="Normaali 4 26 2" xfId="9945" xr:uid="{00000000-0005-0000-0000-00000D680000}"/>
    <cellStyle name="Normaali 4 26 3" xfId="18009" xr:uid="{00000000-0005-0000-0000-00000E680000}"/>
    <cellStyle name="Normaali 4 26_DataIX" xfId="33828" xr:uid="{00000000-0005-0000-0000-00000F680000}"/>
    <cellStyle name="Normaali 4 27" xfId="25045" xr:uid="{00000000-0005-0000-0000-000010680000}"/>
    <cellStyle name="Normaali 4 28" xfId="26192" xr:uid="{00000000-0005-0000-0000-000011680000}"/>
    <cellStyle name="Normaali 4 29" xfId="26597" xr:uid="{00000000-0005-0000-0000-000012680000}"/>
    <cellStyle name="Normaali 4 3" xfId="327" xr:uid="{00000000-0005-0000-0000-000013680000}"/>
    <cellStyle name="Normaali 4 3 10" xfId="25561" xr:uid="{00000000-0005-0000-0000-000014680000}"/>
    <cellStyle name="Normaali 4 3 2" xfId="4698" xr:uid="{00000000-0005-0000-0000-000015680000}"/>
    <cellStyle name="Normaali 4 3 2 2" xfId="4699" xr:uid="{00000000-0005-0000-0000-000016680000}"/>
    <cellStyle name="Normaali 4 3 2 2 2" xfId="9948" xr:uid="{00000000-0005-0000-0000-000017680000}"/>
    <cellStyle name="Normaali 4 3 2 2 3" xfId="18039" xr:uid="{00000000-0005-0000-0000-000018680000}"/>
    <cellStyle name="Normaali 4 3 2 2_DataIX" xfId="33830" xr:uid="{00000000-0005-0000-0000-000019680000}"/>
    <cellStyle name="Normaali 4 3 2 3" xfId="4700" xr:uid="{00000000-0005-0000-0000-00001A680000}"/>
    <cellStyle name="Normaali 4 3 2 3 2" xfId="9949" xr:uid="{00000000-0005-0000-0000-00001B680000}"/>
    <cellStyle name="Normaali 4 3 2 3 3" xfId="18040" xr:uid="{00000000-0005-0000-0000-00001C680000}"/>
    <cellStyle name="Normaali 4 3 2 3_DataIX" xfId="33831" xr:uid="{00000000-0005-0000-0000-00001D680000}"/>
    <cellStyle name="Normaali 4 3 2 4" xfId="9947" xr:uid="{00000000-0005-0000-0000-00001E680000}"/>
    <cellStyle name="Normaali 4 3 2 5" xfId="18038" xr:uid="{00000000-0005-0000-0000-00001F680000}"/>
    <cellStyle name="Normaali 4 3 2 6" xfId="19085" xr:uid="{00000000-0005-0000-0000-000020680000}"/>
    <cellStyle name="Normaali 4 3 2_DataIX" xfId="33829" xr:uid="{00000000-0005-0000-0000-000021680000}"/>
    <cellStyle name="Normaali 4 3 3" xfId="4701" xr:uid="{00000000-0005-0000-0000-000022680000}"/>
    <cellStyle name="Normaali 4 3 3 2" xfId="4702" xr:uid="{00000000-0005-0000-0000-000023680000}"/>
    <cellStyle name="Normaali 4 3 3 2 2" xfId="9951" xr:uid="{00000000-0005-0000-0000-000024680000}"/>
    <cellStyle name="Normaali 4 3 3 2 3" xfId="18042" xr:uid="{00000000-0005-0000-0000-000025680000}"/>
    <cellStyle name="Normaali 4 3 3 2_DataIX" xfId="33833" xr:uid="{00000000-0005-0000-0000-000026680000}"/>
    <cellStyle name="Normaali 4 3 3 3" xfId="4703" xr:uid="{00000000-0005-0000-0000-000027680000}"/>
    <cellStyle name="Normaali 4 3 3 3 2" xfId="9952" xr:uid="{00000000-0005-0000-0000-000028680000}"/>
    <cellStyle name="Normaali 4 3 3 3 3" xfId="18043" xr:uid="{00000000-0005-0000-0000-000029680000}"/>
    <cellStyle name="Normaali 4 3 3 3_DataIX" xfId="33834" xr:uid="{00000000-0005-0000-0000-00002A680000}"/>
    <cellStyle name="Normaali 4 3 3 4" xfId="9950" xr:uid="{00000000-0005-0000-0000-00002B680000}"/>
    <cellStyle name="Normaali 4 3 3 5" xfId="18041" xr:uid="{00000000-0005-0000-0000-00002C680000}"/>
    <cellStyle name="Normaali 4 3 3 6" xfId="20564" xr:uid="{00000000-0005-0000-0000-00002D680000}"/>
    <cellStyle name="Normaali 4 3 3_DataIX" xfId="33832" xr:uid="{00000000-0005-0000-0000-00002E680000}"/>
    <cellStyle name="Normaali 4 3 4" xfId="4704" xr:uid="{00000000-0005-0000-0000-00002F680000}"/>
    <cellStyle name="Normaali 4 3 4 2" xfId="4705" xr:uid="{00000000-0005-0000-0000-000030680000}"/>
    <cellStyle name="Normaali 4 3 4 2 2" xfId="9954" xr:uid="{00000000-0005-0000-0000-000031680000}"/>
    <cellStyle name="Normaali 4 3 4 2 3" xfId="18045" xr:uid="{00000000-0005-0000-0000-000032680000}"/>
    <cellStyle name="Normaali 4 3 4 2_DataIX" xfId="33836" xr:uid="{00000000-0005-0000-0000-000033680000}"/>
    <cellStyle name="Normaali 4 3 4 3" xfId="9953" xr:uid="{00000000-0005-0000-0000-000034680000}"/>
    <cellStyle name="Normaali 4 3 4 4" xfId="18044" xr:uid="{00000000-0005-0000-0000-000035680000}"/>
    <cellStyle name="Normaali 4 3 4 5" xfId="19084" xr:uid="{00000000-0005-0000-0000-000036680000}"/>
    <cellStyle name="Normaali 4 3 4_DataIX" xfId="33835" xr:uid="{00000000-0005-0000-0000-000037680000}"/>
    <cellStyle name="Normaali 4 3 5" xfId="4706" xr:uid="{00000000-0005-0000-0000-000038680000}"/>
    <cellStyle name="Normaali 4 3 5 2" xfId="9955" xr:uid="{00000000-0005-0000-0000-000039680000}"/>
    <cellStyle name="Normaali 4 3 5 3" xfId="18046" xr:uid="{00000000-0005-0000-0000-00003A680000}"/>
    <cellStyle name="Normaali 4 3 5_DataIX" xfId="33837" xr:uid="{00000000-0005-0000-0000-00003B680000}"/>
    <cellStyle name="Normaali 4 3 6" xfId="4697" xr:uid="{00000000-0005-0000-0000-00003C680000}"/>
    <cellStyle name="Normaali 4 3 6 2" xfId="9956" xr:uid="{00000000-0005-0000-0000-00003D680000}"/>
    <cellStyle name="Normaali 4 3 6 3" xfId="18037" xr:uid="{00000000-0005-0000-0000-00003E680000}"/>
    <cellStyle name="Normaali 4 3 6_DataIX" xfId="33838" xr:uid="{00000000-0005-0000-0000-00003F680000}"/>
    <cellStyle name="Normaali 4 3 7" xfId="25168" xr:uid="{00000000-0005-0000-0000-000040680000}"/>
    <cellStyle name="Normaali 4 3 8" xfId="26136" xr:uid="{00000000-0005-0000-0000-000041680000}"/>
    <cellStyle name="Normaali 4 3 9" xfId="26577" xr:uid="{00000000-0005-0000-0000-000042680000}"/>
    <cellStyle name="Normaali 4 3_##Keskeiset" xfId="9946" xr:uid="{00000000-0005-0000-0000-000043680000}"/>
    <cellStyle name="Normaali 4 30" xfId="25604" xr:uid="{00000000-0005-0000-0000-000044680000}"/>
    <cellStyle name="Normaali 4 31" xfId="26315" xr:uid="{00000000-0005-0000-0000-000045680000}"/>
    <cellStyle name="Normaali 4 32" xfId="25585" xr:uid="{00000000-0005-0000-0000-000046680000}"/>
    <cellStyle name="Normaali 4 33" xfId="26210" xr:uid="{00000000-0005-0000-0000-000047680000}"/>
    <cellStyle name="Normaali 4 34" xfId="26414" xr:uid="{00000000-0005-0000-0000-000048680000}"/>
    <cellStyle name="Normaali 4 35" xfId="26603" xr:uid="{00000000-0005-0000-0000-000049680000}"/>
    <cellStyle name="Normaali 4 36" xfId="26257" xr:uid="{00000000-0005-0000-0000-00004A680000}"/>
    <cellStyle name="Normaali 4 37" xfId="26003" xr:uid="{00000000-0005-0000-0000-00004B680000}"/>
    <cellStyle name="Normaali 4 38" xfId="25743" xr:uid="{00000000-0005-0000-0000-00004C680000}"/>
    <cellStyle name="Normaali 4 39" xfId="26715" xr:uid="{00000000-0005-0000-0000-00004D680000}"/>
    <cellStyle name="Normaali 4 4" xfId="4707" xr:uid="{00000000-0005-0000-0000-00004E680000}"/>
    <cellStyle name="Normaali 4 4 2" xfId="4708" xr:uid="{00000000-0005-0000-0000-00004F680000}"/>
    <cellStyle name="Normaali 4 4 2 2" xfId="4709" xr:uid="{00000000-0005-0000-0000-000050680000}"/>
    <cellStyle name="Normaali 4 4 2 2 2" xfId="9959" xr:uid="{00000000-0005-0000-0000-000051680000}"/>
    <cellStyle name="Normaali 4 4 2 2 3" xfId="18049" xr:uid="{00000000-0005-0000-0000-000052680000}"/>
    <cellStyle name="Normaali 4 4 2 2_DataIX" xfId="33841" xr:uid="{00000000-0005-0000-0000-000053680000}"/>
    <cellStyle name="Normaali 4 4 2 3" xfId="9958" xr:uid="{00000000-0005-0000-0000-000054680000}"/>
    <cellStyle name="Normaali 4 4 2 4" xfId="18048" xr:uid="{00000000-0005-0000-0000-000055680000}"/>
    <cellStyle name="Normaali 4 4 2 5" xfId="19083" xr:uid="{00000000-0005-0000-0000-000056680000}"/>
    <cellStyle name="Normaali 4 4 2_DataIX" xfId="33840" xr:uid="{00000000-0005-0000-0000-000057680000}"/>
    <cellStyle name="Normaali 4 4 3" xfId="4710" xr:uid="{00000000-0005-0000-0000-000058680000}"/>
    <cellStyle name="Normaali 4 4 3 2" xfId="9960" xr:uid="{00000000-0005-0000-0000-000059680000}"/>
    <cellStyle name="Normaali 4 4 3 3" xfId="18050" xr:uid="{00000000-0005-0000-0000-00005A680000}"/>
    <cellStyle name="Normaali 4 4 3_DataIX" xfId="33842" xr:uid="{00000000-0005-0000-0000-00005B680000}"/>
    <cellStyle name="Normaali 4 4 4" xfId="9957" xr:uid="{00000000-0005-0000-0000-00005C680000}"/>
    <cellStyle name="Normaali 4 4 5" xfId="18047" xr:uid="{00000000-0005-0000-0000-00005D680000}"/>
    <cellStyle name="Normaali 4 4 6" xfId="20563" xr:uid="{00000000-0005-0000-0000-00005E680000}"/>
    <cellStyle name="Normaali 4 4_DataIX" xfId="33839" xr:uid="{00000000-0005-0000-0000-00005F680000}"/>
    <cellStyle name="Normaali 4 40" xfId="25357" xr:uid="{00000000-0005-0000-0000-000060680000}"/>
    <cellStyle name="Normaali 4 41" xfId="25104" xr:uid="{00000000-0005-0000-0000-000061680000}"/>
    <cellStyle name="Normaali 4 42" xfId="25605" xr:uid="{00000000-0005-0000-0000-000062680000}"/>
    <cellStyle name="Normaali 4 43" xfId="28499" xr:uid="{00000000-0005-0000-0000-000063680000}"/>
    <cellStyle name="Normaali 4 44" xfId="28524" xr:uid="{00000000-0005-0000-0000-000064680000}"/>
    <cellStyle name="Normaali 4 45" xfId="28564" xr:uid="{00000000-0005-0000-0000-000065680000}"/>
    <cellStyle name="Normaali 4 5" xfId="4711" xr:uid="{00000000-0005-0000-0000-000066680000}"/>
    <cellStyle name="Normaali 4 5 2" xfId="4712" xr:uid="{00000000-0005-0000-0000-000067680000}"/>
    <cellStyle name="Normaali 4 5 2 2" xfId="9962" xr:uid="{00000000-0005-0000-0000-000068680000}"/>
    <cellStyle name="Normaali 4 5 2 3" xfId="18052" xr:uid="{00000000-0005-0000-0000-000069680000}"/>
    <cellStyle name="Normaali 4 5 2_DataIX" xfId="33844" xr:uid="{00000000-0005-0000-0000-00006A680000}"/>
    <cellStyle name="Normaali 4 5 3" xfId="4713" xr:uid="{00000000-0005-0000-0000-00006B680000}"/>
    <cellStyle name="Normaali 4 5 3 2" xfId="9963" xr:uid="{00000000-0005-0000-0000-00006C680000}"/>
    <cellStyle name="Normaali 4 5 3 3" xfId="18053" xr:uid="{00000000-0005-0000-0000-00006D680000}"/>
    <cellStyle name="Normaali 4 5 3_DataIX" xfId="33845" xr:uid="{00000000-0005-0000-0000-00006E680000}"/>
    <cellStyle name="Normaali 4 5 4" xfId="9961" xr:uid="{00000000-0005-0000-0000-00006F680000}"/>
    <cellStyle name="Normaali 4 5 5" xfId="18051" xr:uid="{00000000-0005-0000-0000-000070680000}"/>
    <cellStyle name="Normaali 4 5 6" xfId="20562" xr:uid="{00000000-0005-0000-0000-000071680000}"/>
    <cellStyle name="Normaali 4 5_DataIX" xfId="33843" xr:uid="{00000000-0005-0000-0000-000072680000}"/>
    <cellStyle name="Normaali 4 6" xfId="4714" xr:uid="{00000000-0005-0000-0000-000073680000}"/>
    <cellStyle name="Normaali 4 6 2" xfId="4715" xr:uid="{00000000-0005-0000-0000-000074680000}"/>
    <cellStyle name="Normaali 4 6 2 2" xfId="9965" xr:uid="{00000000-0005-0000-0000-000075680000}"/>
    <cellStyle name="Normaali 4 6 2 3" xfId="18055" xr:uid="{00000000-0005-0000-0000-000076680000}"/>
    <cellStyle name="Normaali 4 6 2_DataIX" xfId="33847" xr:uid="{00000000-0005-0000-0000-000077680000}"/>
    <cellStyle name="Normaali 4 6 3" xfId="9964" xr:uid="{00000000-0005-0000-0000-000078680000}"/>
    <cellStyle name="Normaali 4 6 4" xfId="18054" xr:uid="{00000000-0005-0000-0000-000079680000}"/>
    <cellStyle name="Normaali 4 6 5" xfId="19082" xr:uid="{00000000-0005-0000-0000-00007A680000}"/>
    <cellStyle name="Normaali 4 6_DataIX" xfId="33846" xr:uid="{00000000-0005-0000-0000-00007B680000}"/>
    <cellStyle name="Normaali 4 7" xfId="4716" xr:uid="{00000000-0005-0000-0000-00007C680000}"/>
    <cellStyle name="Normaali 4 7 2" xfId="9966" xr:uid="{00000000-0005-0000-0000-00007D680000}"/>
    <cellStyle name="Normaali 4 7 3" xfId="18056" xr:uid="{00000000-0005-0000-0000-00007E680000}"/>
    <cellStyle name="Normaali 4 7_DataIX" xfId="33848" xr:uid="{00000000-0005-0000-0000-00007F680000}"/>
    <cellStyle name="Normaali 4 8" xfId="4717" xr:uid="{00000000-0005-0000-0000-000080680000}"/>
    <cellStyle name="Normaali 4 8 2" xfId="9967" xr:uid="{00000000-0005-0000-0000-000081680000}"/>
    <cellStyle name="Normaali 4 8 3" xfId="18057" xr:uid="{00000000-0005-0000-0000-000082680000}"/>
    <cellStyle name="Normaali 4 8_DataIX" xfId="33849" xr:uid="{00000000-0005-0000-0000-000083680000}"/>
    <cellStyle name="Normaali 4 9" xfId="4718" xr:uid="{00000000-0005-0000-0000-000084680000}"/>
    <cellStyle name="Normaali 4 9 2" xfId="9968" xr:uid="{00000000-0005-0000-0000-000085680000}"/>
    <cellStyle name="Normaali 4 9 3" xfId="18058" xr:uid="{00000000-0005-0000-0000-000086680000}"/>
    <cellStyle name="Normaali 4 9_DataIX" xfId="33850" xr:uid="{00000000-0005-0000-0000-000087680000}"/>
    <cellStyle name="Normaali 4_##Keskeiset" xfId="9916" xr:uid="{00000000-0005-0000-0000-000088680000}"/>
    <cellStyle name="Normaali 40" xfId="13078" xr:uid="{00000000-0005-0000-0000-000089680000}"/>
    <cellStyle name="Normaali 40 10" xfId="27746" xr:uid="{00000000-0005-0000-0000-00008A680000}"/>
    <cellStyle name="Normaali 40 2" xfId="4719" xr:uid="{00000000-0005-0000-0000-00008B680000}"/>
    <cellStyle name="Normaali 40 2 2" xfId="4720" xr:uid="{00000000-0005-0000-0000-00008C680000}"/>
    <cellStyle name="Normaali 40 2 2 2" xfId="9970" xr:uid="{00000000-0005-0000-0000-00008D680000}"/>
    <cellStyle name="Normaali 40 2 2 3" xfId="18060" xr:uid="{00000000-0005-0000-0000-00008E680000}"/>
    <cellStyle name="Normaali 40 2 2_DataIX" xfId="33853" xr:uid="{00000000-0005-0000-0000-00008F680000}"/>
    <cellStyle name="Normaali 40 2 3" xfId="9969" xr:uid="{00000000-0005-0000-0000-000090680000}"/>
    <cellStyle name="Normaali 40 2 4" xfId="18059" xr:uid="{00000000-0005-0000-0000-000091680000}"/>
    <cellStyle name="Normaali 40 2_DataIX" xfId="33852" xr:uid="{00000000-0005-0000-0000-000092680000}"/>
    <cellStyle name="Normaali 40 3" xfId="4721" xr:uid="{00000000-0005-0000-0000-000093680000}"/>
    <cellStyle name="Normaali 40 3 2" xfId="9971" xr:uid="{00000000-0005-0000-0000-000094680000}"/>
    <cellStyle name="Normaali 40 3 3" xfId="18061" xr:uid="{00000000-0005-0000-0000-000095680000}"/>
    <cellStyle name="Normaali 40 3_DataIX" xfId="33854" xr:uid="{00000000-0005-0000-0000-000096680000}"/>
    <cellStyle name="Normaali 40 4" xfId="25018" xr:uid="{00000000-0005-0000-0000-000097680000}"/>
    <cellStyle name="Normaali 40 5" xfId="26903" xr:uid="{00000000-0005-0000-0000-000098680000}"/>
    <cellStyle name="Normaali 40 6" xfId="23079" xr:uid="{00000000-0005-0000-0000-000099680000}"/>
    <cellStyle name="Normaali 40 7" xfId="22992" xr:uid="{00000000-0005-0000-0000-00009A680000}"/>
    <cellStyle name="Normaali 40 8" xfId="22926" xr:uid="{00000000-0005-0000-0000-00009B680000}"/>
    <cellStyle name="Normaali 40 9" xfId="27654" xr:uid="{00000000-0005-0000-0000-00009C680000}"/>
    <cellStyle name="Normaali 40_DataIX" xfId="33851" xr:uid="{00000000-0005-0000-0000-00009D680000}"/>
    <cellStyle name="Normaali 41" xfId="13200" xr:uid="{00000000-0005-0000-0000-00009E680000}"/>
    <cellStyle name="Normaali 41 10" xfId="4722" xr:uid="{00000000-0005-0000-0000-00009F680000}"/>
    <cellStyle name="Normaali 41 10 2" xfId="9972" xr:uid="{00000000-0005-0000-0000-0000A0680000}"/>
    <cellStyle name="Normaali 41 10 3" xfId="18062" xr:uid="{00000000-0005-0000-0000-0000A1680000}"/>
    <cellStyle name="Normaali 41 10_DataIX" xfId="33856" xr:uid="{00000000-0005-0000-0000-0000A2680000}"/>
    <cellStyle name="Normaali 41 2" xfId="4723" xr:uid="{00000000-0005-0000-0000-0000A3680000}"/>
    <cellStyle name="Normaali 41 2 2" xfId="4724" xr:uid="{00000000-0005-0000-0000-0000A4680000}"/>
    <cellStyle name="Normaali 41 2 2 2" xfId="9974" xr:uid="{00000000-0005-0000-0000-0000A5680000}"/>
    <cellStyle name="Normaali 41 2 2 3" xfId="18064" xr:uid="{00000000-0005-0000-0000-0000A6680000}"/>
    <cellStyle name="Normaali 41 2 2_DataIX" xfId="33858" xr:uid="{00000000-0005-0000-0000-0000A7680000}"/>
    <cellStyle name="Normaali 41 2 3" xfId="4725" xr:uid="{00000000-0005-0000-0000-0000A8680000}"/>
    <cellStyle name="Normaali 41 2 3 2" xfId="9975" xr:uid="{00000000-0005-0000-0000-0000A9680000}"/>
    <cellStyle name="Normaali 41 2 3 3" xfId="18065" xr:uid="{00000000-0005-0000-0000-0000AA680000}"/>
    <cellStyle name="Normaali 41 2 3_DataIX" xfId="33859" xr:uid="{00000000-0005-0000-0000-0000AB680000}"/>
    <cellStyle name="Normaali 41 2 4" xfId="4726" xr:uid="{00000000-0005-0000-0000-0000AC680000}"/>
    <cellStyle name="Normaali 41 2 4 2" xfId="9976" xr:uid="{00000000-0005-0000-0000-0000AD680000}"/>
    <cellStyle name="Normaali 41 2 4 3" xfId="18066" xr:uid="{00000000-0005-0000-0000-0000AE680000}"/>
    <cellStyle name="Normaali 41 2 4_DataIX" xfId="33860" xr:uid="{00000000-0005-0000-0000-0000AF680000}"/>
    <cellStyle name="Normaali 41 2 5" xfId="9973" xr:uid="{00000000-0005-0000-0000-0000B0680000}"/>
    <cellStyle name="Normaali 41 2 6" xfId="18063" xr:uid="{00000000-0005-0000-0000-0000B1680000}"/>
    <cellStyle name="Normaali 41 2_DataIX" xfId="33857" xr:uid="{00000000-0005-0000-0000-0000B2680000}"/>
    <cellStyle name="Normaali 41 3" xfId="4727" xr:uid="{00000000-0005-0000-0000-0000B3680000}"/>
    <cellStyle name="Normaali 41 3 2" xfId="4728" xr:uid="{00000000-0005-0000-0000-0000B4680000}"/>
    <cellStyle name="Normaali 41 3 2 2" xfId="9978" xr:uid="{00000000-0005-0000-0000-0000B5680000}"/>
    <cellStyle name="Normaali 41 3 2 3" xfId="18068" xr:uid="{00000000-0005-0000-0000-0000B6680000}"/>
    <cellStyle name="Normaali 41 3 2_DataIX" xfId="33862" xr:uid="{00000000-0005-0000-0000-0000B7680000}"/>
    <cellStyle name="Normaali 41 3 3" xfId="4729" xr:uid="{00000000-0005-0000-0000-0000B8680000}"/>
    <cellStyle name="Normaali 41 3 3 2" xfId="9979" xr:uid="{00000000-0005-0000-0000-0000B9680000}"/>
    <cellStyle name="Normaali 41 3 3 3" xfId="18069" xr:uid="{00000000-0005-0000-0000-0000BA680000}"/>
    <cellStyle name="Normaali 41 3 3_DataIX" xfId="33863" xr:uid="{00000000-0005-0000-0000-0000BB680000}"/>
    <cellStyle name="Normaali 41 3 4" xfId="4730" xr:uid="{00000000-0005-0000-0000-0000BC680000}"/>
    <cellStyle name="Normaali 41 3 4 2" xfId="9980" xr:uid="{00000000-0005-0000-0000-0000BD680000}"/>
    <cellStyle name="Normaali 41 3 4 3" xfId="18070" xr:uid="{00000000-0005-0000-0000-0000BE680000}"/>
    <cellStyle name="Normaali 41 3 4_DataIX" xfId="33864" xr:uid="{00000000-0005-0000-0000-0000BF680000}"/>
    <cellStyle name="Normaali 41 3 5" xfId="9977" xr:uid="{00000000-0005-0000-0000-0000C0680000}"/>
    <cellStyle name="Normaali 41 3 6" xfId="18067" xr:uid="{00000000-0005-0000-0000-0000C1680000}"/>
    <cellStyle name="Normaali 41 3_DataIX" xfId="33861" xr:uid="{00000000-0005-0000-0000-0000C2680000}"/>
    <cellStyle name="Normaali 41 4" xfId="4731" xr:uid="{00000000-0005-0000-0000-0000C3680000}"/>
    <cellStyle name="Normaali 41 4 2" xfId="4732" xr:uid="{00000000-0005-0000-0000-0000C4680000}"/>
    <cellStyle name="Normaali 41 4 2 2" xfId="9982" xr:uid="{00000000-0005-0000-0000-0000C5680000}"/>
    <cellStyle name="Normaali 41 4 2 3" xfId="18072" xr:uid="{00000000-0005-0000-0000-0000C6680000}"/>
    <cellStyle name="Normaali 41 4 2_DataIX" xfId="33866" xr:uid="{00000000-0005-0000-0000-0000C7680000}"/>
    <cellStyle name="Normaali 41 4 3" xfId="9981" xr:uid="{00000000-0005-0000-0000-0000C8680000}"/>
    <cellStyle name="Normaali 41 4 4" xfId="18071" xr:uid="{00000000-0005-0000-0000-0000C9680000}"/>
    <cellStyle name="Normaali 41 4_DataIX" xfId="33865" xr:uid="{00000000-0005-0000-0000-0000CA680000}"/>
    <cellStyle name="Normaali 41 5" xfId="4733" xr:uid="{00000000-0005-0000-0000-0000CB680000}"/>
    <cellStyle name="Normaali 41 5 2" xfId="9983" xr:uid="{00000000-0005-0000-0000-0000CC680000}"/>
    <cellStyle name="Normaali 41 5 3" xfId="18073" xr:uid="{00000000-0005-0000-0000-0000CD680000}"/>
    <cellStyle name="Normaali 41 5_DataIX" xfId="33867" xr:uid="{00000000-0005-0000-0000-0000CE680000}"/>
    <cellStyle name="Normaali 41 6" xfId="4734" xr:uid="{00000000-0005-0000-0000-0000CF680000}"/>
    <cellStyle name="Normaali 41 6 2" xfId="9984" xr:uid="{00000000-0005-0000-0000-0000D0680000}"/>
    <cellStyle name="Normaali 41 6 3" xfId="18074" xr:uid="{00000000-0005-0000-0000-0000D1680000}"/>
    <cellStyle name="Normaali 41 6_DataIX" xfId="33868" xr:uid="{00000000-0005-0000-0000-0000D2680000}"/>
    <cellStyle name="Normaali 41 7" xfId="4735" xr:uid="{00000000-0005-0000-0000-0000D3680000}"/>
    <cellStyle name="Normaali 41 7 2" xfId="9985" xr:uid="{00000000-0005-0000-0000-0000D4680000}"/>
    <cellStyle name="Normaali 41 7 3" xfId="18075" xr:uid="{00000000-0005-0000-0000-0000D5680000}"/>
    <cellStyle name="Normaali 41 7_DataIX" xfId="33869" xr:uid="{00000000-0005-0000-0000-0000D6680000}"/>
    <cellStyle name="Normaali 41 8" xfId="4736" xr:uid="{00000000-0005-0000-0000-0000D7680000}"/>
    <cellStyle name="Normaali 41 8 2" xfId="9986" xr:uid="{00000000-0005-0000-0000-0000D8680000}"/>
    <cellStyle name="Normaali 41 8 3" xfId="18076" xr:uid="{00000000-0005-0000-0000-0000D9680000}"/>
    <cellStyle name="Normaali 41 8_DataIX" xfId="33870" xr:uid="{00000000-0005-0000-0000-0000DA680000}"/>
    <cellStyle name="Normaali 41 9" xfId="4737" xr:uid="{00000000-0005-0000-0000-0000DB680000}"/>
    <cellStyle name="Normaali 41 9 2" xfId="9987" xr:uid="{00000000-0005-0000-0000-0000DC680000}"/>
    <cellStyle name="Normaali 41 9 3" xfId="18077" xr:uid="{00000000-0005-0000-0000-0000DD680000}"/>
    <cellStyle name="Normaali 41 9_DataIX" xfId="33871" xr:uid="{00000000-0005-0000-0000-0000DE680000}"/>
    <cellStyle name="Normaali 41_DataIX" xfId="33855" xr:uid="{00000000-0005-0000-0000-0000DF680000}"/>
    <cellStyle name="Normaali 42" xfId="13248" xr:uid="{00000000-0005-0000-0000-0000E0680000}"/>
    <cellStyle name="Normaali 42 2" xfId="4738" xr:uid="{00000000-0005-0000-0000-0000E1680000}"/>
    <cellStyle name="Normaali 42 2 2" xfId="4739" xr:uid="{00000000-0005-0000-0000-0000E2680000}"/>
    <cellStyle name="Normaali 42 2 2 2" xfId="9989" xr:uid="{00000000-0005-0000-0000-0000E3680000}"/>
    <cellStyle name="Normaali 42 2 2 3" xfId="18079" xr:uid="{00000000-0005-0000-0000-0000E4680000}"/>
    <cellStyle name="Normaali 42 2 2_DataIX" xfId="33874" xr:uid="{00000000-0005-0000-0000-0000E5680000}"/>
    <cellStyle name="Normaali 42 2 3" xfId="9988" xr:uid="{00000000-0005-0000-0000-0000E6680000}"/>
    <cellStyle name="Normaali 42 2 4" xfId="18078" xr:uid="{00000000-0005-0000-0000-0000E7680000}"/>
    <cellStyle name="Normaali 42 2_DataIX" xfId="33873" xr:uid="{00000000-0005-0000-0000-0000E8680000}"/>
    <cellStyle name="Normaali 42 3" xfId="4740" xr:uid="{00000000-0005-0000-0000-0000E9680000}"/>
    <cellStyle name="Normaali 42 3 2" xfId="9990" xr:uid="{00000000-0005-0000-0000-0000EA680000}"/>
    <cellStyle name="Normaali 42 3 3" xfId="18080" xr:uid="{00000000-0005-0000-0000-0000EB680000}"/>
    <cellStyle name="Normaali 42 3_DataIX" xfId="33875" xr:uid="{00000000-0005-0000-0000-0000EC680000}"/>
    <cellStyle name="Normaali 42_DataIX" xfId="33872" xr:uid="{00000000-0005-0000-0000-0000ED680000}"/>
    <cellStyle name="Normaali 43" xfId="13152" xr:uid="{00000000-0005-0000-0000-0000EE680000}"/>
    <cellStyle name="Normaali 43 2" xfId="4741" xr:uid="{00000000-0005-0000-0000-0000EF680000}"/>
    <cellStyle name="Normaali 43 2 2" xfId="4742" xr:uid="{00000000-0005-0000-0000-0000F0680000}"/>
    <cellStyle name="Normaali 43 2 2 2" xfId="9992" xr:uid="{00000000-0005-0000-0000-0000F1680000}"/>
    <cellStyle name="Normaali 43 2 2 3" xfId="18082" xr:uid="{00000000-0005-0000-0000-0000F2680000}"/>
    <cellStyle name="Normaali 43 2 2_DataIX" xfId="33878" xr:uid="{00000000-0005-0000-0000-0000F3680000}"/>
    <cellStyle name="Normaali 43 2 3" xfId="9991" xr:uid="{00000000-0005-0000-0000-0000F4680000}"/>
    <cellStyle name="Normaali 43 2 4" xfId="18081" xr:uid="{00000000-0005-0000-0000-0000F5680000}"/>
    <cellStyle name="Normaali 43 2_DataIX" xfId="33877" xr:uid="{00000000-0005-0000-0000-0000F6680000}"/>
    <cellStyle name="Normaali 43 3" xfId="4743" xr:uid="{00000000-0005-0000-0000-0000F7680000}"/>
    <cellStyle name="Normaali 43 3 2" xfId="9993" xr:uid="{00000000-0005-0000-0000-0000F8680000}"/>
    <cellStyle name="Normaali 43 3 3" xfId="18083" xr:uid="{00000000-0005-0000-0000-0000F9680000}"/>
    <cellStyle name="Normaali 43 3_DataIX" xfId="33879" xr:uid="{00000000-0005-0000-0000-0000FA680000}"/>
    <cellStyle name="Normaali 43_DataIX" xfId="33876" xr:uid="{00000000-0005-0000-0000-0000FB680000}"/>
    <cellStyle name="Normaali 44" xfId="10637" xr:uid="{00000000-0005-0000-0000-0000FC680000}"/>
    <cellStyle name="Normaali 44 2" xfId="4744" xr:uid="{00000000-0005-0000-0000-0000FD680000}"/>
    <cellStyle name="Normaali 44 2 2" xfId="4745" xr:uid="{00000000-0005-0000-0000-0000FE680000}"/>
    <cellStyle name="Normaali 44 2 2 2" xfId="9995" xr:uid="{00000000-0005-0000-0000-0000FF680000}"/>
    <cellStyle name="Normaali 44 2 2 3" xfId="18085" xr:uid="{00000000-0005-0000-0000-000000690000}"/>
    <cellStyle name="Normaali 44 2 2_DataIX" xfId="33882" xr:uid="{00000000-0005-0000-0000-000001690000}"/>
    <cellStyle name="Normaali 44 2 3" xfId="9994" xr:uid="{00000000-0005-0000-0000-000002690000}"/>
    <cellStyle name="Normaali 44 2 4" xfId="18084" xr:uid="{00000000-0005-0000-0000-000003690000}"/>
    <cellStyle name="Normaali 44 2_DataIX" xfId="33881" xr:uid="{00000000-0005-0000-0000-000004690000}"/>
    <cellStyle name="Normaali 44 3" xfId="4746" xr:uid="{00000000-0005-0000-0000-000005690000}"/>
    <cellStyle name="Normaali 44 3 2" xfId="9996" xr:uid="{00000000-0005-0000-0000-000006690000}"/>
    <cellStyle name="Normaali 44 3 3" xfId="18086" xr:uid="{00000000-0005-0000-0000-000007690000}"/>
    <cellStyle name="Normaali 44 3_DataIX" xfId="33883" xr:uid="{00000000-0005-0000-0000-000008690000}"/>
    <cellStyle name="Normaali 44_DataIX" xfId="33880" xr:uid="{00000000-0005-0000-0000-000009690000}"/>
    <cellStyle name="Normaali 45" xfId="12964" xr:uid="{00000000-0005-0000-0000-00000A690000}"/>
    <cellStyle name="Normaali 45 2" xfId="4747" xr:uid="{00000000-0005-0000-0000-00000B690000}"/>
    <cellStyle name="Normaali 45 2 2" xfId="4748" xr:uid="{00000000-0005-0000-0000-00000C690000}"/>
    <cellStyle name="Normaali 45 2 2 2" xfId="9998" xr:uid="{00000000-0005-0000-0000-00000D690000}"/>
    <cellStyle name="Normaali 45 2 2 3" xfId="18088" xr:uid="{00000000-0005-0000-0000-00000E690000}"/>
    <cellStyle name="Normaali 45 2 2_DataIX" xfId="33886" xr:uid="{00000000-0005-0000-0000-00000F690000}"/>
    <cellStyle name="Normaali 45 2 3" xfId="9997" xr:uid="{00000000-0005-0000-0000-000010690000}"/>
    <cellStyle name="Normaali 45 2 4" xfId="18087" xr:uid="{00000000-0005-0000-0000-000011690000}"/>
    <cellStyle name="Normaali 45 2_DataIX" xfId="33885" xr:uid="{00000000-0005-0000-0000-000012690000}"/>
    <cellStyle name="Normaali 45 3" xfId="4749" xr:uid="{00000000-0005-0000-0000-000013690000}"/>
    <cellStyle name="Normaali 45 3 2" xfId="9999" xr:uid="{00000000-0005-0000-0000-000014690000}"/>
    <cellStyle name="Normaali 45 3 3" xfId="18089" xr:uid="{00000000-0005-0000-0000-000015690000}"/>
    <cellStyle name="Normaali 45 3_DataIX" xfId="33887" xr:uid="{00000000-0005-0000-0000-000016690000}"/>
    <cellStyle name="Normaali 45_DataIX" xfId="33884" xr:uid="{00000000-0005-0000-0000-000017690000}"/>
    <cellStyle name="Normaali 46" xfId="10897" xr:uid="{00000000-0005-0000-0000-000018690000}"/>
    <cellStyle name="Normaali 46 2" xfId="4750" xr:uid="{00000000-0005-0000-0000-000019690000}"/>
    <cellStyle name="Normaali 46 2 2" xfId="10000" xr:uid="{00000000-0005-0000-0000-00001A690000}"/>
    <cellStyle name="Normaali 46 2 3" xfId="18090" xr:uid="{00000000-0005-0000-0000-00001B690000}"/>
    <cellStyle name="Normaali 46 2_DataIX" xfId="33889" xr:uid="{00000000-0005-0000-0000-00001C690000}"/>
    <cellStyle name="Normaali 46_DataIX" xfId="33888" xr:uid="{00000000-0005-0000-0000-00001D690000}"/>
    <cellStyle name="Normaali 47" xfId="13787" xr:uid="{00000000-0005-0000-0000-00001E690000}"/>
    <cellStyle name="Normaali 48" xfId="20321" xr:uid="{00000000-0005-0000-0000-00001F690000}"/>
    <cellStyle name="Normaali 48 2" xfId="4751" xr:uid="{00000000-0005-0000-0000-000020690000}"/>
    <cellStyle name="Normaali 48 2 2" xfId="10001" xr:uid="{00000000-0005-0000-0000-000021690000}"/>
    <cellStyle name="Normaali 48 2 3" xfId="18091" xr:uid="{00000000-0005-0000-0000-000022690000}"/>
    <cellStyle name="Normaali 48 2_DataIX" xfId="33891" xr:uid="{00000000-0005-0000-0000-000023690000}"/>
    <cellStyle name="Normaali 48_DataIX" xfId="33890" xr:uid="{00000000-0005-0000-0000-000024690000}"/>
    <cellStyle name="Normaali 49" xfId="10866" xr:uid="{00000000-0005-0000-0000-000025690000}"/>
    <cellStyle name="Normaali 49 2" xfId="4752" xr:uid="{00000000-0005-0000-0000-000026690000}"/>
    <cellStyle name="Normaali 49 2 2" xfId="4753" xr:uid="{00000000-0005-0000-0000-000027690000}"/>
    <cellStyle name="Normaali 49 2 2 2" xfId="10003" xr:uid="{00000000-0005-0000-0000-000028690000}"/>
    <cellStyle name="Normaali 49 2 2 3" xfId="18093" xr:uid="{00000000-0005-0000-0000-000029690000}"/>
    <cellStyle name="Normaali 49 2 2_DataIX" xfId="33894" xr:uid="{00000000-0005-0000-0000-00002A690000}"/>
    <cellStyle name="Normaali 49 2 3" xfId="10002" xr:uid="{00000000-0005-0000-0000-00002B690000}"/>
    <cellStyle name="Normaali 49 2 4" xfId="18092" xr:uid="{00000000-0005-0000-0000-00002C690000}"/>
    <cellStyle name="Normaali 49 2_DataIX" xfId="33893" xr:uid="{00000000-0005-0000-0000-00002D690000}"/>
    <cellStyle name="Normaali 49 3" xfId="4754" xr:uid="{00000000-0005-0000-0000-00002E690000}"/>
    <cellStyle name="Normaali 49 3 2" xfId="10004" xr:uid="{00000000-0005-0000-0000-00002F690000}"/>
    <cellStyle name="Normaali 49 3 3" xfId="18094" xr:uid="{00000000-0005-0000-0000-000030690000}"/>
    <cellStyle name="Normaali 49 3_DataIX" xfId="33895" xr:uid="{00000000-0005-0000-0000-000031690000}"/>
    <cellStyle name="Normaali 49_DataIX" xfId="33892" xr:uid="{00000000-0005-0000-0000-000032690000}"/>
    <cellStyle name="Normaali 5" xfId="108" xr:uid="{00000000-0005-0000-0000-000033690000}"/>
    <cellStyle name="Normaali 5 10" xfId="25666" xr:uid="{00000000-0005-0000-0000-000034690000}"/>
    <cellStyle name="Normaali 5 2" xfId="391" xr:uid="{00000000-0005-0000-0000-000035690000}"/>
    <cellStyle name="Normaali 5 2 2" xfId="392" xr:uid="{00000000-0005-0000-0000-000036690000}"/>
    <cellStyle name="Normaali 5 2 2 2" xfId="4758" xr:uid="{00000000-0005-0000-0000-000037690000}"/>
    <cellStyle name="Normaali 5 2 2 2 2" xfId="10008" xr:uid="{00000000-0005-0000-0000-000038690000}"/>
    <cellStyle name="Normaali 5 2 2 2 3" xfId="18098" xr:uid="{00000000-0005-0000-0000-000039690000}"/>
    <cellStyle name="Normaali 5 2 2 2_DataIX" xfId="33896" xr:uid="{00000000-0005-0000-0000-00003A690000}"/>
    <cellStyle name="Normaali 5 2 2 3" xfId="4759" xr:uid="{00000000-0005-0000-0000-00003B690000}"/>
    <cellStyle name="Normaali 5 2 2 3 2" xfId="10009" xr:uid="{00000000-0005-0000-0000-00003C690000}"/>
    <cellStyle name="Normaali 5 2 2 3 3" xfId="18099" xr:uid="{00000000-0005-0000-0000-00003D690000}"/>
    <cellStyle name="Normaali 5 2 2 3_DataIX" xfId="33897" xr:uid="{00000000-0005-0000-0000-00003E690000}"/>
    <cellStyle name="Normaali 5 2 2 4" xfId="4757" xr:uid="{00000000-0005-0000-0000-00003F690000}"/>
    <cellStyle name="Normaali 5 2 2 4 2" xfId="10010" xr:uid="{00000000-0005-0000-0000-000040690000}"/>
    <cellStyle name="Normaali 5 2 2 4 3" xfId="18097" xr:uid="{00000000-0005-0000-0000-000041690000}"/>
    <cellStyle name="Normaali 5 2 2 4_DataIX" xfId="33898" xr:uid="{00000000-0005-0000-0000-000042690000}"/>
    <cellStyle name="Normaali 5 2 2 5" xfId="13927" xr:uid="{00000000-0005-0000-0000-000043690000}"/>
    <cellStyle name="Normaali 5 2 2 6" xfId="20595" xr:uid="{00000000-0005-0000-0000-000044690000}"/>
    <cellStyle name="Normaali 5 2 2_##Keskeiset" xfId="10007" xr:uid="{00000000-0005-0000-0000-000045690000}"/>
    <cellStyle name="Normaali 5 2 3" xfId="4760" xr:uid="{00000000-0005-0000-0000-000046690000}"/>
    <cellStyle name="Normaali 5 2 3 2" xfId="4761" xr:uid="{00000000-0005-0000-0000-000047690000}"/>
    <cellStyle name="Normaali 5 2 3 2 2" xfId="10012" xr:uid="{00000000-0005-0000-0000-000048690000}"/>
    <cellStyle name="Normaali 5 2 3 2 3" xfId="18101" xr:uid="{00000000-0005-0000-0000-000049690000}"/>
    <cellStyle name="Normaali 5 2 3 2_DataIX" xfId="33900" xr:uid="{00000000-0005-0000-0000-00004A690000}"/>
    <cellStyle name="Normaali 5 2 3 3" xfId="4762" xr:uid="{00000000-0005-0000-0000-00004B690000}"/>
    <cellStyle name="Normaali 5 2 3 3 2" xfId="10013" xr:uid="{00000000-0005-0000-0000-00004C690000}"/>
    <cellStyle name="Normaali 5 2 3 3 3" xfId="18102" xr:uid="{00000000-0005-0000-0000-00004D690000}"/>
    <cellStyle name="Normaali 5 2 3 3_DataIX" xfId="33901" xr:uid="{00000000-0005-0000-0000-00004E690000}"/>
    <cellStyle name="Normaali 5 2 3 4" xfId="10011" xr:uid="{00000000-0005-0000-0000-00004F690000}"/>
    <cellStyle name="Normaali 5 2 3 5" xfId="18100" xr:uid="{00000000-0005-0000-0000-000050690000}"/>
    <cellStyle name="Normaali 5 2 3 6" xfId="19081" xr:uid="{00000000-0005-0000-0000-000051690000}"/>
    <cellStyle name="Normaali 5 2 3_DataIX" xfId="33899" xr:uid="{00000000-0005-0000-0000-000052690000}"/>
    <cellStyle name="Normaali 5 2 4" xfId="4763" xr:uid="{00000000-0005-0000-0000-000053690000}"/>
    <cellStyle name="Normaali 5 2 4 2" xfId="4764" xr:uid="{00000000-0005-0000-0000-000054690000}"/>
    <cellStyle name="Normaali 5 2 4 2 2" xfId="10015" xr:uid="{00000000-0005-0000-0000-000055690000}"/>
    <cellStyle name="Normaali 5 2 4 2 3" xfId="18104" xr:uid="{00000000-0005-0000-0000-000056690000}"/>
    <cellStyle name="Normaali 5 2 4 2_DataIX" xfId="33903" xr:uid="{00000000-0005-0000-0000-000057690000}"/>
    <cellStyle name="Normaali 5 2 4 3" xfId="10014" xr:uid="{00000000-0005-0000-0000-000058690000}"/>
    <cellStyle name="Normaali 5 2 4 4" xfId="18103" xr:uid="{00000000-0005-0000-0000-000059690000}"/>
    <cellStyle name="Normaali 5 2 4 5" xfId="20561" xr:uid="{00000000-0005-0000-0000-00005A690000}"/>
    <cellStyle name="Normaali 5 2 4_DataIX" xfId="33902" xr:uid="{00000000-0005-0000-0000-00005B690000}"/>
    <cellStyle name="Normaali 5 2 5" xfId="4765" xr:uid="{00000000-0005-0000-0000-00005C690000}"/>
    <cellStyle name="Normaali 5 2 5 2" xfId="10016" xr:uid="{00000000-0005-0000-0000-00005D690000}"/>
    <cellStyle name="Normaali 5 2 5 3" xfId="18105" xr:uid="{00000000-0005-0000-0000-00005E690000}"/>
    <cellStyle name="Normaali 5 2 5_DataIX" xfId="33904" xr:uid="{00000000-0005-0000-0000-00005F690000}"/>
    <cellStyle name="Normaali 5 2 6" xfId="4766" xr:uid="{00000000-0005-0000-0000-000060690000}"/>
    <cellStyle name="Normaali 5 2 6 2" xfId="10017" xr:uid="{00000000-0005-0000-0000-000061690000}"/>
    <cellStyle name="Normaali 5 2 6 3" xfId="18106" xr:uid="{00000000-0005-0000-0000-000062690000}"/>
    <cellStyle name="Normaali 5 2 6_DataIX" xfId="33905" xr:uid="{00000000-0005-0000-0000-000063690000}"/>
    <cellStyle name="Normaali 5 2 7" xfId="4756" xr:uid="{00000000-0005-0000-0000-000064690000}"/>
    <cellStyle name="Normaali 5 2 7 2" xfId="10018" xr:uid="{00000000-0005-0000-0000-000065690000}"/>
    <cellStyle name="Normaali 5 2 7 3" xfId="18096" xr:uid="{00000000-0005-0000-0000-000066690000}"/>
    <cellStyle name="Normaali 5 2 7_DataIX" xfId="33906" xr:uid="{00000000-0005-0000-0000-000067690000}"/>
    <cellStyle name="Normaali 5 2 8" xfId="13926" xr:uid="{00000000-0005-0000-0000-000068690000}"/>
    <cellStyle name="Normaali 5 2 9" xfId="20249" xr:uid="{00000000-0005-0000-0000-000069690000}"/>
    <cellStyle name="Normaali 5 2_##Keskeiset" xfId="10006" xr:uid="{00000000-0005-0000-0000-00006A690000}"/>
    <cellStyle name="Normaali 5 3" xfId="393" xr:uid="{00000000-0005-0000-0000-00006B690000}"/>
    <cellStyle name="Normaali 5 3 2" xfId="4768" xr:uid="{00000000-0005-0000-0000-00006C690000}"/>
    <cellStyle name="Normaali 5 3 2 2" xfId="4769" xr:uid="{00000000-0005-0000-0000-00006D690000}"/>
    <cellStyle name="Normaali 5 3 2 2 2" xfId="10021" xr:uid="{00000000-0005-0000-0000-00006E690000}"/>
    <cellStyle name="Normaali 5 3 2 2 3" xfId="18109" xr:uid="{00000000-0005-0000-0000-00006F690000}"/>
    <cellStyle name="Normaali 5 3 2 2_DataIX" xfId="33908" xr:uid="{00000000-0005-0000-0000-000070690000}"/>
    <cellStyle name="Normaali 5 3 2 3" xfId="10020" xr:uid="{00000000-0005-0000-0000-000071690000}"/>
    <cellStyle name="Normaali 5 3 2 4" xfId="18108" xr:uid="{00000000-0005-0000-0000-000072690000}"/>
    <cellStyle name="Normaali 5 3 2_DataIX" xfId="33907" xr:uid="{00000000-0005-0000-0000-000073690000}"/>
    <cellStyle name="Normaali 5 3 3" xfId="4770" xr:uid="{00000000-0005-0000-0000-000074690000}"/>
    <cellStyle name="Normaali 5 3 3 2" xfId="4771" xr:uid="{00000000-0005-0000-0000-000075690000}"/>
    <cellStyle name="Normaali 5 3 3 2 2" xfId="10023" xr:uid="{00000000-0005-0000-0000-000076690000}"/>
    <cellStyle name="Normaali 5 3 3 2 3" xfId="18111" xr:uid="{00000000-0005-0000-0000-000077690000}"/>
    <cellStyle name="Normaali 5 3 3 2_DataIX" xfId="33910" xr:uid="{00000000-0005-0000-0000-000078690000}"/>
    <cellStyle name="Normaali 5 3 3 3" xfId="10022" xr:uid="{00000000-0005-0000-0000-000079690000}"/>
    <cellStyle name="Normaali 5 3 3 4" xfId="18110" xr:uid="{00000000-0005-0000-0000-00007A690000}"/>
    <cellStyle name="Normaali 5 3 3_DataIX" xfId="33909" xr:uid="{00000000-0005-0000-0000-00007B690000}"/>
    <cellStyle name="Normaali 5 3 4" xfId="4772" xr:uid="{00000000-0005-0000-0000-00007C690000}"/>
    <cellStyle name="Normaali 5 3 4 2" xfId="10024" xr:uid="{00000000-0005-0000-0000-00007D690000}"/>
    <cellStyle name="Normaali 5 3 4 3" xfId="18112" xr:uid="{00000000-0005-0000-0000-00007E690000}"/>
    <cellStyle name="Normaali 5 3 4_DataIX" xfId="33911" xr:uid="{00000000-0005-0000-0000-00007F690000}"/>
    <cellStyle name="Normaali 5 3 5" xfId="4773" xr:uid="{00000000-0005-0000-0000-000080690000}"/>
    <cellStyle name="Normaali 5 3 5 2" xfId="10025" xr:uid="{00000000-0005-0000-0000-000081690000}"/>
    <cellStyle name="Normaali 5 3 5 3" xfId="18113" xr:uid="{00000000-0005-0000-0000-000082690000}"/>
    <cellStyle name="Normaali 5 3 5_DataIX" xfId="33912" xr:uid="{00000000-0005-0000-0000-000083690000}"/>
    <cellStyle name="Normaali 5 3 6" xfId="4767" xr:uid="{00000000-0005-0000-0000-000084690000}"/>
    <cellStyle name="Normaali 5 3 6 2" xfId="10026" xr:uid="{00000000-0005-0000-0000-000085690000}"/>
    <cellStyle name="Normaali 5 3 6 3" xfId="18107" xr:uid="{00000000-0005-0000-0000-000086690000}"/>
    <cellStyle name="Normaali 5 3 6_DataIX" xfId="33913" xr:uid="{00000000-0005-0000-0000-000087690000}"/>
    <cellStyle name="Normaali 5 3 7" xfId="13928" xr:uid="{00000000-0005-0000-0000-000088690000}"/>
    <cellStyle name="Normaali 5 3 8" xfId="20252" xr:uid="{00000000-0005-0000-0000-000089690000}"/>
    <cellStyle name="Normaali 5 3_##Keskeiset" xfId="10019" xr:uid="{00000000-0005-0000-0000-00008A690000}"/>
    <cellStyle name="Normaali 5 4" xfId="4774" xr:uid="{00000000-0005-0000-0000-00008B690000}"/>
    <cellStyle name="Normaali 5 4 2" xfId="4775" xr:uid="{00000000-0005-0000-0000-00008C690000}"/>
    <cellStyle name="Normaali 5 4 2 2" xfId="10028" xr:uid="{00000000-0005-0000-0000-00008D690000}"/>
    <cellStyle name="Normaali 5 4 2 3" xfId="18115" xr:uid="{00000000-0005-0000-0000-00008E690000}"/>
    <cellStyle name="Normaali 5 4 2_DataIX" xfId="33914" xr:uid="{00000000-0005-0000-0000-00008F690000}"/>
    <cellStyle name="Normaali 5 4 3" xfId="4776" xr:uid="{00000000-0005-0000-0000-000090690000}"/>
    <cellStyle name="Normaali 5 4 3 2" xfId="10029" xr:uid="{00000000-0005-0000-0000-000091690000}"/>
    <cellStyle name="Normaali 5 4 3 3" xfId="18116" xr:uid="{00000000-0005-0000-0000-000092690000}"/>
    <cellStyle name="Normaali 5 4 3_DataIX" xfId="33915" xr:uid="{00000000-0005-0000-0000-000093690000}"/>
    <cellStyle name="Normaali 5 4 4" xfId="5643" xr:uid="{00000000-0005-0000-0000-000094690000}"/>
    <cellStyle name="Normaali 5 4 4 2" xfId="12734" xr:uid="{00000000-0005-0000-0000-000095690000}"/>
    <cellStyle name="Normaali 5 4 4 3" xfId="18859" xr:uid="{00000000-0005-0000-0000-000096690000}"/>
    <cellStyle name="Normaali 5 4 4_DataIX" xfId="33916" xr:uid="{00000000-0005-0000-0000-000097690000}"/>
    <cellStyle name="Normaali 5 4 5" xfId="18114" xr:uid="{00000000-0005-0000-0000-000098690000}"/>
    <cellStyle name="Normaali 5 4 6" xfId="19080" xr:uid="{00000000-0005-0000-0000-000099690000}"/>
    <cellStyle name="Normaali 5 4_##Keskeiset" xfId="10027" xr:uid="{00000000-0005-0000-0000-00009A690000}"/>
    <cellStyle name="Normaali 5 5" xfId="4777" xr:uid="{00000000-0005-0000-0000-00009B690000}"/>
    <cellStyle name="Normaali 5 5 2" xfId="4778" xr:uid="{00000000-0005-0000-0000-00009C690000}"/>
    <cellStyle name="Normaali 5 5 2 2" xfId="10031" xr:uid="{00000000-0005-0000-0000-00009D690000}"/>
    <cellStyle name="Normaali 5 5 2 3" xfId="18118" xr:uid="{00000000-0005-0000-0000-00009E690000}"/>
    <cellStyle name="Normaali 5 5 2_DataIX" xfId="33918" xr:uid="{00000000-0005-0000-0000-00009F690000}"/>
    <cellStyle name="Normaali 5 5 3" xfId="4779" xr:uid="{00000000-0005-0000-0000-0000A0690000}"/>
    <cellStyle name="Normaali 5 5 3 2" xfId="10032" xr:uid="{00000000-0005-0000-0000-0000A1690000}"/>
    <cellStyle name="Normaali 5 5 3 3" xfId="18119" xr:uid="{00000000-0005-0000-0000-0000A2690000}"/>
    <cellStyle name="Normaali 5 5 3_DataIX" xfId="33919" xr:uid="{00000000-0005-0000-0000-0000A3690000}"/>
    <cellStyle name="Normaali 5 5 4" xfId="10030" xr:uid="{00000000-0005-0000-0000-0000A4690000}"/>
    <cellStyle name="Normaali 5 5 5" xfId="18117" xr:uid="{00000000-0005-0000-0000-0000A5690000}"/>
    <cellStyle name="Normaali 5 5 6" xfId="19079" xr:uid="{00000000-0005-0000-0000-0000A6690000}"/>
    <cellStyle name="Normaali 5 5_DataIX" xfId="33917" xr:uid="{00000000-0005-0000-0000-0000A7690000}"/>
    <cellStyle name="Normaali 5 6" xfId="4780" xr:uid="{00000000-0005-0000-0000-0000A8690000}"/>
    <cellStyle name="Normaali 5 6 2" xfId="4781" xr:uid="{00000000-0005-0000-0000-0000A9690000}"/>
    <cellStyle name="Normaali 5 6 2 2" xfId="10034" xr:uid="{00000000-0005-0000-0000-0000AA690000}"/>
    <cellStyle name="Normaali 5 6 2 3" xfId="18121" xr:uid="{00000000-0005-0000-0000-0000AB690000}"/>
    <cellStyle name="Normaali 5 6 2_DataIX" xfId="33921" xr:uid="{00000000-0005-0000-0000-0000AC690000}"/>
    <cellStyle name="Normaali 5 6 3" xfId="10033" xr:uid="{00000000-0005-0000-0000-0000AD690000}"/>
    <cellStyle name="Normaali 5 6 4" xfId="18120" xr:uid="{00000000-0005-0000-0000-0000AE690000}"/>
    <cellStyle name="Normaali 5 6 5" xfId="20560" xr:uid="{00000000-0005-0000-0000-0000AF690000}"/>
    <cellStyle name="Normaali 5 6_DataIX" xfId="33920" xr:uid="{00000000-0005-0000-0000-0000B0690000}"/>
    <cellStyle name="Normaali 5 7" xfId="4782" xr:uid="{00000000-0005-0000-0000-0000B1690000}"/>
    <cellStyle name="Normaali 5 7 2" xfId="10035" xr:uid="{00000000-0005-0000-0000-0000B2690000}"/>
    <cellStyle name="Normaali 5 7 3" xfId="18122" xr:uid="{00000000-0005-0000-0000-0000B3690000}"/>
    <cellStyle name="Normaali 5 7_DataIX" xfId="33922" xr:uid="{00000000-0005-0000-0000-0000B4690000}"/>
    <cellStyle name="Normaali 5 8" xfId="4755" xr:uid="{00000000-0005-0000-0000-0000B5690000}"/>
    <cellStyle name="Normaali 5 8 2" xfId="10036" xr:uid="{00000000-0005-0000-0000-0000B6690000}"/>
    <cellStyle name="Normaali 5 8 3" xfId="18095" xr:uid="{00000000-0005-0000-0000-0000B7690000}"/>
    <cellStyle name="Normaali 5 8_DataIX" xfId="33923" xr:uid="{00000000-0005-0000-0000-0000B8690000}"/>
    <cellStyle name="Normaali 5 9" xfId="25046" xr:uid="{00000000-0005-0000-0000-0000B9690000}"/>
    <cellStyle name="Normaali 5_##Keskeiset" xfId="10005" xr:uid="{00000000-0005-0000-0000-0000BA690000}"/>
    <cellStyle name="Normaali 50" xfId="11172" xr:uid="{00000000-0005-0000-0000-0000BB690000}"/>
    <cellStyle name="Normaali 50 2" xfId="4783" xr:uid="{00000000-0005-0000-0000-0000BC690000}"/>
    <cellStyle name="Normaali 50 2 2" xfId="4784" xr:uid="{00000000-0005-0000-0000-0000BD690000}"/>
    <cellStyle name="Normaali 50 2 2 2" xfId="10038" xr:uid="{00000000-0005-0000-0000-0000BE690000}"/>
    <cellStyle name="Normaali 50 2 2 3" xfId="18124" xr:uid="{00000000-0005-0000-0000-0000BF690000}"/>
    <cellStyle name="Normaali 50 2 2_DataIX" xfId="33926" xr:uid="{00000000-0005-0000-0000-0000C0690000}"/>
    <cellStyle name="Normaali 50 2 3" xfId="10037" xr:uid="{00000000-0005-0000-0000-0000C1690000}"/>
    <cellStyle name="Normaali 50 2 4" xfId="18123" xr:uid="{00000000-0005-0000-0000-0000C2690000}"/>
    <cellStyle name="Normaali 50 2_DataIX" xfId="33925" xr:uid="{00000000-0005-0000-0000-0000C3690000}"/>
    <cellStyle name="Normaali 50 3" xfId="4785" xr:uid="{00000000-0005-0000-0000-0000C4690000}"/>
    <cellStyle name="Normaali 50 3 2" xfId="10039" xr:uid="{00000000-0005-0000-0000-0000C5690000}"/>
    <cellStyle name="Normaali 50 3 3" xfId="18125" xr:uid="{00000000-0005-0000-0000-0000C6690000}"/>
    <cellStyle name="Normaali 50 3_DataIX" xfId="33927" xr:uid="{00000000-0005-0000-0000-0000C7690000}"/>
    <cellStyle name="Normaali 50_DataIX" xfId="33924" xr:uid="{00000000-0005-0000-0000-0000C8690000}"/>
    <cellStyle name="Normaali 51" xfId="11326" xr:uid="{00000000-0005-0000-0000-0000C9690000}"/>
    <cellStyle name="Normaali 51 2" xfId="4786" xr:uid="{00000000-0005-0000-0000-0000CA690000}"/>
    <cellStyle name="Normaali 51 2 2" xfId="4787" xr:uid="{00000000-0005-0000-0000-0000CB690000}"/>
    <cellStyle name="Normaali 51 2 2 2" xfId="10041" xr:uid="{00000000-0005-0000-0000-0000CC690000}"/>
    <cellStyle name="Normaali 51 2 2 3" xfId="18127" xr:uid="{00000000-0005-0000-0000-0000CD690000}"/>
    <cellStyle name="Normaali 51 2 2_DataIX" xfId="33930" xr:uid="{00000000-0005-0000-0000-0000CE690000}"/>
    <cellStyle name="Normaali 51 2 3" xfId="10040" xr:uid="{00000000-0005-0000-0000-0000CF690000}"/>
    <cellStyle name="Normaali 51 2 4" xfId="18126" xr:uid="{00000000-0005-0000-0000-0000D0690000}"/>
    <cellStyle name="Normaali 51 2_DataIX" xfId="33929" xr:uid="{00000000-0005-0000-0000-0000D1690000}"/>
    <cellStyle name="Normaali 51 3" xfId="4788" xr:uid="{00000000-0005-0000-0000-0000D2690000}"/>
    <cellStyle name="Normaali 51 3 2" xfId="10042" xr:uid="{00000000-0005-0000-0000-0000D3690000}"/>
    <cellStyle name="Normaali 51 3 3" xfId="18128" xr:uid="{00000000-0005-0000-0000-0000D4690000}"/>
    <cellStyle name="Normaali 51 3_DataIX" xfId="33931" xr:uid="{00000000-0005-0000-0000-0000D5690000}"/>
    <cellStyle name="Normaali 51_DataIX" xfId="33928" xr:uid="{00000000-0005-0000-0000-0000D6690000}"/>
    <cellStyle name="Normaali 52" xfId="21570" xr:uid="{00000000-0005-0000-0000-0000D7690000}"/>
    <cellStyle name="Normaali 52 2" xfId="4789" xr:uid="{00000000-0005-0000-0000-0000D8690000}"/>
    <cellStyle name="Normaali 52 2 2" xfId="4790" xr:uid="{00000000-0005-0000-0000-0000D9690000}"/>
    <cellStyle name="Normaali 52 2 2 2" xfId="10044" xr:uid="{00000000-0005-0000-0000-0000DA690000}"/>
    <cellStyle name="Normaali 52 2 2 3" xfId="18130" xr:uid="{00000000-0005-0000-0000-0000DB690000}"/>
    <cellStyle name="Normaali 52 2 2_DataIX" xfId="33934" xr:uid="{00000000-0005-0000-0000-0000DC690000}"/>
    <cellStyle name="Normaali 52 2 3" xfId="10043" xr:uid="{00000000-0005-0000-0000-0000DD690000}"/>
    <cellStyle name="Normaali 52 2 4" xfId="18129" xr:uid="{00000000-0005-0000-0000-0000DE690000}"/>
    <cellStyle name="Normaali 52 2_DataIX" xfId="33933" xr:uid="{00000000-0005-0000-0000-0000DF690000}"/>
    <cellStyle name="Normaali 52_DataIX" xfId="33932" xr:uid="{00000000-0005-0000-0000-0000E0690000}"/>
    <cellStyle name="Normaali 53" xfId="27755" xr:uid="{00000000-0005-0000-0000-0000E1690000}"/>
    <cellStyle name="Normaali 53 2" xfId="4791" xr:uid="{00000000-0005-0000-0000-0000E2690000}"/>
    <cellStyle name="Normaali 53 2 2" xfId="10045" xr:uid="{00000000-0005-0000-0000-0000E3690000}"/>
    <cellStyle name="Normaali 53 2 3" xfId="18131" xr:uid="{00000000-0005-0000-0000-0000E4690000}"/>
    <cellStyle name="Normaali 53 2_DataIX" xfId="33936" xr:uid="{00000000-0005-0000-0000-0000E5690000}"/>
    <cellStyle name="Normaali 53_DataIX" xfId="33935" xr:uid="{00000000-0005-0000-0000-0000E6690000}"/>
    <cellStyle name="Normaali 54" xfId="28572" xr:uid="{00000000-0005-0000-0000-0000E7690000}"/>
    <cellStyle name="Normaali 54 2" xfId="4792" xr:uid="{00000000-0005-0000-0000-0000E8690000}"/>
    <cellStyle name="Normaali 54 2 2" xfId="10046" xr:uid="{00000000-0005-0000-0000-0000E9690000}"/>
    <cellStyle name="Normaali 54 2 3" xfId="18132" xr:uid="{00000000-0005-0000-0000-0000EA690000}"/>
    <cellStyle name="Normaali 54 2_DataIX" xfId="33938" xr:uid="{00000000-0005-0000-0000-0000EB690000}"/>
    <cellStyle name="Normaali 54_DataIX" xfId="33937" xr:uid="{00000000-0005-0000-0000-0000EC690000}"/>
    <cellStyle name="Normaali 55" xfId="28573" xr:uid="{00000000-0005-0000-0000-0000ED690000}"/>
    <cellStyle name="Normaali 55 2" xfId="4793" xr:uid="{00000000-0005-0000-0000-0000EE690000}"/>
    <cellStyle name="Normaali 55 2 2" xfId="10047" xr:uid="{00000000-0005-0000-0000-0000EF690000}"/>
    <cellStyle name="Normaali 55 2 3" xfId="18133" xr:uid="{00000000-0005-0000-0000-0000F0690000}"/>
    <cellStyle name="Normaali 55 2_DataIX" xfId="33940" xr:uid="{00000000-0005-0000-0000-0000F1690000}"/>
    <cellStyle name="Normaali 55_DataIX" xfId="33939" xr:uid="{00000000-0005-0000-0000-0000F2690000}"/>
    <cellStyle name="Normaali 56" xfId="28574" xr:uid="{00000000-0005-0000-0000-0000F3690000}"/>
    <cellStyle name="Normaali 56 2" xfId="4794" xr:uid="{00000000-0005-0000-0000-0000F4690000}"/>
    <cellStyle name="Normaali 56 2 2" xfId="4795" xr:uid="{00000000-0005-0000-0000-0000F5690000}"/>
    <cellStyle name="Normaali 56 2 2 2" xfId="10049" xr:uid="{00000000-0005-0000-0000-0000F6690000}"/>
    <cellStyle name="Normaali 56 2 2 3" xfId="18135" xr:uid="{00000000-0005-0000-0000-0000F7690000}"/>
    <cellStyle name="Normaali 56 2 2_DataIX" xfId="33943" xr:uid="{00000000-0005-0000-0000-0000F8690000}"/>
    <cellStyle name="Normaali 56 2 3" xfId="4796" xr:uid="{00000000-0005-0000-0000-0000F9690000}"/>
    <cellStyle name="Normaali 56 2 3 2" xfId="10050" xr:uid="{00000000-0005-0000-0000-0000FA690000}"/>
    <cellStyle name="Normaali 56 2 3 3" xfId="18136" xr:uid="{00000000-0005-0000-0000-0000FB690000}"/>
    <cellStyle name="Normaali 56 2 3_DataIX" xfId="33944" xr:uid="{00000000-0005-0000-0000-0000FC690000}"/>
    <cellStyle name="Normaali 56 2 4" xfId="4797" xr:uid="{00000000-0005-0000-0000-0000FD690000}"/>
    <cellStyle name="Normaali 56 2 4 2" xfId="10051" xr:uid="{00000000-0005-0000-0000-0000FE690000}"/>
    <cellStyle name="Normaali 56 2 4 3" xfId="18137" xr:uid="{00000000-0005-0000-0000-0000FF690000}"/>
    <cellStyle name="Normaali 56 2 4_DataIX" xfId="33945" xr:uid="{00000000-0005-0000-0000-0000006A0000}"/>
    <cellStyle name="Normaali 56 2 5" xfId="10048" xr:uid="{00000000-0005-0000-0000-0000016A0000}"/>
    <cellStyle name="Normaali 56 2 6" xfId="18134" xr:uid="{00000000-0005-0000-0000-0000026A0000}"/>
    <cellStyle name="Normaali 56 2_DataIX" xfId="33942" xr:uid="{00000000-0005-0000-0000-0000036A0000}"/>
    <cellStyle name="Normaali 56 3" xfId="4798" xr:uid="{00000000-0005-0000-0000-0000046A0000}"/>
    <cellStyle name="Normaali 56 3 2" xfId="4799" xr:uid="{00000000-0005-0000-0000-0000056A0000}"/>
    <cellStyle name="Normaali 56 3 2 2" xfId="10053" xr:uid="{00000000-0005-0000-0000-0000066A0000}"/>
    <cellStyle name="Normaali 56 3 2 3" xfId="18139" xr:uid="{00000000-0005-0000-0000-0000076A0000}"/>
    <cellStyle name="Normaali 56 3 2_DataIX" xfId="33947" xr:uid="{00000000-0005-0000-0000-0000086A0000}"/>
    <cellStyle name="Normaali 56 3 3" xfId="4800" xr:uid="{00000000-0005-0000-0000-0000096A0000}"/>
    <cellStyle name="Normaali 56 3 3 2" xfId="10054" xr:uid="{00000000-0005-0000-0000-00000A6A0000}"/>
    <cellStyle name="Normaali 56 3 3 3" xfId="18140" xr:uid="{00000000-0005-0000-0000-00000B6A0000}"/>
    <cellStyle name="Normaali 56 3 3_DataIX" xfId="33948" xr:uid="{00000000-0005-0000-0000-00000C6A0000}"/>
    <cellStyle name="Normaali 56 3 4" xfId="4801" xr:uid="{00000000-0005-0000-0000-00000D6A0000}"/>
    <cellStyle name="Normaali 56 3 4 2" xfId="10055" xr:uid="{00000000-0005-0000-0000-00000E6A0000}"/>
    <cellStyle name="Normaali 56 3 4 3" xfId="18141" xr:uid="{00000000-0005-0000-0000-00000F6A0000}"/>
    <cellStyle name="Normaali 56 3 4_DataIX" xfId="33949" xr:uid="{00000000-0005-0000-0000-0000106A0000}"/>
    <cellStyle name="Normaali 56 3 5" xfId="10052" xr:uid="{00000000-0005-0000-0000-0000116A0000}"/>
    <cellStyle name="Normaali 56 3 6" xfId="18138" xr:uid="{00000000-0005-0000-0000-0000126A0000}"/>
    <cellStyle name="Normaali 56 3_DataIX" xfId="33946" xr:uid="{00000000-0005-0000-0000-0000136A0000}"/>
    <cellStyle name="Normaali 56 4" xfId="4802" xr:uid="{00000000-0005-0000-0000-0000146A0000}"/>
    <cellStyle name="Normaali 56 4 2" xfId="10056" xr:uid="{00000000-0005-0000-0000-0000156A0000}"/>
    <cellStyle name="Normaali 56 4 3" xfId="18142" xr:uid="{00000000-0005-0000-0000-0000166A0000}"/>
    <cellStyle name="Normaali 56 4_DataIX" xfId="33950" xr:uid="{00000000-0005-0000-0000-0000176A0000}"/>
    <cellStyle name="Normaali 56_DataIX" xfId="33941" xr:uid="{00000000-0005-0000-0000-0000186A0000}"/>
    <cellStyle name="Normaali 57" xfId="28575" xr:uid="{00000000-0005-0000-0000-0000196A0000}"/>
    <cellStyle name="Normaali 57 2" xfId="4803" xr:uid="{00000000-0005-0000-0000-00001A6A0000}"/>
    <cellStyle name="Normaali 57 2 2" xfId="10057" xr:uid="{00000000-0005-0000-0000-00001B6A0000}"/>
    <cellStyle name="Normaali 57 2 3" xfId="18143" xr:uid="{00000000-0005-0000-0000-00001C6A0000}"/>
    <cellStyle name="Normaali 57 2_DataIX" xfId="33952" xr:uid="{00000000-0005-0000-0000-00001D6A0000}"/>
    <cellStyle name="Normaali 57_DataIX" xfId="33951" xr:uid="{00000000-0005-0000-0000-00001E6A0000}"/>
    <cellStyle name="Normaali 58" xfId="28576" xr:uid="{00000000-0005-0000-0000-00001F6A0000}"/>
    <cellStyle name="Normaali 58 2" xfId="4804" xr:uid="{00000000-0005-0000-0000-0000206A0000}"/>
    <cellStyle name="Normaali 58 2 2" xfId="10058" xr:uid="{00000000-0005-0000-0000-0000216A0000}"/>
    <cellStyle name="Normaali 58 2 3" xfId="18144" xr:uid="{00000000-0005-0000-0000-0000226A0000}"/>
    <cellStyle name="Normaali 58 2_DataIX" xfId="33954" xr:uid="{00000000-0005-0000-0000-0000236A0000}"/>
    <cellStyle name="Normaali 58_DataIX" xfId="33953" xr:uid="{00000000-0005-0000-0000-0000246A0000}"/>
    <cellStyle name="Normaali 59" xfId="28577" xr:uid="{00000000-0005-0000-0000-0000256A0000}"/>
    <cellStyle name="Normaali 59 2" xfId="4805" xr:uid="{00000000-0005-0000-0000-0000266A0000}"/>
    <cellStyle name="Normaali 59 2 2" xfId="10059" xr:uid="{00000000-0005-0000-0000-0000276A0000}"/>
    <cellStyle name="Normaali 59 2 3" xfId="18145" xr:uid="{00000000-0005-0000-0000-0000286A0000}"/>
    <cellStyle name="Normaali 59 2_DataIX" xfId="33956" xr:uid="{00000000-0005-0000-0000-0000296A0000}"/>
    <cellStyle name="Normaali 59_DataIX" xfId="33955" xr:uid="{00000000-0005-0000-0000-00002A6A0000}"/>
    <cellStyle name="Normaali 6" xfId="109" xr:uid="{00000000-0005-0000-0000-00002B6A0000}"/>
    <cellStyle name="Normaali 6 10" xfId="4807" xr:uid="{00000000-0005-0000-0000-00002C6A0000}"/>
    <cellStyle name="Normaali 6 10 2" xfId="10061" xr:uid="{00000000-0005-0000-0000-00002D6A0000}"/>
    <cellStyle name="Normaali 6 10 3" xfId="18147" xr:uid="{00000000-0005-0000-0000-00002E6A0000}"/>
    <cellStyle name="Normaali 6 10_DataIX" xfId="33957" xr:uid="{00000000-0005-0000-0000-00002F6A0000}"/>
    <cellStyle name="Normaali 6 11" xfId="4808" xr:uid="{00000000-0005-0000-0000-0000306A0000}"/>
    <cellStyle name="Normaali 6 11 2" xfId="10062" xr:uid="{00000000-0005-0000-0000-0000316A0000}"/>
    <cellStyle name="Normaali 6 11 3" xfId="18148" xr:uid="{00000000-0005-0000-0000-0000326A0000}"/>
    <cellStyle name="Normaali 6 11_DataIX" xfId="33958" xr:uid="{00000000-0005-0000-0000-0000336A0000}"/>
    <cellStyle name="Normaali 6 12" xfId="4806" xr:uid="{00000000-0005-0000-0000-0000346A0000}"/>
    <cellStyle name="Normaali 6 12 2" xfId="10063" xr:uid="{00000000-0005-0000-0000-0000356A0000}"/>
    <cellStyle name="Normaali 6 12 3" xfId="18146" xr:uid="{00000000-0005-0000-0000-0000366A0000}"/>
    <cellStyle name="Normaali 6 12_DataIX" xfId="33959" xr:uid="{00000000-0005-0000-0000-0000376A0000}"/>
    <cellStyle name="Normaali 6 13" xfId="25169" xr:uid="{00000000-0005-0000-0000-0000386A0000}"/>
    <cellStyle name="Normaali 6 14" xfId="25638" xr:uid="{00000000-0005-0000-0000-0000396A0000}"/>
    <cellStyle name="Normaali 6 15" xfId="25767" xr:uid="{00000000-0005-0000-0000-00003A6A0000}"/>
    <cellStyle name="Normaali 6 16" xfId="25600" xr:uid="{00000000-0005-0000-0000-00003B6A0000}"/>
    <cellStyle name="Normaali 6 17" xfId="25290" xr:uid="{00000000-0005-0000-0000-00003C6A0000}"/>
    <cellStyle name="Normaali 6 18" xfId="25382" xr:uid="{00000000-0005-0000-0000-00003D6A0000}"/>
    <cellStyle name="Normaali 6 19" xfId="26611" xr:uid="{00000000-0005-0000-0000-00003E6A0000}"/>
    <cellStyle name="Normaali 6 2" xfId="215" xr:uid="{00000000-0005-0000-0000-00003F6A0000}"/>
    <cellStyle name="Normaali 6 2 10" xfId="25736" xr:uid="{00000000-0005-0000-0000-0000406A0000}"/>
    <cellStyle name="Normaali 6 2 2" xfId="4810" xr:uid="{00000000-0005-0000-0000-0000416A0000}"/>
    <cellStyle name="Normaali 6 2 2 2" xfId="4811" xr:uid="{00000000-0005-0000-0000-0000426A0000}"/>
    <cellStyle name="Normaali 6 2 2 2 2" xfId="10066" xr:uid="{00000000-0005-0000-0000-0000436A0000}"/>
    <cellStyle name="Normaali 6 2 2 2 3" xfId="18151" xr:uid="{00000000-0005-0000-0000-0000446A0000}"/>
    <cellStyle name="Normaali 6 2 2 2_DataIX" xfId="33961" xr:uid="{00000000-0005-0000-0000-0000456A0000}"/>
    <cellStyle name="Normaali 6 2 2 3" xfId="4812" xr:uid="{00000000-0005-0000-0000-0000466A0000}"/>
    <cellStyle name="Normaali 6 2 2 3 2" xfId="10067" xr:uid="{00000000-0005-0000-0000-0000476A0000}"/>
    <cellStyle name="Normaali 6 2 2 3 3" xfId="18152" xr:uid="{00000000-0005-0000-0000-0000486A0000}"/>
    <cellStyle name="Normaali 6 2 2 3_DataIX" xfId="33962" xr:uid="{00000000-0005-0000-0000-0000496A0000}"/>
    <cellStyle name="Normaali 6 2 2 4" xfId="10065" xr:uid="{00000000-0005-0000-0000-00004A6A0000}"/>
    <cellStyle name="Normaali 6 2 2 5" xfId="18150" xr:uid="{00000000-0005-0000-0000-00004B6A0000}"/>
    <cellStyle name="Normaali 6 2 2 6" xfId="19078" xr:uid="{00000000-0005-0000-0000-00004C6A0000}"/>
    <cellStyle name="Normaali 6 2 2_DataIX" xfId="33960" xr:uid="{00000000-0005-0000-0000-00004D6A0000}"/>
    <cellStyle name="Normaali 6 2 3" xfId="4813" xr:uid="{00000000-0005-0000-0000-00004E6A0000}"/>
    <cellStyle name="Normaali 6 2 3 2" xfId="4814" xr:uid="{00000000-0005-0000-0000-00004F6A0000}"/>
    <cellStyle name="Normaali 6 2 3 2 2" xfId="10069" xr:uid="{00000000-0005-0000-0000-0000506A0000}"/>
    <cellStyle name="Normaali 6 2 3 2 3" xfId="18154" xr:uid="{00000000-0005-0000-0000-0000516A0000}"/>
    <cellStyle name="Normaali 6 2 3 2_DataIX" xfId="33964" xr:uid="{00000000-0005-0000-0000-0000526A0000}"/>
    <cellStyle name="Normaali 6 2 3 3" xfId="10068" xr:uid="{00000000-0005-0000-0000-0000536A0000}"/>
    <cellStyle name="Normaali 6 2 3 4" xfId="18153" xr:uid="{00000000-0005-0000-0000-0000546A0000}"/>
    <cellStyle name="Normaali 6 2 3_DataIX" xfId="33963" xr:uid="{00000000-0005-0000-0000-0000556A0000}"/>
    <cellStyle name="Normaali 6 2 4" xfId="4815" xr:uid="{00000000-0005-0000-0000-0000566A0000}"/>
    <cellStyle name="Normaali 6 2 4 2" xfId="10070" xr:uid="{00000000-0005-0000-0000-0000576A0000}"/>
    <cellStyle name="Normaali 6 2 4 3" xfId="18155" xr:uid="{00000000-0005-0000-0000-0000586A0000}"/>
    <cellStyle name="Normaali 6 2 4_DataIX" xfId="33965" xr:uid="{00000000-0005-0000-0000-0000596A0000}"/>
    <cellStyle name="Normaali 6 2 5" xfId="4816" xr:uid="{00000000-0005-0000-0000-00005A6A0000}"/>
    <cellStyle name="Normaali 6 2 5 2" xfId="10071" xr:uid="{00000000-0005-0000-0000-00005B6A0000}"/>
    <cellStyle name="Normaali 6 2 5 3" xfId="18156" xr:uid="{00000000-0005-0000-0000-00005C6A0000}"/>
    <cellStyle name="Normaali 6 2 5_DataIX" xfId="33966" xr:uid="{00000000-0005-0000-0000-00005D6A0000}"/>
    <cellStyle name="Normaali 6 2 6" xfId="4809" xr:uid="{00000000-0005-0000-0000-00005E6A0000}"/>
    <cellStyle name="Normaali 6 2 6 2" xfId="10072" xr:uid="{00000000-0005-0000-0000-00005F6A0000}"/>
    <cellStyle name="Normaali 6 2 6 3" xfId="18149" xr:uid="{00000000-0005-0000-0000-0000606A0000}"/>
    <cellStyle name="Normaali 6 2 6_DataIX" xfId="33967" xr:uid="{00000000-0005-0000-0000-0000616A0000}"/>
    <cellStyle name="Normaali 6 2 7" xfId="25170" xr:uid="{00000000-0005-0000-0000-0000626A0000}"/>
    <cellStyle name="Normaali 6 2 8" xfId="26474" xr:uid="{00000000-0005-0000-0000-0000636A0000}"/>
    <cellStyle name="Normaali 6 2 9" xfId="25963" xr:uid="{00000000-0005-0000-0000-0000646A0000}"/>
    <cellStyle name="Normaali 6 2_##Keskeiset" xfId="10064" xr:uid="{00000000-0005-0000-0000-0000656A0000}"/>
    <cellStyle name="Normaali 6 20" xfId="26681" xr:uid="{00000000-0005-0000-0000-0000666A0000}"/>
    <cellStyle name="Normaali 6 21" xfId="25444" xr:uid="{00000000-0005-0000-0000-0000676A0000}"/>
    <cellStyle name="Normaali 6 22" xfId="26219" xr:uid="{00000000-0005-0000-0000-0000686A0000}"/>
    <cellStyle name="Normaali 6 23" xfId="26244" xr:uid="{00000000-0005-0000-0000-0000696A0000}"/>
    <cellStyle name="Normaali 6 24" xfId="25716" xr:uid="{00000000-0005-0000-0000-00006A6A0000}"/>
    <cellStyle name="Normaali 6 25" xfId="26520" xr:uid="{00000000-0005-0000-0000-00006B6A0000}"/>
    <cellStyle name="Normaali 6 26" xfId="25741" xr:uid="{00000000-0005-0000-0000-00006C6A0000}"/>
    <cellStyle name="Normaali 6 27" xfId="26608" xr:uid="{00000000-0005-0000-0000-00006D6A0000}"/>
    <cellStyle name="Normaali 6 28" xfId="26720" xr:uid="{00000000-0005-0000-0000-00006E6A0000}"/>
    <cellStyle name="Normaali 6 3" xfId="216" xr:uid="{00000000-0005-0000-0000-00006F6A0000}"/>
    <cellStyle name="Normaali 6 3 10" xfId="25454" xr:uid="{00000000-0005-0000-0000-0000706A0000}"/>
    <cellStyle name="Normaali 6 3 2" xfId="4818" xr:uid="{00000000-0005-0000-0000-0000716A0000}"/>
    <cellStyle name="Normaali 6 3 2 2" xfId="4819" xr:uid="{00000000-0005-0000-0000-0000726A0000}"/>
    <cellStyle name="Normaali 6 3 2 2 2" xfId="10075" xr:uid="{00000000-0005-0000-0000-0000736A0000}"/>
    <cellStyle name="Normaali 6 3 2 2 3" xfId="18159" xr:uid="{00000000-0005-0000-0000-0000746A0000}"/>
    <cellStyle name="Normaali 6 3 2 2_DataIX" xfId="33969" xr:uid="{00000000-0005-0000-0000-0000756A0000}"/>
    <cellStyle name="Normaali 6 3 2 3" xfId="10074" xr:uid="{00000000-0005-0000-0000-0000766A0000}"/>
    <cellStyle name="Normaali 6 3 2 4" xfId="18158" xr:uid="{00000000-0005-0000-0000-0000776A0000}"/>
    <cellStyle name="Normaali 6 3 2_DataIX" xfId="33968" xr:uid="{00000000-0005-0000-0000-0000786A0000}"/>
    <cellStyle name="Normaali 6 3 3" xfId="4820" xr:uid="{00000000-0005-0000-0000-0000796A0000}"/>
    <cellStyle name="Normaali 6 3 3 2" xfId="4821" xr:uid="{00000000-0005-0000-0000-00007A6A0000}"/>
    <cellStyle name="Normaali 6 3 3 2 2" xfId="10077" xr:uid="{00000000-0005-0000-0000-00007B6A0000}"/>
    <cellStyle name="Normaali 6 3 3 2 3" xfId="18161" xr:uid="{00000000-0005-0000-0000-00007C6A0000}"/>
    <cellStyle name="Normaali 6 3 3 2_DataIX" xfId="33971" xr:uid="{00000000-0005-0000-0000-00007D6A0000}"/>
    <cellStyle name="Normaali 6 3 3 3" xfId="10076" xr:uid="{00000000-0005-0000-0000-00007E6A0000}"/>
    <cellStyle name="Normaali 6 3 3 4" xfId="18160" xr:uid="{00000000-0005-0000-0000-00007F6A0000}"/>
    <cellStyle name="Normaali 6 3 3_DataIX" xfId="33970" xr:uid="{00000000-0005-0000-0000-0000806A0000}"/>
    <cellStyle name="Normaali 6 3 4" xfId="4822" xr:uid="{00000000-0005-0000-0000-0000816A0000}"/>
    <cellStyle name="Normaali 6 3 4 2" xfId="10078" xr:uid="{00000000-0005-0000-0000-0000826A0000}"/>
    <cellStyle name="Normaali 6 3 4 3" xfId="18162" xr:uid="{00000000-0005-0000-0000-0000836A0000}"/>
    <cellStyle name="Normaali 6 3 4_DataIX" xfId="33972" xr:uid="{00000000-0005-0000-0000-0000846A0000}"/>
    <cellStyle name="Normaali 6 3 5" xfId="4823" xr:uid="{00000000-0005-0000-0000-0000856A0000}"/>
    <cellStyle name="Normaali 6 3 5 2" xfId="10079" xr:uid="{00000000-0005-0000-0000-0000866A0000}"/>
    <cellStyle name="Normaali 6 3 5 3" xfId="18163" xr:uid="{00000000-0005-0000-0000-0000876A0000}"/>
    <cellStyle name="Normaali 6 3 5_DataIX" xfId="33973" xr:uid="{00000000-0005-0000-0000-0000886A0000}"/>
    <cellStyle name="Normaali 6 3 6" xfId="4817" xr:uid="{00000000-0005-0000-0000-0000896A0000}"/>
    <cellStyle name="Normaali 6 3 6 2" xfId="10080" xr:uid="{00000000-0005-0000-0000-00008A6A0000}"/>
    <cellStyle name="Normaali 6 3 6 3" xfId="18157" xr:uid="{00000000-0005-0000-0000-00008B6A0000}"/>
    <cellStyle name="Normaali 6 3 6_DataIX" xfId="33974" xr:uid="{00000000-0005-0000-0000-00008C6A0000}"/>
    <cellStyle name="Normaali 6 3 7" xfId="25171" xr:uid="{00000000-0005-0000-0000-00008D6A0000}"/>
    <cellStyle name="Normaali 6 3 8" xfId="26135" xr:uid="{00000000-0005-0000-0000-00008E6A0000}"/>
    <cellStyle name="Normaali 6 3 9" xfId="26576" xr:uid="{00000000-0005-0000-0000-00008F6A0000}"/>
    <cellStyle name="Normaali 6 3_##Keskeiset" xfId="10073" xr:uid="{00000000-0005-0000-0000-0000906A0000}"/>
    <cellStyle name="Normaali 6 4" xfId="4824" xr:uid="{00000000-0005-0000-0000-0000916A0000}"/>
    <cellStyle name="Normaali 6 4 2" xfId="4825" xr:uid="{00000000-0005-0000-0000-0000926A0000}"/>
    <cellStyle name="Normaali 6 4 2 2" xfId="10082" xr:uid="{00000000-0005-0000-0000-0000936A0000}"/>
    <cellStyle name="Normaali 6 4 2 3" xfId="18165" xr:uid="{00000000-0005-0000-0000-0000946A0000}"/>
    <cellStyle name="Normaali 6 4 2_DataIX" xfId="33976" xr:uid="{00000000-0005-0000-0000-0000956A0000}"/>
    <cellStyle name="Normaali 6 4 3" xfId="4826" xr:uid="{00000000-0005-0000-0000-0000966A0000}"/>
    <cellStyle name="Normaali 6 4 3 2" xfId="10083" xr:uid="{00000000-0005-0000-0000-0000976A0000}"/>
    <cellStyle name="Normaali 6 4 3 3" xfId="18166" xr:uid="{00000000-0005-0000-0000-0000986A0000}"/>
    <cellStyle name="Normaali 6 4 3_DataIX" xfId="33977" xr:uid="{00000000-0005-0000-0000-0000996A0000}"/>
    <cellStyle name="Normaali 6 4 4" xfId="10081" xr:uid="{00000000-0005-0000-0000-00009A6A0000}"/>
    <cellStyle name="Normaali 6 4 5" xfId="18164" xr:uid="{00000000-0005-0000-0000-00009B6A0000}"/>
    <cellStyle name="Normaali 6 4 6" xfId="19077" xr:uid="{00000000-0005-0000-0000-00009C6A0000}"/>
    <cellStyle name="Normaali 6 4_DataIX" xfId="33975" xr:uid="{00000000-0005-0000-0000-00009D6A0000}"/>
    <cellStyle name="Normaali 6 5" xfId="4827" xr:uid="{00000000-0005-0000-0000-00009E6A0000}"/>
    <cellStyle name="Normaali 6 5 2" xfId="4828" xr:uid="{00000000-0005-0000-0000-00009F6A0000}"/>
    <cellStyle name="Normaali 6 5 2 2" xfId="4829" xr:uid="{00000000-0005-0000-0000-0000A06A0000}"/>
    <cellStyle name="Normaali 6 5 2 2 2" xfId="10086" xr:uid="{00000000-0005-0000-0000-0000A16A0000}"/>
    <cellStyle name="Normaali 6 5 2 2 3" xfId="18169" xr:uid="{00000000-0005-0000-0000-0000A26A0000}"/>
    <cellStyle name="Normaali 6 5 2 2_DataIX" xfId="33980" xr:uid="{00000000-0005-0000-0000-0000A36A0000}"/>
    <cellStyle name="Normaali 6 5 2 3" xfId="10085" xr:uid="{00000000-0005-0000-0000-0000A46A0000}"/>
    <cellStyle name="Normaali 6 5 2 4" xfId="18168" xr:uid="{00000000-0005-0000-0000-0000A56A0000}"/>
    <cellStyle name="Normaali 6 5 2_DataIX" xfId="33979" xr:uid="{00000000-0005-0000-0000-0000A66A0000}"/>
    <cellStyle name="Normaali 6 5 3" xfId="4830" xr:uid="{00000000-0005-0000-0000-0000A76A0000}"/>
    <cellStyle name="Normaali 6 5 3 2" xfId="10087" xr:uid="{00000000-0005-0000-0000-0000A86A0000}"/>
    <cellStyle name="Normaali 6 5 3 3" xfId="18170" xr:uid="{00000000-0005-0000-0000-0000A96A0000}"/>
    <cellStyle name="Normaali 6 5 3_DataIX" xfId="33981" xr:uid="{00000000-0005-0000-0000-0000AA6A0000}"/>
    <cellStyle name="Normaali 6 5 4" xfId="10084" xr:uid="{00000000-0005-0000-0000-0000AB6A0000}"/>
    <cellStyle name="Normaali 6 5 5" xfId="18167" xr:uid="{00000000-0005-0000-0000-0000AC6A0000}"/>
    <cellStyle name="Normaali 6 5_DataIX" xfId="33978" xr:uid="{00000000-0005-0000-0000-0000AD6A0000}"/>
    <cellStyle name="Normaali 6 6" xfId="4831" xr:uid="{00000000-0005-0000-0000-0000AE6A0000}"/>
    <cellStyle name="Normaali 6 6 2" xfId="4832" xr:uid="{00000000-0005-0000-0000-0000AF6A0000}"/>
    <cellStyle name="Normaali 6 6 2 2" xfId="10089" xr:uid="{00000000-0005-0000-0000-0000B06A0000}"/>
    <cellStyle name="Normaali 6 6 2 3" xfId="18172" xr:uid="{00000000-0005-0000-0000-0000B16A0000}"/>
    <cellStyle name="Normaali 6 6 2_DataIX" xfId="33983" xr:uid="{00000000-0005-0000-0000-0000B26A0000}"/>
    <cellStyle name="Normaali 6 6 3" xfId="4833" xr:uid="{00000000-0005-0000-0000-0000B36A0000}"/>
    <cellStyle name="Normaali 6 6 3 2" xfId="10090" xr:uid="{00000000-0005-0000-0000-0000B46A0000}"/>
    <cellStyle name="Normaali 6 6 3 3" xfId="18173" xr:uid="{00000000-0005-0000-0000-0000B56A0000}"/>
    <cellStyle name="Normaali 6 6 3_DataIX" xfId="33984" xr:uid="{00000000-0005-0000-0000-0000B66A0000}"/>
    <cellStyle name="Normaali 6 6 4" xfId="10088" xr:uid="{00000000-0005-0000-0000-0000B76A0000}"/>
    <cellStyle name="Normaali 6 6 5" xfId="18171" xr:uid="{00000000-0005-0000-0000-0000B86A0000}"/>
    <cellStyle name="Normaali 6 6_DataIX" xfId="33982" xr:uid="{00000000-0005-0000-0000-0000B96A0000}"/>
    <cellStyle name="Normaali 6 7" xfId="4834" xr:uid="{00000000-0005-0000-0000-0000BA6A0000}"/>
    <cellStyle name="Normaali 6 7 2" xfId="4835" xr:uid="{00000000-0005-0000-0000-0000BB6A0000}"/>
    <cellStyle name="Normaali 6 7 2 2" xfId="10092" xr:uid="{00000000-0005-0000-0000-0000BC6A0000}"/>
    <cellStyle name="Normaali 6 7 2 3" xfId="18175" xr:uid="{00000000-0005-0000-0000-0000BD6A0000}"/>
    <cellStyle name="Normaali 6 7 2_DataIX" xfId="33986" xr:uid="{00000000-0005-0000-0000-0000BE6A0000}"/>
    <cellStyle name="Normaali 6 7 3" xfId="10091" xr:uid="{00000000-0005-0000-0000-0000BF6A0000}"/>
    <cellStyle name="Normaali 6 7 4" xfId="18174" xr:uid="{00000000-0005-0000-0000-0000C06A0000}"/>
    <cellStyle name="Normaali 6 7_DataIX" xfId="33985" xr:uid="{00000000-0005-0000-0000-0000C16A0000}"/>
    <cellStyle name="Normaali 6 8" xfId="4836" xr:uid="{00000000-0005-0000-0000-0000C26A0000}"/>
    <cellStyle name="Normaali 6 8 2" xfId="10093" xr:uid="{00000000-0005-0000-0000-0000C36A0000}"/>
    <cellStyle name="Normaali 6 8 3" xfId="18176" xr:uid="{00000000-0005-0000-0000-0000C46A0000}"/>
    <cellStyle name="Normaali 6 8_DataIX" xfId="33987" xr:uid="{00000000-0005-0000-0000-0000C56A0000}"/>
    <cellStyle name="Normaali 6 9" xfId="4837" xr:uid="{00000000-0005-0000-0000-0000C66A0000}"/>
    <cellStyle name="Normaali 6 9 2" xfId="10094" xr:uid="{00000000-0005-0000-0000-0000C76A0000}"/>
    <cellStyle name="Normaali 6 9 3" xfId="18177" xr:uid="{00000000-0005-0000-0000-0000C86A0000}"/>
    <cellStyle name="Normaali 6 9_DataIX" xfId="33988" xr:uid="{00000000-0005-0000-0000-0000C96A0000}"/>
    <cellStyle name="Normaali 6_##Keskeiset" xfId="10060" xr:uid="{00000000-0005-0000-0000-0000CA6A0000}"/>
    <cellStyle name="Normaali 60" xfId="28578" xr:uid="{00000000-0005-0000-0000-0000CB6A0000}"/>
    <cellStyle name="Normaali 60 2" xfId="4838" xr:uid="{00000000-0005-0000-0000-0000CC6A0000}"/>
    <cellStyle name="Normaali 60 2 2" xfId="10095" xr:uid="{00000000-0005-0000-0000-0000CD6A0000}"/>
    <cellStyle name="Normaali 60 2 3" xfId="18178" xr:uid="{00000000-0005-0000-0000-0000CE6A0000}"/>
    <cellStyle name="Normaali 60 2_DataIX" xfId="33990" xr:uid="{00000000-0005-0000-0000-0000CF6A0000}"/>
    <cellStyle name="Normaali 60_DataIX" xfId="33989" xr:uid="{00000000-0005-0000-0000-0000D06A0000}"/>
    <cellStyle name="Normaali 61" xfId="28579" xr:uid="{00000000-0005-0000-0000-0000D16A0000}"/>
    <cellStyle name="Normaali 61 2" xfId="4839" xr:uid="{00000000-0005-0000-0000-0000D26A0000}"/>
    <cellStyle name="Normaali 61 2 2" xfId="10096" xr:uid="{00000000-0005-0000-0000-0000D36A0000}"/>
    <cellStyle name="Normaali 61 2 3" xfId="18179" xr:uid="{00000000-0005-0000-0000-0000D46A0000}"/>
    <cellStyle name="Normaali 61 2_DataIX" xfId="33992" xr:uid="{00000000-0005-0000-0000-0000D56A0000}"/>
    <cellStyle name="Normaali 61_DataIX" xfId="33991" xr:uid="{00000000-0005-0000-0000-0000D66A0000}"/>
    <cellStyle name="Normaali 62" xfId="28580" xr:uid="{00000000-0005-0000-0000-0000D76A0000}"/>
    <cellStyle name="Normaali 62 2" xfId="4840" xr:uid="{00000000-0005-0000-0000-0000D86A0000}"/>
    <cellStyle name="Normaali 62 2 2" xfId="10097" xr:uid="{00000000-0005-0000-0000-0000D96A0000}"/>
    <cellStyle name="Normaali 62 2 3" xfId="18180" xr:uid="{00000000-0005-0000-0000-0000DA6A0000}"/>
    <cellStyle name="Normaali 62 2_DataIX" xfId="33994" xr:uid="{00000000-0005-0000-0000-0000DB6A0000}"/>
    <cellStyle name="Normaali 62_DataIX" xfId="33993" xr:uid="{00000000-0005-0000-0000-0000DC6A0000}"/>
    <cellStyle name="Normaali 63" xfId="28581" xr:uid="{00000000-0005-0000-0000-0000DD6A0000}"/>
    <cellStyle name="Normaali 63 2" xfId="4841" xr:uid="{00000000-0005-0000-0000-0000DE6A0000}"/>
    <cellStyle name="Normaali 63 2 2" xfId="10098" xr:uid="{00000000-0005-0000-0000-0000DF6A0000}"/>
    <cellStyle name="Normaali 63 2 3" xfId="18181" xr:uid="{00000000-0005-0000-0000-0000E06A0000}"/>
    <cellStyle name="Normaali 63 2_DataIX" xfId="33996" xr:uid="{00000000-0005-0000-0000-0000E16A0000}"/>
    <cellStyle name="Normaali 63_DataIX" xfId="33995" xr:uid="{00000000-0005-0000-0000-0000E26A0000}"/>
    <cellStyle name="Normaali 64" xfId="28582" xr:uid="{00000000-0005-0000-0000-0000E36A0000}"/>
    <cellStyle name="Normaali 64 2" xfId="4842" xr:uid="{00000000-0005-0000-0000-0000E46A0000}"/>
    <cellStyle name="Normaali 64 2 2" xfId="10099" xr:uid="{00000000-0005-0000-0000-0000E56A0000}"/>
    <cellStyle name="Normaali 64 2 3" xfId="18182" xr:uid="{00000000-0005-0000-0000-0000E66A0000}"/>
    <cellStyle name="Normaali 64 2_DataIX" xfId="33998" xr:uid="{00000000-0005-0000-0000-0000E76A0000}"/>
    <cellStyle name="Normaali 64_DataIX" xfId="33997" xr:uid="{00000000-0005-0000-0000-0000E86A0000}"/>
    <cellStyle name="Normaali 65" xfId="28583" xr:uid="{00000000-0005-0000-0000-0000E96A0000}"/>
    <cellStyle name="Normaali 65 2" xfId="4843" xr:uid="{00000000-0005-0000-0000-0000EA6A0000}"/>
    <cellStyle name="Normaali 65 2 2" xfId="10100" xr:uid="{00000000-0005-0000-0000-0000EB6A0000}"/>
    <cellStyle name="Normaali 65 2 3" xfId="18183" xr:uid="{00000000-0005-0000-0000-0000EC6A0000}"/>
    <cellStyle name="Normaali 65 2_DataIX" xfId="34000" xr:uid="{00000000-0005-0000-0000-0000ED6A0000}"/>
    <cellStyle name="Normaali 65_DataIX" xfId="33999" xr:uid="{00000000-0005-0000-0000-0000EE6A0000}"/>
    <cellStyle name="Normaali 66" xfId="28584" xr:uid="{00000000-0005-0000-0000-0000EF6A0000}"/>
    <cellStyle name="Normaali 66 2" xfId="4844" xr:uid="{00000000-0005-0000-0000-0000F06A0000}"/>
    <cellStyle name="Normaali 66 2 2" xfId="10101" xr:uid="{00000000-0005-0000-0000-0000F16A0000}"/>
    <cellStyle name="Normaali 66 2 3" xfId="18184" xr:uid="{00000000-0005-0000-0000-0000F26A0000}"/>
    <cellStyle name="Normaali 66 2_DataIX" xfId="34002" xr:uid="{00000000-0005-0000-0000-0000F36A0000}"/>
    <cellStyle name="Normaali 66_DataIX" xfId="34001" xr:uid="{00000000-0005-0000-0000-0000F46A0000}"/>
    <cellStyle name="Normaali 67" xfId="28585" xr:uid="{00000000-0005-0000-0000-0000F56A0000}"/>
    <cellStyle name="Normaali 67 2" xfId="4845" xr:uid="{00000000-0005-0000-0000-0000F66A0000}"/>
    <cellStyle name="Normaali 67 2 2" xfId="10102" xr:uid="{00000000-0005-0000-0000-0000F76A0000}"/>
    <cellStyle name="Normaali 67 2 3" xfId="18185" xr:uid="{00000000-0005-0000-0000-0000F86A0000}"/>
    <cellStyle name="Normaali 67 2_DataIX" xfId="34004" xr:uid="{00000000-0005-0000-0000-0000F96A0000}"/>
    <cellStyle name="Normaali 67_DataIX" xfId="34003" xr:uid="{00000000-0005-0000-0000-0000FA6A0000}"/>
    <cellStyle name="Normaali 68" xfId="28586" xr:uid="{00000000-0005-0000-0000-0000FB6A0000}"/>
    <cellStyle name="Normaali 68 2" xfId="4846" xr:uid="{00000000-0005-0000-0000-0000FC6A0000}"/>
    <cellStyle name="Normaali 68 2 2" xfId="4847" xr:uid="{00000000-0005-0000-0000-0000FD6A0000}"/>
    <cellStyle name="Normaali 68 2 2 2" xfId="10104" xr:uid="{00000000-0005-0000-0000-0000FE6A0000}"/>
    <cellStyle name="Normaali 68 2 2 3" xfId="18187" xr:uid="{00000000-0005-0000-0000-0000FF6A0000}"/>
    <cellStyle name="Normaali 68 2 2_DataIX" xfId="34007" xr:uid="{00000000-0005-0000-0000-0000006B0000}"/>
    <cellStyle name="Normaali 68 2 3" xfId="4848" xr:uid="{00000000-0005-0000-0000-0000016B0000}"/>
    <cellStyle name="Normaali 68 2 3 2" xfId="10105" xr:uid="{00000000-0005-0000-0000-0000026B0000}"/>
    <cellStyle name="Normaali 68 2 3 3" xfId="18188" xr:uid="{00000000-0005-0000-0000-0000036B0000}"/>
    <cellStyle name="Normaali 68 2 3_DataIX" xfId="34008" xr:uid="{00000000-0005-0000-0000-0000046B0000}"/>
    <cellStyle name="Normaali 68 2 4" xfId="4849" xr:uid="{00000000-0005-0000-0000-0000056B0000}"/>
    <cellStyle name="Normaali 68 2 4 2" xfId="10106" xr:uid="{00000000-0005-0000-0000-0000066B0000}"/>
    <cellStyle name="Normaali 68 2 4 3" xfId="18189" xr:uid="{00000000-0005-0000-0000-0000076B0000}"/>
    <cellStyle name="Normaali 68 2 4_DataIX" xfId="34009" xr:uid="{00000000-0005-0000-0000-0000086B0000}"/>
    <cellStyle name="Normaali 68 2 5" xfId="10103" xr:uid="{00000000-0005-0000-0000-0000096B0000}"/>
    <cellStyle name="Normaali 68 2 6" xfId="18186" xr:uid="{00000000-0005-0000-0000-00000A6B0000}"/>
    <cellStyle name="Normaali 68 2_DataIX" xfId="34006" xr:uid="{00000000-0005-0000-0000-00000B6B0000}"/>
    <cellStyle name="Normaali 68 3" xfId="4850" xr:uid="{00000000-0005-0000-0000-00000C6B0000}"/>
    <cellStyle name="Normaali 68 3 2" xfId="4851" xr:uid="{00000000-0005-0000-0000-00000D6B0000}"/>
    <cellStyle name="Normaali 68 3 2 2" xfId="10108" xr:uid="{00000000-0005-0000-0000-00000E6B0000}"/>
    <cellStyle name="Normaali 68 3 2 3" xfId="18191" xr:uid="{00000000-0005-0000-0000-00000F6B0000}"/>
    <cellStyle name="Normaali 68 3 2_DataIX" xfId="34011" xr:uid="{00000000-0005-0000-0000-0000106B0000}"/>
    <cellStyle name="Normaali 68 3 3" xfId="4852" xr:uid="{00000000-0005-0000-0000-0000116B0000}"/>
    <cellStyle name="Normaali 68 3 3 2" xfId="10109" xr:uid="{00000000-0005-0000-0000-0000126B0000}"/>
    <cellStyle name="Normaali 68 3 3 3" xfId="18192" xr:uid="{00000000-0005-0000-0000-0000136B0000}"/>
    <cellStyle name="Normaali 68 3 3_DataIX" xfId="34012" xr:uid="{00000000-0005-0000-0000-0000146B0000}"/>
    <cellStyle name="Normaali 68 3 4" xfId="4853" xr:uid="{00000000-0005-0000-0000-0000156B0000}"/>
    <cellStyle name="Normaali 68 3 4 2" xfId="10110" xr:uid="{00000000-0005-0000-0000-0000166B0000}"/>
    <cellStyle name="Normaali 68 3 4 3" xfId="18193" xr:uid="{00000000-0005-0000-0000-0000176B0000}"/>
    <cellStyle name="Normaali 68 3 4_DataIX" xfId="34013" xr:uid="{00000000-0005-0000-0000-0000186B0000}"/>
    <cellStyle name="Normaali 68 3 5" xfId="10107" xr:uid="{00000000-0005-0000-0000-0000196B0000}"/>
    <cellStyle name="Normaali 68 3 6" xfId="18190" xr:uid="{00000000-0005-0000-0000-00001A6B0000}"/>
    <cellStyle name="Normaali 68 3_DataIX" xfId="34010" xr:uid="{00000000-0005-0000-0000-00001B6B0000}"/>
    <cellStyle name="Normaali 68 4" xfId="4854" xr:uid="{00000000-0005-0000-0000-00001C6B0000}"/>
    <cellStyle name="Normaali 68 4 2" xfId="10111" xr:uid="{00000000-0005-0000-0000-00001D6B0000}"/>
    <cellStyle name="Normaali 68 4 3" xfId="18194" xr:uid="{00000000-0005-0000-0000-00001E6B0000}"/>
    <cellStyle name="Normaali 68 4_DataIX" xfId="34014" xr:uid="{00000000-0005-0000-0000-00001F6B0000}"/>
    <cellStyle name="Normaali 68_DataIX" xfId="34005" xr:uid="{00000000-0005-0000-0000-0000206B0000}"/>
    <cellStyle name="Normaali 69" xfId="28587" xr:uid="{00000000-0005-0000-0000-0000216B0000}"/>
    <cellStyle name="Normaali 69 2" xfId="4855" xr:uid="{00000000-0005-0000-0000-0000226B0000}"/>
    <cellStyle name="Normaali 69 2 2" xfId="10112" xr:uid="{00000000-0005-0000-0000-0000236B0000}"/>
    <cellStyle name="Normaali 69 2 3" xfId="18195" xr:uid="{00000000-0005-0000-0000-0000246B0000}"/>
    <cellStyle name="Normaali 69 2_DataIX" xfId="34016" xr:uid="{00000000-0005-0000-0000-0000256B0000}"/>
    <cellStyle name="Normaali 69_DataIX" xfId="34015" xr:uid="{00000000-0005-0000-0000-0000266B0000}"/>
    <cellStyle name="Normaali 7" xfId="110" xr:uid="{00000000-0005-0000-0000-0000276B0000}"/>
    <cellStyle name="Normaali 7 10" xfId="25520" xr:uid="{00000000-0005-0000-0000-0000286B0000}"/>
    <cellStyle name="Normaali 7 2" xfId="4856" xr:uid="{00000000-0005-0000-0000-0000296B0000}"/>
    <cellStyle name="Normaali 7 2 2" xfId="4857" xr:uid="{00000000-0005-0000-0000-00002A6B0000}"/>
    <cellStyle name="Normaali 7 2 2 2" xfId="4858" xr:uid="{00000000-0005-0000-0000-00002B6B0000}"/>
    <cellStyle name="Normaali 7 2 2 2 2" xfId="10116" xr:uid="{00000000-0005-0000-0000-00002C6B0000}"/>
    <cellStyle name="Normaali 7 2 2 2 3" xfId="18198" xr:uid="{00000000-0005-0000-0000-00002D6B0000}"/>
    <cellStyle name="Normaali 7 2 2 2_DataIX" xfId="34019" xr:uid="{00000000-0005-0000-0000-00002E6B0000}"/>
    <cellStyle name="Normaali 7 2 2 3" xfId="4859" xr:uid="{00000000-0005-0000-0000-00002F6B0000}"/>
    <cellStyle name="Normaali 7 2 2 3 2" xfId="10117" xr:uid="{00000000-0005-0000-0000-0000306B0000}"/>
    <cellStyle name="Normaali 7 2 2 3 3" xfId="18199" xr:uid="{00000000-0005-0000-0000-0000316B0000}"/>
    <cellStyle name="Normaali 7 2 2 3_DataIX" xfId="34020" xr:uid="{00000000-0005-0000-0000-0000326B0000}"/>
    <cellStyle name="Normaali 7 2 2 4" xfId="10115" xr:uid="{00000000-0005-0000-0000-0000336B0000}"/>
    <cellStyle name="Normaali 7 2 2 5" xfId="18197" xr:uid="{00000000-0005-0000-0000-0000346B0000}"/>
    <cellStyle name="Normaali 7 2 2 6" xfId="20559" xr:uid="{00000000-0005-0000-0000-0000356B0000}"/>
    <cellStyle name="Normaali 7 2 2_DataIX" xfId="34018" xr:uid="{00000000-0005-0000-0000-0000366B0000}"/>
    <cellStyle name="Normaali 7 2 3" xfId="4860" xr:uid="{00000000-0005-0000-0000-0000376B0000}"/>
    <cellStyle name="Normaali 7 2 3 2" xfId="4861" xr:uid="{00000000-0005-0000-0000-0000386B0000}"/>
    <cellStyle name="Normaali 7 2 3 2 2" xfId="4862" xr:uid="{00000000-0005-0000-0000-0000396B0000}"/>
    <cellStyle name="Normaali 7 2 3 2 2 2" xfId="10120" xr:uid="{00000000-0005-0000-0000-00003A6B0000}"/>
    <cellStyle name="Normaali 7 2 3 2 2 3" xfId="18202" xr:uid="{00000000-0005-0000-0000-00003B6B0000}"/>
    <cellStyle name="Normaali 7 2 3 2 2_DataIX" xfId="34023" xr:uid="{00000000-0005-0000-0000-00003C6B0000}"/>
    <cellStyle name="Normaali 7 2 3 2 3" xfId="10119" xr:uid="{00000000-0005-0000-0000-00003D6B0000}"/>
    <cellStyle name="Normaali 7 2 3 2 4" xfId="18201" xr:uid="{00000000-0005-0000-0000-00003E6B0000}"/>
    <cellStyle name="Normaali 7 2 3 2_DataIX" xfId="34022" xr:uid="{00000000-0005-0000-0000-00003F6B0000}"/>
    <cellStyle name="Normaali 7 2 3 3" xfId="4863" xr:uid="{00000000-0005-0000-0000-0000406B0000}"/>
    <cellStyle name="Normaali 7 2 3 3 2" xfId="10121" xr:uid="{00000000-0005-0000-0000-0000416B0000}"/>
    <cellStyle name="Normaali 7 2 3 3 3" xfId="18203" xr:uid="{00000000-0005-0000-0000-0000426B0000}"/>
    <cellStyle name="Normaali 7 2 3 3_DataIX" xfId="34024" xr:uid="{00000000-0005-0000-0000-0000436B0000}"/>
    <cellStyle name="Normaali 7 2 3 4" xfId="10118" xr:uid="{00000000-0005-0000-0000-0000446B0000}"/>
    <cellStyle name="Normaali 7 2 3 5" xfId="18200" xr:uid="{00000000-0005-0000-0000-0000456B0000}"/>
    <cellStyle name="Normaali 7 2 3_DataIX" xfId="34021" xr:uid="{00000000-0005-0000-0000-0000466B0000}"/>
    <cellStyle name="Normaali 7 2 4" xfId="4864" xr:uid="{00000000-0005-0000-0000-0000476B0000}"/>
    <cellStyle name="Normaali 7 2 4 2" xfId="4865" xr:uid="{00000000-0005-0000-0000-0000486B0000}"/>
    <cellStyle name="Normaali 7 2 4 2 2" xfId="10123" xr:uid="{00000000-0005-0000-0000-0000496B0000}"/>
    <cellStyle name="Normaali 7 2 4 2 3" xfId="18205" xr:uid="{00000000-0005-0000-0000-00004A6B0000}"/>
    <cellStyle name="Normaali 7 2 4 2_DataIX" xfId="34026" xr:uid="{00000000-0005-0000-0000-00004B6B0000}"/>
    <cellStyle name="Normaali 7 2 4 3" xfId="10122" xr:uid="{00000000-0005-0000-0000-00004C6B0000}"/>
    <cellStyle name="Normaali 7 2 4 4" xfId="18204" xr:uid="{00000000-0005-0000-0000-00004D6B0000}"/>
    <cellStyle name="Normaali 7 2 4_DataIX" xfId="34025" xr:uid="{00000000-0005-0000-0000-00004E6B0000}"/>
    <cellStyle name="Normaali 7 2 5" xfId="4866" xr:uid="{00000000-0005-0000-0000-00004F6B0000}"/>
    <cellStyle name="Normaali 7 2 5 2" xfId="10124" xr:uid="{00000000-0005-0000-0000-0000506B0000}"/>
    <cellStyle name="Normaali 7 2 5 3" xfId="18206" xr:uid="{00000000-0005-0000-0000-0000516B0000}"/>
    <cellStyle name="Normaali 7 2 5_DataIX" xfId="34027" xr:uid="{00000000-0005-0000-0000-0000526B0000}"/>
    <cellStyle name="Normaali 7 2 6" xfId="10114" xr:uid="{00000000-0005-0000-0000-0000536B0000}"/>
    <cellStyle name="Normaali 7 2 7" xfId="18196" xr:uid="{00000000-0005-0000-0000-0000546B0000}"/>
    <cellStyle name="Normaali 7 2_DataIX" xfId="34017" xr:uid="{00000000-0005-0000-0000-0000556B0000}"/>
    <cellStyle name="Normaali 7 3" xfId="4867" xr:uid="{00000000-0005-0000-0000-0000566B0000}"/>
    <cellStyle name="Normaali 7 3 2" xfId="4868" xr:uid="{00000000-0005-0000-0000-0000576B0000}"/>
    <cellStyle name="Normaali 7 3 2 2" xfId="4869" xr:uid="{00000000-0005-0000-0000-0000586B0000}"/>
    <cellStyle name="Normaali 7 3 2 2 2" xfId="10127" xr:uid="{00000000-0005-0000-0000-0000596B0000}"/>
    <cellStyle name="Normaali 7 3 2 2 3" xfId="18209" xr:uid="{00000000-0005-0000-0000-00005A6B0000}"/>
    <cellStyle name="Normaali 7 3 2 2_DataIX" xfId="34030" xr:uid="{00000000-0005-0000-0000-00005B6B0000}"/>
    <cellStyle name="Normaali 7 3 2 3" xfId="10126" xr:uid="{00000000-0005-0000-0000-00005C6B0000}"/>
    <cellStyle name="Normaali 7 3 2 4" xfId="18208" xr:uid="{00000000-0005-0000-0000-00005D6B0000}"/>
    <cellStyle name="Normaali 7 3 2_DataIX" xfId="34029" xr:uid="{00000000-0005-0000-0000-00005E6B0000}"/>
    <cellStyle name="Normaali 7 3 3" xfId="4870" xr:uid="{00000000-0005-0000-0000-00005F6B0000}"/>
    <cellStyle name="Normaali 7 3 3 2" xfId="4871" xr:uid="{00000000-0005-0000-0000-0000606B0000}"/>
    <cellStyle name="Normaali 7 3 3 2 2" xfId="10129" xr:uid="{00000000-0005-0000-0000-0000616B0000}"/>
    <cellStyle name="Normaali 7 3 3 2 3" xfId="18211" xr:uid="{00000000-0005-0000-0000-0000626B0000}"/>
    <cellStyle name="Normaali 7 3 3 2_DataIX" xfId="34032" xr:uid="{00000000-0005-0000-0000-0000636B0000}"/>
    <cellStyle name="Normaali 7 3 3 3" xfId="10128" xr:uid="{00000000-0005-0000-0000-0000646B0000}"/>
    <cellStyle name="Normaali 7 3 3 4" xfId="18210" xr:uid="{00000000-0005-0000-0000-0000656B0000}"/>
    <cellStyle name="Normaali 7 3 3_DataIX" xfId="34031" xr:uid="{00000000-0005-0000-0000-0000666B0000}"/>
    <cellStyle name="Normaali 7 3 4" xfId="4872" xr:uid="{00000000-0005-0000-0000-0000676B0000}"/>
    <cellStyle name="Normaali 7 3 4 2" xfId="10130" xr:uid="{00000000-0005-0000-0000-0000686B0000}"/>
    <cellStyle name="Normaali 7 3 4 3" xfId="18212" xr:uid="{00000000-0005-0000-0000-0000696B0000}"/>
    <cellStyle name="Normaali 7 3 4_DataIX" xfId="34033" xr:uid="{00000000-0005-0000-0000-00006A6B0000}"/>
    <cellStyle name="Normaali 7 3 5" xfId="4873" xr:uid="{00000000-0005-0000-0000-00006B6B0000}"/>
    <cellStyle name="Normaali 7 3 5 2" xfId="10131" xr:uid="{00000000-0005-0000-0000-00006C6B0000}"/>
    <cellStyle name="Normaali 7 3 5 3" xfId="18213" xr:uid="{00000000-0005-0000-0000-00006D6B0000}"/>
    <cellStyle name="Normaali 7 3 5_DataIX" xfId="34034" xr:uid="{00000000-0005-0000-0000-00006E6B0000}"/>
    <cellStyle name="Normaali 7 3 6" xfId="10125" xr:uid="{00000000-0005-0000-0000-00006F6B0000}"/>
    <cellStyle name="Normaali 7 3 7" xfId="18207" xr:uid="{00000000-0005-0000-0000-0000706B0000}"/>
    <cellStyle name="Normaali 7 3 8" xfId="20558" xr:uid="{00000000-0005-0000-0000-0000716B0000}"/>
    <cellStyle name="Normaali 7 3_DataIX" xfId="34028" xr:uid="{00000000-0005-0000-0000-0000726B0000}"/>
    <cellStyle name="Normaali 7 4" xfId="4874" xr:uid="{00000000-0005-0000-0000-0000736B0000}"/>
    <cellStyle name="Normaali 7 4 2" xfId="4875" xr:uid="{00000000-0005-0000-0000-0000746B0000}"/>
    <cellStyle name="Normaali 7 4 2 2" xfId="10133" xr:uid="{00000000-0005-0000-0000-0000756B0000}"/>
    <cellStyle name="Normaali 7 4 2 3" xfId="18215" xr:uid="{00000000-0005-0000-0000-0000766B0000}"/>
    <cellStyle name="Normaali 7 4 2_DataIX" xfId="34036" xr:uid="{00000000-0005-0000-0000-0000776B0000}"/>
    <cellStyle name="Normaali 7 4 3" xfId="10132" xr:uid="{00000000-0005-0000-0000-0000786B0000}"/>
    <cellStyle name="Normaali 7 4 4" xfId="18214" xr:uid="{00000000-0005-0000-0000-0000796B0000}"/>
    <cellStyle name="Normaali 7 4_DataIX" xfId="34035" xr:uid="{00000000-0005-0000-0000-00007A6B0000}"/>
    <cellStyle name="Normaali 7 5" xfId="4876" xr:uid="{00000000-0005-0000-0000-00007B6B0000}"/>
    <cellStyle name="Normaali 7 5 2" xfId="4877" xr:uid="{00000000-0005-0000-0000-00007C6B0000}"/>
    <cellStyle name="Normaali 7 5 2 2" xfId="10135" xr:uid="{00000000-0005-0000-0000-00007D6B0000}"/>
    <cellStyle name="Normaali 7 5 2 3" xfId="18217" xr:uid="{00000000-0005-0000-0000-00007E6B0000}"/>
    <cellStyle name="Normaali 7 5 2_DataIX" xfId="34038" xr:uid="{00000000-0005-0000-0000-00007F6B0000}"/>
    <cellStyle name="Normaali 7 5 3" xfId="10134" xr:uid="{00000000-0005-0000-0000-0000806B0000}"/>
    <cellStyle name="Normaali 7 5 4" xfId="18216" xr:uid="{00000000-0005-0000-0000-0000816B0000}"/>
    <cellStyle name="Normaali 7 5_DataIX" xfId="34037" xr:uid="{00000000-0005-0000-0000-0000826B0000}"/>
    <cellStyle name="Normaali 7 6" xfId="4878" xr:uid="{00000000-0005-0000-0000-0000836B0000}"/>
    <cellStyle name="Normaali 7 6 2" xfId="10136" xr:uid="{00000000-0005-0000-0000-0000846B0000}"/>
    <cellStyle name="Normaali 7 6 3" xfId="18218" xr:uid="{00000000-0005-0000-0000-0000856B0000}"/>
    <cellStyle name="Normaali 7 6_DataIX" xfId="34039" xr:uid="{00000000-0005-0000-0000-0000866B0000}"/>
    <cellStyle name="Normaali 7 7" xfId="4879" xr:uid="{00000000-0005-0000-0000-0000876B0000}"/>
    <cellStyle name="Normaali 7 7 2" xfId="10137" xr:uid="{00000000-0005-0000-0000-0000886B0000}"/>
    <cellStyle name="Normaali 7 7 3" xfId="18219" xr:uid="{00000000-0005-0000-0000-0000896B0000}"/>
    <cellStyle name="Normaali 7 7_DataIX" xfId="34040" xr:uid="{00000000-0005-0000-0000-00008A6B0000}"/>
    <cellStyle name="Normaali 7 8" xfId="25047" xr:uid="{00000000-0005-0000-0000-00008B6B0000}"/>
    <cellStyle name="Normaali 7 9" xfId="26503" xr:uid="{00000000-0005-0000-0000-00008C6B0000}"/>
    <cellStyle name="Normaali 7_##Keskeiset" xfId="10113" xr:uid="{00000000-0005-0000-0000-00008D6B0000}"/>
    <cellStyle name="Normaali 70" xfId="28588" xr:uid="{00000000-0005-0000-0000-00008E6B0000}"/>
    <cellStyle name="Normaali 70 2" xfId="4880" xr:uid="{00000000-0005-0000-0000-00008F6B0000}"/>
    <cellStyle name="Normaali 70 2 2" xfId="10138" xr:uid="{00000000-0005-0000-0000-0000906B0000}"/>
    <cellStyle name="Normaali 70 2 3" xfId="18220" xr:uid="{00000000-0005-0000-0000-0000916B0000}"/>
    <cellStyle name="Normaali 70 2_DataIX" xfId="34042" xr:uid="{00000000-0005-0000-0000-0000926B0000}"/>
    <cellStyle name="Normaali 70_DataIX" xfId="34041" xr:uid="{00000000-0005-0000-0000-0000936B0000}"/>
    <cellStyle name="Normaali 71" xfId="28589" xr:uid="{00000000-0005-0000-0000-0000946B0000}"/>
    <cellStyle name="Normaali 71 2" xfId="4881" xr:uid="{00000000-0005-0000-0000-0000956B0000}"/>
    <cellStyle name="Normaali 71 2 2" xfId="10139" xr:uid="{00000000-0005-0000-0000-0000966B0000}"/>
    <cellStyle name="Normaali 71 2 3" xfId="18221" xr:uid="{00000000-0005-0000-0000-0000976B0000}"/>
    <cellStyle name="Normaali 71 2_DataIX" xfId="34044" xr:uid="{00000000-0005-0000-0000-0000986B0000}"/>
    <cellStyle name="Normaali 71_DataIX" xfId="34043" xr:uid="{00000000-0005-0000-0000-0000996B0000}"/>
    <cellStyle name="Normaali 72" xfId="28590" xr:uid="{00000000-0005-0000-0000-00009A6B0000}"/>
    <cellStyle name="Normaali 72 2" xfId="4882" xr:uid="{00000000-0005-0000-0000-00009B6B0000}"/>
    <cellStyle name="Normaali 72 2 2" xfId="10140" xr:uid="{00000000-0005-0000-0000-00009C6B0000}"/>
    <cellStyle name="Normaali 72 2 3" xfId="18222" xr:uid="{00000000-0005-0000-0000-00009D6B0000}"/>
    <cellStyle name="Normaali 72 2_DataIX" xfId="34046" xr:uid="{00000000-0005-0000-0000-00009E6B0000}"/>
    <cellStyle name="Normaali 72_DataIX" xfId="34045" xr:uid="{00000000-0005-0000-0000-00009F6B0000}"/>
    <cellStyle name="Normaali 73" xfId="28591" xr:uid="{00000000-0005-0000-0000-0000A06B0000}"/>
    <cellStyle name="Normaali 73 2" xfId="4883" xr:uid="{00000000-0005-0000-0000-0000A16B0000}"/>
    <cellStyle name="Normaali 73 2 2" xfId="10141" xr:uid="{00000000-0005-0000-0000-0000A26B0000}"/>
    <cellStyle name="Normaali 73 2 3" xfId="18223" xr:uid="{00000000-0005-0000-0000-0000A36B0000}"/>
    <cellStyle name="Normaali 73 2_DataIX" xfId="34048" xr:uid="{00000000-0005-0000-0000-0000A46B0000}"/>
    <cellStyle name="Normaali 73_DataIX" xfId="34047" xr:uid="{00000000-0005-0000-0000-0000A56B0000}"/>
    <cellStyle name="Normaali 74 2" xfId="4884" xr:uid="{00000000-0005-0000-0000-0000A66B0000}"/>
    <cellStyle name="Normaali 74 2 2" xfId="4885" xr:uid="{00000000-0005-0000-0000-0000A76B0000}"/>
    <cellStyle name="Normaali 74 2 2 2" xfId="10143" xr:uid="{00000000-0005-0000-0000-0000A86B0000}"/>
    <cellStyle name="Normaali 74 2 2 3" xfId="18225" xr:uid="{00000000-0005-0000-0000-0000A96B0000}"/>
    <cellStyle name="Normaali 74 2 2_DataIX" xfId="34050" xr:uid="{00000000-0005-0000-0000-0000AA6B0000}"/>
    <cellStyle name="Normaali 74 2 3" xfId="4886" xr:uid="{00000000-0005-0000-0000-0000AB6B0000}"/>
    <cellStyle name="Normaali 74 2 3 2" xfId="10144" xr:uid="{00000000-0005-0000-0000-0000AC6B0000}"/>
    <cellStyle name="Normaali 74 2 3 3" xfId="18226" xr:uid="{00000000-0005-0000-0000-0000AD6B0000}"/>
    <cellStyle name="Normaali 74 2 3_DataIX" xfId="34051" xr:uid="{00000000-0005-0000-0000-0000AE6B0000}"/>
    <cellStyle name="Normaali 74 2 4" xfId="4887" xr:uid="{00000000-0005-0000-0000-0000AF6B0000}"/>
    <cellStyle name="Normaali 74 2 4 2" xfId="10145" xr:uid="{00000000-0005-0000-0000-0000B06B0000}"/>
    <cellStyle name="Normaali 74 2 4 3" xfId="18227" xr:uid="{00000000-0005-0000-0000-0000B16B0000}"/>
    <cellStyle name="Normaali 74 2 4_DataIX" xfId="34052" xr:uid="{00000000-0005-0000-0000-0000B26B0000}"/>
    <cellStyle name="Normaali 74 2 5" xfId="10142" xr:uid="{00000000-0005-0000-0000-0000B36B0000}"/>
    <cellStyle name="Normaali 74 2 6" xfId="18224" xr:uid="{00000000-0005-0000-0000-0000B46B0000}"/>
    <cellStyle name="Normaali 74 2_DataIX" xfId="34049" xr:uid="{00000000-0005-0000-0000-0000B56B0000}"/>
    <cellStyle name="Normaali 74 3" xfId="4888" xr:uid="{00000000-0005-0000-0000-0000B66B0000}"/>
    <cellStyle name="Normaali 74 3 2" xfId="4889" xr:uid="{00000000-0005-0000-0000-0000B76B0000}"/>
    <cellStyle name="Normaali 74 3 2 2" xfId="10147" xr:uid="{00000000-0005-0000-0000-0000B86B0000}"/>
    <cellStyle name="Normaali 74 3 2 3" xfId="18229" xr:uid="{00000000-0005-0000-0000-0000B96B0000}"/>
    <cellStyle name="Normaali 74 3 2_DataIX" xfId="34054" xr:uid="{00000000-0005-0000-0000-0000BA6B0000}"/>
    <cellStyle name="Normaali 74 3 3" xfId="4890" xr:uid="{00000000-0005-0000-0000-0000BB6B0000}"/>
    <cellStyle name="Normaali 74 3 3 2" xfId="10148" xr:uid="{00000000-0005-0000-0000-0000BC6B0000}"/>
    <cellStyle name="Normaali 74 3 3 3" xfId="18230" xr:uid="{00000000-0005-0000-0000-0000BD6B0000}"/>
    <cellStyle name="Normaali 74 3 3_DataIX" xfId="34055" xr:uid="{00000000-0005-0000-0000-0000BE6B0000}"/>
    <cellStyle name="Normaali 74 3 4" xfId="4891" xr:uid="{00000000-0005-0000-0000-0000BF6B0000}"/>
    <cellStyle name="Normaali 74 3 4 2" xfId="10149" xr:uid="{00000000-0005-0000-0000-0000C06B0000}"/>
    <cellStyle name="Normaali 74 3 4 3" xfId="18231" xr:uid="{00000000-0005-0000-0000-0000C16B0000}"/>
    <cellStyle name="Normaali 74 3 4_DataIX" xfId="34056" xr:uid="{00000000-0005-0000-0000-0000C26B0000}"/>
    <cellStyle name="Normaali 74 3 5" xfId="10146" xr:uid="{00000000-0005-0000-0000-0000C36B0000}"/>
    <cellStyle name="Normaali 74 3 6" xfId="18228" xr:uid="{00000000-0005-0000-0000-0000C46B0000}"/>
    <cellStyle name="Normaali 74 3_DataIX" xfId="34053" xr:uid="{00000000-0005-0000-0000-0000C56B0000}"/>
    <cellStyle name="Normaali 75" xfId="4892" xr:uid="{00000000-0005-0000-0000-0000C66B0000}"/>
    <cellStyle name="Normaali 75 2" xfId="4893" xr:uid="{00000000-0005-0000-0000-0000C76B0000}"/>
    <cellStyle name="Normaali 75 2 2" xfId="10151" xr:uid="{00000000-0005-0000-0000-0000C86B0000}"/>
    <cellStyle name="Normaali 75 2 3" xfId="18233" xr:uid="{00000000-0005-0000-0000-0000C96B0000}"/>
    <cellStyle name="Normaali 75 2_DataIX" xfId="34058" xr:uid="{00000000-0005-0000-0000-0000CA6B0000}"/>
    <cellStyle name="Normaali 75 3" xfId="10150" xr:uid="{00000000-0005-0000-0000-0000CB6B0000}"/>
    <cellStyle name="Normaali 75 4" xfId="18232" xr:uid="{00000000-0005-0000-0000-0000CC6B0000}"/>
    <cellStyle name="Normaali 75_DataIX" xfId="34057" xr:uid="{00000000-0005-0000-0000-0000CD6B0000}"/>
    <cellStyle name="Normaali 76" xfId="4894" xr:uid="{00000000-0005-0000-0000-0000CE6B0000}"/>
    <cellStyle name="Normaali 76 2" xfId="4895" xr:uid="{00000000-0005-0000-0000-0000CF6B0000}"/>
    <cellStyle name="Normaali 76 2 2" xfId="10153" xr:uid="{00000000-0005-0000-0000-0000D06B0000}"/>
    <cellStyle name="Normaali 76 2 3" xfId="18235" xr:uid="{00000000-0005-0000-0000-0000D16B0000}"/>
    <cellStyle name="Normaali 76 2_DataIX" xfId="34060" xr:uid="{00000000-0005-0000-0000-0000D26B0000}"/>
    <cellStyle name="Normaali 76 3" xfId="4896" xr:uid="{00000000-0005-0000-0000-0000D36B0000}"/>
    <cellStyle name="Normaali 76 3 2" xfId="4897" xr:uid="{00000000-0005-0000-0000-0000D46B0000}"/>
    <cellStyle name="Normaali 76 3 2 2" xfId="10155" xr:uid="{00000000-0005-0000-0000-0000D56B0000}"/>
    <cellStyle name="Normaali 76 3 2 3" xfId="18237" xr:uid="{00000000-0005-0000-0000-0000D66B0000}"/>
    <cellStyle name="Normaali 76 3 2_DataIX" xfId="34062" xr:uid="{00000000-0005-0000-0000-0000D76B0000}"/>
    <cellStyle name="Normaali 76 3 3" xfId="10154" xr:uid="{00000000-0005-0000-0000-0000D86B0000}"/>
    <cellStyle name="Normaali 76 3 4" xfId="18236" xr:uid="{00000000-0005-0000-0000-0000D96B0000}"/>
    <cellStyle name="Normaali 76 3_DataIX" xfId="34061" xr:uid="{00000000-0005-0000-0000-0000DA6B0000}"/>
    <cellStyle name="Normaali 76 4" xfId="4898" xr:uid="{00000000-0005-0000-0000-0000DB6B0000}"/>
    <cellStyle name="Normaali 76 4 2" xfId="10156" xr:uid="{00000000-0005-0000-0000-0000DC6B0000}"/>
    <cellStyle name="Normaali 76 4 3" xfId="18238" xr:uid="{00000000-0005-0000-0000-0000DD6B0000}"/>
    <cellStyle name="Normaali 76 4_DataIX" xfId="34063" xr:uid="{00000000-0005-0000-0000-0000DE6B0000}"/>
    <cellStyle name="Normaali 76 5" xfId="10152" xr:uid="{00000000-0005-0000-0000-0000DF6B0000}"/>
    <cellStyle name="Normaali 76 6" xfId="18234" xr:uid="{00000000-0005-0000-0000-0000E06B0000}"/>
    <cellStyle name="Normaali 76 7" xfId="20557" xr:uid="{00000000-0005-0000-0000-0000E16B0000}"/>
    <cellStyle name="Normaali 76_DataIX" xfId="34059" xr:uid="{00000000-0005-0000-0000-0000E26B0000}"/>
    <cellStyle name="Normaali 77 2" xfId="4899" xr:uid="{00000000-0005-0000-0000-0000E36B0000}"/>
    <cellStyle name="Normaali 77 2 2" xfId="10157" xr:uid="{00000000-0005-0000-0000-0000E46B0000}"/>
    <cellStyle name="Normaali 77 2 3" xfId="18239" xr:uid="{00000000-0005-0000-0000-0000E56B0000}"/>
    <cellStyle name="Normaali 77 2_DataIX" xfId="34064" xr:uid="{00000000-0005-0000-0000-0000E66B0000}"/>
    <cellStyle name="Normaali 78 2" xfId="4900" xr:uid="{00000000-0005-0000-0000-0000E76B0000}"/>
    <cellStyle name="Normaali 78 2 2" xfId="10158" xr:uid="{00000000-0005-0000-0000-0000E86B0000}"/>
    <cellStyle name="Normaali 78 2 3" xfId="18240" xr:uid="{00000000-0005-0000-0000-0000E96B0000}"/>
    <cellStyle name="Normaali 78 2_DataIX" xfId="34065" xr:uid="{00000000-0005-0000-0000-0000EA6B0000}"/>
    <cellStyle name="Normaali 79 2" xfId="4901" xr:uid="{00000000-0005-0000-0000-0000EB6B0000}"/>
    <cellStyle name="Normaali 79 2 2" xfId="10159" xr:uid="{00000000-0005-0000-0000-0000EC6B0000}"/>
    <cellStyle name="Normaali 79 2 3" xfId="18241" xr:uid="{00000000-0005-0000-0000-0000ED6B0000}"/>
    <cellStyle name="Normaali 79 2_DataIX" xfId="34066" xr:uid="{00000000-0005-0000-0000-0000EE6B0000}"/>
    <cellStyle name="Normaali 8" xfId="130" xr:uid="{00000000-0005-0000-0000-0000EF6B0000}"/>
    <cellStyle name="Normaali 8 10" xfId="5318" xr:uid="{00000000-0005-0000-0000-0000F06B0000}"/>
    <cellStyle name="Normaali 8 10 2" xfId="12743" xr:uid="{00000000-0005-0000-0000-0000F16B0000}"/>
    <cellStyle name="Normaali 8 10 3" xfId="18642" xr:uid="{00000000-0005-0000-0000-0000F26B0000}"/>
    <cellStyle name="Normaali 8 10_DataIX" xfId="34067" xr:uid="{00000000-0005-0000-0000-0000F36B0000}"/>
    <cellStyle name="Normaali 8 11" xfId="25172" xr:uid="{00000000-0005-0000-0000-0000F46B0000}"/>
    <cellStyle name="Normaali 8 2" xfId="217" xr:uid="{00000000-0005-0000-0000-0000F56B0000}"/>
    <cellStyle name="Normaali 8 2 10" xfId="10554" xr:uid="{00000000-0005-0000-0000-0000F66B0000}"/>
    <cellStyle name="Normaali 8 2 10 2" xfId="12744" xr:uid="{00000000-0005-0000-0000-0000F76B0000}"/>
    <cellStyle name="Normaali 8 2 10 3" xfId="20336" xr:uid="{00000000-0005-0000-0000-0000F86B0000}"/>
    <cellStyle name="Normaali 8 2 10_DataIX" xfId="34068" xr:uid="{00000000-0005-0000-0000-0000F96B0000}"/>
    <cellStyle name="Normaali 8 2 11" xfId="25173" xr:uid="{00000000-0005-0000-0000-0000FA6B0000}"/>
    <cellStyle name="Normaali 8 2 2" xfId="4904" xr:uid="{00000000-0005-0000-0000-0000FB6B0000}"/>
    <cellStyle name="Normaali 8 2 2 2" xfId="4905" xr:uid="{00000000-0005-0000-0000-0000FC6B0000}"/>
    <cellStyle name="Normaali 8 2 2 2 2" xfId="10161" xr:uid="{00000000-0005-0000-0000-0000FD6B0000}"/>
    <cellStyle name="Normaali 8 2 2 2 3" xfId="18245" xr:uid="{00000000-0005-0000-0000-0000FE6B0000}"/>
    <cellStyle name="Normaali 8 2 2 2_DataIX" xfId="34069" xr:uid="{00000000-0005-0000-0000-0000FF6B0000}"/>
    <cellStyle name="Normaali 8 2 2 3" xfId="4906" xr:uid="{00000000-0005-0000-0000-0000006C0000}"/>
    <cellStyle name="Normaali 8 2 2 3 2" xfId="10162" xr:uid="{00000000-0005-0000-0000-0000016C0000}"/>
    <cellStyle name="Normaali 8 2 2 3 3" xfId="18246" xr:uid="{00000000-0005-0000-0000-0000026C0000}"/>
    <cellStyle name="Normaali 8 2 2 3_DataIX" xfId="34070" xr:uid="{00000000-0005-0000-0000-0000036C0000}"/>
    <cellStyle name="Normaali 8 2 2 4" xfId="5644" xr:uid="{00000000-0005-0000-0000-0000046C0000}"/>
    <cellStyle name="Normaali 8 2 2 4 2" xfId="12746" xr:uid="{00000000-0005-0000-0000-0000056C0000}"/>
    <cellStyle name="Normaali 8 2 2 4 3" xfId="18860" xr:uid="{00000000-0005-0000-0000-0000066C0000}"/>
    <cellStyle name="Normaali 8 2 2 4_DataIX" xfId="34071" xr:uid="{00000000-0005-0000-0000-0000076C0000}"/>
    <cellStyle name="Normaali 8 2 2 5" xfId="18244" xr:uid="{00000000-0005-0000-0000-0000086C0000}"/>
    <cellStyle name="Normaali 8 2 2 6" xfId="20556" xr:uid="{00000000-0005-0000-0000-0000096C0000}"/>
    <cellStyle name="Normaali 8 2 2_##Keskeiset" xfId="10160" xr:uid="{00000000-0005-0000-0000-00000A6C0000}"/>
    <cellStyle name="Normaali 8 2 3" xfId="4907" xr:uid="{00000000-0005-0000-0000-00000B6C0000}"/>
    <cellStyle name="Normaali 8 2 3 2" xfId="4908" xr:uid="{00000000-0005-0000-0000-00000C6C0000}"/>
    <cellStyle name="Normaali 8 2 3 2 2" xfId="10164" xr:uid="{00000000-0005-0000-0000-00000D6C0000}"/>
    <cellStyle name="Normaali 8 2 3 2 3" xfId="18248" xr:uid="{00000000-0005-0000-0000-00000E6C0000}"/>
    <cellStyle name="Normaali 8 2 3 2_DataIX" xfId="34073" xr:uid="{00000000-0005-0000-0000-00000F6C0000}"/>
    <cellStyle name="Normaali 8 2 3 3" xfId="10163" xr:uid="{00000000-0005-0000-0000-0000106C0000}"/>
    <cellStyle name="Normaali 8 2 3 4" xfId="18247" xr:uid="{00000000-0005-0000-0000-0000116C0000}"/>
    <cellStyle name="Normaali 8 2 3_DataIX" xfId="34072" xr:uid="{00000000-0005-0000-0000-0000126C0000}"/>
    <cellStyle name="Normaali 8 2 4" xfId="4909" xr:uid="{00000000-0005-0000-0000-0000136C0000}"/>
    <cellStyle name="Normaali 8 2 4 2" xfId="10165" xr:uid="{00000000-0005-0000-0000-0000146C0000}"/>
    <cellStyle name="Normaali 8 2 4 3" xfId="18249" xr:uid="{00000000-0005-0000-0000-0000156C0000}"/>
    <cellStyle name="Normaali 8 2 4_DataIX" xfId="34074" xr:uid="{00000000-0005-0000-0000-0000166C0000}"/>
    <cellStyle name="Normaali 8 2 5" xfId="4910" xr:uid="{00000000-0005-0000-0000-0000176C0000}"/>
    <cellStyle name="Normaali 8 2 5 2" xfId="10166" xr:uid="{00000000-0005-0000-0000-0000186C0000}"/>
    <cellStyle name="Normaali 8 2 5 3" xfId="18250" xr:uid="{00000000-0005-0000-0000-0000196C0000}"/>
    <cellStyle name="Normaali 8 2 5_DataIX" xfId="34075" xr:uid="{00000000-0005-0000-0000-00001A6C0000}"/>
    <cellStyle name="Normaali 8 2 6" xfId="4903" xr:uid="{00000000-0005-0000-0000-00001B6C0000}"/>
    <cellStyle name="Normaali 8 2 6 2" xfId="10167" xr:uid="{00000000-0005-0000-0000-00001C6C0000}"/>
    <cellStyle name="Normaali 8 2 6 3" xfId="18243" xr:uid="{00000000-0005-0000-0000-00001D6C0000}"/>
    <cellStyle name="Normaali 8 2 6_DataIX" xfId="34076" xr:uid="{00000000-0005-0000-0000-00001E6C0000}"/>
    <cellStyle name="Normaali 8 2 7" xfId="5330" xr:uid="{00000000-0005-0000-0000-00001F6C0000}"/>
    <cellStyle name="Normaali 8 2 7 2" xfId="12749" xr:uid="{00000000-0005-0000-0000-0000206C0000}"/>
    <cellStyle name="Normaali 8 2 7 3" xfId="18654" xr:uid="{00000000-0005-0000-0000-0000216C0000}"/>
    <cellStyle name="Normaali 8 2 7_DataIX" xfId="34077" xr:uid="{00000000-0005-0000-0000-0000226C0000}"/>
    <cellStyle name="Normaali 8 2 8" xfId="8646" xr:uid="{00000000-0005-0000-0000-0000236C0000}"/>
    <cellStyle name="Normaali 8 2 8 2" xfId="12750" xr:uid="{00000000-0005-0000-0000-0000246C0000}"/>
    <cellStyle name="Normaali 8 2 8 3" xfId="20247" xr:uid="{00000000-0005-0000-0000-0000256C0000}"/>
    <cellStyle name="Normaali 8 2 8_DataIX" xfId="34078" xr:uid="{00000000-0005-0000-0000-0000266C0000}"/>
    <cellStyle name="Normaali 8 2 9" xfId="10621" xr:uid="{00000000-0005-0000-0000-0000276C0000}"/>
    <cellStyle name="Normaali 8 2 9 2" xfId="12751" xr:uid="{00000000-0005-0000-0000-0000286C0000}"/>
    <cellStyle name="Normaali 8 2 9 3" xfId="20403" xr:uid="{00000000-0005-0000-0000-0000296C0000}"/>
    <cellStyle name="Normaali 8 2 9_DataIX" xfId="34079" xr:uid="{00000000-0005-0000-0000-00002A6C0000}"/>
    <cellStyle name="Normaali 8 2_##Keskeiset" xfId="5456" xr:uid="{00000000-0005-0000-0000-00002B6C0000}"/>
    <cellStyle name="Normaali 8 3" xfId="274" xr:uid="{00000000-0005-0000-0000-00002C6C0000}"/>
    <cellStyle name="Normaali 8 3 10" xfId="26360" xr:uid="{00000000-0005-0000-0000-00002D6C0000}"/>
    <cellStyle name="Normaali 8 3 2" xfId="4912" xr:uid="{00000000-0005-0000-0000-00002E6C0000}"/>
    <cellStyle name="Normaali 8 3 2 2" xfId="10169" xr:uid="{00000000-0005-0000-0000-00002F6C0000}"/>
    <cellStyle name="Normaali 8 3 2 3" xfId="18252" xr:uid="{00000000-0005-0000-0000-0000306C0000}"/>
    <cellStyle name="Normaali 8 3 2_DataIX" xfId="34080" xr:uid="{00000000-0005-0000-0000-0000316C0000}"/>
    <cellStyle name="Normaali 8 3 3" xfId="4913" xr:uid="{00000000-0005-0000-0000-0000326C0000}"/>
    <cellStyle name="Normaali 8 3 3 2" xfId="10170" xr:uid="{00000000-0005-0000-0000-0000336C0000}"/>
    <cellStyle name="Normaali 8 3 3 3" xfId="18253" xr:uid="{00000000-0005-0000-0000-0000346C0000}"/>
    <cellStyle name="Normaali 8 3 3_DataIX" xfId="34081" xr:uid="{00000000-0005-0000-0000-0000356C0000}"/>
    <cellStyle name="Normaali 8 3 4" xfId="4911" xr:uid="{00000000-0005-0000-0000-0000366C0000}"/>
    <cellStyle name="Normaali 8 3 4 2" xfId="10171" xr:uid="{00000000-0005-0000-0000-0000376C0000}"/>
    <cellStyle name="Normaali 8 3 4 3" xfId="18251" xr:uid="{00000000-0005-0000-0000-0000386C0000}"/>
    <cellStyle name="Normaali 8 3 4_DataIX" xfId="34082" xr:uid="{00000000-0005-0000-0000-0000396C0000}"/>
    <cellStyle name="Normaali 8 3 5" xfId="25174" xr:uid="{00000000-0005-0000-0000-00003A6C0000}"/>
    <cellStyle name="Normaali 8 3 6" xfId="26473" xr:uid="{00000000-0005-0000-0000-00003B6C0000}"/>
    <cellStyle name="Normaali 8 3 7" xfId="25347" xr:uid="{00000000-0005-0000-0000-00003C6C0000}"/>
    <cellStyle name="Normaali 8 3 8" xfId="25275" xr:uid="{00000000-0005-0000-0000-00003D6C0000}"/>
    <cellStyle name="Normaali 8 3 9" xfId="25433" xr:uid="{00000000-0005-0000-0000-00003E6C0000}"/>
    <cellStyle name="Normaali 8 3_##Keskeiset" xfId="10168" xr:uid="{00000000-0005-0000-0000-00003F6C0000}"/>
    <cellStyle name="Normaali 8 4" xfId="4914" xr:uid="{00000000-0005-0000-0000-0000406C0000}"/>
    <cellStyle name="Normaali 8 4 2" xfId="4915" xr:uid="{00000000-0005-0000-0000-0000416C0000}"/>
    <cellStyle name="Normaali 8 4 2 2" xfId="10173" xr:uid="{00000000-0005-0000-0000-0000426C0000}"/>
    <cellStyle name="Normaali 8 4 2 3" xfId="18255" xr:uid="{00000000-0005-0000-0000-0000436C0000}"/>
    <cellStyle name="Normaali 8 4 2_DataIX" xfId="34083" xr:uid="{00000000-0005-0000-0000-0000446C0000}"/>
    <cellStyle name="Normaali 8 4 3" xfId="4916" xr:uid="{00000000-0005-0000-0000-0000456C0000}"/>
    <cellStyle name="Normaali 8 4 3 2" xfId="10174" xr:uid="{00000000-0005-0000-0000-0000466C0000}"/>
    <cellStyle name="Normaali 8 4 3 3" xfId="18256" xr:uid="{00000000-0005-0000-0000-0000476C0000}"/>
    <cellStyle name="Normaali 8 4 3_DataIX" xfId="34084" xr:uid="{00000000-0005-0000-0000-0000486C0000}"/>
    <cellStyle name="Normaali 8 4 4" xfId="5645" xr:uid="{00000000-0005-0000-0000-0000496C0000}"/>
    <cellStyle name="Normaali 8 4 4 2" xfId="12753" xr:uid="{00000000-0005-0000-0000-00004A6C0000}"/>
    <cellStyle name="Normaali 8 4 4 3" xfId="18861" xr:uid="{00000000-0005-0000-0000-00004B6C0000}"/>
    <cellStyle name="Normaali 8 4 4_DataIX" xfId="34085" xr:uid="{00000000-0005-0000-0000-00004C6C0000}"/>
    <cellStyle name="Normaali 8 4 5" xfId="18254" xr:uid="{00000000-0005-0000-0000-00004D6C0000}"/>
    <cellStyle name="Normaali 8 4 6" xfId="20555" xr:uid="{00000000-0005-0000-0000-00004E6C0000}"/>
    <cellStyle name="Normaali 8 4_##Keskeiset" xfId="10172" xr:uid="{00000000-0005-0000-0000-00004F6C0000}"/>
    <cellStyle name="Normaali 8 5" xfId="4917" xr:uid="{00000000-0005-0000-0000-0000506C0000}"/>
    <cellStyle name="Normaali 8 5 2" xfId="4918" xr:uid="{00000000-0005-0000-0000-0000516C0000}"/>
    <cellStyle name="Normaali 8 5 2 2" xfId="4919" xr:uid="{00000000-0005-0000-0000-0000526C0000}"/>
    <cellStyle name="Normaali 8 5 2 2 2" xfId="10177" xr:uid="{00000000-0005-0000-0000-0000536C0000}"/>
    <cellStyle name="Normaali 8 5 2 2 3" xfId="18259" xr:uid="{00000000-0005-0000-0000-0000546C0000}"/>
    <cellStyle name="Normaali 8 5 2 2_DataIX" xfId="34088" xr:uid="{00000000-0005-0000-0000-0000556C0000}"/>
    <cellStyle name="Normaali 8 5 2 3" xfId="4920" xr:uid="{00000000-0005-0000-0000-0000566C0000}"/>
    <cellStyle name="Normaali 8 5 2 3 2" xfId="10178" xr:uid="{00000000-0005-0000-0000-0000576C0000}"/>
    <cellStyle name="Normaali 8 5 2 3 3" xfId="18260" xr:uid="{00000000-0005-0000-0000-0000586C0000}"/>
    <cellStyle name="Normaali 8 5 2 3_DataIX" xfId="34089" xr:uid="{00000000-0005-0000-0000-0000596C0000}"/>
    <cellStyle name="Normaali 8 5 2 4" xfId="10176" xr:uid="{00000000-0005-0000-0000-00005A6C0000}"/>
    <cellStyle name="Normaali 8 5 2 5" xfId="18258" xr:uid="{00000000-0005-0000-0000-00005B6C0000}"/>
    <cellStyle name="Normaali 8 5 2_DataIX" xfId="34087" xr:uid="{00000000-0005-0000-0000-00005C6C0000}"/>
    <cellStyle name="Normaali 8 5 3" xfId="4921" xr:uid="{00000000-0005-0000-0000-00005D6C0000}"/>
    <cellStyle name="Normaali 8 5 3 2" xfId="10179" xr:uid="{00000000-0005-0000-0000-00005E6C0000}"/>
    <cellStyle name="Normaali 8 5 3 3" xfId="18261" xr:uid="{00000000-0005-0000-0000-00005F6C0000}"/>
    <cellStyle name="Normaali 8 5 3_DataIX" xfId="34090" xr:uid="{00000000-0005-0000-0000-0000606C0000}"/>
    <cellStyle name="Normaali 8 5 4" xfId="4922" xr:uid="{00000000-0005-0000-0000-0000616C0000}"/>
    <cellStyle name="Normaali 8 5 4 2" xfId="10180" xr:uid="{00000000-0005-0000-0000-0000626C0000}"/>
    <cellStyle name="Normaali 8 5 4 3" xfId="18262" xr:uid="{00000000-0005-0000-0000-0000636C0000}"/>
    <cellStyle name="Normaali 8 5 4_DataIX" xfId="34091" xr:uid="{00000000-0005-0000-0000-0000646C0000}"/>
    <cellStyle name="Normaali 8 5 5" xfId="10175" xr:uid="{00000000-0005-0000-0000-0000656C0000}"/>
    <cellStyle name="Normaali 8 5 6" xfId="18257" xr:uid="{00000000-0005-0000-0000-0000666C0000}"/>
    <cellStyle name="Normaali 8 5_DataIX" xfId="34086" xr:uid="{00000000-0005-0000-0000-0000676C0000}"/>
    <cellStyle name="Normaali 8 6" xfId="4923" xr:uid="{00000000-0005-0000-0000-0000686C0000}"/>
    <cellStyle name="Normaali 8 6 2" xfId="4924" xr:uid="{00000000-0005-0000-0000-0000696C0000}"/>
    <cellStyle name="Normaali 8 6 2 2" xfId="10182" xr:uid="{00000000-0005-0000-0000-00006A6C0000}"/>
    <cellStyle name="Normaali 8 6 2 3" xfId="18264" xr:uid="{00000000-0005-0000-0000-00006B6C0000}"/>
    <cellStyle name="Normaali 8 6 2_DataIX" xfId="34093" xr:uid="{00000000-0005-0000-0000-00006C6C0000}"/>
    <cellStyle name="Normaali 8 6 3" xfId="10181" xr:uid="{00000000-0005-0000-0000-00006D6C0000}"/>
    <cellStyle name="Normaali 8 6 4" xfId="18263" xr:uid="{00000000-0005-0000-0000-00006E6C0000}"/>
    <cellStyle name="Normaali 8 6_DataIX" xfId="34092" xr:uid="{00000000-0005-0000-0000-00006F6C0000}"/>
    <cellStyle name="Normaali 8 7" xfId="4925" xr:uid="{00000000-0005-0000-0000-0000706C0000}"/>
    <cellStyle name="Normaali 8 7 2" xfId="10183" xr:uid="{00000000-0005-0000-0000-0000716C0000}"/>
    <cellStyle name="Normaali 8 7 3" xfId="18265" xr:uid="{00000000-0005-0000-0000-0000726C0000}"/>
    <cellStyle name="Normaali 8 7_DataIX" xfId="34094" xr:uid="{00000000-0005-0000-0000-0000736C0000}"/>
    <cellStyle name="Normaali 8 8" xfId="4926" xr:uid="{00000000-0005-0000-0000-0000746C0000}"/>
    <cellStyle name="Normaali 8 8 2" xfId="10184" xr:uid="{00000000-0005-0000-0000-0000756C0000}"/>
    <cellStyle name="Normaali 8 8 3" xfId="18266" xr:uid="{00000000-0005-0000-0000-0000766C0000}"/>
    <cellStyle name="Normaali 8 8_DataIX" xfId="34095" xr:uid="{00000000-0005-0000-0000-0000776C0000}"/>
    <cellStyle name="Normaali 8 9" xfId="4902" xr:uid="{00000000-0005-0000-0000-0000786C0000}"/>
    <cellStyle name="Normaali 8 9 2" xfId="10185" xr:uid="{00000000-0005-0000-0000-0000796C0000}"/>
    <cellStyle name="Normaali 8 9 3" xfId="18242" xr:uid="{00000000-0005-0000-0000-00007A6C0000}"/>
    <cellStyle name="Normaali 8 9_DataIX" xfId="34096" xr:uid="{00000000-0005-0000-0000-00007B6C0000}"/>
    <cellStyle name="Normaali 8_##KansantalKehitys" xfId="5438" xr:uid="{00000000-0005-0000-0000-00007C6C0000}"/>
    <cellStyle name="Normaali 80 2" xfId="4927" xr:uid="{00000000-0005-0000-0000-00007D6C0000}"/>
    <cellStyle name="Normaali 80 2 2" xfId="10186" xr:uid="{00000000-0005-0000-0000-00007E6C0000}"/>
    <cellStyle name="Normaali 80 2 3" xfId="18267" xr:uid="{00000000-0005-0000-0000-00007F6C0000}"/>
    <cellStyle name="Normaali 80 2_DataIX" xfId="34097" xr:uid="{00000000-0005-0000-0000-0000806C0000}"/>
    <cellStyle name="Normaali 81 2" xfId="4928" xr:uid="{00000000-0005-0000-0000-0000816C0000}"/>
    <cellStyle name="Normaali 81 2 2" xfId="10187" xr:uid="{00000000-0005-0000-0000-0000826C0000}"/>
    <cellStyle name="Normaali 81 2 3" xfId="18268" xr:uid="{00000000-0005-0000-0000-0000836C0000}"/>
    <cellStyle name="Normaali 81 2_DataIX" xfId="34098" xr:uid="{00000000-0005-0000-0000-0000846C0000}"/>
    <cellStyle name="Normaali 82 2" xfId="4929" xr:uid="{00000000-0005-0000-0000-0000856C0000}"/>
    <cellStyle name="Normaali 82 2 2" xfId="10188" xr:uid="{00000000-0005-0000-0000-0000866C0000}"/>
    <cellStyle name="Normaali 82 2 3" xfId="18269" xr:uid="{00000000-0005-0000-0000-0000876C0000}"/>
    <cellStyle name="Normaali 82 2_DataIX" xfId="34099" xr:uid="{00000000-0005-0000-0000-0000886C0000}"/>
    <cellStyle name="Normaali 85 2" xfId="4930" xr:uid="{00000000-0005-0000-0000-0000896C0000}"/>
    <cellStyle name="Normaali 85 2 2" xfId="10189" xr:uid="{00000000-0005-0000-0000-00008A6C0000}"/>
    <cellStyle name="Normaali 85 2 3" xfId="18270" xr:uid="{00000000-0005-0000-0000-00008B6C0000}"/>
    <cellStyle name="Normaali 85 2_DataIX" xfId="34100" xr:uid="{00000000-0005-0000-0000-00008C6C0000}"/>
    <cellStyle name="Normaali 86" xfId="4931" xr:uid="{00000000-0005-0000-0000-00008D6C0000}"/>
    <cellStyle name="Normaali 86 2" xfId="10190" xr:uid="{00000000-0005-0000-0000-00008E6C0000}"/>
    <cellStyle name="Normaali 86 3" xfId="18271" xr:uid="{00000000-0005-0000-0000-00008F6C0000}"/>
    <cellStyle name="Normaali 86_DataIX" xfId="34101" xr:uid="{00000000-0005-0000-0000-0000906C0000}"/>
    <cellStyle name="Normaali 88 2" xfId="4932" xr:uid="{00000000-0005-0000-0000-0000916C0000}"/>
    <cellStyle name="Normaali 88 2 2" xfId="10191" xr:uid="{00000000-0005-0000-0000-0000926C0000}"/>
    <cellStyle name="Normaali 88 2 3" xfId="18272" xr:uid="{00000000-0005-0000-0000-0000936C0000}"/>
    <cellStyle name="Normaali 88 2_DataIX" xfId="34102" xr:uid="{00000000-0005-0000-0000-0000946C0000}"/>
    <cellStyle name="Normaali 9" xfId="131" xr:uid="{00000000-0005-0000-0000-0000956C0000}"/>
    <cellStyle name="Normaali 9 10" xfId="25255" xr:uid="{00000000-0005-0000-0000-0000966C0000}"/>
    <cellStyle name="Normaali 9 11" xfId="28533" xr:uid="{00000000-0005-0000-0000-0000976C0000}"/>
    <cellStyle name="Normaali 9 2" xfId="218" xr:uid="{00000000-0005-0000-0000-0000986C0000}"/>
    <cellStyle name="Normaali 9 2 10" xfId="25599" xr:uid="{00000000-0005-0000-0000-0000996C0000}"/>
    <cellStyle name="Normaali 9 2 11" xfId="28552" xr:uid="{00000000-0005-0000-0000-00009A6C0000}"/>
    <cellStyle name="Normaali 9 2 2" xfId="4934" xr:uid="{00000000-0005-0000-0000-00009B6C0000}"/>
    <cellStyle name="Normaali 9 2 2 2" xfId="4935" xr:uid="{00000000-0005-0000-0000-00009C6C0000}"/>
    <cellStyle name="Normaali 9 2 2 2 2" xfId="10194" xr:uid="{00000000-0005-0000-0000-00009D6C0000}"/>
    <cellStyle name="Normaali 9 2 2 2 3" xfId="18275" xr:uid="{00000000-0005-0000-0000-00009E6C0000}"/>
    <cellStyle name="Normaali 9 2 2 2_DataIX" xfId="34104" xr:uid="{00000000-0005-0000-0000-00009F6C0000}"/>
    <cellStyle name="Normaali 9 2 2 3" xfId="4936" xr:uid="{00000000-0005-0000-0000-0000A06C0000}"/>
    <cellStyle name="Normaali 9 2 2 3 2" xfId="10195" xr:uid="{00000000-0005-0000-0000-0000A16C0000}"/>
    <cellStyle name="Normaali 9 2 2 3 3" xfId="18276" xr:uid="{00000000-0005-0000-0000-0000A26C0000}"/>
    <cellStyle name="Normaali 9 2 2 3_DataIX" xfId="34105" xr:uid="{00000000-0005-0000-0000-0000A36C0000}"/>
    <cellStyle name="Normaali 9 2 2 4" xfId="10193" xr:uid="{00000000-0005-0000-0000-0000A46C0000}"/>
    <cellStyle name="Normaali 9 2 2 5" xfId="18274" xr:uid="{00000000-0005-0000-0000-0000A56C0000}"/>
    <cellStyle name="Normaali 9 2 2 6" xfId="19076" xr:uid="{00000000-0005-0000-0000-0000A66C0000}"/>
    <cellStyle name="Normaali 9 2 2_DataIX" xfId="34103" xr:uid="{00000000-0005-0000-0000-0000A76C0000}"/>
    <cellStyle name="Normaali 9 2 3" xfId="4937" xr:uid="{00000000-0005-0000-0000-0000A86C0000}"/>
    <cellStyle name="Normaali 9 2 3 2" xfId="4938" xr:uid="{00000000-0005-0000-0000-0000A96C0000}"/>
    <cellStyle name="Normaali 9 2 3 2 2" xfId="10197" xr:uid="{00000000-0005-0000-0000-0000AA6C0000}"/>
    <cellStyle name="Normaali 9 2 3 2 3" xfId="18278" xr:uid="{00000000-0005-0000-0000-0000AB6C0000}"/>
    <cellStyle name="Normaali 9 2 3 2_DataIX" xfId="34107" xr:uid="{00000000-0005-0000-0000-0000AC6C0000}"/>
    <cellStyle name="Normaali 9 2 3 3" xfId="10196" xr:uid="{00000000-0005-0000-0000-0000AD6C0000}"/>
    <cellStyle name="Normaali 9 2 3 4" xfId="18277" xr:uid="{00000000-0005-0000-0000-0000AE6C0000}"/>
    <cellStyle name="Normaali 9 2 3_DataIX" xfId="34106" xr:uid="{00000000-0005-0000-0000-0000AF6C0000}"/>
    <cellStyle name="Normaali 9 2 4" xfId="4939" xr:uid="{00000000-0005-0000-0000-0000B06C0000}"/>
    <cellStyle name="Normaali 9 2 4 2" xfId="10198" xr:uid="{00000000-0005-0000-0000-0000B16C0000}"/>
    <cellStyle name="Normaali 9 2 4 3" xfId="18279" xr:uid="{00000000-0005-0000-0000-0000B26C0000}"/>
    <cellStyle name="Normaali 9 2 4_DataIX" xfId="34108" xr:uid="{00000000-0005-0000-0000-0000B36C0000}"/>
    <cellStyle name="Normaali 9 2 5" xfId="4940" xr:uid="{00000000-0005-0000-0000-0000B46C0000}"/>
    <cellStyle name="Normaali 9 2 5 2" xfId="10199" xr:uid="{00000000-0005-0000-0000-0000B56C0000}"/>
    <cellStyle name="Normaali 9 2 5 3" xfId="18280" xr:uid="{00000000-0005-0000-0000-0000B66C0000}"/>
    <cellStyle name="Normaali 9 2 5_DataIX" xfId="34109" xr:uid="{00000000-0005-0000-0000-0000B76C0000}"/>
    <cellStyle name="Normaali 9 2 6" xfId="4933" xr:uid="{00000000-0005-0000-0000-0000B86C0000}"/>
    <cellStyle name="Normaali 9 2 6 2" xfId="10200" xr:uid="{00000000-0005-0000-0000-0000B96C0000}"/>
    <cellStyle name="Normaali 9 2 6 3" xfId="18273" xr:uid="{00000000-0005-0000-0000-0000BA6C0000}"/>
    <cellStyle name="Normaali 9 2 6_DataIX" xfId="34110" xr:uid="{00000000-0005-0000-0000-0000BB6C0000}"/>
    <cellStyle name="Normaali 9 2 7" xfId="25176" xr:uid="{00000000-0005-0000-0000-0000BC6C0000}"/>
    <cellStyle name="Normaali 9 2 8" xfId="25637" xr:uid="{00000000-0005-0000-0000-0000BD6C0000}"/>
    <cellStyle name="Normaali 9 2 9" xfId="25768" xr:uid="{00000000-0005-0000-0000-0000BE6C0000}"/>
    <cellStyle name="Normaali 9 2_##Keskeiset" xfId="10192" xr:uid="{00000000-0005-0000-0000-0000BF6C0000}"/>
    <cellStyle name="Normaali 9 3" xfId="4941" xr:uid="{00000000-0005-0000-0000-0000C06C0000}"/>
    <cellStyle name="Normaali 9 3 2" xfId="4942" xr:uid="{00000000-0005-0000-0000-0000C16C0000}"/>
    <cellStyle name="Normaali 9 3 2 2" xfId="4943" xr:uid="{00000000-0005-0000-0000-0000C26C0000}"/>
    <cellStyle name="Normaali 9 3 2 2 2" xfId="10203" xr:uid="{00000000-0005-0000-0000-0000C36C0000}"/>
    <cellStyle name="Normaali 9 3 2 2 3" xfId="18283" xr:uid="{00000000-0005-0000-0000-0000C46C0000}"/>
    <cellStyle name="Normaali 9 3 2 2_DataIX" xfId="34112" xr:uid="{00000000-0005-0000-0000-0000C56C0000}"/>
    <cellStyle name="Normaali 9 3 2 3" xfId="10202" xr:uid="{00000000-0005-0000-0000-0000C66C0000}"/>
    <cellStyle name="Normaali 9 3 2 4" xfId="18282" xr:uid="{00000000-0005-0000-0000-0000C76C0000}"/>
    <cellStyle name="Normaali 9 3 2_DataIX" xfId="34111" xr:uid="{00000000-0005-0000-0000-0000C86C0000}"/>
    <cellStyle name="Normaali 9 3 3" xfId="4944" xr:uid="{00000000-0005-0000-0000-0000C96C0000}"/>
    <cellStyle name="Normaali 9 3 3 2" xfId="10204" xr:uid="{00000000-0005-0000-0000-0000CA6C0000}"/>
    <cellStyle name="Normaali 9 3 3 3" xfId="18284" xr:uid="{00000000-0005-0000-0000-0000CB6C0000}"/>
    <cellStyle name="Normaali 9 3 3_DataIX" xfId="34113" xr:uid="{00000000-0005-0000-0000-0000CC6C0000}"/>
    <cellStyle name="Normaali 9 3 4" xfId="5646" xr:uid="{00000000-0005-0000-0000-0000CD6C0000}"/>
    <cellStyle name="Normaali 9 3 4 2" xfId="12756" xr:uid="{00000000-0005-0000-0000-0000CE6C0000}"/>
    <cellStyle name="Normaali 9 3 4 3" xfId="18862" xr:uid="{00000000-0005-0000-0000-0000CF6C0000}"/>
    <cellStyle name="Normaali 9 3 4_DataIX" xfId="34114" xr:uid="{00000000-0005-0000-0000-0000D06C0000}"/>
    <cellStyle name="Normaali 9 3 5" xfId="18281" xr:uid="{00000000-0005-0000-0000-0000D16C0000}"/>
    <cellStyle name="Normaali 9 3_##Keskeiset" xfId="10201" xr:uid="{00000000-0005-0000-0000-0000D26C0000}"/>
    <cellStyle name="Normaali 9 4" xfId="4945" xr:uid="{00000000-0005-0000-0000-0000D36C0000}"/>
    <cellStyle name="Normaali 9 4 2" xfId="4946" xr:uid="{00000000-0005-0000-0000-0000D46C0000}"/>
    <cellStyle name="Normaali 9 4 2 2" xfId="10206" xr:uid="{00000000-0005-0000-0000-0000D56C0000}"/>
    <cellStyle name="Normaali 9 4 2 3" xfId="18286" xr:uid="{00000000-0005-0000-0000-0000D66C0000}"/>
    <cellStyle name="Normaali 9 4 2_DataIX" xfId="34116" xr:uid="{00000000-0005-0000-0000-0000D76C0000}"/>
    <cellStyle name="Normaali 9 4 3" xfId="4947" xr:uid="{00000000-0005-0000-0000-0000D86C0000}"/>
    <cellStyle name="Normaali 9 4 3 2" xfId="10207" xr:uid="{00000000-0005-0000-0000-0000D96C0000}"/>
    <cellStyle name="Normaali 9 4 3 3" xfId="18287" xr:uid="{00000000-0005-0000-0000-0000DA6C0000}"/>
    <cellStyle name="Normaali 9 4 3_DataIX" xfId="34117" xr:uid="{00000000-0005-0000-0000-0000DB6C0000}"/>
    <cellStyle name="Normaali 9 4 4" xfId="10205" xr:uid="{00000000-0005-0000-0000-0000DC6C0000}"/>
    <cellStyle name="Normaali 9 4 5" xfId="18285" xr:uid="{00000000-0005-0000-0000-0000DD6C0000}"/>
    <cellStyle name="Normaali 9 4_DataIX" xfId="34115" xr:uid="{00000000-0005-0000-0000-0000DE6C0000}"/>
    <cellStyle name="Normaali 9 5" xfId="4948" xr:uid="{00000000-0005-0000-0000-0000DF6C0000}"/>
    <cellStyle name="Normaali 9 5 2" xfId="4949" xr:uid="{00000000-0005-0000-0000-0000E06C0000}"/>
    <cellStyle name="Normaali 9 5 2 2" xfId="10209" xr:uid="{00000000-0005-0000-0000-0000E16C0000}"/>
    <cellStyle name="Normaali 9 5 2 3" xfId="18289" xr:uid="{00000000-0005-0000-0000-0000E26C0000}"/>
    <cellStyle name="Normaali 9 5 2_DataIX" xfId="34119" xr:uid="{00000000-0005-0000-0000-0000E36C0000}"/>
    <cellStyle name="Normaali 9 5 3" xfId="10208" xr:uid="{00000000-0005-0000-0000-0000E46C0000}"/>
    <cellStyle name="Normaali 9 5 4" xfId="18288" xr:uid="{00000000-0005-0000-0000-0000E56C0000}"/>
    <cellStyle name="Normaali 9 5 5" xfId="20554" xr:uid="{00000000-0005-0000-0000-0000E66C0000}"/>
    <cellStyle name="Normaali 9 5_DataIX" xfId="34118" xr:uid="{00000000-0005-0000-0000-0000E76C0000}"/>
    <cellStyle name="Normaali 9 6" xfId="4950" xr:uid="{00000000-0005-0000-0000-0000E86C0000}"/>
    <cellStyle name="Normaali 9 6 2" xfId="10210" xr:uid="{00000000-0005-0000-0000-0000E96C0000}"/>
    <cellStyle name="Normaali 9 6 3" xfId="18290" xr:uid="{00000000-0005-0000-0000-0000EA6C0000}"/>
    <cellStyle name="Normaali 9 6_DataIX" xfId="34120" xr:uid="{00000000-0005-0000-0000-0000EB6C0000}"/>
    <cellStyle name="Normaali 9 7" xfId="25175" xr:uid="{00000000-0005-0000-0000-0000EC6C0000}"/>
    <cellStyle name="Normaali 9 8" xfId="26134" xr:uid="{00000000-0005-0000-0000-0000ED6C0000}"/>
    <cellStyle name="Normaali 9 9" xfId="26575" xr:uid="{00000000-0005-0000-0000-0000EE6C0000}"/>
    <cellStyle name="Normaali 9_##KansantalKehitys" xfId="5439" xr:uid="{00000000-0005-0000-0000-0000EF6C0000}"/>
    <cellStyle name="Normaali 91 2" xfId="4951" xr:uid="{00000000-0005-0000-0000-0000F06C0000}"/>
    <cellStyle name="Normaali 91 2 2" xfId="10211" xr:uid="{00000000-0005-0000-0000-0000F16C0000}"/>
    <cellStyle name="Normaali 91 2 3" xfId="18291" xr:uid="{00000000-0005-0000-0000-0000F26C0000}"/>
    <cellStyle name="Normaali 91 2_DataIX" xfId="34121" xr:uid="{00000000-0005-0000-0000-0000F36C0000}"/>
    <cellStyle name="Normaali_OECD eStep_TEMPLATE_FINnat" xfId="35790" xr:uid="{C9391201-231D-495A-94D3-A121F03C56D9}"/>
    <cellStyle name="Normaali_sektorituotanto" xfId="35791" xr:uid="{E0FCA573-5B8C-475F-A20D-68BE120CECBB}"/>
    <cellStyle name="Normal - Style1" xfId="4952" xr:uid="{00000000-0005-0000-0000-0000FD6C0000}"/>
    <cellStyle name="Normal - Style1 2" xfId="4953" xr:uid="{00000000-0005-0000-0000-0000FE6C0000}"/>
    <cellStyle name="Normal - Style1 2 2" xfId="10213" xr:uid="{00000000-0005-0000-0000-0000FF6C0000}"/>
    <cellStyle name="Normal - Style1 2 3" xfId="18293" xr:uid="{00000000-0005-0000-0000-0000006D0000}"/>
    <cellStyle name="Normal - Style1 2_DataIX" xfId="34123" xr:uid="{00000000-0005-0000-0000-0000016D0000}"/>
    <cellStyle name="Normal - Style1 3" xfId="4954" xr:uid="{00000000-0005-0000-0000-0000026D0000}"/>
    <cellStyle name="Normal - Style1 3 2" xfId="10214" xr:uid="{00000000-0005-0000-0000-0000036D0000}"/>
    <cellStyle name="Normal - Style1 3 3" xfId="18294" xr:uid="{00000000-0005-0000-0000-0000046D0000}"/>
    <cellStyle name="Normal - Style1 3_DataIX" xfId="34124" xr:uid="{00000000-0005-0000-0000-0000056D0000}"/>
    <cellStyle name="Normal - Style1 4" xfId="10212" xr:uid="{00000000-0005-0000-0000-0000066D0000}"/>
    <cellStyle name="Normal - Style1 5" xfId="18292" xr:uid="{00000000-0005-0000-0000-0000076D0000}"/>
    <cellStyle name="Normal - Style1_DataIX" xfId="34122" xr:uid="{00000000-0005-0000-0000-0000086D0000}"/>
    <cellStyle name="Normal - Style3" xfId="394" xr:uid="{00000000-0005-0000-0000-0000096D0000}"/>
    <cellStyle name="Normal - Style3 2" xfId="11113" xr:uid="{00000000-0005-0000-0000-00000A6D0000}"/>
    <cellStyle name="Normal - Style3 3" xfId="13929" xr:uid="{00000000-0005-0000-0000-00000B6D0000}"/>
    <cellStyle name="Normal - Style3_DataIX" xfId="34125" xr:uid="{00000000-0005-0000-0000-00000C6D0000}"/>
    <cellStyle name="Normal 10" xfId="4955" xr:uid="{00000000-0005-0000-0000-00000D6D0000}"/>
    <cellStyle name="Normal 10 2" xfId="4956" xr:uid="{00000000-0005-0000-0000-00000E6D0000}"/>
    <cellStyle name="Normal 10 2 2" xfId="10216" xr:uid="{00000000-0005-0000-0000-00000F6D0000}"/>
    <cellStyle name="Normal 10 2 3" xfId="18296" xr:uid="{00000000-0005-0000-0000-0000106D0000}"/>
    <cellStyle name="Normal 10 2_DataIX" xfId="34127" xr:uid="{00000000-0005-0000-0000-0000116D0000}"/>
    <cellStyle name="Normal 10 3" xfId="4957" xr:uid="{00000000-0005-0000-0000-0000126D0000}"/>
    <cellStyle name="Normal 10 3 2" xfId="10217" xr:uid="{00000000-0005-0000-0000-0000136D0000}"/>
    <cellStyle name="Normal 10 3 3" xfId="18297" xr:uid="{00000000-0005-0000-0000-0000146D0000}"/>
    <cellStyle name="Normal 10 3_DataIX" xfId="34128" xr:uid="{00000000-0005-0000-0000-0000156D0000}"/>
    <cellStyle name="Normal 10 4" xfId="4958" xr:uid="{00000000-0005-0000-0000-0000166D0000}"/>
    <cellStyle name="Normal 10 4 2" xfId="10218" xr:uid="{00000000-0005-0000-0000-0000176D0000}"/>
    <cellStyle name="Normal 10 4 3" xfId="18298" xr:uid="{00000000-0005-0000-0000-0000186D0000}"/>
    <cellStyle name="Normal 10 4_DataIX" xfId="34129" xr:uid="{00000000-0005-0000-0000-0000196D0000}"/>
    <cellStyle name="Normal 10 5" xfId="10215" xr:uid="{00000000-0005-0000-0000-00001A6D0000}"/>
    <cellStyle name="Normal 10 6" xfId="18295" xr:uid="{00000000-0005-0000-0000-00001B6D0000}"/>
    <cellStyle name="Normal 10 7" xfId="19075" xr:uid="{00000000-0005-0000-0000-00001C6D0000}"/>
    <cellStyle name="Normal 10_DataIX" xfId="34126" xr:uid="{00000000-0005-0000-0000-00001D6D0000}"/>
    <cellStyle name="Normal 11" xfId="4959" xr:uid="{00000000-0005-0000-0000-00001E6D0000}"/>
    <cellStyle name="Normal 11 2" xfId="4960" xr:uid="{00000000-0005-0000-0000-00001F6D0000}"/>
    <cellStyle name="Normal 11 2 2" xfId="10220" xr:uid="{00000000-0005-0000-0000-0000206D0000}"/>
    <cellStyle name="Normal 11 2 3" xfId="18300" xr:uid="{00000000-0005-0000-0000-0000216D0000}"/>
    <cellStyle name="Normal 11 2_DataIX" xfId="34131" xr:uid="{00000000-0005-0000-0000-0000226D0000}"/>
    <cellStyle name="Normal 11 3" xfId="10219" xr:uid="{00000000-0005-0000-0000-0000236D0000}"/>
    <cellStyle name="Normal 11 4" xfId="18299" xr:uid="{00000000-0005-0000-0000-0000246D0000}"/>
    <cellStyle name="Normal 11_DataIX" xfId="34130" xr:uid="{00000000-0005-0000-0000-0000256D0000}"/>
    <cellStyle name="Normal 12" xfId="4961" xr:uid="{00000000-0005-0000-0000-0000266D0000}"/>
    <cellStyle name="Normal 12 2" xfId="4962" xr:uid="{00000000-0005-0000-0000-0000276D0000}"/>
    <cellStyle name="Normal 12 2 2" xfId="10222" xr:uid="{00000000-0005-0000-0000-0000286D0000}"/>
    <cellStyle name="Normal 12 2 3" xfId="18302" xr:uid="{00000000-0005-0000-0000-0000296D0000}"/>
    <cellStyle name="Normal 12 2_DataIX" xfId="34133" xr:uid="{00000000-0005-0000-0000-00002A6D0000}"/>
    <cellStyle name="Normal 12 3" xfId="4963" xr:uid="{00000000-0005-0000-0000-00002B6D0000}"/>
    <cellStyle name="Normal 12 3 2" xfId="10223" xr:uid="{00000000-0005-0000-0000-00002C6D0000}"/>
    <cellStyle name="Normal 12 3 3" xfId="18303" xr:uid="{00000000-0005-0000-0000-00002D6D0000}"/>
    <cellStyle name="Normal 12 3_DataIX" xfId="34134" xr:uid="{00000000-0005-0000-0000-00002E6D0000}"/>
    <cellStyle name="Normal 12 4" xfId="10221" xr:uid="{00000000-0005-0000-0000-00002F6D0000}"/>
    <cellStyle name="Normal 12 5" xfId="18301" xr:uid="{00000000-0005-0000-0000-0000306D0000}"/>
    <cellStyle name="Normal 12_DataIX" xfId="34132" xr:uid="{00000000-0005-0000-0000-0000316D0000}"/>
    <cellStyle name="Normal 13" xfId="4964" xr:uid="{00000000-0005-0000-0000-0000326D0000}"/>
    <cellStyle name="Normal 13 2" xfId="10224" xr:uid="{00000000-0005-0000-0000-0000336D0000}"/>
    <cellStyle name="Normal 13 3" xfId="18304" xr:uid="{00000000-0005-0000-0000-0000346D0000}"/>
    <cellStyle name="Normal 13_DataIX" xfId="34135" xr:uid="{00000000-0005-0000-0000-0000356D0000}"/>
    <cellStyle name="Normal 14" xfId="4965" xr:uid="{00000000-0005-0000-0000-0000366D0000}"/>
    <cellStyle name="Normal 14 2" xfId="10225" xr:uid="{00000000-0005-0000-0000-0000376D0000}"/>
    <cellStyle name="Normal 14 3" xfId="18305" xr:uid="{00000000-0005-0000-0000-0000386D0000}"/>
    <cellStyle name="Normal 14_DataIX" xfId="34136" xr:uid="{00000000-0005-0000-0000-0000396D0000}"/>
    <cellStyle name="Normal 15" xfId="4966" xr:uid="{00000000-0005-0000-0000-00003A6D0000}"/>
    <cellStyle name="Normal 15 2" xfId="10226" xr:uid="{00000000-0005-0000-0000-00003B6D0000}"/>
    <cellStyle name="Normal 15 3" xfId="18306" xr:uid="{00000000-0005-0000-0000-00003C6D0000}"/>
    <cellStyle name="Normal 15_DataIX" xfId="34137" xr:uid="{00000000-0005-0000-0000-00003D6D0000}"/>
    <cellStyle name="Normal 16" xfId="23152" xr:uid="{00000000-0005-0000-0000-00003E6D0000}"/>
    <cellStyle name="Normal 16 2" xfId="26511" xr:uid="{00000000-0005-0000-0000-00003F6D0000}"/>
    <cellStyle name="Normal 16 2 2" xfId="27717" xr:uid="{00000000-0005-0000-0000-0000406D0000}"/>
    <cellStyle name="Normal 16 2 3" xfId="27748" xr:uid="{00000000-0005-0000-0000-0000416D0000}"/>
    <cellStyle name="Normal 16 2 4" xfId="27832" xr:uid="{00000000-0005-0000-0000-0000426D0000}"/>
    <cellStyle name="Normal 16 2_DataIX" xfId="34139" xr:uid="{00000000-0005-0000-0000-0000436D0000}"/>
    <cellStyle name="Normal 16 3" xfId="25020" xr:uid="{00000000-0005-0000-0000-0000446D0000}"/>
    <cellStyle name="Normal 16 4" xfId="27639" xr:uid="{00000000-0005-0000-0000-0000456D0000}"/>
    <cellStyle name="Normal 16 5" xfId="27731" xr:uid="{00000000-0005-0000-0000-0000466D0000}"/>
    <cellStyle name="Normal 16 6" xfId="27807" xr:uid="{00000000-0005-0000-0000-0000476D0000}"/>
    <cellStyle name="Normal 16_DataIX" xfId="34138" xr:uid="{00000000-0005-0000-0000-0000486D0000}"/>
    <cellStyle name="Normal 17" xfId="23153" xr:uid="{00000000-0005-0000-0000-0000496D0000}"/>
    <cellStyle name="Normal 17 2" xfId="26512" xr:uid="{00000000-0005-0000-0000-00004A6D0000}"/>
    <cellStyle name="Normal 17 2 2" xfId="27718" xr:uid="{00000000-0005-0000-0000-00004B6D0000}"/>
    <cellStyle name="Normal 17 2 3" xfId="27749" xr:uid="{00000000-0005-0000-0000-00004C6D0000}"/>
    <cellStyle name="Normal 17 2 4" xfId="27833" xr:uid="{00000000-0005-0000-0000-00004D6D0000}"/>
    <cellStyle name="Normal 17 2_DataIX" xfId="34141" xr:uid="{00000000-0005-0000-0000-00004E6D0000}"/>
    <cellStyle name="Normal 17 3" xfId="25021" xr:uid="{00000000-0005-0000-0000-00004F6D0000}"/>
    <cellStyle name="Normal 17 4" xfId="27640" xr:uid="{00000000-0005-0000-0000-0000506D0000}"/>
    <cellStyle name="Normal 17 5" xfId="27732" xr:uid="{00000000-0005-0000-0000-0000516D0000}"/>
    <cellStyle name="Normal 17 6" xfId="27808" xr:uid="{00000000-0005-0000-0000-0000526D0000}"/>
    <cellStyle name="Normal 17 7" xfId="28184" xr:uid="{00000000-0005-0000-0000-0000536D0000}"/>
    <cellStyle name="Normal 17_DataIX" xfId="34140" xr:uid="{00000000-0005-0000-0000-0000546D0000}"/>
    <cellStyle name="Normal 18" xfId="23154" xr:uid="{00000000-0005-0000-0000-0000556D0000}"/>
    <cellStyle name="Normal 18 2" xfId="26513" xr:uid="{00000000-0005-0000-0000-0000566D0000}"/>
    <cellStyle name="Normal 18 2 2" xfId="27719" xr:uid="{00000000-0005-0000-0000-0000576D0000}"/>
    <cellStyle name="Normal 18 2 3" xfId="27750" xr:uid="{00000000-0005-0000-0000-0000586D0000}"/>
    <cellStyle name="Normal 18 2 4" xfId="27834" xr:uid="{00000000-0005-0000-0000-0000596D0000}"/>
    <cellStyle name="Normal 18 2_DataIX" xfId="34143" xr:uid="{00000000-0005-0000-0000-00005A6D0000}"/>
    <cellStyle name="Normal 18 3" xfId="25022" xr:uid="{00000000-0005-0000-0000-00005B6D0000}"/>
    <cellStyle name="Normal 18 4" xfId="27641" xr:uid="{00000000-0005-0000-0000-00005C6D0000}"/>
    <cellStyle name="Normal 18 5" xfId="27733" xr:uid="{00000000-0005-0000-0000-00005D6D0000}"/>
    <cellStyle name="Normal 18 6" xfId="27809" xr:uid="{00000000-0005-0000-0000-00005E6D0000}"/>
    <cellStyle name="Normal 18 7" xfId="28186" xr:uid="{00000000-0005-0000-0000-00005F6D0000}"/>
    <cellStyle name="Normal 18_DataIX" xfId="34142" xr:uid="{00000000-0005-0000-0000-0000606D0000}"/>
    <cellStyle name="Normal 19" xfId="23155" xr:uid="{00000000-0005-0000-0000-0000616D0000}"/>
    <cellStyle name="Normal 19 2" xfId="26514" xr:uid="{00000000-0005-0000-0000-0000626D0000}"/>
    <cellStyle name="Normal 19 2 2" xfId="27720" xr:uid="{00000000-0005-0000-0000-0000636D0000}"/>
    <cellStyle name="Normal 19 2 3" xfId="27751" xr:uid="{00000000-0005-0000-0000-0000646D0000}"/>
    <cellStyle name="Normal 19 2 4" xfId="27835" xr:uid="{00000000-0005-0000-0000-0000656D0000}"/>
    <cellStyle name="Normal 19 2_DataIX" xfId="34145" xr:uid="{00000000-0005-0000-0000-0000666D0000}"/>
    <cellStyle name="Normal 19 3" xfId="25023" xr:uid="{00000000-0005-0000-0000-0000676D0000}"/>
    <cellStyle name="Normal 19 4" xfId="27642" xr:uid="{00000000-0005-0000-0000-0000686D0000}"/>
    <cellStyle name="Normal 19 5" xfId="27734" xr:uid="{00000000-0005-0000-0000-0000696D0000}"/>
    <cellStyle name="Normal 19 6" xfId="27810" xr:uid="{00000000-0005-0000-0000-00006A6D0000}"/>
    <cellStyle name="Normal 19_DataIX" xfId="34144" xr:uid="{00000000-0005-0000-0000-00006B6D0000}"/>
    <cellStyle name="Normal 2" xfId="111" xr:uid="{00000000-0005-0000-0000-00006C6D0000}"/>
    <cellStyle name="Normal 2 10" xfId="4967" xr:uid="{00000000-0005-0000-0000-00006D6D0000}"/>
    <cellStyle name="Normal 2 10 2" xfId="10228" xr:uid="{00000000-0005-0000-0000-00006E6D0000}"/>
    <cellStyle name="Normal 2 10 3" xfId="18307" xr:uid="{00000000-0005-0000-0000-00006F6D0000}"/>
    <cellStyle name="Normal 2 10_DataIX" xfId="34146" xr:uid="{00000000-0005-0000-0000-0000706D0000}"/>
    <cellStyle name="Normal 2 11" xfId="4968" xr:uid="{00000000-0005-0000-0000-0000716D0000}"/>
    <cellStyle name="Normal 2 11 2" xfId="4969" xr:uid="{00000000-0005-0000-0000-0000726D0000}"/>
    <cellStyle name="Normal 2 11 2 2" xfId="4970" xr:uid="{00000000-0005-0000-0000-0000736D0000}"/>
    <cellStyle name="Normal 2 11 2 2 2" xfId="10231" xr:uid="{00000000-0005-0000-0000-0000746D0000}"/>
    <cellStyle name="Normal 2 11 2 2 3" xfId="18310" xr:uid="{00000000-0005-0000-0000-0000756D0000}"/>
    <cellStyle name="Normal 2 11 2 2_DataIX" xfId="34149" xr:uid="{00000000-0005-0000-0000-0000766D0000}"/>
    <cellStyle name="Normal 2 11 2 3" xfId="10230" xr:uid="{00000000-0005-0000-0000-0000776D0000}"/>
    <cellStyle name="Normal 2 11 2 4" xfId="18309" xr:uid="{00000000-0005-0000-0000-0000786D0000}"/>
    <cellStyle name="Normal 2 11 2_DataIX" xfId="34148" xr:uid="{00000000-0005-0000-0000-0000796D0000}"/>
    <cellStyle name="Normal 2 11 3" xfId="4971" xr:uid="{00000000-0005-0000-0000-00007A6D0000}"/>
    <cellStyle name="Normal 2 11 3 2" xfId="4972" xr:uid="{00000000-0005-0000-0000-00007B6D0000}"/>
    <cellStyle name="Normal 2 11 3 2 2" xfId="10233" xr:uid="{00000000-0005-0000-0000-00007C6D0000}"/>
    <cellStyle name="Normal 2 11 3 2 3" xfId="18312" xr:uid="{00000000-0005-0000-0000-00007D6D0000}"/>
    <cellStyle name="Normal 2 11 3 2_DataIX" xfId="34151" xr:uid="{00000000-0005-0000-0000-00007E6D0000}"/>
    <cellStyle name="Normal 2 11 3 3" xfId="10232" xr:uid="{00000000-0005-0000-0000-00007F6D0000}"/>
    <cellStyle name="Normal 2 11 3 4" xfId="18311" xr:uid="{00000000-0005-0000-0000-0000806D0000}"/>
    <cellStyle name="Normal 2 11 3_DataIX" xfId="34150" xr:uid="{00000000-0005-0000-0000-0000816D0000}"/>
    <cellStyle name="Normal 2 11 4" xfId="4973" xr:uid="{00000000-0005-0000-0000-0000826D0000}"/>
    <cellStyle name="Normal 2 11 4 2" xfId="10234" xr:uid="{00000000-0005-0000-0000-0000836D0000}"/>
    <cellStyle name="Normal 2 11 4 3" xfId="18313" xr:uid="{00000000-0005-0000-0000-0000846D0000}"/>
    <cellStyle name="Normal 2 11 4_DataIX" xfId="34152" xr:uid="{00000000-0005-0000-0000-0000856D0000}"/>
    <cellStyle name="Normal 2 11 5" xfId="10229" xr:uid="{00000000-0005-0000-0000-0000866D0000}"/>
    <cellStyle name="Normal 2 11 6" xfId="18308" xr:uid="{00000000-0005-0000-0000-0000876D0000}"/>
    <cellStyle name="Normal 2 11_DataIX" xfId="34147" xr:uid="{00000000-0005-0000-0000-0000886D0000}"/>
    <cellStyle name="Normal 2 12" xfId="25027" xr:uid="{00000000-0005-0000-0000-0000896D0000}"/>
    <cellStyle name="Normal 2 13" xfId="25675" xr:uid="{00000000-0005-0000-0000-00008A6D0000}"/>
    <cellStyle name="Normal 2 14" xfId="26273" xr:uid="{00000000-0005-0000-0000-00008B6D0000}"/>
    <cellStyle name="Normal 2 15" xfId="25566" xr:uid="{00000000-0005-0000-0000-00008C6D0000}"/>
    <cellStyle name="Normal 2 16" xfId="25812" xr:uid="{00000000-0005-0000-0000-00008D6D0000}"/>
    <cellStyle name="Normal 2 17" xfId="25851" xr:uid="{00000000-0005-0000-0000-00008E6D0000}"/>
    <cellStyle name="Normal 2 18" xfId="25465" xr:uid="{00000000-0005-0000-0000-00008F6D0000}"/>
    <cellStyle name="Normal 2 19" xfId="25984" xr:uid="{00000000-0005-0000-0000-0000906D0000}"/>
    <cellStyle name="Normal 2 2" xfId="4974" xr:uid="{00000000-0005-0000-0000-0000916D0000}"/>
    <cellStyle name="Normal 2 2 2" xfId="4975" xr:uid="{00000000-0005-0000-0000-0000926D0000}"/>
    <cellStyle name="Normal 2 2 2 2" xfId="10236" xr:uid="{00000000-0005-0000-0000-0000936D0000}"/>
    <cellStyle name="Normal 2 2 2 3" xfId="18315" xr:uid="{00000000-0005-0000-0000-0000946D0000}"/>
    <cellStyle name="Normal 2 2 2_DataIX" xfId="34154" xr:uid="{00000000-0005-0000-0000-0000956D0000}"/>
    <cellStyle name="Normal 2 2 3" xfId="4976" xr:uid="{00000000-0005-0000-0000-0000966D0000}"/>
    <cellStyle name="Normal 2 2 3 2" xfId="4977" xr:uid="{00000000-0005-0000-0000-0000976D0000}"/>
    <cellStyle name="Normal 2 2 3 2 2" xfId="4978" xr:uid="{00000000-0005-0000-0000-0000986D0000}"/>
    <cellStyle name="Normal 2 2 3 2 2 2" xfId="10239" xr:uid="{00000000-0005-0000-0000-0000996D0000}"/>
    <cellStyle name="Normal 2 2 3 2 2 3" xfId="18318" xr:uid="{00000000-0005-0000-0000-00009A6D0000}"/>
    <cellStyle name="Normal 2 2 3 2 2_DataIX" xfId="34157" xr:uid="{00000000-0005-0000-0000-00009B6D0000}"/>
    <cellStyle name="Normal 2 2 3 2 3" xfId="10238" xr:uid="{00000000-0005-0000-0000-00009C6D0000}"/>
    <cellStyle name="Normal 2 2 3 2 4" xfId="18317" xr:uid="{00000000-0005-0000-0000-00009D6D0000}"/>
    <cellStyle name="Normal 2 2 3 2_DataIX" xfId="34156" xr:uid="{00000000-0005-0000-0000-00009E6D0000}"/>
    <cellStyle name="Normal 2 2 3 3" xfId="4979" xr:uid="{00000000-0005-0000-0000-00009F6D0000}"/>
    <cellStyle name="Normal 2 2 3 3 2" xfId="4980" xr:uid="{00000000-0005-0000-0000-0000A06D0000}"/>
    <cellStyle name="Normal 2 2 3 3 2 2" xfId="10241" xr:uid="{00000000-0005-0000-0000-0000A16D0000}"/>
    <cellStyle name="Normal 2 2 3 3 2 3" xfId="18320" xr:uid="{00000000-0005-0000-0000-0000A26D0000}"/>
    <cellStyle name="Normal 2 2 3 3 2_DataIX" xfId="34159" xr:uid="{00000000-0005-0000-0000-0000A36D0000}"/>
    <cellStyle name="Normal 2 2 3 3 3" xfId="10240" xr:uid="{00000000-0005-0000-0000-0000A46D0000}"/>
    <cellStyle name="Normal 2 2 3 3 4" xfId="18319" xr:uid="{00000000-0005-0000-0000-0000A56D0000}"/>
    <cellStyle name="Normal 2 2 3 3_DataIX" xfId="34158" xr:uid="{00000000-0005-0000-0000-0000A66D0000}"/>
    <cellStyle name="Normal 2 2 3 4" xfId="4981" xr:uid="{00000000-0005-0000-0000-0000A76D0000}"/>
    <cellStyle name="Normal 2 2 3 4 2" xfId="10242" xr:uid="{00000000-0005-0000-0000-0000A86D0000}"/>
    <cellStyle name="Normal 2 2 3 4 3" xfId="18321" xr:uid="{00000000-0005-0000-0000-0000A96D0000}"/>
    <cellStyle name="Normal 2 2 3 4_DataIX" xfId="34160" xr:uid="{00000000-0005-0000-0000-0000AA6D0000}"/>
    <cellStyle name="Normal 2 2 3 5" xfId="10237" xr:uid="{00000000-0005-0000-0000-0000AB6D0000}"/>
    <cellStyle name="Normal 2 2 3 6" xfId="18316" xr:uid="{00000000-0005-0000-0000-0000AC6D0000}"/>
    <cellStyle name="Normal 2 2 3_DataIX" xfId="34155" xr:uid="{00000000-0005-0000-0000-0000AD6D0000}"/>
    <cellStyle name="Normal 2 2 4" xfId="4982" xr:uid="{00000000-0005-0000-0000-0000AE6D0000}"/>
    <cellStyle name="Normal 2 2 4 2" xfId="4983" xr:uid="{00000000-0005-0000-0000-0000AF6D0000}"/>
    <cellStyle name="Normal 2 2 4 2 2" xfId="4984" xr:uid="{00000000-0005-0000-0000-0000B06D0000}"/>
    <cellStyle name="Normal 2 2 4 2 2 2" xfId="10245" xr:uid="{00000000-0005-0000-0000-0000B16D0000}"/>
    <cellStyle name="Normal 2 2 4 2 2 3" xfId="18324" xr:uid="{00000000-0005-0000-0000-0000B26D0000}"/>
    <cellStyle name="Normal 2 2 4 2 2_DataIX" xfId="34163" xr:uid="{00000000-0005-0000-0000-0000B36D0000}"/>
    <cellStyle name="Normal 2 2 4 2 3" xfId="10244" xr:uid="{00000000-0005-0000-0000-0000B46D0000}"/>
    <cellStyle name="Normal 2 2 4 2 4" xfId="18323" xr:uid="{00000000-0005-0000-0000-0000B56D0000}"/>
    <cellStyle name="Normal 2 2 4 2_DataIX" xfId="34162" xr:uid="{00000000-0005-0000-0000-0000B66D0000}"/>
    <cellStyle name="Normal 2 2 4 3" xfId="4985" xr:uid="{00000000-0005-0000-0000-0000B76D0000}"/>
    <cellStyle name="Normal 2 2 4 3 2" xfId="4986" xr:uid="{00000000-0005-0000-0000-0000B86D0000}"/>
    <cellStyle name="Normal 2 2 4 3 2 2" xfId="10247" xr:uid="{00000000-0005-0000-0000-0000B96D0000}"/>
    <cellStyle name="Normal 2 2 4 3 2 3" xfId="18326" xr:uid="{00000000-0005-0000-0000-0000BA6D0000}"/>
    <cellStyle name="Normal 2 2 4 3 2_DataIX" xfId="34165" xr:uid="{00000000-0005-0000-0000-0000BB6D0000}"/>
    <cellStyle name="Normal 2 2 4 3 3" xfId="10246" xr:uid="{00000000-0005-0000-0000-0000BC6D0000}"/>
    <cellStyle name="Normal 2 2 4 3 4" xfId="18325" xr:uid="{00000000-0005-0000-0000-0000BD6D0000}"/>
    <cellStyle name="Normal 2 2 4 3_DataIX" xfId="34164" xr:uid="{00000000-0005-0000-0000-0000BE6D0000}"/>
    <cellStyle name="Normal 2 2 4 4" xfId="4987" xr:uid="{00000000-0005-0000-0000-0000BF6D0000}"/>
    <cellStyle name="Normal 2 2 4 4 2" xfId="10248" xr:uid="{00000000-0005-0000-0000-0000C06D0000}"/>
    <cellStyle name="Normal 2 2 4 4 3" xfId="18327" xr:uid="{00000000-0005-0000-0000-0000C16D0000}"/>
    <cellStyle name="Normal 2 2 4 4_DataIX" xfId="34166" xr:uid="{00000000-0005-0000-0000-0000C26D0000}"/>
    <cellStyle name="Normal 2 2 4 5" xfId="10243" xr:uid="{00000000-0005-0000-0000-0000C36D0000}"/>
    <cellStyle name="Normal 2 2 4 6" xfId="18322" xr:uid="{00000000-0005-0000-0000-0000C46D0000}"/>
    <cellStyle name="Normal 2 2 4_DataIX" xfId="34161" xr:uid="{00000000-0005-0000-0000-0000C56D0000}"/>
    <cellStyle name="Normal 2 2 5" xfId="4988" xr:uid="{00000000-0005-0000-0000-0000C66D0000}"/>
    <cellStyle name="Normal 2 2 5 2" xfId="10249" xr:uid="{00000000-0005-0000-0000-0000C76D0000}"/>
    <cellStyle name="Normal 2 2 5 3" xfId="18328" xr:uid="{00000000-0005-0000-0000-0000C86D0000}"/>
    <cellStyle name="Normal 2 2 5_DataIX" xfId="34167" xr:uid="{00000000-0005-0000-0000-0000C96D0000}"/>
    <cellStyle name="Normal 2 2 6" xfId="10235" xr:uid="{00000000-0005-0000-0000-0000CA6D0000}"/>
    <cellStyle name="Normal 2 2 7" xfId="18314" xr:uid="{00000000-0005-0000-0000-0000CB6D0000}"/>
    <cellStyle name="Normal 2 2 8" xfId="19074" xr:uid="{00000000-0005-0000-0000-0000CC6D0000}"/>
    <cellStyle name="Normal 2 2_DataIX" xfId="34153" xr:uid="{00000000-0005-0000-0000-0000CD6D0000}"/>
    <cellStyle name="Normal 2 20" xfId="26334" xr:uid="{00000000-0005-0000-0000-0000CE6D0000}"/>
    <cellStyle name="Normal 2 21" xfId="26032" xr:uid="{00000000-0005-0000-0000-0000CF6D0000}"/>
    <cellStyle name="Normal 2 22" xfId="26001" xr:uid="{00000000-0005-0000-0000-0000D06D0000}"/>
    <cellStyle name="Normal 2 23" xfId="25372" xr:uid="{00000000-0005-0000-0000-0000D16D0000}"/>
    <cellStyle name="Normal 2 24" xfId="26363" xr:uid="{00000000-0005-0000-0000-0000D26D0000}"/>
    <cellStyle name="Normal 2 25" xfId="26198" xr:uid="{00000000-0005-0000-0000-0000D36D0000}"/>
    <cellStyle name="Normal 2 26" xfId="25721" xr:uid="{00000000-0005-0000-0000-0000D46D0000}"/>
    <cellStyle name="Normal 2 27" xfId="26029" xr:uid="{00000000-0005-0000-0000-0000D56D0000}"/>
    <cellStyle name="Normal 2 3" xfId="4989" xr:uid="{00000000-0005-0000-0000-0000D66D0000}"/>
    <cellStyle name="Normal 2 3 2" xfId="10250" xr:uid="{00000000-0005-0000-0000-0000D76D0000}"/>
    <cellStyle name="Normal 2 3 3" xfId="18329" xr:uid="{00000000-0005-0000-0000-0000D86D0000}"/>
    <cellStyle name="Normal 2 3_DataIX" xfId="34168" xr:uid="{00000000-0005-0000-0000-0000D96D0000}"/>
    <cellStyle name="Normal 2 4" xfId="4990" xr:uid="{00000000-0005-0000-0000-0000DA6D0000}"/>
    <cellStyle name="Normal 2 4 2" xfId="10251" xr:uid="{00000000-0005-0000-0000-0000DB6D0000}"/>
    <cellStyle name="Normal 2 4 3" xfId="18330" xr:uid="{00000000-0005-0000-0000-0000DC6D0000}"/>
    <cellStyle name="Normal 2 4_DataIX" xfId="34169" xr:uid="{00000000-0005-0000-0000-0000DD6D0000}"/>
    <cellStyle name="Normal 2 5" xfId="4991" xr:uid="{00000000-0005-0000-0000-0000DE6D0000}"/>
    <cellStyle name="Normal 2 5 2" xfId="10252" xr:uid="{00000000-0005-0000-0000-0000DF6D0000}"/>
    <cellStyle name="Normal 2 5 3" xfId="18331" xr:uid="{00000000-0005-0000-0000-0000E06D0000}"/>
    <cellStyle name="Normal 2 5_DataIX" xfId="34170" xr:uid="{00000000-0005-0000-0000-0000E16D0000}"/>
    <cellStyle name="Normal 2 6" xfId="4992" xr:uid="{00000000-0005-0000-0000-0000E26D0000}"/>
    <cellStyle name="Normal 2 6 2" xfId="10253" xr:uid="{00000000-0005-0000-0000-0000E36D0000}"/>
    <cellStyle name="Normal 2 6 3" xfId="18332" xr:uid="{00000000-0005-0000-0000-0000E46D0000}"/>
    <cellStyle name="Normal 2 6_DataIX" xfId="34171" xr:uid="{00000000-0005-0000-0000-0000E56D0000}"/>
    <cellStyle name="Normal 2 7" xfId="4993" xr:uid="{00000000-0005-0000-0000-0000E66D0000}"/>
    <cellStyle name="Normal 2 7 2" xfId="10254" xr:uid="{00000000-0005-0000-0000-0000E76D0000}"/>
    <cellStyle name="Normal 2 7 3" xfId="18333" xr:uid="{00000000-0005-0000-0000-0000E86D0000}"/>
    <cellStyle name="Normal 2 7_DataIX" xfId="34172" xr:uid="{00000000-0005-0000-0000-0000E96D0000}"/>
    <cellStyle name="Normal 2 8" xfId="4994" xr:uid="{00000000-0005-0000-0000-0000EA6D0000}"/>
    <cellStyle name="Normal 2 8 2" xfId="4995" xr:uid="{00000000-0005-0000-0000-0000EB6D0000}"/>
    <cellStyle name="Normal 2 8 2 2" xfId="10256" xr:uid="{00000000-0005-0000-0000-0000EC6D0000}"/>
    <cellStyle name="Normal 2 8 2 3" xfId="18335" xr:uid="{00000000-0005-0000-0000-0000ED6D0000}"/>
    <cellStyle name="Normal 2 8 2_DataIX" xfId="34174" xr:uid="{00000000-0005-0000-0000-0000EE6D0000}"/>
    <cellStyle name="Normal 2 8 3" xfId="4996" xr:uid="{00000000-0005-0000-0000-0000EF6D0000}"/>
    <cellStyle name="Normal 2 8 3 2" xfId="4997" xr:uid="{00000000-0005-0000-0000-0000F06D0000}"/>
    <cellStyle name="Normal 2 8 3 2 2" xfId="4998" xr:uid="{00000000-0005-0000-0000-0000F16D0000}"/>
    <cellStyle name="Normal 2 8 3 2 2 2" xfId="10259" xr:uid="{00000000-0005-0000-0000-0000F26D0000}"/>
    <cellStyle name="Normal 2 8 3 2 2 3" xfId="18338" xr:uid="{00000000-0005-0000-0000-0000F36D0000}"/>
    <cellStyle name="Normal 2 8 3 2 2_DataIX" xfId="34177" xr:uid="{00000000-0005-0000-0000-0000F46D0000}"/>
    <cellStyle name="Normal 2 8 3 2 3" xfId="10258" xr:uid="{00000000-0005-0000-0000-0000F56D0000}"/>
    <cellStyle name="Normal 2 8 3 2 4" xfId="18337" xr:uid="{00000000-0005-0000-0000-0000F66D0000}"/>
    <cellStyle name="Normal 2 8 3 2_DataIX" xfId="34176" xr:uid="{00000000-0005-0000-0000-0000F76D0000}"/>
    <cellStyle name="Normal 2 8 3 3" xfId="4999" xr:uid="{00000000-0005-0000-0000-0000F86D0000}"/>
    <cellStyle name="Normal 2 8 3 3 2" xfId="5000" xr:uid="{00000000-0005-0000-0000-0000F96D0000}"/>
    <cellStyle name="Normal 2 8 3 3 2 2" xfId="10261" xr:uid="{00000000-0005-0000-0000-0000FA6D0000}"/>
    <cellStyle name="Normal 2 8 3 3 2 3" xfId="18340" xr:uid="{00000000-0005-0000-0000-0000FB6D0000}"/>
    <cellStyle name="Normal 2 8 3 3 2_DataIX" xfId="34179" xr:uid="{00000000-0005-0000-0000-0000FC6D0000}"/>
    <cellStyle name="Normal 2 8 3 3 3" xfId="10260" xr:uid="{00000000-0005-0000-0000-0000FD6D0000}"/>
    <cellStyle name="Normal 2 8 3 3 4" xfId="18339" xr:uid="{00000000-0005-0000-0000-0000FE6D0000}"/>
    <cellStyle name="Normal 2 8 3 3_DataIX" xfId="34178" xr:uid="{00000000-0005-0000-0000-0000FF6D0000}"/>
    <cellStyle name="Normal 2 8 3 4" xfId="5001" xr:uid="{00000000-0005-0000-0000-0000006E0000}"/>
    <cellStyle name="Normal 2 8 3 4 2" xfId="10262" xr:uid="{00000000-0005-0000-0000-0000016E0000}"/>
    <cellStyle name="Normal 2 8 3 4 3" xfId="18341" xr:uid="{00000000-0005-0000-0000-0000026E0000}"/>
    <cellStyle name="Normal 2 8 3 4_DataIX" xfId="34180" xr:uid="{00000000-0005-0000-0000-0000036E0000}"/>
    <cellStyle name="Normal 2 8 3 5" xfId="10257" xr:uid="{00000000-0005-0000-0000-0000046E0000}"/>
    <cellStyle name="Normal 2 8 3 6" xfId="18336" xr:uid="{00000000-0005-0000-0000-0000056E0000}"/>
    <cellStyle name="Normal 2 8 3_DataIX" xfId="34175" xr:uid="{00000000-0005-0000-0000-0000066E0000}"/>
    <cellStyle name="Normal 2 8 4" xfId="5002" xr:uid="{00000000-0005-0000-0000-0000076E0000}"/>
    <cellStyle name="Normal 2 8 4 2" xfId="5003" xr:uid="{00000000-0005-0000-0000-0000086E0000}"/>
    <cellStyle name="Normal 2 8 4 2 2" xfId="10264" xr:uid="{00000000-0005-0000-0000-0000096E0000}"/>
    <cellStyle name="Normal 2 8 4 2 3" xfId="18343" xr:uid="{00000000-0005-0000-0000-00000A6E0000}"/>
    <cellStyle name="Normal 2 8 4 2_DataIX" xfId="34182" xr:uid="{00000000-0005-0000-0000-00000B6E0000}"/>
    <cellStyle name="Normal 2 8 4 3" xfId="10263" xr:uid="{00000000-0005-0000-0000-00000C6E0000}"/>
    <cellStyle name="Normal 2 8 4 4" xfId="18342" xr:uid="{00000000-0005-0000-0000-00000D6E0000}"/>
    <cellStyle name="Normal 2 8 4_DataIX" xfId="34181" xr:uid="{00000000-0005-0000-0000-00000E6E0000}"/>
    <cellStyle name="Normal 2 8 5" xfId="5004" xr:uid="{00000000-0005-0000-0000-00000F6E0000}"/>
    <cellStyle name="Normal 2 8 5 2" xfId="5005" xr:uid="{00000000-0005-0000-0000-0000106E0000}"/>
    <cellStyle name="Normal 2 8 5 2 2" xfId="10266" xr:uid="{00000000-0005-0000-0000-0000116E0000}"/>
    <cellStyle name="Normal 2 8 5 2 3" xfId="18345" xr:uid="{00000000-0005-0000-0000-0000126E0000}"/>
    <cellStyle name="Normal 2 8 5 2_DataIX" xfId="34184" xr:uid="{00000000-0005-0000-0000-0000136E0000}"/>
    <cellStyle name="Normal 2 8 5 3" xfId="10265" xr:uid="{00000000-0005-0000-0000-0000146E0000}"/>
    <cellStyle name="Normal 2 8 5 4" xfId="18344" xr:uid="{00000000-0005-0000-0000-0000156E0000}"/>
    <cellStyle name="Normal 2 8 5_DataIX" xfId="34183" xr:uid="{00000000-0005-0000-0000-0000166E0000}"/>
    <cellStyle name="Normal 2 8 6" xfId="5006" xr:uid="{00000000-0005-0000-0000-0000176E0000}"/>
    <cellStyle name="Normal 2 8 6 2" xfId="10267" xr:uid="{00000000-0005-0000-0000-0000186E0000}"/>
    <cellStyle name="Normal 2 8 6 3" xfId="18346" xr:uid="{00000000-0005-0000-0000-0000196E0000}"/>
    <cellStyle name="Normal 2 8 6_DataIX" xfId="34185" xr:uid="{00000000-0005-0000-0000-00001A6E0000}"/>
    <cellStyle name="Normal 2 8 7" xfId="10255" xr:uid="{00000000-0005-0000-0000-00001B6E0000}"/>
    <cellStyle name="Normal 2 8 8" xfId="18334" xr:uid="{00000000-0005-0000-0000-00001C6E0000}"/>
    <cellStyle name="Normal 2 8 9" xfId="13804" xr:uid="{00000000-0005-0000-0000-00001D6E0000}"/>
    <cellStyle name="Normal 2 8_DataIX" xfId="34173" xr:uid="{00000000-0005-0000-0000-00001E6E0000}"/>
    <cellStyle name="Normal 2 9" xfId="5007" xr:uid="{00000000-0005-0000-0000-00001F6E0000}"/>
    <cellStyle name="Normal 2 9 2" xfId="10268" xr:uid="{00000000-0005-0000-0000-0000206E0000}"/>
    <cellStyle name="Normal 2 9 3" xfId="18347" xr:uid="{00000000-0005-0000-0000-0000216E0000}"/>
    <cellStyle name="Normal 2 9_DataIX" xfId="34186" xr:uid="{00000000-0005-0000-0000-0000226E0000}"/>
    <cellStyle name="Normal 2_##Keskeiset" xfId="10227" xr:uid="{00000000-0005-0000-0000-0000236E0000}"/>
    <cellStyle name="Normal 20" xfId="23156" xr:uid="{00000000-0005-0000-0000-0000246E0000}"/>
    <cellStyle name="Normal 20 2" xfId="26515" xr:uid="{00000000-0005-0000-0000-0000256E0000}"/>
    <cellStyle name="Normal 20 2 2" xfId="27721" xr:uid="{00000000-0005-0000-0000-0000266E0000}"/>
    <cellStyle name="Normal 20 2 3" xfId="27752" xr:uid="{00000000-0005-0000-0000-0000276E0000}"/>
    <cellStyle name="Normal 20 2 4" xfId="27836" xr:uid="{00000000-0005-0000-0000-0000286E0000}"/>
    <cellStyle name="Normal 20 2_DataIX" xfId="34188" xr:uid="{00000000-0005-0000-0000-0000296E0000}"/>
    <cellStyle name="Normal 20 3" xfId="25024" xr:uid="{00000000-0005-0000-0000-00002A6E0000}"/>
    <cellStyle name="Normal 20 4" xfId="27643" xr:uid="{00000000-0005-0000-0000-00002B6E0000}"/>
    <cellStyle name="Normal 20 5" xfId="27735" xr:uid="{00000000-0005-0000-0000-00002C6E0000}"/>
    <cellStyle name="Normal 20 6" xfId="27811" xr:uid="{00000000-0005-0000-0000-00002D6E0000}"/>
    <cellStyle name="Normal 20_DataIX" xfId="34187" xr:uid="{00000000-0005-0000-0000-00002E6E0000}"/>
    <cellStyle name="Normal 21" xfId="23157" xr:uid="{00000000-0005-0000-0000-00002F6E0000}"/>
    <cellStyle name="Normal 21 2" xfId="26516" xr:uid="{00000000-0005-0000-0000-0000306E0000}"/>
    <cellStyle name="Normal 21 2 2" xfId="27722" xr:uid="{00000000-0005-0000-0000-0000316E0000}"/>
    <cellStyle name="Normal 21 2 3" xfId="27753" xr:uid="{00000000-0005-0000-0000-0000326E0000}"/>
    <cellStyle name="Normal 21 2 4" xfId="27837" xr:uid="{00000000-0005-0000-0000-0000336E0000}"/>
    <cellStyle name="Normal 21 2_DataIX" xfId="34190" xr:uid="{00000000-0005-0000-0000-0000346E0000}"/>
    <cellStyle name="Normal 21 3" xfId="25025" xr:uid="{00000000-0005-0000-0000-0000356E0000}"/>
    <cellStyle name="Normal 21 4" xfId="27644" xr:uid="{00000000-0005-0000-0000-0000366E0000}"/>
    <cellStyle name="Normal 21 5" xfId="27736" xr:uid="{00000000-0005-0000-0000-0000376E0000}"/>
    <cellStyle name="Normal 21 6" xfId="27812" xr:uid="{00000000-0005-0000-0000-0000386E0000}"/>
    <cellStyle name="Normal 21_DataIX" xfId="34189" xr:uid="{00000000-0005-0000-0000-0000396E0000}"/>
    <cellStyle name="Normal 22" xfId="23158" xr:uid="{00000000-0005-0000-0000-00003A6E0000}"/>
    <cellStyle name="Normal 22 2" xfId="26517" xr:uid="{00000000-0005-0000-0000-00003B6E0000}"/>
    <cellStyle name="Normal 22 2 2" xfId="27723" xr:uid="{00000000-0005-0000-0000-00003C6E0000}"/>
    <cellStyle name="Normal 22 2 3" xfId="27754" xr:uid="{00000000-0005-0000-0000-00003D6E0000}"/>
    <cellStyle name="Normal 22 2 4" xfId="27838" xr:uid="{00000000-0005-0000-0000-00003E6E0000}"/>
    <cellStyle name="Normal 22 2_DataIX" xfId="34192" xr:uid="{00000000-0005-0000-0000-00003F6E0000}"/>
    <cellStyle name="Normal 22 3" xfId="25026" xr:uid="{00000000-0005-0000-0000-0000406E0000}"/>
    <cellStyle name="Normal 22 4" xfId="27645" xr:uid="{00000000-0005-0000-0000-0000416E0000}"/>
    <cellStyle name="Normal 22 5" xfId="27737" xr:uid="{00000000-0005-0000-0000-0000426E0000}"/>
    <cellStyle name="Normal 22 6" xfId="27813" xr:uid="{00000000-0005-0000-0000-0000436E0000}"/>
    <cellStyle name="Normal 22_DataIX" xfId="34191" xr:uid="{00000000-0005-0000-0000-0000446E0000}"/>
    <cellStyle name="Normal 23" xfId="27839" xr:uid="{00000000-0005-0000-0000-0000456E0000}"/>
    <cellStyle name="Normal 24" xfId="27840" xr:uid="{00000000-0005-0000-0000-0000466E0000}"/>
    <cellStyle name="Normal 25" xfId="27841" xr:uid="{00000000-0005-0000-0000-0000476E0000}"/>
    <cellStyle name="Normal 26" xfId="27842" xr:uid="{00000000-0005-0000-0000-0000486E0000}"/>
    <cellStyle name="Normal 27" xfId="27843" xr:uid="{00000000-0005-0000-0000-0000496E0000}"/>
    <cellStyle name="Normal 28" xfId="27844" xr:uid="{00000000-0005-0000-0000-00004A6E0000}"/>
    <cellStyle name="Normal 29" xfId="27845" xr:uid="{00000000-0005-0000-0000-00004B6E0000}"/>
    <cellStyle name="Normal 3" xfId="5008" xr:uid="{00000000-0005-0000-0000-00004C6E0000}"/>
    <cellStyle name="Normal 3 2" xfId="5009" xr:uid="{00000000-0005-0000-0000-00004D6E0000}"/>
    <cellStyle name="Normal 3 2 2" xfId="10270" xr:uid="{00000000-0005-0000-0000-00004E6E0000}"/>
    <cellStyle name="Normal 3 2 3" xfId="18349" xr:uid="{00000000-0005-0000-0000-00004F6E0000}"/>
    <cellStyle name="Normal 3 2 4" xfId="28547" xr:uid="{00000000-0005-0000-0000-0000506E0000}"/>
    <cellStyle name="Normal 3 2_DataIX" xfId="34193" xr:uid="{00000000-0005-0000-0000-0000516E0000}"/>
    <cellStyle name="Normal 3 3" xfId="5010" xr:uid="{00000000-0005-0000-0000-0000526E0000}"/>
    <cellStyle name="Normal 3 3 2" xfId="10271" xr:uid="{00000000-0005-0000-0000-0000536E0000}"/>
    <cellStyle name="Normal 3 3 3" xfId="18350" xr:uid="{00000000-0005-0000-0000-0000546E0000}"/>
    <cellStyle name="Normal 3 3_DataIX" xfId="34194" xr:uid="{00000000-0005-0000-0000-0000556E0000}"/>
    <cellStyle name="Normal 3 4" xfId="5011" xr:uid="{00000000-0005-0000-0000-0000566E0000}"/>
    <cellStyle name="Normal 3 4 2" xfId="10272" xr:uid="{00000000-0005-0000-0000-0000576E0000}"/>
    <cellStyle name="Normal 3 4 3" xfId="18351" xr:uid="{00000000-0005-0000-0000-0000586E0000}"/>
    <cellStyle name="Normal 3 4_DataIX" xfId="34195" xr:uid="{00000000-0005-0000-0000-0000596E0000}"/>
    <cellStyle name="Normal 3 5" xfId="10269" xr:uid="{00000000-0005-0000-0000-00005A6E0000}"/>
    <cellStyle name="Normal 3 6" xfId="18348" xr:uid="{00000000-0005-0000-0000-00005B6E0000}"/>
    <cellStyle name="Normal 3 7" xfId="28522" xr:uid="{00000000-0005-0000-0000-00005C6E0000}"/>
    <cellStyle name="Normal 3_Data_ASHI_2010=100" xfId="28535" xr:uid="{00000000-0005-0000-0000-00005D6E0000}"/>
    <cellStyle name="Normal 30" xfId="27846" xr:uid="{00000000-0005-0000-0000-00005E6E0000}"/>
    <cellStyle name="Normal 31" xfId="27847" xr:uid="{00000000-0005-0000-0000-00005F6E0000}"/>
    <cellStyle name="Normal 32" xfId="27848" xr:uid="{00000000-0005-0000-0000-0000606E0000}"/>
    <cellStyle name="Normal 33" xfId="27849" xr:uid="{00000000-0005-0000-0000-0000616E0000}"/>
    <cellStyle name="Normal 34" xfId="27850" xr:uid="{00000000-0005-0000-0000-0000626E0000}"/>
    <cellStyle name="Normal 35" xfId="27851" xr:uid="{00000000-0005-0000-0000-0000636E0000}"/>
    <cellStyle name="Normal 36" xfId="27852" xr:uid="{00000000-0005-0000-0000-0000646E0000}"/>
    <cellStyle name="Normal 37" xfId="27853" xr:uid="{00000000-0005-0000-0000-0000656E0000}"/>
    <cellStyle name="Normal 38" xfId="27854" xr:uid="{00000000-0005-0000-0000-0000666E0000}"/>
    <cellStyle name="Normal 39" xfId="27855" xr:uid="{00000000-0005-0000-0000-0000676E0000}"/>
    <cellStyle name="Normal 4" xfId="5012" xr:uid="{00000000-0005-0000-0000-0000686E0000}"/>
    <cellStyle name="Normal 4 10" xfId="18352" xr:uid="{00000000-0005-0000-0000-0000696E0000}"/>
    <cellStyle name="Normal 4 11" xfId="28554" xr:uid="{00000000-0005-0000-0000-00006A6E0000}"/>
    <cellStyle name="Normal 4 2" xfId="5013" xr:uid="{00000000-0005-0000-0000-00006B6E0000}"/>
    <cellStyle name="Normal 4 2 2" xfId="10274" xr:uid="{00000000-0005-0000-0000-00006C6E0000}"/>
    <cellStyle name="Normal 4 2 3" xfId="18353" xr:uid="{00000000-0005-0000-0000-00006D6E0000}"/>
    <cellStyle name="Normal 4 2_DataIX" xfId="34197" xr:uid="{00000000-0005-0000-0000-00006E6E0000}"/>
    <cellStyle name="Normal 4 3" xfId="5014" xr:uid="{00000000-0005-0000-0000-00006F6E0000}"/>
    <cellStyle name="Normal 4 3 2" xfId="10275" xr:uid="{00000000-0005-0000-0000-0000706E0000}"/>
    <cellStyle name="Normal 4 3 3" xfId="18354" xr:uid="{00000000-0005-0000-0000-0000716E0000}"/>
    <cellStyle name="Normal 4 3_DataIX" xfId="34198" xr:uid="{00000000-0005-0000-0000-0000726E0000}"/>
    <cellStyle name="Normal 4 4" xfId="5015" xr:uid="{00000000-0005-0000-0000-0000736E0000}"/>
    <cellStyle name="Normal 4 4 2" xfId="10276" xr:uid="{00000000-0005-0000-0000-0000746E0000}"/>
    <cellStyle name="Normal 4 4 3" xfId="18355" xr:uid="{00000000-0005-0000-0000-0000756E0000}"/>
    <cellStyle name="Normal 4 4_DataIX" xfId="34199" xr:uid="{00000000-0005-0000-0000-0000766E0000}"/>
    <cellStyle name="Normal 4 5" xfId="5016" xr:uid="{00000000-0005-0000-0000-0000776E0000}"/>
    <cellStyle name="Normal 4 5 2" xfId="10277" xr:uid="{00000000-0005-0000-0000-0000786E0000}"/>
    <cellStyle name="Normal 4 5 3" xfId="18356" xr:uid="{00000000-0005-0000-0000-0000796E0000}"/>
    <cellStyle name="Normal 4 5_DataIX" xfId="34200" xr:uid="{00000000-0005-0000-0000-00007A6E0000}"/>
    <cellStyle name="Normal 4 6" xfId="5017" xr:uid="{00000000-0005-0000-0000-00007B6E0000}"/>
    <cellStyle name="Normal 4 6 2" xfId="10278" xr:uid="{00000000-0005-0000-0000-00007C6E0000}"/>
    <cellStyle name="Normal 4 6 3" xfId="18357" xr:uid="{00000000-0005-0000-0000-00007D6E0000}"/>
    <cellStyle name="Normal 4 6_DataIX" xfId="34201" xr:uid="{00000000-0005-0000-0000-00007E6E0000}"/>
    <cellStyle name="Normal 4 7" xfId="5018" xr:uid="{00000000-0005-0000-0000-00007F6E0000}"/>
    <cellStyle name="Normal 4 7 2" xfId="10279" xr:uid="{00000000-0005-0000-0000-0000806E0000}"/>
    <cellStyle name="Normal 4 7 3" xfId="18358" xr:uid="{00000000-0005-0000-0000-0000816E0000}"/>
    <cellStyle name="Normal 4 7_DataIX" xfId="34202" xr:uid="{00000000-0005-0000-0000-0000826E0000}"/>
    <cellStyle name="Normal 4 8" xfId="5019" xr:uid="{00000000-0005-0000-0000-0000836E0000}"/>
    <cellStyle name="Normal 4 8 2" xfId="10280" xr:uid="{00000000-0005-0000-0000-0000846E0000}"/>
    <cellStyle name="Normal 4 8 3" xfId="18359" xr:uid="{00000000-0005-0000-0000-0000856E0000}"/>
    <cellStyle name="Normal 4 8_DataIX" xfId="34203" xr:uid="{00000000-0005-0000-0000-0000866E0000}"/>
    <cellStyle name="Normal 4 9" xfId="10273" xr:uid="{00000000-0005-0000-0000-0000876E0000}"/>
    <cellStyle name="Normal 4_DataIX" xfId="34196" xr:uid="{00000000-0005-0000-0000-0000886E0000}"/>
    <cellStyle name="Normal 40" xfId="27856" xr:uid="{00000000-0005-0000-0000-0000896E0000}"/>
    <cellStyle name="Normal 41" xfId="28496" xr:uid="{00000000-0005-0000-0000-00008A6E0000}"/>
    <cellStyle name="Normal 42" xfId="28528" xr:uid="{00000000-0005-0000-0000-00008B6E0000}"/>
    <cellStyle name="Normal 43" xfId="28540" xr:uid="{00000000-0005-0000-0000-00008C6E0000}"/>
    <cellStyle name="Normal 5" xfId="112" xr:uid="{00000000-0005-0000-0000-00008D6E0000}"/>
    <cellStyle name="Normal 5 10" xfId="25269" xr:uid="{00000000-0005-0000-0000-00008E6E0000}"/>
    <cellStyle name="Normal 5 2" xfId="395" xr:uid="{00000000-0005-0000-0000-00008F6E0000}"/>
    <cellStyle name="Normal 5 2 2" xfId="396" xr:uid="{00000000-0005-0000-0000-0000906E0000}"/>
    <cellStyle name="Normal 5 2 2 2" xfId="11121" xr:uid="{00000000-0005-0000-0000-0000916E0000}"/>
    <cellStyle name="Normal 5 2 2 3" xfId="13931" xr:uid="{00000000-0005-0000-0000-0000926E0000}"/>
    <cellStyle name="Normal 5 2 2_DataIX" xfId="34204" xr:uid="{00000000-0005-0000-0000-0000936E0000}"/>
    <cellStyle name="Normal 5 2 3" xfId="5020" xr:uid="{00000000-0005-0000-0000-0000946E0000}"/>
    <cellStyle name="Normal 5 2 3 2" xfId="10283" xr:uid="{00000000-0005-0000-0000-0000956E0000}"/>
    <cellStyle name="Normal 5 2 3 3" xfId="18360" xr:uid="{00000000-0005-0000-0000-0000966E0000}"/>
    <cellStyle name="Normal 5 2 3_DataIX" xfId="34205" xr:uid="{00000000-0005-0000-0000-0000976E0000}"/>
    <cellStyle name="Normal 5 2 4" xfId="5021" xr:uid="{00000000-0005-0000-0000-0000986E0000}"/>
    <cellStyle name="Normal 5 2 4 2" xfId="10284" xr:uid="{00000000-0005-0000-0000-0000996E0000}"/>
    <cellStyle name="Normal 5 2 4 3" xfId="18361" xr:uid="{00000000-0005-0000-0000-00009A6E0000}"/>
    <cellStyle name="Normal 5 2 4_DataIX" xfId="34206" xr:uid="{00000000-0005-0000-0000-00009B6E0000}"/>
    <cellStyle name="Normal 5 2 5" xfId="13930" xr:uid="{00000000-0005-0000-0000-00009C6E0000}"/>
    <cellStyle name="Normal 5 2_##Keskeiset" xfId="10282" xr:uid="{00000000-0005-0000-0000-00009D6E0000}"/>
    <cellStyle name="Normal 5 3" xfId="397" xr:uid="{00000000-0005-0000-0000-00009E6E0000}"/>
    <cellStyle name="Normal 5 3 2" xfId="5022" xr:uid="{00000000-0005-0000-0000-00009F6E0000}"/>
    <cellStyle name="Normal 5 3 2 2" xfId="10286" xr:uid="{00000000-0005-0000-0000-0000A06E0000}"/>
    <cellStyle name="Normal 5 3 2 3" xfId="18362" xr:uid="{00000000-0005-0000-0000-0000A16E0000}"/>
    <cellStyle name="Normal 5 3 2_DataIX" xfId="34207" xr:uid="{00000000-0005-0000-0000-0000A26E0000}"/>
    <cellStyle name="Normal 5 3 3" xfId="13932" xr:uid="{00000000-0005-0000-0000-0000A36E0000}"/>
    <cellStyle name="Normal 5 3 4" xfId="20251" xr:uid="{00000000-0005-0000-0000-0000A46E0000}"/>
    <cellStyle name="Normal 5 3_##Keskeiset" xfId="10285" xr:uid="{00000000-0005-0000-0000-0000A56E0000}"/>
    <cellStyle name="Normal 5 4" xfId="5023" xr:uid="{00000000-0005-0000-0000-0000A66E0000}"/>
    <cellStyle name="Normal 5 4 2" xfId="5024" xr:uid="{00000000-0005-0000-0000-0000A76E0000}"/>
    <cellStyle name="Normal 5 4 2 2" xfId="10288" xr:uid="{00000000-0005-0000-0000-0000A86E0000}"/>
    <cellStyle name="Normal 5 4 2 3" xfId="18364" xr:uid="{00000000-0005-0000-0000-0000A96E0000}"/>
    <cellStyle name="Normal 5 4 2_DataIX" xfId="34208" xr:uid="{00000000-0005-0000-0000-0000AA6E0000}"/>
    <cellStyle name="Normal 5 4 3" xfId="18363" xr:uid="{00000000-0005-0000-0000-0000AB6E0000}"/>
    <cellStyle name="Normal 5 4 4" xfId="20553" xr:uid="{00000000-0005-0000-0000-0000AC6E0000}"/>
    <cellStyle name="Normal 5 4_##Keskeiset" xfId="10287" xr:uid="{00000000-0005-0000-0000-0000AD6E0000}"/>
    <cellStyle name="Normal 5 5" xfId="25064" xr:uid="{00000000-0005-0000-0000-0000AE6E0000}"/>
    <cellStyle name="Normal 5 6" xfId="26497" xr:uid="{00000000-0005-0000-0000-0000AF6E0000}"/>
    <cellStyle name="Normal 5 7" xfId="25522" xr:uid="{00000000-0005-0000-0000-0000B06E0000}"/>
    <cellStyle name="Normal 5 8" xfId="25315" xr:uid="{00000000-0005-0000-0000-0000B16E0000}"/>
    <cellStyle name="Normal 5 9" xfId="26554" xr:uid="{00000000-0005-0000-0000-0000B26E0000}"/>
    <cellStyle name="Normal 5_##Keskeiset" xfId="10281" xr:uid="{00000000-0005-0000-0000-0000B36E0000}"/>
    <cellStyle name="Normal 6" xfId="5025" xr:uid="{00000000-0005-0000-0000-0000B46E0000}"/>
    <cellStyle name="Normal 6 2" xfId="5026" xr:uid="{00000000-0005-0000-0000-0000B56E0000}"/>
    <cellStyle name="Normal 6 2 2" xfId="10290" xr:uid="{00000000-0005-0000-0000-0000B66E0000}"/>
    <cellStyle name="Normal 6 2 3" xfId="18366" xr:uid="{00000000-0005-0000-0000-0000B76E0000}"/>
    <cellStyle name="Normal 6 2_DataIX" xfId="34210" xr:uid="{00000000-0005-0000-0000-0000B86E0000}"/>
    <cellStyle name="Normal 6 3" xfId="5027" xr:uid="{00000000-0005-0000-0000-0000B96E0000}"/>
    <cellStyle name="Normal 6 3 2" xfId="10291" xr:uid="{00000000-0005-0000-0000-0000BA6E0000}"/>
    <cellStyle name="Normal 6 3 3" xfId="18367" xr:uid="{00000000-0005-0000-0000-0000BB6E0000}"/>
    <cellStyle name="Normal 6 3_DataIX" xfId="34211" xr:uid="{00000000-0005-0000-0000-0000BC6E0000}"/>
    <cellStyle name="Normal 6 4" xfId="5028" xr:uid="{00000000-0005-0000-0000-0000BD6E0000}"/>
    <cellStyle name="Normal 6 4 2" xfId="10292" xr:uid="{00000000-0005-0000-0000-0000BE6E0000}"/>
    <cellStyle name="Normal 6 4 3" xfId="18368" xr:uid="{00000000-0005-0000-0000-0000BF6E0000}"/>
    <cellStyle name="Normal 6 4_DataIX" xfId="34212" xr:uid="{00000000-0005-0000-0000-0000C06E0000}"/>
    <cellStyle name="Normal 6 5" xfId="10289" xr:uid="{00000000-0005-0000-0000-0000C16E0000}"/>
    <cellStyle name="Normal 6 6" xfId="18365" xr:uid="{00000000-0005-0000-0000-0000C26E0000}"/>
    <cellStyle name="Normal 6 7" xfId="20552" xr:uid="{00000000-0005-0000-0000-0000C36E0000}"/>
    <cellStyle name="Normal 6_DataIX" xfId="34209" xr:uid="{00000000-0005-0000-0000-0000C46E0000}"/>
    <cellStyle name="Normal 7" xfId="5029" xr:uid="{00000000-0005-0000-0000-0000C56E0000}"/>
    <cellStyle name="Normal 7 2" xfId="5030" xr:uid="{00000000-0005-0000-0000-0000C66E0000}"/>
    <cellStyle name="Normal 7 2 2" xfId="10294" xr:uid="{00000000-0005-0000-0000-0000C76E0000}"/>
    <cellStyle name="Normal 7 2 3" xfId="18370" xr:uid="{00000000-0005-0000-0000-0000C86E0000}"/>
    <cellStyle name="Normal 7 2_DataIX" xfId="34214" xr:uid="{00000000-0005-0000-0000-0000C96E0000}"/>
    <cellStyle name="Normal 7 3" xfId="5031" xr:uid="{00000000-0005-0000-0000-0000CA6E0000}"/>
    <cellStyle name="Normal 7 3 2" xfId="10295" xr:uid="{00000000-0005-0000-0000-0000CB6E0000}"/>
    <cellStyle name="Normal 7 3 3" xfId="18371" xr:uid="{00000000-0005-0000-0000-0000CC6E0000}"/>
    <cellStyle name="Normal 7 3_DataIX" xfId="34215" xr:uid="{00000000-0005-0000-0000-0000CD6E0000}"/>
    <cellStyle name="Normal 7 4" xfId="5032" xr:uid="{00000000-0005-0000-0000-0000CE6E0000}"/>
    <cellStyle name="Normal 7 4 2" xfId="10296" xr:uid="{00000000-0005-0000-0000-0000CF6E0000}"/>
    <cellStyle name="Normal 7 4 3" xfId="18372" xr:uid="{00000000-0005-0000-0000-0000D06E0000}"/>
    <cellStyle name="Normal 7 4_DataIX" xfId="34216" xr:uid="{00000000-0005-0000-0000-0000D16E0000}"/>
    <cellStyle name="Normal 7 5" xfId="10293" xr:uid="{00000000-0005-0000-0000-0000D26E0000}"/>
    <cellStyle name="Normal 7 6" xfId="18369" xr:uid="{00000000-0005-0000-0000-0000D36E0000}"/>
    <cellStyle name="Normal 7 7" xfId="20551" xr:uid="{00000000-0005-0000-0000-0000D46E0000}"/>
    <cellStyle name="Normal 7_DataIX" xfId="34213" xr:uid="{00000000-0005-0000-0000-0000D56E0000}"/>
    <cellStyle name="Normal 8" xfId="5033" xr:uid="{00000000-0005-0000-0000-0000D66E0000}"/>
    <cellStyle name="Normal 8 2" xfId="5034" xr:uid="{00000000-0005-0000-0000-0000D76E0000}"/>
    <cellStyle name="Normal 8 2 2" xfId="10298" xr:uid="{00000000-0005-0000-0000-0000D86E0000}"/>
    <cellStyle name="Normal 8 2 3" xfId="18374" xr:uid="{00000000-0005-0000-0000-0000D96E0000}"/>
    <cellStyle name="Normal 8 2_DataIX" xfId="34218" xr:uid="{00000000-0005-0000-0000-0000DA6E0000}"/>
    <cellStyle name="Normal 8 3" xfId="5035" xr:uid="{00000000-0005-0000-0000-0000DB6E0000}"/>
    <cellStyle name="Normal 8 3 2" xfId="10299" xr:uid="{00000000-0005-0000-0000-0000DC6E0000}"/>
    <cellStyle name="Normal 8 3 3" xfId="18375" xr:uid="{00000000-0005-0000-0000-0000DD6E0000}"/>
    <cellStyle name="Normal 8 3_DataIX" xfId="34219" xr:uid="{00000000-0005-0000-0000-0000DE6E0000}"/>
    <cellStyle name="Normal 8 4" xfId="10297" xr:uid="{00000000-0005-0000-0000-0000DF6E0000}"/>
    <cellStyle name="Normal 8 5" xfId="18373" xr:uid="{00000000-0005-0000-0000-0000E06E0000}"/>
    <cellStyle name="Normal 8 6" xfId="19073" xr:uid="{00000000-0005-0000-0000-0000E16E0000}"/>
    <cellStyle name="Normal 8_DataIX" xfId="34217" xr:uid="{00000000-0005-0000-0000-0000E26E0000}"/>
    <cellStyle name="Normal 9" xfId="5036" xr:uid="{00000000-0005-0000-0000-0000E36E0000}"/>
    <cellStyle name="Normal 9 2" xfId="5037" xr:uid="{00000000-0005-0000-0000-0000E46E0000}"/>
    <cellStyle name="Normal 9 2 2" xfId="10301" xr:uid="{00000000-0005-0000-0000-0000E56E0000}"/>
    <cellStyle name="Normal 9 2 3" xfId="18377" xr:uid="{00000000-0005-0000-0000-0000E66E0000}"/>
    <cellStyle name="Normal 9 2_DataIX" xfId="34221" xr:uid="{00000000-0005-0000-0000-0000E76E0000}"/>
    <cellStyle name="Normal 9 3" xfId="5038" xr:uid="{00000000-0005-0000-0000-0000E86E0000}"/>
    <cellStyle name="Normal 9 3 2" xfId="10302" xr:uid="{00000000-0005-0000-0000-0000E96E0000}"/>
    <cellStyle name="Normal 9 3 3" xfId="18378" xr:uid="{00000000-0005-0000-0000-0000EA6E0000}"/>
    <cellStyle name="Normal 9 3_DataIX" xfId="34222" xr:uid="{00000000-0005-0000-0000-0000EB6E0000}"/>
    <cellStyle name="Normal 9 4" xfId="5039" xr:uid="{00000000-0005-0000-0000-0000EC6E0000}"/>
    <cellStyle name="Normal 9 4 2" xfId="10303" xr:uid="{00000000-0005-0000-0000-0000ED6E0000}"/>
    <cellStyle name="Normal 9 4 3" xfId="18379" xr:uid="{00000000-0005-0000-0000-0000EE6E0000}"/>
    <cellStyle name="Normal 9 4_DataIX" xfId="34223" xr:uid="{00000000-0005-0000-0000-0000EF6E0000}"/>
    <cellStyle name="Normal 9 5" xfId="10300" xr:uid="{00000000-0005-0000-0000-0000F06E0000}"/>
    <cellStyle name="Normal 9 6" xfId="18376" xr:uid="{00000000-0005-0000-0000-0000F16E0000}"/>
    <cellStyle name="Normal 9 7" xfId="20550" xr:uid="{00000000-0005-0000-0000-0000F26E0000}"/>
    <cellStyle name="Normal 9_DataIX" xfId="34220" xr:uid="{00000000-0005-0000-0000-0000F36E0000}"/>
    <cellStyle name="Normal GHG whole table" xfId="113" xr:uid="{00000000-0005-0000-0000-0000F46E0000}"/>
    <cellStyle name="Normal GHG whole table 10" xfId="28130" xr:uid="{00000000-0005-0000-0000-0000F56E0000}"/>
    <cellStyle name="Normal GHG whole table 11" xfId="28600" xr:uid="{00000000-0005-0000-0000-0000F66E0000}"/>
    <cellStyle name="Normal GHG whole table 12" xfId="28994" xr:uid="{00000000-0005-0000-0000-0000F76E0000}"/>
    <cellStyle name="Normal GHG whole table 2" xfId="219" xr:uid="{00000000-0005-0000-0000-0000F86E0000}"/>
    <cellStyle name="Normal GHG whole table 2 10" xfId="28242" xr:uid="{00000000-0005-0000-0000-0000F96E0000}"/>
    <cellStyle name="Normal GHG whole table 2 11" xfId="28405" xr:uid="{00000000-0005-0000-0000-0000FA6E0000}"/>
    <cellStyle name="Normal GHG whole table 2 12" xfId="28393" xr:uid="{00000000-0005-0000-0000-0000FB6E0000}"/>
    <cellStyle name="Normal GHG whole table 2 13" xfId="28626" xr:uid="{00000000-0005-0000-0000-0000FC6E0000}"/>
    <cellStyle name="Normal GHG whole table 2 14" xfId="29046" xr:uid="{00000000-0005-0000-0000-0000FD6E0000}"/>
    <cellStyle name="Normal GHG whole table 2 15" xfId="29163" xr:uid="{00000000-0005-0000-0000-0000FE6E0000}"/>
    <cellStyle name="Normal GHG whole table 2 2" xfId="301" xr:uid="{00000000-0005-0000-0000-0000FF6E0000}"/>
    <cellStyle name="Normal GHG whole table 2 2 10" xfId="28394" xr:uid="{00000000-0005-0000-0000-0000006F0000}"/>
    <cellStyle name="Normal GHG whole table 2 2 11" xfId="28627" xr:uid="{00000000-0005-0000-0000-0000016F0000}"/>
    <cellStyle name="Normal GHG whole table 2 2 12" xfId="29047" xr:uid="{00000000-0005-0000-0000-0000026F0000}"/>
    <cellStyle name="Normal GHG whole table 2 2 13" xfId="29162" xr:uid="{00000000-0005-0000-0000-0000036F0000}"/>
    <cellStyle name="Normal GHG whole table 2 2 2" xfId="5238" xr:uid="{00000000-0005-0000-0000-0000046F0000}"/>
    <cellStyle name="Normal GHG whole table 2 2 2 2" xfId="11122" xr:uid="{00000000-0005-0000-0000-0000056F0000}"/>
    <cellStyle name="Normal GHG whole table 2 2 2 3" xfId="18568" xr:uid="{00000000-0005-0000-0000-0000066F0000}"/>
    <cellStyle name="Normal GHG whole table 2 2 2_DataIX" xfId="34224" xr:uid="{00000000-0005-0000-0000-0000076F0000}"/>
    <cellStyle name="Normal GHG whole table 2 2 3" xfId="22337" xr:uid="{00000000-0005-0000-0000-0000086F0000}"/>
    <cellStyle name="Normal GHG whole table 2 2 3 2" xfId="25178" xr:uid="{00000000-0005-0000-0000-0000096F0000}"/>
    <cellStyle name="Normal GHG whole table 2 2 3_DataIX" xfId="34225" xr:uid="{00000000-0005-0000-0000-00000A6F0000}"/>
    <cellStyle name="Normal GHG whole table 2 2 4" xfId="27912" xr:uid="{00000000-0005-0000-0000-00000B6F0000}"/>
    <cellStyle name="Normal GHG whole table 2 2 5" xfId="28038" xr:uid="{00000000-0005-0000-0000-00000C6F0000}"/>
    <cellStyle name="Normal GHG whole table 2 2 6" xfId="28147" xr:uid="{00000000-0005-0000-0000-00000D6F0000}"/>
    <cellStyle name="Normal GHG whole table 2 2 7" xfId="28180" xr:uid="{00000000-0005-0000-0000-00000E6F0000}"/>
    <cellStyle name="Normal GHG whole table 2 2 8" xfId="28243" xr:uid="{00000000-0005-0000-0000-00000F6F0000}"/>
    <cellStyle name="Normal GHG whole table 2 2 9" xfId="28404" xr:uid="{00000000-0005-0000-0000-0000106F0000}"/>
    <cellStyle name="Normal GHG whole table 2 2_##Keskeiset" xfId="10306" xr:uid="{00000000-0005-0000-0000-0000116F0000}"/>
    <cellStyle name="Normal GHG whole table 2 3" xfId="268" xr:uid="{00000000-0005-0000-0000-0000126F0000}"/>
    <cellStyle name="Normal GHG whole table 2 3 10" xfId="26243" xr:uid="{00000000-0005-0000-0000-0000136F0000}"/>
    <cellStyle name="Normal GHG whole table 2 3 11" xfId="27913" xr:uid="{00000000-0005-0000-0000-0000146F0000}"/>
    <cellStyle name="Normal GHG whole table 2 3 12" xfId="28037" xr:uid="{00000000-0005-0000-0000-0000156F0000}"/>
    <cellStyle name="Normal GHG whole table 2 3 13" xfId="28148" xr:uid="{00000000-0005-0000-0000-0000166F0000}"/>
    <cellStyle name="Normal GHG whole table 2 3 14" xfId="28244" xr:uid="{00000000-0005-0000-0000-0000176F0000}"/>
    <cellStyle name="Normal GHG whole table 2 3 15" xfId="28403" xr:uid="{00000000-0005-0000-0000-0000186F0000}"/>
    <cellStyle name="Normal GHG whole table 2 3 16" xfId="28628" xr:uid="{00000000-0005-0000-0000-0000196F0000}"/>
    <cellStyle name="Normal GHG whole table 2 3 17" xfId="29161" xr:uid="{00000000-0005-0000-0000-00001A6F0000}"/>
    <cellStyle name="Normal GHG whole table 2 3 2" xfId="5237" xr:uid="{00000000-0005-0000-0000-00001B6F0000}"/>
    <cellStyle name="Normal GHG whole table 2 3 2 2" xfId="10308" xr:uid="{00000000-0005-0000-0000-00001C6F0000}"/>
    <cellStyle name="Normal GHG whole table 2 3 2 3" xfId="18567" xr:uid="{00000000-0005-0000-0000-00001D6F0000}"/>
    <cellStyle name="Normal GHG whole table 2 3 2_DataIX" xfId="34226" xr:uid="{00000000-0005-0000-0000-00001E6F0000}"/>
    <cellStyle name="Normal GHG whole table 2 3 3" xfId="22338" xr:uid="{00000000-0005-0000-0000-00001F6F0000}"/>
    <cellStyle name="Normal GHG whole table 2 3 3 2" xfId="25179" xr:uid="{00000000-0005-0000-0000-0000206F0000}"/>
    <cellStyle name="Normal GHG whole table 2 3 3_DataIX" xfId="34227" xr:uid="{00000000-0005-0000-0000-0000216F0000}"/>
    <cellStyle name="Normal GHG whole table 2 3 4" xfId="26133" xr:uid="{00000000-0005-0000-0000-0000226F0000}"/>
    <cellStyle name="Normal GHG whole table 2 3 5" xfId="26297" xr:uid="{00000000-0005-0000-0000-0000236F0000}"/>
    <cellStyle name="Normal GHG whole table 2 3 6" xfId="26564" xr:uid="{00000000-0005-0000-0000-0000246F0000}"/>
    <cellStyle name="Normal GHG whole table 2 3 7" xfId="25795" xr:uid="{00000000-0005-0000-0000-0000256F0000}"/>
    <cellStyle name="Normal GHG whole table 2 3 8" xfId="26201" xr:uid="{00000000-0005-0000-0000-0000266F0000}"/>
    <cellStyle name="Normal GHG whole table 2 3 9" xfId="25437" xr:uid="{00000000-0005-0000-0000-0000276F0000}"/>
    <cellStyle name="Normal GHG whole table 2 3_##Keskeiset" xfId="10307" xr:uid="{00000000-0005-0000-0000-0000286F0000}"/>
    <cellStyle name="Normal GHG whole table 2 4" xfId="5239" xr:uid="{00000000-0005-0000-0000-0000296F0000}"/>
    <cellStyle name="Normal GHG whole table 2 4 2" xfId="11123" xr:uid="{00000000-0005-0000-0000-00002A6F0000}"/>
    <cellStyle name="Normal GHG whole table 2 4 3" xfId="18569" xr:uid="{00000000-0005-0000-0000-00002B6F0000}"/>
    <cellStyle name="Normal GHG whole table 2 4_DataIX" xfId="34228" xr:uid="{00000000-0005-0000-0000-00002C6F0000}"/>
    <cellStyle name="Normal GHG whole table 2 5" xfId="22336" xr:uid="{00000000-0005-0000-0000-00002D6F0000}"/>
    <cellStyle name="Normal GHG whole table 2 5 2" xfId="25177" xr:uid="{00000000-0005-0000-0000-00002E6F0000}"/>
    <cellStyle name="Normal GHG whole table 2 5_DataIX" xfId="34229" xr:uid="{00000000-0005-0000-0000-00002F6F0000}"/>
    <cellStyle name="Normal GHG whole table 2 6" xfId="27911" xr:uid="{00000000-0005-0000-0000-0000306F0000}"/>
    <cellStyle name="Normal GHG whole table 2 7" xfId="28039" xr:uid="{00000000-0005-0000-0000-0000316F0000}"/>
    <cellStyle name="Normal GHG whole table 2 8" xfId="28146" xr:uid="{00000000-0005-0000-0000-0000326F0000}"/>
    <cellStyle name="Normal GHG whole table 2 9" xfId="28181" xr:uid="{00000000-0005-0000-0000-0000336F0000}"/>
    <cellStyle name="Normal GHG whole table 2_##Keskeiset" xfId="10305" xr:uid="{00000000-0005-0000-0000-0000346F0000}"/>
    <cellStyle name="Normal GHG whole table 3" xfId="258" xr:uid="{00000000-0005-0000-0000-0000356F0000}"/>
    <cellStyle name="Normal GHG whole table 3 10" xfId="28395" xr:uid="{00000000-0005-0000-0000-0000366F0000}"/>
    <cellStyle name="Normal GHG whole table 3 11" xfId="28629" xr:uid="{00000000-0005-0000-0000-0000376F0000}"/>
    <cellStyle name="Normal GHG whole table 3 12" xfId="29048" xr:uid="{00000000-0005-0000-0000-0000386F0000}"/>
    <cellStyle name="Normal GHG whole table 3 13" xfId="29160" xr:uid="{00000000-0005-0000-0000-0000396F0000}"/>
    <cellStyle name="Normal GHG whole table 3 2" xfId="5236" xr:uid="{00000000-0005-0000-0000-00003A6F0000}"/>
    <cellStyle name="Normal GHG whole table 3 2 2" xfId="11124" xr:uid="{00000000-0005-0000-0000-00003B6F0000}"/>
    <cellStyle name="Normal GHG whole table 3 2 3" xfId="18566" xr:uid="{00000000-0005-0000-0000-00003C6F0000}"/>
    <cellStyle name="Normal GHG whole table 3 2_DataIX" xfId="34230" xr:uid="{00000000-0005-0000-0000-00003D6F0000}"/>
    <cellStyle name="Normal GHG whole table 3 3" xfId="22339" xr:uid="{00000000-0005-0000-0000-00003E6F0000}"/>
    <cellStyle name="Normal GHG whole table 3 3 2" xfId="25180" xr:uid="{00000000-0005-0000-0000-00003F6F0000}"/>
    <cellStyle name="Normal GHG whole table 3 3_DataIX" xfId="34231" xr:uid="{00000000-0005-0000-0000-0000406F0000}"/>
    <cellStyle name="Normal GHG whole table 3 4" xfId="27914" xr:uid="{00000000-0005-0000-0000-0000416F0000}"/>
    <cellStyle name="Normal GHG whole table 3 5" xfId="28036" xr:uid="{00000000-0005-0000-0000-0000426F0000}"/>
    <cellStyle name="Normal GHG whole table 3 6" xfId="28149" xr:uid="{00000000-0005-0000-0000-0000436F0000}"/>
    <cellStyle name="Normal GHG whole table 3 7" xfId="28179" xr:uid="{00000000-0005-0000-0000-0000446F0000}"/>
    <cellStyle name="Normal GHG whole table 3 8" xfId="28245" xr:uid="{00000000-0005-0000-0000-0000456F0000}"/>
    <cellStyle name="Normal GHG whole table 3 9" xfId="28402" xr:uid="{00000000-0005-0000-0000-0000466F0000}"/>
    <cellStyle name="Normal GHG whole table 3_##Keskeiset" xfId="10309" xr:uid="{00000000-0005-0000-0000-0000476F0000}"/>
    <cellStyle name="Normal GHG whole table 4" xfId="5040" xr:uid="{00000000-0005-0000-0000-0000486F0000}"/>
    <cellStyle name="Normal GHG whole table 4 2" xfId="10310" xr:uid="{00000000-0005-0000-0000-0000496F0000}"/>
    <cellStyle name="Normal GHG whole table 4 3" xfId="18380" xr:uid="{00000000-0005-0000-0000-00004A6F0000}"/>
    <cellStyle name="Normal GHG whole table 4_DataIX" xfId="34232" xr:uid="{00000000-0005-0000-0000-00004B6F0000}"/>
    <cellStyle name="Normal GHG whole table 5" xfId="5276" xr:uid="{00000000-0005-0000-0000-00004C6F0000}"/>
    <cellStyle name="Normal GHG whole table 5 2" xfId="10311" xr:uid="{00000000-0005-0000-0000-00004D6F0000}"/>
    <cellStyle name="Normal GHG whole table 5 3" xfId="18600" xr:uid="{00000000-0005-0000-0000-00004E6F0000}"/>
    <cellStyle name="Normal GHG whole table 5_DataIX" xfId="34233" xr:uid="{00000000-0005-0000-0000-00004F6F0000}"/>
    <cellStyle name="Normal GHG whole table 6" xfId="5175" xr:uid="{00000000-0005-0000-0000-0000506F0000}"/>
    <cellStyle name="Normal GHG whole table 6 2" xfId="10312" xr:uid="{00000000-0005-0000-0000-0000516F0000}"/>
    <cellStyle name="Normal GHG whole table 6 3" xfId="18505" xr:uid="{00000000-0005-0000-0000-0000526F0000}"/>
    <cellStyle name="Normal GHG whole table 6_DataIX" xfId="34234" xr:uid="{00000000-0005-0000-0000-0000536F0000}"/>
    <cellStyle name="Normal GHG whole table 7" xfId="5275" xr:uid="{00000000-0005-0000-0000-0000546F0000}"/>
    <cellStyle name="Normal GHG whole table 7 2" xfId="10313" xr:uid="{00000000-0005-0000-0000-0000556F0000}"/>
    <cellStyle name="Normal GHG whole table 7 3" xfId="18599" xr:uid="{00000000-0005-0000-0000-0000566F0000}"/>
    <cellStyle name="Normal GHG whole table 7_DataIX" xfId="34235" xr:uid="{00000000-0005-0000-0000-0000576F0000}"/>
    <cellStyle name="Normal GHG whole table 8" xfId="5240" xr:uid="{00000000-0005-0000-0000-0000586F0000}"/>
    <cellStyle name="Normal GHG whole table 8 2" xfId="10314" xr:uid="{00000000-0005-0000-0000-0000596F0000}"/>
    <cellStyle name="Normal GHG whole table 8 3" xfId="18570" xr:uid="{00000000-0005-0000-0000-00005A6F0000}"/>
    <cellStyle name="Normal GHG whole table 8_DataIX" xfId="34236" xr:uid="{00000000-0005-0000-0000-00005B6F0000}"/>
    <cellStyle name="Normal GHG whole table 9" xfId="25048" xr:uid="{00000000-0005-0000-0000-00005C6F0000}"/>
    <cellStyle name="Normal GHG whole table_##Keskeiset" xfId="10304" xr:uid="{00000000-0005-0000-0000-00005D6F0000}"/>
    <cellStyle name="normal number" xfId="5041" xr:uid="{00000000-0005-0000-0000-00005E6F0000}"/>
    <cellStyle name="normal number 2" xfId="10315" xr:uid="{00000000-0005-0000-0000-00005F6F0000}"/>
    <cellStyle name="normal number 3" xfId="18381" xr:uid="{00000000-0005-0000-0000-0000606F0000}"/>
    <cellStyle name="normal number_DataIX" xfId="34237" xr:uid="{00000000-0005-0000-0000-0000616F0000}"/>
    <cellStyle name="normální_Fiskrámce2-březen2000" xfId="5042" xr:uid="{00000000-0005-0000-0000-0000646F0000}"/>
    <cellStyle name="Normßl - Style1" xfId="5043" xr:uid="{00000000-0005-0000-0000-0000656F0000}"/>
    <cellStyle name="Normßl - Style1 2" xfId="5044" xr:uid="{00000000-0005-0000-0000-0000666F0000}"/>
    <cellStyle name="Normßl - Style1 2 2" xfId="10317" xr:uid="{00000000-0005-0000-0000-0000676F0000}"/>
    <cellStyle name="Normßl - Style1 2 3" xfId="18383" xr:uid="{00000000-0005-0000-0000-0000686F0000}"/>
    <cellStyle name="Normßl - Style1 2_DataIX" xfId="34239" xr:uid="{00000000-0005-0000-0000-0000696F0000}"/>
    <cellStyle name="Normßl - Style1 3" xfId="10316" xr:uid="{00000000-0005-0000-0000-00006A6F0000}"/>
    <cellStyle name="Normßl - Style1 4" xfId="18382" xr:uid="{00000000-0005-0000-0000-00006B6F0000}"/>
    <cellStyle name="Normßl - Style1_DataIX" xfId="34238" xr:uid="{00000000-0005-0000-0000-00006C6F0000}"/>
    <cellStyle name="Note" xfId="114" xr:uid="{00000000-0005-0000-0000-00006D6F0000}"/>
    <cellStyle name="Note 10" xfId="5235" xr:uid="{00000000-0005-0000-0000-00006E6F0000}"/>
    <cellStyle name="Note 10 2" xfId="10318" xr:uid="{00000000-0005-0000-0000-00006F6F0000}"/>
    <cellStyle name="Note 10 3" xfId="18565" xr:uid="{00000000-0005-0000-0000-0000706F0000}"/>
    <cellStyle name="Note 10 3 2" xfId="21620" xr:uid="{00000000-0005-0000-0000-0000716F0000}"/>
    <cellStyle name="Note 10 3 3" xfId="21774" xr:uid="{00000000-0005-0000-0000-0000726F0000}"/>
    <cellStyle name="Note 10 3_DataIX" xfId="34241" xr:uid="{00000000-0005-0000-0000-0000736F0000}"/>
    <cellStyle name="Note 10 4" xfId="19040" xr:uid="{00000000-0005-0000-0000-0000746F0000}"/>
    <cellStyle name="Note 10 4 2" xfId="21890" xr:uid="{00000000-0005-0000-0000-0000756F0000}"/>
    <cellStyle name="Note 10 4_DataIX" xfId="34242" xr:uid="{00000000-0005-0000-0000-0000766F0000}"/>
    <cellStyle name="Note 10_DataIX" xfId="34240" xr:uid="{00000000-0005-0000-0000-0000776F0000}"/>
    <cellStyle name="Note 11" xfId="5457" xr:uid="{00000000-0005-0000-0000-0000786F0000}"/>
    <cellStyle name="Note 11 2" xfId="12763" xr:uid="{00000000-0005-0000-0000-0000796F0000}"/>
    <cellStyle name="Note 11 3" xfId="18732" xr:uid="{00000000-0005-0000-0000-00007A6F0000}"/>
    <cellStyle name="Note 11 3 2" xfId="21673" xr:uid="{00000000-0005-0000-0000-00007B6F0000}"/>
    <cellStyle name="Note 11 3 3" xfId="13487" xr:uid="{00000000-0005-0000-0000-00007C6F0000}"/>
    <cellStyle name="Note 11 3_DataIX" xfId="34244" xr:uid="{00000000-0005-0000-0000-00007D6F0000}"/>
    <cellStyle name="Note 11 4" xfId="18979" xr:uid="{00000000-0005-0000-0000-00007E6F0000}"/>
    <cellStyle name="Note 11 4 2" xfId="22183" xr:uid="{00000000-0005-0000-0000-00007F6F0000}"/>
    <cellStyle name="Note 11 4_DataIX" xfId="34245" xr:uid="{00000000-0005-0000-0000-0000806F0000}"/>
    <cellStyle name="Note 11_DataIX" xfId="34243" xr:uid="{00000000-0005-0000-0000-0000816F0000}"/>
    <cellStyle name="Note 12" xfId="13798" xr:uid="{00000000-0005-0000-0000-0000826F0000}"/>
    <cellStyle name="Note 13" xfId="10685" xr:uid="{00000000-0005-0000-0000-0000836F0000}"/>
    <cellStyle name="Note 14" xfId="22617" xr:uid="{00000000-0005-0000-0000-0000846F0000}"/>
    <cellStyle name="Note 15" xfId="22701" xr:uid="{00000000-0005-0000-0000-0000856F0000}"/>
    <cellStyle name="Note 16" xfId="22711" xr:uid="{00000000-0005-0000-0000-0000866F0000}"/>
    <cellStyle name="Note 17" xfId="22683" xr:uid="{00000000-0005-0000-0000-0000876F0000}"/>
    <cellStyle name="Note 18" xfId="22663" xr:uid="{00000000-0005-0000-0000-0000886F0000}"/>
    <cellStyle name="Note 19" xfId="22557" xr:uid="{00000000-0005-0000-0000-0000896F0000}"/>
    <cellStyle name="Note 2" xfId="115" xr:uid="{00000000-0005-0000-0000-00008A6F0000}"/>
    <cellStyle name="Note 2 10" xfId="25824" xr:uid="{00000000-0005-0000-0000-00008B6F0000}"/>
    <cellStyle name="Note 2 2" xfId="220" xr:uid="{00000000-0005-0000-0000-00008C6F0000}"/>
    <cellStyle name="Note 2 2 10" xfId="25625" xr:uid="{00000000-0005-0000-0000-00008D6F0000}"/>
    <cellStyle name="Note 2 2 2" xfId="5047" xr:uid="{00000000-0005-0000-0000-00008E6F0000}"/>
    <cellStyle name="Note 2 2 2 2" xfId="10321" xr:uid="{00000000-0005-0000-0000-00008F6F0000}"/>
    <cellStyle name="Note 2 2 2 3" xfId="18386" xr:uid="{00000000-0005-0000-0000-0000906F0000}"/>
    <cellStyle name="Note 2 2 2_DataIX" xfId="34246" xr:uid="{00000000-0005-0000-0000-0000916F0000}"/>
    <cellStyle name="Note 2 2 3" xfId="25182" xr:uid="{00000000-0005-0000-0000-0000926F0000}"/>
    <cellStyle name="Note 2 2 4" xfId="26132" xr:uid="{00000000-0005-0000-0000-0000936F0000}"/>
    <cellStyle name="Note 2 2 5" xfId="25769" xr:uid="{00000000-0005-0000-0000-0000946F0000}"/>
    <cellStyle name="Note 2 2 6" xfId="25397" xr:uid="{00000000-0005-0000-0000-0000956F0000}"/>
    <cellStyle name="Note 2 2 7" xfId="25784" xr:uid="{00000000-0005-0000-0000-0000966F0000}"/>
    <cellStyle name="Note 2 2 8" xfId="26628" xr:uid="{00000000-0005-0000-0000-0000976F0000}"/>
    <cellStyle name="Note 2 2 9" xfId="25268" xr:uid="{00000000-0005-0000-0000-0000986F0000}"/>
    <cellStyle name="Note 2 2_##Keskeiset" xfId="10320" xr:uid="{00000000-0005-0000-0000-0000996F0000}"/>
    <cellStyle name="Note 2 3" xfId="5046" xr:uid="{00000000-0005-0000-0000-00009A6F0000}"/>
    <cellStyle name="Note 2 3 2" xfId="10322" xr:uid="{00000000-0005-0000-0000-00009B6F0000}"/>
    <cellStyle name="Note 2 3 3" xfId="18385" xr:uid="{00000000-0005-0000-0000-00009C6F0000}"/>
    <cellStyle name="Note 2 3_DataIX" xfId="34247" xr:uid="{00000000-0005-0000-0000-00009D6F0000}"/>
    <cellStyle name="Note 2 4" xfId="25181" xr:uid="{00000000-0005-0000-0000-00009E6F0000}"/>
    <cellStyle name="Note 2 5" xfId="26472" xr:uid="{00000000-0005-0000-0000-00009F6F0000}"/>
    <cellStyle name="Note 2 6" xfId="25348" xr:uid="{00000000-0005-0000-0000-0000A06F0000}"/>
    <cellStyle name="Note 2 7" xfId="26231" xr:uid="{00000000-0005-0000-0000-0000A16F0000}"/>
    <cellStyle name="Note 2 8" xfId="25271" xr:uid="{00000000-0005-0000-0000-0000A26F0000}"/>
    <cellStyle name="Note 2 9" xfId="26653" xr:uid="{00000000-0005-0000-0000-0000A36F0000}"/>
    <cellStyle name="Note 2_##Keskeiset" xfId="10319" xr:uid="{00000000-0005-0000-0000-0000A46F0000}"/>
    <cellStyle name="Note 20" xfId="22723" xr:uid="{00000000-0005-0000-0000-0000A56F0000}"/>
    <cellStyle name="Note 21" xfId="22448" xr:uid="{00000000-0005-0000-0000-0000A66F0000}"/>
    <cellStyle name="Note 22" xfId="22441" xr:uid="{00000000-0005-0000-0000-0000A76F0000}"/>
    <cellStyle name="Note 23" xfId="27934" xr:uid="{00000000-0005-0000-0000-0000A86F0000}"/>
    <cellStyle name="Note 24" xfId="28120" xr:uid="{00000000-0005-0000-0000-0000A96F0000}"/>
    <cellStyle name="Note 25" xfId="28082" xr:uid="{00000000-0005-0000-0000-0000AA6F0000}"/>
    <cellStyle name="Note 26" xfId="28080" xr:uid="{00000000-0005-0000-0000-0000AB6F0000}"/>
    <cellStyle name="Note 27" xfId="27860" xr:uid="{00000000-0005-0000-0000-0000AC6F0000}"/>
    <cellStyle name="Note 28" xfId="28076" xr:uid="{00000000-0005-0000-0000-0000AD6F0000}"/>
    <cellStyle name="Note 29" xfId="28266" xr:uid="{00000000-0005-0000-0000-0000AE6F0000}"/>
    <cellStyle name="Note 3" xfId="272" xr:uid="{00000000-0005-0000-0000-0000AF6F0000}"/>
    <cellStyle name="Note 3 10" xfId="13815" xr:uid="{00000000-0005-0000-0000-0000B06F0000}"/>
    <cellStyle name="Note 3 10 2" xfId="11308" xr:uid="{00000000-0005-0000-0000-0000B16F0000}"/>
    <cellStyle name="Note 3 10 3" xfId="27514" xr:uid="{00000000-0005-0000-0000-0000B26F0000}"/>
    <cellStyle name="Note 3 10 4" xfId="22766" xr:uid="{00000000-0005-0000-0000-0000B36F0000}"/>
    <cellStyle name="Note 3 10_DataIX" xfId="34248" xr:uid="{00000000-0005-0000-0000-0000B46F0000}"/>
    <cellStyle name="Note 3 11" xfId="13688" xr:uid="{00000000-0005-0000-0000-0000B56F0000}"/>
    <cellStyle name="Note 3 11 2" xfId="25975" xr:uid="{00000000-0005-0000-0000-0000B66F0000}"/>
    <cellStyle name="Note 3 11 3" xfId="27284" xr:uid="{00000000-0005-0000-0000-0000B76F0000}"/>
    <cellStyle name="Note 3 11 4" xfId="23140" xr:uid="{00000000-0005-0000-0000-0000B86F0000}"/>
    <cellStyle name="Note 3 11_DataIX" xfId="34249" xr:uid="{00000000-0005-0000-0000-0000B96F0000}"/>
    <cellStyle name="Note 3 12" xfId="22340" xr:uid="{00000000-0005-0000-0000-0000BA6F0000}"/>
    <cellStyle name="Note 3 13" xfId="22571" xr:uid="{00000000-0005-0000-0000-0000BB6F0000}"/>
    <cellStyle name="Note 3 14" xfId="22493" xr:uid="{00000000-0005-0000-0000-0000BC6F0000}"/>
    <cellStyle name="Note 3 15" xfId="22400" xr:uid="{00000000-0005-0000-0000-0000BD6F0000}"/>
    <cellStyle name="Note 3 16" xfId="27915" xr:uid="{00000000-0005-0000-0000-0000BE6F0000}"/>
    <cellStyle name="Note 3 17" xfId="28035" xr:uid="{00000000-0005-0000-0000-0000BF6F0000}"/>
    <cellStyle name="Note 3 18" xfId="28247" xr:uid="{00000000-0005-0000-0000-0000C06F0000}"/>
    <cellStyle name="Note 3 19" xfId="28788" xr:uid="{00000000-0005-0000-0000-0000C16F0000}"/>
    <cellStyle name="Note 3 2" xfId="5049" xr:uid="{00000000-0005-0000-0000-0000C26F0000}"/>
    <cellStyle name="Note 3 2 2" xfId="5649" xr:uid="{00000000-0005-0000-0000-0000C36F0000}"/>
    <cellStyle name="Note 3 2 2 2" xfId="12765" xr:uid="{00000000-0005-0000-0000-0000C46F0000}"/>
    <cellStyle name="Note 3 2 2 3" xfId="18864" xr:uid="{00000000-0005-0000-0000-0000C56F0000}"/>
    <cellStyle name="Note 3 2 2 3 2" xfId="21717" xr:uid="{00000000-0005-0000-0000-0000C66F0000}"/>
    <cellStyle name="Note 3 2 2 3 3" xfId="21967" xr:uid="{00000000-0005-0000-0000-0000C76F0000}"/>
    <cellStyle name="Note 3 2 2 3_DataIX" xfId="34252" xr:uid="{00000000-0005-0000-0000-0000C86F0000}"/>
    <cellStyle name="Note 3 2 2 4" xfId="18959" xr:uid="{00000000-0005-0000-0000-0000C96F0000}"/>
    <cellStyle name="Note 3 2 2 4 2" xfId="21894" xr:uid="{00000000-0005-0000-0000-0000CA6F0000}"/>
    <cellStyle name="Note 3 2 2 4_DataIX" xfId="34253" xr:uid="{00000000-0005-0000-0000-0000CB6F0000}"/>
    <cellStyle name="Note 3 2 2_DataIX" xfId="34251" xr:uid="{00000000-0005-0000-0000-0000CC6F0000}"/>
    <cellStyle name="Note 3 2 3" xfId="11125" xr:uid="{00000000-0005-0000-0000-0000CD6F0000}"/>
    <cellStyle name="Note 3 2 4" xfId="18388" xr:uid="{00000000-0005-0000-0000-0000CE6F0000}"/>
    <cellStyle name="Note 3 2_DataIX" xfId="34250" xr:uid="{00000000-0005-0000-0000-0000CF6F0000}"/>
    <cellStyle name="Note 3 20" xfId="28702" xr:uid="{00000000-0005-0000-0000-0000D06F0000}"/>
    <cellStyle name="Note 3 21" xfId="28648" xr:uid="{00000000-0005-0000-0000-0000D16F0000}"/>
    <cellStyle name="Note 3 22" xfId="29050" xr:uid="{00000000-0005-0000-0000-0000D26F0000}"/>
    <cellStyle name="Note 3 23" xfId="29159" xr:uid="{00000000-0005-0000-0000-0000D36F0000}"/>
    <cellStyle name="Note 3 3" xfId="5048" xr:uid="{00000000-0005-0000-0000-0000D46F0000}"/>
    <cellStyle name="Note 3 3 2" xfId="5650" xr:uid="{00000000-0005-0000-0000-0000D56F0000}"/>
    <cellStyle name="Note 3 3 2 2" xfId="12766" xr:uid="{00000000-0005-0000-0000-0000D66F0000}"/>
    <cellStyle name="Note 3 3 2 3" xfId="18865" xr:uid="{00000000-0005-0000-0000-0000D76F0000}"/>
    <cellStyle name="Note 3 3 2 3 2" xfId="21718" xr:uid="{00000000-0005-0000-0000-0000D86F0000}"/>
    <cellStyle name="Note 3 3 2 3 3" xfId="22191" xr:uid="{00000000-0005-0000-0000-0000D96F0000}"/>
    <cellStyle name="Note 3 3 2 3_DataIX" xfId="34256" xr:uid="{00000000-0005-0000-0000-0000DA6F0000}"/>
    <cellStyle name="Note 3 3 2 4" xfId="20440" xr:uid="{00000000-0005-0000-0000-0000DB6F0000}"/>
    <cellStyle name="Note 3 3 2 4 2" xfId="21858" xr:uid="{00000000-0005-0000-0000-0000DC6F0000}"/>
    <cellStyle name="Note 3 3 2 4_DataIX" xfId="34257" xr:uid="{00000000-0005-0000-0000-0000DD6F0000}"/>
    <cellStyle name="Note 3 3 2_DataIX" xfId="34255" xr:uid="{00000000-0005-0000-0000-0000DE6F0000}"/>
    <cellStyle name="Note 3 3 3" xfId="11126" xr:uid="{00000000-0005-0000-0000-0000DF6F0000}"/>
    <cellStyle name="Note 3 3 4" xfId="18387" xr:uid="{00000000-0005-0000-0000-0000E06F0000}"/>
    <cellStyle name="Note 3 3_DataIX" xfId="34254" xr:uid="{00000000-0005-0000-0000-0000E16F0000}"/>
    <cellStyle name="Note 3 4" xfId="5234" xr:uid="{00000000-0005-0000-0000-0000E26F0000}"/>
    <cellStyle name="Note 3 4 2" xfId="10324" xr:uid="{00000000-0005-0000-0000-0000E36F0000}"/>
    <cellStyle name="Note 3 4 3" xfId="18564" xr:uid="{00000000-0005-0000-0000-0000E46F0000}"/>
    <cellStyle name="Note 3 4 3 2" xfId="21619" xr:uid="{00000000-0005-0000-0000-0000E56F0000}"/>
    <cellStyle name="Note 3 4 3 3" xfId="21677" xr:uid="{00000000-0005-0000-0000-0000E66F0000}"/>
    <cellStyle name="Note 3 4 3_DataIX" xfId="34259" xr:uid="{00000000-0005-0000-0000-0000E76F0000}"/>
    <cellStyle name="Note 3 4 4" xfId="19043" xr:uid="{00000000-0005-0000-0000-0000E86F0000}"/>
    <cellStyle name="Note 3 4 4 2" xfId="22036" xr:uid="{00000000-0005-0000-0000-0000E96F0000}"/>
    <cellStyle name="Note 3 4 4_DataIX" xfId="34260" xr:uid="{00000000-0005-0000-0000-0000EA6F0000}"/>
    <cellStyle name="Note 3 4_DataIX" xfId="34258" xr:uid="{00000000-0005-0000-0000-0000EB6F0000}"/>
    <cellStyle name="Note 3 5" xfId="5357" xr:uid="{00000000-0005-0000-0000-0000EC6F0000}"/>
    <cellStyle name="Note 3 5 2" xfId="12767" xr:uid="{00000000-0005-0000-0000-0000ED6F0000}"/>
    <cellStyle name="Note 3 5 3" xfId="18681" xr:uid="{00000000-0005-0000-0000-0000EE6F0000}"/>
    <cellStyle name="Note 3 5 3 2" xfId="21655" xr:uid="{00000000-0005-0000-0000-0000EF6F0000}"/>
    <cellStyle name="Note 3 5 3 3" xfId="20710" xr:uid="{00000000-0005-0000-0000-0000F06F0000}"/>
    <cellStyle name="Note 3 5 3_DataIX" xfId="34262" xr:uid="{00000000-0005-0000-0000-0000F16F0000}"/>
    <cellStyle name="Note 3 5 4" xfId="19003" xr:uid="{00000000-0005-0000-0000-0000F26F0000}"/>
    <cellStyle name="Note 3 5 4 2" xfId="11005" xr:uid="{00000000-0005-0000-0000-0000F36F0000}"/>
    <cellStyle name="Note 3 5 4_DataIX" xfId="34263" xr:uid="{00000000-0005-0000-0000-0000F46F0000}"/>
    <cellStyle name="Note 3 5_DataIX" xfId="34261" xr:uid="{00000000-0005-0000-0000-0000F56F0000}"/>
    <cellStyle name="Note 3 6" xfId="13112" xr:uid="{00000000-0005-0000-0000-0000F66F0000}"/>
    <cellStyle name="Note 3 6 2" xfId="20763" xr:uid="{00000000-0005-0000-0000-0000F76F0000}"/>
    <cellStyle name="Note 3 6 2 2" xfId="22122" xr:uid="{00000000-0005-0000-0000-0000F86F0000}"/>
    <cellStyle name="Note 3 6 2 3" xfId="21423" xr:uid="{00000000-0005-0000-0000-0000F96F0000}"/>
    <cellStyle name="Note 3 6 2_DataIX" xfId="34265" xr:uid="{00000000-0005-0000-0000-0000FA6F0000}"/>
    <cellStyle name="Note 3 6 3" xfId="21125" xr:uid="{00000000-0005-0000-0000-0000FB6F0000}"/>
    <cellStyle name="Note 3 6 3 2" xfId="13001" xr:uid="{00000000-0005-0000-0000-0000FC6F0000}"/>
    <cellStyle name="Note 3 6 3_DataIX" xfId="34266" xr:uid="{00000000-0005-0000-0000-0000FD6F0000}"/>
    <cellStyle name="Note 3 6 4" xfId="13543" xr:uid="{00000000-0005-0000-0000-0000FE6F0000}"/>
    <cellStyle name="Note 3 6 5" xfId="26967" xr:uid="{00000000-0005-0000-0000-0000FF6F0000}"/>
    <cellStyle name="Note 3 6 6" xfId="23107" xr:uid="{00000000-0005-0000-0000-000000700000}"/>
    <cellStyle name="Note 3 6_DataIX" xfId="34264" xr:uid="{00000000-0005-0000-0000-000001700000}"/>
    <cellStyle name="Note 3 7" xfId="13275" xr:uid="{00000000-0005-0000-0000-000002700000}"/>
    <cellStyle name="Note 3 7 2" xfId="20864" xr:uid="{00000000-0005-0000-0000-000003700000}"/>
    <cellStyle name="Note 3 7 2 2" xfId="22154" xr:uid="{00000000-0005-0000-0000-000004700000}"/>
    <cellStyle name="Note 3 7 2 3" xfId="21540" xr:uid="{00000000-0005-0000-0000-000005700000}"/>
    <cellStyle name="Note 3 7 2_DataIX" xfId="34268" xr:uid="{00000000-0005-0000-0000-000006700000}"/>
    <cellStyle name="Note 3 7 3" xfId="21252" xr:uid="{00000000-0005-0000-0000-000007700000}"/>
    <cellStyle name="Note 3 7 3 2" xfId="21443" xr:uid="{00000000-0005-0000-0000-000008700000}"/>
    <cellStyle name="Note 3 7 3_DataIX" xfId="34269" xr:uid="{00000000-0005-0000-0000-000009700000}"/>
    <cellStyle name="Note 3 7 4" xfId="11222" xr:uid="{00000000-0005-0000-0000-00000A700000}"/>
    <cellStyle name="Note 3 7 5" xfId="27178" xr:uid="{00000000-0005-0000-0000-00000B700000}"/>
    <cellStyle name="Note 3 7 6" xfId="22968" xr:uid="{00000000-0005-0000-0000-00000C700000}"/>
    <cellStyle name="Note 3 7_DataIX" xfId="34267" xr:uid="{00000000-0005-0000-0000-00000D700000}"/>
    <cellStyle name="Note 3 8" xfId="13404" xr:uid="{00000000-0005-0000-0000-00000E700000}"/>
    <cellStyle name="Note 3 8 2" xfId="21355" xr:uid="{00000000-0005-0000-0000-00000F700000}"/>
    <cellStyle name="Note 3 8 2 2" xfId="21694" xr:uid="{00000000-0005-0000-0000-000010700000}"/>
    <cellStyle name="Note 3 8 2_DataIX" xfId="34271" xr:uid="{00000000-0005-0000-0000-000011700000}"/>
    <cellStyle name="Note 3 8 3" xfId="10881" xr:uid="{00000000-0005-0000-0000-000012700000}"/>
    <cellStyle name="Note 3 8 4" xfId="27332" xr:uid="{00000000-0005-0000-0000-000013700000}"/>
    <cellStyle name="Note 3 8 5" xfId="23131" xr:uid="{00000000-0005-0000-0000-000014700000}"/>
    <cellStyle name="Note 3 8_DataIX" xfId="34270" xr:uid="{00000000-0005-0000-0000-000015700000}"/>
    <cellStyle name="Note 3 9" xfId="13846" xr:uid="{00000000-0005-0000-0000-000016700000}"/>
    <cellStyle name="Note 3 9 2" xfId="13742" xr:uid="{00000000-0005-0000-0000-000017700000}"/>
    <cellStyle name="Note 3 9 3" xfId="13562" xr:uid="{00000000-0005-0000-0000-000018700000}"/>
    <cellStyle name="Note 3 9 4" xfId="27310" xr:uid="{00000000-0005-0000-0000-000019700000}"/>
    <cellStyle name="Note 3 9 5" xfId="23149" xr:uid="{00000000-0005-0000-0000-00001A700000}"/>
    <cellStyle name="Note 3 9_DataIX" xfId="34272" xr:uid="{00000000-0005-0000-0000-00001B700000}"/>
    <cellStyle name="Note 3_##Keskeiset" xfId="10323" xr:uid="{00000000-0005-0000-0000-00001C700000}"/>
    <cellStyle name="Note 30" xfId="28493" xr:uid="{00000000-0005-0000-0000-00001D700000}"/>
    <cellStyle name="Note 31" xfId="28354" xr:uid="{00000000-0005-0000-0000-00001E700000}"/>
    <cellStyle name="Note 32" xfId="28523" xr:uid="{00000000-0005-0000-0000-00001F700000}"/>
    <cellStyle name="Note 33" xfId="28543" xr:uid="{00000000-0005-0000-0000-000020700000}"/>
    <cellStyle name="Note 34" xfId="28515" xr:uid="{00000000-0005-0000-0000-000021700000}"/>
    <cellStyle name="Note 35" xfId="28601" xr:uid="{00000000-0005-0000-0000-000022700000}"/>
    <cellStyle name="Note 36" xfId="28974" xr:uid="{00000000-0005-0000-0000-000023700000}"/>
    <cellStyle name="Note 37" xfId="28982" xr:uid="{00000000-0005-0000-0000-000024700000}"/>
    <cellStyle name="Note 38" xfId="28646" xr:uid="{00000000-0005-0000-0000-000025700000}"/>
    <cellStyle name="Note 39" xfId="29205" xr:uid="{00000000-0005-0000-0000-000026700000}"/>
    <cellStyle name="Note 4" xfId="299" xr:uid="{00000000-0005-0000-0000-000027700000}"/>
    <cellStyle name="Note 4 10" xfId="12828" xr:uid="{00000000-0005-0000-0000-000028700000}"/>
    <cellStyle name="Note 4 10 2" xfId="21111" xr:uid="{00000000-0005-0000-0000-000029700000}"/>
    <cellStyle name="Note 4 10 2 2" xfId="22001" xr:uid="{00000000-0005-0000-0000-00002A700000}"/>
    <cellStyle name="Note 4 10 2_DataIX" xfId="34274" xr:uid="{00000000-0005-0000-0000-00002B700000}"/>
    <cellStyle name="Note 4 10 3" xfId="12894" xr:uid="{00000000-0005-0000-0000-00002C700000}"/>
    <cellStyle name="Note 4 10 4" xfId="27477" xr:uid="{00000000-0005-0000-0000-00002D700000}"/>
    <cellStyle name="Note 4 10 5" xfId="26837" xr:uid="{00000000-0005-0000-0000-00002E700000}"/>
    <cellStyle name="Note 4 10_DataIX" xfId="34273" xr:uid="{00000000-0005-0000-0000-00002F700000}"/>
    <cellStyle name="Note 4 11" xfId="13865" xr:uid="{00000000-0005-0000-0000-000030700000}"/>
    <cellStyle name="Note 4 11 2" xfId="13444" xr:uid="{00000000-0005-0000-0000-000031700000}"/>
    <cellStyle name="Note 4 11 3" xfId="10978" xr:uid="{00000000-0005-0000-0000-000032700000}"/>
    <cellStyle name="Note 4 11 4" xfId="27035" xr:uid="{00000000-0005-0000-0000-000033700000}"/>
    <cellStyle name="Note 4 11 5" xfId="27552" xr:uid="{00000000-0005-0000-0000-000034700000}"/>
    <cellStyle name="Note 4 11_DataIX" xfId="34275" xr:uid="{00000000-0005-0000-0000-000035700000}"/>
    <cellStyle name="Note 4 12" xfId="13901" xr:uid="{00000000-0005-0000-0000-000036700000}"/>
    <cellStyle name="Note 4 12 2" xfId="13047" xr:uid="{00000000-0005-0000-0000-000037700000}"/>
    <cellStyle name="Note 4 12_DataIX" xfId="34276" xr:uid="{00000000-0005-0000-0000-000038700000}"/>
    <cellStyle name="Note 4 13" xfId="10834" xr:uid="{00000000-0005-0000-0000-000039700000}"/>
    <cellStyle name="Note 4 14" xfId="22341" xr:uid="{00000000-0005-0000-0000-00003A700000}"/>
    <cellStyle name="Note 4 15" xfId="22570" xr:uid="{00000000-0005-0000-0000-00003B700000}"/>
    <cellStyle name="Note 4 16" xfId="22492" xr:uid="{00000000-0005-0000-0000-00003C700000}"/>
    <cellStyle name="Note 4 17" xfId="22401" xr:uid="{00000000-0005-0000-0000-00003D700000}"/>
    <cellStyle name="Note 4 18" xfId="27916" xr:uid="{00000000-0005-0000-0000-00003E700000}"/>
    <cellStyle name="Note 4 19" xfId="28034" xr:uid="{00000000-0005-0000-0000-00003F700000}"/>
    <cellStyle name="Note 4 2" xfId="5051" xr:uid="{00000000-0005-0000-0000-000040700000}"/>
    <cellStyle name="Note 4 2 2" xfId="10326" xr:uid="{00000000-0005-0000-0000-000041700000}"/>
    <cellStyle name="Note 4 2 3" xfId="18390" xr:uid="{00000000-0005-0000-0000-000042700000}"/>
    <cellStyle name="Note 4 2_DataIX" xfId="34277" xr:uid="{00000000-0005-0000-0000-000043700000}"/>
    <cellStyle name="Note 4 20" xfId="28248" xr:uid="{00000000-0005-0000-0000-000044700000}"/>
    <cellStyle name="Note 4 21" xfId="28399" xr:uid="{00000000-0005-0000-0000-000045700000}"/>
    <cellStyle name="Note 4 22" xfId="28396" xr:uid="{00000000-0005-0000-0000-000046700000}"/>
    <cellStyle name="Note 4 23" xfId="28477" xr:uid="{00000000-0005-0000-0000-000047700000}"/>
    <cellStyle name="Note 4 24" xfId="28787" xr:uid="{00000000-0005-0000-0000-000048700000}"/>
    <cellStyle name="Note 4 25" xfId="28934" xr:uid="{00000000-0005-0000-0000-000049700000}"/>
    <cellStyle name="Note 4 26" xfId="28929" xr:uid="{00000000-0005-0000-0000-00004A700000}"/>
    <cellStyle name="Note 4 27" xfId="28856" xr:uid="{00000000-0005-0000-0000-00004B700000}"/>
    <cellStyle name="Note 4 28" xfId="29051" xr:uid="{00000000-0005-0000-0000-00004C700000}"/>
    <cellStyle name="Note 4 29" xfId="29158" xr:uid="{00000000-0005-0000-0000-00004D700000}"/>
    <cellStyle name="Note 4 3" xfId="5050" xr:uid="{00000000-0005-0000-0000-00004E700000}"/>
    <cellStyle name="Note 4 3 2" xfId="10327" xr:uid="{00000000-0005-0000-0000-00004F700000}"/>
    <cellStyle name="Note 4 3 3" xfId="18389" xr:uid="{00000000-0005-0000-0000-000050700000}"/>
    <cellStyle name="Note 4 3_DataIX" xfId="34278" xr:uid="{00000000-0005-0000-0000-000051700000}"/>
    <cellStyle name="Note 4 4" xfId="5233" xr:uid="{00000000-0005-0000-0000-000052700000}"/>
    <cellStyle name="Note 4 4 2" xfId="10328" xr:uid="{00000000-0005-0000-0000-000053700000}"/>
    <cellStyle name="Note 4 4 3" xfId="18563" xr:uid="{00000000-0005-0000-0000-000054700000}"/>
    <cellStyle name="Note 4 4 3 2" xfId="21618" xr:uid="{00000000-0005-0000-0000-000055700000}"/>
    <cellStyle name="Note 4 4 3 3" xfId="22164" xr:uid="{00000000-0005-0000-0000-000056700000}"/>
    <cellStyle name="Note 4 4 3_DataIX" xfId="34280" xr:uid="{00000000-0005-0000-0000-000057700000}"/>
    <cellStyle name="Note 4 4 4" xfId="20523" xr:uid="{00000000-0005-0000-0000-000058700000}"/>
    <cellStyle name="Note 4 4 4 2" xfId="21417" xr:uid="{00000000-0005-0000-0000-000059700000}"/>
    <cellStyle name="Note 4 4 4_DataIX" xfId="34281" xr:uid="{00000000-0005-0000-0000-00005A700000}"/>
    <cellStyle name="Note 4 4_DataIX" xfId="34279" xr:uid="{00000000-0005-0000-0000-00005B700000}"/>
    <cellStyle name="Note 4 5" xfId="5358" xr:uid="{00000000-0005-0000-0000-00005C700000}"/>
    <cellStyle name="Note 4 5 2" xfId="12769" xr:uid="{00000000-0005-0000-0000-00005D700000}"/>
    <cellStyle name="Note 4 5 3" xfId="18682" xr:uid="{00000000-0005-0000-0000-00005E700000}"/>
    <cellStyle name="Note 4 5 3 2" xfId="21656" xr:uid="{00000000-0005-0000-0000-00005F700000}"/>
    <cellStyle name="Note 4 5 3 3" xfId="21897" xr:uid="{00000000-0005-0000-0000-000060700000}"/>
    <cellStyle name="Note 4 5 3_DataIX" xfId="34283" xr:uid="{00000000-0005-0000-0000-000061700000}"/>
    <cellStyle name="Note 4 5 4" xfId="20484" xr:uid="{00000000-0005-0000-0000-000062700000}"/>
    <cellStyle name="Note 4 5 4 2" xfId="13409" xr:uid="{00000000-0005-0000-0000-000063700000}"/>
    <cellStyle name="Note 4 5 4_DataIX" xfId="34284" xr:uid="{00000000-0005-0000-0000-000064700000}"/>
    <cellStyle name="Note 4 5_DataIX" xfId="34282" xr:uid="{00000000-0005-0000-0000-000065700000}"/>
    <cellStyle name="Note 4 6" xfId="13296" xr:uid="{00000000-0005-0000-0000-000066700000}"/>
    <cellStyle name="Note 4 6 2" xfId="20885" xr:uid="{00000000-0005-0000-0000-000067700000}"/>
    <cellStyle name="Note 4 6 2 2" xfId="22162" xr:uid="{00000000-0005-0000-0000-000068700000}"/>
    <cellStyle name="Note 4 6 2 3" xfId="20690" xr:uid="{00000000-0005-0000-0000-000069700000}"/>
    <cellStyle name="Note 4 6 2_DataIX" xfId="34286" xr:uid="{00000000-0005-0000-0000-00006A700000}"/>
    <cellStyle name="Note 4 6 3" xfId="21273" xr:uid="{00000000-0005-0000-0000-00006B700000}"/>
    <cellStyle name="Note 4 6 3 2" xfId="22008" xr:uid="{00000000-0005-0000-0000-00006C700000}"/>
    <cellStyle name="Note 4 6 3_DataIX" xfId="34287" xr:uid="{00000000-0005-0000-0000-00006D700000}"/>
    <cellStyle name="Note 4 6 4" xfId="13555" xr:uid="{00000000-0005-0000-0000-00006E700000}"/>
    <cellStyle name="Note 4 6 5" xfId="26968" xr:uid="{00000000-0005-0000-0000-00006F700000}"/>
    <cellStyle name="Note 4 6 6" xfId="22752" xr:uid="{00000000-0005-0000-0000-000070700000}"/>
    <cellStyle name="Note 4 6_DataIX" xfId="34285" xr:uid="{00000000-0005-0000-0000-000071700000}"/>
    <cellStyle name="Note 4 7" xfId="13327" xr:uid="{00000000-0005-0000-0000-000072700000}"/>
    <cellStyle name="Note 4 7 2" xfId="20908" xr:uid="{00000000-0005-0000-0000-000073700000}"/>
    <cellStyle name="Note 4 7 2 2" xfId="22172" xr:uid="{00000000-0005-0000-0000-000074700000}"/>
    <cellStyle name="Note 4 7 2 3" xfId="21809" xr:uid="{00000000-0005-0000-0000-000075700000}"/>
    <cellStyle name="Note 4 7 2_DataIX" xfId="34289" xr:uid="{00000000-0005-0000-0000-000076700000}"/>
    <cellStyle name="Note 4 7 3" xfId="21294" xr:uid="{00000000-0005-0000-0000-000077700000}"/>
    <cellStyle name="Note 4 7 3 2" xfId="13608" xr:uid="{00000000-0005-0000-0000-000078700000}"/>
    <cellStyle name="Note 4 7 3_DataIX" xfId="34290" xr:uid="{00000000-0005-0000-0000-000079700000}"/>
    <cellStyle name="Note 4 7 4" xfId="21513" xr:uid="{00000000-0005-0000-0000-00007A700000}"/>
    <cellStyle name="Note 4 7 5" xfId="27350" xr:uid="{00000000-0005-0000-0000-00007B700000}"/>
    <cellStyle name="Note 4 7 6" xfId="22848" xr:uid="{00000000-0005-0000-0000-00007C700000}"/>
    <cellStyle name="Note 4 7_DataIX" xfId="34288" xr:uid="{00000000-0005-0000-0000-00007D700000}"/>
    <cellStyle name="Note 4 8" xfId="13209" xr:uid="{00000000-0005-0000-0000-00007E700000}"/>
    <cellStyle name="Note 4 8 2" xfId="21198" xr:uid="{00000000-0005-0000-0000-00007F700000}"/>
    <cellStyle name="Note 4 8 2 2" xfId="22067" xr:uid="{00000000-0005-0000-0000-000080700000}"/>
    <cellStyle name="Note 4 8 2_DataIX" xfId="34292" xr:uid="{00000000-0005-0000-0000-000081700000}"/>
    <cellStyle name="Note 4 8 3" xfId="11314" xr:uid="{00000000-0005-0000-0000-000082700000}"/>
    <cellStyle name="Note 4 8 4" xfId="27410" xr:uid="{00000000-0005-0000-0000-000083700000}"/>
    <cellStyle name="Note 4 8 5" xfId="22818" xr:uid="{00000000-0005-0000-0000-000084700000}"/>
    <cellStyle name="Note 4 8_DataIX" xfId="34291" xr:uid="{00000000-0005-0000-0000-000085700000}"/>
    <cellStyle name="Note 4 9" xfId="10716" xr:uid="{00000000-0005-0000-0000-000086700000}"/>
    <cellStyle name="Note 4 9 2" xfId="21029" xr:uid="{00000000-0005-0000-0000-000087700000}"/>
    <cellStyle name="Note 4 9 2 2" xfId="21811" xr:uid="{00000000-0005-0000-0000-000088700000}"/>
    <cellStyle name="Note 4 9 2_DataIX" xfId="34294" xr:uid="{00000000-0005-0000-0000-000089700000}"/>
    <cellStyle name="Note 4 9 3" xfId="21985" xr:uid="{00000000-0005-0000-0000-00008A700000}"/>
    <cellStyle name="Note 4 9 4" xfId="27106" xr:uid="{00000000-0005-0000-0000-00008B700000}"/>
    <cellStyle name="Note 4 9 5" xfId="23067" xr:uid="{00000000-0005-0000-0000-00008C700000}"/>
    <cellStyle name="Note 4 9_DataIX" xfId="34293" xr:uid="{00000000-0005-0000-0000-00008D700000}"/>
    <cellStyle name="Note 4_##Keskeiset" xfId="10325" xr:uid="{00000000-0005-0000-0000-00008E700000}"/>
    <cellStyle name="Note 5" xfId="5052" xr:uid="{00000000-0005-0000-0000-00008F700000}"/>
    <cellStyle name="Note 5 2" xfId="5651" xr:uid="{00000000-0005-0000-0000-000090700000}"/>
    <cellStyle name="Note 5 2 2" xfId="12770" xr:uid="{00000000-0005-0000-0000-000091700000}"/>
    <cellStyle name="Note 5 2 3" xfId="18866" xr:uid="{00000000-0005-0000-0000-000092700000}"/>
    <cellStyle name="Note 5 2 3 2" xfId="21719" xr:uid="{00000000-0005-0000-0000-000093700000}"/>
    <cellStyle name="Note 5 2 3 3" xfId="10761" xr:uid="{00000000-0005-0000-0000-000094700000}"/>
    <cellStyle name="Note 5 2 3_DataIX" xfId="34297" xr:uid="{00000000-0005-0000-0000-000095700000}"/>
    <cellStyle name="Note 5 2 4" xfId="18958" xr:uid="{00000000-0005-0000-0000-000096700000}"/>
    <cellStyle name="Note 5 2 4 2" xfId="22255" xr:uid="{00000000-0005-0000-0000-000097700000}"/>
    <cellStyle name="Note 5 2 4_DataIX" xfId="34298" xr:uid="{00000000-0005-0000-0000-000098700000}"/>
    <cellStyle name="Note 5 2_DataIX" xfId="34296" xr:uid="{00000000-0005-0000-0000-000099700000}"/>
    <cellStyle name="Note 5 3" xfId="11127" xr:uid="{00000000-0005-0000-0000-00009A700000}"/>
    <cellStyle name="Note 5 4" xfId="18391" xr:uid="{00000000-0005-0000-0000-00009B700000}"/>
    <cellStyle name="Note 5_DataIX" xfId="34295" xr:uid="{00000000-0005-0000-0000-00009C700000}"/>
    <cellStyle name="Note 6" xfId="5053" xr:uid="{00000000-0005-0000-0000-00009D700000}"/>
    <cellStyle name="Note 6 2" xfId="5652" xr:uid="{00000000-0005-0000-0000-00009E700000}"/>
    <cellStyle name="Note 6 2 2" xfId="12771" xr:uid="{00000000-0005-0000-0000-00009F700000}"/>
    <cellStyle name="Note 6 2 3" xfId="18867" xr:uid="{00000000-0005-0000-0000-0000A0700000}"/>
    <cellStyle name="Note 6 2 3 2" xfId="21720" xr:uid="{00000000-0005-0000-0000-0000A1700000}"/>
    <cellStyle name="Note 6 2 3 3" xfId="20657" xr:uid="{00000000-0005-0000-0000-0000A2700000}"/>
    <cellStyle name="Note 6 2 3_DataIX" xfId="34301" xr:uid="{00000000-0005-0000-0000-0000A3700000}"/>
    <cellStyle name="Note 6 2 4" xfId="20439" xr:uid="{00000000-0005-0000-0000-0000A4700000}"/>
    <cellStyle name="Note 6 2 4 2" xfId="20654" xr:uid="{00000000-0005-0000-0000-0000A5700000}"/>
    <cellStyle name="Note 6 2 4_DataIX" xfId="34302" xr:uid="{00000000-0005-0000-0000-0000A6700000}"/>
    <cellStyle name="Note 6 2_DataIX" xfId="34300" xr:uid="{00000000-0005-0000-0000-0000A7700000}"/>
    <cellStyle name="Note 6 3" xfId="11128" xr:uid="{00000000-0005-0000-0000-0000A8700000}"/>
    <cellStyle name="Note 6 4" xfId="18392" xr:uid="{00000000-0005-0000-0000-0000A9700000}"/>
    <cellStyle name="Note 6_DataIX" xfId="34299" xr:uid="{00000000-0005-0000-0000-0000AA700000}"/>
    <cellStyle name="Note 7" xfId="5054" xr:uid="{00000000-0005-0000-0000-0000AB700000}"/>
    <cellStyle name="Note 7 2" xfId="10329" xr:uid="{00000000-0005-0000-0000-0000AC700000}"/>
    <cellStyle name="Note 7 3" xfId="18393" xr:uid="{00000000-0005-0000-0000-0000AD700000}"/>
    <cellStyle name="Note 7_DataIX" xfId="34303" xr:uid="{00000000-0005-0000-0000-0000AE700000}"/>
    <cellStyle name="Note 8" xfId="5055" xr:uid="{00000000-0005-0000-0000-0000AF700000}"/>
    <cellStyle name="Note 8 2" xfId="10330" xr:uid="{00000000-0005-0000-0000-0000B0700000}"/>
    <cellStyle name="Note 8 3" xfId="18394" xr:uid="{00000000-0005-0000-0000-0000B1700000}"/>
    <cellStyle name="Note 8_DataIX" xfId="34304" xr:uid="{00000000-0005-0000-0000-0000B2700000}"/>
    <cellStyle name="Note 9" xfId="5045" xr:uid="{00000000-0005-0000-0000-0000B3700000}"/>
    <cellStyle name="Note 9 2" xfId="10331" xr:uid="{00000000-0005-0000-0000-0000B4700000}"/>
    <cellStyle name="Note 9 3" xfId="18384" xr:uid="{00000000-0005-0000-0000-0000B5700000}"/>
    <cellStyle name="Note 9_DataIX" xfId="34305" xr:uid="{00000000-0005-0000-0000-0000B6700000}"/>
    <cellStyle name="Note_##Keskeiset" xfId="5648" xr:uid="{00000000-0005-0000-0000-0000B7700000}"/>
    <cellStyle name="Notes" xfId="5056" xr:uid="{00000000-0005-0000-0000-0000B8700000}"/>
    <cellStyle name="Notes 2" xfId="10332" xr:uid="{00000000-0005-0000-0000-0000B9700000}"/>
    <cellStyle name="Notes 3" xfId="18395" xr:uid="{00000000-0005-0000-0000-0000BA700000}"/>
    <cellStyle name="Notes_DataIX" xfId="34306" xr:uid="{00000000-0005-0000-0000-0000BB700000}"/>
    <cellStyle name="Otsikko" xfId="358" xr:uid="{00000000-0005-0000-0000-0000BC700000}"/>
    <cellStyle name="Otsikko 1" xfId="359" xr:uid="{00000000-0005-0000-0000-0000BD700000}"/>
    <cellStyle name="Otsikko 1 10" xfId="25538" xr:uid="{00000000-0005-0000-0000-0000BE700000}"/>
    <cellStyle name="Otsikko 1 2" xfId="223" xr:uid="{00000000-0005-0000-0000-0000BF700000}"/>
    <cellStyle name="Otsikko 1 2 10" xfId="25979" xr:uid="{00000000-0005-0000-0000-0000C0700000}"/>
    <cellStyle name="Otsikko 1 2 2" xfId="5057" xr:uid="{00000000-0005-0000-0000-0000C1700000}"/>
    <cellStyle name="Otsikko 1 2 2 2" xfId="10334" xr:uid="{00000000-0005-0000-0000-0000C2700000}"/>
    <cellStyle name="Otsikko 1 2 2 3" xfId="18396" xr:uid="{00000000-0005-0000-0000-0000C3700000}"/>
    <cellStyle name="Otsikko 1 2 2_DataIX" xfId="34307" xr:uid="{00000000-0005-0000-0000-0000C4700000}"/>
    <cellStyle name="Otsikko 1 2 3" xfId="25183" xr:uid="{00000000-0005-0000-0000-0000C5700000}"/>
    <cellStyle name="Otsikko 1 2 4" xfId="26131" xr:uid="{00000000-0005-0000-0000-0000C6700000}"/>
    <cellStyle name="Otsikko 1 2 5" xfId="26574" xr:uid="{00000000-0005-0000-0000-0000C7700000}"/>
    <cellStyle name="Otsikko 1 2 6" xfId="25966" xr:uid="{00000000-0005-0000-0000-0000C8700000}"/>
    <cellStyle name="Otsikko 1 2 7" xfId="25577" xr:uid="{00000000-0005-0000-0000-0000C9700000}"/>
    <cellStyle name="Otsikko 1 2 8" xfId="25919" xr:uid="{00000000-0005-0000-0000-0000CA700000}"/>
    <cellStyle name="Otsikko 1 2 9" xfId="26637" xr:uid="{00000000-0005-0000-0000-0000CB700000}"/>
    <cellStyle name="Otsikko 1 2_##Keskeiset" xfId="10333" xr:uid="{00000000-0005-0000-0000-0000CC700000}"/>
    <cellStyle name="Otsikko 1 3" xfId="222" xr:uid="{00000000-0005-0000-0000-0000CD700000}"/>
    <cellStyle name="Otsikko 1 3 2" xfId="25184" xr:uid="{00000000-0005-0000-0000-0000CE700000}"/>
    <cellStyle name="Otsikko 1 3 3" xfId="24996" xr:uid="{00000000-0005-0000-0000-0000CF700000}"/>
    <cellStyle name="Otsikko 1 3_DataIX" xfId="34308" xr:uid="{00000000-0005-0000-0000-0000D0700000}"/>
    <cellStyle name="Otsikko 1 4" xfId="5653" xr:uid="{00000000-0005-0000-0000-0000D1700000}"/>
    <cellStyle name="Otsikko 1 4 2" xfId="12772" xr:uid="{00000000-0005-0000-0000-0000D2700000}"/>
    <cellStyle name="Otsikko 1 4 3" xfId="18868" xr:uid="{00000000-0005-0000-0000-0000D3700000}"/>
    <cellStyle name="Otsikko 1 4 4" xfId="27790" xr:uid="{00000000-0005-0000-0000-0000D4700000}"/>
    <cellStyle name="Otsikko 1 4_DataIX" xfId="34309" xr:uid="{00000000-0005-0000-0000-0000D5700000}"/>
    <cellStyle name="Otsikko 1 5" xfId="10672" xr:uid="{00000000-0005-0000-0000-0000D6700000}"/>
    <cellStyle name="Otsikko 1 6" xfId="26508" xr:uid="{00000000-0005-0000-0000-0000D7700000}"/>
    <cellStyle name="Otsikko 1 7" xfId="25956" xr:uid="{00000000-0005-0000-0000-0000D8700000}"/>
    <cellStyle name="Otsikko 1 8" xfId="25739" xr:uid="{00000000-0005-0000-0000-0000D9700000}"/>
    <cellStyle name="Otsikko 1 9" xfId="25403" xr:uid="{00000000-0005-0000-0000-0000DA700000}"/>
    <cellStyle name="Otsikko 1_##KansantalKehitys" xfId="5441" xr:uid="{00000000-0005-0000-0000-0000DB700000}"/>
    <cellStyle name="Otsikko 10" xfId="5303" xr:uid="{00000000-0005-0000-0000-0000DC700000}"/>
    <cellStyle name="Otsikko 10 2" xfId="12773" xr:uid="{00000000-0005-0000-0000-0000DD700000}"/>
    <cellStyle name="Otsikko 10 3" xfId="18627" xr:uid="{00000000-0005-0000-0000-0000DE700000}"/>
    <cellStyle name="Otsikko 10_DataIX" xfId="34310" xr:uid="{00000000-0005-0000-0000-0000DF700000}"/>
    <cellStyle name="Otsikko 11" xfId="5323" xr:uid="{00000000-0005-0000-0000-0000E0700000}"/>
    <cellStyle name="Otsikko 11 2" xfId="12774" xr:uid="{00000000-0005-0000-0000-0000E1700000}"/>
    <cellStyle name="Otsikko 11 3" xfId="18647" xr:uid="{00000000-0005-0000-0000-0000E2700000}"/>
    <cellStyle name="Otsikko 11_DataIX" xfId="34311" xr:uid="{00000000-0005-0000-0000-0000E3700000}"/>
    <cellStyle name="Otsikko 12" xfId="10624" xr:uid="{00000000-0005-0000-0000-0000E4700000}"/>
    <cellStyle name="Otsikko 12 2" xfId="12775" xr:uid="{00000000-0005-0000-0000-0000E5700000}"/>
    <cellStyle name="Otsikko 12 3" xfId="20406" xr:uid="{00000000-0005-0000-0000-0000E6700000}"/>
    <cellStyle name="Otsikko 12_DataIX" xfId="34312" xr:uid="{00000000-0005-0000-0000-0000E7700000}"/>
    <cellStyle name="Otsikko 13" xfId="10551" xr:uid="{00000000-0005-0000-0000-0000E8700000}"/>
    <cellStyle name="Otsikko 13 2" xfId="12776" xr:uid="{00000000-0005-0000-0000-0000E9700000}"/>
    <cellStyle name="Otsikko 13 3" xfId="20333" xr:uid="{00000000-0005-0000-0000-0000EA700000}"/>
    <cellStyle name="Otsikko 13_DataIX" xfId="34313" xr:uid="{00000000-0005-0000-0000-0000EB700000}"/>
    <cellStyle name="Otsikko 14" xfId="10630" xr:uid="{00000000-0005-0000-0000-0000EC700000}"/>
    <cellStyle name="Otsikko 14 2" xfId="12777" xr:uid="{00000000-0005-0000-0000-0000ED700000}"/>
    <cellStyle name="Otsikko 14 3" xfId="20412" xr:uid="{00000000-0005-0000-0000-0000EE700000}"/>
    <cellStyle name="Otsikko 14_DataIX" xfId="34314" xr:uid="{00000000-0005-0000-0000-0000EF700000}"/>
    <cellStyle name="Otsikko 15" xfId="10671" xr:uid="{00000000-0005-0000-0000-0000F0700000}"/>
    <cellStyle name="Otsikko 16" xfId="13090" xr:uid="{00000000-0005-0000-0000-0000F1700000}"/>
    <cellStyle name="Otsikko 17" xfId="13193" xr:uid="{00000000-0005-0000-0000-0000F2700000}"/>
    <cellStyle name="Otsikko 18" xfId="13251" xr:uid="{00000000-0005-0000-0000-0000F3700000}"/>
    <cellStyle name="Otsikko 19" xfId="13151" xr:uid="{00000000-0005-0000-0000-0000F4700000}"/>
    <cellStyle name="Otsikko 2" xfId="360" xr:uid="{00000000-0005-0000-0000-0000F5700000}"/>
    <cellStyle name="Otsikko 2 10" xfId="26052" xr:uid="{00000000-0005-0000-0000-0000F6700000}"/>
    <cellStyle name="Otsikko 2 2" xfId="225" xr:uid="{00000000-0005-0000-0000-0000F7700000}"/>
    <cellStyle name="Otsikko 2 2 10" xfId="26383" xr:uid="{00000000-0005-0000-0000-0000F8700000}"/>
    <cellStyle name="Otsikko 2 2 2" xfId="5058" xr:uid="{00000000-0005-0000-0000-0000F9700000}"/>
    <cellStyle name="Otsikko 2 2 2 2" xfId="10336" xr:uid="{00000000-0005-0000-0000-0000FA700000}"/>
    <cellStyle name="Otsikko 2 2 2 3" xfId="18397" xr:uid="{00000000-0005-0000-0000-0000FB700000}"/>
    <cellStyle name="Otsikko 2 2 2_DataIX" xfId="34315" xr:uid="{00000000-0005-0000-0000-0000FC700000}"/>
    <cellStyle name="Otsikko 2 2 3" xfId="25185" xr:uid="{00000000-0005-0000-0000-0000FD700000}"/>
    <cellStyle name="Otsikko 2 2 4" xfId="26130" xr:uid="{00000000-0005-0000-0000-0000FE700000}"/>
    <cellStyle name="Otsikko 2 2 5" xfId="25964" xr:uid="{00000000-0005-0000-0000-0000FF700000}"/>
    <cellStyle name="Otsikko 2 2 6" xfId="26454" xr:uid="{00000000-0005-0000-0000-000000710000}"/>
    <cellStyle name="Otsikko 2 2 7" xfId="26091" xr:uid="{00000000-0005-0000-0000-000001710000}"/>
    <cellStyle name="Otsikko 2 2 8" xfId="26323" xr:uid="{00000000-0005-0000-0000-000002710000}"/>
    <cellStyle name="Otsikko 2 2 9" xfId="26639" xr:uid="{00000000-0005-0000-0000-000003710000}"/>
    <cellStyle name="Otsikko 2 2_##Keskeiset" xfId="10335" xr:uid="{00000000-0005-0000-0000-000004710000}"/>
    <cellStyle name="Otsikko 2 3" xfId="224" xr:uid="{00000000-0005-0000-0000-000005710000}"/>
    <cellStyle name="Otsikko 2 3 2" xfId="25186" xr:uid="{00000000-0005-0000-0000-000006710000}"/>
    <cellStyle name="Otsikko 2 3 3" xfId="24997" xr:uid="{00000000-0005-0000-0000-000007710000}"/>
    <cellStyle name="Otsikko 2 3_DataIX" xfId="34316" xr:uid="{00000000-0005-0000-0000-000008710000}"/>
    <cellStyle name="Otsikko 2 4" xfId="5654" xr:uid="{00000000-0005-0000-0000-000009710000}"/>
    <cellStyle name="Otsikko 2 4 2" xfId="12778" xr:uid="{00000000-0005-0000-0000-00000A710000}"/>
    <cellStyle name="Otsikko 2 4 3" xfId="18869" xr:uid="{00000000-0005-0000-0000-00000B710000}"/>
    <cellStyle name="Otsikko 2 4 4" xfId="27791" xr:uid="{00000000-0005-0000-0000-00000C710000}"/>
    <cellStyle name="Otsikko 2 4_DataIX" xfId="34317" xr:uid="{00000000-0005-0000-0000-00000D710000}"/>
    <cellStyle name="Otsikko 2 5" xfId="10673" xr:uid="{00000000-0005-0000-0000-00000E710000}"/>
    <cellStyle name="Otsikko 2 6" xfId="26196" xr:uid="{00000000-0005-0000-0000-00000F710000}"/>
    <cellStyle name="Otsikko 2 7" xfId="26601" xr:uid="{00000000-0005-0000-0000-000010710000}"/>
    <cellStyle name="Otsikko 2 8" xfId="26240" xr:uid="{00000000-0005-0000-0000-000011710000}"/>
    <cellStyle name="Otsikko 2 9" xfId="26448" xr:uid="{00000000-0005-0000-0000-000012710000}"/>
    <cellStyle name="Otsikko 2_##KansantalKehitys" xfId="5442" xr:uid="{00000000-0005-0000-0000-000013710000}"/>
    <cellStyle name="Otsikko 20" xfId="13900" xr:uid="{00000000-0005-0000-0000-000014710000}"/>
    <cellStyle name="Otsikko 21" xfId="20601" xr:uid="{00000000-0005-0000-0000-000015710000}"/>
    <cellStyle name="Otsikko 22" xfId="22342" xr:uid="{00000000-0005-0000-0000-000016710000}"/>
    <cellStyle name="Otsikko 22 2" xfId="26035" xr:uid="{00000000-0005-0000-0000-000017710000}"/>
    <cellStyle name="Otsikko 22_DataIX" xfId="34318" xr:uid="{00000000-0005-0000-0000-000018710000}"/>
    <cellStyle name="Otsikko 23" xfId="22569" xr:uid="{00000000-0005-0000-0000-000019710000}"/>
    <cellStyle name="Otsikko 23 2" xfId="25302" xr:uid="{00000000-0005-0000-0000-00001A710000}"/>
    <cellStyle name="Otsikko 23_DataIX" xfId="34319" xr:uid="{00000000-0005-0000-0000-00001B710000}"/>
    <cellStyle name="Otsikko 24" xfId="22688" xr:uid="{00000000-0005-0000-0000-00001C710000}"/>
    <cellStyle name="Otsikko 24 2" xfId="26031" xr:uid="{00000000-0005-0000-0000-00001D710000}"/>
    <cellStyle name="Otsikko 24_DataIX" xfId="34320" xr:uid="{00000000-0005-0000-0000-00001E710000}"/>
    <cellStyle name="Otsikko 25" xfId="22523" xr:uid="{00000000-0005-0000-0000-00001F710000}"/>
    <cellStyle name="Otsikko 25 2" xfId="26638" xr:uid="{00000000-0005-0000-0000-000020710000}"/>
    <cellStyle name="Otsikko 25_DataIX" xfId="34321" xr:uid="{00000000-0005-0000-0000-000021710000}"/>
    <cellStyle name="Otsikko 26" xfId="22671" xr:uid="{00000000-0005-0000-0000-000022710000}"/>
    <cellStyle name="Otsikko 26 2" xfId="25494" xr:uid="{00000000-0005-0000-0000-000023710000}"/>
    <cellStyle name="Otsikko 26_DataIX" xfId="34322" xr:uid="{00000000-0005-0000-0000-000024710000}"/>
    <cellStyle name="Otsikko 27" xfId="22491" xr:uid="{00000000-0005-0000-0000-000025710000}"/>
    <cellStyle name="Otsikko 27 2" xfId="26331" xr:uid="{00000000-0005-0000-0000-000026710000}"/>
    <cellStyle name="Otsikko 27_DataIX" xfId="34323" xr:uid="{00000000-0005-0000-0000-000027710000}"/>
    <cellStyle name="Otsikko 28" xfId="22636" xr:uid="{00000000-0005-0000-0000-000028710000}"/>
    <cellStyle name="Otsikko 28 2" xfId="26082" xr:uid="{00000000-0005-0000-0000-000029710000}"/>
    <cellStyle name="Otsikko 28_DataIX" xfId="34324" xr:uid="{00000000-0005-0000-0000-00002A710000}"/>
    <cellStyle name="Otsikko 29" xfId="22717" xr:uid="{00000000-0005-0000-0000-00002B710000}"/>
    <cellStyle name="Otsikko 29 2" xfId="26018" xr:uid="{00000000-0005-0000-0000-00002C710000}"/>
    <cellStyle name="Otsikko 29_DataIX" xfId="34325" xr:uid="{00000000-0005-0000-0000-00002D710000}"/>
    <cellStyle name="Otsikko 3" xfId="361" xr:uid="{00000000-0005-0000-0000-00002E710000}"/>
    <cellStyle name="Otsikko 3 10" xfId="25366" xr:uid="{00000000-0005-0000-0000-00002F710000}"/>
    <cellStyle name="Otsikko 3 2" xfId="227" xr:uid="{00000000-0005-0000-0000-000030710000}"/>
    <cellStyle name="Otsikko 3 2 10" xfId="25413" xr:uid="{00000000-0005-0000-0000-000031710000}"/>
    <cellStyle name="Otsikko 3 2 2" xfId="5059" xr:uid="{00000000-0005-0000-0000-000032710000}"/>
    <cellStyle name="Otsikko 3 2 2 2" xfId="10338" xr:uid="{00000000-0005-0000-0000-000033710000}"/>
    <cellStyle name="Otsikko 3 2 2 3" xfId="18398" xr:uid="{00000000-0005-0000-0000-000034710000}"/>
    <cellStyle name="Otsikko 3 2 2_DataIX" xfId="34326" xr:uid="{00000000-0005-0000-0000-000035710000}"/>
    <cellStyle name="Otsikko 3 2 3" xfId="25187" xr:uid="{00000000-0005-0000-0000-000036710000}"/>
    <cellStyle name="Otsikko 3 2 4" xfId="26129" xr:uid="{00000000-0005-0000-0000-000037710000}"/>
    <cellStyle name="Otsikko 3 2 5" xfId="26298" xr:uid="{00000000-0005-0000-0000-000038710000}"/>
    <cellStyle name="Otsikko 3 2 6" xfId="26212" xr:uid="{00000000-0005-0000-0000-000039710000}"/>
    <cellStyle name="Otsikko 3 2 7" xfId="25846" xr:uid="{00000000-0005-0000-0000-00003A710000}"/>
    <cellStyle name="Otsikko 3 2 8" xfId="26425" xr:uid="{00000000-0005-0000-0000-00003B710000}"/>
    <cellStyle name="Otsikko 3 2 9" xfId="26386" xr:uid="{00000000-0005-0000-0000-00003C710000}"/>
    <cellStyle name="Otsikko 3 2_##Keskeiset" xfId="10337" xr:uid="{00000000-0005-0000-0000-00003D710000}"/>
    <cellStyle name="Otsikko 3 3" xfId="226" xr:uid="{00000000-0005-0000-0000-00003E710000}"/>
    <cellStyle name="Otsikko 3 3 2" xfId="25188" xr:uid="{00000000-0005-0000-0000-00003F710000}"/>
    <cellStyle name="Otsikko 3 3 3" xfId="24998" xr:uid="{00000000-0005-0000-0000-000040710000}"/>
    <cellStyle name="Otsikko 3 3_DataIX" xfId="34327" xr:uid="{00000000-0005-0000-0000-000041710000}"/>
    <cellStyle name="Otsikko 3 4" xfId="5655" xr:uid="{00000000-0005-0000-0000-000042710000}"/>
    <cellStyle name="Otsikko 3 4 2" xfId="12779" xr:uid="{00000000-0005-0000-0000-000043710000}"/>
    <cellStyle name="Otsikko 3 4 3" xfId="18870" xr:uid="{00000000-0005-0000-0000-000044710000}"/>
    <cellStyle name="Otsikko 3 4 4" xfId="27792" xr:uid="{00000000-0005-0000-0000-000045710000}"/>
    <cellStyle name="Otsikko 3 4_DataIX" xfId="34328" xr:uid="{00000000-0005-0000-0000-000046710000}"/>
    <cellStyle name="Otsikko 3 5" xfId="10674" xr:uid="{00000000-0005-0000-0000-000047710000}"/>
    <cellStyle name="Otsikko 3 6" xfId="25671" xr:uid="{00000000-0005-0000-0000-000048710000}"/>
    <cellStyle name="Otsikko 3 7" xfId="26275" xr:uid="{00000000-0005-0000-0000-000049710000}"/>
    <cellStyle name="Otsikko 3 8" xfId="25691" xr:uid="{00000000-0005-0000-0000-00004A710000}"/>
    <cellStyle name="Otsikko 3 9" xfId="25484" xr:uid="{00000000-0005-0000-0000-00004B710000}"/>
    <cellStyle name="Otsikko 3_##KansantalKehitys" xfId="5443" xr:uid="{00000000-0005-0000-0000-00004C710000}"/>
    <cellStyle name="Otsikko 30" xfId="22402" xr:uid="{00000000-0005-0000-0000-00004D710000}"/>
    <cellStyle name="Otsikko 30 2" xfId="25804" xr:uid="{00000000-0005-0000-0000-00004E710000}"/>
    <cellStyle name="Otsikko 30_DataIX" xfId="34329" xr:uid="{00000000-0005-0000-0000-00004F710000}"/>
    <cellStyle name="Otsikko 31" xfId="22439" xr:uid="{00000000-0005-0000-0000-000050710000}"/>
    <cellStyle name="Otsikko 32" xfId="27917" xr:uid="{00000000-0005-0000-0000-000051710000}"/>
    <cellStyle name="Otsikko 33" xfId="28033" xr:uid="{00000000-0005-0000-0000-000052710000}"/>
    <cellStyle name="Otsikko 34" xfId="28101" xr:uid="{00000000-0005-0000-0000-000053710000}"/>
    <cellStyle name="Otsikko 35" xfId="27987" xr:uid="{00000000-0005-0000-0000-000054710000}"/>
    <cellStyle name="Otsikko 36" xfId="28078" xr:uid="{00000000-0005-0000-0000-000055710000}"/>
    <cellStyle name="Otsikko 37" xfId="28102" xr:uid="{00000000-0005-0000-0000-000056710000}"/>
    <cellStyle name="Otsikko 38" xfId="28074" xr:uid="{00000000-0005-0000-0000-000057710000}"/>
    <cellStyle name="Otsikko 39" xfId="28249" xr:uid="{00000000-0005-0000-0000-000058710000}"/>
    <cellStyle name="Otsikko 4" xfId="362" xr:uid="{00000000-0005-0000-0000-000059710000}"/>
    <cellStyle name="Otsikko 4 10" xfId="26006" xr:uid="{00000000-0005-0000-0000-00005A710000}"/>
    <cellStyle name="Otsikko 4 2" xfId="229" xr:uid="{00000000-0005-0000-0000-00005B710000}"/>
    <cellStyle name="Otsikko 4 2 10" xfId="25359" xr:uid="{00000000-0005-0000-0000-00005C710000}"/>
    <cellStyle name="Otsikko 4 2 2" xfId="5060" xr:uid="{00000000-0005-0000-0000-00005D710000}"/>
    <cellStyle name="Otsikko 4 2 2 2" xfId="10340" xr:uid="{00000000-0005-0000-0000-00005E710000}"/>
    <cellStyle name="Otsikko 4 2 2 3" xfId="18399" xr:uid="{00000000-0005-0000-0000-00005F710000}"/>
    <cellStyle name="Otsikko 4 2 2_DataIX" xfId="34330" xr:uid="{00000000-0005-0000-0000-000060710000}"/>
    <cellStyle name="Otsikko 4 2 3" xfId="25189" xr:uid="{00000000-0005-0000-0000-000061710000}"/>
    <cellStyle name="Otsikko 4 2 4" xfId="26128" xr:uid="{00000000-0005-0000-0000-000062710000}"/>
    <cellStyle name="Otsikko 4 2 5" xfId="25770" xr:uid="{00000000-0005-0000-0000-000063710000}"/>
    <cellStyle name="Otsikko 4 2 6" xfId="26230" xr:uid="{00000000-0005-0000-0000-000064710000}"/>
    <cellStyle name="Otsikko 4 2 7" xfId="25999" xr:uid="{00000000-0005-0000-0000-000065710000}"/>
    <cellStyle name="Otsikko 4 2 8" xfId="26642" xr:uid="{00000000-0005-0000-0000-000066710000}"/>
    <cellStyle name="Otsikko 4 2 9" xfId="26086" xr:uid="{00000000-0005-0000-0000-000067710000}"/>
    <cellStyle name="Otsikko 4 2_##Keskeiset" xfId="10339" xr:uid="{00000000-0005-0000-0000-000068710000}"/>
    <cellStyle name="Otsikko 4 3" xfId="228" xr:uid="{00000000-0005-0000-0000-000069710000}"/>
    <cellStyle name="Otsikko 4 3 2" xfId="25190" xr:uid="{00000000-0005-0000-0000-00006A710000}"/>
    <cellStyle name="Otsikko 4 3 3" xfId="24999" xr:uid="{00000000-0005-0000-0000-00006B710000}"/>
    <cellStyle name="Otsikko 4 3_DataIX" xfId="34331" xr:uid="{00000000-0005-0000-0000-00006C710000}"/>
    <cellStyle name="Otsikko 4 4" xfId="5656" xr:uid="{00000000-0005-0000-0000-00006D710000}"/>
    <cellStyle name="Otsikko 4 4 2" xfId="12780" xr:uid="{00000000-0005-0000-0000-00006E710000}"/>
    <cellStyle name="Otsikko 4 4 3" xfId="18871" xr:uid="{00000000-0005-0000-0000-00006F710000}"/>
    <cellStyle name="Otsikko 4 4 4" xfId="27793" xr:uid="{00000000-0005-0000-0000-000070710000}"/>
    <cellStyle name="Otsikko 4 4_DataIX" xfId="34332" xr:uid="{00000000-0005-0000-0000-000071710000}"/>
    <cellStyle name="Otsikko 4 5" xfId="10675" xr:uid="{00000000-0005-0000-0000-000072710000}"/>
    <cellStyle name="Otsikko 4 6" xfId="26507" xr:uid="{00000000-0005-0000-0000-000073710000}"/>
    <cellStyle name="Otsikko 4 7" xfId="26340" xr:uid="{00000000-0005-0000-0000-000074710000}"/>
    <cellStyle name="Otsikko 4 8" xfId="26330" xr:uid="{00000000-0005-0000-0000-000075710000}"/>
    <cellStyle name="Otsikko 4 9" xfId="26440" xr:uid="{00000000-0005-0000-0000-000076710000}"/>
    <cellStyle name="Otsikko 4_##KansantalKehitys" xfId="5444" xr:uid="{00000000-0005-0000-0000-000077710000}"/>
    <cellStyle name="Otsikko 40" xfId="28398" xr:uid="{00000000-0005-0000-0000-000078710000}"/>
    <cellStyle name="Otsikko 41" xfId="28397" xr:uid="{00000000-0005-0000-0000-000079710000}"/>
    <cellStyle name="Otsikko 42" xfId="28337" xr:uid="{00000000-0005-0000-0000-00007A710000}"/>
    <cellStyle name="Otsikko 43" xfId="28632" xr:uid="{00000000-0005-0000-0000-00007B710000}"/>
    <cellStyle name="Otsikko 44" xfId="28786" xr:uid="{00000000-0005-0000-0000-00007C710000}"/>
    <cellStyle name="Otsikko 45" xfId="28933" xr:uid="{00000000-0005-0000-0000-00007D710000}"/>
    <cellStyle name="Otsikko 46" xfId="28928" xr:uid="{00000000-0005-0000-0000-00007E710000}"/>
    <cellStyle name="Otsikko 47" xfId="28855" xr:uid="{00000000-0005-0000-0000-00007F710000}"/>
    <cellStyle name="Otsikko 48" xfId="29052" xr:uid="{00000000-0005-0000-0000-000080710000}"/>
    <cellStyle name="Otsikko 49" xfId="29157" xr:uid="{00000000-0005-0000-0000-000081710000}"/>
    <cellStyle name="Otsikko 5" xfId="230" xr:uid="{00000000-0005-0000-0000-000082710000}"/>
    <cellStyle name="Otsikko 5 2" xfId="25191" xr:uid="{00000000-0005-0000-0000-000083710000}"/>
    <cellStyle name="Otsikko 5 3" xfId="25000" xr:uid="{00000000-0005-0000-0000-000084710000}"/>
    <cellStyle name="Otsikko 5_DataIX" xfId="34333" xr:uid="{00000000-0005-0000-0000-000085710000}"/>
    <cellStyle name="Otsikko 6" xfId="221" xr:uid="{00000000-0005-0000-0000-000086710000}"/>
    <cellStyle name="Otsikko 6 2" xfId="25192" xr:uid="{00000000-0005-0000-0000-000087710000}"/>
    <cellStyle name="Otsikko 6 3" xfId="25001" xr:uid="{00000000-0005-0000-0000-000088710000}"/>
    <cellStyle name="Otsikko 6_DataIX" xfId="34334" xr:uid="{00000000-0005-0000-0000-000089710000}"/>
    <cellStyle name="Otsikko 7" xfId="5657" xr:uid="{00000000-0005-0000-0000-00008A710000}"/>
    <cellStyle name="Otsikko 7 2" xfId="12781" xr:uid="{00000000-0005-0000-0000-00008B710000}"/>
    <cellStyle name="Otsikko 7 3" xfId="18872" xr:uid="{00000000-0005-0000-0000-00008C710000}"/>
    <cellStyle name="Otsikko 7 4" xfId="27789" xr:uid="{00000000-0005-0000-0000-00008D710000}"/>
    <cellStyle name="Otsikko 7_DataIX" xfId="34335" xr:uid="{00000000-0005-0000-0000-00008E710000}"/>
    <cellStyle name="Otsikko 8" xfId="5658" xr:uid="{00000000-0005-0000-0000-00008F710000}"/>
    <cellStyle name="Otsikko 8 2" xfId="12782" xr:uid="{00000000-0005-0000-0000-000090710000}"/>
    <cellStyle name="Otsikko 8 3" xfId="18873" xr:uid="{00000000-0005-0000-0000-000091710000}"/>
    <cellStyle name="Otsikko 8_DataIX" xfId="34336" xr:uid="{00000000-0005-0000-0000-000092710000}"/>
    <cellStyle name="Otsikko 9" xfId="5659" xr:uid="{00000000-0005-0000-0000-000093710000}"/>
    <cellStyle name="Otsikko 9 2" xfId="12783" xr:uid="{00000000-0005-0000-0000-000094710000}"/>
    <cellStyle name="Otsikko 9 3" xfId="18874" xr:uid="{00000000-0005-0000-0000-000095710000}"/>
    <cellStyle name="Otsikko 9_DataIX" xfId="34337" xr:uid="{00000000-0005-0000-0000-000096710000}"/>
    <cellStyle name="Otsikko_##KansantalKehitys" xfId="5440" xr:uid="{00000000-0005-0000-0000-000097710000}"/>
    <cellStyle name="Output" xfId="116" xr:uid="{00000000-0005-0000-0000-000098710000}"/>
    <cellStyle name="Output 10" xfId="10556" xr:uid="{00000000-0005-0000-0000-000099710000}"/>
    <cellStyle name="Output 10 2" xfId="12784" xr:uid="{00000000-0005-0000-0000-00009A710000}"/>
    <cellStyle name="Output 10 3" xfId="20338" xr:uid="{00000000-0005-0000-0000-00009B710000}"/>
    <cellStyle name="Output 10 3 2" xfId="21520" xr:uid="{00000000-0005-0000-0000-00009C710000}"/>
    <cellStyle name="Output 10 3_DataIX" xfId="34339" xr:uid="{00000000-0005-0000-0000-00009D710000}"/>
    <cellStyle name="Output 10 4" xfId="20973" xr:uid="{00000000-0005-0000-0000-00009E710000}"/>
    <cellStyle name="Output 10 4 2" xfId="21906" xr:uid="{00000000-0005-0000-0000-00009F710000}"/>
    <cellStyle name="Output 10 4_DataIX" xfId="34340" xr:uid="{00000000-0005-0000-0000-0000A0710000}"/>
    <cellStyle name="Output 10_DataIX" xfId="34338" xr:uid="{00000000-0005-0000-0000-0000A1710000}"/>
    <cellStyle name="Output 11" xfId="13800" xr:uid="{00000000-0005-0000-0000-0000A2710000}"/>
    <cellStyle name="Output 12" xfId="20713" xr:uid="{00000000-0005-0000-0000-0000A3710000}"/>
    <cellStyle name="Output 13" xfId="22700" xr:uid="{00000000-0005-0000-0000-0000A4710000}"/>
    <cellStyle name="Output 14" xfId="22657" xr:uid="{00000000-0005-0000-0000-0000A5710000}"/>
    <cellStyle name="Output 15" xfId="28070" xr:uid="{00000000-0005-0000-0000-0000A6710000}"/>
    <cellStyle name="Output 16" xfId="27985" xr:uid="{00000000-0005-0000-0000-0000A7710000}"/>
    <cellStyle name="Output 17" xfId="28439" xr:uid="{00000000-0005-0000-0000-0000A8710000}"/>
    <cellStyle name="Output 18" xfId="28647" xr:uid="{00000000-0005-0000-0000-0000A9710000}"/>
    <cellStyle name="Output 19" xfId="28972" xr:uid="{00000000-0005-0000-0000-0000AA710000}"/>
    <cellStyle name="Output 2" xfId="117" xr:uid="{00000000-0005-0000-0000-0000AB710000}"/>
    <cellStyle name="Output 2 10" xfId="25603" xr:uid="{00000000-0005-0000-0000-0000AC710000}"/>
    <cellStyle name="Output 2 2" xfId="5061" xr:uid="{00000000-0005-0000-0000-0000AD710000}"/>
    <cellStyle name="Output 2 2 2" xfId="10342" xr:uid="{00000000-0005-0000-0000-0000AE710000}"/>
    <cellStyle name="Output 2 2 3" xfId="18400" xr:uid="{00000000-0005-0000-0000-0000AF710000}"/>
    <cellStyle name="Output 2 2_DataIX" xfId="34341" xr:uid="{00000000-0005-0000-0000-0000B0710000}"/>
    <cellStyle name="Output 2 3" xfId="25193" xr:uid="{00000000-0005-0000-0000-0000B1710000}"/>
    <cellStyle name="Output 2 4" xfId="26127" xr:uid="{00000000-0005-0000-0000-0000B2710000}"/>
    <cellStyle name="Output 2 5" xfId="25771" xr:uid="{00000000-0005-0000-0000-0000B3710000}"/>
    <cellStyle name="Output 2 6" xfId="25948" xr:uid="{00000000-0005-0000-0000-0000B4710000}"/>
    <cellStyle name="Output 2 7" xfId="25933" xr:uid="{00000000-0005-0000-0000-0000B5710000}"/>
    <cellStyle name="Output 2 8" xfId="25517" xr:uid="{00000000-0005-0000-0000-0000B6710000}"/>
    <cellStyle name="Output 2 9" xfId="25924" xr:uid="{00000000-0005-0000-0000-0000B7710000}"/>
    <cellStyle name="Output 2_##Keskeiset" xfId="10341" xr:uid="{00000000-0005-0000-0000-0000B8710000}"/>
    <cellStyle name="Output 20" xfId="28882" xr:uid="{00000000-0005-0000-0000-0000B9710000}"/>
    <cellStyle name="Output 21" xfId="29204" xr:uid="{00000000-0005-0000-0000-0000BA710000}"/>
    <cellStyle name="Output 3" xfId="231" xr:uid="{00000000-0005-0000-0000-0000BB710000}"/>
    <cellStyle name="Output 3 10" xfId="13817" xr:uid="{00000000-0005-0000-0000-0000BC710000}"/>
    <cellStyle name="Output 3 10 2" xfId="20715" xr:uid="{00000000-0005-0000-0000-0000BD710000}"/>
    <cellStyle name="Output 3 10 3" xfId="25598" xr:uid="{00000000-0005-0000-0000-0000BE710000}"/>
    <cellStyle name="Output 3 10 4" xfId="27161" xr:uid="{00000000-0005-0000-0000-0000BF710000}"/>
    <cellStyle name="Output 3 10 5" xfId="22770" xr:uid="{00000000-0005-0000-0000-0000C0710000}"/>
    <cellStyle name="Output 3 10_DataIX" xfId="34342" xr:uid="{00000000-0005-0000-0000-0000C1710000}"/>
    <cellStyle name="Output 3 11" xfId="20314" xr:uid="{00000000-0005-0000-0000-0000C2710000}"/>
    <cellStyle name="Output 3 11 2" xfId="18831" xr:uid="{00000000-0005-0000-0000-0000C3710000}"/>
    <cellStyle name="Output 3 11 3" xfId="26087" xr:uid="{00000000-0005-0000-0000-0000C4710000}"/>
    <cellStyle name="Output 3 11 4" xfId="27320" xr:uid="{00000000-0005-0000-0000-0000C5710000}"/>
    <cellStyle name="Output 3 11 5" xfId="27506" xr:uid="{00000000-0005-0000-0000-0000C6710000}"/>
    <cellStyle name="Output 3 11_DataIX" xfId="34343" xr:uid="{00000000-0005-0000-0000-0000C7710000}"/>
    <cellStyle name="Output 3 12" xfId="11280" xr:uid="{00000000-0005-0000-0000-0000C8710000}"/>
    <cellStyle name="Output 3 13" xfId="22343" xr:uid="{00000000-0005-0000-0000-0000C9710000}"/>
    <cellStyle name="Output 3 14" xfId="22568" xr:uid="{00000000-0005-0000-0000-0000CA710000}"/>
    <cellStyle name="Output 3 15" xfId="22490" xr:uid="{00000000-0005-0000-0000-0000CB710000}"/>
    <cellStyle name="Output 3 16" xfId="22403" xr:uid="{00000000-0005-0000-0000-0000CC710000}"/>
    <cellStyle name="Output 3 17" xfId="22822" xr:uid="{00000000-0005-0000-0000-0000CD710000}"/>
    <cellStyle name="Output 3 18" xfId="27918" xr:uid="{00000000-0005-0000-0000-0000CE710000}"/>
    <cellStyle name="Output 3 19" xfId="28026" xr:uid="{00000000-0005-0000-0000-0000CF710000}"/>
    <cellStyle name="Output 3 2" xfId="302" xr:uid="{00000000-0005-0000-0000-0000D0710000}"/>
    <cellStyle name="Output 3 2 10" xfId="22344" xr:uid="{00000000-0005-0000-0000-0000D1710000}"/>
    <cellStyle name="Output 3 2 10 2" xfId="26559" xr:uid="{00000000-0005-0000-0000-0000D2710000}"/>
    <cellStyle name="Output 3 2 10 3" xfId="27522" xr:uid="{00000000-0005-0000-0000-0000D3710000}"/>
    <cellStyle name="Output 3 2 10 4" xfId="22842" xr:uid="{00000000-0005-0000-0000-0000D4710000}"/>
    <cellStyle name="Output 3 2 10_DataIX" xfId="34344" xr:uid="{00000000-0005-0000-0000-0000D5710000}"/>
    <cellStyle name="Output 3 2 11" xfId="22567" xr:uid="{00000000-0005-0000-0000-0000D6710000}"/>
    <cellStyle name="Output 3 2 11 2" xfId="25285" xr:uid="{00000000-0005-0000-0000-0000D7710000}"/>
    <cellStyle name="Output 3 2 11 3" xfId="27034" xr:uid="{00000000-0005-0000-0000-0000D8710000}"/>
    <cellStyle name="Output 3 2 11 4" xfId="22799" xr:uid="{00000000-0005-0000-0000-0000D9710000}"/>
    <cellStyle name="Output 3 2 11_DataIX" xfId="34345" xr:uid="{00000000-0005-0000-0000-0000DA710000}"/>
    <cellStyle name="Output 3 2 12" xfId="22521" xr:uid="{00000000-0005-0000-0000-0000DB710000}"/>
    <cellStyle name="Output 3 2 13" xfId="22449" xr:uid="{00000000-0005-0000-0000-0000DC710000}"/>
    <cellStyle name="Output 3 2 14" xfId="26779" xr:uid="{00000000-0005-0000-0000-0000DD710000}"/>
    <cellStyle name="Output 3 2 15" xfId="27919" xr:uid="{00000000-0005-0000-0000-0000DE710000}"/>
    <cellStyle name="Output 3 2 16" xfId="28025" xr:uid="{00000000-0005-0000-0000-0000DF710000}"/>
    <cellStyle name="Output 3 2 17" xfId="28251" xr:uid="{00000000-0005-0000-0000-0000E0710000}"/>
    <cellStyle name="Output 3 2 18" xfId="28781" xr:uid="{00000000-0005-0000-0000-0000E1710000}"/>
    <cellStyle name="Output 3 2 19" xfId="28698" xr:uid="{00000000-0005-0000-0000-0000E2710000}"/>
    <cellStyle name="Output 3 2 2" xfId="5230" xr:uid="{00000000-0005-0000-0000-0000E3710000}"/>
    <cellStyle name="Output 3 2 2 2" xfId="5661" xr:uid="{00000000-0005-0000-0000-0000E4710000}"/>
    <cellStyle name="Output 3 2 2 2 2" xfId="12785" xr:uid="{00000000-0005-0000-0000-0000E5710000}"/>
    <cellStyle name="Output 3 2 2 2 3" xfId="18875" xr:uid="{00000000-0005-0000-0000-0000E6710000}"/>
    <cellStyle name="Output 3 2 2 2 3 2" xfId="21891" xr:uid="{00000000-0005-0000-0000-0000E7710000}"/>
    <cellStyle name="Output 3 2 2 2 3_DataIX" xfId="34348" xr:uid="{00000000-0005-0000-0000-0000E8710000}"/>
    <cellStyle name="Output 3 2 2 2 4" xfId="18954" xr:uid="{00000000-0005-0000-0000-0000E9710000}"/>
    <cellStyle name="Output 3 2 2 2 4 2" xfId="22163" xr:uid="{00000000-0005-0000-0000-0000EA710000}"/>
    <cellStyle name="Output 3 2 2 2 4_DataIX" xfId="34349" xr:uid="{00000000-0005-0000-0000-0000EB710000}"/>
    <cellStyle name="Output 3 2 2 2_DataIX" xfId="34347" xr:uid="{00000000-0005-0000-0000-0000EC710000}"/>
    <cellStyle name="Output 3 2 2 3" xfId="11129" xr:uid="{00000000-0005-0000-0000-0000ED710000}"/>
    <cellStyle name="Output 3 2 2 4" xfId="18560" xr:uid="{00000000-0005-0000-0000-0000EE710000}"/>
    <cellStyle name="Output 3 2 2 4 2" xfId="22257" xr:uid="{00000000-0005-0000-0000-0000EF710000}"/>
    <cellStyle name="Output 3 2 2 4_DataIX" xfId="34350" xr:uid="{00000000-0005-0000-0000-0000F0710000}"/>
    <cellStyle name="Output 3 2 2 5" xfId="19044" xr:uid="{00000000-0005-0000-0000-0000F1710000}"/>
    <cellStyle name="Output 3 2 2 5 2" xfId="21786" xr:uid="{00000000-0005-0000-0000-0000F2710000}"/>
    <cellStyle name="Output 3 2 2 5_DataIX" xfId="34351" xr:uid="{00000000-0005-0000-0000-0000F3710000}"/>
    <cellStyle name="Output 3 2 2_DataIX" xfId="34346" xr:uid="{00000000-0005-0000-0000-0000F4710000}"/>
    <cellStyle name="Output 3 2 20" xfId="29054" xr:uid="{00000000-0005-0000-0000-0000F5710000}"/>
    <cellStyle name="Output 3 2 21" xfId="29155" xr:uid="{00000000-0005-0000-0000-0000F6710000}"/>
    <cellStyle name="Output 3 2 3" xfId="5362" xr:uid="{00000000-0005-0000-0000-0000F7710000}"/>
    <cellStyle name="Output 3 2 3 2" xfId="12786" xr:uid="{00000000-0005-0000-0000-0000F8710000}"/>
    <cellStyle name="Output 3 2 3 3" xfId="18686" xr:uid="{00000000-0005-0000-0000-0000F9710000}"/>
    <cellStyle name="Output 3 2 3 3 2" xfId="22269" xr:uid="{00000000-0005-0000-0000-0000FA710000}"/>
    <cellStyle name="Output 3 2 3 3_DataIX" xfId="34353" xr:uid="{00000000-0005-0000-0000-0000FB710000}"/>
    <cellStyle name="Output 3 2 3 4" xfId="20482" xr:uid="{00000000-0005-0000-0000-0000FC710000}"/>
    <cellStyle name="Output 3 2 3 4 2" xfId="10871" xr:uid="{00000000-0005-0000-0000-0000FD710000}"/>
    <cellStyle name="Output 3 2 3 4_DataIX" xfId="34354" xr:uid="{00000000-0005-0000-0000-0000FE710000}"/>
    <cellStyle name="Output 3 2 3_DataIX" xfId="34352" xr:uid="{00000000-0005-0000-0000-0000FF710000}"/>
    <cellStyle name="Output 3 2 4" xfId="13386" xr:uid="{00000000-0005-0000-0000-000000720000}"/>
    <cellStyle name="Output 3 2 4 2" xfId="20944" xr:uid="{00000000-0005-0000-0000-000001720000}"/>
    <cellStyle name="Output 3 2 4 2 2" xfId="10822" xr:uid="{00000000-0005-0000-0000-000002720000}"/>
    <cellStyle name="Output 3 2 4 2_DataIX" xfId="34356" xr:uid="{00000000-0005-0000-0000-000003720000}"/>
    <cellStyle name="Output 3 2 4 3" xfId="21341" xr:uid="{00000000-0005-0000-0000-000004720000}"/>
    <cellStyle name="Output 3 2 4 3 2" xfId="11004" xr:uid="{00000000-0005-0000-0000-000005720000}"/>
    <cellStyle name="Output 3 2 4 3_DataIX" xfId="34357" xr:uid="{00000000-0005-0000-0000-000006720000}"/>
    <cellStyle name="Output 3 2 4 4" xfId="13509" xr:uid="{00000000-0005-0000-0000-000007720000}"/>
    <cellStyle name="Output 3 2 4 5" xfId="25195" xr:uid="{00000000-0005-0000-0000-000008720000}"/>
    <cellStyle name="Output 3 2 4 6" xfId="26970" xr:uid="{00000000-0005-0000-0000-000009720000}"/>
    <cellStyle name="Output 3 2 4 7" xfId="23092" xr:uid="{00000000-0005-0000-0000-00000A720000}"/>
    <cellStyle name="Output 3 2 4_DataIX" xfId="34355" xr:uid="{00000000-0005-0000-0000-00000B720000}"/>
    <cellStyle name="Output 3 2 5" xfId="13227" xr:uid="{00000000-0005-0000-0000-00000C720000}"/>
    <cellStyle name="Output 3 2 5 2" xfId="20837" xr:uid="{00000000-0005-0000-0000-00000D720000}"/>
    <cellStyle name="Output 3 2 5 2 2" xfId="20623" xr:uid="{00000000-0005-0000-0000-00000E720000}"/>
    <cellStyle name="Output 3 2 5 2_DataIX" xfId="34359" xr:uid="{00000000-0005-0000-0000-00000F720000}"/>
    <cellStyle name="Output 3 2 5 3" xfId="21213" xr:uid="{00000000-0005-0000-0000-000010720000}"/>
    <cellStyle name="Output 3 2 5 3 2" xfId="10887" xr:uid="{00000000-0005-0000-0000-000011720000}"/>
    <cellStyle name="Output 3 2 5 3_DataIX" xfId="34360" xr:uid="{00000000-0005-0000-0000-000012720000}"/>
    <cellStyle name="Output 3 2 5 4" xfId="11329" xr:uid="{00000000-0005-0000-0000-000013720000}"/>
    <cellStyle name="Output 3 2 5 5" xfId="26126" xr:uid="{00000000-0005-0000-0000-000014720000}"/>
    <cellStyle name="Output 3 2 5 6" xfId="27349" xr:uid="{00000000-0005-0000-0000-000015720000}"/>
    <cellStyle name="Output 3 2 5 7" xfId="26571" xr:uid="{00000000-0005-0000-0000-000016720000}"/>
    <cellStyle name="Output 3 2 5_DataIX" xfId="34358" xr:uid="{00000000-0005-0000-0000-000017720000}"/>
    <cellStyle name="Output 3 2 6" xfId="13201" xr:uid="{00000000-0005-0000-0000-000018720000}"/>
    <cellStyle name="Output 3 2 6 2" xfId="21191" xr:uid="{00000000-0005-0000-0000-000019720000}"/>
    <cellStyle name="Output 3 2 6 2 2" xfId="11348" xr:uid="{00000000-0005-0000-0000-00001A720000}"/>
    <cellStyle name="Output 3 2 6 2_DataIX" xfId="34362" xr:uid="{00000000-0005-0000-0000-00001B720000}"/>
    <cellStyle name="Output 3 2 6 3" xfId="13066" xr:uid="{00000000-0005-0000-0000-00001C720000}"/>
    <cellStyle name="Output 3 2 6 4" xfId="25349" xr:uid="{00000000-0005-0000-0000-00001D720000}"/>
    <cellStyle name="Output 3 2 6 5" xfId="27061" xr:uid="{00000000-0005-0000-0000-00001E720000}"/>
    <cellStyle name="Output 3 2 6 6" xfId="22868" xr:uid="{00000000-0005-0000-0000-00001F720000}"/>
    <cellStyle name="Output 3 2 6_DataIX" xfId="34361" xr:uid="{00000000-0005-0000-0000-000020720000}"/>
    <cellStyle name="Output 3 2 7" xfId="13868" xr:uid="{00000000-0005-0000-0000-000021720000}"/>
    <cellStyle name="Output 3 2 7 2" xfId="11258" xr:uid="{00000000-0005-0000-0000-000022720000}"/>
    <cellStyle name="Output 3 2 7 3" xfId="26431" xr:uid="{00000000-0005-0000-0000-000023720000}"/>
    <cellStyle name="Output 3 2 7 4" xfId="27470" xr:uid="{00000000-0005-0000-0000-000024720000}"/>
    <cellStyle name="Output 3 2 7 5" xfId="27110" xr:uid="{00000000-0005-0000-0000-000025720000}"/>
    <cellStyle name="Output 3 2 7_DataIX" xfId="34363" xr:uid="{00000000-0005-0000-0000-000026720000}"/>
    <cellStyle name="Output 3 2 8" xfId="20288" xr:uid="{00000000-0005-0000-0000-000027720000}"/>
    <cellStyle name="Output 3 2 8 2" xfId="13641" xr:uid="{00000000-0005-0000-0000-000028720000}"/>
    <cellStyle name="Output 3 2 8 3" xfId="25281" xr:uid="{00000000-0005-0000-0000-000029720000}"/>
    <cellStyle name="Output 3 2 8 4" xfId="27030" xr:uid="{00000000-0005-0000-0000-00002A720000}"/>
    <cellStyle name="Output 3 2 8 5" xfId="27577" xr:uid="{00000000-0005-0000-0000-00002B720000}"/>
    <cellStyle name="Output 3 2 8_DataIX" xfId="34364" xr:uid="{00000000-0005-0000-0000-00002C720000}"/>
    <cellStyle name="Output 3 2 9" xfId="20698" xr:uid="{00000000-0005-0000-0000-00002D720000}"/>
    <cellStyle name="Output 3 2 9 2" xfId="26038" xr:uid="{00000000-0005-0000-0000-00002E720000}"/>
    <cellStyle name="Output 3 2 9 3" xfId="27303" xr:uid="{00000000-0005-0000-0000-00002F720000}"/>
    <cellStyle name="Output 3 2 9 4" xfId="26844" xr:uid="{00000000-0005-0000-0000-000030720000}"/>
    <cellStyle name="Output 3 2 9_DataIX" xfId="34365" xr:uid="{00000000-0005-0000-0000-000031720000}"/>
    <cellStyle name="Output 3 2_##Keskeiset" xfId="10344" xr:uid="{00000000-0005-0000-0000-000032720000}"/>
    <cellStyle name="Output 3 20" xfId="28250" xr:uid="{00000000-0005-0000-0000-000033720000}"/>
    <cellStyle name="Output 3 21" xfId="28599" xr:uid="{00000000-0005-0000-0000-000034720000}"/>
    <cellStyle name="Output 3 22" xfId="28699" xr:uid="{00000000-0005-0000-0000-000035720000}"/>
    <cellStyle name="Output 3 23" xfId="29053" xr:uid="{00000000-0005-0000-0000-000036720000}"/>
    <cellStyle name="Output 3 24" xfId="29156" xr:uid="{00000000-0005-0000-0000-000037720000}"/>
    <cellStyle name="Output 3 3" xfId="285" xr:uid="{00000000-0005-0000-0000-000038720000}"/>
    <cellStyle name="Output 3 3 10" xfId="13857" xr:uid="{00000000-0005-0000-0000-000039720000}"/>
    <cellStyle name="Output 3 3 10 2" xfId="21458" xr:uid="{00000000-0005-0000-0000-00003A720000}"/>
    <cellStyle name="Output 3 3 10 3" xfId="26164" xr:uid="{00000000-0005-0000-0000-00003B720000}"/>
    <cellStyle name="Output 3 3 10 4" xfId="27370" xr:uid="{00000000-0005-0000-0000-00003C720000}"/>
    <cellStyle name="Output 3 3 10 5" xfId="22957" xr:uid="{00000000-0005-0000-0000-00003D720000}"/>
    <cellStyle name="Output 3 3 10_DataIX" xfId="34366" xr:uid="{00000000-0005-0000-0000-00003E720000}"/>
    <cellStyle name="Output 3 3 11" xfId="20291" xr:uid="{00000000-0005-0000-0000-00003F720000}"/>
    <cellStyle name="Output 3 3 11 2" xfId="13561" xr:uid="{00000000-0005-0000-0000-000040720000}"/>
    <cellStyle name="Output 3 3 11 3" xfId="26706" xr:uid="{00000000-0005-0000-0000-000041720000}"/>
    <cellStyle name="Output 3 3 11 4" xfId="27586" xr:uid="{00000000-0005-0000-0000-000042720000}"/>
    <cellStyle name="Output 3 3 11 5" xfId="26765" xr:uid="{00000000-0005-0000-0000-000043720000}"/>
    <cellStyle name="Output 3 3 11_DataIX" xfId="34367" xr:uid="{00000000-0005-0000-0000-000044720000}"/>
    <cellStyle name="Output 3 3 12" xfId="10891" xr:uid="{00000000-0005-0000-0000-000045720000}"/>
    <cellStyle name="Output 3 3 13" xfId="13518" xr:uid="{00000000-0005-0000-0000-000046720000}"/>
    <cellStyle name="Output 3 3 14" xfId="22345" xr:uid="{00000000-0005-0000-0000-000047720000}"/>
    <cellStyle name="Output 3 3 15" xfId="22566" xr:uid="{00000000-0005-0000-0000-000048720000}"/>
    <cellStyle name="Output 3 3 16" xfId="22488" xr:uid="{00000000-0005-0000-0000-000049720000}"/>
    <cellStyle name="Output 3 3 17" xfId="22620" xr:uid="{00000000-0005-0000-0000-00004A720000}"/>
    <cellStyle name="Output 3 3 18" xfId="22982" xr:uid="{00000000-0005-0000-0000-00004B720000}"/>
    <cellStyle name="Output 3 3 19" xfId="27920" xr:uid="{00000000-0005-0000-0000-00004C720000}"/>
    <cellStyle name="Output 3 3 2" xfId="5229" xr:uid="{00000000-0005-0000-0000-00004D720000}"/>
    <cellStyle name="Output 3 3 2 2" xfId="10346" xr:uid="{00000000-0005-0000-0000-00004E720000}"/>
    <cellStyle name="Output 3 3 2 3" xfId="18559" xr:uid="{00000000-0005-0000-0000-00004F720000}"/>
    <cellStyle name="Output 3 3 2 3 2" xfId="13786" xr:uid="{00000000-0005-0000-0000-000050720000}"/>
    <cellStyle name="Output 3 3 2 3_DataIX" xfId="34369" xr:uid="{00000000-0005-0000-0000-000051720000}"/>
    <cellStyle name="Output 3 3 2 4" xfId="20524" xr:uid="{00000000-0005-0000-0000-000052720000}"/>
    <cellStyle name="Output 3 3 2 4 2" xfId="10884" xr:uid="{00000000-0005-0000-0000-000053720000}"/>
    <cellStyle name="Output 3 3 2 4_DataIX" xfId="34370" xr:uid="{00000000-0005-0000-0000-000054720000}"/>
    <cellStyle name="Output 3 3 2_DataIX" xfId="34368" xr:uid="{00000000-0005-0000-0000-000055720000}"/>
    <cellStyle name="Output 3 3 20" xfId="28024" xr:uid="{00000000-0005-0000-0000-000056720000}"/>
    <cellStyle name="Output 3 3 21" xfId="28100" xr:uid="{00000000-0005-0000-0000-000057720000}"/>
    <cellStyle name="Output 3 3 22" xfId="28151" xr:uid="{00000000-0005-0000-0000-000058720000}"/>
    <cellStyle name="Output 3 3 23" xfId="28178" xr:uid="{00000000-0005-0000-0000-000059720000}"/>
    <cellStyle name="Output 3 3 24" xfId="28252" xr:uid="{00000000-0005-0000-0000-00005A720000}"/>
    <cellStyle name="Output 3 3 25" xfId="28391" xr:uid="{00000000-0005-0000-0000-00005B720000}"/>
    <cellStyle name="Output 3 3 26" xfId="28476" xr:uid="{00000000-0005-0000-0000-00005C720000}"/>
    <cellStyle name="Output 3 3 27" xfId="28478" xr:uid="{00000000-0005-0000-0000-00005D720000}"/>
    <cellStyle name="Output 3 3 28" xfId="28780" xr:uid="{00000000-0005-0000-0000-00005E720000}"/>
    <cellStyle name="Output 3 3 29" xfId="28884" xr:uid="{00000000-0005-0000-0000-00005F720000}"/>
    <cellStyle name="Output 3 3 3" xfId="5363" xr:uid="{00000000-0005-0000-0000-000060720000}"/>
    <cellStyle name="Output 3 3 3 2" xfId="12787" xr:uid="{00000000-0005-0000-0000-000061720000}"/>
    <cellStyle name="Output 3 3 3 3" xfId="18687" xr:uid="{00000000-0005-0000-0000-000062720000}"/>
    <cellStyle name="Output 3 3 3 3 2" xfId="13533" xr:uid="{00000000-0005-0000-0000-000063720000}"/>
    <cellStyle name="Output 3 3 3 3_DataIX" xfId="34372" xr:uid="{00000000-0005-0000-0000-000064720000}"/>
    <cellStyle name="Output 3 3 3 4" xfId="19000" xr:uid="{00000000-0005-0000-0000-000065720000}"/>
    <cellStyle name="Output 3 3 3 4 2" xfId="21405" xr:uid="{00000000-0005-0000-0000-000066720000}"/>
    <cellStyle name="Output 3 3 3 4_DataIX" xfId="34373" xr:uid="{00000000-0005-0000-0000-000067720000}"/>
    <cellStyle name="Output 3 3 3_DataIX" xfId="34371" xr:uid="{00000000-0005-0000-0000-000068720000}"/>
    <cellStyle name="Output 3 3 30" xfId="28704" xr:uid="{00000000-0005-0000-0000-000069720000}"/>
    <cellStyle name="Output 3 3 31" xfId="28979" xr:uid="{00000000-0005-0000-0000-00006A720000}"/>
    <cellStyle name="Output 3 3 32" xfId="29055" xr:uid="{00000000-0005-0000-0000-00006B720000}"/>
    <cellStyle name="Output 3 3 33" xfId="29154" xr:uid="{00000000-0005-0000-0000-00006C720000}"/>
    <cellStyle name="Output 3 3 4" xfId="13295" xr:uid="{00000000-0005-0000-0000-00006D720000}"/>
    <cellStyle name="Output 3 3 4 2" xfId="20884" xr:uid="{00000000-0005-0000-0000-00006E720000}"/>
    <cellStyle name="Output 3 3 4 2 2" xfId="11073" xr:uid="{00000000-0005-0000-0000-00006F720000}"/>
    <cellStyle name="Output 3 3 4 2_DataIX" xfId="34375" xr:uid="{00000000-0005-0000-0000-000070720000}"/>
    <cellStyle name="Output 3 3 4 3" xfId="21272" xr:uid="{00000000-0005-0000-0000-000071720000}"/>
    <cellStyle name="Output 3 3 4 3 2" xfId="20686" xr:uid="{00000000-0005-0000-0000-000072720000}"/>
    <cellStyle name="Output 3 3 4 3_DataIX" xfId="34376" xr:uid="{00000000-0005-0000-0000-000073720000}"/>
    <cellStyle name="Output 3 3 4 4" xfId="13073" xr:uid="{00000000-0005-0000-0000-000074720000}"/>
    <cellStyle name="Output 3 3 4 5" xfId="25196" xr:uid="{00000000-0005-0000-0000-000075720000}"/>
    <cellStyle name="Output 3 3 4 6" xfId="26971" xr:uid="{00000000-0005-0000-0000-000076720000}"/>
    <cellStyle name="Output 3 3 4 7" xfId="22935" xr:uid="{00000000-0005-0000-0000-000077720000}"/>
    <cellStyle name="Output 3 3 4_DataIX" xfId="34374" xr:uid="{00000000-0005-0000-0000-000078720000}"/>
    <cellStyle name="Output 3 3 5" xfId="13349" xr:uid="{00000000-0005-0000-0000-000079720000}"/>
    <cellStyle name="Output 3 3 5 2" xfId="20921" xr:uid="{00000000-0005-0000-0000-00007A720000}"/>
    <cellStyle name="Output 3 3 5 2 2" xfId="21545" xr:uid="{00000000-0005-0000-0000-00007B720000}"/>
    <cellStyle name="Output 3 3 5 2_DataIX" xfId="34378" xr:uid="{00000000-0005-0000-0000-00007C720000}"/>
    <cellStyle name="Output 3 3 5 3" xfId="21309" xr:uid="{00000000-0005-0000-0000-00007D720000}"/>
    <cellStyle name="Output 3 3 5 3 2" xfId="12699" xr:uid="{00000000-0005-0000-0000-00007E720000}"/>
    <cellStyle name="Output 3 3 5 3_DataIX" xfId="34379" xr:uid="{00000000-0005-0000-0000-00007F720000}"/>
    <cellStyle name="Output 3 3 5 4" xfId="22019" xr:uid="{00000000-0005-0000-0000-000080720000}"/>
    <cellStyle name="Output 3 3 5 5" xfId="25636" xr:uid="{00000000-0005-0000-0000-000081720000}"/>
    <cellStyle name="Output 3 3 5 6" xfId="27177" xr:uid="{00000000-0005-0000-0000-000082720000}"/>
    <cellStyle name="Output 3 3 5 7" xfId="22796" xr:uid="{00000000-0005-0000-0000-000083720000}"/>
    <cellStyle name="Output 3 3 5_DataIX" xfId="34377" xr:uid="{00000000-0005-0000-0000-000084720000}"/>
    <cellStyle name="Output 3 3 6" xfId="13155" xr:uid="{00000000-0005-0000-0000-000085720000}"/>
    <cellStyle name="Output 3 3 6 2" xfId="21158" xr:uid="{00000000-0005-0000-0000-000086720000}"/>
    <cellStyle name="Output 3 3 6 2 2" xfId="12618" xr:uid="{00000000-0005-0000-0000-000087720000}"/>
    <cellStyle name="Output 3 3 6 2_DataIX" xfId="34381" xr:uid="{00000000-0005-0000-0000-000088720000}"/>
    <cellStyle name="Output 3 3 6 3" xfId="13643" xr:uid="{00000000-0005-0000-0000-000089720000}"/>
    <cellStyle name="Output 3 3 6 4" xfId="26573" xr:uid="{00000000-0005-0000-0000-00008A720000}"/>
    <cellStyle name="Output 3 3 6 5" xfId="27536" xr:uid="{00000000-0005-0000-0000-00008B720000}"/>
    <cellStyle name="Output 3 3 6 6" xfId="22833" xr:uid="{00000000-0005-0000-0000-00008C720000}"/>
    <cellStyle name="Output 3 3 6_DataIX" xfId="34380" xr:uid="{00000000-0005-0000-0000-00008D720000}"/>
    <cellStyle name="Output 3 3 7" xfId="10717" xr:uid="{00000000-0005-0000-0000-00008E720000}"/>
    <cellStyle name="Output 3 3 7 2" xfId="21030" xr:uid="{00000000-0005-0000-0000-00008F720000}"/>
    <cellStyle name="Output 3 3 7 2 2" xfId="21550" xr:uid="{00000000-0005-0000-0000-000090720000}"/>
    <cellStyle name="Output 3 3 7 2_DataIX" xfId="34383" xr:uid="{00000000-0005-0000-0000-000091720000}"/>
    <cellStyle name="Output 3 3 7 3" xfId="21527" xr:uid="{00000000-0005-0000-0000-000092720000}"/>
    <cellStyle name="Output 3 3 7 4" xfId="25453" xr:uid="{00000000-0005-0000-0000-000093720000}"/>
    <cellStyle name="Output 3 3 7 5" xfId="27105" xr:uid="{00000000-0005-0000-0000-000094720000}"/>
    <cellStyle name="Output 3 3 7 6" xfId="22931" xr:uid="{00000000-0005-0000-0000-000095720000}"/>
    <cellStyle name="Output 3 3 7_DataIX" xfId="34382" xr:uid="{00000000-0005-0000-0000-000096720000}"/>
    <cellStyle name="Output 3 3 8" xfId="10676" xr:uid="{00000000-0005-0000-0000-000097720000}"/>
    <cellStyle name="Output 3 3 8 2" xfId="21006" xr:uid="{00000000-0005-0000-0000-000098720000}"/>
    <cellStyle name="Output 3 3 8 2 2" xfId="21936" xr:uid="{00000000-0005-0000-0000-000099720000}"/>
    <cellStyle name="Output 3 3 8 2_DataIX" xfId="34385" xr:uid="{00000000-0005-0000-0000-00009A720000}"/>
    <cellStyle name="Output 3 3 8 3" xfId="10839" xr:uid="{00000000-0005-0000-0000-00009B720000}"/>
    <cellStyle name="Output 3 3 8 4" xfId="26027" xr:uid="{00000000-0005-0000-0000-00009C720000}"/>
    <cellStyle name="Output 3 3 8 5" xfId="27300" xr:uid="{00000000-0005-0000-0000-00009D720000}"/>
    <cellStyle name="Output 3 3 8 6" xfId="23097" xr:uid="{00000000-0005-0000-0000-00009E720000}"/>
    <cellStyle name="Output 3 3 8_DataIX" xfId="34384" xr:uid="{00000000-0005-0000-0000-00009F720000}"/>
    <cellStyle name="Output 3 3 9" xfId="13431" xr:uid="{00000000-0005-0000-0000-0000A0720000}"/>
    <cellStyle name="Output 3 3 9 2" xfId="21367" xr:uid="{00000000-0005-0000-0000-0000A1720000}"/>
    <cellStyle name="Output 3 3 9 2 2" xfId="13068" xr:uid="{00000000-0005-0000-0000-0000A2720000}"/>
    <cellStyle name="Output 3 3 9 2_DataIX" xfId="34387" xr:uid="{00000000-0005-0000-0000-0000A3720000}"/>
    <cellStyle name="Output 3 3 9 3" xfId="22109" xr:uid="{00000000-0005-0000-0000-0000A4720000}"/>
    <cellStyle name="Output 3 3 9 4" xfId="26532" xr:uid="{00000000-0005-0000-0000-0000A5720000}"/>
    <cellStyle name="Output 3 3 9 5" xfId="27517" xr:uid="{00000000-0005-0000-0000-0000A6720000}"/>
    <cellStyle name="Output 3 3 9 6" xfId="22903" xr:uid="{00000000-0005-0000-0000-0000A7720000}"/>
    <cellStyle name="Output 3 3 9_DataIX" xfId="34386" xr:uid="{00000000-0005-0000-0000-0000A8720000}"/>
    <cellStyle name="Output 3 3_##Keskeiset" xfId="10345" xr:uid="{00000000-0005-0000-0000-0000A9720000}"/>
    <cellStyle name="Output 3 4" xfId="320" xr:uid="{00000000-0005-0000-0000-0000AA720000}"/>
    <cellStyle name="Output 3 4 10" xfId="13884" xr:uid="{00000000-0005-0000-0000-0000AB720000}"/>
    <cellStyle name="Output 3 4 10 2" xfId="12709" xr:uid="{00000000-0005-0000-0000-0000AC720000}"/>
    <cellStyle name="Output 3 4 10 3" xfId="25516" xr:uid="{00000000-0005-0000-0000-0000AD720000}"/>
    <cellStyle name="Output 3 4 10 4" xfId="27130" xr:uid="{00000000-0005-0000-0000-0000AE720000}"/>
    <cellStyle name="Output 3 4 10 5" xfId="27422" xr:uid="{00000000-0005-0000-0000-0000AF720000}"/>
    <cellStyle name="Output 3 4 10_DataIX" xfId="34388" xr:uid="{00000000-0005-0000-0000-0000B0720000}"/>
    <cellStyle name="Output 3 4 11" xfId="20277" xr:uid="{00000000-0005-0000-0000-0000B1720000}"/>
    <cellStyle name="Output 3 4 11 2" xfId="21410" xr:uid="{00000000-0005-0000-0000-0000B2720000}"/>
    <cellStyle name="Output 3 4 11 3" xfId="26319" xr:uid="{00000000-0005-0000-0000-0000B3720000}"/>
    <cellStyle name="Output 3 4 11 4" xfId="27425" xr:uid="{00000000-0005-0000-0000-0000B4720000}"/>
    <cellStyle name="Output 3 4 11 5" xfId="22908" xr:uid="{00000000-0005-0000-0000-0000B5720000}"/>
    <cellStyle name="Output 3 4 11_DataIX" xfId="34389" xr:uid="{00000000-0005-0000-0000-0000B6720000}"/>
    <cellStyle name="Output 3 4 12" xfId="10895" xr:uid="{00000000-0005-0000-0000-0000B7720000}"/>
    <cellStyle name="Output 3 4 13" xfId="13077" xr:uid="{00000000-0005-0000-0000-0000B8720000}"/>
    <cellStyle name="Output 3 4 14" xfId="22346" xr:uid="{00000000-0005-0000-0000-0000B9720000}"/>
    <cellStyle name="Output 3 4 15" xfId="22565" xr:uid="{00000000-0005-0000-0000-0000BA720000}"/>
    <cellStyle name="Output 3 4 16" xfId="22489" xr:uid="{00000000-0005-0000-0000-0000BB720000}"/>
    <cellStyle name="Output 3 4 17" xfId="22619" xr:uid="{00000000-0005-0000-0000-0000BC720000}"/>
    <cellStyle name="Output 3 4 18" xfId="23029" xr:uid="{00000000-0005-0000-0000-0000BD720000}"/>
    <cellStyle name="Output 3 4 19" xfId="27921" xr:uid="{00000000-0005-0000-0000-0000BE720000}"/>
    <cellStyle name="Output 3 4 2" xfId="5228" xr:uid="{00000000-0005-0000-0000-0000BF720000}"/>
    <cellStyle name="Output 3 4 2 2" xfId="10348" xr:uid="{00000000-0005-0000-0000-0000C0720000}"/>
    <cellStyle name="Output 3 4 2 3" xfId="18558" xr:uid="{00000000-0005-0000-0000-0000C1720000}"/>
    <cellStyle name="Output 3 4 2 3 2" xfId="11296" xr:uid="{00000000-0005-0000-0000-0000C2720000}"/>
    <cellStyle name="Output 3 4 2 3_DataIX" xfId="34391" xr:uid="{00000000-0005-0000-0000-0000C3720000}"/>
    <cellStyle name="Output 3 4 2 4" xfId="19041" xr:uid="{00000000-0005-0000-0000-0000C4720000}"/>
    <cellStyle name="Output 3 4 2 4 2" xfId="21407" xr:uid="{00000000-0005-0000-0000-0000C5720000}"/>
    <cellStyle name="Output 3 4 2 4_DataIX" xfId="34392" xr:uid="{00000000-0005-0000-0000-0000C6720000}"/>
    <cellStyle name="Output 3 4 2_DataIX" xfId="34390" xr:uid="{00000000-0005-0000-0000-0000C7720000}"/>
    <cellStyle name="Output 3 4 20" xfId="28023" xr:uid="{00000000-0005-0000-0000-0000C8720000}"/>
    <cellStyle name="Output 3 4 21" xfId="28099" xr:uid="{00000000-0005-0000-0000-0000C9720000}"/>
    <cellStyle name="Output 3 4 22" xfId="28152" xr:uid="{00000000-0005-0000-0000-0000CA720000}"/>
    <cellStyle name="Output 3 4 23" xfId="28177" xr:uid="{00000000-0005-0000-0000-0000CB720000}"/>
    <cellStyle name="Output 3 4 24" xfId="28253" xr:uid="{00000000-0005-0000-0000-0000CC720000}"/>
    <cellStyle name="Output 3 4 25" xfId="28390" xr:uid="{00000000-0005-0000-0000-0000CD720000}"/>
    <cellStyle name="Output 3 4 26" xfId="28475" xr:uid="{00000000-0005-0000-0000-0000CE720000}"/>
    <cellStyle name="Output 3 4 27" xfId="28336" xr:uid="{00000000-0005-0000-0000-0000CF720000}"/>
    <cellStyle name="Output 3 4 28" xfId="28779" xr:uid="{00000000-0005-0000-0000-0000D0720000}"/>
    <cellStyle name="Output 3 4 29" xfId="28644" xr:uid="{00000000-0005-0000-0000-0000D1720000}"/>
    <cellStyle name="Output 3 4 3" xfId="5364" xr:uid="{00000000-0005-0000-0000-0000D2720000}"/>
    <cellStyle name="Output 3 4 3 2" xfId="12789" xr:uid="{00000000-0005-0000-0000-0000D3720000}"/>
    <cellStyle name="Output 3 4 3 3" xfId="18688" xr:uid="{00000000-0005-0000-0000-0000D4720000}"/>
    <cellStyle name="Output 3 4 3 3 2" xfId="10810" xr:uid="{00000000-0005-0000-0000-0000D5720000}"/>
    <cellStyle name="Output 3 4 3 3_DataIX" xfId="34394" xr:uid="{00000000-0005-0000-0000-0000D6720000}"/>
    <cellStyle name="Output 3 4 3 4" xfId="20483" xr:uid="{00000000-0005-0000-0000-0000D7720000}"/>
    <cellStyle name="Output 3 4 3 4 2" xfId="22130" xr:uid="{00000000-0005-0000-0000-0000D8720000}"/>
    <cellStyle name="Output 3 4 3 4_DataIX" xfId="34395" xr:uid="{00000000-0005-0000-0000-0000D9720000}"/>
    <cellStyle name="Output 3 4 3_DataIX" xfId="34393" xr:uid="{00000000-0005-0000-0000-0000DA720000}"/>
    <cellStyle name="Output 3 4 30" xfId="28817" xr:uid="{00000000-0005-0000-0000-0000DB720000}"/>
    <cellStyle name="Output 3 4 31" xfId="28854" xr:uid="{00000000-0005-0000-0000-0000DC720000}"/>
    <cellStyle name="Output 3 4 32" xfId="29056" xr:uid="{00000000-0005-0000-0000-0000DD720000}"/>
    <cellStyle name="Output 3 4 33" xfId="29153" xr:uid="{00000000-0005-0000-0000-0000DE720000}"/>
    <cellStyle name="Output 3 4 4" xfId="13186" xr:uid="{00000000-0005-0000-0000-0000DF720000}"/>
    <cellStyle name="Output 3 4 4 2" xfId="20811" xr:uid="{00000000-0005-0000-0000-0000E0720000}"/>
    <cellStyle name="Output 3 4 4 2 2" xfId="20673" xr:uid="{00000000-0005-0000-0000-0000E1720000}"/>
    <cellStyle name="Output 3 4 4 2_DataIX" xfId="34397" xr:uid="{00000000-0005-0000-0000-0000E2720000}"/>
    <cellStyle name="Output 3 4 4 3" xfId="21184" xr:uid="{00000000-0005-0000-0000-0000E3720000}"/>
    <cellStyle name="Output 3 4 4 3 2" xfId="11339" xr:uid="{00000000-0005-0000-0000-0000E4720000}"/>
    <cellStyle name="Output 3 4 4 3_DataIX" xfId="34398" xr:uid="{00000000-0005-0000-0000-0000E5720000}"/>
    <cellStyle name="Output 3 4 4 4" xfId="10790" xr:uid="{00000000-0005-0000-0000-0000E6720000}"/>
    <cellStyle name="Output 3 4 4 5" xfId="25197" xr:uid="{00000000-0005-0000-0000-0000E7720000}"/>
    <cellStyle name="Output 3 4 4 6" xfId="26972" xr:uid="{00000000-0005-0000-0000-0000E8720000}"/>
    <cellStyle name="Output 3 4 4 7" xfId="22975" xr:uid="{00000000-0005-0000-0000-0000E9720000}"/>
    <cellStyle name="Output 3 4 4_DataIX" xfId="34396" xr:uid="{00000000-0005-0000-0000-0000EA720000}"/>
    <cellStyle name="Output 3 4 5" xfId="13228" xr:uid="{00000000-0005-0000-0000-0000EB720000}"/>
    <cellStyle name="Output 3 4 5 2" xfId="20838" xr:uid="{00000000-0005-0000-0000-0000EC720000}"/>
    <cellStyle name="Output 3 4 5 2 2" xfId="10864" xr:uid="{00000000-0005-0000-0000-0000ED720000}"/>
    <cellStyle name="Output 3 4 5 2_DataIX" xfId="34400" xr:uid="{00000000-0005-0000-0000-0000EE720000}"/>
    <cellStyle name="Output 3 4 5 3" xfId="21214" xr:uid="{00000000-0005-0000-0000-0000EF720000}"/>
    <cellStyle name="Output 3 4 5 3 2" xfId="21560" xr:uid="{00000000-0005-0000-0000-0000F0720000}"/>
    <cellStyle name="Output 3 4 5 3_DataIX" xfId="34401" xr:uid="{00000000-0005-0000-0000-0000F1720000}"/>
    <cellStyle name="Output 3 4 5 4" xfId="12970" xr:uid="{00000000-0005-0000-0000-0000F2720000}"/>
    <cellStyle name="Output 3 4 5 5" xfId="26125" xr:uid="{00000000-0005-0000-0000-0000F3720000}"/>
    <cellStyle name="Output 3 4 5 6" xfId="27348" xr:uid="{00000000-0005-0000-0000-0000F4720000}"/>
    <cellStyle name="Output 3 4 5 7" xfId="26890" xr:uid="{00000000-0005-0000-0000-0000F5720000}"/>
    <cellStyle name="Output 3 4 5_DataIX" xfId="34399" xr:uid="{00000000-0005-0000-0000-0000F6720000}"/>
    <cellStyle name="Output 3 4 6" xfId="13125" xr:uid="{00000000-0005-0000-0000-0000F7720000}"/>
    <cellStyle name="Output 3 4 6 2" xfId="21136" xr:uid="{00000000-0005-0000-0000-0000F8720000}"/>
    <cellStyle name="Output 3 4 6 2 2" xfId="13018" xr:uid="{00000000-0005-0000-0000-0000F9720000}"/>
    <cellStyle name="Output 3 4 6 2_DataIX" xfId="34403" xr:uid="{00000000-0005-0000-0000-0000FA720000}"/>
    <cellStyle name="Output 3 4 6 3" xfId="13549" xr:uid="{00000000-0005-0000-0000-0000FB720000}"/>
    <cellStyle name="Output 3 4 6 4" xfId="25772" xr:uid="{00000000-0005-0000-0000-0000FC720000}"/>
    <cellStyle name="Output 3 4 6 5" xfId="27218" xr:uid="{00000000-0005-0000-0000-0000FD720000}"/>
    <cellStyle name="Output 3 4 6 6" xfId="26774" xr:uid="{00000000-0005-0000-0000-0000FE720000}"/>
    <cellStyle name="Output 3 4 6_DataIX" xfId="34402" xr:uid="{00000000-0005-0000-0000-0000FF720000}"/>
    <cellStyle name="Output 3 4 7" xfId="10718" xr:uid="{00000000-0005-0000-0000-000000730000}"/>
    <cellStyle name="Output 3 4 7 2" xfId="21031" xr:uid="{00000000-0005-0000-0000-000001730000}"/>
    <cellStyle name="Output 3 4 7 2 2" xfId="22270" xr:uid="{00000000-0005-0000-0000-000002730000}"/>
    <cellStyle name="Output 3 4 7 2_DataIX" xfId="34405" xr:uid="{00000000-0005-0000-0000-000003730000}"/>
    <cellStyle name="Output 3 4 7 3" xfId="10838" xr:uid="{00000000-0005-0000-0000-000004730000}"/>
    <cellStyle name="Output 3 4 7 4" xfId="25274" xr:uid="{00000000-0005-0000-0000-000005730000}"/>
    <cellStyle name="Output 3 4 7 5" xfId="27026" xr:uid="{00000000-0005-0000-0000-000006730000}"/>
    <cellStyle name="Output 3 4 7 6" xfId="22829" xr:uid="{00000000-0005-0000-0000-000007730000}"/>
    <cellStyle name="Output 3 4 7_DataIX" xfId="34404" xr:uid="{00000000-0005-0000-0000-000008730000}"/>
    <cellStyle name="Output 3 4 8" xfId="12819" xr:uid="{00000000-0005-0000-0000-000009730000}"/>
    <cellStyle name="Output 3 4 8 2" xfId="21110" xr:uid="{00000000-0005-0000-0000-00000A730000}"/>
    <cellStyle name="Output 3 4 8 2 2" xfId="13013" xr:uid="{00000000-0005-0000-0000-00000B730000}"/>
    <cellStyle name="Output 3 4 8 2_DataIX" xfId="34407" xr:uid="{00000000-0005-0000-0000-00000C730000}"/>
    <cellStyle name="Output 3 4 8 3" xfId="22052" xr:uid="{00000000-0005-0000-0000-00000D730000}"/>
    <cellStyle name="Output 3 4 8 4" xfId="26072" xr:uid="{00000000-0005-0000-0000-00000E730000}"/>
    <cellStyle name="Output 3 4 8 5" xfId="27316" xr:uid="{00000000-0005-0000-0000-00000F730000}"/>
    <cellStyle name="Output 3 4 8 6" xfId="23058" xr:uid="{00000000-0005-0000-0000-000010730000}"/>
    <cellStyle name="Output 3 4 8_DataIX" xfId="34406" xr:uid="{00000000-0005-0000-0000-000011730000}"/>
    <cellStyle name="Output 3 4 9" xfId="13779" xr:uid="{00000000-0005-0000-0000-000012730000}"/>
    <cellStyle name="Output 3 4 9 2" xfId="21382" xr:uid="{00000000-0005-0000-0000-000013730000}"/>
    <cellStyle name="Output 3 4 9 2 2" xfId="22280" xr:uid="{00000000-0005-0000-0000-000014730000}"/>
    <cellStyle name="Output 3 4 9 2_DataIX" xfId="34409" xr:uid="{00000000-0005-0000-0000-000015730000}"/>
    <cellStyle name="Output 3 4 9 3" xfId="10841" xr:uid="{00000000-0005-0000-0000-000016730000}"/>
    <cellStyle name="Output 3 4 9 4" xfId="25976" xr:uid="{00000000-0005-0000-0000-000017730000}"/>
    <cellStyle name="Output 3 4 9 5" xfId="27285" xr:uid="{00000000-0005-0000-0000-000018730000}"/>
    <cellStyle name="Output 3 4 9 6" xfId="23052" xr:uid="{00000000-0005-0000-0000-000019730000}"/>
    <cellStyle name="Output 3 4 9_DataIX" xfId="34408" xr:uid="{00000000-0005-0000-0000-00001A730000}"/>
    <cellStyle name="Output 3 4_##Keskeiset" xfId="10347" xr:uid="{00000000-0005-0000-0000-00001B730000}"/>
    <cellStyle name="Output 3 5" xfId="5231" xr:uid="{00000000-0005-0000-0000-00001C730000}"/>
    <cellStyle name="Output 3 5 2" xfId="5662" xr:uid="{00000000-0005-0000-0000-00001D730000}"/>
    <cellStyle name="Output 3 5 2 2" xfId="12790" xr:uid="{00000000-0005-0000-0000-00001E730000}"/>
    <cellStyle name="Output 3 5 2 3" xfId="18876" xr:uid="{00000000-0005-0000-0000-00001F730000}"/>
    <cellStyle name="Output 3 5 2 3 2" xfId="12979" xr:uid="{00000000-0005-0000-0000-000020730000}"/>
    <cellStyle name="Output 3 5 2 3_DataIX" xfId="34412" xr:uid="{00000000-0005-0000-0000-000021730000}"/>
    <cellStyle name="Output 3 5 2 4" xfId="20438" xr:uid="{00000000-0005-0000-0000-000022730000}"/>
    <cellStyle name="Output 3 5 2 4 2" xfId="13436" xr:uid="{00000000-0005-0000-0000-000023730000}"/>
    <cellStyle name="Output 3 5 2 4_DataIX" xfId="34413" xr:uid="{00000000-0005-0000-0000-000024730000}"/>
    <cellStyle name="Output 3 5 2_DataIX" xfId="34411" xr:uid="{00000000-0005-0000-0000-000025730000}"/>
    <cellStyle name="Output 3 5 3" xfId="11130" xr:uid="{00000000-0005-0000-0000-000026730000}"/>
    <cellStyle name="Output 3 5 4" xfId="18561" xr:uid="{00000000-0005-0000-0000-000027730000}"/>
    <cellStyle name="Output 3 5 4 2" xfId="22027" xr:uid="{00000000-0005-0000-0000-000028730000}"/>
    <cellStyle name="Output 3 5 4_DataIX" xfId="34414" xr:uid="{00000000-0005-0000-0000-000029730000}"/>
    <cellStyle name="Output 3 5 5" xfId="20522" xr:uid="{00000000-0005-0000-0000-00002A730000}"/>
    <cellStyle name="Output 3 5 5 2" xfId="13710" xr:uid="{00000000-0005-0000-0000-00002B730000}"/>
    <cellStyle name="Output 3 5 5_DataIX" xfId="34415" xr:uid="{00000000-0005-0000-0000-00002C730000}"/>
    <cellStyle name="Output 3 5_DataIX" xfId="34410" xr:uid="{00000000-0005-0000-0000-00002D730000}"/>
    <cellStyle name="Output 3 6" xfId="5361" xr:uid="{00000000-0005-0000-0000-00002E730000}"/>
    <cellStyle name="Output 3 6 2" xfId="12791" xr:uid="{00000000-0005-0000-0000-00002F730000}"/>
    <cellStyle name="Output 3 6 3" xfId="18685" xr:uid="{00000000-0005-0000-0000-000030730000}"/>
    <cellStyle name="Output 3 6 3 2" xfId="22200" xr:uid="{00000000-0005-0000-0000-000031730000}"/>
    <cellStyle name="Output 3 6 3_DataIX" xfId="34417" xr:uid="{00000000-0005-0000-0000-000032730000}"/>
    <cellStyle name="Output 3 6 4" xfId="19002" xr:uid="{00000000-0005-0000-0000-000033730000}"/>
    <cellStyle name="Output 3 6 4 2" xfId="11237" xr:uid="{00000000-0005-0000-0000-000034730000}"/>
    <cellStyle name="Output 3 6 4_DataIX" xfId="34418" xr:uid="{00000000-0005-0000-0000-000035730000}"/>
    <cellStyle name="Output 3 6_DataIX" xfId="34416" xr:uid="{00000000-0005-0000-0000-000036730000}"/>
    <cellStyle name="Output 3 7" xfId="13111" xr:uid="{00000000-0005-0000-0000-000037730000}"/>
    <cellStyle name="Output 3 7 2" xfId="20762" xr:uid="{00000000-0005-0000-0000-000038730000}"/>
    <cellStyle name="Output 3 7 2 2" xfId="13550" xr:uid="{00000000-0005-0000-0000-000039730000}"/>
    <cellStyle name="Output 3 7 2_DataIX" xfId="34420" xr:uid="{00000000-0005-0000-0000-00003A730000}"/>
    <cellStyle name="Output 3 7 3" xfId="21124" xr:uid="{00000000-0005-0000-0000-00003B730000}"/>
    <cellStyle name="Output 3 7 3 2" xfId="21872" xr:uid="{00000000-0005-0000-0000-00003C730000}"/>
    <cellStyle name="Output 3 7 3_DataIX" xfId="34421" xr:uid="{00000000-0005-0000-0000-00003D730000}"/>
    <cellStyle name="Output 3 7 4" xfId="10829" xr:uid="{00000000-0005-0000-0000-00003E730000}"/>
    <cellStyle name="Output 3 7 5" xfId="25194" xr:uid="{00000000-0005-0000-0000-00003F730000}"/>
    <cellStyle name="Output 3 7 6" xfId="26969" xr:uid="{00000000-0005-0000-0000-000040730000}"/>
    <cellStyle name="Output 3 7 7" xfId="22789" xr:uid="{00000000-0005-0000-0000-000041730000}"/>
    <cellStyle name="Output 3 7_DataIX" xfId="34419" xr:uid="{00000000-0005-0000-0000-000042730000}"/>
    <cellStyle name="Output 3 8" xfId="13139" xr:uid="{00000000-0005-0000-0000-000043730000}"/>
    <cellStyle name="Output 3 8 2" xfId="20779" xr:uid="{00000000-0005-0000-0000-000044730000}"/>
    <cellStyle name="Output 3 8 2 2" xfId="21536" xr:uid="{00000000-0005-0000-0000-000045730000}"/>
    <cellStyle name="Output 3 8 2_DataIX" xfId="34423" xr:uid="{00000000-0005-0000-0000-000046730000}"/>
    <cellStyle name="Output 3 8 3" xfId="21144" xr:uid="{00000000-0005-0000-0000-000047730000}"/>
    <cellStyle name="Output 3 8 3 2" xfId="22065" xr:uid="{00000000-0005-0000-0000-000048730000}"/>
    <cellStyle name="Output 3 8 3_DataIX" xfId="34424" xr:uid="{00000000-0005-0000-0000-000049730000}"/>
    <cellStyle name="Output 3 8 4" xfId="22014" xr:uid="{00000000-0005-0000-0000-00004A730000}"/>
    <cellStyle name="Output 3 8 5" xfId="26471" xr:uid="{00000000-0005-0000-0000-00004B730000}"/>
    <cellStyle name="Output 3 8 6" xfId="27494" xr:uid="{00000000-0005-0000-0000-00004C730000}"/>
    <cellStyle name="Output 3 8 7" xfId="22940" xr:uid="{00000000-0005-0000-0000-00004D730000}"/>
    <cellStyle name="Output 3 8_DataIX" xfId="34422" xr:uid="{00000000-0005-0000-0000-00004E730000}"/>
    <cellStyle name="Output 3 9" xfId="13234" xr:uid="{00000000-0005-0000-0000-00004F730000}"/>
    <cellStyle name="Output 3 9 2" xfId="21220" xr:uid="{00000000-0005-0000-0000-000050730000}"/>
    <cellStyle name="Output 3 9 2 2" xfId="13483" xr:uid="{00000000-0005-0000-0000-000051730000}"/>
    <cellStyle name="Output 3 9 2_DataIX" xfId="34426" xr:uid="{00000000-0005-0000-0000-000052730000}"/>
    <cellStyle name="Output 3 9 3" xfId="20700" xr:uid="{00000000-0005-0000-0000-000053730000}"/>
    <cellStyle name="Output 3 9 4" xfId="26299" xr:uid="{00000000-0005-0000-0000-000054730000}"/>
    <cellStyle name="Output 3 9 5" xfId="27411" xr:uid="{00000000-0005-0000-0000-000055730000}"/>
    <cellStyle name="Output 3 9 6" xfId="23061" xr:uid="{00000000-0005-0000-0000-000056730000}"/>
    <cellStyle name="Output 3 9_DataIX" xfId="34425" xr:uid="{00000000-0005-0000-0000-000057730000}"/>
    <cellStyle name="Output 3_##Keskeiset" xfId="10343" xr:uid="{00000000-0005-0000-0000-000058730000}"/>
    <cellStyle name="Output 4" xfId="259" xr:uid="{00000000-0005-0000-0000-000059730000}"/>
    <cellStyle name="Output 4 10" xfId="13753" xr:uid="{00000000-0005-0000-0000-00005A730000}"/>
    <cellStyle name="Output 4 10 2" xfId="21377" xr:uid="{00000000-0005-0000-0000-00005B730000}"/>
    <cellStyle name="Output 4 10 2 2" xfId="20616" xr:uid="{00000000-0005-0000-0000-00005C730000}"/>
    <cellStyle name="Output 4 10 2_DataIX" xfId="34428" xr:uid="{00000000-0005-0000-0000-00005D730000}"/>
    <cellStyle name="Output 4 10 3" xfId="21547" xr:uid="{00000000-0005-0000-0000-00005E730000}"/>
    <cellStyle name="Output 4 10 4" xfId="25309" xr:uid="{00000000-0005-0000-0000-00005F730000}"/>
    <cellStyle name="Output 4 10 5" xfId="27043" xr:uid="{00000000-0005-0000-0000-000060730000}"/>
    <cellStyle name="Output 4 10 6" xfId="22858" xr:uid="{00000000-0005-0000-0000-000061730000}"/>
    <cellStyle name="Output 4 10_DataIX" xfId="34427" xr:uid="{00000000-0005-0000-0000-000062730000}"/>
    <cellStyle name="Output 4 11" xfId="13833" xr:uid="{00000000-0005-0000-0000-000063730000}"/>
    <cellStyle name="Output 4 11 2" xfId="21392" xr:uid="{00000000-0005-0000-0000-000064730000}"/>
    <cellStyle name="Output 4 11 3" xfId="25867" xr:uid="{00000000-0005-0000-0000-000065730000}"/>
    <cellStyle name="Output 4 11 4" xfId="27251" xr:uid="{00000000-0005-0000-0000-000066730000}"/>
    <cellStyle name="Output 4 11 5" xfId="27605" xr:uid="{00000000-0005-0000-0000-000067730000}"/>
    <cellStyle name="Output 4 11_DataIX" xfId="34429" xr:uid="{00000000-0005-0000-0000-000068730000}"/>
    <cellStyle name="Output 4 12" xfId="20772" xr:uid="{00000000-0005-0000-0000-000069730000}"/>
    <cellStyle name="Output 4 12 2" xfId="11221" xr:uid="{00000000-0005-0000-0000-00006A730000}"/>
    <cellStyle name="Output 4 12_DataIX" xfId="34430" xr:uid="{00000000-0005-0000-0000-00006B730000}"/>
    <cellStyle name="Output 4 13" xfId="11304" xr:uid="{00000000-0005-0000-0000-00006C730000}"/>
    <cellStyle name="Output 4 14" xfId="22347" xr:uid="{00000000-0005-0000-0000-00006D730000}"/>
    <cellStyle name="Output 4 15" xfId="22564" xr:uid="{00000000-0005-0000-0000-00006E730000}"/>
    <cellStyle name="Output 4 16" xfId="22614" xr:uid="{00000000-0005-0000-0000-00006F730000}"/>
    <cellStyle name="Output 4 17" xfId="22452" xr:uid="{00000000-0005-0000-0000-000070730000}"/>
    <cellStyle name="Output 4 18" xfId="27286" xr:uid="{00000000-0005-0000-0000-000071730000}"/>
    <cellStyle name="Output 4 19" xfId="27922" xr:uid="{00000000-0005-0000-0000-000072730000}"/>
    <cellStyle name="Output 4 2" xfId="313" xr:uid="{00000000-0005-0000-0000-000073730000}"/>
    <cellStyle name="Output 4 2 10" xfId="13877" xr:uid="{00000000-0005-0000-0000-000074730000}"/>
    <cellStyle name="Output 4 2 10 2" xfId="13415" xr:uid="{00000000-0005-0000-0000-000075730000}"/>
    <cellStyle name="Output 4 2 10 3" xfId="25305" xr:uid="{00000000-0005-0000-0000-000076730000}"/>
    <cellStyle name="Output 4 2 10 4" xfId="27041" xr:uid="{00000000-0005-0000-0000-000077730000}"/>
    <cellStyle name="Output 4 2 10 5" xfId="22756" xr:uid="{00000000-0005-0000-0000-000078730000}"/>
    <cellStyle name="Output 4 2 10_DataIX" xfId="34431" xr:uid="{00000000-0005-0000-0000-000079730000}"/>
    <cellStyle name="Output 4 2 11" xfId="20282" xr:uid="{00000000-0005-0000-0000-00007A730000}"/>
    <cellStyle name="Output 4 2 11 2" xfId="11111" xr:uid="{00000000-0005-0000-0000-00007B730000}"/>
    <cellStyle name="Output 4 2 11 3" xfId="25823" xr:uid="{00000000-0005-0000-0000-00007C730000}"/>
    <cellStyle name="Output 4 2 11 4" xfId="27236" xr:uid="{00000000-0005-0000-0000-00007D730000}"/>
    <cellStyle name="Output 4 2 11 5" xfId="22821" xr:uid="{00000000-0005-0000-0000-00007E730000}"/>
    <cellStyle name="Output 4 2 11_DataIX" xfId="34432" xr:uid="{00000000-0005-0000-0000-00007F730000}"/>
    <cellStyle name="Output 4 2 12" xfId="12741" xr:uid="{00000000-0005-0000-0000-000080730000}"/>
    <cellStyle name="Output 4 2 13" xfId="21572" xr:uid="{00000000-0005-0000-0000-000081730000}"/>
    <cellStyle name="Output 4 2 14" xfId="22348" xr:uid="{00000000-0005-0000-0000-000082730000}"/>
    <cellStyle name="Output 4 2 15" xfId="22281" xr:uid="{00000000-0005-0000-0000-000083730000}"/>
    <cellStyle name="Output 4 2 16" xfId="22487" xr:uid="{00000000-0005-0000-0000-000084730000}"/>
    <cellStyle name="Output 4 2 17" xfId="22404" xr:uid="{00000000-0005-0000-0000-000085730000}"/>
    <cellStyle name="Output 4 2 18" xfId="26809" xr:uid="{00000000-0005-0000-0000-000086730000}"/>
    <cellStyle name="Output 4 2 19" xfId="27923" xr:uid="{00000000-0005-0000-0000-000087730000}"/>
    <cellStyle name="Output 4 2 2" xfId="5226" xr:uid="{00000000-0005-0000-0000-000088730000}"/>
    <cellStyle name="Output 4 2 2 2" xfId="10351" xr:uid="{00000000-0005-0000-0000-000089730000}"/>
    <cellStyle name="Output 4 2 2 3" xfId="18556" xr:uid="{00000000-0005-0000-0000-00008A730000}"/>
    <cellStyle name="Output 4 2 2 3 2" xfId="11328" xr:uid="{00000000-0005-0000-0000-00008B730000}"/>
    <cellStyle name="Output 4 2 2 3_DataIX" xfId="34434" xr:uid="{00000000-0005-0000-0000-00008C730000}"/>
    <cellStyle name="Output 4 2 2 4" xfId="19046" xr:uid="{00000000-0005-0000-0000-00008D730000}"/>
    <cellStyle name="Output 4 2 2 4 2" xfId="12607" xr:uid="{00000000-0005-0000-0000-00008E730000}"/>
    <cellStyle name="Output 4 2 2 4_DataIX" xfId="34435" xr:uid="{00000000-0005-0000-0000-00008F730000}"/>
    <cellStyle name="Output 4 2 2_DataIX" xfId="34433" xr:uid="{00000000-0005-0000-0000-000090730000}"/>
    <cellStyle name="Output 4 2 20" xfId="28021" xr:uid="{00000000-0005-0000-0000-000091730000}"/>
    <cellStyle name="Output 4 2 21" xfId="28097" xr:uid="{00000000-0005-0000-0000-000092730000}"/>
    <cellStyle name="Output 4 2 22" xfId="28154" xr:uid="{00000000-0005-0000-0000-000093730000}"/>
    <cellStyle name="Output 4 2 23" xfId="28175" xr:uid="{00000000-0005-0000-0000-000094730000}"/>
    <cellStyle name="Output 4 2 24" xfId="28255" xr:uid="{00000000-0005-0000-0000-000095730000}"/>
    <cellStyle name="Output 4 2 25" xfId="28388" xr:uid="{00000000-0005-0000-0000-000096730000}"/>
    <cellStyle name="Output 4 2 26" xfId="28473" xr:uid="{00000000-0005-0000-0000-000097730000}"/>
    <cellStyle name="Output 4 2 27" xfId="28335" xr:uid="{00000000-0005-0000-0000-000098730000}"/>
    <cellStyle name="Output 4 2 28" xfId="28777" xr:uid="{00000000-0005-0000-0000-000099730000}"/>
    <cellStyle name="Output 4 2 29" xfId="28734" xr:uid="{00000000-0005-0000-0000-00009A730000}"/>
    <cellStyle name="Output 4 2 3" xfId="5366" xr:uid="{00000000-0005-0000-0000-00009B730000}"/>
    <cellStyle name="Output 4 2 3 2" xfId="12792" xr:uid="{00000000-0005-0000-0000-00009C730000}"/>
    <cellStyle name="Output 4 2 3 3" xfId="18690" xr:uid="{00000000-0005-0000-0000-00009D730000}"/>
    <cellStyle name="Output 4 2 3 3 2" xfId="21939" xr:uid="{00000000-0005-0000-0000-00009E730000}"/>
    <cellStyle name="Output 4 2 3 3_DataIX" xfId="34437" xr:uid="{00000000-0005-0000-0000-00009F730000}"/>
    <cellStyle name="Output 4 2 3 4" xfId="20478" xr:uid="{00000000-0005-0000-0000-0000A0730000}"/>
    <cellStyle name="Output 4 2 3 4 2" xfId="11165" xr:uid="{00000000-0005-0000-0000-0000A1730000}"/>
    <cellStyle name="Output 4 2 3 4_DataIX" xfId="34438" xr:uid="{00000000-0005-0000-0000-0000A2730000}"/>
    <cellStyle name="Output 4 2 3_DataIX" xfId="34436" xr:uid="{00000000-0005-0000-0000-0000A3730000}"/>
    <cellStyle name="Output 4 2 30" xfId="28696" xr:uid="{00000000-0005-0000-0000-0000A4730000}"/>
    <cellStyle name="Output 4 2 31" xfId="28853" xr:uid="{00000000-0005-0000-0000-0000A5730000}"/>
    <cellStyle name="Output 4 2 32" xfId="29058" xr:uid="{00000000-0005-0000-0000-0000A6730000}"/>
    <cellStyle name="Output 4 2 33" xfId="29151" xr:uid="{00000000-0005-0000-0000-0000A7730000}"/>
    <cellStyle name="Output 4 2 4" xfId="13293" xr:uid="{00000000-0005-0000-0000-0000A8730000}"/>
    <cellStyle name="Output 4 2 4 2" xfId="20882" xr:uid="{00000000-0005-0000-0000-0000A9730000}"/>
    <cellStyle name="Output 4 2 4 2 2" xfId="13048" xr:uid="{00000000-0005-0000-0000-0000AA730000}"/>
    <cellStyle name="Output 4 2 4 2_DataIX" xfId="34440" xr:uid="{00000000-0005-0000-0000-0000AB730000}"/>
    <cellStyle name="Output 4 2 4 3" xfId="21270" xr:uid="{00000000-0005-0000-0000-0000AC730000}"/>
    <cellStyle name="Output 4 2 4 3 2" xfId="21920" xr:uid="{00000000-0005-0000-0000-0000AD730000}"/>
    <cellStyle name="Output 4 2 4 3_DataIX" xfId="34441" xr:uid="{00000000-0005-0000-0000-0000AE730000}"/>
    <cellStyle name="Output 4 2 4 4" xfId="10914" xr:uid="{00000000-0005-0000-0000-0000AF730000}"/>
    <cellStyle name="Output 4 2 4 5" xfId="25199" xr:uid="{00000000-0005-0000-0000-0000B0730000}"/>
    <cellStyle name="Output 4 2 4 6" xfId="26974" xr:uid="{00000000-0005-0000-0000-0000B1730000}"/>
    <cellStyle name="Output 4 2 4 7" xfId="23075" xr:uid="{00000000-0005-0000-0000-0000B2730000}"/>
    <cellStyle name="Output 4 2 4_DataIX" xfId="34439" xr:uid="{00000000-0005-0000-0000-0000B3730000}"/>
    <cellStyle name="Output 4 2 5" xfId="13203" xr:uid="{00000000-0005-0000-0000-0000B4730000}"/>
    <cellStyle name="Output 4 2 5 2" xfId="20822" xr:uid="{00000000-0005-0000-0000-0000B5730000}"/>
    <cellStyle name="Output 4 2 5 2 2" xfId="21806" xr:uid="{00000000-0005-0000-0000-0000B6730000}"/>
    <cellStyle name="Output 4 2 5 2_DataIX" xfId="34443" xr:uid="{00000000-0005-0000-0000-0000B7730000}"/>
    <cellStyle name="Output 4 2 5 3" xfId="21192" xr:uid="{00000000-0005-0000-0000-0000B8730000}"/>
    <cellStyle name="Output 4 2 5 3 2" xfId="13512" xr:uid="{00000000-0005-0000-0000-0000B9730000}"/>
    <cellStyle name="Output 4 2 5 3_DataIX" xfId="34444" xr:uid="{00000000-0005-0000-0000-0000BA730000}"/>
    <cellStyle name="Output 4 2 5 4" xfId="21507" xr:uid="{00000000-0005-0000-0000-0000BB730000}"/>
    <cellStyle name="Output 4 2 5 5" xfId="26470" xr:uid="{00000000-0005-0000-0000-0000BC730000}"/>
    <cellStyle name="Output 4 2 5 6" xfId="27493" xr:uid="{00000000-0005-0000-0000-0000BD730000}"/>
    <cellStyle name="Output 4 2 5 7" xfId="23088" xr:uid="{00000000-0005-0000-0000-0000BE730000}"/>
    <cellStyle name="Output 4 2 5_DataIX" xfId="34442" xr:uid="{00000000-0005-0000-0000-0000BF730000}"/>
    <cellStyle name="Output 4 2 6" xfId="13370" xr:uid="{00000000-0005-0000-0000-0000C0730000}"/>
    <cellStyle name="Output 4 2 6 2" xfId="21327" xr:uid="{00000000-0005-0000-0000-0000C1730000}"/>
    <cellStyle name="Output 4 2 6 2 2" xfId="21672" xr:uid="{00000000-0005-0000-0000-0000C2730000}"/>
    <cellStyle name="Output 4 2 6 2_DataIX" xfId="34446" xr:uid="{00000000-0005-0000-0000-0000C3730000}"/>
    <cellStyle name="Output 4 2 6 3" xfId="10714" xr:uid="{00000000-0005-0000-0000-0000C4730000}"/>
    <cellStyle name="Output 4 2 6 4" xfId="26572" xr:uid="{00000000-0005-0000-0000-0000C5730000}"/>
    <cellStyle name="Output 4 2 6 5" xfId="27535" xr:uid="{00000000-0005-0000-0000-0000C6730000}"/>
    <cellStyle name="Output 4 2 6 6" xfId="27443" xr:uid="{00000000-0005-0000-0000-0000C7730000}"/>
    <cellStyle name="Output 4 2 6_DataIX" xfId="34445" xr:uid="{00000000-0005-0000-0000-0000C8730000}"/>
    <cellStyle name="Output 4 2 7" xfId="10720" xr:uid="{00000000-0005-0000-0000-0000C9730000}"/>
    <cellStyle name="Output 4 2 7 2" xfId="21033" xr:uid="{00000000-0005-0000-0000-0000CA730000}"/>
    <cellStyle name="Output 4 2 7 2 2" xfId="21998" xr:uid="{00000000-0005-0000-0000-0000CB730000}"/>
    <cellStyle name="Output 4 2 7 2_DataIX" xfId="34448" xr:uid="{00000000-0005-0000-0000-0000CC730000}"/>
    <cellStyle name="Output 4 2 7 3" xfId="13714" xr:uid="{00000000-0005-0000-0000-0000CD730000}"/>
    <cellStyle name="Output 4 2 7 4" xfId="26056" xr:uid="{00000000-0005-0000-0000-0000CE730000}"/>
    <cellStyle name="Output 4 2 7 5" xfId="27309" xr:uid="{00000000-0005-0000-0000-0000CF730000}"/>
    <cellStyle name="Output 4 2 7 6" xfId="27188" xr:uid="{00000000-0005-0000-0000-0000D0730000}"/>
    <cellStyle name="Output 4 2 7_DataIX" xfId="34447" xr:uid="{00000000-0005-0000-0000-0000D1730000}"/>
    <cellStyle name="Output 4 2 8" xfId="12818" xr:uid="{00000000-0005-0000-0000-0000D2730000}"/>
    <cellStyle name="Output 4 2 8 2" xfId="21109" xr:uid="{00000000-0005-0000-0000-0000D3730000}"/>
    <cellStyle name="Output 4 2 8 2 2" xfId="21542" xr:uid="{00000000-0005-0000-0000-0000D4730000}"/>
    <cellStyle name="Output 4 2 8 2_DataIX" xfId="34450" xr:uid="{00000000-0005-0000-0000-0000D5730000}"/>
    <cellStyle name="Output 4 2 8 3" xfId="21742" xr:uid="{00000000-0005-0000-0000-0000D6730000}"/>
    <cellStyle name="Output 4 2 8 4" xfId="26665" xr:uid="{00000000-0005-0000-0000-0000D7730000}"/>
    <cellStyle name="Output 4 2 8 5" xfId="27575" xr:uid="{00000000-0005-0000-0000-0000D8730000}"/>
    <cellStyle name="Output 4 2 8 6" xfId="22788" xr:uid="{00000000-0005-0000-0000-0000D9730000}"/>
    <cellStyle name="Output 4 2 8_DataIX" xfId="34449" xr:uid="{00000000-0005-0000-0000-0000DA730000}"/>
    <cellStyle name="Output 4 2 9" xfId="13765" xr:uid="{00000000-0005-0000-0000-0000DB730000}"/>
    <cellStyle name="Output 4 2 9 2" xfId="21379" xr:uid="{00000000-0005-0000-0000-0000DC730000}"/>
    <cellStyle name="Output 4 2 9 2 2" xfId="22277" xr:uid="{00000000-0005-0000-0000-0000DD730000}"/>
    <cellStyle name="Output 4 2 9 2_DataIX" xfId="34452" xr:uid="{00000000-0005-0000-0000-0000DE730000}"/>
    <cellStyle name="Output 4 2 9 3" xfId="10966" xr:uid="{00000000-0005-0000-0000-0000DF730000}"/>
    <cellStyle name="Output 4 2 9 4" xfId="25323" xr:uid="{00000000-0005-0000-0000-0000E0730000}"/>
    <cellStyle name="Output 4 2 9 5" xfId="27050" xr:uid="{00000000-0005-0000-0000-0000E1730000}"/>
    <cellStyle name="Output 4 2 9 6" xfId="26819" xr:uid="{00000000-0005-0000-0000-0000E2730000}"/>
    <cellStyle name="Output 4 2 9_DataIX" xfId="34451" xr:uid="{00000000-0005-0000-0000-0000E3730000}"/>
    <cellStyle name="Output 4 2_##Keskeiset" xfId="10350" xr:uid="{00000000-0005-0000-0000-0000E4730000}"/>
    <cellStyle name="Output 4 20" xfId="28022" xr:uid="{00000000-0005-0000-0000-0000E5730000}"/>
    <cellStyle name="Output 4 21" xfId="28098" xr:uid="{00000000-0005-0000-0000-0000E6730000}"/>
    <cellStyle name="Output 4 22" xfId="28153" xr:uid="{00000000-0005-0000-0000-0000E7730000}"/>
    <cellStyle name="Output 4 23" xfId="28176" xr:uid="{00000000-0005-0000-0000-0000E8730000}"/>
    <cellStyle name="Output 4 24" xfId="28254" xr:uid="{00000000-0005-0000-0000-0000E9730000}"/>
    <cellStyle name="Output 4 25" xfId="28389" xr:uid="{00000000-0005-0000-0000-0000EA730000}"/>
    <cellStyle name="Output 4 26" xfId="28474" xr:uid="{00000000-0005-0000-0000-0000EB730000}"/>
    <cellStyle name="Output 4 27" xfId="28445" xr:uid="{00000000-0005-0000-0000-0000EC730000}"/>
    <cellStyle name="Output 4 28" xfId="28778" xr:uid="{00000000-0005-0000-0000-0000ED730000}"/>
    <cellStyle name="Output 4 29" xfId="28925" xr:uid="{00000000-0005-0000-0000-0000EE730000}"/>
    <cellStyle name="Output 4 3" xfId="5227" xr:uid="{00000000-0005-0000-0000-0000EF730000}"/>
    <cellStyle name="Output 4 3 2" xfId="5663" xr:uid="{00000000-0005-0000-0000-0000F0730000}"/>
    <cellStyle name="Output 4 3 2 2" xfId="12793" xr:uid="{00000000-0005-0000-0000-0000F1730000}"/>
    <cellStyle name="Output 4 3 2 3" xfId="18877" xr:uid="{00000000-0005-0000-0000-0000F2730000}"/>
    <cellStyle name="Output 4 3 2 3 2" xfId="21845" xr:uid="{00000000-0005-0000-0000-0000F3730000}"/>
    <cellStyle name="Output 4 3 2 3_DataIX" xfId="34455" xr:uid="{00000000-0005-0000-0000-0000F4730000}"/>
    <cellStyle name="Output 4 3 2 4" xfId="18957" xr:uid="{00000000-0005-0000-0000-0000F5730000}"/>
    <cellStyle name="Output 4 3 2 4 2" xfId="13529" xr:uid="{00000000-0005-0000-0000-0000F6730000}"/>
    <cellStyle name="Output 4 3 2 4_DataIX" xfId="34456" xr:uid="{00000000-0005-0000-0000-0000F7730000}"/>
    <cellStyle name="Output 4 3 2_DataIX" xfId="34454" xr:uid="{00000000-0005-0000-0000-0000F8730000}"/>
    <cellStyle name="Output 4 3 3" xfId="11131" xr:uid="{00000000-0005-0000-0000-0000F9730000}"/>
    <cellStyle name="Output 4 3 4" xfId="18557" xr:uid="{00000000-0005-0000-0000-0000FA730000}"/>
    <cellStyle name="Output 4 3 4 2" xfId="18787" xr:uid="{00000000-0005-0000-0000-0000FB730000}"/>
    <cellStyle name="Output 4 3 4_DataIX" xfId="34457" xr:uid="{00000000-0005-0000-0000-0000FC730000}"/>
    <cellStyle name="Output 4 3 5" xfId="20521" xr:uid="{00000000-0005-0000-0000-0000FD730000}"/>
    <cellStyle name="Output 4 3 5 2" xfId="21525" xr:uid="{00000000-0005-0000-0000-0000FE730000}"/>
    <cellStyle name="Output 4 3 5_DataIX" xfId="34458" xr:uid="{00000000-0005-0000-0000-0000FF730000}"/>
    <cellStyle name="Output 4 3_DataIX" xfId="34453" xr:uid="{00000000-0005-0000-0000-000000740000}"/>
    <cellStyle name="Output 4 30" xfId="28697" xr:uid="{00000000-0005-0000-0000-000001740000}"/>
    <cellStyle name="Output 4 31" xfId="28665" xr:uid="{00000000-0005-0000-0000-000002740000}"/>
    <cellStyle name="Output 4 32" xfId="29057" xr:uid="{00000000-0005-0000-0000-000003740000}"/>
    <cellStyle name="Output 4 33" xfId="29152" xr:uid="{00000000-0005-0000-0000-000004740000}"/>
    <cellStyle name="Output 4 4" xfId="5365" xr:uid="{00000000-0005-0000-0000-000005740000}"/>
    <cellStyle name="Output 4 4 2" xfId="12794" xr:uid="{00000000-0005-0000-0000-000006740000}"/>
    <cellStyle name="Output 4 4 3" xfId="18689" xr:uid="{00000000-0005-0000-0000-000007740000}"/>
    <cellStyle name="Output 4 4 3 2" xfId="21400" xr:uid="{00000000-0005-0000-0000-000008740000}"/>
    <cellStyle name="Output 4 4 3_DataIX" xfId="34460" xr:uid="{00000000-0005-0000-0000-000009740000}"/>
    <cellStyle name="Output 4 4 4" xfId="19001" xr:uid="{00000000-0005-0000-0000-00000A740000}"/>
    <cellStyle name="Output 4 4 4 2" xfId="21938" xr:uid="{00000000-0005-0000-0000-00000B740000}"/>
    <cellStyle name="Output 4 4 4_DataIX" xfId="34461" xr:uid="{00000000-0005-0000-0000-00000C740000}"/>
    <cellStyle name="Output 4 4_DataIX" xfId="34459" xr:uid="{00000000-0005-0000-0000-00000D740000}"/>
    <cellStyle name="Output 4 5" xfId="13294" xr:uid="{00000000-0005-0000-0000-00000E740000}"/>
    <cellStyle name="Output 4 5 2" xfId="20883" xr:uid="{00000000-0005-0000-0000-00000F740000}"/>
    <cellStyle name="Output 4 5 2 2" xfId="21428" xr:uid="{00000000-0005-0000-0000-000010740000}"/>
    <cellStyle name="Output 4 5 2_DataIX" xfId="34463" xr:uid="{00000000-0005-0000-0000-000011740000}"/>
    <cellStyle name="Output 4 5 3" xfId="21271" xr:uid="{00000000-0005-0000-0000-000012740000}"/>
    <cellStyle name="Output 4 5 3 2" xfId="22243" xr:uid="{00000000-0005-0000-0000-000013740000}"/>
    <cellStyle name="Output 4 5 3_DataIX" xfId="34464" xr:uid="{00000000-0005-0000-0000-000014740000}"/>
    <cellStyle name="Output 4 5 4" xfId="12757" xr:uid="{00000000-0005-0000-0000-000015740000}"/>
    <cellStyle name="Output 4 5 5" xfId="25198" xr:uid="{00000000-0005-0000-0000-000016740000}"/>
    <cellStyle name="Output 4 5 6" xfId="26973" xr:uid="{00000000-0005-0000-0000-000017740000}"/>
    <cellStyle name="Output 4 5 7" xfId="27617" xr:uid="{00000000-0005-0000-0000-000018740000}"/>
    <cellStyle name="Output 4 5_DataIX" xfId="34462" xr:uid="{00000000-0005-0000-0000-000019740000}"/>
    <cellStyle name="Output 4 6" xfId="13350" xr:uid="{00000000-0005-0000-0000-00001A740000}"/>
    <cellStyle name="Output 4 6 2" xfId="20922" xr:uid="{00000000-0005-0000-0000-00001B740000}"/>
    <cellStyle name="Output 4 6 2 2" xfId="22223" xr:uid="{00000000-0005-0000-0000-00001C740000}"/>
    <cellStyle name="Output 4 6 2_DataIX" xfId="34466" xr:uid="{00000000-0005-0000-0000-00001D740000}"/>
    <cellStyle name="Output 4 6 3" xfId="21310" xr:uid="{00000000-0005-0000-0000-00001E740000}"/>
    <cellStyle name="Output 4 6 3 2" xfId="21691" xr:uid="{00000000-0005-0000-0000-00001F740000}"/>
    <cellStyle name="Output 4 6 3_DataIX" xfId="34467" xr:uid="{00000000-0005-0000-0000-000020740000}"/>
    <cellStyle name="Output 4 6 4" xfId="21391" xr:uid="{00000000-0005-0000-0000-000021740000}"/>
    <cellStyle name="Output 4 6 5" xfId="26124" xr:uid="{00000000-0005-0000-0000-000022740000}"/>
    <cellStyle name="Output 4 6 6" xfId="27347" xr:uid="{00000000-0005-0000-0000-000023740000}"/>
    <cellStyle name="Output 4 6 7" xfId="22863" xr:uid="{00000000-0005-0000-0000-000024740000}"/>
    <cellStyle name="Output 4 6_DataIX" xfId="34465" xr:uid="{00000000-0005-0000-0000-000025740000}"/>
    <cellStyle name="Output 4 7" xfId="13312" xr:uid="{00000000-0005-0000-0000-000026740000}"/>
    <cellStyle name="Output 4 7 2" xfId="21286" xr:uid="{00000000-0005-0000-0000-000027740000}"/>
    <cellStyle name="Output 4 7 2 2" xfId="13482" xr:uid="{00000000-0005-0000-0000-000028740000}"/>
    <cellStyle name="Output 4 7 2_DataIX" xfId="34469" xr:uid="{00000000-0005-0000-0000-000029740000}"/>
    <cellStyle name="Output 4 7 3" xfId="22018" xr:uid="{00000000-0005-0000-0000-00002A740000}"/>
    <cellStyle name="Output 4 7 4" xfId="26300" xr:uid="{00000000-0005-0000-0000-00002B740000}"/>
    <cellStyle name="Output 4 7 5" xfId="27412" xr:uid="{00000000-0005-0000-0000-00002C740000}"/>
    <cellStyle name="Output 4 7 6" xfId="22812" xr:uid="{00000000-0005-0000-0000-00002D740000}"/>
    <cellStyle name="Output 4 7_DataIX" xfId="34468" xr:uid="{00000000-0005-0000-0000-00002E740000}"/>
    <cellStyle name="Output 4 8" xfId="10719" xr:uid="{00000000-0005-0000-0000-00002F740000}"/>
    <cellStyle name="Output 4 8 2" xfId="21032" xr:uid="{00000000-0005-0000-0000-000030740000}"/>
    <cellStyle name="Output 4 8 2 2" xfId="13530" xr:uid="{00000000-0005-0000-0000-000031740000}"/>
    <cellStyle name="Output 4 8 2_DataIX" xfId="34471" xr:uid="{00000000-0005-0000-0000-000032740000}"/>
    <cellStyle name="Output 4 8 3" xfId="13439" xr:uid="{00000000-0005-0000-0000-000033740000}"/>
    <cellStyle name="Output 4 8 4" xfId="26261" xr:uid="{00000000-0005-0000-0000-000034740000}"/>
    <cellStyle name="Output 4 8 5" xfId="27396" xr:uid="{00000000-0005-0000-0000-000035740000}"/>
    <cellStyle name="Output 4 8 6" xfId="26795" xr:uid="{00000000-0005-0000-0000-000036740000}"/>
    <cellStyle name="Output 4 8_DataIX" xfId="34470" xr:uid="{00000000-0005-0000-0000-000037740000}"/>
    <cellStyle name="Output 4 9" xfId="11155" xr:uid="{00000000-0005-0000-0000-000038740000}"/>
    <cellStyle name="Output 4 9 2" xfId="21092" xr:uid="{00000000-0005-0000-0000-000039740000}"/>
    <cellStyle name="Output 4 9 2 2" xfId="22063" xr:uid="{00000000-0005-0000-0000-00003A740000}"/>
    <cellStyle name="Output 4 9 2_DataIX" xfId="34473" xr:uid="{00000000-0005-0000-0000-00003B740000}"/>
    <cellStyle name="Output 4 9 3" xfId="21800" xr:uid="{00000000-0005-0000-0000-00003C740000}"/>
    <cellStyle name="Output 4 9 4" xfId="25796" xr:uid="{00000000-0005-0000-0000-00003D740000}"/>
    <cellStyle name="Output 4 9 5" xfId="27232" xr:uid="{00000000-0005-0000-0000-00003E740000}"/>
    <cellStyle name="Output 4 9 6" xfId="26017" xr:uid="{00000000-0005-0000-0000-00003F740000}"/>
    <cellStyle name="Output 4 9_DataIX" xfId="34472" xr:uid="{00000000-0005-0000-0000-000040740000}"/>
    <cellStyle name="Output 4_##Keskeiset" xfId="10349" xr:uid="{00000000-0005-0000-0000-000041740000}"/>
    <cellStyle name="Output 5" xfId="5232" xr:uid="{00000000-0005-0000-0000-000042740000}"/>
    <cellStyle name="Output 5 2" xfId="5664" xr:uid="{00000000-0005-0000-0000-000043740000}"/>
    <cellStyle name="Output 5 2 2" xfId="12795" xr:uid="{00000000-0005-0000-0000-000044740000}"/>
    <cellStyle name="Output 5 2 3" xfId="18878" xr:uid="{00000000-0005-0000-0000-000045740000}"/>
    <cellStyle name="Output 5 2 3 2" xfId="13775" xr:uid="{00000000-0005-0000-0000-000046740000}"/>
    <cellStyle name="Output 5 2 3_DataIX" xfId="34476" xr:uid="{00000000-0005-0000-0000-000047740000}"/>
    <cellStyle name="Output 5 2 4" xfId="20437" xr:uid="{00000000-0005-0000-0000-000048740000}"/>
    <cellStyle name="Output 5 2 4 2" xfId="21979" xr:uid="{00000000-0005-0000-0000-000049740000}"/>
    <cellStyle name="Output 5 2 4_DataIX" xfId="34477" xr:uid="{00000000-0005-0000-0000-00004A740000}"/>
    <cellStyle name="Output 5 2_DataIX" xfId="34475" xr:uid="{00000000-0005-0000-0000-00004B740000}"/>
    <cellStyle name="Output 5 3" xfId="11132" xr:uid="{00000000-0005-0000-0000-00004C740000}"/>
    <cellStyle name="Output 5 4" xfId="18562" xr:uid="{00000000-0005-0000-0000-00004D740000}"/>
    <cellStyle name="Output 5 4 2" xfId="13067" xr:uid="{00000000-0005-0000-0000-00004E740000}"/>
    <cellStyle name="Output 5 4_DataIX" xfId="34478" xr:uid="{00000000-0005-0000-0000-00004F740000}"/>
    <cellStyle name="Output 5 5" xfId="19042" xr:uid="{00000000-0005-0000-0000-000050740000}"/>
    <cellStyle name="Output 5 5 2" xfId="21913" xr:uid="{00000000-0005-0000-0000-000051740000}"/>
    <cellStyle name="Output 5 5_DataIX" xfId="34479" xr:uid="{00000000-0005-0000-0000-000052740000}"/>
    <cellStyle name="Output 5_DataIX" xfId="34474" xr:uid="{00000000-0005-0000-0000-000053740000}"/>
    <cellStyle name="Output 6" xfId="5665" xr:uid="{00000000-0005-0000-0000-000054740000}"/>
    <cellStyle name="Output 6 2" xfId="10544" xr:uid="{00000000-0005-0000-0000-000055740000}"/>
    <cellStyle name="Output 6 2 2" xfId="12797" xr:uid="{00000000-0005-0000-0000-000056740000}"/>
    <cellStyle name="Output 6 2 3" xfId="20326" xr:uid="{00000000-0005-0000-0000-000057740000}"/>
    <cellStyle name="Output 6 2 3 2" xfId="10986" xr:uid="{00000000-0005-0000-0000-000058740000}"/>
    <cellStyle name="Output 6 2 3_DataIX" xfId="34482" xr:uid="{00000000-0005-0000-0000-000059740000}"/>
    <cellStyle name="Output 6 2 4" xfId="20966" xr:uid="{00000000-0005-0000-0000-00005A740000}"/>
    <cellStyle name="Output 6 2 4 2" xfId="21670" xr:uid="{00000000-0005-0000-0000-00005B740000}"/>
    <cellStyle name="Output 6 2 4_DataIX" xfId="34483" xr:uid="{00000000-0005-0000-0000-00005C740000}"/>
    <cellStyle name="Output 6 2_DataIX" xfId="34481" xr:uid="{00000000-0005-0000-0000-00005D740000}"/>
    <cellStyle name="Output 6 3" xfId="12796" xr:uid="{00000000-0005-0000-0000-00005E740000}"/>
    <cellStyle name="Output 6 4" xfId="18879" xr:uid="{00000000-0005-0000-0000-00005F740000}"/>
    <cellStyle name="Output 6 4 2" xfId="20957" xr:uid="{00000000-0005-0000-0000-000060740000}"/>
    <cellStyle name="Output 6 4_DataIX" xfId="34484" xr:uid="{00000000-0005-0000-0000-000061740000}"/>
    <cellStyle name="Output 6 5" xfId="18955" xr:uid="{00000000-0005-0000-0000-000062740000}"/>
    <cellStyle name="Output 6 5 2" xfId="22100" xr:uid="{00000000-0005-0000-0000-000063740000}"/>
    <cellStyle name="Output 6 5_DataIX" xfId="34485" xr:uid="{00000000-0005-0000-0000-000064740000}"/>
    <cellStyle name="Output 6_DataIX" xfId="34480" xr:uid="{00000000-0005-0000-0000-000065740000}"/>
    <cellStyle name="Output 7" xfId="5458" xr:uid="{00000000-0005-0000-0000-000066740000}"/>
    <cellStyle name="Output 7 2" xfId="12798" xr:uid="{00000000-0005-0000-0000-000067740000}"/>
    <cellStyle name="Output 7 3" xfId="18733" xr:uid="{00000000-0005-0000-0000-000068740000}"/>
    <cellStyle name="Output 7 3 2" xfId="22199" xr:uid="{00000000-0005-0000-0000-000069740000}"/>
    <cellStyle name="Output 7 3_DataIX" xfId="34487" xr:uid="{00000000-0005-0000-0000-00006A740000}"/>
    <cellStyle name="Output 7 4" xfId="20461" xr:uid="{00000000-0005-0000-0000-00006B740000}"/>
    <cellStyle name="Output 7 4 2" xfId="12981" xr:uid="{00000000-0005-0000-0000-00006C740000}"/>
    <cellStyle name="Output 7 4_DataIX" xfId="34488" xr:uid="{00000000-0005-0000-0000-00006D740000}"/>
    <cellStyle name="Output 7_DataIX" xfId="34486" xr:uid="{00000000-0005-0000-0000-00006E740000}"/>
    <cellStyle name="Output 8" xfId="5312" xr:uid="{00000000-0005-0000-0000-00006F740000}"/>
    <cellStyle name="Output 8 2" xfId="12799" xr:uid="{00000000-0005-0000-0000-000070740000}"/>
    <cellStyle name="Output 8 3" xfId="18636" xr:uid="{00000000-0005-0000-0000-000071740000}"/>
    <cellStyle name="Output 8 3 2" xfId="10688" xr:uid="{00000000-0005-0000-0000-000072740000}"/>
    <cellStyle name="Output 8 3_DataIX" xfId="34490" xr:uid="{00000000-0005-0000-0000-000073740000}"/>
    <cellStyle name="Output 8 4" xfId="19017" xr:uid="{00000000-0005-0000-0000-000074740000}"/>
    <cellStyle name="Output 8 4 2" xfId="13772" xr:uid="{00000000-0005-0000-0000-000075740000}"/>
    <cellStyle name="Output 8 4_DataIX" xfId="34491" xr:uid="{00000000-0005-0000-0000-000076740000}"/>
    <cellStyle name="Output 8_DataIX" xfId="34489" xr:uid="{00000000-0005-0000-0000-000077740000}"/>
    <cellStyle name="Output 9" xfId="10618" xr:uid="{00000000-0005-0000-0000-000078740000}"/>
    <cellStyle name="Output 9 2" xfId="12800" xr:uid="{00000000-0005-0000-0000-000079740000}"/>
    <cellStyle name="Output 9 3" xfId="20400" xr:uid="{00000000-0005-0000-0000-00007A740000}"/>
    <cellStyle name="Output 9 3 2" xfId="12971" xr:uid="{00000000-0005-0000-0000-00007B740000}"/>
    <cellStyle name="Output 9 3_DataIX" xfId="34493" xr:uid="{00000000-0005-0000-0000-00007C740000}"/>
    <cellStyle name="Output 9 4" xfId="21001" xr:uid="{00000000-0005-0000-0000-00007D740000}"/>
    <cellStyle name="Output 9 4 2" xfId="13492" xr:uid="{00000000-0005-0000-0000-00007E740000}"/>
    <cellStyle name="Output 9 4_DataIX" xfId="34494" xr:uid="{00000000-0005-0000-0000-00007F740000}"/>
    <cellStyle name="Output 9_DataIX" xfId="34492" xr:uid="{00000000-0005-0000-0000-000080740000}"/>
    <cellStyle name="Output_##Keskeiset" xfId="5660" xr:uid="{00000000-0005-0000-0000-000081740000}"/>
    <cellStyle name="Percent [2]" xfId="5062" xr:uid="{00000000-0005-0000-0000-000082740000}"/>
    <cellStyle name="Percent [2] 2" xfId="10352" xr:uid="{00000000-0005-0000-0000-000083740000}"/>
    <cellStyle name="Percent [2] 3" xfId="18401" xr:uid="{00000000-0005-0000-0000-000084740000}"/>
    <cellStyle name="Percent [2]_DataIX" xfId="34495" xr:uid="{00000000-0005-0000-0000-000085740000}"/>
    <cellStyle name="Percent 2" xfId="5063" xr:uid="{00000000-0005-0000-0000-000086740000}"/>
    <cellStyle name="Percent 2 2" xfId="10353" xr:uid="{00000000-0005-0000-0000-000087740000}"/>
    <cellStyle name="Percent 2 2 2" xfId="28132" xr:uid="{00000000-0005-0000-0000-000088740000}"/>
    <cellStyle name="Percent 2 2 3" xfId="28548" xr:uid="{00000000-0005-0000-0000-000089740000}"/>
    <cellStyle name="Percent 2 3" xfId="18402" xr:uid="{00000000-0005-0000-0000-00008A740000}"/>
    <cellStyle name="Percent 2 4" xfId="28131" xr:uid="{00000000-0005-0000-0000-00008B740000}"/>
    <cellStyle name="Percent 2 5" xfId="28525" xr:uid="{00000000-0005-0000-0000-00008C740000}"/>
    <cellStyle name="Percent 2_DataIX" xfId="34496" xr:uid="{00000000-0005-0000-0000-00008D740000}"/>
    <cellStyle name="Percent 3" xfId="5064" xr:uid="{00000000-0005-0000-0000-00008E740000}"/>
    <cellStyle name="Percent 3 2" xfId="5065" xr:uid="{00000000-0005-0000-0000-00008F740000}"/>
    <cellStyle name="Percent 3 2 2" xfId="10355" xr:uid="{00000000-0005-0000-0000-000090740000}"/>
    <cellStyle name="Percent 3 2 3" xfId="18404" xr:uid="{00000000-0005-0000-0000-000091740000}"/>
    <cellStyle name="Percent 3 2_DataIX" xfId="34498" xr:uid="{00000000-0005-0000-0000-000092740000}"/>
    <cellStyle name="Percent 3 3" xfId="10354" xr:uid="{00000000-0005-0000-0000-000093740000}"/>
    <cellStyle name="Percent 3 4" xfId="18403" xr:uid="{00000000-0005-0000-0000-000094740000}"/>
    <cellStyle name="Percent 3_DataIX" xfId="34497" xr:uid="{00000000-0005-0000-0000-000095740000}"/>
    <cellStyle name="Percent 4" xfId="5066" xr:uid="{00000000-0005-0000-0000-000096740000}"/>
    <cellStyle name="Percent 4 2" xfId="10356" xr:uid="{00000000-0005-0000-0000-000097740000}"/>
    <cellStyle name="Percent 4 3" xfId="18405" xr:uid="{00000000-0005-0000-0000-000098740000}"/>
    <cellStyle name="Percent 4_DataIX" xfId="34499" xr:uid="{00000000-0005-0000-0000-000099740000}"/>
    <cellStyle name="Percent 5" xfId="5067" xr:uid="{00000000-0005-0000-0000-00009A740000}"/>
    <cellStyle name="Percent 5 2" xfId="10357" xr:uid="{00000000-0005-0000-0000-00009B740000}"/>
    <cellStyle name="Percent 5 3" xfId="18406" xr:uid="{00000000-0005-0000-0000-00009C740000}"/>
    <cellStyle name="Percent 5_DataIX" xfId="34500" xr:uid="{00000000-0005-0000-0000-00009D740000}"/>
    <cellStyle name="Percent 6" xfId="5068" xr:uid="{00000000-0005-0000-0000-00009E740000}"/>
    <cellStyle name="Percent 6 2" xfId="10358" xr:uid="{00000000-0005-0000-0000-00009F740000}"/>
    <cellStyle name="Percent 6 3" xfId="18407" xr:uid="{00000000-0005-0000-0000-0000A0740000}"/>
    <cellStyle name="Percent 6_DataIX" xfId="34501" xr:uid="{00000000-0005-0000-0000-0000A1740000}"/>
    <cellStyle name="percentage difference" xfId="5069" xr:uid="{00000000-0005-0000-0000-0000A2740000}"/>
    <cellStyle name="percentage difference 2" xfId="5070" xr:uid="{00000000-0005-0000-0000-0000A3740000}"/>
    <cellStyle name="percentage difference 2 2" xfId="10360" xr:uid="{00000000-0005-0000-0000-0000A4740000}"/>
    <cellStyle name="percentage difference 2 3" xfId="18409" xr:uid="{00000000-0005-0000-0000-0000A5740000}"/>
    <cellStyle name="percentage difference 2_DataIX" xfId="34503" xr:uid="{00000000-0005-0000-0000-0000A6740000}"/>
    <cellStyle name="percentage difference 3" xfId="5071" xr:uid="{00000000-0005-0000-0000-0000A7740000}"/>
    <cellStyle name="percentage difference 3 2" xfId="10361" xr:uid="{00000000-0005-0000-0000-0000A8740000}"/>
    <cellStyle name="percentage difference 3 3" xfId="18410" xr:uid="{00000000-0005-0000-0000-0000A9740000}"/>
    <cellStyle name="percentage difference 3_DataIX" xfId="34504" xr:uid="{00000000-0005-0000-0000-0000AA740000}"/>
    <cellStyle name="percentage difference 4" xfId="5072" xr:uid="{00000000-0005-0000-0000-0000AB740000}"/>
    <cellStyle name="percentage difference 4 2" xfId="10362" xr:uid="{00000000-0005-0000-0000-0000AC740000}"/>
    <cellStyle name="percentage difference 4 3" xfId="18411" xr:uid="{00000000-0005-0000-0000-0000AD740000}"/>
    <cellStyle name="percentage difference 4_DataIX" xfId="34505" xr:uid="{00000000-0005-0000-0000-0000AE740000}"/>
    <cellStyle name="percentage difference 5" xfId="10359" xr:uid="{00000000-0005-0000-0000-0000AF740000}"/>
    <cellStyle name="percentage difference 6" xfId="18408" xr:uid="{00000000-0005-0000-0000-0000B0740000}"/>
    <cellStyle name="percentage difference 7" xfId="19072" xr:uid="{00000000-0005-0000-0000-0000B1740000}"/>
    <cellStyle name="percentage difference one decimal" xfId="5073" xr:uid="{00000000-0005-0000-0000-0000B2740000}"/>
    <cellStyle name="percentage difference one decimal 2" xfId="10363" xr:uid="{00000000-0005-0000-0000-0000B3740000}"/>
    <cellStyle name="percentage difference one decimal 3" xfId="18412" xr:uid="{00000000-0005-0000-0000-0000B4740000}"/>
    <cellStyle name="percentage difference one decimal_DataIX" xfId="34506" xr:uid="{00000000-0005-0000-0000-0000B5740000}"/>
    <cellStyle name="percentage difference zero decimal" xfId="5074" xr:uid="{00000000-0005-0000-0000-0000B6740000}"/>
    <cellStyle name="percentage difference zero decimal 2" xfId="10364" xr:uid="{00000000-0005-0000-0000-0000B7740000}"/>
    <cellStyle name="percentage difference zero decimal 3" xfId="18413" xr:uid="{00000000-0005-0000-0000-0000B8740000}"/>
    <cellStyle name="percentage difference zero decimal_DataIX" xfId="34507" xr:uid="{00000000-0005-0000-0000-0000B9740000}"/>
    <cellStyle name="percentage difference_DataIX" xfId="34502" xr:uid="{00000000-0005-0000-0000-0000BA740000}"/>
    <cellStyle name="Pevný" xfId="5075" xr:uid="{00000000-0005-0000-0000-0000BB740000}"/>
    <cellStyle name="Pevný 2" xfId="10365" xr:uid="{00000000-0005-0000-0000-0000BC740000}"/>
    <cellStyle name="Pevný 3" xfId="18414" xr:uid="{00000000-0005-0000-0000-0000BD740000}"/>
    <cellStyle name="Pevný_DataIX" xfId="34508" xr:uid="{00000000-0005-0000-0000-0000BE740000}"/>
    <cellStyle name="Pilkku 10" xfId="5076" xr:uid="{00000000-0005-0000-0000-0000C0740000}"/>
    <cellStyle name="Pilkku 10 2" xfId="10366" xr:uid="{00000000-0005-0000-0000-0000C1740000}"/>
    <cellStyle name="Pilkku 10 3" xfId="18415" xr:uid="{00000000-0005-0000-0000-0000C2740000}"/>
    <cellStyle name="Pilkku 10_DataIX" xfId="34509" xr:uid="{00000000-0005-0000-0000-0000C3740000}"/>
    <cellStyle name="Pilkku 11" xfId="5077" xr:uid="{00000000-0005-0000-0000-0000C4740000}"/>
    <cellStyle name="Pilkku 11 2" xfId="10367" xr:uid="{00000000-0005-0000-0000-0000C5740000}"/>
    <cellStyle name="Pilkku 11 3" xfId="18416" xr:uid="{00000000-0005-0000-0000-0000C6740000}"/>
    <cellStyle name="Pilkku 11_DataIX" xfId="34510" xr:uid="{00000000-0005-0000-0000-0000C7740000}"/>
    <cellStyle name="Pilkku 2" xfId="5078" xr:uid="{00000000-0005-0000-0000-0000C8740000}"/>
    <cellStyle name="Pilkku 2 2" xfId="5079" xr:uid="{00000000-0005-0000-0000-0000C9740000}"/>
    <cellStyle name="Pilkku 2 2 2" xfId="10369" xr:uid="{00000000-0005-0000-0000-0000CA740000}"/>
    <cellStyle name="Pilkku 2 2 3" xfId="18418" xr:uid="{00000000-0005-0000-0000-0000CB740000}"/>
    <cellStyle name="Pilkku 2 2_DataIX" xfId="34512" xr:uid="{00000000-0005-0000-0000-0000CC740000}"/>
    <cellStyle name="Pilkku 2 3" xfId="10368" xr:uid="{00000000-0005-0000-0000-0000CD740000}"/>
    <cellStyle name="Pilkku 2 4" xfId="18417" xr:uid="{00000000-0005-0000-0000-0000CE740000}"/>
    <cellStyle name="Pilkku 2 5" xfId="28549" xr:uid="{00000000-0005-0000-0000-0000CF740000}"/>
    <cellStyle name="Pilkku 2 6" xfId="28565" xr:uid="{00000000-0005-0000-0000-0000D0740000}"/>
    <cellStyle name="Pilkku 2 7" xfId="28570" xr:uid="{00000000-0005-0000-0000-0000D1740000}"/>
    <cellStyle name="Pilkku 2_DataIX" xfId="34511" xr:uid="{00000000-0005-0000-0000-0000D2740000}"/>
    <cellStyle name="Pilkku 3" xfId="5080" xr:uid="{00000000-0005-0000-0000-0000D3740000}"/>
    <cellStyle name="Pilkku 3 2" xfId="5081" xr:uid="{00000000-0005-0000-0000-0000D4740000}"/>
    <cellStyle name="Pilkku 3 2 2" xfId="10371" xr:uid="{00000000-0005-0000-0000-0000D5740000}"/>
    <cellStyle name="Pilkku 3 2 3" xfId="18420" xr:uid="{00000000-0005-0000-0000-0000D6740000}"/>
    <cellStyle name="Pilkku 3 2_DataIX" xfId="34514" xr:uid="{00000000-0005-0000-0000-0000D7740000}"/>
    <cellStyle name="Pilkku 3 3" xfId="10370" xr:uid="{00000000-0005-0000-0000-0000D8740000}"/>
    <cellStyle name="Pilkku 3 4" xfId="18419" xr:uid="{00000000-0005-0000-0000-0000D9740000}"/>
    <cellStyle name="Pilkku 3 5" xfId="20549" xr:uid="{00000000-0005-0000-0000-0000DA740000}"/>
    <cellStyle name="Pilkku 3_DataIX" xfId="34513" xr:uid="{00000000-0005-0000-0000-0000DB740000}"/>
    <cellStyle name="Pilkku 4" xfId="5082" xr:uid="{00000000-0005-0000-0000-0000DC740000}"/>
    <cellStyle name="Pilkku 4 2" xfId="10372" xr:uid="{00000000-0005-0000-0000-0000DD740000}"/>
    <cellStyle name="Pilkku 4 3" xfId="18421" xr:uid="{00000000-0005-0000-0000-0000DE740000}"/>
    <cellStyle name="Pilkku 4_DataIX" xfId="34515" xr:uid="{00000000-0005-0000-0000-0000DF740000}"/>
    <cellStyle name="Pilkku 5" xfId="5083" xr:uid="{00000000-0005-0000-0000-0000E0740000}"/>
    <cellStyle name="Pilkku 5 2" xfId="10373" xr:uid="{00000000-0005-0000-0000-0000E1740000}"/>
    <cellStyle name="Pilkku 5 3" xfId="18422" xr:uid="{00000000-0005-0000-0000-0000E2740000}"/>
    <cellStyle name="Pilkku 5_DataIX" xfId="34516" xr:uid="{00000000-0005-0000-0000-0000E3740000}"/>
    <cellStyle name="Pilkku 6" xfId="5084" xr:uid="{00000000-0005-0000-0000-0000E4740000}"/>
    <cellStyle name="Pilkku 6 2" xfId="10374" xr:uid="{00000000-0005-0000-0000-0000E5740000}"/>
    <cellStyle name="Pilkku 6 3" xfId="18423" xr:uid="{00000000-0005-0000-0000-0000E6740000}"/>
    <cellStyle name="Pilkku 6_DataIX" xfId="34517" xr:uid="{00000000-0005-0000-0000-0000E7740000}"/>
    <cellStyle name="Pilkku 7" xfId="5085" xr:uid="{00000000-0005-0000-0000-0000E8740000}"/>
    <cellStyle name="Pilkku 7 2" xfId="10375" xr:uid="{00000000-0005-0000-0000-0000E9740000}"/>
    <cellStyle name="Pilkku 7 3" xfId="18424" xr:uid="{00000000-0005-0000-0000-0000EA740000}"/>
    <cellStyle name="Pilkku 7_DataIX" xfId="34518" xr:uid="{00000000-0005-0000-0000-0000EB740000}"/>
    <cellStyle name="Pilkku 8" xfId="5086" xr:uid="{00000000-0005-0000-0000-0000EC740000}"/>
    <cellStyle name="Pilkku 8 2" xfId="10376" xr:uid="{00000000-0005-0000-0000-0000ED740000}"/>
    <cellStyle name="Pilkku 8 3" xfId="18425" xr:uid="{00000000-0005-0000-0000-0000EE740000}"/>
    <cellStyle name="Pilkku 8_DataIX" xfId="34519" xr:uid="{00000000-0005-0000-0000-0000EF740000}"/>
    <cellStyle name="Pilkku 9" xfId="5087" xr:uid="{00000000-0005-0000-0000-0000F0740000}"/>
    <cellStyle name="Pilkku 9 2" xfId="10377" xr:uid="{00000000-0005-0000-0000-0000F1740000}"/>
    <cellStyle name="Pilkku 9 3" xfId="18426" xr:uid="{00000000-0005-0000-0000-0000F2740000}"/>
    <cellStyle name="Pilkku 9_DataIX" xfId="34520" xr:uid="{00000000-0005-0000-0000-0000F3740000}"/>
    <cellStyle name="Presentation" xfId="5088" xr:uid="{00000000-0005-0000-0000-0000F4740000}"/>
    <cellStyle name="Presentation 2" xfId="5089" xr:uid="{00000000-0005-0000-0000-0000F5740000}"/>
    <cellStyle name="Presentation 2 2" xfId="10379" xr:uid="{00000000-0005-0000-0000-0000F6740000}"/>
    <cellStyle name="Presentation 2 3" xfId="18428" xr:uid="{00000000-0005-0000-0000-0000F7740000}"/>
    <cellStyle name="Presentation 2_DataIX" xfId="34522" xr:uid="{00000000-0005-0000-0000-0000F8740000}"/>
    <cellStyle name="Presentation 3" xfId="10378" xr:uid="{00000000-0005-0000-0000-0000F9740000}"/>
    <cellStyle name="Presentation 4" xfId="18427" xr:uid="{00000000-0005-0000-0000-0000FA740000}"/>
    <cellStyle name="Presentation_DataIX" xfId="34521" xr:uid="{00000000-0005-0000-0000-0000FB740000}"/>
    <cellStyle name="Prosentti 11" xfId="5090" xr:uid="{00000000-0005-0000-0000-0000FC740000}"/>
    <cellStyle name="Prosentti 11 2" xfId="5091" xr:uid="{00000000-0005-0000-0000-0000FD740000}"/>
    <cellStyle name="Prosentti 11 2 2" xfId="10381" xr:uid="{00000000-0005-0000-0000-0000FE740000}"/>
    <cellStyle name="Prosentti 11 2 3" xfId="18430" xr:uid="{00000000-0005-0000-0000-0000FF740000}"/>
    <cellStyle name="Prosentti 11 2_DataIX" xfId="34524" xr:uid="{00000000-0005-0000-0000-000000750000}"/>
    <cellStyle name="Prosentti 11 3" xfId="10380" xr:uid="{00000000-0005-0000-0000-000001750000}"/>
    <cellStyle name="Prosentti 11 4" xfId="18429" xr:uid="{00000000-0005-0000-0000-000002750000}"/>
    <cellStyle name="Prosentti 11_DataIX" xfId="34523" xr:uid="{00000000-0005-0000-0000-000003750000}"/>
    <cellStyle name="Prosentti 2" xfId="233" xr:uid="{00000000-0005-0000-0000-000004750000}"/>
    <cellStyle name="Prosentti 2 10" xfId="26206" xr:uid="{00000000-0005-0000-0000-000005750000}"/>
    <cellStyle name="Prosentti 2 2" xfId="5093" xr:uid="{00000000-0005-0000-0000-000006750000}"/>
    <cellStyle name="Prosentti 2 2 2" xfId="11147" xr:uid="{00000000-0005-0000-0000-000007750000}"/>
    <cellStyle name="Prosentti 2 2 3" xfId="18432" xr:uid="{00000000-0005-0000-0000-000008750000}"/>
    <cellStyle name="Prosentti 2 2_DataIX" xfId="34525" xr:uid="{00000000-0005-0000-0000-000009750000}"/>
    <cellStyle name="Prosentti 2 3" xfId="5092" xr:uid="{00000000-0005-0000-0000-00000A750000}"/>
    <cellStyle name="Prosentti 2 3 2" xfId="10383" xr:uid="{00000000-0005-0000-0000-00000B750000}"/>
    <cellStyle name="Prosentti 2 3 3" xfId="18431" xr:uid="{00000000-0005-0000-0000-00000C750000}"/>
    <cellStyle name="Prosentti 2 3_DataIX" xfId="34526" xr:uid="{00000000-0005-0000-0000-00000D750000}"/>
    <cellStyle name="Prosentti 2 4" xfId="25200" xr:uid="{00000000-0005-0000-0000-00000E750000}"/>
    <cellStyle name="Prosentti 2 5" xfId="26123" xr:uid="{00000000-0005-0000-0000-00000F750000}"/>
    <cellStyle name="Prosentti 2 6" xfId="25350" xr:uid="{00000000-0005-0000-0000-000010750000}"/>
    <cellStyle name="Prosentti 2 7" xfId="25452" xr:uid="{00000000-0005-0000-0000-000011750000}"/>
    <cellStyle name="Prosentti 2 8" xfId="26279" xr:uid="{00000000-0005-0000-0000-000012750000}"/>
    <cellStyle name="Prosentti 2 9" xfId="25286" xr:uid="{00000000-0005-0000-0000-000013750000}"/>
    <cellStyle name="Prosentti 2_##Keskeiset" xfId="10382" xr:uid="{00000000-0005-0000-0000-000014750000}"/>
    <cellStyle name="Prosentti 3" xfId="234" xr:uid="{00000000-0005-0000-0000-000015750000}"/>
    <cellStyle name="Prosentti 3 10" xfId="26695" xr:uid="{00000000-0005-0000-0000-000016750000}"/>
    <cellStyle name="Prosentti 3 2" xfId="5094" xr:uid="{00000000-0005-0000-0000-000017750000}"/>
    <cellStyle name="Prosentti 3 2 2" xfId="5666" xr:uid="{00000000-0005-0000-0000-000018750000}"/>
    <cellStyle name="Prosentti 3 2 2 2" xfId="12811" xr:uid="{00000000-0005-0000-0000-000019750000}"/>
    <cellStyle name="Prosentti 3 2 2 3" xfId="18880" xr:uid="{00000000-0005-0000-0000-00001A750000}"/>
    <cellStyle name="Prosentti 3 2 2_DataIX" xfId="34528" xr:uid="{00000000-0005-0000-0000-00001B750000}"/>
    <cellStyle name="Prosentti 3 2 3" xfId="11149" xr:uid="{00000000-0005-0000-0000-00001C750000}"/>
    <cellStyle name="Prosentti 3 2 4" xfId="18433" xr:uid="{00000000-0005-0000-0000-00001D750000}"/>
    <cellStyle name="Prosentti 3 2_DataIX" xfId="34527" xr:uid="{00000000-0005-0000-0000-00001E750000}"/>
    <cellStyle name="Prosentti 3 3" xfId="25201" xr:uid="{00000000-0005-0000-0000-00001F750000}"/>
    <cellStyle name="Prosentti 3 4" xfId="25635" xr:uid="{00000000-0005-0000-0000-000020750000}"/>
    <cellStyle name="Prosentti 3 5" xfId="26348" xr:uid="{00000000-0005-0000-0000-000021750000}"/>
    <cellStyle name="Prosentti 3 6" xfId="26092" xr:uid="{00000000-0005-0000-0000-000022750000}"/>
    <cellStyle name="Prosentti 3 7" xfId="26249" xr:uid="{00000000-0005-0000-0000-000023750000}"/>
    <cellStyle name="Prosentti 3 8" xfId="26089" xr:uid="{00000000-0005-0000-0000-000024750000}"/>
    <cellStyle name="Prosentti 3 9" xfId="25733" xr:uid="{00000000-0005-0000-0000-000025750000}"/>
    <cellStyle name="Prosentti 3_##Keskeiset" xfId="10384" xr:uid="{00000000-0005-0000-0000-000026750000}"/>
    <cellStyle name="Prosentti 4" xfId="232" xr:uid="{00000000-0005-0000-0000-000027750000}"/>
    <cellStyle name="Prosentti 4 10" xfId="25263" xr:uid="{00000000-0005-0000-0000-000028750000}"/>
    <cellStyle name="Prosentti 4 2" xfId="5096" xr:uid="{00000000-0005-0000-0000-000029750000}"/>
    <cellStyle name="Prosentti 4 2 2" xfId="10386" xr:uid="{00000000-0005-0000-0000-00002A750000}"/>
    <cellStyle name="Prosentti 4 2 3" xfId="18435" xr:uid="{00000000-0005-0000-0000-00002B750000}"/>
    <cellStyle name="Prosentti 4 2_DataIX" xfId="34529" xr:uid="{00000000-0005-0000-0000-00002C750000}"/>
    <cellStyle name="Prosentti 4 3" xfId="5095" xr:uid="{00000000-0005-0000-0000-00002D750000}"/>
    <cellStyle name="Prosentti 4 3 2" xfId="10387" xr:uid="{00000000-0005-0000-0000-00002E750000}"/>
    <cellStyle name="Prosentti 4 3 3" xfId="18434" xr:uid="{00000000-0005-0000-0000-00002F750000}"/>
    <cellStyle name="Prosentti 4 3_DataIX" xfId="34530" xr:uid="{00000000-0005-0000-0000-000030750000}"/>
    <cellStyle name="Prosentti 4 4" xfId="25202" xr:uid="{00000000-0005-0000-0000-000031750000}"/>
    <cellStyle name="Prosentti 4 5" xfId="26122" xr:uid="{00000000-0005-0000-0000-000032750000}"/>
    <cellStyle name="Prosentti 4 6" xfId="25773" xr:uid="{00000000-0005-0000-0000-000033750000}"/>
    <cellStyle name="Prosentti 4 7" xfId="25273" xr:uid="{00000000-0005-0000-0000-000034750000}"/>
    <cellStyle name="Prosentti 4 8" xfId="25983" xr:uid="{00000000-0005-0000-0000-000035750000}"/>
    <cellStyle name="Prosentti 4 9" xfId="25872" xr:uid="{00000000-0005-0000-0000-000036750000}"/>
    <cellStyle name="Prosentti 4_##Keskeiset" xfId="10385" xr:uid="{00000000-0005-0000-0000-000037750000}"/>
    <cellStyle name="Prosentti 5" xfId="326" xr:uid="{00000000-0005-0000-0000-000038750000}"/>
    <cellStyle name="Prosentti 5 10" xfId="21886" xr:uid="{00000000-0005-0000-0000-000039750000}"/>
    <cellStyle name="Prosentti 5 11" xfId="22349" xr:uid="{00000000-0005-0000-0000-00003A750000}"/>
    <cellStyle name="Prosentti 5 12" xfId="27730" xr:uid="{00000000-0005-0000-0000-00003B750000}"/>
    <cellStyle name="Prosentti 5 13" xfId="27794" xr:uid="{00000000-0005-0000-0000-00003C750000}"/>
    <cellStyle name="Prosentti 5 2" xfId="5097" xr:uid="{00000000-0005-0000-0000-00003D750000}"/>
    <cellStyle name="Prosentti 5 2 2" xfId="10389" xr:uid="{00000000-0005-0000-0000-00003E750000}"/>
    <cellStyle name="Prosentti 5 2 3" xfId="18436" xr:uid="{00000000-0005-0000-0000-00003F750000}"/>
    <cellStyle name="Prosentti 5 2_DataIX" xfId="34531" xr:uid="{00000000-0005-0000-0000-000040750000}"/>
    <cellStyle name="Prosentti 5 3" xfId="10721" xr:uid="{00000000-0005-0000-0000-000041750000}"/>
    <cellStyle name="Prosentti 5 4" xfId="12817" xr:uid="{00000000-0005-0000-0000-000042750000}"/>
    <cellStyle name="Prosentti 5 5" xfId="10907" xr:uid="{00000000-0005-0000-0000-000043750000}"/>
    <cellStyle name="Prosentti 5 6" xfId="13887" xr:uid="{00000000-0005-0000-0000-000044750000}"/>
    <cellStyle name="Prosentti 5 7" xfId="20274" xr:uid="{00000000-0005-0000-0000-000045750000}"/>
    <cellStyle name="Prosentti 5 8" xfId="13782" xr:uid="{00000000-0005-0000-0000-000046750000}"/>
    <cellStyle name="Prosentti 5 9" xfId="10942" xr:uid="{00000000-0005-0000-0000-000047750000}"/>
    <cellStyle name="Prosentti 5_##Keskeiset" xfId="10388" xr:uid="{00000000-0005-0000-0000-000048750000}"/>
    <cellStyle name="Prosenttia 2" xfId="5098" xr:uid="{00000000-0005-0000-0000-00004A750000}"/>
    <cellStyle name="Prosenttia 2 2" xfId="5099" xr:uid="{00000000-0005-0000-0000-00004B750000}"/>
    <cellStyle name="Prosenttia 2 2 2" xfId="10391" xr:uid="{00000000-0005-0000-0000-00004C750000}"/>
    <cellStyle name="Prosenttia 2 2 3" xfId="18438" xr:uid="{00000000-0005-0000-0000-00004D750000}"/>
    <cellStyle name="Prosenttia 2 2_DataIX" xfId="34533" xr:uid="{00000000-0005-0000-0000-00004E750000}"/>
    <cellStyle name="Prosenttia 2 3" xfId="10390" xr:uid="{00000000-0005-0000-0000-00004F750000}"/>
    <cellStyle name="Prosenttia 2 4" xfId="18437" xr:uid="{00000000-0005-0000-0000-000050750000}"/>
    <cellStyle name="Prosenttia 2_DataIX" xfId="34532" xr:uid="{00000000-0005-0000-0000-000051750000}"/>
    <cellStyle name="Prosenttia 3" xfId="5100" xr:uid="{00000000-0005-0000-0000-000052750000}"/>
    <cellStyle name="Prosenttia 3 2" xfId="5101" xr:uid="{00000000-0005-0000-0000-000053750000}"/>
    <cellStyle name="Prosenttia 3 2 2" xfId="10393" xr:uid="{00000000-0005-0000-0000-000054750000}"/>
    <cellStyle name="Prosenttia 3 2 3" xfId="18440" xr:uid="{00000000-0005-0000-0000-000055750000}"/>
    <cellStyle name="Prosenttia 3 2_DataIX" xfId="34535" xr:uid="{00000000-0005-0000-0000-000056750000}"/>
    <cellStyle name="Prosenttia 3 3" xfId="10392" xr:uid="{00000000-0005-0000-0000-000057750000}"/>
    <cellStyle name="Prosenttia 3 4" xfId="18439" xr:uid="{00000000-0005-0000-0000-000058750000}"/>
    <cellStyle name="Prosenttia 3 5" xfId="20548" xr:uid="{00000000-0005-0000-0000-000059750000}"/>
    <cellStyle name="Prosenttia 3_DataIX" xfId="34534" xr:uid="{00000000-0005-0000-0000-00005A750000}"/>
    <cellStyle name="Prosenttia 4" xfId="5102" xr:uid="{00000000-0005-0000-0000-00005B750000}"/>
    <cellStyle name="Prosenttia 4 2" xfId="10394" xr:uid="{00000000-0005-0000-0000-00005C750000}"/>
    <cellStyle name="Prosenttia 4 3" xfId="18441" xr:uid="{00000000-0005-0000-0000-00005D750000}"/>
    <cellStyle name="Prosenttia 4_DataIX" xfId="34536" xr:uid="{00000000-0005-0000-0000-00005E750000}"/>
    <cellStyle name="Prosenttia 5" xfId="13803" xr:uid="{00000000-0005-0000-0000-00005F750000}"/>
    <cellStyle name="Prosenttia 5 2" xfId="25017" xr:uid="{00000000-0005-0000-0000-000060750000}"/>
    <cellStyle name="Prosenttia 5_DataIX" xfId="34537" xr:uid="{00000000-0005-0000-0000-000061750000}"/>
    <cellStyle name="Prosenttia 6" xfId="20320" xr:uid="{00000000-0005-0000-0000-000062750000}"/>
    <cellStyle name="ReadOnlyData" xfId="118" xr:uid="{00000000-0005-0000-0000-000063750000}"/>
    <cellStyle name="ReadOnlyData 2" xfId="25034" xr:uid="{00000000-0005-0000-0000-000064750000}"/>
    <cellStyle name="ReadOnlyData 3" xfId="25004" xr:uid="{00000000-0005-0000-0000-000065750000}"/>
    <cellStyle name="ReadOnlyData_DataIX" xfId="34538" xr:uid="{00000000-0005-0000-0000-000066750000}"/>
    <cellStyle name="ReadOnlyValues" xfId="119" xr:uid="{00000000-0005-0000-0000-000067750000}"/>
    <cellStyle name="ReadOnlyValues 10" xfId="13340" xr:uid="{00000000-0005-0000-0000-000068750000}"/>
    <cellStyle name="ReadOnlyValues 10 2" xfId="20915" xr:uid="{00000000-0005-0000-0000-000069750000}"/>
    <cellStyle name="ReadOnlyValues 10 2 2" xfId="22175" xr:uid="{00000000-0005-0000-0000-00006A750000}"/>
    <cellStyle name="ReadOnlyValues 10 2 3" xfId="13739" xr:uid="{00000000-0005-0000-0000-00006B750000}"/>
    <cellStyle name="ReadOnlyValues 10 2_DataIX" xfId="34540" xr:uid="{00000000-0005-0000-0000-00006C750000}"/>
    <cellStyle name="ReadOnlyValues 10 3" xfId="21303" xr:uid="{00000000-0005-0000-0000-00006D750000}"/>
    <cellStyle name="ReadOnlyValues 10 3 2" xfId="10899" xr:uid="{00000000-0005-0000-0000-00006E750000}"/>
    <cellStyle name="ReadOnlyValues 10 3_DataIX" xfId="34541" xr:uid="{00000000-0005-0000-0000-00006F750000}"/>
    <cellStyle name="ReadOnlyValues 10 4" xfId="12992" xr:uid="{00000000-0005-0000-0000-000070750000}"/>
    <cellStyle name="ReadOnlyValues 10 5" xfId="27373" xr:uid="{00000000-0005-0000-0000-000071750000}"/>
    <cellStyle name="ReadOnlyValues 10 6" xfId="22832" xr:uid="{00000000-0005-0000-0000-000072750000}"/>
    <cellStyle name="ReadOnlyValues 10_DataIX" xfId="34539" xr:uid="{00000000-0005-0000-0000-000073750000}"/>
    <cellStyle name="ReadOnlyValues 11" xfId="13129" xr:uid="{00000000-0005-0000-0000-000074750000}"/>
    <cellStyle name="ReadOnlyValues 11 2" xfId="21139" xr:uid="{00000000-0005-0000-0000-000075750000}"/>
    <cellStyle name="ReadOnlyValues 11 2 2" xfId="20650" xr:uid="{00000000-0005-0000-0000-000076750000}"/>
    <cellStyle name="ReadOnlyValues 11 2_DataIX" xfId="34543" xr:uid="{00000000-0005-0000-0000-000077750000}"/>
    <cellStyle name="ReadOnlyValues 11 3" xfId="20639" xr:uid="{00000000-0005-0000-0000-000078750000}"/>
    <cellStyle name="ReadOnlyValues 11 4" xfId="27545" xr:uid="{00000000-0005-0000-0000-000079750000}"/>
    <cellStyle name="ReadOnlyValues 11 5" xfId="27187" xr:uid="{00000000-0005-0000-0000-00007A750000}"/>
    <cellStyle name="ReadOnlyValues 11_DataIX" xfId="34542" xr:uid="{00000000-0005-0000-0000-00007B750000}"/>
    <cellStyle name="ReadOnlyValues 12" xfId="10686" xr:uid="{00000000-0005-0000-0000-00007C750000}"/>
    <cellStyle name="ReadOnlyValues 12 2" xfId="21013" xr:uid="{00000000-0005-0000-0000-00007D750000}"/>
    <cellStyle name="ReadOnlyValues 12 2 2" xfId="21551" xr:uid="{00000000-0005-0000-0000-00007E750000}"/>
    <cellStyle name="ReadOnlyValues 12 2_DataIX" xfId="34545" xr:uid="{00000000-0005-0000-0000-00007F750000}"/>
    <cellStyle name="ReadOnlyValues 12 3" xfId="22228" xr:uid="{00000000-0005-0000-0000-000080750000}"/>
    <cellStyle name="ReadOnlyValues 12_DataIX" xfId="34544" xr:uid="{00000000-0005-0000-0000-000081750000}"/>
    <cellStyle name="ReadOnlyValues 13" xfId="13508" xr:uid="{00000000-0005-0000-0000-000082750000}"/>
    <cellStyle name="ReadOnlyValues 14" xfId="28069" xr:uid="{00000000-0005-0000-0000-000083750000}"/>
    <cellStyle name="ReadOnlyValues 15" xfId="28438" xr:uid="{00000000-0005-0000-0000-000084750000}"/>
    <cellStyle name="ReadOnlyValues 16" xfId="28604" xr:uid="{00000000-0005-0000-0000-000085750000}"/>
    <cellStyle name="ReadOnlyValues 17" xfId="28970" xr:uid="{00000000-0005-0000-0000-000086750000}"/>
    <cellStyle name="ReadOnlyValues 18" xfId="28881" xr:uid="{00000000-0005-0000-0000-000087750000}"/>
    <cellStyle name="ReadOnlyValues 19" xfId="29203" xr:uid="{00000000-0005-0000-0000-000088750000}"/>
    <cellStyle name="ReadOnlyValues 2" xfId="235" xr:uid="{00000000-0005-0000-0000-000089750000}"/>
    <cellStyle name="ReadOnlyValues 2 10" xfId="12816" xr:uid="{00000000-0005-0000-0000-00008A750000}"/>
    <cellStyle name="ReadOnlyValues 2 10 2" xfId="21108" xr:uid="{00000000-0005-0000-0000-00008B750000}"/>
    <cellStyle name="ReadOnlyValues 2 10 2 2" xfId="21818" xr:uid="{00000000-0005-0000-0000-00008C750000}"/>
    <cellStyle name="ReadOnlyValues 2 10 2_DataIX" xfId="34547" xr:uid="{00000000-0005-0000-0000-00008D750000}"/>
    <cellStyle name="ReadOnlyValues 2 10 3" xfId="20720" xr:uid="{00000000-0005-0000-0000-00008E750000}"/>
    <cellStyle name="ReadOnlyValues 2 10 4" xfId="27248" xr:uid="{00000000-0005-0000-0000-00008F750000}"/>
    <cellStyle name="ReadOnlyValues 2 10 5" xfId="27607" xr:uid="{00000000-0005-0000-0000-000090750000}"/>
    <cellStyle name="ReadOnlyValues 2 10_DataIX" xfId="34546" xr:uid="{00000000-0005-0000-0000-000091750000}"/>
    <cellStyle name="ReadOnlyValues 2 11" xfId="13818" xr:uid="{00000000-0005-0000-0000-000092750000}"/>
    <cellStyle name="ReadOnlyValues 2 11 2" xfId="10843" xr:uid="{00000000-0005-0000-0000-000093750000}"/>
    <cellStyle name="ReadOnlyValues 2 11 3" xfId="21517" xr:uid="{00000000-0005-0000-0000-000094750000}"/>
    <cellStyle name="ReadOnlyValues 2 11 4" xfId="27255" xr:uid="{00000000-0005-0000-0000-000095750000}"/>
    <cellStyle name="ReadOnlyValues 2 11 5" xfId="23019" xr:uid="{00000000-0005-0000-0000-000096750000}"/>
    <cellStyle name="ReadOnlyValues 2 11_DataIX" xfId="34548" xr:uid="{00000000-0005-0000-0000-000097750000}"/>
    <cellStyle name="ReadOnlyValues 2 12" xfId="20313" xr:uid="{00000000-0005-0000-0000-000098750000}"/>
    <cellStyle name="ReadOnlyValues 2 12 2" xfId="20706" xr:uid="{00000000-0005-0000-0000-000099750000}"/>
    <cellStyle name="ReadOnlyValues 2 12_DataIX" xfId="34549" xr:uid="{00000000-0005-0000-0000-00009A750000}"/>
    <cellStyle name="ReadOnlyValues 2 13" xfId="11117" xr:uid="{00000000-0005-0000-0000-00009B750000}"/>
    <cellStyle name="ReadOnlyValues 2 14" xfId="22350" xr:uid="{00000000-0005-0000-0000-00009C750000}"/>
    <cellStyle name="ReadOnlyValues 2 15" xfId="22290" xr:uid="{00000000-0005-0000-0000-00009D750000}"/>
    <cellStyle name="ReadOnlyValues 2 16" xfId="22486" xr:uid="{00000000-0005-0000-0000-00009E750000}"/>
    <cellStyle name="ReadOnlyValues 2 17" xfId="22405" xr:uid="{00000000-0005-0000-0000-00009F750000}"/>
    <cellStyle name="ReadOnlyValues 2 18" xfId="27924" xr:uid="{00000000-0005-0000-0000-0000A0750000}"/>
    <cellStyle name="ReadOnlyValues 2 19" xfId="28020" xr:uid="{00000000-0005-0000-0000-0000A1750000}"/>
    <cellStyle name="ReadOnlyValues 2 2" xfId="284" xr:uid="{00000000-0005-0000-0000-0000A2750000}"/>
    <cellStyle name="ReadOnlyValues 2 2 10" xfId="13856" xr:uid="{00000000-0005-0000-0000-0000A3750000}"/>
    <cellStyle name="ReadOnlyValues 2 2 10 2" xfId="11076" xr:uid="{00000000-0005-0000-0000-0000A4750000}"/>
    <cellStyle name="ReadOnlyValues 2 2 10 3" xfId="21676" xr:uid="{00000000-0005-0000-0000-0000A5750000}"/>
    <cellStyle name="ReadOnlyValues 2 2 10 4" xfId="27198" xr:uid="{00000000-0005-0000-0000-0000A6750000}"/>
    <cellStyle name="ReadOnlyValues 2 2 10 5" xfId="26824" xr:uid="{00000000-0005-0000-0000-0000A7750000}"/>
    <cellStyle name="ReadOnlyValues 2 2 10_DataIX" xfId="34550" xr:uid="{00000000-0005-0000-0000-0000A8750000}"/>
    <cellStyle name="ReadOnlyValues 2 2 11" xfId="13812" xr:uid="{00000000-0005-0000-0000-0000A9750000}"/>
    <cellStyle name="ReadOnlyValues 2 2 11 2" xfId="20730" xr:uid="{00000000-0005-0000-0000-0000AA750000}"/>
    <cellStyle name="ReadOnlyValues 2 2 11 3" xfId="27126" xr:uid="{00000000-0005-0000-0000-0000AB750000}"/>
    <cellStyle name="ReadOnlyValues 2 2 11 4" xfId="27390" xr:uid="{00000000-0005-0000-0000-0000AC750000}"/>
    <cellStyle name="ReadOnlyValues 2 2 11_DataIX" xfId="34551" xr:uid="{00000000-0005-0000-0000-0000AD750000}"/>
    <cellStyle name="ReadOnlyValues 2 2 12" xfId="13783" xr:uid="{00000000-0005-0000-0000-0000AE750000}"/>
    <cellStyle name="ReadOnlyValues 2 2 13" xfId="22274" xr:uid="{00000000-0005-0000-0000-0000AF750000}"/>
    <cellStyle name="ReadOnlyValues 2 2 14" xfId="22351" xr:uid="{00000000-0005-0000-0000-0000B0750000}"/>
    <cellStyle name="ReadOnlyValues 2 2 15" xfId="22292" xr:uid="{00000000-0005-0000-0000-0000B1750000}"/>
    <cellStyle name="ReadOnlyValues 2 2 16" xfId="22675" xr:uid="{00000000-0005-0000-0000-0000B2750000}"/>
    <cellStyle name="ReadOnlyValues 2 2 17" xfId="22722" xr:uid="{00000000-0005-0000-0000-0000B3750000}"/>
    <cellStyle name="ReadOnlyValues 2 2 18" xfId="27925" xr:uid="{00000000-0005-0000-0000-0000B4750000}"/>
    <cellStyle name="ReadOnlyValues 2 2 19" xfId="28019" xr:uid="{00000000-0005-0000-0000-0000B5750000}"/>
    <cellStyle name="ReadOnlyValues 2 2 2" xfId="5223" xr:uid="{00000000-0005-0000-0000-0000B6750000}"/>
    <cellStyle name="ReadOnlyValues 2 2 2 2" xfId="10398" xr:uid="{00000000-0005-0000-0000-0000B7750000}"/>
    <cellStyle name="ReadOnlyValues 2 2 2 3" xfId="18553" xr:uid="{00000000-0005-0000-0000-0000B8750000}"/>
    <cellStyle name="ReadOnlyValues 2 2 2 3 2" xfId="21615" xr:uid="{00000000-0005-0000-0000-0000B9750000}"/>
    <cellStyle name="ReadOnlyValues 2 2 2 3 3" xfId="11043" xr:uid="{00000000-0005-0000-0000-0000BA750000}"/>
    <cellStyle name="ReadOnlyValues 2 2 2 3_DataIX" xfId="34553" xr:uid="{00000000-0005-0000-0000-0000BB750000}"/>
    <cellStyle name="ReadOnlyValues 2 2 2 4" xfId="20525" xr:uid="{00000000-0005-0000-0000-0000BC750000}"/>
    <cellStyle name="ReadOnlyValues 2 2 2 4 2" xfId="13758" xr:uid="{00000000-0005-0000-0000-0000BD750000}"/>
    <cellStyle name="ReadOnlyValues 2 2 2 4_DataIX" xfId="34554" xr:uid="{00000000-0005-0000-0000-0000BE750000}"/>
    <cellStyle name="ReadOnlyValues 2 2 2_DataIX" xfId="34552" xr:uid="{00000000-0005-0000-0000-0000BF750000}"/>
    <cellStyle name="ReadOnlyValues 2 2 20" xfId="28257" xr:uid="{00000000-0005-0000-0000-0000C0750000}"/>
    <cellStyle name="ReadOnlyValues 2 2 21" xfId="28386" xr:uid="{00000000-0005-0000-0000-0000C1750000}"/>
    <cellStyle name="ReadOnlyValues 2 2 22" xfId="28471" xr:uid="{00000000-0005-0000-0000-0000C2750000}"/>
    <cellStyle name="ReadOnlyValues 2 2 23" xfId="28334" xr:uid="{00000000-0005-0000-0000-0000C3750000}"/>
    <cellStyle name="ReadOnlyValues 2 2 24" xfId="28775" xr:uid="{00000000-0005-0000-0000-0000C4750000}"/>
    <cellStyle name="ReadOnlyValues 2 2 25" xfId="28920" xr:uid="{00000000-0005-0000-0000-0000C5750000}"/>
    <cellStyle name="ReadOnlyValues 2 2 26" xfId="28694" xr:uid="{00000000-0005-0000-0000-0000C6750000}"/>
    <cellStyle name="ReadOnlyValues 2 2 27" xfId="28852" xr:uid="{00000000-0005-0000-0000-0000C7750000}"/>
    <cellStyle name="ReadOnlyValues 2 2 28" xfId="29060" xr:uid="{00000000-0005-0000-0000-0000C8750000}"/>
    <cellStyle name="ReadOnlyValues 2 2 29" xfId="28992" xr:uid="{00000000-0005-0000-0000-0000C9750000}"/>
    <cellStyle name="ReadOnlyValues 2 2 3" xfId="5368" xr:uid="{00000000-0005-0000-0000-0000CA750000}"/>
    <cellStyle name="ReadOnlyValues 2 2 3 2" xfId="12820" xr:uid="{00000000-0005-0000-0000-0000CB750000}"/>
    <cellStyle name="ReadOnlyValues 2 2 3 3" xfId="18692" xr:uid="{00000000-0005-0000-0000-0000CC750000}"/>
    <cellStyle name="ReadOnlyValues 2 2 3 3 2" xfId="21658" xr:uid="{00000000-0005-0000-0000-0000CD750000}"/>
    <cellStyle name="ReadOnlyValues 2 2 3 3 3" xfId="21778" xr:uid="{00000000-0005-0000-0000-0000CE750000}"/>
    <cellStyle name="ReadOnlyValues 2 2 3 3_DataIX" xfId="34556" xr:uid="{00000000-0005-0000-0000-0000CF750000}"/>
    <cellStyle name="ReadOnlyValues 2 2 3 4" xfId="20481" xr:uid="{00000000-0005-0000-0000-0000D0750000}"/>
    <cellStyle name="ReadOnlyValues 2 2 3 4 2" xfId="13468" xr:uid="{00000000-0005-0000-0000-0000D1750000}"/>
    <cellStyle name="ReadOnlyValues 2 2 3 4_DataIX" xfId="34557" xr:uid="{00000000-0005-0000-0000-0000D2750000}"/>
    <cellStyle name="ReadOnlyValues 2 2 3_DataIX" xfId="34555" xr:uid="{00000000-0005-0000-0000-0000D3750000}"/>
    <cellStyle name="ReadOnlyValues 2 2 4" xfId="13110" xr:uid="{00000000-0005-0000-0000-0000D4750000}"/>
    <cellStyle name="ReadOnlyValues 2 2 4 2" xfId="20761" xr:uid="{00000000-0005-0000-0000-0000D5750000}"/>
    <cellStyle name="ReadOnlyValues 2 2 4 2 2" xfId="22121" xr:uid="{00000000-0005-0000-0000-0000D6750000}"/>
    <cellStyle name="ReadOnlyValues 2 2 4 2 3" xfId="21771" xr:uid="{00000000-0005-0000-0000-0000D7750000}"/>
    <cellStyle name="ReadOnlyValues 2 2 4 2_DataIX" xfId="34559" xr:uid="{00000000-0005-0000-0000-0000D8750000}"/>
    <cellStyle name="ReadOnlyValues 2 2 4 3" xfId="21123" xr:uid="{00000000-0005-0000-0000-0000D9750000}"/>
    <cellStyle name="ReadOnlyValues 2 2 4 3 2" xfId="13440" xr:uid="{00000000-0005-0000-0000-0000DA750000}"/>
    <cellStyle name="ReadOnlyValues 2 2 4 3_DataIX" xfId="34560" xr:uid="{00000000-0005-0000-0000-0000DB750000}"/>
    <cellStyle name="ReadOnlyValues 2 2 4 4" xfId="11291" xr:uid="{00000000-0005-0000-0000-0000DC750000}"/>
    <cellStyle name="ReadOnlyValues 2 2 4 5" xfId="26977" xr:uid="{00000000-0005-0000-0000-0000DD750000}"/>
    <cellStyle name="ReadOnlyValues 2 2 4 6" xfId="26898" xr:uid="{00000000-0005-0000-0000-0000DE750000}"/>
    <cellStyle name="ReadOnlyValues 2 2 4_DataIX" xfId="34558" xr:uid="{00000000-0005-0000-0000-0000DF750000}"/>
    <cellStyle name="ReadOnlyValues 2 2 5" xfId="13229" xr:uid="{00000000-0005-0000-0000-0000E0750000}"/>
    <cellStyle name="ReadOnlyValues 2 2 5 2" xfId="20839" xr:uid="{00000000-0005-0000-0000-0000E1750000}"/>
    <cellStyle name="ReadOnlyValues 2 2 5 2 2" xfId="22144" xr:uid="{00000000-0005-0000-0000-0000E2750000}"/>
    <cellStyle name="ReadOnlyValues 2 2 5 2 3" xfId="12620" xr:uid="{00000000-0005-0000-0000-0000E3750000}"/>
    <cellStyle name="ReadOnlyValues 2 2 5 2_DataIX" xfId="34562" xr:uid="{00000000-0005-0000-0000-0000E4750000}"/>
    <cellStyle name="ReadOnlyValues 2 2 5 3" xfId="21215" xr:uid="{00000000-0005-0000-0000-0000E5750000}"/>
    <cellStyle name="ReadOnlyValues 2 2 5 3 2" xfId="21598" xr:uid="{00000000-0005-0000-0000-0000E6750000}"/>
    <cellStyle name="ReadOnlyValues 2 2 5 3_DataIX" xfId="34563" xr:uid="{00000000-0005-0000-0000-0000E7750000}"/>
    <cellStyle name="ReadOnlyValues 2 2 5 4" xfId="13448" xr:uid="{00000000-0005-0000-0000-0000E8750000}"/>
    <cellStyle name="ReadOnlyValues 2 2 5 5" xfId="27346" xr:uid="{00000000-0005-0000-0000-0000E9750000}"/>
    <cellStyle name="ReadOnlyValues 2 2 5 6" xfId="22906" xr:uid="{00000000-0005-0000-0000-0000EA750000}"/>
    <cellStyle name="ReadOnlyValues 2 2 5_DataIX" xfId="34561" xr:uid="{00000000-0005-0000-0000-0000EB750000}"/>
    <cellStyle name="ReadOnlyValues 2 2 6" xfId="13212" xr:uid="{00000000-0005-0000-0000-0000EC750000}"/>
    <cellStyle name="ReadOnlyValues 2 2 6 2" xfId="21201" xr:uid="{00000000-0005-0000-0000-0000ED750000}"/>
    <cellStyle name="ReadOnlyValues 2 2 6 2 2" xfId="22112" xr:uid="{00000000-0005-0000-0000-0000EE750000}"/>
    <cellStyle name="ReadOnlyValues 2 2 6 2_DataIX" xfId="34565" xr:uid="{00000000-0005-0000-0000-0000EF750000}"/>
    <cellStyle name="ReadOnlyValues 2 2 6 3" xfId="21386" xr:uid="{00000000-0005-0000-0000-0000F0750000}"/>
    <cellStyle name="ReadOnlyValues 2 2 6 4" xfId="27413" xr:uid="{00000000-0005-0000-0000-0000F1750000}"/>
    <cellStyle name="ReadOnlyValues 2 2 6 5" xfId="26812" xr:uid="{00000000-0005-0000-0000-0000F2750000}"/>
    <cellStyle name="ReadOnlyValues 2 2 6_DataIX" xfId="34564" xr:uid="{00000000-0005-0000-0000-0000F3750000}"/>
    <cellStyle name="ReadOnlyValues 2 2 7" xfId="10723" xr:uid="{00000000-0005-0000-0000-0000F4750000}"/>
    <cellStyle name="ReadOnlyValues 2 2 7 2" xfId="21035" xr:uid="{00000000-0005-0000-0000-0000F5750000}"/>
    <cellStyle name="ReadOnlyValues 2 2 7 2 2" xfId="13558" xr:uid="{00000000-0005-0000-0000-0000F6750000}"/>
    <cellStyle name="ReadOnlyValues 2 2 7 2_DataIX" xfId="34567" xr:uid="{00000000-0005-0000-0000-0000F7750000}"/>
    <cellStyle name="ReadOnlyValues 2 2 7 3" xfId="13658" xr:uid="{00000000-0005-0000-0000-0000F8750000}"/>
    <cellStyle name="ReadOnlyValues 2 2 7 4" xfId="27160" xr:uid="{00000000-0005-0000-0000-0000F9750000}"/>
    <cellStyle name="ReadOnlyValues 2 2 7 5" xfId="27594" xr:uid="{00000000-0005-0000-0000-0000FA750000}"/>
    <cellStyle name="ReadOnlyValues 2 2 7_DataIX" xfId="34566" xr:uid="{00000000-0005-0000-0000-0000FB750000}"/>
    <cellStyle name="ReadOnlyValues 2 2 8" xfId="11154" xr:uid="{00000000-0005-0000-0000-0000FC750000}"/>
    <cellStyle name="ReadOnlyValues 2 2 8 2" xfId="21091" xr:uid="{00000000-0005-0000-0000-0000FD750000}"/>
    <cellStyle name="ReadOnlyValues 2 2 8 2 2" xfId="13690" xr:uid="{00000000-0005-0000-0000-0000FE750000}"/>
    <cellStyle name="ReadOnlyValues 2 2 8 2_DataIX" xfId="34569" xr:uid="{00000000-0005-0000-0000-0000FF750000}"/>
    <cellStyle name="ReadOnlyValues 2 2 8 3" xfId="13615" xr:uid="{00000000-0005-0000-0000-000000760000}"/>
    <cellStyle name="ReadOnlyValues 2 2 8 4" xfId="27379" xr:uid="{00000000-0005-0000-0000-000001760000}"/>
    <cellStyle name="ReadOnlyValues 2 2 8 5" xfId="27618" xr:uid="{00000000-0005-0000-0000-000002760000}"/>
    <cellStyle name="ReadOnlyValues 2 2 8_DataIX" xfId="34568" xr:uid="{00000000-0005-0000-0000-000003760000}"/>
    <cellStyle name="ReadOnlyValues 2 2 9" xfId="13776" xr:uid="{00000000-0005-0000-0000-000004760000}"/>
    <cellStyle name="ReadOnlyValues 2 2 9 2" xfId="21380" xr:uid="{00000000-0005-0000-0000-000005760000}"/>
    <cellStyle name="ReadOnlyValues 2 2 9 2 2" xfId="22278" xr:uid="{00000000-0005-0000-0000-000006760000}"/>
    <cellStyle name="ReadOnlyValues 2 2 9 2_DataIX" xfId="34571" xr:uid="{00000000-0005-0000-0000-000007760000}"/>
    <cellStyle name="ReadOnlyValues 2 2 9 3" xfId="10865" xr:uid="{00000000-0005-0000-0000-000008760000}"/>
    <cellStyle name="ReadOnlyValues 2 2 9 4" xfId="27237" xr:uid="{00000000-0005-0000-0000-000009760000}"/>
    <cellStyle name="ReadOnlyValues 2 2 9 5" xfId="22911" xr:uid="{00000000-0005-0000-0000-00000A760000}"/>
    <cellStyle name="ReadOnlyValues 2 2 9_DataIX" xfId="34570" xr:uid="{00000000-0005-0000-0000-00000B760000}"/>
    <cellStyle name="ReadOnlyValues 2 2_##Keskeiset" xfId="10397" xr:uid="{00000000-0005-0000-0000-00000C760000}"/>
    <cellStyle name="ReadOnlyValues 2 20" xfId="28256" xr:uid="{00000000-0005-0000-0000-00000D760000}"/>
    <cellStyle name="ReadOnlyValues 2 21" xfId="28387" xr:uid="{00000000-0005-0000-0000-00000E760000}"/>
    <cellStyle name="ReadOnlyValues 2 22" xfId="28472" xr:uid="{00000000-0005-0000-0000-00000F760000}"/>
    <cellStyle name="ReadOnlyValues 2 23" xfId="28331" xr:uid="{00000000-0005-0000-0000-000010760000}"/>
    <cellStyle name="ReadOnlyValues 2 24" xfId="28776" xr:uid="{00000000-0005-0000-0000-000011760000}"/>
    <cellStyle name="ReadOnlyValues 2 25" xfId="28922" xr:uid="{00000000-0005-0000-0000-000012760000}"/>
    <cellStyle name="ReadOnlyValues 2 26" xfId="28695" xr:uid="{00000000-0005-0000-0000-000013760000}"/>
    <cellStyle name="ReadOnlyValues 2 27" xfId="28851" xr:uid="{00000000-0005-0000-0000-000014760000}"/>
    <cellStyle name="ReadOnlyValues 2 28" xfId="29059" xr:uid="{00000000-0005-0000-0000-000015760000}"/>
    <cellStyle name="ReadOnlyValues 2 29" xfId="29150" xr:uid="{00000000-0005-0000-0000-000016760000}"/>
    <cellStyle name="ReadOnlyValues 2 3" xfId="5224" xr:uid="{00000000-0005-0000-0000-000017760000}"/>
    <cellStyle name="ReadOnlyValues 2 3 2" xfId="5667" xr:uid="{00000000-0005-0000-0000-000018760000}"/>
    <cellStyle name="ReadOnlyValues 2 3 2 2" xfId="12821" xr:uid="{00000000-0005-0000-0000-000019760000}"/>
    <cellStyle name="ReadOnlyValues 2 3 2 3" xfId="18881" xr:uid="{00000000-0005-0000-0000-00001A760000}"/>
    <cellStyle name="ReadOnlyValues 2 3 2 3 2" xfId="21721" xr:uid="{00000000-0005-0000-0000-00001B760000}"/>
    <cellStyle name="ReadOnlyValues 2 3 2 3 3" xfId="13593" xr:uid="{00000000-0005-0000-0000-00001C760000}"/>
    <cellStyle name="ReadOnlyValues 2 3 2 3_DataIX" xfId="34574" xr:uid="{00000000-0005-0000-0000-00001D760000}"/>
    <cellStyle name="ReadOnlyValues 2 3 2 4" xfId="18956" xr:uid="{00000000-0005-0000-0000-00001E760000}"/>
    <cellStyle name="ReadOnlyValues 2 3 2 4 2" xfId="21847" xr:uid="{00000000-0005-0000-0000-00001F760000}"/>
    <cellStyle name="ReadOnlyValues 2 3 2 4_DataIX" xfId="34575" xr:uid="{00000000-0005-0000-0000-000020760000}"/>
    <cellStyle name="ReadOnlyValues 2 3 2_DataIX" xfId="34573" xr:uid="{00000000-0005-0000-0000-000021760000}"/>
    <cellStyle name="ReadOnlyValues 2 3 3" xfId="11156" xr:uid="{00000000-0005-0000-0000-000022760000}"/>
    <cellStyle name="ReadOnlyValues 2 3 4" xfId="18554" xr:uid="{00000000-0005-0000-0000-000023760000}"/>
    <cellStyle name="ReadOnlyValues 2 3 4 2" xfId="21616" xr:uid="{00000000-0005-0000-0000-000024760000}"/>
    <cellStyle name="ReadOnlyValues 2 3 4 3" xfId="21957" xr:uid="{00000000-0005-0000-0000-000025760000}"/>
    <cellStyle name="ReadOnlyValues 2 3 4_DataIX" xfId="34576" xr:uid="{00000000-0005-0000-0000-000026760000}"/>
    <cellStyle name="ReadOnlyValues 2 3 5" xfId="19045" xr:uid="{00000000-0005-0000-0000-000027760000}"/>
    <cellStyle name="ReadOnlyValues 2 3 5 2" xfId="10789" xr:uid="{00000000-0005-0000-0000-000028760000}"/>
    <cellStyle name="ReadOnlyValues 2 3 5_DataIX" xfId="34577" xr:uid="{00000000-0005-0000-0000-000029760000}"/>
    <cellStyle name="ReadOnlyValues 2 3_DataIX" xfId="34572" xr:uid="{00000000-0005-0000-0000-00002A760000}"/>
    <cellStyle name="ReadOnlyValues 2 4" xfId="5668" xr:uid="{00000000-0005-0000-0000-00002B760000}"/>
    <cellStyle name="ReadOnlyValues 2 4 2" xfId="12822" xr:uid="{00000000-0005-0000-0000-00002C760000}"/>
    <cellStyle name="ReadOnlyValues 2 4 3" xfId="18882" xr:uid="{00000000-0005-0000-0000-00002D760000}"/>
    <cellStyle name="ReadOnlyValues 2 4 3 2" xfId="21722" xr:uid="{00000000-0005-0000-0000-00002E760000}"/>
    <cellStyle name="ReadOnlyValues 2 4 3 3" xfId="21930" xr:uid="{00000000-0005-0000-0000-00002F760000}"/>
    <cellStyle name="ReadOnlyValues 2 4 3_DataIX" xfId="34579" xr:uid="{00000000-0005-0000-0000-000030760000}"/>
    <cellStyle name="ReadOnlyValues 2 4 4" xfId="18952" xr:uid="{00000000-0005-0000-0000-000031760000}"/>
    <cellStyle name="ReadOnlyValues 2 4 4 2" xfId="22033" xr:uid="{00000000-0005-0000-0000-000032760000}"/>
    <cellStyle name="ReadOnlyValues 2 4 4_DataIX" xfId="34580" xr:uid="{00000000-0005-0000-0000-000033760000}"/>
    <cellStyle name="ReadOnlyValues 2 4_DataIX" xfId="34578" xr:uid="{00000000-0005-0000-0000-000034760000}"/>
    <cellStyle name="ReadOnlyValues 2 5" xfId="5367" xr:uid="{00000000-0005-0000-0000-000035760000}"/>
    <cellStyle name="ReadOnlyValues 2 5 2" xfId="12823" xr:uid="{00000000-0005-0000-0000-000036760000}"/>
    <cellStyle name="ReadOnlyValues 2 5 3" xfId="18691" xr:uid="{00000000-0005-0000-0000-000037760000}"/>
    <cellStyle name="ReadOnlyValues 2 5 3 2" xfId="21657" xr:uid="{00000000-0005-0000-0000-000038760000}"/>
    <cellStyle name="ReadOnlyValues 2 5 3 3" xfId="21468" xr:uid="{00000000-0005-0000-0000-000039760000}"/>
    <cellStyle name="ReadOnlyValues 2 5 3_DataIX" xfId="34582" xr:uid="{00000000-0005-0000-0000-00003A760000}"/>
    <cellStyle name="ReadOnlyValues 2 5 4" xfId="18996" xr:uid="{00000000-0005-0000-0000-00003B760000}"/>
    <cellStyle name="ReadOnlyValues 2 5 4 2" xfId="21880" xr:uid="{00000000-0005-0000-0000-00003C760000}"/>
    <cellStyle name="ReadOnlyValues 2 5 4_DataIX" xfId="34583" xr:uid="{00000000-0005-0000-0000-00003D760000}"/>
    <cellStyle name="ReadOnlyValues 2 5_DataIX" xfId="34581" xr:uid="{00000000-0005-0000-0000-00003E760000}"/>
    <cellStyle name="ReadOnlyValues 2 6" xfId="13185" xr:uid="{00000000-0005-0000-0000-00003F760000}"/>
    <cellStyle name="ReadOnlyValues 2 6 2" xfId="20810" xr:uid="{00000000-0005-0000-0000-000040760000}"/>
    <cellStyle name="ReadOnlyValues 2 6 2 2" xfId="22135" xr:uid="{00000000-0005-0000-0000-000041760000}"/>
    <cellStyle name="ReadOnlyValues 2 6 2 3" xfId="21805" xr:uid="{00000000-0005-0000-0000-000042760000}"/>
    <cellStyle name="ReadOnlyValues 2 6 2_DataIX" xfId="34585" xr:uid="{00000000-0005-0000-0000-000043760000}"/>
    <cellStyle name="ReadOnlyValues 2 6 3" xfId="21183" xr:uid="{00000000-0005-0000-0000-000044760000}"/>
    <cellStyle name="ReadOnlyValues 2 6 3 2" xfId="21888" xr:uid="{00000000-0005-0000-0000-000045760000}"/>
    <cellStyle name="ReadOnlyValues 2 6 3_DataIX" xfId="34586" xr:uid="{00000000-0005-0000-0000-000046760000}"/>
    <cellStyle name="ReadOnlyValues 2 6 4" xfId="21508" xr:uid="{00000000-0005-0000-0000-000047760000}"/>
    <cellStyle name="ReadOnlyValues 2 6 5" xfId="26976" xr:uid="{00000000-0005-0000-0000-000048760000}"/>
    <cellStyle name="ReadOnlyValues 2 6 6" xfId="23021" xr:uid="{00000000-0005-0000-0000-000049760000}"/>
    <cellStyle name="ReadOnlyValues 2 6_DataIX" xfId="34584" xr:uid="{00000000-0005-0000-0000-00004A760000}"/>
    <cellStyle name="ReadOnlyValues 2 7" xfId="13328" xr:uid="{00000000-0005-0000-0000-00004B760000}"/>
    <cellStyle name="ReadOnlyValues 2 7 2" xfId="20909" xr:uid="{00000000-0005-0000-0000-00004C760000}"/>
    <cellStyle name="ReadOnlyValues 2 7 2 2" xfId="22173" xr:uid="{00000000-0005-0000-0000-00004D760000}"/>
    <cellStyle name="ReadOnlyValues 2 7 2 3" xfId="13651" xr:uid="{00000000-0005-0000-0000-00004E760000}"/>
    <cellStyle name="ReadOnlyValues 2 7 2_DataIX" xfId="34588" xr:uid="{00000000-0005-0000-0000-00004F760000}"/>
    <cellStyle name="ReadOnlyValues 2 7 3" xfId="21295" xr:uid="{00000000-0005-0000-0000-000050760000}"/>
    <cellStyle name="ReadOnlyValues 2 7 3 2" xfId="10786" xr:uid="{00000000-0005-0000-0000-000051760000}"/>
    <cellStyle name="ReadOnlyValues 2 7 3_DataIX" xfId="34589" xr:uid="{00000000-0005-0000-0000-000052760000}"/>
    <cellStyle name="ReadOnlyValues 2 7 4" xfId="10836" xr:uid="{00000000-0005-0000-0000-000053760000}"/>
    <cellStyle name="ReadOnlyValues 2 7 5" xfId="27492" xr:uid="{00000000-0005-0000-0000-000054760000}"/>
    <cellStyle name="ReadOnlyValues 2 7 6" xfId="26854" xr:uid="{00000000-0005-0000-0000-000055760000}"/>
    <cellStyle name="ReadOnlyValues 2 7_DataIX" xfId="34587" xr:uid="{00000000-0005-0000-0000-000056760000}"/>
    <cellStyle name="ReadOnlyValues 2 8" xfId="13243" xr:uid="{00000000-0005-0000-0000-000057760000}"/>
    <cellStyle name="ReadOnlyValues 2 8 2" xfId="21227" xr:uid="{00000000-0005-0000-0000-000058760000}"/>
    <cellStyle name="ReadOnlyValues 2 8 2 2" xfId="12761" xr:uid="{00000000-0005-0000-0000-000059760000}"/>
    <cellStyle name="ReadOnlyValues 2 8 2_DataIX" xfId="34591" xr:uid="{00000000-0005-0000-0000-00005A760000}"/>
    <cellStyle name="ReadOnlyValues 2 8 3" xfId="20683" xr:uid="{00000000-0005-0000-0000-00005B760000}"/>
    <cellStyle name="ReadOnlyValues 2 8 4" xfId="27534" xr:uid="{00000000-0005-0000-0000-00005C760000}"/>
    <cellStyle name="ReadOnlyValues 2 8 5" xfId="22839" xr:uid="{00000000-0005-0000-0000-00005D760000}"/>
    <cellStyle name="ReadOnlyValues 2 8_DataIX" xfId="34590" xr:uid="{00000000-0005-0000-0000-00005E760000}"/>
    <cellStyle name="ReadOnlyValues 2 9" xfId="10722" xr:uid="{00000000-0005-0000-0000-00005F760000}"/>
    <cellStyle name="ReadOnlyValues 2 9 2" xfId="21034" xr:uid="{00000000-0005-0000-0000-000060760000}"/>
    <cellStyle name="ReadOnlyValues 2 9 2 2" xfId="12721" xr:uid="{00000000-0005-0000-0000-000061760000}"/>
    <cellStyle name="ReadOnlyValues 2 9 2_DataIX" xfId="34593" xr:uid="{00000000-0005-0000-0000-000062760000}"/>
    <cellStyle name="ReadOnlyValues 2 9 3" xfId="22229" xr:uid="{00000000-0005-0000-0000-000063760000}"/>
    <cellStyle name="ReadOnlyValues 2 9 4" xfId="27264" xr:uid="{00000000-0005-0000-0000-000064760000}"/>
    <cellStyle name="ReadOnlyValues 2 9 5" xfId="23133" xr:uid="{00000000-0005-0000-0000-000065760000}"/>
    <cellStyle name="ReadOnlyValues 2 9_DataIX" xfId="34592" xr:uid="{00000000-0005-0000-0000-000066760000}"/>
    <cellStyle name="ReadOnlyValues 2_##Keskeiset" xfId="10396" xr:uid="{00000000-0005-0000-0000-000067760000}"/>
    <cellStyle name="ReadOnlyValues 3" xfId="5103" xr:uid="{00000000-0005-0000-0000-000068760000}"/>
    <cellStyle name="ReadOnlyValues 3 2" xfId="5669" xr:uid="{00000000-0005-0000-0000-000069760000}"/>
    <cellStyle name="ReadOnlyValues 3 2 2" xfId="12824" xr:uid="{00000000-0005-0000-0000-00006A760000}"/>
    <cellStyle name="ReadOnlyValues 3 2 3" xfId="18883" xr:uid="{00000000-0005-0000-0000-00006B760000}"/>
    <cellStyle name="ReadOnlyValues 3 2 3 2" xfId="21723" xr:uid="{00000000-0005-0000-0000-00006C760000}"/>
    <cellStyle name="ReadOnlyValues 3 2 3 3" xfId="20734" xr:uid="{00000000-0005-0000-0000-00006D760000}"/>
    <cellStyle name="ReadOnlyValues 3 2 3_DataIX" xfId="34596" xr:uid="{00000000-0005-0000-0000-00006E760000}"/>
    <cellStyle name="ReadOnlyValues 3 2 4" xfId="20436" xr:uid="{00000000-0005-0000-0000-00006F760000}"/>
    <cellStyle name="ReadOnlyValues 3 2 4 2" xfId="22044" xr:uid="{00000000-0005-0000-0000-000070760000}"/>
    <cellStyle name="ReadOnlyValues 3 2 4_DataIX" xfId="34597" xr:uid="{00000000-0005-0000-0000-000071760000}"/>
    <cellStyle name="ReadOnlyValues 3 2_DataIX" xfId="34595" xr:uid="{00000000-0005-0000-0000-000072760000}"/>
    <cellStyle name="ReadOnlyValues 3 3" xfId="11157" xr:uid="{00000000-0005-0000-0000-000073760000}"/>
    <cellStyle name="ReadOnlyValues 3 4" xfId="18442" xr:uid="{00000000-0005-0000-0000-000074760000}"/>
    <cellStyle name="ReadOnlyValues 3 4 2" xfId="21585" xr:uid="{00000000-0005-0000-0000-000075760000}"/>
    <cellStyle name="ReadOnlyValues 3 4 3" xfId="21772" xr:uid="{00000000-0005-0000-0000-000076760000}"/>
    <cellStyle name="ReadOnlyValues 3 4_DataIX" xfId="34598" xr:uid="{00000000-0005-0000-0000-000077760000}"/>
    <cellStyle name="ReadOnlyValues 3 5" xfId="19071" xr:uid="{00000000-0005-0000-0000-000078760000}"/>
    <cellStyle name="ReadOnlyValues 3 5 2" xfId="22086" xr:uid="{00000000-0005-0000-0000-000079760000}"/>
    <cellStyle name="ReadOnlyValues 3 5_DataIX" xfId="34599" xr:uid="{00000000-0005-0000-0000-00007A760000}"/>
    <cellStyle name="ReadOnlyValues 3_DataIX" xfId="34594" xr:uid="{00000000-0005-0000-0000-00007B760000}"/>
    <cellStyle name="ReadOnlyValues 4" xfId="5281" xr:uid="{00000000-0005-0000-0000-00007C760000}"/>
    <cellStyle name="ReadOnlyValues 4 2" xfId="5670" xr:uid="{00000000-0005-0000-0000-00007D760000}"/>
    <cellStyle name="ReadOnlyValues 4 2 2" xfId="12825" xr:uid="{00000000-0005-0000-0000-00007E760000}"/>
    <cellStyle name="ReadOnlyValues 4 2 3" xfId="18884" xr:uid="{00000000-0005-0000-0000-00007F760000}"/>
    <cellStyle name="ReadOnlyValues 4 2 3 2" xfId="21724" xr:uid="{00000000-0005-0000-0000-000080760000}"/>
    <cellStyle name="ReadOnlyValues 4 2 3 3" xfId="12612" xr:uid="{00000000-0005-0000-0000-000081760000}"/>
    <cellStyle name="ReadOnlyValues 4 2 3_DataIX" xfId="34602" xr:uid="{00000000-0005-0000-0000-000082760000}"/>
    <cellStyle name="ReadOnlyValues 4 2 4" xfId="18953" xr:uid="{00000000-0005-0000-0000-000083760000}"/>
    <cellStyle name="ReadOnlyValues 4 2 4 2" xfId="11244" xr:uid="{00000000-0005-0000-0000-000084760000}"/>
    <cellStyle name="ReadOnlyValues 4 2 4_DataIX" xfId="34603" xr:uid="{00000000-0005-0000-0000-000085760000}"/>
    <cellStyle name="ReadOnlyValues 4 2_DataIX" xfId="34601" xr:uid="{00000000-0005-0000-0000-000086760000}"/>
    <cellStyle name="ReadOnlyValues 4 3" xfId="11158" xr:uid="{00000000-0005-0000-0000-000087760000}"/>
    <cellStyle name="ReadOnlyValues 4 4" xfId="18605" xr:uid="{00000000-0005-0000-0000-000088760000}"/>
    <cellStyle name="ReadOnlyValues 4 4 2" xfId="21633" xr:uid="{00000000-0005-0000-0000-000089760000}"/>
    <cellStyle name="ReadOnlyValues 4 4 3" xfId="20696" xr:uid="{00000000-0005-0000-0000-00008A760000}"/>
    <cellStyle name="ReadOnlyValues 4 4_DataIX" xfId="34604" xr:uid="{00000000-0005-0000-0000-00008B760000}"/>
    <cellStyle name="ReadOnlyValues 4 5" xfId="20505" xr:uid="{00000000-0005-0000-0000-00008C760000}"/>
    <cellStyle name="ReadOnlyValues 4 5 2" xfId="21982" xr:uid="{00000000-0005-0000-0000-00008D760000}"/>
    <cellStyle name="ReadOnlyValues 4 5_DataIX" xfId="34605" xr:uid="{00000000-0005-0000-0000-00008E760000}"/>
    <cellStyle name="ReadOnlyValues 4_DataIX" xfId="34600" xr:uid="{00000000-0005-0000-0000-00008F760000}"/>
    <cellStyle name="ReadOnlyValues 5" xfId="3287" xr:uid="{00000000-0005-0000-0000-000090760000}"/>
    <cellStyle name="ReadOnlyValues 5 2" xfId="10399" xr:uid="{00000000-0005-0000-0000-000091760000}"/>
    <cellStyle name="ReadOnlyValues 5 3" xfId="16805" xr:uid="{00000000-0005-0000-0000-000092760000}"/>
    <cellStyle name="ReadOnlyValues 5 3 2" xfId="21500" xr:uid="{00000000-0005-0000-0000-000093760000}"/>
    <cellStyle name="ReadOnlyValues 5 3 3" xfId="13604" xr:uid="{00000000-0005-0000-0000-000094760000}"/>
    <cellStyle name="ReadOnlyValues 5 3_DataIX" xfId="34607" xr:uid="{00000000-0005-0000-0000-000095760000}"/>
    <cellStyle name="ReadOnlyValues 5 4" xfId="20738" xr:uid="{00000000-0005-0000-0000-000096760000}"/>
    <cellStyle name="ReadOnlyValues 5 4 2" xfId="21762" xr:uid="{00000000-0005-0000-0000-000097760000}"/>
    <cellStyle name="ReadOnlyValues 5 4_DataIX" xfId="34608" xr:uid="{00000000-0005-0000-0000-000098760000}"/>
    <cellStyle name="ReadOnlyValues 5_DataIX" xfId="34606" xr:uid="{00000000-0005-0000-0000-000099760000}"/>
    <cellStyle name="ReadOnlyValues 6" xfId="5277" xr:uid="{00000000-0005-0000-0000-00009A760000}"/>
    <cellStyle name="ReadOnlyValues 6 2" xfId="10400" xr:uid="{00000000-0005-0000-0000-00009B760000}"/>
    <cellStyle name="ReadOnlyValues 6 3" xfId="18601" xr:uid="{00000000-0005-0000-0000-00009C760000}"/>
    <cellStyle name="ReadOnlyValues 6 3 2" xfId="21629" xr:uid="{00000000-0005-0000-0000-00009D760000}"/>
    <cellStyle name="ReadOnlyValues 6 3 3" xfId="12704" xr:uid="{00000000-0005-0000-0000-00009E760000}"/>
    <cellStyle name="ReadOnlyValues 6 3_DataIX" xfId="34610" xr:uid="{00000000-0005-0000-0000-00009F760000}"/>
    <cellStyle name="ReadOnlyValues 6 4" xfId="20506" xr:uid="{00000000-0005-0000-0000-0000A0760000}"/>
    <cellStyle name="ReadOnlyValues 6 4 2" xfId="11041" xr:uid="{00000000-0005-0000-0000-0000A1760000}"/>
    <cellStyle name="ReadOnlyValues 6 4_DataIX" xfId="34611" xr:uid="{00000000-0005-0000-0000-0000A2760000}"/>
    <cellStyle name="ReadOnlyValues 6_DataIX" xfId="34609" xr:uid="{00000000-0005-0000-0000-0000A3760000}"/>
    <cellStyle name="ReadOnlyValues 7" xfId="5225" xr:uid="{00000000-0005-0000-0000-0000A4760000}"/>
    <cellStyle name="ReadOnlyValues 7 2" xfId="10401" xr:uid="{00000000-0005-0000-0000-0000A5760000}"/>
    <cellStyle name="ReadOnlyValues 7 3" xfId="18555" xr:uid="{00000000-0005-0000-0000-0000A6760000}"/>
    <cellStyle name="ReadOnlyValues 7 3 2" xfId="21617" xr:uid="{00000000-0005-0000-0000-0000A7760000}"/>
    <cellStyle name="ReadOnlyValues 7 3 3" xfId="21757" xr:uid="{00000000-0005-0000-0000-0000A8760000}"/>
    <cellStyle name="ReadOnlyValues 7 3_DataIX" xfId="34613" xr:uid="{00000000-0005-0000-0000-0000A9760000}"/>
    <cellStyle name="ReadOnlyValues 7 4" xfId="20526" xr:uid="{00000000-0005-0000-0000-0000AA760000}"/>
    <cellStyle name="ReadOnlyValues 7 4 2" xfId="13579" xr:uid="{00000000-0005-0000-0000-0000AB760000}"/>
    <cellStyle name="ReadOnlyValues 7 4_DataIX" xfId="34614" xr:uid="{00000000-0005-0000-0000-0000AC760000}"/>
    <cellStyle name="ReadOnlyValues 7_DataIX" xfId="34612" xr:uid="{00000000-0005-0000-0000-0000AD760000}"/>
    <cellStyle name="ReadOnlyValues 8" xfId="5315" xr:uid="{00000000-0005-0000-0000-0000AE760000}"/>
    <cellStyle name="ReadOnlyValues 8 2" xfId="12826" xr:uid="{00000000-0005-0000-0000-0000AF760000}"/>
    <cellStyle name="ReadOnlyValues 8 3" xfId="18639" xr:uid="{00000000-0005-0000-0000-0000B0760000}"/>
    <cellStyle name="ReadOnlyValues 8 3 2" xfId="21642" xr:uid="{00000000-0005-0000-0000-0000B1760000}"/>
    <cellStyle name="ReadOnlyValues 8 3 3" xfId="22253" xr:uid="{00000000-0005-0000-0000-0000B2760000}"/>
    <cellStyle name="ReadOnlyValues 8 3_DataIX" xfId="34616" xr:uid="{00000000-0005-0000-0000-0000B3760000}"/>
    <cellStyle name="ReadOnlyValues 8 4" xfId="20497" xr:uid="{00000000-0005-0000-0000-0000B4760000}"/>
    <cellStyle name="ReadOnlyValues 8 4 2" xfId="13473" xr:uid="{00000000-0005-0000-0000-0000B5760000}"/>
    <cellStyle name="ReadOnlyValues 8 4_DataIX" xfId="34617" xr:uid="{00000000-0005-0000-0000-0000B6760000}"/>
    <cellStyle name="ReadOnlyValues 8_DataIX" xfId="34615" xr:uid="{00000000-0005-0000-0000-0000B7760000}"/>
    <cellStyle name="ReadOnlyValues 9" xfId="13313" xr:uid="{00000000-0005-0000-0000-0000B8760000}"/>
    <cellStyle name="ReadOnlyValues 9 2" xfId="20901" xr:uid="{00000000-0005-0000-0000-0000B9760000}"/>
    <cellStyle name="ReadOnlyValues 9 2 2" xfId="22167" xr:uid="{00000000-0005-0000-0000-0000BA760000}"/>
    <cellStyle name="ReadOnlyValues 9 2 3" xfId="21491" xr:uid="{00000000-0005-0000-0000-0000BB760000}"/>
    <cellStyle name="ReadOnlyValues 9 2_DataIX" xfId="34619" xr:uid="{00000000-0005-0000-0000-0000BC760000}"/>
    <cellStyle name="ReadOnlyValues 9 3" xfId="21287" xr:uid="{00000000-0005-0000-0000-0000BD760000}"/>
    <cellStyle name="ReadOnlyValues 9 3 2" xfId="12623" xr:uid="{00000000-0005-0000-0000-0000BE760000}"/>
    <cellStyle name="ReadOnlyValues 9 3_DataIX" xfId="34620" xr:uid="{00000000-0005-0000-0000-0000BF760000}"/>
    <cellStyle name="ReadOnlyValues 9 4" xfId="11241" xr:uid="{00000000-0005-0000-0000-0000C0760000}"/>
    <cellStyle name="ReadOnlyValues 9 5" xfId="26915" xr:uid="{00000000-0005-0000-0000-0000C1760000}"/>
    <cellStyle name="ReadOnlyValues 9 6" xfId="22797" xr:uid="{00000000-0005-0000-0000-0000C2760000}"/>
    <cellStyle name="ReadOnlyValues 9_DataIX" xfId="34618" xr:uid="{00000000-0005-0000-0000-0000C3760000}"/>
    <cellStyle name="ReadOnlyValues_##Keskeiset" xfId="10395" xr:uid="{00000000-0005-0000-0000-0000C4760000}"/>
    <cellStyle name="ReadWriteData" xfId="120" xr:uid="{00000000-0005-0000-0000-0000C5760000}"/>
    <cellStyle name="ReadWriteData 10" xfId="13323" xr:uid="{00000000-0005-0000-0000-0000C6760000}"/>
    <cellStyle name="ReadWriteData 10 2" xfId="20906" xr:uid="{00000000-0005-0000-0000-0000C7760000}"/>
    <cellStyle name="ReadWriteData 10 2 2" xfId="22171" xr:uid="{00000000-0005-0000-0000-0000C8760000}"/>
    <cellStyle name="ReadWriteData 10 2 3" xfId="13446" xr:uid="{00000000-0005-0000-0000-0000C9760000}"/>
    <cellStyle name="ReadWriteData 10 2_DataIX" xfId="34622" xr:uid="{00000000-0005-0000-0000-0000CA760000}"/>
    <cellStyle name="ReadWriteData 10 3" xfId="21292" xr:uid="{00000000-0005-0000-0000-0000CB760000}"/>
    <cellStyle name="ReadWriteData 10 3 2" xfId="12615" xr:uid="{00000000-0005-0000-0000-0000CC760000}"/>
    <cellStyle name="ReadWriteData 10 3_DataIX" xfId="34623" xr:uid="{00000000-0005-0000-0000-0000CD760000}"/>
    <cellStyle name="ReadWriteData 10 4" xfId="21456" xr:uid="{00000000-0005-0000-0000-0000CE760000}"/>
    <cellStyle name="ReadWriteData 10 5" xfId="27509" xr:uid="{00000000-0005-0000-0000-0000CF760000}"/>
    <cellStyle name="ReadWriteData 10 6" xfId="22988" xr:uid="{00000000-0005-0000-0000-0000D0760000}"/>
    <cellStyle name="ReadWriteData 10_DataIX" xfId="34621" xr:uid="{00000000-0005-0000-0000-0000D1760000}"/>
    <cellStyle name="ReadWriteData 11" xfId="13268" xr:uid="{00000000-0005-0000-0000-0000D2760000}"/>
    <cellStyle name="ReadWriteData 11 2" xfId="21245" xr:uid="{00000000-0005-0000-0000-0000D3760000}"/>
    <cellStyle name="ReadWriteData 11 2 2" xfId="13524" xr:uid="{00000000-0005-0000-0000-0000D4760000}"/>
    <cellStyle name="ReadWriteData 11 2_DataIX" xfId="34625" xr:uid="{00000000-0005-0000-0000-0000D5760000}"/>
    <cellStyle name="ReadWriteData 11 3" xfId="13766" xr:uid="{00000000-0005-0000-0000-0000D6760000}"/>
    <cellStyle name="ReadWriteData 11 4" xfId="27131" xr:uid="{00000000-0005-0000-0000-0000D7760000}"/>
    <cellStyle name="ReadWriteData 11 5" xfId="26776" xr:uid="{00000000-0005-0000-0000-0000D8760000}"/>
    <cellStyle name="ReadWriteData 11_DataIX" xfId="34624" xr:uid="{00000000-0005-0000-0000-0000D9760000}"/>
    <cellStyle name="ReadWriteData 12" xfId="10677" xr:uid="{00000000-0005-0000-0000-0000DA760000}"/>
    <cellStyle name="ReadWriteData 12 2" xfId="21007" xr:uid="{00000000-0005-0000-0000-0000DB760000}"/>
    <cellStyle name="ReadWriteData 12 2 2" xfId="21870" xr:uid="{00000000-0005-0000-0000-0000DC760000}"/>
    <cellStyle name="ReadWriteData 12 2_DataIX" xfId="34627" xr:uid="{00000000-0005-0000-0000-0000DD760000}"/>
    <cellStyle name="ReadWriteData 12 3" xfId="12747" xr:uid="{00000000-0005-0000-0000-0000DE760000}"/>
    <cellStyle name="ReadWriteData 12_DataIX" xfId="34626" xr:uid="{00000000-0005-0000-0000-0000DF760000}"/>
    <cellStyle name="ReadWriteData 13" xfId="21696" xr:uid="{00000000-0005-0000-0000-0000E0760000}"/>
    <cellStyle name="ReadWriteData 14" xfId="28068" xr:uid="{00000000-0005-0000-0000-0000E1760000}"/>
    <cellStyle name="ReadWriteData 15" xfId="28437" xr:uid="{00000000-0005-0000-0000-0000E2760000}"/>
    <cellStyle name="ReadWriteData 16" xfId="28605" xr:uid="{00000000-0005-0000-0000-0000E3760000}"/>
    <cellStyle name="ReadWriteData 17" xfId="28969" xr:uid="{00000000-0005-0000-0000-0000E4760000}"/>
    <cellStyle name="ReadWriteData 18" xfId="28736" xr:uid="{00000000-0005-0000-0000-0000E5760000}"/>
    <cellStyle name="ReadWriteData 19" xfId="29202" xr:uid="{00000000-0005-0000-0000-0000E6760000}"/>
    <cellStyle name="ReadWriteData 2" xfId="236" xr:uid="{00000000-0005-0000-0000-0000E7760000}"/>
    <cellStyle name="ReadWriteData 2 10" xfId="11153" xr:uid="{00000000-0005-0000-0000-0000E8760000}"/>
    <cellStyle name="ReadWriteData 2 10 2" xfId="21090" xr:uid="{00000000-0005-0000-0000-0000E9760000}"/>
    <cellStyle name="ReadWriteData 2 10 2 2" xfId="12611" xr:uid="{00000000-0005-0000-0000-0000EA760000}"/>
    <cellStyle name="ReadWriteData 2 10 2_DataIX" xfId="34629" xr:uid="{00000000-0005-0000-0000-0000EB760000}"/>
    <cellStyle name="ReadWriteData 2 10 3" xfId="22194" xr:uid="{00000000-0005-0000-0000-0000EC760000}"/>
    <cellStyle name="ReadWriteData 2 10 4" xfId="27113" xr:uid="{00000000-0005-0000-0000-0000ED760000}"/>
    <cellStyle name="ReadWriteData 2 10 5" xfId="22983" xr:uid="{00000000-0005-0000-0000-0000EE760000}"/>
    <cellStyle name="ReadWriteData 2 10_DataIX" xfId="34628" xr:uid="{00000000-0005-0000-0000-0000EF760000}"/>
    <cellStyle name="ReadWriteData 2 11" xfId="13819" xr:uid="{00000000-0005-0000-0000-0000F0760000}"/>
    <cellStyle name="ReadWriteData 2 11 2" xfId="12998" xr:uid="{00000000-0005-0000-0000-0000F1760000}"/>
    <cellStyle name="ReadWriteData 2 11 3" xfId="13607" xr:uid="{00000000-0005-0000-0000-0000F2760000}"/>
    <cellStyle name="ReadWriteData 2 11 4" xfId="27155" xr:uid="{00000000-0005-0000-0000-0000F3760000}"/>
    <cellStyle name="ReadWriteData 2 11 5" xfId="22859" xr:uid="{00000000-0005-0000-0000-0000F4760000}"/>
    <cellStyle name="ReadWriteData 2 11_DataIX" xfId="34630" xr:uid="{00000000-0005-0000-0000-0000F5760000}"/>
    <cellStyle name="ReadWriteData 2 12" xfId="20312" xr:uid="{00000000-0005-0000-0000-0000F6760000}"/>
    <cellStyle name="ReadWriteData 2 12 2" xfId="11032" xr:uid="{00000000-0005-0000-0000-0000F7760000}"/>
    <cellStyle name="ReadWriteData 2 12_DataIX" xfId="34631" xr:uid="{00000000-0005-0000-0000-0000F8760000}"/>
    <cellStyle name="ReadWriteData 2 13" xfId="13418" xr:uid="{00000000-0005-0000-0000-0000F9760000}"/>
    <cellStyle name="ReadWriteData 2 14" xfId="22352" xr:uid="{00000000-0005-0000-0000-0000FA760000}"/>
    <cellStyle name="ReadWriteData 2 15" xfId="22291" xr:uid="{00000000-0005-0000-0000-0000FB760000}"/>
    <cellStyle name="ReadWriteData 2 16" xfId="22682" xr:uid="{00000000-0005-0000-0000-0000FC760000}"/>
    <cellStyle name="ReadWriteData 2 17" xfId="22721" xr:uid="{00000000-0005-0000-0000-0000FD760000}"/>
    <cellStyle name="ReadWriteData 2 18" xfId="27926" xr:uid="{00000000-0005-0000-0000-0000FE760000}"/>
    <cellStyle name="ReadWriteData 2 19" xfId="27861" xr:uid="{00000000-0005-0000-0000-0000FF760000}"/>
    <cellStyle name="ReadWriteData 2 2" xfId="267" xr:uid="{00000000-0005-0000-0000-000000770000}"/>
    <cellStyle name="ReadWriteData 2 2 10" xfId="13841" xr:uid="{00000000-0005-0000-0000-000001770000}"/>
    <cellStyle name="ReadWriteData 2 2 10 2" xfId="20629" xr:uid="{00000000-0005-0000-0000-000002770000}"/>
    <cellStyle name="ReadWriteData 2 2 10 3" xfId="10883" xr:uid="{00000000-0005-0000-0000-000003770000}"/>
    <cellStyle name="ReadWriteData 2 2 10 4" xfId="27095" xr:uid="{00000000-0005-0000-0000-000004770000}"/>
    <cellStyle name="ReadWriteData 2 2 10 5" xfId="23007" xr:uid="{00000000-0005-0000-0000-000005770000}"/>
    <cellStyle name="ReadWriteData 2 2 10_DataIX" xfId="34632" xr:uid="{00000000-0005-0000-0000-000006770000}"/>
    <cellStyle name="ReadWriteData 2 2 11" xfId="20296" xr:uid="{00000000-0005-0000-0000-000007770000}"/>
    <cellStyle name="ReadWriteData 2 2 11 2" xfId="21789" xr:uid="{00000000-0005-0000-0000-000008770000}"/>
    <cellStyle name="ReadWriteData 2 2 11 3" xfId="27281" xr:uid="{00000000-0005-0000-0000-000009770000}"/>
    <cellStyle name="ReadWriteData 2 2 11 4" xfId="22795" xr:uid="{00000000-0005-0000-0000-00000A770000}"/>
    <cellStyle name="ReadWriteData 2 2 11_DataIX" xfId="34633" xr:uid="{00000000-0005-0000-0000-00000B770000}"/>
    <cellStyle name="ReadWriteData 2 2 12" xfId="10863" xr:uid="{00000000-0005-0000-0000-00000C770000}"/>
    <cellStyle name="ReadWriteData 2 2 13" xfId="21764" xr:uid="{00000000-0005-0000-0000-00000D770000}"/>
    <cellStyle name="ReadWriteData 2 2 14" xfId="22353" xr:uid="{00000000-0005-0000-0000-00000E770000}"/>
    <cellStyle name="ReadWriteData 2 2 15" xfId="22289" xr:uid="{00000000-0005-0000-0000-00000F770000}"/>
    <cellStyle name="ReadWriteData 2 2 16" xfId="22659" xr:uid="{00000000-0005-0000-0000-000010770000}"/>
    <cellStyle name="ReadWriteData 2 2 17" xfId="22445" xr:uid="{00000000-0005-0000-0000-000011770000}"/>
    <cellStyle name="ReadWriteData 2 2 18" xfId="27927" xr:uid="{00000000-0005-0000-0000-000012770000}"/>
    <cellStyle name="ReadWriteData 2 2 19" xfId="28018" xr:uid="{00000000-0005-0000-0000-000013770000}"/>
    <cellStyle name="ReadWriteData 2 2 2" xfId="5220" xr:uid="{00000000-0005-0000-0000-000014770000}"/>
    <cellStyle name="ReadWriteData 2 2 2 2" xfId="10405" xr:uid="{00000000-0005-0000-0000-000015770000}"/>
    <cellStyle name="ReadWriteData 2 2 2 3" xfId="18550" xr:uid="{00000000-0005-0000-0000-000016770000}"/>
    <cellStyle name="ReadWriteData 2 2 2 3 2" xfId="21612" xr:uid="{00000000-0005-0000-0000-000017770000}"/>
    <cellStyle name="ReadWriteData 2 2 2 3 3" xfId="11110" xr:uid="{00000000-0005-0000-0000-000018770000}"/>
    <cellStyle name="ReadWriteData 2 2 2 3_DataIX" xfId="34635" xr:uid="{00000000-0005-0000-0000-000019770000}"/>
    <cellStyle name="ReadWriteData 2 2 2 4" xfId="19048" xr:uid="{00000000-0005-0000-0000-00001A770000}"/>
    <cellStyle name="ReadWriteData 2 2 2 4 2" xfId="21850" xr:uid="{00000000-0005-0000-0000-00001B770000}"/>
    <cellStyle name="ReadWriteData 2 2 2 4_DataIX" xfId="34636" xr:uid="{00000000-0005-0000-0000-00001C770000}"/>
    <cellStyle name="ReadWriteData 2 2 2_DataIX" xfId="34634" xr:uid="{00000000-0005-0000-0000-00001D770000}"/>
    <cellStyle name="ReadWriteData 2 2 20" xfId="28259" xr:uid="{00000000-0005-0000-0000-00001E770000}"/>
    <cellStyle name="ReadWriteData 2 2 21" xfId="28385" xr:uid="{00000000-0005-0000-0000-00001F770000}"/>
    <cellStyle name="ReadWriteData 2 2 22" xfId="28400" xr:uid="{00000000-0005-0000-0000-000020770000}"/>
    <cellStyle name="ReadWriteData 2 2 23" xfId="28332" xr:uid="{00000000-0005-0000-0000-000021770000}"/>
    <cellStyle name="ReadWriteData 2 2 24" xfId="28773" xr:uid="{00000000-0005-0000-0000-000022770000}"/>
    <cellStyle name="ReadWriteData 2 2 25" xfId="28790" xr:uid="{00000000-0005-0000-0000-000023770000}"/>
    <cellStyle name="ReadWriteData 2 2 26" xfId="28935" xr:uid="{00000000-0005-0000-0000-000024770000}"/>
    <cellStyle name="ReadWriteData 2 2 27" xfId="28666" xr:uid="{00000000-0005-0000-0000-000025770000}"/>
    <cellStyle name="ReadWriteData 2 2 28" xfId="29062" xr:uid="{00000000-0005-0000-0000-000026770000}"/>
    <cellStyle name="ReadWriteData 2 2 29" xfId="29148" xr:uid="{00000000-0005-0000-0000-000027770000}"/>
    <cellStyle name="ReadWriteData 2 2 3" xfId="5370" xr:uid="{00000000-0005-0000-0000-000028770000}"/>
    <cellStyle name="ReadWriteData 2 2 3 2" xfId="12827" xr:uid="{00000000-0005-0000-0000-000029770000}"/>
    <cellStyle name="ReadWriteData 2 2 3 3" xfId="18694" xr:uid="{00000000-0005-0000-0000-00002A770000}"/>
    <cellStyle name="ReadWriteData 2 2 3 3 2" xfId="21660" xr:uid="{00000000-0005-0000-0000-00002B770000}"/>
    <cellStyle name="ReadWriteData 2 2 3 3 3" xfId="20658" xr:uid="{00000000-0005-0000-0000-00002C770000}"/>
    <cellStyle name="ReadWriteData 2 2 3 3_DataIX" xfId="34638" xr:uid="{00000000-0005-0000-0000-00002D770000}"/>
    <cellStyle name="ReadWriteData 2 2 3 4" xfId="20479" xr:uid="{00000000-0005-0000-0000-00002E770000}"/>
    <cellStyle name="ReadWriteData 2 2 3 4 2" xfId="20722" xr:uid="{00000000-0005-0000-0000-00002F770000}"/>
    <cellStyle name="ReadWriteData 2 2 3 4_DataIX" xfId="34639" xr:uid="{00000000-0005-0000-0000-000030770000}"/>
    <cellStyle name="ReadWriteData 2 2 3_DataIX" xfId="34637" xr:uid="{00000000-0005-0000-0000-000031770000}"/>
    <cellStyle name="ReadWriteData 2 2 4" xfId="13292" xr:uid="{00000000-0005-0000-0000-000032770000}"/>
    <cellStyle name="ReadWriteData 2 2 4 2" xfId="20881" xr:uid="{00000000-0005-0000-0000-000033770000}"/>
    <cellStyle name="ReadWriteData 2 2 4 2 2" xfId="22161" xr:uid="{00000000-0005-0000-0000-000034770000}"/>
    <cellStyle name="ReadWriteData 2 2 4 2 3" xfId="22118" xr:uid="{00000000-0005-0000-0000-000035770000}"/>
    <cellStyle name="ReadWriteData 2 2 4 2_DataIX" xfId="34641" xr:uid="{00000000-0005-0000-0000-000036770000}"/>
    <cellStyle name="ReadWriteData 2 2 4 3" xfId="21269" xr:uid="{00000000-0005-0000-0000-000037770000}"/>
    <cellStyle name="ReadWriteData 2 2 4 3 2" xfId="13693" xr:uid="{00000000-0005-0000-0000-000038770000}"/>
    <cellStyle name="ReadWriteData 2 2 4 3_DataIX" xfId="34642" xr:uid="{00000000-0005-0000-0000-000039770000}"/>
    <cellStyle name="ReadWriteData 2 2 4 4" xfId="20716" xr:uid="{00000000-0005-0000-0000-00003A770000}"/>
    <cellStyle name="ReadWriteData 2 2 4 5" xfId="26979" xr:uid="{00000000-0005-0000-0000-00003B770000}"/>
    <cellStyle name="ReadWriteData 2 2 4 6" xfId="26892" xr:uid="{00000000-0005-0000-0000-00003C770000}"/>
    <cellStyle name="ReadWriteData 2 2 4_DataIX" xfId="34640" xr:uid="{00000000-0005-0000-0000-00003D770000}"/>
    <cellStyle name="ReadWriteData 2 2 5" xfId="13329" xr:uid="{00000000-0005-0000-0000-00003E770000}"/>
    <cellStyle name="ReadWriteData 2 2 5 2" xfId="20910" xr:uid="{00000000-0005-0000-0000-00003F770000}"/>
    <cellStyle name="ReadWriteData 2 2 5 2 2" xfId="22174" xr:uid="{00000000-0005-0000-0000-000040770000}"/>
    <cellStyle name="ReadWriteData 2 2 5 2 3" xfId="21934" xr:uid="{00000000-0005-0000-0000-000041770000}"/>
    <cellStyle name="ReadWriteData 2 2 5 2_DataIX" xfId="34644" xr:uid="{00000000-0005-0000-0000-000042770000}"/>
    <cellStyle name="ReadWriteData 2 2 5 3" xfId="21296" xr:uid="{00000000-0005-0000-0000-000043770000}"/>
    <cellStyle name="ReadWriteData 2 2 5 3 2" xfId="12928" xr:uid="{00000000-0005-0000-0000-000044770000}"/>
    <cellStyle name="ReadWriteData 2 2 5 3_DataIX" xfId="34645" xr:uid="{00000000-0005-0000-0000-000045770000}"/>
    <cellStyle name="ReadWriteData 2 2 5 4" xfId="11321" xr:uid="{00000000-0005-0000-0000-000046770000}"/>
    <cellStyle name="ReadWriteData 2 2 5 5" xfId="27491" xr:uid="{00000000-0005-0000-0000-000047770000}"/>
    <cellStyle name="ReadWriteData 2 2 5 6" xfId="23141" xr:uid="{00000000-0005-0000-0000-000048770000}"/>
    <cellStyle name="ReadWriteData 2 2 5_DataIX" xfId="34643" xr:uid="{00000000-0005-0000-0000-000049770000}"/>
    <cellStyle name="ReadWriteData 2 2 6" xfId="13176" xr:uid="{00000000-0005-0000-0000-00004A770000}"/>
    <cellStyle name="ReadWriteData 2 2 6 2" xfId="21175" xr:uid="{00000000-0005-0000-0000-00004B770000}"/>
    <cellStyle name="ReadWriteData 2 2 6 2 2" xfId="13014" xr:uid="{00000000-0005-0000-0000-00004C770000}"/>
    <cellStyle name="ReadWriteData 2 2 6 2_DataIX" xfId="34647" xr:uid="{00000000-0005-0000-0000-00004D770000}"/>
    <cellStyle name="ReadWriteData 2 2 6 3" xfId="11332" xr:uid="{00000000-0005-0000-0000-00004E770000}"/>
    <cellStyle name="ReadWriteData 2 2 6 4" xfId="27062" xr:uid="{00000000-0005-0000-0000-00004F770000}"/>
    <cellStyle name="ReadWriteData 2 2 6 5" xfId="22805" xr:uid="{00000000-0005-0000-0000-000050770000}"/>
    <cellStyle name="ReadWriteData 2 2 6_DataIX" xfId="34646" xr:uid="{00000000-0005-0000-0000-000051770000}"/>
    <cellStyle name="ReadWriteData 2 2 7" xfId="10725" xr:uid="{00000000-0005-0000-0000-000052770000}"/>
    <cellStyle name="ReadWriteData 2 2 7 2" xfId="21037" xr:uid="{00000000-0005-0000-0000-000053770000}"/>
    <cellStyle name="ReadWriteData 2 2 7 2 2" xfId="13614" xr:uid="{00000000-0005-0000-0000-000054770000}"/>
    <cellStyle name="ReadWriteData 2 2 7 2_DataIX" xfId="34649" xr:uid="{00000000-0005-0000-0000-000055770000}"/>
    <cellStyle name="ReadWriteData 2 2 7 3" xfId="13589" xr:uid="{00000000-0005-0000-0000-000056770000}"/>
    <cellStyle name="ReadWriteData 2 2 7 4" xfId="27469" xr:uid="{00000000-0005-0000-0000-000057770000}"/>
    <cellStyle name="ReadWriteData 2 2 7 5" xfId="27269" xr:uid="{00000000-0005-0000-0000-000058770000}"/>
    <cellStyle name="ReadWriteData 2 2 7_DataIX" xfId="34648" xr:uid="{00000000-0005-0000-0000-000059770000}"/>
    <cellStyle name="ReadWriteData 2 2 8" xfId="12815" xr:uid="{00000000-0005-0000-0000-00005A770000}"/>
    <cellStyle name="ReadWriteData 2 2 8 2" xfId="21107" xr:uid="{00000000-0005-0000-0000-00005B770000}"/>
    <cellStyle name="ReadWriteData 2 2 8 2 2" xfId="10853" xr:uid="{00000000-0005-0000-0000-00005C770000}"/>
    <cellStyle name="ReadWriteData 2 2 8 2_DataIX" xfId="34651" xr:uid="{00000000-0005-0000-0000-00005D770000}"/>
    <cellStyle name="ReadWriteData 2 2 8 3" xfId="10780" xr:uid="{00000000-0005-0000-0000-00005E770000}"/>
    <cellStyle name="ReadWriteData 2 2 8 4" xfId="27459" xr:uid="{00000000-0005-0000-0000-00005F770000}"/>
    <cellStyle name="ReadWriteData 2 2 8 5" xfId="23071" xr:uid="{00000000-0005-0000-0000-000060770000}"/>
    <cellStyle name="ReadWriteData 2 2 8_DataIX" xfId="34650" xr:uid="{00000000-0005-0000-0000-000061770000}"/>
    <cellStyle name="ReadWriteData 2 2 9" xfId="13778" xr:uid="{00000000-0005-0000-0000-000062770000}"/>
    <cellStyle name="ReadWriteData 2 2 9 2" xfId="21381" xr:uid="{00000000-0005-0000-0000-000063770000}"/>
    <cellStyle name="ReadWriteData 2 2 9 2 2" xfId="22279" xr:uid="{00000000-0005-0000-0000-000064770000}"/>
    <cellStyle name="ReadWriteData 2 2 9 2_DataIX" xfId="34653" xr:uid="{00000000-0005-0000-0000-000065770000}"/>
    <cellStyle name="ReadWriteData 2 2 9 3" xfId="10800" xr:uid="{00000000-0005-0000-0000-000066770000}"/>
    <cellStyle name="ReadWriteData 2 2 9 4" xfId="27319" xr:uid="{00000000-0005-0000-0000-000067770000}"/>
    <cellStyle name="ReadWriteData 2 2 9 5" xfId="23059" xr:uid="{00000000-0005-0000-0000-000068770000}"/>
    <cellStyle name="ReadWriteData 2 2 9_DataIX" xfId="34652" xr:uid="{00000000-0005-0000-0000-000069770000}"/>
    <cellStyle name="ReadWriteData 2 2_##Keskeiset" xfId="10404" xr:uid="{00000000-0005-0000-0000-00006A770000}"/>
    <cellStyle name="ReadWriteData 2 20" xfId="28258" xr:uid="{00000000-0005-0000-0000-00006B770000}"/>
    <cellStyle name="ReadWriteData 2 21" xfId="28190" xr:uid="{00000000-0005-0000-0000-00006C770000}"/>
    <cellStyle name="ReadWriteData 2 22" xfId="28470" xr:uid="{00000000-0005-0000-0000-00006D770000}"/>
    <cellStyle name="ReadWriteData 2 23" xfId="28333" xr:uid="{00000000-0005-0000-0000-00006E770000}"/>
    <cellStyle name="ReadWriteData 2 24" xfId="28774" xr:uid="{00000000-0005-0000-0000-00006F770000}"/>
    <cellStyle name="ReadWriteData 2 25" xfId="28921" xr:uid="{00000000-0005-0000-0000-000070770000}"/>
    <cellStyle name="ReadWriteData 2 26" xfId="28693" xr:uid="{00000000-0005-0000-0000-000071770000}"/>
    <cellStyle name="ReadWriteData 2 27" xfId="28789" xr:uid="{00000000-0005-0000-0000-000072770000}"/>
    <cellStyle name="ReadWriteData 2 28" xfId="29061" xr:uid="{00000000-0005-0000-0000-000073770000}"/>
    <cellStyle name="ReadWriteData 2 29" xfId="29149" xr:uid="{00000000-0005-0000-0000-000074770000}"/>
    <cellStyle name="ReadWriteData 2 3" xfId="5221" xr:uid="{00000000-0005-0000-0000-000075770000}"/>
    <cellStyle name="ReadWriteData 2 3 2" xfId="5671" xr:uid="{00000000-0005-0000-0000-000076770000}"/>
    <cellStyle name="ReadWriteData 2 3 2 2" xfId="12829" xr:uid="{00000000-0005-0000-0000-000077770000}"/>
    <cellStyle name="ReadWriteData 2 3 2 3" xfId="18885" xr:uid="{00000000-0005-0000-0000-000078770000}"/>
    <cellStyle name="ReadWriteData 2 3 2 3 2" xfId="21725" xr:uid="{00000000-0005-0000-0000-000079770000}"/>
    <cellStyle name="ReadWriteData 2 3 2 3 3" xfId="13677" xr:uid="{00000000-0005-0000-0000-00007A770000}"/>
    <cellStyle name="ReadWriteData 2 3 2 3_DataIX" xfId="34656" xr:uid="{00000000-0005-0000-0000-00007B770000}"/>
    <cellStyle name="ReadWriteData 2 3 2 4" xfId="20423" xr:uid="{00000000-0005-0000-0000-00007C770000}"/>
    <cellStyle name="ReadWriteData 2 3 2 4 2" xfId="21859" xr:uid="{00000000-0005-0000-0000-00007D770000}"/>
    <cellStyle name="ReadWriteData 2 3 2 4_DataIX" xfId="34657" xr:uid="{00000000-0005-0000-0000-00007E770000}"/>
    <cellStyle name="ReadWriteData 2 3 2_DataIX" xfId="34655" xr:uid="{00000000-0005-0000-0000-00007F770000}"/>
    <cellStyle name="ReadWriteData 2 3 3" xfId="11159" xr:uid="{00000000-0005-0000-0000-000080770000}"/>
    <cellStyle name="ReadWriteData 2 3 4" xfId="18551" xr:uid="{00000000-0005-0000-0000-000081770000}"/>
    <cellStyle name="ReadWriteData 2 3 4 2" xfId="21613" xr:uid="{00000000-0005-0000-0000-000082770000}"/>
    <cellStyle name="ReadWriteData 2 3 4 3" xfId="21653" xr:uid="{00000000-0005-0000-0000-000083770000}"/>
    <cellStyle name="ReadWriteData 2 3 4_DataIX" xfId="34658" xr:uid="{00000000-0005-0000-0000-000084770000}"/>
    <cellStyle name="ReadWriteData 2 3 5" xfId="20527" xr:uid="{00000000-0005-0000-0000-000085770000}"/>
    <cellStyle name="ReadWriteData 2 3 5 2" xfId="22104" xr:uid="{00000000-0005-0000-0000-000086770000}"/>
    <cellStyle name="ReadWriteData 2 3 5_DataIX" xfId="34659" xr:uid="{00000000-0005-0000-0000-000087770000}"/>
    <cellStyle name="ReadWriteData 2 3_DataIX" xfId="34654" xr:uid="{00000000-0005-0000-0000-000088770000}"/>
    <cellStyle name="ReadWriteData 2 4" xfId="5672" xr:uid="{00000000-0005-0000-0000-000089770000}"/>
    <cellStyle name="ReadWriteData 2 4 2" xfId="12830" xr:uid="{00000000-0005-0000-0000-00008A770000}"/>
    <cellStyle name="ReadWriteData 2 4 3" xfId="18886" xr:uid="{00000000-0005-0000-0000-00008B770000}"/>
    <cellStyle name="ReadWriteData 2 4 3 2" xfId="21726" xr:uid="{00000000-0005-0000-0000-00008C770000}"/>
    <cellStyle name="ReadWriteData 2 4 3 3" xfId="22209" xr:uid="{00000000-0005-0000-0000-00008D770000}"/>
    <cellStyle name="ReadWriteData 2 4 3_DataIX" xfId="34661" xr:uid="{00000000-0005-0000-0000-00008E770000}"/>
    <cellStyle name="ReadWriteData 2 4 4" xfId="20435" xr:uid="{00000000-0005-0000-0000-00008F770000}"/>
    <cellStyle name="ReadWriteData 2 4 4 2" xfId="11225" xr:uid="{00000000-0005-0000-0000-000090770000}"/>
    <cellStyle name="ReadWriteData 2 4 4_DataIX" xfId="34662" xr:uid="{00000000-0005-0000-0000-000091770000}"/>
    <cellStyle name="ReadWriteData 2 4_DataIX" xfId="34660" xr:uid="{00000000-0005-0000-0000-000092770000}"/>
    <cellStyle name="ReadWriteData 2 5" xfId="5369" xr:uid="{00000000-0005-0000-0000-000093770000}"/>
    <cellStyle name="ReadWriteData 2 5 2" xfId="12831" xr:uid="{00000000-0005-0000-0000-000094770000}"/>
    <cellStyle name="ReadWriteData 2 5 3" xfId="18693" xr:uid="{00000000-0005-0000-0000-000095770000}"/>
    <cellStyle name="ReadWriteData 2 5 3 2" xfId="21659" xr:uid="{00000000-0005-0000-0000-000096770000}"/>
    <cellStyle name="ReadWriteData 2 5 3 3" xfId="21596" xr:uid="{00000000-0005-0000-0000-000097770000}"/>
    <cellStyle name="ReadWriteData 2 5 3_DataIX" xfId="34664" xr:uid="{00000000-0005-0000-0000-000098770000}"/>
    <cellStyle name="ReadWriteData 2 5 4" xfId="18999" xr:uid="{00000000-0005-0000-0000-000099770000}"/>
    <cellStyle name="ReadWriteData 2 5 4 2" xfId="21846" xr:uid="{00000000-0005-0000-0000-00009A770000}"/>
    <cellStyle name="ReadWriteData 2 5 4_DataIX" xfId="34665" xr:uid="{00000000-0005-0000-0000-00009B770000}"/>
    <cellStyle name="ReadWriteData 2 5_DataIX" xfId="34663" xr:uid="{00000000-0005-0000-0000-00009C770000}"/>
    <cellStyle name="ReadWriteData 2 6" xfId="13091" xr:uid="{00000000-0005-0000-0000-00009D770000}"/>
    <cellStyle name="ReadWriteData 2 6 2" xfId="20742" xr:uid="{00000000-0005-0000-0000-00009E770000}"/>
    <cellStyle name="ReadWriteData 2 6 2 2" xfId="22117" xr:uid="{00000000-0005-0000-0000-00009F770000}"/>
    <cellStyle name="ReadWriteData 2 6 2 3" xfId="12700" xr:uid="{00000000-0005-0000-0000-0000A0770000}"/>
    <cellStyle name="ReadWriteData 2 6 2_DataIX" xfId="34667" xr:uid="{00000000-0005-0000-0000-0000A1770000}"/>
    <cellStyle name="ReadWriteData 2 6 3" xfId="21119" xr:uid="{00000000-0005-0000-0000-0000A2770000}"/>
    <cellStyle name="ReadWriteData 2 6 3 2" xfId="11017" xr:uid="{00000000-0005-0000-0000-0000A3770000}"/>
    <cellStyle name="ReadWriteData 2 6 3_DataIX" xfId="34668" xr:uid="{00000000-0005-0000-0000-0000A4770000}"/>
    <cellStyle name="ReadWriteData 2 6 4" xfId="10858" xr:uid="{00000000-0005-0000-0000-0000A5770000}"/>
    <cellStyle name="ReadWriteData 2 6 5" xfId="26978" xr:uid="{00000000-0005-0000-0000-0000A6770000}"/>
    <cellStyle name="ReadWriteData 2 6 6" xfId="26793" xr:uid="{00000000-0005-0000-0000-0000A7770000}"/>
    <cellStyle name="ReadWriteData 2 6_DataIX" xfId="34666" xr:uid="{00000000-0005-0000-0000-0000A8770000}"/>
    <cellStyle name="ReadWriteData 2 7" xfId="13351" xr:uid="{00000000-0005-0000-0000-0000A9770000}"/>
    <cellStyle name="ReadWriteData 2 7 2" xfId="20923" xr:uid="{00000000-0005-0000-0000-0000AA770000}"/>
    <cellStyle name="ReadWriteData 2 7 2 2" xfId="22177" xr:uid="{00000000-0005-0000-0000-0000AB770000}"/>
    <cellStyle name="ReadWriteData 2 7 2 3" xfId="22057" xr:uid="{00000000-0005-0000-0000-0000AC770000}"/>
    <cellStyle name="ReadWriteData 2 7 2_DataIX" xfId="34670" xr:uid="{00000000-0005-0000-0000-0000AD770000}"/>
    <cellStyle name="ReadWriteData 2 7 3" xfId="21311" xr:uid="{00000000-0005-0000-0000-0000AE770000}"/>
    <cellStyle name="ReadWriteData 2 7 3 2" xfId="10889" xr:uid="{00000000-0005-0000-0000-0000AF770000}"/>
    <cellStyle name="ReadWriteData 2 7 3_DataIX" xfId="34671" xr:uid="{00000000-0005-0000-0000-0000B0770000}"/>
    <cellStyle name="ReadWriteData 2 7 4" xfId="13695" xr:uid="{00000000-0005-0000-0000-0000B1770000}"/>
    <cellStyle name="ReadWriteData 2 7 5" xfId="27345" xr:uid="{00000000-0005-0000-0000-0000B2770000}"/>
    <cellStyle name="ReadWriteData 2 7 6" xfId="26769" xr:uid="{00000000-0005-0000-0000-0000B3770000}"/>
    <cellStyle name="ReadWriteData 2 7_DataIX" xfId="34669" xr:uid="{00000000-0005-0000-0000-0000B4770000}"/>
    <cellStyle name="ReadWriteData 2 8" xfId="13246" xr:uid="{00000000-0005-0000-0000-0000B5770000}"/>
    <cellStyle name="ReadWriteData 2 8 2" xfId="21230" xr:uid="{00000000-0005-0000-0000-0000B6770000}"/>
    <cellStyle name="ReadWriteData 2 8 2 2" xfId="10848" xr:uid="{00000000-0005-0000-0000-0000B7770000}"/>
    <cellStyle name="ReadWriteData 2 8 2_DataIX" xfId="34673" xr:uid="{00000000-0005-0000-0000-0000B8770000}"/>
    <cellStyle name="ReadWriteData 2 8 3" xfId="21578" xr:uid="{00000000-0005-0000-0000-0000B9770000}"/>
    <cellStyle name="ReadWriteData 2 8 4" xfId="27135" xr:uid="{00000000-0005-0000-0000-0000BA770000}"/>
    <cellStyle name="ReadWriteData 2 8 5" xfId="22782" xr:uid="{00000000-0005-0000-0000-0000BB770000}"/>
    <cellStyle name="ReadWriteData 2 8_DataIX" xfId="34672" xr:uid="{00000000-0005-0000-0000-0000BC770000}"/>
    <cellStyle name="ReadWriteData 2 9" xfId="10724" xr:uid="{00000000-0005-0000-0000-0000BD770000}"/>
    <cellStyle name="ReadWriteData 2 9 2" xfId="21036" xr:uid="{00000000-0005-0000-0000-0000BE770000}"/>
    <cellStyle name="ReadWriteData 2 9 2 2" xfId="13697" xr:uid="{00000000-0005-0000-0000-0000BF770000}"/>
    <cellStyle name="ReadWriteData 2 9 2_DataIX" xfId="34675" xr:uid="{00000000-0005-0000-0000-0000C0770000}"/>
    <cellStyle name="ReadWriteData 2 9 3" xfId="21419" xr:uid="{00000000-0005-0000-0000-0000C1770000}"/>
    <cellStyle name="ReadWriteData 2 9 4" xfId="27431" xr:uid="{00000000-0005-0000-0000-0000C2770000}"/>
    <cellStyle name="ReadWriteData 2 9 5" xfId="22881" xr:uid="{00000000-0005-0000-0000-0000C3770000}"/>
    <cellStyle name="ReadWriteData 2 9_DataIX" xfId="34674" xr:uid="{00000000-0005-0000-0000-0000C4770000}"/>
    <cellStyle name="ReadWriteData 2_##Keskeiset" xfId="10403" xr:uid="{00000000-0005-0000-0000-0000C5770000}"/>
    <cellStyle name="ReadWriteData 3" xfId="5104" xr:uid="{00000000-0005-0000-0000-0000C6770000}"/>
    <cellStyle name="ReadWriteData 3 2" xfId="5673" xr:uid="{00000000-0005-0000-0000-0000C7770000}"/>
    <cellStyle name="ReadWriteData 3 2 2" xfId="12832" xr:uid="{00000000-0005-0000-0000-0000C8770000}"/>
    <cellStyle name="ReadWriteData 3 2 3" xfId="18887" xr:uid="{00000000-0005-0000-0000-0000C9770000}"/>
    <cellStyle name="ReadWriteData 3 2 3 2" xfId="21727" xr:uid="{00000000-0005-0000-0000-0000CA770000}"/>
    <cellStyle name="ReadWriteData 3 2 3 3" xfId="11293" xr:uid="{00000000-0005-0000-0000-0000CB770000}"/>
    <cellStyle name="ReadWriteData 3 2 3_DataIX" xfId="34678" xr:uid="{00000000-0005-0000-0000-0000CC770000}"/>
    <cellStyle name="ReadWriteData 3 2 4" xfId="18951" xr:uid="{00000000-0005-0000-0000-0000CD770000}"/>
    <cellStyle name="ReadWriteData 3 2 4 2" xfId="12993" xr:uid="{00000000-0005-0000-0000-0000CE770000}"/>
    <cellStyle name="ReadWriteData 3 2 4_DataIX" xfId="34679" xr:uid="{00000000-0005-0000-0000-0000CF770000}"/>
    <cellStyle name="ReadWriteData 3 2_DataIX" xfId="34677" xr:uid="{00000000-0005-0000-0000-0000D0770000}"/>
    <cellStyle name="ReadWriteData 3 3" xfId="11160" xr:uid="{00000000-0005-0000-0000-0000D1770000}"/>
    <cellStyle name="ReadWriteData 3 4" xfId="18443" xr:uid="{00000000-0005-0000-0000-0000D2770000}"/>
    <cellStyle name="ReadWriteData 3 4 2" xfId="21586" xr:uid="{00000000-0005-0000-0000-0000D3770000}"/>
    <cellStyle name="ReadWriteData 3 4 3" xfId="21926" xr:uid="{00000000-0005-0000-0000-0000D4770000}"/>
    <cellStyle name="ReadWriteData 3 4_DataIX" xfId="34680" xr:uid="{00000000-0005-0000-0000-0000D5770000}"/>
    <cellStyle name="ReadWriteData 3 5" xfId="20547" xr:uid="{00000000-0005-0000-0000-0000D6770000}"/>
    <cellStyle name="ReadWriteData 3 5 2" xfId="21418" xr:uid="{00000000-0005-0000-0000-0000D7770000}"/>
    <cellStyle name="ReadWriteData 3 5_DataIX" xfId="34681" xr:uid="{00000000-0005-0000-0000-0000D8770000}"/>
    <cellStyle name="ReadWriteData 3_DataIX" xfId="34676" xr:uid="{00000000-0005-0000-0000-0000D9770000}"/>
    <cellStyle name="ReadWriteData 4" xfId="5282" xr:uid="{00000000-0005-0000-0000-0000DA770000}"/>
    <cellStyle name="ReadWriteData 4 2" xfId="5674" xr:uid="{00000000-0005-0000-0000-0000DB770000}"/>
    <cellStyle name="ReadWriteData 4 2 2" xfId="12833" xr:uid="{00000000-0005-0000-0000-0000DC770000}"/>
    <cellStyle name="ReadWriteData 4 2 3" xfId="18888" xr:uid="{00000000-0005-0000-0000-0000DD770000}"/>
    <cellStyle name="ReadWriteData 4 2 3 2" xfId="21728" xr:uid="{00000000-0005-0000-0000-0000DE770000}"/>
    <cellStyle name="ReadWriteData 4 2 3 3" xfId="21781" xr:uid="{00000000-0005-0000-0000-0000DF770000}"/>
    <cellStyle name="ReadWriteData 4 2 3_DataIX" xfId="34684" xr:uid="{00000000-0005-0000-0000-0000E0770000}"/>
    <cellStyle name="ReadWriteData 4 2 4" xfId="20434" xr:uid="{00000000-0005-0000-0000-0000E1770000}"/>
    <cellStyle name="ReadWriteData 4 2 4 2" xfId="21715" xr:uid="{00000000-0005-0000-0000-0000E2770000}"/>
    <cellStyle name="ReadWriteData 4 2 4_DataIX" xfId="34685" xr:uid="{00000000-0005-0000-0000-0000E3770000}"/>
    <cellStyle name="ReadWriteData 4 2_DataIX" xfId="34683" xr:uid="{00000000-0005-0000-0000-0000E4770000}"/>
    <cellStyle name="ReadWriteData 4 3" xfId="11161" xr:uid="{00000000-0005-0000-0000-0000E5770000}"/>
    <cellStyle name="ReadWriteData 4 4" xfId="18606" xr:uid="{00000000-0005-0000-0000-0000E6770000}"/>
    <cellStyle name="ReadWriteData 4 4 2" xfId="21634" xr:uid="{00000000-0005-0000-0000-0000E7770000}"/>
    <cellStyle name="ReadWriteData 4 4 3" xfId="21959" xr:uid="{00000000-0005-0000-0000-0000E8770000}"/>
    <cellStyle name="ReadWriteData 4 4_DataIX" xfId="34686" xr:uid="{00000000-0005-0000-0000-0000E9770000}"/>
    <cellStyle name="ReadWriteData 4 5" xfId="19025" xr:uid="{00000000-0005-0000-0000-0000EA770000}"/>
    <cellStyle name="ReadWriteData 4 5 2" xfId="21851" xr:uid="{00000000-0005-0000-0000-0000EB770000}"/>
    <cellStyle name="ReadWriteData 4 5_DataIX" xfId="34687" xr:uid="{00000000-0005-0000-0000-0000EC770000}"/>
    <cellStyle name="ReadWriteData 4_DataIX" xfId="34682" xr:uid="{00000000-0005-0000-0000-0000ED770000}"/>
    <cellStyle name="ReadWriteData 5" xfId="3289" xr:uid="{00000000-0005-0000-0000-0000EE770000}"/>
    <cellStyle name="ReadWriteData 5 2" xfId="10406" xr:uid="{00000000-0005-0000-0000-0000EF770000}"/>
    <cellStyle name="ReadWriteData 5 3" xfId="16807" xr:uid="{00000000-0005-0000-0000-0000F0770000}"/>
    <cellStyle name="ReadWriteData 5 3 2" xfId="21501" xr:uid="{00000000-0005-0000-0000-0000F1770000}"/>
    <cellStyle name="ReadWriteData 5 3 3" xfId="21584" xr:uid="{00000000-0005-0000-0000-0000F2770000}"/>
    <cellStyle name="ReadWriteData 5 3_DataIX" xfId="34689" xr:uid="{00000000-0005-0000-0000-0000F3770000}"/>
    <cellStyle name="ReadWriteData 5 4" xfId="20737" xr:uid="{00000000-0005-0000-0000-0000F4770000}"/>
    <cellStyle name="ReadWriteData 5 4 2" xfId="13624" xr:uid="{00000000-0005-0000-0000-0000F5770000}"/>
    <cellStyle name="ReadWriteData 5 4_DataIX" xfId="34690" xr:uid="{00000000-0005-0000-0000-0000F6770000}"/>
    <cellStyle name="ReadWriteData 5_DataIX" xfId="34688" xr:uid="{00000000-0005-0000-0000-0000F7770000}"/>
    <cellStyle name="ReadWriteData 6" xfId="5278" xr:uid="{00000000-0005-0000-0000-0000F8770000}"/>
    <cellStyle name="ReadWriteData 6 2" xfId="10407" xr:uid="{00000000-0005-0000-0000-0000F9770000}"/>
    <cellStyle name="ReadWriteData 6 3" xfId="18602" xr:uid="{00000000-0005-0000-0000-0000FA770000}"/>
    <cellStyle name="ReadWriteData 6 3 2" xfId="21630" xr:uid="{00000000-0005-0000-0000-0000FB770000}"/>
    <cellStyle name="ReadWriteData 6 3 3" xfId="10812" xr:uid="{00000000-0005-0000-0000-0000FC770000}"/>
    <cellStyle name="ReadWriteData 6 3_DataIX" xfId="34692" xr:uid="{00000000-0005-0000-0000-0000FD770000}"/>
    <cellStyle name="ReadWriteData 6 4" xfId="19026" xr:uid="{00000000-0005-0000-0000-0000FE770000}"/>
    <cellStyle name="ReadWriteData 6 4 2" xfId="21408" xr:uid="{00000000-0005-0000-0000-0000FF770000}"/>
    <cellStyle name="ReadWriteData 6 4_DataIX" xfId="34693" xr:uid="{00000000-0005-0000-0000-000000780000}"/>
    <cellStyle name="ReadWriteData 6_DataIX" xfId="34691" xr:uid="{00000000-0005-0000-0000-000001780000}"/>
    <cellStyle name="ReadWriteData 7" xfId="5222" xr:uid="{00000000-0005-0000-0000-000002780000}"/>
    <cellStyle name="ReadWriteData 7 2" xfId="10408" xr:uid="{00000000-0005-0000-0000-000003780000}"/>
    <cellStyle name="ReadWriteData 7 3" xfId="18552" xr:uid="{00000000-0005-0000-0000-000004780000}"/>
    <cellStyle name="ReadWriteData 7 3 2" xfId="21614" xr:uid="{00000000-0005-0000-0000-000005780000}"/>
    <cellStyle name="ReadWriteData 7 3 3" xfId="22254" xr:uid="{00000000-0005-0000-0000-000006780000}"/>
    <cellStyle name="ReadWriteData 7 3_DataIX" xfId="34695" xr:uid="{00000000-0005-0000-0000-000007780000}"/>
    <cellStyle name="ReadWriteData 7 4" xfId="19047" xr:uid="{00000000-0005-0000-0000-000008780000}"/>
    <cellStyle name="ReadWriteData 7 4 2" xfId="22195" xr:uid="{00000000-0005-0000-0000-000009780000}"/>
    <cellStyle name="ReadWriteData 7 4_DataIX" xfId="34696" xr:uid="{00000000-0005-0000-0000-00000A780000}"/>
    <cellStyle name="ReadWriteData 7_DataIX" xfId="34694" xr:uid="{00000000-0005-0000-0000-00000B780000}"/>
    <cellStyle name="ReadWriteData 8" xfId="5309" xr:uid="{00000000-0005-0000-0000-00000C780000}"/>
    <cellStyle name="ReadWriteData 8 2" xfId="12834" xr:uid="{00000000-0005-0000-0000-00000D780000}"/>
    <cellStyle name="ReadWriteData 8 3" xfId="18633" xr:uid="{00000000-0005-0000-0000-00000E780000}"/>
    <cellStyle name="ReadWriteData 8 3 2" xfId="21641" xr:uid="{00000000-0005-0000-0000-00000F780000}"/>
    <cellStyle name="ReadWriteData 8 3 3" xfId="21960" xr:uid="{00000000-0005-0000-0000-000010780000}"/>
    <cellStyle name="ReadWriteData 8 3_DataIX" xfId="34698" xr:uid="{00000000-0005-0000-0000-000011780000}"/>
    <cellStyle name="ReadWriteData 8 4" xfId="20499" xr:uid="{00000000-0005-0000-0000-000012780000}"/>
    <cellStyle name="ReadWriteData 8 4 2" xfId="21944" xr:uid="{00000000-0005-0000-0000-000013780000}"/>
    <cellStyle name="ReadWriteData 8 4_DataIX" xfId="34699" xr:uid="{00000000-0005-0000-0000-000014780000}"/>
    <cellStyle name="ReadWriteData 8_DataIX" xfId="34697" xr:uid="{00000000-0005-0000-0000-000015780000}"/>
    <cellStyle name="ReadWriteData 9" xfId="13393" xr:uid="{00000000-0005-0000-0000-000016780000}"/>
    <cellStyle name="ReadWriteData 9 2" xfId="20951" xr:uid="{00000000-0005-0000-0000-000017780000}"/>
    <cellStyle name="ReadWriteData 9 2 2" xfId="22188" xr:uid="{00000000-0005-0000-0000-000018780000}"/>
    <cellStyle name="ReadWriteData 9 2 3" xfId="21599" xr:uid="{00000000-0005-0000-0000-000019780000}"/>
    <cellStyle name="ReadWriteData 9 2_DataIX" xfId="34701" xr:uid="{00000000-0005-0000-0000-00001A780000}"/>
    <cellStyle name="ReadWriteData 9 3" xfId="21347" xr:uid="{00000000-0005-0000-0000-00001B780000}"/>
    <cellStyle name="ReadWriteData 9 3 2" xfId="11234" xr:uid="{00000000-0005-0000-0000-00001C780000}"/>
    <cellStyle name="ReadWriteData 9 3_DataIX" xfId="34702" xr:uid="{00000000-0005-0000-0000-00001D780000}"/>
    <cellStyle name="ReadWriteData 9 4" xfId="20960" xr:uid="{00000000-0005-0000-0000-00001E780000}"/>
    <cellStyle name="ReadWriteData 9 5" xfId="26907" xr:uid="{00000000-0005-0000-0000-00001F780000}"/>
    <cellStyle name="ReadWriteData 9 6" xfId="23072" xr:uid="{00000000-0005-0000-0000-000020780000}"/>
    <cellStyle name="ReadWriteData 9_DataIX" xfId="34700" xr:uid="{00000000-0005-0000-0000-000021780000}"/>
    <cellStyle name="ReadWriteData_##Keskeiset" xfId="10402" xr:uid="{00000000-0005-0000-0000-000022780000}"/>
    <cellStyle name="ReadWriteValues" xfId="121" xr:uid="{00000000-0005-0000-0000-000023780000}"/>
    <cellStyle name="ReadWriteValues 10" xfId="5308" xr:uid="{00000000-0005-0000-0000-000024780000}"/>
    <cellStyle name="ReadWriteValues 10 2" xfId="12835" xr:uid="{00000000-0005-0000-0000-000025780000}"/>
    <cellStyle name="ReadWriteValues 10 3" xfId="18632" xr:uid="{00000000-0005-0000-0000-000026780000}"/>
    <cellStyle name="ReadWriteValues 10 3 2" xfId="21640" xr:uid="{00000000-0005-0000-0000-000027780000}"/>
    <cellStyle name="ReadWriteValues 10 3 3" xfId="21756" xr:uid="{00000000-0005-0000-0000-000028780000}"/>
    <cellStyle name="ReadWriteValues 10 3_DataIX" xfId="34704" xr:uid="{00000000-0005-0000-0000-000029780000}"/>
    <cellStyle name="ReadWriteValues 10 4" xfId="19019" xr:uid="{00000000-0005-0000-0000-00002A780000}"/>
    <cellStyle name="ReadWriteValues 10 4 2" xfId="11349" xr:uid="{00000000-0005-0000-0000-00002B780000}"/>
    <cellStyle name="ReadWriteValues 10 4_DataIX" xfId="34705" xr:uid="{00000000-0005-0000-0000-00002C780000}"/>
    <cellStyle name="ReadWriteValues 10_DataIX" xfId="34703" xr:uid="{00000000-0005-0000-0000-00002D780000}"/>
    <cellStyle name="ReadWriteValues 11" xfId="13316" xr:uid="{00000000-0005-0000-0000-00002E780000}"/>
    <cellStyle name="ReadWriteValues 11 2" xfId="20904" xr:uid="{00000000-0005-0000-0000-00002F780000}"/>
    <cellStyle name="ReadWriteValues 11 2 2" xfId="22169" xr:uid="{00000000-0005-0000-0000-000030780000}"/>
    <cellStyle name="ReadWriteValues 11 2 3" xfId="22265" xr:uid="{00000000-0005-0000-0000-000031780000}"/>
    <cellStyle name="ReadWriteValues 11 2_DataIX" xfId="34707" xr:uid="{00000000-0005-0000-0000-000032780000}"/>
    <cellStyle name="ReadWriteValues 11 3" xfId="21290" xr:uid="{00000000-0005-0000-0000-000033780000}"/>
    <cellStyle name="ReadWriteValues 11 3 2" xfId="11101" xr:uid="{00000000-0005-0000-0000-000034780000}"/>
    <cellStyle name="ReadWriteValues 11 3_DataIX" xfId="34708" xr:uid="{00000000-0005-0000-0000-000035780000}"/>
    <cellStyle name="ReadWriteValues 11 4" xfId="13653" xr:uid="{00000000-0005-0000-0000-000036780000}"/>
    <cellStyle name="ReadWriteValues 11 5" xfId="26908" xr:uid="{00000000-0005-0000-0000-000037780000}"/>
    <cellStyle name="ReadWriteValues 11 6" xfId="22828" xr:uid="{00000000-0005-0000-0000-000038780000}"/>
    <cellStyle name="ReadWriteValues 11_DataIX" xfId="34706" xr:uid="{00000000-0005-0000-0000-000039780000}"/>
    <cellStyle name="ReadWriteValues 12" xfId="13214" xr:uid="{00000000-0005-0000-0000-00003A780000}"/>
    <cellStyle name="ReadWriteValues 12 2" xfId="21203" xr:uid="{00000000-0005-0000-0000-00003B780000}"/>
    <cellStyle name="ReadWriteValues 12 2 2" xfId="21688" xr:uid="{00000000-0005-0000-0000-00003C780000}"/>
    <cellStyle name="ReadWriteValues 12 2_DataIX" xfId="34710" xr:uid="{00000000-0005-0000-0000-00003D780000}"/>
    <cellStyle name="ReadWriteValues 12 3" xfId="13507" xr:uid="{00000000-0005-0000-0000-00003E780000}"/>
    <cellStyle name="ReadWriteValues 12 4" xfId="27376" xr:uid="{00000000-0005-0000-0000-00003F780000}"/>
    <cellStyle name="ReadWriteValues 12 5" xfId="23077" xr:uid="{00000000-0005-0000-0000-000040780000}"/>
    <cellStyle name="ReadWriteValues 12_DataIX" xfId="34709" xr:uid="{00000000-0005-0000-0000-000041780000}"/>
    <cellStyle name="ReadWriteValues 13" xfId="10678" xr:uid="{00000000-0005-0000-0000-000042780000}"/>
    <cellStyle name="ReadWriteValues 13 2" xfId="21008" xr:uid="{00000000-0005-0000-0000-000043780000}"/>
    <cellStyle name="ReadWriteValues 13 2 2" xfId="21814" xr:uid="{00000000-0005-0000-0000-000044780000}"/>
    <cellStyle name="ReadWriteValues 13 2_DataIX" xfId="34712" xr:uid="{00000000-0005-0000-0000-000045780000}"/>
    <cellStyle name="ReadWriteValues 13 3" xfId="20721" xr:uid="{00000000-0005-0000-0000-000046780000}"/>
    <cellStyle name="ReadWriteValues 13 4" xfId="27548" xr:uid="{00000000-0005-0000-0000-000047780000}"/>
    <cellStyle name="ReadWriteValues 13 5" xfId="26921" xr:uid="{00000000-0005-0000-0000-000048780000}"/>
    <cellStyle name="ReadWriteValues 13_DataIX" xfId="34711" xr:uid="{00000000-0005-0000-0000-000049780000}"/>
    <cellStyle name="ReadWriteValues 14" xfId="20663" xr:uid="{00000000-0005-0000-0000-00004A780000}"/>
    <cellStyle name="ReadWriteValues 15" xfId="22616" xr:uid="{00000000-0005-0000-0000-00004B780000}"/>
    <cellStyle name="ReadWriteValues 16" xfId="22699" xr:uid="{00000000-0005-0000-0000-00004C780000}"/>
    <cellStyle name="ReadWriteValues 17" xfId="22655" xr:uid="{00000000-0005-0000-0000-00004D780000}"/>
    <cellStyle name="ReadWriteValues 18" xfId="22440" xr:uid="{00000000-0005-0000-0000-00004E780000}"/>
    <cellStyle name="ReadWriteValues 19" xfId="28067" xr:uid="{00000000-0005-0000-0000-00004F780000}"/>
    <cellStyle name="ReadWriteValues 2" xfId="122" xr:uid="{00000000-0005-0000-0000-000050780000}"/>
    <cellStyle name="ReadWriteValues 2 10" xfId="13140" xr:uid="{00000000-0005-0000-0000-000051780000}"/>
    <cellStyle name="ReadWriteValues 2 10 2" xfId="20780" xr:uid="{00000000-0005-0000-0000-000052780000}"/>
    <cellStyle name="ReadWriteValues 2 10 2 2" xfId="22126" xr:uid="{00000000-0005-0000-0000-000053780000}"/>
    <cellStyle name="ReadWriteValues 2 10 2 3" xfId="12729" xr:uid="{00000000-0005-0000-0000-000054780000}"/>
    <cellStyle name="ReadWriteValues 2 10 2_DataIX" xfId="34714" xr:uid="{00000000-0005-0000-0000-000055780000}"/>
    <cellStyle name="ReadWriteValues 2 10 3" xfId="21145" xr:uid="{00000000-0005-0000-0000-000056780000}"/>
    <cellStyle name="ReadWriteValues 2 10 3 2" xfId="11207" xr:uid="{00000000-0005-0000-0000-000057780000}"/>
    <cellStyle name="ReadWriteValues 2 10 3_DataIX" xfId="34715" xr:uid="{00000000-0005-0000-0000-000058780000}"/>
    <cellStyle name="ReadWriteValues 2 10 4" xfId="13023" xr:uid="{00000000-0005-0000-0000-000059780000}"/>
    <cellStyle name="ReadWriteValues 2 10 5" xfId="27344" xr:uid="{00000000-0005-0000-0000-00005A780000}"/>
    <cellStyle name="ReadWriteValues 2 10 6" xfId="22998" xr:uid="{00000000-0005-0000-0000-00005B780000}"/>
    <cellStyle name="ReadWriteValues 2 10_DataIX" xfId="34713" xr:uid="{00000000-0005-0000-0000-00005C780000}"/>
    <cellStyle name="ReadWriteValues 2 11" xfId="13369" xr:uid="{00000000-0005-0000-0000-00005D780000}"/>
    <cellStyle name="ReadWriteValues 2 11 2" xfId="21326" xr:uid="{00000000-0005-0000-0000-00005E780000}"/>
    <cellStyle name="ReadWriteValues 2 11 2 2" xfId="10835" xr:uid="{00000000-0005-0000-0000-00005F780000}"/>
    <cellStyle name="ReadWriteValues 2 11 2_DataIX" xfId="34717" xr:uid="{00000000-0005-0000-0000-000060780000}"/>
    <cellStyle name="ReadWriteValues 2 11 3" xfId="13499" xr:uid="{00000000-0005-0000-0000-000061780000}"/>
    <cellStyle name="ReadWriteValues 2 11 4" xfId="27063" xr:uid="{00000000-0005-0000-0000-000062780000}"/>
    <cellStyle name="ReadWriteValues 2 11 5" xfId="22904" xr:uid="{00000000-0005-0000-0000-000063780000}"/>
    <cellStyle name="ReadWriteValues 2 11_DataIX" xfId="34716" xr:uid="{00000000-0005-0000-0000-000064780000}"/>
    <cellStyle name="ReadWriteValues 2 12" xfId="10726" xr:uid="{00000000-0005-0000-0000-000065780000}"/>
    <cellStyle name="ReadWriteValues 2 12 2" xfId="21038" xr:uid="{00000000-0005-0000-0000-000066780000}"/>
    <cellStyle name="ReadWriteValues 2 12 2 2" xfId="13601" xr:uid="{00000000-0005-0000-0000-000067780000}"/>
    <cellStyle name="ReadWriteValues 2 12 2_DataIX" xfId="34719" xr:uid="{00000000-0005-0000-0000-000068780000}"/>
    <cellStyle name="ReadWriteValues 2 12 3" xfId="21931" xr:uid="{00000000-0005-0000-0000-000069780000}"/>
    <cellStyle name="ReadWriteValues 2 12_DataIX" xfId="34718" xr:uid="{00000000-0005-0000-0000-00006A780000}"/>
    <cellStyle name="ReadWriteValues 2 13" xfId="22075" xr:uid="{00000000-0005-0000-0000-00006B780000}"/>
    <cellStyle name="ReadWriteValues 2 14" xfId="28066" xr:uid="{00000000-0005-0000-0000-00006C780000}"/>
    <cellStyle name="ReadWriteValues 2 15" xfId="28435" xr:uid="{00000000-0005-0000-0000-00006D780000}"/>
    <cellStyle name="ReadWriteValues 2 16" xfId="28607" xr:uid="{00000000-0005-0000-0000-00006E780000}"/>
    <cellStyle name="ReadWriteValues 2 17" xfId="28968" xr:uid="{00000000-0005-0000-0000-00006F780000}"/>
    <cellStyle name="ReadWriteValues 2 18" xfId="28880" xr:uid="{00000000-0005-0000-0000-000070780000}"/>
    <cellStyle name="ReadWriteValues 2 19" xfId="29200" xr:uid="{00000000-0005-0000-0000-000071780000}"/>
    <cellStyle name="ReadWriteValues 2 2" xfId="238" xr:uid="{00000000-0005-0000-0000-000072780000}"/>
    <cellStyle name="ReadWriteValues 2 2 10" xfId="11152" xr:uid="{00000000-0005-0000-0000-000073780000}"/>
    <cellStyle name="ReadWriteValues 2 2 10 2" xfId="21089" xr:uid="{00000000-0005-0000-0000-000074780000}"/>
    <cellStyle name="ReadWriteValues 2 2 10 2 2" xfId="21816" xr:uid="{00000000-0005-0000-0000-000075780000}"/>
    <cellStyle name="ReadWriteValues 2 2 10 2_DataIX" xfId="34721" xr:uid="{00000000-0005-0000-0000-000076780000}"/>
    <cellStyle name="ReadWriteValues 2 2 10 3" xfId="13581" xr:uid="{00000000-0005-0000-0000-000077780000}"/>
    <cellStyle name="ReadWriteValues 2 2 10 4" xfId="27543" xr:uid="{00000000-0005-0000-0000-000078780000}"/>
    <cellStyle name="ReadWriteValues 2 2 10 5" xfId="26810" xr:uid="{00000000-0005-0000-0000-000079780000}"/>
    <cellStyle name="ReadWriteValues 2 2 10_DataIX" xfId="34720" xr:uid="{00000000-0005-0000-0000-00007A780000}"/>
    <cellStyle name="ReadWriteValues 2 2 11" xfId="13821" xr:uid="{00000000-0005-0000-0000-00007B780000}"/>
    <cellStyle name="ReadWriteValues 2 2 11 2" xfId="13597" xr:uid="{00000000-0005-0000-0000-00007C780000}"/>
    <cellStyle name="ReadWriteValues 2 2 11 3" xfId="21836" xr:uid="{00000000-0005-0000-0000-00007D780000}"/>
    <cellStyle name="ReadWriteValues 2 2 11 4" xfId="27570" xr:uid="{00000000-0005-0000-0000-00007E780000}"/>
    <cellStyle name="ReadWriteValues 2 2 11 5" xfId="23115" xr:uid="{00000000-0005-0000-0000-00007F780000}"/>
    <cellStyle name="ReadWriteValues 2 2 11_DataIX" xfId="34722" xr:uid="{00000000-0005-0000-0000-000080780000}"/>
    <cellStyle name="ReadWriteValues 2 2 12" xfId="20310" xr:uid="{00000000-0005-0000-0000-000081780000}"/>
    <cellStyle name="ReadWriteValues 2 2 12 2" xfId="22238" xr:uid="{00000000-0005-0000-0000-000082780000}"/>
    <cellStyle name="ReadWriteValues 2 2 12_DataIX" xfId="34723" xr:uid="{00000000-0005-0000-0000-000083780000}"/>
    <cellStyle name="ReadWriteValues 2 2 13" xfId="20647" xr:uid="{00000000-0005-0000-0000-000084780000}"/>
    <cellStyle name="ReadWriteValues 2 2 14" xfId="22354" xr:uid="{00000000-0005-0000-0000-000085780000}"/>
    <cellStyle name="ReadWriteValues 2 2 15" xfId="22563" xr:uid="{00000000-0005-0000-0000-000086780000}"/>
    <cellStyle name="ReadWriteValues 2 2 16" xfId="22520" xr:uid="{00000000-0005-0000-0000-000087780000}"/>
    <cellStyle name="ReadWriteValues 2 2 17" xfId="22672" xr:uid="{00000000-0005-0000-0000-000088780000}"/>
    <cellStyle name="ReadWriteValues 2 2 18" xfId="27928" xr:uid="{00000000-0005-0000-0000-000089780000}"/>
    <cellStyle name="ReadWriteValues 2 2 19" xfId="28017" xr:uid="{00000000-0005-0000-0000-00008A780000}"/>
    <cellStyle name="ReadWriteValues 2 2 2" xfId="283" xr:uid="{00000000-0005-0000-0000-00008B780000}"/>
    <cellStyle name="ReadWriteValues 2 2 2 10" xfId="13855" xr:uid="{00000000-0005-0000-0000-00008C780000}"/>
    <cellStyle name="ReadWriteValues 2 2 2 10 2" xfId="13708" xr:uid="{00000000-0005-0000-0000-00008D780000}"/>
    <cellStyle name="ReadWriteValues 2 2 2 10 3" xfId="20660" xr:uid="{00000000-0005-0000-0000-00008E780000}"/>
    <cellStyle name="ReadWriteValues 2 2 2 10 4" xfId="27258" xr:uid="{00000000-0005-0000-0000-00008F780000}"/>
    <cellStyle name="ReadWriteValues 2 2 2 10 5" xfId="23139" xr:uid="{00000000-0005-0000-0000-000090780000}"/>
    <cellStyle name="ReadWriteValues 2 2 2 10_DataIX" xfId="34724" xr:uid="{00000000-0005-0000-0000-000091780000}"/>
    <cellStyle name="ReadWriteValues 2 2 2 11" xfId="20608" xr:uid="{00000000-0005-0000-0000-000092780000}"/>
    <cellStyle name="ReadWriteValues 2 2 2 11 2" xfId="13678" xr:uid="{00000000-0005-0000-0000-000093780000}"/>
    <cellStyle name="ReadWriteValues 2 2 2 11 3" xfId="27565" xr:uid="{00000000-0005-0000-0000-000094780000}"/>
    <cellStyle name="ReadWriteValues 2 2 2 11 4" xfId="22840" xr:uid="{00000000-0005-0000-0000-000095780000}"/>
    <cellStyle name="ReadWriteValues 2 2 2 11_DataIX" xfId="34725" xr:uid="{00000000-0005-0000-0000-000096780000}"/>
    <cellStyle name="ReadWriteValues 2 2 2 12" xfId="13424" xr:uid="{00000000-0005-0000-0000-000097780000}"/>
    <cellStyle name="ReadWriteValues 2 2 2 13" xfId="13551" xr:uid="{00000000-0005-0000-0000-000098780000}"/>
    <cellStyle name="ReadWriteValues 2 2 2 14" xfId="22355" xr:uid="{00000000-0005-0000-0000-000099780000}"/>
    <cellStyle name="ReadWriteValues 2 2 2 15" xfId="22562" xr:uid="{00000000-0005-0000-0000-00009A780000}"/>
    <cellStyle name="ReadWriteValues 2 2 2 16" xfId="22667" xr:uid="{00000000-0005-0000-0000-00009B780000}"/>
    <cellStyle name="ReadWriteValues 2 2 2 17" xfId="22453" xr:uid="{00000000-0005-0000-0000-00009C780000}"/>
    <cellStyle name="ReadWriteValues 2 2 2 18" xfId="27929" xr:uid="{00000000-0005-0000-0000-00009D780000}"/>
    <cellStyle name="ReadWriteValues 2 2 2 19" xfId="28016" xr:uid="{00000000-0005-0000-0000-00009E780000}"/>
    <cellStyle name="ReadWriteValues 2 2 2 2" xfId="5216" xr:uid="{00000000-0005-0000-0000-00009F780000}"/>
    <cellStyle name="ReadWriteValues 2 2 2 2 2" xfId="10412" xr:uid="{00000000-0005-0000-0000-0000A0780000}"/>
    <cellStyle name="ReadWriteValues 2 2 2 2 3" xfId="18546" xr:uid="{00000000-0005-0000-0000-0000A1780000}"/>
    <cellStyle name="ReadWriteValues 2 2 2 2 3 2" xfId="21608" xr:uid="{00000000-0005-0000-0000-0000A2780000}"/>
    <cellStyle name="ReadWriteValues 2 2 2 2 3 3" xfId="13514" xr:uid="{00000000-0005-0000-0000-0000A3780000}"/>
    <cellStyle name="ReadWriteValues 2 2 2 2 3_DataIX" xfId="34727" xr:uid="{00000000-0005-0000-0000-0000A4780000}"/>
    <cellStyle name="ReadWriteValues 2 2 2 2 4" xfId="19050" xr:uid="{00000000-0005-0000-0000-0000A5780000}"/>
    <cellStyle name="ReadWriteValues 2 2 2 2 4 2" xfId="13573" xr:uid="{00000000-0005-0000-0000-0000A6780000}"/>
    <cellStyle name="ReadWriteValues 2 2 2 2 4_DataIX" xfId="34728" xr:uid="{00000000-0005-0000-0000-0000A7780000}"/>
    <cellStyle name="ReadWriteValues 2 2 2 2_DataIX" xfId="34726" xr:uid="{00000000-0005-0000-0000-0000A8780000}"/>
    <cellStyle name="ReadWriteValues 2 2 2 20" xfId="28261" xr:uid="{00000000-0005-0000-0000-0000A9780000}"/>
    <cellStyle name="ReadWriteValues 2 2 2 21" xfId="28383" xr:uid="{00000000-0005-0000-0000-0000AA780000}"/>
    <cellStyle name="ReadWriteValues 2 2 2 22" xfId="28469" xr:uid="{00000000-0005-0000-0000-0000AB780000}"/>
    <cellStyle name="ReadWriteValues 2 2 2 23" xfId="28330" xr:uid="{00000000-0005-0000-0000-0000AC780000}"/>
    <cellStyle name="ReadWriteValues 2 2 2 24" xfId="28771" xr:uid="{00000000-0005-0000-0000-0000AD780000}"/>
    <cellStyle name="ReadWriteValues 2 2 2 25" xfId="28919" xr:uid="{00000000-0005-0000-0000-0000AE780000}"/>
    <cellStyle name="ReadWriteValues 2 2 2 26" xfId="28692" xr:uid="{00000000-0005-0000-0000-0000AF780000}"/>
    <cellStyle name="ReadWriteValues 2 2 2 27" xfId="28848" xr:uid="{00000000-0005-0000-0000-0000B0780000}"/>
    <cellStyle name="ReadWriteValues 2 2 2 28" xfId="29064" xr:uid="{00000000-0005-0000-0000-0000B1780000}"/>
    <cellStyle name="ReadWriteValues 2 2 2 29" xfId="29146" xr:uid="{00000000-0005-0000-0000-0000B2780000}"/>
    <cellStyle name="ReadWriteValues 2 2 2 3" xfId="5372" xr:uid="{00000000-0005-0000-0000-0000B3780000}"/>
    <cellStyle name="ReadWriteValues 2 2 2 3 2" xfId="12836" xr:uid="{00000000-0005-0000-0000-0000B4780000}"/>
    <cellStyle name="ReadWriteValues 2 2 2 3 3" xfId="18696" xr:uid="{00000000-0005-0000-0000-0000B5780000}"/>
    <cellStyle name="ReadWriteValues 2 2 2 3 3 2" xfId="21662" xr:uid="{00000000-0005-0000-0000-0000B6780000}"/>
    <cellStyle name="ReadWriteValues 2 2 2 3 3 3" xfId="21749" xr:uid="{00000000-0005-0000-0000-0000B7780000}"/>
    <cellStyle name="ReadWriteValues 2 2 2 3 3_DataIX" xfId="34730" xr:uid="{00000000-0005-0000-0000-0000B8780000}"/>
    <cellStyle name="ReadWriteValues 2 2 2 3 4" xfId="20480" xr:uid="{00000000-0005-0000-0000-0000B9780000}"/>
    <cellStyle name="ReadWriteValues 2 2 2 3 4 2" xfId="13732" xr:uid="{00000000-0005-0000-0000-0000BA780000}"/>
    <cellStyle name="ReadWriteValues 2 2 2 3 4_DataIX" xfId="34731" xr:uid="{00000000-0005-0000-0000-0000BB780000}"/>
    <cellStyle name="ReadWriteValues 2 2 2 3_DataIX" xfId="34729" xr:uid="{00000000-0005-0000-0000-0000BC780000}"/>
    <cellStyle name="ReadWriteValues 2 2 2 4" xfId="13289" xr:uid="{00000000-0005-0000-0000-0000BD780000}"/>
    <cellStyle name="ReadWriteValues 2 2 2 4 2" xfId="20878" xr:uid="{00000000-0005-0000-0000-0000BE780000}"/>
    <cellStyle name="ReadWriteValues 2 2 2 4 2 2" xfId="22158" xr:uid="{00000000-0005-0000-0000-0000BF780000}"/>
    <cellStyle name="ReadWriteValues 2 2 2 4 2 3" xfId="11092" xr:uid="{00000000-0005-0000-0000-0000C0780000}"/>
    <cellStyle name="ReadWriteValues 2 2 2 4 2_DataIX" xfId="34733" xr:uid="{00000000-0005-0000-0000-0000C1780000}"/>
    <cellStyle name="ReadWriteValues 2 2 2 4 3" xfId="21266" xr:uid="{00000000-0005-0000-0000-0000C2780000}"/>
    <cellStyle name="ReadWriteValues 2 2 2 4 3 2" xfId="21563" xr:uid="{00000000-0005-0000-0000-0000C3780000}"/>
    <cellStyle name="ReadWriteValues 2 2 2 4 3_DataIX" xfId="34734" xr:uid="{00000000-0005-0000-0000-0000C4780000}"/>
    <cellStyle name="ReadWriteValues 2 2 2 4 4" xfId="21455" xr:uid="{00000000-0005-0000-0000-0000C5780000}"/>
    <cellStyle name="ReadWriteValues 2 2 2 4 5" xfId="26982" xr:uid="{00000000-0005-0000-0000-0000C6780000}"/>
    <cellStyle name="ReadWriteValues 2 2 2 4 6" xfId="22867" xr:uid="{00000000-0005-0000-0000-0000C7780000}"/>
    <cellStyle name="ReadWriteValues 2 2 2 4_DataIX" xfId="34732" xr:uid="{00000000-0005-0000-0000-0000C8780000}"/>
    <cellStyle name="ReadWriteValues 2 2 2 5" xfId="13230" xr:uid="{00000000-0005-0000-0000-0000C9780000}"/>
    <cellStyle name="ReadWriteValues 2 2 2 5 2" xfId="20840" xr:uid="{00000000-0005-0000-0000-0000CA780000}"/>
    <cellStyle name="ReadWriteValues 2 2 2 5 2 2" xfId="22145" xr:uid="{00000000-0005-0000-0000-0000CB780000}"/>
    <cellStyle name="ReadWriteValues 2 2 2 5 2 3" xfId="22054" xr:uid="{00000000-0005-0000-0000-0000CC780000}"/>
    <cellStyle name="ReadWriteValues 2 2 2 5 2_DataIX" xfId="34736" xr:uid="{00000000-0005-0000-0000-0000CD780000}"/>
    <cellStyle name="ReadWriteValues 2 2 2 5 3" xfId="21216" xr:uid="{00000000-0005-0000-0000-0000CE780000}"/>
    <cellStyle name="ReadWriteValues 2 2 2 5 3 2" xfId="13654" xr:uid="{00000000-0005-0000-0000-0000CF780000}"/>
    <cellStyle name="ReadWriteValues 2 2 2 5 3_DataIX" xfId="34737" xr:uid="{00000000-0005-0000-0000-0000D0780000}"/>
    <cellStyle name="ReadWriteValues 2 2 2 5 4" xfId="10912" xr:uid="{00000000-0005-0000-0000-0000D1780000}"/>
    <cellStyle name="ReadWriteValues 2 2 2 5 5" xfId="27343" xr:uid="{00000000-0005-0000-0000-0000D2780000}"/>
    <cellStyle name="ReadWriteValues 2 2 2 5 6" xfId="23074" xr:uid="{00000000-0005-0000-0000-0000D3780000}"/>
    <cellStyle name="ReadWriteValues 2 2 2 5_DataIX" xfId="34735" xr:uid="{00000000-0005-0000-0000-0000D4780000}"/>
    <cellStyle name="ReadWriteValues 2 2 2 6" xfId="13154" xr:uid="{00000000-0005-0000-0000-0000D5780000}"/>
    <cellStyle name="ReadWriteValues 2 2 2 6 2" xfId="21157" xr:uid="{00000000-0005-0000-0000-0000D6780000}"/>
    <cellStyle name="ReadWriteValues 2 2 2 6 2 2" xfId="13490" xr:uid="{00000000-0005-0000-0000-0000D7780000}"/>
    <cellStyle name="ReadWriteValues 2 2 2 6 2_DataIX" xfId="34739" xr:uid="{00000000-0005-0000-0000-0000D8780000}"/>
    <cellStyle name="ReadWriteValues 2 2 2 6 3" xfId="21505" xr:uid="{00000000-0005-0000-0000-0000D9780000}"/>
    <cellStyle name="ReadWriteValues 2 2 2 6 4" xfId="27219" xr:uid="{00000000-0005-0000-0000-0000DA780000}"/>
    <cellStyle name="ReadWriteValues 2 2 2 6 5" xfId="26862" xr:uid="{00000000-0005-0000-0000-0000DB780000}"/>
    <cellStyle name="ReadWriteValues 2 2 2 6_DataIX" xfId="34738" xr:uid="{00000000-0005-0000-0000-0000DC780000}"/>
    <cellStyle name="ReadWriteValues 2 2 2 7" xfId="10728" xr:uid="{00000000-0005-0000-0000-0000DD780000}"/>
    <cellStyle name="ReadWriteValues 2 2 2 7 2" xfId="21040" xr:uid="{00000000-0005-0000-0000-0000DE780000}"/>
    <cellStyle name="ReadWriteValues 2 2 2 7 2 2" xfId="20651" xr:uid="{00000000-0005-0000-0000-0000DF780000}"/>
    <cellStyle name="ReadWriteValues 2 2 2 7 2_DataIX" xfId="34741" xr:uid="{00000000-0005-0000-0000-0000E0780000}"/>
    <cellStyle name="ReadWriteValues 2 2 2 7 3" xfId="21797" xr:uid="{00000000-0005-0000-0000-0000E1780000}"/>
    <cellStyle name="ReadWriteValues 2 2 2 7 4" xfId="27025" xr:uid="{00000000-0005-0000-0000-0000E2780000}"/>
    <cellStyle name="ReadWriteValues 2 2 2 7 5" xfId="22790" xr:uid="{00000000-0005-0000-0000-0000E3780000}"/>
    <cellStyle name="ReadWriteValues 2 2 2 7_DataIX" xfId="34740" xr:uid="{00000000-0005-0000-0000-0000E4780000}"/>
    <cellStyle name="ReadWriteValues 2 2 2 8" xfId="12814" xr:uid="{00000000-0005-0000-0000-0000E5780000}"/>
    <cellStyle name="ReadWriteValues 2 2 2 8 2" xfId="21106" xr:uid="{00000000-0005-0000-0000-0000E6780000}"/>
    <cellStyle name="ReadWriteValues 2 2 2 8 2 2" xfId="11263" xr:uid="{00000000-0005-0000-0000-0000E7780000}"/>
    <cellStyle name="ReadWriteValues 2 2 2 8 2_DataIX" xfId="34743" xr:uid="{00000000-0005-0000-0000-0000E8780000}"/>
    <cellStyle name="ReadWriteValues 2 2 2 8 3" xfId="13665" xr:uid="{00000000-0005-0000-0000-0000E9780000}"/>
    <cellStyle name="ReadWriteValues 2 2 2 8 4" xfId="27557" xr:uid="{00000000-0005-0000-0000-0000EA780000}"/>
    <cellStyle name="ReadWriteValues 2 2 2 8 5" xfId="23151" xr:uid="{00000000-0005-0000-0000-0000EB780000}"/>
    <cellStyle name="ReadWriteValues 2 2 2 8_DataIX" xfId="34742" xr:uid="{00000000-0005-0000-0000-0000EC780000}"/>
    <cellStyle name="ReadWriteValues 2 2 2 9" xfId="13430" xr:uid="{00000000-0005-0000-0000-0000ED780000}"/>
    <cellStyle name="ReadWriteValues 2 2 2 9 2" xfId="21366" xr:uid="{00000000-0005-0000-0000-0000EE780000}"/>
    <cellStyle name="ReadWriteValues 2 2 2 9 2 2" xfId="13673" xr:uid="{00000000-0005-0000-0000-0000EF780000}"/>
    <cellStyle name="ReadWriteValues 2 2 2 9 2_DataIX" xfId="34745" xr:uid="{00000000-0005-0000-0000-0000F0780000}"/>
    <cellStyle name="ReadWriteValues 2 2 2 9 3" xfId="11119" xr:uid="{00000000-0005-0000-0000-0000F1780000}"/>
    <cellStyle name="ReadWriteValues 2 2 2 9 4" xfId="27578" xr:uid="{00000000-0005-0000-0000-0000F2780000}"/>
    <cellStyle name="ReadWriteValues 2 2 2 9 5" xfId="23002" xr:uid="{00000000-0005-0000-0000-0000F3780000}"/>
    <cellStyle name="ReadWriteValues 2 2 2 9_DataIX" xfId="34744" xr:uid="{00000000-0005-0000-0000-0000F4780000}"/>
    <cellStyle name="ReadWriteValues 2 2 2_##Keskeiset" xfId="10411" xr:uid="{00000000-0005-0000-0000-0000F5780000}"/>
    <cellStyle name="ReadWriteValues 2 2 20" xfId="28260" xr:uid="{00000000-0005-0000-0000-0000F6780000}"/>
    <cellStyle name="ReadWriteValues 2 2 21" xfId="28384" xr:uid="{00000000-0005-0000-0000-0000F7780000}"/>
    <cellStyle name="ReadWriteValues 2 2 22" xfId="28466" xr:uid="{00000000-0005-0000-0000-0000F8780000}"/>
    <cellStyle name="ReadWriteValues 2 2 23" xfId="28328" xr:uid="{00000000-0005-0000-0000-0000F9780000}"/>
    <cellStyle name="ReadWriteValues 2 2 24" xfId="28772" xr:uid="{00000000-0005-0000-0000-0000FA780000}"/>
    <cellStyle name="ReadWriteValues 2 2 25" xfId="28735" xr:uid="{00000000-0005-0000-0000-0000FB780000}"/>
    <cellStyle name="ReadWriteValues 2 2 26" xfId="28689" xr:uid="{00000000-0005-0000-0000-0000FC780000}"/>
    <cellStyle name="ReadWriteValues 2 2 27" xfId="28850" xr:uid="{00000000-0005-0000-0000-0000FD780000}"/>
    <cellStyle name="ReadWriteValues 2 2 28" xfId="29063" xr:uid="{00000000-0005-0000-0000-0000FE780000}"/>
    <cellStyle name="ReadWriteValues 2 2 29" xfId="29147" xr:uid="{00000000-0005-0000-0000-0000FF780000}"/>
    <cellStyle name="ReadWriteValues 2 2 3" xfId="5217" xr:uid="{00000000-0005-0000-0000-000000790000}"/>
    <cellStyle name="ReadWriteValues 2 2 3 2" xfId="5675" xr:uid="{00000000-0005-0000-0000-000001790000}"/>
    <cellStyle name="ReadWriteValues 2 2 3 2 2" xfId="12837" xr:uid="{00000000-0005-0000-0000-000002790000}"/>
    <cellStyle name="ReadWriteValues 2 2 3 2 3" xfId="18889" xr:uid="{00000000-0005-0000-0000-000003790000}"/>
    <cellStyle name="ReadWriteValues 2 2 3 2 3 2" xfId="21729" xr:uid="{00000000-0005-0000-0000-000004790000}"/>
    <cellStyle name="ReadWriteValues 2 2 3 2 3 3" xfId="13441" xr:uid="{00000000-0005-0000-0000-000005790000}"/>
    <cellStyle name="ReadWriteValues 2 2 3 2 3_DataIX" xfId="34748" xr:uid="{00000000-0005-0000-0000-000006790000}"/>
    <cellStyle name="ReadWriteValues 2 2 3 2 4" xfId="18950" xr:uid="{00000000-0005-0000-0000-000007790000}"/>
    <cellStyle name="ReadWriteValues 2 2 3 2 4 2" xfId="11315" xr:uid="{00000000-0005-0000-0000-000008790000}"/>
    <cellStyle name="ReadWriteValues 2 2 3 2 4_DataIX" xfId="34749" xr:uid="{00000000-0005-0000-0000-000009790000}"/>
    <cellStyle name="ReadWriteValues 2 2 3 2_DataIX" xfId="34747" xr:uid="{00000000-0005-0000-0000-00000A790000}"/>
    <cellStyle name="ReadWriteValues 2 2 3 3" xfId="11162" xr:uid="{00000000-0005-0000-0000-00000B790000}"/>
    <cellStyle name="ReadWriteValues 2 2 3 4" xfId="18547" xr:uid="{00000000-0005-0000-0000-00000C790000}"/>
    <cellStyle name="ReadWriteValues 2 2 3 4 2" xfId="21609" xr:uid="{00000000-0005-0000-0000-00000D790000}"/>
    <cellStyle name="ReadWriteValues 2 2 3 4 3" xfId="22078" xr:uid="{00000000-0005-0000-0000-00000E790000}"/>
    <cellStyle name="ReadWriteValues 2 2 3 4_DataIX" xfId="34750" xr:uid="{00000000-0005-0000-0000-00000F790000}"/>
    <cellStyle name="ReadWriteValues 2 2 3 5" xfId="20529" xr:uid="{00000000-0005-0000-0000-000010790000}"/>
    <cellStyle name="ReadWriteValues 2 2 3 5 2" xfId="11088" xr:uid="{00000000-0005-0000-0000-000011790000}"/>
    <cellStyle name="ReadWriteValues 2 2 3 5_DataIX" xfId="34751" xr:uid="{00000000-0005-0000-0000-000012790000}"/>
    <cellStyle name="ReadWriteValues 2 2 3_DataIX" xfId="34746" xr:uid="{00000000-0005-0000-0000-000013790000}"/>
    <cellStyle name="ReadWriteValues 2 2 4" xfId="5676" xr:uid="{00000000-0005-0000-0000-000014790000}"/>
    <cellStyle name="ReadWriteValues 2 2 4 2" xfId="12838" xr:uid="{00000000-0005-0000-0000-000015790000}"/>
    <cellStyle name="ReadWriteValues 2 2 4 3" xfId="18890" xr:uid="{00000000-0005-0000-0000-000016790000}"/>
    <cellStyle name="ReadWriteValues 2 2 4 3 2" xfId="21730" xr:uid="{00000000-0005-0000-0000-000017790000}"/>
    <cellStyle name="ReadWriteValues 2 2 4 3 3" xfId="13663" xr:uid="{00000000-0005-0000-0000-000018790000}"/>
    <cellStyle name="ReadWriteValues 2 2 4 3_DataIX" xfId="34753" xr:uid="{00000000-0005-0000-0000-000019790000}"/>
    <cellStyle name="ReadWriteValues 2 2 4 4" xfId="20433" xr:uid="{00000000-0005-0000-0000-00001A790000}"/>
    <cellStyle name="ReadWriteValues 2 2 4 4 2" xfId="12613" xr:uid="{00000000-0005-0000-0000-00001B790000}"/>
    <cellStyle name="ReadWriteValues 2 2 4 4_DataIX" xfId="34754" xr:uid="{00000000-0005-0000-0000-00001C790000}"/>
    <cellStyle name="ReadWriteValues 2 2 4_DataIX" xfId="34752" xr:uid="{00000000-0005-0000-0000-00001D790000}"/>
    <cellStyle name="ReadWriteValues 2 2 5" xfId="5371" xr:uid="{00000000-0005-0000-0000-00001E790000}"/>
    <cellStyle name="ReadWriteValues 2 2 5 2" xfId="12839" xr:uid="{00000000-0005-0000-0000-00001F790000}"/>
    <cellStyle name="ReadWriteValues 2 2 5 3" xfId="18695" xr:uid="{00000000-0005-0000-0000-000020790000}"/>
    <cellStyle name="ReadWriteValues 2 2 5 3 2" xfId="21661" xr:uid="{00000000-0005-0000-0000-000021790000}"/>
    <cellStyle name="ReadWriteValues 2 2 5 3 3" xfId="22095" xr:uid="{00000000-0005-0000-0000-000022790000}"/>
    <cellStyle name="ReadWriteValues 2 2 5 3_DataIX" xfId="34756" xr:uid="{00000000-0005-0000-0000-000023790000}"/>
    <cellStyle name="ReadWriteValues 2 2 5 4" xfId="18997" xr:uid="{00000000-0005-0000-0000-000024790000}"/>
    <cellStyle name="ReadWriteValues 2 2 5 4 2" xfId="12630" xr:uid="{00000000-0005-0000-0000-000025790000}"/>
    <cellStyle name="ReadWriteValues 2 2 5 4_DataIX" xfId="34757" xr:uid="{00000000-0005-0000-0000-000026790000}"/>
    <cellStyle name="ReadWriteValues 2 2 5_DataIX" xfId="34755" xr:uid="{00000000-0005-0000-0000-000027790000}"/>
    <cellStyle name="ReadWriteValues 2 2 6" xfId="13290" xr:uid="{00000000-0005-0000-0000-000028790000}"/>
    <cellStyle name="ReadWriteValues 2 2 6 2" xfId="20879" xr:uid="{00000000-0005-0000-0000-000029790000}"/>
    <cellStyle name="ReadWriteValues 2 2 6 2 2" xfId="22159" xr:uid="{00000000-0005-0000-0000-00002A790000}"/>
    <cellStyle name="ReadWriteValues 2 2 6 2 3" xfId="21993" xr:uid="{00000000-0005-0000-0000-00002B790000}"/>
    <cellStyle name="ReadWriteValues 2 2 6 2_DataIX" xfId="34759" xr:uid="{00000000-0005-0000-0000-00002C790000}"/>
    <cellStyle name="ReadWriteValues 2 2 6 3" xfId="21267" xr:uid="{00000000-0005-0000-0000-00002D790000}"/>
    <cellStyle name="ReadWriteValues 2 2 6 3 2" xfId="12706" xr:uid="{00000000-0005-0000-0000-00002E790000}"/>
    <cellStyle name="ReadWriteValues 2 2 6 3_DataIX" xfId="34760" xr:uid="{00000000-0005-0000-0000-00002F790000}"/>
    <cellStyle name="ReadWriteValues 2 2 6 4" xfId="21389" xr:uid="{00000000-0005-0000-0000-000030790000}"/>
    <cellStyle name="ReadWriteValues 2 2 6 5" xfId="26981" xr:uid="{00000000-0005-0000-0000-000031790000}"/>
    <cellStyle name="ReadWriteValues 2 2 6 6" xfId="22970" xr:uid="{00000000-0005-0000-0000-000032790000}"/>
    <cellStyle name="ReadWriteValues 2 2 6_DataIX" xfId="34758" xr:uid="{00000000-0005-0000-0000-000033790000}"/>
    <cellStyle name="ReadWriteValues 2 2 7" xfId="13365" xr:uid="{00000000-0005-0000-0000-000034790000}"/>
    <cellStyle name="ReadWriteValues 2 2 7 2" xfId="20933" xr:uid="{00000000-0005-0000-0000-000035790000}"/>
    <cellStyle name="ReadWriteValues 2 2 7 2 2" xfId="22182" xr:uid="{00000000-0005-0000-0000-000036790000}"/>
    <cellStyle name="ReadWriteValues 2 2 7 2 3" xfId="10915" xr:uid="{00000000-0005-0000-0000-000037790000}"/>
    <cellStyle name="ReadWriteValues 2 2 7 2_DataIX" xfId="34762" xr:uid="{00000000-0005-0000-0000-000038790000}"/>
    <cellStyle name="ReadWriteValues 2 2 7 3" xfId="21322" xr:uid="{00000000-0005-0000-0000-000039790000}"/>
    <cellStyle name="ReadWriteValues 2 2 7 3 2" xfId="21568" xr:uid="{00000000-0005-0000-0000-00003A790000}"/>
    <cellStyle name="ReadWriteValues 2 2 7 3_DataIX" xfId="34763" xr:uid="{00000000-0005-0000-0000-00003B790000}"/>
    <cellStyle name="ReadWriteValues 2 2 7 4" xfId="13590" xr:uid="{00000000-0005-0000-0000-00003C790000}"/>
    <cellStyle name="ReadWriteValues 2 2 7 5" xfId="27176" xr:uid="{00000000-0005-0000-0000-00003D790000}"/>
    <cellStyle name="ReadWriteValues 2 2 7 6" xfId="26975" xr:uid="{00000000-0005-0000-0000-00003E790000}"/>
    <cellStyle name="ReadWriteValues 2 2 7_DataIX" xfId="34761" xr:uid="{00000000-0005-0000-0000-00003F790000}"/>
    <cellStyle name="ReadWriteValues 2 2 8" xfId="13216" xr:uid="{00000000-0005-0000-0000-000040790000}"/>
    <cellStyle name="ReadWriteValues 2 2 8 2" xfId="21205" xr:uid="{00000000-0005-0000-0000-000041790000}"/>
    <cellStyle name="ReadWriteValues 2 2 8 2 2" xfId="21821" xr:uid="{00000000-0005-0000-0000-000042790000}"/>
    <cellStyle name="ReadWriteValues 2 2 8 2_DataIX" xfId="34765" xr:uid="{00000000-0005-0000-0000-000043790000}"/>
    <cellStyle name="ReadWriteValues 2 2 8 3" xfId="21832" xr:uid="{00000000-0005-0000-0000-000044790000}"/>
    <cellStyle name="ReadWriteValues 2 2 8 4" xfId="27533" xr:uid="{00000000-0005-0000-0000-000045790000}"/>
    <cellStyle name="ReadWriteValues 2 2 8 5" xfId="22774" xr:uid="{00000000-0005-0000-0000-000046790000}"/>
    <cellStyle name="ReadWriteValues 2 2 8_DataIX" xfId="34764" xr:uid="{00000000-0005-0000-0000-000047790000}"/>
    <cellStyle name="ReadWriteValues 2 2 9" xfId="10727" xr:uid="{00000000-0005-0000-0000-000048790000}"/>
    <cellStyle name="ReadWriteValues 2 2 9 2" xfId="21039" xr:uid="{00000000-0005-0000-0000-000049790000}"/>
    <cellStyle name="ReadWriteValues 2 2 9 2 2" xfId="20719" xr:uid="{00000000-0005-0000-0000-00004A790000}"/>
    <cellStyle name="ReadWriteValues 2 2 9 2_DataIX" xfId="34767" xr:uid="{00000000-0005-0000-0000-00004B790000}"/>
    <cellStyle name="ReadWriteValues 2 2 9 3" xfId="13628" xr:uid="{00000000-0005-0000-0000-00004C790000}"/>
    <cellStyle name="ReadWriteValues 2 2 9 4" xfId="27263" xr:uid="{00000000-0005-0000-0000-00004D790000}"/>
    <cellStyle name="ReadWriteValues 2 2 9 5" xfId="22918" xr:uid="{00000000-0005-0000-0000-00004E790000}"/>
    <cellStyle name="ReadWriteValues 2 2 9_DataIX" xfId="34766" xr:uid="{00000000-0005-0000-0000-00004F790000}"/>
    <cellStyle name="ReadWriteValues 2 2_##Keskeiset" xfId="10410" xr:uid="{00000000-0005-0000-0000-000050790000}"/>
    <cellStyle name="ReadWriteValues 2 3" xfId="5106" xr:uid="{00000000-0005-0000-0000-000051790000}"/>
    <cellStyle name="ReadWriteValues 2 3 2" xfId="5677" xr:uid="{00000000-0005-0000-0000-000052790000}"/>
    <cellStyle name="ReadWriteValues 2 3 2 2" xfId="12841" xr:uid="{00000000-0005-0000-0000-000053790000}"/>
    <cellStyle name="ReadWriteValues 2 3 2 3" xfId="18891" xr:uid="{00000000-0005-0000-0000-000054790000}"/>
    <cellStyle name="ReadWriteValues 2 3 2 3 2" xfId="21731" xr:uid="{00000000-0005-0000-0000-000055790000}"/>
    <cellStyle name="ReadWriteValues 2 3 2 3 3" xfId="13537" xr:uid="{00000000-0005-0000-0000-000056790000}"/>
    <cellStyle name="ReadWriteValues 2 3 2 3_DataIX" xfId="34770" xr:uid="{00000000-0005-0000-0000-000057790000}"/>
    <cellStyle name="ReadWriteValues 2 3 2 4" xfId="18949" xr:uid="{00000000-0005-0000-0000-000058790000}"/>
    <cellStyle name="ReadWriteValues 2 3 2 4 2" xfId="13603" xr:uid="{00000000-0005-0000-0000-000059790000}"/>
    <cellStyle name="ReadWriteValues 2 3 2 4_DataIX" xfId="34771" xr:uid="{00000000-0005-0000-0000-00005A790000}"/>
    <cellStyle name="ReadWriteValues 2 3 2_DataIX" xfId="34769" xr:uid="{00000000-0005-0000-0000-00005B790000}"/>
    <cellStyle name="ReadWriteValues 2 3 3" xfId="11163" xr:uid="{00000000-0005-0000-0000-00005C790000}"/>
    <cellStyle name="ReadWriteValues 2 3 4" xfId="18445" xr:uid="{00000000-0005-0000-0000-00005D790000}"/>
    <cellStyle name="ReadWriteValues 2 3 4 2" xfId="21588" xr:uid="{00000000-0005-0000-0000-00005E790000}"/>
    <cellStyle name="ReadWriteValues 2 3 4 3" xfId="21953" xr:uid="{00000000-0005-0000-0000-00005F790000}"/>
    <cellStyle name="ReadWriteValues 2 3 4_DataIX" xfId="34772" xr:uid="{00000000-0005-0000-0000-000060790000}"/>
    <cellStyle name="ReadWriteValues 2 3 5" xfId="20546" xr:uid="{00000000-0005-0000-0000-000061790000}"/>
    <cellStyle name="ReadWriteValues 2 3 5 2" xfId="22048" xr:uid="{00000000-0005-0000-0000-000062790000}"/>
    <cellStyle name="ReadWriteValues 2 3 5_DataIX" xfId="34773" xr:uid="{00000000-0005-0000-0000-000063790000}"/>
    <cellStyle name="ReadWriteValues 2 3_DataIX" xfId="34768" xr:uid="{00000000-0005-0000-0000-000064790000}"/>
    <cellStyle name="ReadWriteValues 2 4" xfId="5284" xr:uid="{00000000-0005-0000-0000-000065790000}"/>
    <cellStyle name="ReadWriteValues 2 4 2" xfId="5678" xr:uid="{00000000-0005-0000-0000-000066790000}"/>
    <cellStyle name="ReadWriteValues 2 4 2 2" xfId="12842" xr:uid="{00000000-0005-0000-0000-000067790000}"/>
    <cellStyle name="ReadWriteValues 2 4 2 3" xfId="18892" xr:uid="{00000000-0005-0000-0000-000068790000}"/>
    <cellStyle name="ReadWriteValues 2 4 2 3 2" xfId="21732" xr:uid="{00000000-0005-0000-0000-000069790000}"/>
    <cellStyle name="ReadWriteValues 2 4 2 3 3" xfId="21402" xr:uid="{00000000-0005-0000-0000-00006A790000}"/>
    <cellStyle name="ReadWriteValues 2 4 2 3_DataIX" xfId="34776" xr:uid="{00000000-0005-0000-0000-00006B790000}"/>
    <cellStyle name="ReadWriteValues 2 4 2 4" xfId="20432" xr:uid="{00000000-0005-0000-0000-00006C790000}"/>
    <cellStyle name="ReadWriteValues 2 4 2 4 2" xfId="11271" xr:uid="{00000000-0005-0000-0000-00006D790000}"/>
    <cellStyle name="ReadWriteValues 2 4 2 4_DataIX" xfId="34777" xr:uid="{00000000-0005-0000-0000-00006E790000}"/>
    <cellStyle name="ReadWriteValues 2 4 2_DataIX" xfId="34775" xr:uid="{00000000-0005-0000-0000-00006F790000}"/>
    <cellStyle name="ReadWriteValues 2 4 3" xfId="11164" xr:uid="{00000000-0005-0000-0000-000070790000}"/>
    <cellStyle name="ReadWriteValues 2 4 4" xfId="18608" xr:uid="{00000000-0005-0000-0000-000071790000}"/>
    <cellStyle name="ReadWriteValues 2 4 4 2" xfId="21636" xr:uid="{00000000-0005-0000-0000-000072790000}"/>
    <cellStyle name="ReadWriteValues 2 4 4 3" xfId="12576" xr:uid="{00000000-0005-0000-0000-000073790000}"/>
    <cellStyle name="ReadWriteValues 2 4 4_DataIX" xfId="34778" xr:uid="{00000000-0005-0000-0000-000074790000}"/>
    <cellStyle name="ReadWriteValues 2 4 5" xfId="19023" xr:uid="{00000000-0005-0000-0000-000075790000}"/>
    <cellStyle name="ReadWriteValues 2 4 5 2" xfId="22085" xr:uid="{00000000-0005-0000-0000-000076790000}"/>
    <cellStyle name="ReadWriteValues 2 4 5_DataIX" xfId="34779" xr:uid="{00000000-0005-0000-0000-000077790000}"/>
    <cellStyle name="ReadWriteValues 2 4_DataIX" xfId="34774" xr:uid="{00000000-0005-0000-0000-000078790000}"/>
    <cellStyle name="ReadWriteValues 2 5" xfId="3294" xr:uid="{00000000-0005-0000-0000-000079790000}"/>
    <cellStyle name="ReadWriteValues 2 5 2" xfId="10413" xr:uid="{00000000-0005-0000-0000-00007A790000}"/>
    <cellStyle name="ReadWriteValues 2 5 3" xfId="16808" xr:uid="{00000000-0005-0000-0000-00007B790000}"/>
    <cellStyle name="ReadWriteValues 2 5 3 2" xfId="21502" xr:uid="{00000000-0005-0000-0000-00007C790000}"/>
    <cellStyle name="ReadWriteValues 2 5 3 3" xfId="11066" xr:uid="{00000000-0005-0000-0000-00007D790000}"/>
    <cellStyle name="ReadWriteValues 2 5 3_DataIX" xfId="34781" xr:uid="{00000000-0005-0000-0000-00007E790000}"/>
    <cellStyle name="ReadWriteValues 2 5 4" xfId="20736" xr:uid="{00000000-0005-0000-0000-00007F790000}"/>
    <cellStyle name="ReadWriteValues 2 5 4 2" xfId="21803" xr:uid="{00000000-0005-0000-0000-000080790000}"/>
    <cellStyle name="ReadWriteValues 2 5 4_DataIX" xfId="34782" xr:uid="{00000000-0005-0000-0000-000081790000}"/>
    <cellStyle name="ReadWriteValues 2 5_DataIX" xfId="34780" xr:uid="{00000000-0005-0000-0000-000082790000}"/>
    <cellStyle name="ReadWriteValues 2 6" xfId="5280" xr:uid="{00000000-0005-0000-0000-000083790000}"/>
    <cellStyle name="ReadWriteValues 2 6 2" xfId="10414" xr:uid="{00000000-0005-0000-0000-000084790000}"/>
    <cellStyle name="ReadWriteValues 2 6 3" xfId="18604" xr:uid="{00000000-0005-0000-0000-000085790000}"/>
    <cellStyle name="ReadWriteValues 2 6 3 2" xfId="21632" xr:uid="{00000000-0005-0000-0000-000086790000}"/>
    <cellStyle name="ReadWriteValues 2 6 3 3" xfId="13743" xr:uid="{00000000-0005-0000-0000-000087790000}"/>
    <cellStyle name="ReadWriteValues 2 6 3_DataIX" xfId="34784" xr:uid="{00000000-0005-0000-0000-000088790000}"/>
    <cellStyle name="ReadWriteValues 2 6 4" xfId="19024" xr:uid="{00000000-0005-0000-0000-000089790000}"/>
    <cellStyle name="ReadWriteValues 2 6 4 2" xfId="22184" xr:uid="{00000000-0005-0000-0000-00008A790000}"/>
    <cellStyle name="ReadWriteValues 2 6 4_DataIX" xfId="34785" xr:uid="{00000000-0005-0000-0000-00008B790000}"/>
    <cellStyle name="ReadWriteValues 2 6_DataIX" xfId="34783" xr:uid="{00000000-0005-0000-0000-00008C790000}"/>
    <cellStyle name="ReadWriteValues 2 7" xfId="5218" xr:uid="{00000000-0005-0000-0000-00008D790000}"/>
    <cellStyle name="ReadWriteValues 2 7 2" xfId="10415" xr:uid="{00000000-0005-0000-0000-00008E790000}"/>
    <cellStyle name="ReadWriteValues 2 7 3" xfId="18548" xr:uid="{00000000-0005-0000-0000-00008F790000}"/>
    <cellStyle name="ReadWriteValues 2 7 3 2" xfId="21610" xr:uid="{00000000-0005-0000-0000-000090790000}"/>
    <cellStyle name="ReadWriteValues 2 7 3 3" xfId="13709" xr:uid="{00000000-0005-0000-0000-000091790000}"/>
    <cellStyle name="ReadWriteValues 2 7 3_DataIX" xfId="34787" xr:uid="{00000000-0005-0000-0000-000092790000}"/>
    <cellStyle name="ReadWriteValues 2 7 4" xfId="19049" xr:uid="{00000000-0005-0000-0000-000093790000}"/>
    <cellStyle name="ReadWriteValues 2 7 4 2" xfId="21475" xr:uid="{00000000-0005-0000-0000-000094790000}"/>
    <cellStyle name="ReadWriteValues 2 7 4_DataIX" xfId="34788" xr:uid="{00000000-0005-0000-0000-000095790000}"/>
    <cellStyle name="ReadWriteValues 2 7_DataIX" xfId="34786" xr:uid="{00000000-0005-0000-0000-000096790000}"/>
    <cellStyle name="ReadWriteValues 2 8" xfId="5316" xr:uid="{00000000-0005-0000-0000-000097790000}"/>
    <cellStyle name="ReadWriteValues 2 8 2" xfId="12844" xr:uid="{00000000-0005-0000-0000-000098790000}"/>
    <cellStyle name="ReadWriteValues 2 8 3" xfId="18640" xr:uid="{00000000-0005-0000-0000-000099790000}"/>
    <cellStyle name="ReadWriteValues 2 8 3 2" xfId="21643" xr:uid="{00000000-0005-0000-0000-00009A790000}"/>
    <cellStyle name="ReadWriteValues 2 8 3 3" xfId="21841" xr:uid="{00000000-0005-0000-0000-00009B790000}"/>
    <cellStyle name="ReadWriteValues 2 8 3_DataIX" xfId="34790" xr:uid="{00000000-0005-0000-0000-00009C790000}"/>
    <cellStyle name="ReadWriteValues 2 8 4" xfId="19018" xr:uid="{00000000-0005-0000-0000-00009D790000}"/>
    <cellStyle name="ReadWriteValues 2 8 4 2" xfId="21972" xr:uid="{00000000-0005-0000-0000-00009E790000}"/>
    <cellStyle name="ReadWriteValues 2 8 4_DataIX" xfId="34791" xr:uid="{00000000-0005-0000-0000-00009F790000}"/>
    <cellStyle name="ReadWriteValues 2 8_DataIX" xfId="34789" xr:uid="{00000000-0005-0000-0000-0000A0790000}"/>
    <cellStyle name="ReadWriteValues 2 9" xfId="13291" xr:uid="{00000000-0005-0000-0000-0000A1790000}"/>
    <cellStyle name="ReadWriteValues 2 9 2" xfId="20880" xr:uid="{00000000-0005-0000-0000-0000A2790000}"/>
    <cellStyle name="ReadWriteValues 2 9 2 2" xfId="22160" xr:uid="{00000000-0005-0000-0000-0000A3790000}"/>
    <cellStyle name="ReadWriteValues 2 9 2 3" xfId="21541" xr:uid="{00000000-0005-0000-0000-0000A4790000}"/>
    <cellStyle name="ReadWriteValues 2 9 2_DataIX" xfId="34793" xr:uid="{00000000-0005-0000-0000-0000A5790000}"/>
    <cellStyle name="ReadWriteValues 2 9 3" xfId="21268" xr:uid="{00000000-0005-0000-0000-0000A6790000}"/>
    <cellStyle name="ReadWriteValues 2 9 3 2" xfId="13731" xr:uid="{00000000-0005-0000-0000-0000A7790000}"/>
    <cellStyle name="ReadWriteValues 2 9 3_DataIX" xfId="34794" xr:uid="{00000000-0005-0000-0000-0000A8790000}"/>
    <cellStyle name="ReadWriteValues 2 9 4" xfId="11331" xr:uid="{00000000-0005-0000-0000-0000A9790000}"/>
    <cellStyle name="ReadWriteValues 2 9 5" xfId="26980" xr:uid="{00000000-0005-0000-0000-0000AA790000}"/>
    <cellStyle name="ReadWriteValues 2 9 6" xfId="22762" xr:uid="{00000000-0005-0000-0000-0000AB790000}"/>
    <cellStyle name="ReadWriteValues 2 9_DataIX" xfId="34792" xr:uid="{00000000-0005-0000-0000-0000AC790000}"/>
    <cellStyle name="ReadWriteValues 2_##Keskeiset" xfId="10409" xr:uid="{00000000-0005-0000-0000-0000AD790000}"/>
    <cellStyle name="ReadWriteValues 20" xfId="27984" xr:uid="{00000000-0005-0000-0000-0000AE790000}"/>
    <cellStyle name="ReadWriteValues 21" xfId="27982" xr:uid="{00000000-0005-0000-0000-0000AF790000}"/>
    <cellStyle name="ReadWriteValues 22" xfId="27980" xr:uid="{00000000-0005-0000-0000-0000B0790000}"/>
    <cellStyle name="ReadWriteValues 23" xfId="28436" xr:uid="{00000000-0005-0000-0000-0000B1790000}"/>
    <cellStyle name="ReadWriteValues 24" xfId="28371" xr:uid="{00000000-0005-0000-0000-0000B2790000}"/>
    <cellStyle name="ReadWriteValues 25" xfId="28353" xr:uid="{00000000-0005-0000-0000-0000B3790000}"/>
    <cellStyle name="ReadWriteValues 26" xfId="28606" xr:uid="{00000000-0005-0000-0000-0000B4790000}"/>
    <cellStyle name="ReadWriteValues 27" xfId="28967" xr:uid="{00000000-0005-0000-0000-0000B5790000}"/>
    <cellStyle name="ReadWriteValues 28" xfId="28903" xr:uid="{00000000-0005-0000-0000-0000B6790000}"/>
    <cellStyle name="ReadWriteValues 29" xfId="28879" xr:uid="{00000000-0005-0000-0000-0000B7790000}"/>
    <cellStyle name="ReadWriteValues 3" xfId="239" xr:uid="{00000000-0005-0000-0000-0000B8790000}"/>
    <cellStyle name="ReadWriteValues 3 10" xfId="12813" xr:uid="{00000000-0005-0000-0000-0000B9790000}"/>
    <cellStyle name="ReadWriteValues 3 10 2" xfId="21105" xr:uid="{00000000-0005-0000-0000-0000BA790000}"/>
    <cellStyle name="ReadWriteValues 3 10 2 2" xfId="12978" xr:uid="{00000000-0005-0000-0000-0000BB790000}"/>
    <cellStyle name="ReadWriteValues 3 10 2_DataIX" xfId="34796" xr:uid="{00000000-0005-0000-0000-0000BC790000}"/>
    <cellStyle name="ReadWriteValues 3 10 3" xfId="13475" xr:uid="{00000000-0005-0000-0000-0000BD790000}"/>
    <cellStyle name="ReadWriteValues 3 10 4" xfId="27513" xr:uid="{00000000-0005-0000-0000-0000BE790000}"/>
    <cellStyle name="ReadWriteValues 3 10 5" xfId="22779" xr:uid="{00000000-0005-0000-0000-0000BF790000}"/>
    <cellStyle name="ReadWriteValues 3 10_DataIX" xfId="34795" xr:uid="{00000000-0005-0000-0000-0000C0790000}"/>
    <cellStyle name="ReadWriteValues 3 11" xfId="13822" xr:uid="{00000000-0005-0000-0000-0000C1790000}"/>
    <cellStyle name="ReadWriteValues 3 11 2" xfId="13062" xr:uid="{00000000-0005-0000-0000-0000C2790000}"/>
    <cellStyle name="ReadWriteValues 3 11 3" xfId="13716" xr:uid="{00000000-0005-0000-0000-0000C3790000}"/>
    <cellStyle name="ReadWriteValues 3 11 4" xfId="27380" xr:uid="{00000000-0005-0000-0000-0000C4790000}"/>
    <cellStyle name="ReadWriteValues 3 11 5" xfId="23060" xr:uid="{00000000-0005-0000-0000-0000C5790000}"/>
    <cellStyle name="ReadWriteValues 3 11_DataIX" xfId="34797" xr:uid="{00000000-0005-0000-0000-0000C6790000}"/>
    <cellStyle name="ReadWriteValues 3 12" xfId="20308" xr:uid="{00000000-0005-0000-0000-0000C7790000}"/>
    <cellStyle name="ReadWriteValues 3 12 2" xfId="13575" xr:uid="{00000000-0005-0000-0000-0000C8790000}"/>
    <cellStyle name="ReadWriteValues 3 12_DataIX" xfId="34798" xr:uid="{00000000-0005-0000-0000-0000C9790000}"/>
    <cellStyle name="ReadWriteValues 3 13" xfId="22271" xr:uid="{00000000-0005-0000-0000-0000CA790000}"/>
    <cellStyle name="ReadWriteValues 3 14" xfId="22356" xr:uid="{00000000-0005-0000-0000-0000CB790000}"/>
    <cellStyle name="ReadWriteValues 3 15" xfId="22561" xr:uid="{00000000-0005-0000-0000-0000CC790000}"/>
    <cellStyle name="ReadWriteValues 3 16" xfId="22478" xr:uid="{00000000-0005-0000-0000-0000CD790000}"/>
    <cellStyle name="ReadWriteValues 3 17" xfId="22406" xr:uid="{00000000-0005-0000-0000-0000CE790000}"/>
    <cellStyle name="ReadWriteValues 3 18" xfId="27930" xr:uid="{00000000-0005-0000-0000-0000CF790000}"/>
    <cellStyle name="ReadWriteValues 3 19" xfId="28015" xr:uid="{00000000-0005-0000-0000-0000D0790000}"/>
    <cellStyle name="ReadWriteValues 3 2" xfId="282" xr:uid="{00000000-0005-0000-0000-0000D1790000}"/>
    <cellStyle name="ReadWriteValues 3 2 10" xfId="13854" xr:uid="{00000000-0005-0000-0000-0000D2790000}"/>
    <cellStyle name="ReadWriteValues 3 2 10 2" xfId="13639" xr:uid="{00000000-0005-0000-0000-0000D3790000}"/>
    <cellStyle name="ReadWriteValues 3 2 10 3" xfId="13586" xr:uid="{00000000-0005-0000-0000-0000D4790000}"/>
    <cellStyle name="ReadWriteValues 3 2 10 4" xfId="27078" xr:uid="{00000000-0005-0000-0000-0000D5790000}"/>
    <cellStyle name="ReadWriteValues 3 2 10 5" xfId="27544" xr:uid="{00000000-0005-0000-0000-0000D6790000}"/>
    <cellStyle name="ReadWriteValues 3 2 10_DataIX" xfId="34799" xr:uid="{00000000-0005-0000-0000-0000D7790000}"/>
    <cellStyle name="ReadWriteValues 3 2 11" xfId="13903" xr:uid="{00000000-0005-0000-0000-0000D8790000}"/>
    <cellStyle name="ReadWriteValues 3 2 11 2" xfId="12969" xr:uid="{00000000-0005-0000-0000-0000D9790000}"/>
    <cellStyle name="ReadWriteValues 3 2 11 3" xfId="27033" xr:uid="{00000000-0005-0000-0000-0000DA790000}"/>
    <cellStyle name="ReadWriteValues 3 2 11 4" xfId="27371" xr:uid="{00000000-0005-0000-0000-0000DB790000}"/>
    <cellStyle name="ReadWriteValues 3 2 11_DataIX" xfId="34800" xr:uid="{00000000-0005-0000-0000-0000DC790000}"/>
    <cellStyle name="ReadWriteValues 3 2 12" xfId="13470" xr:uid="{00000000-0005-0000-0000-0000DD790000}"/>
    <cellStyle name="ReadWriteValues 3 2 13" xfId="10964" xr:uid="{00000000-0005-0000-0000-0000DE790000}"/>
    <cellStyle name="ReadWriteValues 3 2 14" xfId="22357" xr:uid="{00000000-0005-0000-0000-0000DF790000}"/>
    <cellStyle name="ReadWriteValues 3 2 15" xfId="22560" xr:uid="{00000000-0005-0000-0000-0000E0790000}"/>
    <cellStyle name="ReadWriteValues 3 2 16" xfId="22666" xr:uid="{00000000-0005-0000-0000-0000E1790000}"/>
    <cellStyle name="ReadWriteValues 3 2 17" xfId="22631" xr:uid="{00000000-0005-0000-0000-0000E2790000}"/>
    <cellStyle name="ReadWriteValues 3 2 18" xfId="27931" xr:uid="{00000000-0005-0000-0000-0000E3790000}"/>
    <cellStyle name="ReadWriteValues 3 2 19" xfId="28014" xr:uid="{00000000-0005-0000-0000-0000E4790000}"/>
    <cellStyle name="ReadWriteValues 3 2 2" xfId="5215" xr:uid="{00000000-0005-0000-0000-0000E5790000}"/>
    <cellStyle name="ReadWriteValues 3 2 2 2" xfId="10418" xr:uid="{00000000-0005-0000-0000-0000E6790000}"/>
    <cellStyle name="ReadWriteValues 3 2 2 3" xfId="18545" xr:uid="{00000000-0005-0000-0000-0000E7790000}"/>
    <cellStyle name="ReadWriteValues 3 2 2 3 2" xfId="21607" xr:uid="{00000000-0005-0000-0000-0000E8790000}"/>
    <cellStyle name="ReadWriteValues 3 2 2 3 3" xfId="21839" xr:uid="{00000000-0005-0000-0000-0000E9790000}"/>
    <cellStyle name="ReadWriteValues 3 2 2 3_DataIX" xfId="34802" xr:uid="{00000000-0005-0000-0000-0000EA790000}"/>
    <cellStyle name="ReadWriteValues 3 2 2 4" xfId="20530" xr:uid="{00000000-0005-0000-0000-0000EB790000}"/>
    <cellStyle name="ReadWriteValues 3 2 2 4 2" xfId="13460" xr:uid="{00000000-0005-0000-0000-0000EC790000}"/>
    <cellStyle name="ReadWriteValues 3 2 2 4_DataIX" xfId="34803" xr:uid="{00000000-0005-0000-0000-0000ED790000}"/>
    <cellStyle name="ReadWriteValues 3 2 2_DataIX" xfId="34801" xr:uid="{00000000-0005-0000-0000-0000EE790000}"/>
    <cellStyle name="ReadWriteValues 3 2 20" xfId="28263" xr:uid="{00000000-0005-0000-0000-0000EF790000}"/>
    <cellStyle name="ReadWriteValues 3 2 21" xfId="28381" xr:uid="{00000000-0005-0000-0000-0000F0790000}"/>
    <cellStyle name="ReadWriteValues 3 2 22" xfId="28468" xr:uid="{00000000-0005-0000-0000-0000F1790000}"/>
    <cellStyle name="ReadWriteValues 3 2 23" xfId="28329" xr:uid="{00000000-0005-0000-0000-0000F2790000}"/>
    <cellStyle name="ReadWriteValues 3 2 24" xfId="28769" xr:uid="{00000000-0005-0000-0000-0000F3790000}"/>
    <cellStyle name="ReadWriteValues 3 2 25" xfId="28918" xr:uid="{00000000-0005-0000-0000-0000F4790000}"/>
    <cellStyle name="ReadWriteValues 3 2 26" xfId="28691" xr:uid="{00000000-0005-0000-0000-0000F5790000}"/>
    <cellStyle name="ReadWriteValues 3 2 27" xfId="28703" xr:uid="{00000000-0005-0000-0000-0000F6790000}"/>
    <cellStyle name="ReadWriteValues 3 2 28" xfId="29066" xr:uid="{00000000-0005-0000-0000-0000F7790000}"/>
    <cellStyle name="ReadWriteValues 3 2 29" xfId="29144" xr:uid="{00000000-0005-0000-0000-0000F8790000}"/>
    <cellStyle name="ReadWriteValues 3 2 3" xfId="5373" xr:uid="{00000000-0005-0000-0000-0000F9790000}"/>
    <cellStyle name="ReadWriteValues 3 2 3 2" xfId="12846" xr:uid="{00000000-0005-0000-0000-0000FA790000}"/>
    <cellStyle name="ReadWriteValues 3 2 3 3" xfId="18697" xr:uid="{00000000-0005-0000-0000-0000FB790000}"/>
    <cellStyle name="ReadWriteValues 3 2 3 3 2" xfId="21663" xr:uid="{00000000-0005-0000-0000-0000FC790000}"/>
    <cellStyle name="ReadWriteValues 3 2 3 3 3" xfId="20619" xr:uid="{00000000-0005-0000-0000-0000FD790000}"/>
    <cellStyle name="ReadWriteValues 3 2 3 3_DataIX" xfId="34805" xr:uid="{00000000-0005-0000-0000-0000FE790000}"/>
    <cellStyle name="ReadWriteValues 3 2 3 4" xfId="18998" xr:uid="{00000000-0005-0000-0000-0000FF790000}"/>
    <cellStyle name="ReadWriteValues 3 2 3 4 2" xfId="22224" xr:uid="{00000000-0005-0000-0000-0000007A0000}"/>
    <cellStyle name="ReadWriteValues 3 2 3 4_DataIX" xfId="34806" xr:uid="{00000000-0005-0000-0000-0000017A0000}"/>
    <cellStyle name="ReadWriteValues 3 2 3_DataIX" xfId="34804" xr:uid="{00000000-0005-0000-0000-0000027A0000}"/>
    <cellStyle name="ReadWriteValues 3 2 4" xfId="13385" xr:uid="{00000000-0005-0000-0000-0000037A0000}"/>
    <cellStyle name="ReadWriteValues 3 2 4 2" xfId="20943" xr:uid="{00000000-0005-0000-0000-0000047A0000}"/>
    <cellStyle name="ReadWriteValues 3 2 4 2 2" xfId="22185" xr:uid="{00000000-0005-0000-0000-0000057A0000}"/>
    <cellStyle name="ReadWriteValues 3 2 4 2 3" xfId="20671" xr:uid="{00000000-0005-0000-0000-0000067A0000}"/>
    <cellStyle name="ReadWriteValues 3 2 4 2_DataIX" xfId="34808" xr:uid="{00000000-0005-0000-0000-0000077A0000}"/>
    <cellStyle name="ReadWriteValues 3 2 4 3" xfId="21340" xr:uid="{00000000-0005-0000-0000-0000087A0000}"/>
    <cellStyle name="ReadWriteValues 3 2 4 3 2" xfId="13746" xr:uid="{00000000-0005-0000-0000-0000097A0000}"/>
    <cellStyle name="ReadWriteValues 3 2 4 3_DataIX" xfId="34809" xr:uid="{00000000-0005-0000-0000-00000A7A0000}"/>
    <cellStyle name="ReadWriteValues 3 2 4 4" xfId="13736" xr:uid="{00000000-0005-0000-0000-00000B7A0000}"/>
    <cellStyle name="ReadWriteValues 3 2 4 5" xfId="26984" xr:uid="{00000000-0005-0000-0000-00000C7A0000}"/>
    <cellStyle name="ReadWriteValues 3 2 4 6" xfId="26805" xr:uid="{00000000-0005-0000-0000-00000D7A0000}"/>
    <cellStyle name="ReadWriteValues 3 2 4_DataIX" xfId="34807" xr:uid="{00000000-0005-0000-0000-00000E7A0000}"/>
    <cellStyle name="ReadWriteValues 3 2 5" xfId="13118" xr:uid="{00000000-0005-0000-0000-00000F7A0000}"/>
    <cellStyle name="ReadWriteValues 3 2 5 2" xfId="20768" xr:uid="{00000000-0005-0000-0000-0000107A0000}"/>
    <cellStyle name="ReadWriteValues 3 2 5 2 2" xfId="22124" xr:uid="{00000000-0005-0000-0000-0000117A0000}"/>
    <cellStyle name="ReadWriteValues 3 2 5 2 3" xfId="21804" xr:uid="{00000000-0005-0000-0000-0000127A0000}"/>
    <cellStyle name="ReadWriteValues 3 2 5 2_DataIX" xfId="34811" xr:uid="{00000000-0005-0000-0000-0000137A0000}"/>
    <cellStyle name="ReadWriteValues 3 2 5 3" xfId="21129" xr:uid="{00000000-0005-0000-0000-0000147A0000}"/>
    <cellStyle name="ReadWriteValues 3 2 5 3 2" xfId="22002" xr:uid="{00000000-0005-0000-0000-0000157A0000}"/>
    <cellStyle name="ReadWriteValues 3 2 5 3_DataIX" xfId="34812" xr:uid="{00000000-0005-0000-0000-0000167A0000}"/>
    <cellStyle name="ReadWriteValues 3 2 5 4" xfId="13635" xr:uid="{00000000-0005-0000-0000-0000177A0000}"/>
    <cellStyle name="ReadWriteValues 3 2 5 5" xfId="27490" xr:uid="{00000000-0005-0000-0000-0000187A0000}"/>
    <cellStyle name="ReadWriteValues 3 2 5 6" xfId="26917" xr:uid="{00000000-0005-0000-0000-0000197A0000}"/>
    <cellStyle name="ReadWriteValues 3 2 5_DataIX" xfId="34810" xr:uid="{00000000-0005-0000-0000-00001A7A0000}"/>
    <cellStyle name="ReadWriteValues 3 2 6" xfId="13124" xr:uid="{00000000-0005-0000-0000-00001B7A0000}"/>
    <cellStyle name="ReadWriteValues 3 2 6 2" xfId="21135" xr:uid="{00000000-0005-0000-0000-00001C7A0000}"/>
    <cellStyle name="ReadWriteValues 3 2 6 2 2" xfId="11345" xr:uid="{00000000-0005-0000-0000-00001D7A0000}"/>
    <cellStyle name="ReadWriteValues 3 2 6 2_DataIX" xfId="34814" xr:uid="{00000000-0005-0000-0000-00001E7A0000}"/>
    <cellStyle name="ReadWriteValues 3 2 6 3" xfId="11081" xr:uid="{00000000-0005-0000-0000-00001F7A0000}"/>
    <cellStyle name="ReadWriteValues 3 2 6 4" xfId="27532" xr:uid="{00000000-0005-0000-0000-0000207A0000}"/>
    <cellStyle name="ReadWriteValues 3 2 6 5" xfId="23144" xr:uid="{00000000-0005-0000-0000-0000217A0000}"/>
    <cellStyle name="ReadWriteValues 3 2 6_DataIX" xfId="34813" xr:uid="{00000000-0005-0000-0000-0000227A0000}"/>
    <cellStyle name="ReadWriteValues 3 2 7" xfId="10730" xr:uid="{00000000-0005-0000-0000-0000237A0000}"/>
    <cellStyle name="ReadWriteValues 3 2 7 2" xfId="21042" xr:uid="{00000000-0005-0000-0000-0000247A0000}"/>
    <cellStyle name="ReadWriteValues 3 2 7 2 2" xfId="21431" xr:uid="{00000000-0005-0000-0000-0000257A0000}"/>
    <cellStyle name="ReadWriteValues 3 2 7 2_DataIX" xfId="34816" xr:uid="{00000000-0005-0000-0000-0000267A0000}"/>
    <cellStyle name="ReadWriteValues 3 2 7 3" xfId="22210" xr:uid="{00000000-0005-0000-0000-0000277A0000}"/>
    <cellStyle name="ReadWriteValues 3 2 7 4" xfId="27308" xr:uid="{00000000-0005-0000-0000-0000287A0000}"/>
    <cellStyle name="ReadWriteValues 3 2 7 5" xfId="27044" xr:uid="{00000000-0005-0000-0000-0000297A0000}"/>
    <cellStyle name="ReadWriteValues 3 2 7_DataIX" xfId="34815" xr:uid="{00000000-0005-0000-0000-00002A7A0000}"/>
    <cellStyle name="ReadWriteValues 3 2 8" xfId="11151" xr:uid="{00000000-0005-0000-0000-00002B7A0000}"/>
    <cellStyle name="ReadWriteValues 3 2 8 2" xfId="21088" xr:uid="{00000000-0005-0000-0000-00002C7A0000}"/>
    <cellStyle name="ReadWriteValues 3 2 8 2 2" xfId="13751" xr:uid="{00000000-0005-0000-0000-00002D7A0000}"/>
    <cellStyle name="ReadWriteValues 3 2 8 2_DataIX" xfId="34818" xr:uid="{00000000-0005-0000-0000-00002E7A0000}"/>
    <cellStyle name="ReadWriteValues 3 2 8 3" xfId="21987" xr:uid="{00000000-0005-0000-0000-00002F7A0000}"/>
    <cellStyle name="ReadWriteValues 3 2 8 4" xfId="27424" xr:uid="{00000000-0005-0000-0000-0000307A0000}"/>
    <cellStyle name="ReadWriteValues 3 2 8 5" xfId="22841" xr:uid="{00000000-0005-0000-0000-0000317A0000}"/>
    <cellStyle name="ReadWriteValues 3 2 8_DataIX" xfId="34817" xr:uid="{00000000-0005-0000-0000-0000327A0000}"/>
    <cellStyle name="ReadWriteValues 3 2 9" xfId="12803" xr:uid="{00000000-0005-0000-0000-0000337A0000}"/>
    <cellStyle name="ReadWriteValues 3 2 9 2" xfId="21096" xr:uid="{00000000-0005-0000-0000-0000347A0000}"/>
    <cellStyle name="ReadWriteValues 3 2 9 2 2" xfId="21684" xr:uid="{00000000-0005-0000-0000-0000357A0000}"/>
    <cellStyle name="ReadWriteValues 3 2 9 2_DataIX" xfId="34820" xr:uid="{00000000-0005-0000-0000-0000367A0000}"/>
    <cellStyle name="ReadWriteValues 3 2 9 3" xfId="12991" xr:uid="{00000000-0005-0000-0000-0000377A0000}"/>
    <cellStyle name="ReadWriteValues 3 2 9 4" xfId="27449" xr:uid="{00000000-0005-0000-0000-0000387A0000}"/>
    <cellStyle name="ReadWriteValues 3 2 9 5" xfId="26811" xr:uid="{00000000-0005-0000-0000-0000397A0000}"/>
    <cellStyle name="ReadWriteValues 3 2 9_DataIX" xfId="34819" xr:uid="{00000000-0005-0000-0000-00003A7A0000}"/>
    <cellStyle name="ReadWriteValues 3 2_##Keskeiset" xfId="10417" xr:uid="{00000000-0005-0000-0000-00003B7A0000}"/>
    <cellStyle name="ReadWriteValues 3 20" xfId="28262" xr:uid="{00000000-0005-0000-0000-00003C7A0000}"/>
    <cellStyle name="ReadWriteValues 3 21" xfId="28382" xr:uid="{00000000-0005-0000-0000-00003D7A0000}"/>
    <cellStyle name="ReadWriteValues 3 22" xfId="28467" xr:uid="{00000000-0005-0000-0000-00003E7A0000}"/>
    <cellStyle name="ReadWriteValues 3 23" xfId="28241" xr:uid="{00000000-0005-0000-0000-00003F7A0000}"/>
    <cellStyle name="ReadWriteValues 3 24" xfId="28770" xr:uid="{00000000-0005-0000-0000-0000407A0000}"/>
    <cellStyle name="ReadWriteValues 3 25" xfId="28917" xr:uid="{00000000-0005-0000-0000-0000417A0000}"/>
    <cellStyle name="ReadWriteValues 3 26" xfId="28690" xr:uid="{00000000-0005-0000-0000-0000427A0000}"/>
    <cellStyle name="ReadWriteValues 3 27" xfId="28849" xr:uid="{00000000-0005-0000-0000-0000437A0000}"/>
    <cellStyle name="ReadWriteValues 3 28" xfId="29065" xr:uid="{00000000-0005-0000-0000-0000447A0000}"/>
    <cellStyle name="ReadWriteValues 3 29" xfId="29145" xr:uid="{00000000-0005-0000-0000-0000457A0000}"/>
    <cellStyle name="ReadWriteValues 3 3" xfId="5107" xr:uid="{00000000-0005-0000-0000-0000467A0000}"/>
    <cellStyle name="ReadWriteValues 3 3 2" xfId="5679" xr:uid="{00000000-0005-0000-0000-0000477A0000}"/>
    <cellStyle name="ReadWriteValues 3 3 2 2" xfId="12847" xr:uid="{00000000-0005-0000-0000-0000487A0000}"/>
    <cellStyle name="ReadWriteValues 3 3 2 3" xfId="18893" xr:uid="{00000000-0005-0000-0000-0000497A0000}"/>
    <cellStyle name="ReadWriteValues 3 3 2 3 2" xfId="21733" xr:uid="{00000000-0005-0000-0000-00004A7A0000}"/>
    <cellStyle name="ReadWriteValues 3 3 2 3 3" xfId="22146" xr:uid="{00000000-0005-0000-0000-00004B7A0000}"/>
    <cellStyle name="ReadWriteValues 3 3 2 3_DataIX" xfId="34823" xr:uid="{00000000-0005-0000-0000-00004C7A0000}"/>
    <cellStyle name="ReadWriteValues 3 3 2 4" xfId="18948" xr:uid="{00000000-0005-0000-0000-00004D7A0000}"/>
    <cellStyle name="ReadWriteValues 3 3 2 4 2" xfId="10959" xr:uid="{00000000-0005-0000-0000-00004E7A0000}"/>
    <cellStyle name="ReadWriteValues 3 3 2 4_DataIX" xfId="34824" xr:uid="{00000000-0005-0000-0000-00004F7A0000}"/>
    <cellStyle name="ReadWriteValues 3 3 2_DataIX" xfId="34822" xr:uid="{00000000-0005-0000-0000-0000507A0000}"/>
    <cellStyle name="ReadWriteValues 3 3 3" xfId="11166" xr:uid="{00000000-0005-0000-0000-0000517A0000}"/>
    <cellStyle name="ReadWriteValues 3 3 4" xfId="18446" xr:uid="{00000000-0005-0000-0000-0000527A0000}"/>
    <cellStyle name="ReadWriteValues 3 3 4 2" xfId="21589" xr:uid="{00000000-0005-0000-0000-0000537A0000}"/>
    <cellStyle name="ReadWriteValues 3 3 4 3" xfId="22205" xr:uid="{00000000-0005-0000-0000-0000547A0000}"/>
    <cellStyle name="ReadWriteValues 3 3 4_DataIX" xfId="34825" xr:uid="{00000000-0005-0000-0000-0000557A0000}"/>
    <cellStyle name="ReadWriteValues 3 3 5" xfId="19069" xr:uid="{00000000-0005-0000-0000-0000567A0000}"/>
    <cellStyle name="ReadWriteValues 3 3 5 2" xfId="21852" xr:uid="{00000000-0005-0000-0000-0000577A0000}"/>
    <cellStyle name="ReadWriteValues 3 3 5_DataIX" xfId="34826" xr:uid="{00000000-0005-0000-0000-0000587A0000}"/>
    <cellStyle name="ReadWriteValues 3 3_DataIX" xfId="34821" xr:uid="{00000000-0005-0000-0000-0000597A0000}"/>
    <cellStyle name="ReadWriteValues 3 4" xfId="5680" xr:uid="{00000000-0005-0000-0000-00005A7A0000}"/>
    <cellStyle name="ReadWriteValues 3 4 2" xfId="12848" xr:uid="{00000000-0005-0000-0000-00005B7A0000}"/>
    <cellStyle name="ReadWriteValues 3 4 3" xfId="18894" xr:uid="{00000000-0005-0000-0000-00005C7A0000}"/>
    <cellStyle name="ReadWriteValues 3 4 3 2" xfId="21734" xr:uid="{00000000-0005-0000-0000-00005D7A0000}"/>
    <cellStyle name="ReadWriteValues 3 4 3 3" xfId="21590" xr:uid="{00000000-0005-0000-0000-00005E7A0000}"/>
    <cellStyle name="ReadWriteValues 3 4 3_DataIX" xfId="34828" xr:uid="{00000000-0005-0000-0000-00005F7A0000}"/>
    <cellStyle name="ReadWriteValues 3 4 4" xfId="20431" xr:uid="{00000000-0005-0000-0000-0000607A0000}"/>
    <cellStyle name="ReadWriteValues 3 4 4 2" xfId="21914" xr:uid="{00000000-0005-0000-0000-0000617A0000}"/>
    <cellStyle name="ReadWriteValues 3 4 4_DataIX" xfId="34829" xr:uid="{00000000-0005-0000-0000-0000627A0000}"/>
    <cellStyle name="ReadWriteValues 3 4_DataIX" xfId="34827" xr:uid="{00000000-0005-0000-0000-0000637A0000}"/>
    <cellStyle name="ReadWriteValues 3 5" xfId="5324" xr:uid="{00000000-0005-0000-0000-0000647A0000}"/>
    <cellStyle name="ReadWriteValues 3 5 2" xfId="12849" xr:uid="{00000000-0005-0000-0000-0000657A0000}"/>
    <cellStyle name="ReadWriteValues 3 5 3" xfId="18648" xr:uid="{00000000-0005-0000-0000-0000667A0000}"/>
    <cellStyle name="ReadWriteValues 3 5 3 2" xfId="21647" xr:uid="{00000000-0005-0000-0000-0000677A0000}"/>
    <cellStyle name="ReadWriteValues 3 5 3 3" xfId="22234" xr:uid="{00000000-0005-0000-0000-0000687A0000}"/>
    <cellStyle name="ReadWriteValues 3 5 3_DataIX" xfId="34831" xr:uid="{00000000-0005-0000-0000-0000697A0000}"/>
    <cellStyle name="ReadWriteValues 3 5 4" xfId="19015" xr:uid="{00000000-0005-0000-0000-00006A7A0000}"/>
    <cellStyle name="ReadWriteValues 3 5 4 2" xfId="13417" xr:uid="{00000000-0005-0000-0000-00006B7A0000}"/>
    <cellStyle name="ReadWriteValues 3 5 4_DataIX" xfId="34832" xr:uid="{00000000-0005-0000-0000-00006C7A0000}"/>
    <cellStyle name="ReadWriteValues 3 5_DataIX" xfId="34830" xr:uid="{00000000-0005-0000-0000-00006D7A0000}"/>
    <cellStyle name="ReadWriteValues 3 6" xfId="13288" xr:uid="{00000000-0005-0000-0000-00006E7A0000}"/>
    <cellStyle name="ReadWriteValues 3 6 2" xfId="20877" xr:uid="{00000000-0005-0000-0000-00006F7A0000}"/>
    <cellStyle name="ReadWriteValues 3 6 2 2" xfId="22157" xr:uid="{00000000-0005-0000-0000-0000707A0000}"/>
    <cellStyle name="ReadWriteValues 3 6 2 3" xfId="10803" xr:uid="{00000000-0005-0000-0000-0000717A0000}"/>
    <cellStyle name="ReadWriteValues 3 6 2_DataIX" xfId="34834" xr:uid="{00000000-0005-0000-0000-0000727A0000}"/>
    <cellStyle name="ReadWriteValues 3 6 3" xfId="21265" xr:uid="{00000000-0005-0000-0000-0000737A0000}"/>
    <cellStyle name="ReadWriteValues 3 6 3 2" xfId="10806" xr:uid="{00000000-0005-0000-0000-0000747A0000}"/>
    <cellStyle name="ReadWriteValues 3 6 3_DataIX" xfId="34835" xr:uid="{00000000-0005-0000-0000-0000757A0000}"/>
    <cellStyle name="ReadWriteValues 3 6 4" xfId="20661" xr:uid="{00000000-0005-0000-0000-0000767A0000}"/>
    <cellStyle name="ReadWriteValues 3 6 5" xfId="26983" xr:uid="{00000000-0005-0000-0000-0000777A0000}"/>
    <cellStyle name="ReadWriteValues 3 6 6" xfId="27239" xr:uid="{00000000-0005-0000-0000-0000787A0000}"/>
    <cellStyle name="ReadWriteValues 3 6_DataIX" xfId="34833" xr:uid="{00000000-0005-0000-0000-0000797A0000}"/>
    <cellStyle name="ReadWriteValues 3 7" xfId="13352" xr:uid="{00000000-0005-0000-0000-00007A7A0000}"/>
    <cellStyle name="ReadWriteValues 3 7 2" xfId="20924" xr:uid="{00000000-0005-0000-0000-00007B7A0000}"/>
    <cellStyle name="ReadWriteValues 3 7 2 2" xfId="22178" xr:uid="{00000000-0005-0000-0000-00007C7A0000}"/>
    <cellStyle name="ReadWriteValues 3 7 2 3" xfId="20703" xr:uid="{00000000-0005-0000-0000-00007D7A0000}"/>
    <cellStyle name="ReadWriteValues 3 7 2_DataIX" xfId="34837" xr:uid="{00000000-0005-0000-0000-00007E7A0000}"/>
    <cellStyle name="ReadWriteValues 3 7 3" xfId="21312" xr:uid="{00000000-0005-0000-0000-00007F7A0000}"/>
    <cellStyle name="ReadWriteValues 3 7 3 2" xfId="10923" xr:uid="{00000000-0005-0000-0000-0000807A0000}"/>
    <cellStyle name="ReadWriteValues 3 7 3_DataIX" xfId="34838" xr:uid="{00000000-0005-0000-0000-0000817A0000}"/>
    <cellStyle name="ReadWriteValues 3 7 4" xfId="12557" xr:uid="{00000000-0005-0000-0000-0000827A0000}"/>
    <cellStyle name="ReadWriteValues 3 7 5" xfId="27342" xr:uid="{00000000-0005-0000-0000-0000837A0000}"/>
    <cellStyle name="ReadWriteValues 3 7 6" xfId="22873" xr:uid="{00000000-0005-0000-0000-0000847A0000}"/>
    <cellStyle name="ReadWriteValues 3 7_DataIX" xfId="34836" xr:uid="{00000000-0005-0000-0000-0000857A0000}"/>
    <cellStyle name="ReadWriteValues 3 8" xfId="13396" xr:uid="{00000000-0005-0000-0000-0000867A0000}"/>
    <cellStyle name="ReadWriteValues 3 8 2" xfId="21349" xr:uid="{00000000-0005-0000-0000-0000877A0000}"/>
    <cellStyle name="ReadWriteValues 3 8 2 2" xfId="13028" xr:uid="{00000000-0005-0000-0000-0000887A0000}"/>
    <cellStyle name="ReadWriteValues 3 8 2_DataIX" xfId="34840" xr:uid="{00000000-0005-0000-0000-0000897A0000}"/>
    <cellStyle name="ReadWriteValues 3 8 3" xfId="21457" xr:uid="{00000000-0005-0000-0000-00008A7A0000}"/>
    <cellStyle name="ReadWriteValues 3 8 4" xfId="27414" xr:uid="{00000000-0005-0000-0000-00008B7A0000}"/>
    <cellStyle name="ReadWriteValues 3 8 5" xfId="23008" xr:uid="{00000000-0005-0000-0000-00008C7A0000}"/>
    <cellStyle name="ReadWriteValues 3 8_DataIX" xfId="34839" xr:uid="{00000000-0005-0000-0000-00008D7A0000}"/>
    <cellStyle name="ReadWriteValues 3 9" xfId="10729" xr:uid="{00000000-0005-0000-0000-00008E7A0000}"/>
    <cellStyle name="ReadWriteValues 3 9 2" xfId="21041" xr:uid="{00000000-0005-0000-0000-00008F7A0000}"/>
    <cellStyle name="ReadWriteValues 3 9 2 2" xfId="22061" xr:uid="{00000000-0005-0000-0000-0000907A0000}"/>
    <cellStyle name="ReadWriteValues 3 9 2_DataIX" xfId="34842" xr:uid="{00000000-0005-0000-0000-0000917A0000}"/>
    <cellStyle name="ReadWriteValues 3 9 3" xfId="13526" xr:uid="{00000000-0005-0000-0000-0000927A0000}"/>
    <cellStyle name="ReadWriteValues 3 9 4" xfId="27212" xr:uid="{00000000-0005-0000-0000-0000937A0000}"/>
    <cellStyle name="ReadWriteValues 3 9 5" xfId="26560" xr:uid="{00000000-0005-0000-0000-0000947A0000}"/>
    <cellStyle name="ReadWriteValues 3 9_DataIX" xfId="34841" xr:uid="{00000000-0005-0000-0000-0000957A0000}"/>
    <cellStyle name="ReadWriteValues 3_##Keskeiset" xfId="10416" xr:uid="{00000000-0005-0000-0000-0000967A0000}"/>
    <cellStyle name="ReadWriteValues 30" xfId="29201" xr:uid="{00000000-0005-0000-0000-0000977A0000}"/>
    <cellStyle name="ReadWriteValues 4" xfId="237" xr:uid="{00000000-0005-0000-0000-0000987A0000}"/>
    <cellStyle name="ReadWriteValues 4 10" xfId="12812" xr:uid="{00000000-0005-0000-0000-0000997A0000}"/>
    <cellStyle name="ReadWriteValues 4 10 2" xfId="21104" xr:uid="{00000000-0005-0000-0000-00009A7A0000}"/>
    <cellStyle name="ReadWriteValues 4 10 2 2" xfId="11343" xr:uid="{00000000-0005-0000-0000-00009B7A0000}"/>
    <cellStyle name="ReadWriteValues 4 10 2_DataIX" xfId="34844" xr:uid="{00000000-0005-0000-0000-00009C7A0000}"/>
    <cellStyle name="ReadWriteValues 4 10 3" xfId="13416" xr:uid="{00000000-0005-0000-0000-00009D7A0000}"/>
    <cellStyle name="ReadWriteValues 4 10 4" xfId="27111" xr:uid="{00000000-0005-0000-0000-00009E7A0000}"/>
    <cellStyle name="ReadWriteValues 4 10 5" xfId="22972" xr:uid="{00000000-0005-0000-0000-00009F7A0000}"/>
    <cellStyle name="ReadWriteValues 4 10_DataIX" xfId="34843" xr:uid="{00000000-0005-0000-0000-0000A07A0000}"/>
    <cellStyle name="ReadWriteValues 4 11" xfId="13820" xr:uid="{00000000-0005-0000-0000-0000A17A0000}"/>
    <cellStyle name="ReadWriteValues 4 11 2" xfId="13010" xr:uid="{00000000-0005-0000-0000-0000A27A0000}"/>
    <cellStyle name="ReadWriteValues 4 11 3" xfId="13534" xr:uid="{00000000-0005-0000-0000-0000A37A0000}"/>
    <cellStyle name="ReadWriteValues 4 11 4" xfId="27018" xr:uid="{00000000-0005-0000-0000-0000A47A0000}"/>
    <cellStyle name="ReadWriteValues 4 11 5" xfId="26867" xr:uid="{00000000-0005-0000-0000-0000A57A0000}"/>
    <cellStyle name="ReadWriteValues 4 11_DataIX" xfId="34845" xr:uid="{00000000-0005-0000-0000-0000A67A0000}"/>
    <cellStyle name="ReadWriteValues 4 12" xfId="20311" xr:uid="{00000000-0005-0000-0000-0000A77A0000}"/>
    <cellStyle name="ReadWriteValues 4 12 2" xfId="13655" xr:uid="{00000000-0005-0000-0000-0000A87A0000}"/>
    <cellStyle name="ReadWriteValues 4 12_DataIX" xfId="34846" xr:uid="{00000000-0005-0000-0000-0000A97A0000}"/>
    <cellStyle name="ReadWriteValues 4 13" xfId="13037" xr:uid="{00000000-0005-0000-0000-0000AA7A0000}"/>
    <cellStyle name="ReadWriteValues 4 14" xfId="22358" xr:uid="{00000000-0005-0000-0000-0000AB7A0000}"/>
    <cellStyle name="ReadWriteValues 4 15" xfId="22559" xr:uid="{00000000-0005-0000-0000-0000AC7A0000}"/>
    <cellStyle name="ReadWriteValues 4 16" xfId="22484" xr:uid="{00000000-0005-0000-0000-0000AD7A0000}"/>
    <cellStyle name="ReadWriteValues 4 17" xfId="22408" xr:uid="{00000000-0005-0000-0000-0000AE7A0000}"/>
    <cellStyle name="ReadWriteValues 4 18" xfId="27932" xr:uid="{00000000-0005-0000-0000-0000AF7A0000}"/>
    <cellStyle name="ReadWriteValues 4 19" xfId="28013" xr:uid="{00000000-0005-0000-0000-0000B07A0000}"/>
    <cellStyle name="ReadWriteValues 4 2" xfId="281" xr:uid="{00000000-0005-0000-0000-0000B17A0000}"/>
    <cellStyle name="ReadWriteValues 4 2 10" xfId="13853" xr:uid="{00000000-0005-0000-0000-0000B27A0000}"/>
    <cellStyle name="ReadWriteValues 4 2 10 2" xfId="11235" xr:uid="{00000000-0005-0000-0000-0000B37A0000}"/>
    <cellStyle name="ReadWriteValues 4 2 10 3" xfId="11324" xr:uid="{00000000-0005-0000-0000-0000B47A0000}"/>
    <cellStyle name="ReadWriteValues 4 2 10 4" xfId="27029" xr:uid="{00000000-0005-0000-0000-0000B57A0000}"/>
    <cellStyle name="ReadWriteValues 4 2 10 5" xfId="26807" xr:uid="{00000000-0005-0000-0000-0000B67A0000}"/>
    <cellStyle name="ReadWriteValues 4 2 10_DataIX" xfId="34847" xr:uid="{00000000-0005-0000-0000-0000B77A0000}"/>
    <cellStyle name="ReadWriteValues 4 2 11" xfId="13814" xr:uid="{00000000-0005-0000-0000-0000B87A0000}"/>
    <cellStyle name="ReadWriteValues 4 2 11 2" xfId="22021" xr:uid="{00000000-0005-0000-0000-0000B97A0000}"/>
    <cellStyle name="ReadWriteValues 4 2 11 3" xfId="27252" xr:uid="{00000000-0005-0000-0000-0000BA7A0000}"/>
    <cellStyle name="ReadWriteValues 4 2 11 4" xfId="22755" xr:uid="{00000000-0005-0000-0000-0000BB7A0000}"/>
    <cellStyle name="ReadWriteValues 4 2 11_DataIX" xfId="34848" xr:uid="{00000000-0005-0000-0000-0000BC7A0000}"/>
    <cellStyle name="ReadWriteValues 4 2 12" xfId="13773" xr:uid="{00000000-0005-0000-0000-0000BD7A0000}"/>
    <cellStyle name="ReadWriteValues 4 2 13" xfId="22273" xr:uid="{00000000-0005-0000-0000-0000BE7A0000}"/>
    <cellStyle name="ReadWriteValues 4 2 14" xfId="22359" xr:uid="{00000000-0005-0000-0000-0000BF7A0000}"/>
    <cellStyle name="ReadWriteValues 4 2 15" xfId="22558" xr:uid="{00000000-0005-0000-0000-0000C07A0000}"/>
    <cellStyle name="ReadWriteValues 4 2 16" xfId="22485" xr:uid="{00000000-0005-0000-0000-0000C17A0000}"/>
    <cellStyle name="ReadWriteValues 4 2 17" xfId="22407" xr:uid="{00000000-0005-0000-0000-0000C27A0000}"/>
    <cellStyle name="ReadWriteValues 4 2 18" xfId="27933" xr:uid="{00000000-0005-0000-0000-0000C37A0000}"/>
    <cellStyle name="ReadWriteValues 4 2 19" xfId="28012" xr:uid="{00000000-0005-0000-0000-0000C47A0000}"/>
    <cellStyle name="ReadWriteValues 4 2 2" xfId="5213" xr:uid="{00000000-0005-0000-0000-0000C57A0000}"/>
    <cellStyle name="ReadWriteValues 4 2 2 2" xfId="10421" xr:uid="{00000000-0005-0000-0000-0000C67A0000}"/>
    <cellStyle name="ReadWriteValues 4 2 2 3" xfId="18543" xr:uid="{00000000-0005-0000-0000-0000C77A0000}"/>
    <cellStyle name="ReadWriteValues 4 2 2 3 2" xfId="21605" xr:uid="{00000000-0005-0000-0000-0000C87A0000}"/>
    <cellStyle name="ReadWriteValues 4 2 2 3 3" xfId="20622" xr:uid="{00000000-0005-0000-0000-0000C97A0000}"/>
    <cellStyle name="ReadWriteValues 4 2 2 3_DataIX" xfId="34850" xr:uid="{00000000-0005-0000-0000-0000CA7A0000}"/>
    <cellStyle name="ReadWriteValues 4 2 2 4" xfId="20531" xr:uid="{00000000-0005-0000-0000-0000CB7A0000}"/>
    <cellStyle name="ReadWriteValues 4 2 2 4 2" xfId="18776" xr:uid="{00000000-0005-0000-0000-0000CC7A0000}"/>
    <cellStyle name="ReadWriteValues 4 2 2 4_DataIX" xfId="34851" xr:uid="{00000000-0005-0000-0000-0000CD7A0000}"/>
    <cellStyle name="ReadWriteValues 4 2 2_DataIX" xfId="34849" xr:uid="{00000000-0005-0000-0000-0000CE7A0000}"/>
    <cellStyle name="ReadWriteValues 4 2 20" xfId="28265" xr:uid="{00000000-0005-0000-0000-0000CF7A0000}"/>
    <cellStyle name="ReadWriteValues 4 2 21" xfId="28379" xr:uid="{00000000-0005-0000-0000-0000D07A0000}"/>
    <cellStyle name="ReadWriteValues 4 2 22" xfId="28440" xr:uid="{00000000-0005-0000-0000-0000D17A0000}"/>
    <cellStyle name="ReadWriteValues 4 2 23" xfId="28327" xr:uid="{00000000-0005-0000-0000-0000D27A0000}"/>
    <cellStyle name="ReadWriteValues 4 2 24" xfId="28767" xr:uid="{00000000-0005-0000-0000-0000D37A0000}"/>
    <cellStyle name="ReadWriteValues 4 2 25" xfId="28916" xr:uid="{00000000-0005-0000-0000-0000D47A0000}"/>
    <cellStyle name="ReadWriteValues 4 2 26" xfId="28973" xr:uid="{00000000-0005-0000-0000-0000D57A0000}"/>
    <cellStyle name="ReadWriteValues 4 2 27" xfId="28847" xr:uid="{00000000-0005-0000-0000-0000D67A0000}"/>
    <cellStyle name="ReadWriteValues 4 2 28" xfId="29068" xr:uid="{00000000-0005-0000-0000-0000D77A0000}"/>
    <cellStyle name="ReadWriteValues 4 2 29" xfId="29142" xr:uid="{00000000-0005-0000-0000-0000D87A0000}"/>
    <cellStyle name="ReadWriteValues 4 2 3" xfId="5375" xr:uid="{00000000-0005-0000-0000-0000D97A0000}"/>
    <cellStyle name="ReadWriteValues 4 2 3 2" xfId="12850" xr:uid="{00000000-0005-0000-0000-0000DA7A0000}"/>
    <cellStyle name="ReadWriteValues 4 2 3 3" xfId="18699" xr:uid="{00000000-0005-0000-0000-0000DB7A0000}"/>
    <cellStyle name="ReadWriteValues 4 2 3 3 2" xfId="21665" xr:uid="{00000000-0005-0000-0000-0000DC7A0000}"/>
    <cellStyle name="ReadWriteValues 4 2 3 3 3" xfId="10898" xr:uid="{00000000-0005-0000-0000-0000DD7A0000}"/>
    <cellStyle name="ReadWriteValues 4 2 3 3_DataIX" xfId="34853" xr:uid="{00000000-0005-0000-0000-0000DE7A0000}"/>
    <cellStyle name="ReadWriteValues 4 2 3 4" xfId="18992" xr:uid="{00000000-0005-0000-0000-0000DF7A0000}"/>
    <cellStyle name="ReadWriteValues 4 2 3 4 2" xfId="22035" xr:uid="{00000000-0005-0000-0000-0000E07A0000}"/>
    <cellStyle name="ReadWriteValues 4 2 3 4_DataIX" xfId="34854" xr:uid="{00000000-0005-0000-0000-0000E17A0000}"/>
    <cellStyle name="ReadWriteValues 4 2 3_DataIX" xfId="34852" xr:uid="{00000000-0005-0000-0000-0000E27A0000}"/>
    <cellStyle name="ReadWriteValues 4 2 4" xfId="13286" xr:uid="{00000000-0005-0000-0000-0000E37A0000}"/>
    <cellStyle name="ReadWriteValues 4 2 4 2" xfId="20875" xr:uid="{00000000-0005-0000-0000-0000E47A0000}"/>
    <cellStyle name="ReadWriteValues 4 2 4 2 2" xfId="22155" xr:uid="{00000000-0005-0000-0000-0000E57A0000}"/>
    <cellStyle name="ReadWriteValues 4 2 4 2 3" xfId="13410" xr:uid="{00000000-0005-0000-0000-0000E67A0000}"/>
    <cellStyle name="ReadWriteValues 4 2 4 2_DataIX" xfId="34856" xr:uid="{00000000-0005-0000-0000-0000E77A0000}"/>
    <cellStyle name="ReadWriteValues 4 2 4 3" xfId="21263" xr:uid="{00000000-0005-0000-0000-0000E87A0000}"/>
    <cellStyle name="ReadWriteValues 4 2 4 3 2" xfId="22242" xr:uid="{00000000-0005-0000-0000-0000E97A0000}"/>
    <cellStyle name="ReadWriteValues 4 2 4 3_DataIX" xfId="34857" xr:uid="{00000000-0005-0000-0000-0000EA7A0000}"/>
    <cellStyle name="ReadWriteValues 4 2 4 4" xfId="10771" xr:uid="{00000000-0005-0000-0000-0000EB7A0000}"/>
    <cellStyle name="ReadWriteValues 4 2 4 5" xfId="26986" xr:uid="{00000000-0005-0000-0000-0000EC7A0000}"/>
    <cellStyle name="ReadWriteValues 4 2 4 6" xfId="27616" xr:uid="{00000000-0005-0000-0000-0000ED7A0000}"/>
    <cellStyle name="ReadWriteValues 4 2 4_DataIX" xfId="34855" xr:uid="{00000000-0005-0000-0000-0000EE7A0000}"/>
    <cellStyle name="ReadWriteValues 4 2 5" xfId="13169" xr:uid="{00000000-0005-0000-0000-0000EF7A0000}"/>
    <cellStyle name="ReadWriteValues 4 2 5 2" xfId="20800" xr:uid="{00000000-0005-0000-0000-0000F07A0000}"/>
    <cellStyle name="ReadWriteValues 4 2 5 2 2" xfId="22132" xr:uid="{00000000-0005-0000-0000-0000F17A0000}"/>
    <cellStyle name="ReadWriteValues 4 2 5 2 3" xfId="22214" xr:uid="{00000000-0005-0000-0000-0000F27A0000}"/>
    <cellStyle name="ReadWriteValues 4 2 5 2_DataIX" xfId="34859" xr:uid="{00000000-0005-0000-0000-0000F37A0000}"/>
    <cellStyle name="ReadWriteValues 4 2 5 3" xfId="21169" xr:uid="{00000000-0005-0000-0000-0000F47A0000}"/>
    <cellStyle name="ReadWriteValues 4 2 5 3 2" xfId="11341" xr:uid="{00000000-0005-0000-0000-0000F57A0000}"/>
    <cellStyle name="ReadWriteValues 4 2 5 3_DataIX" xfId="34860" xr:uid="{00000000-0005-0000-0000-0000F67A0000}"/>
    <cellStyle name="ReadWriteValues 4 2 5 4" xfId="20727" xr:uid="{00000000-0005-0000-0000-0000F77A0000}"/>
    <cellStyle name="ReadWriteValues 4 2 5 5" xfId="27175" xr:uid="{00000000-0005-0000-0000-0000F87A0000}"/>
    <cellStyle name="ReadWriteValues 4 2 5 6" xfId="23026" xr:uid="{00000000-0005-0000-0000-0000F97A0000}"/>
    <cellStyle name="ReadWriteValues 4 2 5_DataIX" xfId="34858" xr:uid="{00000000-0005-0000-0000-0000FA7A0000}"/>
    <cellStyle name="ReadWriteValues 4 2 6" xfId="13267" xr:uid="{00000000-0005-0000-0000-0000FB7A0000}"/>
    <cellStyle name="ReadWriteValues 4 2 6 2" xfId="21244" xr:uid="{00000000-0005-0000-0000-0000FC7A0000}"/>
    <cellStyle name="ReadWriteValues 4 2 6 2 2" xfId="13074" xr:uid="{00000000-0005-0000-0000-0000FD7A0000}"/>
    <cellStyle name="ReadWriteValues 4 2 6 2_DataIX" xfId="34862" xr:uid="{00000000-0005-0000-0000-0000FE7A0000}"/>
    <cellStyle name="ReadWriteValues 4 2 6 3" xfId="11290" xr:uid="{00000000-0005-0000-0000-0000FF7A0000}"/>
    <cellStyle name="ReadWriteValues 4 2 6 4" xfId="27278" xr:uid="{00000000-0005-0000-0000-0000007B0000}"/>
    <cellStyle name="ReadWriteValues 4 2 6 5" xfId="22973" xr:uid="{00000000-0005-0000-0000-0000017B0000}"/>
    <cellStyle name="ReadWriteValues 4 2 6_DataIX" xfId="34861" xr:uid="{00000000-0005-0000-0000-0000027B0000}"/>
    <cellStyle name="ReadWriteValues 4 2 7" xfId="10732" xr:uid="{00000000-0005-0000-0000-0000037B0000}"/>
    <cellStyle name="ReadWriteValues 4 2 7 2" xfId="21044" xr:uid="{00000000-0005-0000-0000-0000047B0000}"/>
    <cellStyle name="ReadWriteValues 4 2 7 2 2" xfId="22110" xr:uid="{00000000-0005-0000-0000-0000057B0000}"/>
    <cellStyle name="ReadWriteValues 4 2 7 2_DataIX" xfId="34864" xr:uid="{00000000-0005-0000-0000-0000067B0000}"/>
    <cellStyle name="ReadWriteValues 4 2 7 3" xfId="11038" xr:uid="{00000000-0005-0000-0000-0000077B0000}"/>
    <cellStyle name="ReadWriteValues 4 2 7 4" xfId="27166" xr:uid="{00000000-0005-0000-0000-0000087B0000}"/>
    <cellStyle name="ReadWriteValues 4 2 7 5" xfId="23086" xr:uid="{00000000-0005-0000-0000-0000097B0000}"/>
    <cellStyle name="ReadWriteValues 4 2 7_DataIX" xfId="34863" xr:uid="{00000000-0005-0000-0000-00000A7B0000}"/>
    <cellStyle name="ReadWriteValues 4 2 8" xfId="11150" xr:uid="{00000000-0005-0000-0000-00000B7B0000}"/>
    <cellStyle name="ReadWriteValues 4 2 8 2" xfId="21087" xr:uid="{00000000-0005-0000-0000-00000C7B0000}"/>
    <cellStyle name="ReadWriteValues 4 2 8 2 2" xfId="11208" xr:uid="{00000000-0005-0000-0000-00000D7B0000}"/>
    <cellStyle name="ReadWriteValues 4 2 8 2_DataIX" xfId="34866" xr:uid="{00000000-0005-0000-0000-00000E7B0000}"/>
    <cellStyle name="ReadWriteValues 4 2 8 3" xfId="10932" xr:uid="{00000000-0005-0000-0000-00000F7B0000}"/>
    <cellStyle name="ReadWriteValues 4 2 8 4" xfId="27574" xr:uid="{00000000-0005-0000-0000-0000107B0000}"/>
    <cellStyle name="ReadWriteValues 4 2 8 5" xfId="26828" xr:uid="{00000000-0005-0000-0000-0000117B0000}"/>
    <cellStyle name="ReadWriteValues 4 2 8_DataIX" xfId="34865" xr:uid="{00000000-0005-0000-0000-0000127B0000}"/>
    <cellStyle name="ReadWriteValues 4 2 9" xfId="13672" xr:uid="{00000000-0005-0000-0000-0000137B0000}"/>
    <cellStyle name="ReadWriteValues 4 2 9 2" xfId="21373" xr:uid="{00000000-0005-0000-0000-0000147B0000}"/>
    <cellStyle name="ReadWriteValues 4 2 9 2 2" xfId="22192" xr:uid="{00000000-0005-0000-0000-0000157B0000}"/>
    <cellStyle name="ReadWriteValues 4 2 9 2_DataIX" xfId="34868" xr:uid="{00000000-0005-0000-0000-0000167B0000}"/>
    <cellStyle name="ReadWriteValues 4 2 9 3" xfId="13620" xr:uid="{00000000-0005-0000-0000-0000177B0000}"/>
    <cellStyle name="ReadWriteValues 4 2 9 4" xfId="27100" xr:uid="{00000000-0005-0000-0000-0000187B0000}"/>
    <cellStyle name="ReadWriteValues 4 2 9 5" xfId="23032" xr:uid="{00000000-0005-0000-0000-0000197B0000}"/>
    <cellStyle name="ReadWriteValues 4 2 9_DataIX" xfId="34867" xr:uid="{00000000-0005-0000-0000-00001A7B0000}"/>
    <cellStyle name="ReadWriteValues 4 2_##Keskeiset" xfId="10420" xr:uid="{00000000-0005-0000-0000-00001B7B0000}"/>
    <cellStyle name="ReadWriteValues 4 20" xfId="28264" xr:uid="{00000000-0005-0000-0000-00001C7B0000}"/>
    <cellStyle name="ReadWriteValues 4 21" xfId="28380" xr:uid="{00000000-0005-0000-0000-00001D7B0000}"/>
    <cellStyle name="ReadWriteValues 4 22" xfId="28401" xr:uid="{00000000-0005-0000-0000-00001E7B0000}"/>
    <cellStyle name="ReadWriteValues 4 23" xfId="28479" xr:uid="{00000000-0005-0000-0000-00001F7B0000}"/>
    <cellStyle name="ReadWriteValues 4 24" xfId="28768" xr:uid="{00000000-0005-0000-0000-0000207B0000}"/>
    <cellStyle name="ReadWriteValues 4 25" xfId="28791" xr:uid="{00000000-0005-0000-0000-0000217B0000}"/>
    <cellStyle name="ReadWriteValues 4 26" xfId="28932" xr:uid="{00000000-0005-0000-0000-0000227B0000}"/>
    <cellStyle name="ReadWriteValues 4 27" xfId="28846" xr:uid="{00000000-0005-0000-0000-0000237B0000}"/>
    <cellStyle name="ReadWriteValues 4 28" xfId="29067" xr:uid="{00000000-0005-0000-0000-0000247B0000}"/>
    <cellStyle name="ReadWriteValues 4 29" xfId="29143" xr:uid="{00000000-0005-0000-0000-0000257B0000}"/>
    <cellStyle name="ReadWriteValues 4 3" xfId="5214" xr:uid="{00000000-0005-0000-0000-0000267B0000}"/>
    <cellStyle name="ReadWriteValues 4 3 2" xfId="5681" xr:uid="{00000000-0005-0000-0000-0000277B0000}"/>
    <cellStyle name="ReadWriteValues 4 3 2 2" xfId="12851" xr:uid="{00000000-0005-0000-0000-0000287B0000}"/>
    <cellStyle name="ReadWriteValues 4 3 2 3" xfId="18895" xr:uid="{00000000-0005-0000-0000-0000297B0000}"/>
    <cellStyle name="ReadWriteValues 4 3 2 3 2" xfId="21735" xr:uid="{00000000-0005-0000-0000-00002A7B0000}"/>
    <cellStyle name="ReadWriteValues 4 3 2 3 3" xfId="22032" xr:uid="{00000000-0005-0000-0000-00002B7B0000}"/>
    <cellStyle name="ReadWriteValues 4 3 2 3_DataIX" xfId="34871" xr:uid="{00000000-0005-0000-0000-00002C7B0000}"/>
    <cellStyle name="ReadWriteValues 4 3 2 4" xfId="18947" xr:uid="{00000000-0005-0000-0000-00002D7B0000}"/>
    <cellStyle name="ReadWriteValues 4 3 2 4 2" xfId="13500" xr:uid="{00000000-0005-0000-0000-00002E7B0000}"/>
    <cellStyle name="ReadWriteValues 4 3 2 4_DataIX" xfId="34872" xr:uid="{00000000-0005-0000-0000-00002F7B0000}"/>
    <cellStyle name="ReadWriteValues 4 3 2_DataIX" xfId="34870" xr:uid="{00000000-0005-0000-0000-0000307B0000}"/>
    <cellStyle name="ReadWriteValues 4 3 3" xfId="11167" xr:uid="{00000000-0005-0000-0000-0000317B0000}"/>
    <cellStyle name="ReadWriteValues 4 3 4" xfId="18544" xr:uid="{00000000-0005-0000-0000-0000327B0000}"/>
    <cellStyle name="ReadWriteValues 4 3 4 2" xfId="21606" xr:uid="{00000000-0005-0000-0000-0000337B0000}"/>
    <cellStyle name="ReadWriteValues 4 3 4 3" xfId="21758" xr:uid="{00000000-0005-0000-0000-0000347B0000}"/>
    <cellStyle name="ReadWriteValues 4 3 4_DataIX" xfId="34873" xr:uid="{00000000-0005-0000-0000-0000357B0000}"/>
    <cellStyle name="ReadWriteValues 4 3 5" xfId="19051" xr:uid="{00000000-0005-0000-0000-0000367B0000}"/>
    <cellStyle name="ReadWriteValues 4 3 5 2" xfId="12555" xr:uid="{00000000-0005-0000-0000-0000377B0000}"/>
    <cellStyle name="ReadWriteValues 4 3 5_DataIX" xfId="34874" xr:uid="{00000000-0005-0000-0000-0000387B0000}"/>
    <cellStyle name="ReadWriteValues 4 3_DataIX" xfId="34869" xr:uid="{00000000-0005-0000-0000-0000397B0000}"/>
    <cellStyle name="ReadWriteValues 4 4" xfId="5682" xr:uid="{00000000-0005-0000-0000-00003A7B0000}"/>
    <cellStyle name="ReadWriteValues 4 4 2" xfId="12852" xr:uid="{00000000-0005-0000-0000-00003B7B0000}"/>
    <cellStyle name="ReadWriteValues 4 4 3" xfId="18896" xr:uid="{00000000-0005-0000-0000-00003C7B0000}"/>
    <cellStyle name="ReadWriteValues 4 4 3 2" xfId="21736" xr:uid="{00000000-0005-0000-0000-00003D7B0000}"/>
    <cellStyle name="ReadWriteValues 4 4 3 3" xfId="13681" xr:uid="{00000000-0005-0000-0000-00003E7B0000}"/>
    <cellStyle name="ReadWriteValues 4 4 3_DataIX" xfId="34876" xr:uid="{00000000-0005-0000-0000-00003F7B0000}"/>
    <cellStyle name="ReadWriteValues 4 4 4" xfId="20430" xr:uid="{00000000-0005-0000-0000-0000407B0000}"/>
    <cellStyle name="ReadWriteValues 4 4 4 2" xfId="21716" xr:uid="{00000000-0005-0000-0000-0000417B0000}"/>
    <cellStyle name="ReadWriteValues 4 4 4_DataIX" xfId="34877" xr:uid="{00000000-0005-0000-0000-0000427B0000}"/>
    <cellStyle name="ReadWriteValues 4 4_DataIX" xfId="34875" xr:uid="{00000000-0005-0000-0000-0000437B0000}"/>
    <cellStyle name="ReadWriteValues 4 5" xfId="5374" xr:uid="{00000000-0005-0000-0000-0000447B0000}"/>
    <cellStyle name="ReadWriteValues 4 5 2" xfId="12853" xr:uid="{00000000-0005-0000-0000-0000457B0000}"/>
    <cellStyle name="ReadWriteValues 4 5 3" xfId="18698" xr:uid="{00000000-0005-0000-0000-0000467B0000}"/>
    <cellStyle name="ReadWriteValues 4 5 3 2" xfId="21664" xr:uid="{00000000-0005-0000-0000-0000477B0000}"/>
    <cellStyle name="ReadWriteValues 4 5 3 3" xfId="10791" xr:uid="{00000000-0005-0000-0000-0000487B0000}"/>
    <cellStyle name="ReadWriteValues 4 5 3_DataIX" xfId="34879" xr:uid="{00000000-0005-0000-0000-0000497B0000}"/>
    <cellStyle name="ReadWriteValues 4 5 4" xfId="20474" xr:uid="{00000000-0005-0000-0000-00004A7B0000}"/>
    <cellStyle name="ReadWriteValues 4 5 4 2" xfId="11294" xr:uid="{00000000-0005-0000-0000-00004B7B0000}"/>
    <cellStyle name="ReadWriteValues 4 5 4_DataIX" xfId="34880" xr:uid="{00000000-0005-0000-0000-00004C7B0000}"/>
    <cellStyle name="ReadWriteValues 4 5_DataIX" xfId="34878" xr:uid="{00000000-0005-0000-0000-00004D7B0000}"/>
    <cellStyle name="ReadWriteValues 4 6" xfId="13287" xr:uid="{00000000-0005-0000-0000-00004E7B0000}"/>
    <cellStyle name="ReadWriteValues 4 6 2" xfId="20876" xr:uid="{00000000-0005-0000-0000-00004F7B0000}"/>
    <cellStyle name="ReadWriteValues 4 6 2 2" xfId="22156" xr:uid="{00000000-0005-0000-0000-0000507B0000}"/>
    <cellStyle name="ReadWriteValues 4 6 2 3" xfId="20672" xr:uid="{00000000-0005-0000-0000-0000517B0000}"/>
    <cellStyle name="ReadWriteValues 4 6 2_DataIX" xfId="34882" xr:uid="{00000000-0005-0000-0000-0000527B0000}"/>
    <cellStyle name="ReadWriteValues 4 6 3" xfId="21264" xr:uid="{00000000-0005-0000-0000-0000537B0000}"/>
    <cellStyle name="ReadWriteValues 4 6 3 2" xfId="10980" xr:uid="{00000000-0005-0000-0000-0000547B0000}"/>
    <cellStyle name="ReadWriteValues 4 6 3_DataIX" xfId="34883" xr:uid="{00000000-0005-0000-0000-0000557B0000}"/>
    <cellStyle name="ReadWriteValues 4 6 4" xfId="13687" xr:uid="{00000000-0005-0000-0000-0000567B0000}"/>
    <cellStyle name="ReadWriteValues 4 6 5" xfId="26985" xr:uid="{00000000-0005-0000-0000-0000577B0000}"/>
    <cellStyle name="ReadWriteValues 4 6 6" xfId="26851" xr:uid="{00000000-0005-0000-0000-0000587B0000}"/>
    <cellStyle name="ReadWriteValues 4 6_DataIX" xfId="34881" xr:uid="{00000000-0005-0000-0000-0000597B0000}"/>
    <cellStyle name="ReadWriteValues 4 7" xfId="13141" xr:uid="{00000000-0005-0000-0000-00005A7B0000}"/>
    <cellStyle name="ReadWriteValues 4 7 2" xfId="20781" xr:uid="{00000000-0005-0000-0000-00005B7B0000}"/>
    <cellStyle name="ReadWriteValues 4 7 2 2" xfId="22127" xr:uid="{00000000-0005-0000-0000-00005C7B0000}"/>
    <cellStyle name="ReadWriteValues 4 7 2 3" xfId="22129" xr:uid="{00000000-0005-0000-0000-00005D7B0000}"/>
    <cellStyle name="ReadWriteValues 4 7 2_DataIX" xfId="34885" xr:uid="{00000000-0005-0000-0000-00005E7B0000}"/>
    <cellStyle name="ReadWriteValues 4 7 3" xfId="21146" xr:uid="{00000000-0005-0000-0000-00005F7B0000}"/>
    <cellStyle name="ReadWriteValues 4 7 3 2" xfId="10798" xr:uid="{00000000-0005-0000-0000-0000607B0000}"/>
    <cellStyle name="ReadWriteValues 4 7 3_DataIX" xfId="34886" xr:uid="{00000000-0005-0000-0000-0000617B0000}"/>
    <cellStyle name="ReadWriteValues 4 7 4" xfId="11039" xr:uid="{00000000-0005-0000-0000-0000627B0000}"/>
    <cellStyle name="ReadWriteValues 4 7 5" xfId="27341" xr:uid="{00000000-0005-0000-0000-0000637B0000}"/>
    <cellStyle name="ReadWriteValues 4 7 6" xfId="22974" xr:uid="{00000000-0005-0000-0000-0000647B0000}"/>
    <cellStyle name="ReadWriteValues 4 7_DataIX" xfId="34884" xr:uid="{00000000-0005-0000-0000-0000657B0000}"/>
    <cellStyle name="ReadWriteValues 4 8" xfId="13403" xr:uid="{00000000-0005-0000-0000-0000667B0000}"/>
    <cellStyle name="ReadWriteValues 4 8 2" xfId="21354" xr:uid="{00000000-0005-0000-0000-0000677B0000}"/>
    <cellStyle name="ReadWriteValues 4 8 2 2" xfId="22148" xr:uid="{00000000-0005-0000-0000-0000687B0000}"/>
    <cellStyle name="ReadWriteValues 4 8 2_DataIX" xfId="34888" xr:uid="{00000000-0005-0000-0000-0000697B0000}"/>
    <cellStyle name="ReadWriteValues 4 8 3" xfId="13477" xr:uid="{00000000-0005-0000-0000-00006A7B0000}"/>
    <cellStyle name="ReadWriteValues 4 8 4" xfId="27220" xr:uid="{00000000-0005-0000-0000-00006B7B0000}"/>
    <cellStyle name="ReadWriteValues 4 8 5" xfId="23073" xr:uid="{00000000-0005-0000-0000-00006C7B0000}"/>
    <cellStyle name="ReadWriteValues 4 8_DataIX" xfId="34887" xr:uid="{00000000-0005-0000-0000-00006D7B0000}"/>
    <cellStyle name="ReadWriteValues 4 9" xfId="10731" xr:uid="{00000000-0005-0000-0000-00006E7B0000}"/>
    <cellStyle name="ReadWriteValues 4 9 2" xfId="21043" xr:uid="{00000000-0005-0000-0000-00006F7B0000}"/>
    <cellStyle name="ReadWriteValues 4 9 2 2" xfId="13623" xr:uid="{00000000-0005-0000-0000-0000707B0000}"/>
    <cellStyle name="ReadWriteValues 4 9 2_DataIX" xfId="34890" xr:uid="{00000000-0005-0000-0000-0000717B0000}"/>
    <cellStyle name="ReadWriteValues 4 9 3" xfId="13480" xr:uid="{00000000-0005-0000-0000-0000727B0000}"/>
    <cellStyle name="ReadWriteValues 4 9 4" xfId="27104" xr:uid="{00000000-0005-0000-0000-0000737B0000}"/>
    <cellStyle name="ReadWriteValues 4 9 5" xfId="26868" xr:uid="{00000000-0005-0000-0000-0000747B0000}"/>
    <cellStyle name="ReadWriteValues 4 9_DataIX" xfId="34889" xr:uid="{00000000-0005-0000-0000-0000757B0000}"/>
    <cellStyle name="ReadWriteValues 4_##Keskeiset" xfId="10419" xr:uid="{00000000-0005-0000-0000-0000767B0000}"/>
    <cellStyle name="ReadWriteValues 5" xfId="5105" xr:uid="{00000000-0005-0000-0000-0000777B0000}"/>
    <cellStyle name="ReadWriteValues 5 2" xfId="5683" xr:uid="{00000000-0005-0000-0000-0000787B0000}"/>
    <cellStyle name="ReadWriteValues 5 2 2" xfId="12854" xr:uid="{00000000-0005-0000-0000-0000797B0000}"/>
    <cellStyle name="ReadWriteValues 5 2 3" xfId="18897" xr:uid="{00000000-0005-0000-0000-00007A7B0000}"/>
    <cellStyle name="ReadWriteValues 5 2 3 2" xfId="21737" xr:uid="{00000000-0005-0000-0000-00007B7B0000}"/>
    <cellStyle name="ReadWriteValues 5 2 3 3" xfId="20626" xr:uid="{00000000-0005-0000-0000-00007C7B0000}"/>
    <cellStyle name="ReadWriteValues 5 2 3_DataIX" xfId="34893" xr:uid="{00000000-0005-0000-0000-00007D7B0000}"/>
    <cellStyle name="ReadWriteValues 5 2 4" xfId="18946" xr:uid="{00000000-0005-0000-0000-00007E7B0000}"/>
    <cellStyle name="ReadWriteValues 5 2 4 2" xfId="21674" xr:uid="{00000000-0005-0000-0000-00007F7B0000}"/>
    <cellStyle name="ReadWriteValues 5 2 4_DataIX" xfId="34894" xr:uid="{00000000-0005-0000-0000-0000807B0000}"/>
    <cellStyle name="ReadWriteValues 5 2_DataIX" xfId="34892" xr:uid="{00000000-0005-0000-0000-0000817B0000}"/>
    <cellStyle name="ReadWriteValues 5 3" xfId="11168" xr:uid="{00000000-0005-0000-0000-0000827B0000}"/>
    <cellStyle name="ReadWriteValues 5 4" xfId="18444" xr:uid="{00000000-0005-0000-0000-0000837B0000}"/>
    <cellStyle name="ReadWriteValues 5 4 2" xfId="21587" xr:uid="{00000000-0005-0000-0000-0000847B0000}"/>
    <cellStyle name="ReadWriteValues 5 4 3" xfId="21464" xr:uid="{00000000-0005-0000-0000-0000857B0000}"/>
    <cellStyle name="ReadWriteValues 5 4_DataIX" xfId="34895" xr:uid="{00000000-0005-0000-0000-0000867B0000}"/>
    <cellStyle name="ReadWriteValues 5 5" xfId="19070" xr:uid="{00000000-0005-0000-0000-0000877B0000}"/>
    <cellStyle name="ReadWriteValues 5 5 2" xfId="21409" xr:uid="{00000000-0005-0000-0000-0000887B0000}"/>
    <cellStyle name="ReadWriteValues 5 5_DataIX" xfId="34896" xr:uid="{00000000-0005-0000-0000-0000897B0000}"/>
    <cellStyle name="ReadWriteValues 5_DataIX" xfId="34891" xr:uid="{00000000-0005-0000-0000-00008A7B0000}"/>
    <cellStyle name="ReadWriteValues 6" xfId="5283" xr:uid="{00000000-0005-0000-0000-00008B7B0000}"/>
    <cellStyle name="ReadWriteValues 6 2" xfId="5684" xr:uid="{00000000-0005-0000-0000-00008C7B0000}"/>
    <cellStyle name="ReadWriteValues 6 2 2" xfId="12855" xr:uid="{00000000-0005-0000-0000-00008D7B0000}"/>
    <cellStyle name="ReadWriteValues 6 2 3" xfId="18898" xr:uid="{00000000-0005-0000-0000-00008E7B0000}"/>
    <cellStyle name="ReadWriteValues 6 2 3 2" xfId="21738" xr:uid="{00000000-0005-0000-0000-00008F7B0000}"/>
    <cellStyle name="ReadWriteValues 6 2 3 3" xfId="10886" xr:uid="{00000000-0005-0000-0000-0000907B0000}"/>
    <cellStyle name="ReadWriteValues 6 2 3_DataIX" xfId="34899" xr:uid="{00000000-0005-0000-0000-0000917B0000}"/>
    <cellStyle name="ReadWriteValues 6 2 4" xfId="20429" xr:uid="{00000000-0005-0000-0000-0000927B0000}"/>
    <cellStyle name="ReadWriteValues 6 2 4 2" xfId="11051" xr:uid="{00000000-0005-0000-0000-0000937B0000}"/>
    <cellStyle name="ReadWriteValues 6 2 4_DataIX" xfId="34900" xr:uid="{00000000-0005-0000-0000-0000947B0000}"/>
    <cellStyle name="ReadWriteValues 6 2_DataIX" xfId="34898" xr:uid="{00000000-0005-0000-0000-0000957B0000}"/>
    <cellStyle name="ReadWriteValues 6 3" xfId="11169" xr:uid="{00000000-0005-0000-0000-0000967B0000}"/>
    <cellStyle name="ReadWriteValues 6 4" xfId="18607" xr:uid="{00000000-0005-0000-0000-0000977B0000}"/>
    <cellStyle name="ReadWriteValues 6 4 2" xfId="21635" xr:uid="{00000000-0005-0000-0000-0000987B0000}"/>
    <cellStyle name="ReadWriteValues 6 4 3" xfId="12989" xr:uid="{00000000-0005-0000-0000-0000997B0000}"/>
    <cellStyle name="ReadWriteValues 6 4_DataIX" xfId="34901" xr:uid="{00000000-0005-0000-0000-00009A7B0000}"/>
    <cellStyle name="ReadWriteValues 6 5" xfId="20503" xr:uid="{00000000-0005-0000-0000-00009B7B0000}"/>
    <cellStyle name="ReadWriteValues 6 5 2" xfId="22221" xr:uid="{00000000-0005-0000-0000-00009C7B0000}"/>
    <cellStyle name="ReadWriteValues 6 5_DataIX" xfId="34902" xr:uid="{00000000-0005-0000-0000-00009D7B0000}"/>
    <cellStyle name="ReadWriteValues 6_DataIX" xfId="34897" xr:uid="{00000000-0005-0000-0000-00009E7B0000}"/>
    <cellStyle name="ReadWriteValues 7" xfId="399" xr:uid="{00000000-0005-0000-0000-00009F7B0000}"/>
    <cellStyle name="ReadWriteValues 7 2" xfId="5685" xr:uid="{00000000-0005-0000-0000-0000A07B0000}"/>
    <cellStyle name="ReadWriteValues 7 2 2" xfId="12856" xr:uid="{00000000-0005-0000-0000-0000A17B0000}"/>
    <cellStyle name="ReadWriteValues 7 2 3" xfId="18899" xr:uid="{00000000-0005-0000-0000-0000A27B0000}"/>
    <cellStyle name="ReadWriteValues 7 2 3 2" xfId="21739" xr:uid="{00000000-0005-0000-0000-0000A37B0000}"/>
    <cellStyle name="ReadWriteValues 7 2 3 3" xfId="21844" xr:uid="{00000000-0005-0000-0000-0000A47B0000}"/>
    <cellStyle name="ReadWriteValues 7 2 3_DataIX" xfId="34905" xr:uid="{00000000-0005-0000-0000-0000A57B0000}"/>
    <cellStyle name="ReadWriteValues 7 2 4" xfId="18944" xr:uid="{00000000-0005-0000-0000-0000A67B0000}"/>
    <cellStyle name="ReadWriteValues 7 2 4 2" xfId="13053" xr:uid="{00000000-0005-0000-0000-0000A77B0000}"/>
    <cellStyle name="ReadWriteValues 7 2 4_DataIX" xfId="34906" xr:uid="{00000000-0005-0000-0000-0000A87B0000}"/>
    <cellStyle name="ReadWriteValues 7 2_DataIX" xfId="34904" xr:uid="{00000000-0005-0000-0000-0000A97B0000}"/>
    <cellStyle name="ReadWriteValues 7 3" xfId="11170" xr:uid="{00000000-0005-0000-0000-0000AA7B0000}"/>
    <cellStyle name="ReadWriteValues 7 4" xfId="13933" xr:uid="{00000000-0005-0000-0000-0000AB7B0000}"/>
    <cellStyle name="ReadWriteValues 7 4 2" xfId="10826" xr:uid="{00000000-0005-0000-0000-0000AC7B0000}"/>
    <cellStyle name="ReadWriteValues 7 4 3" xfId="21460" xr:uid="{00000000-0005-0000-0000-0000AD7B0000}"/>
    <cellStyle name="ReadWriteValues 7 4_DataIX" xfId="34907" xr:uid="{00000000-0005-0000-0000-0000AE7B0000}"/>
    <cellStyle name="ReadWriteValues 7 5" xfId="20250" xr:uid="{00000000-0005-0000-0000-0000AF7B0000}"/>
    <cellStyle name="ReadWriteValues 7 5 2" xfId="21853" xr:uid="{00000000-0005-0000-0000-0000B07B0000}"/>
    <cellStyle name="ReadWriteValues 7 5_DataIX" xfId="34908" xr:uid="{00000000-0005-0000-0000-0000B17B0000}"/>
    <cellStyle name="ReadWriteValues 7_DataIX" xfId="34903" xr:uid="{00000000-0005-0000-0000-0000B27B0000}"/>
    <cellStyle name="ReadWriteValues 8" xfId="5279" xr:uid="{00000000-0005-0000-0000-0000B37B0000}"/>
    <cellStyle name="ReadWriteValues 8 2" xfId="10422" xr:uid="{00000000-0005-0000-0000-0000B47B0000}"/>
    <cellStyle name="ReadWriteValues 8 3" xfId="18603" xr:uid="{00000000-0005-0000-0000-0000B57B0000}"/>
    <cellStyle name="ReadWriteValues 8 3 2" xfId="21631" xr:uid="{00000000-0005-0000-0000-0000B67B0000}"/>
    <cellStyle name="ReadWriteValues 8 3 3" xfId="10994" xr:uid="{00000000-0005-0000-0000-0000B77B0000}"/>
    <cellStyle name="ReadWriteValues 8 3_DataIX" xfId="34910" xr:uid="{00000000-0005-0000-0000-0000B87B0000}"/>
    <cellStyle name="ReadWriteValues 8 4" xfId="20504" xr:uid="{00000000-0005-0000-0000-0000B97B0000}"/>
    <cellStyle name="ReadWriteValues 8 4 2" xfId="12720" xr:uid="{00000000-0005-0000-0000-0000BA7B0000}"/>
    <cellStyle name="ReadWriteValues 8 4_DataIX" xfId="34911" xr:uid="{00000000-0005-0000-0000-0000BB7B0000}"/>
    <cellStyle name="ReadWriteValues 8_DataIX" xfId="34909" xr:uid="{00000000-0005-0000-0000-0000BC7B0000}"/>
    <cellStyle name="ReadWriteValues 9" xfId="5219" xr:uid="{00000000-0005-0000-0000-0000BD7B0000}"/>
    <cellStyle name="ReadWriteValues 9 2" xfId="10423" xr:uid="{00000000-0005-0000-0000-0000BE7B0000}"/>
    <cellStyle name="ReadWriteValues 9 3" xfId="18549" xr:uid="{00000000-0005-0000-0000-0000BF7B0000}"/>
    <cellStyle name="ReadWriteValues 9 3 2" xfId="21611" xr:uid="{00000000-0005-0000-0000-0000C07B0000}"/>
    <cellStyle name="ReadWriteValues 9 3 3" xfId="21465" xr:uid="{00000000-0005-0000-0000-0000C17B0000}"/>
    <cellStyle name="ReadWriteValues 9 3_DataIX" xfId="34913" xr:uid="{00000000-0005-0000-0000-0000C27B0000}"/>
    <cellStyle name="ReadWriteValues 9 4" xfId="20528" xr:uid="{00000000-0005-0000-0000-0000C37B0000}"/>
    <cellStyle name="ReadWriteValues 9 4 2" xfId="21983" xr:uid="{00000000-0005-0000-0000-0000C47B0000}"/>
    <cellStyle name="ReadWriteValues 9 4_DataIX" xfId="34914" xr:uid="{00000000-0005-0000-0000-0000C57B0000}"/>
    <cellStyle name="ReadWriteValues 9_DataIX" xfId="34912" xr:uid="{00000000-0005-0000-0000-0000C67B0000}"/>
    <cellStyle name="ReadWriteValues_##KansantalKehitys" xfId="5445" xr:uid="{00000000-0005-0000-0000-0000C77B0000}"/>
    <cellStyle name="Selittävä teksti" xfId="363" xr:uid="{00000000-0005-0000-0000-0000C87B0000}"/>
    <cellStyle name="Selittävä teksti 10" xfId="26540" xr:uid="{00000000-0005-0000-0000-0000C97B0000}"/>
    <cellStyle name="Selittävä teksti 2" xfId="241" xr:uid="{00000000-0005-0000-0000-0000CA7B0000}"/>
    <cellStyle name="Selittävä teksti 2 10" xfId="26088" xr:uid="{00000000-0005-0000-0000-0000CB7B0000}"/>
    <cellStyle name="Selittävä teksti 2 2" xfId="5108" xr:uid="{00000000-0005-0000-0000-0000CC7B0000}"/>
    <cellStyle name="Selittävä teksti 2 2 2" xfId="10425" xr:uid="{00000000-0005-0000-0000-0000CD7B0000}"/>
    <cellStyle name="Selittävä teksti 2 2 3" xfId="18447" xr:uid="{00000000-0005-0000-0000-0000CE7B0000}"/>
    <cellStyle name="Selittävä teksti 2 2_DataIX" xfId="34915" xr:uid="{00000000-0005-0000-0000-0000CF7B0000}"/>
    <cellStyle name="Selittävä teksti 2 3" xfId="25203" xr:uid="{00000000-0005-0000-0000-0000D07B0000}"/>
    <cellStyle name="Selittävä teksti 2 4" xfId="26121" xr:uid="{00000000-0005-0000-0000-0000D17B0000}"/>
    <cellStyle name="Selittävä teksti 2 5" xfId="25351" xr:uid="{00000000-0005-0000-0000-0000D27B0000}"/>
    <cellStyle name="Selittävä teksti 2 6" xfId="25701" xr:uid="{00000000-0005-0000-0000-0000D37B0000}"/>
    <cellStyle name="Selittävä teksti 2 7" xfId="25614" xr:uid="{00000000-0005-0000-0000-0000D47B0000}"/>
    <cellStyle name="Selittävä teksti 2 8" xfId="25888" xr:uid="{00000000-0005-0000-0000-0000D57B0000}"/>
    <cellStyle name="Selittävä teksti 2 9" xfId="26536" xr:uid="{00000000-0005-0000-0000-0000D67B0000}"/>
    <cellStyle name="Selittävä teksti 2_##Keskeiset" xfId="10424" xr:uid="{00000000-0005-0000-0000-0000D77B0000}"/>
    <cellStyle name="Selittävä teksti 3" xfId="240" xr:uid="{00000000-0005-0000-0000-0000D87B0000}"/>
    <cellStyle name="Selittävä teksti 3 2" xfId="25204" xr:uid="{00000000-0005-0000-0000-0000D97B0000}"/>
    <cellStyle name="Selittävä teksti 3 3" xfId="25006" xr:uid="{00000000-0005-0000-0000-0000DA7B0000}"/>
    <cellStyle name="Selittävä teksti 3_DataIX" xfId="34916" xr:uid="{00000000-0005-0000-0000-0000DB7B0000}"/>
    <cellStyle name="Selittävä teksti 4" xfId="5686" xr:uid="{00000000-0005-0000-0000-0000DC7B0000}"/>
    <cellStyle name="Selittävä teksti 4 2" xfId="12861" xr:uid="{00000000-0005-0000-0000-0000DD7B0000}"/>
    <cellStyle name="Selittävä teksti 4 3" xfId="18900" xr:uid="{00000000-0005-0000-0000-0000DE7B0000}"/>
    <cellStyle name="Selittävä teksti 4 4" xfId="27795" xr:uid="{00000000-0005-0000-0000-0000DF7B0000}"/>
    <cellStyle name="Selittävä teksti 4_DataIX" xfId="34917" xr:uid="{00000000-0005-0000-0000-0000E07B0000}"/>
    <cellStyle name="Selittävä teksti 5" xfId="10679" xr:uid="{00000000-0005-0000-0000-0000E17B0000}"/>
    <cellStyle name="Selittävä teksti 6" xfId="25670" xr:uid="{00000000-0005-0000-0000-0000E27B0000}"/>
    <cellStyle name="Selittävä teksti 7" xfId="25326" xr:uid="{00000000-0005-0000-0000-0000E37B0000}"/>
    <cellStyle name="Selittävä teksti 8" xfId="25838" xr:uid="{00000000-0005-0000-0000-0000E47B0000}"/>
    <cellStyle name="Selittävä teksti 9" xfId="26077" xr:uid="{00000000-0005-0000-0000-0000E57B0000}"/>
    <cellStyle name="Selittävä teksti_##KansantalKehitys" xfId="5446" xr:uid="{00000000-0005-0000-0000-0000E67B0000}"/>
    <cellStyle name="Seuraava hyperlinkki_Laskentataulukko tiedostossa Leike" xfId="398" xr:uid="{00000000-0005-0000-0000-0000E77B0000}"/>
    <cellStyle name="Standaard2" xfId="5109" xr:uid="{00000000-0005-0000-0000-0000E87B0000}"/>
    <cellStyle name="Standaard2 2" xfId="10426" xr:uid="{00000000-0005-0000-0000-0000E97B0000}"/>
    <cellStyle name="Standaard2 3" xfId="18448" xr:uid="{00000000-0005-0000-0000-0000EA7B0000}"/>
    <cellStyle name="Standaard2_DataIX" xfId="34918" xr:uid="{00000000-0005-0000-0000-0000EB7B0000}"/>
    <cellStyle name="Standard_9.01" xfId="123" xr:uid="{00000000-0005-0000-0000-0000EC7B0000}"/>
    <cellStyle name="Summa" xfId="364" xr:uid="{00000000-0005-0000-0000-0000ED7B0000}"/>
    <cellStyle name="Summa 10" xfId="10553" xr:uid="{00000000-0005-0000-0000-0000EE7B0000}"/>
    <cellStyle name="Summa 10 2" xfId="12863" xr:uid="{00000000-0005-0000-0000-0000EF7B0000}"/>
    <cellStyle name="Summa 10 3" xfId="20335" xr:uid="{00000000-0005-0000-0000-0000F07B0000}"/>
    <cellStyle name="Summa 10_DataIX" xfId="34919" xr:uid="{00000000-0005-0000-0000-0000F17B0000}"/>
    <cellStyle name="Summa 11" xfId="10681" xr:uid="{00000000-0005-0000-0000-0000F27B0000}"/>
    <cellStyle name="Summa 11 2" xfId="20610" xr:uid="{00000000-0005-0000-0000-0000F37B0000}"/>
    <cellStyle name="Summa 11 2 2" xfId="11014" xr:uid="{00000000-0005-0000-0000-0000F47B0000}"/>
    <cellStyle name="Summa 11 2_DataIX" xfId="34921" xr:uid="{00000000-0005-0000-0000-0000F57B0000}"/>
    <cellStyle name="Summa 11 3" xfId="21010" xr:uid="{00000000-0005-0000-0000-0000F67B0000}"/>
    <cellStyle name="Summa 11 3 2" xfId="22215" xr:uid="{00000000-0005-0000-0000-0000F77B0000}"/>
    <cellStyle name="Summa 11 3_DataIX" xfId="34922" xr:uid="{00000000-0005-0000-0000-0000F87B0000}"/>
    <cellStyle name="Summa 11 4" xfId="21695" xr:uid="{00000000-0005-0000-0000-0000F97B0000}"/>
    <cellStyle name="Summa 11 5" xfId="25036" xr:uid="{00000000-0005-0000-0000-0000FA7B0000}"/>
    <cellStyle name="Summa 11 6" xfId="26909" xr:uid="{00000000-0005-0000-0000-0000FB7B0000}"/>
    <cellStyle name="Summa 11 7" xfId="27139" xr:uid="{00000000-0005-0000-0000-0000FC7B0000}"/>
    <cellStyle name="Summa 11_DataIX" xfId="34920" xr:uid="{00000000-0005-0000-0000-0000FD7B0000}"/>
    <cellStyle name="Summa 12" xfId="13315" xr:uid="{00000000-0005-0000-0000-0000FE7B0000}"/>
    <cellStyle name="Summa 12 2" xfId="20903" xr:uid="{00000000-0005-0000-0000-0000FF7B0000}"/>
    <cellStyle name="Summa 12 2 2" xfId="12755" xr:uid="{00000000-0005-0000-0000-0000007C0000}"/>
    <cellStyle name="Summa 12 2_DataIX" xfId="34924" xr:uid="{00000000-0005-0000-0000-0000017C0000}"/>
    <cellStyle name="Summa 12 3" xfId="21289" xr:uid="{00000000-0005-0000-0000-0000027C0000}"/>
    <cellStyle name="Summa 12 3 2" xfId="21567" xr:uid="{00000000-0005-0000-0000-0000037C0000}"/>
    <cellStyle name="Summa 12 3_DataIX" xfId="34925" xr:uid="{00000000-0005-0000-0000-0000047C0000}"/>
    <cellStyle name="Summa 12 4" xfId="11035" xr:uid="{00000000-0005-0000-0000-0000057C0000}"/>
    <cellStyle name="Summa 12 5" xfId="26195" xr:uid="{00000000-0005-0000-0000-0000067C0000}"/>
    <cellStyle name="Summa 12 6" xfId="27375" xr:uid="{00000000-0005-0000-0000-0000077C0000}"/>
    <cellStyle name="Summa 12 7" xfId="27610" xr:uid="{00000000-0005-0000-0000-0000087C0000}"/>
    <cellStyle name="Summa 12_DataIX" xfId="34923" xr:uid="{00000000-0005-0000-0000-0000097C0000}"/>
    <cellStyle name="Summa 13" xfId="13265" xr:uid="{00000000-0005-0000-0000-00000A7C0000}"/>
    <cellStyle name="Summa 13 2" xfId="21242" xr:uid="{00000000-0005-0000-0000-00000B7C0000}"/>
    <cellStyle name="Summa 13 2 2" xfId="21907" xr:uid="{00000000-0005-0000-0000-00000C7C0000}"/>
    <cellStyle name="Summa 13 2_DataIX" xfId="34927" xr:uid="{00000000-0005-0000-0000-00000D7C0000}"/>
    <cellStyle name="Summa 13 3" xfId="13734" xr:uid="{00000000-0005-0000-0000-00000E7C0000}"/>
    <cellStyle name="Summa 13 4" xfId="26600" xr:uid="{00000000-0005-0000-0000-00000F7C0000}"/>
    <cellStyle name="Summa 13 5" xfId="27547" xr:uid="{00000000-0005-0000-0000-0000107C0000}"/>
    <cellStyle name="Summa 13 6" xfId="27194" xr:uid="{00000000-0005-0000-0000-0000117C0000}"/>
    <cellStyle name="Summa 13_DataIX" xfId="34926" xr:uid="{00000000-0005-0000-0000-0000127C0000}"/>
    <cellStyle name="Summa 14" xfId="20267" xr:uid="{00000000-0005-0000-0000-0000137C0000}"/>
    <cellStyle name="Summa 14 2" xfId="20655" xr:uid="{00000000-0005-0000-0000-0000147C0000}"/>
    <cellStyle name="Summa 14_DataIX" xfId="34928" xr:uid="{00000000-0005-0000-0000-0000157C0000}"/>
    <cellStyle name="Summa 2" xfId="243" xr:uid="{00000000-0005-0000-0000-0000167C0000}"/>
    <cellStyle name="Summa 2 10" xfId="5325" xr:uid="{00000000-0005-0000-0000-0000177C0000}"/>
    <cellStyle name="Summa 2 10 2" xfId="12864" xr:uid="{00000000-0005-0000-0000-0000187C0000}"/>
    <cellStyle name="Summa 2 10 3" xfId="18649" xr:uid="{00000000-0005-0000-0000-0000197C0000}"/>
    <cellStyle name="Summa 2 10 3 2" xfId="10820" xr:uid="{00000000-0005-0000-0000-00001A7C0000}"/>
    <cellStyle name="Summa 2 10 3_DataIX" xfId="34930" xr:uid="{00000000-0005-0000-0000-00001B7C0000}"/>
    <cellStyle name="Summa 2 10 4" xfId="20494" xr:uid="{00000000-0005-0000-0000-00001C7C0000}"/>
    <cellStyle name="Summa 2 10 4 2" xfId="13476" xr:uid="{00000000-0005-0000-0000-00001D7C0000}"/>
    <cellStyle name="Summa 2 10 4_DataIX" xfId="34931" xr:uid="{00000000-0005-0000-0000-00001E7C0000}"/>
    <cellStyle name="Summa 2 10_DataIX" xfId="34929" xr:uid="{00000000-0005-0000-0000-00001F7C0000}"/>
    <cellStyle name="Summa 2 11" xfId="13384" xr:uid="{00000000-0005-0000-0000-0000207C0000}"/>
    <cellStyle name="Summa 2 11 2" xfId="20942" xr:uid="{00000000-0005-0000-0000-0000217C0000}"/>
    <cellStyle name="Summa 2 11 2 2" xfId="10990" xr:uid="{00000000-0005-0000-0000-0000227C0000}"/>
    <cellStyle name="Summa 2 11 2_DataIX" xfId="34933" xr:uid="{00000000-0005-0000-0000-0000237C0000}"/>
    <cellStyle name="Summa 2 11 3" xfId="21339" xr:uid="{00000000-0005-0000-0000-0000247C0000}"/>
    <cellStyle name="Summa 2 11 3 2" xfId="22150" xr:uid="{00000000-0005-0000-0000-0000257C0000}"/>
    <cellStyle name="Summa 2 11 3_DataIX" xfId="34934" xr:uid="{00000000-0005-0000-0000-0000267C0000}"/>
    <cellStyle name="Summa 2 11 4" xfId="22020" xr:uid="{00000000-0005-0000-0000-0000277C0000}"/>
    <cellStyle name="Summa 2 11 5" xfId="25205" xr:uid="{00000000-0005-0000-0000-0000287C0000}"/>
    <cellStyle name="Summa 2 11 6" xfId="26987" xr:uid="{00000000-0005-0000-0000-0000297C0000}"/>
    <cellStyle name="Summa 2 11 7" xfId="27624" xr:uid="{00000000-0005-0000-0000-00002A7C0000}"/>
    <cellStyle name="Summa 2 11_DataIX" xfId="34932" xr:uid="{00000000-0005-0000-0000-00002B7C0000}"/>
    <cellStyle name="Summa 2 12" xfId="13175" xr:uid="{00000000-0005-0000-0000-00002C7C0000}"/>
    <cellStyle name="Summa 2 12 2" xfId="21174" xr:uid="{00000000-0005-0000-0000-00002D7C0000}"/>
    <cellStyle name="Summa 2 12 2 2" xfId="13525" xr:uid="{00000000-0005-0000-0000-00002E7C0000}"/>
    <cellStyle name="Summa 2 12 2_DataIX" xfId="34936" xr:uid="{00000000-0005-0000-0000-00002F7C0000}"/>
    <cellStyle name="Summa 2 12 3" xfId="21829" xr:uid="{00000000-0005-0000-0000-0000307C0000}"/>
    <cellStyle name="Summa 2 12 4" xfId="26469" xr:uid="{00000000-0005-0000-0000-0000317C0000}"/>
    <cellStyle name="Summa 2 12 5" xfId="27489" xr:uid="{00000000-0005-0000-0000-0000327C0000}"/>
    <cellStyle name="Summa 2 12 6" xfId="22854" xr:uid="{00000000-0005-0000-0000-0000337C0000}"/>
    <cellStyle name="Summa 2 12_DataIX" xfId="34935" xr:uid="{00000000-0005-0000-0000-0000347C0000}"/>
    <cellStyle name="Summa 2 13" xfId="20307" xr:uid="{00000000-0005-0000-0000-0000357C0000}"/>
    <cellStyle name="Summa 2 13 2" xfId="12724" xr:uid="{00000000-0005-0000-0000-0000367C0000}"/>
    <cellStyle name="Summa 2 13 3" xfId="26570" xr:uid="{00000000-0005-0000-0000-0000377C0000}"/>
    <cellStyle name="Summa 2 13 4" xfId="27531" xr:uid="{00000000-0005-0000-0000-0000387C0000}"/>
    <cellStyle name="Summa 2 13 5" xfId="23078" xr:uid="{00000000-0005-0000-0000-0000397C0000}"/>
    <cellStyle name="Summa 2 13_DataIX" xfId="34937" xr:uid="{00000000-0005-0000-0000-00003A7C0000}"/>
    <cellStyle name="Summa 2 14" xfId="20634" xr:uid="{00000000-0005-0000-0000-00003B7C0000}"/>
    <cellStyle name="Summa 2 15" xfId="22361" xr:uid="{00000000-0005-0000-0000-00003C7C0000}"/>
    <cellStyle name="Summa 2 16" xfId="22556" xr:uid="{00000000-0005-0000-0000-00003D7C0000}"/>
    <cellStyle name="Summa 2 17" xfId="22482" xr:uid="{00000000-0005-0000-0000-00003E7C0000}"/>
    <cellStyle name="Summa 2 18" xfId="22409" xr:uid="{00000000-0005-0000-0000-00003F7C0000}"/>
    <cellStyle name="Summa 2 19" xfId="27935" xr:uid="{00000000-0005-0000-0000-0000407C0000}"/>
    <cellStyle name="Summa 2 2" xfId="261" xr:uid="{00000000-0005-0000-0000-0000417C0000}"/>
    <cellStyle name="Summa 2 2 10" xfId="13429" xr:uid="{00000000-0005-0000-0000-0000427C0000}"/>
    <cellStyle name="Summa 2 2 10 2" xfId="21365" xr:uid="{00000000-0005-0000-0000-0000437C0000}"/>
    <cellStyle name="Summa 2 2 10 2 2" xfId="11107" xr:uid="{00000000-0005-0000-0000-0000447C0000}"/>
    <cellStyle name="Summa 2 2 10 2_DataIX" xfId="34939" xr:uid="{00000000-0005-0000-0000-0000457C0000}"/>
    <cellStyle name="Summa 2 2 10 3" xfId="11272" xr:uid="{00000000-0005-0000-0000-0000467C0000}"/>
    <cellStyle name="Summa 2 2 10 4" xfId="26446" xr:uid="{00000000-0005-0000-0000-0000477C0000}"/>
    <cellStyle name="Summa 2 2 10 5" xfId="27475" xr:uid="{00000000-0005-0000-0000-0000487C0000}"/>
    <cellStyle name="Summa 2 2 10 6" xfId="27629" xr:uid="{00000000-0005-0000-0000-0000497C0000}"/>
    <cellStyle name="Summa 2 2 10_DataIX" xfId="34938" xr:uid="{00000000-0005-0000-0000-00004A7C0000}"/>
    <cellStyle name="Summa 2 2 11" xfId="13835" xr:uid="{00000000-0005-0000-0000-00004B7C0000}"/>
    <cellStyle name="Summa 2 2 11 2" xfId="13621" xr:uid="{00000000-0005-0000-0000-00004C7C0000}"/>
    <cellStyle name="Summa 2 2 11 3" xfId="25501" xr:uid="{00000000-0005-0000-0000-00004D7C0000}"/>
    <cellStyle name="Summa 2 2 11 4" xfId="27125" xr:uid="{00000000-0005-0000-0000-00004E7C0000}"/>
    <cellStyle name="Summa 2 2 11 5" xfId="27436" xr:uid="{00000000-0005-0000-0000-00004F7C0000}"/>
    <cellStyle name="Summa 2 2 11_DataIX" xfId="34940" xr:uid="{00000000-0005-0000-0000-0000507C0000}"/>
    <cellStyle name="Summa 2 2 12" xfId="20299" xr:uid="{00000000-0005-0000-0000-0000517C0000}"/>
    <cellStyle name="Summa 2 2 12 2" xfId="21975" xr:uid="{00000000-0005-0000-0000-0000527C0000}"/>
    <cellStyle name="Summa 2 2 12_DataIX" xfId="34941" xr:uid="{00000000-0005-0000-0000-0000537C0000}"/>
    <cellStyle name="Summa 2 2 13" xfId="11100" xr:uid="{00000000-0005-0000-0000-0000547C0000}"/>
    <cellStyle name="Summa 2 2 14" xfId="22362" xr:uid="{00000000-0005-0000-0000-0000557C0000}"/>
    <cellStyle name="Summa 2 2 15" xfId="22555" xr:uid="{00000000-0005-0000-0000-0000567C0000}"/>
    <cellStyle name="Summa 2 2 16" xfId="22668" xr:uid="{00000000-0005-0000-0000-0000577C0000}"/>
    <cellStyle name="Summa 2 2 17" xfId="22454" xr:uid="{00000000-0005-0000-0000-0000587C0000}"/>
    <cellStyle name="Summa 2 2 18" xfId="27936" xr:uid="{00000000-0005-0000-0000-0000597C0000}"/>
    <cellStyle name="Summa 2 2 19" xfId="28010" xr:uid="{00000000-0005-0000-0000-00005A7C0000}"/>
    <cellStyle name="Summa 2 2 2" xfId="315" xr:uid="{00000000-0005-0000-0000-00005B7C0000}"/>
    <cellStyle name="Summa 2 2 2 10" xfId="13879" xr:uid="{00000000-0005-0000-0000-00005C7C0000}"/>
    <cellStyle name="Summa 2 2 2 10 2" xfId="11087" xr:uid="{00000000-0005-0000-0000-00005D7C0000}"/>
    <cellStyle name="Summa 2 2 2 10 3" xfId="25422" xr:uid="{00000000-0005-0000-0000-00005E7C0000}"/>
    <cellStyle name="Summa 2 2 2 10 4" xfId="27092" xr:uid="{00000000-0005-0000-0000-00005F7C0000}"/>
    <cellStyle name="Summa 2 2 2 10 5" xfId="27401" xr:uid="{00000000-0005-0000-0000-0000607C0000}"/>
    <cellStyle name="Summa 2 2 2 10_DataIX" xfId="34942" xr:uid="{00000000-0005-0000-0000-0000617C0000}"/>
    <cellStyle name="Summa 2 2 2 11" xfId="20281" xr:uid="{00000000-0005-0000-0000-0000627C0000}"/>
    <cellStyle name="Summa 2 2 2 11 2" xfId="13464" xr:uid="{00000000-0005-0000-0000-0000637C0000}"/>
    <cellStyle name="Summa 2 2 2 11 3" xfId="26423" xr:uid="{00000000-0005-0000-0000-0000647C0000}"/>
    <cellStyle name="Summa 2 2 2 11 4" xfId="27465" xr:uid="{00000000-0005-0000-0000-0000657C0000}"/>
    <cellStyle name="Summa 2 2 2 11 5" xfId="23049" xr:uid="{00000000-0005-0000-0000-0000667C0000}"/>
    <cellStyle name="Summa 2 2 2 11_DataIX" xfId="34943" xr:uid="{00000000-0005-0000-0000-0000677C0000}"/>
    <cellStyle name="Summa 2 2 2 12" xfId="11299" xr:uid="{00000000-0005-0000-0000-0000687C0000}"/>
    <cellStyle name="Summa 2 2 2 13" xfId="10664" xr:uid="{00000000-0005-0000-0000-0000697C0000}"/>
    <cellStyle name="Summa 2 2 2 14" xfId="22363" xr:uid="{00000000-0005-0000-0000-00006A7C0000}"/>
    <cellStyle name="Summa 2 2 2 15" xfId="22554" xr:uid="{00000000-0005-0000-0000-00006B7C0000}"/>
    <cellStyle name="Summa 2 2 2 16" xfId="22702" xr:uid="{00000000-0005-0000-0000-00006C7C0000}"/>
    <cellStyle name="Summa 2 2 2 17" xfId="22455" xr:uid="{00000000-0005-0000-0000-00006D7C0000}"/>
    <cellStyle name="Summa 2 2 2 18" xfId="27937" xr:uid="{00000000-0005-0000-0000-00006E7C0000}"/>
    <cellStyle name="Summa 2 2 2 19" xfId="28009" xr:uid="{00000000-0005-0000-0000-00006F7C0000}"/>
    <cellStyle name="Summa 2 2 2 2" xfId="5210" xr:uid="{00000000-0005-0000-0000-0000707C0000}"/>
    <cellStyle name="Summa 2 2 2 2 2" xfId="10430" xr:uid="{00000000-0005-0000-0000-0000717C0000}"/>
    <cellStyle name="Summa 2 2 2 2 3" xfId="18540" xr:uid="{00000000-0005-0000-0000-0000727C0000}"/>
    <cellStyle name="Summa 2 2 2 2 3 2" xfId="22094" xr:uid="{00000000-0005-0000-0000-0000737C0000}"/>
    <cellStyle name="Summa 2 2 2 2 3_DataIX" xfId="34945" xr:uid="{00000000-0005-0000-0000-0000747C0000}"/>
    <cellStyle name="Summa 2 2 2 2 4" xfId="20520" xr:uid="{00000000-0005-0000-0000-0000757C0000}"/>
    <cellStyle name="Summa 2 2 2 2 4 2" xfId="13513" xr:uid="{00000000-0005-0000-0000-0000767C0000}"/>
    <cellStyle name="Summa 2 2 2 2 4_DataIX" xfId="34946" xr:uid="{00000000-0005-0000-0000-0000777C0000}"/>
    <cellStyle name="Summa 2 2 2 2_DataIX" xfId="34944" xr:uid="{00000000-0005-0000-0000-0000787C0000}"/>
    <cellStyle name="Summa 2 2 2 20" xfId="28270" xr:uid="{00000000-0005-0000-0000-0000797C0000}"/>
    <cellStyle name="Summa 2 2 2 21" xfId="28376" xr:uid="{00000000-0005-0000-0000-00007A7C0000}"/>
    <cellStyle name="Summa 2 2 2 22" xfId="28465" xr:uid="{00000000-0005-0000-0000-00007B7C0000}"/>
    <cellStyle name="Summa 2 2 2 23" xfId="28324" xr:uid="{00000000-0005-0000-0000-00007C7C0000}"/>
    <cellStyle name="Summa 2 2 2 24" xfId="28764" xr:uid="{00000000-0005-0000-0000-00007D7C0000}"/>
    <cellStyle name="Summa 2 2 2 25" xfId="28913" xr:uid="{00000000-0005-0000-0000-00007E7C0000}"/>
    <cellStyle name="Summa 2 2 2 26" xfId="28688" xr:uid="{00000000-0005-0000-0000-00007F7C0000}"/>
    <cellStyle name="Summa 2 2 2 27" xfId="28843" xr:uid="{00000000-0005-0000-0000-0000807C0000}"/>
    <cellStyle name="Summa 2 2 2 28" xfId="29071" xr:uid="{00000000-0005-0000-0000-0000817C0000}"/>
    <cellStyle name="Summa 2 2 2 29" xfId="29139" xr:uid="{00000000-0005-0000-0000-0000827C0000}"/>
    <cellStyle name="Summa 2 2 2 3" xfId="5377" xr:uid="{00000000-0005-0000-0000-0000837C0000}"/>
    <cellStyle name="Summa 2 2 2 3 2" xfId="12865" xr:uid="{00000000-0005-0000-0000-0000847C0000}"/>
    <cellStyle name="Summa 2 2 2 3 3" xfId="18701" xr:uid="{00000000-0005-0000-0000-0000857C0000}"/>
    <cellStyle name="Summa 2 2 2 3 3 2" xfId="20695" xr:uid="{00000000-0005-0000-0000-0000867C0000}"/>
    <cellStyle name="Summa 2 2 2 3 3_DataIX" xfId="34948" xr:uid="{00000000-0005-0000-0000-0000877C0000}"/>
    <cellStyle name="Summa 2 2 2 3 4" xfId="18995" xr:uid="{00000000-0005-0000-0000-0000887C0000}"/>
    <cellStyle name="Summa 2 2 2 3 4 2" xfId="22247" xr:uid="{00000000-0005-0000-0000-0000897C0000}"/>
    <cellStyle name="Summa 2 2 2 3 4_DataIX" xfId="34949" xr:uid="{00000000-0005-0000-0000-00008A7C0000}"/>
    <cellStyle name="Summa 2 2 2 3_DataIX" xfId="34947" xr:uid="{00000000-0005-0000-0000-00008B7C0000}"/>
    <cellStyle name="Summa 2 2 2 4" xfId="13284" xr:uid="{00000000-0005-0000-0000-00008C7C0000}"/>
    <cellStyle name="Summa 2 2 2 4 2" xfId="20873" xr:uid="{00000000-0005-0000-0000-00008D7C0000}"/>
    <cellStyle name="Summa 2 2 2 4 2 2" xfId="21908" xr:uid="{00000000-0005-0000-0000-00008E7C0000}"/>
    <cellStyle name="Summa 2 2 2 4 2_DataIX" xfId="34951" xr:uid="{00000000-0005-0000-0000-00008F7C0000}"/>
    <cellStyle name="Summa 2 2 2 4 3" xfId="21261" xr:uid="{00000000-0005-0000-0000-0000907C0000}"/>
    <cellStyle name="Summa 2 2 2 4 3 2" xfId="10931" xr:uid="{00000000-0005-0000-0000-0000917C0000}"/>
    <cellStyle name="Summa 2 2 2 4 3_DataIX" xfId="34952" xr:uid="{00000000-0005-0000-0000-0000927C0000}"/>
    <cellStyle name="Summa 2 2 2 4 4" xfId="13488" xr:uid="{00000000-0005-0000-0000-0000937C0000}"/>
    <cellStyle name="Summa 2 2 2 4 5" xfId="25207" xr:uid="{00000000-0005-0000-0000-0000947C0000}"/>
    <cellStyle name="Summa 2 2 2 4 6" xfId="26989" xr:uid="{00000000-0005-0000-0000-0000957C0000}"/>
    <cellStyle name="Summa 2 2 2 4 7" xfId="23030" xr:uid="{00000000-0005-0000-0000-0000967C0000}"/>
    <cellStyle name="Summa 2 2 2 4_DataIX" xfId="34950" xr:uid="{00000000-0005-0000-0000-0000977C0000}"/>
    <cellStyle name="Summa 2 2 2 5" xfId="13231" xr:uid="{00000000-0005-0000-0000-0000987C0000}"/>
    <cellStyle name="Summa 2 2 2 5 2" xfId="20841" xr:uid="{00000000-0005-0000-0000-0000997C0000}"/>
    <cellStyle name="Summa 2 2 2 5 2 2" xfId="21426" xr:uid="{00000000-0005-0000-0000-00009A7C0000}"/>
    <cellStyle name="Summa 2 2 2 5 2_DataIX" xfId="34954" xr:uid="{00000000-0005-0000-0000-00009B7C0000}"/>
    <cellStyle name="Summa 2 2 2 5 3" xfId="21217" xr:uid="{00000000-0005-0000-0000-00009C7C0000}"/>
    <cellStyle name="Summa 2 2 2 5 3 2" xfId="10984" xr:uid="{00000000-0005-0000-0000-00009D7C0000}"/>
    <cellStyle name="Summa 2 2 2 5 3_DataIX" xfId="34955" xr:uid="{00000000-0005-0000-0000-00009E7C0000}"/>
    <cellStyle name="Summa 2 2 2 5 4" xfId="13567" xr:uid="{00000000-0005-0000-0000-00009F7C0000}"/>
    <cellStyle name="Summa 2 2 2 5 5" xfId="26119" xr:uid="{00000000-0005-0000-0000-0000A07C0000}"/>
    <cellStyle name="Summa 2 2 2 5 6" xfId="27339" xr:uid="{00000000-0005-0000-0000-0000A17C0000}"/>
    <cellStyle name="Summa 2 2 2 5 7" xfId="22956" xr:uid="{00000000-0005-0000-0000-0000A27C0000}"/>
    <cellStyle name="Summa 2 2 2 5_DataIX" xfId="34953" xr:uid="{00000000-0005-0000-0000-0000A37C0000}"/>
    <cellStyle name="Summa 2 2 2 6" xfId="13359" xr:uid="{00000000-0005-0000-0000-0000A47C0000}"/>
    <cellStyle name="Summa 2 2 2 6 2" xfId="21319" xr:uid="{00000000-0005-0000-0000-0000A57C0000}"/>
    <cellStyle name="Summa 2 2 2 6 2 2" xfId="13770" xr:uid="{00000000-0005-0000-0000-0000A67C0000}"/>
    <cellStyle name="Summa 2 2 2 6 2_DataIX" xfId="34957" xr:uid="{00000000-0005-0000-0000-0000A77C0000}"/>
    <cellStyle name="Summa 2 2 2 6 3" xfId="13459" xr:uid="{00000000-0005-0000-0000-0000A87C0000}"/>
    <cellStyle name="Summa 2 2 2 6 4" xfId="26349" xr:uid="{00000000-0005-0000-0000-0000A97C0000}"/>
    <cellStyle name="Summa 2 2 2 6 5" xfId="27439" xr:uid="{00000000-0005-0000-0000-0000AA7C0000}"/>
    <cellStyle name="Summa 2 2 2 6 6" xfId="27193" xr:uid="{00000000-0005-0000-0000-0000AB7C0000}"/>
    <cellStyle name="Summa 2 2 2 6_DataIX" xfId="34956" xr:uid="{00000000-0005-0000-0000-0000AC7C0000}"/>
    <cellStyle name="Summa 2 2 2 7" xfId="10736" xr:uid="{00000000-0005-0000-0000-0000AD7C0000}"/>
    <cellStyle name="Summa 2 2 2 7 2" xfId="21048" xr:uid="{00000000-0005-0000-0000-0000AE7C0000}"/>
    <cellStyle name="Summa 2 2 2 7 2 2" xfId="20669" xr:uid="{00000000-0005-0000-0000-0000AF7C0000}"/>
    <cellStyle name="Summa 2 2 2 7 2_DataIX" xfId="34959" xr:uid="{00000000-0005-0000-0000-0000B07C0000}"/>
    <cellStyle name="Summa 2 2 2 7 3" xfId="11190" xr:uid="{00000000-0005-0000-0000-0000B17C0000}"/>
    <cellStyle name="Summa 2 2 2 7 4" xfId="25947" xr:uid="{00000000-0005-0000-0000-0000B27C0000}"/>
    <cellStyle name="Summa 2 2 2 7 5" xfId="27275" xr:uid="{00000000-0005-0000-0000-0000B37C0000}"/>
    <cellStyle name="Summa 2 2 2 7 6" xfId="23069" xr:uid="{00000000-0005-0000-0000-0000B47C0000}"/>
    <cellStyle name="Summa 2 2 2 7_DataIX" xfId="34958" xr:uid="{00000000-0005-0000-0000-0000B57C0000}"/>
    <cellStyle name="Summa 2 2 2 8" xfId="12809" xr:uid="{00000000-0005-0000-0000-0000B67C0000}"/>
    <cellStyle name="Summa 2 2 2 8 2" xfId="21102" xr:uid="{00000000-0005-0000-0000-0000B77C0000}"/>
    <cellStyle name="Summa 2 2 2 8 2 2" xfId="11257" xr:uid="{00000000-0005-0000-0000-0000B87C0000}"/>
    <cellStyle name="Summa 2 2 2 8 2_DataIX" xfId="34961" xr:uid="{00000000-0005-0000-0000-0000B97C0000}"/>
    <cellStyle name="Summa 2 2 2 8 3" xfId="21533" xr:uid="{00000000-0005-0000-0000-0000BA7C0000}"/>
    <cellStyle name="Summa 2 2 2 8 4" xfId="25578" xr:uid="{00000000-0005-0000-0000-0000BB7C0000}"/>
    <cellStyle name="Summa 2 2 2 8 5" xfId="27154" xr:uid="{00000000-0005-0000-0000-0000BC7C0000}"/>
    <cellStyle name="Summa 2 2 2 8 6" xfId="23105" xr:uid="{00000000-0005-0000-0000-0000BD7C0000}"/>
    <cellStyle name="Summa 2 2 2 8_DataIX" xfId="34960" xr:uid="{00000000-0005-0000-0000-0000BE7C0000}"/>
    <cellStyle name="Summa 2 2 2 9" xfId="10909" xr:uid="{00000000-0005-0000-0000-0000BF7C0000}"/>
    <cellStyle name="Summa 2 2 2 9 2" xfId="21070" xr:uid="{00000000-0005-0000-0000-0000C07C0000}"/>
    <cellStyle name="Summa 2 2 2 9 2 2" xfId="22197" xr:uid="{00000000-0005-0000-0000-0000C17C0000}"/>
    <cellStyle name="Summa 2 2 2 9 2_DataIX" xfId="34963" xr:uid="{00000000-0005-0000-0000-0000C27C0000}"/>
    <cellStyle name="Summa 2 2 2 9 3" xfId="20633" xr:uid="{00000000-0005-0000-0000-0000C37C0000}"/>
    <cellStyle name="Summa 2 2 2 9 4" xfId="25318" xr:uid="{00000000-0005-0000-0000-0000C47C0000}"/>
    <cellStyle name="Summa 2 2 2 9 5" xfId="27047" xr:uid="{00000000-0005-0000-0000-0000C57C0000}"/>
    <cellStyle name="Summa 2 2 2 9 6" xfId="27591" xr:uid="{00000000-0005-0000-0000-0000C67C0000}"/>
    <cellStyle name="Summa 2 2 2 9_DataIX" xfId="34962" xr:uid="{00000000-0005-0000-0000-0000C77C0000}"/>
    <cellStyle name="Summa 2 2 2_##Keskeiset" xfId="10429" xr:uid="{00000000-0005-0000-0000-0000C87C0000}"/>
    <cellStyle name="Summa 2 2 20" xfId="28269" xr:uid="{00000000-0005-0000-0000-0000C97C0000}"/>
    <cellStyle name="Summa 2 2 21" xfId="28377" xr:uid="{00000000-0005-0000-0000-0000CA7C0000}"/>
    <cellStyle name="Summa 2 2 22" xfId="28433" xr:uid="{00000000-0005-0000-0000-0000CB7C0000}"/>
    <cellStyle name="Summa 2 2 23" xfId="28325" xr:uid="{00000000-0005-0000-0000-0000CC7C0000}"/>
    <cellStyle name="Summa 2 2 24" xfId="28765" xr:uid="{00000000-0005-0000-0000-0000CD7C0000}"/>
    <cellStyle name="Summa 2 2 25" xfId="28914" xr:uid="{00000000-0005-0000-0000-0000CE7C0000}"/>
    <cellStyle name="Summa 2 2 26" xfId="28965" xr:uid="{00000000-0005-0000-0000-0000CF7C0000}"/>
    <cellStyle name="Summa 2 2 27" xfId="28844" xr:uid="{00000000-0005-0000-0000-0000D07C0000}"/>
    <cellStyle name="Summa 2 2 28" xfId="29070" xr:uid="{00000000-0005-0000-0000-0000D17C0000}"/>
    <cellStyle name="Summa 2 2 29" xfId="29140" xr:uid="{00000000-0005-0000-0000-0000D27C0000}"/>
    <cellStyle name="Summa 2 2 3" xfId="5211" xr:uid="{00000000-0005-0000-0000-0000D37C0000}"/>
    <cellStyle name="Summa 2 2 3 2" xfId="5687" xr:uid="{00000000-0005-0000-0000-0000D47C0000}"/>
    <cellStyle name="Summa 2 2 3 2 2" xfId="12866" xr:uid="{00000000-0005-0000-0000-0000D57C0000}"/>
    <cellStyle name="Summa 2 2 3 2 3" xfId="18901" xr:uid="{00000000-0005-0000-0000-0000D67C0000}"/>
    <cellStyle name="Summa 2 2 3 2 3 2" xfId="11297" xr:uid="{00000000-0005-0000-0000-0000D77C0000}"/>
    <cellStyle name="Summa 2 2 3 2 3_DataIX" xfId="34966" xr:uid="{00000000-0005-0000-0000-0000D87C0000}"/>
    <cellStyle name="Summa 2 2 3 2 4" xfId="18945" xr:uid="{00000000-0005-0000-0000-0000D97C0000}"/>
    <cellStyle name="Summa 2 2 3 2 4 2" xfId="21404" xr:uid="{00000000-0005-0000-0000-0000DA7C0000}"/>
    <cellStyle name="Summa 2 2 3 2 4_DataIX" xfId="34967" xr:uid="{00000000-0005-0000-0000-0000DB7C0000}"/>
    <cellStyle name="Summa 2 2 3 2_DataIX" xfId="34965" xr:uid="{00000000-0005-0000-0000-0000DC7C0000}"/>
    <cellStyle name="Summa 2 2 3 3" xfId="11173" xr:uid="{00000000-0005-0000-0000-0000DD7C0000}"/>
    <cellStyle name="Summa 2 2 3 4" xfId="18541" xr:uid="{00000000-0005-0000-0000-0000DE7C0000}"/>
    <cellStyle name="Summa 2 2 3 4 2" xfId="22026" xr:uid="{00000000-0005-0000-0000-0000DF7C0000}"/>
    <cellStyle name="Summa 2 2 3 4_DataIX" xfId="34968" xr:uid="{00000000-0005-0000-0000-0000E07C0000}"/>
    <cellStyle name="Summa 2 2 3 5" xfId="20532" xr:uid="{00000000-0005-0000-0000-0000E17C0000}"/>
    <cellStyle name="Summa 2 2 3 5 2" xfId="21524" xr:uid="{00000000-0005-0000-0000-0000E27C0000}"/>
    <cellStyle name="Summa 2 2 3 5_DataIX" xfId="34969" xr:uid="{00000000-0005-0000-0000-0000E37C0000}"/>
    <cellStyle name="Summa 2 2 3_DataIX" xfId="34964" xr:uid="{00000000-0005-0000-0000-0000E47C0000}"/>
    <cellStyle name="Summa 2 2 4" xfId="5376" xr:uid="{00000000-0005-0000-0000-0000E57C0000}"/>
    <cellStyle name="Summa 2 2 4 2" xfId="12867" xr:uid="{00000000-0005-0000-0000-0000E67C0000}"/>
    <cellStyle name="Summa 2 2 4 3" xfId="18700" xr:uid="{00000000-0005-0000-0000-0000E77C0000}"/>
    <cellStyle name="Summa 2 2 4 3 2" xfId="21947" xr:uid="{00000000-0005-0000-0000-0000E87C0000}"/>
    <cellStyle name="Summa 2 2 4 3_DataIX" xfId="34971" xr:uid="{00000000-0005-0000-0000-0000E97C0000}"/>
    <cellStyle name="Summa 2 2 4 4" xfId="20477" xr:uid="{00000000-0005-0000-0000-0000EA7C0000}"/>
    <cellStyle name="Summa 2 2 4 4 2" xfId="22231" xr:uid="{00000000-0005-0000-0000-0000EB7C0000}"/>
    <cellStyle name="Summa 2 2 4 4_DataIX" xfId="34972" xr:uid="{00000000-0005-0000-0000-0000EC7C0000}"/>
    <cellStyle name="Summa 2 2 4_DataIX" xfId="34970" xr:uid="{00000000-0005-0000-0000-0000ED7C0000}"/>
    <cellStyle name="Summa 2 2 5" xfId="13285" xr:uid="{00000000-0005-0000-0000-0000EE7C0000}"/>
    <cellStyle name="Summa 2 2 5 2" xfId="20874" xr:uid="{00000000-0005-0000-0000-0000EF7C0000}"/>
    <cellStyle name="Summa 2 2 5 2 2" xfId="12627" xr:uid="{00000000-0005-0000-0000-0000F07C0000}"/>
    <cellStyle name="Summa 2 2 5 2_DataIX" xfId="34974" xr:uid="{00000000-0005-0000-0000-0000F17C0000}"/>
    <cellStyle name="Summa 2 2 5 3" xfId="21262" xr:uid="{00000000-0005-0000-0000-0000F27C0000}"/>
    <cellStyle name="Summa 2 2 5 3 2" xfId="13033" xr:uid="{00000000-0005-0000-0000-0000F37C0000}"/>
    <cellStyle name="Summa 2 2 5 3_DataIX" xfId="34975" xr:uid="{00000000-0005-0000-0000-0000F47C0000}"/>
    <cellStyle name="Summa 2 2 5 4" xfId="13501" xr:uid="{00000000-0005-0000-0000-0000F57C0000}"/>
    <cellStyle name="Summa 2 2 5 5" xfId="25206" xr:uid="{00000000-0005-0000-0000-0000F67C0000}"/>
    <cellStyle name="Summa 2 2 5 6" xfId="26988" xr:uid="{00000000-0005-0000-0000-0000F77C0000}"/>
    <cellStyle name="Summa 2 2 5 7" xfId="27256" xr:uid="{00000000-0005-0000-0000-0000F87C0000}"/>
    <cellStyle name="Summa 2 2 5_DataIX" xfId="34973" xr:uid="{00000000-0005-0000-0000-0000F97C0000}"/>
    <cellStyle name="Summa 2 2 6" xfId="13142" xr:uid="{00000000-0005-0000-0000-0000FA7C0000}"/>
    <cellStyle name="Summa 2 2 6 2" xfId="20782" xr:uid="{00000000-0005-0000-0000-0000FB7C0000}"/>
    <cellStyle name="Summa 2 2 6 2 2" xfId="22232" xr:uid="{00000000-0005-0000-0000-0000FC7C0000}"/>
    <cellStyle name="Summa 2 2 6 2_DataIX" xfId="34977" xr:uid="{00000000-0005-0000-0000-0000FD7C0000}"/>
    <cellStyle name="Summa 2 2 6 3" xfId="21147" xr:uid="{00000000-0005-0000-0000-0000FE7C0000}"/>
    <cellStyle name="Summa 2 2 6 3 2" xfId="21686" xr:uid="{00000000-0005-0000-0000-0000FF7C0000}"/>
    <cellStyle name="Summa 2 2 6 3_DataIX" xfId="34978" xr:uid="{00000000-0005-0000-0000-0000007D0000}"/>
    <cellStyle name="Summa 2 2 6 4" xfId="12564" xr:uid="{00000000-0005-0000-0000-0000017D0000}"/>
    <cellStyle name="Summa 2 2 6 5" xfId="26120" xr:uid="{00000000-0005-0000-0000-0000027D0000}"/>
    <cellStyle name="Summa 2 2 6 6" xfId="27340" xr:uid="{00000000-0005-0000-0000-0000037D0000}"/>
    <cellStyle name="Summa 2 2 6 7" xfId="26806" xr:uid="{00000000-0005-0000-0000-0000047D0000}"/>
    <cellStyle name="Summa 2 2 6_DataIX" xfId="34976" xr:uid="{00000000-0005-0000-0000-0000057D0000}"/>
    <cellStyle name="Summa 2 2 7" xfId="13242" xr:uid="{00000000-0005-0000-0000-0000067D0000}"/>
    <cellStyle name="Summa 2 2 7 2" xfId="21226" xr:uid="{00000000-0005-0000-0000-0000077D0000}"/>
    <cellStyle name="Summa 2 2 7 2 2" xfId="13727" xr:uid="{00000000-0005-0000-0000-0000087D0000}"/>
    <cellStyle name="Summa 2 2 7 2_DataIX" xfId="34980" xr:uid="{00000000-0005-0000-0000-0000097D0000}"/>
    <cellStyle name="Summa 2 2 7 3" xfId="13760" xr:uid="{00000000-0005-0000-0000-00000A7D0000}"/>
    <cellStyle name="Summa 2 2 7 4" xfId="25774" xr:uid="{00000000-0005-0000-0000-00000B7D0000}"/>
    <cellStyle name="Summa 2 2 7 5" xfId="27221" xr:uid="{00000000-0005-0000-0000-00000C7D0000}"/>
    <cellStyle name="Summa 2 2 7 6" xfId="22783" xr:uid="{00000000-0005-0000-0000-00000D7D0000}"/>
    <cellStyle name="Summa 2 2 7_DataIX" xfId="34979" xr:uid="{00000000-0005-0000-0000-00000E7D0000}"/>
    <cellStyle name="Summa 2 2 8" xfId="10735" xr:uid="{00000000-0005-0000-0000-00000F7D0000}"/>
    <cellStyle name="Summa 2 2 8 2" xfId="21047" xr:uid="{00000000-0005-0000-0000-0000107D0000}"/>
    <cellStyle name="Summa 2 2 8 2 2" xfId="13703" xr:uid="{00000000-0005-0000-0000-0000117D0000}"/>
    <cellStyle name="Summa 2 2 8 2_DataIX" xfId="34982" xr:uid="{00000000-0005-0000-0000-0000127D0000}"/>
    <cellStyle name="Summa 2 2 8 3" xfId="11203" xr:uid="{00000000-0005-0000-0000-0000137D0000}"/>
    <cellStyle name="Summa 2 2 8 4" xfId="25900" xr:uid="{00000000-0005-0000-0000-0000147D0000}"/>
    <cellStyle name="Summa 2 2 8 5" xfId="27262" xr:uid="{00000000-0005-0000-0000-0000157D0000}"/>
    <cellStyle name="Summa 2 2 8 6" xfId="26876" xr:uid="{00000000-0005-0000-0000-0000167D0000}"/>
    <cellStyle name="Summa 2 2 8_DataIX" xfId="34981" xr:uid="{00000000-0005-0000-0000-0000177D0000}"/>
    <cellStyle name="Summa 2 2 9" xfId="12810" xr:uid="{00000000-0005-0000-0000-0000187D0000}"/>
    <cellStyle name="Summa 2 2 9 2" xfId="21103" xr:uid="{00000000-0005-0000-0000-0000197D0000}"/>
    <cellStyle name="Summa 2 2 9 2 2" xfId="12603" xr:uid="{00000000-0005-0000-0000-00001A7D0000}"/>
    <cellStyle name="Summa 2 2 9 2_DataIX" xfId="34984" xr:uid="{00000000-0005-0000-0000-00001B7D0000}"/>
    <cellStyle name="Summa 2 2 9 3" xfId="21899" xr:uid="{00000000-0005-0000-0000-00001C7D0000}"/>
    <cellStyle name="Summa 2 2 9 4" xfId="25299" xr:uid="{00000000-0005-0000-0000-00001D7D0000}"/>
    <cellStyle name="Summa 2 2 9 5" xfId="27040" xr:uid="{00000000-0005-0000-0000-00001E7D0000}"/>
    <cellStyle name="Summa 2 2 9 6" xfId="23132" xr:uid="{00000000-0005-0000-0000-00001F7D0000}"/>
    <cellStyle name="Summa 2 2 9_DataIX" xfId="34983" xr:uid="{00000000-0005-0000-0000-0000207D0000}"/>
    <cellStyle name="Summa 2 2_##Keskeiset" xfId="10428" xr:uid="{00000000-0005-0000-0000-0000217D0000}"/>
    <cellStyle name="Summa 2 20" xfId="28011" xr:uid="{00000000-0005-0000-0000-0000227D0000}"/>
    <cellStyle name="Summa 2 21" xfId="28268" xr:uid="{00000000-0005-0000-0000-0000237D0000}"/>
    <cellStyle name="Summa 2 22" xfId="28378" xr:uid="{00000000-0005-0000-0000-0000247D0000}"/>
    <cellStyle name="Summa 2 23" xfId="28443" xr:uid="{00000000-0005-0000-0000-0000257D0000}"/>
    <cellStyle name="Summa 2 24" xfId="28326" xr:uid="{00000000-0005-0000-0000-0000267D0000}"/>
    <cellStyle name="Summa 2 25" xfId="28766" xr:uid="{00000000-0005-0000-0000-0000277D0000}"/>
    <cellStyle name="Summa 2 26" xfId="28915" xr:uid="{00000000-0005-0000-0000-0000287D0000}"/>
    <cellStyle name="Summa 2 27" xfId="28596" xr:uid="{00000000-0005-0000-0000-0000297D0000}"/>
    <cellStyle name="Summa 2 28" xfId="28845" xr:uid="{00000000-0005-0000-0000-00002A7D0000}"/>
    <cellStyle name="Summa 2 29" xfId="29069" xr:uid="{00000000-0005-0000-0000-00002B7D0000}"/>
    <cellStyle name="Summa 2 3" xfId="266" xr:uid="{00000000-0005-0000-0000-00002C7D0000}"/>
    <cellStyle name="Summa 2 3 10" xfId="13840" xr:uid="{00000000-0005-0000-0000-00002D7D0000}"/>
    <cellStyle name="Summa 2 3 10 2" xfId="11217" xr:uid="{00000000-0005-0000-0000-00002E7D0000}"/>
    <cellStyle name="Summa 2 3 10 3" xfId="26387" xr:uid="{00000000-0005-0000-0000-00002F7D0000}"/>
    <cellStyle name="Summa 2 3 10 4" xfId="27452" xr:uid="{00000000-0005-0000-0000-0000307D0000}"/>
    <cellStyle name="Summa 2 3 10 5" xfId="23100" xr:uid="{00000000-0005-0000-0000-0000317D0000}"/>
    <cellStyle name="Summa 2 3 10_DataIX" xfId="34985" xr:uid="{00000000-0005-0000-0000-0000327D0000}"/>
    <cellStyle name="Summa 2 3 11" xfId="20295" xr:uid="{00000000-0005-0000-0000-0000337D0000}"/>
    <cellStyle name="Summa 2 3 11 2" xfId="22040" xr:uid="{00000000-0005-0000-0000-0000347D0000}"/>
    <cellStyle name="Summa 2 3 11 3" xfId="25252" xr:uid="{00000000-0005-0000-0000-0000357D0000}"/>
    <cellStyle name="Summa 2 3 11 4" xfId="27020" xr:uid="{00000000-0005-0000-0000-0000367D0000}"/>
    <cellStyle name="Summa 2 3 11 5" xfId="27588" xr:uid="{00000000-0005-0000-0000-0000377D0000}"/>
    <cellStyle name="Summa 2 3 11_DataIX" xfId="34986" xr:uid="{00000000-0005-0000-0000-0000387D0000}"/>
    <cellStyle name="Summa 2 3 12" xfId="11340" xr:uid="{00000000-0005-0000-0000-0000397D0000}"/>
    <cellStyle name="Summa 2 3 13" xfId="21699" xr:uid="{00000000-0005-0000-0000-00003A7D0000}"/>
    <cellStyle name="Summa 2 3 14" xfId="22364" xr:uid="{00000000-0005-0000-0000-00003B7D0000}"/>
    <cellStyle name="Summa 2 3 15" xfId="22553" xr:uid="{00000000-0005-0000-0000-00003C7D0000}"/>
    <cellStyle name="Summa 2 3 16" xfId="22481" xr:uid="{00000000-0005-0000-0000-00003D7D0000}"/>
    <cellStyle name="Summa 2 3 17" xfId="22410" xr:uid="{00000000-0005-0000-0000-00003E7D0000}"/>
    <cellStyle name="Summa 2 3 18" xfId="27938" xr:uid="{00000000-0005-0000-0000-00003F7D0000}"/>
    <cellStyle name="Summa 2 3 19" xfId="28008" xr:uid="{00000000-0005-0000-0000-0000407D0000}"/>
    <cellStyle name="Summa 2 3 2" xfId="5209" xr:uid="{00000000-0005-0000-0000-0000417D0000}"/>
    <cellStyle name="Summa 2 3 2 2" xfId="10432" xr:uid="{00000000-0005-0000-0000-0000427D0000}"/>
    <cellStyle name="Summa 2 3 2 3" xfId="18539" xr:uid="{00000000-0005-0000-0000-0000437D0000}"/>
    <cellStyle name="Summa 2 3 2 3 2" xfId="13715" xr:uid="{00000000-0005-0000-0000-0000447D0000}"/>
    <cellStyle name="Summa 2 3 2 3_DataIX" xfId="34988" xr:uid="{00000000-0005-0000-0000-0000457D0000}"/>
    <cellStyle name="Summa 2 3 2 4" xfId="19054" xr:uid="{00000000-0005-0000-0000-0000467D0000}"/>
    <cellStyle name="Summa 2 3 2 4 2" xfId="10867" xr:uid="{00000000-0005-0000-0000-0000477D0000}"/>
    <cellStyle name="Summa 2 3 2 4_DataIX" xfId="34989" xr:uid="{00000000-0005-0000-0000-0000487D0000}"/>
    <cellStyle name="Summa 2 3 2_DataIX" xfId="34987" xr:uid="{00000000-0005-0000-0000-0000497D0000}"/>
    <cellStyle name="Summa 2 3 20" xfId="28271" xr:uid="{00000000-0005-0000-0000-00004A7D0000}"/>
    <cellStyle name="Summa 2 3 21" xfId="28375" xr:uid="{00000000-0005-0000-0000-00004B7D0000}"/>
    <cellStyle name="Summa 2 3 22" xfId="28358" xr:uid="{00000000-0005-0000-0000-00004C7D0000}"/>
    <cellStyle name="Summa 2 3 23" xfId="28323" xr:uid="{00000000-0005-0000-0000-00004D7D0000}"/>
    <cellStyle name="Summa 2 3 24" xfId="28763" xr:uid="{00000000-0005-0000-0000-00004E7D0000}"/>
    <cellStyle name="Summa 2 3 25" xfId="28912" xr:uid="{00000000-0005-0000-0000-00004F7D0000}"/>
    <cellStyle name="Summa 2 3 26" xfId="28889" xr:uid="{00000000-0005-0000-0000-0000507D0000}"/>
    <cellStyle name="Summa 2 3 27" xfId="28842" xr:uid="{00000000-0005-0000-0000-0000517D0000}"/>
    <cellStyle name="Summa 2 3 28" xfId="29072" xr:uid="{00000000-0005-0000-0000-0000527D0000}"/>
    <cellStyle name="Summa 2 3 29" xfId="28986" xr:uid="{00000000-0005-0000-0000-0000537D0000}"/>
    <cellStyle name="Summa 2 3 3" xfId="5378" xr:uid="{00000000-0005-0000-0000-0000547D0000}"/>
    <cellStyle name="Summa 2 3 3 2" xfId="12868" xr:uid="{00000000-0005-0000-0000-0000557D0000}"/>
    <cellStyle name="Summa 2 3 3 3" xfId="18702" xr:uid="{00000000-0005-0000-0000-0000567D0000}"/>
    <cellStyle name="Summa 2 3 3 3 2" xfId="13618" xr:uid="{00000000-0005-0000-0000-0000577D0000}"/>
    <cellStyle name="Summa 2 3 3 3_DataIX" xfId="34991" xr:uid="{00000000-0005-0000-0000-0000587D0000}"/>
    <cellStyle name="Summa 2 3 3 4" xfId="20475" xr:uid="{00000000-0005-0000-0000-0000597D0000}"/>
    <cellStyle name="Summa 2 3 3 4 2" xfId="10691" xr:uid="{00000000-0005-0000-0000-00005A7D0000}"/>
    <cellStyle name="Summa 2 3 3 4_DataIX" xfId="34992" xr:uid="{00000000-0005-0000-0000-00005B7D0000}"/>
    <cellStyle name="Summa 2 3 3_DataIX" xfId="34990" xr:uid="{00000000-0005-0000-0000-00005C7D0000}"/>
    <cellStyle name="Summa 2 3 4" xfId="13383" xr:uid="{00000000-0005-0000-0000-00005D7D0000}"/>
    <cellStyle name="Summa 2 3 4 2" xfId="20941" xr:uid="{00000000-0005-0000-0000-00005E7D0000}"/>
    <cellStyle name="Summa 2 3 4 2 2" xfId="10927" xr:uid="{00000000-0005-0000-0000-00005F7D0000}"/>
    <cellStyle name="Summa 2 3 4 2_DataIX" xfId="34994" xr:uid="{00000000-0005-0000-0000-0000607D0000}"/>
    <cellStyle name="Summa 2 3 4 3" xfId="21338" xr:uid="{00000000-0005-0000-0000-0000617D0000}"/>
    <cellStyle name="Summa 2 3 4 3 2" xfId="21921" xr:uid="{00000000-0005-0000-0000-0000627D0000}"/>
    <cellStyle name="Summa 2 3 4 3_DataIX" xfId="34995" xr:uid="{00000000-0005-0000-0000-0000637D0000}"/>
    <cellStyle name="Summa 2 3 4 4" xfId="12739" xr:uid="{00000000-0005-0000-0000-0000647D0000}"/>
    <cellStyle name="Summa 2 3 4 5" xfId="25208" xr:uid="{00000000-0005-0000-0000-0000657D0000}"/>
    <cellStyle name="Summa 2 3 4 6" xfId="26990" xr:uid="{00000000-0005-0000-0000-0000667D0000}"/>
    <cellStyle name="Summa 2 3 4 7" xfId="27066" xr:uid="{00000000-0005-0000-0000-0000677D0000}"/>
    <cellStyle name="Summa 2 3 4_DataIX" xfId="34993" xr:uid="{00000000-0005-0000-0000-0000687D0000}"/>
    <cellStyle name="Summa 2 3 5" xfId="13204" xr:uid="{00000000-0005-0000-0000-0000697D0000}"/>
    <cellStyle name="Summa 2 3 5 2" xfId="20823" xr:uid="{00000000-0005-0000-0000-00006A7D0000}"/>
    <cellStyle name="Summa 2 3 5 2 2" xfId="13008" xr:uid="{00000000-0005-0000-0000-00006B7D0000}"/>
    <cellStyle name="Summa 2 3 5 2_DataIX" xfId="34997" xr:uid="{00000000-0005-0000-0000-00006C7D0000}"/>
    <cellStyle name="Summa 2 3 5 3" xfId="21193" xr:uid="{00000000-0005-0000-0000-00006D7D0000}"/>
    <cellStyle name="Summa 2 3 5 3 2" xfId="11016" xr:uid="{00000000-0005-0000-0000-00006E7D0000}"/>
    <cellStyle name="Summa 2 3 5 3_DataIX" xfId="34998" xr:uid="{00000000-0005-0000-0000-00006F7D0000}"/>
    <cellStyle name="Summa 2 3 5 4" xfId="13659" xr:uid="{00000000-0005-0000-0000-0000707D0000}"/>
    <cellStyle name="Summa 2 3 5 5" xfId="26468" xr:uid="{00000000-0005-0000-0000-0000717D0000}"/>
    <cellStyle name="Summa 2 3 5 6" xfId="27488" xr:uid="{00000000-0005-0000-0000-0000727D0000}"/>
    <cellStyle name="Summa 2 3 5 7" xfId="23125" xr:uid="{00000000-0005-0000-0000-0000737D0000}"/>
    <cellStyle name="Summa 2 3 5_DataIX" xfId="34996" xr:uid="{00000000-0005-0000-0000-0000747D0000}"/>
    <cellStyle name="Summa 2 3 6" xfId="13335" xr:uid="{00000000-0005-0000-0000-0000757D0000}"/>
    <cellStyle name="Summa 2 3 6 2" xfId="21301" xr:uid="{00000000-0005-0000-0000-0000767D0000}"/>
    <cellStyle name="Summa 2 3 6 2 2" xfId="21566" xr:uid="{00000000-0005-0000-0000-0000777D0000}"/>
    <cellStyle name="Summa 2 3 6 2_DataIX" xfId="35000" xr:uid="{00000000-0005-0000-0000-0000787D0000}"/>
    <cellStyle name="Summa 2 3 6 3" xfId="11025" xr:uid="{00000000-0005-0000-0000-0000797D0000}"/>
    <cellStyle name="Summa 2 3 6 4" xfId="26301" xr:uid="{00000000-0005-0000-0000-00007A7D0000}"/>
    <cellStyle name="Summa 2 3 6 5" xfId="27415" xr:uid="{00000000-0005-0000-0000-00007B7D0000}"/>
    <cellStyle name="Summa 2 3 6 6" xfId="22845" xr:uid="{00000000-0005-0000-0000-00007C7D0000}"/>
    <cellStyle name="Summa 2 3 6_DataIX" xfId="34999" xr:uid="{00000000-0005-0000-0000-00007D7D0000}"/>
    <cellStyle name="Summa 2 3 7" xfId="10737" xr:uid="{00000000-0005-0000-0000-00007E7D0000}"/>
    <cellStyle name="Summa 2 3 7 2" xfId="21049" xr:uid="{00000000-0005-0000-0000-00007F7D0000}"/>
    <cellStyle name="Summa 2 3 7 2 2" xfId="21744" xr:uid="{00000000-0005-0000-0000-0000807D0000}"/>
    <cellStyle name="Summa 2 3 7 2_DataIX" xfId="35002" xr:uid="{00000000-0005-0000-0000-0000817D0000}"/>
    <cellStyle name="Summa 2 3 7 3" xfId="22050" xr:uid="{00000000-0005-0000-0000-0000827D0000}"/>
    <cellStyle name="Summa 2 3 7 4" xfId="26229" xr:uid="{00000000-0005-0000-0000-0000837D0000}"/>
    <cellStyle name="Summa 2 3 7 5" xfId="27388" xr:uid="{00000000-0005-0000-0000-0000847D0000}"/>
    <cellStyle name="Summa 2 3 7 6" xfId="22880" xr:uid="{00000000-0005-0000-0000-0000857D0000}"/>
    <cellStyle name="Summa 2 3 7_DataIX" xfId="35001" xr:uid="{00000000-0005-0000-0000-0000867D0000}"/>
    <cellStyle name="Summa 2 3 8" xfId="11148" xr:uid="{00000000-0005-0000-0000-0000877D0000}"/>
    <cellStyle name="Summa 2 3 8 2" xfId="21086" xr:uid="{00000000-0005-0000-0000-0000887D0000}"/>
    <cellStyle name="Summa 2 3 8 2 2" xfId="13574" xr:uid="{00000000-0005-0000-0000-0000897D0000}"/>
    <cellStyle name="Summa 2 3 8 2_DataIX" xfId="35004" xr:uid="{00000000-0005-0000-0000-00008A7D0000}"/>
    <cellStyle name="Summa 2 3 8 3" xfId="13050" xr:uid="{00000000-0005-0000-0000-00008B7D0000}"/>
    <cellStyle name="Summa 2 3 8 4" xfId="25543" xr:uid="{00000000-0005-0000-0000-00008C7D0000}"/>
    <cellStyle name="Summa 2 3 8 5" xfId="27141" xr:uid="{00000000-0005-0000-0000-00008D7D0000}"/>
    <cellStyle name="Summa 2 3 8 6" xfId="23119" xr:uid="{00000000-0005-0000-0000-00008E7D0000}"/>
    <cellStyle name="Summa 2 3 8_DataIX" xfId="35003" xr:uid="{00000000-0005-0000-0000-00008F7D0000}"/>
    <cellStyle name="Summa 2 3 9" xfId="11140" xr:uid="{00000000-0005-0000-0000-0000907D0000}"/>
    <cellStyle name="Summa 2 3 9 2" xfId="21079" xr:uid="{00000000-0005-0000-0000-0000917D0000}"/>
    <cellStyle name="Summa 2 3 9 2 2" xfId="21592" xr:uid="{00000000-0005-0000-0000-0000927D0000}"/>
    <cellStyle name="Summa 2 3 9 2_DataIX" xfId="35006" xr:uid="{00000000-0005-0000-0000-0000937D0000}"/>
    <cellStyle name="Summa 2 3 9 3" xfId="10876" xr:uid="{00000000-0005-0000-0000-0000947D0000}"/>
    <cellStyle name="Summa 2 3 9 4" xfId="26101" xr:uid="{00000000-0005-0000-0000-0000957D0000}"/>
    <cellStyle name="Summa 2 3 9 5" xfId="27324" xr:uid="{00000000-0005-0000-0000-0000967D0000}"/>
    <cellStyle name="Summa 2 3 9 6" xfId="26922" xr:uid="{00000000-0005-0000-0000-0000977D0000}"/>
    <cellStyle name="Summa 2 3 9_DataIX" xfId="35005" xr:uid="{00000000-0005-0000-0000-0000987D0000}"/>
    <cellStyle name="Summa 2 3_##Keskeiset" xfId="10431" xr:uid="{00000000-0005-0000-0000-0000997D0000}"/>
    <cellStyle name="Summa 2 30" xfId="29141" xr:uid="{00000000-0005-0000-0000-00009A7D0000}"/>
    <cellStyle name="Summa 2 4" xfId="5110" xr:uid="{00000000-0005-0000-0000-00009B7D0000}"/>
    <cellStyle name="Summa 2 4 2" xfId="5688" xr:uid="{00000000-0005-0000-0000-00009C7D0000}"/>
    <cellStyle name="Summa 2 4 2 2" xfId="12869" xr:uid="{00000000-0005-0000-0000-00009D7D0000}"/>
    <cellStyle name="Summa 2 4 2 3" xfId="18902" xr:uid="{00000000-0005-0000-0000-00009E7D0000}"/>
    <cellStyle name="Summa 2 4 2 3 2" xfId="20656" xr:uid="{00000000-0005-0000-0000-00009F7D0000}"/>
    <cellStyle name="Summa 2 4 2 3_DataIX" xfId="35009" xr:uid="{00000000-0005-0000-0000-0000A07D0000}"/>
    <cellStyle name="Summa 2 4 2 4" xfId="20425" xr:uid="{00000000-0005-0000-0000-0000A17D0000}"/>
    <cellStyle name="Summa 2 4 2 4 2" xfId="12701" xr:uid="{00000000-0005-0000-0000-0000A27D0000}"/>
    <cellStyle name="Summa 2 4 2 4_DataIX" xfId="35010" xr:uid="{00000000-0005-0000-0000-0000A37D0000}"/>
    <cellStyle name="Summa 2 4 2_DataIX" xfId="35008" xr:uid="{00000000-0005-0000-0000-0000A47D0000}"/>
    <cellStyle name="Summa 2 4 3" xfId="10545" xr:uid="{00000000-0005-0000-0000-0000A57D0000}"/>
    <cellStyle name="Summa 2 4 3 2" xfId="12870" xr:uid="{00000000-0005-0000-0000-0000A67D0000}"/>
    <cellStyle name="Summa 2 4 3 3" xfId="20327" xr:uid="{00000000-0005-0000-0000-0000A77D0000}"/>
    <cellStyle name="Summa 2 4 3 3 2" xfId="12605" xr:uid="{00000000-0005-0000-0000-0000A87D0000}"/>
    <cellStyle name="Summa 2 4 3 3_DataIX" xfId="35012" xr:uid="{00000000-0005-0000-0000-0000A97D0000}"/>
    <cellStyle name="Summa 2 4 3 4" xfId="20967" xr:uid="{00000000-0005-0000-0000-0000AA7D0000}"/>
    <cellStyle name="Summa 2 4 3 4 2" xfId="11086" xr:uid="{00000000-0005-0000-0000-0000AB7D0000}"/>
    <cellStyle name="Summa 2 4 3 4_DataIX" xfId="35013" xr:uid="{00000000-0005-0000-0000-0000AC7D0000}"/>
    <cellStyle name="Summa 2 4 3_DataIX" xfId="35011" xr:uid="{00000000-0005-0000-0000-0000AD7D0000}"/>
    <cellStyle name="Summa 2 4 4" xfId="11174" xr:uid="{00000000-0005-0000-0000-0000AE7D0000}"/>
    <cellStyle name="Summa 2 4 5" xfId="18449" xr:uid="{00000000-0005-0000-0000-0000AF7D0000}"/>
    <cellStyle name="Summa 2 4_DataIX" xfId="35007" xr:uid="{00000000-0005-0000-0000-0000B07D0000}"/>
    <cellStyle name="Summa 2 5" xfId="5287" xr:uid="{00000000-0005-0000-0000-0000B17D0000}"/>
    <cellStyle name="Summa 2 5 2" xfId="10433" xr:uid="{00000000-0005-0000-0000-0000B27D0000}"/>
    <cellStyle name="Summa 2 5 3" xfId="18611" xr:uid="{00000000-0005-0000-0000-0000B37D0000}"/>
    <cellStyle name="Summa 2 5_DataIX" xfId="35014" xr:uid="{00000000-0005-0000-0000-0000B47D0000}"/>
    <cellStyle name="Summa 2 6" xfId="3304" xr:uid="{00000000-0005-0000-0000-0000B57D0000}"/>
    <cellStyle name="Summa 2 6 2" xfId="10434" xr:uid="{00000000-0005-0000-0000-0000B67D0000}"/>
    <cellStyle name="Summa 2 6 3" xfId="16812" xr:uid="{00000000-0005-0000-0000-0000B77D0000}"/>
    <cellStyle name="Summa 2 6_DataIX" xfId="35015" xr:uid="{00000000-0005-0000-0000-0000B87D0000}"/>
    <cellStyle name="Summa 2 7" xfId="5285" xr:uid="{00000000-0005-0000-0000-0000B97D0000}"/>
    <cellStyle name="Summa 2 7 2" xfId="10435" xr:uid="{00000000-0005-0000-0000-0000BA7D0000}"/>
    <cellStyle name="Summa 2 7 3" xfId="18609" xr:uid="{00000000-0005-0000-0000-0000BB7D0000}"/>
    <cellStyle name="Summa 2 7_DataIX" xfId="35016" xr:uid="{00000000-0005-0000-0000-0000BC7D0000}"/>
    <cellStyle name="Summa 2 8" xfId="5212" xr:uid="{00000000-0005-0000-0000-0000BD7D0000}"/>
    <cellStyle name="Summa 2 8 2" xfId="10436" xr:uid="{00000000-0005-0000-0000-0000BE7D0000}"/>
    <cellStyle name="Summa 2 8 3" xfId="18542" xr:uid="{00000000-0005-0000-0000-0000BF7D0000}"/>
    <cellStyle name="Summa 2 8 3 2" xfId="21394" xr:uid="{00000000-0005-0000-0000-0000C07D0000}"/>
    <cellStyle name="Summa 2 8 3_DataIX" xfId="35018" xr:uid="{00000000-0005-0000-0000-0000C17D0000}"/>
    <cellStyle name="Summa 2 8 4" xfId="19052" xr:uid="{00000000-0005-0000-0000-0000C27D0000}"/>
    <cellStyle name="Summa 2 8 4 2" xfId="22268" xr:uid="{00000000-0005-0000-0000-0000C37D0000}"/>
    <cellStyle name="Summa 2 8 4_DataIX" xfId="35019" xr:uid="{00000000-0005-0000-0000-0000C47D0000}"/>
    <cellStyle name="Summa 2 8_DataIX" xfId="35017" xr:uid="{00000000-0005-0000-0000-0000C57D0000}"/>
    <cellStyle name="Summa 2 9" xfId="5293" xr:uid="{00000000-0005-0000-0000-0000C67D0000}"/>
    <cellStyle name="Summa 2 9 2" xfId="10437" xr:uid="{00000000-0005-0000-0000-0000C77D0000}"/>
    <cellStyle name="Summa 2 9 3" xfId="18617" xr:uid="{00000000-0005-0000-0000-0000C87D0000}"/>
    <cellStyle name="Summa 2 9_DataIX" xfId="35020" xr:uid="{00000000-0005-0000-0000-0000C97D0000}"/>
    <cellStyle name="Summa 2_##Keskeiset" xfId="10427" xr:uid="{00000000-0005-0000-0000-0000CA7D0000}"/>
    <cellStyle name="Summa 3" xfId="242" xr:uid="{00000000-0005-0000-0000-0000CB7D0000}"/>
    <cellStyle name="Summa 3 10" xfId="13823" xr:uid="{00000000-0005-0000-0000-0000CC7D0000}"/>
    <cellStyle name="Summa 3 10 2" xfId="10936" xr:uid="{00000000-0005-0000-0000-0000CD7D0000}"/>
    <cellStyle name="Summa 3 10 3" xfId="25560" xr:uid="{00000000-0005-0000-0000-0000CE7D0000}"/>
    <cellStyle name="Summa 3 10 4" xfId="27144" xr:uid="{00000000-0005-0000-0000-0000CF7D0000}"/>
    <cellStyle name="Summa 3 10 5" xfId="22984" xr:uid="{00000000-0005-0000-0000-0000D07D0000}"/>
    <cellStyle name="Summa 3 10_DataIX" xfId="35021" xr:uid="{00000000-0005-0000-0000-0000D17D0000}"/>
    <cellStyle name="Summa 3 11" xfId="20309" xr:uid="{00000000-0005-0000-0000-0000D27D0000}"/>
    <cellStyle name="Summa 3 11 2" xfId="22138" xr:uid="{00000000-0005-0000-0000-0000D37D0000}"/>
    <cellStyle name="Summa 3 11 3" xfId="26549" xr:uid="{00000000-0005-0000-0000-0000D47D0000}"/>
    <cellStyle name="Summa 3 11 4" xfId="27520" xr:uid="{00000000-0005-0000-0000-0000D57D0000}"/>
    <cellStyle name="Summa 3 11 5" xfId="22802" xr:uid="{00000000-0005-0000-0000-0000D67D0000}"/>
    <cellStyle name="Summa 3 11_DataIX" xfId="35022" xr:uid="{00000000-0005-0000-0000-0000D77D0000}"/>
    <cellStyle name="Summa 3 12" xfId="22023" xr:uid="{00000000-0005-0000-0000-0000D87D0000}"/>
    <cellStyle name="Summa 3 13" xfId="22365" xr:uid="{00000000-0005-0000-0000-0000D97D0000}"/>
    <cellStyle name="Summa 3 14" xfId="22552" xr:uid="{00000000-0005-0000-0000-0000DA7D0000}"/>
    <cellStyle name="Summa 3 15" xfId="22686" xr:uid="{00000000-0005-0000-0000-0000DB7D0000}"/>
    <cellStyle name="Summa 3 16" xfId="22630" xr:uid="{00000000-0005-0000-0000-0000DC7D0000}"/>
    <cellStyle name="Summa 3 17" xfId="27939" xr:uid="{00000000-0005-0000-0000-0000DD7D0000}"/>
    <cellStyle name="Summa 3 18" xfId="27857" xr:uid="{00000000-0005-0000-0000-0000DE7D0000}"/>
    <cellStyle name="Summa 3 19" xfId="28272" xr:uid="{00000000-0005-0000-0000-0000DF7D0000}"/>
    <cellStyle name="Summa 3 2" xfId="303" xr:uid="{00000000-0005-0000-0000-0000E07D0000}"/>
    <cellStyle name="Summa 3 2 10" xfId="22366" xr:uid="{00000000-0005-0000-0000-0000E17D0000}"/>
    <cellStyle name="Summa 3 2 10 2" xfId="25418" xr:uid="{00000000-0005-0000-0000-0000E27D0000}"/>
    <cellStyle name="Summa 3 2 10 3" xfId="27091" xr:uid="{00000000-0005-0000-0000-0000E37D0000}"/>
    <cellStyle name="Summa 3 2 10 4" xfId="22800" xr:uid="{00000000-0005-0000-0000-0000E47D0000}"/>
    <cellStyle name="Summa 3 2 10_DataIX" xfId="35023" xr:uid="{00000000-0005-0000-0000-0000E57D0000}"/>
    <cellStyle name="Summa 3 2 11" xfId="22551" xr:uid="{00000000-0005-0000-0000-0000E67D0000}"/>
    <cellStyle name="Summa 3 2 11 2" xfId="25864" xr:uid="{00000000-0005-0000-0000-0000E77D0000}"/>
    <cellStyle name="Summa 3 2 11 3" xfId="27250" xr:uid="{00000000-0005-0000-0000-0000E87D0000}"/>
    <cellStyle name="Summa 3 2 11 4" xfId="26833" xr:uid="{00000000-0005-0000-0000-0000E97D0000}"/>
    <cellStyle name="Summa 3 2 11_DataIX" xfId="35024" xr:uid="{00000000-0005-0000-0000-0000EA7D0000}"/>
    <cellStyle name="Summa 3 2 12" xfId="22479" xr:uid="{00000000-0005-0000-0000-0000EB7D0000}"/>
    <cellStyle name="Summa 3 2 13" xfId="22412" xr:uid="{00000000-0005-0000-0000-0000EC7D0000}"/>
    <cellStyle name="Summa 3 2 14" xfId="27940" xr:uid="{00000000-0005-0000-0000-0000ED7D0000}"/>
    <cellStyle name="Summa 3 2 15" xfId="27867" xr:uid="{00000000-0005-0000-0000-0000EE7D0000}"/>
    <cellStyle name="Summa 3 2 16" xfId="28273" xr:uid="{00000000-0005-0000-0000-0000EF7D0000}"/>
    <cellStyle name="Summa 3 2 17" xfId="28761" xr:uid="{00000000-0005-0000-0000-0000F07D0000}"/>
    <cellStyle name="Summa 3 2 18" xfId="28686" xr:uid="{00000000-0005-0000-0000-0000F17D0000}"/>
    <cellStyle name="Summa 3 2 19" xfId="29074" xr:uid="{00000000-0005-0000-0000-0000F27D0000}"/>
    <cellStyle name="Summa 3 2 2" xfId="5208" xr:uid="{00000000-0005-0000-0000-0000F37D0000}"/>
    <cellStyle name="Summa 3 2 2 2" xfId="5689" xr:uid="{00000000-0005-0000-0000-0000F47D0000}"/>
    <cellStyle name="Summa 3 2 2 2 2" xfId="12872" xr:uid="{00000000-0005-0000-0000-0000F57D0000}"/>
    <cellStyle name="Summa 3 2 2 2 3" xfId="18903" xr:uid="{00000000-0005-0000-0000-0000F67D0000}"/>
    <cellStyle name="Summa 3 2 2 2 3 2" xfId="21470" xr:uid="{00000000-0005-0000-0000-0000F77D0000}"/>
    <cellStyle name="Summa 3 2 2 2 3_DataIX" xfId="35027" xr:uid="{00000000-0005-0000-0000-0000F87D0000}"/>
    <cellStyle name="Summa 3 2 2 2 4" xfId="18940" xr:uid="{00000000-0005-0000-0000-0000F97D0000}"/>
    <cellStyle name="Summa 3 2 2 2 4 2" xfId="21969" xr:uid="{00000000-0005-0000-0000-0000FA7D0000}"/>
    <cellStyle name="Summa 3 2 2 2 4_DataIX" xfId="35028" xr:uid="{00000000-0005-0000-0000-0000FB7D0000}"/>
    <cellStyle name="Summa 3 2 2 2_DataIX" xfId="35026" xr:uid="{00000000-0005-0000-0000-0000FC7D0000}"/>
    <cellStyle name="Summa 3 2 2 3" xfId="11175" xr:uid="{00000000-0005-0000-0000-0000FD7D0000}"/>
    <cellStyle name="Summa 3 2 2 4" xfId="18538" xr:uid="{00000000-0005-0000-0000-0000FE7D0000}"/>
    <cellStyle name="Summa 3 2 2 4 2" xfId="21773" xr:uid="{00000000-0005-0000-0000-0000FF7D0000}"/>
    <cellStyle name="Summa 3 2 2 4_DataIX" xfId="35029" xr:uid="{00000000-0005-0000-0000-0000007E0000}"/>
    <cellStyle name="Summa 3 2 2 5" xfId="20533" xr:uid="{00000000-0005-0000-0000-0000017E0000}"/>
    <cellStyle name="Summa 3 2 2 5 2" xfId="21741" xr:uid="{00000000-0005-0000-0000-0000027E0000}"/>
    <cellStyle name="Summa 3 2 2 5_DataIX" xfId="35030" xr:uid="{00000000-0005-0000-0000-0000037E0000}"/>
    <cellStyle name="Summa 3 2 2_DataIX" xfId="35025" xr:uid="{00000000-0005-0000-0000-0000047E0000}"/>
    <cellStyle name="Summa 3 2 20" xfId="28987" xr:uid="{00000000-0005-0000-0000-0000057E0000}"/>
    <cellStyle name="Summa 3 2 3" xfId="5380" xr:uid="{00000000-0005-0000-0000-0000067E0000}"/>
    <cellStyle name="Summa 3 2 3 2" xfId="12873" xr:uid="{00000000-0005-0000-0000-0000077E0000}"/>
    <cellStyle name="Summa 3 2 3 3" xfId="18704" xr:uid="{00000000-0005-0000-0000-0000087E0000}"/>
    <cellStyle name="Summa 3 2 3 3 2" xfId="21760" xr:uid="{00000000-0005-0000-0000-0000097E0000}"/>
    <cellStyle name="Summa 3 2 3 3_DataIX" xfId="35032" xr:uid="{00000000-0005-0000-0000-00000A7E0000}"/>
    <cellStyle name="Summa 3 2 3 4" xfId="20476" xr:uid="{00000000-0005-0000-0000-00000B7E0000}"/>
    <cellStyle name="Summa 3 2 3 4 2" xfId="10823" xr:uid="{00000000-0005-0000-0000-00000C7E0000}"/>
    <cellStyle name="Summa 3 2 3 4_DataIX" xfId="35033" xr:uid="{00000000-0005-0000-0000-00000D7E0000}"/>
    <cellStyle name="Summa 3 2 3_DataIX" xfId="35031" xr:uid="{00000000-0005-0000-0000-00000E7E0000}"/>
    <cellStyle name="Summa 3 2 4" xfId="13184" xr:uid="{00000000-0005-0000-0000-00000F7E0000}"/>
    <cellStyle name="Summa 3 2 4 2" xfId="20809" xr:uid="{00000000-0005-0000-0000-0000107E0000}"/>
    <cellStyle name="Summa 3 2 4 2 2" xfId="13005" xr:uid="{00000000-0005-0000-0000-0000117E0000}"/>
    <cellStyle name="Summa 3 2 4 2_DataIX" xfId="35035" xr:uid="{00000000-0005-0000-0000-0000127E0000}"/>
    <cellStyle name="Summa 3 2 4 3" xfId="21182" xr:uid="{00000000-0005-0000-0000-0000137E0000}"/>
    <cellStyle name="Summa 3 2 4 3 2" xfId="10962" xr:uid="{00000000-0005-0000-0000-0000147E0000}"/>
    <cellStyle name="Summa 3 2 4 3_DataIX" xfId="35036" xr:uid="{00000000-0005-0000-0000-0000157E0000}"/>
    <cellStyle name="Summa 3 2 4 4" xfId="10840" xr:uid="{00000000-0005-0000-0000-0000167E0000}"/>
    <cellStyle name="Summa 3 2 4 5" xfId="25210" xr:uid="{00000000-0005-0000-0000-0000177E0000}"/>
    <cellStyle name="Summa 3 2 4 6" xfId="26992" xr:uid="{00000000-0005-0000-0000-0000187E0000}"/>
    <cellStyle name="Summa 3 2 4 7" xfId="26823" xr:uid="{00000000-0005-0000-0000-0000197E0000}"/>
    <cellStyle name="Summa 3 2 4_DataIX" xfId="35034" xr:uid="{00000000-0005-0000-0000-00001A7E0000}"/>
    <cellStyle name="Summa 3 2 5" xfId="13255" xr:uid="{00000000-0005-0000-0000-00001B7E0000}"/>
    <cellStyle name="Summa 3 2 5 2" xfId="20853" xr:uid="{00000000-0005-0000-0000-00001C7E0000}"/>
    <cellStyle name="Summa 3 2 5 2 2" xfId="12926" xr:uid="{00000000-0005-0000-0000-00001D7E0000}"/>
    <cellStyle name="Summa 3 2 5 2_DataIX" xfId="35038" xr:uid="{00000000-0005-0000-0000-00001E7E0000}"/>
    <cellStyle name="Summa 3 2 5 3" xfId="21233" xr:uid="{00000000-0005-0000-0000-00001F7E0000}"/>
    <cellStyle name="Summa 3 2 5 3 2" xfId="12617" xr:uid="{00000000-0005-0000-0000-0000207E0000}"/>
    <cellStyle name="Summa 3 2 5 3_DataIX" xfId="35039" xr:uid="{00000000-0005-0000-0000-0000217E0000}"/>
    <cellStyle name="Summa 3 2 5 4" xfId="12559" xr:uid="{00000000-0005-0000-0000-0000227E0000}"/>
    <cellStyle name="Summa 3 2 5 5" xfId="25634" xr:uid="{00000000-0005-0000-0000-0000237E0000}"/>
    <cellStyle name="Summa 3 2 5 6" xfId="27174" xr:uid="{00000000-0005-0000-0000-0000247E0000}"/>
    <cellStyle name="Summa 3 2 5 7" xfId="22749" xr:uid="{00000000-0005-0000-0000-0000257E0000}"/>
    <cellStyle name="Summa 3 2 5_DataIX" xfId="35037" xr:uid="{00000000-0005-0000-0000-0000267E0000}"/>
    <cellStyle name="Summa 3 2 6" xfId="13336" xr:uid="{00000000-0005-0000-0000-0000277E0000}"/>
    <cellStyle name="Summa 3 2 6 2" xfId="21302" xr:uid="{00000000-0005-0000-0000-0000287E0000}"/>
    <cellStyle name="Summa 3 2 6 2 2" xfId="21692" xr:uid="{00000000-0005-0000-0000-0000297E0000}"/>
    <cellStyle name="Summa 3 2 6 2_DataIX" xfId="35041" xr:uid="{00000000-0005-0000-0000-00002A7E0000}"/>
    <cellStyle name="Summa 3 2 6 3" xfId="13632" xr:uid="{00000000-0005-0000-0000-00002B7E0000}"/>
    <cellStyle name="Summa 3 2 6 4" xfId="26569" xr:uid="{00000000-0005-0000-0000-00002C7E0000}"/>
    <cellStyle name="Summa 3 2 6 5" xfId="27530" xr:uid="{00000000-0005-0000-0000-00002D7E0000}"/>
    <cellStyle name="Summa 3 2 6 6" xfId="27179" xr:uid="{00000000-0005-0000-0000-00002E7E0000}"/>
    <cellStyle name="Summa 3 2 6_DataIX" xfId="35040" xr:uid="{00000000-0005-0000-0000-00002F7E0000}"/>
    <cellStyle name="Summa 3 2 7" xfId="13869" xr:uid="{00000000-0005-0000-0000-0000307E0000}"/>
    <cellStyle name="Summa 3 2 7 2" xfId="10950" xr:uid="{00000000-0005-0000-0000-0000317E0000}"/>
    <cellStyle name="Summa 3 2 7 3" xfId="26055" xr:uid="{00000000-0005-0000-0000-0000327E0000}"/>
    <cellStyle name="Summa 3 2 7 4" xfId="27307" xr:uid="{00000000-0005-0000-0000-0000337E0000}"/>
    <cellStyle name="Summa 3 2 7 5" xfId="23016" xr:uid="{00000000-0005-0000-0000-0000347E0000}"/>
    <cellStyle name="Summa 3 2 7_DataIX" xfId="35042" xr:uid="{00000000-0005-0000-0000-0000357E0000}"/>
    <cellStyle name="Summa 3 2 8" xfId="20287" xr:uid="{00000000-0005-0000-0000-0000367E0000}"/>
    <cellStyle name="Summa 3 2 8 2" xfId="21893" xr:uid="{00000000-0005-0000-0000-0000377E0000}"/>
    <cellStyle name="Summa 3 2 8 3" xfId="26664" xr:uid="{00000000-0005-0000-0000-0000387E0000}"/>
    <cellStyle name="Summa 3 2 8 4" xfId="27573" xr:uid="{00000000-0005-0000-0000-0000397E0000}"/>
    <cellStyle name="Summa 3 2 8 5" xfId="22767" xr:uid="{00000000-0005-0000-0000-00003A7E0000}"/>
    <cellStyle name="Summa 3 2 8_DataIX" xfId="35043" xr:uid="{00000000-0005-0000-0000-00003B7E0000}"/>
    <cellStyle name="Summa 3 2 9" xfId="20615" xr:uid="{00000000-0005-0000-0000-00003C7E0000}"/>
    <cellStyle name="Summa 3 2 9 2" xfId="26672" xr:uid="{00000000-0005-0000-0000-00003D7E0000}"/>
    <cellStyle name="Summa 3 2 9 3" xfId="27576" xr:uid="{00000000-0005-0000-0000-00003E7E0000}"/>
    <cellStyle name="Summa 3 2 9 4" xfId="27053" xr:uid="{00000000-0005-0000-0000-00003F7E0000}"/>
    <cellStyle name="Summa 3 2 9_DataIX" xfId="35044" xr:uid="{00000000-0005-0000-0000-0000407E0000}"/>
    <cellStyle name="Summa 3 2_##Keskeiset" xfId="10439" xr:uid="{00000000-0005-0000-0000-0000417E0000}"/>
    <cellStyle name="Summa 3 20" xfId="28762" xr:uid="{00000000-0005-0000-0000-0000427E0000}"/>
    <cellStyle name="Summa 3 21" xfId="28687" xr:uid="{00000000-0005-0000-0000-0000437E0000}"/>
    <cellStyle name="Summa 3 22" xfId="29073" xr:uid="{00000000-0005-0000-0000-0000447E0000}"/>
    <cellStyle name="Summa 3 23" xfId="29000" xr:uid="{00000000-0005-0000-0000-0000457E0000}"/>
    <cellStyle name="Summa 3 3" xfId="280" xr:uid="{00000000-0005-0000-0000-0000467E0000}"/>
    <cellStyle name="Summa 3 3 10" xfId="13852" xr:uid="{00000000-0005-0000-0000-0000477E0000}"/>
    <cellStyle name="Summa 3 3 10 2" xfId="13634" xr:uid="{00000000-0005-0000-0000-0000487E0000}"/>
    <cellStyle name="Summa 3 3 10 3" xfId="25973" xr:uid="{00000000-0005-0000-0000-0000497E0000}"/>
    <cellStyle name="Summa 3 3 10 4" xfId="27283" xr:uid="{00000000-0005-0000-0000-00004A7E0000}"/>
    <cellStyle name="Summa 3 3 10 5" xfId="22872" xr:uid="{00000000-0005-0000-0000-00004B7E0000}"/>
    <cellStyle name="Summa 3 3 10_DataIX" xfId="35045" xr:uid="{00000000-0005-0000-0000-00004C7E0000}"/>
    <cellStyle name="Summa 3 3 11" xfId="20293" xr:uid="{00000000-0005-0000-0000-00004D7E0000}"/>
    <cellStyle name="Summa 3 3 11 2" xfId="13730" xr:uid="{00000000-0005-0000-0000-00004E7E0000}"/>
    <cellStyle name="Summa 3 3 11 3" xfId="25835" xr:uid="{00000000-0005-0000-0000-00004F7E0000}"/>
    <cellStyle name="Summa 3 3 11 4" xfId="27241" xr:uid="{00000000-0005-0000-0000-0000507E0000}"/>
    <cellStyle name="Summa 3 3 11 5" xfId="27614" xr:uid="{00000000-0005-0000-0000-0000517E0000}"/>
    <cellStyle name="Summa 3 3 11_DataIX" xfId="35046" xr:uid="{00000000-0005-0000-0000-0000527E0000}"/>
    <cellStyle name="Summa 3 3 12" xfId="13425" xr:uid="{00000000-0005-0000-0000-0000537E0000}"/>
    <cellStyle name="Summa 3 3 13" xfId="13774" xr:uid="{00000000-0005-0000-0000-0000547E0000}"/>
    <cellStyle name="Summa 3 3 14" xfId="22367" xr:uid="{00000000-0005-0000-0000-0000557E0000}"/>
    <cellStyle name="Summa 3 3 15" xfId="22550" xr:uid="{00000000-0005-0000-0000-0000567E0000}"/>
    <cellStyle name="Summa 3 3 16" xfId="22480" xr:uid="{00000000-0005-0000-0000-0000577E0000}"/>
    <cellStyle name="Summa 3 3 17" xfId="22411" xr:uid="{00000000-0005-0000-0000-0000587E0000}"/>
    <cellStyle name="Summa 3 3 18" xfId="27941" xr:uid="{00000000-0005-0000-0000-0000597E0000}"/>
    <cellStyle name="Summa 3 3 19" xfId="27858" xr:uid="{00000000-0005-0000-0000-00005A7E0000}"/>
    <cellStyle name="Summa 3 3 2" xfId="5207" xr:uid="{00000000-0005-0000-0000-00005B7E0000}"/>
    <cellStyle name="Summa 3 3 2 2" xfId="10441" xr:uid="{00000000-0005-0000-0000-00005C7E0000}"/>
    <cellStyle name="Summa 3 3 2 3" xfId="18537" xr:uid="{00000000-0005-0000-0000-00005D7E0000}"/>
    <cellStyle name="Summa 3 3 2 3 2" xfId="13724" xr:uid="{00000000-0005-0000-0000-00005E7E0000}"/>
    <cellStyle name="Summa 3 3 2 3_DataIX" xfId="35048" xr:uid="{00000000-0005-0000-0000-00005F7E0000}"/>
    <cellStyle name="Summa 3 3 2 4" xfId="19053" xr:uid="{00000000-0005-0000-0000-0000607E0000}"/>
    <cellStyle name="Summa 3 3 2 4 2" xfId="13038" xr:uid="{00000000-0005-0000-0000-0000617E0000}"/>
    <cellStyle name="Summa 3 3 2 4_DataIX" xfId="35049" xr:uid="{00000000-0005-0000-0000-0000627E0000}"/>
    <cellStyle name="Summa 3 3 2_DataIX" xfId="35047" xr:uid="{00000000-0005-0000-0000-0000637E0000}"/>
    <cellStyle name="Summa 3 3 20" xfId="28274" xr:uid="{00000000-0005-0000-0000-0000647E0000}"/>
    <cellStyle name="Summa 3 3 21" xfId="28187" xr:uid="{00000000-0005-0000-0000-0000657E0000}"/>
    <cellStyle name="Summa 3 3 22" xfId="28464" xr:uid="{00000000-0005-0000-0000-0000667E0000}"/>
    <cellStyle name="Summa 3 3 23" xfId="28492" xr:uid="{00000000-0005-0000-0000-0000677E0000}"/>
    <cellStyle name="Summa 3 3 24" xfId="28760" xr:uid="{00000000-0005-0000-0000-0000687E0000}"/>
    <cellStyle name="Summa 3 3 25" xfId="28911" xr:uid="{00000000-0005-0000-0000-0000697E0000}"/>
    <cellStyle name="Summa 3 3 26" xfId="28685" xr:uid="{00000000-0005-0000-0000-00006A7E0000}"/>
    <cellStyle name="Summa 3 3 27" xfId="28841" xr:uid="{00000000-0005-0000-0000-00006B7E0000}"/>
    <cellStyle name="Summa 3 3 28" xfId="29075" xr:uid="{00000000-0005-0000-0000-00006C7E0000}"/>
    <cellStyle name="Summa 3 3 29" xfId="28999" xr:uid="{00000000-0005-0000-0000-00006D7E0000}"/>
    <cellStyle name="Summa 3 3 3" xfId="5381" xr:uid="{00000000-0005-0000-0000-00006E7E0000}"/>
    <cellStyle name="Summa 3 3 3 2" xfId="12874" xr:uid="{00000000-0005-0000-0000-00006F7E0000}"/>
    <cellStyle name="Summa 3 3 3 3" xfId="18705" xr:uid="{00000000-0005-0000-0000-0000707E0000}"/>
    <cellStyle name="Summa 3 3 3 3 2" xfId="22030" xr:uid="{00000000-0005-0000-0000-0000717E0000}"/>
    <cellStyle name="Summa 3 3 3 3_DataIX" xfId="35051" xr:uid="{00000000-0005-0000-0000-0000727E0000}"/>
    <cellStyle name="Summa 3 3 3 4" xfId="18994" xr:uid="{00000000-0005-0000-0000-0000737E0000}"/>
    <cellStyle name="Summa 3 3 3 4 2" xfId="22098" xr:uid="{00000000-0005-0000-0000-0000747E0000}"/>
    <cellStyle name="Summa 3 3 3 4_DataIX" xfId="35052" xr:uid="{00000000-0005-0000-0000-0000757E0000}"/>
    <cellStyle name="Summa 3 3 3_DataIX" xfId="35050" xr:uid="{00000000-0005-0000-0000-0000767E0000}"/>
    <cellStyle name="Summa 3 3 4" xfId="13282" xr:uid="{00000000-0005-0000-0000-0000777E0000}"/>
    <cellStyle name="Summa 3 3 4 2" xfId="20871" xr:uid="{00000000-0005-0000-0000-0000787E0000}"/>
    <cellStyle name="Summa 3 3 4 2 2" xfId="11255" xr:uid="{00000000-0005-0000-0000-0000797E0000}"/>
    <cellStyle name="Summa 3 3 4 2_DataIX" xfId="35054" xr:uid="{00000000-0005-0000-0000-00007A7E0000}"/>
    <cellStyle name="Summa 3 3 4 3" xfId="21259" xr:uid="{00000000-0005-0000-0000-00007B7E0000}"/>
    <cellStyle name="Summa 3 3 4 3 2" xfId="21689" xr:uid="{00000000-0005-0000-0000-00007C7E0000}"/>
    <cellStyle name="Summa 3 3 4 3_DataIX" xfId="35055" xr:uid="{00000000-0005-0000-0000-00007D7E0000}"/>
    <cellStyle name="Summa 3 3 4 4" xfId="12999" xr:uid="{00000000-0005-0000-0000-00007E7E0000}"/>
    <cellStyle name="Summa 3 3 4 5" xfId="25211" xr:uid="{00000000-0005-0000-0000-00007F7E0000}"/>
    <cellStyle name="Summa 3 3 4 6" xfId="26993" xr:uid="{00000000-0005-0000-0000-0000807E0000}"/>
    <cellStyle name="Summa 3 3 4 7" xfId="23085" xr:uid="{00000000-0005-0000-0000-0000817E0000}"/>
    <cellStyle name="Summa 3 3 4_DataIX" xfId="35053" xr:uid="{00000000-0005-0000-0000-0000827E0000}"/>
    <cellStyle name="Summa 3 3 5" xfId="13143" xr:uid="{00000000-0005-0000-0000-0000837E0000}"/>
    <cellStyle name="Summa 3 3 5 2" xfId="20783" xr:uid="{00000000-0005-0000-0000-0000847E0000}"/>
    <cellStyle name="Summa 3 3 5 2 2" xfId="10837" xr:uid="{00000000-0005-0000-0000-0000857E0000}"/>
    <cellStyle name="Summa 3 3 5 2_DataIX" xfId="35057" xr:uid="{00000000-0005-0000-0000-0000867E0000}"/>
    <cellStyle name="Summa 3 3 5 3" xfId="21148" xr:uid="{00000000-0005-0000-0000-0000877E0000}"/>
    <cellStyle name="Summa 3 3 5 3 2" xfId="11322" xr:uid="{00000000-0005-0000-0000-0000887E0000}"/>
    <cellStyle name="Summa 3 3 5 3_DataIX" xfId="35058" xr:uid="{00000000-0005-0000-0000-0000897E0000}"/>
    <cellStyle name="Summa 3 3 5 4" xfId="13061" xr:uid="{00000000-0005-0000-0000-00008A7E0000}"/>
    <cellStyle name="Summa 3 3 5 5" xfId="26117" xr:uid="{00000000-0005-0000-0000-00008B7E0000}"/>
    <cellStyle name="Summa 3 3 5 6" xfId="27337" xr:uid="{00000000-0005-0000-0000-00008C7E0000}"/>
    <cellStyle name="Summa 3 3 5 7" xfId="23053" xr:uid="{00000000-0005-0000-0000-00008D7E0000}"/>
    <cellStyle name="Summa 3 3 5_DataIX" xfId="35056" xr:uid="{00000000-0005-0000-0000-00008E7E0000}"/>
    <cellStyle name="Summa 3 3 6" xfId="13211" xr:uid="{00000000-0005-0000-0000-00008F7E0000}"/>
    <cellStyle name="Summa 3 3 6 2" xfId="21200" xr:uid="{00000000-0005-0000-0000-0000907E0000}"/>
    <cellStyle name="Summa 3 3 6 2 2" xfId="21562" xr:uid="{00000000-0005-0000-0000-0000917E0000}"/>
    <cellStyle name="Summa 3 3 6 2_DataIX" xfId="35060" xr:uid="{00000000-0005-0000-0000-0000927E0000}"/>
    <cellStyle name="Summa 3 3 6 3" xfId="22016" xr:uid="{00000000-0005-0000-0000-0000937E0000}"/>
    <cellStyle name="Summa 3 3 6 4" xfId="26302" xr:uid="{00000000-0005-0000-0000-0000947E0000}"/>
    <cellStyle name="Summa 3 3 6 5" xfId="27416" xr:uid="{00000000-0005-0000-0000-0000957E0000}"/>
    <cellStyle name="Summa 3 3 6 6" xfId="22778" xr:uid="{00000000-0005-0000-0000-0000967E0000}"/>
    <cellStyle name="Summa 3 3 6_DataIX" xfId="35059" xr:uid="{00000000-0005-0000-0000-0000977E0000}"/>
    <cellStyle name="Summa 3 3 7" xfId="10738" xr:uid="{00000000-0005-0000-0000-0000987E0000}"/>
    <cellStyle name="Summa 3 3 7 2" xfId="21050" xr:uid="{00000000-0005-0000-0000-0000997E0000}"/>
    <cellStyle name="Summa 3 3 7 2 2" xfId="10769" xr:uid="{00000000-0005-0000-0000-00009A7E0000}"/>
    <cellStyle name="Summa 3 3 7 2_DataIX" xfId="35062" xr:uid="{00000000-0005-0000-0000-00009B7E0000}"/>
    <cellStyle name="Summa 3 3 7 3" xfId="10983" xr:uid="{00000000-0005-0000-0000-00009C7E0000}"/>
    <cellStyle name="Summa 3 3 7 4" xfId="25899" xr:uid="{00000000-0005-0000-0000-00009D7E0000}"/>
    <cellStyle name="Summa 3 3 7 5" xfId="27261" xr:uid="{00000000-0005-0000-0000-00009E7E0000}"/>
    <cellStyle name="Summa 3 3 7 6" xfId="23051" xr:uid="{00000000-0005-0000-0000-00009F7E0000}"/>
    <cellStyle name="Summa 3 3 7_DataIX" xfId="35061" xr:uid="{00000000-0005-0000-0000-0000A07E0000}"/>
    <cellStyle name="Summa 3 3 8" xfId="12808" xr:uid="{00000000-0005-0000-0000-0000A17E0000}"/>
    <cellStyle name="Summa 3 3 8 2" xfId="21101" xr:uid="{00000000-0005-0000-0000-0000A27E0000}"/>
    <cellStyle name="Summa 3 3 8 2 2" xfId="13538" xr:uid="{00000000-0005-0000-0000-0000A37E0000}"/>
    <cellStyle name="Summa 3 3 8 2_DataIX" xfId="35064" xr:uid="{00000000-0005-0000-0000-0000A47E0000}"/>
    <cellStyle name="Summa 3 3 8 3" xfId="21422" xr:uid="{00000000-0005-0000-0000-0000A57E0000}"/>
    <cellStyle name="Summa 3 3 8 4" xfId="25386" xr:uid="{00000000-0005-0000-0000-0000A67E0000}"/>
    <cellStyle name="Summa 3 3 8 5" xfId="27083" xr:uid="{00000000-0005-0000-0000-0000A77E0000}"/>
    <cellStyle name="Summa 3 3 8 6" xfId="27246" xr:uid="{00000000-0005-0000-0000-0000A87E0000}"/>
    <cellStyle name="Summa 3 3 8_DataIX" xfId="35063" xr:uid="{00000000-0005-0000-0000-0000A97E0000}"/>
    <cellStyle name="Summa 3 3 9" xfId="13428" xr:uid="{00000000-0005-0000-0000-0000AA7E0000}"/>
    <cellStyle name="Summa 3 3 9 2" xfId="21364" xr:uid="{00000000-0005-0000-0000-0000AB7E0000}"/>
    <cellStyle name="Summa 3 3 9 2 2" xfId="13552" xr:uid="{00000000-0005-0000-0000-0000AC7E0000}"/>
    <cellStyle name="Summa 3 3 9 2_DataIX" xfId="35066" xr:uid="{00000000-0005-0000-0000-0000AD7E0000}"/>
    <cellStyle name="Summa 3 3 9 3" xfId="10775" xr:uid="{00000000-0005-0000-0000-0000AE7E0000}"/>
    <cellStyle name="Summa 3 3 9 4" xfId="26643" xr:uid="{00000000-0005-0000-0000-0000AF7E0000}"/>
    <cellStyle name="Summa 3 3 9 5" xfId="27561" xr:uid="{00000000-0005-0000-0000-0000B07E0000}"/>
    <cellStyle name="Summa 3 3 9 6" xfId="22877" xr:uid="{00000000-0005-0000-0000-0000B17E0000}"/>
    <cellStyle name="Summa 3 3 9_DataIX" xfId="35065" xr:uid="{00000000-0005-0000-0000-0000B27E0000}"/>
    <cellStyle name="Summa 3 3_##Keskeiset" xfId="10440" xr:uid="{00000000-0005-0000-0000-0000B37E0000}"/>
    <cellStyle name="Summa 3 4" xfId="321" xr:uid="{00000000-0005-0000-0000-0000B47E0000}"/>
    <cellStyle name="Summa 3 4 10" xfId="13885" xr:uid="{00000000-0005-0000-0000-0000B57E0000}"/>
    <cellStyle name="Summa 3 4 10 2" xfId="21518" xr:uid="{00000000-0005-0000-0000-0000B67E0000}"/>
    <cellStyle name="Summa 3 4 10 3" xfId="25439" xr:uid="{00000000-0005-0000-0000-0000B77E0000}"/>
    <cellStyle name="Summa 3 4 10 4" xfId="27098" xr:uid="{00000000-0005-0000-0000-0000B87E0000}"/>
    <cellStyle name="Summa 3 4 10 5" xfId="22997" xr:uid="{00000000-0005-0000-0000-0000B97E0000}"/>
    <cellStyle name="Summa 3 4 10_DataIX" xfId="35067" xr:uid="{00000000-0005-0000-0000-0000BA7E0000}"/>
    <cellStyle name="Summa 3 4 11" xfId="20603" xr:uid="{00000000-0005-0000-0000-0000BB7E0000}"/>
    <cellStyle name="Summa 3 4 11 2" xfId="13572" xr:uid="{00000000-0005-0000-0000-0000BC7E0000}"/>
    <cellStyle name="Summa 3 4 11 3" xfId="25697" xr:uid="{00000000-0005-0000-0000-0000BD7E0000}"/>
    <cellStyle name="Summa 3 4 11 4" xfId="27199" xr:uid="{00000000-0005-0000-0000-0000BE7E0000}"/>
    <cellStyle name="Summa 3 4 11 5" xfId="26864" xr:uid="{00000000-0005-0000-0000-0000BF7E0000}"/>
    <cellStyle name="Summa 3 4 11_DataIX" xfId="35068" xr:uid="{00000000-0005-0000-0000-0000C07E0000}"/>
    <cellStyle name="Summa 3 4 12" xfId="13471" xr:uid="{00000000-0005-0000-0000-0000C17E0000}"/>
    <cellStyle name="Summa 3 4 13" xfId="13060" xr:uid="{00000000-0005-0000-0000-0000C27E0000}"/>
    <cellStyle name="Summa 3 4 14" xfId="22368" xr:uid="{00000000-0005-0000-0000-0000C37E0000}"/>
    <cellStyle name="Summa 3 4 15" xfId="22549" xr:uid="{00000000-0005-0000-0000-0000C47E0000}"/>
    <cellStyle name="Summa 3 4 16" xfId="22519" xr:uid="{00000000-0005-0000-0000-0000C57E0000}"/>
    <cellStyle name="Summa 3 4 17" xfId="22664" xr:uid="{00000000-0005-0000-0000-0000C67E0000}"/>
    <cellStyle name="Summa 3 4 18" xfId="27942" xr:uid="{00000000-0005-0000-0000-0000C77E0000}"/>
    <cellStyle name="Summa 3 4 19" xfId="27865" xr:uid="{00000000-0005-0000-0000-0000C87E0000}"/>
    <cellStyle name="Summa 3 4 2" xfId="5206" xr:uid="{00000000-0005-0000-0000-0000C97E0000}"/>
    <cellStyle name="Summa 3 4 2 2" xfId="10443" xr:uid="{00000000-0005-0000-0000-0000CA7E0000}"/>
    <cellStyle name="Summa 3 4 2 3" xfId="18536" xr:uid="{00000000-0005-0000-0000-0000CB7E0000}"/>
    <cellStyle name="Summa 3 4 2 3 2" xfId="13559" xr:uid="{00000000-0005-0000-0000-0000CC7E0000}"/>
    <cellStyle name="Summa 3 4 2 3_DataIX" xfId="35070" xr:uid="{00000000-0005-0000-0000-0000CD7E0000}"/>
    <cellStyle name="Summa 3 4 2 4" xfId="19057" xr:uid="{00000000-0005-0000-0000-0000CE7E0000}"/>
    <cellStyle name="Summa 3 4 2 4 2" xfId="12719" xr:uid="{00000000-0005-0000-0000-0000CF7E0000}"/>
    <cellStyle name="Summa 3 4 2 4_DataIX" xfId="35071" xr:uid="{00000000-0005-0000-0000-0000D07E0000}"/>
    <cellStyle name="Summa 3 4 2_DataIX" xfId="35069" xr:uid="{00000000-0005-0000-0000-0000D17E0000}"/>
    <cellStyle name="Summa 3 4 20" xfId="28275" xr:uid="{00000000-0005-0000-0000-0000D27E0000}"/>
    <cellStyle name="Summa 3 4 21" xfId="28196" xr:uid="{00000000-0005-0000-0000-0000D37E0000}"/>
    <cellStyle name="Summa 3 4 22" xfId="28463" xr:uid="{00000000-0005-0000-0000-0000D47E0000}"/>
    <cellStyle name="Summa 3 4 23" xfId="28322" xr:uid="{00000000-0005-0000-0000-0000D57E0000}"/>
    <cellStyle name="Summa 3 4 24" xfId="28759" xr:uid="{00000000-0005-0000-0000-0000D67E0000}"/>
    <cellStyle name="Summa 3 4 25" xfId="28910" xr:uid="{00000000-0005-0000-0000-0000D77E0000}"/>
    <cellStyle name="Summa 3 4 26" xfId="28684" xr:uid="{00000000-0005-0000-0000-0000D87E0000}"/>
    <cellStyle name="Summa 3 4 27" xfId="28840" xr:uid="{00000000-0005-0000-0000-0000D97E0000}"/>
    <cellStyle name="Summa 3 4 28" xfId="29076" xr:uid="{00000000-0005-0000-0000-0000DA7E0000}"/>
    <cellStyle name="Summa 3 4 29" xfId="29001" xr:uid="{00000000-0005-0000-0000-0000DB7E0000}"/>
    <cellStyle name="Summa 3 4 3" xfId="5382" xr:uid="{00000000-0005-0000-0000-0000DC7E0000}"/>
    <cellStyle name="Summa 3 4 3 2" xfId="12875" xr:uid="{00000000-0005-0000-0000-0000DD7E0000}"/>
    <cellStyle name="Summa 3 4 3 3" xfId="18706" xr:uid="{00000000-0005-0000-0000-0000DE7E0000}"/>
    <cellStyle name="Summa 3 4 3 3 2" xfId="21963" xr:uid="{00000000-0005-0000-0000-0000DF7E0000}"/>
    <cellStyle name="Summa 3 4 3 3_DataIX" xfId="35073" xr:uid="{00000000-0005-0000-0000-0000E07E0000}"/>
    <cellStyle name="Summa 3 4 3 4" xfId="20463" xr:uid="{00000000-0005-0000-0000-0000E17E0000}"/>
    <cellStyle name="Summa 3 4 3 4 2" xfId="21860" xr:uid="{00000000-0005-0000-0000-0000E27E0000}"/>
    <cellStyle name="Summa 3 4 3 4_DataIX" xfId="35074" xr:uid="{00000000-0005-0000-0000-0000E37E0000}"/>
    <cellStyle name="Summa 3 4 3_DataIX" xfId="35072" xr:uid="{00000000-0005-0000-0000-0000E47E0000}"/>
    <cellStyle name="Summa 3 4 4" xfId="13281" xr:uid="{00000000-0005-0000-0000-0000E57E0000}"/>
    <cellStyle name="Summa 3 4 4 2" xfId="20870" xr:uid="{00000000-0005-0000-0000-0000E67E0000}"/>
    <cellStyle name="Summa 3 4 4 2 2" xfId="21680" xr:uid="{00000000-0005-0000-0000-0000E77E0000}"/>
    <cellStyle name="Summa 3 4 4 2_DataIX" xfId="35076" xr:uid="{00000000-0005-0000-0000-0000E87E0000}"/>
    <cellStyle name="Summa 3 4 4 3" xfId="21258" xr:uid="{00000000-0005-0000-0000-0000E97E0000}"/>
    <cellStyle name="Summa 3 4 4 3 2" xfId="22147" xr:uid="{00000000-0005-0000-0000-0000EA7E0000}"/>
    <cellStyle name="Summa 3 4 4 3_DataIX" xfId="35077" xr:uid="{00000000-0005-0000-0000-0000EB7E0000}"/>
    <cellStyle name="Summa 3 4 4 4" xfId="21511" xr:uid="{00000000-0005-0000-0000-0000EC7E0000}"/>
    <cellStyle name="Summa 3 4 4 5" xfId="25212" xr:uid="{00000000-0005-0000-0000-0000ED7E0000}"/>
    <cellStyle name="Summa 3 4 4 6" xfId="26994" xr:uid="{00000000-0005-0000-0000-0000EE7E0000}"/>
    <cellStyle name="Summa 3 4 4 7" xfId="26792" xr:uid="{00000000-0005-0000-0000-0000EF7E0000}"/>
    <cellStyle name="Summa 3 4 4_DataIX" xfId="35075" xr:uid="{00000000-0005-0000-0000-0000F07E0000}"/>
    <cellStyle name="Summa 3 4 5" xfId="13232" xr:uid="{00000000-0005-0000-0000-0000F17E0000}"/>
    <cellStyle name="Summa 3 4 5 2" xfId="20842" xr:uid="{00000000-0005-0000-0000-0000F27E0000}"/>
    <cellStyle name="Summa 3 4 5 2 2" xfId="11105" xr:uid="{00000000-0005-0000-0000-0000F37E0000}"/>
    <cellStyle name="Summa 3 4 5 2_DataIX" xfId="35079" xr:uid="{00000000-0005-0000-0000-0000F47E0000}"/>
    <cellStyle name="Summa 3 4 5 3" xfId="21218" xr:uid="{00000000-0005-0000-0000-0000F57E0000}"/>
    <cellStyle name="Summa 3 4 5 3 2" xfId="21767" xr:uid="{00000000-0005-0000-0000-0000F67E0000}"/>
    <cellStyle name="Summa 3 4 5 3_DataIX" xfId="35080" xr:uid="{00000000-0005-0000-0000-0000F77E0000}"/>
    <cellStyle name="Summa 3 4 5 4" xfId="21509" xr:uid="{00000000-0005-0000-0000-0000F87E0000}"/>
    <cellStyle name="Summa 3 4 5 5" xfId="26467" xr:uid="{00000000-0005-0000-0000-0000F97E0000}"/>
    <cellStyle name="Summa 3 4 5 6" xfId="27487" xr:uid="{00000000-0005-0000-0000-0000FA7E0000}"/>
    <cellStyle name="Summa 3 4 5 7" xfId="26827" xr:uid="{00000000-0005-0000-0000-0000FB7E0000}"/>
    <cellStyle name="Summa 3 4 5_DataIX" xfId="35078" xr:uid="{00000000-0005-0000-0000-0000FC7E0000}"/>
    <cellStyle name="Summa 3 4 6" xfId="13259" xr:uid="{00000000-0005-0000-0000-0000FD7E0000}"/>
    <cellStyle name="Summa 3 4 6 2" xfId="21237" xr:uid="{00000000-0005-0000-0000-0000FE7E0000}"/>
    <cellStyle name="Summa 3 4 6 2 2" xfId="22007" xr:uid="{00000000-0005-0000-0000-0000FF7E0000}"/>
    <cellStyle name="Summa 3 4 6 2_DataIX" xfId="35082" xr:uid="{00000000-0005-0000-0000-0000007F0000}"/>
    <cellStyle name="Summa 3 4 6 3" xfId="10970" xr:uid="{00000000-0005-0000-0000-0000017F0000}"/>
    <cellStyle name="Summa 3 4 6 4" xfId="25352" xr:uid="{00000000-0005-0000-0000-0000027F0000}"/>
    <cellStyle name="Summa 3 4 6 5" xfId="27064" xr:uid="{00000000-0005-0000-0000-0000037F0000}"/>
    <cellStyle name="Summa 3 4 6 6" xfId="22823" xr:uid="{00000000-0005-0000-0000-0000047F0000}"/>
    <cellStyle name="Summa 3 4 6_DataIX" xfId="35081" xr:uid="{00000000-0005-0000-0000-0000057F0000}"/>
    <cellStyle name="Summa 3 4 7" xfId="10739" xr:uid="{00000000-0005-0000-0000-0000067F0000}"/>
    <cellStyle name="Summa 3 4 7 2" xfId="21051" xr:uid="{00000000-0005-0000-0000-0000077F0000}"/>
    <cellStyle name="Summa 3 4 7 2 2" xfId="13735" xr:uid="{00000000-0005-0000-0000-0000087F0000}"/>
    <cellStyle name="Summa 3 4 7 2_DataIX" xfId="35084" xr:uid="{00000000-0005-0000-0000-0000097F0000}"/>
    <cellStyle name="Summa 3 4 7 3" xfId="21530" xr:uid="{00000000-0005-0000-0000-00000A7F0000}"/>
    <cellStyle name="Summa 3 4 7 4" xfId="25313" xr:uid="{00000000-0005-0000-0000-00000B7F0000}"/>
    <cellStyle name="Summa 3 4 7 5" xfId="27045" xr:uid="{00000000-0005-0000-0000-00000C7F0000}"/>
    <cellStyle name="Summa 3 4 7 6" xfId="22816" xr:uid="{00000000-0005-0000-0000-00000D7F0000}"/>
    <cellStyle name="Summa 3 4 7_DataIX" xfId="35083" xr:uid="{00000000-0005-0000-0000-00000E7F0000}"/>
    <cellStyle name="Summa 3 4 8" xfId="11146" xr:uid="{00000000-0005-0000-0000-00000F7F0000}"/>
    <cellStyle name="Summa 3 4 8 2" xfId="21085" xr:uid="{00000000-0005-0000-0000-0000107F0000}"/>
    <cellStyle name="Summa 3 4 8 2 2" xfId="22000" xr:uid="{00000000-0005-0000-0000-0000117F0000}"/>
    <cellStyle name="Summa 3 4 8 2_DataIX" xfId="35086" xr:uid="{00000000-0005-0000-0000-0000127F0000}"/>
    <cellStyle name="Summa 3 4 8 3" xfId="21488" xr:uid="{00000000-0005-0000-0000-0000137F0000}"/>
    <cellStyle name="Summa 3 4 8 4" xfId="25720" xr:uid="{00000000-0005-0000-0000-0000147F0000}"/>
    <cellStyle name="Summa 3 4 8 5" xfId="27209" xr:uid="{00000000-0005-0000-0000-0000157F0000}"/>
    <cellStyle name="Summa 3 4 8 6" xfId="22831" xr:uid="{00000000-0005-0000-0000-0000167F0000}"/>
    <cellStyle name="Summa 3 4 8_DataIX" xfId="35085" xr:uid="{00000000-0005-0000-0000-0000177F0000}"/>
    <cellStyle name="Summa 3 4 9" xfId="10910" xr:uid="{00000000-0005-0000-0000-0000187F0000}"/>
    <cellStyle name="Summa 3 4 9 2" xfId="21071" xr:uid="{00000000-0005-0000-0000-0000197F0000}"/>
    <cellStyle name="Summa 3 4 9 2 2" xfId="21871" xr:uid="{00000000-0005-0000-0000-00001A7F0000}"/>
    <cellStyle name="Summa 3 4 9 2_DataIX" xfId="35088" xr:uid="{00000000-0005-0000-0000-00001B7F0000}"/>
    <cellStyle name="Summa 3 4 9 3" xfId="21531" xr:uid="{00000000-0005-0000-0000-00001C7F0000}"/>
    <cellStyle name="Summa 3 4 9 4" xfId="26678" xr:uid="{00000000-0005-0000-0000-00001D7F0000}"/>
    <cellStyle name="Summa 3 4 9 5" xfId="27579" xr:uid="{00000000-0005-0000-0000-00001E7F0000}"/>
    <cellStyle name="Summa 3 4 9 6" xfId="26825" xr:uid="{00000000-0005-0000-0000-00001F7F0000}"/>
    <cellStyle name="Summa 3 4 9_DataIX" xfId="35087" xr:uid="{00000000-0005-0000-0000-0000207F0000}"/>
    <cellStyle name="Summa 3 4_##Keskeiset" xfId="10442" xr:uid="{00000000-0005-0000-0000-0000217F0000}"/>
    <cellStyle name="Summa 3 5" xfId="5111" xr:uid="{00000000-0005-0000-0000-0000227F0000}"/>
    <cellStyle name="Summa 3 5 2" xfId="5690" xr:uid="{00000000-0005-0000-0000-0000237F0000}"/>
    <cellStyle name="Summa 3 5 2 2" xfId="12876" xr:uid="{00000000-0005-0000-0000-0000247F0000}"/>
    <cellStyle name="Summa 3 5 2 3" xfId="18904" xr:uid="{00000000-0005-0000-0000-0000257F0000}"/>
    <cellStyle name="Summa 3 5 2 3 2" xfId="20708" xr:uid="{00000000-0005-0000-0000-0000267F0000}"/>
    <cellStyle name="Summa 3 5 2 3_DataIX" xfId="35091" xr:uid="{00000000-0005-0000-0000-0000277F0000}"/>
    <cellStyle name="Summa 3 5 2 4" xfId="20428" xr:uid="{00000000-0005-0000-0000-0000287F0000}"/>
    <cellStyle name="Summa 3 5 2 4 2" xfId="12923" xr:uid="{00000000-0005-0000-0000-0000297F0000}"/>
    <cellStyle name="Summa 3 5 2 4_DataIX" xfId="35092" xr:uid="{00000000-0005-0000-0000-00002A7F0000}"/>
    <cellStyle name="Summa 3 5 2_DataIX" xfId="35090" xr:uid="{00000000-0005-0000-0000-00002B7F0000}"/>
    <cellStyle name="Summa 3 5 3" xfId="11176" xr:uid="{00000000-0005-0000-0000-00002C7F0000}"/>
    <cellStyle name="Summa 3 5 4" xfId="18450" xr:uid="{00000000-0005-0000-0000-00002D7F0000}"/>
    <cellStyle name="Summa 3 5 4 2" xfId="21954" xr:uid="{00000000-0005-0000-0000-00002E7F0000}"/>
    <cellStyle name="Summa 3 5 4_DataIX" xfId="35093" xr:uid="{00000000-0005-0000-0000-00002F7F0000}"/>
    <cellStyle name="Summa 3 5 5" xfId="19067" xr:uid="{00000000-0005-0000-0000-0000307F0000}"/>
    <cellStyle name="Summa 3 5 5 2" xfId="22198" xr:uid="{00000000-0005-0000-0000-0000317F0000}"/>
    <cellStyle name="Summa 3 5 5_DataIX" xfId="35094" xr:uid="{00000000-0005-0000-0000-0000327F0000}"/>
    <cellStyle name="Summa 3 5_DataIX" xfId="35089" xr:uid="{00000000-0005-0000-0000-0000337F0000}"/>
    <cellStyle name="Summa 3 6" xfId="5379" xr:uid="{00000000-0005-0000-0000-0000347F0000}"/>
    <cellStyle name="Summa 3 6 2" xfId="12877" xr:uid="{00000000-0005-0000-0000-0000357F0000}"/>
    <cellStyle name="Summa 3 6 3" xfId="18703" xr:uid="{00000000-0005-0000-0000-0000367F0000}"/>
    <cellStyle name="Summa 3 6 3 2" xfId="20618" xr:uid="{00000000-0005-0000-0000-0000377F0000}"/>
    <cellStyle name="Summa 3 6 3_DataIX" xfId="35096" xr:uid="{00000000-0005-0000-0000-0000387F0000}"/>
    <cellStyle name="Summa 3 6 4" xfId="18993" xr:uid="{00000000-0005-0000-0000-0000397F0000}"/>
    <cellStyle name="Summa 3 6 4 2" xfId="21971" xr:uid="{00000000-0005-0000-0000-00003A7F0000}"/>
    <cellStyle name="Summa 3 6 4_DataIX" xfId="35097" xr:uid="{00000000-0005-0000-0000-00003B7F0000}"/>
    <cellStyle name="Summa 3 6_DataIX" xfId="35095" xr:uid="{00000000-0005-0000-0000-00003C7F0000}"/>
    <cellStyle name="Summa 3 7" xfId="13283" xr:uid="{00000000-0005-0000-0000-00003D7F0000}"/>
    <cellStyle name="Summa 3 7 2" xfId="20872" xr:uid="{00000000-0005-0000-0000-00003E7F0000}"/>
    <cellStyle name="Summa 3 7 2 2" xfId="11325" xr:uid="{00000000-0005-0000-0000-00003F7F0000}"/>
    <cellStyle name="Summa 3 7 2_DataIX" xfId="35099" xr:uid="{00000000-0005-0000-0000-0000407F0000}"/>
    <cellStyle name="Summa 3 7 3" xfId="21260" xr:uid="{00000000-0005-0000-0000-0000417F0000}"/>
    <cellStyle name="Summa 3 7 3 2" xfId="13598" xr:uid="{00000000-0005-0000-0000-0000427F0000}"/>
    <cellStyle name="Summa 3 7 3_DataIX" xfId="35100" xr:uid="{00000000-0005-0000-0000-0000437F0000}"/>
    <cellStyle name="Summa 3 7 4" xfId="21833" xr:uid="{00000000-0005-0000-0000-0000447F0000}"/>
    <cellStyle name="Summa 3 7 5" xfId="25209" xr:uid="{00000000-0005-0000-0000-0000457F0000}"/>
    <cellStyle name="Summa 3 7 6" xfId="26991" xr:uid="{00000000-0005-0000-0000-0000467F0000}"/>
    <cellStyle name="Summa 3 7 7" xfId="22781" xr:uid="{00000000-0005-0000-0000-0000477F0000}"/>
    <cellStyle name="Summa 3 7_DataIX" xfId="35098" xr:uid="{00000000-0005-0000-0000-0000487F0000}"/>
    <cellStyle name="Summa 3 8" xfId="13353" xr:uid="{00000000-0005-0000-0000-0000497F0000}"/>
    <cellStyle name="Summa 3 8 2" xfId="20925" xr:uid="{00000000-0005-0000-0000-00004A7F0000}"/>
    <cellStyle name="Summa 3 8 2 2" xfId="13437" xr:uid="{00000000-0005-0000-0000-00004B7F0000}"/>
    <cellStyle name="Summa 3 8 2_DataIX" xfId="35102" xr:uid="{00000000-0005-0000-0000-00004C7F0000}"/>
    <cellStyle name="Summa 3 8 3" xfId="21313" xr:uid="{00000000-0005-0000-0000-00004D7F0000}"/>
    <cellStyle name="Summa 3 8 3 2" xfId="21917" xr:uid="{00000000-0005-0000-0000-00004E7F0000}"/>
    <cellStyle name="Summa 3 8 3_DataIX" xfId="35103" xr:uid="{00000000-0005-0000-0000-00004F7F0000}"/>
    <cellStyle name="Summa 3 8 4" xfId="10967" xr:uid="{00000000-0005-0000-0000-0000507F0000}"/>
    <cellStyle name="Summa 3 8 5" xfId="26118" xr:uid="{00000000-0005-0000-0000-0000517F0000}"/>
    <cellStyle name="Summa 3 8 6" xfId="27338" xr:uid="{00000000-0005-0000-0000-0000527F0000}"/>
    <cellStyle name="Summa 3 8 7" xfId="22963" xr:uid="{00000000-0005-0000-0000-0000537F0000}"/>
    <cellStyle name="Summa 3 8_DataIX" xfId="35101" xr:uid="{00000000-0005-0000-0000-0000547F0000}"/>
    <cellStyle name="Summa 3 9" xfId="13153" xr:uid="{00000000-0005-0000-0000-0000557F0000}"/>
    <cellStyle name="Summa 3 9 2" xfId="21156" xr:uid="{00000000-0005-0000-0000-0000567F0000}"/>
    <cellStyle name="Summa 3 9 2 2" xfId="20667" xr:uid="{00000000-0005-0000-0000-0000577F0000}"/>
    <cellStyle name="Summa 3 9 2_DataIX" xfId="35105" xr:uid="{00000000-0005-0000-0000-0000587F0000}"/>
    <cellStyle name="Summa 3 9 3" xfId="13030" xr:uid="{00000000-0005-0000-0000-0000597F0000}"/>
    <cellStyle name="Summa 3 9 4" xfId="25775" xr:uid="{00000000-0005-0000-0000-00005A7F0000}"/>
    <cellStyle name="Summa 3 9 5" xfId="27222" xr:uid="{00000000-0005-0000-0000-00005B7F0000}"/>
    <cellStyle name="Summa 3 9 6" xfId="26816" xr:uid="{00000000-0005-0000-0000-00005C7F0000}"/>
    <cellStyle name="Summa 3 9_DataIX" xfId="35104" xr:uid="{00000000-0005-0000-0000-00005D7F0000}"/>
    <cellStyle name="Summa 3_##Keskeiset" xfId="10438" xr:uid="{00000000-0005-0000-0000-00005E7F0000}"/>
    <cellStyle name="Summa 4" xfId="260" xr:uid="{00000000-0005-0000-0000-00005F7F0000}"/>
    <cellStyle name="Summa 4 10" xfId="12804" xr:uid="{00000000-0005-0000-0000-0000607F0000}"/>
    <cellStyle name="Summa 4 10 2" xfId="21097" xr:uid="{00000000-0005-0000-0000-0000617F0000}"/>
    <cellStyle name="Summa 4 10 2 2" xfId="12600" xr:uid="{00000000-0005-0000-0000-0000627F0000}"/>
    <cellStyle name="Summa 4 10 2_DataIX" xfId="35107" xr:uid="{00000000-0005-0000-0000-0000637F0000}"/>
    <cellStyle name="Summa 4 10 3" xfId="21801" xr:uid="{00000000-0005-0000-0000-0000647F0000}"/>
    <cellStyle name="Summa 4 10 4" xfId="26199" xr:uid="{00000000-0005-0000-0000-0000657F0000}"/>
    <cellStyle name="Summa 4 10 5" xfId="27378" xr:uid="{00000000-0005-0000-0000-0000667F0000}"/>
    <cellStyle name="Summa 4 10 6" xfId="26784" xr:uid="{00000000-0005-0000-0000-0000677F0000}"/>
    <cellStyle name="Summa 4 10_DataIX" xfId="35106" xr:uid="{00000000-0005-0000-0000-0000687F0000}"/>
    <cellStyle name="Summa 4 11" xfId="13834" xr:uid="{00000000-0005-0000-0000-0000697F0000}"/>
    <cellStyle name="Summa 4 11 2" xfId="13456" xr:uid="{00000000-0005-0000-0000-00006A7F0000}"/>
    <cellStyle name="Summa 4 11 3" xfId="26311" xr:uid="{00000000-0005-0000-0000-00006B7F0000}"/>
    <cellStyle name="Summa 4 11 4" xfId="27421" xr:uid="{00000000-0005-0000-0000-00006C7F0000}"/>
    <cellStyle name="Summa 4 11 5" xfId="27615" xr:uid="{00000000-0005-0000-0000-00006D7F0000}"/>
    <cellStyle name="Summa 4 11_DataIX" xfId="35108" xr:uid="{00000000-0005-0000-0000-00006E7F0000}"/>
    <cellStyle name="Summa 4 12" xfId="20301" xr:uid="{00000000-0005-0000-0000-00006F7F0000}"/>
    <cellStyle name="Summa 4 12 2" xfId="21925" xr:uid="{00000000-0005-0000-0000-0000707F0000}"/>
    <cellStyle name="Summa 4 12_DataIX" xfId="35109" xr:uid="{00000000-0005-0000-0000-0000717F0000}"/>
    <cellStyle name="Summa 4 13" xfId="11115" xr:uid="{00000000-0005-0000-0000-0000727F0000}"/>
    <cellStyle name="Summa 4 14" xfId="22369" xr:uid="{00000000-0005-0000-0000-0000737F0000}"/>
    <cellStyle name="Summa 4 15" xfId="22335" xr:uid="{00000000-0005-0000-0000-0000747F0000}"/>
    <cellStyle name="Summa 4 16" xfId="22669" xr:uid="{00000000-0005-0000-0000-0000757F0000}"/>
    <cellStyle name="Summa 4 17" xfId="22629" xr:uid="{00000000-0005-0000-0000-0000767F0000}"/>
    <cellStyle name="Summa 4 18" xfId="27943" xr:uid="{00000000-0005-0000-0000-0000777F0000}"/>
    <cellStyle name="Summa 4 19" xfId="27868" xr:uid="{00000000-0005-0000-0000-0000787F0000}"/>
    <cellStyle name="Summa 4 2" xfId="314" xr:uid="{00000000-0005-0000-0000-0000797F0000}"/>
    <cellStyle name="Summa 4 2 10" xfId="13878" xr:uid="{00000000-0005-0000-0000-00007A7F0000}"/>
    <cellStyle name="Summa 4 2 10 2" xfId="11018" xr:uid="{00000000-0005-0000-0000-00007B7F0000}"/>
    <cellStyle name="Summa 4 2 10 3" xfId="26361" xr:uid="{00000000-0005-0000-0000-00007C7F0000}"/>
    <cellStyle name="Summa 4 2 10 4" xfId="27444" xr:uid="{00000000-0005-0000-0000-00007D7F0000}"/>
    <cellStyle name="Summa 4 2 10 5" xfId="23128" xr:uid="{00000000-0005-0000-0000-00007E7F0000}"/>
    <cellStyle name="Summa 4 2 10_DataIX" xfId="35110" xr:uid="{00000000-0005-0000-0000-00007F7F0000}"/>
    <cellStyle name="Summa 4 2 11" xfId="20280" xr:uid="{00000000-0005-0000-0000-0000807F0000}"/>
    <cellStyle name="Summa 4 2 11 2" xfId="21855" xr:uid="{00000000-0005-0000-0000-0000817F0000}"/>
    <cellStyle name="Summa 4 2 11 3" xfId="26033" xr:uid="{00000000-0005-0000-0000-0000827F0000}"/>
    <cellStyle name="Summa 4 2 11 4" xfId="27302" xr:uid="{00000000-0005-0000-0000-0000837F0000}"/>
    <cellStyle name="Summa 4 2 11 5" xfId="22985" xr:uid="{00000000-0005-0000-0000-0000847F0000}"/>
    <cellStyle name="Summa 4 2 11_DataIX" xfId="35111" xr:uid="{00000000-0005-0000-0000-0000857F0000}"/>
    <cellStyle name="Summa 4 2 12" xfId="11003" xr:uid="{00000000-0005-0000-0000-0000867F0000}"/>
    <cellStyle name="Summa 4 2 13" xfId="10694" xr:uid="{00000000-0005-0000-0000-0000877F0000}"/>
    <cellStyle name="Summa 4 2 14" xfId="22370" xr:uid="{00000000-0005-0000-0000-0000887F0000}"/>
    <cellStyle name="Summa 4 2 15" xfId="22288" xr:uid="{00000000-0005-0000-0000-0000897F0000}"/>
    <cellStyle name="Summa 4 2 16" xfId="22689" xr:uid="{00000000-0005-0000-0000-00008A7F0000}"/>
    <cellStyle name="Summa 4 2 17" xfId="22413" xr:uid="{00000000-0005-0000-0000-00008B7F0000}"/>
    <cellStyle name="Summa 4 2 18" xfId="27944" xr:uid="{00000000-0005-0000-0000-00008C7F0000}"/>
    <cellStyle name="Summa 4 2 19" xfId="27869" xr:uid="{00000000-0005-0000-0000-00008D7F0000}"/>
    <cellStyle name="Summa 4 2 2" xfId="5204" xr:uid="{00000000-0005-0000-0000-00008E7F0000}"/>
    <cellStyle name="Summa 4 2 2 2" xfId="10446" xr:uid="{00000000-0005-0000-0000-00008F7F0000}"/>
    <cellStyle name="Summa 4 2 2 3" xfId="18534" xr:uid="{00000000-0005-0000-0000-0000907F0000}"/>
    <cellStyle name="Summa 4 2 2 3 2" xfId="21956" xr:uid="{00000000-0005-0000-0000-0000917F0000}"/>
    <cellStyle name="Summa 4 2 2 3_DataIX" xfId="35113" xr:uid="{00000000-0005-0000-0000-0000927F0000}"/>
    <cellStyle name="Summa 4 2 2 4" xfId="19056" xr:uid="{00000000-0005-0000-0000-0000937F0000}"/>
    <cellStyle name="Summa 4 2 2 4 2" xfId="20631" xr:uid="{00000000-0005-0000-0000-0000947F0000}"/>
    <cellStyle name="Summa 4 2 2 4_DataIX" xfId="35114" xr:uid="{00000000-0005-0000-0000-0000957F0000}"/>
    <cellStyle name="Summa 4 2 2_DataIX" xfId="35112" xr:uid="{00000000-0005-0000-0000-0000967F0000}"/>
    <cellStyle name="Summa 4 2 20" xfId="28277" xr:uid="{00000000-0005-0000-0000-0000977F0000}"/>
    <cellStyle name="Summa 4 2 21" xfId="28199" xr:uid="{00000000-0005-0000-0000-0000987F0000}"/>
    <cellStyle name="Summa 4 2 22" xfId="28461" xr:uid="{00000000-0005-0000-0000-0000997F0000}"/>
    <cellStyle name="Summa 4 2 23" xfId="28321" xr:uid="{00000000-0005-0000-0000-00009A7F0000}"/>
    <cellStyle name="Summa 4 2 24" xfId="28757" xr:uid="{00000000-0005-0000-0000-00009B7F0000}"/>
    <cellStyle name="Summa 4 2 25" xfId="28908" xr:uid="{00000000-0005-0000-0000-00009C7F0000}"/>
    <cellStyle name="Summa 4 2 26" xfId="28682" xr:uid="{00000000-0005-0000-0000-00009D7F0000}"/>
    <cellStyle name="Summa 4 2 27" xfId="28838" xr:uid="{00000000-0005-0000-0000-00009E7F0000}"/>
    <cellStyle name="Summa 4 2 28" xfId="29078" xr:uid="{00000000-0005-0000-0000-00009F7F0000}"/>
    <cellStyle name="Summa 4 2 29" xfId="29002" xr:uid="{00000000-0005-0000-0000-0000A07F0000}"/>
    <cellStyle name="Summa 4 2 3" xfId="5384" xr:uid="{00000000-0005-0000-0000-0000A17F0000}"/>
    <cellStyle name="Summa 4 2 3 2" xfId="12878" xr:uid="{00000000-0005-0000-0000-0000A27F0000}"/>
    <cellStyle name="Summa 4 2 3 3" xfId="18708" xr:uid="{00000000-0005-0000-0000-0000A37F0000}"/>
    <cellStyle name="Summa 4 2 3 3 2" xfId="10689" xr:uid="{00000000-0005-0000-0000-0000A47F0000}"/>
    <cellStyle name="Summa 4 2 3 3_DataIX" xfId="35116" xr:uid="{00000000-0005-0000-0000-0000A57F0000}"/>
    <cellStyle name="Summa 4 2 3 4" xfId="18991" xr:uid="{00000000-0005-0000-0000-0000A67F0000}"/>
    <cellStyle name="Summa 4 2 3 4 2" xfId="22206" xr:uid="{00000000-0005-0000-0000-0000A77F0000}"/>
    <cellStyle name="Summa 4 2 3 4_DataIX" xfId="35117" xr:uid="{00000000-0005-0000-0000-0000A87F0000}"/>
    <cellStyle name="Summa 4 2 3_DataIX" xfId="35115" xr:uid="{00000000-0005-0000-0000-0000A97F0000}"/>
    <cellStyle name="Summa 4 2 4" xfId="13280" xr:uid="{00000000-0005-0000-0000-0000AA7F0000}"/>
    <cellStyle name="Summa 4 2 4 2" xfId="20869" xr:uid="{00000000-0005-0000-0000-0000AB7F0000}"/>
    <cellStyle name="Summa 4 2 4 2 2" xfId="21669" xr:uid="{00000000-0005-0000-0000-0000AC7F0000}"/>
    <cellStyle name="Summa 4 2 4 2_DataIX" xfId="35119" xr:uid="{00000000-0005-0000-0000-0000AD7F0000}"/>
    <cellStyle name="Summa 4 2 4 3" xfId="21257" xr:uid="{00000000-0005-0000-0000-0000AE7F0000}"/>
    <cellStyle name="Summa 4 2 4 3 2" xfId="11247" xr:uid="{00000000-0005-0000-0000-0000AF7F0000}"/>
    <cellStyle name="Summa 4 2 4 3_DataIX" xfId="35120" xr:uid="{00000000-0005-0000-0000-0000B07F0000}"/>
    <cellStyle name="Summa 4 2 4 4" xfId="11091" xr:uid="{00000000-0005-0000-0000-0000B17F0000}"/>
    <cellStyle name="Summa 4 2 4 5" xfId="25214" xr:uid="{00000000-0005-0000-0000-0000B27F0000}"/>
    <cellStyle name="Summa 4 2 4 6" xfId="26996" xr:uid="{00000000-0005-0000-0000-0000B37F0000}"/>
    <cellStyle name="Summa 4 2 4 7" xfId="27620" xr:uid="{00000000-0005-0000-0000-0000B47F0000}"/>
    <cellStyle name="Summa 4 2 4_DataIX" xfId="35118" xr:uid="{00000000-0005-0000-0000-0000B57F0000}"/>
    <cellStyle name="Summa 4 2 5" xfId="13354" xr:uid="{00000000-0005-0000-0000-0000B67F0000}"/>
    <cellStyle name="Summa 4 2 5 2" xfId="20926" xr:uid="{00000000-0005-0000-0000-0000B77F0000}"/>
    <cellStyle name="Summa 4 2 5 2 2" xfId="11090" xr:uid="{00000000-0005-0000-0000-0000B87F0000}"/>
    <cellStyle name="Summa 4 2 5 2_DataIX" xfId="35122" xr:uid="{00000000-0005-0000-0000-0000B97F0000}"/>
    <cellStyle name="Summa 4 2 5 3" xfId="21314" xr:uid="{00000000-0005-0000-0000-0000BA7F0000}"/>
    <cellStyle name="Summa 4 2 5 3 2" xfId="13605" xr:uid="{00000000-0005-0000-0000-0000BB7F0000}"/>
    <cellStyle name="Summa 4 2 5 3_DataIX" xfId="35123" xr:uid="{00000000-0005-0000-0000-0000BC7F0000}"/>
    <cellStyle name="Summa 4 2 5 4" xfId="20620" xr:uid="{00000000-0005-0000-0000-0000BD7F0000}"/>
    <cellStyle name="Summa 4 2 5 5" xfId="25633" xr:uid="{00000000-0005-0000-0000-0000BE7F0000}"/>
    <cellStyle name="Summa 4 2 5 6" xfId="27173" xr:uid="{00000000-0005-0000-0000-0000BF7F0000}"/>
    <cellStyle name="Summa 4 2 5 7" xfId="22754" xr:uid="{00000000-0005-0000-0000-0000C07F0000}"/>
    <cellStyle name="Summa 4 2 5_DataIX" xfId="35121" xr:uid="{00000000-0005-0000-0000-0000C17F0000}"/>
    <cellStyle name="Summa 4 2 6" xfId="13402" xr:uid="{00000000-0005-0000-0000-0000C27F0000}"/>
    <cellStyle name="Summa 4 2 6 2" xfId="21353" xr:uid="{00000000-0005-0000-0000-0000C37F0000}"/>
    <cellStyle name="Summa 4 2 6 2 2" xfId="13547" xr:uid="{00000000-0005-0000-0000-0000C47F0000}"/>
    <cellStyle name="Summa 4 2 6 2_DataIX" xfId="35125" xr:uid="{00000000-0005-0000-0000-0000C57F0000}"/>
    <cellStyle name="Summa 4 2 6 3" xfId="12726" xr:uid="{00000000-0005-0000-0000-0000C67F0000}"/>
    <cellStyle name="Summa 4 2 6 4" xfId="25776" xr:uid="{00000000-0005-0000-0000-0000C77F0000}"/>
    <cellStyle name="Summa 4 2 6 5" xfId="27223" xr:uid="{00000000-0005-0000-0000-0000C87F0000}"/>
    <cellStyle name="Summa 4 2 6 6" xfId="22962" xr:uid="{00000000-0005-0000-0000-0000C97F0000}"/>
    <cellStyle name="Summa 4 2 6_DataIX" xfId="35124" xr:uid="{00000000-0005-0000-0000-0000CA7F0000}"/>
    <cellStyle name="Summa 4 2 7" xfId="10741" xr:uid="{00000000-0005-0000-0000-0000CB7F0000}"/>
    <cellStyle name="Summa 4 2 7 2" xfId="21053" xr:uid="{00000000-0005-0000-0000-0000CC7F0000}"/>
    <cellStyle name="Summa 4 2 7 2 2" xfId="21902" xr:uid="{00000000-0005-0000-0000-0000CD7F0000}"/>
    <cellStyle name="Summa 4 2 7 2_DataIX" xfId="35127" xr:uid="{00000000-0005-0000-0000-0000CE7F0000}"/>
    <cellStyle name="Summa 4 2 7 3" xfId="21864" xr:uid="{00000000-0005-0000-0000-0000CF7F0000}"/>
    <cellStyle name="Summa 4 2 7 4" xfId="25597" xr:uid="{00000000-0005-0000-0000-0000D07F0000}"/>
    <cellStyle name="Summa 4 2 7 5" xfId="27159" xr:uid="{00000000-0005-0000-0000-0000D17F0000}"/>
    <cellStyle name="Summa 4 2 7 6" xfId="26787" xr:uid="{00000000-0005-0000-0000-0000D27F0000}"/>
    <cellStyle name="Summa 4 2 7_DataIX" xfId="35126" xr:uid="{00000000-0005-0000-0000-0000D37F0000}"/>
    <cellStyle name="Summa 4 2 8" xfId="12807" xr:uid="{00000000-0005-0000-0000-0000D47F0000}"/>
    <cellStyle name="Summa 4 2 8 2" xfId="21100" xr:uid="{00000000-0005-0000-0000-0000D57F0000}"/>
    <cellStyle name="Summa 4 2 8 2 2" xfId="10979" xr:uid="{00000000-0005-0000-0000-0000D67F0000}"/>
    <cellStyle name="Summa 4 2 8 2_DataIX" xfId="35129" xr:uid="{00000000-0005-0000-0000-0000D77F0000}"/>
    <cellStyle name="Summa 4 2 8 3" xfId="11323" xr:uid="{00000000-0005-0000-0000-0000D87F0000}"/>
    <cellStyle name="Summa 4 2 8 4" xfId="25606" xr:uid="{00000000-0005-0000-0000-0000D97F0000}"/>
    <cellStyle name="Summa 4 2 8 5" xfId="27162" xr:uid="{00000000-0005-0000-0000-0000DA7F0000}"/>
    <cellStyle name="Summa 4 2 8 6" xfId="23091" xr:uid="{00000000-0005-0000-0000-0000DB7F0000}"/>
    <cellStyle name="Summa 4 2 8_DataIX" xfId="35128" xr:uid="{00000000-0005-0000-0000-0000DC7F0000}"/>
    <cellStyle name="Summa 4 2 9" xfId="13671" xr:uid="{00000000-0005-0000-0000-0000DD7F0000}"/>
    <cellStyle name="Summa 4 2 9 2" xfId="21372" xr:uid="{00000000-0005-0000-0000-0000DE7F0000}"/>
    <cellStyle name="Summa 4 2 9 2 2" xfId="22218" xr:uid="{00000000-0005-0000-0000-0000DF7F0000}"/>
    <cellStyle name="Summa 4 2 9 2_DataIX" xfId="35131" xr:uid="{00000000-0005-0000-0000-0000E07F0000}"/>
    <cellStyle name="Summa 4 2 9 3" xfId="10894" xr:uid="{00000000-0005-0000-0000-0000E17F0000}"/>
    <cellStyle name="Summa 4 2 9 4" xfId="25322" xr:uid="{00000000-0005-0000-0000-0000E27F0000}"/>
    <cellStyle name="Summa 4 2 9 5" xfId="27049" xr:uid="{00000000-0005-0000-0000-0000E37F0000}"/>
    <cellStyle name="Summa 4 2 9 6" xfId="26880" xr:uid="{00000000-0005-0000-0000-0000E47F0000}"/>
    <cellStyle name="Summa 4 2 9_DataIX" xfId="35130" xr:uid="{00000000-0005-0000-0000-0000E57F0000}"/>
    <cellStyle name="Summa 4 2_##Keskeiset" xfId="10445" xr:uid="{00000000-0005-0000-0000-0000E67F0000}"/>
    <cellStyle name="Summa 4 20" xfId="28276" xr:uid="{00000000-0005-0000-0000-0000E77F0000}"/>
    <cellStyle name="Summa 4 21" xfId="28198" xr:uid="{00000000-0005-0000-0000-0000E87F0000}"/>
    <cellStyle name="Summa 4 22" xfId="28462" xr:uid="{00000000-0005-0000-0000-0000E97F0000}"/>
    <cellStyle name="Summa 4 23" xfId="28446" xr:uid="{00000000-0005-0000-0000-0000EA7F0000}"/>
    <cellStyle name="Summa 4 24" xfId="28758" xr:uid="{00000000-0005-0000-0000-0000EB7F0000}"/>
    <cellStyle name="Summa 4 25" xfId="28909" xr:uid="{00000000-0005-0000-0000-0000EC7F0000}"/>
    <cellStyle name="Summa 4 26" xfId="28683" xr:uid="{00000000-0005-0000-0000-0000ED7F0000}"/>
    <cellStyle name="Summa 4 27" xfId="28839" xr:uid="{00000000-0005-0000-0000-0000EE7F0000}"/>
    <cellStyle name="Summa 4 28" xfId="29077" xr:uid="{00000000-0005-0000-0000-0000EF7F0000}"/>
    <cellStyle name="Summa 4 29" xfId="29003" xr:uid="{00000000-0005-0000-0000-0000F07F0000}"/>
    <cellStyle name="Summa 4 3" xfId="5205" xr:uid="{00000000-0005-0000-0000-0000F17F0000}"/>
    <cellStyle name="Summa 4 3 2" xfId="5691" xr:uid="{00000000-0005-0000-0000-0000F27F0000}"/>
    <cellStyle name="Summa 4 3 2 2" xfId="12879" xr:uid="{00000000-0005-0000-0000-0000F37F0000}"/>
    <cellStyle name="Summa 4 3 2 3" xfId="18905" xr:uid="{00000000-0005-0000-0000-0000F47F0000}"/>
    <cellStyle name="Summa 4 3 2 3 2" xfId="21883" xr:uid="{00000000-0005-0000-0000-0000F57F0000}"/>
    <cellStyle name="Summa 4 3 2 3_DataIX" xfId="35134" xr:uid="{00000000-0005-0000-0000-0000F67F0000}"/>
    <cellStyle name="Summa 4 3 2 4" xfId="18943" xr:uid="{00000000-0005-0000-0000-0000F77F0000}"/>
    <cellStyle name="Summa 4 3 2 4 2" xfId="21594" xr:uid="{00000000-0005-0000-0000-0000F87F0000}"/>
    <cellStyle name="Summa 4 3 2 4_DataIX" xfId="35135" xr:uid="{00000000-0005-0000-0000-0000F97F0000}"/>
    <cellStyle name="Summa 4 3 2_DataIX" xfId="35133" xr:uid="{00000000-0005-0000-0000-0000FA7F0000}"/>
    <cellStyle name="Summa 4 3 3" xfId="11177" xr:uid="{00000000-0005-0000-0000-0000FB7F0000}"/>
    <cellStyle name="Summa 4 3 4" xfId="18535" xr:uid="{00000000-0005-0000-0000-0000FC7F0000}"/>
    <cellStyle name="Summa 4 3 4 2" xfId="21752" xr:uid="{00000000-0005-0000-0000-0000FD7F0000}"/>
    <cellStyle name="Summa 4 3 4_DataIX" xfId="35136" xr:uid="{00000000-0005-0000-0000-0000FE7F0000}"/>
    <cellStyle name="Summa 4 3 5" xfId="20536" xr:uid="{00000000-0005-0000-0000-0000FF7F0000}"/>
    <cellStyle name="Summa 4 3 5 2" xfId="21448" xr:uid="{00000000-0005-0000-0000-000000800000}"/>
    <cellStyle name="Summa 4 3 5_DataIX" xfId="35137" xr:uid="{00000000-0005-0000-0000-000001800000}"/>
    <cellStyle name="Summa 4 3_DataIX" xfId="35132" xr:uid="{00000000-0005-0000-0000-000002800000}"/>
    <cellStyle name="Summa 4 4" xfId="5383" xr:uid="{00000000-0005-0000-0000-000003800000}"/>
    <cellStyle name="Summa 4 4 2" xfId="12880" xr:uid="{00000000-0005-0000-0000-000004800000}"/>
    <cellStyle name="Summa 4 4 3" xfId="18707" xr:uid="{00000000-0005-0000-0000-000005800000}"/>
    <cellStyle name="Summa 4 4 3 2" xfId="13003" xr:uid="{00000000-0005-0000-0000-000006800000}"/>
    <cellStyle name="Summa 4 4 3_DataIX" xfId="35139" xr:uid="{00000000-0005-0000-0000-000007800000}"/>
    <cellStyle name="Summa 4 4 4" xfId="20473" xr:uid="{00000000-0005-0000-0000-000008800000}"/>
    <cellStyle name="Summa 4 4 4 2" xfId="11078" xr:uid="{00000000-0005-0000-0000-000009800000}"/>
    <cellStyle name="Summa 4 4 4_DataIX" xfId="35140" xr:uid="{00000000-0005-0000-0000-00000A800000}"/>
    <cellStyle name="Summa 4 4_DataIX" xfId="35138" xr:uid="{00000000-0005-0000-0000-00000B800000}"/>
    <cellStyle name="Summa 4 5" xfId="13382" xr:uid="{00000000-0005-0000-0000-00000C800000}"/>
    <cellStyle name="Summa 4 5 2" xfId="20940" xr:uid="{00000000-0005-0000-0000-00000D800000}"/>
    <cellStyle name="Summa 4 5 2 2" xfId="11260" xr:uid="{00000000-0005-0000-0000-00000E800000}"/>
    <cellStyle name="Summa 4 5 2_DataIX" xfId="35142" xr:uid="{00000000-0005-0000-0000-00000F800000}"/>
    <cellStyle name="Summa 4 5 3" xfId="21337" xr:uid="{00000000-0005-0000-0000-000010800000}"/>
    <cellStyle name="Summa 4 5 3 2" xfId="21446" xr:uid="{00000000-0005-0000-0000-000011800000}"/>
    <cellStyle name="Summa 4 5 3_DataIX" xfId="35143" xr:uid="{00000000-0005-0000-0000-000012800000}"/>
    <cellStyle name="Summa 4 5 4" xfId="13656" xr:uid="{00000000-0005-0000-0000-000013800000}"/>
    <cellStyle name="Summa 4 5 5" xfId="25213" xr:uid="{00000000-0005-0000-0000-000014800000}"/>
    <cellStyle name="Summa 4 5 6" xfId="26995" xr:uid="{00000000-0005-0000-0000-000015800000}"/>
    <cellStyle name="Summa 4 5 7" xfId="26821" xr:uid="{00000000-0005-0000-0000-000016800000}"/>
    <cellStyle name="Summa 4 5_DataIX" xfId="35141" xr:uid="{00000000-0005-0000-0000-000017800000}"/>
    <cellStyle name="Summa 4 6" xfId="13330" xr:uid="{00000000-0005-0000-0000-000018800000}"/>
    <cellStyle name="Summa 4 6 2" xfId="20911" xr:uid="{00000000-0005-0000-0000-000019800000}"/>
    <cellStyle name="Summa 4 6 2 2" xfId="13510" xr:uid="{00000000-0005-0000-0000-00001A800000}"/>
    <cellStyle name="Summa 4 6 2_DataIX" xfId="35145" xr:uid="{00000000-0005-0000-0000-00001B800000}"/>
    <cellStyle name="Summa 4 6 3" xfId="21297" xr:uid="{00000000-0005-0000-0000-00001C800000}"/>
    <cellStyle name="Summa 4 6 3 2" xfId="20665" xr:uid="{00000000-0005-0000-0000-00001D800000}"/>
    <cellStyle name="Summa 4 6 3_DataIX" xfId="35146" xr:uid="{00000000-0005-0000-0000-00001E800000}"/>
    <cellStyle name="Summa 4 6 4" xfId="21878" xr:uid="{00000000-0005-0000-0000-00001F800000}"/>
    <cellStyle name="Summa 4 6 5" xfId="26116" xr:uid="{00000000-0005-0000-0000-000020800000}"/>
    <cellStyle name="Summa 4 6 6" xfId="27336" xr:uid="{00000000-0005-0000-0000-000021800000}"/>
    <cellStyle name="Summa 4 6 7" xfId="26786" xr:uid="{00000000-0005-0000-0000-000022800000}"/>
    <cellStyle name="Summa 4 6_DataIX" xfId="35144" xr:uid="{00000000-0005-0000-0000-000023800000}"/>
    <cellStyle name="Summa 4 7" xfId="13368" xr:uid="{00000000-0005-0000-0000-000024800000}"/>
    <cellStyle name="Summa 4 7 2" xfId="21325" xr:uid="{00000000-0005-0000-0000-000025800000}"/>
    <cellStyle name="Summa 4 7 2 2" xfId="18765" xr:uid="{00000000-0005-0000-0000-000026800000}"/>
    <cellStyle name="Summa 4 7 2_DataIX" xfId="35148" xr:uid="{00000000-0005-0000-0000-000027800000}"/>
    <cellStyle name="Summa 4 7 3" xfId="21390" xr:uid="{00000000-0005-0000-0000-000028800000}"/>
    <cellStyle name="Summa 4 7 4" xfId="26568" xr:uid="{00000000-0005-0000-0000-000029800000}"/>
    <cellStyle name="Summa 4 7 5" xfId="27529" xr:uid="{00000000-0005-0000-0000-00002A800000}"/>
    <cellStyle name="Summa 4 7 6" xfId="26836" xr:uid="{00000000-0005-0000-0000-00002B800000}"/>
    <cellStyle name="Summa 4 7_DataIX" xfId="35147" xr:uid="{00000000-0005-0000-0000-00002C800000}"/>
    <cellStyle name="Summa 4 8" xfId="10740" xr:uid="{00000000-0005-0000-0000-00002D800000}"/>
    <cellStyle name="Summa 4 8 2" xfId="21052" xr:uid="{00000000-0005-0000-0000-00002E800000}"/>
    <cellStyle name="Summa 4 8 2 2" xfId="21553" xr:uid="{00000000-0005-0000-0000-00002F800000}"/>
    <cellStyle name="Summa 4 8 2_DataIX" xfId="35150" xr:uid="{00000000-0005-0000-0000-000030800000}"/>
    <cellStyle name="Summa 4 8 3" xfId="20959" xr:uid="{00000000-0005-0000-0000-000031800000}"/>
    <cellStyle name="Summa 4 8 4" xfId="25700" xr:uid="{00000000-0005-0000-0000-000032800000}"/>
    <cellStyle name="Summa 4 8 5" xfId="27201" xr:uid="{00000000-0005-0000-0000-000033800000}"/>
    <cellStyle name="Summa 4 8 6" xfId="26889" xr:uid="{00000000-0005-0000-0000-000034800000}"/>
    <cellStyle name="Summa 4 8_DataIX" xfId="35149" xr:uid="{00000000-0005-0000-0000-000035800000}"/>
    <cellStyle name="Summa 4 9" xfId="11145" xr:uid="{00000000-0005-0000-0000-000036800000}"/>
    <cellStyle name="Summa 4 9 2" xfId="21084" xr:uid="{00000000-0005-0000-0000-000037800000}"/>
    <cellStyle name="Summa 4 9 2 2" xfId="10918" xr:uid="{00000000-0005-0000-0000-000038800000}"/>
    <cellStyle name="Summa 4 9 2_DataIX" xfId="35152" xr:uid="{00000000-0005-0000-0000-000039800000}"/>
    <cellStyle name="Summa 4 9 3" xfId="22091" xr:uid="{00000000-0005-0000-0000-00003A800000}"/>
    <cellStyle name="Summa 4 9 4" xfId="26524" xr:uid="{00000000-0005-0000-0000-00003B800000}"/>
    <cellStyle name="Summa 4 9 5" xfId="27512" xr:uid="{00000000-0005-0000-0000-00003C800000}"/>
    <cellStyle name="Summa 4 9 6" xfId="22991" xr:uid="{00000000-0005-0000-0000-00003D800000}"/>
    <cellStyle name="Summa 4 9_DataIX" xfId="35151" xr:uid="{00000000-0005-0000-0000-00003E800000}"/>
    <cellStyle name="Summa 4_##Keskeiset" xfId="10444" xr:uid="{00000000-0005-0000-0000-00003F800000}"/>
    <cellStyle name="Summa 5" xfId="5692" xr:uid="{00000000-0005-0000-0000-000040800000}"/>
    <cellStyle name="Summa 5 2" xfId="10546" xr:uid="{00000000-0005-0000-0000-000041800000}"/>
    <cellStyle name="Summa 5 2 2" xfId="12882" xr:uid="{00000000-0005-0000-0000-000042800000}"/>
    <cellStyle name="Summa 5 2 3" xfId="20328" xr:uid="{00000000-0005-0000-0000-000043800000}"/>
    <cellStyle name="Summa 5 2 3 2" xfId="21856" xr:uid="{00000000-0005-0000-0000-000044800000}"/>
    <cellStyle name="Summa 5 2 3_DataIX" xfId="35155" xr:uid="{00000000-0005-0000-0000-000045800000}"/>
    <cellStyle name="Summa 5 2 4" xfId="20968" xr:uid="{00000000-0005-0000-0000-000046800000}"/>
    <cellStyle name="Summa 5 2 4 2" xfId="12963" xr:uid="{00000000-0005-0000-0000-000047800000}"/>
    <cellStyle name="Summa 5 2 4_DataIX" xfId="35156" xr:uid="{00000000-0005-0000-0000-000048800000}"/>
    <cellStyle name="Summa 5 2_DataIX" xfId="35154" xr:uid="{00000000-0005-0000-0000-000049800000}"/>
    <cellStyle name="Summa 5 3" xfId="12881" xr:uid="{00000000-0005-0000-0000-00004A800000}"/>
    <cellStyle name="Summa 5 4" xfId="18906" xr:uid="{00000000-0005-0000-0000-00004B800000}"/>
    <cellStyle name="Summa 5 4 2" xfId="13637" xr:uid="{00000000-0005-0000-0000-00004C800000}"/>
    <cellStyle name="Summa 5 4_DataIX" xfId="35157" xr:uid="{00000000-0005-0000-0000-00004D800000}"/>
    <cellStyle name="Summa 5 5" xfId="20426" xr:uid="{00000000-0005-0000-0000-00004E800000}"/>
    <cellStyle name="Summa 5 5 2" xfId="22089" xr:uid="{00000000-0005-0000-0000-00004F800000}"/>
    <cellStyle name="Summa 5 5_DataIX" xfId="35158" xr:uid="{00000000-0005-0000-0000-000050800000}"/>
    <cellStyle name="Summa 5 6" xfId="27796" xr:uid="{00000000-0005-0000-0000-000051800000}"/>
    <cellStyle name="Summa 5_DataIX" xfId="35153" xr:uid="{00000000-0005-0000-0000-000052800000}"/>
    <cellStyle name="Summa 6" xfId="5304" xr:uid="{00000000-0005-0000-0000-000053800000}"/>
    <cellStyle name="Summa 6 2" xfId="12883" xr:uid="{00000000-0005-0000-0000-000054800000}"/>
    <cellStyle name="Summa 6 3" xfId="18628" xr:uid="{00000000-0005-0000-0000-000055800000}"/>
    <cellStyle name="Summa 6_DataIX" xfId="35159" xr:uid="{00000000-0005-0000-0000-000056800000}"/>
    <cellStyle name="Summa 7" xfId="5647" xr:uid="{00000000-0005-0000-0000-000057800000}"/>
    <cellStyle name="Summa 7 2" xfId="12884" xr:uid="{00000000-0005-0000-0000-000058800000}"/>
    <cellStyle name="Summa 7 3" xfId="18863" xr:uid="{00000000-0005-0000-0000-000059800000}"/>
    <cellStyle name="Summa 7_DataIX" xfId="35160" xr:uid="{00000000-0005-0000-0000-00005A800000}"/>
    <cellStyle name="Summa 8" xfId="8647" xr:uid="{00000000-0005-0000-0000-00005B800000}"/>
    <cellStyle name="Summa 8 2" xfId="12885" xr:uid="{00000000-0005-0000-0000-00005C800000}"/>
    <cellStyle name="Summa 8 3" xfId="20248" xr:uid="{00000000-0005-0000-0000-00005D800000}"/>
    <cellStyle name="Summa 8_DataIX" xfId="35161" xr:uid="{00000000-0005-0000-0000-00005E800000}"/>
    <cellStyle name="Summa 9" xfId="10622" xr:uid="{00000000-0005-0000-0000-00005F800000}"/>
    <cellStyle name="Summa 9 2" xfId="12886" xr:uid="{00000000-0005-0000-0000-000060800000}"/>
    <cellStyle name="Summa 9 3" xfId="20404" xr:uid="{00000000-0005-0000-0000-000061800000}"/>
    <cellStyle name="Summa 9_DataIX" xfId="35162" xr:uid="{00000000-0005-0000-0000-000062800000}"/>
    <cellStyle name="Summa_##KansantalKehitys" xfId="5447" xr:uid="{00000000-0005-0000-0000-000063800000}"/>
    <cellStyle name="Syöttö" xfId="365" xr:uid="{00000000-0005-0000-0000-000064800000}"/>
    <cellStyle name="Syöttö 10" xfId="10552" xr:uid="{00000000-0005-0000-0000-000065800000}"/>
    <cellStyle name="Syöttö 10 2" xfId="12887" xr:uid="{00000000-0005-0000-0000-000066800000}"/>
    <cellStyle name="Syöttö 10 3" xfId="20334" xr:uid="{00000000-0005-0000-0000-000067800000}"/>
    <cellStyle name="Syöttö 10_DataIX" xfId="35163" xr:uid="{00000000-0005-0000-0000-000068800000}"/>
    <cellStyle name="Syöttö 11" xfId="10682" xr:uid="{00000000-0005-0000-0000-000069800000}"/>
    <cellStyle name="Syöttö 11 2" xfId="20611" xr:uid="{00000000-0005-0000-0000-00006A800000}"/>
    <cellStyle name="Syöttö 11 2 2" xfId="13617" xr:uid="{00000000-0005-0000-0000-00006B800000}"/>
    <cellStyle name="Syöttö 11 2_DataIX" xfId="35165" xr:uid="{00000000-0005-0000-0000-00006C800000}"/>
    <cellStyle name="Syöttö 11 3" xfId="21011" xr:uid="{00000000-0005-0000-0000-00006D800000}"/>
    <cellStyle name="Syöttö 11 3 2" xfId="21493" xr:uid="{00000000-0005-0000-0000-00006E800000}"/>
    <cellStyle name="Syöttö 11 3_DataIX" xfId="35166" xr:uid="{00000000-0005-0000-0000-00006F800000}"/>
    <cellStyle name="Syöttö 11 4" xfId="21571" xr:uid="{00000000-0005-0000-0000-000070800000}"/>
    <cellStyle name="Syöttö 11 5" xfId="25037" xr:uid="{00000000-0005-0000-0000-000071800000}"/>
    <cellStyle name="Syöttö 11 6" xfId="26910" xr:uid="{00000000-0005-0000-0000-000072800000}"/>
    <cellStyle name="Syöttö 11 7" xfId="22888" xr:uid="{00000000-0005-0000-0000-000073800000}"/>
    <cellStyle name="Syöttö 11_DataIX" xfId="35164" xr:uid="{00000000-0005-0000-0000-000074800000}"/>
    <cellStyle name="Syöttö 12" xfId="13192" xr:uid="{00000000-0005-0000-0000-000075800000}"/>
    <cellStyle name="Syöttö 12 2" xfId="20817" xr:uid="{00000000-0005-0000-0000-000076800000}"/>
    <cellStyle name="Syöttö 12 2 2" xfId="21425" xr:uid="{00000000-0005-0000-0000-000077800000}"/>
    <cellStyle name="Syöttö 12 2_DataIX" xfId="35168" xr:uid="{00000000-0005-0000-0000-000078800000}"/>
    <cellStyle name="Syöttö 12 3" xfId="21189" xr:uid="{00000000-0005-0000-0000-000079800000}"/>
    <cellStyle name="Syöttö 12 3 2" xfId="13630" xr:uid="{00000000-0005-0000-0000-00007A800000}"/>
    <cellStyle name="Syöttö 12 3_DataIX" xfId="35169" xr:uid="{00000000-0005-0000-0000-00007B800000}"/>
    <cellStyle name="Syöttö 12 4" xfId="13720" xr:uid="{00000000-0005-0000-0000-00007C800000}"/>
    <cellStyle name="Syöttö 12 5" xfId="25669" xr:uid="{00000000-0005-0000-0000-00007D800000}"/>
    <cellStyle name="Syöttö 12 6" xfId="27189" xr:uid="{00000000-0005-0000-0000-00007E800000}"/>
    <cellStyle name="Syöttö 12 7" xfId="25480" xr:uid="{00000000-0005-0000-0000-00007F800000}"/>
    <cellStyle name="Syöttö 12_DataIX" xfId="35167" xr:uid="{00000000-0005-0000-0000-000080800000}"/>
    <cellStyle name="Syöttö 13" xfId="13399" xr:uid="{00000000-0005-0000-0000-000081800000}"/>
    <cellStyle name="Syöttö 13 2" xfId="20953" xr:uid="{00000000-0005-0000-0000-000082800000}"/>
    <cellStyle name="Syöttö 13 2 2" xfId="10949" xr:uid="{00000000-0005-0000-0000-000083800000}"/>
    <cellStyle name="Syöttö 13 2_DataIX" xfId="35171" xr:uid="{00000000-0005-0000-0000-000084800000}"/>
    <cellStyle name="Syöttö 13 3" xfId="21351" xr:uid="{00000000-0005-0000-0000-000085800000}"/>
    <cellStyle name="Syöttö 13 3 2" xfId="22073" xr:uid="{00000000-0005-0000-0000-000086800000}"/>
    <cellStyle name="Syöttö 13 3_DataIX" xfId="35172" xr:uid="{00000000-0005-0000-0000-000087800000}"/>
    <cellStyle name="Syöttö 13 4" xfId="20643" xr:uid="{00000000-0005-0000-0000-000088800000}"/>
    <cellStyle name="Syöttö 13 5" xfId="25327" xr:uid="{00000000-0005-0000-0000-000089800000}"/>
    <cellStyle name="Syöttö 13 6" xfId="27052" xr:uid="{00000000-0005-0000-0000-00008A800000}"/>
    <cellStyle name="Syöttö 13 7" xfId="22976" xr:uid="{00000000-0005-0000-0000-00008B800000}"/>
    <cellStyle name="Syöttö 13_DataIX" xfId="35170" xr:uid="{00000000-0005-0000-0000-00008C800000}"/>
    <cellStyle name="Syöttö 14" xfId="13905" xr:uid="{00000000-0005-0000-0000-00008D800000}"/>
    <cellStyle name="Syöttö 14 2" xfId="13679" xr:uid="{00000000-0005-0000-0000-00008E800000}"/>
    <cellStyle name="Syöttö 14_DataIX" xfId="35173" xr:uid="{00000000-0005-0000-0000-00008F800000}"/>
    <cellStyle name="Syöttö 15" xfId="20265" xr:uid="{00000000-0005-0000-0000-000090800000}"/>
    <cellStyle name="Syöttö 15 2" xfId="13790" xr:uid="{00000000-0005-0000-0000-000091800000}"/>
    <cellStyle name="Syöttö 15_DataIX" xfId="35174" xr:uid="{00000000-0005-0000-0000-000092800000}"/>
    <cellStyle name="Syöttö 16" xfId="22852" xr:uid="{00000000-0005-0000-0000-000093800000}"/>
    <cellStyle name="Syöttö 17" xfId="28128" xr:uid="{00000000-0005-0000-0000-000094800000}"/>
    <cellStyle name="Syöttö 2" xfId="245" xr:uid="{00000000-0005-0000-0000-000095800000}"/>
    <cellStyle name="Syöttö 2 10" xfId="5326" xr:uid="{00000000-0005-0000-0000-000096800000}"/>
    <cellStyle name="Syöttö 2 10 2" xfId="12888" xr:uid="{00000000-0005-0000-0000-000097800000}"/>
    <cellStyle name="Syöttö 2 10 3" xfId="18650" xr:uid="{00000000-0005-0000-0000-000098800000}"/>
    <cellStyle name="Syöttö 2 10 3 2" xfId="10968" xr:uid="{00000000-0005-0000-0000-000099800000}"/>
    <cellStyle name="Syöttö 2 10 3_DataIX" xfId="35176" xr:uid="{00000000-0005-0000-0000-00009A800000}"/>
    <cellStyle name="Syöttö 2 10 4" xfId="19014" xr:uid="{00000000-0005-0000-0000-00009B800000}"/>
    <cellStyle name="Syöttö 2 10 4 2" xfId="13791" xr:uid="{00000000-0005-0000-0000-00009C800000}"/>
    <cellStyle name="Syöttö 2 10 4_DataIX" xfId="35177" xr:uid="{00000000-0005-0000-0000-00009D800000}"/>
    <cellStyle name="Syöttö 2 10_DataIX" xfId="35175" xr:uid="{00000000-0005-0000-0000-00009E800000}"/>
    <cellStyle name="Syöttö 2 11" xfId="13183" xr:uid="{00000000-0005-0000-0000-00009F800000}"/>
    <cellStyle name="Syöttö 2 11 2" xfId="20808" xr:uid="{00000000-0005-0000-0000-0000A0800000}"/>
    <cellStyle name="Syöttö 2 11 2 2" xfId="22220" xr:uid="{00000000-0005-0000-0000-0000A1800000}"/>
    <cellStyle name="Syöttö 2 11 2_DataIX" xfId="35179" xr:uid="{00000000-0005-0000-0000-0000A2800000}"/>
    <cellStyle name="Syöttö 2 11 3" xfId="21181" xr:uid="{00000000-0005-0000-0000-0000A3800000}"/>
    <cellStyle name="Syöttö 2 11 3 2" xfId="21819" xr:uid="{00000000-0005-0000-0000-0000A4800000}"/>
    <cellStyle name="Syöttö 2 11 3_DataIX" xfId="35180" xr:uid="{00000000-0005-0000-0000-0000A5800000}"/>
    <cellStyle name="Syöttö 2 11 4" xfId="13557" xr:uid="{00000000-0005-0000-0000-0000A6800000}"/>
    <cellStyle name="Syöttö 2 11 5" xfId="25215" xr:uid="{00000000-0005-0000-0000-0000A7800000}"/>
    <cellStyle name="Syöttö 2 11 6" xfId="26997" xr:uid="{00000000-0005-0000-0000-0000A8800000}"/>
    <cellStyle name="Syöttö 2 11 7" xfId="26883" xr:uid="{00000000-0005-0000-0000-0000A9800000}"/>
    <cellStyle name="Syöttö 2 11_DataIX" xfId="35178" xr:uid="{00000000-0005-0000-0000-0000AA800000}"/>
    <cellStyle name="Syöttö 2 12" xfId="13180" xr:uid="{00000000-0005-0000-0000-0000AB800000}"/>
    <cellStyle name="Syöttö 2 12 2" xfId="20805" xr:uid="{00000000-0005-0000-0000-0000AC800000}"/>
    <cellStyle name="Syöttö 2 12 2 2" xfId="12705" xr:uid="{00000000-0005-0000-0000-0000AD800000}"/>
    <cellStyle name="Syöttö 2 12 2_DataIX" xfId="35182" xr:uid="{00000000-0005-0000-0000-0000AE800000}"/>
    <cellStyle name="Syöttö 2 12 3" xfId="21178" xr:uid="{00000000-0005-0000-0000-0000AF800000}"/>
    <cellStyle name="Syöttö 2 12 3 2" xfId="12975" xr:uid="{00000000-0005-0000-0000-0000B0800000}"/>
    <cellStyle name="Syöttö 2 12 3_DataIX" xfId="35183" xr:uid="{00000000-0005-0000-0000-0000B1800000}"/>
    <cellStyle name="Syöttö 2 12 4" xfId="21577" xr:uid="{00000000-0005-0000-0000-0000B2800000}"/>
    <cellStyle name="Syöttö 2 12 5" xfId="26466" xr:uid="{00000000-0005-0000-0000-0000B3800000}"/>
    <cellStyle name="Syöttö 2 12 6" xfId="27486" xr:uid="{00000000-0005-0000-0000-0000B4800000}"/>
    <cellStyle name="Syöttö 2 12 7" xfId="22763" xr:uid="{00000000-0005-0000-0000-0000B5800000}"/>
    <cellStyle name="Syöttö 2 12_DataIX" xfId="35181" xr:uid="{00000000-0005-0000-0000-0000B6800000}"/>
    <cellStyle name="Syöttö 2 13" xfId="13825" xr:uid="{00000000-0005-0000-0000-0000B7800000}"/>
    <cellStyle name="Syöttö 2 13 2" xfId="11094" xr:uid="{00000000-0005-0000-0000-0000B8800000}"/>
    <cellStyle name="Syöttö 2 13 3" xfId="25528" xr:uid="{00000000-0005-0000-0000-0000B9800000}"/>
    <cellStyle name="Syöttö 2 13 4" xfId="27136" xr:uid="{00000000-0005-0000-0000-0000BA800000}"/>
    <cellStyle name="Syöttö 2 13 5" xfId="26913" xr:uid="{00000000-0005-0000-0000-0000BB800000}"/>
    <cellStyle name="Syöttö 2 13_DataIX" xfId="35184" xr:uid="{00000000-0005-0000-0000-0000BC800000}"/>
    <cellStyle name="Syöttö 2 14" xfId="20305" xr:uid="{00000000-0005-0000-0000-0000BD800000}"/>
    <cellStyle name="Syöttö 2 14 2" xfId="21519" xr:uid="{00000000-0005-0000-0000-0000BE800000}"/>
    <cellStyle name="Syöttö 2 14_DataIX" xfId="35185" xr:uid="{00000000-0005-0000-0000-0000BF800000}"/>
    <cellStyle name="Syöttö 2 15" xfId="13636" xr:uid="{00000000-0005-0000-0000-0000C0800000}"/>
    <cellStyle name="Syöttö 2 16" xfId="22371" xr:uid="{00000000-0005-0000-0000-0000C1800000}"/>
    <cellStyle name="Syöttö 2 17" xfId="22548" xr:uid="{00000000-0005-0000-0000-0000C2800000}"/>
    <cellStyle name="Syöttö 2 18" xfId="22476" xr:uid="{00000000-0005-0000-0000-0000C3800000}"/>
    <cellStyle name="Syöttö 2 19" xfId="22415" xr:uid="{00000000-0005-0000-0000-0000C4800000}"/>
    <cellStyle name="Syöttö 2 2" xfId="263" xr:uid="{00000000-0005-0000-0000-0000C5800000}"/>
    <cellStyle name="Syöttö 2 2 10" xfId="11144" xr:uid="{00000000-0005-0000-0000-0000C6800000}"/>
    <cellStyle name="Syöttö 2 2 10 2" xfId="21083" xr:uid="{00000000-0005-0000-0000-0000C7800000}"/>
    <cellStyle name="Syöttö 2 2 10 2 2" xfId="13072" xr:uid="{00000000-0005-0000-0000-0000C8800000}"/>
    <cellStyle name="Syöttö 2 2 10 2_DataIX" xfId="35187" xr:uid="{00000000-0005-0000-0000-0000C9800000}"/>
    <cellStyle name="Syöttö 2 2 10 3" xfId="21532" xr:uid="{00000000-0005-0000-0000-0000CA800000}"/>
    <cellStyle name="Syöttö 2 2 10 4" xfId="25934" xr:uid="{00000000-0005-0000-0000-0000CB800000}"/>
    <cellStyle name="Syöttö 2 2 10 5" xfId="27270" xr:uid="{00000000-0005-0000-0000-0000CC800000}"/>
    <cellStyle name="Syöttö 2 2 10 6" xfId="22784" xr:uid="{00000000-0005-0000-0000-0000CD800000}"/>
    <cellStyle name="Syöttö 2 2 10_DataIX" xfId="35186" xr:uid="{00000000-0005-0000-0000-0000CE800000}"/>
    <cellStyle name="Syöttö 2 2 11" xfId="13837" xr:uid="{00000000-0005-0000-0000-0000CF800000}"/>
    <cellStyle name="Syöttö 2 2 11 2" xfId="10875" xr:uid="{00000000-0005-0000-0000-0000D0800000}"/>
    <cellStyle name="Syöttö 2 2 11 3" xfId="26708" xr:uid="{00000000-0005-0000-0000-0000D1800000}"/>
    <cellStyle name="Syöttö 2 2 11 4" xfId="27587" xr:uid="{00000000-0005-0000-0000-0000D2800000}"/>
    <cellStyle name="Syöttö 2 2 11 5" xfId="22896" xr:uid="{00000000-0005-0000-0000-0000D3800000}"/>
    <cellStyle name="Syöttö 2 2 11_DataIX" xfId="35188" xr:uid="{00000000-0005-0000-0000-0000D4800000}"/>
    <cellStyle name="Syöttö 2 2 12" xfId="20300" xr:uid="{00000000-0005-0000-0000-0000D5800000}"/>
    <cellStyle name="Syöttö 2 2 12 2" xfId="13750" xr:uid="{00000000-0005-0000-0000-0000D6800000}"/>
    <cellStyle name="Syöttö 2 2 12_DataIX" xfId="35189" xr:uid="{00000000-0005-0000-0000-0000D7800000}"/>
    <cellStyle name="Syöttö 2 2 13" xfId="21698" xr:uid="{00000000-0005-0000-0000-0000D8800000}"/>
    <cellStyle name="Syöttö 2 2 14" xfId="22372" xr:uid="{00000000-0005-0000-0000-0000D9800000}"/>
    <cellStyle name="Syöttö 2 2 15" xfId="22547" xr:uid="{00000000-0005-0000-0000-0000DA800000}"/>
    <cellStyle name="Syöttö 2 2 16" xfId="22477" xr:uid="{00000000-0005-0000-0000-0000DB800000}"/>
    <cellStyle name="Syöttö 2 2 17" xfId="22414" xr:uid="{00000000-0005-0000-0000-0000DC800000}"/>
    <cellStyle name="Syöttö 2 2 18" xfId="26798" xr:uid="{00000000-0005-0000-0000-0000DD800000}"/>
    <cellStyle name="Syöttö 2 2 19" xfId="27946" xr:uid="{00000000-0005-0000-0000-0000DE800000}"/>
    <cellStyle name="Syöttö 2 2 2" xfId="317" xr:uid="{00000000-0005-0000-0000-0000DF800000}"/>
    <cellStyle name="Syöttö 2 2 2 10" xfId="13881" xr:uid="{00000000-0005-0000-0000-0000E0800000}"/>
    <cellStyle name="Syöttö 2 2 2 10 2" xfId="12554" xr:uid="{00000000-0005-0000-0000-0000E1800000}"/>
    <cellStyle name="Syöttö 2 2 2 10 3" xfId="25401" xr:uid="{00000000-0005-0000-0000-0000E2800000}"/>
    <cellStyle name="Syöttö 2 2 2 10 4" xfId="27087" xr:uid="{00000000-0005-0000-0000-0000E3800000}"/>
    <cellStyle name="Syöttö 2 2 2 10 5" xfId="26912" xr:uid="{00000000-0005-0000-0000-0000E4800000}"/>
    <cellStyle name="Syöttö 2 2 2 10_DataIX" xfId="35190" xr:uid="{00000000-0005-0000-0000-0000E5800000}"/>
    <cellStyle name="Syöttö 2 2 2 11" xfId="13799" xr:uid="{00000000-0005-0000-0000-0000E6800000}"/>
    <cellStyle name="Syöttö 2 2 2 11 2" xfId="12732" xr:uid="{00000000-0005-0000-0000-0000E7800000}"/>
    <cellStyle name="Syöttö 2 2 2 11 3" xfId="26368" xr:uid="{00000000-0005-0000-0000-0000E8800000}"/>
    <cellStyle name="Syöttö 2 2 2 11 4" xfId="27447" xr:uid="{00000000-0005-0000-0000-0000E9800000}"/>
    <cellStyle name="Syöttö 2 2 2 11 5" xfId="26966" xr:uid="{00000000-0005-0000-0000-0000EA800000}"/>
    <cellStyle name="Syöttö 2 2 2 11_DataIX" xfId="35191" xr:uid="{00000000-0005-0000-0000-0000EB800000}"/>
    <cellStyle name="Syöttö 2 2 2 12" xfId="13426" xr:uid="{00000000-0005-0000-0000-0000EC800000}"/>
    <cellStyle name="Syöttö 2 2 2 13" xfId="12621" xr:uid="{00000000-0005-0000-0000-0000ED800000}"/>
    <cellStyle name="Syöttö 2 2 2 14" xfId="22373" xr:uid="{00000000-0005-0000-0000-0000EE800000}"/>
    <cellStyle name="Syöttö 2 2 2 15" xfId="22546" xr:uid="{00000000-0005-0000-0000-0000EF800000}"/>
    <cellStyle name="Syöttö 2 2 2 16" xfId="22670" xr:uid="{00000000-0005-0000-0000-0000F0800000}"/>
    <cellStyle name="Syöttö 2 2 2 17" xfId="22456" xr:uid="{00000000-0005-0000-0000-0000F1800000}"/>
    <cellStyle name="Syöttö 2 2 2 18" xfId="22950" xr:uid="{00000000-0005-0000-0000-0000F2800000}"/>
    <cellStyle name="Syöttö 2 2 2 19" xfId="27947" xr:uid="{00000000-0005-0000-0000-0000F3800000}"/>
    <cellStyle name="Syöttö 2 2 2 2" xfId="5201" xr:uid="{00000000-0005-0000-0000-0000F4800000}"/>
    <cellStyle name="Syöttö 2 2 2 2 2" xfId="10450" xr:uid="{00000000-0005-0000-0000-0000F5800000}"/>
    <cellStyle name="Syöttö 2 2 2 2 3" xfId="18531" xr:uid="{00000000-0005-0000-0000-0000F6800000}"/>
    <cellStyle name="Syöttö 2 2 2 2 3 2" xfId="21710" xr:uid="{00000000-0005-0000-0000-0000F7800000}"/>
    <cellStyle name="Syöttö 2 2 2 2 3_DataIX" xfId="35193" xr:uid="{00000000-0005-0000-0000-0000F8800000}"/>
    <cellStyle name="Syöttö 2 2 2 2 4" xfId="20537" xr:uid="{00000000-0005-0000-0000-0000F9800000}"/>
    <cellStyle name="Syöttö 2 2 2 2 4 2" xfId="21449" xr:uid="{00000000-0005-0000-0000-0000FA800000}"/>
    <cellStyle name="Syöttö 2 2 2 2 4_DataIX" xfId="35194" xr:uid="{00000000-0005-0000-0000-0000FB800000}"/>
    <cellStyle name="Syöttö 2 2 2 2_DataIX" xfId="35192" xr:uid="{00000000-0005-0000-0000-0000FC800000}"/>
    <cellStyle name="Syöttö 2 2 2 20" xfId="28006" xr:uid="{00000000-0005-0000-0000-0000FD800000}"/>
    <cellStyle name="Syöttö 2 2 2 21" xfId="28094" xr:uid="{00000000-0005-0000-0000-0000FE800000}"/>
    <cellStyle name="Syöttö 2 2 2 22" xfId="28156" xr:uid="{00000000-0005-0000-0000-0000FF800000}"/>
    <cellStyle name="Syöttö 2 2 2 23" xfId="28280" xr:uid="{00000000-0005-0000-0000-000000810000}"/>
    <cellStyle name="Syöttö 2 2 2 24" xfId="28373" xr:uid="{00000000-0005-0000-0000-000001810000}"/>
    <cellStyle name="Syöttö 2 2 2 25" xfId="28458" xr:uid="{00000000-0005-0000-0000-000002810000}"/>
    <cellStyle name="Syöttö 2 2 2 26" xfId="28318" xr:uid="{00000000-0005-0000-0000-000003810000}"/>
    <cellStyle name="Syöttö 2 2 2 27" xfId="28754" xr:uid="{00000000-0005-0000-0000-000004810000}"/>
    <cellStyle name="Syöttö 2 2 2 28" xfId="28905" xr:uid="{00000000-0005-0000-0000-000005810000}"/>
    <cellStyle name="Syöttö 2 2 2 29" xfId="28681" xr:uid="{00000000-0005-0000-0000-000006810000}"/>
    <cellStyle name="Syöttö 2 2 2 3" xfId="5386" xr:uid="{00000000-0005-0000-0000-000007810000}"/>
    <cellStyle name="Syöttö 2 2 2 3 2" xfId="12889" xr:uid="{00000000-0005-0000-0000-000008810000}"/>
    <cellStyle name="Syöttö 2 2 2 3 3" xfId="18710" xr:uid="{00000000-0005-0000-0000-000009810000}"/>
    <cellStyle name="Syöttö 2 2 2 3 3 2" xfId="21777" xr:uid="{00000000-0005-0000-0000-00000A810000}"/>
    <cellStyle name="Syöttö 2 2 2 3 3_DataIX" xfId="35196" xr:uid="{00000000-0005-0000-0000-00000B810000}"/>
    <cellStyle name="Syöttö 2 2 2 3 4" xfId="18990" xr:uid="{00000000-0005-0000-0000-00000C810000}"/>
    <cellStyle name="Syöttö 2 2 2 3 4 2" xfId="21784" xr:uid="{00000000-0005-0000-0000-00000D810000}"/>
    <cellStyle name="Syöttö 2 2 2 3 4_DataIX" xfId="35197" xr:uid="{00000000-0005-0000-0000-00000E810000}"/>
    <cellStyle name="Syöttö 2 2 2 3_DataIX" xfId="35195" xr:uid="{00000000-0005-0000-0000-00000F810000}"/>
    <cellStyle name="Syöttö 2 2 2 30" xfId="28835" xr:uid="{00000000-0005-0000-0000-000010810000}"/>
    <cellStyle name="Syöttö 2 2 2 31" xfId="29082" xr:uid="{00000000-0005-0000-0000-000011810000}"/>
    <cellStyle name="Syöttö 2 2 2 32" xfId="29136" xr:uid="{00000000-0005-0000-0000-000012810000}"/>
    <cellStyle name="Syöttö 2 2 2 4" xfId="13108" xr:uid="{00000000-0005-0000-0000-000013810000}"/>
    <cellStyle name="Syöttö 2 2 2 4 2" xfId="20759" xr:uid="{00000000-0005-0000-0000-000014810000}"/>
    <cellStyle name="Syöttö 2 2 2 4 2 2" xfId="21678" xr:uid="{00000000-0005-0000-0000-000015810000}"/>
    <cellStyle name="Syöttö 2 2 2 4 2_DataIX" xfId="35199" xr:uid="{00000000-0005-0000-0000-000016810000}"/>
    <cellStyle name="Syöttö 2 2 2 4 3" xfId="21121" xr:uid="{00000000-0005-0000-0000-000017810000}"/>
    <cellStyle name="Syöttö 2 2 2 4 3 2" xfId="12983" xr:uid="{00000000-0005-0000-0000-000018810000}"/>
    <cellStyle name="Syöttö 2 2 2 4 3_DataIX" xfId="35200" xr:uid="{00000000-0005-0000-0000-000019810000}"/>
    <cellStyle name="Syöttö 2 2 2 4 4" xfId="21574" xr:uid="{00000000-0005-0000-0000-00001A810000}"/>
    <cellStyle name="Syöttö 2 2 2 4 5" xfId="25217" xr:uid="{00000000-0005-0000-0000-00001B810000}"/>
    <cellStyle name="Syöttö 2 2 2 4 6" xfId="26999" xr:uid="{00000000-0005-0000-0000-00001C810000}"/>
    <cellStyle name="Syöttö 2 2 2 4 7" xfId="27464" xr:uid="{00000000-0005-0000-0000-00001D810000}"/>
    <cellStyle name="Syöttö 2 2 2 4_DataIX" xfId="35198" xr:uid="{00000000-0005-0000-0000-00001E810000}"/>
    <cellStyle name="Syöttö 2 2 2 5" xfId="13144" xr:uid="{00000000-0005-0000-0000-00001F810000}"/>
    <cellStyle name="Syöttö 2 2 2 5 2" xfId="20784" xr:uid="{00000000-0005-0000-0000-000020810000}"/>
    <cellStyle name="Syöttö 2 2 2 5 2 2" xfId="11243" xr:uid="{00000000-0005-0000-0000-000021810000}"/>
    <cellStyle name="Syöttö 2 2 2 5 2_DataIX" xfId="35202" xr:uid="{00000000-0005-0000-0000-000022810000}"/>
    <cellStyle name="Syöttö 2 2 2 5 3" xfId="21149" xr:uid="{00000000-0005-0000-0000-000023810000}"/>
    <cellStyle name="Syöttö 2 2 2 5 3 2" xfId="21558" xr:uid="{00000000-0005-0000-0000-000024810000}"/>
    <cellStyle name="Syöttö 2 2 2 5 3_DataIX" xfId="35203" xr:uid="{00000000-0005-0000-0000-000025810000}"/>
    <cellStyle name="Syöttö 2 2 2 5 4" xfId="21831" xr:uid="{00000000-0005-0000-0000-000026810000}"/>
    <cellStyle name="Syöttö 2 2 2 5 5" xfId="25632" xr:uid="{00000000-0005-0000-0000-000027810000}"/>
    <cellStyle name="Syöttö 2 2 2 5 6" xfId="27172" xr:uid="{00000000-0005-0000-0000-000028810000}"/>
    <cellStyle name="Syöttö 2 2 2 5 7" xfId="23109" xr:uid="{00000000-0005-0000-0000-000029810000}"/>
    <cellStyle name="Syöttö 2 2 2 5_DataIX" xfId="35201" xr:uid="{00000000-0005-0000-0000-00002A810000}"/>
    <cellStyle name="Syöttö 2 2 2 6" xfId="13149" xr:uid="{00000000-0005-0000-0000-00002B810000}"/>
    <cellStyle name="Syöttö 2 2 2 6 2" xfId="20788" xr:uid="{00000000-0005-0000-0000-00002C810000}"/>
    <cellStyle name="Syöttö 2 2 2 6 2 2" xfId="12843" xr:uid="{00000000-0005-0000-0000-00002D810000}"/>
    <cellStyle name="Syöttö 2 2 2 6 2_DataIX" xfId="35205" xr:uid="{00000000-0005-0000-0000-00002E810000}"/>
    <cellStyle name="Syöttö 2 2 2 6 3" xfId="21154" xr:uid="{00000000-0005-0000-0000-00002F810000}"/>
    <cellStyle name="Syöttö 2 2 2 6 3 2" xfId="21685" xr:uid="{00000000-0005-0000-0000-000030810000}"/>
    <cellStyle name="Syöttö 2 2 2 6 3_DataIX" xfId="35206" xr:uid="{00000000-0005-0000-0000-000031810000}"/>
    <cellStyle name="Syöttö 2 2 2 6 4" xfId="13546" xr:uid="{00000000-0005-0000-0000-000032810000}"/>
    <cellStyle name="Syöttö 2 2 2 6 5" xfId="26567" xr:uid="{00000000-0005-0000-0000-000033810000}"/>
    <cellStyle name="Syöttö 2 2 2 6 6" xfId="27528" xr:uid="{00000000-0005-0000-0000-000034810000}"/>
    <cellStyle name="Syöttö 2 2 2 6 7" xfId="25827" xr:uid="{00000000-0005-0000-0000-000035810000}"/>
    <cellStyle name="Syöttö 2 2 2 6_DataIX" xfId="35204" xr:uid="{00000000-0005-0000-0000-000036810000}"/>
    <cellStyle name="Syöttö 2 2 2 7" xfId="10743" xr:uid="{00000000-0005-0000-0000-000037810000}"/>
    <cellStyle name="Syöttö 2 2 2 7 2" xfId="21055" xr:uid="{00000000-0005-0000-0000-000038810000}"/>
    <cellStyle name="Syöttö 2 2 2 7 2 2" xfId="10941" xr:uid="{00000000-0005-0000-0000-000039810000}"/>
    <cellStyle name="Syöttö 2 2 2 7 2_DataIX" xfId="35208" xr:uid="{00000000-0005-0000-0000-00003A810000}"/>
    <cellStyle name="Syöttö 2 2 2 7 3" xfId="10999" xr:uid="{00000000-0005-0000-0000-00003B810000}"/>
    <cellStyle name="Syöttö 2 2 2 7 4" xfId="25833" xr:uid="{00000000-0005-0000-0000-00003C810000}"/>
    <cellStyle name="Syöttö 2 2 2 7 5" xfId="27240" xr:uid="{00000000-0005-0000-0000-00003D810000}"/>
    <cellStyle name="Syöttö 2 2 2 7 6" xfId="22901" xr:uid="{00000000-0005-0000-0000-00003E810000}"/>
    <cellStyle name="Syöttö 2 2 2 7_DataIX" xfId="35207" xr:uid="{00000000-0005-0000-0000-00003F810000}"/>
    <cellStyle name="Syöttö 2 2 2 8" xfId="11143" xr:uid="{00000000-0005-0000-0000-000040810000}"/>
    <cellStyle name="Syöttö 2 2 2 8 2" xfId="21082" xr:uid="{00000000-0005-0000-0000-000041810000}"/>
    <cellStyle name="Syöttö 2 2 2 8 2 2" xfId="21554" xr:uid="{00000000-0005-0000-0000-000042810000}"/>
    <cellStyle name="Syöttö 2 2 2 8 2_DataIX" xfId="35210" xr:uid="{00000000-0005-0000-0000-000043810000}"/>
    <cellStyle name="Syöttö 2 2 2 8 3" xfId="12974" xr:uid="{00000000-0005-0000-0000-000044810000}"/>
    <cellStyle name="Syöttö 2 2 2 8 4" xfId="25070" xr:uid="{00000000-0005-0000-0000-000045810000}"/>
    <cellStyle name="Syöttö 2 2 2 8 5" xfId="26916" xr:uid="{00000000-0005-0000-0000-000046810000}"/>
    <cellStyle name="Syöttö 2 2 2 8 6" xfId="27288" xr:uid="{00000000-0005-0000-0000-000047810000}"/>
    <cellStyle name="Syöttö 2 2 2 8_DataIX" xfId="35209" xr:uid="{00000000-0005-0000-0000-000048810000}"/>
    <cellStyle name="Syöttö 2 2 2 9" xfId="12962" xr:uid="{00000000-0005-0000-0000-000049810000}"/>
    <cellStyle name="Syöttö 2 2 2 9 2" xfId="21117" xr:uid="{00000000-0005-0000-0000-00004A810000}"/>
    <cellStyle name="Syöttö 2 2 2 9 2 2" xfId="21438" xr:uid="{00000000-0005-0000-0000-00004B810000}"/>
    <cellStyle name="Syöttö 2 2 2 9 2_DataIX" xfId="35212" xr:uid="{00000000-0005-0000-0000-00004C810000}"/>
    <cellStyle name="Syöttö 2 2 2 9 3" xfId="21600" xr:uid="{00000000-0005-0000-0000-00004D810000}"/>
    <cellStyle name="Syöttö 2 2 2 9 4" xfId="25944" xr:uid="{00000000-0005-0000-0000-00004E810000}"/>
    <cellStyle name="Syöttö 2 2 2 9 5" xfId="27274" xr:uid="{00000000-0005-0000-0000-00004F810000}"/>
    <cellStyle name="Syöttö 2 2 2 9 6" xfId="22809" xr:uid="{00000000-0005-0000-0000-000050810000}"/>
    <cellStyle name="Syöttö 2 2 2 9_DataIX" xfId="35211" xr:uid="{00000000-0005-0000-0000-000051810000}"/>
    <cellStyle name="Syöttö 2 2 2_##Keskeiset" xfId="10449" xr:uid="{00000000-0005-0000-0000-000052810000}"/>
    <cellStyle name="Syöttö 2 2 20" xfId="28007" xr:uid="{00000000-0005-0000-0000-000053810000}"/>
    <cellStyle name="Syöttö 2 2 21" xfId="28095" xr:uid="{00000000-0005-0000-0000-000054810000}"/>
    <cellStyle name="Syöttö 2 2 22" xfId="28155" xr:uid="{00000000-0005-0000-0000-000055810000}"/>
    <cellStyle name="Syöttö 2 2 23" xfId="28279" xr:uid="{00000000-0005-0000-0000-000056810000}"/>
    <cellStyle name="Syöttö 2 2 24" xfId="28374" xr:uid="{00000000-0005-0000-0000-000057810000}"/>
    <cellStyle name="Syöttö 2 2 25" xfId="28460" xr:uid="{00000000-0005-0000-0000-000058810000}"/>
    <cellStyle name="Syöttö 2 2 26" xfId="28319" xr:uid="{00000000-0005-0000-0000-000059810000}"/>
    <cellStyle name="Syöttö 2 2 27" xfId="28755" xr:uid="{00000000-0005-0000-0000-00005A810000}"/>
    <cellStyle name="Syöttö 2 2 28" xfId="28906" xr:uid="{00000000-0005-0000-0000-00005B810000}"/>
    <cellStyle name="Syöttö 2 2 29" xfId="28890" xr:uid="{00000000-0005-0000-0000-00005C810000}"/>
    <cellStyle name="Syöttö 2 2 3" xfId="5202" xr:uid="{00000000-0005-0000-0000-00005D810000}"/>
    <cellStyle name="Syöttö 2 2 3 2" xfId="5693" xr:uid="{00000000-0005-0000-0000-00005E810000}"/>
    <cellStyle name="Syöttö 2 2 3 2 2" xfId="12890" xr:uid="{00000000-0005-0000-0000-00005F810000}"/>
    <cellStyle name="Syöttö 2 2 3 2 3" xfId="18907" xr:uid="{00000000-0005-0000-0000-000060810000}"/>
    <cellStyle name="Syöttö 2 2 3 2 3 2" xfId="12988" xr:uid="{00000000-0005-0000-0000-000061810000}"/>
    <cellStyle name="Syöttö 2 2 3 2 3_DataIX" xfId="35215" xr:uid="{00000000-0005-0000-0000-000062810000}"/>
    <cellStyle name="Syöttö 2 2 3 2 4" xfId="18941" xr:uid="{00000000-0005-0000-0000-000063810000}"/>
    <cellStyle name="Syöttö 2 2 3 2 4 2" xfId="21654" xr:uid="{00000000-0005-0000-0000-000064810000}"/>
    <cellStyle name="Syöttö 2 2 3 2 4_DataIX" xfId="35216" xr:uid="{00000000-0005-0000-0000-000065810000}"/>
    <cellStyle name="Syöttö 2 2 3 2_DataIX" xfId="35214" xr:uid="{00000000-0005-0000-0000-000066810000}"/>
    <cellStyle name="Syöttö 2 2 3 3" xfId="11178" xr:uid="{00000000-0005-0000-0000-000067810000}"/>
    <cellStyle name="Syöttö 2 2 3 4" xfId="18532" xr:uid="{00000000-0005-0000-0000-000068810000}"/>
    <cellStyle name="Syöttö 2 2 3 4 2" xfId="21904" xr:uid="{00000000-0005-0000-0000-000069810000}"/>
    <cellStyle name="Syöttö 2 2 3 4_DataIX" xfId="35217" xr:uid="{00000000-0005-0000-0000-00006A810000}"/>
    <cellStyle name="Syöttö 2 2 3 5" xfId="19058" xr:uid="{00000000-0005-0000-0000-00006B810000}"/>
    <cellStyle name="Syöttö 2 2 3 5 2" xfId="20707" xr:uid="{00000000-0005-0000-0000-00006C810000}"/>
    <cellStyle name="Syöttö 2 2 3 5_DataIX" xfId="35218" xr:uid="{00000000-0005-0000-0000-00006D810000}"/>
    <cellStyle name="Syöttö 2 2 3_DataIX" xfId="35213" xr:uid="{00000000-0005-0000-0000-00006E810000}"/>
    <cellStyle name="Syöttö 2 2 30" xfId="28836" xr:uid="{00000000-0005-0000-0000-00006F810000}"/>
    <cellStyle name="Syöttö 2 2 31" xfId="29081" xr:uid="{00000000-0005-0000-0000-000070810000}"/>
    <cellStyle name="Syöttö 2 2 32" xfId="29137" xr:uid="{00000000-0005-0000-0000-000071810000}"/>
    <cellStyle name="Syöttö 2 2 4" xfId="5694" xr:uid="{00000000-0005-0000-0000-000072810000}"/>
    <cellStyle name="Syöttö 2 2 4 2" xfId="10590" xr:uid="{00000000-0005-0000-0000-000073810000}"/>
    <cellStyle name="Syöttö 2 2 4 2 2" xfId="12892" xr:uid="{00000000-0005-0000-0000-000074810000}"/>
    <cellStyle name="Syöttö 2 2 4 2 3" xfId="20372" xr:uid="{00000000-0005-0000-0000-000075810000}"/>
    <cellStyle name="Syöttö 2 2 4 2 3 2" xfId="21857" xr:uid="{00000000-0005-0000-0000-000076810000}"/>
    <cellStyle name="Syöttö 2 2 4 2 3_DataIX" xfId="35221" xr:uid="{00000000-0005-0000-0000-000077810000}"/>
    <cellStyle name="Syöttö 2 2 4 2 4" xfId="20983" xr:uid="{00000000-0005-0000-0000-000078810000}"/>
    <cellStyle name="Syöttö 2 2 4 2 4 2" xfId="21549" xr:uid="{00000000-0005-0000-0000-000079810000}"/>
    <cellStyle name="Syöttö 2 2 4 2 4_DataIX" xfId="35222" xr:uid="{00000000-0005-0000-0000-00007A810000}"/>
    <cellStyle name="Syöttö 2 2 4 2_DataIX" xfId="35220" xr:uid="{00000000-0005-0000-0000-00007B810000}"/>
    <cellStyle name="Syöttö 2 2 4 3" xfId="12891" xr:uid="{00000000-0005-0000-0000-00007C810000}"/>
    <cellStyle name="Syöttö 2 2 4 4" xfId="18908" xr:uid="{00000000-0005-0000-0000-00007D810000}"/>
    <cellStyle name="Syöttö 2 2 4 4 2" xfId="21968" xr:uid="{00000000-0005-0000-0000-00007E810000}"/>
    <cellStyle name="Syöttö 2 2 4 4_DataIX" xfId="35223" xr:uid="{00000000-0005-0000-0000-00007F810000}"/>
    <cellStyle name="Syöttö 2 2 4 5" xfId="20427" xr:uid="{00000000-0005-0000-0000-000080810000}"/>
    <cellStyle name="Syöttö 2 2 4 5 2" xfId="21603" xr:uid="{00000000-0005-0000-0000-000081810000}"/>
    <cellStyle name="Syöttö 2 2 4 5_DataIX" xfId="35224" xr:uid="{00000000-0005-0000-0000-000082810000}"/>
    <cellStyle name="Syöttö 2 2 4_DataIX" xfId="35219" xr:uid="{00000000-0005-0000-0000-000083810000}"/>
    <cellStyle name="Syöttö 2 2 5" xfId="5385" xr:uid="{00000000-0005-0000-0000-000084810000}"/>
    <cellStyle name="Syöttö 2 2 5 2" xfId="12893" xr:uid="{00000000-0005-0000-0000-000085810000}"/>
    <cellStyle name="Syöttö 2 2 5 3" xfId="18709" xr:uid="{00000000-0005-0000-0000-000086810000}"/>
    <cellStyle name="Syöttö 2 2 5 3 2" xfId="21842" xr:uid="{00000000-0005-0000-0000-000087810000}"/>
    <cellStyle name="Syöttö 2 2 5 3_DataIX" xfId="35226" xr:uid="{00000000-0005-0000-0000-000088810000}"/>
    <cellStyle name="Syöttö 2 2 5 4" xfId="20472" xr:uid="{00000000-0005-0000-0000-000089810000}"/>
    <cellStyle name="Syöttö 2 2 5 4 2" xfId="13553" xr:uid="{00000000-0005-0000-0000-00008A810000}"/>
    <cellStyle name="Syöttö 2 2 5 4_DataIX" xfId="35227" xr:uid="{00000000-0005-0000-0000-00008B810000}"/>
    <cellStyle name="Syöttö 2 2 5_DataIX" xfId="35225" xr:uid="{00000000-0005-0000-0000-00008C810000}"/>
    <cellStyle name="Syöttö 2 2 6" xfId="13109" xr:uid="{00000000-0005-0000-0000-00008D810000}"/>
    <cellStyle name="Syöttö 2 2 6 2" xfId="20760" xr:uid="{00000000-0005-0000-0000-00008E810000}"/>
    <cellStyle name="Syöttö 2 2 6 2 2" xfId="13571" xr:uid="{00000000-0005-0000-0000-00008F810000}"/>
    <cellStyle name="Syöttö 2 2 6 2_DataIX" xfId="35229" xr:uid="{00000000-0005-0000-0000-000090810000}"/>
    <cellStyle name="Syöttö 2 2 6 3" xfId="21122" xr:uid="{00000000-0005-0000-0000-000091810000}"/>
    <cellStyle name="Syöttö 2 2 6 3 2" xfId="11015" xr:uid="{00000000-0005-0000-0000-000092810000}"/>
    <cellStyle name="Syöttö 2 2 6 3_DataIX" xfId="35230" xr:uid="{00000000-0005-0000-0000-000093810000}"/>
    <cellStyle name="Syöttö 2 2 6 4" xfId="21830" xr:uid="{00000000-0005-0000-0000-000094810000}"/>
    <cellStyle name="Syöttö 2 2 6 5" xfId="25216" xr:uid="{00000000-0005-0000-0000-000095810000}"/>
    <cellStyle name="Syöttö 2 2 6 6" xfId="26998" xr:uid="{00000000-0005-0000-0000-000096810000}"/>
    <cellStyle name="Syöttö 2 2 6 7" xfId="27295" xr:uid="{00000000-0005-0000-0000-000097810000}"/>
    <cellStyle name="Syöttö 2 2 6_DataIX" xfId="35228" xr:uid="{00000000-0005-0000-0000-000098810000}"/>
    <cellStyle name="Syöttö 2 2 7" xfId="13355" xr:uid="{00000000-0005-0000-0000-000099810000}"/>
    <cellStyle name="Syöttö 2 2 7 2" xfId="20927" xr:uid="{00000000-0005-0000-0000-00009A810000}"/>
    <cellStyle name="Syöttö 2 2 7 2 2" xfId="21681" xr:uid="{00000000-0005-0000-0000-00009B810000}"/>
    <cellStyle name="Syöttö 2 2 7 2_DataIX" xfId="35232" xr:uid="{00000000-0005-0000-0000-00009C810000}"/>
    <cellStyle name="Syöttö 2 2 7 3" xfId="21315" xr:uid="{00000000-0005-0000-0000-00009D810000}"/>
    <cellStyle name="Syöttö 2 2 7 3 2" xfId="11195" xr:uid="{00000000-0005-0000-0000-00009E810000}"/>
    <cellStyle name="Syöttö 2 2 7 3_DataIX" xfId="35233" xr:uid="{00000000-0005-0000-0000-00009F810000}"/>
    <cellStyle name="Syöttö 2 2 7 4" xfId="21834" xr:uid="{00000000-0005-0000-0000-0000A0810000}"/>
    <cellStyle name="Syöttö 2 2 7 5" xfId="26115" xr:uid="{00000000-0005-0000-0000-0000A1810000}"/>
    <cellStyle name="Syöttö 2 2 7 6" xfId="27335" xr:uid="{00000000-0005-0000-0000-0000A2810000}"/>
    <cellStyle name="Syöttö 2 2 7 7" xfId="22727" xr:uid="{00000000-0005-0000-0000-0000A3810000}"/>
    <cellStyle name="Syöttö 2 2 7_DataIX" xfId="35231" xr:uid="{00000000-0005-0000-0000-0000A4810000}"/>
    <cellStyle name="Syöttö 2 2 8" xfId="13123" xr:uid="{00000000-0005-0000-0000-0000A5810000}"/>
    <cellStyle name="Syöttö 2 2 8 2" xfId="20771" xr:uid="{00000000-0005-0000-0000-0000A6810000}"/>
    <cellStyle name="Syöttö 2 2 8 2 2" xfId="12609" xr:uid="{00000000-0005-0000-0000-0000A7810000}"/>
    <cellStyle name="Syöttö 2 2 8 2_DataIX" xfId="35235" xr:uid="{00000000-0005-0000-0000-0000A8810000}"/>
    <cellStyle name="Syöttö 2 2 8 3" xfId="21134" xr:uid="{00000000-0005-0000-0000-0000A9810000}"/>
    <cellStyle name="Syöttö 2 2 8 3 2" xfId="21557" xr:uid="{00000000-0005-0000-0000-0000AA810000}"/>
    <cellStyle name="Syöttö 2 2 8 3_DataIX" xfId="35236" xr:uid="{00000000-0005-0000-0000-0000AB810000}"/>
    <cellStyle name="Syöttö 2 2 8 4" xfId="11240" xr:uid="{00000000-0005-0000-0000-0000AC810000}"/>
    <cellStyle name="Syöttö 2 2 8 5" xfId="26303" xr:uid="{00000000-0005-0000-0000-0000AD810000}"/>
    <cellStyle name="Syöttö 2 2 8 6" xfId="27417" xr:uid="{00000000-0005-0000-0000-0000AE810000}"/>
    <cellStyle name="Syöttö 2 2 8 7" xfId="22964" xr:uid="{00000000-0005-0000-0000-0000AF810000}"/>
    <cellStyle name="Syöttö 2 2 8_DataIX" xfId="35234" xr:uid="{00000000-0005-0000-0000-0000B0810000}"/>
    <cellStyle name="Syöttö 2 2 9" xfId="10742" xr:uid="{00000000-0005-0000-0000-0000B1810000}"/>
    <cellStyle name="Syöttö 2 2 9 2" xfId="21054" xr:uid="{00000000-0005-0000-0000-0000B2810000}"/>
    <cellStyle name="Syöttö 2 2 9 2 2" xfId="21595" xr:uid="{00000000-0005-0000-0000-0000B3810000}"/>
    <cellStyle name="Syöttö 2 2 9 2_DataIX" xfId="35238" xr:uid="{00000000-0005-0000-0000-0000B4810000}"/>
    <cellStyle name="Syöttö 2 2 9 3" xfId="20705" xr:uid="{00000000-0005-0000-0000-0000B5810000}"/>
    <cellStyle name="Syöttö 2 2 9 4" xfId="25451" xr:uid="{00000000-0005-0000-0000-0000B6810000}"/>
    <cellStyle name="Syöttö 2 2 9 5" xfId="27103" xr:uid="{00000000-0005-0000-0000-0000B7810000}"/>
    <cellStyle name="Syöttö 2 2 9 6" xfId="23137" xr:uid="{00000000-0005-0000-0000-0000B8810000}"/>
    <cellStyle name="Syöttö 2 2 9_DataIX" xfId="35237" xr:uid="{00000000-0005-0000-0000-0000B9810000}"/>
    <cellStyle name="Syöttö 2 2_##Keskeiset" xfId="10448" xr:uid="{00000000-0005-0000-0000-0000BA810000}"/>
    <cellStyle name="Syöttö 2 20" xfId="22748" xr:uid="{00000000-0005-0000-0000-0000BB810000}"/>
    <cellStyle name="Syöttö 2 21" xfId="27945" xr:uid="{00000000-0005-0000-0000-0000BC810000}"/>
    <cellStyle name="Syöttö 2 22" xfId="27866" xr:uid="{00000000-0005-0000-0000-0000BD810000}"/>
    <cellStyle name="Syöttö 2 23" xfId="28096" xr:uid="{00000000-0005-0000-0000-0000BE810000}"/>
    <cellStyle name="Syöttö 2 24" xfId="28134" xr:uid="{00000000-0005-0000-0000-0000BF810000}"/>
    <cellStyle name="Syöttö 2 25" xfId="28278" xr:uid="{00000000-0005-0000-0000-0000C0810000}"/>
    <cellStyle name="Syöttö 2 26" xfId="28197" xr:uid="{00000000-0005-0000-0000-0000C1810000}"/>
    <cellStyle name="Syöttö 2 27" xfId="28359" xr:uid="{00000000-0005-0000-0000-0000C2810000}"/>
    <cellStyle name="Syöttö 2 28" xfId="28320" xr:uid="{00000000-0005-0000-0000-0000C3810000}"/>
    <cellStyle name="Syöttö 2 29" xfId="28756" xr:uid="{00000000-0005-0000-0000-0000C4810000}"/>
    <cellStyle name="Syöttö 2 3" xfId="279" xr:uid="{00000000-0005-0000-0000-0000C5810000}"/>
    <cellStyle name="Syöttö 2 3 10" xfId="13851" xr:uid="{00000000-0005-0000-0000-0000C6810000}"/>
    <cellStyle name="Syöttö 2 3 10 2" xfId="10917" xr:uid="{00000000-0005-0000-0000-0000C7810000}"/>
    <cellStyle name="Syöttö 2 3 10 3" xfId="25586" xr:uid="{00000000-0005-0000-0000-0000C8810000}"/>
    <cellStyle name="Syöttö 2 3 10 4" xfId="27157" xr:uid="{00000000-0005-0000-0000-0000C9810000}"/>
    <cellStyle name="Syöttö 2 3 10 5" xfId="26847" xr:uid="{00000000-0005-0000-0000-0000CA810000}"/>
    <cellStyle name="Syöttö 2 3 10_DataIX" xfId="35239" xr:uid="{00000000-0005-0000-0000-0000CB810000}"/>
    <cellStyle name="Syöttö 2 3 11" xfId="20292" xr:uid="{00000000-0005-0000-0000-0000CC810000}"/>
    <cellStyle name="Syöttö 2 3 11 2" xfId="18778" xr:uid="{00000000-0005-0000-0000-0000CD810000}"/>
    <cellStyle name="Syöttö 2 3 11 3" xfId="25990" xr:uid="{00000000-0005-0000-0000-0000CE810000}"/>
    <cellStyle name="Syöttö 2 3 11 4" xfId="27289" xr:uid="{00000000-0005-0000-0000-0000CF810000}"/>
    <cellStyle name="Syöttö 2 3 11 5" xfId="26861" xr:uid="{00000000-0005-0000-0000-0000D0810000}"/>
    <cellStyle name="Syöttö 2 3 11_DataIX" xfId="35240" xr:uid="{00000000-0005-0000-0000-0000D1810000}"/>
    <cellStyle name="Syöttö 2 3 12" xfId="12710" xr:uid="{00000000-0005-0000-0000-0000D2810000}"/>
    <cellStyle name="Syöttö 2 3 13" xfId="13544" xr:uid="{00000000-0005-0000-0000-0000D3810000}"/>
    <cellStyle name="Syöttö 2 3 14" xfId="22374" xr:uid="{00000000-0005-0000-0000-0000D4810000}"/>
    <cellStyle name="Syöttö 2 3 15" xfId="22545" xr:uid="{00000000-0005-0000-0000-0000D5810000}"/>
    <cellStyle name="Syöttö 2 3 16" xfId="22514" xr:uid="{00000000-0005-0000-0000-0000D6810000}"/>
    <cellStyle name="Syöttö 2 3 17" xfId="22457" xr:uid="{00000000-0005-0000-0000-0000D7810000}"/>
    <cellStyle name="Syöttö 2 3 18" xfId="23025" xr:uid="{00000000-0005-0000-0000-0000D8810000}"/>
    <cellStyle name="Syöttö 2 3 19" xfId="27948" xr:uid="{00000000-0005-0000-0000-0000D9810000}"/>
    <cellStyle name="Syöttö 2 3 2" xfId="5200" xr:uid="{00000000-0005-0000-0000-0000DA810000}"/>
    <cellStyle name="Syöttö 2 3 2 2" xfId="10452" xr:uid="{00000000-0005-0000-0000-0000DB810000}"/>
    <cellStyle name="Syöttö 2 3 2 3" xfId="18530" xr:uid="{00000000-0005-0000-0000-0000DC810000}"/>
    <cellStyle name="Syöttö 2 3 2 3 2" xfId="11083" xr:uid="{00000000-0005-0000-0000-0000DD810000}"/>
    <cellStyle name="Syöttö 2 3 2 3_DataIX" xfId="35242" xr:uid="{00000000-0005-0000-0000-0000DE810000}"/>
    <cellStyle name="Syöttö 2 3 2 4" xfId="19055" xr:uid="{00000000-0005-0000-0000-0000DF810000}"/>
    <cellStyle name="Syöttö 2 3 2 4 2" xfId="12965" xr:uid="{00000000-0005-0000-0000-0000E0810000}"/>
    <cellStyle name="Syöttö 2 3 2 4_DataIX" xfId="35243" xr:uid="{00000000-0005-0000-0000-0000E1810000}"/>
    <cellStyle name="Syöttö 2 3 2_DataIX" xfId="35241" xr:uid="{00000000-0005-0000-0000-0000E2810000}"/>
    <cellStyle name="Syöttö 2 3 20" xfId="28005" xr:uid="{00000000-0005-0000-0000-0000E3810000}"/>
    <cellStyle name="Syöttö 2 3 21" xfId="28071" xr:uid="{00000000-0005-0000-0000-0000E4810000}"/>
    <cellStyle name="Syöttö 2 3 22" xfId="28157" xr:uid="{00000000-0005-0000-0000-0000E5810000}"/>
    <cellStyle name="Syöttö 2 3 23" xfId="28281" xr:uid="{00000000-0005-0000-0000-0000E6810000}"/>
    <cellStyle name="Syöttö 2 3 24" xfId="28372" xr:uid="{00000000-0005-0000-0000-0000E7810000}"/>
    <cellStyle name="Syöttö 2 3 25" xfId="28459" xr:uid="{00000000-0005-0000-0000-0000E8810000}"/>
    <cellStyle name="Syöttö 2 3 26" xfId="28189" xr:uid="{00000000-0005-0000-0000-0000E9810000}"/>
    <cellStyle name="Syöttö 2 3 27" xfId="28753" xr:uid="{00000000-0005-0000-0000-0000EA810000}"/>
    <cellStyle name="Syöttö 2 3 28" xfId="28904" xr:uid="{00000000-0005-0000-0000-0000EB810000}"/>
    <cellStyle name="Syöttö 2 3 29" xfId="28679" xr:uid="{00000000-0005-0000-0000-0000EC810000}"/>
    <cellStyle name="Syöttö 2 3 3" xfId="5387" xr:uid="{00000000-0005-0000-0000-0000ED810000}"/>
    <cellStyle name="Syöttö 2 3 3 2" xfId="12895" xr:uid="{00000000-0005-0000-0000-0000EE810000}"/>
    <cellStyle name="Syöttö 2 3 3 3" xfId="18711" xr:uid="{00000000-0005-0000-0000-0000EF810000}"/>
    <cellStyle name="Syöttö 2 3 3 3 2" xfId="22080" xr:uid="{00000000-0005-0000-0000-0000F0810000}"/>
    <cellStyle name="Syöttö 2 3 3 3_DataIX" xfId="35245" xr:uid="{00000000-0005-0000-0000-0000F1810000}"/>
    <cellStyle name="Syöttö 2 3 3 4" xfId="20471" xr:uid="{00000000-0005-0000-0000-0000F2810000}"/>
    <cellStyle name="Syöttö 2 3 3 4 2" xfId="22128" xr:uid="{00000000-0005-0000-0000-0000F3810000}"/>
    <cellStyle name="Syöttö 2 3 3 4_DataIX" xfId="35246" xr:uid="{00000000-0005-0000-0000-0000F4810000}"/>
    <cellStyle name="Syöttö 2 3 3_DataIX" xfId="35244" xr:uid="{00000000-0005-0000-0000-0000F5810000}"/>
    <cellStyle name="Syöttö 2 3 30" xfId="28834" xr:uid="{00000000-0005-0000-0000-0000F6810000}"/>
    <cellStyle name="Syöttö 2 3 31" xfId="29083" xr:uid="{00000000-0005-0000-0000-0000F7810000}"/>
    <cellStyle name="Syöttö 2 3 32" xfId="29135" xr:uid="{00000000-0005-0000-0000-0000F8810000}"/>
    <cellStyle name="Syöttö 2 3 4" xfId="13279" xr:uid="{00000000-0005-0000-0000-0000F9810000}"/>
    <cellStyle name="Syöttö 2 3 4 2" xfId="20868" xr:uid="{00000000-0005-0000-0000-0000FA810000}"/>
    <cellStyle name="Syöttö 2 3 4 2 2" xfId="13713" xr:uid="{00000000-0005-0000-0000-0000FB810000}"/>
    <cellStyle name="Syöttö 2 3 4 2_DataIX" xfId="35248" xr:uid="{00000000-0005-0000-0000-0000FC810000}"/>
    <cellStyle name="Syöttö 2 3 4 3" xfId="21256" xr:uid="{00000000-0005-0000-0000-0000FD810000}"/>
    <cellStyle name="Syöttö 2 3 4 3 2" xfId="12994" xr:uid="{00000000-0005-0000-0000-0000FE810000}"/>
    <cellStyle name="Syöttö 2 3 4 3_DataIX" xfId="35249" xr:uid="{00000000-0005-0000-0000-0000FF810000}"/>
    <cellStyle name="Syöttö 2 3 4 4" xfId="13076" xr:uid="{00000000-0005-0000-0000-000000820000}"/>
    <cellStyle name="Syöttö 2 3 4 5" xfId="25218" xr:uid="{00000000-0005-0000-0000-000001820000}"/>
    <cellStyle name="Syöttö 2 3 4 6" xfId="27000" xr:uid="{00000000-0005-0000-0000-000002820000}"/>
    <cellStyle name="Syöttö 2 3 4 7" xfId="26852" xr:uid="{00000000-0005-0000-0000-000003820000}"/>
    <cellStyle name="Syöttö 2 3 4_DataIX" xfId="35247" xr:uid="{00000000-0005-0000-0000-000004820000}"/>
    <cellStyle name="Syöttö 2 3 5" xfId="13205" xr:uid="{00000000-0005-0000-0000-000005820000}"/>
    <cellStyle name="Syöttö 2 3 5 2" xfId="20824" xr:uid="{00000000-0005-0000-0000-000006820000}"/>
    <cellStyle name="Syöttö 2 3 5 2 2" xfId="10715" xr:uid="{00000000-0005-0000-0000-000007820000}"/>
    <cellStyle name="Syöttö 2 3 5 2_DataIX" xfId="35251" xr:uid="{00000000-0005-0000-0000-000008820000}"/>
    <cellStyle name="Syöttö 2 3 5 3" xfId="21194" xr:uid="{00000000-0005-0000-0000-000009820000}"/>
    <cellStyle name="Syöttö 2 3 5 3 2" xfId="13522" xr:uid="{00000000-0005-0000-0000-00000A820000}"/>
    <cellStyle name="Syöttö 2 3 5 3_DataIX" xfId="35252" xr:uid="{00000000-0005-0000-0000-00000B820000}"/>
    <cellStyle name="Syöttö 2 3 5 4" xfId="13763" xr:uid="{00000000-0005-0000-0000-00000C820000}"/>
    <cellStyle name="Syöttö 2 3 5 5" xfId="26465" xr:uid="{00000000-0005-0000-0000-00000D820000}"/>
    <cellStyle name="Syöttö 2 3 5 6" xfId="27485" xr:uid="{00000000-0005-0000-0000-00000E820000}"/>
    <cellStyle name="Syöttö 2 3 5 7" xfId="23096" xr:uid="{00000000-0005-0000-0000-00000F820000}"/>
    <cellStyle name="Syöttö 2 3 5_DataIX" xfId="35250" xr:uid="{00000000-0005-0000-0000-000010820000}"/>
    <cellStyle name="Syöttö 2 3 6" xfId="13263" xr:uid="{00000000-0005-0000-0000-000011820000}"/>
    <cellStyle name="Syöttö 2 3 6 2" xfId="20856" xr:uid="{00000000-0005-0000-0000-000012820000}"/>
    <cellStyle name="Syöttö 2 3 6 2 2" xfId="10818" xr:uid="{00000000-0005-0000-0000-000013820000}"/>
    <cellStyle name="Syöttö 2 3 6 2_DataIX" xfId="35254" xr:uid="{00000000-0005-0000-0000-000014820000}"/>
    <cellStyle name="Syöttö 2 3 6 3" xfId="21240" xr:uid="{00000000-0005-0000-0000-000015820000}"/>
    <cellStyle name="Syöttö 2 3 6 3 2" xfId="10792" xr:uid="{00000000-0005-0000-0000-000016820000}"/>
    <cellStyle name="Syöttö 2 3 6 3_DataIX" xfId="35255" xr:uid="{00000000-0005-0000-0000-000017820000}"/>
    <cellStyle name="Syöttö 2 3 6 4" xfId="13063" xr:uid="{00000000-0005-0000-0000-000018820000}"/>
    <cellStyle name="Syöttö 2 3 6 5" xfId="25353" xr:uid="{00000000-0005-0000-0000-000019820000}"/>
    <cellStyle name="Syöttö 2 3 6 6" xfId="27065" xr:uid="{00000000-0005-0000-0000-00001A820000}"/>
    <cellStyle name="Syöttö 2 3 6 7" xfId="27571" xr:uid="{00000000-0005-0000-0000-00001B820000}"/>
    <cellStyle name="Syöttö 2 3 6_DataIX" xfId="35253" xr:uid="{00000000-0005-0000-0000-00001C820000}"/>
    <cellStyle name="Syöttö 2 3 7" xfId="10744" xr:uid="{00000000-0005-0000-0000-00001D820000}"/>
    <cellStyle name="Syöttö 2 3 7 2" xfId="21056" xr:uid="{00000000-0005-0000-0000-00001E820000}"/>
    <cellStyle name="Syöttö 2 3 7 2 2" xfId="12718" xr:uid="{00000000-0005-0000-0000-00001F820000}"/>
    <cellStyle name="Syöttö 2 3 7 2_DataIX" xfId="35257" xr:uid="{00000000-0005-0000-0000-000020820000}"/>
    <cellStyle name="Syöttö 2 3 7 3" xfId="10825" xr:uid="{00000000-0005-0000-0000-000021820000}"/>
    <cellStyle name="Syöttö 2 3 7 4" xfId="25272" xr:uid="{00000000-0005-0000-0000-000022820000}"/>
    <cellStyle name="Syöttö 2 3 7 5" xfId="27024" xr:uid="{00000000-0005-0000-0000-000023820000}"/>
    <cellStyle name="Syöttö 2 3 7 6" xfId="26881" xr:uid="{00000000-0005-0000-0000-000024820000}"/>
    <cellStyle name="Syöttö 2 3 7_DataIX" xfId="35256" xr:uid="{00000000-0005-0000-0000-000025820000}"/>
    <cellStyle name="Syöttö 2 3 8" xfId="12806" xr:uid="{00000000-0005-0000-0000-000026820000}"/>
    <cellStyle name="Syöttö 2 3 8 2" xfId="21099" xr:uid="{00000000-0005-0000-0000-000027820000}"/>
    <cellStyle name="Syöttö 2 3 8 2 2" xfId="12722" xr:uid="{00000000-0005-0000-0000-000028820000}"/>
    <cellStyle name="Syöttö 2 3 8 2_DataIX" xfId="35259" xr:uid="{00000000-0005-0000-0000-000029820000}"/>
    <cellStyle name="Syöttö 2 3 8 3" xfId="22106" xr:uid="{00000000-0005-0000-0000-00002A820000}"/>
    <cellStyle name="Syöttö 2 3 8 4" xfId="26028" xr:uid="{00000000-0005-0000-0000-00002B820000}"/>
    <cellStyle name="Syöttö 2 3 8 5" xfId="27301" xr:uid="{00000000-0005-0000-0000-00002C820000}"/>
    <cellStyle name="Syöttö 2 3 8 6" xfId="26860" xr:uid="{00000000-0005-0000-0000-00002D820000}"/>
    <cellStyle name="Syöttö 2 3 8_DataIX" xfId="35258" xr:uid="{00000000-0005-0000-0000-00002E820000}"/>
    <cellStyle name="Syöttö 2 3 9" xfId="13427" xr:uid="{00000000-0005-0000-0000-00002F820000}"/>
    <cellStyle name="Syöttö 2 3 9 2" xfId="21363" xr:uid="{00000000-0005-0000-0000-000030820000}"/>
    <cellStyle name="Syöttö 2 3 9 2 2" xfId="22262" xr:uid="{00000000-0005-0000-0000-000031820000}"/>
    <cellStyle name="Syöttö 2 3 9 2_DataIX" xfId="35261" xr:uid="{00000000-0005-0000-0000-000032820000}"/>
    <cellStyle name="Syöttö 2 3 9 3" xfId="12997" xr:uid="{00000000-0005-0000-0000-000033820000}"/>
    <cellStyle name="Syöttö 2 3 9 4" xfId="26634" xr:uid="{00000000-0005-0000-0000-000034820000}"/>
    <cellStyle name="Syöttö 2 3 9 5" xfId="27559" xr:uid="{00000000-0005-0000-0000-000035820000}"/>
    <cellStyle name="Syöttö 2 3 9 6" xfId="26782" xr:uid="{00000000-0005-0000-0000-000036820000}"/>
    <cellStyle name="Syöttö 2 3 9_DataIX" xfId="35260" xr:uid="{00000000-0005-0000-0000-000037820000}"/>
    <cellStyle name="Syöttö 2 3_##Keskeiset" xfId="10451" xr:uid="{00000000-0005-0000-0000-000038820000}"/>
    <cellStyle name="Syöttö 2 30" xfId="28907" xr:uid="{00000000-0005-0000-0000-000039820000}"/>
    <cellStyle name="Syöttö 2 31" xfId="28936" xr:uid="{00000000-0005-0000-0000-00003A820000}"/>
    <cellStyle name="Syöttö 2 32" xfId="28837" xr:uid="{00000000-0005-0000-0000-00003B820000}"/>
    <cellStyle name="Syöttö 2 33" xfId="29080" xr:uid="{00000000-0005-0000-0000-00003C820000}"/>
    <cellStyle name="Syöttö 2 34" xfId="29138" xr:uid="{00000000-0005-0000-0000-00003D820000}"/>
    <cellStyle name="Syöttö 2 4" xfId="5112" xr:uid="{00000000-0005-0000-0000-00003E820000}"/>
    <cellStyle name="Syöttö 2 4 2" xfId="5695" xr:uid="{00000000-0005-0000-0000-00003F820000}"/>
    <cellStyle name="Syöttö 2 4 2 2" xfId="12896" xr:uid="{00000000-0005-0000-0000-000040820000}"/>
    <cellStyle name="Syöttö 2 4 2 3" xfId="18909" xr:uid="{00000000-0005-0000-0000-000041820000}"/>
    <cellStyle name="Syöttö 2 4 2 3 2" xfId="13043" xr:uid="{00000000-0005-0000-0000-000042820000}"/>
    <cellStyle name="Syöttö 2 4 2 3_DataIX" xfId="35264" xr:uid="{00000000-0005-0000-0000-000043820000}"/>
    <cellStyle name="Syöttö 2 4 2 4" xfId="18942" xr:uid="{00000000-0005-0000-0000-000044820000}"/>
    <cellStyle name="Syöttö 2 4 2 4 2" xfId="12995" xr:uid="{00000000-0005-0000-0000-000045820000}"/>
    <cellStyle name="Syöttö 2 4 2 4_DataIX" xfId="35265" xr:uid="{00000000-0005-0000-0000-000046820000}"/>
    <cellStyle name="Syöttö 2 4 2_DataIX" xfId="35263" xr:uid="{00000000-0005-0000-0000-000047820000}"/>
    <cellStyle name="Syöttö 2 4 3" xfId="10589" xr:uid="{00000000-0005-0000-0000-000048820000}"/>
    <cellStyle name="Syöttö 2 4 3 2" xfId="12897" xr:uid="{00000000-0005-0000-0000-000049820000}"/>
    <cellStyle name="Syöttö 2 4 3 3" xfId="20371" xr:uid="{00000000-0005-0000-0000-00004A820000}"/>
    <cellStyle name="Syöttö 2 4 3 3 2" xfId="22134" xr:uid="{00000000-0005-0000-0000-00004B820000}"/>
    <cellStyle name="Syöttö 2 4 3 3_DataIX" xfId="35267" xr:uid="{00000000-0005-0000-0000-00004C820000}"/>
    <cellStyle name="Syöttö 2 4 3 4" xfId="20982" xr:uid="{00000000-0005-0000-0000-00004D820000}"/>
    <cellStyle name="Syöttö 2 4 3 4 2" xfId="21996" xr:uid="{00000000-0005-0000-0000-00004E820000}"/>
    <cellStyle name="Syöttö 2 4 3 4_DataIX" xfId="35268" xr:uid="{00000000-0005-0000-0000-00004F820000}"/>
    <cellStyle name="Syöttö 2 4 3_DataIX" xfId="35266" xr:uid="{00000000-0005-0000-0000-000050820000}"/>
    <cellStyle name="Syöttö 2 4 4" xfId="11179" xr:uid="{00000000-0005-0000-0000-000051820000}"/>
    <cellStyle name="Syöttö 2 4 5" xfId="18451" xr:uid="{00000000-0005-0000-0000-000052820000}"/>
    <cellStyle name="Syöttö 2 4_DataIX" xfId="35262" xr:uid="{00000000-0005-0000-0000-000053820000}"/>
    <cellStyle name="Syöttö 2 5" xfId="5288" xr:uid="{00000000-0005-0000-0000-000054820000}"/>
    <cellStyle name="Syöttö 2 5 2" xfId="5696" xr:uid="{00000000-0005-0000-0000-000055820000}"/>
    <cellStyle name="Syöttö 2 5 2 2" xfId="12898" xr:uid="{00000000-0005-0000-0000-000056820000}"/>
    <cellStyle name="Syöttö 2 5 2 3" xfId="18910" xr:uid="{00000000-0005-0000-0000-000057820000}"/>
    <cellStyle name="Syöttö 2 5 2 3 2" xfId="13719" xr:uid="{00000000-0005-0000-0000-000058820000}"/>
    <cellStyle name="Syöttö 2 5 2 3_DataIX" xfId="35271" xr:uid="{00000000-0005-0000-0000-000059820000}"/>
    <cellStyle name="Syöttö 2 5 2 4" xfId="18938" xr:uid="{00000000-0005-0000-0000-00005A820000}"/>
    <cellStyle name="Syöttö 2 5 2 4 2" xfId="21591" xr:uid="{00000000-0005-0000-0000-00005B820000}"/>
    <cellStyle name="Syöttö 2 5 2 4_DataIX" xfId="35272" xr:uid="{00000000-0005-0000-0000-00005C820000}"/>
    <cellStyle name="Syöttö 2 5 2_DataIX" xfId="35270" xr:uid="{00000000-0005-0000-0000-00005D820000}"/>
    <cellStyle name="Syöttö 2 5 3" xfId="10588" xr:uid="{00000000-0005-0000-0000-00005E820000}"/>
    <cellStyle name="Syöttö 2 5 3 2" xfId="12899" xr:uid="{00000000-0005-0000-0000-00005F820000}"/>
    <cellStyle name="Syöttö 2 5 3 3" xfId="20370" xr:uid="{00000000-0005-0000-0000-000060820000}"/>
    <cellStyle name="Syöttö 2 5 3 3 2" xfId="20679" xr:uid="{00000000-0005-0000-0000-000061820000}"/>
    <cellStyle name="Syöttö 2 5 3 3_DataIX" xfId="35274" xr:uid="{00000000-0005-0000-0000-000062820000}"/>
    <cellStyle name="Syöttö 2 5 3 4" xfId="20981" xr:uid="{00000000-0005-0000-0000-000063820000}"/>
    <cellStyle name="Syöttö 2 5 3 4 2" xfId="13661" xr:uid="{00000000-0005-0000-0000-000064820000}"/>
    <cellStyle name="Syöttö 2 5 3 4_DataIX" xfId="35275" xr:uid="{00000000-0005-0000-0000-000065820000}"/>
    <cellStyle name="Syöttö 2 5 3_DataIX" xfId="35273" xr:uid="{00000000-0005-0000-0000-000066820000}"/>
    <cellStyle name="Syöttö 2 5 4" xfId="11180" xr:uid="{00000000-0005-0000-0000-000067820000}"/>
    <cellStyle name="Syöttö 2 5 5" xfId="18612" xr:uid="{00000000-0005-0000-0000-000068820000}"/>
    <cellStyle name="Syöttö 2 5_DataIX" xfId="35269" xr:uid="{00000000-0005-0000-0000-000069820000}"/>
    <cellStyle name="Syöttö 2 6" xfId="3318" xr:uid="{00000000-0005-0000-0000-00006A820000}"/>
    <cellStyle name="Syöttö 2 6 2" xfId="10453" xr:uid="{00000000-0005-0000-0000-00006B820000}"/>
    <cellStyle name="Syöttö 2 6 3" xfId="16816" xr:uid="{00000000-0005-0000-0000-00006C820000}"/>
    <cellStyle name="Syöttö 2 6_DataIX" xfId="35276" xr:uid="{00000000-0005-0000-0000-00006D820000}"/>
    <cellStyle name="Syöttö 2 7" xfId="5286" xr:uid="{00000000-0005-0000-0000-00006E820000}"/>
    <cellStyle name="Syöttö 2 7 2" xfId="10454" xr:uid="{00000000-0005-0000-0000-00006F820000}"/>
    <cellStyle name="Syöttö 2 7 3" xfId="18610" xr:uid="{00000000-0005-0000-0000-000070820000}"/>
    <cellStyle name="Syöttö 2 7_DataIX" xfId="35277" xr:uid="{00000000-0005-0000-0000-000071820000}"/>
    <cellStyle name="Syöttö 2 8" xfId="5203" xr:uid="{00000000-0005-0000-0000-000072820000}"/>
    <cellStyle name="Syöttö 2 8 2" xfId="10455" xr:uid="{00000000-0005-0000-0000-000073820000}"/>
    <cellStyle name="Syöttö 2 8 3" xfId="18533" xr:uid="{00000000-0005-0000-0000-000074820000}"/>
    <cellStyle name="Syöttö 2 8 3 2" xfId="13702" xr:uid="{00000000-0005-0000-0000-000075820000}"/>
    <cellStyle name="Syöttö 2 8 3_DataIX" xfId="35279" xr:uid="{00000000-0005-0000-0000-000076820000}"/>
    <cellStyle name="Syöttö 2 8 4" xfId="20535" xr:uid="{00000000-0005-0000-0000-000077820000}"/>
    <cellStyle name="Syöttö 2 8 4 2" xfId="22011" xr:uid="{00000000-0005-0000-0000-000078820000}"/>
    <cellStyle name="Syöttö 2 8 4_DataIX" xfId="35280" xr:uid="{00000000-0005-0000-0000-000079820000}"/>
    <cellStyle name="Syöttö 2 8_DataIX" xfId="35278" xr:uid="{00000000-0005-0000-0000-00007A820000}"/>
    <cellStyle name="Syöttö 2 9" xfId="5294" xr:uid="{00000000-0005-0000-0000-00007B820000}"/>
    <cellStyle name="Syöttö 2 9 2" xfId="10456" xr:uid="{00000000-0005-0000-0000-00007C820000}"/>
    <cellStyle name="Syöttö 2 9 3" xfId="18618" xr:uid="{00000000-0005-0000-0000-00007D820000}"/>
    <cellStyle name="Syöttö 2 9_DataIX" xfId="35281" xr:uid="{00000000-0005-0000-0000-00007E820000}"/>
    <cellStyle name="Syöttö 2_##Keskeiset" xfId="10447" xr:uid="{00000000-0005-0000-0000-00007F820000}"/>
    <cellStyle name="Syöttö 3" xfId="244" xr:uid="{00000000-0005-0000-0000-000080820000}"/>
    <cellStyle name="Syöttö 3 10" xfId="13824" xr:uid="{00000000-0005-0000-0000-000081820000}"/>
    <cellStyle name="Syöttö 3 10 2" xfId="11047" xr:uid="{00000000-0005-0000-0000-000082820000}"/>
    <cellStyle name="Syöttö 3 10 3" xfId="25508" xr:uid="{00000000-0005-0000-0000-000083820000}"/>
    <cellStyle name="Syöttö 3 10 4" xfId="27127" xr:uid="{00000000-0005-0000-0000-000084820000}"/>
    <cellStyle name="Syöttö 3 10 5" xfId="22879" xr:uid="{00000000-0005-0000-0000-000085820000}"/>
    <cellStyle name="Syöttö 3 10_DataIX" xfId="35282" xr:uid="{00000000-0005-0000-0000-000086820000}"/>
    <cellStyle name="Syöttö 3 11" xfId="20306" xr:uid="{00000000-0005-0000-0000-000087820000}"/>
    <cellStyle name="Syöttö 3 11 2" xfId="21477" xr:uid="{00000000-0005-0000-0000-000088820000}"/>
    <cellStyle name="Syöttö 3 11 3" xfId="26617" xr:uid="{00000000-0005-0000-0000-000089820000}"/>
    <cellStyle name="Syöttö 3 11 4" xfId="27554" xr:uid="{00000000-0005-0000-0000-00008A820000}"/>
    <cellStyle name="Syöttö 3 11 5" xfId="26835" xr:uid="{00000000-0005-0000-0000-00008B820000}"/>
    <cellStyle name="Syöttö 3 11_DataIX" xfId="35283" xr:uid="{00000000-0005-0000-0000-00008C820000}"/>
    <cellStyle name="Syöttö 3 12" xfId="22275" xr:uid="{00000000-0005-0000-0000-00008D820000}"/>
    <cellStyle name="Syöttö 3 13" xfId="22375" xr:uid="{00000000-0005-0000-0000-00008E820000}"/>
    <cellStyle name="Syöttö 3 14" xfId="22544" xr:uid="{00000000-0005-0000-0000-00008F820000}"/>
    <cellStyle name="Syöttö 3 15" xfId="22475" xr:uid="{00000000-0005-0000-0000-000090820000}"/>
    <cellStyle name="Syöttö 3 16" xfId="22417" xr:uid="{00000000-0005-0000-0000-000091820000}"/>
    <cellStyle name="Syöttö 3 17" xfId="23124" xr:uid="{00000000-0005-0000-0000-000092820000}"/>
    <cellStyle name="Syöttö 3 18" xfId="27949" xr:uid="{00000000-0005-0000-0000-000093820000}"/>
    <cellStyle name="Syöttö 3 19" xfId="28004" xr:uid="{00000000-0005-0000-0000-000094820000}"/>
    <cellStyle name="Syöttö 3 2" xfId="304" xr:uid="{00000000-0005-0000-0000-000095820000}"/>
    <cellStyle name="Syöttö 3 2 10" xfId="10804" xr:uid="{00000000-0005-0000-0000-000096820000}"/>
    <cellStyle name="Syöttö 3 2 10 2" xfId="25365" xr:uid="{00000000-0005-0000-0000-000097820000}"/>
    <cellStyle name="Syöttö 3 2 10 3" xfId="27072" xr:uid="{00000000-0005-0000-0000-000098820000}"/>
    <cellStyle name="Syöttö 3 2 10 4" xfId="23143" xr:uid="{00000000-0005-0000-0000-000099820000}"/>
    <cellStyle name="Syöttö 3 2 10_DataIX" xfId="35284" xr:uid="{00000000-0005-0000-0000-00009A820000}"/>
    <cellStyle name="Syöttö 3 2 11" xfId="22376" xr:uid="{00000000-0005-0000-0000-00009B820000}"/>
    <cellStyle name="Syöttö 3 2 11 2" xfId="26309" xr:uid="{00000000-0005-0000-0000-00009C820000}"/>
    <cellStyle name="Syöttö 3 2 11 3" xfId="27420" xr:uid="{00000000-0005-0000-0000-00009D820000}"/>
    <cellStyle name="Syöttö 3 2 11 4" xfId="26829" xr:uid="{00000000-0005-0000-0000-00009E820000}"/>
    <cellStyle name="Syöttö 3 2 11_DataIX" xfId="35285" xr:uid="{00000000-0005-0000-0000-00009F820000}"/>
    <cellStyle name="Syöttö 3 2 12" xfId="22543" xr:uid="{00000000-0005-0000-0000-0000A0820000}"/>
    <cellStyle name="Syöttö 3 2 13" xfId="22661" xr:uid="{00000000-0005-0000-0000-0000A1820000}"/>
    <cellStyle name="Syöttö 3 2 14" xfId="22446" xr:uid="{00000000-0005-0000-0000-0000A2820000}"/>
    <cellStyle name="Syöttö 3 2 15" xfId="27228" xr:uid="{00000000-0005-0000-0000-0000A3820000}"/>
    <cellStyle name="Syöttö 3 2 16" xfId="27950" xr:uid="{00000000-0005-0000-0000-0000A4820000}"/>
    <cellStyle name="Syöttö 3 2 17" xfId="28003" xr:uid="{00000000-0005-0000-0000-0000A5820000}"/>
    <cellStyle name="Syöttö 3 2 18" xfId="28283" xr:uid="{00000000-0005-0000-0000-0000A6820000}"/>
    <cellStyle name="Syöttö 3 2 19" xfId="28751" xr:uid="{00000000-0005-0000-0000-0000A7820000}"/>
    <cellStyle name="Syöttö 3 2 2" xfId="5199" xr:uid="{00000000-0005-0000-0000-0000A8820000}"/>
    <cellStyle name="Syöttö 3 2 2 2" xfId="5697" xr:uid="{00000000-0005-0000-0000-0000A9820000}"/>
    <cellStyle name="Syöttö 3 2 2 2 2" xfId="12900" xr:uid="{00000000-0005-0000-0000-0000AA820000}"/>
    <cellStyle name="Syöttö 3 2 2 2 3" xfId="18911" xr:uid="{00000000-0005-0000-0000-0000AB820000}"/>
    <cellStyle name="Syöttö 3 2 2 2 3 2" xfId="21782" xr:uid="{00000000-0005-0000-0000-0000AC820000}"/>
    <cellStyle name="Syöttö 3 2 2 2 3_DataIX" xfId="35288" xr:uid="{00000000-0005-0000-0000-0000AD820000}"/>
    <cellStyle name="Syöttö 3 2 2 2 4" xfId="20424" xr:uid="{00000000-0005-0000-0000-0000AE820000}"/>
    <cellStyle name="Syöttö 3 2 2 2 4 2" xfId="21482" xr:uid="{00000000-0005-0000-0000-0000AF820000}"/>
    <cellStyle name="Syöttö 3 2 2 2 4_DataIX" xfId="35289" xr:uid="{00000000-0005-0000-0000-0000B0820000}"/>
    <cellStyle name="Syöttö 3 2 2 2_DataIX" xfId="35287" xr:uid="{00000000-0005-0000-0000-0000B1820000}"/>
    <cellStyle name="Syöttö 3 2 2 3" xfId="11181" xr:uid="{00000000-0005-0000-0000-0000B2820000}"/>
    <cellStyle name="Syöttö 3 2 2 4" xfId="18529" xr:uid="{00000000-0005-0000-0000-0000B3820000}"/>
    <cellStyle name="Syöttö 3 2 2 4 2" xfId="13461" xr:uid="{00000000-0005-0000-0000-0000B4820000}"/>
    <cellStyle name="Syöttö 3 2 2 4_DataIX" xfId="35290" xr:uid="{00000000-0005-0000-0000-0000B5820000}"/>
    <cellStyle name="Syöttö 3 2 2 5" xfId="20534" xr:uid="{00000000-0005-0000-0000-0000B6820000}"/>
    <cellStyle name="Syöttö 3 2 2 5 2" xfId="21748" xr:uid="{00000000-0005-0000-0000-0000B7820000}"/>
    <cellStyle name="Syöttö 3 2 2 5_DataIX" xfId="35291" xr:uid="{00000000-0005-0000-0000-0000B8820000}"/>
    <cellStyle name="Syöttö 3 2 2_DataIX" xfId="35286" xr:uid="{00000000-0005-0000-0000-0000B9820000}"/>
    <cellStyle name="Syöttö 3 2 20" xfId="28937" xr:uid="{00000000-0005-0000-0000-0000BA820000}"/>
    <cellStyle name="Syöttö 3 2 21" xfId="28832" xr:uid="{00000000-0005-0000-0000-0000BB820000}"/>
    <cellStyle name="Syöttö 3 2 22" xfId="29085" xr:uid="{00000000-0005-0000-0000-0000BC820000}"/>
    <cellStyle name="Syöttö 3 2 23" xfId="29133" xr:uid="{00000000-0005-0000-0000-0000BD820000}"/>
    <cellStyle name="Syöttö 3 2 3" xfId="5698" xr:uid="{00000000-0005-0000-0000-0000BE820000}"/>
    <cellStyle name="Syöttö 3 2 3 2" xfId="10587" xr:uid="{00000000-0005-0000-0000-0000BF820000}"/>
    <cellStyle name="Syöttö 3 2 3 2 2" xfId="12902" xr:uid="{00000000-0005-0000-0000-0000C0820000}"/>
    <cellStyle name="Syöttö 3 2 3 2 3" xfId="20369" xr:uid="{00000000-0005-0000-0000-0000C1820000}"/>
    <cellStyle name="Syöttö 3 2 3 2 3 2" xfId="21977" xr:uid="{00000000-0005-0000-0000-0000C2820000}"/>
    <cellStyle name="Syöttö 3 2 3 2 3_DataIX" xfId="35294" xr:uid="{00000000-0005-0000-0000-0000C3820000}"/>
    <cellStyle name="Syöttö 3 2 3 2 4" xfId="20980" xr:uid="{00000000-0005-0000-0000-0000C4820000}"/>
    <cellStyle name="Syöttö 3 2 3 2 4 2" xfId="22251" xr:uid="{00000000-0005-0000-0000-0000C5820000}"/>
    <cellStyle name="Syöttö 3 2 3 2 4_DataIX" xfId="35295" xr:uid="{00000000-0005-0000-0000-0000C6820000}"/>
    <cellStyle name="Syöttö 3 2 3 2_DataIX" xfId="35293" xr:uid="{00000000-0005-0000-0000-0000C7820000}"/>
    <cellStyle name="Syöttö 3 2 3 3" xfId="12901" xr:uid="{00000000-0005-0000-0000-0000C8820000}"/>
    <cellStyle name="Syöttö 3 2 3 4" xfId="18912" xr:uid="{00000000-0005-0000-0000-0000C9820000}"/>
    <cellStyle name="Syöttö 3 2 3 4 2" xfId="11108" xr:uid="{00000000-0005-0000-0000-0000CA820000}"/>
    <cellStyle name="Syöttö 3 2 3 4_DataIX" xfId="35296" xr:uid="{00000000-0005-0000-0000-0000CB820000}"/>
    <cellStyle name="Syöttö 3 2 3 5" xfId="18939" xr:uid="{00000000-0005-0000-0000-0000CC820000}"/>
    <cellStyle name="Syöttö 3 2 3 5 2" xfId="21473" xr:uid="{00000000-0005-0000-0000-0000CD820000}"/>
    <cellStyle name="Syöttö 3 2 3 5_DataIX" xfId="35297" xr:uid="{00000000-0005-0000-0000-0000CE820000}"/>
    <cellStyle name="Syöttö 3 2 3_DataIX" xfId="35292" xr:uid="{00000000-0005-0000-0000-0000CF820000}"/>
    <cellStyle name="Syöttö 3 2 4" xfId="5389" xr:uid="{00000000-0005-0000-0000-0000D0820000}"/>
    <cellStyle name="Syöttö 3 2 4 2" xfId="12903" xr:uid="{00000000-0005-0000-0000-0000D1820000}"/>
    <cellStyle name="Syöttö 3 2 4 3" xfId="18713" xr:uid="{00000000-0005-0000-0000-0000D2820000}"/>
    <cellStyle name="Syöttö 3 2 4 3 2" xfId="21467" xr:uid="{00000000-0005-0000-0000-0000D3820000}"/>
    <cellStyle name="Syöttö 3 2 4 3_DataIX" xfId="35299" xr:uid="{00000000-0005-0000-0000-0000D4820000}"/>
    <cellStyle name="Syöttö 3 2 4 4" xfId="20470" xr:uid="{00000000-0005-0000-0000-0000D5820000}"/>
    <cellStyle name="Syöttö 3 2 4 4 2" xfId="11275" xr:uid="{00000000-0005-0000-0000-0000D6820000}"/>
    <cellStyle name="Syöttö 3 2 4 4_DataIX" xfId="35300" xr:uid="{00000000-0005-0000-0000-0000D7820000}"/>
    <cellStyle name="Syöttö 3 2 4_DataIX" xfId="35298" xr:uid="{00000000-0005-0000-0000-0000D8820000}"/>
    <cellStyle name="Syöttö 3 2 5" xfId="13381" xr:uid="{00000000-0005-0000-0000-0000D9820000}"/>
    <cellStyle name="Syöttö 3 2 5 2" xfId="20939" xr:uid="{00000000-0005-0000-0000-0000DA820000}"/>
    <cellStyle name="Syöttö 3 2 5 2 2" xfId="11344" xr:uid="{00000000-0005-0000-0000-0000DB820000}"/>
    <cellStyle name="Syöttö 3 2 5 2_DataIX" xfId="35302" xr:uid="{00000000-0005-0000-0000-0000DC820000}"/>
    <cellStyle name="Syöttö 3 2 5 3" xfId="21336" xr:uid="{00000000-0005-0000-0000-0000DD820000}"/>
    <cellStyle name="Syöttö 3 2 5 3 2" xfId="21499" xr:uid="{00000000-0005-0000-0000-0000DE820000}"/>
    <cellStyle name="Syöttö 3 2 5 3_DataIX" xfId="35303" xr:uid="{00000000-0005-0000-0000-0000DF820000}"/>
    <cellStyle name="Syöttö 3 2 5 4" xfId="20636" xr:uid="{00000000-0005-0000-0000-0000E0820000}"/>
    <cellStyle name="Syöttö 3 2 5 5" xfId="25220" xr:uid="{00000000-0005-0000-0000-0000E1820000}"/>
    <cellStyle name="Syöttö 3 2 5 6" xfId="27002" xr:uid="{00000000-0005-0000-0000-0000E2820000}"/>
    <cellStyle name="Syöttö 3 2 5 7" xfId="23056" xr:uid="{00000000-0005-0000-0000-0000E3820000}"/>
    <cellStyle name="Syöttö 3 2 5_DataIX" xfId="35301" xr:uid="{00000000-0005-0000-0000-0000E4820000}"/>
    <cellStyle name="Syöttö 3 2 6" xfId="13233" xr:uid="{00000000-0005-0000-0000-0000E5820000}"/>
    <cellStyle name="Syöttö 3 2 6 2" xfId="20843" xr:uid="{00000000-0005-0000-0000-0000E6820000}"/>
    <cellStyle name="Syöttö 3 2 6 2 2" xfId="21747" xr:uid="{00000000-0005-0000-0000-0000E7820000}"/>
    <cellStyle name="Syöttö 3 2 6 2_DataIX" xfId="35305" xr:uid="{00000000-0005-0000-0000-0000E8820000}"/>
    <cellStyle name="Syöttö 3 2 6 3" xfId="21219" xr:uid="{00000000-0005-0000-0000-0000E9820000}"/>
    <cellStyle name="Syöttö 3 2 6 3 2" xfId="21763" xr:uid="{00000000-0005-0000-0000-0000EA820000}"/>
    <cellStyle name="Syöttö 3 2 6 3_DataIX" xfId="35306" xr:uid="{00000000-0005-0000-0000-0000EB820000}"/>
    <cellStyle name="Syöttö 3 2 6 4" xfId="11027" xr:uid="{00000000-0005-0000-0000-0000EC820000}"/>
    <cellStyle name="Syöttö 3 2 6 5" xfId="25631" xr:uid="{00000000-0005-0000-0000-0000ED820000}"/>
    <cellStyle name="Syöttö 3 2 6 6" xfId="27171" xr:uid="{00000000-0005-0000-0000-0000EE820000}"/>
    <cellStyle name="Syöttö 3 2 6 7" xfId="22844" xr:uid="{00000000-0005-0000-0000-0000EF820000}"/>
    <cellStyle name="Syöttö 3 2 6_DataIX" xfId="35304" xr:uid="{00000000-0005-0000-0000-0000F0820000}"/>
    <cellStyle name="Syöttö 3 2 7" xfId="13245" xr:uid="{00000000-0005-0000-0000-0000F1820000}"/>
    <cellStyle name="Syöttö 3 2 7 2" xfId="20849" xr:uid="{00000000-0005-0000-0000-0000F2820000}"/>
    <cellStyle name="Syöttö 3 2 7 2 2" xfId="13051" xr:uid="{00000000-0005-0000-0000-0000F3820000}"/>
    <cellStyle name="Syöttö 3 2 7 2_DataIX" xfId="35308" xr:uid="{00000000-0005-0000-0000-0000F4820000}"/>
    <cellStyle name="Syöttö 3 2 7 3" xfId="21229" xr:uid="{00000000-0005-0000-0000-0000F5820000}"/>
    <cellStyle name="Syöttö 3 2 7 3 2" xfId="21442" xr:uid="{00000000-0005-0000-0000-0000F6820000}"/>
    <cellStyle name="Syöttö 3 2 7 3_DataIX" xfId="35309" xr:uid="{00000000-0005-0000-0000-0000F7820000}"/>
    <cellStyle name="Syöttö 3 2 7 4" xfId="10852" xr:uid="{00000000-0005-0000-0000-0000F8820000}"/>
    <cellStyle name="Syöttö 3 2 7 5" xfId="26566" xr:uid="{00000000-0005-0000-0000-0000F9820000}"/>
    <cellStyle name="Syöttö 3 2 7 6" xfId="27527" xr:uid="{00000000-0005-0000-0000-0000FA820000}"/>
    <cellStyle name="Syöttö 3 2 7 7" xfId="27217" xr:uid="{00000000-0005-0000-0000-0000FB820000}"/>
    <cellStyle name="Syöttö 3 2 7_DataIX" xfId="35307" xr:uid="{00000000-0005-0000-0000-0000FC820000}"/>
    <cellStyle name="Syöttö 3 2 8" xfId="13870" xr:uid="{00000000-0005-0000-0000-0000FD820000}"/>
    <cellStyle name="Syöttö 3 2 8 2" xfId="13411" xr:uid="{00000000-0005-0000-0000-0000FE820000}"/>
    <cellStyle name="Syöttö 3 2 8 3" xfId="25596" xr:uid="{00000000-0005-0000-0000-0000FF820000}"/>
    <cellStyle name="Syöttö 3 2 8 4" xfId="27158" xr:uid="{00000000-0005-0000-0000-000000830000}"/>
    <cellStyle name="Syöttö 3 2 8 5" xfId="26802" xr:uid="{00000000-0005-0000-0000-000001830000}"/>
    <cellStyle name="Syöttö 3 2 8_DataIX" xfId="35310" xr:uid="{00000000-0005-0000-0000-000002830000}"/>
    <cellStyle name="Syöttö 3 2 9" xfId="20284" xr:uid="{00000000-0005-0000-0000-000003830000}"/>
    <cellStyle name="Syöttö 3 2 9 2" xfId="11292" xr:uid="{00000000-0005-0000-0000-000004830000}"/>
    <cellStyle name="Syöttö 3 2 9 3" xfId="25374" xr:uid="{00000000-0005-0000-0000-000005830000}"/>
    <cellStyle name="Syöttö 3 2 9 4" xfId="27075" xr:uid="{00000000-0005-0000-0000-000006830000}"/>
    <cellStyle name="Syöttö 3 2 9 5" xfId="23031" xr:uid="{00000000-0005-0000-0000-000007830000}"/>
    <cellStyle name="Syöttö 3 2 9_DataIX" xfId="35311" xr:uid="{00000000-0005-0000-0000-000008830000}"/>
    <cellStyle name="Syöttö 3 2_##Keskeiset" xfId="10458" xr:uid="{00000000-0005-0000-0000-000009830000}"/>
    <cellStyle name="Syöttö 3 20" xfId="28282" xr:uid="{00000000-0005-0000-0000-00000A830000}"/>
    <cellStyle name="Syöttö 3 21" xfId="28752" xr:uid="{00000000-0005-0000-0000-00000B830000}"/>
    <cellStyle name="Syöttö 3 22" xfId="28680" xr:uid="{00000000-0005-0000-0000-00000C830000}"/>
    <cellStyle name="Syöttö 3 23" xfId="28833" xr:uid="{00000000-0005-0000-0000-00000D830000}"/>
    <cellStyle name="Syöttö 3 24" xfId="29084" xr:uid="{00000000-0005-0000-0000-00000E830000}"/>
    <cellStyle name="Syöttö 3 25" xfId="29134" xr:uid="{00000000-0005-0000-0000-00000F830000}"/>
    <cellStyle name="Syöttö 3 3" xfId="278" xr:uid="{00000000-0005-0000-0000-000010830000}"/>
    <cellStyle name="Syöttö 3 3 10" xfId="13850" xr:uid="{00000000-0005-0000-0000-000011830000}"/>
    <cellStyle name="Syöttö 3 3 10 2" xfId="13455" xr:uid="{00000000-0005-0000-0000-000012830000}"/>
    <cellStyle name="Syöttö 3 3 10 3" xfId="25569" xr:uid="{00000000-0005-0000-0000-000013830000}"/>
    <cellStyle name="Syöttö 3 3 10 4" xfId="27148" xr:uid="{00000000-0005-0000-0000-000014830000}"/>
    <cellStyle name="Syöttö 3 3 10 5" xfId="22954" xr:uid="{00000000-0005-0000-0000-000015830000}"/>
    <cellStyle name="Syöttö 3 3 10_DataIX" xfId="35312" xr:uid="{00000000-0005-0000-0000-000016830000}"/>
    <cellStyle name="Syöttö 3 3 11" xfId="13813" xr:uid="{00000000-0005-0000-0000-000017830000}"/>
    <cellStyle name="Syöttö 3 3 11 2" xfId="13785" xr:uid="{00000000-0005-0000-0000-000018830000}"/>
    <cellStyle name="Syöttö 3 3 11 3" xfId="26650" xr:uid="{00000000-0005-0000-0000-000019830000}"/>
    <cellStyle name="Syöttö 3 3 11 4" xfId="27566" xr:uid="{00000000-0005-0000-0000-00001A830000}"/>
    <cellStyle name="Syöttö 3 3 11 5" xfId="23147" xr:uid="{00000000-0005-0000-0000-00001B830000}"/>
    <cellStyle name="Syöttö 3 3 11_DataIX" xfId="35313" xr:uid="{00000000-0005-0000-0000-00001C830000}"/>
    <cellStyle name="Syöttö 3 3 12" xfId="11002" xr:uid="{00000000-0005-0000-0000-00001D830000}"/>
    <cellStyle name="Syöttö 3 3 13" xfId="20646" xr:uid="{00000000-0005-0000-0000-00001E830000}"/>
    <cellStyle name="Syöttö 3 3 14" xfId="22377" xr:uid="{00000000-0005-0000-0000-00001F830000}"/>
    <cellStyle name="Syöttö 3 3 15" xfId="22542" xr:uid="{00000000-0005-0000-0000-000020830000}"/>
    <cellStyle name="Syöttö 3 3 16" xfId="22704" xr:uid="{00000000-0005-0000-0000-000021830000}"/>
    <cellStyle name="Syöttö 3 3 17" xfId="22676" xr:uid="{00000000-0005-0000-0000-000022830000}"/>
    <cellStyle name="Syöttö 3 3 18" xfId="27321" xr:uid="{00000000-0005-0000-0000-000023830000}"/>
    <cellStyle name="Syöttö 3 3 19" xfId="27951" xr:uid="{00000000-0005-0000-0000-000024830000}"/>
    <cellStyle name="Syöttö 3 3 2" xfId="5198" xr:uid="{00000000-0005-0000-0000-000025830000}"/>
    <cellStyle name="Syöttö 3 3 2 2" xfId="10460" xr:uid="{00000000-0005-0000-0000-000026830000}"/>
    <cellStyle name="Syöttö 3 3 2 3" xfId="18528" xr:uid="{00000000-0005-0000-0000-000027830000}"/>
    <cellStyle name="Syöttö 3 3 2 3 2" xfId="21882" xr:uid="{00000000-0005-0000-0000-000028830000}"/>
    <cellStyle name="Syöttö 3 3 2 3_DataIX" xfId="35315" xr:uid="{00000000-0005-0000-0000-000029830000}"/>
    <cellStyle name="Syöttö 3 3 2 4" xfId="19060" xr:uid="{00000000-0005-0000-0000-00002A830000}"/>
    <cellStyle name="Syöttö 3 3 2 4 2" xfId="21887" xr:uid="{00000000-0005-0000-0000-00002B830000}"/>
    <cellStyle name="Syöttö 3 3 2 4_DataIX" xfId="35316" xr:uid="{00000000-0005-0000-0000-00002C830000}"/>
    <cellStyle name="Syöttö 3 3 2_DataIX" xfId="35314" xr:uid="{00000000-0005-0000-0000-00002D830000}"/>
    <cellStyle name="Syöttö 3 3 20" xfId="28002" xr:uid="{00000000-0005-0000-0000-00002E830000}"/>
    <cellStyle name="Syöttö 3 3 21" xfId="28093" xr:uid="{00000000-0005-0000-0000-00002F830000}"/>
    <cellStyle name="Syöttö 3 3 22" xfId="28158" xr:uid="{00000000-0005-0000-0000-000030830000}"/>
    <cellStyle name="Syöttö 3 3 23" xfId="28284" xr:uid="{00000000-0005-0000-0000-000031830000}"/>
    <cellStyle name="Syöttö 3 3 24" xfId="28370" xr:uid="{00000000-0005-0000-0000-000032830000}"/>
    <cellStyle name="Syöttö 3 3 25" xfId="28267" xr:uid="{00000000-0005-0000-0000-000033830000}"/>
    <cellStyle name="Syöttö 3 3 26" xfId="28317" xr:uid="{00000000-0005-0000-0000-000034830000}"/>
    <cellStyle name="Syöttö 3 3 27" xfId="28750" xr:uid="{00000000-0005-0000-0000-000035830000}"/>
    <cellStyle name="Syöttö 3 3 28" xfId="28902" xr:uid="{00000000-0005-0000-0000-000036830000}"/>
    <cellStyle name="Syöttö 3 3 29" xfId="28816" xr:uid="{00000000-0005-0000-0000-000037830000}"/>
    <cellStyle name="Syöttö 3 3 3" xfId="5390" xr:uid="{00000000-0005-0000-0000-000038830000}"/>
    <cellStyle name="Syöttö 3 3 3 2" xfId="12904" xr:uid="{00000000-0005-0000-0000-000039830000}"/>
    <cellStyle name="Syöttö 3 3 3 3" xfId="18714" xr:uid="{00000000-0005-0000-0000-00003A830000}"/>
    <cellStyle name="Syöttö 3 3 3 3 2" xfId="13052" xr:uid="{00000000-0005-0000-0000-00003B830000}"/>
    <cellStyle name="Syöttö 3 3 3 3_DataIX" xfId="35318" xr:uid="{00000000-0005-0000-0000-00003C830000}"/>
    <cellStyle name="Syöttö 3 3 3 4" xfId="18988" xr:uid="{00000000-0005-0000-0000-00003D830000}"/>
    <cellStyle name="Syöttö 3 3 3 4 2" xfId="11319" xr:uid="{00000000-0005-0000-0000-00003E830000}"/>
    <cellStyle name="Syöttö 3 3 3 4_DataIX" xfId="35319" xr:uid="{00000000-0005-0000-0000-00003F830000}"/>
    <cellStyle name="Syöttö 3 3 3_DataIX" xfId="35317" xr:uid="{00000000-0005-0000-0000-000040830000}"/>
    <cellStyle name="Syöttö 3 3 30" xfId="28831" xr:uid="{00000000-0005-0000-0000-000041830000}"/>
    <cellStyle name="Syöttö 3 3 31" xfId="29086" xr:uid="{00000000-0005-0000-0000-000042830000}"/>
    <cellStyle name="Syöttö 3 3 32" xfId="29132" xr:uid="{00000000-0005-0000-0000-000043830000}"/>
    <cellStyle name="Syöttö 3 3 4" xfId="13277" xr:uid="{00000000-0005-0000-0000-000044830000}"/>
    <cellStyle name="Syöttö 3 3 4 2" xfId="20866" xr:uid="{00000000-0005-0000-0000-000045830000}"/>
    <cellStyle name="Syöttö 3 3 4 2 2" xfId="22055" xr:uid="{00000000-0005-0000-0000-000046830000}"/>
    <cellStyle name="Syöttö 3 3 4 2_DataIX" xfId="35321" xr:uid="{00000000-0005-0000-0000-000047830000}"/>
    <cellStyle name="Syöttö 3 3 4 3" xfId="21254" xr:uid="{00000000-0005-0000-0000-000048830000}"/>
    <cellStyle name="Syöttö 3 3 4 3 2" xfId="21690" xr:uid="{00000000-0005-0000-0000-000049830000}"/>
    <cellStyle name="Syöttö 3 3 4 3_DataIX" xfId="35322" xr:uid="{00000000-0005-0000-0000-00004A830000}"/>
    <cellStyle name="Syöttö 3 3 4 4" xfId="22017" xr:uid="{00000000-0005-0000-0000-00004B830000}"/>
    <cellStyle name="Syöttö 3 3 4 5" xfId="25221" xr:uid="{00000000-0005-0000-0000-00004C830000}"/>
    <cellStyle name="Syöttö 3 3 4 6" xfId="27003" xr:uid="{00000000-0005-0000-0000-00004D830000}"/>
    <cellStyle name="Syöttö 3 3 4 7" xfId="22993" xr:uid="{00000000-0005-0000-0000-00004E830000}"/>
    <cellStyle name="Syöttö 3 3 4_DataIX" xfId="35320" xr:uid="{00000000-0005-0000-0000-00004F830000}"/>
    <cellStyle name="Syöttö 3 3 5" xfId="13119" xr:uid="{00000000-0005-0000-0000-000050830000}"/>
    <cellStyle name="Syöttö 3 3 5 2" xfId="20769" xr:uid="{00000000-0005-0000-0000-000051830000}"/>
    <cellStyle name="Syöttö 3 3 5 2 2" xfId="13064" xr:uid="{00000000-0005-0000-0000-000052830000}"/>
    <cellStyle name="Syöttö 3 3 5 2_DataIX" xfId="35324" xr:uid="{00000000-0005-0000-0000-000053830000}"/>
    <cellStyle name="Syöttö 3 3 5 3" xfId="21130" xr:uid="{00000000-0005-0000-0000-000054830000}"/>
    <cellStyle name="Syöttö 3 3 5 3 2" xfId="10996" xr:uid="{00000000-0005-0000-0000-000055830000}"/>
    <cellStyle name="Syöttö 3 3 5 3_DataIX" xfId="35325" xr:uid="{00000000-0005-0000-0000-000056830000}"/>
    <cellStyle name="Syöttö 3 3 5 4" xfId="10985" xr:uid="{00000000-0005-0000-0000-000057830000}"/>
    <cellStyle name="Syöttö 3 3 5 5" xfId="26464" xr:uid="{00000000-0005-0000-0000-000058830000}"/>
    <cellStyle name="Syöttö 3 3 5 6" xfId="27484" xr:uid="{00000000-0005-0000-0000-000059830000}"/>
    <cellStyle name="Syöttö 3 3 5 7" xfId="23099" xr:uid="{00000000-0005-0000-0000-00005A830000}"/>
    <cellStyle name="Syöttö 3 3 5_DataIX" xfId="35323" xr:uid="{00000000-0005-0000-0000-00005B830000}"/>
    <cellStyle name="Syöttö 3 3 6" xfId="13334" xr:uid="{00000000-0005-0000-0000-00005C830000}"/>
    <cellStyle name="Syöttö 3 3 6 2" xfId="20914" xr:uid="{00000000-0005-0000-0000-00005D830000}"/>
    <cellStyle name="Syöttö 3 3 6 2 2" xfId="22213" xr:uid="{00000000-0005-0000-0000-00005E830000}"/>
    <cellStyle name="Syöttö 3 3 6 2_DataIX" xfId="35327" xr:uid="{00000000-0005-0000-0000-00005F830000}"/>
    <cellStyle name="Syöttö 3 3 6 3" xfId="21300" xr:uid="{00000000-0005-0000-0000-000060830000}"/>
    <cellStyle name="Syöttö 3 3 6 3 2" xfId="10896" xr:uid="{00000000-0005-0000-0000-000061830000}"/>
    <cellStyle name="Syöttö 3 3 6 3_DataIX" xfId="35328" xr:uid="{00000000-0005-0000-0000-000062830000}"/>
    <cellStyle name="Syöttö 3 3 6 4" xfId="13648" xr:uid="{00000000-0005-0000-0000-000063830000}"/>
    <cellStyle name="Syöttö 3 3 6 5" xfId="25777" xr:uid="{00000000-0005-0000-0000-000064830000}"/>
    <cellStyle name="Syöttö 3 3 6 6" xfId="27224" xr:uid="{00000000-0005-0000-0000-000065830000}"/>
    <cellStyle name="Syöttö 3 3 6 7" xfId="22808" xr:uid="{00000000-0005-0000-0000-000066830000}"/>
    <cellStyle name="Syöttö 3 3 6_DataIX" xfId="35326" xr:uid="{00000000-0005-0000-0000-000067830000}"/>
    <cellStyle name="Syöttö 3 3 7" xfId="10745" xr:uid="{00000000-0005-0000-0000-000068830000}"/>
    <cellStyle name="Syöttö 3 3 7 2" xfId="21057" xr:uid="{00000000-0005-0000-0000-000069830000}"/>
    <cellStyle name="Syöttö 3 3 7 2 2" xfId="13646" xr:uid="{00000000-0005-0000-0000-00006A830000}"/>
    <cellStyle name="Syöttö 3 3 7 2_DataIX" xfId="35330" xr:uid="{00000000-0005-0000-0000-00006B830000}"/>
    <cellStyle name="Syöttö 3 3 7 3" xfId="21487" xr:uid="{00000000-0005-0000-0000-00006C830000}"/>
    <cellStyle name="Syöttö 3 3 7 4" xfId="25254" xr:uid="{00000000-0005-0000-0000-00006D830000}"/>
    <cellStyle name="Syöttö 3 3 7 5" xfId="27022" xr:uid="{00000000-0005-0000-0000-00006E830000}"/>
    <cellStyle name="Syöttö 3 3 7 6" xfId="27495" xr:uid="{00000000-0005-0000-0000-00006F830000}"/>
    <cellStyle name="Syöttö 3 3 7_DataIX" xfId="35329" xr:uid="{00000000-0005-0000-0000-000070830000}"/>
    <cellStyle name="Syöttö 3 3 8" xfId="11142" xr:uid="{00000000-0005-0000-0000-000071830000}"/>
    <cellStyle name="Syöttö 3 3 8 2" xfId="21081" xr:uid="{00000000-0005-0000-0000-000072830000}"/>
    <cellStyle name="Syöttö 3 3 8 2 2" xfId="11036" xr:uid="{00000000-0005-0000-0000-000073830000}"/>
    <cellStyle name="Syöttö 3 3 8 2_DataIX" xfId="35332" xr:uid="{00000000-0005-0000-0000-000074830000}"/>
    <cellStyle name="Syöttö 3 3 8 3" xfId="21865" xr:uid="{00000000-0005-0000-0000-000075830000}"/>
    <cellStyle name="Syöttö 3 3 8 4" xfId="25361" xr:uid="{00000000-0005-0000-0000-000076830000}"/>
    <cellStyle name="Syöttö 3 3 8 5" xfId="27070" xr:uid="{00000000-0005-0000-0000-000077830000}"/>
    <cellStyle name="Syöttö 3 3 8 6" xfId="23087" xr:uid="{00000000-0005-0000-0000-000078830000}"/>
    <cellStyle name="Syöttö 3 3 8_DataIX" xfId="35331" xr:uid="{00000000-0005-0000-0000-000079830000}"/>
    <cellStyle name="Syöttö 3 3 9" xfId="13670" xr:uid="{00000000-0005-0000-0000-00007A830000}"/>
    <cellStyle name="Syöttö 3 3 9 2" xfId="21371" xr:uid="{00000000-0005-0000-0000-00007B830000}"/>
    <cellStyle name="Syöttö 3 3 9 2 2" xfId="21941" xr:uid="{00000000-0005-0000-0000-00007C830000}"/>
    <cellStyle name="Syöttö 3 3 9 2_DataIX" xfId="35334" xr:uid="{00000000-0005-0000-0000-00007D830000}"/>
    <cellStyle name="Syöttö 3 3 9 3" xfId="13686" xr:uid="{00000000-0005-0000-0000-00007E830000}"/>
    <cellStyle name="Syöttö 3 3 9 4" xfId="25878" xr:uid="{00000000-0005-0000-0000-00007F830000}"/>
    <cellStyle name="Syöttö 3 3 9 5" xfId="27254" xr:uid="{00000000-0005-0000-0000-000080830000}"/>
    <cellStyle name="Syöttö 3 3 9 6" xfId="23068" xr:uid="{00000000-0005-0000-0000-000081830000}"/>
    <cellStyle name="Syöttö 3 3 9_DataIX" xfId="35333" xr:uid="{00000000-0005-0000-0000-000082830000}"/>
    <cellStyle name="Syöttö 3 3_##Keskeiset" xfId="10459" xr:uid="{00000000-0005-0000-0000-000083830000}"/>
    <cellStyle name="Syöttö 3 4" xfId="5113" xr:uid="{00000000-0005-0000-0000-000084830000}"/>
    <cellStyle name="Syöttö 3 4 2" xfId="5699" xr:uid="{00000000-0005-0000-0000-000085830000}"/>
    <cellStyle name="Syöttö 3 4 2 2" xfId="12905" xr:uid="{00000000-0005-0000-0000-000086830000}"/>
    <cellStyle name="Syöttö 3 4 2 3" xfId="18913" xr:uid="{00000000-0005-0000-0000-000087830000}"/>
    <cellStyle name="Syöttö 3 4 2 3 2" xfId="22099" xr:uid="{00000000-0005-0000-0000-000088830000}"/>
    <cellStyle name="Syöttö 3 4 2 3_DataIX" xfId="35337" xr:uid="{00000000-0005-0000-0000-000089830000}"/>
    <cellStyle name="Syöttö 3 4 2 4" xfId="20415" xr:uid="{00000000-0005-0000-0000-00008A830000}"/>
    <cellStyle name="Syöttö 3 4 2 4 2" xfId="12708" xr:uid="{00000000-0005-0000-0000-00008B830000}"/>
    <cellStyle name="Syöttö 3 4 2 4_DataIX" xfId="35338" xr:uid="{00000000-0005-0000-0000-00008C830000}"/>
    <cellStyle name="Syöttö 3 4 2_DataIX" xfId="35336" xr:uid="{00000000-0005-0000-0000-00008D830000}"/>
    <cellStyle name="Syöttö 3 4 3" xfId="11182" xr:uid="{00000000-0005-0000-0000-00008E830000}"/>
    <cellStyle name="Syöttö 3 4 4" xfId="18452" xr:uid="{00000000-0005-0000-0000-00008F830000}"/>
    <cellStyle name="Syöttö 3 4 4 2" xfId="13733" xr:uid="{00000000-0005-0000-0000-000090830000}"/>
    <cellStyle name="Syöttö 3 4 4_DataIX" xfId="35339" xr:uid="{00000000-0005-0000-0000-000091830000}"/>
    <cellStyle name="Syöttö 3 4 5" xfId="19068" xr:uid="{00000000-0005-0000-0000-000092830000}"/>
    <cellStyle name="Syöttö 3 4 5 2" xfId="12563" xr:uid="{00000000-0005-0000-0000-000093830000}"/>
    <cellStyle name="Syöttö 3 4 5_DataIX" xfId="35340" xr:uid="{00000000-0005-0000-0000-000094830000}"/>
    <cellStyle name="Syöttö 3 4_DataIX" xfId="35335" xr:uid="{00000000-0005-0000-0000-000095830000}"/>
    <cellStyle name="Syöttö 3 5" xfId="5700" xr:uid="{00000000-0005-0000-0000-000096830000}"/>
    <cellStyle name="Syöttö 3 5 2" xfId="10586" xr:uid="{00000000-0005-0000-0000-000097830000}"/>
    <cellStyle name="Syöttö 3 5 2 2" xfId="12907" xr:uid="{00000000-0005-0000-0000-000098830000}"/>
    <cellStyle name="Syöttö 3 5 2 3" xfId="20368" xr:uid="{00000000-0005-0000-0000-000099830000}"/>
    <cellStyle name="Syöttö 3 5 2 3 2" xfId="22041" xr:uid="{00000000-0005-0000-0000-00009A830000}"/>
    <cellStyle name="Syöttö 3 5 2 3_DataIX" xfId="35343" xr:uid="{00000000-0005-0000-0000-00009B830000}"/>
    <cellStyle name="Syöttö 3 5 2 4" xfId="20979" xr:uid="{00000000-0005-0000-0000-00009C830000}"/>
    <cellStyle name="Syöttö 3 5 2 4 2" xfId="11118" xr:uid="{00000000-0005-0000-0000-00009D830000}"/>
    <cellStyle name="Syöttö 3 5 2 4_DataIX" xfId="35344" xr:uid="{00000000-0005-0000-0000-00009E830000}"/>
    <cellStyle name="Syöttö 3 5 2_DataIX" xfId="35342" xr:uid="{00000000-0005-0000-0000-00009F830000}"/>
    <cellStyle name="Syöttö 3 5 3" xfId="12906" xr:uid="{00000000-0005-0000-0000-0000A0830000}"/>
    <cellStyle name="Syöttö 3 5 4" xfId="18914" xr:uid="{00000000-0005-0000-0000-0000A1830000}"/>
    <cellStyle name="Syöttö 3 5 4 2" xfId="10851" xr:uid="{00000000-0005-0000-0000-0000A2830000}"/>
    <cellStyle name="Syöttö 3 5 4_DataIX" xfId="35345" xr:uid="{00000000-0005-0000-0000-0000A3830000}"/>
    <cellStyle name="Syöttö 3 5 5" xfId="20422" xr:uid="{00000000-0005-0000-0000-0000A4830000}"/>
    <cellStyle name="Syöttö 3 5 5 2" xfId="11204" xr:uid="{00000000-0005-0000-0000-0000A5830000}"/>
    <cellStyle name="Syöttö 3 5 5_DataIX" xfId="35346" xr:uid="{00000000-0005-0000-0000-0000A6830000}"/>
    <cellStyle name="Syöttö 3 5_DataIX" xfId="35341" xr:uid="{00000000-0005-0000-0000-0000A7830000}"/>
    <cellStyle name="Syöttö 3 6" xfId="5388" xr:uid="{00000000-0005-0000-0000-0000A8830000}"/>
    <cellStyle name="Syöttö 3 6 2" xfId="12908" xr:uid="{00000000-0005-0000-0000-0000A9830000}"/>
    <cellStyle name="Syöttö 3 6 3" xfId="18712" xr:uid="{00000000-0005-0000-0000-0000AA830000}"/>
    <cellStyle name="Syöttö 3 6 3 2" xfId="11037" xr:uid="{00000000-0005-0000-0000-0000AB830000}"/>
    <cellStyle name="Syöttö 3 6 3_DataIX" xfId="35348" xr:uid="{00000000-0005-0000-0000-0000AC830000}"/>
    <cellStyle name="Syöttö 3 6 4" xfId="18989" xr:uid="{00000000-0005-0000-0000-0000AD830000}"/>
    <cellStyle name="Syöttö 3 6 4 2" xfId="13057" xr:uid="{00000000-0005-0000-0000-0000AE830000}"/>
    <cellStyle name="Syöttö 3 6 4_DataIX" xfId="35349" xr:uid="{00000000-0005-0000-0000-0000AF830000}"/>
    <cellStyle name="Syöttö 3 6_DataIX" xfId="35347" xr:uid="{00000000-0005-0000-0000-0000B0830000}"/>
    <cellStyle name="Syöttö 3 7" xfId="13278" xr:uid="{00000000-0005-0000-0000-0000B1830000}"/>
    <cellStyle name="Syöttö 3 7 2" xfId="20867" xr:uid="{00000000-0005-0000-0000-0000B2830000}"/>
    <cellStyle name="Syöttö 3 7 2 2" xfId="10930" xr:uid="{00000000-0005-0000-0000-0000B3830000}"/>
    <cellStyle name="Syöttö 3 7 2_DataIX" xfId="35351" xr:uid="{00000000-0005-0000-0000-0000B4830000}"/>
    <cellStyle name="Syöttö 3 7 3" xfId="21255" xr:uid="{00000000-0005-0000-0000-0000B5830000}"/>
    <cellStyle name="Syöttö 3 7 3 2" xfId="21823" xr:uid="{00000000-0005-0000-0000-0000B6830000}"/>
    <cellStyle name="Syöttö 3 7 3_DataIX" xfId="35352" xr:uid="{00000000-0005-0000-0000-0000B7830000}"/>
    <cellStyle name="Syöttö 3 7 4" xfId="13075" xr:uid="{00000000-0005-0000-0000-0000B8830000}"/>
    <cellStyle name="Syöttö 3 7 5" xfId="25219" xr:uid="{00000000-0005-0000-0000-0000B9830000}"/>
    <cellStyle name="Syöttö 3 7 6" xfId="27001" xr:uid="{00000000-0005-0000-0000-0000BA830000}"/>
    <cellStyle name="Syöttö 3 7 7" xfId="23038" xr:uid="{00000000-0005-0000-0000-0000BB830000}"/>
    <cellStyle name="Syöttö 3 7_DataIX" xfId="35350" xr:uid="{00000000-0005-0000-0000-0000BC830000}"/>
    <cellStyle name="Syöttö 3 8" xfId="13145" xr:uid="{00000000-0005-0000-0000-0000BD830000}"/>
    <cellStyle name="Syöttö 3 8 2" xfId="20785" xr:uid="{00000000-0005-0000-0000-0000BE830000}"/>
    <cellStyle name="Syöttö 3 8 2 2" xfId="21866" xr:uid="{00000000-0005-0000-0000-0000BF830000}"/>
    <cellStyle name="Syöttö 3 8 2_DataIX" xfId="35354" xr:uid="{00000000-0005-0000-0000-0000C0830000}"/>
    <cellStyle name="Syöttö 3 8 3" xfId="21150" xr:uid="{00000000-0005-0000-0000-0000C1830000}"/>
    <cellStyle name="Syöttö 3 8 3 2" xfId="21761" xr:uid="{00000000-0005-0000-0000-0000C2830000}"/>
    <cellStyle name="Syöttö 3 8 3_DataIX" xfId="35355" xr:uid="{00000000-0005-0000-0000-0000C3830000}"/>
    <cellStyle name="Syöttö 3 8 4" xfId="12716" xr:uid="{00000000-0005-0000-0000-0000C4830000}"/>
    <cellStyle name="Syöttö 3 8 5" xfId="26114" xr:uid="{00000000-0005-0000-0000-0000C5830000}"/>
    <cellStyle name="Syöttö 3 8 6" xfId="27334" xr:uid="{00000000-0005-0000-0000-0000C6830000}"/>
    <cellStyle name="Syöttö 3 8 7" xfId="27604" xr:uid="{00000000-0005-0000-0000-0000C7830000}"/>
    <cellStyle name="Syöttö 3 8_DataIX" xfId="35353" xr:uid="{00000000-0005-0000-0000-0000C8830000}"/>
    <cellStyle name="Syöttö 3 9" xfId="13241" xr:uid="{00000000-0005-0000-0000-0000C9830000}"/>
    <cellStyle name="Syöttö 3 9 2" xfId="20847" xr:uid="{00000000-0005-0000-0000-0000CA830000}"/>
    <cellStyle name="Syöttö 3 9 2 2" xfId="21490" xr:uid="{00000000-0005-0000-0000-0000CB830000}"/>
    <cellStyle name="Syöttö 3 9 2_DataIX" xfId="35357" xr:uid="{00000000-0005-0000-0000-0000CC830000}"/>
    <cellStyle name="Syöttö 3 9 3" xfId="21225" xr:uid="{00000000-0005-0000-0000-0000CD830000}"/>
    <cellStyle name="Syöttö 3 9 3 2" xfId="22006" xr:uid="{00000000-0005-0000-0000-0000CE830000}"/>
    <cellStyle name="Syöttö 3 9 3_DataIX" xfId="35358" xr:uid="{00000000-0005-0000-0000-0000CF830000}"/>
    <cellStyle name="Syöttö 3 9 4" xfId="11301" xr:uid="{00000000-0005-0000-0000-0000D0830000}"/>
    <cellStyle name="Syöttö 3 9 5" xfId="25965" xr:uid="{00000000-0005-0000-0000-0000D1830000}"/>
    <cellStyle name="Syöttö 3 9 6" xfId="27279" xr:uid="{00000000-0005-0000-0000-0000D2830000}"/>
    <cellStyle name="Syöttö 3 9 7" xfId="22902" xr:uid="{00000000-0005-0000-0000-0000D3830000}"/>
    <cellStyle name="Syöttö 3 9_DataIX" xfId="35356" xr:uid="{00000000-0005-0000-0000-0000D4830000}"/>
    <cellStyle name="Syöttö 3_##Keskeiset" xfId="10457" xr:uid="{00000000-0005-0000-0000-0000D5830000}"/>
    <cellStyle name="Syöttö 4" xfId="262" xr:uid="{00000000-0005-0000-0000-0000D6830000}"/>
    <cellStyle name="Syöttö 4 10" xfId="12805" xr:uid="{00000000-0005-0000-0000-0000D7830000}"/>
    <cellStyle name="Syöttö 4 10 2" xfId="21098" xr:uid="{00000000-0005-0000-0000-0000D8830000}"/>
    <cellStyle name="Syöttö 4 10 2 2" xfId="21555" xr:uid="{00000000-0005-0000-0000-0000D9830000}"/>
    <cellStyle name="Syöttö 4 10 2_DataIX" xfId="35360" xr:uid="{00000000-0005-0000-0000-0000DA830000}"/>
    <cellStyle name="Syöttö 4 10 3" xfId="11281" xr:uid="{00000000-0005-0000-0000-0000DB830000}"/>
    <cellStyle name="Syöttö 4 10 4" xfId="26523" xr:uid="{00000000-0005-0000-0000-0000DC830000}"/>
    <cellStyle name="Syöttö 4 10 5" xfId="27511" xr:uid="{00000000-0005-0000-0000-0000DD830000}"/>
    <cellStyle name="Syöttö 4 10 6" xfId="23146" xr:uid="{00000000-0005-0000-0000-0000DE830000}"/>
    <cellStyle name="Syöttö 4 10_DataIX" xfId="35359" xr:uid="{00000000-0005-0000-0000-0000DF830000}"/>
    <cellStyle name="Syöttö 4 11" xfId="13836" xr:uid="{00000000-0005-0000-0000-0000E0830000}"/>
    <cellStyle name="Syöttö 4 11 2" xfId="21516" xr:uid="{00000000-0005-0000-0000-0000E1830000}"/>
    <cellStyle name="Syöttö 4 11 3" xfId="26364" xr:uid="{00000000-0005-0000-0000-0000E2830000}"/>
    <cellStyle name="Syöttö 4 11 4" xfId="27445" xr:uid="{00000000-0005-0000-0000-0000E3830000}"/>
    <cellStyle name="Syöttö 4 11 5" xfId="26874" xr:uid="{00000000-0005-0000-0000-0000E4830000}"/>
    <cellStyle name="Syöttö 4 11_DataIX" xfId="35361" xr:uid="{00000000-0005-0000-0000-0000E5830000}"/>
    <cellStyle name="Syöttö 4 12" xfId="20790" xr:uid="{00000000-0005-0000-0000-0000E6830000}"/>
    <cellStyle name="Syöttö 4 12 2" xfId="10842" xr:uid="{00000000-0005-0000-0000-0000E7830000}"/>
    <cellStyle name="Syöttö 4 12_DataIX" xfId="35362" xr:uid="{00000000-0005-0000-0000-0000E8830000}"/>
    <cellStyle name="Syöttö 4 13" xfId="12558" xr:uid="{00000000-0005-0000-0000-0000E9830000}"/>
    <cellStyle name="Syöttö 4 14" xfId="22378" xr:uid="{00000000-0005-0000-0000-0000EA830000}"/>
    <cellStyle name="Syöttö 4 15" xfId="22541" xr:uid="{00000000-0005-0000-0000-0000EB830000}"/>
    <cellStyle name="Syöttö 4 16" xfId="22474" xr:uid="{00000000-0005-0000-0000-0000EC830000}"/>
    <cellStyle name="Syöttö 4 17" xfId="22416" xr:uid="{00000000-0005-0000-0000-0000ED830000}"/>
    <cellStyle name="Syöttö 4 18" xfId="27435" xr:uid="{00000000-0005-0000-0000-0000EE830000}"/>
    <cellStyle name="Syöttö 4 19" xfId="27952" xr:uid="{00000000-0005-0000-0000-0000EF830000}"/>
    <cellStyle name="Syöttö 4 2" xfId="316" xr:uid="{00000000-0005-0000-0000-0000F0830000}"/>
    <cellStyle name="Syöttö 4 2 10" xfId="13880" xr:uid="{00000000-0005-0000-0000-0000F1830000}"/>
    <cellStyle name="Syöttö 4 2 10 2" xfId="13450" xr:uid="{00000000-0005-0000-0000-0000F2830000}"/>
    <cellStyle name="Syöttö 4 2 10 3" xfId="25283" xr:uid="{00000000-0005-0000-0000-0000F3830000}"/>
    <cellStyle name="Syöttö 4 2 10 4" xfId="27031" xr:uid="{00000000-0005-0000-0000-0000F4830000}"/>
    <cellStyle name="Syöttö 4 2 10 5" xfId="26820" xr:uid="{00000000-0005-0000-0000-0000F5830000}"/>
    <cellStyle name="Syöttö 4 2 10_DataIX" xfId="35363" xr:uid="{00000000-0005-0000-0000-0000F6830000}"/>
    <cellStyle name="Syöttö 4 2 11" xfId="13809" xr:uid="{00000000-0005-0000-0000-0000F7830000}"/>
    <cellStyle name="Syöttö 4 2 11 2" xfId="20699" xr:uid="{00000000-0005-0000-0000-0000F8830000}"/>
    <cellStyle name="Syöttö 4 2 11 3" xfId="25425" xr:uid="{00000000-0005-0000-0000-0000F9830000}"/>
    <cellStyle name="Syöttö 4 2 11 4" xfId="27094" xr:uid="{00000000-0005-0000-0000-0000FA830000}"/>
    <cellStyle name="Syöttö 4 2 11 5" xfId="23047" xr:uid="{00000000-0005-0000-0000-0000FB830000}"/>
    <cellStyle name="Syöttö 4 2 11_DataIX" xfId="35364" xr:uid="{00000000-0005-0000-0000-0000FC830000}"/>
    <cellStyle name="Syöttö 4 2 12" xfId="13041" xr:uid="{00000000-0005-0000-0000-0000FD830000}"/>
    <cellStyle name="Syöttö 4 2 13" xfId="12973" xr:uid="{00000000-0005-0000-0000-0000FE830000}"/>
    <cellStyle name="Syöttö 4 2 14" xfId="22379" xr:uid="{00000000-0005-0000-0000-0000FF830000}"/>
    <cellStyle name="Syöttö 4 2 15" xfId="22540" xr:uid="{00000000-0005-0000-0000-000000840000}"/>
    <cellStyle name="Syöttö 4 2 16" xfId="22473" xr:uid="{00000000-0005-0000-0000-000001840000}"/>
    <cellStyle name="Syöttö 4 2 17" xfId="22418" xr:uid="{00000000-0005-0000-0000-000002840000}"/>
    <cellStyle name="Syöttö 4 2 18" xfId="27508" xr:uid="{00000000-0005-0000-0000-000003840000}"/>
    <cellStyle name="Syöttö 4 2 19" xfId="27953" xr:uid="{00000000-0005-0000-0000-000004840000}"/>
    <cellStyle name="Syöttö 4 2 2" xfId="5196" xr:uid="{00000000-0005-0000-0000-000005840000}"/>
    <cellStyle name="Syöttö 4 2 2 2" xfId="10463" xr:uid="{00000000-0005-0000-0000-000006840000}"/>
    <cellStyle name="Syöttö 4 2 2 3" xfId="18526" xr:uid="{00000000-0005-0000-0000-000007840000}"/>
    <cellStyle name="Syöttö 4 2 2 3 2" xfId="11330" xr:uid="{00000000-0005-0000-0000-000008840000}"/>
    <cellStyle name="Syöttö 4 2 2 3_DataIX" xfId="35366" xr:uid="{00000000-0005-0000-0000-000009840000}"/>
    <cellStyle name="Syöttö 4 2 2 4" xfId="19059" xr:uid="{00000000-0005-0000-0000-00000A840000}"/>
    <cellStyle name="Syöttö 4 2 2 4 2" xfId="22087" xr:uid="{00000000-0005-0000-0000-00000B840000}"/>
    <cellStyle name="Syöttö 4 2 2 4_DataIX" xfId="35367" xr:uid="{00000000-0005-0000-0000-00000C840000}"/>
    <cellStyle name="Syöttö 4 2 2_DataIX" xfId="35365" xr:uid="{00000000-0005-0000-0000-00000D840000}"/>
    <cellStyle name="Syöttö 4 2 20" xfId="28000" xr:uid="{00000000-0005-0000-0000-00000E840000}"/>
    <cellStyle name="Syöttö 4 2 21" xfId="28091" xr:uid="{00000000-0005-0000-0000-00000F840000}"/>
    <cellStyle name="Syöttö 4 2 22" xfId="28160" xr:uid="{00000000-0005-0000-0000-000010840000}"/>
    <cellStyle name="Syöttö 4 2 23" xfId="28286" xr:uid="{00000000-0005-0000-0000-000011840000}"/>
    <cellStyle name="Syöttö 4 2 24" xfId="28368" xr:uid="{00000000-0005-0000-0000-000012840000}"/>
    <cellStyle name="Syöttö 4 2 25" xfId="28456" xr:uid="{00000000-0005-0000-0000-000013840000}"/>
    <cellStyle name="Syöttö 4 2 26" xfId="28316" xr:uid="{00000000-0005-0000-0000-000014840000}"/>
    <cellStyle name="Syöttö 4 2 27" xfId="28748" xr:uid="{00000000-0005-0000-0000-000015840000}"/>
    <cellStyle name="Syöttö 4 2 28" xfId="28900" xr:uid="{00000000-0005-0000-0000-000016840000}"/>
    <cellStyle name="Syöttö 4 2 29" xfId="28938" xr:uid="{00000000-0005-0000-0000-000017840000}"/>
    <cellStyle name="Syöttö 4 2 3" xfId="5392" xr:uid="{00000000-0005-0000-0000-000018840000}"/>
    <cellStyle name="Syöttö 4 2 3 2" xfId="12909" xr:uid="{00000000-0005-0000-0000-000019840000}"/>
    <cellStyle name="Syöttö 4 2 3 3" xfId="18716" xr:uid="{00000000-0005-0000-0000-00001A840000}"/>
    <cellStyle name="Syöttö 4 2 3 3 2" xfId="20725" xr:uid="{00000000-0005-0000-0000-00001B840000}"/>
    <cellStyle name="Syöttö 4 2 3 3_DataIX" xfId="35369" xr:uid="{00000000-0005-0000-0000-00001C840000}"/>
    <cellStyle name="Syöttö 4 2 3 4" xfId="18987" xr:uid="{00000000-0005-0000-0000-00001D840000}"/>
    <cellStyle name="Syöttö 4 2 3 4 2" xfId="21927" xr:uid="{00000000-0005-0000-0000-00001E840000}"/>
    <cellStyle name="Syöttö 4 2 3 4_DataIX" xfId="35370" xr:uid="{00000000-0005-0000-0000-00001F840000}"/>
    <cellStyle name="Syöttö 4 2 3_DataIX" xfId="35368" xr:uid="{00000000-0005-0000-0000-000020840000}"/>
    <cellStyle name="Syöttö 4 2 30" xfId="28829" xr:uid="{00000000-0005-0000-0000-000021840000}"/>
    <cellStyle name="Syöttö 4 2 31" xfId="29088" xr:uid="{00000000-0005-0000-0000-000022840000}"/>
    <cellStyle name="Syöttö 4 2 32" xfId="29130" xr:uid="{00000000-0005-0000-0000-000023840000}"/>
    <cellStyle name="Syöttö 4 2 4" xfId="13380" xr:uid="{00000000-0005-0000-0000-000024840000}"/>
    <cellStyle name="Syöttö 4 2 4 2" xfId="20938" xr:uid="{00000000-0005-0000-0000-000025840000}"/>
    <cellStyle name="Syöttö 4 2 4 2 2" xfId="21923" xr:uid="{00000000-0005-0000-0000-000026840000}"/>
    <cellStyle name="Syöttö 4 2 4 2_DataIX" xfId="35372" xr:uid="{00000000-0005-0000-0000-000027840000}"/>
    <cellStyle name="Syöttö 4 2 4 3" xfId="21335" xr:uid="{00000000-0005-0000-0000-000028840000}"/>
    <cellStyle name="Syöttö 4 2 4 3 2" xfId="13599" xr:uid="{00000000-0005-0000-0000-000029840000}"/>
    <cellStyle name="Syöttö 4 2 4 3_DataIX" xfId="35373" xr:uid="{00000000-0005-0000-0000-00002A840000}"/>
    <cellStyle name="Syöttö 4 2 4 4" xfId="10844" xr:uid="{00000000-0005-0000-0000-00002B840000}"/>
    <cellStyle name="Syöttö 4 2 4 5" xfId="25223" xr:uid="{00000000-0005-0000-0000-00002C840000}"/>
    <cellStyle name="Syöttö 4 2 4 6" xfId="27005" xr:uid="{00000000-0005-0000-0000-00002D840000}"/>
    <cellStyle name="Syöttö 4 2 4 7" xfId="26822" xr:uid="{00000000-0005-0000-0000-00002E840000}"/>
    <cellStyle name="Syöttö 4 2 4_DataIX" xfId="35371" xr:uid="{00000000-0005-0000-0000-00002F840000}"/>
    <cellStyle name="Syöttö 4 2 5" xfId="13256" xr:uid="{00000000-0005-0000-0000-000030840000}"/>
    <cellStyle name="Syöttö 4 2 5 2" xfId="20854" xr:uid="{00000000-0005-0000-0000-000031840000}"/>
    <cellStyle name="Syöttö 4 2 5 2 2" xfId="11233" xr:uid="{00000000-0005-0000-0000-000032840000}"/>
    <cellStyle name="Syöttö 4 2 5 2_DataIX" xfId="35375" xr:uid="{00000000-0005-0000-0000-000033840000}"/>
    <cellStyle name="Syöttö 4 2 5 3" xfId="21234" xr:uid="{00000000-0005-0000-0000-000034840000}"/>
    <cellStyle name="Syöttö 4 2 5 3 2" xfId="22113" xr:uid="{00000000-0005-0000-0000-000035840000}"/>
    <cellStyle name="Syöttö 4 2 5 3_DataIX" xfId="35376" xr:uid="{00000000-0005-0000-0000-000036840000}"/>
    <cellStyle name="Syöttö 4 2 5 4" xfId="10885" xr:uid="{00000000-0005-0000-0000-000037840000}"/>
    <cellStyle name="Syöttö 4 2 5 5" xfId="25630" xr:uid="{00000000-0005-0000-0000-000038840000}"/>
    <cellStyle name="Syöttö 4 2 5 6" xfId="27170" xr:uid="{00000000-0005-0000-0000-000039840000}"/>
    <cellStyle name="Syöttö 4 2 5 7" xfId="27608" xr:uid="{00000000-0005-0000-0000-00003A840000}"/>
    <cellStyle name="Syöttö 4 2 5_DataIX" xfId="35374" xr:uid="{00000000-0005-0000-0000-00003B840000}"/>
    <cellStyle name="Syöttö 4 2 6" xfId="13215" xr:uid="{00000000-0005-0000-0000-00003C840000}"/>
    <cellStyle name="Syöttö 4 2 6 2" xfId="20829" xr:uid="{00000000-0005-0000-0000-00003D840000}"/>
    <cellStyle name="Syöttö 4 2 6 2 2" xfId="21991" xr:uid="{00000000-0005-0000-0000-00003E840000}"/>
    <cellStyle name="Syöttö 4 2 6 2_DataIX" xfId="35378" xr:uid="{00000000-0005-0000-0000-00003F840000}"/>
    <cellStyle name="Syöttö 4 2 6 3" xfId="21204" xr:uid="{00000000-0005-0000-0000-000040840000}"/>
    <cellStyle name="Syöttö 4 2 6 3 2" xfId="21687" xr:uid="{00000000-0005-0000-0000-000041840000}"/>
    <cellStyle name="Syöttö 4 2 6 3_DataIX" xfId="35379" xr:uid="{00000000-0005-0000-0000-000042840000}"/>
    <cellStyle name="Syöttö 4 2 6 4" xfId="13049" xr:uid="{00000000-0005-0000-0000-000043840000}"/>
    <cellStyle name="Syöttö 4 2 6 5" xfId="26565" xr:uid="{00000000-0005-0000-0000-000044840000}"/>
    <cellStyle name="Syöttö 4 2 6 6" xfId="27526" xr:uid="{00000000-0005-0000-0000-000045840000}"/>
    <cellStyle name="Syöttö 4 2 6 7" xfId="27074" xr:uid="{00000000-0005-0000-0000-000046840000}"/>
    <cellStyle name="Syöttö 4 2 6_DataIX" xfId="35377" xr:uid="{00000000-0005-0000-0000-000047840000}"/>
    <cellStyle name="Syöttö 4 2 7" xfId="10747" xr:uid="{00000000-0005-0000-0000-000048840000}"/>
    <cellStyle name="Syöttö 4 2 7 2" xfId="21059" xr:uid="{00000000-0005-0000-0000-000049840000}"/>
    <cellStyle name="Syöttö 4 2 7 2 2" xfId="10952" xr:uid="{00000000-0005-0000-0000-00004A840000}"/>
    <cellStyle name="Syöttö 4 2 7 2_DataIX" xfId="35381" xr:uid="{00000000-0005-0000-0000-00004B840000}"/>
    <cellStyle name="Syöttö 4 2 7 3" xfId="20675" xr:uid="{00000000-0005-0000-0000-00004C840000}"/>
    <cellStyle name="Syöttö 4 2 7 4" xfId="25450" xr:uid="{00000000-0005-0000-0000-00004D840000}"/>
    <cellStyle name="Syöttö 4 2 7 5" xfId="27102" xr:uid="{00000000-0005-0000-0000-00004E840000}"/>
    <cellStyle name="Syöttö 4 2 7 6" xfId="27143" xr:uid="{00000000-0005-0000-0000-00004F840000}"/>
    <cellStyle name="Syöttö 4 2 7_DataIX" xfId="35380" xr:uid="{00000000-0005-0000-0000-000050840000}"/>
    <cellStyle name="Syöttö 4 2 8" xfId="11141" xr:uid="{00000000-0005-0000-0000-000051840000}"/>
    <cellStyle name="Syöttö 4 2 8 2" xfId="21080" xr:uid="{00000000-0005-0000-0000-000052840000}"/>
    <cellStyle name="Syöttö 4 2 8 2 2" xfId="10768" xr:uid="{00000000-0005-0000-0000-000053840000}"/>
    <cellStyle name="Syöttö 4 2 8 2_DataIX" xfId="35383" xr:uid="{00000000-0005-0000-0000-000054840000}"/>
    <cellStyle name="Syöttö 4 2 8 3" xfId="22212" xr:uid="{00000000-0005-0000-0000-000055840000}"/>
    <cellStyle name="Syöttö 4 2 8 4" xfId="25939" xr:uid="{00000000-0005-0000-0000-000056840000}"/>
    <cellStyle name="Syöttö 4 2 8 5" xfId="27271" xr:uid="{00000000-0005-0000-0000-000057840000}"/>
    <cellStyle name="Syöttö 4 2 8 6" xfId="23033" xr:uid="{00000000-0005-0000-0000-000058840000}"/>
    <cellStyle name="Syöttö 4 2 8_DataIX" xfId="35382" xr:uid="{00000000-0005-0000-0000-000059840000}"/>
    <cellStyle name="Syöttö 4 2 9" xfId="10911" xr:uid="{00000000-0005-0000-0000-00005A840000}"/>
    <cellStyle name="Syöttö 4 2 9 2" xfId="21072" xr:uid="{00000000-0005-0000-0000-00005B840000}"/>
    <cellStyle name="Syöttö 4 2 9 2 2" xfId="21494" xr:uid="{00000000-0005-0000-0000-00005C840000}"/>
    <cellStyle name="Syöttö 4 2 9 2_DataIX" xfId="35385" xr:uid="{00000000-0005-0000-0000-00005D840000}"/>
    <cellStyle name="Syöttö 4 2 9 3" xfId="21668" xr:uid="{00000000-0005-0000-0000-00005E840000}"/>
    <cellStyle name="Syöttö 4 2 9 4" xfId="25287" xr:uid="{00000000-0005-0000-0000-00005F840000}"/>
    <cellStyle name="Syöttö 4 2 9 5" xfId="27036" xr:uid="{00000000-0005-0000-0000-000060840000}"/>
    <cellStyle name="Syöttö 4 2 9 6" xfId="27093" xr:uid="{00000000-0005-0000-0000-000061840000}"/>
    <cellStyle name="Syöttö 4 2 9_DataIX" xfId="35384" xr:uid="{00000000-0005-0000-0000-000062840000}"/>
    <cellStyle name="Syöttö 4 2_##Keskeiset" xfId="10462" xr:uid="{00000000-0005-0000-0000-000063840000}"/>
    <cellStyle name="Syöttö 4 20" xfId="28001" xr:uid="{00000000-0005-0000-0000-000064840000}"/>
    <cellStyle name="Syöttö 4 21" xfId="28092" xr:uid="{00000000-0005-0000-0000-000065840000}"/>
    <cellStyle name="Syöttö 4 22" xfId="28159" xr:uid="{00000000-0005-0000-0000-000066840000}"/>
    <cellStyle name="Syöttö 4 23" xfId="28285" xr:uid="{00000000-0005-0000-0000-000067840000}"/>
    <cellStyle name="Syöttö 4 24" xfId="28369" xr:uid="{00000000-0005-0000-0000-000068840000}"/>
    <cellStyle name="Syöttö 4 25" xfId="28457" xr:uid="{00000000-0005-0000-0000-000069840000}"/>
    <cellStyle name="Syöttö 4 26" xfId="28315" xr:uid="{00000000-0005-0000-0000-00006A840000}"/>
    <cellStyle name="Syöttö 4 27" xfId="28749" xr:uid="{00000000-0005-0000-0000-00006B840000}"/>
    <cellStyle name="Syöttö 4 28" xfId="28901" xr:uid="{00000000-0005-0000-0000-00006C840000}"/>
    <cellStyle name="Syöttö 4 29" xfId="28678" xr:uid="{00000000-0005-0000-0000-00006D840000}"/>
    <cellStyle name="Syöttö 4 3" xfId="5197" xr:uid="{00000000-0005-0000-0000-00006E840000}"/>
    <cellStyle name="Syöttö 4 3 2" xfId="5701" xr:uid="{00000000-0005-0000-0000-00006F840000}"/>
    <cellStyle name="Syöttö 4 3 2 2" xfId="12910" xr:uid="{00000000-0005-0000-0000-000070840000}"/>
    <cellStyle name="Syöttö 4 3 2 3" xfId="18915" xr:uid="{00000000-0005-0000-0000-000071840000}"/>
    <cellStyle name="Syöttö 4 3 2 3 2" xfId="20640" xr:uid="{00000000-0005-0000-0000-000072840000}"/>
    <cellStyle name="Syöttö 4 3 2 3_DataIX" xfId="35388" xr:uid="{00000000-0005-0000-0000-000073840000}"/>
    <cellStyle name="Syöttö 4 3 2 4" xfId="18937" xr:uid="{00000000-0005-0000-0000-000074840000}"/>
    <cellStyle name="Syöttö 4 3 2 4 2" xfId="22084" xr:uid="{00000000-0005-0000-0000-000075840000}"/>
    <cellStyle name="Syöttö 4 3 2 4_DataIX" xfId="35389" xr:uid="{00000000-0005-0000-0000-000076840000}"/>
    <cellStyle name="Syöttö 4 3 2_DataIX" xfId="35387" xr:uid="{00000000-0005-0000-0000-000077840000}"/>
    <cellStyle name="Syöttö 4 3 3" xfId="11183" xr:uid="{00000000-0005-0000-0000-000078840000}"/>
    <cellStyle name="Syöttö 4 3 4" xfId="18527" xr:uid="{00000000-0005-0000-0000-000079840000}"/>
    <cellStyle name="Syöttö 4 3 4 2" xfId="22093" xr:uid="{00000000-0005-0000-0000-00007A840000}"/>
    <cellStyle name="Syöttö 4 3 4_DataIX" xfId="35390" xr:uid="{00000000-0005-0000-0000-00007B840000}"/>
    <cellStyle name="Syöttö 4 3 5" xfId="20539" xr:uid="{00000000-0005-0000-0000-00007C840000}"/>
    <cellStyle name="Syöttö 4 3 5 2" xfId="22013" xr:uid="{00000000-0005-0000-0000-00007D840000}"/>
    <cellStyle name="Syöttö 4 3 5_DataIX" xfId="35391" xr:uid="{00000000-0005-0000-0000-00007E840000}"/>
    <cellStyle name="Syöttö 4 3_DataIX" xfId="35386" xr:uid="{00000000-0005-0000-0000-00007F840000}"/>
    <cellStyle name="Syöttö 4 30" xfId="28830" xr:uid="{00000000-0005-0000-0000-000080840000}"/>
    <cellStyle name="Syöttö 4 31" xfId="29087" xr:uid="{00000000-0005-0000-0000-000081840000}"/>
    <cellStyle name="Syöttö 4 32" xfId="29131" xr:uid="{00000000-0005-0000-0000-000082840000}"/>
    <cellStyle name="Syöttö 4 4" xfId="5702" xr:uid="{00000000-0005-0000-0000-000083840000}"/>
    <cellStyle name="Syöttö 4 4 2" xfId="10585" xr:uid="{00000000-0005-0000-0000-000084840000}"/>
    <cellStyle name="Syöttö 4 4 2 2" xfId="12912" xr:uid="{00000000-0005-0000-0000-000085840000}"/>
    <cellStyle name="Syöttö 4 4 2 3" xfId="20367" xr:uid="{00000000-0005-0000-0000-000086840000}"/>
    <cellStyle name="Syöttö 4 4 2 3 2" xfId="12990" xr:uid="{00000000-0005-0000-0000-000087840000}"/>
    <cellStyle name="Syöttö 4 4 2 3_DataIX" xfId="35394" xr:uid="{00000000-0005-0000-0000-000088840000}"/>
    <cellStyle name="Syöttö 4 4 2 4" xfId="20978" xr:uid="{00000000-0005-0000-0000-000089840000}"/>
    <cellStyle name="Syöttö 4 4 2 4 2" xfId="12742" xr:uid="{00000000-0005-0000-0000-00008A840000}"/>
    <cellStyle name="Syöttö 4 4 2 4_DataIX" xfId="35395" xr:uid="{00000000-0005-0000-0000-00008B840000}"/>
    <cellStyle name="Syöttö 4 4 2_DataIX" xfId="35393" xr:uid="{00000000-0005-0000-0000-00008C840000}"/>
    <cellStyle name="Syöttö 4 4 3" xfId="12911" xr:uid="{00000000-0005-0000-0000-00008D840000}"/>
    <cellStyle name="Syöttö 4 4 4" xfId="18916" xr:uid="{00000000-0005-0000-0000-00008E840000}"/>
    <cellStyle name="Syöttö 4 4 4 2" xfId="11031" xr:uid="{00000000-0005-0000-0000-00008F840000}"/>
    <cellStyle name="Syöttö 4 4 4_DataIX" xfId="35396" xr:uid="{00000000-0005-0000-0000-000090840000}"/>
    <cellStyle name="Syöttö 4 4 5" xfId="20421" xr:uid="{00000000-0005-0000-0000-000091840000}"/>
    <cellStyle name="Syöttö 4 4 5 2" xfId="10811" xr:uid="{00000000-0005-0000-0000-000092840000}"/>
    <cellStyle name="Syöttö 4 4 5_DataIX" xfId="35397" xr:uid="{00000000-0005-0000-0000-000093840000}"/>
    <cellStyle name="Syöttö 4 4_DataIX" xfId="35392" xr:uid="{00000000-0005-0000-0000-000094840000}"/>
    <cellStyle name="Syöttö 4 5" xfId="5391" xr:uid="{00000000-0005-0000-0000-000095840000}"/>
    <cellStyle name="Syöttö 4 5 2" xfId="12913" xr:uid="{00000000-0005-0000-0000-000096840000}"/>
    <cellStyle name="Syöttö 4 5 3" xfId="18715" xr:uid="{00000000-0005-0000-0000-000097840000}"/>
    <cellStyle name="Syöttö 4 5 3 2" xfId="21712" xr:uid="{00000000-0005-0000-0000-000098840000}"/>
    <cellStyle name="Syöttö 4 5 3_DataIX" xfId="35399" xr:uid="{00000000-0005-0000-0000-000099840000}"/>
    <cellStyle name="Syöttö 4 5 4" xfId="20469" xr:uid="{00000000-0005-0000-0000-00009A840000}"/>
    <cellStyle name="Syöttö 4 5 4 2" xfId="22227" xr:uid="{00000000-0005-0000-0000-00009B840000}"/>
    <cellStyle name="Syöttö 4 5 4_DataIX" xfId="35400" xr:uid="{00000000-0005-0000-0000-00009C840000}"/>
    <cellStyle name="Syöttö 4 5_DataIX" xfId="35398" xr:uid="{00000000-0005-0000-0000-00009D840000}"/>
    <cellStyle name="Syöttö 4 6" xfId="13276" xr:uid="{00000000-0005-0000-0000-00009E840000}"/>
    <cellStyle name="Syöttö 4 6 2" xfId="20865" xr:uid="{00000000-0005-0000-0000-00009F840000}"/>
    <cellStyle name="Syöttö 4 6 2 2" xfId="22108" xr:uid="{00000000-0005-0000-0000-0000A0840000}"/>
    <cellStyle name="Syöttö 4 6 2_DataIX" xfId="35402" xr:uid="{00000000-0005-0000-0000-0000A1840000}"/>
    <cellStyle name="Syöttö 4 6 3" xfId="21253" xr:uid="{00000000-0005-0000-0000-0000A2840000}"/>
    <cellStyle name="Syöttö 4 6 3 2" xfId="21565" xr:uid="{00000000-0005-0000-0000-0000A3840000}"/>
    <cellStyle name="Syöttö 4 6 3_DataIX" xfId="35403" xr:uid="{00000000-0005-0000-0000-0000A4840000}"/>
    <cellStyle name="Syöttö 4 6 4" xfId="13036" xr:uid="{00000000-0005-0000-0000-0000A5840000}"/>
    <cellStyle name="Syöttö 4 6 5" xfId="25222" xr:uid="{00000000-0005-0000-0000-0000A6840000}"/>
    <cellStyle name="Syöttö 4 6 6" xfId="27004" xr:uid="{00000000-0005-0000-0000-0000A7840000}"/>
    <cellStyle name="Syöttö 4 6 7" xfId="26882" xr:uid="{00000000-0005-0000-0000-0000A8840000}"/>
    <cellStyle name="Syöttö 4 6_DataIX" xfId="35401" xr:uid="{00000000-0005-0000-0000-0000A9840000}"/>
    <cellStyle name="Syöttö 4 7" xfId="13356" xr:uid="{00000000-0005-0000-0000-0000AA840000}"/>
    <cellStyle name="Syöttö 4 7 2" xfId="20928" xr:uid="{00000000-0005-0000-0000-0000AB840000}"/>
    <cellStyle name="Syöttö 4 7 2 2" xfId="21994" xr:uid="{00000000-0005-0000-0000-0000AC840000}"/>
    <cellStyle name="Syöttö 4 7 2_DataIX" xfId="35405" xr:uid="{00000000-0005-0000-0000-0000AD840000}"/>
    <cellStyle name="Syöttö 4 7 3" xfId="21316" xr:uid="{00000000-0005-0000-0000-0000AE840000}"/>
    <cellStyle name="Syöttö 4 7 3 2" xfId="13706" xr:uid="{00000000-0005-0000-0000-0000AF840000}"/>
    <cellStyle name="Syöttö 4 7 3_DataIX" xfId="35406" xr:uid="{00000000-0005-0000-0000-0000B0840000}"/>
    <cellStyle name="Syöttö 4 7 4" xfId="10882" xr:uid="{00000000-0005-0000-0000-0000B1840000}"/>
    <cellStyle name="Syöttö 4 7 5" xfId="26113" xr:uid="{00000000-0005-0000-0000-0000B2840000}"/>
    <cellStyle name="Syöttö 4 7 6" xfId="27333" xr:uid="{00000000-0005-0000-0000-0000B3840000}"/>
    <cellStyle name="Syöttö 4 7 7" xfId="23011" xr:uid="{00000000-0005-0000-0000-0000B4840000}"/>
    <cellStyle name="Syöttö 4 7_DataIX" xfId="35404" xr:uid="{00000000-0005-0000-0000-0000B5840000}"/>
    <cellStyle name="Syöttö 4 8" xfId="13174" xr:uid="{00000000-0005-0000-0000-0000B6840000}"/>
    <cellStyle name="Syöttö 4 8 2" xfId="20803" xr:uid="{00000000-0005-0000-0000-0000B7840000}"/>
    <cellStyle name="Syöttö 4 8 2 2" xfId="21537" xr:uid="{00000000-0005-0000-0000-0000B8840000}"/>
    <cellStyle name="Syöttö 4 8 2_DataIX" xfId="35408" xr:uid="{00000000-0005-0000-0000-0000B9840000}"/>
    <cellStyle name="Syöttö 4 8 3" xfId="21173" xr:uid="{00000000-0005-0000-0000-0000BA840000}"/>
    <cellStyle name="Syöttö 4 8 3 2" xfId="20701" xr:uid="{00000000-0005-0000-0000-0000BB840000}"/>
    <cellStyle name="Syöttö 4 8 3_DataIX" xfId="35409" xr:uid="{00000000-0005-0000-0000-0000BC840000}"/>
    <cellStyle name="Syöttö 4 8 4" xfId="22015" xr:uid="{00000000-0005-0000-0000-0000BD840000}"/>
    <cellStyle name="Syöttö 4 8 5" xfId="26350" xr:uid="{00000000-0005-0000-0000-0000BE840000}"/>
    <cellStyle name="Syöttö 4 8 6" xfId="27440" xr:uid="{00000000-0005-0000-0000-0000BF840000}"/>
    <cellStyle name="Syöttö 4 8 7" xfId="27060" xr:uid="{00000000-0005-0000-0000-0000C0840000}"/>
    <cellStyle name="Syöttö 4 8_DataIX" xfId="35407" xr:uid="{00000000-0005-0000-0000-0000C1840000}"/>
    <cellStyle name="Syöttö 4 9" xfId="10746" xr:uid="{00000000-0005-0000-0000-0000C2840000}"/>
    <cellStyle name="Syöttö 4 9 2" xfId="21058" xr:uid="{00000000-0005-0000-0000-0000C3840000}"/>
    <cellStyle name="Syöttö 4 9 2 2" xfId="13610" xr:uid="{00000000-0005-0000-0000-0000C4840000}"/>
    <cellStyle name="Syöttö 4 9 2_DataIX" xfId="35411" xr:uid="{00000000-0005-0000-0000-0000C5840000}"/>
    <cellStyle name="Syöttö 4 9 3" xfId="21986" xr:uid="{00000000-0005-0000-0000-0000C6840000}"/>
    <cellStyle name="Syöttö 4 9 4" xfId="26260" xr:uid="{00000000-0005-0000-0000-0000C7840000}"/>
    <cellStyle name="Syöttö 4 9 5" xfId="27395" xr:uid="{00000000-0005-0000-0000-0000C8840000}"/>
    <cellStyle name="Syöttö 4 9 6" xfId="27429" xr:uid="{00000000-0005-0000-0000-0000C9840000}"/>
    <cellStyle name="Syöttö 4 9_DataIX" xfId="35410" xr:uid="{00000000-0005-0000-0000-0000CA840000}"/>
    <cellStyle name="Syöttö 4_##Keskeiset" xfId="10461" xr:uid="{00000000-0005-0000-0000-0000CB840000}"/>
    <cellStyle name="Syöttö 5" xfId="5703" xr:uid="{00000000-0005-0000-0000-0000CC840000}"/>
    <cellStyle name="Syöttö 5 2" xfId="10584" xr:uid="{00000000-0005-0000-0000-0000CD840000}"/>
    <cellStyle name="Syöttö 5 2 2" xfId="12915" xr:uid="{00000000-0005-0000-0000-0000CE840000}"/>
    <cellStyle name="Syöttö 5 2 3" xfId="20366" xr:uid="{00000000-0005-0000-0000-0000CF840000}"/>
    <cellStyle name="Syöttö 5 2 3 2" xfId="13745" xr:uid="{00000000-0005-0000-0000-0000D0840000}"/>
    <cellStyle name="Syöttö 5 2 3_DataIX" xfId="35414" xr:uid="{00000000-0005-0000-0000-0000D1840000}"/>
    <cellStyle name="Syöttö 5 2 4" xfId="20977" xr:uid="{00000000-0005-0000-0000-0000D2840000}"/>
    <cellStyle name="Syöttö 5 2 4 2" xfId="21682" xr:uid="{00000000-0005-0000-0000-0000D3840000}"/>
    <cellStyle name="Syöttö 5 2 4_DataIX" xfId="35415" xr:uid="{00000000-0005-0000-0000-0000D4840000}"/>
    <cellStyle name="Syöttö 5 2_DataIX" xfId="35413" xr:uid="{00000000-0005-0000-0000-0000D5840000}"/>
    <cellStyle name="Syöttö 5 3" xfId="12914" xr:uid="{00000000-0005-0000-0000-0000D6840000}"/>
    <cellStyle name="Syöttö 5 4" xfId="18917" xr:uid="{00000000-0005-0000-0000-0000D7840000}"/>
    <cellStyle name="Syöttö 5 4 2" xfId="13696" xr:uid="{00000000-0005-0000-0000-0000D8840000}"/>
    <cellStyle name="Syöttö 5 4_DataIX" xfId="35416" xr:uid="{00000000-0005-0000-0000-0000D9840000}"/>
    <cellStyle name="Syöttö 5 5" xfId="18936" xr:uid="{00000000-0005-0000-0000-0000DA840000}"/>
    <cellStyle name="Syöttö 5 5 2" xfId="21783" xr:uid="{00000000-0005-0000-0000-0000DB840000}"/>
    <cellStyle name="Syöttö 5 5_DataIX" xfId="35417" xr:uid="{00000000-0005-0000-0000-0000DC840000}"/>
    <cellStyle name="Syöttö 5 6" xfId="27797" xr:uid="{00000000-0005-0000-0000-0000DD840000}"/>
    <cellStyle name="Syöttö 5_DataIX" xfId="35412" xr:uid="{00000000-0005-0000-0000-0000DE840000}"/>
    <cellStyle name="Syöttö 6" xfId="5305" xr:uid="{00000000-0005-0000-0000-0000DF840000}"/>
    <cellStyle name="Syöttö 6 2" xfId="12916" xr:uid="{00000000-0005-0000-0000-0000E0840000}"/>
    <cellStyle name="Syöttö 6 3" xfId="18629" xr:uid="{00000000-0005-0000-0000-0000E1840000}"/>
    <cellStyle name="Syöttö 6_DataIX" xfId="35418" xr:uid="{00000000-0005-0000-0000-0000E2840000}"/>
    <cellStyle name="Syöttö 7" xfId="5356" xr:uid="{00000000-0005-0000-0000-0000E3840000}"/>
    <cellStyle name="Syöttö 7 2" xfId="12917" xr:uid="{00000000-0005-0000-0000-0000E4840000}"/>
    <cellStyle name="Syöttö 7 3" xfId="18680" xr:uid="{00000000-0005-0000-0000-0000E5840000}"/>
    <cellStyle name="Syöttö 7_DataIX" xfId="35419" xr:uid="{00000000-0005-0000-0000-0000E6840000}"/>
    <cellStyle name="Syöttö 8" xfId="5354" xr:uid="{00000000-0005-0000-0000-0000E7840000}"/>
    <cellStyle name="Syöttö 8 2" xfId="12918" xr:uid="{00000000-0005-0000-0000-0000E8840000}"/>
    <cellStyle name="Syöttö 8 3" xfId="18678" xr:uid="{00000000-0005-0000-0000-0000E9840000}"/>
    <cellStyle name="Syöttö 8_DataIX" xfId="35420" xr:uid="{00000000-0005-0000-0000-0000EA840000}"/>
    <cellStyle name="Syöttö 9" xfId="10623" xr:uid="{00000000-0005-0000-0000-0000EB840000}"/>
    <cellStyle name="Syöttö 9 2" xfId="12919" xr:uid="{00000000-0005-0000-0000-0000EC840000}"/>
    <cellStyle name="Syöttö 9 3" xfId="20405" xr:uid="{00000000-0005-0000-0000-0000ED840000}"/>
    <cellStyle name="Syöttö 9_DataIX" xfId="35421" xr:uid="{00000000-0005-0000-0000-0000EE840000}"/>
    <cellStyle name="Syöttö_##KansantalKehitys" xfId="5448" xr:uid="{00000000-0005-0000-0000-0000EF840000}"/>
    <cellStyle name="Tarkistussolu" xfId="366" xr:uid="{00000000-0005-0000-0000-0000F0840000}"/>
    <cellStyle name="Tarkistussolu 10" xfId="26090" xr:uid="{00000000-0005-0000-0000-0000F1840000}"/>
    <cellStyle name="Tarkistussolu 2" xfId="247" xr:uid="{00000000-0005-0000-0000-0000F2840000}"/>
    <cellStyle name="Tarkistussolu 2 10" xfId="25915" xr:uid="{00000000-0005-0000-0000-0000F3840000}"/>
    <cellStyle name="Tarkistussolu 2 2" xfId="5114" xr:uid="{00000000-0005-0000-0000-0000F4840000}"/>
    <cellStyle name="Tarkistussolu 2 2 2" xfId="10465" xr:uid="{00000000-0005-0000-0000-0000F5840000}"/>
    <cellStyle name="Tarkistussolu 2 2 3" xfId="18453" xr:uid="{00000000-0005-0000-0000-0000F6840000}"/>
    <cellStyle name="Tarkistussolu 2 2_DataIX" xfId="35422" xr:uid="{00000000-0005-0000-0000-0000F7840000}"/>
    <cellStyle name="Tarkistussolu 2 3" xfId="25224" xr:uid="{00000000-0005-0000-0000-0000F8840000}"/>
    <cellStyle name="Tarkistussolu 2 4" xfId="26463" xr:uid="{00000000-0005-0000-0000-0000F9840000}"/>
    <cellStyle name="Tarkistussolu 2 5" xfId="26304" xr:uid="{00000000-0005-0000-0000-0000FA840000}"/>
    <cellStyle name="Tarkistussolu 2 6" xfId="26393" xr:uid="{00000000-0005-0000-0000-0000FB840000}"/>
    <cellStyle name="Tarkistussolu 2 7" xfId="25406" xr:uid="{00000000-0005-0000-0000-0000FC840000}"/>
    <cellStyle name="Tarkistussolu 2 8" xfId="26676" xr:uid="{00000000-0005-0000-0000-0000FD840000}"/>
    <cellStyle name="Tarkistussolu 2 9" xfId="25608" xr:uid="{00000000-0005-0000-0000-0000FE840000}"/>
    <cellStyle name="Tarkistussolu 2_##Keskeiset" xfId="10464" xr:uid="{00000000-0005-0000-0000-0000FF840000}"/>
    <cellStyle name="Tarkistussolu 3" xfId="246" xr:uid="{00000000-0005-0000-0000-000000850000}"/>
    <cellStyle name="Tarkistussolu 3 2" xfId="25225" xr:uid="{00000000-0005-0000-0000-000001850000}"/>
    <cellStyle name="Tarkistussolu 3 3" xfId="25009" xr:uid="{00000000-0005-0000-0000-000002850000}"/>
    <cellStyle name="Tarkistussolu 3_DataIX" xfId="35423" xr:uid="{00000000-0005-0000-0000-000003850000}"/>
    <cellStyle name="Tarkistussolu 4" xfId="5704" xr:uid="{00000000-0005-0000-0000-000004850000}"/>
    <cellStyle name="Tarkistussolu 4 2" xfId="12920" xr:uid="{00000000-0005-0000-0000-000005850000}"/>
    <cellStyle name="Tarkistussolu 4 3" xfId="18918" xr:uid="{00000000-0005-0000-0000-000006850000}"/>
    <cellStyle name="Tarkistussolu 4 4" xfId="27798" xr:uid="{00000000-0005-0000-0000-000007850000}"/>
    <cellStyle name="Tarkistussolu 4_DataIX" xfId="35424" xr:uid="{00000000-0005-0000-0000-000008850000}"/>
    <cellStyle name="Tarkistussolu 5" xfId="10683" xr:uid="{00000000-0005-0000-0000-000009850000}"/>
    <cellStyle name="Tarkistussolu 6" xfId="26506" xr:uid="{00000000-0005-0000-0000-00000A850000}"/>
    <cellStyle name="Tarkistussolu 7" xfId="26341" xr:uid="{00000000-0005-0000-0000-00000B850000}"/>
    <cellStyle name="Tarkistussolu 8" xfId="26095" xr:uid="{00000000-0005-0000-0000-00000C850000}"/>
    <cellStyle name="Tarkistussolu 9" xfId="25783" xr:uid="{00000000-0005-0000-0000-00000D850000}"/>
    <cellStyle name="Tarkistussolu_##KansantalKehitys" xfId="5449" xr:uid="{00000000-0005-0000-0000-00000E850000}"/>
    <cellStyle name="Text" xfId="5115" xr:uid="{00000000-0005-0000-0000-00000F850000}"/>
    <cellStyle name="Text 2" xfId="10466" xr:uid="{00000000-0005-0000-0000-000010850000}"/>
    <cellStyle name="Text 3" xfId="18454" xr:uid="{00000000-0005-0000-0000-000011850000}"/>
    <cellStyle name="Text_DataIX" xfId="35425" xr:uid="{00000000-0005-0000-0000-000012850000}"/>
    <cellStyle name="Title" xfId="124" xr:uid="{00000000-0005-0000-0000-000013850000}"/>
    <cellStyle name="Title 2" xfId="125" xr:uid="{00000000-0005-0000-0000-000014850000}"/>
    <cellStyle name="Title 2 2" xfId="25226" xr:uid="{00000000-0005-0000-0000-000015850000}"/>
    <cellStyle name="Title 2 3" xfId="25010" xr:uid="{00000000-0005-0000-0000-000016850000}"/>
    <cellStyle name="Title 2_DataIX" xfId="35426" xr:uid="{00000000-0005-0000-0000-000017850000}"/>
    <cellStyle name="Title 3" xfId="5116" xr:uid="{00000000-0005-0000-0000-000018850000}"/>
    <cellStyle name="Title 3 2" xfId="5706" xr:uid="{00000000-0005-0000-0000-000019850000}"/>
    <cellStyle name="Title 3 2 2" xfId="12921" xr:uid="{00000000-0005-0000-0000-00001A850000}"/>
    <cellStyle name="Title 3 2 3" xfId="18919" xr:uid="{00000000-0005-0000-0000-00001B850000}"/>
    <cellStyle name="Title 3 2_DataIX" xfId="35428" xr:uid="{00000000-0005-0000-0000-00001C850000}"/>
    <cellStyle name="Title 3 3" xfId="11184" xr:uid="{00000000-0005-0000-0000-00001D850000}"/>
    <cellStyle name="Title 3 4" xfId="18455" xr:uid="{00000000-0005-0000-0000-00001E850000}"/>
    <cellStyle name="Title 3_DataIX" xfId="35427" xr:uid="{00000000-0005-0000-0000-00001F850000}"/>
    <cellStyle name="Title_##Keskeiset" xfId="5705" xr:uid="{00000000-0005-0000-0000-000020850000}"/>
    <cellStyle name="Total" xfId="126" xr:uid="{00000000-0005-0000-0000-000021850000}"/>
    <cellStyle name="Total 10" xfId="10557" xr:uid="{00000000-0005-0000-0000-000022850000}"/>
    <cellStyle name="Total 10 2" xfId="12922" xr:uid="{00000000-0005-0000-0000-000023850000}"/>
    <cellStyle name="Total 10 3" xfId="20339" xr:uid="{00000000-0005-0000-0000-000024850000}"/>
    <cellStyle name="Total 10 3 2" xfId="12977" xr:uid="{00000000-0005-0000-0000-000025850000}"/>
    <cellStyle name="Total 10 3_DataIX" xfId="35430" xr:uid="{00000000-0005-0000-0000-000026850000}"/>
    <cellStyle name="Total 10 4" xfId="20974" xr:uid="{00000000-0005-0000-0000-000027850000}"/>
    <cellStyle name="Total 10 4 2" xfId="13640" xr:uid="{00000000-0005-0000-0000-000028850000}"/>
    <cellStyle name="Total 10 4_DataIX" xfId="35431" xr:uid="{00000000-0005-0000-0000-000029850000}"/>
    <cellStyle name="Total 10_DataIX" xfId="35429" xr:uid="{00000000-0005-0000-0000-00002A850000}"/>
    <cellStyle name="Total 11" xfId="13802" xr:uid="{00000000-0005-0000-0000-00002B850000}"/>
    <cellStyle name="Total 12" xfId="13652" xr:uid="{00000000-0005-0000-0000-00002C850000}"/>
    <cellStyle name="Total 13" xfId="22698" xr:uid="{00000000-0005-0000-0000-00002D850000}"/>
    <cellStyle name="Total 14" xfId="22714" xr:uid="{00000000-0005-0000-0000-00002E850000}"/>
    <cellStyle name="Total 15" xfId="28065" xr:uid="{00000000-0005-0000-0000-00002F850000}"/>
    <cellStyle name="Total 16" xfId="27986" xr:uid="{00000000-0005-0000-0000-000030850000}"/>
    <cellStyle name="Total 17" xfId="28434" xr:uid="{00000000-0005-0000-0000-000031850000}"/>
    <cellStyle name="Total 18" xfId="28608" xr:uid="{00000000-0005-0000-0000-000032850000}"/>
    <cellStyle name="Total 19" xfId="28818" xr:uid="{00000000-0005-0000-0000-000033850000}"/>
    <cellStyle name="Total 2" xfId="127" xr:uid="{00000000-0005-0000-0000-000034850000}"/>
    <cellStyle name="Total 2 10" xfId="25443" xr:uid="{00000000-0005-0000-0000-000035850000}"/>
    <cellStyle name="Total 2 2" xfId="5118" xr:uid="{00000000-0005-0000-0000-000036850000}"/>
    <cellStyle name="Total 2 2 2" xfId="10468" xr:uid="{00000000-0005-0000-0000-000037850000}"/>
    <cellStyle name="Total 2 2 3" xfId="18457" xr:uid="{00000000-0005-0000-0000-000038850000}"/>
    <cellStyle name="Total 2 2_DataIX" xfId="35432" xr:uid="{00000000-0005-0000-0000-000039850000}"/>
    <cellStyle name="Total 2 3" xfId="5117" xr:uid="{00000000-0005-0000-0000-00003A850000}"/>
    <cellStyle name="Total 2 3 2" xfId="10469" xr:uid="{00000000-0005-0000-0000-00003B850000}"/>
    <cellStyle name="Total 2 3 3" xfId="18456" xr:uid="{00000000-0005-0000-0000-00003C850000}"/>
    <cellStyle name="Total 2 3_DataIX" xfId="35433" xr:uid="{00000000-0005-0000-0000-00003D850000}"/>
    <cellStyle name="Total 2 4" xfId="25227" xr:uid="{00000000-0005-0000-0000-00003E850000}"/>
    <cellStyle name="Total 2 5" xfId="25629" xr:uid="{00000000-0005-0000-0000-00003F850000}"/>
    <cellStyle name="Total 2 6" xfId="25354" xr:uid="{00000000-0005-0000-0000-000040850000}"/>
    <cellStyle name="Total 2 7" xfId="25832" xr:uid="{00000000-0005-0000-0000-000041850000}"/>
    <cellStyle name="Total 2 8" xfId="25709" xr:uid="{00000000-0005-0000-0000-000042850000}"/>
    <cellStyle name="Total 2 9" xfId="25626" xr:uid="{00000000-0005-0000-0000-000043850000}"/>
    <cellStyle name="Total 2_##Keskeiset" xfId="10467" xr:uid="{00000000-0005-0000-0000-000044850000}"/>
    <cellStyle name="Total 20" xfId="28966" xr:uid="{00000000-0005-0000-0000-000045850000}"/>
    <cellStyle name="Total 21" xfId="28980" xr:uid="{00000000-0005-0000-0000-000046850000}"/>
    <cellStyle name="Total 22" xfId="28878" xr:uid="{00000000-0005-0000-0000-000047850000}"/>
    <cellStyle name="Total 23" xfId="28997" xr:uid="{00000000-0005-0000-0000-000048850000}"/>
    <cellStyle name="Total 24" xfId="29199" xr:uid="{00000000-0005-0000-0000-000049850000}"/>
    <cellStyle name="Total 3" xfId="273" xr:uid="{00000000-0005-0000-0000-00004A850000}"/>
    <cellStyle name="Total 3 10" xfId="22380" xr:uid="{00000000-0005-0000-0000-00004B850000}"/>
    <cellStyle name="Total 3 10 2" xfId="25830" xr:uid="{00000000-0005-0000-0000-00004C850000}"/>
    <cellStyle name="Total 3 10 3" xfId="27238" xr:uid="{00000000-0005-0000-0000-00004D850000}"/>
    <cellStyle name="Total 3 10 4" xfId="22871" xr:uid="{00000000-0005-0000-0000-00004E850000}"/>
    <cellStyle name="Total 3 10_DataIX" xfId="35434" xr:uid="{00000000-0005-0000-0000-00004F850000}"/>
    <cellStyle name="Total 3 11" xfId="22539" xr:uid="{00000000-0005-0000-0000-000050850000}"/>
    <cellStyle name="Total 3 11 2" xfId="26000" xr:uid="{00000000-0005-0000-0000-000051850000}"/>
    <cellStyle name="Total 3 11 3" xfId="27293" xr:uid="{00000000-0005-0000-0000-000052850000}"/>
    <cellStyle name="Total 3 11 4" xfId="27603" xr:uid="{00000000-0005-0000-0000-000053850000}"/>
    <cellStyle name="Total 3 11_DataIX" xfId="35435" xr:uid="{00000000-0005-0000-0000-000054850000}"/>
    <cellStyle name="Total 3 12" xfId="22483" xr:uid="{00000000-0005-0000-0000-000055850000}"/>
    <cellStyle name="Total 3 13" xfId="22419" xr:uid="{00000000-0005-0000-0000-000056850000}"/>
    <cellStyle name="Total 3 14" xfId="27954" xr:uid="{00000000-0005-0000-0000-000057850000}"/>
    <cellStyle name="Total 3 15" xfId="27999" xr:uid="{00000000-0005-0000-0000-000058850000}"/>
    <cellStyle name="Total 3 16" xfId="28287" xr:uid="{00000000-0005-0000-0000-000059850000}"/>
    <cellStyle name="Total 3 17" xfId="28747" xr:uid="{00000000-0005-0000-0000-00005A850000}"/>
    <cellStyle name="Total 3 18" xfId="28677" xr:uid="{00000000-0005-0000-0000-00005B850000}"/>
    <cellStyle name="Total 3 19" xfId="29089" xr:uid="{00000000-0005-0000-0000-00005C850000}"/>
    <cellStyle name="Total 3 2" xfId="5194" xr:uid="{00000000-0005-0000-0000-00005D850000}"/>
    <cellStyle name="Total 3 2 2" xfId="5708" xr:uid="{00000000-0005-0000-0000-00005E850000}"/>
    <cellStyle name="Total 3 2 2 2" xfId="12924" xr:uid="{00000000-0005-0000-0000-00005F850000}"/>
    <cellStyle name="Total 3 2 2 3" xfId="18920" xr:uid="{00000000-0005-0000-0000-000060850000}"/>
    <cellStyle name="Total 3 2 2 3 2" xfId="21621" xr:uid="{00000000-0005-0000-0000-000061850000}"/>
    <cellStyle name="Total 3 2 2 3_DataIX" xfId="35438" xr:uid="{00000000-0005-0000-0000-000062850000}"/>
    <cellStyle name="Total 3 2 2 4" xfId="20420" xr:uid="{00000000-0005-0000-0000-000063850000}"/>
    <cellStyle name="Total 3 2 2 4 2" xfId="20678" xr:uid="{00000000-0005-0000-0000-000064850000}"/>
    <cellStyle name="Total 3 2 2 4_DataIX" xfId="35439" xr:uid="{00000000-0005-0000-0000-000065850000}"/>
    <cellStyle name="Total 3 2 2_DataIX" xfId="35437" xr:uid="{00000000-0005-0000-0000-000066850000}"/>
    <cellStyle name="Total 3 2 3" xfId="11185" xr:uid="{00000000-0005-0000-0000-000067850000}"/>
    <cellStyle name="Total 3 2 4" xfId="18524" xr:uid="{00000000-0005-0000-0000-000068850000}"/>
    <cellStyle name="Total 3 2 4 2" xfId="13682" xr:uid="{00000000-0005-0000-0000-000069850000}"/>
    <cellStyle name="Total 3 2 4_DataIX" xfId="35440" xr:uid="{00000000-0005-0000-0000-00006A850000}"/>
    <cellStyle name="Total 3 2 5" xfId="19061" xr:uid="{00000000-0005-0000-0000-00006B850000}"/>
    <cellStyle name="Total 3 2 5 2" xfId="13723" xr:uid="{00000000-0005-0000-0000-00006C850000}"/>
    <cellStyle name="Total 3 2 5_DataIX" xfId="35441" xr:uid="{00000000-0005-0000-0000-00006D850000}"/>
    <cellStyle name="Total 3 2_DataIX" xfId="35436" xr:uid="{00000000-0005-0000-0000-00006E850000}"/>
    <cellStyle name="Total 3 20" xfId="29129" xr:uid="{00000000-0005-0000-0000-00006F850000}"/>
    <cellStyle name="Total 3 3" xfId="5393" xr:uid="{00000000-0005-0000-0000-000070850000}"/>
    <cellStyle name="Total 3 3 2" xfId="12925" xr:uid="{00000000-0005-0000-0000-000071850000}"/>
    <cellStyle name="Total 3 3 3" xfId="18717" xr:uid="{00000000-0005-0000-0000-000072850000}"/>
    <cellStyle name="Total 3 3 3 2" xfId="21399" xr:uid="{00000000-0005-0000-0000-000073850000}"/>
    <cellStyle name="Total 3 3 3_DataIX" xfId="35443" xr:uid="{00000000-0005-0000-0000-000074850000}"/>
    <cellStyle name="Total 3 3 4" xfId="20468" xr:uid="{00000000-0005-0000-0000-000075850000}"/>
    <cellStyle name="Total 3 3 4 2" xfId="21521" xr:uid="{00000000-0005-0000-0000-000076850000}"/>
    <cellStyle name="Total 3 3 4_DataIX" xfId="35444" xr:uid="{00000000-0005-0000-0000-000077850000}"/>
    <cellStyle name="Total 3 3_DataIX" xfId="35442" xr:uid="{00000000-0005-0000-0000-000078850000}"/>
    <cellStyle name="Total 3 4" xfId="13379" xr:uid="{00000000-0005-0000-0000-000079850000}"/>
    <cellStyle name="Total 3 4 2" xfId="20937" xr:uid="{00000000-0005-0000-0000-00007A850000}"/>
    <cellStyle name="Total 3 4 2 2" xfId="21546" xr:uid="{00000000-0005-0000-0000-00007B850000}"/>
    <cellStyle name="Total 3 4 2_DataIX" xfId="35446" xr:uid="{00000000-0005-0000-0000-00007C850000}"/>
    <cellStyle name="Total 3 4 3" xfId="21334" xr:uid="{00000000-0005-0000-0000-00007D850000}"/>
    <cellStyle name="Total 3 4 3 2" xfId="21559" xr:uid="{00000000-0005-0000-0000-00007E850000}"/>
    <cellStyle name="Total 3 4 3_DataIX" xfId="35447" xr:uid="{00000000-0005-0000-0000-00007F850000}"/>
    <cellStyle name="Total 3 4 4" xfId="13002" xr:uid="{00000000-0005-0000-0000-000080850000}"/>
    <cellStyle name="Total 3 4 5" xfId="25228" xr:uid="{00000000-0005-0000-0000-000081850000}"/>
    <cellStyle name="Total 3 4 6" xfId="27006" xr:uid="{00000000-0005-0000-0000-000082850000}"/>
    <cellStyle name="Total 3 4 7" xfId="23004" xr:uid="{00000000-0005-0000-0000-000083850000}"/>
    <cellStyle name="Total 3 4_DataIX" xfId="35445" xr:uid="{00000000-0005-0000-0000-000084850000}"/>
    <cellStyle name="Total 3 5" xfId="13120" xr:uid="{00000000-0005-0000-0000-000085850000}"/>
    <cellStyle name="Total 3 5 2" xfId="20770" xr:uid="{00000000-0005-0000-0000-000086850000}"/>
    <cellStyle name="Total 3 5 2 2" xfId="11033" xr:uid="{00000000-0005-0000-0000-000087850000}"/>
    <cellStyle name="Total 3 5 2_DataIX" xfId="35449" xr:uid="{00000000-0005-0000-0000-000088850000}"/>
    <cellStyle name="Total 3 5 3" xfId="21131" xr:uid="{00000000-0005-0000-0000-000089850000}"/>
    <cellStyle name="Total 3 5 3 2" xfId="13683" xr:uid="{00000000-0005-0000-0000-00008A850000}"/>
    <cellStyle name="Total 3 5 3_DataIX" xfId="35450" xr:uid="{00000000-0005-0000-0000-00008B850000}"/>
    <cellStyle name="Total 3 5 4" xfId="13726" xr:uid="{00000000-0005-0000-0000-00008C850000}"/>
    <cellStyle name="Total 3 5 5" xfId="26462" xr:uid="{00000000-0005-0000-0000-00008D850000}"/>
    <cellStyle name="Total 3 5 6" xfId="27483" xr:uid="{00000000-0005-0000-0000-00008E850000}"/>
    <cellStyle name="Total 3 5 7" xfId="22750" xr:uid="{00000000-0005-0000-0000-00008F850000}"/>
    <cellStyle name="Total 3 5_DataIX" xfId="35448" xr:uid="{00000000-0005-0000-0000-000090850000}"/>
    <cellStyle name="Total 3 6" xfId="13367" xr:uid="{00000000-0005-0000-0000-000091850000}"/>
    <cellStyle name="Total 3 6 2" xfId="21324" xr:uid="{00000000-0005-0000-0000-000092850000}"/>
    <cellStyle name="Total 3 6 2 2" xfId="13755" xr:uid="{00000000-0005-0000-0000-000093850000}"/>
    <cellStyle name="Total 3 6 2_DataIX" xfId="35452" xr:uid="{00000000-0005-0000-0000-000094850000}"/>
    <cellStyle name="Total 3 6 3" xfId="13711" xr:uid="{00000000-0005-0000-0000-000095850000}"/>
    <cellStyle name="Total 3 6 4" xfId="26351" xr:uid="{00000000-0005-0000-0000-000096850000}"/>
    <cellStyle name="Total 3 6 5" xfId="27441" xr:uid="{00000000-0005-0000-0000-000097850000}"/>
    <cellStyle name="Total 3 6 6" xfId="22849" xr:uid="{00000000-0005-0000-0000-000098850000}"/>
    <cellStyle name="Total 3 6_DataIX" xfId="35451" xr:uid="{00000000-0005-0000-0000-000099850000}"/>
    <cellStyle name="Total 3 7" xfId="13847" xr:uid="{00000000-0005-0000-0000-00009A850000}"/>
    <cellStyle name="Total 3 7 2" xfId="20642" xr:uid="{00000000-0005-0000-0000-00009B850000}"/>
    <cellStyle name="Total 3 7 3" xfId="26326" xr:uid="{00000000-0005-0000-0000-00009C850000}"/>
    <cellStyle name="Total 3 7 4" xfId="27430" xr:uid="{00000000-0005-0000-0000-00009D850000}"/>
    <cellStyle name="Total 3 7 5" xfId="27622" xr:uid="{00000000-0005-0000-0000-00009E850000}"/>
    <cellStyle name="Total 3 7_DataIX" xfId="35453" xr:uid="{00000000-0005-0000-0000-00009F850000}"/>
    <cellStyle name="Total 3 8" xfId="20294" xr:uid="{00000000-0005-0000-0000-0000A0850000}"/>
    <cellStyle name="Total 3 8 2" xfId="10805" xr:uid="{00000000-0005-0000-0000-0000A1850000}"/>
    <cellStyle name="Total 3 8 3" xfId="26663" xr:uid="{00000000-0005-0000-0000-0000A2850000}"/>
    <cellStyle name="Total 3 8 4" xfId="27572" xr:uid="{00000000-0005-0000-0000-0000A3850000}"/>
    <cellStyle name="Total 3 8 5" xfId="22847" xr:uid="{00000000-0005-0000-0000-0000A4850000}"/>
    <cellStyle name="Total 3 8_DataIX" xfId="35454" xr:uid="{00000000-0005-0000-0000-0000A5850000}"/>
    <cellStyle name="Total 3 9" xfId="11279" xr:uid="{00000000-0005-0000-0000-0000A6850000}"/>
    <cellStyle name="Total 3 9 2" xfId="25839" xr:uid="{00000000-0005-0000-0000-0000A7850000}"/>
    <cellStyle name="Total 3 9 3" xfId="27242" xr:uid="{00000000-0005-0000-0000-0000A8850000}"/>
    <cellStyle name="Total 3 9 4" xfId="22966" xr:uid="{00000000-0005-0000-0000-0000A9850000}"/>
    <cellStyle name="Total 3 9_DataIX" xfId="35455" xr:uid="{00000000-0005-0000-0000-0000AA850000}"/>
    <cellStyle name="Total 3_##Keskeiset" xfId="10470" xr:uid="{00000000-0005-0000-0000-0000AB850000}"/>
    <cellStyle name="Total 4" xfId="300" xr:uid="{00000000-0005-0000-0000-0000AC850000}"/>
    <cellStyle name="Total 4 10" xfId="13866" xr:uid="{00000000-0005-0000-0000-0000AD850000}"/>
    <cellStyle name="Total 4 10 2" xfId="10862" xr:uid="{00000000-0005-0000-0000-0000AE850000}"/>
    <cellStyle name="Total 4 10 3" xfId="26647" xr:uid="{00000000-0005-0000-0000-0000AF850000}"/>
    <cellStyle name="Total 4 10 4" xfId="27564" xr:uid="{00000000-0005-0000-0000-0000B0850000}"/>
    <cellStyle name="Total 4 10 5" xfId="22981" xr:uid="{00000000-0005-0000-0000-0000B1850000}"/>
    <cellStyle name="Total 4 10_DataIX" xfId="35456" xr:uid="{00000000-0005-0000-0000-0000B2850000}"/>
    <cellStyle name="Total 4 11" xfId="20289" xr:uid="{00000000-0005-0000-0000-0000B3850000}"/>
    <cellStyle name="Total 4 11 2" xfId="21411" xr:uid="{00000000-0005-0000-0000-0000B4850000}"/>
    <cellStyle name="Total 4 11 3" xfId="25380" xr:uid="{00000000-0005-0000-0000-0000B5850000}"/>
    <cellStyle name="Total 4 11 4" xfId="27081" xr:uid="{00000000-0005-0000-0000-0000B6850000}"/>
    <cellStyle name="Total 4 11 5" xfId="22971" xr:uid="{00000000-0005-0000-0000-0000B7850000}"/>
    <cellStyle name="Total 4 11_DataIX" xfId="35457" xr:uid="{00000000-0005-0000-0000-0000B8850000}"/>
    <cellStyle name="Total 4 12" xfId="13040" xr:uid="{00000000-0005-0000-0000-0000B9850000}"/>
    <cellStyle name="Total 4 13" xfId="12725" xr:uid="{00000000-0005-0000-0000-0000BA850000}"/>
    <cellStyle name="Total 4 14" xfId="22381" xr:uid="{00000000-0005-0000-0000-0000BB850000}"/>
    <cellStyle name="Total 4 15" xfId="22538" xr:uid="{00000000-0005-0000-0000-0000BC850000}"/>
    <cellStyle name="Total 4 16" xfId="22612" xr:uid="{00000000-0005-0000-0000-0000BD850000}"/>
    <cellStyle name="Total 4 17" xfId="22583" xr:uid="{00000000-0005-0000-0000-0000BE850000}"/>
    <cellStyle name="Total 4 18" xfId="27955" xr:uid="{00000000-0005-0000-0000-0000BF850000}"/>
    <cellStyle name="Total 4 19" xfId="27998" xr:uid="{00000000-0005-0000-0000-0000C0850000}"/>
    <cellStyle name="Total 4 2" xfId="5193" xr:uid="{00000000-0005-0000-0000-0000C1850000}"/>
    <cellStyle name="Total 4 2 2" xfId="10472" xr:uid="{00000000-0005-0000-0000-0000C2850000}"/>
    <cellStyle name="Total 4 2 3" xfId="18523" xr:uid="{00000000-0005-0000-0000-0000C3850000}"/>
    <cellStyle name="Total 4 2 3 2" xfId="10890" xr:uid="{00000000-0005-0000-0000-0000C4850000}"/>
    <cellStyle name="Total 4 2 3_DataIX" xfId="35459" xr:uid="{00000000-0005-0000-0000-0000C5850000}"/>
    <cellStyle name="Total 4 2 4" xfId="20540" xr:uid="{00000000-0005-0000-0000-0000C6850000}"/>
    <cellStyle name="Total 4 2 4 2" xfId="21828" xr:uid="{00000000-0005-0000-0000-0000C7850000}"/>
    <cellStyle name="Total 4 2 4_DataIX" xfId="35460" xr:uid="{00000000-0005-0000-0000-0000C8850000}"/>
    <cellStyle name="Total 4 2_DataIX" xfId="35458" xr:uid="{00000000-0005-0000-0000-0000C9850000}"/>
    <cellStyle name="Total 4 20" xfId="28288" xr:uid="{00000000-0005-0000-0000-0000CA850000}"/>
    <cellStyle name="Total 4 21" xfId="28367" xr:uid="{00000000-0005-0000-0000-0000CB850000}"/>
    <cellStyle name="Total 4 22" xfId="28455" xr:uid="{00000000-0005-0000-0000-0000CC850000}"/>
    <cellStyle name="Total 4 23" xfId="28314" xr:uid="{00000000-0005-0000-0000-0000CD850000}"/>
    <cellStyle name="Total 4 24" xfId="28746" xr:uid="{00000000-0005-0000-0000-0000CE850000}"/>
    <cellStyle name="Total 4 25" xfId="28899" xr:uid="{00000000-0005-0000-0000-0000CF850000}"/>
    <cellStyle name="Total 4 26" xfId="28676" xr:uid="{00000000-0005-0000-0000-0000D0850000}"/>
    <cellStyle name="Total 4 27" xfId="28828" xr:uid="{00000000-0005-0000-0000-0000D1850000}"/>
    <cellStyle name="Total 4 28" xfId="29090" xr:uid="{00000000-0005-0000-0000-0000D2850000}"/>
    <cellStyle name="Total 4 29" xfId="29128" xr:uid="{00000000-0005-0000-0000-0000D3850000}"/>
    <cellStyle name="Total 4 3" xfId="5394" xr:uid="{00000000-0005-0000-0000-0000D4850000}"/>
    <cellStyle name="Total 4 3 2" xfId="12927" xr:uid="{00000000-0005-0000-0000-0000D5850000}"/>
    <cellStyle name="Total 4 3 3" xfId="18718" xr:uid="{00000000-0005-0000-0000-0000D6850000}"/>
    <cellStyle name="Total 4 3 3 2" xfId="21905" xr:uid="{00000000-0005-0000-0000-0000D7850000}"/>
    <cellStyle name="Total 4 3 3_DataIX" xfId="35462" xr:uid="{00000000-0005-0000-0000-0000D8850000}"/>
    <cellStyle name="Total 4 3 4" xfId="18986" xr:uid="{00000000-0005-0000-0000-0000D9850000}"/>
    <cellStyle name="Total 4 3 4 2" xfId="13539" xr:uid="{00000000-0005-0000-0000-0000DA850000}"/>
    <cellStyle name="Total 4 3 4_DataIX" xfId="35463" xr:uid="{00000000-0005-0000-0000-0000DB850000}"/>
    <cellStyle name="Total 4 3_DataIX" xfId="35461" xr:uid="{00000000-0005-0000-0000-0000DC850000}"/>
    <cellStyle name="Total 4 4" xfId="13274" xr:uid="{00000000-0005-0000-0000-0000DD850000}"/>
    <cellStyle name="Total 4 4 2" xfId="20863" xr:uid="{00000000-0005-0000-0000-0000DE850000}"/>
    <cellStyle name="Total 4 4 2 2" xfId="21427" xr:uid="{00000000-0005-0000-0000-0000DF850000}"/>
    <cellStyle name="Total 4 4 2_DataIX" xfId="35465" xr:uid="{00000000-0005-0000-0000-0000E0850000}"/>
    <cellStyle name="Total 4 4 3" xfId="21251" xr:uid="{00000000-0005-0000-0000-0000E1850000}"/>
    <cellStyle name="Total 4 4 3 2" xfId="22250" xr:uid="{00000000-0005-0000-0000-0000E2850000}"/>
    <cellStyle name="Total 4 4 3_DataIX" xfId="35466" xr:uid="{00000000-0005-0000-0000-0000E3850000}"/>
    <cellStyle name="Total 4 4 4" xfId="13638" xr:uid="{00000000-0005-0000-0000-0000E4850000}"/>
    <cellStyle name="Total 4 4 5" xfId="25229" xr:uid="{00000000-0005-0000-0000-0000E5850000}"/>
    <cellStyle name="Total 4 4 6" xfId="27007" xr:uid="{00000000-0005-0000-0000-0000E6850000}"/>
    <cellStyle name="Total 4 4 7" xfId="23005" xr:uid="{00000000-0005-0000-0000-0000E7850000}"/>
    <cellStyle name="Total 4 4_DataIX" xfId="35464" xr:uid="{00000000-0005-0000-0000-0000E8850000}"/>
    <cellStyle name="Total 4 5" xfId="13146" xr:uid="{00000000-0005-0000-0000-0000E9850000}"/>
    <cellStyle name="Total 4 5 2" xfId="20786" xr:uid="{00000000-0005-0000-0000-0000EA850000}"/>
    <cellStyle name="Total 4 5 2 2" xfId="21424" xr:uid="{00000000-0005-0000-0000-0000EB850000}"/>
    <cellStyle name="Total 4 5 2_DataIX" xfId="35468" xr:uid="{00000000-0005-0000-0000-0000EC850000}"/>
    <cellStyle name="Total 4 5 3" xfId="21151" xr:uid="{00000000-0005-0000-0000-0000ED850000}"/>
    <cellStyle name="Total 4 5 3 2" xfId="11024" xr:uid="{00000000-0005-0000-0000-0000EE850000}"/>
    <cellStyle name="Total 4 5 3_DataIX" xfId="35469" xr:uid="{00000000-0005-0000-0000-0000EF850000}"/>
    <cellStyle name="Total 4 5 4" xfId="20961" xr:uid="{00000000-0005-0000-0000-0000F0850000}"/>
    <cellStyle name="Total 4 5 5" xfId="26112" xr:uid="{00000000-0005-0000-0000-0000F1850000}"/>
    <cellStyle name="Total 4 5 6" xfId="27331" xr:uid="{00000000-0005-0000-0000-0000F2850000}"/>
    <cellStyle name="Total 4 5 7" xfId="26875" xr:uid="{00000000-0005-0000-0000-0000F3850000}"/>
    <cellStyle name="Total 4 5_DataIX" xfId="35467" xr:uid="{00000000-0005-0000-0000-0000F4850000}"/>
    <cellStyle name="Total 4 6" xfId="13395" xr:uid="{00000000-0005-0000-0000-0000F5850000}"/>
    <cellStyle name="Total 4 6 2" xfId="21348" xr:uid="{00000000-0005-0000-0000-0000F6850000}"/>
    <cellStyle name="Total 4 6 2 2" xfId="10776" xr:uid="{00000000-0005-0000-0000-0000F7850000}"/>
    <cellStyle name="Total 4 6 2_DataIX" xfId="35471" xr:uid="{00000000-0005-0000-0000-0000F8850000}"/>
    <cellStyle name="Total 4 6 3" xfId="21514" xr:uid="{00000000-0005-0000-0000-0000F9850000}"/>
    <cellStyle name="Total 4 6 4" xfId="26563" xr:uid="{00000000-0005-0000-0000-0000FA850000}"/>
    <cellStyle name="Total 4 6 5" xfId="27525" xr:uid="{00000000-0005-0000-0000-0000FB850000}"/>
    <cellStyle name="Total 4 6 6" xfId="22787" xr:uid="{00000000-0005-0000-0000-0000FC850000}"/>
    <cellStyle name="Total 4 6_DataIX" xfId="35470" xr:uid="{00000000-0005-0000-0000-0000FD850000}"/>
    <cellStyle name="Total 4 7" xfId="10748" xr:uid="{00000000-0005-0000-0000-0000FE850000}"/>
    <cellStyle name="Total 4 7 2" xfId="21060" xr:uid="{00000000-0005-0000-0000-0000FF850000}"/>
    <cellStyle name="Total 4 7 2 2" xfId="20702" xr:uid="{00000000-0005-0000-0000-000000860000}"/>
    <cellStyle name="Total 4 7 2_DataIX" xfId="35473" xr:uid="{00000000-0005-0000-0000-000001860000}"/>
    <cellStyle name="Total 4 7 3" xfId="21885" xr:uid="{00000000-0005-0000-0000-000002860000}"/>
    <cellStyle name="Total 4 7 4" xfId="25449" xr:uid="{00000000-0005-0000-0000-000003860000}"/>
    <cellStyle name="Total 4 7 5" xfId="27101" xr:uid="{00000000-0005-0000-0000-000004860000}"/>
    <cellStyle name="Total 4 7 6" xfId="26777" xr:uid="{00000000-0005-0000-0000-000005860000}"/>
    <cellStyle name="Total 4 7_DataIX" xfId="35472" xr:uid="{00000000-0005-0000-0000-000006860000}"/>
    <cellStyle name="Total 4 8" xfId="11139" xr:uid="{00000000-0005-0000-0000-000007860000}"/>
    <cellStyle name="Total 4 8 2" xfId="21078" xr:uid="{00000000-0005-0000-0000-000008860000}"/>
    <cellStyle name="Total 4 8 2 2" xfId="10756" xr:uid="{00000000-0005-0000-0000-000009860000}"/>
    <cellStyle name="Total 4 8 2_DataIX" xfId="35475" xr:uid="{00000000-0005-0000-0000-00000A860000}"/>
    <cellStyle name="Total 4 8 3" xfId="20632" xr:uid="{00000000-0005-0000-0000-00000B860000}"/>
    <cellStyle name="Total 4 8 4" xfId="25724" xr:uid="{00000000-0005-0000-0000-00000C860000}"/>
    <cellStyle name="Total 4 8 5" xfId="27210" xr:uid="{00000000-0005-0000-0000-00000D860000}"/>
    <cellStyle name="Total 4 8 6" xfId="27611" xr:uid="{00000000-0005-0000-0000-00000E860000}"/>
    <cellStyle name="Total 4 8_DataIX" xfId="35474" xr:uid="{00000000-0005-0000-0000-00000F860000}"/>
    <cellStyle name="Total 4 9" xfId="13669" xr:uid="{00000000-0005-0000-0000-000010860000}"/>
    <cellStyle name="Total 4 9 2" xfId="21370" xr:uid="{00000000-0005-0000-0000-000011860000}"/>
    <cellStyle name="Total 4 9 2 2" xfId="22216" xr:uid="{00000000-0005-0000-0000-000012860000}"/>
    <cellStyle name="Total 4 9 2_DataIX" xfId="35477" xr:uid="{00000000-0005-0000-0000-000013860000}"/>
    <cellStyle name="Total 4 9 3" xfId="20729" xr:uid="{00000000-0005-0000-0000-000014860000}"/>
    <cellStyle name="Total 4 9 4" xfId="26378" xr:uid="{00000000-0005-0000-0000-000015860000}"/>
    <cellStyle name="Total 4 9 5" xfId="27450" xr:uid="{00000000-0005-0000-0000-000016860000}"/>
    <cellStyle name="Total 4 9 6" xfId="22761" xr:uid="{00000000-0005-0000-0000-000017860000}"/>
    <cellStyle name="Total 4 9_DataIX" xfId="35476" xr:uid="{00000000-0005-0000-0000-000018860000}"/>
    <cellStyle name="Total 4_##Keskeiset" xfId="10471" xr:uid="{00000000-0005-0000-0000-000019860000}"/>
    <cellStyle name="Total 5" xfId="5195" xr:uid="{00000000-0005-0000-0000-00001A860000}"/>
    <cellStyle name="Total 5 2" xfId="5709" xr:uid="{00000000-0005-0000-0000-00001B860000}"/>
    <cellStyle name="Total 5 2 2" xfId="12929" xr:uid="{00000000-0005-0000-0000-00001C860000}"/>
    <cellStyle name="Total 5 2 3" xfId="18921" xr:uid="{00000000-0005-0000-0000-00001D860000}"/>
    <cellStyle name="Total 5 2 3 2" xfId="21740" xr:uid="{00000000-0005-0000-0000-00001E860000}"/>
    <cellStyle name="Total 5 2 3_DataIX" xfId="35480" xr:uid="{00000000-0005-0000-0000-00001F860000}"/>
    <cellStyle name="Total 5 2 4" xfId="18935" xr:uid="{00000000-0005-0000-0000-000020860000}"/>
    <cellStyle name="Total 5 2 4 2" xfId="21848" xr:uid="{00000000-0005-0000-0000-000021860000}"/>
    <cellStyle name="Total 5 2 4_DataIX" xfId="35481" xr:uid="{00000000-0005-0000-0000-000022860000}"/>
    <cellStyle name="Total 5 2_DataIX" xfId="35479" xr:uid="{00000000-0005-0000-0000-000023860000}"/>
    <cellStyle name="Total 5 3" xfId="11186" xr:uid="{00000000-0005-0000-0000-000024860000}"/>
    <cellStyle name="Total 5 4" xfId="18525" xr:uid="{00000000-0005-0000-0000-000025860000}"/>
    <cellStyle name="Total 5 4 2" xfId="22076" xr:uid="{00000000-0005-0000-0000-000026860000}"/>
    <cellStyle name="Total 5 4_DataIX" xfId="35482" xr:uid="{00000000-0005-0000-0000-000027860000}"/>
    <cellStyle name="Total 5 5" xfId="20538" xr:uid="{00000000-0005-0000-0000-000028860000}"/>
    <cellStyle name="Total 5 5 2" xfId="21827" xr:uid="{00000000-0005-0000-0000-000029860000}"/>
    <cellStyle name="Total 5 5_DataIX" xfId="35483" xr:uid="{00000000-0005-0000-0000-00002A860000}"/>
    <cellStyle name="Total 5_DataIX" xfId="35478" xr:uid="{00000000-0005-0000-0000-00002B860000}"/>
    <cellStyle name="Total 6" xfId="5710" xr:uid="{00000000-0005-0000-0000-00002C860000}"/>
    <cellStyle name="Total 6 2" xfId="10547" xr:uid="{00000000-0005-0000-0000-00002D860000}"/>
    <cellStyle name="Total 6 2 2" xfId="12931" xr:uid="{00000000-0005-0000-0000-00002E860000}"/>
    <cellStyle name="Total 6 2 3" xfId="20329" xr:uid="{00000000-0005-0000-0000-00002F860000}"/>
    <cellStyle name="Total 6 2 3 2" xfId="13602" xr:uid="{00000000-0005-0000-0000-000030860000}"/>
    <cellStyle name="Total 6 2 3_DataIX" xfId="35486" xr:uid="{00000000-0005-0000-0000-000031860000}"/>
    <cellStyle name="Total 6 2 4" xfId="20969" xr:uid="{00000000-0005-0000-0000-000032860000}"/>
    <cellStyle name="Total 6 2 4 2" xfId="21548" xr:uid="{00000000-0005-0000-0000-000033860000}"/>
    <cellStyle name="Total 6 2 4_DataIX" xfId="35487" xr:uid="{00000000-0005-0000-0000-000034860000}"/>
    <cellStyle name="Total 6 2_DataIX" xfId="35485" xr:uid="{00000000-0005-0000-0000-000035860000}"/>
    <cellStyle name="Total 6 3" xfId="12930" xr:uid="{00000000-0005-0000-0000-000036860000}"/>
    <cellStyle name="Total 6 4" xfId="18922" xr:uid="{00000000-0005-0000-0000-000037860000}"/>
    <cellStyle name="Total 6 4 2" xfId="12754" xr:uid="{00000000-0005-0000-0000-000038860000}"/>
    <cellStyle name="Total 6 4_DataIX" xfId="35488" xr:uid="{00000000-0005-0000-0000-000039860000}"/>
    <cellStyle name="Total 6 5" xfId="20419" xr:uid="{00000000-0005-0000-0000-00003A860000}"/>
    <cellStyle name="Total 6 5 2" xfId="21791" xr:uid="{00000000-0005-0000-0000-00003B860000}"/>
    <cellStyle name="Total 6 5_DataIX" xfId="35489" xr:uid="{00000000-0005-0000-0000-00003C860000}"/>
    <cellStyle name="Total 6_DataIX" xfId="35484" xr:uid="{00000000-0005-0000-0000-00003D860000}"/>
    <cellStyle name="Total 7" xfId="5459" xr:uid="{00000000-0005-0000-0000-00003E860000}"/>
    <cellStyle name="Total 7 2" xfId="12932" xr:uid="{00000000-0005-0000-0000-00003F860000}"/>
    <cellStyle name="Total 7 3" xfId="18734" xr:uid="{00000000-0005-0000-0000-000040860000}"/>
    <cellStyle name="Total 7 3 2" xfId="22097" xr:uid="{00000000-0005-0000-0000-000041860000}"/>
    <cellStyle name="Total 7 3_DataIX" xfId="35491" xr:uid="{00000000-0005-0000-0000-000042860000}"/>
    <cellStyle name="Total 7 4" xfId="18980" xr:uid="{00000000-0005-0000-0000-000043860000}"/>
    <cellStyle name="Total 7 4 2" xfId="22168" xr:uid="{00000000-0005-0000-0000-000044860000}"/>
    <cellStyle name="Total 7 4_DataIX" xfId="35492" xr:uid="{00000000-0005-0000-0000-000045860000}"/>
    <cellStyle name="Total 7_DataIX" xfId="35490" xr:uid="{00000000-0005-0000-0000-000046860000}"/>
    <cellStyle name="Total 8" xfId="5311" xr:uid="{00000000-0005-0000-0000-000047860000}"/>
    <cellStyle name="Total 8 2" xfId="12933" xr:uid="{00000000-0005-0000-0000-000048860000}"/>
    <cellStyle name="Total 8 3" xfId="18635" xr:uid="{00000000-0005-0000-0000-000049860000}"/>
    <cellStyle name="Total 8 3 2" xfId="22029" xr:uid="{00000000-0005-0000-0000-00004A860000}"/>
    <cellStyle name="Total 8 3_DataIX" xfId="35494" xr:uid="{00000000-0005-0000-0000-00004B860000}"/>
    <cellStyle name="Total 8 4" xfId="20496" xr:uid="{00000000-0005-0000-0000-00004C860000}"/>
    <cellStyle name="Total 8 4 2" xfId="21484" xr:uid="{00000000-0005-0000-0000-00004D860000}"/>
    <cellStyle name="Total 8 4_DataIX" xfId="35495" xr:uid="{00000000-0005-0000-0000-00004E860000}"/>
    <cellStyle name="Total 8_DataIX" xfId="35493" xr:uid="{00000000-0005-0000-0000-00004F860000}"/>
    <cellStyle name="Total 9" xfId="10617" xr:uid="{00000000-0005-0000-0000-000050860000}"/>
    <cellStyle name="Total 9 2" xfId="12934" xr:uid="{00000000-0005-0000-0000-000051860000}"/>
    <cellStyle name="Total 9 3" xfId="20399" xr:uid="{00000000-0005-0000-0000-000052860000}"/>
    <cellStyle name="Total 9 3 2" xfId="20630" xr:uid="{00000000-0005-0000-0000-000053860000}"/>
    <cellStyle name="Total 9 3_DataIX" xfId="35497" xr:uid="{00000000-0005-0000-0000-000054860000}"/>
    <cellStyle name="Total 9 4" xfId="21000" xr:uid="{00000000-0005-0000-0000-000055860000}"/>
    <cellStyle name="Total 9 4 2" xfId="13565" xr:uid="{00000000-0005-0000-0000-000056860000}"/>
    <cellStyle name="Total 9 4_DataIX" xfId="35498" xr:uid="{00000000-0005-0000-0000-000057860000}"/>
    <cellStyle name="Total 9_DataIX" xfId="35496" xr:uid="{00000000-0005-0000-0000-000058860000}"/>
    <cellStyle name="Total_##Keskeiset" xfId="5707" xr:uid="{00000000-0005-0000-0000-000059860000}"/>
    <cellStyle name="Tulostus" xfId="367" xr:uid="{00000000-0005-0000-0000-00005A860000}"/>
    <cellStyle name="Tulostus 10" xfId="10568" xr:uid="{00000000-0005-0000-0000-00005B860000}"/>
    <cellStyle name="Tulostus 10 2" xfId="12935" xr:uid="{00000000-0005-0000-0000-00005C860000}"/>
    <cellStyle name="Tulostus 10 3" xfId="20350" xr:uid="{00000000-0005-0000-0000-00005D860000}"/>
    <cellStyle name="Tulostus 10_DataIX" xfId="35499" xr:uid="{00000000-0005-0000-0000-00005E860000}"/>
    <cellStyle name="Tulostus 11" xfId="10684" xr:uid="{00000000-0005-0000-0000-00005F860000}"/>
    <cellStyle name="Tulostus 11 2" xfId="20612" xr:uid="{00000000-0005-0000-0000-000060860000}"/>
    <cellStyle name="Tulostus 11 2 2" xfId="10687" xr:uid="{00000000-0005-0000-0000-000061860000}"/>
    <cellStyle name="Tulostus 11 2_DataIX" xfId="35501" xr:uid="{00000000-0005-0000-0000-000062860000}"/>
    <cellStyle name="Tulostus 11 3" xfId="21012" xr:uid="{00000000-0005-0000-0000-000063860000}"/>
    <cellStyle name="Tulostus 11 3 2" xfId="21434" xr:uid="{00000000-0005-0000-0000-000064860000}"/>
    <cellStyle name="Tulostus 11 3_DataIX" xfId="35502" xr:uid="{00000000-0005-0000-0000-000065860000}"/>
    <cellStyle name="Tulostus 11 4" xfId="13609" xr:uid="{00000000-0005-0000-0000-000066860000}"/>
    <cellStyle name="Tulostus 11 5" xfId="25038" xr:uid="{00000000-0005-0000-0000-000067860000}"/>
    <cellStyle name="Tulostus 11 6" xfId="26911" xr:uid="{00000000-0005-0000-0000-000068860000}"/>
    <cellStyle name="Tulostus 11 7" xfId="22836" xr:uid="{00000000-0005-0000-0000-000069860000}"/>
    <cellStyle name="Tulostus 11_DataIX" xfId="35500" xr:uid="{00000000-0005-0000-0000-00006A860000}"/>
    <cellStyle name="Tulostus 12" xfId="13314" xr:uid="{00000000-0005-0000-0000-00006B860000}"/>
    <cellStyle name="Tulostus 12 2" xfId="20902" xr:uid="{00000000-0005-0000-0000-00006C860000}"/>
    <cellStyle name="Tulostus 12 2 2" xfId="13764" xr:uid="{00000000-0005-0000-0000-00006D860000}"/>
    <cellStyle name="Tulostus 12 2_DataIX" xfId="35504" xr:uid="{00000000-0005-0000-0000-00006E860000}"/>
    <cellStyle name="Tulostus 12 3" xfId="21288" xr:uid="{00000000-0005-0000-0000-00006F860000}"/>
    <cellStyle name="Tulostus 12 3 2" xfId="10692" xr:uid="{00000000-0005-0000-0000-000070860000}"/>
    <cellStyle name="Tulostus 12 3_DataIX" xfId="35505" xr:uid="{00000000-0005-0000-0000-000071860000}"/>
    <cellStyle name="Tulostus 12 4" xfId="20637" xr:uid="{00000000-0005-0000-0000-000072860000}"/>
    <cellStyle name="Tulostus 12 5" xfId="26194" xr:uid="{00000000-0005-0000-0000-000073860000}"/>
    <cellStyle name="Tulostus 12 6" xfId="27374" xr:uid="{00000000-0005-0000-0000-000074860000}"/>
    <cellStyle name="Tulostus 12 7" xfId="22960" xr:uid="{00000000-0005-0000-0000-000075860000}"/>
    <cellStyle name="Tulostus 12_DataIX" xfId="35503" xr:uid="{00000000-0005-0000-0000-000076860000}"/>
    <cellStyle name="Tulostus 13" xfId="13178" xr:uid="{00000000-0005-0000-0000-000077860000}"/>
    <cellStyle name="Tulostus 13 2" xfId="21177" xr:uid="{00000000-0005-0000-0000-000078860000}"/>
    <cellStyle name="Tulostus 13 2 2" xfId="22004" xr:uid="{00000000-0005-0000-0000-000079860000}"/>
    <cellStyle name="Tulostus 13 2_DataIX" xfId="35507" xr:uid="{00000000-0005-0000-0000-00007A860000}"/>
    <cellStyle name="Tulostus 13 3" xfId="10849" xr:uid="{00000000-0005-0000-0000-00007B860000}"/>
    <cellStyle name="Tulostus 13 4" xfId="26599" xr:uid="{00000000-0005-0000-0000-00007C860000}"/>
    <cellStyle name="Tulostus 13 5" xfId="27546" xr:uid="{00000000-0005-0000-0000-00007D860000}"/>
    <cellStyle name="Tulostus 13 6" xfId="23064" xr:uid="{00000000-0005-0000-0000-00007E860000}"/>
    <cellStyle name="Tulostus 13_DataIX" xfId="35506" xr:uid="{00000000-0005-0000-0000-00007F860000}"/>
    <cellStyle name="Tulostus 14" xfId="20266" xr:uid="{00000000-0005-0000-0000-000080860000}"/>
    <cellStyle name="Tulostus 14 2" xfId="20680" xr:uid="{00000000-0005-0000-0000-000081860000}"/>
    <cellStyle name="Tulostus 14_DataIX" xfId="35508" xr:uid="{00000000-0005-0000-0000-000082860000}"/>
    <cellStyle name="Tulostus 15" xfId="26780" xr:uid="{00000000-0005-0000-0000-000083860000}"/>
    <cellStyle name="Tulostus 16" xfId="28129" xr:uid="{00000000-0005-0000-0000-000084860000}"/>
    <cellStyle name="Tulostus 2" xfId="249" xr:uid="{00000000-0005-0000-0000-000085860000}"/>
    <cellStyle name="Tulostus 2 10" xfId="5327" xr:uid="{00000000-0005-0000-0000-000086860000}"/>
    <cellStyle name="Tulostus 2 10 2" xfId="12936" xr:uid="{00000000-0005-0000-0000-000087860000}"/>
    <cellStyle name="Tulostus 2 10 3" xfId="18651" xr:uid="{00000000-0005-0000-0000-000088860000}"/>
    <cellStyle name="Tulostus 2 10 3 2" xfId="13647" xr:uid="{00000000-0005-0000-0000-000089860000}"/>
    <cellStyle name="Tulostus 2 10 3_DataIX" xfId="35510" xr:uid="{00000000-0005-0000-0000-00008A860000}"/>
    <cellStyle name="Tulostus 2 10 4" xfId="20493" xr:uid="{00000000-0005-0000-0000-00008B860000}"/>
    <cellStyle name="Tulostus 2 10 4 2" xfId="21416" xr:uid="{00000000-0005-0000-0000-00008C860000}"/>
    <cellStyle name="Tulostus 2 10 4_DataIX" xfId="35511" xr:uid="{00000000-0005-0000-0000-00008D860000}"/>
    <cellStyle name="Tulostus 2 10_DataIX" xfId="35509" xr:uid="{00000000-0005-0000-0000-00008E860000}"/>
    <cellStyle name="Tulostus 2 11" xfId="13182" xr:uid="{00000000-0005-0000-0000-00008F860000}"/>
    <cellStyle name="Tulostus 2 11 2" xfId="20807" xr:uid="{00000000-0005-0000-0000-000090860000}"/>
    <cellStyle name="Tulostus 2 11 2 2" xfId="11000" xr:uid="{00000000-0005-0000-0000-000091860000}"/>
    <cellStyle name="Tulostus 2 11 2_DataIX" xfId="35513" xr:uid="{00000000-0005-0000-0000-000092860000}"/>
    <cellStyle name="Tulostus 2 11 3" xfId="21180" xr:uid="{00000000-0005-0000-0000-000093860000}"/>
    <cellStyle name="Tulostus 2 11 3 2" xfId="21496" xr:uid="{00000000-0005-0000-0000-000094860000}"/>
    <cellStyle name="Tulostus 2 11 3_DataIX" xfId="35514" xr:uid="{00000000-0005-0000-0000-000095860000}"/>
    <cellStyle name="Tulostus 2 11 4" xfId="11029" xr:uid="{00000000-0005-0000-0000-000096860000}"/>
    <cellStyle name="Tulostus 2 11 5" xfId="25230" xr:uid="{00000000-0005-0000-0000-000097860000}"/>
    <cellStyle name="Tulostus 2 11 6" xfId="27008" xr:uid="{00000000-0005-0000-0000-000098860000}"/>
    <cellStyle name="Tulostus 2 11 7" xfId="22798" xr:uid="{00000000-0005-0000-0000-000099860000}"/>
    <cellStyle name="Tulostus 2 11_DataIX" xfId="35512" xr:uid="{00000000-0005-0000-0000-00009A860000}"/>
    <cellStyle name="Tulostus 2 12" xfId="13164" xr:uid="{00000000-0005-0000-0000-00009B860000}"/>
    <cellStyle name="Tulostus 2 12 2" xfId="21167" xr:uid="{00000000-0005-0000-0000-00009C860000}"/>
    <cellStyle name="Tulostus 2 12 2 2" xfId="10690" xr:uid="{00000000-0005-0000-0000-00009D860000}"/>
    <cellStyle name="Tulostus 2 12 2_DataIX" xfId="35516" xr:uid="{00000000-0005-0000-0000-00009E860000}"/>
    <cellStyle name="Tulostus 2 12 3" xfId="13725" xr:uid="{00000000-0005-0000-0000-00009F860000}"/>
    <cellStyle name="Tulostus 2 12 4" xfId="26111" xr:uid="{00000000-0005-0000-0000-0000A0860000}"/>
    <cellStyle name="Tulostus 2 12 5" xfId="27330" xr:uid="{00000000-0005-0000-0000-0000A1860000}"/>
    <cellStyle name="Tulostus 2 12 6" xfId="26887" xr:uid="{00000000-0005-0000-0000-0000A2860000}"/>
    <cellStyle name="Tulostus 2 12_DataIX" xfId="35515" xr:uid="{00000000-0005-0000-0000-0000A3860000}"/>
    <cellStyle name="Tulostus 2 13" xfId="20303" xr:uid="{00000000-0005-0000-0000-0000A4860000}"/>
    <cellStyle name="Tulostus 2 13 2" xfId="10816" xr:uid="{00000000-0005-0000-0000-0000A5860000}"/>
    <cellStyle name="Tulostus 2 13 3" xfId="25778" xr:uid="{00000000-0005-0000-0000-0000A6860000}"/>
    <cellStyle name="Tulostus 2 13 4" xfId="27225" xr:uid="{00000000-0005-0000-0000-0000A7860000}"/>
    <cellStyle name="Tulostus 2 13 5" xfId="22994" xr:uid="{00000000-0005-0000-0000-0000A8860000}"/>
    <cellStyle name="Tulostus 2 13_DataIX" xfId="35517" xr:uid="{00000000-0005-0000-0000-0000A9860000}"/>
    <cellStyle name="Tulostus 2 14" xfId="22272" xr:uid="{00000000-0005-0000-0000-0000AA860000}"/>
    <cellStyle name="Tulostus 2 15" xfId="22382" xr:uid="{00000000-0005-0000-0000-0000AB860000}"/>
    <cellStyle name="Tulostus 2 16" xfId="22537" xr:uid="{00000000-0005-0000-0000-0000AC860000}"/>
    <cellStyle name="Tulostus 2 17" xfId="22513" xr:uid="{00000000-0005-0000-0000-0000AD860000}"/>
    <cellStyle name="Tulostus 2 18" xfId="22458" xr:uid="{00000000-0005-0000-0000-0000AE860000}"/>
    <cellStyle name="Tulostus 2 19" xfId="23136" xr:uid="{00000000-0005-0000-0000-0000AF860000}"/>
    <cellStyle name="Tulostus 2 2" xfId="265" xr:uid="{00000000-0005-0000-0000-0000B0860000}"/>
    <cellStyle name="Tulostus 2 2 10" xfId="13423" xr:uid="{00000000-0005-0000-0000-0000B1860000}"/>
    <cellStyle name="Tulostus 2 2 10 2" xfId="21362" xr:uid="{00000000-0005-0000-0000-0000B2860000}"/>
    <cellStyle name="Tulostus 2 2 10 2 2" xfId="13432" xr:uid="{00000000-0005-0000-0000-0000B3860000}"/>
    <cellStyle name="Tulostus 2 2 10 2_DataIX" xfId="35519" xr:uid="{00000000-0005-0000-0000-0000B4860000}"/>
    <cellStyle name="Tulostus 2 2 10 3" xfId="13457" xr:uid="{00000000-0005-0000-0000-0000B5860000}"/>
    <cellStyle name="Tulostus 2 2 10 4" xfId="26266" xr:uid="{00000000-0005-0000-0000-0000B6860000}"/>
    <cellStyle name="Tulostus 2 2 10 5" xfId="27399" xr:uid="{00000000-0005-0000-0000-0000B7860000}"/>
    <cellStyle name="Tulostus 2 2 10 6" xfId="23037" xr:uid="{00000000-0005-0000-0000-0000B8860000}"/>
    <cellStyle name="Tulostus 2 2 10_DataIX" xfId="35518" xr:uid="{00000000-0005-0000-0000-0000B9860000}"/>
    <cellStyle name="Tulostus 2 2 11" xfId="13839" xr:uid="{00000000-0005-0000-0000-0000BA860000}"/>
    <cellStyle name="Tulostus 2 2 11 2" xfId="11302" xr:uid="{00000000-0005-0000-0000-0000BB860000}"/>
    <cellStyle name="Tulostus 2 2 11 3" xfId="26225" xr:uid="{00000000-0005-0000-0000-0000BC860000}"/>
    <cellStyle name="Tulostus 2 2 11 4" xfId="27386" xr:uid="{00000000-0005-0000-0000-0000BD860000}"/>
    <cellStyle name="Tulostus 2 2 11 5" xfId="26688" xr:uid="{00000000-0005-0000-0000-0000BE860000}"/>
    <cellStyle name="Tulostus 2 2 11_DataIX" xfId="35520" xr:uid="{00000000-0005-0000-0000-0000BF860000}"/>
    <cellStyle name="Tulostus 2 2 12" xfId="20821" xr:uid="{00000000-0005-0000-0000-0000C0860000}"/>
    <cellStyle name="Tulostus 2 2 12 2" xfId="21679" xr:uid="{00000000-0005-0000-0000-0000C1860000}"/>
    <cellStyle name="Tulostus 2 2 12_DataIX" xfId="35521" xr:uid="{00000000-0005-0000-0000-0000C2860000}"/>
    <cellStyle name="Tulostus 2 2 13" xfId="10763" xr:uid="{00000000-0005-0000-0000-0000C3860000}"/>
    <cellStyle name="Tulostus 2 2 14" xfId="22383" xr:uid="{00000000-0005-0000-0000-0000C4860000}"/>
    <cellStyle name="Tulostus 2 2 15" xfId="22536" xr:uid="{00000000-0005-0000-0000-0000C5860000}"/>
    <cellStyle name="Tulostus 2 2 16" xfId="22469" xr:uid="{00000000-0005-0000-0000-0000C6860000}"/>
    <cellStyle name="Tulostus 2 2 17" xfId="22422" xr:uid="{00000000-0005-0000-0000-0000C7860000}"/>
    <cellStyle name="Tulostus 2 2 18" xfId="22776" xr:uid="{00000000-0005-0000-0000-0000C8860000}"/>
    <cellStyle name="Tulostus 2 2 19" xfId="27957" xr:uid="{00000000-0005-0000-0000-0000C9860000}"/>
    <cellStyle name="Tulostus 2 2 2" xfId="319" xr:uid="{00000000-0005-0000-0000-0000CA860000}"/>
    <cellStyle name="Tulostus 2 2 2 10" xfId="13883" xr:uid="{00000000-0005-0000-0000-0000CB860000}"/>
    <cellStyle name="Tulostus 2 2 2 10 2" xfId="13619" xr:uid="{00000000-0005-0000-0000-0000CC860000}"/>
    <cellStyle name="Tulostus 2 2 2 10 3" xfId="26656" xr:uid="{00000000-0005-0000-0000-0000CD860000}"/>
    <cellStyle name="Tulostus 2 2 2 10 4" xfId="27569" xr:uid="{00000000-0005-0000-0000-0000CE860000}"/>
    <cellStyle name="Tulostus 2 2 2 10 5" xfId="26849" xr:uid="{00000000-0005-0000-0000-0000CF860000}"/>
    <cellStyle name="Tulostus 2 2 2 10_DataIX" xfId="35522" xr:uid="{00000000-0005-0000-0000-0000D0860000}"/>
    <cellStyle name="Tulostus 2 2 2 11" xfId="20276" xr:uid="{00000000-0005-0000-0000-0000D1860000}"/>
    <cellStyle name="Tulostus 2 2 2 11 2" xfId="22039" xr:uid="{00000000-0005-0000-0000-0000D2860000}"/>
    <cellStyle name="Tulostus 2 2 2 11 3" xfId="25715" xr:uid="{00000000-0005-0000-0000-0000D3860000}"/>
    <cellStyle name="Tulostus 2 2 2 11 4" xfId="27207" xr:uid="{00000000-0005-0000-0000-0000D4860000}"/>
    <cellStyle name="Tulostus 2 2 2 11 5" xfId="26476" xr:uid="{00000000-0005-0000-0000-0000D5860000}"/>
    <cellStyle name="Tulostus 2 2 2 11_DataIX" xfId="35523" xr:uid="{00000000-0005-0000-0000-0000D6860000}"/>
    <cellStyle name="Tulostus 2 2 2 12" xfId="13780" xr:uid="{00000000-0005-0000-0000-0000D7860000}"/>
    <cellStyle name="Tulostus 2 2 2 13" xfId="21826" xr:uid="{00000000-0005-0000-0000-0000D8860000}"/>
    <cellStyle name="Tulostus 2 2 2 14" xfId="22384" xr:uid="{00000000-0005-0000-0000-0000D9860000}"/>
    <cellStyle name="Tulostus 2 2 2 15" xfId="22535" xr:uid="{00000000-0005-0000-0000-0000DA860000}"/>
    <cellStyle name="Tulostus 2 2 2 16" xfId="22472" xr:uid="{00000000-0005-0000-0000-0000DB860000}"/>
    <cellStyle name="Tulostus 2 2 2 17" xfId="22528" xr:uid="{00000000-0005-0000-0000-0000DC860000}"/>
    <cellStyle name="Tulostus 2 2 2 18" xfId="27089" xr:uid="{00000000-0005-0000-0000-0000DD860000}"/>
    <cellStyle name="Tulostus 2 2 2 19" xfId="27958" xr:uid="{00000000-0005-0000-0000-0000DE860000}"/>
    <cellStyle name="Tulostus 2 2 2 2" xfId="5190" xr:uid="{00000000-0005-0000-0000-0000DF860000}"/>
    <cellStyle name="Tulostus 2 2 2 2 2" xfId="10476" xr:uid="{00000000-0005-0000-0000-0000E0860000}"/>
    <cellStyle name="Tulostus 2 2 2 2 3" xfId="18520" xr:uid="{00000000-0005-0000-0000-0000E1860000}"/>
    <cellStyle name="Tulostus 2 2 2 2 3 2" xfId="11215" xr:uid="{00000000-0005-0000-0000-0000E2860000}"/>
    <cellStyle name="Tulostus 2 2 2 2 3_DataIX" xfId="35525" xr:uid="{00000000-0005-0000-0000-0000E3860000}"/>
    <cellStyle name="Tulostus 2 2 2 2 4" xfId="19063" xr:uid="{00000000-0005-0000-0000-0000E4860000}"/>
    <cellStyle name="Tulostus 2 2 2 2 4 2" xfId="21895" xr:uid="{00000000-0005-0000-0000-0000E5860000}"/>
    <cellStyle name="Tulostus 2 2 2 2 4_DataIX" xfId="35526" xr:uid="{00000000-0005-0000-0000-0000E6860000}"/>
    <cellStyle name="Tulostus 2 2 2 2_DataIX" xfId="35524" xr:uid="{00000000-0005-0000-0000-0000E7860000}"/>
    <cellStyle name="Tulostus 2 2 2 20" xfId="27995" xr:uid="{00000000-0005-0000-0000-0000E8860000}"/>
    <cellStyle name="Tulostus 2 2 2 21" xfId="28089" xr:uid="{00000000-0005-0000-0000-0000E9860000}"/>
    <cellStyle name="Tulostus 2 2 2 22" xfId="28162" xr:uid="{00000000-0005-0000-0000-0000EA860000}"/>
    <cellStyle name="Tulostus 2 2 2 23" xfId="28173" xr:uid="{00000000-0005-0000-0000-0000EB860000}"/>
    <cellStyle name="Tulostus 2 2 2 24" xfId="28291" xr:uid="{00000000-0005-0000-0000-0000EC860000}"/>
    <cellStyle name="Tulostus 2 2 2 25" xfId="28364" xr:uid="{00000000-0005-0000-0000-0000ED860000}"/>
    <cellStyle name="Tulostus 2 2 2 26" xfId="28452" xr:uid="{00000000-0005-0000-0000-0000EE860000}"/>
    <cellStyle name="Tulostus 2 2 2 27" xfId="28311" xr:uid="{00000000-0005-0000-0000-0000EF860000}"/>
    <cellStyle name="Tulostus 2 2 2 28" xfId="28743" xr:uid="{00000000-0005-0000-0000-0000F0860000}"/>
    <cellStyle name="Tulostus 2 2 2 29" xfId="28896" xr:uid="{00000000-0005-0000-0000-0000F1860000}"/>
    <cellStyle name="Tulostus 2 2 2 3" xfId="5396" xr:uid="{00000000-0005-0000-0000-0000F2860000}"/>
    <cellStyle name="Tulostus 2 2 2 3 2" xfId="12937" xr:uid="{00000000-0005-0000-0000-0000F3860000}"/>
    <cellStyle name="Tulostus 2 2 2 3 3" xfId="18720" xr:uid="{00000000-0005-0000-0000-0000F4860000}"/>
    <cellStyle name="Tulostus 2 2 2 3 3 2" xfId="21903" xr:uid="{00000000-0005-0000-0000-0000F5860000}"/>
    <cellStyle name="Tulostus 2 2 2 3 3_DataIX" xfId="35528" xr:uid="{00000000-0005-0000-0000-0000F6860000}"/>
    <cellStyle name="Tulostus 2 2 2 3 4" xfId="18985" xr:uid="{00000000-0005-0000-0000-0000F7860000}"/>
    <cellStyle name="Tulostus 2 2 2 3 4 2" xfId="12561" xr:uid="{00000000-0005-0000-0000-0000F8860000}"/>
    <cellStyle name="Tulostus 2 2 2 3 4_DataIX" xfId="35529" xr:uid="{00000000-0005-0000-0000-0000F9860000}"/>
    <cellStyle name="Tulostus 2 2 2 3_DataIX" xfId="35527" xr:uid="{00000000-0005-0000-0000-0000FA860000}"/>
    <cellStyle name="Tulostus 2 2 2 30" xfId="28674" xr:uid="{00000000-0005-0000-0000-0000FB860000}"/>
    <cellStyle name="Tulostus 2 2 2 31" xfId="28826" xr:uid="{00000000-0005-0000-0000-0000FC860000}"/>
    <cellStyle name="Tulostus 2 2 2 32" xfId="29093" xr:uid="{00000000-0005-0000-0000-0000FD860000}"/>
    <cellStyle name="Tulostus 2 2 2 33" xfId="29125" xr:uid="{00000000-0005-0000-0000-0000FE860000}"/>
    <cellStyle name="Tulostus 2 2 2 4" xfId="13273" xr:uid="{00000000-0005-0000-0000-0000FF860000}"/>
    <cellStyle name="Tulostus 2 2 2 4 2" xfId="20862" xr:uid="{00000000-0005-0000-0000-000000870000}"/>
    <cellStyle name="Tulostus 2 2 2 4 2 2" xfId="13762" xr:uid="{00000000-0005-0000-0000-000001870000}"/>
    <cellStyle name="Tulostus 2 2 2 4 2_DataIX" xfId="35531" xr:uid="{00000000-0005-0000-0000-000002870000}"/>
    <cellStyle name="Tulostus 2 2 2 4 3" xfId="21250" xr:uid="{00000000-0005-0000-0000-000003870000}"/>
    <cellStyle name="Tulostus 2 2 2 4 3 2" xfId="22151" xr:uid="{00000000-0005-0000-0000-000004870000}"/>
    <cellStyle name="Tulostus 2 2 2 4 3_DataIX" xfId="35532" xr:uid="{00000000-0005-0000-0000-000005870000}"/>
    <cellStyle name="Tulostus 2 2 2 4 4" xfId="20726" xr:uid="{00000000-0005-0000-0000-000006870000}"/>
    <cellStyle name="Tulostus 2 2 2 4 5" xfId="25232" xr:uid="{00000000-0005-0000-0000-000007870000}"/>
    <cellStyle name="Tulostus 2 2 2 4 6" xfId="27010" xr:uid="{00000000-0005-0000-0000-000008870000}"/>
    <cellStyle name="Tulostus 2 2 2 4 7" xfId="22768" xr:uid="{00000000-0005-0000-0000-000009870000}"/>
    <cellStyle name="Tulostus 2 2 2 4_DataIX" xfId="35530" xr:uid="{00000000-0005-0000-0000-00000A870000}"/>
    <cellStyle name="Tulostus 2 2 2 5" xfId="13147" xr:uid="{00000000-0005-0000-0000-00000B870000}"/>
    <cellStyle name="Tulostus 2 2 2 5 2" xfId="20787" xr:uid="{00000000-0005-0000-0000-00000C870000}"/>
    <cellStyle name="Tulostus 2 2 2 5 2 2" xfId="13588" xr:uid="{00000000-0005-0000-0000-00000D870000}"/>
    <cellStyle name="Tulostus 2 2 2 5 2_DataIX" xfId="35534" xr:uid="{00000000-0005-0000-0000-00000E870000}"/>
    <cellStyle name="Tulostus 2 2 2 5 3" xfId="21152" xr:uid="{00000000-0005-0000-0000-00000F870000}"/>
    <cellStyle name="Tulostus 2 2 2 5 3 2" xfId="22003" xr:uid="{00000000-0005-0000-0000-000010870000}"/>
    <cellStyle name="Tulostus 2 2 2 5 3_DataIX" xfId="35535" xr:uid="{00000000-0005-0000-0000-000011870000}"/>
    <cellStyle name="Tulostus 2 2 2 5 4" xfId="10799" xr:uid="{00000000-0005-0000-0000-000012870000}"/>
    <cellStyle name="Tulostus 2 2 2 5 5" xfId="26110" xr:uid="{00000000-0005-0000-0000-000013870000}"/>
    <cellStyle name="Tulostus 2 2 2 5 6" xfId="27329" xr:uid="{00000000-0005-0000-0000-000014870000}"/>
    <cellStyle name="Tulostus 2 2 2 5 7" xfId="27626" xr:uid="{00000000-0005-0000-0000-000015870000}"/>
    <cellStyle name="Tulostus 2 2 2 5_DataIX" xfId="35533" xr:uid="{00000000-0005-0000-0000-000016870000}"/>
    <cellStyle name="Tulostus 2 2 2 6" xfId="13366" xr:uid="{00000000-0005-0000-0000-000017870000}"/>
    <cellStyle name="Tulostus 2 2 2 6 2" xfId="21323" xr:uid="{00000000-0005-0000-0000-000018870000}"/>
    <cellStyle name="Tulostus 2 2 2 6 2 2" xfId="22114" xr:uid="{00000000-0005-0000-0000-000019870000}"/>
    <cellStyle name="Tulostus 2 2 2 6 2_DataIX" xfId="35537" xr:uid="{00000000-0005-0000-0000-00001A870000}"/>
    <cellStyle name="Tulostus 2 2 2 6 3" xfId="13777" xr:uid="{00000000-0005-0000-0000-00001B870000}"/>
    <cellStyle name="Tulostus 2 2 2 6 4" xfId="25529" xr:uid="{00000000-0005-0000-0000-00001C870000}"/>
    <cellStyle name="Tulostus 2 2 2 6 5" xfId="27137" xr:uid="{00000000-0005-0000-0000-00001D870000}"/>
    <cellStyle name="Tulostus 2 2 2 6 6" xfId="22996" xr:uid="{00000000-0005-0000-0000-00001E870000}"/>
    <cellStyle name="Tulostus 2 2 2 6_DataIX" xfId="35536" xr:uid="{00000000-0005-0000-0000-00001F870000}"/>
    <cellStyle name="Tulostus 2 2 2 7" xfId="10750" xr:uid="{00000000-0005-0000-0000-000020870000}"/>
    <cellStyle name="Tulostus 2 2 2 7 2" xfId="21062" xr:uid="{00000000-0005-0000-0000-000021870000}"/>
    <cellStyle name="Tulostus 2 2 2 7 2 2" xfId="22111" xr:uid="{00000000-0005-0000-0000-000022870000}"/>
    <cellStyle name="Tulostus 2 2 2 7 2_DataIX" xfId="35539" xr:uid="{00000000-0005-0000-0000-000023870000}"/>
    <cellStyle name="Tulostus 2 2 2 7 3" xfId="21799" xr:uid="{00000000-0005-0000-0000-000024870000}"/>
    <cellStyle name="Tulostus 2 2 2 7 4" xfId="26493" xr:uid="{00000000-0005-0000-0000-000025870000}"/>
    <cellStyle name="Tulostus 2 2 2 7 5" xfId="27507" xr:uid="{00000000-0005-0000-0000-000026870000}"/>
    <cellStyle name="Tulostus 2 2 2 7 6" xfId="23118" xr:uid="{00000000-0005-0000-0000-000027870000}"/>
    <cellStyle name="Tulostus 2 2 2 7_DataIX" xfId="35538" xr:uid="{00000000-0005-0000-0000-000028870000}"/>
    <cellStyle name="Tulostus 2 2 2 8" xfId="11138" xr:uid="{00000000-0005-0000-0000-000029870000}"/>
    <cellStyle name="Tulostus 2 2 2 8 2" xfId="21077" xr:uid="{00000000-0005-0000-0000-00002A870000}"/>
    <cellStyle name="Tulostus 2 2 2 8 2 2" xfId="12996" xr:uid="{00000000-0005-0000-0000-00002B870000}"/>
    <cellStyle name="Tulostus 2 2 2 8 2_DataIX" xfId="35541" xr:uid="{00000000-0005-0000-0000-00002C870000}"/>
    <cellStyle name="Tulostus 2 2 2 8 3" xfId="22051" xr:uid="{00000000-0005-0000-0000-00002D870000}"/>
    <cellStyle name="Tulostus 2 2 2 8 4" xfId="26689" xr:uid="{00000000-0005-0000-0000-00002E870000}"/>
    <cellStyle name="Tulostus 2 2 2 8 5" xfId="27582" xr:uid="{00000000-0005-0000-0000-00002F870000}"/>
    <cellStyle name="Tulostus 2 2 2 8 6" xfId="26873" xr:uid="{00000000-0005-0000-0000-000030870000}"/>
    <cellStyle name="Tulostus 2 2 2 8_DataIX" xfId="35540" xr:uid="{00000000-0005-0000-0000-000031870000}"/>
    <cellStyle name="Tulostus 2 2 2 9" xfId="13422" xr:uid="{00000000-0005-0000-0000-000032870000}"/>
    <cellStyle name="Tulostus 2 2 2 9 2" xfId="21361" xr:uid="{00000000-0005-0000-0000-000033870000}"/>
    <cellStyle name="Tulostus 2 2 2 9 2 2" xfId="22245" xr:uid="{00000000-0005-0000-0000-000034870000}"/>
    <cellStyle name="Tulostus 2 2 2 9 2_DataIX" xfId="35543" xr:uid="{00000000-0005-0000-0000-000035870000}"/>
    <cellStyle name="Tulostus 2 2 2 9 3" xfId="21995" xr:uid="{00000000-0005-0000-0000-000036870000}"/>
    <cellStyle name="Tulostus 2 2 2 9 4" xfId="25576" xr:uid="{00000000-0005-0000-0000-000037870000}"/>
    <cellStyle name="Tulostus 2 2 2 9 5" xfId="27153" xr:uid="{00000000-0005-0000-0000-000038870000}"/>
    <cellStyle name="Tulostus 2 2 2 9 6" xfId="23020" xr:uid="{00000000-0005-0000-0000-000039870000}"/>
    <cellStyle name="Tulostus 2 2 2 9_DataIX" xfId="35542" xr:uid="{00000000-0005-0000-0000-00003A870000}"/>
    <cellStyle name="Tulostus 2 2 2_##Keskeiset" xfId="10475" xr:uid="{00000000-0005-0000-0000-00003B870000}"/>
    <cellStyle name="Tulostus 2 2 20" xfId="27996" xr:uid="{00000000-0005-0000-0000-00003C870000}"/>
    <cellStyle name="Tulostus 2 2 21" xfId="28083" xr:uid="{00000000-0005-0000-0000-00003D870000}"/>
    <cellStyle name="Tulostus 2 2 22" xfId="28161" xr:uid="{00000000-0005-0000-0000-00003E870000}"/>
    <cellStyle name="Tulostus 2 2 23" xfId="28174" xr:uid="{00000000-0005-0000-0000-00003F870000}"/>
    <cellStyle name="Tulostus 2 2 24" xfId="28290" xr:uid="{00000000-0005-0000-0000-000040870000}"/>
    <cellStyle name="Tulostus 2 2 25" xfId="28365" xr:uid="{00000000-0005-0000-0000-000041870000}"/>
    <cellStyle name="Tulostus 2 2 26" xfId="28453" xr:uid="{00000000-0005-0000-0000-000042870000}"/>
    <cellStyle name="Tulostus 2 2 27" xfId="28312" xr:uid="{00000000-0005-0000-0000-000043870000}"/>
    <cellStyle name="Tulostus 2 2 28" xfId="28744" xr:uid="{00000000-0005-0000-0000-000044870000}"/>
    <cellStyle name="Tulostus 2 2 29" xfId="28897" xr:uid="{00000000-0005-0000-0000-000045870000}"/>
    <cellStyle name="Tulostus 2 2 3" xfId="5191" xr:uid="{00000000-0005-0000-0000-000046870000}"/>
    <cellStyle name="Tulostus 2 2 3 2" xfId="5711" xr:uid="{00000000-0005-0000-0000-000047870000}"/>
    <cellStyle name="Tulostus 2 2 3 2 2" xfId="12938" xr:uid="{00000000-0005-0000-0000-000048870000}"/>
    <cellStyle name="Tulostus 2 2 3 2 3" xfId="18923" xr:uid="{00000000-0005-0000-0000-000049870000}"/>
    <cellStyle name="Tulostus 2 2 3 2 3 2" xfId="21403" xr:uid="{00000000-0005-0000-0000-00004A870000}"/>
    <cellStyle name="Tulostus 2 2 3 2 3_DataIX" xfId="35546" xr:uid="{00000000-0005-0000-0000-00004B870000}"/>
    <cellStyle name="Tulostus 2 2 3 2 4" xfId="18934" xr:uid="{00000000-0005-0000-0000-00004C870000}"/>
    <cellStyle name="Tulostus 2 2 3 2 4 2" xfId="11288" xr:uid="{00000000-0005-0000-0000-00004D870000}"/>
    <cellStyle name="Tulostus 2 2 3 2 4_DataIX" xfId="35547" xr:uid="{00000000-0005-0000-0000-00004E870000}"/>
    <cellStyle name="Tulostus 2 2 3 2_DataIX" xfId="35545" xr:uid="{00000000-0005-0000-0000-00004F870000}"/>
    <cellStyle name="Tulostus 2 2 3 3" xfId="11187" xr:uid="{00000000-0005-0000-0000-000050870000}"/>
    <cellStyle name="Tulostus 2 2 3 4" xfId="18521" xr:uid="{00000000-0005-0000-0000-000051870000}"/>
    <cellStyle name="Tulostus 2 2 3 4 2" xfId="11093" xr:uid="{00000000-0005-0000-0000-000052870000}"/>
    <cellStyle name="Tulostus 2 2 3 4_DataIX" xfId="35548" xr:uid="{00000000-0005-0000-0000-000053870000}"/>
    <cellStyle name="Tulostus 2 2 3 5" xfId="20541" xr:uid="{00000000-0005-0000-0000-000054870000}"/>
    <cellStyle name="Tulostus 2 2 3 5 2" xfId="21949" xr:uid="{00000000-0005-0000-0000-000055870000}"/>
    <cellStyle name="Tulostus 2 2 3 5_DataIX" xfId="35549" xr:uid="{00000000-0005-0000-0000-000056870000}"/>
    <cellStyle name="Tulostus 2 2 3_DataIX" xfId="35544" xr:uid="{00000000-0005-0000-0000-000057870000}"/>
    <cellStyle name="Tulostus 2 2 30" xfId="28597" xr:uid="{00000000-0005-0000-0000-000058870000}"/>
    <cellStyle name="Tulostus 2 2 31" xfId="28820" xr:uid="{00000000-0005-0000-0000-000059870000}"/>
    <cellStyle name="Tulostus 2 2 32" xfId="29092" xr:uid="{00000000-0005-0000-0000-00005A870000}"/>
    <cellStyle name="Tulostus 2 2 33" xfId="29126" xr:uid="{00000000-0005-0000-0000-00005B870000}"/>
    <cellStyle name="Tulostus 2 2 4" xfId="5395" xr:uid="{00000000-0005-0000-0000-00005C870000}"/>
    <cellStyle name="Tulostus 2 2 4 2" xfId="12939" xr:uid="{00000000-0005-0000-0000-00005D870000}"/>
    <cellStyle name="Tulostus 2 2 4 3" xfId="18719" xr:uid="{00000000-0005-0000-0000-00005E870000}"/>
    <cellStyle name="Tulostus 2 2 4 3 2" xfId="22096" xr:uid="{00000000-0005-0000-0000-00005F870000}"/>
    <cellStyle name="Tulostus 2 2 4 3_DataIX" xfId="35551" xr:uid="{00000000-0005-0000-0000-000060870000}"/>
    <cellStyle name="Tulostus 2 2 4 4" xfId="20467" xr:uid="{00000000-0005-0000-0000-000061870000}"/>
    <cellStyle name="Tulostus 2 2 4 4 2" xfId="21980" xr:uid="{00000000-0005-0000-0000-000062870000}"/>
    <cellStyle name="Tulostus 2 2 4 4_DataIX" xfId="35552" xr:uid="{00000000-0005-0000-0000-000063870000}"/>
    <cellStyle name="Tulostus 2 2 4_DataIX" xfId="35550" xr:uid="{00000000-0005-0000-0000-000064870000}"/>
    <cellStyle name="Tulostus 2 2 5" xfId="13107" xr:uid="{00000000-0005-0000-0000-000065870000}"/>
    <cellStyle name="Tulostus 2 2 5 2" xfId="20758" xr:uid="{00000000-0005-0000-0000-000066870000}"/>
    <cellStyle name="Tulostus 2 2 5 2 2" xfId="21754" xr:uid="{00000000-0005-0000-0000-000067870000}"/>
    <cellStyle name="Tulostus 2 2 5 2_DataIX" xfId="35554" xr:uid="{00000000-0005-0000-0000-000068870000}"/>
    <cellStyle name="Tulostus 2 2 5 3" xfId="21120" xr:uid="{00000000-0005-0000-0000-000069870000}"/>
    <cellStyle name="Tulostus 2 2 5 3 2" xfId="22064" xr:uid="{00000000-0005-0000-0000-00006A870000}"/>
    <cellStyle name="Tulostus 2 2 5 3_DataIX" xfId="35555" xr:uid="{00000000-0005-0000-0000-00006B870000}"/>
    <cellStyle name="Tulostus 2 2 5 4" xfId="21504" xr:uid="{00000000-0005-0000-0000-00006C870000}"/>
    <cellStyle name="Tulostus 2 2 5 5" xfId="25231" xr:uid="{00000000-0005-0000-0000-00006D870000}"/>
    <cellStyle name="Tulostus 2 2 5 6" xfId="27009" xr:uid="{00000000-0005-0000-0000-00006E870000}"/>
    <cellStyle name="Tulostus 2 2 5 7" xfId="23090" xr:uid="{00000000-0005-0000-0000-00006F870000}"/>
    <cellStyle name="Tulostus 2 2 5_DataIX" xfId="35553" xr:uid="{00000000-0005-0000-0000-000070870000}"/>
    <cellStyle name="Tulostus 2 2 6" xfId="13206" xr:uid="{00000000-0005-0000-0000-000071870000}"/>
    <cellStyle name="Tulostus 2 2 6 2" xfId="20825" xr:uid="{00000000-0005-0000-0000-000072870000}"/>
    <cellStyle name="Tulostus 2 2 6 2 2" xfId="10703" xr:uid="{00000000-0005-0000-0000-000073870000}"/>
    <cellStyle name="Tulostus 2 2 6 2_DataIX" xfId="35557" xr:uid="{00000000-0005-0000-0000-000074870000}"/>
    <cellStyle name="Tulostus 2 2 6 3" xfId="21195" xr:uid="{00000000-0005-0000-0000-000075870000}"/>
    <cellStyle name="Tulostus 2 2 6 3 2" xfId="20649" xr:uid="{00000000-0005-0000-0000-000076870000}"/>
    <cellStyle name="Tulostus 2 2 6 3_DataIX" xfId="35558" xr:uid="{00000000-0005-0000-0000-000077870000}"/>
    <cellStyle name="Tulostus 2 2 6 4" xfId="13498" xr:uid="{00000000-0005-0000-0000-000078870000}"/>
    <cellStyle name="Tulostus 2 2 6 5" xfId="25628" xr:uid="{00000000-0005-0000-0000-000079870000}"/>
    <cellStyle name="Tulostus 2 2 6 6" xfId="27169" xr:uid="{00000000-0005-0000-0000-00007A870000}"/>
    <cellStyle name="Tulostus 2 2 6 7" xfId="27233" xr:uid="{00000000-0005-0000-0000-00007B870000}"/>
    <cellStyle name="Tulostus 2 2 6_DataIX" xfId="35556" xr:uid="{00000000-0005-0000-0000-00007C870000}"/>
    <cellStyle name="Tulostus 2 2 7" xfId="13401" xr:uid="{00000000-0005-0000-0000-00007D870000}"/>
    <cellStyle name="Tulostus 2 2 7 2" xfId="21352" xr:uid="{00000000-0005-0000-0000-00007E870000}"/>
    <cellStyle name="Tulostus 2 2 7 2 2" xfId="22010" xr:uid="{00000000-0005-0000-0000-00007F870000}"/>
    <cellStyle name="Tulostus 2 2 7 2_DataIX" xfId="35560" xr:uid="{00000000-0005-0000-0000-000080870000}"/>
    <cellStyle name="Tulostus 2 2 7 3" xfId="13491" xr:uid="{00000000-0005-0000-0000-000081870000}"/>
    <cellStyle name="Tulostus 2 2 7 4" xfId="26305" xr:uid="{00000000-0005-0000-0000-000082870000}"/>
    <cellStyle name="Tulostus 2 2 7 5" xfId="27418" xr:uid="{00000000-0005-0000-0000-000083870000}"/>
    <cellStyle name="Tulostus 2 2 7 6" xfId="27480" xr:uid="{00000000-0005-0000-0000-000084870000}"/>
    <cellStyle name="Tulostus 2 2 7_DataIX" xfId="35559" xr:uid="{00000000-0005-0000-0000-000085870000}"/>
    <cellStyle name="Tulostus 2 2 8" xfId="10749" xr:uid="{00000000-0005-0000-0000-000086870000}"/>
    <cellStyle name="Tulostus 2 2 8 2" xfId="21061" xr:uid="{00000000-0005-0000-0000-000087870000}"/>
    <cellStyle name="Tulostus 2 2 8 2 2" xfId="13451" xr:uid="{00000000-0005-0000-0000-000088870000}"/>
    <cellStyle name="Tulostus 2 2 8 2_DataIX" xfId="35562" xr:uid="{00000000-0005-0000-0000-000089870000}"/>
    <cellStyle name="Tulostus 2 2 8 3" xfId="13600" xr:uid="{00000000-0005-0000-0000-00008A870000}"/>
    <cellStyle name="Tulostus 2 2 8 4" xfId="25735" xr:uid="{00000000-0005-0000-0000-00008B870000}"/>
    <cellStyle name="Tulostus 2 2 8 5" xfId="27211" xr:uid="{00000000-0005-0000-0000-00008C870000}"/>
    <cellStyle name="Tulostus 2 2 8 6" xfId="26863" xr:uid="{00000000-0005-0000-0000-00008D870000}"/>
    <cellStyle name="Tulostus 2 2 8_DataIX" xfId="35561" xr:uid="{00000000-0005-0000-0000-00008E870000}"/>
    <cellStyle name="Tulostus 2 2 9" xfId="12802" xr:uid="{00000000-0005-0000-0000-00008F870000}"/>
    <cellStyle name="Tulostus 2 2 9 2" xfId="21095" xr:uid="{00000000-0005-0000-0000-000090870000}"/>
    <cellStyle name="Tulostus 2 2 9 2 2" xfId="21638" xr:uid="{00000000-0005-0000-0000-000091870000}"/>
    <cellStyle name="Tulostus 2 2 9 2_DataIX" xfId="35564" xr:uid="{00000000-0005-0000-0000-000092870000}"/>
    <cellStyle name="Tulostus 2 2 9 3" xfId="13481" xr:uid="{00000000-0005-0000-0000-000093870000}"/>
    <cellStyle name="Tulostus 2 2 9 4" xfId="26073" xr:uid="{00000000-0005-0000-0000-000094870000}"/>
    <cellStyle name="Tulostus 2 2 9 5" xfId="27317" xr:uid="{00000000-0005-0000-0000-000095870000}"/>
    <cellStyle name="Tulostus 2 2 9 6" xfId="26757" xr:uid="{00000000-0005-0000-0000-000096870000}"/>
    <cellStyle name="Tulostus 2 2 9_DataIX" xfId="35563" xr:uid="{00000000-0005-0000-0000-000097870000}"/>
    <cellStyle name="Tulostus 2 2_##Keskeiset" xfId="10474" xr:uid="{00000000-0005-0000-0000-000098870000}"/>
    <cellStyle name="Tulostus 2 20" xfId="27956" xr:uid="{00000000-0005-0000-0000-000099870000}"/>
    <cellStyle name="Tulostus 2 21" xfId="27997" xr:uid="{00000000-0005-0000-0000-00009A870000}"/>
    <cellStyle name="Tulostus 2 22" xfId="28090" xr:uid="{00000000-0005-0000-0000-00009B870000}"/>
    <cellStyle name="Tulostus 2 23" xfId="28135" xr:uid="{00000000-0005-0000-0000-00009C870000}"/>
    <cellStyle name="Tulostus 2 24" xfId="28150" xr:uid="{00000000-0005-0000-0000-00009D870000}"/>
    <cellStyle name="Tulostus 2 25" xfId="28289" xr:uid="{00000000-0005-0000-0000-00009E870000}"/>
    <cellStyle name="Tulostus 2 26" xfId="28366" xr:uid="{00000000-0005-0000-0000-00009F870000}"/>
    <cellStyle name="Tulostus 2 27" xfId="28454" xr:uid="{00000000-0005-0000-0000-0000A0870000}"/>
    <cellStyle name="Tulostus 2 28" xfId="28313" xr:uid="{00000000-0005-0000-0000-0000A1870000}"/>
    <cellStyle name="Tulostus 2 29" xfId="28745" xr:uid="{00000000-0005-0000-0000-0000A2870000}"/>
    <cellStyle name="Tulostus 2 3" xfId="277" xr:uid="{00000000-0005-0000-0000-0000A3870000}"/>
    <cellStyle name="Tulostus 2 3 10" xfId="13849" xr:uid="{00000000-0005-0000-0000-0000A4870000}"/>
    <cellStyle name="Tulostus 2 3 10 2" xfId="22022" xr:uid="{00000000-0005-0000-0000-0000A5870000}"/>
    <cellStyle name="Tulostus 2 3 10 3" xfId="25790" xr:uid="{00000000-0005-0000-0000-0000A6870000}"/>
    <cellStyle name="Tulostus 2 3 10 4" xfId="27231" xr:uid="{00000000-0005-0000-0000-0000A7870000}"/>
    <cellStyle name="Tulostus 2 3 10 5" xfId="23042" xr:uid="{00000000-0005-0000-0000-0000A8870000}"/>
    <cellStyle name="Tulostus 2 3 10_DataIX" xfId="35565" xr:uid="{00000000-0005-0000-0000-0000A9870000}"/>
    <cellStyle name="Tulostus 2 3 11" xfId="20609" xr:uid="{00000000-0005-0000-0000-0000AA870000}"/>
    <cellStyle name="Tulostus 2 3 11 2" xfId="13756" xr:uid="{00000000-0005-0000-0000-0000AB870000}"/>
    <cellStyle name="Tulostus 2 3 11 3" xfId="25968" xr:uid="{00000000-0005-0000-0000-0000AC870000}"/>
    <cellStyle name="Tulostus 2 3 11 4" xfId="27280" xr:uid="{00000000-0005-0000-0000-0000AD870000}"/>
    <cellStyle name="Tulostus 2 3 11 5" xfId="22826" xr:uid="{00000000-0005-0000-0000-0000AE870000}"/>
    <cellStyle name="Tulostus 2 3 11_DataIX" xfId="35566" xr:uid="{00000000-0005-0000-0000-0000AF870000}"/>
    <cellStyle name="Tulostus 2 3 12" xfId="13442" xr:uid="{00000000-0005-0000-0000-0000B0870000}"/>
    <cellStyle name="Tulostus 2 3 13" xfId="12715" xr:uid="{00000000-0005-0000-0000-0000B1870000}"/>
    <cellStyle name="Tulostus 2 3 14" xfId="22385" xr:uid="{00000000-0005-0000-0000-0000B2870000}"/>
    <cellStyle name="Tulostus 2 3 15" xfId="22534" xr:uid="{00000000-0005-0000-0000-0000B3870000}"/>
    <cellStyle name="Tulostus 2 3 16" xfId="22471" xr:uid="{00000000-0005-0000-0000-0000B4870000}"/>
    <cellStyle name="Tulostus 2 3 17" xfId="22420" xr:uid="{00000000-0005-0000-0000-0000B5870000}"/>
    <cellStyle name="Tulostus 2 3 18" xfId="23065" xr:uid="{00000000-0005-0000-0000-0000B6870000}"/>
    <cellStyle name="Tulostus 2 3 19" xfId="27959" xr:uid="{00000000-0005-0000-0000-0000B7870000}"/>
    <cellStyle name="Tulostus 2 3 2" xfId="5189" xr:uid="{00000000-0005-0000-0000-0000B8870000}"/>
    <cellStyle name="Tulostus 2 3 2 2" xfId="10478" xr:uid="{00000000-0005-0000-0000-0000B9870000}"/>
    <cellStyle name="Tulostus 2 3 2 3" xfId="18519" xr:uid="{00000000-0005-0000-0000-0000BA870000}"/>
    <cellStyle name="Tulostus 2 3 2 3 2" xfId="21765" xr:uid="{00000000-0005-0000-0000-0000BB870000}"/>
    <cellStyle name="Tulostus 2 3 2 3_DataIX" xfId="35568" xr:uid="{00000000-0005-0000-0000-0000BC870000}"/>
    <cellStyle name="Tulostus 2 3 2 4" xfId="20542" xr:uid="{00000000-0005-0000-0000-0000BD870000}"/>
    <cellStyle name="Tulostus 2 3 2 4 2" xfId="12760" xr:uid="{00000000-0005-0000-0000-0000BE870000}"/>
    <cellStyle name="Tulostus 2 3 2 4_DataIX" xfId="35569" xr:uid="{00000000-0005-0000-0000-0000BF870000}"/>
    <cellStyle name="Tulostus 2 3 2_DataIX" xfId="35567" xr:uid="{00000000-0005-0000-0000-0000C0870000}"/>
    <cellStyle name="Tulostus 2 3 20" xfId="27994" xr:uid="{00000000-0005-0000-0000-0000C1870000}"/>
    <cellStyle name="Tulostus 2 3 21" xfId="28088" xr:uid="{00000000-0005-0000-0000-0000C2870000}"/>
    <cellStyle name="Tulostus 2 3 22" xfId="28163" xr:uid="{00000000-0005-0000-0000-0000C3870000}"/>
    <cellStyle name="Tulostus 2 3 23" xfId="28172" xr:uid="{00000000-0005-0000-0000-0000C4870000}"/>
    <cellStyle name="Tulostus 2 3 24" xfId="28292" xr:uid="{00000000-0005-0000-0000-0000C5870000}"/>
    <cellStyle name="Tulostus 2 3 25" xfId="28363" xr:uid="{00000000-0005-0000-0000-0000C6870000}"/>
    <cellStyle name="Tulostus 2 3 26" xfId="28451" xr:uid="{00000000-0005-0000-0000-0000C7870000}"/>
    <cellStyle name="Tulostus 2 3 27" xfId="28310" xr:uid="{00000000-0005-0000-0000-0000C8870000}"/>
    <cellStyle name="Tulostus 2 3 28" xfId="28598" xr:uid="{00000000-0005-0000-0000-0000C9870000}"/>
    <cellStyle name="Tulostus 2 3 29" xfId="28895" xr:uid="{00000000-0005-0000-0000-0000CA870000}"/>
    <cellStyle name="Tulostus 2 3 3" xfId="5397" xr:uid="{00000000-0005-0000-0000-0000CB870000}"/>
    <cellStyle name="Tulostus 2 3 3 2" xfId="12940" xr:uid="{00000000-0005-0000-0000-0000CC870000}"/>
    <cellStyle name="Tulostus 2 3 3 3" xfId="18721" xr:uid="{00000000-0005-0000-0000-0000CD870000}"/>
    <cellStyle name="Tulostus 2 3 3 3 2" xfId="13494" xr:uid="{00000000-0005-0000-0000-0000CE870000}"/>
    <cellStyle name="Tulostus 2 3 3 3_DataIX" xfId="35571" xr:uid="{00000000-0005-0000-0000-0000CF870000}"/>
    <cellStyle name="Tulostus 2 3 3 4" xfId="20465" xr:uid="{00000000-0005-0000-0000-0000D0870000}"/>
    <cellStyle name="Tulostus 2 3 3 4 2" xfId="10995" xr:uid="{00000000-0005-0000-0000-0000D1870000}"/>
    <cellStyle name="Tulostus 2 3 3 4_DataIX" xfId="35572" xr:uid="{00000000-0005-0000-0000-0000D2870000}"/>
    <cellStyle name="Tulostus 2 3 3_DataIX" xfId="35570" xr:uid="{00000000-0005-0000-0000-0000D3870000}"/>
    <cellStyle name="Tulostus 2 3 30" xfId="28673" xr:uid="{00000000-0005-0000-0000-0000D4870000}"/>
    <cellStyle name="Tulostus 2 3 31" xfId="28825" xr:uid="{00000000-0005-0000-0000-0000D5870000}"/>
    <cellStyle name="Tulostus 2 3 32" xfId="29094" xr:uid="{00000000-0005-0000-0000-0000D6870000}"/>
    <cellStyle name="Tulostus 2 3 33" xfId="29124" xr:uid="{00000000-0005-0000-0000-0000D7870000}"/>
    <cellStyle name="Tulostus 2 3 4" xfId="13272" xr:uid="{00000000-0005-0000-0000-0000D8870000}"/>
    <cellStyle name="Tulostus 2 3 4 2" xfId="20861" xr:uid="{00000000-0005-0000-0000-0000D9870000}"/>
    <cellStyle name="Tulostus 2 3 4 2 2" xfId="10997" xr:uid="{00000000-0005-0000-0000-0000DA870000}"/>
    <cellStyle name="Tulostus 2 3 4 2_DataIX" xfId="35574" xr:uid="{00000000-0005-0000-0000-0000DB870000}"/>
    <cellStyle name="Tulostus 2 3 4 3" xfId="21249" xr:uid="{00000000-0005-0000-0000-0000DC870000}"/>
    <cellStyle name="Tulostus 2 3 4 3 2" xfId="12562" xr:uid="{00000000-0005-0000-0000-0000DD870000}"/>
    <cellStyle name="Tulostus 2 3 4 3_DataIX" xfId="35575" xr:uid="{00000000-0005-0000-0000-0000DE870000}"/>
    <cellStyle name="Tulostus 2 3 4 4" xfId="13517" xr:uid="{00000000-0005-0000-0000-0000DF870000}"/>
    <cellStyle name="Tulostus 2 3 4 5" xfId="25233" xr:uid="{00000000-0005-0000-0000-0000E0870000}"/>
    <cellStyle name="Tulostus 2 3 4 6" xfId="27011" xr:uid="{00000000-0005-0000-0000-0000E1870000}"/>
    <cellStyle name="Tulostus 2 3 4 7" xfId="27149" xr:uid="{00000000-0005-0000-0000-0000E2870000}"/>
    <cellStyle name="Tulostus 2 3 4_DataIX" xfId="35573" xr:uid="{00000000-0005-0000-0000-0000E3870000}"/>
    <cellStyle name="Tulostus 2 3 5" xfId="13171" xr:uid="{00000000-0005-0000-0000-0000E4870000}"/>
    <cellStyle name="Tulostus 2 3 5 2" xfId="20802" xr:uid="{00000000-0005-0000-0000-0000E5870000}"/>
    <cellStyle name="Tulostus 2 3 5 2 2" xfId="20704" xr:uid="{00000000-0005-0000-0000-0000E6870000}"/>
    <cellStyle name="Tulostus 2 3 5 2_DataIX" xfId="35577" xr:uid="{00000000-0005-0000-0000-0000E7870000}"/>
    <cellStyle name="Tulostus 2 3 5 3" xfId="21171" xr:uid="{00000000-0005-0000-0000-0000E8870000}"/>
    <cellStyle name="Tulostus 2 3 5 3 2" xfId="11196" xr:uid="{00000000-0005-0000-0000-0000E9870000}"/>
    <cellStyle name="Tulostus 2 3 5 3_DataIX" xfId="35578" xr:uid="{00000000-0005-0000-0000-0000EA870000}"/>
    <cellStyle name="Tulostus 2 3 5 4" xfId="10817" xr:uid="{00000000-0005-0000-0000-0000EB870000}"/>
    <cellStyle name="Tulostus 2 3 5 5" xfId="26109" xr:uid="{00000000-0005-0000-0000-0000EC870000}"/>
    <cellStyle name="Tulostus 2 3 5 6" xfId="27328" xr:uid="{00000000-0005-0000-0000-0000ED870000}"/>
    <cellStyle name="Tulostus 2 3 5 7" xfId="23018" xr:uid="{00000000-0005-0000-0000-0000EE870000}"/>
    <cellStyle name="Tulostus 2 3 5_DataIX" xfId="35576" xr:uid="{00000000-0005-0000-0000-0000EF870000}"/>
    <cellStyle name="Tulostus 2 3 6" xfId="13131" xr:uid="{00000000-0005-0000-0000-0000F0870000}"/>
    <cellStyle name="Tulostus 2 3 6 2" xfId="21140" xr:uid="{00000000-0005-0000-0000-0000F1870000}"/>
    <cellStyle name="Tulostus 2 3 6 2 2" xfId="11069" xr:uid="{00000000-0005-0000-0000-0000F2870000}"/>
    <cellStyle name="Tulostus 2 3 6 2_DataIX" xfId="35580" xr:uid="{00000000-0005-0000-0000-0000F3870000}"/>
    <cellStyle name="Tulostus 2 3 6 3" xfId="20684" xr:uid="{00000000-0005-0000-0000-0000F4870000}"/>
    <cellStyle name="Tulostus 2 3 6 4" xfId="26562" xr:uid="{00000000-0005-0000-0000-0000F5870000}"/>
    <cellStyle name="Tulostus 2 3 6 5" xfId="27524" xr:uid="{00000000-0005-0000-0000-0000F6870000}"/>
    <cellStyle name="Tulostus 2 3 6 6" xfId="27625" xr:uid="{00000000-0005-0000-0000-0000F7870000}"/>
    <cellStyle name="Tulostus 2 3 6_DataIX" xfId="35579" xr:uid="{00000000-0005-0000-0000-0000F8870000}"/>
    <cellStyle name="Tulostus 2 3 7" xfId="10751" xr:uid="{00000000-0005-0000-0000-0000F9870000}"/>
    <cellStyle name="Tulostus 2 3 7 2" xfId="21063" xr:uid="{00000000-0005-0000-0000-0000FA870000}"/>
    <cellStyle name="Tulostus 2 3 7 2 2" xfId="13484" xr:uid="{00000000-0005-0000-0000-0000FB870000}"/>
    <cellStyle name="Tulostus 2 3 7 2_DataIX" xfId="35582" xr:uid="{00000000-0005-0000-0000-0000FC870000}"/>
    <cellStyle name="Tulostus 2 3 7 3" xfId="21529" xr:uid="{00000000-0005-0000-0000-0000FD870000}"/>
    <cellStyle name="Tulostus 2 3 7 4" xfId="26430" xr:uid="{00000000-0005-0000-0000-0000FE870000}"/>
    <cellStyle name="Tulostus 2 3 7 5" xfId="27468" xr:uid="{00000000-0005-0000-0000-0000FF870000}"/>
    <cellStyle name="Tulostus 2 3 7 6" xfId="26838" xr:uid="{00000000-0005-0000-0000-000000880000}"/>
    <cellStyle name="Tulostus 2 3 7_DataIX" xfId="35581" xr:uid="{00000000-0005-0000-0000-000001880000}"/>
    <cellStyle name="Tulostus 2 3 8" xfId="11137" xr:uid="{00000000-0005-0000-0000-000002880000}"/>
    <cellStyle name="Tulostus 2 3 8 2" xfId="21076" xr:uid="{00000000-0005-0000-0000-000003880000}"/>
    <cellStyle name="Tulostus 2 3 8 2 2" xfId="11074" xr:uid="{00000000-0005-0000-0000-000004880000}"/>
    <cellStyle name="Tulostus 2 3 8 2_DataIX" xfId="35584" xr:uid="{00000000-0005-0000-0000-000005880000}"/>
    <cellStyle name="Tulostus 2 3 8 3" xfId="20613" xr:uid="{00000000-0005-0000-0000-000006880000}"/>
    <cellStyle name="Tulostus 2 3 8 4" xfId="26551" xr:uid="{00000000-0005-0000-0000-000007880000}"/>
    <cellStyle name="Tulostus 2 3 8 5" xfId="27521" xr:uid="{00000000-0005-0000-0000-000008880000}"/>
    <cellStyle name="Tulostus 2 3 8 6" xfId="27609" xr:uid="{00000000-0005-0000-0000-000009880000}"/>
    <cellStyle name="Tulostus 2 3 8_DataIX" xfId="35583" xr:uid="{00000000-0005-0000-0000-00000A880000}"/>
    <cellStyle name="Tulostus 2 3 9" xfId="13754" xr:uid="{00000000-0005-0000-0000-00000B880000}"/>
    <cellStyle name="Tulostus 2 3 9 2" xfId="21378" xr:uid="{00000000-0005-0000-0000-00000C880000}"/>
    <cellStyle name="Tulostus 2 3 9 2 2" xfId="22276" xr:uid="{00000000-0005-0000-0000-00000D880000}"/>
    <cellStyle name="Tulostus 2 3 9 2_DataIX" xfId="35586" xr:uid="{00000000-0005-0000-0000-00000E880000}"/>
    <cellStyle name="Tulostus 2 3 9 3" xfId="13740" xr:uid="{00000000-0005-0000-0000-00000F880000}"/>
    <cellStyle name="Tulostus 2 3 9 4" xfId="25253" xr:uid="{00000000-0005-0000-0000-000010880000}"/>
    <cellStyle name="Tulostus 2 3 9 5" xfId="27021" xr:uid="{00000000-0005-0000-0000-000011880000}"/>
    <cellStyle name="Tulostus 2 3 9 6" xfId="26791" xr:uid="{00000000-0005-0000-0000-000012880000}"/>
    <cellStyle name="Tulostus 2 3 9_DataIX" xfId="35585" xr:uid="{00000000-0005-0000-0000-000013880000}"/>
    <cellStyle name="Tulostus 2 3_##Keskeiset" xfId="10477" xr:uid="{00000000-0005-0000-0000-000014880000}"/>
    <cellStyle name="Tulostus 2 30" xfId="28898" xr:uid="{00000000-0005-0000-0000-000015880000}"/>
    <cellStyle name="Tulostus 2 31" xfId="28675" xr:uid="{00000000-0005-0000-0000-000016880000}"/>
    <cellStyle name="Tulostus 2 32" xfId="28827" xr:uid="{00000000-0005-0000-0000-000017880000}"/>
    <cellStyle name="Tulostus 2 33" xfId="29091" xr:uid="{00000000-0005-0000-0000-000018880000}"/>
    <cellStyle name="Tulostus 2 34" xfId="29127" xr:uid="{00000000-0005-0000-0000-000019880000}"/>
    <cellStyle name="Tulostus 2 4" xfId="5119" xr:uid="{00000000-0005-0000-0000-00001A880000}"/>
    <cellStyle name="Tulostus 2 4 2" xfId="5712" xr:uid="{00000000-0005-0000-0000-00001B880000}"/>
    <cellStyle name="Tulostus 2 4 2 2" xfId="12941" xr:uid="{00000000-0005-0000-0000-00001C880000}"/>
    <cellStyle name="Tulostus 2 4 2 3" xfId="18924" xr:uid="{00000000-0005-0000-0000-00001D880000}"/>
    <cellStyle name="Tulostus 2 4 2 3 2" xfId="21759" xr:uid="{00000000-0005-0000-0000-00001E880000}"/>
    <cellStyle name="Tulostus 2 4 2 3_DataIX" xfId="35589" xr:uid="{00000000-0005-0000-0000-00001F880000}"/>
    <cellStyle name="Tulostus 2 4 2 4" xfId="20417" xr:uid="{00000000-0005-0000-0000-000020880000}"/>
    <cellStyle name="Tulostus 2 4 2 4 2" xfId="13664" xr:uid="{00000000-0005-0000-0000-000021880000}"/>
    <cellStyle name="Tulostus 2 4 2 4_DataIX" xfId="35590" xr:uid="{00000000-0005-0000-0000-000022880000}"/>
    <cellStyle name="Tulostus 2 4 2_DataIX" xfId="35588" xr:uid="{00000000-0005-0000-0000-000023880000}"/>
    <cellStyle name="Tulostus 2 4 3" xfId="10548" xr:uid="{00000000-0005-0000-0000-000024880000}"/>
    <cellStyle name="Tulostus 2 4 3 2" xfId="12942" xr:uid="{00000000-0005-0000-0000-000025880000}"/>
    <cellStyle name="Tulostus 2 4 3 3" xfId="20330" xr:uid="{00000000-0005-0000-0000-000026880000}"/>
    <cellStyle name="Tulostus 2 4 3 3 2" xfId="12950" xr:uid="{00000000-0005-0000-0000-000027880000}"/>
    <cellStyle name="Tulostus 2 4 3 3_DataIX" xfId="35592" xr:uid="{00000000-0005-0000-0000-000028880000}"/>
    <cellStyle name="Tulostus 2 4 3 4" xfId="20970" xr:uid="{00000000-0005-0000-0000-000029880000}"/>
    <cellStyle name="Tulostus 2 4 3 4 2" xfId="22059" xr:uid="{00000000-0005-0000-0000-00002A880000}"/>
    <cellStyle name="Tulostus 2 4 3 4_DataIX" xfId="35593" xr:uid="{00000000-0005-0000-0000-00002B880000}"/>
    <cellStyle name="Tulostus 2 4 3_DataIX" xfId="35591" xr:uid="{00000000-0005-0000-0000-00002C880000}"/>
    <cellStyle name="Tulostus 2 4 4" xfId="11188" xr:uid="{00000000-0005-0000-0000-00002D880000}"/>
    <cellStyle name="Tulostus 2 4 5" xfId="18458" xr:uid="{00000000-0005-0000-0000-00002E880000}"/>
    <cellStyle name="Tulostus 2 4_DataIX" xfId="35587" xr:uid="{00000000-0005-0000-0000-00002F880000}"/>
    <cellStyle name="Tulostus 2 5" xfId="5290" xr:uid="{00000000-0005-0000-0000-000030880000}"/>
    <cellStyle name="Tulostus 2 5 2" xfId="10479" xr:uid="{00000000-0005-0000-0000-000031880000}"/>
    <cellStyle name="Tulostus 2 5 3" xfId="18614" xr:uid="{00000000-0005-0000-0000-000032880000}"/>
    <cellStyle name="Tulostus 2 5_DataIX" xfId="35594" xr:uid="{00000000-0005-0000-0000-000033880000}"/>
    <cellStyle name="Tulostus 2 6" xfId="3869" xr:uid="{00000000-0005-0000-0000-000034880000}"/>
    <cellStyle name="Tulostus 2 6 2" xfId="10480" xr:uid="{00000000-0005-0000-0000-000035880000}"/>
    <cellStyle name="Tulostus 2 6 3" xfId="17220" xr:uid="{00000000-0005-0000-0000-000036880000}"/>
    <cellStyle name="Tulostus 2 6_DataIX" xfId="35595" xr:uid="{00000000-0005-0000-0000-000037880000}"/>
    <cellStyle name="Tulostus 2 7" xfId="5289" xr:uid="{00000000-0005-0000-0000-000038880000}"/>
    <cellStyle name="Tulostus 2 7 2" xfId="10481" xr:uid="{00000000-0005-0000-0000-000039880000}"/>
    <cellStyle name="Tulostus 2 7 3" xfId="18613" xr:uid="{00000000-0005-0000-0000-00003A880000}"/>
    <cellStyle name="Tulostus 2 7_DataIX" xfId="35596" xr:uid="{00000000-0005-0000-0000-00003B880000}"/>
    <cellStyle name="Tulostus 2 8" xfId="5192" xr:uid="{00000000-0005-0000-0000-00003C880000}"/>
    <cellStyle name="Tulostus 2 8 2" xfId="10482" xr:uid="{00000000-0005-0000-0000-00003D880000}"/>
    <cellStyle name="Tulostus 2 8 3" xfId="18522" xr:uid="{00000000-0005-0000-0000-00003E880000}"/>
    <cellStyle name="Tulostus 2 8 3 2" xfId="22202" xr:uid="{00000000-0005-0000-0000-00003F880000}"/>
    <cellStyle name="Tulostus 2 8 3_DataIX" xfId="35598" xr:uid="{00000000-0005-0000-0000-000040880000}"/>
    <cellStyle name="Tulostus 2 8 4" xfId="19062" xr:uid="{00000000-0005-0000-0000-000041880000}"/>
    <cellStyle name="Tulostus 2 8 4 2" xfId="21974" xr:uid="{00000000-0005-0000-0000-000042880000}"/>
    <cellStyle name="Tulostus 2 8 4_DataIX" xfId="35599" xr:uid="{00000000-0005-0000-0000-000043880000}"/>
    <cellStyle name="Tulostus 2 8_DataIX" xfId="35597" xr:uid="{00000000-0005-0000-0000-000044880000}"/>
    <cellStyle name="Tulostus 2 9" xfId="5295" xr:uid="{00000000-0005-0000-0000-000045880000}"/>
    <cellStyle name="Tulostus 2 9 2" xfId="10483" xr:uid="{00000000-0005-0000-0000-000046880000}"/>
    <cellStyle name="Tulostus 2 9 3" xfId="18619" xr:uid="{00000000-0005-0000-0000-000047880000}"/>
    <cellStyle name="Tulostus 2 9_DataIX" xfId="35600" xr:uid="{00000000-0005-0000-0000-000048880000}"/>
    <cellStyle name="Tulostus 2_##Keskeiset" xfId="10473" xr:uid="{00000000-0005-0000-0000-000049880000}"/>
    <cellStyle name="Tulostus 3" xfId="248" xr:uid="{00000000-0005-0000-0000-00004A880000}"/>
    <cellStyle name="Tulostus 3 10" xfId="13826" xr:uid="{00000000-0005-0000-0000-00004B880000}"/>
    <cellStyle name="Tulostus 3 10 2" xfId="21459" xr:uid="{00000000-0005-0000-0000-00004C880000}"/>
    <cellStyle name="Tulostus 3 10 3" xfId="25396" xr:uid="{00000000-0005-0000-0000-00004D880000}"/>
    <cellStyle name="Tulostus 3 10 4" xfId="27086" xr:uid="{00000000-0005-0000-0000-00004E880000}"/>
    <cellStyle name="Tulostus 3 10 5" xfId="23066" xr:uid="{00000000-0005-0000-0000-00004F880000}"/>
    <cellStyle name="Tulostus 3 10_DataIX" xfId="35601" xr:uid="{00000000-0005-0000-0000-000050880000}"/>
    <cellStyle name="Tulostus 3 11" xfId="20304" xr:uid="{00000000-0005-0000-0000-000051880000}"/>
    <cellStyle name="Tulostus 3 11 2" xfId="10982" xr:uid="{00000000-0005-0000-0000-000052880000}"/>
    <cellStyle name="Tulostus 3 11 3" xfId="26411" xr:uid="{00000000-0005-0000-0000-000053880000}"/>
    <cellStyle name="Tulostus 3 11 4" xfId="27461" xr:uid="{00000000-0005-0000-0000-000054880000}"/>
    <cellStyle name="Tulostus 3 11 5" xfId="26783" xr:uid="{00000000-0005-0000-0000-000055880000}"/>
    <cellStyle name="Tulostus 3 11_DataIX" xfId="35602" xr:uid="{00000000-0005-0000-0000-000056880000}"/>
    <cellStyle name="Tulostus 3 12" xfId="13717" xr:uid="{00000000-0005-0000-0000-000057880000}"/>
    <cellStyle name="Tulostus 3 13" xfId="22386" xr:uid="{00000000-0005-0000-0000-000058880000}"/>
    <cellStyle name="Tulostus 3 14" xfId="22533" xr:uid="{00000000-0005-0000-0000-000059880000}"/>
    <cellStyle name="Tulostus 3 15" xfId="22470" xr:uid="{00000000-0005-0000-0000-00005A880000}"/>
    <cellStyle name="Tulostus 3 16" xfId="22421" xr:uid="{00000000-0005-0000-0000-00005B880000}"/>
    <cellStyle name="Tulostus 3 17" xfId="22990" xr:uid="{00000000-0005-0000-0000-00005C880000}"/>
    <cellStyle name="Tulostus 3 18" xfId="27960" xr:uid="{00000000-0005-0000-0000-00005D880000}"/>
    <cellStyle name="Tulostus 3 19" xfId="27993" xr:uid="{00000000-0005-0000-0000-00005E880000}"/>
    <cellStyle name="Tulostus 3 2" xfId="306" xr:uid="{00000000-0005-0000-0000-00005F880000}"/>
    <cellStyle name="Tulostus 3 2 10" xfId="22387" xr:uid="{00000000-0005-0000-0000-000060880000}"/>
    <cellStyle name="Tulostus 3 2 10 2" xfId="26607" xr:uid="{00000000-0005-0000-0000-000061880000}"/>
    <cellStyle name="Tulostus 3 2 10 3" xfId="27550" xr:uid="{00000000-0005-0000-0000-000062880000}"/>
    <cellStyle name="Tulostus 3 2 10 4" xfId="23001" xr:uid="{00000000-0005-0000-0000-000063880000}"/>
    <cellStyle name="Tulostus 3 2 10_DataIX" xfId="35603" xr:uid="{00000000-0005-0000-0000-000064880000}"/>
    <cellStyle name="Tulostus 3 2 11" xfId="22532" xr:uid="{00000000-0005-0000-0000-000065880000}"/>
    <cellStyle name="Tulostus 3 2 11 2" xfId="26374" xr:uid="{00000000-0005-0000-0000-000066880000}"/>
    <cellStyle name="Tulostus 3 2 11 3" xfId="27448" xr:uid="{00000000-0005-0000-0000-000067880000}"/>
    <cellStyle name="Tulostus 3 2 11 4" xfId="23148" xr:uid="{00000000-0005-0000-0000-000068880000}"/>
    <cellStyle name="Tulostus 3 2 11_DataIX" xfId="35604" xr:uid="{00000000-0005-0000-0000-000069880000}"/>
    <cellStyle name="Tulostus 3 2 12" xfId="22707" xr:uid="{00000000-0005-0000-0000-00006A880000}"/>
    <cellStyle name="Tulostus 3 2 13" xfId="22459" xr:uid="{00000000-0005-0000-0000-00006B880000}"/>
    <cellStyle name="Tulostus 3 2 14" xfId="27623" xr:uid="{00000000-0005-0000-0000-00006C880000}"/>
    <cellStyle name="Tulostus 3 2 15" xfId="27961" xr:uid="{00000000-0005-0000-0000-00006D880000}"/>
    <cellStyle name="Tulostus 3 2 16" xfId="27910" xr:uid="{00000000-0005-0000-0000-00006E880000}"/>
    <cellStyle name="Tulostus 3 2 17" xfId="28294" xr:uid="{00000000-0005-0000-0000-00006F880000}"/>
    <cellStyle name="Tulostus 3 2 18" xfId="28741" xr:uid="{00000000-0005-0000-0000-000070880000}"/>
    <cellStyle name="Tulostus 3 2 19" xfId="28671" xr:uid="{00000000-0005-0000-0000-000071880000}"/>
    <cellStyle name="Tulostus 3 2 2" xfId="5188" xr:uid="{00000000-0005-0000-0000-000072880000}"/>
    <cellStyle name="Tulostus 3 2 2 2" xfId="5713" xr:uid="{00000000-0005-0000-0000-000073880000}"/>
    <cellStyle name="Tulostus 3 2 2 2 2" xfId="12943" xr:uid="{00000000-0005-0000-0000-000074880000}"/>
    <cellStyle name="Tulostus 3 2 2 2 3" xfId="18925" xr:uid="{00000000-0005-0000-0000-000075880000}"/>
    <cellStyle name="Tulostus 3 2 2 2 3 2" xfId="10939" xr:uid="{00000000-0005-0000-0000-000076880000}"/>
    <cellStyle name="Tulostus 3 2 2 2 3_DataIX" xfId="35607" xr:uid="{00000000-0005-0000-0000-000077880000}"/>
    <cellStyle name="Tulostus 3 2 2 2 4" xfId="18932" xr:uid="{00000000-0005-0000-0000-000078880000}"/>
    <cellStyle name="Tulostus 3 2 2 2 4 2" xfId="13768" xr:uid="{00000000-0005-0000-0000-000079880000}"/>
    <cellStyle name="Tulostus 3 2 2 2 4_DataIX" xfId="35608" xr:uid="{00000000-0005-0000-0000-00007A880000}"/>
    <cellStyle name="Tulostus 3 2 2 2_DataIX" xfId="35606" xr:uid="{00000000-0005-0000-0000-00007B880000}"/>
    <cellStyle name="Tulostus 3 2 2 3" xfId="11189" xr:uid="{00000000-0005-0000-0000-00007C880000}"/>
    <cellStyle name="Tulostus 3 2 2 4" xfId="18518" xr:uid="{00000000-0005-0000-0000-00007D880000}"/>
    <cellStyle name="Tulostus 3 2 2 4 2" xfId="21946" xr:uid="{00000000-0005-0000-0000-00007E880000}"/>
    <cellStyle name="Tulostus 3 2 2 4_DataIX" xfId="35609" xr:uid="{00000000-0005-0000-0000-00007F880000}"/>
    <cellStyle name="Tulostus 3 2 2 5" xfId="19064" xr:uid="{00000000-0005-0000-0000-000080880000}"/>
    <cellStyle name="Tulostus 3 2 2 5 2" xfId="20958" xr:uid="{00000000-0005-0000-0000-000081880000}"/>
    <cellStyle name="Tulostus 3 2 2 5_DataIX" xfId="35610" xr:uid="{00000000-0005-0000-0000-000082880000}"/>
    <cellStyle name="Tulostus 3 2 2_DataIX" xfId="35605" xr:uid="{00000000-0005-0000-0000-000083880000}"/>
    <cellStyle name="Tulostus 3 2 20" xfId="29096" xr:uid="{00000000-0005-0000-0000-000084880000}"/>
    <cellStyle name="Tulostus 3 2 21" xfId="28998" xr:uid="{00000000-0005-0000-0000-000085880000}"/>
    <cellStyle name="Tulostus 3 2 3" xfId="5399" xr:uid="{00000000-0005-0000-0000-000086880000}"/>
    <cellStyle name="Tulostus 3 2 3 2" xfId="12944" xr:uid="{00000000-0005-0000-0000-000087880000}"/>
    <cellStyle name="Tulostus 3 2 3 3" xfId="18723" xr:uid="{00000000-0005-0000-0000-000088880000}"/>
    <cellStyle name="Tulostus 3 2 3 3 2" xfId="20682" xr:uid="{00000000-0005-0000-0000-000089880000}"/>
    <cellStyle name="Tulostus 3 2 3 3_DataIX" xfId="35612" xr:uid="{00000000-0005-0000-0000-00008A880000}"/>
    <cellStyle name="Tulostus 3 2 3 4" xfId="20466" xr:uid="{00000000-0005-0000-0000-00008B880000}"/>
    <cellStyle name="Tulostus 3 2 3 4 2" xfId="21483" xr:uid="{00000000-0005-0000-0000-00008C880000}"/>
    <cellStyle name="Tulostus 3 2 3 4_DataIX" xfId="35613" xr:uid="{00000000-0005-0000-0000-00008D880000}"/>
    <cellStyle name="Tulostus 3 2 3_DataIX" xfId="35611" xr:uid="{00000000-0005-0000-0000-00008E880000}"/>
    <cellStyle name="Tulostus 3 2 4" xfId="13271" xr:uid="{00000000-0005-0000-0000-00008F880000}"/>
    <cellStyle name="Tulostus 3 2 4 2" xfId="20860" xr:uid="{00000000-0005-0000-0000-000090880000}"/>
    <cellStyle name="Tulostus 3 2 4 2 2" xfId="12714" xr:uid="{00000000-0005-0000-0000-000091880000}"/>
    <cellStyle name="Tulostus 3 2 4 2_DataIX" xfId="35615" xr:uid="{00000000-0005-0000-0000-000092880000}"/>
    <cellStyle name="Tulostus 3 2 4 3" xfId="21248" xr:uid="{00000000-0005-0000-0000-000093880000}"/>
    <cellStyle name="Tulostus 3 2 4 3 2" xfId="12556" xr:uid="{00000000-0005-0000-0000-000094880000}"/>
    <cellStyle name="Tulostus 3 2 4 3_DataIX" xfId="35616" xr:uid="{00000000-0005-0000-0000-000095880000}"/>
    <cellStyle name="Tulostus 3 2 4 4" xfId="11269" xr:uid="{00000000-0005-0000-0000-000096880000}"/>
    <cellStyle name="Tulostus 3 2 4 5" xfId="25235" xr:uid="{00000000-0005-0000-0000-000097880000}"/>
    <cellStyle name="Tulostus 3 2 4 6" xfId="27013" xr:uid="{00000000-0005-0000-0000-000098880000}"/>
    <cellStyle name="Tulostus 3 2 4 7" xfId="23120" xr:uid="{00000000-0005-0000-0000-000099880000}"/>
    <cellStyle name="Tulostus 3 2 4_DataIX" xfId="35614" xr:uid="{00000000-0005-0000-0000-00009A880000}"/>
    <cellStyle name="Tulostus 3 2 5" xfId="13235" xr:uid="{00000000-0005-0000-0000-00009B880000}"/>
    <cellStyle name="Tulostus 3 2 5 2" xfId="20845" xr:uid="{00000000-0005-0000-0000-00009C880000}"/>
    <cellStyle name="Tulostus 3 2 5 2 2" xfId="13666" xr:uid="{00000000-0005-0000-0000-00009D880000}"/>
    <cellStyle name="Tulostus 3 2 5 2_DataIX" xfId="35618" xr:uid="{00000000-0005-0000-0000-00009E880000}"/>
    <cellStyle name="Tulostus 3 2 5 3" xfId="21221" xr:uid="{00000000-0005-0000-0000-00009F880000}"/>
    <cellStyle name="Tulostus 3 2 5 3 2" xfId="13583" xr:uid="{00000000-0005-0000-0000-0000A0880000}"/>
    <cellStyle name="Tulostus 3 2 5 3_DataIX" xfId="35619" xr:uid="{00000000-0005-0000-0000-0000A1880000}"/>
    <cellStyle name="Tulostus 3 2 5 4" xfId="13793" xr:uid="{00000000-0005-0000-0000-0000A2880000}"/>
    <cellStyle name="Tulostus 3 2 5 5" xfId="26108" xr:uid="{00000000-0005-0000-0000-0000A3880000}"/>
    <cellStyle name="Tulostus 3 2 5 6" xfId="27327" xr:uid="{00000000-0005-0000-0000-0000A4880000}"/>
    <cellStyle name="Tulostus 3 2 5 7" xfId="22765" xr:uid="{00000000-0005-0000-0000-0000A5880000}"/>
    <cellStyle name="Tulostus 3 2 5_DataIX" xfId="35617" xr:uid="{00000000-0005-0000-0000-0000A6880000}"/>
    <cellStyle name="Tulostus 3 2 6" xfId="13238" xr:uid="{00000000-0005-0000-0000-0000A7880000}"/>
    <cellStyle name="Tulostus 3 2 6 2" xfId="21224" xr:uid="{00000000-0005-0000-0000-0000A8880000}"/>
    <cellStyle name="Tulostus 3 2 6 2 2" xfId="22068" xr:uid="{00000000-0005-0000-0000-0000A9880000}"/>
    <cellStyle name="Tulostus 3 2 6 2_DataIX" xfId="35621" xr:uid="{00000000-0005-0000-0000-0000AA880000}"/>
    <cellStyle name="Tulostus 3 2 6 3" xfId="13438" xr:uid="{00000000-0005-0000-0000-0000AB880000}"/>
    <cellStyle name="Tulostus 3 2 6 4" xfId="25779" xr:uid="{00000000-0005-0000-0000-0000AC880000}"/>
    <cellStyle name="Tulostus 3 2 6 5" xfId="27226" xr:uid="{00000000-0005-0000-0000-0000AD880000}"/>
    <cellStyle name="Tulostus 3 2 6 6" xfId="22891" xr:uid="{00000000-0005-0000-0000-0000AE880000}"/>
    <cellStyle name="Tulostus 3 2 6_DataIX" xfId="35620" xr:uid="{00000000-0005-0000-0000-0000AF880000}"/>
    <cellStyle name="Tulostus 3 2 7" xfId="13871" xr:uid="{00000000-0005-0000-0000-0000B0880000}"/>
    <cellStyle name="Tulostus 3 2 7 2" xfId="20635" xr:uid="{00000000-0005-0000-0000-0000B1880000}"/>
    <cellStyle name="Tulostus 3 2 7 3" xfId="26453" xr:uid="{00000000-0005-0000-0000-0000B2880000}"/>
    <cellStyle name="Tulostus 3 2 7 4" xfId="27478" xr:uid="{00000000-0005-0000-0000-0000B3880000}"/>
    <cellStyle name="Tulostus 3 2 7 5" xfId="22919" xr:uid="{00000000-0005-0000-0000-0000B4880000}"/>
    <cellStyle name="Tulostus 3 2 7_DataIX" xfId="35622" xr:uid="{00000000-0005-0000-0000-0000B5880000}"/>
    <cellStyle name="Tulostus 3 2 8" xfId="20286" xr:uid="{00000000-0005-0000-0000-0000B6880000}"/>
    <cellStyle name="Tulostus 3 2 8 2" xfId="22102" xr:uid="{00000000-0005-0000-0000-0000B7880000}"/>
    <cellStyle name="Tulostus 3 2 8 3" xfId="25291" xr:uid="{00000000-0005-0000-0000-0000B8880000}"/>
    <cellStyle name="Tulostus 3 2 8 4" xfId="27038" xr:uid="{00000000-0005-0000-0000-0000B9880000}"/>
    <cellStyle name="Tulostus 3 2 8 5" xfId="26790" xr:uid="{00000000-0005-0000-0000-0000BA880000}"/>
    <cellStyle name="Tulostus 3 2 8_DataIX" xfId="35623" xr:uid="{00000000-0005-0000-0000-0000BB880000}"/>
    <cellStyle name="Tulostus 3 2 9" xfId="13521" xr:uid="{00000000-0005-0000-0000-0000BC880000}"/>
    <cellStyle name="Tulostus 3 2 9 2" xfId="25893" xr:uid="{00000000-0005-0000-0000-0000BD880000}"/>
    <cellStyle name="Tulostus 3 2 9 3" xfId="27259" xr:uid="{00000000-0005-0000-0000-0000BE880000}"/>
    <cellStyle name="Tulostus 3 2 9 4" xfId="22892" xr:uid="{00000000-0005-0000-0000-0000BF880000}"/>
    <cellStyle name="Tulostus 3 2 9_DataIX" xfId="35624" xr:uid="{00000000-0005-0000-0000-0000C0880000}"/>
    <cellStyle name="Tulostus 3 2_##Keskeiset" xfId="10485" xr:uid="{00000000-0005-0000-0000-0000C1880000}"/>
    <cellStyle name="Tulostus 3 20" xfId="28293" xr:uid="{00000000-0005-0000-0000-0000C2880000}"/>
    <cellStyle name="Tulostus 3 21" xfId="28742" xr:uid="{00000000-0005-0000-0000-0000C3880000}"/>
    <cellStyle name="Tulostus 3 22" xfId="28672" xr:uid="{00000000-0005-0000-0000-0000C4880000}"/>
    <cellStyle name="Tulostus 3 23" xfId="29095" xr:uid="{00000000-0005-0000-0000-0000C5880000}"/>
    <cellStyle name="Tulostus 3 24" xfId="29045" xr:uid="{00000000-0005-0000-0000-0000C6880000}"/>
    <cellStyle name="Tulostus 3 3" xfId="276" xr:uid="{00000000-0005-0000-0000-0000C7880000}"/>
    <cellStyle name="Tulostus 3 3 10" xfId="13848" xr:uid="{00000000-0005-0000-0000-0000C8880000}"/>
    <cellStyle name="Tulostus 3 3 10 2" xfId="12690" xr:uid="{00000000-0005-0000-0000-0000C9880000}"/>
    <cellStyle name="Tulostus 3 3 10 3" xfId="25847" xr:uid="{00000000-0005-0000-0000-0000CA880000}"/>
    <cellStyle name="Tulostus 3 3 10 4" xfId="27245" xr:uid="{00000000-0005-0000-0000-0000CB880000}"/>
    <cellStyle name="Tulostus 3 3 10 5" xfId="25507" xr:uid="{00000000-0005-0000-0000-0000CC880000}"/>
    <cellStyle name="Tulostus 3 3 10_DataIX" xfId="35625" xr:uid="{00000000-0005-0000-0000-0000CD880000}"/>
    <cellStyle name="Tulostus 3 3 11" xfId="13904" xr:uid="{00000000-0005-0000-0000-0000CE880000}"/>
    <cellStyle name="Tulostus 3 3 11 2" xfId="12738" xr:uid="{00000000-0005-0000-0000-0000CF880000}"/>
    <cellStyle name="Tulostus 3 3 11 3" xfId="26717" xr:uid="{00000000-0005-0000-0000-0000D0880000}"/>
    <cellStyle name="Tulostus 3 3 11 4" xfId="27590" xr:uid="{00000000-0005-0000-0000-0000D1880000}"/>
    <cellStyle name="Tulostus 3 3 11 5" xfId="26872" xr:uid="{00000000-0005-0000-0000-0000D2880000}"/>
    <cellStyle name="Tulostus 3 3 11_DataIX" xfId="35626" xr:uid="{00000000-0005-0000-0000-0000D3880000}"/>
    <cellStyle name="Tulostus 3 3 12" xfId="13541" xr:uid="{00000000-0005-0000-0000-0000D4880000}"/>
    <cellStyle name="Tulostus 3 3 13" xfId="13045" xr:uid="{00000000-0005-0000-0000-0000D5880000}"/>
    <cellStyle name="Tulostus 3 3 14" xfId="22388" xr:uid="{00000000-0005-0000-0000-0000D6880000}"/>
    <cellStyle name="Tulostus 3 3 15" xfId="22531" xr:uid="{00000000-0005-0000-0000-0000D7880000}"/>
    <cellStyle name="Tulostus 3 3 16" xfId="22465" xr:uid="{00000000-0005-0000-0000-0000D8880000}"/>
    <cellStyle name="Tulostus 3 3 17" xfId="22425" xr:uid="{00000000-0005-0000-0000-0000D9880000}"/>
    <cellStyle name="Tulostus 3 3 18" xfId="26796" xr:uid="{00000000-0005-0000-0000-0000DA880000}"/>
    <cellStyle name="Tulostus 3 3 19" xfId="27962" xr:uid="{00000000-0005-0000-0000-0000DB880000}"/>
    <cellStyle name="Tulostus 3 3 2" xfId="5187" xr:uid="{00000000-0005-0000-0000-0000DC880000}"/>
    <cellStyle name="Tulostus 3 3 2 2" xfId="10487" xr:uid="{00000000-0005-0000-0000-0000DD880000}"/>
    <cellStyle name="Tulostus 3 3 2 3" xfId="18517" xr:uid="{00000000-0005-0000-0000-0000DE880000}"/>
    <cellStyle name="Tulostus 3 3 2 3 2" xfId="21898" xr:uid="{00000000-0005-0000-0000-0000DF880000}"/>
    <cellStyle name="Tulostus 3 3 2 3_DataIX" xfId="35628" xr:uid="{00000000-0005-0000-0000-0000E0880000}"/>
    <cellStyle name="Tulostus 3 3 2 4" xfId="20543" xr:uid="{00000000-0005-0000-0000-0000E1880000}"/>
    <cellStyle name="Tulostus 3 3 2 4 2" xfId="21796" xr:uid="{00000000-0005-0000-0000-0000E2880000}"/>
    <cellStyle name="Tulostus 3 3 2 4_DataIX" xfId="35629" xr:uid="{00000000-0005-0000-0000-0000E3880000}"/>
    <cellStyle name="Tulostus 3 3 2_DataIX" xfId="35627" xr:uid="{00000000-0005-0000-0000-0000E4880000}"/>
    <cellStyle name="Tulostus 3 3 20" xfId="27864" xr:uid="{00000000-0005-0000-0000-0000E5880000}"/>
    <cellStyle name="Tulostus 3 3 21" xfId="28087" xr:uid="{00000000-0005-0000-0000-0000E6880000}"/>
    <cellStyle name="Tulostus 3 3 22" xfId="28164" xr:uid="{00000000-0005-0000-0000-0000E7880000}"/>
    <cellStyle name="Tulostus 3 3 23" xfId="28171" xr:uid="{00000000-0005-0000-0000-0000E8880000}"/>
    <cellStyle name="Tulostus 3 3 24" xfId="28295" xr:uid="{00000000-0005-0000-0000-0000E9880000}"/>
    <cellStyle name="Tulostus 3 3 25" xfId="28195" xr:uid="{00000000-0005-0000-0000-0000EA880000}"/>
    <cellStyle name="Tulostus 3 3 26" xfId="28450" xr:uid="{00000000-0005-0000-0000-0000EB880000}"/>
    <cellStyle name="Tulostus 3 3 27" xfId="28309" xr:uid="{00000000-0005-0000-0000-0000EC880000}"/>
    <cellStyle name="Tulostus 3 3 28" xfId="28740" xr:uid="{00000000-0005-0000-0000-0000ED880000}"/>
    <cellStyle name="Tulostus 3 3 29" xfId="28894" xr:uid="{00000000-0005-0000-0000-0000EE880000}"/>
    <cellStyle name="Tulostus 3 3 3" xfId="5400" xr:uid="{00000000-0005-0000-0000-0000EF880000}"/>
    <cellStyle name="Tulostus 3 3 3 2" xfId="12946" xr:uid="{00000000-0005-0000-0000-0000F0880000}"/>
    <cellStyle name="Tulostus 3 3 3 3" xfId="18724" xr:uid="{00000000-0005-0000-0000-0000F1880000}"/>
    <cellStyle name="Tulostus 3 3 3 3 2" xfId="11270" xr:uid="{00000000-0005-0000-0000-0000F2880000}"/>
    <cellStyle name="Tulostus 3 3 3 3_DataIX" xfId="35631" xr:uid="{00000000-0005-0000-0000-0000F3880000}"/>
    <cellStyle name="Tulostus 3 3 3 4" xfId="18984" xr:uid="{00000000-0005-0000-0000-0000F4880000}"/>
    <cellStyle name="Tulostus 3 3 3 4 2" xfId="22256" xr:uid="{00000000-0005-0000-0000-0000F5880000}"/>
    <cellStyle name="Tulostus 3 3 3 4_DataIX" xfId="35632" xr:uid="{00000000-0005-0000-0000-0000F6880000}"/>
    <cellStyle name="Tulostus 3 3 3_DataIX" xfId="35630" xr:uid="{00000000-0005-0000-0000-0000F7880000}"/>
    <cellStyle name="Tulostus 3 3 30" xfId="28670" xr:uid="{00000000-0005-0000-0000-0000F8880000}"/>
    <cellStyle name="Tulostus 3 3 31" xfId="28824" xr:uid="{00000000-0005-0000-0000-0000F9880000}"/>
    <cellStyle name="Tulostus 3 3 32" xfId="29097" xr:uid="{00000000-0005-0000-0000-0000FA880000}"/>
    <cellStyle name="Tulostus 3 3 33" xfId="29123" xr:uid="{00000000-0005-0000-0000-0000FB880000}"/>
    <cellStyle name="Tulostus 3 3 4" xfId="13270" xr:uid="{00000000-0005-0000-0000-0000FC880000}"/>
    <cellStyle name="Tulostus 3 3 4 2" xfId="20859" xr:uid="{00000000-0005-0000-0000-0000FD880000}"/>
    <cellStyle name="Tulostus 3 3 4 2 2" xfId="21807" xr:uid="{00000000-0005-0000-0000-0000FE880000}"/>
    <cellStyle name="Tulostus 3 3 4 2_DataIX" xfId="35634" xr:uid="{00000000-0005-0000-0000-0000FF880000}"/>
    <cellStyle name="Tulostus 3 3 4 3" xfId="21247" xr:uid="{00000000-0005-0000-0000-000000890000}"/>
    <cellStyle name="Tulostus 3 3 4 3 2" xfId="11012" xr:uid="{00000000-0005-0000-0000-000001890000}"/>
    <cellStyle name="Tulostus 3 3 4 3_DataIX" xfId="35635" xr:uid="{00000000-0005-0000-0000-000002890000}"/>
    <cellStyle name="Tulostus 3 3 4 4" xfId="21579" xr:uid="{00000000-0005-0000-0000-000003890000}"/>
    <cellStyle name="Tulostus 3 3 4 5" xfId="25236" xr:uid="{00000000-0005-0000-0000-000004890000}"/>
    <cellStyle name="Tulostus 3 3 4 6" xfId="27014" xr:uid="{00000000-0005-0000-0000-000005890000}"/>
    <cellStyle name="Tulostus 3 3 4 7" xfId="22857" xr:uid="{00000000-0005-0000-0000-000006890000}"/>
    <cellStyle name="Tulostus 3 3 4_DataIX" xfId="35633" xr:uid="{00000000-0005-0000-0000-000007890000}"/>
    <cellStyle name="Tulostus 3 3 5" xfId="13257" xr:uid="{00000000-0005-0000-0000-000008890000}"/>
    <cellStyle name="Tulostus 3 3 5 2" xfId="20855" xr:uid="{00000000-0005-0000-0000-000009890000}"/>
    <cellStyle name="Tulostus 3 3 5 2 2" xfId="21992" xr:uid="{00000000-0005-0000-0000-00000A890000}"/>
    <cellStyle name="Tulostus 3 3 5 2_DataIX" xfId="35637" xr:uid="{00000000-0005-0000-0000-00000B890000}"/>
    <cellStyle name="Tulostus 3 3 5 3" xfId="21235" xr:uid="{00000000-0005-0000-0000-00000C890000}"/>
    <cellStyle name="Tulostus 3 3 5 3 2" xfId="21671" xr:uid="{00000000-0005-0000-0000-00000D890000}"/>
    <cellStyle name="Tulostus 3 3 5 3_DataIX" xfId="35638" xr:uid="{00000000-0005-0000-0000-00000E890000}"/>
    <cellStyle name="Tulostus 3 3 5 4" xfId="13523" xr:uid="{00000000-0005-0000-0000-00000F890000}"/>
    <cellStyle name="Tulostus 3 3 5 5" xfId="25627" xr:uid="{00000000-0005-0000-0000-000010890000}"/>
    <cellStyle name="Tulostus 3 3 5 6" xfId="27168" xr:uid="{00000000-0005-0000-0000-000011890000}"/>
    <cellStyle name="Tulostus 3 3 5 7" xfId="23050" xr:uid="{00000000-0005-0000-0000-000012890000}"/>
    <cellStyle name="Tulostus 3 3 5_DataIX" xfId="35636" xr:uid="{00000000-0005-0000-0000-000013890000}"/>
    <cellStyle name="Tulostus 3 3 6" xfId="13374" xr:uid="{00000000-0005-0000-0000-000014890000}"/>
    <cellStyle name="Tulostus 3 3 6 2" xfId="21330" xr:uid="{00000000-0005-0000-0000-000015890000}"/>
    <cellStyle name="Tulostus 3 3 6 2 2" xfId="13759" xr:uid="{00000000-0005-0000-0000-000016890000}"/>
    <cellStyle name="Tulostus 3 3 6 2_DataIX" xfId="35640" xr:uid="{00000000-0005-0000-0000-000017890000}"/>
    <cellStyle name="Tulostus 3 3 6 3" xfId="12717" xr:uid="{00000000-0005-0000-0000-000018890000}"/>
    <cellStyle name="Tulostus 3 3 6 4" xfId="25530" xr:uid="{00000000-0005-0000-0000-000019890000}"/>
    <cellStyle name="Tulostus 3 3 6 5" xfId="27138" xr:uid="{00000000-0005-0000-0000-00001A890000}"/>
    <cellStyle name="Tulostus 3 3 6 6" xfId="27402" xr:uid="{00000000-0005-0000-0000-00001B890000}"/>
    <cellStyle name="Tulostus 3 3 6_DataIX" xfId="35639" xr:uid="{00000000-0005-0000-0000-00001C890000}"/>
    <cellStyle name="Tulostus 3 3 7" xfId="10752" xr:uid="{00000000-0005-0000-0000-00001D890000}"/>
    <cellStyle name="Tulostus 3 3 7 2" xfId="21064" xr:uid="{00000000-0005-0000-0000-00001E890000}"/>
    <cellStyle name="Tulostus 3 3 7 2 2" xfId="21999" xr:uid="{00000000-0005-0000-0000-00001F890000}"/>
    <cellStyle name="Tulostus 3 3 7 2_DataIX" xfId="35642" xr:uid="{00000000-0005-0000-0000-000020890000}"/>
    <cellStyle name="Tulostus 3 3 7 3" xfId="10696" xr:uid="{00000000-0005-0000-0000-000021890000}"/>
    <cellStyle name="Tulostus 3 3 7 4" xfId="26054" xr:uid="{00000000-0005-0000-0000-000022890000}"/>
    <cellStyle name="Tulostus 3 3 7 5" xfId="27306" xr:uid="{00000000-0005-0000-0000-000023890000}"/>
    <cellStyle name="Tulostus 3 3 7 6" xfId="26859" xr:uid="{00000000-0005-0000-0000-000024890000}"/>
    <cellStyle name="Tulostus 3 3 7_DataIX" xfId="35641" xr:uid="{00000000-0005-0000-0000-000025890000}"/>
    <cellStyle name="Tulostus 3 3 8" xfId="11136" xr:uid="{00000000-0005-0000-0000-000026890000}"/>
    <cellStyle name="Tulostus 3 3 8 2" xfId="21075" xr:uid="{00000000-0005-0000-0000-000027890000}"/>
    <cellStyle name="Tulostus 3 3 8 2 2" xfId="21951" xr:uid="{00000000-0005-0000-0000-000028890000}"/>
    <cellStyle name="Tulostus 3 3 8 2_DataIX" xfId="35644" xr:uid="{00000000-0005-0000-0000-000029890000}"/>
    <cellStyle name="Tulostus 3 3 8 3" xfId="21593" xr:uid="{00000000-0005-0000-0000-00002A890000}"/>
    <cellStyle name="Tulostus 3 3 8 4" xfId="26381" xr:uid="{00000000-0005-0000-0000-00002B890000}"/>
    <cellStyle name="Tulostus 3 3 8 5" xfId="27451" xr:uid="{00000000-0005-0000-0000-00002C890000}"/>
    <cellStyle name="Tulostus 3 3 8 6" xfId="26767" xr:uid="{00000000-0005-0000-0000-00002D890000}"/>
    <cellStyle name="Tulostus 3 3 8_DataIX" xfId="35643" xr:uid="{00000000-0005-0000-0000-00002E890000}"/>
    <cellStyle name="Tulostus 3 3 9" xfId="13421" xr:uid="{00000000-0005-0000-0000-00002F890000}"/>
    <cellStyle name="Tulostus 3 3 9 2" xfId="21360" xr:uid="{00000000-0005-0000-0000-000030890000}"/>
    <cellStyle name="Tulostus 3 3 9 2 2" xfId="21569" xr:uid="{00000000-0005-0000-0000-000031890000}"/>
    <cellStyle name="Tulostus 3 3 9 2_DataIX" xfId="35646" xr:uid="{00000000-0005-0000-0000-000032890000}"/>
    <cellStyle name="Tulostus 3 3 9 3" xfId="11274" xr:uid="{00000000-0005-0000-0000-000033890000}"/>
    <cellStyle name="Tulostus 3 3 9 4" xfId="26644" xr:uid="{00000000-0005-0000-0000-000034890000}"/>
    <cellStyle name="Tulostus 3 3 9 5" xfId="27562" xr:uid="{00000000-0005-0000-0000-000035890000}"/>
    <cellStyle name="Tulostus 3 3 9 6" xfId="23015" xr:uid="{00000000-0005-0000-0000-000036890000}"/>
    <cellStyle name="Tulostus 3 3 9_DataIX" xfId="35645" xr:uid="{00000000-0005-0000-0000-000037890000}"/>
    <cellStyle name="Tulostus 3 3_##Keskeiset" xfId="10486" xr:uid="{00000000-0005-0000-0000-000038890000}"/>
    <cellStyle name="Tulostus 3 4" xfId="322" xr:uid="{00000000-0005-0000-0000-000039890000}"/>
    <cellStyle name="Tulostus 3 4 10" xfId="13886" xr:uid="{00000000-0005-0000-0000-00003A890000}"/>
    <cellStyle name="Tulostus 3 4 10 2" xfId="21583" xr:uid="{00000000-0005-0000-0000-00003B890000}"/>
    <cellStyle name="Tulostus 3 4 10 3" xfId="26023" xr:uid="{00000000-0005-0000-0000-00003C890000}"/>
    <cellStyle name="Tulostus 3 4 10 4" xfId="27299" xr:uid="{00000000-0005-0000-0000-00003D890000}"/>
    <cellStyle name="Tulostus 3 4 10 5" xfId="27287" xr:uid="{00000000-0005-0000-0000-00003E890000}"/>
    <cellStyle name="Tulostus 3 4 10_DataIX" xfId="35647" xr:uid="{00000000-0005-0000-0000-00003F890000}"/>
    <cellStyle name="Tulostus 3 4 11" xfId="20275" xr:uid="{00000000-0005-0000-0000-000040890000}"/>
    <cellStyle name="Tulostus 3 4 11 2" xfId="21900" xr:uid="{00000000-0005-0000-0000-000041890000}"/>
    <cellStyle name="Tulostus 3 4 11 3" xfId="26352" xr:uid="{00000000-0005-0000-0000-000042890000}"/>
    <cellStyle name="Tulostus 3 4 11 4" xfId="27442" xr:uid="{00000000-0005-0000-0000-000043890000}"/>
    <cellStyle name="Tulostus 3 4 11 5" xfId="27600" xr:uid="{00000000-0005-0000-0000-000044890000}"/>
    <cellStyle name="Tulostus 3 4 11_DataIX" xfId="35648" xr:uid="{00000000-0005-0000-0000-000045890000}"/>
    <cellStyle name="Tulostus 3 4 12" xfId="11080" xr:uid="{00000000-0005-0000-0000-000046890000}"/>
    <cellStyle name="Tulostus 3 4 13" xfId="21837" xr:uid="{00000000-0005-0000-0000-000047890000}"/>
    <cellStyle name="Tulostus 3 4 14" xfId="22389" xr:uid="{00000000-0005-0000-0000-000048890000}"/>
    <cellStyle name="Tulostus 3 4 15" xfId="22334" xr:uid="{00000000-0005-0000-0000-000049890000}"/>
    <cellStyle name="Tulostus 3 4 16" xfId="22468" xr:uid="{00000000-0005-0000-0000-00004A890000}"/>
    <cellStyle name="Tulostus 3 4 17" xfId="22697" xr:uid="{00000000-0005-0000-0000-00004B890000}"/>
    <cellStyle name="Tulostus 3 4 18" xfId="22965" xr:uid="{00000000-0005-0000-0000-00004C890000}"/>
    <cellStyle name="Tulostus 3 4 19" xfId="27963" xr:uid="{00000000-0005-0000-0000-00004D890000}"/>
    <cellStyle name="Tulostus 3 4 2" xfId="5186" xr:uid="{00000000-0005-0000-0000-00004E890000}"/>
    <cellStyle name="Tulostus 3 4 2 2" xfId="10489" xr:uid="{00000000-0005-0000-0000-00004F890000}"/>
    <cellStyle name="Tulostus 3 4 2 3" xfId="18516" xr:uid="{00000000-0005-0000-0000-000050890000}"/>
    <cellStyle name="Tulostus 3 4 2 3 2" xfId="21955" xr:uid="{00000000-0005-0000-0000-000051890000}"/>
    <cellStyle name="Tulostus 3 4 2 3_DataIX" xfId="35650" xr:uid="{00000000-0005-0000-0000-000052890000}"/>
    <cellStyle name="Tulostus 3 4 2 4" xfId="19065" xr:uid="{00000000-0005-0000-0000-000053890000}"/>
    <cellStyle name="Tulostus 3 4 2 4 2" xfId="22037" xr:uid="{00000000-0005-0000-0000-000054890000}"/>
    <cellStyle name="Tulostus 3 4 2 4_DataIX" xfId="35651" xr:uid="{00000000-0005-0000-0000-000055890000}"/>
    <cellStyle name="Tulostus 3 4 2_DataIX" xfId="35649" xr:uid="{00000000-0005-0000-0000-000056890000}"/>
    <cellStyle name="Tulostus 3 4 20" xfId="27992" xr:uid="{00000000-0005-0000-0000-000057890000}"/>
    <cellStyle name="Tulostus 3 4 21" xfId="28086" xr:uid="{00000000-0005-0000-0000-000058890000}"/>
    <cellStyle name="Tulostus 3 4 22" xfId="28165" xr:uid="{00000000-0005-0000-0000-000059890000}"/>
    <cellStyle name="Tulostus 3 4 23" xfId="28170" xr:uid="{00000000-0005-0000-0000-00005A890000}"/>
    <cellStyle name="Tulostus 3 4 24" xfId="28296" xr:uid="{00000000-0005-0000-0000-00005B890000}"/>
    <cellStyle name="Tulostus 3 4 25" xfId="28362" xr:uid="{00000000-0005-0000-0000-00005C890000}"/>
    <cellStyle name="Tulostus 3 4 26" xfId="28449" xr:uid="{00000000-0005-0000-0000-00005D890000}"/>
    <cellStyle name="Tulostus 3 4 27" xfId="28308" xr:uid="{00000000-0005-0000-0000-00005E890000}"/>
    <cellStyle name="Tulostus 3 4 28" xfId="28739" xr:uid="{00000000-0005-0000-0000-00005F890000}"/>
    <cellStyle name="Tulostus 3 4 29" xfId="28893" xr:uid="{00000000-0005-0000-0000-000060890000}"/>
    <cellStyle name="Tulostus 3 4 3" xfId="5401" xr:uid="{00000000-0005-0000-0000-000061890000}"/>
    <cellStyle name="Tulostus 3 4 3 2" xfId="12947" xr:uid="{00000000-0005-0000-0000-000062890000}"/>
    <cellStyle name="Tulostus 3 4 3 3" xfId="18725" xr:uid="{00000000-0005-0000-0000-000063890000}"/>
    <cellStyle name="Tulostus 3 4 3 3 2" xfId="13631" xr:uid="{00000000-0005-0000-0000-000064890000}"/>
    <cellStyle name="Tulostus 3 4 3 3_DataIX" xfId="35653" xr:uid="{00000000-0005-0000-0000-000065890000}"/>
    <cellStyle name="Tulostus 3 4 3 4" xfId="18981" xr:uid="{00000000-0005-0000-0000-000066890000}"/>
    <cellStyle name="Tulostus 3 4 3 4 2" xfId="21474" xr:uid="{00000000-0005-0000-0000-000067890000}"/>
    <cellStyle name="Tulostus 3 4 3 4_DataIX" xfId="35654" xr:uid="{00000000-0005-0000-0000-000068890000}"/>
    <cellStyle name="Tulostus 3 4 3_DataIX" xfId="35652" xr:uid="{00000000-0005-0000-0000-000069890000}"/>
    <cellStyle name="Tulostus 3 4 30" xfId="28669" xr:uid="{00000000-0005-0000-0000-00006A890000}"/>
    <cellStyle name="Tulostus 3 4 31" xfId="28823" xr:uid="{00000000-0005-0000-0000-00006B890000}"/>
    <cellStyle name="Tulostus 3 4 32" xfId="29098" xr:uid="{00000000-0005-0000-0000-00006C890000}"/>
    <cellStyle name="Tulostus 3 4 33" xfId="29122" xr:uid="{00000000-0005-0000-0000-00006D890000}"/>
    <cellStyle name="Tulostus 3 4 4" xfId="13377" xr:uid="{00000000-0005-0000-0000-00006E890000}"/>
    <cellStyle name="Tulostus 3 4 4 2" xfId="20935" xr:uid="{00000000-0005-0000-0000-00006F890000}"/>
    <cellStyle name="Tulostus 3 4 4 2 2" xfId="11006" xr:uid="{00000000-0005-0000-0000-000070890000}"/>
    <cellStyle name="Tulostus 3 4 4 2_DataIX" xfId="35656" xr:uid="{00000000-0005-0000-0000-000071890000}"/>
    <cellStyle name="Tulostus 3 4 4 3" xfId="21332" xr:uid="{00000000-0005-0000-0000-000072890000}"/>
    <cellStyle name="Tulostus 3 4 4 3 2" xfId="21876" xr:uid="{00000000-0005-0000-0000-000073890000}"/>
    <cellStyle name="Tulostus 3 4 4 3_DataIX" xfId="35657" xr:uid="{00000000-0005-0000-0000-000074890000}"/>
    <cellStyle name="Tulostus 3 4 4 4" xfId="21515" xr:uid="{00000000-0005-0000-0000-000075890000}"/>
    <cellStyle name="Tulostus 3 4 4 5" xfId="25237" xr:uid="{00000000-0005-0000-0000-000076890000}"/>
    <cellStyle name="Tulostus 3 4 4 6" xfId="27015" xr:uid="{00000000-0005-0000-0000-000077890000}"/>
    <cellStyle name="Tulostus 3 4 4 7" xfId="23142" xr:uid="{00000000-0005-0000-0000-000078890000}"/>
    <cellStyle name="Tulostus 3 4 4_DataIX" xfId="35655" xr:uid="{00000000-0005-0000-0000-000079890000}"/>
    <cellStyle name="Tulostus 3 4 5" xfId="13207" xr:uid="{00000000-0005-0000-0000-00007A890000}"/>
    <cellStyle name="Tulostus 3 4 5 2" xfId="20826" xr:uid="{00000000-0005-0000-0000-00007B890000}"/>
    <cellStyle name="Tulostus 3 4 5 2 2" xfId="13728" xr:uid="{00000000-0005-0000-0000-00007C890000}"/>
    <cellStyle name="Tulostus 3 4 5 2_DataIX" xfId="35659" xr:uid="{00000000-0005-0000-0000-00007D890000}"/>
    <cellStyle name="Tulostus 3 4 5 3" xfId="21196" xr:uid="{00000000-0005-0000-0000-00007E890000}"/>
    <cellStyle name="Tulostus 3 4 5 3 2" xfId="22005" xr:uid="{00000000-0005-0000-0000-00007F890000}"/>
    <cellStyle name="Tulostus 3 4 5 3_DataIX" xfId="35660" xr:uid="{00000000-0005-0000-0000-000080890000}"/>
    <cellStyle name="Tulostus 3 4 5 4" xfId="20638" xr:uid="{00000000-0005-0000-0000-000081890000}"/>
    <cellStyle name="Tulostus 3 4 5 5" xfId="26107" xr:uid="{00000000-0005-0000-0000-000082890000}"/>
    <cellStyle name="Tulostus 3 4 5 6" xfId="27326" xr:uid="{00000000-0005-0000-0000-000083890000}"/>
    <cellStyle name="Tulostus 3 4 5 7" xfId="22811" xr:uid="{00000000-0005-0000-0000-000084890000}"/>
    <cellStyle name="Tulostus 3 4 5_DataIX" xfId="35658" xr:uid="{00000000-0005-0000-0000-000085890000}"/>
    <cellStyle name="Tulostus 3 4 6" xfId="13262" xr:uid="{00000000-0005-0000-0000-000086890000}"/>
    <cellStyle name="Tulostus 3 4 6 2" xfId="21239" xr:uid="{00000000-0005-0000-0000-000087890000}"/>
    <cellStyle name="Tulostus 3 4 6 2 2" xfId="13564" xr:uid="{00000000-0005-0000-0000-000088890000}"/>
    <cellStyle name="Tulostus 3 4 6 2_DataIX" xfId="35662" xr:uid="{00000000-0005-0000-0000-000089890000}"/>
    <cellStyle name="Tulostus 3 4 6 3" xfId="11109" xr:uid="{00000000-0005-0000-0000-00008A890000}"/>
    <cellStyle name="Tulostus 3 4 6 4" xfId="26306" xr:uid="{00000000-0005-0000-0000-00008B890000}"/>
    <cellStyle name="Tulostus 3 4 6 5" xfId="27419" xr:uid="{00000000-0005-0000-0000-00008C890000}"/>
    <cellStyle name="Tulostus 3 4 6 6" xfId="22952" xr:uid="{00000000-0005-0000-0000-00008D890000}"/>
    <cellStyle name="Tulostus 3 4 6_DataIX" xfId="35661" xr:uid="{00000000-0005-0000-0000-00008E890000}"/>
    <cellStyle name="Tulostus 3 4 7" xfId="10753" xr:uid="{00000000-0005-0000-0000-00008F890000}"/>
    <cellStyle name="Tulostus 3 4 7 2" xfId="21065" xr:uid="{00000000-0005-0000-0000-000090890000}"/>
    <cellStyle name="Tulostus 3 4 7 2 2" xfId="21552" xr:uid="{00000000-0005-0000-0000-000091890000}"/>
    <cellStyle name="Tulostus 3 4 7 2_DataIX" xfId="35664" xr:uid="{00000000-0005-0000-0000-000092890000}"/>
    <cellStyle name="Tulostus 3 4 7 3" xfId="13044" xr:uid="{00000000-0005-0000-0000-000093890000}"/>
    <cellStyle name="Tulostus 3 4 7 4" xfId="25898" xr:uid="{00000000-0005-0000-0000-000094890000}"/>
    <cellStyle name="Tulostus 3 4 7 5" xfId="27260" xr:uid="{00000000-0005-0000-0000-000095890000}"/>
    <cellStyle name="Tulostus 3 4 7 6" xfId="22932" xr:uid="{00000000-0005-0000-0000-000096890000}"/>
    <cellStyle name="Tulostus 3 4 7_DataIX" xfId="35663" xr:uid="{00000000-0005-0000-0000-000097890000}"/>
    <cellStyle name="Tulostus 3 4 8" xfId="11135" xr:uid="{00000000-0005-0000-0000-000098890000}"/>
    <cellStyle name="Tulostus 3 4 8 2" xfId="21074" xr:uid="{00000000-0005-0000-0000-000099890000}"/>
    <cellStyle name="Tulostus 3 4 8 2 2" xfId="11082" xr:uid="{00000000-0005-0000-0000-00009A890000}"/>
    <cellStyle name="Tulostus 3 4 8 2_DataIX" xfId="35666" xr:uid="{00000000-0005-0000-0000-00009B890000}"/>
    <cellStyle name="Tulostus 3 4 8 3" xfId="21933" xr:uid="{00000000-0005-0000-0000-00009C890000}"/>
    <cellStyle name="Tulostus 3 4 8 4" xfId="25785" xr:uid="{00000000-0005-0000-0000-00009D890000}"/>
    <cellStyle name="Tulostus 3 4 8 5" xfId="27229" xr:uid="{00000000-0005-0000-0000-00009E890000}"/>
    <cellStyle name="Tulostus 3 4 8 6" xfId="22969" xr:uid="{00000000-0005-0000-0000-00009F890000}"/>
    <cellStyle name="Tulostus 3 4 8_DataIX" xfId="35665" xr:uid="{00000000-0005-0000-0000-0000A0890000}"/>
    <cellStyle name="Tulostus 3 4 9" xfId="13668" xr:uid="{00000000-0005-0000-0000-0000A1890000}"/>
    <cellStyle name="Tulostus 3 4 9 2" xfId="21369" xr:uid="{00000000-0005-0000-0000-0000A2890000}"/>
    <cellStyle name="Tulostus 3 4 9 2 2" xfId="21937" xr:uid="{00000000-0005-0000-0000-0000A3890000}"/>
    <cellStyle name="Tulostus 3 4 9 2_DataIX" xfId="35668" xr:uid="{00000000-0005-0000-0000-0000A4890000}"/>
    <cellStyle name="Tulostus 3 4 9 3" xfId="20714" xr:uid="{00000000-0005-0000-0000-0000A5890000}"/>
    <cellStyle name="Tulostus 3 4 9 4" xfId="26067" xr:uid="{00000000-0005-0000-0000-0000A6890000}"/>
    <cellStyle name="Tulostus 3 4 9 5" xfId="27314" xr:uid="{00000000-0005-0000-0000-0000A7890000}"/>
    <cellStyle name="Tulostus 3 4 9 6" xfId="26843" xr:uid="{00000000-0005-0000-0000-0000A8890000}"/>
    <cellStyle name="Tulostus 3 4 9_DataIX" xfId="35667" xr:uid="{00000000-0005-0000-0000-0000A9890000}"/>
    <cellStyle name="Tulostus 3 4_##Keskeiset" xfId="10488" xr:uid="{00000000-0005-0000-0000-0000AA890000}"/>
    <cellStyle name="Tulostus 3 5" xfId="5120" xr:uid="{00000000-0005-0000-0000-0000AB890000}"/>
    <cellStyle name="Tulostus 3 5 2" xfId="5714" xr:uid="{00000000-0005-0000-0000-0000AC890000}"/>
    <cellStyle name="Tulostus 3 5 2 2" xfId="12948" xr:uid="{00000000-0005-0000-0000-0000AD890000}"/>
    <cellStyle name="Tulostus 3 5 2 3" xfId="18926" xr:uid="{00000000-0005-0000-0000-0000AE890000}"/>
    <cellStyle name="Tulostus 3 5 2 3 2" xfId="13585" xr:uid="{00000000-0005-0000-0000-0000AF890000}"/>
    <cellStyle name="Tulostus 3 5 2 3_DataIX" xfId="35671" xr:uid="{00000000-0005-0000-0000-0000B0890000}"/>
    <cellStyle name="Tulostus 3 5 2 4" xfId="20418" xr:uid="{00000000-0005-0000-0000-0000B1890000}"/>
    <cellStyle name="Tulostus 3 5 2 4 2" xfId="22043" xr:uid="{00000000-0005-0000-0000-0000B2890000}"/>
    <cellStyle name="Tulostus 3 5 2 4_DataIX" xfId="35672" xr:uid="{00000000-0005-0000-0000-0000B3890000}"/>
    <cellStyle name="Tulostus 3 5 2_DataIX" xfId="35670" xr:uid="{00000000-0005-0000-0000-0000B4890000}"/>
    <cellStyle name="Tulostus 3 5 3" xfId="11191" xr:uid="{00000000-0005-0000-0000-0000B5890000}"/>
    <cellStyle name="Tulostus 3 5 4" xfId="18459" xr:uid="{00000000-0005-0000-0000-0000B6890000}"/>
    <cellStyle name="Tulostus 3 5 4 2" xfId="22025" xr:uid="{00000000-0005-0000-0000-0000B7890000}"/>
    <cellStyle name="Tulostus 3 5 4_DataIX" xfId="35673" xr:uid="{00000000-0005-0000-0000-0000B8890000}"/>
    <cellStyle name="Tulostus 3 5 5" xfId="20545" xr:uid="{00000000-0005-0000-0000-0000B9890000}"/>
    <cellStyle name="Tulostus 3 5 5 2" xfId="21604" xr:uid="{00000000-0005-0000-0000-0000BA890000}"/>
    <cellStyle name="Tulostus 3 5 5_DataIX" xfId="35674" xr:uid="{00000000-0005-0000-0000-0000BB890000}"/>
    <cellStyle name="Tulostus 3 5_DataIX" xfId="35669" xr:uid="{00000000-0005-0000-0000-0000BC890000}"/>
    <cellStyle name="Tulostus 3 6" xfId="5398" xr:uid="{00000000-0005-0000-0000-0000BD890000}"/>
    <cellStyle name="Tulostus 3 6 2" xfId="12949" xr:uid="{00000000-0005-0000-0000-0000BE890000}"/>
    <cellStyle name="Tulostus 3 6 3" xfId="18722" xr:uid="{00000000-0005-0000-0000-0000BF890000}"/>
    <cellStyle name="Tulostus 3 6 3 2" xfId="21779" xr:uid="{00000000-0005-0000-0000-0000C0890000}"/>
    <cellStyle name="Tulostus 3 6 3_DataIX" xfId="35676" xr:uid="{00000000-0005-0000-0000-0000C1890000}"/>
    <cellStyle name="Tulostus 3 6 4" xfId="18983" xr:uid="{00000000-0005-0000-0000-0000C2890000}"/>
    <cellStyle name="Tulostus 3 6 4 2" xfId="22261" xr:uid="{00000000-0005-0000-0000-0000C3890000}"/>
    <cellStyle name="Tulostus 3 6 4_DataIX" xfId="35677" xr:uid="{00000000-0005-0000-0000-0000C4890000}"/>
    <cellStyle name="Tulostus 3 6_DataIX" xfId="35675" xr:uid="{00000000-0005-0000-0000-0000C5890000}"/>
    <cellStyle name="Tulostus 3 7" xfId="13378" xr:uid="{00000000-0005-0000-0000-0000C6890000}"/>
    <cellStyle name="Tulostus 3 7 2" xfId="20936" xr:uid="{00000000-0005-0000-0000-0000C7890000}"/>
    <cellStyle name="Tulostus 3 7 2 2" xfId="21430" xr:uid="{00000000-0005-0000-0000-0000C8890000}"/>
    <cellStyle name="Tulostus 3 7 2_DataIX" xfId="35679" xr:uid="{00000000-0005-0000-0000-0000C9890000}"/>
    <cellStyle name="Tulostus 3 7 3" xfId="21333" xr:uid="{00000000-0005-0000-0000-0000CA890000}"/>
    <cellStyle name="Tulostus 3 7 3 2" xfId="21825" xr:uid="{00000000-0005-0000-0000-0000CB890000}"/>
    <cellStyle name="Tulostus 3 7 3_DataIX" xfId="35680" xr:uid="{00000000-0005-0000-0000-0000CC890000}"/>
    <cellStyle name="Tulostus 3 7 4" xfId="21918" xr:uid="{00000000-0005-0000-0000-0000CD890000}"/>
    <cellStyle name="Tulostus 3 7 5" xfId="25234" xr:uid="{00000000-0005-0000-0000-0000CE890000}"/>
    <cellStyle name="Tulostus 3 7 6" xfId="27012" xr:uid="{00000000-0005-0000-0000-0000CF890000}"/>
    <cellStyle name="Tulostus 3 7 7" xfId="23014" xr:uid="{00000000-0005-0000-0000-0000D0890000}"/>
    <cellStyle name="Tulostus 3 7_DataIX" xfId="35678" xr:uid="{00000000-0005-0000-0000-0000D1890000}"/>
    <cellStyle name="Tulostus 3 8" xfId="13331" xr:uid="{00000000-0005-0000-0000-0000D2890000}"/>
    <cellStyle name="Tulostus 3 8 2" xfId="20912" xr:uid="{00000000-0005-0000-0000-0000D3890000}"/>
    <cellStyle name="Tulostus 3 8 2 2" xfId="21429" xr:uid="{00000000-0005-0000-0000-0000D4890000}"/>
    <cellStyle name="Tulostus 3 8 2_DataIX" xfId="35682" xr:uid="{00000000-0005-0000-0000-0000D5890000}"/>
    <cellStyle name="Tulostus 3 8 3" xfId="21298" xr:uid="{00000000-0005-0000-0000-0000D6890000}"/>
    <cellStyle name="Tulostus 3 8 3 2" xfId="11084" xr:uid="{00000000-0005-0000-0000-0000D7890000}"/>
    <cellStyle name="Tulostus 3 8 3_DataIX" xfId="35683" xr:uid="{00000000-0005-0000-0000-0000D8890000}"/>
    <cellStyle name="Tulostus 3 8 4" xfId="13704" xr:uid="{00000000-0005-0000-0000-0000D9890000}"/>
    <cellStyle name="Tulostus 3 8 5" xfId="26461" xr:uid="{00000000-0005-0000-0000-0000DA890000}"/>
    <cellStyle name="Tulostus 3 8 6" xfId="27482" xr:uid="{00000000-0005-0000-0000-0000DB890000}"/>
    <cellStyle name="Tulostus 3 8 7" xfId="23028" xr:uid="{00000000-0005-0000-0000-0000DC890000}"/>
    <cellStyle name="Tulostus 3 8_DataIX" xfId="35681" xr:uid="{00000000-0005-0000-0000-0000DD890000}"/>
    <cellStyle name="Tulostus 3 9" xfId="13122" xr:uid="{00000000-0005-0000-0000-0000DE890000}"/>
    <cellStyle name="Tulostus 3 9 2" xfId="21133" xr:uid="{00000000-0005-0000-0000-0000DF890000}"/>
    <cellStyle name="Tulostus 3 9 2 2" xfId="21815" xr:uid="{00000000-0005-0000-0000-0000E0890000}"/>
    <cellStyle name="Tulostus 3 9 2_DataIX" xfId="35685" xr:uid="{00000000-0005-0000-0000-0000E1890000}"/>
    <cellStyle name="Tulostus 3 9 3" xfId="21383" xr:uid="{00000000-0005-0000-0000-0000E2890000}"/>
    <cellStyle name="Tulostus 3 9 4" xfId="25355" xr:uid="{00000000-0005-0000-0000-0000E3890000}"/>
    <cellStyle name="Tulostus 3 9 5" xfId="27067" xr:uid="{00000000-0005-0000-0000-0000E4890000}"/>
    <cellStyle name="Tulostus 3 9 6" xfId="23006" xr:uid="{00000000-0005-0000-0000-0000E5890000}"/>
    <cellStyle name="Tulostus 3 9_DataIX" xfId="35684" xr:uid="{00000000-0005-0000-0000-0000E6890000}"/>
    <cellStyle name="Tulostus 3_##Keskeiset" xfId="10484" xr:uid="{00000000-0005-0000-0000-0000E7890000}"/>
    <cellStyle name="Tulostus 4" xfId="264" xr:uid="{00000000-0005-0000-0000-0000E8890000}"/>
    <cellStyle name="Tulostus 4 10" xfId="13420" xr:uid="{00000000-0005-0000-0000-0000E9890000}"/>
    <cellStyle name="Tulostus 4 10 2" xfId="21359" xr:uid="{00000000-0005-0000-0000-0000EA890000}"/>
    <cellStyle name="Tulostus 4 10 2 2" xfId="21675" xr:uid="{00000000-0005-0000-0000-0000EB890000}"/>
    <cellStyle name="Tulostus 4 10 2_DataIX" xfId="35687" xr:uid="{00000000-0005-0000-0000-0000EC890000}"/>
    <cellStyle name="Tulostus 4 10 3" xfId="13606" xr:uid="{00000000-0005-0000-0000-0000ED890000}"/>
    <cellStyle name="Tulostus 4 10 4" xfId="25705" xr:uid="{00000000-0005-0000-0000-0000EE890000}"/>
    <cellStyle name="Tulostus 4 10 5" xfId="27204" xr:uid="{00000000-0005-0000-0000-0000EF890000}"/>
    <cellStyle name="Tulostus 4 10 6" xfId="22807" xr:uid="{00000000-0005-0000-0000-0000F0890000}"/>
    <cellStyle name="Tulostus 4 10_DataIX" xfId="35686" xr:uid="{00000000-0005-0000-0000-0000F1890000}"/>
    <cellStyle name="Tulostus 4 11" xfId="13838" xr:uid="{00000000-0005-0000-0000-0000F2890000}"/>
    <cellStyle name="Tulostus 4 11 2" xfId="12759" xr:uid="{00000000-0005-0000-0000-0000F3890000}"/>
    <cellStyle name="Tulostus 4 11 3" xfId="26255" xr:uid="{00000000-0005-0000-0000-0000F4890000}"/>
    <cellStyle name="Tulostus 4 11 4" xfId="27394" xr:uid="{00000000-0005-0000-0000-0000F5890000}"/>
    <cellStyle name="Tulostus 4 11 5" xfId="26758" xr:uid="{00000000-0005-0000-0000-0000F6890000}"/>
    <cellStyle name="Tulostus 4 11_DataIX" xfId="35688" xr:uid="{00000000-0005-0000-0000-0000F7890000}"/>
    <cellStyle name="Tulostus 4 12" xfId="20298" xr:uid="{00000000-0005-0000-0000-0000F8890000}"/>
    <cellStyle name="Tulostus 4 12 2" xfId="21854" xr:uid="{00000000-0005-0000-0000-0000F9890000}"/>
    <cellStyle name="Tulostus 4 12_DataIX" xfId="35689" xr:uid="{00000000-0005-0000-0000-0000FA890000}"/>
    <cellStyle name="Tulostus 4 13" xfId="13542" xr:uid="{00000000-0005-0000-0000-0000FB890000}"/>
    <cellStyle name="Tulostus 4 14" xfId="22390" xr:uid="{00000000-0005-0000-0000-0000FC890000}"/>
    <cellStyle name="Tulostus 4 15" xfId="22530" xr:uid="{00000000-0005-0000-0000-0000FD890000}"/>
    <cellStyle name="Tulostus 4 16" xfId="22466" xr:uid="{00000000-0005-0000-0000-0000FE890000}"/>
    <cellStyle name="Tulostus 4 17" xfId="22424" xr:uid="{00000000-0005-0000-0000-0000FF890000}"/>
    <cellStyle name="Tulostus 4 18" xfId="26826" xr:uid="{00000000-0005-0000-0000-0000008A0000}"/>
    <cellStyle name="Tulostus 4 19" xfId="27964" xr:uid="{00000000-0005-0000-0000-0000018A0000}"/>
    <cellStyle name="Tulostus 4 2" xfId="318" xr:uid="{00000000-0005-0000-0000-0000028A0000}"/>
    <cellStyle name="Tulostus 4 2 10" xfId="13882" xr:uid="{00000000-0005-0000-0000-0000038A0000}"/>
    <cellStyle name="Tulostus 4 2 10 2" xfId="13034" xr:uid="{00000000-0005-0000-0000-0000048A0000}"/>
    <cellStyle name="Tulostus 4 2 10 3" xfId="25971" xr:uid="{00000000-0005-0000-0000-0000058A0000}"/>
    <cellStyle name="Tulostus 4 2 10 4" xfId="27282" xr:uid="{00000000-0005-0000-0000-0000068A0000}"/>
    <cellStyle name="Tulostus 4 2 10 5" xfId="22729" xr:uid="{00000000-0005-0000-0000-0000078A0000}"/>
    <cellStyle name="Tulostus 4 2 10_DataIX" xfId="35690" xr:uid="{00000000-0005-0000-0000-0000088A0000}"/>
    <cellStyle name="Tulostus 4 2 11" xfId="20278" xr:uid="{00000000-0005-0000-0000-0000098A0000}"/>
    <cellStyle name="Tulostus 4 2 11 2" xfId="20724" xr:uid="{00000000-0005-0000-0000-00000A8A0000}"/>
    <cellStyle name="Tulostus 4 2 11 3" xfId="25486" xr:uid="{00000000-0005-0000-0000-00000B8A0000}"/>
    <cellStyle name="Tulostus 4 2 11 4" xfId="27115" xr:uid="{00000000-0005-0000-0000-00000C8A0000}"/>
    <cellStyle name="Tulostus 4 2 11 5" xfId="26760" xr:uid="{00000000-0005-0000-0000-00000D8A0000}"/>
    <cellStyle name="Tulostus 4 2 11_DataIX" xfId="35691" xr:uid="{00000000-0005-0000-0000-00000E8A0000}"/>
    <cellStyle name="Tulostus 4 2 12" xfId="11079" xr:uid="{00000000-0005-0000-0000-00000F8A0000}"/>
    <cellStyle name="Tulostus 4 2 13" xfId="13531" xr:uid="{00000000-0005-0000-0000-0000108A0000}"/>
    <cellStyle name="Tulostus 4 2 14" xfId="22391" xr:uid="{00000000-0005-0000-0000-0000118A0000}"/>
    <cellStyle name="Tulostus 4 2 15" xfId="22529" xr:uid="{00000000-0005-0000-0000-0000128A0000}"/>
    <cellStyle name="Tulostus 4 2 16" xfId="22467" xr:uid="{00000000-0005-0000-0000-0000138A0000}"/>
    <cellStyle name="Tulostus 4 2 17" xfId="22423" xr:uid="{00000000-0005-0000-0000-0000148A0000}"/>
    <cellStyle name="Tulostus 4 2 18" xfId="23003" xr:uid="{00000000-0005-0000-0000-0000158A0000}"/>
    <cellStyle name="Tulostus 4 2 19" xfId="27965" xr:uid="{00000000-0005-0000-0000-0000168A0000}"/>
    <cellStyle name="Tulostus 4 2 2" xfId="5184" xr:uid="{00000000-0005-0000-0000-0000178A0000}"/>
    <cellStyle name="Tulostus 4 2 2 2" xfId="10492" xr:uid="{00000000-0005-0000-0000-0000188A0000}"/>
    <cellStyle name="Tulostus 4 2 2 3" xfId="18514" xr:uid="{00000000-0005-0000-0000-0000198A0000}"/>
    <cellStyle name="Tulostus 4 2 2 3 2" xfId="22077" xr:uid="{00000000-0005-0000-0000-00001A8A0000}"/>
    <cellStyle name="Tulostus 4 2 2 3_DataIX" xfId="35693" xr:uid="{00000000-0005-0000-0000-00001B8A0000}"/>
    <cellStyle name="Tulostus 4 2 2 4" xfId="19066" xr:uid="{00000000-0005-0000-0000-00001C8A0000}"/>
    <cellStyle name="Tulostus 4 2 2 4 2" xfId="21787" xr:uid="{00000000-0005-0000-0000-00001D8A0000}"/>
    <cellStyle name="Tulostus 4 2 2 4_DataIX" xfId="35694" xr:uid="{00000000-0005-0000-0000-00001E8A0000}"/>
    <cellStyle name="Tulostus 4 2 2_DataIX" xfId="35692" xr:uid="{00000000-0005-0000-0000-00001F8A0000}"/>
    <cellStyle name="Tulostus 4 2 20" xfId="27990" xr:uid="{00000000-0005-0000-0000-0000208A0000}"/>
    <cellStyle name="Tulostus 4 2 21" xfId="28084" xr:uid="{00000000-0005-0000-0000-0000218A0000}"/>
    <cellStyle name="Tulostus 4 2 22" xfId="28167" xr:uid="{00000000-0005-0000-0000-0000228A0000}"/>
    <cellStyle name="Tulostus 4 2 23" xfId="28168" xr:uid="{00000000-0005-0000-0000-0000238A0000}"/>
    <cellStyle name="Tulostus 4 2 24" xfId="28298" xr:uid="{00000000-0005-0000-0000-0000248A0000}"/>
    <cellStyle name="Tulostus 4 2 25" xfId="28360" xr:uid="{00000000-0005-0000-0000-0000258A0000}"/>
    <cellStyle name="Tulostus 4 2 26" xfId="28447" xr:uid="{00000000-0005-0000-0000-0000268A0000}"/>
    <cellStyle name="Tulostus 4 2 27" xfId="28306" xr:uid="{00000000-0005-0000-0000-0000278A0000}"/>
    <cellStyle name="Tulostus 4 2 28" xfId="28737" xr:uid="{00000000-0005-0000-0000-0000288A0000}"/>
    <cellStyle name="Tulostus 4 2 29" xfId="28891" xr:uid="{00000000-0005-0000-0000-0000298A0000}"/>
    <cellStyle name="Tulostus 4 2 3" xfId="5403" xr:uid="{00000000-0005-0000-0000-00002A8A0000}"/>
    <cellStyle name="Tulostus 4 2 3 2" xfId="12951" xr:uid="{00000000-0005-0000-0000-00002B8A0000}"/>
    <cellStyle name="Tulostus 4 2 3 3" xfId="18727" xr:uid="{00000000-0005-0000-0000-00002C8A0000}"/>
    <cellStyle name="Tulostus 4 2 3 3 2" xfId="13070" xr:uid="{00000000-0005-0000-0000-00002D8A0000}"/>
    <cellStyle name="Tulostus 4 2 3 3_DataIX" xfId="35696" xr:uid="{00000000-0005-0000-0000-00002E8A0000}"/>
    <cellStyle name="Tulostus 4 2 3 4" xfId="18982" xr:uid="{00000000-0005-0000-0000-00002F8A0000}"/>
    <cellStyle name="Tulostus 4 2 3 4 2" xfId="10767" xr:uid="{00000000-0005-0000-0000-0000308A0000}"/>
    <cellStyle name="Tulostus 4 2 3 4_DataIX" xfId="35697" xr:uid="{00000000-0005-0000-0000-0000318A0000}"/>
    <cellStyle name="Tulostus 4 2 3_DataIX" xfId="35695" xr:uid="{00000000-0005-0000-0000-0000328A0000}"/>
    <cellStyle name="Tulostus 4 2 30" xfId="28667" xr:uid="{00000000-0005-0000-0000-0000338A0000}"/>
    <cellStyle name="Tulostus 4 2 31" xfId="28821" xr:uid="{00000000-0005-0000-0000-0000348A0000}"/>
    <cellStyle name="Tulostus 4 2 32" xfId="29100" xr:uid="{00000000-0005-0000-0000-0000358A0000}"/>
    <cellStyle name="Tulostus 4 2 33" xfId="29120" xr:uid="{00000000-0005-0000-0000-0000368A0000}"/>
    <cellStyle name="Tulostus 4 2 4" xfId="13181" xr:uid="{00000000-0005-0000-0000-0000378A0000}"/>
    <cellStyle name="Tulostus 4 2 4 2" xfId="20806" xr:uid="{00000000-0005-0000-0000-0000388A0000}"/>
    <cellStyle name="Tulostus 4 2 4 2 2" xfId="21990" xr:uid="{00000000-0005-0000-0000-0000398A0000}"/>
    <cellStyle name="Tulostus 4 2 4 2_DataIX" xfId="35699" xr:uid="{00000000-0005-0000-0000-00003A8A0000}"/>
    <cellStyle name="Tulostus 4 2 4 3" xfId="21179" xr:uid="{00000000-0005-0000-0000-00003B8A0000}"/>
    <cellStyle name="Tulostus 4 2 4 3 2" xfId="10935" xr:uid="{00000000-0005-0000-0000-00003C8A0000}"/>
    <cellStyle name="Tulostus 4 2 4 3_DataIX" xfId="35700" xr:uid="{00000000-0005-0000-0000-00003D8A0000}"/>
    <cellStyle name="Tulostus 4 2 4 4" xfId="21451" xr:uid="{00000000-0005-0000-0000-00003E8A0000}"/>
    <cellStyle name="Tulostus 4 2 4 5" xfId="25239" xr:uid="{00000000-0005-0000-0000-00003F8A0000}"/>
    <cellStyle name="Tulostus 4 2 4 6" xfId="27017" xr:uid="{00000000-0005-0000-0000-0000408A0000}"/>
    <cellStyle name="Tulostus 4 2 4 7" xfId="22889" xr:uid="{00000000-0005-0000-0000-0000418A0000}"/>
    <cellStyle name="Tulostus 4 2 4_DataIX" xfId="35698" xr:uid="{00000000-0005-0000-0000-0000428A0000}"/>
    <cellStyle name="Tulostus 4 2 5" xfId="13236" xr:uid="{00000000-0005-0000-0000-0000438A0000}"/>
    <cellStyle name="Tulostus 4 2 5 2" xfId="20846" xr:uid="{00000000-0005-0000-0000-0000448A0000}"/>
    <cellStyle name="Tulostus 4 2 5 2 2" xfId="21538" xr:uid="{00000000-0005-0000-0000-0000458A0000}"/>
    <cellStyle name="Tulostus 4 2 5 2_DataIX" xfId="35702" xr:uid="{00000000-0005-0000-0000-0000468A0000}"/>
    <cellStyle name="Tulostus 4 2 5 3" xfId="21222" xr:uid="{00000000-0005-0000-0000-0000478A0000}"/>
    <cellStyle name="Tulostus 4 2 5 3 2" xfId="10766" xr:uid="{00000000-0005-0000-0000-0000488A0000}"/>
    <cellStyle name="Tulostus 4 2 5 3_DataIX" xfId="35703" xr:uid="{00000000-0005-0000-0000-0000498A0000}"/>
    <cellStyle name="Tulostus 4 2 5 4" xfId="12553" xr:uid="{00000000-0005-0000-0000-00004A8A0000}"/>
    <cellStyle name="Tulostus 4 2 5 5" xfId="26460" xr:uid="{00000000-0005-0000-0000-00004B8A0000}"/>
    <cellStyle name="Tulostus 4 2 5 6" xfId="27481" xr:uid="{00000000-0005-0000-0000-00004C8A0000}"/>
    <cellStyle name="Tulostus 4 2 5 7" xfId="22915" xr:uid="{00000000-0005-0000-0000-00004D8A0000}"/>
    <cellStyle name="Tulostus 4 2 5_DataIX" xfId="35701" xr:uid="{00000000-0005-0000-0000-00004E8A0000}"/>
    <cellStyle name="Tulostus 4 2 6" xfId="13358" xr:uid="{00000000-0005-0000-0000-00004F8A0000}"/>
    <cellStyle name="Tulostus 4 2 6 2" xfId="21318" xr:uid="{00000000-0005-0000-0000-0000508A0000}"/>
    <cellStyle name="Tulostus 4 2 6 2 2" xfId="10877" xr:uid="{00000000-0005-0000-0000-0000518A0000}"/>
    <cellStyle name="Tulostus 4 2 6 2_DataIX" xfId="35705" xr:uid="{00000000-0005-0000-0000-0000528A0000}"/>
    <cellStyle name="Tulostus 4 2 6 3" xfId="13705" xr:uid="{00000000-0005-0000-0000-0000538A0000}"/>
    <cellStyle name="Tulostus 4 2 6 4" xfId="26561" xr:uid="{00000000-0005-0000-0000-0000548A0000}"/>
    <cellStyle name="Tulostus 4 2 6 5" xfId="27523" xr:uid="{00000000-0005-0000-0000-0000558A0000}"/>
    <cellStyle name="Tulostus 4 2 6 6" xfId="22814" xr:uid="{00000000-0005-0000-0000-0000568A0000}"/>
    <cellStyle name="Tulostus 4 2 6_DataIX" xfId="35704" xr:uid="{00000000-0005-0000-0000-0000578A0000}"/>
    <cellStyle name="Tulostus 4 2 7" xfId="10755" xr:uid="{00000000-0005-0000-0000-0000588A0000}"/>
    <cellStyle name="Tulostus 4 2 7 2" xfId="21067" xr:uid="{00000000-0005-0000-0000-0000598A0000}"/>
    <cellStyle name="Tulostus 4 2 7 2 2" xfId="22062" xr:uid="{00000000-0005-0000-0000-00005A8A0000}"/>
    <cellStyle name="Tulostus 4 2 7 2_DataIX" xfId="35707" xr:uid="{00000000-0005-0000-0000-00005B8A0000}"/>
    <cellStyle name="Tulostus 4 2 7 3" xfId="13667" xr:uid="{00000000-0005-0000-0000-00005C8A0000}"/>
    <cellStyle name="Tulostus 4 2 7 4" xfId="26228" xr:uid="{00000000-0005-0000-0000-00005D8A0000}"/>
    <cellStyle name="Tulostus 4 2 7 5" xfId="27387" xr:uid="{00000000-0005-0000-0000-00005E8A0000}"/>
    <cellStyle name="Tulostus 4 2 7 6" xfId="26813" xr:uid="{00000000-0005-0000-0000-00005F8A0000}"/>
    <cellStyle name="Tulostus 4 2 7_DataIX" xfId="35706" xr:uid="{00000000-0005-0000-0000-0000608A0000}"/>
    <cellStyle name="Tulostus 4 2 8" xfId="11134" xr:uid="{00000000-0005-0000-0000-0000618A0000}"/>
    <cellStyle name="Tulostus 4 2 8 2" xfId="21073" xr:uid="{00000000-0005-0000-0000-0000628A0000}"/>
    <cellStyle name="Tulostus 4 2 8 2 2" xfId="21437" xr:uid="{00000000-0005-0000-0000-0000638A0000}"/>
    <cellStyle name="Tulostus 4 2 8 2_DataIX" xfId="35709" xr:uid="{00000000-0005-0000-0000-0000648A0000}"/>
    <cellStyle name="Tulostus 4 2 8 3" xfId="22246" xr:uid="{00000000-0005-0000-0000-0000658A0000}"/>
    <cellStyle name="Tulostus 4 2 8 4" xfId="26410" xr:uid="{00000000-0005-0000-0000-0000668A0000}"/>
    <cellStyle name="Tulostus 4 2 8 5" xfId="27460" xr:uid="{00000000-0005-0000-0000-0000678A0000}"/>
    <cellStyle name="Tulostus 4 2 8 6" xfId="23062" xr:uid="{00000000-0005-0000-0000-0000688A0000}"/>
    <cellStyle name="Tulostus 4 2 8_DataIX" xfId="35708" xr:uid="{00000000-0005-0000-0000-0000698A0000}"/>
    <cellStyle name="Tulostus 4 2 9" xfId="13419" xr:uid="{00000000-0005-0000-0000-00006A8A0000}"/>
    <cellStyle name="Tulostus 4 2 9 2" xfId="21358" xr:uid="{00000000-0005-0000-0000-00006B8A0000}"/>
    <cellStyle name="Tulostus 4 2 9 2 2" xfId="21693" xr:uid="{00000000-0005-0000-0000-00006C8A0000}"/>
    <cellStyle name="Tulostus 4 2 9 2_DataIX" xfId="35711" xr:uid="{00000000-0005-0000-0000-00006D8A0000}"/>
    <cellStyle name="Tulostus 4 2 9 3" xfId="10760" xr:uid="{00000000-0005-0000-0000-00006E8A0000}"/>
    <cellStyle name="Tulostus 4 2 9 4" xfId="26451" xr:uid="{00000000-0005-0000-0000-00006F8A0000}"/>
    <cellStyle name="Tulostus 4 2 9 5" xfId="27476" xr:uid="{00000000-0005-0000-0000-0000708A0000}"/>
    <cellStyle name="Tulostus 4 2 9 6" xfId="22813" xr:uid="{00000000-0005-0000-0000-0000718A0000}"/>
    <cellStyle name="Tulostus 4 2 9_DataIX" xfId="35710" xr:uid="{00000000-0005-0000-0000-0000728A0000}"/>
    <cellStyle name="Tulostus 4 2_##Keskeiset" xfId="10491" xr:uid="{00000000-0005-0000-0000-0000738A0000}"/>
    <cellStyle name="Tulostus 4 20" xfId="27991" xr:uid="{00000000-0005-0000-0000-0000748A0000}"/>
    <cellStyle name="Tulostus 4 21" xfId="28085" xr:uid="{00000000-0005-0000-0000-0000758A0000}"/>
    <cellStyle name="Tulostus 4 22" xfId="28166" xr:uid="{00000000-0005-0000-0000-0000768A0000}"/>
    <cellStyle name="Tulostus 4 23" xfId="28169" xr:uid="{00000000-0005-0000-0000-0000778A0000}"/>
    <cellStyle name="Tulostus 4 24" xfId="28297" xr:uid="{00000000-0005-0000-0000-0000788A0000}"/>
    <cellStyle name="Tulostus 4 25" xfId="28361" xr:uid="{00000000-0005-0000-0000-0000798A0000}"/>
    <cellStyle name="Tulostus 4 26" xfId="28448" xr:uid="{00000000-0005-0000-0000-00007A8A0000}"/>
    <cellStyle name="Tulostus 4 27" xfId="28307" xr:uid="{00000000-0005-0000-0000-00007B8A0000}"/>
    <cellStyle name="Tulostus 4 28" xfId="28738" xr:uid="{00000000-0005-0000-0000-00007C8A0000}"/>
    <cellStyle name="Tulostus 4 29" xfId="28892" xr:uid="{00000000-0005-0000-0000-00007D8A0000}"/>
    <cellStyle name="Tulostus 4 3" xfId="5185" xr:uid="{00000000-0005-0000-0000-00007E8A0000}"/>
    <cellStyle name="Tulostus 4 3 2" xfId="5715" xr:uid="{00000000-0005-0000-0000-00007F8A0000}"/>
    <cellStyle name="Tulostus 4 3 2 2" xfId="12952" xr:uid="{00000000-0005-0000-0000-0000808A0000}"/>
    <cellStyle name="Tulostus 4 3 2 3" xfId="18927" xr:uid="{00000000-0005-0000-0000-0000818A0000}"/>
    <cellStyle name="Tulostus 4 3 2 3 2" xfId="20694" xr:uid="{00000000-0005-0000-0000-0000828A0000}"/>
    <cellStyle name="Tulostus 4 3 2 3_DataIX" xfId="35714" xr:uid="{00000000-0005-0000-0000-0000838A0000}"/>
    <cellStyle name="Tulostus 4 3 2 4" xfId="18933" xr:uid="{00000000-0005-0000-0000-0000848A0000}"/>
    <cellStyle name="Tulostus 4 3 2 4 2" xfId="13580" xr:uid="{00000000-0005-0000-0000-0000858A0000}"/>
    <cellStyle name="Tulostus 4 3 2 4_DataIX" xfId="35715" xr:uid="{00000000-0005-0000-0000-0000868A0000}"/>
    <cellStyle name="Tulostus 4 3 2_DataIX" xfId="35713" xr:uid="{00000000-0005-0000-0000-0000878A0000}"/>
    <cellStyle name="Tulostus 4 3 3" xfId="11192" xr:uid="{00000000-0005-0000-0000-0000888A0000}"/>
    <cellStyle name="Tulostus 4 3 4" xfId="18515" xr:uid="{00000000-0005-0000-0000-0000898A0000}"/>
    <cellStyle name="Tulostus 4 3 4 2" xfId="12707" xr:uid="{00000000-0005-0000-0000-00008A8A0000}"/>
    <cellStyle name="Tulostus 4 3 4_DataIX" xfId="35716" xr:uid="{00000000-0005-0000-0000-00008B8A0000}"/>
    <cellStyle name="Tulostus 4 3 5" xfId="20544" xr:uid="{00000000-0005-0000-0000-00008C8A0000}"/>
    <cellStyle name="Tulostus 4 3 5 2" xfId="13516" xr:uid="{00000000-0005-0000-0000-00008D8A0000}"/>
    <cellStyle name="Tulostus 4 3 5_DataIX" xfId="35717" xr:uid="{00000000-0005-0000-0000-00008E8A0000}"/>
    <cellStyle name="Tulostus 4 3_DataIX" xfId="35712" xr:uid="{00000000-0005-0000-0000-00008F8A0000}"/>
    <cellStyle name="Tulostus 4 30" xfId="28668" xr:uid="{00000000-0005-0000-0000-0000908A0000}"/>
    <cellStyle name="Tulostus 4 31" xfId="28822" xr:uid="{00000000-0005-0000-0000-0000918A0000}"/>
    <cellStyle name="Tulostus 4 32" xfId="29099" xr:uid="{00000000-0005-0000-0000-0000928A0000}"/>
    <cellStyle name="Tulostus 4 33" xfId="29121" xr:uid="{00000000-0005-0000-0000-0000938A0000}"/>
    <cellStyle name="Tulostus 4 4" xfId="5402" xr:uid="{00000000-0005-0000-0000-0000948A0000}"/>
    <cellStyle name="Tulostus 4 4 2" xfId="12953" xr:uid="{00000000-0005-0000-0000-0000958A0000}"/>
    <cellStyle name="Tulostus 4 4 3" xfId="18726" xr:uid="{00000000-0005-0000-0000-0000968A0000}"/>
    <cellStyle name="Tulostus 4 4 3 2" xfId="22081" xr:uid="{00000000-0005-0000-0000-0000978A0000}"/>
    <cellStyle name="Tulostus 4 4 3_DataIX" xfId="35719" xr:uid="{00000000-0005-0000-0000-0000988A0000}"/>
    <cellStyle name="Tulostus 4 4 4" xfId="20464" xr:uid="{00000000-0005-0000-0000-0000998A0000}"/>
    <cellStyle name="Tulostus 4 4 4 2" xfId="21793" xr:uid="{00000000-0005-0000-0000-00009A8A0000}"/>
    <cellStyle name="Tulostus 4 4 4_DataIX" xfId="35720" xr:uid="{00000000-0005-0000-0000-00009B8A0000}"/>
    <cellStyle name="Tulostus 4 4_DataIX" xfId="35718" xr:uid="{00000000-0005-0000-0000-00009C8A0000}"/>
    <cellStyle name="Tulostus 4 5" xfId="13269" xr:uid="{00000000-0005-0000-0000-00009D8A0000}"/>
    <cellStyle name="Tulostus 4 5 2" xfId="20858" xr:uid="{00000000-0005-0000-0000-00009E8A0000}"/>
    <cellStyle name="Tulostus 4 5 2 2" xfId="10892" xr:uid="{00000000-0005-0000-0000-00009F8A0000}"/>
    <cellStyle name="Tulostus 4 5 2_DataIX" xfId="35722" xr:uid="{00000000-0005-0000-0000-0000A08A0000}"/>
    <cellStyle name="Tulostus 4 5 3" xfId="21246" xr:uid="{00000000-0005-0000-0000-0000A18A0000}"/>
    <cellStyle name="Tulostus 4 5 3 2" xfId="22069" xr:uid="{00000000-0005-0000-0000-0000A28A0000}"/>
    <cellStyle name="Tulostus 4 5 3_DataIX" xfId="35723" xr:uid="{00000000-0005-0000-0000-0000A38A0000}"/>
    <cellStyle name="Tulostus 4 5 4" xfId="13017" xr:uid="{00000000-0005-0000-0000-0000A48A0000}"/>
    <cellStyle name="Tulostus 4 5 5" xfId="25238" xr:uid="{00000000-0005-0000-0000-0000A58A0000}"/>
    <cellStyle name="Tulostus 4 5 6" xfId="27016" xr:uid="{00000000-0005-0000-0000-0000A68A0000}"/>
    <cellStyle name="Tulostus 4 5 7" xfId="23010" xr:uid="{00000000-0005-0000-0000-0000A78A0000}"/>
    <cellStyle name="Tulostus 4 5_DataIX" xfId="35721" xr:uid="{00000000-0005-0000-0000-0000A88A0000}"/>
    <cellStyle name="Tulostus 4 6" xfId="13357" xr:uid="{00000000-0005-0000-0000-0000A98A0000}"/>
    <cellStyle name="Tulostus 4 6 2" xfId="20929" xr:uid="{00000000-0005-0000-0000-0000AA8A0000}"/>
    <cellStyle name="Tulostus 4 6 2 2" xfId="11239" xr:uid="{00000000-0005-0000-0000-0000AB8A0000}"/>
    <cellStyle name="Tulostus 4 6 2_DataIX" xfId="35725" xr:uid="{00000000-0005-0000-0000-0000AC8A0000}"/>
    <cellStyle name="Tulostus 4 6 3" xfId="21317" xr:uid="{00000000-0005-0000-0000-0000AD8A0000}"/>
    <cellStyle name="Tulostus 4 6 3 2" xfId="12945" xr:uid="{00000000-0005-0000-0000-0000AE8A0000}"/>
    <cellStyle name="Tulostus 4 6 3_DataIX" xfId="35726" xr:uid="{00000000-0005-0000-0000-0000AF8A0000}"/>
    <cellStyle name="Tulostus 4 6 4" xfId="13012" xr:uid="{00000000-0005-0000-0000-0000B08A0000}"/>
    <cellStyle name="Tulostus 4 6 5" xfId="26106" xr:uid="{00000000-0005-0000-0000-0000B18A0000}"/>
    <cellStyle name="Tulostus 4 6 6" xfId="27325" xr:uid="{00000000-0005-0000-0000-0000B28A0000}"/>
    <cellStyle name="Tulostus 4 6 7" xfId="22862" xr:uid="{00000000-0005-0000-0000-0000B38A0000}"/>
    <cellStyle name="Tulostus 4 6_DataIX" xfId="35724" xr:uid="{00000000-0005-0000-0000-0000B48A0000}"/>
    <cellStyle name="Tulostus 4 7" xfId="13307" xr:uid="{00000000-0005-0000-0000-0000B58A0000}"/>
    <cellStyle name="Tulostus 4 7 2" xfId="21284" xr:uid="{00000000-0005-0000-0000-0000B68A0000}"/>
    <cellStyle name="Tulostus 4 7 2 2" xfId="21498" xr:uid="{00000000-0005-0000-0000-0000B78A0000}"/>
    <cellStyle name="Tulostus 4 7 2_DataIX" xfId="35728" xr:uid="{00000000-0005-0000-0000-0000B88A0000}"/>
    <cellStyle name="Tulostus 4 7 3" xfId="13485" xr:uid="{00000000-0005-0000-0000-0000B98A0000}"/>
    <cellStyle name="Tulostus 4 7 4" xfId="25356" xr:uid="{00000000-0005-0000-0000-0000BA8A0000}"/>
    <cellStyle name="Tulostus 4 7 5" xfId="27068" xr:uid="{00000000-0005-0000-0000-0000BB8A0000}"/>
    <cellStyle name="Tulostus 4 7 6" xfId="27612" xr:uid="{00000000-0005-0000-0000-0000BC8A0000}"/>
    <cellStyle name="Tulostus 4 7_DataIX" xfId="35727" xr:uid="{00000000-0005-0000-0000-0000BD8A0000}"/>
    <cellStyle name="Tulostus 4 8" xfId="10754" xr:uid="{00000000-0005-0000-0000-0000BE8A0000}"/>
    <cellStyle name="Tulostus 4 8 2" xfId="21066" xr:uid="{00000000-0005-0000-0000-0000BF8A0000}"/>
    <cellStyle name="Tulostus 4 8 2 2" xfId="21892" xr:uid="{00000000-0005-0000-0000-0000C08A0000}"/>
    <cellStyle name="Tulostus 4 8 2_DataIX" xfId="35730" xr:uid="{00000000-0005-0000-0000-0000C18A0000}"/>
    <cellStyle name="Tulostus 4 8 3" xfId="21421" xr:uid="{00000000-0005-0000-0000-0000C28A0000}"/>
    <cellStyle name="Tulostus 4 8 4" xfId="25687" xr:uid="{00000000-0005-0000-0000-0000C38A0000}"/>
    <cellStyle name="Tulostus 4 8 5" xfId="27196" xr:uid="{00000000-0005-0000-0000-0000C48A0000}"/>
    <cellStyle name="Tulostus 4 8 6" xfId="26850" xr:uid="{00000000-0005-0000-0000-0000C58A0000}"/>
    <cellStyle name="Tulostus 4 8_DataIX" xfId="35729" xr:uid="{00000000-0005-0000-0000-0000C68A0000}"/>
    <cellStyle name="Tulostus 4 9" xfId="12801" xr:uid="{00000000-0005-0000-0000-0000C78A0000}"/>
    <cellStyle name="Tulostus 4 9 2" xfId="21094" xr:uid="{00000000-0005-0000-0000-0000C88A0000}"/>
    <cellStyle name="Tulostus 4 9 2 2" xfId="20668" xr:uid="{00000000-0005-0000-0000-0000C98A0000}"/>
    <cellStyle name="Tulostus 4 9 2_DataIX" xfId="35732" xr:uid="{00000000-0005-0000-0000-0000CA8A0000}"/>
    <cellStyle name="Tulostus 4 9 3" xfId="10953" xr:uid="{00000000-0005-0000-0000-0000CB8A0000}"/>
    <cellStyle name="Tulostus 4 9 4" xfId="25544" xr:uid="{00000000-0005-0000-0000-0000CC8A0000}"/>
    <cellStyle name="Tulostus 4 9 5" xfId="27142" xr:uid="{00000000-0005-0000-0000-0000CD8A0000}"/>
    <cellStyle name="Tulostus 4 9 6" xfId="22947" xr:uid="{00000000-0005-0000-0000-0000CE8A0000}"/>
    <cellStyle name="Tulostus 4 9_DataIX" xfId="35731" xr:uid="{00000000-0005-0000-0000-0000CF8A0000}"/>
    <cellStyle name="Tulostus 4_##Keskeiset" xfId="10490" xr:uid="{00000000-0005-0000-0000-0000D08A0000}"/>
    <cellStyle name="Tulostus 5" xfId="5716" xr:uid="{00000000-0005-0000-0000-0000D18A0000}"/>
    <cellStyle name="Tulostus 5 2" xfId="10549" xr:uid="{00000000-0005-0000-0000-0000D28A0000}"/>
    <cellStyle name="Tulostus 5 2 2" xfId="12955" xr:uid="{00000000-0005-0000-0000-0000D38A0000}"/>
    <cellStyle name="Tulostus 5 2 3" xfId="20331" xr:uid="{00000000-0005-0000-0000-0000D48A0000}"/>
    <cellStyle name="Tulostus 5 2 3 2" xfId="21879" xr:uid="{00000000-0005-0000-0000-0000D58A0000}"/>
    <cellStyle name="Tulostus 5 2 3_DataIX" xfId="35735" xr:uid="{00000000-0005-0000-0000-0000D68A0000}"/>
    <cellStyle name="Tulostus 5 2 4" xfId="20971" xr:uid="{00000000-0005-0000-0000-0000D78A0000}"/>
    <cellStyle name="Tulostus 5 2 4 2" xfId="21433" xr:uid="{00000000-0005-0000-0000-0000D88A0000}"/>
    <cellStyle name="Tulostus 5 2 4_DataIX" xfId="35736" xr:uid="{00000000-0005-0000-0000-0000D98A0000}"/>
    <cellStyle name="Tulostus 5 2_DataIX" xfId="35734" xr:uid="{00000000-0005-0000-0000-0000DA8A0000}"/>
    <cellStyle name="Tulostus 5 3" xfId="12954" xr:uid="{00000000-0005-0000-0000-0000DB8A0000}"/>
    <cellStyle name="Tulostus 5 4" xfId="18928" xr:uid="{00000000-0005-0000-0000-0000DC8A0000}"/>
    <cellStyle name="Tulostus 5 4 2" xfId="11116" xr:uid="{00000000-0005-0000-0000-0000DD8A0000}"/>
    <cellStyle name="Tulostus 5 4_DataIX" xfId="35737" xr:uid="{00000000-0005-0000-0000-0000DE8A0000}"/>
    <cellStyle name="Tulostus 5 5" xfId="20416" xr:uid="{00000000-0005-0000-0000-0000DF8A0000}"/>
    <cellStyle name="Tulostus 5 5 2" xfId="21413" xr:uid="{00000000-0005-0000-0000-0000E08A0000}"/>
    <cellStyle name="Tulostus 5 5_DataIX" xfId="35738" xr:uid="{00000000-0005-0000-0000-0000E18A0000}"/>
    <cellStyle name="Tulostus 5 6" xfId="27799" xr:uid="{00000000-0005-0000-0000-0000E28A0000}"/>
    <cellStyle name="Tulostus 5_DataIX" xfId="35733" xr:uid="{00000000-0005-0000-0000-0000E38A0000}"/>
    <cellStyle name="Tulostus 6" xfId="5306" xr:uid="{00000000-0005-0000-0000-0000E48A0000}"/>
    <cellStyle name="Tulostus 6 2" xfId="12956" xr:uid="{00000000-0005-0000-0000-0000E58A0000}"/>
    <cellStyle name="Tulostus 6 3" xfId="18630" xr:uid="{00000000-0005-0000-0000-0000E68A0000}"/>
    <cellStyle name="Tulostus 6_DataIX" xfId="35739" xr:uid="{00000000-0005-0000-0000-0000E78A0000}"/>
    <cellStyle name="Tulostus 7" xfId="5355" xr:uid="{00000000-0005-0000-0000-0000E88A0000}"/>
    <cellStyle name="Tulostus 7 2" xfId="12957" xr:uid="{00000000-0005-0000-0000-0000E98A0000}"/>
    <cellStyle name="Tulostus 7 3" xfId="18679" xr:uid="{00000000-0005-0000-0000-0000EA8A0000}"/>
    <cellStyle name="Tulostus 7_DataIX" xfId="35740" xr:uid="{00000000-0005-0000-0000-0000EB8A0000}"/>
    <cellStyle name="Tulostus 8" xfId="10550" xr:uid="{00000000-0005-0000-0000-0000EC8A0000}"/>
    <cellStyle name="Tulostus 8 2" xfId="12958" xr:uid="{00000000-0005-0000-0000-0000ED8A0000}"/>
    <cellStyle name="Tulostus 8 3" xfId="20332" xr:uid="{00000000-0005-0000-0000-0000EE8A0000}"/>
    <cellStyle name="Tulostus 8_DataIX" xfId="35741" xr:uid="{00000000-0005-0000-0000-0000EF8A0000}"/>
    <cellStyle name="Tulostus 9" xfId="10583" xr:uid="{00000000-0005-0000-0000-0000F08A0000}"/>
    <cellStyle name="Tulostus 9 2" xfId="12959" xr:uid="{00000000-0005-0000-0000-0000F18A0000}"/>
    <cellStyle name="Tulostus 9 3" xfId="20365" xr:uid="{00000000-0005-0000-0000-0000F28A0000}"/>
    <cellStyle name="Tulostus 9_DataIX" xfId="35742" xr:uid="{00000000-0005-0000-0000-0000F38A0000}"/>
    <cellStyle name="Tulostus_##KansantalKehitys" xfId="5450" xr:uid="{00000000-0005-0000-0000-0000F48A0000}"/>
    <cellStyle name="Undefiniert" xfId="5121" xr:uid="{00000000-0005-0000-0000-0000F58A0000}"/>
    <cellStyle name="Undefiniert 2" xfId="10493" xr:uid="{00000000-0005-0000-0000-0000F68A0000}"/>
    <cellStyle name="Undefiniert 3" xfId="18460" xr:uid="{00000000-0005-0000-0000-0000F78A0000}"/>
    <cellStyle name="Undefiniert_DataIX" xfId="35743" xr:uid="{00000000-0005-0000-0000-0000F88A0000}"/>
    <cellStyle name="USD" xfId="5122" xr:uid="{00000000-0005-0000-0000-0000F98A0000}"/>
    <cellStyle name="USD 2" xfId="10494" xr:uid="{00000000-0005-0000-0000-0000FA8A0000}"/>
    <cellStyle name="USD 3" xfId="18461" xr:uid="{00000000-0005-0000-0000-0000FB8A0000}"/>
    <cellStyle name="USD Paren" xfId="5123" xr:uid="{00000000-0005-0000-0000-0000FC8A0000}"/>
    <cellStyle name="USD Paren 2" xfId="10495" xr:uid="{00000000-0005-0000-0000-0000FD8A0000}"/>
    <cellStyle name="USD Paren 3" xfId="18462" xr:uid="{00000000-0005-0000-0000-0000FE8A0000}"/>
    <cellStyle name="USD Paren_DataIX" xfId="35744" xr:uid="{00000000-0005-0000-0000-0000FF8A0000}"/>
    <cellStyle name="USD_Black Box 10 UNLOCKED" xfId="5124" xr:uid="{00000000-0005-0000-0000-0000008B0000}"/>
    <cellStyle name="Valuutta 2" xfId="5125" xr:uid="{00000000-0005-0000-0000-0000018B0000}"/>
    <cellStyle name="Valuutta 2 2" xfId="5126" xr:uid="{00000000-0005-0000-0000-0000028B0000}"/>
    <cellStyle name="Valuutta 2 2 2" xfId="5127" xr:uid="{00000000-0005-0000-0000-0000038B0000}"/>
    <cellStyle name="Valuutta 2 2 2 2" xfId="10498" xr:uid="{00000000-0005-0000-0000-0000048B0000}"/>
    <cellStyle name="Valuutta 2 2 2 3" xfId="18465" xr:uid="{00000000-0005-0000-0000-0000058B0000}"/>
    <cellStyle name="Valuutta 2 2 2_DataIX" xfId="35747" xr:uid="{00000000-0005-0000-0000-0000068B0000}"/>
    <cellStyle name="Valuutta 2 2 3" xfId="10497" xr:uid="{00000000-0005-0000-0000-0000078B0000}"/>
    <cellStyle name="Valuutta 2 2 4" xfId="18464" xr:uid="{00000000-0005-0000-0000-0000088B0000}"/>
    <cellStyle name="Valuutta 2 2_DataIX" xfId="35746" xr:uid="{00000000-0005-0000-0000-0000098B0000}"/>
    <cellStyle name="Valuutta 2 3" xfId="5128" xr:uid="{00000000-0005-0000-0000-00000A8B0000}"/>
    <cellStyle name="Valuutta 2 3 2" xfId="10499" xr:uid="{00000000-0005-0000-0000-00000B8B0000}"/>
    <cellStyle name="Valuutta 2 3 3" xfId="18466" xr:uid="{00000000-0005-0000-0000-00000C8B0000}"/>
    <cellStyle name="Valuutta 2 3_DataIX" xfId="35748" xr:uid="{00000000-0005-0000-0000-00000D8B0000}"/>
    <cellStyle name="Valuutta 2 4" xfId="10496" xr:uid="{00000000-0005-0000-0000-00000E8B0000}"/>
    <cellStyle name="Valuutta 2 5" xfId="18463" xr:uid="{00000000-0005-0000-0000-00000F8B0000}"/>
    <cellStyle name="Valuutta 2_DataIX" xfId="35745" xr:uid="{00000000-0005-0000-0000-0000108B0000}"/>
    <cellStyle name="Valuutta 3" xfId="5129" xr:uid="{00000000-0005-0000-0000-0000118B0000}"/>
    <cellStyle name="Valuutta 3 2" xfId="10500" xr:uid="{00000000-0005-0000-0000-0000128B0000}"/>
    <cellStyle name="Valuutta 3 3" xfId="18467" xr:uid="{00000000-0005-0000-0000-0000138B0000}"/>
    <cellStyle name="Valuutta 3_DataIX" xfId="35749" xr:uid="{00000000-0005-0000-0000-0000148B0000}"/>
    <cellStyle name="Valuutta 4" xfId="5130" xr:uid="{00000000-0005-0000-0000-0000158B0000}"/>
    <cellStyle name="Valuutta 4 2" xfId="10501" xr:uid="{00000000-0005-0000-0000-0000168B0000}"/>
    <cellStyle name="Valuutta 4 3" xfId="18468" xr:uid="{00000000-0005-0000-0000-0000178B0000}"/>
    <cellStyle name="Valuutta 4_DataIX" xfId="35750" xr:uid="{00000000-0005-0000-0000-0000188B0000}"/>
    <cellStyle name="Valuutta 5" xfId="5131" xr:uid="{00000000-0005-0000-0000-0000198B0000}"/>
    <cellStyle name="Valuutta 5 2" xfId="5132" xr:uid="{00000000-0005-0000-0000-00001A8B0000}"/>
    <cellStyle name="Valuutta 5 2 2" xfId="10503" xr:uid="{00000000-0005-0000-0000-00001B8B0000}"/>
    <cellStyle name="Valuutta 5 2 3" xfId="18470" xr:uid="{00000000-0005-0000-0000-00001C8B0000}"/>
    <cellStyle name="Valuutta 5 2_DataIX" xfId="35752" xr:uid="{00000000-0005-0000-0000-00001D8B0000}"/>
    <cellStyle name="Valuutta 5 3" xfId="10502" xr:uid="{00000000-0005-0000-0000-00001E8B0000}"/>
    <cellStyle name="Valuutta 5 4" xfId="18469" xr:uid="{00000000-0005-0000-0000-00001F8B0000}"/>
    <cellStyle name="Valuutta 5_DataIX" xfId="35751" xr:uid="{00000000-0005-0000-0000-0000208B0000}"/>
    <cellStyle name="Valuutta 6" xfId="5133" xr:uid="{00000000-0005-0000-0000-0000218B0000}"/>
    <cellStyle name="Valuutta 6 2" xfId="5134" xr:uid="{00000000-0005-0000-0000-0000228B0000}"/>
    <cellStyle name="Valuutta 6 2 2" xfId="10505" xr:uid="{00000000-0005-0000-0000-0000238B0000}"/>
    <cellStyle name="Valuutta 6 2 3" xfId="18472" xr:uid="{00000000-0005-0000-0000-0000248B0000}"/>
    <cellStyle name="Valuutta 6 2_DataIX" xfId="35754" xr:uid="{00000000-0005-0000-0000-0000258B0000}"/>
    <cellStyle name="Valuutta 6 3" xfId="10504" xr:uid="{00000000-0005-0000-0000-0000268B0000}"/>
    <cellStyle name="Valuutta 6 4" xfId="18471" xr:uid="{00000000-0005-0000-0000-0000278B0000}"/>
    <cellStyle name="Valuutta 6_DataIX" xfId="35753" xr:uid="{00000000-0005-0000-0000-0000288B0000}"/>
    <cellStyle name="Valuutta 7" xfId="5135" xr:uid="{00000000-0005-0000-0000-0000298B0000}"/>
    <cellStyle name="Valuutta 7 2" xfId="10506" xr:uid="{00000000-0005-0000-0000-00002A8B0000}"/>
    <cellStyle name="Valuutta 7 3" xfId="18473" xr:uid="{00000000-0005-0000-0000-00002B8B0000}"/>
    <cellStyle name="Valuutta 7_DataIX" xfId="35755" xr:uid="{00000000-0005-0000-0000-00002C8B0000}"/>
    <cellStyle name="Valuutta 8" xfId="5136" xr:uid="{00000000-0005-0000-0000-00002D8B0000}"/>
    <cellStyle name="Valuutta 8 2" xfId="10507" xr:uid="{00000000-0005-0000-0000-00002E8B0000}"/>
    <cellStyle name="Valuutta 8 3" xfId="18474" xr:uid="{00000000-0005-0000-0000-00002F8B0000}"/>
    <cellStyle name="Valuutta 8_DataIX" xfId="35756" xr:uid="{00000000-0005-0000-0000-0000308B0000}"/>
    <cellStyle name="Varoitusteksti" xfId="368" xr:uid="{00000000-0005-0000-0000-0000318B0000}"/>
    <cellStyle name="Varoitusteksti 10" xfId="25801" xr:uid="{00000000-0005-0000-0000-0000328B0000}"/>
    <cellStyle name="Varoitusteksti 2" xfId="251" xr:uid="{00000000-0005-0000-0000-0000338B0000}"/>
    <cellStyle name="Varoitusteksti 2 10" xfId="25789" xr:uid="{00000000-0005-0000-0000-0000348B0000}"/>
    <cellStyle name="Varoitusteksti 2 2" xfId="5138" xr:uid="{00000000-0005-0000-0000-0000358B0000}"/>
    <cellStyle name="Varoitusteksti 2 2 2" xfId="10511" xr:uid="{00000000-0005-0000-0000-0000368B0000}"/>
    <cellStyle name="Varoitusteksti 2 2 3" xfId="18476" xr:uid="{00000000-0005-0000-0000-0000378B0000}"/>
    <cellStyle name="Varoitusteksti 2 2_DataIX" xfId="35759" xr:uid="{00000000-0005-0000-0000-0000388B0000}"/>
    <cellStyle name="Varoitusteksti 2 3" xfId="25241" xr:uid="{00000000-0005-0000-0000-0000398B0000}"/>
    <cellStyle name="Varoitusteksti 2 4" xfId="26104" xr:uid="{00000000-0005-0000-0000-00003A8B0000}"/>
    <cellStyle name="Varoitusteksti 2 5" xfId="25967" xr:uid="{00000000-0005-0000-0000-00003B8B0000}"/>
    <cellStyle name="Varoitusteksti 2 6" xfId="25946" xr:uid="{00000000-0005-0000-0000-00003C8B0000}"/>
    <cellStyle name="Varoitusteksti 2 7" xfId="25292" xr:uid="{00000000-0005-0000-0000-00003D8B0000}"/>
    <cellStyle name="Varoitusteksti 2 8" xfId="25677" xr:uid="{00000000-0005-0000-0000-00003E8B0000}"/>
    <cellStyle name="Varoitusteksti 2 9" xfId="25497" xr:uid="{00000000-0005-0000-0000-00003F8B0000}"/>
    <cellStyle name="Varoitusteksti 2_##Keskeiset" xfId="10510" xr:uid="{00000000-0005-0000-0000-0000408B0000}"/>
    <cellStyle name="Varoitusteksti 3" xfId="250" xr:uid="{00000000-0005-0000-0000-0000418B0000}"/>
    <cellStyle name="Varoitusteksti 3 2" xfId="25242" xr:uid="{00000000-0005-0000-0000-0000428B0000}"/>
    <cellStyle name="Varoitusteksti 3 3" xfId="25014" xr:uid="{00000000-0005-0000-0000-0000438B0000}"/>
    <cellStyle name="Varoitusteksti 3_DataIX" xfId="35760" xr:uid="{00000000-0005-0000-0000-0000448B0000}"/>
    <cellStyle name="Varoitusteksti 4" xfId="5719" xr:uid="{00000000-0005-0000-0000-0000458B0000}"/>
    <cellStyle name="Varoitusteksti 4 2" xfId="12961" xr:uid="{00000000-0005-0000-0000-0000468B0000}"/>
    <cellStyle name="Varoitusteksti 4 3" xfId="18930" xr:uid="{00000000-0005-0000-0000-0000478B0000}"/>
    <cellStyle name="Varoitusteksti 4 4" xfId="27800" xr:uid="{00000000-0005-0000-0000-0000488B0000}"/>
    <cellStyle name="Varoitusteksti 4_DataIX" xfId="35761" xr:uid="{00000000-0005-0000-0000-0000498B0000}"/>
    <cellStyle name="Varoitusteksti 5" xfId="10639" xr:uid="{00000000-0005-0000-0000-00004A8B0000}"/>
    <cellStyle name="Varoitusteksti 6" xfId="25674" xr:uid="{00000000-0005-0000-0000-00004B8B0000}"/>
    <cellStyle name="Varoitusteksti 7" xfId="25324" xr:uid="{00000000-0005-0000-0000-00004C8B0000}"/>
    <cellStyle name="Varoitusteksti 8" xfId="26396" xr:uid="{00000000-0005-0000-0000-00004D8B0000}"/>
    <cellStyle name="Varoitusteksti 9" xfId="26379" xr:uid="{00000000-0005-0000-0000-00004E8B0000}"/>
    <cellStyle name="Varoitusteksti_##KansantalKehitys" xfId="5451" xr:uid="{00000000-0005-0000-0000-00004F8B0000}"/>
    <cellStyle name="Warning Text" xfId="128" xr:uid="{00000000-0005-0000-0000-0000508B0000}"/>
    <cellStyle name="Warning Text 2" xfId="129" xr:uid="{00000000-0005-0000-0000-0000518B0000}"/>
    <cellStyle name="Warning Text 2 10" xfId="25594" xr:uid="{00000000-0005-0000-0000-0000528B0000}"/>
    <cellStyle name="Warning Text 2 2" xfId="5137" xr:uid="{00000000-0005-0000-0000-0000538B0000}"/>
    <cellStyle name="Warning Text 2 2 2" xfId="10509" xr:uid="{00000000-0005-0000-0000-0000548B0000}"/>
    <cellStyle name="Warning Text 2 2 3" xfId="18475" xr:uid="{00000000-0005-0000-0000-0000558B0000}"/>
    <cellStyle name="Warning Text 2 2_DataIX" xfId="35757" xr:uid="{00000000-0005-0000-0000-0000568B0000}"/>
    <cellStyle name="Warning Text 2 3" xfId="25240" xr:uid="{00000000-0005-0000-0000-0000578B0000}"/>
    <cellStyle name="Warning Text 2 4" xfId="26105" xr:uid="{00000000-0005-0000-0000-0000588B0000}"/>
    <cellStyle name="Warning Text 2 5" xfId="25780" xr:uid="{00000000-0005-0000-0000-0000598B0000}"/>
    <cellStyle name="Warning Text 2 6" xfId="25897" xr:uid="{00000000-0005-0000-0000-00005A8B0000}"/>
    <cellStyle name="Warning Text 2 7" xfId="25434" xr:uid="{00000000-0005-0000-0000-00005B8B0000}"/>
    <cellStyle name="Warning Text 2 8" xfId="25826" xr:uid="{00000000-0005-0000-0000-00005C8B0000}"/>
    <cellStyle name="Warning Text 2 9" xfId="25304" xr:uid="{00000000-0005-0000-0000-00005D8B0000}"/>
    <cellStyle name="Warning Text 2_##Keskeiset" xfId="10508" xr:uid="{00000000-0005-0000-0000-00005E8B0000}"/>
    <cellStyle name="Warning Text 3" xfId="5718" xr:uid="{00000000-0005-0000-0000-00005F8B0000}"/>
    <cellStyle name="Warning Text 3 2" xfId="12960" xr:uid="{00000000-0005-0000-0000-0000608B0000}"/>
    <cellStyle name="Warning Text 3 3" xfId="18929" xr:uid="{00000000-0005-0000-0000-0000618B0000}"/>
    <cellStyle name="Warning Text 3_DataIX" xfId="35758" xr:uid="{00000000-0005-0000-0000-0000628B0000}"/>
    <cellStyle name="Warning Text_##Keskeiset" xfId="5717" xr:uid="{00000000-0005-0000-0000-0000638B0000}"/>
    <cellStyle name="WebAnchor1" xfId="5139" xr:uid="{00000000-0005-0000-0000-0000648B0000}"/>
    <cellStyle name="WebAnchor1 2" xfId="10512" xr:uid="{00000000-0005-0000-0000-0000658B0000}"/>
    <cellStyle name="WebAnchor1 3" xfId="18477" xr:uid="{00000000-0005-0000-0000-0000668B0000}"/>
    <cellStyle name="WebAnchor1_DataIX" xfId="35762" xr:uid="{00000000-0005-0000-0000-0000678B0000}"/>
    <cellStyle name="WebAnchor2" xfId="5140" xr:uid="{00000000-0005-0000-0000-0000688B0000}"/>
    <cellStyle name="WebAnchor2 2" xfId="10513" xr:uid="{00000000-0005-0000-0000-0000698B0000}"/>
    <cellStyle name="WebAnchor2 3" xfId="18478" xr:uid="{00000000-0005-0000-0000-00006A8B0000}"/>
    <cellStyle name="WebAnchor2_DataIX" xfId="35763" xr:uid="{00000000-0005-0000-0000-00006B8B0000}"/>
    <cellStyle name="WebAnchor3" xfId="5141" xr:uid="{00000000-0005-0000-0000-00006C8B0000}"/>
    <cellStyle name="WebAnchor3 2" xfId="10514" xr:uid="{00000000-0005-0000-0000-00006D8B0000}"/>
    <cellStyle name="WebAnchor3 3" xfId="18479" xr:uid="{00000000-0005-0000-0000-00006E8B0000}"/>
    <cellStyle name="WebAnchor3_DataIX" xfId="35764" xr:uid="{00000000-0005-0000-0000-00006F8B0000}"/>
    <cellStyle name="WebAnchor4" xfId="5142" xr:uid="{00000000-0005-0000-0000-0000708B0000}"/>
    <cellStyle name="WebAnchor4 2" xfId="10515" xr:uid="{00000000-0005-0000-0000-0000718B0000}"/>
    <cellStyle name="WebAnchor4 3" xfId="18480" xr:uid="{00000000-0005-0000-0000-0000728B0000}"/>
    <cellStyle name="WebAnchor4_DataIX" xfId="35765" xr:uid="{00000000-0005-0000-0000-0000738B0000}"/>
    <cellStyle name="WebAnchor5" xfId="5143" xr:uid="{00000000-0005-0000-0000-0000748B0000}"/>
    <cellStyle name="WebAnchor5 2" xfId="10516" xr:uid="{00000000-0005-0000-0000-0000758B0000}"/>
    <cellStyle name="WebAnchor5 3" xfId="18481" xr:uid="{00000000-0005-0000-0000-0000768B0000}"/>
    <cellStyle name="WebAnchor5_DataIX" xfId="35766" xr:uid="{00000000-0005-0000-0000-0000778B0000}"/>
    <cellStyle name="WebAnchor6" xfId="5144" xr:uid="{00000000-0005-0000-0000-0000788B0000}"/>
    <cellStyle name="WebAnchor6 2" xfId="10517" xr:uid="{00000000-0005-0000-0000-0000798B0000}"/>
    <cellStyle name="WebAnchor6 3" xfId="18482" xr:uid="{00000000-0005-0000-0000-00007A8B0000}"/>
    <cellStyle name="WebAnchor6_DataIX" xfId="35767" xr:uid="{00000000-0005-0000-0000-00007B8B0000}"/>
    <cellStyle name="WebAnchor7" xfId="5145" xr:uid="{00000000-0005-0000-0000-00007C8B0000}"/>
    <cellStyle name="WebAnchor7 2" xfId="10518" xr:uid="{00000000-0005-0000-0000-00007D8B0000}"/>
    <cellStyle name="WebAnchor7 3" xfId="18483" xr:uid="{00000000-0005-0000-0000-00007E8B0000}"/>
    <cellStyle name="WebAnchor7_DataIX" xfId="35768" xr:uid="{00000000-0005-0000-0000-00007F8B0000}"/>
    <cellStyle name="WebBold" xfId="5146" xr:uid="{00000000-0005-0000-0000-0000808B0000}"/>
    <cellStyle name="WebBold 2" xfId="10519" xr:uid="{00000000-0005-0000-0000-0000818B0000}"/>
    <cellStyle name="WebBold 3" xfId="18484" xr:uid="{00000000-0005-0000-0000-0000828B0000}"/>
    <cellStyle name="WebBold_DataIX" xfId="35769" xr:uid="{00000000-0005-0000-0000-0000838B0000}"/>
    <cellStyle name="WebDate" xfId="5147" xr:uid="{00000000-0005-0000-0000-0000848B0000}"/>
    <cellStyle name="WebDate 2" xfId="10520" xr:uid="{00000000-0005-0000-0000-0000858B0000}"/>
    <cellStyle name="WebDate 3" xfId="18485" xr:uid="{00000000-0005-0000-0000-0000868B0000}"/>
    <cellStyle name="WebDate_DataIX" xfId="35770" xr:uid="{00000000-0005-0000-0000-0000878B0000}"/>
    <cellStyle name="WebExclude" xfId="5148" xr:uid="{00000000-0005-0000-0000-0000888B0000}"/>
    <cellStyle name="WebExclude 2" xfId="10521" xr:uid="{00000000-0005-0000-0000-0000898B0000}"/>
    <cellStyle name="WebExclude 3" xfId="18486" xr:uid="{00000000-0005-0000-0000-00008A8B0000}"/>
    <cellStyle name="WebExclude_DataIX" xfId="35771" xr:uid="{00000000-0005-0000-0000-00008B8B0000}"/>
    <cellStyle name="WebFN" xfId="5149" xr:uid="{00000000-0005-0000-0000-00008C8B0000}"/>
    <cellStyle name="WebFN 2" xfId="10522" xr:uid="{00000000-0005-0000-0000-00008D8B0000}"/>
    <cellStyle name="WebFN 3" xfId="18487" xr:uid="{00000000-0005-0000-0000-00008E8B0000}"/>
    <cellStyle name="WebFN_DataIX" xfId="35772" xr:uid="{00000000-0005-0000-0000-00008F8B0000}"/>
    <cellStyle name="WebFN1" xfId="5150" xr:uid="{00000000-0005-0000-0000-0000908B0000}"/>
    <cellStyle name="WebFN1 2" xfId="10523" xr:uid="{00000000-0005-0000-0000-0000918B0000}"/>
    <cellStyle name="WebFN1 3" xfId="18488" xr:uid="{00000000-0005-0000-0000-0000928B0000}"/>
    <cellStyle name="WebFN1_DataIX" xfId="35773" xr:uid="{00000000-0005-0000-0000-0000938B0000}"/>
    <cellStyle name="WebFN2" xfId="5151" xr:uid="{00000000-0005-0000-0000-0000948B0000}"/>
    <cellStyle name="WebFN2 2" xfId="10524" xr:uid="{00000000-0005-0000-0000-0000958B0000}"/>
    <cellStyle name="WebFN2 3" xfId="18489" xr:uid="{00000000-0005-0000-0000-0000968B0000}"/>
    <cellStyle name="WebFN2_DataIX" xfId="35774" xr:uid="{00000000-0005-0000-0000-0000978B0000}"/>
    <cellStyle name="WebFN3" xfId="5152" xr:uid="{00000000-0005-0000-0000-0000988B0000}"/>
    <cellStyle name="WebFN3 2" xfId="10525" xr:uid="{00000000-0005-0000-0000-0000998B0000}"/>
    <cellStyle name="WebFN3 3" xfId="18490" xr:uid="{00000000-0005-0000-0000-00009A8B0000}"/>
    <cellStyle name="WebFN3_DataIX" xfId="35775" xr:uid="{00000000-0005-0000-0000-00009B8B0000}"/>
    <cellStyle name="WebFN4" xfId="5153" xr:uid="{00000000-0005-0000-0000-00009C8B0000}"/>
    <cellStyle name="WebFN4 2" xfId="10526" xr:uid="{00000000-0005-0000-0000-00009D8B0000}"/>
    <cellStyle name="WebFN4 3" xfId="18491" xr:uid="{00000000-0005-0000-0000-00009E8B0000}"/>
    <cellStyle name="WebFN4_DataIX" xfId="35776" xr:uid="{00000000-0005-0000-0000-00009F8B0000}"/>
    <cellStyle name="WebHR" xfId="5154" xr:uid="{00000000-0005-0000-0000-0000A08B0000}"/>
    <cellStyle name="WebHR 2" xfId="10527" xr:uid="{00000000-0005-0000-0000-0000A18B0000}"/>
    <cellStyle name="WebHR 3" xfId="18492" xr:uid="{00000000-0005-0000-0000-0000A28B0000}"/>
    <cellStyle name="WebHR_DataIX" xfId="35777" xr:uid="{00000000-0005-0000-0000-0000A38B0000}"/>
    <cellStyle name="WebIndent1" xfId="5155" xr:uid="{00000000-0005-0000-0000-0000A48B0000}"/>
    <cellStyle name="WebIndent1 2" xfId="10528" xr:uid="{00000000-0005-0000-0000-0000A58B0000}"/>
    <cellStyle name="WebIndent1 3" xfId="18493" xr:uid="{00000000-0005-0000-0000-0000A68B0000}"/>
    <cellStyle name="WebIndent1_DataIX" xfId="35778" xr:uid="{00000000-0005-0000-0000-0000A78B0000}"/>
    <cellStyle name="WebIndent1wFN3" xfId="5156" xr:uid="{00000000-0005-0000-0000-0000A88B0000}"/>
    <cellStyle name="WebIndent1wFN3 2" xfId="10529" xr:uid="{00000000-0005-0000-0000-0000A98B0000}"/>
    <cellStyle name="WebIndent1wFN3 3" xfId="18494" xr:uid="{00000000-0005-0000-0000-0000AA8B0000}"/>
    <cellStyle name="WebIndent1wFN3_DataIX" xfId="35779" xr:uid="{00000000-0005-0000-0000-0000AB8B0000}"/>
    <cellStyle name="WebIndent2" xfId="5157" xr:uid="{00000000-0005-0000-0000-0000AC8B0000}"/>
    <cellStyle name="WebIndent2 2" xfId="10530" xr:uid="{00000000-0005-0000-0000-0000AD8B0000}"/>
    <cellStyle name="WebIndent2 3" xfId="18495" xr:uid="{00000000-0005-0000-0000-0000AE8B0000}"/>
    <cellStyle name="WebIndent2_DataIX" xfId="35780" xr:uid="{00000000-0005-0000-0000-0000AF8B0000}"/>
    <cellStyle name="WebNoBR" xfId="5158" xr:uid="{00000000-0005-0000-0000-0000B08B0000}"/>
    <cellStyle name="WebNoBR 2" xfId="10531" xr:uid="{00000000-0005-0000-0000-0000B18B0000}"/>
    <cellStyle name="WebNoBR 3" xfId="18496" xr:uid="{00000000-0005-0000-0000-0000B28B0000}"/>
    <cellStyle name="WebNoBR_DataIX" xfId="35781" xr:uid="{00000000-0005-0000-0000-0000B38B0000}"/>
    <cellStyle name="Währung [0]_Ansatz" xfId="5159" xr:uid="{00000000-0005-0000-0000-0000B48B0000}"/>
    <cellStyle name="Währung_Ansatz" xfId="5160" xr:uid="{00000000-0005-0000-0000-0000B58B0000}"/>
    <cellStyle name="Záhlaví 1" xfId="5161" xr:uid="{00000000-0005-0000-0000-0000B68B0000}"/>
    <cellStyle name="Záhlaví 1 2" xfId="10532" xr:uid="{00000000-0005-0000-0000-0000B78B0000}"/>
    <cellStyle name="Záhlaví 1 3" xfId="18497" xr:uid="{00000000-0005-0000-0000-0000B88B0000}"/>
    <cellStyle name="Záhlaví 1_DataIX" xfId="35782" xr:uid="{00000000-0005-0000-0000-0000B98B0000}"/>
    <cellStyle name="Záhlaví 2" xfId="5162" xr:uid="{00000000-0005-0000-0000-0000BA8B0000}"/>
    <cellStyle name="Záhlaví 2 2" xfId="10533" xr:uid="{00000000-0005-0000-0000-0000BB8B0000}"/>
    <cellStyle name="Záhlaví 2 3" xfId="18498" xr:uid="{00000000-0005-0000-0000-0000BC8B0000}"/>
    <cellStyle name="Záhlaví 2_DataIX" xfId="35783" xr:uid="{00000000-0005-0000-0000-0000BD8B0000}"/>
    <cellStyle name="ДАТА" xfId="5163" xr:uid="{00000000-0005-0000-0000-0000BE8B0000}"/>
    <cellStyle name="ДАТА 2" xfId="10534" xr:uid="{00000000-0005-0000-0000-0000BF8B0000}"/>
    <cellStyle name="ДАТА 3" xfId="18499" xr:uid="{00000000-0005-0000-0000-0000C08B0000}"/>
    <cellStyle name="ДАТА_DataIX" xfId="35784" xr:uid="{00000000-0005-0000-0000-0000C18B0000}"/>
    <cellStyle name="Денежный [0]_BARNARD" xfId="5164" xr:uid="{00000000-0005-0000-0000-0000C28B0000}"/>
    <cellStyle name="Денежный_BARNARD" xfId="5165" xr:uid="{00000000-0005-0000-0000-0000C38B0000}"/>
    <cellStyle name="ЗАГОЛОВОК1" xfId="5166" xr:uid="{00000000-0005-0000-0000-0000C48B0000}"/>
    <cellStyle name="ЗАГОЛОВОК1 2" xfId="10535" xr:uid="{00000000-0005-0000-0000-0000C58B0000}"/>
    <cellStyle name="ЗАГОЛОВОК1 3" xfId="18500" xr:uid="{00000000-0005-0000-0000-0000C68B0000}"/>
    <cellStyle name="ЗАГОЛОВОК1_DataIX" xfId="35785" xr:uid="{00000000-0005-0000-0000-0000C78B0000}"/>
    <cellStyle name="ЗАГОЛОВОК2" xfId="5167" xr:uid="{00000000-0005-0000-0000-0000C88B0000}"/>
    <cellStyle name="ЗАГОЛОВОК2 2" xfId="10536" xr:uid="{00000000-0005-0000-0000-0000C98B0000}"/>
    <cellStyle name="ЗАГОЛОВОК2 3" xfId="18501" xr:uid="{00000000-0005-0000-0000-0000CA8B0000}"/>
    <cellStyle name="ЗАГОЛОВОК2_DataIX" xfId="35786" xr:uid="{00000000-0005-0000-0000-0000CB8B0000}"/>
    <cellStyle name="ИТОГОВЫЙ" xfId="5168" xr:uid="{00000000-0005-0000-0000-0000CC8B0000}"/>
    <cellStyle name="ИТОГОВЫЙ 2" xfId="10537" xr:uid="{00000000-0005-0000-0000-0000CD8B0000}"/>
    <cellStyle name="ИТОГОВЫЙ 3" xfId="18502" xr:uid="{00000000-0005-0000-0000-0000CE8B0000}"/>
    <cellStyle name="ИТОГОВЫЙ_DataIX" xfId="35787" xr:uid="{00000000-0005-0000-0000-0000CF8B0000}"/>
    <cellStyle name="Обычный_1-Б (6)_1" xfId="5169" xr:uid="{00000000-0005-0000-0000-0000D08B0000}"/>
    <cellStyle name="ПРОЦЕНТНЫЙ_BOPENGC" xfId="5170" xr:uid="{00000000-0005-0000-0000-0000D18B0000}"/>
    <cellStyle name="ТЕКСТ" xfId="5171" xr:uid="{00000000-0005-0000-0000-0000D28B0000}"/>
    <cellStyle name="ТЕКСТ 2" xfId="10538" xr:uid="{00000000-0005-0000-0000-0000D38B0000}"/>
    <cellStyle name="ТЕКСТ 3" xfId="18503" xr:uid="{00000000-0005-0000-0000-0000D48B0000}"/>
    <cellStyle name="ТЕКСТ_DataIX" xfId="35788" xr:uid="{00000000-0005-0000-0000-0000D58B0000}"/>
    <cellStyle name="ФИКСИРОВАННЫЙ" xfId="5172" xr:uid="{00000000-0005-0000-0000-0000D68B0000}"/>
    <cellStyle name="ФИКСИРОВАННЫЙ 2" xfId="10539" xr:uid="{00000000-0005-0000-0000-0000D78B0000}"/>
    <cellStyle name="ФИКСИРОВАННЫЙ 3" xfId="18504" xr:uid="{00000000-0005-0000-0000-0000D88B0000}"/>
    <cellStyle name="ФИКСИРОВАННЫЙ_DataIX" xfId="35789" xr:uid="{00000000-0005-0000-0000-0000D98B0000}"/>
    <cellStyle name="Финансовый [0]_BARNARD" xfId="5173" xr:uid="{00000000-0005-0000-0000-0000DA8B0000}"/>
    <cellStyle name="Финансовый_BARNARD" xfId="5174" xr:uid="{00000000-0005-0000-0000-0000DB8B0000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9" defaultPivotStyle="PivotStyleLight16">
    <tableStyle name="Invisible" pivot="0" table="0" count="0" xr9:uid="{F6ECCC2C-217E-49B5-BEEC-5438951D3FA5}"/>
  </tableStyles>
  <colors>
    <mruColors>
      <color rgb="FF0000FF"/>
      <color rgb="FFFFFF99"/>
      <color rgb="FFCCFF33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Actual and trend GDP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#VIITTAUS!$F$25:$I$25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#VIITTAUS!$A$36:$A$39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275-40FA-9CC8-B9F15AF8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671232"/>
        <c:axId val="542673152"/>
      </c:barChart>
      <c:lineChart>
        <c:grouping val="standard"/>
        <c:varyColors val="0"/>
        <c:ser>
          <c:idx val="2"/>
          <c:order val="1"/>
          <c:tx>
            <c:v/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#VIITTAUS!$F$26:$I$26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5-40FA-9CC8-B9F15AF8F0B6}"/>
            </c:ext>
          </c:extLst>
        </c:ser>
        <c:ser>
          <c:idx val="1"/>
          <c:order val="2"/>
          <c:tx>
            <c:v/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#VIITTAUS!$F$27:$I$27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75-40FA-9CC8-B9F15AF8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7232"/>
        <c:axId val="542688768"/>
      </c:lineChart>
      <c:catAx>
        <c:axId val="54267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673152"/>
        <c:scaling>
          <c:orientation val="minMax"/>
          <c:max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71232"/>
        <c:crosses val="autoZero"/>
        <c:crossBetween val="between"/>
      </c:valAx>
      <c:catAx>
        <c:axId val="542687232"/>
        <c:scaling>
          <c:orientation val="minMax"/>
        </c:scaling>
        <c:delete val="1"/>
        <c:axPos val="b"/>
        <c:majorTickMark val="out"/>
        <c:minorTickMark val="none"/>
        <c:tickLblPos val="none"/>
        <c:crossAx val="542688768"/>
        <c:crosses val="autoZero"/>
        <c:auto val="0"/>
        <c:lblAlgn val="ctr"/>
        <c:lblOffset val="100"/>
        <c:noMultiLvlLbl val="0"/>
      </c:catAx>
      <c:valAx>
        <c:axId val="542688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87232"/>
        <c:crosses val="max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i-FI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i-FI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Net lending by sector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/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#VIITTAUS!$Q$30:$Q$33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382-4A02-93FF-8B205D4FD1DC}"/>
            </c:ext>
          </c:extLst>
        </c:ser>
        <c:ser>
          <c:idx val="1"/>
          <c:order val="1"/>
          <c:tx>
            <c:v/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#VIITTAUS!$R$30:$R$33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A382-4A02-93FF-8B205D4FD1DC}"/>
            </c:ext>
          </c:extLst>
        </c:ser>
        <c:ser>
          <c:idx val="2"/>
          <c:order val="2"/>
          <c:tx>
            <c:v/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#VIITTAUS!$S$30:$S$33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A382-4A02-93FF-8B205D4FD1DC}"/>
            </c:ext>
          </c:extLst>
        </c:ser>
        <c:ser>
          <c:idx val="3"/>
          <c:order val="3"/>
          <c:tx>
            <c:v/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#VIITTAUS!$T$30:$T$33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A382-4A02-93FF-8B205D4F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2737920"/>
        <c:axId val="542739456"/>
      </c:barChart>
      <c:lineChart>
        <c:grouping val="standard"/>
        <c:varyColors val="0"/>
        <c:ser>
          <c:idx val="4"/>
          <c:order val="4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#VIITTAUS!$U$30:$U$33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4-A382-4A02-93FF-8B205D4F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737920"/>
        <c:axId val="542739456"/>
      </c:lineChart>
      <c:catAx>
        <c:axId val="54273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7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739456"/>
        <c:scaling>
          <c:orientation val="minMax"/>
          <c:max val="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737920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i-FI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33</xdr:row>
      <xdr:rowOff>0</xdr:rowOff>
    </xdr:from>
    <xdr:to>
      <xdr:col>7</xdr:col>
      <xdr:colOff>0</xdr:colOff>
      <xdr:row>33</xdr:row>
      <xdr:rowOff>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2D536226-9E87-4BC0-9C92-FECD9A179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0</xdr:rowOff>
    </xdr:from>
    <xdr:to>
      <xdr:col>12</xdr:col>
      <xdr:colOff>9525</xdr:colOff>
      <xdr:row>33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12C0287A-7263-4526-9E9B-AE11FDA8B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0.0329</cdr:x>
      <cdr:y>0.23244</cdr:y>
    </cdr:from>
    <cdr:to>
      <cdr:x>0.0329</cdr:x>
      <cdr:y>0.23244</cdr:y>
    </cdr:to>
    <cdr:sp macro="" textlink="">
      <cdr:nvSpPr>
        <cdr:cNvPr id="788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08" y="17364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00" b="0" i="0" u="none" strike="noStrike" baseline="0">
              <a:solidFill>
                <a:srgbClr val="000000"/>
              </a:solidFill>
              <a:latin typeface="Arial"/>
              <a:cs typeface="Arial"/>
            </a:rPr>
            <a:t>variation en %</a:t>
          </a:r>
        </a:p>
        <a:p xmlns:a="http://schemas.openxmlformats.org/drawingml/2006/main">
          <a:pPr algn="ctr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0.73816</cdr:x>
      <cdr:y>0.21177</cdr:y>
    </cdr:from>
    <cdr:to>
      <cdr:x>0.73816</cdr:x>
      <cdr:y>0.21177</cdr:y>
    </cdr:to>
    <cdr:sp macro="" textlink="">
      <cdr:nvSpPr>
        <cdr:cNvPr id="788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5898" y="15849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00" b="0" i="0" u="none" strike="noStrike" baseline="0">
              <a:solidFill>
                <a:srgbClr val="000000"/>
              </a:solidFill>
              <a:latin typeface="Arial"/>
              <a:cs typeface="Arial"/>
            </a:rPr>
            <a:t>euro 1995 bn</a:t>
          </a:r>
          <a:endParaRPr lang="en-GB"/>
        </a:p>
      </cdr:txBody>
    </cdr:sp>
  </cdr:relSizeAnchor>
  <cdr:relSizeAnchor xmlns:cdr="http://schemas.openxmlformats.org/drawingml/2006/chartDrawing">
    <cdr:from>
      <cdr:x>0.01445</cdr:x>
      <cdr:y>0.21177</cdr:y>
    </cdr:from>
    <cdr:to>
      <cdr:x>0.01445</cdr:x>
      <cdr:y>0.21177</cdr:y>
    </cdr:to>
    <cdr:sp macro="" textlink="">
      <cdr:nvSpPr>
        <cdr:cNvPr id="788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5849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trend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0.0329</cdr:x>
      <cdr:y>0.23069</cdr:y>
    </cdr:from>
    <cdr:to>
      <cdr:x>0.22664</cdr:x>
      <cdr:y>0.3995</cdr:y>
    </cdr:to>
    <cdr:sp macro="" textlink="">
      <cdr:nvSpPr>
        <cdr:cNvPr id="788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08" y="172372"/>
          <a:ext cx="638479" cy="123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trend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0.01445</cdr:x>
      <cdr:y>0.06494</cdr:y>
    </cdr:from>
    <cdr:to>
      <cdr:x>0.13584</cdr:x>
      <cdr:y>0.71427</cdr:y>
    </cdr:to>
    <cdr:sp macro="" textlink="">
      <cdr:nvSpPr>
        <cdr:cNvPr id="7885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400050" cy="4762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0.77021</cdr:x>
      <cdr:y>0.23069</cdr:y>
    </cdr:from>
    <cdr:to>
      <cdr:x>0.91466</cdr:x>
      <cdr:y>0.49043</cdr:y>
    </cdr:to>
    <cdr:sp macro="" textlink="">
      <cdr:nvSpPr>
        <cdr:cNvPr id="78854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41511" y="172372"/>
          <a:ext cx="476060" cy="190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euro 1995 bn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0.02362</cdr:x>
      <cdr:y>0.24092</cdr:y>
    </cdr:from>
    <cdr:to>
      <cdr:x>0.02362</cdr:x>
      <cdr:y>0.24092</cdr:y>
    </cdr:to>
    <cdr:sp macro="" textlink="">
      <cdr:nvSpPr>
        <cdr:cNvPr id="798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6303" y="17987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GDP</a:t>
          </a:r>
        </a:p>
        <a:p xmlns:a="http://schemas.openxmlformats.org/drawingml/2006/main">
          <a:pPr algn="ctr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0.01781</cdr:x>
      <cdr:y>0.23983</cdr:y>
    </cdr:from>
    <cdr:to>
      <cdr:x>0.14696</cdr:x>
      <cdr:y>0.46063</cdr:y>
    </cdr:to>
    <cdr:sp macro="" textlink="">
      <cdr:nvSpPr>
        <cdr:cNvPr id="798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01" y="179073"/>
          <a:ext cx="399800" cy="1619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03017107\Desktop\TEMP\Kopio_Oraakkeli-DB.xlsm" TargetMode="External"/><Relationship Id="rId1" Type="http://schemas.openxmlformats.org/officeDocument/2006/relationships/externalLinkPath" Target="file:///C:\Users\03017107\Desktop\TEMP\Kopio_Oraakkeli-D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altion.fi\Yhteiset%20tiedostot\LENNU2\LENNU2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hje"/>
      <sheetName val="Etusivu"/>
      <sheetName val="Rakenne"/>
      <sheetName val="OLETs"/>
      <sheetName val="Kv-Q"/>
      <sheetName val="TYÖLs"/>
      <sheetName val="LOMs"/>
      <sheetName val="VTYs"/>
      <sheetName val="ARLs"/>
      <sheetName val="TYs"/>
      <sheetName val="KPAV"/>
      <sheetName val="Tulotyör"/>
      <sheetName val="POT"/>
      <sheetName val="T0"/>
      <sheetName val="T0b"/>
      <sheetName val="T1a"/>
      <sheetName val="T1b"/>
      <sheetName val="T1c"/>
      <sheetName val="T1d"/>
      <sheetName val="T1e"/>
      <sheetName val="T13"/>
      <sheetName val="T12"/>
      <sheetName val="xT8"/>
      <sheetName val="T2"/>
      <sheetName val="T3b"/>
      <sheetName val="T4"/>
      <sheetName val="T5"/>
      <sheetName val="T6"/>
      <sheetName val="T7"/>
      <sheetName val="T17"/>
      <sheetName val="T11"/>
      <sheetName val="T14"/>
      <sheetName val="T15"/>
      <sheetName val="AsiakasTaulut"/>
      <sheetName val="AputauluAsiakasTauluista"/>
      <sheetName val="KONTR"/>
      <sheetName val="KOTs"/>
      <sheetName val="ULKs"/>
      <sheetName val="kdata"/>
      <sheetName val="kuvat"/>
      <sheetName val="DataIX"/>
      <sheetName val="KantaanVienti"/>
      <sheetName val="LaariDB"/>
      <sheetName val="VaihtotaseQ"/>
      <sheetName val="Data_TYTI"/>
      <sheetName val="dTYTI"/>
      <sheetName val="SekTulotJaMenotQ"/>
      <sheetName val="Kot.Kulutus"/>
      <sheetName val="SopPalkat"/>
      <sheetName val="DATA_INVs"/>
      <sheetName val="Hinnat"/>
      <sheetName val="PX_WEB_TYTI_13aj_15_64"/>
      <sheetName val="AMECOulc"/>
      <sheetName val="BKTk"/>
      <sheetName val="OECD"/>
      <sheetName val="KULs"/>
      <sheetName val="INVs"/>
      <sheetName val="EUTable1"/>
    </sheetNames>
    <sheetDataSet>
      <sheetData sheetId="0"/>
      <sheetData sheetId="1">
        <row r="5">
          <cell r="E5">
            <v>2025</v>
          </cell>
        </row>
      </sheetData>
      <sheetData sheetId="2"/>
      <sheetData sheetId="3">
        <row r="9">
          <cell r="F9">
            <v>2009</v>
          </cell>
          <cell r="G9">
            <v>2010</v>
          </cell>
          <cell r="H9">
            <v>2011</v>
          </cell>
          <cell r="I9">
            <v>2012</v>
          </cell>
          <cell r="J9">
            <v>2013</v>
          </cell>
          <cell r="K9">
            <v>2014</v>
          </cell>
          <cell r="L9">
            <v>2015</v>
          </cell>
          <cell r="M9">
            <v>2016</v>
          </cell>
          <cell r="N9">
            <v>2017</v>
          </cell>
          <cell r="O9">
            <v>2018</v>
          </cell>
          <cell r="P9">
            <v>2019</v>
          </cell>
          <cell r="Q9">
            <v>2020</v>
          </cell>
          <cell r="R9">
            <v>2021</v>
          </cell>
          <cell r="S9">
            <v>2022</v>
          </cell>
          <cell r="T9">
            <v>2023</v>
          </cell>
          <cell r="U9">
            <v>2024</v>
          </cell>
          <cell r="V9">
            <v>2025</v>
          </cell>
          <cell r="W9">
            <v>2026</v>
          </cell>
          <cell r="X9">
            <v>2027</v>
          </cell>
          <cell r="Y9">
            <v>2028</v>
          </cell>
          <cell r="Z9">
            <v>2029</v>
          </cell>
          <cell r="AA9">
            <v>2030</v>
          </cell>
          <cell r="AB9" t="str">
            <v>päivitetty</v>
          </cell>
        </row>
        <row r="10">
          <cell r="A10">
            <v>3</v>
          </cell>
          <cell r="B10" t="str">
            <v>USD-EUR</v>
          </cell>
          <cell r="C10" t="str">
            <v>VAL</v>
          </cell>
          <cell r="D10">
            <v>1</v>
          </cell>
          <cell r="E10" t="str">
            <v>USD/EURO</v>
          </cell>
          <cell r="F10">
            <v>1.3941681992337154</v>
          </cell>
          <cell r="G10">
            <v>1.3921346153846152</v>
          </cell>
          <cell r="H10">
            <v>1.3921346153846152</v>
          </cell>
          <cell r="I10">
            <v>1.2853812260536404</v>
          </cell>
          <cell r="J10">
            <v>1.3279482758620693</v>
          </cell>
          <cell r="K10">
            <v>1.3285310344827574</v>
          </cell>
          <cell r="L10">
            <v>1.1096996168582371</v>
          </cell>
          <cell r="M10">
            <v>1.1066597701149425</v>
          </cell>
          <cell r="N10">
            <v>1.1299999999999999</v>
          </cell>
          <cell r="O10">
            <v>1.18</v>
          </cell>
          <cell r="P10">
            <v>1.1200000000000001</v>
          </cell>
          <cell r="Q10">
            <v>1.1399999999999999</v>
          </cell>
          <cell r="R10">
            <v>1.18</v>
          </cell>
          <cell r="S10">
            <v>1.05</v>
          </cell>
          <cell r="T10">
            <v>1.08</v>
          </cell>
          <cell r="U10">
            <v>1.08</v>
          </cell>
          <cell r="V10">
            <v>1.1299999999999999</v>
          </cell>
          <cell r="W10">
            <v>1.1599999999999999</v>
          </cell>
          <cell r="X10">
            <v>1.17</v>
          </cell>
          <cell r="Y10">
            <v>1.19</v>
          </cell>
          <cell r="AB10">
            <v>46239</v>
          </cell>
          <cell r="AC10" t="str">
            <v>JHu</v>
          </cell>
          <cell r="AE10">
            <v>-8.9285714285714246E-3</v>
          </cell>
        </row>
        <row r="11">
          <cell r="A11">
            <v>4</v>
          </cell>
          <cell r="B11" t="str">
            <v>OIL_USD</v>
          </cell>
          <cell r="C11" t="str">
            <v>cp_usd</v>
          </cell>
          <cell r="D11">
            <v>2</v>
          </cell>
          <cell r="E11" t="str">
            <v>Raakaöljy (HWWA) $/barreli</v>
          </cell>
          <cell r="F11">
            <v>62.367701149425329</v>
          </cell>
          <cell r="G11">
            <v>110.95865384615384</v>
          </cell>
          <cell r="H11">
            <v>110.95865384615384</v>
          </cell>
          <cell r="I11">
            <v>111.76187739463603</v>
          </cell>
          <cell r="J11">
            <v>108.74218390804593</v>
          </cell>
          <cell r="K11">
            <v>99.503141762452131</v>
          </cell>
          <cell r="L11">
            <v>53.437701149425273</v>
          </cell>
          <cell r="M11">
            <v>45.160907335907332</v>
          </cell>
          <cell r="N11">
            <v>54.752807692307726</v>
          </cell>
          <cell r="O11">
            <v>71.599999999999994</v>
          </cell>
          <cell r="P11">
            <v>64.099999999999994</v>
          </cell>
          <cell r="Q11">
            <v>43.35</v>
          </cell>
          <cell r="R11">
            <v>70.69</v>
          </cell>
          <cell r="S11">
            <v>98.738461028554781</v>
          </cell>
          <cell r="T11">
            <v>82.02104086538462</v>
          </cell>
          <cell r="U11">
            <v>79.703878186917251</v>
          </cell>
          <cell r="V11">
            <v>68.040000000000006</v>
          </cell>
          <cell r="W11">
            <v>85.43</v>
          </cell>
          <cell r="X11">
            <v>74.88</v>
          </cell>
          <cell r="Y11">
            <v>71.55</v>
          </cell>
          <cell r="AB11">
            <v>45874</v>
          </cell>
          <cell r="AC11" t="str">
            <v>JHu</v>
          </cell>
        </row>
        <row r="12">
          <cell r="A12">
            <v>5</v>
          </cell>
          <cell r="B12" t="str">
            <v>OIL_EUR</v>
          </cell>
          <cell r="C12" t="str">
            <v>cp_eur</v>
          </cell>
          <cell r="E12" t="str">
            <v>Raakaöljy (HWWA) EUR/barreli</v>
          </cell>
          <cell r="F12">
            <v>44.734703591506999</v>
          </cell>
          <cell r="G12">
            <v>79.703968725394049</v>
          </cell>
          <cell r="H12">
            <v>79.703968725394049</v>
          </cell>
          <cell r="I12">
            <v>86.948428317850727</v>
          </cell>
          <cell r="J12">
            <v>81.887364052228122</v>
          </cell>
          <cell r="K12">
            <v>74.897115069044744</v>
          </cell>
          <cell r="L12">
            <v>48.155104622561907</v>
          </cell>
          <cell r="M12">
            <v>40.808303107663093</v>
          </cell>
          <cell r="N12">
            <v>48.453812117086486</v>
          </cell>
          <cell r="O12">
            <v>60.677966101694913</v>
          </cell>
          <cell r="P12">
            <v>57.232142857142847</v>
          </cell>
          <cell r="Q12">
            <v>38.026315789473692</v>
          </cell>
          <cell r="R12">
            <v>59.906779661016948</v>
          </cell>
          <cell r="S12">
            <v>94.036629551004552</v>
          </cell>
          <cell r="T12">
            <v>75.945408208689457</v>
          </cell>
          <cell r="U12">
            <v>73.799887210108565</v>
          </cell>
          <cell r="V12">
            <v>60.212389380530986</v>
          </cell>
          <cell r="W12">
            <v>73.646551724137936</v>
          </cell>
          <cell r="X12">
            <v>64</v>
          </cell>
          <cell r="Y12">
            <v>60.12605042016807</v>
          </cell>
          <cell r="AB12">
            <v>45509</v>
          </cell>
          <cell r="AC12" t="str">
            <v>JHU</v>
          </cell>
        </row>
        <row r="13">
          <cell r="A13">
            <v>6</v>
          </cell>
          <cell r="B13" t="str">
            <v>RMPCEA</v>
          </cell>
          <cell r="C13" t="str">
            <v>ind15</v>
          </cell>
          <cell r="D13">
            <v>3</v>
          </cell>
          <cell r="E13" t="str">
            <v>Teollisuuden raaka-aineindeksi, € (HWWI)</v>
          </cell>
          <cell r="F13">
            <v>85.666894176282881</v>
          </cell>
          <cell r="G13">
            <v>148.24331622282699</v>
          </cell>
          <cell r="H13">
            <v>148.24331622282699</v>
          </cell>
          <cell r="I13">
            <v>133.06824353688333</v>
          </cell>
          <cell r="J13">
            <v>125.96427040840616</v>
          </cell>
          <cell r="K13">
            <v>112.66501166648138</v>
          </cell>
          <cell r="L13">
            <v>100</v>
          </cell>
          <cell r="M13">
            <v>100.91953347630658</v>
          </cell>
          <cell r="N13">
            <v>118.1027644760422</v>
          </cell>
          <cell r="O13">
            <v>121.11989188871588</v>
          </cell>
          <cell r="P13">
            <v>118.22615235465202</v>
          </cell>
          <cell r="Q13">
            <v>120.41481829665972</v>
          </cell>
          <cell r="R13">
            <v>163.35</v>
          </cell>
          <cell r="S13">
            <v>182.18069254580763</v>
          </cell>
          <cell r="T13">
            <v>151.77943127415355</v>
          </cell>
          <cell r="U13">
            <v>157.13</v>
          </cell>
          <cell r="V13">
            <v>155.49</v>
          </cell>
          <cell r="W13">
            <v>178.94</v>
          </cell>
          <cell r="X13">
            <v>186.75</v>
          </cell>
          <cell r="Y13">
            <v>187.95</v>
          </cell>
          <cell r="AB13">
            <v>45143</v>
          </cell>
          <cell r="AC13" t="str">
            <v>JHu</v>
          </cell>
        </row>
        <row r="14">
          <cell r="A14">
            <v>7</v>
          </cell>
          <cell r="B14" t="str">
            <v>WTQ</v>
          </cell>
          <cell r="C14" t="str">
            <v>vuosimuutos</v>
          </cell>
          <cell r="D14">
            <v>4</v>
          </cell>
          <cell r="E14" t="str">
            <v>Maailmantavarakaupan kasvu</v>
          </cell>
          <cell r="F14">
            <v>-13.045115440619776</v>
          </cell>
          <cell r="G14">
            <v>4.27680544746437</v>
          </cell>
          <cell r="H14">
            <v>4.27680544746437</v>
          </cell>
          <cell r="I14">
            <v>1.2893182293859315</v>
          </cell>
          <cell r="J14">
            <v>2.2454789491229281</v>
          </cell>
          <cell r="K14">
            <v>2.8272040284141018</v>
          </cell>
          <cell r="L14">
            <v>1.7078558531702064</v>
          </cell>
          <cell r="M14">
            <v>1.5329880570034145</v>
          </cell>
          <cell r="N14">
            <v>5.3</v>
          </cell>
          <cell r="O14">
            <v>3.71</v>
          </cell>
          <cell r="P14">
            <v>-0.4</v>
          </cell>
          <cell r="Q14">
            <v>-5</v>
          </cell>
          <cell r="R14">
            <v>10.3</v>
          </cell>
          <cell r="S14">
            <v>3.7</v>
          </cell>
          <cell r="T14">
            <v>-1.1152980830604897</v>
          </cell>
          <cell r="U14">
            <v>2.36</v>
          </cell>
          <cell r="V14">
            <v>4.1399999999999997</v>
          </cell>
          <cell r="W14">
            <v>0.66</v>
          </cell>
          <cell r="X14">
            <v>2.16</v>
          </cell>
          <cell r="Y14">
            <v>2.74</v>
          </cell>
          <cell r="AB14">
            <v>46245</v>
          </cell>
          <cell r="AC14" t="str">
            <v>TP</v>
          </cell>
          <cell r="AD14">
            <v>-1.3278472671960637</v>
          </cell>
        </row>
        <row r="15">
          <cell r="A15">
            <v>8</v>
          </cell>
          <cell r="B15" t="str">
            <v>WSTQ</v>
          </cell>
          <cell r="C15" t="str">
            <v>vuosimuutos</v>
          </cell>
          <cell r="E15" t="str">
            <v>Maailmanpalvelukaupan kasvu</v>
          </cell>
          <cell r="F15">
            <v>-6.2</v>
          </cell>
          <cell r="G15">
            <v>8.3000000000000007</v>
          </cell>
          <cell r="H15">
            <v>7.7</v>
          </cell>
          <cell r="I15">
            <v>0.5</v>
          </cell>
          <cell r="J15">
            <v>2.2999999999999998</v>
          </cell>
          <cell r="K15">
            <v>6.8</v>
          </cell>
          <cell r="L15">
            <v>-2.7</v>
          </cell>
          <cell r="M15">
            <v>3.3</v>
          </cell>
          <cell r="N15">
            <v>4.8</v>
          </cell>
          <cell r="O15">
            <v>5.7</v>
          </cell>
          <cell r="P15">
            <v>3.2</v>
          </cell>
          <cell r="Q15">
            <v>-10.5</v>
          </cell>
          <cell r="R15">
            <v>7.3</v>
          </cell>
          <cell r="S15">
            <v>4.5</v>
          </cell>
          <cell r="T15">
            <v>6.1</v>
          </cell>
          <cell r="U15">
            <v>4.5</v>
          </cell>
          <cell r="V15">
            <v>5.07</v>
          </cell>
          <cell r="W15">
            <v>2.85</v>
          </cell>
          <cell r="X15">
            <v>3.65</v>
          </cell>
          <cell r="Y15">
            <v>4.33</v>
          </cell>
          <cell r="AB15">
            <v>46245</v>
          </cell>
          <cell r="AC15" t="str">
            <v>TP</v>
          </cell>
        </row>
        <row r="16">
          <cell r="A16">
            <v>9</v>
          </cell>
          <cell r="B16" t="str">
            <v>GDPWE</v>
          </cell>
          <cell r="C16" t="str">
            <v>vuosimuutos</v>
          </cell>
          <cell r="D16">
            <v>5</v>
          </cell>
          <cell r="E16" t="str">
            <v>Maailmantalouden kasvu PPP</v>
          </cell>
          <cell r="F16">
            <v>-0.51200000000000001</v>
          </cell>
          <cell r="G16">
            <v>4.1013950000000001</v>
          </cell>
          <cell r="H16">
            <v>4.1013950000000001</v>
          </cell>
          <cell r="I16">
            <v>3.1</v>
          </cell>
          <cell r="J16">
            <v>3.2</v>
          </cell>
          <cell r="K16">
            <v>3.5</v>
          </cell>
          <cell r="L16">
            <v>3.4</v>
          </cell>
          <cell r="M16">
            <v>3.2</v>
          </cell>
          <cell r="N16">
            <v>3.8</v>
          </cell>
          <cell r="O16">
            <v>3.8</v>
          </cell>
          <cell r="P16">
            <v>3</v>
          </cell>
          <cell r="Q16">
            <v>-2.9</v>
          </cell>
          <cell r="R16">
            <v>6.9</v>
          </cell>
          <cell r="S16">
            <v>3.5</v>
          </cell>
          <cell r="T16">
            <v>3.8</v>
          </cell>
          <cell r="U16">
            <v>3.3</v>
          </cell>
          <cell r="V16">
            <v>3.1</v>
          </cell>
          <cell r="W16">
            <v>2.9</v>
          </cell>
          <cell r="X16">
            <v>3.4</v>
          </cell>
          <cell r="Y16">
            <v>2.9</v>
          </cell>
          <cell r="AB16">
            <v>46239</v>
          </cell>
          <cell r="AC16" t="str">
            <v>JHu</v>
          </cell>
        </row>
        <row r="17">
          <cell r="A17">
            <v>10</v>
          </cell>
          <cell r="B17" t="str">
            <v>GDPEA</v>
          </cell>
          <cell r="C17" t="str">
            <v>vuosimuutos</v>
          </cell>
          <cell r="D17">
            <v>6</v>
          </cell>
          <cell r="E17" t="str">
            <v>BKT-kasvu  EURO</v>
          </cell>
          <cell r="F17">
            <v>-4.5156960000000002</v>
          </cell>
          <cell r="G17">
            <v>1.5487420000000001</v>
          </cell>
          <cell r="H17">
            <v>1.5487420000000001</v>
          </cell>
          <cell r="I17">
            <v>-0.90878499999999995</v>
          </cell>
          <cell r="J17">
            <v>-0.25648399999999999</v>
          </cell>
          <cell r="K17">
            <v>1.240971</v>
          </cell>
          <cell r="L17">
            <v>2.0028809999999999</v>
          </cell>
          <cell r="M17">
            <v>1.755954</v>
          </cell>
          <cell r="N17">
            <v>2.7</v>
          </cell>
          <cell r="O17">
            <v>1.8</v>
          </cell>
          <cell r="P17">
            <v>1.6</v>
          </cell>
          <cell r="Q17">
            <v>-6.2</v>
          </cell>
          <cell r="R17">
            <v>6</v>
          </cell>
          <cell r="S17">
            <v>3.6</v>
          </cell>
          <cell r="T17">
            <v>0.7</v>
          </cell>
          <cell r="U17">
            <v>1</v>
          </cell>
          <cell r="V17">
            <v>1.3</v>
          </cell>
          <cell r="W17">
            <v>1</v>
          </cell>
          <cell r="X17">
            <v>1.4</v>
          </cell>
          <cell r="Y17">
            <v>1.4</v>
          </cell>
          <cell r="AB17">
            <v>46239</v>
          </cell>
          <cell r="AC17" t="str">
            <v>JHu</v>
          </cell>
        </row>
        <row r="18">
          <cell r="A18">
            <v>11</v>
          </cell>
          <cell r="B18" t="str">
            <v>GDPUS</v>
          </cell>
          <cell r="C18" t="str">
            <v>vuosimuutos</v>
          </cell>
          <cell r="D18">
            <v>7</v>
          </cell>
          <cell r="E18" t="str">
            <v>BKT-kasvu USA</v>
          </cell>
          <cell r="F18">
            <v>-2.7755540000000001</v>
          </cell>
          <cell r="G18">
            <v>1.6015839999999999</v>
          </cell>
          <cell r="H18">
            <v>1.6015839999999999</v>
          </cell>
          <cell r="I18">
            <v>2.2239490000000002</v>
          </cell>
          <cell r="J18">
            <v>1.6773450000000001</v>
          </cell>
          <cell r="K18">
            <v>2.3704260000000001</v>
          </cell>
          <cell r="L18">
            <v>2.5963180000000001</v>
          </cell>
          <cell r="M18">
            <v>1.6155200000000001</v>
          </cell>
          <cell r="N18">
            <v>2.2999999999999998</v>
          </cell>
          <cell r="O18">
            <v>2.9</v>
          </cell>
          <cell r="P18">
            <v>2.2999999999999998</v>
          </cell>
          <cell r="Q18">
            <v>-2.8</v>
          </cell>
          <cell r="R18">
            <v>6.1</v>
          </cell>
          <cell r="S18">
            <v>2.5</v>
          </cell>
          <cell r="T18">
            <v>2.9</v>
          </cell>
          <cell r="U18">
            <v>2.8</v>
          </cell>
          <cell r="V18">
            <v>2.1</v>
          </cell>
          <cell r="W18">
            <v>2</v>
          </cell>
          <cell r="X18">
            <v>2</v>
          </cell>
          <cell r="Y18">
            <v>1.8</v>
          </cell>
          <cell r="AB18">
            <v>46239</v>
          </cell>
          <cell r="AC18" t="str">
            <v>JHu</v>
          </cell>
        </row>
        <row r="19">
          <cell r="A19">
            <v>12</v>
          </cell>
          <cell r="B19" t="str">
            <v>GDPJP</v>
          </cell>
          <cell r="C19" t="str">
            <v>vuosimuutos</v>
          </cell>
          <cell r="D19">
            <v>8</v>
          </cell>
          <cell r="E19" t="str">
            <v>BKT-kasvu Japani</v>
          </cell>
          <cell r="F19">
            <v>-5.4227299999999996</v>
          </cell>
          <cell r="G19">
            <v>-9.3561000000000005E-2</v>
          </cell>
          <cell r="H19">
            <v>-9.3561000000000005E-2</v>
          </cell>
          <cell r="I19">
            <v>1.501171</v>
          </cell>
          <cell r="J19">
            <v>2.0233120000000002</v>
          </cell>
          <cell r="K19">
            <v>0.24471300000000001</v>
          </cell>
          <cell r="L19">
            <v>1.1108750000000001</v>
          </cell>
          <cell r="M19">
            <v>1.013023</v>
          </cell>
          <cell r="N19">
            <v>2.2000000000000002</v>
          </cell>
          <cell r="O19">
            <v>0.6</v>
          </cell>
          <cell r="P19">
            <v>-0.2</v>
          </cell>
          <cell r="Q19">
            <v>-4.3</v>
          </cell>
          <cell r="R19">
            <v>2.8</v>
          </cell>
          <cell r="S19">
            <v>0.9</v>
          </cell>
          <cell r="T19">
            <v>1.4</v>
          </cell>
          <cell r="U19">
            <v>-0.2</v>
          </cell>
          <cell r="V19">
            <v>1.1000000000000001</v>
          </cell>
          <cell r="W19">
            <v>0.4</v>
          </cell>
          <cell r="X19">
            <v>1.1000000000000001</v>
          </cell>
          <cell r="Y19">
            <v>0.8</v>
          </cell>
          <cell r="AB19">
            <v>46239</v>
          </cell>
          <cell r="AC19" t="str">
            <v>JHu</v>
          </cell>
        </row>
        <row r="20">
          <cell r="A20">
            <v>13</v>
          </cell>
          <cell r="B20" t="str">
            <v>GDPCN</v>
          </cell>
          <cell r="C20" t="str">
            <v>vuosimuutos</v>
          </cell>
          <cell r="D20">
            <v>9</v>
          </cell>
          <cell r="E20" t="str">
            <v>BKT-kasvu Kiina</v>
          </cell>
          <cell r="F20">
            <v>9.399813</v>
          </cell>
          <cell r="G20">
            <v>9.5364430000000002</v>
          </cell>
          <cell r="H20">
            <v>9.5364430000000002</v>
          </cell>
          <cell r="I20">
            <v>7.8562620000000001</v>
          </cell>
          <cell r="J20">
            <v>7.7576349999999996</v>
          </cell>
          <cell r="K20">
            <v>7.2976660000000004</v>
          </cell>
          <cell r="L20">
            <v>6.9002049999999997</v>
          </cell>
          <cell r="M20">
            <v>6.6893500000000001</v>
          </cell>
          <cell r="N20">
            <v>6.9</v>
          </cell>
          <cell r="O20">
            <v>6.8</v>
          </cell>
          <cell r="P20">
            <v>6</v>
          </cell>
          <cell r="Q20">
            <v>2.2000000000000002</v>
          </cell>
          <cell r="R20">
            <v>8.4</v>
          </cell>
          <cell r="S20">
            <v>3.1</v>
          </cell>
          <cell r="T20">
            <v>5.4</v>
          </cell>
          <cell r="U20">
            <v>5</v>
          </cell>
          <cell r="V20">
            <v>5</v>
          </cell>
          <cell r="W20">
            <v>4.3</v>
          </cell>
          <cell r="X20">
            <v>4.2</v>
          </cell>
          <cell r="Y20">
            <v>4.0999999999999996</v>
          </cell>
          <cell r="AB20">
            <v>46239</v>
          </cell>
          <cell r="AC20" t="str">
            <v>JHu</v>
          </cell>
        </row>
        <row r="21">
          <cell r="A21">
            <v>14</v>
          </cell>
          <cell r="B21" t="str">
            <v>GDPRU</v>
          </cell>
          <cell r="C21" t="str">
            <v>vuosimuutos</v>
          </cell>
          <cell r="D21">
            <v>10</v>
          </cell>
          <cell r="E21" t="str">
            <v>BKT-kasvu Venäjä</v>
          </cell>
          <cell r="F21">
            <v>-7.8208849999999996</v>
          </cell>
          <cell r="G21">
            <v>5.2848850000000001</v>
          </cell>
          <cell r="H21">
            <v>5.2848850000000001</v>
          </cell>
          <cell r="I21">
            <v>3.6559020000000002</v>
          </cell>
          <cell r="J21">
            <v>1.785355</v>
          </cell>
          <cell r="K21">
            <v>0.73860099999999995</v>
          </cell>
          <cell r="L21">
            <v>-2.8282409999999998</v>
          </cell>
          <cell r="M21">
            <v>-0.224911</v>
          </cell>
          <cell r="N21">
            <v>1.8</v>
          </cell>
          <cell r="O21">
            <v>2.8</v>
          </cell>
          <cell r="P21">
            <v>2.2000000000000002</v>
          </cell>
          <cell r="Q21">
            <v>-2.7</v>
          </cell>
          <cell r="R21">
            <v>5.9</v>
          </cell>
          <cell r="S21">
            <v>-1.4</v>
          </cell>
          <cell r="T21">
            <v>4.0999999999999996</v>
          </cell>
          <cell r="U21">
            <v>4.9000000000000004</v>
          </cell>
          <cell r="V21">
            <v>1</v>
          </cell>
          <cell r="W21">
            <v>0.5</v>
          </cell>
          <cell r="X21">
            <v>0.8</v>
          </cell>
          <cell r="Y21">
            <v>1</v>
          </cell>
          <cell r="AB21">
            <v>46239</v>
          </cell>
          <cell r="AC21" t="str">
            <v>JHu</v>
          </cell>
        </row>
        <row r="22">
          <cell r="A22">
            <v>15</v>
          </cell>
          <cell r="B22" t="str">
            <v>GDPSE</v>
          </cell>
          <cell r="C22" t="str">
            <v>vuosimuutos</v>
          </cell>
          <cell r="D22">
            <v>11</v>
          </cell>
          <cell r="E22" t="str">
            <v>BKT-kasvu Ruotsi</v>
          </cell>
          <cell r="F22">
            <v>-5.1846430000000003</v>
          </cell>
          <cell r="G22">
            <v>2.6644030000000001</v>
          </cell>
          <cell r="H22">
            <v>2.6644030000000001</v>
          </cell>
          <cell r="I22">
            <v>-0.28632200000000002</v>
          </cell>
          <cell r="J22">
            <v>1.241204</v>
          </cell>
          <cell r="K22">
            <v>2.6043349999999998</v>
          </cell>
          <cell r="L22">
            <v>4.0849539999999998</v>
          </cell>
          <cell r="M22">
            <v>1.3</v>
          </cell>
          <cell r="N22">
            <v>2.8</v>
          </cell>
          <cell r="O22">
            <v>2</v>
          </cell>
          <cell r="P22">
            <v>2</v>
          </cell>
          <cell r="Q22">
            <v>-2.2999999999999998</v>
          </cell>
          <cell r="R22">
            <v>5.7</v>
          </cell>
          <cell r="S22">
            <v>1.6</v>
          </cell>
          <cell r="T22">
            <v>0</v>
          </cell>
          <cell r="U22">
            <v>1.9</v>
          </cell>
          <cell r="V22">
            <v>1.7</v>
          </cell>
          <cell r="W22">
            <v>1.9</v>
          </cell>
          <cell r="X22">
            <v>2.4</v>
          </cell>
          <cell r="Y22">
            <v>2.2000000000000002</v>
          </cell>
          <cell r="AB22">
            <v>46239</v>
          </cell>
          <cell r="AC22" t="str">
            <v>JHu</v>
          </cell>
        </row>
        <row r="23">
          <cell r="A23">
            <v>16</v>
          </cell>
          <cell r="B23" t="str">
            <v>XM</v>
          </cell>
          <cell r="C23" t="str">
            <v>vuosimuutos</v>
          </cell>
          <cell r="E23" t="str">
            <v>Suomen vientimarkkinat</v>
          </cell>
          <cell r="N23">
            <v>4.2625956355852868</v>
          </cell>
          <cell r="O23">
            <v>2.1931548615170326</v>
          </cell>
          <cell r="P23">
            <v>-1.1986141540473838</v>
          </cell>
          <cell r="Q23">
            <v>-7.9135905453588506</v>
          </cell>
          <cell r="R23">
            <v>9.3719197260905709</v>
          </cell>
          <cell r="S23">
            <v>3.4559307623307722</v>
          </cell>
          <cell r="T23">
            <v>-2.4194836255220564</v>
          </cell>
          <cell r="U23">
            <v>4.4583660979236051E-2</v>
          </cell>
          <cell r="V23">
            <v>2.2400000000000002</v>
          </cell>
          <cell r="W23">
            <v>1.26</v>
          </cell>
          <cell r="X23">
            <v>1.86</v>
          </cell>
          <cell r="Y23">
            <v>2.5499999999999998</v>
          </cell>
          <cell r="AB23">
            <v>46245</v>
          </cell>
          <cell r="AC23" t="str">
            <v>TP</v>
          </cell>
        </row>
        <row r="24">
          <cell r="A24">
            <v>17</v>
          </cell>
          <cell r="B24" t="str">
            <v>USMQ</v>
          </cell>
          <cell r="C24" t="str">
            <v>vuosimuutos</v>
          </cell>
          <cell r="E24" t="str">
            <v>Yhdysvaltojen tuonti (CPB, volyymi, SA)</v>
          </cell>
          <cell r="O24">
            <v>5.1327088101327245</v>
          </cell>
          <cell r="P24">
            <v>-0.49785696292423687</v>
          </cell>
          <cell r="Q24">
            <v>-4.1246986388703943</v>
          </cell>
          <cell r="R24">
            <v>11.513553181768653</v>
          </cell>
          <cell r="S24">
            <v>5.6293816067136015</v>
          </cell>
          <cell r="T24">
            <v>-1.9742278871479613</v>
          </cell>
          <cell r="U24">
            <v>5.3980176053302964</v>
          </cell>
          <cell r="V24">
            <v>4.7699999999999996</v>
          </cell>
          <cell r="W24">
            <v>-0.73</v>
          </cell>
          <cell r="X24">
            <v>1.67</v>
          </cell>
          <cell r="Y24">
            <v>3.39</v>
          </cell>
          <cell r="AB24">
            <v>46245</v>
          </cell>
          <cell r="AC24" t="str">
            <v>TP</v>
          </cell>
        </row>
        <row r="25">
          <cell r="A25">
            <v>18</v>
          </cell>
          <cell r="B25" t="str">
            <v>EAMQ</v>
          </cell>
          <cell r="C25" t="str">
            <v>vuosimuutos</v>
          </cell>
          <cell r="E25" t="str">
            <v>Euroalueen tuonti,  (CPB, volyymi, SA)</v>
          </cell>
          <cell r="O25">
            <v>1.1478063161011853</v>
          </cell>
          <cell r="P25">
            <v>-1.2817888776084141</v>
          </cell>
          <cell r="Q25">
            <v>-9.3303716481871302</v>
          </cell>
          <cell r="R25">
            <v>8.2359452320604163</v>
          </cell>
          <cell r="S25">
            <v>5.43</v>
          </cell>
          <cell r="T25">
            <v>-5.5308391450932142</v>
          </cell>
          <cell r="U25">
            <v>-3.3417350564340143</v>
          </cell>
          <cell r="V25">
            <v>1.47</v>
          </cell>
          <cell r="W25">
            <v>-0.88</v>
          </cell>
          <cell r="X25">
            <v>1.57</v>
          </cell>
          <cell r="Y25">
            <v>1.45</v>
          </cell>
          <cell r="AB25">
            <v>46245</v>
          </cell>
          <cell r="AC25" t="str">
            <v>TP</v>
          </cell>
        </row>
        <row r="26">
          <cell r="A26">
            <v>19</v>
          </cell>
          <cell r="B26" t="str">
            <v>EDCMQ</v>
          </cell>
          <cell r="C26" t="str">
            <v>vuosimuutos</v>
          </cell>
          <cell r="E26" t="str">
            <v>Kehittyvien talouksien tuonti,  (CPB, volyymi, SA)</v>
          </cell>
          <cell r="O26">
            <v>3.7600038223428944</v>
          </cell>
          <cell r="P26">
            <v>0.58509627573448686</v>
          </cell>
          <cell r="Q26">
            <v>-6.5236998591326589</v>
          </cell>
          <cell r="R26">
            <v>13.783439768912586</v>
          </cell>
          <cell r="S26">
            <v>1.1299999999999999</v>
          </cell>
          <cell r="T26">
            <v>4.2108332497296841</v>
          </cell>
          <cell r="U26">
            <v>5.6860252418376112</v>
          </cell>
          <cell r="V26">
            <v>3.42</v>
          </cell>
          <cell r="W26">
            <v>6.36</v>
          </cell>
          <cell r="X26">
            <v>3.6</v>
          </cell>
          <cell r="Y26">
            <v>5.49</v>
          </cell>
          <cell r="AB26">
            <v>46245</v>
          </cell>
          <cell r="AC26" t="str">
            <v>TP</v>
          </cell>
        </row>
        <row r="27">
          <cell r="A27">
            <v>20</v>
          </cell>
          <cell r="B27" t="str">
            <v>GDPIN</v>
          </cell>
          <cell r="C27" t="str">
            <v>vuosimuutos</v>
          </cell>
          <cell r="D27">
            <v>14</v>
          </cell>
          <cell r="E27" t="str">
            <v>BKT-kasvu  Intia</v>
          </cell>
          <cell r="F27">
            <v>8.5939610000000002</v>
          </cell>
          <cell r="G27">
            <v>6.2897230000000004</v>
          </cell>
          <cell r="H27">
            <v>6.2897230000000004</v>
          </cell>
          <cell r="I27">
            <v>5.4544439999999996</v>
          </cell>
          <cell r="J27">
            <v>6.2046039999999998</v>
          </cell>
          <cell r="K27">
            <v>6.9399680000000004</v>
          </cell>
          <cell r="L27">
            <v>7.8313509999999997</v>
          </cell>
          <cell r="M27">
            <v>6.6725279999999998</v>
          </cell>
          <cell r="N27">
            <v>7</v>
          </cell>
          <cell r="O27">
            <v>6.6</v>
          </cell>
          <cell r="P27">
            <v>3.7</v>
          </cell>
          <cell r="Q27">
            <v>-5.8</v>
          </cell>
          <cell r="R27">
            <v>9.6999999999999993</v>
          </cell>
          <cell r="S27">
            <v>7.6</v>
          </cell>
          <cell r="T27">
            <v>9.1999999999999993</v>
          </cell>
          <cell r="U27">
            <v>6.5</v>
          </cell>
          <cell r="V27">
            <v>7.7</v>
          </cell>
          <cell r="W27">
            <v>6.1</v>
          </cell>
          <cell r="X27">
            <v>6.6</v>
          </cell>
          <cell r="Y27">
            <v>6.3</v>
          </cell>
          <cell r="AB27">
            <v>46239</v>
          </cell>
          <cell r="AC27" t="str">
            <v>JHu</v>
          </cell>
        </row>
        <row r="28">
          <cell r="A28">
            <v>21</v>
          </cell>
          <cell r="B28" t="str">
            <v>GDPDE</v>
          </cell>
          <cell r="C28" t="str">
            <v>vuosimuutos</v>
          </cell>
          <cell r="D28">
            <v>15</v>
          </cell>
          <cell r="E28" t="str">
            <v>BKT-kasvu  Saksa</v>
          </cell>
          <cell r="F28">
            <v>-5.6188589999999996</v>
          </cell>
          <cell r="G28">
            <v>3.66</v>
          </cell>
          <cell r="H28">
            <v>3.66</v>
          </cell>
          <cell r="I28">
            <v>0.49199300000000001</v>
          </cell>
          <cell r="J28">
            <v>0.48958400000000002</v>
          </cell>
          <cell r="K28">
            <v>1.5953379999999999</v>
          </cell>
          <cell r="L28">
            <v>1.720734</v>
          </cell>
          <cell r="M28">
            <v>1.8672580000000001</v>
          </cell>
          <cell r="N28">
            <v>2.9</v>
          </cell>
          <cell r="O28">
            <v>1.1000000000000001</v>
          </cell>
          <cell r="P28">
            <v>1.1000000000000001</v>
          </cell>
          <cell r="Q28">
            <v>-4.2</v>
          </cell>
          <cell r="R28">
            <v>3.6</v>
          </cell>
          <cell r="S28">
            <v>1.4</v>
          </cell>
          <cell r="T28">
            <v>-0.7</v>
          </cell>
          <cell r="U28">
            <v>-0.5</v>
          </cell>
          <cell r="V28">
            <v>0.3</v>
          </cell>
          <cell r="W28">
            <v>0.7</v>
          </cell>
          <cell r="X28">
            <v>1.6</v>
          </cell>
          <cell r="Y28">
            <v>1.1000000000000001</v>
          </cell>
          <cell r="AB28">
            <v>46239</v>
          </cell>
          <cell r="AC28" t="str">
            <v>JHu</v>
          </cell>
        </row>
        <row r="29">
          <cell r="A29">
            <v>22</v>
          </cell>
          <cell r="B29" t="str">
            <v>GDPFR</v>
          </cell>
          <cell r="C29" t="str">
            <v>vuosimuutos</v>
          </cell>
          <cell r="D29">
            <v>16</v>
          </cell>
          <cell r="E29" t="str">
            <v>BKT-kasvu  Ranska</v>
          </cell>
          <cell r="F29">
            <v>-2.941341</v>
          </cell>
          <cell r="G29">
            <v>2.0792290000000002</v>
          </cell>
          <cell r="H29">
            <v>2.0792290000000002</v>
          </cell>
          <cell r="I29">
            <v>0.18269299999999999</v>
          </cell>
          <cell r="J29">
            <v>0.57624200000000003</v>
          </cell>
          <cell r="K29">
            <v>0.94758600000000004</v>
          </cell>
          <cell r="L29">
            <v>1.0674619999999999</v>
          </cell>
          <cell r="M29">
            <v>1.1876500000000001</v>
          </cell>
          <cell r="N29">
            <v>2.4</v>
          </cell>
          <cell r="O29">
            <v>1.8</v>
          </cell>
          <cell r="P29">
            <v>1.9</v>
          </cell>
          <cell r="Q29">
            <v>-7.7</v>
          </cell>
          <cell r="R29">
            <v>6.8</v>
          </cell>
          <cell r="S29">
            <v>2.6</v>
          </cell>
          <cell r="T29">
            <v>1.6</v>
          </cell>
          <cell r="U29">
            <v>1.4</v>
          </cell>
          <cell r="V29">
            <v>0.9</v>
          </cell>
          <cell r="W29">
            <v>0.7</v>
          </cell>
          <cell r="X29">
            <v>1.5</v>
          </cell>
          <cell r="Y29">
            <v>1.4</v>
          </cell>
          <cell r="AB29">
            <v>46239</v>
          </cell>
          <cell r="AC29" t="str">
            <v>JHu</v>
          </cell>
        </row>
        <row r="30">
          <cell r="A30">
            <v>23</v>
          </cell>
          <cell r="B30" t="str">
            <v>GDPUK</v>
          </cell>
          <cell r="C30" t="str">
            <v>vuosimuutos</v>
          </cell>
          <cell r="D30">
            <v>17</v>
          </cell>
          <cell r="E30" t="str">
            <v>BKT-kasvu  UK</v>
          </cell>
          <cell r="F30">
            <v>-4.1919449999999996</v>
          </cell>
          <cell r="G30">
            <v>1.509123</v>
          </cell>
          <cell r="H30">
            <v>1.509123</v>
          </cell>
          <cell r="I30">
            <v>1.3130189999999999</v>
          </cell>
          <cell r="J30">
            <v>1.9110780000000001</v>
          </cell>
          <cell r="K30">
            <v>3.070484</v>
          </cell>
          <cell r="L30">
            <v>2.194229</v>
          </cell>
          <cell r="M30">
            <v>1.8060179999999999</v>
          </cell>
          <cell r="N30">
            <v>1.9</v>
          </cell>
          <cell r="O30">
            <v>1.7</v>
          </cell>
          <cell r="P30">
            <v>1.7</v>
          </cell>
          <cell r="Q30">
            <v>-11</v>
          </cell>
          <cell r="R30">
            <v>8.6</v>
          </cell>
          <cell r="S30">
            <v>4.8</v>
          </cell>
          <cell r="T30">
            <v>0.4</v>
          </cell>
          <cell r="U30">
            <v>1</v>
          </cell>
          <cell r="V30">
            <v>1.4</v>
          </cell>
          <cell r="W30">
            <v>0.6</v>
          </cell>
          <cell r="X30">
            <v>1.6</v>
          </cell>
          <cell r="Y30">
            <v>1.5</v>
          </cell>
          <cell r="AB30">
            <v>46239</v>
          </cell>
          <cell r="AC30" t="str">
            <v>JHu</v>
          </cell>
        </row>
        <row r="31">
          <cell r="A31">
            <v>24</v>
          </cell>
          <cell r="B31" t="str">
            <v>GDPEU</v>
          </cell>
          <cell r="C31" t="str">
            <v>vuosimuutos</v>
          </cell>
          <cell r="D31">
            <v>18</v>
          </cell>
          <cell r="E31" t="str">
            <v>BKT-kasvu  EU</v>
          </cell>
          <cell r="L31">
            <v>1.6</v>
          </cell>
          <cell r="M31">
            <v>1.7</v>
          </cell>
          <cell r="N31">
            <v>2.8</v>
          </cell>
          <cell r="O31">
            <v>2.1</v>
          </cell>
          <cell r="P31">
            <v>1.9</v>
          </cell>
          <cell r="Q31">
            <v>-7</v>
          </cell>
          <cell r="R31">
            <v>6.2</v>
          </cell>
          <cell r="S31">
            <v>3.3</v>
          </cell>
          <cell r="T31">
            <v>0.7</v>
          </cell>
          <cell r="U31">
            <v>1.1000000000000001</v>
          </cell>
          <cell r="V31">
            <v>1.4</v>
          </cell>
          <cell r="W31">
            <v>1.1000000000000001</v>
          </cell>
          <cell r="X31">
            <v>1.4</v>
          </cell>
          <cell r="Y31">
            <v>1.4</v>
          </cell>
          <cell r="AB31">
            <v>46239</v>
          </cell>
          <cell r="AC31" t="str">
            <v>/JHu</v>
          </cell>
        </row>
        <row r="32">
          <cell r="A32">
            <v>25</v>
          </cell>
        </row>
        <row r="33">
          <cell r="A33">
            <v>26</v>
          </cell>
          <cell r="E33" t="str">
            <v>Ulkomaankauppa</v>
          </cell>
          <cell r="J33" t="str">
            <v xml:space="preserve"> </v>
          </cell>
          <cell r="K33" t="str">
            <v xml:space="preserve"> </v>
          </cell>
          <cell r="L33" t="str">
            <v xml:space="preserve"> </v>
          </cell>
          <cell r="M33" t="str">
            <v xml:space="preserve"> </v>
          </cell>
          <cell r="N33" t="str">
            <v xml:space="preserve"> </v>
          </cell>
          <cell r="O33" t="str">
            <v xml:space="preserve"> </v>
          </cell>
        </row>
        <row r="34">
          <cell r="A34">
            <v>27</v>
          </cell>
        </row>
        <row r="35">
          <cell r="A35">
            <v>28</v>
          </cell>
          <cell r="B35" t="str">
            <v>Nominal unit labour costs (ratio of compensation per employee to real GDP per employee) (Ratio of compensation per employee to real GDP per person employed.)</v>
          </cell>
          <cell r="C35" t="str">
            <v>(EUR: 2020 = 100)</v>
          </cell>
          <cell r="D35" t="str">
            <v>Euro area (19 countries)</v>
          </cell>
          <cell r="E35" t="str">
            <v>Yksikkötyökustannukset (euroalue), Komission ennuste</v>
          </cell>
          <cell r="F35">
            <v>4.3670738668246889</v>
          </cell>
          <cell r="G35">
            <v>-0.46288657469368832</v>
          </cell>
          <cell r="H35">
            <v>0.56054918602750359</v>
          </cell>
          <cell r="I35">
            <v>2.1425063854596305</v>
          </cell>
          <cell r="J35">
            <v>1.2745852327840979</v>
          </cell>
          <cell r="K35">
            <v>0.67771448442319748</v>
          </cell>
          <cell r="L35">
            <v>0.3550940365853128</v>
          </cell>
          <cell r="M35">
            <v>0.92274748791232319</v>
          </cell>
          <cell r="N35">
            <v>0.7682281984255912</v>
          </cell>
          <cell r="O35">
            <v>2.0367798468236442</v>
          </cell>
          <cell r="P35">
            <v>1.9894343188550545</v>
          </cell>
          <cell r="Q35">
            <v>4.4333960873610412</v>
          </cell>
          <cell r="R35">
            <v>-0.41934999999999611</v>
          </cell>
          <cell r="S35">
            <v>3.2242910645793099</v>
          </cell>
          <cell r="T35">
            <v>6.4102626464348722</v>
          </cell>
          <cell r="U35">
            <v>4.4814885854550957</v>
          </cell>
          <cell r="V35">
            <v>3.1045873165182813</v>
          </cell>
          <cell r="W35">
            <v>2.6554669631377203</v>
          </cell>
          <cell r="X35">
            <v>2.3379322574631489</v>
          </cell>
          <cell r="AB35" t="str">
            <v>Ei viedä tietokantaan, kuvatuotanto hakee tiedot suoraan AMECOsta</v>
          </cell>
        </row>
        <row r="36">
          <cell r="A36">
            <v>29</v>
          </cell>
          <cell r="B36" t="str">
            <v>Nominal unit labour costs (ratio of compensation per employee to real GDP per employee) (Ratio of compensation per employee to real GDP per person employed.)</v>
          </cell>
          <cell r="C36" t="str">
            <v>(EUR: 2020 = 100)</v>
          </cell>
          <cell r="D36" t="str">
            <v>Germany</v>
          </cell>
          <cell r="E36" t="str">
            <v>Yksikkötyökustannukset (Saksa), Komission ennuste</v>
          </cell>
          <cell r="F36">
            <v>6.4826862831181664</v>
          </cell>
          <cell r="G36">
            <v>-1.0832307252217066</v>
          </cell>
          <cell r="H36">
            <v>0.39680858220050297</v>
          </cell>
          <cell r="I36">
            <v>3.3899812192320411</v>
          </cell>
          <cell r="J36">
            <v>2.4150966525612327</v>
          </cell>
          <cell r="K36">
            <v>1.685404886654629</v>
          </cell>
          <cell r="L36">
            <v>2.1112972285203702</v>
          </cell>
          <cell r="M36">
            <v>1.4318640876763267</v>
          </cell>
          <cell r="N36">
            <v>1.3558481479722051</v>
          </cell>
          <cell r="O36">
            <v>3.3466038519184282</v>
          </cell>
          <cell r="P36">
            <v>3.2487398026590508</v>
          </cell>
          <cell r="Q36">
            <v>3.8386123672410344</v>
          </cell>
          <cell r="R36">
            <v>-0.52330999999999905</v>
          </cell>
          <cell r="S36">
            <v>3.8101891005822619</v>
          </cell>
          <cell r="T36">
            <v>7.8384330938827018</v>
          </cell>
          <cell r="U36">
            <v>5.7816326924622352</v>
          </cell>
          <cell r="V36">
            <v>4.7146026195594493</v>
          </cell>
          <cell r="W36">
            <v>2.8635041201824807</v>
          </cell>
          <cell r="X36">
            <v>2.6921882634806105</v>
          </cell>
          <cell r="AB36" t="str">
            <v>Ei viedä tietokantaan, kuvatuotanto hakee tiedot suoraan AMECOsta</v>
          </cell>
        </row>
        <row r="37">
          <cell r="A37">
            <v>30</v>
          </cell>
          <cell r="B37" t="str">
            <v>Nominal unit labour costs (ratio of compensation per employee to real GDP per employee) (Ratio of compensation per employee to real GDP per person employed.)</v>
          </cell>
          <cell r="C37" t="str">
            <v>(National currency: 2020 = 100)</v>
          </cell>
          <cell r="D37" t="str">
            <v>Sweden</v>
          </cell>
          <cell r="E37" t="str">
            <v>Yksikkötyökustannukset (Ruotsi), Komission ennuste</v>
          </cell>
          <cell r="F37">
            <v>4.6325603359156586</v>
          </cell>
          <cell r="G37">
            <v>-2.3114984554677531</v>
          </cell>
          <cell r="H37">
            <v>2.2775401771957027</v>
          </cell>
          <cell r="I37">
            <v>4.4250916382570393</v>
          </cell>
          <cell r="J37">
            <v>1.7920319788927275</v>
          </cell>
          <cell r="K37">
            <v>1.4004483327410888</v>
          </cell>
          <cell r="L37">
            <v>-0.21609806563971379</v>
          </cell>
          <cell r="M37">
            <v>2.2005082304524359</v>
          </cell>
          <cell r="N37">
            <v>2.7035390008244509</v>
          </cell>
          <cell r="O37">
            <v>3.8332724130696549</v>
          </cell>
          <cell r="P37">
            <v>0.97212682360354741</v>
          </cell>
          <cell r="Q37">
            <v>3.1473984575750569</v>
          </cell>
          <cell r="R37">
            <v>0.92646999999999036</v>
          </cell>
          <cell r="S37">
            <v>4.3000711309926887</v>
          </cell>
          <cell r="T37">
            <v>6.7868487545596379</v>
          </cell>
          <cell r="U37">
            <v>3.78213274276058</v>
          </cell>
          <cell r="V37">
            <v>3.5829952417310018E-2</v>
          </cell>
          <cell r="W37">
            <v>2.1956151106084842</v>
          </cell>
          <cell r="X37">
            <v>2.3571277528932288</v>
          </cell>
          <cell r="AB37" t="str">
            <v>Ei viedä tietokantaan, kuvatuotanto hakee tiedot suoraan AMECOsta</v>
          </cell>
        </row>
        <row r="38">
          <cell r="A38">
            <v>31</v>
          </cell>
        </row>
        <row r="39">
          <cell r="A39">
            <v>32</v>
          </cell>
        </row>
        <row r="40">
          <cell r="A40">
            <v>33</v>
          </cell>
          <cell r="E40" t="str">
            <v>Rahapolitiikka</v>
          </cell>
          <cell r="F40" t="str">
            <v xml:space="preserve"> </v>
          </cell>
          <cell r="G40" t="str">
            <v xml:space="preserve"> </v>
          </cell>
          <cell r="H40" t="str">
            <v xml:space="preserve"> </v>
          </cell>
          <cell r="I40" t="str">
            <v xml:space="preserve"> 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  <cell r="M40" t="str">
            <v xml:space="preserve"> </v>
          </cell>
          <cell r="N40" t="str">
            <v xml:space="preserve"> </v>
          </cell>
        </row>
        <row r="41">
          <cell r="A41">
            <v>34</v>
          </cell>
        </row>
        <row r="42">
          <cell r="A42">
            <v>35</v>
          </cell>
          <cell r="B42" t="str">
            <v>STI</v>
          </cell>
          <cell r="C42" t="str">
            <v>vuosimuutos</v>
          </cell>
          <cell r="D42">
            <v>13</v>
          </cell>
          <cell r="E42" t="str">
            <v>3 kk EURIBOR-korko (tod.pv/365)</v>
          </cell>
          <cell r="F42">
            <v>1.225157088122605</v>
          </cell>
          <cell r="G42">
            <v>1.3931076923076917</v>
          </cell>
          <cell r="H42">
            <v>1.3931076923076917</v>
          </cell>
          <cell r="I42">
            <v>0.57273180076628405</v>
          </cell>
          <cell r="J42">
            <v>0.2207816091954021</v>
          </cell>
          <cell r="K42">
            <v>0.20924904214559445</v>
          </cell>
          <cell r="L42">
            <v>-1.9885057471264362E-2</v>
          </cell>
          <cell r="M42">
            <v>-0.26387258687258697</v>
          </cell>
          <cell r="N42">
            <v>-0.32904705882352858</v>
          </cell>
          <cell r="O42">
            <v>-0.3</v>
          </cell>
          <cell r="P42">
            <v>-0.4</v>
          </cell>
          <cell r="Q42">
            <v>-0.4</v>
          </cell>
          <cell r="R42">
            <v>-0.5</v>
          </cell>
          <cell r="S42">
            <v>0.3</v>
          </cell>
          <cell r="T42">
            <v>3.4</v>
          </cell>
          <cell r="U42">
            <v>3.6</v>
          </cell>
          <cell r="V42">
            <v>2.2000000000000002</v>
          </cell>
          <cell r="W42">
            <v>2.2999999999999998</v>
          </cell>
          <cell r="X42">
            <v>2.9</v>
          </cell>
          <cell r="Y42">
            <v>2.8</v>
          </cell>
          <cell r="Z42">
            <v>2.4</v>
          </cell>
          <cell r="AA42">
            <v>2.1</v>
          </cell>
          <cell r="AB42">
            <v>46239</v>
          </cell>
          <cell r="AC42" t="str">
            <v>/Jhu</v>
          </cell>
        </row>
        <row r="43">
          <cell r="A43">
            <v>36</v>
          </cell>
          <cell r="B43" t="str">
            <v>LTI</v>
          </cell>
          <cell r="C43" t="str">
            <v>vuosimuutos</v>
          </cell>
          <cell r="D43">
            <v>14</v>
          </cell>
          <cell r="E43" t="str">
            <v>Obligaatiokorko 10 v</v>
          </cell>
          <cell r="F43">
            <v>3.7365900383141755</v>
          </cell>
          <cell r="G43">
            <v>3.0014230769230736</v>
          </cell>
          <cell r="H43">
            <v>3.0014230769230736</v>
          </cell>
          <cell r="I43">
            <v>1.884636015325672</v>
          </cell>
          <cell r="J43">
            <v>1.86</v>
          </cell>
          <cell r="K43">
            <v>1.4470881226053642</v>
          </cell>
          <cell r="L43">
            <v>0.72555555555555595</v>
          </cell>
          <cell r="M43">
            <v>0.36298850574712649</v>
          </cell>
          <cell r="N43">
            <v>0.54834615384615426</v>
          </cell>
          <cell r="O43">
            <v>0.7</v>
          </cell>
          <cell r="P43">
            <v>0.1</v>
          </cell>
          <cell r="Q43">
            <v>-0.2</v>
          </cell>
          <cell r="R43">
            <v>-0.1</v>
          </cell>
          <cell r="S43">
            <v>1.7</v>
          </cell>
          <cell r="T43">
            <v>3</v>
          </cell>
          <cell r="U43">
            <v>2.9</v>
          </cell>
          <cell r="V43">
            <v>3</v>
          </cell>
          <cell r="W43">
            <v>3.3</v>
          </cell>
          <cell r="X43">
            <v>3.3</v>
          </cell>
          <cell r="Y43">
            <v>3.2</v>
          </cell>
          <cell r="Z43">
            <v>3.1</v>
          </cell>
          <cell r="AA43">
            <v>3</v>
          </cell>
          <cell r="AB43">
            <v>46239</v>
          </cell>
          <cell r="AC43" t="str">
            <v>/JHu</v>
          </cell>
        </row>
        <row r="44">
          <cell r="A44">
            <v>37</v>
          </cell>
          <cell r="E44" t="str">
            <v>Asuntoluottokannan keskikorko</v>
          </cell>
          <cell r="G44">
            <v>2.93</v>
          </cell>
          <cell r="H44">
            <v>1.98</v>
          </cell>
          <cell r="I44">
            <v>2.34</v>
          </cell>
          <cell r="J44">
            <v>2.0499999999999998</v>
          </cell>
          <cell r="K44">
            <v>1.49</v>
          </cell>
          <cell r="L44">
            <v>1.4</v>
          </cell>
          <cell r="M44">
            <v>1.4</v>
          </cell>
          <cell r="N44">
            <v>1.5</v>
          </cell>
        </row>
        <row r="45">
          <cell r="A45">
            <v>38</v>
          </cell>
          <cell r="E45" t="str">
            <v>Kotitalouksien talletusten keskikorko</v>
          </cell>
          <cell r="G45">
            <v>1.3</v>
          </cell>
          <cell r="H45">
            <v>0.97</v>
          </cell>
          <cell r="I45">
            <v>0.92</v>
          </cell>
          <cell r="J45">
            <v>0.54</v>
          </cell>
          <cell r="K45">
            <v>0.42</v>
          </cell>
          <cell r="L45">
            <v>0.33</v>
          </cell>
          <cell r="M45">
            <v>0.23</v>
          </cell>
          <cell r="N45">
            <v>0.16</v>
          </cell>
          <cell r="O45">
            <v>0.12</v>
          </cell>
          <cell r="P45">
            <v>0.11</v>
          </cell>
          <cell r="Q45">
            <v>0.11</v>
          </cell>
          <cell r="R45">
            <v>0.25</v>
          </cell>
          <cell r="S45">
            <v>0.47</v>
          </cell>
          <cell r="T45">
            <v>0.78</v>
          </cell>
          <cell r="U45">
            <v>1.1000000000000001</v>
          </cell>
          <cell r="AC45" t="str">
            <v>29.11.2019 JR</v>
          </cell>
        </row>
        <row r="46">
          <cell r="A46">
            <v>39</v>
          </cell>
          <cell r="R46" t="str">
            <v xml:space="preserve"> </v>
          </cell>
        </row>
        <row r="47">
          <cell r="A47">
            <v>40</v>
          </cell>
          <cell r="E47" t="str">
            <v>Kotimaiset hinnat ja palkat</v>
          </cell>
        </row>
        <row r="48">
          <cell r="A48">
            <v>41</v>
          </cell>
          <cell r="B48" t="str">
            <v>YKHI_pohja</v>
          </cell>
          <cell r="C48" t="str">
            <v>vuosimuutos</v>
          </cell>
          <cell r="D48" t="str">
            <v>S1</v>
          </cell>
          <cell r="E48" t="str">
            <v>YKHI ilman energiaa ja elintarvikkeita</v>
          </cell>
          <cell r="F48">
            <v>2.2000000000000002</v>
          </cell>
          <cell r="G48">
            <v>1.7</v>
          </cell>
          <cell r="H48">
            <v>1.8</v>
          </cell>
          <cell r="I48">
            <v>2.1</v>
          </cell>
          <cell r="J48">
            <v>1.8</v>
          </cell>
          <cell r="K48">
            <v>1.6</v>
          </cell>
          <cell r="L48">
            <v>0.8</v>
          </cell>
          <cell r="M48">
            <v>1.1000000000000001</v>
          </cell>
          <cell r="N48">
            <v>0.6</v>
          </cell>
          <cell r="O48">
            <v>0.3</v>
          </cell>
          <cell r="P48">
            <v>0.7</v>
          </cell>
          <cell r="Q48">
            <v>0.5</v>
          </cell>
          <cell r="R48">
            <v>1.2</v>
          </cell>
          <cell r="S48">
            <v>3.6</v>
          </cell>
          <cell r="T48">
            <v>4.0999999999999996</v>
          </cell>
          <cell r="U48">
            <v>2.2000000000000002</v>
          </cell>
          <cell r="V48">
            <v>2.4</v>
          </cell>
          <cell r="W48">
            <v>1.8058665794932836</v>
          </cell>
          <cell r="X48">
            <v>1.8867576696397066</v>
          </cell>
          <cell r="Y48">
            <v>1.8464347090426685</v>
          </cell>
          <cell r="AB48" t="str">
            <v>6.8.2026 Hkä: v. 2026-28</v>
          </cell>
        </row>
        <row r="49">
          <cell r="A49">
            <v>42</v>
          </cell>
          <cell r="B49" t="str">
            <v>KHI</v>
          </cell>
          <cell r="C49" t="str">
            <v>vuosimuutos</v>
          </cell>
          <cell r="D49">
            <v>303</v>
          </cell>
          <cell r="E49" t="str">
            <v>Kuluttajahintaindeksi</v>
          </cell>
          <cell r="F49">
            <v>0</v>
          </cell>
          <cell r="G49">
            <v>1.2</v>
          </cell>
          <cell r="H49">
            <v>3.4</v>
          </cell>
          <cell r="I49">
            <v>2.8</v>
          </cell>
          <cell r="J49">
            <v>1.5</v>
          </cell>
          <cell r="K49">
            <v>1</v>
          </cell>
          <cell r="L49">
            <v>-0.2</v>
          </cell>
          <cell r="M49">
            <v>0.4</v>
          </cell>
          <cell r="N49">
            <v>0.7</v>
          </cell>
          <cell r="O49">
            <v>1.1000000000000001</v>
          </cell>
          <cell r="P49">
            <v>1</v>
          </cell>
          <cell r="Q49">
            <v>0.3</v>
          </cell>
          <cell r="R49">
            <v>2.2000000000000002</v>
          </cell>
          <cell r="S49">
            <v>7.1</v>
          </cell>
          <cell r="T49">
            <v>6.2</v>
          </cell>
          <cell r="U49">
            <v>1.6</v>
          </cell>
          <cell r="V49">
            <v>0.3</v>
          </cell>
          <cell r="W49">
            <v>1.9608131402787388</v>
          </cell>
          <cell r="X49">
            <v>1.863469217013991</v>
          </cell>
          <cell r="Y49">
            <v>2.1181172280806182</v>
          </cell>
          <cell r="Z49">
            <v>2</v>
          </cell>
          <cell r="AA49">
            <v>2</v>
          </cell>
          <cell r="AB49" t="str">
            <v>6.8.2026 Hkä: v. 2026-28</v>
          </cell>
          <cell r="AE49">
            <v>1.1727272727272726</v>
          </cell>
        </row>
        <row r="50">
          <cell r="A50">
            <v>43</v>
          </cell>
          <cell r="E50" t="str">
            <v>KHI (Q3)</v>
          </cell>
          <cell r="H50">
            <v>3.8</v>
          </cell>
          <cell r="I50">
            <v>2.8</v>
          </cell>
          <cell r="J50">
            <v>1.3</v>
          </cell>
          <cell r="K50">
            <v>1.1000000000000001</v>
          </cell>
          <cell r="L50">
            <v>-0.3</v>
          </cell>
          <cell r="M50">
            <v>0.4</v>
          </cell>
          <cell r="N50">
            <v>0.7</v>
          </cell>
          <cell r="O50">
            <v>1.3</v>
          </cell>
          <cell r="P50">
            <v>0.9</v>
          </cell>
          <cell r="Q50">
            <v>0.3</v>
          </cell>
          <cell r="R50">
            <v>2.2000000000000002</v>
          </cell>
          <cell r="S50">
            <v>7.8</v>
          </cell>
          <cell r="T50">
            <v>5.9</v>
          </cell>
          <cell r="U50">
            <v>1</v>
          </cell>
          <cell r="V50">
            <v>0.4</v>
          </cell>
          <cell r="W50">
            <v>2.4</v>
          </cell>
          <cell r="X50">
            <v>1.5</v>
          </cell>
          <cell r="Y50">
            <v>2.1</v>
          </cell>
          <cell r="Z50">
            <v>2</v>
          </cell>
          <cell r="AA50">
            <v>2</v>
          </cell>
          <cell r="AB50" t="str">
            <v>6.8.2026 Hkä: v. 2026-28</v>
          </cell>
          <cell r="AE50">
            <v>1.3333333333333333</v>
          </cell>
        </row>
        <row r="51">
          <cell r="A51">
            <v>44</v>
          </cell>
          <cell r="B51" t="str">
            <v>YKHI</v>
          </cell>
          <cell r="C51" t="str">
            <v>vuosimuutos</v>
          </cell>
          <cell r="D51" t="str">
            <v>S1</v>
          </cell>
          <cell r="E51" t="str">
            <v>YKHI</v>
          </cell>
          <cell r="F51">
            <v>1.6</v>
          </cell>
          <cell r="G51">
            <v>1.7</v>
          </cell>
          <cell r="H51">
            <v>3.3</v>
          </cell>
          <cell r="I51">
            <v>3.2</v>
          </cell>
          <cell r="J51">
            <v>2.2000000000000002</v>
          </cell>
          <cell r="K51">
            <v>1.2</v>
          </cell>
          <cell r="L51">
            <v>-0.2</v>
          </cell>
          <cell r="M51">
            <v>0.4</v>
          </cell>
          <cell r="N51">
            <v>0.8</v>
          </cell>
          <cell r="O51">
            <v>1.2</v>
          </cell>
          <cell r="P51">
            <v>1.1000000000000001</v>
          </cell>
          <cell r="Q51">
            <v>0.4</v>
          </cell>
          <cell r="R51">
            <v>2.1</v>
          </cell>
          <cell r="S51">
            <v>7.2</v>
          </cell>
          <cell r="T51">
            <v>4.3</v>
          </cell>
          <cell r="U51">
            <v>1</v>
          </cell>
          <cell r="V51">
            <v>1.8</v>
          </cell>
          <cell r="W51">
            <v>2.5365139289316545</v>
          </cell>
          <cell r="X51">
            <v>1.4387156976614079</v>
          </cell>
          <cell r="Y51">
            <v>2.0919850101356303</v>
          </cell>
          <cell r="Z51">
            <v>2</v>
          </cell>
          <cell r="AA51">
            <v>2</v>
          </cell>
          <cell r="AB51" t="str">
            <v>6.8.2026 Hkä: v. 2026-28</v>
          </cell>
          <cell r="AE51">
            <v>1.5</v>
          </cell>
        </row>
        <row r="52">
          <cell r="A52">
            <v>45</v>
          </cell>
          <cell r="B52" t="str">
            <v>RKI</v>
          </cell>
          <cell r="C52" t="str">
            <v>vuosimuutos</v>
          </cell>
          <cell r="D52" t="str">
            <v>S1</v>
          </cell>
          <cell r="E52" t="str">
            <v>Rakennuskustannusindeksi</v>
          </cell>
          <cell r="F52">
            <v>-1.1000000000000001</v>
          </cell>
          <cell r="G52">
            <v>1.1000000000000001</v>
          </cell>
          <cell r="H52">
            <v>3.3</v>
          </cell>
          <cell r="I52">
            <v>2.4</v>
          </cell>
          <cell r="J52">
            <v>1</v>
          </cell>
          <cell r="K52">
            <v>1</v>
          </cell>
          <cell r="L52">
            <v>0.5</v>
          </cell>
          <cell r="M52">
            <v>0.5</v>
          </cell>
          <cell r="N52">
            <v>0.3</v>
          </cell>
          <cell r="O52">
            <v>2.2000000000000002</v>
          </cell>
          <cell r="P52">
            <v>1</v>
          </cell>
          <cell r="Q52">
            <v>-0.3</v>
          </cell>
          <cell r="R52">
            <v>5.4</v>
          </cell>
          <cell r="S52">
            <v>8.1999999999999993</v>
          </cell>
          <cell r="T52">
            <v>3.1</v>
          </cell>
          <cell r="U52">
            <v>0</v>
          </cell>
          <cell r="V52">
            <v>0.9</v>
          </cell>
          <cell r="W52">
            <v>2</v>
          </cell>
          <cell r="X52">
            <v>1.7</v>
          </cell>
          <cell r="Y52">
            <v>1.8</v>
          </cell>
          <cell r="Z52">
            <v>1.8</v>
          </cell>
          <cell r="AA52">
            <v>1.8</v>
          </cell>
          <cell r="AB52" t="str">
            <v>6.8.2026 Hkä: v. 2026-28</v>
          </cell>
          <cell r="AE52">
            <v>1.1090909090909091</v>
          </cell>
        </row>
        <row r="53">
          <cell r="A53">
            <v>46</v>
          </cell>
          <cell r="B53" t="str">
            <v>KMPHI</v>
          </cell>
          <cell r="C53" t="str">
            <v>vuosimuutos</v>
          </cell>
          <cell r="D53" t="str">
            <v>S1</v>
          </cell>
          <cell r="E53" t="str">
            <v>Verollinen kotimarkkinoiden perushintaindeksi</v>
          </cell>
          <cell r="F53">
            <v>-7.2323759791122821</v>
          </cell>
          <cell r="G53">
            <v>4.2499296369265638</v>
          </cell>
          <cell r="H53">
            <v>7.5</v>
          </cell>
          <cell r="I53">
            <v>3.3</v>
          </cell>
          <cell r="J53">
            <v>1.1000000000000001</v>
          </cell>
          <cell r="K53">
            <v>-1.1000000000000001</v>
          </cell>
          <cell r="L53">
            <v>-2.7</v>
          </cell>
          <cell r="M53">
            <v>-1.2</v>
          </cell>
          <cell r="N53">
            <v>4.9000000000000004</v>
          </cell>
          <cell r="O53">
            <v>4.7</v>
          </cell>
          <cell r="P53">
            <v>1</v>
          </cell>
          <cell r="Q53">
            <v>-3.3</v>
          </cell>
          <cell r="R53">
            <v>10.1</v>
          </cell>
          <cell r="S53">
            <v>20.3</v>
          </cell>
          <cell r="T53">
            <v>-2.2000000000000002</v>
          </cell>
          <cell r="U53">
            <v>-1.2</v>
          </cell>
          <cell r="V53">
            <v>-0.4</v>
          </cell>
          <cell r="W53">
            <v>3.2</v>
          </cell>
          <cell r="X53">
            <v>1.9</v>
          </cell>
          <cell r="Y53">
            <v>2</v>
          </cell>
          <cell r="Z53">
            <v>2</v>
          </cell>
          <cell r="AA53">
            <v>2</v>
          </cell>
          <cell r="AB53" t="str">
            <v>6.8.2026 Hkä: v. 2026-28</v>
          </cell>
          <cell r="AE53">
            <v>1.3197776052558439</v>
          </cell>
        </row>
        <row r="54">
          <cell r="A54">
            <v>47</v>
          </cell>
          <cell r="B54" t="str">
            <v>ATI</v>
          </cell>
          <cell r="C54" t="str">
            <v>ati_2015_100</v>
          </cell>
          <cell r="D54" t="str">
            <v>S1</v>
          </cell>
          <cell r="E54" t="str">
            <v>Ansiotasoindeksi</v>
          </cell>
          <cell r="F54">
            <v>4.003692726300967</v>
          </cell>
          <cell r="G54">
            <v>2.6115692308427585</v>
          </cell>
          <cell r="H54">
            <v>2.6998542663354108</v>
          </cell>
          <cell r="I54">
            <v>3.1836252753467464</v>
          </cell>
          <cell r="J54">
            <v>2.0978999463440617</v>
          </cell>
          <cell r="K54">
            <v>1.4444441574437139</v>
          </cell>
          <cell r="L54">
            <v>1.3991945539160167</v>
          </cell>
          <cell r="M54">
            <v>0.87247000000001407</v>
          </cell>
          <cell r="N54">
            <v>0.22184447352184833</v>
          </cell>
          <cell r="O54">
            <v>1.6928125425028195</v>
          </cell>
          <cell r="P54">
            <v>2.1169247960413751</v>
          </cell>
          <cell r="Q54">
            <v>1.9399150232254359</v>
          </cell>
          <cell r="R54">
            <v>2.4253466015601965</v>
          </cell>
          <cell r="S54">
            <v>2.4134115212897322</v>
          </cell>
          <cell r="T54">
            <v>4.2291453121719336</v>
          </cell>
          <cell r="U54">
            <v>3.3514059554189624</v>
          </cell>
          <cell r="V54">
            <v>3.0667440883162422</v>
          </cell>
          <cell r="W54">
            <v>3.586306737016165</v>
          </cell>
          <cell r="X54">
            <v>3.189216560655983</v>
          </cell>
          <cell r="Y54">
            <v>3.4</v>
          </cell>
          <cell r="Z54">
            <v>3.2</v>
          </cell>
          <cell r="AA54">
            <v>3.2</v>
          </cell>
          <cell r="AB54" t="str">
            <v>6.8.2026 KK: v. 2026-28</v>
          </cell>
          <cell r="AE54">
            <v>2.0313029062359758</v>
          </cell>
        </row>
        <row r="55">
          <cell r="A55">
            <v>48</v>
          </cell>
          <cell r="B55" t="str">
            <v>YOI</v>
          </cell>
          <cell r="C55" t="str">
            <v>Indeksi</v>
          </cell>
          <cell r="D55" t="str">
            <v>S1</v>
          </cell>
          <cell r="E55" t="str">
            <v>Yliopistoindeksi</v>
          </cell>
          <cell r="F55">
            <v>1.4775069479657765</v>
          </cell>
          <cell r="G55">
            <v>3.5669067304546629</v>
          </cell>
          <cell r="H55">
            <v>3.5669067304546629</v>
          </cell>
          <cell r="I55">
            <v>3.1205201762219179</v>
          </cell>
          <cell r="J55">
            <v>1.8226559656601995</v>
          </cell>
          <cell r="K55">
            <v>0.96944426076397683</v>
          </cell>
          <cell r="L55">
            <v>0.4484845145062506</v>
          </cell>
          <cell r="M55">
            <v>0.46238080000000897</v>
          </cell>
          <cell r="N55">
            <v>1.023980463053983</v>
          </cell>
          <cell r="O55">
            <v>2.0194000272018044</v>
          </cell>
          <cell r="P55">
            <v>1.7148318694664799</v>
          </cell>
          <cell r="Q55">
            <v>0.80954561486427901</v>
          </cell>
          <cell r="R55">
            <v>3.5292218249985261</v>
          </cell>
          <cell r="S55">
            <v>6.0805833736254282</v>
          </cell>
          <cell r="T55">
            <v>3.678652999790037</v>
          </cell>
          <cell r="U55">
            <v>2.3008998114681356</v>
          </cell>
          <cell r="V55">
            <v>1.9657162165223951</v>
          </cell>
          <cell r="W55">
            <v>3.1870070711488805</v>
          </cell>
          <cell r="X55">
            <v>2.7174271343927674</v>
          </cell>
          <cell r="Y55">
            <v>2.9208046178969296</v>
          </cell>
          <cell r="Z55">
            <v>2.7679999999999998</v>
          </cell>
          <cell r="AA55">
            <v>2.7679999999999998</v>
          </cell>
        </row>
        <row r="56">
          <cell r="A56">
            <v>49</v>
          </cell>
          <cell r="B56" t="str">
            <v>YLE</v>
          </cell>
          <cell r="C56" t="str">
            <v>Indeksi</v>
          </cell>
          <cell r="D56" t="str">
            <v>S1</v>
          </cell>
          <cell r="E56" t="str">
            <v>YLE-indeksi</v>
          </cell>
          <cell r="G56">
            <v>2.9332361775569407</v>
          </cell>
          <cell r="H56">
            <v>2.9332361775569407</v>
          </cell>
          <cell r="I56">
            <v>3.0557501835644971</v>
          </cell>
          <cell r="J56">
            <v>1.8985999642293745</v>
          </cell>
          <cell r="K56">
            <v>1.2962961049624759</v>
          </cell>
          <cell r="L56">
            <v>0.86612970261067779</v>
          </cell>
          <cell r="M56">
            <v>0.71498000000000927</v>
          </cell>
          <cell r="N56">
            <v>0.38122964901456552</v>
          </cell>
          <cell r="O56">
            <v>1.4952083616685463</v>
          </cell>
          <cell r="P56">
            <v>1.7446165306942498</v>
          </cell>
          <cell r="Q56">
            <v>1.3932766821502907</v>
          </cell>
          <cell r="R56">
            <v>2.3502310677067975</v>
          </cell>
          <cell r="S56">
            <v>3.9756076808598211</v>
          </cell>
          <cell r="T56">
            <v>4.8860968747812885</v>
          </cell>
          <cell r="U56">
            <v>2.7676039702793078</v>
          </cell>
          <cell r="V56">
            <v>2.1444960588774946</v>
          </cell>
          <cell r="W56">
            <v>3.0444755381036894</v>
          </cell>
          <cell r="X56">
            <v>2.7473007794419857</v>
          </cell>
          <cell r="Y56">
            <v>2.972705742693539</v>
          </cell>
          <cell r="Z56">
            <v>2.8</v>
          </cell>
          <cell r="AA56">
            <v>2.8</v>
          </cell>
        </row>
        <row r="57">
          <cell r="A57">
            <v>50</v>
          </cell>
          <cell r="B57" t="str">
            <v>AKI</v>
          </cell>
          <cell r="C57" t="str">
            <v>Indeksi</v>
          </cell>
          <cell r="D57" t="str">
            <v>S1</v>
          </cell>
          <cell r="E57" t="str">
            <v>Ammatillisen koulutuksen indeksi</v>
          </cell>
          <cell r="F57">
            <v>0.81884301511077462</v>
          </cell>
          <cell r="G57">
            <v>3.9089096451279546</v>
          </cell>
          <cell r="H57">
            <v>3.9089096451279546</v>
          </cell>
          <cell r="I57">
            <v>3.1528476707149826</v>
          </cell>
          <cell r="J57">
            <v>1.7786979667333185</v>
          </cell>
          <cell r="K57">
            <v>0.79255537761510242</v>
          </cell>
          <cell r="L57">
            <v>0.21650062342793019</v>
          </cell>
          <cell r="M57">
            <v>0.32493140000000875</v>
          </cell>
          <cell r="N57">
            <v>1.3695435735835462</v>
          </cell>
          <cell r="O57">
            <v>2.2955437763517486</v>
          </cell>
          <cell r="P57">
            <v>1.6924933735456524</v>
          </cell>
          <cell r="Q57">
            <v>0.48874731439977015</v>
          </cell>
          <cell r="R57">
            <v>4.1567148929673223</v>
          </cell>
          <cell r="S57">
            <v>7.2303151431996344</v>
          </cell>
          <cell r="T57">
            <v>3.0460700935465983</v>
          </cell>
          <cell r="U57">
            <v>2.0418716923597566</v>
          </cell>
          <cell r="V57">
            <v>1.85438133475607</v>
          </cell>
          <cell r="W57">
            <v>3.2536321479918331</v>
          </cell>
          <cell r="X57">
            <v>2.693834650158808</v>
          </cell>
          <cell r="Y57">
            <v>2.8857175842120926</v>
          </cell>
          <cell r="Z57">
            <v>2.7439999999999998</v>
          </cell>
          <cell r="AA57">
            <v>2.7439999999999998</v>
          </cell>
        </row>
        <row r="58">
          <cell r="A58">
            <v>51</v>
          </cell>
          <cell r="B58" t="str">
            <v>SPI</v>
          </cell>
          <cell r="C58" t="str">
            <v>vuosimuutos</v>
          </cell>
          <cell r="E58" t="str">
            <v>Sopimuspalkat</v>
          </cell>
          <cell r="F58">
            <v>3.5977859778597798</v>
          </cell>
          <cell r="G58">
            <v>2.0480854853072161</v>
          </cell>
          <cell r="H58">
            <v>2.0069808027923353</v>
          </cell>
          <cell r="I58">
            <v>2.9084687767322315</v>
          </cell>
          <cell r="J58">
            <v>1.413133832086455</v>
          </cell>
          <cell r="K58">
            <v>0.73770491803279992</v>
          </cell>
          <cell r="L58">
            <v>0.56956875508542559</v>
          </cell>
          <cell r="M58">
            <v>0.60000000000000053</v>
          </cell>
          <cell r="N58">
            <v>-0.29821073558647937</v>
          </cell>
          <cell r="O58">
            <v>1.2961116650049842</v>
          </cell>
          <cell r="P58">
            <v>1.870078740157477</v>
          </cell>
          <cell r="Q58">
            <v>1.352657004830915</v>
          </cell>
          <cell r="R58">
            <v>1.8112488083889433</v>
          </cell>
          <cell r="S58">
            <v>1.7790262172284743</v>
          </cell>
          <cell r="T58">
            <v>3.8638454461821459</v>
          </cell>
          <cell r="U58">
            <v>2.9229406554472925</v>
          </cell>
          <cell r="V58">
            <v>2.5817555938037806</v>
          </cell>
          <cell r="W58">
            <v>3.2</v>
          </cell>
          <cell r="X58">
            <v>2.8</v>
          </cell>
          <cell r="Y58">
            <v>3</v>
          </cell>
          <cell r="AB58" t="str">
            <v>3.8.2026 KK: v. 2026-28</v>
          </cell>
        </row>
        <row r="59">
          <cell r="A59">
            <v>52</v>
          </cell>
          <cell r="E59" t="str">
            <v>ATI(Q3)</v>
          </cell>
          <cell r="K59">
            <v>1.3</v>
          </cell>
          <cell r="L59">
            <v>1.1000000000000001</v>
          </cell>
          <cell r="M59">
            <v>1.2</v>
          </cell>
          <cell r="N59">
            <v>0.3</v>
          </cell>
          <cell r="O59">
            <v>2</v>
          </cell>
          <cell r="P59">
            <v>2</v>
          </cell>
          <cell r="Q59">
            <v>1.8</v>
          </cell>
          <cell r="R59">
            <v>2.4</v>
          </cell>
          <cell r="S59">
            <v>2.6</v>
          </cell>
          <cell r="T59">
            <v>4.9000000000000004</v>
          </cell>
          <cell r="U59">
            <v>2.6</v>
          </cell>
          <cell r="V59">
            <v>2.8</v>
          </cell>
          <cell r="W59">
            <v>3.6</v>
          </cell>
          <cell r="X59">
            <v>3</v>
          </cell>
          <cell r="Y59">
            <v>3.5</v>
          </cell>
          <cell r="Z59">
            <v>3.2</v>
          </cell>
          <cell r="AA59">
            <v>3.2</v>
          </cell>
          <cell r="AB59" t="str">
            <v>6.8.2026 KK: v. 2026-28</v>
          </cell>
        </row>
        <row r="60">
          <cell r="A60">
            <v>53</v>
          </cell>
          <cell r="B60" t="str">
            <v>HV</v>
          </cell>
          <cell r="C60" t="str">
            <v>Indeksi</v>
          </cell>
          <cell r="E60" t="str">
            <v>Hyvinvointialueindeksi</v>
          </cell>
          <cell r="T60">
            <v>3.52</v>
          </cell>
          <cell r="U60">
            <v>2.5299999999999998</v>
          </cell>
          <cell r="V60">
            <v>3</v>
          </cell>
          <cell r="W60">
            <v>3.2525917067718013</v>
          </cell>
          <cell r="X60">
            <v>2.7065978134500779</v>
          </cell>
          <cell r="Y60">
            <v>2.9837263571833232</v>
          </cell>
          <cell r="Z60">
            <v>2.8400000000000003</v>
          </cell>
          <cell r="AA60">
            <v>2.8400000000000003</v>
          </cell>
          <cell r="AB60" t="str">
            <v>2.9.2026 AA</v>
          </cell>
        </row>
        <row r="61">
          <cell r="A61">
            <v>54</v>
          </cell>
        </row>
        <row r="62">
          <cell r="A62">
            <v>55</v>
          </cell>
          <cell r="E62" t="str">
            <v>Sotumaksuperusteet</v>
          </cell>
          <cell r="J62">
            <v>0.59789994634406174</v>
          </cell>
          <cell r="K62">
            <v>0.44444415744371391</v>
          </cell>
          <cell r="L62">
            <v>1.5991945539160166</v>
          </cell>
          <cell r="M62">
            <v>0.47247000000001405</v>
          </cell>
          <cell r="N62">
            <v>-0.47815552647815163</v>
          </cell>
          <cell r="O62">
            <v>0.59281254250281945</v>
          </cell>
          <cell r="P62">
            <v>1.1169247960413751</v>
          </cell>
          <cell r="Q62">
            <v>1.6399150232254358</v>
          </cell>
          <cell r="R62">
            <v>0.22534660156019637</v>
          </cell>
          <cell r="S62">
            <v>-4.6865884787102674</v>
          </cell>
          <cell r="T62">
            <v>-1.9708546878280666</v>
          </cell>
          <cell r="U62">
            <v>1.7514059554189623</v>
          </cell>
        </row>
        <row r="63">
          <cell r="A63">
            <v>56</v>
          </cell>
        </row>
        <row r="64">
          <cell r="A64">
            <v>57</v>
          </cell>
          <cell r="E64" t="str">
            <v>Eläkeindeksit</v>
          </cell>
        </row>
        <row r="65">
          <cell r="A65">
            <v>58</v>
          </cell>
          <cell r="B65" t="str">
            <v>TYELINMSO</v>
          </cell>
          <cell r="C65" t="str">
            <v>cp</v>
          </cell>
          <cell r="E65" t="str">
            <v>Työeläkeindeksi</v>
          </cell>
          <cell r="F65">
            <v>2286</v>
          </cell>
          <cell r="G65">
            <v>2292</v>
          </cell>
          <cell r="H65">
            <v>2323</v>
          </cell>
          <cell r="I65">
            <v>2407</v>
          </cell>
          <cell r="J65">
            <v>2475</v>
          </cell>
          <cell r="K65">
            <v>2509</v>
          </cell>
          <cell r="L65">
            <v>2519</v>
          </cell>
          <cell r="M65">
            <v>2519</v>
          </cell>
          <cell r="N65">
            <v>2534</v>
          </cell>
          <cell r="O65">
            <v>2548</v>
          </cell>
          <cell r="P65">
            <v>2585</v>
          </cell>
          <cell r="Q65">
            <v>2617</v>
          </cell>
          <cell r="R65">
            <v>2631</v>
          </cell>
          <cell r="S65">
            <v>2691</v>
          </cell>
          <cell r="T65">
            <v>2874</v>
          </cell>
          <cell r="U65">
            <v>3037</v>
          </cell>
          <cell r="V65">
            <v>3077</v>
          </cell>
          <cell r="W65">
            <v>3104</v>
          </cell>
          <cell r="X65">
            <v>3185.9456</v>
          </cell>
          <cell r="Y65">
            <v>3243.2926207999999</v>
          </cell>
          <cell r="Z65">
            <v>3320.4829851750401</v>
          </cell>
          <cell r="AA65">
            <v>3394.8618040429615</v>
          </cell>
          <cell r="AB65" t="str">
            <v>13.8.2026 EE</v>
          </cell>
          <cell r="AC65" t="str">
            <v>SOTU-ennustaja</v>
          </cell>
        </row>
        <row r="66">
          <cell r="A66">
            <v>59</v>
          </cell>
          <cell r="E66" t="str">
            <v>Työeläkeindeksi, muutos</v>
          </cell>
          <cell r="H66">
            <v>1.352530541012209</v>
          </cell>
          <cell r="I66">
            <v>3.6160137752905719</v>
          </cell>
          <cell r="J66">
            <v>2.8250934773577097</v>
          </cell>
          <cell r="K66">
            <v>1.3737373737373826</v>
          </cell>
          <cell r="L66">
            <v>0.39856516540455189</v>
          </cell>
          <cell r="M66">
            <v>0</v>
          </cell>
          <cell r="N66">
            <v>0.59547439460103657</v>
          </cell>
          <cell r="O66">
            <v>0.55248618784531356</v>
          </cell>
          <cell r="P66">
            <v>1.4521193092621676</v>
          </cell>
          <cell r="Q66">
            <v>1.2379110251450776</v>
          </cell>
          <cell r="R66">
            <v>0.53496369889185491</v>
          </cell>
          <cell r="S66">
            <v>2.2805017103762815</v>
          </cell>
          <cell r="T66">
            <v>6.8004459308807164</v>
          </cell>
          <cell r="U66">
            <v>5.6715379262352039</v>
          </cell>
          <cell r="V66">
            <v>1.3170892327955208</v>
          </cell>
          <cell r="W66">
            <v>0.87747806304843134</v>
          </cell>
          <cell r="X66">
            <v>2.6399999999999979</v>
          </cell>
          <cell r="Y66">
            <v>1.8000000000000016</v>
          </cell>
          <cell r="Z66">
            <v>2.3800000000000043</v>
          </cell>
          <cell r="AA66">
            <v>2.2400000000000198</v>
          </cell>
          <cell r="AB66" t="str">
            <v>13.8.2026 EE</v>
          </cell>
          <cell r="AC66" t="str">
            <v>SOTU-ennustaja</v>
          </cell>
        </row>
        <row r="67">
          <cell r="A67">
            <v>60</v>
          </cell>
        </row>
        <row r="68">
          <cell r="A68">
            <v>61</v>
          </cell>
          <cell r="B68" t="str">
            <v>KAELINMSO</v>
          </cell>
          <cell r="C68" t="str">
            <v>cp</v>
          </cell>
          <cell r="E68" t="str">
            <v xml:space="preserve">Kansaneläkeindeksi </v>
          </cell>
          <cell r="F68">
            <v>1502</v>
          </cell>
          <cell r="G68">
            <v>1502</v>
          </cell>
          <cell r="H68">
            <v>1508</v>
          </cell>
          <cell r="I68">
            <v>1565</v>
          </cell>
          <cell r="J68">
            <v>1609</v>
          </cell>
          <cell r="K68">
            <v>1630</v>
          </cell>
          <cell r="L68">
            <v>1637</v>
          </cell>
          <cell r="M68">
            <v>1631</v>
          </cell>
          <cell r="N68">
            <v>1617</v>
          </cell>
          <cell r="O68">
            <v>1617</v>
          </cell>
          <cell r="P68">
            <v>1617</v>
          </cell>
          <cell r="Q68">
            <v>1633.17</v>
          </cell>
          <cell r="R68">
            <v>1639</v>
          </cell>
          <cell r="S68">
            <v>1674</v>
          </cell>
          <cell r="T68">
            <v>1805</v>
          </cell>
          <cell r="U68">
            <v>1911</v>
          </cell>
          <cell r="V68">
            <v>1930</v>
          </cell>
          <cell r="W68">
            <v>1939</v>
          </cell>
          <cell r="X68">
            <v>1985.5360000000001</v>
          </cell>
          <cell r="Y68">
            <v>2015.3190399999999</v>
          </cell>
          <cell r="Z68">
            <v>2057.6407398399997</v>
          </cell>
          <cell r="AA68">
            <v>2098.7935546367999</v>
          </cell>
          <cell r="AB68" t="str">
            <v>13.8.2026 EE</v>
          </cell>
          <cell r="AC68" t="str">
            <v>SOTU-ennustaja</v>
          </cell>
        </row>
        <row r="69">
          <cell r="A69">
            <v>62</v>
          </cell>
          <cell r="E69" t="str">
            <v>Kansaneläkeindeksi, muutos</v>
          </cell>
          <cell r="H69">
            <v>0.39946737683089761</v>
          </cell>
          <cell r="I69">
            <v>3.7798408488063595</v>
          </cell>
          <cell r="J69">
            <v>2.8115015974440993</v>
          </cell>
          <cell r="K69">
            <v>1.3051584835301444</v>
          </cell>
          <cell r="L69">
            <v>0.42944785276073372</v>
          </cell>
          <cell r="M69">
            <v>-0.36652412950519686</v>
          </cell>
          <cell r="N69">
            <v>-0.85836909871244149</v>
          </cell>
          <cell r="O69">
            <v>0</v>
          </cell>
          <cell r="P69">
            <v>0</v>
          </cell>
          <cell r="Q69">
            <v>1.0000000000000009</v>
          </cell>
          <cell r="R69">
            <v>0.35697447295750528</v>
          </cell>
          <cell r="S69">
            <v>2.1354484441732824</v>
          </cell>
          <cell r="T69">
            <v>7.8255675029868632</v>
          </cell>
          <cell r="U69">
            <v>5.8725761772853158</v>
          </cell>
          <cell r="V69">
            <v>0.99424385138671134</v>
          </cell>
          <cell r="W69">
            <v>0.4663212435233266</v>
          </cell>
          <cell r="X69">
            <v>2.4000000000000021</v>
          </cell>
          <cell r="Y69">
            <v>1.4999999999999902</v>
          </cell>
          <cell r="Z69">
            <v>2.0999999999999908</v>
          </cell>
          <cell r="AA69">
            <v>2.0000000000000018</v>
          </cell>
          <cell r="AB69" t="str">
            <v>13.8.2026 EE</v>
          </cell>
          <cell r="AC69" t="str">
            <v>SOTU-ennustaja</v>
          </cell>
        </row>
        <row r="70">
          <cell r="A70">
            <v>63</v>
          </cell>
        </row>
        <row r="71">
          <cell r="A71">
            <v>64</v>
          </cell>
          <cell r="E71" t="str">
            <v>Kansaneläkeindeksi, ilman jäädytystä</v>
          </cell>
          <cell r="L71">
            <v>1637</v>
          </cell>
          <cell r="M71">
            <v>1631</v>
          </cell>
          <cell r="N71">
            <v>1639</v>
          </cell>
          <cell r="O71">
            <v>1650</v>
          </cell>
          <cell r="P71">
            <v>1670</v>
          </cell>
          <cell r="Q71">
            <v>1686.7</v>
          </cell>
          <cell r="R71">
            <v>1691.7601</v>
          </cell>
          <cell r="S71">
            <v>1728.9788222</v>
          </cell>
          <cell r="T71">
            <v>1863.8391703316001</v>
          </cell>
          <cell r="U71">
            <v>1973.8056813811645</v>
          </cell>
          <cell r="V71">
            <v>1993.5437381949762</v>
          </cell>
          <cell r="W71">
            <v>2001.5179131477562</v>
          </cell>
          <cell r="X71">
            <v>2049.5543430633024</v>
          </cell>
          <cell r="Y71">
            <v>2080.2976582092519</v>
          </cell>
          <cell r="Z71">
            <v>2123.9839090316459</v>
          </cell>
          <cell r="AA71">
            <v>2166.463587212279</v>
          </cell>
          <cell r="AB71" t="str">
            <v>13.8.2026 EE</v>
          </cell>
          <cell r="AC71" t="str">
            <v>SOTU-ennustaja</v>
          </cell>
        </row>
        <row r="72">
          <cell r="A72">
            <v>65</v>
          </cell>
          <cell r="E72" t="str">
            <v>Kansaneläkeindeksi, ilman jäädytystä, muutos</v>
          </cell>
          <cell r="M72">
            <v>-0.36652412950519686</v>
          </cell>
          <cell r="N72">
            <v>0.49049662783569037</v>
          </cell>
          <cell r="O72">
            <v>0.67114093959732557</v>
          </cell>
          <cell r="P72">
            <v>1.2121212121212199</v>
          </cell>
          <cell r="Q72">
            <v>1.0000000000000009</v>
          </cell>
          <cell r="R72">
            <v>0.29999999999998916</v>
          </cell>
          <cell r="S72">
            <v>2.200000000000002</v>
          </cell>
          <cell r="T72">
            <v>7.8000000000000069</v>
          </cell>
          <cell r="U72">
            <v>5.8999999999999941</v>
          </cell>
          <cell r="V72">
            <v>1.0000000000000009</v>
          </cell>
          <cell r="W72">
            <v>0.40000000000000036</v>
          </cell>
          <cell r="X72">
            <v>2.4000000000000021</v>
          </cell>
          <cell r="Y72">
            <v>1.4999999999999902</v>
          </cell>
          <cell r="Z72">
            <v>2.0999999999999908</v>
          </cell>
          <cell r="AA72">
            <v>2.0000000000000018</v>
          </cell>
          <cell r="AB72" t="str">
            <v>13.8.2026 EE</v>
          </cell>
          <cell r="AC72" t="str">
            <v>SOTU-ennustaja</v>
          </cell>
        </row>
        <row r="73">
          <cell r="A73">
            <v>66</v>
          </cell>
        </row>
        <row r="74">
          <cell r="A74">
            <v>67</v>
          </cell>
          <cell r="B74" t="str">
            <v>PK</v>
          </cell>
          <cell r="C74" t="str">
            <v>pisteluku</v>
          </cell>
          <cell r="D74" t="str">
            <v>S1</v>
          </cell>
          <cell r="E74" t="str">
            <v>Palkkakerroin</v>
          </cell>
          <cell r="F74">
            <v>1.1919999999999999</v>
          </cell>
          <cell r="G74">
            <v>1.2310000000000001</v>
          </cell>
          <cell r="H74">
            <v>1.2529999999999999</v>
          </cell>
          <cell r="I74">
            <v>1.2909999999999999</v>
          </cell>
          <cell r="J74">
            <v>1.327</v>
          </cell>
          <cell r="K74">
            <v>1.35</v>
          </cell>
          <cell r="L74">
            <v>1.363</v>
          </cell>
          <cell r="M74">
            <v>1.373</v>
          </cell>
          <cell r="N74">
            <v>1.389</v>
          </cell>
          <cell r="O74">
            <v>1.391</v>
          </cell>
          <cell r="P74">
            <v>1.417</v>
          </cell>
          <cell r="Q74">
            <v>1.446</v>
          </cell>
          <cell r="R74">
            <v>1.4650000000000001</v>
          </cell>
          <cell r="S74">
            <v>1.5009999999999999</v>
          </cell>
          <cell r="T74">
            <v>1.5580000000000001</v>
          </cell>
          <cell r="U74">
            <v>1.637</v>
          </cell>
          <cell r="V74">
            <v>1.673</v>
          </cell>
          <cell r="W74">
            <v>1.712</v>
          </cell>
          <cell r="X74">
            <v>1.7695232000000001</v>
          </cell>
          <cell r="Y74">
            <v>1.8173003264000003</v>
          </cell>
          <cell r="Z74">
            <v>1.8758173969100802</v>
          </cell>
          <cell r="AA74">
            <v>1.9313415918586188</v>
          </cell>
          <cell r="AB74" t="str">
            <v>13.8.2026 EE</v>
          </cell>
          <cell r="AC74" t="str">
            <v>SOTU-ennustaja</v>
          </cell>
        </row>
        <row r="75">
          <cell r="A75">
            <v>68</v>
          </cell>
        </row>
        <row r="76">
          <cell r="A76">
            <v>69</v>
          </cell>
          <cell r="E76" t="str">
            <v>Sairausvakuutus</v>
          </cell>
        </row>
        <row r="77">
          <cell r="A77">
            <v>70</v>
          </cell>
        </row>
        <row r="78">
          <cell r="A78">
            <v>71</v>
          </cell>
          <cell r="E78" t="str">
            <v>Työtulovakuutus</v>
          </cell>
        </row>
        <row r="79">
          <cell r="A79">
            <v>72</v>
          </cell>
          <cell r="B79" t="str">
            <v>TASAVAMSO</v>
          </cell>
          <cell r="C79" t="str">
            <v>%</v>
          </cell>
          <cell r="E79" t="str">
            <v>Työnantajan työtulovakuutusmaksu</v>
          </cell>
          <cell r="F79">
            <v>2</v>
          </cell>
          <cell r="G79">
            <v>2.23</v>
          </cell>
          <cell r="H79">
            <v>2.12</v>
          </cell>
          <cell r="I79">
            <v>2.12</v>
          </cell>
          <cell r="J79">
            <v>2.04</v>
          </cell>
          <cell r="K79">
            <v>2.14</v>
          </cell>
          <cell r="L79">
            <v>2.08</v>
          </cell>
          <cell r="M79">
            <v>2.12</v>
          </cell>
          <cell r="N79">
            <v>1.0799999999999998</v>
          </cell>
          <cell r="O79">
            <v>0.86000000000000021</v>
          </cell>
          <cell r="P79">
            <v>0.77</v>
          </cell>
          <cell r="Q79">
            <v>1.34</v>
          </cell>
          <cell r="R79">
            <v>1.53</v>
          </cell>
          <cell r="S79">
            <v>1.34</v>
          </cell>
          <cell r="T79">
            <v>1.53</v>
          </cell>
          <cell r="U79">
            <v>1.1599999999999999</v>
          </cell>
          <cell r="V79">
            <v>1.87</v>
          </cell>
          <cell r="W79">
            <v>1.91</v>
          </cell>
          <cell r="X79">
            <v>1.91</v>
          </cell>
          <cell r="Y79">
            <v>1.8399999999999999</v>
          </cell>
          <cell r="Z79">
            <v>1.8399999999999999</v>
          </cell>
          <cell r="AA79">
            <v>1.8399999999999999</v>
          </cell>
          <cell r="AB79" t="str">
            <v>18.8.2026 EE</v>
          </cell>
          <cell r="AC79" t="str">
            <v>SOTU-ennustaja</v>
          </cell>
        </row>
        <row r="80">
          <cell r="A80">
            <v>73</v>
          </cell>
          <cell r="B80" t="str">
            <v>PAPRMMSO</v>
          </cell>
          <cell r="C80" t="str">
            <v>%</v>
          </cell>
          <cell r="E80" t="str">
            <v>Palkansaajan päivärahamaksu</v>
          </cell>
          <cell r="F80">
            <v>0.7</v>
          </cell>
          <cell r="G80">
            <v>0.93</v>
          </cell>
          <cell r="H80">
            <v>0.82</v>
          </cell>
          <cell r="I80">
            <v>0.82</v>
          </cell>
          <cell r="J80">
            <v>0.74</v>
          </cell>
          <cell r="K80">
            <v>0.84</v>
          </cell>
          <cell r="L80">
            <v>0.77999999999999992</v>
          </cell>
          <cell r="M80">
            <v>0.82000000000000006</v>
          </cell>
          <cell r="N80">
            <v>1.58</v>
          </cell>
          <cell r="O80">
            <v>1.53</v>
          </cell>
          <cell r="P80">
            <v>1.54</v>
          </cell>
          <cell r="Q80">
            <v>1.18</v>
          </cell>
          <cell r="R80">
            <v>1.3599999999999999</v>
          </cell>
          <cell r="S80">
            <v>1.18</v>
          </cell>
          <cell r="T80">
            <v>1.3599999999999999</v>
          </cell>
          <cell r="U80">
            <v>1.01</v>
          </cell>
          <cell r="V80">
            <v>0.84</v>
          </cell>
          <cell r="W80">
            <v>0.88</v>
          </cell>
          <cell r="X80">
            <v>0.86</v>
          </cell>
          <cell r="Y80">
            <v>0.80999999999999994</v>
          </cell>
          <cell r="Z80">
            <v>0.82000000000000006</v>
          </cell>
          <cell r="AA80">
            <v>0.80999999999999994</v>
          </cell>
          <cell r="AB80" t="str">
            <v>18.8.2026 EE</v>
          </cell>
          <cell r="AC80" t="str">
            <v>SOTU-ennustaja</v>
          </cell>
        </row>
        <row r="81">
          <cell r="A81">
            <v>74</v>
          </cell>
          <cell r="E81" t="str">
            <v>Yrittäjän päivärahamaksu</v>
          </cell>
          <cell r="F81">
            <v>0.79</v>
          </cell>
          <cell r="G81">
            <v>1.05</v>
          </cell>
          <cell r="H81">
            <v>0.92</v>
          </cell>
          <cell r="I81">
            <v>0.97</v>
          </cell>
          <cell r="J81">
            <v>0.88</v>
          </cell>
          <cell r="K81">
            <v>0.97</v>
          </cell>
          <cell r="L81">
            <v>0.90999999999999992</v>
          </cell>
          <cell r="M81">
            <v>0.95000000000000007</v>
          </cell>
          <cell r="N81">
            <v>1.6400000000000001</v>
          </cell>
          <cell r="O81">
            <v>1.7</v>
          </cell>
          <cell r="P81">
            <v>1.77</v>
          </cell>
          <cell r="Q81">
            <v>1.3299999999999998</v>
          </cell>
          <cell r="R81">
            <v>1.5499999999999998</v>
          </cell>
          <cell r="S81">
            <v>1.3199999999999998</v>
          </cell>
          <cell r="T81">
            <v>1.5899999999999999</v>
          </cell>
          <cell r="U81">
            <v>1.23</v>
          </cell>
          <cell r="V81">
            <v>1.04</v>
          </cell>
          <cell r="W81">
            <v>1.1099999999999999</v>
          </cell>
          <cell r="X81">
            <v>1.05</v>
          </cell>
          <cell r="Y81">
            <v>0.96</v>
          </cell>
          <cell r="Z81">
            <v>1.01</v>
          </cell>
          <cell r="AA81">
            <v>0.99</v>
          </cell>
          <cell r="AB81" t="str">
            <v>18.8.2026 EE</v>
          </cell>
          <cell r="AC81" t="str">
            <v>SOTU-ennustaja</v>
          </cell>
        </row>
        <row r="82">
          <cell r="A82">
            <v>75</v>
          </cell>
        </row>
        <row r="83">
          <cell r="A83">
            <v>76</v>
          </cell>
          <cell r="E83" t="str">
            <v>Sairaanhoitovakuutus</v>
          </cell>
        </row>
        <row r="84">
          <cell r="A84">
            <v>77</v>
          </cell>
          <cell r="B84" t="str">
            <v>SAHOVA</v>
          </cell>
          <cell r="C84" t="str">
            <v>%</v>
          </cell>
          <cell r="E84" t="str">
            <v>Palkansaajan ja yrittäjän sahova-maksu</v>
          </cell>
          <cell r="F84">
            <v>1.28</v>
          </cell>
          <cell r="G84">
            <v>1.47</v>
          </cell>
          <cell r="H84">
            <v>1.19</v>
          </cell>
          <cell r="I84">
            <v>1.22</v>
          </cell>
          <cell r="J84">
            <v>1.3</v>
          </cell>
          <cell r="K84">
            <v>1.32</v>
          </cell>
          <cell r="L84">
            <v>1.32</v>
          </cell>
          <cell r="M84">
            <v>1.3</v>
          </cell>
          <cell r="N84">
            <v>0</v>
          </cell>
          <cell r="O84">
            <v>0</v>
          </cell>
          <cell r="P84">
            <v>0</v>
          </cell>
          <cell r="Q84">
            <v>0.67999999999999994</v>
          </cell>
          <cell r="R84">
            <v>0.67999999999999994</v>
          </cell>
          <cell r="S84">
            <v>0.53</v>
          </cell>
          <cell r="T84">
            <v>0.6</v>
          </cell>
          <cell r="U84">
            <v>0.51</v>
          </cell>
          <cell r="V84">
            <v>1.06</v>
          </cell>
          <cell r="W84">
            <v>1.0999999999999999</v>
          </cell>
          <cell r="X84">
            <v>1.1400000000000001</v>
          </cell>
          <cell r="Y84">
            <v>1.1400000000000001</v>
          </cell>
          <cell r="Z84">
            <v>1.1100000000000001</v>
          </cell>
          <cell r="AA84">
            <v>1.1100000000000001</v>
          </cell>
          <cell r="AB84" t="str">
            <v>18.8.2026 EE</v>
          </cell>
          <cell r="AC84" t="str">
            <v>SOTU-ennustaja</v>
          </cell>
        </row>
        <row r="85">
          <cell r="A85">
            <v>78</v>
          </cell>
          <cell r="B85" t="str">
            <v>ETSAVAMSO</v>
          </cell>
          <cell r="C85" t="str">
            <v>%</v>
          </cell>
          <cell r="E85" t="str">
            <v>Eläkkeensaajien sahova-maksu</v>
          </cell>
          <cell r="F85">
            <v>1.45</v>
          </cell>
          <cell r="G85">
            <v>1.64</v>
          </cell>
          <cell r="H85">
            <v>1.3599999999999999</v>
          </cell>
          <cell r="I85">
            <v>1.39</v>
          </cell>
          <cell r="J85">
            <v>1.47</v>
          </cell>
          <cell r="K85">
            <v>1.49</v>
          </cell>
          <cell r="L85">
            <v>1.49</v>
          </cell>
          <cell r="M85">
            <v>1.47</v>
          </cell>
          <cell r="N85">
            <v>1.4500000000000002</v>
          </cell>
          <cell r="O85">
            <v>1.53</v>
          </cell>
          <cell r="P85">
            <v>1.6099999999999999</v>
          </cell>
          <cell r="Q85">
            <v>1.6500000000000001</v>
          </cell>
          <cell r="R85">
            <v>1.6500000000000001</v>
          </cell>
          <cell r="S85">
            <v>1.5</v>
          </cell>
          <cell r="T85">
            <v>1.5699999999999998</v>
          </cell>
          <cell r="U85">
            <v>1.48</v>
          </cell>
          <cell r="V85">
            <v>1.45</v>
          </cell>
          <cell r="W85">
            <v>1.49</v>
          </cell>
          <cell r="X85">
            <v>1.53</v>
          </cell>
          <cell r="Y85">
            <v>1.53</v>
          </cell>
          <cell r="Z85">
            <v>1.5</v>
          </cell>
          <cell r="AA85">
            <v>1.5</v>
          </cell>
          <cell r="AB85" t="str">
            <v>18.8.2026 EE</v>
          </cell>
          <cell r="AC85" t="str">
            <v>SOTU-ennustaja</v>
          </cell>
        </row>
        <row r="86">
          <cell r="A86">
            <v>79</v>
          </cell>
        </row>
        <row r="87">
          <cell r="A87">
            <v>80</v>
          </cell>
          <cell r="E87" t="str">
            <v>Työttömyysvakuutus</v>
          </cell>
        </row>
        <row r="88">
          <cell r="A88">
            <v>81</v>
          </cell>
        </row>
        <row r="89">
          <cell r="A89">
            <v>82</v>
          </cell>
          <cell r="E89" t="str">
            <v>Tyött.vak.maksu, keskim. yhteensä</v>
          </cell>
          <cell r="G89">
            <v>2.52</v>
          </cell>
          <cell r="H89">
            <v>2.92</v>
          </cell>
          <cell r="I89">
            <v>2.92</v>
          </cell>
          <cell r="J89">
            <v>2.92</v>
          </cell>
          <cell r="K89">
            <v>2.7</v>
          </cell>
          <cell r="L89">
            <v>2.98</v>
          </cell>
          <cell r="M89">
            <v>4</v>
          </cell>
          <cell r="N89">
            <v>4.01</v>
          </cell>
          <cell r="O89">
            <v>3.8099999999999996</v>
          </cell>
          <cell r="P89">
            <v>3</v>
          </cell>
          <cell r="Q89">
            <v>2.5099999999999998</v>
          </cell>
          <cell r="R89">
            <v>2.83</v>
          </cell>
          <cell r="S89">
            <v>3.01</v>
          </cell>
          <cell r="T89">
            <v>3.04</v>
          </cell>
          <cell r="U89">
            <v>1.6099999999999999</v>
          </cell>
          <cell r="V89">
            <v>1.2</v>
          </cell>
          <cell r="W89">
            <v>1.81</v>
          </cell>
          <cell r="X89">
            <v>1.52</v>
          </cell>
          <cell r="Y89">
            <v>1.52</v>
          </cell>
          <cell r="Z89">
            <v>1.52</v>
          </cell>
          <cell r="AA89">
            <v>1.52</v>
          </cell>
          <cell r="AB89" t="str">
            <v>27.8.2026 EE</v>
          </cell>
          <cell r="AC89" t="str">
            <v>SOTU-ennustaja</v>
          </cell>
        </row>
        <row r="90">
          <cell r="A90">
            <v>83</v>
          </cell>
          <cell r="B90" t="str">
            <v>TATYOTMSO</v>
          </cell>
          <cell r="C90" t="str">
            <v>%</v>
          </cell>
          <cell r="E90" t="str">
            <v xml:space="preserve">   - Työnantajan tyött.vak.maksu, keskim.</v>
          </cell>
          <cell r="F90">
            <v>1.92</v>
          </cell>
          <cell r="G90">
            <v>2.12</v>
          </cell>
          <cell r="H90">
            <v>2.3199999999999998</v>
          </cell>
          <cell r="I90">
            <v>2.3199999999999998</v>
          </cell>
          <cell r="J90">
            <v>2.3199999999999998</v>
          </cell>
          <cell r="K90">
            <v>2.2000000000000002</v>
          </cell>
          <cell r="L90">
            <v>2.33</v>
          </cell>
          <cell r="M90">
            <v>2.85</v>
          </cell>
          <cell r="N90">
            <v>2.41</v>
          </cell>
          <cell r="O90">
            <v>1.91</v>
          </cell>
          <cell r="P90">
            <v>1.5</v>
          </cell>
          <cell r="Q90">
            <v>1.26</v>
          </cell>
          <cell r="R90">
            <v>1.43</v>
          </cell>
          <cell r="S90">
            <v>1.51</v>
          </cell>
          <cell r="T90">
            <v>1.54</v>
          </cell>
          <cell r="U90">
            <v>0.82</v>
          </cell>
          <cell r="V90">
            <v>0.61</v>
          </cell>
          <cell r="W90">
            <v>0.92</v>
          </cell>
          <cell r="X90">
            <v>0.78</v>
          </cell>
          <cell r="Y90">
            <v>0.78</v>
          </cell>
          <cell r="Z90">
            <v>0.78</v>
          </cell>
          <cell r="AA90">
            <v>0.78</v>
          </cell>
          <cell r="AB90" t="str">
            <v>27.8.2026 EE</v>
          </cell>
          <cell r="AC90" t="str">
            <v>SOTU-ennustaja</v>
          </cell>
        </row>
        <row r="91">
          <cell r="A91">
            <v>84</v>
          </cell>
          <cell r="E91" t="str">
            <v xml:space="preserve">      - ylempi maksu</v>
          </cell>
          <cell r="G91">
            <v>2.95</v>
          </cell>
          <cell r="H91">
            <v>3.2</v>
          </cell>
          <cell r="I91">
            <v>3.2</v>
          </cell>
          <cell r="J91">
            <v>3.2</v>
          </cell>
          <cell r="K91">
            <v>2.95</v>
          </cell>
          <cell r="L91">
            <v>3.15</v>
          </cell>
          <cell r="M91">
            <v>3.9</v>
          </cell>
          <cell r="N91">
            <v>3.3</v>
          </cell>
          <cell r="O91">
            <v>2.6</v>
          </cell>
          <cell r="P91">
            <v>2.0499999999999998</v>
          </cell>
          <cell r="Q91">
            <v>1.7</v>
          </cell>
          <cell r="R91">
            <v>1.9</v>
          </cell>
          <cell r="S91">
            <v>2.0499999999999998</v>
          </cell>
          <cell r="T91">
            <v>2.06</v>
          </cell>
          <cell r="U91">
            <v>1.0900000000000001</v>
          </cell>
          <cell r="V91">
            <v>0.8</v>
          </cell>
          <cell r="W91">
            <v>1.23</v>
          </cell>
          <cell r="X91">
            <v>1.04</v>
          </cell>
          <cell r="Y91">
            <v>1.04</v>
          </cell>
          <cell r="Z91">
            <v>1.04</v>
          </cell>
          <cell r="AA91">
            <v>1.04</v>
          </cell>
          <cell r="AB91" t="str">
            <v>27.8.2026 EE</v>
          </cell>
          <cell r="AC91" t="str">
            <v>SOTU-ennustaja</v>
          </cell>
        </row>
        <row r="92">
          <cell r="A92">
            <v>85</v>
          </cell>
          <cell r="E92" t="str">
            <v xml:space="preserve">      - alempi maksu</v>
          </cell>
          <cell r="G92">
            <v>0.75</v>
          </cell>
          <cell r="H92">
            <v>0.8</v>
          </cell>
          <cell r="I92">
            <v>0.8</v>
          </cell>
          <cell r="J92">
            <v>0.8</v>
          </cell>
          <cell r="K92">
            <v>0.75</v>
          </cell>
          <cell r="L92">
            <v>0.8</v>
          </cell>
          <cell r="M92">
            <v>1</v>
          </cell>
          <cell r="N92">
            <v>0.8</v>
          </cell>
          <cell r="O92">
            <v>0.65</v>
          </cell>
          <cell r="P92">
            <v>0.5</v>
          </cell>
          <cell r="Q92">
            <v>0.45</v>
          </cell>
          <cell r="R92">
            <v>0.5</v>
          </cell>
          <cell r="S92">
            <v>0.5</v>
          </cell>
          <cell r="T92">
            <v>0.52</v>
          </cell>
          <cell r="U92">
            <v>0.27</v>
          </cell>
          <cell r="V92">
            <v>0.2</v>
          </cell>
          <cell r="W92">
            <v>0.31</v>
          </cell>
          <cell r="X92">
            <v>0.26</v>
          </cell>
          <cell r="Y92">
            <v>0.26</v>
          </cell>
          <cell r="Z92">
            <v>0.26</v>
          </cell>
          <cell r="AA92">
            <v>0.26</v>
          </cell>
          <cell r="AB92" t="str">
            <v>27.8.2026 EE</v>
          </cell>
          <cell r="AC92" t="str">
            <v>SOTU-ennustaja</v>
          </cell>
        </row>
        <row r="93">
          <cell r="A93">
            <v>86</v>
          </cell>
          <cell r="B93" t="str">
            <v>PATYOTMSO</v>
          </cell>
          <cell r="C93" t="str">
            <v>%</v>
          </cell>
          <cell r="E93" t="str">
            <v xml:space="preserve">   - Palkansaajan tyött.vak.maksu</v>
          </cell>
          <cell r="F93">
            <v>0.2</v>
          </cell>
          <cell r="G93">
            <v>0.4</v>
          </cell>
          <cell r="H93">
            <v>0.6</v>
          </cell>
          <cell r="I93">
            <v>0.6</v>
          </cell>
          <cell r="J93">
            <v>0.6</v>
          </cell>
          <cell r="K93">
            <v>0.5</v>
          </cell>
          <cell r="L93">
            <v>0.65</v>
          </cell>
          <cell r="M93">
            <v>1.1499999999999999</v>
          </cell>
          <cell r="N93">
            <v>1.5999999999999999</v>
          </cell>
          <cell r="O93">
            <v>1.9</v>
          </cell>
          <cell r="P93">
            <v>1.5</v>
          </cell>
          <cell r="Q93">
            <v>1.25</v>
          </cell>
          <cell r="R93">
            <v>1.4</v>
          </cell>
          <cell r="S93">
            <v>1.5</v>
          </cell>
          <cell r="T93">
            <v>1.5</v>
          </cell>
          <cell r="U93">
            <v>0.79</v>
          </cell>
          <cell r="V93">
            <v>0.59</v>
          </cell>
          <cell r="W93">
            <v>0.89</v>
          </cell>
          <cell r="X93">
            <v>0.74</v>
          </cell>
          <cell r="Y93">
            <v>0.74</v>
          </cell>
          <cell r="Z93">
            <v>0.74</v>
          </cell>
          <cell r="AA93">
            <v>0.74</v>
          </cell>
          <cell r="AB93" t="str">
            <v>27.8.2026 EE</v>
          </cell>
          <cell r="AC93" t="str">
            <v>SOTU-ennustaja</v>
          </cell>
        </row>
        <row r="94">
          <cell r="A94">
            <v>87</v>
          </cell>
          <cell r="E94" t="str">
            <v>Hyvinvointialuetyönantajien keskim. Maksu</v>
          </cell>
          <cell r="T94">
            <v>2.0499999999999998</v>
          </cell>
          <cell r="U94">
            <v>1.0900000000000001</v>
          </cell>
          <cell r="V94">
            <v>0.79714899595074784</v>
          </cell>
          <cell r="W94">
            <v>1.2258156383068131</v>
          </cell>
          <cell r="X94">
            <v>1.0364627930062142</v>
          </cell>
          <cell r="Y94">
            <v>1.0364627930062142</v>
          </cell>
          <cell r="Z94">
            <v>1.0364627930062142</v>
          </cell>
          <cell r="AA94">
            <v>1.0364627930062142</v>
          </cell>
          <cell r="AB94" t="str">
            <v>27.8.2026 EE</v>
          </cell>
          <cell r="AC94" t="str">
            <v>SOTU-ennustaja</v>
          </cell>
        </row>
        <row r="95">
          <cell r="A95">
            <v>88</v>
          </cell>
          <cell r="B95" t="str">
            <v>TAKUOTMSO</v>
          </cell>
          <cell r="C95" t="str">
            <v>%</v>
          </cell>
          <cell r="E95" t="str">
            <v>Kuntatyönantajien keskim. tyött.vak.maksu</v>
          </cell>
          <cell r="F95">
            <v>2.6</v>
          </cell>
          <cell r="G95">
            <v>2.81</v>
          </cell>
          <cell r="H95">
            <v>3.0502688608223942</v>
          </cell>
          <cell r="I95">
            <v>3.06</v>
          </cell>
          <cell r="J95">
            <v>3.0550649852635385</v>
          </cell>
          <cell r="K95">
            <v>2.8207615789477081</v>
          </cell>
          <cell r="L95">
            <v>3.0160291114459592</v>
          </cell>
          <cell r="M95">
            <v>3.7371174607245705</v>
          </cell>
          <cell r="N95">
            <v>3.1596959994021203</v>
          </cell>
          <cell r="O95">
            <v>2.4905628795336541</v>
          </cell>
          <cell r="P95">
            <v>1.9630115196293101</v>
          </cell>
          <cell r="Q95">
            <v>1.6310201023162387</v>
          </cell>
          <cell r="R95">
            <v>1.827134675636211</v>
          </cell>
          <cell r="S95">
            <v>1.9693276765972338</v>
          </cell>
          <cell r="T95">
            <v>1.91</v>
          </cell>
          <cell r="U95">
            <v>1.01</v>
          </cell>
          <cell r="V95">
            <v>0.73961583655424712</v>
          </cell>
          <cell r="W95">
            <v>1.1409249072186187</v>
          </cell>
          <cell r="X95">
            <v>0.96393174279553728</v>
          </cell>
          <cell r="Y95">
            <v>0.96393174279553728</v>
          </cell>
          <cell r="Z95">
            <v>0.96393174279553728</v>
          </cell>
          <cell r="AA95">
            <v>0.96393174279553728</v>
          </cell>
          <cell r="AB95" t="str">
            <v>27.8.2026 EE</v>
          </cell>
          <cell r="AC95" t="str">
            <v>SOTU-ennustaja</v>
          </cell>
        </row>
        <row r="96">
          <cell r="A96">
            <v>89</v>
          </cell>
        </row>
        <row r="97">
          <cell r="A97">
            <v>90</v>
          </cell>
          <cell r="E97" t="str">
            <v>Työeläkevakuutus</v>
          </cell>
        </row>
        <row r="98">
          <cell r="A98">
            <v>91</v>
          </cell>
        </row>
        <row r="99">
          <cell r="A99">
            <v>92</v>
          </cell>
          <cell r="E99" t="str">
            <v>Kaikki työntekijät</v>
          </cell>
        </row>
        <row r="100">
          <cell r="A100">
            <v>93</v>
          </cell>
          <cell r="B100" t="str">
            <v>PEMa53</v>
          </cell>
          <cell r="C100" t="str">
            <v>%</v>
          </cell>
          <cell r="D100" t="str">
            <v>S1</v>
          </cell>
          <cell r="E100" t="str">
            <v>Palkansaajan eläkemaksu, alle 53-v.</v>
          </cell>
          <cell r="F100">
            <v>4.3</v>
          </cell>
          <cell r="G100">
            <v>4.5</v>
          </cell>
          <cell r="H100">
            <v>4.7</v>
          </cell>
          <cell r="I100">
            <v>5.15</v>
          </cell>
          <cell r="J100">
            <v>5.15</v>
          </cell>
          <cell r="K100">
            <v>5.55</v>
          </cell>
          <cell r="L100">
            <v>5.7</v>
          </cell>
          <cell r="M100">
            <v>5.7</v>
          </cell>
          <cell r="N100">
            <v>6.15</v>
          </cell>
          <cell r="O100">
            <v>6.3500000000000005</v>
          </cell>
          <cell r="P100">
            <v>6.75</v>
          </cell>
          <cell r="Q100">
            <v>7.15</v>
          </cell>
          <cell r="R100">
            <v>7.15</v>
          </cell>
          <cell r="S100">
            <v>7.15</v>
          </cell>
          <cell r="T100">
            <v>7.15</v>
          </cell>
          <cell r="U100">
            <v>7.15</v>
          </cell>
          <cell r="V100">
            <v>7.15</v>
          </cell>
          <cell r="W100">
            <v>7.3</v>
          </cell>
          <cell r="X100">
            <v>7.3</v>
          </cell>
          <cell r="Y100">
            <v>7.3</v>
          </cell>
          <cell r="Z100">
            <v>7.3</v>
          </cell>
          <cell r="AA100">
            <v>7.3</v>
          </cell>
          <cell r="AB100" t="str">
            <v>13.8.2026 EE</v>
          </cell>
          <cell r="AC100" t="str">
            <v>SOTU-ennustaja</v>
          </cell>
        </row>
        <row r="101">
          <cell r="A101">
            <v>94</v>
          </cell>
          <cell r="B101" t="str">
            <v>PEMy53</v>
          </cell>
          <cell r="C101" t="str">
            <v>%</v>
          </cell>
          <cell r="D101" t="str">
            <v>S1</v>
          </cell>
          <cell r="E101" t="str">
            <v>Palkansaajan eläkemaksu, yli 53-v.</v>
          </cell>
          <cell r="F101">
            <v>5.4</v>
          </cell>
          <cell r="G101">
            <v>5.7</v>
          </cell>
          <cell r="H101">
            <v>5.9690000000000003</v>
          </cell>
          <cell r="I101">
            <v>6.5</v>
          </cell>
          <cell r="J101">
            <v>6.5</v>
          </cell>
          <cell r="K101">
            <v>7.05</v>
          </cell>
          <cell r="L101">
            <v>7.2</v>
          </cell>
          <cell r="M101">
            <v>7.2</v>
          </cell>
          <cell r="N101">
            <v>7.65</v>
          </cell>
          <cell r="O101">
            <v>7.8500000000000005</v>
          </cell>
          <cell r="P101">
            <v>8.25</v>
          </cell>
          <cell r="Q101">
            <v>8.65</v>
          </cell>
          <cell r="R101">
            <v>8.65</v>
          </cell>
          <cell r="S101">
            <v>8.65</v>
          </cell>
          <cell r="T101">
            <v>8.65</v>
          </cell>
          <cell r="U101">
            <v>8.65</v>
          </cell>
          <cell r="V101">
            <v>8.65</v>
          </cell>
          <cell r="W101">
            <v>7.3</v>
          </cell>
          <cell r="X101">
            <v>7.3</v>
          </cell>
          <cell r="Y101">
            <v>7.3</v>
          </cell>
          <cell r="Z101">
            <v>7.3</v>
          </cell>
          <cell r="AA101">
            <v>7.3</v>
          </cell>
          <cell r="AB101" t="str">
            <v>13.8.2026 EE</v>
          </cell>
          <cell r="AC101" t="str">
            <v>SOTU-ennustaja</v>
          </cell>
        </row>
        <row r="102">
          <cell r="A102">
            <v>95</v>
          </cell>
        </row>
        <row r="103">
          <cell r="A103">
            <v>96</v>
          </cell>
          <cell r="E103" t="str">
            <v>Yksityinen sektori (TyEL)</v>
          </cell>
        </row>
        <row r="104">
          <cell r="A104">
            <v>97</v>
          </cell>
          <cell r="B104" t="str">
            <v>TYELMSO</v>
          </cell>
          <cell r="C104" t="str">
            <v>%</v>
          </cell>
          <cell r="E104" t="str">
            <v>TyEL-maksu, yhteensä</v>
          </cell>
          <cell r="G104">
            <v>21.603999999999999</v>
          </cell>
          <cell r="H104">
            <v>22.015730000000001</v>
          </cell>
          <cell r="I104">
            <v>22.8</v>
          </cell>
          <cell r="J104">
            <v>22.8</v>
          </cell>
          <cell r="K104">
            <v>23.6</v>
          </cell>
          <cell r="L104">
            <v>24</v>
          </cell>
          <cell r="M104">
            <v>24</v>
          </cell>
          <cell r="N104">
            <v>24.4</v>
          </cell>
          <cell r="O104">
            <v>24.4</v>
          </cell>
          <cell r="P104">
            <v>24.4</v>
          </cell>
          <cell r="Q104">
            <v>22.7</v>
          </cell>
          <cell r="R104">
            <v>24.4</v>
          </cell>
          <cell r="S104">
            <v>24.849999999999998</v>
          </cell>
          <cell r="T104">
            <v>24.84</v>
          </cell>
          <cell r="U104">
            <v>24.81</v>
          </cell>
          <cell r="V104">
            <v>24.849999999999998</v>
          </cell>
          <cell r="W104">
            <v>24.400000000000002</v>
          </cell>
          <cell r="X104">
            <v>24.400000000000002</v>
          </cell>
          <cell r="Y104">
            <v>24.400000000000002</v>
          </cell>
          <cell r="Z104">
            <v>24.400000000000002</v>
          </cell>
          <cell r="AA104">
            <v>24.400000000000002</v>
          </cell>
          <cell r="AB104" t="str">
            <v>13.8.2026 EE</v>
          </cell>
          <cell r="AC104" t="str">
            <v>SOTU-ennustaja</v>
          </cell>
        </row>
        <row r="105">
          <cell r="A105">
            <v>98</v>
          </cell>
          <cell r="B105" t="str">
            <v>TATYELMSO</v>
          </cell>
          <cell r="C105" t="str">
            <v>%</v>
          </cell>
          <cell r="E105" t="str">
            <v xml:space="preserve">   - Työnantajan TyEL-maksu</v>
          </cell>
          <cell r="F105">
            <v>16.8</v>
          </cell>
          <cell r="G105">
            <v>16.899999999999999</v>
          </cell>
          <cell r="H105">
            <v>17.100000000000001</v>
          </cell>
          <cell r="I105">
            <v>17.350000000000001</v>
          </cell>
          <cell r="J105">
            <v>17.350000000000001</v>
          </cell>
          <cell r="K105">
            <v>17.75</v>
          </cell>
          <cell r="L105">
            <v>18</v>
          </cell>
          <cell r="M105">
            <v>18</v>
          </cell>
          <cell r="N105">
            <v>17.95</v>
          </cell>
          <cell r="O105">
            <v>17.739999999999998</v>
          </cell>
          <cell r="P105">
            <v>17.34</v>
          </cell>
          <cell r="Q105">
            <v>15.23</v>
          </cell>
          <cell r="R105">
            <v>16.93</v>
          </cell>
          <cell r="S105">
            <v>17.38</v>
          </cell>
          <cell r="T105">
            <v>17.37</v>
          </cell>
          <cell r="U105">
            <v>17.34</v>
          </cell>
          <cell r="V105">
            <v>17.38</v>
          </cell>
          <cell r="W105">
            <v>17.100000000000001</v>
          </cell>
          <cell r="X105">
            <v>17.100000000000001</v>
          </cell>
          <cell r="Y105">
            <v>17.100000000000001</v>
          </cell>
          <cell r="Z105">
            <v>17.100000000000001</v>
          </cell>
          <cell r="AA105">
            <v>17.100000000000001</v>
          </cell>
          <cell r="AB105" t="str">
            <v>13.8.2026 EE</v>
          </cell>
          <cell r="AC105" t="str">
            <v>SOTU-ennustaja</v>
          </cell>
        </row>
        <row r="106">
          <cell r="A106">
            <v>99</v>
          </cell>
          <cell r="E106" t="str">
            <v xml:space="preserve">   - Palkansaajien keskim. TyEL-maksu</v>
          </cell>
          <cell r="G106">
            <v>4.7039999999999997</v>
          </cell>
          <cell r="H106">
            <v>4.9157299999999999</v>
          </cell>
          <cell r="I106">
            <v>5.45</v>
          </cell>
          <cell r="J106">
            <v>5.45</v>
          </cell>
          <cell r="K106">
            <v>5.85</v>
          </cell>
          <cell r="L106">
            <v>6</v>
          </cell>
          <cell r="M106">
            <v>6</v>
          </cell>
          <cell r="N106">
            <v>6.45</v>
          </cell>
          <cell r="O106">
            <v>6.66</v>
          </cell>
          <cell r="P106">
            <v>7.06</v>
          </cell>
          <cell r="Q106">
            <v>7.47</v>
          </cell>
          <cell r="R106">
            <v>7.47</v>
          </cell>
          <cell r="S106">
            <v>7.47</v>
          </cell>
          <cell r="T106">
            <v>7.47</v>
          </cell>
          <cell r="U106">
            <v>7.47</v>
          </cell>
          <cell r="V106">
            <v>7.47</v>
          </cell>
          <cell r="W106">
            <v>7.3</v>
          </cell>
          <cell r="X106">
            <v>7.3</v>
          </cell>
          <cell r="Y106">
            <v>7.3</v>
          </cell>
          <cell r="Z106">
            <v>7.3</v>
          </cell>
          <cell r="AA106">
            <v>7.3</v>
          </cell>
          <cell r="AB106" t="str">
            <v>13.8.2026 EE</v>
          </cell>
          <cell r="AC106" t="str">
            <v>SOTU-ennustaja</v>
          </cell>
        </row>
        <row r="107">
          <cell r="A107">
            <v>100</v>
          </cell>
        </row>
        <row r="108">
          <cell r="A108">
            <v>101</v>
          </cell>
          <cell r="E108" t="str">
            <v>Kunta-ala (KuEL, v. 2017 alkaen JuEL)</v>
          </cell>
        </row>
        <row r="109">
          <cell r="A109">
            <v>102</v>
          </cell>
          <cell r="E109" t="str">
            <v>Eläkemaksu yhteensä, kunta-ala ja hv-alueet</v>
          </cell>
          <cell r="G109">
            <v>28.404</v>
          </cell>
          <cell r="H109">
            <v>28.615729999999999</v>
          </cell>
          <cell r="I109">
            <v>29.150000000000002</v>
          </cell>
          <cell r="J109">
            <v>29.58</v>
          </cell>
          <cell r="K109">
            <v>29.79</v>
          </cell>
          <cell r="L109">
            <v>29.799999999999997</v>
          </cell>
          <cell r="M109">
            <v>29.36</v>
          </cell>
          <cell r="N109">
            <v>28.5</v>
          </cell>
          <cell r="O109">
            <v>28.35</v>
          </cell>
          <cell r="P109">
            <v>28.35</v>
          </cell>
          <cell r="Q109">
            <v>28.35</v>
          </cell>
          <cell r="R109">
            <v>28.17</v>
          </cell>
          <cell r="S109">
            <v>27.9</v>
          </cell>
          <cell r="T109">
            <v>27.36</v>
          </cell>
          <cell r="U109">
            <v>27.13</v>
          </cell>
          <cell r="V109">
            <v>26.8</v>
          </cell>
          <cell r="W109">
            <v>26.6</v>
          </cell>
          <cell r="X109">
            <v>26.6</v>
          </cell>
          <cell r="Y109">
            <v>26.6</v>
          </cell>
          <cell r="Z109">
            <v>26.6</v>
          </cell>
          <cell r="AA109">
            <v>26.6</v>
          </cell>
          <cell r="AB109" t="str">
            <v>13.8.2026 EE</v>
          </cell>
          <cell r="AC109" t="str">
            <v>SOTU-ennustaja</v>
          </cell>
        </row>
        <row r="110">
          <cell r="A110">
            <v>103</v>
          </cell>
          <cell r="B110" t="str">
            <v>TAKUELMSO</v>
          </cell>
          <cell r="C110" t="str">
            <v>%</v>
          </cell>
          <cell r="E110" t="str">
            <v xml:space="preserve">   - Työnantajan eläkemaksu, kunta-ala ja hv-alueet</v>
          </cell>
          <cell r="F110">
            <v>23.6</v>
          </cell>
          <cell r="G110">
            <v>23.6</v>
          </cell>
          <cell r="H110">
            <v>23.6</v>
          </cell>
          <cell r="I110">
            <v>23.6</v>
          </cell>
          <cell r="J110">
            <v>24</v>
          </cell>
          <cell r="K110">
            <v>23.79</v>
          </cell>
          <cell r="L110">
            <v>23.65</v>
          </cell>
          <cell r="M110">
            <v>23.21</v>
          </cell>
          <cell r="N110">
            <v>21.95</v>
          </cell>
          <cell r="O110">
            <v>21.6</v>
          </cell>
          <cell r="P110">
            <v>21.17</v>
          </cell>
          <cell r="Q110">
            <v>20.78</v>
          </cell>
          <cell r="R110">
            <v>20.6</v>
          </cell>
          <cell r="S110">
            <v>20.34</v>
          </cell>
          <cell r="T110">
            <v>19.809999999999999</v>
          </cell>
          <cell r="U110">
            <v>19.59</v>
          </cell>
          <cell r="V110">
            <v>19.260000000000002</v>
          </cell>
          <cell r="W110">
            <v>19.3</v>
          </cell>
          <cell r="X110">
            <v>19.3</v>
          </cell>
          <cell r="Y110">
            <v>19.3</v>
          </cell>
          <cell r="Z110">
            <v>19.3</v>
          </cell>
          <cell r="AA110">
            <v>19.3</v>
          </cell>
          <cell r="AB110" t="str">
            <v>13.8.2026 EE</v>
          </cell>
          <cell r="AC110" t="str">
            <v>SOTU-ennustaja</v>
          </cell>
        </row>
        <row r="111">
          <cell r="A111">
            <v>104</v>
          </cell>
          <cell r="E111" t="str">
            <v xml:space="preserve">   - Palkansaajien keskim. eläkemaksu, kunta-ala ja hv-alueet</v>
          </cell>
          <cell r="G111">
            <v>4.8039999999999994</v>
          </cell>
          <cell r="H111">
            <v>5.0157299999999996</v>
          </cell>
          <cell r="I111">
            <v>5.55</v>
          </cell>
          <cell r="J111">
            <v>5.58</v>
          </cell>
          <cell r="K111">
            <v>6</v>
          </cell>
          <cell r="L111">
            <v>6.15</v>
          </cell>
          <cell r="M111">
            <v>6.15</v>
          </cell>
          <cell r="N111">
            <v>6.55</v>
          </cell>
          <cell r="O111">
            <v>6.75</v>
          </cell>
          <cell r="P111">
            <v>7.18</v>
          </cell>
          <cell r="Q111">
            <v>7.57</v>
          </cell>
          <cell r="R111">
            <v>7.57</v>
          </cell>
          <cell r="S111">
            <v>7.56</v>
          </cell>
          <cell r="T111">
            <v>7.55</v>
          </cell>
          <cell r="U111">
            <v>7.54</v>
          </cell>
          <cell r="V111">
            <v>7.54</v>
          </cell>
          <cell r="W111">
            <v>7.3</v>
          </cell>
          <cell r="X111">
            <v>7.3</v>
          </cell>
          <cell r="Y111">
            <v>7.3</v>
          </cell>
          <cell r="Z111">
            <v>7.3</v>
          </cell>
          <cell r="AA111">
            <v>7.3</v>
          </cell>
          <cell r="AB111" t="str">
            <v>13.8.2026 EE</v>
          </cell>
          <cell r="AC111" t="str">
            <v>SOTU-ennustaja</v>
          </cell>
        </row>
        <row r="112">
          <cell r="A112">
            <v>105</v>
          </cell>
        </row>
        <row r="113">
          <cell r="A113">
            <v>106</v>
          </cell>
          <cell r="E113" t="str">
            <v>Kuntatyöantajan eläkemaksu, opettajat (ennen v. 1970 syntyneet)</v>
          </cell>
          <cell r="F113">
            <v>22.1</v>
          </cell>
          <cell r="G113">
            <v>21.8</v>
          </cell>
          <cell r="H113">
            <v>20.67</v>
          </cell>
          <cell r="I113">
            <v>19.82</v>
          </cell>
          <cell r="J113">
            <v>19.62</v>
          </cell>
          <cell r="K113">
            <v>21.34</v>
          </cell>
          <cell r="L113">
            <v>21.09</v>
          </cell>
          <cell r="M113">
            <v>18.36</v>
          </cell>
          <cell r="N113">
            <v>16.989999999999998</v>
          </cell>
          <cell r="O113">
            <v>16.75</v>
          </cell>
          <cell r="P113">
            <v>16.760000000000002</v>
          </cell>
          <cell r="Q113">
            <v>16.239999999999998</v>
          </cell>
          <cell r="R113">
            <v>16.190000000000001</v>
          </cell>
          <cell r="S113">
            <v>16.57</v>
          </cell>
          <cell r="T113">
            <v>16.380000000000003</v>
          </cell>
          <cell r="U113">
            <v>16.43</v>
          </cell>
          <cell r="V113">
            <v>16.53</v>
          </cell>
          <cell r="W113">
            <v>17.23</v>
          </cell>
          <cell r="X113">
            <v>17.23</v>
          </cell>
          <cell r="Y113">
            <v>17.239999999999998</v>
          </cell>
          <cell r="Z113">
            <v>17.239999999999998</v>
          </cell>
          <cell r="AA113">
            <v>17.239999999999998</v>
          </cell>
          <cell r="AB113" t="str">
            <v>13.8.2026 EE</v>
          </cell>
          <cell r="AC113" t="str">
            <v>SOTU-ennustaja</v>
          </cell>
        </row>
        <row r="114">
          <cell r="A114">
            <v>107</v>
          </cell>
          <cell r="AC114" t="str">
            <v>UUSI RIVI</v>
          </cell>
        </row>
        <row r="115">
          <cell r="A115">
            <v>108</v>
          </cell>
          <cell r="E115" t="str">
            <v>Valtio (VaEL, v. 2017 alkaen JuEL)</v>
          </cell>
        </row>
        <row r="116">
          <cell r="A116">
            <v>109</v>
          </cell>
          <cell r="E116" t="str">
            <v>Eläkemaksu yhteensä, valtio</v>
          </cell>
          <cell r="G116">
            <v>25.08</v>
          </cell>
          <cell r="H116">
            <v>24.85</v>
          </cell>
          <cell r="I116">
            <v>25.04</v>
          </cell>
          <cell r="J116">
            <v>24.9</v>
          </cell>
          <cell r="K116">
            <v>26.45</v>
          </cell>
          <cell r="L116">
            <v>26.31</v>
          </cell>
          <cell r="M116">
            <v>24.02</v>
          </cell>
          <cell r="N116">
            <v>23.6</v>
          </cell>
          <cell r="O116">
            <v>23.83</v>
          </cell>
          <cell r="P116">
            <v>24.400000000000002</v>
          </cell>
          <cell r="Q116">
            <v>24.400000000000002</v>
          </cell>
          <cell r="R116">
            <v>24.4</v>
          </cell>
          <cell r="S116">
            <v>24.85</v>
          </cell>
          <cell r="T116">
            <v>24.84</v>
          </cell>
          <cell r="U116">
            <v>24.81</v>
          </cell>
          <cell r="V116">
            <v>24.85</v>
          </cell>
          <cell r="W116">
            <v>24.4</v>
          </cell>
          <cell r="X116">
            <v>24.4</v>
          </cell>
          <cell r="Y116">
            <v>24.4</v>
          </cell>
          <cell r="Z116">
            <v>24.4</v>
          </cell>
          <cell r="AA116">
            <v>24.4</v>
          </cell>
          <cell r="AB116" t="str">
            <v>13.8.2026 EE</v>
          </cell>
          <cell r="AC116" t="str">
            <v>SOTU-ennustaja</v>
          </cell>
        </row>
        <row r="117">
          <cell r="A117">
            <v>110</v>
          </cell>
          <cell r="B117" t="str">
            <v>TAVAELMSO</v>
          </cell>
          <cell r="C117" t="str">
            <v>%</v>
          </cell>
          <cell r="E117" t="str">
            <v xml:space="preserve">   - Työnantajan eläkemaksu, valtio</v>
          </cell>
          <cell r="F117">
            <v>20.5</v>
          </cell>
          <cell r="G117">
            <v>20.239999999999998</v>
          </cell>
          <cell r="H117">
            <v>19.77</v>
          </cell>
          <cell r="I117">
            <v>19.48</v>
          </cell>
          <cell r="J117">
            <v>19.29</v>
          </cell>
          <cell r="K117">
            <v>20.399999999999999</v>
          </cell>
          <cell r="L117">
            <v>20.11</v>
          </cell>
          <cell r="M117">
            <v>17.82</v>
          </cell>
          <cell r="N117">
            <v>16.95</v>
          </cell>
          <cell r="O117">
            <v>16.95</v>
          </cell>
          <cell r="P117">
            <v>17.100000000000001</v>
          </cell>
          <cell r="Q117">
            <v>16.690000000000001</v>
          </cell>
          <cell r="R117">
            <v>16.68</v>
          </cell>
          <cell r="S117">
            <v>17.12</v>
          </cell>
          <cell r="T117">
            <v>17.11</v>
          </cell>
          <cell r="U117">
            <v>17.09</v>
          </cell>
          <cell r="V117">
            <v>17.130000000000003</v>
          </cell>
          <cell r="W117">
            <v>17.099999999999998</v>
          </cell>
          <cell r="X117">
            <v>17.099999999999998</v>
          </cell>
          <cell r="Y117">
            <v>17.099999999999998</v>
          </cell>
          <cell r="Z117">
            <v>17.099999999999998</v>
          </cell>
          <cell r="AA117">
            <v>17.099999999999998</v>
          </cell>
          <cell r="AB117" t="str">
            <v>13.8.2026 EE</v>
          </cell>
          <cell r="AC117" t="str">
            <v>SOTU-ennustaja</v>
          </cell>
        </row>
        <row r="118">
          <cell r="A118">
            <v>111</v>
          </cell>
          <cell r="E118" t="str">
            <v xml:space="preserve">   - Palkansaajien keskim. eläkemaksu, valtio</v>
          </cell>
          <cell r="G118">
            <v>4.84</v>
          </cell>
          <cell r="H118">
            <v>5.0800000000000018</v>
          </cell>
          <cell r="I118">
            <v>5.5599999999999987</v>
          </cell>
          <cell r="J118">
            <v>5.6099999999999994</v>
          </cell>
          <cell r="K118">
            <v>6.05</v>
          </cell>
          <cell r="L118">
            <v>6.2</v>
          </cell>
          <cell r="M118">
            <v>6.2</v>
          </cell>
          <cell r="N118">
            <v>6.65</v>
          </cell>
          <cell r="O118">
            <v>6.879999999999999</v>
          </cell>
          <cell r="P118">
            <v>7.3</v>
          </cell>
          <cell r="Q118">
            <v>7.71</v>
          </cell>
          <cell r="R118">
            <v>7.72</v>
          </cell>
          <cell r="S118">
            <v>7.73</v>
          </cell>
          <cell r="T118">
            <v>7.73</v>
          </cell>
          <cell r="U118">
            <v>7.72</v>
          </cell>
          <cell r="V118">
            <v>7.72</v>
          </cell>
          <cell r="W118">
            <v>7.3</v>
          </cell>
          <cell r="X118">
            <v>7.3</v>
          </cell>
          <cell r="Y118">
            <v>7.3</v>
          </cell>
          <cell r="Z118">
            <v>7.3</v>
          </cell>
          <cell r="AA118">
            <v>7.3</v>
          </cell>
          <cell r="AB118" t="str">
            <v>13.8.2026 EE</v>
          </cell>
          <cell r="AC118" t="str">
            <v>SOTU-ennustaja</v>
          </cell>
        </row>
        <row r="119">
          <cell r="A119">
            <v>112</v>
          </cell>
        </row>
        <row r="120">
          <cell r="A120">
            <v>113</v>
          </cell>
          <cell r="E120" t="str">
            <v>Muut lakisääteiset maksut</v>
          </cell>
        </row>
        <row r="121">
          <cell r="A121">
            <v>114</v>
          </cell>
        </row>
        <row r="122">
          <cell r="A122">
            <v>115</v>
          </cell>
          <cell r="B122" t="str">
            <v>TTVaMSO</v>
          </cell>
          <cell r="C122" t="str">
            <v>%</v>
          </cell>
          <cell r="E122" t="str">
            <v>Tapaturmavakuutusmaksu</v>
          </cell>
          <cell r="F122">
            <v>1.1000000000000001</v>
          </cell>
          <cell r="G122">
            <v>1</v>
          </cell>
          <cell r="H122">
            <v>1</v>
          </cell>
          <cell r="I122">
            <v>0.9</v>
          </cell>
          <cell r="J122">
            <v>0.9</v>
          </cell>
          <cell r="K122">
            <v>0.9</v>
          </cell>
          <cell r="L122">
            <v>0.9</v>
          </cell>
          <cell r="M122">
            <v>0.8</v>
          </cell>
          <cell r="N122">
            <v>0.8</v>
          </cell>
          <cell r="O122">
            <v>0.8</v>
          </cell>
          <cell r="P122">
            <v>0.8</v>
          </cell>
          <cell r="Q122">
            <v>0.8</v>
          </cell>
          <cell r="R122">
            <v>0.7</v>
          </cell>
          <cell r="S122">
            <v>0.7</v>
          </cell>
          <cell r="T122">
            <v>0.56999999999999995</v>
          </cell>
          <cell r="U122">
            <v>0.53</v>
          </cell>
          <cell r="V122">
            <v>0.53</v>
          </cell>
          <cell r="W122">
            <v>0.51</v>
          </cell>
          <cell r="X122">
            <v>0.51</v>
          </cell>
          <cell r="Y122">
            <v>0.51</v>
          </cell>
          <cell r="Z122">
            <v>0.51</v>
          </cell>
          <cell r="AA122">
            <v>0.51</v>
          </cell>
          <cell r="AB122" t="str">
            <v>19.3.2026 EE</v>
          </cell>
          <cell r="AC122" t="str">
            <v>SOTU-ennustaja</v>
          </cell>
        </row>
        <row r="123">
          <cell r="A123">
            <v>116</v>
          </cell>
          <cell r="B123" t="str">
            <v>RHVaMSO</v>
          </cell>
          <cell r="C123" t="str">
            <v>%</v>
          </cell>
          <cell r="E123" t="str">
            <v>Ryhmähenkivakuutusmaksu</v>
          </cell>
          <cell r="F123">
            <v>7.0000000000000007E-2</v>
          </cell>
          <cell r="G123">
            <v>7.0000000000000007E-2</v>
          </cell>
          <cell r="H123">
            <v>7.0000000000000007E-2</v>
          </cell>
          <cell r="I123">
            <v>7.0000000000000007E-2</v>
          </cell>
          <cell r="J123">
            <v>7.0000000000000007E-2</v>
          </cell>
          <cell r="K123">
            <v>7.0000000000000007E-2</v>
          </cell>
          <cell r="L123">
            <v>7.0000000000000007E-2</v>
          </cell>
          <cell r="M123">
            <v>7.0000000000000007E-2</v>
          </cell>
          <cell r="N123">
            <v>7.0000000000000007E-2</v>
          </cell>
          <cell r="O123">
            <v>7.0000000000000007E-2</v>
          </cell>
          <cell r="P123">
            <v>7.0000000000000007E-2</v>
          </cell>
          <cell r="Q123">
            <v>7.0000000000000007E-2</v>
          </cell>
          <cell r="R123">
            <v>0.06</v>
          </cell>
          <cell r="S123">
            <v>0.06</v>
          </cell>
          <cell r="T123">
            <v>0.06</v>
          </cell>
          <cell r="U123">
            <v>0.06</v>
          </cell>
          <cell r="V123">
            <v>0.06</v>
          </cell>
          <cell r="W123">
            <v>0.06</v>
          </cell>
          <cell r="X123">
            <v>0.06</v>
          </cell>
          <cell r="Y123">
            <v>0.06</v>
          </cell>
          <cell r="Z123">
            <v>0.06</v>
          </cell>
          <cell r="AA123">
            <v>0.06</v>
          </cell>
          <cell r="AB123" t="str">
            <v>19.3.2026 EE</v>
          </cell>
          <cell r="AC123" t="str">
            <v>SOTU-ennustaja</v>
          </cell>
        </row>
        <row r="124">
          <cell r="A124">
            <v>117</v>
          </cell>
        </row>
        <row r="125">
          <cell r="A125">
            <v>118</v>
          </cell>
          <cell r="B125" t="str">
            <v>TAKUMAMUSO</v>
          </cell>
          <cell r="C125" t="str">
            <v>%</v>
          </cell>
          <cell r="E125" t="str">
            <v>Kunta-ala: muut työnantajamaksut</v>
          </cell>
          <cell r="F125">
            <v>0.7</v>
          </cell>
          <cell r="G125">
            <v>0.7</v>
          </cell>
          <cell r="H125">
            <v>0.7</v>
          </cell>
          <cell r="I125">
            <v>0.7</v>
          </cell>
          <cell r="J125">
            <v>0.7</v>
          </cell>
          <cell r="K125">
            <v>0.7</v>
          </cell>
          <cell r="L125">
            <v>0.7</v>
          </cell>
          <cell r="M125">
            <v>0.7</v>
          </cell>
          <cell r="N125">
            <v>0.7</v>
          </cell>
          <cell r="O125">
            <v>0.7</v>
          </cell>
          <cell r="P125">
            <v>0.7</v>
          </cell>
          <cell r="Q125">
            <v>0.7</v>
          </cell>
          <cell r="R125">
            <v>0.7</v>
          </cell>
          <cell r="S125">
            <v>0.7</v>
          </cell>
          <cell r="T125">
            <v>0.7</v>
          </cell>
          <cell r="U125">
            <v>0.7</v>
          </cell>
          <cell r="V125">
            <v>0.7</v>
          </cell>
          <cell r="W125">
            <v>0.7</v>
          </cell>
          <cell r="X125">
            <v>0.7</v>
          </cell>
          <cell r="Y125">
            <v>0.7</v>
          </cell>
          <cell r="Z125">
            <v>0.7</v>
          </cell>
          <cell r="AA125">
            <v>0.7</v>
          </cell>
          <cell r="AB125" t="str">
            <v>19.3.2026 EE</v>
          </cell>
          <cell r="AC125" t="str">
            <v>SOTU-ennustaja</v>
          </cell>
        </row>
        <row r="126">
          <cell r="A126">
            <v>119</v>
          </cell>
        </row>
        <row r="127">
          <cell r="A127">
            <v>120</v>
          </cell>
          <cell r="E127" t="str">
            <v>Lisätarkastelu: Julkisten työnantajien työnantajamaksut</v>
          </cell>
        </row>
        <row r="128">
          <cell r="A128">
            <v>121</v>
          </cell>
        </row>
        <row r="129">
          <cell r="A129">
            <v>122</v>
          </cell>
          <cell r="E129" t="str">
            <v>Valtion työnantajamaksut</v>
          </cell>
          <cell r="F129">
            <v>22.5</v>
          </cell>
          <cell r="G129">
            <v>22.47</v>
          </cell>
          <cell r="H129">
            <v>21.89</v>
          </cell>
          <cell r="I129">
            <v>21.6</v>
          </cell>
          <cell r="J129">
            <v>21.33</v>
          </cell>
          <cell r="K129">
            <v>22.54</v>
          </cell>
          <cell r="L129">
            <v>22.189999999999998</v>
          </cell>
          <cell r="M129">
            <v>19.940000000000001</v>
          </cell>
          <cell r="N129">
            <v>18.029999999999998</v>
          </cell>
          <cell r="O129">
            <v>17.809999999999999</v>
          </cell>
          <cell r="P129">
            <v>17.87</v>
          </cell>
          <cell r="Q129">
            <v>18.03</v>
          </cell>
          <cell r="R129">
            <v>18.21</v>
          </cell>
          <cell r="S129">
            <v>18.46</v>
          </cell>
          <cell r="T129">
            <v>18.64</v>
          </cell>
          <cell r="U129">
            <v>18.25</v>
          </cell>
          <cell r="V129">
            <v>19.000000000000004</v>
          </cell>
          <cell r="W129">
            <v>19.009999999999998</v>
          </cell>
          <cell r="X129">
            <v>19.009999999999998</v>
          </cell>
          <cell r="Y129">
            <v>18.939999999999998</v>
          </cell>
          <cell r="Z129">
            <v>18.939999999999998</v>
          </cell>
          <cell r="AA129">
            <v>18.939999999999998</v>
          </cell>
        </row>
        <row r="130">
          <cell r="A130">
            <v>123</v>
          </cell>
          <cell r="E130" t="str">
            <v xml:space="preserve"> - sava, työtulovakuutusmaksu</v>
          </cell>
          <cell r="F130">
            <v>2</v>
          </cell>
          <cell r="G130">
            <v>2.23</v>
          </cell>
          <cell r="H130">
            <v>2.12</v>
          </cell>
          <cell r="I130">
            <v>2.12</v>
          </cell>
          <cell r="J130">
            <v>2.04</v>
          </cell>
          <cell r="K130">
            <v>2.14</v>
          </cell>
          <cell r="L130">
            <v>2.08</v>
          </cell>
          <cell r="M130">
            <v>2.12</v>
          </cell>
          <cell r="N130">
            <v>1.0799999999999998</v>
          </cell>
          <cell r="O130">
            <v>0.86000000000000021</v>
          </cell>
          <cell r="P130">
            <v>0.77</v>
          </cell>
          <cell r="Q130">
            <v>1.34</v>
          </cell>
          <cell r="R130">
            <v>1.53</v>
          </cell>
          <cell r="S130">
            <v>1.34</v>
          </cell>
          <cell r="T130">
            <v>1.53</v>
          </cell>
          <cell r="U130">
            <v>1.1599999999999999</v>
          </cell>
          <cell r="V130">
            <v>1.87</v>
          </cell>
          <cell r="W130">
            <v>1.91</v>
          </cell>
          <cell r="X130">
            <v>1.91</v>
          </cell>
          <cell r="Y130">
            <v>1.8399999999999999</v>
          </cell>
          <cell r="Z130">
            <v>1.8399999999999999</v>
          </cell>
          <cell r="AA130">
            <v>1.8399999999999999</v>
          </cell>
        </row>
        <row r="131">
          <cell r="A131">
            <v>124</v>
          </cell>
          <cell r="E131" t="str">
            <v xml:space="preserve"> - eläkemaksu</v>
          </cell>
          <cell r="F131">
            <v>20.5</v>
          </cell>
          <cell r="G131">
            <v>20.239999999999998</v>
          </cell>
          <cell r="H131">
            <v>19.77</v>
          </cell>
          <cell r="I131">
            <v>19.48</v>
          </cell>
          <cell r="J131">
            <v>19.29</v>
          </cell>
          <cell r="K131">
            <v>20.399999999999999</v>
          </cell>
          <cell r="L131">
            <v>20.11</v>
          </cell>
          <cell r="M131">
            <v>17.82</v>
          </cell>
          <cell r="N131">
            <v>16.95</v>
          </cell>
          <cell r="O131">
            <v>16.95</v>
          </cell>
          <cell r="P131">
            <v>17.100000000000001</v>
          </cell>
          <cell r="Q131">
            <v>16.690000000000001</v>
          </cell>
          <cell r="R131">
            <v>16.68</v>
          </cell>
          <cell r="S131">
            <v>17.12</v>
          </cell>
          <cell r="T131">
            <v>17.11</v>
          </cell>
          <cell r="U131">
            <v>17.09</v>
          </cell>
          <cell r="V131">
            <v>17.130000000000003</v>
          </cell>
          <cell r="W131">
            <v>17.099999999999998</v>
          </cell>
          <cell r="X131">
            <v>17.099999999999998</v>
          </cell>
          <cell r="Y131">
            <v>17.099999999999998</v>
          </cell>
          <cell r="Z131">
            <v>17.099999999999998</v>
          </cell>
          <cell r="AA131">
            <v>17.099999999999998</v>
          </cell>
        </row>
        <row r="132">
          <cell r="A132">
            <v>125</v>
          </cell>
        </row>
        <row r="133">
          <cell r="A133">
            <v>126</v>
          </cell>
          <cell r="E133" t="str">
            <v>Kunta-alan työnantajamaksut</v>
          </cell>
          <cell r="F133">
            <v>28.900000000000002</v>
          </cell>
          <cell r="G133">
            <v>29.34</v>
          </cell>
          <cell r="H133">
            <v>29.470268860822397</v>
          </cell>
          <cell r="I133">
            <v>29.48</v>
          </cell>
          <cell r="J133">
            <v>29.795064985263537</v>
          </cell>
          <cell r="K133">
            <v>29.450761578947706</v>
          </cell>
          <cell r="L133">
            <v>29.446029111445956</v>
          </cell>
          <cell r="M133">
            <v>29.76711746072457</v>
          </cell>
          <cell r="N133">
            <v>26.889695999402118</v>
          </cell>
          <cell r="O133">
            <v>25.650562879533656</v>
          </cell>
          <cell r="P133">
            <v>24.603011519629309</v>
          </cell>
          <cell r="Q133">
            <v>24.451020102316239</v>
          </cell>
          <cell r="R133">
            <v>24.657134675636211</v>
          </cell>
          <cell r="S133">
            <v>24.349327676597234</v>
          </cell>
          <cell r="T133">
            <v>23.95</v>
          </cell>
          <cell r="U133">
            <v>22.46</v>
          </cell>
          <cell r="V133">
            <v>22.569615836554249</v>
          </cell>
          <cell r="W133">
            <v>23.050924907218619</v>
          </cell>
          <cell r="X133">
            <v>22.873931742795538</v>
          </cell>
          <cell r="Y133">
            <v>22.803931742795537</v>
          </cell>
          <cell r="Z133">
            <v>22.803931742795537</v>
          </cell>
          <cell r="AA133">
            <v>22.803931742795537</v>
          </cell>
        </row>
        <row r="134">
          <cell r="A134">
            <v>127</v>
          </cell>
          <cell r="E134" t="str">
            <v xml:space="preserve"> - sava, työtulovakuutusmaksu</v>
          </cell>
          <cell r="F134">
            <v>2</v>
          </cell>
          <cell r="G134">
            <v>2.23</v>
          </cell>
          <cell r="H134">
            <v>2.12</v>
          </cell>
          <cell r="I134">
            <v>2.12</v>
          </cell>
          <cell r="J134">
            <v>2.04</v>
          </cell>
          <cell r="K134">
            <v>2.14</v>
          </cell>
          <cell r="L134">
            <v>2.08</v>
          </cell>
          <cell r="M134">
            <v>2.12</v>
          </cell>
          <cell r="N134">
            <v>1.0799999999999998</v>
          </cell>
          <cell r="O134">
            <v>0.86000000000000021</v>
          </cell>
          <cell r="P134">
            <v>0.77</v>
          </cell>
          <cell r="Q134">
            <v>1.34</v>
          </cell>
          <cell r="R134">
            <v>1.53</v>
          </cell>
          <cell r="S134">
            <v>1.34</v>
          </cell>
          <cell r="T134">
            <v>1.53</v>
          </cell>
          <cell r="U134">
            <v>1.1599999999999999</v>
          </cell>
          <cell r="V134">
            <v>1.87</v>
          </cell>
          <cell r="W134">
            <v>1.91</v>
          </cell>
          <cell r="X134">
            <v>1.91</v>
          </cell>
          <cell r="Y134">
            <v>1.8399999999999999</v>
          </cell>
          <cell r="Z134">
            <v>1.8399999999999999</v>
          </cell>
          <cell r="AA134">
            <v>1.8399999999999999</v>
          </cell>
        </row>
        <row r="135">
          <cell r="A135">
            <v>128</v>
          </cell>
          <cell r="E135" t="str">
            <v xml:space="preserve"> - työttömyysvakuutus</v>
          </cell>
          <cell r="F135">
            <v>2.6</v>
          </cell>
          <cell r="G135">
            <v>2.81</v>
          </cell>
          <cell r="H135">
            <v>3.0502688608223942</v>
          </cell>
          <cell r="I135">
            <v>3.06</v>
          </cell>
          <cell r="J135">
            <v>3.0550649852635385</v>
          </cell>
          <cell r="K135">
            <v>2.8207615789477081</v>
          </cell>
          <cell r="L135">
            <v>3.0160291114459592</v>
          </cell>
          <cell r="M135">
            <v>3.7371174607245705</v>
          </cell>
          <cell r="N135">
            <v>3.1596959994021203</v>
          </cell>
          <cell r="O135">
            <v>2.4905628795336541</v>
          </cell>
          <cell r="P135">
            <v>1.9630115196293101</v>
          </cell>
          <cell r="Q135">
            <v>1.6310201023162387</v>
          </cell>
          <cell r="R135">
            <v>1.827134675636211</v>
          </cell>
          <cell r="S135">
            <v>1.9693276765972338</v>
          </cell>
          <cell r="T135">
            <v>1.91</v>
          </cell>
          <cell r="U135">
            <v>1.01</v>
          </cell>
          <cell r="V135">
            <v>0.73961583655424712</v>
          </cell>
          <cell r="W135">
            <v>1.1409249072186187</v>
          </cell>
          <cell r="X135">
            <v>0.96393174279553728</v>
          </cell>
          <cell r="Y135">
            <v>0.96393174279553728</v>
          </cell>
          <cell r="Z135">
            <v>0.96393174279553728</v>
          </cell>
          <cell r="AA135">
            <v>0.96393174279553728</v>
          </cell>
        </row>
        <row r="136">
          <cell r="A136">
            <v>129</v>
          </cell>
          <cell r="E136" t="str">
            <v xml:space="preserve"> - eläkemaksu</v>
          </cell>
          <cell r="F136">
            <v>23.6</v>
          </cell>
          <cell r="G136">
            <v>23.6</v>
          </cell>
          <cell r="H136">
            <v>23.6</v>
          </cell>
          <cell r="I136">
            <v>23.6</v>
          </cell>
          <cell r="J136">
            <v>24</v>
          </cell>
          <cell r="K136">
            <v>23.79</v>
          </cell>
          <cell r="L136">
            <v>23.65</v>
          </cell>
          <cell r="M136">
            <v>23.21</v>
          </cell>
          <cell r="N136">
            <v>21.95</v>
          </cell>
          <cell r="O136">
            <v>21.6</v>
          </cell>
          <cell r="P136">
            <v>21.17</v>
          </cell>
          <cell r="Q136">
            <v>20.78</v>
          </cell>
          <cell r="R136">
            <v>20.6</v>
          </cell>
          <cell r="S136">
            <v>20.34</v>
          </cell>
          <cell r="T136">
            <v>19.809999999999999</v>
          </cell>
          <cell r="U136">
            <v>19.59</v>
          </cell>
          <cell r="V136">
            <v>19.260000000000002</v>
          </cell>
          <cell r="W136">
            <v>19.3</v>
          </cell>
          <cell r="X136">
            <v>19.3</v>
          </cell>
          <cell r="Y136">
            <v>19.3</v>
          </cell>
          <cell r="Z136">
            <v>19.3</v>
          </cell>
          <cell r="AA136">
            <v>19.3</v>
          </cell>
        </row>
        <row r="137">
          <cell r="A137">
            <v>130</v>
          </cell>
          <cell r="E137" t="str">
            <v xml:space="preserve"> - muut työnantajamaksut</v>
          </cell>
          <cell r="F137">
            <v>0.7</v>
          </cell>
          <cell r="G137">
            <v>0.7</v>
          </cell>
          <cell r="H137">
            <v>0.7</v>
          </cell>
          <cell r="I137">
            <v>0.7</v>
          </cell>
          <cell r="J137">
            <v>0.7</v>
          </cell>
          <cell r="K137">
            <v>0.7</v>
          </cell>
          <cell r="L137">
            <v>0.7</v>
          </cell>
          <cell r="M137">
            <v>0.7</v>
          </cell>
          <cell r="N137">
            <v>0.7</v>
          </cell>
          <cell r="O137">
            <v>0.7</v>
          </cell>
          <cell r="P137">
            <v>0.7</v>
          </cell>
          <cell r="Q137">
            <v>0.7</v>
          </cell>
          <cell r="R137">
            <v>0.7</v>
          </cell>
          <cell r="S137">
            <v>0.7</v>
          </cell>
          <cell r="T137">
            <v>0.7</v>
          </cell>
          <cell r="U137">
            <v>0.7</v>
          </cell>
          <cell r="V137">
            <v>0.7</v>
          </cell>
          <cell r="W137">
            <v>0.7</v>
          </cell>
          <cell r="X137">
            <v>0.7</v>
          </cell>
          <cell r="Y137">
            <v>0.7</v>
          </cell>
          <cell r="Z137">
            <v>0.7</v>
          </cell>
          <cell r="AA137">
            <v>0.7</v>
          </cell>
        </row>
        <row r="138">
          <cell r="A138">
            <v>131</v>
          </cell>
          <cell r="E138" t="str">
            <v>Kuntatyöantajan eläkemaksu, opettajat (ennen v. 1970 syntyneet)</v>
          </cell>
          <cell r="F138">
            <v>22.1</v>
          </cell>
          <cell r="G138">
            <v>21.8</v>
          </cell>
          <cell r="H138">
            <v>20.67</v>
          </cell>
          <cell r="I138">
            <v>19.82</v>
          </cell>
          <cell r="J138">
            <v>19.62</v>
          </cell>
          <cell r="K138">
            <v>21.34</v>
          </cell>
          <cell r="L138">
            <v>21.09</v>
          </cell>
          <cell r="M138">
            <v>18.36</v>
          </cell>
          <cell r="N138">
            <v>16.989999999999998</v>
          </cell>
          <cell r="O138">
            <v>16.75</v>
          </cell>
          <cell r="P138">
            <v>16.760000000000002</v>
          </cell>
          <cell r="Q138">
            <v>16.239999999999998</v>
          </cell>
          <cell r="R138">
            <v>16.190000000000001</v>
          </cell>
          <cell r="S138">
            <v>16.57</v>
          </cell>
          <cell r="T138">
            <v>16.380000000000003</v>
          </cell>
          <cell r="U138">
            <v>16.43</v>
          </cell>
          <cell r="V138">
            <v>16.53</v>
          </cell>
          <cell r="W138">
            <v>17.23</v>
          </cell>
          <cell r="X138">
            <v>17.23</v>
          </cell>
          <cell r="Y138">
            <v>17.239999999999998</v>
          </cell>
          <cell r="Z138">
            <v>17.239999999999998</v>
          </cell>
          <cell r="AA138">
            <v>17.239999999999998</v>
          </cell>
        </row>
        <row r="139">
          <cell r="A139">
            <v>132</v>
          </cell>
        </row>
        <row r="140">
          <cell r="A140">
            <v>133</v>
          </cell>
          <cell r="E140" t="str">
            <v>Lisätietoa</v>
          </cell>
        </row>
        <row r="141">
          <cell r="A141">
            <v>134</v>
          </cell>
        </row>
        <row r="142">
          <cell r="A142">
            <v>135</v>
          </cell>
          <cell r="D142" t="str">
            <v xml:space="preserve"> </v>
          </cell>
          <cell r="E142" t="str">
            <v>Yhteisö -/ POtulo- / Lähdevero-%</v>
          </cell>
          <cell r="F142" t="str">
            <v>26/28</v>
          </cell>
          <cell r="G142" t="str">
            <v>26/28</v>
          </cell>
          <cell r="H142" t="str">
            <v>26/28</v>
          </cell>
          <cell r="I142" t="str">
            <v>26/28</v>
          </cell>
          <cell r="J142" t="str">
            <v>24.5/30/30</v>
          </cell>
          <cell r="K142" t="str">
            <v>24.5/30/30</v>
          </cell>
          <cell r="L142" t="str">
            <v>20/30/30</v>
          </cell>
          <cell r="M142" t="str">
            <v>20/30/30</v>
          </cell>
          <cell r="N142" t="str">
            <v>20/30/30</v>
          </cell>
          <cell r="O142" t="str">
            <v>20/30/30</v>
          </cell>
          <cell r="P142" t="str">
            <v>20/30/30</v>
          </cell>
          <cell r="Q142" t="str">
            <v>20/30/30</v>
          </cell>
        </row>
        <row r="143">
          <cell r="A143">
            <v>136</v>
          </cell>
          <cell r="D143" t="str">
            <v xml:space="preserve"> </v>
          </cell>
          <cell r="E143" t="str">
            <v>Arvonlisäveroprosentti</v>
          </cell>
          <cell r="F143" t="str">
            <v>22/17/8</v>
          </cell>
          <cell r="G143" t="str">
            <v>22/17/12/8</v>
          </cell>
          <cell r="H143" t="str">
            <v>23/13/9/0</v>
          </cell>
          <cell r="I143" t="str">
            <v>23/13/9/0</v>
          </cell>
          <cell r="J143" t="str">
            <v>23/13/9/0</v>
          </cell>
          <cell r="K143" t="str">
            <v>24/14/10</v>
          </cell>
          <cell r="L143" t="str">
            <v>24/14/10</v>
          </cell>
          <cell r="M143" t="str">
            <v>24/14/10</v>
          </cell>
          <cell r="N143" t="str">
            <v>24/14/10</v>
          </cell>
          <cell r="O143" t="str">
            <v>24/14/10</v>
          </cell>
          <cell r="P143" t="str">
            <v>24/14/10</v>
          </cell>
          <cell r="Q143" t="str">
            <v>24/14/10</v>
          </cell>
        </row>
        <row r="144">
          <cell r="A144">
            <v>137</v>
          </cell>
          <cell r="B144" t="str">
            <v>kta_kunnallisvero</v>
          </cell>
          <cell r="C144" t="str">
            <v>%</v>
          </cell>
          <cell r="D144" t="str">
            <v xml:space="preserve"> </v>
          </cell>
          <cell r="E144" t="str">
            <v>Kunnallisveroprosentti keskimäärin</v>
          </cell>
          <cell r="F144">
            <v>18.59</v>
          </cell>
          <cell r="G144">
            <v>18.97</v>
          </cell>
          <cell r="H144">
            <v>19.16</v>
          </cell>
          <cell r="I144">
            <v>19.239999999999998</v>
          </cell>
          <cell r="J144">
            <v>19.38</v>
          </cell>
          <cell r="K144">
            <v>19.739999999999998</v>
          </cell>
          <cell r="L144">
            <v>19.82</v>
          </cell>
          <cell r="M144">
            <v>19.850000000000001</v>
          </cell>
          <cell r="N144">
            <v>19.899999999999999</v>
          </cell>
          <cell r="O144">
            <v>19.84</v>
          </cell>
          <cell r="P144">
            <v>19.88</v>
          </cell>
          <cell r="Q144">
            <v>19.96</v>
          </cell>
          <cell r="R144">
            <v>20.015580863726136</v>
          </cell>
          <cell r="S144">
            <v>20</v>
          </cell>
          <cell r="T144">
            <v>7.44</v>
          </cell>
          <cell r="U144">
            <v>7.52</v>
          </cell>
          <cell r="V144">
            <v>7.59</v>
          </cell>
          <cell r="W144">
            <v>7.62</v>
          </cell>
          <cell r="AB144" t="str">
            <v>25.11.2025 SP</v>
          </cell>
        </row>
        <row r="145">
          <cell r="A145">
            <v>138</v>
          </cell>
        </row>
        <row r="146">
          <cell r="A146">
            <v>139</v>
          </cell>
          <cell r="E146" t="str">
            <v>TAE:ssa käytetty peruspalvelujen hintaindeksin muutos</v>
          </cell>
          <cell r="F146">
            <v>2.0408163265306172</v>
          </cell>
          <cell r="G146">
            <v>1.9682406776328918</v>
          </cell>
          <cell r="H146">
            <v>2.6248856836528773</v>
          </cell>
          <cell r="I146">
            <v>3.1142340433722211</v>
          </cell>
          <cell r="J146">
            <v>2.3080843699614348</v>
          </cell>
          <cell r="K146">
            <v>1.2810695132999399</v>
          </cell>
          <cell r="L146">
            <v>1.1121722910315128</v>
          </cell>
          <cell r="M146">
            <v>1.2081745382296702</v>
          </cell>
          <cell r="N146">
            <v>-0.73708676574273113</v>
          </cell>
          <cell r="O146">
            <v>0.55401391831000524</v>
          </cell>
          <cell r="P146">
            <v>1.2637427756713748</v>
          </cell>
          <cell r="Q146">
            <v>2.3905408322362689</v>
          </cell>
          <cell r="R146">
            <v>2.4150059550498901</v>
          </cell>
          <cell r="S146">
            <v>2.4982025875886507</v>
          </cell>
          <cell r="T146">
            <v>3.801897952889135</v>
          </cell>
          <cell r="U146">
            <v>2.2162220320668098</v>
          </cell>
          <cell r="V146">
            <v>3.3945935620977394</v>
          </cell>
          <cell r="W146">
            <v>3.4703847011948739</v>
          </cell>
          <cell r="X146">
            <v>3.5392438315259085</v>
          </cell>
          <cell r="Y146">
            <v>3.6770892998642495</v>
          </cell>
          <cell r="Z146">
            <v>2.9561881948559687</v>
          </cell>
          <cell r="AA146">
            <v>2.9044029102125961</v>
          </cell>
          <cell r="AB146" t="str">
            <v>2.9.2026 SP</v>
          </cell>
        </row>
        <row r="147">
          <cell r="A147">
            <v>140</v>
          </cell>
          <cell r="B147" t="str">
            <v>PPHI</v>
          </cell>
          <cell r="C147" t="str">
            <v>vuosimuutos</v>
          </cell>
          <cell r="D147" t="str">
            <v>S1</v>
          </cell>
          <cell r="E147" t="str">
            <v>Peruspalvelujen hintaindeksin muutos (toteutunut / ennuste)</v>
          </cell>
          <cell r="F147">
            <v>2.0480854853072117</v>
          </cell>
          <cell r="G147">
            <v>2.6178010471204232</v>
          </cell>
          <cell r="H147">
            <v>3.316326530612244</v>
          </cell>
          <cell r="I147">
            <v>3.3744855967078138</v>
          </cell>
          <cell r="J147">
            <v>1.7515923566878939</v>
          </cell>
          <cell r="K147">
            <v>0.54773082942097062</v>
          </cell>
          <cell r="L147">
            <v>0.6225680933852118</v>
          </cell>
          <cell r="M147">
            <v>0.87013702254022007</v>
          </cell>
          <cell r="N147">
            <v>-0.52199196882598642</v>
          </cell>
          <cell r="O147">
            <v>1.4</v>
          </cell>
          <cell r="P147">
            <v>1.3117043639968671</v>
          </cell>
          <cell r="Q147">
            <v>0.85216914958307655</v>
          </cell>
          <cell r="R147">
            <v>2.4</v>
          </cell>
          <cell r="S147">
            <v>3.7</v>
          </cell>
          <cell r="T147">
            <v>4.0999999999999996</v>
          </cell>
          <cell r="U147">
            <v>3.2</v>
          </cell>
          <cell r="V147">
            <v>2.5</v>
          </cell>
          <cell r="W147">
            <v>3.4997425159322262</v>
          </cell>
          <cell r="X147">
            <v>3.5392438315259085</v>
          </cell>
          <cell r="Y147">
            <v>3.6770892998642495</v>
          </cell>
          <cell r="Z147">
            <v>2.9561881948559687</v>
          </cell>
          <cell r="AA147">
            <v>2.9044029102125961</v>
          </cell>
          <cell r="AB147" t="str">
            <v>2.9.2026 SP</v>
          </cell>
        </row>
        <row r="148">
          <cell r="A148">
            <v>141</v>
          </cell>
          <cell r="E148" t="str">
            <v>Toteutuneen ja ennustetun välinen erotus (= korjaustekijä), huom. viivästys</v>
          </cell>
          <cell r="F148" t="str">
            <v xml:space="preserve"> </v>
          </cell>
          <cell r="G148" t="str">
            <v xml:space="preserve"> </v>
          </cell>
          <cell r="H148">
            <v>7.2691587765945087E-3</v>
          </cell>
          <cell r="I148">
            <v>0.6914408469593667</v>
          </cell>
          <cell r="J148">
            <v>0.6914408469593667</v>
          </cell>
          <cell r="K148">
            <v>0.26025155333559269</v>
          </cell>
          <cell r="L148">
            <v>-0.55649201327354092</v>
          </cell>
          <cell r="M148">
            <v>-0.73333868387896928</v>
          </cell>
          <cell r="R148" t="str">
            <v xml:space="preserve"> </v>
          </cell>
        </row>
        <row r="149">
          <cell r="A149">
            <v>142</v>
          </cell>
          <cell r="B149" t="str">
            <v>VOS</v>
          </cell>
          <cell r="C149" t="str">
            <v>vuosimuutos</v>
          </cell>
          <cell r="D149" t="str">
            <v>S1</v>
          </cell>
          <cell r="E149" t="str">
            <v>Valtionosuusindeksi (vuosien 2024-2027 indeksijarru huomioidaan suoraan valtionosuusprosentissa)</v>
          </cell>
          <cell r="H149">
            <v>2.6321548424294718</v>
          </cell>
          <cell r="I149">
            <v>3.8056748903315878</v>
          </cell>
          <cell r="J149">
            <v>2.9995252169208015</v>
          </cell>
          <cell r="K149">
            <v>1.5413210666355326</v>
          </cell>
          <cell r="L149">
            <v>0.55568027775797191</v>
          </cell>
          <cell r="M149">
            <v>0</v>
          </cell>
          <cell r="N149">
            <v>-0.52199196882598642</v>
          </cell>
          <cell r="O149">
            <v>0</v>
          </cell>
          <cell r="P149">
            <v>0</v>
          </cell>
          <cell r="Q149">
            <v>2.3905408322362689</v>
          </cell>
          <cell r="R149">
            <v>2.4150059550498901</v>
          </cell>
          <cell r="S149">
            <v>2.4982025875886507</v>
          </cell>
          <cell r="T149">
            <v>3.801897952889135</v>
          </cell>
          <cell r="U149">
            <v>2.2162220320668098</v>
          </cell>
          <cell r="V149">
            <v>3.3945935620977394</v>
          </cell>
          <cell r="W149">
            <v>3.4997425159322262</v>
          </cell>
          <cell r="X149">
            <v>3.5392438315259085</v>
          </cell>
          <cell r="Y149">
            <v>3.6770892998642495</v>
          </cell>
          <cell r="Z149">
            <v>2.9561881948559687</v>
          </cell>
          <cell r="AA149">
            <v>2.9044029102125961</v>
          </cell>
          <cell r="AB149" t="str">
            <v>2.9.2026 SP</v>
          </cell>
        </row>
        <row r="150">
          <cell r="A150">
            <v>143</v>
          </cell>
          <cell r="E150" t="str">
            <v>Valtionosuusindeksi, jos indeksijarrua ei olisi (Vuosiin 2024–2027 kohdistuvan yhden prosenttiyksikön indeksijarrun vaikutus huomioidaan suoraan valtionosuusprosentissa.)</v>
          </cell>
          <cell r="H150">
            <v>2.6321548424294718</v>
          </cell>
          <cell r="I150">
            <v>3.8056748903315878</v>
          </cell>
          <cell r="J150">
            <v>2.9995252169208015</v>
          </cell>
          <cell r="K150">
            <v>1.5413210666355326</v>
          </cell>
          <cell r="L150">
            <v>0.55568027775797191</v>
          </cell>
          <cell r="M150">
            <v>0.47483585435070097</v>
          </cell>
          <cell r="N150">
            <v>-0.73708676574273113</v>
          </cell>
          <cell r="O150">
            <v>0.55401391831000524</v>
          </cell>
          <cell r="P150">
            <v>1.2637427756713748</v>
          </cell>
          <cell r="Q150">
            <v>2.3905408322362689</v>
          </cell>
          <cell r="R150">
            <v>2.4150059550498901</v>
          </cell>
          <cell r="S150">
            <v>2.4982025875886507</v>
          </cell>
          <cell r="T150">
            <v>3.801897952889135</v>
          </cell>
          <cell r="U150">
            <v>2.2162220320668098</v>
          </cell>
          <cell r="V150">
            <v>3.3945935620977394</v>
          </cell>
          <cell r="W150">
            <v>3.4703847011948739</v>
          </cell>
          <cell r="X150">
            <v>3.5392438315259085</v>
          </cell>
          <cell r="Y150">
            <v>3.6770892998642495</v>
          </cell>
          <cell r="Z150">
            <v>2.9561881948559687</v>
          </cell>
          <cell r="AA150">
            <v>2.9044029102125961</v>
          </cell>
          <cell r="AB150" t="str">
            <v>2.9.2026 SP</v>
          </cell>
        </row>
        <row r="151">
          <cell r="A151">
            <v>144</v>
          </cell>
        </row>
        <row r="152">
          <cell r="A152">
            <v>145</v>
          </cell>
          <cell r="E152" t="str">
            <v>TA maksut yksit</v>
          </cell>
          <cell r="F152">
            <v>21.59</v>
          </cell>
          <cell r="G152">
            <v>21.540000000000003</v>
          </cell>
          <cell r="H152">
            <v>21.540000000000003</v>
          </cell>
          <cell r="I152">
            <v>21.790000000000003</v>
          </cell>
          <cell r="J152">
            <v>21.71</v>
          </cell>
          <cell r="K152">
            <v>22.09</v>
          </cell>
          <cell r="L152">
            <v>22.409999999999997</v>
          </cell>
          <cell r="M152">
            <v>22.970000000000002</v>
          </cell>
          <cell r="N152">
            <v>21.439999999999998</v>
          </cell>
          <cell r="O152">
            <v>20.509999999999998</v>
          </cell>
          <cell r="P152">
            <v>19.61</v>
          </cell>
          <cell r="Q152">
            <v>17.830000000000002</v>
          </cell>
          <cell r="R152">
            <v>19.89</v>
          </cell>
          <cell r="S152">
            <v>20.23</v>
          </cell>
          <cell r="T152">
            <v>20.440000000000001</v>
          </cell>
          <cell r="U152">
            <v>19.32</v>
          </cell>
          <cell r="V152">
            <v>19.86</v>
          </cell>
          <cell r="W152">
            <v>19.930000000000003</v>
          </cell>
          <cell r="X152">
            <v>19.790000000000003</v>
          </cell>
          <cell r="Y152">
            <v>19.720000000000002</v>
          </cell>
          <cell r="Z152">
            <v>19.720000000000002</v>
          </cell>
          <cell r="AA152">
            <v>19.720000000000002</v>
          </cell>
        </row>
        <row r="153">
          <cell r="A153">
            <v>146</v>
          </cell>
          <cell r="E153" t="str">
            <v>TA julkinen valtio</v>
          </cell>
          <cell r="F153">
            <v>22.5</v>
          </cell>
          <cell r="G153">
            <v>21.89</v>
          </cell>
          <cell r="H153">
            <v>21.89</v>
          </cell>
          <cell r="I153">
            <v>21.6</v>
          </cell>
          <cell r="J153">
            <v>21.33</v>
          </cell>
          <cell r="K153">
            <v>22.54</v>
          </cell>
          <cell r="L153">
            <v>22.189999999999998</v>
          </cell>
          <cell r="M153">
            <v>19.940000000000001</v>
          </cell>
          <cell r="N153">
            <v>18.029999999999998</v>
          </cell>
          <cell r="O153">
            <v>17.809999999999999</v>
          </cell>
          <cell r="P153">
            <v>17.87</v>
          </cell>
          <cell r="Q153">
            <v>18.03</v>
          </cell>
          <cell r="R153">
            <v>18.21</v>
          </cell>
          <cell r="S153">
            <v>18.46</v>
          </cell>
          <cell r="T153">
            <v>18.64</v>
          </cell>
          <cell r="U153">
            <v>18.25</v>
          </cell>
          <cell r="V153">
            <v>19.000000000000004</v>
          </cell>
          <cell r="W153">
            <v>19.009999999999998</v>
          </cell>
          <cell r="X153">
            <v>19.009999999999998</v>
          </cell>
          <cell r="Y153">
            <v>18.939999999999998</v>
          </cell>
          <cell r="Z153">
            <v>18.939999999999998</v>
          </cell>
          <cell r="AA153">
            <v>18.939999999999998</v>
          </cell>
        </row>
        <row r="154">
          <cell r="A154">
            <v>147</v>
          </cell>
          <cell r="E154" t="str">
            <v>TA kunnat</v>
          </cell>
          <cell r="F154">
            <v>28.900000000000002</v>
          </cell>
          <cell r="G154">
            <v>29.470268860822397</v>
          </cell>
          <cell r="H154">
            <v>29.470268860822397</v>
          </cell>
          <cell r="I154">
            <v>29.48</v>
          </cell>
          <cell r="J154">
            <v>29.795064985263537</v>
          </cell>
          <cell r="K154">
            <v>29.450761578947706</v>
          </cell>
          <cell r="L154">
            <v>29.446029111445956</v>
          </cell>
          <cell r="M154">
            <v>29.76711746072457</v>
          </cell>
          <cell r="N154">
            <v>26.889695999402118</v>
          </cell>
          <cell r="O154">
            <v>25.650562879533656</v>
          </cell>
          <cell r="P154">
            <v>24.603011519629309</v>
          </cell>
          <cell r="Q154">
            <v>24.451020102316239</v>
          </cell>
          <cell r="R154">
            <v>24.657134675636211</v>
          </cell>
          <cell r="S154">
            <v>24.349327676597234</v>
          </cell>
          <cell r="T154">
            <v>23.95</v>
          </cell>
          <cell r="U154">
            <v>22.46</v>
          </cell>
          <cell r="V154">
            <v>22.569615836554249</v>
          </cell>
          <cell r="W154">
            <v>23.050924907218619</v>
          </cell>
          <cell r="X154">
            <v>22.873931742795538</v>
          </cell>
          <cell r="Y154">
            <v>22.803931742795537</v>
          </cell>
          <cell r="Z154">
            <v>22.803931742795537</v>
          </cell>
          <cell r="AA154">
            <v>22.803931742795537</v>
          </cell>
        </row>
        <row r="155">
          <cell r="A155">
            <v>148</v>
          </cell>
          <cell r="E155" t="str">
            <v>muutos, %-yks.</v>
          </cell>
          <cell r="G155">
            <v>-4.9999999999997158E-2</v>
          </cell>
          <cell r="H155">
            <v>0</v>
          </cell>
          <cell r="I155">
            <v>0.25</v>
          </cell>
          <cell r="J155">
            <v>-8.0000000000001847E-2</v>
          </cell>
          <cell r="K155">
            <v>0.37999999999999901</v>
          </cell>
          <cell r="L155">
            <v>0.31999999999999673</v>
          </cell>
          <cell r="M155">
            <v>0.56000000000000583</v>
          </cell>
          <cell r="N155">
            <v>-1.5300000000000047</v>
          </cell>
          <cell r="O155">
            <v>-0.92999999999999972</v>
          </cell>
          <cell r="P155">
            <v>-0.89999999999999858</v>
          </cell>
          <cell r="Q155">
            <v>-1.7799999999999976</v>
          </cell>
          <cell r="R155">
            <v>2.0599999999999987</v>
          </cell>
          <cell r="S155">
            <v>0.33999999999999986</v>
          </cell>
          <cell r="T155">
            <v>0.21000000000000085</v>
          </cell>
          <cell r="U155">
            <v>-1.120000000000001</v>
          </cell>
          <cell r="V155">
            <v>0.53999999999999915</v>
          </cell>
          <cell r="W155">
            <v>7.0000000000003837E-2</v>
          </cell>
          <cell r="X155">
            <v>-0.14000000000000057</v>
          </cell>
          <cell r="Y155">
            <v>-7.0000000000000284E-2</v>
          </cell>
          <cell r="Z155">
            <v>0</v>
          </cell>
          <cell r="AA155">
            <v>0</v>
          </cell>
        </row>
        <row r="156">
          <cell r="A156">
            <v>149</v>
          </cell>
          <cell r="E156" t="str">
            <v>muutos, %-yks.</v>
          </cell>
          <cell r="G156">
            <v>-0.60999999999999943</v>
          </cell>
          <cell r="H156">
            <v>0</v>
          </cell>
          <cell r="I156">
            <v>-0.28999999999999915</v>
          </cell>
          <cell r="J156">
            <v>-0.27000000000000313</v>
          </cell>
          <cell r="K156">
            <v>1.2100000000000009</v>
          </cell>
          <cell r="L156">
            <v>-0.35000000000000142</v>
          </cell>
          <cell r="M156">
            <v>-2.2499999999999964</v>
          </cell>
          <cell r="N156">
            <v>-1.9100000000000037</v>
          </cell>
          <cell r="O156">
            <v>-0.21999999999999886</v>
          </cell>
          <cell r="P156">
            <v>6.0000000000002274E-2</v>
          </cell>
          <cell r="Q156">
            <v>0.16000000000000014</v>
          </cell>
          <cell r="R156">
            <v>0.17999999999999972</v>
          </cell>
          <cell r="S156">
            <v>0.25</v>
          </cell>
          <cell r="T156">
            <v>0.17999999999999972</v>
          </cell>
          <cell r="U156">
            <v>-0.39000000000000057</v>
          </cell>
          <cell r="V156">
            <v>0.75000000000000355</v>
          </cell>
          <cell r="W156">
            <v>9.9999999999944578E-3</v>
          </cell>
          <cell r="X156">
            <v>0</v>
          </cell>
          <cell r="Y156">
            <v>-7.0000000000000284E-2</v>
          </cell>
          <cell r="Z156">
            <v>0</v>
          </cell>
          <cell r="AA156">
            <v>0</v>
          </cell>
        </row>
        <row r="157">
          <cell r="A157">
            <v>150</v>
          </cell>
          <cell r="E157" t="str">
            <v>muutos, %-yks.</v>
          </cell>
          <cell r="G157">
            <v>0.57026886082239514</v>
          </cell>
          <cell r="H157">
            <v>0</v>
          </cell>
          <cell r="I157">
            <v>9.7311391776031542E-3</v>
          </cell>
          <cell r="J157">
            <v>0.3150649852635361</v>
          </cell>
          <cell r="K157">
            <v>-0.34430340631583078</v>
          </cell>
          <cell r="L157">
            <v>-4.7324675017499374E-3</v>
          </cell>
          <cell r="M157">
            <v>0.32108834927861452</v>
          </cell>
          <cell r="N157">
            <v>-2.8774214613224522</v>
          </cell>
          <cell r="O157">
            <v>-1.2391331198684625</v>
          </cell>
          <cell r="P157">
            <v>-1.0475513599043467</v>
          </cell>
          <cell r="Q157">
            <v>-0.15199141731307009</v>
          </cell>
          <cell r="R157">
            <v>0.20611457331997229</v>
          </cell>
          <cell r="S157">
            <v>-0.30780699903897712</v>
          </cell>
          <cell r="T157">
            <v>-0.39932767659723467</v>
          </cell>
          <cell r="U157">
            <v>-1.4899999999999984</v>
          </cell>
          <cell r="V157">
            <v>0.10961583655424789</v>
          </cell>
          <cell r="W157">
            <v>0.4813090706643699</v>
          </cell>
          <cell r="X157">
            <v>-0.17699316442308088</v>
          </cell>
          <cell r="Y157">
            <v>-7.0000000000000284E-2</v>
          </cell>
          <cell r="Z157">
            <v>0</v>
          </cell>
          <cell r="AA157">
            <v>0</v>
          </cell>
        </row>
        <row r="158">
          <cell r="A158">
            <v>151</v>
          </cell>
          <cell r="E158" t="str">
            <v>TA YHT.</v>
          </cell>
        </row>
        <row r="159">
          <cell r="A159">
            <v>152</v>
          </cell>
        </row>
        <row r="160">
          <cell r="A160">
            <v>153</v>
          </cell>
          <cell r="B160" t="str">
            <v>SOTYPE</v>
          </cell>
          <cell r="C160" t="str">
            <v>%</v>
          </cell>
          <cell r="E160" t="str">
            <v>SOTU-maksuperusteet, työnantajat</v>
          </cell>
          <cell r="F160">
            <v>23.112864077006165</v>
          </cell>
          <cell r="G160">
            <v>23.160950507602848</v>
          </cell>
          <cell r="H160">
            <v>23.160950507602848</v>
          </cell>
          <cell r="I160">
            <v>23.34437520801746</v>
          </cell>
          <cell r="J160">
            <v>23.331642333329377</v>
          </cell>
          <cell r="K160">
            <v>23.61747732785733</v>
          </cell>
          <cell r="L160">
            <v>23.818366636992483</v>
          </cell>
          <cell r="M160">
            <v>24.115013528217226</v>
          </cell>
          <cell r="N160" t="e">
            <v>#DIV/0!</v>
          </cell>
          <cell r="O160">
            <v>21.245707944438873</v>
          </cell>
          <cell r="P160">
            <v>20.350294922298232</v>
          </cell>
          <cell r="Q160">
            <v>18.921011243795267</v>
          </cell>
          <cell r="R160">
            <v>20.587621802129807</v>
          </cell>
          <cell r="S160">
            <v>20.814238859772953</v>
          </cell>
          <cell r="T160">
            <v>20.920781644018714</v>
          </cell>
          <cell r="U160">
            <v>19.781642593005124</v>
          </cell>
          <cell r="V160">
            <v>20.262065527737441</v>
          </cell>
          <cell r="W160">
            <v>20.397216086986141</v>
          </cell>
          <cell r="X160">
            <v>20.259214964633962</v>
          </cell>
          <cell r="Y160">
            <v>20.189214964633958</v>
          </cell>
          <cell r="Z160">
            <v>20.189214964633958</v>
          </cell>
          <cell r="AA160">
            <v>20.189214964633958</v>
          </cell>
        </row>
        <row r="161">
          <cell r="A161">
            <v>154</v>
          </cell>
          <cell r="E161" t="str">
            <v>muutos, %-yks.</v>
          </cell>
          <cell r="G161">
            <v>4.8086430596683272E-2</v>
          </cell>
          <cell r="H161">
            <v>0</v>
          </cell>
          <cell r="I161">
            <v>0.18342470041461212</v>
          </cell>
          <cell r="J161">
            <v>-1.2732874688083484E-2</v>
          </cell>
          <cell r="K161">
            <v>0.2858349945279528</v>
          </cell>
          <cell r="L161">
            <v>0.20088930913515313</v>
          </cell>
          <cell r="M161">
            <v>0.29664689122474286</v>
          </cell>
          <cell r="N161" t="e">
            <v>#DIV/0!</v>
          </cell>
          <cell r="O161" t="e">
            <v>#DIV/0!</v>
          </cell>
          <cell r="P161">
            <v>-0.89541302214064089</v>
          </cell>
          <cell r="Q161">
            <v>-1.4292836785029657</v>
          </cell>
          <cell r="R161">
            <v>1.6666105583345399</v>
          </cell>
          <cell r="S161">
            <v>0.22661705764314632</v>
          </cell>
          <cell r="T161">
            <v>0.10654278424576091</v>
          </cell>
          <cell r="U161">
            <v>-1.1391390510135899</v>
          </cell>
          <cell r="V161">
            <v>0.48042293473231723</v>
          </cell>
          <cell r="W161">
            <v>0.13515055924870012</v>
          </cell>
          <cell r="X161">
            <v>-0.1380011223521791</v>
          </cell>
          <cell r="Y161">
            <v>-7.0000000000003837E-2</v>
          </cell>
          <cell r="Z161">
            <v>0</v>
          </cell>
          <cell r="AA161">
            <v>0</v>
          </cell>
        </row>
        <row r="162">
          <cell r="A162">
            <v>155</v>
          </cell>
          <cell r="B162" t="str">
            <v>SOPAPE</v>
          </cell>
          <cell r="C162" t="str">
            <v>%</v>
          </cell>
          <cell r="E162" t="str">
            <v>SOTU-maksuperusteet, palkansaajat</v>
          </cell>
          <cell r="F162">
            <v>6.83</v>
          </cell>
          <cell r="G162">
            <v>7.66</v>
          </cell>
          <cell r="H162">
            <v>7.66</v>
          </cell>
          <cell r="I162">
            <v>8.14</v>
          </cell>
          <cell r="J162">
            <v>8.14</v>
          </cell>
          <cell r="K162">
            <v>8.5599999999999987</v>
          </cell>
          <cell r="L162">
            <v>8.8000000000000007</v>
          </cell>
          <cell r="M162">
            <v>9.32</v>
          </cell>
          <cell r="N162">
            <v>9.68</v>
          </cell>
          <cell r="O162">
            <v>10.129999999999999</v>
          </cell>
          <cell r="P162">
            <v>10.14</v>
          </cell>
          <cell r="Q162">
            <v>10.61</v>
          </cell>
          <cell r="R162">
            <v>10.94</v>
          </cell>
          <cell r="S162">
            <v>10.71</v>
          </cell>
          <cell r="T162">
            <v>10.96</v>
          </cell>
          <cell r="U162">
            <v>9.81</v>
          </cell>
          <cell r="V162">
            <v>9.99</v>
          </cell>
          <cell r="W162">
            <v>10.52</v>
          </cell>
          <cell r="X162">
            <v>10.39</v>
          </cell>
          <cell r="Y162">
            <v>10.34</v>
          </cell>
          <cell r="Z162">
            <v>10.32</v>
          </cell>
          <cell r="AA162">
            <v>10.309999999999999</v>
          </cell>
        </row>
        <row r="163">
          <cell r="A163">
            <v>156</v>
          </cell>
          <cell r="E163" t="str">
            <v>muutos, %-yks.</v>
          </cell>
          <cell r="G163">
            <v>0.83000000000000007</v>
          </cell>
          <cell r="H163">
            <v>0</v>
          </cell>
          <cell r="I163">
            <v>0.48000000000000043</v>
          </cell>
          <cell r="J163">
            <v>0</v>
          </cell>
          <cell r="K163">
            <v>0.41999999999999815</v>
          </cell>
          <cell r="L163">
            <v>0.24000000000000199</v>
          </cell>
          <cell r="M163">
            <v>0.51999999999999957</v>
          </cell>
          <cell r="N163">
            <v>0.35999999999999943</v>
          </cell>
          <cell r="O163">
            <v>0.44999999999999929</v>
          </cell>
          <cell r="P163">
            <v>1.0000000000001563E-2</v>
          </cell>
          <cell r="Q163">
            <v>0.46999999999999886</v>
          </cell>
          <cell r="R163">
            <v>0.33000000000000007</v>
          </cell>
          <cell r="S163">
            <v>-0.22999999999999865</v>
          </cell>
          <cell r="T163">
            <v>0.25</v>
          </cell>
          <cell r="U163">
            <v>-1.1500000000000004</v>
          </cell>
          <cell r="V163">
            <v>0.17999999999999972</v>
          </cell>
          <cell r="W163">
            <v>0.52999999999999936</v>
          </cell>
          <cell r="X163">
            <v>-0.12999999999999901</v>
          </cell>
          <cell r="Y163">
            <v>-5.0000000000000711E-2</v>
          </cell>
          <cell r="Z163">
            <v>-1.9999999999999574E-2</v>
          </cell>
          <cell r="AA163">
            <v>-1.0000000000001563E-2</v>
          </cell>
        </row>
        <row r="164">
          <cell r="A164">
            <v>157</v>
          </cell>
          <cell r="E164" t="str">
            <v>SOTU-maksuperusteet YHT.</v>
          </cell>
          <cell r="F164">
            <v>29.942864077006163</v>
          </cell>
          <cell r="G164">
            <v>30.820950507602848</v>
          </cell>
          <cell r="H164">
            <v>30.820950507602848</v>
          </cell>
          <cell r="I164">
            <v>31.484375208017461</v>
          </cell>
          <cell r="J164">
            <v>31.471642333329378</v>
          </cell>
          <cell r="K164">
            <v>32.177477327857332</v>
          </cell>
          <cell r="L164">
            <v>32.618366636992484</v>
          </cell>
          <cell r="M164">
            <v>33.435013528217226</v>
          </cell>
          <cell r="N164" t="e">
            <v>#DIV/0!</v>
          </cell>
          <cell r="O164">
            <v>31.375707944438872</v>
          </cell>
          <cell r="P164">
            <v>30.490294922298233</v>
          </cell>
          <cell r="Q164">
            <v>29.531011243795266</v>
          </cell>
          <cell r="R164">
            <v>31.527621802129808</v>
          </cell>
          <cell r="S164">
            <v>31.524238859772954</v>
          </cell>
          <cell r="T164">
            <v>31.880781644018715</v>
          </cell>
          <cell r="U164">
            <v>29.591642593005126</v>
          </cell>
          <cell r="V164">
            <v>30.252065527737443</v>
          </cell>
          <cell r="W164">
            <v>30.917216086986141</v>
          </cell>
          <cell r="X164">
            <v>30.649214964633963</v>
          </cell>
          <cell r="Y164">
            <v>30.529214964633958</v>
          </cell>
          <cell r="Z164">
            <v>30.509214964633959</v>
          </cell>
          <cell r="AA164">
            <v>30.499214964633957</v>
          </cell>
        </row>
        <row r="165">
          <cell r="A165">
            <v>158</v>
          </cell>
          <cell r="E165" t="str">
            <v>muutos, %-yks.</v>
          </cell>
          <cell r="G165">
            <v>0.87808643059668512</v>
          </cell>
          <cell r="H165">
            <v>0</v>
          </cell>
          <cell r="I165">
            <v>0.66342470041461254</v>
          </cell>
          <cell r="J165">
            <v>-1.2732874688083484E-2</v>
          </cell>
          <cell r="K165">
            <v>0.70583499452795451</v>
          </cell>
          <cell r="L165">
            <v>0.44088930913515156</v>
          </cell>
          <cell r="M165">
            <v>0.81664689122474243</v>
          </cell>
          <cell r="N165" t="e">
            <v>#DIV/0!</v>
          </cell>
          <cell r="O165" t="e">
            <v>#DIV/0!</v>
          </cell>
          <cell r="P165">
            <v>-0.88541302214063933</v>
          </cell>
          <cell r="Q165">
            <v>-0.95928367850296681</v>
          </cell>
          <cell r="R165">
            <v>1.9966105583345417</v>
          </cell>
          <cell r="S165">
            <v>-3.3829423568541017E-3</v>
          </cell>
          <cell r="T165">
            <v>0.35654278424576091</v>
          </cell>
          <cell r="U165">
            <v>-2.2891390510135885</v>
          </cell>
          <cell r="V165">
            <v>0.66042293473231695</v>
          </cell>
          <cell r="W165">
            <v>0.6651505592486977</v>
          </cell>
          <cell r="X165">
            <v>-0.2680011223521781</v>
          </cell>
          <cell r="Y165">
            <v>-0.12000000000000455</v>
          </cell>
          <cell r="Z165">
            <v>-1.9999999999999574E-2</v>
          </cell>
          <cell r="AA165">
            <v>-1.0000000000001563E-2</v>
          </cell>
        </row>
        <row r="166">
          <cell r="A166">
            <v>159</v>
          </cell>
        </row>
        <row r="169">
          <cell r="E169" t="str">
            <v>Painojen laskenta: (Tiedot haetaan sektoritileiltä)</v>
          </cell>
        </row>
        <row r="170">
          <cell r="E170" t="str">
            <v>D11K Maksetut palkat ja palkkiot:</v>
          </cell>
        </row>
        <row r="171">
          <cell r="E171" t="str">
            <v>S1 Koko kansantalous (kotimaiset sektorit yhteensä)</v>
          </cell>
          <cell r="F171">
            <v>73137</v>
          </cell>
          <cell r="G171">
            <v>74920</v>
          </cell>
          <cell r="H171">
            <v>78395</v>
          </cell>
          <cell r="I171">
            <v>81123</v>
          </cell>
          <cell r="J171">
            <v>81782</v>
          </cell>
          <cell r="K171">
            <v>82054</v>
          </cell>
          <cell r="L171">
            <v>82861</v>
          </cell>
          <cell r="M171">
            <v>84044</v>
          </cell>
          <cell r="N171">
            <v>0</v>
          </cell>
          <cell r="O171">
            <v>98284</v>
          </cell>
          <cell r="P171">
            <v>104901</v>
          </cell>
          <cell r="Q171">
            <v>110096</v>
          </cell>
          <cell r="R171">
            <v>112225</v>
          </cell>
          <cell r="S171">
            <v>114625</v>
          </cell>
          <cell r="AE171">
            <v>82229</v>
          </cell>
        </row>
        <row r="172">
          <cell r="D172" t="str">
            <v>Lisää nämä Laariin!</v>
          </cell>
          <cell r="E172" t="str">
            <v>S1311 Valtionhallinto</v>
          </cell>
          <cell r="F172">
            <v>5168</v>
          </cell>
          <cell r="G172">
            <v>5244</v>
          </cell>
          <cell r="H172">
            <v>5324</v>
          </cell>
          <cell r="I172">
            <v>5450</v>
          </cell>
          <cell r="J172">
            <v>5676</v>
          </cell>
          <cell r="K172">
            <v>5652</v>
          </cell>
          <cell r="L172">
            <v>5569</v>
          </cell>
          <cell r="M172">
            <v>5481</v>
          </cell>
          <cell r="N172">
            <v>5425</v>
          </cell>
          <cell r="O172">
            <v>5757</v>
          </cell>
          <cell r="P172">
            <v>6097</v>
          </cell>
          <cell r="Q172">
            <v>6244</v>
          </cell>
          <cell r="R172">
            <v>6552</v>
          </cell>
          <cell r="AB172" t="str">
            <v>22 11 2022</v>
          </cell>
          <cell r="AE172">
            <v>5634</v>
          </cell>
        </row>
        <row r="173">
          <cell r="D173" t="str">
            <v>Lisää nämä Laariin!</v>
          </cell>
          <cell r="E173" t="str">
            <v>S1313 Paikallishallinto</v>
          </cell>
          <cell r="F173">
            <v>14593</v>
          </cell>
          <cell r="G173">
            <v>15099</v>
          </cell>
          <cell r="H173">
            <v>15789</v>
          </cell>
          <cell r="I173">
            <v>16532</v>
          </cell>
          <cell r="J173">
            <v>16670</v>
          </cell>
          <cell r="K173">
            <v>16682</v>
          </cell>
          <cell r="L173">
            <v>16760</v>
          </cell>
          <cell r="M173">
            <v>16601</v>
          </cell>
          <cell r="N173">
            <v>16572</v>
          </cell>
          <cell r="O173">
            <v>17090</v>
          </cell>
          <cell r="P173">
            <v>17678</v>
          </cell>
          <cell r="Q173">
            <v>17953</v>
          </cell>
          <cell r="R173">
            <v>18732</v>
          </cell>
          <cell r="AB173" t="str">
            <v>22 11 2022</v>
          </cell>
          <cell r="AE173">
            <v>16732</v>
          </cell>
        </row>
        <row r="175">
          <cell r="E175" t="str">
            <v>Paino, yksit</v>
          </cell>
          <cell r="F175">
            <v>0.72980844169161985</v>
          </cell>
          <cell r="G175">
            <v>0.73068435486957084</v>
          </cell>
          <cell r="H175">
            <v>0.73068435486957084</v>
          </cell>
          <cell r="I175">
            <v>0.72902875879836793</v>
          </cell>
          <cell r="J175">
            <v>0.72676139003692741</v>
          </cell>
          <cell r="K175">
            <v>0.72781339118141708</v>
          </cell>
          <cell r="L175">
            <v>0.73052461350937115</v>
          </cell>
          <cell r="M175">
            <v>0.73725667507496073</v>
          </cell>
          <cell r="N175" t="e">
            <v>#DIV/0!</v>
          </cell>
          <cell r="O175">
            <v>0.76754100362215627</v>
          </cell>
          <cell r="P175">
            <v>0.77335773729516399</v>
          </cell>
          <cell r="Q175">
            <v>0.78021908152884756</v>
          </cell>
          <cell r="R175">
            <v>0.77470260637112942</v>
          </cell>
          <cell r="S175">
            <v>0.77470260637112942</v>
          </cell>
          <cell r="T175">
            <v>0.77470260637112942</v>
          </cell>
          <cell r="U175">
            <v>0.77470260637112942</v>
          </cell>
          <cell r="V175">
            <v>0.77470260637112942</v>
          </cell>
          <cell r="W175">
            <v>0.77470260637112942</v>
          </cell>
          <cell r="X175">
            <v>0.77470260637112942</v>
          </cell>
          <cell r="Y175">
            <v>0.77470260637112942</v>
          </cell>
          <cell r="Z175">
            <v>0.77470260637112942</v>
          </cell>
          <cell r="AA175">
            <v>0.77470260637112942</v>
          </cell>
          <cell r="AE175">
            <v>0.72800350241399014</v>
          </cell>
        </row>
        <row r="176">
          <cell r="E176" t="str">
            <v>Paino, valtio</v>
          </cell>
          <cell r="F176">
            <v>7.0661908473139454E-2</v>
          </cell>
          <cell r="G176">
            <v>6.7912494419286942E-2</v>
          </cell>
          <cell r="H176">
            <v>6.7912494419286942E-2</v>
          </cell>
          <cell r="I176">
            <v>6.7181933606991859E-2</v>
          </cell>
          <cell r="J176">
            <v>6.9404025335648434E-2</v>
          </cell>
          <cell r="K176">
            <v>6.888146830136252E-2</v>
          </cell>
          <cell r="L176">
            <v>6.7208940273470033E-2</v>
          </cell>
          <cell r="M176">
            <v>6.5215839322259772E-2</v>
          </cell>
          <cell r="N176" t="e">
            <v>#DIV/0!</v>
          </cell>
          <cell r="O176">
            <v>5.8575149566562207E-2</v>
          </cell>
          <cell r="P176">
            <v>5.8121466906893168E-2</v>
          </cell>
          <cell r="Q176">
            <v>5.6714140386571722E-2</v>
          </cell>
          <cell r="R176">
            <v>5.8382713299175763E-2</v>
          </cell>
          <cell r="S176">
            <v>5.8382713299175763E-2</v>
          </cell>
          <cell r="T176">
            <v>5.8382713299175763E-2</v>
          </cell>
          <cell r="U176">
            <v>5.8382713299175763E-2</v>
          </cell>
          <cell r="V176">
            <v>5.8382713299175763E-2</v>
          </cell>
          <cell r="W176">
            <v>5.8382713299175763E-2</v>
          </cell>
          <cell r="X176">
            <v>5.8382713299175763E-2</v>
          </cell>
          <cell r="Y176">
            <v>5.8382713299175763E-2</v>
          </cell>
          <cell r="Z176">
            <v>5.8382713299175763E-2</v>
          </cell>
          <cell r="AA176">
            <v>5.8382713299175763E-2</v>
          </cell>
          <cell r="AE176">
            <v>6.8515973683250436E-2</v>
          </cell>
        </row>
        <row r="177">
          <cell r="E177" t="str">
            <v>Paino, kunnat</v>
          </cell>
          <cell r="F177">
            <v>0.19952964983524071</v>
          </cell>
          <cell r="G177">
            <v>0.20140315071114229</v>
          </cell>
          <cell r="H177">
            <v>0.20140315071114229</v>
          </cell>
          <cell r="I177">
            <v>0.20378930759464023</v>
          </cell>
          <cell r="J177">
            <v>0.20383458462742413</v>
          </cell>
          <cell r="K177">
            <v>0.20330514051722037</v>
          </cell>
          <cell r="L177">
            <v>0.20226644621715886</v>
          </cell>
          <cell r="M177">
            <v>0.1975274856027795</v>
          </cell>
          <cell r="N177" t="e">
            <v>#DIV/0!</v>
          </cell>
          <cell r="O177">
            <v>0.17388384681128158</v>
          </cell>
          <cell r="P177">
            <v>0.16852079579794282</v>
          </cell>
          <cell r="Q177">
            <v>0.16306677808458073</v>
          </cell>
          <cell r="R177">
            <v>0.16691468032969481</v>
          </cell>
          <cell r="S177">
            <v>0.16691468032969481</v>
          </cell>
          <cell r="T177">
            <v>0.16691468032969481</v>
          </cell>
          <cell r="U177">
            <v>0.16691468032969481</v>
          </cell>
          <cell r="V177">
            <v>0.16691468032969481</v>
          </cell>
          <cell r="W177">
            <v>0.16691468032969481</v>
          </cell>
          <cell r="X177">
            <v>0.16691468032969481</v>
          </cell>
          <cell r="Y177">
            <v>0.16691468032969481</v>
          </cell>
          <cell r="Z177">
            <v>0.16691468032969481</v>
          </cell>
          <cell r="AA177">
            <v>0.16691468032969481</v>
          </cell>
          <cell r="AE177">
            <v>0.20348052390275936</v>
          </cell>
        </row>
        <row r="180">
          <cell r="A180">
            <v>500</v>
          </cell>
          <cell r="E180" t="str">
            <v>Kuntien konsernin maksu yhteensä</v>
          </cell>
        </row>
        <row r="181">
          <cell r="A181">
            <v>501</v>
          </cell>
          <cell r="E181" t="str">
            <v>Eläkemaksu yhteensä, kuntien konserni</v>
          </cell>
          <cell r="T181">
            <v>27.38</v>
          </cell>
          <cell r="U181">
            <v>27.2</v>
          </cell>
          <cell r="V181">
            <v>26.96</v>
          </cell>
          <cell r="W181">
            <v>26.75</v>
          </cell>
          <cell r="X181">
            <v>26.75</v>
          </cell>
          <cell r="Y181">
            <v>26.75</v>
          </cell>
          <cell r="Z181">
            <v>26.740000000000002</v>
          </cell>
          <cell r="AA181">
            <v>26.75</v>
          </cell>
          <cell r="AB181" t="str">
            <v>21.10.2025 EE</v>
          </cell>
          <cell r="AC181" t="str">
            <v>SOTU-ennustaja</v>
          </cell>
        </row>
        <row r="182">
          <cell r="A182">
            <v>502</v>
          </cell>
          <cell r="E182" t="str">
            <v xml:space="preserve">   - Työnantajan eläkemaksu, kuntien konserni</v>
          </cell>
          <cell r="T182">
            <v>19.82</v>
          </cell>
          <cell r="U182">
            <v>19.64</v>
          </cell>
          <cell r="V182">
            <v>19.400000000000002</v>
          </cell>
          <cell r="W182">
            <v>19.45</v>
          </cell>
          <cell r="X182">
            <v>19.45</v>
          </cell>
          <cell r="Y182">
            <v>19.45</v>
          </cell>
          <cell r="Z182">
            <v>19.440000000000001</v>
          </cell>
          <cell r="AA182">
            <v>19.45</v>
          </cell>
          <cell r="AB182" t="str">
            <v>21.10.2025 EE</v>
          </cell>
          <cell r="AC182" t="str">
            <v>SOTU-ennustaja</v>
          </cell>
        </row>
        <row r="183">
          <cell r="A183">
            <v>503</v>
          </cell>
          <cell r="E183" t="str">
            <v xml:space="preserve">   - Palkansaajien keskim. eläkemaksu, kunnat</v>
          </cell>
          <cell r="T183">
            <v>7.56</v>
          </cell>
          <cell r="U183">
            <v>7.56</v>
          </cell>
          <cell r="V183">
            <v>7.56</v>
          </cell>
          <cell r="W183">
            <v>7.3</v>
          </cell>
          <cell r="X183">
            <v>7.3</v>
          </cell>
          <cell r="Y183">
            <v>7.3</v>
          </cell>
          <cell r="Z183">
            <v>7.3</v>
          </cell>
          <cell r="AA183">
            <v>7.3</v>
          </cell>
          <cell r="AB183" t="str">
            <v>21.10.2025 EE</v>
          </cell>
          <cell r="AC183" t="str">
            <v>SOTU-ennustaja</v>
          </cell>
        </row>
        <row r="184">
          <cell r="A184">
            <v>504</v>
          </cell>
          <cell r="E184" t="str">
            <v>Työnantajan palkkaperusteinen maksu, kuntien konserni</v>
          </cell>
          <cell r="T184">
            <v>16.82</v>
          </cell>
          <cell r="U184">
            <v>16.82</v>
          </cell>
          <cell r="V184">
            <v>16.900000000000002</v>
          </cell>
          <cell r="W184">
            <v>17.16</v>
          </cell>
          <cell r="X184">
            <v>17.16</v>
          </cell>
          <cell r="Y184">
            <v>17.16</v>
          </cell>
          <cell r="Z184">
            <v>17.16</v>
          </cell>
          <cell r="AA184">
            <v>17.16</v>
          </cell>
          <cell r="AB184" t="str">
            <v>21.10.2025 EE</v>
          </cell>
          <cell r="AC184" t="str">
            <v>SOTU-ennustaja</v>
          </cell>
        </row>
        <row r="185">
          <cell r="A185">
            <v>505</v>
          </cell>
          <cell r="E185" t="str">
            <v>Työnantajan  tasausmaksu, kuntien konserni</v>
          </cell>
          <cell r="T185">
            <v>3</v>
          </cell>
          <cell r="U185">
            <v>2.82</v>
          </cell>
          <cell r="V185">
            <v>2.5</v>
          </cell>
          <cell r="W185">
            <v>2.29</v>
          </cell>
          <cell r="X185">
            <v>2.29</v>
          </cell>
          <cell r="Y185">
            <v>2.29</v>
          </cell>
          <cell r="Z185">
            <v>2.2799999999999998</v>
          </cell>
          <cell r="AA185">
            <v>2.29</v>
          </cell>
          <cell r="AB185" t="str">
            <v>21.10.2025 EE</v>
          </cell>
          <cell r="AC185" t="str">
            <v>SOTU-ennustaja</v>
          </cell>
        </row>
        <row r="186">
          <cell r="A186">
            <v>506</v>
          </cell>
        </row>
        <row r="187">
          <cell r="A187">
            <v>507</v>
          </cell>
          <cell r="E187" t="str">
            <v>Hyvinvointialueiden konsernin maksut</v>
          </cell>
        </row>
        <row r="188">
          <cell r="A188">
            <v>508</v>
          </cell>
          <cell r="E188" t="str">
            <v>Eläkemaksu yhteensä, hyvinvointialueiden konserni</v>
          </cell>
          <cell r="T188">
            <v>27.34</v>
          </cell>
          <cell r="U188">
            <v>27.080000000000002</v>
          </cell>
          <cell r="V188">
            <v>26.68</v>
          </cell>
          <cell r="W188">
            <v>26.48</v>
          </cell>
          <cell r="X188">
            <v>26.48</v>
          </cell>
          <cell r="Y188">
            <v>26.48</v>
          </cell>
          <cell r="Z188">
            <v>26.48</v>
          </cell>
          <cell r="AA188">
            <v>26.48</v>
          </cell>
          <cell r="AB188" t="str">
            <v>21.10.2025 EE</v>
          </cell>
          <cell r="AC188" t="str">
            <v>SOTU-ennustaja</v>
          </cell>
        </row>
        <row r="189">
          <cell r="A189">
            <v>509</v>
          </cell>
          <cell r="E189" t="str">
            <v xml:space="preserve">   - Työnantajan eläkemaksu, hyvinvointialueiden konserni</v>
          </cell>
          <cell r="T189">
            <v>19.79</v>
          </cell>
          <cell r="U189">
            <v>19.55</v>
          </cell>
          <cell r="V189">
            <v>19.149999999999999</v>
          </cell>
          <cell r="W189">
            <v>19.18</v>
          </cell>
          <cell r="X189">
            <v>19.18</v>
          </cell>
          <cell r="Y189">
            <v>19.18</v>
          </cell>
          <cell r="Z189">
            <v>19.18</v>
          </cell>
          <cell r="AA189">
            <v>19.18</v>
          </cell>
          <cell r="AB189" t="str">
            <v>21.10.2025 EE</v>
          </cell>
          <cell r="AC189" t="str">
            <v>SOTU-ennustaja</v>
          </cell>
        </row>
        <row r="190">
          <cell r="A190">
            <v>510</v>
          </cell>
          <cell r="E190" t="str">
            <v xml:space="preserve">   - Palkansaajien keskim. eläkemaksu, hyvinvointialueet</v>
          </cell>
          <cell r="T190">
            <v>7.55</v>
          </cell>
          <cell r="U190">
            <v>7.53</v>
          </cell>
          <cell r="V190">
            <v>7.53</v>
          </cell>
          <cell r="W190">
            <v>7.3</v>
          </cell>
          <cell r="X190">
            <v>7.3</v>
          </cell>
          <cell r="Y190">
            <v>7.3</v>
          </cell>
          <cell r="Z190">
            <v>7.3</v>
          </cell>
          <cell r="AA190">
            <v>7.3</v>
          </cell>
          <cell r="AB190" t="str">
            <v>21.10.2025 EE</v>
          </cell>
          <cell r="AC190" t="str">
            <v>SOTU-ennustaja</v>
          </cell>
        </row>
        <row r="191">
          <cell r="A191">
            <v>511</v>
          </cell>
          <cell r="E191" t="str">
            <v>Työnantajan palkkaperusteinen maksu, hyvinvointialueiden konserni</v>
          </cell>
          <cell r="T191">
            <v>16.86</v>
          </cell>
          <cell r="U191">
            <v>16.89</v>
          </cell>
          <cell r="V191">
            <v>16.82</v>
          </cell>
          <cell r="W191">
            <v>17.05</v>
          </cell>
          <cell r="X191">
            <v>17.05</v>
          </cell>
          <cell r="Y191">
            <v>17.05</v>
          </cell>
          <cell r="Z191">
            <v>17.05</v>
          </cell>
          <cell r="AA191">
            <v>17.05</v>
          </cell>
          <cell r="AB191" t="str">
            <v>21.10.2025 EE</v>
          </cell>
          <cell r="AC191" t="str">
            <v>SOTU-ennustaja</v>
          </cell>
        </row>
        <row r="192">
          <cell r="A192">
            <v>512</v>
          </cell>
          <cell r="E192" t="str">
            <v>Työnantajan  tasausmaksu, hyvinvointialueiden konserni</v>
          </cell>
          <cell r="T192">
            <v>2.93</v>
          </cell>
          <cell r="U192">
            <v>2.66</v>
          </cell>
          <cell r="V192">
            <v>2.33</v>
          </cell>
          <cell r="W192">
            <v>2.13</v>
          </cell>
          <cell r="X192">
            <v>2.13</v>
          </cell>
          <cell r="Y192">
            <v>2.13</v>
          </cell>
          <cell r="Z192">
            <v>2.13</v>
          </cell>
          <cell r="AA192">
            <v>2.13</v>
          </cell>
          <cell r="AB192" t="str">
            <v>21.10.2025 EE</v>
          </cell>
          <cell r="AC192" t="str">
            <v>SOTU-ennustaja</v>
          </cell>
        </row>
        <row r="193">
          <cell r="A193">
            <v>513</v>
          </cell>
        </row>
      </sheetData>
      <sheetData sheetId="4"/>
      <sheetData sheetId="5">
        <row r="17">
          <cell r="J17">
            <v>9.6931659693165972</v>
          </cell>
          <cell r="K17">
            <v>10.285955798161215</v>
          </cell>
          <cell r="L17">
            <v>9.8526496529662868</v>
          </cell>
          <cell r="M17">
            <v>9.5025468021587969</v>
          </cell>
        </row>
        <row r="29">
          <cell r="J29">
            <v>-0.46118370484242632</v>
          </cell>
          <cell r="K29">
            <v>-0.46038440488070931</v>
          </cell>
          <cell r="L29">
            <v>1.0751018823986547</v>
          </cell>
          <cell r="M29">
            <v>0.8159895553337515</v>
          </cell>
        </row>
        <row r="185">
          <cell r="J185">
            <v>1.9713007647793006</v>
          </cell>
          <cell r="K185">
            <v>1.6506329344395851</v>
          </cell>
          <cell r="L185">
            <v>2.3277532629943067</v>
          </cell>
          <cell r="M185">
            <v>2.5640688402576615</v>
          </cell>
        </row>
        <row r="186">
          <cell r="J186">
            <v>0.79868699264507015</v>
          </cell>
          <cell r="K186">
            <v>-0.36318063095189812</v>
          </cell>
          <cell r="L186">
            <v>0.11891929478402563</v>
          </cell>
          <cell r="M186">
            <v>0.13891124679368261</v>
          </cell>
        </row>
        <row r="200">
          <cell r="J200">
            <v>3.2292003035891099</v>
          </cell>
          <cell r="K200">
            <v>3.7338727502471301</v>
          </cell>
          <cell r="L200">
            <v>3.0710635530019772</v>
          </cell>
          <cell r="M200">
            <v>3.2976821280006163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1">
          <cell r="Z11">
            <v>-0.58960685292875747</v>
          </cell>
          <cell r="AA11">
            <v>0.54768437556737115</v>
          </cell>
          <cell r="AB11">
            <v>0.78802506892832391</v>
          </cell>
          <cell r="AC11">
            <v>0.78496592390478281</v>
          </cell>
        </row>
        <row r="12">
          <cell r="Z12">
            <v>7.5536505073589666E-2</v>
          </cell>
          <cell r="AA12">
            <v>-0.13579399457356706</v>
          </cell>
          <cell r="AB12">
            <v>2.7552468646949914E-2</v>
          </cell>
          <cell r="AC12">
            <v>0.12637643442142221</v>
          </cell>
        </row>
        <row r="15">
          <cell r="Z15">
            <v>0.31269537248732115</v>
          </cell>
          <cell r="AA15">
            <v>1.7023347753413136</v>
          </cell>
          <cell r="AB15">
            <v>1.0141659786741901</v>
          </cell>
          <cell r="AC15">
            <v>0.85073522825240266</v>
          </cell>
        </row>
        <row r="18">
          <cell r="Z18">
            <v>6.3021864556069562E-2</v>
          </cell>
          <cell r="AA18">
            <v>0.16324618589482531</v>
          </cell>
          <cell r="AB18">
            <v>-6.8283335100915998E-4</v>
          </cell>
          <cell r="AC18">
            <v>-6.5663441622509922E-4</v>
          </cell>
        </row>
        <row r="24">
          <cell r="Z24">
            <v>0.97648294874028296</v>
          </cell>
          <cell r="AA24">
            <v>-0.74049995918843903</v>
          </cell>
          <cell r="AB24">
            <v>-5.0491312772337989E-2</v>
          </cell>
          <cell r="AC24">
            <v>-0.21601100835621956</v>
          </cell>
        </row>
        <row r="26">
          <cell r="Z26">
            <v>-0.13364554140228735</v>
          </cell>
          <cell r="AA26">
            <v>2.2774713422299429</v>
          </cell>
          <cell r="AB26">
            <v>1.8290606828984448</v>
          </cell>
          <cell r="AC26">
            <v>1.7614209521623827</v>
          </cell>
        </row>
      </sheetData>
      <sheetData sheetId="36">
        <row r="61">
          <cell r="AS61">
            <v>5.9148010675595009</v>
          </cell>
          <cell r="AT61">
            <v>4.9988601455671482</v>
          </cell>
          <cell r="AU61">
            <v>5.0716189624804482</v>
          </cell>
          <cell r="AV61">
            <v>4.5096496597327835</v>
          </cell>
        </row>
      </sheetData>
      <sheetData sheetId="37">
        <row r="58">
          <cell r="L58">
            <v>1.0773255208053314</v>
          </cell>
          <cell r="M58">
            <v>2.3778429924675493E-2</v>
          </cell>
          <cell r="N58">
            <v>0.29064547724190959</v>
          </cell>
          <cell r="O58">
            <v>-5.7415042327747301E-2</v>
          </cell>
        </row>
        <row r="79">
          <cell r="L79">
            <v>8665</v>
          </cell>
          <cell r="M79">
            <v>7531.3124249999964</v>
          </cell>
          <cell r="N79">
            <v>8187.168593742841</v>
          </cell>
          <cell r="O79">
            <v>7800.4322451753833</v>
          </cell>
        </row>
        <row r="107">
          <cell r="L107">
            <v>1.0351937483808462</v>
          </cell>
          <cell r="M107">
            <v>0.40506708103091393</v>
          </cell>
          <cell r="N107">
            <v>0.51528519348646662</v>
          </cell>
          <cell r="O107">
            <v>0.20933274176050254</v>
          </cell>
        </row>
        <row r="129">
          <cell r="L129">
            <v>1.1973752852372219</v>
          </cell>
          <cell r="M129">
            <v>0.56109450173767528</v>
          </cell>
          <cell r="N129">
            <v>0.66532615759503599</v>
          </cell>
          <cell r="O129">
            <v>0.35355977002183359</v>
          </cell>
        </row>
      </sheetData>
      <sheetData sheetId="38">
        <row r="144">
          <cell r="D144" t="str">
            <v>kdata!$L$3:$AK$3</v>
          </cell>
          <cell r="E144" t="str">
            <v>kdata!$L$144:$AK$144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9">
          <cell r="AC19">
            <v>281783</v>
          </cell>
          <cell r="AD19">
            <v>292897.23430017487</v>
          </cell>
          <cell r="AE19">
            <v>304583.4867265416</v>
          </cell>
          <cell r="AF19">
            <v>316861.55189438153</v>
          </cell>
        </row>
        <row r="27">
          <cell r="BG27">
            <v>1.1866251881716749</v>
          </cell>
          <cell r="BH27">
            <v>2.3708424012895968</v>
          </cell>
          <cell r="BI27">
            <v>2.172669645590708</v>
          </cell>
          <cell r="BJ27">
            <v>2.447860651238698</v>
          </cell>
        </row>
      </sheetData>
      <sheetData sheetId="54"/>
      <sheetData sheetId="55"/>
      <sheetData sheetId="56"/>
      <sheetData sheetId="5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1"/>
      <sheetName val="LAARI"/>
      <sheetName val="LAARI2"/>
      <sheetName val="LAARI3"/>
      <sheetName val="SYÖTTÖ"/>
      <sheetName val="OLETs"/>
      <sheetName val="MUUs"/>
      <sheetName val="ARLs"/>
      <sheetName val="VARTTIs"/>
      <sheetName val="TUs"/>
      <sheetName val="KULs"/>
      <sheetName val="TYÖLs"/>
      <sheetName val="JULs"/>
      <sheetName val="INVs"/>
      <sheetName val="ULKs"/>
      <sheetName val="KOTs"/>
      <sheetName val="VTYs"/>
      <sheetName val="KOTVs"/>
      <sheetName val="YRIs"/>
      <sheetName val="ASOs"/>
      <sheetName val="RAHs"/>
      <sheetName val="KOTIMs"/>
      <sheetName val="KOKOOMA"/>
      <sheetName val="BKTk"/>
      <sheetName val="KTUk"/>
      <sheetName val="TUTYk"/>
      <sheetName val="MUUk"/>
      <sheetName val="OUTPUT"/>
      <sheetName val="OSUIND"/>
      <sheetName val="MUUTOS"/>
      <sheetName val="Keskim.Kasvu"/>
      <sheetName val="KOENNt"/>
      <sheetName val="TAULUT"/>
      <sheetName val="VERT"/>
      <sheetName val="Q.E"/>
      <sheetName val="OLET"/>
      <sheetName val="HTASE-2"/>
      <sheetName val="HTASE-1"/>
      <sheetName val="HTASE 0"/>
      <sheetName val="HTASE+1"/>
      <sheetName val="HTASE+2"/>
      <sheetName val="ARVONL"/>
      <sheetName val="haarukointia"/>
      <sheetName val="MUUTOST"/>
      <sheetName val="VARTTIt"/>
      <sheetName val="KONTR"/>
      <sheetName val="OSUUS"/>
      <sheetName val="TYTASE"/>
      <sheetName val="HINNAT"/>
      <sheetName val="KUL"/>
      <sheetName val="INV"/>
      <sheetName val="MTASE"/>
      <sheetName val="BKTTASO"/>
      <sheetName val="KTULO"/>
      <sheetName val="TULOTR"/>
      <sheetName val="KUTANEK"/>
      <sheetName val="KELA"/>
      <sheetName val="KKOT"/>
      <sheetName val="RTP"/>
      <sheetName val="Tarj&amp;kys90=100(internenet)"/>
      <sheetName val="T0A"/>
      <sheetName val="T1A"/>
      <sheetName val="T3A"/>
      <sheetName val="T4A"/>
      <sheetName val="T5A"/>
      <sheetName val="T6A"/>
      <sheetName val="T7A"/>
      <sheetName val="T8A"/>
      <sheetName val="T10A"/>
      <sheetName val="TE11A"/>
      <sheetName val="T12A"/>
      <sheetName val="OECDfin"/>
      <sheetName val="T0S"/>
      <sheetName val="T1S"/>
      <sheetName val="T3S"/>
      <sheetName val="T4S"/>
      <sheetName val="T5S"/>
      <sheetName val="T6S"/>
      <sheetName val="T7S"/>
      <sheetName val="T8S"/>
      <sheetName val="T9S"/>
      <sheetName val="T10S"/>
      <sheetName val="TE11S"/>
      <sheetName val="T12S"/>
      <sheetName val="KPAV data"/>
      <sheetName val="KUVIOT"/>
      <sheetName val="data"/>
      <sheetName val="@Q"/>
      <sheetName val="@BKT_m"/>
      <sheetName val="@BKT_t"/>
      <sheetName val="KYTA"/>
      <sheetName val="KYTAm"/>
      <sheetName val="SV"/>
      <sheetName val="TV"/>
      <sheetName val="Pk"/>
      <sheetName val="Mak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3">
          <cell r="C33" t="str">
            <v>Suomen vientimarkkinat</v>
          </cell>
        </row>
      </sheetData>
      <sheetData sheetId="6" refreshError="1"/>
      <sheetData sheetId="7">
        <row r="34">
          <cell r="F34">
            <v>189173</v>
          </cell>
        </row>
      </sheetData>
      <sheetData sheetId="8" refreshError="1"/>
      <sheetData sheetId="9">
        <row r="47">
          <cell r="E47">
            <v>41877</v>
          </cell>
        </row>
      </sheetData>
      <sheetData sheetId="10" refreshError="1"/>
      <sheetData sheetId="11">
        <row r="189">
          <cell r="E189">
            <v>2537.6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8">
          <cell r="C68">
            <v>81283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>
        <row r="14">
          <cell r="H14" t="str">
            <v>Valitse_kytam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lkoisetTiedot_1" backgroundRefresh="0" connectionId="1" xr16:uid="{AE380DB1-2615-4B1E-AF96-816FA36C1395}" autoFormatId="16" applyNumberFormats="0" applyBorderFormats="0" applyFontFormats="0" applyPatternFormats="0" applyAlignmentFormats="0" applyWidthHeightFormats="0">
  <queryTableRefresh nextId="21">
    <queryTableFields count="9">
      <queryTableField id="1" name="Vuosi" tableColumnId="1"/>
      <queryTableField id="2" name="TaloustoimiKoodi" tableColumnId="2"/>
      <queryTableField id="9" name="HintaKoodi" tableColumnId="9"/>
      <queryTableField id="6" name="ToimialaKoodi" tableColumnId="6"/>
      <queryTableField id="4" name="SektoriKoodi" tableColumnId="4"/>
      <queryTableField id="12" name="Arvo" tableColumnId="12"/>
      <queryTableField id="3" name="TaloustoimiNimi" tableColumnId="3"/>
      <queryTableField id="8" name="KausitasoitusKoodi" tableColumnId="8"/>
      <queryTableField id="11" name="Yksikkö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6F6FE8-B0D4-4358-9A9C-1C6D8B03D8A3}" name="OraakkelinDatat" displayName="OraakkelinDatat" ref="A1:I10144" tableType="queryTable" totalsRowShown="0">
  <autoFilter ref="A1:I10144" xr:uid="{B37B7C53-362B-4F8F-AA22-B31A97B797A5}">
    <filterColumn colId="0">
      <filters>
        <filter val="2026"/>
      </filters>
    </filterColumn>
    <filterColumn colId="1">
      <filters>
        <filter val="P51K_N113_N114"/>
      </filters>
    </filterColumn>
  </autoFilter>
  <tableColumns count="9">
    <tableColumn id="1" xr3:uid="{D7CDFC75-AFAD-4F7E-AAB0-3AF519B7E4AE}" uniqueName="1" name="Vuosi" queryTableFieldId="1"/>
    <tableColumn id="2" xr3:uid="{51211D97-AC64-43C4-BE8F-8B721D9222E4}" uniqueName="2" name="TaloustoimiKoodi" queryTableFieldId="2" dataDxfId="5"/>
    <tableColumn id="9" xr3:uid="{60E7BFE5-8B81-4D7C-AD29-24232C95DCD7}" uniqueName="9" name="HintaKoodi" queryTableFieldId="9" dataDxfId="4"/>
    <tableColumn id="6" xr3:uid="{AAF88828-E38D-419F-8767-9AE50F9EB152}" uniqueName="6" name="ToimialaKoodi" queryTableFieldId="6" dataDxfId="3"/>
    <tableColumn id="4" xr3:uid="{87784970-85F0-40CB-A63A-D6094DD7EB8E}" uniqueName="4" name="SektoriKoodi" queryTableFieldId="4" dataDxfId="2"/>
    <tableColumn id="12" xr3:uid="{979F7AC3-ACC0-4D1C-B179-BF2EF22FEB72}" uniqueName="12" name="Arvo" queryTableFieldId="12"/>
    <tableColumn id="3" xr3:uid="{5EF71955-1860-4D01-95F1-A8767DD39F1E}" uniqueName="3" name="TaloustoimiNimi" queryTableFieldId="3" dataDxfId="1"/>
    <tableColumn id="8" xr3:uid="{36FDCF16-7EFB-411E-BCF5-0F603E029404}" uniqueName="8" name="KausitasoitusKoodi" queryTableFieldId="8"/>
    <tableColumn id="11" xr3:uid="{40B9481B-453A-43E1-9927-051BF47B9BE8}" uniqueName="11" name="Yksikkö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706B-BB7B-4A4E-B69F-B4E23089A4CE}">
  <sheetPr codeName="Taul1">
    <tabColor rgb="FFFFFF00"/>
  </sheetPr>
  <dimension ref="A1:I10144"/>
  <sheetViews>
    <sheetView workbookViewId="0">
      <selection activeCell="C7474" sqref="C7474"/>
    </sheetView>
  </sheetViews>
  <sheetFormatPr defaultRowHeight="15" x14ac:dyDescent="0.25"/>
  <cols>
    <col min="1" max="1" width="8.28515625" bestFit="1" customWidth="1"/>
    <col min="2" max="2" width="19" bestFit="1" customWidth="1"/>
    <col min="3" max="3" width="18.7109375" bestFit="1" customWidth="1"/>
    <col min="4" max="4" width="21" bestFit="1" customWidth="1"/>
    <col min="5" max="5" width="14.7109375" bestFit="1" customWidth="1"/>
    <col min="6" max="6" width="12.7109375" bestFit="1" customWidth="1"/>
    <col min="7" max="7" width="70.85546875" bestFit="1" customWidth="1"/>
    <col min="8" max="8" width="20.42578125" bestFit="1" customWidth="1"/>
    <col min="9" max="9" width="13.28515625" bestFit="1" customWidth="1"/>
    <col min="10" max="10" width="20.42578125" bestFit="1" customWidth="1"/>
    <col min="11" max="11" width="49.7109375" bestFit="1" customWidth="1"/>
    <col min="12" max="12" width="13.28515625" bestFit="1" customWidth="1"/>
    <col min="13" max="13" width="8.5703125" bestFit="1" customWidth="1"/>
    <col min="14" max="14" width="9" bestFit="1" customWidth="1"/>
    <col min="15" max="15" width="10.85546875" bestFit="1" customWidth="1"/>
    <col min="16" max="16" width="13.28515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5</v>
      </c>
      <c r="H1" t="s">
        <v>6</v>
      </c>
      <c r="I1" t="s">
        <v>7</v>
      </c>
    </row>
    <row r="2" spans="1:9" hidden="1" x14ac:dyDescent="0.25">
      <c r="A2">
        <v>1990</v>
      </c>
      <c r="B2" s="140" t="s">
        <v>94</v>
      </c>
      <c r="C2" s="140" t="s">
        <v>82</v>
      </c>
      <c r="D2" s="140" t="s">
        <v>11</v>
      </c>
      <c r="E2" s="140" t="s">
        <v>12</v>
      </c>
      <c r="F2">
        <v>6.1</v>
      </c>
      <c r="G2" s="140" t="s">
        <v>95</v>
      </c>
      <c r="H2">
        <v>0</v>
      </c>
      <c r="I2" s="140" t="s">
        <v>14</v>
      </c>
    </row>
    <row r="3" spans="1:9" hidden="1" x14ac:dyDescent="0.25">
      <c r="A3">
        <v>1991</v>
      </c>
      <c r="B3" s="140" t="s">
        <v>94</v>
      </c>
      <c r="C3" s="140" t="s">
        <v>82</v>
      </c>
      <c r="D3" s="140" t="s">
        <v>11</v>
      </c>
      <c r="E3" s="140" t="s">
        <v>12</v>
      </c>
      <c r="F3">
        <v>4.0999999999999996</v>
      </c>
      <c r="G3" s="140" t="s">
        <v>95</v>
      </c>
      <c r="H3">
        <v>0</v>
      </c>
      <c r="I3" s="140" t="s">
        <v>14</v>
      </c>
    </row>
    <row r="4" spans="1:9" hidden="1" x14ac:dyDescent="0.25">
      <c r="A4">
        <v>1992</v>
      </c>
      <c r="B4" s="140" t="s">
        <v>94</v>
      </c>
      <c r="C4" s="140" t="s">
        <v>82</v>
      </c>
      <c r="D4" s="140" t="s">
        <v>11</v>
      </c>
      <c r="E4" s="140" t="s">
        <v>12</v>
      </c>
      <c r="F4">
        <v>2.6</v>
      </c>
      <c r="G4" s="140" t="s">
        <v>95</v>
      </c>
      <c r="H4">
        <v>0</v>
      </c>
      <c r="I4" s="140" t="s">
        <v>14</v>
      </c>
    </row>
    <row r="5" spans="1:9" hidden="1" x14ac:dyDescent="0.25">
      <c r="A5">
        <v>1993</v>
      </c>
      <c r="B5" s="140" t="s">
        <v>94</v>
      </c>
      <c r="C5" s="140" t="s">
        <v>82</v>
      </c>
      <c r="D5" s="140" t="s">
        <v>11</v>
      </c>
      <c r="E5" s="140" t="s">
        <v>12</v>
      </c>
      <c r="F5">
        <v>2.2000000000000002</v>
      </c>
      <c r="G5" s="140" t="s">
        <v>95</v>
      </c>
      <c r="H5">
        <v>0</v>
      </c>
      <c r="I5" s="140" t="s">
        <v>14</v>
      </c>
    </row>
    <row r="6" spans="1:9" hidden="1" x14ac:dyDescent="0.25">
      <c r="A6">
        <v>1994</v>
      </c>
      <c r="B6" s="140" t="s">
        <v>94</v>
      </c>
      <c r="C6" s="140" t="s">
        <v>82</v>
      </c>
      <c r="D6" s="140" t="s">
        <v>11</v>
      </c>
      <c r="E6" s="140" t="s">
        <v>12</v>
      </c>
      <c r="F6">
        <v>1.1000000000000001</v>
      </c>
      <c r="G6" s="140" t="s">
        <v>95</v>
      </c>
      <c r="H6">
        <v>0</v>
      </c>
      <c r="I6" s="140" t="s">
        <v>14</v>
      </c>
    </row>
    <row r="7" spans="1:9" hidden="1" x14ac:dyDescent="0.25">
      <c r="A7">
        <v>1995</v>
      </c>
      <c r="B7" s="140" t="s">
        <v>94</v>
      </c>
      <c r="C7" s="140" t="s">
        <v>82</v>
      </c>
      <c r="D7" s="140" t="s">
        <v>11</v>
      </c>
      <c r="E7" s="140" t="s">
        <v>12</v>
      </c>
      <c r="F7">
        <v>1</v>
      </c>
      <c r="G7" s="140" t="s">
        <v>95</v>
      </c>
      <c r="H7">
        <v>0</v>
      </c>
      <c r="I7" s="140" t="s">
        <v>14</v>
      </c>
    </row>
    <row r="8" spans="1:9" hidden="1" x14ac:dyDescent="0.25">
      <c r="A8">
        <v>1996</v>
      </c>
      <c r="B8" s="140" t="s">
        <v>94</v>
      </c>
      <c r="C8" s="140" t="s">
        <v>82</v>
      </c>
      <c r="D8" s="140" t="s">
        <v>11</v>
      </c>
      <c r="E8" s="140" t="s">
        <v>12</v>
      </c>
      <c r="F8">
        <v>0.6</v>
      </c>
      <c r="G8" s="140" t="s">
        <v>95</v>
      </c>
      <c r="H8">
        <v>0</v>
      </c>
      <c r="I8" s="140" t="s">
        <v>14</v>
      </c>
    </row>
    <row r="9" spans="1:9" hidden="1" x14ac:dyDescent="0.25">
      <c r="A9">
        <v>1997</v>
      </c>
      <c r="B9" s="140" t="s">
        <v>94</v>
      </c>
      <c r="C9" s="140" t="s">
        <v>82</v>
      </c>
      <c r="D9" s="140" t="s">
        <v>11</v>
      </c>
      <c r="E9" s="140" t="s">
        <v>12</v>
      </c>
      <c r="F9">
        <v>1.2</v>
      </c>
      <c r="G9" s="140" t="s">
        <v>95</v>
      </c>
      <c r="H9">
        <v>0</v>
      </c>
      <c r="I9" s="140" t="s">
        <v>14</v>
      </c>
    </row>
    <row r="10" spans="1:9" hidden="1" x14ac:dyDescent="0.25">
      <c r="A10">
        <v>1998</v>
      </c>
      <c r="B10" s="140" t="s">
        <v>94</v>
      </c>
      <c r="C10" s="140" t="s">
        <v>82</v>
      </c>
      <c r="D10" s="140" t="s">
        <v>11</v>
      </c>
      <c r="E10" s="140" t="s">
        <v>12</v>
      </c>
      <c r="F10">
        <v>1.4</v>
      </c>
      <c r="G10" s="140" t="s">
        <v>95</v>
      </c>
      <c r="H10">
        <v>0</v>
      </c>
      <c r="I10" s="140" t="s">
        <v>14</v>
      </c>
    </row>
    <row r="11" spans="1:9" hidden="1" x14ac:dyDescent="0.25">
      <c r="A11">
        <v>1999</v>
      </c>
      <c r="B11" s="140" t="s">
        <v>94</v>
      </c>
      <c r="C11" s="140" t="s">
        <v>82</v>
      </c>
      <c r="D11" s="140" t="s">
        <v>11</v>
      </c>
      <c r="E11" s="140" t="s">
        <v>12</v>
      </c>
      <c r="F11">
        <v>1.2</v>
      </c>
      <c r="G11" s="140" t="s">
        <v>95</v>
      </c>
      <c r="H11">
        <v>0</v>
      </c>
      <c r="I11" s="140" t="s">
        <v>14</v>
      </c>
    </row>
    <row r="12" spans="1:9" hidden="1" x14ac:dyDescent="0.25">
      <c r="A12">
        <v>2000</v>
      </c>
      <c r="B12" s="140" t="s">
        <v>94</v>
      </c>
      <c r="C12" s="140" t="s">
        <v>82</v>
      </c>
      <c r="D12" s="140" t="s">
        <v>11</v>
      </c>
      <c r="E12" s="140" t="s">
        <v>12</v>
      </c>
      <c r="F12">
        <v>3.4</v>
      </c>
      <c r="G12" s="140" t="s">
        <v>95</v>
      </c>
      <c r="H12">
        <v>0</v>
      </c>
      <c r="I12" s="140" t="s">
        <v>14</v>
      </c>
    </row>
    <row r="13" spans="1:9" hidden="1" x14ac:dyDescent="0.25">
      <c r="A13">
        <v>2001</v>
      </c>
      <c r="B13" s="140" t="s">
        <v>94</v>
      </c>
      <c r="C13" s="140" t="s">
        <v>82</v>
      </c>
      <c r="D13" s="140" t="s">
        <v>11</v>
      </c>
      <c r="E13" s="140" t="s">
        <v>12</v>
      </c>
      <c r="F13">
        <v>2.6</v>
      </c>
      <c r="G13" s="140" t="s">
        <v>95</v>
      </c>
      <c r="H13">
        <v>0</v>
      </c>
      <c r="I13" s="140" t="s">
        <v>14</v>
      </c>
    </row>
    <row r="14" spans="1:9" hidden="1" x14ac:dyDescent="0.25">
      <c r="A14">
        <v>2002</v>
      </c>
      <c r="B14" s="140" t="s">
        <v>94</v>
      </c>
      <c r="C14" s="140" t="s">
        <v>82</v>
      </c>
      <c r="D14" s="140" t="s">
        <v>11</v>
      </c>
      <c r="E14" s="140" t="s">
        <v>12</v>
      </c>
      <c r="F14">
        <v>1.6</v>
      </c>
      <c r="G14" s="140" t="s">
        <v>95</v>
      </c>
      <c r="H14">
        <v>0</v>
      </c>
      <c r="I14" s="140" t="s">
        <v>14</v>
      </c>
    </row>
    <row r="15" spans="1:9" hidden="1" x14ac:dyDescent="0.25">
      <c r="A15">
        <v>2003</v>
      </c>
      <c r="B15" s="140" t="s">
        <v>94</v>
      </c>
      <c r="C15" s="140" t="s">
        <v>82</v>
      </c>
      <c r="D15" s="140" t="s">
        <v>11</v>
      </c>
      <c r="E15" s="140" t="s">
        <v>12</v>
      </c>
      <c r="F15">
        <v>0.9</v>
      </c>
      <c r="G15" s="140" t="s">
        <v>95</v>
      </c>
      <c r="H15">
        <v>0</v>
      </c>
      <c r="I15" s="140" t="s">
        <v>14</v>
      </c>
    </row>
    <row r="16" spans="1:9" hidden="1" x14ac:dyDescent="0.25">
      <c r="A16">
        <v>2004</v>
      </c>
      <c r="B16" s="140" t="s">
        <v>94</v>
      </c>
      <c r="C16" s="140" t="s">
        <v>82</v>
      </c>
      <c r="D16" s="140" t="s">
        <v>11</v>
      </c>
      <c r="E16" s="140" t="s">
        <v>12</v>
      </c>
      <c r="F16">
        <v>0.2</v>
      </c>
      <c r="G16" s="140" t="s">
        <v>95</v>
      </c>
      <c r="H16">
        <v>0</v>
      </c>
      <c r="I16" s="140" t="s">
        <v>14</v>
      </c>
    </row>
    <row r="17" spans="1:9" hidden="1" x14ac:dyDescent="0.25">
      <c r="A17">
        <v>2005</v>
      </c>
      <c r="B17" s="140" t="s">
        <v>94</v>
      </c>
      <c r="C17" s="140" t="s">
        <v>82</v>
      </c>
      <c r="D17" s="140" t="s">
        <v>11</v>
      </c>
      <c r="E17" s="140" t="s">
        <v>12</v>
      </c>
      <c r="F17">
        <v>0.9</v>
      </c>
      <c r="G17" s="140" t="s">
        <v>95</v>
      </c>
      <c r="H17">
        <v>0</v>
      </c>
      <c r="I17" s="140" t="s">
        <v>14</v>
      </c>
    </row>
    <row r="18" spans="1:9" hidden="1" x14ac:dyDescent="0.25">
      <c r="A18">
        <v>2006</v>
      </c>
      <c r="B18" s="140" t="s">
        <v>94</v>
      </c>
      <c r="C18" s="140" t="s">
        <v>82</v>
      </c>
      <c r="D18" s="140" t="s">
        <v>11</v>
      </c>
      <c r="E18" s="140" t="s">
        <v>12</v>
      </c>
      <c r="F18">
        <v>1.6</v>
      </c>
      <c r="G18" s="140" t="s">
        <v>95</v>
      </c>
      <c r="H18">
        <v>0</v>
      </c>
      <c r="I18" s="140" t="s">
        <v>14</v>
      </c>
    </row>
    <row r="19" spans="1:9" hidden="1" x14ac:dyDescent="0.25">
      <c r="A19">
        <v>2007</v>
      </c>
      <c r="B19" s="140" t="s">
        <v>94</v>
      </c>
      <c r="C19" s="140" t="s">
        <v>82</v>
      </c>
      <c r="D19" s="140" t="s">
        <v>11</v>
      </c>
      <c r="E19" s="140" t="s">
        <v>12</v>
      </c>
      <c r="F19">
        <v>2.5</v>
      </c>
      <c r="G19" s="140" t="s">
        <v>95</v>
      </c>
      <c r="H19">
        <v>0</v>
      </c>
      <c r="I19" s="140" t="s">
        <v>14</v>
      </c>
    </row>
    <row r="20" spans="1:9" hidden="1" x14ac:dyDescent="0.25">
      <c r="A20">
        <v>2008</v>
      </c>
      <c r="B20" s="140" t="s">
        <v>94</v>
      </c>
      <c r="C20" s="140" t="s">
        <v>82</v>
      </c>
      <c r="D20" s="140" t="s">
        <v>11</v>
      </c>
      <c r="E20" s="140" t="s">
        <v>12</v>
      </c>
      <c r="F20">
        <v>4.0999999999999996</v>
      </c>
      <c r="G20" s="140" t="s">
        <v>95</v>
      </c>
      <c r="H20">
        <v>0</v>
      </c>
      <c r="I20" s="140" t="s">
        <v>14</v>
      </c>
    </row>
    <row r="21" spans="1:9" hidden="1" x14ac:dyDescent="0.25">
      <c r="A21">
        <v>2009</v>
      </c>
      <c r="B21" s="140" t="s">
        <v>94</v>
      </c>
      <c r="C21" s="140" t="s">
        <v>82</v>
      </c>
      <c r="D21" s="140" t="s">
        <v>11</v>
      </c>
      <c r="E21" s="140" t="s">
        <v>12</v>
      </c>
      <c r="F21">
        <v>0</v>
      </c>
      <c r="G21" s="140" t="s">
        <v>95</v>
      </c>
      <c r="H21">
        <v>0</v>
      </c>
      <c r="I21" s="140" t="s">
        <v>14</v>
      </c>
    </row>
    <row r="22" spans="1:9" hidden="1" x14ac:dyDescent="0.25">
      <c r="A22">
        <v>2010</v>
      </c>
      <c r="B22" s="140" t="s">
        <v>94</v>
      </c>
      <c r="C22" s="140" t="s">
        <v>82</v>
      </c>
      <c r="D22" s="140" t="s">
        <v>11</v>
      </c>
      <c r="E22" s="140" t="s">
        <v>12</v>
      </c>
      <c r="F22">
        <v>1.2</v>
      </c>
      <c r="G22" s="140" t="s">
        <v>95</v>
      </c>
      <c r="H22">
        <v>0</v>
      </c>
      <c r="I22" s="140" t="s">
        <v>14</v>
      </c>
    </row>
    <row r="23" spans="1:9" hidden="1" x14ac:dyDescent="0.25">
      <c r="A23">
        <v>2011</v>
      </c>
      <c r="B23" s="140" t="s">
        <v>94</v>
      </c>
      <c r="C23" s="140" t="s">
        <v>82</v>
      </c>
      <c r="D23" s="140" t="s">
        <v>11</v>
      </c>
      <c r="E23" s="140" t="s">
        <v>12</v>
      </c>
      <c r="F23">
        <v>3.4</v>
      </c>
      <c r="G23" s="140" t="s">
        <v>95</v>
      </c>
      <c r="H23">
        <v>0</v>
      </c>
      <c r="I23" s="140" t="s">
        <v>14</v>
      </c>
    </row>
    <row r="24" spans="1:9" hidden="1" x14ac:dyDescent="0.25">
      <c r="A24">
        <v>2012</v>
      </c>
      <c r="B24" s="140" t="s">
        <v>94</v>
      </c>
      <c r="C24" s="140" t="s">
        <v>82</v>
      </c>
      <c r="D24" s="140" t="s">
        <v>11</v>
      </c>
      <c r="E24" s="140" t="s">
        <v>12</v>
      </c>
      <c r="F24">
        <v>2.8</v>
      </c>
      <c r="G24" s="140" t="s">
        <v>95</v>
      </c>
      <c r="H24">
        <v>0</v>
      </c>
      <c r="I24" s="140" t="s">
        <v>14</v>
      </c>
    </row>
    <row r="25" spans="1:9" hidden="1" x14ac:dyDescent="0.25">
      <c r="A25">
        <v>2013</v>
      </c>
      <c r="B25" s="140" t="s">
        <v>94</v>
      </c>
      <c r="C25" s="140" t="s">
        <v>82</v>
      </c>
      <c r="D25" s="140" t="s">
        <v>11</v>
      </c>
      <c r="E25" s="140" t="s">
        <v>12</v>
      </c>
      <c r="F25">
        <v>1.5</v>
      </c>
      <c r="G25" s="140" t="s">
        <v>95</v>
      </c>
      <c r="H25">
        <v>0</v>
      </c>
      <c r="I25" s="140" t="s">
        <v>14</v>
      </c>
    </row>
    <row r="26" spans="1:9" hidden="1" x14ac:dyDescent="0.25">
      <c r="A26">
        <v>2014</v>
      </c>
      <c r="B26" s="140" t="s">
        <v>94</v>
      </c>
      <c r="C26" s="140" t="s">
        <v>82</v>
      </c>
      <c r="D26" s="140" t="s">
        <v>11</v>
      </c>
      <c r="E26" s="140" t="s">
        <v>12</v>
      </c>
      <c r="F26">
        <v>1</v>
      </c>
      <c r="G26" s="140" t="s">
        <v>95</v>
      </c>
      <c r="H26">
        <v>0</v>
      </c>
      <c r="I26" s="140" t="s">
        <v>14</v>
      </c>
    </row>
    <row r="27" spans="1:9" hidden="1" x14ac:dyDescent="0.25">
      <c r="A27">
        <v>2015</v>
      </c>
      <c r="B27" s="140" t="s">
        <v>94</v>
      </c>
      <c r="C27" s="140" t="s">
        <v>82</v>
      </c>
      <c r="D27" s="140" t="s">
        <v>11</v>
      </c>
      <c r="E27" s="140" t="s">
        <v>12</v>
      </c>
      <c r="F27">
        <v>-0.2</v>
      </c>
      <c r="G27" s="140" t="s">
        <v>95</v>
      </c>
      <c r="H27">
        <v>0</v>
      </c>
      <c r="I27" s="140" t="s">
        <v>14</v>
      </c>
    </row>
    <row r="28" spans="1:9" hidden="1" x14ac:dyDescent="0.25">
      <c r="A28">
        <v>2016</v>
      </c>
      <c r="B28" s="140" t="s">
        <v>94</v>
      </c>
      <c r="C28" s="140" t="s">
        <v>82</v>
      </c>
      <c r="D28" s="140" t="s">
        <v>11</v>
      </c>
      <c r="E28" s="140" t="s">
        <v>12</v>
      </c>
      <c r="F28">
        <v>0.4</v>
      </c>
      <c r="G28" s="140" t="s">
        <v>95</v>
      </c>
      <c r="H28">
        <v>0</v>
      </c>
      <c r="I28" s="140" t="s">
        <v>14</v>
      </c>
    </row>
    <row r="29" spans="1:9" hidden="1" x14ac:dyDescent="0.25">
      <c r="A29">
        <v>2017</v>
      </c>
      <c r="B29" s="140" t="s">
        <v>94</v>
      </c>
      <c r="C29" s="140" t="s">
        <v>82</v>
      </c>
      <c r="D29" s="140" t="s">
        <v>11</v>
      </c>
      <c r="E29" s="140" t="s">
        <v>12</v>
      </c>
      <c r="F29">
        <v>0.7</v>
      </c>
      <c r="G29" s="140" t="s">
        <v>95</v>
      </c>
      <c r="H29">
        <v>0</v>
      </c>
      <c r="I29" s="140" t="s">
        <v>14</v>
      </c>
    </row>
    <row r="30" spans="1:9" hidden="1" x14ac:dyDescent="0.25">
      <c r="A30">
        <v>2018</v>
      </c>
      <c r="B30" s="140" t="s">
        <v>94</v>
      </c>
      <c r="C30" s="140" t="s">
        <v>82</v>
      </c>
      <c r="D30" s="140" t="s">
        <v>11</v>
      </c>
      <c r="E30" s="140" t="s">
        <v>12</v>
      </c>
      <c r="F30">
        <v>1.1000000000000001</v>
      </c>
      <c r="G30" s="140" t="s">
        <v>95</v>
      </c>
      <c r="H30">
        <v>0</v>
      </c>
      <c r="I30" s="140" t="s">
        <v>14</v>
      </c>
    </row>
    <row r="31" spans="1:9" hidden="1" x14ac:dyDescent="0.25">
      <c r="A31">
        <v>2019</v>
      </c>
      <c r="B31" s="140" t="s">
        <v>94</v>
      </c>
      <c r="C31" s="140" t="s">
        <v>82</v>
      </c>
      <c r="D31" s="140" t="s">
        <v>11</v>
      </c>
      <c r="E31" s="140" t="s">
        <v>12</v>
      </c>
      <c r="F31">
        <v>1</v>
      </c>
      <c r="G31" s="140" t="s">
        <v>95</v>
      </c>
      <c r="H31">
        <v>0</v>
      </c>
      <c r="I31" s="140" t="s">
        <v>14</v>
      </c>
    </row>
    <row r="32" spans="1:9" hidden="1" x14ac:dyDescent="0.25">
      <c r="A32">
        <v>2020</v>
      </c>
      <c r="B32" s="140" t="s">
        <v>94</v>
      </c>
      <c r="C32" s="140" t="s">
        <v>82</v>
      </c>
      <c r="D32" s="140" t="s">
        <v>11</v>
      </c>
      <c r="E32" s="140" t="s">
        <v>12</v>
      </c>
      <c r="F32">
        <v>0.3</v>
      </c>
      <c r="G32" s="140" t="s">
        <v>95</v>
      </c>
      <c r="H32">
        <v>0</v>
      </c>
      <c r="I32" s="140" t="s">
        <v>14</v>
      </c>
    </row>
    <row r="33" spans="1:9" hidden="1" x14ac:dyDescent="0.25">
      <c r="A33">
        <v>2021</v>
      </c>
      <c r="B33" s="140" t="s">
        <v>94</v>
      </c>
      <c r="C33" s="140" t="s">
        <v>82</v>
      </c>
      <c r="D33" s="140" t="s">
        <v>11</v>
      </c>
      <c r="E33" s="140" t="s">
        <v>12</v>
      </c>
      <c r="F33">
        <v>2.2000000000000002</v>
      </c>
      <c r="G33" s="140" t="s">
        <v>95</v>
      </c>
      <c r="H33">
        <v>0</v>
      </c>
      <c r="I33" s="140" t="s">
        <v>14</v>
      </c>
    </row>
    <row r="34" spans="1:9" hidden="1" x14ac:dyDescent="0.25">
      <c r="A34">
        <v>2022</v>
      </c>
      <c r="B34" s="140" t="s">
        <v>94</v>
      </c>
      <c r="C34" s="140" t="s">
        <v>82</v>
      </c>
      <c r="D34" s="140" t="s">
        <v>11</v>
      </c>
      <c r="E34" s="140" t="s">
        <v>12</v>
      </c>
      <c r="F34">
        <v>7.1</v>
      </c>
      <c r="G34" s="140" t="s">
        <v>95</v>
      </c>
      <c r="H34">
        <v>0</v>
      </c>
      <c r="I34" s="140" t="s">
        <v>14</v>
      </c>
    </row>
    <row r="35" spans="1:9" hidden="1" x14ac:dyDescent="0.25">
      <c r="A35">
        <v>2023</v>
      </c>
      <c r="B35" s="140" t="s">
        <v>94</v>
      </c>
      <c r="C35" s="140" t="s">
        <v>82</v>
      </c>
      <c r="D35" s="140" t="s">
        <v>11</v>
      </c>
      <c r="E35" s="140" t="s">
        <v>12</v>
      </c>
      <c r="F35">
        <v>6.2</v>
      </c>
      <c r="G35" s="140" t="s">
        <v>95</v>
      </c>
      <c r="H35">
        <v>0</v>
      </c>
      <c r="I35" s="140" t="s">
        <v>14</v>
      </c>
    </row>
    <row r="36" spans="1:9" hidden="1" x14ac:dyDescent="0.25">
      <c r="A36">
        <v>2024</v>
      </c>
      <c r="B36" s="140" t="s">
        <v>94</v>
      </c>
      <c r="C36" s="140" t="s">
        <v>82</v>
      </c>
      <c r="D36" s="140" t="s">
        <v>11</v>
      </c>
      <c r="E36" s="140" t="s">
        <v>12</v>
      </c>
      <c r="F36">
        <v>1.6</v>
      </c>
      <c r="G36" s="140" t="s">
        <v>95</v>
      </c>
      <c r="H36">
        <v>0</v>
      </c>
      <c r="I36" s="140" t="s">
        <v>14</v>
      </c>
    </row>
    <row r="37" spans="1:9" hidden="1" x14ac:dyDescent="0.25">
      <c r="A37">
        <v>2025</v>
      </c>
      <c r="B37" s="140" t="s">
        <v>94</v>
      </c>
      <c r="C37" s="140" t="s">
        <v>82</v>
      </c>
      <c r="D37" s="140" t="s">
        <v>11</v>
      </c>
      <c r="E37" s="140" t="s">
        <v>12</v>
      </c>
      <c r="F37">
        <v>0.3</v>
      </c>
      <c r="G37" s="140" t="s">
        <v>95</v>
      </c>
      <c r="H37">
        <v>0</v>
      </c>
      <c r="I37" s="140" t="s">
        <v>14</v>
      </c>
    </row>
    <row r="38" spans="1:9" hidden="1" x14ac:dyDescent="0.25">
      <c r="A38">
        <v>2026</v>
      </c>
      <c r="B38" s="140" t="s">
        <v>94</v>
      </c>
      <c r="C38" s="140" t="s">
        <v>82</v>
      </c>
      <c r="D38" s="140" t="s">
        <v>11</v>
      </c>
      <c r="E38" s="140" t="s">
        <v>12</v>
      </c>
      <c r="F38">
        <v>1.96081314</v>
      </c>
      <c r="G38" s="140" t="s">
        <v>95</v>
      </c>
      <c r="H38">
        <v>0</v>
      </c>
      <c r="I38" s="140" t="s">
        <v>14</v>
      </c>
    </row>
    <row r="39" spans="1:9" hidden="1" x14ac:dyDescent="0.25">
      <c r="A39">
        <v>2027</v>
      </c>
      <c r="B39" s="140" t="s">
        <v>94</v>
      </c>
      <c r="C39" s="140" t="s">
        <v>82</v>
      </c>
      <c r="D39" s="140" t="s">
        <v>11</v>
      </c>
      <c r="E39" s="140" t="s">
        <v>12</v>
      </c>
      <c r="F39">
        <v>1.863469217</v>
      </c>
      <c r="G39" s="140" t="s">
        <v>95</v>
      </c>
      <c r="H39">
        <v>0</v>
      </c>
      <c r="I39" s="140" t="s">
        <v>14</v>
      </c>
    </row>
    <row r="40" spans="1:9" hidden="1" x14ac:dyDescent="0.25">
      <c r="A40">
        <v>2028</v>
      </c>
      <c r="B40" s="140" t="s">
        <v>94</v>
      </c>
      <c r="C40" s="140" t="s">
        <v>82</v>
      </c>
      <c r="D40" s="140" t="s">
        <v>11</v>
      </c>
      <c r="E40" s="140" t="s">
        <v>12</v>
      </c>
      <c r="F40">
        <v>2.118117228</v>
      </c>
      <c r="G40" s="140" t="s">
        <v>95</v>
      </c>
      <c r="H40">
        <v>0</v>
      </c>
      <c r="I40" s="140" t="s">
        <v>14</v>
      </c>
    </row>
    <row r="41" spans="1:9" hidden="1" x14ac:dyDescent="0.25">
      <c r="A41">
        <v>2029</v>
      </c>
      <c r="B41" s="140" t="s">
        <v>94</v>
      </c>
      <c r="C41" s="140" t="s">
        <v>82</v>
      </c>
      <c r="D41" s="140" t="s">
        <v>11</v>
      </c>
      <c r="E41" s="140" t="s">
        <v>12</v>
      </c>
      <c r="F41">
        <v>2</v>
      </c>
      <c r="G41" s="140" t="s">
        <v>95</v>
      </c>
      <c r="H41">
        <v>0</v>
      </c>
      <c r="I41" s="140" t="s">
        <v>14</v>
      </c>
    </row>
    <row r="42" spans="1:9" hidden="1" x14ac:dyDescent="0.25">
      <c r="A42">
        <v>2030</v>
      </c>
      <c r="B42" s="140" t="s">
        <v>94</v>
      </c>
      <c r="C42" s="140" t="s">
        <v>82</v>
      </c>
      <c r="D42" s="140" t="s">
        <v>11</v>
      </c>
      <c r="E42" s="140" t="s">
        <v>12</v>
      </c>
      <c r="F42">
        <v>2</v>
      </c>
      <c r="G42" s="140" t="s">
        <v>95</v>
      </c>
      <c r="H42">
        <v>0</v>
      </c>
      <c r="I42" s="140" t="s">
        <v>14</v>
      </c>
    </row>
    <row r="43" spans="1:9" hidden="1" x14ac:dyDescent="0.25">
      <c r="A43">
        <v>1996</v>
      </c>
      <c r="B43" s="140" t="s">
        <v>195</v>
      </c>
      <c r="C43" s="140" t="s">
        <v>147</v>
      </c>
      <c r="D43" s="140" t="s">
        <v>11</v>
      </c>
      <c r="E43" s="140" t="s">
        <v>12</v>
      </c>
      <c r="F43">
        <v>71.77</v>
      </c>
      <c r="G43" s="140" t="s">
        <v>196</v>
      </c>
      <c r="H43">
        <v>0</v>
      </c>
      <c r="I43" s="140" t="s">
        <v>160</v>
      </c>
    </row>
    <row r="44" spans="1:9" hidden="1" x14ac:dyDescent="0.25">
      <c r="A44">
        <v>1997</v>
      </c>
      <c r="B44" s="140" t="s">
        <v>195</v>
      </c>
      <c r="C44" s="140" t="s">
        <v>147</v>
      </c>
      <c r="D44" s="140" t="s">
        <v>11</v>
      </c>
      <c r="E44" s="140" t="s">
        <v>12</v>
      </c>
      <c r="F44">
        <v>72.64</v>
      </c>
      <c r="G44" s="140" t="s">
        <v>196</v>
      </c>
      <c r="H44">
        <v>0</v>
      </c>
      <c r="I44" s="140" t="s">
        <v>160</v>
      </c>
    </row>
    <row r="45" spans="1:9" hidden="1" x14ac:dyDescent="0.25">
      <c r="A45">
        <v>1998</v>
      </c>
      <c r="B45" s="140" t="s">
        <v>195</v>
      </c>
      <c r="C45" s="140" t="s">
        <v>147</v>
      </c>
      <c r="D45" s="140" t="s">
        <v>11</v>
      </c>
      <c r="E45" s="140" t="s">
        <v>12</v>
      </c>
      <c r="F45">
        <v>73.62</v>
      </c>
      <c r="G45" s="140" t="s">
        <v>196</v>
      </c>
      <c r="H45">
        <v>0</v>
      </c>
      <c r="I45" s="140" t="s">
        <v>160</v>
      </c>
    </row>
    <row r="46" spans="1:9" hidden="1" x14ac:dyDescent="0.25">
      <c r="A46">
        <v>1999</v>
      </c>
      <c r="B46" s="140" t="s">
        <v>195</v>
      </c>
      <c r="C46" s="140" t="s">
        <v>147</v>
      </c>
      <c r="D46" s="140" t="s">
        <v>11</v>
      </c>
      <c r="E46" s="140" t="s">
        <v>12</v>
      </c>
      <c r="F46">
        <v>74.59</v>
      </c>
      <c r="G46" s="140" t="s">
        <v>196</v>
      </c>
      <c r="H46">
        <v>0</v>
      </c>
      <c r="I46" s="140" t="s">
        <v>160</v>
      </c>
    </row>
    <row r="47" spans="1:9" hidden="1" x14ac:dyDescent="0.25">
      <c r="A47">
        <v>2000</v>
      </c>
      <c r="B47" s="140" t="s">
        <v>195</v>
      </c>
      <c r="C47" s="140" t="s">
        <v>147</v>
      </c>
      <c r="D47" s="140" t="s">
        <v>11</v>
      </c>
      <c r="E47" s="140" t="s">
        <v>12</v>
      </c>
      <c r="F47">
        <v>76.790000000000006</v>
      </c>
      <c r="G47" s="140" t="s">
        <v>196</v>
      </c>
      <c r="H47">
        <v>0</v>
      </c>
      <c r="I47" s="140" t="s">
        <v>160</v>
      </c>
    </row>
    <row r="48" spans="1:9" hidden="1" x14ac:dyDescent="0.25">
      <c r="A48">
        <v>2001</v>
      </c>
      <c r="B48" s="140" t="s">
        <v>195</v>
      </c>
      <c r="C48" s="140" t="s">
        <v>147</v>
      </c>
      <c r="D48" s="140" t="s">
        <v>11</v>
      </c>
      <c r="E48" s="140" t="s">
        <v>12</v>
      </c>
      <c r="F48">
        <v>78.84</v>
      </c>
      <c r="G48" s="140" t="s">
        <v>196</v>
      </c>
      <c r="H48">
        <v>0</v>
      </c>
      <c r="I48" s="140" t="s">
        <v>160</v>
      </c>
    </row>
    <row r="49" spans="1:9" hidden="1" x14ac:dyDescent="0.25">
      <c r="A49">
        <v>2002</v>
      </c>
      <c r="B49" s="140" t="s">
        <v>195</v>
      </c>
      <c r="C49" s="140" t="s">
        <v>147</v>
      </c>
      <c r="D49" s="140" t="s">
        <v>11</v>
      </c>
      <c r="E49" s="140" t="s">
        <v>12</v>
      </c>
      <c r="F49">
        <v>80.42</v>
      </c>
      <c r="G49" s="140" t="s">
        <v>196</v>
      </c>
      <c r="H49">
        <v>0</v>
      </c>
      <c r="I49" s="140" t="s">
        <v>160</v>
      </c>
    </row>
    <row r="50" spans="1:9" hidden="1" x14ac:dyDescent="0.25">
      <c r="A50">
        <v>2003</v>
      </c>
      <c r="B50" s="140" t="s">
        <v>195</v>
      </c>
      <c r="C50" s="140" t="s">
        <v>147</v>
      </c>
      <c r="D50" s="140" t="s">
        <v>11</v>
      </c>
      <c r="E50" s="140" t="s">
        <v>12</v>
      </c>
      <c r="F50">
        <v>81.459999999999994</v>
      </c>
      <c r="G50" s="140" t="s">
        <v>196</v>
      </c>
      <c r="H50">
        <v>0</v>
      </c>
      <c r="I50" s="140" t="s">
        <v>160</v>
      </c>
    </row>
    <row r="51" spans="1:9" hidden="1" x14ac:dyDescent="0.25">
      <c r="A51">
        <v>2004</v>
      </c>
      <c r="B51" s="140" t="s">
        <v>195</v>
      </c>
      <c r="C51" s="140" t="s">
        <v>147</v>
      </c>
      <c r="D51" s="140" t="s">
        <v>11</v>
      </c>
      <c r="E51" s="140" t="s">
        <v>12</v>
      </c>
      <c r="F51">
        <v>81.58</v>
      </c>
      <c r="G51" s="140" t="s">
        <v>196</v>
      </c>
      <c r="H51">
        <v>0</v>
      </c>
      <c r="I51" s="140" t="s">
        <v>160</v>
      </c>
    </row>
    <row r="52" spans="1:9" hidden="1" x14ac:dyDescent="0.25">
      <c r="A52">
        <v>2005</v>
      </c>
      <c r="B52" s="140" t="s">
        <v>195</v>
      </c>
      <c r="C52" s="140" t="s">
        <v>147</v>
      </c>
      <c r="D52" s="140" t="s">
        <v>11</v>
      </c>
      <c r="E52" s="140" t="s">
        <v>12</v>
      </c>
      <c r="F52">
        <v>82.21</v>
      </c>
      <c r="G52" s="140" t="s">
        <v>196</v>
      </c>
      <c r="H52">
        <v>0</v>
      </c>
      <c r="I52" s="140" t="s">
        <v>160</v>
      </c>
    </row>
    <row r="53" spans="1:9" hidden="1" x14ac:dyDescent="0.25">
      <c r="A53">
        <v>2006</v>
      </c>
      <c r="B53" s="140" t="s">
        <v>195</v>
      </c>
      <c r="C53" s="140" t="s">
        <v>147</v>
      </c>
      <c r="D53" s="140" t="s">
        <v>11</v>
      </c>
      <c r="E53" s="140" t="s">
        <v>12</v>
      </c>
      <c r="F53">
        <v>83.26</v>
      </c>
      <c r="G53" s="140" t="s">
        <v>196</v>
      </c>
      <c r="H53">
        <v>0</v>
      </c>
      <c r="I53" s="140" t="s">
        <v>160</v>
      </c>
    </row>
    <row r="54" spans="1:9" hidden="1" x14ac:dyDescent="0.25">
      <c r="A54">
        <v>2007</v>
      </c>
      <c r="B54" s="140" t="s">
        <v>195</v>
      </c>
      <c r="C54" s="140" t="s">
        <v>147</v>
      </c>
      <c r="D54" s="140" t="s">
        <v>11</v>
      </c>
      <c r="E54" s="140" t="s">
        <v>12</v>
      </c>
      <c r="F54">
        <v>84.57</v>
      </c>
      <c r="G54" s="140" t="s">
        <v>196</v>
      </c>
      <c r="H54">
        <v>0</v>
      </c>
      <c r="I54" s="140" t="s">
        <v>160</v>
      </c>
    </row>
    <row r="55" spans="1:9" hidden="1" x14ac:dyDescent="0.25">
      <c r="A55">
        <v>2008</v>
      </c>
      <c r="B55" s="140" t="s">
        <v>195</v>
      </c>
      <c r="C55" s="140" t="s">
        <v>147</v>
      </c>
      <c r="D55" s="140" t="s">
        <v>11</v>
      </c>
      <c r="E55" s="140" t="s">
        <v>12</v>
      </c>
      <c r="F55">
        <v>87.89</v>
      </c>
      <c r="G55" s="140" t="s">
        <v>196</v>
      </c>
      <c r="H55">
        <v>0</v>
      </c>
      <c r="I55" s="140" t="s">
        <v>160</v>
      </c>
    </row>
    <row r="56" spans="1:9" hidden="1" x14ac:dyDescent="0.25">
      <c r="A56">
        <v>2009</v>
      </c>
      <c r="B56" s="140" t="s">
        <v>195</v>
      </c>
      <c r="C56" s="140" t="s">
        <v>147</v>
      </c>
      <c r="D56" s="140" t="s">
        <v>11</v>
      </c>
      <c r="E56" s="140" t="s">
        <v>12</v>
      </c>
      <c r="F56">
        <v>89.32</v>
      </c>
      <c r="G56" s="140" t="s">
        <v>196</v>
      </c>
      <c r="H56">
        <v>0</v>
      </c>
      <c r="I56" s="140" t="s">
        <v>160</v>
      </c>
    </row>
    <row r="57" spans="1:9" hidden="1" x14ac:dyDescent="0.25">
      <c r="A57">
        <v>2010</v>
      </c>
      <c r="B57" s="140" t="s">
        <v>195</v>
      </c>
      <c r="C57" s="140" t="s">
        <v>147</v>
      </c>
      <c r="D57" s="140" t="s">
        <v>11</v>
      </c>
      <c r="E57" s="140" t="s">
        <v>12</v>
      </c>
      <c r="F57">
        <v>90.83</v>
      </c>
      <c r="G57" s="140" t="s">
        <v>196</v>
      </c>
      <c r="H57">
        <v>0</v>
      </c>
      <c r="I57" s="140" t="s">
        <v>160</v>
      </c>
    </row>
    <row r="58" spans="1:9" hidden="1" x14ac:dyDescent="0.25">
      <c r="A58">
        <v>2011</v>
      </c>
      <c r="B58" s="140" t="s">
        <v>195</v>
      </c>
      <c r="C58" s="140" t="s">
        <v>147</v>
      </c>
      <c r="D58" s="140" t="s">
        <v>11</v>
      </c>
      <c r="E58" s="140" t="s">
        <v>12</v>
      </c>
      <c r="F58">
        <v>93.85</v>
      </c>
      <c r="G58" s="140" t="s">
        <v>196</v>
      </c>
      <c r="H58">
        <v>0</v>
      </c>
      <c r="I58" s="140" t="s">
        <v>160</v>
      </c>
    </row>
    <row r="59" spans="1:9" hidden="1" x14ac:dyDescent="0.25">
      <c r="A59">
        <v>2012</v>
      </c>
      <c r="B59" s="140" t="s">
        <v>195</v>
      </c>
      <c r="C59" s="140" t="s">
        <v>147</v>
      </c>
      <c r="D59" s="140" t="s">
        <v>11</v>
      </c>
      <c r="E59" s="140" t="s">
        <v>12</v>
      </c>
      <c r="F59">
        <v>96.81</v>
      </c>
      <c r="G59" s="140" t="s">
        <v>196</v>
      </c>
      <c r="H59">
        <v>0</v>
      </c>
      <c r="I59" s="140" t="s">
        <v>160</v>
      </c>
    </row>
    <row r="60" spans="1:9" hidden="1" x14ac:dyDescent="0.25">
      <c r="A60">
        <v>2013</v>
      </c>
      <c r="B60" s="140" t="s">
        <v>195</v>
      </c>
      <c r="C60" s="140" t="s">
        <v>147</v>
      </c>
      <c r="D60" s="140" t="s">
        <v>11</v>
      </c>
      <c r="E60" s="140" t="s">
        <v>12</v>
      </c>
      <c r="F60">
        <v>98.96</v>
      </c>
      <c r="G60" s="140" t="s">
        <v>196</v>
      </c>
      <c r="H60">
        <v>0</v>
      </c>
      <c r="I60" s="140" t="s">
        <v>160</v>
      </c>
    </row>
    <row r="61" spans="1:9" hidden="1" x14ac:dyDescent="0.25">
      <c r="A61">
        <v>2014</v>
      </c>
      <c r="B61" s="140" t="s">
        <v>195</v>
      </c>
      <c r="C61" s="140" t="s">
        <v>147</v>
      </c>
      <c r="D61" s="140" t="s">
        <v>11</v>
      </c>
      <c r="E61" s="140" t="s">
        <v>12</v>
      </c>
      <c r="F61">
        <v>100.16</v>
      </c>
      <c r="G61" s="140" t="s">
        <v>196</v>
      </c>
      <c r="H61">
        <v>0</v>
      </c>
      <c r="I61" s="140" t="s">
        <v>160</v>
      </c>
    </row>
    <row r="62" spans="1:9" hidden="1" x14ac:dyDescent="0.25">
      <c r="A62">
        <v>2015</v>
      </c>
      <c r="B62" s="140" t="s">
        <v>195</v>
      </c>
      <c r="C62" s="140" t="s">
        <v>147</v>
      </c>
      <c r="D62" s="140" t="s">
        <v>11</v>
      </c>
      <c r="E62" s="140" t="s">
        <v>12</v>
      </c>
      <c r="F62">
        <v>100</v>
      </c>
      <c r="G62" s="140" t="s">
        <v>196</v>
      </c>
      <c r="H62">
        <v>0</v>
      </c>
      <c r="I62" s="140" t="s">
        <v>160</v>
      </c>
    </row>
    <row r="63" spans="1:9" hidden="1" x14ac:dyDescent="0.25">
      <c r="A63">
        <v>2016</v>
      </c>
      <c r="B63" s="140" t="s">
        <v>195</v>
      </c>
      <c r="C63" s="140" t="s">
        <v>147</v>
      </c>
      <c r="D63" s="140" t="s">
        <v>11</v>
      </c>
      <c r="E63" s="140" t="s">
        <v>12</v>
      </c>
      <c r="F63">
        <v>100.39</v>
      </c>
      <c r="G63" s="140" t="s">
        <v>196</v>
      </c>
      <c r="H63">
        <v>0</v>
      </c>
      <c r="I63" s="140" t="s">
        <v>160</v>
      </c>
    </row>
    <row r="64" spans="1:9" hidden="1" x14ac:dyDescent="0.25">
      <c r="A64">
        <v>2017</v>
      </c>
      <c r="B64" s="140" t="s">
        <v>195</v>
      </c>
      <c r="C64" s="140" t="s">
        <v>147</v>
      </c>
      <c r="D64" s="140" t="s">
        <v>11</v>
      </c>
      <c r="E64" s="140" t="s">
        <v>12</v>
      </c>
      <c r="F64">
        <v>101.23</v>
      </c>
      <c r="G64" s="140" t="s">
        <v>196</v>
      </c>
      <c r="H64">
        <v>0</v>
      </c>
      <c r="I64" s="140" t="s">
        <v>160</v>
      </c>
    </row>
    <row r="65" spans="1:9" hidden="1" x14ac:dyDescent="0.25">
      <c r="A65">
        <v>2018</v>
      </c>
      <c r="B65" s="140" t="s">
        <v>195</v>
      </c>
      <c r="C65" s="140" t="s">
        <v>147</v>
      </c>
      <c r="D65" s="140" t="s">
        <v>11</v>
      </c>
      <c r="E65" s="140" t="s">
        <v>12</v>
      </c>
      <c r="F65">
        <v>102.42</v>
      </c>
      <c r="G65" s="140" t="s">
        <v>196</v>
      </c>
      <c r="H65">
        <v>0</v>
      </c>
      <c r="I65" s="140" t="s">
        <v>160</v>
      </c>
    </row>
    <row r="66" spans="1:9" hidden="1" x14ac:dyDescent="0.25">
      <c r="A66">
        <v>2019</v>
      </c>
      <c r="B66" s="140" t="s">
        <v>195</v>
      </c>
      <c r="C66" s="140" t="s">
        <v>147</v>
      </c>
      <c r="D66" s="140" t="s">
        <v>11</v>
      </c>
      <c r="E66" s="140" t="s">
        <v>12</v>
      </c>
      <c r="F66">
        <v>103.58</v>
      </c>
      <c r="G66" s="140" t="s">
        <v>196</v>
      </c>
      <c r="H66">
        <v>0</v>
      </c>
      <c r="I66" s="140" t="s">
        <v>160</v>
      </c>
    </row>
    <row r="67" spans="1:9" hidden="1" x14ac:dyDescent="0.25">
      <c r="A67">
        <v>2020</v>
      </c>
      <c r="B67" s="140" t="s">
        <v>195</v>
      </c>
      <c r="C67" s="140" t="s">
        <v>147</v>
      </c>
      <c r="D67" s="140" t="s">
        <v>11</v>
      </c>
      <c r="E67" s="140" t="s">
        <v>12</v>
      </c>
      <c r="F67">
        <v>103.98</v>
      </c>
      <c r="G67" s="140" t="s">
        <v>196</v>
      </c>
      <c r="H67">
        <v>0</v>
      </c>
      <c r="I67" s="140" t="s">
        <v>160</v>
      </c>
    </row>
    <row r="68" spans="1:9" hidden="1" x14ac:dyDescent="0.25">
      <c r="A68">
        <v>2021</v>
      </c>
      <c r="B68" s="140" t="s">
        <v>195</v>
      </c>
      <c r="C68" s="140" t="s">
        <v>147</v>
      </c>
      <c r="D68" s="140" t="s">
        <v>11</v>
      </c>
      <c r="E68" s="140" t="s">
        <v>12</v>
      </c>
      <c r="F68">
        <v>106.12</v>
      </c>
      <c r="G68" s="140" t="s">
        <v>196</v>
      </c>
      <c r="H68">
        <v>0</v>
      </c>
      <c r="I68" s="140" t="s">
        <v>160</v>
      </c>
    </row>
    <row r="69" spans="1:9" hidden="1" x14ac:dyDescent="0.25">
      <c r="A69">
        <v>2022</v>
      </c>
      <c r="B69" s="140" t="s">
        <v>195</v>
      </c>
      <c r="C69" s="140" t="s">
        <v>147</v>
      </c>
      <c r="D69" s="140" t="s">
        <v>11</v>
      </c>
      <c r="E69" s="140" t="s">
        <v>12</v>
      </c>
      <c r="F69">
        <v>113.74</v>
      </c>
      <c r="G69" s="140" t="s">
        <v>196</v>
      </c>
      <c r="H69">
        <v>0</v>
      </c>
      <c r="I69" s="140" t="s">
        <v>160</v>
      </c>
    </row>
    <row r="70" spans="1:9" hidden="1" x14ac:dyDescent="0.25">
      <c r="A70">
        <v>2023</v>
      </c>
      <c r="B70" s="140" t="s">
        <v>195</v>
      </c>
      <c r="C70" s="140" t="s">
        <v>147</v>
      </c>
      <c r="D70" s="140" t="s">
        <v>11</v>
      </c>
      <c r="E70" s="140" t="s">
        <v>12</v>
      </c>
      <c r="F70">
        <v>118.67</v>
      </c>
      <c r="G70" s="140" t="s">
        <v>196</v>
      </c>
      <c r="H70">
        <v>0</v>
      </c>
      <c r="I70" s="140" t="s">
        <v>160</v>
      </c>
    </row>
    <row r="71" spans="1:9" hidden="1" x14ac:dyDescent="0.25">
      <c r="A71">
        <v>2024</v>
      </c>
      <c r="B71" s="140" t="s">
        <v>195</v>
      </c>
      <c r="C71" s="140" t="s">
        <v>147</v>
      </c>
      <c r="D71" s="140" t="s">
        <v>11</v>
      </c>
      <c r="E71" s="140" t="s">
        <v>12</v>
      </c>
      <c r="F71">
        <v>119.83</v>
      </c>
      <c r="G71" s="140" t="s">
        <v>196</v>
      </c>
      <c r="H71">
        <v>0</v>
      </c>
      <c r="I71" s="140" t="s">
        <v>160</v>
      </c>
    </row>
    <row r="72" spans="1:9" hidden="1" x14ac:dyDescent="0.25">
      <c r="A72">
        <v>2025</v>
      </c>
      <c r="B72" s="140" t="s">
        <v>195</v>
      </c>
      <c r="C72" s="140" t="s">
        <v>147</v>
      </c>
      <c r="D72" s="140" t="s">
        <v>11</v>
      </c>
      <c r="E72" s="140" t="s">
        <v>12</v>
      </c>
      <c r="F72">
        <v>122.01</v>
      </c>
      <c r="G72" s="140" t="s">
        <v>196</v>
      </c>
      <c r="H72">
        <v>0</v>
      </c>
      <c r="I72" s="140" t="s">
        <v>160</v>
      </c>
    </row>
    <row r="73" spans="1:9" hidden="1" x14ac:dyDescent="0.25">
      <c r="A73">
        <v>1990</v>
      </c>
      <c r="B73" s="140" t="s">
        <v>195</v>
      </c>
      <c r="C73" s="140" t="s">
        <v>82</v>
      </c>
      <c r="D73" s="140" t="s">
        <v>11</v>
      </c>
      <c r="E73" s="140" t="s">
        <v>12</v>
      </c>
      <c r="F73">
        <v>5.7629999999999999</v>
      </c>
      <c r="G73" s="140" t="s">
        <v>196</v>
      </c>
      <c r="H73">
        <v>0</v>
      </c>
      <c r="I73" s="140" t="s">
        <v>14</v>
      </c>
    </row>
    <row r="74" spans="1:9" hidden="1" x14ac:dyDescent="0.25">
      <c r="A74">
        <v>1991</v>
      </c>
      <c r="B74" s="140" t="s">
        <v>195</v>
      </c>
      <c r="C74" s="140" t="s">
        <v>82</v>
      </c>
      <c r="D74" s="140" t="s">
        <v>11</v>
      </c>
      <c r="E74" s="140" t="s">
        <v>12</v>
      </c>
      <c r="F74">
        <v>4.5330000000000004</v>
      </c>
      <c r="G74" s="140" t="s">
        <v>196</v>
      </c>
      <c r="H74">
        <v>0</v>
      </c>
      <c r="I74" s="140" t="s">
        <v>14</v>
      </c>
    </row>
    <row r="75" spans="1:9" hidden="1" x14ac:dyDescent="0.25">
      <c r="A75">
        <v>1992</v>
      </c>
      <c r="B75" s="140" t="s">
        <v>195</v>
      </c>
      <c r="C75" s="140" t="s">
        <v>82</v>
      </c>
      <c r="D75" s="140" t="s">
        <v>11</v>
      </c>
      <c r="E75" s="140" t="s">
        <v>12</v>
      </c>
      <c r="F75">
        <v>3.2530000000000001</v>
      </c>
      <c r="G75" s="140" t="s">
        <v>196</v>
      </c>
      <c r="H75">
        <v>0</v>
      </c>
      <c r="I75" s="140" t="s">
        <v>14</v>
      </c>
    </row>
    <row r="76" spans="1:9" hidden="1" x14ac:dyDescent="0.25">
      <c r="A76">
        <v>1993</v>
      </c>
      <c r="B76" s="140" t="s">
        <v>195</v>
      </c>
      <c r="C76" s="140" t="s">
        <v>82</v>
      </c>
      <c r="D76" s="140" t="s">
        <v>11</v>
      </c>
      <c r="E76" s="140" t="s">
        <v>12</v>
      </c>
      <c r="F76">
        <v>3.3330000000000002</v>
      </c>
      <c r="G76" s="140" t="s">
        <v>196</v>
      </c>
      <c r="H76">
        <v>0</v>
      </c>
      <c r="I76" s="140" t="s">
        <v>14</v>
      </c>
    </row>
    <row r="77" spans="1:9" hidden="1" x14ac:dyDescent="0.25">
      <c r="A77">
        <v>1994</v>
      </c>
      <c r="B77" s="140" t="s">
        <v>195</v>
      </c>
      <c r="C77" s="140" t="s">
        <v>82</v>
      </c>
      <c r="D77" s="140" t="s">
        <v>11</v>
      </c>
      <c r="E77" s="140" t="s">
        <v>12</v>
      </c>
      <c r="F77">
        <v>1.599</v>
      </c>
      <c r="G77" s="140" t="s">
        <v>196</v>
      </c>
      <c r="H77">
        <v>0</v>
      </c>
      <c r="I77" s="140" t="s">
        <v>14</v>
      </c>
    </row>
    <row r="78" spans="1:9" hidden="1" x14ac:dyDescent="0.25">
      <c r="A78">
        <v>1995</v>
      </c>
      <c r="B78" s="140" t="s">
        <v>195</v>
      </c>
      <c r="C78" s="140" t="s">
        <v>82</v>
      </c>
      <c r="D78" s="140" t="s">
        <v>11</v>
      </c>
      <c r="E78" s="140" t="s">
        <v>12</v>
      </c>
      <c r="F78">
        <v>0.40799999999999997</v>
      </c>
      <c r="G78" s="140" t="s">
        <v>196</v>
      </c>
      <c r="H78">
        <v>0</v>
      </c>
      <c r="I78" s="140" t="s">
        <v>14</v>
      </c>
    </row>
    <row r="79" spans="1:9" hidden="1" x14ac:dyDescent="0.25">
      <c r="A79">
        <v>1996</v>
      </c>
      <c r="B79" s="140" t="s">
        <v>195</v>
      </c>
      <c r="C79" s="140" t="s">
        <v>82</v>
      </c>
      <c r="D79" s="140" t="s">
        <v>11</v>
      </c>
      <c r="E79" s="140" t="s">
        <v>12</v>
      </c>
      <c r="F79">
        <v>1.1000000000000001</v>
      </c>
      <c r="G79" s="140" t="s">
        <v>196</v>
      </c>
      <c r="H79">
        <v>0</v>
      </c>
      <c r="I79" s="140" t="s">
        <v>14</v>
      </c>
    </row>
    <row r="80" spans="1:9" hidden="1" x14ac:dyDescent="0.25">
      <c r="A80">
        <v>1997</v>
      </c>
      <c r="B80" s="140" t="s">
        <v>195</v>
      </c>
      <c r="C80" s="140" t="s">
        <v>82</v>
      </c>
      <c r="D80" s="140" t="s">
        <v>11</v>
      </c>
      <c r="E80" s="140" t="s">
        <v>12</v>
      </c>
      <c r="F80">
        <v>1.2</v>
      </c>
      <c r="G80" s="140" t="s">
        <v>196</v>
      </c>
      <c r="H80">
        <v>0</v>
      </c>
      <c r="I80" s="140" t="s">
        <v>14</v>
      </c>
    </row>
    <row r="81" spans="1:9" hidden="1" x14ac:dyDescent="0.25">
      <c r="A81">
        <v>1998</v>
      </c>
      <c r="B81" s="140" t="s">
        <v>195</v>
      </c>
      <c r="C81" s="140" t="s">
        <v>82</v>
      </c>
      <c r="D81" s="140" t="s">
        <v>11</v>
      </c>
      <c r="E81" s="140" t="s">
        <v>12</v>
      </c>
      <c r="F81">
        <v>1.3</v>
      </c>
      <c r="G81" s="140" t="s">
        <v>196</v>
      </c>
      <c r="H81">
        <v>0</v>
      </c>
      <c r="I81" s="140" t="s">
        <v>14</v>
      </c>
    </row>
    <row r="82" spans="1:9" hidden="1" x14ac:dyDescent="0.25">
      <c r="A82">
        <v>1999</v>
      </c>
      <c r="B82" s="140" t="s">
        <v>195</v>
      </c>
      <c r="C82" s="140" t="s">
        <v>82</v>
      </c>
      <c r="D82" s="140" t="s">
        <v>11</v>
      </c>
      <c r="E82" s="140" t="s">
        <v>12</v>
      </c>
      <c r="F82">
        <v>1.3</v>
      </c>
      <c r="G82" s="140" t="s">
        <v>196</v>
      </c>
      <c r="H82">
        <v>0</v>
      </c>
      <c r="I82" s="140" t="s">
        <v>14</v>
      </c>
    </row>
    <row r="83" spans="1:9" hidden="1" x14ac:dyDescent="0.25">
      <c r="A83">
        <v>2000</v>
      </c>
      <c r="B83" s="140" t="s">
        <v>195</v>
      </c>
      <c r="C83" s="140" t="s">
        <v>82</v>
      </c>
      <c r="D83" s="140" t="s">
        <v>11</v>
      </c>
      <c r="E83" s="140" t="s">
        <v>12</v>
      </c>
      <c r="F83">
        <v>3</v>
      </c>
      <c r="G83" s="140" t="s">
        <v>196</v>
      </c>
      <c r="H83">
        <v>0</v>
      </c>
      <c r="I83" s="140" t="s">
        <v>14</v>
      </c>
    </row>
    <row r="84" spans="1:9" hidden="1" x14ac:dyDescent="0.25">
      <c r="A84">
        <v>2001</v>
      </c>
      <c r="B84" s="140" t="s">
        <v>195</v>
      </c>
      <c r="C84" s="140" t="s">
        <v>82</v>
      </c>
      <c r="D84" s="140" t="s">
        <v>11</v>
      </c>
      <c r="E84" s="140" t="s">
        <v>12</v>
      </c>
      <c r="F84">
        <v>2.7</v>
      </c>
      <c r="G84" s="140" t="s">
        <v>196</v>
      </c>
      <c r="H84">
        <v>0</v>
      </c>
      <c r="I84" s="140" t="s">
        <v>14</v>
      </c>
    </row>
    <row r="85" spans="1:9" hidden="1" x14ac:dyDescent="0.25">
      <c r="A85">
        <v>2002</v>
      </c>
      <c r="B85" s="140" t="s">
        <v>195</v>
      </c>
      <c r="C85" s="140" t="s">
        <v>82</v>
      </c>
      <c r="D85" s="140" t="s">
        <v>11</v>
      </c>
      <c r="E85" s="140" t="s">
        <v>12</v>
      </c>
      <c r="F85">
        <v>2</v>
      </c>
      <c r="G85" s="140" t="s">
        <v>196</v>
      </c>
      <c r="H85">
        <v>0</v>
      </c>
      <c r="I85" s="140" t="s">
        <v>14</v>
      </c>
    </row>
    <row r="86" spans="1:9" hidden="1" x14ac:dyDescent="0.25">
      <c r="A86">
        <v>2003</v>
      </c>
      <c r="B86" s="140" t="s">
        <v>195</v>
      </c>
      <c r="C86" s="140" t="s">
        <v>82</v>
      </c>
      <c r="D86" s="140" t="s">
        <v>11</v>
      </c>
      <c r="E86" s="140" t="s">
        <v>12</v>
      </c>
      <c r="F86">
        <v>1.3</v>
      </c>
      <c r="G86" s="140" t="s">
        <v>196</v>
      </c>
      <c r="H86">
        <v>0</v>
      </c>
      <c r="I86" s="140" t="s">
        <v>14</v>
      </c>
    </row>
    <row r="87" spans="1:9" hidden="1" x14ac:dyDescent="0.25">
      <c r="A87">
        <v>2004</v>
      </c>
      <c r="B87" s="140" t="s">
        <v>195</v>
      </c>
      <c r="C87" s="140" t="s">
        <v>82</v>
      </c>
      <c r="D87" s="140" t="s">
        <v>11</v>
      </c>
      <c r="E87" s="140" t="s">
        <v>12</v>
      </c>
      <c r="F87">
        <v>0.1</v>
      </c>
      <c r="G87" s="140" t="s">
        <v>196</v>
      </c>
      <c r="H87">
        <v>0</v>
      </c>
      <c r="I87" s="140" t="s">
        <v>14</v>
      </c>
    </row>
    <row r="88" spans="1:9" hidden="1" x14ac:dyDescent="0.25">
      <c r="A88">
        <v>2005</v>
      </c>
      <c r="B88" s="140" t="s">
        <v>195</v>
      </c>
      <c r="C88" s="140" t="s">
        <v>82</v>
      </c>
      <c r="D88" s="140" t="s">
        <v>11</v>
      </c>
      <c r="E88" s="140" t="s">
        <v>12</v>
      </c>
      <c r="F88">
        <v>0.8</v>
      </c>
      <c r="G88" s="140" t="s">
        <v>196</v>
      </c>
      <c r="H88">
        <v>0</v>
      </c>
      <c r="I88" s="140" t="s">
        <v>14</v>
      </c>
    </row>
    <row r="89" spans="1:9" hidden="1" x14ac:dyDescent="0.25">
      <c r="A89">
        <v>2006</v>
      </c>
      <c r="B89" s="140" t="s">
        <v>195</v>
      </c>
      <c r="C89" s="140" t="s">
        <v>82</v>
      </c>
      <c r="D89" s="140" t="s">
        <v>11</v>
      </c>
      <c r="E89" s="140" t="s">
        <v>12</v>
      </c>
      <c r="F89">
        <v>1.3</v>
      </c>
      <c r="G89" s="140" t="s">
        <v>196</v>
      </c>
      <c r="H89">
        <v>0</v>
      </c>
      <c r="I89" s="140" t="s">
        <v>14</v>
      </c>
    </row>
    <row r="90" spans="1:9" hidden="1" x14ac:dyDescent="0.25">
      <c r="A90">
        <v>2007</v>
      </c>
      <c r="B90" s="140" t="s">
        <v>195</v>
      </c>
      <c r="C90" s="140" t="s">
        <v>82</v>
      </c>
      <c r="D90" s="140" t="s">
        <v>11</v>
      </c>
      <c r="E90" s="140" t="s">
        <v>12</v>
      </c>
      <c r="F90">
        <v>1.6</v>
      </c>
      <c r="G90" s="140" t="s">
        <v>196</v>
      </c>
      <c r="H90">
        <v>0</v>
      </c>
      <c r="I90" s="140" t="s">
        <v>14</v>
      </c>
    </row>
    <row r="91" spans="1:9" hidden="1" x14ac:dyDescent="0.25">
      <c r="A91">
        <v>2008</v>
      </c>
      <c r="B91" s="140" t="s">
        <v>195</v>
      </c>
      <c r="C91" s="140" t="s">
        <v>82</v>
      </c>
      <c r="D91" s="140" t="s">
        <v>11</v>
      </c>
      <c r="E91" s="140" t="s">
        <v>12</v>
      </c>
      <c r="F91">
        <v>3.9</v>
      </c>
      <c r="G91" s="140" t="s">
        <v>196</v>
      </c>
      <c r="H91">
        <v>0</v>
      </c>
      <c r="I91" s="140" t="s">
        <v>14</v>
      </c>
    </row>
    <row r="92" spans="1:9" hidden="1" x14ac:dyDescent="0.25">
      <c r="A92">
        <v>2009</v>
      </c>
      <c r="B92" s="140" t="s">
        <v>195</v>
      </c>
      <c r="C92" s="140" t="s">
        <v>82</v>
      </c>
      <c r="D92" s="140" t="s">
        <v>11</v>
      </c>
      <c r="E92" s="140" t="s">
        <v>12</v>
      </c>
      <c r="F92">
        <v>1.6</v>
      </c>
      <c r="G92" s="140" t="s">
        <v>196</v>
      </c>
      <c r="H92">
        <v>0</v>
      </c>
      <c r="I92" s="140" t="s">
        <v>14</v>
      </c>
    </row>
    <row r="93" spans="1:9" hidden="1" x14ac:dyDescent="0.25">
      <c r="A93">
        <v>2010</v>
      </c>
      <c r="B93" s="140" t="s">
        <v>195</v>
      </c>
      <c r="C93" s="140" t="s">
        <v>82</v>
      </c>
      <c r="D93" s="140" t="s">
        <v>11</v>
      </c>
      <c r="E93" s="140" t="s">
        <v>12</v>
      </c>
      <c r="F93">
        <v>1.7</v>
      </c>
      <c r="G93" s="140" t="s">
        <v>196</v>
      </c>
      <c r="H93">
        <v>0</v>
      </c>
      <c r="I93" s="140" t="s">
        <v>14</v>
      </c>
    </row>
    <row r="94" spans="1:9" hidden="1" x14ac:dyDescent="0.25">
      <c r="A94">
        <v>2011</v>
      </c>
      <c r="B94" s="140" t="s">
        <v>195</v>
      </c>
      <c r="C94" s="140" t="s">
        <v>82</v>
      </c>
      <c r="D94" s="140" t="s">
        <v>11</v>
      </c>
      <c r="E94" s="140" t="s">
        <v>12</v>
      </c>
      <c r="F94">
        <v>3.3</v>
      </c>
      <c r="G94" s="140" t="s">
        <v>196</v>
      </c>
      <c r="H94">
        <v>0</v>
      </c>
      <c r="I94" s="140" t="s">
        <v>14</v>
      </c>
    </row>
    <row r="95" spans="1:9" hidden="1" x14ac:dyDescent="0.25">
      <c r="A95">
        <v>2012</v>
      </c>
      <c r="B95" s="140" t="s">
        <v>195</v>
      </c>
      <c r="C95" s="140" t="s">
        <v>82</v>
      </c>
      <c r="D95" s="140" t="s">
        <v>11</v>
      </c>
      <c r="E95" s="140" t="s">
        <v>12</v>
      </c>
      <c r="F95">
        <v>3.2</v>
      </c>
      <c r="G95" s="140" t="s">
        <v>196</v>
      </c>
      <c r="H95">
        <v>0</v>
      </c>
      <c r="I95" s="140" t="s">
        <v>14</v>
      </c>
    </row>
    <row r="96" spans="1:9" hidden="1" x14ac:dyDescent="0.25">
      <c r="A96">
        <v>2013</v>
      </c>
      <c r="B96" s="140" t="s">
        <v>195</v>
      </c>
      <c r="C96" s="140" t="s">
        <v>82</v>
      </c>
      <c r="D96" s="140" t="s">
        <v>11</v>
      </c>
      <c r="E96" s="140" t="s">
        <v>12</v>
      </c>
      <c r="F96">
        <v>2.2000000000000002</v>
      </c>
      <c r="G96" s="140" t="s">
        <v>196</v>
      </c>
      <c r="H96">
        <v>0</v>
      </c>
      <c r="I96" s="140" t="s">
        <v>14</v>
      </c>
    </row>
    <row r="97" spans="1:9" hidden="1" x14ac:dyDescent="0.25">
      <c r="A97">
        <v>2014</v>
      </c>
      <c r="B97" s="140" t="s">
        <v>195</v>
      </c>
      <c r="C97" s="140" t="s">
        <v>82</v>
      </c>
      <c r="D97" s="140" t="s">
        <v>11</v>
      </c>
      <c r="E97" s="140" t="s">
        <v>12</v>
      </c>
      <c r="F97">
        <v>1.2</v>
      </c>
      <c r="G97" s="140" t="s">
        <v>196</v>
      </c>
      <c r="H97">
        <v>0</v>
      </c>
      <c r="I97" s="140" t="s">
        <v>14</v>
      </c>
    </row>
    <row r="98" spans="1:9" hidden="1" x14ac:dyDescent="0.25">
      <c r="A98">
        <v>2015</v>
      </c>
      <c r="B98" s="140" t="s">
        <v>195</v>
      </c>
      <c r="C98" s="140" t="s">
        <v>82</v>
      </c>
      <c r="D98" s="140" t="s">
        <v>11</v>
      </c>
      <c r="E98" s="140" t="s">
        <v>12</v>
      </c>
      <c r="F98">
        <v>-0.2</v>
      </c>
      <c r="G98" s="140" t="s">
        <v>196</v>
      </c>
      <c r="H98">
        <v>0</v>
      </c>
      <c r="I98" s="140" t="s">
        <v>14</v>
      </c>
    </row>
    <row r="99" spans="1:9" hidden="1" x14ac:dyDescent="0.25">
      <c r="A99">
        <v>2016</v>
      </c>
      <c r="B99" s="140" t="s">
        <v>195</v>
      </c>
      <c r="C99" s="140" t="s">
        <v>82</v>
      </c>
      <c r="D99" s="140" t="s">
        <v>11</v>
      </c>
      <c r="E99" s="140" t="s">
        <v>12</v>
      </c>
      <c r="F99">
        <v>0.4</v>
      </c>
      <c r="G99" s="140" t="s">
        <v>196</v>
      </c>
      <c r="H99">
        <v>0</v>
      </c>
      <c r="I99" s="140" t="s">
        <v>14</v>
      </c>
    </row>
    <row r="100" spans="1:9" hidden="1" x14ac:dyDescent="0.25">
      <c r="A100">
        <v>2017</v>
      </c>
      <c r="B100" s="140" t="s">
        <v>195</v>
      </c>
      <c r="C100" s="140" t="s">
        <v>82</v>
      </c>
      <c r="D100" s="140" t="s">
        <v>11</v>
      </c>
      <c r="E100" s="140" t="s">
        <v>12</v>
      </c>
      <c r="F100">
        <v>0.8</v>
      </c>
      <c r="G100" s="140" t="s">
        <v>196</v>
      </c>
      <c r="H100">
        <v>0</v>
      </c>
      <c r="I100" s="140" t="s">
        <v>14</v>
      </c>
    </row>
    <row r="101" spans="1:9" hidden="1" x14ac:dyDescent="0.25">
      <c r="A101">
        <v>2018</v>
      </c>
      <c r="B101" s="140" t="s">
        <v>195</v>
      </c>
      <c r="C101" s="140" t="s">
        <v>82</v>
      </c>
      <c r="D101" s="140" t="s">
        <v>11</v>
      </c>
      <c r="E101" s="140" t="s">
        <v>12</v>
      </c>
      <c r="F101">
        <v>1.2</v>
      </c>
      <c r="G101" s="140" t="s">
        <v>196</v>
      </c>
      <c r="H101">
        <v>0</v>
      </c>
      <c r="I101" s="140" t="s">
        <v>14</v>
      </c>
    </row>
    <row r="102" spans="1:9" hidden="1" x14ac:dyDescent="0.25">
      <c r="A102">
        <v>2019</v>
      </c>
      <c r="B102" s="140" t="s">
        <v>195</v>
      </c>
      <c r="C102" s="140" t="s">
        <v>82</v>
      </c>
      <c r="D102" s="140" t="s">
        <v>11</v>
      </c>
      <c r="E102" s="140" t="s">
        <v>12</v>
      </c>
      <c r="F102">
        <v>1.1000000000000001</v>
      </c>
      <c r="G102" s="140" t="s">
        <v>196</v>
      </c>
      <c r="H102">
        <v>0</v>
      </c>
      <c r="I102" s="140" t="s">
        <v>14</v>
      </c>
    </row>
    <row r="103" spans="1:9" hidden="1" x14ac:dyDescent="0.25">
      <c r="A103">
        <v>2020</v>
      </c>
      <c r="B103" s="140" t="s">
        <v>195</v>
      </c>
      <c r="C103" s="140" t="s">
        <v>82</v>
      </c>
      <c r="D103" s="140" t="s">
        <v>11</v>
      </c>
      <c r="E103" s="140" t="s">
        <v>12</v>
      </c>
      <c r="F103">
        <v>0.4</v>
      </c>
      <c r="G103" s="140" t="s">
        <v>196</v>
      </c>
      <c r="H103">
        <v>0</v>
      </c>
      <c r="I103" s="140" t="s">
        <v>14</v>
      </c>
    </row>
    <row r="104" spans="1:9" hidden="1" x14ac:dyDescent="0.25">
      <c r="A104">
        <v>2021</v>
      </c>
      <c r="B104" s="140" t="s">
        <v>195</v>
      </c>
      <c r="C104" s="140" t="s">
        <v>82</v>
      </c>
      <c r="D104" s="140" t="s">
        <v>11</v>
      </c>
      <c r="E104" s="140" t="s">
        <v>12</v>
      </c>
      <c r="F104">
        <v>2.1</v>
      </c>
      <c r="G104" s="140" t="s">
        <v>196</v>
      </c>
      <c r="H104">
        <v>0</v>
      </c>
      <c r="I104" s="140" t="s">
        <v>14</v>
      </c>
    </row>
    <row r="105" spans="1:9" hidden="1" x14ac:dyDescent="0.25">
      <c r="A105">
        <v>2022</v>
      </c>
      <c r="B105" s="140" t="s">
        <v>195</v>
      </c>
      <c r="C105" s="140" t="s">
        <v>82</v>
      </c>
      <c r="D105" s="140" t="s">
        <v>11</v>
      </c>
      <c r="E105" s="140" t="s">
        <v>12</v>
      </c>
      <c r="F105">
        <v>7.2</v>
      </c>
      <c r="G105" s="140" t="s">
        <v>196</v>
      </c>
      <c r="H105">
        <v>0</v>
      </c>
      <c r="I105" s="140" t="s">
        <v>14</v>
      </c>
    </row>
    <row r="106" spans="1:9" hidden="1" x14ac:dyDescent="0.25">
      <c r="A106">
        <v>2023</v>
      </c>
      <c r="B106" s="140" t="s">
        <v>195</v>
      </c>
      <c r="C106" s="140" t="s">
        <v>82</v>
      </c>
      <c r="D106" s="140" t="s">
        <v>11</v>
      </c>
      <c r="E106" s="140" t="s">
        <v>12</v>
      </c>
      <c r="F106">
        <v>4.3</v>
      </c>
      <c r="G106" s="140" t="s">
        <v>196</v>
      </c>
      <c r="H106">
        <v>0</v>
      </c>
      <c r="I106" s="140" t="s">
        <v>14</v>
      </c>
    </row>
    <row r="107" spans="1:9" hidden="1" x14ac:dyDescent="0.25">
      <c r="A107">
        <v>2024</v>
      </c>
      <c r="B107" s="140" t="s">
        <v>195</v>
      </c>
      <c r="C107" s="140" t="s">
        <v>82</v>
      </c>
      <c r="D107" s="140" t="s">
        <v>11</v>
      </c>
      <c r="E107" s="140" t="s">
        <v>12</v>
      </c>
      <c r="F107">
        <v>1</v>
      </c>
      <c r="G107" s="140" t="s">
        <v>196</v>
      </c>
      <c r="H107">
        <v>0</v>
      </c>
      <c r="I107" s="140" t="s">
        <v>14</v>
      </c>
    </row>
    <row r="108" spans="1:9" hidden="1" x14ac:dyDescent="0.25">
      <c r="A108">
        <v>2025</v>
      </c>
      <c r="B108" s="140" t="s">
        <v>195</v>
      </c>
      <c r="C108" s="140" t="s">
        <v>82</v>
      </c>
      <c r="D108" s="140" t="s">
        <v>11</v>
      </c>
      <c r="E108" s="140" t="s">
        <v>12</v>
      </c>
      <c r="F108">
        <v>1.8</v>
      </c>
      <c r="G108" s="140" t="s">
        <v>196</v>
      </c>
      <c r="H108">
        <v>0</v>
      </c>
      <c r="I108" s="140" t="s">
        <v>14</v>
      </c>
    </row>
    <row r="109" spans="1:9" hidden="1" x14ac:dyDescent="0.25">
      <c r="A109">
        <v>2026</v>
      </c>
      <c r="B109" s="140" t="s">
        <v>195</v>
      </c>
      <c r="C109" s="140" t="s">
        <v>82</v>
      </c>
      <c r="D109" s="140" t="s">
        <v>11</v>
      </c>
      <c r="E109" s="140" t="s">
        <v>12</v>
      </c>
      <c r="F109">
        <v>2.5365139289999998</v>
      </c>
      <c r="G109" s="140" t="s">
        <v>196</v>
      </c>
      <c r="H109">
        <v>0</v>
      </c>
      <c r="I109" s="140" t="s">
        <v>14</v>
      </c>
    </row>
    <row r="110" spans="1:9" hidden="1" x14ac:dyDescent="0.25">
      <c r="A110">
        <v>2027</v>
      </c>
      <c r="B110" s="140" t="s">
        <v>195</v>
      </c>
      <c r="C110" s="140" t="s">
        <v>82</v>
      </c>
      <c r="D110" s="140" t="s">
        <v>11</v>
      </c>
      <c r="E110" s="140" t="s">
        <v>12</v>
      </c>
      <c r="F110">
        <v>1.438715698</v>
      </c>
      <c r="G110" s="140" t="s">
        <v>196</v>
      </c>
      <c r="H110">
        <v>0</v>
      </c>
      <c r="I110" s="140" t="s">
        <v>14</v>
      </c>
    </row>
    <row r="111" spans="1:9" hidden="1" x14ac:dyDescent="0.25">
      <c r="A111">
        <v>2028</v>
      </c>
      <c r="B111" s="140" t="s">
        <v>195</v>
      </c>
      <c r="C111" s="140" t="s">
        <v>82</v>
      </c>
      <c r="D111" s="140" t="s">
        <v>11</v>
      </c>
      <c r="E111" s="140" t="s">
        <v>12</v>
      </c>
      <c r="F111">
        <v>2.0919850100000001</v>
      </c>
      <c r="G111" s="140" t="s">
        <v>196</v>
      </c>
      <c r="H111">
        <v>0</v>
      </c>
      <c r="I111" s="140" t="s">
        <v>14</v>
      </c>
    </row>
    <row r="112" spans="1:9" hidden="1" x14ac:dyDescent="0.25">
      <c r="A112">
        <v>2029</v>
      </c>
      <c r="B112" s="140" t="s">
        <v>195</v>
      </c>
      <c r="C112" s="140" t="s">
        <v>82</v>
      </c>
      <c r="D112" s="140" t="s">
        <v>11</v>
      </c>
      <c r="E112" s="140" t="s">
        <v>12</v>
      </c>
      <c r="F112">
        <v>2</v>
      </c>
      <c r="G112" s="140" t="s">
        <v>196</v>
      </c>
      <c r="H112">
        <v>0</v>
      </c>
      <c r="I112" s="140" t="s">
        <v>14</v>
      </c>
    </row>
    <row r="113" spans="1:9" hidden="1" x14ac:dyDescent="0.25">
      <c r="A113">
        <v>2030</v>
      </c>
      <c r="B113" s="140" t="s">
        <v>195</v>
      </c>
      <c r="C113" s="140" t="s">
        <v>82</v>
      </c>
      <c r="D113" s="140" t="s">
        <v>11</v>
      </c>
      <c r="E113" s="140" t="s">
        <v>12</v>
      </c>
      <c r="F113">
        <v>2</v>
      </c>
      <c r="G113" s="140" t="s">
        <v>196</v>
      </c>
      <c r="H113">
        <v>0</v>
      </c>
      <c r="I113" s="140" t="s">
        <v>14</v>
      </c>
    </row>
    <row r="114" spans="1:9" hidden="1" x14ac:dyDescent="0.25">
      <c r="A114">
        <v>2001</v>
      </c>
      <c r="B114" s="140" t="s">
        <v>295</v>
      </c>
      <c r="C114" s="140" t="s">
        <v>82</v>
      </c>
      <c r="D114" s="140" t="s">
        <v>11</v>
      </c>
      <c r="E114" s="140" t="s">
        <v>12</v>
      </c>
      <c r="F114">
        <v>2.9</v>
      </c>
      <c r="G114" s="140" t="s">
        <v>296</v>
      </c>
      <c r="H114">
        <v>0</v>
      </c>
      <c r="I114" s="140" t="s">
        <v>14</v>
      </c>
    </row>
    <row r="115" spans="1:9" hidden="1" x14ac:dyDescent="0.25">
      <c r="A115">
        <v>2002</v>
      </c>
      <c r="B115" s="140" t="s">
        <v>295</v>
      </c>
      <c r="C115" s="140" t="s">
        <v>82</v>
      </c>
      <c r="D115" s="140" t="s">
        <v>11</v>
      </c>
      <c r="E115" s="140" t="s">
        <v>12</v>
      </c>
      <c r="F115">
        <v>2.4</v>
      </c>
      <c r="G115" s="140" t="s">
        <v>296</v>
      </c>
      <c r="H115">
        <v>0</v>
      </c>
      <c r="I115" s="140" t="s">
        <v>14</v>
      </c>
    </row>
    <row r="116" spans="1:9" hidden="1" x14ac:dyDescent="0.25">
      <c r="A116">
        <v>2003</v>
      </c>
      <c r="B116" s="140" t="s">
        <v>295</v>
      </c>
      <c r="C116" s="140" t="s">
        <v>82</v>
      </c>
      <c r="D116" s="140" t="s">
        <v>11</v>
      </c>
      <c r="E116" s="140" t="s">
        <v>12</v>
      </c>
      <c r="F116">
        <v>1.1000000000000001</v>
      </c>
      <c r="G116" s="140" t="s">
        <v>296</v>
      </c>
      <c r="H116">
        <v>0</v>
      </c>
      <c r="I116" s="140" t="s">
        <v>14</v>
      </c>
    </row>
    <row r="117" spans="1:9" hidden="1" x14ac:dyDescent="0.25">
      <c r="A117">
        <v>2004</v>
      </c>
      <c r="B117" s="140" t="s">
        <v>295</v>
      </c>
      <c r="C117" s="140" t="s">
        <v>82</v>
      </c>
      <c r="D117" s="140" t="s">
        <v>11</v>
      </c>
      <c r="E117" s="140" t="s">
        <v>12</v>
      </c>
      <c r="F117">
        <v>0.6</v>
      </c>
      <c r="G117" s="140" t="s">
        <v>296</v>
      </c>
      <c r="H117">
        <v>0</v>
      </c>
      <c r="I117" s="140" t="s">
        <v>14</v>
      </c>
    </row>
    <row r="118" spans="1:9" hidden="1" x14ac:dyDescent="0.25">
      <c r="A118">
        <v>2005</v>
      </c>
      <c r="B118" s="140" t="s">
        <v>295</v>
      </c>
      <c r="C118" s="140" t="s">
        <v>82</v>
      </c>
      <c r="D118" s="140" t="s">
        <v>11</v>
      </c>
      <c r="E118" s="140" t="s">
        <v>12</v>
      </c>
      <c r="F118">
        <v>0.5</v>
      </c>
      <c r="G118" s="140" t="s">
        <v>296</v>
      </c>
      <c r="H118">
        <v>0</v>
      </c>
      <c r="I118" s="140" t="s">
        <v>14</v>
      </c>
    </row>
    <row r="119" spans="1:9" hidden="1" x14ac:dyDescent="0.25">
      <c r="A119">
        <v>2006</v>
      </c>
      <c r="B119" s="140" t="s">
        <v>295</v>
      </c>
      <c r="C119" s="140" t="s">
        <v>82</v>
      </c>
      <c r="D119" s="140" t="s">
        <v>11</v>
      </c>
      <c r="E119" s="140" t="s">
        <v>12</v>
      </c>
      <c r="F119">
        <v>0.7</v>
      </c>
      <c r="G119" s="140" t="s">
        <v>296</v>
      </c>
      <c r="H119">
        <v>0</v>
      </c>
      <c r="I119" s="140" t="s">
        <v>14</v>
      </c>
    </row>
    <row r="120" spans="1:9" hidden="1" x14ac:dyDescent="0.25">
      <c r="A120">
        <v>2007</v>
      </c>
      <c r="B120" s="140" t="s">
        <v>295</v>
      </c>
      <c r="C120" s="140" t="s">
        <v>82</v>
      </c>
      <c r="D120" s="140" t="s">
        <v>11</v>
      </c>
      <c r="E120" s="140" t="s">
        <v>12</v>
      </c>
      <c r="F120">
        <v>1.5</v>
      </c>
      <c r="G120" s="140" t="s">
        <v>296</v>
      </c>
      <c r="H120">
        <v>0</v>
      </c>
      <c r="I120" s="140" t="s">
        <v>14</v>
      </c>
    </row>
    <row r="121" spans="1:9" hidden="1" x14ac:dyDescent="0.25">
      <c r="A121">
        <v>2008</v>
      </c>
      <c r="B121" s="140" t="s">
        <v>295</v>
      </c>
      <c r="C121" s="140" t="s">
        <v>82</v>
      </c>
      <c r="D121" s="140" t="s">
        <v>11</v>
      </c>
      <c r="E121" s="140" t="s">
        <v>12</v>
      </c>
      <c r="F121">
        <v>1.8</v>
      </c>
      <c r="G121" s="140" t="s">
        <v>296</v>
      </c>
      <c r="H121">
        <v>0</v>
      </c>
      <c r="I121" s="140" t="s">
        <v>14</v>
      </c>
    </row>
    <row r="122" spans="1:9" hidden="1" x14ac:dyDescent="0.25">
      <c r="A122">
        <v>2009</v>
      </c>
      <c r="B122" s="140" t="s">
        <v>295</v>
      </c>
      <c r="C122" s="140" t="s">
        <v>82</v>
      </c>
      <c r="D122" s="140" t="s">
        <v>11</v>
      </c>
      <c r="E122" s="140" t="s">
        <v>12</v>
      </c>
      <c r="F122">
        <v>2.2000000000000002</v>
      </c>
      <c r="G122" s="140" t="s">
        <v>296</v>
      </c>
      <c r="H122">
        <v>0</v>
      </c>
      <c r="I122" s="140" t="s">
        <v>14</v>
      </c>
    </row>
    <row r="123" spans="1:9" hidden="1" x14ac:dyDescent="0.25">
      <c r="A123">
        <v>2010</v>
      </c>
      <c r="B123" s="140" t="s">
        <v>295</v>
      </c>
      <c r="C123" s="140" t="s">
        <v>82</v>
      </c>
      <c r="D123" s="140" t="s">
        <v>11</v>
      </c>
      <c r="E123" s="140" t="s">
        <v>12</v>
      </c>
      <c r="F123">
        <v>1.7</v>
      </c>
      <c r="G123" s="140" t="s">
        <v>296</v>
      </c>
      <c r="H123">
        <v>0</v>
      </c>
      <c r="I123" s="140" t="s">
        <v>14</v>
      </c>
    </row>
    <row r="124" spans="1:9" hidden="1" x14ac:dyDescent="0.25">
      <c r="A124">
        <v>2011</v>
      </c>
      <c r="B124" s="140" t="s">
        <v>295</v>
      </c>
      <c r="C124" s="140" t="s">
        <v>82</v>
      </c>
      <c r="D124" s="140" t="s">
        <v>11</v>
      </c>
      <c r="E124" s="140" t="s">
        <v>12</v>
      </c>
      <c r="F124">
        <v>1.8</v>
      </c>
      <c r="G124" s="140" t="s">
        <v>296</v>
      </c>
      <c r="H124">
        <v>0</v>
      </c>
      <c r="I124" s="140" t="s">
        <v>14</v>
      </c>
    </row>
    <row r="125" spans="1:9" hidden="1" x14ac:dyDescent="0.25">
      <c r="A125">
        <v>2012</v>
      </c>
      <c r="B125" s="140" t="s">
        <v>295</v>
      </c>
      <c r="C125" s="140" t="s">
        <v>82</v>
      </c>
      <c r="D125" s="140" t="s">
        <v>11</v>
      </c>
      <c r="E125" s="140" t="s">
        <v>12</v>
      </c>
      <c r="F125">
        <v>2.1</v>
      </c>
      <c r="G125" s="140" t="s">
        <v>296</v>
      </c>
      <c r="H125">
        <v>0</v>
      </c>
      <c r="I125" s="140" t="s">
        <v>14</v>
      </c>
    </row>
    <row r="126" spans="1:9" hidden="1" x14ac:dyDescent="0.25">
      <c r="A126">
        <v>2013</v>
      </c>
      <c r="B126" s="140" t="s">
        <v>295</v>
      </c>
      <c r="C126" s="140" t="s">
        <v>82</v>
      </c>
      <c r="D126" s="140" t="s">
        <v>11</v>
      </c>
      <c r="E126" s="140" t="s">
        <v>12</v>
      </c>
      <c r="F126">
        <v>1.8</v>
      </c>
      <c r="G126" s="140" t="s">
        <v>296</v>
      </c>
      <c r="H126">
        <v>0</v>
      </c>
      <c r="I126" s="140" t="s">
        <v>14</v>
      </c>
    </row>
    <row r="127" spans="1:9" hidden="1" x14ac:dyDescent="0.25">
      <c r="A127">
        <v>2014</v>
      </c>
      <c r="B127" s="140" t="s">
        <v>295</v>
      </c>
      <c r="C127" s="140" t="s">
        <v>82</v>
      </c>
      <c r="D127" s="140" t="s">
        <v>11</v>
      </c>
      <c r="E127" s="140" t="s">
        <v>12</v>
      </c>
      <c r="F127">
        <v>1.6</v>
      </c>
      <c r="G127" s="140" t="s">
        <v>296</v>
      </c>
      <c r="H127">
        <v>0</v>
      </c>
      <c r="I127" s="140" t="s">
        <v>14</v>
      </c>
    </row>
    <row r="128" spans="1:9" hidden="1" x14ac:dyDescent="0.25">
      <c r="A128">
        <v>2015</v>
      </c>
      <c r="B128" s="140" t="s">
        <v>295</v>
      </c>
      <c r="C128" s="140" t="s">
        <v>82</v>
      </c>
      <c r="D128" s="140" t="s">
        <v>11</v>
      </c>
      <c r="E128" s="140" t="s">
        <v>12</v>
      </c>
      <c r="F128">
        <v>0.8</v>
      </c>
      <c r="G128" s="140" t="s">
        <v>296</v>
      </c>
      <c r="H128">
        <v>0</v>
      </c>
      <c r="I128" s="140" t="s">
        <v>14</v>
      </c>
    </row>
    <row r="129" spans="1:9" hidden="1" x14ac:dyDescent="0.25">
      <c r="A129">
        <v>2016</v>
      </c>
      <c r="B129" s="140" t="s">
        <v>295</v>
      </c>
      <c r="C129" s="140" t="s">
        <v>82</v>
      </c>
      <c r="D129" s="140" t="s">
        <v>11</v>
      </c>
      <c r="E129" s="140" t="s">
        <v>12</v>
      </c>
      <c r="F129">
        <v>1.1000000000000001</v>
      </c>
      <c r="G129" s="140" t="s">
        <v>296</v>
      </c>
      <c r="H129">
        <v>0</v>
      </c>
      <c r="I129" s="140" t="s">
        <v>14</v>
      </c>
    </row>
    <row r="130" spans="1:9" hidden="1" x14ac:dyDescent="0.25">
      <c r="A130">
        <v>2017</v>
      </c>
      <c r="B130" s="140" t="s">
        <v>295</v>
      </c>
      <c r="C130" s="140" t="s">
        <v>82</v>
      </c>
      <c r="D130" s="140" t="s">
        <v>11</v>
      </c>
      <c r="E130" s="140" t="s">
        <v>12</v>
      </c>
      <c r="F130">
        <v>0.6</v>
      </c>
      <c r="G130" s="140" t="s">
        <v>296</v>
      </c>
      <c r="H130">
        <v>0</v>
      </c>
      <c r="I130" s="140" t="s">
        <v>14</v>
      </c>
    </row>
    <row r="131" spans="1:9" hidden="1" x14ac:dyDescent="0.25">
      <c r="A131">
        <v>2018</v>
      </c>
      <c r="B131" s="140" t="s">
        <v>295</v>
      </c>
      <c r="C131" s="140" t="s">
        <v>82</v>
      </c>
      <c r="D131" s="140" t="s">
        <v>11</v>
      </c>
      <c r="E131" s="140" t="s">
        <v>12</v>
      </c>
      <c r="F131">
        <v>0.3</v>
      </c>
      <c r="G131" s="140" t="s">
        <v>296</v>
      </c>
      <c r="H131">
        <v>0</v>
      </c>
      <c r="I131" s="140" t="s">
        <v>14</v>
      </c>
    </row>
    <row r="132" spans="1:9" hidden="1" x14ac:dyDescent="0.25">
      <c r="A132">
        <v>2019</v>
      </c>
      <c r="B132" s="140" t="s">
        <v>295</v>
      </c>
      <c r="C132" s="140" t="s">
        <v>82</v>
      </c>
      <c r="D132" s="140" t="s">
        <v>11</v>
      </c>
      <c r="E132" s="140" t="s">
        <v>12</v>
      </c>
      <c r="F132">
        <v>0.7</v>
      </c>
      <c r="G132" s="140" t="s">
        <v>296</v>
      </c>
      <c r="H132">
        <v>0</v>
      </c>
      <c r="I132" s="140" t="s">
        <v>14</v>
      </c>
    </row>
    <row r="133" spans="1:9" hidden="1" x14ac:dyDescent="0.25">
      <c r="A133">
        <v>2020</v>
      </c>
      <c r="B133" s="140" t="s">
        <v>295</v>
      </c>
      <c r="C133" s="140" t="s">
        <v>82</v>
      </c>
      <c r="D133" s="140" t="s">
        <v>11</v>
      </c>
      <c r="E133" s="140" t="s">
        <v>12</v>
      </c>
      <c r="F133">
        <v>0.5</v>
      </c>
      <c r="G133" s="140" t="s">
        <v>296</v>
      </c>
      <c r="H133">
        <v>0</v>
      </c>
      <c r="I133" s="140" t="s">
        <v>14</v>
      </c>
    </row>
    <row r="134" spans="1:9" hidden="1" x14ac:dyDescent="0.25">
      <c r="A134">
        <v>2021</v>
      </c>
      <c r="B134" s="140" t="s">
        <v>295</v>
      </c>
      <c r="C134" s="140" t="s">
        <v>82</v>
      </c>
      <c r="D134" s="140" t="s">
        <v>11</v>
      </c>
      <c r="E134" s="140" t="s">
        <v>12</v>
      </c>
      <c r="F134">
        <v>1.2</v>
      </c>
      <c r="G134" s="140" t="s">
        <v>296</v>
      </c>
      <c r="H134">
        <v>0</v>
      </c>
      <c r="I134" s="140" t="s">
        <v>14</v>
      </c>
    </row>
    <row r="135" spans="1:9" hidden="1" x14ac:dyDescent="0.25">
      <c r="A135">
        <v>2022</v>
      </c>
      <c r="B135" s="140" t="s">
        <v>295</v>
      </c>
      <c r="C135" s="140" t="s">
        <v>82</v>
      </c>
      <c r="D135" s="140" t="s">
        <v>11</v>
      </c>
      <c r="E135" s="140" t="s">
        <v>12</v>
      </c>
      <c r="F135">
        <v>3.6</v>
      </c>
      <c r="G135" s="140" t="s">
        <v>296</v>
      </c>
      <c r="H135">
        <v>0</v>
      </c>
      <c r="I135" s="140" t="s">
        <v>14</v>
      </c>
    </row>
    <row r="136" spans="1:9" hidden="1" x14ac:dyDescent="0.25">
      <c r="A136">
        <v>2023</v>
      </c>
      <c r="B136" s="140" t="s">
        <v>295</v>
      </c>
      <c r="C136" s="140" t="s">
        <v>82</v>
      </c>
      <c r="D136" s="140" t="s">
        <v>11</v>
      </c>
      <c r="E136" s="140" t="s">
        <v>12</v>
      </c>
      <c r="F136">
        <v>4.0999999999999996</v>
      </c>
      <c r="G136" s="140" t="s">
        <v>296</v>
      </c>
      <c r="H136">
        <v>0</v>
      </c>
      <c r="I136" s="140" t="s">
        <v>14</v>
      </c>
    </row>
    <row r="137" spans="1:9" hidden="1" x14ac:dyDescent="0.25">
      <c r="A137">
        <v>2024</v>
      </c>
      <c r="B137" s="140" t="s">
        <v>295</v>
      </c>
      <c r="C137" s="140" t="s">
        <v>82</v>
      </c>
      <c r="D137" s="140" t="s">
        <v>11</v>
      </c>
      <c r="E137" s="140" t="s">
        <v>12</v>
      </c>
      <c r="F137">
        <v>2.2000000000000002</v>
      </c>
      <c r="G137" s="140" t="s">
        <v>296</v>
      </c>
      <c r="H137">
        <v>0</v>
      </c>
      <c r="I137" s="140" t="s">
        <v>14</v>
      </c>
    </row>
    <row r="138" spans="1:9" hidden="1" x14ac:dyDescent="0.25">
      <c r="A138">
        <v>2025</v>
      </c>
      <c r="B138" s="140" t="s">
        <v>295</v>
      </c>
      <c r="C138" s="140" t="s">
        <v>82</v>
      </c>
      <c r="D138" s="140" t="s">
        <v>11</v>
      </c>
      <c r="E138" s="140" t="s">
        <v>12</v>
      </c>
      <c r="F138">
        <v>2.4</v>
      </c>
      <c r="G138" s="140" t="s">
        <v>296</v>
      </c>
      <c r="H138">
        <v>0</v>
      </c>
      <c r="I138" s="140" t="s">
        <v>14</v>
      </c>
    </row>
    <row r="139" spans="1:9" hidden="1" x14ac:dyDescent="0.25">
      <c r="A139">
        <v>2026</v>
      </c>
      <c r="B139" s="140" t="s">
        <v>295</v>
      </c>
      <c r="C139" s="140" t="s">
        <v>82</v>
      </c>
      <c r="D139" s="140" t="s">
        <v>11</v>
      </c>
      <c r="E139" s="140" t="s">
        <v>12</v>
      </c>
      <c r="F139">
        <v>1.8058665789999999</v>
      </c>
      <c r="G139" s="140" t="s">
        <v>296</v>
      </c>
      <c r="H139">
        <v>0</v>
      </c>
      <c r="I139" s="140" t="s">
        <v>14</v>
      </c>
    </row>
    <row r="140" spans="1:9" hidden="1" x14ac:dyDescent="0.25">
      <c r="A140">
        <v>2027</v>
      </c>
      <c r="B140" s="140" t="s">
        <v>295</v>
      </c>
      <c r="C140" s="140" t="s">
        <v>82</v>
      </c>
      <c r="D140" s="140" t="s">
        <v>11</v>
      </c>
      <c r="E140" s="140" t="s">
        <v>12</v>
      </c>
      <c r="F140">
        <v>1.8867576699999999</v>
      </c>
      <c r="G140" s="140" t="s">
        <v>296</v>
      </c>
      <c r="H140">
        <v>0</v>
      </c>
      <c r="I140" s="140" t="s">
        <v>14</v>
      </c>
    </row>
    <row r="141" spans="1:9" hidden="1" x14ac:dyDescent="0.25">
      <c r="A141">
        <v>2028</v>
      </c>
      <c r="B141" s="140" t="s">
        <v>295</v>
      </c>
      <c r="C141" s="140" t="s">
        <v>82</v>
      </c>
      <c r="D141" s="140" t="s">
        <v>11</v>
      </c>
      <c r="E141" s="140" t="s">
        <v>12</v>
      </c>
      <c r="F141">
        <v>1.846434709</v>
      </c>
      <c r="G141" s="140" t="s">
        <v>296</v>
      </c>
      <c r="H141">
        <v>0</v>
      </c>
      <c r="I141" s="140" t="s">
        <v>14</v>
      </c>
    </row>
    <row r="142" spans="1:9" hidden="1" x14ac:dyDescent="0.25">
      <c r="A142">
        <v>2010</v>
      </c>
      <c r="B142" s="140" t="s">
        <v>197</v>
      </c>
      <c r="C142" s="140" t="s">
        <v>198</v>
      </c>
      <c r="D142" s="140" t="s">
        <v>11</v>
      </c>
      <c r="E142" s="140" t="s">
        <v>12</v>
      </c>
      <c r="F142">
        <v>2.933236178</v>
      </c>
      <c r="G142" s="140" t="s">
        <v>227</v>
      </c>
      <c r="H142">
        <v>0</v>
      </c>
      <c r="I142" s="140" t="s">
        <v>14</v>
      </c>
    </row>
    <row r="143" spans="1:9" hidden="1" x14ac:dyDescent="0.25">
      <c r="A143">
        <v>2011</v>
      </c>
      <c r="B143" s="140" t="s">
        <v>197</v>
      </c>
      <c r="C143" s="140" t="s">
        <v>198</v>
      </c>
      <c r="D143" s="140" t="s">
        <v>11</v>
      </c>
      <c r="E143" s="140" t="s">
        <v>12</v>
      </c>
      <c r="F143">
        <v>2.933236178</v>
      </c>
      <c r="G143" s="140" t="s">
        <v>227</v>
      </c>
      <c r="H143">
        <v>0</v>
      </c>
      <c r="I143" s="140" t="s">
        <v>14</v>
      </c>
    </row>
    <row r="144" spans="1:9" hidden="1" x14ac:dyDescent="0.25">
      <c r="A144">
        <v>2012</v>
      </c>
      <c r="B144" s="140" t="s">
        <v>197</v>
      </c>
      <c r="C144" s="140" t="s">
        <v>198</v>
      </c>
      <c r="D144" s="140" t="s">
        <v>11</v>
      </c>
      <c r="E144" s="140" t="s">
        <v>12</v>
      </c>
      <c r="F144">
        <v>3.0557501839999999</v>
      </c>
      <c r="G144" s="140" t="s">
        <v>227</v>
      </c>
      <c r="H144">
        <v>0</v>
      </c>
      <c r="I144" s="140" t="s">
        <v>14</v>
      </c>
    </row>
    <row r="145" spans="1:9" hidden="1" x14ac:dyDescent="0.25">
      <c r="A145">
        <v>2013</v>
      </c>
      <c r="B145" s="140" t="s">
        <v>197</v>
      </c>
      <c r="C145" s="140" t="s">
        <v>198</v>
      </c>
      <c r="D145" s="140" t="s">
        <v>11</v>
      </c>
      <c r="E145" s="140" t="s">
        <v>12</v>
      </c>
      <c r="F145">
        <v>1.898599964</v>
      </c>
      <c r="G145" s="140" t="s">
        <v>227</v>
      </c>
      <c r="H145">
        <v>0</v>
      </c>
      <c r="I145" s="140" t="s">
        <v>14</v>
      </c>
    </row>
    <row r="146" spans="1:9" hidden="1" x14ac:dyDescent="0.25">
      <c r="A146">
        <v>2014</v>
      </c>
      <c r="B146" s="140" t="s">
        <v>197</v>
      </c>
      <c r="C146" s="140" t="s">
        <v>198</v>
      </c>
      <c r="D146" s="140" t="s">
        <v>11</v>
      </c>
      <c r="E146" s="140" t="s">
        <v>12</v>
      </c>
      <c r="F146">
        <v>1.2962961049999999</v>
      </c>
      <c r="G146" s="140" t="s">
        <v>227</v>
      </c>
      <c r="H146">
        <v>0</v>
      </c>
      <c r="I146" s="140" t="s">
        <v>14</v>
      </c>
    </row>
    <row r="147" spans="1:9" hidden="1" x14ac:dyDescent="0.25">
      <c r="A147">
        <v>2015</v>
      </c>
      <c r="B147" s="140" t="s">
        <v>197</v>
      </c>
      <c r="C147" s="140" t="s">
        <v>198</v>
      </c>
      <c r="D147" s="140" t="s">
        <v>11</v>
      </c>
      <c r="E147" s="140" t="s">
        <v>12</v>
      </c>
      <c r="F147">
        <v>0.86612970300000003</v>
      </c>
      <c r="G147" s="140" t="s">
        <v>227</v>
      </c>
      <c r="H147">
        <v>0</v>
      </c>
      <c r="I147" s="140" t="s">
        <v>14</v>
      </c>
    </row>
    <row r="148" spans="1:9" hidden="1" x14ac:dyDescent="0.25">
      <c r="A148">
        <v>2016</v>
      </c>
      <c r="B148" s="140" t="s">
        <v>197</v>
      </c>
      <c r="C148" s="140" t="s">
        <v>198</v>
      </c>
      <c r="D148" s="140" t="s">
        <v>11</v>
      </c>
      <c r="E148" s="140" t="s">
        <v>12</v>
      </c>
      <c r="F148">
        <v>0.73024794999999998</v>
      </c>
      <c r="G148" s="140" t="s">
        <v>227</v>
      </c>
      <c r="H148">
        <v>0</v>
      </c>
      <c r="I148" s="140" t="s">
        <v>14</v>
      </c>
    </row>
    <row r="149" spans="1:9" hidden="1" x14ac:dyDescent="0.25">
      <c r="A149">
        <v>2017</v>
      </c>
      <c r="B149" s="140" t="s">
        <v>197</v>
      </c>
      <c r="C149" s="140" t="s">
        <v>198</v>
      </c>
      <c r="D149" s="140" t="s">
        <v>11</v>
      </c>
      <c r="E149" s="140" t="s">
        <v>12</v>
      </c>
      <c r="F149">
        <v>0.38123077999999999</v>
      </c>
      <c r="G149" s="140" t="s">
        <v>227</v>
      </c>
      <c r="H149">
        <v>0</v>
      </c>
      <c r="I149" s="140" t="s">
        <v>14</v>
      </c>
    </row>
    <row r="150" spans="1:9" hidden="1" x14ac:dyDescent="0.25">
      <c r="A150">
        <v>2018</v>
      </c>
      <c r="B150" s="140" t="s">
        <v>197</v>
      </c>
      <c r="C150" s="140" t="s">
        <v>198</v>
      </c>
      <c r="D150" s="140" t="s">
        <v>11</v>
      </c>
      <c r="E150" s="140" t="s">
        <v>12</v>
      </c>
      <c r="F150">
        <v>1.49520209</v>
      </c>
      <c r="G150" s="140" t="s">
        <v>227</v>
      </c>
      <c r="H150">
        <v>0</v>
      </c>
      <c r="I150" s="140" t="s">
        <v>14</v>
      </c>
    </row>
    <row r="151" spans="1:9" hidden="1" x14ac:dyDescent="0.25">
      <c r="A151">
        <v>2019</v>
      </c>
      <c r="B151" s="140" t="s">
        <v>197</v>
      </c>
      <c r="C151" s="140" t="s">
        <v>198</v>
      </c>
      <c r="D151" s="140" t="s">
        <v>11</v>
      </c>
      <c r="E151" s="140" t="s">
        <v>12</v>
      </c>
      <c r="F151">
        <v>1.744621075</v>
      </c>
      <c r="G151" s="140" t="s">
        <v>227</v>
      </c>
      <c r="H151">
        <v>0</v>
      </c>
      <c r="I151" s="140" t="s">
        <v>14</v>
      </c>
    </row>
    <row r="152" spans="1:9" hidden="1" x14ac:dyDescent="0.25">
      <c r="A152">
        <v>2020</v>
      </c>
      <c r="B152" s="140" t="s">
        <v>197</v>
      </c>
      <c r="C152" s="140" t="s">
        <v>198</v>
      </c>
      <c r="D152" s="140" t="s">
        <v>11</v>
      </c>
      <c r="E152" s="140" t="s">
        <v>12</v>
      </c>
      <c r="F152">
        <v>1.3932758839999999</v>
      </c>
      <c r="G152" s="140" t="s">
        <v>227</v>
      </c>
      <c r="H152">
        <v>0</v>
      </c>
      <c r="I152" s="140" t="s">
        <v>14</v>
      </c>
    </row>
    <row r="153" spans="1:9" hidden="1" x14ac:dyDescent="0.25">
      <c r="A153">
        <v>2021</v>
      </c>
      <c r="B153" s="140" t="s">
        <v>197</v>
      </c>
      <c r="C153" s="140" t="s">
        <v>198</v>
      </c>
      <c r="D153" s="140" t="s">
        <v>11</v>
      </c>
      <c r="E153" s="140" t="s">
        <v>12</v>
      </c>
      <c r="F153">
        <v>2.3502304110000001</v>
      </c>
      <c r="G153" s="140" t="s">
        <v>227</v>
      </c>
      <c r="H153">
        <v>0</v>
      </c>
      <c r="I153" s="140" t="s">
        <v>14</v>
      </c>
    </row>
    <row r="154" spans="1:9" hidden="1" x14ac:dyDescent="0.25">
      <c r="A154">
        <v>2022</v>
      </c>
      <c r="B154" s="140" t="s">
        <v>197</v>
      </c>
      <c r="C154" s="140" t="s">
        <v>198</v>
      </c>
      <c r="D154" s="140" t="s">
        <v>11</v>
      </c>
      <c r="E154" s="140" t="s">
        <v>12</v>
      </c>
      <c r="F154">
        <v>3.9756073519999999</v>
      </c>
      <c r="G154" s="140" t="s">
        <v>227</v>
      </c>
      <c r="H154">
        <v>0</v>
      </c>
      <c r="I154" s="140" t="s">
        <v>14</v>
      </c>
    </row>
    <row r="155" spans="1:9" hidden="1" x14ac:dyDescent="0.25">
      <c r="A155">
        <v>2023</v>
      </c>
      <c r="B155" s="140" t="s">
        <v>197</v>
      </c>
      <c r="C155" s="140" t="s">
        <v>198</v>
      </c>
      <c r="D155" s="140" t="s">
        <v>11</v>
      </c>
      <c r="E155" s="140" t="s">
        <v>12</v>
      </c>
      <c r="F155">
        <v>4.8925400559999996</v>
      </c>
      <c r="G155" s="140" t="s">
        <v>227</v>
      </c>
      <c r="H155">
        <v>0</v>
      </c>
      <c r="I155" s="140" t="s">
        <v>14</v>
      </c>
    </row>
    <row r="156" spans="1:9" hidden="1" x14ac:dyDescent="0.25">
      <c r="A156">
        <v>2024</v>
      </c>
      <c r="B156" s="140" t="s">
        <v>197</v>
      </c>
      <c r="C156" s="140" t="s">
        <v>198</v>
      </c>
      <c r="D156" s="140" t="s">
        <v>11</v>
      </c>
      <c r="E156" s="140" t="s">
        <v>12</v>
      </c>
      <c r="F156">
        <v>2.7755984200000001</v>
      </c>
      <c r="G156" s="140" t="s">
        <v>227</v>
      </c>
      <c r="H156">
        <v>0</v>
      </c>
      <c r="I156" s="140" t="s">
        <v>14</v>
      </c>
    </row>
    <row r="157" spans="1:9" hidden="1" x14ac:dyDescent="0.25">
      <c r="A157">
        <v>2025</v>
      </c>
      <c r="B157" s="140" t="s">
        <v>197</v>
      </c>
      <c r="C157" s="140" t="s">
        <v>198</v>
      </c>
      <c r="D157" s="140" t="s">
        <v>11</v>
      </c>
      <c r="E157" s="140" t="s">
        <v>12</v>
      </c>
      <c r="F157">
        <v>2.144495042</v>
      </c>
      <c r="G157" s="140" t="s">
        <v>227</v>
      </c>
      <c r="H157">
        <v>0</v>
      </c>
      <c r="I157" s="140" t="s">
        <v>14</v>
      </c>
    </row>
    <row r="158" spans="1:9" hidden="1" x14ac:dyDescent="0.25">
      <c r="A158">
        <v>2026</v>
      </c>
      <c r="B158" s="140" t="s">
        <v>197</v>
      </c>
      <c r="C158" s="140" t="s">
        <v>198</v>
      </c>
      <c r="D158" s="140" t="s">
        <v>11</v>
      </c>
      <c r="E158" s="140" t="s">
        <v>12</v>
      </c>
      <c r="F158">
        <v>3.0444755379999999</v>
      </c>
      <c r="G158" s="140" t="s">
        <v>227</v>
      </c>
      <c r="H158">
        <v>0</v>
      </c>
      <c r="I158" s="140" t="s">
        <v>14</v>
      </c>
    </row>
    <row r="159" spans="1:9" hidden="1" x14ac:dyDescent="0.25">
      <c r="A159">
        <v>2027</v>
      </c>
      <c r="B159" s="140" t="s">
        <v>197</v>
      </c>
      <c r="C159" s="140" t="s">
        <v>198</v>
      </c>
      <c r="D159" s="140" t="s">
        <v>11</v>
      </c>
      <c r="E159" s="140" t="s">
        <v>12</v>
      </c>
      <c r="F159">
        <v>2.7473007790000001</v>
      </c>
      <c r="G159" s="140" t="s">
        <v>227</v>
      </c>
      <c r="H159">
        <v>0</v>
      </c>
      <c r="I159" s="140" t="s">
        <v>14</v>
      </c>
    </row>
    <row r="160" spans="1:9" hidden="1" x14ac:dyDescent="0.25">
      <c r="A160">
        <v>2028</v>
      </c>
      <c r="B160" s="140" t="s">
        <v>197</v>
      </c>
      <c r="C160" s="140" t="s">
        <v>198</v>
      </c>
      <c r="D160" s="140" t="s">
        <v>11</v>
      </c>
      <c r="E160" s="140" t="s">
        <v>12</v>
      </c>
      <c r="F160">
        <v>2.9727057430000001</v>
      </c>
      <c r="G160" s="140" t="s">
        <v>227</v>
      </c>
      <c r="H160">
        <v>0</v>
      </c>
      <c r="I160" s="140" t="s">
        <v>14</v>
      </c>
    </row>
    <row r="161" spans="1:9" hidden="1" x14ac:dyDescent="0.25">
      <c r="A161">
        <v>2029</v>
      </c>
      <c r="B161" s="140" t="s">
        <v>197</v>
      </c>
      <c r="C161" s="140" t="s">
        <v>198</v>
      </c>
      <c r="D161" s="140" t="s">
        <v>11</v>
      </c>
      <c r="E161" s="140" t="s">
        <v>12</v>
      </c>
      <c r="F161">
        <v>2.8</v>
      </c>
      <c r="G161" s="140" t="s">
        <v>227</v>
      </c>
      <c r="H161">
        <v>0</v>
      </c>
      <c r="I161" s="140" t="s">
        <v>14</v>
      </c>
    </row>
    <row r="162" spans="1:9" hidden="1" x14ac:dyDescent="0.25">
      <c r="A162">
        <v>2030</v>
      </c>
      <c r="B162" s="140" t="s">
        <v>197</v>
      </c>
      <c r="C162" s="140" t="s">
        <v>198</v>
      </c>
      <c r="D162" s="140" t="s">
        <v>11</v>
      </c>
      <c r="E162" s="140" t="s">
        <v>12</v>
      </c>
      <c r="F162">
        <v>2.8</v>
      </c>
      <c r="G162" s="140" t="s">
        <v>227</v>
      </c>
      <c r="H162">
        <v>0</v>
      </c>
      <c r="I162" s="140" t="s">
        <v>14</v>
      </c>
    </row>
    <row r="163" spans="1:9" hidden="1" x14ac:dyDescent="0.25">
      <c r="A163">
        <v>2010</v>
      </c>
      <c r="B163" s="140" t="s">
        <v>199</v>
      </c>
      <c r="C163" s="140" t="s">
        <v>198</v>
      </c>
      <c r="D163" s="140" t="s">
        <v>11</v>
      </c>
      <c r="E163" s="140" t="s">
        <v>12</v>
      </c>
      <c r="F163">
        <v>3.5669067299999999</v>
      </c>
      <c r="G163" s="140" t="s">
        <v>200</v>
      </c>
      <c r="H163">
        <v>0</v>
      </c>
      <c r="I163" s="140" t="s">
        <v>14</v>
      </c>
    </row>
    <row r="164" spans="1:9" hidden="1" x14ac:dyDescent="0.25">
      <c r="A164">
        <v>2011</v>
      </c>
      <c r="B164" s="140" t="s">
        <v>199</v>
      </c>
      <c r="C164" s="140" t="s">
        <v>198</v>
      </c>
      <c r="D164" s="140" t="s">
        <v>11</v>
      </c>
      <c r="E164" s="140" t="s">
        <v>12</v>
      </c>
      <c r="F164">
        <v>3.5669067299999999</v>
      </c>
      <c r="G164" s="140" t="s">
        <v>200</v>
      </c>
      <c r="H164">
        <v>0</v>
      </c>
      <c r="I164" s="140" t="s">
        <v>14</v>
      </c>
    </row>
    <row r="165" spans="1:9" hidden="1" x14ac:dyDescent="0.25">
      <c r="A165">
        <v>2012</v>
      </c>
      <c r="B165" s="140" t="s">
        <v>199</v>
      </c>
      <c r="C165" s="140" t="s">
        <v>198</v>
      </c>
      <c r="D165" s="140" t="s">
        <v>11</v>
      </c>
      <c r="E165" s="140" t="s">
        <v>12</v>
      </c>
      <c r="F165">
        <v>3.1205201759999999</v>
      </c>
      <c r="G165" s="140" t="s">
        <v>200</v>
      </c>
      <c r="H165">
        <v>0</v>
      </c>
      <c r="I165" s="140" t="s">
        <v>14</v>
      </c>
    </row>
    <row r="166" spans="1:9" hidden="1" x14ac:dyDescent="0.25">
      <c r="A166">
        <v>2013</v>
      </c>
      <c r="B166" s="140" t="s">
        <v>199</v>
      </c>
      <c r="C166" s="140" t="s">
        <v>198</v>
      </c>
      <c r="D166" s="140" t="s">
        <v>11</v>
      </c>
      <c r="E166" s="140" t="s">
        <v>12</v>
      </c>
      <c r="F166">
        <v>1.8226559659999999</v>
      </c>
      <c r="G166" s="140" t="s">
        <v>200</v>
      </c>
      <c r="H166">
        <v>0</v>
      </c>
      <c r="I166" s="140" t="s">
        <v>14</v>
      </c>
    </row>
    <row r="167" spans="1:9" hidden="1" x14ac:dyDescent="0.25">
      <c r="A167">
        <v>2014</v>
      </c>
      <c r="B167" s="140" t="s">
        <v>199</v>
      </c>
      <c r="C167" s="140" t="s">
        <v>198</v>
      </c>
      <c r="D167" s="140" t="s">
        <v>11</v>
      </c>
      <c r="E167" s="140" t="s">
        <v>12</v>
      </c>
      <c r="F167">
        <v>0.96944426100000003</v>
      </c>
      <c r="G167" s="140" t="s">
        <v>200</v>
      </c>
      <c r="H167">
        <v>0</v>
      </c>
      <c r="I167" s="140" t="s">
        <v>14</v>
      </c>
    </row>
    <row r="168" spans="1:9" hidden="1" x14ac:dyDescent="0.25">
      <c r="A168">
        <v>2015</v>
      </c>
      <c r="B168" s="140" t="s">
        <v>199</v>
      </c>
      <c r="C168" s="140" t="s">
        <v>198</v>
      </c>
      <c r="D168" s="140" t="s">
        <v>11</v>
      </c>
      <c r="E168" s="140" t="s">
        <v>12</v>
      </c>
      <c r="F168">
        <v>0.44848451499999997</v>
      </c>
      <c r="G168" s="140" t="s">
        <v>200</v>
      </c>
      <c r="H168">
        <v>0</v>
      </c>
      <c r="I168" s="140" t="s">
        <v>14</v>
      </c>
    </row>
    <row r="169" spans="1:9" hidden="1" x14ac:dyDescent="0.25">
      <c r="A169">
        <v>2016</v>
      </c>
      <c r="B169" s="140" t="s">
        <v>199</v>
      </c>
      <c r="C169" s="140" t="s">
        <v>198</v>
      </c>
      <c r="D169" s="140" t="s">
        <v>11</v>
      </c>
      <c r="E169" s="140" t="s">
        <v>12</v>
      </c>
      <c r="F169">
        <v>0.477038032</v>
      </c>
      <c r="G169" s="140" t="s">
        <v>200</v>
      </c>
      <c r="H169">
        <v>0</v>
      </c>
      <c r="I169" s="140" t="s">
        <v>14</v>
      </c>
    </row>
    <row r="170" spans="1:9" hidden="1" x14ac:dyDescent="0.25">
      <c r="A170">
        <v>2017</v>
      </c>
      <c r="B170" s="140" t="s">
        <v>199</v>
      </c>
      <c r="C170" s="140" t="s">
        <v>198</v>
      </c>
      <c r="D170" s="140" t="s">
        <v>11</v>
      </c>
      <c r="E170" s="140" t="s">
        <v>12</v>
      </c>
      <c r="F170">
        <v>1.0239815489999999</v>
      </c>
      <c r="G170" s="140" t="s">
        <v>200</v>
      </c>
      <c r="H170">
        <v>0</v>
      </c>
      <c r="I170" s="140" t="s">
        <v>14</v>
      </c>
    </row>
    <row r="171" spans="1:9" hidden="1" x14ac:dyDescent="0.25">
      <c r="A171">
        <v>2018</v>
      </c>
      <c r="B171" s="140" t="s">
        <v>199</v>
      </c>
      <c r="C171" s="140" t="s">
        <v>198</v>
      </c>
      <c r="D171" s="140" t="s">
        <v>11</v>
      </c>
      <c r="E171" s="140" t="s">
        <v>12</v>
      </c>
      <c r="F171">
        <v>2.0193940060000002</v>
      </c>
      <c r="G171" s="140" t="s">
        <v>200</v>
      </c>
      <c r="H171">
        <v>0</v>
      </c>
      <c r="I171" s="140" t="s">
        <v>14</v>
      </c>
    </row>
    <row r="172" spans="1:9" hidden="1" x14ac:dyDescent="0.25">
      <c r="A172">
        <v>2019</v>
      </c>
      <c r="B172" s="140" t="s">
        <v>199</v>
      </c>
      <c r="C172" s="140" t="s">
        <v>198</v>
      </c>
      <c r="D172" s="140" t="s">
        <v>11</v>
      </c>
      <c r="E172" s="140" t="s">
        <v>12</v>
      </c>
      <c r="F172">
        <v>1.7148362319999999</v>
      </c>
      <c r="G172" s="140" t="s">
        <v>200</v>
      </c>
      <c r="H172">
        <v>0</v>
      </c>
      <c r="I172" s="140" t="s">
        <v>14</v>
      </c>
    </row>
    <row r="173" spans="1:9" hidden="1" x14ac:dyDescent="0.25">
      <c r="A173">
        <v>2020</v>
      </c>
      <c r="B173" s="140" t="s">
        <v>199</v>
      </c>
      <c r="C173" s="140" t="s">
        <v>198</v>
      </c>
      <c r="D173" s="140" t="s">
        <v>11</v>
      </c>
      <c r="E173" s="140" t="s">
        <v>12</v>
      </c>
      <c r="F173">
        <v>0.80954484900000001</v>
      </c>
      <c r="G173" s="140" t="s">
        <v>200</v>
      </c>
      <c r="H173">
        <v>0</v>
      </c>
      <c r="I173" s="140" t="s">
        <v>14</v>
      </c>
    </row>
    <row r="174" spans="1:9" hidden="1" x14ac:dyDescent="0.25">
      <c r="A174">
        <v>2021</v>
      </c>
      <c r="B174" s="140" t="s">
        <v>199</v>
      </c>
      <c r="C174" s="140" t="s">
        <v>198</v>
      </c>
      <c r="D174" s="140" t="s">
        <v>11</v>
      </c>
      <c r="E174" s="140" t="s">
        <v>12</v>
      </c>
      <c r="F174">
        <v>3.5292211949999999</v>
      </c>
      <c r="G174" s="140" t="s">
        <v>200</v>
      </c>
      <c r="H174">
        <v>0</v>
      </c>
      <c r="I174" s="140" t="s">
        <v>14</v>
      </c>
    </row>
    <row r="175" spans="1:9" hidden="1" x14ac:dyDescent="0.25">
      <c r="A175">
        <v>2022</v>
      </c>
      <c r="B175" s="140" t="s">
        <v>199</v>
      </c>
      <c r="C175" s="140" t="s">
        <v>198</v>
      </c>
      <c r="D175" s="140" t="s">
        <v>11</v>
      </c>
      <c r="E175" s="140" t="s">
        <v>12</v>
      </c>
      <c r="F175">
        <v>6.0805830580000002</v>
      </c>
      <c r="G175" s="140" t="s">
        <v>200</v>
      </c>
      <c r="H175">
        <v>0</v>
      </c>
      <c r="I175" s="140" t="s">
        <v>14</v>
      </c>
    </row>
    <row r="176" spans="1:9" hidden="1" x14ac:dyDescent="0.25">
      <c r="A176">
        <v>2023</v>
      </c>
      <c r="B176" s="140" t="s">
        <v>199</v>
      </c>
      <c r="C176" s="140" t="s">
        <v>198</v>
      </c>
      <c r="D176" s="140" t="s">
        <v>11</v>
      </c>
      <c r="E176" s="140" t="s">
        <v>12</v>
      </c>
      <c r="F176">
        <v>3.6848384539999999</v>
      </c>
      <c r="G176" s="140" t="s">
        <v>200</v>
      </c>
      <c r="H176">
        <v>0</v>
      </c>
      <c r="I176" s="140" t="s">
        <v>14</v>
      </c>
    </row>
    <row r="177" spans="1:9" hidden="1" x14ac:dyDescent="0.25">
      <c r="A177">
        <v>2024</v>
      </c>
      <c r="B177" s="140" t="s">
        <v>199</v>
      </c>
      <c r="C177" s="140" t="s">
        <v>198</v>
      </c>
      <c r="D177" s="140" t="s">
        <v>11</v>
      </c>
      <c r="E177" s="140" t="s">
        <v>12</v>
      </c>
      <c r="F177">
        <v>2.3085744830000001</v>
      </c>
      <c r="G177" s="140" t="s">
        <v>200</v>
      </c>
      <c r="H177">
        <v>0</v>
      </c>
      <c r="I177" s="140" t="s">
        <v>14</v>
      </c>
    </row>
    <row r="178" spans="1:9" hidden="1" x14ac:dyDescent="0.25">
      <c r="A178">
        <v>2025</v>
      </c>
      <c r="B178" s="140" t="s">
        <v>199</v>
      </c>
      <c r="C178" s="140" t="s">
        <v>198</v>
      </c>
      <c r="D178" s="140" t="s">
        <v>11</v>
      </c>
      <c r="E178" s="140" t="s">
        <v>12</v>
      </c>
      <c r="F178">
        <v>1.96571524</v>
      </c>
      <c r="G178" s="140" t="s">
        <v>200</v>
      </c>
      <c r="H178">
        <v>0</v>
      </c>
      <c r="I178" s="140" t="s">
        <v>14</v>
      </c>
    </row>
    <row r="179" spans="1:9" hidden="1" x14ac:dyDescent="0.25">
      <c r="A179">
        <v>2026</v>
      </c>
      <c r="B179" s="140" t="s">
        <v>199</v>
      </c>
      <c r="C179" s="140" t="s">
        <v>198</v>
      </c>
      <c r="D179" s="140" t="s">
        <v>11</v>
      </c>
      <c r="E179" s="140" t="s">
        <v>12</v>
      </c>
      <c r="F179">
        <v>3.187007071</v>
      </c>
      <c r="G179" s="140" t="s">
        <v>200</v>
      </c>
      <c r="H179">
        <v>0</v>
      </c>
      <c r="I179" s="140" t="s">
        <v>14</v>
      </c>
    </row>
    <row r="180" spans="1:9" hidden="1" x14ac:dyDescent="0.25">
      <c r="A180">
        <v>2027</v>
      </c>
      <c r="B180" s="140" t="s">
        <v>199</v>
      </c>
      <c r="C180" s="140" t="s">
        <v>198</v>
      </c>
      <c r="D180" s="140" t="s">
        <v>11</v>
      </c>
      <c r="E180" s="140" t="s">
        <v>12</v>
      </c>
      <c r="F180">
        <v>2.7174271339999998</v>
      </c>
      <c r="G180" s="140" t="s">
        <v>200</v>
      </c>
      <c r="H180">
        <v>0</v>
      </c>
      <c r="I180" s="140" t="s">
        <v>14</v>
      </c>
    </row>
    <row r="181" spans="1:9" hidden="1" x14ac:dyDescent="0.25">
      <c r="A181">
        <v>2028</v>
      </c>
      <c r="B181" s="140" t="s">
        <v>199</v>
      </c>
      <c r="C181" s="140" t="s">
        <v>198</v>
      </c>
      <c r="D181" s="140" t="s">
        <v>11</v>
      </c>
      <c r="E181" s="140" t="s">
        <v>12</v>
      </c>
      <c r="F181">
        <v>2.920804618</v>
      </c>
      <c r="G181" s="140" t="s">
        <v>200</v>
      </c>
      <c r="H181">
        <v>0</v>
      </c>
      <c r="I181" s="140" t="s">
        <v>14</v>
      </c>
    </row>
    <row r="182" spans="1:9" hidden="1" x14ac:dyDescent="0.25">
      <c r="A182">
        <v>2029</v>
      </c>
      <c r="B182" s="140" t="s">
        <v>199</v>
      </c>
      <c r="C182" s="140" t="s">
        <v>198</v>
      </c>
      <c r="D182" s="140" t="s">
        <v>11</v>
      </c>
      <c r="E182" s="140" t="s">
        <v>12</v>
      </c>
      <c r="F182">
        <v>2.7679999999999998</v>
      </c>
      <c r="G182" s="140" t="s">
        <v>200</v>
      </c>
      <c r="H182">
        <v>0</v>
      </c>
      <c r="I182" s="140" t="s">
        <v>14</v>
      </c>
    </row>
    <row r="183" spans="1:9" hidden="1" x14ac:dyDescent="0.25">
      <c r="A183">
        <v>2030</v>
      </c>
      <c r="B183" s="140" t="s">
        <v>199</v>
      </c>
      <c r="C183" s="140" t="s">
        <v>198</v>
      </c>
      <c r="D183" s="140" t="s">
        <v>11</v>
      </c>
      <c r="E183" s="140" t="s">
        <v>12</v>
      </c>
      <c r="F183">
        <v>2.7679999999999998</v>
      </c>
      <c r="G183" s="140" t="s">
        <v>200</v>
      </c>
      <c r="H183">
        <v>0</v>
      </c>
      <c r="I183" s="140" t="s">
        <v>14</v>
      </c>
    </row>
    <row r="184" spans="1:9" hidden="1" x14ac:dyDescent="0.25">
      <c r="A184">
        <v>2010</v>
      </c>
      <c r="B184" s="140" t="s">
        <v>297</v>
      </c>
      <c r="C184" s="140" t="s">
        <v>198</v>
      </c>
      <c r="D184" s="140" t="s">
        <v>11</v>
      </c>
      <c r="E184" s="140" t="s">
        <v>12</v>
      </c>
      <c r="F184">
        <v>3.908909645</v>
      </c>
      <c r="G184" s="140" t="s">
        <v>298</v>
      </c>
      <c r="H184">
        <v>0</v>
      </c>
      <c r="I184" s="140" t="s">
        <v>14</v>
      </c>
    </row>
    <row r="185" spans="1:9" hidden="1" x14ac:dyDescent="0.25">
      <c r="A185">
        <v>2011</v>
      </c>
      <c r="B185" s="140" t="s">
        <v>297</v>
      </c>
      <c r="C185" s="140" t="s">
        <v>198</v>
      </c>
      <c r="D185" s="140" t="s">
        <v>11</v>
      </c>
      <c r="E185" s="140" t="s">
        <v>12</v>
      </c>
      <c r="F185">
        <v>3.908909645</v>
      </c>
      <c r="G185" s="140" t="s">
        <v>298</v>
      </c>
      <c r="H185">
        <v>0</v>
      </c>
      <c r="I185" s="140" t="s">
        <v>14</v>
      </c>
    </row>
    <row r="186" spans="1:9" hidden="1" x14ac:dyDescent="0.25">
      <c r="A186">
        <v>2012</v>
      </c>
      <c r="B186" s="140" t="s">
        <v>297</v>
      </c>
      <c r="C186" s="140" t="s">
        <v>198</v>
      </c>
      <c r="D186" s="140" t="s">
        <v>11</v>
      </c>
      <c r="E186" s="140" t="s">
        <v>12</v>
      </c>
      <c r="F186">
        <v>3.152847671</v>
      </c>
      <c r="G186" s="140" t="s">
        <v>298</v>
      </c>
      <c r="H186">
        <v>0</v>
      </c>
      <c r="I186" s="140" t="s">
        <v>14</v>
      </c>
    </row>
    <row r="187" spans="1:9" hidden="1" x14ac:dyDescent="0.25">
      <c r="A187">
        <v>2013</v>
      </c>
      <c r="B187" s="140" t="s">
        <v>297</v>
      </c>
      <c r="C187" s="140" t="s">
        <v>198</v>
      </c>
      <c r="D187" s="140" t="s">
        <v>11</v>
      </c>
      <c r="E187" s="140" t="s">
        <v>12</v>
      </c>
      <c r="F187">
        <v>1.778697967</v>
      </c>
      <c r="G187" s="140" t="s">
        <v>298</v>
      </c>
      <c r="H187">
        <v>0</v>
      </c>
      <c r="I187" s="140" t="s">
        <v>14</v>
      </c>
    </row>
    <row r="188" spans="1:9" hidden="1" x14ac:dyDescent="0.25">
      <c r="A188">
        <v>2014</v>
      </c>
      <c r="B188" s="140" t="s">
        <v>297</v>
      </c>
      <c r="C188" s="140" t="s">
        <v>198</v>
      </c>
      <c r="D188" s="140" t="s">
        <v>11</v>
      </c>
      <c r="E188" s="140" t="s">
        <v>12</v>
      </c>
      <c r="F188">
        <v>0.79255537799999998</v>
      </c>
      <c r="G188" s="140" t="s">
        <v>298</v>
      </c>
      <c r="H188">
        <v>0</v>
      </c>
      <c r="I188" s="140" t="s">
        <v>14</v>
      </c>
    </row>
    <row r="189" spans="1:9" hidden="1" x14ac:dyDescent="0.25">
      <c r="A189">
        <v>2015</v>
      </c>
      <c r="B189" s="140" t="s">
        <v>297</v>
      </c>
      <c r="C189" s="140" t="s">
        <v>198</v>
      </c>
      <c r="D189" s="140" t="s">
        <v>11</v>
      </c>
      <c r="E189" s="140" t="s">
        <v>12</v>
      </c>
      <c r="F189">
        <v>0.216500623</v>
      </c>
      <c r="G189" s="140" t="s">
        <v>298</v>
      </c>
      <c r="H189">
        <v>0</v>
      </c>
      <c r="I189" s="140" t="s">
        <v>14</v>
      </c>
    </row>
    <row r="190" spans="1:9" hidden="1" x14ac:dyDescent="0.25">
      <c r="A190">
        <v>2016</v>
      </c>
      <c r="B190" s="140" t="s">
        <v>297</v>
      </c>
      <c r="C190" s="140" t="s">
        <v>198</v>
      </c>
      <c r="D190" s="140" t="s">
        <v>11</v>
      </c>
      <c r="E190" s="140" t="s">
        <v>12</v>
      </c>
      <c r="F190">
        <v>0.33913059400000001</v>
      </c>
      <c r="G190" s="140" t="s">
        <v>298</v>
      </c>
      <c r="H190">
        <v>0</v>
      </c>
      <c r="I190" s="140" t="s">
        <v>14</v>
      </c>
    </row>
    <row r="191" spans="1:9" hidden="1" x14ac:dyDescent="0.25">
      <c r="A191">
        <v>2017</v>
      </c>
      <c r="B191" s="140" t="s">
        <v>297</v>
      </c>
      <c r="C191" s="140" t="s">
        <v>198</v>
      </c>
      <c r="D191" s="140" t="s">
        <v>11</v>
      </c>
      <c r="E191" s="140" t="s">
        <v>12</v>
      </c>
      <c r="F191">
        <v>1.3695446259999999</v>
      </c>
      <c r="G191" s="140" t="s">
        <v>298</v>
      </c>
      <c r="H191">
        <v>0</v>
      </c>
      <c r="I191" s="140" t="s">
        <v>14</v>
      </c>
    </row>
    <row r="192" spans="1:9" hidden="1" x14ac:dyDescent="0.25">
      <c r="A192">
        <v>2018</v>
      </c>
      <c r="B192" s="140" t="s">
        <v>297</v>
      </c>
      <c r="C192" s="140" t="s">
        <v>198</v>
      </c>
      <c r="D192" s="140" t="s">
        <v>11</v>
      </c>
      <c r="E192" s="140" t="s">
        <v>12</v>
      </c>
      <c r="F192">
        <v>2.2955379429999998</v>
      </c>
      <c r="G192" s="140" t="s">
        <v>298</v>
      </c>
      <c r="H192">
        <v>0</v>
      </c>
      <c r="I192" s="140" t="s">
        <v>14</v>
      </c>
    </row>
    <row r="193" spans="1:9" hidden="1" x14ac:dyDescent="0.25">
      <c r="A193">
        <v>2019</v>
      </c>
      <c r="B193" s="140" t="s">
        <v>297</v>
      </c>
      <c r="C193" s="140" t="s">
        <v>198</v>
      </c>
      <c r="D193" s="140" t="s">
        <v>11</v>
      </c>
      <c r="E193" s="140" t="s">
        <v>12</v>
      </c>
      <c r="F193">
        <v>1.692497599</v>
      </c>
      <c r="G193" s="140" t="s">
        <v>298</v>
      </c>
      <c r="H193">
        <v>0</v>
      </c>
      <c r="I193" s="140" t="s">
        <v>14</v>
      </c>
    </row>
    <row r="194" spans="1:9" hidden="1" x14ac:dyDescent="0.25">
      <c r="A194">
        <v>2020</v>
      </c>
      <c r="B194" s="140" t="s">
        <v>297</v>
      </c>
      <c r="C194" s="140" t="s">
        <v>198</v>
      </c>
      <c r="D194" s="140" t="s">
        <v>11</v>
      </c>
      <c r="E194" s="140" t="s">
        <v>12</v>
      </c>
      <c r="F194">
        <v>0.48874657199999999</v>
      </c>
      <c r="G194" s="140" t="s">
        <v>298</v>
      </c>
      <c r="H194">
        <v>0</v>
      </c>
      <c r="I194" s="140" t="s">
        <v>14</v>
      </c>
    </row>
    <row r="195" spans="1:9" hidden="1" x14ac:dyDescent="0.25">
      <c r="A195">
        <v>2021</v>
      </c>
      <c r="B195" s="140" t="s">
        <v>297</v>
      </c>
      <c r="C195" s="140" t="s">
        <v>198</v>
      </c>
      <c r="D195" s="140" t="s">
        <v>11</v>
      </c>
      <c r="E195" s="140" t="s">
        <v>12</v>
      </c>
      <c r="F195">
        <v>4.1567142820000003</v>
      </c>
      <c r="G195" s="140" t="s">
        <v>298</v>
      </c>
      <c r="H195">
        <v>0</v>
      </c>
      <c r="I195" s="140" t="s">
        <v>14</v>
      </c>
    </row>
    <row r="196" spans="1:9" hidden="1" x14ac:dyDescent="0.25">
      <c r="A196">
        <v>2022</v>
      </c>
      <c r="B196" s="140" t="s">
        <v>297</v>
      </c>
      <c r="C196" s="140" t="s">
        <v>198</v>
      </c>
      <c r="D196" s="140" t="s">
        <v>11</v>
      </c>
      <c r="E196" s="140" t="s">
        <v>12</v>
      </c>
      <c r="F196">
        <v>7.2303148369999999</v>
      </c>
      <c r="G196" s="140" t="s">
        <v>298</v>
      </c>
      <c r="H196">
        <v>0</v>
      </c>
      <c r="I196" s="140" t="s">
        <v>14</v>
      </c>
    </row>
    <row r="197" spans="1:9" hidden="1" x14ac:dyDescent="0.25">
      <c r="A197">
        <v>2023</v>
      </c>
      <c r="B197" s="140" t="s">
        <v>297</v>
      </c>
      <c r="C197" s="140" t="s">
        <v>198</v>
      </c>
      <c r="D197" s="140" t="s">
        <v>11</v>
      </c>
      <c r="E197" s="140" t="s">
        <v>12</v>
      </c>
      <c r="F197">
        <v>3.0520622519999998</v>
      </c>
      <c r="G197" s="140" t="s">
        <v>298</v>
      </c>
      <c r="H197">
        <v>0</v>
      </c>
      <c r="I197" s="140" t="s">
        <v>14</v>
      </c>
    </row>
    <row r="198" spans="1:9" hidden="1" x14ac:dyDescent="0.25">
      <c r="A198">
        <v>2024</v>
      </c>
      <c r="B198" s="140" t="s">
        <v>297</v>
      </c>
      <c r="C198" s="140" t="s">
        <v>198</v>
      </c>
      <c r="D198" s="140" t="s">
        <v>11</v>
      </c>
      <c r="E198" s="140" t="s">
        <v>12</v>
      </c>
      <c r="F198">
        <v>2.04930653</v>
      </c>
      <c r="G198" s="140" t="s">
        <v>298</v>
      </c>
      <c r="H198">
        <v>0</v>
      </c>
      <c r="I198" s="140" t="s">
        <v>14</v>
      </c>
    </row>
    <row r="199" spans="1:9" hidden="1" x14ac:dyDescent="0.25">
      <c r="A199">
        <v>2025</v>
      </c>
      <c r="B199" s="140" t="s">
        <v>297</v>
      </c>
      <c r="C199" s="140" t="s">
        <v>198</v>
      </c>
      <c r="D199" s="140" t="s">
        <v>11</v>
      </c>
      <c r="E199" s="140" t="s">
        <v>12</v>
      </c>
      <c r="F199">
        <v>1.8543803889999999</v>
      </c>
      <c r="G199" s="140" t="s">
        <v>298</v>
      </c>
      <c r="H199">
        <v>0</v>
      </c>
      <c r="I199" s="140" t="s">
        <v>14</v>
      </c>
    </row>
    <row r="200" spans="1:9" hidden="1" x14ac:dyDescent="0.25">
      <c r="A200">
        <v>2026</v>
      </c>
      <c r="B200" s="140" t="s">
        <v>297</v>
      </c>
      <c r="C200" s="140" t="s">
        <v>198</v>
      </c>
      <c r="D200" s="140" t="s">
        <v>11</v>
      </c>
      <c r="E200" s="140" t="s">
        <v>12</v>
      </c>
      <c r="F200">
        <v>3.2536321479999999</v>
      </c>
      <c r="G200" s="140" t="s">
        <v>298</v>
      </c>
      <c r="H200">
        <v>0</v>
      </c>
      <c r="I200" s="140" t="s">
        <v>14</v>
      </c>
    </row>
    <row r="201" spans="1:9" hidden="1" x14ac:dyDescent="0.25">
      <c r="A201">
        <v>2027</v>
      </c>
      <c r="B201" s="140" t="s">
        <v>297</v>
      </c>
      <c r="C201" s="140" t="s">
        <v>198</v>
      </c>
      <c r="D201" s="140" t="s">
        <v>11</v>
      </c>
      <c r="E201" s="140" t="s">
        <v>12</v>
      </c>
      <c r="F201">
        <v>2.6938346499999999</v>
      </c>
      <c r="G201" s="140" t="s">
        <v>298</v>
      </c>
      <c r="H201">
        <v>0</v>
      </c>
      <c r="I201" s="140" t="s">
        <v>14</v>
      </c>
    </row>
    <row r="202" spans="1:9" hidden="1" x14ac:dyDescent="0.25">
      <c r="A202">
        <v>2028</v>
      </c>
      <c r="B202" s="140" t="s">
        <v>297</v>
      </c>
      <c r="C202" s="140" t="s">
        <v>198</v>
      </c>
      <c r="D202" s="140" t="s">
        <v>11</v>
      </c>
      <c r="E202" s="140" t="s">
        <v>12</v>
      </c>
      <c r="F202">
        <v>2.885717584</v>
      </c>
      <c r="G202" s="140" t="s">
        <v>298</v>
      </c>
      <c r="H202">
        <v>0</v>
      </c>
      <c r="I202" s="140" t="s">
        <v>14</v>
      </c>
    </row>
    <row r="203" spans="1:9" hidden="1" x14ac:dyDescent="0.25">
      <c r="A203">
        <v>2029</v>
      </c>
      <c r="B203" s="140" t="s">
        <v>297</v>
      </c>
      <c r="C203" s="140" t="s">
        <v>198</v>
      </c>
      <c r="D203" s="140" t="s">
        <v>11</v>
      </c>
      <c r="E203" s="140" t="s">
        <v>12</v>
      </c>
      <c r="F203">
        <v>2.7440000000000002</v>
      </c>
      <c r="G203" s="140" t="s">
        <v>298</v>
      </c>
      <c r="H203">
        <v>0</v>
      </c>
      <c r="I203" s="140" t="s">
        <v>14</v>
      </c>
    </row>
    <row r="204" spans="1:9" hidden="1" x14ac:dyDescent="0.25">
      <c r="A204">
        <v>2030</v>
      </c>
      <c r="B204" s="140" t="s">
        <v>297</v>
      </c>
      <c r="C204" s="140" t="s">
        <v>198</v>
      </c>
      <c r="D204" s="140" t="s">
        <v>11</v>
      </c>
      <c r="E204" s="140" t="s">
        <v>12</v>
      </c>
      <c r="F204">
        <v>2.7440000000000002</v>
      </c>
      <c r="G204" s="140" t="s">
        <v>298</v>
      </c>
      <c r="H204">
        <v>0</v>
      </c>
      <c r="I204" s="140" t="s">
        <v>14</v>
      </c>
    </row>
    <row r="205" spans="1:9" hidden="1" x14ac:dyDescent="0.25">
      <c r="A205">
        <v>2023</v>
      </c>
      <c r="B205" s="140" t="s">
        <v>299</v>
      </c>
      <c r="C205" s="140" t="s">
        <v>198</v>
      </c>
      <c r="D205" s="140" t="s">
        <v>11</v>
      </c>
      <c r="E205" s="140" t="s">
        <v>12</v>
      </c>
      <c r="F205">
        <v>3.52</v>
      </c>
      <c r="G205" s="140" t="s">
        <v>300</v>
      </c>
      <c r="H205">
        <v>0</v>
      </c>
      <c r="I205" s="140" t="s">
        <v>14</v>
      </c>
    </row>
    <row r="206" spans="1:9" hidden="1" x14ac:dyDescent="0.25">
      <c r="A206">
        <v>2024</v>
      </c>
      <c r="B206" s="140" t="s">
        <v>299</v>
      </c>
      <c r="C206" s="140" t="s">
        <v>198</v>
      </c>
      <c r="D206" s="140" t="s">
        <v>11</v>
      </c>
      <c r="E206" s="140" t="s">
        <v>12</v>
      </c>
      <c r="F206">
        <v>2.5299999999999998</v>
      </c>
      <c r="G206" s="140" t="s">
        <v>300</v>
      </c>
      <c r="H206">
        <v>0</v>
      </c>
      <c r="I206" s="140" t="s">
        <v>14</v>
      </c>
    </row>
    <row r="207" spans="1:9" hidden="1" x14ac:dyDescent="0.25">
      <c r="A207">
        <v>2025</v>
      </c>
      <c r="B207" s="140" t="s">
        <v>299</v>
      </c>
      <c r="C207" s="140" t="s">
        <v>198</v>
      </c>
      <c r="D207" s="140" t="s">
        <v>11</v>
      </c>
      <c r="E207" s="140" t="s">
        <v>12</v>
      </c>
      <c r="F207">
        <v>3</v>
      </c>
      <c r="G207" s="140" t="s">
        <v>300</v>
      </c>
      <c r="H207">
        <v>0</v>
      </c>
      <c r="I207" s="140" t="s">
        <v>14</v>
      </c>
    </row>
    <row r="208" spans="1:9" hidden="1" x14ac:dyDescent="0.25">
      <c r="A208">
        <v>2026</v>
      </c>
      <c r="B208" s="140" t="s">
        <v>299</v>
      </c>
      <c r="C208" s="140" t="s">
        <v>198</v>
      </c>
      <c r="D208" s="140" t="s">
        <v>11</v>
      </c>
      <c r="E208" s="140" t="s">
        <v>12</v>
      </c>
      <c r="F208">
        <v>3.2525917070000001</v>
      </c>
      <c r="G208" s="140" t="s">
        <v>300</v>
      </c>
      <c r="H208">
        <v>0</v>
      </c>
      <c r="I208" s="140" t="s">
        <v>14</v>
      </c>
    </row>
    <row r="209" spans="1:9" hidden="1" x14ac:dyDescent="0.25">
      <c r="A209">
        <v>2027</v>
      </c>
      <c r="B209" s="140" t="s">
        <v>299</v>
      </c>
      <c r="C209" s="140" t="s">
        <v>198</v>
      </c>
      <c r="D209" s="140" t="s">
        <v>11</v>
      </c>
      <c r="E209" s="140" t="s">
        <v>12</v>
      </c>
      <c r="F209">
        <v>2.7065978130000001</v>
      </c>
      <c r="G209" s="140" t="s">
        <v>300</v>
      </c>
      <c r="H209">
        <v>0</v>
      </c>
      <c r="I209" s="140" t="s">
        <v>14</v>
      </c>
    </row>
    <row r="210" spans="1:9" hidden="1" x14ac:dyDescent="0.25">
      <c r="A210">
        <v>2028</v>
      </c>
      <c r="B210" s="140" t="s">
        <v>299</v>
      </c>
      <c r="C210" s="140" t="s">
        <v>198</v>
      </c>
      <c r="D210" s="140" t="s">
        <v>11</v>
      </c>
      <c r="E210" s="140" t="s">
        <v>12</v>
      </c>
      <c r="F210">
        <v>2.9837263570000001</v>
      </c>
      <c r="G210" s="140" t="s">
        <v>300</v>
      </c>
      <c r="H210">
        <v>0</v>
      </c>
      <c r="I210" s="140" t="s">
        <v>14</v>
      </c>
    </row>
    <row r="211" spans="1:9" hidden="1" x14ac:dyDescent="0.25">
      <c r="A211">
        <v>2029</v>
      </c>
      <c r="B211" s="140" t="s">
        <v>299</v>
      </c>
      <c r="C211" s="140" t="s">
        <v>198</v>
      </c>
      <c r="D211" s="140" t="s">
        <v>11</v>
      </c>
      <c r="E211" s="140" t="s">
        <v>12</v>
      </c>
      <c r="F211">
        <v>2.84</v>
      </c>
      <c r="G211" s="140" t="s">
        <v>300</v>
      </c>
      <c r="H211">
        <v>0</v>
      </c>
      <c r="I211" s="140" t="s">
        <v>14</v>
      </c>
    </row>
    <row r="212" spans="1:9" hidden="1" x14ac:dyDescent="0.25">
      <c r="A212">
        <v>2030</v>
      </c>
      <c r="B212" s="140" t="s">
        <v>299</v>
      </c>
      <c r="C212" s="140" t="s">
        <v>198</v>
      </c>
      <c r="D212" s="140" t="s">
        <v>11</v>
      </c>
      <c r="E212" s="140" t="s">
        <v>12</v>
      </c>
      <c r="F212">
        <v>2.84</v>
      </c>
      <c r="G212" s="140" t="s">
        <v>300</v>
      </c>
      <c r="H212">
        <v>0</v>
      </c>
      <c r="I212" s="140" t="s">
        <v>14</v>
      </c>
    </row>
    <row r="213" spans="1:9" hidden="1" x14ac:dyDescent="0.25">
      <c r="A213">
        <v>2009</v>
      </c>
      <c r="B213" s="140" t="s">
        <v>188</v>
      </c>
      <c r="C213" s="140" t="s">
        <v>189</v>
      </c>
      <c r="D213" s="140" t="s">
        <v>11</v>
      </c>
      <c r="E213" s="140" t="s">
        <v>55</v>
      </c>
      <c r="F213">
        <v>1.3941681990000001</v>
      </c>
      <c r="G213" s="140" t="s">
        <v>321</v>
      </c>
      <c r="H213">
        <v>0</v>
      </c>
      <c r="I213" s="140" t="s">
        <v>102</v>
      </c>
    </row>
    <row r="214" spans="1:9" hidden="1" x14ac:dyDescent="0.25">
      <c r="A214">
        <v>2010</v>
      </c>
      <c r="B214" s="140" t="s">
        <v>188</v>
      </c>
      <c r="C214" s="140" t="s">
        <v>189</v>
      </c>
      <c r="D214" s="140" t="s">
        <v>11</v>
      </c>
      <c r="E214" s="140" t="s">
        <v>55</v>
      </c>
      <c r="F214">
        <v>1.326318391</v>
      </c>
      <c r="G214" s="140" t="s">
        <v>321</v>
      </c>
      <c r="H214">
        <v>0</v>
      </c>
      <c r="I214" s="140" t="s">
        <v>102</v>
      </c>
    </row>
    <row r="215" spans="1:9" hidden="1" x14ac:dyDescent="0.25">
      <c r="A215">
        <v>2011</v>
      </c>
      <c r="B215" s="140" t="s">
        <v>188</v>
      </c>
      <c r="C215" s="140" t="s">
        <v>189</v>
      </c>
      <c r="D215" s="140" t="s">
        <v>11</v>
      </c>
      <c r="E215" s="140" t="s">
        <v>55</v>
      </c>
      <c r="F215">
        <v>1.392134615</v>
      </c>
      <c r="G215" s="140" t="s">
        <v>321</v>
      </c>
      <c r="H215">
        <v>0</v>
      </c>
      <c r="I215" s="140" t="s">
        <v>102</v>
      </c>
    </row>
    <row r="216" spans="1:9" hidden="1" x14ac:dyDescent="0.25">
      <c r="A216">
        <v>2012</v>
      </c>
      <c r="B216" s="140" t="s">
        <v>188</v>
      </c>
      <c r="C216" s="140" t="s">
        <v>189</v>
      </c>
      <c r="D216" s="140" t="s">
        <v>11</v>
      </c>
      <c r="E216" s="140" t="s">
        <v>55</v>
      </c>
      <c r="F216">
        <v>1.2853812259999999</v>
      </c>
      <c r="G216" s="140" t="s">
        <v>321</v>
      </c>
      <c r="H216">
        <v>0</v>
      </c>
      <c r="I216" s="140" t="s">
        <v>102</v>
      </c>
    </row>
    <row r="217" spans="1:9" hidden="1" x14ac:dyDescent="0.25">
      <c r="A217">
        <v>2013</v>
      </c>
      <c r="B217" s="140" t="s">
        <v>188</v>
      </c>
      <c r="C217" s="140" t="s">
        <v>189</v>
      </c>
      <c r="D217" s="140" t="s">
        <v>11</v>
      </c>
      <c r="E217" s="140" t="s">
        <v>55</v>
      </c>
      <c r="F217">
        <v>1.3279482760000001</v>
      </c>
      <c r="G217" s="140" t="s">
        <v>321</v>
      </c>
      <c r="H217">
        <v>0</v>
      </c>
      <c r="I217" s="140" t="s">
        <v>102</v>
      </c>
    </row>
    <row r="218" spans="1:9" hidden="1" x14ac:dyDescent="0.25">
      <c r="A218">
        <v>2014</v>
      </c>
      <c r="B218" s="140" t="s">
        <v>188</v>
      </c>
      <c r="C218" s="140" t="s">
        <v>189</v>
      </c>
      <c r="D218" s="140" t="s">
        <v>11</v>
      </c>
      <c r="E218" s="140" t="s">
        <v>55</v>
      </c>
      <c r="F218">
        <v>1.3285310340000001</v>
      </c>
      <c r="G218" s="140" t="s">
        <v>321</v>
      </c>
      <c r="H218">
        <v>0</v>
      </c>
      <c r="I218" s="140" t="s">
        <v>102</v>
      </c>
    </row>
    <row r="219" spans="1:9" hidden="1" x14ac:dyDescent="0.25">
      <c r="A219">
        <v>2015</v>
      </c>
      <c r="B219" s="140" t="s">
        <v>188</v>
      </c>
      <c r="C219" s="140" t="s">
        <v>189</v>
      </c>
      <c r="D219" s="140" t="s">
        <v>11</v>
      </c>
      <c r="E219" s="140" t="s">
        <v>55</v>
      </c>
      <c r="F219">
        <v>1.109699617</v>
      </c>
      <c r="G219" s="140" t="s">
        <v>321</v>
      </c>
      <c r="H219">
        <v>0</v>
      </c>
      <c r="I219" s="140" t="s">
        <v>102</v>
      </c>
    </row>
    <row r="220" spans="1:9" hidden="1" x14ac:dyDescent="0.25">
      <c r="A220">
        <v>2016</v>
      </c>
      <c r="B220" s="140" t="s">
        <v>188</v>
      </c>
      <c r="C220" s="140" t="s">
        <v>189</v>
      </c>
      <c r="D220" s="140" t="s">
        <v>11</v>
      </c>
      <c r="E220" s="140" t="s">
        <v>55</v>
      </c>
      <c r="F220">
        <v>1.10665977</v>
      </c>
      <c r="G220" s="140" t="s">
        <v>321</v>
      </c>
      <c r="H220">
        <v>0</v>
      </c>
      <c r="I220" s="140" t="s">
        <v>102</v>
      </c>
    </row>
    <row r="221" spans="1:9" hidden="1" x14ac:dyDescent="0.25">
      <c r="A221">
        <v>2017</v>
      </c>
      <c r="B221" s="140" t="s">
        <v>188</v>
      </c>
      <c r="C221" s="140" t="s">
        <v>189</v>
      </c>
      <c r="D221" s="140" t="s">
        <v>11</v>
      </c>
      <c r="E221" s="140" t="s">
        <v>55</v>
      </c>
      <c r="F221">
        <v>1.1294550000000001</v>
      </c>
      <c r="G221" s="140" t="s">
        <v>321</v>
      </c>
      <c r="H221">
        <v>0</v>
      </c>
      <c r="I221" s="140" t="s">
        <v>102</v>
      </c>
    </row>
    <row r="222" spans="1:9" hidden="1" x14ac:dyDescent="0.25">
      <c r="A222">
        <v>2018</v>
      </c>
      <c r="B222" s="140" t="s">
        <v>188</v>
      </c>
      <c r="C222" s="140" t="s">
        <v>189</v>
      </c>
      <c r="D222" s="140" t="s">
        <v>11</v>
      </c>
      <c r="E222" s="140" t="s">
        <v>55</v>
      </c>
      <c r="F222">
        <v>1.181212261</v>
      </c>
      <c r="G222" s="140" t="s">
        <v>321</v>
      </c>
      <c r="H222">
        <v>0</v>
      </c>
      <c r="I222" s="140" t="s">
        <v>102</v>
      </c>
    </row>
    <row r="223" spans="1:9" hidden="1" x14ac:dyDescent="0.25">
      <c r="A223">
        <v>2019</v>
      </c>
      <c r="B223" s="140" t="s">
        <v>188</v>
      </c>
      <c r="C223" s="140" t="s">
        <v>189</v>
      </c>
      <c r="D223" s="140" t="s">
        <v>11</v>
      </c>
      <c r="E223" s="140" t="s">
        <v>55</v>
      </c>
      <c r="F223">
        <v>1.1195356320000001</v>
      </c>
      <c r="G223" s="140" t="s">
        <v>321</v>
      </c>
      <c r="H223">
        <v>0</v>
      </c>
      <c r="I223" s="140" t="s">
        <v>102</v>
      </c>
    </row>
    <row r="224" spans="1:9" hidden="1" x14ac:dyDescent="0.25">
      <c r="A224">
        <v>2020</v>
      </c>
      <c r="B224" s="140" t="s">
        <v>188</v>
      </c>
      <c r="C224" s="140" t="s">
        <v>189</v>
      </c>
      <c r="D224" s="140" t="s">
        <v>11</v>
      </c>
      <c r="E224" s="140" t="s">
        <v>55</v>
      </c>
      <c r="F224">
        <v>1.1417866409999999</v>
      </c>
      <c r="G224" s="140" t="s">
        <v>321</v>
      </c>
      <c r="H224">
        <v>0</v>
      </c>
      <c r="I224" s="140" t="s">
        <v>102</v>
      </c>
    </row>
    <row r="225" spans="1:9" hidden="1" x14ac:dyDescent="0.25">
      <c r="A225">
        <v>2021</v>
      </c>
      <c r="B225" s="140" t="s">
        <v>188</v>
      </c>
      <c r="C225" s="140" t="s">
        <v>189</v>
      </c>
      <c r="D225" s="140" t="s">
        <v>11</v>
      </c>
      <c r="E225" s="140" t="s">
        <v>55</v>
      </c>
      <c r="F225">
        <v>1.1828478929999999</v>
      </c>
      <c r="G225" s="140" t="s">
        <v>321</v>
      </c>
      <c r="H225">
        <v>0</v>
      </c>
      <c r="I225" s="140" t="s">
        <v>102</v>
      </c>
    </row>
    <row r="226" spans="1:9" hidden="1" x14ac:dyDescent="0.25">
      <c r="A226">
        <v>2022</v>
      </c>
      <c r="B226" s="140" t="s">
        <v>188</v>
      </c>
      <c r="C226" s="140" t="s">
        <v>189</v>
      </c>
      <c r="D226" s="140" t="s">
        <v>11</v>
      </c>
      <c r="E226" s="140" t="s">
        <v>55</v>
      </c>
      <c r="F226">
        <v>1.053351154</v>
      </c>
      <c r="G226" s="140" t="s">
        <v>321</v>
      </c>
      <c r="H226">
        <v>0</v>
      </c>
      <c r="I226" s="140" t="s">
        <v>102</v>
      </c>
    </row>
    <row r="227" spans="1:9" hidden="1" x14ac:dyDescent="0.25">
      <c r="A227">
        <v>2023</v>
      </c>
      <c r="B227" s="140" t="s">
        <v>188</v>
      </c>
      <c r="C227" s="140" t="s">
        <v>189</v>
      </c>
      <c r="D227" s="140" t="s">
        <v>11</v>
      </c>
      <c r="E227" s="140" t="s">
        <v>55</v>
      </c>
      <c r="F227">
        <v>1.0815738459999999</v>
      </c>
      <c r="G227" s="140" t="s">
        <v>321</v>
      </c>
      <c r="H227">
        <v>0</v>
      </c>
      <c r="I227" s="140" t="s">
        <v>102</v>
      </c>
    </row>
    <row r="228" spans="1:9" hidden="1" x14ac:dyDescent="0.25">
      <c r="A228">
        <v>2024</v>
      </c>
      <c r="B228" s="140" t="s">
        <v>188</v>
      </c>
      <c r="C228" s="140" t="s">
        <v>189</v>
      </c>
      <c r="D228" s="140" t="s">
        <v>11</v>
      </c>
      <c r="E228" s="140" t="s">
        <v>55</v>
      </c>
      <c r="F228">
        <v>1.082089313</v>
      </c>
      <c r="G228" s="140" t="s">
        <v>321</v>
      </c>
      <c r="H228">
        <v>0</v>
      </c>
      <c r="I228" s="140" t="s">
        <v>102</v>
      </c>
    </row>
    <row r="229" spans="1:9" hidden="1" x14ac:dyDescent="0.25">
      <c r="A229">
        <v>2025</v>
      </c>
      <c r="B229" s="140" t="s">
        <v>188</v>
      </c>
      <c r="C229" s="140" t="s">
        <v>189</v>
      </c>
      <c r="D229" s="140" t="s">
        <v>11</v>
      </c>
      <c r="E229" s="140" t="s">
        <v>55</v>
      </c>
      <c r="F229">
        <v>1.1300816090000001</v>
      </c>
      <c r="G229" s="140" t="s">
        <v>321</v>
      </c>
      <c r="H229">
        <v>0</v>
      </c>
      <c r="I229" s="140" t="s">
        <v>102</v>
      </c>
    </row>
    <row r="230" spans="1:9" hidden="1" x14ac:dyDescent="0.25">
      <c r="A230">
        <v>2026</v>
      </c>
      <c r="B230" s="140" t="s">
        <v>188</v>
      </c>
      <c r="C230" s="140" t="s">
        <v>189</v>
      </c>
      <c r="D230" s="140" t="s">
        <v>11</v>
      </c>
      <c r="E230" s="140" t="s">
        <v>55</v>
      </c>
      <c r="F230">
        <v>1.1599999999999999</v>
      </c>
      <c r="G230" s="140" t="s">
        <v>321</v>
      </c>
      <c r="H230">
        <v>0</v>
      </c>
      <c r="I230" s="140" t="s">
        <v>102</v>
      </c>
    </row>
    <row r="231" spans="1:9" hidden="1" x14ac:dyDescent="0.25">
      <c r="A231">
        <v>2027</v>
      </c>
      <c r="B231" s="140" t="s">
        <v>188</v>
      </c>
      <c r="C231" s="140" t="s">
        <v>189</v>
      </c>
      <c r="D231" s="140" t="s">
        <v>11</v>
      </c>
      <c r="E231" s="140" t="s">
        <v>55</v>
      </c>
      <c r="F231">
        <v>1.17</v>
      </c>
      <c r="G231" s="140" t="s">
        <v>321</v>
      </c>
      <c r="H231">
        <v>0</v>
      </c>
      <c r="I231" s="140" t="s">
        <v>102</v>
      </c>
    </row>
    <row r="232" spans="1:9" hidden="1" x14ac:dyDescent="0.25">
      <c r="A232">
        <v>2028</v>
      </c>
      <c r="B232" s="140" t="s">
        <v>188</v>
      </c>
      <c r="C232" s="140" t="s">
        <v>189</v>
      </c>
      <c r="D232" s="140" t="s">
        <v>11</v>
      </c>
      <c r="E232" s="140" t="s">
        <v>55</v>
      </c>
      <c r="F232">
        <v>1.19</v>
      </c>
      <c r="G232" s="140" t="s">
        <v>321</v>
      </c>
      <c r="H232">
        <v>0</v>
      </c>
      <c r="I232" s="140" t="s">
        <v>102</v>
      </c>
    </row>
    <row r="233" spans="1:9" hidden="1" x14ac:dyDescent="0.25">
      <c r="A233">
        <v>2009</v>
      </c>
      <c r="B233" s="140" t="s">
        <v>99</v>
      </c>
      <c r="C233" s="140" t="s">
        <v>100</v>
      </c>
      <c r="D233" s="140" t="s">
        <v>11</v>
      </c>
      <c r="E233" s="140" t="s">
        <v>55</v>
      </c>
      <c r="F233">
        <v>62.367701150000002</v>
      </c>
      <c r="G233" s="140" t="s">
        <v>101</v>
      </c>
      <c r="H233">
        <v>0</v>
      </c>
      <c r="I233" s="140" t="s">
        <v>102</v>
      </c>
    </row>
    <row r="234" spans="1:9" hidden="1" x14ac:dyDescent="0.25">
      <c r="A234">
        <v>2010</v>
      </c>
      <c r="B234" s="140" t="s">
        <v>99</v>
      </c>
      <c r="C234" s="140" t="s">
        <v>100</v>
      </c>
      <c r="D234" s="140" t="s">
        <v>11</v>
      </c>
      <c r="E234" s="140" t="s">
        <v>55</v>
      </c>
      <c r="F234">
        <v>80.248084289999994</v>
      </c>
      <c r="G234" s="140" t="s">
        <v>101</v>
      </c>
      <c r="H234">
        <v>0</v>
      </c>
      <c r="I234" s="140" t="s">
        <v>102</v>
      </c>
    </row>
    <row r="235" spans="1:9" hidden="1" x14ac:dyDescent="0.25">
      <c r="A235">
        <v>2011</v>
      </c>
      <c r="B235" s="140" t="s">
        <v>99</v>
      </c>
      <c r="C235" s="140" t="s">
        <v>100</v>
      </c>
      <c r="D235" s="140" t="s">
        <v>11</v>
      </c>
      <c r="E235" s="140" t="s">
        <v>55</v>
      </c>
      <c r="F235">
        <v>110.95865379999999</v>
      </c>
      <c r="G235" s="140" t="s">
        <v>101</v>
      </c>
      <c r="H235">
        <v>0</v>
      </c>
      <c r="I235" s="140" t="s">
        <v>102</v>
      </c>
    </row>
    <row r="236" spans="1:9" hidden="1" x14ac:dyDescent="0.25">
      <c r="A236">
        <v>2012</v>
      </c>
      <c r="B236" s="140" t="s">
        <v>99</v>
      </c>
      <c r="C236" s="140" t="s">
        <v>100</v>
      </c>
      <c r="D236" s="140" t="s">
        <v>11</v>
      </c>
      <c r="E236" s="140" t="s">
        <v>55</v>
      </c>
      <c r="F236">
        <v>111.7618774</v>
      </c>
      <c r="G236" s="140" t="s">
        <v>101</v>
      </c>
      <c r="H236">
        <v>0</v>
      </c>
      <c r="I236" s="140" t="s">
        <v>102</v>
      </c>
    </row>
    <row r="237" spans="1:9" hidden="1" x14ac:dyDescent="0.25">
      <c r="A237">
        <v>2013</v>
      </c>
      <c r="B237" s="140" t="s">
        <v>99</v>
      </c>
      <c r="C237" s="140" t="s">
        <v>100</v>
      </c>
      <c r="D237" s="140" t="s">
        <v>11</v>
      </c>
      <c r="E237" s="140" t="s">
        <v>55</v>
      </c>
      <c r="F237">
        <v>108.7421839</v>
      </c>
      <c r="G237" s="140" t="s">
        <v>101</v>
      </c>
      <c r="H237">
        <v>0</v>
      </c>
      <c r="I237" s="140" t="s">
        <v>102</v>
      </c>
    </row>
    <row r="238" spans="1:9" hidden="1" x14ac:dyDescent="0.25">
      <c r="A238">
        <v>2014</v>
      </c>
      <c r="B238" s="140" t="s">
        <v>99</v>
      </c>
      <c r="C238" s="140" t="s">
        <v>100</v>
      </c>
      <c r="D238" s="140" t="s">
        <v>11</v>
      </c>
      <c r="E238" s="140" t="s">
        <v>55</v>
      </c>
      <c r="F238">
        <v>99.503141760000005</v>
      </c>
      <c r="G238" s="140" t="s">
        <v>101</v>
      </c>
      <c r="H238">
        <v>0</v>
      </c>
      <c r="I238" s="140" t="s">
        <v>102</v>
      </c>
    </row>
    <row r="239" spans="1:9" hidden="1" x14ac:dyDescent="0.25">
      <c r="A239">
        <v>2015</v>
      </c>
      <c r="B239" s="140" t="s">
        <v>99</v>
      </c>
      <c r="C239" s="140" t="s">
        <v>100</v>
      </c>
      <c r="D239" s="140" t="s">
        <v>11</v>
      </c>
      <c r="E239" s="140" t="s">
        <v>55</v>
      </c>
      <c r="F239">
        <v>53.437701150000002</v>
      </c>
      <c r="G239" s="140" t="s">
        <v>101</v>
      </c>
      <c r="H239">
        <v>0</v>
      </c>
      <c r="I239" s="140" t="s">
        <v>102</v>
      </c>
    </row>
    <row r="240" spans="1:9" hidden="1" x14ac:dyDescent="0.25">
      <c r="A240">
        <v>2016</v>
      </c>
      <c r="B240" s="140" t="s">
        <v>99</v>
      </c>
      <c r="C240" s="140" t="s">
        <v>100</v>
      </c>
      <c r="D240" s="140" t="s">
        <v>11</v>
      </c>
      <c r="E240" s="140" t="s">
        <v>55</v>
      </c>
      <c r="F240">
        <v>45.160907340000001</v>
      </c>
      <c r="G240" s="140" t="s">
        <v>101</v>
      </c>
      <c r="H240">
        <v>0</v>
      </c>
      <c r="I240" s="140" t="s">
        <v>102</v>
      </c>
    </row>
    <row r="241" spans="1:9" hidden="1" x14ac:dyDescent="0.25">
      <c r="A241">
        <v>2017</v>
      </c>
      <c r="B241" s="140" t="s">
        <v>99</v>
      </c>
      <c r="C241" s="140" t="s">
        <v>100</v>
      </c>
      <c r="D241" s="140" t="s">
        <v>11</v>
      </c>
      <c r="E241" s="140" t="s">
        <v>55</v>
      </c>
      <c r="F241">
        <v>54.752807689999997</v>
      </c>
      <c r="G241" s="140" t="s">
        <v>101</v>
      </c>
      <c r="H241">
        <v>0</v>
      </c>
      <c r="I241" s="140" t="s">
        <v>102</v>
      </c>
    </row>
    <row r="242" spans="1:9" hidden="1" x14ac:dyDescent="0.25">
      <c r="A242">
        <v>2018</v>
      </c>
      <c r="B242" s="140" t="s">
        <v>99</v>
      </c>
      <c r="C242" s="140" t="s">
        <v>100</v>
      </c>
      <c r="D242" s="140" t="s">
        <v>11</v>
      </c>
      <c r="E242" s="140" t="s">
        <v>55</v>
      </c>
      <c r="F242">
        <v>71.541318009999998</v>
      </c>
      <c r="G242" s="140" t="s">
        <v>101</v>
      </c>
      <c r="H242">
        <v>0</v>
      </c>
      <c r="I242" s="140" t="s">
        <v>102</v>
      </c>
    </row>
    <row r="243" spans="1:9" hidden="1" x14ac:dyDescent="0.25">
      <c r="A243">
        <v>2019</v>
      </c>
      <c r="B243" s="140" t="s">
        <v>99</v>
      </c>
      <c r="C243" s="140" t="s">
        <v>100</v>
      </c>
      <c r="D243" s="140" t="s">
        <v>11</v>
      </c>
      <c r="E243" s="140" t="s">
        <v>55</v>
      </c>
      <c r="F243">
        <v>64.08776245</v>
      </c>
      <c r="G243" s="140" t="s">
        <v>101</v>
      </c>
      <c r="H243">
        <v>0</v>
      </c>
      <c r="I243" s="140" t="s">
        <v>102</v>
      </c>
    </row>
    <row r="244" spans="1:9" hidden="1" x14ac:dyDescent="0.25">
      <c r="A244">
        <v>2020</v>
      </c>
      <c r="B244" s="140" t="s">
        <v>99</v>
      </c>
      <c r="C244" s="140" t="s">
        <v>100</v>
      </c>
      <c r="D244" s="140" t="s">
        <v>11</v>
      </c>
      <c r="E244" s="140" t="s">
        <v>55</v>
      </c>
      <c r="F244">
        <v>43.356301119999998</v>
      </c>
      <c r="G244" s="140" t="s">
        <v>101</v>
      </c>
      <c r="H244">
        <v>0</v>
      </c>
      <c r="I244" s="140" t="s">
        <v>102</v>
      </c>
    </row>
    <row r="245" spans="1:9" hidden="1" x14ac:dyDescent="0.25">
      <c r="A245">
        <v>2021</v>
      </c>
      <c r="B245" s="140" t="s">
        <v>99</v>
      </c>
      <c r="C245" s="140" t="s">
        <v>100</v>
      </c>
      <c r="D245" s="140" t="s">
        <v>11</v>
      </c>
      <c r="E245" s="140" t="s">
        <v>55</v>
      </c>
      <c r="F245">
        <v>70.770996170000004</v>
      </c>
      <c r="G245" s="140" t="s">
        <v>101</v>
      </c>
      <c r="H245">
        <v>0</v>
      </c>
      <c r="I245" s="140" t="s">
        <v>102</v>
      </c>
    </row>
    <row r="246" spans="1:9" hidden="1" x14ac:dyDescent="0.25">
      <c r="A246">
        <v>2022</v>
      </c>
      <c r="B246" s="140" t="s">
        <v>99</v>
      </c>
      <c r="C246" s="140" t="s">
        <v>100</v>
      </c>
      <c r="D246" s="140" t="s">
        <v>11</v>
      </c>
      <c r="E246" s="140" t="s">
        <v>55</v>
      </c>
      <c r="F246">
        <v>98.737423079999999</v>
      </c>
      <c r="G246" s="140" t="s">
        <v>101</v>
      </c>
      <c r="H246">
        <v>0</v>
      </c>
      <c r="I246" s="140" t="s">
        <v>102</v>
      </c>
    </row>
    <row r="247" spans="1:9" hidden="1" x14ac:dyDescent="0.25">
      <c r="A247">
        <v>2023</v>
      </c>
      <c r="B247" s="140" t="s">
        <v>99</v>
      </c>
      <c r="C247" s="140" t="s">
        <v>100</v>
      </c>
      <c r="D247" s="140" t="s">
        <v>11</v>
      </c>
      <c r="E247" s="140" t="s">
        <v>55</v>
      </c>
      <c r="F247">
        <v>82.035155040000006</v>
      </c>
      <c r="G247" s="140" t="s">
        <v>101</v>
      </c>
      <c r="H247">
        <v>0</v>
      </c>
      <c r="I247" s="140" t="s">
        <v>102</v>
      </c>
    </row>
    <row r="248" spans="1:9" hidden="1" x14ac:dyDescent="0.25">
      <c r="A248">
        <v>2024</v>
      </c>
      <c r="B248" s="140" t="s">
        <v>99</v>
      </c>
      <c r="C248" s="140" t="s">
        <v>100</v>
      </c>
      <c r="D248" s="140" t="s">
        <v>11</v>
      </c>
      <c r="E248" s="140" t="s">
        <v>55</v>
      </c>
      <c r="F248">
        <v>79.692961539999999</v>
      </c>
      <c r="G248" s="140" t="s">
        <v>101</v>
      </c>
      <c r="H248">
        <v>0</v>
      </c>
      <c r="I248" s="140" t="s">
        <v>102</v>
      </c>
    </row>
    <row r="249" spans="1:9" hidden="1" x14ac:dyDescent="0.25">
      <c r="A249">
        <v>2025</v>
      </c>
      <c r="B249" s="140" t="s">
        <v>99</v>
      </c>
      <c r="C249" s="140" t="s">
        <v>100</v>
      </c>
      <c r="D249" s="140" t="s">
        <v>11</v>
      </c>
      <c r="E249" s="140" t="s">
        <v>55</v>
      </c>
      <c r="F249">
        <v>68.015057920000004</v>
      </c>
      <c r="G249" s="140" t="s">
        <v>101</v>
      </c>
      <c r="H249">
        <v>0</v>
      </c>
      <c r="I249" s="140" t="s">
        <v>102</v>
      </c>
    </row>
    <row r="250" spans="1:9" hidden="1" x14ac:dyDescent="0.25">
      <c r="A250">
        <v>2026</v>
      </c>
      <c r="B250" s="140" t="s">
        <v>99</v>
      </c>
      <c r="C250" s="140" t="s">
        <v>100</v>
      </c>
      <c r="D250" s="140" t="s">
        <v>11</v>
      </c>
      <c r="E250" s="140" t="s">
        <v>55</v>
      </c>
      <c r="F250">
        <v>85.43</v>
      </c>
      <c r="G250" s="140" t="s">
        <v>101</v>
      </c>
      <c r="H250">
        <v>0</v>
      </c>
      <c r="I250" s="140" t="s">
        <v>102</v>
      </c>
    </row>
    <row r="251" spans="1:9" hidden="1" x14ac:dyDescent="0.25">
      <c r="A251">
        <v>2027</v>
      </c>
      <c r="B251" s="140" t="s">
        <v>99</v>
      </c>
      <c r="C251" s="140" t="s">
        <v>100</v>
      </c>
      <c r="D251" s="140" t="s">
        <v>11</v>
      </c>
      <c r="E251" s="140" t="s">
        <v>55</v>
      </c>
      <c r="F251">
        <v>74.88</v>
      </c>
      <c r="G251" s="140" t="s">
        <v>101</v>
      </c>
      <c r="H251">
        <v>0</v>
      </c>
      <c r="I251" s="140" t="s">
        <v>102</v>
      </c>
    </row>
    <row r="252" spans="1:9" hidden="1" x14ac:dyDescent="0.25">
      <c r="A252">
        <v>2028</v>
      </c>
      <c r="B252" s="140" t="s">
        <v>99</v>
      </c>
      <c r="C252" s="140" t="s">
        <v>100</v>
      </c>
      <c r="D252" s="140" t="s">
        <v>11</v>
      </c>
      <c r="E252" s="140" t="s">
        <v>55</v>
      </c>
      <c r="F252">
        <v>71.55</v>
      </c>
      <c r="G252" s="140" t="s">
        <v>101</v>
      </c>
      <c r="H252">
        <v>0</v>
      </c>
      <c r="I252" s="140" t="s">
        <v>102</v>
      </c>
    </row>
    <row r="253" spans="1:9" hidden="1" x14ac:dyDescent="0.25">
      <c r="A253">
        <v>2009</v>
      </c>
      <c r="B253" s="140" t="s">
        <v>157</v>
      </c>
      <c r="C253" s="140" t="s">
        <v>158</v>
      </c>
      <c r="D253" s="140" t="s">
        <v>11</v>
      </c>
      <c r="E253" s="140" t="s">
        <v>55</v>
      </c>
      <c r="F253">
        <v>68.564285709999993</v>
      </c>
      <c r="G253" s="140" t="s">
        <v>159</v>
      </c>
      <c r="H253">
        <v>0</v>
      </c>
      <c r="I253" s="140" t="s">
        <v>160</v>
      </c>
    </row>
    <row r="254" spans="1:9" hidden="1" x14ac:dyDescent="0.25">
      <c r="A254">
        <v>2010</v>
      </c>
      <c r="B254" s="140" t="s">
        <v>157</v>
      </c>
      <c r="C254" s="140" t="s">
        <v>158</v>
      </c>
      <c r="D254" s="140" t="s">
        <v>11</v>
      </c>
      <c r="E254" s="140" t="s">
        <v>55</v>
      </c>
      <c r="F254">
        <v>102.6</v>
      </c>
      <c r="G254" s="140" t="s">
        <v>159</v>
      </c>
      <c r="H254">
        <v>0</v>
      </c>
      <c r="I254" s="140" t="s">
        <v>160</v>
      </c>
    </row>
    <row r="255" spans="1:9" hidden="1" x14ac:dyDescent="0.25">
      <c r="A255">
        <v>2011</v>
      </c>
      <c r="B255" s="140" t="s">
        <v>157</v>
      </c>
      <c r="C255" s="140" t="s">
        <v>158</v>
      </c>
      <c r="D255" s="140" t="s">
        <v>11</v>
      </c>
      <c r="E255" s="140" t="s">
        <v>55</v>
      </c>
      <c r="F255">
        <v>112.6444882</v>
      </c>
      <c r="G255" s="140" t="s">
        <v>159</v>
      </c>
      <c r="H255">
        <v>0</v>
      </c>
      <c r="I255" s="140" t="s">
        <v>160</v>
      </c>
    </row>
    <row r="256" spans="1:9" hidden="1" x14ac:dyDescent="0.25">
      <c r="A256">
        <v>2012</v>
      </c>
      <c r="B256" s="140" t="s">
        <v>157</v>
      </c>
      <c r="C256" s="140" t="s">
        <v>158</v>
      </c>
      <c r="D256" s="140" t="s">
        <v>11</v>
      </c>
      <c r="E256" s="140" t="s">
        <v>55</v>
      </c>
      <c r="F256">
        <v>102.4442688</v>
      </c>
      <c r="G256" s="140" t="s">
        <v>159</v>
      </c>
      <c r="H256">
        <v>0</v>
      </c>
      <c r="I256" s="140" t="s">
        <v>160</v>
      </c>
    </row>
    <row r="257" spans="1:9" hidden="1" x14ac:dyDescent="0.25">
      <c r="A257">
        <v>2013</v>
      </c>
      <c r="B257" s="140" t="s">
        <v>157</v>
      </c>
      <c r="C257" s="140" t="s">
        <v>158</v>
      </c>
      <c r="D257" s="140" t="s">
        <v>11</v>
      </c>
      <c r="E257" s="140" t="s">
        <v>55</v>
      </c>
      <c r="F257">
        <v>95.557539680000005</v>
      </c>
      <c r="G257" s="140" t="s">
        <v>159</v>
      </c>
      <c r="H257">
        <v>0</v>
      </c>
      <c r="I257" s="140" t="s">
        <v>160</v>
      </c>
    </row>
    <row r="258" spans="1:9" hidden="1" x14ac:dyDescent="0.25">
      <c r="A258">
        <v>2014</v>
      </c>
      <c r="B258" s="140" t="s">
        <v>157</v>
      </c>
      <c r="C258" s="140" t="s">
        <v>158</v>
      </c>
      <c r="D258" s="140" t="s">
        <v>11</v>
      </c>
      <c r="E258" s="140" t="s">
        <v>55</v>
      </c>
      <c r="F258">
        <v>90.766000000000005</v>
      </c>
      <c r="G258" s="140" t="s">
        <v>159</v>
      </c>
      <c r="H258">
        <v>0</v>
      </c>
      <c r="I258" s="140" t="s">
        <v>160</v>
      </c>
    </row>
    <row r="259" spans="1:9" hidden="1" x14ac:dyDescent="0.25">
      <c r="A259">
        <v>2015</v>
      </c>
      <c r="B259" s="140" t="s">
        <v>157</v>
      </c>
      <c r="C259" s="140" t="s">
        <v>158</v>
      </c>
      <c r="D259" s="140" t="s">
        <v>11</v>
      </c>
      <c r="E259" s="140" t="s">
        <v>55</v>
      </c>
      <c r="F259">
        <v>85.762698409999999</v>
      </c>
      <c r="G259" s="140" t="s">
        <v>159</v>
      </c>
      <c r="H259">
        <v>0</v>
      </c>
      <c r="I259" s="140" t="s">
        <v>160</v>
      </c>
    </row>
    <row r="260" spans="1:9" hidden="1" x14ac:dyDescent="0.25">
      <c r="A260">
        <v>2016</v>
      </c>
      <c r="B260" s="140" t="s">
        <v>157</v>
      </c>
      <c r="C260" s="140" t="s">
        <v>158</v>
      </c>
      <c r="D260" s="140" t="s">
        <v>11</v>
      </c>
      <c r="E260" s="140" t="s">
        <v>55</v>
      </c>
      <c r="F260">
        <v>81.098046879999998</v>
      </c>
      <c r="G260" s="140" t="s">
        <v>159</v>
      </c>
      <c r="H260">
        <v>0</v>
      </c>
      <c r="I260" s="140" t="s">
        <v>160</v>
      </c>
    </row>
    <row r="261" spans="1:9" hidden="1" x14ac:dyDescent="0.25">
      <c r="A261">
        <v>2017</v>
      </c>
      <c r="B261" s="140" t="s">
        <v>157</v>
      </c>
      <c r="C261" s="140" t="s">
        <v>158</v>
      </c>
      <c r="D261" s="140" t="s">
        <v>11</v>
      </c>
      <c r="E261" s="140" t="s">
        <v>55</v>
      </c>
      <c r="F261">
        <v>97.347692309999999</v>
      </c>
      <c r="G261" s="140" t="s">
        <v>159</v>
      </c>
      <c r="H261">
        <v>0</v>
      </c>
      <c r="I261" s="140" t="s">
        <v>160</v>
      </c>
    </row>
    <row r="262" spans="1:9" hidden="1" x14ac:dyDescent="0.25">
      <c r="A262">
        <v>2018</v>
      </c>
      <c r="B262" s="140" t="s">
        <v>157</v>
      </c>
      <c r="C262" s="140" t="s">
        <v>158</v>
      </c>
      <c r="D262" s="140" t="s">
        <v>11</v>
      </c>
      <c r="E262" s="140" t="s">
        <v>55</v>
      </c>
      <c r="F262">
        <v>103.1301158</v>
      </c>
      <c r="G262" s="140" t="s">
        <v>159</v>
      </c>
      <c r="H262">
        <v>0</v>
      </c>
      <c r="I262" s="140" t="s">
        <v>160</v>
      </c>
    </row>
    <row r="263" spans="1:9" hidden="1" x14ac:dyDescent="0.25">
      <c r="A263">
        <v>2019</v>
      </c>
      <c r="B263" s="140" t="s">
        <v>157</v>
      </c>
      <c r="C263" s="140" t="s">
        <v>158</v>
      </c>
      <c r="D263" s="140" t="s">
        <v>11</v>
      </c>
      <c r="E263" s="140" t="s">
        <v>55</v>
      </c>
      <c r="F263">
        <v>100.8730159</v>
      </c>
      <c r="G263" s="140" t="s">
        <v>159</v>
      </c>
      <c r="H263">
        <v>0</v>
      </c>
      <c r="I263" s="140" t="s">
        <v>160</v>
      </c>
    </row>
    <row r="264" spans="1:9" hidden="1" x14ac:dyDescent="0.25">
      <c r="A264">
        <v>2020</v>
      </c>
      <c r="B264" s="140" t="s">
        <v>157</v>
      </c>
      <c r="C264" s="140" t="s">
        <v>158</v>
      </c>
      <c r="D264" s="140" t="s">
        <v>11</v>
      </c>
      <c r="E264" s="140" t="s">
        <v>55</v>
      </c>
      <c r="F264">
        <v>100.00194550000001</v>
      </c>
      <c r="G264" s="140" t="s">
        <v>159</v>
      </c>
      <c r="H264">
        <v>0</v>
      </c>
      <c r="I264" s="140" t="s">
        <v>160</v>
      </c>
    </row>
    <row r="265" spans="1:9" hidden="1" x14ac:dyDescent="0.25">
      <c r="A265">
        <v>2021</v>
      </c>
      <c r="B265" s="140" t="s">
        <v>157</v>
      </c>
      <c r="C265" s="140" t="s">
        <v>158</v>
      </c>
      <c r="D265" s="140" t="s">
        <v>11</v>
      </c>
      <c r="E265" s="140" t="s">
        <v>55</v>
      </c>
      <c r="F265">
        <v>140.24054050000001</v>
      </c>
      <c r="G265" s="140" t="s">
        <v>159</v>
      </c>
      <c r="H265">
        <v>0</v>
      </c>
      <c r="I265" s="140" t="s">
        <v>160</v>
      </c>
    </row>
    <row r="266" spans="1:9" hidden="1" x14ac:dyDescent="0.25">
      <c r="A266">
        <v>2022</v>
      </c>
      <c r="B266" s="140" t="s">
        <v>157</v>
      </c>
      <c r="C266" s="140" t="s">
        <v>158</v>
      </c>
      <c r="D266" s="140" t="s">
        <v>11</v>
      </c>
      <c r="E266" s="140" t="s">
        <v>55</v>
      </c>
      <c r="F266">
        <v>154.56007750000001</v>
      </c>
      <c r="G266" s="140" t="s">
        <v>159</v>
      </c>
      <c r="H266">
        <v>0</v>
      </c>
      <c r="I266" s="140" t="s">
        <v>160</v>
      </c>
    </row>
    <row r="267" spans="1:9" hidden="1" x14ac:dyDescent="0.25">
      <c r="A267">
        <v>2023</v>
      </c>
      <c r="B267" s="140" t="s">
        <v>157</v>
      </c>
      <c r="C267" s="140" t="s">
        <v>158</v>
      </c>
      <c r="D267" s="140" t="s">
        <v>11</v>
      </c>
      <c r="E267" s="140" t="s">
        <v>55</v>
      </c>
      <c r="F267">
        <v>0</v>
      </c>
      <c r="G267" s="140" t="s">
        <v>159</v>
      </c>
      <c r="H267">
        <v>0</v>
      </c>
      <c r="I267" s="140" t="s">
        <v>160</v>
      </c>
    </row>
    <row r="268" spans="1:9" hidden="1" x14ac:dyDescent="0.25">
      <c r="A268">
        <v>2024</v>
      </c>
      <c r="B268" s="140" t="s">
        <v>157</v>
      </c>
      <c r="C268" s="140" t="s">
        <v>158</v>
      </c>
      <c r="D268" s="140" t="s">
        <v>11</v>
      </c>
      <c r="E268" s="140" t="s">
        <v>55</v>
      </c>
      <c r="F268">
        <v>0</v>
      </c>
      <c r="G268" s="140" t="s">
        <v>159</v>
      </c>
      <c r="H268">
        <v>0</v>
      </c>
      <c r="I268" s="140" t="s">
        <v>160</v>
      </c>
    </row>
    <row r="269" spans="1:9" hidden="1" x14ac:dyDescent="0.25">
      <c r="A269">
        <v>2025</v>
      </c>
      <c r="B269" s="140" t="s">
        <v>157</v>
      </c>
      <c r="C269" s="140" t="s">
        <v>158</v>
      </c>
      <c r="D269" s="140" t="s">
        <v>11</v>
      </c>
      <c r="E269" s="140" t="s">
        <v>55</v>
      </c>
      <c r="F269">
        <v>0</v>
      </c>
      <c r="G269" s="140" t="s">
        <v>159</v>
      </c>
      <c r="H269">
        <v>0</v>
      </c>
      <c r="I269" s="140" t="s">
        <v>160</v>
      </c>
    </row>
    <row r="270" spans="1:9" hidden="1" x14ac:dyDescent="0.25">
      <c r="A270">
        <v>2026</v>
      </c>
      <c r="B270" s="140" t="s">
        <v>157</v>
      </c>
      <c r="C270" s="140" t="s">
        <v>158</v>
      </c>
      <c r="D270" s="140" t="s">
        <v>11</v>
      </c>
      <c r="E270" s="140" t="s">
        <v>55</v>
      </c>
      <c r="F270">
        <v>178.94</v>
      </c>
      <c r="G270" s="140" t="s">
        <v>159</v>
      </c>
      <c r="H270">
        <v>0</v>
      </c>
      <c r="I270" s="140" t="s">
        <v>160</v>
      </c>
    </row>
    <row r="271" spans="1:9" hidden="1" x14ac:dyDescent="0.25">
      <c r="A271">
        <v>2027</v>
      </c>
      <c r="B271" s="140" t="s">
        <v>157</v>
      </c>
      <c r="C271" s="140" t="s">
        <v>158</v>
      </c>
      <c r="D271" s="140" t="s">
        <v>11</v>
      </c>
      <c r="E271" s="140" t="s">
        <v>55</v>
      </c>
      <c r="F271">
        <v>186.75</v>
      </c>
      <c r="G271" s="140" t="s">
        <v>159</v>
      </c>
      <c r="H271">
        <v>0</v>
      </c>
      <c r="I271" s="140" t="s">
        <v>160</v>
      </c>
    </row>
    <row r="272" spans="1:9" hidden="1" x14ac:dyDescent="0.25">
      <c r="A272">
        <v>2028</v>
      </c>
      <c r="B272" s="140" t="s">
        <v>157</v>
      </c>
      <c r="C272" s="140" t="s">
        <v>158</v>
      </c>
      <c r="D272" s="140" t="s">
        <v>11</v>
      </c>
      <c r="E272" s="140" t="s">
        <v>55</v>
      </c>
      <c r="F272">
        <v>187.95</v>
      </c>
      <c r="G272" s="140" t="s">
        <v>159</v>
      </c>
      <c r="H272">
        <v>0</v>
      </c>
      <c r="I272" s="140" t="s">
        <v>160</v>
      </c>
    </row>
    <row r="273" spans="1:9" hidden="1" x14ac:dyDescent="0.25">
      <c r="A273">
        <v>2009</v>
      </c>
      <c r="B273" s="140" t="s">
        <v>194</v>
      </c>
      <c r="C273" s="140" t="s">
        <v>82</v>
      </c>
      <c r="D273" s="140" t="s">
        <v>11</v>
      </c>
      <c r="E273" s="140" t="s">
        <v>55</v>
      </c>
      <c r="F273">
        <v>-14.58757312</v>
      </c>
      <c r="G273" s="140" t="s">
        <v>214</v>
      </c>
      <c r="H273">
        <v>0</v>
      </c>
      <c r="I273" s="140" t="s">
        <v>14</v>
      </c>
    </row>
    <row r="274" spans="1:9" hidden="1" x14ac:dyDescent="0.25">
      <c r="A274">
        <v>2010</v>
      </c>
      <c r="B274" s="140" t="s">
        <v>194</v>
      </c>
      <c r="C274" s="140" t="s">
        <v>82</v>
      </c>
      <c r="D274" s="140" t="s">
        <v>11</v>
      </c>
      <c r="E274" s="140" t="s">
        <v>55</v>
      </c>
      <c r="F274">
        <v>12.57711945</v>
      </c>
      <c r="G274" s="140" t="s">
        <v>214</v>
      </c>
      <c r="H274">
        <v>0</v>
      </c>
      <c r="I274" s="140" t="s">
        <v>14</v>
      </c>
    </row>
    <row r="275" spans="1:9" hidden="1" x14ac:dyDescent="0.25">
      <c r="A275">
        <v>2011</v>
      </c>
      <c r="B275" s="140" t="s">
        <v>194</v>
      </c>
      <c r="C275" s="140" t="s">
        <v>82</v>
      </c>
      <c r="D275" s="140" t="s">
        <v>11</v>
      </c>
      <c r="E275" s="140" t="s">
        <v>55</v>
      </c>
      <c r="F275">
        <v>5.3610136669999999</v>
      </c>
      <c r="G275" s="140" t="s">
        <v>214</v>
      </c>
      <c r="H275">
        <v>0</v>
      </c>
      <c r="I275" s="140" t="s">
        <v>14</v>
      </c>
    </row>
    <row r="276" spans="1:9" hidden="1" x14ac:dyDescent="0.25">
      <c r="A276">
        <v>2012</v>
      </c>
      <c r="B276" s="140" t="s">
        <v>194</v>
      </c>
      <c r="C276" s="140" t="s">
        <v>82</v>
      </c>
      <c r="D276" s="140" t="s">
        <v>11</v>
      </c>
      <c r="E276" s="140" t="s">
        <v>55</v>
      </c>
      <c r="F276">
        <v>1.474107279</v>
      </c>
      <c r="G276" s="140" t="s">
        <v>214</v>
      </c>
      <c r="H276">
        <v>0</v>
      </c>
      <c r="I276" s="140" t="s">
        <v>14</v>
      </c>
    </row>
    <row r="277" spans="1:9" hidden="1" x14ac:dyDescent="0.25">
      <c r="A277">
        <v>2013</v>
      </c>
      <c r="B277" s="140" t="s">
        <v>194</v>
      </c>
      <c r="C277" s="140" t="s">
        <v>82</v>
      </c>
      <c r="D277" s="140" t="s">
        <v>11</v>
      </c>
      <c r="E277" s="140" t="s">
        <v>55</v>
      </c>
      <c r="F277">
        <v>1.4780424679999999</v>
      </c>
      <c r="G277" s="140" t="s">
        <v>214</v>
      </c>
      <c r="H277">
        <v>0</v>
      </c>
      <c r="I277" s="140" t="s">
        <v>14</v>
      </c>
    </row>
    <row r="278" spans="1:9" hidden="1" x14ac:dyDescent="0.25">
      <c r="A278">
        <v>2014</v>
      </c>
      <c r="B278" s="140" t="s">
        <v>194</v>
      </c>
      <c r="C278" s="140" t="s">
        <v>82</v>
      </c>
      <c r="D278" s="140" t="s">
        <v>11</v>
      </c>
      <c r="E278" s="140" t="s">
        <v>55</v>
      </c>
      <c r="F278">
        <v>3.9057151819999998</v>
      </c>
      <c r="G278" s="140" t="s">
        <v>214</v>
      </c>
      <c r="H278">
        <v>0</v>
      </c>
      <c r="I278" s="140" t="s">
        <v>14</v>
      </c>
    </row>
    <row r="279" spans="1:9" hidden="1" x14ac:dyDescent="0.25">
      <c r="A279">
        <v>2015</v>
      </c>
      <c r="B279" s="140" t="s">
        <v>194</v>
      </c>
      <c r="C279" s="140" t="s">
        <v>82</v>
      </c>
      <c r="D279" s="140" t="s">
        <v>11</v>
      </c>
      <c r="E279" s="140" t="s">
        <v>55</v>
      </c>
      <c r="F279">
        <v>0.81733386200000002</v>
      </c>
      <c r="G279" s="140" t="s">
        <v>214</v>
      </c>
      <c r="H279">
        <v>0</v>
      </c>
      <c r="I279" s="140" t="s">
        <v>14</v>
      </c>
    </row>
    <row r="280" spans="1:9" hidden="1" x14ac:dyDescent="0.25">
      <c r="A280">
        <v>2016</v>
      </c>
      <c r="B280" s="140" t="s">
        <v>194</v>
      </c>
      <c r="C280" s="140" t="s">
        <v>82</v>
      </c>
      <c r="D280" s="140" t="s">
        <v>11</v>
      </c>
      <c r="E280" s="140" t="s">
        <v>55</v>
      </c>
      <c r="F280">
        <v>4.3661640000000002E-2</v>
      </c>
      <c r="G280" s="140" t="s">
        <v>214</v>
      </c>
      <c r="H280">
        <v>0</v>
      </c>
      <c r="I280" s="140" t="s">
        <v>14</v>
      </c>
    </row>
    <row r="281" spans="1:9" hidden="1" x14ac:dyDescent="0.25">
      <c r="A281">
        <v>2017</v>
      </c>
      <c r="B281" s="140" t="s">
        <v>194</v>
      </c>
      <c r="C281" s="140" t="s">
        <v>82</v>
      </c>
      <c r="D281" s="140" t="s">
        <v>11</v>
      </c>
      <c r="E281" s="140" t="s">
        <v>55</v>
      </c>
      <c r="F281">
        <v>4.407909922</v>
      </c>
      <c r="G281" s="140" t="s">
        <v>214</v>
      </c>
      <c r="H281">
        <v>0</v>
      </c>
      <c r="I281" s="140" t="s">
        <v>14</v>
      </c>
    </row>
    <row r="282" spans="1:9" hidden="1" x14ac:dyDescent="0.25">
      <c r="A282">
        <v>2018</v>
      </c>
      <c r="B282" s="140" t="s">
        <v>194</v>
      </c>
      <c r="C282" s="140" t="s">
        <v>82</v>
      </c>
      <c r="D282" s="140" t="s">
        <v>11</v>
      </c>
      <c r="E282" s="140" t="s">
        <v>55</v>
      </c>
      <c r="F282">
        <v>2.8534763779999999</v>
      </c>
      <c r="G282" s="140" t="s">
        <v>214</v>
      </c>
      <c r="H282">
        <v>0</v>
      </c>
      <c r="I282" s="140" t="s">
        <v>14</v>
      </c>
    </row>
    <row r="283" spans="1:9" hidden="1" x14ac:dyDescent="0.25">
      <c r="A283">
        <v>2019</v>
      </c>
      <c r="B283" s="140" t="s">
        <v>194</v>
      </c>
      <c r="C283" s="140" t="s">
        <v>82</v>
      </c>
      <c r="D283" s="140" t="s">
        <v>11</v>
      </c>
      <c r="E283" s="140" t="s">
        <v>55</v>
      </c>
      <c r="F283">
        <v>-0.31702886000000002</v>
      </c>
      <c r="G283" s="140" t="s">
        <v>214</v>
      </c>
      <c r="H283">
        <v>0</v>
      </c>
      <c r="I283" s="140" t="s">
        <v>14</v>
      </c>
    </row>
    <row r="284" spans="1:9" hidden="1" x14ac:dyDescent="0.25">
      <c r="A284">
        <v>2020</v>
      </c>
      <c r="B284" s="140" t="s">
        <v>194</v>
      </c>
      <c r="C284" s="140" t="s">
        <v>82</v>
      </c>
      <c r="D284" s="140" t="s">
        <v>11</v>
      </c>
      <c r="E284" s="140" t="s">
        <v>55</v>
      </c>
      <c r="F284">
        <v>-6.2557919000000002</v>
      </c>
      <c r="G284" s="140" t="s">
        <v>214</v>
      </c>
      <c r="H284">
        <v>0</v>
      </c>
      <c r="I284" s="140" t="s">
        <v>14</v>
      </c>
    </row>
    <row r="285" spans="1:9" hidden="1" x14ac:dyDescent="0.25">
      <c r="A285">
        <v>2021</v>
      </c>
      <c r="B285" s="140" t="s">
        <v>194</v>
      </c>
      <c r="C285" s="140" t="s">
        <v>82</v>
      </c>
      <c r="D285" s="140" t="s">
        <v>11</v>
      </c>
      <c r="E285" s="140" t="s">
        <v>55</v>
      </c>
      <c r="F285">
        <v>9.7177834940000007</v>
      </c>
      <c r="G285" s="140" t="s">
        <v>214</v>
      </c>
      <c r="H285">
        <v>0</v>
      </c>
      <c r="I285" s="140" t="s">
        <v>14</v>
      </c>
    </row>
    <row r="286" spans="1:9" hidden="1" x14ac:dyDescent="0.25">
      <c r="A286">
        <v>2022</v>
      </c>
      <c r="B286" s="140" t="s">
        <v>194</v>
      </c>
      <c r="C286" s="140" t="s">
        <v>82</v>
      </c>
      <c r="D286" s="140" t="s">
        <v>11</v>
      </c>
      <c r="E286" s="140" t="s">
        <v>55</v>
      </c>
      <c r="F286">
        <v>3.0430420470000001</v>
      </c>
      <c r="G286" s="140" t="s">
        <v>214</v>
      </c>
      <c r="H286">
        <v>0</v>
      </c>
      <c r="I286" s="140" t="s">
        <v>14</v>
      </c>
    </row>
    <row r="287" spans="1:9" hidden="1" x14ac:dyDescent="0.25">
      <c r="A287">
        <v>2023</v>
      </c>
      <c r="B287" s="140" t="s">
        <v>194</v>
      </c>
      <c r="C287" s="140" t="s">
        <v>82</v>
      </c>
      <c r="D287" s="140" t="s">
        <v>11</v>
      </c>
      <c r="E287" s="140" t="s">
        <v>55</v>
      </c>
      <c r="F287">
        <v>-0.788842182</v>
      </c>
      <c r="G287" s="140" t="s">
        <v>214</v>
      </c>
      <c r="H287">
        <v>0</v>
      </c>
      <c r="I287" s="140" t="s">
        <v>14</v>
      </c>
    </row>
    <row r="288" spans="1:9" hidden="1" x14ac:dyDescent="0.25">
      <c r="A288">
        <v>2024</v>
      </c>
      <c r="B288" s="140" t="s">
        <v>194</v>
      </c>
      <c r="C288" s="140" t="s">
        <v>82</v>
      </c>
      <c r="D288" s="140" t="s">
        <v>11</v>
      </c>
      <c r="E288" s="140" t="s">
        <v>55</v>
      </c>
      <c r="F288">
        <v>2.8383246190000002</v>
      </c>
      <c r="G288" s="140" t="s">
        <v>214</v>
      </c>
      <c r="H288">
        <v>0</v>
      </c>
      <c r="I288" s="140" t="s">
        <v>14</v>
      </c>
    </row>
    <row r="289" spans="1:9" hidden="1" x14ac:dyDescent="0.25">
      <c r="A289">
        <v>2025</v>
      </c>
      <c r="B289" s="140" t="s">
        <v>194</v>
      </c>
      <c r="C289" s="140" t="s">
        <v>82</v>
      </c>
      <c r="D289" s="140" t="s">
        <v>11</v>
      </c>
      <c r="E289" s="140" t="s">
        <v>55</v>
      </c>
      <c r="F289">
        <v>4.3764007060000001</v>
      </c>
      <c r="G289" s="140" t="s">
        <v>214</v>
      </c>
      <c r="H289">
        <v>0</v>
      </c>
      <c r="I289" s="140" t="s">
        <v>14</v>
      </c>
    </row>
    <row r="290" spans="1:9" hidden="1" x14ac:dyDescent="0.25">
      <c r="A290">
        <v>2026</v>
      </c>
      <c r="B290" s="140" t="s">
        <v>194</v>
      </c>
      <c r="C290" s="140" t="s">
        <v>82</v>
      </c>
      <c r="D290" s="140" t="s">
        <v>11</v>
      </c>
      <c r="E290" s="140" t="s">
        <v>55</v>
      </c>
      <c r="F290">
        <v>0.66</v>
      </c>
      <c r="G290" s="140" t="s">
        <v>214</v>
      </c>
      <c r="H290">
        <v>0</v>
      </c>
      <c r="I290" s="140" t="s">
        <v>14</v>
      </c>
    </row>
    <row r="291" spans="1:9" hidden="1" x14ac:dyDescent="0.25">
      <c r="A291">
        <v>2027</v>
      </c>
      <c r="B291" s="140" t="s">
        <v>194</v>
      </c>
      <c r="C291" s="140" t="s">
        <v>82</v>
      </c>
      <c r="D291" s="140" t="s">
        <v>11</v>
      </c>
      <c r="E291" s="140" t="s">
        <v>55</v>
      </c>
      <c r="F291">
        <v>2.16</v>
      </c>
      <c r="G291" s="140" t="s">
        <v>214</v>
      </c>
      <c r="H291">
        <v>0</v>
      </c>
      <c r="I291" s="140" t="s">
        <v>14</v>
      </c>
    </row>
    <row r="292" spans="1:9" hidden="1" x14ac:dyDescent="0.25">
      <c r="A292">
        <v>2028</v>
      </c>
      <c r="B292" s="140" t="s">
        <v>194</v>
      </c>
      <c r="C292" s="140" t="s">
        <v>82</v>
      </c>
      <c r="D292" s="140" t="s">
        <v>11</v>
      </c>
      <c r="E292" s="140" t="s">
        <v>55</v>
      </c>
      <c r="F292">
        <v>2.74</v>
      </c>
      <c r="G292" s="140" t="s">
        <v>214</v>
      </c>
      <c r="H292">
        <v>0</v>
      </c>
      <c r="I292" s="140" t="s">
        <v>14</v>
      </c>
    </row>
    <row r="293" spans="1:9" hidden="1" x14ac:dyDescent="0.25">
      <c r="A293">
        <v>2009</v>
      </c>
      <c r="B293" s="140" t="s">
        <v>193</v>
      </c>
      <c r="C293" s="140" t="s">
        <v>82</v>
      </c>
      <c r="D293" s="140" t="s">
        <v>11</v>
      </c>
      <c r="E293" s="140" t="s">
        <v>55</v>
      </c>
      <c r="F293">
        <v>-6.2</v>
      </c>
      <c r="G293" s="140" t="s">
        <v>215</v>
      </c>
      <c r="H293">
        <v>0</v>
      </c>
      <c r="I293" s="140" t="s">
        <v>14</v>
      </c>
    </row>
    <row r="294" spans="1:9" hidden="1" x14ac:dyDescent="0.25">
      <c r="A294">
        <v>2010</v>
      </c>
      <c r="B294" s="140" t="s">
        <v>193</v>
      </c>
      <c r="C294" s="140" t="s">
        <v>82</v>
      </c>
      <c r="D294" s="140" t="s">
        <v>11</v>
      </c>
      <c r="E294" s="140" t="s">
        <v>55</v>
      </c>
      <c r="F294">
        <v>8.3000000000000007</v>
      </c>
      <c r="G294" s="140" t="s">
        <v>215</v>
      </c>
      <c r="H294">
        <v>0</v>
      </c>
      <c r="I294" s="140" t="s">
        <v>14</v>
      </c>
    </row>
    <row r="295" spans="1:9" hidden="1" x14ac:dyDescent="0.25">
      <c r="A295">
        <v>2011</v>
      </c>
      <c r="B295" s="140" t="s">
        <v>193</v>
      </c>
      <c r="C295" s="140" t="s">
        <v>82</v>
      </c>
      <c r="D295" s="140" t="s">
        <v>11</v>
      </c>
      <c r="E295" s="140" t="s">
        <v>55</v>
      </c>
      <c r="F295">
        <v>7.7</v>
      </c>
      <c r="G295" s="140" t="s">
        <v>215</v>
      </c>
      <c r="H295">
        <v>0</v>
      </c>
      <c r="I295" s="140" t="s">
        <v>14</v>
      </c>
    </row>
    <row r="296" spans="1:9" hidden="1" x14ac:dyDescent="0.25">
      <c r="A296">
        <v>2012</v>
      </c>
      <c r="B296" s="140" t="s">
        <v>193</v>
      </c>
      <c r="C296" s="140" t="s">
        <v>82</v>
      </c>
      <c r="D296" s="140" t="s">
        <v>11</v>
      </c>
      <c r="E296" s="140" t="s">
        <v>55</v>
      </c>
      <c r="F296">
        <v>0.5</v>
      </c>
      <c r="G296" s="140" t="s">
        <v>215</v>
      </c>
      <c r="H296">
        <v>0</v>
      </c>
      <c r="I296" s="140" t="s">
        <v>14</v>
      </c>
    </row>
    <row r="297" spans="1:9" hidden="1" x14ac:dyDescent="0.25">
      <c r="A297">
        <v>2013</v>
      </c>
      <c r="B297" s="140" t="s">
        <v>193</v>
      </c>
      <c r="C297" s="140" t="s">
        <v>82</v>
      </c>
      <c r="D297" s="140" t="s">
        <v>11</v>
      </c>
      <c r="E297" s="140" t="s">
        <v>55</v>
      </c>
      <c r="F297">
        <v>2.2999999999999998</v>
      </c>
      <c r="G297" s="140" t="s">
        <v>215</v>
      </c>
      <c r="H297">
        <v>0</v>
      </c>
      <c r="I297" s="140" t="s">
        <v>14</v>
      </c>
    </row>
    <row r="298" spans="1:9" hidden="1" x14ac:dyDescent="0.25">
      <c r="A298">
        <v>2014</v>
      </c>
      <c r="B298" s="140" t="s">
        <v>193</v>
      </c>
      <c r="C298" s="140" t="s">
        <v>82</v>
      </c>
      <c r="D298" s="140" t="s">
        <v>11</v>
      </c>
      <c r="E298" s="140" t="s">
        <v>55</v>
      </c>
      <c r="F298">
        <v>6.8</v>
      </c>
      <c r="G298" s="140" t="s">
        <v>215</v>
      </c>
      <c r="H298">
        <v>0</v>
      </c>
      <c r="I298" s="140" t="s">
        <v>14</v>
      </c>
    </row>
    <row r="299" spans="1:9" hidden="1" x14ac:dyDescent="0.25">
      <c r="A299">
        <v>2015</v>
      </c>
      <c r="B299" s="140" t="s">
        <v>193</v>
      </c>
      <c r="C299" s="140" t="s">
        <v>82</v>
      </c>
      <c r="D299" s="140" t="s">
        <v>11</v>
      </c>
      <c r="E299" s="140" t="s">
        <v>55</v>
      </c>
      <c r="F299">
        <v>-2.7</v>
      </c>
      <c r="G299" s="140" t="s">
        <v>215</v>
      </c>
      <c r="H299">
        <v>0</v>
      </c>
      <c r="I299" s="140" t="s">
        <v>14</v>
      </c>
    </row>
    <row r="300" spans="1:9" hidden="1" x14ac:dyDescent="0.25">
      <c r="A300">
        <v>2016</v>
      </c>
      <c r="B300" s="140" t="s">
        <v>193</v>
      </c>
      <c r="C300" s="140" t="s">
        <v>82</v>
      </c>
      <c r="D300" s="140" t="s">
        <v>11</v>
      </c>
      <c r="E300" s="140" t="s">
        <v>55</v>
      </c>
      <c r="F300">
        <v>3.3</v>
      </c>
      <c r="G300" s="140" t="s">
        <v>215</v>
      </c>
      <c r="H300">
        <v>0</v>
      </c>
      <c r="I300" s="140" t="s">
        <v>14</v>
      </c>
    </row>
    <row r="301" spans="1:9" hidden="1" x14ac:dyDescent="0.25">
      <c r="A301">
        <v>2017</v>
      </c>
      <c r="B301" s="140" t="s">
        <v>193</v>
      </c>
      <c r="C301" s="140" t="s">
        <v>82</v>
      </c>
      <c r="D301" s="140" t="s">
        <v>11</v>
      </c>
      <c r="E301" s="140" t="s">
        <v>55</v>
      </c>
      <c r="F301">
        <v>4.8</v>
      </c>
      <c r="G301" s="140" t="s">
        <v>215</v>
      </c>
      <c r="H301">
        <v>0</v>
      </c>
      <c r="I301" s="140" t="s">
        <v>14</v>
      </c>
    </row>
    <row r="302" spans="1:9" hidden="1" x14ac:dyDescent="0.25">
      <c r="A302">
        <v>2018</v>
      </c>
      <c r="B302" s="140" t="s">
        <v>193</v>
      </c>
      <c r="C302" s="140" t="s">
        <v>82</v>
      </c>
      <c r="D302" s="140" t="s">
        <v>11</v>
      </c>
      <c r="E302" s="140" t="s">
        <v>55</v>
      </c>
      <c r="F302">
        <v>5.7</v>
      </c>
      <c r="G302" s="140" t="s">
        <v>215</v>
      </c>
      <c r="H302">
        <v>0</v>
      </c>
      <c r="I302" s="140" t="s">
        <v>14</v>
      </c>
    </row>
    <row r="303" spans="1:9" hidden="1" x14ac:dyDescent="0.25">
      <c r="A303">
        <v>2019</v>
      </c>
      <c r="B303" s="140" t="s">
        <v>193</v>
      </c>
      <c r="C303" s="140" t="s">
        <v>82</v>
      </c>
      <c r="D303" s="140" t="s">
        <v>11</v>
      </c>
      <c r="E303" s="140" t="s">
        <v>55</v>
      </c>
      <c r="F303">
        <v>3.2</v>
      </c>
      <c r="G303" s="140" t="s">
        <v>215</v>
      </c>
      <c r="H303">
        <v>0</v>
      </c>
      <c r="I303" s="140" t="s">
        <v>14</v>
      </c>
    </row>
    <row r="304" spans="1:9" hidden="1" x14ac:dyDescent="0.25">
      <c r="A304">
        <v>2020</v>
      </c>
      <c r="B304" s="140" t="s">
        <v>193</v>
      </c>
      <c r="C304" s="140" t="s">
        <v>82</v>
      </c>
      <c r="D304" s="140" t="s">
        <v>11</v>
      </c>
      <c r="E304" s="140" t="s">
        <v>55</v>
      </c>
      <c r="F304">
        <v>-10.5</v>
      </c>
      <c r="G304" s="140" t="s">
        <v>215</v>
      </c>
      <c r="H304">
        <v>0</v>
      </c>
      <c r="I304" s="140" t="s">
        <v>14</v>
      </c>
    </row>
    <row r="305" spans="1:9" hidden="1" x14ac:dyDescent="0.25">
      <c r="A305">
        <v>2021</v>
      </c>
      <c r="B305" s="140" t="s">
        <v>193</v>
      </c>
      <c r="C305" s="140" t="s">
        <v>82</v>
      </c>
      <c r="D305" s="140" t="s">
        <v>11</v>
      </c>
      <c r="E305" s="140" t="s">
        <v>55</v>
      </c>
      <c r="F305">
        <v>7.3</v>
      </c>
      <c r="G305" s="140" t="s">
        <v>215</v>
      </c>
      <c r="H305">
        <v>0</v>
      </c>
      <c r="I305" s="140" t="s">
        <v>14</v>
      </c>
    </row>
    <row r="306" spans="1:9" hidden="1" x14ac:dyDescent="0.25">
      <c r="A306">
        <v>2022</v>
      </c>
      <c r="B306" s="140" t="s">
        <v>193</v>
      </c>
      <c r="C306" s="140" t="s">
        <v>82</v>
      </c>
      <c r="D306" s="140" t="s">
        <v>11</v>
      </c>
      <c r="E306" s="140" t="s">
        <v>55</v>
      </c>
      <c r="F306">
        <v>4.5</v>
      </c>
      <c r="G306" s="140" t="s">
        <v>215</v>
      </c>
      <c r="H306">
        <v>0</v>
      </c>
      <c r="I306" s="140" t="s">
        <v>14</v>
      </c>
    </row>
    <row r="307" spans="1:9" hidden="1" x14ac:dyDescent="0.25">
      <c r="A307">
        <v>2023</v>
      </c>
      <c r="B307" s="140" t="s">
        <v>193</v>
      </c>
      <c r="C307" s="140" t="s">
        <v>82</v>
      </c>
      <c r="D307" s="140" t="s">
        <v>11</v>
      </c>
      <c r="E307" s="140" t="s">
        <v>55</v>
      </c>
      <c r="F307">
        <v>6.1</v>
      </c>
      <c r="G307" s="140" t="s">
        <v>215</v>
      </c>
      <c r="H307">
        <v>0</v>
      </c>
      <c r="I307" s="140" t="s">
        <v>14</v>
      </c>
    </row>
    <row r="308" spans="1:9" hidden="1" x14ac:dyDescent="0.25">
      <c r="A308">
        <v>2024</v>
      </c>
      <c r="B308" s="140" t="s">
        <v>193</v>
      </c>
      <c r="C308" s="140" t="s">
        <v>82</v>
      </c>
      <c r="D308" s="140" t="s">
        <v>11</v>
      </c>
      <c r="E308" s="140" t="s">
        <v>55</v>
      </c>
      <c r="F308">
        <v>4.5</v>
      </c>
      <c r="G308" s="140" t="s">
        <v>215</v>
      </c>
      <c r="H308">
        <v>0</v>
      </c>
      <c r="I308" s="140" t="s">
        <v>14</v>
      </c>
    </row>
    <row r="309" spans="1:9" hidden="1" x14ac:dyDescent="0.25">
      <c r="A309">
        <v>2025</v>
      </c>
      <c r="B309" s="140" t="s">
        <v>193</v>
      </c>
      <c r="C309" s="140" t="s">
        <v>82</v>
      </c>
      <c r="D309" s="140" t="s">
        <v>11</v>
      </c>
      <c r="E309" s="140" t="s">
        <v>55</v>
      </c>
      <c r="F309">
        <v>5.07</v>
      </c>
      <c r="G309" s="140" t="s">
        <v>215</v>
      </c>
      <c r="H309">
        <v>0</v>
      </c>
      <c r="I309" s="140" t="s">
        <v>14</v>
      </c>
    </row>
    <row r="310" spans="1:9" hidden="1" x14ac:dyDescent="0.25">
      <c r="A310">
        <v>2026</v>
      </c>
      <c r="B310" s="140" t="s">
        <v>193</v>
      </c>
      <c r="C310" s="140" t="s">
        <v>82</v>
      </c>
      <c r="D310" s="140" t="s">
        <v>11</v>
      </c>
      <c r="E310" s="140" t="s">
        <v>55</v>
      </c>
      <c r="F310">
        <v>2.85</v>
      </c>
      <c r="G310" s="140" t="s">
        <v>215</v>
      </c>
      <c r="H310">
        <v>0</v>
      </c>
      <c r="I310" s="140" t="s">
        <v>14</v>
      </c>
    </row>
    <row r="311" spans="1:9" hidden="1" x14ac:dyDescent="0.25">
      <c r="A311">
        <v>2027</v>
      </c>
      <c r="B311" s="140" t="s">
        <v>193</v>
      </c>
      <c r="C311" s="140" t="s">
        <v>82</v>
      </c>
      <c r="D311" s="140" t="s">
        <v>11</v>
      </c>
      <c r="E311" s="140" t="s">
        <v>55</v>
      </c>
      <c r="F311">
        <v>3.65</v>
      </c>
      <c r="G311" s="140" t="s">
        <v>215</v>
      </c>
      <c r="H311">
        <v>0</v>
      </c>
      <c r="I311" s="140" t="s">
        <v>14</v>
      </c>
    </row>
    <row r="312" spans="1:9" hidden="1" x14ac:dyDescent="0.25">
      <c r="A312">
        <v>2028</v>
      </c>
      <c r="B312" s="140" t="s">
        <v>193</v>
      </c>
      <c r="C312" s="140" t="s">
        <v>82</v>
      </c>
      <c r="D312" s="140" t="s">
        <v>11</v>
      </c>
      <c r="E312" s="140" t="s">
        <v>55</v>
      </c>
      <c r="F312">
        <v>4.33</v>
      </c>
      <c r="G312" s="140" t="s">
        <v>215</v>
      </c>
      <c r="H312">
        <v>0</v>
      </c>
      <c r="I312" s="140" t="s">
        <v>14</v>
      </c>
    </row>
    <row r="313" spans="1:9" hidden="1" x14ac:dyDescent="0.25">
      <c r="A313">
        <v>2009</v>
      </c>
      <c r="B313" s="140" t="s">
        <v>92</v>
      </c>
      <c r="C313" s="140" t="s">
        <v>82</v>
      </c>
      <c r="D313" s="140" t="s">
        <v>11</v>
      </c>
      <c r="E313" s="140" t="s">
        <v>55</v>
      </c>
      <c r="F313">
        <v>-0.51200000000000001</v>
      </c>
      <c r="G313" s="140" t="s">
        <v>216</v>
      </c>
      <c r="H313">
        <v>0</v>
      </c>
      <c r="I313" s="140" t="s">
        <v>14</v>
      </c>
    </row>
    <row r="314" spans="1:9" hidden="1" x14ac:dyDescent="0.25">
      <c r="A314">
        <v>2010</v>
      </c>
      <c r="B314" s="140" t="s">
        <v>92</v>
      </c>
      <c r="C314" s="140" t="s">
        <v>82</v>
      </c>
      <c r="D314" s="140" t="s">
        <v>11</v>
      </c>
      <c r="E314" s="140" t="s">
        <v>55</v>
      </c>
      <c r="F314">
        <v>5.2779990000000003</v>
      </c>
      <c r="G314" s="140" t="s">
        <v>216</v>
      </c>
      <c r="H314">
        <v>0</v>
      </c>
      <c r="I314" s="140" t="s">
        <v>14</v>
      </c>
    </row>
    <row r="315" spans="1:9" hidden="1" x14ac:dyDescent="0.25">
      <c r="A315">
        <v>2011</v>
      </c>
      <c r="B315" s="140" t="s">
        <v>92</v>
      </c>
      <c r="C315" s="140" t="s">
        <v>82</v>
      </c>
      <c r="D315" s="140" t="s">
        <v>11</v>
      </c>
      <c r="E315" s="140" t="s">
        <v>55</v>
      </c>
      <c r="F315">
        <v>4.1013950000000001</v>
      </c>
      <c r="G315" s="140" t="s">
        <v>216</v>
      </c>
      <c r="H315">
        <v>0</v>
      </c>
      <c r="I315" s="140" t="s">
        <v>14</v>
      </c>
    </row>
    <row r="316" spans="1:9" hidden="1" x14ac:dyDescent="0.25">
      <c r="A316">
        <v>2012</v>
      </c>
      <c r="B316" s="140" t="s">
        <v>92</v>
      </c>
      <c r="C316" s="140" t="s">
        <v>82</v>
      </c>
      <c r="D316" s="140" t="s">
        <v>11</v>
      </c>
      <c r="E316" s="140" t="s">
        <v>55</v>
      </c>
      <c r="F316">
        <v>3.1</v>
      </c>
      <c r="G316" s="140" t="s">
        <v>216</v>
      </c>
      <c r="H316">
        <v>0</v>
      </c>
      <c r="I316" s="140" t="s">
        <v>14</v>
      </c>
    </row>
    <row r="317" spans="1:9" hidden="1" x14ac:dyDescent="0.25">
      <c r="A317">
        <v>2013</v>
      </c>
      <c r="B317" s="140" t="s">
        <v>92</v>
      </c>
      <c r="C317" s="140" t="s">
        <v>82</v>
      </c>
      <c r="D317" s="140" t="s">
        <v>11</v>
      </c>
      <c r="E317" s="140" t="s">
        <v>55</v>
      </c>
      <c r="F317">
        <v>3.2</v>
      </c>
      <c r="G317" s="140" t="s">
        <v>216</v>
      </c>
      <c r="H317">
        <v>0</v>
      </c>
      <c r="I317" s="140" t="s">
        <v>14</v>
      </c>
    </row>
    <row r="318" spans="1:9" hidden="1" x14ac:dyDescent="0.25">
      <c r="A318">
        <v>2014</v>
      </c>
      <c r="B318" s="140" t="s">
        <v>92</v>
      </c>
      <c r="C318" s="140" t="s">
        <v>82</v>
      </c>
      <c r="D318" s="140" t="s">
        <v>11</v>
      </c>
      <c r="E318" s="140" t="s">
        <v>55</v>
      </c>
      <c r="F318">
        <v>3.5</v>
      </c>
      <c r="G318" s="140" t="s">
        <v>216</v>
      </c>
      <c r="H318">
        <v>0</v>
      </c>
      <c r="I318" s="140" t="s">
        <v>14</v>
      </c>
    </row>
    <row r="319" spans="1:9" hidden="1" x14ac:dyDescent="0.25">
      <c r="A319">
        <v>2015</v>
      </c>
      <c r="B319" s="140" t="s">
        <v>92</v>
      </c>
      <c r="C319" s="140" t="s">
        <v>82</v>
      </c>
      <c r="D319" s="140" t="s">
        <v>11</v>
      </c>
      <c r="E319" s="140" t="s">
        <v>55</v>
      </c>
      <c r="F319">
        <v>3.4</v>
      </c>
      <c r="G319" s="140" t="s">
        <v>216</v>
      </c>
      <c r="H319">
        <v>0</v>
      </c>
      <c r="I319" s="140" t="s">
        <v>14</v>
      </c>
    </row>
    <row r="320" spans="1:9" hidden="1" x14ac:dyDescent="0.25">
      <c r="A320">
        <v>2016</v>
      </c>
      <c r="B320" s="140" t="s">
        <v>92</v>
      </c>
      <c r="C320" s="140" t="s">
        <v>82</v>
      </c>
      <c r="D320" s="140" t="s">
        <v>11</v>
      </c>
      <c r="E320" s="140" t="s">
        <v>55</v>
      </c>
      <c r="F320">
        <v>3.4</v>
      </c>
      <c r="G320" s="140" t="s">
        <v>216</v>
      </c>
      <c r="H320">
        <v>0</v>
      </c>
      <c r="I320" s="140" t="s">
        <v>14</v>
      </c>
    </row>
    <row r="321" spans="1:9" hidden="1" x14ac:dyDescent="0.25">
      <c r="A321">
        <v>2017</v>
      </c>
      <c r="B321" s="140" t="s">
        <v>92</v>
      </c>
      <c r="C321" s="140" t="s">
        <v>82</v>
      </c>
      <c r="D321" s="140" t="s">
        <v>11</v>
      </c>
      <c r="E321" s="140" t="s">
        <v>55</v>
      </c>
      <c r="F321">
        <v>3.9</v>
      </c>
      <c r="G321" s="140" t="s">
        <v>216</v>
      </c>
      <c r="H321">
        <v>0</v>
      </c>
      <c r="I321" s="140" t="s">
        <v>14</v>
      </c>
    </row>
    <row r="322" spans="1:9" hidden="1" x14ac:dyDescent="0.25">
      <c r="A322">
        <v>2018</v>
      </c>
      <c r="B322" s="140" t="s">
        <v>92</v>
      </c>
      <c r="C322" s="140" t="s">
        <v>82</v>
      </c>
      <c r="D322" s="140" t="s">
        <v>11</v>
      </c>
      <c r="E322" s="140" t="s">
        <v>55</v>
      </c>
      <c r="F322">
        <v>3.6</v>
      </c>
      <c r="G322" s="140" t="s">
        <v>216</v>
      </c>
      <c r="H322">
        <v>0</v>
      </c>
      <c r="I322" s="140" t="s">
        <v>14</v>
      </c>
    </row>
    <row r="323" spans="1:9" hidden="1" x14ac:dyDescent="0.25">
      <c r="A323">
        <v>2019</v>
      </c>
      <c r="B323" s="140" t="s">
        <v>92</v>
      </c>
      <c r="C323" s="140" t="s">
        <v>82</v>
      </c>
      <c r="D323" s="140" t="s">
        <v>11</v>
      </c>
      <c r="E323" s="140" t="s">
        <v>55</v>
      </c>
      <c r="F323">
        <v>2.9</v>
      </c>
      <c r="G323" s="140" t="s">
        <v>216</v>
      </c>
      <c r="H323">
        <v>0</v>
      </c>
      <c r="I323" s="140" t="s">
        <v>14</v>
      </c>
    </row>
    <row r="324" spans="1:9" hidden="1" x14ac:dyDescent="0.25">
      <c r="A324">
        <v>2020</v>
      </c>
      <c r="B324" s="140" t="s">
        <v>92</v>
      </c>
      <c r="C324" s="140" t="s">
        <v>82</v>
      </c>
      <c r="D324" s="140" t="s">
        <v>11</v>
      </c>
      <c r="E324" s="140" t="s">
        <v>55</v>
      </c>
      <c r="F324">
        <v>-2.8</v>
      </c>
      <c r="G324" s="140" t="s">
        <v>216</v>
      </c>
      <c r="H324">
        <v>0</v>
      </c>
      <c r="I324" s="140" t="s">
        <v>14</v>
      </c>
    </row>
    <row r="325" spans="1:9" hidden="1" x14ac:dyDescent="0.25">
      <c r="A325">
        <v>2021</v>
      </c>
      <c r="B325" s="140" t="s">
        <v>92</v>
      </c>
      <c r="C325" s="140" t="s">
        <v>82</v>
      </c>
      <c r="D325" s="140" t="s">
        <v>11</v>
      </c>
      <c r="E325" s="140" t="s">
        <v>55</v>
      </c>
      <c r="F325">
        <v>6.6</v>
      </c>
      <c r="G325" s="140" t="s">
        <v>216</v>
      </c>
      <c r="H325">
        <v>0</v>
      </c>
      <c r="I325" s="140" t="s">
        <v>14</v>
      </c>
    </row>
    <row r="326" spans="1:9" hidden="1" x14ac:dyDescent="0.25">
      <c r="A326">
        <v>2022</v>
      </c>
      <c r="B326" s="140" t="s">
        <v>92</v>
      </c>
      <c r="C326" s="140" t="s">
        <v>82</v>
      </c>
      <c r="D326" s="140" t="s">
        <v>11</v>
      </c>
      <c r="E326" s="140" t="s">
        <v>55</v>
      </c>
      <c r="F326">
        <v>3.5</v>
      </c>
      <c r="G326" s="140" t="s">
        <v>216</v>
      </c>
      <c r="H326">
        <v>0</v>
      </c>
      <c r="I326" s="140" t="s">
        <v>14</v>
      </c>
    </row>
    <row r="327" spans="1:9" hidden="1" x14ac:dyDescent="0.25">
      <c r="A327">
        <v>2023</v>
      </c>
      <c r="B327" s="140" t="s">
        <v>92</v>
      </c>
      <c r="C327" s="140" t="s">
        <v>82</v>
      </c>
      <c r="D327" s="140" t="s">
        <v>11</v>
      </c>
      <c r="E327" s="140" t="s">
        <v>55</v>
      </c>
      <c r="F327">
        <v>3.2</v>
      </c>
      <c r="G327" s="140" t="s">
        <v>216</v>
      </c>
      <c r="H327">
        <v>0</v>
      </c>
      <c r="I327" s="140" t="s">
        <v>14</v>
      </c>
    </row>
    <row r="328" spans="1:9" hidden="1" x14ac:dyDescent="0.25">
      <c r="A328">
        <v>2024</v>
      </c>
      <c r="B328" s="140" t="s">
        <v>92</v>
      </c>
      <c r="C328" s="140" t="s">
        <v>82</v>
      </c>
      <c r="D328" s="140" t="s">
        <v>11</v>
      </c>
      <c r="E328" s="140" t="s">
        <v>55</v>
      </c>
      <c r="F328">
        <v>3.4</v>
      </c>
      <c r="G328" s="140" t="s">
        <v>216</v>
      </c>
      <c r="H328">
        <v>0</v>
      </c>
      <c r="I328" s="140" t="s">
        <v>14</v>
      </c>
    </row>
    <row r="329" spans="1:9" hidden="1" x14ac:dyDescent="0.25">
      <c r="A329">
        <v>2025</v>
      </c>
      <c r="B329" s="140" t="s">
        <v>92</v>
      </c>
      <c r="C329" s="140" t="s">
        <v>82</v>
      </c>
      <c r="D329" s="140" t="s">
        <v>11</v>
      </c>
      <c r="E329" s="140" t="s">
        <v>55</v>
      </c>
      <c r="F329">
        <v>3.5</v>
      </c>
      <c r="G329" s="140" t="s">
        <v>216</v>
      </c>
      <c r="H329">
        <v>0</v>
      </c>
      <c r="I329" s="140" t="s">
        <v>14</v>
      </c>
    </row>
    <row r="330" spans="1:9" hidden="1" x14ac:dyDescent="0.25">
      <c r="A330">
        <v>2026</v>
      </c>
      <c r="B330" s="140" t="s">
        <v>92</v>
      </c>
      <c r="C330" s="140" t="s">
        <v>82</v>
      </c>
      <c r="D330" s="140" t="s">
        <v>11</v>
      </c>
      <c r="E330" s="140" t="s">
        <v>55</v>
      </c>
      <c r="F330">
        <v>2.9</v>
      </c>
      <c r="G330" s="140" t="s">
        <v>216</v>
      </c>
      <c r="H330">
        <v>0</v>
      </c>
      <c r="I330" s="140" t="s">
        <v>14</v>
      </c>
    </row>
    <row r="331" spans="1:9" hidden="1" x14ac:dyDescent="0.25">
      <c r="A331">
        <v>2027</v>
      </c>
      <c r="B331" s="140" t="s">
        <v>92</v>
      </c>
      <c r="C331" s="140" t="s">
        <v>82</v>
      </c>
      <c r="D331" s="140" t="s">
        <v>11</v>
      </c>
      <c r="E331" s="140" t="s">
        <v>55</v>
      </c>
      <c r="F331">
        <v>3.4</v>
      </c>
      <c r="G331" s="140" t="s">
        <v>216</v>
      </c>
      <c r="H331">
        <v>0</v>
      </c>
      <c r="I331" s="140" t="s">
        <v>14</v>
      </c>
    </row>
    <row r="332" spans="1:9" hidden="1" x14ac:dyDescent="0.25">
      <c r="A332">
        <v>2028</v>
      </c>
      <c r="B332" s="140" t="s">
        <v>92</v>
      </c>
      <c r="C332" s="140" t="s">
        <v>82</v>
      </c>
      <c r="D332" s="140" t="s">
        <v>11</v>
      </c>
      <c r="E332" s="140" t="s">
        <v>55</v>
      </c>
      <c r="F332">
        <v>3.4</v>
      </c>
      <c r="G332" s="140" t="s">
        <v>216</v>
      </c>
      <c r="H332">
        <v>0</v>
      </c>
      <c r="I332" s="140" t="s">
        <v>14</v>
      </c>
    </row>
    <row r="333" spans="1:9" hidden="1" x14ac:dyDescent="0.25">
      <c r="A333">
        <v>2009</v>
      </c>
      <c r="B333" s="140" t="s">
        <v>84</v>
      </c>
      <c r="C333" s="140" t="s">
        <v>82</v>
      </c>
      <c r="D333" s="140" t="s">
        <v>11</v>
      </c>
      <c r="E333" s="140" t="s">
        <v>55</v>
      </c>
      <c r="F333">
        <v>-3.673816328</v>
      </c>
      <c r="G333" s="140" t="s">
        <v>217</v>
      </c>
      <c r="H333">
        <v>0</v>
      </c>
      <c r="I333" s="140" t="s">
        <v>14</v>
      </c>
    </row>
    <row r="334" spans="1:9" hidden="1" x14ac:dyDescent="0.25">
      <c r="A334">
        <v>2010</v>
      </c>
      <c r="B334" s="140" t="s">
        <v>84</v>
      </c>
      <c r="C334" s="140" t="s">
        <v>82</v>
      </c>
      <c r="D334" s="140" t="s">
        <v>11</v>
      </c>
      <c r="E334" s="140" t="s">
        <v>55</v>
      </c>
      <c r="F334">
        <v>2.0214281019999998</v>
      </c>
      <c r="G334" s="140" t="s">
        <v>217</v>
      </c>
      <c r="H334">
        <v>0</v>
      </c>
      <c r="I334" s="140" t="s">
        <v>14</v>
      </c>
    </row>
    <row r="335" spans="1:9" hidden="1" x14ac:dyDescent="0.25">
      <c r="A335">
        <v>2011</v>
      </c>
      <c r="B335" s="140" t="s">
        <v>84</v>
      </c>
      <c r="C335" s="140" t="s">
        <v>82</v>
      </c>
      <c r="D335" s="140" t="s">
        <v>11</v>
      </c>
      <c r="E335" s="140" t="s">
        <v>55</v>
      </c>
      <c r="F335">
        <v>1.975291626</v>
      </c>
      <c r="G335" s="140" t="s">
        <v>217</v>
      </c>
      <c r="H335">
        <v>0</v>
      </c>
      <c r="I335" s="140" t="s">
        <v>14</v>
      </c>
    </row>
    <row r="336" spans="1:9" hidden="1" x14ac:dyDescent="0.25">
      <c r="A336">
        <v>2012</v>
      </c>
      <c r="B336" s="140" t="s">
        <v>84</v>
      </c>
      <c r="C336" s="140" t="s">
        <v>82</v>
      </c>
      <c r="D336" s="140" t="s">
        <v>11</v>
      </c>
      <c r="E336" s="140" t="s">
        <v>55</v>
      </c>
      <c r="F336">
        <v>-0.91168945300000004</v>
      </c>
      <c r="G336" s="140" t="s">
        <v>217</v>
      </c>
      <c r="H336">
        <v>0</v>
      </c>
      <c r="I336" s="140" t="s">
        <v>14</v>
      </c>
    </row>
    <row r="337" spans="1:9" hidden="1" x14ac:dyDescent="0.25">
      <c r="A337">
        <v>2013</v>
      </c>
      <c r="B337" s="140" t="s">
        <v>84</v>
      </c>
      <c r="C337" s="140" t="s">
        <v>82</v>
      </c>
      <c r="D337" s="140" t="s">
        <v>11</v>
      </c>
      <c r="E337" s="140" t="s">
        <v>55</v>
      </c>
      <c r="F337">
        <v>-0.12427483</v>
      </c>
      <c r="G337" s="140" t="s">
        <v>217</v>
      </c>
      <c r="H337">
        <v>0</v>
      </c>
      <c r="I337" s="140" t="s">
        <v>14</v>
      </c>
    </row>
    <row r="338" spans="1:9" hidden="1" x14ac:dyDescent="0.25">
      <c r="A338">
        <v>2014</v>
      </c>
      <c r="B338" s="140" t="s">
        <v>84</v>
      </c>
      <c r="C338" s="140" t="s">
        <v>82</v>
      </c>
      <c r="D338" s="140" t="s">
        <v>11</v>
      </c>
      <c r="E338" s="140" t="s">
        <v>55</v>
      </c>
      <c r="F338">
        <v>1.7095192260000001</v>
      </c>
      <c r="G338" s="140" t="s">
        <v>217</v>
      </c>
      <c r="H338">
        <v>0</v>
      </c>
      <c r="I338" s="140" t="s">
        <v>14</v>
      </c>
    </row>
    <row r="339" spans="1:9" hidden="1" x14ac:dyDescent="0.25">
      <c r="A339">
        <v>2015</v>
      </c>
      <c r="B339" s="140" t="s">
        <v>84</v>
      </c>
      <c r="C339" s="140" t="s">
        <v>82</v>
      </c>
      <c r="D339" s="140" t="s">
        <v>11</v>
      </c>
      <c r="E339" s="140" t="s">
        <v>55</v>
      </c>
      <c r="F339">
        <v>2.422600036</v>
      </c>
      <c r="G339" s="140" t="s">
        <v>217</v>
      </c>
      <c r="H339">
        <v>0</v>
      </c>
      <c r="I339" s="140" t="s">
        <v>14</v>
      </c>
    </row>
    <row r="340" spans="1:9" hidden="1" x14ac:dyDescent="0.25">
      <c r="A340">
        <v>2016</v>
      </c>
      <c r="B340" s="140" t="s">
        <v>84</v>
      </c>
      <c r="C340" s="140" t="s">
        <v>82</v>
      </c>
      <c r="D340" s="140" t="s">
        <v>11</v>
      </c>
      <c r="E340" s="140" t="s">
        <v>55</v>
      </c>
      <c r="F340">
        <v>1.768660527</v>
      </c>
      <c r="G340" s="140" t="s">
        <v>217</v>
      </c>
      <c r="H340">
        <v>0</v>
      </c>
      <c r="I340" s="140" t="s">
        <v>14</v>
      </c>
    </row>
    <row r="341" spans="1:9" hidden="1" x14ac:dyDescent="0.25">
      <c r="A341">
        <v>2017</v>
      </c>
      <c r="B341" s="140" t="s">
        <v>84</v>
      </c>
      <c r="C341" s="140" t="s">
        <v>82</v>
      </c>
      <c r="D341" s="140" t="s">
        <v>11</v>
      </c>
      <c r="E341" s="140" t="s">
        <v>55</v>
      </c>
      <c r="F341">
        <v>2.800173816</v>
      </c>
      <c r="G341" s="140" t="s">
        <v>217</v>
      </c>
      <c r="H341">
        <v>0</v>
      </c>
      <c r="I341" s="140" t="s">
        <v>14</v>
      </c>
    </row>
    <row r="342" spans="1:9" hidden="1" x14ac:dyDescent="0.25">
      <c r="A342">
        <v>2018</v>
      </c>
      <c r="B342" s="140" t="s">
        <v>84</v>
      </c>
      <c r="C342" s="140" t="s">
        <v>82</v>
      </c>
      <c r="D342" s="140" t="s">
        <v>11</v>
      </c>
      <c r="E342" s="140" t="s">
        <v>55</v>
      </c>
      <c r="F342">
        <v>1.776284508</v>
      </c>
      <c r="G342" s="140" t="s">
        <v>217</v>
      </c>
      <c r="H342">
        <v>0</v>
      </c>
      <c r="I342" s="140" t="s">
        <v>14</v>
      </c>
    </row>
    <row r="343" spans="1:9" hidden="1" x14ac:dyDescent="0.25">
      <c r="A343">
        <v>2019</v>
      </c>
      <c r="B343" s="140" t="s">
        <v>84</v>
      </c>
      <c r="C343" s="140" t="s">
        <v>82</v>
      </c>
      <c r="D343" s="140" t="s">
        <v>11</v>
      </c>
      <c r="E343" s="140" t="s">
        <v>55</v>
      </c>
      <c r="F343">
        <v>1.6604854440000001</v>
      </c>
      <c r="G343" s="140" t="s">
        <v>217</v>
      </c>
      <c r="H343">
        <v>0</v>
      </c>
      <c r="I343" s="140" t="s">
        <v>14</v>
      </c>
    </row>
    <row r="344" spans="1:9" hidden="1" x14ac:dyDescent="0.25">
      <c r="A344">
        <v>2020</v>
      </c>
      <c r="B344" s="140" t="s">
        <v>84</v>
      </c>
      <c r="C344" s="140" t="s">
        <v>82</v>
      </c>
      <c r="D344" s="140" t="s">
        <v>11</v>
      </c>
      <c r="E344" s="140" t="s">
        <v>55</v>
      </c>
      <c r="F344">
        <v>-6.1258786589999996</v>
      </c>
      <c r="G344" s="140" t="s">
        <v>217</v>
      </c>
      <c r="H344">
        <v>0</v>
      </c>
      <c r="I344" s="140" t="s">
        <v>14</v>
      </c>
    </row>
    <row r="345" spans="1:9" hidden="1" x14ac:dyDescent="0.25">
      <c r="A345">
        <v>2021</v>
      </c>
      <c r="B345" s="140" t="s">
        <v>84</v>
      </c>
      <c r="C345" s="140" t="s">
        <v>82</v>
      </c>
      <c r="D345" s="140" t="s">
        <v>11</v>
      </c>
      <c r="E345" s="140" t="s">
        <v>55</v>
      </c>
      <c r="F345">
        <v>6.335817381</v>
      </c>
      <c r="G345" s="140" t="s">
        <v>217</v>
      </c>
      <c r="H345">
        <v>0</v>
      </c>
      <c r="I345" s="140" t="s">
        <v>14</v>
      </c>
    </row>
    <row r="346" spans="1:9" hidden="1" x14ac:dyDescent="0.25">
      <c r="A346">
        <v>2022</v>
      </c>
      <c r="B346" s="140" t="s">
        <v>84</v>
      </c>
      <c r="C346" s="140" t="s">
        <v>82</v>
      </c>
      <c r="D346" s="140" t="s">
        <v>11</v>
      </c>
      <c r="E346" s="140" t="s">
        <v>55</v>
      </c>
      <c r="F346">
        <v>3.7279508379999999</v>
      </c>
      <c r="G346" s="140" t="s">
        <v>217</v>
      </c>
      <c r="H346">
        <v>0</v>
      </c>
      <c r="I346" s="140" t="s">
        <v>14</v>
      </c>
    </row>
    <row r="347" spans="1:9" hidden="1" x14ac:dyDescent="0.25">
      <c r="A347">
        <v>2023</v>
      </c>
      <c r="B347" s="140" t="s">
        <v>84</v>
      </c>
      <c r="C347" s="140" t="s">
        <v>82</v>
      </c>
      <c r="D347" s="140" t="s">
        <v>11</v>
      </c>
      <c r="E347" s="140" t="s">
        <v>55</v>
      </c>
      <c r="F347">
        <v>0.99391359400000001</v>
      </c>
      <c r="G347" s="140" t="s">
        <v>217</v>
      </c>
      <c r="H347">
        <v>0</v>
      </c>
      <c r="I347" s="140" t="s">
        <v>14</v>
      </c>
    </row>
    <row r="348" spans="1:9" hidden="1" x14ac:dyDescent="0.25">
      <c r="A348">
        <v>2024</v>
      </c>
      <c r="B348" s="140" t="s">
        <v>84</v>
      </c>
      <c r="C348" s="140" t="s">
        <v>82</v>
      </c>
      <c r="D348" s="140" t="s">
        <v>11</v>
      </c>
      <c r="E348" s="140" t="s">
        <v>55</v>
      </c>
      <c r="F348">
        <v>1.102951867</v>
      </c>
      <c r="G348" s="140" t="s">
        <v>217</v>
      </c>
      <c r="H348">
        <v>0</v>
      </c>
      <c r="I348" s="140" t="s">
        <v>14</v>
      </c>
    </row>
    <row r="349" spans="1:9" hidden="1" x14ac:dyDescent="0.25">
      <c r="A349">
        <v>2025</v>
      </c>
      <c r="B349" s="140" t="s">
        <v>84</v>
      </c>
      <c r="C349" s="140" t="s">
        <v>82</v>
      </c>
      <c r="D349" s="140" t="s">
        <v>11</v>
      </c>
      <c r="E349" s="140" t="s">
        <v>55</v>
      </c>
      <c r="F349">
        <v>1.2959616389999999</v>
      </c>
      <c r="G349" s="140" t="s">
        <v>217</v>
      </c>
      <c r="H349">
        <v>0</v>
      </c>
      <c r="I349" s="140" t="s">
        <v>14</v>
      </c>
    </row>
    <row r="350" spans="1:9" hidden="1" x14ac:dyDescent="0.25">
      <c r="A350">
        <v>2026</v>
      </c>
      <c r="B350" s="140" t="s">
        <v>84</v>
      </c>
      <c r="C350" s="140" t="s">
        <v>82</v>
      </c>
      <c r="D350" s="140" t="s">
        <v>11</v>
      </c>
      <c r="E350" s="140" t="s">
        <v>55</v>
      </c>
      <c r="F350">
        <v>1</v>
      </c>
      <c r="G350" s="140" t="s">
        <v>217</v>
      </c>
      <c r="H350">
        <v>0</v>
      </c>
      <c r="I350" s="140" t="s">
        <v>14</v>
      </c>
    </row>
    <row r="351" spans="1:9" hidden="1" x14ac:dyDescent="0.25">
      <c r="A351">
        <v>2027</v>
      </c>
      <c r="B351" s="140" t="s">
        <v>84</v>
      </c>
      <c r="C351" s="140" t="s">
        <v>82</v>
      </c>
      <c r="D351" s="140" t="s">
        <v>11</v>
      </c>
      <c r="E351" s="140" t="s">
        <v>55</v>
      </c>
      <c r="F351">
        <v>1.4</v>
      </c>
      <c r="G351" s="140" t="s">
        <v>217</v>
      </c>
      <c r="H351">
        <v>0</v>
      </c>
      <c r="I351" s="140" t="s">
        <v>14</v>
      </c>
    </row>
    <row r="352" spans="1:9" hidden="1" x14ac:dyDescent="0.25">
      <c r="A352">
        <v>2028</v>
      </c>
      <c r="B352" s="140" t="s">
        <v>84</v>
      </c>
      <c r="C352" s="140" t="s">
        <v>82</v>
      </c>
      <c r="D352" s="140" t="s">
        <v>11</v>
      </c>
      <c r="E352" s="140" t="s">
        <v>55</v>
      </c>
      <c r="F352">
        <v>1.4</v>
      </c>
      <c r="G352" s="140" t="s">
        <v>217</v>
      </c>
      <c r="H352">
        <v>0</v>
      </c>
      <c r="I352" s="140" t="s">
        <v>14</v>
      </c>
    </row>
    <row r="353" spans="1:9" hidden="1" x14ac:dyDescent="0.25">
      <c r="A353">
        <v>2009</v>
      </c>
      <c r="B353" s="140" t="s">
        <v>91</v>
      </c>
      <c r="C353" s="140" t="s">
        <v>82</v>
      </c>
      <c r="D353" s="140" t="s">
        <v>11</v>
      </c>
      <c r="E353" s="140" t="s">
        <v>55</v>
      </c>
      <c r="F353">
        <v>-2.5764999999999998</v>
      </c>
      <c r="G353" s="140" t="s">
        <v>218</v>
      </c>
      <c r="H353">
        <v>0</v>
      </c>
      <c r="I353" s="140" t="s">
        <v>14</v>
      </c>
    </row>
    <row r="354" spans="1:9" hidden="1" x14ac:dyDescent="0.25">
      <c r="A354">
        <v>2010</v>
      </c>
      <c r="B354" s="140" t="s">
        <v>91</v>
      </c>
      <c r="C354" s="140" t="s">
        <v>82</v>
      </c>
      <c r="D354" s="140" t="s">
        <v>11</v>
      </c>
      <c r="E354" s="140" t="s">
        <v>55</v>
      </c>
      <c r="F354">
        <v>2.6951930000000002</v>
      </c>
      <c r="G354" s="140" t="s">
        <v>218</v>
      </c>
      <c r="H354">
        <v>0</v>
      </c>
      <c r="I354" s="140" t="s">
        <v>14</v>
      </c>
    </row>
    <row r="355" spans="1:9" hidden="1" x14ac:dyDescent="0.25">
      <c r="A355">
        <v>2011</v>
      </c>
      <c r="B355" s="140" t="s">
        <v>91</v>
      </c>
      <c r="C355" s="140" t="s">
        <v>82</v>
      </c>
      <c r="D355" s="140" t="s">
        <v>11</v>
      </c>
      <c r="E355" s="140" t="s">
        <v>55</v>
      </c>
      <c r="F355">
        <v>1.5644070000000001</v>
      </c>
      <c r="G355" s="140" t="s">
        <v>218</v>
      </c>
      <c r="H355">
        <v>0</v>
      </c>
      <c r="I355" s="140" t="s">
        <v>14</v>
      </c>
    </row>
    <row r="356" spans="1:9" hidden="1" x14ac:dyDescent="0.25">
      <c r="A356">
        <v>2012</v>
      </c>
      <c r="B356" s="140" t="s">
        <v>91</v>
      </c>
      <c r="C356" s="140" t="s">
        <v>82</v>
      </c>
      <c r="D356" s="140" t="s">
        <v>11</v>
      </c>
      <c r="E356" s="140" t="s">
        <v>55</v>
      </c>
      <c r="F356">
        <v>2.289113</v>
      </c>
      <c r="G356" s="140" t="s">
        <v>218</v>
      </c>
      <c r="H356">
        <v>0</v>
      </c>
      <c r="I356" s="140" t="s">
        <v>14</v>
      </c>
    </row>
    <row r="357" spans="1:9" hidden="1" x14ac:dyDescent="0.25">
      <c r="A357">
        <v>2013</v>
      </c>
      <c r="B357" s="140" t="s">
        <v>91</v>
      </c>
      <c r="C357" s="140" t="s">
        <v>82</v>
      </c>
      <c r="D357" s="140" t="s">
        <v>11</v>
      </c>
      <c r="E357" s="140" t="s">
        <v>55</v>
      </c>
      <c r="F357">
        <v>2.1178300000000001</v>
      </c>
      <c r="G357" s="140" t="s">
        <v>218</v>
      </c>
      <c r="H357">
        <v>0</v>
      </c>
      <c r="I357" s="140" t="s">
        <v>14</v>
      </c>
    </row>
    <row r="358" spans="1:9" hidden="1" x14ac:dyDescent="0.25">
      <c r="A358">
        <v>2014</v>
      </c>
      <c r="B358" s="140" t="s">
        <v>91</v>
      </c>
      <c r="C358" s="140" t="s">
        <v>82</v>
      </c>
      <c r="D358" s="140" t="s">
        <v>11</v>
      </c>
      <c r="E358" s="140" t="s">
        <v>55</v>
      </c>
      <c r="F358">
        <v>2.5238200000000002</v>
      </c>
      <c r="G358" s="140" t="s">
        <v>218</v>
      </c>
      <c r="H358">
        <v>0</v>
      </c>
      <c r="I358" s="140" t="s">
        <v>14</v>
      </c>
    </row>
    <row r="359" spans="1:9" hidden="1" x14ac:dyDescent="0.25">
      <c r="A359">
        <v>2015</v>
      </c>
      <c r="B359" s="140" t="s">
        <v>91</v>
      </c>
      <c r="C359" s="140" t="s">
        <v>82</v>
      </c>
      <c r="D359" s="140" t="s">
        <v>11</v>
      </c>
      <c r="E359" s="140" t="s">
        <v>55</v>
      </c>
      <c r="F359">
        <v>2.9455499999999999</v>
      </c>
      <c r="G359" s="140" t="s">
        <v>218</v>
      </c>
      <c r="H359">
        <v>0</v>
      </c>
      <c r="I359" s="140" t="s">
        <v>14</v>
      </c>
    </row>
    <row r="360" spans="1:9" hidden="1" x14ac:dyDescent="0.25">
      <c r="A360">
        <v>2016</v>
      </c>
      <c r="B360" s="140" t="s">
        <v>91</v>
      </c>
      <c r="C360" s="140" t="s">
        <v>82</v>
      </c>
      <c r="D360" s="140" t="s">
        <v>11</v>
      </c>
      <c r="E360" s="140" t="s">
        <v>55</v>
      </c>
      <c r="F360">
        <v>1.8194509999999999</v>
      </c>
      <c r="G360" s="140" t="s">
        <v>218</v>
      </c>
      <c r="H360">
        <v>0</v>
      </c>
      <c r="I360" s="140" t="s">
        <v>14</v>
      </c>
    </row>
    <row r="361" spans="1:9" hidden="1" x14ac:dyDescent="0.25">
      <c r="A361">
        <v>2017</v>
      </c>
      <c r="B361" s="140" t="s">
        <v>91</v>
      </c>
      <c r="C361" s="140" t="s">
        <v>82</v>
      </c>
      <c r="D361" s="140" t="s">
        <v>11</v>
      </c>
      <c r="E361" s="140" t="s">
        <v>55</v>
      </c>
      <c r="F361">
        <v>2.4576220000000002</v>
      </c>
      <c r="G361" s="140" t="s">
        <v>218</v>
      </c>
      <c r="H361">
        <v>0</v>
      </c>
      <c r="I361" s="140" t="s">
        <v>14</v>
      </c>
    </row>
    <row r="362" spans="1:9" hidden="1" x14ac:dyDescent="0.25">
      <c r="A362">
        <v>2018</v>
      </c>
      <c r="B362" s="140" t="s">
        <v>91</v>
      </c>
      <c r="C362" s="140" t="s">
        <v>82</v>
      </c>
      <c r="D362" s="140" t="s">
        <v>11</v>
      </c>
      <c r="E362" s="140" t="s">
        <v>55</v>
      </c>
      <c r="F362">
        <v>2.9665050000000002</v>
      </c>
      <c r="G362" s="140" t="s">
        <v>218</v>
      </c>
      <c r="H362">
        <v>0</v>
      </c>
      <c r="I362" s="140" t="s">
        <v>14</v>
      </c>
    </row>
    <row r="363" spans="1:9" hidden="1" x14ac:dyDescent="0.25">
      <c r="A363">
        <v>2019</v>
      </c>
      <c r="B363" s="140" t="s">
        <v>91</v>
      </c>
      <c r="C363" s="140" t="s">
        <v>82</v>
      </c>
      <c r="D363" s="140" t="s">
        <v>11</v>
      </c>
      <c r="E363" s="140" t="s">
        <v>55</v>
      </c>
      <c r="F363">
        <v>2.583825</v>
      </c>
      <c r="G363" s="140" t="s">
        <v>218</v>
      </c>
      <c r="H363">
        <v>0</v>
      </c>
      <c r="I363" s="140" t="s">
        <v>14</v>
      </c>
    </row>
    <row r="364" spans="1:9" hidden="1" x14ac:dyDescent="0.25">
      <c r="A364">
        <v>2020</v>
      </c>
      <c r="B364" s="140" t="s">
        <v>91</v>
      </c>
      <c r="C364" s="140" t="s">
        <v>82</v>
      </c>
      <c r="D364" s="140" t="s">
        <v>11</v>
      </c>
      <c r="E364" s="140" t="s">
        <v>55</v>
      </c>
      <c r="F364">
        <v>-2.0813760000000001</v>
      </c>
      <c r="G364" s="140" t="s">
        <v>218</v>
      </c>
      <c r="H364">
        <v>0</v>
      </c>
      <c r="I364" s="140" t="s">
        <v>14</v>
      </c>
    </row>
    <row r="365" spans="1:9" hidden="1" x14ac:dyDescent="0.25">
      <c r="A365">
        <v>2021</v>
      </c>
      <c r="B365" s="140" t="s">
        <v>91</v>
      </c>
      <c r="C365" s="140" t="s">
        <v>82</v>
      </c>
      <c r="D365" s="140" t="s">
        <v>11</v>
      </c>
      <c r="E365" s="140" t="s">
        <v>55</v>
      </c>
      <c r="F365">
        <v>6.1520219999999997</v>
      </c>
      <c r="G365" s="140" t="s">
        <v>218</v>
      </c>
      <c r="H365">
        <v>0</v>
      </c>
      <c r="I365" s="140" t="s">
        <v>14</v>
      </c>
    </row>
    <row r="366" spans="1:9" hidden="1" x14ac:dyDescent="0.25">
      <c r="A366">
        <v>2022</v>
      </c>
      <c r="B366" s="140" t="s">
        <v>91</v>
      </c>
      <c r="C366" s="140" t="s">
        <v>82</v>
      </c>
      <c r="D366" s="140" t="s">
        <v>11</v>
      </c>
      <c r="E366" s="140" t="s">
        <v>55</v>
      </c>
      <c r="F366">
        <v>2.5242140000000002</v>
      </c>
      <c r="G366" s="140" t="s">
        <v>218</v>
      </c>
      <c r="H366">
        <v>0</v>
      </c>
      <c r="I366" s="140" t="s">
        <v>14</v>
      </c>
    </row>
    <row r="367" spans="1:9" hidden="1" x14ac:dyDescent="0.25">
      <c r="A367">
        <v>2023</v>
      </c>
      <c r="B367" s="140" t="s">
        <v>91</v>
      </c>
      <c r="C367" s="140" t="s">
        <v>82</v>
      </c>
      <c r="D367" s="140" t="s">
        <v>11</v>
      </c>
      <c r="E367" s="140" t="s">
        <v>55</v>
      </c>
      <c r="F367">
        <v>2.9343629999999998</v>
      </c>
      <c r="G367" s="140" t="s">
        <v>218</v>
      </c>
      <c r="H367">
        <v>0</v>
      </c>
      <c r="I367" s="140" t="s">
        <v>14</v>
      </c>
    </row>
    <row r="368" spans="1:9" hidden="1" x14ac:dyDescent="0.25">
      <c r="A368">
        <v>2024</v>
      </c>
      <c r="B368" s="140" t="s">
        <v>91</v>
      </c>
      <c r="C368" s="140" t="s">
        <v>82</v>
      </c>
      <c r="D368" s="140" t="s">
        <v>11</v>
      </c>
      <c r="E368" s="140" t="s">
        <v>55</v>
      </c>
      <c r="F368">
        <v>2.7931870000000001</v>
      </c>
      <c r="G368" s="140" t="s">
        <v>218</v>
      </c>
      <c r="H368">
        <v>0</v>
      </c>
      <c r="I368" s="140" t="s">
        <v>14</v>
      </c>
    </row>
    <row r="369" spans="1:9" hidden="1" x14ac:dyDescent="0.25">
      <c r="A369">
        <v>2025</v>
      </c>
      <c r="B369" s="140" t="s">
        <v>91</v>
      </c>
      <c r="C369" s="140" t="s">
        <v>82</v>
      </c>
      <c r="D369" s="140" t="s">
        <v>11</v>
      </c>
      <c r="E369" s="140" t="s">
        <v>55</v>
      </c>
      <c r="F369">
        <v>2.1613820000000001</v>
      </c>
      <c r="G369" s="140" t="s">
        <v>218</v>
      </c>
      <c r="H369">
        <v>0</v>
      </c>
      <c r="I369" s="140" t="s">
        <v>14</v>
      </c>
    </row>
    <row r="370" spans="1:9" hidden="1" x14ac:dyDescent="0.25">
      <c r="A370">
        <v>2026</v>
      </c>
      <c r="B370" s="140" t="s">
        <v>91</v>
      </c>
      <c r="C370" s="140" t="s">
        <v>82</v>
      </c>
      <c r="D370" s="140" t="s">
        <v>11</v>
      </c>
      <c r="E370" s="140" t="s">
        <v>55</v>
      </c>
      <c r="F370">
        <v>2</v>
      </c>
      <c r="G370" s="140" t="s">
        <v>218</v>
      </c>
      <c r="H370">
        <v>0</v>
      </c>
      <c r="I370" s="140" t="s">
        <v>14</v>
      </c>
    </row>
    <row r="371" spans="1:9" hidden="1" x14ac:dyDescent="0.25">
      <c r="A371">
        <v>2027</v>
      </c>
      <c r="B371" s="140" t="s">
        <v>91</v>
      </c>
      <c r="C371" s="140" t="s">
        <v>82</v>
      </c>
      <c r="D371" s="140" t="s">
        <v>11</v>
      </c>
      <c r="E371" s="140" t="s">
        <v>55</v>
      </c>
      <c r="F371">
        <v>2</v>
      </c>
      <c r="G371" s="140" t="s">
        <v>218</v>
      </c>
      <c r="H371">
        <v>0</v>
      </c>
      <c r="I371" s="140" t="s">
        <v>14</v>
      </c>
    </row>
    <row r="372" spans="1:9" hidden="1" x14ac:dyDescent="0.25">
      <c r="A372">
        <v>2028</v>
      </c>
      <c r="B372" s="140" t="s">
        <v>91</v>
      </c>
      <c r="C372" s="140" t="s">
        <v>82</v>
      </c>
      <c r="D372" s="140" t="s">
        <v>11</v>
      </c>
      <c r="E372" s="140" t="s">
        <v>55</v>
      </c>
      <c r="F372">
        <v>1.8</v>
      </c>
      <c r="G372" s="140" t="s">
        <v>218</v>
      </c>
      <c r="H372">
        <v>0</v>
      </c>
      <c r="I372" s="140" t="s">
        <v>14</v>
      </c>
    </row>
    <row r="373" spans="1:9" hidden="1" x14ac:dyDescent="0.25">
      <c r="A373">
        <v>2009</v>
      </c>
      <c r="B373" s="140" t="s">
        <v>87</v>
      </c>
      <c r="C373" s="140" t="s">
        <v>82</v>
      </c>
      <c r="D373" s="140" t="s">
        <v>11</v>
      </c>
      <c r="E373" s="140" t="s">
        <v>55</v>
      </c>
      <c r="F373">
        <v>-5.9359409999999997</v>
      </c>
      <c r="G373" s="140" t="s">
        <v>219</v>
      </c>
      <c r="H373">
        <v>0</v>
      </c>
      <c r="I373" s="140" t="s">
        <v>14</v>
      </c>
    </row>
    <row r="374" spans="1:9" hidden="1" x14ac:dyDescent="0.25">
      <c r="A374">
        <v>2010</v>
      </c>
      <c r="B374" s="140" t="s">
        <v>87</v>
      </c>
      <c r="C374" s="140" t="s">
        <v>82</v>
      </c>
      <c r="D374" s="140" t="s">
        <v>11</v>
      </c>
      <c r="E374" s="140" t="s">
        <v>55</v>
      </c>
      <c r="F374">
        <v>4.1364559999999999</v>
      </c>
      <c r="G374" s="140" t="s">
        <v>219</v>
      </c>
      <c r="H374">
        <v>0</v>
      </c>
      <c r="I374" s="140" t="s">
        <v>14</v>
      </c>
    </row>
    <row r="375" spans="1:9" hidden="1" x14ac:dyDescent="0.25">
      <c r="A375">
        <v>2011</v>
      </c>
      <c r="B375" s="140" t="s">
        <v>87</v>
      </c>
      <c r="C375" s="140" t="s">
        <v>82</v>
      </c>
      <c r="D375" s="140" t="s">
        <v>11</v>
      </c>
      <c r="E375" s="140" t="s">
        <v>55</v>
      </c>
      <c r="F375">
        <v>-0.20035800000000001</v>
      </c>
      <c r="G375" s="140" t="s">
        <v>219</v>
      </c>
      <c r="H375">
        <v>0</v>
      </c>
      <c r="I375" s="140" t="s">
        <v>14</v>
      </c>
    </row>
    <row r="376" spans="1:9" hidden="1" x14ac:dyDescent="0.25">
      <c r="A376">
        <v>2012</v>
      </c>
      <c r="B376" s="140" t="s">
        <v>87</v>
      </c>
      <c r="C376" s="140" t="s">
        <v>82</v>
      </c>
      <c r="D376" s="140" t="s">
        <v>11</v>
      </c>
      <c r="E376" s="140" t="s">
        <v>55</v>
      </c>
      <c r="F376">
        <v>1.648935</v>
      </c>
      <c r="G376" s="140" t="s">
        <v>219</v>
      </c>
      <c r="H376">
        <v>0</v>
      </c>
      <c r="I376" s="140" t="s">
        <v>14</v>
      </c>
    </row>
    <row r="377" spans="1:9" hidden="1" x14ac:dyDescent="0.25">
      <c r="A377">
        <v>2013</v>
      </c>
      <c r="B377" s="140" t="s">
        <v>87</v>
      </c>
      <c r="C377" s="140" t="s">
        <v>82</v>
      </c>
      <c r="D377" s="140" t="s">
        <v>11</v>
      </c>
      <c r="E377" s="140" t="s">
        <v>55</v>
      </c>
      <c r="F377">
        <v>1.997277</v>
      </c>
      <c r="G377" s="140" t="s">
        <v>219</v>
      </c>
      <c r="H377">
        <v>0</v>
      </c>
      <c r="I377" s="140" t="s">
        <v>14</v>
      </c>
    </row>
    <row r="378" spans="1:9" hidden="1" x14ac:dyDescent="0.25">
      <c r="A378">
        <v>2014</v>
      </c>
      <c r="B378" s="140" t="s">
        <v>87</v>
      </c>
      <c r="C378" s="140" t="s">
        <v>82</v>
      </c>
      <c r="D378" s="140" t="s">
        <v>11</v>
      </c>
      <c r="E378" s="140" t="s">
        <v>55</v>
      </c>
      <c r="F378">
        <v>0.90591500000000003</v>
      </c>
      <c r="G378" s="140" t="s">
        <v>219</v>
      </c>
      <c r="H378">
        <v>0</v>
      </c>
      <c r="I378" s="140" t="s">
        <v>14</v>
      </c>
    </row>
    <row r="379" spans="1:9" hidden="1" x14ac:dyDescent="0.25">
      <c r="A379">
        <v>2015</v>
      </c>
      <c r="B379" s="140" t="s">
        <v>87</v>
      </c>
      <c r="C379" s="140" t="s">
        <v>82</v>
      </c>
      <c r="D379" s="140" t="s">
        <v>11</v>
      </c>
      <c r="E379" s="140" t="s">
        <v>55</v>
      </c>
      <c r="F379">
        <v>1.7999769999999999</v>
      </c>
      <c r="G379" s="140" t="s">
        <v>219</v>
      </c>
      <c r="H379">
        <v>0</v>
      </c>
      <c r="I379" s="140" t="s">
        <v>14</v>
      </c>
    </row>
    <row r="380" spans="1:9" hidden="1" x14ac:dyDescent="0.25">
      <c r="A380">
        <v>2016</v>
      </c>
      <c r="B380" s="140" t="s">
        <v>87</v>
      </c>
      <c r="C380" s="140" t="s">
        <v>82</v>
      </c>
      <c r="D380" s="140" t="s">
        <v>11</v>
      </c>
      <c r="E380" s="140" t="s">
        <v>55</v>
      </c>
      <c r="F380">
        <v>0.704986</v>
      </c>
      <c r="G380" s="140" t="s">
        <v>219</v>
      </c>
      <c r="H380">
        <v>0</v>
      </c>
      <c r="I380" s="140" t="s">
        <v>14</v>
      </c>
    </row>
    <row r="381" spans="1:9" hidden="1" x14ac:dyDescent="0.25">
      <c r="A381">
        <v>2017</v>
      </c>
      <c r="B381" s="140" t="s">
        <v>87</v>
      </c>
      <c r="C381" s="140" t="s">
        <v>82</v>
      </c>
      <c r="D381" s="140" t="s">
        <v>11</v>
      </c>
      <c r="E381" s="140" t="s">
        <v>55</v>
      </c>
      <c r="F381">
        <v>1.623451</v>
      </c>
      <c r="G381" s="140" t="s">
        <v>219</v>
      </c>
      <c r="H381">
        <v>0</v>
      </c>
      <c r="I381" s="140" t="s">
        <v>14</v>
      </c>
    </row>
    <row r="382" spans="1:9" hidden="1" x14ac:dyDescent="0.25">
      <c r="A382">
        <v>2018</v>
      </c>
      <c r="B382" s="140" t="s">
        <v>87</v>
      </c>
      <c r="C382" s="140" t="s">
        <v>82</v>
      </c>
      <c r="D382" s="140" t="s">
        <v>11</v>
      </c>
      <c r="E382" s="140" t="s">
        <v>55</v>
      </c>
      <c r="F382">
        <v>0.834144</v>
      </c>
      <c r="G382" s="140" t="s">
        <v>219</v>
      </c>
      <c r="H382">
        <v>0</v>
      </c>
      <c r="I382" s="140" t="s">
        <v>14</v>
      </c>
    </row>
    <row r="383" spans="1:9" hidden="1" x14ac:dyDescent="0.25">
      <c r="A383">
        <v>2019</v>
      </c>
      <c r="B383" s="140" t="s">
        <v>87</v>
      </c>
      <c r="C383" s="140" t="s">
        <v>82</v>
      </c>
      <c r="D383" s="140" t="s">
        <v>11</v>
      </c>
      <c r="E383" s="140" t="s">
        <v>55</v>
      </c>
      <c r="F383">
        <v>-0.30849700000000002</v>
      </c>
      <c r="G383" s="140" t="s">
        <v>219</v>
      </c>
      <c r="H383">
        <v>0</v>
      </c>
      <c r="I383" s="140" t="s">
        <v>14</v>
      </c>
    </row>
    <row r="384" spans="1:9" hidden="1" x14ac:dyDescent="0.25">
      <c r="A384">
        <v>2020</v>
      </c>
      <c r="B384" s="140" t="s">
        <v>87</v>
      </c>
      <c r="C384" s="140" t="s">
        <v>82</v>
      </c>
      <c r="D384" s="140" t="s">
        <v>11</v>
      </c>
      <c r="E384" s="140" t="s">
        <v>55</v>
      </c>
      <c r="F384">
        <v>-4.2832790000000003</v>
      </c>
      <c r="G384" s="140" t="s">
        <v>219</v>
      </c>
      <c r="H384">
        <v>0</v>
      </c>
      <c r="I384" s="140" t="s">
        <v>14</v>
      </c>
    </row>
    <row r="385" spans="1:9" hidden="1" x14ac:dyDescent="0.25">
      <c r="A385">
        <v>2021</v>
      </c>
      <c r="B385" s="140" t="s">
        <v>87</v>
      </c>
      <c r="C385" s="140" t="s">
        <v>82</v>
      </c>
      <c r="D385" s="140" t="s">
        <v>11</v>
      </c>
      <c r="E385" s="140" t="s">
        <v>55</v>
      </c>
      <c r="F385">
        <v>3.5641949999999998</v>
      </c>
      <c r="G385" s="140" t="s">
        <v>219</v>
      </c>
      <c r="H385">
        <v>0</v>
      </c>
      <c r="I385" s="140" t="s">
        <v>14</v>
      </c>
    </row>
    <row r="386" spans="1:9" hidden="1" x14ac:dyDescent="0.25">
      <c r="A386">
        <v>2022</v>
      </c>
      <c r="B386" s="140" t="s">
        <v>87</v>
      </c>
      <c r="C386" s="140" t="s">
        <v>82</v>
      </c>
      <c r="D386" s="140" t="s">
        <v>11</v>
      </c>
      <c r="E386" s="140" t="s">
        <v>55</v>
      </c>
      <c r="F386">
        <v>1.3316479999999999</v>
      </c>
      <c r="G386" s="140" t="s">
        <v>219</v>
      </c>
      <c r="H386">
        <v>0</v>
      </c>
      <c r="I386" s="140" t="s">
        <v>14</v>
      </c>
    </row>
    <row r="387" spans="1:9" hidden="1" x14ac:dyDescent="0.25">
      <c r="A387">
        <v>2023</v>
      </c>
      <c r="B387" s="140" t="s">
        <v>87</v>
      </c>
      <c r="C387" s="140" t="s">
        <v>82</v>
      </c>
      <c r="D387" s="140" t="s">
        <v>11</v>
      </c>
      <c r="E387" s="140" t="s">
        <v>55</v>
      </c>
      <c r="F387">
        <v>0.72078500000000001</v>
      </c>
      <c r="G387" s="140" t="s">
        <v>219</v>
      </c>
      <c r="H387">
        <v>0</v>
      </c>
      <c r="I387" s="140" t="s">
        <v>14</v>
      </c>
    </row>
    <row r="388" spans="1:9" hidden="1" x14ac:dyDescent="0.25">
      <c r="A388">
        <v>2024</v>
      </c>
      <c r="B388" s="140" t="s">
        <v>87</v>
      </c>
      <c r="C388" s="140" t="s">
        <v>82</v>
      </c>
      <c r="D388" s="140" t="s">
        <v>11</v>
      </c>
      <c r="E388" s="140" t="s">
        <v>55</v>
      </c>
      <c r="F388">
        <v>-0.24008399999999999</v>
      </c>
      <c r="G388" s="140" t="s">
        <v>219</v>
      </c>
      <c r="H388">
        <v>0</v>
      </c>
      <c r="I388" s="140" t="s">
        <v>14</v>
      </c>
    </row>
    <row r="389" spans="1:9" hidden="1" x14ac:dyDescent="0.25">
      <c r="A389">
        <v>2025</v>
      </c>
      <c r="B389" s="140" t="s">
        <v>87</v>
      </c>
      <c r="C389" s="140" t="s">
        <v>82</v>
      </c>
      <c r="D389" s="140" t="s">
        <v>11</v>
      </c>
      <c r="E389" s="140" t="s">
        <v>55</v>
      </c>
      <c r="F389">
        <v>1.1931130000000001</v>
      </c>
      <c r="G389" s="140" t="s">
        <v>219</v>
      </c>
      <c r="H389">
        <v>0</v>
      </c>
      <c r="I389" s="140" t="s">
        <v>14</v>
      </c>
    </row>
    <row r="390" spans="1:9" hidden="1" x14ac:dyDescent="0.25">
      <c r="A390">
        <v>2026</v>
      </c>
      <c r="B390" s="140" t="s">
        <v>87</v>
      </c>
      <c r="C390" s="140" t="s">
        <v>82</v>
      </c>
      <c r="D390" s="140" t="s">
        <v>11</v>
      </c>
      <c r="E390" s="140" t="s">
        <v>55</v>
      </c>
      <c r="F390">
        <v>0.4</v>
      </c>
      <c r="G390" s="140" t="s">
        <v>219</v>
      </c>
      <c r="H390">
        <v>0</v>
      </c>
      <c r="I390" s="140" t="s">
        <v>14</v>
      </c>
    </row>
    <row r="391" spans="1:9" hidden="1" x14ac:dyDescent="0.25">
      <c r="A391">
        <v>2027</v>
      </c>
      <c r="B391" s="140" t="s">
        <v>87</v>
      </c>
      <c r="C391" s="140" t="s">
        <v>82</v>
      </c>
      <c r="D391" s="140" t="s">
        <v>11</v>
      </c>
      <c r="E391" s="140" t="s">
        <v>55</v>
      </c>
      <c r="F391">
        <v>1.1000000000000001</v>
      </c>
      <c r="G391" s="140" t="s">
        <v>219</v>
      </c>
      <c r="H391">
        <v>0</v>
      </c>
      <c r="I391" s="140" t="s">
        <v>14</v>
      </c>
    </row>
    <row r="392" spans="1:9" hidden="1" x14ac:dyDescent="0.25">
      <c r="A392">
        <v>2028</v>
      </c>
      <c r="B392" s="140" t="s">
        <v>87</v>
      </c>
      <c r="C392" s="140" t="s">
        <v>82</v>
      </c>
      <c r="D392" s="140" t="s">
        <v>11</v>
      </c>
      <c r="E392" s="140" t="s">
        <v>55</v>
      </c>
      <c r="F392">
        <v>0.8</v>
      </c>
      <c r="G392" s="140" t="s">
        <v>219</v>
      </c>
      <c r="H392">
        <v>0</v>
      </c>
      <c r="I392" s="140" t="s">
        <v>14</v>
      </c>
    </row>
    <row r="393" spans="1:9" hidden="1" x14ac:dyDescent="0.25">
      <c r="A393">
        <v>2009</v>
      </c>
      <c r="B393" s="140" t="s">
        <v>81</v>
      </c>
      <c r="C393" s="140" t="s">
        <v>82</v>
      </c>
      <c r="D393" s="140" t="s">
        <v>11</v>
      </c>
      <c r="E393" s="140" t="s">
        <v>55</v>
      </c>
      <c r="F393">
        <v>9.3987420000000004</v>
      </c>
      <c r="G393" s="140" t="s">
        <v>220</v>
      </c>
      <c r="H393">
        <v>0</v>
      </c>
      <c r="I393" s="140" t="s">
        <v>14</v>
      </c>
    </row>
    <row r="394" spans="1:9" hidden="1" x14ac:dyDescent="0.25">
      <c r="A394">
        <v>2010</v>
      </c>
      <c r="B394" s="140" t="s">
        <v>81</v>
      </c>
      <c r="C394" s="140" t="s">
        <v>82</v>
      </c>
      <c r="D394" s="140" t="s">
        <v>11</v>
      </c>
      <c r="E394" s="140" t="s">
        <v>55</v>
      </c>
      <c r="F394">
        <v>10.63585</v>
      </c>
      <c r="G394" s="140" t="s">
        <v>220</v>
      </c>
      <c r="H394">
        <v>0</v>
      </c>
      <c r="I394" s="140" t="s">
        <v>14</v>
      </c>
    </row>
    <row r="395" spans="1:9" hidden="1" x14ac:dyDescent="0.25">
      <c r="A395">
        <v>2011</v>
      </c>
      <c r="B395" s="140" t="s">
        <v>81</v>
      </c>
      <c r="C395" s="140" t="s">
        <v>82</v>
      </c>
      <c r="D395" s="140" t="s">
        <v>11</v>
      </c>
      <c r="E395" s="140" t="s">
        <v>55</v>
      </c>
      <c r="F395">
        <v>9.5508249999999997</v>
      </c>
      <c r="G395" s="140" t="s">
        <v>220</v>
      </c>
      <c r="H395">
        <v>0</v>
      </c>
      <c r="I395" s="140" t="s">
        <v>14</v>
      </c>
    </row>
    <row r="396" spans="1:9" hidden="1" x14ac:dyDescent="0.25">
      <c r="A396">
        <v>2012</v>
      </c>
      <c r="B396" s="140" t="s">
        <v>81</v>
      </c>
      <c r="C396" s="140" t="s">
        <v>82</v>
      </c>
      <c r="D396" s="140" t="s">
        <v>11</v>
      </c>
      <c r="E396" s="140" t="s">
        <v>55</v>
      </c>
      <c r="F396">
        <v>7.8637199999999998</v>
      </c>
      <c r="G396" s="140" t="s">
        <v>220</v>
      </c>
      <c r="H396">
        <v>0</v>
      </c>
      <c r="I396" s="140" t="s">
        <v>14</v>
      </c>
    </row>
    <row r="397" spans="1:9" hidden="1" x14ac:dyDescent="0.25">
      <c r="A397">
        <v>2013</v>
      </c>
      <c r="B397" s="140" t="s">
        <v>81</v>
      </c>
      <c r="C397" s="140" t="s">
        <v>82</v>
      </c>
      <c r="D397" s="140" t="s">
        <v>11</v>
      </c>
      <c r="E397" s="140" t="s">
        <v>55</v>
      </c>
      <c r="F397">
        <v>7.7661470000000001</v>
      </c>
      <c r="G397" s="140" t="s">
        <v>220</v>
      </c>
      <c r="H397">
        <v>0</v>
      </c>
      <c r="I397" s="140" t="s">
        <v>14</v>
      </c>
    </row>
    <row r="398" spans="1:9" hidden="1" x14ac:dyDescent="0.25">
      <c r="A398">
        <v>2014</v>
      </c>
      <c r="B398" s="140" t="s">
        <v>81</v>
      </c>
      <c r="C398" s="140" t="s">
        <v>82</v>
      </c>
      <c r="D398" s="140" t="s">
        <v>11</v>
      </c>
      <c r="E398" s="140" t="s">
        <v>55</v>
      </c>
      <c r="F398">
        <v>7.4257739999999997</v>
      </c>
      <c r="G398" s="140" t="s">
        <v>220</v>
      </c>
      <c r="H398">
        <v>0</v>
      </c>
      <c r="I398" s="140" t="s">
        <v>14</v>
      </c>
    </row>
    <row r="399" spans="1:9" hidden="1" x14ac:dyDescent="0.25">
      <c r="A399">
        <v>2015</v>
      </c>
      <c r="B399" s="140" t="s">
        <v>81</v>
      </c>
      <c r="C399" s="140" t="s">
        <v>82</v>
      </c>
      <c r="D399" s="140" t="s">
        <v>11</v>
      </c>
      <c r="E399" s="140" t="s">
        <v>55</v>
      </c>
      <c r="F399">
        <v>7.0413189999999997</v>
      </c>
      <c r="G399" s="140" t="s">
        <v>220</v>
      </c>
      <c r="H399">
        <v>0</v>
      </c>
      <c r="I399" s="140" t="s">
        <v>14</v>
      </c>
    </row>
    <row r="400" spans="1:9" hidden="1" x14ac:dyDescent="0.25">
      <c r="A400">
        <v>2016</v>
      </c>
      <c r="B400" s="140" t="s">
        <v>81</v>
      </c>
      <c r="C400" s="140" t="s">
        <v>82</v>
      </c>
      <c r="D400" s="140" t="s">
        <v>11</v>
      </c>
      <c r="E400" s="140" t="s">
        <v>55</v>
      </c>
      <c r="F400">
        <v>6.8487679999999997</v>
      </c>
      <c r="G400" s="140" t="s">
        <v>220</v>
      </c>
      <c r="H400">
        <v>0</v>
      </c>
      <c r="I400" s="140" t="s">
        <v>14</v>
      </c>
    </row>
    <row r="401" spans="1:9" hidden="1" x14ac:dyDescent="0.25">
      <c r="A401">
        <v>2017</v>
      </c>
      <c r="B401" s="140" t="s">
        <v>81</v>
      </c>
      <c r="C401" s="140" t="s">
        <v>82</v>
      </c>
      <c r="D401" s="140" t="s">
        <v>11</v>
      </c>
      <c r="E401" s="140" t="s">
        <v>55</v>
      </c>
      <c r="F401">
        <v>6.9471959999999999</v>
      </c>
      <c r="G401" s="140" t="s">
        <v>220</v>
      </c>
      <c r="H401">
        <v>0</v>
      </c>
      <c r="I401" s="140" t="s">
        <v>14</v>
      </c>
    </row>
    <row r="402" spans="1:9" hidden="1" x14ac:dyDescent="0.25">
      <c r="A402">
        <v>2018</v>
      </c>
      <c r="B402" s="140" t="s">
        <v>81</v>
      </c>
      <c r="C402" s="140" t="s">
        <v>82</v>
      </c>
      <c r="D402" s="140" t="s">
        <v>11</v>
      </c>
      <c r="E402" s="140" t="s">
        <v>55</v>
      </c>
      <c r="F402">
        <v>6.749771</v>
      </c>
      <c r="G402" s="140" t="s">
        <v>220</v>
      </c>
      <c r="H402">
        <v>0</v>
      </c>
      <c r="I402" s="140" t="s">
        <v>14</v>
      </c>
    </row>
    <row r="403" spans="1:9" hidden="1" x14ac:dyDescent="0.25">
      <c r="A403">
        <v>2019</v>
      </c>
      <c r="B403" s="140" t="s">
        <v>81</v>
      </c>
      <c r="C403" s="140" t="s">
        <v>82</v>
      </c>
      <c r="D403" s="140" t="s">
        <v>11</v>
      </c>
      <c r="E403" s="140" t="s">
        <v>55</v>
      </c>
      <c r="F403">
        <v>6.1101200000000002</v>
      </c>
      <c r="G403" s="140" t="s">
        <v>220</v>
      </c>
      <c r="H403">
        <v>0</v>
      </c>
      <c r="I403" s="140" t="s">
        <v>14</v>
      </c>
    </row>
    <row r="404" spans="1:9" hidden="1" x14ac:dyDescent="0.25">
      <c r="A404">
        <v>2020</v>
      </c>
      <c r="B404" s="140" t="s">
        <v>81</v>
      </c>
      <c r="C404" s="140" t="s">
        <v>82</v>
      </c>
      <c r="D404" s="140" t="s">
        <v>11</v>
      </c>
      <c r="E404" s="140" t="s">
        <v>55</v>
      </c>
      <c r="F404">
        <v>2.0848520000000001</v>
      </c>
      <c r="G404" s="140" t="s">
        <v>220</v>
      </c>
      <c r="H404">
        <v>0</v>
      </c>
      <c r="I404" s="140" t="s">
        <v>14</v>
      </c>
    </row>
    <row r="405" spans="1:9" hidden="1" x14ac:dyDescent="0.25">
      <c r="A405">
        <v>2021</v>
      </c>
      <c r="B405" s="140" t="s">
        <v>81</v>
      </c>
      <c r="C405" s="140" t="s">
        <v>82</v>
      </c>
      <c r="D405" s="140" t="s">
        <v>11</v>
      </c>
      <c r="E405" s="140" t="s">
        <v>55</v>
      </c>
      <c r="F405">
        <v>8.4485159999999997</v>
      </c>
      <c r="G405" s="140" t="s">
        <v>220</v>
      </c>
      <c r="H405">
        <v>0</v>
      </c>
      <c r="I405" s="140" t="s">
        <v>14</v>
      </c>
    </row>
    <row r="406" spans="1:9" hidden="1" x14ac:dyDescent="0.25">
      <c r="A406">
        <v>2022</v>
      </c>
      <c r="B406" s="140" t="s">
        <v>81</v>
      </c>
      <c r="C406" s="140" t="s">
        <v>82</v>
      </c>
      <c r="D406" s="140" t="s">
        <v>11</v>
      </c>
      <c r="E406" s="140" t="s">
        <v>55</v>
      </c>
      <c r="F406">
        <v>3.1338520000000001</v>
      </c>
      <c r="G406" s="140" t="s">
        <v>220</v>
      </c>
      <c r="H406">
        <v>0</v>
      </c>
      <c r="I406" s="140" t="s">
        <v>14</v>
      </c>
    </row>
    <row r="407" spans="1:9" hidden="1" x14ac:dyDescent="0.25">
      <c r="A407">
        <v>2023</v>
      </c>
      <c r="B407" s="140" t="s">
        <v>81</v>
      </c>
      <c r="C407" s="140" t="s">
        <v>82</v>
      </c>
      <c r="D407" s="140" t="s">
        <v>11</v>
      </c>
      <c r="E407" s="140" t="s">
        <v>55</v>
      </c>
      <c r="F407">
        <v>5.4160000000000004</v>
      </c>
      <c r="G407" s="140" t="s">
        <v>220</v>
      </c>
      <c r="H407">
        <v>0</v>
      </c>
      <c r="I407" s="140" t="s">
        <v>14</v>
      </c>
    </row>
    <row r="408" spans="1:9" hidden="1" x14ac:dyDescent="0.25">
      <c r="A408">
        <v>2024</v>
      </c>
      <c r="B408" s="140" t="s">
        <v>81</v>
      </c>
      <c r="C408" s="140" t="s">
        <v>82</v>
      </c>
      <c r="D408" s="140" t="s">
        <v>11</v>
      </c>
      <c r="E408" s="140" t="s">
        <v>55</v>
      </c>
      <c r="F408">
        <v>0</v>
      </c>
      <c r="G408" s="140" t="s">
        <v>220</v>
      </c>
      <c r="H408">
        <v>0</v>
      </c>
      <c r="I408" s="140" t="s">
        <v>14</v>
      </c>
    </row>
    <row r="409" spans="1:9" hidden="1" x14ac:dyDescent="0.25">
      <c r="A409">
        <v>2025</v>
      </c>
      <c r="B409" s="140" t="s">
        <v>81</v>
      </c>
      <c r="C409" s="140" t="s">
        <v>82</v>
      </c>
      <c r="D409" s="140" t="s">
        <v>11</v>
      </c>
      <c r="E409" s="140" t="s">
        <v>55</v>
      </c>
      <c r="F409">
        <v>0</v>
      </c>
      <c r="G409" s="140" t="s">
        <v>220</v>
      </c>
      <c r="H409">
        <v>0</v>
      </c>
      <c r="I409" s="140" t="s">
        <v>14</v>
      </c>
    </row>
    <row r="410" spans="1:9" hidden="1" x14ac:dyDescent="0.25">
      <c r="A410">
        <v>2026</v>
      </c>
      <c r="B410" s="140" t="s">
        <v>81</v>
      </c>
      <c r="C410" s="140" t="s">
        <v>82</v>
      </c>
      <c r="D410" s="140" t="s">
        <v>11</v>
      </c>
      <c r="E410" s="140" t="s">
        <v>55</v>
      </c>
      <c r="F410">
        <v>4.3</v>
      </c>
      <c r="G410" s="140" t="s">
        <v>220</v>
      </c>
      <c r="H410">
        <v>0</v>
      </c>
      <c r="I410" s="140" t="s">
        <v>14</v>
      </c>
    </row>
    <row r="411" spans="1:9" hidden="1" x14ac:dyDescent="0.25">
      <c r="A411">
        <v>2027</v>
      </c>
      <c r="B411" s="140" t="s">
        <v>81</v>
      </c>
      <c r="C411" s="140" t="s">
        <v>82</v>
      </c>
      <c r="D411" s="140" t="s">
        <v>11</v>
      </c>
      <c r="E411" s="140" t="s">
        <v>55</v>
      </c>
      <c r="F411">
        <v>4.2</v>
      </c>
      <c r="G411" s="140" t="s">
        <v>220</v>
      </c>
      <c r="H411">
        <v>0</v>
      </c>
      <c r="I411" s="140" t="s">
        <v>14</v>
      </c>
    </row>
    <row r="412" spans="1:9" hidden="1" x14ac:dyDescent="0.25">
      <c r="A412">
        <v>2028</v>
      </c>
      <c r="B412" s="140" t="s">
        <v>81</v>
      </c>
      <c r="C412" s="140" t="s">
        <v>82</v>
      </c>
      <c r="D412" s="140" t="s">
        <v>11</v>
      </c>
      <c r="E412" s="140" t="s">
        <v>55</v>
      </c>
      <c r="F412">
        <v>4.0999999999999996</v>
      </c>
      <c r="G412" s="140" t="s">
        <v>220</v>
      </c>
      <c r="H412">
        <v>0</v>
      </c>
      <c r="I412" s="140" t="s">
        <v>14</v>
      </c>
    </row>
    <row r="413" spans="1:9" hidden="1" x14ac:dyDescent="0.25">
      <c r="A413">
        <v>2009</v>
      </c>
      <c r="B413" s="140" t="s">
        <v>88</v>
      </c>
      <c r="C413" s="140" t="s">
        <v>82</v>
      </c>
      <c r="D413" s="140" t="s">
        <v>11</v>
      </c>
      <c r="E413" s="140" t="s">
        <v>55</v>
      </c>
      <c r="F413">
        <v>-7.7999939999999999</v>
      </c>
      <c r="G413" s="140" t="s">
        <v>221</v>
      </c>
      <c r="H413">
        <v>0</v>
      </c>
      <c r="I413" s="140" t="s">
        <v>14</v>
      </c>
    </row>
    <row r="414" spans="1:9" hidden="1" x14ac:dyDescent="0.25">
      <c r="A414">
        <v>2010</v>
      </c>
      <c r="B414" s="140" t="s">
        <v>88</v>
      </c>
      <c r="C414" s="140" t="s">
        <v>82</v>
      </c>
      <c r="D414" s="140" t="s">
        <v>11</v>
      </c>
      <c r="E414" s="140" t="s">
        <v>55</v>
      </c>
      <c r="F414">
        <v>4.5</v>
      </c>
      <c r="G414" s="140" t="s">
        <v>221</v>
      </c>
      <c r="H414">
        <v>0</v>
      </c>
      <c r="I414" s="140" t="s">
        <v>14</v>
      </c>
    </row>
    <row r="415" spans="1:9" hidden="1" x14ac:dyDescent="0.25">
      <c r="A415">
        <v>2011</v>
      </c>
      <c r="B415" s="140" t="s">
        <v>88</v>
      </c>
      <c r="C415" s="140" t="s">
        <v>82</v>
      </c>
      <c r="D415" s="140" t="s">
        <v>11</v>
      </c>
      <c r="E415" s="140" t="s">
        <v>55</v>
      </c>
      <c r="F415">
        <v>4.3000290000000003</v>
      </c>
      <c r="G415" s="140" t="s">
        <v>221</v>
      </c>
      <c r="H415">
        <v>0</v>
      </c>
      <c r="I415" s="140" t="s">
        <v>14</v>
      </c>
    </row>
    <row r="416" spans="1:9" hidden="1" x14ac:dyDescent="0.25">
      <c r="A416">
        <v>2012</v>
      </c>
      <c r="B416" s="140" t="s">
        <v>88</v>
      </c>
      <c r="C416" s="140" t="s">
        <v>82</v>
      </c>
      <c r="D416" s="140" t="s">
        <v>11</v>
      </c>
      <c r="E416" s="140" t="s">
        <v>55</v>
      </c>
      <c r="F416">
        <v>4.0240859999999996</v>
      </c>
      <c r="G416" s="140" t="s">
        <v>221</v>
      </c>
      <c r="H416">
        <v>0</v>
      </c>
      <c r="I416" s="140" t="s">
        <v>14</v>
      </c>
    </row>
    <row r="417" spans="1:9" hidden="1" x14ac:dyDescent="0.25">
      <c r="A417">
        <v>2013</v>
      </c>
      <c r="B417" s="140" t="s">
        <v>88</v>
      </c>
      <c r="C417" s="140" t="s">
        <v>82</v>
      </c>
      <c r="D417" s="140" t="s">
        <v>11</v>
      </c>
      <c r="E417" s="140" t="s">
        <v>55</v>
      </c>
      <c r="F417">
        <v>1.755422</v>
      </c>
      <c r="G417" s="140" t="s">
        <v>221</v>
      </c>
      <c r="H417">
        <v>0</v>
      </c>
      <c r="I417" s="140" t="s">
        <v>14</v>
      </c>
    </row>
    <row r="418" spans="1:9" hidden="1" x14ac:dyDescent="0.25">
      <c r="A418">
        <v>2014</v>
      </c>
      <c r="B418" s="140" t="s">
        <v>88</v>
      </c>
      <c r="C418" s="140" t="s">
        <v>82</v>
      </c>
      <c r="D418" s="140" t="s">
        <v>11</v>
      </c>
      <c r="E418" s="140" t="s">
        <v>55</v>
      </c>
      <c r="F418">
        <v>0.736267</v>
      </c>
      <c r="G418" s="140" t="s">
        <v>221</v>
      </c>
      <c r="H418">
        <v>0</v>
      </c>
      <c r="I418" s="140" t="s">
        <v>14</v>
      </c>
    </row>
    <row r="419" spans="1:9" hidden="1" x14ac:dyDescent="0.25">
      <c r="A419">
        <v>2015</v>
      </c>
      <c r="B419" s="140" t="s">
        <v>88</v>
      </c>
      <c r="C419" s="140" t="s">
        <v>82</v>
      </c>
      <c r="D419" s="140" t="s">
        <v>11</v>
      </c>
      <c r="E419" s="140" t="s">
        <v>55</v>
      </c>
      <c r="F419">
        <v>-1.9727189999999999</v>
      </c>
      <c r="G419" s="140" t="s">
        <v>221</v>
      </c>
      <c r="H419">
        <v>0</v>
      </c>
      <c r="I419" s="140" t="s">
        <v>14</v>
      </c>
    </row>
    <row r="420" spans="1:9" hidden="1" x14ac:dyDescent="0.25">
      <c r="A420">
        <v>2016</v>
      </c>
      <c r="B420" s="140" t="s">
        <v>88</v>
      </c>
      <c r="C420" s="140" t="s">
        <v>82</v>
      </c>
      <c r="D420" s="140" t="s">
        <v>11</v>
      </c>
      <c r="E420" s="140" t="s">
        <v>55</v>
      </c>
      <c r="F420">
        <v>0.19367100000000001</v>
      </c>
      <c r="G420" s="140" t="s">
        <v>221</v>
      </c>
      <c r="H420">
        <v>0</v>
      </c>
      <c r="I420" s="140" t="s">
        <v>14</v>
      </c>
    </row>
    <row r="421" spans="1:9" hidden="1" x14ac:dyDescent="0.25">
      <c r="A421">
        <v>2017</v>
      </c>
      <c r="B421" s="140" t="s">
        <v>88</v>
      </c>
      <c r="C421" s="140" t="s">
        <v>82</v>
      </c>
      <c r="D421" s="140" t="s">
        <v>11</v>
      </c>
      <c r="E421" s="140" t="s">
        <v>55</v>
      </c>
      <c r="F421">
        <v>1.826705</v>
      </c>
      <c r="G421" s="140" t="s">
        <v>221</v>
      </c>
      <c r="H421">
        <v>0</v>
      </c>
      <c r="I421" s="140" t="s">
        <v>14</v>
      </c>
    </row>
    <row r="422" spans="1:9" hidden="1" x14ac:dyDescent="0.25">
      <c r="A422">
        <v>2018</v>
      </c>
      <c r="B422" s="140" t="s">
        <v>88</v>
      </c>
      <c r="C422" s="140" t="s">
        <v>82</v>
      </c>
      <c r="D422" s="140" t="s">
        <v>11</v>
      </c>
      <c r="E422" s="140" t="s">
        <v>55</v>
      </c>
      <c r="F422">
        <v>2.8063410000000002</v>
      </c>
      <c r="G422" s="140" t="s">
        <v>221</v>
      </c>
      <c r="H422">
        <v>0</v>
      </c>
      <c r="I422" s="140" t="s">
        <v>14</v>
      </c>
    </row>
    <row r="423" spans="1:9" hidden="1" x14ac:dyDescent="0.25">
      <c r="A423">
        <v>2019</v>
      </c>
      <c r="B423" s="140" t="s">
        <v>88</v>
      </c>
      <c r="C423" s="140" t="s">
        <v>82</v>
      </c>
      <c r="D423" s="140" t="s">
        <v>11</v>
      </c>
      <c r="E423" s="140" t="s">
        <v>55</v>
      </c>
      <c r="F423">
        <v>2.1980759999999999</v>
      </c>
      <c r="G423" s="140" t="s">
        <v>221</v>
      </c>
      <c r="H423">
        <v>0</v>
      </c>
      <c r="I423" s="140" t="s">
        <v>14</v>
      </c>
    </row>
    <row r="424" spans="1:9" hidden="1" x14ac:dyDescent="0.25">
      <c r="A424">
        <v>2020</v>
      </c>
      <c r="B424" s="140" t="s">
        <v>88</v>
      </c>
      <c r="C424" s="140" t="s">
        <v>82</v>
      </c>
      <c r="D424" s="140" t="s">
        <v>11</v>
      </c>
      <c r="E424" s="140" t="s">
        <v>55</v>
      </c>
      <c r="F424">
        <v>-2.653654</v>
      </c>
      <c r="G424" s="140" t="s">
        <v>221</v>
      </c>
      <c r="H424">
        <v>0</v>
      </c>
      <c r="I424" s="140" t="s">
        <v>14</v>
      </c>
    </row>
    <row r="425" spans="1:9" hidden="1" x14ac:dyDescent="0.25">
      <c r="A425">
        <v>2021</v>
      </c>
      <c r="B425" s="140" t="s">
        <v>88</v>
      </c>
      <c r="C425" s="140" t="s">
        <v>82</v>
      </c>
      <c r="D425" s="140" t="s">
        <v>11</v>
      </c>
      <c r="E425" s="140" t="s">
        <v>55</v>
      </c>
      <c r="F425">
        <v>5.866492</v>
      </c>
      <c r="G425" s="140" t="s">
        <v>221</v>
      </c>
      <c r="H425">
        <v>0</v>
      </c>
      <c r="I425" s="140" t="s">
        <v>14</v>
      </c>
    </row>
    <row r="426" spans="1:9" hidden="1" x14ac:dyDescent="0.25">
      <c r="A426">
        <v>2022</v>
      </c>
      <c r="B426" s="140" t="s">
        <v>88</v>
      </c>
      <c r="C426" s="140" t="s">
        <v>82</v>
      </c>
      <c r="D426" s="140" t="s">
        <v>11</v>
      </c>
      <c r="E426" s="140" t="s">
        <v>55</v>
      </c>
      <c r="F426">
        <v>-1.435371</v>
      </c>
      <c r="G426" s="140" t="s">
        <v>221</v>
      </c>
      <c r="H426">
        <v>0</v>
      </c>
      <c r="I426" s="140" t="s">
        <v>14</v>
      </c>
    </row>
    <row r="427" spans="1:9" hidden="1" x14ac:dyDescent="0.25">
      <c r="A427">
        <v>2023</v>
      </c>
      <c r="B427" s="140" t="s">
        <v>88</v>
      </c>
      <c r="C427" s="140" t="s">
        <v>82</v>
      </c>
      <c r="D427" s="140" t="s">
        <v>11</v>
      </c>
      <c r="E427" s="140" t="s">
        <v>55</v>
      </c>
      <c r="F427">
        <v>4.0666140000000004</v>
      </c>
      <c r="G427" s="140" t="s">
        <v>221</v>
      </c>
      <c r="H427">
        <v>0</v>
      </c>
      <c r="I427" s="140" t="s">
        <v>14</v>
      </c>
    </row>
    <row r="428" spans="1:9" hidden="1" x14ac:dyDescent="0.25">
      <c r="A428">
        <v>2024</v>
      </c>
      <c r="B428" s="140" t="s">
        <v>88</v>
      </c>
      <c r="C428" s="140" t="s">
        <v>82</v>
      </c>
      <c r="D428" s="140" t="s">
        <v>11</v>
      </c>
      <c r="E428" s="140" t="s">
        <v>55</v>
      </c>
      <c r="F428">
        <v>4.9216800000000003</v>
      </c>
      <c r="G428" s="140" t="s">
        <v>221</v>
      </c>
      <c r="H428">
        <v>0</v>
      </c>
      <c r="I428" s="140" t="s">
        <v>14</v>
      </c>
    </row>
    <row r="429" spans="1:9" hidden="1" x14ac:dyDescent="0.25">
      <c r="A429">
        <v>2025</v>
      </c>
      <c r="B429" s="140" t="s">
        <v>88</v>
      </c>
      <c r="C429" s="140" t="s">
        <v>82</v>
      </c>
      <c r="D429" s="140" t="s">
        <v>11</v>
      </c>
      <c r="E429" s="140" t="s">
        <v>55</v>
      </c>
      <c r="F429">
        <v>1.001177</v>
      </c>
      <c r="G429" s="140" t="s">
        <v>221</v>
      </c>
      <c r="H429">
        <v>0</v>
      </c>
      <c r="I429" s="140" t="s">
        <v>14</v>
      </c>
    </row>
    <row r="430" spans="1:9" hidden="1" x14ac:dyDescent="0.25">
      <c r="A430">
        <v>2026</v>
      </c>
      <c r="B430" s="140" t="s">
        <v>88</v>
      </c>
      <c r="C430" s="140" t="s">
        <v>82</v>
      </c>
      <c r="D430" s="140" t="s">
        <v>11</v>
      </c>
      <c r="E430" s="140" t="s">
        <v>55</v>
      </c>
      <c r="F430">
        <v>0.5</v>
      </c>
      <c r="G430" s="140" t="s">
        <v>221</v>
      </c>
      <c r="H430">
        <v>0</v>
      </c>
      <c r="I430" s="140" t="s">
        <v>14</v>
      </c>
    </row>
    <row r="431" spans="1:9" hidden="1" x14ac:dyDescent="0.25">
      <c r="A431">
        <v>2027</v>
      </c>
      <c r="B431" s="140" t="s">
        <v>88</v>
      </c>
      <c r="C431" s="140" t="s">
        <v>82</v>
      </c>
      <c r="D431" s="140" t="s">
        <v>11</v>
      </c>
      <c r="E431" s="140" t="s">
        <v>55</v>
      </c>
      <c r="F431">
        <v>0.8</v>
      </c>
      <c r="G431" s="140" t="s">
        <v>221</v>
      </c>
      <c r="H431">
        <v>0</v>
      </c>
      <c r="I431" s="140" t="s">
        <v>14</v>
      </c>
    </row>
    <row r="432" spans="1:9" hidden="1" x14ac:dyDescent="0.25">
      <c r="A432">
        <v>2028</v>
      </c>
      <c r="B432" s="140" t="s">
        <v>88</v>
      </c>
      <c r="C432" s="140" t="s">
        <v>82</v>
      </c>
      <c r="D432" s="140" t="s">
        <v>11</v>
      </c>
      <c r="E432" s="140" t="s">
        <v>55</v>
      </c>
      <c r="F432">
        <v>1</v>
      </c>
      <c r="G432" s="140" t="s">
        <v>221</v>
      </c>
      <c r="H432">
        <v>0</v>
      </c>
      <c r="I432" s="140" t="s">
        <v>14</v>
      </c>
    </row>
    <row r="433" spans="1:9" hidden="1" x14ac:dyDescent="0.25">
      <c r="A433">
        <v>2009</v>
      </c>
      <c r="B433" s="140" t="s">
        <v>89</v>
      </c>
      <c r="C433" s="140" t="s">
        <v>82</v>
      </c>
      <c r="D433" s="140" t="s">
        <v>11</v>
      </c>
      <c r="E433" s="140" t="s">
        <v>55</v>
      </c>
      <c r="F433">
        <v>-4.2556139999999996</v>
      </c>
      <c r="G433" s="140" t="s">
        <v>222</v>
      </c>
      <c r="H433">
        <v>0</v>
      </c>
      <c r="I433" s="140" t="s">
        <v>14</v>
      </c>
    </row>
    <row r="434" spans="1:9" hidden="1" x14ac:dyDescent="0.25">
      <c r="A434">
        <v>2010</v>
      </c>
      <c r="B434" s="140" t="s">
        <v>89</v>
      </c>
      <c r="C434" s="140" t="s">
        <v>82</v>
      </c>
      <c r="D434" s="140" t="s">
        <v>11</v>
      </c>
      <c r="E434" s="140" t="s">
        <v>55</v>
      </c>
      <c r="F434">
        <v>5.7507650000000003</v>
      </c>
      <c r="G434" s="140" t="s">
        <v>222</v>
      </c>
      <c r="H434">
        <v>0</v>
      </c>
      <c r="I434" s="140" t="s">
        <v>14</v>
      </c>
    </row>
    <row r="435" spans="1:9" hidden="1" x14ac:dyDescent="0.25">
      <c r="A435">
        <v>2011</v>
      </c>
      <c r="B435" s="140" t="s">
        <v>89</v>
      </c>
      <c r="C435" s="140" t="s">
        <v>82</v>
      </c>
      <c r="D435" s="140" t="s">
        <v>11</v>
      </c>
      <c r="E435" s="140" t="s">
        <v>55</v>
      </c>
      <c r="F435">
        <v>3.1638860000000002</v>
      </c>
      <c r="G435" s="140" t="s">
        <v>222</v>
      </c>
      <c r="H435">
        <v>0</v>
      </c>
      <c r="I435" s="140" t="s">
        <v>14</v>
      </c>
    </row>
    <row r="436" spans="1:9" hidden="1" x14ac:dyDescent="0.25">
      <c r="A436">
        <v>2012</v>
      </c>
      <c r="B436" s="140" t="s">
        <v>89</v>
      </c>
      <c r="C436" s="140" t="s">
        <v>82</v>
      </c>
      <c r="D436" s="140" t="s">
        <v>11</v>
      </c>
      <c r="E436" s="140" t="s">
        <v>55</v>
      </c>
      <c r="F436">
        <v>-0.41439799999999999</v>
      </c>
      <c r="G436" s="140" t="s">
        <v>222</v>
      </c>
      <c r="H436">
        <v>0</v>
      </c>
      <c r="I436" s="140" t="s">
        <v>14</v>
      </c>
    </row>
    <row r="437" spans="1:9" hidden="1" x14ac:dyDescent="0.25">
      <c r="A437">
        <v>2013</v>
      </c>
      <c r="B437" s="140" t="s">
        <v>89</v>
      </c>
      <c r="C437" s="140" t="s">
        <v>82</v>
      </c>
      <c r="D437" s="140" t="s">
        <v>11</v>
      </c>
      <c r="E437" s="140" t="s">
        <v>55</v>
      </c>
      <c r="F437">
        <v>1.137667</v>
      </c>
      <c r="G437" s="140" t="s">
        <v>222</v>
      </c>
      <c r="H437">
        <v>0</v>
      </c>
      <c r="I437" s="140" t="s">
        <v>14</v>
      </c>
    </row>
    <row r="438" spans="1:9" hidden="1" x14ac:dyDescent="0.25">
      <c r="A438">
        <v>2014</v>
      </c>
      <c r="B438" s="140" t="s">
        <v>89</v>
      </c>
      <c r="C438" s="140" t="s">
        <v>82</v>
      </c>
      <c r="D438" s="140" t="s">
        <v>11</v>
      </c>
      <c r="E438" s="140" t="s">
        <v>55</v>
      </c>
      <c r="F438">
        <v>2.2957719999999999</v>
      </c>
      <c r="G438" s="140" t="s">
        <v>222</v>
      </c>
      <c r="H438">
        <v>0</v>
      </c>
      <c r="I438" s="140" t="s">
        <v>14</v>
      </c>
    </row>
    <row r="439" spans="1:9" hidden="1" x14ac:dyDescent="0.25">
      <c r="A439">
        <v>2015</v>
      </c>
      <c r="B439" s="140" t="s">
        <v>89</v>
      </c>
      <c r="C439" s="140" t="s">
        <v>82</v>
      </c>
      <c r="D439" s="140" t="s">
        <v>11</v>
      </c>
      <c r="E439" s="140" t="s">
        <v>55</v>
      </c>
      <c r="F439">
        <v>4.3882469999999998</v>
      </c>
      <c r="G439" s="140" t="s">
        <v>222</v>
      </c>
      <c r="H439">
        <v>0</v>
      </c>
      <c r="I439" s="140" t="s">
        <v>14</v>
      </c>
    </row>
    <row r="440" spans="1:9" hidden="1" x14ac:dyDescent="0.25">
      <c r="A440">
        <v>2016</v>
      </c>
      <c r="B440" s="140" t="s">
        <v>89</v>
      </c>
      <c r="C440" s="140" t="s">
        <v>82</v>
      </c>
      <c r="D440" s="140" t="s">
        <v>11</v>
      </c>
      <c r="E440" s="140" t="s">
        <v>55</v>
      </c>
      <c r="F440">
        <v>2.1311789999999999</v>
      </c>
      <c r="G440" s="140" t="s">
        <v>222</v>
      </c>
      <c r="H440">
        <v>0</v>
      </c>
      <c r="I440" s="140" t="s">
        <v>14</v>
      </c>
    </row>
    <row r="441" spans="1:9" hidden="1" x14ac:dyDescent="0.25">
      <c r="A441">
        <v>2017</v>
      </c>
      <c r="B441" s="140" t="s">
        <v>89</v>
      </c>
      <c r="C441" s="140" t="s">
        <v>82</v>
      </c>
      <c r="D441" s="140" t="s">
        <v>11</v>
      </c>
      <c r="E441" s="140" t="s">
        <v>55</v>
      </c>
      <c r="F441">
        <v>1.882822</v>
      </c>
      <c r="G441" s="140" t="s">
        <v>222</v>
      </c>
      <c r="H441">
        <v>0</v>
      </c>
      <c r="I441" s="140" t="s">
        <v>14</v>
      </c>
    </row>
    <row r="442" spans="1:9" hidden="1" x14ac:dyDescent="0.25">
      <c r="A442">
        <v>2018</v>
      </c>
      <c r="B442" s="140" t="s">
        <v>89</v>
      </c>
      <c r="C442" s="140" t="s">
        <v>82</v>
      </c>
      <c r="D442" s="140" t="s">
        <v>11</v>
      </c>
      <c r="E442" s="140" t="s">
        <v>55</v>
      </c>
      <c r="F442">
        <v>1.7702549999999999</v>
      </c>
      <c r="G442" s="140" t="s">
        <v>222</v>
      </c>
      <c r="H442">
        <v>0</v>
      </c>
      <c r="I442" s="140" t="s">
        <v>14</v>
      </c>
    </row>
    <row r="443" spans="1:9" hidden="1" x14ac:dyDescent="0.25">
      <c r="A443">
        <v>2019</v>
      </c>
      <c r="B443" s="140" t="s">
        <v>89</v>
      </c>
      <c r="C443" s="140" t="s">
        <v>82</v>
      </c>
      <c r="D443" s="140" t="s">
        <v>11</v>
      </c>
      <c r="E443" s="140" t="s">
        <v>55</v>
      </c>
      <c r="F443">
        <v>2.6082299999999998</v>
      </c>
      <c r="G443" s="140" t="s">
        <v>222</v>
      </c>
      <c r="H443">
        <v>0</v>
      </c>
      <c r="I443" s="140" t="s">
        <v>14</v>
      </c>
    </row>
    <row r="444" spans="1:9" hidden="1" x14ac:dyDescent="0.25">
      <c r="A444">
        <v>2020</v>
      </c>
      <c r="B444" s="140" t="s">
        <v>89</v>
      </c>
      <c r="C444" s="140" t="s">
        <v>82</v>
      </c>
      <c r="D444" s="140" t="s">
        <v>11</v>
      </c>
      <c r="E444" s="140" t="s">
        <v>55</v>
      </c>
      <c r="F444">
        <v>-1.933797</v>
      </c>
      <c r="G444" s="140" t="s">
        <v>222</v>
      </c>
      <c r="H444">
        <v>0</v>
      </c>
      <c r="I444" s="140" t="s">
        <v>14</v>
      </c>
    </row>
    <row r="445" spans="1:9" hidden="1" x14ac:dyDescent="0.25">
      <c r="A445">
        <v>2021</v>
      </c>
      <c r="B445" s="140" t="s">
        <v>89</v>
      </c>
      <c r="C445" s="140" t="s">
        <v>82</v>
      </c>
      <c r="D445" s="140" t="s">
        <v>11</v>
      </c>
      <c r="E445" s="140" t="s">
        <v>55</v>
      </c>
      <c r="F445">
        <v>5.2258639999999996</v>
      </c>
      <c r="G445" s="140" t="s">
        <v>222</v>
      </c>
      <c r="H445">
        <v>0</v>
      </c>
      <c r="I445" s="140" t="s">
        <v>14</v>
      </c>
    </row>
    <row r="446" spans="1:9" hidden="1" x14ac:dyDescent="0.25">
      <c r="A446">
        <v>2022</v>
      </c>
      <c r="B446" s="140" t="s">
        <v>89</v>
      </c>
      <c r="C446" s="140" t="s">
        <v>82</v>
      </c>
      <c r="D446" s="140" t="s">
        <v>11</v>
      </c>
      <c r="E446" s="140" t="s">
        <v>55</v>
      </c>
      <c r="F446">
        <v>1.255436</v>
      </c>
      <c r="G446" s="140" t="s">
        <v>222</v>
      </c>
      <c r="H446">
        <v>0</v>
      </c>
      <c r="I446" s="140" t="s">
        <v>14</v>
      </c>
    </row>
    <row r="447" spans="1:9" hidden="1" x14ac:dyDescent="0.25">
      <c r="A447">
        <v>2023</v>
      </c>
      <c r="B447" s="140" t="s">
        <v>89</v>
      </c>
      <c r="C447" s="140" t="s">
        <v>82</v>
      </c>
      <c r="D447" s="140" t="s">
        <v>11</v>
      </c>
      <c r="E447" s="140" t="s">
        <v>55</v>
      </c>
      <c r="F447">
        <v>-0.20406099999999999</v>
      </c>
      <c r="G447" s="140" t="s">
        <v>222</v>
      </c>
      <c r="H447">
        <v>0</v>
      </c>
      <c r="I447" s="140" t="s">
        <v>14</v>
      </c>
    </row>
    <row r="448" spans="1:9" hidden="1" x14ac:dyDescent="0.25">
      <c r="A448">
        <v>2024</v>
      </c>
      <c r="B448" s="140" t="s">
        <v>89</v>
      </c>
      <c r="C448" s="140" t="s">
        <v>82</v>
      </c>
      <c r="D448" s="140" t="s">
        <v>11</v>
      </c>
      <c r="E448" s="140" t="s">
        <v>55</v>
      </c>
      <c r="F448">
        <v>1.9901720000000001</v>
      </c>
      <c r="G448" s="140" t="s">
        <v>222</v>
      </c>
      <c r="H448">
        <v>0</v>
      </c>
      <c r="I448" s="140" t="s">
        <v>14</v>
      </c>
    </row>
    <row r="449" spans="1:9" hidden="1" x14ac:dyDescent="0.25">
      <c r="A449">
        <v>2025</v>
      </c>
      <c r="B449" s="140" t="s">
        <v>89</v>
      </c>
      <c r="C449" s="140" t="s">
        <v>82</v>
      </c>
      <c r="D449" s="140" t="s">
        <v>11</v>
      </c>
      <c r="E449" s="140" t="s">
        <v>55</v>
      </c>
      <c r="F449">
        <v>1.3968339999999999</v>
      </c>
      <c r="G449" s="140" t="s">
        <v>222</v>
      </c>
      <c r="H449">
        <v>0</v>
      </c>
      <c r="I449" s="140" t="s">
        <v>14</v>
      </c>
    </row>
    <row r="450" spans="1:9" hidden="1" x14ac:dyDescent="0.25">
      <c r="A450">
        <v>2026</v>
      </c>
      <c r="B450" s="140" t="s">
        <v>89</v>
      </c>
      <c r="C450" s="140" t="s">
        <v>82</v>
      </c>
      <c r="D450" s="140" t="s">
        <v>11</v>
      </c>
      <c r="E450" s="140" t="s">
        <v>55</v>
      </c>
      <c r="F450">
        <v>1.9</v>
      </c>
      <c r="G450" s="140" t="s">
        <v>222</v>
      </c>
      <c r="H450">
        <v>0</v>
      </c>
      <c r="I450" s="140" t="s">
        <v>14</v>
      </c>
    </row>
    <row r="451" spans="1:9" hidden="1" x14ac:dyDescent="0.25">
      <c r="A451">
        <v>2027</v>
      </c>
      <c r="B451" s="140" t="s">
        <v>89</v>
      </c>
      <c r="C451" s="140" t="s">
        <v>82</v>
      </c>
      <c r="D451" s="140" t="s">
        <v>11</v>
      </c>
      <c r="E451" s="140" t="s">
        <v>55</v>
      </c>
      <c r="F451">
        <v>2.4</v>
      </c>
      <c r="G451" s="140" t="s">
        <v>222</v>
      </c>
      <c r="H451">
        <v>0</v>
      </c>
      <c r="I451" s="140" t="s">
        <v>14</v>
      </c>
    </row>
    <row r="452" spans="1:9" hidden="1" x14ac:dyDescent="0.25">
      <c r="A452">
        <v>2028</v>
      </c>
      <c r="B452" s="140" t="s">
        <v>89</v>
      </c>
      <c r="C452" s="140" t="s">
        <v>82</v>
      </c>
      <c r="D452" s="140" t="s">
        <v>11</v>
      </c>
      <c r="E452" s="140" t="s">
        <v>55</v>
      </c>
      <c r="F452">
        <v>2.2000000000000002</v>
      </c>
      <c r="G452" s="140" t="s">
        <v>222</v>
      </c>
      <c r="H452">
        <v>0</v>
      </c>
      <c r="I452" s="140" t="s">
        <v>14</v>
      </c>
    </row>
    <row r="453" spans="1:9" hidden="1" x14ac:dyDescent="0.25">
      <c r="A453">
        <v>2009</v>
      </c>
      <c r="B453" s="140" t="s">
        <v>322</v>
      </c>
      <c r="C453" s="140" t="s">
        <v>82</v>
      </c>
      <c r="D453" s="140" t="s">
        <v>11</v>
      </c>
      <c r="E453" s="140" t="s">
        <v>55</v>
      </c>
      <c r="F453">
        <v>8.479787</v>
      </c>
      <c r="G453" s="140" t="s">
        <v>323</v>
      </c>
      <c r="H453">
        <v>0</v>
      </c>
      <c r="I453" s="140" t="s">
        <v>14</v>
      </c>
    </row>
    <row r="454" spans="1:9" hidden="1" x14ac:dyDescent="0.25">
      <c r="A454">
        <v>2010</v>
      </c>
      <c r="B454" s="140" t="s">
        <v>322</v>
      </c>
      <c r="C454" s="140" t="s">
        <v>82</v>
      </c>
      <c r="D454" s="140" t="s">
        <v>11</v>
      </c>
      <c r="E454" s="140" t="s">
        <v>55</v>
      </c>
      <c r="F454">
        <v>10.259963000000001</v>
      </c>
      <c r="G454" s="140" t="s">
        <v>323</v>
      </c>
      <c r="H454">
        <v>0</v>
      </c>
      <c r="I454" s="140" t="s">
        <v>14</v>
      </c>
    </row>
    <row r="455" spans="1:9" hidden="1" x14ac:dyDescent="0.25">
      <c r="A455">
        <v>2011</v>
      </c>
      <c r="B455" s="140" t="s">
        <v>322</v>
      </c>
      <c r="C455" s="140" t="s">
        <v>82</v>
      </c>
      <c r="D455" s="140" t="s">
        <v>11</v>
      </c>
      <c r="E455" s="140" t="s">
        <v>55</v>
      </c>
      <c r="F455">
        <v>6.6383530000000004</v>
      </c>
      <c r="G455" s="140" t="s">
        <v>323</v>
      </c>
      <c r="H455">
        <v>0</v>
      </c>
      <c r="I455" s="140" t="s">
        <v>14</v>
      </c>
    </row>
    <row r="456" spans="1:9" hidden="1" x14ac:dyDescent="0.25">
      <c r="A456">
        <v>2012</v>
      </c>
      <c r="B456" s="140" t="s">
        <v>322</v>
      </c>
      <c r="C456" s="140" t="s">
        <v>82</v>
      </c>
      <c r="D456" s="140" t="s">
        <v>11</v>
      </c>
      <c r="E456" s="140" t="s">
        <v>55</v>
      </c>
      <c r="F456">
        <v>5.4563879999999996</v>
      </c>
      <c r="G456" s="140" t="s">
        <v>323</v>
      </c>
      <c r="H456">
        <v>0</v>
      </c>
      <c r="I456" s="140" t="s">
        <v>14</v>
      </c>
    </row>
    <row r="457" spans="1:9" hidden="1" x14ac:dyDescent="0.25">
      <c r="A457">
        <v>2013</v>
      </c>
      <c r="B457" s="140" t="s">
        <v>322</v>
      </c>
      <c r="C457" s="140" t="s">
        <v>82</v>
      </c>
      <c r="D457" s="140" t="s">
        <v>11</v>
      </c>
      <c r="E457" s="140" t="s">
        <v>55</v>
      </c>
      <c r="F457">
        <v>6.3861080000000001</v>
      </c>
      <c r="G457" s="140" t="s">
        <v>323</v>
      </c>
      <c r="H457">
        <v>0</v>
      </c>
      <c r="I457" s="140" t="s">
        <v>14</v>
      </c>
    </row>
    <row r="458" spans="1:9" hidden="1" x14ac:dyDescent="0.25">
      <c r="A458">
        <v>2014</v>
      </c>
      <c r="B458" s="140" t="s">
        <v>322</v>
      </c>
      <c r="C458" s="140" t="s">
        <v>82</v>
      </c>
      <c r="D458" s="140" t="s">
        <v>11</v>
      </c>
      <c r="E458" s="140" t="s">
        <v>55</v>
      </c>
      <c r="F458">
        <v>7.4102269999999999</v>
      </c>
      <c r="G458" s="140" t="s">
        <v>323</v>
      </c>
      <c r="H458">
        <v>0</v>
      </c>
      <c r="I458" s="140" t="s">
        <v>14</v>
      </c>
    </row>
    <row r="459" spans="1:9" hidden="1" x14ac:dyDescent="0.25">
      <c r="A459">
        <v>2015</v>
      </c>
      <c r="B459" s="140" t="s">
        <v>322</v>
      </c>
      <c r="C459" s="140" t="s">
        <v>82</v>
      </c>
      <c r="D459" s="140" t="s">
        <v>11</v>
      </c>
      <c r="E459" s="140" t="s">
        <v>55</v>
      </c>
      <c r="F459">
        <v>7.9962540000000004</v>
      </c>
      <c r="G459" s="140" t="s">
        <v>323</v>
      </c>
      <c r="H459">
        <v>0</v>
      </c>
      <c r="I459" s="140" t="s">
        <v>14</v>
      </c>
    </row>
    <row r="460" spans="1:9" hidden="1" x14ac:dyDescent="0.25">
      <c r="A460">
        <v>2016</v>
      </c>
      <c r="B460" s="140" t="s">
        <v>322</v>
      </c>
      <c r="C460" s="140" t="s">
        <v>82</v>
      </c>
      <c r="D460" s="140" t="s">
        <v>11</v>
      </c>
      <c r="E460" s="140" t="s">
        <v>55</v>
      </c>
      <c r="F460">
        <v>8.2563060000000004</v>
      </c>
      <c r="G460" s="140" t="s">
        <v>323</v>
      </c>
      <c r="H460">
        <v>0</v>
      </c>
      <c r="I460" s="140" t="s">
        <v>14</v>
      </c>
    </row>
    <row r="461" spans="1:9" hidden="1" x14ac:dyDescent="0.25">
      <c r="A461">
        <v>2017</v>
      </c>
      <c r="B461" s="140" t="s">
        <v>322</v>
      </c>
      <c r="C461" s="140" t="s">
        <v>82</v>
      </c>
      <c r="D461" s="140" t="s">
        <v>11</v>
      </c>
      <c r="E461" s="140" t="s">
        <v>55</v>
      </c>
      <c r="F461">
        <v>6.7953830000000002</v>
      </c>
      <c r="G461" s="140" t="s">
        <v>323</v>
      </c>
      <c r="H461">
        <v>0</v>
      </c>
      <c r="I461" s="140" t="s">
        <v>14</v>
      </c>
    </row>
    <row r="462" spans="1:9" hidden="1" x14ac:dyDescent="0.25">
      <c r="A462">
        <v>2018</v>
      </c>
      <c r="B462" s="140" t="s">
        <v>322</v>
      </c>
      <c r="C462" s="140" t="s">
        <v>82</v>
      </c>
      <c r="D462" s="140" t="s">
        <v>11</v>
      </c>
      <c r="E462" s="140" t="s">
        <v>55</v>
      </c>
      <c r="F462">
        <v>6.4538510000000002</v>
      </c>
      <c r="G462" s="140" t="s">
        <v>323</v>
      </c>
      <c r="H462">
        <v>0</v>
      </c>
      <c r="I462" s="140" t="s">
        <v>14</v>
      </c>
    </row>
    <row r="463" spans="1:9" hidden="1" x14ac:dyDescent="0.25">
      <c r="A463">
        <v>2019</v>
      </c>
      <c r="B463" s="140" t="s">
        <v>322</v>
      </c>
      <c r="C463" s="140" t="s">
        <v>82</v>
      </c>
      <c r="D463" s="140" t="s">
        <v>11</v>
      </c>
      <c r="E463" s="140" t="s">
        <v>55</v>
      </c>
      <c r="F463">
        <v>3.8714369999999998</v>
      </c>
      <c r="G463" s="140" t="s">
        <v>323</v>
      </c>
      <c r="H463">
        <v>0</v>
      </c>
      <c r="I463" s="140" t="s">
        <v>14</v>
      </c>
    </row>
    <row r="464" spans="1:9" hidden="1" x14ac:dyDescent="0.25">
      <c r="A464">
        <v>2020</v>
      </c>
      <c r="B464" s="140" t="s">
        <v>322</v>
      </c>
      <c r="C464" s="140" t="s">
        <v>82</v>
      </c>
      <c r="D464" s="140" t="s">
        <v>11</v>
      </c>
      <c r="E464" s="140" t="s">
        <v>55</v>
      </c>
      <c r="F464">
        <v>-5.7777250000000002</v>
      </c>
      <c r="G464" s="140" t="s">
        <v>323</v>
      </c>
      <c r="H464">
        <v>0</v>
      </c>
      <c r="I464" s="140" t="s">
        <v>14</v>
      </c>
    </row>
    <row r="465" spans="1:9" hidden="1" x14ac:dyDescent="0.25">
      <c r="A465">
        <v>2021</v>
      </c>
      <c r="B465" s="140" t="s">
        <v>322</v>
      </c>
      <c r="C465" s="140" t="s">
        <v>82</v>
      </c>
      <c r="D465" s="140" t="s">
        <v>11</v>
      </c>
      <c r="E465" s="140" t="s">
        <v>55</v>
      </c>
      <c r="F465">
        <v>9.6895919999999993</v>
      </c>
      <c r="G465" s="140" t="s">
        <v>323</v>
      </c>
      <c r="H465">
        <v>0</v>
      </c>
      <c r="I465" s="140" t="s">
        <v>14</v>
      </c>
    </row>
    <row r="466" spans="1:9" hidden="1" x14ac:dyDescent="0.25">
      <c r="A466">
        <v>2022</v>
      </c>
      <c r="B466" s="140" t="s">
        <v>322</v>
      </c>
      <c r="C466" s="140" t="s">
        <v>82</v>
      </c>
      <c r="D466" s="140" t="s">
        <v>11</v>
      </c>
      <c r="E466" s="140" t="s">
        <v>55</v>
      </c>
      <c r="F466">
        <v>7.6093650000000004</v>
      </c>
      <c r="G466" s="140" t="s">
        <v>323</v>
      </c>
      <c r="H466">
        <v>0</v>
      </c>
      <c r="I466" s="140" t="s">
        <v>14</v>
      </c>
    </row>
    <row r="467" spans="1:9" hidden="1" x14ac:dyDescent="0.25">
      <c r="A467">
        <v>2023</v>
      </c>
      <c r="B467" s="140" t="s">
        <v>322</v>
      </c>
      <c r="C467" s="140" t="s">
        <v>82</v>
      </c>
      <c r="D467" s="140" t="s">
        <v>11</v>
      </c>
      <c r="E467" s="140" t="s">
        <v>55</v>
      </c>
      <c r="F467">
        <v>9.1907549999999993</v>
      </c>
      <c r="G467" s="140" t="s">
        <v>323</v>
      </c>
      <c r="H467">
        <v>0</v>
      </c>
      <c r="I467" s="140" t="s">
        <v>14</v>
      </c>
    </row>
    <row r="468" spans="1:9" hidden="1" x14ac:dyDescent="0.25">
      <c r="A468">
        <v>2024</v>
      </c>
      <c r="B468" s="140" t="s">
        <v>322</v>
      </c>
      <c r="C468" s="140" t="s">
        <v>82</v>
      </c>
      <c r="D468" s="140" t="s">
        <v>11</v>
      </c>
      <c r="E468" s="140" t="s">
        <v>55</v>
      </c>
      <c r="F468">
        <v>6.5</v>
      </c>
      <c r="G468" s="140" t="s">
        <v>323</v>
      </c>
      <c r="H468">
        <v>0</v>
      </c>
      <c r="I468" s="140" t="s">
        <v>14</v>
      </c>
    </row>
    <row r="469" spans="1:9" hidden="1" x14ac:dyDescent="0.25">
      <c r="A469">
        <v>2025</v>
      </c>
      <c r="B469" s="140" t="s">
        <v>322</v>
      </c>
      <c r="C469" s="140" t="s">
        <v>82</v>
      </c>
      <c r="D469" s="140" t="s">
        <v>11</v>
      </c>
      <c r="E469" s="140" t="s">
        <v>55</v>
      </c>
      <c r="F469">
        <v>7.7</v>
      </c>
      <c r="G469" s="140" t="s">
        <v>323</v>
      </c>
      <c r="H469">
        <v>0</v>
      </c>
      <c r="I469" s="140" t="s">
        <v>14</v>
      </c>
    </row>
    <row r="470" spans="1:9" hidden="1" x14ac:dyDescent="0.25">
      <c r="A470">
        <v>2026</v>
      </c>
      <c r="B470" s="140" t="s">
        <v>322</v>
      </c>
      <c r="C470" s="140" t="s">
        <v>82</v>
      </c>
      <c r="D470" s="140" t="s">
        <v>11</v>
      </c>
      <c r="E470" s="140" t="s">
        <v>55</v>
      </c>
      <c r="F470">
        <v>6.1</v>
      </c>
      <c r="G470" s="140" t="s">
        <v>323</v>
      </c>
      <c r="H470">
        <v>0</v>
      </c>
      <c r="I470" s="140" t="s">
        <v>14</v>
      </c>
    </row>
    <row r="471" spans="1:9" hidden="1" x14ac:dyDescent="0.25">
      <c r="A471">
        <v>2027</v>
      </c>
      <c r="B471" s="140" t="s">
        <v>322</v>
      </c>
      <c r="C471" s="140" t="s">
        <v>82</v>
      </c>
      <c r="D471" s="140" t="s">
        <v>11</v>
      </c>
      <c r="E471" s="140" t="s">
        <v>55</v>
      </c>
      <c r="F471">
        <v>6.6</v>
      </c>
      <c r="G471" s="140" t="s">
        <v>323</v>
      </c>
      <c r="H471">
        <v>0</v>
      </c>
      <c r="I471" s="140" t="s">
        <v>14</v>
      </c>
    </row>
    <row r="472" spans="1:9" hidden="1" x14ac:dyDescent="0.25">
      <c r="A472">
        <v>2028</v>
      </c>
      <c r="B472" s="140" t="s">
        <v>322</v>
      </c>
      <c r="C472" s="140" t="s">
        <v>82</v>
      </c>
      <c r="D472" s="140" t="s">
        <v>11</v>
      </c>
      <c r="E472" s="140" t="s">
        <v>55</v>
      </c>
      <c r="F472">
        <v>6.3</v>
      </c>
      <c r="G472" s="140" t="s">
        <v>323</v>
      </c>
      <c r="H472">
        <v>0</v>
      </c>
      <c r="I472" s="140" t="s">
        <v>14</v>
      </c>
    </row>
    <row r="473" spans="1:9" hidden="1" x14ac:dyDescent="0.25">
      <c r="A473">
        <v>2009</v>
      </c>
      <c r="B473" s="140" t="s">
        <v>83</v>
      </c>
      <c r="C473" s="140" t="s">
        <v>82</v>
      </c>
      <c r="D473" s="140" t="s">
        <v>11</v>
      </c>
      <c r="E473" s="140" t="s">
        <v>55</v>
      </c>
      <c r="F473">
        <v>-5.5445549999999999</v>
      </c>
      <c r="G473" s="140" t="s">
        <v>223</v>
      </c>
      <c r="H473">
        <v>0</v>
      </c>
      <c r="I473" s="140" t="s">
        <v>14</v>
      </c>
    </row>
    <row r="474" spans="1:9" hidden="1" x14ac:dyDescent="0.25">
      <c r="A474">
        <v>2010</v>
      </c>
      <c r="B474" s="140" t="s">
        <v>83</v>
      </c>
      <c r="C474" s="140" t="s">
        <v>82</v>
      </c>
      <c r="D474" s="140" t="s">
        <v>11</v>
      </c>
      <c r="E474" s="140" t="s">
        <v>55</v>
      </c>
      <c r="F474">
        <v>4.1346379999999998</v>
      </c>
      <c r="G474" s="140" t="s">
        <v>223</v>
      </c>
      <c r="H474">
        <v>0</v>
      </c>
      <c r="I474" s="140" t="s">
        <v>14</v>
      </c>
    </row>
    <row r="475" spans="1:9" hidden="1" x14ac:dyDescent="0.25">
      <c r="A475">
        <v>2011</v>
      </c>
      <c r="B475" s="140" t="s">
        <v>83</v>
      </c>
      <c r="C475" s="140" t="s">
        <v>82</v>
      </c>
      <c r="D475" s="140" t="s">
        <v>11</v>
      </c>
      <c r="E475" s="140" t="s">
        <v>55</v>
      </c>
      <c r="F475">
        <v>3.7579690000000001</v>
      </c>
      <c r="G475" s="140" t="s">
        <v>223</v>
      </c>
      <c r="H475">
        <v>0</v>
      </c>
      <c r="I475" s="140" t="s">
        <v>14</v>
      </c>
    </row>
    <row r="476" spans="1:9" hidden="1" x14ac:dyDescent="0.25">
      <c r="A476">
        <v>2012</v>
      </c>
      <c r="B476" s="140" t="s">
        <v>83</v>
      </c>
      <c r="C476" s="140" t="s">
        <v>82</v>
      </c>
      <c r="D476" s="140" t="s">
        <v>11</v>
      </c>
      <c r="E476" s="140" t="s">
        <v>55</v>
      </c>
      <c r="F476">
        <v>0.46351199999999998</v>
      </c>
      <c r="G476" s="140" t="s">
        <v>223</v>
      </c>
      <c r="H476">
        <v>0</v>
      </c>
      <c r="I476" s="140" t="s">
        <v>14</v>
      </c>
    </row>
    <row r="477" spans="1:9" hidden="1" x14ac:dyDescent="0.25">
      <c r="A477">
        <v>2013</v>
      </c>
      <c r="B477" s="140" t="s">
        <v>83</v>
      </c>
      <c r="C477" s="140" t="s">
        <v>82</v>
      </c>
      <c r="D477" s="140" t="s">
        <v>11</v>
      </c>
      <c r="E477" s="140" t="s">
        <v>55</v>
      </c>
      <c r="F477">
        <v>0.39699600000000002</v>
      </c>
      <c r="G477" s="140" t="s">
        <v>223</v>
      </c>
      <c r="H477">
        <v>0</v>
      </c>
      <c r="I477" s="140" t="s">
        <v>14</v>
      </c>
    </row>
    <row r="478" spans="1:9" hidden="1" x14ac:dyDescent="0.25">
      <c r="A478">
        <v>2014</v>
      </c>
      <c r="B478" s="140" t="s">
        <v>83</v>
      </c>
      <c r="C478" s="140" t="s">
        <v>82</v>
      </c>
      <c r="D478" s="140" t="s">
        <v>11</v>
      </c>
      <c r="E478" s="140" t="s">
        <v>55</v>
      </c>
      <c r="F478">
        <v>2.180186</v>
      </c>
      <c r="G478" s="140" t="s">
        <v>223</v>
      </c>
      <c r="H478">
        <v>0</v>
      </c>
      <c r="I478" s="140" t="s">
        <v>14</v>
      </c>
    </row>
    <row r="479" spans="1:9" hidden="1" x14ac:dyDescent="0.25">
      <c r="A479">
        <v>2015</v>
      </c>
      <c r="B479" s="140" t="s">
        <v>83</v>
      </c>
      <c r="C479" s="140" t="s">
        <v>82</v>
      </c>
      <c r="D479" s="140" t="s">
        <v>11</v>
      </c>
      <c r="E479" s="140" t="s">
        <v>55</v>
      </c>
      <c r="F479">
        <v>1.663006</v>
      </c>
      <c r="G479" s="140" t="s">
        <v>223</v>
      </c>
      <c r="H479">
        <v>0</v>
      </c>
      <c r="I479" s="140" t="s">
        <v>14</v>
      </c>
    </row>
    <row r="480" spans="1:9" hidden="1" x14ac:dyDescent="0.25">
      <c r="A480">
        <v>2016</v>
      </c>
      <c r="B480" s="140" t="s">
        <v>83</v>
      </c>
      <c r="C480" s="140" t="s">
        <v>82</v>
      </c>
      <c r="D480" s="140" t="s">
        <v>11</v>
      </c>
      <c r="E480" s="140" t="s">
        <v>55</v>
      </c>
      <c r="F480">
        <v>2.2222219999999999</v>
      </c>
      <c r="G480" s="140" t="s">
        <v>223</v>
      </c>
      <c r="H480">
        <v>0</v>
      </c>
      <c r="I480" s="140" t="s">
        <v>14</v>
      </c>
    </row>
    <row r="481" spans="1:9" hidden="1" x14ac:dyDescent="0.25">
      <c r="A481">
        <v>2017</v>
      </c>
      <c r="B481" s="140" t="s">
        <v>83</v>
      </c>
      <c r="C481" s="140" t="s">
        <v>82</v>
      </c>
      <c r="D481" s="140" t="s">
        <v>11</v>
      </c>
      <c r="E481" s="140" t="s">
        <v>55</v>
      </c>
      <c r="F481">
        <v>2.7979069999999999</v>
      </c>
      <c r="G481" s="140" t="s">
        <v>223</v>
      </c>
      <c r="H481">
        <v>0</v>
      </c>
      <c r="I481" s="140" t="s">
        <v>14</v>
      </c>
    </row>
    <row r="482" spans="1:9" hidden="1" x14ac:dyDescent="0.25">
      <c r="A482">
        <v>2018</v>
      </c>
      <c r="B482" s="140" t="s">
        <v>83</v>
      </c>
      <c r="C482" s="140" t="s">
        <v>82</v>
      </c>
      <c r="D482" s="140" t="s">
        <v>11</v>
      </c>
      <c r="E482" s="140" t="s">
        <v>55</v>
      </c>
      <c r="F482">
        <v>1.135696</v>
      </c>
      <c r="G482" s="140" t="s">
        <v>223</v>
      </c>
      <c r="H482">
        <v>0</v>
      </c>
      <c r="I482" s="140" t="s">
        <v>14</v>
      </c>
    </row>
    <row r="483" spans="1:9" hidden="1" x14ac:dyDescent="0.25">
      <c r="A483">
        <v>2019</v>
      </c>
      <c r="B483" s="140" t="s">
        <v>83</v>
      </c>
      <c r="C483" s="140" t="s">
        <v>82</v>
      </c>
      <c r="D483" s="140" t="s">
        <v>11</v>
      </c>
      <c r="E483" s="140" t="s">
        <v>55</v>
      </c>
      <c r="F483">
        <v>0.97773500000000002</v>
      </c>
      <c r="G483" s="140" t="s">
        <v>223</v>
      </c>
      <c r="H483">
        <v>0</v>
      </c>
      <c r="I483" s="140" t="s">
        <v>14</v>
      </c>
    </row>
    <row r="484" spans="1:9" hidden="1" x14ac:dyDescent="0.25">
      <c r="A484">
        <v>2020</v>
      </c>
      <c r="B484" s="140" t="s">
        <v>83</v>
      </c>
      <c r="C484" s="140" t="s">
        <v>82</v>
      </c>
      <c r="D484" s="140" t="s">
        <v>11</v>
      </c>
      <c r="E484" s="140" t="s">
        <v>55</v>
      </c>
      <c r="F484">
        <v>-4.1319140000000001</v>
      </c>
      <c r="G484" s="140" t="s">
        <v>223</v>
      </c>
      <c r="H484">
        <v>0</v>
      </c>
      <c r="I484" s="140" t="s">
        <v>14</v>
      </c>
    </row>
    <row r="485" spans="1:9" hidden="1" x14ac:dyDescent="0.25">
      <c r="A485">
        <v>2021</v>
      </c>
      <c r="B485" s="140" t="s">
        <v>83</v>
      </c>
      <c r="C485" s="140" t="s">
        <v>82</v>
      </c>
      <c r="D485" s="140" t="s">
        <v>11</v>
      </c>
      <c r="E485" s="140" t="s">
        <v>55</v>
      </c>
      <c r="F485">
        <v>3.91</v>
      </c>
      <c r="G485" s="140" t="s">
        <v>223</v>
      </c>
      <c r="H485">
        <v>0</v>
      </c>
      <c r="I485" s="140" t="s">
        <v>14</v>
      </c>
    </row>
    <row r="486" spans="1:9" hidden="1" x14ac:dyDescent="0.25">
      <c r="A486">
        <v>2022</v>
      </c>
      <c r="B486" s="140" t="s">
        <v>83</v>
      </c>
      <c r="C486" s="140" t="s">
        <v>82</v>
      </c>
      <c r="D486" s="140" t="s">
        <v>11</v>
      </c>
      <c r="E486" s="140" t="s">
        <v>55</v>
      </c>
      <c r="F486">
        <v>1.809258</v>
      </c>
      <c r="G486" s="140" t="s">
        <v>223</v>
      </c>
      <c r="H486">
        <v>0</v>
      </c>
      <c r="I486" s="140" t="s">
        <v>14</v>
      </c>
    </row>
    <row r="487" spans="1:9" hidden="1" x14ac:dyDescent="0.25">
      <c r="A487">
        <v>2023</v>
      </c>
      <c r="B487" s="140" t="s">
        <v>83</v>
      </c>
      <c r="C487" s="140" t="s">
        <v>82</v>
      </c>
      <c r="D487" s="140" t="s">
        <v>11</v>
      </c>
      <c r="E487" s="140" t="s">
        <v>55</v>
      </c>
      <c r="F487">
        <v>-0.86964799999999998</v>
      </c>
      <c r="G487" s="140" t="s">
        <v>223</v>
      </c>
      <c r="H487">
        <v>0</v>
      </c>
      <c r="I487" s="140" t="s">
        <v>14</v>
      </c>
    </row>
    <row r="488" spans="1:9" hidden="1" x14ac:dyDescent="0.25">
      <c r="A488">
        <v>2024</v>
      </c>
      <c r="B488" s="140" t="s">
        <v>83</v>
      </c>
      <c r="C488" s="140" t="s">
        <v>82</v>
      </c>
      <c r="D488" s="140" t="s">
        <v>11</v>
      </c>
      <c r="E488" s="140" t="s">
        <v>55</v>
      </c>
      <c r="F488">
        <v>-0.49585200000000001</v>
      </c>
      <c r="G488" s="140" t="s">
        <v>223</v>
      </c>
      <c r="H488">
        <v>0</v>
      </c>
      <c r="I488" s="140" t="s">
        <v>14</v>
      </c>
    </row>
    <row r="489" spans="1:9" hidden="1" x14ac:dyDescent="0.25">
      <c r="A489">
        <v>2025</v>
      </c>
      <c r="B489" s="140" t="s">
        <v>83</v>
      </c>
      <c r="C489" s="140" t="s">
        <v>82</v>
      </c>
      <c r="D489" s="140" t="s">
        <v>11</v>
      </c>
      <c r="E489" s="140" t="s">
        <v>55</v>
      </c>
      <c r="F489">
        <v>0.220412</v>
      </c>
      <c r="G489" s="140" t="s">
        <v>223</v>
      </c>
      <c r="H489">
        <v>0</v>
      </c>
      <c r="I489" s="140" t="s">
        <v>14</v>
      </c>
    </row>
    <row r="490" spans="1:9" hidden="1" x14ac:dyDescent="0.25">
      <c r="A490">
        <v>2026</v>
      </c>
      <c r="B490" s="140" t="s">
        <v>83</v>
      </c>
      <c r="C490" s="140" t="s">
        <v>82</v>
      </c>
      <c r="D490" s="140" t="s">
        <v>11</v>
      </c>
      <c r="E490" s="140" t="s">
        <v>55</v>
      </c>
      <c r="F490">
        <v>0.7</v>
      </c>
      <c r="G490" s="140" t="s">
        <v>223</v>
      </c>
      <c r="H490">
        <v>0</v>
      </c>
      <c r="I490" s="140" t="s">
        <v>14</v>
      </c>
    </row>
    <row r="491" spans="1:9" hidden="1" x14ac:dyDescent="0.25">
      <c r="A491">
        <v>2027</v>
      </c>
      <c r="B491" s="140" t="s">
        <v>83</v>
      </c>
      <c r="C491" s="140" t="s">
        <v>82</v>
      </c>
      <c r="D491" s="140" t="s">
        <v>11</v>
      </c>
      <c r="E491" s="140" t="s">
        <v>55</v>
      </c>
      <c r="F491">
        <v>1.6</v>
      </c>
      <c r="G491" s="140" t="s">
        <v>223</v>
      </c>
      <c r="H491">
        <v>0</v>
      </c>
      <c r="I491" s="140" t="s">
        <v>14</v>
      </c>
    </row>
    <row r="492" spans="1:9" hidden="1" x14ac:dyDescent="0.25">
      <c r="A492">
        <v>2028</v>
      </c>
      <c r="B492" s="140" t="s">
        <v>83</v>
      </c>
      <c r="C492" s="140" t="s">
        <v>82</v>
      </c>
      <c r="D492" s="140" t="s">
        <v>11</v>
      </c>
      <c r="E492" s="140" t="s">
        <v>55</v>
      </c>
      <c r="F492">
        <v>1.1000000000000001</v>
      </c>
      <c r="G492" s="140" t="s">
        <v>223</v>
      </c>
      <c r="H492">
        <v>0</v>
      </c>
      <c r="I492" s="140" t="s">
        <v>14</v>
      </c>
    </row>
    <row r="493" spans="1:9" hidden="1" x14ac:dyDescent="0.25">
      <c r="A493">
        <v>2009</v>
      </c>
      <c r="B493" s="140" t="s">
        <v>86</v>
      </c>
      <c r="C493" s="140" t="s">
        <v>82</v>
      </c>
      <c r="D493" s="140" t="s">
        <v>11</v>
      </c>
      <c r="E493" s="140" t="s">
        <v>55</v>
      </c>
      <c r="F493">
        <v>-2.8245520000000002</v>
      </c>
      <c r="G493" s="140" t="s">
        <v>224</v>
      </c>
      <c r="H493">
        <v>0</v>
      </c>
      <c r="I493" s="140" t="s">
        <v>14</v>
      </c>
    </row>
    <row r="494" spans="1:9" hidden="1" x14ac:dyDescent="0.25">
      <c r="A494">
        <v>2010</v>
      </c>
      <c r="B494" s="140" t="s">
        <v>86</v>
      </c>
      <c r="C494" s="140" t="s">
        <v>82</v>
      </c>
      <c r="D494" s="140" t="s">
        <v>11</v>
      </c>
      <c r="E494" s="140" t="s">
        <v>55</v>
      </c>
      <c r="F494">
        <v>2.0003250000000001</v>
      </c>
      <c r="G494" s="140" t="s">
        <v>224</v>
      </c>
      <c r="H494">
        <v>0</v>
      </c>
      <c r="I494" s="140" t="s">
        <v>14</v>
      </c>
    </row>
    <row r="495" spans="1:9" hidden="1" x14ac:dyDescent="0.25">
      <c r="A495">
        <v>2011</v>
      </c>
      <c r="B495" s="140" t="s">
        <v>86</v>
      </c>
      <c r="C495" s="140" t="s">
        <v>82</v>
      </c>
      <c r="D495" s="140" t="s">
        <v>11</v>
      </c>
      <c r="E495" s="140" t="s">
        <v>55</v>
      </c>
      <c r="F495">
        <v>2.4375770000000001</v>
      </c>
      <c r="G495" s="140" t="s">
        <v>224</v>
      </c>
      <c r="H495">
        <v>0</v>
      </c>
      <c r="I495" s="140" t="s">
        <v>14</v>
      </c>
    </row>
    <row r="496" spans="1:9" hidden="1" x14ac:dyDescent="0.25">
      <c r="A496">
        <v>2012</v>
      </c>
      <c r="B496" s="140" t="s">
        <v>86</v>
      </c>
      <c r="C496" s="140" t="s">
        <v>82</v>
      </c>
      <c r="D496" s="140" t="s">
        <v>11</v>
      </c>
      <c r="E496" s="140" t="s">
        <v>55</v>
      </c>
      <c r="F496">
        <v>0.183835</v>
      </c>
      <c r="G496" s="140" t="s">
        <v>224</v>
      </c>
      <c r="H496">
        <v>0</v>
      </c>
      <c r="I496" s="140" t="s">
        <v>14</v>
      </c>
    </row>
    <row r="497" spans="1:9" hidden="1" x14ac:dyDescent="0.25">
      <c r="A497">
        <v>2013</v>
      </c>
      <c r="B497" s="140" t="s">
        <v>86</v>
      </c>
      <c r="C497" s="140" t="s">
        <v>82</v>
      </c>
      <c r="D497" s="140" t="s">
        <v>11</v>
      </c>
      <c r="E497" s="140" t="s">
        <v>55</v>
      </c>
      <c r="F497">
        <v>0.78175600000000001</v>
      </c>
      <c r="G497" s="140" t="s">
        <v>224</v>
      </c>
      <c r="H497">
        <v>0</v>
      </c>
      <c r="I497" s="140" t="s">
        <v>14</v>
      </c>
    </row>
    <row r="498" spans="1:9" hidden="1" x14ac:dyDescent="0.25">
      <c r="A498">
        <v>2014</v>
      </c>
      <c r="B498" s="140" t="s">
        <v>86</v>
      </c>
      <c r="C498" s="140" t="s">
        <v>82</v>
      </c>
      <c r="D498" s="140" t="s">
        <v>11</v>
      </c>
      <c r="E498" s="140" t="s">
        <v>55</v>
      </c>
      <c r="F498">
        <v>0.99783299999999997</v>
      </c>
      <c r="G498" s="140" t="s">
        <v>224</v>
      </c>
      <c r="H498">
        <v>0</v>
      </c>
      <c r="I498" s="140" t="s">
        <v>14</v>
      </c>
    </row>
    <row r="499" spans="1:9" hidden="1" x14ac:dyDescent="0.25">
      <c r="A499">
        <v>2015</v>
      </c>
      <c r="B499" s="140" t="s">
        <v>86</v>
      </c>
      <c r="C499" s="140" t="s">
        <v>82</v>
      </c>
      <c r="D499" s="140" t="s">
        <v>11</v>
      </c>
      <c r="E499" s="140" t="s">
        <v>55</v>
      </c>
      <c r="F499">
        <v>1.0667549999999999</v>
      </c>
      <c r="G499" s="140" t="s">
        <v>224</v>
      </c>
      <c r="H499">
        <v>0</v>
      </c>
      <c r="I499" s="140" t="s">
        <v>14</v>
      </c>
    </row>
    <row r="500" spans="1:9" hidden="1" x14ac:dyDescent="0.25">
      <c r="A500">
        <v>2016</v>
      </c>
      <c r="B500" s="140" t="s">
        <v>86</v>
      </c>
      <c r="C500" s="140" t="s">
        <v>82</v>
      </c>
      <c r="D500" s="140" t="s">
        <v>11</v>
      </c>
      <c r="E500" s="140" t="s">
        <v>55</v>
      </c>
      <c r="F500">
        <v>0.86003099999999999</v>
      </c>
      <c r="G500" s="140" t="s">
        <v>224</v>
      </c>
      <c r="H500">
        <v>0</v>
      </c>
      <c r="I500" s="140" t="s">
        <v>14</v>
      </c>
    </row>
    <row r="501" spans="1:9" hidden="1" x14ac:dyDescent="0.25">
      <c r="A501">
        <v>2017</v>
      </c>
      <c r="B501" s="140" t="s">
        <v>86</v>
      </c>
      <c r="C501" s="140" t="s">
        <v>82</v>
      </c>
      <c r="D501" s="140" t="s">
        <v>11</v>
      </c>
      <c r="E501" s="140" t="s">
        <v>55</v>
      </c>
      <c r="F501">
        <v>2.083615</v>
      </c>
      <c r="G501" s="140" t="s">
        <v>224</v>
      </c>
      <c r="H501">
        <v>0</v>
      </c>
      <c r="I501" s="140" t="s">
        <v>14</v>
      </c>
    </row>
    <row r="502" spans="1:9" hidden="1" x14ac:dyDescent="0.25">
      <c r="A502">
        <v>2018</v>
      </c>
      <c r="B502" s="140" t="s">
        <v>86</v>
      </c>
      <c r="C502" s="140" t="s">
        <v>82</v>
      </c>
      <c r="D502" s="140" t="s">
        <v>11</v>
      </c>
      <c r="E502" s="140" t="s">
        <v>55</v>
      </c>
      <c r="F502">
        <v>1.6459090000000001</v>
      </c>
      <c r="G502" s="140" t="s">
        <v>224</v>
      </c>
      <c r="H502">
        <v>0</v>
      </c>
      <c r="I502" s="140" t="s">
        <v>14</v>
      </c>
    </row>
    <row r="503" spans="1:9" hidden="1" x14ac:dyDescent="0.25">
      <c r="A503">
        <v>2019</v>
      </c>
      <c r="B503" s="140" t="s">
        <v>86</v>
      </c>
      <c r="C503" s="140" t="s">
        <v>82</v>
      </c>
      <c r="D503" s="140" t="s">
        <v>11</v>
      </c>
      <c r="E503" s="140" t="s">
        <v>55</v>
      </c>
      <c r="F503">
        <v>2.0274459999999999</v>
      </c>
      <c r="G503" s="140" t="s">
        <v>224</v>
      </c>
      <c r="H503">
        <v>0</v>
      </c>
      <c r="I503" s="140" t="s">
        <v>14</v>
      </c>
    </row>
    <row r="504" spans="1:9" hidden="1" x14ac:dyDescent="0.25">
      <c r="A504">
        <v>2020</v>
      </c>
      <c r="B504" s="140" t="s">
        <v>86</v>
      </c>
      <c r="C504" s="140" t="s">
        <v>82</v>
      </c>
      <c r="D504" s="140" t="s">
        <v>11</v>
      </c>
      <c r="E504" s="140" t="s">
        <v>55</v>
      </c>
      <c r="F504">
        <v>-7.4406460000000001</v>
      </c>
      <c r="G504" s="140" t="s">
        <v>224</v>
      </c>
      <c r="H504">
        <v>0</v>
      </c>
      <c r="I504" s="140" t="s">
        <v>14</v>
      </c>
    </row>
    <row r="505" spans="1:9" hidden="1" x14ac:dyDescent="0.25">
      <c r="A505">
        <v>2021</v>
      </c>
      <c r="B505" s="140" t="s">
        <v>86</v>
      </c>
      <c r="C505" s="140" t="s">
        <v>82</v>
      </c>
      <c r="D505" s="140" t="s">
        <v>11</v>
      </c>
      <c r="E505" s="140" t="s">
        <v>55</v>
      </c>
      <c r="F505">
        <v>6.8823379999999998</v>
      </c>
      <c r="G505" s="140" t="s">
        <v>224</v>
      </c>
      <c r="H505">
        <v>0</v>
      </c>
      <c r="I505" s="140" t="s">
        <v>14</v>
      </c>
    </row>
    <row r="506" spans="1:9" hidden="1" x14ac:dyDescent="0.25">
      <c r="A506">
        <v>2022</v>
      </c>
      <c r="B506" s="140" t="s">
        <v>86</v>
      </c>
      <c r="C506" s="140" t="s">
        <v>82</v>
      </c>
      <c r="D506" s="140" t="s">
        <v>11</v>
      </c>
      <c r="E506" s="140" t="s">
        <v>55</v>
      </c>
      <c r="F506">
        <v>2.7167629999999998</v>
      </c>
      <c r="G506" s="140" t="s">
        <v>224</v>
      </c>
      <c r="H506">
        <v>0</v>
      </c>
      <c r="I506" s="140" t="s">
        <v>14</v>
      </c>
    </row>
    <row r="507" spans="1:9" hidden="1" x14ac:dyDescent="0.25">
      <c r="A507">
        <v>2023</v>
      </c>
      <c r="B507" s="140" t="s">
        <v>86</v>
      </c>
      <c r="C507" s="140" t="s">
        <v>82</v>
      </c>
      <c r="D507" s="140" t="s">
        <v>11</v>
      </c>
      <c r="E507" s="140" t="s">
        <v>55</v>
      </c>
      <c r="F507">
        <v>1.6329880000000001</v>
      </c>
      <c r="G507" s="140" t="s">
        <v>224</v>
      </c>
      <c r="H507">
        <v>0</v>
      </c>
      <c r="I507" s="140" t="s">
        <v>14</v>
      </c>
    </row>
    <row r="508" spans="1:9" hidden="1" x14ac:dyDescent="0.25">
      <c r="A508">
        <v>2024</v>
      </c>
      <c r="B508" s="140" t="s">
        <v>86</v>
      </c>
      <c r="C508" s="140" t="s">
        <v>82</v>
      </c>
      <c r="D508" s="140" t="s">
        <v>11</v>
      </c>
      <c r="E508" s="140" t="s">
        <v>55</v>
      </c>
      <c r="F508">
        <v>1.5044459999999999</v>
      </c>
      <c r="G508" s="140" t="s">
        <v>224</v>
      </c>
      <c r="H508">
        <v>0</v>
      </c>
      <c r="I508" s="140" t="s">
        <v>14</v>
      </c>
    </row>
    <row r="509" spans="1:9" hidden="1" x14ac:dyDescent="0.25">
      <c r="A509">
        <v>2025</v>
      </c>
      <c r="B509" s="140" t="s">
        <v>86</v>
      </c>
      <c r="C509" s="140" t="s">
        <v>82</v>
      </c>
      <c r="D509" s="140" t="s">
        <v>11</v>
      </c>
      <c r="E509" s="140" t="s">
        <v>55</v>
      </c>
      <c r="F509">
        <v>0.80451799999999996</v>
      </c>
      <c r="G509" s="140" t="s">
        <v>224</v>
      </c>
      <c r="H509">
        <v>0</v>
      </c>
      <c r="I509" s="140" t="s">
        <v>14</v>
      </c>
    </row>
    <row r="510" spans="1:9" hidden="1" x14ac:dyDescent="0.25">
      <c r="A510">
        <v>2026</v>
      </c>
      <c r="B510" s="140" t="s">
        <v>86</v>
      </c>
      <c r="C510" s="140" t="s">
        <v>82</v>
      </c>
      <c r="D510" s="140" t="s">
        <v>11</v>
      </c>
      <c r="E510" s="140" t="s">
        <v>55</v>
      </c>
      <c r="F510">
        <v>0.7</v>
      </c>
      <c r="G510" s="140" t="s">
        <v>224</v>
      </c>
      <c r="H510">
        <v>0</v>
      </c>
      <c r="I510" s="140" t="s">
        <v>14</v>
      </c>
    </row>
    <row r="511" spans="1:9" hidden="1" x14ac:dyDescent="0.25">
      <c r="A511">
        <v>2027</v>
      </c>
      <c r="B511" s="140" t="s">
        <v>86</v>
      </c>
      <c r="C511" s="140" t="s">
        <v>82</v>
      </c>
      <c r="D511" s="140" t="s">
        <v>11</v>
      </c>
      <c r="E511" s="140" t="s">
        <v>55</v>
      </c>
      <c r="F511">
        <v>1.5</v>
      </c>
      <c r="G511" s="140" t="s">
        <v>224</v>
      </c>
      <c r="H511">
        <v>0</v>
      </c>
      <c r="I511" s="140" t="s">
        <v>14</v>
      </c>
    </row>
    <row r="512" spans="1:9" hidden="1" x14ac:dyDescent="0.25">
      <c r="A512">
        <v>2028</v>
      </c>
      <c r="B512" s="140" t="s">
        <v>86</v>
      </c>
      <c r="C512" s="140" t="s">
        <v>82</v>
      </c>
      <c r="D512" s="140" t="s">
        <v>11</v>
      </c>
      <c r="E512" s="140" t="s">
        <v>55</v>
      </c>
      <c r="F512">
        <v>1.4</v>
      </c>
      <c r="G512" s="140" t="s">
        <v>224</v>
      </c>
      <c r="H512">
        <v>0</v>
      </c>
      <c r="I512" s="140" t="s">
        <v>14</v>
      </c>
    </row>
    <row r="513" spans="1:9" hidden="1" x14ac:dyDescent="0.25">
      <c r="A513">
        <v>2009</v>
      </c>
      <c r="B513" s="140" t="s">
        <v>90</v>
      </c>
      <c r="C513" s="140" t="s">
        <v>82</v>
      </c>
      <c r="D513" s="140" t="s">
        <v>11</v>
      </c>
      <c r="E513" s="140" t="s">
        <v>55</v>
      </c>
      <c r="F513">
        <v>-4.5874079999999999</v>
      </c>
      <c r="G513" s="140" t="s">
        <v>225</v>
      </c>
      <c r="H513">
        <v>0</v>
      </c>
      <c r="I513" s="140" t="s">
        <v>14</v>
      </c>
    </row>
    <row r="514" spans="1:9" hidden="1" x14ac:dyDescent="0.25">
      <c r="A514">
        <v>2010</v>
      </c>
      <c r="B514" s="140" t="s">
        <v>90</v>
      </c>
      <c r="C514" s="140" t="s">
        <v>82</v>
      </c>
      <c r="D514" s="140" t="s">
        <v>11</v>
      </c>
      <c r="E514" s="140" t="s">
        <v>55</v>
      </c>
      <c r="F514">
        <v>2.260545</v>
      </c>
      <c r="G514" s="140" t="s">
        <v>225</v>
      </c>
      <c r="H514">
        <v>0</v>
      </c>
      <c r="I514" s="140" t="s">
        <v>14</v>
      </c>
    </row>
    <row r="515" spans="1:9" hidden="1" x14ac:dyDescent="0.25">
      <c r="A515">
        <v>2011</v>
      </c>
      <c r="B515" s="140" t="s">
        <v>90</v>
      </c>
      <c r="C515" s="140" t="s">
        <v>82</v>
      </c>
      <c r="D515" s="140" t="s">
        <v>11</v>
      </c>
      <c r="E515" s="140" t="s">
        <v>55</v>
      </c>
      <c r="F515">
        <v>0.85143800000000003</v>
      </c>
      <c r="G515" s="140" t="s">
        <v>225</v>
      </c>
      <c r="H515">
        <v>0</v>
      </c>
      <c r="I515" s="140" t="s">
        <v>14</v>
      </c>
    </row>
    <row r="516" spans="1:9" hidden="1" x14ac:dyDescent="0.25">
      <c r="A516">
        <v>2012</v>
      </c>
      <c r="B516" s="140" t="s">
        <v>90</v>
      </c>
      <c r="C516" s="140" t="s">
        <v>82</v>
      </c>
      <c r="D516" s="140" t="s">
        <v>11</v>
      </c>
      <c r="E516" s="140" t="s">
        <v>55</v>
      </c>
      <c r="F516">
        <v>1.52826</v>
      </c>
      <c r="G516" s="140" t="s">
        <v>225</v>
      </c>
      <c r="H516">
        <v>0</v>
      </c>
      <c r="I516" s="140" t="s">
        <v>14</v>
      </c>
    </row>
    <row r="517" spans="1:9" hidden="1" x14ac:dyDescent="0.25">
      <c r="A517">
        <v>2013</v>
      </c>
      <c r="B517" s="140" t="s">
        <v>90</v>
      </c>
      <c r="C517" s="140" t="s">
        <v>82</v>
      </c>
      <c r="D517" s="140" t="s">
        <v>11</v>
      </c>
      <c r="E517" s="140" t="s">
        <v>55</v>
      </c>
      <c r="F517">
        <v>1.7184699999999999</v>
      </c>
      <c r="G517" s="140" t="s">
        <v>225</v>
      </c>
      <c r="H517">
        <v>0</v>
      </c>
      <c r="I517" s="140" t="s">
        <v>14</v>
      </c>
    </row>
    <row r="518" spans="1:9" hidden="1" x14ac:dyDescent="0.25">
      <c r="A518">
        <v>2014</v>
      </c>
      <c r="B518" s="140" t="s">
        <v>90</v>
      </c>
      <c r="C518" s="140" t="s">
        <v>82</v>
      </c>
      <c r="D518" s="140" t="s">
        <v>11</v>
      </c>
      <c r="E518" s="140" t="s">
        <v>55</v>
      </c>
      <c r="F518">
        <v>3.1601729999999999</v>
      </c>
      <c r="G518" s="140" t="s">
        <v>225</v>
      </c>
      <c r="H518">
        <v>0</v>
      </c>
      <c r="I518" s="140" t="s">
        <v>14</v>
      </c>
    </row>
    <row r="519" spans="1:9" hidden="1" x14ac:dyDescent="0.25">
      <c r="A519">
        <v>2015</v>
      </c>
      <c r="B519" s="140" t="s">
        <v>90</v>
      </c>
      <c r="C519" s="140" t="s">
        <v>82</v>
      </c>
      <c r="D519" s="140" t="s">
        <v>11</v>
      </c>
      <c r="E519" s="140" t="s">
        <v>55</v>
      </c>
      <c r="F519">
        <v>2.140406</v>
      </c>
      <c r="G519" s="140" t="s">
        <v>225</v>
      </c>
      <c r="H519">
        <v>0</v>
      </c>
      <c r="I519" s="140" t="s">
        <v>14</v>
      </c>
    </row>
    <row r="520" spans="1:9" hidden="1" x14ac:dyDescent="0.25">
      <c r="A520">
        <v>2016</v>
      </c>
      <c r="B520" s="140" t="s">
        <v>90</v>
      </c>
      <c r="C520" s="140" t="s">
        <v>82</v>
      </c>
      <c r="D520" s="140" t="s">
        <v>11</v>
      </c>
      <c r="E520" s="140" t="s">
        <v>55</v>
      </c>
      <c r="F520">
        <v>2.2065199999999998</v>
      </c>
      <c r="G520" s="140" t="s">
        <v>225</v>
      </c>
      <c r="H520">
        <v>0</v>
      </c>
      <c r="I520" s="140" t="s">
        <v>14</v>
      </c>
    </row>
    <row r="521" spans="1:9" hidden="1" x14ac:dyDescent="0.25">
      <c r="A521">
        <v>2017</v>
      </c>
      <c r="B521" s="140" t="s">
        <v>90</v>
      </c>
      <c r="C521" s="140" t="s">
        <v>82</v>
      </c>
      <c r="D521" s="140" t="s">
        <v>11</v>
      </c>
      <c r="E521" s="140" t="s">
        <v>55</v>
      </c>
      <c r="F521">
        <v>3.0232220000000001</v>
      </c>
      <c r="G521" s="140" t="s">
        <v>225</v>
      </c>
      <c r="H521">
        <v>0</v>
      </c>
      <c r="I521" s="140" t="s">
        <v>14</v>
      </c>
    </row>
    <row r="522" spans="1:9" hidden="1" x14ac:dyDescent="0.25">
      <c r="A522">
        <v>2018</v>
      </c>
      <c r="B522" s="140" t="s">
        <v>90</v>
      </c>
      <c r="C522" s="140" t="s">
        <v>82</v>
      </c>
      <c r="D522" s="140" t="s">
        <v>11</v>
      </c>
      <c r="E522" s="140" t="s">
        <v>55</v>
      </c>
      <c r="F522">
        <v>1.551331</v>
      </c>
      <c r="G522" s="140" t="s">
        <v>225</v>
      </c>
      <c r="H522">
        <v>0</v>
      </c>
      <c r="I522" s="140" t="s">
        <v>14</v>
      </c>
    </row>
    <row r="523" spans="1:9" hidden="1" x14ac:dyDescent="0.25">
      <c r="A523">
        <v>2019</v>
      </c>
      <c r="B523" s="140" t="s">
        <v>90</v>
      </c>
      <c r="C523" s="140" t="s">
        <v>82</v>
      </c>
      <c r="D523" s="140" t="s">
        <v>11</v>
      </c>
      <c r="E523" s="140" t="s">
        <v>55</v>
      </c>
      <c r="F523">
        <v>1.2562990000000001</v>
      </c>
      <c r="G523" s="140" t="s">
        <v>225</v>
      </c>
      <c r="H523">
        <v>0</v>
      </c>
      <c r="I523" s="140" t="s">
        <v>14</v>
      </c>
    </row>
    <row r="524" spans="1:9" hidden="1" x14ac:dyDescent="0.25">
      <c r="A524">
        <v>2020</v>
      </c>
      <c r="B524" s="140" t="s">
        <v>90</v>
      </c>
      <c r="C524" s="140" t="s">
        <v>82</v>
      </c>
      <c r="D524" s="140" t="s">
        <v>11</v>
      </c>
      <c r="E524" s="140" t="s">
        <v>55</v>
      </c>
      <c r="F524">
        <v>-10.047897000000001</v>
      </c>
      <c r="G524" s="140" t="s">
        <v>225</v>
      </c>
      <c r="H524">
        <v>0</v>
      </c>
      <c r="I524" s="140" t="s">
        <v>14</v>
      </c>
    </row>
    <row r="525" spans="1:9" hidden="1" x14ac:dyDescent="0.25">
      <c r="A525">
        <v>2021</v>
      </c>
      <c r="B525" s="140" t="s">
        <v>90</v>
      </c>
      <c r="C525" s="140" t="s">
        <v>82</v>
      </c>
      <c r="D525" s="140" t="s">
        <v>11</v>
      </c>
      <c r="E525" s="140" t="s">
        <v>55</v>
      </c>
      <c r="F525">
        <v>8.5431120000000007</v>
      </c>
      <c r="G525" s="140" t="s">
        <v>225</v>
      </c>
      <c r="H525">
        <v>0</v>
      </c>
      <c r="I525" s="140" t="s">
        <v>14</v>
      </c>
    </row>
    <row r="526" spans="1:9" hidden="1" x14ac:dyDescent="0.25">
      <c r="A526">
        <v>2022</v>
      </c>
      <c r="B526" s="140" t="s">
        <v>90</v>
      </c>
      <c r="C526" s="140" t="s">
        <v>82</v>
      </c>
      <c r="D526" s="140" t="s">
        <v>11</v>
      </c>
      <c r="E526" s="140" t="s">
        <v>55</v>
      </c>
      <c r="F526">
        <v>5.1497039999999998</v>
      </c>
      <c r="G526" s="140" t="s">
        <v>225</v>
      </c>
      <c r="H526">
        <v>0</v>
      </c>
      <c r="I526" s="140" t="s">
        <v>14</v>
      </c>
    </row>
    <row r="527" spans="1:9" hidden="1" x14ac:dyDescent="0.25">
      <c r="A527">
        <v>2023</v>
      </c>
      <c r="B527" s="140" t="s">
        <v>90</v>
      </c>
      <c r="C527" s="140" t="s">
        <v>82</v>
      </c>
      <c r="D527" s="140" t="s">
        <v>11</v>
      </c>
      <c r="E527" s="140" t="s">
        <v>55</v>
      </c>
      <c r="F527">
        <v>0.27165</v>
      </c>
      <c r="G527" s="140" t="s">
        <v>225</v>
      </c>
      <c r="H527">
        <v>0</v>
      </c>
      <c r="I527" s="140" t="s">
        <v>14</v>
      </c>
    </row>
    <row r="528" spans="1:9" hidden="1" x14ac:dyDescent="0.25">
      <c r="A528">
        <v>2024</v>
      </c>
      <c r="B528" s="140" t="s">
        <v>90</v>
      </c>
      <c r="C528" s="140" t="s">
        <v>82</v>
      </c>
      <c r="D528" s="140" t="s">
        <v>11</v>
      </c>
      <c r="E528" s="140" t="s">
        <v>55</v>
      </c>
      <c r="F528">
        <v>1.042416</v>
      </c>
      <c r="G528" s="140" t="s">
        <v>225</v>
      </c>
      <c r="H528">
        <v>0</v>
      </c>
      <c r="I528" s="140" t="s">
        <v>14</v>
      </c>
    </row>
    <row r="529" spans="1:9" hidden="1" x14ac:dyDescent="0.25">
      <c r="A529">
        <v>2025</v>
      </c>
      <c r="B529" s="140" t="s">
        <v>90</v>
      </c>
      <c r="C529" s="140" t="s">
        <v>82</v>
      </c>
      <c r="D529" s="140" t="s">
        <v>11</v>
      </c>
      <c r="E529" s="140" t="s">
        <v>55</v>
      </c>
      <c r="F529">
        <v>1.31474</v>
      </c>
      <c r="G529" s="140" t="s">
        <v>225</v>
      </c>
      <c r="H529">
        <v>0</v>
      </c>
      <c r="I529" s="140" t="s">
        <v>14</v>
      </c>
    </row>
    <row r="530" spans="1:9" hidden="1" x14ac:dyDescent="0.25">
      <c r="A530">
        <v>2026</v>
      </c>
      <c r="B530" s="140" t="s">
        <v>90</v>
      </c>
      <c r="C530" s="140" t="s">
        <v>82</v>
      </c>
      <c r="D530" s="140" t="s">
        <v>11</v>
      </c>
      <c r="E530" s="140" t="s">
        <v>55</v>
      </c>
      <c r="F530">
        <v>0.6</v>
      </c>
      <c r="G530" s="140" t="s">
        <v>225</v>
      </c>
      <c r="H530">
        <v>0</v>
      </c>
      <c r="I530" s="140" t="s">
        <v>14</v>
      </c>
    </row>
    <row r="531" spans="1:9" hidden="1" x14ac:dyDescent="0.25">
      <c r="A531">
        <v>2027</v>
      </c>
      <c r="B531" s="140" t="s">
        <v>90</v>
      </c>
      <c r="C531" s="140" t="s">
        <v>82</v>
      </c>
      <c r="D531" s="140" t="s">
        <v>11</v>
      </c>
      <c r="E531" s="140" t="s">
        <v>55</v>
      </c>
      <c r="F531">
        <v>1.6</v>
      </c>
      <c r="G531" s="140" t="s">
        <v>225</v>
      </c>
      <c r="H531">
        <v>0</v>
      </c>
      <c r="I531" s="140" t="s">
        <v>14</v>
      </c>
    </row>
    <row r="532" spans="1:9" hidden="1" x14ac:dyDescent="0.25">
      <c r="A532">
        <v>2028</v>
      </c>
      <c r="B532" s="140" t="s">
        <v>90</v>
      </c>
      <c r="C532" s="140" t="s">
        <v>82</v>
      </c>
      <c r="D532" s="140" t="s">
        <v>11</v>
      </c>
      <c r="E532" s="140" t="s">
        <v>55</v>
      </c>
      <c r="F532">
        <v>1.5</v>
      </c>
      <c r="G532" s="140" t="s">
        <v>225</v>
      </c>
      <c r="H532">
        <v>0</v>
      </c>
      <c r="I532" s="140" t="s">
        <v>14</v>
      </c>
    </row>
    <row r="533" spans="1:9" hidden="1" x14ac:dyDescent="0.25">
      <c r="A533">
        <v>2009</v>
      </c>
      <c r="B533" s="140" t="s">
        <v>85</v>
      </c>
      <c r="C533" s="140" t="s">
        <v>82</v>
      </c>
      <c r="D533" s="140" t="s">
        <v>11</v>
      </c>
      <c r="E533" s="140" t="s">
        <v>55</v>
      </c>
      <c r="F533">
        <v>0</v>
      </c>
      <c r="G533" s="140" t="s">
        <v>226</v>
      </c>
      <c r="H533">
        <v>0</v>
      </c>
      <c r="I533" s="140" t="s">
        <v>14</v>
      </c>
    </row>
    <row r="534" spans="1:9" hidden="1" x14ac:dyDescent="0.25">
      <c r="A534">
        <v>2010</v>
      </c>
      <c r="B534" s="140" t="s">
        <v>85</v>
      </c>
      <c r="C534" s="140" t="s">
        <v>82</v>
      </c>
      <c r="D534" s="140" t="s">
        <v>11</v>
      </c>
      <c r="E534" s="140" t="s">
        <v>55</v>
      </c>
      <c r="F534">
        <v>0</v>
      </c>
      <c r="G534" s="140" t="s">
        <v>226</v>
      </c>
      <c r="H534">
        <v>0</v>
      </c>
      <c r="I534" s="140" t="s">
        <v>14</v>
      </c>
    </row>
    <row r="535" spans="1:9" hidden="1" x14ac:dyDescent="0.25">
      <c r="A535">
        <v>2011</v>
      </c>
      <c r="B535" s="140" t="s">
        <v>85</v>
      </c>
      <c r="C535" s="140" t="s">
        <v>82</v>
      </c>
      <c r="D535" s="140" t="s">
        <v>11</v>
      </c>
      <c r="E535" s="140" t="s">
        <v>55</v>
      </c>
      <c r="F535">
        <v>0</v>
      </c>
      <c r="G535" s="140" t="s">
        <v>226</v>
      </c>
      <c r="H535">
        <v>0</v>
      </c>
      <c r="I535" s="140" t="s">
        <v>14</v>
      </c>
    </row>
    <row r="536" spans="1:9" hidden="1" x14ac:dyDescent="0.25">
      <c r="A536">
        <v>2012</v>
      </c>
      <c r="B536" s="140" t="s">
        <v>85</v>
      </c>
      <c r="C536" s="140" t="s">
        <v>82</v>
      </c>
      <c r="D536" s="140" t="s">
        <v>11</v>
      </c>
      <c r="E536" s="140" t="s">
        <v>55</v>
      </c>
      <c r="F536">
        <v>0</v>
      </c>
      <c r="G536" s="140" t="s">
        <v>226</v>
      </c>
      <c r="H536">
        <v>0</v>
      </c>
      <c r="I536" s="140" t="s">
        <v>14</v>
      </c>
    </row>
    <row r="537" spans="1:9" hidden="1" x14ac:dyDescent="0.25">
      <c r="A537">
        <v>2013</v>
      </c>
      <c r="B537" s="140" t="s">
        <v>85</v>
      </c>
      <c r="C537" s="140" t="s">
        <v>82</v>
      </c>
      <c r="D537" s="140" t="s">
        <v>11</v>
      </c>
      <c r="E537" s="140" t="s">
        <v>55</v>
      </c>
      <c r="F537">
        <v>0</v>
      </c>
      <c r="G537" s="140" t="s">
        <v>226</v>
      </c>
      <c r="H537">
        <v>0</v>
      </c>
      <c r="I537" s="140" t="s">
        <v>14</v>
      </c>
    </row>
    <row r="538" spans="1:9" hidden="1" x14ac:dyDescent="0.25">
      <c r="A538">
        <v>2014</v>
      </c>
      <c r="B538" s="140" t="s">
        <v>85</v>
      </c>
      <c r="C538" s="140" t="s">
        <v>82</v>
      </c>
      <c r="D538" s="140" t="s">
        <v>11</v>
      </c>
      <c r="E538" s="140" t="s">
        <v>55</v>
      </c>
      <c r="F538">
        <v>0</v>
      </c>
      <c r="G538" s="140" t="s">
        <v>226</v>
      </c>
      <c r="H538">
        <v>0</v>
      </c>
      <c r="I538" s="140" t="s">
        <v>14</v>
      </c>
    </row>
    <row r="539" spans="1:9" hidden="1" x14ac:dyDescent="0.25">
      <c r="A539">
        <v>2015</v>
      </c>
      <c r="B539" s="140" t="s">
        <v>85</v>
      </c>
      <c r="C539" s="140" t="s">
        <v>82</v>
      </c>
      <c r="D539" s="140" t="s">
        <v>11</v>
      </c>
      <c r="E539" s="140" t="s">
        <v>55</v>
      </c>
      <c r="F539">
        <v>1.6</v>
      </c>
      <c r="G539" s="140" t="s">
        <v>226</v>
      </c>
      <c r="H539">
        <v>0</v>
      </c>
      <c r="I539" s="140" t="s">
        <v>14</v>
      </c>
    </row>
    <row r="540" spans="1:9" hidden="1" x14ac:dyDescent="0.25">
      <c r="A540">
        <v>2016</v>
      </c>
      <c r="B540" s="140" t="s">
        <v>85</v>
      </c>
      <c r="C540" s="140" t="s">
        <v>82</v>
      </c>
      <c r="D540" s="140" t="s">
        <v>11</v>
      </c>
      <c r="E540" s="140" t="s">
        <v>55</v>
      </c>
      <c r="F540">
        <v>1.7</v>
      </c>
      <c r="G540" s="140" t="s">
        <v>226</v>
      </c>
      <c r="H540">
        <v>0</v>
      </c>
      <c r="I540" s="140" t="s">
        <v>14</v>
      </c>
    </row>
    <row r="541" spans="1:9" hidden="1" x14ac:dyDescent="0.25">
      <c r="A541">
        <v>2017</v>
      </c>
      <c r="B541" s="140" t="s">
        <v>85</v>
      </c>
      <c r="C541" s="140" t="s">
        <v>82</v>
      </c>
      <c r="D541" s="140" t="s">
        <v>11</v>
      </c>
      <c r="E541" s="140" t="s">
        <v>55</v>
      </c>
      <c r="F541">
        <v>2.8</v>
      </c>
      <c r="G541" s="140" t="s">
        <v>226</v>
      </c>
      <c r="H541">
        <v>0</v>
      </c>
      <c r="I541" s="140" t="s">
        <v>14</v>
      </c>
    </row>
    <row r="542" spans="1:9" hidden="1" x14ac:dyDescent="0.25">
      <c r="A542">
        <v>2018</v>
      </c>
      <c r="B542" s="140" t="s">
        <v>85</v>
      </c>
      <c r="C542" s="140" t="s">
        <v>82</v>
      </c>
      <c r="D542" s="140" t="s">
        <v>11</v>
      </c>
      <c r="E542" s="140" t="s">
        <v>55</v>
      </c>
      <c r="F542">
        <v>2.1</v>
      </c>
      <c r="G542" s="140" t="s">
        <v>226</v>
      </c>
      <c r="H542">
        <v>0</v>
      </c>
      <c r="I542" s="140" t="s">
        <v>14</v>
      </c>
    </row>
    <row r="543" spans="1:9" hidden="1" x14ac:dyDescent="0.25">
      <c r="A543">
        <v>2019</v>
      </c>
      <c r="B543" s="140" t="s">
        <v>85</v>
      </c>
      <c r="C543" s="140" t="s">
        <v>82</v>
      </c>
      <c r="D543" s="140" t="s">
        <v>11</v>
      </c>
      <c r="E543" s="140" t="s">
        <v>55</v>
      </c>
      <c r="F543">
        <v>1.9</v>
      </c>
      <c r="G543" s="140" t="s">
        <v>226</v>
      </c>
      <c r="H543">
        <v>0</v>
      </c>
      <c r="I543" s="140" t="s">
        <v>14</v>
      </c>
    </row>
    <row r="544" spans="1:9" hidden="1" x14ac:dyDescent="0.25">
      <c r="A544">
        <v>2020</v>
      </c>
      <c r="B544" s="140" t="s">
        <v>85</v>
      </c>
      <c r="C544" s="140" t="s">
        <v>82</v>
      </c>
      <c r="D544" s="140" t="s">
        <v>11</v>
      </c>
      <c r="E544" s="140" t="s">
        <v>55</v>
      </c>
      <c r="F544">
        <v>-7</v>
      </c>
      <c r="G544" s="140" t="s">
        <v>226</v>
      </c>
      <c r="H544">
        <v>0</v>
      </c>
      <c r="I544" s="140" t="s">
        <v>14</v>
      </c>
    </row>
    <row r="545" spans="1:9" hidden="1" x14ac:dyDescent="0.25">
      <c r="A545">
        <v>2021</v>
      </c>
      <c r="B545" s="140" t="s">
        <v>85</v>
      </c>
      <c r="C545" s="140" t="s">
        <v>82</v>
      </c>
      <c r="D545" s="140" t="s">
        <v>11</v>
      </c>
      <c r="E545" s="140" t="s">
        <v>55</v>
      </c>
      <c r="F545">
        <v>6.2</v>
      </c>
      <c r="G545" s="140" t="s">
        <v>226</v>
      </c>
      <c r="H545">
        <v>0</v>
      </c>
      <c r="I545" s="140" t="s">
        <v>14</v>
      </c>
    </row>
    <row r="546" spans="1:9" hidden="1" x14ac:dyDescent="0.25">
      <c r="A546">
        <v>2022</v>
      </c>
      <c r="B546" s="140" t="s">
        <v>85</v>
      </c>
      <c r="C546" s="140" t="s">
        <v>82</v>
      </c>
      <c r="D546" s="140" t="s">
        <v>11</v>
      </c>
      <c r="E546" s="140" t="s">
        <v>55</v>
      </c>
      <c r="F546">
        <v>3.3</v>
      </c>
      <c r="G546" s="140" t="s">
        <v>226</v>
      </c>
      <c r="H546">
        <v>0</v>
      </c>
      <c r="I546" s="140" t="s">
        <v>14</v>
      </c>
    </row>
    <row r="547" spans="1:9" hidden="1" x14ac:dyDescent="0.25">
      <c r="A547">
        <v>2023</v>
      </c>
      <c r="B547" s="140" t="s">
        <v>85</v>
      </c>
      <c r="C547" s="140" t="s">
        <v>82</v>
      </c>
      <c r="D547" s="140" t="s">
        <v>11</v>
      </c>
      <c r="E547" s="140" t="s">
        <v>55</v>
      </c>
      <c r="F547">
        <v>0.7</v>
      </c>
      <c r="G547" s="140" t="s">
        <v>226</v>
      </c>
      <c r="H547">
        <v>0</v>
      </c>
      <c r="I547" s="140" t="s">
        <v>14</v>
      </c>
    </row>
    <row r="548" spans="1:9" hidden="1" x14ac:dyDescent="0.25">
      <c r="A548">
        <v>2024</v>
      </c>
      <c r="B548" s="140" t="s">
        <v>85</v>
      </c>
      <c r="C548" s="140" t="s">
        <v>82</v>
      </c>
      <c r="D548" s="140" t="s">
        <v>11</v>
      </c>
      <c r="E548" s="140" t="s">
        <v>55</v>
      </c>
      <c r="F548">
        <v>1.1000000000000001</v>
      </c>
      <c r="G548" s="140" t="s">
        <v>226</v>
      </c>
      <c r="H548">
        <v>0</v>
      </c>
      <c r="I548" s="140" t="s">
        <v>14</v>
      </c>
    </row>
    <row r="549" spans="1:9" hidden="1" x14ac:dyDescent="0.25">
      <c r="A549">
        <v>2025</v>
      </c>
      <c r="B549" s="140" t="s">
        <v>85</v>
      </c>
      <c r="C549" s="140" t="s">
        <v>82</v>
      </c>
      <c r="D549" s="140" t="s">
        <v>11</v>
      </c>
      <c r="E549" s="140" t="s">
        <v>55</v>
      </c>
      <c r="F549">
        <v>1.4</v>
      </c>
      <c r="G549" s="140" t="s">
        <v>226</v>
      </c>
      <c r="H549">
        <v>0</v>
      </c>
      <c r="I549" s="140" t="s">
        <v>14</v>
      </c>
    </row>
    <row r="550" spans="1:9" hidden="1" x14ac:dyDescent="0.25">
      <c r="A550">
        <v>2026</v>
      </c>
      <c r="B550" s="140" t="s">
        <v>85</v>
      </c>
      <c r="C550" s="140" t="s">
        <v>82</v>
      </c>
      <c r="D550" s="140" t="s">
        <v>11</v>
      </c>
      <c r="E550" s="140" t="s">
        <v>55</v>
      </c>
      <c r="F550">
        <v>1.1000000000000001</v>
      </c>
      <c r="G550" s="140" t="s">
        <v>226</v>
      </c>
      <c r="H550">
        <v>0</v>
      </c>
      <c r="I550" s="140" t="s">
        <v>14</v>
      </c>
    </row>
    <row r="551" spans="1:9" hidden="1" x14ac:dyDescent="0.25">
      <c r="A551">
        <v>2027</v>
      </c>
      <c r="B551" s="140" t="s">
        <v>85</v>
      </c>
      <c r="C551" s="140" t="s">
        <v>82</v>
      </c>
      <c r="D551" s="140" t="s">
        <v>11</v>
      </c>
      <c r="E551" s="140" t="s">
        <v>55</v>
      </c>
      <c r="F551">
        <v>1.4</v>
      </c>
      <c r="G551" s="140" t="s">
        <v>226</v>
      </c>
      <c r="H551">
        <v>0</v>
      </c>
      <c r="I551" s="140" t="s">
        <v>14</v>
      </c>
    </row>
    <row r="552" spans="1:9" hidden="1" x14ac:dyDescent="0.25">
      <c r="A552">
        <v>2028</v>
      </c>
      <c r="B552" s="140" t="s">
        <v>85</v>
      </c>
      <c r="C552" s="140" t="s">
        <v>82</v>
      </c>
      <c r="D552" s="140" t="s">
        <v>11</v>
      </c>
      <c r="E552" s="140" t="s">
        <v>55</v>
      </c>
      <c r="F552">
        <v>1.4</v>
      </c>
      <c r="G552" s="140" t="s">
        <v>226</v>
      </c>
      <c r="H552">
        <v>0</v>
      </c>
      <c r="I552" s="140" t="s">
        <v>14</v>
      </c>
    </row>
    <row r="553" spans="1:9" hidden="1" x14ac:dyDescent="0.25">
      <c r="A553">
        <v>2009</v>
      </c>
      <c r="B553" s="140" t="s">
        <v>162</v>
      </c>
      <c r="C553" s="140" t="s">
        <v>82</v>
      </c>
      <c r="D553" s="140" t="s">
        <v>11</v>
      </c>
      <c r="E553" s="140" t="s">
        <v>55</v>
      </c>
      <c r="F553">
        <v>1.225157088</v>
      </c>
      <c r="G553" s="140" t="s">
        <v>163</v>
      </c>
      <c r="H553">
        <v>0</v>
      </c>
      <c r="I553" s="140" t="s">
        <v>14</v>
      </c>
    </row>
    <row r="554" spans="1:9" hidden="1" x14ac:dyDescent="0.25">
      <c r="A554">
        <v>2010</v>
      </c>
      <c r="B554" s="140" t="s">
        <v>162</v>
      </c>
      <c r="C554" s="140" t="s">
        <v>82</v>
      </c>
      <c r="D554" s="140" t="s">
        <v>11</v>
      </c>
      <c r="E554" s="140" t="s">
        <v>55</v>
      </c>
      <c r="F554">
        <v>0.81253256699999998</v>
      </c>
      <c r="G554" s="140" t="s">
        <v>163</v>
      </c>
      <c r="H554">
        <v>0</v>
      </c>
      <c r="I554" s="140" t="s">
        <v>14</v>
      </c>
    </row>
    <row r="555" spans="1:9" hidden="1" x14ac:dyDescent="0.25">
      <c r="A555">
        <v>2011</v>
      </c>
      <c r="B555" s="140" t="s">
        <v>162</v>
      </c>
      <c r="C555" s="140" t="s">
        <v>82</v>
      </c>
      <c r="D555" s="140" t="s">
        <v>11</v>
      </c>
      <c r="E555" s="140" t="s">
        <v>55</v>
      </c>
      <c r="F555">
        <v>1.3931076920000001</v>
      </c>
      <c r="G555" s="140" t="s">
        <v>163</v>
      </c>
      <c r="H555">
        <v>0</v>
      </c>
      <c r="I555" s="140" t="s">
        <v>14</v>
      </c>
    </row>
    <row r="556" spans="1:9" hidden="1" x14ac:dyDescent="0.25">
      <c r="A556">
        <v>2012</v>
      </c>
      <c r="B556" s="140" t="s">
        <v>162</v>
      </c>
      <c r="C556" s="140" t="s">
        <v>82</v>
      </c>
      <c r="D556" s="140" t="s">
        <v>11</v>
      </c>
      <c r="E556" s="140" t="s">
        <v>55</v>
      </c>
      <c r="F556">
        <v>0.57273180099999998</v>
      </c>
      <c r="G556" s="140" t="s">
        <v>163</v>
      </c>
      <c r="H556">
        <v>0</v>
      </c>
      <c r="I556" s="140" t="s">
        <v>14</v>
      </c>
    </row>
    <row r="557" spans="1:9" hidden="1" x14ac:dyDescent="0.25">
      <c r="A557">
        <v>2013</v>
      </c>
      <c r="B557" s="140" t="s">
        <v>162</v>
      </c>
      <c r="C557" s="140" t="s">
        <v>82</v>
      </c>
      <c r="D557" s="140" t="s">
        <v>11</v>
      </c>
      <c r="E557" s="140" t="s">
        <v>55</v>
      </c>
      <c r="F557">
        <v>0.22078160899999999</v>
      </c>
      <c r="G557" s="140" t="s">
        <v>163</v>
      </c>
      <c r="H557">
        <v>0</v>
      </c>
      <c r="I557" s="140" t="s">
        <v>14</v>
      </c>
    </row>
    <row r="558" spans="1:9" hidden="1" x14ac:dyDescent="0.25">
      <c r="A558">
        <v>2014</v>
      </c>
      <c r="B558" s="140" t="s">
        <v>162</v>
      </c>
      <c r="C558" s="140" t="s">
        <v>82</v>
      </c>
      <c r="D558" s="140" t="s">
        <v>11</v>
      </c>
      <c r="E558" s="140" t="s">
        <v>55</v>
      </c>
      <c r="F558">
        <v>0.209249042</v>
      </c>
      <c r="G558" s="140" t="s">
        <v>163</v>
      </c>
      <c r="H558">
        <v>0</v>
      </c>
      <c r="I558" s="140" t="s">
        <v>14</v>
      </c>
    </row>
    <row r="559" spans="1:9" hidden="1" x14ac:dyDescent="0.25">
      <c r="A559">
        <v>2015</v>
      </c>
      <c r="B559" s="140" t="s">
        <v>162</v>
      </c>
      <c r="C559" s="140" t="s">
        <v>82</v>
      </c>
      <c r="D559" s="140" t="s">
        <v>11</v>
      </c>
      <c r="E559" s="140" t="s">
        <v>55</v>
      </c>
      <c r="F559">
        <v>-1.9885057000000001E-2</v>
      </c>
      <c r="G559" s="140" t="s">
        <v>163</v>
      </c>
      <c r="H559">
        <v>0</v>
      </c>
      <c r="I559" s="140" t="s">
        <v>14</v>
      </c>
    </row>
    <row r="560" spans="1:9" hidden="1" x14ac:dyDescent="0.25">
      <c r="A560">
        <v>2016</v>
      </c>
      <c r="B560" s="140" t="s">
        <v>162</v>
      </c>
      <c r="C560" s="140" t="s">
        <v>82</v>
      </c>
      <c r="D560" s="140" t="s">
        <v>11</v>
      </c>
      <c r="E560" s="140" t="s">
        <v>55</v>
      </c>
      <c r="F560">
        <v>-0.26387258699999999</v>
      </c>
      <c r="G560" s="140" t="s">
        <v>163</v>
      </c>
      <c r="H560">
        <v>0</v>
      </c>
      <c r="I560" s="140" t="s">
        <v>14</v>
      </c>
    </row>
    <row r="561" spans="1:9" hidden="1" x14ac:dyDescent="0.25">
      <c r="A561">
        <v>2017</v>
      </c>
      <c r="B561" s="140" t="s">
        <v>162</v>
      </c>
      <c r="C561" s="140" t="s">
        <v>82</v>
      </c>
      <c r="D561" s="140" t="s">
        <v>11</v>
      </c>
      <c r="E561" s="140" t="s">
        <v>55</v>
      </c>
      <c r="F561">
        <v>-0.32904705899999998</v>
      </c>
      <c r="G561" s="140" t="s">
        <v>163</v>
      </c>
      <c r="H561">
        <v>0</v>
      </c>
      <c r="I561" s="140" t="s">
        <v>14</v>
      </c>
    </row>
    <row r="562" spans="1:9" hidden="1" x14ac:dyDescent="0.25">
      <c r="A562">
        <v>2018</v>
      </c>
      <c r="B562" s="140" t="s">
        <v>162</v>
      </c>
      <c r="C562" s="140" t="s">
        <v>82</v>
      </c>
      <c r="D562" s="140" t="s">
        <v>11</v>
      </c>
      <c r="E562" s="140" t="s">
        <v>55</v>
      </c>
      <c r="F562">
        <v>-0.32208627499999998</v>
      </c>
      <c r="G562" s="140" t="s">
        <v>163</v>
      </c>
      <c r="H562">
        <v>0</v>
      </c>
      <c r="I562" s="140" t="s">
        <v>14</v>
      </c>
    </row>
    <row r="563" spans="1:9" hidden="1" x14ac:dyDescent="0.25">
      <c r="A563">
        <v>2019</v>
      </c>
      <c r="B563" s="140" t="s">
        <v>162</v>
      </c>
      <c r="C563" s="140" t="s">
        <v>82</v>
      </c>
      <c r="D563" s="140" t="s">
        <v>11</v>
      </c>
      <c r="E563" s="140" t="s">
        <v>55</v>
      </c>
      <c r="F563">
        <v>-0.35699215699999998</v>
      </c>
      <c r="G563" s="140" t="s">
        <v>163</v>
      </c>
      <c r="H563">
        <v>0</v>
      </c>
      <c r="I563" s="140" t="s">
        <v>14</v>
      </c>
    </row>
    <row r="564" spans="1:9" hidden="1" x14ac:dyDescent="0.25">
      <c r="A564">
        <v>2020</v>
      </c>
      <c r="B564" s="140" t="s">
        <v>162</v>
      </c>
      <c r="C564" s="140" t="s">
        <v>82</v>
      </c>
      <c r="D564" s="140" t="s">
        <v>11</v>
      </c>
      <c r="E564" s="140" t="s">
        <v>55</v>
      </c>
      <c r="F564">
        <v>-0.42729961100000002</v>
      </c>
      <c r="G564" s="140" t="s">
        <v>163</v>
      </c>
      <c r="H564">
        <v>0</v>
      </c>
      <c r="I564" s="140" t="s">
        <v>14</v>
      </c>
    </row>
    <row r="565" spans="1:9" hidden="1" x14ac:dyDescent="0.25">
      <c r="A565">
        <v>2021</v>
      </c>
      <c r="B565" s="140" t="s">
        <v>162</v>
      </c>
      <c r="C565" s="140" t="s">
        <v>82</v>
      </c>
      <c r="D565" s="140" t="s">
        <v>11</v>
      </c>
      <c r="E565" s="140" t="s">
        <v>55</v>
      </c>
      <c r="F565">
        <v>-0.54901544400000002</v>
      </c>
      <c r="G565" s="140" t="s">
        <v>163</v>
      </c>
      <c r="H565">
        <v>0</v>
      </c>
      <c r="I565" s="140" t="s">
        <v>14</v>
      </c>
    </row>
    <row r="566" spans="1:9" hidden="1" x14ac:dyDescent="0.25">
      <c r="A566">
        <v>2022</v>
      </c>
      <c r="B566" s="140" t="s">
        <v>162</v>
      </c>
      <c r="C566" s="140" t="s">
        <v>82</v>
      </c>
      <c r="D566" s="140" t="s">
        <v>11</v>
      </c>
      <c r="E566" s="140" t="s">
        <v>55</v>
      </c>
      <c r="F566">
        <v>0.34828404699999999</v>
      </c>
      <c r="G566" s="140" t="s">
        <v>163</v>
      </c>
      <c r="H566">
        <v>0</v>
      </c>
      <c r="I566" s="140" t="s">
        <v>14</v>
      </c>
    </row>
    <row r="567" spans="1:9" hidden="1" x14ac:dyDescent="0.25">
      <c r="A567">
        <v>2023</v>
      </c>
      <c r="B567" s="140" t="s">
        <v>162</v>
      </c>
      <c r="C567" s="140" t="s">
        <v>82</v>
      </c>
      <c r="D567" s="140" t="s">
        <v>11</v>
      </c>
      <c r="E567" s="140" t="s">
        <v>55</v>
      </c>
      <c r="F567">
        <v>3.4333215689999999</v>
      </c>
      <c r="G567" s="140" t="s">
        <v>163</v>
      </c>
      <c r="H567">
        <v>0</v>
      </c>
      <c r="I567" s="140" t="s">
        <v>14</v>
      </c>
    </row>
    <row r="568" spans="1:9" hidden="1" x14ac:dyDescent="0.25">
      <c r="A568">
        <v>2024</v>
      </c>
      <c r="B568" s="140" t="s">
        <v>162</v>
      </c>
      <c r="C568" s="140" t="s">
        <v>82</v>
      </c>
      <c r="D568" s="140" t="s">
        <v>11</v>
      </c>
      <c r="E568" s="140" t="s">
        <v>55</v>
      </c>
      <c r="F568">
        <v>3.5771384620000002</v>
      </c>
      <c r="G568" s="140" t="s">
        <v>163</v>
      </c>
      <c r="H568">
        <v>0</v>
      </c>
      <c r="I568" s="140" t="s">
        <v>14</v>
      </c>
    </row>
    <row r="569" spans="1:9" hidden="1" x14ac:dyDescent="0.25">
      <c r="A569">
        <v>2025</v>
      </c>
      <c r="B569" s="140" t="s">
        <v>162</v>
      </c>
      <c r="C569" s="140" t="s">
        <v>82</v>
      </c>
      <c r="D569" s="140" t="s">
        <v>11</v>
      </c>
      <c r="E569" s="140" t="s">
        <v>55</v>
      </c>
      <c r="F569">
        <v>2.1769843139999998</v>
      </c>
      <c r="G569" s="140" t="s">
        <v>163</v>
      </c>
      <c r="H569">
        <v>0</v>
      </c>
      <c r="I569" s="140" t="s">
        <v>14</v>
      </c>
    </row>
    <row r="570" spans="1:9" hidden="1" x14ac:dyDescent="0.25">
      <c r="A570">
        <v>2026</v>
      </c>
      <c r="B570" s="140" t="s">
        <v>162</v>
      </c>
      <c r="C570" s="140" t="s">
        <v>82</v>
      </c>
      <c r="D570" s="140" t="s">
        <v>11</v>
      </c>
      <c r="E570" s="140" t="s">
        <v>55</v>
      </c>
      <c r="F570">
        <v>2.2999999999999998</v>
      </c>
      <c r="G570" s="140" t="s">
        <v>163</v>
      </c>
      <c r="H570">
        <v>0</v>
      </c>
      <c r="I570" s="140" t="s">
        <v>14</v>
      </c>
    </row>
    <row r="571" spans="1:9" hidden="1" x14ac:dyDescent="0.25">
      <c r="A571">
        <v>2027</v>
      </c>
      <c r="B571" s="140" t="s">
        <v>162</v>
      </c>
      <c r="C571" s="140" t="s">
        <v>82</v>
      </c>
      <c r="D571" s="140" t="s">
        <v>11</v>
      </c>
      <c r="E571" s="140" t="s">
        <v>55</v>
      </c>
      <c r="F571">
        <v>2.9</v>
      </c>
      <c r="G571" s="140" t="s">
        <v>163</v>
      </c>
      <c r="H571">
        <v>0</v>
      </c>
      <c r="I571" s="140" t="s">
        <v>14</v>
      </c>
    </row>
    <row r="572" spans="1:9" hidden="1" x14ac:dyDescent="0.25">
      <c r="A572">
        <v>2028</v>
      </c>
      <c r="B572" s="140" t="s">
        <v>162</v>
      </c>
      <c r="C572" s="140" t="s">
        <v>82</v>
      </c>
      <c r="D572" s="140" t="s">
        <v>11</v>
      </c>
      <c r="E572" s="140" t="s">
        <v>55</v>
      </c>
      <c r="F572">
        <v>2.8</v>
      </c>
      <c r="G572" s="140" t="s">
        <v>163</v>
      </c>
      <c r="H572">
        <v>0</v>
      </c>
      <c r="I572" s="140" t="s">
        <v>14</v>
      </c>
    </row>
    <row r="573" spans="1:9" hidden="1" x14ac:dyDescent="0.25">
      <c r="A573">
        <v>2029</v>
      </c>
      <c r="B573" s="140" t="s">
        <v>162</v>
      </c>
      <c r="C573" s="140" t="s">
        <v>82</v>
      </c>
      <c r="D573" s="140" t="s">
        <v>11</v>
      </c>
      <c r="E573" s="140" t="s">
        <v>55</v>
      </c>
      <c r="F573">
        <v>2.4</v>
      </c>
      <c r="G573" s="140" t="s">
        <v>163</v>
      </c>
      <c r="H573">
        <v>0</v>
      </c>
      <c r="I573" s="140" t="s">
        <v>14</v>
      </c>
    </row>
    <row r="574" spans="1:9" hidden="1" x14ac:dyDescent="0.25">
      <c r="A574">
        <v>2030</v>
      </c>
      <c r="B574" s="140" t="s">
        <v>162</v>
      </c>
      <c r="C574" s="140" t="s">
        <v>82</v>
      </c>
      <c r="D574" s="140" t="s">
        <v>11</v>
      </c>
      <c r="E574" s="140" t="s">
        <v>55</v>
      </c>
      <c r="F574">
        <v>2.1</v>
      </c>
      <c r="G574" s="140" t="s">
        <v>163</v>
      </c>
      <c r="H574">
        <v>0</v>
      </c>
      <c r="I574" s="140" t="s">
        <v>14</v>
      </c>
    </row>
    <row r="575" spans="1:9" hidden="1" x14ac:dyDescent="0.25">
      <c r="A575">
        <v>2009</v>
      </c>
      <c r="B575" s="140" t="s">
        <v>97</v>
      </c>
      <c r="C575" s="140" t="s">
        <v>82</v>
      </c>
      <c r="D575" s="140" t="s">
        <v>11</v>
      </c>
      <c r="E575" s="140" t="s">
        <v>12</v>
      </c>
      <c r="F575">
        <v>3.7365900380000001</v>
      </c>
      <c r="G575" s="140" t="s">
        <v>98</v>
      </c>
      <c r="H575">
        <v>0</v>
      </c>
      <c r="I575" s="140" t="s">
        <v>14</v>
      </c>
    </row>
    <row r="576" spans="1:9" hidden="1" x14ac:dyDescent="0.25">
      <c r="A576">
        <v>2010</v>
      </c>
      <c r="B576" s="140" t="s">
        <v>97</v>
      </c>
      <c r="C576" s="140" t="s">
        <v>82</v>
      </c>
      <c r="D576" s="140" t="s">
        <v>11</v>
      </c>
      <c r="E576" s="140" t="s">
        <v>12</v>
      </c>
      <c r="F576">
        <v>3.0127586210000001</v>
      </c>
      <c r="G576" s="140" t="s">
        <v>98</v>
      </c>
      <c r="H576">
        <v>0</v>
      </c>
      <c r="I576" s="140" t="s">
        <v>14</v>
      </c>
    </row>
    <row r="577" spans="1:9" hidden="1" x14ac:dyDescent="0.25">
      <c r="A577">
        <v>2011</v>
      </c>
      <c r="B577" s="140" t="s">
        <v>97</v>
      </c>
      <c r="C577" s="140" t="s">
        <v>82</v>
      </c>
      <c r="D577" s="140" t="s">
        <v>11</v>
      </c>
      <c r="E577" s="140" t="s">
        <v>12</v>
      </c>
      <c r="F577">
        <v>3.0014230770000001</v>
      </c>
      <c r="G577" s="140" t="s">
        <v>98</v>
      </c>
      <c r="H577">
        <v>0</v>
      </c>
      <c r="I577" s="140" t="s">
        <v>14</v>
      </c>
    </row>
    <row r="578" spans="1:9" hidden="1" x14ac:dyDescent="0.25">
      <c r="A578">
        <v>2012</v>
      </c>
      <c r="B578" s="140" t="s">
        <v>97</v>
      </c>
      <c r="C578" s="140" t="s">
        <v>82</v>
      </c>
      <c r="D578" s="140" t="s">
        <v>11</v>
      </c>
      <c r="E578" s="140" t="s">
        <v>12</v>
      </c>
      <c r="F578">
        <v>1.8846360150000001</v>
      </c>
      <c r="G578" s="140" t="s">
        <v>98</v>
      </c>
      <c r="H578">
        <v>0</v>
      </c>
      <c r="I578" s="140" t="s">
        <v>14</v>
      </c>
    </row>
    <row r="579" spans="1:9" hidden="1" x14ac:dyDescent="0.25">
      <c r="A579">
        <v>2013</v>
      </c>
      <c r="B579" s="140" t="s">
        <v>97</v>
      </c>
      <c r="C579" s="140" t="s">
        <v>82</v>
      </c>
      <c r="D579" s="140" t="s">
        <v>11</v>
      </c>
      <c r="E579" s="140" t="s">
        <v>12</v>
      </c>
      <c r="F579">
        <v>1.86</v>
      </c>
      <c r="G579" s="140" t="s">
        <v>98</v>
      </c>
      <c r="H579">
        <v>0</v>
      </c>
      <c r="I579" s="140" t="s">
        <v>14</v>
      </c>
    </row>
    <row r="580" spans="1:9" hidden="1" x14ac:dyDescent="0.25">
      <c r="A580">
        <v>2014</v>
      </c>
      <c r="B580" s="140" t="s">
        <v>97</v>
      </c>
      <c r="C580" s="140" t="s">
        <v>82</v>
      </c>
      <c r="D580" s="140" t="s">
        <v>11</v>
      </c>
      <c r="E580" s="140" t="s">
        <v>12</v>
      </c>
      <c r="F580">
        <v>1.4469025250000001</v>
      </c>
      <c r="G580" s="140" t="s">
        <v>98</v>
      </c>
      <c r="H580">
        <v>0</v>
      </c>
      <c r="I580" s="140" t="s">
        <v>14</v>
      </c>
    </row>
    <row r="581" spans="1:9" hidden="1" x14ac:dyDescent="0.25">
      <c r="A581">
        <v>2015</v>
      </c>
      <c r="B581" s="140" t="s">
        <v>97</v>
      </c>
      <c r="C581" s="140" t="s">
        <v>82</v>
      </c>
      <c r="D581" s="140" t="s">
        <v>11</v>
      </c>
      <c r="E581" s="140" t="s">
        <v>12</v>
      </c>
      <c r="F581">
        <v>0.72481514199999997</v>
      </c>
      <c r="G581" s="140" t="s">
        <v>98</v>
      </c>
      <c r="H581">
        <v>0</v>
      </c>
      <c r="I581" s="140" t="s">
        <v>14</v>
      </c>
    </row>
    <row r="582" spans="1:9" hidden="1" x14ac:dyDescent="0.25">
      <c r="A582">
        <v>2016</v>
      </c>
      <c r="B582" s="140" t="s">
        <v>97</v>
      </c>
      <c r="C582" s="140" t="s">
        <v>82</v>
      </c>
      <c r="D582" s="140" t="s">
        <v>11</v>
      </c>
      <c r="E582" s="140" t="s">
        <v>12</v>
      </c>
      <c r="F582">
        <v>0.362715709</v>
      </c>
      <c r="G582" s="140" t="s">
        <v>98</v>
      </c>
      <c r="H582">
        <v>0</v>
      </c>
      <c r="I582" s="140" t="s">
        <v>14</v>
      </c>
    </row>
    <row r="583" spans="1:9" hidden="1" x14ac:dyDescent="0.25">
      <c r="A583">
        <v>2017</v>
      </c>
      <c r="B583" s="140" t="s">
        <v>97</v>
      </c>
      <c r="C583" s="140" t="s">
        <v>82</v>
      </c>
      <c r="D583" s="140" t="s">
        <v>11</v>
      </c>
      <c r="E583" s="140" t="s">
        <v>12</v>
      </c>
      <c r="F583">
        <v>0.54802814200000005</v>
      </c>
      <c r="G583" s="140" t="s">
        <v>98</v>
      </c>
      <c r="H583">
        <v>0</v>
      </c>
      <c r="I583" s="140" t="s">
        <v>14</v>
      </c>
    </row>
    <row r="584" spans="1:9" hidden="1" x14ac:dyDescent="0.25">
      <c r="A584">
        <v>2018</v>
      </c>
      <c r="B584" s="140" t="s">
        <v>97</v>
      </c>
      <c r="C584" s="140" t="s">
        <v>82</v>
      </c>
      <c r="D584" s="140" t="s">
        <v>11</v>
      </c>
      <c r="E584" s="140" t="s">
        <v>12</v>
      </c>
      <c r="F584">
        <v>0.660336908</v>
      </c>
      <c r="G584" s="140" t="s">
        <v>98</v>
      </c>
      <c r="H584">
        <v>0</v>
      </c>
      <c r="I584" s="140" t="s">
        <v>14</v>
      </c>
    </row>
    <row r="585" spans="1:9" hidden="1" x14ac:dyDescent="0.25">
      <c r="A585">
        <v>2019</v>
      </c>
      <c r="B585" s="140" t="s">
        <v>97</v>
      </c>
      <c r="C585" s="140" t="s">
        <v>82</v>
      </c>
      <c r="D585" s="140" t="s">
        <v>11</v>
      </c>
      <c r="E585" s="140" t="s">
        <v>12</v>
      </c>
      <c r="F585">
        <v>7.0370114999999997E-2</v>
      </c>
      <c r="G585" s="140" t="s">
        <v>98</v>
      </c>
      <c r="H585">
        <v>0</v>
      </c>
      <c r="I585" s="140" t="s">
        <v>14</v>
      </c>
    </row>
    <row r="586" spans="1:9" hidden="1" x14ac:dyDescent="0.25">
      <c r="A586">
        <v>2020</v>
      </c>
      <c r="B586" s="140" t="s">
        <v>97</v>
      </c>
      <c r="C586" s="140" t="s">
        <v>82</v>
      </c>
      <c r="D586" s="140" t="s">
        <v>11</v>
      </c>
      <c r="E586" s="140" t="s">
        <v>12</v>
      </c>
      <c r="F586">
        <v>-0.21839465599999999</v>
      </c>
      <c r="G586" s="140" t="s">
        <v>98</v>
      </c>
      <c r="H586">
        <v>0</v>
      </c>
      <c r="I586" s="140" t="s">
        <v>14</v>
      </c>
    </row>
    <row r="587" spans="1:9" hidden="1" x14ac:dyDescent="0.25">
      <c r="A587">
        <v>2021</v>
      </c>
      <c r="B587" s="140" t="s">
        <v>97</v>
      </c>
      <c r="C587" s="140" t="s">
        <v>82</v>
      </c>
      <c r="D587" s="140" t="s">
        <v>11</v>
      </c>
      <c r="E587" s="140" t="s">
        <v>12</v>
      </c>
      <c r="F587">
        <v>-9.4365516999999996E-2</v>
      </c>
      <c r="G587" s="140" t="s">
        <v>98</v>
      </c>
      <c r="H587">
        <v>0</v>
      </c>
      <c r="I587" s="140" t="s">
        <v>14</v>
      </c>
    </row>
    <row r="588" spans="1:9" hidden="1" x14ac:dyDescent="0.25">
      <c r="A588">
        <v>2022</v>
      </c>
      <c r="B588" s="140" t="s">
        <v>97</v>
      </c>
      <c r="C588" s="140" t="s">
        <v>82</v>
      </c>
      <c r="D588" s="140" t="s">
        <v>11</v>
      </c>
      <c r="E588" s="140" t="s">
        <v>12</v>
      </c>
      <c r="F588">
        <v>1.6876961539999999</v>
      </c>
      <c r="G588" s="140" t="s">
        <v>98</v>
      </c>
      <c r="H588">
        <v>0</v>
      </c>
      <c r="I588" s="140" t="s">
        <v>14</v>
      </c>
    </row>
    <row r="589" spans="1:9" hidden="1" x14ac:dyDescent="0.25">
      <c r="A589">
        <v>2023</v>
      </c>
      <c r="B589" s="140" t="s">
        <v>97</v>
      </c>
      <c r="C589" s="140" t="s">
        <v>82</v>
      </c>
      <c r="D589" s="140" t="s">
        <v>11</v>
      </c>
      <c r="E589" s="140" t="s">
        <v>12</v>
      </c>
      <c r="F589">
        <v>3.0376099999999999</v>
      </c>
      <c r="G589" s="140" t="s">
        <v>98</v>
      </c>
      <c r="H589">
        <v>0</v>
      </c>
      <c r="I589" s="140" t="s">
        <v>14</v>
      </c>
    </row>
    <row r="590" spans="1:9" hidden="1" x14ac:dyDescent="0.25">
      <c r="A590">
        <v>2024</v>
      </c>
      <c r="B590" s="140" t="s">
        <v>97</v>
      </c>
      <c r="C590" s="140" t="s">
        <v>82</v>
      </c>
      <c r="D590" s="140" t="s">
        <v>11</v>
      </c>
      <c r="E590" s="140" t="s">
        <v>12</v>
      </c>
      <c r="F590">
        <v>2.851570229</v>
      </c>
      <c r="G590" s="140" t="s">
        <v>98</v>
      </c>
      <c r="H590">
        <v>0</v>
      </c>
      <c r="I590" s="140" t="s">
        <v>14</v>
      </c>
    </row>
    <row r="591" spans="1:9" hidden="1" x14ac:dyDescent="0.25">
      <c r="A591">
        <v>2025</v>
      </c>
      <c r="B591" s="140" t="s">
        <v>97</v>
      </c>
      <c r="C591" s="140" t="s">
        <v>82</v>
      </c>
      <c r="D591" s="140" t="s">
        <v>11</v>
      </c>
      <c r="E591" s="140" t="s">
        <v>12</v>
      </c>
      <c r="F591">
        <v>3.0101473560000001</v>
      </c>
      <c r="G591" s="140" t="s">
        <v>98</v>
      </c>
      <c r="H591">
        <v>0</v>
      </c>
      <c r="I591" s="140" t="s">
        <v>14</v>
      </c>
    </row>
    <row r="592" spans="1:9" hidden="1" x14ac:dyDescent="0.25">
      <c r="A592">
        <v>2026</v>
      </c>
      <c r="B592" s="140" t="s">
        <v>97</v>
      </c>
      <c r="C592" s="140" t="s">
        <v>82</v>
      </c>
      <c r="D592" s="140" t="s">
        <v>11</v>
      </c>
      <c r="E592" s="140" t="s">
        <v>12</v>
      </c>
      <c r="F592">
        <v>3.3</v>
      </c>
      <c r="G592" s="140" t="s">
        <v>98</v>
      </c>
      <c r="H592">
        <v>0</v>
      </c>
      <c r="I592" s="140" t="s">
        <v>14</v>
      </c>
    </row>
    <row r="593" spans="1:9" hidden="1" x14ac:dyDescent="0.25">
      <c r="A593">
        <v>2027</v>
      </c>
      <c r="B593" s="140" t="s">
        <v>97</v>
      </c>
      <c r="C593" s="140" t="s">
        <v>82</v>
      </c>
      <c r="D593" s="140" t="s">
        <v>11</v>
      </c>
      <c r="E593" s="140" t="s">
        <v>12</v>
      </c>
      <c r="F593">
        <v>3.3</v>
      </c>
      <c r="G593" s="140" t="s">
        <v>98</v>
      </c>
      <c r="H593">
        <v>0</v>
      </c>
      <c r="I593" s="140" t="s">
        <v>14</v>
      </c>
    </row>
    <row r="594" spans="1:9" hidden="1" x14ac:dyDescent="0.25">
      <c r="A594">
        <v>2028</v>
      </c>
      <c r="B594" s="140" t="s">
        <v>97</v>
      </c>
      <c r="C594" s="140" t="s">
        <v>82</v>
      </c>
      <c r="D594" s="140" t="s">
        <v>11</v>
      </c>
      <c r="E594" s="140" t="s">
        <v>12</v>
      </c>
      <c r="F594">
        <v>3.2</v>
      </c>
      <c r="G594" s="140" t="s">
        <v>98</v>
      </c>
      <c r="H594">
        <v>0</v>
      </c>
      <c r="I594" s="140" t="s">
        <v>14</v>
      </c>
    </row>
    <row r="595" spans="1:9" hidden="1" x14ac:dyDescent="0.25">
      <c r="A595">
        <v>2029</v>
      </c>
      <c r="B595" s="140" t="s">
        <v>97</v>
      </c>
      <c r="C595" s="140" t="s">
        <v>82</v>
      </c>
      <c r="D595" s="140" t="s">
        <v>11</v>
      </c>
      <c r="E595" s="140" t="s">
        <v>12</v>
      </c>
      <c r="F595">
        <v>3.1</v>
      </c>
      <c r="G595" s="140" t="s">
        <v>98</v>
      </c>
      <c r="H595">
        <v>0</v>
      </c>
      <c r="I595" s="140" t="s">
        <v>14</v>
      </c>
    </row>
    <row r="596" spans="1:9" hidden="1" x14ac:dyDescent="0.25">
      <c r="A596">
        <v>2030</v>
      </c>
      <c r="B596" s="140" t="s">
        <v>97</v>
      </c>
      <c r="C596" s="140" t="s">
        <v>82</v>
      </c>
      <c r="D596" s="140" t="s">
        <v>11</v>
      </c>
      <c r="E596" s="140" t="s">
        <v>12</v>
      </c>
      <c r="F596">
        <v>3</v>
      </c>
      <c r="G596" s="140" t="s">
        <v>98</v>
      </c>
      <c r="H596">
        <v>0</v>
      </c>
      <c r="I596" s="140" t="s">
        <v>14</v>
      </c>
    </row>
    <row r="597" spans="1:9" hidden="1" x14ac:dyDescent="0.25">
      <c r="A597">
        <v>1996</v>
      </c>
      <c r="B597" s="140" t="s">
        <v>96</v>
      </c>
      <c r="C597" s="140" t="s">
        <v>82</v>
      </c>
      <c r="D597" s="140" t="s">
        <v>11</v>
      </c>
      <c r="E597" s="140" t="s">
        <v>12</v>
      </c>
      <c r="F597">
        <v>-0.71397663300000003</v>
      </c>
      <c r="G597" s="140" t="s">
        <v>339</v>
      </c>
      <c r="H597">
        <v>0</v>
      </c>
      <c r="I597" s="140" t="s">
        <v>14</v>
      </c>
    </row>
    <row r="598" spans="1:9" hidden="1" x14ac:dyDescent="0.25">
      <c r="A598">
        <v>1997</v>
      </c>
      <c r="B598" s="140" t="s">
        <v>96</v>
      </c>
      <c r="C598" s="140" t="s">
        <v>82</v>
      </c>
      <c r="D598" s="140" t="s">
        <v>11</v>
      </c>
      <c r="E598" s="140" t="s">
        <v>12</v>
      </c>
      <c r="F598">
        <v>1.536282414</v>
      </c>
      <c r="G598" s="140" t="s">
        <v>339</v>
      </c>
      <c r="H598">
        <v>0</v>
      </c>
      <c r="I598" s="140" t="s">
        <v>14</v>
      </c>
    </row>
    <row r="599" spans="1:9" hidden="1" x14ac:dyDescent="0.25">
      <c r="A599">
        <v>1998</v>
      </c>
      <c r="B599" s="140" t="s">
        <v>96</v>
      </c>
      <c r="C599" s="140" t="s">
        <v>82</v>
      </c>
      <c r="D599" s="140" t="s">
        <v>11</v>
      </c>
      <c r="E599" s="140" t="s">
        <v>12</v>
      </c>
      <c r="F599">
        <v>-1.298422578</v>
      </c>
      <c r="G599" s="140" t="s">
        <v>339</v>
      </c>
      <c r="H599">
        <v>0</v>
      </c>
      <c r="I599" s="140" t="s">
        <v>14</v>
      </c>
    </row>
    <row r="600" spans="1:9" hidden="1" x14ac:dyDescent="0.25">
      <c r="A600">
        <v>1999</v>
      </c>
      <c r="B600" s="140" t="s">
        <v>96</v>
      </c>
      <c r="C600" s="140" t="s">
        <v>82</v>
      </c>
      <c r="D600" s="140" t="s">
        <v>11</v>
      </c>
      <c r="E600" s="140" t="s">
        <v>12</v>
      </c>
      <c r="F600">
        <v>-0.25005435999999998</v>
      </c>
      <c r="G600" s="140" t="s">
        <v>339</v>
      </c>
      <c r="H600">
        <v>0</v>
      </c>
      <c r="I600" s="140" t="s">
        <v>14</v>
      </c>
    </row>
    <row r="601" spans="1:9" hidden="1" x14ac:dyDescent="0.25">
      <c r="A601">
        <v>2000</v>
      </c>
      <c r="B601" s="140" t="s">
        <v>96</v>
      </c>
      <c r="C601" s="140" t="s">
        <v>82</v>
      </c>
      <c r="D601" s="140" t="s">
        <v>11</v>
      </c>
      <c r="E601" s="140" t="s">
        <v>12</v>
      </c>
      <c r="F601">
        <v>6.9100817440000002</v>
      </c>
      <c r="G601" s="140" t="s">
        <v>339</v>
      </c>
      <c r="H601">
        <v>0</v>
      </c>
      <c r="I601" s="140" t="s">
        <v>14</v>
      </c>
    </row>
    <row r="602" spans="1:9" hidden="1" x14ac:dyDescent="0.25">
      <c r="A602">
        <v>2001</v>
      </c>
      <c r="B602" s="140" t="s">
        <v>96</v>
      </c>
      <c r="C602" s="140" t="s">
        <v>82</v>
      </c>
      <c r="D602" s="140" t="s">
        <v>11</v>
      </c>
      <c r="E602" s="140" t="s">
        <v>12</v>
      </c>
      <c r="F602">
        <v>-0.93791416000000005</v>
      </c>
      <c r="G602" s="140" t="s">
        <v>339</v>
      </c>
      <c r="H602">
        <v>0</v>
      </c>
      <c r="I602" s="140" t="s">
        <v>14</v>
      </c>
    </row>
    <row r="603" spans="1:9" hidden="1" x14ac:dyDescent="0.25">
      <c r="A603">
        <v>2002</v>
      </c>
      <c r="B603" s="140" t="s">
        <v>96</v>
      </c>
      <c r="C603" s="140" t="s">
        <v>82</v>
      </c>
      <c r="D603" s="140" t="s">
        <v>11</v>
      </c>
      <c r="E603" s="140" t="s">
        <v>12</v>
      </c>
      <c r="F603">
        <v>-1.5333950810000001</v>
      </c>
      <c r="G603" s="140" t="s">
        <v>339</v>
      </c>
      <c r="H603">
        <v>0</v>
      </c>
      <c r="I603" s="140" t="s">
        <v>14</v>
      </c>
    </row>
    <row r="604" spans="1:9" hidden="1" x14ac:dyDescent="0.25">
      <c r="A604">
        <v>2003</v>
      </c>
      <c r="B604" s="140" t="s">
        <v>96</v>
      </c>
      <c r="C604" s="140" t="s">
        <v>82</v>
      </c>
      <c r="D604" s="140" t="s">
        <v>11</v>
      </c>
      <c r="E604" s="140" t="s">
        <v>12</v>
      </c>
      <c r="F604">
        <v>-0.28219063500000002</v>
      </c>
      <c r="G604" s="140" t="s">
        <v>339</v>
      </c>
      <c r="H604">
        <v>0</v>
      </c>
      <c r="I604" s="140" t="s">
        <v>14</v>
      </c>
    </row>
    <row r="605" spans="1:9" hidden="1" x14ac:dyDescent="0.25">
      <c r="A605">
        <v>2004</v>
      </c>
      <c r="B605" s="140" t="s">
        <v>96</v>
      </c>
      <c r="C605" s="140" t="s">
        <v>82</v>
      </c>
      <c r="D605" s="140" t="s">
        <v>11</v>
      </c>
      <c r="E605" s="140" t="s">
        <v>12</v>
      </c>
      <c r="F605">
        <v>0.88041085799999996</v>
      </c>
      <c r="G605" s="140" t="s">
        <v>339</v>
      </c>
      <c r="H605">
        <v>0</v>
      </c>
      <c r="I605" s="140" t="s">
        <v>14</v>
      </c>
    </row>
    <row r="606" spans="1:9" hidden="1" x14ac:dyDescent="0.25">
      <c r="A606">
        <v>2005</v>
      </c>
      <c r="B606" s="140" t="s">
        <v>96</v>
      </c>
      <c r="C606" s="140" t="s">
        <v>82</v>
      </c>
      <c r="D606" s="140" t="s">
        <v>11</v>
      </c>
      <c r="E606" s="140" t="s">
        <v>12</v>
      </c>
      <c r="F606">
        <v>3.480519481</v>
      </c>
      <c r="G606" s="140" t="s">
        <v>339</v>
      </c>
      <c r="H606">
        <v>0</v>
      </c>
      <c r="I606" s="140" t="s">
        <v>14</v>
      </c>
    </row>
    <row r="607" spans="1:9" hidden="1" x14ac:dyDescent="0.25">
      <c r="A607">
        <v>2006</v>
      </c>
      <c r="B607" s="140" t="s">
        <v>96</v>
      </c>
      <c r="C607" s="140" t="s">
        <v>82</v>
      </c>
      <c r="D607" s="140" t="s">
        <v>11</v>
      </c>
      <c r="E607" s="140" t="s">
        <v>12</v>
      </c>
      <c r="F607">
        <v>5.522088353</v>
      </c>
      <c r="G607" s="140" t="s">
        <v>339</v>
      </c>
      <c r="H607">
        <v>0</v>
      </c>
      <c r="I607" s="140" t="s">
        <v>14</v>
      </c>
    </row>
    <row r="608" spans="1:9" hidden="1" x14ac:dyDescent="0.25">
      <c r="A608">
        <v>2007</v>
      </c>
      <c r="B608" s="140" t="s">
        <v>96</v>
      </c>
      <c r="C608" s="140" t="s">
        <v>82</v>
      </c>
      <c r="D608" s="140" t="s">
        <v>11</v>
      </c>
      <c r="E608" s="140" t="s">
        <v>12</v>
      </c>
      <c r="F608">
        <v>3.5680304469999999</v>
      </c>
      <c r="G608" s="140" t="s">
        <v>339</v>
      </c>
      <c r="H608">
        <v>0</v>
      </c>
      <c r="I608" s="140" t="s">
        <v>14</v>
      </c>
    </row>
    <row r="609" spans="1:9" hidden="1" x14ac:dyDescent="0.25">
      <c r="A609">
        <v>2008</v>
      </c>
      <c r="B609" s="140" t="s">
        <v>96</v>
      </c>
      <c r="C609" s="140" t="s">
        <v>82</v>
      </c>
      <c r="D609" s="140" t="s">
        <v>11</v>
      </c>
      <c r="E609" s="140" t="s">
        <v>12</v>
      </c>
      <c r="F609">
        <v>5.558107487</v>
      </c>
      <c r="G609" s="140" t="s">
        <v>339</v>
      </c>
      <c r="H609">
        <v>0</v>
      </c>
      <c r="I609" s="140" t="s">
        <v>14</v>
      </c>
    </row>
    <row r="610" spans="1:9" hidden="1" x14ac:dyDescent="0.25">
      <c r="A610">
        <v>2009</v>
      </c>
      <c r="B610" s="140" t="s">
        <v>96</v>
      </c>
      <c r="C610" s="140" t="s">
        <v>82</v>
      </c>
      <c r="D610" s="140" t="s">
        <v>11</v>
      </c>
      <c r="E610" s="140" t="s">
        <v>12</v>
      </c>
      <c r="F610">
        <v>-7.2323759790000004</v>
      </c>
      <c r="G610" s="140" t="s">
        <v>339</v>
      </c>
      <c r="H610">
        <v>0</v>
      </c>
      <c r="I610" s="140" t="s">
        <v>14</v>
      </c>
    </row>
    <row r="611" spans="1:9" hidden="1" x14ac:dyDescent="0.25">
      <c r="A611">
        <v>2010</v>
      </c>
      <c r="B611" s="140" t="s">
        <v>96</v>
      </c>
      <c r="C611" s="140" t="s">
        <v>82</v>
      </c>
      <c r="D611" s="140" t="s">
        <v>11</v>
      </c>
      <c r="E611" s="140" t="s">
        <v>12</v>
      </c>
      <c r="F611">
        <v>4.2499296370000001</v>
      </c>
      <c r="G611" s="140" t="s">
        <v>339</v>
      </c>
      <c r="H611">
        <v>0</v>
      </c>
      <c r="I611" s="140" t="s">
        <v>14</v>
      </c>
    </row>
    <row r="612" spans="1:9" hidden="1" x14ac:dyDescent="0.25">
      <c r="A612">
        <v>2011</v>
      </c>
      <c r="B612" s="140" t="s">
        <v>96</v>
      </c>
      <c r="C612" s="140" t="s">
        <v>82</v>
      </c>
      <c r="D612" s="140" t="s">
        <v>11</v>
      </c>
      <c r="E612" s="140" t="s">
        <v>12</v>
      </c>
      <c r="F612">
        <v>7.5</v>
      </c>
      <c r="G612" s="140" t="s">
        <v>339</v>
      </c>
      <c r="H612">
        <v>0</v>
      </c>
      <c r="I612" s="140" t="s">
        <v>14</v>
      </c>
    </row>
    <row r="613" spans="1:9" hidden="1" x14ac:dyDescent="0.25">
      <c r="A613">
        <v>2012</v>
      </c>
      <c r="B613" s="140" t="s">
        <v>96</v>
      </c>
      <c r="C613" s="140" t="s">
        <v>82</v>
      </c>
      <c r="D613" s="140" t="s">
        <v>11</v>
      </c>
      <c r="E613" s="140" t="s">
        <v>12</v>
      </c>
      <c r="F613">
        <v>3.3</v>
      </c>
      <c r="G613" s="140" t="s">
        <v>339</v>
      </c>
      <c r="H613">
        <v>0</v>
      </c>
      <c r="I613" s="140" t="s">
        <v>14</v>
      </c>
    </row>
    <row r="614" spans="1:9" hidden="1" x14ac:dyDescent="0.25">
      <c r="A614">
        <v>2013</v>
      </c>
      <c r="B614" s="140" t="s">
        <v>96</v>
      </c>
      <c r="C614" s="140" t="s">
        <v>82</v>
      </c>
      <c r="D614" s="140" t="s">
        <v>11</v>
      </c>
      <c r="E614" s="140" t="s">
        <v>12</v>
      </c>
      <c r="F614">
        <v>1.1000000000000001</v>
      </c>
      <c r="G614" s="140" t="s">
        <v>339</v>
      </c>
      <c r="H614">
        <v>0</v>
      </c>
      <c r="I614" s="140" t="s">
        <v>14</v>
      </c>
    </row>
    <row r="615" spans="1:9" hidden="1" x14ac:dyDescent="0.25">
      <c r="A615">
        <v>2014</v>
      </c>
      <c r="B615" s="140" t="s">
        <v>96</v>
      </c>
      <c r="C615" s="140" t="s">
        <v>82</v>
      </c>
      <c r="D615" s="140" t="s">
        <v>11</v>
      </c>
      <c r="E615" s="140" t="s">
        <v>12</v>
      </c>
      <c r="F615">
        <v>-1.1000000000000001</v>
      </c>
      <c r="G615" s="140" t="s">
        <v>339</v>
      </c>
      <c r="H615">
        <v>0</v>
      </c>
      <c r="I615" s="140" t="s">
        <v>14</v>
      </c>
    </row>
    <row r="616" spans="1:9" hidden="1" x14ac:dyDescent="0.25">
      <c r="A616">
        <v>2015</v>
      </c>
      <c r="B616" s="140" t="s">
        <v>96</v>
      </c>
      <c r="C616" s="140" t="s">
        <v>82</v>
      </c>
      <c r="D616" s="140" t="s">
        <v>11</v>
      </c>
      <c r="E616" s="140" t="s">
        <v>12</v>
      </c>
      <c r="F616">
        <v>-2.7</v>
      </c>
      <c r="G616" s="140" t="s">
        <v>339</v>
      </c>
      <c r="H616">
        <v>0</v>
      </c>
      <c r="I616" s="140" t="s">
        <v>14</v>
      </c>
    </row>
    <row r="617" spans="1:9" hidden="1" x14ac:dyDescent="0.25">
      <c r="A617">
        <v>2016</v>
      </c>
      <c r="B617" s="140" t="s">
        <v>96</v>
      </c>
      <c r="C617" s="140" t="s">
        <v>82</v>
      </c>
      <c r="D617" s="140" t="s">
        <v>11</v>
      </c>
      <c r="E617" s="140" t="s">
        <v>12</v>
      </c>
      <c r="F617">
        <v>-1.2</v>
      </c>
      <c r="G617" s="140" t="s">
        <v>339</v>
      </c>
      <c r="H617">
        <v>0</v>
      </c>
      <c r="I617" s="140" t="s">
        <v>14</v>
      </c>
    </row>
    <row r="618" spans="1:9" hidden="1" x14ac:dyDescent="0.25">
      <c r="A618">
        <v>2017</v>
      </c>
      <c r="B618" s="140" t="s">
        <v>96</v>
      </c>
      <c r="C618" s="140" t="s">
        <v>82</v>
      </c>
      <c r="D618" s="140" t="s">
        <v>11</v>
      </c>
      <c r="E618" s="140" t="s">
        <v>12</v>
      </c>
      <c r="F618">
        <v>4.9000000000000004</v>
      </c>
      <c r="G618" s="140" t="s">
        <v>339</v>
      </c>
      <c r="H618">
        <v>0</v>
      </c>
      <c r="I618" s="140" t="s">
        <v>14</v>
      </c>
    </row>
    <row r="619" spans="1:9" hidden="1" x14ac:dyDescent="0.25">
      <c r="A619">
        <v>2018</v>
      </c>
      <c r="B619" s="140" t="s">
        <v>96</v>
      </c>
      <c r="C619" s="140" t="s">
        <v>82</v>
      </c>
      <c r="D619" s="140" t="s">
        <v>11</v>
      </c>
      <c r="E619" s="140" t="s">
        <v>12</v>
      </c>
      <c r="F619">
        <v>4.7</v>
      </c>
      <c r="G619" s="140" t="s">
        <v>339</v>
      </c>
      <c r="H619">
        <v>0</v>
      </c>
      <c r="I619" s="140" t="s">
        <v>14</v>
      </c>
    </row>
    <row r="620" spans="1:9" hidden="1" x14ac:dyDescent="0.25">
      <c r="A620">
        <v>2019</v>
      </c>
      <c r="B620" s="140" t="s">
        <v>96</v>
      </c>
      <c r="C620" s="140" t="s">
        <v>82</v>
      </c>
      <c r="D620" s="140" t="s">
        <v>11</v>
      </c>
      <c r="E620" s="140" t="s">
        <v>12</v>
      </c>
      <c r="F620">
        <v>1</v>
      </c>
      <c r="G620" s="140" t="s">
        <v>339</v>
      </c>
      <c r="H620">
        <v>0</v>
      </c>
      <c r="I620" s="140" t="s">
        <v>14</v>
      </c>
    </row>
    <row r="621" spans="1:9" hidden="1" x14ac:dyDescent="0.25">
      <c r="A621">
        <v>2020</v>
      </c>
      <c r="B621" s="140" t="s">
        <v>96</v>
      </c>
      <c r="C621" s="140" t="s">
        <v>82</v>
      </c>
      <c r="D621" s="140" t="s">
        <v>11</v>
      </c>
      <c r="E621" s="140" t="s">
        <v>12</v>
      </c>
      <c r="F621">
        <v>-3.3</v>
      </c>
      <c r="G621" s="140" t="s">
        <v>339</v>
      </c>
      <c r="H621">
        <v>0</v>
      </c>
      <c r="I621" s="140" t="s">
        <v>14</v>
      </c>
    </row>
    <row r="622" spans="1:9" hidden="1" x14ac:dyDescent="0.25">
      <c r="A622">
        <v>2021</v>
      </c>
      <c r="B622" s="140" t="s">
        <v>96</v>
      </c>
      <c r="C622" s="140" t="s">
        <v>82</v>
      </c>
      <c r="D622" s="140" t="s">
        <v>11</v>
      </c>
      <c r="E622" s="140" t="s">
        <v>12</v>
      </c>
      <c r="F622">
        <v>10.1</v>
      </c>
      <c r="G622" s="140" t="s">
        <v>339</v>
      </c>
      <c r="H622">
        <v>0</v>
      </c>
      <c r="I622" s="140" t="s">
        <v>14</v>
      </c>
    </row>
    <row r="623" spans="1:9" hidden="1" x14ac:dyDescent="0.25">
      <c r="A623">
        <v>2022</v>
      </c>
      <c r="B623" s="140" t="s">
        <v>96</v>
      </c>
      <c r="C623" s="140" t="s">
        <v>82</v>
      </c>
      <c r="D623" s="140" t="s">
        <v>11</v>
      </c>
      <c r="E623" s="140" t="s">
        <v>12</v>
      </c>
      <c r="F623">
        <v>20.3</v>
      </c>
      <c r="G623" s="140" t="s">
        <v>339</v>
      </c>
      <c r="H623">
        <v>0</v>
      </c>
      <c r="I623" s="140" t="s">
        <v>14</v>
      </c>
    </row>
    <row r="624" spans="1:9" hidden="1" x14ac:dyDescent="0.25">
      <c r="A624">
        <v>2023</v>
      </c>
      <c r="B624" s="140" t="s">
        <v>96</v>
      </c>
      <c r="C624" s="140" t="s">
        <v>82</v>
      </c>
      <c r="D624" s="140" t="s">
        <v>11</v>
      </c>
      <c r="E624" s="140" t="s">
        <v>12</v>
      </c>
      <c r="F624">
        <v>-2.2000000000000002</v>
      </c>
      <c r="G624" s="140" t="s">
        <v>339</v>
      </c>
      <c r="H624">
        <v>0</v>
      </c>
      <c r="I624" s="140" t="s">
        <v>14</v>
      </c>
    </row>
    <row r="625" spans="1:9" hidden="1" x14ac:dyDescent="0.25">
      <c r="A625">
        <v>2024</v>
      </c>
      <c r="B625" s="140" t="s">
        <v>96</v>
      </c>
      <c r="C625" s="140" t="s">
        <v>82</v>
      </c>
      <c r="D625" s="140" t="s">
        <v>11</v>
      </c>
      <c r="E625" s="140" t="s">
        <v>12</v>
      </c>
      <c r="F625">
        <v>-1.2</v>
      </c>
      <c r="G625" s="140" t="s">
        <v>339</v>
      </c>
      <c r="H625">
        <v>0</v>
      </c>
      <c r="I625" s="140" t="s">
        <v>14</v>
      </c>
    </row>
    <row r="626" spans="1:9" hidden="1" x14ac:dyDescent="0.25">
      <c r="A626">
        <v>2025</v>
      </c>
      <c r="B626" s="140" t="s">
        <v>96</v>
      </c>
      <c r="C626" s="140" t="s">
        <v>82</v>
      </c>
      <c r="D626" s="140" t="s">
        <v>11</v>
      </c>
      <c r="E626" s="140" t="s">
        <v>12</v>
      </c>
      <c r="F626">
        <v>-0.4</v>
      </c>
      <c r="G626" s="140" t="s">
        <v>339</v>
      </c>
      <c r="H626">
        <v>0</v>
      </c>
      <c r="I626" s="140" t="s">
        <v>14</v>
      </c>
    </row>
    <row r="627" spans="1:9" hidden="1" x14ac:dyDescent="0.25">
      <c r="A627">
        <v>2026</v>
      </c>
      <c r="B627" s="140" t="s">
        <v>96</v>
      </c>
      <c r="C627" s="140" t="s">
        <v>82</v>
      </c>
      <c r="D627" s="140" t="s">
        <v>11</v>
      </c>
      <c r="E627" s="140" t="s">
        <v>12</v>
      </c>
      <c r="F627">
        <v>3.2</v>
      </c>
      <c r="G627" s="140" t="s">
        <v>339</v>
      </c>
      <c r="H627">
        <v>0</v>
      </c>
      <c r="I627" s="140" t="s">
        <v>14</v>
      </c>
    </row>
    <row r="628" spans="1:9" hidden="1" x14ac:dyDescent="0.25">
      <c r="A628">
        <v>2027</v>
      </c>
      <c r="B628" s="140" t="s">
        <v>96</v>
      </c>
      <c r="C628" s="140" t="s">
        <v>82</v>
      </c>
      <c r="D628" s="140" t="s">
        <v>11</v>
      </c>
      <c r="E628" s="140" t="s">
        <v>12</v>
      </c>
      <c r="F628">
        <v>1.9</v>
      </c>
      <c r="G628" s="140" t="s">
        <v>339</v>
      </c>
      <c r="H628">
        <v>0</v>
      </c>
      <c r="I628" s="140" t="s">
        <v>14</v>
      </c>
    </row>
    <row r="629" spans="1:9" hidden="1" x14ac:dyDescent="0.25">
      <c r="A629">
        <v>2028</v>
      </c>
      <c r="B629" s="140" t="s">
        <v>96</v>
      </c>
      <c r="C629" s="140" t="s">
        <v>82</v>
      </c>
      <c r="D629" s="140" t="s">
        <v>11</v>
      </c>
      <c r="E629" s="140" t="s">
        <v>12</v>
      </c>
      <c r="F629">
        <v>2</v>
      </c>
      <c r="G629" s="140" t="s">
        <v>339</v>
      </c>
      <c r="H629">
        <v>0</v>
      </c>
      <c r="I629" s="140" t="s">
        <v>14</v>
      </c>
    </row>
    <row r="630" spans="1:9" hidden="1" x14ac:dyDescent="0.25">
      <c r="A630">
        <v>2029</v>
      </c>
      <c r="B630" s="140" t="s">
        <v>96</v>
      </c>
      <c r="C630" s="140" t="s">
        <v>82</v>
      </c>
      <c r="D630" s="140" t="s">
        <v>11</v>
      </c>
      <c r="E630" s="140" t="s">
        <v>12</v>
      </c>
      <c r="F630">
        <v>2</v>
      </c>
      <c r="G630" s="140" t="s">
        <v>339</v>
      </c>
      <c r="H630">
        <v>0</v>
      </c>
      <c r="I630" s="140" t="s">
        <v>14</v>
      </c>
    </row>
    <row r="631" spans="1:9" hidden="1" x14ac:dyDescent="0.25">
      <c r="A631">
        <v>2030</v>
      </c>
      <c r="B631" s="140" t="s">
        <v>96</v>
      </c>
      <c r="C631" s="140" t="s">
        <v>82</v>
      </c>
      <c r="D631" s="140" t="s">
        <v>11</v>
      </c>
      <c r="E631" s="140" t="s">
        <v>12</v>
      </c>
      <c r="F631">
        <v>2</v>
      </c>
      <c r="G631" s="140" t="s">
        <v>339</v>
      </c>
      <c r="H631">
        <v>0</v>
      </c>
      <c r="I631" s="140" t="s">
        <v>14</v>
      </c>
    </row>
    <row r="632" spans="1:9" hidden="1" x14ac:dyDescent="0.25">
      <c r="A632">
        <v>2009</v>
      </c>
      <c r="B632" s="140" t="s">
        <v>172</v>
      </c>
      <c r="C632" s="140" t="s">
        <v>14</v>
      </c>
      <c r="D632" s="140" t="s">
        <v>11</v>
      </c>
      <c r="E632" s="140" t="s">
        <v>12</v>
      </c>
      <c r="F632">
        <v>2</v>
      </c>
      <c r="G632" s="140" t="s">
        <v>173</v>
      </c>
      <c r="H632">
        <v>0</v>
      </c>
      <c r="I632" s="140" t="s">
        <v>14</v>
      </c>
    </row>
    <row r="633" spans="1:9" hidden="1" x14ac:dyDescent="0.25">
      <c r="A633">
        <v>2010</v>
      </c>
      <c r="B633" s="140" t="s">
        <v>172</v>
      </c>
      <c r="C633" s="140" t="s">
        <v>14</v>
      </c>
      <c r="D633" s="140" t="s">
        <v>11</v>
      </c>
      <c r="E633" s="140" t="s">
        <v>12</v>
      </c>
      <c r="F633">
        <v>2.23</v>
      </c>
      <c r="G633" s="140" t="s">
        <v>173</v>
      </c>
      <c r="H633">
        <v>0</v>
      </c>
      <c r="I633" s="140" t="s">
        <v>14</v>
      </c>
    </row>
    <row r="634" spans="1:9" hidden="1" x14ac:dyDescent="0.25">
      <c r="A634">
        <v>2011</v>
      </c>
      <c r="B634" s="140" t="s">
        <v>172</v>
      </c>
      <c r="C634" s="140" t="s">
        <v>14</v>
      </c>
      <c r="D634" s="140" t="s">
        <v>11</v>
      </c>
      <c r="E634" s="140" t="s">
        <v>12</v>
      </c>
      <c r="F634">
        <v>2.12</v>
      </c>
      <c r="G634" s="140" t="s">
        <v>173</v>
      </c>
      <c r="H634">
        <v>0</v>
      </c>
      <c r="I634" s="140" t="s">
        <v>14</v>
      </c>
    </row>
    <row r="635" spans="1:9" hidden="1" x14ac:dyDescent="0.25">
      <c r="A635">
        <v>2012</v>
      </c>
      <c r="B635" s="140" t="s">
        <v>172</v>
      </c>
      <c r="C635" s="140" t="s">
        <v>14</v>
      </c>
      <c r="D635" s="140" t="s">
        <v>11</v>
      </c>
      <c r="E635" s="140" t="s">
        <v>12</v>
      </c>
      <c r="F635">
        <v>2.12</v>
      </c>
      <c r="G635" s="140" t="s">
        <v>173</v>
      </c>
      <c r="H635">
        <v>0</v>
      </c>
      <c r="I635" s="140" t="s">
        <v>14</v>
      </c>
    </row>
    <row r="636" spans="1:9" hidden="1" x14ac:dyDescent="0.25">
      <c r="A636">
        <v>2013</v>
      </c>
      <c r="B636" s="140" t="s">
        <v>172</v>
      </c>
      <c r="C636" s="140" t="s">
        <v>14</v>
      </c>
      <c r="D636" s="140" t="s">
        <v>11</v>
      </c>
      <c r="E636" s="140" t="s">
        <v>12</v>
      </c>
      <c r="F636">
        <v>2.04</v>
      </c>
      <c r="G636" s="140" t="s">
        <v>173</v>
      </c>
      <c r="H636">
        <v>0</v>
      </c>
      <c r="I636" s="140" t="s">
        <v>14</v>
      </c>
    </row>
    <row r="637" spans="1:9" hidden="1" x14ac:dyDescent="0.25">
      <c r="A637">
        <v>2014</v>
      </c>
      <c r="B637" s="140" t="s">
        <v>172</v>
      </c>
      <c r="C637" s="140" t="s">
        <v>14</v>
      </c>
      <c r="D637" s="140" t="s">
        <v>11</v>
      </c>
      <c r="E637" s="140" t="s">
        <v>12</v>
      </c>
      <c r="F637">
        <v>2.14</v>
      </c>
      <c r="G637" s="140" t="s">
        <v>173</v>
      </c>
      <c r="H637">
        <v>0</v>
      </c>
      <c r="I637" s="140" t="s">
        <v>14</v>
      </c>
    </row>
    <row r="638" spans="1:9" hidden="1" x14ac:dyDescent="0.25">
      <c r="A638">
        <v>2015</v>
      </c>
      <c r="B638" s="140" t="s">
        <v>172</v>
      </c>
      <c r="C638" s="140" t="s">
        <v>14</v>
      </c>
      <c r="D638" s="140" t="s">
        <v>11</v>
      </c>
      <c r="E638" s="140" t="s">
        <v>12</v>
      </c>
      <c r="F638">
        <v>2.08</v>
      </c>
      <c r="G638" s="140" t="s">
        <v>173</v>
      </c>
      <c r="H638">
        <v>0</v>
      </c>
      <c r="I638" s="140" t="s">
        <v>14</v>
      </c>
    </row>
    <row r="639" spans="1:9" hidden="1" x14ac:dyDescent="0.25">
      <c r="A639">
        <v>2016</v>
      </c>
      <c r="B639" s="140" t="s">
        <v>172</v>
      </c>
      <c r="C639" s="140" t="s">
        <v>14</v>
      </c>
      <c r="D639" s="140" t="s">
        <v>11</v>
      </c>
      <c r="E639" s="140" t="s">
        <v>12</v>
      </c>
      <c r="F639">
        <v>2.12</v>
      </c>
      <c r="G639" s="140" t="s">
        <v>173</v>
      </c>
      <c r="H639">
        <v>0</v>
      </c>
      <c r="I639" s="140" t="s">
        <v>14</v>
      </c>
    </row>
    <row r="640" spans="1:9" hidden="1" x14ac:dyDescent="0.25">
      <c r="A640">
        <v>2017</v>
      </c>
      <c r="B640" s="140" t="s">
        <v>172</v>
      </c>
      <c r="C640" s="140" t="s">
        <v>14</v>
      </c>
      <c r="D640" s="140" t="s">
        <v>11</v>
      </c>
      <c r="E640" s="140" t="s">
        <v>12</v>
      </c>
      <c r="F640">
        <v>1.08</v>
      </c>
      <c r="G640" s="140" t="s">
        <v>173</v>
      </c>
      <c r="H640">
        <v>0</v>
      </c>
      <c r="I640" s="140" t="s">
        <v>14</v>
      </c>
    </row>
    <row r="641" spans="1:9" hidden="1" x14ac:dyDescent="0.25">
      <c r="A641">
        <v>2018</v>
      </c>
      <c r="B641" s="140" t="s">
        <v>172</v>
      </c>
      <c r="C641" s="140" t="s">
        <v>14</v>
      </c>
      <c r="D641" s="140" t="s">
        <v>11</v>
      </c>
      <c r="E641" s="140" t="s">
        <v>12</v>
      </c>
      <c r="F641">
        <v>0.86</v>
      </c>
      <c r="G641" s="140" t="s">
        <v>173</v>
      </c>
      <c r="H641">
        <v>0</v>
      </c>
      <c r="I641" s="140" t="s">
        <v>14</v>
      </c>
    </row>
    <row r="642" spans="1:9" hidden="1" x14ac:dyDescent="0.25">
      <c r="A642">
        <v>2019</v>
      </c>
      <c r="B642" s="140" t="s">
        <v>172</v>
      </c>
      <c r="C642" s="140" t="s">
        <v>14</v>
      </c>
      <c r="D642" s="140" t="s">
        <v>11</v>
      </c>
      <c r="E642" s="140" t="s">
        <v>12</v>
      </c>
      <c r="F642">
        <v>0.77</v>
      </c>
      <c r="G642" s="140" t="s">
        <v>173</v>
      </c>
      <c r="H642">
        <v>0</v>
      </c>
      <c r="I642" s="140" t="s">
        <v>14</v>
      </c>
    </row>
    <row r="643" spans="1:9" hidden="1" x14ac:dyDescent="0.25">
      <c r="A643">
        <v>2020</v>
      </c>
      <c r="B643" s="140" t="s">
        <v>172</v>
      </c>
      <c r="C643" s="140" t="s">
        <v>14</v>
      </c>
      <c r="D643" s="140" t="s">
        <v>11</v>
      </c>
      <c r="E643" s="140" t="s">
        <v>12</v>
      </c>
      <c r="F643">
        <v>1.34</v>
      </c>
      <c r="G643" s="140" t="s">
        <v>173</v>
      </c>
      <c r="H643">
        <v>0</v>
      </c>
      <c r="I643" s="140" t="s">
        <v>14</v>
      </c>
    </row>
    <row r="644" spans="1:9" hidden="1" x14ac:dyDescent="0.25">
      <c r="A644">
        <v>2021</v>
      </c>
      <c r="B644" s="140" t="s">
        <v>172</v>
      </c>
      <c r="C644" s="140" t="s">
        <v>14</v>
      </c>
      <c r="D644" s="140" t="s">
        <v>11</v>
      </c>
      <c r="E644" s="140" t="s">
        <v>12</v>
      </c>
      <c r="F644">
        <v>1.53</v>
      </c>
      <c r="G644" s="140" t="s">
        <v>173</v>
      </c>
      <c r="H644">
        <v>0</v>
      </c>
      <c r="I644" s="140" t="s">
        <v>14</v>
      </c>
    </row>
    <row r="645" spans="1:9" hidden="1" x14ac:dyDescent="0.25">
      <c r="A645">
        <v>2022</v>
      </c>
      <c r="B645" s="140" t="s">
        <v>172</v>
      </c>
      <c r="C645" s="140" t="s">
        <v>14</v>
      </c>
      <c r="D645" s="140" t="s">
        <v>11</v>
      </c>
      <c r="E645" s="140" t="s">
        <v>12</v>
      </c>
      <c r="F645">
        <v>1.34</v>
      </c>
      <c r="G645" s="140" t="s">
        <v>173</v>
      </c>
      <c r="H645">
        <v>0</v>
      </c>
      <c r="I645" s="140" t="s">
        <v>14</v>
      </c>
    </row>
    <row r="646" spans="1:9" hidden="1" x14ac:dyDescent="0.25">
      <c r="A646">
        <v>2023</v>
      </c>
      <c r="B646" s="140" t="s">
        <v>172</v>
      </c>
      <c r="C646" s="140" t="s">
        <v>14</v>
      </c>
      <c r="D646" s="140" t="s">
        <v>11</v>
      </c>
      <c r="E646" s="140" t="s">
        <v>12</v>
      </c>
      <c r="F646">
        <v>1.53</v>
      </c>
      <c r="G646" s="140" t="s">
        <v>173</v>
      </c>
      <c r="H646">
        <v>0</v>
      </c>
      <c r="I646" s="140" t="s">
        <v>14</v>
      </c>
    </row>
    <row r="647" spans="1:9" hidden="1" x14ac:dyDescent="0.25">
      <c r="A647">
        <v>2024</v>
      </c>
      <c r="B647" s="140" t="s">
        <v>172</v>
      </c>
      <c r="C647" s="140" t="s">
        <v>14</v>
      </c>
      <c r="D647" s="140" t="s">
        <v>11</v>
      </c>
      <c r="E647" s="140" t="s">
        <v>12</v>
      </c>
      <c r="F647">
        <v>1.1599999999999999</v>
      </c>
      <c r="G647" s="140" t="s">
        <v>173</v>
      </c>
      <c r="H647">
        <v>0</v>
      </c>
      <c r="I647" s="140" t="s">
        <v>14</v>
      </c>
    </row>
    <row r="648" spans="1:9" hidden="1" x14ac:dyDescent="0.25">
      <c r="A648">
        <v>2025</v>
      </c>
      <c r="B648" s="140" t="s">
        <v>172</v>
      </c>
      <c r="C648" s="140" t="s">
        <v>14</v>
      </c>
      <c r="D648" s="140" t="s">
        <v>11</v>
      </c>
      <c r="E648" s="140" t="s">
        <v>12</v>
      </c>
      <c r="F648">
        <v>1.87</v>
      </c>
      <c r="G648" s="140" t="s">
        <v>173</v>
      </c>
      <c r="H648">
        <v>0</v>
      </c>
      <c r="I648" s="140" t="s">
        <v>14</v>
      </c>
    </row>
    <row r="649" spans="1:9" hidden="1" x14ac:dyDescent="0.25">
      <c r="A649">
        <v>2026</v>
      </c>
      <c r="B649" s="140" t="s">
        <v>172</v>
      </c>
      <c r="C649" s="140" t="s">
        <v>14</v>
      </c>
      <c r="D649" s="140" t="s">
        <v>11</v>
      </c>
      <c r="E649" s="140" t="s">
        <v>12</v>
      </c>
      <c r="F649">
        <v>1.91</v>
      </c>
      <c r="G649" s="140" t="s">
        <v>173</v>
      </c>
      <c r="H649">
        <v>0</v>
      </c>
      <c r="I649" s="140" t="s">
        <v>14</v>
      </c>
    </row>
    <row r="650" spans="1:9" hidden="1" x14ac:dyDescent="0.25">
      <c r="A650">
        <v>2027</v>
      </c>
      <c r="B650" s="140" t="s">
        <v>172</v>
      </c>
      <c r="C650" s="140" t="s">
        <v>14</v>
      </c>
      <c r="D650" s="140" t="s">
        <v>11</v>
      </c>
      <c r="E650" s="140" t="s">
        <v>12</v>
      </c>
      <c r="F650">
        <v>1.91</v>
      </c>
      <c r="G650" s="140" t="s">
        <v>173</v>
      </c>
      <c r="H650">
        <v>0</v>
      </c>
      <c r="I650" s="140" t="s">
        <v>14</v>
      </c>
    </row>
    <row r="651" spans="1:9" hidden="1" x14ac:dyDescent="0.25">
      <c r="A651">
        <v>2028</v>
      </c>
      <c r="B651" s="140" t="s">
        <v>172</v>
      </c>
      <c r="C651" s="140" t="s">
        <v>14</v>
      </c>
      <c r="D651" s="140" t="s">
        <v>11</v>
      </c>
      <c r="E651" s="140" t="s">
        <v>12</v>
      </c>
      <c r="F651">
        <v>1.84</v>
      </c>
      <c r="G651" s="140" t="s">
        <v>173</v>
      </c>
      <c r="H651">
        <v>0</v>
      </c>
      <c r="I651" s="140" t="s">
        <v>14</v>
      </c>
    </row>
    <row r="652" spans="1:9" hidden="1" x14ac:dyDescent="0.25">
      <c r="A652">
        <v>2029</v>
      </c>
      <c r="B652" s="140" t="s">
        <v>172</v>
      </c>
      <c r="C652" s="140" t="s">
        <v>14</v>
      </c>
      <c r="D652" s="140" t="s">
        <v>11</v>
      </c>
      <c r="E652" s="140" t="s">
        <v>12</v>
      </c>
      <c r="F652">
        <v>1.84</v>
      </c>
      <c r="G652" s="140" t="s">
        <v>173</v>
      </c>
      <c r="H652">
        <v>0</v>
      </c>
      <c r="I652" s="140" t="s">
        <v>14</v>
      </c>
    </row>
    <row r="653" spans="1:9" hidden="1" x14ac:dyDescent="0.25">
      <c r="A653">
        <v>2030</v>
      </c>
      <c r="B653" s="140" t="s">
        <v>172</v>
      </c>
      <c r="C653" s="140" t="s">
        <v>14</v>
      </c>
      <c r="D653" s="140" t="s">
        <v>11</v>
      </c>
      <c r="E653" s="140" t="s">
        <v>12</v>
      </c>
      <c r="F653">
        <v>1.84</v>
      </c>
      <c r="G653" s="140" t="s">
        <v>173</v>
      </c>
      <c r="H653">
        <v>0</v>
      </c>
      <c r="I653" s="140" t="s">
        <v>14</v>
      </c>
    </row>
    <row r="654" spans="1:9" hidden="1" x14ac:dyDescent="0.25">
      <c r="A654">
        <v>2009</v>
      </c>
      <c r="B654" s="140" t="s">
        <v>176</v>
      </c>
      <c r="C654" s="140" t="s">
        <v>14</v>
      </c>
      <c r="D654" s="140" t="s">
        <v>11</v>
      </c>
      <c r="E654" s="140" t="s">
        <v>12</v>
      </c>
      <c r="F654">
        <v>1.92</v>
      </c>
      <c r="G654" s="140" t="s">
        <v>177</v>
      </c>
      <c r="H654">
        <v>0</v>
      </c>
      <c r="I654" s="140" t="s">
        <v>14</v>
      </c>
    </row>
    <row r="655" spans="1:9" hidden="1" x14ac:dyDescent="0.25">
      <c r="A655">
        <v>2010</v>
      </c>
      <c r="B655" s="140" t="s">
        <v>176</v>
      </c>
      <c r="C655" s="140" t="s">
        <v>14</v>
      </c>
      <c r="D655" s="140" t="s">
        <v>11</v>
      </c>
      <c r="E655" s="140" t="s">
        <v>12</v>
      </c>
      <c r="F655">
        <v>2.12</v>
      </c>
      <c r="G655" s="140" t="s">
        <v>177</v>
      </c>
      <c r="H655">
        <v>0</v>
      </c>
      <c r="I655" s="140" t="s">
        <v>14</v>
      </c>
    </row>
    <row r="656" spans="1:9" hidden="1" x14ac:dyDescent="0.25">
      <c r="A656">
        <v>2011</v>
      </c>
      <c r="B656" s="140" t="s">
        <v>176</v>
      </c>
      <c r="C656" s="140" t="s">
        <v>14</v>
      </c>
      <c r="D656" s="140" t="s">
        <v>11</v>
      </c>
      <c r="E656" s="140" t="s">
        <v>12</v>
      </c>
      <c r="F656">
        <v>2.3199999999999998</v>
      </c>
      <c r="G656" s="140" t="s">
        <v>177</v>
      </c>
      <c r="H656">
        <v>0</v>
      </c>
      <c r="I656" s="140" t="s">
        <v>14</v>
      </c>
    </row>
    <row r="657" spans="1:9" hidden="1" x14ac:dyDescent="0.25">
      <c r="A657">
        <v>2012</v>
      </c>
      <c r="B657" s="140" t="s">
        <v>176</v>
      </c>
      <c r="C657" s="140" t="s">
        <v>14</v>
      </c>
      <c r="D657" s="140" t="s">
        <v>11</v>
      </c>
      <c r="E657" s="140" t="s">
        <v>12</v>
      </c>
      <c r="F657">
        <v>2.3199999999999998</v>
      </c>
      <c r="G657" s="140" t="s">
        <v>177</v>
      </c>
      <c r="H657">
        <v>0</v>
      </c>
      <c r="I657" s="140" t="s">
        <v>14</v>
      </c>
    </row>
    <row r="658" spans="1:9" hidden="1" x14ac:dyDescent="0.25">
      <c r="A658">
        <v>2013</v>
      </c>
      <c r="B658" s="140" t="s">
        <v>176</v>
      </c>
      <c r="C658" s="140" t="s">
        <v>14</v>
      </c>
      <c r="D658" s="140" t="s">
        <v>11</v>
      </c>
      <c r="E658" s="140" t="s">
        <v>12</v>
      </c>
      <c r="F658">
        <v>2.3199999999999998</v>
      </c>
      <c r="G658" s="140" t="s">
        <v>177</v>
      </c>
      <c r="H658">
        <v>0</v>
      </c>
      <c r="I658" s="140" t="s">
        <v>14</v>
      </c>
    </row>
    <row r="659" spans="1:9" hidden="1" x14ac:dyDescent="0.25">
      <c r="A659">
        <v>2014</v>
      </c>
      <c r="B659" s="140" t="s">
        <v>176</v>
      </c>
      <c r="C659" s="140" t="s">
        <v>14</v>
      </c>
      <c r="D659" s="140" t="s">
        <v>11</v>
      </c>
      <c r="E659" s="140" t="s">
        <v>12</v>
      </c>
      <c r="F659">
        <v>2.2000000000000002</v>
      </c>
      <c r="G659" s="140" t="s">
        <v>177</v>
      </c>
      <c r="H659">
        <v>0</v>
      </c>
      <c r="I659" s="140" t="s">
        <v>14</v>
      </c>
    </row>
    <row r="660" spans="1:9" hidden="1" x14ac:dyDescent="0.25">
      <c r="A660">
        <v>2015</v>
      </c>
      <c r="B660" s="140" t="s">
        <v>176</v>
      </c>
      <c r="C660" s="140" t="s">
        <v>14</v>
      </c>
      <c r="D660" s="140" t="s">
        <v>11</v>
      </c>
      <c r="E660" s="140" t="s">
        <v>12</v>
      </c>
      <c r="F660">
        <v>2.33</v>
      </c>
      <c r="G660" s="140" t="s">
        <v>177</v>
      </c>
      <c r="H660">
        <v>0</v>
      </c>
      <c r="I660" s="140" t="s">
        <v>14</v>
      </c>
    </row>
    <row r="661" spans="1:9" hidden="1" x14ac:dyDescent="0.25">
      <c r="A661">
        <v>2016</v>
      </c>
      <c r="B661" s="140" t="s">
        <v>176</v>
      </c>
      <c r="C661" s="140" t="s">
        <v>14</v>
      </c>
      <c r="D661" s="140" t="s">
        <v>11</v>
      </c>
      <c r="E661" s="140" t="s">
        <v>12</v>
      </c>
      <c r="F661">
        <v>2.85</v>
      </c>
      <c r="G661" s="140" t="s">
        <v>177</v>
      </c>
      <c r="H661">
        <v>0</v>
      </c>
      <c r="I661" s="140" t="s">
        <v>14</v>
      </c>
    </row>
    <row r="662" spans="1:9" hidden="1" x14ac:dyDescent="0.25">
      <c r="A662">
        <v>2017</v>
      </c>
      <c r="B662" s="140" t="s">
        <v>176</v>
      </c>
      <c r="C662" s="140" t="s">
        <v>14</v>
      </c>
      <c r="D662" s="140" t="s">
        <v>11</v>
      </c>
      <c r="E662" s="140" t="s">
        <v>12</v>
      </c>
      <c r="F662">
        <v>2.41</v>
      </c>
      <c r="G662" s="140" t="s">
        <v>177</v>
      </c>
      <c r="H662">
        <v>0</v>
      </c>
      <c r="I662" s="140" t="s">
        <v>14</v>
      </c>
    </row>
    <row r="663" spans="1:9" hidden="1" x14ac:dyDescent="0.25">
      <c r="A663">
        <v>2018</v>
      </c>
      <c r="B663" s="140" t="s">
        <v>176</v>
      </c>
      <c r="C663" s="140" t="s">
        <v>14</v>
      </c>
      <c r="D663" s="140" t="s">
        <v>11</v>
      </c>
      <c r="E663" s="140" t="s">
        <v>12</v>
      </c>
      <c r="F663">
        <v>1.91</v>
      </c>
      <c r="G663" s="140" t="s">
        <v>177</v>
      </c>
      <c r="H663">
        <v>0</v>
      </c>
      <c r="I663" s="140" t="s">
        <v>14</v>
      </c>
    </row>
    <row r="664" spans="1:9" hidden="1" x14ac:dyDescent="0.25">
      <c r="A664">
        <v>2019</v>
      </c>
      <c r="B664" s="140" t="s">
        <v>176</v>
      </c>
      <c r="C664" s="140" t="s">
        <v>14</v>
      </c>
      <c r="D664" s="140" t="s">
        <v>11</v>
      </c>
      <c r="E664" s="140" t="s">
        <v>12</v>
      </c>
      <c r="F664">
        <v>1.5</v>
      </c>
      <c r="G664" s="140" t="s">
        <v>177</v>
      </c>
      <c r="H664">
        <v>0</v>
      </c>
      <c r="I664" s="140" t="s">
        <v>14</v>
      </c>
    </row>
    <row r="665" spans="1:9" hidden="1" x14ac:dyDescent="0.25">
      <c r="A665">
        <v>2020</v>
      </c>
      <c r="B665" s="140" t="s">
        <v>176</v>
      </c>
      <c r="C665" s="140" t="s">
        <v>14</v>
      </c>
      <c r="D665" s="140" t="s">
        <v>11</v>
      </c>
      <c r="E665" s="140" t="s">
        <v>12</v>
      </c>
      <c r="F665">
        <v>1.26</v>
      </c>
      <c r="G665" s="140" t="s">
        <v>177</v>
      </c>
      <c r="H665">
        <v>0</v>
      </c>
      <c r="I665" s="140" t="s">
        <v>14</v>
      </c>
    </row>
    <row r="666" spans="1:9" hidden="1" x14ac:dyDescent="0.25">
      <c r="A666">
        <v>2021</v>
      </c>
      <c r="B666" s="140" t="s">
        <v>176</v>
      </c>
      <c r="C666" s="140" t="s">
        <v>14</v>
      </c>
      <c r="D666" s="140" t="s">
        <v>11</v>
      </c>
      <c r="E666" s="140" t="s">
        <v>12</v>
      </c>
      <c r="F666">
        <v>1.43</v>
      </c>
      <c r="G666" s="140" t="s">
        <v>177</v>
      </c>
      <c r="H666">
        <v>0</v>
      </c>
      <c r="I666" s="140" t="s">
        <v>14</v>
      </c>
    </row>
    <row r="667" spans="1:9" hidden="1" x14ac:dyDescent="0.25">
      <c r="A667">
        <v>2022</v>
      </c>
      <c r="B667" s="140" t="s">
        <v>176</v>
      </c>
      <c r="C667" s="140" t="s">
        <v>14</v>
      </c>
      <c r="D667" s="140" t="s">
        <v>11</v>
      </c>
      <c r="E667" s="140" t="s">
        <v>12</v>
      </c>
      <c r="F667">
        <v>1.51</v>
      </c>
      <c r="G667" s="140" t="s">
        <v>177</v>
      </c>
      <c r="H667">
        <v>0</v>
      </c>
      <c r="I667" s="140" t="s">
        <v>14</v>
      </c>
    </row>
    <row r="668" spans="1:9" hidden="1" x14ac:dyDescent="0.25">
      <c r="A668">
        <v>2023</v>
      </c>
      <c r="B668" s="140" t="s">
        <v>176</v>
      </c>
      <c r="C668" s="140" t="s">
        <v>14</v>
      </c>
      <c r="D668" s="140" t="s">
        <v>11</v>
      </c>
      <c r="E668" s="140" t="s">
        <v>12</v>
      </c>
      <c r="F668">
        <v>1.54</v>
      </c>
      <c r="G668" s="140" t="s">
        <v>177</v>
      </c>
      <c r="H668">
        <v>0</v>
      </c>
      <c r="I668" s="140" t="s">
        <v>14</v>
      </c>
    </row>
    <row r="669" spans="1:9" hidden="1" x14ac:dyDescent="0.25">
      <c r="A669">
        <v>2024</v>
      </c>
      <c r="B669" s="140" t="s">
        <v>176</v>
      </c>
      <c r="C669" s="140" t="s">
        <v>14</v>
      </c>
      <c r="D669" s="140" t="s">
        <v>11</v>
      </c>
      <c r="E669" s="140" t="s">
        <v>12</v>
      </c>
      <c r="F669">
        <v>0.82</v>
      </c>
      <c r="G669" s="140" t="s">
        <v>177</v>
      </c>
      <c r="H669">
        <v>0</v>
      </c>
      <c r="I669" s="140" t="s">
        <v>14</v>
      </c>
    </row>
    <row r="670" spans="1:9" hidden="1" x14ac:dyDescent="0.25">
      <c r="A670">
        <v>2025</v>
      </c>
      <c r="B670" s="140" t="s">
        <v>176</v>
      </c>
      <c r="C670" s="140" t="s">
        <v>14</v>
      </c>
      <c r="D670" s="140" t="s">
        <v>11</v>
      </c>
      <c r="E670" s="140" t="s">
        <v>12</v>
      </c>
      <c r="F670">
        <v>0.61</v>
      </c>
      <c r="G670" s="140" t="s">
        <v>177</v>
      </c>
      <c r="H670">
        <v>0</v>
      </c>
      <c r="I670" s="140" t="s">
        <v>14</v>
      </c>
    </row>
    <row r="671" spans="1:9" hidden="1" x14ac:dyDescent="0.25">
      <c r="A671">
        <v>2026</v>
      </c>
      <c r="B671" s="140" t="s">
        <v>176</v>
      </c>
      <c r="C671" s="140" t="s">
        <v>14</v>
      </c>
      <c r="D671" s="140" t="s">
        <v>11</v>
      </c>
      <c r="E671" s="140" t="s">
        <v>12</v>
      </c>
      <c r="F671">
        <v>0.92</v>
      </c>
      <c r="G671" s="140" t="s">
        <v>177</v>
      </c>
      <c r="H671">
        <v>0</v>
      </c>
      <c r="I671" s="140" t="s">
        <v>14</v>
      </c>
    </row>
    <row r="672" spans="1:9" hidden="1" x14ac:dyDescent="0.25">
      <c r="A672">
        <v>2027</v>
      </c>
      <c r="B672" s="140" t="s">
        <v>176</v>
      </c>
      <c r="C672" s="140" t="s">
        <v>14</v>
      </c>
      <c r="D672" s="140" t="s">
        <v>11</v>
      </c>
      <c r="E672" s="140" t="s">
        <v>12</v>
      </c>
      <c r="F672">
        <v>0.78</v>
      </c>
      <c r="G672" s="140" t="s">
        <v>177</v>
      </c>
      <c r="H672">
        <v>0</v>
      </c>
      <c r="I672" s="140" t="s">
        <v>14</v>
      </c>
    </row>
    <row r="673" spans="1:9" hidden="1" x14ac:dyDescent="0.25">
      <c r="A673">
        <v>2028</v>
      </c>
      <c r="B673" s="140" t="s">
        <v>176</v>
      </c>
      <c r="C673" s="140" t="s">
        <v>14</v>
      </c>
      <c r="D673" s="140" t="s">
        <v>11</v>
      </c>
      <c r="E673" s="140" t="s">
        <v>12</v>
      </c>
      <c r="F673">
        <v>0.78</v>
      </c>
      <c r="G673" s="140" t="s">
        <v>177</v>
      </c>
      <c r="H673">
        <v>0</v>
      </c>
      <c r="I673" s="140" t="s">
        <v>14</v>
      </c>
    </row>
    <row r="674" spans="1:9" hidden="1" x14ac:dyDescent="0.25">
      <c r="A674">
        <v>2029</v>
      </c>
      <c r="B674" s="140" t="s">
        <v>176</v>
      </c>
      <c r="C674" s="140" t="s">
        <v>14</v>
      </c>
      <c r="D674" s="140" t="s">
        <v>11</v>
      </c>
      <c r="E674" s="140" t="s">
        <v>12</v>
      </c>
      <c r="F674">
        <v>0.78</v>
      </c>
      <c r="G674" s="140" t="s">
        <v>177</v>
      </c>
      <c r="H674">
        <v>0</v>
      </c>
      <c r="I674" s="140" t="s">
        <v>14</v>
      </c>
    </row>
    <row r="675" spans="1:9" hidden="1" x14ac:dyDescent="0.25">
      <c r="A675">
        <v>2030</v>
      </c>
      <c r="B675" s="140" t="s">
        <v>176</v>
      </c>
      <c r="C675" s="140" t="s">
        <v>14</v>
      </c>
      <c r="D675" s="140" t="s">
        <v>11</v>
      </c>
      <c r="E675" s="140" t="s">
        <v>12</v>
      </c>
      <c r="F675">
        <v>0.78</v>
      </c>
      <c r="G675" s="140" t="s">
        <v>177</v>
      </c>
      <c r="H675">
        <v>0</v>
      </c>
      <c r="I675" s="140" t="s">
        <v>14</v>
      </c>
    </row>
    <row r="676" spans="1:9" hidden="1" x14ac:dyDescent="0.25">
      <c r="A676">
        <v>2009</v>
      </c>
      <c r="B676" s="140" t="s">
        <v>174</v>
      </c>
      <c r="C676" s="140" t="s">
        <v>14</v>
      </c>
      <c r="D676" s="140" t="s">
        <v>11</v>
      </c>
      <c r="E676" s="140" t="s">
        <v>12</v>
      </c>
      <c r="F676">
        <v>16.8</v>
      </c>
      <c r="G676" s="140" t="s">
        <v>175</v>
      </c>
      <c r="H676">
        <v>0</v>
      </c>
      <c r="I676" s="140" t="s">
        <v>14</v>
      </c>
    </row>
    <row r="677" spans="1:9" hidden="1" x14ac:dyDescent="0.25">
      <c r="A677">
        <v>2010</v>
      </c>
      <c r="B677" s="140" t="s">
        <v>174</v>
      </c>
      <c r="C677" s="140" t="s">
        <v>14</v>
      </c>
      <c r="D677" s="140" t="s">
        <v>11</v>
      </c>
      <c r="E677" s="140" t="s">
        <v>12</v>
      </c>
      <c r="F677">
        <v>16.899999999999999</v>
      </c>
      <c r="G677" s="140" t="s">
        <v>175</v>
      </c>
      <c r="H677">
        <v>0</v>
      </c>
      <c r="I677" s="140" t="s">
        <v>14</v>
      </c>
    </row>
    <row r="678" spans="1:9" hidden="1" x14ac:dyDescent="0.25">
      <c r="A678">
        <v>2011</v>
      </c>
      <c r="B678" s="140" t="s">
        <v>174</v>
      </c>
      <c r="C678" s="140" t="s">
        <v>14</v>
      </c>
      <c r="D678" s="140" t="s">
        <v>11</v>
      </c>
      <c r="E678" s="140" t="s">
        <v>12</v>
      </c>
      <c r="F678">
        <v>17.100000000000001</v>
      </c>
      <c r="G678" s="140" t="s">
        <v>175</v>
      </c>
      <c r="H678">
        <v>0</v>
      </c>
      <c r="I678" s="140" t="s">
        <v>14</v>
      </c>
    </row>
    <row r="679" spans="1:9" hidden="1" x14ac:dyDescent="0.25">
      <c r="A679">
        <v>2012</v>
      </c>
      <c r="B679" s="140" t="s">
        <v>174</v>
      </c>
      <c r="C679" s="140" t="s">
        <v>14</v>
      </c>
      <c r="D679" s="140" t="s">
        <v>11</v>
      </c>
      <c r="E679" s="140" t="s">
        <v>12</v>
      </c>
      <c r="F679">
        <v>17.350000000000001</v>
      </c>
      <c r="G679" s="140" t="s">
        <v>175</v>
      </c>
      <c r="H679">
        <v>0</v>
      </c>
      <c r="I679" s="140" t="s">
        <v>14</v>
      </c>
    </row>
    <row r="680" spans="1:9" hidden="1" x14ac:dyDescent="0.25">
      <c r="A680">
        <v>2013</v>
      </c>
      <c r="B680" s="140" t="s">
        <v>174</v>
      </c>
      <c r="C680" s="140" t="s">
        <v>14</v>
      </c>
      <c r="D680" s="140" t="s">
        <v>11</v>
      </c>
      <c r="E680" s="140" t="s">
        <v>12</v>
      </c>
      <c r="F680">
        <v>17.350000000000001</v>
      </c>
      <c r="G680" s="140" t="s">
        <v>175</v>
      </c>
      <c r="H680">
        <v>0</v>
      </c>
      <c r="I680" s="140" t="s">
        <v>14</v>
      </c>
    </row>
    <row r="681" spans="1:9" hidden="1" x14ac:dyDescent="0.25">
      <c r="A681">
        <v>2014</v>
      </c>
      <c r="B681" s="140" t="s">
        <v>174</v>
      </c>
      <c r="C681" s="140" t="s">
        <v>14</v>
      </c>
      <c r="D681" s="140" t="s">
        <v>11</v>
      </c>
      <c r="E681" s="140" t="s">
        <v>12</v>
      </c>
      <c r="F681">
        <v>17.75</v>
      </c>
      <c r="G681" s="140" t="s">
        <v>175</v>
      </c>
      <c r="H681">
        <v>0</v>
      </c>
      <c r="I681" s="140" t="s">
        <v>14</v>
      </c>
    </row>
    <row r="682" spans="1:9" hidden="1" x14ac:dyDescent="0.25">
      <c r="A682">
        <v>2015</v>
      </c>
      <c r="B682" s="140" t="s">
        <v>174</v>
      </c>
      <c r="C682" s="140" t="s">
        <v>14</v>
      </c>
      <c r="D682" s="140" t="s">
        <v>11</v>
      </c>
      <c r="E682" s="140" t="s">
        <v>12</v>
      </c>
      <c r="F682">
        <v>18</v>
      </c>
      <c r="G682" s="140" t="s">
        <v>175</v>
      </c>
      <c r="H682">
        <v>0</v>
      </c>
      <c r="I682" s="140" t="s">
        <v>14</v>
      </c>
    </row>
    <row r="683" spans="1:9" hidden="1" x14ac:dyDescent="0.25">
      <c r="A683">
        <v>2016</v>
      </c>
      <c r="B683" s="140" t="s">
        <v>174</v>
      </c>
      <c r="C683" s="140" t="s">
        <v>14</v>
      </c>
      <c r="D683" s="140" t="s">
        <v>11</v>
      </c>
      <c r="E683" s="140" t="s">
        <v>12</v>
      </c>
      <c r="F683">
        <v>18</v>
      </c>
      <c r="G683" s="140" t="s">
        <v>175</v>
      </c>
      <c r="H683">
        <v>0</v>
      </c>
      <c r="I683" s="140" t="s">
        <v>14</v>
      </c>
    </row>
    <row r="684" spans="1:9" hidden="1" x14ac:dyDescent="0.25">
      <c r="A684">
        <v>2017</v>
      </c>
      <c r="B684" s="140" t="s">
        <v>174</v>
      </c>
      <c r="C684" s="140" t="s">
        <v>14</v>
      </c>
      <c r="D684" s="140" t="s">
        <v>11</v>
      </c>
      <c r="E684" s="140" t="s">
        <v>12</v>
      </c>
      <c r="F684">
        <v>17.95</v>
      </c>
      <c r="G684" s="140" t="s">
        <v>175</v>
      </c>
      <c r="H684">
        <v>0</v>
      </c>
      <c r="I684" s="140" t="s">
        <v>14</v>
      </c>
    </row>
    <row r="685" spans="1:9" hidden="1" x14ac:dyDescent="0.25">
      <c r="A685">
        <v>2018</v>
      </c>
      <c r="B685" s="140" t="s">
        <v>174</v>
      </c>
      <c r="C685" s="140" t="s">
        <v>14</v>
      </c>
      <c r="D685" s="140" t="s">
        <v>11</v>
      </c>
      <c r="E685" s="140" t="s">
        <v>12</v>
      </c>
      <c r="F685">
        <v>17.739999999999998</v>
      </c>
      <c r="G685" s="140" t="s">
        <v>175</v>
      </c>
      <c r="H685">
        <v>0</v>
      </c>
      <c r="I685" s="140" t="s">
        <v>14</v>
      </c>
    </row>
    <row r="686" spans="1:9" hidden="1" x14ac:dyDescent="0.25">
      <c r="A686">
        <v>2019</v>
      </c>
      <c r="B686" s="140" t="s">
        <v>174</v>
      </c>
      <c r="C686" s="140" t="s">
        <v>14</v>
      </c>
      <c r="D686" s="140" t="s">
        <v>11</v>
      </c>
      <c r="E686" s="140" t="s">
        <v>12</v>
      </c>
      <c r="F686">
        <v>17.34</v>
      </c>
      <c r="G686" s="140" t="s">
        <v>175</v>
      </c>
      <c r="H686">
        <v>0</v>
      </c>
      <c r="I686" s="140" t="s">
        <v>14</v>
      </c>
    </row>
    <row r="687" spans="1:9" hidden="1" x14ac:dyDescent="0.25">
      <c r="A687">
        <v>2020</v>
      </c>
      <c r="B687" s="140" t="s">
        <v>174</v>
      </c>
      <c r="C687" s="140" t="s">
        <v>14</v>
      </c>
      <c r="D687" s="140" t="s">
        <v>11</v>
      </c>
      <c r="E687" s="140" t="s">
        <v>12</v>
      </c>
      <c r="F687">
        <v>15.23</v>
      </c>
      <c r="G687" s="140" t="s">
        <v>175</v>
      </c>
      <c r="H687">
        <v>0</v>
      </c>
      <c r="I687" s="140" t="s">
        <v>14</v>
      </c>
    </row>
    <row r="688" spans="1:9" hidden="1" x14ac:dyDescent="0.25">
      <c r="A688">
        <v>2021</v>
      </c>
      <c r="B688" s="140" t="s">
        <v>174</v>
      </c>
      <c r="C688" s="140" t="s">
        <v>14</v>
      </c>
      <c r="D688" s="140" t="s">
        <v>11</v>
      </c>
      <c r="E688" s="140" t="s">
        <v>12</v>
      </c>
      <c r="F688">
        <v>16.93</v>
      </c>
      <c r="G688" s="140" t="s">
        <v>175</v>
      </c>
      <c r="H688">
        <v>0</v>
      </c>
      <c r="I688" s="140" t="s">
        <v>14</v>
      </c>
    </row>
    <row r="689" spans="1:9" hidden="1" x14ac:dyDescent="0.25">
      <c r="A689">
        <v>2022</v>
      </c>
      <c r="B689" s="140" t="s">
        <v>174</v>
      </c>
      <c r="C689" s="140" t="s">
        <v>14</v>
      </c>
      <c r="D689" s="140" t="s">
        <v>11</v>
      </c>
      <c r="E689" s="140" t="s">
        <v>12</v>
      </c>
      <c r="F689">
        <v>17.38</v>
      </c>
      <c r="G689" s="140" t="s">
        <v>175</v>
      </c>
      <c r="H689">
        <v>0</v>
      </c>
      <c r="I689" s="140" t="s">
        <v>14</v>
      </c>
    </row>
    <row r="690" spans="1:9" hidden="1" x14ac:dyDescent="0.25">
      <c r="A690">
        <v>2023</v>
      </c>
      <c r="B690" s="140" t="s">
        <v>174</v>
      </c>
      <c r="C690" s="140" t="s">
        <v>14</v>
      </c>
      <c r="D690" s="140" t="s">
        <v>11</v>
      </c>
      <c r="E690" s="140" t="s">
        <v>12</v>
      </c>
      <c r="F690">
        <v>17.37</v>
      </c>
      <c r="G690" s="140" t="s">
        <v>175</v>
      </c>
      <c r="H690">
        <v>0</v>
      </c>
      <c r="I690" s="140" t="s">
        <v>14</v>
      </c>
    </row>
    <row r="691" spans="1:9" hidden="1" x14ac:dyDescent="0.25">
      <c r="A691">
        <v>2024</v>
      </c>
      <c r="B691" s="140" t="s">
        <v>174</v>
      </c>
      <c r="C691" s="140" t="s">
        <v>14</v>
      </c>
      <c r="D691" s="140" t="s">
        <v>11</v>
      </c>
      <c r="E691" s="140" t="s">
        <v>12</v>
      </c>
      <c r="F691">
        <v>17.34</v>
      </c>
      <c r="G691" s="140" t="s">
        <v>175</v>
      </c>
      <c r="H691">
        <v>0</v>
      </c>
      <c r="I691" s="140" t="s">
        <v>14</v>
      </c>
    </row>
    <row r="692" spans="1:9" hidden="1" x14ac:dyDescent="0.25">
      <c r="A692">
        <v>2025</v>
      </c>
      <c r="B692" s="140" t="s">
        <v>174</v>
      </c>
      <c r="C692" s="140" t="s">
        <v>14</v>
      </c>
      <c r="D692" s="140" t="s">
        <v>11</v>
      </c>
      <c r="E692" s="140" t="s">
        <v>12</v>
      </c>
      <c r="F692">
        <v>17.38</v>
      </c>
      <c r="G692" s="140" t="s">
        <v>175</v>
      </c>
      <c r="H692">
        <v>0</v>
      </c>
      <c r="I692" s="140" t="s">
        <v>14</v>
      </c>
    </row>
    <row r="693" spans="1:9" hidden="1" x14ac:dyDescent="0.25">
      <c r="A693">
        <v>2026</v>
      </c>
      <c r="B693" s="140" t="s">
        <v>174</v>
      </c>
      <c r="C693" s="140" t="s">
        <v>14</v>
      </c>
      <c r="D693" s="140" t="s">
        <v>11</v>
      </c>
      <c r="E693" s="140" t="s">
        <v>12</v>
      </c>
      <c r="F693">
        <v>17.100000000000001</v>
      </c>
      <c r="G693" s="140" t="s">
        <v>175</v>
      </c>
      <c r="H693">
        <v>0</v>
      </c>
      <c r="I693" s="140" t="s">
        <v>14</v>
      </c>
    </row>
    <row r="694" spans="1:9" hidden="1" x14ac:dyDescent="0.25">
      <c r="A694">
        <v>2027</v>
      </c>
      <c r="B694" s="140" t="s">
        <v>174</v>
      </c>
      <c r="C694" s="140" t="s">
        <v>14</v>
      </c>
      <c r="D694" s="140" t="s">
        <v>11</v>
      </c>
      <c r="E694" s="140" t="s">
        <v>12</v>
      </c>
      <c r="F694">
        <v>17.100000000000001</v>
      </c>
      <c r="G694" s="140" t="s">
        <v>175</v>
      </c>
      <c r="H694">
        <v>0</v>
      </c>
      <c r="I694" s="140" t="s">
        <v>14</v>
      </c>
    </row>
    <row r="695" spans="1:9" hidden="1" x14ac:dyDescent="0.25">
      <c r="A695">
        <v>2028</v>
      </c>
      <c r="B695" s="140" t="s">
        <v>174</v>
      </c>
      <c r="C695" s="140" t="s">
        <v>14</v>
      </c>
      <c r="D695" s="140" t="s">
        <v>11</v>
      </c>
      <c r="E695" s="140" t="s">
        <v>12</v>
      </c>
      <c r="F695">
        <v>17.100000000000001</v>
      </c>
      <c r="G695" s="140" t="s">
        <v>175</v>
      </c>
      <c r="H695">
        <v>0</v>
      </c>
      <c r="I695" s="140" t="s">
        <v>14</v>
      </c>
    </row>
    <row r="696" spans="1:9" hidden="1" x14ac:dyDescent="0.25">
      <c r="A696">
        <v>2029</v>
      </c>
      <c r="B696" s="140" t="s">
        <v>174</v>
      </c>
      <c r="C696" s="140" t="s">
        <v>14</v>
      </c>
      <c r="D696" s="140" t="s">
        <v>11</v>
      </c>
      <c r="E696" s="140" t="s">
        <v>12</v>
      </c>
      <c r="F696">
        <v>17.100000000000001</v>
      </c>
      <c r="G696" s="140" t="s">
        <v>175</v>
      </c>
      <c r="H696">
        <v>0</v>
      </c>
      <c r="I696" s="140" t="s">
        <v>14</v>
      </c>
    </row>
    <row r="697" spans="1:9" hidden="1" x14ac:dyDescent="0.25">
      <c r="A697">
        <v>2030</v>
      </c>
      <c r="B697" s="140" t="s">
        <v>174</v>
      </c>
      <c r="C697" s="140" t="s">
        <v>14</v>
      </c>
      <c r="D697" s="140" t="s">
        <v>11</v>
      </c>
      <c r="E697" s="140" t="s">
        <v>12</v>
      </c>
      <c r="F697">
        <v>17.100000000000001</v>
      </c>
      <c r="G697" s="140" t="s">
        <v>175</v>
      </c>
      <c r="H697">
        <v>0</v>
      </c>
      <c r="I697" s="140" t="s">
        <v>14</v>
      </c>
    </row>
    <row r="698" spans="1:9" hidden="1" x14ac:dyDescent="0.25">
      <c r="A698">
        <v>2009</v>
      </c>
      <c r="B698" s="140" t="s">
        <v>169</v>
      </c>
      <c r="C698" s="140" t="s">
        <v>14</v>
      </c>
      <c r="D698" s="140" t="s">
        <v>11</v>
      </c>
      <c r="E698" s="140" t="s">
        <v>12</v>
      </c>
      <c r="F698">
        <v>23.6</v>
      </c>
      <c r="G698" s="140" t="s">
        <v>340</v>
      </c>
      <c r="H698">
        <v>0</v>
      </c>
      <c r="I698" s="140" t="s">
        <v>14</v>
      </c>
    </row>
    <row r="699" spans="1:9" hidden="1" x14ac:dyDescent="0.25">
      <c r="A699">
        <v>2010</v>
      </c>
      <c r="B699" s="140" t="s">
        <v>169</v>
      </c>
      <c r="C699" s="140" t="s">
        <v>14</v>
      </c>
      <c r="D699" s="140" t="s">
        <v>11</v>
      </c>
      <c r="E699" s="140" t="s">
        <v>12</v>
      </c>
      <c r="F699">
        <v>23.6</v>
      </c>
      <c r="G699" s="140" t="s">
        <v>340</v>
      </c>
      <c r="H699">
        <v>0</v>
      </c>
      <c r="I699" s="140" t="s">
        <v>14</v>
      </c>
    </row>
    <row r="700" spans="1:9" hidden="1" x14ac:dyDescent="0.25">
      <c r="A700">
        <v>2011</v>
      </c>
      <c r="B700" s="140" t="s">
        <v>169</v>
      </c>
      <c r="C700" s="140" t="s">
        <v>14</v>
      </c>
      <c r="D700" s="140" t="s">
        <v>11</v>
      </c>
      <c r="E700" s="140" t="s">
        <v>12</v>
      </c>
      <c r="F700">
        <v>23.6</v>
      </c>
      <c r="G700" s="140" t="s">
        <v>340</v>
      </c>
      <c r="H700">
        <v>0</v>
      </c>
      <c r="I700" s="140" t="s">
        <v>14</v>
      </c>
    </row>
    <row r="701" spans="1:9" hidden="1" x14ac:dyDescent="0.25">
      <c r="A701">
        <v>2012</v>
      </c>
      <c r="B701" s="140" t="s">
        <v>169</v>
      </c>
      <c r="C701" s="140" t="s">
        <v>14</v>
      </c>
      <c r="D701" s="140" t="s">
        <v>11</v>
      </c>
      <c r="E701" s="140" t="s">
        <v>12</v>
      </c>
      <c r="F701">
        <v>23.6</v>
      </c>
      <c r="G701" s="140" t="s">
        <v>340</v>
      </c>
      <c r="H701">
        <v>0</v>
      </c>
      <c r="I701" s="140" t="s">
        <v>14</v>
      </c>
    </row>
    <row r="702" spans="1:9" hidden="1" x14ac:dyDescent="0.25">
      <c r="A702">
        <v>2013</v>
      </c>
      <c r="B702" s="140" t="s">
        <v>169</v>
      </c>
      <c r="C702" s="140" t="s">
        <v>14</v>
      </c>
      <c r="D702" s="140" t="s">
        <v>11</v>
      </c>
      <c r="E702" s="140" t="s">
        <v>12</v>
      </c>
      <c r="F702">
        <v>24</v>
      </c>
      <c r="G702" s="140" t="s">
        <v>340</v>
      </c>
      <c r="H702">
        <v>0</v>
      </c>
      <c r="I702" s="140" t="s">
        <v>14</v>
      </c>
    </row>
    <row r="703" spans="1:9" hidden="1" x14ac:dyDescent="0.25">
      <c r="A703">
        <v>2014</v>
      </c>
      <c r="B703" s="140" t="s">
        <v>169</v>
      </c>
      <c r="C703" s="140" t="s">
        <v>14</v>
      </c>
      <c r="D703" s="140" t="s">
        <v>11</v>
      </c>
      <c r="E703" s="140" t="s">
        <v>12</v>
      </c>
      <c r="F703">
        <v>23.79</v>
      </c>
      <c r="G703" s="140" t="s">
        <v>340</v>
      </c>
      <c r="H703">
        <v>0</v>
      </c>
      <c r="I703" s="140" t="s">
        <v>14</v>
      </c>
    </row>
    <row r="704" spans="1:9" hidden="1" x14ac:dyDescent="0.25">
      <c r="A704">
        <v>2015</v>
      </c>
      <c r="B704" s="140" t="s">
        <v>169</v>
      </c>
      <c r="C704" s="140" t="s">
        <v>14</v>
      </c>
      <c r="D704" s="140" t="s">
        <v>11</v>
      </c>
      <c r="E704" s="140" t="s">
        <v>12</v>
      </c>
      <c r="F704">
        <v>23.65</v>
      </c>
      <c r="G704" s="140" t="s">
        <v>340</v>
      </c>
      <c r="H704">
        <v>0</v>
      </c>
      <c r="I704" s="140" t="s">
        <v>14</v>
      </c>
    </row>
    <row r="705" spans="1:9" hidden="1" x14ac:dyDescent="0.25">
      <c r="A705">
        <v>2016</v>
      </c>
      <c r="B705" s="140" t="s">
        <v>169</v>
      </c>
      <c r="C705" s="140" t="s">
        <v>14</v>
      </c>
      <c r="D705" s="140" t="s">
        <v>11</v>
      </c>
      <c r="E705" s="140" t="s">
        <v>12</v>
      </c>
      <c r="F705">
        <v>23.21</v>
      </c>
      <c r="G705" s="140" t="s">
        <v>340</v>
      </c>
      <c r="H705">
        <v>0</v>
      </c>
      <c r="I705" s="140" t="s">
        <v>14</v>
      </c>
    </row>
    <row r="706" spans="1:9" hidden="1" x14ac:dyDescent="0.25">
      <c r="A706">
        <v>2017</v>
      </c>
      <c r="B706" s="140" t="s">
        <v>169</v>
      </c>
      <c r="C706" s="140" t="s">
        <v>14</v>
      </c>
      <c r="D706" s="140" t="s">
        <v>11</v>
      </c>
      <c r="E706" s="140" t="s">
        <v>12</v>
      </c>
      <c r="F706">
        <v>21.95</v>
      </c>
      <c r="G706" s="140" t="s">
        <v>340</v>
      </c>
      <c r="H706">
        <v>0</v>
      </c>
      <c r="I706" s="140" t="s">
        <v>14</v>
      </c>
    </row>
    <row r="707" spans="1:9" hidden="1" x14ac:dyDescent="0.25">
      <c r="A707">
        <v>2018</v>
      </c>
      <c r="B707" s="140" t="s">
        <v>169</v>
      </c>
      <c r="C707" s="140" t="s">
        <v>14</v>
      </c>
      <c r="D707" s="140" t="s">
        <v>11</v>
      </c>
      <c r="E707" s="140" t="s">
        <v>12</v>
      </c>
      <c r="F707">
        <v>21.6</v>
      </c>
      <c r="G707" s="140" t="s">
        <v>340</v>
      </c>
      <c r="H707">
        <v>0</v>
      </c>
      <c r="I707" s="140" t="s">
        <v>14</v>
      </c>
    </row>
    <row r="708" spans="1:9" hidden="1" x14ac:dyDescent="0.25">
      <c r="A708">
        <v>2019</v>
      </c>
      <c r="B708" s="140" t="s">
        <v>169</v>
      </c>
      <c r="C708" s="140" t="s">
        <v>14</v>
      </c>
      <c r="D708" s="140" t="s">
        <v>11</v>
      </c>
      <c r="E708" s="140" t="s">
        <v>12</v>
      </c>
      <c r="F708">
        <v>21.17</v>
      </c>
      <c r="G708" s="140" t="s">
        <v>340</v>
      </c>
      <c r="H708">
        <v>0</v>
      </c>
      <c r="I708" s="140" t="s">
        <v>14</v>
      </c>
    </row>
    <row r="709" spans="1:9" hidden="1" x14ac:dyDescent="0.25">
      <c r="A709">
        <v>2020</v>
      </c>
      <c r="B709" s="140" t="s">
        <v>169</v>
      </c>
      <c r="C709" s="140" t="s">
        <v>14</v>
      </c>
      <c r="D709" s="140" t="s">
        <v>11</v>
      </c>
      <c r="E709" s="140" t="s">
        <v>12</v>
      </c>
      <c r="F709">
        <v>20.78</v>
      </c>
      <c r="G709" s="140" t="s">
        <v>340</v>
      </c>
      <c r="H709">
        <v>0</v>
      </c>
      <c r="I709" s="140" t="s">
        <v>14</v>
      </c>
    </row>
    <row r="710" spans="1:9" hidden="1" x14ac:dyDescent="0.25">
      <c r="A710">
        <v>2021</v>
      </c>
      <c r="B710" s="140" t="s">
        <v>169</v>
      </c>
      <c r="C710" s="140" t="s">
        <v>14</v>
      </c>
      <c r="D710" s="140" t="s">
        <v>11</v>
      </c>
      <c r="E710" s="140" t="s">
        <v>12</v>
      </c>
      <c r="F710">
        <v>20.6</v>
      </c>
      <c r="G710" s="140" t="s">
        <v>340</v>
      </c>
      <c r="H710">
        <v>0</v>
      </c>
      <c r="I710" s="140" t="s">
        <v>14</v>
      </c>
    </row>
    <row r="711" spans="1:9" hidden="1" x14ac:dyDescent="0.25">
      <c r="A711">
        <v>2022</v>
      </c>
      <c r="B711" s="140" t="s">
        <v>169</v>
      </c>
      <c r="C711" s="140" t="s">
        <v>14</v>
      </c>
      <c r="D711" s="140" t="s">
        <v>11</v>
      </c>
      <c r="E711" s="140" t="s">
        <v>12</v>
      </c>
      <c r="F711">
        <v>20.34</v>
      </c>
      <c r="G711" s="140" t="s">
        <v>340</v>
      </c>
      <c r="H711">
        <v>0</v>
      </c>
      <c r="I711" s="140" t="s">
        <v>14</v>
      </c>
    </row>
    <row r="712" spans="1:9" hidden="1" x14ac:dyDescent="0.25">
      <c r="A712">
        <v>2023</v>
      </c>
      <c r="B712" s="140" t="s">
        <v>169</v>
      </c>
      <c r="C712" s="140" t="s">
        <v>14</v>
      </c>
      <c r="D712" s="140" t="s">
        <v>11</v>
      </c>
      <c r="E712" s="140" t="s">
        <v>12</v>
      </c>
      <c r="F712">
        <v>19.809999999999999</v>
      </c>
      <c r="G712" s="140" t="s">
        <v>340</v>
      </c>
      <c r="H712">
        <v>0</v>
      </c>
      <c r="I712" s="140" t="s">
        <v>14</v>
      </c>
    </row>
    <row r="713" spans="1:9" hidden="1" x14ac:dyDescent="0.25">
      <c r="A713">
        <v>2024</v>
      </c>
      <c r="B713" s="140" t="s">
        <v>169</v>
      </c>
      <c r="C713" s="140" t="s">
        <v>14</v>
      </c>
      <c r="D713" s="140" t="s">
        <v>11</v>
      </c>
      <c r="E713" s="140" t="s">
        <v>12</v>
      </c>
      <c r="F713">
        <v>19.59</v>
      </c>
      <c r="G713" s="140" t="s">
        <v>340</v>
      </c>
      <c r="H713">
        <v>0</v>
      </c>
      <c r="I713" s="140" t="s">
        <v>14</v>
      </c>
    </row>
    <row r="714" spans="1:9" hidden="1" x14ac:dyDescent="0.25">
      <c r="A714">
        <v>2025</v>
      </c>
      <c r="B714" s="140" t="s">
        <v>169</v>
      </c>
      <c r="C714" s="140" t="s">
        <v>14</v>
      </c>
      <c r="D714" s="140" t="s">
        <v>11</v>
      </c>
      <c r="E714" s="140" t="s">
        <v>12</v>
      </c>
      <c r="F714">
        <v>19.260000000000002</v>
      </c>
      <c r="G714" s="140" t="s">
        <v>340</v>
      </c>
      <c r="H714">
        <v>0</v>
      </c>
      <c r="I714" s="140" t="s">
        <v>14</v>
      </c>
    </row>
    <row r="715" spans="1:9" hidden="1" x14ac:dyDescent="0.25">
      <c r="A715">
        <v>2026</v>
      </c>
      <c r="B715" s="140" t="s">
        <v>169</v>
      </c>
      <c r="C715" s="140" t="s">
        <v>14</v>
      </c>
      <c r="D715" s="140" t="s">
        <v>11</v>
      </c>
      <c r="E715" s="140" t="s">
        <v>12</v>
      </c>
      <c r="F715">
        <v>19.3</v>
      </c>
      <c r="G715" s="140" t="s">
        <v>340</v>
      </c>
      <c r="H715">
        <v>0</v>
      </c>
      <c r="I715" s="140" t="s">
        <v>14</v>
      </c>
    </row>
    <row r="716" spans="1:9" hidden="1" x14ac:dyDescent="0.25">
      <c r="A716">
        <v>2027</v>
      </c>
      <c r="B716" s="140" t="s">
        <v>169</v>
      </c>
      <c r="C716" s="140" t="s">
        <v>14</v>
      </c>
      <c r="D716" s="140" t="s">
        <v>11</v>
      </c>
      <c r="E716" s="140" t="s">
        <v>12</v>
      </c>
      <c r="F716">
        <v>19.3</v>
      </c>
      <c r="G716" s="140" t="s">
        <v>340</v>
      </c>
      <c r="H716">
        <v>0</v>
      </c>
      <c r="I716" s="140" t="s">
        <v>14</v>
      </c>
    </row>
    <row r="717" spans="1:9" hidden="1" x14ac:dyDescent="0.25">
      <c r="A717">
        <v>2028</v>
      </c>
      <c r="B717" s="140" t="s">
        <v>169</v>
      </c>
      <c r="C717" s="140" t="s">
        <v>14</v>
      </c>
      <c r="D717" s="140" t="s">
        <v>11</v>
      </c>
      <c r="E717" s="140" t="s">
        <v>12</v>
      </c>
      <c r="F717">
        <v>19.3</v>
      </c>
      <c r="G717" s="140" t="s">
        <v>340</v>
      </c>
      <c r="H717">
        <v>0</v>
      </c>
      <c r="I717" s="140" t="s">
        <v>14</v>
      </c>
    </row>
    <row r="718" spans="1:9" hidden="1" x14ac:dyDescent="0.25">
      <c r="A718">
        <v>2029</v>
      </c>
      <c r="B718" s="140" t="s">
        <v>169</v>
      </c>
      <c r="C718" s="140" t="s">
        <v>14</v>
      </c>
      <c r="D718" s="140" t="s">
        <v>11</v>
      </c>
      <c r="E718" s="140" t="s">
        <v>12</v>
      </c>
      <c r="F718">
        <v>19.3</v>
      </c>
      <c r="G718" s="140" t="s">
        <v>340</v>
      </c>
      <c r="H718">
        <v>0</v>
      </c>
      <c r="I718" s="140" t="s">
        <v>14</v>
      </c>
    </row>
    <row r="719" spans="1:9" hidden="1" x14ac:dyDescent="0.25">
      <c r="A719">
        <v>2030</v>
      </c>
      <c r="B719" s="140" t="s">
        <v>169</v>
      </c>
      <c r="C719" s="140" t="s">
        <v>14</v>
      </c>
      <c r="D719" s="140" t="s">
        <v>11</v>
      </c>
      <c r="E719" s="140" t="s">
        <v>12</v>
      </c>
      <c r="F719">
        <v>19.3</v>
      </c>
      <c r="G719" s="140" t="s">
        <v>340</v>
      </c>
      <c r="H719">
        <v>0</v>
      </c>
      <c r="I719" s="140" t="s">
        <v>14</v>
      </c>
    </row>
    <row r="720" spans="1:9" hidden="1" x14ac:dyDescent="0.25">
      <c r="A720">
        <v>2009</v>
      </c>
      <c r="B720" s="140" t="s">
        <v>178</v>
      </c>
      <c r="C720" s="140" t="s">
        <v>14</v>
      </c>
      <c r="D720" s="140" t="s">
        <v>11</v>
      </c>
      <c r="E720" s="140" t="s">
        <v>12</v>
      </c>
      <c r="F720">
        <v>20.5</v>
      </c>
      <c r="G720" s="140" t="s">
        <v>341</v>
      </c>
      <c r="H720">
        <v>0</v>
      </c>
      <c r="I720" s="140" t="s">
        <v>14</v>
      </c>
    </row>
    <row r="721" spans="1:9" hidden="1" x14ac:dyDescent="0.25">
      <c r="A721">
        <v>2010</v>
      </c>
      <c r="B721" s="140" t="s">
        <v>178</v>
      </c>
      <c r="C721" s="140" t="s">
        <v>14</v>
      </c>
      <c r="D721" s="140" t="s">
        <v>11</v>
      </c>
      <c r="E721" s="140" t="s">
        <v>12</v>
      </c>
      <c r="F721">
        <v>20.239999999999998</v>
      </c>
      <c r="G721" s="140" t="s">
        <v>341</v>
      </c>
      <c r="H721">
        <v>0</v>
      </c>
      <c r="I721" s="140" t="s">
        <v>14</v>
      </c>
    </row>
    <row r="722" spans="1:9" hidden="1" x14ac:dyDescent="0.25">
      <c r="A722">
        <v>2011</v>
      </c>
      <c r="B722" s="140" t="s">
        <v>178</v>
      </c>
      <c r="C722" s="140" t="s">
        <v>14</v>
      </c>
      <c r="D722" s="140" t="s">
        <v>11</v>
      </c>
      <c r="E722" s="140" t="s">
        <v>12</v>
      </c>
      <c r="F722">
        <v>19.77</v>
      </c>
      <c r="G722" s="140" t="s">
        <v>341</v>
      </c>
      <c r="H722">
        <v>0</v>
      </c>
      <c r="I722" s="140" t="s">
        <v>14</v>
      </c>
    </row>
    <row r="723" spans="1:9" hidden="1" x14ac:dyDescent="0.25">
      <c r="A723">
        <v>2012</v>
      </c>
      <c r="B723" s="140" t="s">
        <v>178</v>
      </c>
      <c r="C723" s="140" t="s">
        <v>14</v>
      </c>
      <c r="D723" s="140" t="s">
        <v>11</v>
      </c>
      <c r="E723" s="140" t="s">
        <v>12</v>
      </c>
      <c r="F723">
        <v>19.48</v>
      </c>
      <c r="G723" s="140" t="s">
        <v>341</v>
      </c>
      <c r="H723">
        <v>0</v>
      </c>
      <c r="I723" s="140" t="s">
        <v>14</v>
      </c>
    </row>
    <row r="724" spans="1:9" hidden="1" x14ac:dyDescent="0.25">
      <c r="A724">
        <v>2013</v>
      </c>
      <c r="B724" s="140" t="s">
        <v>178</v>
      </c>
      <c r="C724" s="140" t="s">
        <v>14</v>
      </c>
      <c r="D724" s="140" t="s">
        <v>11</v>
      </c>
      <c r="E724" s="140" t="s">
        <v>12</v>
      </c>
      <c r="F724">
        <v>19.29</v>
      </c>
      <c r="G724" s="140" t="s">
        <v>341</v>
      </c>
      <c r="H724">
        <v>0</v>
      </c>
      <c r="I724" s="140" t="s">
        <v>14</v>
      </c>
    </row>
    <row r="725" spans="1:9" hidden="1" x14ac:dyDescent="0.25">
      <c r="A725">
        <v>2014</v>
      </c>
      <c r="B725" s="140" t="s">
        <v>178</v>
      </c>
      <c r="C725" s="140" t="s">
        <v>14</v>
      </c>
      <c r="D725" s="140" t="s">
        <v>11</v>
      </c>
      <c r="E725" s="140" t="s">
        <v>12</v>
      </c>
      <c r="F725">
        <v>20.399999999999999</v>
      </c>
      <c r="G725" s="140" t="s">
        <v>341</v>
      </c>
      <c r="H725">
        <v>0</v>
      </c>
      <c r="I725" s="140" t="s">
        <v>14</v>
      </c>
    </row>
    <row r="726" spans="1:9" hidden="1" x14ac:dyDescent="0.25">
      <c r="A726">
        <v>2015</v>
      </c>
      <c r="B726" s="140" t="s">
        <v>178</v>
      </c>
      <c r="C726" s="140" t="s">
        <v>14</v>
      </c>
      <c r="D726" s="140" t="s">
        <v>11</v>
      </c>
      <c r="E726" s="140" t="s">
        <v>12</v>
      </c>
      <c r="F726">
        <v>20.11</v>
      </c>
      <c r="G726" s="140" t="s">
        <v>341</v>
      </c>
      <c r="H726">
        <v>0</v>
      </c>
      <c r="I726" s="140" t="s">
        <v>14</v>
      </c>
    </row>
    <row r="727" spans="1:9" hidden="1" x14ac:dyDescent="0.25">
      <c r="A727">
        <v>2016</v>
      </c>
      <c r="B727" s="140" t="s">
        <v>178</v>
      </c>
      <c r="C727" s="140" t="s">
        <v>14</v>
      </c>
      <c r="D727" s="140" t="s">
        <v>11</v>
      </c>
      <c r="E727" s="140" t="s">
        <v>12</v>
      </c>
      <c r="F727">
        <v>17.82</v>
      </c>
      <c r="G727" s="140" t="s">
        <v>341</v>
      </c>
      <c r="H727">
        <v>0</v>
      </c>
      <c r="I727" s="140" t="s">
        <v>14</v>
      </c>
    </row>
    <row r="728" spans="1:9" hidden="1" x14ac:dyDescent="0.25">
      <c r="A728">
        <v>2017</v>
      </c>
      <c r="B728" s="140" t="s">
        <v>178</v>
      </c>
      <c r="C728" s="140" t="s">
        <v>14</v>
      </c>
      <c r="D728" s="140" t="s">
        <v>11</v>
      </c>
      <c r="E728" s="140" t="s">
        <v>12</v>
      </c>
      <c r="F728">
        <v>16.95</v>
      </c>
      <c r="G728" s="140" t="s">
        <v>341</v>
      </c>
      <c r="H728">
        <v>0</v>
      </c>
      <c r="I728" s="140" t="s">
        <v>14</v>
      </c>
    </row>
    <row r="729" spans="1:9" hidden="1" x14ac:dyDescent="0.25">
      <c r="A729">
        <v>2018</v>
      </c>
      <c r="B729" s="140" t="s">
        <v>178</v>
      </c>
      <c r="C729" s="140" t="s">
        <v>14</v>
      </c>
      <c r="D729" s="140" t="s">
        <v>11</v>
      </c>
      <c r="E729" s="140" t="s">
        <v>12</v>
      </c>
      <c r="F729">
        <v>16.95</v>
      </c>
      <c r="G729" s="140" t="s">
        <v>341</v>
      </c>
      <c r="H729">
        <v>0</v>
      </c>
      <c r="I729" s="140" t="s">
        <v>14</v>
      </c>
    </row>
    <row r="730" spans="1:9" hidden="1" x14ac:dyDescent="0.25">
      <c r="A730">
        <v>2019</v>
      </c>
      <c r="B730" s="140" t="s">
        <v>178</v>
      </c>
      <c r="C730" s="140" t="s">
        <v>14</v>
      </c>
      <c r="D730" s="140" t="s">
        <v>11</v>
      </c>
      <c r="E730" s="140" t="s">
        <v>12</v>
      </c>
      <c r="F730">
        <v>17.100000000000001</v>
      </c>
      <c r="G730" s="140" t="s">
        <v>341</v>
      </c>
      <c r="H730">
        <v>0</v>
      </c>
      <c r="I730" s="140" t="s">
        <v>14</v>
      </c>
    </row>
    <row r="731" spans="1:9" hidden="1" x14ac:dyDescent="0.25">
      <c r="A731">
        <v>2020</v>
      </c>
      <c r="B731" s="140" t="s">
        <v>178</v>
      </c>
      <c r="C731" s="140" t="s">
        <v>14</v>
      </c>
      <c r="D731" s="140" t="s">
        <v>11</v>
      </c>
      <c r="E731" s="140" t="s">
        <v>12</v>
      </c>
      <c r="F731">
        <v>16.690000000000001</v>
      </c>
      <c r="G731" s="140" t="s">
        <v>341</v>
      </c>
      <c r="H731">
        <v>0</v>
      </c>
      <c r="I731" s="140" t="s">
        <v>14</v>
      </c>
    </row>
    <row r="732" spans="1:9" hidden="1" x14ac:dyDescent="0.25">
      <c r="A732">
        <v>2021</v>
      </c>
      <c r="B732" s="140" t="s">
        <v>178</v>
      </c>
      <c r="C732" s="140" t="s">
        <v>14</v>
      </c>
      <c r="D732" s="140" t="s">
        <v>11</v>
      </c>
      <c r="E732" s="140" t="s">
        <v>12</v>
      </c>
      <c r="F732">
        <v>16.68</v>
      </c>
      <c r="G732" s="140" t="s">
        <v>341</v>
      </c>
      <c r="H732">
        <v>0</v>
      </c>
      <c r="I732" s="140" t="s">
        <v>14</v>
      </c>
    </row>
    <row r="733" spans="1:9" hidden="1" x14ac:dyDescent="0.25">
      <c r="A733">
        <v>2022</v>
      </c>
      <c r="B733" s="140" t="s">
        <v>178</v>
      </c>
      <c r="C733" s="140" t="s">
        <v>14</v>
      </c>
      <c r="D733" s="140" t="s">
        <v>11</v>
      </c>
      <c r="E733" s="140" t="s">
        <v>12</v>
      </c>
      <c r="F733">
        <v>17.12</v>
      </c>
      <c r="G733" s="140" t="s">
        <v>341</v>
      </c>
      <c r="H733">
        <v>0</v>
      </c>
      <c r="I733" s="140" t="s">
        <v>14</v>
      </c>
    </row>
    <row r="734" spans="1:9" hidden="1" x14ac:dyDescent="0.25">
      <c r="A734">
        <v>2023</v>
      </c>
      <c r="B734" s="140" t="s">
        <v>178</v>
      </c>
      <c r="C734" s="140" t="s">
        <v>14</v>
      </c>
      <c r="D734" s="140" t="s">
        <v>11</v>
      </c>
      <c r="E734" s="140" t="s">
        <v>12</v>
      </c>
      <c r="F734">
        <v>17.11</v>
      </c>
      <c r="G734" s="140" t="s">
        <v>341</v>
      </c>
      <c r="H734">
        <v>0</v>
      </c>
      <c r="I734" s="140" t="s">
        <v>14</v>
      </c>
    </row>
    <row r="735" spans="1:9" hidden="1" x14ac:dyDescent="0.25">
      <c r="A735">
        <v>2024</v>
      </c>
      <c r="B735" s="140" t="s">
        <v>178</v>
      </c>
      <c r="C735" s="140" t="s">
        <v>14</v>
      </c>
      <c r="D735" s="140" t="s">
        <v>11</v>
      </c>
      <c r="E735" s="140" t="s">
        <v>12</v>
      </c>
      <c r="F735">
        <v>17.09</v>
      </c>
      <c r="G735" s="140" t="s">
        <v>341</v>
      </c>
      <c r="H735">
        <v>0</v>
      </c>
      <c r="I735" s="140" t="s">
        <v>14</v>
      </c>
    </row>
    <row r="736" spans="1:9" hidden="1" x14ac:dyDescent="0.25">
      <c r="A736">
        <v>2025</v>
      </c>
      <c r="B736" s="140" t="s">
        <v>178</v>
      </c>
      <c r="C736" s="140" t="s">
        <v>14</v>
      </c>
      <c r="D736" s="140" t="s">
        <v>11</v>
      </c>
      <c r="E736" s="140" t="s">
        <v>12</v>
      </c>
      <c r="F736">
        <v>17.13</v>
      </c>
      <c r="G736" s="140" t="s">
        <v>341</v>
      </c>
      <c r="H736">
        <v>0</v>
      </c>
      <c r="I736" s="140" t="s">
        <v>14</v>
      </c>
    </row>
    <row r="737" spans="1:9" hidden="1" x14ac:dyDescent="0.25">
      <c r="A737">
        <v>2026</v>
      </c>
      <c r="B737" s="140" t="s">
        <v>178</v>
      </c>
      <c r="C737" s="140" t="s">
        <v>14</v>
      </c>
      <c r="D737" s="140" t="s">
        <v>11</v>
      </c>
      <c r="E737" s="140" t="s">
        <v>12</v>
      </c>
      <c r="F737">
        <v>17.100000000000001</v>
      </c>
      <c r="G737" s="140" t="s">
        <v>341</v>
      </c>
      <c r="H737">
        <v>0</v>
      </c>
      <c r="I737" s="140" t="s">
        <v>14</v>
      </c>
    </row>
    <row r="738" spans="1:9" hidden="1" x14ac:dyDescent="0.25">
      <c r="A738">
        <v>2027</v>
      </c>
      <c r="B738" s="140" t="s">
        <v>178</v>
      </c>
      <c r="C738" s="140" t="s">
        <v>14</v>
      </c>
      <c r="D738" s="140" t="s">
        <v>11</v>
      </c>
      <c r="E738" s="140" t="s">
        <v>12</v>
      </c>
      <c r="F738">
        <v>17.100000000000001</v>
      </c>
      <c r="G738" s="140" t="s">
        <v>341</v>
      </c>
      <c r="H738">
        <v>0</v>
      </c>
      <c r="I738" s="140" t="s">
        <v>14</v>
      </c>
    </row>
    <row r="739" spans="1:9" hidden="1" x14ac:dyDescent="0.25">
      <c r="A739">
        <v>2028</v>
      </c>
      <c r="B739" s="140" t="s">
        <v>178</v>
      </c>
      <c r="C739" s="140" t="s">
        <v>14</v>
      </c>
      <c r="D739" s="140" t="s">
        <v>11</v>
      </c>
      <c r="E739" s="140" t="s">
        <v>12</v>
      </c>
      <c r="F739">
        <v>17.100000000000001</v>
      </c>
      <c r="G739" s="140" t="s">
        <v>341</v>
      </c>
      <c r="H739">
        <v>0</v>
      </c>
      <c r="I739" s="140" t="s">
        <v>14</v>
      </c>
    </row>
    <row r="740" spans="1:9" hidden="1" x14ac:dyDescent="0.25">
      <c r="A740">
        <v>2029</v>
      </c>
      <c r="B740" s="140" t="s">
        <v>178</v>
      </c>
      <c r="C740" s="140" t="s">
        <v>14</v>
      </c>
      <c r="D740" s="140" t="s">
        <v>11</v>
      </c>
      <c r="E740" s="140" t="s">
        <v>12</v>
      </c>
      <c r="F740">
        <v>17.100000000000001</v>
      </c>
      <c r="G740" s="140" t="s">
        <v>341</v>
      </c>
      <c r="H740">
        <v>0</v>
      </c>
      <c r="I740" s="140" t="s">
        <v>14</v>
      </c>
    </row>
    <row r="741" spans="1:9" hidden="1" x14ac:dyDescent="0.25">
      <c r="A741">
        <v>2030</v>
      </c>
      <c r="B741" s="140" t="s">
        <v>178</v>
      </c>
      <c r="C741" s="140" t="s">
        <v>14</v>
      </c>
      <c r="D741" s="140" t="s">
        <v>11</v>
      </c>
      <c r="E741" s="140" t="s">
        <v>12</v>
      </c>
      <c r="F741">
        <v>17.100000000000001</v>
      </c>
      <c r="G741" s="140" t="s">
        <v>341</v>
      </c>
      <c r="H741">
        <v>0</v>
      </c>
      <c r="I741" s="140" t="s">
        <v>14</v>
      </c>
    </row>
    <row r="742" spans="1:9" hidden="1" x14ac:dyDescent="0.25">
      <c r="A742">
        <v>2009</v>
      </c>
      <c r="B742" s="140" t="s">
        <v>170</v>
      </c>
      <c r="C742" s="140" t="s">
        <v>14</v>
      </c>
      <c r="D742" s="140" t="s">
        <v>11</v>
      </c>
      <c r="E742" s="140" t="s">
        <v>12</v>
      </c>
      <c r="F742">
        <v>0.7</v>
      </c>
      <c r="G742" s="140" t="s">
        <v>342</v>
      </c>
      <c r="H742">
        <v>0</v>
      </c>
      <c r="I742" s="140" t="s">
        <v>14</v>
      </c>
    </row>
    <row r="743" spans="1:9" hidden="1" x14ac:dyDescent="0.25">
      <c r="A743">
        <v>2010</v>
      </c>
      <c r="B743" s="140" t="s">
        <v>170</v>
      </c>
      <c r="C743" s="140" t="s">
        <v>14</v>
      </c>
      <c r="D743" s="140" t="s">
        <v>11</v>
      </c>
      <c r="E743" s="140" t="s">
        <v>12</v>
      </c>
      <c r="F743">
        <v>0.7</v>
      </c>
      <c r="G743" s="140" t="s">
        <v>342</v>
      </c>
      <c r="H743">
        <v>0</v>
      </c>
      <c r="I743" s="140" t="s">
        <v>14</v>
      </c>
    </row>
    <row r="744" spans="1:9" hidden="1" x14ac:dyDescent="0.25">
      <c r="A744">
        <v>2011</v>
      </c>
      <c r="B744" s="140" t="s">
        <v>170</v>
      </c>
      <c r="C744" s="140" t="s">
        <v>14</v>
      </c>
      <c r="D744" s="140" t="s">
        <v>11</v>
      </c>
      <c r="E744" s="140" t="s">
        <v>12</v>
      </c>
      <c r="F744">
        <v>0.7</v>
      </c>
      <c r="G744" s="140" t="s">
        <v>342</v>
      </c>
      <c r="H744">
        <v>0</v>
      </c>
      <c r="I744" s="140" t="s">
        <v>14</v>
      </c>
    </row>
    <row r="745" spans="1:9" hidden="1" x14ac:dyDescent="0.25">
      <c r="A745">
        <v>2012</v>
      </c>
      <c r="B745" s="140" t="s">
        <v>170</v>
      </c>
      <c r="C745" s="140" t="s">
        <v>14</v>
      </c>
      <c r="D745" s="140" t="s">
        <v>11</v>
      </c>
      <c r="E745" s="140" t="s">
        <v>12</v>
      </c>
      <c r="F745">
        <v>0.7</v>
      </c>
      <c r="G745" s="140" t="s">
        <v>342</v>
      </c>
      <c r="H745">
        <v>0</v>
      </c>
      <c r="I745" s="140" t="s">
        <v>14</v>
      </c>
    </row>
    <row r="746" spans="1:9" hidden="1" x14ac:dyDescent="0.25">
      <c r="A746">
        <v>2013</v>
      </c>
      <c r="B746" s="140" t="s">
        <v>170</v>
      </c>
      <c r="C746" s="140" t="s">
        <v>14</v>
      </c>
      <c r="D746" s="140" t="s">
        <v>11</v>
      </c>
      <c r="E746" s="140" t="s">
        <v>12</v>
      </c>
      <c r="F746">
        <v>0.7</v>
      </c>
      <c r="G746" s="140" t="s">
        <v>342</v>
      </c>
      <c r="H746">
        <v>0</v>
      </c>
      <c r="I746" s="140" t="s">
        <v>14</v>
      </c>
    </row>
    <row r="747" spans="1:9" hidden="1" x14ac:dyDescent="0.25">
      <c r="A747">
        <v>2014</v>
      </c>
      <c r="B747" s="140" t="s">
        <v>170</v>
      </c>
      <c r="C747" s="140" t="s">
        <v>14</v>
      </c>
      <c r="D747" s="140" t="s">
        <v>11</v>
      </c>
      <c r="E747" s="140" t="s">
        <v>12</v>
      </c>
      <c r="F747">
        <v>0.7</v>
      </c>
      <c r="G747" s="140" t="s">
        <v>342</v>
      </c>
      <c r="H747">
        <v>0</v>
      </c>
      <c r="I747" s="140" t="s">
        <v>14</v>
      </c>
    </row>
    <row r="748" spans="1:9" hidden="1" x14ac:dyDescent="0.25">
      <c r="A748">
        <v>2015</v>
      </c>
      <c r="B748" s="140" t="s">
        <v>170</v>
      </c>
      <c r="C748" s="140" t="s">
        <v>14</v>
      </c>
      <c r="D748" s="140" t="s">
        <v>11</v>
      </c>
      <c r="E748" s="140" t="s">
        <v>12</v>
      </c>
      <c r="F748">
        <v>0.7</v>
      </c>
      <c r="G748" s="140" t="s">
        <v>342</v>
      </c>
      <c r="H748">
        <v>0</v>
      </c>
      <c r="I748" s="140" t="s">
        <v>14</v>
      </c>
    </row>
    <row r="749" spans="1:9" hidden="1" x14ac:dyDescent="0.25">
      <c r="A749">
        <v>2016</v>
      </c>
      <c r="B749" s="140" t="s">
        <v>170</v>
      </c>
      <c r="C749" s="140" t="s">
        <v>14</v>
      </c>
      <c r="D749" s="140" t="s">
        <v>11</v>
      </c>
      <c r="E749" s="140" t="s">
        <v>12</v>
      </c>
      <c r="F749">
        <v>0.7</v>
      </c>
      <c r="G749" s="140" t="s">
        <v>342</v>
      </c>
      <c r="H749">
        <v>0</v>
      </c>
      <c r="I749" s="140" t="s">
        <v>14</v>
      </c>
    </row>
    <row r="750" spans="1:9" hidden="1" x14ac:dyDescent="0.25">
      <c r="A750">
        <v>2017</v>
      </c>
      <c r="B750" s="140" t="s">
        <v>170</v>
      </c>
      <c r="C750" s="140" t="s">
        <v>14</v>
      </c>
      <c r="D750" s="140" t="s">
        <v>11</v>
      </c>
      <c r="E750" s="140" t="s">
        <v>12</v>
      </c>
      <c r="F750">
        <v>0.7</v>
      </c>
      <c r="G750" s="140" t="s">
        <v>342</v>
      </c>
      <c r="H750">
        <v>0</v>
      </c>
      <c r="I750" s="140" t="s">
        <v>14</v>
      </c>
    </row>
    <row r="751" spans="1:9" hidden="1" x14ac:dyDescent="0.25">
      <c r="A751">
        <v>2018</v>
      </c>
      <c r="B751" s="140" t="s">
        <v>170</v>
      </c>
      <c r="C751" s="140" t="s">
        <v>14</v>
      </c>
      <c r="D751" s="140" t="s">
        <v>11</v>
      </c>
      <c r="E751" s="140" t="s">
        <v>12</v>
      </c>
      <c r="F751">
        <v>0.7</v>
      </c>
      <c r="G751" s="140" t="s">
        <v>342</v>
      </c>
      <c r="H751">
        <v>0</v>
      </c>
      <c r="I751" s="140" t="s">
        <v>14</v>
      </c>
    </row>
    <row r="752" spans="1:9" hidden="1" x14ac:dyDescent="0.25">
      <c r="A752">
        <v>2019</v>
      </c>
      <c r="B752" s="140" t="s">
        <v>170</v>
      </c>
      <c r="C752" s="140" t="s">
        <v>14</v>
      </c>
      <c r="D752" s="140" t="s">
        <v>11</v>
      </c>
      <c r="E752" s="140" t="s">
        <v>12</v>
      </c>
      <c r="F752">
        <v>0.7</v>
      </c>
      <c r="G752" s="140" t="s">
        <v>342</v>
      </c>
      <c r="H752">
        <v>0</v>
      </c>
      <c r="I752" s="140" t="s">
        <v>14</v>
      </c>
    </row>
    <row r="753" spans="1:9" hidden="1" x14ac:dyDescent="0.25">
      <c r="A753">
        <v>2020</v>
      </c>
      <c r="B753" s="140" t="s">
        <v>170</v>
      </c>
      <c r="C753" s="140" t="s">
        <v>14</v>
      </c>
      <c r="D753" s="140" t="s">
        <v>11</v>
      </c>
      <c r="E753" s="140" t="s">
        <v>12</v>
      </c>
      <c r="F753">
        <v>0.7</v>
      </c>
      <c r="G753" s="140" t="s">
        <v>342</v>
      </c>
      <c r="H753">
        <v>0</v>
      </c>
      <c r="I753" s="140" t="s">
        <v>14</v>
      </c>
    </row>
    <row r="754" spans="1:9" hidden="1" x14ac:dyDescent="0.25">
      <c r="A754">
        <v>2021</v>
      </c>
      <c r="B754" s="140" t="s">
        <v>170</v>
      </c>
      <c r="C754" s="140" t="s">
        <v>14</v>
      </c>
      <c r="D754" s="140" t="s">
        <v>11</v>
      </c>
      <c r="E754" s="140" t="s">
        <v>12</v>
      </c>
      <c r="F754">
        <v>0.7</v>
      </c>
      <c r="G754" s="140" t="s">
        <v>342</v>
      </c>
      <c r="H754">
        <v>0</v>
      </c>
      <c r="I754" s="140" t="s">
        <v>14</v>
      </c>
    </row>
    <row r="755" spans="1:9" hidden="1" x14ac:dyDescent="0.25">
      <c r="A755">
        <v>2022</v>
      </c>
      <c r="B755" s="140" t="s">
        <v>170</v>
      </c>
      <c r="C755" s="140" t="s">
        <v>14</v>
      </c>
      <c r="D755" s="140" t="s">
        <v>11</v>
      </c>
      <c r="E755" s="140" t="s">
        <v>12</v>
      </c>
      <c r="F755">
        <v>0.7</v>
      </c>
      <c r="G755" s="140" t="s">
        <v>342</v>
      </c>
      <c r="H755">
        <v>0</v>
      </c>
      <c r="I755" s="140" t="s">
        <v>14</v>
      </c>
    </row>
    <row r="756" spans="1:9" hidden="1" x14ac:dyDescent="0.25">
      <c r="A756">
        <v>2023</v>
      </c>
      <c r="B756" s="140" t="s">
        <v>170</v>
      </c>
      <c r="C756" s="140" t="s">
        <v>14</v>
      </c>
      <c r="D756" s="140" t="s">
        <v>11</v>
      </c>
      <c r="E756" s="140" t="s">
        <v>12</v>
      </c>
      <c r="F756">
        <v>0.7</v>
      </c>
      <c r="G756" s="140" t="s">
        <v>342</v>
      </c>
      <c r="H756">
        <v>0</v>
      </c>
      <c r="I756" s="140" t="s">
        <v>14</v>
      </c>
    </row>
    <row r="757" spans="1:9" hidden="1" x14ac:dyDescent="0.25">
      <c r="A757">
        <v>2024</v>
      </c>
      <c r="B757" s="140" t="s">
        <v>170</v>
      </c>
      <c r="C757" s="140" t="s">
        <v>14</v>
      </c>
      <c r="D757" s="140" t="s">
        <v>11</v>
      </c>
      <c r="E757" s="140" t="s">
        <v>12</v>
      </c>
      <c r="F757">
        <v>0.7</v>
      </c>
      <c r="G757" s="140" t="s">
        <v>342</v>
      </c>
      <c r="H757">
        <v>0</v>
      </c>
      <c r="I757" s="140" t="s">
        <v>14</v>
      </c>
    </row>
    <row r="758" spans="1:9" hidden="1" x14ac:dyDescent="0.25">
      <c r="A758">
        <v>2025</v>
      </c>
      <c r="B758" s="140" t="s">
        <v>170</v>
      </c>
      <c r="C758" s="140" t="s">
        <v>14</v>
      </c>
      <c r="D758" s="140" t="s">
        <v>11</v>
      </c>
      <c r="E758" s="140" t="s">
        <v>12</v>
      </c>
      <c r="F758">
        <v>0.7</v>
      </c>
      <c r="G758" s="140" t="s">
        <v>342</v>
      </c>
      <c r="H758">
        <v>0</v>
      </c>
      <c r="I758" s="140" t="s">
        <v>14</v>
      </c>
    </row>
    <row r="759" spans="1:9" hidden="1" x14ac:dyDescent="0.25">
      <c r="A759">
        <v>2026</v>
      </c>
      <c r="B759" s="140" t="s">
        <v>170</v>
      </c>
      <c r="C759" s="140" t="s">
        <v>14</v>
      </c>
      <c r="D759" s="140" t="s">
        <v>11</v>
      </c>
      <c r="E759" s="140" t="s">
        <v>12</v>
      </c>
      <c r="F759">
        <v>0.7</v>
      </c>
      <c r="G759" s="140" t="s">
        <v>342</v>
      </c>
      <c r="H759">
        <v>0</v>
      </c>
      <c r="I759" s="140" t="s">
        <v>14</v>
      </c>
    </row>
    <row r="760" spans="1:9" hidden="1" x14ac:dyDescent="0.25">
      <c r="A760">
        <v>2027</v>
      </c>
      <c r="B760" s="140" t="s">
        <v>170</v>
      </c>
      <c r="C760" s="140" t="s">
        <v>14</v>
      </c>
      <c r="D760" s="140" t="s">
        <v>11</v>
      </c>
      <c r="E760" s="140" t="s">
        <v>12</v>
      </c>
      <c r="F760">
        <v>0.7</v>
      </c>
      <c r="G760" s="140" t="s">
        <v>342</v>
      </c>
      <c r="H760">
        <v>0</v>
      </c>
      <c r="I760" s="140" t="s">
        <v>14</v>
      </c>
    </row>
    <row r="761" spans="1:9" hidden="1" x14ac:dyDescent="0.25">
      <c r="A761">
        <v>2028</v>
      </c>
      <c r="B761" s="140" t="s">
        <v>170</v>
      </c>
      <c r="C761" s="140" t="s">
        <v>14</v>
      </c>
      <c r="D761" s="140" t="s">
        <v>11</v>
      </c>
      <c r="E761" s="140" t="s">
        <v>12</v>
      </c>
      <c r="F761">
        <v>0.7</v>
      </c>
      <c r="G761" s="140" t="s">
        <v>342</v>
      </c>
      <c r="H761">
        <v>0</v>
      </c>
      <c r="I761" s="140" t="s">
        <v>14</v>
      </c>
    </row>
    <row r="762" spans="1:9" hidden="1" x14ac:dyDescent="0.25">
      <c r="A762">
        <v>2029</v>
      </c>
      <c r="B762" s="140" t="s">
        <v>170</v>
      </c>
      <c r="C762" s="140" t="s">
        <v>14</v>
      </c>
      <c r="D762" s="140" t="s">
        <v>11</v>
      </c>
      <c r="E762" s="140" t="s">
        <v>12</v>
      </c>
      <c r="F762">
        <v>0.7</v>
      </c>
      <c r="G762" s="140" t="s">
        <v>342</v>
      </c>
      <c r="H762">
        <v>0</v>
      </c>
      <c r="I762" s="140" t="s">
        <v>14</v>
      </c>
    </row>
    <row r="763" spans="1:9" hidden="1" x14ac:dyDescent="0.25">
      <c r="A763">
        <v>2030</v>
      </c>
      <c r="B763" s="140" t="s">
        <v>170</v>
      </c>
      <c r="C763" s="140" t="s">
        <v>14</v>
      </c>
      <c r="D763" s="140" t="s">
        <v>11</v>
      </c>
      <c r="E763" s="140" t="s">
        <v>12</v>
      </c>
      <c r="F763">
        <v>0.7</v>
      </c>
      <c r="G763" s="140" t="s">
        <v>342</v>
      </c>
      <c r="H763">
        <v>0</v>
      </c>
      <c r="I763" s="140" t="s">
        <v>14</v>
      </c>
    </row>
    <row r="764" spans="1:9" hidden="1" x14ac:dyDescent="0.25">
      <c r="A764">
        <v>2009</v>
      </c>
      <c r="B764" s="140" t="s">
        <v>171</v>
      </c>
      <c r="C764" s="140" t="s">
        <v>14</v>
      </c>
      <c r="D764" s="140" t="s">
        <v>11</v>
      </c>
      <c r="E764" s="140" t="s">
        <v>12</v>
      </c>
      <c r="F764">
        <v>2.6</v>
      </c>
      <c r="G764" s="140" t="s">
        <v>343</v>
      </c>
      <c r="H764">
        <v>0</v>
      </c>
      <c r="I764" s="140" t="s">
        <v>14</v>
      </c>
    </row>
    <row r="765" spans="1:9" hidden="1" x14ac:dyDescent="0.25">
      <c r="A765">
        <v>2010</v>
      </c>
      <c r="B765" s="140" t="s">
        <v>171</v>
      </c>
      <c r="C765" s="140" t="s">
        <v>14</v>
      </c>
      <c r="D765" s="140" t="s">
        <v>11</v>
      </c>
      <c r="E765" s="140" t="s">
        <v>12</v>
      </c>
      <c r="F765">
        <v>2.81</v>
      </c>
      <c r="G765" s="140" t="s">
        <v>343</v>
      </c>
      <c r="H765">
        <v>0</v>
      </c>
      <c r="I765" s="140" t="s">
        <v>14</v>
      </c>
    </row>
    <row r="766" spans="1:9" hidden="1" x14ac:dyDescent="0.25">
      <c r="A766">
        <v>2011</v>
      </c>
      <c r="B766" s="140" t="s">
        <v>171</v>
      </c>
      <c r="C766" s="140" t="s">
        <v>14</v>
      </c>
      <c r="D766" s="140" t="s">
        <v>11</v>
      </c>
      <c r="E766" s="140" t="s">
        <v>12</v>
      </c>
      <c r="F766">
        <v>3.0502688610000002</v>
      </c>
      <c r="G766" s="140" t="s">
        <v>343</v>
      </c>
      <c r="H766">
        <v>0</v>
      </c>
      <c r="I766" s="140" t="s">
        <v>14</v>
      </c>
    </row>
    <row r="767" spans="1:9" hidden="1" x14ac:dyDescent="0.25">
      <c r="A767">
        <v>2012</v>
      </c>
      <c r="B767" s="140" t="s">
        <v>171</v>
      </c>
      <c r="C767" s="140" t="s">
        <v>14</v>
      </c>
      <c r="D767" s="140" t="s">
        <v>11</v>
      </c>
      <c r="E767" s="140" t="s">
        <v>12</v>
      </c>
      <c r="F767">
        <v>3.06</v>
      </c>
      <c r="G767" s="140" t="s">
        <v>343</v>
      </c>
      <c r="H767">
        <v>0</v>
      </c>
      <c r="I767" s="140" t="s">
        <v>14</v>
      </c>
    </row>
    <row r="768" spans="1:9" hidden="1" x14ac:dyDescent="0.25">
      <c r="A768">
        <v>2013</v>
      </c>
      <c r="B768" s="140" t="s">
        <v>171</v>
      </c>
      <c r="C768" s="140" t="s">
        <v>14</v>
      </c>
      <c r="D768" s="140" t="s">
        <v>11</v>
      </c>
      <c r="E768" s="140" t="s">
        <v>12</v>
      </c>
      <c r="F768">
        <v>3.055064985</v>
      </c>
      <c r="G768" s="140" t="s">
        <v>343</v>
      </c>
      <c r="H768">
        <v>0</v>
      </c>
      <c r="I768" s="140" t="s">
        <v>14</v>
      </c>
    </row>
    <row r="769" spans="1:9" hidden="1" x14ac:dyDescent="0.25">
      <c r="A769">
        <v>2014</v>
      </c>
      <c r="B769" s="140" t="s">
        <v>171</v>
      </c>
      <c r="C769" s="140" t="s">
        <v>14</v>
      </c>
      <c r="D769" s="140" t="s">
        <v>11</v>
      </c>
      <c r="E769" s="140" t="s">
        <v>12</v>
      </c>
      <c r="F769">
        <v>2.820761579</v>
      </c>
      <c r="G769" s="140" t="s">
        <v>343</v>
      </c>
      <c r="H769">
        <v>0</v>
      </c>
      <c r="I769" s="140" t="s">
        <v>14</v>
      </c>
    </row>
    <row r="770" spans="1:9" hidden="1" x14ac:dyDescent="0.25">
      <c r="A770">
        <v>2015</v>
      </c>
      <c r="B770" s="140" t="s">
        <v>171</v>
      </c>
      <c r="C770" s="140" t="s">
        <v>14</v>
      </c>
      <c r="D770" s="140" t="s">
        <v>11</v>
      </c>
      <c r="E770" s="140" t="s">
        <v>12</v>
      </c>
      <c r="F770">
        <v>3.0160291109999999</v>
      </c>
      <c r="G770" s="140" t="s">
        <v>343</v>
      </c>
      <c r="H770">
        <v>0</v>
      </c>
      <c r="I770" s="140" t="s">
        <v>14</v>
      </c>
    </row>
    <row r="771" spans="1:9" hidden="1" x14ac:dyDescent="0.25">
      <c r="A771">
        <v>2016</v>
      </c>
      <c r="B771" s="140" t="s">
        <v>171</v>
      </c>
      <c r="C771" s="140" t="s">
        <v>14</v>
      </c>
      <c r="D771" s="140" t="s">
        <v>11</v>
      </c>
      <c r="E771" s="140" t="s">
        <v>12</v>
      </c>
      <c r="F771">
        <v>3.737117461</v>
      </c>
      <c r="G771" s="140" t="s">
        <v>343</v>
      </c>
      <c r="H771">
        <v>0</v>
      </c>
      <c r="I771" s="140" t="s">
        <v>14</v>
      </c>
    </row>
    <row r="772" spans="1:9" hidden="1" x14ac:dyDescent="0.25">
      <c r="A772">
        <v>2017</v>
      </c>
      <c r="B772" s="140" t="s">
        <v>171</v>
      </c>
      <c r="C772" s="140" t="s">
        <v>14</v>
      </c>
      <c r="D772" s="140" t="s">
        <v>11</v>
      </c>
      <c r="E772" s="140" t="s">
        <v>12</v>
      </c>
      <c r="F772">
        <v>3.1596959990000002</v>
      </c>
      <c r="G772" s="140" t="s">
        <v>343</v>
      </c>
      <c r="H772">
        <v>0</v>
      </c>
      <c r="I772" s="140" t="s">
        <v>14</v>
      </c>
    </row>
    <row r="773" spans="1:9" hidden="1" x14ac:dyDescent="0.25">
      <c r="A773">
        <v>2018</v>
      </c>
      <c r="B773" s="140" t="s">
        <v>171</v>
      </c>
      <c r="C773" s="140" t="s">
        <v>14</v>
      </c>
      <c r="D773" s="140" t="s">
        <v>11</v>
      </c>
      <c r="E773" s="140" t="s">
        <v>12</v>
      </c>
      <c r="F773">
        <v>2.4905628800000001</v>
      </c>
      <c r="G773" s="140" t="s">
        <v>343</v>
      </c>
      <c r="H773">
        <v>0</v>
      </c>
      <c r="I773" s="140" t="s">
        <v>14</v>
      </c>
    </row>
    <row r="774" spans="1:9" hidden="1" x14ac:dyDescent="0.25">
      <c r="A774">
        <v>2019</v>
      </c>
      <c r="B774" s="140" t="s">
        <v>171</v>
      </c>
      <c r="C774" s="140" t="s">
        <v>14</v>
      </c>
      <c r="D774" s="140" t="s">
        <v>11</v>
      </c>
      <c r="E774" s="140" t="s">
        <v>12</v>
      </c>
      <c r="F774">
        <v>1.96301152</v>
      </c>
      <c r="G774" s="140" t="s">
        <v>343</v>
      </c>
      <c r="H774">
        <v>0</v>
      </c>
      <c r="I774" s="140" t="s">
        <v>14</v>
      </c>
    </row>
    <row r="775" spans="1:9" hidden="1" x14ac:dyDescent="0.25">
      <c r="A775">
        <v>2020</v>
      </c>
      <c r="B775" s="140" t="s">
        <v>171</v>
      </c>
      <c r="C775" s="140" t="s">
        <v>14</v>
      </c>
      <c r="D775" s="140" t="s">
        <v>11</v>
      </c>
      <c r="E775" s="140" t="s">
        <v>12</v>
      </c>
      <c r="F775">
        <v>1.6310201019999999</v>
      </c>
      <c r="G775" s="140" t="s">
        <v>343</v>
      </c>
      <c r="H775">
        <v>0</v>
      </c>
      <c r="I775" s="140" t="s">
        <v>14</v>
      </c>
    </row>
    <row r="776" spans="1:9" hidden="1" x14ac:dyDescent="0.25">
      <c r="A776">
        <v>2021</v>
      </c>
      <c r="B776" s="140" t="s">
        <v>171</v>
      </c>
      <c r="C776" s="140" t="s">
        <v>14</v>
      </c>
      <c r="D776" s="140" t="s">
        <v>11</v>
      </c>
      <c r="E776" s="140" t="s">
        <v>12</v>
      </c>
      <c r="F776">
        <v>1.827134676</v>
      </c>
      <c r="G776" s="140" t="s">
        <v>343</v>
      </c>
      <c r="H776">
        <v>0</v>
      </c>
      <c r="I776" s="140" t="s">
        <v>14</v>
      </c>
    </row>
    <row r="777" spans="1:9" hidden="1" x14ac:dyDescent="0.25">
      <c r="A777">
        <v>2022</v>
      </c>
      <c r="B777" s="140" t="s">
        <v>171</v>
      </c>
      <c r="C777" s="140" t="s">
        <v>14</v>
      </c>
      <c r="D777" s="140" t="s">
        <v>11</v>
      </c>
      <c r="E777" s="140" t="s">
        <v>12</v>
      </c>
      <c r="F777">
        <v>1.9693276770000001</v>
      </c>
      <c r="G777" s="140" t="s">
        <v>343</v>
      </c>
      <c r="H777">
        <v>0</v>
      </c>
      <c r="I777" s="140" t="s">
        <v>14</v>
      </c>
    </row>
    <row r="778" spans="1:9" hidden="1" x14ac:dyDescent="0.25">
      <c r="A778">
        <v>2023</v>
      </c>
      <c r="B778" s="140" t="s">
        <v>171</v>
      </c>
      <c r="C778" s="140" t="s">
        <v>14</v>
      </c>
      <c r="D778" s="140" t="s">
        <v>11</v>
      </c>
      <c r="E778" s="140" t="s">
        <v>12</v>
      </c>
      <c r="F778">
        <v>1.91</v>
      </c>
      <c r="G778" s="140" t="s">
        <v>343</v>
      </c>
      <c r="H778">
        <v>0</v>
      </c>
      <c r="I778" s="140" t="s">
        <v>14</v>
      </c>
    </row>
    <row r="779" spans="1:9" hidden="1" x14ac:dyDescent="0.25">
      <c r="A779">
        <v>2024</v>
      </c>
      <c r="B779" s="140" t="s">
        <v>171</v>
      </c>
      <c r="C779" s="140" t="s">
        <v>14</v>
      </c>
      <c r="D779" s="140" t="s">
        <v>11</v>
      </c>
      <c r="E779" s="140" t="s">
        <v>12</v>
      </c>
      <c r="F779">
        <v>1.01</v>
      </c>
      <c r="G779" s="140" t="s">
        <v>343</v>
      </c>
      <c r="H779">
        <v>0</v>
      </c>
      <c r="I779" s="140" t="s">
        <v>14</v>
      </c>
    </row>
    <row r="780" spans="1:9" hidden="1" x14ac:dyDescent="0.25">
      <c r="A780">
        <v>2025</v>
      </c>
      <c r="B780" s="140" t="s">
        <v>171</v>
      </c>
      <c r="C780" s="140" t="s">
        <v>14</v>
      </c>
      <c r="D780" s="140" t="s">
        <v>11</v>
      </c>
      <c r="E780" s="140" t="s">
        <v>12</v>
      </c>
      <c r="F780">
        <v>0.73599999999999999</v>
      </c>
      <c r="G780" s="140" t="s">
        <v>343</v>
      </c>
      <c r="H780">
        <v>0</v>
      </c>
      <c r="I780" s="140" t="s">
        <v>14</v>
      </c>
    </row>
    <row r="781" spans="1:9" hidden="1" x14ac:dyDescent="0.25">
      <c r="A781">
        <v>2026</v>
      </c>
      <c r="B781" s="140" t="s">
        <v>171</v>
      </c>
      <c r="C781" s="140" t="s">
        <v>14</v>
      </c>
      <c r="D781" s="140" t="s">
        <v>11</v>
      </c>
      <c r="E781" s="140" t="s">
        <v>12</v>
      </c>
      <c r="F781">
        <v>1.140924907</v>
      </c>
      <c r="G781" s="140" t="s">
        <v>343</v>
      </c>
      <c r="H781">
        <v>0</v>
      </c>
      <c r="I781" s="140" t="s">
        <v>14</v>
      </c>
    </row>
    <row r="782" spans="1:9" hidden="1" x14ac:dyDescent="0.25">
      <c r="A782">
        <v>2027</v>
      </c>
      <c r="B782" s="140" t="s">
        <v>171</v>
      </c>
      <c r="C782" s="140" t="s">
        <v>14</v>
      </c>
      <c r="D782" s="140" t="s">
        <v>11</v>
      </c>
      <c r="E782" s="140" t="s">
        <v>12</v>
      </c>
      <c r="F782">
        <v>0.96393174299999995</v>
      </c>
      <c r="G782" s="140" t="s">
        <v>343</v>
      </c>
      <c r="H782">
        <v>0</v>
      </c>
      <c r="I782" s="140" t="s">
        <v>14</v>
      </c>
    </row>
    <row r="783" spans="1:9" hidden="1" x14ac:dyDescent="0.25">
      <c r="A783">
        <v>2028</v>
      </c>
      <c r="B783" s="140" t="s">
        <v>171</v>
      </c>
      <c r="C783" s="140" t="s">
        <v>14</v>
      </c>
      <c r="D783" s="140" t="s">
        <v>11</v>
      </c>
      <c r="E783" s="140" t="s">
        <v>12</v>
      </c>
      <c r="F783">
        <v>0.96393174299999995</v>
      </c>
      <c r="G783" s="140" t="s">
        <v>343</v>
      </c>
      <c r="H783">
        <v>0</v>
      </c>
      <c r="I783" s="140" t="s">
        <v>14</v>
      </c>
    </row>
    <row r="784" spans="1:9" hidden="1" x14ac:dyDescent="0.25">
      <c r="A784">
        <v>2029</v>
      </c>
      <c r="B784" s="140" t="s">
        <v>171</v>
      </c>
      <c r="C784" s="140" t="s">
        <v>14</v>
      </c>
      <c r="D784" s="140" t="s">
        <v>11</v>
      </c>
      <c r="E784" s="140" t="s">
        <v>12</v>
      </c>
      <c r="F784">
        <v>0.96393174299999995</v>
      </c>
      <c r="G784" s="140" t="s">
        <v>343</v>
      </c>
      <c r="H784">
        <v>0</v>
      </c>
      <c r="I784" s="140" t="s">
        <v>14</v>
      </c>
    </row>
    <row r="785" spans="1:9" hidden="1" x14ac:dyDescent="0.25">
      <c r="A785">
        <v>2030</v>
      </c>
      <c r="B785" s="140" t="s">
        <v>171</v>
      </c>
      <c r="C785" s="140" t="s">
        <v>14</v>
      </c>
      <c r="D785" s="140" t="s">
        <v>11</v>
      </c>
      <c r="E785" s="140" t="s">
        <v>12</v>
      </c>
      <c r="F785">
        <v>0.96393174299999995</v>
      </c>
      <c r="G785" s="140" t="s">
        <v>343</v>
      </c>
      <c r="H785">
        <v>0</v>
      </c>
      <c r="I785" s="140" t="s">
        <v>14</v>
      </c>
    </row>
    <row r="786" spans="1:9" hidden="1" x14ac:dyDescent="0.25">
      <c r="A786">
        <v>2009</v>
      </c>
      <c r="B786" s="140" t="s">
        <v>344</v>
      </c>
      <c r="C786" s="140" t="s">
        <v>14</v>
      </c>
      <c r="D786" s="140" t="s">
        <v>11</v>
      </c>
      <c r="E786" s="140" t="s">
        <v>12</v>
      </c>
      <c r="F786">
        <v>18.59</v>
      </c>
      <c r="G786" s="140" t="s">
        <v>345</v>
      </c>
      <c r="H786">
        <v>0</v>
      </c>
      <c r="I786" s="140" t="s">
        <v>14</v>
      </c>
    </row>
    <row r="787" spans="1:9" hidden="1" x14ac:dyDescent="0.25">
      <c r="A787">
        <v>2010</v>
      </c>
      <c r="B787" s="140" t="s">
        <v>344</v>
      </c>
      <c r="C787" s="140" t="s">
        <v>14</v>
      </c>
      <c r="D787" s="140" t="s">
        <v>11</v>
      </c>
      <c r="E787" s="140" t="s">
        <v>12</v>
      </c>
      <c r="F787">
        <v>18.97</v>
      </c>
      <c r="G787" s="140" t="s">
        <v>345</v>
      </c>
      <c r="H787">
        <v>0</v>
      </c>
      <c r="I787" s="140" t="s">
        <v>14</v>
      </c>
    </row>
    <row r="788" spans="1:9" hidden="1" x14ac:dyDescent="0.25">
      <c r="A788">
        <v>2011</v>
      </c>
      <c r="B788" s="140" t="s">
        <v>344</v>
      </c>
      <c r="C788" s="140" t="s">
        <v>14</v>
      </c>
      <c r="D788" s="140" t="s">
        <v>11</v>
      </c>
      <c r="E788" s="140" t="s">
        <v>12</v>
      </c>
      <c r="F788">
        <v>19.16</v>
      </c>
      <c r="G788" s="140" t="s">
        <v>345</v>
      </c>
      <c r="H788">
        <v>0</v>
      </c>
      <c r="I788" s="140" t="s">
        <v>14</v>
      </c>
    </row>
    <row r="789" spans="1:9" hidden="1" x14ac:dyDescent="0.25">
      <c r="A789">
        <v>2012</v>
      </c>
      <c r="B789" s="140" t="s">
        <v>344</v>
      </c>
      <c r="C789" s="140" t="s">
        <v>14</v>
      </c>
      <c r="D789" s="140" t="s">
        <v>11</v>
      </c>
      <c r="E789" s="140" t="s">
        <v>12</v>
      </c>
      <c r="F789">
        <v>19.239999999999998</v>
      </c>
      <c r="G789" s="140" t="s">
        <v>345</v>
      </c>
      <c r="H789">
        <v>0</v>
      </c>
      <c r="I789" s="140" t="s">
        <v>14</v>
      </c>
    </row>
    <row r="790" spans="1:9" hidden="1" x14ac:dyDescent="0.25">
      <c r="A790">
        <v>2013</v>
      </c>
      <c r="B790" s="140" t="s">
        <v>344</v>
      </c>
      <c r="C790" s="140" t="s">
        <v>14</v>
      </c>
      <c r="D790" s="140" t="s">
        <v>11</v>
      </c>
      <c r="E790" s="140" t="s">
        <v>12</v>
      </c>
      <c r="F790">
        <v>19.38</v>
      </c>
      <c r="G790" s="140" t="s">
        <v>345</v>
      </c>
      <c r="H790">
        <v>0</v>
      </c>
      <c r="I790" s="140" t="s">
        <v>14</v>
      </c>
    </row>
    <row r="791" spans="1:9" hidden="1" x14ac:dyDescent="0.25">
      <c r="A791">
        <v>2014</v>
      </c>
      <c r="B791" s="140" t="s">
        <v>344</v>
      </c>
      <c r="C791" s="140" t="s">
        <v>14</v>
      </c>
      <c r="D791" s="140" t="s">
        <v>11</v>
      </c>
      <c r="E791" s="140" t="s">
        <v>12</v>
      </c>
      <c r="F791">
        <v>19.739999999999998</v>
      </c>
      <c r="G791" s="140" t="s">
        <v>345</v>
      </c>
      <c r="H791">
        <v>0</v>
      </c>
      <c r="I791" s="140" t="s">
        <v>14</v>
      </c>
    </row>
    <row r="792" spans="1:9" hidden="1" x14ac:dyDescent="0.25">
      <c r="A792">
        <v>2015</v>
      </c>
      <c r="B792" s="140" t="s">
        <v>344</v>
      </c>
      <c r="C792" s="140" t="s">
        <v>14</v>
      </c>
      <c r="D792" s="140" t="s">
        <v>11</v>
      </c>
      <c r="E792" s="140" t="s">
        <v>12</v>
      </c>
      <c r="F792">
        <v>19.82</v>
      </c>
      <c r="G792" s="140" t="s">
        <v>345</v>
      </c>
      <c r="H792">
        <v>0</v>
      </c>
      <c r="I792" s="140" t="s">
        <v>14</v>
      </c>
    </row>
    <row r="793" spans="1:9" hidden="1" x14ac:dyDescent="0.25">
      <c r="A793">
        <v>2016</v>
      </c>
      <c r="B793" s="140" t="s">
        <v>344</v>
      </c>
      <c r="C793" s="140" t="s">
        <v>14</v>
      </c>
      <c r="D793" s="140" t="s">
        <v>11</v>
      </c>
      <c r="E793" s="140" t="s">
        <v>12</v>
      </c>
      <c r="F793">
        <v>19.850000000000001</v>
      </c>
      <c r="G793" s="140" t="s">
        <v>345</v>
      </c>
      <c r="H793">
        <v>0</v>
      </c>
      <c r="I793" s="140" t="s">
        <v>14</v>
      </c>
    </row>
    <row r="794" spans="1:9" hidden="1" x14ac:dyDescent="0.25">
      <c r="A794">
        <v>2017</v>
      </c>
      <c r="B794" s="140" t="s">
        <v>344</v>
      </c>
      <c r="C794" s="140" t="s">
        <v>14</v>
      </c>
      <c r="D794" s="140" t="s">
        <v>11</v>
      </c>
      <c r="E794" s="140" t="s">
        <v>12</v>
      </c>
      <c r="F794">
        <v>19.899999999999999</v>
      </c>
      <c r="G794" s="140" t="s">
        <v>345</v>
      </c>
      <c r="H794">
        <v>0</v>
      </c>
      <c r="I794" s="140" t="s">
        <v>14</v>
      </c>
    </row>
    <row r="795" spans="1:9" hidden="1" x14ac:dyDescent="0.25">
      <c r="A795">
        <v>2018</v>
      </c>
      <c r="B795" s="140" t="s">
        <v>344</v>
      </c>
      <c r="C795" s="140" t="s">
        <v>14</v>
      </c>
      <c r="D795" s="140" t="s">
        <v>11</v>
      </c>
      <c r="E795" s="140" t="s">
        <v>12</v>
      </c>
      <c r="F795">
        <v>19.84</v>
      </c>
      <c r="G795" s="140" t="s">
        <v>345</v>
      </c>
      <c r="H795">
        <v>0</v>
      </c>
      <c r="I795" s="140" t="s">
        <v>14</v>
      </c>
    </row>
    <row r="796" spans="1:9" hidden="1" x14ac:dyDescent="0.25">
      <c r="A796">
        <v>2019</v>
      </c>
      <c r="B796" s="140" t="s">
        <v>344</v>
      </c>
      <c r="C796" s="140" t="s">
        <v>14</v>
      </c>
      <c r="D796" s="140" t="s">
        <v>11</v>
      </c>
      <c r="E796" s="140" t="s">
        <v>12</v>
      </c>
      <c r="F796">
        <v>19.88</v>
      </c>
      <c r="G796" s="140" t="s">
        <v>345</v>
      </c>
      <c r="H796">
        <v>0</v>
      </c>
      <c r="I796" s="140" t="s">
        <v>14</v>
      </c>
    </row>
    <row r="797" spans="1:9" hidden="1" x14ac:dyDescent="0.25">
      <c r="A797">
        <v>2020</v>
      </c>
      <c r="B797" s="140" t="s">
        <v>344</v>
      </c>
      <c r="C797" s="140" t="s">
        <v>14</v>
      </c>
      <c r="D797" s="140" t="s">
        <v>11</v>
      </c>
      <c r="E797" s="140" t="s">
        <v>12</v>
      </c>
      <c r="F797">
        <v>19.96</v>
      </c>
      <c r="G797" s="140" t="s">
        <v>345</v>
      </c>
      <c r="H797">
        <v>0</v>
      </c>
      <c r="I797" s="140" t="s">
        <v>14</v>
      </c>
    </row>
    <row r="798" spans="1:9" hidden="1" x14ac:dyDescent="0.25">
      <c r="A798">
        <v>2021</v>
      </c>
      <c r="B798" s="140" t="s">
        <v>344</v>
      </c>
      <c r="C798" s="140" t="s">
        <v>14</v>
      </c>
      <c r="D798" s="140" t="s">
        <v>11</v>
      </c>
      <c r="E798" s="140" t="s">
        <v>12</v>
      </c>
      <c r="F798">
        <v>20.01558086</v>
      </c>
      <c r="G798" s="140" t="s">
        <v>345</v>
      </c>
      <c r="H798">
        <v>0</v>
      </c>
      <c r="I798" s="140" t="s">
        <v>14</v>
      </c>
    </row>
    <row r="799" spans="1:9" hidden="1" x14ac:dyDescent="0.25">
      <c r="A799">
        <v>2022</v>
      </c>
      <c r="B799" s="140" t="s">
        <v>344</v>
      </c>
      <c r="C799" s="140" t="s">
        <v>14</v>
      </c>
      <c r="D799" s="140" t="s">
        <v>11</v>
      </c>
      <c r="E799" s="140" t="s">
        <v>12</v>
      </c>
      <c r="F799">
        <v>20</v>
      </c>
      <c r="G799" s="140" t="s">
        <v>345</v>
      </c>
      <c r="H799">
        <v>0</v>
      </c>
      <c r="I799" s="140" t="s">
        <v>14</v>
      </c>
    </row>
    <row r="800" spans="1:9" hidden="1" x14ac:dyDescent="0.25">
      <c r="A800">
        <v>2023</v>
      </c>
      <c r="B800" s="140" t="s">
        <v>344</v>
      </c>
      <c r="C800" s="140" t="s">
        <v>14</v>
      </c>
      <c r="D800" s="140" t="s">
        <v>11</v>
      </c>
      <c r="E800" s="140" t="s">
        <v>12</v>
      </c>
      <c r="F800">
        <v>7.44</v>
      </c>
      <c r="G800" s="140" t="s">
        <v>345</v>
      </c>
      <c r="H800">
        <v>0</v>
      </c>
      <c r="I800" s="140" t="s">
        <v>14</v>
      </c>
    </row>
    <row r="801" spans="1:9" hidden="1" x14ac:dyDescent="0.25">
      <c r="A801">
        <v>2024</v>
      </c>
      <c r="B801" s="140" t="s">
        <v>344</v>
      </c>
      <c r="C801" s="140" t="s">
        <v>14</v>
      </c>
      <c r="D801" s="140" t="s">
        <v>11</v>
      </c>
      <c r="E801" s="140" t="s">
        <v>12</v>
      </c>
      <c r="F801">
        <v>7.52</v>
      </c>
      <c r="G801" s="140" t="s">
        <v>345</v>
      </c>
      <c r="H801">
        <v>0</v>
      </c>
      <c r="I801" s="140" t="s">
        <v>14</v>
      </c>
    </row>
    <row r="802" spans="1:9" hidden="1" x14ac:dyDescent="0.25">
      <c r="A802">
        <v>2025</v>
      </c>
      <c r="B802" s="140" t="s">
        <v>344</v>
      </c>
      <c r="C802" s="140" t="s">
        <v>14</v>
      </c>
      <c r="D802" s="140" t="s">
        <v>11</v>
      </c>
      <c r="E802" s="140" t="s">
        <v>12</v>
      </c>
      <c r="F802">
        <v>7.59</v>
      </c>
      <c r="G802" s="140" t="s">
        <v>345</v>
      </c>
      <c r="H802">
        <v>0</v>
      </c>
      <c r="I802" s="140" t="s">
        <v>14</v>
      </c>
    </row>
    <row r="803" spans="1:9" hidden="1" x14ac:dyDescent="0.25">
      <c r="A803">
        <v>2026</v>
      </c>
      <c r="B803" s="140" t="s">
        <v>344</v>
      </c>
      <c r="C803" s="140" t="s">
        <v>14</v>
      </c>
      <c r="D803" s="140" t="s">
        <v>11</v>
      </c>
      <c r="E803" s="140" t="s">
        <v>12</v>
      </c>
      <c r="F803">
        <v>7.62</v>
      </c>
      <c r="G803" s="140" t="s">
        <v>345</v>
      </c>
      <c r="H803">
        <v>0</v>
      </c>
      <c r="I803" s="140" t="s">
        <v>14</v>
      </c>
    </row>
    <row r="804" spans="1:9" hidden="1" x14ac:dyDescent="0.25">
      <c r="A804">
        <v>2027</v>
      </c>
      <c r="B804" s="140" t="s">
        <v>344</v>
      </c>
      <c r="C804" s="140" t="s">
        <v>14</v>
      </c>
      <c r="D804" s="140" t="s">
        <v>11</v>
      </c>
      <c r="E804" s="140" t="s">
        <v>12</v>
      </c>
      <c r="F804">
        <v>0</v>
      </c>
      <c r="G804" s="140" t="s">
        <v>345</v>
      </c>
      <c r="H804">
        <v>0</v>
      </c>
      <c r="I804" s="140" t="s">
        <v>14</v>
      </c>
    </row>
    <row r="805" spans="1:9" hidden="1" x14ac:dyDescent="0.25">
      <c r="A805">
        <v>2028</v>
      </c>
      <c r="B805" s="140" t="s">
        <v>344</v>
      </c>
      <c r="C805" s="140" t="s">
        <v>14</v>
      </c>
      <c r="D805" s="140" t="s">
        <v>11</v>
      </c>
      <c r="E805" s="140" t="s">
        <v>12</v>
      </c>
      <c r="F805">
        <v>0</v>
      </c>
      <c r="G805" s="140" t="s">
        <v>345</v>
      </c>
      <c r="H805">
        <v>0</v>
      </c>
      <c r="I805" s="140" t="s">
        <v>14</v>
      </c>
    </row>
    <row r="806" spans="1:9" hidden="1" x14ac:dyDescent="0.25">
      <c r="A806">
        <v>2009</v>
      </c>
      <c r="B806" s="140" t="s">
        <v>346</v>
      </c>
      <c r="C806" s="140" t="s">
        <v>14</v>
      </c>
      <c r="D806" s="140" t="s">
        <v>11</v>
      </c>
      <c r="E806" s="140" t="s">
        <v>12</v>
      </c>
      <c r="F806">
        <v>1.1000000000000001</v>
      </c>
      <c r="G806" s="140" t="s">
        <v>347</v>
      </c>
      <c r="H806">
        <v>0</v>
      </c>
      <c r="I806" s="140" t="s">
        <v>14</v>
      </c>
    </row>
    <row r="807" spans="1:9" hidden="1" x14ac:dyDescent="0.25">
      <c r="A807">
        <v>2010</v>
      </c>
      <c r="B807" s="140" t="s">
        <v>346</v>
      </c>
      <c r="C807" s="140" t="s">
        <v>14</v>
      </c>
      <c r="D807" s="140" t="s">
        <v>11</v>
      </c>
      <c r="E807" s="140" t="s">
        <v>12</v>
      </c>
      <c r="F807">
        <v>1</v>
      </c>
      <c r="G807" s="140" t="s">
        <v>347</v>
      </c>
      <c r="H807">
        <v>0</v>
      </c>
      <c r="I807" s="140" t="s">
        <v>14</v>
      </c>
    </row>
    <row r="808" spans="1:9" hidden="1" x14ac:dyDescent="0.25">
      <c r="A808">
        <v>2011</v>
      </c>
      <c r="B808" s="140" t="s">
        <v>346</v>
      </c>
      <c r="C808" s="140" t="s">
        <v>14</v>
      </c>
      <c r="D808" s="140" t="s">
        <v>11</v>
      </c>
      <c r="E808" s="140" t="s">
        <v>12</v>
      </c>
      <c r="F808">
        <v>1</v>
      </c>
      <c r="G808" s="140" t="s">
        <v>347</v>
      </c>
      <c r="H808">
        <v>0</v>
      </c>
      <c r="I808" s="140" t="s">
        <v>14</v>
      </c>
    </row>
    <row r="809" spans="1:9" hidden="1" x14ac:dyDescent="0.25">
      <c r="A809">
        <v>2012</v>
      </c>
      <c r="B809" s="140" t="s">
        <v>346</v>
      </c>
      <c r="C809" s="140" t="s">
        <v>14</v>
      </c>
      <c r="D809" s="140" t="s">
        <v>11</v>
      </c>
      <c r="E809" s="140" t="s">
        <v>12</v>
      </c>
      <c r="F809">
        <v>0.9</v>
      </c>
      <c r="G809" s="140" t="s">
        <v>347</v>
      </c>
      <c r="H809">
        <v>0</v>
      </c>
      <c r="I809" s="140" t="s">
        <v>14</v>
      </c>
    </row>
    <row r="810" spans="1:9" hidden="1" x14ac:dyDescent="0.25">
      <c r="A810">
        <v>2013</v>
      </c>
      <c r="B810" s="140" t="s">
        <v>346</v>
      </c>
      <c r="C810" s="140" t="s">
        <v>14</v>
      </c>
      <c r="D810" s="140" t="s">
        <v>11</v>
      </c>
      <c r="E810" s="140" t="s">
        <v>12</v>
      </c>
      <c r="F810">
        <v>0.9</v>
      </c>
      <c r="G810" s="140" t="s">
        <v>347</v>
      </c>
      <c r="H810">
        <v>0</v>
      </c>
      <c r="I810" s="140" t="s">
        <v>14</v>
      </c>
    </row>
    <row r="811" spans="1:9" hidden="1" x14ac:dyDescent="0.25">
      <c r="A811">
        <v>2014</v>
      </c>
      <c r="B811" s="140" t="s">
        <v>346</v>
      </c>
      <c r="C811" s="140" t="s">
        <v>14</v>
      </c>
      <c r="D811" s="140" t="s">
        <v>11</v>
      </c>
      <c r="E811" s="140" t="s">
        <v>12</v>
      </c>
      <c r="F811">
        <v>0.9</v>
      </c>
      <c r="G811" s="140" t="s">
        <v>347</v>
      </c>
      <c r="H811">
        <v>0</v>
      </c>
      <c r="I811" s="140" t="s">
        <v>14</v>
      </c>
    </row>
    <row r="812" spans="1:9" hidden="1" x14ac:dyDescent="0.25">
      <c r="A812">
        <v>2015</v>
      </c>
      <c r="B812" s="140" t="s">
        <v>346</v>
      </c>
      <c r="C812" s="140" t="s">
        <v>14</v>
      </c>
      <c r="D812" s="140" t="s">
        <v>11</v>
      </c>
      <c r="E812" s="140" t="s">
        <v>12</v>
      </c>
      <c r="F812">
        <v>0.9</v>
      </c>
      <c r="G812" s="140" t="s">
        <v>347</v>
      </c>
      <c r="H812">
        <v>0</v>
      </c>
      <c r="I812" s="140" t="s">
        <v>14</v>
      </c>
    </row>
    <row r="813" spans="1:9" hidden="1" x14ac:dyDescent="0.25">
      <c r="A813">
        <v>2016</v>
      </c>
      <c r="B813" s="140" t="s">
        <v>346</v>
      </c>
      <c r="C813" s="140" t="s">
        <v>14</v>
      </c>
      <c r="D813" s="140" t="s">
        <v>11</v>
      </c>
      <c r="E813" s="140" t="s">
        <v>12</v>
      </c>
      <c r="F813">
        <v>0.8</v>
      </c>
      <c r="G813" s="140" t="s">
        <v>347</v>
      </c>
      <c r="H813">
        <v>0</v>
      </c>
      <c r="I813" s="140" t="s">
        <v>14</v>
      </c>
    </row>
    <row r="814" spans="1:9" hidden="1" x14ac:dyDescent="0.25">
      <c r="A814">
        <v>2017</v>
      </c>
      <c r="B814" s="140" t="s">
        <v>346</v>
      </c>
      <c r="C814" s="140" t="s">
        <v>14</v>
      </c>
      <c r="D814" s="140" t="s">
        <v>11</v>
      </c>
      <c r="E814" s="140" t="s">
        <v>12</v>
      </c>
      <c r="F814">
        <v>0.8</v>
      </c>
      <c r="G814" s="140" t="s">
        <v>347</v>
      </c>
      <c r="H814">
        <v>0</v>
      </c>
      <c r="I814" s="140" t="s">
        <v>14</v>
      </c>
    </row>
    <row r="815" spans="1:9" hidden="1" x14ac:dyDescent="0.25">
      <c r="A815">
        <v>2018</v>
      </c>
      <c r="B815" s="140" t="s">
        <v>346</v>
      </c>
      <c r="C815" s="140" t="s">
        <v>14</v>
      </c>
      <c r="D815" s="140" t="s">
        <v>11</v>
      </c>
      <c r="E815" s="140" t="s">
        <v>12</v>
      </c>
      <c r="F815">
        <v>0.8</v>
      </c>
      <c r="G815" s="140" t="s">
        <v>347</v>
      </c>
      <c r="H815">
        <v>0</v>
      </c>
      <c r="I815" s="140" t="s">
        <v>14</v>
      </c>
    </row>
    <row r="816" spans="1:9" hidden="1" x14ac:dyDescent="0.25">
      <c r="A816">
        <v>2019</v>
      </c>
      <c r="B816" s="140" t="s">
        <v>346</v>
      </c>
      <c r="C816" s="140" t="s">
        <v>14</v>
      </c>
      <c r="D816" s="140" t="s">
        <v>11</v>
      </c>
      <c r="E816" s="140" t="s">
        <v>12</v>
      </c>
      <c r="F816">
        <v>0.8</v>
      </c>
      <c r="G816" s="140" t="s">
        <v>347</v>
      </c>
      <c r="H816">
        <v>0</v>
      </c>
      <c r="I816" s="140" t="s">
        <v>14</v>
      </c>
    </row>
    <row r="817" spans="1:9" hidden="1" x14ac:dyDescent="0.25">
      <c r="A817">
        <v>2020</v>
      </c>
      <c r="B817" s="140" t="s">
        <v>346</v>
      </c>
      <c r="C817" s="140" t="s">
        <v>14</v>
      </c>
      <c r="D817" s="140" t="s">
        <v>11</v>
      </c>
      <c r="E817" s="140" t="s">
        <v>12</v>
      </c>
      <c r="F817">
        <v>0.8</v>
      </c>
      <c r="G817" s="140" t="s">
        <v>347</v>
      </c>
      <c r="H817">
        <v>0</v>
      </c>
      <c r="I817" s="140" t="s">
        <v>14</v>
      </c>
    </row>
    <row r="818" spans="1:9" hidden="1" x14ac:dyDescent="0.25">
      <c r="A818">
        <v>2021</v>
      </c>
      <c r="B818" s="140" t="s">
        <v>346</v>
      </c>
      <c r="C818" s="140" t="s">
        <v>14</v>
      </c>
      <c r="D818" s="140" t="s">
        <v>11</v>
      </c>
      <c r="E818" s="140" t="s">
        <v>12</v>
      </c>
      <c r="F818">
        <v>0.7</v>
      </c>
      <c r="G818" s="140" t="s">
        <v>347</v>
      </c>
      <c r="H818">
        <v>0</v>
      </c>
      <c r="I818" s="140" t="s">
        <v>14</v>
      </c>
    </row>
    <row r="819" spans="1:9" hidden="1" x14ac:dyDescent="0.25">
      <c r="A819">
        <v>2022</v>
      </c>
      <c r="B819" s="140" t="s">
        <v>346</v>
      </c>
      <c r="C819" s="140" t="s">
        <v>14</v>
      </c>
      <c r="D819" s="140" t="s">
        <v>11</v>
      </c>
      <c r="E819" s="140" t="s">
        <v>12</v>
      </c>
      <c r="F819">
        <v>0.7</v>
      </c>
      <c r="G819" s="140" t="s">
        <v>347</v>
      </c>
      <c r="H819">
        <v>0</v>
      </c>
      <c r="I819" s="140" t="s">
        <v>14</v>
      </c>
    </row>
    <row r="820" spans="1:9" hidden="1" x14ac:dyDescent="0.25">
      <c r="A820">
        <v>2023</v>
      </c>
      <c r="B820" s="140" t="s">
        <v>346</v>
      </c>
      <c r="C820" s="140" t="s">
        <v>14</v>
      </c>
      <c r="D820" s="140" t="s">
        <v>11</v>
      </c>
      <c r="E820" s="140" t="s">
        <v>12</v>
      </c>
      <c r="F820">
        <v>0.56999999999999995</v>
      </c>
      <c r="G820" s="140" t="s">
        <v>347</v>
      </c>
      <c r="H820">
        <v>0</v>
      </c>
      <c r="I820" s="140" t="s">
        <v>14</v>
      </c>
    </row>
    <row r="821" spans="1:9" hidden="1" x14ac:dyDescent="0.25">
      <c r="A821">
        <v>2024</v>
      </c>
      <c r="B821" s="140" t="s">
        <v>346</v>
      </c>
      <c r="C821" s="140" t="s">
        <v>14</v>
      </c>
      <c r="D821" s="140" t="s">
        <v>11</v>
      </c>
      <c r="E821" s="140" t="s">
        <v>12</v>
      </c>
      <c r="F821">
        <v>0.53</v>
      </c>
      <c r="G821" s="140" t="s">
        <v>347</v>
      </c>
      <c r="H821">
        <v>0</v>
      </c>
      <c r="I821" s="140" t="s">
        <v>14</v>
      </c>
    </row>
    <row r="822" spans="1:9" hidden="1" x14ac:dyDescent="0.25">
      <c r="A822">
        <v>2025</v>
      </c>
      <c r="B822" s="140" t="s">
        <v>346</v>
      </c>
      <c r="C822" s="140" t="s">
        <v>14</v>
      </c>
      <c r="D822" s="140" t="s">
        <v>11</v>
      </c>
      <c r="E822" s="140" t="s">
        <v>12</v>
      </c>
      <c r="F822">
        <v>0.53</v>
      </c>
      <c r="G822" s="140" t="s">
        <v>347</v>
      </c>
      <c r="H822">
        <v>0</v>
      </c>
      <c r="I822" s="140" t="s">
        <v>14</v>
      </c>
    </row>
    <row r="823" spans="1:9" hidden="1" x14ac:dyDescent="0.25">
      <c r="A823">
        <v>2026</v>
      </c>
      <c r="B823" s="140" t="s">
        <v>346</v>
      </c>
      <c r="C823" s="140" t="s">
        <v>14</v>
      </c>
      <c r="D823" s="140" t="s">
        <v>11</v>
      </c>
      <c r="E823" s="140" t="s">
        <v>12</v>
      </c>
      <c r="F823">
        <v>0.51</v>
      </c>
      <c r="G823" s="140" t="s">
        <v>347</v>
      </c>
      <c r="H823">
        <v>0</v>
      </c>
      <c r="I823" s="140" t="s">
        <v>14</v>
      </c>
    </row>
    <row r="824" spans="1:9" hidden="1" x14ac:dyDescent="0.25">
      <c r="A824">
        <v>2027</v>
      </c>
      <c r="B824" s="140" t="s">
        <v>346</v>
      </c>
      <c r="C824" s="140" t="s">
        <v>14</v>
      </c>
      <c r="D824" s="140" t="s">
        <v>11</v>
      </c>
      <c r="E824" s="140" t="s">
        <v>12</v>
      </c>
      <c r="F824">
        <v>0.51</v>
      </c>
      <c r="G824" s="140" t="s">
        <v>347</v>
      </c>
      <c r="H824">
        <v>0</v>
      </c>
      <c r="I824" s="140" t="s">
        <v>14</v>
      </c>
    </row>
    <row r="825" spans="1:9" hidden="1" x14ac:dyDescent="0.25">
      <c r="A825">
        <v>2028</v>
      </c>
      <c r="B825" s="140" t="s">
        <v>346</v>
      </c>
      <c r="C825" s="140" t="s">
        <v>14</v>
      </c>
      <c r="D825" s="140" t="s">
        <v>11</v>
      </c>
      <c r="E825" s="140" t="s">
        <v>12</v>
      </c>
      <c r="F825">
        <v>0.51</v>
      </c>
      <c r="G825" s="140" t="s">
        <v>347</v>
      </c>
      <c r="H825">
        <v>0</v>
      </c>
      <c r="I825" s="140" t="s">
        <v>14</v>
      </c>
    </row>
    <row r="826" spans="1:9" hidden="1" x14ac:dyDescent="0.25">
      <c r="A826">
        <v>2029</v>
      </c>
      <c r="B826" s="140" t="s">
        <v>346</v>
      </c>
      <c r="C826" s="140" t="s">
        <v>14</v>
      </c>
      <c r="D826" s="140" t="s">
        <v>11</v>
      </c>
      <c r="E826" s="140" t="s">
        <v>12</v>
      </c>
      <c r="F826">
        <v>0.51</v>
      </c>
      <c r="G826" s="140" t="s">
        <v>347</v>
      </c>
      <c r="H826">
        <v>0</v>
      </c>
      <c r="I826" s="140" t="s">
        <v>14</v>
      </c>
    </row>
    <row r="827" spans="1:9" hidden="1" x14ac:dyDescent="0.25">
      <c r="A827">
        <v>2030</v>
      </c>
      <c r="B827" s="140" t="s">
        <v>346</v>
      </c>
      <c r="C827" s="140" t="s">
        <v>14</v>
      </c>
      <c r="D827" s="140" t="s">
        <v>11</v>
      </c>
      <c r="E827" s="140" t="s">
        <v>12</v>
      </c>
      <c r="F827">
        <v>0.51</v>
      </c>
      <c r="G827" s="140" t="s">
        <v>347</v>
      </c>
      <c r="H827">
        <v>0</v>
      </c>
      <c r="I827" s="140" t="s">
        <v>14</v>
      </c>
    </row>
    <row r="828" spans="1:9" hidden="1" x14ac:dyDescent="0.25">
      <c r="A828">
        <v>2009</v>
      </c>
      <c r="B828" s="140" t="s">
        <v>348</v>
      </c>
      <c r="C828" s="140" t="s">
        <v>14</v>
      </c>
      <c r="D828" s="140" t="s">
        <v>11</v>
      </c>
      <c r="E828" s="140" t="s">
        <v>12</v>
      </c>
      <c r="F828">
        <v>7.0000000000000007E-2</v>
      </c>
      <c r="G828" s="140" t="s">
        <v>349</v>
      </c>
      <c r="H828">
        <v>0</v>
      </c>
      <c r="I828" s="140" t="s">
        <v>14</v>
      </c>
    </row>
    <row r="829" spans="1:9" hidden="1" x14ac:dyDescent="0.25">
      <c r="A829">
        <v>2010</v>
      </c>
      <c r="B829" s="140" t="s">
        <v>348</v>
      </c>
      <c r="C829" s="140" t="s">
        <v>14</v>
      </c>
      <c r="D829" s="140" t="s">
        <v>11</v>
      </c>
      <c r="E829" s="140" t="s">
        <v>12</v>
      </c>
      <c r="F829">
        <v>7.0000000000000007E-2</v>
      </c>
      <c r="G829" s="140" t="s">
        <v>349</v>
      </c>
      <c r="H829">
        <v>0</v>
      </c>
      <c r="I829" s="140" t="s">
        <v>14</v>
      </c>
    </row>
    <row r="830" spans="1:9" hidden="1" x14ac:dyDescent="0.25">
      <c r="A830">
        <v>2011</v>
      </c>
      <c r="B830" s="140" t="s">
        <v>348</v>
      </c>
      <c r="C830" s="140" t="s">
        <v>14</v>
      </c>
      <c r="D830" s="140" t="s">
        <v>11</v>
      </c>
      <c r="E830" s="140" t="s">
        <v>12</v>
      </c>
      <c r="F830">
        <v>7.0000000000000007E-2</v>
      </c>
      <c r="G830" s="140" t="s">
        <v>349</v>
      </c>
      <c r="H830">
        <v>0</v>
      </c>
      <c r="I830" s="140" t="s">
        <v>14</v>
      </c>
    </row>
    <row r="831" spans="1:9" hidden="1" x14ac:dyDescent="0.25">
      <c r="A831">
        <v>2012</v>
      </c>
      <c r="B831" s="140" t="s">
        <v>348</v>
      </c>
      <c r="C831" s="140" t="s">
        <v>14</v>
      </c>
      <c r="D831" s="140" t="s">
        <v>11</v>
      </c>
      <c r="E831" s="140" t="s">
        <v>12</v>
      </c>
      <c r="F831">
        <v>7.0000000000000007E-2</v>
      </c>
      <c r="G831" s="140" t="s">
        <v>349</v>
      </c>
      <c r="H831">
        <v>0</v>
      </c>
      <c r="I831" s="140" t="s">
        <v>14</v>
      </c>
    </row>
    <row r="832" spans="1:9" hidden="1" x14ac:dyDescent="0.25">
      <c r="A832">
        <v>2013</v>
      </c>
      <c r="B832" s="140" t="s">
        <v>348</v>
      </c>
      <c r="C832" s="140" t="s">
        <v>14</v>
      </c>
      <c r="D832" s="140" t="s">
        <v>11</v>
      </c>
      <c r="E832" s="140" t="s">
        <v>12</v>
      </c>
      <c r="F832">
        <v>7.0000000000000007E-2</v>
      </c>
      <c r="G832" s="140" t="s">
        <v>349</v>
      </c>
      <c r="H832">
        <v>0</v>
      </c>
      <c r="I832" s="140" t="s">
        <v>14</v>
      </c>
    </row>
    <row r="833" spans="1:9" hidden="1" x14ac:dyDescent="0.25">
      <c r="A833">
        <v>2014</v>
      </c>
      <c r="B833" s="140" t="s">
        <v>348</v>
      </c>
      <c r="C833" s="140" t="s">
        <v>14</v>
      </c>
      <c r="D833" s="140" t="s">
        <v>11</v>
      </c>
      <c r="E833" s="140" t="s">
        <v>12</v>
      </c>
      <c r="F833">
        <v>7.0000000000000007E-2</v>
      </c>
      <c r="G833" s="140" t="s">
        <v>349</v>
      </c>
      <c r="H833">
        <v>0</v>
      </c>
      <c r="I833" s="140" t="s">
        <v>14</v>
      </c>
    </row>
    <row r="834" spans="1:9" hidden="1" x14ac:dyDescent="0.25">
      <c r="A834">
        <v>2015</v>
      </c>
      <c r="B834" s="140" t="s">
        <v>348</v>
      </c>
      <c r="C834" s="140" t="s">
        <v>14</v>
      </c>
      <c r="D834" s="140" t="s">
        <v>11</v>
      </c>
      <c r="E834" s="140" t="s">
        <v>12</v>
      </c>
      <c r="F834">
        <v>7.0000000000000007E-2</v>
      </c>
      <c r="G834" s="140" t="s">
        <v>349</v>
      </c>
      <c r="H834">
        <v>0</v>
      </c>
      <c r="I834" s="140" t="s">
        <v>14</v>
      </c>
    </row>
    <row r="835" spans="1:9" hidden="1" x14ac:dyDescent="0.25">
      <c r="A835">
        <v>2016</v>
      </c>
      <c r="B835" s="140" t="s">
        <v>348</v>
      </c>
      <c r="C835" s="140" t="s">
        <v>14</v>
      </c>
      <c r="D835" s="140" t="s">
        <v>11</v>
      </c>
      <c r="E835" s="140" t="s">
        <v>12</v>
      </c>
      <c r="F835">
        <v>7.0000000000000007E-2</v>
      </c>
      <c r="G835" s="140" t="s">
        <v>349</v>
      </c>
      <c r="H835">
        <v>0</v>
      </c>
      <c r="I835" s="140" t="s">
        <v>14</v>
      </c>
    </row>
    <row r="836" spans="1:9" hidden="1" x14ac:dyDescent="0.25">
      <c r="A836">
        <v>2017</v>
      </c>
      <c r="B836" s="140" t="s">
        <v>348</v>
      </c>
      <c r="C836" s="140" t="s">
        <v>14</v>
      </c>
      <c r="D836" s="140" t="s">
        <v>11</v>
      </c>
      <c r="E836" s="140" t="s">
        <v>12</v>
      </c>
      <c r="F836">
        <v>7.0000000000000007E-2</v>
      </c>
      <c r="G836" s="140" t="s">
        <v>349</v>
      </c>
      <c r="H836">
        <v>0</v>
      </c>
      <c r="I836" s="140" t="s">
        <v>14</v>
      </c>
    </row>
    <row r="837" spans="1:9" hidden="1" x14ac:dyDescent="0.25">
      <c r="A837">
        <v>2018</v>
      </c>
      <c r="B837" s="140" t="s">
        <v>348</v>
      </c>
      <c r="C837" s="140" t="s">
        <v>14</v>
      </c>
      <c r="D837" s="140" t="s">
        <v>11</v>
      </c>
      <c r="E837" s="140" t="s">
        <v>12</v>
      </c>
      <c r="F837">
        <v>7.0000000000000007E-2</v>
      </c>
      <c r="G837" s="140" t="s">
        <v>349</v>
      </c>
      <c r="H837">
        <v>0</v>
      </c>
      <c r="I837" s="140" t="s">
        <v>14</v>
      </c>
    </row>
    <row r="838" spans="1:9" hidden="1" x14ac:dyDescent="0.25">
      <c r="A838">
        <v>2019</v>
      </c>
      <c r="B838" s="140" t="s">
        <v>348</v>
      </c>
      <c r="C838" s="140" t="s">
        <v>14</v>
      </c>
      <c r="D838" s="140" t="s">
        <v>11</v>
      </c>
      <c r="E838" s="140" t="s">
        <v>12</v>
      </c>
      <c r="F838">
        <v>7.0000000000000007E-2</v>
      </c>
      <c r="G838" s="140" t="s">
        <v>349</v>
      </c>
      <c r="H838">
        <v>0</v>
      </c>
      <c r="I838" s="140" t="s">
        <v>14</v>
      </c>
    </row>
    <row r="839" spans="1:9" hidden="1" x14ac:dyDescent="0.25">
      <c r="A839">
        <v>2020</v>
      </c>
      <c r="B839" s="140" t="s">
        <v>348</v>
      </c>
      <c r="C839" s="140" t="s">
        <v>14</v>
      </c>
      <c r="D839" s="140" t="s">
        <v>11</v>
      </c>
      <c r="E839" s="140" t="s">
        <v>12</v>
      </c>
      <c r="F839">
        <v>7.0000000000000007E-2</v>
      </c>
      <c r="G839" s="140" t="s">
        <v>349</v>
      </c>
      <c r="H839">
        <v>0</v>
      </c>
      <c r="I839" s="140" t="s">
        <v>14</v>
      </c>
    </row>
    <row r="840" spans="1:9" hidden="1" x14ac:dyDescent="0.25">
      <c r="A840">
        <v>2021</v>
      </c>
      <c r="B840" s="140" t="s">
        <v>348</v>
      </c>
      <c r="C840" s="140" t="s">
        <v>14</v>
      </c>
      <c r="D840" s="140" t="s">
        <v>11</v>
      </c>
      <c r="E840" s="140" t="s">
        <v>12</v>
      </c>
      <c r="F840">
        <v>0.06</v>
      </c>
      <c r="G840" s="140" t="s">
        <v>349</v>
      </c>
      <c r="H840">
        <v>0</v>
      </c>
      <c r="I840" s="140" t="s">
        <v>14</v>
      </c>
    </row>
    <row r="841" spans="1:9" hidden="1" x14ac:dyDescent="0.25">
      <c r="A841">
        <v>2022</v>
      </c>
      <c r="B841" s="140" t="s">
        <v>348</v>
      </c>
      <c r="C841" s="140" t="s">
        <v>14</v>
      </c>
      <c r="D841" s="140" t="s">
        <v>11</v>
      </c>
      <c r="E841" s="140" t="s">
        <v>12</v>
      </c>
      <c r="F841">
        <v>0.06</v>
      </c>
      <c r="G841" s="140" t="s">
        <v>349</v>
      </c>
      <c r="H841">
        <v>0</v>
      </c>
      <c r="I841" s="140" t="s">
        <v>14</v>
      </c>
    </row>
    <row r="842" spans="1:9" hidden="1" x14ac:dyDescent="0.25">
      <c r="A842">
        <v>2023</v>
      </c>
      <c r="B842" s="140" t="s">
        <v>348</v>
      </c>
      <c r="C842" s="140" t="s">
        <v>14</v>
      </c>
      <c r="D842" s="140" t="s">
        <v>11</v>
      </c>
      <c r="E842" s="140" t="s">
        <v>12</v>
      </c>
      <c r="F842">
        <v>0.06</v>
      </c>
      <c r="G842" s="140" t="s">
        <v>349</v>
      </c>
      <c r="H842">
        <v>0</v>
      </c>
      <c r="I842" s="140" t="s">
        <v>14</v>
      </c>
    </row>
    <row r="843" spans="1:9" hidden="1" x14ac:dyDescent="0.25">
      <c r="A843">
        <v>2024</v>
      </c>
      <c r="B843" s="140" t="s">
        <v>348</v>
      </c>
      <c r="C843" s="140" t="s">
        <v>14</v>
      </c>
      <c r="D843" s="140" t="s">
        <v>11</v>
      </c>
      <c r="E843" s="140" t="s">
        <v>12</v>
      </c>
      <c r="F843">
        <v>0.06</v>
      </c>
      <c r="G843" s="140" t="s">
        <v>349</v>
      </c>
      <c r="H843">
        <v>0</v>
      </c>
      <c r="I843" s="140" t="s">
        <v>14</v>
      </c>
    </row>
    <row r="844" spans="1:9" hidden="1" x14ac:dyDescent="0.25">
      <c r="A844">
        <v>2025</v>
      </c>
      <c r="B844" s="140" t="s">
        <v>348</v>
      </c>
      <c r="C844" s="140" t="s">
        <v>14</v>
      </c>
      <c r="D844" s="140" t="s">
        <v>11</v>
      </c>
      <c r="E844" s="140" t="s">
        <v>12</v>
      </c>
      <c r="F844">
        <v>0.06</v>
      </c>
      <c r="G844" s="140" t="s">
        <v>349</v>
      </c>
      <c r="H844">
        <v>0</v>
      </c>
      <c r="I844" s="140" t="s">
        <v>14</v>
      </c>
    </row>
    <row r="845" spans="1:9" hidden="1" x14ac:dyDescent="0.25">
      <c r="A845">
        <v>2026</v>
      </c>
      <c r="B845" s="140" t="s">
        <v>348</v>
      </c>
      <c r="C845" s="140" t="s">
        <v>14</v>
      </c>
      <c r="D845" s="140" t="s">
        <v>11</v>
      </c>
      <c r="E845" s="140" t="s">
        <v>12</v>
      </c>
      <c r="F845">
        <v>0.06</v>
      </c>
      <c r="G845" s="140" t="s">
        <v>349</v>
      </c>
      <c r="H845">
        <v>0</v>
      </c>
      <c r="I845" s="140" t="s">
        <v>14</v>
      </c>
    </row>
    <row r="846" spans="1:9" hidden="1" x14ac:dyDescent="0.25">
      <c r="A846">
        <v>2027</v>
      </c>
      <c r="B846" s="140" t="s">
        <v>348</v>
      </c>
      <c r="C846" s="140" t="s">
        <v>14</v>
      </c>
      <c r="D846" s="140" t="s">
        <v>11</v>
      </c>
      <c r="E846" s="140" t="s">
        <v>12</v>
      </c>
      <c r="F846">
        <v>0.06</v>
      </c>
      <c r="G846" s="140" t="s">
        <v>349</v>
      </c>
      <c r="H846">
        <v>0</v>
      </c>
      <c r="I846" s="140" t="s">
        <v>14</v>
      </c>
    </row>
    <row r="847" spans="1:9" hidden="1" x14ac:dyDescent="0.25">
      <c r="A847">
        <v>2028</v>
      </c>
      <c r="B847" s="140" t="s">
        <v>348</v>
      </c>
      <c r="C847" s="140" t="s">
        <v>14</v>
      </c>
      <c r="D847" s="140" t="s">
        <v>11</v>
      </c>
      <c r="E847" s="140" t="s">
        <v>12</v>
      </c>
      <c r="F847">
        <v>0.06</v>
      </c>
      <c r="G847" s="140" t="s">
        <v>349</v>
      </c>
      <c r="H847">
        <v>0</v>
      </c>
      <c r="I847" s="140" t="s">
        <v>14</v>
      </c>
    </row>
    <row r="848" spans="1:9" hidden="1" x14ac:dyDescent="0.25">
      <c r="A848">
        <v>2029</v>
      </c>
      <c r="B848" s="140" t="s">
        <v>348</v>
      </c>
      <c r="C848" s="140" t="s">
        <v>14</v>
      </c>
      <c r="D848" s="140" t="s">
        <v>11</v>
      </c>
      <c r="E848" s="140" t="s">
        <v>12</v>
      </c>
      <c r="F848">
        <v>0.06</v>
      </c>
      <c r="G848" s="140" t="s">
        <v>349</v>
      </c>
      <c r="H848">
        <v>0</v>
      </c>
      <c r="I848" s="140" t="s">
        <v>14</v>
      </c>
    </row>
    <row r="849" spans="1:9" hidden="1" x14ac:dyDescent="0.25">
      <c r="A849">
        <v>2030</v>
      </c>
      <c r="B849" s="140" t="s">
        <v>348</v>
      </c>
      <c r="C849" s="140" t="s">
        <v>14</v>
      </c>
      <c r="D849" s="140" t="s">
        <v>11</v>
      </c>
      <c r="E849" s="140" t="s">
        <v>12</v>
      </c>
      <c r="F849">
        <v>0.06</v>
      </c>
      <c r="G849" s="140" t="s">
        <v>349</v>
      </c>
      <c r="H849">
        <v>0</v>
      </c>
      <c r="I849" s="140" t="s">
        <v>14</v>
      </c>
    </row>
    <row r="850" spans="1:9" hidden="1" x14ac:dyDescent="0.25">
      <c r="A850">
        <v>2009</v>
      </c>
      <c r="B850" s="140" t="s">
        <v>350</v>
      </c>
      <c r="C850" s="140" t="s">
        <v>14</v>
      </c>
      <c r="D850" s="140" t="s">
        <v>11</v>
      </c>
      <c r="E850" s="140" t="s">
        <v>12</v>
      </c>
      <c r="F850">
        <v>23.112864080000001</v>
      </c>
      <c r="G850" s="140" t="s">
        <v>351</v>
      </c>
      <c r="H850">
        <v>0</v>
      </c>
      <c r="I850" s="140" t="s">
        <v>14</v>
      </c>
    </row>
    <row r="851" spans="1:9" hidden="1" x14ac:dyDescent="0.25">
      <c r="A851">
        <v>2010</v>
      </c>
      <c r="B851" s="140" t="s">
        <v>350</v>
      </c>
      <c r="C851" s="140" t="s">
        <v>14</v>
      </c>
      <c r="D851" s="140" t="s">
        <v>11</v>
      </c>
      <c r="E851" s="140" t="s">
        <v>12</v>
      </c>
      <c r="F851">
        <v>23.160950509999999</v>
      </c>
      <c r="G851" s="140" t="s">
        <v>351</v>
      </c>
      <c r="H851">
        <v>0</v>
      </c>
      <c r="I851" s="140" t="s">
        <v>14</v>
      </c>
    </row>
    <row r="852" spans="1:9" hidden="1" x14ac:dyDescent="0.25">
      <c r="A852">
        <v>2011</v>
      </c>
      <c r="B852" s="140" t="s">
        <v>350</v>
      </c>
      <c r="C852" s="140" t="s">
        <v>14</v>
      </c>
      <c r="D852" s="140" t="s">
        <v>11</v>
      </c>
      <c r="E852" s="140" t="s">
        <v>12</v>
      </c>
      <c r="F852">
        <v>23.160950509999999</v>
      </c>
      <c r="G852" s="140" t="s">
        <v>351</v>
      </c>
      <c r="H852">
        <v>0</v>
      </c>
      <c r="I852" s="140" t="s">
        <v>14</v>
      </c>
    </row>
    <row r="853" spans="1:9" hidden="1" x14ac:dyDescent="0.25">
      <c r="A853">
        <v>2012</v>
      </c>
      <c r="B853" s="140" t="s">
        <v>350</v>
      </c>
      <c r="C853" s="140" t="s">
        <v>14</v>
      </c>
      <c r="D853" s="140" t="s">
        <v>11</v>
      </c>
      <c r="E853" s="140" t="s">
        <v>12</v>
      </c>
      <c r="F853">
        <v>23.344375209999999</v>
      </c>
      <c r="G853" s="140" t="s">
        <v>351</v>
      </c>
      <c r="H853">
        <v>0</v>
      </c>
      <c r="I853" s="140" t="s">
        <v>14</v>
      </c>
    </row>
    <row r="854" spans="1:9" hidden="1" x14ac:dyDescent="0.25">
      <c r="A854">
        <v>2013</v>
      </c>
      <c r="B854" s="140" t="s">
        <v>350</v>
      </c>
      <c r="C854" s="140" t="s">
        <v>14</v>
      </c>
      <c r="D854" s="140" t="s">
        <v>11</v>
      </c>
      <c r="E854" s="140" t="s">
        <v>12</v>
      </c>
      <c r="F854">
        <v>23.331642330000001</v>
      </c>
      <c r="G854" s="140" t="s">
        <v>351</v>
      </c>
      <c r="H854">
        <v>0</v>
      </c>
      <c r="I854" s="140" t="s">
        <v>14</v>
      </c>
    </row>
    <row r="855" spans="1:9" hidden="1" x14ac:dyDescent="0.25">
      <c r="A855">
        <v>2014</v>
      </c>
      <c r="B855" s="140" t="s">
        <v>350</v>
      </c>
      <c r="C855" s="140" t="s">
        <v>14</v>
      </c>
      <c r="D855" s="140" t="s">
        <v>11</v>
      </c>
      <c r="E855" s="140" t="s">
        <v>12</v>
      </c>
      <c r="F855">
        <v>23.61747733</v>
      </c>
      <c r="G855" s="140" t="s">
        <v>351</v>
      </c>
      <c r="H855">
        <v>0</v>
      </c>
      <c r="I855" s="140" t="s">
        <v>14</v>
      </c>
    </row>
    <row r="856" spans="1:9" hidden="1" x14ac:dyDescent="0.25">
      <c r="A856">
        <v>2015</v>
      </c>
      <c r="B856" s="140" t="s">
        <v>350</v>
      </c>
      <c r="C856" s="140" t="s">
        <v>14</v>
      </c>
      <c r="D856" s="140" t="s">
        <v>11</v>
      </c>
      <c r="E856" s="140" t="s">
        <v>12</v>
      </c>
      <c r="F856">
        <v>23.818366640000001</v>
      </c>
      <c r="G856" s="140" t="s">
        <v>351</v>
      </c>
      <c r="H856">
        <v>0</v>
      </c>
      <c r="I856" s="140" t="s">
        <v>14</v>
      </c>
    </row>
    <row r="857" spans="1:9" hidden="1" x14ac:dyDescent="0.25">
      <c r="A857">
        <v>2016</v>
      </c>
      <c r="B857" s="140" t="s">
        <v>350</v>
      </c>
      <c r="C857" s="140" t="s">
        <v>14</v>
      </c>
      <c r="D857" s="140" t="s">
        <v>11</v>
      </c>
      <c r="E857" s="140" t="s">
        <v>12</v>
      </c>
      <c r="F857">
        <v>24.115013529999999</v>
      </c>
      <c r="G857" s="140" t="s">
        <v>351</v>
      </c>
      <c r="H857">
        <v>0</v>
      </c>
      <c r="I857" s="140" t="s">
        <v>14</v>
      </c>
    </row>
    <row r="858" spans="1:9" hidden="1" x14ac:dyDescent="0.25">
      <c r="A858">
        <v>2017</v>
      </c>
      <c r="B858" s="140" t="s">
        <v>350</v>
      </c>
      <c r="C858" s="140" t="s">
        <v>14</v>
      </c>
      <c r="D858" s="140" t="s">
        <v>11</v>
      </c>
      <c r="E858" s="140" t="s">
        <v>12</v>
      </c>
      <c r="F858">
        <v>22.269480600000001</v>
      </c>
      <c r="G858" s="140" t="s">
        <v>351</v>
      </c>
      <c r="H858">
        <v>0</v>
      </c>
      <c r="I858" s="140" t="s">
        <v>14</v>
      </c>
    </row>
    <row r="859" spans="1:9" hidden="1" x14ac:dyDescent="0.25">
      <c r="A859">
        <v>2018</v>
      </c>
      <c r="B859" s="140" t="s">
        <v>350</v>
      </c>
      <c r="C859" s="140" t="s">
        <v>14</v>
      </c>
      <c r="D859" s="140" t="s">
        <v>11</v>
      </c>
      <c r="E859" s="140" t="s">
        <v>12</v>
      </c>
      <c r="F859">
        <v>21.30828129</v>
      </c>
      <c r="G859" s="140" t="s">
        <v>351</v>
      </c>
      <c r="H859">
        <v>0</v>
      </c>
      <c r="I859" s="140" t="s">
        <v>14</v>
      </c>
    </row>
    <row r="860" spans="1:9" hidden="1" x14ac:dyDescent="0.25">
      <c r="A860">
        <v>2019</v>
      </c>
      <c r="B860" s="140" t="s">
        <v>350</v>
      </c>
      <c r="C860" s="140" t="s">
        <v>14</v>
      </c>
      <c r="D860" s="140" t="s">
        <v>11</v>
      </c>
      <c r="E860" s="140" t="s">
        <v>12</v>
      </c>
      <c r="F860">
        <v>20.437536470000001</v>
      </c>
      <c r="G860" s="140" t="s">
        <v>351</v>
      </c>
      <c r="H860">
        <v>0</v>
      </c>
      <c r="I860" s="140" t="s">
        <v>14</v>
      </c>
    </row>
    <row r="861" spans="1:9" hidden="1" x14ac:dyDescent="0.25">
      <c r="A861">
        <v>2020</v>
      </c>
      <c r="B861" s="140" t="s">
        <v>350</v>
      </c>
      <c r="C861" s="140" t="s">
        <v>14</v>
      </c>
      <c r="D861" s="140" t="s">
        <v>11</v>
      </c>
      <c r="E861" s="140" t="s">
        <v>12</v>
      </c>
      <c r="F861">
        <v>19.118355650000002</v>
      </c>
      <c r="G861" s="140" t="s">
        <v>351</v>
      </c>
      <c r="H861">
        <v>0</v>
      </c>
      <c r="I861" s="140" t="s">
        <v>14</v>
      </c>
    </row>
    <row r="862" spans="1:9" hidden="1" x14ac:dyDescent="0.25">
      <c r="A862">
        <v>2021</v>
      </c>
      <c r="B862" s="140" t="s">
        <v>350</v>
      </c>
      <c r="C862" s="140" t="s">
        <v>14</v>
      </c>
      <c r="D862" s="140" t="s">
        <v>11</v>
      </c>
      <c r="E862" s="140" t="s">
        <v>12</v>
      </c>
      <c r="F862">
        <v>20.686575300000001</v>
      </c>
      <c r="G862" s="140" t="s">
        <v>351</v>
      </c>
      <c r="H862">
        <v>0</v>
      </c>
      <c r="I862" s="140" t="s">
        <v>14</v>
      </c>
    </row>
    <row r="863" spans="1:9" hidden="1" x14ac:dyDescent="0.25">
      <c r="A863">
        <v>2022</v>
      </c>
      <c r="B863" s="140" t="s">
        <v>350</v>
      </c>
      <c r="C863" s="140" t="s">
        <v>14</v>
      </c>
      <c r="D863" s="140" t="s">
        <v>11</v>
      </c>
      <c r="E863" s="140" t="s">
        <v>12</v>
      </c>
      <c r="F863">
        <v>20.897109660000002</v>
      </c>
      <c r="G863" s="140" t="s">
        <v>351</v>
      </c>
      <c r="H863">
        <v>0</v>
      </c>
      <c r="I863" s="140" t="s">
        <v>14</v>
      </c>
    </row>
    <row r="864" spans="1:9" hidden="1" x14ac:dyDescent="0.25">
      <c r="A864">
        <v>2023</v>
      </c>
      <c r="B864" s="140" t="s">
        <v>350</v>
      </c>
      <c r="C864" s="140" t="s">
        <v>14</v>
      </c>
      <c r="D864" s="140" t="s">
        <v>11</v>
      </c>
      <c r="E864" s="140" t="s">
        <v>12</v>
      </c>
      <c r="F864">
        <v>20.98897766</v>
      </c>
      <c r="G864" s="140" t="s">
        <v>351</v>
      </c>
      <c r="H864">
        <v>0</v>
      </c>
      <c r="I864" s="140" t="s">
        <v>14</v>
      </c>
    </row>
    <row r="865" spans="1:9" hidden="1" x14ac:dyDescent="0.25">
      <c r="A865">
        <v>2024</v>
      </c>
      <c r="B865" s="140" t="s">
        <v>350</v>
      </c>
      <c r="C865" s="140" t="s">
        <v>14</v>
      </c>
      <c r="D865" s="140" t="s">
        <v>11</v>
      </c>
      <c r="E865" s="140" t="s">
        <v>12</v>
      </c>
      <c r="F865">
        <v>19.847123849999999</v>
      </c>
      <c r="G865" s="140" t="s">
        <v>351</v>
      </c>
      <c r="H865">
        <v>0</v>
      </c>
      <c r="I865" s="140" t="s">
        <v>14</v>
      </c>
    </row>
    <row r="866" spans="1:9" hidden="1" x14ac:dyDescent="0.25">
      <c r="A866">
        <v>2025</v>
      </c>
      <c r="B866" s="140" t="s">
        <v>350</v>
      </c>
      <c r="C866" s="140" t="s">
        <v>14</v>
      </c>
      <c r="D866" s="140" t="s">
        <v>11</v>
      </c>
      <c r="E866" s="140" t="s">
        <v>12</v>
      </c>
      <c r="F866">
        <v>20.318406979999999</v>
      </c>
      <c r="G866" s="140" t="s">
        <v>351</v>
      </c>
      <c r="H866">
        <v>0</v>
      </c>
      <c r="I866" s="140" t="s">
        <v>14</v>
      </c>
    </row>
    <row r="867" spans="1:9" hidden="1" x14ac:dyDescent="0.25">
      <c r="A867">
        <v>2026</v>
      </c>
      <c r="B867" s="140" t="s">
        <v>350</v>
      </c>
      <c r="C867" s="140" t="s">
        <v>14</v>
      </c>
      <c r="D867" s="140" t="s">
        <v>11</v>
      </c>
      <c r="E867" s="140" t="s">
        <v>12</v>
      </c>
      <c r="F867">
        <v>20.463487910000001</v>
      </c>
      <c r="G867" s="140" t="s">
        <v>351</v>
      </c>
      <c r="H867">
        <v>0</v>
      </c>
      <c r="I867" s="140" t="s">
        <v>14</v>
      </c>
    </row>
    <row r="868" spans="1:9" hidden="1" x14ac:dyDescent="0.25">
      <c r="A868">
        <v>2027</v>
      </c>
      <c r="B868" s="140" t="s">
        <v>350</v>
      </c>
      <c r="C868" s="140" t="s">
        <v>14</v>
      </c>
      <c r="D868" s="140" t="s">
        <v>11</v>
      </c>
      <c r="E868" s="140" t="s">
        <v>12</v>
      </c>
      <c r="F868">
        <v>20.325770309999999</v>
      </c>
      <c r="G868" s="140" t="s">
        <v>351</v>
      </c>
      <c r="H868">
        <v>0</v>
      </c>
      <c r="I868" s="140" t="s">
        <v>14</v>
      </c>
    </row>
    <row r="869" spans="1:9" hidden="1" x14ac:dyDescent="0.25">
      <c r="A869">
        <v>2028</v>
      </c>
      <c r="B869" s="140" t="s">
        <v>350</v>
      </c>
      <c r="C869" s="140" t="s">
        <v>14</v>
      </c>
      <c r="D869" s="140" t="s">
        <v>11</v>
      </c>
      <c r="E869" s="140" t="s">
        <v>12</v>
      </c>
      <c r="F869">
        <v>20.255770309999999</v>
      </c>
      <c r="G869" s="140" t="s">
        <v>351</v>
      </c>
      <c r="H869">
        <v>0</v>
      </c>
      <c r="I869" s="140" t="s">
        <v>14</v>
      </c>
    </row>
    <row r="870" spans="1:9" hidden="1" x14ac:dyDescent="0.25">
      <c r="A870">
        <v>2009</v>
      </c>
      <c r="B870" s="140" t="s">
        <v>352</v>
      </c>
      <c r="C870" s="140" t="s">
        <v>14</v>
      </c>
      <c r="D870" s="140" t="s">
        <v>11</v>
      </c>
      <c r="E870" s="140" t="s">
        <v>12</v>
      </c>
      <c r="F870">
        <v>6.83</v>
      </c>
      <c r="G870" s="140" t="s">
        <v>353</v>
      </c>
      <c r="H870">
        <v>0</v>
      </c>
      <c r="I870" s="140" t="s">
        <v>14</v>
      </c>
    </row>
    <row r="871" spans="1:9" hidden="1" x14ac:dyDescent="0.25">
      <c r="A871">
        <v>2010</v>
      </c>
      <c r="B871" s="140" t="s">
        <v>352</v>
      </c>
      <c r="C871" s="140" t="s">
        <v>14</v>
      </c>
      <c r="D871" s="140" t="s">
        <v>11</v>
      </c>
      <c r="E871" s="140" t="s">
        <v>12</v>
      </c>
      <c r="F871">
        <v>7.66</v>
      </c>
      <c r="G871" s="140" t="s">
        <v>353</v>
      </c>
      <c r="H871">
        <v>0</v>
      </c>
      <c r="I871" s="140" t="s">
        <v>14</v>
      </c>
    </row>
    <row r="872" spans="1:9" hidden="1" x14ac:dyDescent="0.25">
      <c r="A872">
        <v>2011</v>
      </c>
      <c r="B872" s="140" t="s">
        <v>352</v>
      </c>
      <c r="C872" s="140" t="s">
        <v>14</v>
      </c>
      <c r="D872" s="140" t="s">
        <v>11</v>
      </c>
      <c r="E872" s="140" t="s">
        <v>12</v>
      </c>
      <c r="F872">
        <v>7.66</v>
      </c>
      <c r="G872" s="140" t="s">
        <v>353</v>
      </c>
      <c r="H872">
        <v>0</v>
      </c>
      <c r="I872" s="140" t="s">
        <v>14</v>
      </c>
    </row>
    <row r="873" spans="1:9" hidden="1" x14ac:dyDescent="0.25">
      <c r="A873">
        <v>2012</v>
      </c>
      <c r="B873" s="140" t="s">
        <v>352</v>
      </c>
      <c r="C873" s="140" t="s">
        <v>14</v>
      </c>
      <c r="D873" s="140" t="s">
        <v>11</v>
      </c>
      <c r="E873" s="140" t="s">
        <v>12</v>
      </c>
      <c r="F873">
        <v>8.14</v>
      </c>
      <c r="G873" s="140" t="s">
        <v>353</v>
      </c>
      <c r="H873">
        <v>0</v>
      </c>
      <c r="I873" s="140" t="s">
        <v>14</v>
      </c>
    </row>
    <row r="874" spans="1:9" hidden="1" x14ac:dyDescent="0.25">
      <c r="A874">
        <v>2013</v>
      </c>
      <c r="B874" s="140" t="s">
        <v>352</v>
      </c>
      <c r="C874" s="140" t="s">
        <v>14</v>
      </c>
      <c r="D874" s="140" t="s">
        <v>11</v>
      </c>
      <c r="E874" s="140" t="s">
        <v>12</v>
      </c>
      <c r="F874">
        <v>8.14</v>
      </c>
      <c r="G874" s="140" t="s">
        <v>353</v>
      </c>
      <c r="H874">
        <v>0</v>
      </c>
      <c r="I874" s="140" t="s">
        <v>14</v>
      </c>
    </row>
    <row r="875" spans="1:9" hidden="1" x14ac:dyDescent="0.25">
      <c r="A875">
        <v>2014</v>
      </c>
      <c r="B875" s="140" t="s">
        <v>352</v>
      </c>
      <c r="C875" s="140" t="s">
        <v>14</v>
      </c>
      <c r="D875" s="140" t="s">
        <v>11</v>
      </c>
      <c r="E875" s="140" t="s">
        <v>12</v>
      </c>
      <c r="F875">
        <v>8.56</v>
      </c>
      <c r="G875" s="140" t="s">
        <v>353</v>
      </c>
      <c r="H875">
        <v>0</v>
      </c>
      <c r="I875" s="140" t="s">
        <v>14</v>
      </c>
    </row>
    <row r="876" spans="1:9" hidden="1" x14ac:dyDescent="0.25">
      <c r="A876">
        <v>2015</v>
      </c>
      <c r="B876" s="140" t="s">
        <v>352</v>
      </c>
      <c r="C876" s="140" t="s">
        <v>14</v>
      </c>
      <c r="D876" s="140" t="s">
        <v>11</v>
      </c>
      <c r="E876" s="140" t="s">
        <v>12</v>
      </c>
      <c r="F876">
        <v>8.8000000000000007</v>
      </c>
      <c r="G876" s="140" t="s">
        <v>353</v>
      </c>
      <c r="H876">
        <v>0</v>
      </c>
      <c r="I876" s="140" t="s">
        <v>14</v>
      </c>
    </row>
    <row r="877" spans="1:9" hidden="1" x14ac:dyDescent="0.25">
      <c r="A877">
        <v>2016</v>
      </c>
      <c r="B877" s="140" t="s">
        <v>352</v>
      </c>
      <c r="C877" s="140" t="s">
        <v>14</v>
      </c>
      <c r="D877" s="140" t="s">
        <v>11</v>
      </c>
      <c r="E877" s="140" t="s">
        <v>12</v>
      </c>
      <c r="F877">
        <v>9.32</v>
      </c>
      <c r="G877" s="140" t="s">
        <v>353</v>
      </c>
      <c r="H877">
        <v>0</v>
      </c>
      <c r="I877" s="140" t="s">
        <v>14</v>
      </c>
    </row>
    <row r="878" spans="1:9" hidden="1" x14ac:dyDescent="0.25">
      <c r="A878">
        <v>2017</v>
      </c>
      <c r="B878" s="140" t="s">
        <v>352</v>
      </c>
      <c r="C878" s="140" t="s">
        <v>14</v>
      </c>
      <c r="D878" s="140" t="s">
        <v>11</v>
      </c>
      <c r="E878" s="140" t="s">
        <v>12</v>
      </c>
      <c r="F878">
        <v>9.68</v>
      </c>
      <c r="G878" s="140" t="s">
        <v>353</v>
      </c>
      <c r="H878">
        <v>0</v>
      </c>
      <c r="I878" s="140" t="s">
        <v>14</v>
      </c>
    </row>
    <row r="879" spans="1:9" hidden="1" x14ac:dyDescent="0.25">
      <c r="A879">
        <v>2018</v>
      </c>
      <c r="B879" s="140" t="s">
        <v>352</v>
      </c>
      <c r="C879" s="140" t="s">
        <v>14</v>
      </c>
      <c r="D879" s="140" t="s">
        <v>11</v>
      </c>
      <c r="E879" s="140" t="s">
        <v>12</v>
      </c>
      <c r="F879">
        <v>10.130000000000001</v>
      </c>
      <c r="G879" s="140" t="s">
        <v>353</v>
      </c>
      <c r="H879">
        <v>0</v>
      </c>
      <c r="I879" s="140" t="s">
        <v>14</v>
      </c>
    </row>
    <row r="880" spans="1:9" hidden="1" x14ac:dyDescent="0.25">
      <c r="A880">
        <v>2019</v>
      </c>
      <c r="B880" s="140" t="s">
        <v>352</v>
      </c>
      <c r="C880" s="140" t="s">
        <v>14</v>
      </c>
      <c r="D880" s="140" t="s">
        <v>11</v>
      </c>
      <c r="E880" s="140" t="s">
        <v>12</v>
      </c>
      <c r="F880">
        <v>10.14</v>
      </c>
      <c r="G880" s="140" t="s">
        <v>353</v>
      </c>
      <c r="H880">
        <v>0</v>
      </c>
      <c r="I880" s="140" t="s">
        <v>14</v>
      </c>
    </row>
    <row r="881" spans="1:9" hidden="1" x14ac:dyDescent="0.25">
      <c r="A881">
        <v>2020</v>
      </c>
      <c r="B881" s="140" t="s">
        <v>352</v>
      </c>
      <c r="C881" s="140" t="s">
        <v>14</v>
      </c>
      <c r="D881" s="140" t="s">
        <v>11</v>
      </c>
      <c r="E881" s="140" t="s">
        <v>12</v>
      </c>
      <c r="F881">
        <v>10.61</v>
      </c>
      <c r="G881" s="140" t="s">
        <v>353</v>
      </c>
      <c r="H881">
        <v>0</v>
      </c>
      <c r="I881" s="140" t="s">
        <v>14</v>
      </c>
    </row>
    <row r="882" spans="1:9" hidden="1" x14ac:dyDescent="0.25">
      <c r="A882">
        <v>2021</v>
      </c>
      <c r="B882" s="140" t="s">
        <v>352</v>
      </c>
      <c r="C882" s="140" t="s">
        <v>14</v>
      </c>
      <c r="D882" s="140" t="s">
        <v>11</v>
      </c>
      <c r="E882" s="140" t="s">
        <v>12</v>
      </c>
      <c r="F882">
        <v>10.94</v>
      </c>
      <c r="G882" s="140" t="s">
        <v>353</v>
      </c>
      <c r="H882">
        <v>0</v>
      </c>
      <c r="I882" s="140" t="s">
        <v>14</v>
      </c>
    </row>
    <row r="883" spans="1:9" hidden="1" x14ac:dyDescent="0.25">
      <c r="A883">
        <v>2022</v>
      </c>
      <c r="B883" s="140" t="s">
        <v>352</v>
      </c>
      <c r="C883" s="140" t="s">
        <v>14</v>
      </c>
      <c r="D883" s="140" t="s">
        <v>11</v>
      </c>
      <c r="E883" s="140" t="s">
        <v>12</v>
      </c>
      <c r="F883">
        <v>10.71</v>
      </c>
      <c r="G883" s="140" t="s">
        <v>353</v>
      </c>
      <c r="H883">
        <v>0</v>
      </c>
      <c r="I883" s="140" t="s">
        <v>14</v>
      </c>
    </row>
    <row r="884" spans="1:9" hidden="1" x14ac:dyDescent="0.25">
      <c r="A884">
        <v>2023</v>
      </c>
      <c r="B884" s="140" t="s">
        <v>352</v>
      </c>
      <c r="C884" s="140" t="s">
        <v>14</v>
      </c>
      <c r="D884" s="140" t="s">
        <v>11</v>
      </c>
      <c r="E884" s="140" t="s">
        <v>12</v>
      </c>
      <c r="F884">
        <v>10.96</v>
      </c>
      <c r="G884" s="140" t="s">
        <v>353</v>
      </c>
      <c r="H884">
        <v>0</v>
      </c>
      <c r="I884" s="140" t="s">
        <v>14</v>
      </c>
    </row>
    <row r="885" spans="1:9" hidden="1" x14ac:dyDescent="0.25">
      <c r="A885">
        <v>2024</v>
      </c>
      <c r="B885" s="140" t="s">
        <v>352</v>
      </c>
      <c r="C885" s="140" t="s">
        <v>14</v>
      </c>
      <c r="D885" s="140" t="s">
        <v>11</v>
      </c>
      <c r="E885" s="140" t="s">
        <v>12</v>
      </c>
      <c r="F885">
        <v>9.81</v>
      </c>
      <c r="G885" s="140" t="s">
        <v>353</v>
      </c>
      <c r="H885">
        <v>0</v>
      </c>
      <c r="I885" s="140" t="s">
        <v>14</v>
      </c>
    </row>
    <row r="886" spans="1:9" hidden="1" x14ac:dyDescent="0.25">
      <c r="A886">
        <v>2025</v>
      </c>
      <c r="B886" s="140" t="s">
        <v>352</v>
      </c>
      <c r="C886" s="140" t="s">
        <v>14</v>
      </c>
      <c r="D886" s="140" t="s">
        <v>11</v>
      </c>
      <c r="E886" s="140" t="s">
        <v>12</v>
      </c>
      <c r="F886">
        <v>9.99</v>
      </c>
      <c r="G886" s="140" t="s">
        <v>353</v>
      </c>
      <c r="H886">
        <v>0</v>
      </c>
      <c r="I886" s="140" t="s">
        <v>14</v>
      </c>
    </row>
    <row r="887" spans="1:9" hidden="1" x14ac:dyDescent="0.25">
      <c r="A887">
        <v>2026</v>
      </c>
      <c r="B887" s="140" t="s">
        <v>352</v>
      </c>
      <c r="C887" s="140" t="s">
        <v>14</v>
      </c>
      <c r="D887" s="140" t="s">
        <v>11</v>
      </c>
      <c r="E887" s="140" t="s">
        <v>12</v>
      </c>
      <c r="F887">
        <v>10.52</v>
      </c>
      <c r="G887" s="140" t="s">
        <v>353</v>
      </c>
      <c r="H887">
        <v>0</v>
      </c>
      <c r="I887" s="140" t="s">
        <v>14</v>
      </c>
    </row>
    <row r="888" spans="1:9" hidden="1" x14ac:dyDescent="0.25">
      <c r="A888">
        <v>2027</v>
      </c>
      <c r="B888" s="140" t="s">
        <v>352</v>
      </c>
      <c r="C888" s="140" t="s">
        <v>14</v>
      </c>
      <c r="D888" s="140" t="s">
        <v>11</v>
      </c>
      <c r="E888" s="140" t="s">
        <v>12</v>
      </c>
      <c r="F888">
        <v>10.39</v>
      </c>
      <c r="G888" s="140" t="s">
        <v>353</v>
      </c>
      <c r="H888">
        <v>0</v>
      </c>
      <c r="I888" s="140" t="s">
        <v>14</v>
      </c>
    </row>
    <row r="889" spans="1:9" hidden="1" x14ac:dyDescent="0.25">
      <c r="A889">
        <v>2028</v>
      </c>
      <c r="B889" s="140" t="s">
        <v>352</v>
      </c>
      <c r="C889" s="140" t="s">
        <v>14</v>
      </c>
      <c r="D889" s="140" t="s">
        <v>11</v>
      </c>
      <c r="E889" s="140" t="s">
        <v>12</v>
      </c>
      <c r="F889">
        <v>10.34</v>
      </c>
      <c r="G889" s="140" t="s">
        <v>353</v>
      </c>
      <c r="H889">
        <v>0</v>
      </c>
      <c r="I889" s="140" t="s">
        <v>14</v>
      </c>
    </row>
    <row r="890" spans="1:9" hidden="1" x14ac:dyDescent="0.25">
      <c r="A890">
        <v>2009</v>
      </c>
      <c r="B890" s="140" t="s">
        <v>161</v>
      </c>
      <c r="C890" s="140" t="s">
        <v>14</v>
      </c>
      <c r="D890" s="140" t="s">
        <v>11</v>
      </c>
      <c r="E890" s="140" t="s">
        <v>12</v>
      </c>
      <c r="F890">
        <v>1.28</v>
      </c>
      <c r="G890" s="140" t="s">
        <v>354</v>
      </c>
      <c r="H890">
        <v>0</v>
      </c>
      <c r="I890" s="140" t="s">
        <v>14</v>
      </c>
    </row>
    <row r="891" spans="1:9" hidden="1" x14ac:dyDescent="0.25">
      <c r="A891">
        <v>2010</v>
      </c>
      <c r="B891" s="140" t="s">
        <v>161</v>
      </c>
      <c r="C891" s="140" t="s">
        <v>14</v>
      </c>
      <c r="D891" s="140" t="s">
        <v>11</v>
      </c>
      <c r="E891" s="140" t="s">
        <v>12</v>
      </c>
      <c r="F891">
        <v>1.47</v>
      </c>
      <c r="G891" s="140" t="s">
        <v>354</v>
      </c>
      <c r="H891">
        <v>0</v>
      </c>
      <c r="I891" s="140" t="s">
        <v>14</v>
      </c>
    </row>
    <row r="892" spans="1:9" hidden="1" x14ac:dyDescent="0.25">
      <c r="A892">
        <v>2011</v>
      </c>
      <c r="B892" s="140" t="s">
        <v>161</v>
      </c>
      <c r="C892" s="140" t="s">
        <v>14</v>
      </c>
      <c r="D892" s="140" t="s">
        <v>11</v>
      </c>
      <c r="E892" s="140" t="s">
        <v>12</v>
      </c>
      <c r="F892">
        <v>1.19</v>
      </c>
      <c r="G892" s="140" t="s">
        <v>354</v>
      </c>
      <c r="H892">
        <v>0</v>
      </c>
      <c r="I892" s="140" t="s">
        <v>14</v>
      </c>
    </row>
    <row r="893" spans="1:9" hidden="1" x14ac:dyDescent="0.25">
      <c r="A893">
        <v>2012</v>
      </c>
      <c r="B893" s="140" t="s">
        <v>161</v>
      </c>
      <c r="C893" s="140" t="s">
        <v>14</v>
      </c>
      <c r="D893" s="140" t="s">
        <v>11</v>
      </c>
      <c r="E893" s="140" t="s">
        <v>12</v>
      </c>
      <c r="F893">
        <v>1.22</v>
      </c>
      <c r="G893" s="140" t="s">
        <v>354</v>
      </c>
      <c r="H893">
        <v>0</v>
      </c>
      <c r="I893" s="140" t="s">
        <v>14</v>
      </c>
    </row>
    <row r="894" spans="1:9" hidden="1" x14ac:dyDescent="0.25">
      <c r="A894">
        <v>2013</v>
      </c>
      <c r="B894" s="140" t="s">
        <v>161</v>
      </c>
      <c r="C894" s="140" t="s">
        <v>14</v>
      </c>
      <c r="D894" s="140" t="s">
        <v>11</v>
      </c>
      <c r="E894" s="140" t="s">
        <v>12</v>
      </c>
      <c r="F894">
        <v>1.3</v>
      </c>
      <c r="G894" s="140" t="s">
        <v>354</v>
      </c>
      <c r="H894">
        <v>0</v>
      </c>
      <c r="I894" s="140" t="s">
        <v>14</v>
      </c>
    </row>
    <row r="895" spans="1:9" hidden="1" x14ac:dyDescent="0.25">
      <c r="A895">
        <v>2014</v>
      </c>
      <c r="B895" s="140" t="s">
        <v>161</v>
      </c>
      <c r="C895" s="140" t="s">
        <v>14</v>
      </c>
      <c r="D895" s="140" t="s">
        <v>11</v>
      </c>
      <c r="E895" s="140" t="s">
        <v>12</v>
      </c>
      <c r="F895">
        <v>1.32</v>
      </c>
      <c r="G895" s="140" t="s">
        <v>354</v>
      </c>
      <c r="H895">
        <v>0</v>
      </c>
      <c r="I895" s="140" t="s">
        <v>14</v>
      </c>
    </row>
    <row r="896" spans="1:9" hidden="1" x14ac:dyDescent="0.25">
      <c r="A896">
        <v>2015</v>
      </c>
      <c r="B896" s="140" t="s">
        <v>161</v>
      </c>
      <c r="C896" s="140" t="s">
        <v>14</v>
      </c>
      <c r="D896" s="140" t="s">
        <v>11</v>
      </c>
      <c r="E896" s="140" t="s">
        <v>12</v>
      </c>
      <c r="F896">
        <v>1.32</v>
      </c>
      <c r="G896" s="140" t="s">
        <v>354</v>
      </c>
      <c r="H896">
        <v>0</v>
      </c>
      <c r="I896" s="140" t="s">
        <v>14</v>
      </c>
    </row>
    <row r="897" spans="1:9" hidden="1" x14ac:dyDescent="0.25">
      <c r="A897">
        <v>2016</v>
      </c>
      <c r="B897" s="140" t="s">
        <v>161</v>
      </c>
      <c r="C897" s="140" t="s">
        <v>14</v>
      </c>
      <c r="D897" s="140" t="s">
        <v>11</v>
      </c>
      <c r="E897" s="140" t="s">
        <v>12</v>
      </c>
      <c r="F897">
        <v>1.3</v>
      </c>
      <c r="G897" s="140" t="s">
        <v>354</v>
      </c>
      <c r="H897">
        <v>0</v>
      </c>
      <c r="I897" s="140" t="s">
        <v>14</v>
      </c>
    </row>
    <row r="898" spans="1:9" hidden="1" x14ac:dyDescent="0.25">
      <c r="A898">
        <v>2017</v>
      </c>
      <c r="B898" s="140" t="s">
        <v>161</v>
      </c>
      <c r="C898" s="140" t="s">
        <v>14</v>
      </c>
      <c r="D898" s="140" t="s">
        <v>11</v>
      </c>
      <c r="E898" s="140" t="s">
        <v>12</v>
      </c>
      <c r="F898">
        <v>0</v>
      </c>
      <c r="G898" s="140" t="s">
        <v>354</v>
      </c>
      <c r="H898">
        <v>0</v>
      </c>
      <c r="I898" s="140" t="s">
        <v>14</v>
      </c>
    </row>
    <row r="899" spans="1:9" hidden="1" x14ac:dyDescent="0.25">
      <c r="A899">
        <v>2018</v>
      </c>
      <c r="B899" s="140" t="s">
        <v>161</v>
      </c>
      <c r="C899" s="140" t="s">
        <v>14</v>
      </c>
      <c r="D899" s="140" t="s">
        <v>11</v>
      </c>
      <c r="E899" s="140" t="s">
        <v>12</v>
      </c>
      <c r="F899">
        <v>0</v>
      </c>
      <c r="G899" s="140" t="s">
        <v>354</v>
      </c>
      <c r="H899">
        <v>0</v>
      </c>
      <c r="I899" s="140" t="s">
        <v>14</v>
      </c>
    </row>
    <row r="900" spans="1:9" hidden="1" x14ac:dyDescent="0.25">
      <c r="A900">
        <v>2019</v>
      </c>
      <c r="B900" s="140" t="s">
        <v>161</v>
      </c>
      <c r="C900" s="140" t="s">
        <v>14</v>
      </c>
      <c r="D900" s="140" t="s">
        <v>11</v>
      </c>
      <c r="E900" s="140" t="s">
        <v>12</v>
      </c>
      <c r="F900">
        <v>0</v>
      </c>
      <c r="G900" s="140" t="s">
        <v>354</v>
      </c>
      <c r="H900">
        <v>0</v>
      </c>
      <c r="I900" s="140" t="s">
        <v>14</v>
      </c>
    </row>
    <row r="901" spans="1:9" hidden="1" x14ac:dyDescent="0.25">
      <c r="A901">
        <v>2020</v>
      </c>
      <c r="B901" s="140" t="s">
        <v>161</v>
      </c>
      <c r="C901" s="140" t="s">
        <v>14</v>
      </c>
      <c r="D901" s="140" t="s">
        <v>11</v>
      </c>
      <c r="E901" s="140" t="s">
        <v>12</v>
      </c>
      <c r="F901">
        <v>0.68</v>
      </c>
      <c r="G901" s="140" t="s">
        <v>354</v>
      </c>
      <c r="H901">
        <v>0</v>
      </c>
      <c r="I901" s="140" t="s">
        <v>14</v>
      </c>
    </row>
    <row r="902" spans="1:9" hidden="1" x14ac:dyDescent="0.25">
      <c r="A902">
        <v>2021</v>
      </c>
      <c r="B902" s="140" t="s">
        <v>161</v>
      </c>
      <c r="C902" s="140" t="s">
        <v>14</v>
      </c>
      <c r="D902" s="140" t="s">
        <v>11</v>
      </c>
      <c r="E902" s="140" t="s">
        <v>12</v>
      </c>
      <c r="F902">
        <v>0.68</v>
      </c>
      <c r="G902" s="140" t="s">
        <v>354</v>
      </c>
      <c r="H902">
        <v>0</v>
      </c>
      <c r="I902" s="140" t="s">
        <v>14</v>
      </c>
    </row>
    <row r="903" spans="1:9" hidden="1" x14ac:dyDescent="0.25">
      <c r="A903">
        <v>2022</v>
      </c>
      <c r="B903" s="140" t="s">
        <v>161</v>
      </c>
      <c r="C903" s="140" t="s">
        <v>14</v>
      </c>
      <c r="D903" s="140" t="s">
        <v>11</v>
      </c>
      <c r="E903" s="140" t="s">
        <v>12</v>
      </c>
      <c r="F903">
        <v>0.53</v>
      </c>
      <c r="G903" s="140" t="s">
        <v>354</v>
      </c>
      <c r="H903">
        <v>0</v>
      </c>
      <c r="I903" s="140" t="s">
        <v>14</v>
      </c>
    </row>
    <row r="904" spans="1:9" hidden="1" x14ac:dyDescent="0.25">
      <c r="A904">
        <v>2023</v>
      </c>
      <c r="B904" s="140" t="s">
        <v>161</v>
      </c>
      <c r="C904" s="140" t="s">
        <v>14</v>
      </c>
      <c r="D904" s="140" t="s">
        <v>11</v>
      </c>
      <c r="E904" s="140" t="s">
        <v>12</v>
      </c>
      <c r="F904">
        <v>0.6</v>
      </c>
      <c r="G904" s="140" t="s">
        <v>354</v>
      </c>
      <c r="H904">
        <v>0</v>
      </c>
      <c r="I904" s="140" t="s">
        <v>14</v>
      </c>
    </row>
    <row r="905" spans="1:9" hidden="1" x14ac:dyDescent="0.25">
      <c r="A905">
        <v>2024</v>
      </c>
      <c r="B905" s="140" t="s">
        <v>161</v>
      </c>
      <c r="C905" s="140" t="s">
        <v>14</v>
      </c>
      <c r="D905" s="140" t="s">
        <v>11</v>
      </c>
      <c r="E905" s="140" t="s">
        <v>12</v>
      </c>
      <c r="F905">
        <v>0.51</v>
      </c>
      <c r="G905" s="140" t="s">
        <v>354</v>
      </c>
      <c r="H905">
        <v>0</v>
      </c>
      <c r="I905" s="140" t="s">
        <v>14</v>
      </c>
    </row>
    <row r="906" spans="1:9" hidden="1" x14ac:dyDescent="0.25">
      <c r="A906">
        <v>2025</v>
      </c>
      <c r="B906" s="140" t="s">
        <v>161</v>
      </c>
      <c r="C906" s="140" t="s">
        <v>14</v>
      </c>
      <c r="D906" s="140" t="s">
        <v>11</v>
      </c>
      <c r="E906" s="140" t="s">
        <v>12</v>
      </c>
      <c r="F906">
        <v>1.06</v>
      </c>
      <c r="G906" s="140" t="s">
        <v>354</v>
      </c>
      <c r="H906">
        <v>0</v>
      </c>
      <c r="I906" s="140" t="s">
        <v>14</v>
      </c>
    </row>
    <row r="907" spans="1:9" hidden="1" x14ac:dyDescent="0.25">
      <c r="A907">
        <v>2026</v>
      </c>
      <c r="B907" s="140" t="s">
        <v>161</v>
      </c>
      <c r="C907" s="140" t="s">
        <v>14</v>
      </c>
      <c r="D907" s="140" t="s">
        <v>11</v>
      </c>
      <c r="E907" s="140" t="s">
        <v>12</v>
      </c>
      <c r="F907">
        <v>1.1000000000000001</v>
      </c>
      <c r="G907" s="140" t="s">
        <v>354</v>
      </c>
      <c r="H907">
        <v>0</v>
      </c>
      <c r="I907" s="140" t="s">
        <v>14</v>
      </c>
    </row>
    <row r="908" spans="1:9" hidden="1" x14ac:dyDescent="0.25">
      <c r="A908">
        <v>2027</v>
      </c>
      <c r="B908" s="140" t="s">
        <v>161</v>
      </c>
      <c r="C908" s="140" t="s">
        <v>14</v>
      </c>
      <c r="D908" s="140" t="s">
        <v>11</v>
      </c>
      <c r="E908" s="140" t="s">
        <v>12</v>
      </c>
      <c r="F908">
        <v>1.1399999999999999</v>
      </c>
      <c r="G908" s="140" t="s">
        <v>354</v>
      </c>
      <c r="H908">
        <v>0</v>
      </c>
      <c r="I908" s="140" t="s">
        <v>14</v>
      </c>
    </row>
    <row r="909" spans="1:9" hidden="1" x14ac:dyDescent="0.25">
      <c r="A909">
        <v>2028</v>
      </c>
      <c r="B909" s="140" t="s">
        <v>161</v>
      </c>
      <c r="C909" s="140" t="s">
        <v>14</v>
      </c>
      <c r="D909" s="140" t="s">
        <v>11</v>
      </c>
      <c r="E909" s="140" t="s">
        <v>12</v>
      </c>
      <c r="F909">
        <v>1.1399999999999999</v>
      </c>
      <c r="G909" s="140" t="s">
        <v>354</v>
      </c>
      <c r="H909">
        <v>0</v>
      </c>
      <c r="I909" s="140" t="s">
        <v>14</v>
      </c>
    </row>
    <row r="910" spans="1:9" hidden="1" x14ac:dyDescent="0.25">
      <c r="A910">
        <v>2029</v>
      </c>
      <c r="B910" s="140" t="s">
        <v>161</v>
      </c>
      <c r="C910" s="140" t="s">
        <v>14</v>
      </c>
      <c r="D910" s="140" t="s">
        <v>11</v>
      </c>
      <c r="E910" s="140" t="s">
        <v>12</v>
      </c>
      <c r="F910">
        <v>1.1100000000000001</v>
      </c>
      <c r="G910" s="140" t="s">
        <v>354</v>
      </c>
      <c r="H910">
        <v>0</v>
      </c>
      <c r="I910" s="140" t="s">
        <v>14</v>
      </c>
    </row>
    <row r="911" spans="1:9" hidden="1" x14ac:dyDescent="0.25">
      <c r="A911">
        <v>2030</v>
      </c>
      <c r="B911" s="140" t="s">
        <v>161</v>
      </c>
      <c r="C911" s="140" t="s">
        <v>14</v>
      </c>
      <c r="D911" s="140" t="s">
        <v>11</v>
      </c>
      <c r="E911" s="140" t="s">
        <v>12</v>
      </c>
      <c r="F911">
        <v>1.1100000000000001</v>
      </c>
      <c r="G911" s="140" t="s">
        <v>354</v>
      </c>
      <c r="H911">
        <v>0</v>
      </c>
      <c r="I911" s="140" t="s">
        <v>14</v>
      </c>
    </row>
    <row r="912" spans="1:9" hidden="1" x14ac:dyDescent="0.25">
      <c r="A912">
        <v>2009</v>
      </c>
      <c r="B912" s="140" t="s">
        <v>142</v>
      </c>
      <c r="C912" s="140" t="s">
        <v>14</v>
      </c>
      <c r="D912" s="140" t="s">
        <v>11</v>
      </c>
      <c r="E912" s="140" t="s">
        <v>12</v>
      </c>
      <c r="F912">
        <v>0.7</v>
      </c>
      <c r="G912" s="140" t="s">
        <v>355</v>
      </c>
      <c r="H912">
        <v>0</v>
      </c>
      <c r="I912" s="140" t="s">
        <v>14</v>
      </c>
    </row>
    <row r="913" spans="1:9" hidden="1" x14ac:dyDescent="0.25">
      <c r="A913">
        <v>2010</v>
      </c>
      <c r="B913" s="140" t="s">
        <v>142</v>
      </c>
      <c r="C913" s="140" t="s">
        <v>14</v>
      </c>
      <c r="D913" s="140" t="s">
        <v>11</v>
      </c>
      <c r="E913" s="140" t="s">
        <v>12</v>
      </c>
      <c r="F913">
        <v>0.93</v>
      </c>
      <c r="G913" s="140" t="s">
        <v>355</v>
      </c>
      <c r="H913">
        <v>0</v>
      </c>
      <c r="I913" s="140" t="s">
        <v>14</v>
      </c>
    </row>
    <row r="914" spans="1:9" hidden="1" x14ac:dyDescent="0.25">
      <c r="A914">
        <v>2011</v>
      </c>
      <c r="B914" s="140" t="s">
        <v>142</v>
      </c>
      <c r="C914" s="140" t="s">
        <v>14</v>
      </c>
      <c r="D914" s="140" t="s">
        <v>11</v>
      </c>
      <c r="E914" s="140" t="s">
        <v>12</v>
      </c>
      <c r="F914">
        <v>0.82</v>
      </c>
      <c r="G914" s="140" t="s">
        <v>355</v>
      </c>
      <c r="H914">
        <v>0</v>
      </c>
      <c r="I914" s="140" t="s">
        <v>14</v>
      </c>
    </row>
    <row r="915" spans="1:9" hidden="1" x14ac:dyDescent="0.25">
      <c r="A915">
        <v>2012</v>
      </c>
      <c r="B915" s="140" t="s">
        <v>142</v>
      </c>
      <c r="C915" s="140" t="s">
        <v>14</v>
      </c>
      <c r="D915" s="140" t="s">
        <v>11</v>
      </c>
      <c r="E915" s="140" t="s">
        <v>12</v>
      </c>
      <c r="F915">
        <v>0.82</v>
      </c>
      <c r="G915" s="140" t="s">
        <v>355</v>
      </c>
      <c r="H915">
        <v>0</v>
      </c>
      <c r="I915" s="140" t="s">
        <v>14</v>
      </c>
    </row>
    <row r="916" spans="1:9" hidden="1" x14ac:dyDescent="0.25">
      <c r="A916">
        <v>2013</v>
      </c>
      <c r="B916" s="140" t="s">
        <v>142</v>
      </c>
      <c r="C916" s="140" t="s">
        <v>14</v>
      </c>
      <c r="D916" s="140" t="s">
        <v>11</v>
      </c>
      <c r="E916" s="140" t="s">
        <v>12</v>
      </c>
      <c r="F916">
        <v>0.74</v>
      </c>
      <c r="G916" s="140" t="s">
        <v>355</v>
      </c>
      <c r="H916">
        <v>0</v>
      </c>
      <c r="I916" s="140" t="s">
        <v>14</v>
      </c>
    </row>
    <row r="917" spans="1:9" hidden="1" x14ac:dyDescent="0.25">
      <c r="A917">
        <v>2014</v>
      </c>
      <c r="B917" s="140" t="s">
        <v>142</v>
      </c>
      <c r="C917" s="140" t="s">
        <v>14</v>
      </c>
      <c r="D917" s="140" t="s">
        <v>11</v>
      </c>
      <c r="E917" s="140" t="s">
        <v>12</v>
      </c>
      <c r="F917">
        <v>0.84</v>
      </c>
      <c r="G917" s="140" t="s">
        <v>355</v>
      </c>
      <c r="H917">
        <v>0</v>
      </c>
      <c r="I917" s="140" t="s">
        <v>14</v>
      </c>
    </row>
    <row r="918" spans="1:9" hidden="1" x14ac:dyDescent="0.25">
      <c r="A918">
        <v>2015</v>
      </c>
      <c r="B918" s="140" t="s">
        <v>142</v>
      </c>
      <c r="C918" s="140" t="s">
        <v>14</v>
      </c>
      <c r="D918" s="140" t="s">
        <v>11</v>
      </c>
      <c r="E918" s="140" t="s">
        <v>12</v>
      </c>
      <c r="F918">
        <v>0.78</v>
      </c>
      <c r="G918" s="140" t="s">
        <v>355</v>
      </c>
      <c r="H918">
        <v>0</v>
      </c>
      <c r="I918" s="140" t="s">
        <v>14</v>
      </c>
    </row>
    <row r="919" spans="1:9" hidden="1" x14ac:dyDescent="0.25">
      <c r="A919">
        <v>2016</v>
      </c>
      <c r="B919" s="140" t="s">
        <v>142</v>
      </c>
      <c r="C919" s="140" t="s">
        <v>14</v>
      </c>
      <c r="D919" s="140" t="s">
        <v>11</v>
      </c>
      <c r="E919" s="140" t="s">
        <v>12</v>
      </c>
      <c r="F919">
        <v>0.82</v>
      </c>
      <c r="G919" s="140" t="s">
        <v>355</v>
      </c>
      <c r="H919">
        <v>0</v>
      </c>
      <c r="I919" s="140" t="s">
        <v>14</v>
      </c>
    </row>
    <row r="920" spans="1:9" hidden="1" x14ac:dyDescent="0.25">
      <c r="A920">
        <v>2017</v>
      </c>
      <c r="B920" s="140" t="s">
        <v>142</v>
      </c>
      <c r="C920" s="140" t="s">
        <v>14</v>
      </c>
      <c r="D920" s="140" t="s">
        <v>11</v>
      </c>
      <c r="E920" s="140" t="s">
        <v>12</v>
      </c>
      <c r="F920">
        <v>1.58</v>
      </c>
      <c r="G920" s="140" t="s">
        <v>355</v>
      </c>
      <c r="H920">
        <v>0</v>
      </c>
      <c r="I920" s="140" t="s">
        <v>14</v>
      </c>
    </row>
    <row r="921" spans="1:9" hidden="1" x14ac:dyDescent="0.25">
      <c r="A921">
        <v>2018</v>
      </c>
      <c r="B921" s="140" t="s">
        <v>142</v>
      </c>
      <c r="C921" s="140" t="s">
        <v>14</v>
      </c>
      <c r="D921" s="140" t="s">
        <v>11</v>
      </c>
      <c r="E921" s="140" t="s">
        <v>12</v>
      </c>
      <c r="F921">
        <v>1.53</v>
      </c>
      <c r="G921" s="140" t="s">
        <v>355</v>
      </c>
      <c r="H921">
        <v>0</v>
      </c>
      <c r="I921" s="140" t="s">
        <v>14</v>
      </c>
    </row>
    <row r="922" spans="1:9" hidden="1" x14ac:dyDescent="0.25">
      <c r="A922">
        <v>2019</v>
      </c>
      <c r="B922" s="140" t="s">
        <v>142</v>
      </c>
      <c r="C922" s="140" t="s">
        <v>14</v>
      </c>
      <c r="D922" s="140" t="s">
        <v>11</v>
      </c>
      <c r="E922" s="140" t="s">
        <v>12</v>
      </c>
      <c r="F922">
        <v>1.54</v>
      </c>
      <c r="G922" s="140" t="s">
        <v>355</v>
      </c>
      <c r="H922">
        <v>0</v>
      </c>
      <c r="I922" s="140" t="s">
        <v>14</v>
      </c>
    </row>
    <row r="923" spans="1:9" hidden="1" x14ac:dyDescent="0.25">
      <c r="A923">
        <v>2020</v>
      </c>
      <c r="B923" s="140" t="s">
        <v>142</v>
      </c>
      <c r="C923" s="140" t="s">
        <v>14</v>
      </c>
      <c r="D923" s="140" t="s">
        <v>11</v>
      </c>
      <c r="E923" s="140" t="s">
        <v>12</v>
      </c>
      <c r="F923">
        <v>1.18</v>
      </c>
      <c r="G923" s="140" t="s">
        <v>355</v>
      </c>
      <c r="H923">
        <v>0</v>
      </c>
      <c r="I923" s="140" t="s">
        <v>14</v>
      </c>
    </row>
    <row r="924" spans="1:9" hidden="1" x14ac:dyDescent="0.25">
      <c r="A924">
        <v>2021</v>
      </c>
      <c r="B924" s="140" t="s">
        <v>142</v>
      </c>
      <c r="C924" s="140" t="s">
        <v>14</v>
      </c>
      <c r="D924" s="140" t="s">
        <v>11</v>
      </c>
      <c r="E924" s="140" t="s">
        <v>12</v>
      </c>
      <c r="F924">
        <v>1.36</v>
      </c>
      <c r="G924" s="140" t="s">
        <v>355</v>
      </c>
      <c r="H924">
        <v>0</v>
      </c>
      <c r="I924" s="140" t="s">
        <v>14</v>
      </c>
    </row>
    <row r="925" spans="1:9" hidden="1" x14ac:dyDescent="0.25">
      <c r="A925">
        <v>2022</v>
      </c>
      <c r="B925" s="140" t="s">
        <v>142</v>
      </c>
      <c r="C925" s="140" t="s">
        <v>14</v>
      </c>
      <c r="D925" s="140" t="s">
        <v>11</v>
      </c>
      <c r="E925" s="140" t="s">
        <v>12</v>
      </c>
      <c r="F925">
        <v>1.18</v>
      </c>
      <c r="G925" s="140" t="s">
        <v>355</v>
      </c>
      <c r="H925">
        <v>0</v>
      </c>
      <c r="I925" s="140" t="s">
        <v>14</v>
      </c>
    </row>
    <row r="926" spans="1:9" hidden="1" x14ac:dyDescent="0.25">
      <c r="A926">
        <v>2023</v>
      </c>
      <c r="B926" s="140" t="s">
        <v>142</v>
      </c>
      <c r="C926" s="140" t="s">
        <v>14</v>
      </c>
      <c r="D926" s="140" t="s">
        <v>11</v>
      </c>
      <c r="E926" s="140" t="s">
        <v>12</v>
      </c>
      <c r="F926">
        <v>1.36</v>
      </c>
      <c r="G926" s="140" t="s">
        <v>355</v>
      </c>
      <c r="H926">
        <v>0</v>
      </c>
      <c r="I926" s="140" t="s">
        <v>14</v>
      </c>
    </row>
    <row r="927" spans="1:9" hidden="1" x14ac:dyDescent="0.25">
      <c r="A927">
        <v>2024</v>
      </c>
      <c r="B927" s="140" t="s">
        <v>142</v>
      </c>
      <c r="C927" s="140" t="s">
        <v>14</v>
      </c>
      <c r="D927" s="140" t="s">
        <v>11</v>
      </c>
      <c r="E927" s="140" t="s">
        <v>12</v>
      </c>
      <c r="F927">
        <v>1.01</v>
      </c>
      <c r="G927" s="140" t="s">
        <v>355</v>
      </c>
      <c r="H927">
        <v>0</v>
      </c>
      <c r="I927" s="140" t="s">
        <v>14</v>
      </c>
    </row>
    <row r="928" spans="1:9" hidden="1" x14ac:dyDescent="0.25">
      <c r="A928">
        <v>2025</v>
      </c>
      <c r="B928" s="140" t="s">
        <v>142</v>
      </c>
      <c r="C928" s="140" t="s">
        <v>14</v>
      </c>
      <c r="D928" s="140" t="s">
        <v>11</v>
      </c>
      <c r="E928" s="140" t="s">
        <v>12</v>
      </c>
      <c r="F928">
        <v>0.84</v>
      </c>
      <c r="G928" s="140" t="s">
        <v>355</v>
      </c>
      <c r="H928">
        <v>0</v>
      </c>
      <c r="I928" s="140" t="s">
        <v>14</v>
      </c>
    </row>
    <row r="929" spans="1:9" hidden="1" x14ac:dyDescent="0.25">
      <c r="A929">
        <v>2026</v>
      </c>
      <c r="B929" s="140" t="s">
        <v>142</v>
      </c>
      <c r="C929" s="140" t="s">
        <v>14</v>
      </c>
      <c r="D929" s="140" t="s">
        <v>11</v>
      </c>
      <c r="E929" s="140" t="s">
        <v>12</v>
      </c>
      <c r="F929">
        <v>0.88</v>
      </c>
      <c r="G929" s="140" t="s">
        <v>355</v>
      </c>
      <c r="H929">
        <v>0</v>
      </c>
      <c r="I929" s="140" t="s">
        <v>14</v>
      </c>
    </row>
    <row r="930" spans="1:9" hidden="1" x14ac:dyDescent="0.25">
      <c r="A930">
        <v>2027</v>
      </c>
      <c r="B930" s="140" t="s">
        <v>142</v>
      </c>
      <c r="C930" s="140" t="s">
        <v>14</v>
      </c>
      <c r="D930" s="140" t="s">
        <v>11</v>
      </c>
      <c r="E930" s="140" t="s">
        <v>12</v>
      </c>
      <c r="F930">
        <v>0.86</v>
      </c>
      <c r="G930" s="140" t="s">
        <v>355</v>
      </c>
      <c r="H930">
        <v>0</v>
      </c>
      <c r="I930" s="140" t="s">
        <v>14</v>
      </c>
    </row>
    <row r="931" spans="1:9" hidden="1" x14ac:dyDescent="0.25">
      <c r="A931">
        <v>2028</v>
      </c>
      <c r="B931" s="140" t="s">
        <v>142</v>
      </c>
      <c r="C931" s="140" t="s">
        <v>14</v>
      </c>
      <c r="D931" s="140" t="s">
        <v>11</v>
      </c>
      <c r="E931" s="140" t="s">
        <v>12</v>
      </c>
      <c r="F931">
        <v>0.81</v>
      </c>
      <c r="G931" s="140" t="s">
        <v>355</v>
      </c>
      <c r="H931">
        <v>0</v>
      </c>
      <c r="I931" s="140" t="s">
        <v>14</v>
      </c>
    </row>
    <row r="932" spans="1:9" hidden="1" x14ac:dyDescent="0.25">
      <c r="A932">
        <v>2029</v>
      </c>
      <c r="B932" s="140" t="s">
        <v>142</v>
      </c>
      <c r="C932" s="140" t="s">
        <v>14</v>
      </c>
      <c r="D932" s="140" t="s">
        <v>11</v>
      </c>
      <c r="E932" s="140" t="s">
        <v>12</v>
      </c>
      <c r="F932">
        <v>0.82</v>
      </c>
      <c r="G932" s="140" t="s">
        <v>355</v>
      </c>
      <c r="H932">
        <v>0</v>
      </c>
      <c r="I932" s="140" t="s">
        <v>14</v>
      </c>
    </row>
    <row r="933" spans="1:9" hidden="1" x14ac:dyDescent="0.25">
      <c r="A933">
        <v>2030</v>
      </c>
      <c r="B933" s="140" t="s">
        <v>142</v>
      </c>
      <c r="C933" s="140" t="s">
        <v>14</v>
      </c>
      <c r="D933" s="140" t="s">
        <v>11</v>
      </c>
      <c r="E933" s="140" t="s">
        <v>12</v>
      </c>
      <c r="F933">
        <v>0.81</v>
      </c>
      <c r="G933" s="140" t="s">
        <v>355</v>
      </c>
      <c r="H933">
        <v>0</v>
      </c>
      <c r="I933" s="140" t="s">
        <v>14</v>
      </c>
    </row>
    <row r="934" spans="1:9" hidden="1" x14ac:dyDescent="0.25">
      <c r="A934">
        <v>2009</v>
      </c>
      <c r="B934" s="140" t="s">
        <v>356</v>
      </c>
      <c r="C934" s="140" t="s">
        <v>14</v>
      </c>
      <c r="D934" s="140" t="s">
        <v>11</v>
      </c>
      <c r="E934" s="140" t="s">
        <v>12</v>
      </c>
      <c r="F934">
        <v>1.98</v>
      </c>
      <c r="G934" s="140" t="s">
        <v>357</v>
      </c>
      <c r="H934">
        <v>0</v>
      </c>
      <c r="I934" s="140" t="s">
        <v>14</v>
      </c>
    </row>
    <row r="935" spans="1:9" hidden="1" x14ac:dyDescent="0.25">
      <c r="A935">
        <v>2010</v>
      </c>
      <c r="B935" s="140" t="s">
        <v>356</v>
      </c>
      <c r="C935" s="140" t="s">
        <v>14</v>
      </c>
      <c r="D935" s="140" t="s">
        <v>11</v>
      </c>
      <c r="E935" s="140" t="s">
        <v>12</v>
      </c>
      <c r="F935">
        <v>2.4</v>
      </c>
      <c r="G935" s="140" t="s">
        <v>357</v>
      </c>
      <c r="H935">
        <v>0</v>
      </c>
      <c r="I935" s="140" t="s">
        <v>14</v>
      </c>
    </row>
    <row r="936" spans="1:9" hidden="1" x14ac:dyDescent="0.25">
      <c r="A936">
        <v>2011</v>
      </c>
      <c r="B936" s="140" t="s">
        <v>356</v>
      </c>
      <c r="C936" s="140" t="s">
        <v>14</v>
      </c>
      <c r="D936" s="140" t="s">
        <v>11</v>
      </c>
      <c r="E936" s="140" t="s">
        <v>12</v>
      </c>
      <c r="F936">
        <v>2.0099999999999998</v>
      </c>
      <c r="G936" s="140" t="s">
        <v>357</v>
      </c>
      <c r="H936">
        <v>0</v>
      </c>
      <c r="I936" s="140" t="s">
        <v>14</v>
      </c>
    </row>
    <row r="937" spans="1:9" hidden="1" x14ac:dyDescent="0.25">
      <c r="A937">
        <v>2012</v>
      </c>
      <c r="B937" s="140" t="s">
        <v>356</v>
      </c>
      <c r="C937" s="140" t="s">
        <v>14</v>
      </c>
      <c r="D937" s="140" t="s">
        <v>11</v>
      </c>
      <c r="E937" s="140" t="s">
        <v>12</v>
      </c>
      <c r="F937">
        <v>2.04</v>
      </c>
      <c r="G937" s="140" t="s">
        <v>357</v>
      </c>
      <c r="H937">
        <v>0</v>
      </c>
      <c r="I937" s="140" t="s">
        <v>14</v>
      </c>
    </row>
    <row r="938" spans="1:9" hidden="1" x14ac:dyDescent="0.25">
      <c r="A938">
        <v>2013</v>
      </c>
      <c r="B938" s="140" t="s">
        <v>356</v>
      </c>
      <c r="C938" s="140" t="s">
        <v>14</v>
      </c>
      <c r="D938" s="140" t="s">
        <v>11</v>
      </c>
      <c r="E938" s="140" t="s">
        <v>12</v>
      </c>
      <c r="F938">
        <v>2.04</v>
      </c>
      <c r="G938" s="140" t="s">
        <v>357</v>
      </c>
      <c r="H938">
        <v>0</v>
      </c>
      <c r="I938" s="140" t="s">
        <v>14</v>
      </c>
    </row>
    <row r="939" spans="1:9" hidden="1" x14ac:dyDescent="0.25">
      <c r="A939">
        <v>2014</v>
      </c>
      <c r="B939" s="140" t="s">
        <v>356</v>
      </c>
      <c r="C939" s="140" t="s">
        <v>14</v>
      </c>
      <c r="D939" s="140" t="s">
        <v>11</v>
      </c>
      <c r="E939" s="140" t="s">
        <v>12</v>
      </c>
      <c r="F939">
        <v>2.16</v>
      </c>
      <c r="G939" s="140" t="s">
        <v>357</v>
      </c>
      <c r="H939">
        <v>0</v>
      </c>
      <c r="I939" s="140" t="s">
        <v>14</v>
      </c>
    </row>
    <row r="940" spans="1:9" hidden="1" x14ac:dyDescent="0.25">
      <c r="A940">
        <v>2015</v>
      </c>
      <c r="B940" s="140" t="s">
        <v>356</v>
      </c>
      <c r="C940" s="140" t="s">
        <v>14</v>
      </c>
      <c r="D940" s="140" t="s">
        <v>11</v>
      </c>
      <c r="E940" s="140" t="s">
        <v>12</v>
      </c>
      <c r="F940">
        <v>2.1</v>
      </c>
      <c r="G940" s="140" t="s">
        <v>357</v>
      </c>
      <c r="H940">
        <v>0</v>
      </c>
      <c r="I940" s="140" t="s">
        <v>14</v>
      </c>
    </row>
    <row r="941" spans="1:9" hidden="1" x14ac:dyDescent="0.25">
      <c r="A941">
        <v>2016</v>
      </c>
      <c r="B941" s="140" t="s">
        <v>356</v>
      </c>
      <c r="C941" s="140" t="s">
        <v>14</v>
      </c>
      <c r="D941" s="140" t="s">
        <v>11</v>
      </c>
      <c r="E941" s="140" t="s">
        <v>12</v>
      </c>
      <c r="F941">
        <v>2.12</v>
      </c>
      <c r="G941" s="140" t="s">
        <v>357</v>
      </c>
      <c r="H941">
        <v>0</v>
      </c>
      <c r="I941" s="140" t="s">
        <v>14</v>
      </c>
    </row>
    <row r="942" spans="1:9" hidden="1" x14ac:dyDescent="0.25">
      <c r="A942">
        <v>2017</v>
      </c>
      <c r="B942" s="140" t="s">
        <v>356</v>
      </c>
      <c r="C942" s="140" t="s">
        <v>14</v>
      </c>
      <c r="D942" s="140" t="s">
        <v>11</v>
      </c>
      <c r="E942" s="140" t="s">
        <v>12</v>
      </c>
      <c r="F942">
        <v>1.58</v>
      </c>
      <c r="G942" s="140" t="s">
        <v>357</v>
      </c>
      <c r="H942">
        <v>0</v>
      </c>
      <c r="I942" s="140" t="s">
        <v>14</v>
      </c>
    </row>
    <row r="943" spans="1:9" hidden="1" x14ac:dyDescent="0.25">
      <c r="A943">
        <v>2018</v>
      </c>
      <c r="B943" s="140" t="s">
        <v>356</v>
      </c>
      <c r="C943" s="140" t="s">
        <v>14</v>
      </c>
      <c r="D943" s="140" t="s">
        <v>11</v>
      </c>
      <c r="E943" s="140" t="s">
        <v>12</v>
      </c>
      <c r="F943">
        <v>1.53</v>
      </c>
      <c r="G943" s="140" t="s">
        <v>357</v>
      </c>
      <c r="H943">
        <v>0</v>
      </c>
      <c r="I943" s="140" t="s">
        <v>14</v>
      </c>
    </row>
    <row r="944" spans="1:9" hidden="1" x14ac:dyDescent="0.25">
      <c r="A944">
        <v>2019</v>
      </c>
      <c r="B944" s="140" t="s">
        <v>356</v>
      </c>
      <c r="C944" s="140" t="s">
        <v>14</v>
      </c>
      <c r="D944" s="140" t="s">
        <v>11</v>
      </c>
      <c r="E944" s="140" t="s">
        <v>12</v>
      </c>
      <c r="F944">
        <v>1.54</v>
      </c>
      <c r="G944" s="140" t="s">
        <v>357</v>
      </c>
      <c r="H944">
        <v>0</v>
      </c>
      <c r="I944" s="140" t="s">
        <v>14</v>
      </c>
    </row>
    <row r="945" spans="1:9" hidden="1" x14ac:dyDescent="0.25">
      <c r="A945">
        <v>2020</v>
      </c>
      <c r="B945" s="140" t="s">
        <v>356</v>
      </c>
      <c r="C945" s="140" t="s">
        <v>14</v>
      </c>
      <c r="D945" s="140" t="s">
        <v>11</v>
      </c>
      <c r="E945" s="140" t="s">
        <v>12</v>
      </c>
      <c r="F945">
        <v>1.86</v>
      </c>
      <c r="G945" s="140" t="s">
        <v>357</v>
      </c>
      <c r="H945">
        <v>0</v>
      </c>
      <c r="I945" s="140" t="s">
        <v>14</v>
      </c>
    </row>
    <row r="946" spans="1:9" hidden="1" x14ac:dyDescent="0.25">
      <c r="A946">
        <v>2021</v>
      </c>
      <c r="B946" s="140" t="s">
        <v>356</v>
      </c>
      <c r="C946" s="140" t="s">
        <v>14</v>
      </c>
      <c r="D946" s="140" t="s">
        <v>11</v>
      </c>
      <c r="E946" s="140" t="s">
        <v>12</v>
      </c>
      <c r="F946">
        <v>2.04</v>
      </c>
      <c r="G946" s="140" t="s">
        <v>357</v>
      </c>
      <c r="H946">
        <v>0</v>
      </c>
      <c r="I946" s="140" t="s">
        <v>14</v>
      </c>
    </row>
    <row r="947" spans="1:9" hidden="1" x14ac:dyDescent="0.25">
      <c r="A947">
        <v>2022</v>
      </c>
      <c r="B947" s="140" t="s">
        <v>356</v>
      </c>
      <c r="C947" s="140" t="s">
        <v>14</v>
      </c>
      <c r="D947" s="140" t="s">
        <v>11</v>
      </c>
      <c r="E947" s="140" t="s">
        <v>12</v>
      </c>
      <c r="F947">
        <v>1.71</v>
      </c>
      <c r="G947" s="140" t="s">
        <v>357</v>
      </c>
      <c r="H947">
        <v>0</v>
      </c>
      <c r="I947" s="140" t="s">
        <v>14</v>
      </c>
    </row>
    <row r="948" spans="1:9" hidden="1" x14ac:dyDescent="0.25">
      <c r="A948">
        <v>2023</v>
      </c>
      <c r="B948" s="140" t="s">
        <v>356</v>
      </c>
      <c r="C948" s="140" t="s">
        <v>14</v>
      </c>
      <c r="D948" s="140" t="s">
        <v>11</v>
      </c>
      <c r="E948" s="140" t="s">
        <v>12</v>
      </c>
      <c r="F948">
        <v>1.96</v>
      </c>
      <c r="G948" s="140" t="s">
        <v>357</v>
      </c>
      <c r="H948">
        <v>0</v>
      </c>
      <c r="I948" s="140" t="s">
        <v>14</v>
      </c>
    </row>
    <row r="949" spans="1:9" hidden="1" x14ac:dyDescent="0.25">
      <c r="A949">
        <v>2024</v>
      </c>
      <c r="B949" s="140" t="s">
        <v>356</v>
      </c>
      <c r="C949" s="140" t="s">
        <v>14</v>
      </c>
      <c r="D949" s="140" t="s">
        <v>11</v>
      </c>
      <c r="E949" s="140" t="s">
        <v>12</v>
      </c>
      <c r="F949">
        <v>1.52</v>
      </c>
      <c r="G949" s="140" t="s">
        <v>357</v>
      </c>
      <c r="H949">
        <v>0</v>
      </c>
      <c r="I949" s="140" t="s">
        <v>14</v>
      </c>
    </row>
    <row r="950" spans="1:9" hidden="1" x14ac:dyDescent="0.25">
      <c r="A950">
        <v>2025</v>
      </c>
      <c r="B950" s="140" t="s">
        <v>356</v>
      </c>
      <c r="C950" s="140" t="s">
        <v>14</v>
      </c>
      <c r="D950" s="140" t="s">
        <v>11</v>
      </c>
      <c r="E950" s="140" t="s">
        <v>12</v>
      </c>
      <c r="F950">
        <v>1.9</v>
      </c>
      <c r="G950" s="140" t="s">
        <v>357</v>
      </c>
      <c r="H950">
        <v>0</v>
      </c>
      <c r="I950" s="140" t="s">
        <v>14</v>
      </c>
    </row>
    <row r="951" spans="1:9" hidden="1" x14ac:dyDescent="0.25">
      <c r="A951">
        <v>2026</v>
      </c>
      <c r="B951" s="140" t="s">
        <v>356</v>
      </c>
      <c r="C951" s="140" t="s">
        <v>14</v>
      </c>
      <c r="D951" s="140" t="s">
        <v>11</v>
      </c>
      <c r="E951" s="140" t="s">
        <v>12</v>
      </c>
      <c r="F951">
        <v>1.98</v>
      </c>
      <c r="G951" s="140" t="s">
        <v>357</v>
      </c>
      <c r="H951">
        <v>0</v>
      </c>
      <c r="I951" s="140" t="s">
        <v>14</v>
      </c>
    </row>
    <row r="952" spans="1:9" hidden="1" x14ac:dyDescent="0.25">
      <c r="A952">
        <v>2027</v>
      </c>
      <c r="B952" s="140" t="s">
        <v>356</v>
      </c>
      <c r="C952" s="140" t="s">
        <v>14</v>
      </c>
      <c r="D952" s="140" t="s">
        <v>11</v>
      </c>
      <c r="E952" s="140" t="s">
        <v>12</v>
      </c>
      <c r="F952">
        <v>2</v>
      </c>
      <c r="G952" s="140" t="s">
        <v>357</v>
      </c>
      <c r="H952">
        <v>0</v>
      </c>
      <c r="I952" s="140" t="s">
        <v>14</v>
      </c>
    </row>
    <row r="953" spans="1:9" hidden="1" x14ac:dyDescent="0.25">
      <c r="A953">
        <v>2028</v>
      </c>
      <c r="B953" s="140" t="s">
        <v>356</v>
      </c>
      <c r="C953" s="140" t="s">
        <v>14</v>
      </c>
      <c r="D953" s="140" t="s">
        <v>11</v>
      </c>
      <c r="E953" s="140" t="s">
        <v>12</v>
      </c>
      <c r="F953">
        <v>1.95</v>
      </c>
      <c r="G953" s="140" t="s">
        <v>357</v>
      </c>
      <c r="H953">
        <v>0</v>
      </c>
      <c r="I953" s="140" t="s">
        <v>14</v>
      </c>
    </row>
    <row r="954" spans="1:9" hidden="1" x14ac:dyDescent="0.25">
      <c r="A954">
        <v>2009</v>
      </c>
      <c r="B954" s="140" t="s">
        <v>143</v>
      </c>
      <c r="C954" s="140" t="s">
        <v>14</v>
      </c>
      <c r="D954" s="140" t="s">
        <v>11</v>
      </c>
      <c r="E954" s="140" t="s">
        <v>12</v>
      </c>
      <c r="F954">
        <v>0.2</v>
      </c>
      <c r="G954" s="140" t="s">
        <v>358</v>
      </c>
      <c r="H954">
        <v>0</v>
      </c>
      <c r="I954" s="140" t="s">
        <v>14</v>
      </c>
    </row>
    <row r="955" spans="1:9" hidden="1" x14ac:dyDescent="0.25">
      <c r="A955">
        <v>2010</v>
      </c>
      <c r="B955" s="140" t="s">
        <v>143</v>
      </c>
      <c r="C955" s="140" t="s">
        <v>14</v>
      </c>
      <c r="D955" s="140" t="s">
        <v>11</v>
      </c>
      <c r="E955" s="140" t="s">
        <v>12</v>
      </c>
      <c r="F955">
        <v>0.4</v>
      </c>
      <c r="G955" s="140" t="s">
        <v>358</v>
      </c>
      <c r="H955">
        <v>0</v>
      </c>
      <c r="I955" s="140" t="s">
        <v>14</v>
      </c>
    </row>
    <row r="956" spans="1:9" hidden="1" x14ac:dyDescent="0.25">
      <c r="A956">
        <v>2011</v>
      </c>
      <c r="B956" s="140" t="s">
        <v>143</v>
      </c>
      <c r="C956" s="140" t="s">
        <v>14</v>
      </c>
      <c r="D956" s="140" t="s">
        <v>11</v>
      </c>
      <c r="E956" s="140" t="s">
        <v>12</v>
      </c>
      <c r="F956">
        <v>0.6</v>
      </c>
      <c r="G956" s="140" t="s">
        <v>358</v>
      </c>
      <c r="H956">
        <v>0</v>
      </c>
      <c r="I956" s="140" t="s">
        <v>14</v>
      </c>
    </row>
    <row r="957" spans="1:9" hidden="1" x14ac:dyDescent="0.25">
      <c r="A957">
        <v>2012</v>
      </c>
      <c r="B957" s="140" t="s">
        <v>143</v>
      </c>
      <c r="C957" s="140" t="s">
        <v>14</v>
      </c>
      <c r="D957" s="140" t="s">
        <v>11</v>
      </c>
      <c r="E957" s="140" t="s">
        <v>12</v>
      </c>
      <c r="F957">
        <v>0.6</v>
      </c>
      <c r="G957" s="140" t="s">
        <v>358</v>
      </c>
      <c r="H957">
        <v>0</v>
      </c>
      <c r="I957" s="140" t="s">
        <v>14</v>
      </c>
    </row>
    <row r="958" spans="1:9" hidden="1" x14ac:dyDescent="0.25">
      <c r="A958">
        <v>2013</v>
      </c>
      <c r="B958" s="140" t="s">
        <v>143</v>
      </c>
      <c r="C958" s="140" t="s">
        <v>14</v>
      </c>
      <c r="D958" s="140" t="s">
        <v>11</v>
      </c>
      <c r="E958" s="140" t="s">
        <v>12</v>
      </c>
      <c r="F958">
        <v>0.6</v>
      </c>
      <c r="G958" s="140" t="s">
        <v>358</v>
      </c>
      <c r="H958">
        <v>0</v>
      </c>
      <c r="I958" s="140" t="s">
        <v>14</v>
      </c>
    </row>
    <row r="959" spans="1:9" hidden="1" x14ac:dyDescent="0.25">
      <c r="A959">
        <v>2014</v>
      </c>
      <c r="B959" s="140" t="s">
        <v>143</v>
      </c>
      <c r="C959" s="140" t="s">
        <v>14</v>
      </c>
      <c r="D959" s="140" t="s">
        <v>11</v>
      </c>
      <c r="E959" s="140" t="s">
        <v>12</v>
      </c>
      <c r="F959">
        <v>0.5</v>
      </c>
      <c r="G959" s="140" t="s">
        <v>358</v>
      </c>
      <c r="H959">
        <v>0</v>
      </c>
      <c r="I959" s="140" t="s">
        <v>14</v>
      </c>
    </row>
    <row r="960" spans="1:9" hidden="1" x14ac:dyDescent="0.25">
      <c r="A960">
        <v>2015</v>
      </c>
      <c r="B960" s="140" t="s">
        <v>143</v>
      </c>
      <c r="C960" s="140" t="s">
        <v>14</v>
      </c>
      <c r="D960" s="140" t="s">
        <v>11</v>
      </c>
      <c r="E960" s="140" t="s">
        <v>12</v>
      </c>
      <c r="F960">
        <v>0.65</v>
      </c>
      <c r="G960" s="140" t="s">
        <v>358</v>
      </c>
      <c r="H960">
        <v>0</v>
      </c>
      <c r="I960" s="140" t="s">
        <v>14</v>
      </c>
    </row>
    <row r="961" spans="1:9" hidden="1" x14ac:dyDescent="0.25">
      <c r="A961">
        <v>2016</v>
      </c>
      <c r="B961" s="140" t="s">
        <v>143</v>
      </c>
      <c r="C961" s="140" t="s">
        <v>14</v>
      </c>
      <c r="D961" s="140" t="s">
        <v>11</v>
      </c>
      <c r="E961" s="140" t="s">
        <v>12</v>
      </c>
      <c r="F961">
        <v>1.1499999999999999</v>
      </c>
      <c r="G961" s="140" t="s">
        <v>358</v>
      </c>
      <c r="H961">
        <v>0</v>
      </c>
      <c r="I961" s="140" t="s">
        <v>14</v>
      </c>
    </row>
    <row r="962" spans="1:9" hidden="1" x14ac:dyDescent="0.25">
      <c r="A962">
        <v>2017</v>
      </c>
      <c r="B962" s="140" t="s">
        <v>143</v>
      </c>
      <c r="C962" s="140" t="s">
        <v>14</v>
      </c>
      <c r="D962" s="140" t="s">
        <v>11</v>
      </c>
      <c r="E962" s="140" t="s">
        <v>12</v>
      </c>
      <c r="F962">
        <v>1.6</v>
      </c>
      <c r="G962" s="140" t="s">
        <v>358</v>
      </c>
      <c r="H962">
        <v>0</v>
      </c>
      <c r="I962" s="140" t="s">
        <v>14</v>
      </c>
    </row>
    <row r="963" spans="1:9" hidden="1" x14ac:dyDescent="0.25">
      <c r="A963">
        <v>2018</v>
      </c>
      <c r="B963" s="140" t="s">
        <v>143</v>
      </c>
      <c r="C963" s="140" t="s">
        <v>14</v>
      </c>
      <c r="D963" s="140" t="s">
        <v>11</v>
      </c>
      <c r="E963" s="140" t="s">
        <v>12</v>
      </c>
      <c r="F963">
        <v>1.9</v>
      </c>
      <c r="G963" s="140" t="s">
        <v>358</v>
      </c>
      <c r="H963">
        <v>0</v>
      </c>
      <c r="I963" s="140" t="s">
        <v>14</v>
      </c>
    </row>
    <row r="964" spans="1:9" hidden="1" x14ac:dyDescent="0.25">
      <c r="A964">
        <v>2019</v>
      </c>
      <c r="B964" s="140" t="s">
        <v>143</v>
      </c>
      <c r="C964" s="140" t="s">
        <v>14</v>
      </c>
      <c r="D964" s="140" t="s">
        <v>11</v>
      </c>
      <c r="E964" s="140" t="s">
        <v>12</v>
      </c>
      <c r="F964">
        <v>1.5</v>
      </c>
      <c r="G964" s="140" t="s">
        <v>358</v>
      </c>
      <c r="H964">
        <v>0</v>
      </c>
      <c r="I964" s="140" t="s">
        <v>14</v>
      </c>
    </row>
    <row r="965" spans="1:9" hidden="1" x14ac:dyDescent="0.25">
      <c r="A965">
        <v>2020</v>
      </c>
      <c r="B965" s="140" t="s">
        <v>143</v>
      </c>
      <c r="C965" s="140" t="s">
        <v>14</v>
      </c>
      <c r="D965" s="140" t="s">
        <v>11</v>
      </c>
      <c r="E965" s="140" t="s">
        <v>12</v>
      </c>
      <c r="F965">
        <v>1.25</v>
      </c>
      <c r="G965" s="140" t="s">
        <v>358</v>
      </c>
      <c r="H965">
        <v>0</v>
      </c>
      <c r="I965" s="140" t="s">
        <v>14</v>
      </c>
    </row>
    <row r="966" spans="1:9" hidden="1" x14ac:dyDescent="0.25">
      <c r="A966">
        <v>2021</v>
      </c>
      <c r="B966" s="140" t="s">
        <v>143</v>
      </c>
      <c r="C966" s="140" t="s">
        <v>14</v>
      </c>
      <c r="D966" s="140" t="s">
        <v>11</v>
      </c>
      <c r="E966" s="140" t="s">
        <v>12</v>
      </c>
      <c r="F966">
        <v>1.4</v>
      </c>
      <c r="G966" s="140" t="s">
        <v>358</v>
      </c>
      <c r="H966">
        <v>0</v>
      </c>
      <c r="I966" s="140" t="s">
        <v>14</v>
      </c>
    </row>
    <row r="967" spans="1:9" hidden="1" x14ac:dyDescent="0.25">
      <c r="A967">
        <v>2022</v>
      </c>
      <c r="B967" s="140" t="s">
        <v>143</v>
      </c>
      <c r="C967" s="140" t="s">
        <v>14</v>
      </c>
      <c r="D967" s="140" t="s">
        <v>11</v>
      </c>
      <c r="E967" s="140" t="s">
        <v>12</v>
      </c>
      <c r="F967">
        <v>1.5</v>
      </c>
      <c r="G967" s="140" t="s">
        <v>358</v>
      </c>
      <c r="H967">
        <v>0</v>
      </c>
      <c r="I967" s="140" t="s">
        <v>14</v>
      </c>
    </row>
    <row r="968" spans="1:9" hidden="1" x14ac:dyDescent="0.25">
      <c r="A968">
        <v>2023</v>
      </c>
      <c r="B968" s="140" t="s">
        <v>143</v>
      </c>
      <c r="C968" s="140" t="s">
        <v>14</v>
      </c>
      <c r="D968" s="140" t="s">
        <v>11</v>
      </c>
      <c r="E968" s="140" t="s">
        <v>12</v>
      </c>
      <c r="F968">
        <v>1.5</v>
      </c>
      <c r="G968" s="140" t="s">
        <v>358</v>
      </c>
      <c r="H968">
        <v>0</v>
      </c>
      <c r="I968" s="140" t="s">
        <v>14</v>
      </c>
    </row>
    <row r="969" spans="1:9" hidden="1" x14ac:dyDescent="0.25">
      <c r="A969">
        <v>2024</v>
      </c>
      <c r="B969" s="140" t="s">
        <v>143</v>
      </c>
      <c r="C969" s="140" t="s">
        <v>14</v>
      </c>
      <c r="D969" s="140" t="s">
        <v>11</v>
      </c>
      <c r="E969" s="140" t="s">
        <v>12</v>
      </c>
      <c r="F969">
        <v>0.79</v>
      </c>
      <c r="G969" s="140" t="s">
        <v>358</v>
      </c>
      <c r="H969">
        <v>0</v>
      </c>
      <c r="I969" s="140" t="s">
        <v>14</v>
      </c>
    </row>
    <row r="970" spans="1:9" hidden="1" x14ac:dyDescent="0.25">
      <c r="A970">
        <v>2025</v>
      </c>
      <c r="B970" s="140" t="s">
        <v>143</v>
      </c>
      <c r="C970" s="140" t="s">
        <v>14</v>
      </c>
      <c r="D970" s="140" t="s">
        <v>11</v>
      </c>
      <c r="E970" s="140" t="s">
        <v>12</v>
      </c>
      <c r="F970">
        <v>0.59</v>
      </c>
      <c r="G970" s="140" t="s">
        <v>358</v>
      </c>
      <c r="H970">
        <v>0</v>
      </c>
      <c r="I970" s="140" t="s">
        <v>14</v>
      </c>
    </row>
    <row r="971" spans="1:9" hidden="1" x14ac:dyDescent="0.25">
      <c r="A971">
        <v>2026</v>
      </c>
      <c r="B971" s="140" t="s">
        <v>143</v>
      </c>
      <c r="C971" s="140" t="s">
        <v>14</v>
      </c>
      <c r="D971" s="140" t="s">
        <v>11</v>
      </c>
      <c r="E971" s="140" t="s">
        <v>12</v>
      </c>
      <c r="F971">
        <v>0.89</v>
      </c>
      <c r="G971" s="140" t="s">
        <v>358</v>
      </c>
      <c r="H971">
        <v>0</v>
      </c>
      <c r="I971" s="140" t="s">
        <v>14</v>
      </c>
    </row>
    <row r="972" spans="1:9" hidden="1" x14ac:dyDescent="0.25">
      <c r="A972">
        <v>2027</v>
      </c>
      <c r="B972" s="140" t="s">
        <v>143</v>
      </c>
      <c r="C972" s="140" t="s">
        <v>14</v>
      </c>
      <c r="D972" s="140" t="s">
        <v>11</v>
      </c>
      <c r="E972" s="140" t="s">
        <v>12</v>
      </c>
      <c r="F972">
        <v>0.74</v>
      </c>
      <c r="G972" s="140" t="s">
        <v>358</v>
      </c>
      <c r="H972">
        <v>0</v>
      </c>
      <c r="I972" s="140" t="s">
        <v>14</v>
      </c>
    </row>
    <row r="973" spans="1:9" hidden="1" x14ac:dyDescent="0.25">
      <c r="A973">
        <v>2028</v>
      </c>
      <c r="B973" s="140" t="s">
        <v>143</v>
      </c>
      <c r="C973" s="140" t="s">
        <v>14</v>
      </c>
      <c r="D973" s="140" t="s">
        <v>11</v>
      </c>
      <c r="E973" s="140" t="s">
        <v>12</v>
      </c>
      <c r="F973">
        <v>0.74</v>
      </c>
      <c r="G973" s="140" t="s">
        <v>358</v>
      </c>
      <c r="H973">
        <v>0</v>
      </c>
      <c r="I973" s="140" t="s">
        <v>14</v>
      </c>
    </row>
    <row r="974" spans="1:9" hidden="1" x14ac:dyDescent="0.25">
      <c r="A974">
        <v>2029</v>
      </c>
      <c r="B974" s="140" t="s">
        <v>143</v>
      </c>
      <c r="C974" s="140" t="s">
        <v>14</v>
      </c>
      <c r="D974" s="140" t="s">
        <v>11</v>
      </c>
      <c r="E974" s="140" t="s">
        <v>12</v>
      </c>
      <c r="F974">
        <v>0.74</v>
      </c>
      <c r="G974" s="140" t="s">
        <v>358</v>
      </c>
      <c r="H974">
        <v>0</v>
      </c>
      <c r="I974" s="140" t="s">
        <v>14</v>
      </c>
    </row>
    <row r="975" spans="1:9" hidden="1" x14ac:dyDescent="0.25">
      <c r="A975">
        <v>2030</v>
      </c>
      <c r="B975" s="140" t="s">
        <v>143</v>
      </c>
      <c r="C975" s="140" t="s">
        <v>14</v>
      </c>
      <c r="D975" s="140" t="s">
        <v>11</v>
      </c>
      <c r="E975" s="140" t="s">
        <v>12</v>
      </c>
      <c r="F975">
        <v>0.74</v>
      </c>
      <c r="G975" s="140" t="s">
        <v>358</v>
      </c>
      <c r="H975">
        <v>0</v>
      </c>
      <c r="I975" s="140" t="s">
        <v>14</v>
      </c>
    </row>
    <row r="976" spans="1:9" hidden="1" x14ac:dyDescent="0.25">
      <c r="A976">
        <v>2010</v>
      </c>
      <c r="B976" s="140" t="s">
        <v>186</v>
      </c>
      <c r="C976" s="140" t="s">
        <v>14</v>
      </c>
      <c r="D976" s="140" t="s">
        <v>11</v>
      </c>
      <c r="E976" s="140" t="s">
        <v>12</v>
      </c>
      <c r="F976">
        <v>21.603999999999999</v>
      </c>
      <c r="G976" s="140" t="s">
        <v>185</v>
      </c>
      <c r="H976">
        <v>0</v>
      </c>
      <c r="I976" s="140" t="s">
        <v>14</v>
      </c>
    </row>
    <row r="977" spans="1:9" hidden="1" x14ac:dyDescent="0.25">
      <c r="A977">
        <v>2011</v>
      </c>
      <c r="B977" s="140" t="s">
        <v>186</v>
      </c>
      <c r="C977" s="140" t="s">
        <v>14</v>
      </c>
      <c r="D977" s="140" t="s">
        <v>11</v>
      </c>
      <c r="E977" s="140" t="s">
        <v>12</v>
      </c>
      <c r="F977">
        <v>22.015730000000001</v>
      </c>
      <c r="G977" s="140" t="s">
        <v>185</v>
      </c>
      <c r="H977">
        <v>0</v>
      </c>
      <c r="I977" s="140" t="s">
        <v>14</v>
      </c>
    </row>
    <row r="978" spans="1:9" hidden="1" x14ac:dyDescent="0.25">
      <c r="A978">
        <v>2012</v>
      </c>
      <c r="B978" s="140" t="s">
        <v>186</v>
      </c>
      <c r="C978" s="140" t="s">
        <v>14</v>
      </c>
      <c r="D978" s="140" t="s">
        <v>11</v>
      </c>
      <c r="E978" s="140" t="s">
        <v>12</v>
      </c>
      <c r="F978">
        <v>22.8</v>
      </c>
      <c r="G978" s="140" t="s">
        <v>185</v>
      </c>
      <c r="H978">
        <v>0</v>
      </c>
      <c r="I978" s="140" t="s">
        <v>14</v>
      </c>
    </row>
    <row r="979" spans="1:9" hidden="1" x14ac:dyDescent="0.25">
      <c r="A979">
        <v>2013</v>
      </c>
      <c r="B979" s="140" t="s">
        <v>186</v>
      </c>
      <c r="C979" s="140" t="s">
        <v>14</v>
      </c>
      <c r="D979" s="140" t="s">
        <v>11</v>
      </c>
      <c r="E979" s="140" t="s">
        <v>12</v>
      </c>
      <c r="F979">
        <v>22.8</v>
      </c>
      <c r="G979" s="140" t="s">
        <v>185</v>
      </c>
      <c r="H979">
        <v>0</v>
      </c>
      <c r="I979" s="140" t="s">
        <v>14</v>
      </c>
    </row>
    <row r="980" spans="1:9" hidden="1" x14ac:dyDescent="0.25">
      <c r="A980">
        <v>2014</v>
      </c>
      <c r="B980" s="140" t="s">
        <v>186</v>
      </c>
      <c r="C980" s="140" t="s">
        <v>14</v>
      </c>
      <c r="D980" s="140" t="s">
        <v>11</v>
      </c>
      <c r="E980" s="140" t="s">
        <v>12</v>
      </c>
      <c r="F980">
        <v>23.6</v>
      </c>
      <c r="G980" s="140" t="s">
        <v>185</v>
      </c>
      <c r="H980">
        <v>0</v>
      </c>
      <c r="I980" s="140" t="s">
        <v>14</v>
      </c>
    </row>
    <row r="981" spans="1:9" hidden="1" x14ac:dyDescent="0.25">
      <c r="A981">
        <v>2015</v>
      </c>
      <c r="B981" s="140" t="s">
        <v>186</v>
      </c>
      <c r="C981" s="140" t="s">
        <v>14</v>
      </c>
      <c r="D981" s="140" t="s">
        <v>11</v>
      </c>
      <c r="E981" s="140" t="s">
        <v>12</v>
      </c>
      <c r="F981">
        <v>24</v>
      </c>
      <c r="G981" s="140" t="s">
        <v>185</v>
      </c>
      <c r="H981">
        <v>0</v>
      </c>
      <c r="I981" s="140" t="s">
        <v>14</v>
      </c>
    </row>
    <row r="982" spans="1:9" hidden="1" x14ac:dyDescent="0.25">
      <c r="A982">
        <v>2016</v>
      </c>
      <c r="B982" s="140" t="s">
        <v>186</v>
      </c>
      <c r="C982" s="140" t="s">
        <v>14</v>
      </c>
      <c r="D982" s="140" t="s">
        <v>11</v>
      </c>
      <c r="E982" s="140" t="s">
        <v>12</v>
      </c>
      <c r="F982">
        <v>24</v>
      </c>
      <c r="G982" s="140" t="s">
        <v>185</v>
      </c>
      <c r="H982">
        <v>0</v>
      </c>
      <c r="I982" s="140" t="s">
        <v>14</v>
      </c>
    </row>
    <row r="983" spans="1:9" hidden="1" x14ac:dyDescent="0.25">
      <c r="A983">
        <v>2017</v>
      </c>
      <c r="B983" s="140" t="s">
        <v>186</v>
      </c>
      <c r="C983" s="140" t="s">
        <v>14</v>
      </c>
      <c r="D983" s="140" t="s">
        <v>11</v>
      </c>
      <c r="E983" s="140" t="s">
        <v>12</v>
      </c>
      <c r="F983">
        <v>24.4</v>
      </c>
      <c r="G983" s="140" t="s">
        <v>185</v>
      </c>
      <c r="H983">
        <v>0</v>
      </c>
      <c r="I983" s="140" t="s">
        <v>14</v>
      </c>
    </row>
    <row r="984" spans="1:9" hidden="1" x14ac:dyDescent="0.25">
      <c r="A984">
        <v>2018</v>
      </c>
      <c r="B984" s="140" t="s">
        <v>186</v>
      </c>
      <c r="C984" s="140" t="s">
        <v>14</v>
      </c>
      <c r="D984" s="140" t="s">
        <v>11</v>
      </c>
      <c r="E984" s="140" t="s">
        <v>12</v>
      </c>
      <c r="F984">
        <v>24.4</v>
      </c>
      <c r="G984" s="140" t="s">
        <v>185</v>
      </c>
      <c r="H984">
        <v>0</v>
      </c>
      <c r="I984" s="140" t="s">
        <v>14</v>
      </c>
    </row>
    <row r="985" spans="1:9" hidden="1" x14ac:dyDescent="0.25">
      <c r="A985">
        <v>2019</v>
      </c>
      <c r="B985" s="140" t="s">
        <v>186</v>
      </c>
      <c r="C985" s="140" t="s">
        <v>14</v>
      </c>
      <c r="D985" s="140" t="s">
        <v>11</v>
      </c>
      <c r="E985" s="140" t="s">
        <v>12</v>
      </c>
      <c r="F985">
        <v>24.4</v>
      </c>
      <c r="G985" s="140" t="s">
        <v>185</v>
      </c>
      <c r="H985">
        <v>0</v>
      </c>
      <c r="I985" s="140" t="s">
        <v>14</v>
      </c>
    </row>
    <row r="986" spans="1:9" hidden="1" x14ac:dyDescent="0.25">
      <c r="A986">
        <v>2020</v>
      </c>
      <c r="B986" s="140" t="s">
        <v>186</v>
      </c>
      <c r="C986" s="140" t="s">
        <v>14</v>
      </c>
      <c r="D986" s="140" t="s">
        <v>11</v>
      </c>
      <c r="E986" s="140" t="s">
        <v>12</v>
      </c>
      <c r="F986">
        <v>22.7</v>
      </c>
      <c r="G986" s="140" t="s">
        <v>185</v>
      </c>
      <c r="H986">
        <v>0</v>
      </c>
      <c r="I986" s="140" t="s">
        <v>14</v>
      </c>
    </row>
    <row r="987" spans="1:9" hidden="1" x14ac:dyDescent="0.25">
      <c r="A987">
        <v>2021</v>
      </c>
      <c r="B987" s="140" t="s">
        <v>186</v>
      </c>
      <c r="C987" s="140" t="s">
        <v>14</v>
      </c>
      <c r="D987" s="140" t="s">
        <v>11</v>
      </c>
      <c r="E987" s="140" t="s">
        <v>12</v>
      </c>
      <c r="F987">
        <v>24.4</v>
      </c>
      <c r="G987" s="140" t="s">
        <v>185</v>
      </c>
      <c r="H987">
        <v>0</v>
      </c>
      <c r="I987" s="140" t="s">
        <v>14</v>
      </c>
    </row>
    <row r="988" spans="1:9" hidden="1" x14ac:dyDescent="0.25">
      <c r="A988">
        <v>2022</v>
      </c>
      <c r="B988" s="140" t="s">
        <v>186</v>
      </c>
      <c r="C988" s="140" t="s">
        <v>14</v>
      </c>
      <c r="D988" s="140" t="s">
        <v>11</v>
      </c>
      <c r="E988" s="140" t="s">
        <v>12</v>
      </c>
      <c r="F988">
        <v>24.85</v>
      </c>
      <c r="G988" s="140" t="s">
        <v>185</v>
      </c>
      <c r="H988">
        <v>0</v>
      </c>
      <c r="I988" s="140" t="s">
        <v>14</v>
      </c>
    </row>
    <row r="989" spans="1:9" hidden="1" x14ac:dyDescent="0.25">
      <c r="A989">
        <v>2023</v>
      </c>
      <c r="B989" s="140" t="s">
        <v>186</v>
      </c>
      <c r="C989" s="140" t="s">
        <v>14</v>
      </c>
      <c r="D989" s="140" t="s">
        <v>11</v>
      </c>
      <c r="E989" s="140" t="s">
        <v>12</v>
      </c>
      <c r="F989">
        <v>24.84</v>
      </c>
      <c r="G989" s="140" t="s">
        <v>185</v>
      </c>
      <c r="H989">
        <v>0</v>
      </c>
      <c r="I989" s="140" t="s">
        <v>14</v>
      </c>
    </row>
    <row r="990" spans="1:9" hidden="1" x14ac:dyDescent="0.25">
      <c r="A990">
        <v>2024</v>
      </c>
      <c r="B990" s="140" t="s">
        <v>186</v>
      </c>
      <c r="C990" s="140" t="s">
        <v>14</v>
      </c>
      <c r="D990" s="140" t="s">
        <v>11</v>
      </c>
      <c r="E990" s="140" t="s">
        <v>12</v>
      </c>
      <c r="F990">
        <v>24.81</v>
      </c>
      <c r="G990" s="140" t="s">
        <v>185</v>
      </c>
      <c r="H990">
        <v>0</v>
      </c>
      <c r="I990" s="140" t="s">
        <v>14</v>
      </c>
    </row>
    <row r="991" spans="1:9" hidden="1" x14ac:dyDescent="0.25">
      <c r="A991">
        <v>2025</v>
      </c>
      <c r="B991" s="140" t="s">
        <v>186</v>
      </c>
      <c r="C991" s="140" t="s">
        <v>14</v>
      </c>
      <c r="D991" s="140" t="s">
        <v>11</v>
      </c>
      <c r="E991" s="140" t="s">
        <v>12</v>
      </c>
      <c r="F991">
        <v>24.85</v>
      </c>
      <c r="G991" s="140" t="s">
        <v>185</v>
      </c>
      <c r="H991">
        <v>0</v>
      </c>
      <c r="I991" s="140" t="s">
        <v>14</v>
      </c>
    </row>
    <row r="992" spans="1:9" hidden="1" x14ac:dyDescent="0.25">
      <c r="A992">
        <v>2026</v>
      </c>
      <c r="B992" s="140" t="s">
        <v>186</v>
      </c>
      <c r="C992" s="140" t="s">
        <v>14</v>
      </c>
      <c r="D992" s="140" t="s">
        <v>11</v>
      </c>
      <c r="E992" s="140" t="s">
        <v>12</v>
      </c>
      <c r="F992">
        <v>24.4</v>
      </c>
      <c r="G992" s="140" t="s">
        <v>185</v>
      </c>
      <c r="H992">
        <v>0</v>
      </c>
      <c r="I992" s="140" t="s">
        <v>14</v>
      </c>
    </row>
    <row r="993" spans="1:9" hidden="1" x14ac:dyDescent="0.25">
      <c r="A993">
        <v>2027</v>
      </c>
      <c r="B993" s="140" t="s">
        <v>186</v>
      </c>
      <c r="C993" s="140" t="s">
        <v>14</v>
      </c>
      <c r="D993" s="140" t="s">
        <v>11</v>
      </c>
      <c r="E993" s="140" t="s">
        <v>12</v>
      </c>
      <c r="F993">
        <v>24.4</v>
      </c>
      <c r="G993" s="140" t="s">
        <v>185</v>
      </c>
      <c r="H993">
        <v>0</v>
      </c>
      <c r="I993" s="140" t="s">
        <v>14</v>
      </c>
    </row>
    <row r="994" spans="1:9" hidden="1" x14ac:dyDescent="0.25">
      <c r="A994">
        <v>2028</v>
      </c>
      <c r="B994" s="140" t="s">
        <v>186</v>
      </c>
      <c r="C994" s="140" t="s">
        <v>14</v>
      </c>
      <c r="D994" s="140" t="s">
        <v>11</v>
      </c>
      <c r="E994" s="140" t="s">
        <v>12</v>
      </c>
      <c r="F994">
        <v>24.4</v>
      </c>
      <c r="G994" s="140" t="s">
        <v>185</v>
      </c>
      <c r="H994">
        <v>0</v>
      </c>
      <c r="I994" s="140" t="s">
        <v>14</v>
      </c>
    </row>
    <row r="995" spans="1:9" hidden="1" x14ac:dyDescent="0.25">
      <c r="A995">
        <v>2029</v>
      </c>
      <c r="B995" s="140" t="s">
        <v>186</v>
      </c>
      <c r="C995" s="140" t="s">
        <v>14</v>
      </c>
      <c r="D995" s="140" t="s">
        <v>11</v>
      </c>
      <c r="E995" s="140" t="s">
        <v>12</v>
      </c>
      <c r="F995">
        <v>24.4</v>
      </c>
      <c r="G995" s="140" t="s">
        <v>185</v>
      </c>
      <c r="H995">
        <v>0</v>
      </c>
      <c r="I995" s="140" t="s">
        <v>14</v>
      </c>
    </row>
    <row r="996" spans="1:9" hidden="1" x14ac:dyDescent="0.25">
      <c r="A996">
        <v>2030</v>
      </c>
      <c r="B996" s="140" t="s">
        <v>186</v>
      </c>
      <c r="C996" s="140" t="s">
        <v>14</v>
      </c>
      <c r="D996" s="140" t="s">
        <v>11</v>
      </c>
      <c r="E996" s="140" t="s">
        <v>12</v>
      </c>
      <c r="F996">
        <v>24.4</v>
      </c>
      <c r="G996" s="140" t="s">
        <v>185</v>
      </c>
      <c r="H996">
        <v>0</v>
      </c>
      <c r="I996" s="140" t="s">
        <v>14</v>
      </c>
    </row>
    <row r="997" spans="1:9" hidden="1" x14ac:dyDescent="0.25">
      <c r="A997">
        <v>2010</v>
      </c>
      <c r="B997" s="140" t="s">
        <v>359</v>
      </c>
      <c r="C997" s="140" t="s">
        <v>14</v>
      </c>
      <c r="D997" s="140" t="s">
        <v>11</v>
      </c>
      <c r="E997" s="140" t="s">
        <v>12</v>
      </c>
      <c r="F997">
        <v>4.7039999999999997</v>
      </c>
      <c r="G997" s="140" t="s">
        <v>360</v>
      </c>
      <c r="H997">
        <v>0</v>
      </c>
      <c r="I997" s="140" t="s">
        <v>14</v>
      </c>
    </row>
    <row r="998" spans="1:9" hidden="1" x14ac:dyDescent="0.25">
      <c r="A998">
        <v>2011</v>
      </c>
      <c r="B998" s="140" t="s">
        <v>359</v>
      </c>
      <c r="C998" s="140" t="s">
        <v>14</v>
      </c>
      <c r="D998" s="140" t="s">
        <v>11</v>
      </c>
      <c r="E998" s="140" t="s">
        <v>12</v>
      </c>
      <c r="F998">
        <v>4.9157299999999999</v>
      </c>
      <c r="G998" s="140" t="s">
        <v>360</v>
      </c>
      <c r="H998">
        <v>0</v>
      </c>
      <c r="I998" s="140" t="s">
        <v>14</v>
      </c>
    </row>
    <row r="999" spans="1:9" hidden="1" x14ac:dyDescent="0.25">
      <c r="A999">
        <v>2012</v>
      </c>
      <c r="B999" s="140" t="s">
        <v>359</v>
      </c>
      <c r="C999" s="140" t="s">
        <v>14</v>
      </c>
      <c r="D999" s="140" t="s">
        <v>11</v>
      </c>
      <c r="E999" s="140" t="s">
        <v>12</v>
      </c>
      <c r="F999">
        <v>5.45</v>
      </c>
      <c r="G999" s="140" t="s">
        <v>360</v>
      </c>
      <c r="H999">
        <v>0</v>
      </c>
      <c r="I999" s="140" t="s">
        <v>14</v>
      </c>
    </row>
    <row r="1000" spans="1:9" hidden="1" x14ac:dyDescent="0.25">
      <c r="A1000">
        <v>2013</v>
      </c>
      <c r="B1000" s="140" t="s">
        <v>359</v>
      </c>
      <c r="C1000" s="140" t="s">
        <v>14</v>
      </c>
      <c r="D1000" s="140" t="s">
        <v>11</v>
      </c>
      <c r="E1000" s="140" t="s">
        <v>12</v>
      </c>
      <c r="F1000">
        <v>5.45</v>
      </c>
      <c r="G1000" s="140" t="s">
        <v>360</v>
      </c>
      <c r="H1000">
        <v>0</v>
      </c>
      <c r="I1000" s="140" t="s">
        <v>14</v>
      </c>
    </row>
    <row r="1001" spans="1:9" hidden="1" x14ac:dyDescent="0.25">
      <c r="A1001">
        <v>2014</v>
      </c>
      <c r="B1001" s="140" t="s">
        <v>359</v>
      </c>
      <c r="C1001" s="140" t="s">
        <v>14</v>
      </c>
      <c r="D1001" s="140" t="s">
        <v>11</v>
      </c>
      <c r="E1001" s="140" t="s">
        <v>12</v>
      </c>
      <c r="F1001">
        <v>5.85</v>
      </c>
      <c r="G1001" s="140" t="s">
        <v>360</v>
      </c>
      <c r="H1001">
        <v>0</v>
      </c>
      <c r="I1001" s="140" t="s">
        <v>14</v>
      </c>
    </row>
    <row r="1002" spans="1:9" hidden="1" x14ac:dyDescent="0.25">
      <c r="A1002">
        <v>2015</v>
      </c>
      <c r="B1002" s="140" t="s">
        <v>359</v>
      </c>
      <c r="C1002" s="140" t="s">
        <v>14</v>
      </c>
      <c r="D1002" s="140" t="s">
        <v>11</v>
      </c>
      <c r="E1002" s="140" t="s">
        <v>12</v>
      </c>
      <c r="F1002">
        <v>6</v>
      </c>
      <c r="G1002" s="140" t="s">
        <v>360</v>
      </c>
      <c r="H1002">
        <v>0</v>
      </c>
      <c r="I1002" s="140" t="s">
        <v>14</v>
      </c>
    </row>
    <row r="1003" spans="1:9" hidden="1" x14ac:dyDescent="0.25">
      <c r="A1003">
        <v>2016</v>
      </c>
      <c r="B1003" s="140" t="s">
        <v>359</v>
      </c>
      <c r="C1003" s="140" t="s">
        <v>14</v>
      </c>
      <c r="D1003" s="140" t="s">
        <v>11</v>
      </c>
      <c r="E1003" s="140" t="s">
        <v>12</v>
      </c>
      <c r="F1003">
        <v>6</v>
      </c>
      <c r="G1003" s="140" t="s">
        <v>360</v>
      </c>
      <c r="H1003">
        <v>0</v>
      </c>
      <c r="I1003" s="140" t="s">
        <v>14</v>
      </c>
    </row>
    <row r="1004" spans="1:9" hidden="1" x14ac:dyDescent="0.25">
      <c r="A1004">
        <v>2017</v>
      </c>
      <c r="B1004" s="140" t="s">
        <v>359</v>
      </c>
      <c r="C1004" s="140" t="s">
        <v>14</v>
      </c>
      <c r="D1004" s="140" t="s">
        <v>11</v>
      </c>
      <c r="E1004" s="140" t="s">
        <v>12</v>
      </c>
      <c r="F1004">
        <v>6.45</v>
      </c>
      <c r="G1004" s="140" t="s">
        <v>360</v>
      </c>
      <c r="H1004">
        <v>0</v>
      </c>
      <c r="I1004" s="140" t="s">
        <v>14</v>
      </c>
    </row>
    <row r="1005" spans="1:9" hidden="1" x14ac:dyDescent="0.25">
      <c r="A1005">
        <v>2018</v>
      </c>
      <c r="B1005" s="140" t="s">
        <v>359</v>
      </c>
      <c r="C1005" s="140" t="s">
        <v>14</v>
      </c>
      <c r="D1005" s="140" t="s">
        <v>11</v>
      </c>
      <c r="E1005" s="140" t="s">
        <v>12</v>
      </c>
      <c r="F1005">
        <v>6.66</v>
      </c>
      <c r="G1005" s="140" t="s">
        <v>360</v>
      </c>
      <c r="H1005">
        <v>0</v>
      </c>
      <c r="I1005" s="140" t="s">
        <v>14</v>
      </c>
    </row>
    <row r="1006" spans="1:9" hidden="1" x14ac:dyDescent="0.25">
      <c r="A1006">
        <v>2019</v>
      </c>
      <c r="B1006" s="140" t="s">
        <v>359</v>
      </c>
      <c r="C1006" s="140" t="s">
        <v>14</v>
      </c>
      <c r="D1006" s="140" t="s">
        <v>11</v>
      </c>
      <c r="E1006" s="140" t="s">
        <v>12</v>
      </c>
      <c r="F1006">
        <v>7.06</v>
      </c>
      <c r="G1006" s="140" t="s">
        <v>360</v>
      </c>
      <c r="H1006">
        <v>0</v>
      </c>
      <c r="I1006" s="140" t="s">
        <v>14</v>
      </c>
    </row>
    <row r="1007" spans="1:9" hidden="1" x14ac:dyDescent="0.25">
      <c r="A1007">
        <v>2020</v>
      </c>
      <c r="B1007" s="140" t="s">
        <v>359</v>
      </c>
      <c r="C1007" s="140" t="s">
        <v>14</v>
      </c>
      <c r="D1007" s="140" t="s">
        <v>11</v>
      </c>
      <c r="E1007" s="140" t="s">
        <v>12</v>
      </c>
      <c r="F1007">
        <v>7.47</v>
      </c>
      <c r="G1007" s="140" t="s">
        <v>360</v>
      </c>
      <c r="H1007">
        <v>0</v>
      </c>
      <c r="I1007" s="140" t="s">
        <v>14</v>
      </c>
    </row>
    <row r="1008" spans="1:9" hidden="1" x14ac:dyDescent="0.25">
      <c r="A1008">
        <v>2021</v>
      </c>
      <c r="B1008" s="140" t="s">
        <v>359</v>
      </c>
      <c r="C1008" s="140" t="s">
        <v>14</v>
      </c>
      <c r="D1008" s="140" t="s">
        <v>11</v>
      </c>
      <c r="E1008" s="140" t="s">
        <v>12</v>
      </c>
      <c r="F1008">
        <v>7.47</v>
      </c>
      <c r="G1008" s="140" t="s">
        <v>360</v>
      </c>
      <c r="H1008">
        <v>0</v>
      </c>
      <c r="I1008" s="140" t="s">
        <v>14</v>
      </c>
    </row>
    <row r="1009" spans="1:9" hidden="1" x14ac:dyDescent="0.25">
      <c r="A1009">
        <v>2022</v>
      </c>
      <c r="B1009" s="140" t="s">
        <v>359</v>
      </c>
      <c r="C1009" s="140" t="s">
        <v>14</v>
      </c>
      <c r="D1009" s="140" t="s">
        <v>11</v>
      </c>
      <c r="E1009" s="140" t="s">
        <v>12</v>
      </c>
      <c r="F1009">
        <v>7.47</v>
      </c>
      <c r="G1009" s="140" t="s">
        <v>360</v>
      </c>
      <c r="H1009">
        <v>0</v>
      </c>
      <c r="I1009" s="140" t="s">
        <v>14</v>
      </c>
    </row>
    <row r="1010" spans="1:9" hidden="1" x14ac:dyDescent="0.25">
      <c r="A1010">
        <v>2023</v>
      </c>
      <c r="B1010" s="140" t="s">
        <v>359</v>
      </c>
      <c r="C1010" s="140" t="s">
        <v>14</v>
      </c>
      <c r="D1010" s="140" t="s">
        <v>11</v>
      </c>
      <c r="E1010" s="140" t="s">
        <v>12</v>
      </c>
      <c r="F1010">
        <v>7.47</v>
      </c>
      <c r="G1010" s="140" t="s">
        <v>360</v>
      </c>
      <c r="H1010">
        <v>0</v>
      </c>
      <c r="I1010" s="140" t="s">
        <v>14</v>
      </c>
    </row>
    <row r="1011" spans="1:9" hidden="1" x14ac:dyDescent="0.25">
      <c r="A1011">
        <v>2024</v>
      </c>
      <c r="B1011" s="140" t="s">
        <v>359</v>
      </c>
      <c r="C1011" s="140" t="s">
        <v>14</v>
      </c>
      <c r="D1011" s="140" t="s">
        <v>11</v>
      </c>
      <c r="E1011" s="140" t="s">
        <v>12</v>
      </c>
      <c r="F1011">
        <v>7.47</v>
      </c>
      <c r="G1011" s="140" t="s">
        <v>360</v>
      </c>
      <c r="H1011">
        <v>0</v>
      </c>
      <c r="I1011" s="140" t="s">
        <v>14</v>
      </c>
    </row>
    <row r="1012" spans="1:9" hidden="1" x14ac:dyDescent="0.25">
      <c r="A1012">
        <v>2025</v>
      </c>
      <c r="B1012" s="140" t="s">
        <v>359</v>
      </c>
      <c r="C1012" s="140" t="s">
        <v>14</v>
      </c>
      <c r="D1012" s="140" t="s">
        <v>11</v>
      </c>
      <c r="E1012" s="140" t="s">
        <v>12</v>
      </c>
      <c r="F1012">
        <v>7.47</v>
      </c>
      <c r="G1012" s="140" t="s">
        <v>360</v>
      </c>
      <c r="H1012">
        <v>0</v>
      </c>
      <c r="I1012" s="140" t="s">
        <v>14</v>
      </c>
    </row>
    <row r="1013" spans="1:9" hidden="1" x14ac:dyDescent="0.25">
      <c r="A1013">
        <v>2026</v>
      </c>
      <c r="B1013" s="140" t="s">
        <v>359</v>
      </c>
      <c r="C1013" s="140" t="s">
        <v>14</v>
      </c>
      <c r="D1013" s="140" t="s">
        <v>11</v>
      </c>
      <c r="E1013" s="140" t="s">
        <v>12</v>
      </c>
      <c r="F1013">
        <v>7.3</v>
      </c>
      <c r="G1013" s="140" t="s">
        <v>360</v>
      </c>
      <c r="H1013">
        <v>0</v>
      </c>
      <c r="I1013" s="140" t="s">
        <v>14</v>
      </c>
    </row>
    <row r="1014" spans="1:9" hidden="1" x14ac:dyDescent="0.25">
      <c r="A1014">
        <v>2027</v>
      </c>
      <c r="B1014" s="140" t="s">
        <v>359</v>
      </c>
      <c r="C1014" s="140" t="s">
        <v>14</v>
      </c>
      <c r="D1014" s="140" t="s">
        <v>11</v>
      </c>
      <c r="E1014" s="140" t="s">
        <v>12</v>
      </c>
      <c r="F1014">
        <v>7.3</v>
      </c>
      <c r="G1014" s="140" t="s">
        <v>360</v>
      </c>
      <c r="H1014">
        <v>0</v>
      </c>
      <c r="I1014" s="140" t="s">
        <v>14</v>
      </c>
    </row>
    <row r="1015" spans="1:9" hidden="1" x14ac:dyDescent="0.25">
      <c r="A1015">
        <v>2028</v>
      </c>
      <c r="B1015" s="140" t="s">
        <v>359</v>
      </c>
      <c r="C1015" s="140" t="s">
        <v>14</v>
      </c>
      <c r="D1015" s="140" t="s">
        <v>11</v>
      </c>
      <c r="E1015" s="140" t="s">
        <v>12</v>
      </c>
      <c r="F1015">
        <v>7.3</v>
      </c>
      <c r="G1015" s="140" t="s">
        <v>360</v>
      </c>
      <c r="H1015">
        <v>0</v>
      </c>
      <c r="I1015" s="140" t="s">
        <v>14</v>
      </c>
    </row>
    <row r="1016" spans="1:9" hidden="1" x14ac:dyDescent="0.25">
      <c r="A1016">
        <v>2009</v>
      </c>
      <c r="B1016" s="140" t="s">
        <v>79</v>
      </c>
      <c r="C1016" s="140" t="s">
        <v>14</v>
      </c>
      <c r="D1016" s="140" t="s">
        <v>11</v>
      </c>
      <c r="E1016" s="140" t="s">
        <v>12</v>
      </c>
      <c r="F1016">
        <v>1.45</v>
      </c>
      <c r="G1016" s="140" t="s">
        <v>361</v>
      </c>
      <c r="H1016">
        <v>0</v>
      </c>
      <c r="I1016" s="140" t="s">
        <v>14</v>
      </c>
    </row>
    <row r="1017" spans="1:9" hidden="1" x14ac:dyDescent="0.25">
      <c r="A1017">
        <v>2010</v>
      </c>
      <c r="B1017" s="140" t="s">
        <v>79</v>
      </c>
      <c r="C1017" s="140" t="s">
        <v>14</v>
      </c>
      <c r="D1017" s="140" t="s">
        <v>11</v>
      </c>
      <c r="E1017" s="140" t="s">
        <v>12</v>
      </c>
      <c r="F1017">
        <v>1.64</v>
      </c>
      <c r="G1017" s="140" t="s">
        <v>361</v>
      </c>
      <c r="H1017">
        <v>0</v>
      </c>
      <c r="I1017" s="140" t="s">
        <v>14</v>
      </c>
    </row>
    <row r="1018" spans="1:9" hidden="1" x14ac:dyDescent="0.25">
      <c r="A1018">
        <v>2011</v>
      </c>
      <c r="B1018" s="140" t="s">
        <v>79</v>
      </c>
      <c r="C1018" s="140" t="s">
        <v>14</v>
      </c>
      <c r="D1018" s="140" t="s">
        <v>11</v>
      </c>
      <c r="E1018" s="140" t="s">
        <v>12</v>
      </c>
      <c r="F1018">
        <v>1.36</v>
      </c>
      <c r="G1018" s="140" t="s">
        <v>361</v>
      </c>
      <c r="H1018">
        <v>0</v>
      </c>
      <c r="I1018" s="140" t="s">
        <v>14</v>
      </c>
    </row>
    <row r="1019" spans="1:9" hidden="1" x14ac:dyDescent="0.25">
      <c r="A1019">
        <v>2012</v>
      </c>
      <c r="B1019" s="140" t="s">
        <v>79</v>
      </c>
      <c r="C1019" s="140" t="s">
        <v>14</v>
      </c>
      <c r="D1019" s="140" t="s">
        <v>11</v>
      </c>
      <c r="E1019" s="140" t="s">
        <v>12</v>
      </c>
      <c r="F1019">
        <v>1.39</v>
      </c>
      <c r="G1019" s="140" t="s">
        <v>361</v>
      </c>
      <c r="H1019">
        <v>0</v>
      </c>
      <c r="I1019" s="140" t="s">
        <v>14</v>
      </c>
    </row>
    <row r="1020" spans="1:9" hidden="1" x14ac:dyDescent="0.25">
      <c r="A1020">
        <v>2013</v>
      </c>
      <c r="B1020" s="140" t="s">
        <v>79</v>
      </c>
      <c r="C1020" s="140" t="s">
        <v>14</v>
      </c>
      <c r="D1020" s="140" t="s">
        <v>11</v>
      </c>
      <c r="E1020" s="140" t="s">
        <v>12</v>
      </c>
      <c r="F1020">
        <v>1.47</v>
      </c>
      <c r="G1020" s="140" t="s">
        <v>361</v>
      </c>
      <c r="H1020">
        <v>0</v>
      </c>
      <c r="I1020" s="140" t="s">
        <v>14</v>
      </c>
    </row>
    <row r="1021" spans="1:9" hidden="1" x14ac:dyDescent="0.25">
      <c r="A1021">
        <v>2014</v>
      </c>
      <c r="B1021" s="140" t="s">
        <v>79</v>
      </c>
      <c r="C1021" s="140" t="s">
        <v>14</v>
      </c>
      <c r="D1021" s="140" t="s">
        <v>11</v>
      </c>
      <c r="E1021" s="140" t="s">
        <v>12</v>
      </c>
      <c r="F1021">
        <v>1.49</v>
      </c>
      <c r="G1021" s="140" t="s">
        <v>361</v>
      </c>
      <c r="H1021">
        <v>0</v>
      </c>
      <c r="I1021" s="140" t="s">
        <v>14</v>
      </c>
    </row>
    <row r="1022" spans="1:9" hidden="1" x14ac:dyDescent="0.25">
      <c r="A1022">
        <v>2015</v>
      </c>
      <c r="B1022" s="140" t="s">
        <v>79</v>
      </c>
      <c r="C1022" s="140" t="s">
        <v>14</v>
      </c>
      <c r="D1022" s="140" t="s">
        <v>11</v>
      </c>
      <c r="E1022" s="140" t="s">
        <v>12</v>
      </c>
      <c r="F1022">
        <v>1.49</v>
      </c>
      <c r="G1022" s="140" t="s">
        <v>361</v>
      </c>
      <c r="H1022">
        <v>0</v>
      </c>
      <c r="I1022" s="140" t="s">
        <v>14</v>
      </c>
    </row>
    <row r="1023" spans="1:9" hidden="1" x14ac:dyDescent="0.25">
      <c r="A1023">
        <v>2016</v>
      </c>
      <c r="B1023" s="140" t="s">
        <v>79</v>
      </c>
      <c r="C1023" s="140" t="s">
        <v>14</v>
      </c>
      <c r="D1023" s="140" t="s">
        <v>11</v>
      </c>
      <c r="E1023" s="140" t="s">
        <v>12</v>
      </c>
      <c r="F1023">
        <v>1.47</v>
      </c>
      <c r="G1023" s="140" t="s">
        <v>361</v>
      </c>
      <c r="H1023">
        <v>0</v>
      </c>
      <c r="I1023" s="140" t="s">
        <v>14</v>
      </c>
    </row>
    <row r="1024" spans="1:9" hidden="1" x14ac:dyDescent="0.25">
      <c r="A1024">
        <v>2017</v>
      </c>
      <c r="B1024" s="140" t="s">
        <v>79</v>
      </c>
      <c r="C1024" s="140" t="s">
        <v>14</v>
      </c>
      <c r="D1024" s="140" t="s">
        <v>11</v>
      </c>
      <c r="E1024" s="140" t="s">
        <v>12</v>
      </c>
      <c r="F1024">
        <v>1.45</v>
      </c>
      <c r="G1024" s="140" t="s">
        <v>361</v>
      </c>
      <c r="H1024">
        <v>0</v>
      </c>
      <c r="I1024" s="140" t="s">
        <v>14</v>
      </c>
    </row>
    <row r="1025" spans="1:9" hidden="1" x14ac:dyDescent="0.25">
      <c r="A1025">
        <v>2018</v>
      </c>
      <c r="B1025" s="140" t="s">
        <v>79</v>
      </c>
      <c r="C1025" s="140" t="s">
        <v>14</v>
      </c>
      <c r="D1025" s="140" t="s">
        <v>11</v>
      </c>
      <c r="E1025" s="140" t="s">
        <v>12</v>
      </c>
      <c r="F1025">
        <v>1.53</v>
      </c>
      <c r="G1025" s="140" t="s">
        <v>361</v>
      </c>
      <c r="H1025">
        <v>0</v>
      </c>
      <c r="I1025" s="140" t="s">
        <v>14</v>
      </c>
    </row>
    <row r="1026" spans="1:9" hidden="1" x14ac:dyDescent="0.25">
      <c r="A1026">
        <v>2019</v>
      </c>
      <c r="B1026" s="140" t="s">
        <v>79</v>
      </c>
      <c r="C1026" s="140" t="s">
        <v>14</v>
      </c>
      <c r="D1026" s="140" t="s">
        <v>11</v>
      </c>
      <c r="E1026" s="140" t="s">
        <v>12</v>
      </c>
      <c r="F1026">
        <v>1.61</v>
      </c>
      <c r="G1026" s="140" t="s">
        <v>361</v>
      </c>
      <c r="H1026">
        <v>0</v>
      </c>
      <c r="I1026" s="140" t="s">
        <v>14</v>
      </c>
    </row>
    <row r="1027" spans="1:9" hidden="1" x14ac:dyDescent="0.25">
      <c r="A1027">
        <v>2020</v>
      </c>
      <c r="B1027" s="140" t="s">
        <v>79</v>
      </c>
      <c r="C1027" s="140" t="s">
        <v>14</v>
      </c>
      <c r="D1027" s="140" t="s">
        <v>11</v>
      </c>
      <c r="E1027" s="140" t="s">
        <v>12</v>
      </c>
      <c r="F1027">
        <v>1.65</v>
      </c>
      <c r="G1027" s="140" t="s">
        <v>361</v>
      </c>
      <c r="H1027">
        <v>0</v>
      </c>
      <c r="I1027" s="140" t="s">
        <v>14</v>
      </c>
    </row>
    <row r="1028" spans="1:9" hidden="1" x14ac:dyDescent="0.25">
      <c r="A1028">
        <v>2021</v>
      </c>
      <c r="B1028" s="140" t="s">
        <v>79</v>
      </c>
      <c r="C1028" s="140" t="s">
        <v>14</v>
      </c>
      <c r="D1028" s="140" t="s">
        <v>11</v>
      </c>
      <c r="E1028" s="140" t="s">
        <v>12</v>
      </c>
      <c r="F1028">
        <v>1.65</v>
      </c>
      <c r="G1028" s="140" t="s">
        <v>361</v>
      </c>
      <c r="H1028">
        <v>0</v>
      </c>
      <c r="I1028" s="140" t="s">
        <v>14</v>
      </c>
    </row>
    <row r="1029" spans="1:9" hidden="1" x14ac:dyDescent="0.25">
      <c r="A1029">
        <v>2022</v>
      </c>
      <c r="B1029" s="140" t="s">
        <v>79</v>
      </c>
      <c r="C1029" s="140" t="s">
        <v>14</v>
      </c>
      <c r="D1029" s="140" t="s">
        <v>11</v>
      </c>
      <c r="E1029" s="140" t="s">
        <v>12</v>
      </c>
      <c r="F1029">
        <v>1.5</v>
      </c>
      <c r="G1029" s="140" t="s">
        <v>361</v>
      </c>
      <c r="H1029">
        <v>0</v>
      </c>
      <c r="I1029" s="140" t="s">
        <v>14</v>
      </c>
    </row>
    <row r="1030" spans="1:9" hidden="1" x14ac:dyDescent="0.25">
      <c r="A1030">
        <v>2023</v>
      </c>
      <c r="B1030" s="140" t="s">
        <v>79</v>
      </c>
      <c r="C1030" s="140" t="s">
        <v>14</v>
      </c>
      <c r="D1030" s="140" t="s">
        <v>11</v>
      </c>
      <c r="E1030" s="140" t="s">
        <v>12</v>
      </c>
      <c r="F1030">
        <v>1.57</v>
      </c>
      <c r="G1030" s="140" t="s">
        <v>361</v>
      </c>
      <c r="H1030">
        <v>0</v>
      </c>
      <c r="I1030" s="140" t="s">
        <v>14</v>
      </c>
    </row>
    <row r="1031" spans="1:9" hidden="1" x14ac:dyDescent="0.25">
      <c r="A1031">
        <v>2024</v>
      </c>
      <c r="B1031" s="140" t="s">
        <v>79</v>
      </c>
      <c r="C1031" s="140" t="s">
        <v>14</v>
      </c>
      <c r="D1031" s="140" t="s">
        <v>11</v>
      </c>
      <c r="E1031" s="140" t="s">
        <v>12</v>
      </c>
      <c r="F1031">
        <v>1.48</v>
      </c>
      <c r="G1031" s="140" t="s">
        <v>361</v>
      </c>
      <c r="H1031">
        <v>0</v>
      </c>
      <c r="I1031" s="140" t="s">
        <v>14</v>
      </c>
    </row>
    <row r="1032" spans="1:9" hidden="1" x14ac:dyDescent="0.25">
      <c r="A1032">
        <v>2025</v>
      </c>
      <c r="B1032" s="140" t="s">
        <v>79</v>
      </c>
      <c r="C1032" s="140" t="s">
        <v>14</v>
      </c>
      <c r="D1032" s="140" t="s">
        <v>11</v>
      </c>
      <c r="E1032" s="140" t="s">
        <v>12</v>
      </c>
      <c r="F1032">
        <v>1.45</v>
      </c>
      <c r="G1032" s="140" t="s">
        <v>361</v>
      </c>
      <c r="H1032">
        <v>0</v>
      </c>
      <c r="I1032" s="140" t="s">
        <v>14</v>
      </c>
    </row>
    <row r="1033" spans="1:9" hidden="1" x14ac:dyDescent="0.25">
      <c r="A1033">
        <v>2026</v>
      </c>
      <c r="B1033" s="140" t="s">
        <v>79</v>
      </c>
      <c r="C1033" s="140" t="s">
        <v>14</v>
      </c>
      <c r="D1033" s="140" t="s">
        <v>11</v>
      </c>
      <c r="E1033" s="140" t="s">
        <v>12</v>
      </c>
      <c r="F1033">
        <v>1.49</v>
      </c>
      <c r="G1033" s="140" t="s">
        <v>361</v>
      </c>
      <c r="H1033">
        <v>0</v>
      </c>
      <c r="I1033" s="140" t="s">
        <v>14</v>
      </c>
    </row>
    <row r="1034" spans="1:9" hidden="1" x14ac:dyDescent="0.25">
      <c r="A1034">
        <v>2027</v>
      </c>
      <c r="B1034" s="140" t="s">
        <v>79</v>
      </c>
      <c r="C1034" s="140" t="s">
        <v>14</v>
      </c>
      <c r="D1034" s="140" t="s">
        <v>11</v>
      </c>
      <c r="E1034" s="140" t="s">
        <v>12</v>
      </c>
      <c r="F1034">
        <v>1.53</v>
      </c>
      <c r="G1034" s="140" t="s">
        <v>361</v>
      </c>
      <c r="H1034">
        <v>0</v>
      </c>
      <c r="I1034" s="140" t="s">
        <v>14</v>
      </c>
    </row>
    <row r="1035" spans="1:9" hidden="1" x14ac:dyDescent="0.25">
      <c r="A1035">
        <v>2028</v>
      </c>
      <c r="B1035" s="140" t="s">
        <v>79</v>
      </c>
      <c r="C1035" s="140" t="s">
        <v>14</v>
      </c>
      <c r="D1035" s="140" t="s">
        <v>11</v>
      </c>
      <c r="E1035" s="140" t="s">
        <v>12</v>
      </c>
      <c r="F1035">
        <v>1.53</v>
      </c>
      <c r="G1035" s="140" t="s">
        <v>361</v>
      </c>
      <c r="H1035">
        <v>0</v>
      </c>
      <c r="I1035" s="140" t="s">
        <v>14</v>
      </c>
    </row>
    <row r="1036" spans="1:9" hidden="1" x14ac:dyDescent="0.25">
      <c r="A1036">
        <v>2029</v>
      </c>
      <c r="B1036" s="140" t="s">
        <v>79</v>
      </c>
      <c r="C1036" s="140" t="s">
        <v>14</v>
      </c>
      <c r="D1036" s="140" t="s">
        <v>11</v>
      </c>
      <c r="E1036" s="140" t="s">
        <v>12</v>
      </c>
      <c r="F1036">
        <v>1.5</v>
      </c>
      <c r="G1036" s="140" t="s">
        <v>361</v>
      </c>
      <c r="H1036">
        <v>0</v>
      </c>
      <c r="I1036" s="140" t="s">
        <v>14</v>
      </c>
    </row>
    <row r="1037" spans="1:9" hidden="1" x14ac:dyDescent="0.25">
      <c r="A1037">
        <v>2030</v>
      </c>
      <c r="B1037" s="140" t="s">
        <v>79</v>
      </c>
      <c r="C1037" s="140" t="s">
        <v>14</v>
      </c>
      <c r="D1037" s="140" t="s">
        <v>11</v>
      </c>
      <c r="E1037" s="140" t="s">
        <v>12</v>
      </c>
      <c r="F1037">
        <v>1.5</v>
      </c>
      <c r="G1037" s="140" t="s">
        <v>361</v>
      </c>
      <c r="H1037">
        <v>0</v>
      </c>
      <c r="I1037" s="140" t="s">
        <v>14</v>
      </c>
    </row>
    <row r="1038" spans="1:9" hidden="1" x14ac:dyDescent="0.25">
      <c r="A1038">
        <v>2009</v>
      </c>
      <c r="B1038" s="140" t="s">
        <v>184</v>
      </c>
      <c r="C1038" s="140" t="s">
        <v>50</v>
      </c>
      <c r="D1038" s="140" t="s">
        <v>11</v>
      </c>
      <c r="E1038" s="140" t="s">
        <v>12</v>
      </c>
      <c r="F1038">
        <v>2286</v>
      </c>
      <c r="G1038" s="140" t="s">
        <v>362</v>
      </c>
      <c r="H1038">
        <v>0</v>
      </c>
      <c r="I1038" s="140" t="s">
        <v>17</v>
      </c>
    </row>
    <row r="1039" spans="1:9" hidden="1" x14ac:dyDescent="0.25">
      <c r="A1039">
        <v>2010</v>
      </c>
      <c r="B1039" s="140" t="s">
        <v>184</v>
      </c>
      <c r="C1039" s="140" t="s">
        <v>50</v>
      </c>
      <c r="D1039" s="140" t="s">
        <v>11</v>
      </c>
      <c r="E1039" s="140" t="s">
        <v>12</v>
      </c>
      <c r="F1039">
        <v>2292</v>
      </c>
      <c r="G1039" s="140" t="s">
        <v>362</v>
      </c>
      <c r="H1039">
        <v>0</v>
      </c>
      <c r="I1039" s="140" t="s">
        <v>17</v>
      </c>
    </row>
    <row r="1040" spans="1:9" hidden="1" x14ac:dyDescent="0.25">
      <c r="A1040">
        <v>2011</v>
      </c>
      <c r="B1040" s="140" t="s">
        <v>184</v>
      </c>
      <c r="C1040" s="140" t="s">
        <v>50</v>
      </c>
      <c r="D1040" s="140" t="s">
        <v>11</v>
      </c>
      <c r="E1040" s="140" t="s">
        <v>12</v>
      </c>
      <c r="F1040">
        <v>2323</v>
      </c>
      <c r="G1040" s="140" t="s">
        <v>362</v>
      </c>
      <c r="H1040">
        <v>0</v>
      </c>
      <c r="I1040" s="140" t="s">
        <v>17</v>
      </c>
    </row>
    <row r="1041" spans="1:9" hidden="1" x14ac:dyDescent="0.25">
      <c r="A1041">
        <v>2012</v>
      </c>
      <c r="B1041" s="140" t="s">
        <v>184</v>
      </c>
      <c r="C1041" s="140" t="s">
        <v>50</v>
      </c>
      <c r="D1041" s="140" t="s">
        <v>11</v>
      </c>
      <c r="E1041" s="140" t="s">
        <v>12</v>
      </c>
      <c r="F1041">
        <v>2407</v>
      </c>
      <c r="G1041" s="140" t="s">
        <v>362</v>
      </c>
      <c r="H1041">
        <v>0</v>
      </c>
      <c r="I1041" s="140" t="s">
        <v>17</v>
      </c>
    </row>
    <row r="1042" spans="1:9" hidden="1" x14ac:dyDescent="0.25">
      <c r="A1042">
        <v>2013</v>
      </c>
      <c r="B1042" s="140" t="s">
        <v>184</v>
      </c>
      <c r="C1042" s="140" t="s">
        <v>50</v>
      </c>
      <c r="D1042" s="140" t="s">
        <v>11</v>
      </c>
      <c r="E1042" s="140" t="s">
        <v>12</v>
      </c>
      <c r="F1042">
        <v>2475</v>
      </c>
      <c r="G1042" s="140" t="s">
        <v>362</v>
      </c>
      <c r="H1042">
        <v>0</v>
      </c>
      <c r="I1042" s="140" t="s">
        <v>17</v>
      </c>
    </row>
    <row r="1043" spans="1:9" hidden="1" x14ac:dyDescent="0.25">
      <c r="A1043">
        <v>2014</v>
      </c>
      <c r="B1043" s="140" t="s">
        <v>184</v>
      </c>
      <c r="C1043" s="140" t="s">
        <v>50</v>
      </c>
      <c r="D1043" s="140" t="s">
        <v>11</v>
      </c>
      <c r="E1043" s="140" t="s">
        <v>12</v>
      </c>
      <c r="F1043">
        <v>2509</v>
      </c>
      <c r="G1043" s="140" t="s">
        <v>362</v>
      </c>
      <c r="H1043">
        <v>0</v>
      </c>
      <c r="I1043" s="140" t="s">
        <v>17</v>
      </c>
    </row>
    <row r="1044" spans="1:9" hidden="1" x14ac:dyDescent="0.25">
      <c r="A1044">
        <v>2015</v>
      </c>
      <c r="B1044" s="140" t="s">
        <v>184</v>
      </c>
      <c r="C1044" s="140" t="s">
        <v>50</v>
      </c>
      <c r="D1044" s="140" t="s">
        <v>11</v>
      </c>
      <c r="E1044" s="140" t="s">
        <v>12</v>
      </c>
      <c r="F1044">
        <v>2519</v>
      </c>
      <c r="G1044" s="140" t="s">
        <v>362</v>
      </c>
      <c r="H1044">
        <v>0</v>
      </c>
      <c r="I1044" s="140" t="s">
        <v>17</v>
      </c>
    </row>
    <row r="1045" spans="1:9" hidden="1" x14ac:dyDescent="0.25">
      <c r="A1045">
        <v>2016</v>
      </c>
      <c r="B1045" s="140" t="s">
        <v>184</v>
      </c>
      <c r="C1045" s="140" t="s">
        <v>50</v>
      </c>
      <c r="D1045" s="140" t="s">
        <v>11</v>
      </c>
      <c r="E1045" s="140" t="s">
        <v>12</v>
      </c>
      <c r="F1045">
        <v>2519</v>
      </c>
      <c r="G1045" s="140" t="s">
        <v>362</v>
      </c>
      <c r="H1045">
        <v>0</v>
      </c>
      <c r="I1045" s="140" t="s">
        <v>17</v>
      </c>
    </row>
    <row r="1046" spans="1:9" hidden="1" x14ac:dyDescent="0.25">
      <c r="A1046">
        <v>2017</v>
      </c>
      <c r="B1046" s="140" t="s">
        <v>184</v>
      </c>
      <c r="C1046" s="140" t="s">
        <v>50</v>
      </c>
      <c r="D1046" s="140" t="s">
        <v>11</v>
      </c>
      <c r="E1046" s="140" t="s">
        <v>12</v>
      </c>
      <c r="F1046">
        <v>2534</v>
      </c>
      <c r="G1046" s="140" t="s">
        <v>362</v>
      </c>
      <c r="H1046">
        <v>0</v>
      </c>
      <c r="I1046" s="140" t="s">
        <v>17</v>
      </c>
    </row>
    <row r="1047" spans="1:9" hidden="1" x14ac:dyDescent="0.25">
      <c r="A1047">
        <v>2018</v>
      </c>
      <c r="B1047" s="140" t="s">
        <v>184</v>
      </c>
      <c r="C1047" s="140" t="s">
        <v>50</v>
      </c>
      <c r="D1047" s="140" t="s">
        <v>11</v>
      </c>
      <c r="E1047" s="140" t="s">
        <v>12</v>
      </c>
      <c r="F1047">
        <v>2548</v>
      </c>
      <c r="G1047" s="140" t="s">
        <v>362</v>
      </c>
      <c r="H1047">
        <v>0</v>
      </c>
      <c r="I1047" s="140" t="s">
        <v>17</v>
      </c>
    </row>
    <row r="1048" spans="1:9" hidden="1" x14ac:dyDescent="0.25">
      <c r="A1048">
        <v>2019</v>
      </c>
      <c r="B1048" s="140" t="s">
        <v>184</v>
      </c>
      <c r="C1048" s="140" t="s">
        <v>50</v>
      </c>
      <c r="D1048" s="140" t="s">
        <v>11</v>
      </c>
      <c r="E1048" s="140" t="s">
        <v>12</v>
      </c>
      <c r="F1048">
        <v>2585</v>
      </c>
      <c r="G1048" s="140" t="s">
        <v>362</v>
      </c>
      <c r="H1048">
        <v>0</v>
      </c>
      <c r="I1048" s="140" t="s">
        <v>17</v>
      </c>
    </row>
    <row r="1049" spans="1:9" hidden="1" x14ac:dyDescent="0.25">
      <c r="A1049">
        <v>2020</v>
      </c>
      <c r="B1049" s="140" t="s">
        <v>184</v>
      </c>
      <c r="C1049" s="140" t="s">
        <v>50</v>
      </c>
      <c r="D1049" s="140" t="s">
        <v>11</v>
      </c>
      <c r="E1049" s="140" t="s">
        <v>12</v>
      </c>
      <c r="F1049">
        <v>2617</v>
      </c>
      <c r="G1049" s="140" t="s">
        <v>362</v>
      </c>
      <c r="H1049">
        <v>0</v>
      </c>
      <c r="I1049" s="140" t="s">
        <v>17</v>
      </c>
    </row>
    <row r="1050" spans="1:9" hidden="1" x14ac:dyDescent="0.25">
      <c r="A1050">
        <v>2021</v>
      </c>
      <c r="B1050" s="140" t="s">
        <v>184</v>
      </c>
      <c r="C1050" s="140" t="s">
        <v>50</v>
      </c>
      <c r="D1050" s="140" t="s">
        <v>11</v>
      </c>
      <c r="E1050" s="140" t="s">
        <v>12</v>
      </c>
      <c r="F1050">
        <v>2631</v>
      </c>
      <c r="G1050" s="140" t="s">
        <v>362</v>
      </c>
      <c r="H1050">
        <v>0</v>
      </c>
      <c r="I1050" s="140" t="s">
        <v>17</v>
      </c>
    </row>
    <row r="1051" spans="1:9" hidden="1" x14ac:dyDescent="0.25">
      <c r="A1051">
        <v>2022</v>
      </c>
      <c r="B1051" s="140" t="s">
        <v>184</v>
      </c>
      <c r="C1051" s="140" t="s">
        <v>50</v>
      </c>
      <c r="D1051" s="140" t="s">
        <v>11</v>
      </c>
      <c r="E1051" s="140" t="s">
        <v>12</v>
      </c>
      <c r="F1051">
        <v>2691</v>
      </c>
      <c r="G1051" s="140" t="s">
        <v>362</v>
      </c>
      <c r="H1051">
        <v>0</v>
      </c>
      <c r="I1051" s="140" t="s">
        <v>17</v>
      </c>
    </row>
    <row r="1052" spans="1:9" hidden="1" x14ac:dyDescent="0.25">
      <c r="A1052">
        <v>2023</v>
      </c>
      <c r="B1052" s="140" t="s">
        <v>184</v>
      </c>
      <c r="C1052" s="140" t="s">
        <v>50</v>
      </c>
      <c r="D1052" s="140" t="s">
        <v>11</v>
      </c>
      <c r="E1052" s="140" t="s">
        <v>12</v>
      </c>
      <c r="F1052">
        <v>2874</v>
      </c>
      <c r="G1052" s="140" t="s">
        <v>362</v>
      </c>
      <c r="H1052">
        <v>0</v>
      </c>
      <c r="I1052" s="140" t="s">
        <v>17</v>
      </c>
    </row>
    <row r="1053" spans="1:9" hidden="1" x14ac:dyDescent="0.25">
      <c r="A1053">
        <v>2024</v>
      </c>
      <c r="B1053" s="140" t="s">
        <v>184</v>
      </c>
      <c r="C1053" s="140" t="s">
        <v>50</v>
      </c>
      <c r="D1053" s="140" t="s">
        <v>11</v>
      </c>
      <c r="E1053" s="140" t="s">
        <v>12</v>
      </c>
      <c r="F1053">
        <v>3037</v>
      </c>
      <c r="G1053" s="140" t="s">
        <v>362</v>
      </c>
      <c r="H1053">
        <v>0</v>
      </c>
      <c r="I1053" s="140" t="s">
        <v>17</v>
      </c>
    </row>
    <row r="1054" spans="1:9" hidden="1" x14ac:dyDescent="0.25">
      <c r="A1054">
        <v>2025</v>
      </c>
      <c r="B1054" s="140" t="s">
        <v>184</v>
      </c>
      <c r="C1054" s="140" t="s">
        <v>50</v>
      </c>
      <c r="D1054" s="140" t="s">
        <v>11</v>
      </c>
      <c r="E1054" s="140" t="s">
        <v>12</v>
      </c>
      <c r="F1054">
        <v>3077</v>
      </c>
      <c r="G1054" s="140" t="s">
        <v>362</v>
      </c>
      <c r="H1054">
        <v>0</v>
      </c>
      <c r="I1054" s="140" t="s">
        <v>17</v>
      </c>
    </row>
    <row r="1055" spans="1:9" hidden="1" x14ac:dyDescent="0.25">
      <c r="A1055">
        <v>2026</v>
      </c>
      <c r="B1055" s="140" t="s">
        <v>184</v>
      </c>
      <c r="C1055" s="140" t="s">
        <v>50</v>
      </c>
      <c r="D1055" s="140" t="s">
        <v>11</v>
      </c>
      <c r="E1055" s="140" t="s">
        <v>12</v>
      </c>
      <c r="F1055">
        <v>3104</v>
      </c>
      <c r="G1055" s="140" t="s">
        <v>362</v>
      </c>
      <c r="H1055">
        <v>0</v>
      </c>
      <c r="I1055" s="140" t="s">
        <v>17</v>
      </c>
    </row>
    <row r="1056" spans="1:9" hidden="1" x14ac:dyDescent="0.25">
      <c r="A1056">
        <v>2027</v>
      </c>
      <c r="B1056" s="140" t="s">
        <v>184</v>
      </c>
      <c r="C1056" s="140" t="s">
        <v>50</v>
      </c>
      <c r="D1056" s="140" t="s">
        <v>11</v>
      </c>
      <c r="E1056" s="140" t="s">
        <v>12</v>
      </c>
      <c r="F1056">
        <v>3185.9456</v>
      </c>
      <c r="G1056" s="140" t="s">
        <v>362</v>
      </c>
      <c r="H1056">
        <v>0</v>
      </c>
      <c r="I1056" s="140" t="s">
        <v>17</v>
      </c>
    </row>
    <row r="1057" spans="1:9" hidden="1" x14ac:dyDescent="0.25">
      <c r="A1057">
        <v>2028</v>
      </c>
      <c r="B1057" s="140" t="s">
        <v>184</v>
      </c>
      <c r="C1057" s="140" t="s">
        <v>50</v>
      </c>
      <c r="D1057" s="140" t="s">
        <v>11</v>
      </c>
      <c r="E1057" s="140" t="s">
        <v>12</v>
      </c>
      <c r="F1057">
        <v>3243.2926210000001</v>
      </c>
      <c r="G1057" s="140" t="s">
        <v>362</v>
      </c>
      <c r="H1057">
        <v>0</v>
      </c>
      <c r="I1057" s="140" t="s">
        <v>17</v>
      </c>
    </row>
    <row r="1058" spans="1:9" hidden="1" x14ac:dyDescent="0.25">
      <c r="A1058">
        <v>2029</v>
      </c>
      <c r="B1058" s="140" t="s">
        <v>184</v>
      </c>
      <c r="C1058" s="140" t="s">
        <v>50</v>
      </c>
      <c r="D1058" s="140" t="s">
        <v>11</v>
      </c>
      <c r="E1058" s="140" t="s">
        <v>12</v>
      </c>
      <c r="F1058">
        <v>3320.4829850000001</v>
      </c>
      <c r="G1058" s="140" t="s">
        <v>362</v>
      </c>
      <c r="H1058">
        <v>0</v>
      </c>
      <c r="I1058" s="140" t="s">
        <v>17</v>
      </c>
    </row>
    <row r="1059" spans="1:9" hidden="1" x14ac:dyDescent="0.25">
      <c r="A1059">
        <v>2030</v>
      </c>
      <c r="B1059" s="140" t="s">
        <v>184</v>
      </c>
      <c r="C1059" s="140" t="s">
        <v>50</v>
      </c>
      <c r="D1059" s="140" t="s">
        <v>11</v>
      </c>
      <c r="E1059" s="140" t="s">
        <v>12</v>
      </c>
      <c r="F1059">
        <v>3394.8618040000001</v>
      </c>
      <c r="G1059" s="140" t="s">
        <v>362</v>
      </c>
      <c r="H1059">
        <v>0</v>
      </c>
      <c r="I1059" s="140" t="s">
        <v>17</v>
      </c>
    </row>
    <row r="1060" spans="1:9" hidden="1" x14ac:dyDescent="0.25">
      <c r="A1060">
        <v>2009</v>
      </c>
      <c r="B1060" s="140" t="s">
        <v>93</v>
      </c>
      <c r="C1060" s="140" t="s">
        <v>50</v>
      </c>
      <c r="D1060" s="140" t="s">
        <v>11</v>
      </c>
      <c r="E1060" s="140" t="s">
        <v>12</v>
      </c>
      <c r="F1060">
        <v>1502</v>
      </c>
      <c r="G1060" s="140" t="s">
        <v>363</v>
      </c>
      <c r="H1060">
        <v>0</v>
      </c>
      <c r="I1060" s="140" t="s">
        <v>17</v>
      </c>
    </row>
    <row r="1061" spans="1:9" hidden="1" x14ac:dyDescent="0.25">
      <c r="A1061">
        <v>2010</v>
      </c>
      <c r="B1061" s="140" t="s">
        <v>93</v>
      </c>
      <c r="C1061" s="140" t="s">
        <v>50</v>
      </c>
      <c r="D1061" s="140" t="s">
        <v>11</v>
      </c>
      <c r="E1061" s="140" t="s">
        <v>12</v>
      </c>
      <c r="F1061">
        <v>1502</v>
      </c>
      <c r="G1061" s="140" t="s">
        <v>363</v>
      </c>
      <c r="H1061">
        <v>0</v>
      </c>
      <c r="I1061" s="140" t="s">
        <v>17</v>
      </c>
    </row>
    <row r="1062" spans="1:9" hidden="1" x14ac:dyDescent="0.25">
      <c r="A1062">
        <v>2011</v>
      </c>
      <c r="B1062" s="140" t="s">
        <v>93</v>
      </c>
      <c r="C1062" s="140" t="s">
        <v>50</v>
      </c>
      <c r="D1062" s="140" t="s">
        <v>11</v>
      </c>
      <c r="E1062" s="140" t="s">
        <v>12</v>
      </c>
      <c r="F1062">
        <v>1508</v>
      </c>
      <c r="G1062" s="140" t="s">
        <v>363</v>
      </c>
      <c r="H1062">
        <v>0</v>
      </c>
      <c r="I1062" s="140" t="s">
        <v>17</v>
      </c>
    </row>
    <row r="1063" spans="1:9" hidden="1" x14ac:dyDescent="0.25">
      <c r="A1063">
        <v>2012</v>
      </c>
      <c r="B1063" s="140" t="s">
        <v>93</v>
      </c>
      <c r="C1063" s="140" t="s">
        <v>50</v>
      </c>
      <c r="D1063" s="140" t="s">
        <v>11</v>
      </c>
      <c r="E1063" s="140" t="s">
        <v>12</v>
      </c>
      <c r="F1063">
        <v>1565</v>
      </c>
      <c r="G1063" s="140" t="s">
        <v>363</v>
      </c>
      <c r="H1063">
        <v>0</v>
      </c>
      <c r="I1063" s="140" t="s">
        <v>17</v>
      </c>
    </row>
    <row r="1064" spans="1:9" hidden="1" x14ac:dyDescent="0.25">
      <c r="A1064">
        <v>2013</v>
      </c>
      <c r="B1064" s="140" t="s">
        <v>93</v>
      </c>
      <c r="C1064" s="140" t="s">
        <v>50</v>
      </c>
      <c r="D1064" s="140" t="s">
        <v>11</v>
      </c>
      <c r="E1064" s="140" t="s">
        <v>12</v>
      </c>
      <c r="F1064">
        <v>1609</v>
      </c>
      <c r="G1064" s="140" t="s">
        <v>363</v>
      </c>
      <c r="H1064">
        <v>0</v>
      </c>
      <c r="I1064" s="140" t="s">
        <v>17</v>
      </c>
    </row>
    <row r="1065" spans="1:9" hidden="1" x14ac:dyDescent="0.25">
      <c r="A1065">
        <v>2014</v>
      </c>
      <c r="B1065" s="140" t="s">
        <v>93</v>
      </c>
      <c r="C1065" s="140" t="s">
        <v>50</v>
      </c>
      <c r="D1065" s="140" t="s">
        <v>11</v>
      </c>
      <c r="E1065" s="140" t="s">
        <v>12</v>
      </c>
      <c r="F1065">
        <v>1630</v>
      </c>
      <c r="G1065" s="140" t="s">
        <v>363</v>
      </c>
      <c r="H1065">
        <v>0</v>
      </c>
      <c r="I1065" s="140" t="s">
        <v>17</v>
      </c>
    </row>
    <row r="1066" spans="1:9" hidden="1" x14ac:dyDescent="0.25">
      <c r="A1066">
        <v>2015</v>
      </c>
      <c r="B1066" s="140" t="s">
        <v>93</v>
      </c>
      <c r="C1066" s="140" t="s">
        <v>50</v>
      </c>
      <c r="D1066" s="140" t="s">
        <v>11</v>
      </c>
      <c r="E1066" s="140" t="s">
        <v>12</v>
      </c>
      <c r="F1066">
        <v>1637</v>
      </c>
      <c r="G1066" s="140" t="s">
        <v>363</v>
      </c>
      <c r="H1066">
        <v>0</v>
      </c>
      <c r="I1066" s="140" t="s">
        <v>17</v>
      </c>
    </row>
    <row r="1067" spans="1:9" hidden="1" x14ac:dyDescent="0.25">
      <c r="A1067">
        <v>2016</v>
      </c>
      <c r="B1067" s="140" t="s">
        <v>93</v>
      </c>
      <c r="C1067" s="140" t="s">
        <v>50</v>
      </c>
      <c r="D1067" s="140" t="s">
        <v>11</v>
      </c>
      <c r="E1067" s="140" t="s">
        <v>12</v>
      </c>
      <c r="F1067">
        <v>1631</v>
      </c>
      <c r="G1067" s="140" t="s">
        <v>363</v>
      </c>
      <c r="H1067">
        <v>0</v>
      </c>
      <c r="I1067" s="140" t="s">
        <v>17</v>
      </c>
    </row>
    <row r="1068" spans="1:9" hidden="1" x14ac:dyDescent="0.25">
      <c r="A1068">
        <v>2017</v>
      </c>
      <c r="B1068" s="140" t="s">
        <v>93</v>
      </c>
      <c r="C1068" s="140" t="s">
        <v>50</v>
      </c>
      <c r="D1068" s="140" t="s">
        <v>11</v>
      </c>
      <c r="E1068" s="140" t="s">
        <v>12</v>
      </c>
      <c r="F1068">
        <v>1617</v>
      </c>
      <c r="G1068" s="140" t="s">
        <v>363</v>
      </c>
      <c r="H1068">
        <v>0</v>
      </c>
      <c r="I1068" s="140" t="s">
        <v>17</v>
      </c>
    </row>
    <row r="1069" spans="1:9" hidden="1" x14ac:dyDescent="0.25">
      <c r="A1069">
        <v>2018</v>
      </c>
      <c r="B1069" s="140" t="s">
        <v>93</v>
      </c>
      <c r="C1069" s="140" t="s">
        <v>50</v>
      </c>
      <c r="D1069" s="140" t="s">
        <v>11</v>
      </c>
      <c r="E1069" s="140" t="s">
        <v>12</v>
      </c>
      <c r="F1069">
        <v>1617</v>
      </c>
      <c r="G1069" s="140" t="s">
        <v>363</v>
      </c>
      <c r="H1069">
        <v>0</v>
      </c>
      <c r="I1069" s="140" t="s">
        <v>17</v>
      </c>
    </row>
    <row r="1070" spans="1:9" hidden="1" x14ac:dyDescent="0.25">
      <c r="A1070">
        <v>2019</v>
      </c>
      <c r="B1070" s="140" t="s">
        <v>93</v>
      </c>
      <c r="C1070" s="140" t="s">
        <v>50</v>
      </c>
      <c r="D1070" s="140" t="s">
        <v>11</v>
      </c>
      <c r="E1070" s="140" t="s">
        <v>12</v>
      </c>
      <c r="F1070">
        <v>1617</v>
      </c>
      <c r="G1070" s="140" t="s">
        <v>363</v>
      </c>
      <c r="H1070">
        <v>0</v>
      </c>
      <c r="I1070" s="140" t="s">
        <v>17</v>
      </c>
    </row>
    <row r="1071" spans="1:9" hidden="1" x14ac:dyDescent="0.25">
      <c r="A1071">
        <v>2020</v>
      </c>
      <c r="B1071" s="140" t="s">
        <v>93</v>
      </c>
      <c r="C1071" s="140" t="s">
        <v>50</v>
      </c>
      <c r="D1071" s="140" t="s">
        <v>11</v>
      </c>
      <c r="E1071" s="140" t="s">
        <v>12</v>
      </c>
      <c r="F1071">
        <v>1633.17</v>
      </c>
      <c r="G1071" s="140" t="s">
        <v>363</v>
      </c>
      <c r="H1071">
        <v>0</v>
      </c>
      <c r="I1071" s="140" t="s">
        <v>17</v>
      </c>
    </row>
    <row r="1072" spans="1:9" hidden="1" x14ac:dyDescent="0.25">
      <c r="A1072">
        <v>2021</v>
      </c>
      <c r="B1072" s="140" t="s">
        <v>93</v>
      </c>
      <c r="C1072" s="140" t="s">
        <v>50</v>
      </c>
      <c r="D1072" s="140" t="s">
        <v>11</v>
      </c>
      <c r="E1072" s="140" t="s">
        <v>12</v>
      </c>
      <c r="F1072">
        <v>1639</v>
      </c>
      <c r="G1072" s="140" t="s">
        <v>363</v>
      </c>
      <c r="H1072">
        <v>0</v>
      </c>
      <c r="I1072" s="140" t="s">
        <v>17</v>
      </c>
    </row>
    <row r="1073" spans="1:9" hidden="1" x14ac:dyDescent="0.25">
      <c r="A1073">
        <v>2022</v>
      </c>
      <c r="B1073" s="140" t="s">
        <v>93</v>
      </c>
      <c r="C1073" s="140" t="s">
        <v>50</v>
      </c>
      <c r="D1073" s="140" t="s">
        <v>11</v>
      </c>
      <c r="E1073" s="140" t="s">
        <v>12</v>
      </c>
      <c r="F1073">
        <v>1674</v>
      </c>
      <c r="G1073" s="140" t="s">
        <v>363</v>
      </c>
      <c r="H1073">
        <v>0</v>
      </c>
      <c r="I1073" s="140" t="s">
        <v>17</v>
      </c>
    </row>
    <row r="1074" spans="1:9" hidden="1" x14ac:dyDescent="0.25">
      <c r="A1074">
        <v>2023</v>
      </c>
      <c r="B1074" s="140" t="s">
        <v>93</v>
      </c>
      <c r="C1074" s="140" t="s">
        <v>50</v>
      </c>
      <c r="D1074" s="140" t="s">
        <v>11</v>
      </c>
      <c r="E1074" s="140" t="s">
        <v>12</v>
      </c>
      <c r="F1074">
        <v>1805</v>
      </c>
      <c r="G1074" s="140" t="s">
        <v>363</v>
      </c>
      <c r="H1074">
        <v>0</v>
      </c>
      <c r="I1074" s="140" t="s">
        <v>17</v>
      </c>
    </row>
    <row r="1075" spans="1:9" hidden="1" x14ac:dyDescent="0.25">
      <c r="A1075">
        <v>2024</v>
      </c>
      <c r="B1075" s="140" t="s">
        <v>93</v>
      </c>
      <c r="C1075" s="140" t="s">
        <v>50</v>
      </c>
      <c r="D1075" s="140" t="s">
        <v>11</v>
      </c>
      <c r="E1075" s="140" t="s">
        <v>12</v>
      </c>
      <c r="F1075">
        <v>1911</v>
      </c>
      <c r="G1075" s="140" t="s">
        <v>363</v>
      </c>
      <c r="H1075">
        <v>0</v>
      </c>
      <c r="I1075" s="140" t="s">
        <v>17</v>
      </c>
    </row>
    <row r="1076" spans="1:9" hidden="1" x14ac:dyDescent="0.25">
      <c r="A1076">
        <v>2025</v>
      </c>
      <c r="B1076" s="140" t="s">
        <v>93</v>
      </c>
      <c r="C1076" s="140" t="s">
        <v>50</v>
      </c>
      <c r="D1076" s="140" t="s">
        <v>11</v>
      </c>
      <c r="E1076" s="140" t="s">
        <v>12</v>
      </c>
      <c r="F1076">
        <v>1930</v>
      </c>
      <c r="G1076" s="140" t="s">
        <v>363</v>
      </c>
      <c r="H1076">
        <v>0</v>
      </c>
      <c r="I1076" s="140" t="s">
        <v>17</v>
      </c>
    </row>
    <row r="1077" spans="1:9" hidden="1" x14ac:dyDescent="0.25">
      <c r="A1077">
        <v>2026</v>
      </c>
      <c r="B1077" s="140" t="s">
        <v>93</v>
      </c>
      <c r="C1077" s="140" t="s">
        <v>50</v>
      </c>
      <c r="D1077" s="140" t="s">
        <v>11</v>
      </c>
      <c r="E1077" s="140" t="s">
        <v>12</v>
      </c>
      <c r="F1077">
        <v>1939</v>
      </c>
      <c r="G1077" s="140" t="s">
        <v>363</v>
      </c>
      <c r="H1077">
        <v>0</v>
      </c>
      <c r="I1077" s="140" t="s">
        <v>17</v>
      </c>
    </row>
    <row r="1078" spans="1:9" hidden="1" x14ac:dyDescent="0.25">
      <c r="A1078">
        <v>2027</v>
      </c>
      <c r="B1078" s="140" t="s">
        <v>93</v>
      </c>
      <c r="C1078" s="140" t="s">
        <v>50</v>
      </c>
      <c r="D1078" s="140" t="s">
        <v>11</v>
      </c>
      <c r="E1078" s="140" t="s">
        <v>12</v>
      </c>
      <c r="F1078">
        <v>1985.5360000000001</v>
      </c>
      <c r="G1078" s="140" t="s">
        <v>363</v>
      </c>
      <c r="H1078">
        <v>0</v>
      </c>
      <c r="I1078" s="140" t="s">
        <v>17</v>
      </c>
    </row>
    <row r="1079" spans="1:9" hidden="1" x14ac:dyDescent="0.25">
      <c r="A1079">
        <v>2028</v>
      </c>
      <c r="B1079" s="140" t="s">
        <v>93</v>
      </c>
      <c r="C1079" s="140" t="s">
        <v>50</v>
      </c>
      <c r="D1079" s="140" t="s">
        <v>11</v>
      </c>
      <c r="E1079" s="140" t="s">
        <v>12</v>
      </c>
      <c r="F1079">
        <v>2015.3190400000001</v>
      </c>
      <c r="G1079" s="140" t="s">
        <v>363</v>
      </c>
      <c r="H1079">
        <v>0</v>
      </c>
      <c r="I1079" s="140" t="s">
        <v>17</v>
      </c>
    </row>
    <row r="1080" spans="1:9" hidden="1" x14ac:dyDescent="0.25">
      <c r="A1080">
        <v>2029</v>
      </c>
      <c r="B1080" s="140" t="s">
        <v>93</v>
      </c>
      <c r="C1080" s="140" t="s">
        <v>50</v>
      </c>
      <c r="D1080" s="140" t="s">
        <v>11</v>
      </c>
      <c r="E1080" s="140" t="s">
        <v>12</v>
      </c>
      <c r="F1080">
        <v>2057.6407399999998</v>
      </c>
      <c r="G1080" s="140" t="s">
        <v>363</v>
      </c>
      <c r="H1080">
        <v>0</v>
      </c>
      <c r="I1080" s="140" t="s">
        <v>17</v>
      </c>
    </row>
    <row r="1081" spans="1:9" hidden="1" x14ac:dyDescent="0.25">
      <c r="A1081">
        <v>2030</v>
      </c>
      <c r="B1081" s="140" t="s">
        <v>93</v>
      </c>
      <c r="C1081" s="140" t="s">
        <v>50</v>
      </c>
      <c r="D1081" s="140" t="s">
        <v>11</v>
      </c>
      <c r="E1081" s="140" t="s">
        <v>12</v>
      </c>
      <c r="F1081">
        <v>2098.7935550000002</v>
      </c>
      <c r="G1081" s="140" t="s">
        <v>363</v>
      </c>
      <c r="H1081">
        <v>0</v>
      </c>
      <c r="I1081" s="140" t="s">
        <v>17</v>
      </c>
    </row>
    <row r="1082" spans="1:9" hidden="1" x14ac:dyDescent="0.25">
      <c r="A1082">
        <v>2009</v>
      </c>
      <c r="B1082" s="140" t="s">
        <v>144</v>
      </c>
      <c r="C1082" s="140" t="s">
        <v>14</v>
      </c>
      <c r="D1082" s="140" t="s">
        <v>11</v>
      </c>
      <c r="E1082" s="140" t="s">
        <v>12</v>
      </c>
      <c r="F1082">
        <v>4.3</v>
      </c>
      <c r="G1082" s="140" t="s">
        <v>364</v>
      </c>
      <c r="H1082">
        <v>0</v>
      </c>
      <c r="I1082" s="140" t="s">
        <v>14</v>
      </c>
    </row>
    <row r="1083" spans="1:9" hidden="1" x14ac:dyDescent="0.25">
      <c r="A1083">
        <v>2010</v>
      </c>
      <c r="B1083" s="140" t="s">
        <v>144</v>
      </c>
      <c r="C1083" s="140" t="s">
        <v>14</v>
      </c>
      <c r="D1083" s="140" t="s">
        <v>11</v>
      </c>
      <c r="E1083" s="140" t="s">
        <v>12</v>
      </c>
      <c r="F1083">
        <v>4.5</v>
      </c>
      <c r="G1083" s="140" t="s">
        <v>364</v>
      </c>
      <c r="H1083">
        <v>0</v>
      </c>
      <c r="I1083" s="140" t="s">
        <v>14</v>
      </c>
    </row>
    <row r="1084" spans="1:9" hidden="1" x14ac:dyDescent="0.25">
      <c r="A1084">
        <v>2011</v>
      </c>
      <c r="B1084" s="140" t="s">
        <v>144</v>
      </c>
      <c r="C1084" s="140" t="s">
        <v>14</v>
      </c>
      <c r="D1084" s="140" t="s">
        <v>11</v>
      </c>
      <c r="E1084" s="140" t="s">
        <v>12</v>
      </c>
      <c r="F1084">
        <v>4.7</v>
      </c>
      <c r="G1084" s="140" t="s">
        <v>364</v>
      </c>
      <c r="H1084">
        <v>0</v>
      </c>
      <c r="I1084" s="140" t="s">
        <v>14</v>
      </c>
    </row>
    <row r="1085" spans="1:9" hidden="1" x14ac:dyDescent="0.25">
      <c r="A1085">
        <v>2012</v>
      </c>
      <c r="B1085" s="140" t="s">
        <v>144</v>
      </c>
      <c r="C1085" s="140" t="s">
        <v>14</v>
      </c>
      <c r="D1085" s="140" t="s">
        <v>11</v>
      </c>
      <c r="E1085" s="140" t="s">
        <v>12</v>
      </c>
      <c r="F1085">
        <v>5.15</v>
      </c>
      <c r="G1085" s="140" t="s">
        <v>364</v>
      </c>
      <c r="H1085">
        <v>0</v>
      </c>
      <c r="I1085" s="140" t="s">
        <v>14</v>
      </c>
    </row>
    <row r="1086" spans="1:9" hidden="1" x14ac:dyDescent="0.25">
      <c r="A1086">
        <v>2013</v>
      </c>
      <c r="B1086" s="140" t="s">
        <v>144</v>
      </c>
      <c r="C1086" s="140" t="s">
        <v>14</v>
      </c>
      <c r="D1086" s="140" t="s">
        <v>11</v>
      </c>
      <c r="E1086" s="140" t="s">
        <v>12</v>
      </c>
      <c r="F1086">
        <v>5.15</v>
      </c>
      <c r="G1086" s="140" t="s">
        <v>364</v>
      </c>
      <c r="H1086">
        <v>0</v>
      </c>
      <c r="I1086" s="140" t="s">
        <v>14</v>
      </c>
    </row>
    <row r="1087" spans="1:9" hidden="1" x14ac:dyDescent="0.25">
      <c r="A1087">
        <v>2014</v>
      </c>
      <c r="B1087" s="140" t="s">
        <v>144</v>
      </c>
      <c r="C1087" s="140" t="s">
        <v>14</v>
      </c>
      <c r="D1087" s="140" t="s">
        <v>11</v>
      </c>
      <c r="E1087" s="140" t="s">
        <v>12</v>
      </c>
      <c r="F1087">
        <v>5.55</v>
      </c>
      <c r="G1087" s="140" t="s">
        <v>364</v>
      </c>
      <c r="H1087">
        <v>0</v>
      </c>
      <c r="I1087" s="140" t="s">
        <v>14</v>
      </c>
    </row>
    <row r="1088" spans="1:9" hidden="1" x14ac:dyDescent="0.25">
      <c r="A1088">
        <v>2015</v>
      </c>
      <c r="B1088" s="140" t="s">
        <v>144</v>
      </c>
      <c r="C1088" s="140" t="s">
        <v>14</v>
      </c>
      <c r="D1088" s="140" t="s">
        <v>11</v>
      </c>
      <c r="E1088" s="140" t="s">
        <v>12</v>
      </c>
      <c r="F1088">
        <v>5.7</v>
      </c>
      <c r="G1088" s="140" t="s">
        <v>364</v>
      </c>
      <c r="H1088">
        <v>0</v>
      </c>
      <c r="I1088" s="140" t="s">
        <v>14</v>
      </c>
    </row>
    <row r="1089" spans="1:9" hidden="1" x14ac:dyDescent="0.25">
      <c r="A1089">
        <v>2016</v>
      </c>
      <c r="B1089" s="140" t="s">
        <v>144</v>
      </c>
      <c r="C1089" s="140" t="s">
        <v>14</v>
      </c>
      <c r="D1089" s="140" t="s">
        <v>11</v>
      </c>
      <c r="E1089" s="140" t="s">
        <v>12</v>
      </c>
      <c r="F1089">
        <v>5.7</v>
      </c>
      <c r="G1089" s="140" t="s">
        <v>364</v>
      </c>
      <c r="H1089">
        <v>0</v>
      </c>
      <c r="I1089" s="140" t="s">
        <v>14</v>
      </c>
    </row>
    <row r="1090" spans="1:9" hidden="1" x14ac:dyDescent="0.25">
      <c r="A1090">
        <v>2017</v>
      </c>
      <c r="B1090" s="140" t="s">
        <v>144</v>
      </c>
      <c r="C1090" s="140" t="s">
        <v>14</v>
      </c>
      <c r="D1090" s="140" t="s">
        <v>11</v>
      </c>
      <c r="E1090" s="140" t="s">
        <v>12</v>
      </c>
      <c r="F1090">
        <v>6.15</v>
      </c>
      <c r="G1090" s="140" t="s">
        <v>364</v>
      </c>
      <c r="H1090">
        <v>0</v>
      </c>
      <c r="I1090" s="140" t="s">
        <v>14</v>
      </c>
    </row>
    <row r="1091" spans="1:9" hidden="1" x14ac:dyDescent="0.25">
      <c r="A1091">
        <v>2018</v>
      </c>
      <c r="B1091" s="140" t="s">
        <v>144</v>
      </c>
      <c r="C1091" s="140" t="s">
        <v>14</v>
      </c>
      <c r="D1091" s="140" t="s">
        <v>11</v>
      </c>
      <c r="E1091" s="140" t="s">
        <v>12</v>
      </c>
      <c r="F1091">
        <v>6.35</v>
      </c>
      <c r="G1091" s="140" t="s">
        <v>364</v>
      </c>
      <c r="H1091">
        <v>0</v>
      </c>
      <c r="I1091" s="140" t="s">
        <v>14</v>
      </c>
    </row>
    <row r="1092" spans="1:9" hidden="1" x14ac:dyDescent="0.25">
      <c r="A1092">
        <v>2019</v>
      </c>
      <c r="B1092" s="140" t="s">
        <v>144</v>
      </c>
      <c r="C1092" s="140" t="s">
        <v>14</v>
      </c>
      <c r="D1092" s="140" t="s">
        <v>11</v>
      </c>
      <c r="E1092" s="140" t="s">
        <v>12</v>
      </c>
      <c r="F1092">
        <v>6.75</v>
      </c>
      <c r="G1092" s="140" t="s">
        <v>364</v>
      </c>
      <c r="H1092">
        <v>0</v>
      </c>
      <c r="I1092" s="140" t="s">
        <v>14</v>
      </c>
    </row>
    <row r="1093" spans="1:9" hidden="1" x14ac:dyDescent="0.25">
      <c r="A1093">
        <v>2020</v>
      </c>
      <c r="B1093" s="140" t="s">
        <v>144</v>
      </c>
      <c r="C1093" s="140" t="s">
        <v>14</v>
      </c>
      <c r="D1093" s="140" t="s">
        <v>11</v>
      </c>
      <c r="E1093" s="140" t="s">
        <v>12</v>
      </c>
      <c r="F1093">
        <v>7.15</v>
      </c>
      <c r="G1093" s="140" t="s">
        <v>364</v>
      </c>
      <c r="H1093">
        <v>0</v>
      </c>
      <c r="I1093" s="140" t="s">
        <v>14</v>
      </c>
    </row>
    <row r="1094" spans="1:9" hidden="1" x14ac:dyDescent="0.25">
      <c r="A1094">
        <v>2021</v>
      </c>
      <c r="B1094" s="140" t="s">
        <v>144</v>
      </c>
      <c r="C1094" s="140" t="s">
        <v>14</v>
      </c>
      <c r="D1094" s="140" t="s">
        <v>11</v>
      </c>
      <c r="E1094" s="140" t="s">
        <v>12</v>
      </c>
      <c r="F1094">
        <v>7.15</v>
      </c>
      <c r="G1094" s="140" t="s">
        <v>364</v>
      </c>
      <c r="H1094">
        <v>0</v>
      </c>
      <c r="I1094" s="140" t="s">
        <v>14</v>
      </c>
    </row>
    <row r="1095" spans="1:9" hidden="1" x14ac:dyDescent="0.25">
      <c r="A1095">
        <v>2022</v>
      </c>
      <c r="B1095" s="140" t="s">
        <v>144</v>
      </c>
      <c r="C1095" s="140" t="s">
        <v>14</v>
      </c>
      <c r="D1095" s="140" t="s">
        <v>11</v>
      </c>
      <c r="E1095" s="140" t="s">
        <v>12</v>
      </c>
      <c r="F1095">
        <v>7.15</v>
      </c>
      <c r="G1095" s="140" t="s">
        <v>364</v>
      </c>
      <c r="H1095">
        <v>0</v>
      </c>
      <c r="I1095" s="140" t="s">
        <v>14</v>
      </c>
    </row>
    <row r="1096" spans="1:9" hidden="1" x14ac:dyDescent="0.25">
      <c r="A1096">
        <v>2023</v>
      </c>
      <c r="B1096" s="140" t="s">
        <v>144</v>
      </c>
      <c r="C1096" s="140" t="s">
        <v>14</v>
      </c>
      <c r="D1096" s="140" t="s">
        <v>11</v>
      </c>
      <c r="E1096" s="140" t="s">
        <v>12</v>
      </c>
      <c r="F1096">
        <v>7.15</v>
      </c>
      <c r="G1096" s="140" t="s">
        <v>364</v>
      </c>
      <c r="H1096">
        <v>0</v>
      </c>
      <c r="I1096" s="140" t="s">
        <v>14</v>
      </c>
    </row>
    <row r="1097" spans="1:9" hidden="1" x14ac:dyDescent="0.25">
      <c r="A1097">
        <v>2024</v>
      </c>
      <c r="B1097" s="140" t="s">
        <v>144</v>
      </c>
      <c r="C1097" s="140" t="s">
        <v>14</v>
      </c>
      <c r="D1097" s="140" t="s">
        <v>11</v>
      </c>
      <c r="E1097" s="140" t="s">
        <v>12</v>
      </c>
      <c r="F1097">
        <v>7.15</v>
      </c>
      <c r="G1097" s="140" t="s">
        <v>364</v>
      </c>
      <c r="H1097">
        <v>0</v>
      </c>
      <c r="I1097" s="140" t="s">
        <v>14</v>
      </c>
    </row>
    <row r="1098" spans="1:9" hidden="1" x14ac:dyDescent="0.25">
      <c r="A1098">
        <v>2025</v>
      </c>
      <c r="B1098" s="140" t="s">
        <v>144</v>
      </c>
      <c r="C1098" s="140" t="s">
        <v>14</v>
      </c>
      <c r="D1098" s="140" t="s">
        <v>11</v>
      </c>
      <c r="E1098" s="140" t="s">
        <v>12</v>
      </c>
      <c r="F1098">
        <v>7.15</v>
      </c>
      <c r="G1098" s="140" t="s">
        <v>364</v>
      </c>
      <c r="H1098">
        <v>0</v>
      </c>
      <c r="I1098" s="140" t="s">
        <v>14</v>
      </c>
    </row>
    <row r="1099" spans="1:9" hidden="1" x14ac:dyDescent="0.25">
      <c r="A1099">
        <v>2026</v>
      </c>
      <c r="B1099" s="140" t="s">
        <v>144</v>
      </c>
      <c r="C1099" s="140" t="s">
        <v>14</v>
      </c>
      <c r="D1099" s="140" t="s">
        <v>11</v>
      </c>
      <c r="E1099" s="140" t="s">
        <v>12</v>
      </c>
      <c r="F1099">
        <v>7.3</v>
      </c>
      <c r="G1099" s="140" t="s">
        <v>364</v>
      </c>
      <c r="H1099">
        <v>0</v>
      </c>
      <c r="I1099" s="140" t="s">
        <v>14</v>
      </c>
    </row>
    <row r="1100" spans="1:9" hidden="1" x14ac:dyDescent="0.25">
      <c r="A1100">
        <v>2027</v>
      </c>
      <c r="B1100" s="140" t="s">
        <v>144</v>
      </c>
      <c r="C1100" s="140" t="s">
        <v>14</v>
      </c>
      <c r="D1100" s="140" t="s">
        <v>11</v>
      </c>
      <c r="E1100" s="140" t="s">
        <v>12</v>
      </c>
      <c r="F1100">
        <v>7.3</v>
      </c>
      <c r="G1100" s="140" t="s">
        <v>364</v>
      </c>
      <c r="H1100">
        <v>0</v>
      </c>
      <c r="I1100" s="140" t="s">
        <v>14</v>
      </c>
    </row>
    <row r="1101" spans="1:9" hidden="1" x14ac:dyDescent="0.25">
      <c r="A1101">
        <v>2028</v>
      </c>
      <c r="B1101" s="140" t="s">
        <v>144</v>
      </c>
      <c r="C1101" s="140" t="s">
        <v>14</v>
      </c>
      <c r="D1101" s="140" t="s">
        <v>11</v>
      </c>
      <c r="E1101" s="140" t="s">
        <v>12</v>
      </c>
      <c r="F1101">
        <v>7.3</v>
      </c>
      <c r="G1101" s="140" t="s">
        <v>364</v>
      </c>
      <c r="H1101">
        <v>0</v>
      </c>
      <c r="I1101" s="140" t="s">
        <v>14</v>
      </c>
    </row>
    <row r="1102" spans="1:9" hidden="1" x14ac:dyDescent="0.25">
      <c r="A1102">
        <v>2029</v>
      </c>
      <c r="B1102" s="140" t="s">
        <v>144</v>
      </c>
      <c r="C1102" s="140" t="s">
        <v>14</v>
      </c>
      <c r="D1102" s="140" t="s">
        <v>11</v>
      </c>
      <c r="E1102" s="140" t="s">
        <v>12</v>
      </c>
      <c r="F1102">
        <v>7.3</v>
      </c>
      <c r="G1102" s="140" t="s">
        <v>364</v>
      </c>
      <c r="H1102">
        <v>0</v>
      </c>
      <c r="I1102" s="140" t="s">
        <v>14</v>
      </c>
    </row>
    <row r="1103" spans="1:9" hidden="1" x14ac:dyDescent="0.25">
      <c r="A1103">
        <v>2030</v>
      </c>
      <c r="B1103" s="140" t="s">
        <v>144</v>
      </c>
      <c r="C1103" s="140" t="s">
        <v>14</v>
      </c>
      <c r="D1103" s="140" t="s">
        <v>11</v>
      </c>
      <c r="E1103" s="140" t="s">
        <v>12</v>
      </c>
      <c r="F1103">
        <v>7.3</v>
      </c>
      <c r="G1103" s="140" t="s">
        <v>364</v>
      </c>
      <c r="H1103">
        <v>0</v>
      </c>
      <c r="I1103" s="140" t="s">
        <v>14</v>
      </c>
    </row>
    <row r="1104" spans="1:9" hidden="1" x14ac:dyDescent="0.25">
      <c r="A1104">
        <v>2009</v>
      </c>
      <c r="B1104" s="140" t="s">
        <v>145</v>
      </c>
      <c r="C1104" s="140" t="s">
        <v>14</v>
      </c>
      <c r="D1104" s="140" t="s">
        <v>11</v>
      </c>
      <c r="E1104" s="140" t="s">
        <v>12</v>
      </c>
      <c r="F1104">
        <v>5.4</v>
      </c>
      <c r="G1104" s="140" t="s">
        <v>365</v>
      </c>
      <c r="H1104">
        <v>0</v>
      </c>
      <c r="I1104" s="140" t="s">
        <v>14</v>
      </c>
    </row>
    <row r="1105" spans="1:9" hidden="1" x14ac:dyDescent="0.25">
      <c r="A1105">
        <v>2010</v>
      </c>
      <c r="B1105" s="140" t="s">
        <v>145</v>
      </c>
      <c r="C1105" s="140" t="s">
        <v>14</v>
      </c>
      <c r="D1105" s="140" t="s">
        <v>11</v>
      </c>
      <c r="E1105" s="140" t="s">
        <v>12</v>
      </c>
      <c r="F1105">
        <v>5.7</v>
      </c>
      <c r="G1105" s="140" t="s">
        <v>365</v>
      </c>
      <c r="H1105">
        <v>0</v>
      </c>
      <c r="I1105" s="140" t="s">
        <v>14</v>
      </c>
    </row>
    <row r="1106" spans="1:9" hidden="1" x14ac:dyDescent="0.25">
      <c r="A1106">
        <v>2011</v>
      </c>
      <c r="B1106" s="140" t="s">
        <v>145</v>
      </c>
      <c r="C1106" s="140" t="s">
        <v>14</v>
      </c>
      <c r="D1106" s="140" t="s">
        <v>11</v>
      </c>
      <c r="E1106" s="140" t="s">
        <v>12</v>
      </c>
      <c r="F1106">
        <v>5.9690000000000003</v>
      </c>
      <c r="G1106" s="140" t="s">
        <v>365</v>
      </c>
      <c r="H1106">
        <v>0</v>
      </c>
      <c r="I1106" s="140" t="s">
        <v>14</v>
      </c>
    </row>
    <row r="1107" spans="1:9" hidden="1" x14ac:dyDescent="0.25">
      <c r="A1107">
        <v>2012</v>
      </c>
      <c r="B1107" s="140" t="s">
        <v>145</v>
      </c>
      <c r="C1107" s="140" t="s">
        <v>14</v>
      </c>
      <c r="D1107" s="140" t="s">
        <v>11</v>
      </c>
      <c r="E1107" s="140" t="s">
        <v>12</v>
      </c>
      <c r="F1107">
        <v>6.5</v>
      </c>
      <c r="G1107" s="140" t="s">
        <v>365</v>
      </c>
      <c r="H1107">
        <v>0</v>
      </c>
      <c r="I1107" s="140" t="s">
        <v>14</v>
      </c>
    </row>
    <row r="1108" spans="1:9" hidden="1" x14ac:dyDescent="0.25">
      <c r="A1108">
        <v>2013</v>
      </c>
      <c r="B1108" s="140" t="s">
        <v>145</v>
      </c>
      <c r="C1108" s="140" t="s">
        <v>14</v>
      </c>
      <c r="D1108" s="140" t="s">
        <v>11</v>
      </c>
      <c r="E1108" s="140" t="s">
        <v>12</v>
      </c>
      <c r="F1108">
        <v>6.5</v>
      </c>
      <c r="G1108" s="140" t="s">
        <v>365</v>
      </c>
      <c r="H1108">
        <v>0</v>
      </c>
      <c r="I1108" s="140" t="s">
        <v>14</v>
      </c>
    </row>
    <row r="1109" spans="1:9" hidden="1" x14ac:dyDescent="0.25">
      <c r="A1109">
        <v>2014</v>
      </c>
      <c r="B1109" s="140" t="s">
        <v>145</v>
      </c>
      <c r="C1109" s="140" t="s">
        <v>14</v>
      </c>
      <c r="D1109" s="140" t="s">
        <v>11</v>
      </c>
      <c r="E1109" s="140" t="s">
        <v>12</v>
      </c>
      <c r="F1109">
        <v>7.05</v>
      </c>
      <c r="G1109" s="140" t="s">
        <v>365</v>
      </c>
      <c r="H1109">
        <v>0</v>
      </c>
      <c r="I1109" s="140" t="s">
        <v>14</v>
      </c>
    </row>
    <row r="1110" spans="1:9" hidden="1" x14ac:dyDescent="0.25">
      <c r="A1110">
        <v>2015</v>
      </c>
      <c r="B1110" s="140" t="s">
        <v>145</v>
      </c>
      <c r="C1110" s="140" t="s">
        <v>14</v>
      </c>
      <c r="D1110" s="140" t="s">
        <v>11</v>
      </c>
      <c r="E1110" s="140" t="s">
        <v>12</v>
      </c>
      <c r="F1110">
        <v>7.2</v>
      </c>
      <c r="G1110" s="140" t="s">
        <v>365</v>
      </c>
      <c r="H1110">
        <v>0</v>
      </c>
      <c r="I1110" s="140" t="s">
        <v>14</v>
      </c>
    </row>
    <row r="1111" spans="1:9" hidden="1" x14ac:dyDescent="0.25">
      <c r="A1111">
        <v>2016</v>
      </c>
      <c r="B1111" s="140" t="s">
        <v>145</v>
      </c>
      <c r="C1111" s="140" t="s">
        <v>14</v>
      </c>
      <c r="D1111" s="140" t="s">
        <v>11</v>
      </c>
      <c r="E1111" s="140" t="s">
        <v>12</v>
      </c>
      <c r="F1111">
        <v>7.2</v>
      </c>
      <c r="G1111" s="140" t="s">
        <v>365</v>
      </c>
      <c r="H1111">
        <v>0</v>
      </c>
      <c r="I1111" s="140" t="s">
        <v>14</v>
      </c>
    </row>
    <row r="1112" spans="1:9" hidden="1" x14ac:dyDescent="0.25">
      <c r="A1112">
        <v>2017</v>
      </c>
      <c r="B1112" s="140" t="s">
        <v>145</v>
      </c>
      <c r="C1112" s="140" t="s">
        <v>14</v>
      </c>
      <c r="D1112" s="140" t="s">
        <v>11</v>
      </c>
      <c r="E1112" s="140" t="s">
        <v>12</v>
      </c>
      <c r="F1112">
        <v>7.65</v>
      </c>
      <c r="G1112" s="140" t="s">
        <v>365</v>
      </c>
      <c r="H1112">
        <v>0</v>
      </c>
      <c r="I1112" s="140" t="s">
        <v>14</v>
      </c>
    </row>
    <row r="1113" spans="1:9" hidden="1" x14ac:dyDescent="0.25">
      <c r="A1113">
        <v>2018</v>
      </c>
      <c r="B1113" s="140" t="s">
        <v>145</v>
      </c>
      <c r="C1113" s="140" t="s">
        <v>14</v>
      </c>
      <c r="D1113" s="140" t="s">
        <v>11</v>
      </c>
      <c r="E1113" s="140" t="s">
        <v>12</v>
      </c>
      <c r="F1113">
        <v>7.85</v>
      </c>
      <c r="G1113" s="140" t="s">
        <v>365</v>
      </c>
      <c r="H1113">
        <v>0</v>
      </c>
      <c r="I1113" s="140" t="s">
        <v>14</v>
      </c>
    </row>
    <row r="1114" spans="1:9" hidden="1" x14ac:dyDescent="0.25">
      <c r="A1114">
        <v>2019</v>
      </c>
      <c r="B1114" s="140" t="s">
        <v>145</v>
      </c>
      <c r="C1114" s="140" t="s">
        <v>14</v>
      </c>
      <c r="D1114" s="140" t="s">
        <v>11</v>
      </c>
      <c r="E1114" s="140" t="s">
        <v>12</v>
      </c>
      <c r="F1114">
        <v>8.25</v>
      </c>
      <c r="G1114" s="140" t="s">
        <v>365</v>
      </c>
      <c r="H1114">
        <v>0</v>
      </c>
      <c r="I1114" s="140" t="s">
        <v>14</v>
      </c>
    </row>
    <row r="1115" spans="1:9" hidden="1" x14ac:dyDescent="0.25">
      <c r="A1115">
        <v>2020</v>
      </c>
      <c r="B1115" s="140" t="s">
        <v>145</v>
      </c>
      <c r="C1115" s="140" t="s">
        <v>14</v>
      </c>
      <c r="D1115" s="140" t="s">
        <v>11</v>
      </c>
      <c r="E1115" s="140" t="s">
        <v>12</v>
      </c>
      <c r="F1115">
        <v>8.65</v>
      </c>
      <c r="G1115" s="140" t="s">
        <v>365</v>
      </c>
      <c r="H1115">
        <v>0</v>
      </c>
      <c r="I1115" s="140" t="s">
        <v>14</v>
      </c>
    </row>
    <row r="1116" spans="1:9" hidden="1" x14ac:dyDescent="0.25">
      <c r="A1116">
        <v>2021</v>
      </c>
      <c r="B1116" s="140" t="s">
        <v>145</v>
      </c>
      <c r="C1116" s="140" t="s">
        <v>14</v>
      </c>
      <c r="D1116" s="140" t="s">
        <v>11</v>
      </c>
      <c r="E1116" s="140" t="s">
        <v>12</v>
      </c>
      <c r="F1116">
        <v>8.65</v>
      </c>
      <c r="G1116" s="140" t="s">
        <v>365</v>
      </c>
      <c r="H1116">
        <v>0</v>
      </c>
      <c r="I1116" s="140" t="s">
        <v>14</v>
      </c>
    </row>
    <row r="1117" spans="1:9" hidden="1" x14ac:dyDescent="0.25">
      <c r="A1117">
        <v>2022</v>
      </c>
      <c r="B1117" s="140" t="s">
        <v>145</v>
      </c>
      <c r="C1117" s="140" t="s">
        <v>14</v>
      </c>
      <c r="D1117" s="140" t="s">
        <v>11</v>
      </c>
      <c r="E1117" s="140" t="s">
        <v>12</v>
      </c>
      <c r="F1117">
        <v>8.65</v>
      </c>
      <c r="G1117" s="140" t="s">
        <v>365</v>
      </c>
      <c r="H1117">
        <v>0</v>
      </c>
      <c r="I1117" s="140" t="s">
        <v>14</v>
      </c>
    </row>
    <row r="1118" spans="1:9" hidden="1" x14ac:dyDescent="0.25">
      <c r="A1118">
        <v>2023</v>
      </c>
      <c r="B1118" s="140" t="s">
        <v>145</v>
      </c>
      <c r="C1118" s="140" t="s">
        <v>14</v>
      </c>
      <c r="D1118" s="140" t="s">
        <v>11</v>
      </c>
      <c r="E1118" s="140" t="s">
        <v>12</v>
      </c>
      <c r="F1118">
        <v>8.65</v>
      </c>
      <c r="G1118" s="140" t="s">
        <v>365</v>
      </c>
      <c r="H1118">
        <v>0</v>
      </c>
      <c r="I1118" s="140" t="s">
        <v>14</v>
      </c>
    </row>
    <row r="1119" spans="1:9" hidden="1" x14ac:dyDescent="0.25">
      <c r="A1119">
        <v>2024</v>
      </c>
      <c r="B1119" s="140" t="s">
        <v>145</v>
      </c>
      <c r="C1119" s="140" t="s">
        <v>14</v>
      </c>
      <c r="D1119" s="140" t="s">
        <v>11</v>
      </c>
      <c r="E1119" s="140" t="s">
        <v>12</v>
      </c>
      <c r="F1119">
        <v>8.65</v>
      </c>
      <c r="G1119" s="140" t="s">
        <v>365</v>
      </c>
      <c r="H1119">
        <v>0</v>
      </c>
      <c r="I1119" s="140" t="s">
        <v>14</v>
      </c>
    </row>
    <row r="1120" spans="1:9" hidden="1" x14ac:dyDescent="0.25">
      <c r="A1120">
        <v>2025</v>
      </c>
      <c r="B1120" s="140" t="s">
        <v>145</v>
      </c>
      <c r="C1120" s="140" t="s">
        <v>14</v>
      </c>
      <c r="D1120" s="140" t="s">
        <v>11</v>
      </c>
      <c r="E1120" s="140" t="s">
        <v>12</v>
      </c>
      <c r="F1120">
        <v>8.65</v>
      </c>
      <c r="G1120" s="140" t="s">
        <v>365</v>
      </c>
      <c r="H1120">
        <v>0</v>
      </c>
      <c r="I1120" s="140" t="s">
        <v>14</v>
      </c>
    </row>
    <row r="1121" spans="1:9" hidden="1" x14ac:dyDescent="0.25">
      <c r="A1121">
        <v>2026</v>
      </c>
      <c r="B1121" s="140" t="s">
        <v>145</v>
      </c>
      <c r="C1121" s="140" t="s">
        <v>14</v>
      </c>
      <c r="D1121" s="140" t="s">
        <v>11</v>
      </c>
      <c r="E1121" s="140" t="s">
        <v>12</v>
      </c>
      <c r="F1121">
        <v>7.3</v>
      </c>
      <c r="G1121" s="140" t="s">
        <v>365</v>
      </c>
      <c r="H1121">
        <v>0</v>
      </c>
      <c r="I1121" s="140" t="s">
        <v>14</v>
      </c>
    </row>
    <row r="1122" spans="1:9" hidden="1" x14ac:dyDescent="0.25">
      <c r="A1122">
        <v>2027</v>
      </c>
      <c r="B1122" s="140" t="s">
        <v>145</v>
      </c>
      <c r="C1122" s="140" t="s">
        <v>14</v>
      </c>
      <c r="D1122" s="140" t="s">
        <v>11</v>
      </c>
      <c r="E1122" s="140" t="s">
        <v>12</v>
      </c>
      <c r="F1122">
        <v>7.3</v>
      </c>
      <c r="G1122" s="140" t="s">
        <v>365</v>
      </c>
      <c r="H1122">
        <v>0</v>
      </c>
      <c r="I1122" s="140" t="s">
        <v>14</v>
      </c>
    </row>
    <row r="1123" spans="1:9" hidden="1" x14ac:dyDescent="0.25">
      <c r="A1123">
        <v>2028</v>
      </c>
      <c r="B1123" s="140" t="s">
        <v>145</v>
      </c>
      <c r="C1123" s="140" t="s">
        <v>14</v>
      </c>
      <c r="D1123" s="140" t="s">
        <v>11</v>
      </c>
      <c r="E1123" s="140" t="s">
        <v>12</v>
      </c>
      <c r="F1123">
        <v>7.3</v>
      </c>
      <c r="G1123" s="140" t="s">
        <v>365</v>
      </c>
      <c r="H1123">
        <v>0</v>
      </c>
      <c r="I1123" s="140" t="s">
        <v>14</v>
      </c>
    </row>
    <row r="1124" spans="1:9" hidden="1" x14ac:dyDescent="0.25">
      <c r="A1124">
        <v>2029</v>
      </c>
      <c r="B1124" s="140" t="s">
        <v>145</v>
      </c>
      <c r="C1124" s="140" t="s">
        <v>14</v>
      </c>
      <c r="D1124" s="140" t="s">
        <v>11</v>
      </c>
      <c r="E1124" s="140" t="s">
        <v>12</v>
      </c>
      <c r="F1124">
        <v>7.3</v>
      </c>
      <c r="G1124" s="140" t="s">
        <v>365</v>
      </c>
      <c r="H1124">
        <v>0</v>
      </c>
      <c r="I1124" s="140" t="s">
        <v>14</v>
      </c>
    </row>
    <row r="1125" spans="1:9" hidden="1" x14ac:dyDescent="0.25">
      <c r="A1125">
        <v>2030</v>
      </c>
      <c r="B1125" s="140" t="s">
        <v>145</v>
      </c>
      <c r="C1125" s="140" t="s">
        <v>14</v>
      </c>
      <c r="D1125" s="140" t="s">
        <v>11</v>
      </c>
      <c r="E1125" s="140" t="s">
        <v>12</v>
      </c>
      <c r="F1125">
        <v>7.3</v>
      </c>
      <c r="G1125" s="140" t="s">
        <v>365</v>
      </c>
      <c r="H1125">
        <v>0</v>
      </c>
      <c r="I1125" s="140" t="s">
        <v>14</v>
      </c>
    </row>
    <row r="1126" spans="1:9" hidden="1" x14ac:dyDescent="0.25">
      <c r="A1126">
        <v>2009</v>
      </c>
      <c r="B1126" s="140" t="s">
        <v>146</v>
      </c>
      <c r="C1126" s="140" t="s">
        <v>147</v>
      </c>
      <c r="D1126" s="140" t="s">
        <v>11</v>
      </c>
      <c r="E1126" s="140" t="s">
        <v>12</v>
      </c>
      <c r="F1126">
        <v>1.1919999999999999</v>
      </c>
      <c r="G1126" s="140" t="s">
        <v>148</v>
      </c>
      <c r="H1126">
        <v>0</v>
      </c>
      <c r="I1126" s="140" t="s">
        <v>14</v>
      </c>
    </row>
    <row r="1127" spans="1:9" hidden="1" x14ac:dyDescent="0.25">
      <c r="A1127">
        <v>2010</v>
      </c>
      <c r="B1127" s="140" t="s">
        <v>146</v>
      </c>
      <c r="C1127" s="140" t="s">
        <v>147</v>
      </c>
      <c r="D1127" s="140" t="s">
        <v>11</v>
      </c>
      <c r="E1127" s="140" t="s">
        <v>12</v>
      </c>
      <c r="F1127">
        <v>1.2310000000000001</v>
      </c>
      <c r="G1127" s="140" t="s">
        <v>148</v>
      </c>
      <c r="H1127">
        <v>0</v>
      </c>
      <c r="I1127" s="140" t="s">
        <v>14</v>
      </c>
    </row>
    <row r="1128" spans="1:9" hidden="1" x14ac:dyDescent="0.25">
      <c r="A1128">
        <v>2011</v>
      </c>
      <c r="B1128" s="140" t="s">
        <v>146</v>
      </c>
      <c r="C1128" s="140" t="s">
        <v>147</v>
      </c>
      <c r="D1128" s="140" t="s">
        <v>11</v>
      </c>
      <c r="E1128" s="140" t="s">
        <v>12</v>
      </c>
      <c r="F1128">
        <v>1.2529999999999999</v>
      </c>
      <c r="G1128" s="140" t="s">
        <v>148</v>
      </c>
      <c r="H1128">
        <v>0</v>
      </c>
      <c r="I1128" s="140" t="s">
        <v>14</v>
      </c>
    </row>
    <row r="1129" spans="1:9" hidden="1" x14ac:dyDescent="0.25">
      <c r="A1129">
        <v>2012</v>
      </c>
      <c r="B1129" s="140" t="s">
        <v>146</v>
      </c>
      <c r="C1129" s="140" t="s">
        <v>147</v>
      </c>
      <c r="D1129" s="140" t="s">
        <v>11</v>
      </c>
      <c r="E1129" s="140" t="s">
        <v>12</v>
      </c>
      <c r="F1129">
        <v>1.2909999999999999</v>
      </c>
      <c r="G1129" s="140" t="s">
        <v>148</v>
      </c>
      <c r="H1129">
        <v>0</v>
      </c>
      <c r="I1129" s="140" t="s">
        <v>14</v>
      </c>
    </row>
    <row r="1130" spans="1:9" hidden="1" x14ac:dyDescent="0.25">
      <c r="A1130">
        <v>2013</v>
      </c>
      <c r="B1130" s="140" t="s">
        <v>146</v>
      </c>
      <c r="C1130" s="140" t="s">
        <v>147</v>
      </c>
      <c r="D1130" s="140" t="s">
        <v>11</v>
      </c>
      <c r="E1130" s="140" t="s">
        <v>12</v>
      </c>
      <c r="F1130">
        <v>1.327</v>
      </c>
      <c r="G1130" s="140" t="s">
        <v>148</v>
      </c>
      <c r="H1130">
        <v>0</v>
      </c>
      <c r="I1130" s="140" t="s">
        <v>14</v>
      </c>
    </row>
    <row r="1131" spans="1:9" hidden="1" x14ac:dyDescent="0.25">
      <c r="A1131">
        <v>2014</v>
      </c>
      <c r="B1131" s="140" t="s">
        <v>146</v>
      </c>
      <c r="C1131" s="140" t="s">
        <v>147</v>
      </c>
      <c r="D1131" s="140" t="s">
        <v>11</v>
      </c>
      <c r="E1131" s="140" t="s">
        <v>12</v>
      </c>
      <c r="F1131">
        <v>1.35</v>
      </c>
      <c r="G1131" s="140" t="s">
        <v>148</v>
      </c>
      <c r="H1131">
        <v>0</v>
      </c>
      <c r="I1131" s="140" t="s">
        <v>14</v>
      </c>
    </row>
    <row r="1132" spans="1:9" hidden="1" x14ac:dyDescent="0.25">
      <c r="A1132">
        <v>2015</v>
      </c>
      <c r="B1132" s="140" t="s">
        <v>146</v>
      </c>
      <c r="C1132" s="140" t="s">
        <v>147</v>
      </c>
      <c r="D1132" s="140" t="s">
        <v>11</v>
      </c>
      <c r="E1132" s="140" t="s">
        <v>12</v>
      </c>
      <c r="F1132">
        <v>1.363</v>
      </c>
      <c r="G1132" s="140" t="s">
        <v>148</v>
      </c>
      <c r="H1132">
        <v>0</v>
      </c>
      <c r="I1132" s="140" t="s">
        <v>14</v>
      </c>
    </row>
    <row r="1133" spans="1:9" hidden="1" x14ac:dyDescent="0.25">
      <c r="A1133">
        <v>2016</v>
      </c>
      <c r="B1133" s="140" t="s">
        <v>146</v>
      </c>
      <c r="C1133" s="140" t="s">
        <v>147</v>
      </c>
      <c r="D1133" s="140" t="s">
        <v>11</v>
      </c>
      <c r="E1133" s="140" t="s">
        <v>12</v>
      </c>
      <c r="F1133">
        <v>1.373</v>
      </c>
      <c r="G1133" s="140" t="s">
        <v>148</v>
      </c>
      <c r="H1133">
        <v>0</v>
      </c>
      <c r="I1133" s="140" t="s">
        <v>14</v>
      </c>
    </row>
    <row r="1134" spans="1:9" hidden="1" x14ac:dyDescent="0.25">
      <c r="A1134">
        <v>2017</v>
      </c>
      <c r="B1134" s="140" t="s">
        <v>146</v>
      </c>
      <c r="C1134" s="140" t="s">
        <v>147</v>
      </c>
      <c r="D1134" s="140" t="s">
        <v>11</v>
      </c>
      <c r="E1134" s="140" t="s">
        <v>12</v>
      </c>
      <c r="F1134">
        <v>1.389</v>
      </c>
      <c r="G1134" s="140" t="s">
        <v>148</v>
      </c>
      <c r="H1134">
        <v>0</v>
      </c>
      <c r="I1134" s="140" t="s">
        <v>14</v>
      </c>
    </row>
    <row r="1135" spans="1:9" hidden="1" x14ac:dyDescent="0.25">
      <c r="A1135">
        <v>2018</v>
      </c>
      <c r="B1135" s="140" t="s">
        <v>146</v>
      </c>
      <c r="C1135" s="140" t="s">
        <v>147</v>
      </c>
      <c r="D1135" s="140" t="s">
        <v>11</v>
      </c>
      <c r="E1135" s="140" t="s">
        <v>12</v>
      </c>
      <c r="F1135">
        <v>1.391</v>
      </c>
      <c r="G1135" s="140" t="s">
        <v>148</v>
      </c>
      <c r="H1135">
        <v>0</v>
      </c>
      <c r="I1135" s="140" t="s">
        <v>14</v>
      </c>
    </row>
    <row r="1136" spans="1:9" hidden="1" x14ac:dyDescent="0.25">
      <c r="A1136">
        <v>2019</v>
      </c>
      <c r="B1136" s="140" t="s">
        <v>146</v>
      </c>
      <c r="C1136" s="140" t="s">
        <v>147</v>
      </c>
      <c r="D1136" s="140" t="s">
        <v>11</v>
      </c>
      <c r="E1136" s="140" t="s">
        <v>12</v>
      </c>
      <c r="F1136">
        <v>1.417</v>
      </c>
      <c r="G1136" s="140" t="s">
        <v>148</v>
      </c>
      <c r="H1136">
        <v>0</v>
      </c>
      <c r="I1136" s="140" t="s">
        <v>14</v>
      </c>
    </row>
    <row r="1137" spans="1:9" hidden="1" x14ac:dyDescent="0.25">
      <c r="A1137">
        <v>2020</v>
      </c>
      <c r="B1137" s="140" t="s">
        <v>146</v>
      </c>
      <c r="C1137" s="140" t="s">
        <v>147</v>
      </c>
      <c r="D1137" s="140" t="s">
        <v>11</v>
      </c>
      <c r="E1137" s="140" t="s">
        <v>12</v>
      </c>
      <c r="F1137">
        <v>1.446</v>
      </c>
      <c r="G1137" s="140" t="s">
        <v>148</v>
      </c>
      <c r="H1137">
        <v>0</v>
      </c>
      <c r="I1137" s="140" t="s">
        <v>14</v>
      </c>
    </row>
    <row r="1138" spans="1:9" hidden="1" x14ac:dyDescent="0.25">
      <c r="A1138">
        <v>2021</v>
      </c>
      <c r="B1138" s="140" t="s">
        <v>146</v>
      </c>
      <c r="C1138" s="140" t="s">
        <v>147</v>
      </c>
      <c r="D1138" s="140" t="s">
        <v>11</v>
      </c>
      <c r="E1138" s="140" t="s">
        <v>12</v>
      </c>
      <c r="F1138">
        <v>1.4650000000000001</v>
      </c>
      <c r="G1138" s="140" t="s">
        <v>148</v>
      </c>
      <c r="H1138">
        <v>0</v>
      </c>
      <c r="I1138" s="140" t="s">
        <v>14</v>
      </c>
    </row>
    <row r="1139" spans="1:9" hidden="1" x14ac:dyDescent="0.25">
      <c r="A1139">
        <v>2022</v>
      </c>
      <c r="B1139" s="140" t="s">
        <v>146</v>
      </c>
      <c r="C1139" s="140" t="s">
        <v>147</v>
      </c>
      <c r="D1139" s="140" t="s">
        <v>11</v>
      </c>
      <c r="E1139" s="140" t="s">
        <v>12</v>
      </c>
      <c r="F1139">
        <v>1.5009999999999999</v>
      </c>
      <c r="G1139" s="140" t="s">
        <v>148</v>
      </c>
      <c r="H1139">
        <v>0</v>
      </c>
      <c r="I1139" s="140" t="s">
        <v>14</v>
      </c>
    </row>
    <row r="1140" spans="1:9" hidden="1" x14ac:dyDescent="0.25">
      <c r="A1140">
        <v>2023</v>
      </c>
      <c r="B1140" s="140" t="s">
        <v>146</v>
      </c>
      <c r="C1140" s="140" t="s">
        <v>147</v>
      </c>
      <c r="D1140" s="140" t="s">
        <v>11</v>
      </c>
      <c r="E1140" s="140" t="s">
        <v>12</v>
      </c>
      <c r="F1140">
        <v>1.5580000000000001</v>
      </c>
      <c r="G1140" s="140" t="s">
        <v>148</v>
      </c>
      <c r="H1140">
        <v>0</v>
      </c>
      <c r="I1140" s="140" t="s">
        <v>14</v>
      </c>
    </row>
    <row r="1141" spans="1:9" hidden="1" x14ac:dyDescent="0.25">
      <c r="A1141">
        <v>2024</v>
      </c>
      <c r="B1141" s="140" t="s">
        <v>146</v>
      </c>
      <c r="C1141" s="140" t="s">
        <v>147</v>
      </c>
      <c r="D1141" s="140" t="s">
        <v>11</v>
      </c>
      <c r="E1141" s="140" t="s">
        <v>12</v>
      </c>
      <c r="F1141">
        <v>1.637</v>
      </c>
      <c r="G1141" s="140" t="s">
        <v>148</v>
      </c>
      <c r="H1141">
        <v>0</v>
      </c>
      <c r="I1141" s="140" t="s">
        <v>14</v>
      </c>
    </row>
    <row r="1142" spans="1:9" hidden="1" x14ac:dyDescent="0.25">
      <c r="A1142">
        <v>2025</v>
      </c>
      <c r="B1142" s="140" t="s">
        <v>146</v>
      </c>
      <c r="C1142" s="140" t="s">
        <v>147</v>
      </c>
      <c r="D1142" s="140" t="s">
        <v>11</v>
      </c>
      <c r="E1142" s="140" t="s">
        <v>12</v>
      </c>
      <c r="F1142">
        <v>1.673</v>
      </c>
      <c r="G1142" s="140" t="s">
        <v>148</v>
      </c>
      <c r="H1142">
        <v>0</v>
      </c>
      <c r="I1142" s="140" t="s">
        <v>14</v>
      </c>
    </row>
    <row r="1143" spans="1:9" hidden="1" x14ac:dyDescent="0.25">
      <c r="A1143">
        <v>2026</v>
      </c>
      <c r="B1143" s="140" t="s">
        <v>146</v>
      </c>
      <c r="C1143" s="140" t="s">
        <v>147</v>
      </c>
      <c r="D1143" s="140" t="s">
        <v>11</v>
      </c>
      <c r="E1143" s="140" t="s">
        <v>12</v>
      </c>
      <c r="F1143">
        <v>1.712</v>
      </c>
      <c r="G1143" s="140" t="s">
        <v>148</v>
      </c>
      <c r="H1143">
        <v>0</v>
      </c>
      <c r="I1143" s="140" t="s">
        <v>14</v>
      </c>
    </row>
    <row r="1144" spans="1:9" hidden="1" x14ac:dyDescent="0.25">
      <c r="A1144">
        <v>2027</v>
      </c>
      <c r="B1144" s="140" t="s">
        <v>146</v>
      </c>
      <c r="C1144" s="140" t="s">
        <v>147</v>
      </c>
      <c r="D1144" s="140" t="s">
        <v>11</v>
      </c>
      <c r="E1144" s="140" t="s">
        <v>12</v>
      </c>
      <c r="F1144">
        <v>1.7695232000000001</v>
      </c>
      <c r="G1144" s="140" t="s">
        <v>148</v>
      </c>
      <c r="H1144">
        <v>0</v>
      </c>
      <c r="I1144" s="140" t="s">
        <v>14</v>
      </c>
    </row>
    <row r="1145" spans="1:9" hidden="1" x14ac:dyDescent="0.25">
      <c r="A1145">
        <v>2028</v>
      </c>
      <c r="B1145" s="140" t="s">
        <v>146</v>
      </c>
      <c r="C1145" s="140" t="s">
        <v>147</v>
      </c>
      <c r="D1145" s="140" t="s">
        <v>11</v>
      </c>
      <c r="E1145" s="140" t="s">
        <v>12</v>
      </c>
      <c r="F1145">
        <v>1.817300326</v>
      </c>
      <c r="G1145" s="140" t="s">
        <v>148</v>
      </c>
      <c r="H1145">
        <v>0</v>
      </c>
      <c r="I1145" s="140" t="s">
        <v>14</v>
      </c>
    </row>
    <row r="1146" spans="1:9" hidden="1" x14ac:dyDescent="0.25">
      <c r="A1146">
        <v>2029</v>
      </c>
      <c r="B1146" s="140" t="s">
        <v>146</v>
      </c>
      <c r="C1146" s="140" t="s">
        <v>147</v>
      </c>
      <c r="D1146" s="140" t="s">
        <v>11</v>
      </c>
      <c r="E1146" s="140" t="s">
        <v>12</v>
      </c>
      <c r="F1146">
        <v>1.8758173970000001</v>
      </c>
      <c r="G1146" s="140" t="s">
        <v>148</v>
      </c>
      <c r="H1146">
        <v>0</v>
      </c>
      <c r="I1146" s="140" t="s">
        <v>14</v>
      </c>
    </row>
    <row r="1147" spans="1:9" hidden="1" x14ac:dyDescent="0.25">
      <c r="A1147">
        <v>2030</v>
      </c>
      <c r="B1147" s="140" t="s">
        <v>146</v>
      </c>
      <c r="C1147" s="140" t="s">
        <v>147</v>
      </c>
      <c r="D1147" s="140" t="s">
        <v>11</v>
      </c>
      <c r="E1147" s="140" t="s">
        <v>12</v>
      </c>
      <c r="F1147">
        <v>1.9313415920000001</v>
      </c>
      <c r="G1147" s="140" t="s">
        <v>148</v>
      </c>
      <c r="H1147">
        <v>0</v>
      </c>
      <c r="I1147" s="140" t="s">
        <v>14</v>
      </c>
    </row>
    <row r="1148" spans="1:9" hidden="1" x14ac:dyDescent="0.25">
      <c r="A1148">
        <v>1990</v>
      </c>
      <c r="B1148" s="140" t="s">
        <v>9</v>
      </c>
      <c r="C1148" s="140" t="s">
        <v>10</v>
      </c>
      <c r="D1148" s="140" t="s">
        <v>11</v>
      </c>
      <c r="E1148" s="140" t="s">
        <v>12</v>
      </c>
      <c r="F1148">
        <v>9.2249999999999996</v>
      </c>
      <c r="G1148" s="140" t="s">
        <v>13</v>
      </c>
      <c r="H1148">
        <v>0</v>
      </c>
      <c r="I1148" s="140" t="s">
        <v>14</v>
      </c>
    </row>
    <row r="1149" spans="1:9" hidden="1" x14ac:dyDescent="0.25">
      <c r="A1149">
        <v>1991</v>
      </c>
      <c r="B1149" s="140" t="s">
        <v>9</v>
      </c>
      <c r="C1149" s="140" t="s">
        <v>10</v>
      </c>
      <c r="D1149" s="140" t="s">
        <v>11</v>
      </c>
      <c r="E1149" s="140" t="s">
        <v>12</v>
      </c>
      <c r="F1149">
        <v>6.383</v>
      </c>
      <c r="G1149" s="140" t="s">
        <v>13</v>
      </c>
      <c r="H1149">
        <v>0</v>
      </c>
      <c r="I1149" s="140" t="s">
        <v>14</v>
      </c>
    </row>
    <row r="1150" spans="1:9" hidden="1" x14ac:dyDescent="0.25">
      <c r="A1150">
        <v>1992</v>
      </c>
      <c r="B1150" s="140" t="s">
        <v>9</v>
      </c>
      <c r="C1150" s="140" t="s">
        <v>10</v>
      </c>
      <c r="D1150" s="140" t="s">
        <v>11</v>
      </c>
      <c r="E1150" s="140" t="s">
        <v>12</v>
      </c>
      <c r="F1150">
        <v>1.911</v>
      </c>
      <c r="G1150" s="140" t="s">
        <v>13</v>
      </c>
      <c r="H1150">
        <v>0</v>
      </c>
      <c r="I1150" s="140" t="s">
        <v>14</v>
      </c>
    </row>
    <row r="1151" spans="1:9" hidden="1" x14ac:dyDescent="0.25">
      <c r="A1151">
        <v>1993</v>
      </c>
      <c r="B1151" s="140" t="s">
        <v>9</v>
      </c>
      <c r="C1151" s="140" t="s">
        <v>10</v>
      </c>
      <c r="D1151" s="140" t="s">
        <v>11</v>
      </c>
      <c r="E1151" s="140" t="s">
        <v>12</v>
      </c>
      <c r="F1151">
        <v>0.749</v>
      </c>
      <c r="G1151" s="140" t="s">
        <v>13</v>
      </c>
      <c r="H1151">
        <v>0</v>
      </c>
      <c r="I1151" s="140" t="s">
        <v>14</v>
      </c>
    </row>
    <row r="1152" spans="1:9" hidden="1" x14ac:dyDescent="0.25">
      <c r="A1152">
        <v>1994</v>
      </c>
      <c r="B1152" s="140" t="s">
        <v>9</v>
      </c>
      <c r="C1152" s="140" t="s">
        <v>10</v>
      </c>
      <c r="D1152" s="140" t="s">
        <v>11</v>
      </c>
      <c r="E1152" s="140" t="s">
        <v>12</v>
      </c>
      <c r="F1152">
        <v>2.0030000000000001</v>
      </c>
      <c r="G1152" s="140" t="s">
        <v>13</v>
      </c>
      <c r="H1152">
        <v>0</v>
      </c>
      <c r="I1152" s="140" t="s">
        <v>14</v>
      </c>
    </row>
    <row r="1153" spans="1:9" hidden="1" x14ac:dyDescent="0.25">
      <c r="A1153">
        <v>1995</v>
      </c>
      <c r="B1153" s="140" t="s">
        <v>9</v>
      </c>
      <c r="C1153" s="140" t="s">
        <v>10</v>
      </c>
      <c r="D1153" s="140" t="s">
        <v>11</v>
      </c>
      <c r="E1153" s="140" t="s">
        <v>12</v>
      </c>
      <c r="F1153">
        <v>4.4320000000000004</v>
      </c>
      <c r="G1153" s="140" t="s">
        <v>13</v>
      </c>
      <c r="H1153">
        <v>0</v>
      </c>
      <c r="I1153" s="140" t="s">
        <v>14</v>
      </c>
    </row>
    <row r="1154" spans="1:9" hidden="1" x14ac:dyDescent="0.25">
      <c r="A1154">
        <v>1996</v>
      </c>
      <c r="B1154" s="140" t="s">
        <v>9</v>
      </c>
      <c r="C1154" s="140" t="s">
        <v>10</v>
      </c>
      <c r="D1154" s="140" t="s">
        <v>11</v>
      </c>
      <c r="E1154" s="140" t="s">
        <v>12</v>
      </c>
      <c r="F1154">
        <v>4.1945699999999997</v>
      </c>
      <c r="G1154" s="140" t="s">
        <v>13</v>
      </c>
      <c r="H1154">
        <v>0</v>
      </c>
      <c r="I1154" s="140" t="s">
        <v>14</v>
      </c>
    </row>
    <row r="1155" spans="1:9" hidden="1" x14ac:dyDescent="0.25">
      <c r="A1155">
        <v>1997</v>
      </c>
      <c r="B1155" s="140" t="s">
        <v>9</v>
      </c>
      <c r="C1155" s="140" t="s">
        <v>10</v>
      </c>
      <c r="D1155" s="140" t="s">
        <v>11</v>
      </c>
      <c r="E1155" s="140" t="s">
        <v>12</v>
      </c>
      <c r="F1155">
        <v>2.4365281219999999</v>
      </c>
      <c r="G1155" s="140" t="s">
        <v>13</v>
      </c>
      <c r="H1155">
        <v>0</v>
      </c>
      <c r="I1155" s="140" t="s">
        <v>14</v>
      </c>
    </row>
    <row r="1156" spans="1:9" hidden="1" x14ac:dyDescent="0.25">
      <c r="A1156">
        <v>1998</v>
      </c>
      <c r="B1156" s="140" t="s">
        <v>9</v>
      </c>
      <c r="C1156" s="140" t="s">
        <v>10</v>
      </c>
      <c r="D1156" s="140" t="s">
        <v>11</v>
      </c>
      <c r="E1156" s="140" t="s">
        <v>12</v>
      </c>
      <c r="F1156">
        <v>3.5400947970000001</v>
      </c>
      <c r="G1156" s="140" t="s">
        <v>13</v>
      </c>
      <c r="H1156">
        <v>0</v>
      </c>
      <c r="I1156" s="140" t="s">
        <v>14</v>
      </c>
    </row>
    <row r="1157" spans="1:9" hidden="1" x14ac:dyDescent="0.25">
      <c r="A1157">
        <v>1999</v>
      </c>
      <c r="B1157" s="140" t="s">
        <v>9</v>
      </c>
      <c r="C1157" s="140" t="s">
        <v>10</v>
      </c>
      <c r="D1157" s="140" t="s">
        <v>11</v>
      </c>
      <c r="E1157" s="140" t="s">
        <v>12</v>
      </c>
      <c r="F1157">
        <v>2.7513090010000001</v>
      </c>
      <c r="G1157" s="140" t="s">
        <v>13</v>
      </c>
      <c r="H1157">
        <v>0</v>
      </c>
      <c r="I1157" s="140" t="s">
        <v>14</v>
      </c>
    </row>
    <row r="1158" spans="1:9" hidden="1" x14ac:dyDescent="0.25">
      <c r="A1158">
        <v>2000</v>
      </c>
      <c r="B1158" s="140" t="s">
        <v>9</v>
      </c>
      <c r="C1158" s="140" t="s">
        <v>10</v>
      </c>
      <c r="D1158" s="140" t="s">
        <v>11</v>
      </c>
      <c r="E1158" s="140" t="s">
        <v>12</v>
      </c>
      <c r="F1158">
        <v>3.9988540960000001</v>
      </c>
      <c r="G1158" s="140" t="s">
        <v>13</v>
      </c>
      <c r="H1158">
        <v>0</v>
      </c>
      <c r="I1158" s="140" t="s">
        <v>14</v>
      </c>
    </row>
    <row r="1159" spans="1:9" hidden="1" x14ac:dyDescent="0.25">
      <c r="A1159">
        <v>2001</v>
      </c>
      <c r="B1159" s="140" t="s">
        <v>9</v>
      </c>
      <c r="C1159" s="140" t="s">
        <v>10</v>
      </c>
      <c r="D1159" s="140" t="s">
        <v>11</v>
      </c>
      <c r="E1159" s="140" t="s">
        <v>12</v>
      </c>
      <c r="F1159">
        <v>4.5315783559999998</v>
      </c>
      <c r="G1159" s="140" t="s">
        <v>13</v>
      </c>
      <c r="H1159">
        <v>0</v>
      </c>
      <c r="I1159" s="140" t="s">
        <v>14</v>
      </c>
    </row>
    <row r="1160" spans="1:9" hidden="1" x14ac:dyDescent="0.25">
      <c r="A1160">
        <v>2002</v>
      </c>
      <c r="B1160" s="140" t="s">
        <v>9</v>
      </c>
      <c r="C1160" s="140" t="s">
        <v>10</v>
      </c>
      <c r="D1160" s="140" t="s">
        <v>11</v>
      </c>
      <c r="E1160" s="140" t="s">
        <v>12</v>
      </c>
      <c r="F1160">
        <v>3.5150194969999999</v>
      </c>
      <c r="G1160" s="140" t="s">
        <v>13</v>
      </c>
      <c r="H1160">
        <v>0</v>
      </c>
      <c r="I1160" s="140" t="s">
        <v>14</v>
      </c>
    </row>
    <row r="1161" spans="1:9" hidden="1" x14ac:dyDescent="0.25">
      <c r="A1161">
        <v>2003</v>
      </c>
      <c r="B1161" s="140" t="s">
        <v>9</v>
      </c>
      <c r="C1161" s="140" t="s">
        <v>10</v>
      </c>
      <c r="D1161" s="140" t="s">
        <v>11</v>
      </c>
      <c r="E1161" s="140" t="s">
        <v>12</v>
      </c>
      <c r="F1161">
        <v>3.940817155</v>
      </c>
      <c r="G1161" s="140" t="s">
        <v>13</v>
      </c>
      <c r="H1161">
        <v>0</v>
      </c>
      <c r="I1161" s="140" t="s">
        <v>14</v>
      </c>
    </row>
    <row r="1162" spans="1:9" hidden="1" x14ac:dyDescent="0.25">
      <c r="A1162">
        <v>2004</v>
      </c>
      <c r="B1162" s="140" t="s">
        <v>9</v>
      </c>
      <c r="C1162" s="140" t="s">
        <v>10</v>
      </c>
      <c r="D1162" s="140" t="s">
        <v>11</v>
      </c>
      <c r="E1162" s="140" t="s">
        <v>12</v>
      </c>
      <c r="F1162">
        <v>3.760212084</v>
      </c>
      <c r="G1162" s="140" t="s">
        <v>13</v>
      </c>
      <c r="H1162">
        <v>0</v>
      </c>
      <c r="I1162" s="140" t="s">
        <v>14</v>
      </c>
    </row>
    <row r="1163" spans="1:9" hidden="1" x14ac:dyDescent="0.25">
      <c r="A1163">
        <v>2005</v>
      </c>
      <c r="B1163" s="140" t="s">
        <v>9</v>
      </c>
      <c r="C1163" s="140" t="s">
        <v>10</v>
      </c>
      <c r="D1163" s="140" t="s">
        <v>11</v>
      </c>
      <c r="E1163" s="140" t="s">
        <v>12</v>
      </c>
      <c r="F1163">
        <v>3.9329555580000002</v>
      </c>
      <c r="G1163" s="140" t="s">
        <v>13</v>
      </c>
      <c r="H1163">
        <v>0</v>
      </c>
      <c r="I1163" s="140" t="s">
        <v>14</v>
      </c>
    </row>
    <row r="1164" spans="1:9" hidden="1" x14ac:dyDescent="0.25">
      <c r="A1164">
        <v>2006</v>
      </c>
      <c r="B1164" s="140" t="s">
        <v>9</v>
      </c>
      <c r="C1164" s="140" t="s">
        <v>10</v>
      </c>
      <c r="D1164" s="140" t="s">
        <v>11</v>
      </c>
      <c r="E1164" s="140" t="s">
        <v>12</v>
      </c>
      <c r="F1164">
        <v>3.0335365649999999</v>
      </c>
      <c r="G1164" s="140" t="s">
        <v>13</v>
      </c>
      <c r="H1164">
        <v>0</v>
      </c>
      <c r="I1164" s="140" t="s">
        <v>14</v>
      </c>
    </row>
    <row r="1165" spans="1:9" hidden="1" x14ac:dyDescent="0.25">
      <c r="A1165">
        <v>2007</v>
      </c>
      <c r="B1165" s="140" t="s">
        <v>9</v>
      </c>
      <c r="C1165" s="140" t="s">
        <v>10</v>
      </c>
      <c r="D1165" s="140" t="s">
        <v>11</v>
      </c>
      <c r="E1165" s="140" t="s">
        <v>12</v>
      </c>
      <c r="F1165">
        <v>3.3087598050000002</v>
      </c>
      <c r="G1165" s="140" t="s">
        <v>13</v>
      </c>
      <c r="H1165">
        <v>0</v>
      </c>
      <c r="I1165" s="140" t="s">
        <v>14</v>
      </c>
    </row>
    <row r="1166" spans="1:9" hidden="1" x14ac:dyDescent="0.25">
      <c r="A1166">
        <v>2008</v>
      </c>
      <c r="B1166" s="140" t="s">
        <v>9</v>
      </c>
      <c r="C1166" s="140" t="s">
        <v>10</v>
      </c>
      <c r="D1166" s="140" t="s">
        <v>11</v>
      </c>
      <c r="E1166" s="140" t="s">
        <v>12</v>
      </c>
      <c r="F1166">
        <v>5.563049232</v>
      </c>
      <c r="G1166" s="140" t="s">
        <v>13</v>
      </c>
      <c r="H1166">
        <v>0</v>
      </c>
      <c r="I1166" s="140" t="s">
        <v>14</v>
      </c>
    </row>
    <row r="1167" spans="1:9" hidden="1" x14ac:dyDescent="0.25">
      <c r="A1167">
        <v>2009</v>
      </c>
      <c r="B1167" s="140" t="s">
        <v>9</v>
      </c>
      <c r="C1167" s="140" t="s">
        <v>10</v>
      </c>
      <c r="D1167" s="140" t="s">
        <v>11</v>
      </c>
      <c r="E1167" s="140" t="s">
        <v>12</v>
      </c>
      <c r="F1167">
        <v>4.0036927259999997</v>
      </c>
      <c r="G1167" s="140" t="s">
        <v>13</v>
      </c>
      <c r="H1167">
        <v>0</v>
      </c>
      <c r="I1167" s="140" t="s">
        <v>14</v>
      </c>
    </row>
    <row r="1168" spans="1:9" hidden="1" x14ac:dyDescent="0.25">
      <c r="A1168">
        <v>2010</v>
      </c>
      <c r="B1168" s="140" t="s">
        <v>9</v>
      </c>
      <c r="C1168" s="140" t="s">
        <v>10</v>
      </c>
      <c r="D1168" s="140" t="s">
        <v>11</v>
      </c>
      <c r="E1168" s="140" t="s">
        <v>12</v>
      </c>
      <c r="F1168">
        <v>2.6115692309999998</v>
      </c>
      <c r="G1168" s="140" t="s">
        <v>13</v>
      </c>
      <c r="H1168">
        <v>0</v>
      </c>
      <c r="I1168" s="140" t="s">
        <v>14</v>
      </c>
    </row>
    <row r="1169" spans="1:9" hidden="1" x14ac:dyDescent="0.25">
      <c r="A1169">
        <v>2011</v>
      </c>
      <c r="B1169" s="140" t="s">
        <v>9</v>
      </c>
      <c r="C1169" s="140" t="s">
        <v>10</v>
      </c>
      <c r="D1169" s="140" t="s">
        <v>11</v>
      </c>
      <c r="E1169" s="140" t="s">
        <v>12</v>
      </c>
      <c r="F1169">
        <v>2.699854266</v>
      </c>
      <c r="G1169" s="140" t="s">
        <v>13</v>
      </c>
      <c r="H1169">
        <v>0</v>
      </c>
      <c r="I1169" s="140" t="s">
        <v>14</v>
      </c>
    </row>
    <row r="1170" spans="1:9" hidden="1" x14ac:dyDescent="0.25">
      <c r="A1170">
        <v>2012</v>
      </c>
      <c r="B1170" s="140" t="s">
        <v>9</v>
      </c>
      <c r="C1170" s="140" t="s">
        <v>10</v>
      </c>
      <c r="D1170" s="140" t="s">
        <v>11</v>
      </c>
      <c r="E1170" s="140" t="s">
        <v>12</v>
      </c>
      <c r="F1170">
        <v>3.1836252749999998</v>
      </c>
      <c r="G1170" s="140" t="s">
        <v>13</v>
      </c>
      <c r="H1170">
        <v>0</v>
      </c>
      <c r="I1170" s="140" t="s">
        <v>14</v>
      </c>
    </row>
    <row r="1171" spans="1:9" hidden="1" x14ac:dyDescent="0.25">
      <c r="A1171">
        <v>2013</v>
      </c>
      <c r="B1171" s="140" t="s">
        <v>9</v>
      </c>
      <c r="C1171" s="140" t="s">
        <v>10</v>
      </c>
      <c r="D1171" s="140" t="s">
        <v>11</v>
      </c>
      <c r="E1171" s="140" t="s">
        <v>12</v>
      </c>
      <c r="F1171">
        <v>2.0978999460000001</v>
      </c>
      <c r="G1171" s="140" t="s">
        <v>13</v>
      </c>
      <c r="H1171">
        <v>0</v>
      </c>
      <c r="I1171" s="140" t="s">
        <v>14</v>
      </c>
    </row>
    <row r="1172" spans="1:9" hidden="1" x14ac:dyDescent="0.25">
      <c r="A1172">
        <v>2014</v>
      </c>
      <c r="B1172" s="140" t="s">
        <v>9</v>
      </c>
      <c r="C1172" s="140" t="s">
        <v>10</v>
      </c>
      <c r="D1172" s="140" t="s">
        <v>11</v>
      </c>
      <c r="E1172" s="140" t="s">
        <v>12</v>
      </c>
      <c r="F1172">
        <v>1.444444157</v>
      </c>
      <c r="G1172" s="140" t="s">
        <v>13</v>
      </c>
      <c r="H1172">
        <v>0</v>
      </c>
      <c r="I1172" s="140" t="s">
        <v>14</v>
      </c>
    </row>
    <row r="1173" spans="1:9" hidden="1" x14ac:dyDescent="0.25">
      <c r="A1173">
        <v>2015</v>
      </c>
      <c r="B1173" s="140" t="s">
        <v>9</v>
      </c>
      <c r="C1173" s="140" t="s">
        <v>10</v>
      </c>
      <c r="D1173" s="140" t="s">
        <v>11</v>
      </c>
      <c r="E1173" s="140" t="s">
        <v>12</v>
      </c>
      <c r="F1173">
        <v>1.3991945539999999</v>
      </c>
      <c r="G1173" s="140" t="s">
        <v>13</v>
      </c>
      <c r="H1173">
        <v>0</v>
      </c>
      <c r="I1173" s="140" t="s">
        <v>14</v>
      </c>
    </row>
    <row r="1174" spans="1:9" hidden="1" x14ac:dyDescent="0.25">
      <c r="A1174">
        <v>2016</v>
      </c>
      <c r="B1174" s="140" t="s">
        <v>9</v>
      </c>
      <c r="C1174" s="140" t="s">
        <v>10</v>
      </c>
      <c r="D1174" s="140" t="s">
        <v>11</v>
      </c>
      <c r="E1174" s="140" t="s">
        <v>12</v>
      </c>
      <c r="F1174">
        <v>0.89537192600000004</v>
      </c>
      <c r="G1174" s="140" t="s">
        <v>13</v>
      </c>
      <c r="H1174">
        <v>0</v>
      </c>
      <c r="I1174" s="140" t="s">
        <v>14</v>
      </c>
    </row>
    <row r="1175" spans="1:9" hidden="1" x14ac:dyDescent="0.25">
      <c r="A1175">
        <v>2017</v>
      </c>
      <c r="B1175" s="140" t="s">
        <v>9</v>
      </c>
      <c r="C1175" s="140" t="s">
        <v>10</v>
      </c>
      <c r="D1175" s="140" t="s">
        <v>11</v>
      </c>
      <c r="E1175" s="140" t="s">
        <v>12</v>
      </c>
      <c r="F1175">
        <v>0.22184617000000001</v>
      </c>
      <c r="G1175" s="140" t="s">
        <v>13</v>
      </c>
      <c r="H1175">
        <v>0</v>
      </c>
      <c r="I1175" s="140" t="s">
        <v>14</v>
      </c>
    </row>
    <row r="1176" spans="1:9" hidden="1" x14ac:dyDescent="0.25">
      <c r="A1176">
        <v>2018</v>
      </c>
      <c r="B1176" s="140" t="s">
        <v>9</v>
      </c>
      <c r="C1176" s="140" t="s">
        <v>10</v>
      </c>
      <c r="D1176" s="140" t="s">
        <v>11</v>
      </c>
      <c r="E1176" s="140" t="s">
        <v>12</v>
      </c>
      <c r="F1176">
        <v>1.692803134</v>
      </c>
      <c r="G1176" s="140" t="s">
        <v>13</v>
      </c>
      <c r="H1176">
        <v>0</v>
      </c>
      <c r="I1176" s="140" t="s">
        <v>14</v>
      </c>
    </row>
    <row r="1177" spans="1:9" hidden="1" x14ac:dyDescent="0.25">
      <c r="A1177">
        <v>2019</v>
      </c>
      <c r="B1177" s="140" t="s">
        <v>9</v>
      </c>
      <c r="C1177" s="140" t="s">
        <v>10</v>
      </c>
      <c r="D1177" s="140" t="s">
        <v>11</v>
      </c>
      <c r="E1177" s="140" t="s">
        <v>12</v>
      </c>
      <c r="F1177">
        <v>2.1169316120000001</v>
      </c>
      <c r="G1177" s="140" t="s">
        <v>13</v>
      </c>
      <c r="H1177">
        <v>0</v>
      </c>
      <c r="I1177" s="140" t="s">
        <v>14</v>
      </c>
    </row>
    <row r="1178" spans="1:9" hidden="1" x14ac:dyDescent="0.25">
      <c r="A1178">
        <v>2020</v>
      </c>
      <c r="B1178" s="140" t="s">
        <v>9</v>
      </c>
      <c r="C1178" s="140" t="s">
        <v>10</v>
      </c>
      <c r="D1178" s="140" t="s">
        <v>11</v>
      </c>
      <c r="E1178" s="140" t="s">
        <v>12</v>
      </c>
      <c r="F1178">
        <v>1.939913826</v>
      </c>
      <c r="G1178" s="140" t="s">
        <v>13</v>
      </c>
      <c r="H1178">
        <v>0</v>
      </c>
      <c r="I1178" s="140" t="s">
        <v>14</v>
      </c>
    </row>
    <row r="1179" spans="1:9" hidden="1" x14ac:dyDescent="0.25">
      <c r="A1179">
        <v>2021</v>
      </c>
      <c r="B1179" s="140" t="s">
        <v>9</v>
      </c>
      <c r="C1179" s="140" t="s">
        <v>10</v>
      </c>
      <c r="D1179" s="140" t="s">
        <v>11</v>
      </c>
      <c r="E1179" s="140" t="s">
        <v>12</v>
      </c>
      <c r="F1179">
        <v>2.4253456170000001</v>
      </c>
      <c r="G1179" s="140" t="s">
        <v>13</v>
      </c>
      <c r="H1179">
        <v>0</v>
      </c>
      <c r="I1179" s="140" t="s">
        <v>14</v>
      </c>
    </row>
    <row r="1180" spans="1:9" hidden="1" x14ac:dyDescent="0.25">
      <c r="A1180">
        <v>2022</v>
      </c>
      <c r="B1180" s="140" t="s">
        <v>9</v>
      </c>
      <c r="C1180" s="140" t="s">
        <v>10</v>
      </c>
      <c r="D1180" s="140" t="s">
        <v>11</v>
      </c>
      <c r="E1180" s="140" t="s">
        <v>12</v>
      </c>
      <c r="F1180">
        <v>2.413411027</v>
      </c>
      <c r="G1180" s="140" t="s">
        <v>13</v>
      </c>
      <c r="H1180">
        <v>0</v>
      </c>
      <c r="I1180" s="140" t="s">
        <v>14</v>
      </c>
    </row>
    <row r="1181" spans="1:9" hidden="1" x14ac:dyDescent="0.25">
      <c r="A1181">
        <v>2023</v>
      </c>
      <c r="B1181" s="140" t="s">
        <v>9</v>
      </c>
      <c r="C1181" s="140" t="s">
        <v>10</v>
      </c>
      <c r="D1181" s="140" t="s">
        <v>11</v>
      </c>
      <c r="E1181" s="140" t="s">
        <v>12</v>
      </c>
      <c r="F1181">
        <v>4.2388100839999998</v>
      </c>
      <c r="G1181" s="140" t="s">
        <v>13</v>
      </c>
      <c r="H1181">
        <v>0</v>
      </c>
      <c r="I1181" s="140" t="s">
        <v>14</v>
      </c>
    </row>
    <row r="1182" spans="1:9" hidden="1" x14ac:dyDescent="0.25">
      <c r="A1182">
        <v>2024</v>
      </c>
      <c r="B1182" s="140" t="s">
        <v>9</v>
      </c>
      <c r="C1182" s="140" t="s">
        <v>10</v>
      </c>
      <c r="D1182" s="140" t="s">
        <v>11</v>
      </c>
      <c r="E1182" s="140" t="s">
        <v>12</v>
      </c>
      <c r="F1182">
        <v>3.3633976300000001</v>
      </c>
      <c r="G1182" s="140" t="s">
        <v>13</v>
      </c>
      <c r="H1182">
        <v>0</v>
      </c>
      <c r="I1182" s="140" t="s">
        <v>14</v>
      </c>
    </row>
    <row r="1183" spans="1:9" hidden="1" x14ac:dyDescent="0.25">
      <c r="A1183">
        <v>2025</v>
      </c>
      <c r="B1183" s="140" t="s">
        <v>9</v>
      </c>
      <c r="C1183" s="140" t="s">
        <v>10</v>
      </c>
      <c r="D1183" s="140" t="s">
        <v>11</v>
      </c>
      <c r="E1183" s="140" t="s">
        <v>12</v>
      </c>
      <c r="F1183">
        <v>3.066742563</v>
      </c>
      <c r="G1183" s="140" t="s">
        <v>13</v>
      </c>
      <c r="H1183">
        <v>0</v>
      </c>
      <c r="I1183" s="140" t="s">
        <v>14</v>
      </c>
    </row>
    <row r="1184" spans="1:9" hidden="1" x14ac:dyDescent="0.25">
      <c r="A1184">
        <v>2026</v>
      </c>
      <c r="B1184" s="140" t="s">
        <v>9</v>
      </c>
      <c r="C1184" s="140" t="s">
        <v>10</v>
      </c>
      <c r="D1184" s="140" t="s">
        <v>11</v>
      </c>
      <c r="E1184" s="140" t="s">
        <v>12</v>
      </c>
      <c r="F1184">
        <v>3.5863067370000001</v>
      </c>
      <c r="G1184" s="140" t="s">
        <v>13</v>
      </c>
      <c r="H1184">
        <v>0</v>
      </c>
      <c r="I1184" s="140" t="s">
        <v>14</v>
      </c>
    </row>
    <row r="1185" spans="1:9" hidden="1" x14ac:dyDescent="0.25">
      <c r="A1185">
        <v>2027</v>
      </c>
      <c r="B1185" s="140" t="s">
        <v>9</v>
      </c>
      <c r="C1185" s="140" t="s">
        <v>10</v>
      </c>
      <c r="D1185" s="140" t="s">
        <v>11</v>
      </c>
      <c r="E1185" s="140" t="s">
        <v>12</v>
      </c>
      <c r="F1185">
        <v>3.1892165609999998</v>
      </c>
      <c r="G1185" s="140" t="s">
        <v>13</v>
      </c>
      <c r="H1185">
        <v>0</v>
      </c>
      <c r="I1185" s="140" t="s">
        <v>14</v>
      </c>
    </row>
    <row r="1186" spans="1:9" hidden="1" x14ac:dyDescent="0.25">
      <c r="A1186">
        <v>2028</v>
      </c>
      <c r="B1186" s="140" t="s">
        <v>9</v>
      </c>
      <c r="C1186" s="140" t="s">
        <v>10</v>
      </c>
      <c r="D1186" s="140" t="s">
        <v>11</v>
      </c>
      <c r="E1186" s="140" t="s">
        <v>12</v>
      </c>
      <c r="F1186">
        <v>3.4</v>
      </c>
      <c r="G1186" s="140" t="s">
        <v>13</v>
      </c>
      <c r="H1186">
        <v>0</v>
      </c>
      <c r="I1186" s="140" t="s">
        <v>14</v>
      </c>
    </row>
    <row r="1187" spans="1:9" hidden="1" x14ac:dyDescent="0.25">
      <c r="A1187">
        <v>2029</v>
      </c>
      <c r="B1187" s="140" t="s">
        <v>9</v>
      </c>
      <c r="C1187" s="140" t="s">
        <v>10</v>
      </c>
      <c r="D1187" s="140" t="s">
        <v>11</v>
      </c>
      <c r="E1187" s="140" t="s">
        <v>12</v>
      </c>
      <c r="F1187">
        <v>3.2</v>
      </c>
      <c r="G1187" s="140" t="s">
        <v>13</v>
      </c>
      <c r="H1187">
        <v>0</v>
      </c>
      <c r="I1187" s="140" t="s">
        <v>14</v>
      </c>
    </row>
    <row r="1188" spans="1:9" hidden="1" x14ac:dyDescent="0.25">
      <c r="A1188">
        <v>2030</v>
      </c>
      <c r="B1188" s="140" t="s">
        <v>9</v>
      </c>
      <c r="C1188" s="140" t="s">
        <v>10</v>
      </c>
      <c r="D1188" s="140" t="s">
        <v>11</v>
      </c>
      <c r="E1188" s="140" t="s">
        <v>12</v>
      </c>
      <c r="F1188">
        <v>3.2</v>
      </c>
      <c r="G1188" s="140" t="s">
        <v>13</v>
      </c>
      <c r="H1188">
        <v>0</v>
      </c>
      <c r="I1188" s="140" t="s">
        <v>14</v>
      </c>
    </row>
    <row r="1189" spans="1:9" hidden="1" x14ac:dyDescent="0.25">
      <c r="A1189">
        <v>2009</v>
      </c>
      <c r="B1189" s="140" t="s">
        <v>327</v>
      </c>
      <c r="C1189" s="140" t="s">
        <v>82</v>
      </c>
      <c r="D1189" s="140" t="s">
        <v>11</v>
      </c>
      <c r="E1189" s="140" t="s">
        <v>12</v>
      </c>
      <c r="F1189">
        <v>3.5977859780000001</v>
      </c>
      <c r="G1189" s="140" t="s">
        <v>328</v>
      </c>
      <c r="H1189">
        <v>0</v>
      </c>
      <c r="I1189" s="140" t="s">
        <v>14</v>
      </c>
    </row>
    <row r="1190" spans="1:9" hidden="1" x14ac:dyDescent="0.25">
      <c r="A1190">
        <v>2010</v>
      </c>
      <c r="B1190" s="140" t="s">
        <v>327</v>
      </c>
      <c r="C1190" s="140" t="s">
        <v>82</v>
      </c>
      <c r="D1190" s="140" t="s">
        <v>11</v>
      </c>
      <c r="E1190" s="140" t="s">
        <v>12</v>
      </c>
      <c r="F1190">
        <v>2.0480854850000001</v>
      </c>
      <c r="G1190" s="140" t="s">
        <v>328</v>
      </c>
      <c r="H1190">
        <v>0</v>
      </c>
      <c r="I1190" s="140" t="s">
        <v>14</v>
      </c>
    </row>
    <row r="1191" spans="1:9" hidden="1" x14ac:dyDescent="0.25">
      <c r="A1191">
        <v>2011</v>
      </c>
      <c r="B1191" s="140" t="s">
        <v>327</v>
      </c>
      <c r="C1191" s="140" t="s">
        <v>82</v>
      </c>
      <c r="D1191" s="140" t="s">
        <v>11</v>
      </c>
      <c r="E1191" s="140" t="s">
        <v>12</v>
      </c>
      <c r="F1191">
        <v>2.0069808029999998</v>
      </c>
      <c r="G1191" s="140" t="s">
        <v>328</v>
      </c>
      <c r="H1191">
        <v>0</v>
      </c>
      <c r="I1191" s="140" t="s">
        <v>14</v>
      </c>
    </row>
    <row r="1192" spans="1:9" hidden="1" x14ac:dyDescent="0.25">
      <c r="A1192">
        <v>2012</v>
      </c>
      <c r="B1192" s="140" t="s">
        <v>327</v>
      </c>
      <c r="C1192" s="140" t="s">
        <v>82</v>
      </c>
      <c r="D1192" s="140" t="s">
        <v>11</v>
      </c>
      <c r="E1192" s="140" t="s">
        <v>12</v>
      </c>
      <c r="F1192">
        <v>2.9084687769999999</v>
      </c>
      <c r="G1192" s="140" t="s">
        <v>328</v>
      </c>
      <c r="H1192">
        <v>0</v>
      </c>
      <c r="I1192" s="140" t="s">
        <v>14</v>
      </c>
    </row>
    <row r="1193" spans="1:9" hidden="1" x14ac:dyDescent="0.25">
      <c r="A1193">
        <v>2013</v>
      </c>
      <c r="B1193" s="140" t="s">
        <v>327</v>
      </c>
      <c r="C1193" s="140" t="s">
        <v>82</v>
      </c>
      <c r="D1193" s="140" t="s">
        <v>11</v>
      </c>
      <c r="E1193" s="140" t="s">
        <v>12</v>
      </c>
      <c r="F1193">
        <v>1.413133832</v>
      </c>
      <c r="G1193" s="140" t="s">
        <v>328</v>
      </c>
      <c r="H1193">
        <v>0</v>
      </c>
      <c r="I1193" s="140" t="s">
        <v>14</v>
      </c>
    </row>
    <row r="1194" spans="1:9" hidden="1" x14ac:dyDescent="0.25">
      <c r="A1194">
        <v>2014</v>
      </c>
      <c r="B1194" s="140" t="s">
        <v>327</v>
      </c>
      <c r="C1194" s="140" t="s">
        <v>82</v>
      </c>
      <c r="D1194" s="140" t="s">
        <v>11</v>
      </c>
      <c r="E1194" s="140" t="s">
        <v>12</v>
      </c>
      <c r="F1194">
        <v>0.73770491800000004</v>
      </c>
      <c r="G1194" s="140" t="s">
        <v>328</v>
      </c>
      <c r="H1194">
        <v>0</v>
      </c>
      <c r="I1194" s="140" t="s">
        <v>14</v>
      </c>
    </row>
    <row r="1195" spans="1:9" hidden="1" x14ac:dyDescent="0.25">
      <c r="A1195">
        <v>2015</v>
      </c>
      <c r="B1195" s="140" t="s">
        <v>327</v>
      </c>
      <c r="C1195" s="140" t="s">
        <v>82</v>
      </c>
      <c r="D1195" s="140" t="s">
        <v>11</v>
      </c>
      <c r="E1195" s="140" t="s">
        <v>12</v>
      </c>
      <c r="F1195">
        <v>0.56956875500000004</v>
      </c>
      <c r="G1195" s="140" t="s">
        <v>328</v>
      </c>
      <c r="H1195">
        <v>0</v>
      </c>
      <c r="I1195" s="140" t="s">
        <v>14</v>
      </c>
    </row>
    <row r="1196" spans="1:9" hidden="1" x14ac:dyDescent="0.25">
      <c r="A1196">
        <v>2016</v>
      </c>
      <c r="B1196" s="140" t="s">
        <v>327</v>
      </c>
      <c r="C1196" s="140" t="s">
        <v>82</v>
      </c>
      <c r="D1196" s="140" t="s">
        <v>11</v>
      </c>
      <c r="E1196" s="140" t="s">
        <v>12</v>
      </c>
      <c r="F1196">
        <v>0.6</v>
      </c>
      <c r="G1196" s="140" t="s">
        <v>328</v>
      </c>
      <c r="H1196">
        <v>0</v>
      </c>
      <c r="I1196" s="140" t="s">
        <v>14</v>
      </c>
    </row>
    <row r="1197" spans="1:9" hidden="1" x14ac:dyDescent="0.25">
      <c r="A1197">
        <v>2017</v>
      </c>
      <c r="B1197" s="140" t="s">
        <v>327</v>
      </c>
      <c r="C1197" s="140" t="s">
        <v>82</v>
      </c>
      <c r="D1197" s="140" t="s">
        <v>11</v>
      </c>
      <c r="E1197" s="140" t="s">
        <v>12</v>
      </c>
      <c r="F1197">
        <v>-0.3</v>
      </c>
      <c r="G1197" s="140" t="s">
        <v>328</v>
      </c>
      <c r="H1197">
        <v>0</v>
      </c>
      <c r="I1197" s="140" t="s">
        <v>14</v>
      </c>
    </row>
    <row r="1198" spans="1:9" hidden="1" x14ac:dyDescent="0.25">
      <c r="A1198">
        <v>2018</v>
      </c>
      <c r="B1198" s="140" t="s">
        <v>327</v>
      </c>
      <c r="C1198" s="140" t="s">
        <v>82</v>
      </c>
      <c r="D1198" s="140" t="s">
        <v>11</v>
      </c>
      <c r="E1198" s="140" t="s">
        <v>12</v>
      </c>
      <c r="F1198">
        <v>1.2</v>
      </c>
      <c r="G1198" s="140" t="s">
        <v>328</v>
      </c>
      <c r="H1198">
        <v>0</v>
      </c>
      <c r="I1198" s="140" t="s">
        <v>14</v>
      </c>
    </row>
    <row r="1199" spans="1:9" hidden="1" x14ac:dyDescent="0.25">
      <c r="A1199">
        <v>2019</v>
      </c>
      <c r="B1199" s="140" t="s">
        <v>327</v>
      </c>
      <c r="C1199" s="140" t="s">
        <v>82</v>
      </c>
      <c r="D1199" s="140" t="s">
        <v>11</v>
      </c>
      <c r="E1199" s="140" t="s">
        <v>12</v>
      </c>
      <c r="F1199">
        <v>1.9</v>
      </c>
      <c r="G1199" s="140" t="s">
        <v>328</v>
      </c>
      <c r="H1199">
        <v>0</v>
      </c>
      <c r="I1199" s="140" t="s">
        <v>14</v>
      </c>
    </row>
    <row r="1200" spans="1:9" hidden="1" x14ac:dyDescent="0.25">
      <c r="A1200">
        <v>2020</v>
      </c>
      <c r="B1200" s="140" t="s">
        <v>327</v>
      </c>
      <c r="C1200" s="140" t="s">
        <v>82</v>
      </c>
      <c r="D1200" s="140" t="s">
        <v>11</v>
      </c>
      <c r="E1200" s="140" t="s">
        <v>12</v>
      </c>
      <c r="F1200">
        <v>1.3</v>
      </c>
      <c r="G1200" s="140" t="s">
        <v>328</v>
      </c>
      <c r="H1200">
        <v>0</v>
      </c>
      <c r="I1200" s="140" t="s">
        <v>14</v>
      </c>
    </row>
    <row r="1201" spans="1:9" hidden="1" x14ac:dyDescent="0.25">
      <c r="A1201">
        <v>2021</v>
      </c>
      <c r="B1201" s="140" t="s">
        <v>327</v>
      </c>
      <c r="C1201" s="140" t="s">
        <v>82</v>
      </c>
      <c r="D1201" s="140" t="s">
        <v>11</v>
      </c>
      <c r="E1201" s="140" t="s">
        <v>12</v>
      </c>
      <c r="F1201">
        <v>1.8</v>
      </c>
      <c r="G1201" s="140" t="s">
        <v>328</v>
      </c>
      <c r="H1201">
        <v>0</v>
      </c>
      <c r="I1201" s="140" t="s">
        <v>14</v>
      </c>
    </row>
    <row r="1202" spans="1:9" hidden="1" x14ac:dyDescent="0.25">
      <c r="A1202">
        <v>2022</v>
      </c>
      <c r="B1202" s="140" t="s">
        <v>327</v>
      </c>
      <c r="C1202" s="140" t="s">
        <v>82</v>
      </c>
      <c r="D1202" s="140" t="s">
        <v>11</v>
      </c>
      <c r="E1202" s="140" t="s">
        <v>12</v>
      </c>
      <c r="F1202">
        <v>1.8</v>
      </c>
      <c r="G1202" s="140" t="s">
        <v>328</v>
      </c>
      <c r="H1202">
        <v>0</v>
      </c>
      <c r="I1202" s="140" t="s">
        <v>14</v>
      </c>
    </row>
    <row r="1203" spans="1:9" hidden="1" x14ac:dyDescent="0.25">
      <c r="A1203">
        <v>2023</v>
      </c>
      <c r="B1203" s="140" t="s">
        <v>327</v>
      </c>
      <c r="C1203" s="140" t="s">
        <v>82</v>
      </c>
      <c r="D1203" s="140" t="s">
        <v>11</v>
      </c>
      <c r="E1203" s="140" t="s">
        <v>12</v>
      </c>
      <c r="F1203">
        <v>3.9</v>
      </c>
      <c r="G1203" s="140" t="s">
        <v>328</v>
      </c>
      <c r="H1203">
        <v>0</v>
      </c>
      <c r="I1203" s="140" t="s">
        <v>14</v>
      </c>
    </row>
    <row r="1204" spans="1:9" hidden="1" x14ac:dyDescent="0.25">
      <c r="A1204">
        <v>2024</v>
      </c>
      <c r="B1204" s="140" t="s">
        <v>327</v>
      </c>
      <c r="C1204" s="140" t="s">
        <v>82</v>
      </c>
      <c r="D1204" s="140" t="s">
        <v>11</v>
      </c>
      <c r="E1204" s="140" t="s">
        <v>12</v>
      </c>
      <c r="F1204">
        <v>2.9</v>
      </c>
      <c r="G1204" s="140" t="s">
        <v>328</v>
      </c>
      <c r="H1204">
        <v>0</v>
      </c>
      <c r="I1204" s="140" t="s">
        <v>14</v>
      </c>
    </row>
    <row r="1205" spans="1:9" hidden="1" x14ac:dyDescent="0.25">
      <c r="A1205">
        <v>2025</v>
      </c>
      <c r="B1205" s="140" t="s">
        <v>327</v>
      </c>
      <c r="C1205" s="140" t="s">
        <v>82</v>
      </c>
      <c r="D1205" s="140" t="s">
        <v>11</v>
      </c>
      <c r="E1205" s="140" t="s">
        <v>12</v>
      </c>
      <c r="F1205">
        <v>2.5</v>
      </c>
      <c r="G1205" s="140" t="s">
        <v>328</v>
      </c>
      <c r="H1205">
        <v>0</v>
      </c>
      <c r="I1205" s="140" t="s">
        <v>14</v>
      </c>
    </row>
    <row r="1206" spans="1:9" hidden="1" x14ac:dyDescent="0.25">
      <c r="A1206">
        <v>2026</v>
      </c>
      <c r="B1206" s="140" t="s">
        <v>327</v>
      </c>
      <c r="C1206" s="140" t="s">
        <v>82</v>
      </c>
      <c r="D1206" s="140" t="s">
        <v>11</v>
      </c>
      <c r="E1206" s="140" t="s">
        <v>12</v>
      </c>
      <c r="F1206">
        <v>3.2</v>
      </c>
      <c r="G1206" s="140" t="s">
        <v>328</v>
      </c>
      <c r="H1206">
        <v>0</v>
      </c>
      <c r="I1206" s="140" t="s">
        <v>14</v>
      </c>
    </row>
    <row r="1207" spans="1:9" hidden="1" x14ac:dyDescent="0.25">
      <c r="A1207">
        <v>2027</v>
      </c>
      <c r="B1207" s="140" t="s">
        <v>327</v>
      </c>
      <c r="C1207" s="140" t="s">
        <v>82</v>
      </c>
      <c r="D1207" s="140" t="s">
        <v>11</v>
      </c>
      <c r="E1207" s="140" t="s">
        <v>12</v>
      </c>
      <c r="F1207">
        <v>2.8</v>
      </c>
      <c r="G1207" s="140" t="s">
        <v>328</v>
      </c>
      <c r="H1207">
        <v>0</v>
      </c>
      <c r="I1207" s="140" t="s">
        <v>14</v>
      </c>
    </row>
    <row r="1208" spans="1:9" hidden="1" x14ac:dyDescent="0.25">
      <c r="A1208">
        <v>2028</v>
      </c>
      <c r="B1208" s="140" t="s">
        <v>327</v>
      </c>
      <c r="C1208" s="140" t="s">
        <v>82</v>
      </c>
      <c r="D1208" s="140" t="s">
        <v>11</v>
      </c>
      <c r="E1208" s="140" t="s">
        <v>12</v>
      </c>
      <c r="F1208">
        <v>3</v>
      </c>
      <c r="G1208" s="140" t="s">
        <v>328</v>
      </c>
      <c r="H1208">
        <v>0</v>
      </c>
      <c r="I1208" s="140" t="s">
        <v>14</v>
      </c>
    </row>
    <row r="1209" spans="1:9" hidden="1" x14ac:dyDescent="0.25">
      <c r="A1209">
        <v>2009</v>
      </c>
      <c r="B1209" s="140" t="s">
        <v>329</v>
      </c>
      <c r="C1209" s="140" t="s">
        <v>50</v>
      </c>
      <c r="D1209" s="140" t="s">
        <v>11</v>
      </c>
      <c r="E1209" s="140" t="s">
        <v>12</v>
      </c>
      <c r="F1209">
        <v>0.40590674799999998</v>
      </c>
      <c r="G1209" s="140" t="s">
        <v>330</v>
      </c>
      <c r="H1209">
        <v>0</v>
      </c>
      <c r="I1209" s="140" t="s">
        <v>14</v>
      </c>
    </row>
    <row r="1210" spans="1:9" hidden="1" x14ac:dyDescent="0.25">
      <c r="A1210">
        <v>2010</v>
      </c>
      <c r="B1210" s="140" t="s">
        <v>329</v>
      </c>
      <c r="C1210" s="140" t="s">
        <v>50</v>
      </c>
      <c r="D1210" s="140" t="s">
        <v>11</v>
      </c>
      <c r="E1210" s="140" t="s">
        <v>12</v>
      </c>
      <c r="F1210">
        <v>0.56348374599999995</v>
      </c>
      <c r="G1210" s="140" t="s">
        <v>330</v>
      </c>
      <c r="H1210">
        <v>0</v>
      </c>
      <c r="I1210" s="140" t="s">
        <v>14</v>
      </c>
    </row>
    <row r="1211" spans="1:9" hidden="1" x14ac:dyDescent="0.25">
      <c r="A1211">
        <v>2011</v>
      </c>
      <c r="B1211" s="140" t="s">
        <v>329</v>
      </c>
      <c r="C1211" s="140" t="s">
        <v>50</v>
      </c>
      <c r="D1211" s="140" t="s">
        <v>11</v>
      </c>
      <c r="E1211" s="140" t="s">
        <v>12</v>
      </c>
      <c r="F1211">
        <v>0.69287346400000005</v>
      </c>
      <c r="G1211" s="140" t="s">
        <v>330</v>
      </c>
      <c r="H1211">
        <v>0</v>
      </c>
      <c r="I1211" s="140" t="s">
        <v>14</v>
      </c>
    </row>
    <row r="1212" spans="1:9" hidden="1" x14ac:dyDescent="0.25">
      <c r="A1212">
        <v>2012</v>
      </c>
      <c r="B1212" s="140" t="s">
        <v>329</v>
      </c>
      <c r="C1212" s="140" t="s">
        <v>50</v>
      </c>
      <c r="D1212" s="140" t="s">
        <v>11</v>
      </c>
      <c r="E1212" s="140" t="s">
        <v>12</v>
      </c>
      <c r="F1212">
        <v>0.275156499</v>
      </c>
      <c r="G1212" s="140" t="s">
        <v>330</v>
      </c>
      <c r="H1212">
        <v>0</v>
      </c>
      <c r="I1212" s="140" t="s">
        <v>14</v>
      </c>
    </row>
    <row r="1213" spans="1:9" hidden="1" x14ac:dyDescent="0.25">
      <c r="A1213">
        <v>2013</v>
      </c>
      <c r="B1213" s="140" t="s">
        <v>329</v>
      </c>
      <c r="C1213" s="140" t="s">
        <v>50</v>
      </c>
      <c r="D1213" s="140" t="s">
        <v>11</v>
      </c>
      <c r="E1213" s="140" t="s">
        <v>12</v>
      </c>
      <c r="F1213">
        <v>0.68476611399999998</v>
      </c>
      <c r="G1213" s="140" t="s">
        <v>330</v>
      </c>
      <c r="H1213">
        <v>0</v>
      </c>
      <c r="I1213" s="140" t="s">
        <v>14</v>
      </c>
    </row>
    <row r="1214" spans="1:9" hidden="1" x14ac:dyDescent="0.25">
      <c r="A1214">
        <v>2014</v>
      </c>
      <c r="B1214" s="140" t="s">
        <v>329</v>
      </c>
      <c r="C1214" s="140" t="s">
        <v>50</v>
      </c>
      <c r="D1214" s="140" t="s">
        <v>11</v>
      </c>
      <c r="E1214" s="140" t="s">
        <v>12</v>
      </c>
      <c r="F1214">
        <v>0.70673923900000002</v>
      </c>
      <c r="G1214" s="140" t="s">
        <v>330</v>
      </c>
      <c r="H1214">
        <v>0</v>
      </c>
      <c r="I1214" s="140" t="s">
        <v>14</v>
      </c>
    </row>
    <row r="1215" spans="1:9" hidden="1" x14ac:dyDescent="0.25">
      <c r="A1215">
        <v>2015</v>
      </c>
      <c r="B1215" s="140" t="s">
        <v>329</v>
      </c>
      <c r="C1215" s="140" t="s">
        <v>50</v>
      </c>
      <c r="D1215" s="140" t="s">
        <v>11</v>
      </c>
      <c r="E1215" s="140" t="s">
        <v>12</v>
      </c>
      <c r="F1215">
        <v>0.829625799</v>
      </c>
      <c r="G1215" s="140" t="s">
        <v>330</v>
      </c>
      <c r="H1215">
        <v>0</v>
      </c>
      <c r="I1215" s="140" t="s">
        <v>14</v>
      </c>
    </row>
    <row r="1216" spans="1:9" hidden="1" x14ac:dyDescent="0.25">
      <c r="A1216">
        <v>2016</v>
      </c>
      <c r="B1216" s="140" t="s">
        <v>329</v>
      </c>
      <c r="C1216" s="140" t="s">
        <v>50</v>
      </c>
      <c r="D1216" s="140" t="s">
        <v>11</v>
      </c>
      <c r="E1216" s="140" t="s">
        <v>12</v>
      </c>
      <c r="F1216">
        <v>0.29537192600000001</v>
      </c>
      <c r="G1216" s="140" t="s">
        <v>330</v>
      </c>
      <c r="H1216">
        <v>0</v>
      </c>
      <c r="I1216" s="140" t="s">
        <v>14</v>
      </c>
    </row>
    <row r="1217" spans="1:9" hidden="1" x14ac:dyDescent="0.25">
      <c r="A1217">
        <v>2017</v>
      </c>
      <c r="B1217" s="140" t="s">
        <v>329</v>
      </c>
      <c r="C1217" s="140" t="s">
        <v>50</v>
      </c>
      <c r="D1217" s="140" t="s">
        <v>11</v>
      </c>
      <c r="E1217" s="140" t="s">
        <v>12</v>
      </c>
      <c r="F1217">
        <v>0.52184617</v>
      </c>
      <c r="G1217" s="140" t="s">
        <v>330</v>
      </c>
      <c r="H1217">
        <v>0</v>
      </c>
      <c r="I1217" s="140" t="s">
        <v>14</v>
      </c>
    </row>
    <row r="1218" spans="1:9" hidden="1" x14ac:dyDescent="0.25">
      <c r="A1218">
        <v>2018</v>
      </c>
      <c r="B1218" s="140" t="s">
        <v>329</v>
      </c>
      <c r="C1218" s="140" t="s">
        <v>50</v>
      </c>
      <c r="D1218" s="140" t="s">
        <v>11</v>
      </c>
      <c r="E1218" s="140" t="s">
        <v>12</v>
      </c>
      <c r="F1218">
        <v>0.49280313399999998</v>
      </c>
      <c r="G1218" s="140" t="s">
        <v>330</v>
      </c>
      <c r="H1218">
        <v>0</v>
      </c>
      <c r="I1218" s="140" t="s">
        <v>14</v>
      </c>
    </row>
    <row r="1219" spans="1:9" hidden="1" x14ac:dyDescent="0.25">
      <c r="A1219">
        <v>2019</v>
      </c>
      <c r="B1219" s="140" t="s">
        <v>329</v>
      </c>
      <c r="C1219" s="140" t="s">
        <v>50</v>
      </c>
      <c r="D1219" s="140" t="s">
        <v>11</v>
      </c>
      <c r="E1219" s="140" t="s">
        <v>12</v>
      </c>
      <c r="F1219">
        <v>0.216931612</v>
      </c>
      <c r="G1219" s="140" t="s">
        <v>330</v>
      </c>
      <c r="H1219">
        <v>0</v>
      </c>
      <c r="I1219" s="140" t="s">
        <v>14</v>
      </c>
    </row>
    <row r="1220" spans="1:9" hidden="1" x14ac:dyDescent="0.25">
      <c r="A1220">
        <v>2020</v>
      </c>
      <c r="B1220" s="140" t="s">
        <v>329</v>
      </c>
      <c r="C1220" s="140" t="s">
        <v>50</v>
      </c>
      <c r="D1220" s="140" t="s">
        <v>11</v>
      </c>
      <c r="E1220" s="140" t="s">
        <v>12</v>
      </c>
      <c r="F1220">
        <v>0.63991382600000002</v>
      </c>
      <c r="G1220" s="140" t="s">
        <v>330</v>
      </c>
      <c r="H1220">
        <v>0</v>
      </c>
      <c r="I1220" s="140" t="s">
        <v>14</v>
      </c>
    </row>
    <row r="1221" spans="1:9" hidden="1" x14ac:dyDescent="0.25">
      <c r="A1221">
        <v>2021</v>
      </c>
      <c r="B1221" s="140" t="s">
        <v>329</v>
      </c>
      <c r="C1221" s="140" t="s">
        <v>50</v>
      </c>
      <c r="D1221" s="140" t="s">
        <v>11</v>
      </c>
      <c r="E1221" s="140" t="s">
        <v>12</v>
      </c>
      <c r="F1221">
        <v>0.62534561700000002</v>
      </c>
      <c r="G1221" s="140" t="s">
        <v>330</v>
      </c>
      <c r="H1221">
        <v>0</v>
      </c>
      <c r="I1221" s="140" t="s">
        <v>14</v>
      </c>
    </row>
    <row r="1222" spans="1:9" hidden="1" x14ac:dyDescent="0.25">
      <c r="A1222">
        <v>2022</v>
      </c>
      <c r="B1222" s="140" t="s">
        <v>329</v>
      </c>
      <c r="C1222" s="140" t="s">
        <v>50</v>
      </c>
      <c r="D1222" s="140" t="s">
        <v>11</v>
      </c>
      <c r="E1222" s="140" t="s">
        <v>12</v>
      </c>
      <c r="F1222">
        <v>0.61341102700000005</v>
      </c>
      <c r="G1222" s="140" t="s">
        <v>330</v>
      </c>
      <c r="H1222">
        <v>0</v>
      </c>
      <c r="I1222" s="140" t="s">
        <v>14</v>
      </c>
    </row>
    <row r="1223" spans="1:9" hidden="1" x14ac:dyDescent="0.25">
      <c r="A1223">
        <v>2023</v>
      </c>
      <c r="B1223" s="140" t="s">
        <v>329</v>
      </c>
      <c r="C1223" s="140" t="s">
        <v>50</v>
      </c>
      <c r="D1223" s="140" t="s">
        <v>11</v>
      </c>
      <c r="E1223" s="140" t="s">
        <v>12</v>
      </c>
      <c r="F1223">
        <v>0.33881008400000001</v>
      </c>
      <c r="G1223" s="140" t="s">
        <v>330</v>
      </c>
      <c r="H1223">
        <v>0</v>
      </c>
      <c r="I1223" s="140" t="s">
        <v>14</v>
      </c>
    </row>
    <row r="1224" spans="1:9" hidden="1" x14ac:dyDescent="0.25">
      <c r="A1224">
        <v>2024</v>
      </c>
      <c r="B1224" s="140" t="s">
        <v>329</v>
      </c>
      <c r="C1224" s="140" t="s">
        <v>50</v>
      </c>
      <c r="D1224" s="140" t="s">
        <v>11</v>
      </c>
      <c r="E1224" s="140" t="s">
        <v>12</v>
      </c>
      <c r="F1224">
        <v>0.46339763</v>
      </c>
      <c r="G1224" s="140" t="s">
        <v>330</v>
      </c>
      <c r="H1224">
        <v>0</v>
      </c>
      <c r="I1224" s="140" t="s">
        <v>14</v>
      </c>
    </row>
    <row r="1225" spans="1:9" hidden="1" x14ac:dyDescent="0.25">
      <c r="A1225">
        <v>2025</v>
      </c>
      <c r="B1225" s="140" t="s">
        <v>329</v>
      </c>
      <c r="C1225" s="140" t="s">
        <v>50</v>
      </c>
      <c r="D1225" s="140" t="s">
        <v>11</v>
      </c>
      <c r="E1225" s="140" t="s">
        <v>12</v>
      </c>
      <c r="F1225">
        <v>0.56674256300000003</v>
      </c>
      <c r="G1225" s="140" t="s">
        <v>330</v>
      </c>
      <c r="H1225">
        <v>0</v>
      </c>
      <c r="I1225" s="140" t="s">
        <v>14</v>
      </c>
    </row>
    <row r="1226" spans="1:9" hidden="1" x14ac:dyDescent="0.25">
      <c r="A1226">
        <v>2026</v>
      </c>
      <c r="B1226" s="140" t="s">
        <v>329</v>
      </c>
      <c r="C1226" s="140" t="s">
        <v>50</v>
      </c>
      <c r="D1226" s="140" t="s">
        <v>11</v>
      </c>
      <c r="E1226" s="140" t="s">
        <v>12</v>
      </c>
      <c r="F1226">
        <v>0.38630673700000001</v>
      </c>
      <c r="G1226" s="140" t="s">
        <v>330</v>
      </c>
      <c r="H1226">
        <v>0</v>
      </c>
      <c r="I1226" s="140" t="s">
        <v>14</v>
      </c>
    </row>
    <row r="1227" spans="1:9" hidden="1" x14ac:dyDescent="0.25">
      <c r="A1227">
        <v>2027</v>
      </c>
      <c r="B1227" s="140" t="s">
        <v>329</v>
      </c>
      <c r="C1227" s="140" t="s">
        <v>50</v>
      </c>
      <c r="D1227" s="140" t="s">
        <v>11</v>
      </c>
      <c r="E1227" s="140" t="s">
        <v>12</v>
      </c>
      <c r="F1227">
        <v>0.38921656100000002</v>
      </c>
      <c r="G1227" s="140" t="s">
        <v>330</v>
      </c>
      <c r="H1227">
        <v>0</v>
      </c>
      <c r="I1227" s="140" t="s">
        <v>14</v>
      </c>
    </row>
    <row r="1228" spans="1:9" hidden="1" x14ac:dyDescent="0.25">
      <c r="A1228">
        <v>2028</v>
      </c>
      <c r="B1228" s="140" t="s">
        <v>329</v>
      </c>
      <c r="C1228" s="140" t="s">
        <v>50</v>
      </c>
      <c r="D1228" s="140" t="s">
        <v>11</v>
      </c>
      <c r="E1228" s="140" t="s">
        <v>12</v>
      </c>
      <c r="F1228">
        <v>0.4</v>
      </c>
      <c r="G1228" s="140" t="s">
        <v>330</v>
      </c>
      <c r="H1228">
        <v>0</v>
      </c>
      <c r="I1228" s="140" t="s">
        <v>14</v>
      </c>
    </row>
    <row r="1229" spans="1:9" hidden="1" x14ac:dyDescent="0.25">
      <c r="A1229">
        <v>1991</v>
      </c>
      <c r="B1229" s="140" t="s">
        <v>156</v>
      </c>
      <c r="C1229" s="140" t="s">
        <v>82</v>
      </c>
      <c r="D1229" s="140" t="s">
        <v>11</v>
      </c>
      <c r="E1229" s="140" t="s">
        <v>12</v>
      </c>
      <c r="F1229">
        <v>2.2000000000000002</v>
      </c>
      <c r="G1229" s="140" t="s">
        <v>338</v>
      </c>
      <c r="H1229">
        <v>0</v>
      </c>
      <c r="I1229" s="140" t="s">
        <v>14</v>
      </c>
    </row>
    <row r="1230" spans="1:9" hidden="1" x14ac:dyDescent="0.25">
      <c r="A1230">
        <v>1992</v>
      </c>
      <c r="B1230" s="140" t="s">
        <v>156</v>
      </c>
      <c r="C1230" s="140" t="s">
        <v>82</v>
      </c>
      <c r="D1230" s="140" t="s">
        <v>11</v>
      </c>
      <c r="E1230" s="140" t="s">
        <v>12</v>
      </c>
      <c r="F1230">
        <v>-1.7</v>
      </c>
      <c r="G1230" s="140" t="s">
        <v>338</v>
      </c>
      <c r="H1230">
        <v>0</v>
      </c>
      <c r="I1230" s="140" t="s">
        <v>14</v>
      </c>
    </row>
    <row r="1231" spans="1:9" hidden="1" x14ac:dyDescent="0.25">
      <c r="A1231">
        <v>1993</v>
      </c>
      <c r="B1231" s="140" t="s">
        <v>156</v>
      </c>
      <c r="C1231" s="140" t="s">
        <v>82</v>
      </c>
      <c r="D1231" s="140" t="s">
        <v>11</v>
      </c>
      <c r="E1231" s="140" t="s">
        <v>12</v>
      </c>
      <c r="F1231">
        <v>0.3</v>
      </c>
      <c r="G1231" s="140" t="s">
        <v>338</v>
      </c>
      <c r="H1231">
        <v>0</v>
      </c>
      <c r="I1231" s="140" t="s">
        <v>14</v>
      </c>
    </row>
    <row r="1232" spans="1:9" hidden="1" x14ac:dyDescent="0.25">
      <c r="A1232">
        <v>1994</v>
      </c>
      <c r="B1232" s="140" t="s">
        <v>156</v>
      </c>
      <c r="C1232" s="140" t="s">
        <v>82</v>
      </c>
      <c r="D1232" s="140" t="s">
        <v>11</v>
      </c>
      <c r="E1232" s="140" t="s">
        <v>12</v>
      </c>
      <c r="F1232">
        <v>1.5</v>
      </c>
      <c r="G1232" s="140" t="s">
        <v>338</v>
      </c>
      <c r="H1232">
        <v>0</v>
      </c>
      <c r="I1232" s="140" t="s">
        <v>14</v>
      </c>
    </row>
    <row r="1233" spans="1:9" hidden="1" x14ac:dyDescent="0.25">
      <c r="A1233">
        <v>1995</v>
      </c>
      <c r="B1233" s="140" t="s">
        <v>156</v>
      </c>
      <c r="C1233" s="140" t="s">
        <v>82</v>
      </c>
      <c r="D1233" s="140" t="s">
        <v>11</v>
      </c>
      <c r="E1233" s="140" t="s">
        <v>12</v>
      </c>
      <c r="F1233">
        <v>1.3</v>
      </c>
      <c r="G1233" s="140" t="s">
        <v>338</v>
      </c>
      <c r="H1233">
        <v>0</v>
      </c>
      <c r="I1233" s="140" t="s">
        <v>14</v>
      </c>
    </row>
    <row r="1234" spans="1:9" hidden="1" x14ac:dyDescent="0.25">
      <c r="A1234">
        <v>1996</v>
      </c>
      <c r="B1234" s="140" t="s">
        <v>156</v>
      </c>
      <c r="C1234" s="140" t="s">
        <v>82</v>
      </c>
      <c r="D1234" s="140" t="s">
        <v>11</v>
      </c>
      <c r="E1234" s="140" t="s">
        <v>12</v>
      </c>
      <c r="F1234">
        <v>-0.8</v>
      </c>
      <c r="G1234" s="140" t="s">
        <v>338</v>
      </c>
      <c r="H1234">
        <v>0</v>
      </c>
      <c r="I1234" s="140" t="s">
        <v>14</v>
      </c>
    </row>
    <row r="1235" spans="1:9" hidden="1" x14ac:dyDescent="0.25">
      <c r="A1235">
        <v>1997</v>
      </c>
      <c r="B1235" s="140" t="s">
        <v>156</v>
      </c>
      <c r="C1235" s="140" t="s">
        <v>82</v>
      </c>
      <c r="D1235" s="140" t="s">
        <v>11</v>
      </c>
      <c r="E1235" s="140" t="s">
        <v>12</v>
      </c>
      <c r="F1235">
        <v>2.5</v>
      </c>
      <c r="G1235" s="140" t="s">
        <v>338</v>
      </c>
      <c r="H1235">
        <v>0</v>
      </c>
      <c r="I1235" s="140" t="s">
        <v>14</v>
      </c>
    </row>
    <row r="1236" spans="1:9" hidden="1" x14ac:dyDescent="0.25">
      <c r="A1236">
        <v>1998</v>
      </c>
      <c r="B1236" s="140" t="s">
        <v>156</v>
      </c>
      <c r="C1236" s="140" t="s">
        <v>82</v>
      </c>
      <c r="D1236" s="140" t="s">
        <v>11</v>
      </c>
      <c r="E1236" s="140" t="s">
        <v>12</v>
      </c>
      <c r="F1236">
        <v>2.2999999999999998</v>
      </c>
      <c r="G1236" s="140" t="s">
        <v>338</v>
      </c>
      <c r="H1236">
        <v>0</v>
      </c>
      <c r="I1236" s="140" t="s">
        <v>14</v>
      </c>
    </row>
    <row r="1237" spans="1:9" hidden="1" x14ac:dyDescent="0.25">
      <c r="A1237">
        <v>1999</v>
      </c>
      <c r="B1237" s="140" t="s">
        <v>156</v>
      </c>
      <c r="C1237" s="140" t="s">
        <v>82</v>
      </c>
      <c r="D1237" s="140" t="s">
        <v>11</v>
      </c>
      <c r="E1237" s="140" t="s">
        <v>12</v>
      </c>
      <c r="F1237">
        <v>1.4</v>
      </c>
      <c r="G1237" s="140" t="s">
        <v>338</v>
      </c>
      <c r="H1237">
        <v>0</v>
      </c>
      <c r="I1237" s="140" t="s">
        <v>14</v>
      </c>
    </row>
    <row r="1238" spans="1:9" hidden="1" x14ac:dyDescent="0.25">
      <c r="A1238">
        <v>2000</v>
      </c>
      <c r="B1238" s="140" t="s">
        <v>156</v>
      </c>
      <c r="C1238" s="140" t="s">
        <v>82</v>
      </c>
      <c r="D1238" s="140" t="s">
        <v>11</v>
      </c>
      <c r="E1238" s="140" t="s">
        <v>12</v>
      </c>
      <c r="F1238">
        <v>3</v>
      </c>
      <c r="G1238" s="140" t="s">
        <v>338</v>
      </c>
      <c r="H1238">
        <v>0</v>
      </c>
      <c r="I1238" s="140" t="s">
        <v>14</v>
      </c>
    </row>
    <row r="1239" spans="1:9" hidden="1" x14ac:dyDescent="0.25">
      <c r="A1239">
        <v>2001</v>
      </c>
      <c r="B1239" s="140" t="s">
        <v>156</v>
      </c>
      <c r="C1239" s="140" t="s">
        <v>82</v>
      </c>
      <c r="D1239" s="140" t="s">
        <v>11</v>
      </c>
      <c r="E1239" s="140" t="s">
        <v>12</v>
      </c>
      <c r="F1239">
        <v>2.9</v>
      </c>
      <c r="G1239" s="140" t="s">
        <v>338</v>
      </c>
      <c r="H1239">
        <v>0</v>
      </c>
      <c r="I1239" s="140" t="s">
        <v>14</v>
      </c>
    </row>
    <row r="1240" spans="1:9" hidden="1" x14ac:dyDescent="0.25">
      <c r="A1240">
        <v>2002</v>
      </c>
      <c r="B1240" s="140" t="s">
        <v>156</v>
      </c>
      <c r="C1240" s="140" t="s">
        <v>82</v>
      </c>
      <c r="D1240" s="140" t="s">
        <v>11</v>
      </c>
      <c r="E1240" s="140" t="s">
        <v>12</v>
      </c>
      <c r="F1240">
        <v>0.8</v>
      </c>
      <c r="G1240" s="140" t="s">
        <v>338</v>
      </c>
      <c r="H1240">
        <v>0</v>
      </c>
      <c r="I1240" s="140" t="s">
        <v>14</v>
      </c>
    </row>
    <row r="1241" spans="1:9" hidden="1" x14ac:dyDescent="0.25">
      <c r="A1241">
        <v>2003</v>
      </c>
      <c r="B1241" s="140" t="s">
        <v>156</v>
      </c>
      <c r="C1241" s="140" t="s">
        <v>82</v>
      </c>
      <c r="D1241" s="140" t="s">
        <v>11</v>
      </c>
      <c r="E1241" s="140" t="s">
        <v>12</v>
      </c>
      <c r="F1241">
        <v>1.9</v>
      </c>
      <c r="G1241" s="140" t="s">
        <v>338</v>
      </c>
      <c r="H1241">
        <v>0</v>
      </c>
      <c r="I1241" s="140" t="s">
        <v>14</v>
      </c>
    </row>
    <row r="1242" spans="1:9" hidden="1" x14ac:dyDescent="0.25">
      <c r="A1242">
        <v>2004</v>
      </c>
      <c r="B1242" s="140" t="s">
        <v>156</v>
      </c>
      <c r="C1242" s="140" t="s">
        <v>82</v>
      </c>
      <c r="D1242" s="140" t="s">
        <v>11</v>
      </c>
      <c r="E1242" s="140" t="s">
        <v>12</v>
      </c>
      <c r="F1242">
        <v>2.4</v>
      </c>
      <c r="G1242" s="140" t="s">
        <v>338</v>
      </c>
      <c r="H1242">
        <v>0</v>
      </c>
      <c r="I1242" s="140" t="s">
        <v>14</v>
      </c>
    </row>
    <row r="1243" spans="1:9" hidden="1" x14ac:dyDescent="0.25">
      <c r="A1243">
        <v>2005</v>
      </c>
      <c r="B1243" s="140" t="s">
        <v>156</v>
      </c>
      <c r="C1243" s="140" t="s">
        <v>82</v>
      </c>
      <c r="D1243" s="140" t="s">
        <v>11</v>
      </c>
      <c r="E1243" s="140" t="s">
        <v>12</v>
      </c>
      <c r="F1243">
        <v>3.7</v>
      </c>
      <c r="G1243" s="140" t="s">
        <v>338</v>
      </c>
      <c r="H1243">
        <v>0</v>
      </c>
      <c r="I1243" s="140" t="s">
        <v>14</v>
      </c>
    </row>
    <row r="1244" spans="1:9" hidden="1" x14ac:dyDescent="0.25">
      <c r="A1244">
        <v>2006</v>
      </c>
      <c r="B1244" s="140" t="s">
        <v>156</v>
      </c>
      <c r="C1244" s="140" t="s">
        <v>82</v>
      </c>
      <c r="D1244" s="140" t="s">
        <v>11</v>
      </c>
      <c r="E1244" s="140" t="s">
        <v>12</v>
      </c>
      <c r="F1244">
        <v>3.7</v>
      </c>
      <c r="G1244" s="140" t="s">
        <v>338</v>
      </c>
      <c r="H1244">
        <v>0</v>
      </c>
      <c r="I1244" s="140" t="s">
        <v>14</v>
      </c>
    </row>
    <row r="1245" spans="1:9" hidden="1" x14ac:dyDescent="0.25">
      <c r="A1245">
        <v>2007</v>
      </c>
      <c r="B1245" s="140" t="s">
        <v>156</v>
      </c>
      <c r="C1245" s="140" t="s">
        <v>82</v>
      </c>
      <c r="D1245" s="140" t="s">
        <v>11</v>
      </c>
      <c r="E1245" s="140" t="s">
        <v>12</v>
      </c>
      <c r="F1245">
        <v>5.9</v>
      </c>
      <c r="G1245" s="140" t="s">
        <v>338</v>
      </c>
      <c r="H1245">
        <v>0</v>
      </c>
      <c r="I1245" s="140" t="s">
        <v>14</v>
      </c>
    </row>
    <row r="1246" spans="1:9" hidden="1" x14ac:dyDescent="0.25">
      <c r="A1246">
        <v>2008</v>
      </c>
      <c r="B1246" s="140" t="s">
        <v>156</v>
      </c>
      <c r="C1246" s="140" t="s">
        <v>82</v>
      </c>
      <c r="D1246" s="140" t="s">
        <v>11</v>
      </c>
      <c r="E1246" s="140" t="s">
        <v>12</v>
      </c>
      <c r="F1246">
        <v>3.9</v>
      </c>
      <c r="G1246" s="140" t="s">
        <v>338</v>
      </c>
      <c r="H1246">
        <v>0</v>
      </c>
      <c r="I1246" s="140" t="s">
        <v>14</v>
      </c>
    </row>
    <row r="1247" spans="1:9" hidden="1" x14ac:dyDescent="0.25">
      <c r="A1247">
        <v>2009</v>
      </c>
      <c r="B1247" s="140" t="s">
        <v>156</v>
      </c>
      <c r="C1247" s="140" t="s">
        <v>82</v>
      </c>
      <c r="D1247" s="140" t="s">
        <v>11</v>
      </c>
      <c r="E1247" s="140" t="s">
        <v>12</v>
      </c>
      <c r="F1247">
        <v>-1.1000000000000001</v>
      </c>
      <c r="G1247" s="140" t="s">
        <v>338</v>
      </c>
      <c r="H1247">
        <v>0</v>
      </c>
      <c r="I1247" s="140" t="s">
        <v>14</v>
      </c>
    </row>
    <row r="1248" spans="1:9" hidden="1" x14ac:dyDescent="0.25">
      <c r="A1248">
        <v>2010</v>
      </c>
      <c r="B1248" s="140" t="s">
        <v>156</v>
      </c>
      <c r="C1248" s="140" t="s">
        <v>82</v>
      </c>
      <c r="D1248" s="140" t="s">
        <v>11</v>
      </c>
      <c r="E1248" s="140" t="s">
        <v>12</v>
      </c>
      <c r="F1248">
        <v>1.1000000000000001</v>
      </c>
      <c r="G1248" s="140" t="s">
        <v>338</v>
      </c>
      <c r="H1248">
        <v>0</v>
      </c>
      <c r="I1248" s="140" t="s">
        <v>14</v>
      </c>
    </row>
    <row r="1249" spans="1:9" hidden="1" x14ac:dyDescent="0.25">
      <c r="A1249">
        <v>2011</v>
      </c>
      <c r="B1249" s="140" t="s">
        <v>156</v>
      </c>
      <c r="C1249" s="140" t="s">
        <v>82</v>
      </c>
      <c r="D1249" s="140" t="s">
        <v>11</v>
      </c>
      <c r="E1249" s="140" t="s">
        <v>12</v>
      </c>
      <c r="F1249">
        <v>3.3</v>
      </c>
      <c r="G1249" s="140" t="s">
        <v>338</v>
      </c>
      <c r="H1249">
        <v>0</v>
      </c>
      <c r="I1249" s="140" t="s">
        <v>14</v>
      </c>
    </row>
    <row r="1250" spans="1:9" hidden="1" x14ac:dyDescent="0.25">
      <c r="A1250">
        <v>2012</v>
      </c>
      <c r="B1250" s="140" t="s">
        <v>156</v>
      </c>
      <c r="C1250" s="140" t="s">
        <v>82</v>
      </c>
      <c r="D1250" s="140" t="s">
        <v>11</v>
      </c>
      <c r="E1250" s="140" t="s">
        <v>12</v>
      </c>
      <c r="F1250">
        <v>2.4</v>
      </c>
      <c r="G1250" s="140" t="s">
        <v>338</v>
      </c>
      <c r="H1250">
        <v>0</v>
      </c>
      <c r="I1250" s="140" t="s">
        <v>14</v>
      </c>
    </row>
    <row r="1251" spans="1:9" hidden="1" x14ac:dyDescent="0.25">
      <c r="A1251">
        <v>2013</v>
      </c>
      <c r="B1251" s="140" t="s">
        <v>156</v>
      </c>
      <c r="C1251" s="140" t="s">
        <v>82</v>
      </c>
      <c r="D1251" s="140" t="s">
        <v>11</v>
      </c>
      <c r="E1251" s="140" t="s">
        <v>12</v>
      </c>
      <c r="F1251">
        <v>1</v>
      </c>
      <c r="G1251" s="140" t="s">
        <v>338</v>
      </c>
      <c r="H1251">
        <v>0</v>
      </c>
      <c r="I1251" s="140" t="s">
        <v>14</v>
      </c>
    </row>
    <row r="1252" spans="1:9" hidden="1" x14ac:dyDescent="0.25">
      <c r="A1252">
        <v>2014</v>
      </c>
      <c r="B1252" s="140" t="s">
        <v>156</v>
      </c>
      <c r="C1252" s="140" t="s">
        <v>82</v>
      </c>
      <c r="D1252" s="140" t="s">
        <v>11</v>
      </c>
      <c r="E1252" s="140" t="s">
        <v>12</v>
      </c>
      <c r="F1252">
        <v>1</v>
      </c>
      <c r="G1252" s="140" t="s">
        <v>338</v>
      </c>
      <c r="H1252">
        <v>0</v>
      </c>
      <c r="I1252" s="140" t="s">
        <v>14</v>
      </c>
    </row>
    <row r="1253" spans="1:9" hidden="1" x14ac:dyDescent="0.25">
      <c r="A1253">
        <v>2015</v>
      </c>
      <c r="B1253" s="140" t="s">
        <v>156</v>
      </c>
      <c r="C1253" s="140" t="s">
        <v>82</v>
      </c>
      <c r="D1253" s="140" t="s">
        <v>11</v>
      </c>
      <c r="E1253" s="140" t="s">
        <v>12</v>
      </c>
      <c r="F1253">
        <v>0.5</v>
      </c>
      <c r="G1253" s="140" t="s">
        <v>338</v>
      </c>
      <c r="H1253">
        <v>0</v>
      </c>
      <c r="I1253" s="140" t="s">
        <v>14</v>
      </c>
    </row>
    <row r="1254" spans="1:9" hidden="1" x14ac:dyDescent="0.25">
      <c r="A1254">
        <v>2016</v>
      </c>
      <c r="B1254" s="140" t="s">
        <v>156</v>
      </c>
      <c r="C1254" s="140" t="s">
        <v>82</v>
      </c>
      <c r="D1254" s="140" t="s">
        <v>11</v>
      </c>
      <c r="E1254" s="140" t="s">
        <v>12</v>
      </c>
      <c r="F1254">
        <v>0.5</v>
      </c>
      <c r="G1254" s="140" t="s">
        <v>338</v>
      </c>
      <c r="H1254">
        <v>0</v>
      </c>
      <c r="I1254" s="140" t="s">
        <v>14</v>
      </c>
    </row>
    <row r="1255" spans="1:9" hidden="1" x14ac:dyDescent="0.25">
      <c r="A1255">
        <v>2017</v>
      </c>
      <c r="B1255" s="140" t="s">
        <v>156</v>
      </c>
      <c r="C1255" s="140" t="s">
        <v>82</v>
      </c>
      <c r="D1255" s="140" t="s">
        <v>11</v>
      </c>
      <c r="E1255" s="140" t="s">
        <v>12</v>
      </c>
      <c r="F1255">
        <v>0.3</v>
      </c>
      <c r="G1255" s="140" t="s">
        <v>338</v>
      </c>
      <c r="H1255">
        <v>0</v>
      </c>
      <c r="I1255" s="140" t="s">
        <v>14</v>
      </c>
    </row>
    <row r="1256" spans="1:9" hidden="1" x14ac:dyDescent="0.25">
      <c r="A1256">
        <v>2018</v>
      </c>
      <c r="B1256" s="140" t="s">
        <v>156</v>
      </c>
      <c r="C1256" s="140" t="s">
        <v>82</v>
      </c>
      <c r="D1256" s="140" t="s">
        <v>11</v>
      </c>
      <c r="E1256" s="140" t="s">
        <v>12</v>
      </c>
      <c r="F1256">
        <v>2.2000000000000002</v>
      </c>
      <c r="G1256" s="140" t="s">
        <v>338</v>
      </c>
      <c r="H1256">
        <v>0</v>
      </c>
      <c r="I1256" s="140" t="s">
        <v>14</v>
      </c>
    </row>
    <row r="1257" spans="1:9" hidden="1" x14ac:dyDescent="0.25">
      <c r="A1257">
        <v>2019</v>
      </c>
      <c r="B1257" s="140" t="s">
        <v>156</v>
      </c>
      <c r="C1257" s="140" t="s">
        <v>82</v>
      </c>
      <c r="D1257" s="140" t="s">
        <v>11</v>
      </c>
      <c r="E1257" s="140" t="s">
        <v>12</v>
      </c>
      <c r="F1257">
        <v>1</v>
      </c>
      <c r="G1257" s="140" t="s">
        <v>338</v>
      </c>
      <c r="H1257">
        <v>0</v>
      </c>
      <c r="I1257" s="140" t="s">
        <v>14</v>
      </c>
    </row>
    <row r="1258" spans="1:9" hidden="1" x14ac:dyDescent="0.25">
      <c r="A1258">
        <v>2020</v>
      </c>
      <c r="B1258" s="140" t="s">
        <v>156</v>
      </c>
      <c r="C1258" s="140" t="s">
        <v>82</v>
      </c>
      <c r="D1258" s="140" t="s">
        <v>11</v>
      </c>
      <c r="E1258" s="140" t="s">
        <v>12</v>
      </c>
      <c r="F1258">
        <v>-0.3</v>
      </c>
      <c r="G1258" s="140" t="s">
        <v>338</v>
      </c>
      <c r="H1258">
        <v>0</v>
      </c>
      <c r="I1258" s="140" t="s">
        <v>14</v>
      </c>
    </row>
    <row r="1259" spans="1:9" hidden="1" x14ac:dyDescent="0.25">
      <c r="A1259">
        <v>2021</v>
      </c>
      <c r="B1259" s="140" t="s">
        <v>156</v>
      </c>
      <c r="C1259" s="140" t="s">
        <v>82</v>
      </c>
      <c r="D1259" s="140" t="s">
        <v>11</v>
      </c>
      <c r="E1259" s="140" t="s">
        <v>12</v>
      </c>
      <c r="F1259">
        <v>5.4</v>
      </c>
      <c r="G1259" s="140" t="s">
        <v>338</v>
      </c>
      <c r="H1259">
        <v>0</v>
      </c>
      <c r="I1259" s="140" t="s">
        <v>14</v>
      </c>
    </row>
    <row r="1260" spans="1:9" hidden="1" x14ac:dyDescent="0.25">
      <c r="A1260">
        <v>2022</v>
      </c>
      <c r="B1260" s="140" t="s">
        <v>156</v>
      </c>
      <c r="C1260" s="140" t="s">
        <v>82</v>
      </c>
      <c r="D1260" s="140" t="s">
        <v>11</v>
      </c>
      <c r="E1260" s="140" t="s">
        <v>12</v>
      </c>
      <c r="F1260">
        <v>8.1999999999999993</v>
      </c>
      <c r="G1260" s="140" t="s">
        <v>338</v>
      </c>
      <c r="H1260">
        <v>0</v>
      </c>
      <c r="I1260" s="140" t="s">
        <v>14</v>
      </c>
    </row>
    <row r="1261" spans="1:9" hidden="1" x14ac:dyDescent="0.25">
      <c r="A1261">
        <v>2023</v>
      </c>
      <c r="B1261" s="140" t="s">
        <v>156</v>
      </c>
      <c r="C1261" s="140" t="s">
        <v>82</v>
      </c>
      <c r="D1261" s="140" t="s">
        <v>11</v>
      </c>
      <c r="E1261" s="140" t="s">
        <v>12</v>
      </c>
      <c r="F1261">
        <v>3.1</v>
      </c>
      <c r="G1261" s="140" t="s">
        <v>338</v>
      </c>
      <c r="H1261">
        <v>0</v>
      </c>
      <c r="I1261" s="140" t="s">
        <v>14</v>
      </c>
    </row>
    <row r="1262" spans="1:9" hidden="1" x14ac:dyDescent="0.25">
      <c r="A1262">
        <v>2024</v>
      </c>
      <c r="B1262" s="140" t="s">
        <v>156</v>
      </c>
      <c r="C1262" s="140" t="s">
        <v>82</v>
      </c>
      <c r="D1262" s="140" t="s">
        <v>11</v>
      </c>
      <c r="E1262" s="140" t="s">
        <v>12</v>
      </c>
      <c r="F1262">
        <v>0</v>
      </c>
      <c r="G1262" s="140" t="s">
        <v>338</v>
      </c>
      <c r="H1262">
        <v>0</v>
      </c>
      <c r="I1262" s="140" t="s">
        <v>14</v>
      </c>
    </row>
    <row r="1263" spans="1:9" hidden="1" x14ac:dyDescent="0.25">
      <c r="A1263">
        <v>2025</v>
      </c>
      <c r="B1263" s="140" t="s">
        <v>156</v>
      </c>
      <c r="C1263" s="140" t="s">
        <v>82</v>
      </c>
      <c r="D1263" s="140" t="s">
        <v>11</v>
      </c>
      <c r="E1263" s="140" t="s">
        <v>12</v>
      </c>
      <c r="F1263">
        <v>0.9</v>
      </c>
      <c r="G1263" s="140" t="s">
        <v>338</v>
      </c>
      <c r="H1263">
        <v>0</v>
      </c>
      <c r="I1263" s="140" t="s">
        <v>14</v>
      </c>
    </row>
    <row r="1264" spans="1:9" hidden="1" x14ac:dyDescent="0.25">
      <c r="A1264">
        <v>2026</v>
      </c>
      <c r="B1264" s="140" t="s">
        <v>156</v>
      </c>
      <c r="C1264" s="140" t="s">
        <v>82</v>
      </c>
      <c r="D1264" s="140" t="s">
        <v>11</v>
      </c>
      <c r="E1264" s="140" t="s">
        <v>12</v>
      </c>
      <c r="F1264">
        <v>2</v>
      </c>
      <c r="G1264" s="140" t="s">
        <v>338</v>
      </c>
      <c r="H1264">
        <v>0</v>
      </c>
      <c r="I1264" s="140" t="s">
        <v>14</v>
      </c>
    </row>
    <row r="1265" spans="1:9" hidden="1" x14ac:dyDescent="0.25">
      <c r="A1265">
        <v>2027</v>
      </c>
      <c r="B1265" s="140" t="s">
        <v>156</v>
      </c>
      <c r="C1265" s="140" t="s">
        <v>82</v>
      </c>
      <c r="D1265" s="140" t="s">
        <v>11</v>
      </c>
      <c r="E1265" s="140" t="s">
        <v>12</v>
      </c>
      <c r="F1265">
        <v>1.7</v>
      </c>
      <c r="G1265" s="140" t="s">
        <v>338</v>
      </c>
      <c r="H1265">
        <v>0</v>
      </c>
      <c r="I1265" s="140" t="s">
        <v>14</v>
      </c>
    </row>
    <row r="1266" spans="1:9" hidden="1" x14ac:dyDescent="0.25">
      <c r="A1266">
        <v>2028</v>
      </c>
      <c r="B1266" s="140" t="s">
        <v>156</v>
      </c>
      <c r="C1266" s="140" t="s">
        <v>82</v>
      </c>
      <c r="D1266" s="140" t="s">
        <v>11</v>
      </c>
      <c r="E1266" s="140" t="s">
        <v>12</v>
      </c>
      <c r="F1266">
        <v>1.8</v>
      </c>
      <c r="G1266" s="140" t="s">
        <v>338</v>
      </c>
      <c r="H1266">
        <v>0</v>
      </c>
      <c r="I1266" s="140" t="s">
        <v>14</v>
      </c>
    </row>
    <row r="1267" spans="1:9" hidden="1" x14ac:dyDescent="0.25">
      <c r="A1267">
        <v>2029</v>
      </c>
      <c r="B1267" s="140" t="s">
        <v>156</v>
      </c>
      <c r="C1267" s="140" t="s">
        <v>82</v>
      </c>
      <c r="D1267" s="140" t="s">
        <v>11</v>
      </c>
      <c r="E1267" s="140" t="s">
        <v>12</v>
      </c>
      <c r="F1267">
        <v>1.8</v>
      </c>
      <c r="G1267" s="140" t="s">
        <v>338</v>
      </c>
      <c r="H1267">
        <v>0</v>
      </c>
      <c r="I1267" s="140" t="s">
        <v>14</v>
      </c>
    </row>
    <row r="1268" spans="1:9" hidden="1" x14ac:dyDescent="0.25">
      <c r="A1268">
        <v>2030</v>
      </c>
      <c r="B1268" s="140" t="s">
        <v>156</v>
      </c>
      <c r="C1268" s="140" t="s">
        <v>82</v>
      </c>
      <c r="D1268" s="140" t="s">
        <v>11</v>
      </c>
      <c r="E1268" s="140" t="s">
        <v>12</v>
      </c>
      <c r="F1268">
        <v>1.8</v>
      </c>
      <c r="G1268" s="140" t="s">
        <v>338</v>
      </c>
      <c r="H1268">
        <v>0</v>
      </c>
      <c r="I1268" s="140" t="s">
        <v>14</v>
      </c>
    </row>
    <row r="1269" spans="1:9" hidden="1" x14ac:dyDescent="0.25">
      <c r="A1269">
        <v>2010</v>
      </c>
      <c r="B1269" s="140" t="s">
        <v>155</v>
      </c>
      <c r="C1269" s="140" t="s">
        <v>82</v>
      </c>
      <c r="D1269" s="140" t="s">
        <v>11</v>
      </c>
      <c r="E1269" s="140" t="s">
        <v>12</v>
      </c>
      <c r="F1269">
        <v>2.6178010469999999</v>
      </c>
      <c r="G1269" s="140" t="s">
        <v>528</v>
      </c>
      <c r="H1269">
        <v>0</v>
      </c>
      <c r="I1269" s="140" t="s">
        <v>14</v>
      </c>
    </row>
    <row r="1270" spans="1:9" hidden="1" x14ac:dyDescent="0.25">
      <c r="A1270">
        <v>2011</v>
      </c>
      <c r="B1270" s="140" t="s">
        <v>155</v>
      </c>
      <c r="C1270" s="140" t="s">
        <v>82</v>
      </c>
      <c r="D1270" s="140" t="s">
        <v>11</v>
      </c>
      <c r="E1270" s="140" t="s">
        <v>12</v>
      </c>
      <c r="F1270">
        <v>3.3163265310000001</v>
      </c>
      <c r="G1270" s="140" t="s">
        <v>528</v>
      </c>
      <c r="H1270">
        <v>0</v>
      </c>
      <c r="I1270" s="140" t="s">
        <v>14</v>
      </c>
    </row>
    <row r="1271" spans="1:9" hidden="1" x14ac:dyDescent="0.25">
      <c r="A1271">
        <v>2012</v>
      </c>
      <c r="B1271" s="140" t="s">
        <v>155</v>
      </c>
      <c r="C1271" s="140" t="s">
        <v>82</v>
      </c>
      <c r="D1271" s="140" t="s">
        <v>11</v>
      </c>
      <c r="E1271" s="140" t="s">
        <v>12</v>
      </c>
      <c r="F1271">
        <v>3.3744855970000001</v>
      </c>
      <c r="G1271" s="140" t="s">
        <v>528</v>
      </c>
      <c r="H1271">
        <v>0</v>
      </c>
      <c r="I1271" s="140" t="s">
        <v>14</v>
      </c>
    </row>
    <row r="1272" spans="1:9" hidden="1" x14ac:dyDescent="0.25">
      <c r="A1272">
        <v>2013</v>
      </c>
      <c r="B1272" s="140" t="s">
        <v>155</v>
      </c>
      <c r="C1272" s="140" t="s">
        <v>82</v>
      </c>
      <c r="D1272" s="140" t="s">
        <v>11</v>
      </c>
      <c r="E1272" s="140" t="s">
        <v>12</v>
      </c>
      <c r="F1272">
        <v>1.751592357</v>
      </c>
      <c r="G1272" s="140" t="s">
        <v>528</v>
      </c>
      <c r="H1272">
        <v>0</v>
      </c>
      <c r="I1272" s="140" t="s">
        <v>14</v>
      </c>
    </row>
    <row r="1273" spans="1:9" hidden="1" x14ac:dyDescent="0.25">
      <c r="A1273">
        <v>2014</v>
      </c>
      <c r="B1273" s="140" t="s">
        <v>155</v>
      </c>
      <c r="C1273" s="140" t="s">
        <v>82</v>
      </c>
      <c r="D1273" s="140" t="s">
        <v>11</v>
      </c>
      <c r="E1273" s="140" t="s">
        <v>12</v>
      </c>
      <c r="F1273">
        <v>0.54773082900000003</v>
      </c>
      <c r="G1273" s="140" t="s">
        <v>528</v>
      </c>
      <c r="H1273">
        <v>0</v>
      </c>
      <c r="I1273" s="140" t="s">
        <v>14</v>
      </c>
    </row>
    <row r="1274" spans="1:9" hidden="1" x14ac:dyDescent="0.25">
      <c r="A1274">
        <v>2015</v>
      </c>
      <c r="B1274" s="140" t="s">
        <v>155</v>
      </c>
      <c r="C1274" s="140" t="s">
        <v>82</v>
      </c>
      <c r="D1274" s="140" t="s">
        <v>11</v>
      </c>
      <c r="E1274" s="140" t="s">
        <v>12</v>
      </c>
      <c r="F1274">
        <v>0.62256809300000004</v>
      </c>
      <c r="G1274" s="140" t="s">
        <v>528</v>
      </c>
      <c r="H1274">
        <v>0</v>
      </c>
      <c r="I1274" s="140" t="s">
        <v>14</v>
      </c>
    </row>
    <row r="1275" spans="1:9" hidden="1" x14ac:dyDescent="0.25">
      <c r="A1275">
        <v>2016</v>
      </c>
      <c r="B1275" s="140" t="s">
        <v>155</v>
      </c>
      <c r="C1275" s="140" t="s">
        <v>82</v>
      </c>
      <c r="D1275" s="140" t="s">
        <v>11</v>
      </c>
      <c r="E1275" s="140" t="s">
        <v>12</v>
      </c>
      <c r="F1275">
        <v>0.87013702299999995</v>
      </c>
      <c r="G1275" s="140" t="s">
        <v>528</v>
      </c>
      <c r="H1275">
        <v>0</v>
      </c>
      <c r="I1275" s="140" t="s">
        <v>14</v>
      </c>
    </row>
    <row r="1276" spans="1:9" hidden="1" x14ac:dyDescent="0.25">
      <c r="A1276">
        <v>2017</v>
      </c>
      <c r="B1276" s="140" t="s">
        <v>155</v>
      </c>
      <c r="C1276" s="140" t="s">
        <v>82</v>
      </c>
      <c r="D1276" s="140" t="s">
        <v>11</v>
      </c>
      <c r="E1276" s="140" t="s">
        <v>12</v>
      </c>
      <c r="F1276">
        <v>-0.521991969</v>
      </c>
      <c r="G1276" s="140" t="s">
        <v>528</v>
      </c>
      <c r="H1276">
        <v>0</v>
      </c>
      <c r="I1276" s="140" t="s">
        <v>14</v>
      </c>
    </row>
    <row r="1277" spans="1:9" hidden="1" x14ac:dyDescent="0.25">
      <c r="A1277">
        <v>2018</v>
      </c>
      <c r="B1277" s="140" t="s">
        <v>155</v>
      </c>
      <c r="C1277" s="140" t="s">
        <v>82</v>
      </c>
      <c r="D1277" s="140" t="s">
        <v>11</v>
      </c>
      <c r="E1277" s="140" t="s">
        <v>12</v>
      </c>
      <c r="F1277">
        <v>1.4</v>
      </c>
      <c r="G1277" s="140" t="s">
        <v>528</v>
      </c>
      <c r="H1277">
        <v>0</v>
      </c>
      <c r="I1277" s="140" t="s">
        <v>14</v>
      </c>
    </row>
    <row r="1278" spans="1:9" hidden="1" x14ac:dyDescent="0.25">
      <c r="A1278">
        <v>2019</v>
      </c>
      <c r="B1278" s="140" t="s">
        <v>155</v>
      </c>
      <c r="C1278" s="140" t="s">
        <v>82</v>
      </c>
      <c r="D1278" s="140" t="s">
        <v>11</v>
      </c>
      <c r="E1278" s="140" t="s">
        <v>12</v>
      </c>
      <c r="F1278">
        <v>1.3117043639999999</v>
      </c>
      <c r="G1278" s="140" t="s">
        <v>528</v>
      </c>
      <c r="H1278">
        <v>0</v>
      </c>
      <c r="I1278" s="140" t="s">
        <v>14</v>
      </c>
    </row>
    <row r="1279" spans="1:9" hidden="1" x14ac:dyDescent="0.25">
      <c r="A1279">
        <v>2020</v>
      </c>
      <c r="B1279" s="140" t="s">
        <v>155</v>
      </c>
      <c r="C1279" s="140" t="s">
        <v>82</v>
      </c>
      <c r="D1279" s="140" t="s">
        <v>11</v>
      </c>
      <c r="E1279" s="140" t="s">
        <v>12</v>
      </c>
      <c r="F1279">
        <v>0.85216915000000004</v>
      </c>
      <c r="G1279" s="140" t="s">
        <v>528</v>
      </c>
      <c r="H1279">
        <v>0</v>
      </c>
      <c r="I1279" s="140" t="s">
        <v>14</v>
      </c>
    </row>
    <row r="1280" spans="1:9" hidden="1" x14ac:dyDescent="0.25">
      <c r="A1280">
        <v>2021</v>
      </c>
      <c r="B1280" s="140" t="s">
        <v>155</v>
      </c>
      <c r="C1280" s="140" t="s">
        <v>82</v>
      </c>
      <c r="D1280" s="140" t="s">
        <v>11</v>
      </c>
      <c r="E1280" s="140" t="s">
        <v>12</v>
      </c>
      <c r="F1280">
        <v>2.4</v>
      </c>
      <c r="G1280" s="140" t="s">
        <v>528</v>
      </c>
      <c r="H1280">
        <v>0</v>
      </c>
      <c r="I1280" s="140" t="s">
        <v>14</v>
      </c>
    </row>
    <row r="1281" spans="1:9" hidden="1" x14ac:dyDescent="0.25">
      <c r="A1281">
        <v>2022</v>
      </c>
      <c r="B1281" s="140" t="s">
        <v>155</v>
      </c>
      <c r="C1281" s="140" t="s">
        <v>82</v>
      </c>
      <c r="D1281" s="140" t="s">
        <v>11</v>
      </c>
      <c r="E1281" s="140" t="s">
        <v>12</v>
      </c>
      <c r="F1281">
        <v>3.7</v>
      </c>
      <c r="G1281" s="140" t="s">
        <v>528</v>
      </c>
      <c r="H1281">
        <v>0</v>
      </c>
      <c r="I1281" s="140" t="s">
        <v>14</v>
      </c>
    </row>
    <row r="1282" spans="1:9" hidden="1" x14ac:dyDescent="0.25">
      <c r="A1282">
        <v>2023</v>
      </c>
      <c r="B1282" s="140" t="s">
        <v>155</v>
      </c>
      <c r="C1282" s="140" t="s">
        <v>82</v>
      </c>
      <c r="D1282" s="140" t="s">
        <v>11</v>
      </c>
      <c r="E1282" s="140" t="s">
        <v>12</v>
      </c>
      <c r="F1282">
        <v>4.0999999999999996</v>
      </c>
      <c r="G1282" s="140" t="s">
        <v>528</v>
      </c>
      <c r="H1282">
        <v>0</v>
      </c>
      <c r="I1282" s="140" t="s">
        <v>14</v>
      </c>
    </row>
    <row r="1283" spans="1:9" hidden="1" x14ac:dyDescent="0.25">
      <c r="A1283">
        <v>2024</v>
      </c>
      <c r="B1283" s="140" t="s">
        <v>155</v>
      </c>
      <c r="C1283" s="140" t="s">
        <v>82</v>
      </c>
      <c r="D1283" s="140" t="s">
        <v>11</v>
      </c>
      <c r="E1283" s="140" t="s">
        <v>12</v>
      </c>
      <c r="F1283">
        <v>3.2</v>
      </c>
      <c r="G1283" s="140" t="s">
        <v>528</v>
      </c>
      <c r="H1283">
        <v>0</v>
      </c>
      <c r="I1283" s="140" t="s">
        <v>14</v>
      </c>
    </row>
    <row r="1284" spans="1:9" hidden="1" x14ac:dyDescent="0.25">
      <c r="A1284">
        <v>2025</v>
      </c>
      <c r="B1284" s="140" t="s">
        <v>155</v>
      </c>
      <c r="C1284" s="140" t="s">
        <v>82</v>
      </c>
      <c r="D1284" s="140" t="s">
        <v>11</v>
      </c>
      <c r="E1284" s="140" t="s">
        <v>12</v>
      </c>
      <c r="F1284">
        <v>2.5</v>
      </c>
      <c r="G1284" s="140" t="s">
        <v>528</v>
      </c>
      <c r="H1284">
        <v>0</v>
      </c>
      <c r="I1284" s="140" t="s">
        <v>14</v>
      </c>
    </row>
    <row r="1285" spans="1:9" hidden="1" x14ac:dyDescent="0.25">
      <c r="A1285">
        <v>2026</v>
      </c>
      <c r="B1285" s="140" t="s">
        <v>155</v>
      </c>
      <c r="C1285" s="140" t="s">
        <v>82</v>
      </c>
      <c r="D1285" s="140" t="s">
        <v>11</v>
      </c>
      <c r="E1285" s="140" t="s">
        <v>12</v>
      </c>
      <c r="F1285">
        <v>3.4975814299999999</v>
      </c>
      <c r="G1285" s="140" t="s">
        <v>528</v>
      </c>
      <c r="H1285">
        <v>0</v>
      </c>
      <c r="I1285" s="140" t="s">
        <v>14</v>
      </c>
    </row>
    <row r="1286" spans="1:9" hidden="1" x14ac:dyDescent="0.25">
      <c r="A1286">
        <v>2027</v>
      </c>
      <c r="B1286" s="140" t="s">
        <v>155</v>
      </c>
      <c r="C1286" s="140" t="s">
        <v>82</v>
      </c>
      <c r="D1286" s="140" t="s">
        <v>11</v>
      </c>
      <c r="E1286" s="140" t="s">
        <v>12</v>
      </c>
      <c r="F1286">
        <v>3.6511748150000001</v>
      </c>
      <c r="G1286" s="140" t="s">
        <v>528</v>
      </c>
      <c r="H1286">
        <v>0</v>
      </c>
      <c r="I1286" s="140" t="s">
        <v>14</v>
      </c>
    </row>
    <row r="1287" spans="1:9" hidden="1" x14ac:dyDescent="0.25">
      <c r="A1287">
        <v>2028</v>
      </c>
      <c r="B1287" s="140" t="s">
        <v>155</v>
      </c>
      <c r="C1287" s="140" t="s">
        <v>82</v>
      </c>
      <c r="D1287" s="140" t="s">
        <v>11</v>
      </c>
      <c r="E1287" s="140" t="s">
        <v>12</v>
      </c>
      <c r="F1287">
        <v>3.677423219</v>
      </c>
      <c r="G1287" s="140" t="s">
        <v>528</v>
      </c>
      <c r="H1287">
        <v>0</v>
      </c>
      <c r="I1287" s="140" t="s">
        <v>14</v>
      </c>
    </row>
    <row r="1288" spans="1:9" hidden="1" x14ac:dyDescent="0.25">
      <c r="A1288">
        <v>2029</v>
      </c>
      <c r="B1288" s="140" t="s">
        <v>155</v>
      </c>
      <c r="C1288" s="140" t="s">
        <v>82</v>
      </c>
      <c r="D1288" s="140" t="s">
        <v>11</v>
      </c>
      <c r="E1288" s="140" t="s">
        <v>12</v>
      </c>
      <c r="F1288">
        <v>2.9562357389999998</v>
      </c>
      <c r="G1288" s="140" t="s">
        <v>528</v>
      </c>
      <c r="H1288">
        <v>0</v>
      </c>
      <c r="I1288" s="140" t="s">
        <v>14</v>
      </c>
    </row>
    <row r="1289" spans="1:9" hidden="1" x14ac:dyDescent="0.25">
      <c r="A1289">
        <v>2030</v>
      </c>
      <c r="B1289" s="140" t="s">
        <v>155</v>
      </c>
      <c r="C1289" s="140" t="s">
        <v>82</v>
      </c>
      <c r="D1289" s="140" t="s">
        <v>11</v>
      </c>
      <c r="E1289" s="140" t="s">
        <v>12</v>
      </c>
      <c r="F1289">
        <v>2.9043553649999998</v>
      </c>
      <c r="G1289" s="140" t="s">
        <v>528</v>
      </c>
      <c r="H1289">
        <v>0</v>
      </c>
      <c r="I1289" s="140" t="s">
        <v>14</v>
      </c>
    </row>
    <row r="1290" spans="1:9" hidden="1" x14ac:dyDescent="0.25">
      <c r="A1290">
        <v>2010</v>
      </c>
      <c r="B1290" s="140" t="s">
        <v>192</v>
      </c>
      <c r="C1290" s="140" t="s">
        <v>82</v>
      </c>
      <c r="D1290" s="140" t="s">
        <v>11</v>
      </c>
      <c r="E1290" s="140" t="s">
        <v>12</v>
      </c>
      <c r="F1290">
        <v>0</v>
      </c>
      <c r="G1290" s="140" t="s">
        <v>237</v>
      </c>
      <c r="H1290">
        <v>0</v>
      </c>
      <c r="I1290" s="140" t="s">
        <v>14</v>
      </c>
    </row>
    <row r="1291" spans="1:9" hidden="1" x14ac:dyDescent="0.25">
      <c r="A1291">
        <v>2011</v>
      </c>
      <c r="B1291" s="140" t="s">
        <v>192</v>
      </c>
      <c r="C1291" s="140" t="s">
        <v>82</v>
      </c>
      <c r="D1291" s="140" t="s">
        <v>11</v>
      </c>
      <c r="E1291" s="140" t="s">
        <v>12</v>
      </c>
      <c r="F1291">
        <v>2.6321548419999998</v>
      </c>
      <c r="G1291" s="140" t="s">
        <v>237</v>
      </c>
      <c r="H1291">
        <v>0</v>
      </c>
      <c r="I1291" s="140" t="s">
        <v>14</v>
      </c>
    </row>
    <row r="1292" spans="1:9" hidden="1" x14ac:dyDescent="0.25">
      <c r="A1292">
        <v>2012</v>
      </c>
      <c r="B1292" s="140" t="s">
        <v>192</v>
      </c>
      <c r="C1292" s="140" t="s">
        <v>82</v>
      </c>
      <c r="D1292" s="140" t="s">
        <v>11</v>
      </c>
      <c r="E1292" s="140" t="s">
        <v>12</v>
      </c>
      <c r="F1292">
        <v>3.8056748900000001</v>
      </c>
      <c r="G1292" s="140" t="s">
        <v>237</v>
      </c>
      <c r="H1292">
        <v>0</v>
      </c>
      <c r="I1292" s="140" t="s">
        <v>14</v>
      </c>
    </row>
    <row r="1293" spans="1:9" hidden="1" x14ac:dyDescent="0.25">
      <c r="A1293">
        <v>2013</v>
      </c>
      <c r="B1293" s="140" t="s">
        <v>192</v>
      </c>
      <c r="C1293" s="140" t="s">
        <v>82</v>
      </c>
      <c r="D1293" s="140" t="s">
        <v>11</v>
      </c>
      <c r="E1293" s="140" t="s">
        <v>12</v>
      </c>
      <c r="F1293">
        <v>2.999525217</v>
      </c>
      <c r="G1293" s="140" t="s">
        <v>237</v>
      </c>
      <c r="H1293">
        <v>0</v>
      </c>
      <c r="I1293" s="140" t="s">
        <v>14</v>
      </c>
    </row>
    <row r="1294" spans="1:9" hidden="1" x14ac:dyDescent="0.25">
      <c r="A1294">
        <v>2014</v>
      </c>
      <c r="B1294" s="140" t="s">
        <v>192</v>
      </c>
      <c r="C1294" s="140" t="s">
        <v>82</v>
      </c>
      <c r="D1294" s="140" t="s">
        <v>11</v>
      </c>
      <c r="E1294" s="140" t="s">
        <v>12</v>
      </c>
      <c r="F1294">
        <v>1.5413210669999999</v>
      </c>
      <c r="G1294" s="140" t="s">
        <v>237</v>
      </c>
      <c r="H1294">
        <v>0</v>
      </c>
      <c r="I1294" s="140" t="s">
        <v>14</v>
      </c>
    </row>
    <row r="1295" spans="1:9" hidden="1" x14ac:dyDescent="0.25">
      <c r="A1295">
        <v>2015</v>
      </c>
      <c r="B1295" s="140" t="s">
        <v>192</v>
      </c>
      <c r="C1295" s="140" t="s">
        <v>82</v>
      </c>
      <c r="D1295" s="140" t="s">
        <v>11</v>
      </c>
      <c r="E1295" s="140" t="s">
        <v>12</v>
      </c>
      <c r="F1295">
        <v>0.55568027799999997</v>
      </c>
      <c r="G1295" s="140" t="s">
        <v>237</v>
      </c>
      <c r="H1295">
        <v>0</v>
      </c>
      <c r="I1295" s="140" t="s">
        <v>14</v>
      </c>
    </row>
    <row r="1296" spans="1:9" hidden="1" x14ac:dyDescent="0.25">
      <c r="A1296">
        <v>2016</v>
      </c>
      <c r="B1296" s="140" t="s">
        <v>192</v>
      </c>
      <c r="C1296" s="140" t="s">
        <v>82</v>
      </c>
      <c r="D1296" s="140" t="s">
        <v>11</v>
      </c>
      <c r="E1296" s="140" t="s">
        <v>12</v>
      </c>
      <c r="F1296">
        <v>0</v>
      </c>
      <c r="G1296" s="140" t="s">
        <v>237</v>
      </c>
      <c r="H1296">
        <v>0</v>
      </c>
      <c r="I1296" s="140" t="s">
        <v>14</v>
      </c>
    </row>
    <row r="1297" spans="1:9" hidden="1" x14ac:dyDescent="0.25">
      <c r="A1297">
        <v>2017</v>
      </c>
      <c r="B1297" s="140" t="s">
        <v>192</v>
      </c>
      <c r="C1297" s="140" t="s">
        <v>82</v>
      </c>
      <c r="D1297" s="140" t="s">
        <v>11</v>
      </c>
      <c r="E1297" s="140" t="s">
        <v>12</v>
      </c>
      <c r="F1297">
        <v>-0.521991969</v>
      </c>
      <c r="G1297" s="140" t="s">
        <v>237</v>
      </c>
      <c r="H1297">
        <v>0</v>
      </c>
      <c r="I1297" s="140" t="s">
        <v>14</v>
      </c>
    </row>
    <row r="1298" spans="1:9" hidden="1" x14ac:dyDescent="0.25">
      <c r="A1298">
        <v>2018</v>
      </c>
      <c r="B1298" s="140" t="s">
        <v>192</v>
      </c>
      <c r="C1298" s="140" t="s">
        <v>82</v>
      </c>
      <c r="D1298" s="140" t="s">
        <v>11</v>
      </c>
      <c r="E1298" s="140" t="s">
        <v>12</v>
      </c>
      <c r="F1298">
        <v>0</v>
      </c>
      <c r="G1298" s="140" t="s">
        <v>237</v>
      </c>
      <c r="H1298">
        <v>0</v>
      </c>
      <c r="I1298" s="140" t="s">
        <v>14</v>
      </c>
    </row>
    <row r="1299" spans="1:9" hidden="1" x14ac:dyDescent="0.25">
      <c r="A1299">
        <v>2019</v>
      </c>
      <c r="B1299" s="140" t="s">
        <v>192</v>
      </c>
      <c r="C1299" s="140" t="s">
        <v>82</v>
      </c>
      <c r="D1299" s="140" t="s">
        <v>11</v>
      </c>
      <c r="E1299" s="140" t="s">
        <v>12</v>
      </c>
      <c r="F1299">
        <v>0</v>
      </c>
      <c r="G1299" s="140" t="s">
        <v>237</v>
      </c>
      <c r="H1299">
        <v>0</v>
      </c>
      <c r="I1299" s="140" t="s">
        <v>14</v>
      </c>
    </row>
    <row r="1300" spans="1:9" hidden="1" x14ac:dyDescent="0.25">
      <c r="A1300">
        <v>2020</v>
      </c>
      <c r="B1300" s="140" t="s">
        <v>192</v>
      </c>
      <c r="C1300" s="140" t="s">
        <v>82</v>
      </c>
      <c r="D1300" s="140" t="s">
        <v>11</v>
      </c>
      <c r="E1300" s="140" t="s">
        <v>12</v>
      </c>
      <c r="F1300">
        <v>2.3905408320000001</v>
      </c>
      <c r="G1300" s="140" t="s">
        <v>237</v>
      </c>
      <c r="H1300">
        <v>0</v>
      </c>
      <c r="I1300" s="140" t="s">
        <v>14</v>
      </c>
    </row>
    <row r="1301" spans="1:9" hidden="1" x14ac:dyDescent="0.25">
      <c r="A1301">
        <v>2021</v>
      </c>
      <c r="B1301" s="140" t="s">
        <v>192</v>
      </c>
      <c r="C1301" s="140" t="s">
        <v>82</v>
      </c>
      <c r="D1301" s="140" t="s">
        <v>11</v>
      </c>
      <c r="E1301" s="140" t="s">
        <v>12</v>
      </c>
      <c r="F1301">
        <v>2.4150059549999998</v>
      </c>
      <c r="G1301" s="140" t="s">
        <v>237</v>
      </c>
      <c r="H1301">
        <v>0</v>
      </c>
      <c r="I1301" s="140" t="s">
        <v>14</v>
      </c>
    </row>
    <row r="1302" spans="1:9" hidden="1" x14ac:dyDescent="0.25">
      <c r="A1302">
        <v>2022</v>
      </c>
      <c r="B1302" s="140" t="s">
        <v>192</v>
      </c>
      <c r="C1302" s="140" t="s">
        <v>82</v>
      </c>
      <c r="D1302" s="140" t="s">
        <v>11</v>
      </c>
      <c r="E1302" s="140" t="s">
        <v>12</v>
      </c>
      <c r="F1302">
        <v>2.4982025879999998</v>
      </c>
      <c r="G1302" s="140" t="s">
        <v>237</v>
      </c>
      <c r="H1302">
        <v>0</v>
      </c>
      <c r="I1302" s="140" t="s">
        <v>14</v>
      </c>
    </row>
    <row r="1303" spans="1:9" hidden="1" x14ac:dyDescent="0.25">
      <c r="A1303">
        <v>2023</v>
      </c>
      <c r="B1303" s="140" t="s">
        <v>192</v>
      </c>
      <c r="C1303" s="140" t="s">
        <v>82</v>
      </c>
      <c r="D1303" s="140" t="s">
        <v>11</v>
      </c>
      <c r="E1303" s="140" t="s">
        <v>12</v>
      </c>
      <c r="F1303">
        <v>3.8018979530000001</v>
      </c>
      <c r="G1303" s="140" t="s">
        <v>237</v>
      </c>
      <c r="H1303">
        <v>0</v>
      </c>
      <c r="I1303" s="140" t="s">
        <v>14</v>
      </c>
    </row>
    <row r="1304" spans="1:9" hidden="1" x14ac:dyDescent="0.25">
      <c r="A1304">
        <v>2024</v>
      </c>
      <c r="B1304" s="140" t="s">
        <v>192</v>
      </c>
      <c r="C1304" s="140" t="s">
        <v>82</v>
      </c>
      <c r="D1304" s="140" t="s">
        <v>11</v>
      </c>
      <c r="E1304" s="140" t="s">
        <v>12</v>
      </c>
      <c r="F1304">
        <v>2.2162220320000001</v>
      </c>
      <c r="G1304" s="140" t="s">
        <v>237</v>
      </c>
      <c r="H1304">
        <v>0</v>
      </c>
      <c r="I1304" s="140" t="s">
        <v>14</v>
      </c>
    </row>
    <row r="1305" spans="1:9" hidden="1" x14ac:dyDescent="0.25">
      <c r="A1305">
        <v>2025</v>
      </c>
      <c r="B1305" s="140" t="s">
        <v>192</v>
      </c>
      <c r="C1305" s="140" t="s">
        <v>82</v>
      </c>
      <c r="D1305" s="140" t="s">
        <v>11</v>
      </c>
      <c r="E1305" s="140" t="s">
        <v>12</v>
      </c>
      <c r="F1305">
        <v>3.3945935619999998</v>
      </c>
      <c r="G1305" s="140" t="s">
        <v>237</v>
      </c>
      <c r="H1305">
        <v>0</v>
      </c>
      <c r="I1305" s="140" t="s">
        <v>14</v>
      </c>
    </row>
    <row r="1306" spans="1:9" hidden="1" x14ac:dyDescent="0.25">
      <c r="A1306">
        <v>2026</v>
      </c>
      <c r="B1306" s="140" t="s">
        <v>192</v>
      </c>
      <c r="C1306" s="140" t="s">
        <v>82</v>
      </c>
      <c r="D1306" s="140" t="s">
        <v>11</v>
      </c>
      <c r="E1306" s="140" t="s">
        <v>12</v>
      </c>
      <c r="F1306">
        <v>3.4975814299999999</v>
      </c>
      <c r="G1306" s="140" t="s">
        <v>237</v>
      </c>
      <c r="H1306">
        <v>0</v>
      </c>
      <c r="I1306" s="140" t="s">
        <v>14</v>
      </c>
    </row>
    <row r="1307" spans="1:9" hidden="1" x14ac:dyDescent="0.25">
      <c r="A1307">
        <v>2027</v>
      </c>
      <c r="B1307" s="140" t="s">
        <v>192</v>
      </c>
      <c r="C1307" s="140" t="s">
        <v>82</v>
      </c>
      <c r="D1307" s="140" t="s">
        <v>11</v>
      </c>
      <c r="E1307" s="140" t="s">
        <v>12</v>
      </c>
      <c r="F1307">
        <v>3.6511748150000001</v>
      </c>
      <c r="G1307" s="140" t="s">
        <v>237</v>
      </c>
      <c r="H1307">
        <v>0</v>
      </c>
      <c r="I1307" s="140" t="s">
        <v>14</v>
      </c>
    </row>
    <row r="1308" spans="1:9" hidden="1" x14ac:dyDescent="0.25">
      <c r="A1308">
        <v>2028</v>
      </c>
      <c r="B1308" s="140" t="s">
        <v>192</v>
      </c>
      <c r="C1308" s="140" t="s">
        <v>82</v>
      </c>
      <c r="D1308" s="140" t="s">
        <v>11</v>
      </c>
      <c r="E1308" s="140" t="s">
        <v>12</v>
      </c>
      <c r="F1308">
        <v>3.677423219</v>
      </c>
      <c r="G1308" s="140" t="s">
        <v>237</v>
      </c>
      <c r="H1308">
        <v>0</v>
      </c>
      <c r="I1308" s="140" t="s">
        <v>14</v>
      </c>
    </row>
    <row r="1309" spans="1:9" hidden="1" x14ac:dyDescent="0.25">
      <c r="A1309">
        <v>2029</v>
      </c>
      <c r="B1309" s="140" t="s">
        <v>192</v>
      </c>
      <c r="C1309" s="140" t="s">
        <v>82</v>
      </c>
      <c r="D1309" s="140" t="s">
        <v>11</v>
      </c>
      <c r="E1309" s="140" t="s">
        <v>12</v>
      </c>
      <c r="F1309">
        <v>2.9562357389999998</v>
      </c>
      <c r="G1309" s="140" t="s">
        <v>237</v>
      </c>
      <c r="H1309">
        <v>0</v>
      </c>
      <c r="I1309" s="140" t="s">
        <v>14</v>
      </c>
    </row>
    <row r="1310" spans="1:9" hidden="1" x14ac:dyDescent="0.25">
      <c r="A1310">
        <v>2030</v>
      </c>
      <c r="B1310" s="140" t="s">
        <v>192</v>
      </c>
      <c r="C1310" s="140" t="s">
        <v>82</v>
      </c>
      <c r="D1310" s="140" t="s">
        <v>11</v>
      </c>
      <c r="E1310" s="140" t="s">
        <v>12</v>
      </c>
      <c r="F1310">
        <v>2.9043553649999998</v>
      </c>
      <c r="G1310" s="140" t="s">
        <v>237</v>
      </c>
      <c r="H1310">
        <v>0</v>
      </c>
      <c r="I1310" s="140" t="s">
        <v>14</v>
      </c>
    </row>
    <row r="1311" spans="1:9" hidden="1" x14ac:dyDescent="0.25">
      <c r="A1311">
        <v>2017</v>
      </c>
      <c r="B1311" s="140" t="s">
        <v>658</v>
      </c>
      <c r="C1311" s="140" t="s">
        <v>82</v>
      </c>
      <c r="D1311" s="140" t="s">
        <v>11</v>
      </c>
      <c r="E1311" s="140" t="s">
        <v>55</v>
      </c>
      <c r="F1311">
        <v>4.2625956360000004</v>
      </c>
      <c r="G1311" s="140" t="s">
        <v>659</v>
      </c>
      <c r="H1311">
        <v>0</v>
      </c>
      <c r="I1311" s="140" t="s">
        <v>14</v>
      </c>
    </row>
    <row r="1312" spans="1:9" hidden="1" x14ac:dyDescent="0.25">
      <c r="A1312">
        <v>2018</v>
      </c>
      <c r="B1312" s="140" t="s">
        <v>658</v>
      </c>
      <c r="C1312" s="140" t="s">
        <v>82</v>
      </c>
      <c r="D1312" s="140" t="s">
        <v>11</v>
      </c>
      <c r="E1312" s="140" t="s">
        <v>55</v>
      </c>
      <c r="F1312">
        <v>2.1931548620000001</v>
      </c>
      <c r="G1312" s="140" t="s">
        <v>659</v>
      </c>
      <c r="H1312">
        <v>0</v>
      </c>
      <c r="I1312" s="140" t="s">
        <v>14</v>
      </c>
    </row>
    <row r="1313" spans="1:9" hidden="1" x14ac:dyDescent="0.25">
      <c r="A1313">
        <v>2019</v>
      </c>
      <c r="B1313" s="140" t="s">
        <v>658</v>
      </c>
      <c r="C1313" s="140" t="s">
        <v>82</v>
      </c>
      <c r="D1313" s="140" t="s">
        <v>11</v>
      </c>
      <c r="E1313" s="140" t="s">
        <v>55</v>
      </c>
      <c r="F1313">
        <v>-1.1986141539999999</v>
      </c>
      <c r="G1313" s="140" t="s">
        <v>659</v>
      </c>
      <c r="H1313">
        <v>0</v>
      </c>
      <c r="I1313" s="140" t="s">
        <v>14</v>
      </c>
    </row>
    <row r="1314" spans="1:9" hidden="1" x14ac:dyDescent="0.25">
      <c r="A1314">
        <v>2020</v>
      </c>
      <c r="B1314" s="140" t="s">
        <v>658</v>
      </c>
      <c r="C1314" s="140" t="s">
        <v>82</v>
      </c>
      <c r="D1314" s="140" t="s">
        <v>11</v>
      </c>
      <c r="E1314" s="140" t="s">
        <v>55</v>
      </c>
      <c r="F1314">
        <v>-7.9135905449999999</v>
      </c>
      <c r="G1314" s="140" t="s">
        <v>659</v>
      </c>
      <c r="H1314">
        <v>0</v>
      </c>
      <c r="I1314" s="140" t="s">
        <v>14</v>
      </c>
    </row>
    <row r="1315" spans="1:9" hidden="1" x14ac:dyDescent="0.25">
      <c r="A1315">
        <v>2021</v>
      </c>
      <c r="B1315" s="140" t="s">
        <v>658</v>
      </c>
      <c r="C1315" s="140" t="s">
        <v>82</v>
      </c>
      <c r="D1315" s="140" t="s">
        <v>11</v>
      </c>
      <c r="E1315" s="140" t="s">
        <v>55</v>
      </c>
      <c r="F1315">
        <v>9.3719197259999998</v>
      </c>
      <c r="G1315" s="140" t="s">
        <v>659</v>
      </c>
      <c r="H1315">
        <v>0</v>
      </c>
      <c r="I1315" s="140" t="s">
        <v>14</v>
      </c>
    </row>
    <row r="1316" spans="1:9" hidden="1" x14ac:dyDescent="0.25">
      <c r="A1316">
        <v>2022</v>
      </c>
      <c r="B1316" s="140" t="s">
        <v>658</v>
      </c>
      <c r="C1316" s="140" t="s">
        <v>82</v>
      </c>
      <c r="D1316" s="140" t="s">
        <v>11</v>
      </c>
      <c r="E1316" s="140" t="s">
        <v>55</v>
      </c>
      <c r="F1316">
        <v>3.4559307619999999</v>
      </c>
      <c r="G1316" s="140" t="s">
        <v>659</v>
      </c>
      <c r="H1316">
        <v>0</v>
      </c>
      <c r="I1316" s="140" t="s">
        <v>14</v>
      </c>
    </row>
    <row r="1317" spans="1:9" hidden="1" x14ac:dyDescent="0.25">
      <c r="A1317">
        <v>2023</v>
      </c>
      <c r="B1317" s="140" t="s">
        <v>658</v>
      </c>
      <c r="C1317" s="140" t="s">
        <v>82</v>
      </c>
      <c r="D1317" s="140" t="s">
        <v>11</v>
      </c>
      <c r="E1317" s="140" t="s">
        <v>55</v>
      </c>
      <c r="F1317">
        <v>-2.4194836259999999</v>
      </c>
      <c r="G1317" s="140" t="s">
        <v>659</v>
      </c>
      <c r="H1317">
        <v>0</v>
      </c>
      <c r="I1317" s="140" t="s">
        <v>14</v>
      </c>
    </row>
    <row r="1318" spans="1:9" hidden="1" x14ac:dyDescent="0.25">
      <c r="A1318">
        <v>2024</v>
      </c>
      <c r="B1318" s="140" t="s">
        <v>658</v>
      </c>
      <c r="C1318" s="140" t="s">
        <v>82</v>
      </c>
      <c r="D1318" s="140" t="s">
        <v>11</v>
      </c>
      <c r="E1318" s="140" t="s">
        <v>55</v>
      </c>
      <c r="F1318">
        <v>4.4583660999999997E-2</v>
      </c>
      <c r="G1318" s="140" t="s">
        <v>659</v>
      </c>
      <c r="H1318">
        <v>0</v>
      </c>
      <c r="I1318" s="140" t="s">
        <v>14</v>
      </c>
    </row>
    <row r="1319" spans="1:9" hidden="1" x14ac:dyDescent="0.25">
      <c r="A1319">
        <v>2025</v>
      </c>
      <c r="B1319" s="140" t="s">
        <v>658</v>
      </c>
      <c r="C1319" s="140" t="s">
        <v>82</v>
      </c>
      <c r="D1319" s="140" t="s">
        <v>11</v>
      </c>
      <c r="E1319" s="140" t="s">
        <v>55</v>
      </c>
      <c r="F1319">
        <v>2.2400000000000002</v>
      </c>
      <c r="G1319" s="140" t="s">
        <v>659</v>
      </c>
      <c r="H1319">
        <v>0</v>
      </c>
      <c r="I1319" s="140" t="s">
        <v>14</v>
      </c>
    </row>
    <row r="1320" spans="1:9" hidden="1" x14ac:dyDescent="0.25">
      <c r="A1320">
        <v>2026</v>
      </c>
      <c r="B1320" s="140" t="s">
        <v>658</v>
      </c>
      <c r="C1320" s="140" t="s">
        <v>82</v>
      </c>
      <c r="D1320" s="140" t="s">
        <v>11</v>
      </c>
      <c r="E1320" s="140" t="s">
        <v>55</v>
      </c>
      <c r="F1320">
        <v>1.26</v>
      </c>
      <c r="G1320" s="140" t="s">
        <v>659</v>
      </c>
      <c r="H1320">
        <v>0</v>
      </c>
      <c r="I1320" s="140" t="s">
        <v>14</v>
      </c>
    </row>
    <row r="1321" spans="1:9" hidden="1" x14ac:dyDescent="0.25">
      <c r="A1321">
        <v>2027</v>
      </c>
      <c r="B1321" s="140" t="s">
        <v>658</v>
      </c>
      <c r="C1321" s="140" t="s">
        <v>82</v>
      </c>
      <c r="D1321" s="140" t="s">
        <v>11</v>
      </c>
      <c r="E1321" s="140" t="s">
        <v>55</v>
      </c>
      <c r="F1321">
        <v>1.86</v>
      </c>
      <c r="G1321" s="140" t="s">
        <v>659</v>
      </c>
      <c r="H1321">
        <v>0</v>
      </c>
      <c r="I1321" s="140" t="s">
        <v>14</v>
      </c>
    </row>
    <row r="1322" spans="1:9" hidden="1" x14ac:dyDescent="0.25">
      <c r="A1322">
        <v>2028</v>
      </c>
      <c r="B1322" s="140" t="s">
        <v>658</v>
      </c>
      <c r="C1322" s="140" t="s">
        <v>82</v>
      </c>
      <c r="D1322" s="140" t="s">
        <v>11</v>
      </c>
      <c r="E1322" s="140" t="s">
        <v>55</v>
      </c>
      <c r="F1322">
        <v>2.5499999999999998</v>
      </c>
      <c r="G1322" s="140" t="s">
        <v>659</v>
      </c>
      <c r="H1322">
        <v>0</v>
      </c>
      <c r="I1322" s="140" t="s">
        <v>14</v>
      </c>
    </row>
    <row r="1323" spans="1:9" hidden="1" x14ac:dyDescent="0.25">
      <c r="A1323">
        <v>1990</v>
      </c>
      <c r="B1323" s="140" t="s">
        <v>18</v>
      </c>
      <c r="C1323" s="140" t="s">
        <v>19</v>
      </c>
      <c r="D1323" s="140" t="s">
        <v>11</v>
      </c>
      <c r="E1323" s="140" t="s">
        <v>12</v>
      </c>
      <c r="F1323">
        <v>90964</v>
      </c>
      <c r="G1323" s="140" t="s">
        <v>247</v>
      </c>
      <c r="H1323">
        <v>0</v>
      </c>
      <c r="I1323" s="140" t="s">
        <v>17</v>
      </c>
    </row>
    <row r="1324" spans="1:9" hidden="1" x14ac:dyDescent="0.25">
      <c r="A1324">
        <v>1991</v>
      </c>
      <c r="B1324" s="140" t="s">
        <v>18</v>
      </c>
      <c r="C1324" s="140" t="s">
        <v>19</v>
      </c>
      <c r="D1324" s="140" t="s">
        <v>11</v>
      </c>
      <c r="E1324" s="140" t="s">
        <v>12</v>
      </c>
      <c r="F1324">
        <v>86913</v>
      </c>
      <c r="G1324" s="140" t="s">
        <v>247</v>
      </c>
      <c r="H1324">
        <v>0</v>
      </c>
      <c r="I1324" s="140" t="s">
        <v>17</v>
      </c>
    </row>
    <row r="1325" spans="1:9" hidden="1" x14ac:dyDescent="0.25">
      <c r="A1325">
        <v>1992</v>
      </c>
      <c r="B1325" s="140" t="s">
        <v>18</v>
      </c>
      <c r="C1325" s="140" t="s">
        <v>19</v>
      </c>
      <c r="D1325" s="140" t="s">
        <v>11</v>
      </c>
      <c r="E1325" s="140" t="s">
        <v>12</v>
      </c>
      <c r="F1325">
        <v>84786</v>
      </c>
      <c r="G1325" s="140" t="s">
        <v>247</v>
      </c>
      <c r="H1325">
        <v>0</v>
      </c>
      <c r="I1325" s="140" t="s">
        <v>17</v>
      </c>
    </row>
    <row r="1326" spans="1:9" hidden="1" x14ac:dyDescent="0.25">
      <c r="A1326">
        <v>1993</v>
      </c>
      <c r="B1326" s="140" t="s">
        <v>18</v>
      </c>
      <c r="C1326" s="140" t="s">
        <v>19</v>
      </c>
      <c r="D1326" s="140" t="s">
        <v>11</v>
      </c>
      <c r="E1326" s="140" t="s">
        <v>12</v>
      </c>
      <c r="F1326">
        <v>85610</v>
      </c>
      <c r="G1326" s="140" t="s">
        <v>247</v>
      </c>
      <c r="H1326">
        <v>0</v>
      </c>
      <c r="I1326" s="140" t="s">
        <v>17</v>
      </c>
    </row>
    <row r="1327" spans="1:9" hidden="1" x14ac:dyDescent="0.25">
      <c r="A1327">
        <v>1994</v>
      </c>
      <c r="B1327" s="140" t="s">
        <v>18</v>
      </c>
      <c r="C1327" s="140" t="s">
        <v>19</v>
      </c>
      <c r="D1327" s="140" t="s">
        <v>11</v>
      </c>
      <c r="E1327" s="140" t="s">
        <v>12</v>
      </c>
      <c r="F1327">
        <v>90646</v>
      </c>
      <c r="G1327" s="140" t="s">
        <v>247</v>
      </c>
      <c r="H1327">
        <v>0</v>
      </c>
      <c r="I1327" s="140" t="s">
        <v>17</v>
      </c>
    </row>
    <row r="1328" spans="1:9" hidden="1" x14ac:dyDescent="0.25">
      <c r="A1328">
        <v>1995</v>
      </c>
      <c r="B1328" s="140" t="s">
        <v>18</v>
      </c>
      <c r="C1328" s="140" t="s">
        <v>19</v>
      </c>
      <c r="D1328" s="140" t="s">
        <v>11</v>
      </c>
      <c r="E1328" s="140" t="s">
        <v>12</v>
      </c>
      <c r="F1328">
        <v>98454</v>
      </c>
      <c r="G1328" s="140" t="s">
        <v>247</v>
      </c>
      <c r="H1328">
        <v>0</v>
      </c>
      <c r="I1328" s="140" t="s">
        <v>17</v>
      </c>
    </row>
    <row r="1329" spans="1:9" hidden="1" x14ac:dyDescent="0.25">
      <c r="A1329">
        <v>1996</v>
      </c>
      <c r="B1329" s="140" t="s">
        <v>18</v>
      </c>
      <c r="C1329" s="140" t="s">
        <v>19</v>
      </c>
      <c r="D1329" s="140" t="s">
        <v>11</v>
      </c>
      <c r="E1329" s="140" t="s">
        <v>12</v>
      </c>
      <c r="F1329">
        <v>101977</v>
      </c>
      <c r="G1329" s="140" t="s">
        <v>247</v>
      </c>
      <c r="H1329">
        <v>0</v>
      </c>
      <c r="I1329" s="140" t="s">
        <v>17</v>
      </c>
    </row>
    <row r="1330" spans="1:9" hidden="1" x14ac:dyDescent="0.25">
      <c r="A1330">
        <v>1997</v>
      </c>
      <c r="B1330" s="140" t="s">
        <v>18</v>
      </c>
      <c r="C1330" s="140" t="s">
        <v>19</v>
      </c>
      <c r="D1330" s="140" t="s">
        <v>11</v>
      </c>
      <c r="E1330" s="140" t="s">
        <v>12</v>
      </c>
      <c r="F1330">
        <v>110764</v>
      </c>
      <c r="G1330" s="140" t="s">
        <v>247</v>
      </c>
      <c r="H1330">
        <v>0</v>
      </c>
      <c r="I1330" s="140" t="s">
        <v>17</v>
      </c>
    </row>
    <row r="1331" spans="1:9" hidden="1" x14ac:dyDescent="0.25">
      <c r="A1331">
        <v>1998</v>
      </c>
      <c r="B1331" s="140" t="s">
        <v>18</v>
      </c>
      <c r="C1331" s="140" t="s">
        <v>19</v>
      </c>
      <c r="D1331" s="140" t="s">
        <v>11</v>
      </c>
      <c r="E1331" s="140" t="s">
        <v>12</v>
      </c>
      <c r="F1331">
        <v>120431</v>
      </c>
      <c r="G1331" s="140" t="s">
        <v>247</v>
      </c>
      <c r="H1331">
        <v>0</v>
      </c>
      <c r="I1331" s="140" t="s">
        <v>17</v>
      </c>
    </row>
    <row r="1332" spans="1:9" hidden="1" x14ac:dyDescent="0.25">
      <c r="A1332">
        <v>1999</v>
      </c>
      <c r="B1332" s="140" t="s">
        <v>18</v>
      </c>
      <c r="C1332" s="140" t="s">
        <v>19</v>
      </c>
      <c r="D1332" s="140" t="s">
        <v>11</v>
      </c>
      <c r="E1332" s="140" t="s">
        <v>12</v>
      </c>
      <c r="F1332">
        <v>126888</v>
      </c>
      <c r="G1332" s="140" t="s">
        <v>247</v>
      </c>
      <c r="H1332">
        <v>0</v>
      </c>
      <c r="I1332" s="140" t="s">
        <v>17</v>
      </c>
    </row>
    <row r="1333" spans="1:9" hidden="1" x14ac:dyDescent="0.25">
      <c r="A1333">
        <v>2000</v>
      </c>
      <c r="B1333" s="140" t="s">
        <v>18</v>
      </c>
      <c r="C1333" s="140" t="s">
        <v>19</v>
      </c>
      <c r="D1333" s="140" t="s">
        <v>11</v>
      </c>
      <c r="E1333" s="140" t="s">
        <v>12</v>
      </c>
      <c r="F1333">
        <v>136386</v>
      </c>
      <c r="G1333" s="140" t="s">
        <v>247</v>
      </c>
      <c r="H1333">
        <v>0</v>
      </c>
      <c r="I1333" s="140" t="s">
        <v>17</v>
      </c>
    </row>
    <row r="1334" spans="1:9" hidden="1" x14ac:dyDescent="0.25">
      <c r="A1334">
        <v>2001</v>
      </c>
      <c r="B1334" s="140" t="s">
        <v>18</v>
      </c>
      <c r="C1334" s="140" t="s">
        <v>19</v>
      </c>
      <c r="D1334" s="140" t="s">
        <v>11</v>
      </c>
      <c r="E1334" s="140" t="s">
        <v>12</v>
      </c>
      <c r="F1334">
        <v>144613</v>
      </c>
      <c r="G1334" s="140" t="s">
        <v>247</v>
      </c>
      <c r="H1334">
        <v>0</v>
      </c>
      <c r="I1334" s="140" t="s">
        <v>17</v>
      </c>
    </row>
    <row r="1335" spans="1:9" hidden="1" x14ac:dyDescent="0.25">
      <c r="A1335">
        <v>2002</v>
      </c>
      <c r="B1335" s="140" t="s">
        <v>18</v>
      </c>
      <c r="C1335" s="140" t="s">
        <v>19</v>
      </c>
      <c r="D1335" s="140" t="s">
        <v>11</v>
      </c>
      <c r="E1335" s="140" t="s">
        <v>12</v>
      </c>
      <c r="F1335">
        <v>148440</v>
      </c>
      <c r="G1335" s="140" t="s">
        <v>247</v>
      </c>
      <c r="H1335">
        <v>0</v>
      </c>
      <c r="I1335" s="140" t="s">
        <v>17</v>
      </c>
    </row>
    <row r="1336" spans="1:9" hidden="1" x14ac:dyDescent="0.25">
      <c r="A1336">
        <v>2003</v>
      </c>
      <c r="B1336" s="140" t="s">
        <v>18</v>
      </c>
      <c r="C1336" s="140" t="s">
        <v>19</v>
      </c>
      <c r="D1336" s="140" t="s">
        <v>11</v>
      </c>
      <c r="E1336" s="140" t="s">
        <v>12</v>
      </c>
      <c r="F1336">
        <v>151714</v>
      </c>
      <c r="G1336" s="140" t="s">
        <v>247</v>
      </c>
      <c r="H1336">
        <v>0</v>
      </c>
      <c r="I1336" s="140" t="s">
        <v>17</v>
      </c>
    </row>
    <row r="1337" spans="1:9" hidden="1" x14ac:dyDescent="0.25">
      <c r="A1337">
        <v>2004</v>
      </c>
      <c r="B1337" s="140" t="s">
        <v>18</v>
      </c>
      <c r="C1337" s="140" t="s">
        <v>19</v>
      </c>
      <c r="D1337" s="140" t="s">
        <v>11</v>
      </c>
      <c r="E1337" s="140" t="s">
        <v>12</v>
      </c>
      <c r="F1337">
        <v>158741</v>
      </c>
      <c r="G1337" s="140" t="s">
        <v>247</v>
      </c>
      <c r="H1337">
        <v>0</v>
      </c>
      <c r="I1337" s="140" t="s">
        <v>17</v>
      </c>
    </row>
    <row r="1338" spans="1:9" hidden="1" x14ac:dyDescent="0.25">
      <c r="A1338">
        <v>2005</v>
      </c>
      <c r="B1338" s="140" t="s">
        <v>18</v>
      </c>
      <c r="C1338" s="140" t="s">
        <v>19</v>
      </c>
      <c r="D1338" s="140" t="s">
        <v>11</v>
      </c>
      <c r="E1338" s="140" t="s">
        <v>12</v>
      </c>
      <c r="F1338">
        <v>164666</v>
      </c>
      <c r="G1338" s="140" t="s">
        <v>247</v>
      </c>
      <c r="H1338">
        <v>0</v>
      </c>
      <c r="I1338" s="140" t="s">
        <v>17</v>
      </c>
    </row>
    <row r="1339" spans="1:9" hidden="1" x14ac:dyDescent="0.25">
      <c r="A1339">
        <v>2006</v>
      </c>
      <c r="B1339" s="140" t="s">
        <v>18</v>
      </c>
      <c r="C1339" s="140" t="s">
        <v>19</v>
      </c>
      <c r="D1339" s="140" t="s">
        <v>11</v>
      </c>
      <c r="E1339" s="140" t="s">
        <v>12</v>
      </c>
      <c r="F1339">
        <v>172861</v>
      </c>
      <c r="G1339" s="140" t="s">
        <v>247</v>
      </c>
      <c r="H1339">
        <v>0</v>
      </c>
      <c r="I1339" s="140" t="s">
        <v>17</v>
      </c>
    </row>
    <row r="1340" spans="1:9" hidden="1" x14ac:dyDescent="0.25">
      <c r="A1340">
        <v>2007</v>
      </c>
      <c r="B1340" s="140" t="s">
        <v>18</v>
      </c>
      <c r="C1340" s="140" t="s">
        <v>19</v>
      </c>
      <c r="D1340" s="140" t="s">
        <v>11</v>
      </c>
      <c r="E1340" s="140" t="s">
        <v>12</v>
      </c>
      <c r="F1340">
        <v>187059</v>
      </c>
      <c r="G1340" s="140" t="s">
        <v>247</v>
      </c>
      <c r="H1340">
        <v>0</v>
      </c>
      <c r="I1340" s="140" t="s">
        <v>17</v>
      </c>
    </row>
    <row r="1341" spans="1:9" hidden="1" x14ac:dyDescent="0.25">
      <c r="A1341">
        <v>2008</v>
      </c>
      <c r="B1341" s="140" t="s">
        <v>18</v>
      </c>
      <c r="C1341" s="140" t="s">
        <v>19</v>
      </c>
      <c r="D1341" s="140" t="s">
        <v>11</v>
      </c>
      <c r="E1341" s="140" t="s">
        <v>12</v>
      </c>
      <c r="F1341">
        <v>194253</v>
      </c>
      <c r="G1341" s="140" t="s">
        <v>247</v>
      </c>
      <c r="H1341">
        <v>0</v>
      </c>
      <c r="I1341" s="140" t="s">
        <v>17</v>
      </c>
    </row>
    <row r="1342" spans="1:9" hidden="1" x14ac:dyDescent="0.25">
      <c r="A1342">
        <v>2009</v>
      </c>
      <c r="B1342" s="140" t="s">
        <v>18</v>
      </c>
      <c r="C1342" s="140" t="s">
        <v>19</v>
      </c>
      <c r="D1342" s="140" t="s">
        <v>11</v>
      </c>
      <c r="E1342" s="140" t="s">
        <v>12</v>
      </c>
      <c r="F1342">
        <v>181735</v>
      </c>
      <c r="G1342" s="140" t="s">
        <v>247</v>
      </c>
      <c r="H1342">
        <v>0</v>
      </c>
      <c r="I1342" s="140" t="s">
        <v>17</v>
      </c>
    </row>
    <row r="1343" spans="1:9" hidden="1" x14ac:dyDescent="0.25">
      <c r="A1343">
        <v>2010</v>
      </c>
      <c r="B1343" s="140" t="s">
        <v>18</v>
      </c>
      <c r="C1343" s="140" t="s">
        <v>19</v>
      </c>
      <c r="D1343" s="140" t="s">
        <v>11</v>
      </c>
      <c r="E1343" s="140" t="s">
        <v>12</v>
      </c>
      <c r="F1343">
        <v>188147</v>
      </c>
      <c r="G1343" s="140" t="s">
        <v>247</v>
      </c>
      <c r="H1343">
        <v>0</v>
      </c>
      <c r="I1343" s="140" t="s">
        <v>17</v>
      </c>
    </row>
    <row r="1344" spans="1:9" hidden="1" x14ac:dyDescent="0.25">
      <c r="A1344">
        <v>2011</v>
      </c>
      <c r="B1344" s="140" t="s">
        <v>18</v>
      </c>
      <c r="C1344" s="140" t="s">
        <v>19</v>
      </c>
      <c r="D1344" s="140" t="s">
        <v>11</v>
      </c>
      <c r="E1344" s="140" t="s">
        <v>12</v>
      </c>
      <c r="F1344">
        <v>197655</v>
      </c>
      <c r="G1344" s="140" t="s">
        <v>247</v>
      </c>
      <c r="H1344">
        <v>0</v>
      </c>
      <c r="I1344" s="140" t="s">
        <v>17</v>
      </c>
    </row>
    <row r="1345" spans="1:9" hidden="1" x14ac:dyDescent="0.25">
      <c r="A1345">
        <v>2012</v>
      </c>
      <c r="B1345" s="140" t="s">
        <v>18</v>
      </c>
      <c r="C1345" s="140" t="s">
        <v>19</v>
      </c>
      <c r="D1345" s="140" t="s">
        <v>11</v>
      </c>
      <c r="E1345" s="140" t="s">
        <v>12</v>
      </c>
      <c r="F1345">
        <v>200378</v>
      </c>
      <c r="G1345" s="140" t="s">
        <v>247</v>
      </c>
      <c r="H1345">
        <v>0</v>
      </c>
      <c r="I1345" s="140" t="s">
        <v>17</v>
      </c>
    </row>
    <row r="1346" spans="1:9" hidden="1" x14ac:dyDescent="0.25">
      <c r="A1346">
        <v>2013</v>
      </c>
      <c r="B1346" s="140" t="s">
        <v>18</v>
      </c>
      <c r="C1346" s="140" t="s">
        <v>19</v>
      </c>
      <c r="D1346" s="140" t="s">
        <v>11</v>
      </c>
      <c r="E1346" s="140" t="s">
        <v>12</v>
      </c>
      <c r="F1346">
        <v>203497</v>
      </c>
      <c r="G1346" s="140" t="s">
        <v>247</v>
      </c>
      <c r="H1346">
        <v>0</v>
      </c>
      <c r="I1346" s="140" t="s">
        <v>17</v>
      </c>
    </row>
    <row r="1347" spans="1:9" hidden="1" x14ac:dyDescent="0.25">
      <c r="A1347">
        <v>2014</v>
      </c>
      <c r="B1347" s="140" t="s">
        <v>18</v>
      </c>
      <c r="C1347" s="140" t="s">
        <v>19</v>
      </c>
      <c r="D1347" s="140" t="s">
        <v>11</v>
      </c>
      <c r="E1347" s="140" t="s">
        <v>12</v>
      </c>
      <c r="F1347">
        <v>205855</v>
      </c>
      <c r="G1347" s="140" t="s">
        <v>247</v>
      </c>
      <c r="H1347">
        <v>0</v>
      </c>
      <c r="I1347" s="140" t="s">
        <v>17</v>
      </c>
    </row>
    <row r="1348" spans="1:9" hidden="1" x14ac:dyDescent="0.25">
      <c r="A1348">
        <v>2015</v>
      </c>
      <c r="B1348" s="140" t="s">
        <v>18</v>
      </c>
      <c r="C1348" s="140" t="s">
        <v>19</v>
      </c>
      <c r="D1348" s="140" t="s">
        <v>11</v>
      </c>
      <c r="E1348" s="140" t="s">
        <v>12</v>
      </c>
      <c r="F1348">
        <v>210192</v>
      </c>
      <c r="G1348" s="140" t="s">
        <v>247</v>
      </c>
      <c r="H1348">
        <v>0</v>
      </c>
      <c r="I1348" s="140" t="s">
        <v>17</v>
      </c>
    </row>
    <row r="1349" spans="1:9" hidden="1" x14ac:dyDescent="0.25">
      <c r="A1349">
        <v>2016</v>
      </c>
      <c r="B1349" s="140" t="s">
        <v>18</v>
      </c>
      <c r="C1349" s="140" t="s">
        <v>19</v>
      </c>
      <c r="D1349" s="140" t="s">
        <v>11</v>
      </c>
      <c r="E1349" s="140" t="s">
        <v>12</v>
      </c>
      <c r="F1349">
        <v>215717</v>
      </c>
      <c r="G1349" s="140" t="s">
        <v>247</v>
      </c>
      <c r="H1349">
        <v>0</v>
      </c>
      <c r="I1349" s="140" t="s">
        <v>17</v>
      </c>
    </row>
    <row r="1350" spans="1:9" hidden="1" x14ac:dyDescent="0.25">
      <c r="A1350">
        <v>2017</v>
      </c>
      <c r="B1350" s="140" t="s">
        <v>18</v>
      </c>
      <c r="C1350" s="140" t="s">
        <v>19</v>
      </c>
      <c r="D1350" s="140" t="s">
        <v>11</v>
      </c>
      <c r="E1350" s="140" t="s">
        <v>12</v>
      </c>
      <c r="F1350">
        <v>224706</v>
      </c>
      <c r="G1350" s="140" t="s">
        <v>247</v>
      </c>
      <c r="H1350">
        <v>0</v>
      </c>
      <c r="I1350" s="140" t="s">
        <v>17</v>
      </c>
    </row>
    <row r="1351" spans="1:9" hidden="1" x14ac:dyDescent="0.25">
      <c r="A1351">
        <v>2018</v>
      </c>
      <c r="B1351" s="140" t="s">
        <v>18</v>
      </c>
      <c r="C1351" s="140" t="s">
        <v>19</v>
      </c>
      <c r="D1351" s="140" t="s">
        <v>11</v>
      </c>
      <c r="E1351" s="140" t="s">
        <v>12</v>
      </c>
      <c r="F1351">
        <v>231905</v>
      </c>
      <c r="G1351" s="140" t="s">
        <v>247</v>
      </c>
      <c r="H1351">
        <v>0</v>
      </c>
      <c r="I1351" s="140" t="s">
        <v>17</v>
      </c>
    </row>
    <row r="1352" spans="1:9" hidden="1" x14ac:dyDescent="0.25">
      <c r="A1352">
        <v>2019</v>
      </c>
      <c r="B1352" s="140" t="s">
        <v>18</v>
      </c>
      <c r="C1352" s="140" t="s">
        <v>19</v>
      </c>
      <c r="D1352" s="140" t="s">
        <v>11</v>
      </c>
      <c r="E1352" s="140" t="s">
        <v>12</v>
      </c>
      <c r="F1352">
        <v>238518</v>
      </c>
      <c r="G1352" s="140" t="s">
        <v>247</v>
      </c>
      <c r="H1352">
        <v>0</v>
      </c>
      <c r="I1352" s="140" t="s">
        <v>17</v>
      </c>
    </row>
    <row r="1353" spans="1:9" hidden="1" x14ac:dyDescent="0.25">
      <c r="A1353">
        <v>2020</v>
      </c>
      <c r="B1353" s="140" t="s">
        <v>18</v>
      </c>
      <c r="C1353" s="140" t="s">
        <v>19</v>
      </c>
      <c r="D1353" s="140" t="s">
        <v>11</v>
      </c>
      <c r="E1353" s="140" t="s">
        <v>12</v>
      </c>
      <c r="F1353">
        <v>236387</v>
      </c>
      <c r="G1353" s="140" t="s">
        <v>247</v>
      </c>
      <c r="H1353">
        <v>0</v>
      </c>
      <c r="I1353" s="140" t="s">
        <v>17</v>
      </c>
    </row>
    <row r="1354" spans="1:9" hidden="1" x14ac:dyDescent="0.25">
      <c r="A1354">
        <v>2021</v>
      </c>
      <c r="B1354" s="140" t="s">
        <v>18</v>
      </c>
      <c r="C1354" s="140" t="s">
        <v>19</v>
      </c>
      <c r="D1354" s="140" t="s">
        <v>11</v>
      </c>
      <c r="E1354" s="140" t="s">
        <v>12</v>
      </c>
      <c r="F1354">
        <v>248764</v>
      </c>
      <c r="G1354" s="140" t="s">
        <v>247</v>
      </c>
      <c r="H1354">
        <v>0</v>
      </c>
      <c r="I1354" s="140" t="s">
        <v>17</v>
      </c>
    </row>
    <row r="1355" spans="1:9" hidden="1" x14ac:dyDescent="0.25">
      <c r="A1355">
        <v>2022</v>
      </c>
      <c r="B1355" s="140" t="s">
        <v>18</v>
      </c>
      <c r="C1355" s="140" t="s">
        <v>19</v>
      </c>
      <c r="D1355" s="140" t="s">
        <v>11</v>
      </c>
      <c r="E1355" s="140" t="s">
        <v>12</v>
      </c>
      <c r="F1355">
        <v>265669</v>
      </c>
      <c r="G1355" s="140" t="s">
        <v>247</v>
      </c>
      <c r="H1355">
        <v>0</v>
      </c>
      <c r="I1355" s="140" t="s">
        <v>17</v>
      </c>
    </row>
    <row r="1356" spans="1:9" hidden="1" x14ac:dyDescent="0.25">
      <c r="A1356">
        <v>2023</v>
      </c>
      <c r="B1356" s="140" t="s">
        <v>18</v>
      </c>
      <c r="C1356" s="140" t="s">
        <v>19</v>
      </c>
      <c r="D1356" s="140" t="s">
        <v>11</v>
      </c>
      <c r="E1356" s="140" t="s">
        <v>12</v>
      </c>
      <c r="F1356">
        <v>272735</v>
      </c>
      <c r="G1356" s="140" t="s">
        <v>247</v>
      </c>
      <c r="H1356">
        <v>0</v>
      </c>
      <c r="I1356" s="140" t="s">
        <v>17</v>
      </c>
    </row>
    <row r="1357" spans="1:9" hidden="1" x14ac:dyDescent="0.25">
      <c r="A1357">
        <v>2024</v>
      </c>
      <c r="B1357" s="140" t="s">
        <v>18</v>
      </c>
      <c r="C1357" s="140" t="s">
        <v>19</v>
      </c>
      <c r="D1357" s="140" t="s">
        <v>11</v>
      </c>
      <c r="E1357" s="140" t="s">
        <v>12</v>
      </c>
      <c r="F1357">
        <v>276151</v>
      </c>
      <c r="G1357" s="140" t="s">
        <v>247</v>
      </c>
      <c r="H1357">
        <v>0</v>
      </c>
      <c r="I1357" s="140" t="s">
        <v>17</v>
      </c>
    </row>
    <row r="1358" spans="1:9" hidden="1" x14ac:dyDescent="0.25">
      <c r="A1358">
        <v>2025</v>
      </c>
      <c r="B1358" s="140" t="s">
        <v>18</v>
      </c>
      <c r="C1358" s="140" t="s">
        <v>19</v>
      </c>
      <c r="D1358" s="140" t="s">
        <v>11</v>
      </c>
      <c r="E1358" s="140" t="s">
        <v>12</v>
      </c>
      <c r="F1358">
        <v>281783</v>
      </c>
      <c r="G1358" s="140" t="s">
        <v>247</v>
      </c>
      <c r="H1358">
        <v>0</v>
      </c>
      <c r="I1358" s="140" t="s">
        <v>17</v>
      </c>
    </row>
    <row r="1359" spans="1:9" hidden="1" x14ac:dyDescent="0.25">
      <c r="A1359">
        <v>2026</v>
      </c>
      <c r="B1359" s="140" t="s">
        <v>18</v>
      </c>
      <c r="C1359" s="140" t="s">
        <v>19</v>
      </c>
      <c r="D1359" s="140" t="s">
        <v>11</v>
      </c>
      <c r="E1359" s="140" t="s">
        <v>12</v>
      </c>
      <c r="F1359">
        <v>292897.23430000001</v>
      </c>
      <c r="G1359" s="140" t="s">
        <v>247</v>
      </c>
      <c r="H1359">
        <v>0</v>
      </c>
      <c r="I1359" s="140" t="s">
        <v>17</v>
      </c>
    </row>
    <row r="1360" spans="1:9" hidden="1" x14ac:dyDescent="0.25">
      <c r="A1360">
        <v>2027</v>
      </c>
      <c r="B1360" s="140" t="s">
        <v>18</v>
      </c>
      <c r="C1360" s="140" t="s">
        <v>19</v>
      </c>
      <c r="D1360" s="140" t="s">
        <v>11</v>
      </c>
      <c r="E1360" s="140" t="s">
        <v>12</v>
      </c>
      <c r="F1360">
        <v>304583.48670000001</v>
      </c>
      <c r="G1360" s="140" t="s">
        <v>247</v>
      </c>
      <c r="H1360">
        <v>0</v>
      </c>
      <c r="I1360" s="140" t="s">
        <v>17</v>
      </c>
    </row>
    <row r="1361" spans="1:9" hidden="1" x14ac:dyDescent="0.25">
      <c r="A1361">
        <v>2028</v>
      </c>
      <c r="B1361" s="140" t="s">
        <v>18</v>
      </c>
      <c r="C1361" s="140" t="s">
        <v>19</v>
      </c>
      <c r="D1361" s="140" t="s">
        <v>11</v>
      </c>
      <c r="E1361" s="140" t="s">
        <v>12</v>
      </c>
      <c r="F1361">
        <v>316861.55190000002</v>
      </c>
      <c r="G1361" s="140" t="s">
        <v>247</v>
      </c>
      <c r="H1361">
        <v>0</v>
      </c>
      <c r="I1361" s="140" t="s">
        <v>17</v>
      </c>
    </row>
    <row r="1362" spans="1:9" hidden="1" x14ac:dyDescent="0.25">
      <c r="A1362">
        <v>2029</v>
      </c>
      <c r="B1362" s="140" t="s">
        <v>18</v>
      </c>
      <c r="C1362" s="140" t="s">
        <v>19</v>
      </c>
      <c r="D1362" s="140" t="s">
        <v>11</v>
      </c>
      <c r="E1362" s="140" t="s">
        <v>12</v>
      </c>
      <c r="F1362">
        <v>328960.6433</v>
      </c>
      <c r="G1362" s="140" t="s">
        <v>247</v>
      </c>
      <c r="H1362">
        <v>0</v>
      </c>
      <c r="I1362" s="140" t="s">
        <v>17</v>
      </c>
    </row>
    <row r="1363" spans="1:9" hidden="1" x14ac:dyDescent="0.25">
      <c r="A1363">
        <v>2030</v>
      </c>
      <c r="B1363" s="140" t="s">
        <v>18</v>
      </c>
      <c r="C1363" s="140" t="s">
        <v>19</v>
      </c>
      <c r="D1363" s="140" t="s">
        <v>11</v>
      </c>
      <c r="E1363" s="140" t="s">
        <v>12</v>
      </c>
      <c r="F1363">
        <v>340707.13500000001</v>
      </c>
      <c r="G1363" s="140" t="s">
        <v>247</v>
      </c>
      <c r="H1363">
        <v>0</v>
      </c>
      <c r="I1363" s="140" t="s">
        <v>17</v>
      </c>
    </row>
    <row r="1364" spans="1:9" hidden="1" x14ac:dyDescent="0.25">
      <c r="A1364">
        <v>1990</v>
      </c>
      <c r="B1364" s="140" t="s">
        <v>49</v>
      </c>
      <c r="C1364" s="140" t="s">
        <v>243</v>
      </c>
      <c r="D1364" s="140" t="s">
        <v>11</v>
      </c>
      <c r="E1364" s="140" t="s">
        <v>12</v>
      </c>
      <c r="F1364">
        <v>87829</v>
      </c>
      <c r="G1364" s="140" t="s">
        <v>366</v>
      </c>
      <c r="H1364">
        <v>0</v>
      </c>
      <c r="I1364" s="140" t="s">
        <v>17</v>
      </c>
    </row>
    <row r="1365" spans="1:9" hidden="1" x14ac:dyDescent="0.25">
      <c r="A1365">
        <v>1991</v>
      </c>
      <c r="B1365" s="140" t="s">
        <v>49</v>
      </c>
      <c r="C1365" s="140" t="s">
        <v>243</v>
      </c>
      <c r="D1365" s="140" t="s">
        <v>11</v>
      </c>
      <c r="E1365" s="140" t="s">
        <v>12</v>
      </c>
      <c r="F1365">
        <v>83077</v>
      </c>
      <c r="G1365" s="140" t="s">
        <v>366</v>
      </c>
      <c r="H1365">
        <v>0</v>
      </c>
      <c r="I1365" s="140" t="s">
        <v>17</v>
      </c>
    </row>
    <row r="1366" spans="1:9" hidden="1" x14ac:dyDescent="0.25">
      <c r="A1366">
        <v>1992</v>
      </c>
      <c r="B1366" s="140" t="s">
        <v>49</v>
      </c>
      <c r="C1366" s="140" t="s">
        <v>243</v>
      </c>
      <c r="D1366" s="140" t="s">
        <v>11</v>
      </c>
      <c r="E1366" s="140" t="s">
        <v>12</v>
      </c>
      <c r="F1366">
        <v>80114</v>
      </c>
      <c r="G1366" s="140" t="s">
        <v>366</v>
      </c>
      <c r="H1366">
        <v>0</v>
      </c>
      <c r="I1366" s="140" t="s">
        <v>17</v>
      </c>
    </row>
    <row r="1367" spans="1:9" hidden="1" x14ac:dyDescent="0.25">
      <c r="A1367">
        <v>1993</v>
      </c>
      <c r="B1367" s="140" t="s">
        <v>49</v>
      </c>
      <c r="C1367" s="140" t="s">
        <v>243</v>
      </c>
      <c r="D1367" s="140" t="s">
        <v>11</v>
      </c>
      <c r="E1367" s="140" t="s">
        <v>12</v>
      </c>
      <c r="F1367">
        <v>80468</v>
      </c>
      <c r="G1367" s="140" t="s">
        <v>366</v>
      </c>
      <c r="H1367">
        <v>0</v>
      </c>
      <c r="I1367" s="140" t="s">
        <v>17</v>
      </c>
    </row>
    <row r="1368" spans="1:9" hidden="1" x14ac:dyDescent="0.25">
      <c r="A1368">
        <v>1994</v>
      </c>
      <c r="B1368" s="140" t="s">
        <v>49</v>
      </c>
      <c r="C1368" s="140" t="s">
        <v>243</v>
      </c>
      <c r="D1368" s="140" t="s">
        <v>11</v>
      </c>
      <c r="E1368" s="140" t="s">
        <v>12</v>
      </c>
      <c r="F1368">
        <v>86356</v>
      </c>
      <c r="G1368" s="140" t="s">
        <v>366</v>
      </c>
      <c r="H1368">
        <v>0</v>
      </c>
      <c r="I1368" s="140" t="s">
        <v>17</v>
      </c>
    </row>
    <row r="1369" spans="1:9" hidden="1" x14ac:dyDescent="0.25">
      <c r="A1369">
        <v>1995</v>
      </c>
      <c r="B1369" s="140" t="s">
        <v>49</v>
      </c>
      <c r="C1369" s="140" t="s">
        <v>243</v>
      </c>
      <c r="D1369" s="140" t="s">
        <v>11</v>
      </c>
      <c r="E1369" s="140" t="s">
        <v>12</v>
      </c>
      <c r="F1369">
        <v>94928</v>
      </c>
      <c r="G1369" s="140" t="s">
        <v>366</v>
      </c>
      <c r="H1369">
        <v>0</v>
      </c>
      <c r="I1369" s="140" t="s">
        <v>17</v>
      </c>
    </row>
    <row r="1370" spans="1:9" hidden="1" x14ac:dyDescent="0.25">
      <c r="A1370">
        <v>1996</v>
      </c>
      <c r="B1370" s="140" t="s">
        <v>49</v>
      </c>
      <c r="C1370" s="140" t="s">
        <v>243</v>
      </c>
      <c r="D1370" s="140" t="s">
        <v>11</v>
      </c>
      <c r="E1370" s="140" t="s">
        <v>12</v>
      </c>
      <c r="F1370">
        <v>98585</v>
      </c>
      <c r="G1370" s="140" t="s">
        <v>366</v>
      </c>
      <c r="H1370">
        <v>0</v>
      </c>
      <c r="I1370" s="140" t="s">
        <v>17</v>
      </c>
    </row>
    <row r="1371" spans="1:9" hidden="1" x14ac:dyDescent="0.25">
      <c r="A1371">
        <v>1997</v>
      </c>
      <c r="B1371" s="140" t="s">
        <v>49</v>
      </c>
      <c r="C1371" s="140" t="s">
        <v>243</v>
      </c>
      <c r="D1371" s="140" t="s">
        <v>11</v>
      </c>
      <c r="E1371" s="140" t="s">
        <v>12</v>
      </c>
      <c r="F1371">
        <v>107961</v>
      </c>
      <c r="G1371" s="140" t="s">
        <v>366</v>
      </c>
      <c r="H1371">
        <v>0</v>
      </c>
      <c r="I1371" s="140" t="s">
        <v>17</v>
      </c>
    </row>
    <row r="1372" spans="1:9" hidden="1" x14ac:dyDescent="0.25">
      <c r="A1372">
        <v>1998</v>
      </c>
      <c r="B1372" s="140" t="s">
        <v>49</v>
      </c>
      <c r="C1372" s="140" t="s">
        <v>243</v>
      </c>
      <c r="D1372" s="140" t="s">
        <v>11</v>
      </c>
      <c r="E1372" s="140" t="s">
        <v>12</v>
      </c>
      <c r="F1372">
        <v>116793</v>
      </c>
      <c r="G1372" s="140" t="s">
        <v>366</v>
      </c>
      <c r="H1372">
        <v>0</v>
      </c>
      <c r="I1372" s="140" t="s">
        <v>17</v>
      </c>
    </row>
    <row r="1373" spans="1:9" hidden="1" x14ac:dyDescent="0.25">
      <c r="A1373">
        <v>1999</v>
      </c>
      <c r="B1373" s="140" t="s">
        <v>49</v>
      </c>
      <c r="C1373" s="140" t="s">
        <v>243</v>
      </c>
      <c r="D1373" s="140" t="s">
        <v>11</v>
      </c>
      <c r="E1373" s="140" t="s">
        <v>12</v>
      </c>
      <c r="F1373">
        <v>124155</v>
      </c>
      <c r="G1373" s="140" t="s">
        <v>366</v>
      </c>
      <c r="H1373">
        <v>0</v>
      </c>
      <c r="I1373" s="140" t="s">
        <v>17</v>
      </c>
    </row>
    <row r="1374" spans="1:9" hidden="1" x14ac:dyDescent="0.25">
      <c r="A1374">
        <v>2000</v>
      </c>
      <c r="B1374" s="140" t="s">
        <v>49</v>
      </c>
      <c r="C1374" s="140" t="s">
        <v>243</v>
      </c>
      <c r="D1374" s="140" t="s">
        <v>11</v>
      </c>
      <c r="E1374" s="140" t="s">
        <v>12</v>
      </c>
      <c r="F1374">
        <v>134080</v>
      </c>
      <c r="G1374" s="140" t="s">
        <v>366</v>
      </c>
      <c r="H1374">
        <v>0</v>
      </c>
      <c r="I1374" s="140" t="s">
        <v>17</v>
      </c>
    </row>
    <row r="1375" spans="1:9" hidden="1" x14ac:dyDescent="0.25">
      <c r="A1375">
        <v>2001</v>
      </c>
      <c r="B1375" s="140" t="s">
        <v>49</v>
      </c>
      <c r="C1375" s="140" t="s">
        <v>243</v>
      </c>
      <c r="D1375" s="140" t="s">
        <v>11</v>
      </c>
      <c r="E1375" s="140" t="s">
        <v>12</v>
      </c>
      <c r="F1375">
        <v>143064</v>
      </c>
      <c r="G1375" s="140" t="s">
        <v>366</v>
      </c>
      <c r="H1375">
        <v>0</v>
      </c>
      <c r="I1375" s="140" t="s">
        <v>17</v>
      </c>
    </row>
    <row r="1376" spans="1:9" hidden="1" x14ac:dyDescent="0.25">
      <c r="A1376">
        <v>2002</v>
      </c>
      <c r="B1376" s="140" t="s">
        <v>49</v>
      </c>
      <c r="C1376" s="140" t="s">
        <v>243</v>
      </c>
      <c r="D1376" s="140" t="s">
        <v>11</v>
      </c>
      <c r="E1376" s="140" t="s">
        <v>12</v>
      </c>
      <c r="F1376">
        <v>147391</v>
      </c>
      <c r="G1376" s="140" t="s">
        <v>366</v>
      </c>
      <c r="H1376">
        <v>0</v>
      </c>
      <c r="I1376" s="140" t="s">
        <v>17</v>
      </c>
    </row>
    <row r="1377" spans="1:9" hidden="1" x14ac:dyDescent="0.25">
      <c r="A1377">
        <v>2003</v>
      </c>
      <c r="B1377" s="140" t="s">
        <v>49</v>
      </c>
      <c r="C1377" s="140" t="s">
        <v>243</v>
      </c>
      <c r="D1377" s="140" t="s">
        <v>11</v>
      </c>
      <c r="E1377" s="140" t="s">
        <v>12</v>
      </c>
      <c r="F1377">
        <v>149129</v>
      </c>
      <c r="G1377" s="140" t="s">
        <v>366</v>
      </c>
      <c r="H1377">
        <v>0</v>
      </c>
      <c r="I1377" s="140" t="s">
        <v>17</v>
      </c>
    </row>
    <row r="1378" spans="1:9" hidden="1" x14ac:dyDescent="0.25">
      <c r="A1378">
        <v>2004</v>
      </c>
      <c r="B1378" s="140" t="s">
        <v>49</v>
      </c>
      <c r="C1378" s="140" t="s">
        <v>243</v>
      </c>
      <c r="D1378" s="140" t="s">
        <v>11</v>
      </c>
      <c r="E1378" s="140" t="s">
        <v>12</v>
      </c>
      <c r="F1378">
        <v>158209</v>
      </c>
      <c r="G1378" s="140" t="s">
        <v>366</v>
      </c>
      <c r="H1378">
        <v>0</v>
      </c>
      <c r="I1378" s="140" t="s">
        <v>17</v>
      </c>
    </row>
    <row r="1379" spans="1:9" hidden="1" x14ac:dyDescent="0.25">
      <c r="A1379">
        <v>2005</v>
      </c>
      <c r="B1379" s="140" t="s">
        <v>49</v>
      </c>
      <c r="C1379" s="140" t="s">
        <v>243</v>
      </c>
      <c r="D1379" s="140" t="s">
        <v>11</v>
      </c>
      <c r="E1379" s="140" t="s">
        <v>12</v>
      </c>
      <c r="F1379">
        <v>163484</v>
      </c>
      <c r="G1379" s="140" t="s">
        <v>366</v>
      </c>
      <c r="H1379">
        <v>0</v>
      </c>
      <c r="I1379" s="140" t="s">
        <v>17</v>
      </c>
    </row>
    <row r="1380" spans="1:9" hidden="1" x14ac:dyDescent="0.25">
      <c r="A1380">
        <v>2006</v>
      </c>
      <c r="B1380" s="140" t="s">
        <v>49</v>
      </c>
      <c r="C1380" s="140" t="s">
        <v>243</v>
      </c>
      <c r="D1380" s="140" t="s">
        <v>11</v>
      </c>
      <c r="E1380" s="140" t="s">
        <v>12</v>
      </c>
      <c r="F1380">
        <v>172485</v>
      </c>
      <c r="G1380" s="140" t="s">
        <v>366</v>
      </c>
      <c r="H1380">
        <v>0</v>
      </c>
      <c r="I1380" s="140" t="s">
        <v>17</v>
      </c>
    </row>
    <row r="1381" spans="1:9" hidden="1" x14ac:dyDescent="0.25">
      <c r="A1381">
        <v>2007</v>
      </c>
      <c r="B1381" s="140" t="s">
        <v>49</v>
      </c>
      <c r="C1381" s="140" t="s">
        <v>243</v>
      </c>
      <c r="D1381" s="140" t="s">
        <v>11</v>
      </c>
      <c r="E1381" s="140" t="s">
        <v>12</v>
      </c>
      <c r="F1381">
        <v>185720</v>
      </c>
      <c r="G1381" s="140" t="s">
        <v>366</v>
      </c>
      <c r="H1381">
        <v>0</v>
      </c>
      <c r="I1381" s="140" t="s">
        <v>17</v>
      </c>
    </row>
    <row r="1382" spans="1:9" hidden="1" x14ac:dyDescent="0.25">
      <c r="A1382">
        <v>2008</v>
      </c>
      <c r="B1382" s="140" t="s">
        <v>49</v>
      </c>
      <c r="C1382" s="140" t="s">
        <v>243</v>
      </c>
      <c r="D1382" s="140" t="s">
        <v>11</v>
      </c>
      <c r="E1382" s="140" t="s">
        <v>12</v>
      </c>
      <c r="F1382">
        <v>192516</v>
      </c>
      <c r="G1382" s="140" t="s">
        <v>366</v>
      </c>
      <c r="H1382">
        <v>0</v>
      </c>
      <c r="I1382" s="140" t="s">
        <v>17</v>
      </c>
    </row>
    <row r="1383" spans="1:9" hidden="1" x14ac:dyDescent="0.25">
      <c r="A1383">
        <v>2009</v>
      </c>
      <c r="B1383" s="140" t="s">
        <v>49</v>
      </c>
      <c r="C1383" s="140" t="s">
        <v>243</v>
      </c>
      <c r="D1383" s="140" t="s">
        <v>11</v>
      </c>
      <c r="E1383" s="140" t="s">
        <v>12</v>
      </c>
      <c r="F1383">
        <v>181708</v>
      </c>
      <c r="G1383" s="140" t="s">
        <v>366</v>
      </c>
      <c r="H1383">
        <v>0</v>
      </c>
      <c r="I1383" s="140" t="s">
        <v>17</v>
      </c>
    </row>
    <row r="1384" spans="1:9" hidden="1" x14ac:dyDescent="0.25">
      <c r="A1384">
        <v>2010</v>
      </c>
      <c r="B1384" s="140" t="s">
        <v>49</v>
      </c>
      <c r="C1384" s="140" t="s">
        <v>243</v>
      </c>
      <c r="D1384" s="140" t="s">
        <v>11</v>
      </c>
      <c r="E1384" s="140" t="s">
        <v>12</v>
      </c>
      <c r="F1384">
        <v>188140</v>
      </c>
      <c r="G1384" s="140" t="s">
        <v>366</v>
      </c>
      <c r="H1384">
        <v>0</v>
      </c>
      <c r="I1384" s="140" t="s">
        <v>17</v>
      </c>
    </row>
    <row r="1385" spans="1:9" hidden="1" x14ac:dyDescent="0.25">
      <c r="A1385">
        <v>2011</v>
      </c>
      <c r="B1385" s="140" t="s">
        <v>49</v>
      </c>
      <c r="C1385" s="140" t="s">
        <v>243</v>
      </c>
      <c r="D1385" s="140" t="s">
        <v>11</v>
      </c>
      <c r="E1385" s="140" t="s">
        <v>12</v>
      </c>
      <c r="F1385">
        <v>196131</v>
      </c>
      <c r="G1385" s="140" t="s">
        <v>366</v>
      </c>
      <c r="H1385">
        <v>0</v>
      </c>
      <c r="I1385" s="140" t="s">
        <v>17</v>
      </c>
    </row>
    <row r="1386" spans="1:9" hidden="1" x14ac:dyDescent="0.25">
      <c r="A1386">
        <v>2012</v>
      </c>
      <c r="B1386" s="140" t="s">
        <v>49</v>
      </c>
      <c r="C1386" s="140" t="s">
        <v>243</v>
      </c>
      <c r="D1386" s="140" t="s">
        <v>11</v>
      </c>
      <c r="E1386" s="140" t="s">
        <v>12</v>
      </c>
      <c r="F1386">
        <v>199035</v>
      </c>
      <c r="G1386" s="140" t="s">
        <v>366</v>
      </c>
      <c r="H1386">
        <v>0</v>
      </c>
      <c r="I1386" s="140" t="s">
        <v>17</v>
      </c>
    </row>
    <row r="1387" spans="1:9" hidden="1" x14ac:dyDescent="0.25">
      <c r="A1387">
        <v>2013</v>
      </c>
      <c r="B1387" s="140" t="s">
        <v>49</v>
      </c>
      <c r="C1387" s="140" t="s">
        <v>243</v>
      </c>
      <c r="D1387" s="140" t="s">
        <v>11</v>
      </c>
      <c r="E1387" s="140" t="s">
        <v>12</v>
      </c>
      <c r="F1387">
        <v>201650</v>
      </c>
      <c r="G1387" s="140" t="s">
        <v>366</v>
      </c>
      <c r="H1387">
        <v>0</v>
      </c>
      <c r="I1387" s="140" t="s">
        <v>17</v>
      </c>
    </row>
    <row r="1388" spans="1:9" hidden="1" x14ac:dyDescent="0.25">
      <c r="A1388">
        <v>2014</v>
      </c>
      <c r="B1388" s="140" t="s">
        <v>49</v>
      </c>
      <c r="C1388" s="140" t="s">
        <v>243</v>
      </c>
      <c r="D1388" s="140" t="s">
        <v>11</v>
      </c>
      <c r="E1388" s="140" t="s">
        <v>12</v>
      </c>
      <c r="F1388">
        <v>205135</v>
      </c>
      <c r="G1388" s="140" t="s">
        <v>366</v>
      </c>
      <c r="H1388">
        <v>0</v>
      </c>
      <c r="I1388" s="140" t="s">
        <v>17</v>
      </c>
    </row>
    <row r="1389" spans="1:9" hidden="1" x14ac:dyDescent="0.25">
      <c r="A1389">
        <v>2015</v>
      </c>
      <c r="B1389" s="140" t="s">
        <v>49</v>
      </c>
      <c r="C1389" s="140" t="s">
        <v>243</v>
      </c>
      <c r="D1389" s="140" t="s">
        <v>11</v>
      </c>
      <c r="E1389" s="140" t="s">
        <v>12</v>
      </c>
      <c r="F1389">
        <v>209124</v>
      </c>
      <c r="G1389" s="140" t="s">
        <v>366</v>
      </c>
      <c r="H1389">
        <v>0</v>
      </c>
      <c r="I1389" s="140" t="s">
        <v>17</v>
      </c>
    </row>
    <row r="1390" spans="1:9" hidden="1" x14ac:dyDescent="0.25">
      <c r="A1390">
        <v>2016</v>
      </c>
      <c r="B1390" s="140" t="s">
        <v>49</v>
      </c>
      <c r="C1390" s="140" t="s">
        <v>243</v>
      </c>
      <c r="D1390" s="140" t="s">
        <v>11</v>
      </c>
      <c r="E1390" s="140" t="s">
        <v>12</v>
      </c>
      <c r="F1390">
        <v>213742</v>
      </c>
      <c r="G1390" s="140" t="s">
        <v>366</v>
      </c>
      <c r="H1390">
        <v>0</v>
      </c>
      <c r="I1390" s="140" t="s">
        <v>17</v>
      </c>
    </row>
    <row r="1391" spans="1:9" hidden="1" x14ac:dyDescent="0.25">
      <c r="A1391">
        <v>2017</v>
      </c>
      <c r="B1391" s="140" t="s">
        <v>49</v>
      </c>
      <c r="C1391" s="140" t="s">
        <v>243</v>
      </c>
      <c r="D1391" s="140" t="s">
        <v>11</v>
      </c>
      <c r="E1391" s="140" t="s">
        <v>12</v>
      </c>
      <c r="F1391">
        <v>222348</v>
      </c>
      <c r="G1391" s="140" t="s">
        <v>366</v>
      </c>
      <c r="H1391">
        <v>0</v>
      </c>
      <c r="I1391" s="140" t="s">
        <v>17</v>
      </c>
    </row>
    <row r="1392" spans="1:9" hidden="1" x14ac:dyDescent="0.25">
      <c r="A1392">
        <v>2018</v>
      </c>
      <c r="B1392" s="140" t="s">
        <v>49</v>
      </c>
      <c r="C1392" s="140" t="s">
        <v>243</v>
      </c>
      <c r="D1392" s="140" t="s">
        <v>11</v>
      </c>
      <c r="E1392" s="140" t="s">
        <v>12</v>
      </c>
      <c r="F1392">
        <v>230125</v>
      </c>
      <c r="G1392" s="140" t="s">
        <v>366</v>
      </c>
      <c r="H1392">
        <v>0</v>
      </c>
      <c r="I1392" s="140" t="s">
        <v>17</v>
      </c>
    </row>
    <row r="1393" spans="1:9" hidden="1" x14ac:dyDescent="0.25">
      <c r="A1393">
        <v>2019</v>
      </c>
      <c r="B1393" s="140" t="s">
        <v>49</v>
      </c>
      <c r="C1393" s="140" t="s">
        <v>243</v>
      </c>
      <c r="D1393" s="140" t="s">
        <v>11</v>
      </c>
      <c r="E1393" s="140" t="s">
        <v>12</v>
      </c>
      <c r="F1393">
        <v>236588</v>
      </c>
      <c r="G1393" s="140" t="s">
        <v>366</v>
      </c>
      <c r="H1393">
        <v>0</v>
      </c>
      <c r="I1393" s="140" t="s">
        <v>17</v>
      </c>
    </row>
    <row r="1394" spans="1:9" hidden="1" x14ac:dyDescent="0.25">
      <c r="A1394">
        <v>2020</v>
      </c>
      <c r="B1394" s="140" t="s">
        <v>49</v>
      </c>
      <c r="C1394" s="140" t="s">
        <v>243</v>
      </c>
      <c r="D1394" s="140" t="s">
        <v>11</v>
      </c>
      <c r="E1394" s="140" t="s">
        <v>12</v>
      </c>
      <c r="F1394">
        <v>236814</v>
      </c>
      <c r="G1394" s="140" t="s">
        <v>366</v>
      </c>
      <c r="H1394">
        <v>0</v>
      </c>
      <c r="I1394" s="140" t="s">
        <v>17</v>
      </c>
    </row>
    <row r="1395" spans="1:9" hidden="1" x14ac:dyDescent="0.25">
      <c r="A1395">
        <v>2021</v>
      </c>
      <c r="B1395" s="140" t="s">
        <v>49</v>
      </c>
      <c r="C1395" s="140" t="s">
        <v>243</v>
      </c>
      <c r="D1395" s="140" t="s">
        <v>11</v>
      </c>
      <c r="E1395" s="140" t="s">
        <v>12</v>
      </c>
      <c r="F1395">
        <v>249453</v>
      </c>
      <c r="G1395" s="140" t="s">
        <v>366</v>
      </c>
      <c r="H1395">
        <v>0</v>
      </c>
      <c r="I1395" s="140" t="s">
        <v>17</v>
      </c>
    </row>
    <row r="1396" spans="1:9" hidden="1" x14ac:dyDescent="0.25">
      <c r="A1396">
        <v>2022</v>
      </c>
      <c r="B1396" s="140" t="s">
        <v>49</v>
      </c>
      <c r="C1396" s="140" t="s">
        <v>243</v>
      </c>
      <c r="D1396" s="140" t="s">
        <v>11</v>
      </c>
      <c r="E1396" s="140" t="s">
        <v>12</v>
      </c>
      <c r="F1396">
        <v>264544</v>
      </c>
      <c r="G1396" s="140" t="s">
        <v>366</v>
      </c>
      <c r="H1396">
        <v>0</v>
      </c>
      <c r="I1396" s="140" t="s">
        <v>17</v>
      </c>
    </row>
    <row r="1397" spans="1:9" hidden="1" x14ac:dyDescent="0.25">
      <c r="A1397">
        <v>2023</v>
      </c>
      <c r="B1397" s="140" t="s">
        <v>49</v>
      </c>
      <c r="C1397" s="140" t="s">
        <v>243</v>
      </c>
      <c r="D1397" s="140" t="s">
        <v>11</v>
      </c>
      <c r="E1397" s="140" t="s">
        <v>12</v>
      </c>
      <c r="F1397">
        <v>270174</v>
      </c>
      <c r="G1397" s="140" t="s">
        <v>366</v>
      </c>
      <c r="H1397">
        <v>0</v>
      </c>
      <c r="I1397" s="140" t="s">
        <v>17</v>
      </c>
    </row>
    <row r="1398" spans="1:9" hidden="1" x14ac:dyDescent="0.25">
      <c r="A1398">
        <v>2024</v>
      </c>
      <c r="B1398" s="140" t="s">
        <v>49</v>
      </c>
      <c r="C1398" s="140" t="s">
        <v>243</v>
      </c>
      <c r="D1398" s="140" t="s">
        <v>11</v>
      </c>
      <c r="E1398" s="140" t="s">
        <v>12</v>
      </c>
      <c r="F1398">
        <v>274335</v>
      </c>
      <c r="G1398" s="140" t="s">
        <v>366</v>
      </c>
      <c r="H1398">
        <v>0</v>
      </c>
      <c r="I1398" s="140" t="s">
        <v>17</v>
      </c>
    </row>
    <row r="1399" spans="1:9" hidden="1" x14ac:dyDescent="0.25">
      <c r="A1399">
        <v>2025</v>
      </c>
      <c r="B1399" s="140" t="s">
        <v>49</v>
      </c>
      <c r="C1399" s="140" t="s">
        <v>243</v>
      </c>
      <c r="D1399" s="140" t="s">
        <v>11</v>
      </c>
      <c r="E1399" s="140" t="s">
        <v>12</v>
      </c>
      <c r="F1399">
        <v>280460</v>
      </c>
      <c r="G1399" s="140" t="s">
        <v>366</v>
      </c>
      <c r="H1399">
        <v>0</v>
      </c>
      <c r="I1399" s="140" t="s">
        <v>17</v>
      </c>
    </row>
    <row r="1400" spans="1:9" hidden="1" x14ac:dyDescent="0.25">
      <c r="A1400">
        <v>2026</v>
      </c>
      <c r="B1400" s="140" t="s">
        <v>49</v>
      </c>
      <c r="C1400" s="140" t="s">
        <v>243</v>
      </c>
      <c r="D1400" s="140" t="s">
        <v>11</v>
      </c>
      <c r="E1400" s="140" t="s">
        <v>12</v>
      </c>
      <c r="F1400">
        <v>291817.23430000001</v>
      </c>
      <c r="G1400" s="140" t="s">
        <v>366</v>
      </c>
      <c r="H1400">
        <v>0</v>
      </c>
      <c r="I1400" s="140" t="s">
        <v>17</v>
      </c>
    </row>
    <row r="1401" spans="1:9" hidden="1" x14ac:dyDescent="0.25">
      <c r="A1401">
        <v>2027</v>
      </c>
      <c r="B1401" s="140" t="s">
        <v>49</v>
      </c>
      <c r="C1401" s="140" t="s">
        <v>243</v>
      </c>
      <c r="D1401" s="140" t="s">
        <v>11</v>
      </c>
      <c r="E1401" s="140" t="s">
        <v>12</v>
      </c>
      <c r="F1401">
        <v>303623.48670000001</v>
      </c>
      <c r="G1401" s="140" t="s">
        <v>366</v>
      </c>
      <c r="H1401">
        <v>0</v>
      </c>
      <c r="I1401" s="140" t="s">
        <v>17</v>
      </c>
    </row>
    <row r="1402" spans="1:9" hidden="1" x14ac:dyDescent="0.25">
      <c r="A1402">
        <v>2028</v>
      </c>
      <c r="B1402" s="140" t="s">
        <v>49</v>
      </c>
      <c r="C1402" s="140" t="s">
        <v>243</v>
      </c>
      <c r="D1402" s="140" t="s">
        <v>11</v>
      </c>
      <c r="E1402" s="140" t="s">
        <v>12</v>
      </c>
      <c r="F1402">
        <v>315701.55190000002</v>
      </c>
      <c r="G1402" s="140" t="s">
        <v>366</v>
      </c>
      <c r="H1402">
        <v>0</v>
      </c>
      <c r="I1402" s="140" t="s">
        <v>17</v>
      </c>
    </row>
    <row r="1403" spans="1:9" hidden="1" x14ac:dyDescent="0.25">
      <c r="A1403">
        <v>1990</v>
      </c>
      <c r="B1403" s="140" t="s">
        <v>47</v>
      </c>
      <c r="C1403" s="140" t="s">
        <v>16</v>
      </c>
      <c r="D1403" s="140" t="s">
        <v>11</v>
      </c>
      <c r="E1403" s="140" t="s">
        <v>12</v>
      </c>
      <c r="F1403">
        <v>88410</v>
      </c>
      <c r="G1403" s="140" t="s">
        <v>248</v>
      </c>
      <c r="H1403">
        <v>0</v>
      </c>
      <c r="I1403" s="140" t="s">
        <v>17</v>
      </c>
    </row>
    <row r="1404" spans="1:9" hidden="1" x14ac:dyDescent="0.25">
      <c r="A1404">
        <v>1991</v>
      </c>
      <c r="B1404" s="140" t="s">
        <v>47</v>
      </c>
      <c r="C1404" s="140" t="s">
        <v>16</v>
      </c>
      <c r="D1404" s="140" t="s">
        <v>11</v>
      </c>
      <c r="E1404" s="140" t="s">
        <v>12</v>
      </c>
      <c r="F1404">
        <v>83692</v>
      </c>
      <c r="G1404" s="140" t="s">
        <v>248</v>
      </c>
      <c r="H1404">
        <v>0</v>
      </c>
      <c r="I1404" s="140" t="s">
        <v>17</v>
      </c>
    </row>
    <row r="1405" spans="1:9" hidden="1" x14ac:dyDescent="0.25">
      <c r="A1405">
        <v>1992</v>
      </c>
      <c r="B1405" s="140" t="s">
        <v>47</v>
      </c>
      <c r="C1405" s="140" t="s">
        <v>16</v>
      </c>
      <c r="D1405" s="140" t="s">
        <v>11</v>
      </c>
      <c r="E1405" s="140" t="s">
        <v>12</v>
      </c>
      <c r="F1405">
        <v>80669</v>
      </c>
      <c r="G1405" s="140" t="s">
        <v>248</v>
      </c>
      <c r="H1405">
        <v>0</v>
      </c>
      <c r="I1405" s="140" t="s">
        <v>17</v>
      </c>
    </row>
    <row r="1406" spans="1:9" hidden="1" x14ac:dyDescent="0.25">
      <c r="A1406">
        <v>1993</v>
      </c>
      <c r="B1406" s="140" t="s">
        <v>47</v>
      </c>
      <c r="C1406" s="140" t="s">
        <v>16</v>
      </c>
      <c r="D1406" s="140" t="s">
        <v>11</v>
      </c>
      <c r="E1406" s="140" t="s">
        <v>12</v>
      </c>
      <c r="F1406">
        <v>80852</v>
      </c>
      <c r="G1406" s="140" t="s">
        <v>248</v>
      </c>
      <c r="H1406">
        <v>0</v>
      </c>
      <c r="I1406" s="140" t="s">
        <v>17</v>
      </c>
    </row>
    <row r="1407" spans="1:9" hidden="1" x14ac:dyDescent="0.25">
      <c r="A1407">
        <v>1994</v>
      </c>
      <c r="B1407" s="140" t="s">
        <v>47</v>
      </c>
      <c r="C1407" s="140" t="s">
        <v>16</v>
      </c>
      <c r="D1407" s="140" t="s">
        <v>11</v>
      </c>
      <c r="E1407" s="140" t="s">
        <v>12</v>
      </c>
      <c r="F1407">
        <v>86740</v>
      </c>
      <c r="G1407" s="140" t="s">
        <v>248</v>
      </c>
      <c r="H1407">
        <v>0</v>
      </c>
      <c r="I1407" s="140" t="s">
        <v>17</v>
      </c>
    </row>
    <row r="1408" spans="1:9" hidden="1" x14ac:dyDescent="0.25">
      <c r="A1408">
        <v>1995</v>
      </c>
      <c r="B1408" s="140" t="s">
        <v>47</v>
      </c>
      <c r="C1408" s="140" t="s">
        <v>16</v>
      </c>
      <c r="D1408" s="140" t="s">
        <v>11</v>
      </c>
      <c r="E1408" s="140" t="s">
        <v>12</v>
      </c>
      <c r="F1408">
        <v>95573</v>
      </c>
      <c r="G1408" s="140" t="s">
        <v>248</v>
      </c>
      <c r="H1408">
        <v>0</v>
      </c>
      <c r="I1408" s="140" t="s">
        <v>17</v>
      </c>
    </row>
    <row r="1409" spans="1:9" hidden="1" x14ac:dyDescent="0.25">
      <c r="A1409">
        <v>1996</v>
      </c>
      <c r="B1409" s="140" t="s">
        <v>47</v>
      </c>
      <c r="C1409" s="140" t="s">
        <v>16</v>
      </c>
      <c r="D1409" s="140" t="s">
        <v>11</v>
      </c>
      <c r="E1409" s="140" t="s">
        <v>12</v>
      </c>
      <c r="F1409">
        <v>99674</v>
      </c>
      <c r="G1409" s="140" t="s">
        <v>248</v>
      </c>
      <c r="H1409">
        <v>0</v>
      </c>
      <c r="I1409" s="140" t="s">
        <v>17</v>
      </c>
    </row>
    <row r="1410" spans="1:9" hidden="1" x14ac:dyDescent="0.25">
      <c r="A1410">
        <v>1997</v>
      </c>
      <c r="B1410" s="140" t="s">
        <v>47</v>
      </c>
      <c r="C1410" s="140" t="s">
        <v>16</v>
      </c>
      <c r="D1410" s="140" t="s">
        <v>11</v>
      </c>
      <c r="E1410" s="140" t="s">
        <v>12</v>
      </c>
      <c r="F1410">
        <v>109107</v>
      </c>
      <c r="G1410" s="140" t="s">
        <v>248</v>
      </c>
      <c r="H1410">
        <v>0</v>
      </c>
      <c r="I1410" s="140" t="s">
        <v>17</v>
      </c>
    </row>
    <row r="1411" spans="1:9" hidden="1" x14ac:dyDescent="0.25">
      <c r="A1411">
        <v>1998</v>
      </c>
      <c r="B1411" s="140" t="s">
        <v>47</v>
      </c>
      <c r="C1411" s="140" t="s">
        <v>16</v>
      </c>
      <c r="D1411" s="140" t="s">
        <v>11</v>
      </c>
      <c r="E1411" s="140" t="s">
        <v>12</v>
      </c>
      <c r="F1411">
        <v>118110</v>
      </c>
      <c r="G1411" s="140" t="s">
        <v>248</v>
      </c>
      <c r="H1411">
        <v>0</v>
      </c>
      <c r="I1411" s="140" t="s">
        <v>17</v>
      </c>
    </row>
    <row r="1412" spans="1:9" hidden="1" x14ac:dyDescent="0.25">
      <c r="A1412">
        <v>1999</v>
      </c>
      <c r="B1412" s="140" t="s">
        <v>47</v>
      </c>
      <c r="C1412" s="140" t="s">
        <v>16</v>
      </c>
      <c r="D1412" s="140" t="s">
        <v>11</v>
      </c>
      <c r="E1412" s="140" t="s">
        <v>12</v>
      </c>
      <c r="F1412">
        <v>125618</v>
      </c>
      <c r="G1412" s="140" t="s">
        <v>248</v>
      </c>
      <c r="H1412">
        <v>0</v>
      </c>
      <c r="I1412" s="140" t="s">
        <v>17</v>
      </c>
    </row>
    <row r="1413" spans="1:9" hidden="1" x14ac:dyDescent="0.25">
      <c r="A1413">
        <v>2000</v>
      </c>
      <c r="B1413" s="140" t="s">
        <v>47</v>
      </c>
      <c r="C1413" s="140" t="s">
        <v>16</v>
      </c>
      <c r="D1413" s="140" t="s">
        <v>11</v>
      </c>
      <c r="E1413" s="140" t="s">
        <v>12</v>
      </c>
      <c r="F1413">
        <v>135536</v>
      </c>
      <c r="G1413" s="140" t="s">
        <v>248</v>
      </c>
      <c r="H1413">
        <v>0</v>
      </c>
      <c r="I1413" s="140" t="s">
        <v>17</v>
      </c>
    </row>
    <row r="1414" spans="1:9" hidden="1" x14ac:dyDescent="0.25">
      <c r="A1414">
        <v>2001</v>
      </c>
      <c r="B1414" s="140" t="s">
        <v>47</v>
      </c>
      <c r="C1414" s="140" t="s">
        <v>16</v>
      </c>
      <c r="D1414" s="140" t="s">
        <v>11</v>
      </c>
      <c r="E1414" s="140" t="s">
        <v>12</v>
      </c>
      <c r="F1414">
        <v>144560</v>
      </c>
      <c r="G1414" s="140" t="s">
        <v>248</v>
      </c>
      <c r="H1414">
        <v>0</v>
      </c>
      <c r="I1414" s="140" t="s">
        <v>17</v>
      </c>
    </row>
    <row r="1415" spans="1:9" hidden="1" x14ac:dyDescent="0.25">
      <c r="A1415">
        <v>2002</v>
      </c>
      <c r="B1415" s="140" t="s">
        <v>47</v>
      </c>
      <c r="C1415" s="140" t="s">
        <v>16</v>
      </c>
      <c r="D1415" s="140" t="s">
        <v>11</v>
      </c>
      <c r="E1415" s="140" t="s">
        <v>12</v>
      </c>
      <c r="F1415">
        <v>148890</v>
      </c>
      <c r="G1415" s="140" t="s">
        <v>248</v>
      </c>
      <c r="H1415">
        <v>0</v>
      </c>
      <c r="I1415" s="140" t="s">
        <v>17</v>
      </c>
    </row>
    <row r="1416" spans="1:9" hidden="1" x14ac:dyDescent="0.25">
      <c r="A1416">
        <v>2003</v>
      </c>
      <c r="B1416" s="140" t="s">
        <v>47</v>
      </c>
      <c r="C1416" s="140" t="s">
        <v>16</v>
      </c>
      <c r="D1416" s="140" t="s">
        <v>11</v>
      </c>
      <c r="E1416" s="140" t="s">
        <v>12</v>
      </c>
      <c r="F1416">
        <v>150820</v>
      </c>
      <c r="G1416" s="140" t="s">
        <v>248</v>
      </c>
      <c r="H1416">
        <v>0</v>
      </c>
      <c r="I1416" s="140" t="s">
        <v>17</v>
      </c>
    </row>
    <row r="1417" spans="1:9" hidden="1" x14ac:dyDescent="0.25">
      <c r="A1417">
        <v>2004</v>
      </c>
      <c r="B1417" s="140" t="s">
        <v>47</v>
      </c>
      <c r="C1417" s="140" t="s">
        <v>16</v>
      </c>
      <c r="D1417" s="140" t="s">
        <v>11</v>
      </c>
      <c r="E1417" s="140" t="s">
        <v>12</v>
      </c>
      <c r="F1417">
        <v>159858</v>
      </c>
      <c r="G1417" s="140" t="s">
        <v>248</v>
      </c>
      <c r="H1417">
        <v>0</v>
      </c>
      <c r="I1417" s="140" t="s">
        <v>17</v>
      </c>
    </row>
    <row r="1418" spans="1:9" hidden="1" x14ac:dyDescent="0.25">
      <c r="A1418">
        <v>2005</v>
      </c>
      <c r="B1418" s="140" t="s">
        <v>47</v>
      </c>
      <c r="C1418" s="140" t="s">
        <v>16</v>
      </c>
      <c r="D1418" s="140" t="s">
        <v>11</v>
      </c>
      <c r="E1418" s="140" t="s">
        <v>12</v>
      </c>
      <c r="F1418">
        <v>165353</v>
      </c>
      <c r="G1418" s="140" t="s">
        <v>248</v>
      </c>
      <c r="H1418">
        <v>0</v>
      </c>
      <c r="I1418" s="140" t="s">
        <v>17</v>
      </c>
    </row>
    <row r="1419" spans="1:9" hidden="1" x14ac:dyDescent="0.25">
      <c r="A1419">
        <v>2006</v>
      </c>
      <c r="B1419" s="140" t="s">
        <v>47</v>
      </c>
      <c r="C1419" s="140" t="s">
        <v>16</v>
      </c>
      <c r="D1419" s="140" t="s">
        <v>11</v>
      </c>
      <c r="E1419" s="140" t="s">
        <v>12</v>
      </c>
      <c r="F1419">
        <v>174434</v>
      </c>
      <c r="G1419" s="140" t="s">
        <v>248</v>
      </c>
      <c r="H1419">
        <v>0</v>
      </c>
      <c r="I1419" s="140" t="s">
        <v>17</v>
      </c>
    </row>
    <row r="1420" spans="1:9" hidden="1" x14ac:dyDescent="0.25">
      <c r="A1420">
        <v>2007</v>
      </c>
      <c r="B1420" s="140" t="s">
        <v>47</v>
      </c>
      <c r="C1420" s="140" t="s">
        <v>16</v>
      </c>
      <c r="D1420" s="140" t="s">
        <v>11</v>
      </c>
      <c r="E1420" s="140" t="s">
        <v>12</v>
      </c>
      <c r="F1420">
        <v>187606</v>
      </c>
      <c r="G1420" s="140" t="s">
        <v>248</v>
      </c>
      <c r="H1420">
        <v>0</v>
      </c>
      <c r="I1420" s="140" t="s">
        <v>17</v>
      </c>
    </row>
    <row r="1421" spans="1:9" hidden="1" x14ac:dyDescent="0.25">
      <c r="A1421">
        <v>2008</v>
      </c>
      <c r="B1421" s="140" t="s">
        <v>47</v>
      </c>
      <c r="C1421" s="140" t="s">
        <v>16</v>
      </c>
      <c r="D1421" s="140" t="s">
        <v>11</v>
      </c>
      <c r="E1421" s="140" t="s">
        <v>12</v>
      </c>
      <c r="F1421">
        <v>194579</v>
      </c>
      <c r="G1421" s="140" t="s">
        <v>248</v>
      </c>
      <c r="H1421">
        <v>0</v>
      </c>
      <c r="I1421" s="140" t="s">
        <v>17</v>
      </c>
    </row>
    <row r="1422" spans="1:9" hidden="1" x14ac:dyDescent="0.25">
      <c r="A1422">
        <v>2009</v>
      </c>
      <c r="B1422" s="140" t="s">
        <v>47</v>
      </c>
      <c r="C1422" s="140" t="s">
        <v>16</v>
      </c>
      <c r="D1422" s="140" t="s">
        <v>11</v>
      </c>
      <c r="E1422" s="140" t="s">
        <v>12</v>
      </c>
      <c r="F1422">
        <v>183992</v>
      </c>
      <c r="G1422" s="140" t="s">
        <v>248</v>
      </c>
      <c r="H1422">
        <v>0</v>
      </c>
      <c r="I1422" s="140" t="s">
        <v>17</v>
      </c>
    </row>
    <row r="1423" spans="1:9" hidden="1" x14ac:dyDescent="0.25">
      <c r="A1423">
        <v>2010</v>
      </c>
      <c r="B1423" s="140" t="s">
        <v>47</v>
      </c>
      <c r="C1423" s="140" t="s">
        <v>16</v>
      </c>
      <c r="D1423" s="140" t="s">
        <v>11</v>
      </c>
      <c r="E1423" s="140" t="s">
        <v>12</v>
      </c>
      <c r="F1423">
        <v>190607</v>
      </c>
      <c r="G1423" s="140" t="s">
        <v>248</v>
      </c>
      <c r="H1423">
        <v>0</v>
      </c>
      <c r="I1423" s="140" t="s">
        <v>17</v>
      </c>
    </row>
    <row r="1424" spans="1:9" hidden="1" x14ac:dyDescent="0.25">
      <c r="A1424">
        <v>2011</v>
      </c>
      <c r="B1424" s="140" t="s">
        <v>47</v>
      </c>
      <c r="C1424" s="140" t="s">
        <v>16</v>
      </c>
      <c r="D1424" s="140" t="s">
        <v>11</v>
      </c>
      <c r="E1424" s="140" t="s">
        <v>12</v>
      </c>
      <c r="F1424">
        <v>198501</v>
      </c>
      <c r="G1424" s="140" t="s">
        <v>248</v>
      </c>
      <c r="H1424">
        <v>0</v>
      </c>
      <c r="I1424" s="140" t="s">
        <v>17</v>
      </c>
    </row>
    <row r="1425" spans="1:9" hidden="1" x14ac:dyDescent="0.25">
      <c r="A1425">
        <v>2012</v>
      </c>
      <c r="B1425" s="140" t="s">
        <v>47</v>
      </c>
      <c r="C1425" s="140" t="s">
        <v>16</v>
      </c>
      <c r="D1425" s="140" t="s">
        <v>11</v>
      </c>
      <c r="E1425" s="140" t="s">
        <v>12</v>
      </c>
      <c r="F1425">
        <v>201275</v>
      </c>
      <c r="G1425" s="140" t="s">
        <v>248</v>
      </c>
      <c r="H1425">
        <v>0</v>
      </c>
      <c r="I1425" s="140" t="s">
        <v>17</v>
      </c>
    </row>
    <row r="1426" spans="1:9" hidden="1" x14ac:dyDescent="0.25">
      <c r="A1426">
        <v>2013</v>
      </c>
      <c r="B1426" s="140" t="s">
        <v>47</v>
      </c>
      <c r="C1426" s="140" t="s">
        <v>16</v>
      </c>
      <c r="D1426" s="140" t="s">
        <v>11</v>
      </c>
      <c r="E1426" s="140" t="s">
        <v>12</v>
      </c>
      <c r="F1426">
        <v>204650</v>
      </c>
      <c r="G1426" s="140" t="s">
        <v>248</v>
      </c>
      <c r="H1426">
        <v>0</v>
      </c>
      <c r="I1426" s="140" t="s">
        <v>17</v>
      </c>
    </row>
    <row r="1427" spans="1:9" hidden="1" x14ac:dyDescent="0.25">
      <c r="A1427">
        <v>2014</v>
      </c>
      <c r="B1427" s="140" t="s">
        <v>47</v>
      </c>
      <c r="C1427" s="140" t="s">
        <v>16</v>
      </c>
      <c r="D1427" s="140" t="s">
        <v>11</v>
      </c>
      <c r="E1427" s="140" t="s">
        <v>12</v>
      </c>
      <c r="F1427">
        <v>208093</v>
      </c>
      <c r="G1427" s="140" t="s">
        <v>248</v>
      </c>
      <c r="H1427">
        <v>0</v>
      </c>
      <c r="I1427" s="140" t="s">
        <v>17</v>
      </c>
    </row>
    <row r="1428" spans="1:9" hidden="1" x14ac:dyDescent="0.25">
      <c r="A1428">
        <v>2015</v>
      </c>
      <c r="B1428" s="140" t="s">
        <v>47</v>
      </c>
      <c r="C1428" s="140" t="s">
        <v>16</v>
      </c>
      <c r="D1428" s="140" t="s">
        <v>11</v>
      </c>
      <c r="E1428" s="140" t="s">
        <v>12</v>
      </c>
      <c r="F1428">
        <v>212048</v>
      </c>
      <c r="G1428" s="140" t="s">
        <v>248</v>
      </c>
      <c r="H1428">
        <v>0</v>
      </c>
      <c r="I1428" s="140" t="s">
        <v>17</v>
      </c>
    </row>
    <row r="1429" spans="1:9" hidden="1" x14ac:dyDescent="0.25">
      <c r="A1429">
        <v>2016</v>
      </c>
      <c r="B1429" s="140" t="s">
        <v>47</v>
      </c>
      <c r="C1429" s="140" t="s">
        <v>16</v>
      </c>
      <c r="D1429" s="140" t="s">
        <v>11</v>
      </c>
      <c r="E1429" s="140" t="s">
        <v>12</v>
      </c>
      <c r="F1429">
        <v>216652</v>
      </c>
      <c r="G1429" s="140" t="s">
        <v>248</v>
      </c>
      <c r="H1429">
        <v>0</v>
      </c>
      <c r="I1429" s="140" t="s">
        <v>17</v>
      </c>
    </row>
    <row r="1430" spans="1:9" hidden="1" x14ac:dyDescent="0.25">
      <c r="A1430">
        <v>2017</v>
      </c>
      <c r="B1430" s="140" t="s">
        <v>47</v>
      </c>
      <c r="C1430" s="140" t="s">
        <v>16</v>
      </c>
      <c r="D1430" s="140" t="s">
        <v>11</v>
      </c>
      <c r="E1430" s="140" t="s">
        <v>12</v>
      </c>
      <c r="F1430">
        <v>224772</v>
      </c>
      <c r="G1430" s="140" t="s">
        <v>248</v>
      </c>
      <c r="H1430">
        <v>0</v>
      </c>
      <c r="I1430" s="140" t="s">
        <v>17</v>
      </c>
    </row>
    <row r="1431" spans="1:9" hidden="1" x14ac:dyDescent="0.25">
      <c r="A1431">
        <v>2018</v>
      </c>
      <c r="B1431" s="140" t="s">
        <v>47</v>
      </c>
      <c r="C1431" s="140" t="s">
        <v>16</v>
      </c>
      <c r="D1431" s="140" t="s">
        <v>11</v>
      </c>
      <c r="E1431" s="140" t="s">
        <v>12</v>
      </c>
      <c r="F1431">
        <v>232840</v>
      </c>
      <c r="G1431" s="140" t="s">
        <v>248</v>
      </c>
      <c r="H1431">
        <v>0</v>
      </c>
      <c r="I1431" s="140" t="s">
        <v>17</v>
      </c>
    </row>
    <row r="1432" spans="1:9" hidden="1" x14ac:dyDescent="0.25">
      <c r="A1432">
        <v>2019</v>
      </c>
      <c r="B1432" s="140" t="s">
        <v>47</v>
      </c>
      <c r="C1432" s="140" t="s">
        <v>16</v>
      </c>
      <c r="D1432" s="140" t="s">
        <v>11</v>
      </c>
      <c r="E1432" s="140" t="s">
        <v>12</v>
      </c>
      <c r="F1432">
        <v>239368</v>
      </c>
      <c r="G1432" s="140" t="s">
        <v>248</v>
      </c>
      <c r="H1432">
        <v>0</v>
      </c>
      <c r="I1432" s="140" t="s">
        <v>17</v>
      </c>
    </row>
    <row r="1433" spans="1:9" hidden="1" x14ac:dyDescent="0.25">
      <c r="A1433">
        <v>2020</v>
      </c>
      <c r="B1433" s="140" t="s">
        <v>47</v>
      </c>
      <c r="C1433" s="140" t="s">
        <v>16</v>
      </c>
      <c r="D1433" s="140" t="s">
        <v>11</v>
      </c>
      <c r="E1433" s="140" t="s">
        <v>12</v>
      </c>
      <c r="F1433">
        <v>239986</v>
      </c>
      <c r="G1433" s="140" t="s">
        <v>248</v>
      </c>
      <c r="H1433">
        <v>0</v>
      </c>
      <c r="I1433" s="140" t="s">
        <v>17</v>
      </c>
    </row>
    <row r="1434" spans="1:9" hidden="1" x14ac:dyDescent="0.25">
      <c r="A1434">
        <v>2021</v>
      </c>
      <c r="B1434" s="140" t="s">
        <v>47</v>
      </c>
      <c r="C1434" s="140" t="s">
        <v>16</v>
      </c>
      <c r="D1434" s="140" t="s">
        <v>11</v>
      </c>
      <c r="E1434" s="140" t="s">
        <v>12</v>
      </c>
      <c r="F1434">
        <v>252788</v>
      </c>
      <c r="G1434" s="140" t="s">
        <v>248</v>
      </c>
      <c r="H1434">
        <v>0</v>
      </c>
      <c r="I1434" s="140" t="s">
        <v>17</v>
      </c>
    </row>
    <row r="1435" spans="1:9" hidden="1" x14ac:dyDescent="0.25">
      <c r="A1435">
        <v>2022</v>
      </c>
      <c r="B1435" s="140" t="s">
        <v>47</v>
      </c>
      <c r="C1435" s="140" t="s">
        <v>16</v>
      </c>
      <c r="D1435" s="140" t="s">
        <v>11</v>
      </c>
      <c r="E1435" s="140" t="s">
        <v>12</v>
      </c>
      <c r="F1435">
        <v>268038</v>
      </c>
      <c r="G1435" s="140" t="s">
        <v>248</v>
      </c>
      <c r="H1435">
        <v>0</v>
      </c>
      <c r="I1435" s="140" t="s">
        <v>17</v>
      </c>
    </row>
    <row r="1436" spans="1:9" hidden="1" x14ac:dyDescent="0.25">
      <c r="A1436">
        <v>2023</v>
      </c>
      <c r="B1436" s="140" t="s">
        <v>47</v>
      </c>
      <c r="C1436" s="140" t="s">
        <v>16</v>
      </c>
      <c r="D1436" s="140" t="s">
        <v>11</v>
      </c>
      <c r="E1436" s="140" t="s">
        <v>12</v>
      </c>
      <c r="F1436">
        <v>273289</v>
      </c>
      <c r="G1436" s="140" t="s">
        <v>248</v>
      </c>
      <c r="H1436">
        <v>0</v>
      </c>
      <c r="I1436" s="140" t="s">
        <v>17</v>
      </c>
    </row>
    <row r="1437" spans="1:9" hidden="1" x14ac:dyDescent="0.25">
      <c r="A1437">
        <v>2024</v>
      </c>
      <c r="B1437" s="140" t="s">
        <v>47</v>
      </c>
      <c r="C1437" s="140" t="s">
        <v>16</v>
      </c>
      <c r="D1437" s="140" t="s">
        <v>11</v>
      </c>
      <c r="E1437" s="140" t="s">
        <v>12</v>
      </c>
      <c r="F1437">
        <v>276310</v>
      </c>
      <c r="G1437" s="140" t="s">
        <v>248</v>
      </c>
      <c r="H1437">
        <v>0</v>
      </c>
      <c r="I1437" s="140" t="s">
        <v>17</v>
      </c>
    </row>
    <row r="1438" spans="1:9" hidden="1" x14ac:dyDescent="0.25">
      <c r="A1438">
        <v>2025</v>
      </c>
      <c r="B1438" s="140" t="s">
        <v>47</v>
      </c>
      <c r="C1438" s="140" t="s">
        <v>16</v>
      </c>
      <c r="D1438" s="140" t="s">
        <v>11</v>
      </c>
      <c r="E1438" s="140" t="s">
        <v>12</v>
      </c>
      <c r="F1438">
        <v>282278</v>
      </c>
      <c r="G1438" s="140" t="s">
        <v>248</v>
      </c>
      <c r="H1438">
        <v>0</v>
      </c>
      <c r="I1438" s="140" t="s">
        <v>17</v>
      </c>
    </row>
    <row r="1439" spans="1:9" hidden="1" x14ac:dyDescent="0.25">
      <c r="A1439">
        <v>2026</v>
      </c>
      <c r="B1439" s="140" t="s">
        <v>47</v>
      </c>
      <c r="C1439" s="140" t="s">
        <v>16</v>
      </c>
      <c r="D1439" s="140" t="s">
        <v>11</v>
      </c>
      <c r="E1439" s="140" t="s">
        <v>12</v>
      </c>
      <c r="F1439">
        <v>294076.23430000001</v>
      </c>
      <c r="G1439" s="140" t="s">
        <v>248</v>
      </c>
      <c r="H1439">
        <v>0</v>
      </c>
      <c r="I1439" s="140" t="s">
        <v>17</v>
      </c>
    </row>
    <row r="1440" spans="1:9" hidden="1" x14ac:dyDescent="0.25">
      <c r="A1440">
        <v>2027</v>
      </c>
      <c r="B1440" s="140" t="s">
        <v>47</v>
      </c>
      <c r="C1440" s="140" t="s">
        <v>16</v>
      </c>
      <c r="D1440" s="140" t="s">
        <v>11</v>
      </c>
      <c r="E1440" s="140" t="s">
        <v>12</v>
      </c>
      <c r="F1440">
        <v>306082.48670000001</v>
      </c>
      <c r="G1440" s="140" t="s">
        <v>248</v>
      </c>
      <c r="H1440">
        <v>0</v>
      </c>
      <c r="I1440" s="140" t="s">
        <v>17</v>
      </c>
    </row>
    <row r="1441" spans="1:9" hidden="1" x14ac:dyDescent="0.25">
      <c r="A1441">
        <v>2028</v>
      </c>
      <c r="B1441" s="140" t="s">
        <v>47</v>
      </c>
      <c r="C1441" s="140" t="s">
        <v>16</v>
      </c>
      <c r="D1441" s="140" t="s">
        <v>11</v>
      </c>
      <c r="E1441" s="140" t="s">
        <v>12</v>
      </c>
      <c r="F1441">
        <v>318460.55190000002</v>
      </c>
      <c r="G1441" s="140" t="s">
        <v>248</v>
      </c>
      <c r="H1441">
        <v>0</v>
      </c>
      <c r="I1441" s="140" t="s">
        <v>17</v>
      </c>
    </row>
    <row r="1442" spans="1:9" hidden="1" x14ac:dyDescent="0.25">
      <c r="A1442">
        <v>2029</v>
      </c>
      <c r="B1442" s="140" t="s">
        <v>47</v>
      </c>
      <c r="C1442" s="140" t="s">
        <v>16</v>
      </c>
      <c r="D1442" s="140" t="s">
        <v>11</v>
      </c>
      <c r="E1442" s="140" t="s">
        <v>12</v>
      </c>
      <c r="F1442">
        <v>331162.6433</v>
      </c>
      <c r="G1442" s="140" t="s">
        <v>248</v>
      </c>
      <c r="H1442">
        <v>0</v>
      </c>
      <c r="I1442" s="140" t="s">
        <v>17</v>
      </c>
    </row>
    <row r="1443" spans="1:9" hidden="1" x14ac:dyDescent="0.25">
      <c r="A1443">
        <v>2030</v>
      </c>
      <c r="B1443" s="140" t="s">
        <v>47</v>
      </c>
      <c r="C1443" s="140" t="s">
        <v>16</v>
      </c>
      <c r="D1443" s="140" t="s">
        <v>11</v>
      </c>
      <c r="E1443" s="140" t="s">
        <v>12</v>
      </c>
      <c r="F1443">
        <v>342909.13500000001</v>
      </c>
      <c r="G1443" s="140" t="s">
        <v>248</v>
      </c>
      <c r="H1443">
        <v>0</v>
      </c>
      <c r="I1443" s="140" t="s">
        <v>17</v>
      </c>
    </row>
    <row r="1444" spans="1:9" hidden="1" x14ac:dyDescent="0.25">
      <c r="A1444">
        <v>1990</v>
      </c>
      <c r="B1444" s="140" t="s">
        <v>18</v>
      </c>
      <c r="C1444" s="140" t="s">
        <v>20</v>
      </c>
      <c r="D1444" s="140" t="s">
        <v>11</v>
      </c>
      <c r="E1444" s="140" t="s">
        <v>12</v>
      </c>
      <c r="F1444">
        <v>140641</v>
      </c>
      <c r="G1444" s="140" t="s">
        <v>203</v>
      </c>
      <c r="H1444">
        <v>0</v>
      </c>
      <c r="I1444" s="140" t="s">
        <v>17</v>
      </c>
    </row>
    <row r="1445" spans="1:9" hidden="1" x14ac:dyDescent="0.25">
      <c r="A1445">
        <v>1991</v>
      </c>
      <c r="B1445" s="140" t="s">
        <v>18</v>
      </c>
      <c r="C1445" s="140" t="s">
        <v>20</v>
      </c>
      <c r="D1445" s="140" t="s">
        <v>11</v>
      </c>
      <c r="E1445" s="140" t="s">
        <v>12</v>
      </c>
      <c r="F1445">
        <v>132371</v>
      </c>
      <c r="G1445" s="140" t="s">
        <v>203</v>
      </c>
      <c r="H1445">
        <v>0</v>
      </c>
      <c r="I1445" s="140" t="s">
        <v>17</v>
      </c>
    </row>
    <row r="1446" spans="1:9" hidden="1" x14ac:dyDescent="0.25">
      <c r="A1446">
        <v>1992</v>
      </c>
      <c r="B1446" s="140" t="s">
        <v>18</v>
      </c>
      <c r="C1446" s="140" t="s">
        <v>20</v>
      </c>
      <c r="D1446" s="140" t="s">
        <v>11</v>
      </c>
      <c r="E1446" s="140" t="s">
        <v>12</v>
      </c>
      <c r="F1446">
        <v>127987</v>
      </c>
      <c r="G1446" s="140" t="s">
        <v>203</v>
      </c>
      <c r="H1446">
        <v>0</v>
      </c>
      <c r="I1446" s="140" t="s">
        <v>17</v>
      </c>
    </row>
    <row r="1447" spans="1:9" hidden="1" x14ac:dyDescent="0.25">
      <c r="A1447">
        <v>1993</v>
      </c>
      <c r="B1447" s="140" t="s">
        <v>18</v>
      </c>
      <c r="C1447" s="140" t="s">
        <v>20</v>
      </c>
      <c r="D1447" s="140" t="s">
        <v>11</v>
      </c>
      <c r="E1447" s="140" t="s">
        <v>12</v>
      </c>
      <c r="F1447">
        <v>126988</v>
      </c>
      <c r="G1447" s="140" t="s">
        <v>203</v>
      </c>
      <c r="H1447">
        <v>0</v>
      </c>
      <c r="I1447" s="140" t="s">
        <v>17</v>
      </c>
    </row>
    <row r="1448" spans="1:9" hidden="1" x14ac:dyDescent="0.25">
      <c r="A1448">
        <v>1994</v>
      </c>
      <c r="B1448" s="140" t="s">
        <v>18</v>
      </c>
      <c r="C1448" s="140" t="s">
        <v>20</v>
      </c>
      <c r="D1448" s="140" t="s">
        <v>11</v>
      </c>
      <c r="E1448" s="140" t="s">
        <v>12</v>
      </c>
      <c r="F1448">
        <v>132021</v>
      </c>
      <c r="G1448" s="140" t="s">
        <v>203</v>
      </c>
      <c r="H1448">
        <v>0</v>
      </c>
      <c r="I1448" s="140" t="s">
        <v>17</v>
      </c>
    </row>
    <row r="1449" spans="1:9" hidden="1" x14ac:dyDescent="0.25">
      <c r="A1449">
        <v>1995</v>
      </c>
      <c r="B1449" s="140" t="s">
        <v>18</v>
      </c>
      <c r="C1449" s="140" t="s">
        <v>20</v>
      </c>
      <c r="D1449" s="140" t="s">
        <v>11</v>
      </c>
      <c r="E1449" s="140" t="s">
        <v>12</v>
      </c>
      <c r="F1449">
        <v>137609</v>
      </c>
      <c r="G1449" s="140" t="s">
        <v>203</v>
      </c>
      <c r="H1449">
        <v>0</v>
      </c>
      <c r="I1449" s="140" t="s">
        <v>17</v>
      </c>
    </row>
    <row r="1450" spans="1:9" hidden="1" x14ac:dyDescent="0.25">
      <c r="A1450">
        <v>1996</v>
      </c>
      <c r="B1450" s="140" t="s">
        <v>18</v>
      </c>
      <c r="C1450" s="140" t="s">
        <v>20</v>
      </c>
      <c r="D1450" s="140" t="s">
        <v>11</v>
      </c>
      <c r="E1450" s="140" t="s">
        <v>12</v>
      </c>
      <c r="F1450">
        <v>142648</v>
      </c>
      <c r="G1450" s="140" t="s">
        <v>203</v>
      </c>
      <c r="H1450">
        <v>0</v>
      </c>
      <c r="I1450" s="140" t="s">
        <v>17</v>
      </c>
    </row>
    <row r="1451" spans="1:9" hidden="1" x14ac:dyDescent="0.25">
      <c r="A1451">
        <v>1997</v>
      </c>
      <c r="B1451" s="140" t="s">
        <v>18</v>
      </c>
      <c r="C1451" s="140" t="s">
        <v>20</v>
      </c>
      <c r="D1451" s="140" t="s">
        <v>11</v>
      </c>
      <c r="E1451" s="140" t="s">
        <v>12</v>
      </c>
      <c r="F1451">
        <v>151774</v>
      </c>
      <c r="G1451" s="140" t="s">
        <v>203</v>
      </c>
      <c r="H1451">
        <v>0</v>
      </c>
      <c r="I1451" s="140" t="s">
        <v>17</v>
      </c>
    </row>
    <row r="1452" spans="1:9" hidden="1" x14ac:dyDescent="0.25">
      <c r="A1452">
        <v>1998</v>
      </c>
      <c r="B1452" s="140" t="s">
        <v>18</v>
      </c>
      <c r="C1452" s="140" t="s">
        <v>20</v>
      </c>
      <c r="D1452" s="140" t="s">
        <v>11</v>
      </c>
      <c r="E1452" s="140" t="s">
        <v>12</v>
      </c>
      <c r="F1452">
        <v>160052</v>
      </c>
      <c r="G1452" s="140" t="s">
        <v>203</v>
      </c>
      <c r="H1452">
        <v>0</v>
      </c>
      <c r="I1452" s="140" t="s">
        <v>17</v>
      </c>
    </row>
    <row r="1453" spans="1:9" hidden="1" x14ac:dyDescent="0.25">
      <c r="A1453">
        <v>1999</v>
      </c>
      <c r="B1453" s="140" t="s">
        <v>18</v>
      </c>
      <c r="C1453" s="140" t="s">
        <v>20</v>
      </c>
      <c r="D1453" s="140" t="s">
        <v>11</v>
      </c>
      <c r="E1453" s="140" t="s">
        <v>12</v>
      </c>
      <c r="F1453">
        <v>167077</v>
      </c>
      <c r="G1453" s="140" t="s">
        <v>203</v>
      </c>
      <c r="H1453">
        <v>0</v>
      </c>
      <c r="I1453" s="140" t="s">
        <v>17</v>
      </c>
    </row>
    <row r="1454" spans="1:9" hidden="1" x14ac:dyDescent="0.25">
      <c r="A1454">
        <v>2000</v>
      </c>
      <c r="B1454" s="140" t="s">
        <v>18</v>
      </c>
      <c r="C1454" s="140" t="s">
        <v>20</v>
      </c>
      <c r="D1454" s="140" t="s">
        <v>11</v>
      </c>
      <c r="E1454" s="140" t="s">
        <v>12</v>
      </c>
      <c r="F1454">
        <v>176690</v>
      </c>
      <c r="G1454" s="140" t="s">
        <v>203</v>
      </c>
      <c r="H1454">
        <v>0</v>
      </c>
      <c r="I1454" s="140" t="s">
        <v>17</v>
      </c>
    </row>
    <row r="1455" spans="1:9" hidden="1" x14ac:dyDescent="0.25">
      <c r="A1455">
        <v>2001</v>
      </c>
      <c r="B1455" s="140" t="s">
        <v>18</v>
      </c>
      <c r="C1455" s="140" t="s">
        <v>20</v>
      </c>
      <c r="D1455" s="140" t="s">
        <v>11</v>
      </c>
      <c r="E1455" s="140" t="s">
        <v>12</v>
      </c>
      <c r="F1455">
        <v>181355</v>
      </c>
      <c r="G1455" s="140" t="s">
        <v>203</v>
      </c>
      <c r="H1455">
        <v>0</v>
      </c>
      <c r="I1455" s="140" t="s">
        <v>17</v>
      </c>
    </row>
    <row r="1456" spans="1:9" hidden="1" x14ac:dyDescent="0.25">
      <c r="A1456">
        <v>2002</v>
      </c>
      <c r="B1456" s="140" t="s">
        <v>18</v>
      </c>
      <c r="C1456" s="140" t="s">
        <v>20</v>
      </c>
      <c r="D1456" s="140" t="s">
        <v>11</v>
      </c>
      <c r="E1456" s="140" t="s">
        <v>12</v>
      </c>
      <c r="F1456">
        <v>184415</v>
      </c>
      <c r="G1456" s="140" t="s">
        <v>203</v>
      </c>
      <c r="H1456">
        <v>0</v>
      </c>
      <c r="I1456" s="140" t="s">
        <v>17</v>
      </c>
    </row>
    <row r="1457" spans="1:9" hidden="1" x14ac:dyDescent="0.25">
      <c r="A1457">
        <v>2003</v>
      </c>
      <c r="B1457" s="140" t="s">
        <v>18</v>
      </c>
      <c r="C1457" s="140" t="s">
        <v>20</v>
      </c>
      <c r="D1457" s="140" t="s">
        <v>11</v>
      </c>
      <c r="E1457" s="140" t="s">
        <v>12</v>
      </c>
      <c r="F1457">
        <v>188125</v>
      </c>
      <c r="G1457" s="140" t="s">
        <v>203</v>
      </c>
      <c r="H1457">
        <v>0</v>
      </c>
      <c r="I1457" s="140" t="s">
        <v>17</v>
      </c>
    </row>
    <row r="1458" spans="1:9" hidden="1" x14ac:dyDescent="0.25">
      <c r="A1458">
        <v>2004</v>
      </c>
      <c r="B1458" s="140" t="s">
        <v>18</v>
      </c>
      <c r="C1458" s="140" t="s">
        <v>20</v>
      </c>
      <c r="D1458" s="140" t="s">
        <v>11</v>
      </c>
      <c r="E1458" s="140" t="s">
        <v>12</v>
      </c>
      <c r="F1458">
        <v>195660</v>
      </c>
      <c r="G1458" s="140" t="s">
        <v>203</v>
      </c>
      <c r="H1458">
        <v>0</v>
      </c>
      <c r="I1458" s="140" t="s">
        <v>17</v>
      </c>
    </row>
    <row r="1459" spans="1:9" hidden="1" x14ac:dyDescent="0.25">
      <c r="A1459">
        <v>2005</v>
      </c>
      <c r="B1459" s="140" t="s">
        <v>18</v>
      </c>
      <c r="C1459" s="140" t="s">
        <v>20</v>
      </c>
      <c r="D1459" s="140" t="s">
        <v>11</v>
      </c>
      <c r="E1459" s="140" t="s">
        <v>12</v>
      </c>
      <c r="F1459">
        <v>201095</v>
      </c>
      <c r="G1459" s="140" t="s">
        <v>203</v>
      </c>
      <c r="H1459">
        <v>0</v>
      </c>
      <c r="I1459" s="140" t="s">
        <v>17</v>
      </c>
    </row>
    <row r="1460" spans="1:9" hidden="1" x14ac:dyDescent="0.25">
      <c r="A1460">
        <v>2006</v>
      </c>
      <c r="B1460" s="140" t="s">
        <v>18</v>
      </c>
      <c r="C1460" s="140" t="s">
        <v>20</v>
      </c>
      <c r="D1460" s="140" t="s">
        <v>11</v>
      </c>
      <c r="E1460" s="140" t="s">
        <v>12</v>
      </c>
      <c r="F1460">
        <v>209178</v>
      </c>
      <c r="G1460" s="140" t="s">
        <v>203</v>
      </c>
      <c r="H1460">
        <v>0</v>
      </c>
      <c r="I1460" s="140" t="s">
        <v>17</v>
      </c>
    </row>
    <row r="1461" spans="1:9" hidden="1" x14ac:dyDescent="0.25">
      <c r="A1461">
        <v>2007</v>
      </c>
      <c r="B1461" s="140" t="s">
        <v>18</v>
      </c>
      <c r="C1461" s="140" t="s">
        <v>20</v>
      </c>
      <c r="D1461" s="140" t="s">
        <v>11</v>
      </c>
      <c r="E1461" s="140" t="s">
        <v>12</v>
      </c>
      <c r="F1461">
        <v>220292</v>
      </c>
      <c r="G1461" s="140" t="s">
        <v>203</v>
      </c>
      <c r="H1461">
        <v>0</v>
      </c>
      <c r="I1461" s="140" t="s">
        <v>17</v>
      </c>
    </row>
    <row r="1462" spans="1:9" hidden="1" x14ac:dyDescent="0.25">
      <c r="A1462">
        <v>2008</v>
      </c>
      <c r="B1462" s="140" t="s">
        <v>18</v>
      </c>
      <c r="C1462" s="140" t="s">
        <v>20</v>
      </c>
      <c r="D1462" s="140" t="s">
        <v>11</v>
      </c>
      <c r="E1462" s="140" t="s">
        <v>12</v>
      </c>
      <c r="F1462">
        <v>222019</v>
      </c>
      <c r="G1462" s="140" t="s">
        <v>203</v>
      </c>
      <c r="H1462">
        <v>0</v>
      </c>
      <c r="I1462" s="140" t="s">
        <v>17</v>
      </c>
    </row>
    <row r="1463" spans="1:9" hidden="1" x14ac:dyDescent="0.25">
      <c r="A1463">
        <v>2009</v>
      </c>
      <c r="B1463" s="140" t="s">
        <v>18</v>
      </c>
      <c r="C1463" s="140" t="s">
        <v>20</v>
      </c>
      <c r="D1463" s="140" t="s">
        <v>11</v>
      </c>
      <c r="E1463" s="140" t="s">
        <v>12</v>
      </c>
      <c r="F1463">
        <v>204089</v>
      </c>
      <c r="G1463" s="140" t="s">
        <v>203</v>
      </c>
      <c r="H1463">
        <v>0</v>
      </c>
      <c r="I1463" s="140" t="s">
        <v>17</v>
      </c>
    </row>
    <row r="1464" spans="1:9" hidden="1" x14ac:dyDescent="0.25">
      <c r="A1464">
        <v>2010</v>
      </c>
      <c r="B1464" s="140" t="s">
        <v>18</v>
      </c>
      <c r="C1464" s="140" t="s">
        <v>20</v>
      </c>
      <c r="D1464" s="140" t="s">
        <v>11</v>
      </c>
      <c r="E1464" s="140" t="s">
        <v>12</v>
      </c>
      <c r="F1464">
        <v>210554</v>
      </c>
      <c r="G1464" s="140" t="s">
        <v>203</v>
      </c>
      <c r="H1464">
        <v>0</v>
      </c>
      <c r="I1464" s="140" t="s">
        <v>17</v>
      </c>
    </row>
    <row r="1465" spans="1:9" hidden="1" x14ac:dyDescent="0.25">
      <c r="A1465">
        <v>2011</v>
      </c>
      <c r="B1465" s="140" t="s">
        <v>18</v>
      </c>
      <c r="C1465" s="140" t="s">
        <v>20</v>
      </c>
      <c r="D1465" s="140" t="s">
        <v>11</v>
      </c>
      <c r="E1465" s="140" t="s">
        <v>12</v>
      </c>
      <c r="F1465">
        <v>215585</v>
      </c>
      <c r="G1465" s="140" t="s">
        <v>203</v>
      </c>
      <c r="H1465">
        <v>0</v>
      </c>
      <c r="I1465" s="140" t="s">
        <v>17</v>
      </c>
    </row>
    <row r="1466" spans="1:9" hidden="1" x14ac:dyDescent="0.25">
      <c r="A1466">
        <v>2012</v>
      </c>
      <c r="B1466" s="140" t="s">
        <v>18</v>
      </c>
      <c r="C1466" s="140" t="s">
        <v>20</v>
      </c>
      <c r="D1466" s="140" t="s">
        <v>11</v>
      </c>
      <c r="E1466" s="140" t="s">
        <v>12</v>
      </c>
      <c r="F1466">
        <v>212301</v>
      </c>
      <c r="G1466" s="140" t="s">
        <v>203</v>
      </c>
      <c r="H1466">
        <v>0</v>
      </c>
      <c r="I1466" s="140" t="s">
        <v>17</v>
      </c>
    </row>
    <row r="1467" spans="1:9" hidden="1" x14ac:dyDescent="0.25">
      <c r="A1467">
        <v>2013</v>
      </c>
      <c r="B1467" s="140" t="s">
        <v>18</v>
      </c>
      <c r="C1467" s="140" t="s">
        <v>20</v>
      </c>
      <c r="D1467" s="140" t="s">
        <v>11</v>
      </c>
      <c r="E1467" s="140" t="s">
        <v>12</v>
      </c>
      <c r="F1467">
        <v>210221</v>
      </c>
      <c r="G1467" s="140" t="s">
        <v>203</v>
      </c>
      <c r="H1467">
        <v>0</v>
      </c>
      <c r="I1467" s="140" t="s">
        <v>17</v>
      </c>
    </row>
    <row r="1468" spans="1:9" hidden="1" x14ac:dyDescent="0.25">
      <c r="A1468">
        <v>2014</v>
      </c>
      <c r="B1468" s="140" t="s">
        <v>18</v>
      </c>
      <c r="C1468" s="140" t="s">
        <v>20</v>
      </c>
      <c r="D1468" s="140" t="s">
        <v>11</v>
      </c>
      <c r="E1468" s="140" t="s">
        <v>12</v>
      </c>
      <c r="F1468">
        <v>209216</v>
      </c>
      <c r="G1468" s="140" t="s">
        <v>203</v>
      </c>
      <c r="H1468">
        <v>0</v>
      </c>
      <c r="I1468" s="140" t="s">
        <v>17</v>
      </c>
    </row>
    <row r="1469" spans="1:9" hidden="1" x14ac:dyDescent="0.25">
      <c r="A1469">
        <v>2015</v>
      </c>
      <c r="B1469" s="140" t="s">
        <v>18</v>
      </c>
      <c r="C1469" s="140" t="s">
        <v>20</v>
      </c>
      <c r="D1469" s="140" t="s">
        <v>11</v>
      </c>
      <c r="E1469" s="140" t="s">
        <v>12</v>
      </c>
      <c r="F1469">
        <v>210192</v>
      </c>
      <c r="G1469" s="140" t="s">
        <v>203</v>
      </c>
      <c r="H1469">
        <v>0</v>
      </c>
      <c r="I1469" s="140" t="s">
        <v>17</v>
      </c>
    </row>
    <row r="1470" spans="1:9" hidden="1" x14ac:dyDescent="0.25">
      <c r="A1470">
        <v>2016</v>
      </c>
      <c r="B1470" s="140" t="s">
        <v>18</v>
      </c>
      <c r="C1470" s="140" t="s">
        <v>20</v>
      </c>
      <c r="D1470" s="140" t="s">
        <v>11</v>
      </c>
      <c r="E1470" s="140" t="s">
        <v>12</v>
      </c>
      <c r="F1470">
        <v>215598</v>
      </c>
      <c r="G1470" s="140" t="s">
        <v>203</v>
      </c>
      <c r="H1470">
        <v>0</v>
      </c>
      <c r="I1470" s="140" t="s">
        <v>17</v>
      </c>
    </row>
    <row r="1471" spans="1:9" hidden="1" x14ac:dyDescent="0.25">
      <c r="A1471">
        <v>2017</v>
      </c>
      <c r="B1471" s="140" t="s">
        <v>18</v>
      </c>
      <c r="C1471" s="140" t="s">
        <v>20</v>
      </c>
      <c r="D1471" s="140" t="s">
        <v>11</v>
      </c>
      <c r="E1471" s="140" t="s">
        <v>12</v>
      </c>
      <c r="F1471">
        <v>222720</v>
      </c>
      <c r="G1471" s="140" t="s">
        <v>203</v>
      </c>
      <c r="H1471">
        <v>0</v>
      </c>
      <c r="I1471" s="140" t="s">
        <v>17</v>
      </c>
    </row>
    <row r="1472" spans="1:9" hidden="1" x14ac:dyDescent="0.25">
      <c r="A1472">
        <v>2018</v>
      </c>
      <c r="B1472" s="140" t="s">
        <v>18</v>
      </c>
      <c r="C1472" s="140" t="s">
        <v>20</v>
      </c>
      <c r="D1472" s="140" t="s">
        <v>11</v>
      </c>
      <c r="E1472" s="140" t="s">
        <v>12</v>
      </c>
      <c r="F1472">
        <v>225377</v>
      </c>
      <c r="G1472" s="140" t="s">
        <v>203</v>
      </c>
      <c r="H1472">
        <v>0</v>
      </c>
      <c r="I1472" s="140" t="s">
        <v>17</v>
      </c>
    </row>
    <row r="1473" spans="1:9" hidden="1" x14ac:dyDescent="0.25">
      <c r="A1473">
        <v>2019</v>
      </c>
      <c r="B1473" s="140" t="s">
        <v>18</v>
      </c>
      <c r="C1473" s="140" t="s">
        <v>20</v>
      </c>
      <c r="D1473" s="140" t="s">
        <v>11</v>
      </c>
      <c r="E1473" s="140" t="s">
        <v>12</v>
      </c>
      <c r="F1473">
        <v>228419</v>
      </c>
      <c r="G1473" s="140" t="s">
        <v>203</v>
      </c>
      <c r="H1473">
        <v>0</v>
      </c>
      <c r="I1473" s="140" t="s">
        <v>17</v>
      </c>
    </row>
    <row r="1474" spans="1:9" hidden="1" x14ac:dyDescent="0.25">
      <c r="A1474">
        <v>2020</v>
      </c>
      <c r="B1474" s="140" t="s">
        <v>18</v>
      </c>
      <c r="C1474" s="140" t="s">
        <v>20</v>
      </c>
      <c r="D1474" s="140" t="s">
        <v>11</v>
      </c>
      <c r="E1474" s="140" t="s">
        <v>12</v>
      </c>
      <c r="F1474">
        <v>222729</v>
      </c>
      <c r="G1474" s="140" t="s">
        <v>203</v>
      </c>
      <c r="H1474">
        <v>0</v>
      </c>
      <c r="I1474" s="140" t="s">
        <v>17</v>
      </c>
    </row>
    <row r="1475" spans="1:9" hidden="1" x14ac:dyDescent="0.25">
      <c r="A1475">
        <v>2021</v>
      </c>
      <c r="B1475" s="140" t="s">
        <v>18</v>
      </c>
      <c r="C1475" s="140" t="s">
        <v>20</v>
      </c>
      <c r="D1475" s="140" t="s">
        <v>11</v>
      </c>
      <c r="E1475" s="140" t="s">
        <v>12</v>
      </c>
      <c r="F1475">
        <v>228690</v>
      </c>
      <c r="G1475" s="140" t="s">
        <v>203</v>
      </c>
      <c r="H1475">
        <v>0</v>
      </c>
      <c r="I1475" s="140" t="s">
        <v>17</v>
      </c>
    </row>
    <row r="1476" spans="1:9" hidden="1" x14ac:dyDescent="0.25">
      <c r="A1476">
        <v>2022</v>
      </c>
      <c r="B1476" s="140" t="s">
        <v>18</v>
      </c>
      <c r="C1476" s="140" t="s">
        <v>20</v>
      </c>
      <c r="D1476" s="140" t="s">
        <v>11</v>
      </c>
      <c r="E1476" s="140" t="s">
        <v>12</v>
      </c>
      <c r="F1476">
        <v>230007</v>
      </c>
      <c r="G1476" s="140" t="s">
        <v>203</v>
      </c>
      <c r="H1476">
        <v>0</v>
      </c>
      <c r="I1476" s="140" t="s">
        <v>17</v>
      </c>
    </row>
    <row r="1477" spans="1:9" hidden="1" x14ac:dyDescent="0.25">
      <c r="A1477">
        <v>2023</v>
      </c>
      <c r="B1477" s="140" t="s">
        <v>18</v>
      </c>
      <c r="C1477" s="140" t="s">
        <v>20</v>
      </c>
      <c r="D1477" s="140" t="s">
        <v>11</v>
      </c>
      <c r="E1477" s="140" t="s">
        <v>12</v>
      </c>
      <c r="F1477">
        <v>227205</v>
      </c>
      <c r="G1477" s="140" t="s">
        <v>203</v>
      </c>
      <c r="H1477">
        <v>0</v>
      </c>
      <c r="I1477" s="140" t="s">
        <v>17</v>
      </c>
    </row>
    <row r="1478" spans="1:9" hidden="1" x14ac:dyDescent="0.25">
      <c r="A1478">
        <v>2024</v>
      </c>
      <c r="B1478" s="140" t="s">
        <v>18</v>
      </c>
      <c r="C1478" s="140" t="s">
        <v>20</v>
      </c>
      <c r="D1478" s="140" t="s">
        <v>11</v>
      </c>
      <c r="E1478" s="140" t="s">
        <v>12</v>
      </c>
      <c r="F1478">
        <v>229463</v>
      </c>
      <c r="G1478" s="140" t="s">
        <v>203</v>
      </c>
      <c r="H1478">
        <v>0</v>
      </c>
      <c r="I1478" s="140" t="s">
        <v>17</v>
      </c>
    </row>
    <row r="1479" spans="1:9" hidden="1" x14ac:dyDescent="0.25">
      <c r="A1479">
        <v>2025</v>
      </c>
      <c r="B1479" s="140" t="s">
        <v>18</v>
      </c>
      <c r="C1479" s="140" t="s">
        <v>20</v>
      </c>
      <c r="D1479" s="140" t="s">
        <v>11</v>
      </c>
      <c r="E1479" s="140" t="s">
        <v>12</v>
      </c>
      <c r="F1479">
        <v>231397</v>
      </c>
      <c r="G1479" s="140" t="s">
        <v>203</v>
      </c>
      <c r="H1479">
        <v>0</v>
      </c>
      <c r="I1479" s="140" t="s">
        <v>17</v>
      </c>
    </row>
    <row r="1480" spans="1:9" hidden="1" x14ac:dyDescent="0.25">
      <c r="A1480">
        <v>2026</v>
      </c>
      <c r="B1480" s="140" t="s">
        <v>18</v>
      </c>
      <c r="C1480" s="140" t="s">
        <v>20</v>
      </c>
      <c r="D1480" s="140" t="s">
        <v>11</v>
      </c>
      <c r="E1480" s="140" t="s">
        <v>12</v>
      </c>
      <c r="F1480">
        <v>234953.50570000001</v>
      </c>
      <c r="G1480" s="140" t="s">
        <v>203</v>
      </c>
      <c r="H1480">
        <v>0</v>
      </c>
      <c r="I1480" s="140" t="s">
        <v>17</v>
      </c>
    </row>
    <row r="1481" spans="1:9" hidden="1" x14ac:dyDescent="0.25">
      <c r="A1481">
        <v>2027</v>
      </c>
      <c r="B1481" s="140" t="s">
        <v>18</v>
      </c>
      <c r="C1481" s="140" t="s">
        <v>20</v>
      </c>
      <c r="D1481" s="140" t="s">
        <v>11</v>
      </c>
      <c r="E1481" s="140" t="s">
        <v>12</v>
      </c>
      <c r="F1481">
        <v>239132.3168</v>
      </c>
      <c r="G1481" s="140" t="s">
        <v>203</v>
      </c>
      <c r="H1481">
        <v>0</v>
      </c>
      <c r="I1481" s="140" t="s">
        <v>17</v>
      </c>
    </row>
    <row r="1482" spans="1:9" hidden="1" x14ac:dyDescent="0.25">
      <c r="A1482">
        <v>2028</v>
      </c>
      <c r="B1482" s="140" t="s">
        <v>18</v>
      </c>
      <c r="C1482" s="140" t="s">
        <v>20</v>
      </c>
      <c r="D1482" s="140" t="s">
        <v>11</v>
      </c>
      <c r="E1482" s="140" t="s">
        <v>12</v>
      </c>
      <c r="F1482">
        <v>242827.89139999999</v>
      </c>
      <c r="G1482" s="140" t="s">
        <v>203</v>
      </c>
      <c r="H1482">
        <v>0</v>
      </c>
      <c r="I1482" s="140" t="s">
        <v>17</v>
      </c>
    </row>
    <row r="1483" spans="1:9" hidden="1" x14ac:dyDescent="0.25">
      <c r="A1483">
        <v>2029</v>
      </c>
      <c r="B1483" s="140" t="s">
        <v>18</v>
      </c>
      <c r="C1483" s="140" t="s">
        <v>20</v>
      </c>
      <c r="D1483" s="140" t="s">
        <v>11</v>
      </c>
      <c r="E1483" s="140" t="s">
        <v>12</v>
      </c>
      <c r="F1483">
        <v>246587.0759</v>
      </c>
      <c r="G1483" s="140" t="s">
        <v>203</v>
      </c>
      <c r="H1483">
        <v>0</v>
      </c>
      <c r="I1483" s="140" t="s">
        <v>17</v>
      </c>
    </row>
    <row r="1484" spans="1:9" hidden="1" x14ac:dyDescent="0.25">
      <c r="A1484">
        <v>2030</v>
      </c>
      <c r="B1484" s="140" t="s">
        <v>18</v>
      </c>
      <c r="C1484" s="140" t="s">
        <v>20</v>
      </c>
      <c r="D1484" s="140" t="s">
        <v>11</v>
      </c>
      <c r="E1484" s="140" t="s">
        <v>12</v>
      </c>
      <c r="F1484">
        <v>249909.51</v>
      </c>
      <c r="G1484" s="140" t="s">
        <v>203</v>
      </c>
      <c r="H1484">
        <v>0</v>
      </c>
      <c r="I1484" s="140" t="s">
        <v>17</v>
      </c>
    </row>
    <row r="1485" spans="1:9" hidden="1" x14ac:dyDescent="0.25">
      <c r="A1485">
        <v>1991</v>
      </c>
      <c r="B1485" s="140" t="s">
        <v>18</v>
      </c>
      <c r="C1485" s="140" t="s">
        <v>21</v>
      </c>
      <c r="D1485" s="140" t="s">
        <v>11</v>
      </c>
      <c r="E1485" s="140" t="s">
        <v>12</v>
      </c>
      <c r="F1485">
        <v>-5.8802198509999997</v>
      </c>
      <c r="G1485" s="140" t="s">
        <v>249</v>
      </c>
      <c r="H1485">
        <v>0</v>
      </c>
      <c r="I1485" s="140" t="s">
        <v>14</v>
      </c>
    </row>
    <row r="1486" spans="1:9" hidden="1" x14ac:dyDescent="0.25">
      <c r="A1486">
        <v>1992</v>
      </c>
      <c r="B1486" s="140" t="s">
        <v>18</v>
      </c>
      <c r="C1486" s="140" t="s">
        <v>21</v>
      </c>
      <c r="D1486" s="140" t="s">
        <v>11</v>
      </c>
      <c r="E1486" s="140" t="s">
        <v>12</v>
      </c>
      <c r="F1486">
        <v>-3.311903665</v>
      </c>
      <c r="G1486" s="140" t="s">
        <v>249</v>
      </c>
      <c r="H1486">
        <v>0</v>
      </c>
      <c r="I1486" s="140" t="s">
        <v>14</v>
      </c>
    </row>
    <row r="1487" spans="1:9" hidden="1" x14ac:dyDescent="0.25">
      <c r="A1487">
        <v>1993</v>
      </c>
      <c r="B1487" s="140" t="s">
        <v>18</v>
      </c>
      <c r="C1487" s="140" t="s">
        <v>21</v>
      </c>
      <c r="D1487" s="140" t="s">
        <v>11</v>
      </c>
      <c r="E1487" s="140" t="s">
        <v>12</v>
      </c>
      <c r="F1487">
        <v>-0.78054802400000001</v>
      </c>
      <c r="G1487" s="140" t="s">
        <v>249</v>
      </c>
      <c r="H1487">
        <v>0</v>
      </c>
      <c r="I1487" s="140" t="s">
        <v>14</v>
      </c>
    </row>
    <row r="1488" spans="1:9" hidden="1" x14ac:dyDescent="0.25">
      <c r="A1488">
        <v>1994</v>
      </c>
      <c r="B1488" s="140" t="s">
        <v>18</v>
      </c>
      <c r="C1488" s="140" t="s">
        <v>21</v>
      </c>
      <c r="D1488" s="140" t="s">
        <v>11</v>
      </c>
      <c r="E1488" s="140" t="s">
        <v>12</v>
      </c>
      <c r="F1488">
        <v>3.9633666170000001</v>
      </c>
      <c r="G1488" s="140" t="s">
        <v>249</v>
      </c>
      <c r="H1488">
        <v>0</v>
      </c>
      <c r="I1488" s="140" t="s">
        <v>14</v>
      </c>
    </row>
    <row r="1489" spans="1:9" hidden="1" x14ac:dyDescent="0.25">
      <c r="A1489">
        <v>1995</v>
      </c>
      <c r="B1489" s="140" t="s">
        <v>18</v>
      </c>
      <c r="C1489" s="140" t="s">
        <v>21</v>
      </c>
      <c r="D1489" s="140" t="s">
        <v>11</v>
      </c>
      <c r="E1489" s="140" t="s">
        <v>12</v>
      </c>
      <c r="F1489">
        <v>4.232659956</v>
      </c>
      <c r="G1489" s="140" t="s">
        <v>249</v>
      </c>
      <c r="H1489">
        <v>0</v>
      </c>
      <c r="I1489" s="140" t="s">
        <v>14</v>
      </c>
    </row>
    <row r="1490" spans="1:9" hidden="1" x14ac:dyDescent="0.25">
      <c r="A1490">
        <v>1996</v>
      </c>
      <c r="B1490" s="140" t="s">
        <v>18</v>
      </c>
      <c r="C1490" s="140" t="s">
        <v>21</v>
      </c>
      <c r="D1490" s="140" t="s">
        <v>11</v>
      </c>
      <c r="E1490" s="140" t="s">
        <v>12</v>
      </c>
      <c r="F1490">
        <v>3.6618244450000001</v>
      </c>
      <c r="G1490" s="140" t="s">
        <v>249</v>
      </c>
      <c r="H1490">
        <v>0</v>
      </c>
      <c r="I1490" s="140" t="s">
        <v>14</v>
      </c>
    </row>
    <row r="1491" spans="1:9" hidden="1" x14ac:dyDescent="0.25">
      <c r="A1491">
        <v>1997</v>
      </c>
      <c r="B1491" s="140" t="s">
        <v>18</v>
      </c>
      <c r="C1491" s="140" t="s">
        <v>21</v>
      </c>
      <c r="D1491" s="140" t="s">
        <v>11</v>
      </c>
      <c r="E1491" s="140" t="s">
        <v>12</v>
      </c>
      <c r="F1491">
        <v>6.3975660369999998</v>
      </c>
      <c r="G1491" s="140" t="s">
        <v>249</v>
      </c>
      <c r="H1491">
        <v>0</v>
      </c>
      <c r="I1491" s="140" t="s">
        <v>14</v>
      </c>
    </row>
    <row r="1492" spans="1:9" hidden="1" x14ac:dyDescent="0.25">
      <c r="A1492">
        <v>1998</v>
      </c>
      <c r="B1492" s="140" t="s">
        <v>18</v>
      </c>
      <c r="C1492" s="140" t="s">
        <v>21</v>
      </c>
      <c r="D1492" s="140" t="s">
        <v>11</v>
      </c>
      <c r="E1492" s="140" t="s">
        <v>12</v>
      </c>
      <c r="F1492">
        <v>5.4541621090000003</v>
      </c>
      <c r="G1492" s="140" t="s">
        <v>249</v>
      </c>
      <c r="H1492">
        <v>0</v>
      </c>
      <c r="I1492" s="140" t="s">
        <v>14</v>
      </c>
    </row>
    <row r="1493" spans="1:9" hidden="1" x14ac:dyDescent="0.25">
      <c r="A1493">
        <v>1999</v>
      </c>
      <c r="B1493" s="140" t="s">
        <v>18</v>
      </c>
      <c r="C1493" s="140" t="s">
        <v>21</v>
      </c>
      <c r="D1493" s="140" t="s">
        <v>11</v>
      </c>
      <c r="E1493" s="140" t="s">
        <v>12</v>
      </c>
      <c r="F1493">
        <v>4.3891985099999999</v>
      </c>
      <c r="G1493" s="140" t="s">
        <v>249</v>
      </c>
      <c r="H1493">
        <v>0</v>
      </c>
      <c r="I1493" s="140" t="s">
        <v>14</v>
      </c>
    </row>
    <row r="1494" spans="1:9" hidden="1" x14ac:dyDescent="0.25">
      <c r="A1494">
        <v>2000</v>
      </c>
      <c r="B1494" s="140" t="s">
        <v>18</v>
      </c>
      <c r="C1494" s="140" t="s">
        <v>21</v>
      </c>
      <c r="D1494" s="140" t="s">
        <v>11</v>
      </c>
      <c r="E1494" s="140" t="s">
        <v>12</v>
      </c>
      <c r="F1494">
        <v>5.7536345520000003</v>
      </c>
      <c r="G1494" s="140" t="s">
        <v>249</v>
      </c>
      <c r="H1494">
        <v>0</v>
      </c>
      <c r="I1494" s="140" t="s">
        <v>14</v>
      </c>
    </row>
    <row r="1495" spans="1:9" hidden="1" x14ac:dyDescent="0.25">
      <c r="A1495">
        <v>2001</v>
      </c>
      <c r="B1495" s="140" t="s">
        <v>18</v>
      </c>
      <c r="C1495" s="140" t="s">
        <v>21</v>
      </c>
      <c r="D1495" s="140" t="s">
        <v>11</v>
      </c>
      <c r="E1495" s="140" t="s">
        <v>12</v>
      </c>
      <c r="F1495">
        <v>2.64021733</v>
      </c>
      <c r="G1495" s="140" t="s">
        <v>249</v>
      </c>
      <c r="H1495">
        <v>0</v>
      </c>
      <c r="I1495" s="140" t="s">
        <v>14</v>
      </c>
    </row>
    <row r="1496" spans="1:9" hidden="1" x14ac:dyDescent="0.25">
      <c r="A1496">
        <v>2002</v>
      </c>
      <c r="B1496" s="140" t="s">
        <v>18</v>
      </c>
      <c r="C1496" s="140" t="s">
        <v>21</v>
      </c>
      <c r="D1496" s="140" t="s">
        <v>11</v>
      </c>
      <c r="E1496" s="140" t="s">
        <v>12</v>
      </c>
      <c r="F1496">
        <v>1.6872983930000001</v>
      </c>
      <c r="G1496" s="140" t="s">
        <v>249</v>
      </c>
      <c r="H1496">
        <v>0</v>
      </c>
      <c r="I1496" s="140" t="s">
        <v>14</v>
      </c>
    </row>
    <row r="1497" spans="1:9" hidden="1" x14ac:dyDescent="0.25">
      <c r="A1497">
        <v>2003</v>
      </c>
      <c r="B1497" s="140" t="s">
        <v>18</v>
      </c>
      <c r="C1497" s="140" t="s">
        <v>21</v>
      </c>
      <c r="D1497" s="140" t="s">
        <v>11</v>
      </c>
      <c r="E1497" s="140" t="s">
        <v>12</v>
      </c>
      <c r="F1497">
        <v>2.0117669390000001</v>
      </c>
      <c r="G1497" s="140" t="s">
        <v>249</v>
      </c>
      <c r="H1497">
        <v>0</v>
      </c>
      <c r="I1497" s="140" t="s">
        <v>14</v>
      </c>
    </row>
    <row r="1498" spans="1:9" hidden="1" x14ac:dyDescent="0.25">
      <c r="A1498">
        <v>2004</v>
      </c>
      <c r="B1498" s="140" t="s">
        <v>18</v>
      </c>
      <c r="C1498" s="140" t="s">
        <v>21</v>
      </c>
      <c r="D1498" s="140" t="s">
        <v>11</v>
      </c>
      <c r="E1498" s="140" t="s">
        <v>12</v>
      </c>
      <c r="F1498">
        <v>4.0053156149999998</v>
      </c>
      <c r="G1498" s="140" t="s">
        <v>249</v>
      </c>
      <c r="H1498">
        <v>0</v>
      </c>
      <c r="I1498" s="140" t="s">
        <v>14</v>
      </c>
    </row>
    <row r="1499" spans="1:9" hidden="1" x14ac:dyDescent="0.25">
      <c r="A1499">
        <v>2005</v>
      </c>
      <c r="B1499" s="140" t="s">
        <v>18</v>
      </c>
      <c r="C1499" s="140" t="s">
        <v>21</v>
      </c>
      <c r="D1499" s="140" t="s">
        <v>11</v>
      </c>
      <c r="E1499" s="140" t="s">
        <v>12</v>
      </c>
      <c r="F1499">
        <v>2.7777777779999999</v>
      </c>
      <c r="G1499" s="140" t="s">
        <v>249</v>
      </c>
      <c r="H1499">
        <v>0</v>
      </c>
      <c r="I1499" s="140" t="s">
        <v>14</v>
      </c>
    </row>
    <row r="1500" spans="1:9" hidden="1" x14ac:dyDescent="0.25">
      <c r="A1500">
        <v>2006</v>
      </c>
      <c r="B1500" s="140" t="s">
        <v>18</v>
      </c>
      <c r="C1500" s="140" t="s">
        <v>21</v>
      </c>
      <c r="D1500" s="140" t="s">
        <v>11</v>
      </c>
      <c r="E1500" s="140" t="s">
        <v>12</v>
      </c>
      <c r="F1500">
        <v>4.0194932740000002</v>
      </c>
      <c r="G1500" s="140" t="s">
        <v>249</v>
      </c>
      <c r="H1500">
        <v>0</v>
      </c>
      <c r="I1500" s="140" t="s">
        <v>14</v>
      </c>
    </row>
    <row r="1501" spans="1:9" hidden="1" x14ac:dyDescent="0.25">
      <c r="A1501">
        <v>2007</v>
      </c>
      <c r="B1501" s="140" t="s">
        <v>18</v>
      </c>
      <c r="C1501" s="140" t="s">
        <v>21</v>
      </c>
      <c r="D1501" s="140" t="s">
        <v>11</v>
      </c>
      <c r="E1501" s="140" t="s">
        <v>12</v>
      </c>
      <c r="F1501">
        <v>5.31317825</v>
      </c>
      <c r="G1501" s="140" t="s">
        <v>249</v>
      </c>
      <c r="H1501">
        <v>0</v>
      </c>
      <c r="I1501" s="140" t="s">
        <v>14</v>
      </c>
    </row>
    <row r="1502" spans="1:9" hidden="1" x14ac:dyDescent="0.25">
      <c r="A1502">
        <v>2008</v>
      </c>
      <c r="B1502" s="140" t="s">
        <v>18</v>
      </c>
      <c r="C1502" s="140" t="s">
        <v>21</v>
      </c>
      <c r="D1502" s="140" t="s">
        <v>11</v>
      </c>
      <c r="E1502" s="140" t="s">
        <v>12</v>
      </c>
      <c r="F1502">
        <v>0.78395947200000005</v>
      </c>
      <c r="G1502" s="140" t="s">
        <v>249</v>
      </c>
      <c r="H1502">
        <v>0</v>
      </c>
      <c r="I1502" s="140" t="s">
        <v>14</v>
      </c>
    </row>
    <row r="1503" spans="1:9" hidden="1" x14ac:dyDescent="0.25">
      <c r="A1503">
        <v>2009</v>
      </c>
      <c r="B1503" s="140" t="s">
        <v>18</v>
      </c>
      <c r="C1503" s="140" t="s">
        <v>21</v>
      </c>
      <c r="D1503" s="140" t="s">
        <v>11</v>
      </c>
      <c r="E1503" s="140" t="s">
        <v>12</v>
      </c>
      <c r="F1503">
        <v>-8.0758853970000004</v>
      </c>
      <c r="G1503" s="140" t="s">
        <v>249</v>
      </c>
      <c r="H1503">
        <v>0</v>
      </c>
      <c r="I1503" s="140" t="s">
        <v>14</v>
      </c>
    </row>
    <row r="1504" spans="1:9" hidden="1" x14ac:dyDescent="0.25">
      <c r="A1504">
        <v>2010</v>
      </c>
      <c r="B1504" s="140" t="s">
        <v>18</v>
      </c>
      <c r="C1504" s="140" t="s">
        <v>21</v>
      </c>
      <c r="D1504" s="140" t="s">
        <v>11</v>
      </c>
      <c r="E1504" s="140" t="s">
        <v>12</v>
      </c>
      <c r="F1504">
        <v>3.167735645</v>
      </c>
      <c r="G1504" s="140" t="s">
        <v>249</v>
      </c>
      <c r="H1504">
        <v>0</v>
      </c>
      <c r="I1504" s="140" t="s">
        <v>14</v>
      </c>
    </row>
    <row r="1505" spans="1:9" hidden="1" x14ac:dyDescent="0.25">
      <c r="A1505">
        <v>2011</v>
      </c>
      <c r="B1505" s="140" t="s">
        <v>18</v>
      </c>
      <c r="C1505" s="140" t="s">
        <v>21</v>
      </c>
      <c r="D1505" s="140" t="s">
        <v>11</v>
      </c>
      <c r="E1505" s="140" t="s">
        <v>12</v>
      </c>
      <c r="F1505">
        <v>2.3894107920000001</v>
      </c>
      <c r="G1505" s="140" t="s">
        <v>249</v>
      </c>
      <c r="H1505">
        <v>0</v>
      </c>
      <c r="I1505" s="140" t="s">
        <v>14</v>
      </c>
    </row>
    <row r="1506" spans="1:9" hidden="1" x14ac:dyDescent="0.25">
      <c r="A1506">
        <v>2012</v>
      </c>
      <c r="B1506" s="140" t="s">
        <v>18</v>
      </c>
      <c r="C1506" s="140" t="s">
        <v>21</v>
      </c>
      <c r="D1506" s="140" t="s">
        <v>11</v>
      </c>
      <c r="E1506" s="140" t="s">
        <v>12</v>
      </c>
      <c r="F1506">
        <v>-1.5232970749999999</v>
      </c>
      <c r="G1506" s="140" t="s">
        <v>249</v>
      </c>
      <c r="H1506">
        <v>0</v>
      </c>
      <c r="I1506" s="140" t="s">
        <v>14</v>
      </c>
    </row>
    <row r="1507" spans="1:9" hidden="1" x14ac:dyDescent="0.25">
      <c r="A1507">
        <v>2013</v>
      </c>
      <c r="B1507" s="140" t="s">
        <v>18</v>
      </c>
      <c r="C1507" s="140" t="s">
        <v>21</v>
      </c>
      <c r="D1507" s="140" t="s">
        <v>11</v>
      </c>
      <c r="E1507" s="140" t="s">
        <v>12</v>
      </c>
      <c r="F1507">
        <v>-0.97974102799999996</v>
      </c>
      <c r="G1507" s="140" t="s">
        <v>249</v>
      </c>
      <c r="H1507">
        <v>0</v>
      </c>
      <c r="I1507" s="140" t="s">
        <v>14</v>
      </c>
    </row>
    <row r="1508" spans="1:9" hidden="1" x14ac:dyDescent="0.25">
      <c r="A1508">
        <v>2014</v>
      </c>
      <c r="B1508" s="140" t="s">
        <v>18</v>
      </c>
      <c r="C1508" s="140" t="s">
        <v>21</v>
      </c>
      <c r="D1508" s="140" t="s">
        <v>11</v>
      </c>
      <c r="E1508" s="140" t="s">
        <v>12</v>
      </c>
      <c r="F1508">
        <v>-0.47806831900000002</v>
      </c>
      <c r="G1508" s="140" t="s">
        <v>249</v>
      </c>
      <c r="H1508">
        <v>0</v>
      </c>
      <c r="I1508" s="140" t="s">
        <v>14</v>
      </c>
    </row>
    <row r="1509" spans="1:9" hidden="1" x14ac:dyDescent="0.25">
      <c r="A1509">
        <v>2015</v>
      </c>
      <c r="B1509" s="140" t="s">
        <v>18</v>
      </c>
      <c r="C1509" s="140" t="s">
        <v>21</v>
      </c>
      <c r="D1509" s="140" t="s">
        <v>11</v>
      </c>
      <c r="E1509" s="140" t="s">
        <v>12</v>
      </c>
      <c r="F1509">
        <v>0.46650351800000001</v>
      </c>
      <c r="G1509" s="140" t="s">
        <v>249</v>
      </c>
      <c r="H1509">
        <v>0</v>
      </c>
      <c r="I1509" s="140" t="s">
        <v>14</v>
      </c>
    </row>
    <row r="1510" spans="1:9" hidden="1" x14ac:dyDescent="0.25">
      <c r="A1510">
        <v>2016</v>
      </c>
      <c r="B1510" s="140" t="s">
        <v>18</v>
      </c>
      <c r="C1510" s="140" t="s">
        <v>21</v>
      </c>
      <c r="D1510" s="140" t="s">
        <v>11</v>
      </c>
      <c r="E1510" s="140" t="s">
        <v>12</v>
      </c>
      <c r="F1510">
        <v>2.5719342319999998</v>
      </c>
      <c r="G1510" s="140" t="s">
        <v>249</v>
      </c>
      <c r="H1510">
        <v>0</v>
      </c>
      <c r="I1510" s="140" t="s">
        <v>14</v>
      </c>
    </row>
    <row r="1511" spans="1:9" hidden="1" x14ac:dyDescent="0.25">
      <c r="A1511">
        <v>2017</v>
      </c>
      <c r="B1511" s="140" t="s">
        <v>18</v>
      </c>
      <c r="C1511" s="140" t="s">
        <v>21</v>
      </c>
      <c r="D1511" s="140" t="s">
        <v>11</v>
      </c>
      <c r="E1511" s="140" t="s">
        <v>12</v>
      </c>
      <c r="F1511">
        <v>3.3033701610000001</v>
      </c>
      <c r="G1511" s="140" t="s">
        <v>249</v>
      </c>
      <c r="H1511">
        <v>0</v>
      </c>
      <c r="I1511" s="140" t="s">
        <v>14</v>
      </c>
    </row>
    <row r="1512" spans="1:9" hidden="1" x14ac:dyDescent="0.25">
      <c r="A1512">
        <v>2018</v>
      </c>
      <c r="B1512" s="140" t="s">
        <v>18</v>
      </c>
      <c r="C1512" s="140" t="s">
        <v>21</v>
      </c>
      <c r="D1512" s="140" t="s">
        <v>11</v>
      </c>
      <c r="E1512" s="140" t="s">
        <v>12</v>
      </c>
      <c r="F1512">
        <v>1.19297773</v>
      </c>
      <c r="G1512" s="140" t="s">
        <v>249</v>
      </c>
      <c r="H1512">
        <v>0</v>
      </c>
      <c r="I1512" s="140" t="s">
        <v>14</v>
      </c>
    </row>
    <row r="1513" spans="1:9" hidden="1" x14ac:dyDescent="0.25">
      <c r="A1513">
        <v>2019</v>
      </c>
      <c r="B1513" s="140" t="s">
        <v>18</v>
      </c>
      <c r="C1513" s="140" t="s">
        <v>21</v>
      </c>
      <c r="D1513" s="140" t="s">
        <v>11</v>
      </c>
      <c r="E1513" s="140" t="s">
        <v>12</v>
      </c>
      <c r="F1513">
        <v>1.3497384379999999</v>
      </c>
      <c r="G1513" s="140" t="s">
        <v>249</v>
      </c>
      <c r="H1513">
        <v>0</v>
      </c>
      <c r="I1513" s="140" t="s">
        <v>14</v>
      </c>
    </row>
    <row r="1514" spans="1:9" hidden="1" x14ac:dyDescent="0.25">
      <c r="A1514">
        <v>2020</v>
      </c>
      <c r="B1514" s="140" t="s">
        <v>18</v>
      </c>
      <c r="C1514" s="140" t="s">
        <v>21</v>
      </c>
      <c r="D1514" s="140" t="s">
        <v>11</v>
      </c>
      <c r="E1514" s="140" t="s">
        <v>12</v>
      </c>
      <c r="F1514">
        <v>-2.4910362099999999</v>
      </c>
      <c r="G1514" s="140" t="s">
        <v>249</v>
      </c>
      <c r="H1514">
        <v>0</v>
      </c>
      <c r="I1514" s="140" t="s">
        <v>14</v>
      </c>
    </row>
    <row r="1515" spans="1:9" hidden="1" x14ac:dyDescent="0.25">
      <c r="A1515">
        <v>2021</v>
      </c>
      <c r="B1515" s="140" t="s">
        <v>18</v>
      </c>
      <c r="C1515" s="140" t="s">
        <v>21</v>
      </c>
      <c r="D1515" s="140" t="s">
        <v>11</v>
      </c>
      <c r="E1515" s="140" t="s">
        <v>12</v>
      </c>
      <c r="F1515">
        <v>2.6763465919999998</v>
      </c>
      <c r="G1515" s="140" t="s">
        <v>249</v>
      </c>
      <c r="H1515">
        <v>0</v>
      </c>
      <c r="I1515" s="140" t="s">
        <v>14</v>
      </c>
    </row>
    <row r="1516" spans="1:9" hidden="1" x14ac:dyDescent="0.25">
      <c r="A1516">
        <v>2022</v>
      </c>
      <c r="B1516" s="140" t="s">
        <v>18</v>
      </c>
      <c r="C1516" s="140" t="s">
        <v>21</v>
      </c>
      <c r="D1516" s="140" t="s">
        <v>11</v>
      </c>
      <c r="E1516" s="140" t="s">
        <v>12</v>
      </c>
      <c r="F1516">
        <v>0.57588875799999995</v>
      </c>
      <c r="G1516" s="140" t="s">
        <v>249</v>
      </c>
      <c r="H1516">
        <v>0</v>
      </c>
      <c r="I1516" s="140" t="s">
        <v>14</v>
      </c>
    </row>
    <row r="1517" spans="1:9" hidden="1" x14ac:dyDescent="0.25">
      <c r="A1517">
        <v>2023</v>
      </c>
      <c r="B1517" s="140" t="s">
        <v>18</v>
      </c>
      <c r="C1517" s="140" t="s">
        <v>21</v>
      </c>
      <c r="D1517" s="140" t="s">
        <v>11</v>
      </c>
      <c r="E1517" s="140" t="s">
        <v>12</v>
      </c>
      <c r="F1517">
        <v>-1.2182237929999999</v>
      </c>
      <c r="G1517" s="140" t="s">
        <v>249</v>
      </c>
      <c r="H1517">
        <v>0</v>
      </c>
      <c r="I1517" s="140" t="s">
        <v>14</v>
      </c>
    </row>
    <row r="1518" spans="1:9" hidden="1" x14ac:dyDescent="0.25">
      <c r="A1518">
        <v>2024</v>
      </c>
      <c r="B1518" s="140" t="s">
        <v>18</v>
      </c>
      <c r="C1518" s="140" t="s">
        <v>21</v>
      </c>
      <c r="D1518" s="140" t="s">
        <v>11</v>
      </c>
      <c r="E1518" s="140" t="s">
        <v>12</v>
      </c>
      <c r="F1518">
        <v>0.99381615700000003</v>
      </c>
      <c r="G1518" s="140" t="s">
        <v>249</v>
      </c>
      <c r="H1518">
        <v>0</v>
      </c>
      <c r="I1518" s="140" t="s">
        <v>14</v>
      </c>
    </row>
    <row r="1519" spans="1:9" hidden="1" x14ac:dyDescent="0.25">
      <c r="A1519">
        <v>2025</v>
      </c>
      <c r="B1519" s="140" t="s">
        <v>18</v>
      </c>
      <c r="C1519" s="140" t="s">
        <v>21</v>
      </c>
      <c r="D1519" s="140" t="s">
        <v>11</v>
      </c>
      <c r="E1519" s="140" t="s">
        <v>12</v>
      </c>
      <c r="F1519">
        <v>0.84283740699999998</v>
      </c>
      <c r="G1519" s="140" t="s">
        <v>249</v>
      </c>
      <c r="H1519">
        <v>0</v>
      </c>
      <c r="I1519" s="140" t="s">
        <v>14</v>
      </c>
    </row>
    <row r="1520" spans="1:9" hidden="1" x14ac:dyDescent="0.25">
      <c r="A1520">
        <v>2026</v>
      </c>
      <c r="B1520" s="140" t="s">
        <v>18</v>
      </c>
      <c r="C1520" s="140" t="s">
        <v>21</v>
      </c>
      <c r="D1520" s="140" t="s">
        <v>11</v>
      </c>
      <c r="E1520" s="140" t="s">
        <v>12</v>
      </c>
      <c r="F1520">
        <v>1.536971383</v>
      </c>
      <c r="G1520" s="140" t="s">
        <v>249</v>
      </c>
      <c r="H1520">
        <v>0</v>
      </c>
      <c r="I1520" s="140" t="s">
        <v>14</v>
      </c>
    </row>
    <row r="1521" spans="1:9" hidden="1" x14ac:dyDescent="0.25">
      <c r="A1521">
        <v>2027</v>
      </c>
      <c r="B1521" s="140" t="s">
        <v>18</v>
      </c>
      <c r="C1521" s="140" t="s">
        <v>21</v>
      </c>
      <c r="D1521" s="140" t="s">
        <v>11</v>
      </c>
      <c r="E1521" s="140" t="s">
        <v>12</v>
      </c>
      <c r="F1521">
        <v>1.77856937</v>
      </c>
      <c r="G1521" s="140" t="s">
        <v>249</v>
      </c>
      <c r="H1521">
        <v>0</v>
      </c>
      <c r="I1521" s="140" t="s">
        <v>14</v>
      </c>
    </row>
    <row r="1522" spans="1:9" hidden="1" x14ac:dyDescent="0.25">
      <c r="A1522">
        <v>2028</v>
      </c>
      <c r="B1522" s="140" t="s">
        <v>18</v>
      </c>
      <c r="C1522" s="140" t="s">
        <v>21</v>
      </c>
      <c r="D1522" s="140" t="s">
        <v>11</v>
      </c>
      <c r="E1522" s="140" t="s">
        <v>12</v>
      </c>
      <c r="F1522">
        <v>1.545409944</v>
      </c>
      <c r="G1522" s="140" t="s">
        <v>249</v>
      </c>
      <c r="H1522">
        <v>0</v>
      </c>
      <c r="I1522" s="140" t="s">
        <v>14</v>
      </c>
    </row>
    <row r="1523" spans="1:9" hidden="1" x14ac:dyDescent="0.25">
      <c r="A1523">
        <v>2029</v>
      </c>
      <c r="B1523" s="140" t="s">
        <v>18</v>
      </c>
      <c r="C1523" s="140" t="s">
        <v>21</v>
      </c>
      <c r="D1523" s="140" t="s">
        <v>11</v>
      </c>
      <c r="E1523" s="140" t="s">
        <v>12</v>
      </c>
      <c r="F1523">
        <v>1.5480859659999999</v>
      </c>
      <c r="G1523" s="140" t="s">
        <v>249</v>
      </c>
      <c r="H1523">
        <v>0</v>
      </c>
      <c r="I1523" s="140" t="s">
        <v>14</v>
      </c>
    </row>
    <row r="1524" spans="1:9" hidden="1" x14ac:dyDescent="0.25">
      <c r="A1524">
        <v>2030</v>
      </c>
      <c r="B1524" s="140" t="s">
        <v>18</v>
      </c>
      <c r="C1524" s="140" t="s">
        <v>21</v>
      </c>
      <c r="D1524" s="140" t="s">
        <v>11</v>
      </c>
      <c r="E1524" s="140" t="s">
        <v>12</v>
      </c>
      <c r="F1524">
        <v>1.3473674920000001</v>
      </c>
      <c r="G1524" s="140" t="s">
        <v>249</v>
      </c>
      <c r="H1524">
        <v>0</v>
      </c>
      <c r="I1524" s="140" t="s">
        <v>14</v>
      </c>
    </row>
    <row r="1525" spans="1:9" hidden="1" x14ac:dyDescent="0.25">
      <c r="A1525">
        <v>1990</v>
      </c>
      <c r="B1525" s="140" t="s">
        <v>232</v>
      </c>
      <c r="C1525" s="140" t="s">
        <v>20</v>
      </c>
      <c r="D1525" s="140" t="s">
        <v>11</v>
      </c>
      <c r="E1525" s="140" t="s">
        <v>12</v>
      </c>
      <c r="F1525">
        <v>19670</v>
      </c>
      <c r="G1525" s="140" t="s">
        <v>233</v>
      </c>
      <c r="H1525">
        <v>0</v>
      </c>
      <c r="I1525" s="140" t="s">
        <v>17</v>
      </c>
    </row>
    <row r="1526" spans="1:9" hidden="1" x14ac:dyDescent="0.25">
      <c r="A1526">
        <v>1991</v>
      </c>
      <c r="B1526" s="140" t="s">
        <v>232</v>
      </c>
      <c r="C1526" s="140" t="s">
        <v>20</v>
      </c>
      <c r="D1526" s="140" t="s">
        <v>11</v>
      </c>
      <c r="E1526" s="140" t="s">
        <v>12</v>
      </c>
      <c r="F1526">
        <v>18599</v>
      </c>
      <c r="G1526" s="140" t="s">
        <v>233</v>
      </c>
      <c r="H1526">
        <v>0</v>
      </c>
      <c r="I1526" s="140" t="s">
        <v>17</v>
      </c>
    </row>
    <row r="1527" spans="1:9" hidden="1" x14ac:dyDescent="0.25">
      <c r="A1527">
        <v>1992</v>
      </c>
      <c r="B1527" s="140" t="s">
        <v>232</v>
      </c>
      <c r="C1527" s="140" t="s">
        <v>20</v>
      </c>
      <c r="D1527" s="140" t="s">
        <v>11</v>
      </c>
      <c r="E1527" s="140" t="s">
        <v>12</v>
      </c>
      <c r="F1527">
        <v>17634</v>
      </c>
      <c r="G1527" s="140" t="s">
        <v>233</v>
      </c>
      <c r="H1527">
        <v>0</v>
      </c>
      <c r="I1527" s="140" t="s">
        <v>17</v>
      </c>
    </row>
    <row r="1528" spans="1:9" hidden="1" x14ac:dyDescent="0.25">
      <c r="A1528">
        <v>1993</v>
      </c>
      <c r="B1528" s="140" t="s">
        <v>232</v>
      </c>
      <c r="C1528" s="140" t="s">
        <v>20</v>
      </c>
      <c r="D1528" s="140" t="s">
        <v>11</v>
      </c>
      <c r="E1528" s="140" t="s">
        <v>12</v>
      </c>
      <c r="F1528">
        <v>17002</v>
      </c>
      <c r="G1528" s="140" t="s">
        <v>233</v>
      </c>
      <c r="H1528">
        <v>0</v>
      </c>
      <c r="I1528" s="140" t="s">
        <v>17</v>
      </c>
    </row>
    <row r="1529" spans="1:9" hidden="1" x14ac:dyDescent="0.25">
      <c r="A1529">
        <v>1994</v>
      </c>
      <c r="B1529" s="140" t="s">
        <v>232</v>
      </c>
      <c r="C1529" s="140" t="s">
        <v>20</v>
      </c>
      <c r="D1529" s="140" t="s">
        <v>11</v>
      </c>
      <c r="E1529" s="140" t="s">
        <v>12</v>
      </c>
      <c r="F1529">
        <v>16947</v>
      </c>
      <c r="G1529" s="140" t="s">
        <v>233</v>
      </c>
      <c r="H1529">
        <v>0</v>
      </c>
      <c r="I1529" s="140" t="s">
        <v>17</v>
      </c>
    </row>
    <row r="1530" spans="1:9" hidden="1" x14ac:dyDescent="0.25">
      <c r="A1530">
        <v>1995</v>
      </c>
      <c r="B1530" s="140" t="s">
        <v>232</v>
      </c>
      <c r="C1530" s="140" t="s">
        <v>20</v>
      </c>
      <c r="D1530" s="140" t="s">
        <v>11</v>
      </c>
      <c r="E1530" s="140" t="s">
        <v>12</v>
      </c>
      <c r="F1530">
        <v>17521</v>
      </c>
      <c r="G1530" s="140" t="s">
        <v>233</v>
      </c>
      <c r="H1530">
        <v>0</v>
      </c>
      <c r="I1530" s="140" t="s">
        <v>17</v>
      </c>
    </row>
    <row r="1531" spans="1:9" hidden="1" x14ac:dyDescent="0.25">
      <c r="A1531">
        <v>1996</v>
      </c>
      <c r="B1531" s="140" t="s">
        <v>232</v>
      </c>
      <c r="C1531" s="140" t="s">
        <v>20</v>
      </c>
      <c r="D1531" s="140" t="s">
        <v>11</v>
      </c>
      <c r="E1531" s="140" t="s">
        <v>12</v>
      </c>
      <c r="F1531">
        <v>18064</v>
      </c>
      <c r="G1531" s="140" t="s">
        <v>233</v>
      </c>
      <c r="H1531">
        <v>0</v>
      </c>
      <c r="I1531" s="140" t="s">
        <v>17</v>
      </c>
    </row>
    <row r="1532" spans="1:9" hidden="1" x14ac:dyDescent="0.25">
      <c r="A1532">
        <v>1997</v>
      </c>
      <c r="B1532" s="140" t="s">
        <v>232</v>
      </c>
      <c r="C1532" s="140" t="s">
        <v>20</v>
      </c>
      <c r="D1532" s="140" t="s">
        <v>11</v>
      </c>
      <c r="E1532" s="140" t="s">
        <v>12</v>
      </c>
      <c r="F1532">
        <v>19200</v>
      </c>
      <c r="G1532" s="140" t="s">
        <v>233</v>
      </c>
      <c r="H1532">
        <v>0</v>
      </c>
      <c r="I1532" s="140" t="s">
        <v>17</v>
      </c>
    </row>
    <row r="1533" spans="1:9" hidden="1" x14ac:dyDescent="0.25">
      <c r="A1533">
        <v>1998</v>
      </c>
      <c r="B1533" s="140" t="s">
        <v>232</v>
      </c>
      <c r="C1533" s="140" t="s">
        <v>20</v>
      </c>
      <c r="D1533" s="140" t="s">
        <v>11</v>
      </c>
      <c r="E1533" s="140" t="s">
        <v>12</v>
      </c>
      <c r="F1533">
        <v>20192</v>
      </c>
      <c r="G1533" s="140" t="s">
        <v>233</v>
      </c>
      <c r="H1533">
        <v>0</v>
      </c>
      <c r="I1533" s="140" t="s">
        <v>17</v>
      </c>
    </row>
    <row r="1534" spans="1:9" hidden="1" x14ac:dyDescent="0.25">
      <c r="A1534">
        <v>1999</v>
      </c>
      <c r="B1534" s="140" t="s">
        <v>232</v>
      </c>
      <c r="C1534" s="140" t="s">
        <v>20</v>
      </c>
      <c r="D1534" s="140" t="s">
        <v>11</v>
      </c>
      <c r="E1534" s="140" t="s">
        <v>12</v>
      </c>
      <c r="F1534">
        <v>20615</v>
      </c>
      <c r="G1534" s="140" t="s">
        <v>233</v>
      </c>
      <c r="H1534">
        <v>0</v>
      </c>
      <c r="I1534" s="140" t="s">
        <v>17</v>
      </c>
    </row>
    <row r="1535" spans="1:9" hidden="1" x14ac:dyDescent="0.25">
      <c r="A1535">
        <v>2000</v>
      </c>
      <c r="B1535" s="140" t="s">
        <v>232</v>
      </c>
      <c r="C1535" s="140" t="s">
        <v>20</v>
      </c>
      <c r="D1535" s="140" t="s">
        <v>11</v>
      </c>
      <c r="E1535" s="140" t="s">
        <v>12</v>
      </c>
      <c r="F1535">
        <v>20886</v>
      </c>
      <c r="G1535" s="140" t="s">
        <v>233</v>
      </c>
      <c r="H1535">
        <v>0</v>
      </c>
      <c r="I1535" s="140" t="s">
        <v>17</v>
      </c>
    </row>
    <row r="1536" spans="1:9" hidden="1" x14ac:dyDescent="0.25">
      <c r="A1536">
        <v>2001</v>
      </c>
      <c r="B1536" s="140" t="s">
        <v>232</v>
      </c>
      <c r="C1536" s="140" t="s">
        <v>20</v>
      </c>
      <c r="D1536" s="140" t="s">
        <v>11</v>
      </c>
      <c r="E1536" s="140" t="s">
        <v>12</v>
      </c>
      <c r="F1536">
        <v>21213</v>
      </c>
      <c r="G1536" s="140" t="s">
        <v>233</v>
      </c>
      <c r="H1536">
        <v>0</v>
      </c>
      <c r="I1536" s="140" t="s">
        <v>17</v>
      </c>
    </row>
    <row r="1537" spans="1:9" hidden="1" x14ac:dyDescent="0.25">
      <c r="A1537">
        <v>2002</v>
      </c>
      <c r="B1537" s="140" t="s">
        <v>232</v>
      </c>
      <c r="C1537" s="140" t="s">
        <v>20</v>
      </c>
      <c r="D1537" s="140" t="s">
        <v>11</v>
      </c>
      <c r="E1537" s="140" t="s">
        <v>12</v>
      </c>
      <c r="F1537">
        <v>22132</v>
      </c>
      <c r="G1537" s="140" t="s">
        <v>233</v>
      </c>
      <c r="H1537">
        <v>0</v>
      </c>
      <c r="I1537" s="140" t="s">
        <v>17</v>
      </c>
    </row>
    <row r="1538" spans="1:9" hidden="1" x14ac:dyDescent="0.25">
      <c r="A1538">
        <v>2003</v>
      </c>
      <c r="B1538" s="140" t="s">
        <v>232</v>
      </c>
      <c r="C1538" s="140" t="s">
        <v>20</v>
      </c>
      <c r="D1538" s="140" t="s">
        <v>11</v>
      </c>
      <c r="E1538" s="140" t="s">
        <v>12</v>
      </c>
      <c r="F1538">
        <v>23763</v>
      </c>
      <c r="G1538" s="140" t="s">
        <v>233</v>
      </c>
      <c r="H1538">
        <v>0</v>
      </c>
      <c r="I1538" s="140" t="s">
        <v>17</v>
      </c>
    </row>
    <row r="1539" spans="1:9" hidden="1" x14ac:dyDescent="0.25">
      <c r="A1539">
        <v>2004</v>
      </c>
      <c r="B1539" s="140" t="s">
        <v>232</v>
      </c>
      <c r="C1539" s="140" t="s">
        <v>20</v>
      </c>
      <c r="D1539" s="140" t="s">
        <v>11</v>
      </c>
      <c r="E1539" s="140" t="s">
        <v>12</v>
      </c>
      <c r="F1539">
        <v>24795</v>
      </c>
      <c r="G1539" s="140" t="s">
        <v>233</v>
      </c>
      <c r="H1539">
        <v>0</v>
      </c>
      <c r="I1539" s="140" t="s">
        <v>17</v>
      </c>
    </row>
    <row r="1540" spans="1:9" hidden="1" x14ac:dyDescent="0.25">
      <c r="A1540">
        <v>2005</v>
      </c>
      <c r="B1540" s="140" t="s">
        <v>232</v>
      </c>
      <c r="C1540" s="140" t="s">
        <v>20</v>
      </c>
      <c r="D1540" s="140" t="s">
        <v>11</v>
      </c>
      <c r="E1540" s="140" t="s">
        <v>12</v>
      </c>
      <c r="F1540">
        <v>25824</v>
      </c>
      <c r="G1540" s="140" t="s">
        <v>233</v>
      </c>
      <c r="H1540">
        <v>0</v>
      </c>
      <c r="I1540" s="140" t="s">
        <v>17</v>
      </c>
    </row>
    <row r="1541" spans="1:9" hidden="1" x14ac:dyDescent="0.25">
      <c r="A1541">
        <v>2006</v>
      </c>
      <c r="B1541" s="140" t="s">
        <v>232</v>
      </c>
      <c r="C1541" s="140" t="s">
        <v>20</v>
      </c>
      <c r="D1541" s="140" t="s">
        <v>11</v>
      </c>
      <c r="E1541" s="140" t="s">
        <v>12</v>
      </c>
      <c r="F1541">
        <v>27169</v>
      </c>
      <c r="G1541" s="140" t="s">
        <v>233</v>
      </c>
      <c r="H1541">
        <v>0</v>
      </c>
      <c r="I1541" s="140" t="s">
        <v>17</v>
      </c>
    </row>
    <row r="1542" spans="1:9" hidden="1" x14ac:dyDescent="0.25">
      <c r="A1542">
        <v>2007</v>
      </c>
      <c r="B1542" s="140" t="s">
        <v>232</v>
      </c>
      <c r="C1542" s="140" t="s">
        <v>20</v>
      </c>
      <c r="D1542" s="140" t="s">
        <v>11</v>
      </c>
      <c r="E1542" s="140" t="s">
        <v>12</v>
      </c>
      <c r="F1542">
        <v>27292</v>
      </c>
      <c r="G1542" s="140" t="s">
        <v>233</v>
      </c>
      <c r="H1542">
        <v>0</v>
      </c>
      <c r="I1542" s="140" t="s">
        <v>17</v>
      </c>
    </row>
    <row r="1543" spans="1:9" hidden="1" x14ac:dyDescent="0.25">
      <c r="A1543">
        <v>2008</v>
      </c>
      <c r="B1543" s="140" t="s">
        <v>232</v>
      </c>
      <c r="C1543" s="140" t="s">
        <v>20</v>
      </c>
      <c r="D1543" s="140" t="s">
        <v>11</v>
      </c>
      <c r="E1543" s="140" t="s">
        <v>12</v>
      </c>
      <c r="F1543">
        <v>27250</v>
      </c>
      <c r="G1543" s="140" t="s">
        <v>233</v>
      </c>
      <c r="H1543">
        <v>0</v>
      </c>
      <c r="I1543" s="140" t="s">
        <v>17</v>
      </c>
    </row>
    <row r="1544" spans="1:9" hidden="1" x14ac:dyDescent="0.25">
      <c r="A1544">
        <v>2009</v>
      </c>
      <c r="B1544" s="140" t="s">
        <v>232</v>
      </c>
      <c r="C1544" s="140" t="s">
        <v>20</v>
      </c>
      <c r="D1544" s="140" t="s">
        <v>11</v>
      </c>
      <c r="E1544" s="140" t="s">
        <v>12</v>
      </c>
      <c r="F1544">
        <v>26171</v>
      </c>
      <c r="G1544" s="140" t="s">
        <v>233</v>
      </c>
      <c r="H1544">
        <v>0</v>
      </c>
      <c r="I1544" s="140" t="s">
        <v>17</v>
      </c>
    </row>
    <row r="1545" spans="1:9" hidden="1" x14ac:dyDescent="0.25">
      <c r="A1545">
        <v>2010</v>
      </c>
      <c r="B1545" s="140" t="s">
        <v>232</v>
      </c>
      <c r="C1545" s="140" t="s">
        <v>20</v>
      </c>
      <c r="D1545" s="140" t="s">
        <v>11</v>
      </c>
      <c r="E1545" s="140" t="s">
        <v>12</v>
      </c>
      <c r="F1545">
        <v>26923</v>
      </c>
      <c r="G1545" s="140" t="s">
        <v>233</v>
      </c>
      <c r="H1545">
        <v>0</v>
      </c>
      <c r="I1545" s="140" t="s">
        <v>17</v>
      </c>
    </row>
    <row r="1546" spans="1:9" hidden="1" x14ac:dyDescent="0.25">
      <c r="A1546">
        <v>2011</v>
      </c>
      <c r="B1546" s="140" t="s">
        <v>232</v>
      </c>
      <c r="C1546" s="140" t="s">
        <v>20</v>
      </c>
      <c r="D1546" s="140" t="s">
        <v>11</v>
      </c>
      <c r="E1546" s="140" t="s">
        <v>12</v>
      </c>
      <c r="F1546">
        <v>28766</v>
      </c>
      <c r="G1546" s="140" t="s">
        <v>233</v>
      </c>
      <c r="H1546">
        <v>0</v>
      </c>
      <c r="I1546" s="140" t="s">
        <v>17</v>
      </c>
    </row>
    <row r="1547" spans="1:9" hidden="1" x14ac:dyDescent="0.25">
      <c r="A1547">
        <v>2012</v>
      </c>
      <c r="B1547" s="140" t="s">
        <v>232</v>
      </c>
      <c r="C1547" s="140" t="s">
        <v>20</v>
      </c>
      <c r="D1547" s="140" t="s">
        <v>11</v>
      </c>
      <c r="E1547" s="140" t="s">
        <v>12</v>
      </c>
      <c r="F1547">
        <v>29315</v>
      </c>
      <c r="G1547" s="140" t="s">
        <v>233</v>
      </c>
      <c r="H1547">
        <v>0</v>
      </c>
      <c r="I1547" s="140" t="s">
        <v>17</v>
      </c>
    </row>
    <row r="1548" spans="1:9" hidden="1" x14ac:dyDescent="0.25">
      <c r="A1548">
        <v>2013</v>
      </c>
      <c r="B1548" s="140" t="s">
        <v>232</v>
      </c>
      <c r="C1548" s="140" t="s">
        <v>20</v>
      </c>
      <c r="D1548" s="140" t="s">
        <v>11</v>
      </c>
      <c r="E1548" s="140" t="s">
        <v>12</v>
      </c>
      <c r="F1548">
        <v>29359</v>
      </c>
      <c r="G1548" s="140" t="s">
        <v>233</v>
      </c>
      <c r="H1548">
        <v>0</v>
      </c>
      <c r="I1548" s="140" t="s">
        <v>17</v>
      </c>
    </row>
    <row r="1549" spans="1:9" hidden="1" x14ac:dyDescent="0.25">
      <c r="A1549">
        <v>2014</v>
      </c>
      <c r="B1549" s="140" t="s">
        <v>232</v>
      </c>
      <c r="C1549" s="140" t="s">
        <v>20</v>
      </c>
      <c r="D1549" s="140" t="s">
        <v>11</v>
      </c>
      <c r="E1549" s="140" t="s">
        <v>12</v>
      </c>
      <c r="F1549">
        <v>29169</v>
      </c>
      <c r="G1549" s="140" t="s">
        <v>233</v>
      </c>
      <c r="H1549">
        <v>0</v>
      </c>
      <c r="I1549" s="140" t="s">
        <v>17</v>
      </c>
    </row>
    <row r="1550" spans="1:9" hidden="1" x14ac:dyDescent="0.25">
      <c r="A1550">
        <v>2015</v>
      </c>
      <c r="B1550" s="140" t="s">
        <v>232</v>
      </c>
      <c r="C1550" s="140" t="s">
        <v>20</v>
      </c>
      <c r="D1550" s="140" t="s">
        <v>11</v>
      </c>
      <c r="E1550" s="140" t="s">
        <v>12</v>
      </c>
      <c r="F1550">
        <v>29625</v>
      </c>
      <c r="G1550" s="140" t="s">
        <v>233</v>
      </c>
      <c r="H1550">
        <v>0</v>
      </c>
      <c r="I1550" s="140" t="s">
        <v>17</v>
      </c>
    </row>
    <row r="1551" spans="1:9" hidden="1" x14ac:dyDescent="0.25">
      <c r="A1551">
        <v>2016</v>
      </c>
      <c r="B1551" s="140" t="s">
        <v>232</v>
      </c>
      <c r="C1551" s="140" t="s">
        <v>20</v>
      </c>
      <c r="D1551" s="140" t="s">
        <v>11</v>
      </c>
      <c r="E1551" s="140" t="s">
        <v>12</v>
      </c>
      <c r="F1551">
        <v>30808</v>
      </c>
      <c r="G1551" s="140" t="s">
        <v>233</v>
      </c>
      <c r="H1551">
        <v>0</v>
      </c>
      <c r="I1551" s="140" t="s">
        <v>17</v>
      </c>
    </row>
    <row r="1552" spans="1:9" hidden="1" x14ac:dyDescent="0.25">
      <c r="A1552">
        <v>2017</v>
      </c>
      <c r="B1552" s="140" t="s">
        <v>232</v>
      </c>
      <c r="C1552" s="140" t="s">
        <v>20</v>
      </c>
      <c r="D1552" s="140" t="s">
        <v>11</v>
      </c>
      <c r="E1552" s="140" t="s">
        <v>12</v>
      </c>
      <c r="F1552">
        <v>30993</v>
      </c>
      <c r="G1552" s="140" t="s">
        <v>233</v>
      </c>
      <c r="H1552">
        <v>0</v>
      </c>
      <c r="I1552" s="140" t="s">
        <v>17</v>
      </c>
    </row>
    <row r="1553" spans="1:9" hidden="1" x14ac:dyDescent="0.25">
      <c r="A1553">
        <v>2018</v>
      </c>
      <c r="B1553" s="140" t="s">
        <v>232</v>
      </c>
      <c r="C1553" s="140" t="s">
        <v>20</v>
      </c>
      <c r="D1553" s="140" t="s">
        <v>11</v>
      </c>
      <c r="E1553" s="140" t="s">
        <v>12</v>
      </c>
      <c r="F1553">
        <v>31931</v>
      </c>
      <c r="G1553" s="140" t="s">
        <v>233</v>
      </c>
      <c r="H1553">
        <v>0</v>
      </c>
      <c r="I1553" s="140" t="s">
        <v>17</v>
      </c>
    </row>
    <row r="1554" spans="1:9" hidden="1" x14ac:dyDescent="0.25">
      <c r="A1554">
        <v>2019</v>
      </c>
      <c r="B1554" s="140" t="s">
        <v>232</v>
      </c>
      <c r="C1554" s="140" t="s">
        <v>20</v>
      </c>
      <c r="D1554" s="140" t="s">
        <v>11</v>
      </c>
      <c r="E1554" s="140" t="s">
        <v>12</v>
      </c>
      <c r="F1554">
        <v>31846</v>
      </c>
      <c r="G1554" s="140" t="s">
        <v>233</v>
      </c>
      <c r="H1554">
        <v>0</v>
      </c>
      <c r="I1554" s="140" t="s">
        <v>17</v>
      </c>
    </row>
    <row r="1555" spans="1:9" hidden="1" x14ac:dyDescent="0.25">
      <c r="A1555">
        <v>2020</v>
      </c>
      <c r="B1555" s="140" t="s">
        <v>232</v>
      </c>
      <c r="C1555" s="140" t="s">
        <v>20</v>
      </c>
      <c r="D1555" s="140" t="s">
        <v>11</v>
      </c>
      <c r="E1555" s="140" t="s">
        <v>12</v>
      </c>
      <c r="F1555">
        <v>30903</v>
      </c>
      <c r="G1555" s="140" t="s">
        <v>233</v>
      </c>
      <c r="H1555">
        <v>0</v>
      </c>
      <c r="I1555" s="140" t="s">
        <v>17</v>
      </c>
    </row>
    <row r="1556" spans="1:9" hidden="1" x14ac:dyDescent="0.25">
      <c r="A1556">
        <v>2021</v>
      </c>
      <c r="B1556" s="140" t="s">
        <v>232</v>
      </c>
      <c r="C1556" s="140" t="s">
        <v>20</v>
      </c>
      <c r="D1556" s="140" t="s">
        <v>11</v>
      </c>
      <c r="E1556" s="140" t="s">
        <v>12</v>
      </c>
      <c r="F1556">
        <v>31587</v>
      </c>
      <c r="G1556" s="140" t="s">
        <v>233</v>
      </c>
      <c r="H1556">
        <v>0</v>
      </c>
      <c r="I1556" s="140" t="s">
        <v>17</v>
      </c>
    </row>
    <row r="1557" spans="1:9" hidden="1" x14ac:dyDescent="0.25">
      <c r="A1557">
        <v>2022</v>
      </c>
      <c r="B1557" s="140" t="s">
        <v>232</v>
      </c>
      <c r="C1557" s="140" t="s">
        <v>20</v>
      </c>
      <c r="D1557" s="140" t="s">
        <v>11</v>
      </c>
      <c r="E1557" s="140" t="s">
        <v>12</v>
      </c>
      <c r="F1557">
        <v>31221</v>
      </c>
      <c r="G1557" s="140" t="s">
        <v>233</v>
      </c>
      <c r="H1557">
        <v>0</v>
      </c>
      <c r="I1557" s="140" t="s">
        <v>17</v>
      </c>
    </row>
    <row r="1558" spans="1:9" hidden="1" x14ac:dyDescent="0.25">
      <c r="A1558">
        <v>2023</v>
      </c>
      <c r="B1558" s="140" t="s">
        <v>232</v>
      </c>
      <c r="C1558" s="140" t="s">
        <v>20</v>
      </c>
      <c r="D1558" s="140" t="s">
        <v>11</v>
      </c>
      <c r="E1558" s="140" t="s">
        <v>12</v>
      </c>
      <c r="F1558">
        <v>28915</v>
      </c>
      <c r="G1558" s="140" t="s">
        <v>233</v>
      </c>
      <c r="H1558">
        <v>0</v>
      </c>
      <c r="I1558" s="140" t="s">
        <v>17</v>
      </c>
    </row>
    <row r="1559" spans="1:9" hidden="1" x14ac:dyDescent="0.25">
      <c r="A1559">
        <v>2024</v>
      </c>
      <c r="B1559" s="140" t="s">
        <v>232</v>
      </c>
      <c r="C1559" s="140" t="s">
        <v>20</v>
      </c>
      <c r="D1559" s="140" t="s">
        <v>11</v>
      </c>
      <c r="E1559" s="140" t="s">
        <v>12</v>
      </c>
      <c r="F1559">
        <v>29259</v>
      </c>
      <c r="G1559" s="140" t="s">
        <v>233</v>
      </c>
      <c r="H1559">
        <v>0</v>
      </c>
      <c r="I1559" s="140" t="s">
        <v>17</v>
      </c>
    </row>
    <row r="1560" spans="1:9" hidden="1" x14ac:dyDescent="0.25">
      <c r="A1560">
        <v>2025</v>
      </c>
      <c r="B1560" s="140" t="s">
        <v>232</v>
      </c>
      <c r="C1560" s="140" t="s">
        <v>20</v>
      </c>
      <c r="D1560" s="140" t="s">
        <v>11</v>
      </c>
      <c r="E1560" s="140" t="s">
        <v>12</v>
      </c>
      <c r="F1560">
        <v>29900</v>
      </c>
      <c r="G1560" s="140" t="s">
        <v>233</v>
      </c>
      <c r="H1560">
        <v>0</v>
      </c>
      <c r="I1560" s="140" t="s">
        <v>17</v>
      </c>
    </row>
    <row r="1561" spans="1:9" hidden="1" x14ac:dyDescent="0.25">
      <c r="A1561">
        <v>2026</v>
      </c>
      <c r="B1561" s="140" t="s">
        <v>232</v>
      </c>
      <c r="C1561" s="140" t="s">
        <v>20</v>
      </c>
      <c r="D1561" s="140" t="s">
        <v>11</v>
      </c>
      <c r="E1561" s="140" t="s">
        <v>12</v>
      </c>
      <c r="F1561">
        <v>30797</v>
      </c>
      <c r="G1561" s="140" t="s">
        <v>233</v>
      </c>
      <c r="H1561">
        <v>0</v>
      </c>
      <c r="I1561" s="140" t="s">
        <v>17</v>
      </c>
    </row>
    <row r="1562" spans="1:9" hidden="1" x14ac:dyDescent="0.25">
      <c r="A1562">
        <v>2027</v>
      </c>
      <c r="B1562" s="140" t="s">
        <v>232</v>
      </c>
      <c r="C1562" s="140" t="s">
        <v>20</v>
      </c>
      <c r="D1562" s="140" t="s">
        <v>11</v>
      </c>
      <c r="E1562" s="140" t="s">
        <v>12</v>
      </c>
      <c r="F1562">
        <v>31228.157999999999</v>
      </c>
      <c r="G1562" s="140" t="s">
        <v>233</v>
      </c>
      <c r="H1562">
        <v>0</v>
      </c>
      <c r="I1562" s="140" t="s">
        <v>17</v>
      </c>
    </row>
    <row r="1563" spans="1:9" hidden="1" x14ac:dyDescent="0.25">
      <c r="A1563">
        <v>2028</v>
      </c>
      <c r="B1563" s="140" t="s">
        <v>232</v>
      </c>
      <c r="C1563" s="140" t="s">
        <v>20</v>
      </c>
      <c r="D1563" s="140" t="s">
        <v>11</v>
      </c>
      <c r="E1563" s="140" t="s">
        <v>12</v>
      </c>
      <c r="F1563">
        <v>31727.808529999998</v>
      </c>
      <c r="G1563" s="140" t="s">
        <v>233</v>
      </c>
      <c r="H1563">
        <v>0</v>
      </c>
      <c r="I1563" s="140" t="s">
        <v>17</v>
      </c>
    </row>
    <row r="1564" spans="1:9" hidden="1" x14ac:dyDescent="0.25">
      <c r="A1564">
        <v>1990</v>
      </c>
      <c r="B1564" s="140" t="s">
        <v>254</v>
      </c>
      <c r="C1564" s="140" t="s">
        <v>19</v>
      </c>
      <c r="D1564" s="140" t="s">
        <v>11</v>
      </c>
      <c r="E1564" s="140" t="s">
        <v>12</v>
      </c>
      <c r="F1564">
        <v>1338</v>
      </c>
      <c r="G1564" s="140" t="s">
        <v>234</v>
      </c>
      <c r="H1564">
        <v>0</v>
      </c>
      <c r="I1564" s="140" t="s">
        <v>17</v>
      </c>
    </row>
    <row r="1565" spans="1:9" hidden="1" x14ac:dyDescent="0.25">
      <c r="A1565">
        <v>1991</v>
      </c>
      <c r="B1565" s="140" t="s">
        <v>254</v>
      </c>
      <c r="C1565" s="140" t="s">
        <v>19</v>
      </c>
      <c r="D1565" s="140" t="s">
        <v>11</v>
      </c>
      <c r="E1565" s="140" t="s">
        <v>12</v>
      </c>
      <c r="F1565">
        <v>1418</v>
      </c>
      <c r="G1565" s="140" t="s">
        <v>234</v>
      </c>
      <c r="H1565">
        <v>0</v>
      </c>
      <c r="I1565" s="140" t="s">
        <v>17</v>
      </c>
    </row>
    <row r="1566" spans="1:9" hidden="1" x14ac:dyDescent="0.25">
      <c r="A1566">
        <v>1992</v>
      </c>
      <c r="B1566" s="140" t="s">
        <v>254</v>
      </c>
      <c r="C1566" s="140" t="s">
        <v>19</v>
      </c>
      <c r="D1566" s="140" t="s">
        <v>11</v>
      </c>
      <c r="E1566" s="140" t="s">
        <v>12</v>
      </c>
      <c r="F1566">
        <v>1306</v>
      </c>
      <c r="G1566" s="140" t="s">
        <v>234</v>
      </c>
      <c r="H1566">
        <v>0</v>
      </c>
      <c r="I1566" s="140" t="s">
        <v>17</v>
      </c>
    </row>
    <row r="1567" spans="1:9" hidden="1" x14ac:dyDescent="0.25">
      <c r="A1567">
        <v>1993</v>
      </c>
      <c r="B1567" s="140" t="s">
        <v>254</v>
      </c>
      <c r="C1567" s="140" t="s">
        <v>19</v>
      </c>
      <c r="D1567" s="140" t="s">
        <v>11</v>
      </c>
      <c r="E1567" s="140" t="s">
        <v>12</v>
      </c>
      <c r="F1567">
        <v>1242</v>
      </c>
      <c r="G1567" s="140" t="s">
        <v>234</v>
      </c>
      <c r="H1567">
        <v>0</v>
      </c>
      <c r="I1567" s="140" t="s">
        <v>17</v>
      </c>
    </row>
    <row r="1568" spans="1:9" hidden="1" x14ac:dyDescent="0.25">
      <c r="A1568">
        <v>1994</v>
      </c>
      <c r="B1568" s="140" t="s">
        <v>254</v>
      </c>
      <c r="C1568" s="140" t="s">
        <v>19</v>
      </c>
      <c r="D1568" s="140" t="s">
        <v>11</v>
      </c>
      <c r="E1568" s="140" t="s">
        <v>12</v>
      </c>
      <c r="F1568">
        <v>1401</v>
      </c>
      <c r="G1568" s="140" t="s">
        <v>234</v>
      </c>
      <c r="H1568">
        <v>0</v>
      </c>
      <c r="I1568" s="140" t="s">
        <v>17</v>
      </c>
    </row>
    <row r="1569" spans="1:9" hidden="1" x14ac:dyDescent="0.25">
      <c r="A1569">
        <v>1995</v>
      </c>
      <c r="B1569" s="140" t="s">
        <v>254</v>
      </c>
      <c r="C1569" s="140" t="s">
        <v>19</v>
      </c>
      <c r="D1569" s="140" t="s">
        <v>11</v>
      </c>
      <c r="E1569" s="140" t="s">
        <v>12</v>
      </c>
      <c r="F1569">
        <v>1249</v>
      </c>
      <c r="G1569" s="140" t="s">
        <v>234</v>
      </c>
      <c r="H1569">
        <v>0</v>
      </c>
      <c r="I1569" s="140" t="s">
        <v>17</v>
      </c>
    </row>
    <row r="1570" spans="1:9" hidden="1" x14ac:dyDescent="0.25">
      <c r="A1570">
        <v>1996</v>
      </c>
      <c r="B1570" s="140" t="s">
        <v>254</v>
      </c>
      <c r="C1570" s="140" t="s">
        <v>19</v>
      </c>
      <c r="D1570" s="140" t="s">
        <v>11</v>
      </c>
      <c r="E1570" s="140" t="s">
        <v>12</v>
      </c>
      <c r="F1570">
        <v>1087</v>
      </c>
      <c r="G1570" s="140" t="s">
        <v>234</v>
      </c>
      <c r="H1570">
        <v>0</v>
      </c>
      <c r="I1570" s="140" t="s">
        <v>17</v>
      </c>
    </row>
    <row r="1571" spans="1:9" hidden="1" x14ac:dyDescent="0.25">
      <c r="A1571">
        <v>1997</v>
      </c>
      <c r="B1571" s="140" t="s">
        <v>254</v>
      </c>
      <c r="C1571" s="140" t="s">
        <v>19</v>
      </c>
      <c r="D1571" s="140" t="s">
        <v>11</v>
      </c>
      <c r="E1571" s="140" t="s">
        <v>12</v>
      </c>
      <c r="F1571">
        <v>1106</v>
      </c>
      <c r="G1571" s="140" t="s">
        <v>234</v>
      </c>
      <c r="H1571">
        <v>0</v>
      </c>
      <c r="I1571" s="140" t="s">
        <v>17</v>
      </c>
    </row>
    <row r="1572" spans="1:9" hidden="1" x14ac:dyDescent="0.25">
      <c r="A1572">
        <v>1998</v>
      </c>
      <c r="B1572" s="140" t="s">
        <v>254</v>
      </c>
      <c r="C1572" s="140" t="s">
        <v>19</v>
      </c>
      <c r="D1572" s="140" t="s">
        <v>11</v>
      </c>
      <c r="E1572" s="140" t="s">
        <v>12</v>
      </c>
      <c r="F1572">
        <v>1026</v>
      </c>
      <c r="G1572" s="140" t="s">
        <v>234</v>
      </c>
      <c r="H1572">
        <v>0</v>
      </c>
      <c r="I1572" s="140" t="s">
        <v>17</v>
      </c>
    </row>
    <row r="1573" spans="1:9" hidden="1" x14ac:dyDescent="0.25">
      <c r="A1573">
        <v>1999</v>
      </c>
      <c r="B1573" s="140" t="s">
        <v>254</v>
      </c>
      <c r="C1573" s="140" t="s">
        <v>19</v>
      </c>
      <c r="D1573" s="140" t="s">
        <v>11</v>
      </c>
      <c r="E1573" s="140" t="s">
        <v>12</v>
      </c>
      <c r="F1573">
        <v>1007</v>
      </c>
      <c r="G1573" s="140" t="s">
        <v>234</v>
      </c>
      <c r="H1573">
        <v>0</v>
      </c>
      <c r="I1573" s="140" t="s">
        <v>17</v>
      </c>
    </row>
    <row r="1574" spans="1:9" hidden="1" x14ac:dyDescent="0.25">
      <c r="A1574">
        <v>2000</v>
      </c>
      <c r="B1574" s="140" t="s">
        <v>254</v>
      </c>
      <c r="C1574" s="140" t="s">
        <v>19</v>
      </c>
      <c r="D1574" s="140" t="s">
        <v>11</v>
      </c>
      <c r="E1574" s="140" t="s">
        <v>12</v>
      </c>
      <c r="F1574">
        <v>1093</v>
      </c>
      <c r="G1574" s="140" t="s">
        <v>234</v>
      </c>
      <c r="H1574">
        <v>0</v>
      </c>
      <c r="I1574" s="140" t="s">
        <v>17</v>
      </c>
    </row>
    <row r="1575" spans="1:9" hidden="1" x14ac:dyDescent="0.25">
      <c r="A1575">
        <v>2001</v>
      </c>
      <c r="B1575" s="140" t="s">
        <v>254</v>
      </c>
      <c r="C1575" s="140" t="s">
        <v>19</v>
      </c>
      <c r="D1575" s="140" t="s">
        <v>11</v>
      </c>
      <c r="E1575" s="140" t="s">
        <v>12</v>
      </c>
      <c r="F1575">
        <v>1118</v>
      </c>
      <c r="G1575" s="140" t="s">
        <v>234</v>
      </c>
      <c r="H1575">
        <v>0</v>
      </c>
      <c r="I1575" s="140" t="s">
        <v>17</v>
      </c>
    </row>
    <row r="1576" spans="1:9" hidden="1" x14ac:dyDescent="0.25">
      <c r="A1576">
        <v>2002</v>
      </c>
      <c r="B1576" s="140" t="s">
        <v>254</v>
      </c>
      <c r="C1576" s="140" t="s">
        <v>19</v>
      </c>
      <c r="D1576" s="140" t="s">
        <v>11</v>
      </c>
      <c r="E1576" s="140" t="s">
        <v>12</v>
      </c>
      <c r="F1576">
        <v>1136</v>
      </c>
      <c r="G1576" s="140" t="s">
        <v>234</v>
      </c>
      <c r="H1576">
        <v>0</v>
      </c>
      <c r="I1576" s="140" t="s">
        <v>17</v>
      </c>
    </row>
    <row r="1577" spans="1:9" hidden="1" x14ac:dyDescent="0.25">
      <c r="A1577">
        <v>2003</v>
      </c>
      <c r="B1577" s="140" t="s">
        <v>254</v>
      </c>
      <c r="C1577" s="140" t="s">
        <v>19</v>
      </c>
      <c r="D1577" s="140" t="s">
        <v>11</v>
      </c>
      <c r="E1577" s="140" t="s">
        <v>12</v>
      </c>
      <c r="F1577">
        <v>1139</v>
      </c>
      <c r="G1577" s="140" t="s">
        <v>234</v>
      </c>
      <c r="H1577">
        <v>0</v>
      </c>
      <c r="I1577" s="140" t="s">
        <v>17</v>
      </c>
    </row>
    <row r="1578" spans="1:9" hidden="1" x14ac:dyDescent="0.25">
      <c r="A1578">
        <v>2004</v>
      </c>
      <c r="B1578" s="140" t="s">
        <v>254</v>
      </c>
      <c r="C1578" s="140" t="s">
        <v>19</v>
      </c>
      <c r="D1578" s="140" t="s">
        <v>11</v>
      </c>
      <c r="E1578" s="140" t="s">
        <v>12</v>
      </c>
      <c r="F1578">
        <v>1211</v>
      </c>
      <c r="G1578" s="140" t="s">
        <v>234</v>
      </c>
      <c r="H1578">
        <v>0</v>
      </c>
      <c r="I1578" s="140" t="s">
        <v>17</v>
      </c>
    </row>
    <row r="1579" spans="1:9" hidden="1" x14ac:dyDescent="0.25">
      <c r="A1579">
        <v>2005</v>
      </c>
      <c r="B1579" s="140" t="s">
        <v>254</v>
      </c>
      <c r="C1579" s="140" t="s">
        <v>19</v>
      </c>
      <c r="D1579" s="140" t="s">
        <v>11</v>
      </c>
      <c r="E1579" s="140" t="s">
        <v>12</v>
      </c>
      <c r="F1579">
        <v>1105</v>
      </c>
      <c r="G1579" s="140" t="s">
        <v>234</v>
      </c>
      <c r="H1579">
        <v>0</v>
      </c>
      <c r="I1579" s="140" t="s">
        <v>17</v>
      </c>
    </row>
    <row r="1580" spans="1:9" hidden="1" x14ac:dyDescent="0.25">
      <c r="A1580">
        <v>2006</v>
      </c>
      <c r="B1580" s="140" t="s">
        <v>254</v>
      </c>
      <c r="C1580" s="140" t="s">
        <v>19</v>
      </c>
      <c r="D1580" s="140" t="s">
        <v>11</v>
      </c>
      <c r="E1580" s="140" t="s">
        <v>12</v>
      </c>
      <c r="F1580">
        <v>698</v>
      </c>
      <c r="G1580" s="140" t="s">
        <v>234</v>
      </c>
      <c r="H1580">
        <v>0</v>
      </c>
      <c r="I1580" s="140" t="s">
        <v>17</v>
      </c>
    </row>
    <row r="1581" spans="1:9" hidden="1" x14ac:dyDescent="0.25">
      <c r="A1581">
        <v>2007</v>
      </c>
      <c r="B1581" s="140" t="s">
        <v>254</v>
      </c>
      <c r="C1581" s="140" t="s">
        <v>19</v>
      </c>
      <c r="D1581" s="140" t="s">
        <v>11</v>
      </c>
      <c r="E1581" s="140" t="s">
        <v>12</v>
      </c>
      <c r="F1581">
        <v>705</v>
      </c>
      <c r="G1581" s="140" t="s">
        <v>234</v>
      </c>
      <c r="H1581">
        <v>0</v>
      </c>
      <c r="I1581" s="140" t="s">
        <v>17</v>
      </c>
    </row>
    <row r="1582" spans="1:9" hidden="1" x14ac:dyDescent="0.25">
      <c r="A1582">
        <v>2008</v>
      </c>
      <c r="B1582" s="140" t="s">
        <v>254</v>
      </c>
      <c r="C1582" s="140" t="s">
        <v>19</v>
      </c>
      <c r="D1582" s="140" t="s">
        <v>11</v>
      </c>
      <c r="E1582" s="140" t="s">
        <v>12</v>
      </c>
      <c r="F1582">
        <v>746</v>
      </c>
      <c r="G1582" s="140" t="s">
        <v>234</v>
      </c>
      <c r="H1582">
        <v>0</v>
      </c>
      <c r="I1582" s="140" t="s">
        <v>17</v>
      </c>
    </row>
    <row r="1583" spans="1:9" hidden="1" x14ac:dyDescent="0.25">
      <c r="A1583">
        <v>2009</v>
      </c>
      <c r="B1583" s="140" t="s">
        <v>254</v>
      </c>
      <c r="C1583" s="140" t="s">
        <v>19</v>
      </c>
      <c r="D1583" s="140" t="s">
        <v>11</v>
      </c>
      <c r="E1583" s="140" t="s">
        <v>12</v>
      </c>
      <c r="F1583">
        <v>653</v>
      </c>
      <c r="G1583" s="140" t="s">
        <v>234</v>
      </c>
      <c r="H1583">
        <v>0</v>
      </c>
      <c r="I1583" s="140" t="s">
        <v>17</v>
      </c>
    </row>
    <row r="1584" spans="1:9" hidden="1" x14ac:dyDescent="0.25">
      <c r="A1584">
        <v>2010</v>
      </c>
      <c r="B1584" s="140" t="s">
        <v>254</v>
      </c>
      <c r="C1584" s="140" t="s">
        <v>19</v>
      </c>
      <c r="D1584" s="140" t="s">
        <v>11</v>
      </c>
      <c r="E1584" s="140" t="s">
        <v>12</v>
      </c>
      <c r="F1584">
        <v>695</v>
      </c>
      <c r="G1584" s="140" t="s">
        <v>234</v>
      </c>
      <c r="H1584">
        <v>0</v>
      </c>
      <c r="I1584" s="140" t="s">
        <v>17</v>
      </c>
    </row>
    <row r="1585" spans="1:9" hidden="1" x14ac:dyDescent="0.25">
      <c r="A1585">
        <v>2011</v>
      </c>
      <c r="B1585" s="140" t="s">
        <v>254</v>
      </c>
      <c r="C1585" s="140" t="s">
        <v>19</v>
      </c>
      <c r="D1585" s="140" t="s">
        <v>11</v>
      </c>
      <c r="E1585" s="140" t="s">
        <v>12</v>
      </c>
      <c r="F1585">
        <v>707</v>
      </c>
      <c r="G1585" s="140" t="s">
        <v>234</v>
      </c>
      <c r="H1585">
        <v>0</v>
      </c>
      <c r="I1585" s="140" t="s">
        <v>17</v>
      </c>
    </row>
    <row r="1586" spans="1:9" hidden="1" x14ac:dyDescent="0.25">
      <c r="A1586">
        <v>2012</v>
      </c>
      <c r="B1586" s="140" t="s">
        <v>254</v>
      </c>
      <c r="C1586" s="140" t="s">
        <v>19</v>
      </c>
      <c r="D1586" s="140" t="s">
        <v>11</v>
      </c>
      <c r="E1586" s="140" t="s">
        <v>12</v>
      </c>
      <c r="F1586">
        <v>737</v>
      </c>
      <c r="G1586" s="140" t="s">
        <v>234</v>
      </c>
      <c r="H1586">
        <v>0</v>
      </c>
      <c r="I1586" s="140" t="s">
        <v>17</v>
      </c>
    </row>
    <row r="1587" spans="1:9" hidden="1" x14ac:dyDescent="0.25">
      <c r="A1587">
        <v>2013</v>
      </c>
      <c r="B1587" s="140" t="s">
        <v>254</v>
      </c>
      <c r="C1587" s="140" t="s">
        <v>19</v>
      </c>
      <c r="D1587" s="140" t="s">
        <v>11</v>
      </c>
      <c r="E1587" s="140" t="s">
        <v>12</v>
      </c>
      <c r="F1587">
        <v>767</v>
      </c>
      <c r="G1587" s="140" t="s">
        <v>234</v>
      </c>
      <c r="H1587">
        <v>0</v>
      </c>
      <c r="I1587" s="140" t="s">
        <v>17</v>
      </c>
    </row>
    <row r="1588" spans="1:9" hidden="1" x14ac:dyDescent="0.25">
      <c r="A1588">
        <v>2014</v>
      </c>
      <c r="B1588" s="140" t="s">
        <v>254</v>
      </c>
      <c r="C1588" s="140" t="s">
        <v>19</v>
      </c>
      <c r="D1588" s="140" t="s">
        <v>11</v>
      </c>
      <c r="E1588" s="140" t="s">
        <v>12</v>
      </c>
      <c r="F1588">
        <v>772</v>
      </c>
      <c r="G1588" s="140" t="s">
        <v>234</v>
      </c>
      <c r="H1588">
        <v>0</v>
      </c>
      <c r="I1588" s="140" t="s">
        <v>17</v>
      </c>
    </row>
    <row r="1589" spans="1:9" hidden="1" x14ac:dyDescent="0.25">
      <c r="A1589">
        <v>2015</v>
      </c>
      <c r="B1589" s="140" t="s">
        <v>254</v>
      </c>
      <c r="C1589" s="140" t="s">
        <v>19</v>
      </c>
      <c r="D1589" s="140" t="s">
        <v>11</v>
      </c>
      <c r="E1589" s="140" t="s">
        <v>12</v>
      </c>
      <c r="F1589">
        <v>839</v>
      </c>
      <c r="G1589" s="140" t="s">
        <v>234</v>
      </c>
      <c r="H1589">
        <v>0</v>
      </c>
      <c r="I1589" s="140" t="s">
        <v>17</v>
      </c>
    </row>
    <row r="1590" spans="1:9" hidden="1" x14ac:dyDescent="0.25">
      <c r="A1590">
        <v>2016</v>
      </c>
      <c r="B1590" s="140" t="s">
        <v>254</v>
      </c>
      <c r="C1590" s="140" t="s">
        <v>19</v>
      </c>
      <c r="D1590" s="140" t="s">
        <v>11</v>
      </c>
      <c r="E1590" s="140" t="s">
        <v>12</v>
      </c>
      <c r="F1590">
        <v>846</v>
      </c>
      <c r="G1590" s="140" t="s">
        <v>234</v>
      </c>
      <c r="H1590">
        <v>0</v>
      </c>
      <c r="I1590" s="140" t="s">
        <v>17</v>
      </c>
    </row>
    <row r="1591" spans="1:9" hidden="1" x14ac:dyDescent="0.25">
      <c r="A1591">
        <v>2017</v>
      </c>
      <c r="B1591" s="140" t="s">
        <v>254</v>
      </c>
      <c r="C1591" s="140" t="s">
        <v>19</v>
      </c>
      <c r="D1591" s="140" t="s">
        <v>11</v>
      </c>
      <c r="E1591" s="140" t="s">
        <v>12</v>
      </c>
      <c r="F1591">
        <v>872</v>
      </c>
      <c r="G1591" s="140" t="s">
        <v>234</v>
      </c>
      <c r="H1591">
        <v>0</v>
      </c>
      <c r="I1591" s="140" t="s">
        <v>17</v>
      </c>
    </row>
    <row r="1592" spans="1:9" hidden="1" x14ac:dyDescent="0.25">
      <c r="A1592">
        <v>2018</v>
      </c>
      <c r="B1592" s="140" t="s">
        <v>254</v>
      </c>
      <c r="C1592" s="140" t="s">
        <v>19</v>
      </c>
      <c r="D1592" s="140" t="s">
        <v>11</v>
      </c>
      <c r="E1592" s="140" t="s">
        <v>12</v>
      </c>
      <c r="F1592">
        <v>701</v>
      </c>
      <c r="G1592" s="140" t="s">
        <v>234</v>
      </c>
      <c r="H1592">
        <v>0</v>
      </c>
      <c r="I1592" s="140" t="s">
        <v>17</v>
      </c>
    </row>
    <row r="1593" spans="1:9" hidden="1" x14ac:dyDescent="0.25">
      <c r="A1593">
        <v>2019</v>
      </c>
      <c r="B1593" s="140" t="s">
        <v>254</v>
      </c>
      <c r="C1593" s="140" t="s">
        <v>19</v>
      </c>
      <c r="D1593" s="140" t="s">
        <v>11</v>
      </c>
      <c r="E1593" s="140" t="s">
        <v>12</v>
      </c>
      <c r="F1593">
        <v>718</v>
      </c>
      <c r="G1593" s="140" t="s">
        <v>234</v>
      </c>
      <c r="H1593">
        <v>0</v>
      </c>
      <c r="I1593" s="140" t="s">
        <v>17</v>
      </c>
    </row>
    <row r="1594" spans="1:9" hidden="1" x14ac:dyDescent="0.25">
      <c r="A1594">
        <v>2020</v>
      </c>
      <c r="B1594" s="140" t="s">
        <v>254</v>
      </c>
      <c r="C1594" s="140" t="s">
        <v>19</v>
      </c>
      <c r="D1594" s="140" t="s">
        <v>11</v>
      </c>
      <c r="E1594" s="140" t="s">
        <v>12</v>
      </c>
      <c r="F1594">
        <v>903</v>
      </c>
      <c r="G1594" s="140" t="s">
        <v>234</v>
      </c>
      <c r="H1594">
        <v>0</v>
      </c>
      <c r="I1594" s="140" t="s">
        <v>17</v>
      </c>
    </row>
    <row r="1595" spans="1:9" hidden="1" x14ac:dyDescent="0.25">
      <c r="A1595">
        <v>2021</v>
      </c>
      <c r="B1595" s="140" t="s">
        <v>254</v>
      </c>
      <c r="C1595" s="140" t="s">
        <v>19</v>
      </c>
      <c r="D1595" s="140" t="s">
        <v>11</v>
      </c>
      <c r="E1595" s="140" t="s">
        <v>12</v>
      </c>
      <c r="F1595">
        <v>918</v>
      </c>
      <c r="G1595" s="140" t="s">
        <v>234</v>
      </c>
      <c r="H1595">
        <v>0</v>
      </c>
      <c r="I1595" s="140" t="s">
        <v>17</v>
      </c>
    </row>
    <row r="1596" spans="1:9" hidden="1" x14ac:dyDescent="0.25">
      <c r="A1596">
        <v>2022</v>
      </c>
      <c r="B1596" s="140" t="s">
        <v>254</v>
      </c>
      <c r="C1596" s="140" t="s">
        <v>19</v>
      </c>
      <c r="D1596" s="140" t="s">
        <v>11</v>
      </c>
      <c r="E1596" s="140" t="s">
        <v>12</v>
      </c>
      <c r="F1596">
        <v>889</v>
      </c>
      <c r="G1596" s="140" t="s">
        <v>234</v>
      </c>
      <c r="H1596">
        <v>0</v>
      </c>
      <c r="I1596" s="140" t="s">
        <v>17</v>
      </c>
    </row>
    <row r="1597" spans="1:9" hidden="1" x14ac:dyDescent="0.25">
      <c r="A1597">
        <v>2023</v>
      </c>
      <c r="B1597" s="140" t="s">
        <v>254</v>
      </c>
      <c r="C1597" s="140" t="s">
        <v>19</v>
      </c>
      <c r="D1597" s="140" t="s">
        <v>11</v>
      </c>
      <c r="E1597" s="140" t="s">
        <v>12</v>
      </c>
      <c r="F1597">
        <v>1016</v>
      </c>
      <c r="G1597" s="140" t="s">
        <v>234</v>
      </c>
      <c r="H1597">
        <v>0</v>
      </c>
      <c r="I1597" s="140" t="s">
        <v>17</v>
      </c>
    </row>
    <row r="1598" spans="1:9" hidden="1" x14ac:dyDescent="0.25">
      <c r="A1598">
        <v>2024</v>
      </c>
      <c r="B1598" s="140" t="s">
        <v>254</v>
      </c>
      <c r="C1598" s="140" t="s">
        <v>19</v>
      </c>
      <c r="D1598" s="140" t="s">
        <v>11</v>
      </c>
      <c r="E1598" s="140" t="s">
        <v>12</v>
      </c>
      <c r="F1598">
        <v>1167</v>
      </c>
      <c r="G1598" s="140" t="s">
        <v>234</v>
      </c>
      <c r="H1598">
        <v>0</v>
      </c>
      <c r="I1598" s="140" t="s">
        <v>17</v>
      </c>
    </row>
    <row r="1599" spans="1:9" hidden="1" x14ac:dyDescent="0.25">
      <c r="A1599">
        <v>2025</v>
      </c>
      <c r="B1599" s="140" t="s">
        <v>254</v>
      </c>
      <c r="C1599" s="140" t="s">
        <v>19</v>
      </c>
      <c r="D1599" s="140" t="s">
        <v>11</v>
      </c>
      <c r="E1599" s="140" t="s">
        <v>12</v>
      </c>
      <c r="F1599">
        <v>1158</v>
      </c>
      <c r="G1599" s="140" t="s">
        <v>234</v>
      </c>
      <c r="H1599">
        <v>0</v>
      </c>
      <c r="I1599" s="140" t="s">
        <v>17</v>
      </c>
    </row>
    <row r="1600" spans="1:9" hidden="1" x14ac:dyDescent="0.25">
      <c r="A1600">
        <v>2026</v>
      </c>
      <c r="B1600" s="140" t="s">
        <v>254</v>
      </c>
      <c r="C1600" s="140" t="s">
        <v>19</v>
      </c>
      <c r="D1600" s="140" t="s">
        <v>11</v>
      </c>
      <c r="E1600" s="140" t="s">
        <v>12</v>
      </c>
      <c r="F1600">
        <v>1192.74</v>
      </c>
      <c r="G1600" s="140" t="s">
        <v>234</v>
      </c>
      <c r="H1600">
        <v>0</v>
      </c>
      <c r="I1600" s="140" t="s">
        <v>17</v>
      </c>
    </row>
    <row r="1601" spans="1:9" hidden="1" x14ac:dyDescent="0.25">
      <c r="A1601">
        <v>2027</v>
      </c>
      <c r="B1601" s="140" t="s">
        <v>254</v>
      </c>
      <c r="C1601" s="140" t="s">
        <v>19</v>
      </c>
      <c r="D1601" s="140" t="s">
        <v>11</v>
      </c>
      <c r="E1601" s="140" t="s">
        <v>12</v>
      </c>
      <c r="F1601">
        <v>1216.5948000000001</v>
      </c>
      <c r="G1601" s="140" t="s">
        <v>234</v>
      </c>
      <c r="H1601">
        <v>0</v>
      </c>
      <c r="I1601" s="140" t="s">
        <v>17</v>
      </c>
    </row>
    <row r="1602" spans="1:9" hidden="1" x14ac:dyDescent="0.25">
      <c r="A1602">
        <v>2028</v>
      </c>
      <c r="B1602" s="140" t="s">
        <v>254</v>
      </c>
      <c r="C1602" s="140" t="s">
        <v>19</v>
      </c>
      <c r="D1602" s="140" t="s">
        <v>11</v>
      </c>
      <c r="E1602" s="140" t="s">
        <v>12</v>
      </c>
      <c r="F1602">
        <v>1240.926696</v>
      </c>
      <c r="G1602" s="140" t="s">
        <v>234</v>
      </c>
      <c r="H1602">
        <v>0</v>
      </c>
      <c r="I1602" s="140" t="s">
        <v>17</v>
      </c>
    </row>
    <row r="1603" spans="1:9" hidden="1" x14ac:dyDescent="0.25">
      <c r="A1603">
        <v>1990</v>
      </c>
      <c r="B1603" s="140" t="s">
        <v>57</v>
      </c>
      <c r="C1603" s="140" t="s">
        <v>19</v>
      </c>
      <c r="D1603" s="140" t="s">
        <v>11</v>
      </c>
      <c r="E1603" s="140" t="s">
        <v>12</v>
      </c>
      <c r="F1603">
        <v>10029</v>
      </c>
      <c r="G1603" s="140" t="s">
        <v>228</v>
      </c>
      <c r="H1603">
        <v>0</v>
      </c>
      <c r="I1603" s="140" t="s">
        <v>17</v>
      </c>
    </row>
    <row r="1604" spans="1:9" hidden="1" x14ac:dyDescent="0.25">
      <c r="A1604">
        <v>1991</v>
      </c>
      <c r="B1604" s="140" t="s">
        <v>57</v>
      </c>
      <c r="C1604" s="140" t="s">
        <v>19</v>
      </c>
      <c r="D1604" s="140" t="s">
        <v>11</v>
      </c>
      <c r="E1604" s="140" t="s">
        <v>12</v>
      </c>
      <c r="F1604">
        <v>10198</v>
      </c>
      <c r="G1604" s="140" t="s">
        <v>228</v>
      </c>
      <c r="H1604">
        <v>0</v>
      </c>
      <c r="I1604" s="140" t="s">
        <v>17</v>
      </c>
    </row>
    <row r="1605" spans="1:9" hidden="1" x14ac:dyDescent="0.25">
      <c r="A1605">
        <v>1992</v>
      </c>
      <c r="B1605" s="140" t="s">
        <v>57</v>
      </c>
      <c r="C1605" s="140" t="s">
        <v>19</v>
      </c>
      <c r="D1605" s="140" t="s">
        <v>11</v>
      </c>
      <c r="E1605" s="140" t="s">
        <v>12</v>
      </c>
      <c r="F1605">
        <v>9700</v>
      </c>
      <c r="G1605" s="140" t="s">
        <v>228</v>
      </c>
      <c r="H1605">
        <v>0</v>
      </c>
      <c r="I1605" s="140" t="s">
        <v>17</v>
      </c>
    </row>
    <row r="1606" spans="1:9" hidden="1" x14ac:dyDescent="0.25">
      <c r="A1606">
        <v>1993</v>
      </c>
      <c r="B1606" s="140" t="s">
        <v>57</v>
      </c>
      <c r="C1606" s="140" t="s">
        <v>19</v>
      </c>
      <c r="D1606" s="140" t="s">
        <v>11</v>
      </c>
      <c r="E1606" s="140" t="s">
        <v>12</v>
      </c>
      <c r="F1606">
        <v>9397</v>
      </c>
      <c r="G1606" s="140" t="s">
        <v>228</v>
      </c>
      <c r="H1606">
        <v>0</v>
      </c>
      <c r="I1606" s="140" t="s">
        <v>17</v>
      </c>
    </row>
    <row r="1607" spans="1:9" hidden="1" x14ac:dyDescent="0.25">
      <c r="A1607">
        <v>1994</v>
      </c>
      <c r="B1607" s="140" t="s">
        <v>57</v>
      </c>
      <c r="C1607" s="140" t="s">
        <v>19</v>
      </c>
      <c r="D1607" s="140" t="s">
        <v>11</v>
      </c>
      <c r="E1607" s="140" t="s">
        <v>12</v>
      </c>
      <c r="F1607">
        <v>9951</v>
      </c>
      <c r="G1607" s="140" t="s">
        <v>228</v>
      </c>
      <c r="H1607">
        <v>0</v>
      </c>
      <c r="I1607" s="140" t="s">
        <v>17</v>
      </c>
    </row>
    <row r="1608" spans="1:9" hidden="1" x14ac:dyDescent="0.25">
      <c r="A1608">
        <v>1995</v>
      </c>
      <c r="B1608" s="140" t="s">
        <v>57</v>
      </c>
      <c r="C1608" s="140" t="s">
        <v>19</v>
      </c>
      <c r="D1608" s="140" t="s">
        <v>11</v>
      </c>
      <c r="E1608" s="140" t="s">
        <v>12</v>
      </c>
      <c r="F1608">
        <v>10434</v>
      </c>
      <c r="G1608" s="140" t="s">
        <v>228</v>
      </c>
      <c r="H1608">
        <v>0</v>
      </c>
      <c r="I1608" s="140" t="s">
        <v>17</v>
      </c>
    </row>
    <row r="1609" spans="1:9" hidden="1" x14ac:dyDescent="0.25">
      <c r="A1609">
        <v>1996</v>
      </c>
      <c r="B1609" s="140" t="s">
        <v>57</v>
      </c>
      <c r="C1609" s="140" t="s">
        <v>19</v>
      </c>
      <c r="D1609" s="140" t="s">
        <v>11</v>
      </c>
      <c r="E1609" s="140" t="s">
        <v>12</v>
      </c>
      <c r="F1609">
        <v>10548</v>
      </c>
      <c r="G1609" s="140" t="s">
        <v>228</v>
      </c>
      <c r="H1609">
        <v>0</v>
      </c>
      <c r="I1609" s="140" t="s">
        <v>17</v>
      </c>
    </row>
    <row r="1610" spans="1:9" hidden="1" x14ac:dyDescent="0.25">
      <c r="A1610">
        <v>1997</v>
      </c>
      <c r="B1610" s="140" t="s">
        <v>57</v>
      </c>
      <c r="C1610" s="140" t="s">
        <v>19</v>
      </c>
      <c r="D1610" s="140" t="s">
        <v>11</v>
      </c>
      <c r="E1610" s="140" t="s">
        <v>12</v>
      </c>
      <c r="F1610">
        <v>10930</v>
      </c>
      <c r="G1610" s="140" t="s">
        <v>228</v>
      </c>
      <c r="H1610">
        <v>0</v>
      </c>
      <c r="I1610" s="140" t="s">
        <v>17</v>
      </c>
    </row>
    <row r="1611" spans="1:9" hidden="1" x14ac:dyDescent="0.25">
      <c r="A1611">
        <v>1998</v>
      </c>
      <c r="B1611" s="140" t="s">
        <v>57</v>
      </c>
      <c r="C1611" s="140" t="s">
        <v>19</v>
      </c>
      <c r="D1611" s="140" t="s">
        <v>11</v>
      </c>
      <c r="E1611" s="140" t="s">
        <v>12</v>
      </c>
      <c r="F1611">
        <v>11939</v>
      </c>
      <c r="G1611" s="140" t="s">
        <v>228</v>
      </c>
      <c r="H1611">
        <v>0</v>
      </c>
      <c r="I1611" s="140" t="s">
        <v>17</v>
      </c>
    </row>
    <row r="1612" spans="1:9" hidden="1" x14ac:dyDescent="0.25">
      <c r="A1612">
        <v>1999</v>
      </c>
      <c r="B1612" s="140" t="s">
        <v>57</v>
      </c>
      <c r="C1612" s="140" t="s">
        <v>19</v>
      </c>
      <c r="D1612" s="140" t="s">
        <v>11</v>
      </c>
      <c r="E1612" s="140" t="s">
        <v>12</v>
      </c>
      <c r="F1612">
        <v>12469</v>
      </c>
      <c r="G1612" s="140" t="s">
        <v>228</v>
      </c>
      <c r="H1612">
        <v>0</v>
      </c>
      <c r="I1612" s="140" t="s">
        <v>17</v>
      </c>
    </row>
    <row r="1613" spans="1:9" hidden="1" x14ac:dyDescent="0.25">
      <c r="A1613">
        <v>2000</v>
      </c>
      <c r="B1613" s="140" t="s">
        <v>57</v>
      </c>
      <c r="C1613" s="140" t="s">
        <v>19</v>
      </c>
      <c r="D1613" s="140" t="s">
        <v>11</v>
      </c>
      <c r="E1613" s="140" t="s">
        <v>12</v>
      </c>
      <c r="F1613">
        <v>12776</v>
      </c>
      <c r="G1613" s="140" t="s">
        <v>228</v>
      </c>
      <c r="H1613">
        <v>0</v>
      </c>
      <c r="I1613" s="140" t="s">
        <v>17</v>
      </c>
    </row>
    <row r="1614" spans="1:9" hidden="1" x14ac:dyDescent="0.25">
      <c r="A1614">
        <v>2001</v>
      </c>
      <c r="B1614" s="140" t="s">
        <v>57</v>
      </c>
      <c r="C1614" s="140" t="s">
        <v>19</v>
      </c>
      <c r="D1614" s="140" t="s">
        <v>11</v>
      </c>
      <c r="E1614" s="140" t="s">
        <v>12</v>
      </c>
      <c r="F1614">
        <v>13715</v>
      </c>
      <c r="G1614" s="140" t="s">
        <v>228</v>
      </c>
      <c r="H1614">
        <v>0</v>
      </c>
      <c r="I1614" s="140" t="s">
        <v>17</v>
      </c>
    </row>
    <row r="1615" spans="1:9" hidden="1" x14ac:dyDescent="0.25">
      <c r="A1615">
        <v>2002</v>
      </c>
      <c r="B1615" s="140" t="s">
        <v>57</v>
      </c>
      <c r="C1615" s="140" t="s">
        <v>19</v>
      </c>
      <c r="D1615" s="140" t="s">
        <v>11</v>
      </c>
      <c r="E1615" s="140" t="s">
        <v>12</v>
      </c>
      <c r="F1615">
        <v>13891</v>
      </c>
      <c r="G1615" s="140" t="s">
        <v>228</v>
      </c>
      <c r="H1615">
        <v>0</v>
      </c>
      <c r="I1615" s="140" t="s">
        <v>17</v>
      </c>
    </row>
    <row r="1616" spans="1:9" hidden="1" x14ac:dyDescent="0.25">
      <c r="A1616">
        <v>2003</v>
      </c>
      <c r="B1616" s="140" t="s">
        <v>57</v>
      </c>
      <c r="C1616" s="140" t="s">
        <v>19</v>
      </c>
      <c r="D1616" s="140" t="s">
        <v>11</v>
      </c>
      <c r="E1616" s="140" t="s">
        <v>12</v>
      </c>
      <c r="F1616">
        <v>13867</v>
      </c>
      <c r="G1616" s="140" t="s">
        <v>228</v>
      </c>
      <c r="H1616">
        <v>0</v>
      </c>
      <c r="I1616" s="140" t="s">
        <v>17</v>
      </c>
    </row>
    <row r="1617" spans="1:9" hidden="1" x14ac:dyDescent="0.25">
      <c r="A1617">
        <v>2004</v>
      </c>
      <c r="B1617" s="140" t="s">
        <v>57</v>
      </c>
      <c r="C1617" s="140" t="s">
        <v>19</v>
      </c>
      <c r="D1617" s="140" t="s">
        <v>11</v>
      </c>
      <c r="E1617" s="140" t="s">
        <v>12</v>
      </c>
      <c r="F1617">
        <v>14408</v>
      </c>
      <c r="G1617" s="140" t="s">
        <v>228</v>
      </c>
      <c r="H1617">
        <v>0</v>
      </c>
      <c r="I1617" s="140" t="s">
        <v>17</v>
      </c>
    </row>
    <row r="1618" spans="1:9" hidden="1" x14ac:dyDescent="0.25">
      <c r="A1618">
        <v>2005</v>
      </c>
      <c r="B1618" s="140" t="s">
        <v>57</v>
      </c>
      <c r="C1618" s="140" t="s">
        <v>19</v>
      </c>
      <c r="D1618" s="140" t="s">
        <v>11</v>
      </c>
      <c r="E1618" s="140" t="s">
        <v>12</v>
      </c>
      <c r="F1618">
        <v>15189</v>
      </c>
      <c r="G1618" s="140" t="s">
        <v>228</v>
      </c>
      <c r="H1618">
        <v>0</v>
      </c>
      <c r="I1618" s="140" t="s">
        <v>17</v>
      </c>
    </row>
    <row r="1619" spans="1:9" hidden="1" x14ac:dyDescent="0.25">
      <c r="A1619">
        <v>2006</v>
      </c>
      <c r="B1619" s="140" t="s">
        <v>57</v>
      </c>
      <c r="C1619" s="140" t="s">
        <v>19</v>
      </c>
      <c r="D1619" s="140" t="s">
        <v>11</v>
      </c>
      <c r="E1619" s="140" t="s">
        <v>12</v>
      </c>
      <c r="F1619">
        <v>15923</v>
      </c>
      <c r="G1619" s="140" t="s">
        <v>228</v>
      </c>
      <c r="H1619">
        <v>0</v>
      </c>
      <c r="I1619" s="140" t="s">
        <v>17</v>
      </c>
    </row>
    <row r="1620" spans="1:9" hidden="1" x14ac:dyDescent="0.25">
      <c r="A1620">
        <v>2007</v>
      </c>
      <c r="B1620" s="140" t="s">
        <v>57</v>
      </c>
      <c r="C1620" s="140" t="s">
        <v>19</v>
      </c>
      <c r="D1620" s="140" t="s">
        <v>11</v>
      </c>
      <c r="E1620" s="140" t="s">
        <v>12</v>
      </c>
      <c r="F1620">
        <v>16768</v>
      </c>
      <c r="G1620" s="140" t="s">
        <v>228</v>
      </c>
      <c r="H1620">
        <v>0</v>
      </c>
      <c r="I1620" s="140" t="s">
        <v>17</v>
      </c>
    </row>
    <row r="1621" spans="1:9" hidden="1" x14ac:dyDescent="0.25">
      <c r="A1621">
        <v>2008</v>
      </c>
      <c r="B1621" s="140" t="s">
        <v>57</v>
      </c>
      <c r="C1621" s="140" t="s">
        <v>19</v>
      </c>
      <c r="D1621" s="140" t="s">
        <v>11</v>
      </c>
      <c r="E1621" s="140" t="s">
        <v>12</v>
      </c>
      <c r="F1621">
        <v>17779</v>
      </c>
      <c r="G1621" s="140" t="s">
        <v>228</v>
      </c>
      <c r="H1621">
        <v>0</v>
      </c>
      <c r="I1621" s="140" t="s">
        <v>17</v>
      </c>
    </row>
    <row r="1622" spans="1:9" hidden="1" x14ac:dyDescent="0.25">
      <c r="A1622">
        <v>2009</v>
      </c>
      <c r="B1622" s="140" t="s">
        <v>57</v>
      </c>
      <c r="C1622" s="140" t="s">
        <v>19</v>
      </c>
      <c r="D1622" s="140" t="s">
        <v>11</v>
      </c>
      <c r="E1622" s="140" t="s">
        <v>12</v>
      </c>
      <c r="F1622">
        <v>17371</v>
      </c>
      <c r="G1622" s="140" t="s">
        <v>228</v>
      </c>
      <c r="H1622">
        <v>0</v>
      </c>
      <c r="I1622" s="140" t="s">
        <v>17</v>
      </c>
    </row>
    <row r="1623" spans="1:9" hidden="1" x14ac:dyDescent="0.25">
      <c r="A1623">
        <v>2010</v>
      </c>
      <c r="B1623" s="140" t="s">
        <v>57</v>
      </c>
      <c r="C1623" s="140" t="s">
        <v>19</v>
      </c>
      <c r="D1623" s="140" t="s">
        <v>11</v>
      </c>
      <c r="E1623" s="140" t="s">
        <v>12</v>
      </c>
      <c r="F1623">
        <v>17046</v>
      </c>
      <c r="G1623" s="140" t="s">
        <v>228</v>
      </c>
      <c r="H1623">
        <v>0</v>
      </c>
      <c r="I1623" s="140" t="s">
        <v>17</v>
      </c>
    </row>
    <row r="1624" spans="1:9" hidden="1" x14ac:dyDescent="0.25">
      <c r="A1624">
        <v>2011</v>
      </c>
      <c r="B1624" s="140" t="s">
        <v>57</v>
      </c>
      <c r="C1624" s="140" t="s">
        <v>19</v>
      </c>
      <c r="D1624" s="140" t="s">
        <v>11</v>
      </c>
      <c r="E1624" s="140" t="s">
        <v>12</v>
      </c>
      <c r="F1624">
        <v>18059</v>
      </c>
      <c r="G1624" s="140" t="s">
        <v>228</v>
      </c>
      <c r="H1624">
        <v>0</v>
      </c>
      <c r="I1624" s="140" t="s">
        <v>17</v>
      </c>
    </row>
    <row r="1625" spans="1:9" hidden="1" x14ac:dyDescent="0.25">
      <c r="A1625">
        <v>2012</v>
      </c>
      <c r="B1625" s="140" t="s">
        <v>57</v>
      </c>
      <c r="C1625" s="140" t="s">
        <v>19</v>
      </c>
      <c r="D1625" s="140" t="s">
        <v>11</v>
      </c>
      <c r="E1625" s="140" t="s">
        <v>12</v>
      </c>
      <c r="F1625">
        <v>18748</v>
      </c>
      <c r="G1625" s="140" t="s">
        <v>228</v>
      </c>
      <c r="H1625">
        <v>0</v>
      </c>
      <c r="I1625" s="140" t="s">
        <v>17</v>
      </c>
    </row>
    <row r="1626" spans="1:9" hidden="1" x14ac:dyDescent="0.25">
      <c r="A1626">
        <v>2013</v>
      </c>
      <c r="B1626" s="140" t="s">
        <v>57</v>
      </c>
      <c r="C1626" s="140" t="s">
        <v>19</v>
      </c>
      <c r="D1626" s="140" t="s">
        <v>11</v>
      </c>
      <c r="E1626" s="140" t="s">
        <v>12</v>
      </c>
      <c r="F1626">
        <v>18918</v>
      </c>
      <c r="G1626" s="140" t="s">
        <v>228</v>
      </c>
      <c r="H1626">
        <v>0</v>
      </c>
      <c r="I1626" s="140" t="s">
        <v>17</v>
      </c>
    </row>
    <row r="1627" spans="1:9" hidden="1" x14ac:dyDescent="0.25">
      <c r="A1627">
        <v>2014</v>
      </c>
      <c r="B1627" s="140" t="s">
        <v>57</v>
      </c>
      <c r="C1627" s="140" t="s">
        <v>19</v>
      </c>
      <c r="D1627" s="140" t="s">
        <v>11</v>
      </c>
      <c r="E1627" s="140" t="s">
        <v>12</v>
      </c>
      <c r="F1627">
        <v>18884</v>
      </c>
      <c r="G1627" s="140" t="s">
        <v>228</v>
      </c>
      <c r="H1627">
        <v>0</v>
      </c>
      <c r="I1627" s="140" t="s">
        <v>17</v>
      </c>
    </row>
    <row r="1628" spans="1:9" hidden="1" x14ac:dyDescent="0.25">
      <c r="A1628">
        <v>2015</v>
      </c>
      <c r="B1628" s="140" t="s">
        <v>57</v>
      </c>
      <c r="C1628" s="140" t="s">
        <v>19</v>
      </c>
      <c r="D1628" s="140" t="s">
        <v>11</v>
      </c>
      <c r="E1628" s="140" t="s">
        <v>12</v>
      </c>
      <c r="F1628">
        <v>19223</v>
      </c>
      <c r="G1628" s="140" t="s">
        <v>228</v>
      </c>
      <c r="H1628">
        <v>0</v>
      </c>
      <c r="I1628" s="140" t="s">
        <v>17</v>
      </c>
    </row>
    <row r="1629" spans="1:9" hidden="1" x14ac:dyDescent="0.25">
      <c r="A1629">
        <v>2016</v>
      </c>
      <c r="B1629" s="140" t="s">
        <v>57</v>
      </c>
      <c r="C1629" s="140" t="s">
        <v>19</v>
      </c>
      <c r="D1629" s="140" t="s">
        <v>11</v>
      </c>
      <c r="E1629" s="140" t="s">
        <v>12</v>
      </c>
      <c r="F1629">
        <v>19704</v>
      </c>
      <c r="G1629" s="140" t="s">
        <v>228</v>
      </c>
      <c r="H1629">
        <v>0</v>
      </c>
      <c r="I1629" s="140" t="s">
        <v>17</v>
      </c>
    </row>
    <row r="1630" spans="1:9" hidden="1" x14ac:dyDescent="0.25">
      <c r="A1630">
        <v>2017</v>
      </c>
      <c r="B1630" s="140" t="s">
        <v>57</v>
      </c>
      <c r="C1630" s="140" t="s">
        <v>19</v>
      </c>
      <c r="D1630" s="140" t="s">
        <v>11</v>
      </c>
      <c r="E1630" s="140" t="s">
        <v>12</v>
      </c>
      <c r="F1630">
        <v>18485</v>
      </c>
      <c r="G1630" s="140" t="s">
        <v>228</v>
      </c>
      <c r="H1630">
        <v>0</v>
      </c>
      <c r="I1630" s="140" t="s">
        <v>17</v>
      </c>
    </row>
    <row r="1631" spans="1:9" hidden="1" x14ac:dyDescent="0.25">
      <c r="A1631">
        <v>2018</v>
      </c>
      <c r="B1631" s="140" t="s">
        <v>57</v>
      </c>
      <c r="C1631" s="140" t="s">
        <v>19</v>
      </c>
      <c r="D1631" s="140" t="s">
        <v>11</v>
      </c>
      <c r="E1631" s="140" t="s">
        <v>12</v>
      </c>
      <c r="F1631">
        <v>18566</v>
      </c>
      <c r="G1631" s="140" t="s">
        <v>228</v>
      </c>
      <c r="H1631">
        <v>0</v>
      </c>
      <c r="I1631" s="140" t="s">
        <v>17</v>
      </c>
    </row>
    <row r="1632" spans="1:9" hidden="1" x14ac:dyDescent="0.25">
      <c r="A1632">
        <v>2019</v>
      </c>
      <c r="B1632" s="140" t="s">
        <v>57</v>
      </c>
      <c r="C1632" s="140" t="s">
        <v>19</v>
      </c>
      <c r="D1632" s="140" t="s">
        <v>11</v>
      </c>
      <c r="E1632" s="140" t="s">
        <v>12</v>
      </c>
      <c r="F1632">
        <v>18785</v>
      </c>
      <c r="G1632" s="140" t="s">
        <v>228</v>
      </c>
      <c r="H1632">
        <v>0</v>
      </c>
      <c r="I1632" s="140" t="s">
        <v>17</v>
      </c>
    </row>
    <row r="1633" spans="1:9" hidden="1" x14ac:dyDescent="0.25">
      <c r="A1633">
        <v>2020</v>
      </c>
      <c r="B1633" s="140" t="s">
        <v>57</v>
      </c>
      <c r="C1633" s="140" t="s">
        <v>19</v>
      </c>
      <c r="D1633" s="140" t="s">
        <v>11</v>
      </c>
      <c r="E1633" s="140" t="s">
        <v>12</v>
      </c>
      <c r="F1633">
        <v>17637</v>
      </c>
      <c r="G1633" s="140" t="s">
        <v>228</v>
      </c>
      <c r="H1633">
        <v>0</v>
      </c>
      <c r="I1633" s="140" t="s">
        <v>17</v>
      </c>
    </row>
    <row r="1634" spans="1:9" hidden="1" x14ac:dyDescent="0.25">
      <c r="A1634">
        <v>2021</v>
      </c>
      <c r="B1634" s="140" t="s">
        <v>57</v>
      </c>
      <c r="C1634" s="140" t="s">
        <v>19</v>
      </c>
      <c r="D1634" s="140" t="s">
        <v>11</v>
      </c>
      <c r="E1634" s="140" t="s">
        <v>12</v>
      </c>
      <c r="F1634">
        <v>19822</v>
      </c>
      <c r="G1634" s="140" t="s">
        <v>228</v>
      </c>
      <c r="H1634">
        <v>0</v>
      </c>
      <c r="I1634" s="140" t="s">
        <v>17</v>
      </c>
    </row>
    <row r="1635" spans="1:9" hidden="1" x14ac:dyDescent="0.25">
      <c r="A1635">
        <v>2022</v>
      </c>
      <c r="B1635" s="140" t="s">
        <v>57</v>
      </c>
      <c r="C1635" s="140" t="s">
        <v>19</v>
      </c>
      <c r="D1635" s="140" t="s">
        <v>11</v>
      </c>
      <c r="E1635" s="140" t="s">
        <v>12</v>
      </c>
      <c r="F1635">
        <v>21238</v>
      </c>
      <c r="G1635" s="140" t="s">
        <v>228</v>
      </c>
      <c r="H1635">
        <v>0</v>
      </c>
      <c r="I1635" s="140" t="s">
        <v>17</v>
      </c>
    </row>
    <row r="1636" spans="1:9" hidden="1" x14ac:dyDescent="0.25">
      <c r="A1636">
        <v>2023</v>
      </c>
      <c r="B1636" s="140" t="s">
        <v>57</v>
      </c>
      <c r="C1636" s="140" t="s">
        <v>19</v>
      </c>
      <c r="D1636" s="140" t="s">
        <v>11</v>
      </c>
      <c r="E1636" s="140" t="s">
        <v>12</v>
      </c>
      <c r="F1636">
        <v>22268</v>
      </c>
      <c r="G1636" s="140" t="s">
        <v>228</v>
      </c>
      <c r="H1636">
        <v>0</v>
      </c>
      <c r="I1636" s="140" t="s">
        <v>17</v>
      </c>
    </row>
    <row r="1637" spans="1:9" hidden="1" x14ac:dyDescent="0.25">
      <c r="A1637">
        <v>2024</v>
      </c>
      <c r="B1637" s="140" t="s">
        <v>57</v>
      </c>
      <c r="C1637" s="140" t="s">
        <v>19</v>
      </c>
      <c r="D1637" s="140" t="s">
        <v>11</v>
      </c>
      <c r="E1637" s="140" t="s">
        <v>12</v>
      </c>
      <c r="F1637">
        <v>21518</v>
      </c>
      <c r="G1637" s="140" t="s">
        <v>228</v>
      </c>
      <c r="H1637">
        <v>0</v>
      </c>
      <c r="I1637" s="140" t="s">
        <v>17</v>
      </c>
    </row>
    <row r="1638" spans="1:9" hidden="1" x14ac:dyDescent="0.25">
      <c r="A1638">
        <v>2025</v>
      </c>
      <c r="B1638" s="140" t="s">
        <v>57</v>
      </c>
      <c r="C1638" s="140" t="s">
        <v>19</v>
      </c>
      <c r="D1638" s="140" t="s">
        <v>11</v>
      </c>
      <c r="E1638" s="140" t="s">
        <v>12</v>
      </c>
      <c r="F1638">
        <v>22638</v>
      </c>
      <c r="G1638" s="140" t="s">
        <v>228</v>
      </c>
      <c r="H1638">
        <v>0</v>
      </c>
      <c r="I1638" s="140" t="s">
        <v>17</v>
      </c>
    </row>
    <row r="1639" spans="1:9" hidden="1" x14ac:dyDescent="0.25">
      <c r="A1639">
        <v>2026</v>
      </c>
      <c r="B1639" s="140" t="s">
        <v>57</v>
      </c>
      <c r="C1639" s="140" t="s">
        <v>19</v>
      </c>
      <c r="D1639" s="140" t="s">
        <v>11</v>
      </c>
      <c r="E1639" s="140" t="s">
        <v>12</v>
      </c>
      <c r="F1639">
        <v>23523.07087</v>
      </c>
      <c r="G1639" s="140" t="s">
        <v>228</v>
      </c>
      <c r="H1639">
        <v>0</v>
      </c>
      <c r="I1639" s="140" t="s">
        <v>17</v>
      </c>
    </row>
    <row r="1640" spans="1:9" hidden="1" x14ac:dyDescent="0.25">
      <c r="A1640">
        <v>2027</v>
      </c>
      <c r="B1640" s="140" t="s">
        <v>57</v>
      </c>
      <c r="C1640" s="140" t="s">
        <v>19</v>
      </c>
      <c r="D1640" s="140" t="s">
        <v>11</v>
      </c>
      <c r="E1640" s="140" t="s">
        <v>12</v>
      </c>
      <c r="F1640">
        <v>24363.952219999999</v>
      </c>
      <c r="G1640" s="140" t="s">
        <v>228</v>
      </c>
      <c r="H1640">
        <v>0</v>
      </c>
      <c r="I1640" s="140" t="s">
        <v>17</v>
      </c>
    </row>
    <row r="1641" spans="1:9" hidden="1" x14ac:dyDescent="0.25">
      <c r="A1641">
        <v>2028</v>
      </c>
      <c r="B1641" s="140" t="s">
        <v>57</v>
      </c>
      <c r="C1641" s="140" t="s">
        <v>19</v>
      </c>
      <c r="D1641" s="140" t="s">
        <v>11</v>
      </c>
      <c r="E1641" s="140" t="s">
        <v>12</v>
      </c>
      <c r="F1641">
        <v>25297.6692</v>
      </c>
      <c r="G1641" s="140" t="s">
        <v>228</v>
      </c>
      <c r="H1641">
        <v>0</v>
      </c>
      <c r="I1641" s="140" t="s">
        <v>17</v>
      </c>
    </row>
    <row r="1642" spans="1:9" hidden="1" x14ac:dyDescent="0.25">
      <c r="A1642">
        <v>2029</v>
      </c>
      <c r="B1642" s="140" t="s">
        <v>57</v>
      </c>
      <c r="C1642" s="140" t="s">
        <v>19</v>
      </c>
      <c r="D1642" s="140" t="s">
        <v>11</v>
      </c>
      <c r="E1642" s="140" t="s">
        <v>12</v>
      </c>
      <c r="F1642">
        <v>26304.43405</v>
      </c>
      <c r="G1642" s="140" t="s">
        <v>228</v>
      </c>
      <c r="H1642">
        <v>0</v>
      </c>
      <c r="I1642" s="140" t="s">
        <v>17</v>
      </c>
    </row>
    <row r="1643" spans="1:9" hidden="1" x14ac:dyDescent="0.25">
      <c r="A1643">
        <v>2030</v>
      </c>
      <c r="B1643" s="140" t="s">
        <v>57</v>
      </c>
      <c r="C1643" s="140" t="s">
        <v>19</v>
      </c>
      <c r="D1643" s="140" t="s">
        <v>11</v>
      </c>
      <c r="E1643" s="140" t="s">
        <v>12</v>
      </c>
      <c r="F1643">
        <v>27313.143919999999</v>
      </c>
      <c r="G1643" s="140" t="s">
        <v>228</v>
      </c>
      <c r="H1643">
        <v>0</v>
      </c>
      <c r="I1643" s="140" t="s">
        <v>17</v>
      </c>
    </row>
    <row r="1644" spans="1:9" hidden="1" x14ac:dyDescent="0.25">
      <c r="A1644">
        <v>1990</v>
      </c>
      <c r="B1644" s="140" t="s">
        <v>15</v>
      </c>
      <c r="C1644" s="140" t="s">
        <v>16</v>
      </c>
      <c r="D1644" s="140" t="s">
        <v>11</v>
      </c>
      <c r="E1644" s="140" t="s">
        <v>12</v>
      </c>
      <c r="F1644">
        <v>14676</v>
      </c>
      <c r="G1644" s="140" t="s">
        <v>255</v>
      </c>
      <c r="H1644">
        <v>0</v>
      </c>
      <c r="I1644" s="140" t="s">
        <v>17</v>
      </c>
    </row>
    <row r="1645" spans="1:9" hidden="1" x14ac:dyDescent="0.25">
      <c r="A1645">
        <v>1991</v>
      </c>
      <c r="B1645" s="140" t="s">
        <v>15</v>
      </c>
      <c r="C1645" s="140" t="s">
        <v>16</v>
      </c>
      <c r="D1645" s="140" t="s">
        <v>11</v>
      </c>
      <c r="E1645" s="140" t="s">
        <v>12</v>
      </c>
      <c r="F1645">
        <v>10695</v>
      </c>
      <c r="G1645" s="140" t="s">
        <v>255</v>
      </c>
      <c r="H1645">
        <v>0</v>
      </c>
      <c r="I1645" s="140" t="s">
        <v>17</v>
      </c>
    </row>
    <row r="1646" spans="1:9" hidden="1" x14ac:dyDescent="0.25">
      <c r="A1646">
        <v>1992</v>
      </c>
      <c r="B1646" s="140" t="s">
        <v>15</v>
      </c>
      <c r="C1646" s="140" t="s">
        <v>16</v>
      </c>
      <c r="D1646" s="140" t="s">
        <v>11</v>
      </c>
      <c r="E1646" s="140" t="s">
        <v>12</v>
      </c>
      <c r="F1646">
        <v>11848</v>
      </c>
      <c r="G1646" s="140" t="s">
        <v>255</v>
      </c>
      <c r="H1646">
        <v>0</v>
      </c>
      <c r="I1646" s="140" t="s">
        <v>17</v>
      </c>
    </row>
    <row r="1647" spans="1:9" hidden="1" x14ac:dyDescent="0.25">
      <c r="A1647">
        <v>1993</v>
      </c>
      <c r="B1647" s="140" t="s">
        <v>15</v>
      </c>
      <c r="C1647" s="140" t="s">
        <v>16</v>
      </c>
      <c r="D1647" s="140" t="s">
        <v>11</v>
      </c>
      <c r="E1647" s="140" t="s">
        <v>12</v>
      </c>
      <c r="F1647">
        <v>14983</v>
      </c>
      <c r="G1647" s="140" t="s">
        <v>255</v>
      </c>
      <c r="H1647">
        <v>0</v>
      </c>
      <c r="I1647" s="140" t="s">
        <v>17</v>
      </c>
    </row>
    <row r="1648" spans="1:9" hidden="1" x14ac:dyDescent="0.25">
      <c r="A1648">
        <v>1994</v>
      </c>
      <c r="B1648" s="140" t="s">
        <v>15</v>
      </c>
      <c r="C1648" s="140" t="s">
        <v>16</v>
      </c>
      <c r="D1648" s="140" t="s">
        <v>11</v>
      </c>
      <c r="E1648" s="140" t="s">
        <v>12</v>
      </c>
      <c r="F1648">
        <v>18238</v>
      </c>
      <c r="G1648" s="140" t="s">
        <v>255</v>
      </c>
      <c r="H1648">
        <v>0</v>
      </c>
      <c r="I1648" s="140" t="s">
        <v>17</v>
      </c>
    </row>
    <row r="1649" spans="1:9" hidden="1" x14ac:dyDescent="0.25">
      <c r="A1649">
        <v>1995</v>
      </c>
      <c r="B1649" s="140" t="s">
        <v>15</v>
      </c>
      <c r="C1649" s="140" t="s">
        <v>16</v>
      </c>
      <c r="D1649" s="140" t="s">
        <v>11</v>
      </c>
      <c r="E1649" s="140" t="s">
        <v>12</v>
      </c>
      <c r="F1649">
        <v>22812</v>
      </c>
      <c r="G1649" s="140" t="s">
        <v>255</v>
      </c>
      <c r="H1649">
        <v>0</v>
      </c>
      <c r="I1649" s="140" t="s">
        <v>17</v>
      </c>
    </row>
    <row r="1650" spans="1:9" hidden="1" x14ac:dyDescent="0.25">
      <c r="A1650">
        <v>1996</v>
      </c>
      <c r="B1650" s="140" t="s">
        <v>15</v>
      </c>
      <c r="C1650" s="140" t="s">
        <v>16</v>
      </c>
      <c r="D1650" s="140" t="s">
        <v>11</v>
      </c>
      <c r="E1650" s="140" t="s">
        <v>12</v>
      </c>
      <c r="F1650">
        <v>22718</v>
      </c>
      <c r="G1650" s="140" t="s">
        <v>255</v>
      </c>
      <c r="H1650">
        <v>0</v>
      </c>
      <c r="I1650" s="140" t="s">
        <v>17</v>
      </c>
    </row>
    <row r="1651" spans="1:9" hidden="1" x14ac:dyDescent="0.25">
      <c r="A1651">
        <v>1997</v>
      </c>
      <c r="B1651" s="140" t="s">
        <v>15</v>
      </c>
      <c r="C1651" s="140" t="s">
        <v>16</v>
      </c>
      <c r="D1651" s="140" t="s">
        <v>11</v>
      </c>
      <c r="E1651" s="140" t="s">
        <v>12</v>
      </c>
      <c r="F1651">
        <v>26178</v>
      </c>
      <c r="G1651" s="140" t="s">
        <v>255</v>
      </c>
      <c r="H1651">
        <v>0</v>
      </c>
      <c r="I1651" s="140" t="s">
        <v>17</v>
      </c>
    </row>
    <row r="1652" spans="1:9" hidden="1" x14ac:dyDescent="0.25">
      <c r="A1652">
        <v>1998</v>
      </c>
      <c r="B1652" s="140" t="s">
        <v>15</v>
      </c>
      <c r="C1652" s="140" t="s">
        <v>16</v>
      </c>
      <c r="D1652" s="140" t="s">
        <v>11</v>
      </c>
      <c r="E1652" s="140" t="s">
        <v>12</v>
      </c>
      <c r="F1652">
        <v>29709</v>
      </c>
      <c r="G1652" s="140" t="s">
        <v>255</v>
      </c>
      <c r="H1652">
        <v>0</v>
      </c>
      <c r="I1652" s="140" t="s">
        <v>17</v>
      </c>
    </row>
    <row r="1653" spans="1:9" hidden="1" x14ac:dyDescent="0.25">
      <c r="A1653">
        <v>1999</v>
      </c>
      <c r="B1653" s="140" t="s">
        <v>15</v>
      </c>
      <c r="C1653" s="140" t="s">
        <v>16</v>
      </c>
      <c r="D1653" s="140" t="s">
        <v>11</v>
      </c>
      <c r="E1653" s="140" t="s">
        <v>12</v>
      </c>
      <c r="F1653">
        <v>30889</v>
      </c>
      <c r="G1653" s="140" t="s">
        <v>255</v>
      </c>
      <c r="H1653">
        <v>0</v>
      </c>
      <c r="I1653" s="140" t="s">
        <v>17</v>
      </c>
    </row>
    <row r="1654" spans="1:9" hidden="1" x14ac:dyDescent="0.25">
      <c r="A1654">
        <v>2000</v>
      </c>
      <c r="B1654" s="140" t="s">
        <v>15</v>
      </c>
      <c r="C1654" s="140" t="s">
        <v>16</v>
      </c>
      <c r="D1654" s="140" t="s">
        <v>11</v>
      </c>
      <c r="E1654" s="140" t="s">
        <v>12</v>
      </c>
      <c r="F1654">
        <v>34365</v>
      </c>
      <c r="G1654" s="140" t="s">
        <v>255</v>
      </c>
      <c r="H1654">
        <v>0</v>
      </c>
      <c r="I1654" s="140" t="s">
        <v>17</v>
      </c>
    </row>
    <row r="1655" spans="1:9" hidden="1" x14ac:dyDescent="0.25">
      <c r="A1655">
        <v>2001</v>
      </c>
      <c r="B1655" s="140" t="s">
        <v>15</v>
      </c>
      <c r="C1655" s="140" t="s">
        <v>16</v>
      </c>
      <c r="D1655" s="140" t="s">
        <v>11</v>
      </c>
      <c r="E1655" s="140" t="s">
        <v>12</v>
      </c>
      <c r="F1655">
        <v>37143</v>
      </c>
      <c r="G1655" s="140" t="s">
        <v>255</v>
      </c>
      <c r="H1655">
        <v>0</v>
      </c>
      <c r="I1655" s="140" t="s">
        <v>17</v>
      </c>
    </row>
    <row r="1656" spans="1:9" hidden="1" x14ac:dyDescent="0.25">
      <c r="A1656">
        <v>2002</v>
      </c>
      <c r="B1656" s="140" t="s">
        <v>15</v>
      </c>
      <c r="C1656" s="140" t="s">
        <v>16</v>
      </c>
      <c r="D1656" s="140" t="s">
        <v>11</v>
      </c>
      <c r="E1656" s="140" t="s">
        <v>12</v>
      </c>
      <c r="F1656">
        <v>37140</v>
      </c>
      <c r="G1656" s="140" t="s">
        <v>255</v>
      </c>
      <c r="H1656">
        <v>0</v>
      </c>
      <c r="I1656" s="140" t="s">
        <v>17</v>
      </c>
    </row>
    <row r="1657" spans="1:9" hidden="1" x14ac:dyDescent="0.25">
      <c r="A1657">
        <v>2003</v>
      </c>
      <c r="B1657" s="140" t="s">
        <v>15</v>
      </c>
      <c r="C1657" s="140" t="s">
        <v>16</v>
      </c>
      <c r="D1657" s="140" t="s">
        <v>11</v>
      </c>
      <c r="E1657" s="140" t="s">
        <v>12</v>
      </c>
      <c r="F1657">
        <v>36930</v>
      </c>
      <c r="G1657" s="140" t="s">
        <v>255</v>
      </c>
      <c r="H1657">
        <v>0</v>
      </c>
      <c r="I1657" s="140" t="s">
        <v>17</v>
      </c>
    </row>
    <row r="1658" spans="1:9" hidden="1" x14ac:dyDescent="0.25">
      <c r="A1658">
        <v>2004</v>
      </c>
      <c r="B1658" s="140" t="s">
        <v>15</v>
      </c>
      <c r="C1658" s="140" t="s">
        <v>16</v>
      </c>
      <c r="D1658" s="140" t="s">
        <v>11</v>
      </c>
      <c r="E1658" s="140" t="s">
        <v>12</v>
      </c>
      <c r="F1658">
        <v>39469</v>
      </c>
      <c r="G1658" s="140" t="s">
        <v>255</v>
      </c>
      <c r="H1658">
        <v>0</v>
      </c>
      <c r="I1658" s="140" t="s">
        <v>17</v>
      </c>
    </row>
    <row r="1659" spans="1:9" hidden="1" x14ac:dyDescent="0.25">
      <c r="A1659">
        <v>2005</v>
      </c>
      <c r="B1659" s="140" t="s">
        <v>15</v>
      </c>
      <c r="C1659" s="140" t="s">
        <v>16</v>
      </c>
      <c r="D1659" s="140" t="s">
        <v>11</v>
      </c>
      <c r="E1659" s="140" t="s">
        <v>12</v>
      </c>
      <c r="F1659">
        <v>39156</v>
      </c>
      <c r="G1659" s="140" t="s">
        <v>255</v>
      </c>
      <c r="H1659">
        <v>0</v>
      </c>
      <c r="I1659" s="140" t="s">
        <v>17</v>
      </c>
    </row>
    <row r="1660" spans="1:9" hidden="1" x14ac:dyDescent="0.25">
      <c r="A1660">
        <v>2006</v>
      </c>
      <c r="B1660" s="140" t="s">
        <v>15</v>
      </c>
      <c r="C1660" s="140" t="s">
        <v>16</v>
      </c>
      <c r="D1660" s="140" t="s">
        <v>11</v>
      </c>
      <c r="E1660" s="140" t="s">
        <v>12</v>
      </c>
      <c r="F1660">
        <v>41141</v>
      </c>
      <c r="G1660" s="140" t="s">
        <v>255</v>
      </c>
      <c r="H1660">
        <v>0</v>
      </c>
      <c r="I1660" s="140" t="s">
        <v>17</v>
      </c>
    </row>
    <row r="1661" spans="1:9" hidden="1" x14ac:dyDescent="0.25">
      <c r="A1661">
        <v>2007</v>
      </c>
      <c r="B1661" s="140" t="s">
        <v>15</v>
      </c>
      <c r="C1661" s="140" t="s">
        <v>16</v>
      </c>
      <c r="D1661" s="140" t="s">
        <v>11</v>
      </c>
      <c r="E1661" s="140" t="s">
        <v>12</v>
      </c>
      <c r="F1661">
        <v>47993</v>
      </c>
      <c r="G1661" s="140" t="s">
        <v>255</v>
      </c>
      <c r="H1661">
        <v>0</v>
      </c>
      <c r="I1661" s="140" t="s">
        <v>17</v>
      </c>
    </row>
    <row r="1662" spans="1:9" hidden="1" x14ac:dyDescent="0.25">
      <c r="A1662">
        <v>2008</v>
      </c>
      <c r="B1662" s="140" t="s">
        <v>15</v>
      </c>
      <c r="C1662" s="140" t="s">
        <v>16</v>
      </c>
      <c r="D1662" s="140" t="s">
        <v>11</v>
      </c>
      <c r="E1662" s="140" t="s">
        <v>12</v>
      </c>
      <c r="F1662">
        <v>46885</v>
      </c>
      <c r="G1662" s="140" t="s">
        <v>255</v>
      </c>
      <c r="H1662">
        <v>0</v>
      </c>
      <c r="I1662" s="140" t="s">
        <v>17</v>
      </c>
    </row>
    <row r="1663" spans="1:9" hidden="1" x14ac:dyDescent="0.25">
      <c r="A1663">
        <v>2009</v>
      </c>
      <c r="B1663" s="140" t="s">
        <v>15</v>
      </c>
      <c r="C1663" s="140" t="s">
        <v>16</v>
      </c>
      <c r="D1663" s="140" t="s">
        <v>11</v>
      </c>
      <c r="E1663" s="140" t="s">
        <v>12</v>
      </c>
      <c r="F1663">
        <v>35511</v>
      </c>
      <c r="G1663" s="140" t="s">
        <v>255</v>
      </c>
      <c r="H1663">
        <v>0</v>
      </c>
      <c r="I1663" s="140" t="s">
        <v>17</v>
      </c>
    </row>
    <row r="1664" spans="1:9" hidden="1" x14ac:dyDescent="0.25">
      <c r="A1664">
        <v>2010</v>
      </c>
      <c r="B1664" s="140" t="s">
        <v>15</v>
      </c>
      <c r="C1664" s="140" t="s">
        <v>16</v>
      </c>
      <c r="D1664" s="140" t="s">
        <v>11</v>
      </c>
      <c r="E1664" s="140" t="s">
        <v>12</v>
      </c>
      <c r="F1664">
        <v>38130</v>
      </c>
      <c r="G1664" s="140" t="s">
        <v>255</v>
      </c>
      <c r="H1664">
        <v>0</v>
      </c>
      <c r="I1664" s="140" t="s">
        <v>17</v>
      </c>
    </row>
    <row r="1665" spans="1:9" hidden="1" x14ac:dyDescent="0.25">
      <c r="A1665">
        <v>2011</v>
      </c>
      <c r="B1665" s="140" t="s">
        <v>15</v>
      </c>
      <c r="C1665" s="140" t="s">
        <v>16</v>
      </c>
      <c r="D1665" s="140" t="s">
        <v>11</v>
      </c>
      <c r="E1665" s="140" t="s">
        <v>12</v>
      </c>
      <c r="F1665">
        <v>38935</v>
      </c>
      <c r="G1665" s="140" t="s">
        <v>255</v>
      </c>
      <c r="H1665">
        <v>0</v>
      </c>
      <c r="I1665" s="140" t="s">
        <v>17</v>
      </c>
    </row>
    <row r="1666" spans="1:9" hidden="1" x14ac:dyDescent="0.25">
      <c r="A1666">
        <v>2012</v>
      </c>
      <c r="B1666" s="140" t="s">
        <v>15</v>
      </c>
      <c r="C1666" s="140" t="s">
        <v>16</v>
      </c>
      <c r="D1666" s="140" t="s">
        <v>11</v>
      </c>
      <c r="E1666" s="140" t="s">
        <v>12</v>
      </c>
      <c r="F1666">
        <v>35761</v>
      </c>
      <c r="G1666" s="140" t="s">
        <v>255</v>
      </c>
      <c r="H1666">
        <v>0</v>
      </c>
      <c r="I1666" s="140" t="s">
        <v>17</v>
      </c>
    </row>
    <row r="1667" spans="1:9" hidden="1" x14ac:dyDescent="0.25">
      <c r="A1667">
        <v>2013</v>
      </c>
      <c r="B1667" s="140" t="s">
        <v>15</v>
      </c>
      <c r="C1667" s="140" t="s">
        <v>16</v>
      </c>
      <c r="D1667" s="140" t="s">
        <v>11</v>
      </c>
      <c r="E1667" s="140" t="s">
        <v>12</v>
      </c>
      <c r="F1667">
        <v>35982</v>
      </c>
      <c r="G1667" s="140" t="s">
        <v>255</v>
      </c>
      <c r="H1667">
        <v>0</v>
      </c>
      <c r="I1667" s="140" t="s">
        <v>17</v>
      </c>
    </row>
    <row r="1668" spans="1:9" hidden="1" x14ac:dyDescent="0.25">
      <c r="A1668">
        <v>2014</v>
      </c>
      <c r="B1668" s="140" t="s">
        <v>15</v>
      </c>
      <c r="C1668" s="140" t="s">
        <v>16</v>
      </c>
      <c r="D1668" s="140" t="s">
        <v>11</v>
      </c>
      <c r="E1668" s="140" t="s">
        <v>12</v>
      </c>
      <c r="F1668">
        <v>37384</v>
      </c>
      <c r="G1668" s="140" t="s">
        <v>255</v>
      </c>
      <c r="H1668">
        <v>0</v>
      </c>
      <c r="I1668" s="140" t="s">
        <v>17</v>
      </c>
    </row>
    <row r="1669" spans="1:9" hidden="1" x14ac:dyDescent="0.25">
      <c r="A1669">
        <v>2015</v>
      </c>
      <c r="B1669" s="140" t="s">
        <v>15</v>
      </c>
      <c r="C1669" s="140" t="s">
        <v>16</v>
      </c>
      <c r="D1669" s="140" t="s">
        <v>11</v>
      </c>
      <c r="E1669" s="140" t="s">
        <v>12</v>
      </c>
      <c r="F1669">
        <v>39887</v>
      </c>
      <c r="G1669" s="140" t="s">
        <v>255</v>
      </c>
      <c r="H1669">
        <v>0</v>
      </c>
      <c r="I1669" s="140" t="s">
        <v>17</v>
      </c>
    </row>
    <row r="1670" spans="1:9" hidden="1" x14ac:dyDescent="0.25">
      <c r="A1670">
        <v>2016</v>
      </c>
      <c r="B1670" s="140" t="s">
        <v>15</v>
      </c>
      <c r="C1670" s="140" t="s">
        <v>16</v>
      </c>
      <c r="D1670" s="140" t="s">
        <v>11</v>
      </c>
      <c r="E1670" s="140" t="s">
        <v>12</v>
      </c>
      <c r="F1670">
        <v>41549</v>
      </c>
      <c r="G1670" s="140" t="s">
        <v>255</v>
      </c>
      <c r="H1670">
        <v>0</v>
      </c>
      <c r="I1670" s="140" t="s">
        <v>17</v>
      </c>
    </row>
    <row r="1671" spans="1:9" hidden="1" x14ac:dyDescent="0.25">
      <c r="A1671">
        <v>2017</v>
      </c>
      <c r="B1671" s="140" t="s">
        <v>15</v>
      </c>
      <c r="C1671" s="140" t="s">
        <v>16</v>
      </c>
      <c r="D1671" s="140" t="s">
        <v>11</v>
      </c>
      <c r="E1671" s="140" t="s">
        <v>12</v>
      </c>
      <c r="F1671">
        <v>48002</v>
      </c>
      <c r="G1671" s="140" t="s">
        <v>255</v>
      </c>
      <c r="H1671">
        <v>0</v>
      </c>
      <c r="I1671" s="140" t="s">
        <v>17</v>
      </c>
    </row>
    <row r="1672" spans="1:9" hidden="1" x14ac:dyDescent="0.25">
      <c r="A1672">
        <v>2018</v>
      </c>
      <c r="B1672" s="140" t="s">
        <v>15</v>
      </c>
      <c r="C1672" s="140" t="s">
        <v>16</v>
      </c>
      <c r="D1672" s="140" t="s">
        <v>11</v>
      </c>
      <c r="E1672" s="140" t="s">
        <v>12</v>
      </c>
      <c r="F1672">
        <v>47893</v>
      </c>
      <c r="G1672" s="140" t="s">
        <v>255</v>
      </c>
      <c r="H1672">
        <v>0</v>
      </c>
      <c r="I1672" s="140" t="s">
        <v>17</v>
      </c>
    </row>
    <row r="1673" spans="1:9" hidden="1" x14ac:dyDescent="0.25">
      <c r="A1673">
        <v>2019</v>
      </c>
      <c r="B1673" s="140" t="s">
        <v>15</v>
      </c>
      <c r="C1673" s="140" t="s">
        <v>16</v>
      </c>
      <c r="D1673" s="140" t="s">
        <v>11</v>
      </c>
      <c r="E1673" s="140" t="s">
        <v>12</v>
      </c>
      <c r="F1673">
        <v>48026</v>
      </c>
      <c r="G1673" s="140" t="s">
        <v>255</v>
      </c>
      <c r="H1673">
        <v>0</v>
      </c>
      <c r="I1673" s="140" t="s">
        <v>17</v>
      </c>
    </row>
    <row r="1674" spans="1:9" hidden="1" x14ac:dyDescent="0.25">
      <c r="A1674">
        <v>2020</v>
      </c>
      <c r="B1674" s="140" t="s">
        <v>15</v>
      </c>
      <c r="C1674" s="140" t="s">
        <v>16</v>
      </c>
      <c r="D1674" s="140" t="s">
        <v>11</v>
      </c>
      <c r="E1674" s="140" t="s">
        <v>12</v>
      </c>
      <c r="F1674">
        <v>48602</v>
      </c>
      <c r="G1674" s="140" t="s">
        <v>255</v>
      </c>
      <c r="H1674">
        <v>0</v>
      </c>
      <c r="I1674" s="140" t="s">
        <v>17</v>
      </c>
    </row>
    <row r="1675" spans="1:9" hidden="1" x14ac:dyDescent="0.25">
      <c r="A1675">
        <v>2021</v>
      </c>
      <c r="B1675" s="140" t="s">
        <v>15</v>
      </c>
      <c r="C1675" s="140" t="s">
        <v>16</v>
      </c>
      <c r="D1675" s="140" t="s">
        <v>11</v>
      </c>
      <c r="E1675" s="140" t="s">
        <v>12</v>
      </c>
      <c r="F1675">
        <v>50100</v>
      </c>
      <c r="G1675" s="140" t="s">
        <v>255</v>
      </c>
      <c r="H1675">
        <v>0</v>
      </c>
      <c r="I1675" s="140" t="s">
        <v>17</v>
      </c>
    </row>
    <row r="1676" spans="1:9" hidden="1" x14ac:dyDescent="0.25">
      <c r="A1676">
        <v>2022</v>
      </c>
      <c r="B1676" s="140" t="s">
        <v>15</v>
      </c>
      <c r="C1676" s="140" t="s">
        <v>16</v>
      </c>
      <c r="D1676" s="140" t="s">
        <v>11</v>
      </c>
      <c r="E1676" s="140" t="s">
        <v>12</v>
      </c>
      <c r="F1676">
        <v>52183</v>
      </c>
      <c r="G1676" s="140" t="s">
        <v>255</v>
      </c>
      <c r="H1676">
        <v>0</v>
      </c>
      <c r="I1676" s="140" t="s">
        <v>17</v>
      </c>
    </row>
    <row r="1677" spans="1:9" hidden="1" x14ac:dyDescent="0.25">
      <c r="A1677">
        <v>2023</v>
      </c>
      <c r="B1677" s="140" t="s">
        <v>15</v>
      </c>
      <c r="C1677" s="140" t="s">
        <v>16</v>
      </c>
      <c r="D1677" s="140" t="s">
        <v>11</v>
      </c>
      <c r="E1677" s="140" t="s">
        <v>12</v>
      </c>
      <c r="F1677">
        <v>50373</v>
      </c>
      <c r="G1677" s="140" t="s">
        <v>255</v>
      </c>
      <c r="H1677">
        <v>0</v>
      </c>
      <c r="I1677" s="140" t="s">
        <v>17</v>
      </c>
    </row>
    <row r="1678" spans="1:9" hidden="1" x14ac:dyDescent="0.25">
      <c r="A1678">
        <v>2024</v>
      </c>
      <c r="B1678" s="140" t="s">
        <v>15</v>
      </c>
      <c r="C1678" s="140" t="s">
        <v>16</v>
      </c>
      <c r="D1678" s="140" t="s">
        <v>11</v>
      </c>
      <c r="E1678" s="140" t="s">
        <v>12</v>
      </c>
      <c r="F1678">
        <v>51205</v>
      </c>
      <c r="G1678" s="140" t="s">
        <v>255</v>
      </c>
      <c r="H1678">
        <v>0</v>
      </c>
      <c r="I1678" s="140" t="s">
        <v>17</v>
      </c>
    </row>
    <row r="1679" spans="1:9" hidden="1" x14ac:dyDescent="0.25">
      <c r="A1679">
        <v>2025</v>
      </c>
      <c r="B1679" s="140" t="s">
        <v>15</v>
      </c>
      <c r="C1679" s="140" t="s">
        <v>16</v>
      </c>
      <c r="D1679" s="140" t="s">
        <v>11</v>
      </c>
      <c r="E1679" s="140" t="s">
        <v>12</v>
      </c>
      <c r="F1679">
        <v>51613</v>
      </c>
      <c r="G1679" s="140" t="s">
        <v>255</v>
      </c>
      <c r="H1679">
        <v>0</v>
      </c>
      <c r="I1679" s="140" t="s">
        <v>17</v>
      </c>
    </row>
    <row r="1680" spans="1:9" hidden="1" x14ac:dyDescent="0.25">
      <c r="A1680">
        <v>2026</v>
      </c>
      <c r="B1680" s="140" t="s">
        <v>15</v>
      </c>
      <c r="C1680" s="140" t="s">
        <v>16</v>
      </c>
      <c r="D1680" s="140" t="s">
        <v>11</v>
      </c>
      <c r="E1680" s="140" t="s">
        <v>12</v>
      </c>
      <c r="F1680">
        <v>53795.308429999997</v>
      </c>
      <c r="G1680" s="140" t="s">
        <v>255</v>
      </c>
      <c r="H1680">
        <v>0</v>
      </c>
      <c r="I1680" s="140" t="s">
        <v>17</v>
      </c>
    </row>
    <row r="1681" spans="1:9" hidden="1" x14ac:dyDescent="0.25">
      <c r="A1681">
        <v>2027</v>
      </c>
      <c r="B1681" s="140" t="s">
        <v>15</v>
      </c>
      <c r="C1681" s="140" t="s">
        <v>16</v>
      </c>
      <c r="D1681" s="140" t="s">
        <v>11</v>
      </c>
      <c r="E1681" s="140" t="s">
        <v>12</v>
      </c>
      <c r="F1681">
        <v>55929.847179999997</v>
      </c>
      <c r="G1681" s="140" t="s">
        <v>255</v>
      </c>
      <c r="H1681">
        <v>0</v>
      </c>
      <c r="I1681" s="140" t="s">
        <v>17</v>
      </c>
    </row>
    <row r="1682" spans="1:9" hidden="1" x14ac:dyDescent="0.25">
      <c r="A1682">
        <v>2028</v>
      </c>
      <c r="B1682" s="140" t="s">
        <v>15</v>
      </c>
      <c r="C1682" s="140" t="s">
        <v>16</v>
      </c>
      <c r="D1682" s="140" t="s">
        <v>11</v>
      </c>
      <c r="E1682" s="140" t="s">
        <v>12</v>
      </c>
      <c r="F1682">
        <v>58202.497080000001</v>
      </c>
      <c r="G1682" s="140" t="s">
        <v>255</v>
      </c>
      <c r="H1682">
        <v>0</v>
      </c>
      <c r="I1682" s="140" t="s">
        <v>17</v>
      </c>
    </row>
    <row r="1683" spans="1:9" hidden="1" x14ac:dyDescent="0.25">
      <c r="A1683">
        <v>2029</v>
      </c>
      <c r="B1683" s="140" t="s">
        <v>15</v>
      </c>
      <c r="C1683" s="140" t="s">
        <v>16</v>
      </c>
      <c r="D1683" s="140" t="s">
        <v>11</v>
      </c>
      <c r="E1683" s="140" t="s">
        <v>12</v>
      </c>
      <c r="F1683">
        <v>60289.073400000001</v>
      </c>
      <c r="G1683" s="140" t="s">
        <v>255</v>
      </c>
      <c r="H1683">
        <v>0</v>
      </c>
      <c r="I1683" s="140" t="s">
        <v>17</v>
      </c>
    </row>
    <row r="1684" spans="1:9" hidden="1" x14ac:dyDescent="0.25">
      <c r="A1684">
        <v>2030</v>
      </c>
      <c r="B1684" s="140" t="s">
        <v>15</v>
      </c>
      <c r="C1684" s="140" t="s">
        <v>16</v>
      </c>
      <c r="D1684" s="140" t="s">
        <v>11</v>
      </c>
      <c r="E1684" s="140" t="s">
        <v>12</v>
      </c>
      <c r="F1684">
        <v>62231.828979999998</v>
      </c>
      <c r="G1684" s="140" t="s">
        <v>255</v>
      </c>
      <c r="H1684">
        <v>0</v>
      </c>
      <c r="I1684" s="140" t="s">
        <v>17</v>
      </c>
    </row>
    <row r="1685" spans="1:9" hidden="1" x14ac:dyDescent="0.25">
      <c r="A1685">
        <v>1990</v>
      </c>
      <c r="B1685" s="140" t="s">
        <v>58</v>
      </c>
      <c r="C1685" s="140" t="s">
        <v>243</v>
      </c>
      <c r="D1685" s="140" t="s">
        <v>11</v>
      </c>
      <c r="E1685" s="140" t="s">
        <v>12</v>
      </c>
      <c r="F1685">
        <v>13399</v>
      </c>
      <c r="G1685" s="140" t="s">
        <v>256</v>
      </c>
      <c r="H1685">
        <v>0</v>
      </c>
      <c r="I1685" s="140" t="s">
        <v>17</v>
      </c>
    </row>
    <row r="1686" spans="1:9" hidden="1" x14ac:dyDescent="0.25">
      <c r="A1686">
        <v>1991</v>
      </c>
      <c r="B1686" s="140" t="s">
        <v>58</v>
      </c>
      <c r="C1686" s="140" t="s">
        <v>243</v>
      </c>
      <c r="D1686" s="140" t="s">
        <v>11</v>
      </c>
      <c r="E1686" s="140" t="s">
        <v>12</v>
      </c>
      <c r="F1686">
        <v>12862</v>
      </c>
      <c r="G1686" s="140" t="s">
        <v>256</v>
      </c>
      <c r="H1686">
        <v>0</v>
      </c>
      <c r="I1686" s="140" t="s">
        <v>17</v>
      </c>
    </row>
    <row r="1687" spans="1:9" hidden="1" x14ac:dyDescent="0.25">
      <c r="A1687">
        <v>1992</v>
      </c>
      <c r="B1687" s="140" t="s">
        <v>58</v>
      </c>
      <c r="C1687" s="140" t="s">
        <v>243</v>
      </c>
      <c r="D1687" s="140" t="s">
        <v>11</v>
      </c>
      <c r="E1687" s="140" t="s">
        <v>12</v>
      </c>
      <c r="F1687">
        <v>12296</v>
      </c>
      <c r="G1687" s="140" t="s">
        <v>256</v>
      </c>
      <c r="H1687">
        <v>0</v>
      </c>
      <c r="I1687" s="140" t="s">
        <v>17</v>
      </c>
    </row>
    <row r="1688" spans="1:9" hidden="1" x14ac:dyDescent="0.25">
      <c r="A1688">
        <v>1993</v>
      </c>
      <c r="B1688" s="140" t="s">
        <v>58</v>
      </c>
      <c r="C1688" s="140" t="s">
        <v>243</v>
      </c>
      <c r="D1688" s="140" t="s">
        <v>11</v>
      </c>
      <c r="E1688" s="140" t="s">
        <v>12</v>
      </c>
      <c r="F1688">
        <v>12161</v>
      </c>
      <c r="G1688" s="140" t="s">
        <v>256</v>
      </c>
      <c r="H1688">
        <v>0</v>
      </c>
      <c r="I1688" s="140" t="s">
        <v>17</v>
      </c>
    </row>
    <row r="1689" spans="1:9" hidden="1" x14ac:dyDescent="0.25">
      <c r="A1689">
        <v>1994</v>
      </c>
      <c r="B1689" s="140" t="s">
        <v>58</v>
      </c>
      <c r="C1689" s="140" t="s">
        <v>243</v>
      </c>
      <c r="D1689" s="140" t="s">
        <v>11</v>
      </c>
      <c r="E1689" s="140" t="s">
        <v>12</v>
      </c>
      <c r="F1689">
        <v>12882</v>
      </c>
      <c r="G1689" s="140" t="s">
        <v>256</v>
      </c>
      <c r="H1689">
        <v>0</v>
      </c>
      <c r="I1689" s="140" t="s">
        <v>17</v>
      </c>
    </row>
    <row r="1690" spans="1:9" hidden="1" x14ac:dyDescent="0.25">
      <c r="A1690">
        <v>1995</v>
      </c>
      <c r="B1690" s="140" t="s">
        <v>58</v>
      </c>
      <c r="C1690" s="140" t="s">
        <v>243</v>
      </c>
      <c r="D1690" s="140" t="s">
        <v>11</v>
      </c>
      <c r="E1690" s="140" t="s">
        <v>12</v>
      </c>
      <c r="F1690">
        <v>13418</v>
      </c>
      <c r="G1690" s="140" t="s">
        <v>256</v>
      </c>
      <c r="H1690">
        <v>0</v>
      </c>
      <c r="I1690" s="140" t="s">
        <v>17</v>
      </c>
    </row>
    <row r="1691" spans="1:9" hidden="1" x14ac:dyDescent="0.25">
      <c r="A1691">
        <v>1996</v>
      </c>
      <c r="B1691" s="140" t="s">
        <v>58</v>
      </c>
      <c r="C1691" s="140" t="s">
        <v>243</v>
      </c>
      <c r="D1691" s="140" t="s">
        <v>11</v>
      </c>
      <c r="E1691" s="140" t="s">
        <v>12</v>
      </c>
      <c r="F1691">
        <v>14003</v>
      </c>
      <c r="G1691" s="140" t="s">
        <v>256</v>
      </c>
      <c r="H1691">
        <v>0</v>
      </c>
      <c r="I1691" s="140" t="s">
        <v>17</v>
      </c>
    </row>
    <row r="1692" spans="1:9" hidden="1" x14ac:dyDescent="0.25">
      <c r="A1692">
        <v>1997</v>
      </c>
      <c r="B1692" s="140" t="s">
        <v>58</v>
      </c>
      <c r="C1692" s="140" t="s">
        <v>243</v>
      </c>
      <c r="D1692" s="140" t="s">
        <v>11</v>
      </c>
      <c r="E1692" s="140" t="s">
        <v>12</v>
      </c>
      <c r="F1692">
        <v>15835</v>
      </c>
      <c r="G1692" s="140" t="s">
        <v>256</v>
      </c>
      <c r="H1692">
        <v>0</v>
      </c>
      <c r="I1692" s="140" t="s">
        <v>17</v>
      </c>
    </row>
    <row r="1693" spans="1:9" hidden="1" x14ac:dyDescent="0.25">
      <c r="A1693">
        <v>1998</v>
      </c>
      <c r="B1693" s="140" t="s">
        <v>58</v>
      </c>
      <c r="C1693" s="140" t="s">
        <v>243</v>
      </c>
      <c r="D1693" s="140" t="s">
        <v>11</v>
      </c>
      <c r="E1693" s="140" t="s">
        <v>12</v>
      </c>
      <c r="F1693">
        <v>16826</v>
      </c>
      <c r="G1693" s="140" t="s">
        <v>256</v>
      </c>
      <c r="H1693">
        <v>0</v>
      </c>
      <c r="I1693" s="140" t="s">
        <v>17</v>
      </c>
    </row>
    <row r="1694" spans="1:9" hidden="1" x14ac:dyDescent="0.25">
      <c r="A1694">
        <v>1999</v>
      </c>
      <c r="B1694" s="140" t="s">
        <v>58</v>
      </c>
      <c r="C1694" s="140" t="s">
        <v>243</v>
      </c>
      <c r="D1694" s="140" t="s">
        <v>11</v>
      </c>
      <c r="E1694" s="140" t="s">
        <v>12</v>
      </c>
      <c r="F1694">
        <v>17622</v>
      </c>
      <c r="G1694" s="140" t="s">
        <v>256</v>
      </c>
      <c r="H1694">
        <v>0</v>
      </c>
      <c r="I1694" s="140" t="s">
        <v>17</v>
      </c>
    </row>
    <row r="1695" spans="1:9" hidden="1" x14ac:dyDescent="0.25">
      <c r="A1695">
        <v>2000</v>
      </c>
      <c r="B1695" s="140" t="s">
        <v>58</v>
      </c>
      <c r="C1695" s="140" t="s">
        <v>243</v>
      </c>
      <c r="D1695" s="140" t="s">
        <v>11</v>
      </c>
      <c r="E1695" s="140" t="s">
        <v>12</v>
      </c>
      <c r="F1695">
        <v>18285</v>
      </c>
      <c r="G1695" s="140" t="s">
        <v>256</v>
      </c>
      <c r="H1695">
        <v>0</v>
      </c>
      <c r="I1695" s="140" t="s">
        <v>17</v>
      </c>
    </row>
    <row r="1696" spans="1:9" hidden="1" x14ac:dyDescent="0.25">
      <c r="A1696">
        <v>2001</v>
      </c>
      <c r="B1696" s="140" t="s">
        <v>58</v>
      </c>
      <c r="C1696" s="140" t="s">
        <v>243</v>
      </c>
      <c r="D1696" s="140" t="s">
        <v>11</v>
      </c>
      <c r="E1696" s="140" t="s">
        <v>12</v>
      </c>
      <c r="F1696">
        <v>18615</v>
      </c>
      <c r="G1696" s="140" t="s">
        <v>256</v>
      </c>
      <c r="H1696">
        <v>0</v>
      </c>
      <c r="I1696" s="140" t="s">
        <v>17</v>
      </c>
    </row>
    <row r="1697" spans="1:9" hidden="1" x14ac:dyDescent="0.25">
      <c r="A1697">
        <v>2002</v>
      </c>
      <c r="B1697" s="140" t="s">
        <v>58</v>
      </c>
      <c r="C1697" s="140" t="s">
        <v>243</v>
      </c>
      <c r="D1697" s="140" t="s">
        <v>11</v>
      </c>
      <c r="E1697" s="140" t="s">
        <v>12</v>
      </c>
      <c r="F1697">
        <v>19608</v>
      </c>
      <c r="G1697" s="140" t="s">
        <v>256</v>
      </c>
      <c r="H1697">
        <v>0</v>
      </c>
      <c r="I1697" s="140" t="s">
        <v>17</v>
      </c>
    </row>
    <row r="1698" spans="1:9" hidden="1" x14ac:dyDescent="0.25">
      <c r="A1698">
        <v>2003</v>
      </c>
      <c r="B1698" s="140" t="s">
        <v>58</v>
      </c>
      <c r="C1698" s="140" t="s">
        <v>243</v>
      </c>
      <c r="D1698" s="140" t="s">
        <v>11</v>
      </c>
      <c r="E1698" s="140" t="s">
        <v>12</v>
      </c>
      <c r="F1698">
        <v>20693</v>
      </c>
      <c r="G1698" s="140" t="s">
        <v>256</v>
      </c>
      <c r="H1698">
        <v>0</v>
      </c>
      <c r="I1698" s="140" t="s">
        <v>17</v>
      </c>
    </row>
    <row r="1699" spans="1:9" hidden="1" x14ac:dyDescent="0.25">
      <c r="A1699">
        <v>2004</v>
      </c>
      <c r="B1699" s="140" t="s">
        <v>58</v>
      </c>
      <c r="C1699" s="140" t="s">
        <v>243</v>
      </c>
      <c r="D1699" s="140" t="s">
        <v>11</v>
      </c>
      <c r="E1699" s="140" t="s">
        <v>12</v>
      </c>
      <c r="F1699">
        <v>20987</v>
      </c>
      <c r="G1699" s="140" t="s">
        <v>256</v>
      </c>
      <c r="H1699">
        <v>0</v>
      </c>
      <c r="I1699" s="140" t="s">
        <v>17</v>
      </c>
    </row>
    <row r="1700" spans="1:9" hidden="1" x14ac:dyDescent="0.25">
      <c r="A1700">
        <v>2005</v>
      </c>
      <c r="B1700" s="140" t="s">
        <v>58</v>
      </c>
      <c r="C1700" s="140" t="s">
        <v>243</v>
      </c>
      <c r="D1700" s="140" t="s">
        <v>11</v>
      </c>
      <c r="E1700" s="140" t="s">
        <v>12</v>
      </c>
      <c r="F1700">
        <v>21886</v>
      </c>
      <c r="G1700" s="140" t="s">
        <v>256</v>
      </c>
      <c r="H1700">
        <v>0</v>
      </c>
      <c r="I1700" s="140" t="s">
        <v>17</v>
      </c>
    </row>
    <row r="1701" spans="1:9" hidden="1" x14ac:dyDescent="0.25">
      <c r="A1701">
        <v>2006</v>
      </c>
      <c r="B1701" s="140" t="s">
        <v>58</v>
      </c>
      <c r="C1701" s="140" t="s">
        <v>243</v>
      </c>
      <c r="D1701" s="140" t="s">
        <v>11</v>
      </c>
      <c r="E1701" s="140" t="s">
        <v>12</v>
      </c>
      <c r="F1701">
        <v>22840</v>
      </c>
      <c r="G1701" s="140" t="s">
        <v>256</v>
      </c>
      <c r="H1701">
        <v>0</v>
      </c>
      <c r="I1701" s="140" t="s">
        <v>17</v>
      </c>
    </row>
    <row r="1702" spans="1:9" hidden="1" x14ac:dyDescent="0.25">
      <c r="A1702">
        <v>2007</v>
      </c>
      <c r="B1702" s="140" t="s">
        <v>58</v>
      </c>
      <c r="C1702" s="140" t="s">
        <v>243</v>
      </c>
      <c r="D1702" s="140" t="s">
        <v>11</v>
      </c>
      <c r="E1702" s="140" t="s">
        <v>12</v>
      </c>
      <c r="F1702">
        <v>23625</v>
      </c>
      <c r="G1702" s="140" t="s">
        <v>256</v>
      </c>
      <c r="H1702">
        <v>0</v>
      </c>
      <c r="I1702" s="140" t="s">
        <v>17</v>
      </c>
    </row>
    <row r="1703" spans="1:9" hidden="1" x14ac:dyDescent="0.25">
      <c r="A1703">
        <v>2008</v>
      </c>
      <c r="B1703" s="140" t="s">
        <v>58</v>
      </c>
      <c r="C1703" s="140" t="s">
        <v>243</v>
      </c>
      <c r="D1703" s="140" t="s">
        <v>11</v>
      </c>
      <c r="E1703" s="140" t="s">
        <v>12</v>
      </c>
      <c r="F1703">
        <v>24061</v>
      </c>
      <c r="G1703" s="140" t="s">
        <v>256</v>
      </c>
      <c r="H1703">
        <v>0</v>
      </c>
      <c r="I1703" s="140" t="s">
        <v>17</v>
      </c>
    </row>
    <row r="1704" spans="1:9" hidden="1" x14ac:dyDescent="0.25">
      <c r="A1704">
        <v>2009</v>
      </c>
      <c r="B1704" s="140" t="s">
        <v>58</v>
      </c>
      <c r="C1704" s="140" t="s">
        <v>243</v>
      </c>
      <c r="D1704" s="140" t="s">
        <v>11</v>
      </c>
      <c r="E1704" s="140" t="s">
        <v>12</v>
      </c>
      <c r="F1704">
        <v>23378</v>
      </c>
      <c r="G1704" s="140" t="s">
        <v>256</v>
      </c>
      <c r="H1704">
        <v>0</v>
      </c>
      <c r="I1704" s="140" t="s">
        <v>17</v>
      </c>
    </row>
    <row r="1705" spans="1:9" hidden="1" x14ac:dyDescent="0.25">
      <c r="A1705">
        <v>2010</v>
      </c>
      <c r="B1705" s="140" t="s">
        <v>58</v>
      </c>
      <c r="C1705" s="140" t="s">
        <v>243</v>
      </c>
      <c r="D1705" s="140" t="s">
        <v>11</v>
      </c>
      <c r="E1705" s="140" t="s">
        <v>12</v>
      </c>
      <c r="F1705">
        <v>25395</v>
      </c>
      <c r="G1705" s="140" t="s">
        <v>256</v>
      </c>
      <c r="H1705">
        <v>0</v>
      </c>
      <c r="I1705" s="140" t="s">
        <v>17</v>
      </c>
    </row>
    <row r="1706" spans="1:9" hidden="1" x14ac:dyDescent="0.25">
      <c r="A1706">
        <v>2011</v>
      </c>
      <c r="B1706" s="140" t="s">
        <v>58</v>
      </c>
      <c r="C1706" s="140" t="s">
        <v>243</v>
      </c>
      <c r="D1706" s="140" t="s">
        <v>11</v>
      </c>
      <c r="E1706" s="140" t="s">
        <v>12</v>
      </c>
      <c r="F1706">
        <v>28379</v>
      </c>
      <c r="G1706" s="140" t="s">
        <v>256</v>
      </c>
      <c r="H1706">
        <v>0</v>
      </c>
      <c r="I1706" s="140" t="s">
        <v>17</v>
      </c>
    </row>
    <row r="1707" spans="1:9" hidden="1" x14ac:dyDescent="0.25">
      <c r="A1707">
        <v>2012</v>
      </c>
      <c r="B1707" s="140" t="s">
        <v>58</v>
      </c>
      <c r="C1707" s="140" t="s">
        <v>243</v>
      </c>
      <c r="D1707" s="140" t="s">
        <v>11</v>
      </c>
      <c r="E1707" s="140" t="s">
        <v>12</v>
      </c>
      <c r="F1707">
        <v>29405</v>
      </c>
      <c r="G1707" s="140" t="s">
        <v>256</v>
      </c>
      <c r="H1707">
        <v>0</v>
      </c>
      <c r="I1707" s="140" t="s">
        <v>17</v>
      </c>
    </row>
    <row r="1708" spans="1:9" hidden="1" x14ac:dyDescent="0.25">
      <c r="A1708">
        <v>2013</v>
      </c>
      <c r="B1708" s="140" t="s">
        <v>58</v>
      </c>
      <c r="C1708" s="140" t="s">
        <v>243</v>
      </c>
      <c r="D1708" s="140" t="s">
        <v>11</v>
      </c>
      <c r="E1708" s="140" t="s">
        <v>12</v>
      </c>
      <c r="F1708">
        <v>30669</v>
      </c>
      <c r="G1708" s="140" t="s">
        <v>256</v>
      </c>
      <c r="H1708">
        <v>0</v>
      </c>
      <c r="I1708" s="140" t="s">
        <v>17</v>
      </c>
    </row>
    <row r="1709" spans="1:9" hidden="1" x14ac:dyDescent="0.25">
      <c r="A1709">
        <v>2014</v>
      </c>
      <c r="B1709" s="140" t="s">
        <v>58</v>
      </c>
      <c r="C1709" s="140" t="s">
        <v>243</v>
      </c>
      <c r="D1709" s="140" t="s">
        <v>11</v>
      </c>
      <c r="E1709" s="140" t="s">
        <v>12</v>
      </c>
      <c r="F1709">
        <v>31068</v>
      </c>
      <c r="G1709" s="140" t="s">
        <v>256</v>
      </c>
      <c r="H1709">
        <v>0</v>
      </c>
      <c r="I1709" s="140" t="s">
        <v>17</v>
      </c>
    </row>
    <row r="1710" spans="1:9" hidden="1" x14ac:dyDescent="0.25">
      <c r="A1710">
        <v>2015</v>
      </c>
      <c r="B1710" s="140" t="s">
        <v>58</v>
      </c>
      <c r="C1710" s="140" t="s">
        <v>243</v>
      </c>
      <c r="D1710" s="140" t="s">
        <v>11</v>
      </c>
      <c r="E1710" s="140" t="s">
        <v>12</v>
      </c>
      <c r="F1710">
        <v>31273</v>
      </c>
      <c r="G1710" s="140" t="s">
        <v>256</v>
      </c>
      <c r="H1710">
        <v>0</v>
      </c>
      <c r="I1710" s="140" t="s">
        <v>17</v>
      </c>
    </row>
    <row r="1711" spans="1:9" hidden="1" x14ac:dyDescent="0.25">
      <c r="A1711">
        <v>2016</v>
      </c>
      <c r="B1711" s="140" t="s">
        <v>58</v>
      </c>
      <c r="C1711" s="140" t="s">
        <v>243</v>
      </c>
      <c r="D1711" s="140" t="s">
        <v>11</v>
      </c>
      <c r="E1711" s="140" t="s">
        <v>12</v>
      </c>
      <c r="F1711">
        <v>32754</v>
      </c>
      <c r="G1711" s="140" t="s">
        <v>256</v>
      </c>
      <c r="H1711">
        <v>0</v>
      </c>
      <c r="I1711" s="140" t="s">
        <v>17</v>
      </c>
    </row>
    <row r="1712" spans="1:9" hidden="1" x14ac:dyDescent="0.25">
      <c r="A1712">
        <v>2017</v>
      </c>
      <c r="B1712" s="140" t="s">
        <v>58</v>
      </c>
      <c r="C1712" s="140" t="s">
        <v>243</v>
      </c>
      <c r="D1712" s="140" t="s">
        <v>11</v>
      </c>
      <c r="E1712" s="140" t="s">
        <v>12</v>
      </c>
      <c r="F1712">
        <v>33338</v>
      </c>
      <c r="G1712" s="140" t="s">
        <v>256</v>
      </c>
      <c r="H1712">
        <v>0</v>
      </c>
      <c r="I1712" s="140" t="s">
        <v>17</v>
      </c>
    </row>
    <row r="1713" spans="1:9" hidden="1" x14ac:dyDescent="0.25">
      <c r="A1713">
        <v>2018</v>
      </c>
      <c r="B1713" s="140" t="s">
        <v>58</v>
      </c>
      <c r="C1713" s="140" t="s">
        <v>243</v>
      </c>
      <c r="D1713" s="140" t="s">
        <v>11</v>
      </c>
      <c r="E1713" s="140" t="s">
        <v>12</v>
      </c>
      <c r="F1713">
        <v>34834</v>
      </c>
      <c r="G1713" s="140" t="s">
        <v>256</v>
      </c>
      <c r="H1713">
        <v>0</v>
      </c>
      <c r="I1713" s="140" t="s">
        <v>17</v>
      </c>
    </row>
    <row r="1714" spans="1:9" hidden="1" x14ac:dyDescent="0.25">
      <c r="A1714">
        <v>2019</v>
      </c>
      <c r="B1714" s="140" t="s">
        <v>58</v>
      </c>
      <c r="C1714" s="140" t="s">
        <v>243</v>
      </c>
      <c r="D1714" s="140" t="s">
        <v>11</v>
      </c>
      <c r="E1714" s="140" t="s">
        <v>12</v>
      </c>
      <c r="F1714">
        <v>35504</v>
      </c>
      <c r="G1714" s="140" t="s">
        <v>256</v>
      </c>
      <c r="H1714">
        <v>0</v>
      </c>
      <c r="I1714" s="140" t="s">
        <v>17</v>
      </c>
    </row>
    <row r="1715" spans="1:9" hidden="1" x14ac:dyDescent="0.25">
      <c r="A1715">
        <v>2020</v>
      </c>
      <c r="B1715" s="140" t="s">
        <v>58</v>
      </c>
      <c r="C1715" s="140" t="s">
        <v>243</v>
      </c>
      <c r="D1715" s="140" t="s">
        <v>11</v>
      </c>
      <c r="E1715" s="140" t="s">
        <v>12</v>
      </c>
      <c r="F1715">
        <v>35061</v>
      </c>
      <c r="G1715" s="140" t="s">
        <v>256</v>
      </c>
      <c r="H1715">
        <v>0</v>
      </c>
      <c r="I1715" s="140" t="s">
        <v>17</v>
      </c>
    </row>
    <row r="1716" spans="1:9" hidden="1" x14ac:dyDescent="0.25">
      <c r="A1716">
        <v>2021</v>
      </c>
      <c r="B1716" s="140" t="s">
        <v>58</v>
      </c>
      <c r="C1716" s="140" t="s">
        <v>243</v>
      </c>
      <c r="D1716" s="140" t="s">
        <v>11</v>
      </c>
      <c r="E1716" s="140" t="s">
        <v>12</v>
      </c>
      <c r="F1716">
        <v>36649</v>
      </c>
      <c r="G1716" s="140" t="s">
        <v>256</v>
      </c>
      <c r="H1716">
        <v>0</v>
      </c>
      <c r="I1716" s="140" t="s">
        <v>17</v>
      </c>
    </row>
    <row r="1717" spans="1:9" hidden="1" x14ac:dyDescent="0.25">
      <c r="A1717">
        <v>2022</v>
      </c>
      <c r="B1717" s="140" t="s">
        <v>58</v>
      </c>
      <c r="C1717" s="140" t="s">
        <v>243</v>
      </c>
      <c r="D1717" s="140" t="s">
        <v>11</v>
      </c>
      <c r="E1717" s="140" t="s">
        <v>12</v>
      </c>
      <c r="F1717">
        <v>38426</v>
      </c>
      <c r="G1717" s="140" t="s">
        <v>256</v>
      </c>
      <c r="H1717">
        <v>0</v>
      </c>
      <c r="I1717" s="140" t="s">
        <v>17</v>
      </c>
    </row>
    <row r="1718" spans="1:9" hidden="1" x14ac:dyDescent="0.25">
      <c r="A1718">
        <v>2023</v>
      </c>
      <c r="B1718" s="140" t="s">
        <v>58</v>
      </c>
      <c r="C1718" s="140" t="s">
        <v>243</v>
      </c>
      <c r="D1718" s="140" t="s">
        <v>11</v>
      </c>
      <c r="E1718" s="140" t="s">
        <v>12</v>
      </c>
      <c r="F1718">
        <v>37572</v>
      </c>
      <c r="G1718" s="140" t="s">
        <v>256</v>
      </c>
      <c r="H1718">
        <v>0</v>
      </c>
      <c r="I1718" s="140" t="s">
        <v>17</v>
      </c>
    </row>
    <row r="1719" spans="1:9" hidden="1" x14ac:dyDescent="0.25">
      <c r="A1719">
        <v>2024</v>
      </c>
      <c r="B1719" s="140" t="s">
        <v>58</v>
      </c>
      <c r="C1719" s="140" t="s">
        <v>243</v>
      </c>
      <c r="D1719" s="140" t="s">
        <v>11</v>
      </c>
      <c r="E1719" s="140" t="s">
        <v>12</v>
      </c>
      <c r="F1719">
        <v>38500</v>
      </c>
      <c r="G1719" s="140" t="s">
        <v>256</v>
      </c>
      <c r="H1719">
        <v>0</v>
      </c>
      <c r="I1719" s="140" t="s">
        <v>17</v>
      </c>
    </row>
    <row r="1720" spans="1:9" hidden="1" x14ac:dyDescent="0.25">
      <c r="A1720">
        <v>2025</v>
      </c>
      <c r="B1720" s="140" t="s">
        <v>58</v>
      </c>
      <c r="C1720" s="140" t="s">
        <v>243</v>
      </c>
      <c r="D1720" s="140" t="s">
        <v>11</v>
      </c>
      <c r="E1720" s="140" t="s">
        <v>12</v>
      </c>
      <c r="F1720">
        <v>39540</v>
      </c>
      <c r="G1720" s="140" t="s">
        <v>256</v>
      </c>
      <c r="H1720">
        <v>0</v>
      </c>
      <c r="I1720" s="140" t="s">
        <v>17</v>
      </c>
    </row>
    <row r="1721" spans="1:9" hidden="1" x14ac:dyDescent="0.25">
      <c r="A1721">
        <v>2026</v>
      </c>
      <c r="B1721" s="140" t="s">
        <v>58</v>
      </c>
      <c r="C1721" s="140" t="s">
        <v>243</v>
      </c>
      <c r="D1721" s="140" t="s">
        <v>11</v>
      </c>
      <c r="E1721" s="140" t="s">
        <v>12</v>
      </c>
      <c r="F1721">
        <v>42109.99884</v>
      </c>
      <c r="G1721" s="140" t="s">
        <v>256</v>
      </c>
      <c r="H1721">
        <v>0</v>
      </c>
      <c r="I1721" s="140" t="s">
        <v>17</v>
      </c>
    </row>
    <row r="1722" spans="1:9" hidden="1" x14ac:dyDescent="0.25">
      <c r="A1722">
        <v>2027</v>
      </c>
      <c r="B1722" s="140" t="s">
        <v>58</v>
      </c>
      <c r="C1722" s="140" t="s">
        <v>243</v>
      </c>
      <c r="D1722" s="140" t="s">
        <v>11</v>
      </c>
      <c r="E1722" s="140" t="s">
        <v>12</v>
      </c>
      <c r="F1722">
        <v>43583.8488</v>
      </c>
      <c r="G1722" s="140" t="s">
        <v>256</v>
      </c>
      <c r="H1722">
        <v>0</v>
      </c>
      <c r="I1722" s="140" t="s">
        <v>17</v>
      </c>
    </row>
    <row r="1723" spans="1:9" hidden="1" x14ac:dyDescent="0.25">
      <c r="A1723">
        <v>2028</v>
      </c>
      <c r="B1723" s="140" t="s">
        <v>58</v>
      </c>
      <c r="C1723" s="140" t="s">
        <v>243</v>
      </c>
      <c r="D1723" s="140" t="s">
        <v>11</v>
      </c>
      <c r="E1723" s="140" t="s">
        <v>12</v>
      </c>
      <c r="F1723">
        <v>45240.035049999999</v>
      </c>
      <c r="G1723" s="140" t="s">
        <v>256</v>
      </c>
      <c r="H1723">
        <v>0</v>
      </c>
      <c r="I1723" s="140" t="s">
        <v>17</v>
      </c>
    </row>
    <row r="1724" spans="1:9" hidden="1" x14ac:dyDescent="0.25">
      <c r="A1724">
        <v>2029</v>
      </c>
      <c r="B1724" s="140" t="s">
        <v>58</v>
      </c>
      <c r="C1724" s="140" t="s">
        <v>243</v>
      </c>
      <c r="D1724" s="140" t="s">
        <v>11</v>
      </c>
      <c r="E1724" s="140" t="s">
        <v>12</v>
      </c>
      <c r="F1724">
        <v>46823.436280000002</v>
      </c>
      <c r="G1724" s="140" t="s">
        <v>256</v>
      </c>
      <c r="H1724">
        <v>0</v>
      </c>
      <c r="I1724" s="140" t="s">
        <v>17</v>
      </c>
    </row>
    <row r="1725" spans="1:9" hidden="1" x14ac:dyDescent="0.25">
      <c r="A1725">
        <v>2030</v>
      </c>
      <c r="B1725" s="140" t="s">
        <v>58</v>
      </c>
      <c r="C1725" s="140" t="s">
        <v>243</v>
      </c>
      <c r="D1725" s="140" t="s">
        <v>11</v>
      </c>
      <c r="E1725" s="140" t="s">
        <v>12</v>
      </c>
      <c r="F1725">
        <v>48462.256549999998</v>
      </c>
      <c r="G1725" s="140" t="s">
        <v>256</v>
      </c>
      <c r="H1725">
        <v>0</v>
      </c>
      <c r="I1725" s="140" t="s">
        <v>17</v>
      </c>
    </row>
    <row r="1726" spans="1:9" hidden="1" x14ac:dyDescent="0.25">
      <c r="A1726">
        <v>1990</v>
      </c>
      <c r="B1726" s="140" t="s">
        <v>59</v>
      </c>
      <c r="C1726" s="140" t="s">
        <v>243</v>
      </c>
      <c r="D1726" s="140" t="s">
        <v>11</v>
      </c>
      <c r="E1726" s="140" t="s">
        <v>12</v>
      </c>
      <c r="F1726">
        <v>2477</v>
      </c>
      <c r="G1726" s="140" t="s">
        <v>257</v>
      </c>
      <c r="H1726">
        <v>0</v>
      </c>
      <c r="I1726" s="140" t="s">
        <v>17</v>
      </c>
    </row>
    <row r="1727" spans="1:9" hidden="1" x14ac:dyDescent="0.25">
      <c r="A1727">
        <v>1991</v>
      </c>
      <c r="B1727" s="140" t="s">
        <v>59</v>
      </c>
      <c r="C1727" s="140" t="s">
        <v>243</v>
      </c>
      <c r="D1727" s="140" t="s">
        <v>11</v>
      </c>
      <c r="E1727" s="140" t="s">
        <v>12</v>
      </c>
      <c r="F1727">
        <v>2781</v>
      </c>
      <c r="G1727" s="140" t="s">
        <v>257</v>
      </c>
      <c r="H1727">
        <v>0</v>
      </c>
      <c r="I1727" s="140" t="s">
        <v>17</v>
      </c>
    </row>
    <row r="1728" spans="1:9" hidden="1" x14ac:dyDescent="0.25">
      <c r="A1728">
        <v>1992</v>
      </c>
      <c r="B1728" s="140" t="s">
        <v>59</v>
      </c>
      <c r="C1728" s="140" t="s">
        <v>243</v>
      </c>
      <c r="D1728" s="140" t="s">
        <v>11</v>
      </c>
      <c r="E1728" s="140" t="s">
        <v>12</v>
      </c>
      <c r="F1728">
        <v>2811</v>
      </c>
      <c r="G1728" s="140" t="s">
        <v>257</v>
      </c>
      <c r="H1728">
        <v>0</v>
      </c>
      <c r="I1728" s="140" t="s">
        <v>17</v>
      </c>
    </row>
    <row r="1729" spans="1:9" hidden="1" x14ac:dyDescent="0.25">
      <c r="A1729">
        <v>1993</v>
      </c>
      <c r="B1729" s="140" t="s">
        <v>59</v>
      </c>
      <c r="C1729" s="140" t="s">
        <v>243</v>
      </c>
      <c r="D1729" s="140" t="s">
        <v>11</v>
      </c>
      <c r="E1729" s="140" t="s">
        <v>12</v>
      </c>
      <c r="F1729">
        <v>2681</v>
      </c>
      <c r="G1729" s="140" t="s">
        <v>257</v>
      </c>
      <c r="H1729">
        <v>0</v>
      </c>
      <c r="I1729" s="140" t="s">
        <v>17</v>
      </c>
    </row>
    <row r="1730" spans="1:9" hidden="1" x14ac:dyDescent="0.25">
      <c r="A1730">
        <v>1994</v>
      </c>
      <c r="B1730" s="140" t="s">
        <v>59</v>
      </c>
      <c r="C1730" s="140" t="s">
        <v>243</v>
      </c>
      <c r="D1730" s="140" t="s">
        <v>11</v>
      </c>
      <c r="E1730" s="140" t="s">
        <v>12</v>
      </c>
      <c r="F1730">
        <v>2663</v>
      </c>
      <c r="G1730" s="140" t="s">
        <v>257</v>
      </c>
      <c r="H1730">
        <v>0</v>
      </c>
      <c r="I1730" s="140" t="s">
        <v>17</v>
      </c>
    </row>
    <row r="1731" spans="1:9" hidden="1" x14ac:dyDescent="0.25">
      <c r="A1731">
        <v>1995</v>
      </c>
      <c r="B1731" s="140" t="s">
        <v>59</v>
      </c>
      <c r="C1731" s="140" t="s">
        <v>243</v>
      </c>
      <c r="D1731" s="140" t="s">
        <v>11</v>
      </c>
      <c r="E1731" s="140" t="s">
        <v>12</v>
      </c>
      <c r="F1731">
        <v>2631</v>
      </c>
      <c r="G1731" s="140" t="s">
        <v>257</v>
      </c>
      <c r="H1731">
        <v>0</v>
      </c>
      <c r="I1731" s="140" t="s">
        <v>17</v>
      </c>
    </row>
    <row r="1732" spans="1:9" hidden="1" x14ac:dyDescent="0.25">
      <c r="A1732">
        <v>1996</v>
      </c>
      <c r="B1732" s="140" t="s">
        <v>59</v>
      </c>
      <c r="C1732" s="140" t="s">
        <v>243</v>
      </c>
      <c r="D1732" s="140" t="s">
        <v>11</v>
      </c>
      <c r="E1732" s="140" t="s">
        <v>12</v>
      </c>
      <c r="F1732">
        <v>1974</v>
      </c>
      <c r="G1732" s="140" t="s">
        <v>257</v>
      </c>
      <c r="H1732">
        <v>0</v>
      </c>
      <c r="I1732" s="140" t="s">
        <v>17</v>
      </c>
    </row>
    <row r="1733" spans="1:9" hidden="1" x14ac:dyDescent="0.25">
      <c r="A1733">
        <v>1997</v>
      </c>
      <c r="B1733" s="140" t="s">
        <v>59</v>
      </c>
      <c r="C1733" s="140" t="s">
        <v>243</v>
      </c>
      <c r="D1733" s="140" t="s">
        <v>11</v>
      </c>
      <c r="E1733" s="140" t="s">
        <v>12</v>
      </c>
      <c r="F1733">
        <v>1979</v>
      </c>
      <c r="G1733" s="140" t="s">
        <v>257</v>
      </c>
      <c r="H1733">
        <v>0</v>
      </c>
      <c r="I1733" s="140" t="s">
        <v>17</v>
      </c>
    </row>
    <row r="1734" spans="1:9" hidden="1" x14ac:dyDescent="0.25">
      <c r="A1734">
        <v>1998</v>
      </c>
      <c r="B1734" s="140" t="s">
        <v>59</v>
      </c>
      <c r="C1734" s="140" t="s">
        <v>243</v>
      </c>
      <c r="D1734" s="140" t="s">
        <v>11</v>
      </c>
      <c r="E1734" s="140" t="s">
        <v>12</v>
      </c>
      <c r="F1734">
        <v>1974</v>
      </c>
      <c r="G1734" s="140" t="s">
        <v>257</v>
      </c>
      <c r="H1734">
        <v>0</v>
      </c>
      <c r="I1734" s="140" t="s">
        <v>17</v>
      </c>
    </row>
    <row r="1735" spans="1:9" hidden="1" x14ac:dyDescent="0.25">
      <c r="A1735">
        <v>1999</v>
      </c>
      <c r="B1735" s="140" t="s">
        <v>59</v>
      </c>
      <c r="C1735" s="140" t="s">
        <v>243</v>
      </c>
      <c r="D1735" s="140" t="s">
        <v>11</v>
      </c>
      <c r="E1735" s="140" t="s">
        <v>12</v>
      </c>
      <c r="F1735">
        <v>1955</v>
      </c>
      <c r="G1735" s="140" t="s">
        <v>257</v>
      </c>
      <c r="H1735">
        <v>0</v>
      </c>
      <c r="I1735" s="140" t="s">
        <v>17</v>
      </c>
    </row>
    <row r="1736" spans="1:9" hidden="1" x14ac:dyDescent="0.25">
      <c r="A1736">
        <v>2000</v>
      </c>
      <c r="B1736" s="140" t="s">
        <v>59</v>
      </c>
      <c r="C1736" s="140" t="s">
        <v>243</v>
      </c>
      <c r="D1736" s="140" t="s">
        <v>11</v>
      </c>
      <c r="E1736" s="140" t="s">
        <v>12</v>
      </c>
      <c r="F1736">
        <v>2001</v>
      </c>
      <c r="G1736" s="140" t="s">
        <v>257</v>
      </c>
      <c r="H1736">
        <v>0</v>
      </c>
      <c r="I1736" s="140" t="s">
        <v>17</v>
      </c>
    </row>
    <row r="1737" spans="1:9" hidden="1" x14ac:dyDescent="0.25">
      <c r="A1737">
        <v>2001</v>
      </c>
      <c r="B1737" s="140" t="s">
        <v>59</v>
      </c>
      <c r="C1737" s="140" t="s">
        <v>243</v>
      </c>
      <c r="D1737" s="140" t="s">
        <v>11</v>
      </c>
      <c r="E1737" s="140" t="s">
        <v>12</v>
      </c>
      <c r="F1737">
        <v>1995</v>
      </c>
      <c r="G1737" s="140" t="s">
        <v>257</v>
      </c>
      <c r="H1737">
        <v>0</v>
      </c>
      <c r="I1737" s="140" t="s">
        <v>17</v>
      </c>
    </row>
    <row r="1738" spans="1:9" hidden="1" x14ac:dyDescent="0.25">
      <c r="A1738">
        <v>2002</v>
      </c>
      <c r="B1738" s="140" t="s">
        <v>59</v>
      </c>
      <c r="C1738" s="140" t="s">
        <v>243</v>
      </c>
      <c r="D1738" s="140" t="s">
        <v>11</v>
      </c>
      <c r="E1738" s="140" t="s">
        <v>12</v>
      </c>
      <c r="F1738">
        <v>2005</v>
      </c>
      <c r="G1738" s="140" t="s">
        <v>257</v>
      </c>
      <c r="H1738">
        <v>0</v>
      </c>
      <c r="I1738" s="140" t="s">
        <v>17</v>
      </c>
    </row>
    <row r="1739" spans="1:9" hidden="1" x14ac:dyDescent="0.25">
      <c r="A1739">
        <v>2003</v>
      </c>
      <c r="B1739" s="140" t="s">
        <v>59</v>
      </c>
      <c r="C1739" s="140" t="s">
        <v>243</v>
      </c>
      <c r="D1739" s="140" t="s">
        <v>11</v>
      </c>
      <c r="E1739" s="140" t="s">
        <v>12</v>
      </c>
      <c r="F1739">
        <v>2016</v>
      </c>
      <c r="G1739" s="140" t="s">
        <v>257</v>
      </c>
      <c r="H1739">
        <v>0</v>
      </c>
      <c r="I1739" s="140" t="s">
        <v>17</v>
      </c>
    </row>
    <row r="1740" spans="1:9" hidden="1" x14ac:dyDescent="0.25">
      <c r="A1740">
        <v>2004</v>
      </c>
      <c r="B1740" s="140" t="s">
        <v>59</v>
      </c>
      <c r="C1740" s="140" t="s">
        <v>243</v>
      </c>
      <c r="D1740" s="140" t="s">
        <v>11</v>
      </c>
      <c r="E1740" s="140" t="s">
        <v>12</v>
      </c>
      <c r="F1740">
        <v>2017</v>
      </c>
      <c r="G1740" s="140" t="s">
        <v>257</v>
      </c>
      <c r="H1740">
        <v>0</v>
      </c>
      <c r="I1740" s="140" t="s">
        <v>17</v>
      </c>
    </row>
    <row r="1741" spans="1:9" hidden="1" x14ac:dyDescent="0.25">
      <c r="A1741">
        <v>2005</v>
      </c>
      <c r="B1741" s="140" t="s">
        <v>59</v>
      </c>
      <c r="C1741" s="140" t="s">
        <v>243</v>
      </c>
      <c r="D1741" s="140" t="s">
        <v>11</v>
      </c>
      <c r="E1741" s="140" t="s">
        <v>12</v>
      </c>
      <c r="F1741">
        <v>2075</v>
      </c>
      <c r="G1741" s="140" t="s">
        <v>257</v>
      </c>
      <c r="H1741">
        <v>0</v>
      </c>
      <c r="I1741" s="140" t="s">
        <v>17</v>
      </c>
    </row>
    <row r="1742" spans="1:9" hidden="1" x14ac:dyDescent="0.25">
      <c r="A1742">
        <v>2006</v>
      </c>
      <c r="B1742" s="140" t="s">
        <v>59</v>
      </c>
      <c r="C1742" s="140" t="s">
        <v>243</v>
      </c>
      <c r="D1742" s="140" t="s">
        <v>11</v>
      </c>
      <c r="E1742" s="140" t="s">
        <v>12</v>
      </c>
      <c r="F1742">
        <v>2256</v>
      </c>
      <c r="G1742" s="140" t="s">
        <v>257</v>
      </c>
      <c r="H1742">
        <v>0</v>
      </c>
      <c r="I1742" s="140" t="s">
        <v>17</v>
      </c>
    </row>
    <row r="1743" spans="1:9" hidden="1" x14ac:dyDescent="0.25">
      <c r="A1743">
        <v>2007</v>
      </c>
      <c r="B1743" s="140" t="s">
        <v>59</v>
      </c>
      <c r="C1743" s="140" t="s">
        <v>243</v>
      </c>
      <c r="D1743" s="140" t="s">
        <v>11</v>
      </c>
      <c r="E1743" s="140" t="s">
        <v>12</v>
      </c>
      <c r="F1743">
        <v>2319</v>
      </c>
      <c r="G1743" s="140" t="s">
        <v>257</v>
      </c>
      <c r="H1743">
        <v>0</v>
      </c>
      <c r="I1743" s="140" t="s">
        <v>17</v>
      </c>
    </row>
    <row r="1744" spans="1:9" hidden="1" x14ac:dyDescent="0.25">
      <c r="A1744">
        <v>2008</v>
      </c>
      <c r="B1744" s="140" t="s">
        <v>59</v>
      </c>
      <c r="C1744" s="140" t="s">
        <v>243</v>
      </c>
      <c r="D1744" s="140" t="s">
        <v>11</v>
      </c>
      <c r="E1744" s="140" t="s">
        <v>12</v>
      </c>
      <c r="F1744">
        <v>2463</v>
      </c>
      <c r="G1744" s="140" t="s">
        <v>257</v>
      </c>
      <c r="H1744">
        <v>0</v>
      </c>
      <c r="I1744" s="140" t="s">
        <v>17</v>
      </c>
    </row>
    <row r="1745" spans="1:9" hidden="1" x14ac:dyDescent="0.25">
      <c r="A1745">
        <v>2009</v>
      </c>
      <c r="B1745" s="140" t="s">
        <v>59</v>
      </c>
      <c r="C1745" s="140" t="s">
        <v>243</v>
      </c>
      <c r="D1745" s="140" t="s">
        <v>11</v>
      </c>
      <c r="E1745" s="140" t="s">
        <v>12</v>
      </c>
      <c r="F1745">
        <v>2477</v>
      </c>
      <c r="G1745" s="140" t="s">
        <v>257</v>
      </c>
      <c r="H1745">
        <v>0</v>
      </c>
      <c r="I1745" s="140" t="s">
        <v>17</v>
      </c>
    </row>
    <row r="1746" spans="1:9" hidden="1" x14ac:dyDescent="0.25">
      <c r="A1746">
        <v>2010</v>
      </c>
      <c r="B1746" s="140" t="s">
        <v>59</v>
      </c>
      <c r="C1746" s="140" t="s">
        <v>243</v>
      </c>
      <c r="D1746" s="140" t="s">
        <v>11</v>
      </c>
      <c r="E1746" s="140" t="s">
        <v>12</v>
      </c>
      <c r="F1746">
        <v>2650</v>
      </c>
      <c r="G1746" s="140" t="s">
        <v>257</v>
      </c>
      <c r="H1746">
        <v>0</v>
      </c>
      <c r="I1746" s="140" t="s">
        <v>17</v>
      </c>
    </row>
    <row r="1747" spans="1:9" hidden="1" x14ac:dyDescent="0.25">
      <c r="A1747">
        <v>2011</v>
      </c>
      <c r="B1747" s="140" t="s">
        <v>59</v>
      </c>
      <c r="C1747" s="140" t="s">
        <v>243</v>
      </c>
      <c r="D1747" s="140" t="s">
        <v>11</v>
      </c>
      <c r="E1747" s="140" t="s">
        <v>12</v>
      </c>
      <c r="F1747">
        <v>2724</v>
      </c>
      <c r="G1747" s="140" t="s">
        <v>257</v>
      </c>
      <c r="H1747">
        <v>0</v>
      </c>
      <c r="I1747" s="140" t="s">
        <v>17</v>
      </c>
    </row>
    <row r="1748" spans="1:9" hidden="1" x14ac:dyDescent="0.25">
      <c r="A1748">
        <v>2012</v>
      </c>
      <c r="B1748" s="140" t="s">
        <v>59</v>
      </c>
      <c r="C1748" s="140" t="s">
        <v>243</v>
      </c>
      <c r="D1748" s="140" t="s">
        <v>11</v>
      </c>
      <c r="E1748" s="140" t="s">
        <v>12</v>
      </c>
      <c r="F1748">
        <v>2740</v>
      </c>
      <c r="G1748" s="140" t="s">
        <v>257</v>
      </c>
      <c r="H1748">
        <v>0</v>
      </c>
      <c r="I1748" s="140" t="s">
        <v>17</v>
      </c>
    </row>
    <row r="1749" spans="1:9" hidden="1" x14ac:dyDescent="0.25">
      <c r="A1749">
        <v>2013</v>
      </c>
      <c r="B1749" s="140" t="s">
        <v>59</v>
      </c>
      <c r="C1749" s="140" t="s">
        <v>243</v>
      </c>
      <c r="D1749" s="140" t="s">
        <v>11</v>
      </c>
      <c r="E1749" s="140" t="s">
        <v>12</v>
      </c>
      <c r="F1749">
        <v>2697</v>
      </c>
      <c r="G1749" s="140" t="s">
        <v>257</v>
      </c>
      <c r="H1749">
        <v>0</v>
      </c>
      <c r="I1749" s="140" t="s">
        <v>17</v>
      </c>
    </row>
    <row r="1750" spans="1:9" hidden="1" x14ac:dyDescent="0.25">
      <c r="A1750">
        <v>2014</v>
      </c>
      <c r="B1750" s="140" t="s">
        <v>59</v>
      </c>
      <c r="C1750" s="140" t="s">
        <v>243</v>
      </c>
      <c r="D1750" s="140" t="s">
        <v>11</v>
      </c>
      <c r="E1750" s="140" t="s">
        <v>12</v>
      </c>
      <c r="F1750">
        <v>2689</v>
      </c>
      <c r="G1750" s="140" t="s">
        <v>257</v>
      </c>
      <c r="H1750">
        <v>0</v>
      </c>
      <c r="I1750" s="140" t="s">
        <v>17</v>
      </c>
    </row>
    <row r="1751" spans="1:9" hidden="1" x14ac:dyDescent="0.25">
      <c r="A1751">
        <v>2015</v>
      </c>
      <c r="B1751" s="140" t="s">
        <v>59</v>
      </c>
      <c r="C1751" s="140" t="s">
        <v>243</v>
      </c>
      <c r="D1751" s="140" t="s">
        <v>11</v>
      </c>
      <c r="E1751" s="140" t="s">
        <v>12</v>
      </c>
      <c r="F1751">
        <v>2832</v>
      </c>
      <c r="G1751" s="140" t="s">
        <v>257</v>
      </c>
      <c r="H1751">
        <v>0</v>
      </c>
      <c r="I1751" s="140" t="s">
        <v>17</v>
      </c>
    </row>
    <row r="1752" spans="1:9" hidden="1" x14ac:dyDescent="0.25">
      <c r="A1752">
        <v>2016</v>
      </c>
      <c r="B1752" s="140" t="s">
        <v>59</v>
      </c>
      <c r="C1752" s="140" t="s">
        <v>243</v>
      </c>
      <c r="D1752" s="140" t="s">
        <v>11</v>
      </c>
      <c r="E1752" s="140" t="s">
        <v>12</v>
      </c>
      <c r="F1752">
        <v>2673</v>
      </c>
      <c r="G1752" s="140" t="s">
        <v>257</v>
      </c>
      <c r="H1752">
        <v>0</v>
      </c>
      <c r="I1752" s="140" t="s">
        <v>17</v>
      </c>
    </row>
    <row r="1753" spans="1:9" hidden="1" x14ac:dyDescent="0.25">
      <c r="A1753">
        <v>2017</v>
      </c>
      <c r="B1753" s="140" t="s">
        <v>59</v>
      </c>
      <c r="C1753" s="140" t="s">
        <v>243</v>
      </c>
      <c r="D1753" s="140" t="s">
        <v>11</v>
      </c>
      <c r="E1753" s="140" t="s">
        <v>12</v>
      </c>
      <c r="F1753">
        <v>2703</v>
      </c>
      <c r="G1753" s="140" t="s">
        <v>257</v>
      </c>
      <c r="H1753">
        <v>0</v>
      </c>
      <c r="I1753" s="140" t="s">
        <v>17</v>
      </c>
    </row>
    <row r="1754" spans="1:9" hidden="1" x14ac:dyDescent="0.25">
      <c r="A1754">
        <v>2018</v>
      </c>
      <c r="B1754" s="140" t="s">
        <v>59</v>
      </c>
      <c r="C1754" s="140" t="s">
        <v>243</v>
      </c>
      <c r="D1754" s="140" t="s">
        <v>11</v>
      </c>
      <c r="E1754" s="140" t="s">
        <v>12</v>
      </c>
      <c r="F1754">
        <v>2557</v>
      </c>
      <c r="G1754" s="140" t="s">
        <v>257</v>
      </c>
      <c r="H1754">
        <v>0</v>
      </c>
      <c r="I1754" s="140" t="s">
        <v>17</v>
      </c>
    </row>
    <row r="1755" spans="1:9" hidden="1" x14ac:dyDescent="0.25">
      <c r="A1755">
        <v>2019</v>
      </c>
      <c r="B1755" s="140" t="s">
        <v>59</v>
      </c>
      <c r="C1755" s="140" t="s">
        <v>243</v>
      </c>
      <c r="D1755" s="140" t="s">
        <v>11</v>
      </c>
      <c r="E1755" s="140" t="s">
        <v>12</v>
      </c>
      <c r="F1755">
        <v>2606</v>
      </c>
      <c r="G1755" s="140" t="s">
        <v>257</v>
      </c>
      <c r="H1755">
        <v>0</v>
      </c>
      <c r="I1755" s="140" t="s">
        <v>17</v>
      </c>
    </row>
    <row r="1756" spans="1:9" hidden="1" x14ac:dyDescent="0.25">
      <c r="A1756">
        <v>2020</v>
      </c>
      <c r="B1756" s="140" t="s">
        <v>59</v>
      </c>
      <c r="C1756" s="140" t="s">
        <v>243</v>
      </c>
      <c r="D1756" s="140" t="s">
        <v>11</v>
      </c>
      <c r="E1756" s="140" t="s">
        <v>12</v>
      </c>
      <c r="F1756">
        <v>4369</v>
      </c>
      <c r="G1756" s="140" t="s">
        <v>257</v>
      </c>
      <c r="H1756">
        <v>0</v>
      </c>
      <c r="I1756" s="140" t="s">
        <v>17</v>
      </c>
    </row>
    <row r="1757" spans="1:9" hidden="1" x14ac:dyDescent="0.25">
      <c r="A1757">
        <v>2021</v>
      </c>
      <c r="B1757" s="140" t="s">
        <v>59</v>
      </c>
      <c r="C1757" s="140" t="s">
        <v>243</v>
      </c>
      <c r="D1757" s="140" t="s">
        <v>11</v>
      </c>
      <c r="E1757" s="140" t="s">
        <v>12</v>
      </c>
      <c r="F1757">
        <v>3954</v>
      </c>
      <c r="G1757" s="140" t="s">
        <v>257</v>
      </c>
      <c r="H1757">
        <v>0</v>
      </c>
      <c r="I1757" s="140" t="s">
        <v>17</v>
      </c>
    </row>
    <row r="1758" spans="1:9" hidden="1" x14ac:dyDescent="0.25">
      <c r="A1758">
        <v>2022</v>
      </c>
      <c r="B1758" s="140" t="s">
        <v>59</v>
      </c>
      <c r="C1758" s="140" t="s">
        <v>243</v>
      </c>
      <c r="D1758" s="140" t="s">
        <v>11</v>
      </c>
      <c r="E1758" s="140" t="s">
        <v>12</v>
      </c>
      <c r="F1758">
        <v>3007</v>
      </c>
      <c r="G1758" s="140" t="s">
        <v>257</v>
      </c>
      <c r="H1758">
        <v>0</v>
      </c>
      <c r="I1758" s="140" t="s">
        <v>17</v>
      </c>
    </row>
    <row r="1759" spans="1:9" hidden="1" x14ac:dyDescent="0.25">
      <c r="A1759">
        <v>2023</v>
      </c>
      <c r="B1759" s="140" t="s">
        <v>59</v>
      </c>
      <c r="C1759" s="140" t="s">
        <v>243</v>
      </c>
      <c r="D1759" s="140" t="s">
        <v>11</v>
      </c>
      <c r="E1759" s="140" t="s">
        <v>12</v>
      </c>
      <c r="F1759">
        <v>3053</v>
      </c>
      <c r="G1759" s="140" t="s">
        <v>257</v>
      </c>
      <c r="H1759">
        <v>0</v>
      </c>
      <c r="I1759" s="140" t="s">
        <v>17</v>
      </c>
    </row>
    <row r="1760" spans="1:9" hidden="1" x14ac:dyDescent="0.25">
      <c r="A1760">
        <v>2024</v>
      </c>
      <c r="B1760" s="140" t="s">
        <v>59</v>
      </c>
      <c r="C1760" s="140" t="s">
        <v>243</v>
      </c>
      <c r="D1760" s="140" t="s">
        <v>11</v>
      </c>
      <c r="E1760" s="140" t="s">
        <v>12</v>
      </c>
      <c r="F1760">
        <v>3508</v>
      </c>
      <c r="G1760" s="140" t="s">
        <v>257</v>
      </c>
      <c r="H1760">
        <v>0</v>
      </c>
      <c r="I1760" s="140" t="s">
        <v>17</v>
      </c>
    </row>
    <row r="1761" spans="1:9" hidden="1" x14ac:dyDescent="0.25">
      <c r="A1761">
        <v>2025</v>
      </c>
      <c r="B1761" s="140" t="s">
        <v>59</v>
      </c>
      <c r="C1761" s="140" t="s">
        <v>243</v>
      </c>
      <c r="D1761" s="140" t="s">
        <v>11</v>
      </c>
      <c r="E1761" s="140" t="s">
        <v>12</v>
      </c>
      <c r="F1761">
        <v>3387</v>
      </c>
      <c r="G1761" s="140" t="s">
        <v>257</v>
      </c>
      <c r="H1761">
        <v>0</v>
      </c>
      <c r="I1761" s="140" t="s">
        <v>17</v>
      </c>
    </row>
    <row r="1762" spans="1:9" hidden="1" x14ac:dyDescent="0.25">
      <c r="A1762">
        <v>2026</v>
      </c>
      <c r="B1762" s="140" t="s">
        <v>59</v>
      </c>
      <c r="C1762" s="140" t="s">
        <v>243</v>
      </c>
      <c r="D1762" s="140" t="s">
        <v>11</v>
      </c>
      <c r="E1762" s="140" t="s">
        <v>12</v>
      </c>
      <c r="F1762">
        <v>4074.0369999999998</v>
      </c>
      <c r="G1762" s="140" t="s">
        <v>257</v>
      </c>
      <c r="H1762">
        <v>0</v>
      </c>
      <c r="I1762" s="140" t="s">
        <v>17</v>
      </c>
    </row>
    <row r="1763" spans="1:9" hidden="1" x14ac:dyDescent="0.25">
      <c r="A1763">
        <v>2027</v>
      </c>
      <c r="B1763" s="140" t="s">
        <v>59</v>
      </c>
      <c r="C1763" s="140" t="s">
        <v>243</v>
      </c>
      <c r="D1763" s="140" t="s">
        <v>11</v>
      </c>
      <c r="E1763" s="140" t="s">
        <v>12</v>
      </c>
      <c r="F1763">
        <v>4114.7773699999998</v>
      </c>
      <c r="G1763" s="140" t="s">
        <v>257</v>
      </c>
      <c r="H1763">
        <v>0</v>
      </c>
      <c r="I1763" s="140" t="s">
        <v>17</v>
      </c>
    </row>
    <row r="1764" spans="1:9" hidden="1" x14ac:dyDescent="0.25">
      <c r="A1764">
        <v>2028</v>
      </c>
      <c r="B1764" s="140" t="s">
        <v>59</v>
      </c>
      <c r="C1764" s="140" t="s">
        <v>243</v>
      </c>
      <c r="D1764" s="140" t="s">
        <v>11</v>
      </c>
      <c r="E1764" s="140" t="s">
        <v>12</v>
      </c>
      <c r="F1764">
        <v>4155.9251439999998</v>
      </c>
      <c r="G1764" s="140" t="s">
        <v>257</v>
      </c>
      <c r="H1764">
        <v>0</v>
      </c>
      <c r="I1764" s="140" t="s">
        <v>17</v>
      </c>
    </row>
    <row r="1765" spans="1:9" hidden="1" x14ac:dyDescent="0.25">
      <c r="A1765">
        <v>2029</v>
      </c>
      <c r="B1765" s="140" t="s">
        <v>59</v>
      </c>
      <c r="C1765" s="140" t="s">
        <v>243</v>
      </c>
      <c r="D1765" s="140" t="s">
        <v>11</v>
      </c>
      <c r="E1765" s="140" t="s">
        <v>12</v>
      </c>
      <c r="F1765">
        <v>4239.0436470000004</v>
      </c>
      <c r="G1765" s="140" t="s">
        <v>257</v>
      </c>
      <c r="H1765">
        <v>0</v>
      </c>
      <c r="I1765" s="140" t="s">
        <v>17</v>
      </c>
    </row>
    <row r="1766" spans="1:9" hidden="1" x14ac:dyDescent="0.25">
      <c r="A1766">
        <v>2030</v>
      </c>
      <c r="B1766" s="140" t="s">
        <v>59</v>
      </c>
      <c r="C1766" s="140" t="s">
        <v>243</v>
      </c>
      <c r="D1766" s="140" t="s">
        <v>11</v>
      </c>
      <c r="E1766" s="140" t="s">
        <v>12</v>
      </c>
      <c r="F1766">
        <v>4323.8245200000001</v>
      </c>
      <c r="G1766" s="140" t="s">
        <v>257</v>
      </c>
      <c r="H1766">
        <v>0</v>
      </c>
      <c r="I1766" s="140" t="s">
        <v>17</v>
      </c>
    </row>
    <row r="1767" spans="1:9" hidden="1" x14ac:dyDescent="0.25">
      <c r="A1767">
        <v>1993</v>
      </c>
      <c r="B1767" s="140" t="s">
        <v>335</v>
      </c>
      <c r="C1767" s="140" t="s">
        <v>68</v>
      </c>
      <c r="D1767" s="140" t="s">
        <v>11</v>
      </c>
      <c r="E1767" s="140" t="s">
        <v>104</v>
      </c>
      <c r="F1767">
        <v>9480</v>
      </c>
      <c r="G1767" s="140" t="s">
        <v>336</v>
      </c>
      <c r="H1767">
        <v>0</v>
      </c>
      <c r="I1767" s="140" t="s">
        <v>17</v>
      </c>
    </row>
    <row r="1768" spans="1:9" hidden="1" x14ac:dyDescent="0.25">
      <c r="A1768">
        <v>1994</v>
      </c>
      <c r="B1768" s="140" t="s">
        <v>335</v>
      </c>
      <c r="C1768" s="140" t="s">
        <v>68</v>
      </c>
      <c r="D1768" s="140" t="s">
        <v>11</v>
      </c>
      <c r="E1768" s="140" t="s">
        <v>104</v>
      </c>
      <c r="F1768">
        <v>10219</v>
      </c>
      <c r="G1768" s="140" t="s">
        <v>336</v>
      </c>
      <c r="H1768">
        <v>0</v>
      </c>
      <c r="I1768" s="140" t="s">
        <v>17</v>
      </c>
    </row>
    <row r="1769" spans="1:9" hidden="1" x14ac:dyDescent="0.25">
      <c r="A1769">
        <v>1995</v>
      </c>
      <c r="B1769" s="140" t="s">
        <v>335</v>
      </c>
      <c r="C1769" s="140" t="s">
        <v>68</v>
      </c>
      <c r="D1769" s="140" t="s">
        <v>11</v>
      </c>
      <c r="E1769" s="140" t="s">
        <v>104</v>
      </c>
      <c r="F1769">
        <v>10787</v>
      </c>
      <c r="G1769" s="140" t="s">
        <v>336</v>
      </c>
      <c r="H1769">
        <v>0</v>
      </c>
      <c r="I1769" s="140" t="s">
        <v>17</v>
      </c>
    </row>
    <row r="1770" spans="1:9" hidden="1" x14ac:dyDescent="0.25">
      <c r="A1770">
        <v>1996</v>
      </c>
      <c r="B1770" s="140" t="s">
        <v>335</v>
      </c>
      <c r="C1770" s="140" t="s">
        <v>68</v>
      </c>
      <c r="D1770" s="140" t="s">
        <v>11</v>
      </c>
      <c r="E1770" s="140" t="s">
        <v>104</v>
      </c>
      <c r="F1770">
        <v>12029</v>
      </c>
      <c r="G1770" s="140" t="s">
        <v>336</v>
      </c>
      <c r="H1770">
        <v>0</v>
      </c>
      <c r="I1770" s="140" t="s">
        <v>17</v>
      </c>
    </row>
    <row r="1771" spans="1:9" hidden="1" x14ac:dyDescent="0.25">
      <c r="A1771">
        <v>1997</v>
      </c>
      <c r="B1771" s="140" t="s">
        <v>335</v>
      </c>
      <c r="C1771" s="140" t="s">
        <v>68</v>
      </c>
      <c r="D1771" s="140" t="s">
        <v>11</v>
      </c>
      <c r="E1771" s="140" t="s">
        <v>104</v>
      </c>
      <c r="F1771">
        <v>13856</v>
      </c>
      <c r="G1771" s="140" t="s">
        <v>336</v>
      </c>
      <c r="H1771">
        <v>0</v>
      </c>
      <c r="I1771" s="140" t="s">
        <v>17</v>
      </c>
    </row>
    <row r="1772" spans="1:9" hidden="1" x14ac:dyDescent="0.25">
      <c r="A1772">
        <v>1998</v>
      </c>
      <c r="B1772" s="140" t="s">
        <v>335</v>
      </c>
      <c r="C1772" s="140" t="s">
        <v>68</v>
      </c>
      <c r="D1772" s="140" t="s">
        <v>11</v>
      </c>
      <c r="E1772" s="140" t="s">
        <v>104</v>
      </c>
      <c r="F1772">
        <v>14852</v>
      </c>
      <c r="G1772" s="140" t="s">
        <v>336</v>
      </c>
      <c r="H1772">
        <v>0</v>
      </c>
      <c r="I1772" s="140" t="s">
        <v>17</v>
      </c>
    </row>
    <row r="1773" spans="1:9" hidden="1" x14ac:dyDescent="0.25">
      <c r="A1773">
        <v>1999</v>
      </c>
      <c r="B1773" s="140" t="s">
        <v>335</v>
      </c>
      <c r="C1773" s="140" t="s">
        <v>68</v>
      </c>
      <c r="D1773" s="140" t="s">
        <v>11</v>
      </c>
      <c r="E1773" s="140" t="s">
        <v>104</v>
      </c>
      <c r="F1773">
        <v>15667</v>
      </c>
      <c r="G1773" s="140" t="s">
        <v>336</v>
      </c>
      <c r="H1773">
        <v>0</v>
      </c>
      <c r="I1773" s="140" t="s">
        <v>17</v>
      </c>
    </row>
    <row r="1774" spans="1:9" hidden="1" x14ac:dyDescent="0.25">
      <c r="A1774">
        <v>2000</v>
      </c>
      <c r="B1774" s="140" t="s">
        <v>335</v>
      </c>
      <c r="C1774" s="140" t="s">
        <v>68</v>
      </c>
      <c r="D1774" s="140" t="s">
        <v>11</v>
      </c>
      <c r="E1774" s="140" t="s">
        <v>104</v>
      </c>
      <c r="F1774">
        <v>16284</v>
      </c>
      <c r="G1774" s="140" t="s">
        <v>336</v>
      </c>
      <c r="H1774">
        <v>0</v>
      </c>
      <c r="I1774" s="140" t="s">
        <v>17</v>
      </c>
    </row>
    <row r="1775" spans="1:9" hidden="1" x14ac:dyDescent="0.25">
      <c r="A1775">
        <v>2001</v>
      </c>
      <c r="B1775" s="140" t="s">
        <v>335</v>
      </c>
      <c r="C1775" s="140" t="s">
        <v>68</v>
      </c>
      <c r="D1775" s="140" t="s">
        <v>11</v>
      </c>
      <c r="E1775" s="140" t="s">
        <v>104</v>
      </c>
      <c r="F1775">
        <v>16620</v>
      </c>
      <c r="G1775" s="140" t="s">
        <v>336</v>
      </c>
      <c r="H1775">
        <v>0</v>
      </c>
      <c r="I1775" s="140" t="s">
        <v>17</v>
      </c>
    </row>
    <row r="1776" spans="1:9" hidden="1" x14ac:dyDescent="0.25">
      <c r="A1776">
        <v>2002</v>
      </c>
      <c r="B1776" s="140" t="s">
        <v>335</v>
      </c>
      <c r="C1776" s="140" t="s">
        <v>68</v>
      </c>
      <c r="D1776" s="140" t="s">
        <v>11</v>
      </c>
      <c r="E1776" s="140" t="s">
        <v>104</v>
      </c>
      <c r="F1776">
        <v>17603</v>
      </c>
      <c r="G1776" s="140" t="s">
        <v>336</v>
      </c>
      <c r="H1776">
        <v>0</v>
      </c>
      <c r="I1776" s="140" t="s">
        <v>17</v>
      </c>
    </row>
    <row r="1777" spans="1:9" hidden="1" x14ac:dyDescent="0.25">
      <c r="A1777">
        <v>2003</v>
      </c>
      <c r="B1777" s="140" t="s">
        <v>335</v>
      </c>
      <c r="C1777" s="140" t="s">
        <v>68</v>
      </c>
      <c r="D1777" s="140" t="s">
        <v>11</v>
      </c>
      <c r="E1777" s="140" t="s">
        <v>104</v>
      </c>
      <c r="F1777">
        <v>18677</v>
      </c>
      <c r="G1777" s="140" t="s">
        <v>336</v>
      </c>
      <c r="H1777">
        <v>0</v>
      </c>
      <c r="I1777" s="140" t="s">
        <v>17</v>
      </c>
    </row>
    <row r="1778" spans="1:9" hidden="1" x14ac:dyDescent="0.25">
      <c r="A1778">
        <v>2004</v>
      </c>
      <c r="B1778" s="140" t="s">
        <v>335</v>
      </c>
      <c r="C1778" s="140" t="s">
        <v>68</v>
      </c>
      <c r="D1778" s="140" t="s">
        <v>11</v>
      </c>
      <c r="E1778" s="140" t="s">
        <v>104</v>
      </c>
      <c r="F1778">
        <v>18970</v>
      </c>
      <c r="G1778" s="140" t="s">
        <v>336</v>
      </c>
      <c r="H1778">
        <v>0</v>
      </c>
      <c r="I1778" s="140" t="s">
        <v>17</v>
      </c>
    </row>
    <row r="1779" spans="1:9" hidden="1" x14ac:dyDescent="0.25">
      <c r="A1779">
        <v>2005</v>
      </c>
      <c r="B1779" s="140" t="s">
        <v>335</v>
      </c>
      <c r="C1779" s="140" t="s">
        <v>68</v>
      </c>
      <c r="D1779" s="140" t="s">
        <v>11</v>
      </c>
      <c r="E1779" s="140" t="s">
        <v>104</v>
      </c>
      <c r="F1779">
        <v>19811</v>
      </c>
      <c r="G1779" s="140" t="s">
        <v>336</v>
      </c>
      <c r="H1779">
        <v>0</v>
      </c>
      <c r="I1779" s="140" t="s">
        <v>17</v>
      </c>
    </row>
    <row r="1780" spans="1:9" hidden="1" x14ac:dyDescent="0.25">
      <c r="A1780">
        <v>2006</v>
      </c>
      <c r="B1780" s="140" t="s">
        <v>335</v>
      </c>
      <c r="C1780" s="140" t="s">
        <v>68</v>
      </c>
      <c r="D1780" s="140" t="s">
        <v>11</v>
      </c>
      <c r="E1780" s="140" t="s">
        <v>104</v>
      </c>
      <c r="F1780">
        <v>20584</v>
      </c>
      <c r="G1780" s="140" t="s">
        <v>336</v>
      </c>
      <c r="H1780">
        <v>0</v>
      </c>
      <c r="I1780" s="140" t="s">
        <v>17</v>
      </c>
    </row>
    <row r="1781" spans="1:9" hidden="1" x14ac:dyDescent="0.25">
      <c r="A1781">
        <v>2007</v>
      </c>
      <c r="B1781" s="140" t="s">
        <v>335</v>
      </c>
      <c r="C1781" s="140" t="s">
        <v>68</v>
      </c>
      <c r="D1781" s="140" t="s">
        <v>11</v>
      </c>
      <c r="E1781" s="140" t="s">
        <v>104</v>
      </c>
      <c r="F1781">
        <v>21306</v>
      </c>
      <c r="G1781" s="140" t="s">
        <v>336</v>
      </c>
      <c r="H1781">
        <v>0</v>
      </c>
      <c r="I1781" s="140" t="s">
        <v>17</v>
      </c>
    </row>
    <row r="1782" spans="1:9" hidden="1" x14ac:dyDescent="0.25">
      <c r="A1782">
        <v>2008</v>
      </c>
      <c r="B1782" s="140" t="s">
        <v>335</v>
      </c>
      <c r="C1782" s="140" t="s">
        <v>68</v>
      </c>
      <c r="D1782" s="140" t="s">
        <v>11</v>
      </c>
      <c r="E1782" s="140" t="s">
        <v>104</v>
      </c>
      <c r="F1782">
        <v>21598</v>
      </c>
      <c r="G1782" s="140" t="s">
        <v>336</v>
      </c>
      <c r="H1782">
        <v>0</v>
      </c>
      <c r="I1782" s="140" t="s">
        <v>17</v>
      </c>
    </row>
    <row r="1783" spans="1:9" hidden="1" x14ac:dyDescent="0.25">
      <c r="A1783">
        <v>2009</v>
      </c>
      <c r="B1783" s="140" t="s">
        <v>335</v>
      </c>
      <c r="C1783" s="140" t="s">
        <v>68</v>
      </c>
      <c r="D1783" s="140" t="s">
        <v>11</v>
      </c>
      <c r="E1783" s="140" t="s">
        <v>104</v>
      </c>
      <c r="F1783">
        <v>20901</v>
      </c>
      <c r="G1783" s="140" t="s">
        <v>336</v>
      </c>
      <c r="H1783">
        <v>0</v>
      </c>
      <c r="I1783" s="140" t="s">
        <v>17</v>
      </c>
    </row>
    <row r="1784" spans="1:9" hidden="1" x14ac:dyDescent="0.25">
      <c r="A1784">
        <v>2010</v>
      </c>
      <c r="B1784" s="140" t="s">
        <v>335</v>
      </c>
      <c r="C1784" s="140" t="s">
        <v>68</v>
      </c>
      <c r="D1784" s="140" t="s">
        <v>11</v>
      </c>
      <c r="E1784" s="140" t="s">
        <v>104</v>
      </c>
      <c r="F1784">
        <v>22745</v>
      </c>
      <c r="G1784" s="140" t="s">
        <v>336</v>
      </c>
      <c r="H1784">
        <v>0</v>
      </c>
      <c r="I1784" s="140" t="s">
        <v>17</v>
      </c>
    </row>
    <row r="1785" spans="1:9" hidden="1" x14ac:dyDescent="0.25">
      <c r="A1785">
        <v>2011</v>
      </c>
      <c r="B1785" s="140" t="s">
        <v>335</v>
      </c>
      <c r="C1785" s="140" t="s">
        <v>68</v>
      </c>
      <c r="D1785" s="140" t="s">
        <v>11</v>
      </c>
      <c r="E1785" s="140" t="s">
        <v>104</v>
      </c>
      <c r="F1785">
        <v>25655</v>
      </c>
      <c r="G1785" s="140" t="s">
        <v>336</v>
      </c>
      <c r="H1785">
        <v>0</v>
      </c>
      <c r="I1785" s="140" t="s">
        <v>17</v>
      </c>
    </row>
    <row r="1786" spans="1:9" hidden="1" x14ac:dyDescent="0.25">
      <c r="A1786">
        <v>2012</v>
      </c>
      <c r="B1786" s="140" t="s">
        <v>335</v>
      </c>
      <c r="C1786" s="140" t="s">
        <v>68</v>
      </c>
      <c r="D1786" s="140" t="s">
        <v>11</v>
      </c>
      <c r="E1786" s="140" t="s">
        <v>104</v>
      </c>
      <c r="F1786">
        <v>26665</v>
      </c>
      <c r="G1786" s="140" t="s">
        <v>336</v>
      </c>
      <c r="H1786">
        <v>0</v>
      </c>
      <c r="I1786" s="140" t="s">
        <v>17</v>
      </c>
    </row>
    <row r="1787" spans="1:9" hidden="1" x14ac:dyDescent="0.25">
      <c r="A1787">
        <v>2013</v>
      </c>
      <c r="B1787" s="140" t="s">
        <v>335</v>
      </c>
      <c r="C1787" s="140" t="s">
        <v>68</v>
      </c>
      <c r="D1787" s="140" t="s">
        <v>11</v>
      </c>
      <c r="E1787" s="140" t="s">
        <v>104</v>
      </c>
      <c r="F1787">
        <v>27972</v>
      </c>
      <c r="G1787" s="140" t="s">
        <v>336</v>
      </c>
      <c r="H1787">
        <v>0</v>
      </c>
      <c r="I1787" s="140" t="s">
        <v>17</v>
      </c>
    </row>
    <row r="1788" spans="1:9" hidden="1" x14ac:dyDescent="0.25">
      <c r="A1788">
        <v>2014</v>
      </c>
      <c r="B1788" s="140" t="s">
        <v>335</v>
      </c>
      <c r="C1788" s="140" t="s">
        <v>68</v>
      </c>
      <c r="D1788" s="140" t="s">
        <v>11</v>
      </c>
      <c r="E1788" s="140" t="s">
        <v>104</v>
      </c>
      <c r="F1788">
        <v>28379</v>
      </c>
      <c r="G1788" s="140" t="s">
        <v>336</v>
      </c>
      <c r="H1788">
        <v>0</v>
      </c>
      <c r="I1788" s="140" t="s">
        <v>17</v>
      </c>
    </row>
    <row r="1789" spans="1:9" hidden="1" x14ac:dyDescent="0.25">
      <c r="A1789">
        <v>2015</v>
      </c>
      <c r="B1789" s="140" t="s">
        <v>335</v>
      </c>
      <c r="C1789" s="140" t="s">
        <v>68</v>
      </c>
      <c r="D1789" s="140" t="s">
        <v>11</v>
      </c>
      <c r="E1789" s="140" t="s">
        <v>104</v>
      </c>
      <c r="F1789">
        <v>28441</v>
      </c>
      <c r="G1789" s="140" t="s">
        <v>336</v>
      </c>
      <c r="H1789">
        <v>0</v>
      </c>
      <c r="I1789" s="140" t="s">
        <v>17</v>
      </c>
    </row>
    <row r="1790" spans="1:9" hidden="1" x14ac:dyDescent="0.25">
      <c r="A1790">
        <v>2016</v>
      </c>
      <c r="B1790" s="140" t="s">
        <v>335</v>
      </c>
      <c r="C1790" s="140" t="s">
        <v>68</v>
      </c>
      <c r="D1790" s="140" t="s">
        <v>11</v>
      </c>
      <c r="E1790" s="140" t="s">
        <v>104</v>
      </c>
      <c r="F1790">
        <v>30081</v>
      </c>
      <c r="G1790" s="140" t="s">
        <v>336</v>
      </c>
      <c r="H1790">
        <v>0</v>
      </c>
      <c r="I1790" s="140" t="s">
        <v>17</v>
      </c>
    </row>
    <row r="1791" spans="1:9" hidden="1" x14ac:dyDescent="0.25">
      <c r="A1791">
        <v>2017</v>
      </c>
      <c r="B1791" s="140" t="s">
        <v>335</v>
      </c>
      <c r="C1791" s="140" t="s">
        <v>68</v>
      </c>
      <c r="D1791" s="140" t="s">
        <v>11</v>
      </c>
      <c r="E1791" s="140" t="s">
        <v>104</v>
      </c>
      <c r="F1791">
        <v>30635</v>
      </c>
      <c r="G1791" s="140" t="s">
        <v>336</v>
      </c>
      <c r="H1791">
        <v>0</v>
      </c>
      <c r="I1791" s="140" t="s">
        <v>17</v>
      </c>
    </row>
    <row r="1792" spans="1:9" hidden="1" x14ac:dyDescent="0.25">
      <c r="A1792">
        <v>2018</v>
      </c>
      <c r="B1792" s="140" t="s">
        <v>335</v>
      </c>
      <c r="C1792" s="140" t="s">
        <v>68</v>
      </c>
      <c r="D1792" s="140" t="s">
        <v>11</v>
      </c>
      <c r="E1792" s="140" t="s">
        <v>104</v>
      </c>
      <c r="F1792">
        <v>32277</v>
      </c>
      <c r="G1792" s="140" t="s">
        <v>336</v>
      </c>
      <c r="H1792">
        <v>0</v>
      </c>
      <c r="I1792" s="140" t="s">
        <v>17</v>
      </c>
    </row>
    <row r="1793" spans="1:9" hidden="1" x14ac:dyDescent="0.25">
      <c r="A1793">
        <v>2019</v>
      </c>
      <c r="B1793" s="140" t="s">
        <v>335</v>
      </c>
      <c r="C1793" s="140" t="s">
        <v>68</v>
      </c>
      <c r="D1793" s="140" t="s">
        <v>11</v>
      </c>
      <c r="E1793" s="140" t="s">
        <v>104</v>
      </c>
      <c r="F1793">
        <v>32898</v>
      </c>
      <c r="G1793" s="140" t="s">
        <v>336</v>
      </c>
      <c r="H1793">
        <v>0</v>
      </c>
      <c r="I1793" s="140" t="s">
        <v>17</v>
      </c>
    </row>
    <row r="1794" spans="1:9" hidden="1" x14ac:dyDescent="0.25">
      <c r="A1794">
        <v>2020</v>
      </c>
      <c r="B1794" s="140" t="s">
        <v>335</v>
      </c>
      <c r="C1794" s="140" t="s">
        <v>68</v>
      </c>
      <c r="D1794" s="140" t="s">
        <v>11</v>
      </c>
      <c r="E1794" s="140" t="s">
        <v>104</v>
      </c>
      <c r="F1794">
        <v>30692</v>
      </c>
      <c r="G1794" s="140" t="s">
        <v>336</v>
      </c>
      <c r="H1794">
        <v>0</v>
      </c>
      <c r="I1794" s="140" t="s">
        <v>17</v>
      </c>
    </row>
    <row r="1795" spans="1:9" hidden="1" x14ac:dyDescent="0.25">
      <c r="A1795">
        <v>2021</v>
      </c>
      <c r="B1795" s="140" t="s">
        <v>335</v>
      </c>
      <c r="C1795" s="140" t="s">
        <v>68</v>
      </c>
      <c r="D1795" s="140" t="s">
        <v>11</v>
      </c>
      <c r="E1795" s="140" t="s">
        <v>104</v>
      </c>
      <c r="F1795">
        <v>32695</v>
      </c>
      <c r="G1795" s="140" t="s">
        <v>336</v>
      </c>
      <c r="H1795">
        <v>0</v>
      </c>
      <c r="I1795" s="140" t="s">
        <v>17</v>
      </c>
    </row>
    <row r="1796" spans="1:9" hidden="1" x14ac:dyDescent="0.25">
      <c r="A1796">
        <v>2022</v>
      </c>
      <c r="B1796" s="140" t="s">
        <v>335</v>
      </c>
      <c r="C1796" s="140" t="s">
        <v>68</v>
      </c>
      <c r="D1796" s="140" t="s">
        <v>11</v>
      </c>
      <c r="E1796" s="140" t="s">
        <v>104</v>
      </c>
      <c r="F1796">
        <v>35419</v>
      </c>
      <c r="G1796" s="140" t="s">
        <v>336</v>
      </c>
      <c r="H1796">
        <v>0</v>
      </c>
      <c r="I1796" s="140" t="s">
        <v>17</v>
      </c>
    </row>
    <row r="1797" spans="1:9" hidden="1" x14ac:dyDescent="0.25">
      <c r="A1797">
        <v>2023</v>
      </c>
      <c r="B1797" s="140" t="s">
        <v>335</v>
      </c>
      <c r="C1797" s="140" t="s">
        <v>68</v>
      </c>
      <c r="D1797" s="140" t="s">
        <v>11</v>
      </c>
      <c r="E1797" s="140" t="s">
        <v>104</v>
      </c>
      <c r="F1797">
        <v>34519</v>
      </c>
      <c r="G1797" s="140" t="s">
        <v>336</v>
      </c>
      <c r="H1797">
        <v>0</v>
      </c>
      <c r="I1797" s="140" t="s">
        <v>17</v>
      </c>
    </row>
    <row r="1798" spans="1:9" hidden="1" x14ac:dyDescent="0.25">
      <c r="A1798">
        <v>2024</v>
      </c>
      <c r="B1798" s="140" t="s">
        <v>335</v>
      </c>
      <c r="C1798" s="140" t="s">
        <v>68</v>
      </c>
      <c r="D1798" s="140" t="s">
        <v>11</v>
      </c>
      <c r="E1798" s="140" t="s">
        <v>104</v>
      </c>
      <c r="F1798">
        <v>34992</v>
      </c>
      <c r="G1798" s="140" t="s">
        <v>336</v>
      </c>
      <c r="H1798">
        <v>0</v>
      </c>
      <c r="I1798" s="140" t="s">
        <v>17</v>
      </c>
    </row>
    <row r="1799" spans="1:9" hidden="1" x14ac:dyDescent="0.25">
      <c r="A1799">
        <v>2025</v>
      </c>
      <c r="B1799" s="140" t="s">
        <v>335</v>
      </c>
      <c r="C1799" s="140" t="s">
        <v>68</v>
      </c>
      <c r="D1799" s="140" t="s">
        <v>11</v>
      </c>
      <c r="E1799" s="140" t="s">
        <v>104</v>
      </c>
      <c r="F1799">
        <v>36153</v>
      </c>
      <c r="G1799" s="140" t="s">
        <v>336</v>
      </c>
      <c r="H1799">
        <v>0</v>
      </c>
      <c r="I1799" s="140" t="s">
        <v>17</v>
      </c>
    </row>
    <row r="1800" spans="1:9" hidden="1" x14ac:dyDescent="0.25">
      <c r="A1800">
        <v>2026</v>
      </c>
      <c r="B1800" s="140" t="s">
        <v>335</v>
      </c>
      <c r="C1800" s="140" t="s">
        <v>68</v>
      </c>
      <c r="D1800" s="140" t="s">
        <v>11</v>
      </c>
      <c r="E1800" s="140" t="s">
        <v>104</v>
      </c>
      <c r="F1800">
        <v>38035.961840000004</v>
      </c>
      <c r="G1800" s="140" t="s">
        <v>336</v>
      </c>
      <c r="H1800">
        <v>0</v>
      </c>
      <c r="I1800" s="140" t="s">
        <v>17</v>
      </c>
    </row>
    <row r="1801" spans="1:9" hidden="1" x14ac:dyDescent="0.25">
      <c r="A1801">
        <v>2027</v>
      </c>
      <c r="B1801" s="140" t="s">
        <v>335</v>
      </c>
      <c r="C1801" s="140" t="s">
        <v>68</v>
      </c>
      <c r="D1801" s="140" t="s">
        <v>11</v>
      </c>
      <c r="E1801" s="140" t="s">
        <v>104</v>
      </c>
      <c r="F1801">
        <v>39469.071430000004</v>
      </c>
      <c r="G1801" s="140" t="s">
        <v>336</v>
      </c>
      <c r="H1801">
        <v>0</v>
      </c>
      <c r="I1801" s="140" t="s">
        <v>17</v>
      </c>
    </row>
    <row r="1802" spans="1:9" hidden="1" x14ac:dyDescent="0.25">
      <c r="A1802">
        <v>2028</v>
      </c>
      <c r="B1802" s="140" t="s">
        <v>335</v>
      </c>
      <c r="C1802" s="140" t="s">
        <v>68</v>
      </c>
      <c r="D1802" s="140" t="s">
        <v>11</v>
      </c>
      <c r="E1802" s="140" t="s">
        <v>104</v>
      </c>
      <c r="F1802">
        <v>41084.109909999999</v>
      </c>
      <c r="G1802" s="140" t="s">
        <v>336</v>
      </c>
      <c r="H1802">
        <v>0</v>
      </c>
      <c r="I1802" s="140" t="s">
        <v>17</v>
      </c>
    </row>
    <row r="1803" spans="1:9" hidden="1" x14ac:dyDescent="0.25">
      <c r="A1803">
        <v>1990</v>
      </c>
      <c r="B1803" s="140" t="s">
        <v>118</v>
      </c>
      <c r="C1803" s="140" t="s">
        <v>19</v>
      </c>
      <c r="D1803" s="140" t="s">
        <v>11</v>
      </c>
      <c r="E1803" s="140" t="s">
        <v>12</v>
      </c>
      <c r="F1803">
        <v>16542</v>
      </c>
      <c r="G1803" s="140" t="s">
        <v>229</v>
      </c>
      <c r="H1803">
        <v>0</v>
      </c>
      <c r="I1803" s="140" t="s">
        <v>17</v>
      </c>
    </row>
    <row r="1804" spans="1:9" hidden="1" x14ac:dyDescent="0.25">
      <c r="A1804">
        <v>1991</v>
      </c>
      <c r="B1804" s="140" t="s">
        <v>118</v>
      </c>
      <c r="C1804" s="140" t="s">
        <v>19</v>
      </c>
      <c r="D1804" s="140" t="s">
        <v>11</v>
      </c>
      <c r="E1804" s="140" t="s">
        <v>12</v>
      </c>
      <c r="F1804">
        <v>17209</v>
      </c>
      <c r="G1804" s="140" t="s">
        <v>229</v>
      </c>
      <c r="H1804">
        <v>0</v>
      </c>
      <c r="I1804" s="140" t="s">
        <v>17</v>
      </c>
    </row>
    <row r="1805" spans="1:9" hidden="1" x14ac:dyDescent="0.25">
      <c r="A1805">
        <v>1992</v>
      </c>
      <c r="B1805" s="140" t="s">
        <v>118</v>
      </c>
      <c r="C1805" s="140" t="s">
        <v>19</v>
      </c>
      <c r="D1805" s="140" t="s">
        <v>11</v>
      </c>
      <c r="E1805" s="140" t="s">
        <v>12</v>
      </c>
      <c r="F1805">
        <v>17176</v>
      </c>
      <c r="G1805" s="140" t="s">
        <v>229</v>
      </c>
      <c r="H1805">
        <v>0</v>
      </c>
      <c r="I1805" s="140" t="s">
        <v>17</v>
      </c>
    </row>
    <row r="1806" spans="1:9" hidden="1" x14ac:dyDescent="0.25">
      <c r="A1806">
        <v>1993</v>
      </c>
      <c r="B1806" s="140" t="s">
        <v>118</v>
      </c>
      <c r="C1806" s="140" t="s">
        <v>19</v>
      </c>
      <c r="D1806" s="140" t="s">
        <v>11</v>
      </c>
      <c r="E1806" s="140" t="s">
        <v>12</v>
      </c>
      <c r="F1806">
        <v>17375</v>
      </c>
      <c r="G1806" s="140" t="s">
        <v>229</v>
      </c>
      <c r="H1806">
        <v>0</v>
      </c>
      <c r="I1806" s="140" t="s">
        <v>17</v>
      </c>
    </row>
    <row r="1807" spans="1:9" hidden="1" x14ac:dyDescent="0.25">
      <c r="A1807">
        <v>1994</v>
      </c>
      <c r="B1807" s="140" t="s">
        <v>118</v>
      </c>
      <c r="C1807" s="140" t="s">
        <v>19</v>
      </c>
      <c r="D1807" s="140" t="s">
        <v>11</v>
      </c>
      <c r="E1807" s="140" t="s">
        <v>12</v>
      </c>
      <c r="F1807">
        <v>17630</v>
      </c>
      <c r="G1807" s="140" t="s">
        <v>229</v>
      </c>
      <c r="H1807">
        <v>0</v>
      </c>
      <c r="I1807" s="140" t="s">
        <v>17</v>
      </c>
    </row>
    <row r="1808" spans="1:9" hidden="1" x14ac:dyDescent="0.25">
      <c r="A1808">
        <v>1995</v>
      </c>
      <c r="B1808" s="140" t="s">
        <v>118</v>
      </c>
      <c r="C1808" s="140" t="s">
        <v>19</v>
      </c>
      <c r="D1808" s="140" t="s">
        <v>11</v>
      </c>
      <c r="E1808" s="140" t="s">
        <v>12</v>
      </c>
      <c r="F1808">
        <v>17796</v>
      </c>
      <c r="G1808" s="140" t="s">
        <v>229</v>
      </c>
      <c r="H1808">
        <v>0</v>
      </c>
      <c r="I1808" s="140" t="s">
        <v>17</v>
      </c>
    </row>
    <row r="1809" spans="1:9" hidden="1" x14ac:dyDescent="0.25">
      <c r="A1809">
        <v>1996</v>
      </c>
      <c r="B1809" s="140" t="s">
        <v>118</v>
      </c>
      <c r="C1809" s="140" t="s">
        <v>19</v>
      </c>
      <c r="D1809" s="140" t="s">
        <v>11</v>
      </c>
      <c r="E1809" s="140" t="s">
        <v>12</v>
      </c>
      <c r="F1809">
        <v>18313</v>
      </c>
      <c r="G1809" s="140" t="s">
        <v>229</v>
      </c>
      <c r="H1809">
        <v>0</v>
      </c>
      <c r="I1809" s="140" t="s">
        <v>17</v>
      </c>
    </row>
    <row r="1810" spans="1:9" hidden="1" x14ac:dyDescent="0.25">
      <c r="A1810">
        <v>1997</v>
      </c>
      <c r="B1810" s="140" t="s">
        <v>118</v>
      </c>
      <c r="C1810" s="140" t="s">
        <v>19</v>
      </c>
      <c r="D1810" s="140" t="s">
        <v>11</v>
      </c>
      <c r="E1810" s="140" t="s">
        <v>12</v>
      </c>
      <c r="F1810">
        <v>19172</v>
      </c>
      <c r="G1810" s="140" t="s">
        <v>229</v>
      </c>
      <c r="H1810">
        <v>0</v>
      </c>
      <c r="I1810" s="140" t="s">
        <v>17</v>
      </c>
    </row>
    <row r="1811" spans="1:9" hidden="1" x14ac:dyDescent="0.25">
      <c r="A1811">
        <v>1998</v>
      </c>
      <c r="B1811" s="140" t="s">
        <v>118</v>
      </c>
      <c r="C1811" s="140" t="s">
        <v>19</v>
      </c>
      <c r="D1811" s="140" t="s">
        <v>11</v>
      </c>
      <c r="E1811" s="140" t="s">
        <v>12</v>
      </c>
      <c r="F1811">
        <v>20238</v>
      </c>
      <c r="G1811" s="140" t="s">
        <v>229</v>
      </c>
      <c r="H1811">
        <v>0</v>
      </c>
      <c r="I1811" s="140" t="s">
        <v>17</v>
      </c>
    </row>
    <row r="1812" spans="1:9" hidden="1" x14ac:dyDescent="0.25">
      <c r="A1812">
        <v>1999</v>
      </c>
      <c r="B1812" s="140" t="s">
        <v>118</v>
      </c>
      <c r="C1812" s="140" t="s">
        <v>19</v>
      </c>
      <c r="D1812" s="140" t="s">
        <v>11</v>
      </c>
      <c r="E1812" s="140" t="s">
        <v>12</v>
      </c>
      <c r="F1812">
        <v>21381</v>
      </c>
      <c r="G1812" s="140" t="s">
        <v>229</v>
      </c>
      <c r="H1812">
        <v>0</v>
      </c>
      <c r="I1812" s="140" t="s">
        <v>17</v>
      </c>
    </row>
    <row r="1813" spans="1:9" hidden="1" x14ac:dyDescent="0.25">
      <c r="A1813">
        <v>2000</v>
      </c>
      <c r="B1813" s="140" t="s">
        <v>118</v>
      </c>
      <c r="C1813" s="140" t="s">
        <v>19</v>
      </c>
      <c r="D1813" s="140" t="s">
        <v>11</v>
      </c>
      <c r="E1813" s="140" t="s">
        <v>12</v>
      </c>
      <c r="F1813">
        <v>23105</v>
      </c>
      <c r="G1813" s="140" t="s">
        <v>229</v>
      </c>
      <c r="H1813">
        <v>0</v>
      </c>
      <c r="I1813" s="140" t="s">
        <v>17</v>
      </c>
    </row>
    <row r="1814" spans="1:9" hidden="1" x14ac:dyDescent="0.25">
      <c r="A1814">
        <v>2001</v>
      </c>
      <c r="B1814" s="140" t="s">
        <v>118</v>
      </c>
      <c r="C1814" s="140" t="s">
        <v>19</v>
      </c>
      <c r="D1814" s="140" t="s">
        <v>11</v>
      </c>
      <c r="E1814" s="140" t="s">
        <v>12</v>
      </c>
      <c r="F1814">
        <v>24652</v>
      </c>
      <c r="G1814" s="140" t="s">
        <v>229</v>
      </c>
      <c r="H1814">
        <v>0</v>
      </c>
      <c r="I1814" s="140" t="s">
        <v>17</v>
      </c>
    </row>
    <row r="1815" spans="1:9" hidden="1" x14ac:dyDescent="0.25">
      <c r="A1815">
        <v>2002</v>
      </c>
      <c r="B1815" s="140" t="s">
        <v>118</v>
      </c>
      <c r="C1815" s="140" t="s">
        <v>19</v>
      </c>
      <c r="D1815" s="140" t="s">
        <v>11</v>
      </c>
      <c r="E1815" s="140" t="s">
        <v>12</v>
      </c>
      <c r="F1815">
        <v>25409</v>
      </c>
      <c r="G1815" s="140" t="s">
        <v>229</v>
      </c>
      <c r="H1815">
        <v>0</v>
      </c>
      <c r="I1815" s="140" t="s">
        <v>17</v>
      </c>
    </row>
    <row r="1816" spans="1:9" hidden="1" x14ac:dyDescent="0.25">
      <c r="A1816">
        <v>2003</v>
      </c>
      <c r="B1816" s="140" t="s">
        <v>118</v>
      </c>
      <c r="C1816" s="140" t="s">
        <v>19</v>
      </c>
      <c r="D1816" s="140" t="s">
        <v>11</v>
      </c>
      <c r="E1816" s="140" t="s">
        <v>12</v>
      </c>
      <c r="F1816">
        <v>26150</v>
      </c>
      <c r="G1816" s="140" t="s">
        <v>229</v>
      </c>
      <c r="H1816">
        <v>0</v>
      </c>
      <c r="I1816" s="140" t="s">
        <v>17</v>
      </c>
    </row>
    <row r="1817" spans="1:9" hidden="1" x14ac:dyDescent="0.25">
      <c r="A1817">
        <v>2004</v>
      </c>
      <c r="B1817" s="140" t="s">
        <v>118</v>
      </c>
      <c r="C1817" s="140" t="s">
        <v>19</v>
      </c>
      <c r="D1817" s="140" t="s">
        <v>11</v>
      </c>
      <c r="E1817" s="140" t="s">
        <v>12</v>
      </c>
      <c r="F1817">
        <v>27436</v>
      </c>
      <c r="G1817" s="140" t="s">
        <v>229</v>
      </c>
      <c r="H1817">
        <v>0</v>
      </c>
      <c r="I1817" s="140" t="s">
        <v>17</v>
      </c>
    </row>
    <row r="1818" spans="1:9" hidden="1" x14ac:dyDescent="0.25">
      <c r="A1818">
        <v>2005</v>
      </c>
      <c r="B1818" s="140" t="s">
        <v>118</v>
      </c>
      <c r="C1818" s="140" t="s">
        <v>19</v>
      </c>
      <c r="D1818" s="140" t="s">
        <v>11</v>
      </c>
      <c r="E1818" s="140" t="s">
        <v>12</v>
      </c>
      <c r="F1818">
        <v>29004</v>
      </c>
      <c r="G1818" s="140" t="s">
        <v>229</v>
      </c>
      <c r="H1818">
        <v>0</v>
      </c>
      <c r="I1818" s="140" t="s">
        <v>17</v>
      </c>
    </row>
    <row r="1819" spans="1:9" hidden="1" x14ac:dyDescent="0.25">
      <c r="A1819">
        <v>2006</v>
      </c>
      <c r="B1819" s="140" t="s">
        <v>118</v>
      </c>
      <c r="C1819" s="140" t="s">
        <v>19</v>
      </c>
      <c r="D1819" s="140" t="s">
        <v>11</v>
      </c>
      <c r="E1819" s="140" t="s">
        <v>12</v>
      </c>
      <c r="F1819">
        <v>30430</v>
      </c>
      <c r="G1819" s="140" t="s">
        <v>229</v>
      </c>
      <c r="H1819">
        <v>0</v>
      </c>
      <c r="I1819" s="140" t="s">
        <v>17</v>
      </c>
    </row>
    <row r="1820" spans="1:9" hidden="1" x14ac:dyDescent="0.25">
      <c r="A1820">
        <v>2007</v>
      </c>
      <c r="B1820" s="140" t="s">
        <v>118</v>
      </c>
      <c r="C1820" s="140" t="s">
        <v>19</v>
      </c>
      <c r="D1820" s="140" t="s">
        <v>11</v>
      </c>
      <c r="E1820" s="140" t="s">
        <v>12</v>
      </c>
      <c r="F1820">
        <v>32464</v>
      </c>
      <c r="G1820" s="140" t="s">
        <v>229</v>
      </c>
      <c r="H1820">
        <v>0</v>
      </c>
      <c r="I1820" s="140" t="s">
        <v>17</v>
      </c>
    </row>
    <row r="1821" spans="1:9" hidden="1" x14ac:dyDescent="0.25">
      <c r="A1821">
        <v>2008</v>
      </c>
      <c r="B1821" s="140" t="s">
        <v>118</v>
      </c>
      <c r="C1821" s="140" t="s">
        <v>19</v>
      </c>
      <c r="D1821" s="140" t="s">
        <v>11</v>
      </c>
      <c r="E1821" s="140" t="s">
        <v>12</v>
      </c>
      <c r="F1821">
        <v>34829</v>
      </c>
      <c r="G1821" s="140" t="s">
        <v>229</v>
      </c>
      <c r="H1821">
        <v>0</v>
      </c>
      <c r="I1821" s="140" t="s">
        <v>17</v>
      </c>
    </row>
    <row r="1822" spans="1:9" hidden="1" x14ac:dyDescent="0.25">
      <c r="A1822">
        <v>2009</v>
      </c>
      <c r="B1822" s="140" t="s">
        <v>118</v>
      </c>
      <c r="C1822" s="140" t="s">
        <v>19</v>
      </c>
      <c r="D1822" s="140" t="s">
        <v>11</v>
      </c>
      <c r="E1822" s="140" t="s">
        <v>12</v>
      </c>
      <c r="F1822">
        <v>35494</v>
      </c>
      <c r="G1822" s="140" t="s">
        <v>229</v>
      </c>
      <c r="H1822">
        <v>0</v>
      </c>
      <c r="I1822" s="140" t="s">
        <v>17</v>
      </c>
    </row>
    <row r="1823" spans="1:9" hidden="1" x14ac:dyDescent="0.25">
      <c r="A1823">
        <v>2010</v>
      </c>
      <c r="B1823" s="140" t="s">
        <v>118</v>
      </c>
      <c r="C1823" s="140" t="s">
        <v>19</v>
      </c>
      <c r="D1823" s="140" t="s">
        <v>11</v>
      </c>
      <c r="E1823" s="140" t="s">
        <v>12</v>
      </c>
      <c r="F1823">
        <v>35307</v>
      </c>
      <c r="G1823" s="140" t="s">
        <v>229</v>
      </c>
      <c r="H1823">
        <v>0</v>
      </c>
      <c r="I1823" s="140" t="s">
        <v>17</v>
      </c>
    </row>
    <row r="1824" spans="1:9" hidden="1" x14ac:dyDescent="0.25">
      <c r="A1824">
        <v>2011</v>
      </c>
      <c r="B1824" s="140" t="s">
        <v>118</v>
      </c>
      <c r="C1824" s="140" t="s">
        <v>19</v>
      </c>
      <c r="D1824" s="140" t="s">
        <v>11</v>
      </c>
      <c r="E1824" s="140" t="s">
        <v>12</v>
      </c>
      <c r="F1824">
        <v>36569</v>
      </c>
      <c r="G1824" s="140" t="s">
        <v>229</v>
      </c>
      <c r="H1824">
        <v>0</v>
      </c>
      <c r="I1824" s="140" t="s">
        <v>17</v>
      </c>
    </row>
    <row r="1825" spans="1:9" hidden="1" x14ac:dyDescent="0.25">
      <c r="A1825">
        <v>2012</v>
      </c>
      <c r="B1825" s="140" t="s">
        <v>118</v>
      </c>
      <c r="C1825" s="140" t="s">
        <v>19</v>
      </c>
      <c r="D1825" s="140" t="s">
        <v>11</v>
      </c>
      <c r="E1825" s="140" t="s">
        <v>12</v>
      </c>
      <c r="F1825">
        <v>38285</v>
      </c>
      <c r="G1825" s="140" t="s">
        <v>229</v>
      </c>
      <c r="H1825">
        <v>0</v>
      </c>
      <c r="I1825" s="140" t="s">
        <v>17</v>
      </c>
    </row>
    <row r="1826" spans="1:9" hidden="1" x14ac:dyDescent="0.25">
      <c r="A1826">
        <v>2013</v>
      </c>
      <c r="B1826" s="140" t="s">
        <v>118</v>
      </c>
      <c r="C1826" s="140" t="s">
        <v>19</v>
      </c>
      <c r="D1826" s="140" t="s">
        <v>11</v>
      </c>
      <c r="E1826" s="140" t="s">
        <v>12</v>
      </c>
      <c r="F1826">
        <v>39064</v>
      </c>
      <c r="G1826" s="140" t="s">
        <v>229</v>
      </c>
      <c r="H1826">
        <v>0</v>
      </c>
      <c r="I1826" s="140" t="s">
        <v>17</v>
      </c>
    </row>
    <row r="1827" spans="1:9" hidden="1" x14ac:dyDescent="0.25">
      <c r="A1827">
        <v>2014</v>
      </c>
      <c r="B1827" s="140" t="s">
        <v>118</v>
      </c>
      <c r="C1827" s="140" t="s">
        <v>19</v>
      </c>
      <c r="D1827" s="140" t="s">
        <v>11</v>
      </c>
      <c r="E1827" s="140" t="s">
        <v>12</v>
      </c>
      <c r="F1827">
        <v>39403</v>
      </c>
      <c r="G1827" s="140" t="s">
        <v>229</v>
      </c>
      <c r="H1827">
        <v>0</v>
      </c>
      <c r="I1827" s="140" t="s">
        <v>17</v>
      </c>
    </row>
    <row r="1828" spans="1:9" hidden="1" x14ac:dyDescent="0.25">
      <c r="A1828">
        <v>2015</v>
      </c>
      <c r="B1828" s="140" t="s">
        <v>118</v>
      </c>
      <c r="C1828" s="140" t="s">
        <v>19</v>
      </c>
      <c r="D1828" s="140" t="s">
        <v>11</v>
      </c>
      <c r="E1828" s="140" t="s">
        <v>12</v>
      </c>
      <c r="F1828">
        <v>39798</v>
      </c>
      <c r="G1828" s="140" t="s">
        <v>229</v>
      </c>
      <c r="H1828">
        <v>0</v>
      </c>
      <c r="I1828" s="140" t="s">
        <v>17</v>
      </c>
    </row>
    <row r="1829" spans="1:9" hidden="1" x14ac:dyDescent="0.25">
      <c r="A1829">
        <v>2016</v>
      </c>
      <c r="B1829" s="140" t="s">
        <v>118</v>
      </c>
      <c r="C1829" s="140" t="s">
        <v>19</v>
      </c>
      <c r="D1829" s="140" t="s">
        <v>11</v>
      </c>
      <c r="E1829" s="140" t="s">
        <v>12</v>
      </c>
      <c r="F1829">
        <v>40360</v>
      </c>
      <c r="G1829" s="140" t="s">
        <v>229</v>
      </c>
      <c r="H1829">
        <v>0</v>
      </c>
      <c r="I1829" s="140" t="s">
        <v>17</v>
      </c>
    </row>
    <row r="1830" spans="1:9" hidden="1" x14ac:dyDescent="0.25">
      <c r="A1830">
        <v>2017</v>
      </c>
      <c r="B1830" s="140" t="s">
        <v>118</v>
      </c>
      <c r="C1830" s="140" t="s">
        <v>19</v>
      </c>
      <c r="D1830" s="140" t="s">
        <v>11</v>
      </c>
      <c r="E1830" s="140" t="s">
        <v>12</v>
      </c>
      <c r="F1830">
        <v>41475</v>
      </c>
      <c r="G1830" s="140" t="s">
        <v>229</v>
      </c>
      <c r="H1830">
        <v>0</v>
      </c>
      <c r="I1830" s="140" t="s">
        <v>17</v>
      </c>
    </row>
    <row r="1831" spans="1:9" hidden="1" x14ac:dyDescent="0.25">
      <c r="A1831">
        <v>2018</v>
      </c>
      <c r="B1831" s="140" t="s">
        <v>118</v>
      </c>
      <c r="C1831" s="140" t="s">
        <v>19</v>
      </c>
      <c r="D1831" s="140" t="s">
        <v>11</v>
      </c>
      <c r="E1831" s="140" t="s">
        <v>12</v>
      </c>
      <c r="F1831">
        <v>43156</v>
      </c>
      <c r="G1831" s="140" t="s">
        <v>229</v>
      </c>
      <c r="H1831">
        <v>0</v>
      </c>
      <c r="I1831" s="140" t="s">
        <v>17</v>
      </c>
    </row>
    <row r="1832" spans="1:9" hidden="1" x14ac:dyDescent="0.25">
      <c r="A1832">
        <v>2019</v>
      </c>
      <c r="B1832" s="140" t="s">
        <v>118</v>
      </c>
      <c r="C1832" s="140" t="s">
        <v>19</v>
      </c>
      <c r="D1832" s="140" t="s">
        <v>11</v>
      </c>
      <c r="E1832" s="140" t="s">
        <v>12</v>
      </c>
      <c r="F1832">
        <v>45323</v>
      </c>
      <c r="G1832" s="140" t="s">
        <v>229</v>
      </c>
      <c r="H1832">
        <v>0</v>
      </c>
      <c r="I1832" s="140" t="s">
        <v>17</v>
      </c>
    </row>
    <row r="1833" spans="1:9" hidden="1" x14ac:dyDescent="0.25">
      <c r="A1833">
        <v>2020</v>
      </c>
      <c r="B1833" s="140" t="s">
        <v>118</v>
      </c>
      <c r="C1833" s="140" t="s">
        <v>19</v>
      </c>
      <c r="D1833" s="140" t="s">
        <v>11</v>
      </c>
      <c r="E1833" s="140" t="s">
        <v>12</v>
      </c>
      <c r="F1833">
        <v>46528</v>
      </c>
      <c r="G1833" s="140" t="s">
        <v>229</v>
      </c>
      <c r="H1833">
        <v>0</v>
      </c>
      <c r="I1833" s="140" t="s">
        <v>17</v>
      </c>
    </row>
    <row r="1834" spans="1:9" hidden="1" x14ac:dyDescent="0.25">
      <c r="A1834">
        <v>2021</v>
      </c>
      <c r="B1834" s="140" t="s">
        <v>118</v>
      </c>
      <c r="C1834" s="140" t="s">
        <v>19</v>
      </c>
      <c r="D1834" s="140" t="s">
        <v>11</v>
      </c>
      <c r="E1834" s="140" t="s">
        <v>12</v>
      </c>
      <c r="F1834">
        <v>48235</v>
      </c>
      <c r="G1834" s="140" t="s">
        <v>229</v>
      </c>
      <c r="H1834">
        <v>0</v>
      </c>
      <c r="I1834" s="140" t="s">
        <v>17</v>
      </c>
    </row>
    <row r="1835" spans="1:9" hidden="1" x14ac:dyDescent="0.25">
      <c r="A1835">
        <v>2022</v>
      </c>
      <c r="B1835" s="140" t="s">
        <v>118</v>
      </c>
      <c r="C1835" s="140" t="s">
        <v>19</v>
      </c>
      <c r="D1835" s="140" t="s">
        <v>11</v>
      </c>
      <c r="E1835" s="140" t="s">
        <v>12</v>
      </c>
      <c r="F1835">
        <v>52133</v>
      </c>
      <c r="G1835" s="140" t="s">
        <v>229</v>
      </c>
      <c r="H1835">
        <v>0</v>
      </c>
      <c r="I1835" s="140" t="s">
        <v>17</v>
      </c>
    </row>
    <row r="1836" spans="1:9" hidden="1" x14ac:dyDescent="0.25">
      <c r="A1836">
        <v>2023</v>
      </c>
      <c r="B1836" s="140" t="s">
        <v>118</v>
      </c>
      <c r="C1836" s="140" t="s">
        <v>19</v>
      </c>
      <c r="D1836" s="140" t="s">
        <v>11</v>
      </c>
      <c r="E1836" s="140" t="s">
        <v>12</v>
      </c>
      <c r="F1836">
        <v>55624</v>
      </c>
      <c r="G1836" s="140" t="s">
        <v>229</v>
      </c>
      <c r="H1836">
        <v>0</v>
      </c>
      <c r="I1836" s="140" t="s">
        <v>17</v>
      </c>
    </row>
    <row r="1837" spans="1:9" hidden="1" x14ac:dyDescent="0.25">
      <c r="A1837">
        <v>2024</v>
      </c>
      <c r="B1837" s="140" t="s">
        <v>118</v>
      </c>
      <c r="C1837" s="140" t="s">
        <v>19</v>
      </c>
      <c r="D1837" s="140" t="s">
        <v>11</v>
      </c>
      <c r="E1837" s="140" t="s">
        <v>12</v>
      </c>
      <c r="F1837">
        <v>56766</v>
      </c>
      <c r="G1837" s="140" t="s">
        <v>229</v>
      </c>
      <c r="H1837">
        <v>0</v>
      </c>
      <c r="I1837" s="140" t="s">
        <v>17</v>
      </c>
    </row>
    <row r="1838" spans="1:9" hidden="1" x14ac:dyDescent="0.25">
      <c r="A1838">
        <v>2025</v>
      </c>
      <c r="B1838" s="140" t="s">
        <v>118</v>
      </c>
      <c r="C1838" s="140" t="s">
        <v>19</v>
      </c>
      <c r="D1838" s="140" t="s">
        <v>11</v>
      </c>
      <c r="E1838" s="140" t="s">
        <v>12</v>
      </c>
      <c r="F1838">
        <v>57326</v>
      </c>
      <c r="G1838" s="140" t="s">
        <v>229</v>
      </c>
      <c r="H1838">
        <v>0</v>
      </c>
      <c r="I1838" s="140" t="s">
        <v>17</v>
      </c>
    </row>
    <row r="1839" spans="1:9" hidden="1" x14ac:dyDescent="0.25">
      <c r="A1839">
        <v>2026</v>
      </c>
      <c r="B1839" s="140" t="s">
        <v>118</v>
      </c>
      <c r="C1839" s="140" t="s">
        <v>19</v>
      </c>
      <c r="D1839" s="140" t="s">
        <v>11</v>
      </c>
      <c r="E1839" s="140" t="s">
        <v>12</v>
      </c>
      <c r="F1839">
        <v>59332.41</v>
      </c>
      <c r="G1839" s="140" t="s">
        <v>229</v>
      </c>
      <c r="H1839">
        <v>0</v>
      </c>
      <c r="I1839" s="140" t="s">
        <v>17</v>
      </c>
    </row>
    <row r="1840" spans="1:9" hidden="1" x14ac:dyDescent="0.25">
      <c r="A1840">
        <v>2027</v>
      </c>
      <c r="B1840" s="140" t="s">
        <v>118</v>
      </c>
      <c r="C1840" s="140" t="s">
        <v>19</v>
      </c>
      <c r="D1840" s="140" t="s">
        <v>11</v>
      </c>
      <c r="E1840" s="140" t="s">
        <v>12</v>
      </c>
      <c r="F1840">
        <v>61527.709170000002</v>
      </c>
      <c r="G1840" s="140" t="s">
        <v>229</v>
      </c>
      <c r="H1840">
        <v>0</v>
      </c>
      <c r="I1840" s="140" t="s">
        <v>17</v>
      </c>
    </row>
    <row r="1841" spans="1:9" hidden="1" x14ac:dyDescent="0.25">
      <c r="A1841">
        <v>2028</v>
      </c>
      <c r="B1841" s="140" t="s">
        <v>118</v>
      </c>
      <c r="C1841" s="140" t="s">
        <v>19</v>
      </c>
      <c r="D1841" s="140" t="s">
        <v>11</v>
      </c>
      <c r="E1841" s="140" t="s">
        <v>12</v>
      </c>
      <c r="F1841">
        <v>63804.234409999997</v>
      </c>
      <c r="G1841" s="140" t="s">
        <v>229</v>
      </c>
      <c r="H1841">
        <v>0</v>
      </c>
      <c r="I1841" s="140" t="s">
        <v>17</v>
      </c>
    </row>
    <row r="1842" spans="1:9" hidden="1" x14ac:dyDescent="0.25">
      <c r="A1842">
        <v>2029</v>
      </c>
      <c r="B1842" s="140" t="s">
        <v>118</v>
      </c>
      <c r="C1842" s="140" t="s">
        <v>19</v>
      </c>
      <c r="D1842" s="140" t="s">
        <v>11</v>
      </c>
      <c r="E1842" s="140" t="s">
        <v>12</v>
      </c>
      <c r="F1842">
        <v>66196.893200000006</v>
      </c>
      <c r="G1842" s="140" t="s">
        <v>229</v>
      </c>
      <c r="H1842">
        <v>0</v>
      </c>
      <c r="I1842" s="140" t="s">
        <v>17</v>
      </c>
    </row>
    <row r="1843" spans="1:9" hidden="1" x14ac:dyDescent="0.25">
      <c r="A1843">
        <v>2030</v>
      </c>
      <c r="B1843" s="140" t="s">
        <v>118</v>
      </c>
      <c r="C1843" s="140" t="s">
        <v>19</v>
      </c>
      <c r="D1843" s="140" t="s">
        <v>11</v>
      </c>
      <c r="E1843" s="140" t="s">
        <v>12</v>
      </c>
      <c r="F1843" s="4">
        <v>68315.193780000001</v>
      </c>
      <c r="G1843" s="140" t="s">
        <v>229</v>
      </c>
      <c r="H1843">
        <v>0</v>
      </c>
      <c r="I1843" s="140" t="s">
        <v>17</v>
      </c>
    </row>
    <row r="1844" spans="1:9" hidden="1" x14ac:dyDescent="0.25">
      <c r="A1844">
        <v>1990</v>
      </c>
      <c r="B1844" s="140" t="s">
        <v>113</v>
      </c>
      <c r="C1844" s="140" t="s">
        <v>20</v>
      </c>
      <c r="D1844" s="140" t="s">
        <v>11</v>
      </c>
      <c r="E1844" s="140" t="s">
        <v>12</v>
      </c>
      <c r="F1844" s="4">
        <v>113032</v>
      </c>
      <c r="G1844" s="140" t="s">
        <v>209</v>
      </c>
      <c r="H1844">
        <v>0</v>
      </c>
      <c r="I1844" s="140" t="s">
        <v>17</v>
      </c>
    </row>
    <row r="1845" spans="1:9" hidden="1" x14ac:dyDescent="0.25">
      <c r="A1845">
        <v>1991</v>
      </c>
      <c r="B1845" s="140" t="s">
        <v>113</v>
      </c>
      <c r="C1845" s="140" t="s">
        <v>20</v>
      </c>
      <c r="D1845" s="140" t="s">
        <v>11</v>
      </c>
      <c r="E1845" s="140" t="s">
        <v>12</v>
      </c>
      <c r="F1845">
        <v>111194</v>
      </c>
      <c r="G1845" s="140" t="s">
        <v>209</v>
      </c>
      <c r="H1845">
        <v>0</v>
      </c>
      <c r="I1845" s="140" t="s">
        <v>17</v>
      </c>
    </row>
    <row r="1846" spans="1:9" hidden="1" x14ac:dyDescent="0.25">
      <c r="A1846">
        <v>1992</v>
      </c>
      <c r="B1846" s="140" t="s">
        <v>113</v>
      </c>
      <c r="C1846" s="140" t="s">
        <v>20</v>
      </c>
      <c r="D1846" s="140" t="s">
        <v>11</v>
      </c>
      <c r="E1846" s="140" t="s">
        <v>12</v>
      </c>
      <c r="F1846">
        <v>106832</v>
      </c>
      <c r="G1846" s="140" t="s">
        <v>209</v>
      </c>
      <c r="H1846">
        <v>0</v>
      </c>
      <c r="I1846" s="140" t="s">
        <v>17</v>
      </c>
    </row>
    <row r="1847" spans="1:9" hidden="1" x14ac:dyDescent="0.25">
      <c r="A1847">
        <v>1993</v>
      </c>
      <c r="B1847" s="140" t="s">
        <v>113</v>
      </c>
      <c r="C1847" s="140" t="s">
        <v>20</v>
      </c>
      <c r="D1847" s="140" t="s">
        <v>11</v>
      </c>
      <c r="E1847" s="140" t="s">
        <v>12</v>
      </c>
      <c r="F1847">
        <v>103566</v>
      </c>
      <c r="G1847" s="140" t="s">
        <v>209</v>
      </c>
      <c r="H1847">
        <v>0</v>
      </c>
      <c r="I1847" s="140" t="s">
        <v>17</v>
      </c>
    </row>
    <row r="1848" spans="1:9" hidden="1" x14ac:dyDescent="0.25">
      <c r="A1848">
        <v>1994</v>
      </c>
      <c r="B1848" s="140" t="s">
        <v>113</v>
      </c>
      <c r="C1848" s="140" t="s">
        <v>20</v>
      </c>
      <c r="D1848" s="140" t="s">
        <v>11</v>
      </c>
      <c r="E1848" s="140" t="s">
        <v>12</v>
      </c>
      <c r="F1848">
        <v>105493</v>
      </c>
      <c r="G1848" s="140" t="s">
        <v>209</v>
      </c>
      <c r="H1848">
        <v>0</v>
      </c>
      <c r="I1848" s="140" t="s">
        <v>17</v>
      </c>
    </row>
    <row r="1849" spans="1:9" hidden="1" x14ac:dyDescent="0.25">
      <c r="A1849">
        <v>1995</v>
      </c>
      <c r="B1849" s="140" t="s">
        <v>113</v>
      </c>
      <c r="C1849" s="140" t="s">
        <v>20</v>
      </c>
      <c r="D1849" s="140" t="s">
        <v>11</v>
      </c>
      <c r="E1849" s="140" t="s">
        <v>12</v>
      </c>
      <c r="F1849">
        <v>110077</v>
      </c>
      <c r="G1849" s="140" t="s">
        <v>209</v>
      </c>
      <c r="H1849">
        <v>0</v>
      </c>
      <c r="I1849" s="140" t="s">
        <v>17</v>
      </c>
    </row>
    <row r="1850" spans="1:9" hidden="1" x14ac:dyDescent="0.25">
      <c r="A1850">
        <v>1996</v>
      </c>
      <c r="B1850" s="140" t="s">
        <v>113</v>
      </c>
      <c r="C1850" s="140" t="s">
        <v>20</v>
      </c>
      <c r="D1850" s="140" t="s">
        <v>11</v>
      </c>
      <c r="E1850" s="140" t="s">
        <v>12</v>
      </c>
      <c r="F1850">
        <v>113657</v>
      </c>
      <c r="G1850" s="140" t="s">
        <v>209</v>
      </c>
      <c r="H1850">
        <v>0</v>
      </c>
      <c r="I1850" s="140" t="s">
        <v>17</v>
      </c>
    </row>
    <row r="1851" spans="1:9" hidden="1" x14ac:dyDescent="0.25">
      <c r="A1851">
        <v>1997</v>
      </c>
      <c r="B1851" s="140" t="s">
        <v>113</v>
      </c>
      <c r="C1851" s="140" t="s">
        <v>20</v>
      </c>
      <c r="D1851" s="140" t="s">
        <v>11</v>
      </c>
      <c r="E1851" s="140" t="s">
        <v>12</v>
      </c>
      <c r="F1851">
        <v>117559</v>
      </c>
      <c r="G1851" s="140" t="s">
        <v>209</v>
      </c>
      <c r="H1851">
        <v>0</v>
      </c>
      <c r="I1851" s="140" t="s">
        <v>17</v>
      </c>
    </row>
    <row r="1852" spans="1:9" hidden="1" x14ac:dyDescent="0.25">
      <c r="A1852">
        <v>1998</v>
      </c>
      <c r="B1852" s="140" t="s">
        <v>113</v>
      </c>
      <c r="C1852" s="140" t="s">
        <v>20</v>
      </c>
      <c r="D1852" s="140" t="s">
        <v>11</v>
      </c>
      <c r="E1852" s="140" t="s">
        <v>12</v>
      </c>
      <c r="F1852">
        <v>122238</v>
      </c>
      <c r="G1852" s="140" t="s">
        <v>209</v>
      </c>
      <c r="H1852">
        <v>0</v>
      </c>
      <c r="I1852" s="140" t="s">
        <v>17</v>
      </c>
    </row>
    <row r="1853" spans="1:9" hidden="1" x14ac:dyDescent="0.25">
      <c r="A1853">
        <v>1999</v>
      </c>
      <c r="B1853" s="140" t="s">
        <v>113</v>
      </c>
      <c r="C1853" s="140" t="s">
        <v>20</v>
      </c>
      <c r="D1853" s="140" t="s">
        <v>11</v>
      </c>
      <c r="E1853" s="140" t="s">
        <v>12</v>
      </c>
      <c r="F1853">
        <v>125707</v>
      </c>
      <c r="G1853" s="140" t="s">
        <v>209</v>
      </c>
      <c r="H1853">
        <v>0</v>
      </c>
      <c r="I1853" s="140" t="s">
        <v>17</v>
      </c>
    </row>
    <row r="1854" spans="1:9" hidden="1" x14ac:dyDescent="0.25">
      <c r="A1854">
        <v>2000</v>
      </c>
      <c r="B1854" s="140" t="s">
        <v>113</v>
      </c>
      <c r="C1854" s="140" t="s">
        <v>20</v>
      </c>
      <c r="D1854" s="140" t="s">
        <v>11</v>
      </c>
      <c r="E1854" s="140" t="s">
        <v>12</v>
      </c>
      <c r="F1854">
        <v>128075</v>
      </c>
      <c r="G1854" s="140" t="s">
        <v>209</v>
      </c>
      <c r="H1854">
        <v>0</v>
      </c>
      <c r="I1854" s="140" t="s">
        <v>17</v>
      </c>
    </row>
    <row r="1855" spans="1:9" hidden="1" x14ac:dyDescent="0.25">
      <c r="A1855">
        <v>2001</v>
      </c>
      <c r="B1855" s="140" t="s">
        <v>113</v>
      </c>
      <c r="C1855" s="140" t="s">
        <v>20</v>
      </c>
      <c r="D1855" s="140" t="s">
        <v>11</v>
      </c>
      <c r="E1855" s="140" t="s">
        <v>12</v>
      </c>
      <c r="F1855">
        <v>131458</v>
      </c>
      <c r="G1855" s="140" t="s">
        <v>209</v>
      </c>
      <c r="H1855">
        <v>0</v>
      </c>
      <c r="I1855" s="140" t="s">
        <v>17</v>
      </c>
    </row>
    <row r="1856" spans="1:9" hidden="1" x14ac:dyDescent="0.25">
      <c r="A1856">
        <v>2002</v>
      </c>
      <c r="B1856" s="140" t="s">
        <v>113</v>
      </c>
      <c r="C1856" s="140" t="s">
        <v>20</v>
      </c>
      <c r="D1856" s="140" t="s">
        <v>11</v>
      </c>
      <c r="E1856" s="140" t="s">
        <v>12</v>
      </c>
      <c r="F1856">
        <v>134679</v>
      </c>
      <c r="G1856" s="140" t="s">
        <v>209</v>
      </c>
      <c r="H1856">
        <v>0</v>
      </c>
      <c r="I1856" s="140" t="s">
        <v>17</v>
      </c>
    </row>
    <row r="1857" spans="1:9" hidden="1" x14ac:dyDescent="0.25">
      <c r="A1857">
        <v>2003</v>
      </c>
      <c r="B1857" s="140" t="s">
        <v>113</v>
      </c>
      <c r="C1857" s="140" t="s">
        <v>20</v>
      </c>
      <c r="D1857" s="140" t="s">
        <v>11</v>
      </c>
      <c r="E1857" s="140" t="s">
        <v>12</v>
      </c>
      <c r="F1857">
        <v>139099</v>
      </c>
      <c r="G1857" s="140" t="s">
        <v>209</v>
      </c>
      <c r="H1857">
        <v>0</v>
      </c>
      <c r="I1857" s="140" t="s">
        <v>17</v>
      </c>
    </row>
    <row r="1858" spans="1:9" hidden="1" x14ac:dyDescent="0.25">
      <c r="A1858">
        <v>2004</v>
      </c>
      <c r="B1858" s="140" t="s">
        <v>113</v>
      </c>
      <c r="C1858" s="140" t="s">
        <v>20</v>
      </c>
      <c r="D1858" s="140" t="s">
        <v>11</v>
      </c>
      <c r="E1858" s="140" t="s">
        <v>12</v>
      </c>
      <c r="F1858">
        <v>143388</v>
      </c>
      <c r="G1858" s="140" t="s">
        <v>209</v>
      </c>
      <c r="H1858">
        <v>0</v>
      </c>
      <c r="I1858" s="140" t="s">
        <v>17</v>
      </c>
    </row>
    <row r="1859" spans="1:9" hidden="1" x14ac:dyDescent="0.25">
      <c r="A1859">
        <v>2005</v>
      </c>
      <c r="B1859" s="140" t="s">
        <v>113</v>
      </c>
      <c r="C1859" s="140" t="s">
        <v>20</v>
      </c>
      <c r="D1859" s="140" t="s">
        <v>11</v>
      </c>
      <c r="E1859" s="140" t="s">
        <v>12</v>
      </c>
      <c r="F1859">
        <v>147425</v>
      </c>
      <c r="G1859" s="140" t="s">
        <v>209</v>
      </c>
      <c r="H1859">
        <v>0</v>
      </c>
      <c r="I1859" s="140" t="s">
        <v>17</v>
      </c>
    </row>
    <row r="1860" spans="1:9" hidden="1" x14ac:dyDescent="0.25">
      <c r="A1860">
        <v>2006</v>
      </c>
      <c r="B1860" s="140" t="s">
        <v>113</v>
      </c>
      <c r="C1860" s="140" t="s">
        <v>20</v>
      </c>
      <c r="D1860" s="140" t="s">
        <v>11</v>
      </c>
      <c r="E1860" s="140" t="s">
        <v>12</v>
      </c>
      <c r="F1860">
        <v>151961</v>
      </c>
      <c r="G1860" s="140" t="s">
        <v>209</v>
      </c>
      <c r="H1860">
        <v>0</v>
      </c>
      <c r="I1860" s="140" t="s">
        <v>17</v>
      </c>
    </row>
    <row r="1861" spans="1:9" hidden="1" x14ac:dyDescent="0.25">
      <c r="A1861">
        <v>2007</v>
      </c>
      <c r="B1861" s="140" t="s">
        <v>113</v>
      </c>
      <c r="C1861" s="140" t="s">
        <v>20</v>
      </c>
      <c r="D1861" s="140" t="s">
        <v>11</v>
      </c>
      <c r="E1861" s="140" t="s">
        <v>12</v>
      </c>
      <c r="F1861">
        <v>156291</v>
      </c>
      <c r="G1861" s="140" t="s">
        <v>209</v>
      </c>
      <c r="H1861">
        <v>0</v>
      </c>
      <c r="I1861" s="140" t="s">
        <v>17</v>
      </c>
    </row>
    <row r="1862" spans="1:9" hidden="1" x14ac:dyDescent="0.25">
      <c r="A1862">
        <v>2008</v>
      </c>
      <c r="B1862" s="140" t="s">
        <v>113</v>
      </c>
      <c r="C1862" s="140" t="s">
        <v>20</v>
      </c>
      <c r="D1862" s="140" t="s">
        <v>11</v>
      </c>
      <c r="E1862" s="140" t="s">
        <v>12</v>
      </c>
      <c r="F1862">
        <v>159278</v>
      </c>
      <c r="G1862" s="140" t="s">
        <v>209</v>
      </c>
      <c r="H1862">
        <v>0</v>
      </c>
      <c r="I1862" s="140" t="s">
        <v>17</v>
      </c>
    </row>
    <row r="1863" spans="1:9" hidden="1" x14ac:dyDescent="0.25">
      <c r="A1863">
        <v>2009</v>
      </c>
      <c r="B1863" s="140" t="s">
        <v>113</v>
      </c>
      <c r="C1863" s="140" t="s">
        <v>20</v>
      </c>
      <c r="D1863" s="140" t="s">
        <v>11</v>
      </c>
      <c r="E1863" s="140" t="s">
        <v>12</v>
      </c>
      <c r="F1863">
        <v>156732</v>
      </c>
      <c r="G1863" s="140" t="s">
        <v>209</v>
      </c>
      <c r="H1863">
        <v>0</v>
      </c>
      <c r="I1863" s="140" t="s">
        <v>17</v>
      </c>
    </row>
    <row r="1864" spans="1:9" hidden="1" x14ac:dyDescent="0.25">
      <c r="A1864">
        <v>2010</v>
      </c>
      <c r="B1864" s="140" t="s">
        <v>113</v>
      </c>
      <c r="C1864" s="140" t="s">
        <v>20</v>
      </c>
      <c r="D1864" s="140" t="s">
        <v>11</v>
      </c>
      <c r="E1864" s="140" t="s">
        <v>12</v>
      </c>
      <c r="F1864">
        <v>158993</v>
      </c>
      <c r="G1864" s="140" t="s">
        <v>209</v>
      </c>
      <c r="H1864">
        <v>0</v>
      </c>
      <c r="I1864" s="140" t="s">
        <v>17</v>
      </c>
    </row>
    <row r="1865" spans="1:9" hidden="1" x14ac:dyDescent="0.25">
      <c r="A1865">
        <v>2011</v>
      </c>
      <c r="B1865" s="140" t="s">
        <v>113</v>
      </c>
      <c r="C1865" s="140" t="s">
        <v>20</v>
      </c>
      <c r="D1865" s="140" t="s">
        <v>11</v>
      </c>
      <c r="E1865" s="140" t="s">
        <v>12</v>
      </c>
      <c r="F1865">
        <v>162128</v>
      </c>
      <c r="G1865" s="140" t="s">
        <v>209</v>
      </c>
      <c r="H1865">
        <v>0</v>
      </c>
      <c r="I1865" s="140" t="s">
        <v>17</v>
      </c>
    </row>
    <row r="1866" spans="1:9" hidden="1" x14ac:dyDescent="0.25">
      <c r="A1866">
        <v>2012</v>
      </c>
      <c r="B1866" s="140" t="s">
        <v>113</v>
      </c>
      <c r="C1866" s="140" t="s">
        <v>20</v>
      </c>
      <c r="D1866" s="140" t="s">
        <v>11</v>
      </c>
      <c r="E1866" s="140" t="s">
        <v>12</v>
      </c>
      <c r="F1866">
        <v>162860</v>
      </c>
      <c r="G1866" s="140" t="s">
        <v>209</v>
      </c>
      <c r="H1866">
        <v>0</v>
      </c>
      <c r="I1866" s="140" t="s">
        <v>17</v>
      </c>
    </row>
    <row r="1867" spans="1:9" hidden="1" x14ac:dyDescent="0.25">
      <c r="A1867">
        <v>2013</v>
      </c>
      <c r="B1867" s="140" t="s">
        <v>113</v>
      </c>
      <c r="C1867" s="140" t="s">
        <v>20</v>
      </c>
      <c r="D1867" s="140" t="s">
        <v>11</v>
      </c>
      <c r="E1867" s="140" t="s">
        <v>12</v>
      </c>
      <c r="F1867">
        <v>162917</v>
      </c>
      <c r="G1867" s="140" t="s">
        <v>209</v>
      </c>
      <c r="H1867">
        <v>0</v>
      </c>
      <c r="I1867" s="140" t="s">
        <v>17</v>
      </c>
    </row>
    <row r="1868" spans="1:9" hidden="1" x14ac:dyDescent="0.25">
      <c r="A1868">
        <v>2014</v>
      </c>
      <c r="B1868" s="140" t="s">
        <v>113</v>
      </c>
      <c r="C1868" s="140" t="s">
        <v>20</v>
      </c>
      <c r="D1868" s="140" t="s">
        <v>11</v>
      </c>
      <c r="E1868" s="140" t="s">
        <v>12</v>
      </c>
      <c r="F1868">
        <v>163402</v>
      </c>
      <c r="G1868" s="140" t="s">
        <v>209</v>
      </c>
      <c r="H1868">
        <v>0</v>
      </c>
      <c r="I1868" s="140" t="s">
        <v>17</v>
      </c>
    </row>
    <row r="1869" spans="1:9" hidden="1" x14ac:dyDescent="0.25">
      <c r="A1869">
        <v>2015</v>
      </c>
      <c r="B1869" s="140" t="s">
        <v>113</v>
      </c>
      <c r="C1869" s="140" t="s">
        <v>20</v>
      </c>
      <c r="D1869" s="140" t="s">
        <v>11</v>
      </c>
      <c r="E1869" s="140" t="s">
        <v>12</v>
      </c>
      <c r="F1869">
        <v>165542</v>
      </c>
      <c r="G1869" s="140" t="s">
        <v>209</v>
      </c>
      <c r="H1869">
        <v>0</v>
      </c>
      <c r="I1869" s="140" t="s">
        <v>17</v>
      </c>
    </row>
    <row r="1870" spans="1:9" hidden="1" x14ac:dyDescent="0.25">
      <c r="A1870">
        <v>2016</v>
      </c>
      <c r="B1870" s="140" t="s">
        <v>113</v>
      </c>
      <c r="C1870" s="140" t="s">
        <v>20</v>
      </c>
      <c r="D1870" s="140" t="s">
        <v>11</v>
      </c>
      <c r="E1870" s="140" t="s">
        <v>12</v>
      </c>
      <c r="F1870">
        <v>168071</v>
      </c>
      <c r="G1870" s="140" t="s">
        <v>209</v>
      </c>
      <c r="H1870">
        <v>0</v>
      </c>
      <c r="I1870" s="140" t="s">
        <v>17</v>
      </c>
    </row>
    <row r="1871" spans="1:9" hidden="1" x14ac:dyDescent="0.25">
      <c r="A1871">
        <v>2017</v>
      </c>
      <c r="B1871" s="140" t="s">
        <v>113</v>
      </c>
      <c r="C1871" s="140" t="s">
        <v>20</v>
      </c>
      <c r="D1871" s="140" t="s">
        <v>11</v>
      </c>
      <c r="E1871" s="140" t="s">
        <v>12</v>
      </c>
      <c r="F1871">
        <v>168675</v>
      </c>
      <c r="G1871" s="140" t="s">
        <v>209</v>
      </c>
      <c r="H1871">
        <v>0</v>
      </c>
      <c r="I1871" s="140" t="s">
        <v>17</v>
      </c>
    </row>
    <row r="1872" spans="1:9" hidden="1" x14ac:dyDescent="0.25">
      <c r="A1872">
        <v>2018</v>
      </c>
      <c r="B1872" s="140" t="s">
        <v>113</v>
      </c>
      <c r="C1872" s="140" t="s">
        <v>20</v>
      </c>
      <c r="D1872" s="140" t="s">
        <v>11</v>
      </c>
      <c r="E1872" s="140" t="s">
        <v>12</v>
      </c>
      <c r="F1872">
        <v>171028</v>
      </c>
      <c r="G1872" s="140" t="s">
        <v>209</v>
      </c>
      <c r="H1872">
        <v>0</v>
      </c>
      <c r="I1872" s="140" t="s">
        <v>17</v>
      </c>
    </row>
    <row r="1873" spans="1:9" hidden="1" x14ac:dyDescent="0.25">
      <c r="A1873">
        <v>2019</v>
      </c>
      <c r="B1873" s="140" t="s">
        <v>113</v>
      </c>
      <c r="C1873" s="140" t="s">
        <v>20</v>
      </c>
      <c r="D1873" s="140" t="s">
        <v>11</v>
      </c>
      <c r="E1873" s="140" t="s">
        <v>12</v>
      </c>
      <c r="F1873">
        <v>172876</v>
      </c>
      <c r="G1873" s="140" t="s">
        <v>209</v>
      </c>
      <c r="H1873">
        <v>0</v>
      </c>
      <c r="I1873" s="140" t="s">
        <v>17</v>
      </c>
    </row>
    <row r="1874" spans="1:9" hidden="1" x14ac:dyDescent="0.25">
      <c r="A1874">
        <v>2020</v>
      </c>
      <c r="B1874" s="140" t="s">
        <v>113</v>
      </c>
      <c r="C1874" s="140" t="s">
        <v>20</v>
      </c>
      <c r="D1874" s="140" t="s">
        <v>11</v>
      </c>
      <c r="E1874" s="140" t="s">
        <v>12</v>
      </c>
      <c r="F1874">
        <v>169050</v>
      </c>
      <c r="G1874" s="140" t="s">
        <v>209</v>
      </c>
      <c r="H1874">
        <v>0</v>
      </c>
      <c r="I1874" s="140" t="s">
        <v>17</v>
      </c>
    </row>
    <row r="1875" spans="1:9" hidden="1" x14ac:dyDescent="0.25">
      <c r="A1875">
        <v>2021</v>
      </c>
      <c r="B1875" s="140" t="s">
        <v>113</v>
      </c>
      <c r="C1875" s="140" t="s">
        <v>20</v>
      </c>
      <c r="D1875" s="140" t="s">
        <v>11</v>
      </c>
      <c r="E1875" s="140" t="s">
        <v>12</v>
      </c>
      <c r="F1875">
        <v>175053</v>
      </c>
      <c r="G1875" s="140" t="s">
        <v>209</v>
      </c>
      <c r="H1875">
        <v>0</v>
      </c>
      <c r="I1875" s="140" t="s">
        <v>17</v>
      </c>
    </row>
    <row r="1876" spans="1:9" hidden="1" x14ac:dyDescent="0.25">
      <c r="A1876">
        <v>2022</v>
      </c>
      <c r="B1876" s="140" t="s">
        <v>113</v>
      </c>
      <c r="C1876" s="140" t="s">
        <v>20</v>
      </c>
      <c r="D1876" s="140" t="s">
        <v>11</v>
      </c>
      <c r="E1876" s="140" t="s">
        <v>12</v>
      </c>
      <c r="F1876">
        <v>175704</v>
      </c>
      <c r="G1876" s="140" t="s">
        <v>209</v>
      </c>
      <c r="H1876">
        <v>0</v>
      </c>
      <c r="I1876" s="140" t="s">
        <v>17</v>
      </c>
    </row>
    <row r="1877" spans="1:9" hidden="1" x14ac:dyDescent="0.25">
      <c r="A1877">
        <v>2023</v>
      </c>
      <c r="B1877" s="140" t="s">
        <v>113</v>
      </c>
      <c r="C1877" s="140" t="s">
        <v>20</v>
      </c>
      <c r="D1877" s="140" t="s">
        <v>11</v>
      </c>
      <c r="E1877" s="140" t="s">
        <v>12</v>
      </c>
      <c r="F1877">
        <v>177769</v>
      </c>
      <c r="G1877" s="140" t="s">
        <v>209</v>
      </c>
      <c r="H1877">
        <v>0</v>
      </c>
      <c r="I1877" s="140" t="s">
        <v>17</v>
      </c>
    </row>
    <row r="1878" spans="1:9" hidden="1" x14ac:dyDescent="0.25">
      <c r="A1878">
        <v>2024</v>
      </c>
      <c r="B1878" s="140" t="s">
        <v>113</v>
      </c>
      <c r="C1878" s="140" t="s">
        <v>20</v>
      </c>
      <c r="D1878" s="140" t="s">
        <v>11</v>
      </c>
      <c r="E1878" s="140" t="s">
        <v>12</v>
      </c>
      <c r="F1878">
        <v>179165</v>
      </c>
      <c r="G1878" s="140" t="s">
        <v>209</v>
      </c>
      <c r="H1878">
        <v>0</v>
      </c>
      <c r="I1878" s="140" t="s">
        <v>17</v>
      </c>
    </row>
    <row r="1879" spans="1:9" hidden="1" x14ac:dyDescent="0.25">
      <c r="A1879">
        <v>2025</v>
      </c>
      <c r="B1879" s="140" t="s">
        <v>113</v>
      </c>
      <c r="C1879" s="140" t="s">
        <v>20</v>
      </c>
      <c r="D1879" s="140" t="s">
        <v>11</v>
      </c>
      <c r="E1879" s="140" t="s">
        <v>12</v>
      </c>
      <c r="F1879">
        <v>177975</v>
      </c>
      <c r="G1879" s="140" t="s">
        <v>209</v>
      </c>
      <c r="H1879">
        <v>0</v>
      </c>
      <c r="I1879" s="140" t="s">
        <v>17</v>
      </c>
    </row>
    <row r="1880" spans="1:9" hidden="1" x14ac:dyDescent="0.25">
      <c r="A1880">
        <v>2026</v>
      </c>
      <c r="B1880" s="140" t="s">
        <v>113</v>
      </c>
      <c r="C1880" s="140" t="s">
        <v>20</v>
      </c>
      <c r="D1880" s="140" t="s">
        <v>11</v>
      </c>
      <c r="E1880" s="140" t="s">
        <v>12</v>
      </c>
      <c r="F1880">
        <v>178935.59030000001</v>
      </c>
      <c r="G1880" s="140" t="s">
        <v>209</v>
      </c>
      <c r="H1880">
        <v>0</v>
      </c>
      <c r="I1880" s="140" t="s">
        <v>17</v>
      </c>
    </row>
    <row r="1881" spans="1:9" hidden="1" x14ac:dyDescent="0.25">
      <c r="A1881">
        <v>2027</v>
      </c>
      <c r="B1881" s="140" t="s">
        <v>113</v>
      </c>
      <c r="C1881" s="140" t="s">
        <v>20</v>
      </c>
      <c r="D1881" s="140" t="s">
        <v>11</v>
      </c>
      <c r="E1881" s="140" t="s">
        <v>12</v>
      </c>
      <c r="F1881">
        <v>180863.41579999999</v>
      </c>
      <c r="G1881" s="140" t="s">
        <v>209</v>
      </c>
      <c r="H1881">
        <v>0</v>
      </c>
      <c r="I1881" s="140" t="s">
        <v>17</v>
      </c>
    </row>
    <row r="1882" spans="1:9" hidden="1" x14ac:dyDescent="0.25">
      <c r="A1882">
        <v>2028</v>
      </c>
      <c r="B1882" s="140" t="s">
        <v>113</v>
      </c>
      <c r="C1882" s="140" t="s">
        <v>20</v>
      </c>
      <c r="D1882" s="140" t="s">
        <v>11</v>
      </c>
      <c r="E1882" s="140" t="s">
        <v>12</v>
      </c>
      <c r="F1882">
        <v>183055.6519</v>
      </c>
      <c r="G1882" s="140" t="s">
        <v>209</v>
      </c>
      <c r="H1882">
        <v>0</v>
      </c>
      <c r="I1882" s="140" t="s">
        <v>17</v>
      </c>
    </row>
    <row r="1883" spans="1:9" hidden="1" x14ac:dyDescent="0.25">
      <c r="A1883">
        <v>2029</v>
      </c>
      <c r="B1883" s="140" t="s">
        <v>113</v>
      </c>
      <c r="C1883" s="140" t="s">
        <v>20</v>
      </c>
      <c r="D1883" s="140" t="s">
        <v>11</v>
      </c>
      <c r="E1883" s="140" t="s">
        <v>12</v>
      </c>
      <c r="F1883">
        <v>185880.60680000001</v>
      </c>
      <c r="G1883" s="140" t="s">
        <v>209</v>
      </c>
      <c r="H1883">
        <v>0</v>
      </c>
      <c r="I1883" s="140" t="s">
        <v>17</v>
      </c>
    </row>
    <row r="1884" spans="1:9" hidden="1" x14ac:dyDescent="0.25">
      <c r="A1884">
        <v>2030</v>
      </c>
      <c r="B1884" s="140" t="s">
        <v>113</v>
      </c>
      <c r="C1884" s="140" t="s">
        <v>20</v>
      </c>
      <c r="D1884" s="140" t="s">
        <v>11</v>
      </c>
      <c r="E1884" s="140" t="s">
        <v>12</v>
      </c>
      <c r="F1884">
        <v>188387.51579999999</v>
      </c>
      <c r="G1884" s="140" t="s">
        <v>209</v>
      </c>
      <c r="H1884">
        <v>0</v>
      </c>
      <c r="I1884" s="140" t="s">
        <v>17</v>
      </c>
    </row>
    <row r="1885" spans="1:9" hidden="1" x14ac:dyDescent="0.25">
      <c r="A1885">
        <v>1990</v>
      </c>
      <c r="B1885" s="140" t="s">
        <v>113</v>
      </c>
      <c r="C1885" s="140" t="s">
        <v>19</v>
      </c>
      <c r="D1885" s="140" t="s">
        <v>11</v>
      </c>
      <c r="E1885" s="140" t="s">
        <v>12</v>
      </c>
      <c r="F1885">
        <v>64514</v>
      </c>
      <c r="G1885" s="140" t="s">
        <v>272</v>
      </c>
      <c r="H1885">
        <v>0</v>
      </c>
      <c r="I1885" s="140" t="s">
        <v>17</v>
      </c>
    </row>
    <row r="1886" spans="1:9" hidden="1" x14ac:dyDescent="0.25">
      <c r="A1886">
        <v>1991</v>
      </c>
      <c r="B1886" s="140" t="s">
        <v>113</v>
      </c>
      <c r="C1886" s="140" t="s">
        <v>19</v>
      </c>
      <c r="D1886" s="140" t="s">
        <v>11</v>
      </c>
      <c r="E1886" s="140" t="s">
        <v>12</v>
      </c>
      <c r="F1886">
        <v>66990</v>
      </c>
      <c r="G1886" s="140" t="s">
        <v>272</v>
      </c>
      <c r="H1886">
        <v>0</v>
      </c>
      <c r="I1886" s="140" t="s">
        <v>17</v>
      </c>
    </row>
    <row r="1887" spans="1:9" hidden="1" x14ac:dyDescent="0.25">
      <c r="A1887">
        <v>1992</v>
      </c>
      <c r="B1887" s="140" t="s">
        <v>113</v>
      </c>
      <c r="C1887" s="140" t="s">
        <v>19</v>
      </c>
      <c r="D1887" s="140" t="s">
        <v>11</v>
      </c>
      <c r="E1887" s="140" t="s">
        <v>12</v>
      </c>
      <c r="F1887">
        <v>66368</v>
      </c>
      <c r="G1887" s="140" t="s">
        <v>272</v>
      </c>
      <c r="H1887">
        <v>0</v>
      </c>
      <c r="I1887" s="140" t="s">
        <v>17</v>
      </c>
    </row>
    <row r="1888" spans="1:9" hidden="1" x14ac:dyDescent="0.25">
      <c r="A1888">
        <v>1993</v>
      </c>
      <c r="B1888" s="140" t="s">
        <v>113</v>
      </c>
      <c r="C1888" s="140" t="s">
        <v>19</v>
      </c>
      <c r="D1888" s="140" t="s">
        <v>11</v>
      </c>
      <c r="E1888" s="140" t="s">
        <v>12</v>
      </c>
      <c r="F1888">
        <v>66139</v>
      </c>
      <c r="G1888" s="140" t="s">
        <v>272</v>
      </c>
      <c r="H1888">
        <v>0</v>
      </c>
      <c r="I1888" s="140" t="s">
        <v>17</v>
      </c>
    </row>
    <row r="1889" spans="1:9" hidden="1" x14ac:dyDescent="0.25">
      <c r="A1889">
        <v>1994</v>
      </c>
      <c r="B1889" s="140" t="s">
        <v>113</v>
      </c>
      <c r="C1889" s="140" t="s">
        <v>19</v>
      </c>
      <c r="D1889" s="140" t="s">
        <v>11</v>
      </c>
      <c r="E1889" s="140" t="s">
        <v>12</v>
      </c>
      <c r="F1889">
        <v>68014</v>
      </c>
      <c r="G1889" s="140" t="s">
        <v>272</v>
      </c>
      <c r="H1889">
        <v>0</v>
      </c>
      <c r="I1889" s="140" t="s">
        <v>17</v>
      </c>
    </row>
    <row r="1890" spans="1:9" hidden="1" x14ac:dyDescent="0.25">
      <c r="A1890">
        <v>1995</v>
      </c>
      <c r="B1890" s="140" t="s">
        <v>113</v>
      </c>
      <c r="C1890" s="140" t="s">
        <v>19</v>
      </c>
      <c r="D1890" s="140" t="s">
        <v>11</v>
      </c>
      <c r="E1890" s="140" t="s">
        <v>12</v>
      </c>
      <c r="F1890">
        <v>71792</v>
      </c>
      <c r="G1890" s="140" t="s">
        <v>272</v>
      </c>
      <c r="H1890">
        <v>0</v>
      </c>
      <c r="I1890" s="140" t="s">
        <v>17</v>
      </c>
    </row>
    <row r="1891" spans="1:9" hidden="1" x14ac:dyDescent="0.25">
      <c r="A1891">
        <v>1996</v>
      </c>
      <c r="B1891" s="140" t="s">
        <v>113</v>
      </c>
      <c r="C1891" s="140" t="s">
        <v>19</v>
      </c>
      <c r="D1891" s="140" t="s">
        <v>11</v>
      </c>
      <c r="E1891" s="140" t="s">
        <v>12</v>
      </c>
      <c r="F1891">
        <v>75236</v>
      </c>
      <c r="G1891" s="140" t="s">
        <v>272</v>
      </c>
      <c r="H1891">
        <v>0</v>
      </c>
      <c r="I1891" s="140" t="s">
        <v>17</v>
      </c>
    </row>
    <row r="1892" spans="1:9" hidden="1" x14ac:dyDescent="0.25">
      <c r="A1892">
        <v>1997</v>
      </c>
      <c r="B1892" s="140" t="s">
        <v>113</v>
      </c>
      <c r="C1892" s="140" t="s">
        <v>19</v>
      </c>
      <c r="D1892" s="140" t="s">
        <v>11</v>
      </c>
      <c r="E1892" s="140" t="s">
        <v>12</v>
      </c>
      <c r="F1892">
        <v>79118</v>
      </c>
      <c r="G1892" s="140" t="s">
        <v>272</v>
      </c>
      <c r="H1892">
        <v>0</v>
      </c>
      <c r="I1892" s="140" t="s">
        <v>17</v>
      </c>
    </row>
    <row r="1893" spans="1:9" hidden="1" x14ac:dyDescent="0.25">
      <c r="A1893">
        <v>1998</v>
      </c>
      <c r="B1893" s="140" t="s">
        <v>113</v>
      </c>
      <c r="C1893" s="140" t="s">
        <v>19</v>
      </c>
      <c r="D1893" s="140" t="s">
        <v>11</v>
      </c>
      <c r="E1893" s="140" t="s">
        <v>12</v>
      </c>
      <c r="F1893">
        <v>83920</v>
      </c>
      <c r="G1893" s="140" t="s">
        <v>272</v>
      </c>
      <c r="H1893">
        <v>0</v>
      </c>
      <c r="I1893" s="140" t="s">
        <v>17</v>
      </c>
    </row>
    <row r="1894" spans="1:9" hidden="1" x14ac:dyDescent="0.25">
      <c r="A1894">
        <v>1999</v>
      </c>
      <c r="B1894" s="140" t="s">
        <v>113</v>
      </c>
      <c r="C1894" s="140" t="s">
        <v>19</v>
      </c>
      <c r="D1894" s="140" t="s">
        <v>11</v>
      </c>
      <c r="E1894" s="140" t="s">
        <v>12</v>
      </c>
      <c r="F1894">
        <v>87676</v>
      </c>
      <c r="G1894" s="140" t="s">
        <v>272</v>
      </c>
      <c r="H1894">
        <v>0</v>
      </c>
      <c r="I1894" s="140" t="s">
        <v>17</v>
      </c>
    </row>
    <row r="1895" spans="1:9" hidden="1" x14ac:dyDescent="0.25">
      <c r="A1895">
        <v>2000</v>
      </c>
      <c r="B1895" s="140" t="s">
        <v>113</v>
      </c>
      <c r="C1895" s="140" t="s">
        <v>19</v>
      </c>
      <c r="D1895" s="140" t="s">
        <v>11</v>
      </c>
      <c r="E1895" s="140" t="s">
        <v>12</v>
      </c>
      <c r="F1895">
        <v>92094</v>
      </c>
      <c r="G1895" s="140" t="s">
        <v>272</v>
      </c>
      <c r="H1895">
        <v>0</v>
      </c>
      <c r="I1895" s="140" t="s">
        <v>17</v>
      </c>
    </row>
    <row r="1896" spans="1:9" hidden="1" x14ac:dyDescent="0.25">
      <c r="A1896">
        <v>2001</v>
      </c>
      <c r="B1896" s="140" t="s">
        <v>113</v>
      </c>
      <c r="C1896" s="140" t="s">
        <v>19</v>
      </c>
      <c r="D1896" s="140" t="s">
        <v>11</v>
      </c>
      <c r="E1896" s="140" t="s">
        <v>12</v>
      </c>
      <c r="F1896">
        <v>97577</v>
      </c>
      <c r="G1896" s="140" t="s">
        <v>272</v>
      </c>
      <c r="H1896">
        <v>0</v>
      </c>
      <c r="I1896" s="140" t="s">
        <v>17</v>
      </c>
    </row>
    <row r="1897" spans="1:9" hidden="1" x14ac:dyDescent="0.25">
      <c r="A1897">
        <v>2002</v>
      </c>
      <c r="B1897" s="140" t="s">
        <v>113</v>
      </c>
      <c r="C1897" s="140" t="s">
        <v>19</v>
      </c>
      <c r="D1897" s="140" t="s">
        <v>11</v>
      </c>
      <c r="E1897" s="140" t="s">
        <v>12</v>
      </c>
      <c r="F1897">
        <v>102232</v>
      </c>
      <c r="G1897" s="140" t="s">
        <v>272</v>
      </c>
      <c r="H1897">
        <v>0</v>
      </c>
      <c r="I1897" s="140" t="s">
        <v>17</v>
      </c>
    </row>
    <row r="1898" spans="1:9" hidden="1" x14ac:dyDescent="0.25">
      <c r="A1898">
        <v>2003</v>
      </c>
      <c r="B1898" s="140" t="s">
        <v>113</v>
      </c>
      <c r="C1898" s="140" t="s">
        <v>19</v>
      </c>
      <c r="D1898" s="140" t="s">
        <v>11</v>
      </c>
      <c r="E1898" s="140" t="s">
        <v>12</v>
      </c>
      <c r="F1898">
        <v>107328</v>
      </c>
      <c r="G1898" s="140" t="s">
        <v>272</v>
      </c>
      <c r="H1898">
        <v>0</v>
      </c>
      <c r="I1898" s="140" t="s">
        <v>17</v>
      </c>
    </row>
    <row r="1899" spans="1:9" hidden="1" x14ac:dyDescent="0.25">
      <c r="A1899">
        <v>2004</v>
      </c>
      <c r="B1899" s="140" t="s">
        <v>113</v>
      </c>
      <c r="C1899" s="140" t="s">
        <v>19</v>
      </c>
      <c r="D1899" s="140" t="s">
        <v>11</v>
      </c>
      <c r="E1899" s="140" t="s">
        <v>12</v>
      </c>
      <c r="F1899">
        <v>112009</v>
      </c>
      <c r="G1899" s="140" t="s">
        <v>272</v>
      </c>
      <c r="H1899">
        <v>0</v>
      </c>
      <c r="I1899" s="140" t="s">
        <v>17</v>
      </c>
    </row>
    <row r="1900" spans="1:9" hidden="1" x14ac:dyDescent="0.25">
      <c r="A1900">
        <v>2005</v>
      </c>
      <c r="B1900" s="140" t="s">
        <v>113</v>
      </c>
      <c r="C1900" s="140" t="s">
        <v>19</v>
      </c>
      <c r="D1900" s="140" t="s">
        <v>11</v>
      </c>
      <c r="E1900" s="140" t="s">
        <v>12</v>
      </c>
      <c r="F1900">
        <v>116987</v>
      </c>
      <c r="G1900" s="140" t="s">
        <v>272</v>
      </c>
      <c r="H1900">
        <v>0</v>
      </c>
      <c r="I1900" s="140" t="s">
        <v>17</v>
      </c>
    </row>
    <row r="1901" spans="1:9" hidden="1" x14ac:dyDescent="0.25">
      <c r="A1901">
        <v>2006</v>
      </c>
      <c r="B1901" s="140" t="s">
        <v>113</v>
      </c>
      <c r="C1901" s="140" t="s">
        <v>19</v>
      </c>
      <c r="D1901" s="140" t="s">
        <v>11</v>
      </c>
      <c r="E1901" s="140" t="s">
        <v>12</v>
      </c>
      <c r="F1901">
        <v>122961</v>
      </c>
      <c r="G1901" s="140" t="s">
        <v>272</v>
      </c>
      <c r="H1901">
        <v>0</v>
      </c>
      <c r="I1901" s="140" t="s">
        <v>17</v>
      </c>
    </row>
    <row r="1902" spans="1:9" hidden="1" x14ac:dyDescent="0.25">
      <c r="A1902">
        <v>2007</v>
      </c>
      <c r="B1902" s="140" t="s">
        <v>113</v>
      </c>
      <c r="C1902" s="140" t="s">
        <v>19</v>
      </c>
      <c r="D1902" s="140" t="s">
        <v>11</v>
      </c>
      <c r="E1902" s="140" t="s">
        <v>12</v>
      </c>
      <c r="F1902">
        <v>129707</v>
      </c>
      <c r="G1902" s="140" t="s">
        <v>272</v>
      </c>
      <c r="H1902">
        <v>0</v>
      </c>
      <c r="I1902" s="140" t="s">
        <v>17</v>
      </c>
    </row>
    <row r="1903" spans="1:9" hidden="1" x14ac:dyDescent="0.25">
      <c r="A1903">
        <v>2008</v>
      </c>
      <c r="B1903" s="140" t="s">
        <v>113</v>
      </c>
      <c r="C1903" s="140" t="s">
        <v>19</v>
      </c>
      <c r="D1903" s="140" t="s">
        <v>11</v>
      </c>
      <c r="E1903" s="140" t="s">
        <v>12</v>
      </c>
      <c r="F1903">
        <v>137696</v>
      </c>
      <c r="G1903" s="140" t="s">
        <v>272</v>
      </c>
      <c r="H1903">
        <v>0</v>
      </c>
      <c r="I1903" s="140" t="s">
        <v>17</v>
      </c>
    </row>
    <row r="1904" spans="1:9" hidden="1" x14ac:dyDescent="0.25">
      <c r="A1904">
        <v>2009</v>
      </c>
      <c r="B1904" s="140" t="s">
        <v>113</v>
      </c>
      <c r="C1904" s="140" t="s">
        <v>19</v>
      </c>
      <c r="D1904" s="140" t="s">
        <v>11</v>
      </c>
      <c r="E1904" s="140" t="s">
        <v>12</v>
      </c>
      <c r="F1904">
        <v>138503</v>
      </c>
      <c r="G1904" s="140" t="s">
        <v>272</v>
      </c>
      <c r="H1904">
        <v>0</v>
      </c>
      <c r="I1904" s="140" t="s">
        <v>17</v>
      </c>
    </row>
    <row r="1905" spans="1:9" hidden="1" x14ac:dyDescent="0.25">
      <c r="A1905">
        <v>2010</v>
      </c>
      <c r="B1905" s="140" t="s">
        <v>113</v>
      </c>
      <c r="C1905" s="140" t="s">
        <v>19</v>
      </c>
      <c r="D1905" s="140" t="s">
        <v>11</v>
      </c>
      <c r="E1905" s="140" t="s">
        <v>12</v>
      </c>
      <c r="F1905">
        <v>142814</v>
      </c>
      <c r="G1905" s="140" t="s">
        <v>272</v>
      </c>
      <c r="H1905">
        <v>0</v>
      </c>
      <c r="I1905" s="140" t="s">
        <v>17</v>
      </c>
    </row>
    <row r="1906" spans="1:9" hidden="1" x14ac:dyDescent="0.25">
      <c r="A1906">
        <v>2011</v>
      </c>
      <c r="B1906" s="140" t="s">
        <v>113</v>
      </c>
      <c r="C1906" s="140" t="s">
        <v>19</v>
      </c>
      <c r="D1906" s="140" t="s">
        <v>11</v>
      </c>
      <c r="E1906" s="140" t="s">
        <v>12</v>
      </c>
      <c r="F1906">
        <v>150728</v>
      </c>
      <c r="G1906" s="140" t="s">
        <v>272</v>
      </c>
      <c r="H1906">
        <v>0</v>
      </c>
      <c r="I1906" s="140" t="s">
        <v>17</v>
      </c>
    </row>
    <row r="1907" spans="1:9" hidden="1" x14ac:dyDescent="0.25">
      <c r="A1907">
        <v>2012</v>
      </c>
      <c r="B1907" s="140" t="s">
        <v>113</v>
      </c>
      <c r="C1907" s="140" t="s">
        <v>19</v>
      </c>
      <c r="D1907" s="140" t="s">
        <v>11</v>
      </c>
      <c r="E1907" s="140" t="s">
        <v>12</v>
      </c>
      <c r="F1907">
        <v>156284</v>
      </c>
      <c r="G1907" s="140" t="s">
        <v>272</v>
      </c>
      <c r="H1907">
        <v>0</v>
      </c>
      <c r="I1907" s="140" t="s">
        <v>17</v>
      </c>
    </row>
    <row r="1908" spans="1:9" hidden="1" x14ac:dyDescent="0.25">
      <c r="A1908">
        <v>2013</v>
      </c>
      <c r="B1908" s="140" t="s">
        <v>113</v>
      </c>
      <c r="C1908" s="140" t="s">
        <v>19</v>
      </c>
      <c r="D1908" s="140" t="s">
        <v>11</v>
      </c>
      <c r="E1908" s="140" t="s">
        <v>12</v>
      </c>
      <c r="F1908">
        <v>160047</v>
      </c>
      <c r="G1908" s="140" t="s">
        <v>272</v>
      </c>
      <c r="H1908">
        <v>0</v>
      </c>
      <c r="I1908" s="140" t="s">
        <v>17</v>
      </c>
    </row>
    <row r="1909" spans="1:9" hidden="1" x14ac:dyDescent="0.25">
      <c r="A1909">
        <v>2014</v>
      </c>
      <c r="B1909" s="140" t="s">
        <v>113</v>
      </c>
      <c r="C1909" s="140" t="s">
        <v>19</v>
      </c>
      <c r="D1909" s="140" t="s">
        <v>11</v>
      </c>
      <c r="E1909" s="140" t="s">
        <v>12</v>
      </c>
      <c r="F1909">
        <v>162670</v>
      </c>
      <c r="G1909" s="140" t="s">
        <v>272</v>
      </c>
      <c r="H1909">
        <v>0</v>
      </c>
      <c r="I1909" s="140" t="s">
        <v>17</v>
      </c>
    </row>
    <row r="1910" spans="1:9" hidden="1" x14ac:dyDescent="0.25">
      <c r="A1910">
        <v>2015</v>
      </c>
      <c r="B1910" s="140" t="s">
        <v>113</v>
      </c>
      <c r="C1910" s="140" t="s">
        <v>19</v>
      </c>
      <c r="D1910" s="140" t="s">
        <v>11</v>
      </c>
      <c r="E1910" s="140" t="s">
        <v>12</v>
      </c>
      <c r="F1910">
        <v>165542</v>
      </c>
      <c r="G1910" s="140" t="s">
        <v>272</v>
      </c>
      <c r="H1910">
        <v>0</v>
      </c>
      <c r="I1910" s="140" t="s">
        <v>17</v>
      </c>
    </row>
    <row r="1911" spans="1:9" hidden="1" x14ac:dyDescent="0.25">
      <c r="A1911">
        <v>2016</v>
      </c>
      <c r="B1911" s="140" t="s">
        <v>113</v>
      </c>
      <c r="C1911" s="140" t="s">
        <v>19</v>
      </c>
      <c r="D1911" s="140" t="s">
        <v>11</v>
      </c>
      <c r="E1911" s="140" t="s">
        <v>12</v>
      </c>
      <c r="F1911">
        <v>167743</v>
      </c>
      <c r="G1911" s="140" t="s">
        <v>272</v>
      </c>
      <c r="H1911">
        <v>0</v>
      </c>
      <c r="I1911" s="140" t="s">
        <v>17</v>
      </c>
    </row>
    <row r="1912" spans="1:9" hidden="1" x14ac:dyDescent="0.25">
      <c r="A1912">
        <v>2017</v>
      </c>
      <c r="B1912" s="140" t="s">
        <v>113</v>
      </c>
      <c r="C1912" s="140" t="s">
        <v>19</v>
      </c>
      <c r="D1912" s="140" t="s">
        <v>11</v>
      </c>
      <c r="E1912" s="140" t="s">
        <v>12</v>
      </c>
      <c r="F1912">
        <v>169517</v>
      </c>
      <c r="G1912" s="140" t="s">
        <v>272</v>
      </c>
      <c r="H1912">
        <v>0</v>
      </c>
      <c r="I1912" s="140" t="s">
        <v>17</v>
      </c>
    </row>
    <row r="1913" spans="1:9" hidden="1" x14ac:dyDescent="0.25">
      <c r="A1913">
        <v>2018</v>
      </c>
      <c r="B1913" s="140" t="s">
        <v>113</v>
      </c>
      <c r="C1913" s="140" t="s">
        <v>19</v>
      </c>
      <c r="D1913" s="140" t="s">
        <v>11</v>
      </c>
      <c r="E1913" s="140" t="s">
        <v>12</v>
      </c>
      <c r="F1913">
        <v>174323</v>
      </c>
      <c r="G1913" s="140" t="s">
        <v>272</v>
      </c>
      <c r="H1913">
        <v>0</v>
      </c>
      <c r="I1913" s="140" t="s">
        <v>17</v>
      </c>
    </row>
    <row r="1914" spans="1:9" hidden="1" x14ac:dyDescent="0.25">
      <c r="A1914">
        <v>2019</v>
      </c>
      <c r="B1914" s="140" t="s">
        <v>113</v>
      </c>
      <c r="C1914" s="140" t="s">
        <v>19</v>
      </c>
      <c r="D1914" s="140" t="s">
        <v>11</v>
      </c>
      <c r="E1914" s="140" t="s">
        <v>12</v>
      </c>
      <c r="F1914">
        <v>178482</v>
      </c>
      <c r="G1914" s="140" t="s">
        <v>272</v>
      </c>
      <c r="H1914">
        <v>0</v>
      </c>
      <c r="I1914" s="140" t="s">
        <v>17</v>
      </c>
    </row>
    <row r="1915" spans="1:9" hidden="1" x14ac:dyDescent="0.25">
      <c r="A1915">
        <v>2020</v>
      </c>
      <c r="B1915" s="140" t="s">
        <v>113</v>
      </c>
      <c r="C1915" s="140" t="s">
        <v>19</v>
      </c>
      <c r="D1915" s="140" t="s">
        <v>11</v>
      </c>
      <c r="E1915" s="140" t="s">
        <v>12</v>
      </c>
      <c r="F1915">
        <v>176491</v>
      </c>
      <c r="G1915" s="140" t="s">
        <v>272</v>
      </c>
      <c r="H1915">
        <v>0</v>
      </c>
      <c r="I1915" s="140" t="s">
        <v>17</v>
      </c>
    </row>
    <row r="1916" spans="1:9" hidden="1" x14ac:dyDescent="0.25">
      <c r="A1916">
        <v>2021</v>
      </c>
      <c r="B1916" s="140" t="s">
        <v>113</v>
      </c>
      <c r="C1916" s="140" t="s">
        <v>19</v>
      </c>
      <c r="D1916" s="140" t="s">
        <v>11</v>
      </c>
      <c r="E1916" s="140" t="s">
        <v>12</v>
      </c>
      <c r="F1916">
        <v>186965</v>
      </c>
      <c r="G1916" s="140" t="s">
        <v>272</v>
      </c>
      <c r="H1916">
        <v>0</v>
      </c>
      <c r="I1916" s="140" t="s">
        <v>17</v>
      </c>
    </row>
    <row r="1917" spans="1:9" hidden="1" x14ac:dyDescent="0.25">
      <c r="A1917">
        <v>2022</v>
      </c>
      <c r="B1917" s="140" t="s">
        <v>113</v>
      </c>
      <c r="C1917" s="140" t="s">
        <v>19</v>
      </c>
      <c r="D1917" s="140" t="s">
        <v>11</v>
      </c>
      <c r="E1917" s="140" t="s">
        <v>12</v>
      </c>
      <c r="F1917">
        <v>198823</v>
      </c>
      <c r="G1917" s="140" t="s">
        <v>272</v>
      </c>
      <c r="H1917">
        <v>0</v>
      </c>
      <c r="I1917" s="140" t="s">
        <v>17</v>
      </c>
    </row>
    <row r="1918" spans="1:9" hidden="1" x14ac:dyDescent="0.25">
      <c r="A1918">
        <v>2023</v>
      </c>
      <c r="B1918" s="140" t="s">
        <v>113</v>
      </c>
      <c r="C1918" s="140" t="s">
        <v>19</v>
      </c>
      <c r="D1918" s="140" t="s">
        <v>11</v>
      </c>
      <c r="E1918" s="140" t="s">
        <v>12</v>
      </c>
      <c r="F1918">
        <v>210090</v>
      </c>
      <c r="G1918" s="140" t="s">
        <v>272</v>
      </c>
      <c r="H1918">
        <v>0</v>
      </c>
      <c r="I1918" s="140" t="s">
        <v>17</v>
      </c>
    </row>
    <row r="1919" spans="1:9" hidden="1" x14ac:dyDescent="0.25">
      <c r="A1919">
        <v>2024</v>
      </c>
      <c r="B1919" s="140" t="s">
        <v>113</v>
      </c>
      <c r="C1919" s="140" t="s">
        <v>19</v>
      </c>
      <c r="D1919" s="140" t="s">
        <v>11</v>
      </c>
      <c r="E1919" s="140" t="s">
        <v>12</v>
      </c>
      <c r="F1919">
        <v>213802</v>
      </c>
      <c r="G1919" s="140" t="s">
        <v>272</v>
      </c>
      <c r="H1919">
        <v>0</v>
      </c>
      <c r="I1919" s="140" t="s">
        <v>17</v>
      </c>
    </row>
    <row r="1920" spans="1:9" hidden="1" x14ac:dyDescent="0.25">
      <c r="A1920">
        <v>2025</v>
      </c>
      <c r="B1920" s="140" t="s">
        <v>113</v>
      </c>
      <c r="C1920" s="140" t="s">
        <v>19</v>
      </c>
      <c r="D1920" s="140" t="s">
        <v>11</v>
      </c>
      <c r="E1920" s="140" t="s">
        <v>12</v>
      </c>
      <c r="F1920">
        <v>215039</v>
      </c>
      <c r="G1920" s="140" t="s">
        <v>272</v>
      </c>
      <c r="H1920">
        <v>0</v>
      </c>
      <c r="I1920" s="140" t="s">
        <v>17</v>
      </c>
    </row>
    <row r="1921" spans="1:9" hidden="1" x14ac:dyDescent="0.25">
      <c r="A1921">
        <v>2026</v>
      </c>
      <c r="B1921" s="140" t="s">
        <v>113</v>
      </c>
      <c r="C1921" s="140" t="s">
        <v>19</v>
      </c>
      <c r="D1921" s="140" t="s">
        <v>11</v>
      </c>
      <c r="E1921" s="140" t="s">
        <v>12</v>
      </c>
      <c r="F1921">
        <v>221722.37969999999</v>
      </c>
      <c r="G1921" s="140" t="s">
        <v>272</v>
      </c>
      <c r="H1921">
        <v>0</v>
      </c>
      <c r="I1921" s="140" t="s">
        <v>17</v>
      </c>
    </row>
    <row r="1922" spans="1:9" hidden="1" x14ac:dyDescent="0.25">
      <c r="A1922">
        <v>2027</v>
      </c>
      <c r="B1922" s="140" t="s">
        <v>113</v>
      </c>
      <c r="C1922" s="140" t="s">
        <v>19</v>
      </c>
      <c r="D1922" s="140" t="s">
        <v>11</v>
      </c>
      <c r="E1922" s="140" t="s">
        <v>12</v>
      </c>
      <c r="F1922">
        <v>229008.3584</v>
      </c>
      <c r="G1922" s="140" t="s">
        <v>272</v>
      </c>
      <c r="H1922">
        <v>0</v>
      </c>
      <c r="I1922" s="140" t="s">
        <v>17</v>
      </c>
    </row>
    <row r="1923" spans="1:9" hidden="1" x14ac:dyDescent="0.25">
      <c r="A1923">
        <v>2028</v>
      </c>
      <c r="B1923" s="140" t="s">
        <v>113</v>
      </c>
      <c r="C1923" s="140" t="s">
        <v>19</v>
      </c>
      <c r="D1923" s="140" t="s">
        <v>11</v>
      </c>
      <c r="E1923" s="140" t="s">
        <v>12</v>
      </c>
      <c r="F1923">
        <v>237704.5405</v>
      </c>
      <c r="G1923" s="140" t="s">
        <v>272</v>
      </c>
      <c r="H1923">
        <v>0</v>
      </c>
      <c r="I1923" s="140" t="s">
        <v>17</v>
      </c>
    </row>
    <row r="1924" spans="1:9" hidden="1" x14ac:dyDescent="0.25">
      <c r="A1924">
        <v>2029</v>
      </c>
      <c r="B1924" s="140" t="s">
        <v>113</v>
      </c>
      <c r="C1924" s="140" t="s">
        <v>19</v>
      </c>
      <c r="D1924" s="140" t="s">
        <v>11</v>
      </c>
      <c r="E1924" s="140" t="s">
        <v>12</v>
      </c>
      <c r="F1924">
        <v>246811.13759999999</v>
      </c>
      <c r="G1924" s="140" t="s">
        <v>272</v>
      </c>
      <c r="H1924">
        <v>0</v>
      </c>
      <c r="I1924" s="140" t="s">
        <v>17</v>
      </c>
    </row>
    <row r="1925" spans="1:9" hidden="1" x14ac:dyDescent="0.25">
      <c r="A1925">
        <v>2030</v>
      </c>
      <c r="B1925" s="140" t="s">
        <v>113</v>
      </c>
      <c r="C1925" s="140" t="s">
        <v>19</v>
      </c>
      <c r="D1925" s="140" t="s">
        <v>11</v>
      </c>
      <c r="E1925" s="140" t="s">
        <v>12</v>
      </c>
      <c r="F1925">
        <v>255890.4333</v>
      </c>
      <c r="G1925" s="140" t="s">
        <v>272</v>
      </c>
      <c r="H1925">
        <v>0</v>
      </c>
      <c r="I1925" s="140" t="s">
        <v>17</v>
      </c>
    </row>
    <row r="1926" spans="1:9" hidden="1" x14ac:dyDescent="0.25">
      <c r="A1926">
        <v>2020</v>
      </c>
      <c r="B1926" s="140" t="s">
        <v>113</v>
      </c>
      <c r="C1926" s="140" t="s">
        <v>132</v>
      </c>
      <c r="D1926" s="140" t="s">
        <v>11</v>
      </c>
      <c r="E1926" s="140" t="s">
        <v>12</v>
      </c>
      <c r="F1926">
        <v>174532.46669999999</v>
      </c>
      <c r="G1926" s="140" t="s">
        <v>663</v>
      </c>
      <c r="H1926">
        <v>0</v>
      </c>
      <c r="I1926" s="140" t="s">
        <v>17</v>
      </c>
    </row>
    <row r="1927" spans="1:9" hidden="1" x14ac:dyDescent="0.25">
      <c r="A1927">
        <v>2021</v>
      </c>
      <c r="B1927" s="140" t="s">
        <v>113</v>
      </c>
      <c r="C1927" s="140" t="s">
        <v>132</v>
      </c>
      <c r="D1927" s="140" t="s">
        <v>11</v>
      </c>
      <c r="E1927" s="140" t="s">
        <v>12</v>
      </c>
      <c r="F1927">
        <v>182757.9425</v>
      </c>
      <c r="G1927" s="140" t="s">
        <v>663</v>
      </c>
      <c r="H1927">
        <v>0</v>
      </c>
      <c r="I1927" s="140" t="s">
        <v>17</v>
      </c>
    </row>
    <row r="1928" spans="1:9" hidden="1" x14ac:dyDescent="0.25">
      <c r="A1928">
        <v>2022</v>
      </c>
      <c r="B1928" s="140" t="s">
        <v>113</v>
      </c>
      <c r="C1928" s="140" t="s">
        <v>132</v>
      </c>
      <c r="D1928" s="140" t="s">
        <v>11</v>
      </c>
      <c r="E1928" s="140" t="s">
        <v>12</v>
      </c>
      <c r="F1928">
        <v>187660.66589999999</v>
      </c>
      <c r="G1928" s="140" t="s">
        <v>663</v>
      </c>
      <c r="H1928">
        <v>0</v>
      </c>
      <c r="I1928" s="140" t="s">
        <v>17</v>
      </c>
    </row>
    <row r="1929" spans="1:9" hidden="1" x14ac:dyDescent="0.25">
      <c r="A1929">
        <v>2023</v>
      </c>
      <c r="B1929" s="140" t="s">
        <v>113</v>
      </c>
      <c r="C1929" s="140" t="s">
        <v>132</v>
      </c>
      <c r="D1929" s="140" t="s">
        <v>11</v>
      </c>
      <c r="E1929" s="140" t="s">
        <v>12</v>
      </c>
      <c r="F1929">
        <v>201160.26269999999</v>
      </c>
      <c r="G1929" s="140" t="s">
        <v>663</v>
      </c>
      <c r="H1929">
        <v>0</v>
      </c>
      <c r="I1929" s="140" t="s">
        <v>17</v>
      </c>
    </row>
    <row r="1930" spans="1:9" hidden="1" x14ac:dyDescent="0.25">
      <c r="A1930">
        <v>2024</v>
      </c>
      <c r="B1930" s="140" t="s">
        <v>113</v>
      </c>
      <c r="C1930" s="140" t="s">
        <v>132</v>
      </c>
      <c r="D1930" s="140" t="s">
        <v>11</v>
      </c>
      <c r="E1930" s="140" t="s">
        <v>12</v>
      </c>
      <c r="F1930">
        <v>211739.4699</v>
      </c>
      <c r="G1930" s="140" t="s">
        <v>663</v>
      </c>
      <c r="H1930">
        <v>0</v>
      </c>
      <c r="I1930" s="140" t="s">
        <v>17</v>
      </c>
    </row>
    <row r="1931" spans="1:9" hidden="1" x14ac:dyDescent="0.25">
      <c r="A1931">
        <v>2025</v>
      </c>
      <c r="B1931" s="140" t="s">
        <v>113</v>
      </c>
      <c r="C1931" s="140" t="s">
        <v>132</v>
      </c>
      <c r="D1931" s="140" t="s">
        <v>11</v>
      </c>
      <c r="E1931" s="140" t="s">
        <v>12</v>
      </c>
      <c r="F1931">
        <v>212382.38959999999</v>
      </c>
      <c r="G1931" s="140" t="s">
        <v>663</v>
      </c>
      <c r="H1931">
        <v>0</v>
      </c>
      <c r="I1931" s="140" t="s">
        <v>17</v>
      </c>
    </row>
    <row r="1932" spans="1:9" hidden="1" x14ac:dyDescent="0.25">
      <c r="A1932">
        <v>2026</v>
      </c>
      <c r="B1932" s="140" t="s">
        <v>113</v>
      </c>
      <c r="C1932" s="140" t="s">
        <v>132</v>
      </c>
      <c r="D1932" s="140" t="s">
        <v>11</v>
      </c>
      <c r="E1932" s="140" t="s">
        <v>12</v>
      </c>
      <c r="F1932">
        <v>216199.63709999999</v>
      </c>
      <c r="G1932" s="140" t="s">
        <v>663</v>
      </c>
      <c r="H1932">
        <v>0</v>
      </c>
      <c r="I1932" s="140" t="s">
        <v>17</v>
      </c>
    </row>
    <row r="1933" spans="1:9" hidden="1" x14ac:dyDescent="0.25">
      <c r="A1933">
        <v>2027</v>
      </c>
      <c r="B1933" s="140" t="s">
        <v>113</v>
      </c>
      <c r="C1933" s="140" t="s">
        <v>132</v>
      </c>
      <c r="D1933" s="140" t="s">
        <v>11</v>
      </c>
      <c r="E1933" s="140" t="s">
        <v>12</v>
      </c>
      <c r="F1933">
        <v>224111.1838</v>
      </c>
      <c r="G1933" s="140" t="s">
        <v>663</v>
      </c>
      <c r="H1933">
        <v>0</v>
      </c>
      <c r="I1933" s="140" t="s">
        <v>17</v>
      </c>
    </row>
    <row r="1934" spans="1:9" hidden="1" x14ac:dyDescent="0.25">
      <c r="A1934">
        <v>2028</v>
      </c>
      <c r="B1934" s="140" t="s">
        <v>113</v>
      </c>
      <c r="C1934" s="140" t="s">
        <v>132</v>
      </c>
      <c r="D1934" s="140" t="s">
        <v>11</v>
      </c>
      <c r="E1934" s="140" t="s">
        <v>12</v>
      </c>
      <c r="F1934">
        <v>231784.15669999999</v>
      </c>
      <c r="G1934" s="140" t="s">
        <v>663</v>
      </c>
      <c r="H1934">
        <v>0</v>
      </c>
      <c r="I1934" s="140" t="s">
        <v>17</v>
      </c>
    </row>
    <row r="1935" spans="1:9" hidden="1" x14ac:dyDescent="0.25">
      <c r="A1935">
        <v>2029</v>
      </c>
      <c r="B1935" s="140" t="s">
        <v>113</v>
      </c>
      <c r="C1935" s="140" t="s">
        <v>132</v>
      </c>
      <c r="D1935" s="140" t="s">
        <v>11</v>
      </c>
      <c r="E1935" s="140" t="s">
        <v>12</v>
      </c>
      <c r="F1935">
        <v>241372.84909999999</v>
      </c>
      <c r="G1935" s="140" t="s">
        <v>663</v>
      </c>
      <c r="H1935">
        <v>0</v>
      </c>
      <c r="I1935" s="140" t="s">
        <v>17</v>
      </c>
    </row>
    <row r="1936" spans="1:9" hidden="1" x14ac:dyDescent="0.25">
      <c r="A1936">
        <v>2030</v>
      </c>
      <c r="B1936" s="140" t="s">
        <v>113</v>
      </c>
      <c r="C1936" s="140" t="s">
        <v>132</v>
      </c>
      <c r="D1936" s="140" t="s">
        <v>11</v>
      </c>
      <c r="E1936" s="140" t="s">
        <v>12</v>
      </c>
      <c r="F1936">
        <v>250139.79620000001</v>
      </c>
      <c r="G1936" s="140" t="s">
        <v>663</v>
      </c>
      <c r="H1936">
        <v>0</v>
      </c>
      <c r="I1936" s="140" t="s">
        <v>17</v>
      </c>
    </row>
    <row r="1937" spans="1:9" hidden="1" x14ac:dyDescent="0.25">
      <c r="A1937">
        <v>1990</v>
      </c>
      <c r="B1937" s="140" t="s">
        <v>103</v>
      </c>
      <c r="C1937" s="140" t="s">
        <v>243</v>
      </c>
      <c r="D1937" s="140" t="s">
        <v>11</v>
      </c>
      <c r="E1937" s="140" t="s">
        <v>104</v>
      </c>
      <c r="F1937">
        <v>12389</v>
      </c>
      <c r="G1937" s="140" t="s">
        <v>274</v>
      </c>
      <c r="H1937">
        <v>0</v>
      </c>
      <c r="I1937" s="140" t="s">
        <v>17</v>
      </c>
    </row>
    <row r="1938" spans="1:9" hidden="1" x14ac:dyDescent="0.25">
      <c r="A1938">
        <v>1991</v>
      </c>
      <c r="B1938" s="140" t="s">
        <v>103</v>
      </c>
      <c r="C1938" s="140" t="s">
        <v>243</v>
      </c>
      <c r="D1938" s="140" t="s">
        <v>11</v>
      </c>
      <c r="E1938" s="140" t="s">
        <v>104</v>
      </c>
      <c r="F1938">
        <v>13400</v>
      </c>
      <c r="G1938" s="140" t="s">
        <v>274</v>
      </c>
      <c r="H1938">
        <v>0</v>
      </c>
      <c r="I1938" s="140" t="s">
        <v>17</v>
      </c>
    </row>
    <row r="1939" spans="1:9" hidden="1" x14ac:dyDescent="0.25">
      <c r="A1939">
        <v>1992</v>
      </c>
      <c r="B1939" s="140" t="s">
        <v>103</v>
      </c>
      <c r="C1939" s="140" t="s">
        <v>243</v>
      </c>
      <c r="D1939" s="140" t="s">
        <v>11</v>
      </c>
      <c r="E1939" s="140" t="s">
        <v>104</v>
      </c>
      <c r="F1939">
        <v>13209</v>
      </c>
      <c r="G1939" s="140" t="s">
        <v>274</v>
      </c>
      <c r="H1939">
        <v>0</v>
      </c>
      <c r="I1939" s="140" t="s">
        <v>17</v>
      </c>
    </row>
    <row r="1940" spans="1:9" hidden="1" x14ac:dyDescent="0.25">
      <c r="A1940">
        <v>1993</v>
      </c>
      <c r="B1940" s="140" t="s">
        <v>103</v>
      </c>
      <c r="C1940" s="140" t="s">
        <v>243</v>
      </c>
      <c r="D1940" s="140" t="s">
        <v>11</v>
      </c>
      <c r="E1940" s="140" t="s">
        <v>104</v>
      </c>
      <c r="F1940">
        <v>12521</v>
      </c>
      <c r="G1940" s="140" t="s">
        <v>274</v>
      </c>
      <c r="H1940">
        <v>0</v>
      </c>
      <c r="I1940" s="140" t="s">
        <v>17</v>
      </c>
    </row>
    <row r="1941" spans="1:9" hidden="1" x14ac:dyDescent="0.25">
      <c r="A1941">
        <v>1994</v>
      </c>
      <c r="B1941" s="140" t="s">
        <v>103</v>
      </c>
      <c r="C1941" s="140" t="s">
        <v>243</v>
      </c>
      <c r="D1941" s="140" t="s">
        <v>11</v>
      </c>
      <c r="E1941" s="140" t="s">
        <v>104</v>
      </c>
      <c r="F1941">
        <v>12614</v>
      </c>
      <c r="G1941" s="140" t="s">
        <v>274</v>
      </c>
      <c r="H1941">
        <v>0</v>
      </c>
      <c r="I1941" s="140" t="s">
        <v>17</v>
      </c>
    </row>
    <row r="1942" spans="1:9" hidden="1" x14ac:dyDescent="0.25">
      <c r="A1942">
        <v>1995</v>
      </c>
      <c r="B1942" s="140" t="s">
        <v>103</v>
      </c>
      <c r="C1942" s="140" t="s">
        <v>243</v>
      </c>
      <c r="D1942" s="140" t="s">
        <v>11</v>
      </c>
      <c r="E1942" s="140" t="s">
        <v>104</v>
      </c>
      <c r="F1942">
        <v>13519</v>
      </c>
      <c r="G1942" s="140" t="s">
        <v>274</v>
      </c>
      <c r="H1942">
        <v>0</v>
      </c>
      <c r="I1942" s="140" t="s">
        <v>17</v>
      </c>
    </row>
    <row r="1943" spans="1:9" hidden="1" x14ac:dyDescent="0.25">
      <c r="A1943">
        <v>1996</v>
      </c>
      <c r="B1943" s="140" t="s">
        <v>103</v>
      </c>
      <c r="C1943" s="140" t="s">
        <v>243</v>
      </c>
      <c r="D1943" s="140" t="s">
        <v>11</v>
      </c>
      <c r="E1943" s="140" t="s">
        <v>104</v>
      </c>
      <c r="F1943">
        <v>14140</v>
      </c>
      <c r="G1943" s="140" t="s">
        <v>274</v>
      </c>
      <c r="H1943">
        <v>0</v>
      </c>
      <c r="I1943" s="140" t="s">
        <v>17</v>
      </c>
    </row>
    <row r="1944" spans="1:9" hidden="1" x14ac:dyDescent="0.25">
      <c r="A1944">
        <v>1997</v>
      </c>
      <c r="B1944" s="140" t="s">
        <v>103</v>
      </c>
      <c r="C1944" s="140" t="s">
        <v>243</v>
      </c>
      <c r="D1944" s="140" t="s">
        <v>11</v>
      </c>
      <c r="E1944" s="140" t="s">
        <v>104</v>
      </c>
      <c r="F1944">
        <v>14615</v>
      </c>
      <c r="G1944" s="140" t="s">
        <v>274</v>
      </c>
      <c r="H1944">
        <v>0</v>
      </c>
      <c r="I1944" s="140" t="s">
        <v>17</v>
      </c>
    </row>
    <row r="1945" spans="1:9" hidden="1" x14ac:dyDescent="0.25">
      <c r="A1945">
        <v>1998</v>
      </c>
      <c r="B1945" s="140" t="s">
        <v>103</v>
      </c>
      <c r="C1945" s="140" t="s">
        <v>243</v>
      </c>
      <c r="D1945" s="140" t="s">
        <v>11</v>
      </c>
      <c r="E1945" s="140" t="s">
        <v>104</v>
      </c>
      <c r="F1945">
        <v>15697</v>
      </c>
      <c r="G1945" s="140" t="s">
        <v>274</v>
      </c>
      <c r="H1945">
        <v>0</v>
      </c>
      <c r="I1945" s="140" t="s">
        <v>17</v>
      </c>
    </row>
    <row r="1946" spans="1:9" hidden="1" x14ac:dyDescent="0.25">
      <c r="A1946">
        <v>1999</v>
      </c>
      <c r="B1946" s="140" t="s">
        <v>103</v>
      </c>
      <c r="C1946" s="140" t="s">
        <v>243</v>
      </c>
      <c r="D1946" s="140" t="s">
        <v>11</v>
      </c>
      <c r="E1946" s="140" t="s">
        <v>104</v>
      </c>
      <c r="F1946">
        <v>16210</v>
      </c>
      <c r="G1946" s="140" t="s">
        <v>274</v>
      </c>
      <c r="H1946">
        <v>0</v>
      </c>
      <c r="I1946" s="140" t="s">
        <v>17</v>
      </c>
    </row>
    <row r="1947" spans="1:9" hidden="1" x14ac:dyDescent="0.25">
      <c r="A1947">
        <v>2000</v>
      </c>
      <c r="B1947" s="140" t="s">
        <v>103</v>
      </c>
      <c r="C1947" s="140" t="s">
        <v>243</v>
      </c>
      <c r="D1947" s="140" t="s">
        <v>11</v>
      </c>
      <c r="E1947" s="140" t="s">
        <v>104</v>
      </c>
      <c r="F1947">
        <v>17164</v>
      </c>
      <c r="G1947" s="140" t="s">
        <v>274</v>
      </c>
      <c r="H1947">
        <v>0</v>
      </c>
      <c r="I1947" s="140" t="s">
        <v>17</v>
      </c>
    </row>
    <row r="1948" spans="1:9" hidden="1" x14ac:dyDescent="0.25">
      <c r="A1948">
        <v>2001</v>
      </c>
      <c r="B1948" s="140" t="s">
        <v>103</v>
      </c>
      <c r="C1948" s="140" t="s">
        <v>243</v>
      </c>
      <c r="D1948" s="140" t="s">
        <v>11</v>
      </c>
      <c r="E1948" s="140" t="s">
        <v>104</v>
      </c>
      <c r="F1948">
        <v>17789</v>
      </c>
      <c r="G1948" s="140" t="s">
        <v>274</v>
      </c>
      <c r="H1948">
        <v>0</v>
      </c>
      <c r="I1948" s="140" t="s">
        <v>17</v>
      </c>
    </row>
    <row r="1949" spans="1:9" hidden="1" x14ac:dyDescent="0.25">
      <c r="A1949">
        <v>2002</v>
      </c>
      <c r="B1949" s="140" t="s">
        <v>103</v>
      </c>
      <c r="C1949" s="140" t="s">
        <v>243</v>
      </c>
      <c r="D1949" s="140" t="s">
        <v>11</v>
      </c>
      <c r="E1949" s="140" t="s">
        <v>104</v>
      </c>
      <c r="F1949">
        <v>19032</v>
      </c>
      <c r="G1949" s="140" t="s">
        <v>274</v>
      </c>
      <c r="H1949">
        <v>0</v>
      </c>
      <c r="I1949" s="140" t="s">
        <v>17</v>
      </c>
    </row>
    <row r="1950" spans="1:9" hidden="1" x14ac:dyDescent="0.25">
      <c r="A1950">
        <v>2003</v>
      </c>
      <c r="B1950" s="140" t="s">
        <v>103</v>
      </c>
      <c r="C1950" s="140" t="s">
        <v>243</v>
      </c>
      <c r="D1950" s="140" t="s">
        <v>11</v>
      </c>
      <c r="E1950" s="140" t="s">
        <v>104</v>
      </c>
      <c r="F1950">
        <v>20147</v>
      </c>
      <c r="G1950" s="140" t="s">
        <v>274</v>
      </c>
      <c r="H1950">
        <v>0</v>
      </c>
      <c r="I1950" s="140" t="s">
        <v>17</v>
      </c>
    </row>
    <row r="1951" spans="1:9" hidden="1" x14ac:dyDescent="0.25">
      <c r="A1951">
        <v>2004</v>
      </c>
      <c r="B1951" s="140" t="s">
        <v>103</v>
      </c>
      <c r="C1951" s="140" t="s">
        <v>243</v>
      </c>
      <c r="D1951" s="140" t="s">
        <v>11</v>
      </c>
      <c r="E1951" s="140" t="s">
        <v>104</v>
      </c>
      <c r="F1951">
        <v>21357</v>
      </c>
      <c r="G1951" s="140" t="s">
        <v>274</v>
      </c>
      <c r="H1951">
        <v>0</v>
      </c>
      <c r="I1951" s="140" t="s">
        <v>17</v>
      </c>
    </row>
    <row r="1952" spans="1:9" hidden="1" x14ac:dyDescent="0.25">
      <c r="A1952">
        <v>2005</v>
      </c>
      <c r="B1952" s="140" t="s">
        <v>103</v>
      </c>
      <c r="C1952" s="140" t="s">
        <v>243</v>
      </c>
      <c r="D1952" s="140" t="s">
        <v>11</v>
      </c>
      <c r="E1952" s="140" t="s">
        <v>104</v>
      </c>
      <c r="F1952">
        <v>22487</v>
      </c>
      <c r="G1952" s="140" t="s">
        <v>274</v>
      </c>
      <c r="H1952">
        <v>0</v>
      </c>
      <c r="I1952" s="140" t="s">
        <v>17</v>
      </c>
    </row>
    <row r="1953" spans="1:9" hidden="1" x14ac:dyDescent="0.25">
      <c r="A1953">
        <v>2006</v>
      </c>
      <c r="B1953" s="140" t="s">
        <v>103</v>
      </c>
      <c r="C1953" s="140" t="s">
        <v>243</v>
      </c>
      <c r="D1953" s="140" t="s">
        <v>11</v>
      </c>
      <c r="E1953" s="140" t="s">
        <v>104</v>
      </c>
      <c r="F1953">
        <v>23532</v>
      </c>
      <c r="G1953" s="140" t="s">
        <v>274</v>
      </c>
      <c r="H1953">
        <v>0</v>
      </c>
      <c r="I1953" s="140" t="s">
        <v>17</v>
      </c>
    </row>
    <row r="1954" spans="1:9" hidden="1" x14ac:dyDescent="0.25">
      <c r="A1954">
        <v>2007</v>
      </c>
      <c r="B1954" s="140" t="s">
        <v>103</v>
      </c>
      <c r="C1954" s="140" t="s">
        <v>243</v>
      </c>
      <c r="D1954" s="140" t="s">
        <v>11</v>
      </c>
      <c r="E1954" s="140" t="s">
        <v>104</v>
      </c>
      <c r="F1954">
        <v>24775</v>
      </c>
      <c r="G1954" s="140" t="s">
        <v>274</v>
      </c>
      <c r="H1954">
        <v>0</v>
      </c>
      <c r="I1954" s="140" t="s">
        <v>17</v>
      </c>
    </row>
    <row r="1955" spans="1:9" hidden="1" x14ac:dyDescent="0.25">
      <c r="A1955">
        <v>2008</v>
      </c>
      <c r="B1955" s="140" t="s">
        <v>103</v>
      </c>
      <c r="C1955" s="140" t="s">
        <v>243</v>
      </c>
      <c r="D1955" s="140" t="s">
        <v>11</v>
      </c>
      <c r="E1955" s="140" t="s">
        <v>104</v>
      </c>
      <c r="F1955">
        <v>26809</v>
      </c>
      <c r="G1955" s="140" t="s">
        <v>274</v>
      </c>
      <c r="H1955">
        <v>0</v>
      </c>
      <c r="I1955" s="140" t="s">
        <v>17</v>
      </c>
    </row>
    <row r="1956" spans="1:9" hidden="1" x14ac:dyDescent="0.25">
      <c r="A1956">
        <v>2009</v>
      </c>
      <c r="B1956" s="140" t="s">
        <v>103</v>
      </c>
      <c r="C1956" s="140" t="s">
        <v>243</v>
      </c>
      <c r="D1956" s="140" t="s">
        <v>11</v>
      </c>
      <c r="E1956" s="140" t="s">
        <v>104</v>
      </c>
      <c r="F1956">
        <v>27925</v>
      </c>
      <c r="G1956" s="140" t="s">
        <v>274</v>
      </c>
      <c r="H1956">
        <v>0</v>
      </c>
      <c r="I1956" s="140" t="s">
        <v>17</v>
      </c>
    </row>
    <row r="1957" spans="1:9" hidden="1" x14ac:dyDescent="0.25">
      <c r="A1957">
        <v>2010</v>
      </c>
      <c r="B1957" s="140" t="s">
        <v>103</v>
      </c>
      <c r="C1957" s="140" t="s">
        <v>243</v>
      </c>
      <c r="D1957" s="140" t="s">
        <v>11</v>
      </c>
      <c r="E1957" s="140" t="s">
        <v>104</v>
      </c>
      <c r="F1957">
        <v>28691</v>
      </c>
      <c r="G1957" s="140" t="s">
        <v>274</v>
      </c>
      <c r="H1957">
        <v>0</v>
      </c>
      <c r="I1957" s="140" t="s">
        <v>17</v>
      </c>
    </row>
    <row r="1958" spans="1:9" hidden="1" x14ac:dyDescent="0.25">
      <c r="A1958">
        <v>2011</v>
      </c>
      <c r="B1958" s="140" t="s">
        <v>103</v>
      </c>
      <c r="C1958" s="140" t="s">
        <v>243</v>
      </c>
      <c r="D1958" s="140" t="s">
        <v>11</v>
      </c>
      <c r="E1958" s="140" t="s">
        <v>104</v>
      </c>
      <c r="F1958">
        <v>30232</v>
      </c>
      <c r="G1958" s="140" t="s">
        <v>274</v>
      </c>
      <c r="H1958">
        <v>0</v>
      </c>
      <c r="I1958" s="140" t="s">
        <v>17</v>
      </c>
    </row>
    <row r="1959" spans="1:9" hidden="1" x14ac:dyDescent="0.25">
      <c r="A1959">
        <v>2012</v>
      </c>
      <c r="B1959" s="140" t="s">
        <v>103</v>
      </c>
      <c r="C1959" s="140" t="s">
        <v>243</v>
      </c>
      <c r="D1959" s="140" t="s">
        <v>11</v>
      </c>
      <c r="E1959" s="140" t="s">
        <v>104</v>
      </c>
      <c r="F1959">
        <v>31878</v>
      </c>
      <c r="G1959" s="140" t="s">
        <v>274</v>
      </c>
      <c r="H1959">
        <v>0</v>
      </c>
      <c r="I1959" s="140" t="s">
        <v>17</v>
      </c>
    </row>
    <row r="1960" spans="1:9" hidden="1" x14ac:dyDescent="0.25">
      <c r="A1960">
        <v>2013</v>
      </c>
      <c r="B1960" s="140" t="s">
        <v>103</v>
      </c>
      <c r="C1960" s="140" t="s">
        <v>243</v>
      </c>
      <c r="D1960" s="140" t="s">
        <v>11</v>
      </c>
      <c r="E1960" s="140" t="s">
        <v>104</v>
      </c>
      <c r="F1960">
        <v>32636</v>
      </c>
      <c r="G1960" s="140" t="s">
        <v>274</v>
      </c>
      <c r="H1960">
        <v>0</v>
      </c>
      <c r="I1960" s="140" t="s">
        <v>17</v>
      </c>
    </row>
    <row r="1961" spans="1:9" hidden="1" x14ac:dyDescent="0.25">
      <c r="A1961">
        <v>2014</v>
      </c>
      <c r="B1961" s="140" t="s">
        <v>103</v>
      </c>
      <c r="C1961" s="140" t="s">
        <v>243</v>
      </c>
      <c r="D1961" s="140" t="s">
        <v>11</v>
      </c>
      <c r="E1961" s="140" t="s">
        <v>104</v>
      </c>
      <c r="F1961">
        <v>32952</v>
      </c>
      <c r="G1961" s="140" t="s">
        <v>274</v>
      </c>
      <c r="H1961">
        <v>0</v>
      </c>
      <c r="I1961" s="140" t="s">
        <v>17</v>
      </c>
    </row>
    <row r="1962" spans="1:9" hidden="1" x14ac:dyDescent="0.25">
      <c r="A1962">
        <v>2015</v>
      </c>
      <c r="B1962" s="140" t="s">
        <v>103</v>
      </c>
      <c r="C1962" s="140" t="s">
        <v>243</v>
      </c>
      <c r="D1962" s="140" t="s">
        <v>11</v>
      </c>
      <c r="E1962" s="140" t="s">
        <v>104</v>
      </c>
      <c r="F1962">
        <v>34350</v>
      </c>
      <c r="G1962" s="140" t="s">
        <v>274</v>
      </c>
      <c r="H1962">
        <v>0</v>
      </c>
      <c r="I1962" s="140" t="s">
        <v>17</v>
      </c>
    </row>
    <row r="1963" spans="1:9" hidden="1" x14ac:dyDescent="0.25">
      <c r="A1963">
        <v>2016</v>
      </c>
      <c r="B1963" s="140" t="s">
        <v>103</v>
      </c>
      <c r="C1963" s="140" t="s">
        <v>243</v>
      </c>
      <c r="D1963" s="140" t="s">
        <v>11</v>
      </c>
      <c r="E1963" s="140" t="s">
        <v>104</v>
      </c>
      <c r="F1963">
        <v>34821</v>
      </c>
      <c r="G1963" s="140" t="s">
        <v>274</v>
      </c>
      <c r="H1963">
        <v>0</v>
      </c>
      <c r="I1963" s="140" t="s">
        <v>17</v>
      </c>
    </row>
    <row r="1964" spans="1:9" hidden="1" x14ac:dyDescent="0.25">
      <c r="A1964">
        <v>2017</v>
      </c>
      <c r="B1964" s="140" t="s">
        <v>103</v>
      </c>
      <c r="C1964" s="140" t="s">
        <v>243</v>
      </c>
      <c r="D1964" s="140" t="s">
        <v>11</v>
      </c>
      <c r="E1964" s="140" t="s">
        <v>104</v>
      </c>
      <c r="F1964">
        <v>35011</v>
      </c>
      <c r="G1964" s="140" t="s">
        <v>274</v>
      </c>
      <c r="H1964">
        <v>0</v>
      </c>
      <c r="I1964" s="140" t="s">
        <v>17</v>
      </c>
    </row>
    <row r="1965" spans="1:9" hidden="1" x14ac:dyDescent="0.25">
      <c r="A1965">
        <v>2018</v>
      </c>
      <c r="B1965" s="140" t="s">
        <v>103</v>
      </c>
      <c r="C1965" s="140" t="s">
        <v>243</v>
      </c>
      <c r="D1965" s="140" t="s">
        <v>11</v>
      </c>
      <c r="E1965" s="140" t="s">
        <v>104</v>
      </c>
      <c r="F1965">
        <v>36473</v>
      </c>
      <c r="G1965" s="140" t="s">
        <v>274</v>
      </c>
      <c r="H1965">
        <v>0</v>
      </c>
      <c r="I1965" s="140" t="s">
        <v>17</v>
      </c>
    </row>
    <row r="1966" spans="1:9" hidden="1" x14ac:dyDescent="0.25">
      <c r="A1966">
        <v>2019</v>
      </c>
      <c r="B1966" s="140" t="s">
        <v>103</v>
      </c>
      <c r="C1966" s="140" t="s">
        <v>243</v>
      </c>
      <c r="D1966" s="140" t="s">
        <v>11</v>
      </c>
      <c r="E1966" s="140" t="s">
        <v>104</v>
      </c>
      <c r="F1966">
        <v>38188</v>
      </c>
      <c r="G1966" s="140" t="s">
        <v>274</v>
      </c>
      <c r="H1966">
        <v>0</v>
      </c>
      <c r="I1966" s="140" t="s">
        <v>17</v>
      </c>
    </row>
    <row r="1967" spans="1:9" hidden="1" x14ac:dyDescent="0.25">
      <c r="A1967">
        <v>2020</v>
      </c>
      <c r="B1967" s="140" t="s">
        <v>103</v>
      </c>
      <c r="C1967" s="140" t="s">
        <v>243</v>
      </c>
      <c r="D1967" s="140" t="s">
        <v>11</v>
      </c>
      <c r="E1967" s="140" t="s">
        <v>104</v>
      </c>
      <c r="F1967">
        <v>39606</v>
      </c>
      <c r="G1967" s="140" t="s">
        <v>274</v>
      </c>
      <c r="H1967">
        <v>0</v>
      </c>
      <c r="I1967" s="140" t="s">
        <v>17</v>
      </c>
    </row>
    <row r="1968" spans="1:9" hidden="1" x14ac:dyDescent="0.25">
      <c r="A1968">
        <v>2021</v>
      </c>
      <c r="B1968" s="140" t="s">
        <v>103</v>
      </c>
      <c r="C1968" s="140" t="s">
        <v>243</v>
      </c>
      <c r="D1968" s="140" t="s">
        <v>11</v>
      </c>
      <c r="E1968" s="140" t="s">
        <v>104</v>
      </c>
      <c r="F1968">
        <v>42151</v>
      </c>
      <c r="G1968" s="140" t="s">
        <v>274</v>
      </c>
      <c r="H1968">
        <v>0</v>
      </c>
      <c r="I1968" s="140" t="s">
        <v>17</v>
      </c>
    </row>
    <row r="1969" spans="1:9" hidden="1" x14ac:dyDescent="0.25">
      <c r="A1969">
        <v>2022</v>
      </c>
      <c r="B1969" s="140" t="s">
        <v>103</v>
      </c>
      <c r="C1969" s="140" t="s">
        <v>243</v>
      </c>
      <c r="D1969" s="140" t="s">
        <v>11</v>
      </c>
      <c r="E1969" s="140" t="s">
        <v>104</v>
      </c>
      <c r="F1969">
        <v>43868</v>
      </c>
      <c r="G1969" s="140" t="s">
        <v>274</v>
      </c>
      <c r="H1969">
        <v>0</v>
      </c>
      <c r="I1969" s="140" t="s">
        <v>17</v>
      </c>
    </row>
    <row r="1970" spans="1:9" hidden="1" x14ac:dyDescent="0.25">
      <c r="A1970">
        <v>2023</v>
      </c>
      <c r="B1970" s="140" t="s">
        <v>103</v>
      </c>
      <c r="C1970" s="140" t="s">
        <v>243</v>
      </c>
      <c r="D1970" s="140" t="s">
        <v>11</v>
      </c>
      <c r="E1970" s="140" t="s">
        <v>104</v>
      </c>
      <c r="F1970">
        <v>49878</v>
      </c>
      <c r="G1970" s="140" t="s">
        <v>274</v>
      </c>
      <c r="H1970">
        <v>0</v>
      </c>
      <c r="I1970" s="140" t="s">
        <v>17</v>
      </c>
    </row>
    <row r="1971" spans="1:9" hidden="1" x14ac:dyDescent="0.25">
      <c r="A1971">
        <v>2024</v>
      </c>
      <c r="B1971" s="140" t="s">
        <v>103</v>
      </c>
      <c r="C1971" s="140" t="s">
        <v>243</v>
      </c>
      <c r="D1971" s="140" t="s">
        <v>11</v>
      </c>
      <c r="E1971" s="140" t="s">
        <v>104</v>
      </c>
      <c r="F1971">
        <v>50707</v>
      </c>
      <c r="G1971" s="140" t="s">
        <v>274</v>
      </c>
      <c r="H1971">
        <v>0</v>
      </c>
      <c r="I1971" s="140" t="s">
        <v>17</v>
      </c>
    </row>
    <row r="1972" spans="1:9" hidden="1" x14ac:dyDescent="0.25">
      <c r="A1972">
        <v>2025</v>
      </c>
      <c r="B1972" s="140" t="s">
        <v>103</v>
      </c>
      <c r="C1972" s="140" t="s">
        <v>243</v>
      </c>
      <c r="D1972" s="140" t="s">
        <v>11</v>
      </c>
      <c r="E1972" s="140" t="s">
        <v>104</v>
      </c>
      <c r="F1972">
        <v>51462</v>
      </c>
      <c r="G1972" s="140" t="s">
        <v>274</v>
      </c>
      <c r="H1972">
        <v>0</v>
      </c>
      <c r="I1972" s="140" t="s">
        <v>17</v>
      </c>
    </row>
    <row r="1973" spans="1:9" hidden="1" x14ac:dyDescent="0.25">
      <c r="A1973">
        <v>2026</v>
      </c>
      <c r="B1973" s="140" t="s">
        <v>103</v>
      </c>
      <c r="C1973" s="140" t="s">
        <v>243</v>
      </c>
      <c r="D1973" s="140" t="s">
        <v>11</v>
      </c>
      <c r="E1973" s="140" t="s">
        <v>104</v>
      </c>
      <c r="F1973">
        <v>52796.290739999997</v>
      </c>
      <c r="G1973" s="140" t="s">
        <v>274</v>
      </c>
      <c r="H1973">
        <v>0</v>
      </c>
      <c r="I1973" s="140" t="s">
        <v>17</v>
      </c>
    </row>
    <row r="1974" spans="1:9" hidden="1" x14ac:dyDescent="0.25">
      <c r="A1974">
        <v>2027</v>
      </c>
      <c r="B1974" s="140" t="s">
        <v>103</v>
      </c>
      <c r="C1974" s="140" t="s">
        <v>243</v>
      </c>
      <c r="D1974" s="140" t="s">
        <v>11</v>
      </c>
      <c r="E1974" s="140" t="s">
        <v>104</v>
      </c>
      <c r="F1974">
        <v>54639.018020000003</v>
      </c>
      <c r="G1974" s="140" t="s">
        <v>274</v>
      </c>
      <c r="H1974">
        <v>0</v>
      </c>
      <c r="I1974" s="140" t="s">
        <v>17</v>
      </c>
    </row>
    <row r="1975" spans="1:9" hidden="1" x14ac:dyDescent="0.25">
      <c r="A1975">
        <v>2028</v>
      </c>
      <c r="B1975" s="140" t="s">
        <v>103</v>
      </c>
      <c r="C1975" s="140" t="s">
        <v>243</v>
      </c>
      <c r="D1975" s="140" t="s">
        <v>11</v>
      </c>
      <c r="E1975" s="140" t="s">
        <v>104</v>
      </c>
      <c r="F1975">
        <v>56665.697030000003</v>
      </c>
      <c r="G1975" s="140" t="s">
        <v>274</v>
      </c>
      <c r="H1975">
        <v>0</v>
      </c>
      <c r="I1975" s="140" t="s">
        <v>17</v>
      </c>
    </row>
    <row r="1976" spans="1:9" hidden="1" x14ac:dyDescent="0.25">
      <c r="A1976">
        <v>1990</v>
      </c>
      <c r="B1976" s="140" t="s">
        <v>112</v>
      </c>
      <c r="C1976" s="140" t="s">
        <v>243</v>
      </c>
      <c r="D1976" s="140" t="s">
        <v>11</v>
      </c>
      <c r="E1976" s="140" t="s">
        <v>104</v>
      </c>
      <c r="F1976">
        <v>6600</v>
      </c>
      <c r="G1976" s="140" t="s">
        <v>275</v>
      </c>
      <c r="H1976">
        <v>0</v>
      </c>
      <c r="I1976" s="140" t="s">
        <v>17</v>
      </c>
    </row>
    <row r="1977" spans="1:9" hidden="1" x14ac:dyDescent="0.25">
      <c r="A1977">
        <v>1991</v>
      </c>
      <c r="B1977" s="140" t="s">
        <v>112</v>
      </c>
      <c r="C1977" s="140" t="s">
        <v>243</v>
      </c>
      <c r="D1977" s="140" t="s">
        <v>11</v>
      </c>
      <c r="E1977" s="140" t="s">
        <v>104</v>
      </c>
      <c r="F1977">
        <v>7395</v>
      </c>
      <c r="G1977" s="140" t="s">
        <v>275</v>
      </c>
      <c r="H1977">
        <v>0</v>
      </c>
      <c r="I1977" s="140" t="s">
        <v>17</v>
      </c>
    </row>
    <row r="1978" spans="1:9" hidden="1" x14ac:dyDescent="0.25">
      <c r="A1978">
        <v>1992</v>
      </c>
      <c r="B1978" s="140" t="s">
        <v>112</v>
      </c>
      <c r="C1978" s="140" t="s">
        <v>243</v>
      </c>
      <c r="D1978" s="140" t="s">
        <v>11</v>
      </c>
      <c r="E1978" s="140" t="s">
        <v>104</v>
      </c>
      <c r="F1978">
        <v>7375</v>
      </c>
      <c r="G1978" s="140" t="s">
        <v>275</v>
      </c>
      <c r="H1978">
        <v>0</v>
      </c>
      <c r="I1978" s="140" t="s">
        <v>17</v>
      </c>
    </row>
    <row r="1979" spans="1:9" hidden="1" x14ac:dyDescent="0.25">
      <c r="A1979">
        <v>1993</v>
      </c>
      <c r="B1979" s="140" t="s">
        <v>112</v>
      </c>
      <c r="C1979" s="140" t="s">
        <v>243</v>
      </c>
      <c r="D1979" s="140" t="s">
        <v>11</v>
      </c>
      <c r="E1979" s="140" t="s">
        <v>104</v>
      </c>
      <c r="F1979">
        <v>7356</v>
      </c>
      <c r="G1979" s="140" t="s">
        <v>275</v>
      </c>
      <c r="H1979">
        <v>0</v>
      </c>
      <c r="I1979" s="140" t="s">
        <v>17</v>
      </c>
    </row>
    <row r="1980" spans="1:9" hidden="1" x14ac:dyDescent="0.25">
      <c r="A1980">
        <v>1994</v>
      </c>
      <c r="B1980" s="140" t="s">
        <v>112</v>
      </c>
      <c r="C1980" s="140" t="s">
        <v>243</v>
      </c>
      <c r="D1980" s="140" t="s">
        <v>11</v>
      </c>
      <c r="E1980" s="140" t="s">
        <v>104</v>
      </c>
      <c r="F1980">
        <v>7613</v>
      </c>
      <c r="G1980" s="140" t="s">
        <v>275</v>
      </c>
      <c r="H1980">
        <v>0</v>
      </c>
      <c r="I1980" s="140" t="s">
        <v>17</v>
      </c>
    </row>
    <row r="1981" spans="1:9" hidden="1" x14ac:dyDescent="0.25">
      <c r="A1981">
        <v>1995</v>
      </c>
      <c r="B1981" s="140" t="s">
        <v>112</v>
      </c>
      <c r="C1981" s="140" t="s">
        <v>243</v>
      </c>
      <c r="D1981" s="140" t="s">
        <v>11</v>
      </c>
      <c r="E1981" s="140" t="s">
        <v>104</v>
      </c>
      <c r="F1981">
        <v>7967</v>
      </c>
      <c r="G1981" s="140" t="s">
        <v>275</v>
      </c>
      <c r="H1981">
        <v>0</v>
      </c>
      <c r="I1981" s="140" t="s">
        <v>17</v>
      </c>
    </row>
    <row r="1982" spans="1:9" hidden="1" x14ac:dyDescent="0.25">
      <c r="A1982">
        <v>1996</v>
      </c>
      <c r="B1982" s="140" t="s">
        <v>112</v>
      </c>
      <c r="C1982" s="140" t="s">
        <v>243</v>
      </c>
      <c r="D1982" s="140" t="s">
        <v>11</v>
      </c>
      <c r="E1982" s="140" t="s">
        <v>104</v>
      </c>
      <c r="F1982">
        <v>8379</v>
      </c>
      <c r="G1982" s="140" t="s">
        <v>275</v>
      </c>
      <c r="H1982">
        <v>0</v>
      </c>
      <c r="I1982" s="140" t="s">
        <v>17</v>
      </c>
    </row>
    <row r="1983" spans="1:9" hidden="1" x14ac:dyDescent="0.25">
      <c r="A1983">
        <v>1997</v>
      </c>
      <c r="B1983" s="140" t="s">
        <v>112</v>
      </c>
      <c r="C1983" s="140" t="s">
        <v>243</v>
      </c>
      <c r="D1983" s="140" t="s">
        <v>11</v>
      </c>
      <c r="E1983" s="140" t="s">
        <v>104</v>
      </c>
      <c r="F1983">
        <v>8963</v>
      </c>
      <c r="G1983" s="140" t="s">
        <v>275</v>
      </c>
      <c r="H1983">
        <v>0</v>
      </c>
      <c r="I1983" s="140" t="s">
        <v>17</v>
      </c>
    </row>
    <row r="1984" spans="1:9" hidden="1" x14ac:dyDescent="0.25">
      <c r="A1984">
        <v>1998</v>
      </c>
      <c r="B1984" s="140" t="s">
        <v>112</v>
      </c>
      <c r="C1984" s="140" t="s">
        <v>243</v>
      </c>
      <c r="D1984" s="140" t="s">
        <v>11</v>
      </c>
      <c r="E1984" s="140" t="s">
        <v>104</v>
      </c>
      <c r="F1984">
        <v>9053</v>
      </c>
      <c r="G1984" s="140" t="s">
        <v>275</v>
      </c>
      <c r="H1984">
        <v>0</v>
      </c>
      <c r="I1984" s="140" t="s">
        <v>17</v>
      </c>
    </row>
    <row r="1985" spans="1:9" hidden="1" x14ac:dyDescent="0.25">
      <c r="A1985">
        <v>1999</v>
      </c>
      <c r="B1985" s="140" t="s">
        <v>112</v>
      </c>
      <c r="C1985" s="140" t="s">
        <v>243</v>
      </c>
      <c r="D1985" s="140" t="s">
        <v>11</v>
      </c>
      <c r="E1985" s="140" t="s">
        <v>104</v>
      </c>
      <c r="F1985">
        <v>9482</v>
      </c>
      <c r="G1985" s="140" t="s">
        <v>275</v>
      </c>
      <c r="H1985">
        <v>0</v>
      </c>
      <c r="I1985" s="140" t="s">
        <v>17</v>
      </c>
    </row>
    <row r="1986" spans="1:9" hidden="1" x14ac:dyDescent="0.25">
      <c r="A1986">
        <v>2000</v>
      </c>
      <c r="B1986" s="140" t="s">
        <v>112</v>
      </c>
      <c r="C1986" s="140" t="s">
        <v>243</v>
      </c>
      <c r="D1986" s="140" t="s">
        <v>11</v>
      </c>
      <c r="E1986" s="140" t="s">
        <v>104</v>
      </c>
      <c r="F1986">
        <v>9722</v>
      </c>
      <c r="G1986" s="140" t="s">
        <v>275</v>
      </c>
      <c r="H1986">
        <v>0</v>
      </c>
      <c r="I1986" s="140" t="s">
        <v>17</v>
      </c>
    </row>
    <row r="1987" spans="1:9" hidden="1" x14ac:dyDescent="0.25">
      <c r="A1987">
        <v>2001</v>
      </c>
      <c r="B1987" s="140" t="s">
        <v>112</v>
      </c>
      <c r="C1987" s="140" t="s">
        <v>243</v>
      </c>
      <c r="D1987" s="140" t="s">
        <v>11</v>
      </c>
      <c r="E1987" s="140" t="s">
        <v>104</v>
      </c>
      <c r="F1987">
        <v>11025</v>
      </c>
      <c r="G1987" s="140" t="s">
        <v>275</v>
      </c>
      <c r="H1987">
        <v>0</v>
      </c>
      <c r="I1987" s="140" t="s">
        <v>17</v>
      </c>
    </row>
    <row r="1988" spans="1:9" hidden="1" x14ac:dyDescent="0.25">
      <c r="A1988">
        <v>2002</v>
      </c>
      <c r="B1988" s="140" t="s">
        <v>112</v>
      </c>
      <c r="C1988" s="140" t="s">
        <v>243</v>
      </c>
      <c r="D1988" s="140" t="s">
        <v>11</v>
      </c>
      <c r="E1988" s="140" t="s">
        <v>104</v>
      </c>
      <c r="F1988">
        <v>11561</v>
      </c>
      <c r="G1988" s="140" t="s">
        <v>275</v>
      </c>
      <c r="H1988">
        <v>0</v>
      </c>
      <c r="I1988" s="140" t="s">
        <v>17</v>
      </c>
    </row>
    <row r="1989" spans="1:9" hidden="1" x14ac:dyDescent="0.25">
      <c r="A1989">
        <v>2003</v>
      </c>
      <c r="B1989" s="140" t="s">
        <v>112</v>
      </c>
      <c r="C1989" s="140" t="s">
        <v>243</v>
      </c>
      <c r="D1989" s="140" t="s">
        <v>11</v>
      </c>
      <c r="E1989" s="140" t="s">
        <v>104</v>
      </c>
      <c r="F1989">
        <v>11842</v>
      </c>
      <c r="G1989" s="140" t="s">
        <v>275</v>
      </c>
      <c r="H1989">
        <v>0</v>
      </c>
      <c r="I1989" s="140" t="s">
        <v>17</v>
      </c>
    </row>
    <row r="1990" spans="1:9" hidden="1" x14ac:dyDescent="0.25">
      <c r="A1990">
        <v>2004</v>
      </c>
      <c r="B1990" s="140" t="s">
        <v>112</v>
      </c>
      <c r="C1990" s="140" t="s">
        <v>243</v>
      </c>
      <c r="D1990" s="140" t="s">
        <v>11</v>
      </c>
      <c r="E1990" s="140" t="s">
        <v>104</v>
      </c>
      <c r="F1990">
        <v>12267</v>
      </c>
      <c r="G1990" s="140" t="s">
        <v>275</v>
      </c>
      <c r="H1990">
        <v>0</v>
      </c>
      <c r="I1990" s="140" t="s">
        <v>17</v>
      </c>
    </row>
    <row r="1991" spans="1:9" hidden="1" x14ac:dyDescent="0.25">
      <c r="A1991">
        <v>2005</v>
      </c>
      <c r="B1991" s="140" t="s">
        <v>112</v>
      </c>
      <c r="C1991" s="140" t="s">
        <v>243</v>
      </c>
      <c r="D1991" s="140" t="s">
        <v>11</v>
      </c>
      <c r="E1991" s="140" t="s">
        <v>104</v>
      </c>
      <c r="F1991">
        <v>12763</v>
      </c>
      <c r="G1991" s="140" t="s">
        <v>275</v>
      </c>
      <c r="H1991">
        <v>0</v>
      </c>
      <c r="I1991" s="140" t="s">
        <v>17</v>
      </c>
    </row>
    <row r="1992" spans="1:9" hidden="1" x14ac:dyDescent="0.25">
      <c r="A1992">
        <v>2006</v>
      </c>
      <c r="B1992" s="140" t="s">
        <v>112</v>
      </c>
      <c r="C1992" s="140" t="s">
        <v>243</v>
      </c>
      <c r="D1992" s="140" t="s">
        <v>11</v>
      </c>
      <c r="E1992" s="140" t="s">
        <v>104</v>
      </c>
      <c r="F1992">
        <v>13303</v>
      </c>
      <c r="G1992" s="140" t="s">
        <v>275</v>
      </c>
      <c r="H1992">
        <v>0</v>
      </c>
      <c r="I1992" s="140" t="s">
        <v>17</v>
      </c>
    </row>
    <row r="1993" spans="1:9" hidden="1" x14ac:dyDescent="0.25">
      <c r="A1993">
        <v>2007</v>
      </c>
      <c r="B1993" s="140" t="s">
        <v>112</v>
      </c>
      <c r="C1993" s="140" t="s">
        <v>243</v>
      </c>
      <c r="D1993" s="140" t="s">
        <v>11</v>
      </c>
      <c r="E1993" s="140" t="s">
        <v>104</v>
      </c>
      <c r="F1993">
        <v>14068</v>
      </c>
      <c r="G1993" s="140" t="s">
        <v>275</v>
      </c>
      <c r="H1993">
        <v>0</v>
      </c>
      <c r="I1993" s="140" t="s">
        <v>17</v>
      </c>
    </row>
    <row r="1994" spans="1:9" hidden="1" x14ac:dyDescent="0.25">
      <c r="A1994">
        <v>2008</v>
      </c>
      <c r="B1994" s="140" t="s">
        <v>112</v>
      </c>
      <c r="C1994" s="140" t="s">
        <v>243</v>
      </c>
      <c r="D1994" s="140" t="s">
        <v>11</v>
      </c>
      <c r="E1994" s="140" t="s">
        <v>104</v>
      </c>
      <c r="F1994">
        <v>15079</v>
      </c>
      <c r="G1994" s="140" t="s">
        <v>275</v>
      </c>
      <c r="H1994">
        <v>0</v>
      </c>
      <c r="I1994" s="140" t="s">
        <v>17</v>
      </c>
    </row>
    <row r="1995" spans="1:9" hidden="1" x14ac:dyDescent="0.25">
      <c r="A1995">
        <v>2009</v>
      </c>
      <c r="B1995" s="140" t="s">
        <v>112</v>
      </c>
      <c r="C1995" s="140" t="s">
        <v>243</v>
      </c>
      <c r="D1995" s="140" t="s">
        <v>11</v>
      </c>
      <c r="E1995" s="140" t="s">
        <v>104</v>
      </c>
      <c r="F1995">
        <v>15812</v>
      </c>
      <c r="G1995" s="140" t="s">
        <v>275</v>
      </c>
      <c r="H1995">
        <v>0</v>
      </c>
      <c r="I1995" s="140" t="s">
        <v>17</v>
      </c>
    </row>
    <row r="1996" spans="1:9" hidden="1" x14ac:dyDescent="0.25">
      <c r="A1996">
        <v>2010</v>
      </c>
      <c r="B1996" s="140" t="s">
        <v>112</v>
      </c>
      <c r="C1996" s="140" t="s">
        <v>243</v>
      </c>
      <c r="D1996" s="140" t="s">
        <v>11</v>
      </c>
      <c r="E1996" s="140" t="s">
        <v>104</v>
      </c>
      <c r="F1996">
        <v>15895</v>
      </c>
      <c r="G1996" s="140" t="s">
        <v>275</v>
      </c>
      <c r="H1996">
        <v>0</v>
      </c>
      <c r="I1996" s="140" t="s">
        <v>17</v>
      </c>
    </row>
    <row r="1997" spans="1:9" hidden="1" x14ac:dyDescent="0.25">
      <c r="A1997">
        <v>2011</v>
      </c>
      <c r="B1997" s="140" t="s">
        <v>112</v>
      </c>
      <c r="C1997" s="140" t="s">
        <v>243</v>
      </c>
      <c r="D1997" s="140" t="s">
        <v>11</v>
      </c>
      <c r="E1997" s="140" t="s">
        <v>104</v>
      </c>
      <c r="F1997">
        <v>16078</v>
      </c>
      <c r="G1997" s="140" t="s">
        <v>275</v>
      </c>
      <c r="H1997">
        <v>0</v>
      </c>
      <c r="I1997" s="140" t="s">
        <v>17</v>
      </c>
    </row>
    <row r="1998" spans="1:9" hidden="1" x14ac:dyDescent="0.25">
      <c r="A1998">
        <v>2012</v>
      </c>
      <c r="B1998" s="140" t="s">
        <v>112</v>
      </c>
      <c r="C1998" s="140" t="s">
        <v>243</v>
      </c>
      <c r="D1998" s="140" t="s">
        <v>11</v>
      </c>
      <c r="E1998" s="140" t="s">
        <v>104</v>
      </c>
      <c r="F1998">
        <v>16628</v>
      </c>
      <c r="G1998" s="140" t="s">
        <v>275</v>
      </c>
      <c r="H1998">
        <v>0</v>
      </c>
      <c r="I1998" s="140" t="s">
        <v>17</v>
      </c>
    </row>
    <row r="1999" spans="1:9" hidden="1" x14ac:dyDescent="0.25">
      <c r="A1999">
        <v>2013</v>
      </c>
      <c r="B1999" s="140" t="s">
        <v>112</v>
      </c>
      <c r="C1999" s="140" t="s">
        <v>243</v>
      </c>
      <c r="D1999" s="140" t="s">
        <v>11</v>
      </c>
      <c r="E1999" s="140" t="s">
        <v>104</v>
      </c>
      <c r="F1999">
        <v>17568</v>
      </c>
      <c r="G1999" s="140" t="s">
        <v>275</v>
      </c>
      <c r="H1999">
        <v>0</v>
      </c>
      <c r="I1999" s="140" t="s">
        <v>17</v>
      </c>
    </row>
    <row r="2000" spans="1:9" hidden="1" x14ac:dyDescent="0.25">
      <c r="A2000">
        <v>2014</v>
      </c>
      <c r="B2000" s="140" t="s">
        <v>112</v>
      </c>
      <c r="C2000" s="140" t="s">
        <v>243</v>
      </c>
      <c r="D2000" s="140" t="s">
        <v>11</v>
      </c>
      <c r="E2000" s="140" t="s">
        <v>104</v>
      </c>
      <c r="F2000">
        <v>17869</v>
      </c>
      <c r="G2000" s="140" t="s">
        <v>275</v>
      </c>
      <c r="H2000">
        <v>0</v>
      </c>
      <c r="I2000" s="140" t="s">
        <v>17</v>
      </c>
    </row>
    <row r="2001" spans="1:9" hidden="1" x14ac:dyDescent="0.25">
      <c r="A2001">
        <v>2015</v>
      </c>
      <c r="B2001" s="140" t="s">
        <v>112</v>
      </c>
      <c r="C2001" s="140" t="s">
        <v>243</v>
      </c>
      <c r="D2001" s="140" t="s">
        <v>11</v>
      </c>
      <c r="E2001" s="140" t="s">
        <v>104</v>
      </c>
      <c r="F2001">
        <v>17294</v>
      </c>
      <c r="G2001" s="140" t="s">
        <v>275</v>
      </c>
      <c r="H2001">
        <v>0</v>
      </c>
      <c r="I2001" s="140" t="s">
        <v>17</v>
      </c>
    </row>
    <row r="2002" spans="1:9" hidden="1" x14ac:dyDescent="0.25">
      <c r="A2002">
        <v>2016</v>
      </c>
      <c r="B2002" s="140" t="s">
        <v>112</v>
      </c>
      <c r="C2002" s="140" t="s">
        <v>243</v>
      </c>
      <c r="D2002" s="140" t="s">
        <v>11</v>
      </c>
      <c r="E2002" s="140" t="s">
        <v>104</v>
      </c>
      <c r="F2002">
        <v>16741</v>
      </c>
      <c r="G2002" s="140" t="s">
        <v>275</v>
      </c>
      <c r="H2002">
        <v>0</v>
      </c>
      <c r="I2002" s="140" t="s">
        <v>17</v>
      </c>
    </row>
    <row r="2003" spans="1:9" hidden="1" x14ac:dyDescent="0.25">
      <c r="A2003">
        <v>2017</v>
      </c>
      <c r="B2003" s="140" t="s">
        <v>112</v>
      </c>
      <c r="C2003" s="140" t="s">
        <v>243</v>
      </c>
      <c r="D2003" s="140" t="s">
        <v>11</v>
      </c>
      <c r="E2003" s="140" t="s">
        <v>104</v>
      </c>
      <c r="F2003">
        <v>16606</v>
      </c>
      <c r="G2003" s="140" t="s">
        <v>275</v>
      </c>
      <c r="H2003">
        <v>0</v>
      </c>
      <c r="I2003" s="140" t="s">
        <v>17</v>
      </c>
    </row>
    <row r="2004" spans="1:9" hidden="1" x14ac:dyDescent="0.25">
      <c r="A2004">
        <v>2018</v>
      </c>
      <c r="B2004" s="140" t="s">
        <v>112</v>
      </c>
      <c r="C2004" s="140" t="s">
        <v>243</v>
      </c>
      <c r="D2004" s="140" t="s">
        <v>11</v>
      </c>
      <c r="E2004" s="140" t="s">
        <v>104</v>
      </c>
      <c r="F2004">
        <v>17063</v>
      </c>
      <c r="G2004" s="140" t="s">
        <v>275</v>
      </c>
      <c r="H2004">
        <v>0</v>
      </c>
      <c r="I2004" s="140" t="s">
        <v>17</v>
      </c>
    </row>
    <row r="2005" spans="1:9" hidden="1" x14ac:dyDescent="0.25">
      <c r="A2005">
        <v>2019</v>
      </c>
      <c r="B2005" s="140" t="s">
        <v>112</v>
      </c>
      <c r="C2005" s="140" t="s">
        <v>243</v>
      </c>
      <c r="D2005" s="140" t="s">
        <v>11</v>
      </c>
      <c r="E2005" s="140" t="s">
        <v>104</v>
      </c>
      <c r="F2005">
        <v>17816</v>
      </c>
      <c r="G2005" s="140" t="s">
        <v>275</v>
      </c>
      <c r="H2005">
        <v>0</v>
      </c>
      <c r="I2005" s="140" t="s">
        <v>17</v>
      </c>
    </row>
    <row r="2006" spans="1:9" hidden="1" x14ac:dyDescent="0.25">
      <c r="A2006">
        <v>2020</v>
      </c>
      <c r="B2006" s="140" t="s">
        <v>112</v>
      </c>
      <c r="C2006" s="140" t="s">
        <v>243</v>
      </c>
      <c r="D2006" s="140" t="s">
        <v>11</v>
      </c>
      <c r="E2006" s="140" t="s">
        <v>104</v>
      </c>
      <c r="F2006">
        <v>18162</v>
      </c>
      <c r="G2006" s="140" t="s">
        <v>275</v>
      </c>
      <c r="H2006">
        <v>0</v>
      </c>
      <c r="I2006" s="140" t="s">
        <v>17</v>
      </c>
    </row>
    <row r="2007" spans="1:9" hidden="1" x14ac:dyDescent="0.25">
      <c r="A2007">
        <v>2021</v>
      </c>
      <c r="B2007" s="140" t="s">
        <v>112</v>
      </c>
      <c r="C2007" s="140" t="s">
        <v>243</v>
      </c>
      <c r="D2007" s="140" t="s">
        <v>11</v>
      </c>
      <c r="E2007" s="140" t="s">
        <v>104</v>
      </c>
      <c r="F2007">
        <v>19557</v>
      </c>
      <c r="G2007" s="140" t="s">
        <v>275</v>
      </c>
      <c r="H2007">
        <v>0</v>
      </c>
      <c r="I2007" s="140" t="s">
        <v>17</v>
      </c>
    </row>
    <row r="2008" spans="1:9" hidden="1" x14ac:dyDescent="0.25">
      <c r="A2008">
        <v>2022</v>
      </c>
      <c r="B2008" s="140" t="s">
        <v>112</v>
      </c>
      <c r="C2008" s="140" t="s">
        <v>243</v>
      </c>
      <c r="D2008" s="140" t="s">
        <v>11</v>
      </c>
      <c r="E2008" s="140" t="s">
        <v>104</v>
      </c>
      <c r="F2008">
        <v>20450</v>
      </c>
      <c r="G2008" s="140" t="s">
        <v>275</v>
      </c>
      <c r="H2008">
        <v>0</v>
      </c>
      <c r="I2008" s="140" t="s">
        <v>17</v>
      </c>
    </row>
    <row r="2009" spans="1:9" hidden="1" x14ac:dyDescent="0.25">
      <c r="A2009">
        <v>2023</v>
      </c>
      <c r="B2009" s="140" t="s">
        <v>112</v>
      </c>
      <c r="C2009" s="140" t="s">
        <v>243</v>
      </c>
      <c r="D2009" s="140" t="s">
        <v>11</v>
      </c>
      <c r="E2009" s="140" t="s">
        <v>104</v>
      </c>
      <c r="F2009">
        <v>20252</v>
      </c>
      <c r="G2009" s="140" t="s">
        <v>275</v>
      </c>
      <c r="H2009">
        <v>0</v>
      </c>
      <c r="I2009" s="140" t="s">
        <v>17</v>
      </c>
    </row>
    <row r="2010" spans="1:9" hidden="1" x14ac:dyDescent="0.25">
      <c r="A2010">
        <v>2024</v>
      </c>
      <c r="B2010" s="140" t="s">
        <v>112</v>
      </c>
      <c r="C2010" s="140" t="s">
        <v>243</v>
      </c>
      <c r="D2010" s="140" t="s">
        <v>11</v>
      </c>
      <c r="E2010" s="140" t="s">
        <v>104</v>
      </c>
      <c r="F2010">
        <v>21052</v>
      </c>
      <c r="G2010" s="140" t="s">
        <v>275</v>
      </c>
      <c r="H2010">
        <v>0</v>
      </c>
      <c r="I2010" s="140" t="s">
        <v>17</v>
      </c>
    </row>
    <row r="2011" spans="1:9" hidden="1" x14ac:dyDescent="0.25">
      <c r="A2011">
        <v>2025</v>
      </c>
      <c r="B2011" s="140" t="s">
        <v>112</v>
      </c>
      <c r="C2011" s="140" t="s">
        <v>243</v>
      </c>
      <c r="D2011" s="140" t="s">
        <v>11</v>
      </c>
      <c r="E2011" s="140" t="s">
        <v>104</v>
      </c>
      <c r="F2011">
        <v>21358</v>
      </c>
      <c r="G2011" s="140" t="s">
        <v>275</v>
      </c>
      <c r="H2011">
        <v>0</v>
      </c>
      <c r="I2011" s="140" t="s">
        <v>17</v>
      </c>
    </row>
    <row r="2012" spans="1:9" hidden="1" x14ac:dyDescent="0.25">
      <c r="A2012">
        <v>2026</v>
      </c>
      <c r="B2012" s="140" t="s">
        <v>112</v>
      </c>
      <c r="C2012" s="140" t="s">
        <v>243</v>
      </c>
      <c r="D2012" s="140" t="s">
        <v>11</v>
      </c>
      <c r="E2012" s="140" t="s">
        <v>104</v>
      </c>
      <c r="F2012">
        <v>21697.176299999999</v>
      </c>
      <c r="G2012" s="140" t="s">
        <v>275</v>
      </c>
      <c r="H2012">
        <v>0</v>
      </c>
      <c r="I2012" s="140" t="s">
        <v>17</v>
      </c>
    </row>
    <row r="2013" spans="1:9" hidden="1" x14ac:dyDescent="0.25">
      <c r="A2013">
        <v>2027</v>
      </c>
      <c r="B2013" s="140" t="s">
        <v>112</v>
      </c>
      <c r="C2013" s="140" t="s">
        <v>243</v>
      </c>
      <c r="D2013" s="140" t="s">
        <v>11</v>
      </c>
      <c r="E2013" s="140" t="s">
        <v>104</v>
      </c>
      <c r="F2013">
        <v>22388.375110000001</v>
      </c>
      <c r="G2013" s="140" t="s">
        <v>275</v>
      </c>
      <c r="H2013">
        <v>0</v>
      </c>
      <c r="I2013" s="140" t="s">
        <v>17</v>
      </c>
    </row>
    <row r="2014" spans="1:9" hidden="1" x14ac:dyDescent="0.25">
      <c r="A2014">
        <v>2028</v>
      </c>
      <c r="B2014" s="140" t="s">
        <v>112</v>
      </c>
      <c r="C2014" s="140" t="s">
        <v>243</v>
      </c>
      <c r="D2014" s="140" t="s">
        <v>11</v>
      </c>
      <c r="E2014" s="140" t="s">
        <v>104</v>
      </c>
      <c r="F2014">
        <v>23456.77088</v>
      </c>
      <c r="G2014" s="140" t="s">
        <v>275</v>
      </c>
      <c r="H2014">
        <v>0</v>
      </c>
      <c r="I2014" s="140" t="s">
        <v>17</v>
      </c>
    </row>
    <row r="2015" spans="1:9" hidden="1" x14ac:dyDescent="0.25">
      <c r="A2015">
        <v>1990</v>
      </c>
      <c r="B2015" s="140" t="s">
        <v>130</v>
      </c>
      <c r="C2015" s="140" t="s">
        <v>20</v>
      </c>
      <c r="D2015" s="140" t="s">
        <v>11</v>
      </c>
      <c r="E2015" s="140" t="s">
        <v>12</v>
      </c>
      <c r="F2015">
        <v>32322</v>
      </c>
      <c r="G2015" s="140" t="s">
        <v>277</v>
      </c>
      <c r="H2015">
        <v>0</v>
      </c>
      <c r="I2015" s="140" t="s">
        <v>17</v>
      </c>
    </row>
    <row r="2016" spans="1:9" hidden="1" x14ac:dyDescent="0.25">
      <c r="A2016">
        <v>1991</v>
      </c>
      <c r="B2016" s="140" t="s">
        <v>130</v>
      </c>
      <c r="C2016" s="140" t="s">
        <v>20</v>
      </c>
      <c r="D2016" s="140" t="s">
        <v>11</v>
      </c>
      <c r="E2016" s="140" t="s">
        <v>12</v>
      </c>
      <c r="F2016">
        <v>25906</v>
      </c>
      <c r="G2016" s="140" t="s">
        <v>277</v>
      </c>
      <c r="H2016">
        <v>0</v>
      </c>
      <c r="I2016" s="140" t="s">
        <v>17</v>
      </c>
    </row>
    <row r="2017" spans="1:9" hidden="1" x14ac:dyDescent="0.25">
      <c r="A2017">
        <v>1992</v>
      </c>
      <c r="B2017" s="140" t="s">
        <v>130</v>
      </c>
      <c r="C2017" s="140" t="s">
        <v>20</v>
      </c>
      <c r="D2017" s="140" t="s">
        <v>11</v>
      </c>
      <c r="E2017" s="140" t="s">
        <v>12</v>
      </c>
      <c r="F2017">
        <v>21498</v>
      </c>
      <c r="G2017" s="140" t="s">
        <v>277</v>
      </c>
      <c r="H2017">
        <v>0</v>
      </c>
      <c r="I2017" s="140" t="s">
        <v>17</v>
      </c>
    </row>
    <row r="2018" spans="1:9" hidden="1" x14ac:dyDescent="0.25">
      <c r="A2018">
        <v>1993</v>
      </c>
      <c r="B2018" s="140" t="s">
        <v>130</v>
      </c>
      <c r="C2018" s="140" t="s">
        <v>20</v>
      </c>
      <c r="D2018" s="140" t="s">
        <v>11</v>
      </c>
      <c r="E2018" s="140" t="s">
        <v>12</v>
      </c>
      <c r="F2018">
        <v>18951</v>
      </c>
      <c r="G2018" s="140" t="s">
        <v>277</v>
      </c>
      <c r="H2018">
        <v>0</v>
      </c>
      <c r="I2018" s="140" t="s">
        <v>17</v>
      </c>
    </row>
    <row r="2019" spans="1:9" hidden="1" x14ac:dyDescent="0.25">
      <c r="A2019">
        <v>1994</v>
      </c>
      <c r="B2019" s="140" t="s">
        <v>130</v>
      </c>
      <c r="C2019" s="140" t="s">
        <v>20</v>
      </c>
      <c r="D2019" s="140" t="s">
        <v>11</v>
      </c>
      <c r="E2019" s="140" t="s">
        <v>12</v>
      </c>
      <c r="F2019">
        <v>18820</v>
      </c>
      <c r="G2019" s="140" t="s">
        <v>277</v>
      </c>
      <c r="H2019">
        <v>0</v>
      </c>
      <c r="I2019" s="140" t="s">
        <v>17</v>
      </c>
    </row>
    <row r="2020" spans="1:9" hidden="1" x14ac:dyDescent="0.25">
      <c r="A2020">
        <v>1995</v>
      </c>
      <c r="B2020" s="140" t="s">
        <v>130</v>
      </c>
      <c r="C2020" s="140" t="s">
        <v>20</v>
      </c>
      <c r="D2020" s="140" t="s">
        <v>11</v>
      </c>
      <c r="E2020" s="140" t="s">
        <v>12</v>
      </c>
      <c r="F2020">
        <v>22151</v>
      </c>
      <c r="G2020" s="140" t="s">
        <v>277</v>
      </c>
      <c r="H2020">
        <v>0</v>
      </c>
      <c r="I2020" s="140" t="s">
        <v>17</v>
      </c>
    </row>
    <row r="2021" spans="1:9" hidden="1" x14ac:dyDescent="0.25">
      <c r="A2021">
        <v>1996</v>
      </c>
      <c r="B2021" s="140" t="s">
        <v>130</v>
      </c>
      <c r="C2021" s="140" t="s">
        <v>20</v>
      </c>
      <c r="D2021" s="140" t="s">
        <v>11</v>
      </c>
      <c r="E2021" s="140" t="s">
        <v>12</v>
      </c>
      <c r="F2021">
        <v>24312</v>
      </c>
      <c r="G2021" s="140" t="s">
        <v>277</v>
      </c>
      <c r="H2021">
        <v>0</v>
      </c>
      <c r="I2021" s="140" t="s">
        <v>17</v>
      </c>
    </row>
    <row r="2022" spans="1:9" hidden="1" x14ac:dyDescent="0.25">
      <c r="A2022">
        <v>1997</v>
      </c>
      <c r="B2022" s="140" t="s">
        <v>130</v>
      </c>
      <c r="C2022" s="140" t="s">
        <v>20</v>
      </c>
      <c r="D2022" s="140" t="s">
        <v>11</v>
      </c>
      <c r="E2022" s="140" t="s">
        <v>12</v>
      </c>
      <c r="F2022">
        <v>26582</v>
      </c>
      <c r="G2022" s="140" t="s">
        <v>277</v>
      </c>
      <c r="H2022">
        <v>0</v>
      </c>
      <c r="I2022" s="140" t="s">
        <v>17</v>
      </c>
    </row>
    <row r="2023" spans="1:9" hidden="1" x14ac:dyDescent="0.25">
      <c r="A2023">
        <v>1998</v>
      </c>
      <c r="B2023" s="140" t="s">
        <v>130</v>
      </c>
      <c r="C2023" s="140" t="s">
        <v>20</v>
      </c>
      <c r="D2023" s="140" t="s">
        <v>11</v>
      </c>
      <c r="E2023" s="140" t="s">
        <v>12</v>
      </c>
      <c r="F2023">
        <v>30120</v>
      </c>
      <c r="G2023" s="140" t="s">
        <v>277</v>
      </c>
      <c r="H2023">
        <v>0</v>
      </c>
      <c r="I2023" s="140" t="s">
        <v>17</v>
      </c>
    </row>
    <row r="2024" spans="1:9" hidden="1" x14ac:dyDescent="0.25">
      <c r="A2024">
        <v>1999</v>
      </c>
      <c r="B2024" s="140" t="s">
        <v>130</v>
      </c>
      <c r="C2024" s="140" t="s">
        <v>20</v>
      </c>
      <c r="D2024" s="140" t="s">
        <v>11</v>
      </c>
      <c r="E2024" s="140" t="s">
        <v>12</v>
      </c>
      <c r="F2024">
        <v>31876</v>
      </c>
      <c r="G2024" s="140" t="s">
        <v>277</v>
      </c>
      <c r="H2024">
        <v>0</v>
      </c>
      <c r="I2024" s="140" t="s">
        <v>17</v>
      </c>
    </row>
    <row r="2025" spans="1:9" hidden="1" x14ac:dyDescent="0.25">
      <c r="A2025">
        <v>2000</v>
      </c>
      <c r="B2025" s="140" t="s">
        <v>130</v>
      </c>
      <c r="C2025" s="140" t="s">
        <v>20</v>
      </c>
      <c r="D2025" s="140" t="s">
        <v>11</v>
      </c>
      <c r="E2025" s="140" t="s">
        <v>12</v>
      </c>
      <c r="F2025">
        <v>34760</v>
      </c>
      <c r="G2025" s="140" t="s">
        <v>277</v>
      </c>
      <c r="H2025">
        <v>0</v>
      </c>
      <c r="I2025" s="140" t="s">
        <v>17</v>
      </c>
    </row>
    <row r="2026" spans="1:9" hidden="1" x14ac:dyDescent="0.25">
      <c r="A2026">
        <v>2001</v>
      </c>
      <c r="B2026" s="140" t="s">
        <v>130</v>
      </c>
      <c r="C2026" s="140" t="s">
        <v>20</v>
      </c>
      <c r="D2026" s="140" t="s">
        <v>11</v>
      </c>
      <c r="E2026" s="140" t="s">
        <v>12</v>
      </c>
      <c r="F2026">
        <v>35541</v>
      </c>
      <c r="G2026" s="140" t="s">
        <v>277</v>
      </c>
      <c r="H2026">
        <v>0</v>
      </c>
      <c r="I2026" s="140" t="s">
        <v>17</v>
      </c>
    </row>
    <row r="2027" spans="1:9" hidden="1" x14ac:dyDescent="0.25">
      <c r="A2027">
        <v>2002</v>
      </c>
      <c r="B2027" s="140" t="s">
        <v>130</v>
      </c>
      <c r="C2027" s="140" t="s">
        <v>20</v>
      </c>
      <c r="D2027" s="140" t="s">
        <v>11</v>
      </c>
      <c r="E2027" s="140" t="s">
        <v>12</v>
      </c>
      <c r="F2027">
        <v>33609</v>
      </c>
      <c r="G2027" s="140" t="s">
        <v>277</v>
      </c>
      <c r="H2027">
        <v>0</v>
      </c>
      <c r="I2027" s="140" t="s">
        <v>17</v>
      </c>
    </row>
    <row r="2028" spans="1:9" hidden="1" x14ac:dyDescent="0.25">
      <c r="A2028">
        <v>2003</v>
      </c>
      <c r="B2028" s="140" t="s">
        <v>130</v>
      </c>
      <c r="C2028" s="140" t="s">
        <v>20</v>
      </c>
      <c r="D2028" s="140" t="s">
        <v>11</v>
      </c>
      <c r="E2028" s="140" t="s">
        <v>12</v>
      </c>
      <c r="F2028">
        <v>34294</v>
      </c>
      <c r="G2028" s="140" t="s">
        <v>277</v>
      </c>
      <c r="H2028">
        <v>0</v>
      </c>
      <c r="I2028" s="140" t="s">
        <v>17</v>
      </c>
    </row>
    <row r="2029" spans="1:9" hidden="1" x14ac:dyDescent="0.25">
      <c r="A2029">
        <v>2004</v>
      </c>
      <c r="B2029" s="140" t="s">
        <v>130</v>
      </c>
      <c r="C2029" s="140" t="s">
        <v>20</v>
      </c>
      <c r="D2029" s="140" t="s">
        <v>11</v>
      </c>
      <c r="E2029" s="140" t="s">
        <v>12</v>
      </c>
      <c r="F2029">
        <v>36020</v>
      </c>
      <c r="G2029" s="140" t="s">
        <v>277</v>
      </c>
      <c r="H2029">
        <v>0</v>
      </c>
      <c r="I2029" s="140" t="s">
        <v>17</v>
      </c>
    </row>
    <row r="2030" spans="1:9" hidden="1" x14ac:dyDescent="0.25">
      <c r="A2030">
        <v>2005</v>
      </c>
      <c r="B2030" s="140" t="s">
        <v>130</v>
      </c>
      <c r="C2030" s="140" t="s">
        <v>20</v>
      </c>
      <c r="D2030" s="140" t="s">
        <v>11</v>
      </c>
      <c r="E2030" s="140" t="s">
        <v>12</v>
      </c>
      <c r="F2030">
        <v>38046</v>
      </c>
      <c r="G2030" s="140" t="s">
        <v>277</v>
      </c>
      <c r="H2030">
        <v>0</v>
      </c>
      <c r="I2030" s="140" t="s">
        <v>17</v>
      </c>
    </row>
    <row r="2031" spans="1:9" hidden="1" x14ac:dyDescent="0.25">
      <c r="A2031">
        <v>2006</v>
      </c>
      <c r="B2031" s="140" t="s">
        <v>130</v>
      </c>
      <c r="C2031" s="140" t="s">
        <v>20</v>
      </c>
      <c r="D2031" s="140" t="s">
        <v>11</v>
      </c>
      <c r="E2031" s="140" t="s">
        <v>12</v>
      </c>
      <c r="F2031">
        <v>39065</v>
      </c>
      <c r="G2031" s="140" t="s">
        <v>277</v>
      </c>
      <c r="H2031">
        <v>0</v>
      </c>
      <c r="I2031" s="140" t="s">
        <v>17</v>
      </c>
    </row>
    <row r="2032" spans="1:9" hidden="1" x14ac:dyDescent="0.25">
      <c r="A2032">
        <v>2007</v>
      </c>
      <c r="B2032" s="140" t="s">
        <v>130</v>
      </c>
      <c r="C2032" s="140" t="s">
        <v>20</v>
      </c>
      <c r="D2032" s="140" t="s">
        <v>11</v>
      </c>
      <c r="E2032" s="140" t="s">
        <v>12</v>
      </c>
      <c r="F2032">
        <v>43270</v>
      </c>
      <c r="G2032" s="140" t="s">
        <v>277</v>
      </c>
      <c r="H2032">
        <v>0</v>
      </c>
      <c r="I2032" s="140" t="s">
        <v>17</v>
      </c>
    </row>
    <row r="2033" spans="1:9" hidden="1" x14ac:dyDescent="0.25">
      <c r="A2033">
        <v>2008</v>
      </c>
      <c r="B2033" s="140" t="s">
        <v>130</v>
      </c>
      <c r="C2033" s="140" t="s">
        <v>20</v>
      </c>
      <c r="D2033" s="140" t="s">
        <v>11</v>
      </c>
      <c r="E2033" s="140" t="s">
        <v>12</v>
      </c>
      <c r="F2033">
        <v>43517</v>
      </c>
      <c r="G2033" s="140" t="s">
        <v>277</v>
      </c>
      <c r="H2033">
        <v>0</v>
      </c>
      <c r="I2033" s="140" t="s">
        <v>17</v>
      </c>
    </row>
    <row r="2034" spans="1:9" hidden="1" x14ac:dyDescent="0.25">
      <c r="A2034">
        <v>2009</v>
      </c>
      <c r="B2034" s="140" t="s">
        <v>130</v>
      </c>
      <c r="C2034" s="140" t="s">
        <v>20</v>
      </c>
      <c r="D2034" s="140" t="s">
        <v>11</v>
      </c>
      <c r="E2034" s="140" t="s">
        <v>12</v>
      </c>
      <c r="F2034">
        <v>37243</v>
      </c>
      <c r="G2034" s="140" t="s">
        <v>277</v>
      </c>
      <c r="H2034">
        <v>0</v>
      </c>
      <c r="I2034" s="140" t="s">
        <v>17</v>
      </c>
    </row>
    <row r="2035" spans="1:9" hidden="1" x14ac:dyDescent="0.25">
      <c r="A2035">
        <v>2010</v>
      </c>
      <c r="B2035" s="140" t="s">
        <v>130</v>
      </c>
      <c r="C2035" s="140" t="s">
        <v>20</v>
      </c>
      <c r="D2035" s="140" t="s">
        <v>11</v>
      </c>
      <c r="E2035" s="140" t="s">
        <v>12</v>
      </c>
      <c r="F2035">
        <v>39559</v>
      </c>
      <c r="G2035" s="140" t="s">
        <v>277</v>
      </c>
      <c r="H2035">
        <v>0</v>
      </c>
      <c r="I2035" s="140" t="s">
        <v>17</v>
      </c>
    </row>
    <row r="2036" spans="1:9" hidden="1" x14ac:dyDescent="0.25">
      <c r="A2036">
        <v>2011</v>
      </c>
      <c r="B2036" s="140" t="s">
        <v>130</v>
      </c>
      <c r="C2036" s="140" t="s">
        <v>20</v>
      </c>
      <c r="D2036" s="140" t="s">
        <v>11</v>
      </c>
      <c r="E2036" s="140" t="s">
        <v>12</v>
      </c>
      <c r="F2036">
        <v>40390</v>
      </c>
      <c r="G2036" s="140" t="s">
        <v>277</v>
      </c>
      <c r="H2036">
        <v>0</v>
      </c>
      <c r="I2036" s="140" t="s">
        <v>17</v>
      </c>
    </row>
    <row r="2037" spans="1:9" hidden="1" x14ac:dyDescent="0.25">
      <c r="A2037">
        <v>2012</v>
      </c>
      <c r="B2037" s="140" t="s">
        <v>130</v>
      </c>
      <c r="C2037" s="140" t="s">
        <v>20</v>
      </c>
      <c r="D2037" s="140" t="s">
        <v>11</v>
      </c>
      <c r="E2037" s="140" t="s">
        <v>12</v>
      </c>
      <c r="F2037">
        <v>39699</v>
      </c>
      <c r="G2037" s="140" t="s">
        <v>277</v>
      </c>
      <c r="H2037">
        <v>0</v>
      </c>
      <c r="I2037" s="140" t="s">
        <v>17</v>
      </c>
    </row>
    <row r="2038" spans="1:9" hidden="1" x14ac:dyDescent="0.25">
      <c r="A2038">
        <v>2013</v>
      </c>
      <c r="B2038" s="140" t="s">
        <v>130</v>
      </c>
      <c r="C2038" s="140" t="s">
        <v>20</v>
      </c>
      <c r="D2038" s="140" t="s">
        <v>11</v>
      </c>
      <c r="E2038" s="140" t="s">
        <v>12</v>
      </c>
      <c r="F2038">
        <v>37401</v>
      </c>
      <c r="G2038" s="140" t="s">
        <v>277</v>
      </c>
      <c r="H2038">
        <v>0</v>
      </c>
      <c r="I2038" s="140" t="s">
        <v>17</v>
      </c>
    </row>
    <row r="2039" spans="1:9" hidden="1" x14ac:dyDescent="0.25">
      <c r="A2039">
        <v>2014</v>
      </c>
      <c r="B2039" s="140" t="s">
        <v>130</v>
      </c>
      <c r="C2039" s="140" t="s">
        <v>20</v>
      </c>
      <c r="D2039" s="140" t="s">
        <v>11</v>
      </c>
      <c r="E2039" s="140" t="s">
        <v>12</v>
      </c>
      <c r="F2039">
        <v>36269</v>
      </c>
      <c r="G2039" s="140" t="s">
        <v>277</v>
      </c>
      <c r="H2039">
        <v>0</v>
      </c>
      <c r="I2039" s="140" t="s">
        <v>17</v>
      </c>
    </row>
    <row r="2040" spans="1:9" hidden="1" x14ac:dyDescent="0.25">
      <c r="A2040">
        <v>2015</v>
      </c>
      <c r="B2040" s="140" t="s">
        <v>130</v>
      </c>
      <c r="C2040" s="140" t="s">
        <v>20</v>
      </c>
      <c r="D2040" s="140" t="s">
        <v>11</v>
      </c>
      <c r="E2040" s="140" t="s">
        <v>12</v>
      </c>
      <c r="F2040">
        <v>37115</v>
      </c>
      <c r="G2040" s="140" t="s">
        <v>277</v>
      </c>
      <c r="H2040">
        <v>0</v>
      </c>
      <c r="I2040" s="140" t="s">
        <v>17</v>
      </c>
    </row>
    <row r="2041" spans="1:9" hidden="1" x14ac:dyDescent="0.25">
      <c r="A2041">
        <v>2016</v>
      </c>
      <c r="B2041" s="140" t="s">
        <v>130</v>
      </c>
      <c r="C2041" s="140" t="s">
        <v>20</v>
      </c>
      <c r="D2041" s="140" t="s">
        <v>11</v>
      </c>
      <c r="E2041" s="140" t="s">
        <v>12</v>
      </c>
      <c r="F2041">
        <v>40196</v>
      </c>
      <c r="G2041" s="140" t="s">
        <v>277</v>
      </c>
      <c r="H2041">
        <v>0</v>
      </c>
      <c r="I2041" s="140" t="s">
        <v>17</v>
      </c>
    </row>
    <row r="2042" spans="1:9" hidden="1" x14ac:dyDescent="0.25">
      <c r="A2042">
        <v>2017</v>
      </c>
      <c r="B2042" s="140" t="s">
        <v>130</v>
      </c>
      <c r="C2042" s="140" t="s">
        <v>20</v>
      </c>
      <c r="D2042" s="140" t="s">
        <v>11</v>
      </c>
      <c r="E2042" s="140" t="s">
        <v>12</v>
      </c>
      <c r="F2042">
        <v>42605</v>
      </c>
      <c r="G2042" s="140" t="s">
        <v>277</v>
      </c>
      <c r="H2042">
        <v>0</v>
      </c>
      <c r="I2042" s="140" t="s">
        <v>17</v>
      </c>
    </row>
    <row r="2043" spans="1:9" hidden="1" x14ac:dyDescent="0.25">
      <c r="A2043">
        <v>2018</v>
      </c>
      <c r="B2043" s="140" t="s">
        <v>130</v>
      </c>
      <c r="C2043" s="140" t="s">
        <v>20</v>
      </c>
      <c r="D2043" s="140" t="s">
        <v>11</v>
      </c>
      <c r="E2043" s="140" t="s">
        <v>12</v>
      </c>
      <c r="F2043">
        <v>44317</v>
      </c>
      <c r="G2043" s="140" t="s">
        <v>277</v>
      </c>
      <c r="H2043">
        <v>0</v>
      </c>
      <c r="I2043" s="140" t="s">
        <v>17</v>
      </c>
    </row>
    <row r="2044" spans="1:9" hidden="1" x14ac:dyDescent="0.25">
      <c r="A2044">
        <v>2019</v>
      </c>
      <c r="B2044" s="140" t="s">
        <v>130</v>
      </c>
      <c r="C2044" s="140" t="s">
        <v>20</v>
      </c>
      <c r="D2044" s="140" t="s">
        <v>11</v>
      </c>
      <c r="E2044" s="140" t="s">
        <v>12</v>
      </c>
      <c r="F2044">
        <v>43535</v>
      </c>
      <c r="G2044" s="140" t="s">
        <v>277</v>
      </c>
      <c r="H2044">
        <v>0</v>
      </c>
      <c r="I2044" s="140" t="s">
        <v>17</v>
      </c>
    </row>
    <row r="2045" spans="1:9" hidden="1" x14ac:dyDescent="0.25">
      <c r="A2045">
        <v>2020</v>
      </c>
      <c r="B2045" s="140" t="s">
        <v>130</v>
      </c>
      <c r="C2045" s="140" t="s">
        <v>20</v>
      </c>
      <c r="D2045" s="140" t="s">
        <v>11</v>
      </c>
      <c r="E2045" s="140" t="s">
        <v>12</v>
      </c>
      <c r="F2045">
        <v>42042</v>
      </c>
      <c r="G2045" s="140" t="s">
        <v>277</v>
      </c>
      <c r="H2045">
        <v>0</v>
      </c>
      <c r="I2045" s="140" t="s">
        <v>17</v>
      </c>
    </row>
    <row r="2046" spans="1:9" hidden="1" x14ac:dyDescent="0.25">
      <c r="A2046">
        <v>2021</v>
      </c>
      <c r="B2046" s="140" t="s">
        <v>130</v>
      </c>
      <c r="C2046" s="140" t="s">
        <v>20</v>
      </c>
      <c r="D2046" s="140" t="s">
        <v>11</v>
      </c>
      <c r="E2046" s="140" t="s">
        <v>12</v>
      </c>
      <c r="F2046">
        <v>44190</v>
      </c>
      <c r="G2046" s="140" t="s">
        <v>277</v>
      </c>
      <c r="H2046">
        <v>0</v>
      </c>
      <c r="I2046" s="140" t="s">
        <v>17</v>
      </c>
    </row>
    <row r="2047" spans="1:9" hidden="1" x14ac:dyDescent="0.25">
      <c r="A2047">
        <v>2022</v>
      </c>
      <c r="B2047" s="140" t="s">
        <v>130</v>
      </c>
      <c r="C2047" s="140" t="s">
        <v>20</v>
      </c>
      <c r="D2047" s="140" t="s">
        <v>11</v>
      </c>
      <c r="E2047" s="140" t="s">
        <v>12</v>
      </c>
      <c r="F2047">
        <v>45106</v>
      </c>
      <c r="G2047" s="140" t="s">
        <v>277</v>
      </c>
      <c r="H2047">
        <v>0</v>
      </c>
      <c r="I2047" s="140" t="s">
        <v>17</v>
      </c>
    </row>
    <row r="2048" spans="1:9" hidden="1" x14ac:dyDescent="0.25">
      <c r="A2048">
        <v>2023</v>
      </c>
      <c r="B2048" s="140" t="s">
        <v>130</v>
      </c>
      <c r="C2048" s="140" t="s">
        <v>20</v>
      </c>
      <c r="D2048" s="140" t="s">
        <v>11</v>
      </c>
      <c r="E2048" s="140" t="s">
        <v>12</v>
      </c>
      <c r="F2048">
        <v>41605</v>
      </c>
      <c r="G2048" s="140" t="s">
        <v>277</v>
      </c>
      <c r="H2048">
        <v>0</v>
      </c>
      <c r="I2048" s="140" t="s">
        <v>17</v>
      </c>
    </row>
    <row r="2049" spans="1:9" hidden="1" x14ac:dyDescent="0.25">
      <c r="A2049">
        <v>2024</v>
      </c>
      <c r="B2049" s="140" t="s">
        <v>130</v>
      </c>
      <c r="C2049" s="140" t="s">
        <v>20</v>
      </c>
      <c r="D2049" s="140" t="s">
        <v>11</v>
      </c>
      <c r="E2049" s="140" t="s">
        <v>12</v>
      </c>
      <c r="F2049">
        <v>37996</v>
      </c>
      <c r="G2049" s="140" t="s">
        <v>277</v>
      </c>
      <c r="H2049">
        <v>0</v>
      </c>
      <c r="I2049" s="140" t="s">
        <v>17</v>
      </c>
    </row>
    <row r="2050" spans="1:9" hidden="1" x14ac:dyDescent="0.25">
      <c r="A2050">
        <v>2025</v>
      </c>
      <c r="B2050" s="140" t="s">
        <v>130</v>
      </c>
      <c r="C2050" s="140" t="s">
        <v>20</v>
      </c>
      <c r="D2050" s="140" t="s">
        <v>11</v>
      </c>
      <c r="E2050" s="140" t="s">
        <v>12</v>
      </c>
      <c r="F2050">
        <v>38380</v>
      </c>
      <c r="G2050" s="140" t="s">
        <v>277</v>
      </c>
      <c r="H2050">
        <v>0</v>
      </c>
      <c r="I2050" s="140" t="s">
        <v>17</v>
      </c>
    </row>
    <row r="2051" spans="1:9" hidden="1" x14ac:dyDescent="0.25">
      <c r="A2051">
        <v>2026</v>
      </c>
      <c r="B2051" s="140" t="s">
        <v>130</v>
      </c>
      <c r="C2051" s="140" t="s">
        <v>20</v>
      </c>
      <c r="D2051" s="140" t="s">
        <v>11</v>
      </c>
      <c r="E2051" s="140" t="s">
        <v>12</v>
      </c>
      <c r="F2051">
        <v>40170.377659999998</v>
      </c>
      <c r="G2051" s="140" t="s">
        <v>277</v>
      </c>
      <c r="H2051">
        <v>0</v>
      </c>
      <c r="I2051" s="140" t="s">
        <v>17</v>
      </c>
    </row>
    <row r="2052" spans="1:9" hidden="1" x14ac:dyDescent="0.25">
      <c r="A2052">
        <v>2027</v>
      </c>
      <c r="B2052" s="140" t="s">
        <v>130</v>
      </c>
      <c r="C2052" s="140" t="s">
        <v>20</v>
      </c>
      <c r="D2052" s="140" t="s">
        <v>11</v>
      </c>
      <c r="E2052" s="140" t="s">
        <v>12</v>
      </c>
      <c r="F2052">
        <v>42345.788189999999</v>
      </c>
      <c r="G2052" s="140" t="s">
        <v>277</v>
      </c>
      <c r="H2052">
        <v>0</v>
      </c>
      <c r="I2052" s="140" t="s">
        <v>17</v>
      </c>
    </row>
    <row r="2053" spans="1:9" hidden="1" x14ac:dyDescent="0.25">
      <c r="A2053">
        <v>2028</v>
      </c>
      <c r="B2053" s="140" t="s">
        <v>130</v>
      </c>
      <c r="C2053" s="140" t="s">
        <v>20</v>
      </c>
      <c r="D2053" s="140" t="s">
        <v>11</v>
      </c>
      <c r="E2053" s="140" t="s">
        <v>12</v>
      </c>
      <c r="F2053">
        <v>44173.216209999999</v>
      </c>
      <c r="G2053" s="140" t="s">
        <v>277</v>
      </c>
      <c r="H2053">
        <v>0</v>
      </c>
      <c r="I2053" s="140" t="s">
        <v>17</v>
      </c>
    </row>
    <row r="2054" spans="1:9" hidden="1" x14ac:dyDescent="0.25">
      <c r="A2054">
        <v>2029</v>
      </c>
      <c r="B2054" s="140" t="s">
        <v>130</v>
      </c>
      <c r="C2054" s="140" t="s">
        <v>20</v>
      </c>
      <c r="D2054" s="140" t="s">
        <v>11</v>
      </c>
      <c r="E2054" s="140" t="s">
        <v>12</v>
      </c>
      <c r="F2054">
        <v>45345.248030000002</v>
      </c>
      <c r="G2054" s="140" t="s">
        <v>277</v>
      </c>
      <c r="H2054">
        <v>0</v>
      </c>
      <c r="I2054" s="140" t="s">
        <v>17</v>
      </c>
    </row>
    <row r="2055" spans="1:9" hidden="1" x14ac:dyDescent="0.25">
      <c r="A2055">
        <v>2030</v>
      </c>
      <c r="B2055" s="140" t="s">
        <v>130</v>
      </c>
      <c r="C2055" s="140" t="s">
        <v>20</v>
      </c>
      <c r="D2055" s="140" t="s">
        <v>11</v>
      </c>
      <c r="E2055" s="140" t="s">
        <v>12</v>
      </c>
      <c r="F2055">
        <v>46581.711710000003</v>
      </c>
      <c r="G2055" s="140" t="s">
        <v>277</v>
      </c>
      <c r="H2055">
        <v>0</v>
      </c>
      <c r="I2055" s="140" t="s">
        <v>17</v>
      </c>
    </row>
    <row r="2056" spans="1:9" hidden="1" x14ac:dyDescent="0.25">
      <c r="A2056">
        <v>1990</v>
      </c>
      <c r="B2056" s="140" t="s">
        <v>129</v>
      </c>
      <c r="C2056" s="140" t="s">
        <v>20</v>
      </c>
      <c r="D2056" s="140" t="s">
        <v>11</v>
      </c>
      <c r="E2056" s="140" t="s">
        <v>12</v>
      </c>
      <c r="F2056">
        <v>6524</v>
      </c>
      <c r="G2056" s="140" t="s">
        <v>278</v>
      </c>
      <c r="H2056">
        <v>0</v>
      </c>
      <c r="I2056" s="140" t="s">
        <v>17</v>
      </c>
    </row>
    <row r="2057" spans="1:9" hidden="1" x14ac:dyDescent="0.25">
      <c r="A2057">
        <v>1991</v>
      </c>
      <c r="B2057" s="140" t="s">
        <v>129</v>
      </c>
      <c r="C2057" s="140" t="s">
        <v>20</v>
      </c>
      <c r="D2057" s="140" t="s">
        <v>11</v>
      </c>
      <c r="E2057" s="140" t="s">
        <v>12</v>
      </c>
      <c r="F2057">
        <v>6492</v>
      </c>
      <c r="G2057" s="140" t="s">
        <v>278</v>
      </c>
      <c r="H2057">
        <v>0</v>
      </c>
      <c r="I2057" s="140" t="s">
        <v>17</v>
      </c>
    </row>
    <row r="2058" spans="1:9" hidden="1" x14ac:dyDescent="0.25">
      <c r="A2058">
        <v>1992</v>
      </c>
      <c r="B2058" s="140" t="s">
        <v>129</v>
      </c>
      <c r="C2058" s="140" t="s">
        <v>20</v>
      </c>
      <c r="D2058" s="140" t="s">
        <v>11</v>
      </c>
      <c r="E2058" s="140" t="s">
        <v>12</v>
      </c>
      <c r="F2058">
        <v>6544</v>
      </c>
      <c r="G2058" s="140" t="s">
        <v>278</v>
      </c>
      <c r="H2058">
        <v>0</v>
      </c>
      <c r="I2058" s="140" t="s">
        <v>17</v>
      </c>
    </row>
    <row r="2059" spans="1:9" hidden="1" x14ac:dyDescent="0.25">
      <c r="A2059">
        <v>1993</v>
      </c>
      <c r="B2059" s="140" t="s">
        <v>129</v>
      </c>
      <c r="C2059" s="140" t="s">
        <v>20</v>
      </c>
      <c r="D2059" s="140" t="s">
        <v>11</v>
      </c>
      <c r="E2059" s="140" t="s">
        <v>12</v>
      </c>
      <c r="F2059">
        <v>5564</v>
      </c>
      <c r="G2059" s="140" t="s">
        <v>278</v>
      </c>
      <c r="H2059">
        <v>0</v>
      </c>
      <c r="I2059" s="140" t="s">
        <v>17</v>
      </c>
    </row>
    <row r="2060" spans="1:9" hidden="1" x14ac:dyDescent="0.25">
      <c r="A2060">
        <v>1994</v>
      </c>
      <c r="B2060" s="140" t="s">
        <v>129</v>
      </c>
      <c r="C2060" s="140" t="s">
        <v>20</v>
      </c>
      <c r="D2060" s="140" t="s">
        <v>11</v>
      </c>
      <c r="E2060" s="140" t="s">
        <v>12</v>
      </c>
      <c r="F2060">
        <v>5934</v>
      </c>
      <c r="G2060" s="140" t="s">
        <v>278</v>
      </c>
      <c r="H2060">
        <v>0</v>
      </c>
      <c r="I2060" s="140" t="s">
        <v>17</v>
      </c>
    </row>
    <row r="2061" spans="1:9" hidden="1" x14ac:dyDescent="0.25">
      <c r="A2061">
        <v>1995</v>
      </c>
      <c r="B2061" s="140" t="s">
        <v>129</v>
      </c>
      <c r="C2061" s="140" t="s">
        <v>20</v>
      </c>
      <c r="D2061" s="140" t="s">
        <v>11</v>
      </c>
      <c r="E2061" s="140" t="s">
        <v>12</v>
      </c>
      <c r="F2061">
        <v>5615</v>
      </c>
      <c r="G2061" s="140" t="s">
        <v>278</v>
      </c>
      <c r="H2061">
        <v>0</v>
      </c>
      <c r="I2061" s="140" t="s">
        <v>17</v>
      </c>
    </row>
    <row r="2062" spans="1:9" hidden="1" x14ac:dyDescent="0.25">
      <c r="A2062">
        <v>1996</v>
      </c>
      <c r="B2062" s="140" t="s">
        <v>129</v>
      </c>
      <c r="C2062" s="140" t="s">
        <v>20</v>
      </c>
      <c r="D2062" s="140" t="s">
        <v>11</v>
      </c>
      <c r="E2062" s="140" t="s">
        <v>12</v>
      </c>
      <c r="F2062">
        <v>6236</v>
      </c>
      <c r="G2062" s="140" t="s">
        <v>278</v>
      </c>
      <c r="H2062">
        <v>0</v>
      </c>
      <c r="I2062" s="140" t="s">
        <v>17</v>
      </c>
    </row>
    <row r="2063" spans="1:9" hidden="1" x14ac:dyDescent="0.25">
      <c r="A2063">
        <v>1997</v>
      </c>
      <c r="B2063" s="140" t="s">
        <v>129</v>
      </c>
      <c r="C2063" s="140" t="s">
        <v>20</v>
      </c>
      <c r="D2063" s="140" t="s">
        <v>11</v>
      </c>
      <c r="E2063" s="140" t="s">
        <v>12</v>
      </c>
      <c r="F2063">
        <v>7311</v>
      </c>
      <c r="G2063" s="140" t="s">
        <v>278</v>
      </c>
      <c r="H2063">
        <v>0</v>
      </c>
      <c r="I2063" s="140" t="s">
        <v>17</v>
      </c>
    </row>
    <row r="2064" spans="1:9" hidden="1" x14ac:dyDescent="0.25">
      <c r="A2064">
        <v>1998</v>
      </c>
      <c r="B2064" s="140" t="s">
        <v>129</v>
      </c>
      <c r="C2064" s="140" t="s">
        <v>20</v>
      </c>
      <c r="D2064" s="140" t="s">
        <v>11</v>
      </c>
      <c r="E2064" s="140" t="s">
        <v>12</v>
      </c>
      <c r="F2064">
        <v>7346</v>
      </c>
      <c r="G2064" s="140" t="s">
        <v>278</v>
      </c>
      <c r="H2064">
        <v>0</v>
      </c>
      <c r="I2064" s="140" t="s">
        <v>17</v>
      </c>
    </row>
    <row r="2065" spans="1:9" hidden="1" x14ac:dyDescent="0.25">
      <c r="A2065">
        <v>1999</v>
      </c>
      <c r="B2065" s="140" t="s">
        <v>129</v>
      </c>
      <c r="C2065" s="140" t="s">
        <v>20</v>
      </c>
      <c r="D2065" s="140" t="s">
        <v>11</v>
      </c>
      <c r="E2065" s="140" t="s">
        <v>12</v>
      </c>
      <c r="F2065">
        <v>7260</v>
      </c>
      <c r="G2065" s="140" t="s">
        <v>278</v>
      </c>
      <c r="H2065">
        <v>0</v>
      </c>
      <c r="I2065" s="140" t="s">
        <v>17</v>
      </c>
    </row>
    <row r="2066" spans="1:9" hidden="1" x14ac:dyDescent="0.25">
      <c r="A2066">
        <v>2000</v>
      </c>
      <c r="B2066" s="140" t="s">
        <v>129</v>
      </c>
      <c r="C2066" s="140" t="s">
        <v>20</v>
      </c>
      <c r="D2066" s="140" t="s">
        <v>11</v>
      </c>
      <c r="E2066" s="140" t="s">
        <v>12</v>
      </c>
      <c r="F2066">
        <v>6746</v>
      </c>
      <c r="G2066" s="140" t="s">
        <v>278</v>
      </c>
      <c r="H2066">
        <v>0</v>
      </c>
      <c r="I2066" s="140" t="s">
        <v>17</v>
      </c>
    </row>
    <row r="2067" spans="1:9" hidden="1" x14ac:dyDescent="0.25">
      <c r="A2067">
        <v>2001</v>
      </c>
      <c r="B2067" s="140" t="s">
        <v>129</v>
      </c>
      <c r="C2067" s="140" t="s">
        <v>20</v>
      </c>
      <c r="D2067" s="140" t="s">
        <v>11</v>
      </c>
      <c r="E2067" s="140" t="s">
        <v>12</v>
      </c>
      <c r="F2067">
        <v>6684</v>
      </c>
      <c r="G2067" s="140" t="s">
        <v>278</v>
      </c>
      <c r="H2067">
        <v>0</v>
      </c>
      <c r="I2067" s="140" t="s">
        <v>17</v>
      </c>
    </row>
    <row r="2068" spans="1:9" hidden="1" x14ac:dyDescent="0.25">
      <c r="A2068">
        <v>2002</v>
      </c>
      <c r="B2068" s="140" t="s">
        <v>129</v>
      </c>
      <c r="C2068" s="140" t="s">
        <v>20</v>
      </c>
      <c r="D2068" s="140" t="s">
        <v>11</v>
      </c>
      <c r="E2068" s="140" t="s">
        <v>12</v>
      </c>
      <c r="F2068">
        <v>7436</v>
      </c>
      <c r="G2068" s="140" t="s">
        <v>278</v>
      </c>
      <c r="H2068">
        <v>0</v>
      </c>
      <c r="I2068" s="140" t="s">
        <v>17</v>
      </c>
    </row>
    <row r="2069" spans="1:9" hidden="1" x14ac:dyDescent="0.25">
      <c r="A2069">
        <v>2003</v>
      </c>
      <c r="B2069" s="140" t="s">
        <v>129</v>
      </c>
      <c r="C2069" s="140" t="s">
        <v>20</v>
      </c>
      <c r="D2069" s="140" t="s">
        <v>11</v>
      </c>
      <c r="E2069" s="140" t="s">
        <v>12</v>
      </c>
      <c r="F2069">
        <v>7917</v>
      </c>
      <c r="G2069" s="140" t="s">
        <v>278</v>
      </c>
      <c r="H2069">
        <v>0</v>
      </c>
      <c r="I2069" s="140" t="s">
        <v>17</v>
      </c>
    </row>
    <row r="2070" spans="1:9" hidden="1" x14ac:dyDescent="0.25">
      <c r="A2070">
        <v>2004</v>
      </c>
      <c r="B2070" s="140" t="s">
        <v>129</v>
      </c>
      <c r="C2070" s="140" t="s">
        <v>20</v>
      </c>
      <c r="D2070" s="140" t="s">
        <v>11</v>
      </c>
      <c r="E2070" s="140" t="s">
        <v>12</v>
      </c>
      <c r="F2070">
        <v>8151</v>
      </c>
      <c r="G2070" s="140" t="s">
        <v>278</v>
      </c>
      <c r="H2070">
        <v>0</v>
      </c>
      <c r="I2070" s="140" t="s">
        <v>17</v>
      </c>
    </row>
    <row r="2071" spans="1:9" hidden="1" x14ac:dyDescent="0.25">
      <c r="A2071">
        <v>2005</v>
      </c>
      <c r="B2071" s="140" t="s">
        <v>129</v>
      </c>
      <c r="C2071" s="140" t="s">
        <v>20</v>
      </c>
      <c r="D2071" s="140" t="s">
        <v>11</v>
      </c>
      <c r="E2071" s="140" t="s">
        <v>12</v>
      </c>
      <c r="F2071">
        <v>7507</v>
      </c>
      <c r="G2071" s="140" t="s">
        <v>278</v>
      </c>
      <c r="H2071">
        <v>0</v>
      </c>
      <c r="I2071" s="140" t="s">
        <v>17</v>
      </c>
    </row>
    <row r="2072" spans="1:9" hidden="1" x14ac:dyDescent="0.25">
      <c r="A2072">
        <v>2006</v>
      </c>
      <c r="B2072" s="140" t="s">
        <v>129</v>
      </c>
      <c r="C2072" s="140" t="s">
        <v>20</v>
      </c>
      <c r="D2072" s="140" t="s">
        <v>11</v>
      </c>
      <c r="E2072" s="140" t="s">
        <v>12</v>
      </c>
      <c r="F2072">
        <v>7076</v>
      </c>
      <c r="G2072" s="140" t="s">
        <v>278</v>
      </c>
      <c r="H2072">
        <v>0</v>
      </c>
      <c r="I2072" s="140" t="s">
        <v>17</v>
      </c>
    </row>
    <row r="2073" spans="1:9" hidden="1" x14ac:dyDescent="0.25">
      <c r="A2073">
        <v>2007</v>
      </c>
      <c r="B2073" s="140" t="s">
        <v>129</v>
      </c>
      <c r="C2073" s="140" t="s">
        <v>20</v>
      </c>
      <c r="D2073" s="140" t="s">
        <v>11</v>
      </c>
      <c r="E2073" s="140" t="s">
        <v>12</v>
      </c>
      <c r="F2073">
        <v>7612</v>
      </c>
      <c r="G2073" s="140" t="s">
        <v>278</v>
      </c>
      <c r="H2073">
        <v>0</v>
      </c>
      <c r="I2073" s="140" t="s">
        <v>17</v>
      </c>
    </row>
    <row r="2074" spans="1:9" hidden="1" x14ac:dyDescent="0.25">
      <c r="A2074">
        <v>2008</v>
      </c>
      <c r="B2074" s="140" t="s">
        <v>129</v>
      </c>
      <c r="C2074" s="140" t="s">
        <v>20</v>
      </c>
      <c r="D2074" s="140" t="s">
        <v>11</v>
      </c>
      <c r="E2074" s="140" t="s">
        <v>12</v>
      </c>
      <c r="F2074">
        <v>7690</v>
      </c>
      <c r="G2074" s="140" t="s">
        <v>278</v>
      </c>
      <c r="H2074">
        <v>0</v>
      </c>
      <c r="I2074" s="140" t="s">
        <v>17</v>
      </c>
    </row>
    <row r="2075" spans="1:9" hidden="1" x14ac:dyDescent="0.25">
      <c r="A2075">
        <v>2009</v>
      </c>
      <c r="B2075" s="140" t="s">
        <v>129</v>
      </c>
      <c r="C2075" s="140" t="s">
        <v>20</v>
      </c>
      <c r="D2075" s="140" t="s">
        <v>11</v>
      </c>
      <c r="E2075" s="140" t="s">
        <v>12</v>
      </c>
      <c r="F2075">
        <v>7835</v>
      </c>
      <c r="G2075" s="140" t="s">
        <v>278</v>
      </c>
      <c r="H2075">
        <v>0</v>
      </c>
      <c r="I2075" s="140" t="s">
        <v>17</v>
      </c>
    </row>
    <row r="2076" spans="1:9" hidden="1" x14ac:dyDescent="0.25">
      <c r="A2076">
        <v>2010</v>
      </c>
      <c r="B2076" s="140" t="s">
        <v>129</v>
      </c>
      <c r="C2076" s="140" t="s">
        <v>20</v>
      </c>
      <c r="D2076" s="140" t="s">
        <v>11</v>
      </c>
      <c r="E2076" s="140" t="s">
        <v>12</v>
      </c>
      <c r="F2076">
        <v>7589</v>
      </c>
      <c r="G2076" s="140" t="s">
        <v>278</v>
      </c>
      <c r="H2076">
        <v>0</v>
      </c>
      <c r="I2076" s="140" t="s">
        <v>17</v>
      </c>
    </row>
    <row r="2077" spans="1:9" hidden="1" x14ac:dyDescent="0.25">
      <c r="A2077">
        <v>2011</v>
      </c>
      <c r="B2077" s="140" t="s">
        <v>129</v>
      </c>
      <c r="C2077" s="140" t="s">
        <v>20</v>
      </c>
      <c r="D2077" s="140" t="s">
        <v>11</v>
      </c>
      <c r="E2077" s="140" t="s">
        <v>12</v>
      </c>
      <c r="F2077">
        <v>7982</v>
      </c>
      <c r="G2077" s="140" t="s">
        <v>278</v>
      </c>
      <c r="H2077">
        <v>0</v>
      </c>
      <c r="I2077" s="140" t="s">
        <v>17</v>
      </c>
    </row>
    <row r="2078" spans="1:9" hidden="1" x14ac:dyDescent="0.25">
      <c r="A2078">
        <v>2012</v>
      </c>
      <c r="B2078" s="140" t="s">
        <v>129</v>
      </c>
      <c r="C2078" s="140" t="s">
        <v>20</v>
      </c>
      <c r="D2078" s="140" t="s">
        <v>11</v>
      </c>
      <c r="E2078" s="140" t="s">
        <v>12</v>
      </c>
      <c r="F2078">
        <v>8328</v>
      </c>
      <c r="G2078" s="140" t="s">
        <v>278</v>
      </c>
      <c r="H2078">
        <v>0</v>
      </c>
      <c r="I2078" s="140" t="s">
        <v>17</v>
      </c>
    </row>
    <row r="2079" spans="1:9" hidden="1" x14ac:dyDescent="0.25">
      <c r="A2079">
        <v>2013</v>
      </c>
      <c r="B2079" s="140" t="s">
        <v>129</v>
      </c>
      <c r="C2079" s="140" t="s">
        <v>20</v>
      </c>
      <c r="D2079" s="140" t="s">
        <v>11</v>
      </c>
      <c r="E2079" s="140" t="s">
        <v>12</v>
      </c>
      <c r="F2079">
        <v>8578</v>
      </c>
      <c r="G2079" s="140" t="s">
        <v>278</v>
      </c>
      <c r="H2079">
        <v>0</v>
      </c>
      <c r="I2079" s="140" t="s">
        <v>17</v>
      </c>
    </row>
    <row r="2080" spans="1:9" hidden="1" x14ac:dyDescent="0.25">
      <c r="A2080">
        <v>2014</v>
      </c>
      <c r="B2080" s="140" t="s">
        <v>129</v>
      </c>
      <c r="C2080" s="140" t="s">
        <v>20</v>
      </c>
      <c r="D2080" s="140" t="s">
        <v>11</v>
      </c>
      <c r="E2080" s="140" t="s">
        <v>12</v>
      </c>
      <c r="F2080">
        <v>8672</v>
      </c>
      <c r="G2080" s="140" t="s">
        <v>278</v>
      </c>
      <c r="H2080">
        <v>0</v>
      </c>
      <c r="I2080" s="140" t="s">
        <v>17</v>
      </c>
    </row>
    <row r="2081" spans="1:9" hidden="1" x14ac:dyDescent="0.25">
      <c r="A2081">
        <v>2015</v>
      </c>
      <c r="B2081" s="140" t="s">
        <v>129</v>
      </c>
      <c r="C2081" s="140" t="s">
        <v>20</v>
      </c>
      <c r="D2081" s="140" t="s">
        <v>11</v>
      </c>
      <c r="E2081" s="140" t="s">
        <v>12</v>
      </c>
      <c r="F2081">
        <v>7908</v>
      </c>
      <c r="G2081" s="140" t="s">
        <v>278</v>
      </c>
      <c r="H2081">
        <v>0</v>
      </c>
      <c r="I2081" s="140" t="s">
        <v>17</v>
      </c>
    </row>
    <row r="2082" spans="1:9" hidden="1" x14ac:dyDescent="0.25">
      <c r="A2082">
        <v>2016</v>
      </c>
      <c r="B2082" s="140" t="s">
        <v>129</v>
      </c>
      <c r="C2082" s="140" t="s">
        <v>20</v>
      </c>
      <c r="D2082" s="140" t="s">
        <v>11</v>
      </c>
      <c r="E2082" s="140" t="s">
        <v>12</v>
      </c>
      <c r="F2082">
        <v>8967</v>
      </c>
      <c r="G2082" s="140" t="s">
        <v>278</v>
      </c>
      <c r="H2082">
        <v>0</v>
      </c>
      <c r="I2082" s="140" t="s">
        <v>17</v>
      </c>
    </row>
    <row r="2083" spans="1:9" hidden="1" x14ac:dyDescent="0.25">
      <c r="A2083">
        <v>2017</v>
      </c>
      <c r="B2083" s="140" t="s">
        <v>129</v>
      </c>
      <c r="C2083" s="140" t="s">
        <v>20</v>
      </c>
      <c r="D2083" s="140" t="s">
        <v>11</v>
      </c>
      <c r="E2083" s="140" t="s">
        <v>12</v>
      </c>
      <c r="F2083">
        <v>9009</v>
      </c>
      <c r="G2083" s="140" t="s">
        <v>278</v>
      </c>
      <c r="H2083">
        <v>0</v>
      </c>
      <c r="I2083" s="140" t="s">
        <v>17</v>
      </c>
    </row>
    <row r="2084" spans="1:9" hidden="1" x14ac:dyDescent="0.25">
      <c r="A2084">
        <v>2018</v>
      </c>
      <c r="B2084" s="140" t="s">
        <v>129</v>
      </c>
      <c r="C2084" s="140" t="s">
        <v>20</v>
      </c>
      <c r="D2084" s="140" t="s">
        <v>11</v>
      </c>
      <c r="E2084" s="140" t="s">
        <v>12</v>
      </c>
      <c r="F2084">
        <v>9566</v>
      </c>
      <c r="G2084" s="140" t="s">
        <v>278</v>
      </c>
      <c r="H2084">
        <v>0</v>
      </c>
      <c r="I2084" s="140" t="s">
        <v>17</v>
      </c>
    </row>
    <row r="2085" spans="1:9" hidden="1" x14ac:dyDescent="0.25">
      <c r="A2085">
        <v>2019</v>
      </c>
      <c r="B2085" s="140" t="s">
        <v>129</v>
      </c>
      <c r="C2085" s="140" t="s">
        <v>20</v>
      </c>
      <c r="D2085" s="140" t="s">
        <v>11</v>
      </c>
      <c r="E2085" s="140" t="s">
        <v>12</v>
      </c>
      <c r="F2085">
        <v>9794</v>
      </c>
      <c r="G2085" s="140" t="s">
        <v>278</v>
      </c>
      <c r="H2085">
        <v>0</v>
      </c>
      <c r="I2085" s="140" t="s">
        <v>17</v>
      </c>
    </row>
    <row r="2086" spans="1:9" hidden="1" x14ac:dyDescent="0.25">
      <c r="A2086">
        <v>2020</v>
      </c>
      <c r="B2086" s="140" t="s">
        <v>129</v>
      </c>
      <c r="C2086" s="140" t="s">
        <v>20</v>
      </c>
      <c r="D2086" s="140" t="s">
        <v>11</v>
      </c>
      <c r="E2086" s="140" t="s">
        <v>12</v>
      </c>
      <c r="F2086">
        <v>10704</v>
      </c>
      <c r="G2086" s="140" t="s">
        <v>278</v>
      </c>
      <c r="H2086">
        <v>0</v>
      </c>
      <c r="I2086" s="140" t="s">
        <v>17</v>
      </c>
    </row>
    <row r="2087" spans="1:9" hidden="1" x14ac:dyDescent="0.25">
      <c r="A2087">
        <v>2021</v>
      </c>
      <c r="B2087" s="140" t="s">
        <v>129</v>
      </c>
      <c r="C2087" s="140" t="s">
        <v>20</v>
      </c>
      <c r="D2087" s="140" t="s">
        <v>11</v>
      </c>
      <c r="E2087" s="140" t="s">
        <v>12</v>
      </c>
      <c r="F2087">
        <v>9467</v>
      </c>
      <c r="G2087" s="140" t="s">
        <v>278</v>
      </c>
      <c r="H2087">
        <v>0</v>
      </c>
      <c r="I2087" s="140" t="s">
        <v>17</v>
      </c>
    </row>
    <row r="2088" spans="1:9" hidden="1" x14ac:dyDescent="0.25">
      <c r="A2088">
        <v>2022</v>
      </c>
      <c r="B2088" s="140" t="s">
        <v>129</v>
      </c>
      <c r="C2088" s="140" t="s">
        <v>20</v>
      </c>
      <c r="D2088" s="140" t="s">
        <v>11</v>
      </c>
      <c r="E2088" s="140" t="s">
        <v>12</v>
      </c>
      <c r="F2088">
        <v>9372</v>
      </c>
      <c r="G2088" s="140" t="s">
        <v>278</v>
      </c>
      <c r="H2088">
        <v>0</v>
      </c>
      <c r="I2088" s="140" t="s">
        <v>17</v>
      </c>
    </row>
    <row r="2089" spans="1:9" hidden="1" x14ac:dyDescent="0.25">
      <c r="A2089">
        <v>2023</v>
      </c>
      <c r="B2089" s="140" t="s">
        <v>129</v>
      </c>
      <c r="C2089" s="140" t="s">
        <v>20</v>
      </c>
      <c r="D2089" s="140" t="s">
        <v>11</v>
      </c>
      <c r="E2089" s="140" t="s">
        <v>12</v>
      </c>
      <c r="F2089">
        <v>8998</v>
      </c>
      <c r="G2089" s="140" t="s">
        <v>278</v>
      </c>
      <c r="H2089">
        <v>0</v>
      </c>
      <c r="I2089" s="140" t="s">
        <v>17</v>
      </c>
    </row>
    <row r="2090" spans="1:9" hidden="1" x14ac:dyDescent="0.25">
      <c r="A2090">
        <v>2024</v>
      </c>
      <c r="B2090" s="140" t="s">
        <v>129</v>
      </c>
      <c r="C2090" s="140" t="s">
        <v>20</v>
      </c>
      <c r="D2090" s="140" t="s">
        <v>11</v>
      </c>
      <c r="E2090" s="140" t="s">
        <v>12</v>
      </c>
      <c r="F2090">
        <v>10006</v>
      </c>
      <c r="G2090" s="140" t="s">
        <v>278</v>
      </c>
      <c r="H2090">
        <v>0</v>
      </c>
      <c r="I2090" s="140" t="s">
        <v>17</v>
      </c>
    </row>
    <row r="2091" spans="1:9" hidden="1" x14ac:dyDescent="0.25">
      <c r="A2091">
        <v>2025</v>
      </c>
      <c r="B2091" s="140" t="s">
        <v>129</v>
      </c>
      <c r="C2091" s="140" t="s">
        <v>20</v>
      </c>
      <c r="D2091" s="140" t="s">
        <v>11</v>
      </c>
      <c r="E2091" s="140" t="s">
        <v>12</v>
      </c>
      <c r="F2091">
        <v>10309</v>
      </c>
      <c r="G2091" s="140" t="s">
        <v>278</v>
      </c>
      <c r="H2091">
        <v>0</v>
      </c>
      <c r="I2091" s="140" t="s">
        <v>17</v>
      </c>
    </row>
    <row r="2092" spans="1:9" hidden="1" x14ac:dyDescent="0.25">
      <c r="A2092">
        <v>2026</v>
      </c>
      <c r="B2092" s="140" t="s">
        <v>129</v>
      </c>
      <c r="C2092" s="140" t="s">
        <v>20</v>
      </c>
      <c r="D2092" s="140" t="s">
        <v>11</v>
      </c>
      <c r="E2092" s="140" t="s">
        <v>12</v>
      </c>
      <c r="F2092">
        <v>12338.55013</v>
      </c>
      <c r="G2092" s="140" t="s">
        <v>278</v>
      </c>
      <c r="H2092">
        <v>0</v>
      </c>
      <c r="I2092" s="140" t="s">
        <v>17</v>
      </c>
    </row>
    <row r="2093" spans="1:9" hidden="1" x14ac:dyDescent="0.25">
      <c r="A2093">
        <v>2027</v>
      </c>
      <c r="B2093" s="140" t="s">
        <v>129</v>
      </c>
      <c r="C2093" s="140" t="s">
        <v>20</v>
      </c>
      <c r="D2093" s="140" t="s">
        <v>11</v>
      </c>
      <c r="E2093" s="140" t="s">
        <v>12</v>
      </c>
      <c r="F2093">
        <v>12451.969010000001</v>
      </c>
      <c r="G2093" s="140" t="s">
        <v>278</v>
      </c>
      <c r="H2093">
        <v>0</v>
      </c>
      <c r="I2093" s="140" t="s">
        <v>17</v>
      </c>
    </row>
    <row r="2094" spans="1:9" hidden="1" x14ac:dyDescent="0.25">
      <c r="A2094">
        <v>2028</v>
      </c>
      <c r="B2094" s="140" t="s">
        <v>129</v>
      </c>
      <c r="C2094" s="140" t="s">
        <v>20</v>
      </c>
      <c r="D2094" s="140" t="s">
        <v>11</v>
      </c>
      <c r="E2094" s="140" t="s">
        <v>12</v>
      </c>
      <c r="F2094">
        <v>12578.976629999999</v>
      </c>
      <c r="G2094" s="140" t="s">
        <v>278</v>
      </c>
      <c r="H2094">
        <v>0</v>
      </c>
      <c r="I2094" s="140" t="s">
        <v>17</v>
      </c>
    </row>
    <row r="2095" spans="1:9" hidden="1" x14ac:dyDescent="0.25">
      <c r="A2095">
        <v>2029</v>
      </c>
      <c r="B2095" s="140" t="s">
        <v>129</v>
      </c>
      <c r="C2095" s="140" t="s">
        <v>20</v>
      </c>
      <c r="D2095" s="140" t="s">
        <v>11</v>
      </c>
      <c r="E2095" s="140" t="s">
        <v>12</v>
      </c>
      <c r="F2095">
        <v>12931.096170000001</v>
      </c>
      <c r="G2095" s="140" t="s">
        <v>278</v>
      </c>
      <c r="H2095">
        <v>0</v>
      </c>
      <c r="I2095" s="140" t="s">
        <v>17</v>
      </c>
    </row>
    <row r="2096" spans="1:9" hidden="1" x14ac:dyDescent="0.25">
      <c r="A2096">
        <v>2030</v>
      </c>
      <c r="B2096" s="140" t="s">
        <v>129</v>
      </c>
      <c r="C2096" s="140" t="s">
        <v>20</v>
      </c>
      <c r="D2096" s="140" t="s">
        <v>11</v>
      </c>
      <c r="E2096" s="140" t="s">
        <v>12</v>
      </c>
      <c r="F2096">
        <v>12897.714250000001</v>
      </c>
      <c r="G2096" s="140" t="s">
        <v>278</v>
      </c>
      <c r="H2096">
        <v>0</v>
      </c>
      <c r="I2096" s="140" t="s">
        <v>17</v>
      </c>
    </row>
    <row r="2097" spans="1:9" hidden="1" x14ac:dyDescent="0.25">
      <c r="A2097">
        <v>1990</v>
      </c>
      <c r="B2097" s="140" t="s">
        <v>131</v>
      </c>
      <c r="C2097" s="140" t="s">
        <v>19</v>
      </c>
      <c r="D2097" s="140" t="s">
        <v>11</v>
      </c>
      <c r="E2097" s="140" t="s">
        <v>12</v>
      </c>
      <c r="F2097">
        <v>418</v>
      </c>
      <c r="G2097" s="140" t="s">
        <v>285</v>
      </c>
      <c r="H2097">
        <v>0</v>
      </c>
      <c r="I2097" s="140" t="s">
        <v>17</v>
      </c>
    </row>
    <row r="2098" spans="1:9" hidden="1" x14ac:dyDescent="0.25">
      <c r="A2098">
        <v>1991</v>
      </c>
      <c r="B2098" s="140" t="s">
        <v>131</v>
      </c>
      <c r="C2098" s="140" t="s">
        <v>19</v>
      </c>
      <c r="D2098" s="140" t="s">
        <v>11</v>
      </c>
      <c r="E2098" s="140" t="s">
        <v>12</v>
      </c>
      <c r="F2098">
        <v>-1549</v>
      </c>
      <c r="G2098" s="140" t="s">
        <v>285</v>
      </c>
      <c r="H2098">
        <v>0</v>
      </c>
      <c r="I2098" s="140" t="s">
        <v>17</v>
      </c>
    </row>
    <row r="2099" spans="1:9" hidden="1" x14ac:dyDescent="0.25">
      <c r="A2099">
        <v>1992</v>
      </c>
      <c r="B2099" s="140" t="s">
        <v>131</v>
      </c>
      <c r="C2099" s="140" t="s">
        <v>19</v>
      </c>
      <c r="D2099" s="140" t="s">
        <v>11</v>
      </c>
      <c r="E2099" s="140" t="s">
        <v>12</v>
      </c>
      <c r="F2099">
        <v>-978</v>
      </c>
      <c r="G2099" s="140" t="s">
        <v>285</v>
      </c>
      <c r="H2099">
        <v>0</v>
      </c>
      <c r="I2099" s="140" t="s">
        <v>17</v>
      </c>
    </row>
    <row r="2100" spans="1:9" hidden="1" x14ac:dyDescent="0.25">
      <c r="A2100">
        <v>1993</v>
      </c>
      <c r="B2100" s="140" t="s">
        <v>131</v>
      </c>
      <c r="C2100" s="140" t="s">
        <v>19</v>
      </c>
      <c r="D2100" s="140" t="s">
        <v>11</v>
      </c>
      <c r="E2100" s="140" t="s">
        <v>12</v>
      </c>
      <c r="F2100">
        <v>-485</v>
      </c>
      <c r="G2100" s="140" t="s">
        <v>285</v>
      </c>
      <c r="H2100">
        <v>0</v>
      </c>
      <c r="I2100" s="140" t="s">
        <v>17</v>
      </c>
    </row>
    <row r="2101" spans="1:9" hidden="1" x14ac:dyDescent="0.25">
      <c r="A2101">
        <v>1994</v>
      </c>
      <c r="B2101" s="140" t="s">
        <v>131</v>
      </c>
      <c r="C2101" s="140" t="s">
        <v>19</v>
      </c>
      <c r="D2101" s="140" t="s">
        <v>11</v>
      </c>
      <c r="E2101" s="140" t="s">
        <v>12</v>
      </c>
      <c r="F2101">
        <v>1006</v>
      </c>
      <c r="G2101" s="140" t="s">
        <v>285</v>
      </c>
      <c r="H2101">
        <v>0</v>
      </c>
      <c r="I2101" s="140" t="s">
        <v>17</v>
      </c>
    </row>
    <row r="2102" spans="1:9" hidden="1" x14ac:dyDescent="0.25">
      <c r="A2102">
        <v>1995</v>
      </c>
      <c r="B2102" s="140" t="s">
        <v>131</v>
      </c>
      <c r="C2102" s="140" t="s">
        <v>19</v>
      </c>
      <c r="D2102" s="140" t="s">
        <v>11</v>
      </c>
      <c r="E2102" s="140" t="s">
        <v>12</v>
      </c>
      <c r="F2102">
        <v>993</v>
      </c>
      <c r="G2102" s="140" t="s">
        <v>285</v>
      </c>
      <c r="H2102">
        <v>0</v>
      </c>
      <c r="I2102" s="140" t="s">
        <v>17</v>
      </c>
    </row>
    <row r="2103" spans="1:9" hidden="1" x14ac:dyDescent="0.25">
      <c r="A2103">
        <v>1996</v>
      </c>
      <c r="B2103" s="140" t="s">
        <v>131</v>
      </c>
      <c r="C2103" s="140" t="s">
        <v>19</v>
      </c>
      <c r="D2103" s="140" t="s">
        <v>11</v>
      </c>
      <c r="E2103" s="140" t="s">
        <v>12</v>
      </c>
      <c r="F2103">
        <v>-328</v>
      </c>
      <c r="G2103" s="140" t="s">
        <v>285</v>
      </c>
      <c r="H2103">
        <v>0</v>
      </c>
      <c r="I2103" s="140" t="s">
        <v>17</v>
      </c>
    </row>
    <row r="2104" spans="1:9" hidden="1" x14ac:dyDescent="0.25">
      <c r="A2104">
        <v>1997</v>
      </c>
      <c r="B2104" s="140" t="s">
        <v>131</v>
      </c>
      <c r="C2104" s="140" t="s">
        <v>19</v>
      </c>
      <c r="D2104" s="140" t="s">
        <v>11</v>
      </c>
      <c r="E2104" s="140" t="s">
        <v>12</v>
      </c>
      <c r="F2104">
        <v>376</v>
      </c>
      <c r="G2104" s="140" t="s">
        <v>285</v>
      </c>
      <c r="H2104">
        <v>0</v>
      </c>
      <c r="I2104" s="140" t="s">
        <v>17</v>
      </c>
    </row>
    <row r="2105" spans="1:9" hidden="1" x14ac:dyDescent="0.25">
      <c r="A2105">
        <v>1998</v>
      </c>
      <c r="B2105" s="140" t="s">
        <v>131</v>
      </c>
      <c r="C2105" s="140" t="s">
        <v>19</v>
      </c>
      <c r="D2105" s="140" t="s">
        <v>11</v>
      </c>
      <c r="E2105" s="140" t="s">
        <v>12</v>
      </c>
      <c r="F2105">
        <v>905</v>
      </c>
      <c r="G2105" s="140" t="s">
        <v>285</v>
      </c>
      <c r="H2105">
        <v>0</v>
      </c>
      <c r="I2105" s="140" t="s">
        <v>17</v>
      </c>
    </row>
    <row r="2106" spans="1:9" hidden="1" x14ac:dyDescent="0.25">
      <c r="A2106">
        <v>1999</v>
      </c>
      <c r="B2106" s="140" t="s">
        <v>131</v>
      </c>
      <c r="C2106" s="140" t="s">
        <v>19</v>
      </c>
      <c r="D2106" s="140" t="s">
        <v>11</v>
      </c>
      <c r="E2106" s="140" t="s">
        <v>12</v>
      </c>
      <c r="F2106">
        <v>-113</v>
      </c>
      <c r="G2106" s="140" t="s">
        <v>285</v>
      </c>
      <c r="H2106">
        <v>0</v>
      </c>
      <c r="I2106" s="140" t="s">
        <v>17</v>
      </c>
    </row>
    <row r="2107" spans="1:9" hidden="1" x14ac:dyDescent="0.25">
      <c r="A2107">
        <v>2000</v>
      </c>
      <c r="B2107" s="140" t="s">
        <v>131</v>
      </c>
      <c r="C2107" s="140" t="s">
        <v>19</v>
      </c>
      <c r="D2107" s="140" t="s">
        <v>11</v>
      </c>
      <c r="E2107" s="140" t="s">
        <v>12</v>
      </c>
      <c r="F2107">
        <v>1034</v>
      </c>
      <c r="G2107" s="140" t="s">
        <v>285</v>
      </c>
      <c r="H2107">
        <v>0</v>
      </c>
      <c r="I2107" s="140" t="s">
        <v>17</v>
      </c>
    </row>
    <row r="2108" spans="1:9" hidden="1" x14ac:dyDescent="0.25">
      <c r="A2108">
        <v>2001</v>
      </c>
      <c r="B2108" s="140" t="s">
        <v>131</v>
      </c>
      <c r="C2108" s="140" t="s">
        <v>19</v>
      </c>
      <c r="D2108" s="140" t="s">
        <v>11</v>
      </c>
      <c r="E2108" s="140" t="s">
        <v>12</v>
      </c>
      <c r="F2108">
        <v>371</v>
      </c>
      <c r="G2108" s="140" t="s">
        <v>285</v>
      </c>
      <c r="H2108">
        <v>0</v>
      </c>
      <c r="I2108" s="140" t="s">
        <v>17</v>
      </c>
    </row>
    <row r="2109" spans="1:9" hidden="1" x14ac:dyDescent="0.25">
      <c r="A2109">
        <v>2002</v>
      </c>
      <c r="B2109" s="140" t="s">
        <v>131</v>
      </c>
      <c r="C2109" s="140" t="s">
        <v>19</v>
      </c>
      <c r="D2109" s="140" t="s">
        <v>11</v>
      </c>
      <c r="E2109" s="140" t="s">
        <v>12</v>
      </c>
      <c r="F2109">
        <v>605</v>
      </c>
      <c r="G2109" s="140" t="s">
        <v>285</v>
      </c>
      <c r="H2109">
        <v>0</v>
      </c>
      <c r="I2109" s="140" t="s">
        <v>17</v>
      </c>
    </row>
    <row r="2110" spans="1:9" hidden="1" x14ac:dyDescent="0.25">
      <c r="A2110">
        <v>2003</v>
      </c>
      <c r="B2110" s="140" t="s">
        <v>131</v>
      </c>
      <c r="C2110" s="140" t="s">
        <v>19</v>
      </c>
      <c r="D2110" s="140" t="s">
        <v>11</v>
      </c>
      <c r="E2110" s="140" t="s">
        <v>12</v>
      </c>
      <c r="F2110">
        <v>607</v>
      </c>
      <c r="G2110" s="140" t="s">
        <v>285</v>
      </c>
      <c r="H2110">
        <v>0</v>
      </c>
      <c r="I2110" s="140" t="s">
        <v>17</v>
      </c>
    </row>
    <row r="2111" spans="1:9" hidden="1" x14ac:dyDescent="0.25">
      <c r="A2111">
        <v>2004</v>
      </c>
      <c r="B2111" s="140" t="s">
        <v>131</v>
      </c>
      <c r="C2111" s="140" t="s">
        <v>19</v>
      </c>
      <c r="D2111" s="140" t="s">
        <v>11</v>
      </c>
      <c r="E2111" s="140" t="s">
        <v>12</v>
      </c>
      <c r="F2111">
        <v>906</v>
      </c>
      <c r="G2111" s="140" t="s">
        <v>285</v>
      </c>
      <c r="H2111">
        <v>0</v>
      </c>
      <c r="I2111" s="140" t="s">
        <v>17</v>
      </c>
    </row>
    <row r="2112" spans="1:9" hidden="1" x14ac:dyDescent="0.25">
      <c r="A2112">
        <v>2005</v>
      </c>
      <c r="B2112" s="140" t="s">
        <v>131</v>
      </c>
      <c r="C2112" s="140" t="s">
        <v>19</v>
      </c>
      <c r="D2112" s="140" t="s">
        <v>11</v>
      </c>
      <c r="E2112" s="140" t="s">
        <v>12</v>
      </c>
      <c r="F2112">
        <v>2701</v>
      </c>
      <c r="G2112" s="140" t="s">
        <v>285</v>
      </c>
      <c r="H2112">
        <v>0</v>
      </c>
      <c r="I2112" s="140" t="s">
        <v>17</v>
      </c>
    </row>
    <row r="2113" spans="1:9" hidden="1" x14ac:dyDescent="0.25">
      <c r="A2113">
        <v>2006</v>
      </c>
      <c r="B2113" s="140" t="s">
        <v>131</v>
      </c>
      <c r="C2113" s="140" t="s">
        <v>19</v>
      </c>
      <c r="D2113" s="140" t="s">
        <v>11</v>
      </c>
      <c r="E2113" s="140" t="s">
        <v>12</v>
      </c>
      <c r="F2113">
        <v>2065</v>
      </c>
      <c r="G2113" s="140" t="s">
        <v>285</v>
      </c>
      <c r="H2113">
        <v>0</v>
      </c>
      <c r="I2113" s="140" t="s">
        <v>17</v>
      </c>
    </row>
    <row r="2114" spans="1:9" hidden="1" x14ac:dyDescent="0.25">
      <c r="A2114">
        <v>2007</v>
      </c>
      <c r="B2114" s="140" t="s">
        <v>131</v>
      </c>
      <c r="C2114" s="140" t="s">
        <v>19</v>
      </c>
      <c r="D2114" s="140" t="s">
        <v>11</v>
      </c>
      <c r="E2114" s="140" t="s">
        <v>12</v>
      </c>
      <c r="F2114">
        <v>2471</v>
      </c>
      <c r="G2114" s="140" t="s">
        <v>285</v>
      </c>
      <c r="H2114">
        <v>0</v>
      </c>
      <c r="I2114" s="140" t="s">
        <v>17</v>
      </c>
    </row>
    <row r="2115" spans="1:9" hidden="1" x14ac:dyDescent="0.25">
      <c r="A2115">
        <v>2008</v>
      </c>
      <c r="B2115" s="140" t="s">
        <v>131</v>
      </c>
      <c r="C2115" s="140" t="s">
        <v>19</v>
      </c>
      <c r="D2115" s="140" t="s">
        <v>11</v>
      </c>
      <c r="E2115" s="140" t="s">
        <v>12</v>
      </c>
      <c r="F2115">
        <v>1396</v>
      </c>
      <c r="G2115" s="140" t="s">
        <v>285</v>
      </c>
      <c r="H2115">
        <v>0</v>
      </c>
      <c r="I2115" s="140" t="s">
        <v>17</v>
      </c>
    </row>
    <row r="2116" spans="1:9" hidden="1" x14ac:dyDescent="0.25">
      <c r="A2116">
        <v>2009</v>
      </c>
      <c r="B2116" s="140" t="s">
        <v>131</v>
      </c>
      <c r="C2116" s="140" t="s">
        <v>19</v>
      </c>
      <c r="D2116" s="140" t="s">
        <v>11</v>
      </c>
      <c r="E2116" s="140" t="s">
        <v>12</v>
      </c>
      <c r="F2116">
        <v>-2761</v>
      </c>
      <c r="G2116" s="140" t="s">
        <v>285</v>
      </c>
      <c r="H2116">
        <v>0</v>
      </c>
      <c r="I2116" s="140" t="s">
        <v>17</v>
      </c>
    </row>
    <row r="2117" spans="1:9" hidden="1" x14ac:dyDescent="0.25">
      <c r="A2117">
        <v>2010</v>
      </c>
      <c r="B2117" s="140" t="s">
        <v>131</v>
      </c>
      <c r="C2117" s="140" t="s">
        <v>19</v>
      </c>
      <c r="D2117" s="140" t="s">
        <v>11</v>
      </c>
      <c r="E2117" s="140" t="s">
        <v>12</v>
      </c>
      <c r="F2117">
        <v>-468</v>
      </c>
      <c r="G2117" s="140" t="s">
        <v>285</v>
      </c>
      <c r="H2117">
        <v>0</v>
      </c>
      <c r="I2117" s="140" t="s">
        <v>17</v>
      </c>
    </row>
    <row r="2118" spans="1:9" hidden="1" x14ac:dyDescent="0.25">
      <c r="A2118">
        <v>2011</v>
      </c>
      <c r="B2118" s="140" t="s">
        <v>131</v>
      </c>
      <c r="C2118" s="140" t="s">
        <v>19</v>
      </c>
      <c r="D2118" s="140" t="s">
        <v>11</v>
      </c>
      <c r="E2118" s="140" t="s">
        <v>12</v>
      </c>
      <c r="F2118">
        <v>2755</v>
      </c>
      <c r="G2118" s="140" t="s">
        <v>285</v>
      </c>
      <c r="H2118">
        <v>0</v>
      </c>
      <c r="I2118" s="140" t="s">
        <v>17</v>
      </c>
    </row>
    <row r="2119" spans="1:9" hidden="1" x14ac:dyDescent="0.25">
      <c r="A2119">
        <v>2012</v>
      </c>
      <c r="B2119" s="140" t="s">
        <v>131</v>
      </c>
      <c r="C2119" s="140" t="s">
        <v>19</v>
      </c>
      <c r="D2119" s="140" t="s">
        <v>11</v>
      </c>
      <c r="E2119" s="140" t="s">
        <v>12</v>
      </c>
      <c r="F2119">
        <v>557</v>
      </c>
      <c r="G2119" s="140" t="s">
        <v>285</v>
      </c>
      <c r="H2119">
        <v>0</v>
      </c>
      <c r="I2119" s="140" t="s">
        <v>17</v>
      </c>
    </row>
    <row r="2120" spans="1:9" hidden="1" x14ac:dyDescent="0.25">
      <c r="A2120">
        <v>2013</v>
      </c>
      <c r="B2120" s="140" t="s">
        <v>131</v>
      </c>
      <c r="C2120" s="140" t="s">
        <v>19</v>
      </c>
      <c r="D2120" s="140" t="s">
        <v>11</v>
      </c>
      <c r="E2120" s="140" t="s">
        <v>12</v>
      </c>
      <c r="F2120">
        <v>596</v>
      </c>
      <c r="G2120" s="140" t="s">
        <v>285</v>
      </c>
      <c r="H2120">
        <v>0</v>
      </c>
      <c r="I2120" s="140" t="s">
        <v>17</v>
      </c>
    </row>
    <row r="2121" spans="1:9" hidden="1" x14ac:dyDescent="0.25">
      <c r="A2121">
        <v>2014</v>
      </c>
      <c r="B2121" s="140" t="s">
        <v>131</v>
      </c>
      <c r="C2121" s="140" t="s">
        <v>19</v>
      </c>
      <c r="D2121" s="140" t="s">
        <v>11</v>
      </c>
      <c r="E2121" s="140" t="s">
        <v>12</v>
      </c>
      <c r="F2121">
        <v>876</v>
      </c>
      <c r="G2121" s="140" t="s">
        <v>285</v>
      </c>
      <c r="H2121">
        <v>0</v>
      </c>
      <c r="I2121" s="140" t="s">
        <v>17</v>
      </c>
    </row>
    <row r="2122" spans="1:9" hidden="1" x14ac:dyDescent="0.25">
      <c r="A2122">
        <v>2015</v>
      </c>
      <c r="B2122" s="140" t="s">
        <v>131</v>
      </c>
      <c r="C2122" s="140" t="s">
        <v>19</v>
      </c>
      <c r="D2122" s="140" t="s">
        <v>11</v>
      </c>
      <c r="E2122" s="140" t="s">
        <v>12</v>
      </c>
      <c r="F2122">
        <v>963</v>
      </c>
      <c r="G2122" s="140" t="s">
        <v>285</v>
      </c>
      <c r="H2122">
        <v>0</v>
      </c>
      <c r="I2122" s="140" t="s">
        <v>17</v>
      </c>
    </row>
    <row r="2123" spans="1:9" hidden="1" x14ac:dyDescent="0.25">
      <c r="A2123">
        <v>2016</v>
      </c>
      <c r="B2123" s="140" t="s">
        <v>131</v>
      </c>
      <c r="C2123" s="140" t="s">
        <v>19</v>
      </c>
      <c r="D2123" s="140" t="s">
        <v>11</v>
      </c>
      <c r="E2123" s="140" t="s">
        <v>12</v>
      </c>
      <c r="F2123">
        <v>1079</v>
      </c>
      <c r="G2123" s="140" t="s">
        <v>285</v>
      </c>
      <c r="H2123">
        <v>0</v>
      </c>
      <c r="I2123" s="140" t="s">
        <v>17</v>
      </c>
    </row>
    <row r="2124" spans="1:9" hidden="1" x14ac:dyDescent="0.25">
      <c r="A2124">
        <v>2017</v>
      </c>
      <c r="B2124" s="140" t="s">
        <v>131</v>
      </c>
      <c r="C2124" s="140" t="s">
        <v>19</v>
      </c>
      <c r="D2124" s="140" t="s">
        <v>11</v>
      </c>
      <c r="E2124" s="140" t="s">
        <v>12</v>
      </c>
      <c r="F2124">
        <v>1327</v>
      </c>
      <c r="G2124" s="140" t="s">
        <v>285</v>
      </c>
      <c r="H2124">
        <v>0</v>
      </c>
      <c r="I2124" s="140" t="s">
        <v>17</v>
      </c>
    </row>
    <row r="2125" spans="1:9" hidden="1" x14ac:dyDescent="0.25">
      <c r="A2125">
        <v>2018</v>
      </c>
      <c r="B2125" s="140" t="s">
        <v>131</v>
      </c>
      <c r="C2125" s="140" t="s">
        <v>19</v>
      </c>
      <c r="D2125" s="140" t="s">
        <v>11</v>
      </c>
      <c r="E2125" s="140" t="s">
        <v>12</v>
      </c>
      <c r="F2125">
        <v>2549</v>
      </c>
      <c r="G2125" s="140" t="s">
        <v>285</v>
      </c>
      <c r="H2125">
        <v>0</v>
      </c>
      <c r="I2125" s="140" t="s">
        <v>17</v>
      </c>
    </row>
    <row r="2126" spans="1:9" hidden="1" x14ac:dyDescent="0.25">
      <c r="A2126">
        <v>2019</v>
      </c>
      <c r="B2126" s="140" t="s">
        <v>131</v>
      </c>
      <c r="C2126" s="140" t="s">
        <v>19</v>
      </c>
      <c r="D2126" s="140" t="s">
        <v>11</v>
      </c>
      <c r="E2126" s="140" t="s">
        <v>12</v>
      </c>
      <c r="F2126">
        <v>285</v>
      </c>
      <c r="G2126" s="140" t="s">
        <v>285</v>
      </c>
      <c r="H2126">
        <v>0</v>
      </c>
      <c r="I2126" s="140" t="s">
        <v>17</v>
      </c>
    </row>
    <row r="2127" spans="1:9" hidden="1" x14ac:dyDescent="0.25">
      <c r="A2127">
        <v>2020</v>
      </c>
      <c r="B2127" s="140" t="s">
        <v>131</v>
      </c>
      <c r="C2127" s="140" t="s">
        <v>19</v>
      </c>
      <c r="D2127" s="140" t="s">
        <v>11</v>
      </c>
      <c r="E2127" s="140" t="s">
        <v>12</v>
      </c>
      <c r="F2127">
        <v>701</v>
      </c>
      <c r="G2127" s="140" t="s">
        <v>285</v>
      </c>
      <c r="H2127">
        <v>0</v>
      </c>
      <c r="I2127" s="140" t="s">
        <v>17</v>
      </c>
    </row>
    <row r="2128" spans="1:9" hidden="1" x14ac:dyDescent="0.25">
      <c r="A2128">
        <v>2021</v>
      </c>
      <c r="B2128" s="140" t="s">
        <v>131</v>
      </c>
      <c r="C2128" s="140" t="s">
        <v>19</v>
      </c>
      <c r="D2128" s="140" t="s">
        <v>11</v>
      </c>
      <c r="E2128" s="140" t="s">
        <v>12</v>
      </c>
      <c r="F2128">
        <v>853</v>
      </c>
      <c r="G2128" s="140" t="s">
        <v>285</v>
      </c>
      <c r="H2128">
        <v>0</v>
      </c>
      <c r="I2128" s="140" t="s">
        <v>17</v>
      </c>
    </row>
    <row r="2129" spans="1:9" hidden="1" x14ac:dyDescent="0.25">
      <c r="A2129">
        <v>2022</v>
      </c>
      <c r="B2129" s="140" t="s">
        <v>131</v>
      </c>
      <c r="C2129" s="140" t="s">
        <v>19</v>
      </c>
      <c r="D2129" s="140" t="s">
        <v>11</v>
      </c>
      <c r="E2129" s="140" t="s">
        <v>12</v>
      </c>
      <c r="F2129">
        <v>6913</v>
      </c>
      <c r="G2129" s="140" t="s">
        <v>285</v>
      </c>
      <c r="H2129">
        <v>0</v>
      </c>
      <c r="I2129" s="140" t="s">
        <v>17</v>
      </c>
    </row>
    <row r="2130" spans="1:9" hidden="1" x14ac:dyDescent="0.25">
      <c r="A2130">
        <v>2023</v>
      </c>
      <c r="B2130" s="140" t="s">
        <v>131</v>
      </c>
      <c r="C2130" s="140" t="s">
        <v>19</v>
      </c>
      <c r="D2130" s="140" t="s">
        <v>11</v>
      </c>
      <c r="E2130" s="140" t="s">
        <v>12</v>
      </c>
      <c r="F2130">
        <v>-1096</v>
      </c>
      <c r="G2130" s="140" t="s">
        <v>285</v>
      </c>
      <c r="H2130">
        <v>0</v>
      </c>
      <c r="I2130" s="140" t="s">
        <v>17</v>
      </c>
    </row>
    <row r="2131" spans="1:9" hidden="1" x14ac:dyDescent="0.25">
      <c r="A2131">
        <v>2024</v>
      </c>
      <c r="B2131" s="140" t="s">
        <v>131</v>
      </c>
      <c r="C2131" s="140" t="s">
        <v>19</v>
      </c>
      <c r="D2131" s="140" t="s">
        <v>11</v>
      </c>
      <c r="E2131" s="140" t="s">
        <v>12</v>
      </c>
      <c r="F2131">
        <v>1484</v>
      </c>
      <c r="G2131" s="140" t="s">
        <v>285</v>
      </c>
      <c r="H2131">
        <v>0</v>
      </c>
      <c r="I2131" s="140" t="s">
        <v>17</v>
      </c>
    </row>
    <row r="2132" spans="1:9" hidden="1" x14ac:dyDescent="0.25">
      <c r="A2132">
        <v>2025</v>
      </c>
      <c r="B2132" s="140" t="s">
        <v>131</v>
      </c>
      <c r="C2132" s="140" t="s">
        <v>19</v>
      </c>
      <c r="D2132" s="140" t="s">
        <v>11</v>
      </c>
      <c r="E2132" s="140" t="s">
        <v>12</v>
      </c>
      <c r="F2132">
        <v>1538</v>
      </c>
      <c r="G2132" s="140" t="s">
        <v>285</v>
      </c>
      <c r="H2132">
        <v>0</v>
      </c>
      <c r="I2132" s="140" t="s">
        <v>17</v>
      </c>
    </row>
    <row r="2133" spans="1:9" hidden="1" x14ac:dyDescent="0.25">
      <c r="A2133">
        <v>2026</v>
      </c>
      <c r="B2133" s="140" t="s">
        <v>131</v>
      </c>
      <c r="C2133" s="140" t="s">
        <v>19</v>
      </c>
      <c r="D2133" s="140" t="s">
        <v>11</v>
      </c>
      <c r="E2133" s="140" t="s">
        <v>12</v>
      </c>
      <c r="F2133">
        <v>1894.2127290000001</v>
      </c>
      <c r="G2133" s="140" t="s">
        <v>285</v>
      </c>
      <c r="H2133">
        <v>0</v>
      </c>
      <c r="I2133" s="140" t="s">
        <v>17</v>
      </c>
    </row>
    <row r="2134" spans="1:9" hidden="1" x14ac:dyDescent="0.25">
      <c r="A2134">
        <v>2027</v>
      </c>
      <c r="B2134" s="140" t="s">
        <v>131</v>
      </c>
      <c r="C2134" s="140" t="s">
        <v>19</v>
      </c>
      <c r="D2134" s="140" t="s">
        <v>11</v>
      </c>
      <c r="E2134" s="140" t="s">
        <v>12</v>
      </c>
      <c r="F2134">
        <v>1506.787507</v>
      </c>
      <c r="G2134" s="140" t="s">
        <v>285</v>
      </c>
      <c r="H2134">
        <v>0</v>
      </c>
      <c r="I2134" s="140" t="s">
        <v>17</v>
      </c>
    </row>
    <row r="2135" spans="1:9" hidden="1" x14ac:dyDescent="0.25">
      <c r="A2135">
        <v>2028</v>
      </c>
      <c r="B2135" s="140" t="s">
        <v>131</v>
      </c>
      <c r="C2135" s="140" t="s">
        <v>19</v>
      </c>
      <c r="D2135" s="140" t="s">
        <v>11</v>
      </c>
      <c r="E2135" s="140" t="s">
        <v>12</v>
      </c>
      <c r="F2135">
        <v>1533.899578</v>
      </c>
      <c r="G2135" s="140" t="s">
        <v>285</v>
      </c>
      <c r="H2135">
        <v>0</v>
      </c>
      <c r="I2135" s="140" t="s">
        <v>17</v>
      </c>
    </row>
    <row r="2136" spans="1:9" hidden="1" x14ac:dyDescent="0.25">
      <c r="A2136">
        <v>1990</v>
      </c>
      <c r="B2136" s="140" t="s">
        <v>131</v>
      </c>
      <c r="C2136" s="140" t="s">
        <v>244</v>
      </c>
      <c r="D2136" s="140" t="s">
        <v>11</v>
      </c>
      <c r="E2136" s="140" t="s">
        <v>12</v>
      </c>
      <c r="F2136">
        <v>451</v>
      </c>
      <c r="G2136" s="140" t="s">
        <v>286</v>
      </c>
      <c r="H2136">
        <v>0</v>
      </c>
      <c r="I2136" s="140" t="s">
        <v>17</v>
      </c>
    </row>
    <row r="2137" spans="1:9" hidden="1" x14ac:dyDescent="0.25">
      <c r="A2137">
        <v>1991</v>
      </c>
      <c r="B2137" s="140" t="s">
        <v>131</v>
      </c>
      <c r="C2137" s="140" t="s">
        <v>244</v>
      </c>
      <c r="D2137" s="140" t="s">
        <v>11</v>
      </c>
      <c r="E2137" s="140" t="s">
        <v>12</v>
      </c>
      <c r="F2137">
        <v>-1411</v>
      </c>
      <c r="G2137" s="140" t="s">
        <v>286</v>
      </c>
      <c r="H2137">
        <v>0</v>
      </c>
      <c r="I2137" s="140" t="s">
        <v>17</v>
      </c>
    </row>
    <row r="2138" spans="1:9" hidden="1" x14ac:dyDescent="0.25">
      <c r="A2138">
        <v>1992</v>
      </c>
      <c r="B2138" s="140" t="s">
        <v>131</v>
      </c>
      <c r="C2138" s="140" t="s">
        <v>244</v>
      </c>
      <c r="D2138" s="140" t="s">
        <v>11</v>
      </c>
      <c r="E2138" s="140" t="s">
        <v>12</v>
      </c>
      <c r="F2138">
        <v>-875</v>
      </c>
      <c r="G2138" s="140" t="s">
        <v>286</v>
      </c>
      <c r="H2138">
        <v>0</v>
      </c>
      <c r="I2138" s="140" t="s">
        <v>17</v>
      </c>
    </row>
    <row r="2139" spans="1:9" hidden="1" x14ac:dyDescent="0.25">
      <c r="A2139">
        <v>1993</v>
      </c>
      <c r="B2139" s="140" t="s">
        <v>131</v>
      </c>
      <c r="C2139" s="140" t="s">
        <v>244</v>
      </c>
      <c r="D2139" s="140" t="s">
        <v>11</v>
      </c>
      <c r="E2139" s="140" t="s">
        <v>12</v>
      </c>
      <c r="F2139">
        <v>-549</v>
      </c>
      <c r="G2139" s="140" t="s">
        <v>286</v>
      </c>
      <c r="H2139">
        <v>0</v>
      </c>
      <c r="I2139" s="140" t="s">
        <v>17</v>
      </c>
    </row>
    <row r="2140" spans="1:9" hidden="1" x14ac:dyDescent="0.25">
      <c r="A2140">
        <v>1994</v>
      </c>
      <c r="B2140" s="140" t="s">
        <v>131</v>
      </c>
      <c r="C2140" s="140" t="s">
        <v>244</v>
      </c>
      <c r="D2140" s="140" t="s">
        <v>11</v>
      </c>
      <c r="E2140" s="140" t="s">
        <v>12</v>
      </c>
      <c r="F2140">
        <v>1251</v>
      </c>
      <c r="G2140" s="140" t="s">
        <v>286</v>
      </c>
      <c r="H2140">
        <v>0</v>
      </c>
      <c r="I2140" s="140" t="s">
        <v>17</v>
      </c>
    </row>
    <row r="2141" spans="1:9" hidden="1" x14ac:dyDescent="0.25">
      <c r="A2141">
        <v>1995</v>
      </c>
      <c r="B2141" s="140" t="s">
        <v>131</v>
      </c>
      <c r="C2141" s="140" t="s">
        <v>244</v>
      </c>
      <c r="D2141" s="140" t="s">
        <v>11</v>
      </c>
      <c r="E2141" s="140" t="s">
        <v>12</v>
      </c>
      <c r="F2141">
        <v>1040</v>
      </c>
      <c r="G2141" s="140" t="s">
        <v>286</v>
      </c>
      <c r="H2141">
        <v>0</v>
      </c>
      <c r="I2141" s="140" t="s">
        <v>17</v>
      </c>
    </row>
    <row r="2142" spans="1:9" hidden="1" x14ac:dyDescent="0.25">
      <c r="A2142">
        <v>1996</v>
      </c>
      <c r="B2142" s="140" t="s">
        <v>131</v>
      </c>
      <c r="C2142" s="140" t="s">
        <v>244</v>
      </c>
      <c r="D2142" s="140" t="s">
        <v>11</v>
      </c>
      <c r="E2142" s="140" t="s">
        <v>12</v>
      </c>
      <c r="F2142">
        <v>-301</v>
      </c>
      <c r="G2142" s="140" t="s">
        <v>286</v>
      </c>
      <c r="H2142">
        <v>0</v>
      </c>
      <c r="I2142" s="140" t="s">
        <v>17</v>
      </c>
    </row>
    <row r="2143" spans="1:9" hidden="1" x14ac:dyDescent="0.25">
      <c r="A2143">
        <v>1997</v>
      </c>
      <c r="B2143" s="140" t="s">
        <v>131</v>
      </c>
      <c r="C2143" s="140" t="s">
        <v>244</v>
      </c>
      <c r="D2143" s="140" t="s">
        <v>11</v>
      </c>
      <c r="E2143" s="140" t="s">
        <v>12</v>
      </c>
      <c r="F2143">
        <v>354</v>
      </c>
      <c r="G2143" s="140" t="s">
        <v>286</v>
      </c>
      <c r="H2143">
        <v>0</v>
      </c>
      <c r="I2143" s="140" t="s">
        <v>17</v>
      </c>
    </row>
    <row r="2144" spans="1:9" hidden="1" x14ac:dyDescent="0.25">
      <c r="A2144">
        <v>1998</v>
      </c>
      <c r="B2144" s="140" t="s">
        <v>131</v>
      </c>
      <c r="C2144" s="140" t="s">
        <v>244</v>
      </c>
      <c r="D2144" s="140" t="s">
        <v>11</v>
      </c>
      <c r="E2144" s="140" t="s">
        <v>12</v>
      </c>
      <c r="F2144">
        <v>966</v>
      </c>
      <c r="G2144" s="140" t="s">
        <v>286</v>
      </c>
      <c r="H2144">
        <v>0</v>
      </c>
      <c r="I2144" s="140" t="s">
        <v>17</v>
      </c>
    </row>
    <row r="2145" spans="1:9" hidden="1" x14ac:dyDescent="0.25">
      <c r="A2145">
        <v>1999</v>
      </c>
      <c r="B2145" s="140" t="s">
        <v>131</v>
      </c>
      <c r="C2145" s="140" t="s">
        <v>244</v>
      </c>
      <c r="D2145" s="140" t="s">
        <v>11</v>
      </c>
      <c r="E2145" s="140" t="s">
        <v>12</v>
      </c>
      <c r="F2145">
        <v>-153</v>
      </c>
      <c r="G2145" s="140" t="s">
        <v>286</v>
      </c>
      <c r="H2145">
        <v>0</v>
      </c>
      <c r="I2145" s="140" t="s">
        <v>17</v>
      </c>
    </row>
    <row r="2146" spans="1:9" hidden="1" x14ac:dyDescent="0.25">
      <c r="A2146">
        <v>2000</v>
      </c>
      <c r="B2146" s="140" t="s">
        <v>131</v>
      </c>
      <c r="C2146" s="140" t="s">
        <v>244</v>
      </c>
      <c r="D2146" s="140" t="s">
        <v>11</v>
      </c>
      <c r="E2146" s="140" t="s">
        <v>12</v>
      </c>
      <c r="F2146">
        <v>1184</v>
      </c>
      <c r="G2146" s="140" t="s">
        <v>286</v>
      </c>
      <c r="H2146">
        <v>0</v>
      </c>
      <c r="I2146" s="140" t="s">
        <v>17</v>
      </c>
    </row>
    <row r="2147" spans="1:9" hidden="1" x14ac:dyDescent="0.25">
      <c r="A2147">
        <v>2001</v>
      </c>
      <c r="B2147" s="140" t="s">
        <v>131</v>
      </c>
      <c r="C2147" s="140" t="s">
        <v>244</v>
      </c>
      <c r="D2147" s="140" t="s">
        <v>11</v>
      </c>
      <c r="E2147" s="140" t="s">
        <v>12</v>
      </c>
      <c r="F2147">
        <v>426</v>
      </c>
      <c r="G2147" s="140" t="s">
        <v>286</v>
      </c>
      <c r="H2147">
        <v>0</v>
      </c>
      <c r="I2147" s="140" t="s">
        <v>17</v>
      </c>
    </row>
    <row r="2148" spans="1:9" hidden="1" x14ac:dyDescent="0.25">
      <c r="A2148">
        <v>2002</v>
      </c>
      <c r="B2148" s="140" t="s">
        <v>131</v>
      </c>
      <c r="C2148" s="140" t="s">
        <v>244</v>
      </c>
      <c r="D2148" s="140" t="s">
        <v>11</v>
      </c>
      <c r="E2148" s="140" t="s">
        <v>12</v>
      </c>
      <c r="F2148">
        <v>671</v>
      </c>
      <c r="G2148" s="140" t="s">
        <v>286</v>
      </c>
      <c r="H2148">
        <v>0</v>
      </c>
      <c r="I2148" s="140" t="s">
        <v>17</v>
      </c>
    </row>
    <row r="2149" spans="1:9" hidden="1" x14ac:dyDescent="0.25">
      <c r="A2149">
        <v>2003</v>
      </c>
      <c r="B2149" s="140" t="s">
        <v>131</v>
      </c>
      <c r="C2149" s="140" t="s">
        <v>244</v>
      </c>
      <c r="D2149" s="140" t="s">
        <v>11</v>
      </c>
      <c r="E2149" s="140" t="s">
        <v>12</v>
      </c>
      <c r="F2149">
        <v>556</v>
      </c>
      <c r="G2149" s="140" t="s">
        <v>286</v>
      </c>
      <c r="H2149">
        <v>0</v>
      </c>
      <c r="I2149" s="140" t="s">
        <v>17</v>
      </c>
    </row>
    <row r="2150" spans="1:9" hidden="1" x14ac:dyDescent="0.25">
      <c r="A2150">
        <v>2004</v>
      </c>
      <c r="B2150" s="140" t="s">
        <v>131</v>
      </c>
      <c r="C2150" s="140" t="s">
        <v>244</v>
      </c>
      <c r="D2150" s="140" t="s">
        <v>11</v>
      </c>
      <c r="E2150" s="140" t="s">
        <v>12</v>
      </c>
      <c r="F2150">
        <v>940</v>
      </c>
      <c r="G2150" s="140" t="s">
        <v>286</v>
      </c>
      <c r="H2150">
        <v>0</v>
      </c>
      <c r="I2150" s="140" t="s">
        <v>17</v>
      </c>
    </row>
    <row r="2151" spans="1:9" hidden="1" x14ac:dyDescent="0.25">
      <c r="A2151">
        <v>2005</v>
      </c>
      <c r="B2151" s="140" t="s">
        <v>131</v>
      </c>
      <c r="C2151" s="140" t="s">
        <v>244</v>
      </c>
      <c r="D2151" s="140" t="s">
        <v>11</v>
      </c>
      <c r="E2151" s="140" t="s">
        <v>12</v>
      </c>
      <c r="F2151">
        <v>2671</v>
      </c>
      <c r="G2151" s="140" t="s">
        <v>286</v>
      </c>
      <c r="H2151">
        <v>0</v>
      </c>
      <c r="I2151" s="140" t="s">
        <v>17</v>
      </c>
    </row>
    <row r="2152" spans="1:9" hidden="1" x14ac:dyDescent="0.25">
      <c r="A2152">
        <v>2006</v>
      </c>
      <c r="B2152" s="140" t="s">
        <v>131</v>
      </c>
      <c r="C2152" s="140" t="s">
        <v>244</v>
      </c>
      <c r="D2152" s="140" t="s">
        <v>11</v>
      </c>
      <c r="E2152" s="140" t="s">
        <v>12</v>
      </c>
      <c r="F2152">
        <v>2117</v>
      </c>
      <c r="G2152" s="140" t="s">
        <v>286</v>
      </c>
      <c r="H2152">
        <v>0</v>
      </c>
      <c r="I2152" s="140" t="s">
        <v>17</v>
      </c>
    </row>
    <row r="2153" spans="1:9" hidden="1" x14ac:dyDescent="0.25">
      <c r="A2153">
        <v>2007</v>
      </c>
      <c r="B2153" s="140" t="s">
        <v>131</v>
      </c>
      <c r="C2153" s="140" t="s">
        <v>244</v>
      </c>
      <c r="D2153" s="140" t="s">
        <v>11</v>
      </c>
      <c r="E2153" s="140" t="s">
        <v>12</v>
      </c>
      <c r="F2153">
        <v>2369</v>
      </c>
      <c r="G2153" s="140" t="s">
        <v>286</v>
      </c>
      <c r="H2153">
        <v>0</v>
      </c>
      <c r="I2153" s="140" t="s">
        <v>17</v>
      </c>
    </row>
    <row r="2154" spans="1:9" hidden="1" x14ac:dyDescent="0.25">
      <c r="A2154">
        <v>2008</v>
      </c>
      <c r="B2154" s="140" t="s">
        <v>131</v>
      </c>
      <c r="C2154" s="140" t="s">
        <v>244</v>
      </c>
      <c r="D2154" s="140" t="s">
        <v>11</v>
      </c>
      <c r="E2154" s="140" t="s">
        <v>12</v>
      </c>
      <c r="F2154">
        <v>1504</v>
      </c>
      <c r="G2154" s="140" t="s">
        <v>286</v>
      </c>
      <c r="H2154">
        <v>0</v>
      </c>
      <c r="I2154" s="140" t="s">
        <v>17</v>
      </c>
    </row>
    <row r="2155" spans="1:9" hidden="1" x14ac:dyDescent="0.25">
      <c r="A2155">
        <v>2009</v>
      </c>
      <c r="B2155" s="140" t="s">
        <v>131</v>
      </c>
      <c r="C2155" s="140" t="s">
        <v>244</v>
      </c>
      <c r="D2155" s="140" t="s">
        <v>11</v>
      </c>
      <c r="E2155" s="140" t="s">
        <v>12</v>
      </c>
      <c r="F2155">
        <v>-2663</v>
      </c>
      <c r="G2155" s="140" t="s">
        <v>286</v>
      </c>
      <c r="H2155">
        <v>0</v>
      </c>
      <c r="I2155" s="140" t="s">
        <v>17</v>
      </c>
    </row>
    <row r="2156" spans="1:9" hidden="1" x14ac:dyDescent="0.25">
      <c r="A2156">
        <v>2010</v>
      </c>
      <c r="B2156" s="140" t="s">
        <v>131</v>
      </c>
      <c r="C2156" s="140" t="s">
        <v>244</v>
      </c>
      <c r="D2156" s="140" t="s">
        <v>11</v>
      </c>
      <c r="E2156" s="140" t="s">
        <v>12</v>
      </c>
      <c r="F2156">
        <v>-402</v>
      </c>
      <c r="G2156" s="140" t="s">
        <v>286</v>
      </c>
      <c r="H2156">
        <v>0</v>
      </c>
      <c r="I2156" s="140" t="s">
        <v>17</v>
      </c>
    </row>
    <row r="2157" spans="1:9" hidden="1" x14ac:dyDescent="0.25">
      <c r="A2157">
        <v>2011</v>
      </c>
      <c r="B2157" s="140" t="s">
        <v>131</v>
      </c>
      <c r="C2157" s="140" t="s">
        <v>244</v>
      </c>
      <c r="D2157" s="140" t="s">
        <v>11</v>
      </c>
      <c r="E2157" s="140" t="s">
        <v>12</v>
      </c>
      <c r="F2157">
        <v>2604</v>
      </c>
      <c r="G2157" s="140" t="s">
        <v>286</v>
      </c>
      <c r="H2157">
        <v>0</v>
      </c>
      <c r="I2157" s="140" t="s">
        <v>17</v>
      </c>
    </row>
    <row r="2158" spans="1:9" hidden="1" x14ac:dyDescent="0.25">
      <c r="A2158">
        <v>2012</v>
      </c>
      <c r="B2158" s="140" t="s">
        <v>131</v>
      </c>
      <c r="C2158" s="140" t="s">
        <v>244</v>
      </c>
      <c r="D2158" s="140" t="s">
        <v>11</v>
      </c>
      <c r="E2158" s="140" t="s">
        <v>12</v>
      </c>
      <c r="F2158">
        <v>558</v>
      </c>
      <c r="G2158" s="140" t="s">
        <v>286</v>
      </c>
      <c r="H2158">
        <v>0</v>
      </c>
      <c r="I2158" s="140" t="s">
        <v>17</v>
      </c>
    </row>
    <row r="2159" spans="1:9" hidden="1" x14ac:dyDescent="0.25">
      <c r="A2159">
        <v>2013</v>
      </c>
      <c r="B2159" s="140" t="s">
        <v>131</v>
      </c>
      <c r="C2159" s="140" t="s">
        <v>244</v>
      </c>
      <c r="D2159" s="140" t="s">
        <v>11</v>
      </c>
      <c r="E2159" s="140" t="s">
        <v>12</v>
      </c>
      <c r="F2159">
        <v>558</v>
      </c>
      <c r="G2159" s="140" t="s">
        <v>286</v>
      </c>
      <c r="H2159">
        <v>0</v>
      </c>
      <c r="I2159" s="140" t="s">
        <v>17</v>
      </c>
    </row>
    <row r="2160" spans="1:9" hidden="1" x14ac:dyDescent="0.25">
      <c r="A2160">
        <v>2014</v>
      </c>
      <c r="B2160" s="140" t="s">
        <v>131</v>
      </c>
      <c r="C2160" s="140" t="s">
        <v>244</v>
      </c>
      <c r="D2160" s="140" t="s">
        <v>11</v>
      </c>
      <c r="E2160" s="140" t="s">
        <v>12</v>
      </c>
      <c r="F2160">
        <v>898</v>
      </c>
      <c r="G2160" s="140" t="s">
        <v>286</v>
      </c>
      <c r="H2160">
        <v>0</v>
      </c>
      <c r="I2160" s="140" t="s">
        <v>17</v>
      </c>
    </row>
    <row r="2161" spans="1:9" hidden="1" x14ac:dyDescent="0.25">
      <c r="A2161">
        <v>2015</v>
      </c>
      <c r="B2161" s="140" t="s">
        <v>131</v>
      </c>
      <c r="C2161" s="140" t="s">
        <v>244</v>
      </c>
      <c r="D2161" s="140" t="s">
        <v>11</v>
      </c>
      <c r="E2161" s="140" t="s">
        <v>12</v>
      </c>
      <c r="F2161">
        <v>971</v>
      </c>
      <c r="G2161" s="140" t="s">
        <v>286</v>
      </c>
      <c r="H2161">
        <v>0</v>
      </c>
      <c r="I2161" s="140" t="s">
        <v>17</v>
      </c>
    </row>
    <row r="2162" spans="1:9" hidden="1" x14ac:dyDescent="0.25">
      <c r="A2162">
        <v>2016</v>
      </c>
      <c r="B2162" s="140" t="s">
        <v>131</v>
      </c>
      <c r="C2162" s="140" t="s">
        <v>244</v>
      </c>
      <c r="D2162" s="140" t="s">
        <v>11</v>
      </c>
      <c r="E2162" s="140" t="s">
        <v>12</v>
      </c>
      <c r="F2162">
        <v>1057</v>
      </c>
      <c r="G2162" s="140" t="s">
        <v>286</v>
      </c>
      <c r="H2162">
        <v>0</v>
      </c>
      <c r="I2162" s="140" t="s">
        <v>17</v>
      </c>
    </row>
    <row r="2163" spans="1:9" hidden="1" x14ac:dyDescent="0.25">
      <c r="A2163">
        <v>2017</v>
      </c>
      <c r="B2163" s="140" t="s">
        <v>131</v>
      </c>
      <c r="C2163" s="140" t="s">
        <v>244</v>
      </c>
      <c r="D2163" s="140" t="s">
        <v>11</v>
      </c>
      <c r="E2163" s="140" t="s">
        <v>12</v>
      </c>
      <c r="F2163">
        <v>1287</v>
      </c>
      <c r="G2163" s="140" t="s">
        <v>286</v>
      </c>
      <c r="H2163">
        <v>0</v>
      </c>
      <c r="I2163" s="140" t="s">
        <v>17</v>
      </c>
    </row>
    <row r="2164" spans="1:9" hidden="1" x14ac:dyDescent="0.25">
      <c r="A2164">
        <v>2018</v>
      </c>
      <c r="B2164" s="140" t="s">
        <v>131</v>
      </c>
      <c r="C2164" s="140" t="s">
        <v>244</v>
      </c>
      <c r="D2164" s="140" t="s">
        <v>11</v>
      </c>
      <c r="E2164" s="140" t="s">
        <v>12</v>
      </c>
      <c r="F2164">
        <v>2506</v>
      </c>
      <c r="G2164" s="140" t="s">
        <v>286</v>
      </c>
      <c r="H2164">
        <v>0</v>
      </c>
      <c r="I2164" s="140" t="s">
        <v>17</v>
      </c>
    </row>
    <row r="2165" spans="1:9" hidden="1" x14ac:dyDescent="0.25">
      <c r="A2165">
        <v>2019</v>
      </c>
      <c r="B2165" s="140" t="s">
        <v>131</v>
      </c>
      <c r="C2165" s="140" t="s">
        <v>244</v>
      </c>
      <c r="D2165" s="140" t="s">
        <v>11</v>
      </c>
      <c r="E2165" s="140" t="s">
        <v>12</v>
      </c>
      <c r="F2165">
        <v>333</v>
      </c>
      <c r="G2165" s="140" t="s">
        <v>286</v>
      </c>
      <c r="H2165">
        <v>0</v>
      </c>
      <c r="I2165" s="140" t="s">
        <v>17</v>
      </c>
    </row>
    <row r="2166" spans="1:9" hidden="1" x14ac:dyDescent="0.25">
      <c r="A2166">
        <v>2020</v>
      </c>
      <c r="B2166" s="140" t="s">
        <v>131</v>
      </c>
      <c r="C2166" s="140" t="s">
        <v>244</v>
      </c>
      <c r="D2166" s="140" t="s">
        <v>11</v>
      </c>
      <c r="E2166" s="140" t="s">
        <v>12</v>
      </c>
      <c r="F2166">
        <v>801</v>
      </c>
      <c r="G2166" s="140" t="s">
        <v>286</v>
      </c>
      <c r="H2166">
        <v>0</v>
      </c>
      <c r="I2166" s="140" t="s">
        <v>17</v>
      </c>
    </row>
    <row r="2167" spans="1:9" hidden="1" x14ac:dyDescent="0.25">
      <c r="A2167">
        <v>2021</v>
      </c>
      <c r="B2167" s="140" t="s">
        <v>131</v>
      </c>
      <c r="C2167" s="140" t="s">
        <v>244</v>
      </c>
      <c r="D2167" s="140" t="s">
        <v>11</v>
      </c>
      <c r="E2167" s="140" t="s">
        <v>12</v>
      </c>
      <c r="F2167">
        <v>802</v>
      </c>
      <c r="G2167" s="140" t="s">
        <v>286</v>
      </c>
      <c r="H2167">
        <v>0</v>
      </c>
      <c r="I2167" s="140" t="s">
        <v>17</v>
      </c>
    </row>
    <row r="2168" spans="1:9" hidden="1" x14ac:dyDescent="0.25">
      <c r="A2168">
        <v>2022</v>
      </c>
      <c r="B2168" s="140" t="s">
        <v>131</v>
      </c>
      <c r="C2168" s="140" t="s">
        <v>244</v>
      </c>
      <c r="D2168" s="140" t="s">
        <v>11</v>
      </c>
      <c r="E2168" s="140" t="s">
        <v>12</v>
      </c>
      <c r="F2168">
        <v>5898</v>
      </c>
      <c r="G2168" s="140" t="s">
        <v>286</v>
      </c>
      <c r="H2168">
        <v>0</v>
      </c>
      <c r="I2168" s="140" t="s">
        <v>17</v>
      </c>
    </row>
    <row r="2169" spans="1:9" hidden="1" x14ac:dyDescent="0.25">
      <c r="A2169">
        <v>2023</v>
      </c>
      <c r="B2169" s="140" t="s">
        <v>131</v>
      </c>
      <c r="C2169" s="140" t="s">
        <v>244</v>
      </c>
      <c r="D2169" s="140" t="s">
        <v>11</v>
      </c>
      <c r="E2169" s="140" t="s">
        <v>12</v>
      </c>
      <c r="F2169">
        <v>-1287</v>
      </c>
      <c r="G2169" s="140" t="s">
        <v>286</v>
      </c>
      <c r="H2169">
        <v>0</v>
      </c>
      <c r="I2169" s="140" t="s">
        <v>17</v>
      </c>
    </row>
    <row r="2170" spans="1:9" hidden="1" x14ac:dyDescent="0.25">
      <c r="A2170">
        <v>2024</v>
      </c>
      <c r="B2170" s="140" t="s">
        <v>131</v>
      </c>
      <c r="C2170" s="140" t="s">
        <v>244</v>
      </c>
      <c r="D2170" s="140" t="s">
        <v>11</v>
      </c>
      <c r="E2170" s="140" t="s">
        <v>12</v>
      </c>
      <c r="F2170">
        <v>1377</v>
      </c>
      <c r="G2170" s="140" t="s">
        <v>286</v>
      </c>
      <c r="H2170">
        <v>0</v>
      </c>
      <c r="I2170" s="140" t="s">
        <v>17</v>
      </c>
    </row>
    <row r="2171" spans="1:9" hidden="1" x14ac:dyDescent="0.25">
      <c r="A2171">
        <v>2025</v>
      </c>
      <c r="B2171" s="140" t="s">
        <v>131</v>
      </c>
      <c r="C2171" s="140" t="s">
        <v>244</v>
      </c>
      <c r="D2171" s="140" t="s">
        <v>11</v>
      </c>
      <c r="E2171" s="140" t="s">
        <v>12</v>
      </c>
      <c r="F2171">
        <v>1497</v>
      </c>
      <c r="G2171" s="140" t="s">
        <v>286</v>
      </c>
      <c r="H2171">
        <v>0</v>
      </c>
      <c r="I2171" s="140" t="s">
        <v>17</v>
      </c>
    </row>
    <row r="2172" spans="1:9" hidden="1" x14ac:dyDescent="0.25">
      <c r="A2172">
        <v>2026</v>
      </c>
      <c r="B2172" s="140" t="s">
        <v>131</v>
      </c>
      <c r="C2172" s="140" t="s">
        <v>244</v>
      </c>
      <c r="D2172" s="140" t="s">
        <v>11</v>
      </c>
      <c r="E2172" s="140" t="s">
        <v>12</v>
      </c>
      <c r="F2172">
        <v>2000</v>
      </c>
      <c r="G2172" s="140" t="s">
        <v>286</v>
      </c>
      <c r="H2172">
        <v>0</v>
      </c>
      <c r="I2172" s="140" t="s">
        <v>17</v>
      </c>
    </row>
    <row r="2173" spans="1:9" hidden="1" x14ac:dyDescent="0.25">
      <c r="A2173">
        <v>2027</v>
      </c>
      <c r="B2173" s="140" t="s">
        <v>131</v>
      </c>
      <c r="C2173" s="140" t="s">
        <v>244</v>
      </c>
      <c r="D2173" s="140" t="s">
        <v>11</v>
      </c>
      <c r="E2173" s="140" t="s">
        <v>12</v>
      </c>
      <c r="F2173">
        <v>1894.2127290000001</v>
      </c>
      <c r="G2173" s="140" t="s">
        <v>286</v>
      </c>
      <c r="H2173">
        <v>0</v>
      </c>
      <c r="I2173" s="140" t="s">
        <v>17</v>
      </c>
    </row>
    <row r="2174" spans="1:9" hidden="1" x14ac:dyDescent="0.25">
      <c r="A2174">
        <v>2028</v>
      </c>
      <c r="B2174" s="140" t="s">
        <v>131</v>
      </c>
      <c r="C2174" s="140" t="s">
        <v>244</v>
      </c>
      <c r="D2174" s="140" t="s">
        <v>11</v>
      </c>
      <c r="E2174" s="140" t="s">
        <v>12</v>
      </c>
      <c r="F2174">
        <v>1506.787507</v>
      </c>
      <c r="G2174" s="140" t="s">
        <v>286</v>
      </c>
      <c r="H2174">
        <v>0</v>
      </c>
      <c r="I2174" s="140" t="s">
        <v>17</v>
      </c>
    </row>
    <row r="2175" spans="1:9" hidden="1" x14ac:dyDescent="0.25">
      <c r="A2175">
        <v>1990</v>
      </c>
      <c r="B2175" s="140" t="s">
        <v>133</v>
      </c>
      <c r="C2175" s="140" t="s">
        <v>19</v>
      </c>
      <c r="D2175" s="140" t="s">
        <v>11</v>
      </c>
      <c r="E2175" s="140" t="s">
        <v>12</v>
      </c>
      <c r="F2175">
        <v>0</v>
      </c>
      <c r="G2175" s="140" t="s">
        <v>230</v>
      </c>
      <c r="H2175">
        <v>0</v>
      </c>
      <c r="I2175" s="140" t="s">
        <v>17</v>
      </c>
    </row>
    <row r="2176" spans="1:9" hidden="1" x14ac:dyDescent="0.25">
      <c r="A2176">
        <v>1991</v>
      </c>
      <c r="B2176" s="140" t="s">
        <v>133</v>
      </c>
      <c r="C2176" s="140" t="s">
        <v>19</v>
      </c>
      <c r="D2176" s="140" t="s">
        <v>11</v>
      </c>
      <c r="E2176" s="140" t="s">
        <v>12</v>
      </c>
      <c r="F2176">
        <v>0</v>
      </c>
      <c r="G2176" s="140" t="s">
        <v>230</v>
      </c>
      <c r="H2176">
        <v>0</v>
      </c>
      <c r="I2176" s="140" t="s">
        <v>17</v>
      </c>
    </row>
    <row r="2177" spans="1:9" hidden="1" x14ac:dyDescent="0.25">
      <c r="A2177">
        <v>1992</v>
      </c>
      <c r="B2177" s="140" t="s">
        <v>133</v>
      </c>
      <c r="C2177" s="140" t="s">
        <v>19</v>
      </c>
      <c r="D2177" s="140" t="s">
        <v>11</v>
      </c>
      <c r="E2177" s="140" t="s">
        <v>12</v>
      </c>
      <c r="F2177">
        <v>0</v>
      </c>
      <c r="G2177" s="140" t="s">
        <v>230</v>
      </c>
      <c r="H2177">
        <v>0</v>
      </c>
      <c r="I2177" s="140" t="s">
        <v>17</v>
      </c>
    </row>
    <row r="2178" spans="1:9" hidden="1" x14ac:dyDescent="0.25">
      <c r="A2178">
        <v>1993</v>
      </c>
      <c r="B2178" s="140" t="s">
        <v>133</v>
      </c>
      <c r="C2178" s="140" t="s">
        <v>19</v>
      </c>
      <c r="D2178" s="140" t="s">
        <v>11</v>
      </c>
      <c r="E2178" s="140" t="s">
        <v>12</v>
      </c>
      <c r="F2178">
        <v>0</v>
      </c>
      <c r="G2178" s="140" t="s">
        <v>230</v>
      </c>
      <c r="H2178">
        <v>0</v>
      </c>
      <c r="I2178" s="140" t="s">
        <v>17</v>
      </c>
    </row>
    <row r="2179" spans="1:9" hidden="1" x14ac:dyDescent="0.25">
      <c r="A2179">
        <v>1994</v>
      </c>
      <c r="B2179" s="140" t="s">
        <v>133</v>
      </c>
      <c r="C2179" s="140" t="s">
        <v>19</v>
      </c>
      <c r="D2179" s="140" t="s">
        <v>11</v>
      </c>
      <c r="E2179" s="140" t="s">
        <v>12</v>
      </c>
      <c r="F2179">
        <v>0</v>
      </c>
      <c r="G2179" s="140" t="s">
        <v>230</v>
      </c>
      <c r="H2179">
        <v>0</v>
      </c>
      <c r="I2179" s="140" t="s">
        <v>17</v>
      </c>
    </row>
    <row r="2180" spans="1:9" hidden="1" x14ac:dyDescent="0.25">
      <c r="A2180">
        <v>1995</v>
      </c>
      <c r="B2180" s="140" t="s">
        <v>133</v>
      </c>
      <c r="C2180" s="140" t="s">
        <v>19</v>
      </c>
      <c r="D2180" s="140" t="s">
        <v>11</v>
      </c>
      <c r="E2180" s="140" t="s">
        <v>12</v>
      </c>
      <c r="F2180">
        <v>60</v>
      </c>
      <c r="G2180" s="140" t="s">
        <v>230</v>
      </c>
      <c r="H2180">
        <v>0</v>
      </c>
      <c r="I2180" s="140" t="s">
        <v>17</v>
      </c>
    </row>
    <row r="2181" spans="1:9" hidden="1" x14ac:dyDescent="0.25">
      <c r="A2181">
        <v>1996</v>
      </c>
      <c r="B2181" s="140" t="s">
        <v>133</v>
      </c>
      <c r="C2181" s="140" t="s">
        <v>19</v>
      </c>
      <c r="D2181" s="140" t="s">
        <v>11</v>
      </c>
      <c r="E2181" s="140" t="s">
        <v>12</v>
      </c>
      <c r="F2181">
        <v>60</v>
      </c>
      <c r="G2181" s="140" t="s">
        <v>230</v>
      </c>
      <c r="H2181">
        <v>0</v>
      </c>
      <c r="I2181" s="140" t="s">
        <v>17</v>
      </c>
    </row>
    <row r="2182" spans="1:9" hidden="1" x14ac:dyDescent="0.25">
      <c r="A2182">
        <v>1997</v>
      </c>
      <c r="B2182" s="140" t="s">
        <v>133</v>
      </c>
      <c r="C2182" s="140" t="s">
        <v>19</v>
      </c>
      <c r="D2182" s="140" t="s">
        <v>11</v>
      </c>
      <c r="E2182" s="140" t="s">
        <v>12</v>
      </c>
      <c r="F2182">
        <v>60</v>
      </c>
      <c r="G2182" s="140" t="s">
        <v>230</v>
      </c>
      <c r="H2182">
        <v>0</v>
      </c>
      <c r="I2182" s="140" t="s">
        <v>17</v>
      </c>
    </row>
    <row r="2183" spans="1:9" hidden="1" x14ac:dyDescent="0.25">
      <c r="A2183">
        <v>1998</v>
      </c>
      <c r="B2183" s="140" t="s">
        <v>133</v>
      </c>
      <c r="C2183" s="140" t="s">
        <v>19</v>
      </c>
      <c r="D2183" s="140" t="s">
        <v>11</v>
      </c>
      <c r="E2183" s="140" t="s">
        <v>12</v>
      </c>
      <c r="F2183">
        <v>65</v>
      </c>
      <c r="G2183" s="140" t="s">
        <v>230</v>
      </c>
      <c r="H2183">
        <v>0</v>
      </c>
      <c r="I2183" s="140" t="s">
        <v>17</v>
      </c>
    </row>
    <row r="2184" spans="1:9" hidden="1" x14ac:dyDescent="0.25">
      <c r="A2184">
        <v>1999</v>
      </c>
      <c r="B2184" s="140" t="s">
        <v>133</v>
      </c>
      <c r="C2184" s="140" t="s">
        <v>19</v>
      </c>
      <c r="D2184" s="140" t="s">
        <v>11</v>
      </c>
      <c r="E2184" s="140" t="s">
        <v>12</v>
      </c>
      <c r="F2184">
        <v>64</v>
      </c>
      <c r="G2184" s="140" t="s">
        <v>230</v>
      </c>
      <c r="H2184">
        <v>0</v>
      </c>
      <c r="I2184" s="140" t="s">
        <v>17</v>
      </c>
    </row>
    <row r="2185" spans="1:9" hidden="1" x14ac:dyDescent="0.25">
      <c r="A2185">
        <v>2000</v>
      </c>
      <c r="B2185" s="140" t="s">
        <v>133</v>
      </c>
      <c r="C2185" s="140" t="s">
        <v>19</v>
      </c>
      <c r="D2185" s="140" t="s">
        <v>11</v>
      </c>
      <c r="E2185" s="140" t="s">
        <v>12</v>
      </c>
      <c r="F2185">
        <v>67</v>
      </c>
      <c r="G2185" s="140" t="s">
        <v>230</v>
      </c>
      <c r="H2185">
        <v>0</v>
      </c>
      <c r="I2185" s="140" t="s">
        <v>17</v>
      </c>
    </row>
    <row r="2186" spans="1:9" hidden="1" x14ac:dyDescent="0.25">
      <c r="A2186">
        <v>2001</v>
      </c>
      <c r="B2186" s="140" t="s">
        <v>133</v>
      </c>
      <c r="C2186" s="140" t="s">
        <v>19</v>
      </c>
      <c r="D2186" s="140" t="s">
        <v>11</v>
      </c>
      <c r="E2186" s="140" t="s">
        <v>12</v>
      </c>
      <c r="F2186">
        <v>66</v>
      </c>
      <c r="G2186" s="140" t="s">
        <v>230</v>
      </c>
      <c r="H2186">
        <v>0</v>
      </c>
      <c r="I2186" s="140" t="s">
        <v>17</v>
      </c>
    </row>
    <row r="2187" spans="1:9" hidden="1" x14ac:dyDescent="0.25">
      <c r="A2187">
        <v>2002</v>
      </c>
      <c r="B2187" s="140" t="s">
        <v>133</v>
      </c>
      <c r="C2187" s="140" t="s">
        <v>19</v>
      </c>
      <c r="D2187" s="140" t="s">
        <v>11</v>
      </c>
      <c r="E2187" s="140" t="s">
        <v>12</v>
      </c>
      <c r="F2187">
        <v>64</v>
      </c>
      <c r="G2187" s="140" t="s">
        <v>230</v>
      </c>
      <c r="H2187">
        <v>0</v>
      </c>
      <c r="I2187" s="140" t="s">
        <v>17</v>
      </c>
    </row>
    <row r="2188" spans="1:9" hidden="1" x14ac:dyDescent="0.25">
      <c r="A2188">
        <v>2003</v>
      </c>
      <c r="B2188" s="140" t="s">
        <v>133</v>
      </c>
      <c r="C2188" s="140" t="s">
        <v>19</v>
      </c>
      <c r="D2188" s="140" t="s">
        <v>11</v>
      </c>
      <c r="E2188" s="140" t="s">
        <v>12</v>
      </c>
      <c r="F2188">
        <v>66</v>
      </c>
      <c r="G2188" s="140" t="s">
        <v>230</v>
      </c>
      <c r="H2188">
        <v>0</v>
      </c>
      <c r="I2188" s="140" t="s">
        <v>17</v>
      </c>
    </row>
    <row r="2189" spans="1:9" hidden="1" x14ac:dyDescent="0.25">
      <c r="A2189">
        <v>2004</v>
      </c>
      <c r="B2189" s="140" t="s">
        <v>133</v>
      </c>
      <c r="C2189" s="140" t="s">
        <v>19</v>
      </c>
      <c r="D2189" s="140" t="s">
        <v>11</v>
      </c>
      <c r="E2189" s="140" t="s">
        <v>12</v>
      </c>
      <c r="F2189">
        <v>66</v>
      </c>
      <c r="G2189" s="140" t="s">
        <v>230</v>
      </c>
      <c r="H2189">
        <v>0</v>
      </c>
      <c r="I2189" s="140" t="s">
        <v>17</v>
      </c>
    </row>
    <row r="2190" spans="1:9" hidden="1" x14ac:dyDescent="0.25">
      <c r="A2190">
        <v>2005</v>
      </c>
      <c r="B2190" s="140" t="s">
        <v>133</v>
      </c>
      <c r="C2190" s="140" t="s">
        <v>19</v>
      </c>
      <c r="D2190" s="140" t="s">
        <v>11</v>
      </c>
      <c r="E2190" s="140" t="s">
        <v>12</v>
      </c>
      <c r="F2190">
        <v>76</v>
      </c>
      <c r="G2190" s="140" t="s">
        <v>230</v>
      </c>
      <c r="H2190">
        <v>0</v>
      </c>
      <c r="I2190" s="140" t="s">
        <v>17</v>
      </c>
    </row>
    <row r="2191" spans="1:9" hidden="1" x14ac:dyDescent="0.25">
      <c r="A2191">
        <v>2006</v>
      </c>
      <c r="B2191" s="140" t="s">
        <v>133</v>
      </c>
      <c r="C2191" s="140" t="s">
        <v>19</v>
      </c>
      <c r="D2191" s="140" t="s">
        <v>11</v>
      </c>
      <c r="E2191" s="140" t="s">
        <v>12</v>
      </c>
      <c r="F2191">
        <v>66</v>
      </c>
      <c r="G2191" s="140" t="s">
        <v>230</v>
      </c>
      <c r="H2191">
        <v>0</v>
      </c>
      <c r="I2191" s="140" t="s">
        <v>17</v>
      </c>
    </row>
    <row r="2192" spans="1:9" hidden="1" x14ac:dyDescent="0.25">
      <c r="A2192">
        <v>2007</v>
      </c>
      <c r="B2192" s="140" t="s">
        <v>133</v>
      </c>
      <c r="C2192" s="140" t="s">
        <v>19</v>
      </c>
      <c r="D2192" s="140" t="s">
        <v>11</v>
      </c>
      <c r="E2192" s="140" t="s">
        <v>12</v>
      </c>
      <c r="F2192">
        <v>66</v>
      </c>
      <c r="G2192" s="140" t="s">
        <v>230</v>
      </c>
      <c r="H2192">
        <v>0</v>
      </c>
      <c r="I2192" s="140" t="s">
        <v>17</v>
      </c>
    </row>
    <row r="2193" spans="1:9" hidden="1" x14ac:dyDescent="0.25">
      <c r="A2193">
        <v>2008</v>
      </c>
      <c r="B2193" s="140" t="s">
        <v>133</v>
      </c>
      <c r="C2193" s="140" t="s">
        <v>19</v>
      </c>
      <c r="D2193" s="140" t="s">
        <v>11</v>
      </c>
      <c r="E2193" s="140" t="s">
        <v>12</v>
      </c>
      <c r="F2193">
        <v>67</v>
      </c>
      <c r="G2193" s="140" t="s">
        <v>230</v>
      </c>
      <c r="H2193">
        <v>0</v>
      </c>
      <c r="I2193" s="140" t="s">
        <v>17</v>
      </c>
    </row>
    <row r="2194" spans="1:9" hidden="1" x14ac:dyDescent="0.25">
      <c r="A2194">
        <v>2009</v>
      </c>
      <c r="B2194" s="140" t="s">
        <v>133</v>
      </c>
      <c r="C2194" s="140" t="s">
        <v>19</v>
      </c>
      <c r="D2194" s="140" t="s">
        <v>11</v>
      </c>
      <c r="E2194" s="140" t="s">
        <v>12</v>
      </c>
      <c r="F2194">
        <v>67</v>
      </c>
      <c r="G2194" s="140" t="s">
        <v>230</v>
      </c>
      <c r="H2194">
        <v>0</v>
      </c>
      <c r="I2194" s="140" t="s">
        <v>17</v>
      </c>
    </row>
    <row r="2195" spans="1:9" hidden="1" x14ac:dyDescent="0.25">
      <c r="A2195">
        <v>2010</v>
      </c>
      <c r="B2195" s="140" t="s">
        <v>133</v>
      </c>
      <c r="C2195" s="140" t="s">
        <v>19</v>
      </c>
      <c r="D2195" s="140" t="s">
        <v>11</v>
      </c>
      <c r="E2195" s="140" t="s">
        <v>12</v>
      </c>
      <c r="F2195">
        <v>66</v>
      </c>
      <c r="G2195" s="140" t="s">
        <v>230</v>
      </c>
      <c r="H2195">
        <v>0</v>
      </c>
      <c r="I2195" s="140" t="s">
        <v>17</v>
      </c>
    </row>
    <row r="2196" spans="1:9" hidden="1" x14ac:dyDescent="0.25">
      <c r="A2196">
        <v>2011</v>
      </c>
      <c r="B2196" s="140" t="s">
        <v>133</v>
      </c>
      <c r="C2196" s="140" t="s">
        <v>19</v>
      </c>
      <c r="D2196" s="140" t="s">
        <v>11</v>
      </c>
      <c r="E2196" s="140" t="s">
        <v>12</v>
      </c>
      <c r="F2196">
        <v>72</v>
      </c>
      <c r="G2196" s="140" t="s">
        <v>230</v>
      </c>
      <c r="H2196">
        <v>0</v>
      </c>
      <c r="I2196" s="140" t="s">
        <v>17</v>
      </c>
    </row>
    <row r="2197" spans="1:9" hidden="1" x14ac:dyDescent="0.25">
      <c r="A2197">
        <v>2012</v>
      </c>
      <c r="B2197" s="140" t="s">
        <v>133</v>
      </c>
      <c r="C2197" s="140" t="s">
        <v>19</v>
      </c>
      <c r="D2197" s="140" t="s">
        <v>11</v>
      </c>
      <c r="E2197" s="140" t="s">
        <v>12</v>
      </c>
      <c r="F2197">
        <v>71</v>
      </c>
      <c r="G2197" s="140" t="s">
        <v>230</v>
      </c>
      <c r="H2197">
        <v>0</v>
      </c>
      <c r="I2197" s="140" t="s">
        <v>17</v>
      </c>
    </row>
    <row r="2198" spans="1:9" hidden="1" x14ac:dyDescent="0.25">
      <c r="A2198">
        <v>2013</v>
      </c>
      <c r="B2198" s="140" t="s">
        <v>133</v>
      </c>
      <c r="C2198" s="140" t="s">
        <v>19</v>
      </c>
      <c r="D2198" s="140" t="s">
        <v>11</v>
      </c>
      <c r="E2198" s="140" t="s">
        <v>12</v>
      </c>
      <c r="F2198">
        <v>68</v>
      </c>
      <c r="G2198" s="140" t="s">
        <v>230</v>
      </c>
      <c r="H2198">
        <v>0</v>
      </c>
      <c r="I2198" s="140" t="s">
        <v>17</v>
      </c>
    </row>
    <row r="2199" spans="1:9" hidden="1" x14ac:dyDescent="0.25">
      <c r="A2199">
        <v>2014</v>
      </c>
      <c r="B2199" s="140" t="s">
        <v>133</v>
      </c>
      <c r="C2199" s="140" t="s">
        <v>19</v>
      </c>
      <c r="D2199" s="140" t="s">
        <v>11</v>
      </c>
      <c r="E2199" s="140" t="s">
        <v>12</v>
      </c>
      <c r="F2199">
        <v>55</v>
      </c>
      <c r="G2199" s="140" t="s">
        <v>230</v>
      </c>
      <c r="H2199">
        <v>0</v>
      </c>
      <c r="I2199" s="140" t="s">
        <v>17</v>
      </c>
    </row>
    <row r="2200" spans="1:9" hidden="1" x14ac:dyDescent="0.25">
      <c r="A2200">
        <v>2015</v>
      </c>
      <c r="B2200" s="140" t="s">
        <v>133</v>
      </c>
      <c r="C2200" s="140" t="s">
        <v>19</v>
      </c>
      <c r="D2200" s="140" t="s">
        <v>11</v>
      </c>
      <c r="E2200" s="140" t="s">
        <v>12</v>
      </c>
      <c r="F2200">
        <v>58</v>
      </c>
      <c r="G2200" s="140" t="s">
        <v>230</v>
      </c>
      <c r="H2200">
        <v>0</v>
      </c>
      <c r="I2200" s="140" t="s">
        <v>17</v>
      </c>
    </row>
    <row r="2201" spans="1:9" hidden="1" x14ac:dyDescent="0.25">
      <c r="A2201">
        <v>2016</v>
      </c>
      <c r="B2201" s="140" t="s">
        <v>133</v>
      </c>
      <c r="C2201" s="140" t="s">
        <v>19</v>
      </c>
      <c r="D2201" s="140" t="s">
        <v>11</v>
      </c>
      <c r="E2201" s="140" t="s">
        <v>12</v>
      </c>
      <c r="F2201">
        <v>77</v>
      </c>
      <c r="G2201" s="140" t="s">
        <v>230</v>
      </c>
      <c r="H2201">
        <v>0</v>
      </c>
      <c r="I2201" s="140" t="s">
        <v>17</v>
      </c>
    </row>
    <row r="2202" spans="1:9" hidden="1" x14ac:dyDescent="0.25">
      <c r="A2202">
        <v>2017</v>
      </c>
      <c r="B2202" s="140" t="s">
        <v>133</v>
      </c>
      <c r="C2202" s="140" t="s">
        <v>19</v>
      </c>
      <c r="D2202" s="140" t="s">
        <v>11</v>
      </c>
      <c r="E2202" s="140" t="s">
        <v>12</v>
      </c>
      <c r="F2202">
        <v>67</v>
      </c>
      <c r="G2202" s="140" t="s">
        <v>230</v>
      </c>
      <c r="H2202">
        <v>0</v>
      </c>
      <c r="I2202" s="140" t="s">
        <v>17</v>
      </c>
    </row>
    <row r="2203" spans="1:9" hidden="1" x14ac:dyDescent="0.25">
      <c r="A2203">
        <v>2018</v>
      </c>
      <c r="B2203" s="140" t="s">
        <v>133</v>
      </c>
      <c r="C2203" s="140" t="s">
        <v>19</v>
      </c>
      <c r="D2203" s="140" t="s">
        <v>11</v>
      </c>
      <c r="E2203" s="140" t="s">
        <v>12</v>
      </c>
      <c r="F2203">
        <v>72</v>
      </c>
      <c r="G2203" s="140" t="s">
        <v>230</v>
      </c>
      <c r="H2203">
        <v>0</v>
      </c>
      <c r="I2203" s="140" t="s">
        <v>17</v>
      </c>
    </row>
    <row r="2204" spans="1:9" hidden="1" x14ac:dyDescent="0.25">
      <c r="A2204">
        <v>2019</v>
      </c>
      <c r="B2204" s="140" t="s">
        <v>133</v>
      </c>
      <c r="C2204" s="140" t="s">
        <v>19</v>
      </c>
      <c r="D2204" s="140" t="s">
        <v>11</v>
      </c>
      <c r="E2204" s="140" t="s">
        <v>12</v>
      </c>
      <c r="F2204">
        <v>65</v>
      </c>
      <c r="G2204" s="140" t="s">
        <v>230</v>
      </c>
      <c r="H2204">
        <v>0</v>
      </c>
      <c r="I2204" s="140" t="s">
        <v>17</v>
      </c>
    </row>
    <row r="2205" spans="1:9" hidden="1" x14ac:dyDescent="0.25">
      <c r="A2205">
        <v>2020</v>
      </c>
      <c r="B2205" s="140" t="s">
        <v>133</v>
      </c>
      <c r="C2205" s="140" t="s">
        <v>19</v>
      </c>
      <c r="D2205" s="140" t="s">
        <v>11</v>
      </c>
      <c r="E2205" s="140" t="s">
        <v>12</v>
      </c>
      <c r="F2205">
        <v>73</v>
      </c>
      <c r="G2205" s="140" t="s">
        <v>230</v>
      </c>
      <c r="H2205">
        <v>0</v>
      </c>
      <c r="I2205" s="140" t="s">
        <v>17</v>
      </c>
    </row>
    <row r="2206" spans="1:9" hidden="1" x14ac:dyDescent="0.25">
      <c r="A2206">
        <v>2021</v>
      </c>
      <c r="B2206" s="140" t="s">
        <v>133</v>
      </c>
      <c r="C2206" s="140" t="s">
        <v>19</v>
      </c>
      <c r="D2206" s="140" t="s">
        <v>11</v>
      </c>
      <c r="E2206" s="140" t="s">
        <v>12</v>
      </c>
      <c r="F2206">
        <v>61</v>
      </c>
      <c r="G2206" s="140" t="s">
        <v>230</v>
      </c>
      <c r="H2206">
        <v>0</v>
      </c>
      <c r="I2206" s="140" t="s">
        <v>17</v>
      </c>
    </row>
    <row r="2207" spans="1:9" hidden="1" x14ac:dyDescent="0.25">
      <c r="A2207">
        <v>2022</v>
      </c>
      <c r="B2207" s="140" t="s">
        <v>133</v>
      </c>
      <c r="C2207" s="140" t="s">
        <v>19</v>
      </c>
      <c r="D2207" s="140" t="s">
        <v>11</v>
      </c>
      <c r="E2207" s="140" t="s">
        <v>12</v>
      </c>
      <c r="F2207">
        <v>63</v>
      </c>
      <c r="G2207" s="140" t="s">
        <v>230</v>
      </c>
      <c r="H2207">
        <v>0</v>
      </c>
      <c r="I2207" s="140" t="s">
        <v>17</v>
      </c>
    </row>
    <row r="2208" spans="1:9" hidden="1" x14ac:dyDescent="0.25">
      <c r="A2208">
        <v>2023</v>
      </c>
      <c r="B2208" s="140" t="s">
        <v>133</v>
      </c>
      <c r="C2208" s="140" t="s">
        <v>19</v>
      </c>
      <c r="D2208" s="140" t="s">
        <v>11</v>
      </c>
      <c r="E2208" s="140" t="s">
        <v>12</v>
      </c>
      <c r="F2208">
        <v>70</v>
      </c>
      <c r="G2208" s="140" t="s">
        <v>230</v>
      </c>
      <c r="H2208">
        <v>0</v>
      </c>
      <c r="I2208" s="140" t="s">
        <v>17</v>
      </c>
    </row>
    <row r="2209" spans="1:9" hidden="1" x14ac:dyDescent="0.25">
      <c r="A2209">
        <v>2024</v>
      </c>
      <c r="B2209" s="140" t="s">
        <v>133</v>
      </c>
      <c r="C2209" s="140" t="s">
        <v>19</v>
      </c>
      <c r="D2209" s="140" t="s">
        <v>11</v>
      </c>
      <c r="E2209" s="140" t="s">
        <v>12</v>
      </c>
      <c r="F2209">
        <v>69</v>
      </c>
      <c r="G2209" s="140" t="s">
        <v>230</v>
      </c>
      <c r="H2209">
        <v>0</v>
      </c>
      <c r="I2209" s="140" t="s">
        <v>17</v>
      </c>
    </row>
    <row r="2210" spans="1:9" hidden="1" x14ac:dyDescent="0.25">
      <c r="A2210">
        <v>2025</v>
      </c>
      <c r="B2210" s="140" t="s">
        <v>133</v>
      </c>
      <c r="C2210" s="140" t="s">
        <v>19</v>
      </c>
      <c r="D2210" s="140" t="s">
        <v>11</v>
      </c>
      <c r="E2210" s="140" t="s">
        <v>12</v>
      </c>
      <c r="F2210">
        <v>66</v>
      </c>
      <c r="G2210" s="140" t="s">
        <v>230</v>
      </c>
      <c r="H2210">
        <v>0</v>
      </c>
      <c r="I2210" s="140" t="s">
        <v>17</v>
      </c>
    </row>
    <row r="2211" spans="1:9" hidden="1" x14ac:dyDescent="0.25">
      <c r="A2211">
        <v>2026</v>
      </c>
      <c r="B2211" s="140" t="s">
        <v>133</v>
      </c>
      <c r="C2211" s="140" t="s">
        <v>19</v>
      </c>
      <c r="D2211" s="140" t="s">
        <v>11</v>
      </c>
      <c r="E2211" s="140" t="s">
        <v>12</v>
      </c>
      <c r="F2211">
        <v>66</v>
      </c>
      <c r="G2211" s="140" t="s">
        <v>230</v>
      </c>
      <c r="H2211">
        <v>0</v>
      </c>
      <c r="I2211" s="140" t="s">
        <v>17</v>
      </c>
    </row>
    <row r="2212" spans="1:9" hidden="1" x14ac:dyDescent="0.25">
      <c r="A2212">
        <v>2027</v>
      </c>
      <c r="B2212" s="140" t="s">
        <v>133</v>
      </c>
      <c r="C2212" s="140" t="s">
        <v>19</v>
      </c>
      <c r="D2212" s="140" t="s">
        <v>11</v>
      </c>
      <c r="E2212" s="140" t="s">
        <v>12</v>
      </c>
      <c r="F2212">
        <v>66</v>
      </c>
      <c r="G2212" s="140" t="s">
        <v>230</v>
      </c>
      <c r="H2212">
        <v>0</v>
      </c>
      <c r="I2212" s="140" t="s">
        <v>17</v>
      </c>
    </row>
    <row r="2213" spans="1:9" hidden="1" x14ac:dyDescent="0.25">
      <c r="A2213">
        <v>2028</v>
      </c>
      <c r="B2213" s="140" t="s">
        <v>133</v>
      </c>
      <c r="C2213" s="140" t="s">
        <v>19</v>
      </c>
      <c r="D2213" s="140" t="s">
        <v>11</v>
      </c>
      <c r="E2213" s="140" t="s">
        <v>12</v>
      </c>
      <c r="F2213">
        <v>66</v>
      </c>
      <c r="G2213" s="140" t="s">
        <v>230</v>
      </c>
      <c r="H2213">
        <v>0</v>
      </c>
      <c r="I2213" s="140" t="s">
        <v>17</v>
      </c>
    </row>
    <row r="2214" spans="1:9" hidden="1" x14ac:dyDescent="0.25">
      <c r="A2214">
        <v>1992</v>
      </c>
      <c r="B2214" s="140" t="s">
        <v>137</v>
      </c>
      <c r="C2214" s="140" t="s">
        <v>120</v>
      </c>
      <c r="D2214" s="140" t="s">
        <v>11</v>
      </c>
      <c r="E2214" s="140" t="s">
        <v>55</v>
      </c>
      <c r="F2214">
        <v>2.0514800360000001</v>
      </c>
      <c r="G2214" s="140" t="s">
        <v>288</v>
      </c>
      <c r="H2214">
        <v>0</v>
      </c>
      <c r="I2214" s="140" t="s">
        <v>14</v>
      </c>
    </row>
    <row r="2215" spans="1:9" hidden="1" x14ac:dyDescent="0.25">
      <c r="A2215">
        <v>1993</v>
      </c>
      <c r="B2215" s="140" t="s">
        <v>137</v>
      </c>
      <c r="C2215" s="140" t="s">
        <v>120</v>
      </c>
      <c r="D2215" s="140" t="s">
        <v>11</v>
      </c>
      <c r="E2215" s="140" t="s">
        <v>55</v>
      </c>
      <c r="F2215">
        <v>3.921552116</v>
      </c>
      <c r="G2215" s="140" t="s">
        <v>288</v>
      </c>
      <c r="H2215">
        <v>0</v>
      </c>
      <c r="I2215" s="140" t="s">
        <v>14</v>
      </c>
    </row>
    <row r="2216" spans="1:9" hidden="1" x14ac:dyDescent="0.25">
      <c r="A2216">
        <v>1994</v>
      </c>
      <c r="B2216" s="140" t="s">
        <v>137</v>
      </c>
      <c r="C2216" s="140" t="s">
        <v>120</v>
      </c>
      <c r="D2216" s="140" t="s">
        <v>11</v>
      </c>
      <c r="E2216" s="140" t="s">
        <v>55</v>
      </c>
      <c r="F2216">
        <v>0.74079646499999996</v>
      </c>
      <c r="G2216" s="140" t="s">
        <v>288</v>
      </c>
      <c r="H2216">
        <v>0</v>
      </c>
      <c r="I2216" s="140" t="s">
        <v>14</v>
      </c>
    </row>
    <row r="2217" spans="1:9" hidden="1" x14ac:dyDescent="0.25">
      <c r="A2217">
        <v>1995</v>
      </c>
      <c r="B2217" s="140" t="s">
        <v>137</v>
      </c>
      <c r="C2217" s="140" t="s">
        <v>120</v>
      </c>
      <c r="D2217" s="140" t="s">
        <v>11</v>
      </c>
      <c r="E2217" s="140" t="s">
        <v>55</v>
      </c>
      <c r="F2217">
        <v>0.65318136999999998</v>
      </c>
      <c r="G2217" s="140" t="s">
        <v>288</v>
      </c>
      <c r="H2217">
        <v>0</v>
      </c>
      <c r="I2217" s="140" t="s">
        <v>14</v>
      </c>
    </row>
    <row r="2218" spans="1:9" hidden="1" x14ac:dyDescent="0.25">
      <c r="A2218">
        <v>1996</v>
      </c>
      <c r="B2218" s="140" t="s">
        <v>137</v>
      </c>
      <c r="C2218" s="140" t="s">
        <v>120</v>
      </c>
      <c r="D2218" s="140" t="s">
        <v>11</v>
      </c>
      <c r="E2218" s="140" t="s">
        <v>55</v>
      </c>
      <c r="F2218">
        <v>1.2500527000000001E-2</v>
      </c>
      <c r="G2218" s="140" t="s">
        <v>288</v>
      </c>
      <c r="H2218">
        <v>0</v>
      </c>
      <c r="I2218" s="140" t="s">
        <v>14</v>
      </c>
    </row>
    <row r="2219" spans="1:9" hidden="1" x14ac:dyDescent="0.25">
      <c r="A2219">
        <v>1997</v>
      </c>
      <c r="B2219" s="140" t="s">
        <v>137</v>
      </c>
      <c r="C2219" s="140" t="s">
        <v>120</v>
      </c>
      <c r="D2219" s="140" t="s">
        <v>11</v>
      </c>
      <c r="E2219" s="140" t="s">
        <v>55</v>
      </c>
      <c r="F2219">
        <v>1.6043774660000001</v>
      </c>
      <c r="G2219" s="140" t="s">
        <v>288</v>
      </c>
      <c r="H2219">
        <v>0</v>
      </c>
      <c r="I2219" s="140" t="s">
        <v>14</v>
      </c>
    </row>
    <row r="2220" spans="1:9" hidden="1" x14ac:dyDescent="0.25">
      <c r="A2220">
        <v>1998</v>
      </c>
      <c r="B2220" s="140" t="s">
        <v>137</v>
      </c>
      <c r="C2220" s="140" t="s">
        <v>120</v>
      </c>
      <c r="D2220" s="140" t="s">
        <v>11</v>
      </c>
      <c r="E2220" s="140" t="s">
        <v>55</v>
      </c>
      <c r="F2220">
        <v>0.77289917299999999</v>
      </c>
      <c r="G2220" s="140" t="s">
        <v>288</v>
      </c>
      <c r="H2220">
        <v>0</v>
      </c>
      <c r="I2220" s="140" t="s">
        <v>14</v>
      </c>
    </row>
    <row r="2221" spans="1:9" hidden="1" x14ac:dyDescent="0.25">
      <c r="A2221">
        <v>1999</v>
      </c>
      <c r="B2221" s="140" t="s">
        <v>137</v>
      </c>
      <c r="C2221" s="140" t="s">
        <v>120</v>
      </c>
      <c r="D2221" s="140" t="s">
        <v>11</v>
      </c>
      <c r="E2221" s="140" t="s">
        <v>55</v>
      </c>
      <c r="F2221">
        <v>2.9790806120000002</v>
      </c>
      <c r="G2221" s="140" t="s">
        <v>288</v>
      </c>
      <c r="H2221">
        <v>0</v>
      </c>
      <c r="I2221" s="140" t="s">
        <v>14</v>
      </c>
    </row>
    <row r="2222" spans="1:9" hidden="1" x14ac:dyDescent="0.25">
      <c r="A2222">
        <v>2000</v>
      </c>
      <c r="B2222" s="140" t="s">
        <v>137</v>
      </c>
      <c r="C2222" s="140" t="s">
        <v>120</v>
      </c>
      <c r="D2222" s="140" t="s">
        <v>11</v>
      </c>
      <c r="E2222" s="140" t="s">
        <v>55</v>
      </c>
      <c r="F2222">
        <v>1.8010150709999999</v>
      </c>
      <c r="G2222" s="140" t="s">
        <v>288</v>
      </c>
      <c r="H2222">
        <v>0</v>
      </c>
      <c r="I2222" s="140" t="s">
        <v>14</v>
      </c>
    </row>
    <row r="2223" spans="1:9" hidden="1" x14ac:dyDescent="0.25">
      <c r="A2223">
        <v>2001</v>
      </c>
      <c r="B2223" s="140" t="s">
        <v>137</v>
      </c>
      <c r="C2223" s="140" t="s">
        <v>120</v>
      </c>
      <c r="D2223" s="140" t="s">
        <v>11</v>
      </c>
      <c r="E2223" s="140" t="s">
        <v>55</v>
      </c>
      <c r="F2223">
        <v>0.311240929</v>
      </c>
      <c r="G2223" s="140" t="s">
        <v>288</v>
      </c>
      <c r="H2223">
        <v>0</v>
      </c>
      <c r="I2223" s="140" t="s">
        <v>14</v>
      </c>
    </row>
    <row r="2224" spans="1:9" hidden="1" x14ac:dyDescent="0.25">
      <c r="A2224">
        <v>2002</v>
      </c>
      <c r="B2224" s="140" t="s">
        <v>137</v>
      </c>
      <c r="C2224" s="140" t="s">
        <v>120</v>
      </c>
      <c r="D2224" s="140" t="s">
        <v>11</v>
      </c>
      <c r="E2224" s="140" t="s">
        <v>55</v>
      </c>
      <c r="F2224">
        <v>0.274025621</v>
      </c>
      <c r="G2224" s="140" t="s">
        <v>288</v>
      </c>
      <c r="H2224">
        <v>0</v>
      </c>
      <c r="I2224" s="140" t="s">
        <v>14</v>
      </c>
    </row>
    <row r="2225" spans="1:9" hidden="1" x14ac:dyDescent="0.25">
      <c r="A2225">
        <v>2003</v>
      </c>
      <c r="B2225" s="140" t="s">
        <v>137</v>
      </c>
      <c r="C2225" s="140" t="s">
        <v>120</v>
      </c>
      <c r="D2225" s="140" t="s">
        <v>11</v>
      </c>
      <c r="E2225" s="140" t="s">
        <v>55</v>
      </c>
      <c r="F2225">
        <v>-1.6337011809999999</v>
      </c>
      <c r="G2225" s="140" t="s">
        <v>288</v>
      </c>
      <c r="H2225">
        <v>0</v>
      </c>
      <c r="I2225" s="140" t="s">
        <v>14</v>
      </c>
    </row>
    <row r="2226" spans="1:9" hidden="1" x14ac:dyDescent="0.25">
      <c r="A2226">
        <v>2004</v>
      </c>
      <c r="B2226" s="140" t="s">
        <v>137</v>
      </c>
      <c r="C2226" s="140" t="s">
        <v>120</v>
      </c>
      <c r="D2226" s="140" t="s">
        <v>11</v>
      </c>
      <c r="E2226" s="140" t="s">
        <v>55</v>
      </c>
      <c r="F2226">
        <v>0.76587949899999996</v>
      </c>
      <c r="G2226" s="140" t="s">
        <v>288</v>
      </c>
      <c r="H2226">
        <v>0</v>
      </c>
      <c r="I2226" s="140" t="s">
        <v>14</v>
      </c>
    </row>
    <row r="2227" spans="1:9" hidden="1" x14ac:dyDescent="0.25">
      <c r="A2227">
        <v>2005</v>
      </c>
      <c r="B2227" s="140" t="s">
        <v>137</v>
      </c>
      <c r="C2227" s="140" t="s">
        <v>120</v>
      </c>
      <c r="D2227" s="140" t="s">
        <v>11</v>
      </c>
      <c r="E2227" s="140" t="s">
        <v>55</v>
      </c>
      <c r="F2227">
        <v>-0.93360544599999995</v>
      </c>
      <c r="G2227" s="140" t="s">
        <v>288</v>
      </c>
      <c r="H2227">
        <v>0</v>
      </c>
      <c r="I2227" s="140" t="s">
        <v>14</v>
      </c>
    </row>
    <row r="2228" spans="1:9" hidden="1" x14ac:dyDescent="0.25">
      <c r="A2228">
        <v>2006</v>
      </c>
      <c r="B2228" s="140" t="s">
        <v>137</v>
      </c>
      <c r="C2228" s="140" t="s">
        <v>120</v>
      </c>
      <c r="D2228" s="140" t="s">
        <v>11</v>
      </c>
      <c r="E2228" s="140" t="s">
        <v>55</v>
      </c>
      <c r="F2228">
        <v>1.5600523669999999</v>
      </c>
      <c r="G2228" s="140" t="s">
        <v>288</v>
      </c>
      <c r="H2228">
        <v>0</v>
      </c>
      <c r="I2228" s="140" t="s">
        <v>14</v>
      </c>
    </row>
    <row r="2229" spans="1:9" hidden="1" x14ac:dyDescent="0.25">
      <c r="A2229">
        <v>2007</v>
      </c>
      <c r="B2229" s="140" t="s">
        <v>137</v>
      </c>
      <c r="C2229" s="140" t="s">
        <v>120</v>
      </c>
      <c r="D2229" s="140" t="s">
        <v>11</v>
      </c>
      <c r="E2229" s="140" t="s">
        <v>55</v>
      </c>
      <c r="F2229">
        <v>0.99882693600000005</v>
      </c>
      <c r="G2229" s="140" t="s">
        <v>288</v>
      </c>
      <c r="H2229">
        <v>0</v>
      </c>
      <c r="I2229" s="140" t="s">
        <v>14</v>
      </c>
    </row>
    <row r="2230" spans="1:9" hidden="1" x14ac:dyDescent="0.25">
      <c r="A2230">
        <v>2008</v>
      </c>
      <c r="B2230" s="140" t="s">
        <v>137</v>
      </c>
      <c r="C2230" s="140" t="s">
        <v>120</v>
      </c>
      <c r="D2230" s="140" t="s">
        <v>11</v>
      </c>
      <c r="E2230" s="140" t="s">
        <v>55</v>
      </c>
      <c r="F2230">
        <v>-0.21601077199999999</v>
      </c>
      <c r="G2230" s="140" t="s">
        <v>288</v>
      </c>
      <c r="H2230">
        <v>0</v>
      </c>
      <c r="I2230" s="140" t="s">
        <v>14</v>
      </c>
    </row>
    <row r="2231" spans="1:9" hidden="1" x14ac:dyDescent="0.25">
      <c r="A2231">
        <v>2009</v>
      </c>
      <c r="B2231" s="140" t="s">
        <v>137</v>
      </c>
      <c r="C2231" s="140" t="s">
        <v>120</v>
      </c>
      <c r="D2231" s="140" t="s">
        <v>11</v>
      </c>
      <c r="E2231" s="140" t="s">
        <v>55</v>
      </c>
      <c r="F2231">
        <v>-2.013743624</v>
      </c>
      <c r="G2231" s="140" t="s">
        <v>288</v>
      </c>
      <c r="H2231">
        <v>0</v>
      </c>
      <c r="I2231" s="140" t="s">
        <v>14</v>
      </c>
    </row>
    <row r="2232" spans="1:9" hidden="1" x14ac:dyDescent="0.25">
      <c r="A2232">
        <v>2010</v>
      </c>
      <c r="B2232" s="140" t="s">
        <v>137</v>
      </c>
      <c r="C2232" s="140" t="s">
        <v>120</v>
      </c>
      <c r="D2232" s="140" t="s">
        <v>11</v>
      </c>
      <c r="E2232" s="140" t="s">
        <v>55</v>
      </c>
      <c r="F2232">
        <v>8.4931992999999997E-2</v>
      </c>
      <c r="G2232" s="140" t="s">
        <v>288</v>
      </c>
      <c r="H2232">
        <v>0</v>
      </c>
      <c r="I2232" s="140" t="s">
        <v>14</v>
      </c>
    </row>
    <row r="2233" spans="1:9" hidden="1" x14ac:dyDescent="0.25">
      <c r="A2233">
        <v>2011</v>
      </c>
      <c r="B2233" s="140" t="s">
        <v>137</v>
      </c>
      <c r="C2233" s="140" t="s">
        <v>120</v>
      </c>
      <c r="D2233" s="140" t="s">
        <v>11</v>
      </c>
      <c r="E2233" s="140" t="s">
        <v>55</v>
      </c>
      <c r="F2233">
        <v>-1.522222121</v>
      </c>
      <c r="G2233" s="140" t="s">
        <v>288</v>
      </c>
      <c r="H2233">
        <v>0</v>
      </c>
      <c r="I2233" s="140" t="s">
        <v>14</v>
      </c>
    </row>
    <row r="2234" spans="1:9" hidden="1" x14ac:dyDescent="0.25">
      <c r="A2234">
        <v>2012</v>
      </c>
      <c r="B2234" s="140" t="s">
        <v>137</v>
      </c>
      <c r="C2234" s="140" t="s">
        <v>120</v>
      </c>
      <c r="D2234" s="140" t="s">
        <v>11</v>
      </c>
      <c r="E2234" s="140" t="s">
        <v>55</v>
      </c>
      <c r="F2234">
        <v>-0.355227825</v>
      </c>
      <c r="G2234" s="140" t="s">
        <v>288</v>
      </c>
      <c r="H2234">
        <v>0</v>
      </c>
      <c r="I2234" s="140" t="s">
        <v>14</v>
      </c>
    </row>
    <row r="2235" spans="1:9" hidden="1" x14ac:dyDescent="0.25">
      <c r="A2235">
        <v>2013</v>
      </c>
      <c r="B2235" s="140" t="s">
        <v>137</v>
      </c>
      <c r="C2235" s="140" t="s">
        <v>120</v>
      </c>
      <c r="D2235" s="140" t="s">
        <v>11</v>
      </c>
      <c r="E2235" s="140" t="s">
        <v>55</v>
      </c>
      <c r="F2235">
        <v>0.40086296199999999</v>
      </c>
      <c r="G2235" s="140" t="s">
        <v>288</v>
      </c>
      <c r="H2235">
        <v>0</v>
      </c>
      <c r="I2235" s="140" t="s">
        <v>14</v>
      </c>
    </row>
    <row r="2236" spans="1:9" hidden="1" x14ac:dyDescent="0.25">
      <c r="A2236">
        <v>2014</v>
      </c>
      <c r="B2236" s="140" t="s">
        <v>137</v>
      </c>
      <c r="C2236" s="140" t="s">
        <v>120</v>
      </c>
      <c r="D2236" s="140" t="s">
        <v>11</v>
      </c>
      <c r="E2236" s="140" t="s">
        <v>55</v>
      </c>
      <c r="F2236">
        <v>-0.33294562300000002</v>
      </c>
      <c r="G2236" s="140" t="s">
        <v>288</v>
      </c>
      <c r="H2236">
        <v>0</v>
      </c>
      <c r="I2236" s="140" t="s">
        <v>14</v>
      </c>
    </row>
    <row r="2237" spans="1:9" hidden="1" x14ac:dyDescent="0.25">
      <c r="A2237">
        <v>2015</v>
      </c>
      <c r="B2237" s="140" t="s">
        <v>137</v>
      </c>
      <c r="C2237" s="140" t="s">
        <v>120</v>
      </c>
      <c r="D2237" s="140" t="s">
        <v>11</v>
      </c>
      <c r="E2237" s="140" t="s">
        <v>55</v>
      </c>
      <c r="F2237">
        <v>-0.71788382100000003</v>
      </c>
      <c r="G2237" s="140" t="s">
        <v>288</v>
      </c>
      <c r="H2237">
        <v>0</v>
      </c>
      <c r="I2237" s="140" t="s">
        <v>14</v>
      </c>
    </row>
    <row r="2238" spans="1:9" hidden="1" x14ac:dyDescent="0.25">
      <c r="A2238">
        <v>2016</v>
      </c>
      <c r="B2238" s="140" t="s">
        <v>137</v>
      </c>
      <c r="C2238" s="140" t="s">
        <v>120</v>
      </c>
      <c r="D2238" s="140" t="s">
        <v>11</v>
      </c>
      <c r="E2238" s="140" t="s">
        <v>55</v>
      </c>
      <c r="F2238">
        <v>-0.54902184700000001</v>
      </c>
      <c r="G2238" s="140" t="s">
        <v>288</v>
      </c>
      <c r="H2238">
        <v>0</v>
      </c>
      <c r="I2238" s="140" t="s">
        <v>14</v>
      </c>
    </row>
    <row r="2239" spans="1:9" hidden="1" x14ac:dyDescent="0.25">
      <c r="A2239">
        <v>2017</v>
      </c>
      <c r="B2239" s="140" t="s">
        <v>137</v>
      </c>
      <c r="C2239" s="140" t="s">
        <v>120</v>
      </c>
      <c r="D2239" s="140" t="s">
        <v>11</v>
      </c>
      <c r="E2239" s="140" t="s">
        <v>55</v>
      </c>
      <c r="F2239">
        <v>1.6119670269999999</v>
      </c>
      <c r="G2239" s="140" t="s">
        <v>288</v>
      </c>
      <c r="H2239">
        <v>0</v>
      </c>
      <c r="I2239" s="140" t="s">
        <v>14</v>
      </c>
    </row>
    <row r="2240" spans="1:9" hidden="1" x14ac:dyDescent="0.25">
      <c r="A2240">
        <v>2018</v>
      </c>
      <c r="B2240" s="140" t="s">
        <v>137</v>
      </c>
      <c r="C2240" s="140" t="s">
        <v>120</v>
      </c>
      <c r="D2240" s="140" t="s">
        <v>11</v>
      </c>
      <c r="E2240" s="140" t="s">
        <v>55</v>
      </c>
      <c r="F2240">
        <v>-1.549648554</v>
      </c>
      <c r="G2240" s="140" t="s">
        <v>288</v>
      </c>
      <c r="H2240">
        <v>0</v>
      </c>
      <c r="I2240" s="140" t="s">
        <v>14</v>
      </c>
    </row>
    <row r="2241" spans="1:9" hidden="1" x14ac:dyDescent="0.25">
      <c r="A2241">
        <v>2019</v>
      </c>
      <c r="B2241" s="140" t="s">
        <v>137</v>
      </c>
      <c r="C2241" s="140" t="s">
        <v>120</v>
      </c>
      <c r="D2241" s="140" t="s">
        <v>11</v>
      </c>
      <c r="E2241" s="140" t="s">
        <v>55</v>
      </c>
      <c r="F2241">
        <v>1.73086275</v>
      </c>
      <c r="G2241" s="140" t="s">
        <v>288</v>
      </c>
      <c r="H2241">
        <v>0</v>
      </c>
      <c r="I2241" s="140" t="s">
        <v>14</v>
      </c>
    </row>
    <row r="2242" spans="1:9" hidden="1" x14ac:dyDescent="0.25">
      <c r="A2242">
        <v>2020</v>
      </c>
      <c r="B2242" s="140" t="s">
        <v>137</v>
      </c>
      <c r="C2242" s="140" t="s">
        <v>120</v>
      </c>
      <c r="D2242" s="140" t="s">
        <v>11</v>
      </c>
      <c r="E2242" s="140" t="s">
        <v>55</v>
      </c>
      <c r="F2242">
        <v>-1.008302802</v>
      </c>
      <c r="G2242" s="140" t="s">
        <v>288</v>
      </c>
      <c r="H2242">
        <v>0</v>
      </c>
      <c r="I2242" s="140" t="s">
        <v>14</v>
      </c>
    </row>
    <row r="2243" spans="1:9" hidden="1" x14ac:dyDescent="0.25">
      <c r="A2243">
        <v>2021</v>
      </c>
      <c r="B2243" s="140" t="s">
        <v>137</v>
      </c>
      <c r="C2243" s="140" t="s">
        <v>120</v>
      </c>
      <c r="D2243" s="140" t="s">
        <v>11</v>
      </c>
      <c r="E2243" s="140" t="s">
        <v>55</v>
      </c>
      <c r="F2243">
        <v>-0.34936409299999999</v>
      </c>
      <c r="G2243" s="140" t="s">
        <v>288</v>
      </c>
      <c r="H2243">
        <v>0</v>
      </c>
      <c r="I2243" s="140" t="s">
        <v>14</v>
      </c>
    </row>
    <row r="2244" spans="1:9" hidden="1" x14ac:dyDescent="0.25">
      <c r="A2244">
        <v>2022</v>
      </c>
      <c r="B2244" s="140" t="s">
        <v>137</v>
      </c>
      <c r="C2244" s="140" t="s">
        <v>120</v>
      </c>
      <c r="D2244" s="140" t="s">
        <v>11</v>
      </c>
      <c r="E2244" s="140" t="s">
        <v>55</v>
      </c>
      <c r="F2244">
        <v>-2.108760229</v>
      </c>
      <c r="G2244" s="140" t="s">
        <v>288</v>
      </c>
      <c r="H2244">
        <v>0</v>
      </c>
      <c r="I2244" s="140" t="s">
        <v>14</v>
      </c>
    </row>
    <row r="2245" spans="1:9" hidden="1" x14ac:dyDescent="0.25">
      <c r="A2245">
        <v>2023</v>
      </c>
      <c r="B2245" s="140" t="s">
        <v>137</v>
      </c>
      <c r="C2245" s="140" t="s">
        <v>120</v>
      </c>
      <c r="D2245" s="140" t="s">
        <v>11</v>
      </c>
      <c r="E2245" s="140" t="s">
        <v>55</v>
      </c>
      <c r="F2245">
        <v>2.7487845370000001</v>
      </c>
      <c r="G2245" s="140" t="s">
        <v>288</v>
      </c>
      <c r="H2245">
        <v>0</v>
      </c>
      <c r="I2245" s="140" t="s">
        <v>14</v>
      </c>
    </row>
    <row r="2246" spans="1:9" hidden="1" x14ac:dyDescent="0.25">
      <c r="A2246">
        <v>2024</v>
      </c>
      <c r="B2246" s="140" t="s">
        <v>137</v>
      </c>
      <c r="C2246" s="140" t="s">
        <v>120</v>
      </c>
      <c r="D2246" s="140" t="s">
        <v>11</v>
      </c>
      <c r="E2246" s="140" t="s">
        <v>55</v>
      </c>
      <c r="F2246">
        <v>0.99377476200000003</v>
      </c>
      <c r="G2246" s="140" t="s">
        <v>288</v>
      </c>
      <c r="H2246">
        <v>0</v>
      </c>
      <c r="I2246" s="140" t="s">
        <v>14</v>
      </c>
    </row>
    <row r="2247" spans="1:9" hidden="1" x14ac:dyDescent="0.25">
      <c r="A2247">
        <v>2025</v>
      </c>
      <c r="B2247" s="140" t="s">
        <v>137</v>
      </c>
      <c r="C2247" s="140" t="s">
        <v>120</v>
      </c>
      <c r="D2247" s="140" t="s">
        <v>11</v>
      </c>
      <c r="E2247" s="140" t="s">
        <v>55</v>
      </c>
      <c r="F2247">
        <v>0.97648294899999999</v>
      </c>
      <c r="G2247" s="140" t="s">
        <v>288</v>
      </c>
      <c r="H2247">
        <v>0</v>
      </c>
      <c r="I2247" s="140" t="s">
        <v>14</v>
      </c>
    </row>
    <row r="2248" spans="1:9" hidden="1" x14ac:dyDescent="0.25">
      <c r="A2248">
        <v>2026</v>
      </c>
      <c r="B2248" s="140" t="s">
        <v>137</v>
      </c>
      <c r="C2248" s="140" t="s">
        <v>120</v>
      </c>
      <c r="D2248" s="140" t="s">
        <v>11</v>
      </c>
      <c r="E2248" s="140" t="s">
        <v>55</v>
      </c>
      <c r="F2248">
        <v>-0.74049995899999999</v>
      </c>
      <c r="G2248" s="140" t="s">
        <v>288</v>
      </c>
      <c r="H2248">
        <v>0</v>
      </c>
      <c r="I2248" s="140" t="s">
        <v>14</v>
      </c>
    </row>
    <row r="2249" spans="1:9" hidden="1" x14ac:dyDescent="0.25">
      <c r="A2249">
        <v>2027</v>
      </c>
      <c r="B2249" s="140" t="s">
        <v>137</v>
      </c>
      <c r="C2249" s="140" t="s">
        <v>120</v>
      </c>
      <c r="D2249" s="140" t="s">
        <v>11</v>
      </c>
      <c r="E2249" s="140" t="s">
        <v>55</v>
      </c>
      <c r="F2249">
        <v>-5.0491313000000003E-2</v>
      </c>
      <c r="G2249" s="140" t="s">
        <v>288</v>
      </c>
      <c r="H2249">
        <v>0</v>
      </c>
      <c r="I2249" s="140" t="s">
        <v>14</v>
      </c>
    </row>
    <row r="2250" spans="1:9" hidden="1" x14ac:dyDescent="0.25">
      <c r="A2250">
        <v>2028</v>
      </c>
      <c r="B2250" s="140" t="s">
        <v>137</v>
      </c>
      <c r="C2250" s="140" t="s">
        <v>120</v>
      </c>
      <c r="D2250" s="140" t="s">
        <v>11</v>
      </c>
      <c r="E2250" s="140" t="s">
        <v>55</v>
      </c>
      <c r="F2250">
        <v>-0.216011008</v>
      </c>
      <c r="G2250" s="140" t="s">
        <v>288</v>
      </c>
      <c r="H2250">
        <v>0</v>
      </c>
      <c r="I2250" s="140" t="s">
        <v>14</v>
      </c>
    </row>
    <row r="2251" spans="1:9" hidden="1" x14ac:dyDescent="0.25">
      <c r="A2251">
        <v>1991</v>
      </c>
      <c r="B2251" s="140" t="s">
        <v>119</v>
      </c>
      <c r="C2251" s="140" t="s">
        <v>120</v>
      </c>
      <c r="D2251" s="140" t="s">
        <v>11</v>
      </c>
      <c r="E2251" s="140" t="s">
        <v>12</v>
      </c>
      <c r="F2251">
        <v>-5.0192203380000002</v>
      </c>
      <c r="G2251" s="140" t="s">
        <v>293</v>
      </c>
      <c r="H2251">
        <v>0</v>
      </c>
      <c r="I2251" s="140" t="s">
        <v>14</v>
      </c>
    </row>
    <row r="2252" spans="1:9" hidden="1" x14ac:dyDescent="0.25">
      <c r="A2252">
        <v>1992</v>
      </c>
      <c r="B2252" s="140" t="s">
        <v>119</v>
      </c>
      <c r="C2252" s="140" t="s">
        <v>120</v>
      </c>
      <c r="D2252" s="140" t="s">
        <v>11</v>
      </c>
      <c r="E2252" s="140" t="s">
        <v>12</v>
      </c>
      <c r="F2252">
        <v>-3.5581109419999999</v>
      </c>
      <c r="G2252" s="140" t="s">
        <v>293</v>
      </c>
      <c r="H2252">
        <v>0</v>
      </c>
      <c r="I2252" s="140" t="s">
        <v>14</v>
      </c>
    </row>
    <row r="2253" spans="1:9" hidden="1" x14ac:dyDescent="0.25">
      <c r="A2253">
        <v>1993</v>
      </c>
      <c r="B2253" s="140" t="s">
        <v>119</v>
      </c>
      <c r="C2253" s="140" t="s">
        <v>120</v>
      </c>
      <c r="D2253" s="140" t="s">
        <v>11</v>
      </c>
      <c r="E2253" s="140" t="s">
        <v>12</v>
      </c>
      <c r="F2253">
        <v>-2.7816569599999998</v>
      </c>
      <c r="G2253" s="140" t="s">
        <v>293</v>
      </c>
      <c r="H2253">
        <v>0</v>
      </c>
      <c r="I2253" s="140" t="s">
        <v>14</v>
      </c>
    </row>
    <row r="2254" spans="1:9" hidden="1" x14ac:dyDescent="0.25">
      <c r="A2254">
        <v>1994</v>
      </c>
      <c r="B2254" s="140" t="s">
        <v>119</v>
      </c>
      <c r="C2254" s="140" t="s">
        <v>120</v>
      </c>
      <c r="D2254" s="140" t="s">
        <v>11</v>
      </c>
      <c r="E2254" s="140" t="s">
        <v>12</v>
      </c>
      <c r="F2254">
        <v>0.16184723000000001</v>
      </c>
      <c r="G2254" s="140" t="s">
        <v>293</v>
      </c>
      <c r="H2254">
        <v>0</v>
      </c>
      <c r="I2254" s="140" t="s">
        <v>14</v>
      </c>
    </row>
    <row r="2255" spans="1:9" hidden="1" x14ac:dyDescent="0.25">
      <c r="A2255">
        <v>1995</v>
      </c>
      <c r="B2255" s="140" t="s">
        <v>119</v>
      </c>
      <c r="C2255" s="140" t="s">
        <v>120</v>
      </c>
      <c r="D2255" s="140" t="s">
        <v>11</v>
      </c>
      <c r="E2255" s="140" t="s">
        <v>12</v>
      </c>
      <c r="F2255">
        <v>2.3410473619999999</v>
      </c>
      <c r="G2255" s="140" t="s">
        <v>293</v>
      </c>
      <c r="H2255">
        <v>0</v>
      </c>
      <c r="I2255" s="140" t="s">
        <v>14</v>
      </c>
    </row>
    <row r="2256" spans="1:9" hidden="1" x14ac:dyDescent="0.25">
      <c r="A2256">
        <v>1996</v>
      </c>
      <c r="B2256" s="140" t="s">
        <v>119</v>
      </c>
      <c r="C2256" s="140" t="s">
        <v>120</v>
      </c>
      <c r="D2256" s="140" t="s">
        <v>11</v>
      </c>
      <c r="E2256" s="140" t="s">
        <v>12</v>
      </c>
      <c r="F2256">
        <v>1.9309182949999999</v>
      </c>
      <c r="G2256" s="140" t="s">
        <v>293</v>
      </c>
      <c r="H2256">
        <v>0</v>
      </c>
      <c r="I2256" s="140" t="s">
        <v>14</v>
      </c>
    </row>
    <row r="2257" spans="1:9" hidden="1" x14ac:dyDescent="0.25">
      <c r="A2257">
        <v>1997</v>
      </c>
      <c r="B2257" s="140" t="s">
        <v>119</v>
      </c>
      <c r="C2257" s="140" t="s">
        <v>120</v>
      </c>
      <c r="D2257" s="140" t="s">
        <v>11</v>
      </c>
      <c r="E2257" s="140" t="s">
        <v>12</v>
      </c>
      <c r="F2257">
        <v>2.234058761</v>
      </c>
      <c r="G2257" s="140" t="s">
        <v>293</v>
      </c>
      <c r="H2257">
        <v>0</v>
      </c>
      <c r="I2257" s="140" t="s">
        <v>14</v>
      </c>
    </row>
    <row r="2258" spans="1:9" hidden="1" x14ac:dyDescent="0.25">
      <c r="A2258">
        <v>1998</v>
      </c>
      <c r="B2258" s="140" t="s">
        <v>119</v>
      </c>
      <c r="C2258" s="140" t="s">
        <v>120</v>
      </c>
      <c r="D2258" s="140" t="s">
        <v>11</v>
      </c>
      <c r="E2258" s="140" t="s">
        <v>12</v>
      </c>
      <c r="F2258">
        <v>2.2805796819999999</v>
      </c>
      <c r="G2258" s="140" t="s">
        <v>293</v>
      </c>
      <c r="H2258">
        <v>0</v>
      </c>
      <c r="I2258" s="140" t="s">
        <v>14</v>
      </c>
    </row>
    <row r="2259" spans="1:9" hidden="1" x14ac:dyDescent="0.25">
      <c r="A2259">
        <v>1999</v>
      </c>
      <c r="B2259" s="140" t="s">
        <v>119</v>
      </c>
      <c r="C2259" s="140" t="s">
        <v>120</v>
      </c>
      <c r="D2259" s="140" t="s">
        <v>11</v>
      </c>
      <c r="E2259" s="140" t="s">
        <v>12</v>
      </c>
      <c r="F2259">
        <v>1.006734953</v>
      </c>
      <c r="G2259" s="140" t="s">
        <v>293</v>
      </c>
      <c r="H2259">
        <v>0</v>
      </c>
      <c r="I2259" s="140" t="s">
        <v>14</v>
      </c>
    </row>
    <row r="2260" spans="1:9" hidden="1" x14ac:dyDescent="0.25">
      <c r="A2260">
        <v>2000</v>
      </c>
      <c r="B2260" s="140" t="s">
        <v>119</v>
      </c>
      <c r="C2260" s="140" t="s">
        <v>120</v>
      </c>
      <c r="D2260" s="140" t="s">
        <v>11</v>
      </c>
      <c r="E2260" s="140" t="s">
        <v>12</v>
      </c>
      <c r="F2260">
        <v>1.3959134870000001</v>
      </c>
      <c r="G2260" s="140" t="s">
        <v>293</v>
      </c>
      <c r="H2260">
        <v>0</v>
      </c>
      <c r="I2260" s="140" t="s">
        <v>14</v>
      </c>
    </row>
    <row r="2261" spans="1:9" hidden="1" x14ac:dyDescent="0.25">
      <c r="A2261">
        <v>2001</v>
      </c>
      <c r="B2261" s="140" t="s">
        <v>119</v>
      </c>
      <c r="C2261" s="140" t="s">
        <v>120</v>
      </c>
      <c r="D2261" s="140" t="s">
        <v>11</v>
      </c>
      <c r="E2261" s="140" t="s">
        <v>12</v>
      </c>
      <c r="F2261">
        <v>0.406778262</v>
      </c>
      <c r="G2261" s="140" t="s">
        <v>293</v>
      </c>
      <c r="H2261">
        <v>0</v>
      </c>
      <c r="I2261" s="140" t="s">
        <v>14</v>
      </c>
    </row>
    <row r="2262" spans="1:9" hidden="1" x14ac:dyDescent="0.25">
      <c r="A2262">
        <v>2002</v>
      </c>
      <c r="B2262" s="140" t="s">
        <v>119</v>
      </c>
      <c r="C2262" s="140" t="s">
        <v>120</v>
      </c>
      <c r="D2262" s="140" t="s">
        <v>11</v>
      </c>
      <c r="E2262" s="140" t="s">
        <v>12</v>
      </c>
      <c r="F2262">
        <v>-0.67537182500000004</v>
      </c>
      <c r="G2262" s="140" t="s">
        <v>293</v>
      </c>
      <c r="H2262">
        <v>0</v>
      </c>
      <c r="I2262" s="140" t="s">
        <v>14</v>
      </c>
    </row>
    <row r="2263" spans="1:9" hidden="1" x14ac:dyDescent="0.25">
      <c r="A2263">
        <v>2003</v>
      </c>
      <c r="B2263" s="140" t="s">
        <v>119</v>
      </c>
      <c r="C2263" s="140" t="s">
        <v>120</v>
      </c>
      <c r="D2263" s="140" t="s">
        <v>11</v>
      </c>
      <c r="E2263" s="140" t="s">
        <v>12</v>
      </c>
      <c r="F2263">
        <v>0.60407878000000004</v>
      </c>
      <c r="G2263" s="140" t="s">
        <v>293</v>
      </c>
      <c r="H2263">
        <v>0</v>
      </c>
      <c r="I2263" s="140" t="s">
        <v>14</v>
      </c>
    </row>
    <row r="2264" spans="1:9" hidden="1" x14ac:dyDescent="0.25">
      <c r="A2264">
        <v>2004</v>
      </c>
      <c r="B2264" s="140" t="s">
        <v>119</v>
      </c>
      <c r="C2264" s="140" t="s">
        <v>120</v>
      </c>
      <c r="D2264" s="140" t="s">
        <v>11</v>
      </c>
      <c r="E2264" s="140" t="s">
        <v>12</v>
      </c>
      <c r="F2264">
        <v>1.0159975590000001</v>
      </c>
      <c r="G2264" s="140" t="s">
        <v>293</v>
      </c>
      <c r="H2264">
        <v>0</v>
      </c>
      <c r="I2264" s="140" t="s">
        <v>14</v>
      </c>
    </row>
    <row r="2265" spans="1:9" hidden="1" x14ac:dyDescent="0.25">
      <c r="A2265">
        <v>2005</v>
      </c>
      <c r="B2265" s="140" t="s">
        <v>119</v>
      </c>
      <c r="C2265" s="140" t="s">
        <v>120</v>
      </c>
      <c r="D2265" s="140" t="s">
        <v>11</v>
      </c>
      <c r="E2265" s="140" t="s">
        <v>12</v>
      </c>
      <c r="F2265">
        <v>0.723751704</v>
      </c>
      <c r="G2265" s="140" t="s">
        <v>293</v>
      </c>
      <c r="H2265">
        <v>0</v>
      </c>
      <c r="I2265" s="140" t="s">
        <v>14</v>
      </c>
    </row>
    <row r="2266" spans="1:9" hidden="1" x14ac:dyDescent="0.25">
      <c r="A2266">
        <v>2006</v>
      </c>
      <c r="B2266" s="140" t="s">
        <v>119</v>
      </c>
      <c r="C2266" s="140" t="s">
        <v>120</v>
      </c>
      <c r="D2266" s="140" t="s">
        <v>11</v>
      </c>
      <c r="E2266" s="140" t="s">
        <v>12</v>
      </c>
      <c r="F2266">
        <v>0.31105519999999998</v>
      </c>
      <c r="G2266" s="140" t="s">
        <v>293</v>
      </c>
      <c r="H2266">
        <v>0</v>
      </c>
      <c r="I2266" s="140" t="s">
        <v>14</v>
      </c>
    </row>
    <row r="2267" spans="1:9" hidden="1" x14ac:dyDescent="0.25">
      <c r="A2267">
        <v>2007</v>
      </c>
      <c r="B2267" s="140" t="s">
        <v>119</v>
      </c>
      <c r="C2267" s="140" t="s">
        <v>120</v>
      </c>
      <c r="D2267" s="140" t="s">
        <v>11</v>
      </c>
      <c r="E2267" s="140" t="s">
        <v>12</v>
      </c>
      <c r="F2267">
        <v>2.344586396</v>
      </c>
      <c r="G2267" s="140" t="s">
        <v>293</v>
      </c>
      <c r="H2267">
        <v>0</v>
      </c>
      <c r="I2267" s="140" t="s">
        <v>14</v>
      </c>
    </row>
    <row r="2268" spans="1:9" hidden="1" x14ac:dyDescent="0.25">
      <c r="A2268">
        <v>2008</v>
      </c>
      <c r="B2268" s="140" t="s">
        <v>119</v>
      </c>
      <c r="C2268" s="140" t="s">
        <v>120</v>
      </c>
      <c r="D2268" s="140" t="s">
        <v>11</v>
      </c>
      <c r="E2268" s="140" t="s">
        <v>12</v>
      </c>
      <c r="F2268">
        <v>0.153519714</v>
      </c>
      <c r="G2268" s="140" t="s">
        <v>293</v>
      </c>
      <c r="H2268">
        <v>0</v>
      </c>
      <c r="I2268" s="140" t="s">
        <v>14</v>
      </c>
    </row>
    <row r="2269" spans="1:9" hidden="1" x14ac:dyDescent="0.25">
      <c r="A2269">
        <v>2009</v>
      </c>
      <c r="B2269" s="140" t="s">
        <v>119</v>
      </c>
      <c r="C2269" s="140" t="s">
        <v>120</v>
      </c>
      <c r="D2269" s="140" t="s">
        <v>11</v>
      </c>
      <c r="E2269" s="140" t="s">
        <v>12</v>
      </c>
      <c r="F2269">
        <v>-2.9466358320000001</v>
      </c>
      <c r="G2269" s="140" t="s">
        <v>293</v>
      </c>
      <c r="H2269">
        <v>0</v>
      </c>
      <c r="I2269" s="140" t="s">
        <v>14</v>
      </c>
    </row>
    <row r="2270" spans="1:9" hidden="1" x14ac:dyDescent="0.25">
      <c r="A2270">
        <v>2010</v>
      </c>
      <c r="B2270" s="140" t="s">
        <v>119</v>
      </c>
      <c r="C2270" s="140" t="s">
        <v>120</v>
      </c>
      <c r="D2270" s="140" t="s">
        <v>11</v>
      </c>
      <c r="E2270" s="140" t="s">
        <v>12</v>
      </c>
      <c r="F2270">
        <v>1.0599618799999999</v>
      </c>
      <c r="G2270" s="140" t="s">
        <v>293</v>
      </c>
      <c r="H2270">
        <v>0</v>
      </c>
      <c r="I2270" s="140" t="s">
        <v>14</v>
      </c>
    </row>
    <row r="2271" spans="1:9" hidden="1" x14ac:dyDescent="0.25">
      <c r="A2271">
        <v>2011</v>
      </c>
      <c r="B2271" s="140" t="s">
        <v>119</v>
      </c>
      <c r="C2271" s="140" t="s">
        <v>120</v>
      </c>
      <c r="D2271" s="140" t="s">
        <v>11</v>
      </c>
      <c r="E2271" s="140" t="s">
        <v>12</v>
      </c>
      <c r="F2271">
        <v>0.59289744700000002</v>
      </c>
      <c r="G2271" s="140" t="s">
        <v>293</v>
      </c>
      <c r="H2271">
        <v>0</v>
      </c>
      <c r="I2271" s="140" t="s">
        <v>14</v>
      </c>
    </row>
    <row r="2272" spans="1:9" hidden="1" x14ac:dyDescent="0.25">
      <c r="A2272">
        <v>2012</v>
      </c>
      <c r="B2272" s="140" t="s">
        <v>119</v>
      </c>
      <c r="C2272" s="140" t="s">
        <v>120</v>
      </c>
      <c r="D2272" s="140" t="s">
        <v>11</v>
      </c>
      <c r="E2272" s="140" t="s">
        <v>12</v>
      </c>
      <c r="F2272">
        <v>-0.16337581000000001</v>
      </c>
      <c r="G2272" s="140" t="s">
        <v>293</v>
      </c>
      <c r="H2272">
        <v>0</v>
      </c>
      <c r="I2272" s="140" t="s">
        <v>14</v>
      </c>
    </row>
    <row r="2273" spans="1:9" hidden="1" x14ac:dyDescent="0.25">
      <c r="A2273">
        <v>2013</v>
      </c>
      <c r="B2273" s="140" t="s">
        <v>119</v>
      </c>
      <c r="C2273" s="140" t="s">
        <v>120</v>
      </c>
      <c r="D2273" s="140" t="s">
        <v>11</v>
      </c>
      <c r="E2273" s="140" t="s">
        <v>12</v>
      </c>
      <c r="F2273">
        <v>-0.99412850900000005</v>
      </c>
      <c r="G2273" s="140" t="s">
        <v>293</v>
      </c>
      <c r="H2273">
        <v>0</v>
      </c>
      <c r="I2273" s="140" t="s">
        <v>14</v>
      </c>
    </row>
    <row r="2274" spans="1:9" hidden="1" x14ac:dyDescent="0.25">
      <c r="A2274">
        <v>2014</v>
      </c>
      <c r="B2274" s="140" t="s">
        <v>119</v>
      </c>
      <c r="C2274" s="140" t="s">
        <v>120</v>
      </c>
      <c r="D2274" s="140" t="s">
        <v>11</v>
      </c>
      <c r="E2274" s="140" t="s">
        <v>12</v>
      </c>
      <c r="F2274">
        <v>-0.50361655100000002</v>
      </c>
      <c r="G2274" s="140" t="s">
        <v>293</v>
      </c>
      <c r="H2274">
        <v>0</v>
      </c>
      <c r="I2274" s="140" t="s">
        <v>14</v>
      </c>
    </row>
    <row r="2275" spans="1:9" hidden="1" x14ac:dyDescent="0.25">
      <c r="A2275">
        <v>2015</v>
      </c>
      <c r="B2275" s="140" t="s">
        <v>119</v>
      </c>
      <c r="C2275" s="140" t="s">
        <v>120</v>
      </c>
      <c r="D2275" s="140" t="s">
        <v>11</v>
      </c>
      <c r="E2275" s="140" t="s">
        <v>12</v>
      </c>
      <c r="F2275">
        <v>3.7204404000000003E-2</v>
      </c>
      <c r="G2275" s="140" t="s">
        <v>293</v>
      </c>
      <c r="H2275">
        <v>0</v>
      </c>
      <c r="I2275" s="140" t="s">
        <v>14</v>
      </c>
    </row>
    <row r="2276" spans="1:9" hidden="1" x14ac:dyDescent="0.25">
      <c r="A2276">
        <v>2016</v>
      </c>
      <c r="B2276" s="140" t="s">
        <v>119</v>
      </c>
      <c r="C2276" s="140" t="s">
        <v>120</v>
      </c>
      <c r="D2276" s="140" t="s">
        <v>11</v>
      </c>
      <c r="E2276" s="140" t="s">
        <v>12</v>
      </c>
      <c r="F2276">
        <v>1.9696277689999999</v>
      </c>
      <c r="G2276" s="140" t="s">
        <v>293</v>
      </c>
      <c r="H2276">
        <v>0</v>
      </c>
      <c r="I2276" s="140" t="s">
        <v>14</v>
      </c>
    </row>
    <row r="2277" spans="1:9" hidden="1" x14ac:dyDescent="0.25">
      <c r="A2277">
        <v>2017</v>
      </c>
      <c r="B2277" s="140" t="s">
        <v>119</v>
      </c>
      <c r="C2277" s="140" t="s">
        <v>120</v>
      </c>
      <c r="D2277" s="140" t="s">
        <v>11</v>
      </c>
      <c r="E2277" s="140" t="s">
        <v>12</v>
      </c>
      <c r="F2277">
        <v>1.1506753320000001</v>
      </c>
      <c r="G2277" s="140" t="s">
        <v>293</v>
      </c>
      <c r="H2277">
        <v>0</v>
      </c>
      <c r="I2277" s="140" t="s">
        <v>14</v>
      </c>
    </row>
    <row r="2278" spans="1:9" hidden="1" x14ac:dyDescent="0.25">
      <c r="A2278">
        <v>2018</v>
      </c>
      <c r="B2278" s="140" t="s">
        <v>119</v>
      </c>
      <c r="C2278" s="140" t="s">
        <v>120</v>
      </c>
      <c r="D2278" s="140" t="s">
        <v>11</v>
      </c>
      <c r="E2278" s="140" t="s">
        <v>12</v>
      </c>
      <c r="F2278">
        <v>1.0408790000000001</v>
      </c>
      <c r="G2278" s="140" t="s">
        <v>293</v>
      </c>
      <c r="H2278">
        <v>0</v>
      </c>
      <c r="I2278" s="140" t="s">
        <v>14</v>
      </c>
    </row>
    <row r="2279" spans="1:9" hidden="1" x14ac:dyDescent="0.25">
      <c r="A2279">
        <v>2019</v>
      </c>
      <c r="B2279" s="140" t="s">
        <v>119</v>
      </c>
      <c r="C2279" s="140" t="s">
        <v>120</v>
      </c>
      <c r="D2279" s="140" t="s">
        <v>11</v>
      </c>
      <c r="E2279" s="140" t="s">
        <v>12</v>
      </c>
      <c r="F2279">
        <v>-0.25558551899999998</v>
      </c>
      <c r="G2279" s="140" t="s">
        <v>293</v>
      </c>
      <c r="H2279">
        <v>0</v>
      </c>
      <c r="I2279" s="140" t="s">
        <v>14</v>
      </c>
    </row>
    <row r="2280" spans="1:9" hidden="1" x14ac:dyDescent="0.25">
      <c r="A2280">
        <v>2020</v>
      </c>
      <c r="B2280" s="140" t="s">
        <v>119</v>
      </c>
      <c r="C2280" s="140" t="s">
        <v>120</v>
      </c>
      <c r="D2280" s="140" t="s">
        <v>11</v>
      </c>
      <c r="E2280" s="140" t="s">
        <v>12</v>
      </c>
      <c r="F2280">
        <v>-0.27706672399999999</v>
      </c>
      <c r="G2280" s="140" t="s">
        <v>293</v>
      </c>
      <c r="H2280">
        <v>0</v>
      </c>
      <c r="I2280" s="140" t="s">
        <v>14</v>
      </c>
    </row>
    <row r="2281" spans="1:9" hidden="1" x14ac:dyDescent="0.25">
      <c r="A2281">
        <v>2021</v>
      </c>
      <c r="B2281" s="140" t="s">
        <v>119</v>
      </c>
      <c r="C2281" s="140" t="s">
        <v>120</v>
      </c>
      <c r="D2281" s="140" t="s">
        <v>11</v>
      </c>
      <c r="E2281" s="140" t="s">
        <v>12</v>
      </c>
      <c r="F2281">
        <v>0.44803904999999999</v>
      </c>
      <c r="G2281" s="140" t="s">
        <v>293</v>
      </c>
      <c r="H2281">
        <v>0</v>
      </c>
      <c r="I2281" s="140" t="s">
        <v>14</v>
      </c>
    </row>
    <row r="2282" spans="1:9" hidden="1" x14ac:dyDescent="0.25">
      <c r="A2282">
        <v>2022</v>
      </c>
      <c r="B2282" s="140" t="s">
        <v>119</v>
      </c>
      <c r="C2282" s="140" t="s">
        <v>120</v>
      </c>
      <c r="D2282" s="140" t="s">
        <v>11</v>
      </c>
      <c r="E2282" s="140" t="s">
        <v>12</v>
      </c>
      <c r="F2282">
        <v>0.37669752099999998</v>
      </c>
      <c r="G2282" s="140" t="s">
        <v>293</v>
      </c>
      <c r="H2282">
        <v>0</v>
      </c>
      <c r="I2282" s="140" t="s">
        <v>14</v>
      </c>
    </row>
    <row r="2283" spans="1:9" hidden="1" x14ac:dyDescent="0.25">
      <c r="A2283">
        <v>2023</v>
      </c>
      <c r="B2283" s="140" t="s">
        <v>119</v>
      </c>
      <c r="C2283" s="140" t="s">
        <v>120</v>
      </c>
      <c r="D2283" s="140" t="s">
        <v>11</v>
      </c>
      <c r="E2283" s="140" t="s">
        <v>12</v>
      </c>
      <c r="F2283">
        <v>-1.761061013</v>
      </c>
      <c r="G2283" s="140" t="s">
        <v>293</v>
      </c>
      <c r="H2283">
        <v>0</v>
      </c>
      <c r="I2283" s="140" t="s">
        <v>14</v>
      </c>
    </row>
    <row r="2284" spans="1:9" hidden="1" x14ac:dyDescent="0.25">
      <c r="A2284">
        <v>2024</v>
      </c>
      <c r="B2284" s="140" t="s">
        <v>119</v>
      </c>
      <c r="C2284" s="140" t="s">
        <v>120</v>
      </c>
      <c r="D2284" s="140" t="s">
        <v>11</v>
      </c>
      <c r="E2284" s="140" t="s">
        <v>12</v>
      </c>
      <c r="F2284">
        <v>-1.2270437110000001</v>
      </c>
      <c r="G2284" s="140" t="s">
        <v>293</v>
      </c>
      <c r="H2284">
        <v>0</v>
      </c>
      <c r="I2284" s="140" t="s">
        <v>14</v>
      </c>
    </row>
    <row r="2285" spans="1:9" hidden="1" x14ac:dyDescent="0.25">
      <c r="A2285">
        <v>2025</v>
      </c>
      <c r="B2285" s="140" t="s">
        <v>119</v>
      </c>
      <c r="C2285" s="140" t="s">
        <v>120</v>
      </c>
      <c r="D2285" s="140" t="s">
        <v>11</v>
      </c>
      <c r="E2285" s="140" t="s">
        <v>12</v>
      </c>
      <c r="F2285">
        <v>0.31264945700000002</v>
      </c>
      <c r="G2285" s="140" t="s">
        <v>293</v>
      </c>
      <c r="H2285">
        <v>0</v>
      </c>
      <c r="I2285" s="140" t="s">
        <v>14</v>
      </c>
    </row>
    <row r="2286" spans="1:9" hidden="1" x14ac:dyDescent="0.25">
      <c r="A2286">
        <v>2026</v>
      </c>
      <c r="B2286" s="140" t="s">
        <v>119</v>
      </c>
      <c r="C2286" s="140" t="s">
        <v>120</v>
      </c>
      <c r="D2286" s="140" t="s">
        <v>11</v>
      </c>
      <c r="E2286" s="140" t="s">
        <v>12</v>
      </c>
      <c r="F2286">
        <v>1.702334775</v>
      </c>
      <c r="G2286" s="140" t="s">
        <v>293</v>
      </c>
      <c r="H2286">
        <v>0</v>
      </c>
      <c r="I2286" s="140" t="s">
        <v>14</v>
      </c>
    </row>
    <row r="2287" spans="1:9" hidden="1" x14ac:dyDescent="0.25">
      <c r="A2287">
        <v>2027</v>
      </c>
      <c r="B2287" s="140" t="s">
        <v>119</v>
      </c>
      <c r="C2287" s="140" t="s">
        <v>120</v>
      </c>
      <c r="D2287" s="140" t="s">
        <v>11</v>
      </c>
      <c r="E2287" s="140" t="s">
        <v>12</v>
      </c>
      <c r="F2287">
        <v>1.0141659789999999</v>
      </c>
      <c r="G2287" s="140" t="s">
        <v>293</v>
      </c>
      <c r="H2287">
        <v>0</v>
      </c>
      <c r="I2287" s="140" t="s">
        <v>14</v>
      </c>
    </row>
    <row r="2288" spans="1:9" hidden="1" x14ac:dyDescent="0.25">
      <c r="A2288">
        <v>2028</v>
      </c>
      <c r="B2288" s="140" t="s">
        <v>119</v>
      </c>
      <c r="C2288" s="140" t="s">
        <v>120</v>
      </c>
      <c r="D2288" s="140" t="s">
        <v>11</v>
      </c>
      <c r="E2288" s="140" t="s">
        <v>12</v>
      </c>
      <c r="F2288">
        <v>0.85073522800000001</v>
      </c>
      <c r="G2288" s="140" t="s">
        <v>293</v>
      </c>
      <c r="H2288">
        <v>0</v>
      </c>
      <c r="I2288" s="140" t="s">
        <v>14</v>
      </c>
    </row>
    <row r="2289" spans="1:9" hidden="1" x14ac:dyDescent="0.25">
      <c r="A2289">
        <v>1990</v>
      </c>
      <c r="B2289" s="140" t="s">
        <v>60</v>
      </c>
      <c r="C2289" s="140" t="s">
        <v>19</v>
      </c>
      <c r="D2289" s="140" t="s">
        <v>11</v>
      </c>
      <c r="E2289" s="140" t="s">
        <v>12</v>
      </c>
      <c r="F2289">
        <v>445</v>
      </c>
      <c r="G2289" s="140" t="s">
        <v>294</v>
      </c>
      <c r="H2289">
        <v>0</v>
      </c>
      <c r="I2289" s="140" t="s">
        <v>17</v>
      </c>
    </row>
    <row r="2290" spans="1:9" hidden="1" x14ac:dyDescent="0.25">
      <c r="A2290">
        <v>1991</v>
      </c>
      <c r="B2290" s="140" t="s">
        <v>60</v>
      </c>
      <c r="C2290" s="140" t="s">
        <v>19</v>
      </c>
      <c r="D2290" s="140" t="s">
        <v>11</v>
      </c>
      <c r="E2290" s="140" t="s">
        <v>12</v>
      </c>
      <c r="F2290">
        <v>-188</v>
      </c>
      <c r="G2290" s="140" t="s">
        <v>294</v>
      </c>
      <c r="H2290">
        <v>0</v>
      </c>
      <c r="I2290" s="140" t="s">
        <v>17</v>
      </c>
    </row>
    <row r="2291" spans="1:9" hidden="1" x14ac:dyDescent="0.25">
      <c r="A2291">
        <v>1992</v>
      </c>
      <c r="B2291" s="140" t="s">
        <v>60</v>
      </c>
      <c r="C2291" s="140" t="s">
        <v>19</v>
      </c>
      <c r="D2291" s="140" t="s">
        <v>11</v>
      </c>
      <c r="E2291" s="140" t="s">
        <v>12</v>
      </c>
      <c r="F2291">
        <v>-166</v>
      </c>
      <c r="G2291" s="140" t="s">
        <v>294</v>
      </c>
      <c r="H2291">
        <v>0</v>
      </c>
      <c r="I2291" s="140" t="s">
        <v>17</v>
      </c>
    </row>
    <row r="2292" spans="1:9" hidden="1" x14ac:dyDescent="0.25">
      <c r="A2292">
        <v>1993</v>
      </c>
      <c r="B2292" s="140" t="s">
        <v>60</v>
      </c>
      <c r="C2292" s="140" t="s">
        <v>19</v>
      </c>
      <c r="D2292" s="140" t="s">
        <v>11</v>
      </c>
      <c r="E2292" s="140" t="s">
        <v>12</v>
      </c>
      <c r="F2292">
        <v>-397</v>
      </c>
      <c r="G2292" s="140" t="s">
        <v>294</v>
      </c>
      <c r="H2292">
        <v>0</v>
      </c>
      <c r="I2292" s="140" t="s">
        <v>17</v>
      </c>
    </row>
    <row r="2293" spans="1:9" hidden="1" x14ac:dyDescent="0.25">
      <c r="A2293">
        <v>1994</v>
      </c>
      <c r="B2293" s="140" t="s">
        <v>60</v>
      </c>
      <c r="C2293" s="140" t="s">
        <v>19</v>
      </c>
      <c r="D2293" s="140" t="s">
        <v>11</v>
      </c>
      <c r="E2293" s="140" t="s">
        <v>12</v>
      </c>
      <c r="F2293">
        <v>-422</v>
      </c>
      <c r="G2293" s="140" t="s">
        <v>294</v>
      </c>
      <c r="H2293">
        <v>0</v>
      </c>
      <c r="I2293" s="140" t="s">
        <v>17</v>
      </c>
    </row>
    <row r="2294" spans="1:9" hidden="1" x14ac:dyDescent="0.25">
      <c r="A2294">
        <v>1995</v>
      </c>
      <c r="B2294" s="140" t="s">
        <v>60</v>
      </c>
      <c r="C2294" s="140" t="s">
        <v>19</v>
      </c>
      <c r="D2294" s="140" t="s">
        <v>11</v>
      </c>
      <c r="E2294" s="140" t="s">
        <v>12</v>
      </c>
      <c r="F2294">
        <v>-738</v>
      </c>
      <c r="G2294" s="140" t="s">
        <v>294</v>
      </c>
      <c r="H2294">
        <v>0</v>
      </c>
      <c r="I2294" s="140" t="s">
        <v>17</v>
      </c>
    </row>
    <row r="2295" spans="1:9" hidden="1" x14ac:dyDescent="0.25">
      <c r="A2295">
        <v>1996</v>
      </c>
      <c r="B2295" s="140" t="s">
        <v>60</v>
      </c>
      <c r="C2295" s="140" t="s">
        <v>19</v>
      </c>
      <c r="D2295" s="140" t="s">
        <v>11</v>
      </c>
      <c r="E2295" s="140" t="s">
        <v>12</v>
      </c>
      <c r="F2295">
        <v>-982</v>
      </c>
      <c r="G2295" s="140" t="s">
        <v>294</v>
      </c>
      <c r="H2295">
        <v>0</v>
      </c>
      <c r="I2295" s="140" t="s">
        <v>17</v>
      </c>
    </row>
    <row r="2296" spans="1:9" hidden="1" x14ac:dyDescent="0.25">
      <c r="A2296">
        <v>1997</v>
      </c>
      <c r="B2296" s="140" t="s">
        <v>60</v>
      </c>
      <c r="C2296" s="140" t="s">
        <v>19</v>
      </c>
      <c r="D2296" s="140" t="s">
        <v>11</v>
      </c>
      <c r="E2296" s="140" t="s">
        <v>12</v>
      </c>
      <c r="F2296">
        <v>-586</v>
      </c>
      <c r="G2296" s="140" t="s">
        <v>294</v>
      </c>
      <c r="H2296">
        <v>0</v>
      </c>
      <c r="I2296" s="140" t="s">
        <v>17</v>
      </c>
    </row>
    <row r="2297" spans="1:9" hidden="1" x14ac:dyDescent="0.25">
      <c r="A2297">
        <v>1998</v>
      </c>
      <c r="B2297" s="140" t="s">
        <v>60</v>
      </c>
      <c r="C2297" s="140" t="s">
        <v>19</v>
      </c>
      <c r="D2297" s="140" t="s">
        <v>11</v>
      </c>
      <c r="E2297" s="140" t="s">
        <v>12</v>
      </c>
      <c r="F2297">
        <v>-746</v>
      </c>
      <c r="G2297" s="140" t="s">
        <v>294</v>
      </c>
      <c r="H2297">
        <v>0</v>
      </c>
      <c r="I2297" s="140" t="s">
        <v>17</v>
      </c>
    </row>
    <row r="2298" spans="1:9" hidden="1" x14ac:dyDescent="0.25">
      <c r="A2298">
        <v>1999</v>
      </c>
      <c r="B2298" s="140" t="s">
        <v>60</v>
      </c>
      <c r="C2298" s="140" t="s">
        <v>19</v>
      </c>
      <c r="D2298" s="140" t="s">
        <v>11</v>
      </c>
      <c r="E2298" s="140" t="s">
        <v>12</v>
      </c>
      <c r="F2298">
        <v>-607</v>
      </c>
      <c r="G2298" s="140" t="s">
        <v>294</v>
      </c>
      <c r="H2298">
        <v>0</v>
      </c>
      <c r="I2298" s="140" t="s">
        <v>17</v>
      </c>
    </row>
    <row r="2299" spans="1:9" hidden="1" x14ac:dyDescent="0.25">
      <c r="A2299">
        <v>2000</v>
      </c>
      <c r="B2299" s="140" t="s">
        <v>60</v>
      </c>
      <c r="C2299" s="140" t="s">
        <v>19</v>
      </c>
      <c r="D2299" s="140" t="s">
        <v>11</v>
      </c>
      <c r="E2299" s="140" t="s">
        <v>12</v>
      </c>
      <c r="F2299">
        <v>-777</v>
      </c>
      <c r="G2299" s="140" t="s">
        <v>294</v>
      </c>
      <c r="H2299">
        <v>0</v>
      </c>
      <c r="I2299" s="140" t="s">
        <v>17</v>
      </c>
    </row>
    <row r="2300" spans="1:9" hidden="1" x14ac:dyDescent="0.25">
      <c r="A2300">
        <v>2001</v>
      </c>
      <c r="B2300" s="140" t="s">
        <v>60</v>
      </c>
      <c r="C2300" s="140" t="s">
        <v>19</v>
      </c>
      <c r="D2300" s="140" t="s">
        <v>11</v>
      </c>
      <c r="E2300" s="140" t="s">
        <v>12</v>
      </c>
      <c r="F2300">
        <v>135</v>
      </c>
      <c r="G2300" s="140" t="s">
        <v>294</v>
      </c>
      <c r="H2300">
        <v>0</v>
      </c>
      <c r="I2300" s="140" t="s">
        <v>17</v>
      </c>
    </row>
    <row r="2301" spans="1:9" hidden="1" x14ac:dyDescent="0.25">
      <c r="A2301">
        <v>2002</v>
      </c>
      <c r="B2301" s="140" t="s">
        <v>60</v>
      </c>
      <c r="C2301" s="140" t="s">
        <v>19</v>
      </c>
      <c r="D2301" s="140" t="s">
        <v>11</v>
      </c>
      <c r="E2301" s="140" t="s">
        <v>12</v>
      </c>
      <c r="F2301">
        <v>143</v>
      </c>
      <c r="G2301" s="140" t="s">
        <v>294</v>
      </c>
      <c r="H2301">
        <v>0</v>
      </c>
      <c r="I2301" s="140" t="s">
        <v>17</v>
      </c>
    </row>
    <row r="2302" spans="1:9" hidden="1" x14ac:dyDescent="0.25">
      <c r="A2302">
        <v>2003</v>
      </c>
      <c r="B2302" s="140" t="s">
        <v>60</v>
      </c>
      <c r="C2302" s="140" t="s">
        <v>19</v>
      </c>
      <c r="D2302" s="140" t="s">
        <v>11</v>
      </c>
      <c r="E2302" s="140" t="s">
        <v>12</v>
      </c>
      <c r="F2302">
        <v>663</v>
      </c>
      <c r="G2302" s="140" t="s">
        <v>294</v>
      </c>
      <c r="H2302">
        <v>0</v>
      </c>
      <c r="I2302" s="140" t="s">
        <v>17</v>
      </c>
    </row>
    <row r="2303" spans="1:9" hidden="1" x14ac:dyDescent="0.25">
      <c r="A2303">
        <v>2004</v>
      </c>
      <c r="B2303" s="140" t="s">
        <v>60</v>
      </c>
      <c r="C2303" s="140" t="s">
        <v>19</v>
      </c>
      <c r="D2303" s="140" t="s">
        <v>11</v>
      </c>
      <c r="E2303" s="140" t="s">
        <v>12</v>
      </c>
      <c r="F2303">
        <v>469</v>
      </c>
      <c r="G2303" s="140" t="s">
        <v>294</v>
      </c>
      <c r="H2303">
        <v>0</v>
      </c>
      <c r="I2303" s="140" t="s">
        <v>17</v>
      </c>
    </row>
    <row r="2304" spans="1:9" hidden="1" x14ac:dyDescent="0.25">
      <c r="A2304">
        <v>2005</v>
      </c>
      <c r="B2304" s="140" t="s">
        <v>60</v>
      </c>
      <c r="C2304" s="140" t="s">
        <v>19</v>
      </c>
      <c r="D2304" s="140" t="s">
        <v>11</v>
      </c>
      <c r="E2304" s="140" t="s">
        <v>12</v>
      </c>
      <c r="F2304">
        <v>625</v>
      </c>
      <c r="G2304" s="140" t="s">
        <v>294</v>
      </c>
      <c r="H2304">
        <v>0</v>
      </c>
      <c r="I2304" s="140" t="s">
        <v>17</v>
      </c>
    </row>
    <row r="2305" spans="1:9" hidden="1" x14ac:dyDescent="0.25">
      <c r="A2305">
        <v>2006</v>
      </c>
      <c r="B2305" s="140" t="s">
        <v>60</v>
      </c>
      <c r="C2305" s="140" t="s">
        <v>19</v>
      </c>
      <c r="D2305" s="140" t="s">
        <v>11</v>
      </c>
      <c r="E2305" s="140" t="s">
        <v>12</v>
      </c>
      <c r="F2305">
        <v>1210</v>
      </c>
      <c r="G2305" s="140" t="s">
        <v>294</v>
      </c>
      <c r="H2305">
        <v>0</v>
      </c>
      <c r="I2305" s="140" t="s">
        <v>17</v>
      </c>
    </row>
    <row r="2306" spans="1:9" hidden="1" x14ac:dyDescent="0.25">
      <c r="A2306">
        <v>2007</v>
      </c>
      <c r="B2306" s="140" t="s">
        <v>60</v>
      </c>
      <c r="C2306" s="140" t="s">
        <v>19</v>
      </c>
      <c r="D2306" s="140" t="s">
        <v>11</v>
      </c>
      <c r="E2306" s="140" t="s">
        <v>12</v>
      </c>
      <c r="F2306">
        <v>583</v>
      </c>
      <c r="G2306" s="140" t="s">
        <v>294</v>
      </c>
      <c r="H2306">
        <v>0</v>
      </c>
      <c r="I2306" s="140" t="s">
        <v>17</v>
      </c>
    </row>
    <row r="2307" spans="1:9" hidden="1" x14ac:dyDescent="0.25">
      <c r="A2307">
        <v>2008</v>
      </c>
      <c r="B2307" s="140" t="s">
        <v>60</v>
      </c>
      <c r="C2307" s="140" t="s">
        <v>19</v>
      </c>
      <c r="D2307" s="140" t="s">
        <v>11</v>
      </c>
      <c r="E2307" s="140" t="s">
        <v>12</v>
      </c>
      <c r="F2307">
        <v>487</v>
      </c>
      <c r="G2307" s="140" t="s">
        <v>294</v>
      </c>
      <c r="H2307">
        <v>0</v>
      </c>
      <c r="I2307" s="140" t="s">
        <v>17</v>
      </c>
    </row>
    <row r="2308" spans="1:9" hidden="1" x14ac:dyDescent="0.25">
      <c r="A2308">
        <v>2009</v>
      </c>
      <c r="B2308" s="140" t="s">
        <v>60</v>
      </c>
      <c r="C2308" s="140" t="s">
        <v>19</v>
      </c>
      <c r="D2308" s="140" t="s">
        <v>11</v>
      </c>
      <c r="E2308" s="140" t="s">
        <v>12</v>
      </c>
      <c r="F2308">
        <v>501</v>
      </c>
      <c r="G2308" s="140" t="s">
        <v>294</v>
      </c>
      <c r="H2308">
        <v>0</v>
      </c>
      <c r="I2308" s="140" t="s">
        <v>17</v>
      </c>
    </row>
    <row r="2309" spans="1:9" hidden="1" x14ac:dyDescent="0.25">
      <c r="A2309">
        <v>2010</v>
      </c>
      <c r="B2309" s="140" t="s">
        <v>60</v>
      </c>
      <c r="C2309" s="140" t="s">
        <v>19</v>
      </c>
      <c r="D2309" s="140" t="s">
        <v>11</v>
      </c>
      <c r="E2309" s="140" t="s">
        <v>12</v>
      </c>
      <c r="F2309">
        <v>230</v>
      </c>
      <c r="G2309" s="140" t="s">
        <v>294</v>
      </c>
      <c r="H2309">
        <v>0</v>
      </c>
      <c r="I2309" s="140" t="s">
        <v>17</v>
      </c>
    </row>
    <row r="2310" spans="1:9" hidden="1" x14ac:dyDescent="0.25">
      <c r="A2310">
        <v>2011</v>
      </c>
      <c r="B2310" s="140" t="s">
        <v>60</v>
      </c>
      <c r="C2310" s="140" t="s">
        <v>19</v>
      </c>
      <c r="D2310" s="140" t="s">
        <v>11</v>
      </c>
      <c r="E2310" s="140" t="s">
        <v>12</v>
      </c>
      <c r="F2310">
        <v>364</v>
      </c>
      <c r="G2310" s="140" t="s">
        <v>294</v>
      </c>
      <c r="H2310">
        <v>0</v>
      </c>
      <c r="I2310" s="140" t="s">
        <v>17</v>
      </c>
    </row>
    <row r="2311" spans="1:9" hidden="1" x14ac:dyDescent="0.25">
      <c r="A2311">
        <v>2012</v>
      </c>
      <c r="B2311" s="140" t="s">
        <v>60</v>
      </c>
      <c r="C2311" s="140" t="s">
        <v>19</v>
      </c>
      <c r="D2311" s="140" t="s">
        <v>11</v>
      </c>
      <c r="E2311" s="140" t="s">
        <v>12</v>
      </c>
      <c r="F2311">
        <v>-125</v>
      </c>
      <c r="G2311" s="140" t="s">
        <v>294</v>
      </c>
      <c r="H2311">
        <v>0</v>
      </c>
      <c r="I2311" s="140" t="s">
        <v>17</v>
      </c>
    </row>
    <row r="2312" spans="1:9" hidden="1" x14ac:dyDescent="0.25">
      <c r="A2312">
        <v>2013</v>
      </c>
      <c r="B2312" s="140" t="s">
        <v>60</v>
      </c>
      <c r="C2312" s="140" t="s">
        <v>19</v>
      </c>
      <c r="D2312" s="140" t="s">
        <v>11</v>
      </c>
      <c r="E2312" s="140" t="s">
        <v>12</v>
      </c>
      <c r="F2312">
        <v>-654</v>
      </c>
      <c r="G2312" s="140" t="s">
        <v>294</v>
      </c>
      <c r="H2312">
        <v>0</v>
      </c>
      <c r="I2312" s="140" t="s">
        <v>17</v>
      </c>
    </row>
    <row r="2313" spans="1:9" hidden="1" x14ac:dyDescent="0.25">
      <c r="A2313">
        <v>2014</v>
      </c>
      <c r="B2313" s="140" t="s">
        <v>60</v>
      </c>
      <c r="C2313" s="140" t="s">
        <v>19</v>
      </c>
      <c r="D2313" s="140" t="s">
        <v>11</v>
      </c>
      <c r="E2313" s="140" t="s">
        <v>12</v>
      </c>
      <c r="F2313">
        <v>-360</v>
      </c>
      <c r="G2313" s="140" t="s">
        <v>294</v>
      </c>
      <c r="H2313">
        <v>0</v>
      </c>
      <c r="I2313" s="140" t="s">
        <v>17</v>
      </c>
    </row>
    <row r="2314" spans="1:9" hidden="1" x14ac:dyDescent="0.25">
      <c r="A2314">
        <v>2015</v>
      </c>
      <c r="B2314" s="140" t="s">
        <v>60</v>
      </c>
      <c r="C2314" s="140" t="s">
        <v>19</v>
      </c>
      <c r="D2314" s="140" t="s">
        <v>11</v>
      </c>
      <c r="E2314" s="140" t="s">
        <v>12</v>
      </c>
      <c r="F2314">
        <v>-556</v>
      </c>
      <c r="G2314" s="140" t="s">
        <v>294</v>
      </c>
      <c r="H2314">
        <v>0</v>
      </c>
      <c r="I2314" s="140" t="s">
        <v>17</v>
      </c>
    </row>
    <row r="2315" spans="1:9" hidden="1" x14ac:dyDescent="0.25">
      <c r="A2315">
        <v>2016</v>
      </c>
      <c r="B2315" s="140" t="s">
        <v>60</v>
      </c>
      <c r="C2315" s="140" t="s">
        <v>19</v>
      </c>
      <c r="D2315" s="140" t="s">
        <v>11</v>
      </c>
      <c r="E2315" s="140" t="s">
        <v>12</v>
      </c>
      <c r="F2315">
        <v>-633</v>
      </c>
      <c r="G2315" s="140" t="s">
        <v>294</v>
      </c>
      <c r="H2315">
        <v>0</v>
      </c>
      <c r="I2315" s="140" t="s">
        <v>17</v>
      </c>
    </row>
    <row r="2316" spans="1:9" hidden="1" x14ac:dyDescent="0.25">
      <c r="A2316">
        <v>2017</v>
      </c>
      <c r="B2316" s="140" t="s">
        <v>60</v>
      </c>
      <c r="C2316" s="140" t="s">
        <v>19</v>
      </c>
      <c r="D2316" s="140" t="s">
        <v>11</v>
      </c>
      <c r="E2316" s="140" t="s">
        <v>12</v>
      </c>
      <c r="F2316">
        <v>-321</v>
      </c>
      <c r="G2316" s="140" t="s">
        <v>294</v>
      </c>
      <c r="H2316">
        <v>0</v>
      </c>
      <c r="I2316" s="140" t="s">
        <v>17</v>
      </c>
    </row>
    <row r="2317" spans="1:9" hidden="1" x14ac:dyDescent="0.25">
      <c r="A2317">
        <v>2018</v>
      </c>
      <c r="B2317" s="140" t="s">
        <v>60</v>
      </c>
      <c r="C2317" s="140" t="s">
        <v>19</v>
      </c>
      <c r="D2317" s="140" t="s">
        <v>11</v>
      </c>
      <c r="E2317" s="140" t="s">
        <v>12</v>
      </c>
      <c r="F2317">
        <v>-112</v>
      </c>
      <c r="G2317" s="140" t="s">
        <v>294</v>
      </c>
      <c r="H2317">
        <v>0</v>
      </c>
      <c r="I2317" s="140" t="s">
        <v>17</v>
      </c>
    </row>
    <row r="2318" spans="1:9" hidden="1" x14ac:dyDescent="0.25">
      <c r="A2318">
        <v>2019</v>
      </c>
      <c r="B2318" s="140" t="s">
        <v>60</v>
      </c>
      <c r="C2318" s="140" t="s">
        <v>19</v>
      </c>
      <c r="D2318" s="140" t="s">
        <v>11</v>
      </c>
      <c r="E2318" s="140" t="s">
        <v>12</v>
      </c>
      <c r="F2318">
        <v>-166</v>
      </c>
      <c r="G2318" s="140" t="s">
        <v>294</v>
      </c>
      <c r="H2318">
        <v>0</v>
      </c>
      <c r="I2318" s="140" t="s">
        <v>17</v>
      </c>
    </row>
    <row r="2319" spans="1:9" hidden="1" x14ac:dyDescent="0.25">
      <c r="A2319">
        <v>2020</v>
      </c>
      <c r="B2319" s="140" t="s">
        <v>60</v>
      </c>
      <c r="C2319" s="140" t="s">
        <v>19</v>
      </c>
      <c r="D2319" s="140" t="s">
        <v>11</v>
      </c>
      <c r="E2319" s="140" t="s">
        <v>12</v>
      </c>
      <c r="F2319">
        <v>261</v>
      </c>
      <c r="G2319" s="140" t="s">
        <v>294</v>
      </c>
      <c r="H2319">
        <v>0</v>
      </c>
      <c r="I2319" s="140" t="s">
        <v>17</v>
      </c>
    </row>
    <row r="2320" spans="1:9" hidden="1" x14ac:dyDescent="0.25">
      <c r="A2320">
        <v>2021</v>
      </c>
      <c r="B2320" s="140" t="s">
        <v>60</v>
      </c>
      <c r="C2320" s="140" t="s">
        <v>19</v>
      </c>
      <c r="D2320" s="140" t="s">
        <v>11</v>
      </c>
      <c r="E2320" s="140" t="s">
        <v>12</v>
      </c>
      <c r="F2320">
        <v>0</v>
      </c>
      <c r="G2320" s="140" t="s">
        <v>294</v>
      </c>
      <c r="H2320">
        <v>0</v>
      </c>
      <c r="I2320" s="140" t="s">
        <v>17</v>
      </c>
    </row>
    <row r="2321" spans="1:9" hidden="1" x14ac:dyDescent="0.25">
      <c r="A2321">
        <v>2022</v>
      </c>
      <c r="B2321" s="140" t="s">
        <v>60</v>
      </c>
      <c r="C2321" s="140" t="s">
        <v>19</v>
      </c>
      <c r="D2321" s="140" t="s">
        <v>11</v>
      </c>
      <c r="E2321" s="140" t="s">
        <v>12</v>
      </c>
      <c r="F2321">
        <v>0</v>
      </c>
      <c r="G2321" s="140" t="s">
        <v>294</v>
      </c>
      <c r="H2321">
        <v>0</v>
      </c>
      <c r="I2321" s="140" t="s">
        <v>17</v>
      </c>
    </row>
    <row r="2322" spans="1:9" hidden="1" x14ac:dyDescent="0.25">
      <c r="A2322">
        <v>2023</v>
      </c>
      <c r="B2322" s="140" t="s">
        <v>60</v>
      </c>
      <c r="C2322" s="140" t="s">
        <v>19</v>
      </c>
      <c r="D2322" s="140" t="s">
        <v>11</v>
      </c>
      <c r="E2322" s="140" t="s">
        <v>12</v>
      </c>
      <c r="F2322">
        <v>0</v>
      </c>
      <c r="G2322" s="140" t="s">
        <v>294</v>
      </c>
      <c r="H2322">
        <v>0</v>
      </c>
      <c r="I2322" s="140" t="s">
        <v>17</v>
      </c>
    </row>
    <row r="2323" spans="1:9" hidden="1" x14ac:dyDescent="0.25">
      <c r="A2323">
        <v>2024</v>
      </c>
      <c r="B2323" s="140" t="s">
        <v>60</v>
      </c>
      <c r="C2323" s="140" t="s">
        <v>19</v>
      </c>
      <c r="D2323" s="140" t="s">
        <v>11</v>
      </c>
      <c r="E2323" s="140" t="s">
        <v>12</v>
      </c>
      <c r="F2323">
        <v>-310</v>
      </c>
      <c r="G2323" s="140" t="s">
        <v>294</v>
      </c>
      <c r="H2323">
        <v>0</v>
      </c>
      <c r="I2323" s="140" t="s">
        <v>17</v>
      </c>
    </row>
    <row r="2324" spans="1:9" hidden="1" x14ac:dyDescent="0.25">
      <c r="A2324">
        <v>2025</v>
      </c>
      <c r="B2324" s="140" t="s">
        <v>60</v>
      </c>
      <c r="C2324" s="140" t="s">
        <v>19</v>
      </c>
      <c r="D2324" s="140" t="s">
        <v>11</v>
      </c>
      <c r="E2324" s="140" t="s">
        <v>12</v>
      </c>
      <c r="F2324">
        <v>-839</v>
      </c>
      <c r="G2324" s="140" t="s">
        <v>294</v>
      </c>
      <c r="H2324">
        <v>0</v>
      </c>
      <c r="I2324" s="140" t="s">
        <v>17</v>
      </c>
    </row>
    <row r="2325" spans="1:9" hidden="1" x14ac:dyDescent="0.25">
      <c r="A2325">
        <v>2026</v>
      </c>
      <c r="B2325" s="140" t="s">
        <v>60</v>
      </c>
      <c r="C2325" s="140" t="s">
        <v>19</v>
      </c>
      <c r="D2325" s="140" t="s">
        <v>11</v>
      </c>
      <c r="E2325" s="140" t="s">
        <v>12</v>
      </c>
      <c r="F2325">
        <v>-839</v>
      </c>
      <c r="G2325" s="140" t="s">
        <v>294</v>
      </c>
      <c r="H2325">
        <v>0</v>
      </c>
      <c r="I2325" s="140" t="s">
        <v>17</v>
      </c>
    </row>
    <row r="2326" spans="1:9" hidden="1" x14ac:dyDescent="0.25">
      <c r="A2326">
        <v>2027</v>
      </c>
      <c r="B2326" s="140" t="s">
        <v>60</v>
      </c>
      <c r="C2326" s="140" t="s">
        <v>19</v>
      </c>
      <c r="D2326" s="140" t="s">
        <v>11</v>
      </c>
      <c r="E2326" s="140" t="s">
        <v>12</v>
      </c>
      <c r="F2326">
        <v>-839</v>
      </c>
      <c r="G2326" s="140" t="s">
        <v>294</v>
      </c>
      <c r="H2326">
        <v>0</v>
      </c>
      <c r="I2326" s="140" t="s">
        <v>17</v>
      </c>
    </row>
    <row r="2327" spans="1:9" hidden="1" x14ac:dyDescent="0.25">
      <c r="A2327">
        <v>2028</v>
      </c>
      <c r="B2327" s="140" t="s">
        <v>60</v>
      </c>
      <c r="C2327" s="140" t="s">
        <v>19</v>
      </c>
      <c r="D2327" s="140" t="s">
        <v>11</v>
      </c>
      <c r="E2327" s="140" t="s">
        <v>12</v>
      </c>
      <c r="F2327">
        <v>-839</v>
      </c>
      <c r="G2327" s="140" t="s">
        <v>294</v>
      </c>
      <c r="H2327">
        <v>0</v>
      </c>
      <c r="I2327" s="140" t="s">
        <v>17</v>
      </c>
    </row>
    <row r="2328" spans="1:9" hidden="1" x14ac:dyDescent="0.25">
      <c r="A2328">
        <v>2020</v>
      </c>
      <c r="B2328" s="140" t="s">
        <v>60</v>
      </c>
      <c r="C2328" s="140" t="s">
        <v>132</v>
      </c>
      <c r="D2328" s="140" t="s">
        <v>11</v>
      </c>
      <c r="E2328" s="140" t="s">
        <v>12</v>
      </c>
      <c r="F2328">
        <v>384</v>
      </c>
      <c r="G2328" s="140" t="s">
        <v>294</v>
      </c>
      <c r="H2328">
        <v>0</v>
      </c>
      <c r="I2328" s="140" t="s">
        <v>17</v>
      </c>
    </row>
    <row r="2329" spans="1:9" hidden="1" x14ac:dyDescent="0.25">
      <c r="A2329">
        <v>2021</v>
      </c>
      <c r="B2329" s="140" t="s">
        <v>60</v>
      </c>
      <c r="C2329" s="140" t="s">
        <v>132</v>
      </c>
      <c r="D2329" s="140" t="s">
        <v>11</v>
      </c>
      <c r="E2329" s="140" t="s">
        <v>12</v>
      </c>
      <c r="F2329">
        <v>0</v>
      </c>
      <c r="G2329" s="140" t="s">
        <v>294</v>
      </c>
      <c r="H2329">
        <v>0</v>
      </c>
      <c r="I2329" s="140" t="s">
        <v>17</v>
      </c>
    </row>
    <row r="2330" spans="1:9" hidden="1" x14ac:dyDescent="0.25">
      <c r="A2330">
        <v>2022</v>
      </c>
      <c r="B2330" s="140" t="s">
        <v>60</v>
      </c>
      <c r="C2330" s="140" t="s">
        <v>132</v>
      </c>
      <c r="D2330" s="140" t="s">
        <v>11</v>
      </c>
      <c r="E2330" s="140" t="s">
        <v>12</v>
      </c>
      <c r="F2330">
        <v>0</v>
      </c>
      <c r="G2330" s="140" t="s">
        <v>294</v>
      </c>
      <c r="H2330">
        <v>0</v>
      </c>
      <c r="I2330" s="140" t="s">
        <v>17</v>
      </c>
    </row>
    <row r="2331" spans="1:9" hidden="1" x14ac:dyDescent="0.25">
      <c r="A2331">
        <v>2023</v>
      </c>
      <c r="B2331" s="140" t="s">
        <v>60</v>
      </c>
      <c r="C2331" s="140" t="s">
        <v>132</v>
      </c>
      <c r="D2331" s="140" t="s">
        <v>11</v>
      </c>
      <c r="E2331" s="140" t="s">
        <v>12</v>
      </c>
      <c r="F2331">
        <v>0</v>
      </c>
      <c r="G2331" s="140" t="s">
        <v>294</v>
      </c>
      <c r="H2331">
        <v>0</v>
      </c>
      <c r="I2331" s="140" t="s">
        <v>17</v>
      </c>
    </row>
    <row r="2332" spans="1:9" hidden="1" x14ac:dyDescent="0.25">
      <c r="A2332">
        <v>2024</v>
      </c>
      <c r="B2332" s="140" t="s">
        <v>60</v>
      </c>
      <c r="C2332" s="140" t="s">
        <v>132</v>
      </c>
      <c r="D2332" s="140" t="s">
        <v>11</v>
      </c>
      <c r="E2332" s="140" t="s">
        <v>12</v>
      </c>
      <c r="F2332">
        <v>-736</v>
      </c>
      <c r="G2332" s="140" t="s">
        <v>294</v>
      </c>
      <c r="H2332">
        <v>0</v>
      </c>
      <c r="I2332" s="140" t="s">
        <v>17</v>
      </c>
    </row>
    <row r="2333" spans="1:9" hidden="1" x14ac:dyDescent="0.25">
      <c r="A2333">
        <v>2025</v>
      </c>
      <c r="B2333" s="140" t="s">
        <v>60</v>
      </c>
      <c r="C2333" s="140" t="s">
        <v>132</v>
      </c>
      <c r="D2333" s="140" t="s">
        <v>11</v>
      </c>
      <c r="E2333" s="140" t="s">
        <v>12</v>
      </c>
      <c r="F2333">
        <v>-297</v>
      </c>
      <c r="G2333" s="140" t="s">
        <v>294</v>
      </c>
      <c r="H2333">
        <v>0</v>
      </c>
      <c r="I2333" s="140" t="s">
        <v>17</v>
      </c>
    </row>
    <row r="2334" spans="1:9" hidden="1" x14ac:dyDescent="0.25">
      <c r="A2334">
        <v>2026</v>
      </c>
      <c r="B2334" s="140" t="s">
        <v>60</v>
      </c>
      <c r="C2334" s="140" t="s">
        <v>132</v>
      </c>
      <c r="D2334" s="140" t="s">
        <v>11</v>
      </c>
      <c r="E2334" s="140" t="s">
        <v>12</v>
      </c>
      <c r="F2334">
        <v>-839</v>
      </c>
      <c r="G2334" s="140" t="s">
        <v>294</v>
      </c>
      <c r="H2334">
        <v>0</v>
      </c>
      <c r="I2334" s="140" t="s">
        <v>17</v>
      </c>
    </row>
    <row r="2335" spans="1:9" hidden="1" x14ac:dyDescent="0.25">
      <c r="A2335">
        <v>2027</v>
      </c>
      <c r="B2335" s="140" t="s">
        <v>60</v>
      </c>
      <c r="C2335" s="140" t="s">
        <v>132</v>
      </c>
      <c r="D2335" s="140" t="s">
        <v>11</v>
      </c>
      <c r="E2335" s="140" t="s">
        <v>12</v>
      </c>
      <c r="F2335">
        <v>-839</v>
      </c>
      <c r="G2335" s="140" t="s">
        <v>294</v>
      </c>
      <c r="H2335">
        <v>0</v>
      </c>
      <c r="I2335" s="140" t="s">
        <v>17</v>
      </c>
    </row>
    <row r="2336" spans="1:9" hidden="1" x14ac:dyDescent="0.25">
      <c r="A2336">
        <v>2028</v>
      </c>
      <c r="B2336" s="140" t="s">
        <v>60</v>
      </c>
      <c r="C2336" s="140" t="s">
        <v>132</v>
      </c>
      <c r="D2336" s="140" t="s">
        <v>11</v>
      </c>
      <c r="E2336" s="140" t="s">
        <v>12</v>
      </c>
      <c r="F2336">
        <v>-839</v>
      </c>
      <c r="G2336" s="140" t="s">
        <v>294</v>
      </c>
      <c r="H2336">
        <v>0</v>
      </c>
      <c r="I2336" s="140" t="s">
        <v>17</v>
      </c>
    </row>
    <row r="2337" spans="1:9" hidden="1" x14ac:dyDescent="0.25">
      <c r="A2337">
        <v>1990</v>
      </c>
      <c r="B2337" s="140" t="s">
        <v>164</v>
      </c>
      <c r="C2337" s="140" t="s">
        <v>50</v>
      </c>
      <c r="D2337" s="140" t="s">
        <v>11</v>
      </c>
      <c r="E2337" s="140" t="s">
        <v>12</v>
      </c>
      <c r="F2337">
        <v>112517</v>
      </c>
      <c r="G2337" s="140" t="s">
        <v>205</v>
      </c>
      <c r="H2337">
        <v>0</v>
      </c>
      <c r="I2337" s="140" t="s">
        <v>17</v>
      </c>
    </row>
    <row r="2338" spans="1:9" hidden="1" x14ac:dyDescent="0.25">
      <c r="A2338">
        <v>1991</v>
      </c>
      <c r="B2338" s="140" t="s">
        <v>164</v>
      </c>
      <c r="C2338" s="140" t="s">
        <v>50</v>
      </c>
      <c r="D2338" s="140" t="s">
        <v>11</v>
      </c>
      <c r="E2338" s="140" t="s">
        <v>12</v>
      </c>
      <c r="F2338">
        <v>106221</v>
      </c>
      <c r="G2338" s="140" t="s">
        <v>205</v>
      </c>
      <c r="H2338">
        <v>0</v>
      </c>
      <c r="I2338" s="140" t="s">
        <v>17</v>
      </c>
    </row>
    <row r="2339" spans="1:9" hidden="1" x14ac:dyDescent="0.25">
      <c r="A2339">
        <v>1992</v>
      </c>
      <c r="B2339" s="140" t="s">
        <v>164</v>
      </c>
      <c r="C2339" s="140" t="s">
        <v>50</v>
      </c>
      <c r="D2339" s="140" t="s">
        <v>11</v>
      </c>
      <c r="E2339" s="140" t="s">
        <v>12</v>
      </c>
      <c r="F2339">
        <v>105725</v>
      </c>
      <c r="G2339" s="140" t="s">
        <v>205</v>
      </c>
      <c r="H2339">
        <v>0</v>
      </c>
      <c r="I2339" s="140" t="s">
        <v>17</v>
      </c>
    </row>
    <row r="2340" spans="1:9" hidden="1" x14ac:dyDescent="0.25">
      <c r="A2340">
        <v>1993</v>
      </c>
      <c r="B2340" s="140" t="s">
        <v>164</v>
      </c>
      <c r="C2340" s="140" t="s">
        <v>50</v>
      </c>
      <c r="D2340" s="140" t="s">
        <v>11</v>
      </c>
      <c r="E2340" s="140" t="s">
        <v>12</v>
      </c>
      <c r="F2340">
        <v>108566</v>
      </c>
      <c r="G2340" s="140" t="s">
        <v>205</v>
      </c>
      <c r="H2340">
        <v>0</v>
      </c>
      <c r="I2340" s="140" t="s">
        <v>17</v>
      </c>
    </row>
    <row r="2341" spans="1:9" hidden="1" x14ac:dyDescent="0.25">
      <c r="A2341">
        <v>1994</v>
      </c>
      <c r="B2341" s="140" t="s">
        <v>164</v>
      </c>
      <c r="C2341" s="140" t="s">
        <v>50</v>
      </c>
      <c r="D2341" s="140" t="s">
        <v>11</v>
      </c>
      <c r="E2341" s="140" t="s">
        <v>12</v>
      </c>
      <c r="F2341">
        <v>116412</v>
      </c>
      <c r="G2341" s="140" t="s">
        <v>205</v>
      </c>
      <c r="H2341">
        <v>0</v>
      </c>
      <c r="I2341" s="140" t="s">
        <v>17</v>
      </c>
    </row>
    <row r="2342" spans="1:9" hidden="1" x14ac:dyDescent="0.25">
      <c r="A2342">
        <v>1995</v>
      </c>
      <c r="B2342" s="140" t="s">
        <v>164</v>
      </c>
      <c r="C2342" s="140" t="s">
        <v>50</v>
      </c>
      <c r="D2342" s="140" t="s">
        <v>11</v>
      </c>
      <c r="E2342" s="140" t="s">
        <v>12</v>
      </c>
      <c r="F2342">
        <v>126352</v>
      </c>
      <c r="G2342" s="140" t="s">
        <v>205</v>
      </c>
      <c r="H2342">
        <v>0</v>
      </c>
      <c r="I2342" s="140" t="s">
        <v>17</v>
      </c>
    </row>
    <row r="2343" spans="1:9" hidden="1" x14ac:dyDescent="0.25">
      <c r="A2343">
        <v>1996</v>
      </c>
      <c r="B2343" s="140" t="s">
        <v>164</v>
      </c>
      <c r="C2343" s="140" t="s">
        <v>50</v>
      </c>
      <c r="D2343" s="140" t="s">
        <v>11</v>
      </c>
      <c r="E2343" s="140" t="s">
        <v>12</v>
      </c>
      <c r="F2343">
        <v>131992</v>
      </c>
      <c r="G2343" s="140" t="s">
        <v>205</v>
      </c>
      <c r="H2343">
        <v>0</v>
      </c>
      <c r="I2343" s="140" t="s">
        <v>17</v>
      </c>
    </row>
    <row r="2344" spans="1:9" hidden="1" x14ac:dyDescent="0.25">
      <c r="A2344">
        <v>1997</v>
      </c>
      <c r="B2344" s="140" t="s">
        <v>164</v>
      </c>
      <c r="C2344" s="140" t="s">
        <v>50</v>
      </c>
      <c r="D2344" s="140" t="s">
        <v>11</v>
      </c>
      <c r="E2344" s="140" t="s">
        <v>12</v>
      </c>
      <c r="F2344">
        <v>144498</v>
      </c>
      <c r="G2344" s="140" t="s">
        <v>205</v>
      </c>
      <c r="H2344">
        <v>0</v>
      </c>
      <c r="I2344" s="140" t="s">
        <v>17</v>
      </c>
    </row>
    <row r="2345" spans="1:9" hidden="1" x14ac:dyDescent="0.25">
      <c r="A2345">
        <v>1998</v>
      </c>
      <c r="B2345" s="140" t="s">
        <v>164</v>
      </c>
      <c r="C2345" s="140" t="s">
        <v>50</v>
      </c>
      <c r="D2345" s="140" t="s">
        <v>11</v>
      </c>
      <c r="E2345" s="140" t="s">
        <v>12</v>
      </c>
      <c r="F2345">
        <v>156005</v>
      </c>
      <c r="G2345" s="140" t="s">
        <v>205</v>
      </c>
      <c r="H2345">
        <v>0</v>
      </c>
      <c r="I2345" s="140" t="s">
        <v>17</v>
      </c>
    </row>
    <row r="2346" spans="1:9" hidden="1" x14ac:dyDescent="0.25">
      <c r="A2346">
        <v>1999</v>
      </c>
      <c r="B2346" s="140" t="s">
        <v>164</v>
      </c>
      <c r="C2346" s="140" t="s">
        <v>50</v>
      </c>
      <c r="D2346" s="140" t="s">
        <v>11</v>
      </c>
      <c r="E2346" s="140" t="s">
        <v>12</v>
      </c>
      <c r="F2346">
        <v>163231</v>
      </c>
      <c r="G2346" s="140" t="s">
        <v>205</v>
      </c>
      <c r="H2346">
        <v>0</v>
      </c>
      <c r="I2346" s="140" t="s">
        <v>17</v>
      </c>
    </row>
    <row r="2347" spans="1:9" hidden="1" x14ac:dyDescent="0.25">
      <c r="A2347">
        <v>2000</v>
      </c>
      <c r="B2347" s="140" t="s">
        <v>164</v>
      </c>
      <c r="C2347" s="140" t="s">
        <v>50</v>
      </c>
      <c r="D2347" s="140" t="s">
        <v>11</v>
      </c>
      <c r="E2347" s="140" t="s">
        <v>12</v>
      </c>
      <c r="F2347">
        <v>181226</v>
      </c>
      <c r="G2347" s="140" t="s">
        <v>205</v>
      </c>
      <c r="H2347">
        <v>0</v>
      </c>
      <c r="I2347" s="140" t="s">
        <v>17</v>
      </c>
    </row>
    <row r="2348" spans="1:9" hidden="1" x14ac:dyDescent="0.25">
      <c r="A2348">
        <v>2001</v>
      </c>
      <c r="B2348" s="140" t="s">
        <v>164</v>
      </c>
      <c r="C2348" s="140" t="s">
        <v>50</v>
      </c>
      <c r="D2348" s="140" t="s">
        <v>11</v>
      </c>
      <c r="E2348" s="140" t="s">
        <v>12</v>
      </c>
      <c r="F2348">
        <v>188743</v>
      </c>
      <c r="G2348" s="140" t="s">
        <v>205</v>
      </c>
      <c r="H2348">
        <v>0</v>
      </c>
      <c r="I2348" s="140" t="s">
        <v>17</v>
      </c>
    </row>
    <row r="2349" spans="1:9" hidden="1" x14ac:dyDescent="0.25">
      <c r="A2349">
        <v>2002</v>
      </c>
      <c r="B2349" s="140" t="s">
        <v>164</v>
      </c>
      <c r="C2349" s="140" t="s">
        <v>50</v>
      </c>
      <c r="D2349" s="140" t="s">
        <v>11</v>
      </c>
      <c r="E2349" s="140" t="s">
        <v>12</v>
      </c>
      <c r="F2349">
        <v>193230</v>
      </c>
      <c r="G2349" s="140" t="s">
        <v>205</v>
      </c>
      <c r="H2349">
        <v>0</v>
      </c>
      <c r="I2349" s="140" t="s">
        <v>17</v>
      </c>
    </row>
    <row r="2350" spans="1:9" hidden="1" x14ac:dyDescent="0.25">
      <c r="A2350">
        <v>2003</v>
      </c>
      <c r="B2350" s="140" t="s">
        <v>164</v>
      </c>
      <c r="C2350" s="140" t="s">
        <v>50</v>
      </c>
      <c r="D2350" s="140" t="s">
        <v>11</v>
      </c>
      <c r="E2350" s="140" t="s">
        <v>12</v>
      </c>
      <c r="F2350">
        <v>198354</v>
      </c>
      <c r="G2350" s="140" t="s">
        <v>205</v>
      </c>
      <c r="H2350">
        <v>0</v>
      </c>
      <c r="I2350" s="140" t="s">
        <v>17</v>
      </c>
    </row>
    <row r="2351" spans="1:9" hidden="1" x14ac:dyDescent="0.25">
      <c r="A2351">
        <v>2004</v>
      </c>
      <c r="B2351" s="140" t="s">
        <v>164</v>
      </c>
      <c r="C2351" s="140" t="s">
        <v>50</v>
      </c>
      <c r="D2351" s="140" t="s">
        <v>11</v>
      </c>
      <c r="E2351" s="140" t="s">
        <v>12</v>
      </c>
      <c r="F2351">
        <v>210091</v>
      </c>
      <c r="G2351" s="140" t="s">
        <v>205</v>
      </c>
      <c r="H2351">
        <v>0</v>
      </c>
      <c r="I2351" s="140" t="s">
        <v>17</v>
      </c>
    </row>
    <row r="2352" spans="1:9" hidden="1" x14ac:dyDescent="0.25">
      <c r="A2352">
        <v>2005</v>
      </c>
      <c r="B2352" s="140" t="s">
        <v>164</v>
      </c>
      <c r="C2352" s="140" t="s">
        <v>50</v>
      </c>
      <c r="D2352" s="140" t="s">
        <v>11</v>
      </c>
      <c r="E2352" s="140" t="s">
        <v>12</v>
      </c>
      <c r="F2352">
        <v>224457</v>
      </c>
      <c r="G2352" s="140" t="s">
        <v>205</v>
      </c>
      <c r="H2352">
        <v>0</v>
      </c>
      <c r="I2352" s="140" t="s">
        <v>17</v>
      </c>
    </row>
    <row r="2353" spans="1:9" hidden="1" x14ac:dyDescent="0.25">
      <c r="A2353">
        <v>2006</v>
      </c>
      <c r="B2353" s="140" t="s">
        <v>164</v>
      </c>
      <c r="C2353" s="140" t="s">
        <v>50</v>
      </c>
      <c r="D2353" s="140" t="s">
        <v>11</v>
      </c>
      <c r="E2353" s="140" t="s">
        <v>12</v>
      </c>
      <c r="F2353">
        <v>240134</v>
      </c>
      <c r="G2353" s="140" t="s">
        <v>205</v>
      </c>
      <c r="H2353">
        <v>0</v>
      </c>
      <c r="I2353" s="140" t="s">
        <v>17</v>
      </c>
    </row>
    <row r="2354" spans="1:9" hidden="1" x14ac:dyDescent="0.25">
      <c r="A2354">
        <v>2007</v>
      </c>
      <c r="B2354" s="140" t="s">
        <v>164</v>
      </c>
      <c r="C2354" s="140" t="s">
        <v>50</v>
      </c>
      <c r="D2354" s="140" t="s">
        <v>11</v>
      </c>
      <c r="E2354" s="140" t="s">
        <v>12</v>
      </c>
      <c r="F2354">
        <v>260076</v>
      </c>
      <c r="G2354" s="140" t="s">
        <v>205</v>
      </c>
      <c r="H2354">
        <v>0</v>
      </c>
      <c r="I2354" s="140" t="s">
        <v>17</v>
      </c>
    </row>
    <row r="2355" spans="1:9" hidden="1" x14ac:dyDescent="0.25">
      <c r="A2355">
        <v>2008</v>
      </c>
      <c r="B2355" s="140" t="s">
        <v>164</v>
      </c>
      <c r="C2355" s="140" t="s">
        <v>50</v>
      </c>
      <c r="D2355" s="140" t="s">
        <v>11</v>
      </c>
      <c r="E2355" s="140" t="s">
        <v>12</v>
      </c>
      <c r="F2355">
        <v>274454</v>
      </c>
      <c r="G2355" s="140" t="s">
        <v>205</v>
      </c>
      <c r="H2355">
        <v>0</v>
      </c>
      <c r="I2355" s="140" t="s">
        <v>17</v>
      </c>
    </row>
    <row r="2356" spans="1:9" hidden="1" x14ac:dyDescent="0.25">
      <c r="A2356">
        <v>2009</v>
      </c>
      <c r="B2356" s="140" t="s">
        <v>164</v>
      </c>
      <c r="C2356" s="140" t="s">
        <v>50</v>
      </c>
      <c r="D2356" s="140" t="s">
        <v>11</v>
      </c>
      <c r="E2356" s="140" t="s">
        <v>12</v>
      </c>
      <c r="F2356">
        <v>243606</v>
      </c>
      <c r="G2356" s="140" t="s">
        <v>205</v>
      </c>
      <c r="H2356">
        <v>0</v>
      </c>
      <c r="I2356" s="140" t="s">
        <v>17</v>
      </c>
    </row>
    <row r="2357" spans="1:9" hidden="1" x14ac:dyDescent="0.25">
      <c r="A2357">
        <v>2010</v>
      </c>
      <c r="B2357" s="140" t="s">
        <v>164</v>
      </c>
      <c r="C2357" s="140" t="s">
        <v>50</v>
      </c>
      <c r="D2357" s="140" t="s">
        <v>11</v>
      </c>
      <c r="E2357" s="140" t="s">
        <v>12</v>
      </c>
      <c r="F2357">
        <v>257852</v>
      </c>
      <c r="G2357" s="140" t="s">
        <v>205</v>
      </c>
      <c r="H2357">
        <v>0</v>
      </c>
      <c r="I2357" s="140" t="s">
        <v>17</v>
      </c>
    </row>
    <row r="2358" spans="1:9" hidden="1" x14ac:dyDescent="0.25">
      <c r="A2358">
        <v>2011</v>
      </c>
      <c r="B2358" s="140" t="s">
        <v>164</v>
      </c>
      <c r="C2358" s="140" t="s">
        <v>50</v>
      </c>
      <c r="D2358" s="140" t="s">
        <v>11</v>
      </c>
      <c r="E2358" s="140" t="s">
        <v>12</v>
      </c>
      <c r="F2358">
        <v>276220</v>
      </c>
      <c r="G2358" s="140" t="s">
        <v>205</v>
      </c>
      <c r="H2358">
        <v>0</v>
      </c>
      <c r="I2358" s="140" t="s">
        <v>17</v>
      </c>
    </row>
    <row r="2359" spans="1:9" hidden="1" x14ac:dyDescent="0.25">
      <c r="A2359">
        <v>2012</v>
      </c>
      <c r="B2359" s="140" t="s">
        <v>164</v>
      </c>
      <c r="C2359" s="140" t="s">
        <v>50</v>
      </c>
      <c r="D2359" s="140" t="s">
        <v>11</v>
      </c>
      <c r="E2359" s="140" t="s">
        <v>12</v>
      </c>
      <c r="F2359">
        <v>281522</v>
      </c>
      <c r="G2359" s="140" t="s">
        <v>205</v>
      </c>
      <c r="H2359">
        <v>0</v>
      </c>
      <c r="I2359" s="140" t="s">
        <v>17</v>
      </c>
    </row>
    <row r="2360" spans="1:9" hidden="1" x14ac:dyDescent="0.25">
      <c r="A2360">
        <v>2013</v>
      </c>
      <c r="B2360" s="140" t="s">
        <v>164</v>
      </c>
      <c r="C2360" s="140" t="s">
        <v>50</v>
      </c>
      <c r="D2360" s="140" t="s">
        <v>11</v>
      </c>
      <c r="E2360" s="140" t="s">
        <v>12</v>
      </c>
      <c r="F2360">
        <v>283339</v>
      </c>
      <c r="G2360" s="140" t="s">
        <v>205</v>
      </c>
      <c r="H2360">
        <v>0</v>
      </c>
      <c r="I2360" s="140" t="s">
        <v>17</v>
      </c>
    </row>
    <row r="2361" spans="1:9" hidden="1" x14ac:dyDescent="0.25">
      <c r="A2361">
        <v>2014</v>
      </c>
      <c r="B2361" s="140" t="s">
        <v>164</v>
      </c>
      <c r="C2361" s="140" t="s">
        <v>50</v>
      </c>
      <c r="D2361" s="140" t="s">
        <v>11</v>
      </c>
      <c r="E2361" s="140" t="s">
        <v>12</v>
      </c>
      <c r="F2361">
        <v>283713</v>
      </c>
      <c r="G2361" s="140" t="s">
        <v>205</v>
      </c>
      <c r="H2361">
        <v>0</v>
      </c>
      <c r="I2361" s="140" t="s">
        <v>17</v>
      </c>
    </row>
    <row r="2362" spans="1:9" hidden="1" x14ac:dyDescent="0.25">
      <c r="A2362">
        <v>2015</v>
      </c>
      <c r="B2362" s="140" t="s">
        <v>164</v>
      </c>
      <c r="C2362" s="140" t="s">
        <v>50</v>
      </c>
      <c r="D2362" s="140" t="s">
        <v>11</v>
      </c>
      <c r="E2362" s="140" t="s">
        <v>12</v>
      </c>
      <c r="F2362">
        <v>286240</v>
      </c>
      <c r="G2362" s="140" t="s">
        <v>205</v>
      </c>
      <c r="H2362">
        <v>0</v>
      </c>
      <c r="I2362" s="140" t="s">
        <v>17</v>
      </c>
    </row>
    <row r="2363" spans="1:9" hidden="1" x14ac:dyDescent="0.25">
      <c r="A2363">
        <v>2016</v>
      </c>
      <c r="B2363" s="140" t="s">
        <v>164</v>
      </c>
      <c r="C2363" s="140" t="s">
        <v>50</v>
      </c>
      <c r="D2363" s="140" t="s">
        <v>11</v>
      </c>
      <c r="E2363" s="140" t="s">
        <v>12</v>
      </c>
      <c r="F2363">
        <v>294214</v>
      </c>
      <c r="G2363" s="140" t="s">
        <v>205</v>
      </c>
      <c r="H2363">
        <v>0</v>
      </c>
      <c r="I2363" s="140" t="s">
        <v>17</v>
      </c>
    </row>
    <row r="2364" spans="1:9" hidden="1" x14ac:dyDescent="0.25">
      <c r="A2364">
        <v>2017</v>
      </c>
      <c r="B2364" s="140" t="s">
        <v>164</v>
      </c>
      <c r="C2364" s="140" t="s">
        <v>50</v>
      </c>
      <c r="D2364" s="140" t="s">
        <v>11</v>
      </c>
      <c r="E2364" s="140" t="s">
        <v>12</v>
      </c>
      <c r="F2364">
        <v>309583</v>
      </c>
      <c r="G2364" s="140" t="s">
        <v>205</v>
      </c>
      <c r="H2364">
        <v>0</v>
      </c>
      <c r="I2364" s="140" t="s">
        <v>17</v>
      </c>
    </row>
    <row r="2365" spans="1:9" hidden="1" x14ac:dyDescent="0.25">
      <c r="A2365">
        <v>2018</v>
      </c>
      <c r="B2365" s="140" t="s">
        <v>164</v>
      </c>
      <c r="C2365" s="140" t="s">
        <v>50</v>
      </c>
      <c r="D2365" s="140" t="s">
        <v>11</v>
      </c>
      <c r="E2365" s="140" t="s">
        <v>12</v>
      </c>
      <c r="F2365">
        <v>324654</v>
      </c>
      <c r="G2365" s="140" t="s">
        <v>205</v>
      </c>
      <c r="H2365">
        <v>0</v>
      </c>
      <c r="I2365" s="140" t="s">
        <v>17</v>
      </c>
    </row>
    <row r="2366" spans="1:9" hidden="1" x14ac:dyDescent="0.25">
      <c r="A2366">
        <v>2019</v>
      </c>
      <c r="B2366" s="140" t="s">
        <v>164</v>
      </c>
      <c r="C2366" s="140" t="s">
        <v>50</v>
      </c>
      <c r="D2366" s="140" t="s">
        <v>11</v>
      </c>
      <c r="E2366" s="140" t="s">
        <v>12</v>
      </c>
      <c r="F2366">
        <v>333796</v>
      </c>
      <c r="G2366" s="140" t="s">
        <v>205</v>
      </c>
      <c r="H2366">
        <v>0</v>
      </c>
      <c r="I2366" s="140" t="s">
        <v>17</v>
      </c>
    </row>
    <row r="2367" spans="1:9" hidden="1" x14ac:dyDescent="0.25">
      <c r="A2367">
        <v>2020</v>
      </c>
      <c r="B2367" s="140" t="s">
        <v>164</v>
      </c>
      <c r="C2367" s="140" t="s">
        <v>50</v>
      </c>
      <c r="D2367" s="140" t="s">
        <v>11</v>
      </c>
      <c r="E2367" s="140" t="s">
        <v>12</v>
      </c>
      <c r="F2367">
        <v>321416</v>
      </c>
      <c r="G2367" s="140" t="s">
        <v>205</v>
      </c>
      <c r="H2367">
        <v>0</v>
      </c>
      <c r="I2367" s="140" t="s">
        <v>17</v>
      </c>
    </row>
    <row r="2368" spans="1:9" hidden="1" x14ac:dyDescent="0.25">
      <c r="A2368">
        <v>2021</v>
      </c>
      <c r="B2368" s="140" t="s">
        <v>164</v>
      </c>
      <c r="C2368" s="140" t="s">
        <v>50</v>
      </c>
      <c r="D2368" s="140" t="s">
        <v>11</v>
      </c>
      <c r="E2368" s="140" t="s">
        <v>12</v>
      </c>
      <c r="F2368">
        <v>347940</v>
      </c>
      <c r="G2368" s="140" t="s">
        <v>205</v>
      </c>
      <c r="H2368">
        <v>0</v>
      </c>
      <c r="I2368" s="140" t="s">
        <v>17</v>
      </c>
    </row>
    <row r="2369" spans="1:9" hidden="1" x14ac:dyDescent="0.25">
      <c r="A2369">
        <v>2022</v>
      </c>
      <c r="B2369" s="140" t="s">
        <v>164</v>
      </c>
      <c r="C2369" s="140" t="s">
        <v>50</v>
      </c>
      <c r="D2369" s="140" t="s">
        <v>11</v>
      </c>
      <c r="E2369" s="140" t="s">
        <v>12</v>
      </c>
      <c r="F2369">
        <v>394334</v>
      </c>
      <c r="G2369" s="140" t="s">
        <v>205</v>
      </c>
      <c r="H2369">
        <v>0</v>
      </c>
      <c r="I2369" s="140" t="s">
        <v>17</v>
      </c>
    </row>
    <row r="2370" spans="1:9" hidden="1" x14ac:dyDescent="0.25">
      <c r="A2370">
        <v>2023</v>
      </c>
      <c r="B2370" s="140" t="s">
        <v>164</v>
      </c>
      <c r="C2370" s="140" t="s">
        <v>50</v>
      </c>
      <c r="D2370" s="140" t="s">
        <v>11</v>
      </c>
      <c r="E2370" s="140" t="s">
        <v>12</v>
      </c>
      <c r="F2370">
        <v>389823</v>
      </c>
      <c r="G2370" s="140" t="s">
        <v>205</v>
      </c>
      <c r="H2370">
        <v>0</v>
      </c>
      <c r="I2370" s="140" t="s">
        <v>17</v>
      </c>
    </row>
    <row r="2371" spans="1:9" hidden="1" x14ac:dyDescent="0.25">
      <c r="A2371">
        <v>2024</v>
      </c>
      <c r="B2371" s="140" t="s">
        <v>164</v>
      </c>
      <c r="C2371" s="140" t="s">
        <v>50</v>
      </c>
      <c r="D2371" s="140" t="s">
        <v>11</v>
      </c>
      <c r="E2371" s="140" t="s">
        <v>12</v>
      </c>
      <c r="F2371">
        <v>390684</v>
      </c>
      <c r="G2371" s="140" t="s">
        <v>205</v>
      </c>
      <c r="H2371">
        <v>0</v>
      </c>
      <c r="I2371" s="140" t="s">
        <v>17</v>
      </c>
    </row>
    <row r="2372" spans="1:9" hidden="1" x14ac:dyDescent="0.25">
      <c r="A2372">
        <v>2025</v>
      </c>
      <c r="B2372" s="140" t="s">
        <v>164</v>
      </c>
      <c r="C2372" s="140" t="s">
        <v>50</v>
      </c>
      <c r="D2372" s="140" t="s">
        <v>11</v>
      </c>
      <c r="E2372" s="140" t="s">
        <v>12</v>
      </c>
      <c r="F2372">
        <v>398283</v>
      </c>
      <c r="G2372" s="140" t="s">
        <v>205</v>
      </c>
      <c r="H2372">
        <v>0</v>
      </c>
      <c r="I2372" s="140" t="s">
        <v>17</v>
      </c>
    </row>
    <row r="2373" spans="1:9" hidden="1" x14ac:dyDescent="0.25">
      <c r="A2373">
        <v>2026</v>
      </c>
      <c r="B2373" s="140" t="s">
        <v>164</v>
      </c>
      <c r="C2373" s="140" t="s">
        <v>50</v>
      </c>
      <c r="D2373" s="140" t="s">
        <v>11</v>
      </c>
      <c r="E2373" s="140" t="s">
        <v>12</v>
      </c>
      <c r="F2373">
        <v>418713.28379999998</v>
      </c>
      <c r="G2373" s="140" t="s">
        <v>205</v>
      </c>
      <c r="H2373">
        <v>0</v>
      </c>
      <c r="I2373" s="140" t="s">
        <v>17</v>
      </c>
    </row>
    <row r="2374" spans="1:9" hidden="1" x14ac:dyDescent="0.25">
      <c r="A2374">
        <v>2027</v>
      </c>
      <c r="B2374" s="140" t="s">
        <v>164</v>
      </c>
      <c r="C2374" s="140" t="s">
        <v>50</v>
      </c>
      <c r="D2374" s="140" t="s">
        <v>11</v>
      </c>
      <c r="E2374" s="140" t="s">
        <v>12</v>
      </c>
      <c r="F2374">
        <v>434273.77779999998</v>
      </c>
      <c r="G2374" s="140" t="s">
        <v>205</v>
      </c>
      <c r="H2374">
        <v>0</v>
      </c>
      <c r="I2374" s="140" t="s">
        <v>17</v>
      </c>
    </row>
    <row r="2375" spans="1:9" hidden="1" x14ac:dyDescent="0.25">
      <c r="A2375">
        <v>2028</v>
      </c>
      <c r="B2375" s="140" t="s">
        <v>164</v>
      </c>
      <c r="C2375" s="140" t="s">
        <v>50</v>
      </c>
      <c r="D2375" s="140" t="s">
        <v>11</v>
      </c>
      <c r="E2375" s="140" t="s">
        <v>12</v>
      </c>
      <c r="F2375">
        <v>452004.6226</v>
      </c>
      <c r="G2375" s="140" t="s">
        <v>205</v>
      </c>
      <c r="H2375">
        <v>0</v>
      </c>
      <c r="I2375" s="140" t="s">
        <v>17</v>
      </c>
    </row>
    <row r="2376" spans="1:9" hidden="1" x14ac:dyDescent="0.25">
      <c r="A2376">
        <v>2029</v>
      </c>
      <c r="B2376" s="140" t="s">
        <v>164</v>
      </c>
      <c r="C2376" s="140" t="s">
        <v>50</v>
      </c>
      <c r="D2376" s="140" t="s">
        <v>11</v>
      </c>
      <c r="E2376" s="140" t="s">
        <v>12</v>
      </c>
      <c r="F2376">
        <v>469822.21189999999</v>
      </c>
      <c r="G2376" s="140" t="s">
        <v>205</v>
      </c>
      <c r="H2376">
        <v>0</v>
      </c>
      <c r="I2376" s="140" t="s">
        <v>17</v>
      </c>
    </row>
    <row r="2377" spans="1:9" hidden="1" x14ac:dyDescent="0.25">
      <c r="A2377">
        <v>2030</v>
      </c>
      <c r="B2377" s="140" t="s">
        <v>164</v>
      </c>
      <c r="C2377" s="140" t="s">
        <v>50</v>
      </c>
      <c r="D2377" s="140" t="s">
        <v>11</v>
      </c>
      <c r="E2377" s="140" t="s">
        <v>12</v>
      </c>
      <c r="F2377">
        <v>487343.12650000001</v>
      </c>
      <c r="G2377" s="140" t="s">
        <v>205</v>
      </c>
      <c r="H2377">
        <v>0</v>
      </c>
      <c r="I2377" s="140" t="s">
        <v>17</v>
      </c>
    </row>
    <row r="2378" spans="1:9" hidden="1" x14ac:dyDescent="0.25">
      <c r="A2378">
        <v>2004</v>
      </c>
      <c r="B2378" s="140" t="s">
        <v>164</v>
      </c>
      <c r="C2378" s="140" t="s">
        <v>20</v>
      </c>
      <c r="D2378" s="140" t="s">
        <v>11</v>
      </c>
      <c r="E2378" s="140" t="s">
        <v>12</v>
      </c>
      <c r="F2378">
        <v>199249</v>
      </c>
      <c r="G2378" s="140" t="s">
        <v>205</v>
      </c>
      <c r="H2378">
        <v>0</v>
      </c>
      <c r="I2378" s="140" t="s">
        <v>17</v>
      </c>
    </row>
    <row r="2379" spans="1:9" hidden="1" x14ac:dyDescent="0.25">
      <c r="A2379">
        <v>2005</v>
      </c>
      <c r="B2379" s="140" t="s">
        <v>164</v>
      </c>
      <c r="C2379" s="140" t="s">
        <v>20</v>
      </c>
      <c r="D2379" s="140" t="s">
        <v>11</v>
      </c>
      <c r="E2379" s="140" t="s">
        <v>12</v>
      </c>
      <c r="F2379">
        <v>207933</v>
      </c>
      <c r="G2379" s="140" t="s">
        <v>205</v>
      </c>
      <c r="H2379">
        <v>0</v>
      </c>
      <c r="I2379" s="140" t="s">
        <v>17</v>
      </c>
    </row>
    <row r="2380" spans="1:9" hidden="1" x14ac:dyDescent="0.25">
      <c r="A2380">
        <v>2006</v>
      </c>
      <c r="B2380" s="140" t="s">
        <v>164</v>
      </c>
      <c r="C2380" s="140" t="s">
        <v>20</v>
      </c>
      <c r="D2380" s="140" t="s">
        <v>11</v>
      </c>
      <c r="E2380" s="140" t="s">
        <v>12</v>
      </c>
      <c r="F2380">
        <v>224143</v>
      </c>
      <c r="G2380" s="140" t="s">
        <v>205</v>
      </c>
      <c r="H2380">
        <v>0</v>
      </c>
      <c r="I2380" s="140" t="s">
        <v>17</v>
      </c>
    </row>
    <row r="2381" spans="1:9" hidden="1" x14ac:dyDescent="0.25">
      <c r="A2381">
        <v>2007</v>
      </c>
      <c r="B2381" s="140" t="s">
        <v>164</v>
      </c>
      <c r="C2381" s="140" t="s">
        <v>20</v>
      </c>
      <c r="D2381" s="140" t="s">
        <v>11</v>
      </c>
      <c r="E2381" s="140" t="s">
        <v>12</v>
      </c>
      <c r="F2381">
        <v>229313</v>
      </c>
      <c r="G2381" s="140" t="s">
        <v>205</v>
      </c>
      <c r="H2381">
        <v>0</v>
      </c>
      <c r="I2381" s="140" t="s">
        <v>17</v>
      </c>
    </row>
    <row r="2382" spans="1:9" hidden="1" x14ac:dyDescent="0.25">
      <c r="A2382">
        <v>2008</v>
      </c>
      <c r="B2382" s="140" t="s">
        <v>164</v>
      </c>
      <c r="C2382" s="140" t="s">
        <v>20</v>
      </c>
      <c r="D2382" s="140" t="s">
        <v>11</v>
      </c>
      <c r="E2382" s="140" t="s">
        <v>12</v>
      </c>
      <c r="F2382">
        <v>234613</v>
      </c>
      <c r="G2382" s="140" t="s">
        <v>205</v>
      </c>
      <c r="H2382">
        <v>0</v>
      </c>
      <c r="I2382" s="140" t="s">
        <v>17</v>
      </c>
    </row>
    <row r="2383" spans="1:9" hidden="1" x14ac:dyDescent="0.25">
      <c r="A2383">
        <v>2009</v>
      </c>
      <c r="B2383" s="140" t="s">
        <v>164</v>
      </c>
      <c r="C2383" s="140" t="s">
        <v>20</v>
      </c>
      <c r="D2383" s="140" t="s">
        <v>11</v>
      </c>
      <c r="E2383" s="140" t="s">
        <v>12</v>
      </c>
      <c r="F2383">
        <v>240458</v>
      </c>
      <c r="G2383" s="140" t="s">
        <v>205</v>
      </c>
      <c r="H2383">
        <v>0</v>
      </c>
      <c r="I2383" s="140" t="s">
        <v>17</v>
      </c>
    </row>
    <row r="2384" spans="1:9" hidden="1" x14ac:dyDescent="0.25">
      <c r="A2384">
        <v>2010</v>
      </c>
      <c r="B2384" s="140" t="s">
        <v>164</v>
      </c>
      <c r="C2384" s="140" t="s">
        <v>20</v>
      </c>
      <c r="D2384" s="140" t="s">
        <v>11</v>
      </c>
      <c r="E2384" s="140" t="s">
        <v>12</v>
      </c>
      <c r="F2384">
        <v>252393</v>
      </c>
      <c r="G2384" s="140" t="s">
        <v>205</v>
      </c>
      <c r="H2384">
        <v>0</v>
      </c>
      <c r="I2384" s="140" t="s">
        <v>17</v>
      </c>
    </row>
    <row r="2385" spans="1:9" hidden="1" x14ac:dyDescent="0.25">
      <c r="A2385">
        <v>2011</v>
      </c>
      <c r="B2385" s="140" t="s">
        <v>164</v>
      </c>
      <c r="C2385" s="140" t="s">
        <v>20</v>
      </c>
      <c r="D2385" s="140" t="s">
        <v>11</v>
      </c>
      <c r="E2385" s="140" t="s">
        <v>12</v>
      </c>
      <c r="F2385">
        <v>264592</v>
      </c>
      <c r="G2385" s="140" t="s">
        <v>205</v>
      </c>
      <c r="H2385">
        <v>0</v>
      </c>
      <c r="I2385" s="140" t="s">
        <v>17</v>
      </c>
    </row>
    <row r="2386" spans="1:9" hidden="1" x14ac:dyDescent="0.25">
      <c r="A2386">
        <v>2012</v>
      </c>
      <c r="B2386" s="140" t="s">
        <v>164</v>
      </c>
      <c r="C2386" s="140" t="s">
        <v>20</v>
      </c>
      <c r="D2386" s="140" t="s">
        <v>11</v>
      </c>
      <c r="E2386" s="140" t="s">
        <v>12</v>
      </c>
      <c r="F2386">
        <v>277054</v>
      </c>
      <c r="G2386" s="140" t="s">
        <v>205</v>
      </c>
      <c r="H2386">
        <v>0</v>
      </c>
      <c r="I2386" s="140" t="s">
        <v>17</v>
      </c>
    </row>
    <row r="2387" spans="1:9" hidden="1" x14ac:dyDescent="0.25">
      <c r="A2387">
        <v>2013</v>
      </c>
      <c r="B2387" s="140" t="s">
        <v>164</v>
      </c>
      <c r="C2387" s="140" t="s">
        <v>20</v>
      </c>
      <c r="D2387" s="140" t="s">
        <v>11</v>
      </c>
      <c r="E2387" s="140" t="s">
        <v>12</v>
      </c>
      <c r="F2387">
        <v>293352</v>
      </c>
      <c r="G2387" s="140" t="s">
        <v>205</v>
      </c>
      <c r="H2387">
        <v>0</v>
      </c>
      <c r="I2387" s="140" t="s">
        <v>17</v>
      </c>
    </row>
    <row r="2388" spans="1:9" hidden="1" x14ac:dyDescent="0.25">
      <c r="A2388">
        <v>2014</v>
      </c>
      <c r="B2388" s="140" t="s">
        <v>164</v>
      </c>
      <c r="C2388" s="140" t="s">
        <v>20</v>
      </c>
      <c r="D2388" s="140" t="s">
        <v>11</v>
      </c>
      <c r="E2388" s="140" t="s">
        <v>12</v>
      </c>
      <c r="F2388">
        <v>301567</v>
      </c>
      <c r="G2388" s="140" t="s">
        <v>205</v>
      </c>
      <c r="H2388">
        <v>0</v>
      </c>
      <c r="I2388" s="140" t="s">
        <v>17</v>
      </c>
    </row>
    <row r="2389" spans="1:9" hidden="1" x14ac:dyDescent="0.25">
      <c r="A2389">
        <v>2015</v>
      </c>
      <c r="B2389" s="140" t="s">
        <v>164</v>
      </c>
      <c r="C2389" s="140" t="s">
        <v>20</v>
      </c>
      <c r="D2389" s="140" t="s">
        <v>11</v>
      </c>
      <c r="E2389" s="140" t="s">
        <v>12</v>
      </c>
      <c r="F2389">
        <v>269354</v>
      </c>
      <c r="G2389" s="140" t="s">
        <v>205</v>
      </c>
      <c r="H2389">
        <v>0</v>
      </c>
      <c r="I2389" s="140" t="s">
        <v>17</v>
      </c>
    </row>
    <row r="2390" spans="1:9" hidden="1" x14ac:dyDescent="0.25">
      <c r="A2390">
        <v>2016</v>
      </c>
      <c r="B2390" s="140" t="s">
        <v>164</v>
      </c>
      <c r="C2390" s="140" t="s">
        <v>20</v>
      </c>
      <c r="D2390" s="140" t="s">
        <v>11</v>
      </c>
      <c r="E2390" s="140" t="s">
        <v>12</v>
      </c>
      <c r="F2390">
        <v>280067</v>
      </c>
      <c r="G2390" s="140" t="s">
        <v>205</v>
      </c>
      <c r="H2390">
        <v>0</v>
      </c>
      <c r="I2390" s="140" t="s">
        <v>17</v>
      </c>
    </row>
    <row r="2391" spans="1:9" hidden="1" x14ac:dyDescent="0.25">
      <c r="A2391">
        <v>2017</v>
      </c>
      <c r="B2391" s="140" t="s">
        <v>164</v>
      </c>
      <c r="C2391" s="140" t="s">
        <v>20</v>
      </c>
      <c r="D2391" s="140" t="s">
        <v>11</v>
      </c>
      <c r="E2391" s="140" t="s">
        <v>12</v>
      </c>
      <c r="F2391">
        <v>289973</v>
      </c>
      <c r="G2391" s="140" t="s">
        <v>205</v>
      </c>
      <c r="H2391">
        <v>0</v>
      </c>
      <c r="I2391" s="140" t="s">
        <v>17</v>
      </c>
    </row>
    <row r="2392" spans="1:9" hidden="1" x14ac:dyDescent="0.25">
      <c r="A2392">
        <v>2018</v>
      </c>
      <c r="B2392" s="140" t="s">
        <v>164</v>
      </c>
      <c r="C2392" s="140" t="s">
        <v>20</v>
      </c>
      <c r="D2392" s="140" t="s">
        <v>11</v>
      </c>
      <c r="E2392" s="140" t="s">
        <v>12</v>
      </c>
      <c r="F2392">
        <v>287998</v>
      </c>
      <c r="G2392" s="140" t="s">
        <v>205</v>
      </c>
      <c r="H2392">
        <v>0</v>
      </c>
      <c r="I2392" s="140" t="s">
        <v>17</v>
      </c>
    </row>
    <row r="2393" spans="1:9" hidden="1" x14ac:dyDescent="0.25">
      <c r="A2393">
        <v>2019</v>
      </c>
      <c r="B2393" s="140" t="s">
        <v>164</v>
      </c>
      <c r="C2393" s="140" t="s">
        <v>20</v>
      </c>
      <c r="D2393" s="140" t="s">
        <v>11</v>
      </c>
      <c r="E2393" s="140" t="s">
        <v>12</v>
      </c>
      <c r="F2393">
        <v>286252</v>
      </c>
      <c r="G2393" s="140" t="s">
        <v>205</v>
      </c>
      <c r="H2393">
        <v>0</v>
      </c>
      <c r="I2393" s="140" t="s">
        <v>17</v>
      </c>
    </row>
    <row r="2394" spans="1:9" hidden="1" x14ac:dyDescent="0.25">
      <c r="A2394">
        <v>2020</v>
      </c>
      <c r="B2394" s="140" t="s">
        <v>164</v>
      </c>
      <c r="C2394" s="140" t="s">
        <v>20</v>
      </c>
      <c r="D2394" s="140" t="s">
        <v>11</v>
      </c>
      <c r="E2394" s="140" t="s">
        <v>12</v>
      </c>
      <c r="F2394">
        <v>307997</v>
      </c>
      <c r="G2394" s="140" t="s">
        <v>205</v>
      </c>
      <c r="H2394">
        <v>0</v>
      </c>
      <c r="I2394" s="140" t="s">
        <v>17</v>
      </c>
    </row>
    <row r="2395" spans="1:9" hidden="1" x14ac:dyDescent="0.25">
      <c r="A2395">
        <v>2021</v>
      </c>
      <c r="B2395" s="140" t="s">
        <v>164</v>
      </c>
      <c r="C2395" s="140" t="s">
        <v>20</v>
      </c>
      <c r="D2395" s="140" t="s">
        <v>11</v>
      </c>
      <c r="E2395" s="140" t="s">
        <v>12</v>
      </c>
      <c r="F2395">
        <v>319760</v>
      </c>
      <c r="G2395" s="140" t="s">
        <v>205</v>
      </c>
      <c r="H2395">
        <v>0</v>
      </c>
      <c r="I2395" s="140" t="s">
        <v>17</v>
      </c>
    </row>
    <row r="2396" spans="1:9" hidden="1" x14ac:dyDescent="0.25">
      <c r="A2396">
        <v>2022</v>
      </c>
      <c r="B2396" s="140" t="s">
        <v>164</v>
      </c>
      <c r="C2396" s="140" t="s">
        <v>20</v>
      </c>
      <c r="D2396" s="140" t="s">
        <v>11</v>
      </c>
      <c r="E2396" s="140" t="s">
        <v>12</v>
      </c>
      <c r="F2396">
        <v>329681</v>
      </c>
      <c r="G2396" s="140" t="s">
        <v>205</v>
      </c>
      <c r="H2396">
        <v>0</v>
      </c>
      <c r="I2396" s="140" t="s">
        <v>17</v>
      </c>
    </row>
    <row r="2397" spans="1:9" hidden="1" x14ac:dyDescent="0.25">
      <c r="A2397">
        <v>2023</v>
      </c>
      <c r="B2397" s="140" t="s">
        <v>164</v>
      </c>
      <c r="C2397" s="140" t="s">
        <v>20</v>
      </c>
      <c r="D2397" s="140" t="s">
        <v>11</v>
      </c>
      <c r="E2397" s="140" t="s">
        <v>12</v>
      </c>
      <c r="F2397">
        <v>319806</v>
      </c>
      <c r="G2397" s="140" t="s">
        <v>205</v>
      </c>
      <c r="H2397">
        <v>0</v>
      </c>
      <c r="I2397" s="140" t="s">
        <v>17</v>
      </c>
    </row>
    <row r="2398" spans="1:9" hidden="1" x14ac:dyDescent="0.25">
      <c r="A2398">
        <v>2024</v>
      </c>
      <c r="B2398" s="140" t="s">
        <v>164</v>
      </c>
      <c r="C2398" s="140" t="s">
        <v>20</v>
      </c>
      <c r="D2398" s="140" t="s">
        <v>11</v>
      </c>
      <c r="E2398" s="140" t="s">
        <v>12</v>
      </c>
      <c r="F2398">
        <v>320776</v>
      </c>
      <c r="G2398" s="140" t="s">
        <v>205</v>
      </c>
      <c r="H2398">
        <v>0</v>
      </c>
      <c r="I2398" s="140" t="s">
        <v>17</v>
      </c>
    </row>
    <row r="2399" spans="1:9" hidden="1" x14ac:dyDescent="0.25">
      <c r="A2399">
        <v>2025</v>
      </c>
      <c r="B2399" s="140" t="s">
        <v>164</v>
      </c>
      <c r="C2399" s="140" t="s">
        <v>20</v>
      </c>
      <c r="D2399" s="140" t="s">
        <v>11</v>
      </c>
      <c r="E2399" s="140" t="s">
        <v>12</v>
      </c>
      <c r="F2399">
        <v>325386</v>
      </c>
      <c r="G2399" s="140" t="s">
        <v>205</v>
      </c>
      <c r="H2399">
        <v>0</v>
      </c>
      <c r="I2399" s="140" t="s">
        <v>17</v>
      </c>
    </row>
    <row r="2400" spans="1:9" hidden="1" x14ac:dyDescent="0.25">
      <c r="A2400">
        <v>2026</v>
      </c>
      <c r="B2400" s="140" t="s">
        <v>164</v>
      </c>
      <c r="C2400" s="140" t="s">
        <v>20</v>
      </c>
      <c r="D2400" s="140" t="s">
        <v>11</v>
      </c>
      <c r="E2400" s="140" t="s">
        <v>12</v>
      </c>
      <c r="F2400">
        <v>332738.7794</v>
      </c>
      <c r="G2400" s="140" t="s">
        <v>205</v>
      </c>
      <c r="H2400">
        <v>0</v>
      </c>
      <c r="I2400" s="140" t="s">
        <v>17</v>
      </c>
    </row>
    <row r="2401" spans="1:9" hidden="1" x14ac:dyDescent="0.25">
      <c r="A2401">
        <v>2027</v>
      </c>
      <c r="B2401" s="140" t="s">
        <v>164</v>
      </c>
      <c r="C2401" s="140" t="s">
        <v>20</v>
      </c>
      <c r="D2401" s="140" t="s">
        <v>11</v>
      </c>
      <c r="E2401" s="140" t="s">
        <v>12</v>
      </c>
      <c r="F2401">
        <v>338624.57069999998</v>
      </c>
      <c r="G2401" s="140" t="s">
        <v>205</v>
      </c>
      <c r="H2401">
        <v>0</v>
      </c>
      <c r="I2401" s="140" t="s">
        <v>17</v>
      </c>
    </row>
    <row r="2402" spans="1:9" hidden="1" x14ac:dyDescent="0.25">
      <c r="A2402">
        <v>2028</v>
      </c>
      <c r="B2402" s="140" t="s">
        <v>164</v>
      </c>
      <c r="C2402" s="140" t="s">
        <v>20</v>
      </c>
      <c r="D2402" s="140" t="s">
        <v>11</v>
      </c>
      <c r="E2402" s="140" t="s">
        <v>12</v>
      </c>
      <c r="F2402">
        <v>344860.21110000001</v>
      </c>
      <c r="G2402" s="140" t="s">
        <v>205</v>
      </c>
      <c r="H2402">
        <v>0</v>
      </c>
      <c r="I2402" s="140" t="s">
        <v>17</v>
      </c>
    </row>
    <row r="2403" spans="1:9" hidden="1" x14ac:dyDescent="0.25">
      <c r="A2403">
        <v>2029</v>
      </c>
      <c r="B2403" s="140" t="s">
        <v>164</v>
      </c>
      <c r="C2403" s="140" t="s">
        <v>20</v>
      </c>
      <c r="D2403" s="140" t="s">
        <v>11</v>
      </c>
      <c r="E2403" s="140" t="s">
        <v>12</v>
      </c>
      <c r="F2403">
        <v>351273.24440000003</v>
      </c>
      <c r="G2403" s="140" t="s">
        <v>205</v>
      </c>
      <c r="H2403">
        <v>0</v>
      </c>
      <c r="I2403" s="140" t="s">
        <v>17</v>
      </c>
    </row>
    <row r="2404" spans="1:9" hidden="1" x14ac:dyDescent="0.25">
      <c r="A2404">
        <v>2030</v>
      </c>
      <c r="B2404" s="140" t="s">
        <v>164</v>
      </c>
      <c r="C2404" s="140" t="s">
        <v>20</v>
      </c>
      <c r="D2404" s="140" t="s">
        <v>11</v>
      </c>
      <c r="E2404" s="140" t="s">
        <v>12</v>
      </c>
      <c r="F2404">
        <v>357177.99209999997</v>
      </c>
      <c r="G2404" s="140" t="s">
        <v>205</v>
      </c>
      <c r="H2404">
        <v>0</v>
      </c>
      <c r="I2404" s="140" t="s">
        <v>17</v>
      </c>
    </row>
    <row r="2405" spans="1:9" hidden="1" x14ac:dyDescent="0.25">
      <c r="A2405">
        <v>1991</v>
      </c>
      <c r="B2405" s="140" t="s">
        <v>18</v>
      </c>
      <c r="C2405" s="140" t="s">
        <v>308</v>
      </c>
      <c r="D2405" s="140" t="s">
        <v>11</v>
      </c>
      <c r="E2405" s="140" t="s">
        <v>12</v>
      </c>
      <c r="F2405">
        <v>1.5159509600000001</v>
      </c>
      <c r="G2405" s="140" t="s">
        <v>309</v>
      </c>
      <c r="H2405">
        <v>0</v>
      </c>
      <c r="I2405" s="140" t="s">
        <v>14</v>
      </c>
    </row>
    <row r="2406" spans="1:9" hidden="1" x14ac:dyDescent="0.25">
      <c r="A2406">
        <v>1992</v>
      </c>
      <c r="B2406" s="140" t="s">
        <v>18</v>
      </c>
      <c r="C2406" s="140" t="s">
        <v>308</v>
      </c>
      <c r="D2406" s="140" t="s">
        <v>11</v>
      </c>
      <c r="E2406" s="140" t="s">
        <v>12</v>
      </c>
      <c r="F2406">
        <v>0.894245348</v>
      </c>
      <c r="G2406" s="140" t="s">
        <v>309</v>
      </c>
      <c r="H2406">
        <v>0</v>
      </c>
      <c r="I2406" s="140" t="s">
        <v>14</v>
      </c>
    </row>
    <row r="2407" spans="1:9" hidden="1" x14ac:dyDescent="0.25">
      <c r="A2407">
        <v>1993</v>
      </c>
      <c r="B2407" s="140" t="s">
        <v>18</v>
      </c>
      <c r="C2407" s="140" t="s">
        <v>308</v>
      </c>
      <c r="D2407" s="140" t="s">
        <v>11</v>
      </c>
      <c r="E2407" s="140" t="s">
        <v>12</v>
      </c>
      <c r="F2407">
        <v>1.766192567</v>
      </c>
      <c r="G2407" s="140" t="s">
        <v>309</v>
      </c>
      <c r="H2407">
        <v>0</v>
      </c>
      <c r="I2407" s="140" t="s">
        <v>14</v>
      </c>
    </row>
    <row r="2408" spans="1:9" hidden="1" x14ac:dyDescent="0.25">
      <c r="A2408">
        <v>1994</v>
      </c>
      <c r="B2408" s="140" t="s">
        <v>18</v>
      </c>
      <c r="C2408" s="140" t="s">
        <v>308</v>
      </c>
      <c r="D2408" s="140" t="s">
        <v>11</v>
      </c>
      <c r="E2408" s="140" t="s">
        <v>12</v>
      </c>
      <c r="F2408">
        <v>1.8459615229999999</v>
      </c>
      <c r="G2408" s="140" t="s">
        <v>309</v>
      </c>
      <c r="H2408">
        <v>0</v>
      </c>
      <c r="I2408" s="140" t="s">
        <v>14</v>
      </c>
    </row>
    <row r="2409" spans="1:9" hidden="1" x14ac:dyDescent="0.25">
      <c r="A2409">
        <v>1995</v>
      </c>
      <c r="B2409" s="140" t="s">
        <v>18</v>
      </c>
      <c r="C2409" s="140" t="s">
        <v>308</v>
      </c>
      <c r="D2409" s="140" t="s">
        <v>11</v>
      </c>
      <c r="E2409" s="140" t="s">
        <v>12</v>
      </c>
      <c r="F2409">
        <v>4.2031625940000001</v>
      </c>
      <c r="G2409" s="140" t="s">
        <v>309</v>
      </c>
      <c r="H2409">
        <v>0</v>
      </c>
      <c r="I2409" s="140" t="s">
        <v>14</v>
      </c>
    </row>
    <row r="2410" spans="1:9" hidden="1" x14ac:dyDescent="0.25">
      <c r="A2410">
        <v>1996</v>
      </c>
      <c r="B2410" s="140" t="s">
        <v>18</v>
      </c>
      <c r="C2410" s="140" t="s">
        <v>308</v>
      </c>
      <c r="D2410" s="140" t="s">
        <v>11</v>
      </c>
      <c r="E2410" s="140" t="s">
        <v>12</v>
      </c>
      <c r="F2410">
        <v>-8.0553863000000003E-2</v>
      </c>
      <c r="G2410" s="140" t="s">
        <v>309</v>
      </c>
      <c r="H2410">
        <v>0</v>
      </c>
      <c r="I2410" s="140" t="s">
        <v>14</v>
      </c>
    </row>
    <row r="2411" spans="1:9" hidden="1" x14ac:dyDescent="0.25">
      <c r="A2411">
        <v>1997</v>
      </c>
      <c r="B2411" s="140" t="s">
        <v>18</v>
      </c>
      <c r="C2411" s="140" t="s">
        <v>308</v>
      </c>
      <c r="D2411" s="140" t="s">
        <v>11</v>
      </c>
      <c r="E2411" s="140" t="s">
        <v>12</v>
      </c>
      <c r="F2411">
        <v>2.08565186</v>
      </c>
      <c r="G2411" s="140" t="s">
        <v>309</v>
      </c>
      <c r="H2411">
        <v>0</v>
      </c>
      <c r="I2411" s="140" t="s">
        <v>14</v>
      </c>
    </row>
    <row r="2412" spans="1:9" hidden="1" x14ac:dyDescent="0.25">
      <c r="A2412">
        <v>1998</v>
      </c>
      <c r="B2412" s="140" t="s">
        <v>18</v>
      </c>
      <c r="C2412" s="140" t="s">
        <v>308</v>
      </c>
      <c r="D2412" s="140" t="s">
        <v>11</v>
      </c>
      <c r="E2412" s="140" t="s">
        <v>12</v>
      </c>
      <c r="F2412">
        <v>3.1041001490000002</v>
      </c>
      <c r="G2412" s="140" t="s">
        <v>309</v>
      </c>
      <c r="H2412">
        <v>0</v>
      </c>
      <c r="I2412" s="140" t="s">
        <v>14</v>
      </c>
    </row>
    <row r="2413" spans="1:9" hidden="1" x14ac:dyDescent="0.25">
      <c r="A2413">
        <v>1999</v>
      </c>
      <c r="B2413" s="140" t="s">
        <v>18</v>
      </c>
      <c r="C2413" s="140" t="s">
        <v>308</v>
      </c>
      <c r="D2413" s="140" t="s">
        <v>11</v>
      </c>
      <c r="E2413" s="140" t="s">
        <v>12</v>
      </c>
      <c r="F2413">
        <v>0.931492761</v>
      </c>
      <c r="G2413" s="140" t="s">
        <v>309</v>
      </c>
      <c r="H2413">
        <v>0</v>
      </c>
      <c r="I2413" s="140" t="s">
        <v>14</v>
      </c>
    </row>
    <row r="2414" spans="1:9" hidden="1" x14ac:dyDescent="0.25">
      <c r="A2414">
        <v>2000</v>
      </c>
      <c r="B2414" s="140" t="s">
        <v>18</v>
      </c>
      <c r="C2414" s="140" t="s">
        <v>308</v>
      </c>
      <c r="D2414" s="140" t="s">
        <v>11</v>
      </c>
      <c r="E2414" s="140" t="s">
        <v>12</v>
      </c>
      <c r="F2414">
        <v>1.637491571</v>
      </c>
      <c r="G2414" s="140" t="s">
        <v>309</v>
      </c>
      <c r="H2414">
        <v>0</v>
      </c>
      <c r="I2414" s="140" t="s">
        <v>14</v>
      </c>
    </row>
    <row r="2415" spans="1:9" hidden="1" x14ac:dyDescent="0.25">
      <c r="A2415">
        <v>2001</v>
      </c>
      <c r="B2415" s="140" t="s">
        <v>18</v>
      </c>
      <c r="C2415" s="140" t="s">
        <v>308</v>
      </c>
      <c r="D2415" s="140" t="s">
        <v>11</v>
      </c>
      <c r="E2415" s="140" t="s">
        <v>12</v>
      </c>
      <c r="F2415">
        <v>3.3046761010000001</v>
      </c>
      <c r="G2415" s="140" t="s">
        <v>309</v>
      </c>
      <c r="H2415">
        <v>0</v>
      </c>
      <c r="I2415" s="140" t="s">
        <v>14</v>
      </c>
    </row>
    <row r="2416" spans="1:9" hidden="1" x14ac:dyDescent="0.25">
      <c r="A2416">
        <v>2002</v>
      </c>
      <c r="B2416" s="140" t="s">
        <v>18</v>
      </c>
      <c r="C2416" s="140" t="s">
        <v>308</v>
      </c>
      <c r="D2416" s="140" t="s">
        <v>11</v>
      </c>
      <c r="E2416" s="140" t="s">
        <v>12</v>
      </c>
      <c r="F2416">
        <v>0.94316109000000004</v>
      </c>
      <c r="G2416" s="140" t="s">
        <v>309</v>
      </c>
      <c r="H2416">
        <v>0</v>
      </c>
      <c r="I2416" s="140" t="s">
        <v>14</v>
      </c>
    </row>
    <row r="2417" spans="1:9" hidden="1" x14ac:dyDescent="0.25">
      <c r="A2417">
        <v>2003</v>
      </c>
      <c r="B2417" s="140" t="s">
        <v>18</v>
      </c>
      <c r="C2417" s="140" t="s">
        <v>308</v>
      </c>
      <c r="D2417" s="140" t="s">
        <v>11</v>
      </c>
      <c r="E2417" s="140" t="s">
        <v>12</v>
      </c>
      <c r="F2417">
        <v>0.190015353</v>
      </c>
      <c r="G2417" s="140" t="s">
        <v>309</v>
      </c>
      <c r="H2417">
        <v>0</v>
      </c>
      <c r="I2417" s="140" t="s">
        <v>14</v>
      </c>
    </row>
    <row r="2418" spans="1:9" hidden="1" x14ac:dyDescent="0.25">
      <c r="A2418">
        <v>2004</v>
      </c>
      <c r="B2418" s="140" t="s">
        <v>18</v>
      </c>
      <c r="C2418" s="140" t="s">
        <v>308</v>
      </c>
      <c r="D2418" s="140" t="s">
        <v>11</v>
      </c>
      <c r="E2418" s="140" t="s">
        <v>12</v>
      </c>
      <c r="F2418">
        <v>0.60230160799999999</v>
      </c>
      <c r="G2418" s="140" t="s">
        <v>309</v>
      </c>
      <c r="H2418">
        <v>0</v>
      </c>
      <c r="I2418" s="140" t="s">
        <v>14</v>
      </c>
    </row>
    <row r="2419" spans="1:9" hidden="1" x14ac:dyDescent="0.25">
      <c r="A2419">
        <v>2005</v>
      </c>
      <c r="B2419" s="140" t="s">
        <v>18</v>
      </c>
      <c r="C2419" s="140" t="s">
        <v>308</v>
      </c>
      <c r="D2419" s="140" t="s">
        <v>11</v>
      </c>
      <c r="E2419" s="140" t="s">
        <v>12</v>
      </c>
      <c r="F2419">
        <v>0.92891412299999998</v>
      </c>
      <c r="G2419" s="140" t="s">
        <v>309</v>
      </c>
      <c r="H2419">
        <v>0</v>
      </c>
      <c r="I2419" s="140" t="s">
        <v>14</v>
      </c>
    </row>
    <row r="2420" spans="1:9" hidden="1" x14ac:dyDescent="0.25">
      <c r="A2420">
        <v>2006</v>
      </c>
      <c r="B2420" s="140" t="s">
        <v>18</v>
      </c>
      <c r="C2420" s="140" t="s">
        <v>308</v>
      </c>
      <c r="D2420" s="140" t="s">
        <v>11</v>
      </c>
      <c r="E2420" s="140" t="s">
        <v>12</v>
      </c>
      <c r="F2420">
        <v>0.92025782099999998</v>
      </c>
      <c r="G2420" s="140" t="s">
        <v>309</v>
      </c>
      <c r="H2420">
        <v>0</v>
      </c>
      <c r="I2420" s="140" t="s">
        <v>14</v>
      </c>
    </row>
    <row r="2421" spans="1:9" hidden="1" x14ac:dyDescent="0.25">
      <c r="A2421">
        <v>2007</v>
      </c>
      <c r="B2421" s="140" t="s">
        <v>18</v>
      </c>
      <c r="C2421" s="140" t="s">
        <v>308</v>
      </c>
      <c r="D2421" s="140" t="s">
        <v>11</v>
      </c>
      <c r="E2421" s="140" t="s">
        <v>12</v>
      </c>
      <c r="F2421">
        <v>2.75403091</v>
      </c>
      <c r="G2421" s="140" t="s">
        <v>309</v>
      </c>
      <c r="H2421">
        <v>0</v>
      </c>
      <c r="I2421" s="140" t="s">
        <v>14</v>
      </c>
    </row>
    <row r="2422" spans="1:9" hidden="1" x14ac:dyDescent="0.25">
      <c r="A2422">
        <v>2008</v>
      </c>
      <c r="B2422" s="140" t="s">
        <v>18</v>
      </c>
      <c r="C2422" s="140" t="s">
        <v>308</v>
      </c>
      <c r="D2422" s="140" t="s">
        <v>11</v>
      </c>
      <c r="E2422" s="140" t="s">
        <v>12</v>
      </c>
      <c r="F2422">
        <v>3.0380687289999999</v>
      </c>
      <c r="G2422" s="140" t="s">
        <v>309</v>
      </c>
      <c r="H2422">
        <v>0</v>
      </c>
      <c r="I2422" s="140" t="s">
        <v>14</v>
      </c>
    </row>
    <row r="2423" spans="1:9" hidden="1" x14ac:dyDescent="0.25">
      <c r="A2423">
        <v>2009</v>
      </c>
      <c r="B2423" s="140" t="s">
        <v>18</v>
      </c>
      <c r="C2423" s="140" t="s">
        <v>308</v>
      </c>
      <c r="D2423" s="140" t="s">
        <v>11</v>
      </c>
      <c r="E2423" s="140" t="s">
        <v>12</v>
      </c>
      <c r="F2423">
        <v>1.7750642299999999</v>
      </c>
      <c r="G2423" s="140" t="s">
        <v>309</v>
      </c>
      <c r="H2423">
        <v>0</v>
      </c>
      <c r="I2423" s="140" t="s">
        <v>14</v>
      </c>
    </row>
    <row r="2424" spans="1:9" hidden="1" x14ac:dyDescent="0.25">
      <c r="A2424">
        <v>2010</v>
      </c>
      <c r="B2424" s="140" t="s">
        <v>18</v>
      </c>
      <c r="C2424" s="140" t="s">
        <v>308</v>
      </c>
      <c r="D2424" s="140" t="s">
        <v>11</v>
      </c>
      <c r="E2424" s="140" t="s">
        <v>12</v>
      </c>
      <c r="F2424">
        <v>0.34941012399999999</v>
      </c>
      <c r="G2424" s="140" t="s">
        <v>309</v>
      </c>
      <c r="H2424">
        <v>0</v>
      </c>
      <c r="I2424" s="140" t="s">
        <v>14</v>
      </c>
    </row>
    <row r="2425" spans="1:9" hidden="1" x14ac:dyDescent="0.25">
      <c r="A2425">
        <v>2011</v>
      </c>
      <c r="B2425" s="140" t="s">
        <v>18</v>
      </c>
      <c r="C2425" s="140" t="s">
        <v>308</v>
      </c>
      <c r="D2425" s="140" t="s">
        <v>11</v>
      </c>
      <c r="E2425" s="140" t="s">
        <v>12</v>
      </c>
      <c r="F2425">
        <v>2.6019141939999999</v>
      </c>
      <c r="G2425" s="140" t="s">
        <v>309</v>
      </c>
      <c r="H2425">
        <v>0</v>
      </c>
      <c r="I2425" s="140" t="s">
        <v>14</v>
      </c>
    </row>
    <row r="2426" spans="1:9" hidden="1" x14ac:dyDescent="0.25">
      <c r="A2426">
        <v>2012</v>
      </c>
      <c r="B2426" s="140" t="s">
        <v>18</v>
      </c>
      <c r="C2426" s="140" t="s">
        <v>308</v>
      </c>
      <c r="D2426" s="140" t="s">
        <v>11</v>
      </c>
      <c r="E2426" s="140" t="s">
        <v>12</v>
      </c>
      <c r="F2426">
        <v>2.9458237029999998</v>
      </c>
      <c r="G2426" s="140" t="s">
        <v>309</v>
      </c>
      <c r="H2426">
        <v>0</v>
      </c>
      <c r="I2426" s="140" t="s">
        <v>14</v>
      </c>
    </row>
    <row r="2427" spans="1:9" hidden="1" x14ac:dyDescent="0.25">
      <c r="A2427">
        <v>2013</v>
      </c>
      <c r="B2427" s="140" t="s">
        <v>18</v>
      </c>
      <c r="C2427" s="140" t="s">
        <v>308</v>
      </c>
      <c r="D2427" s="140" t="s">
        <v>11</v>
      </c>
      <c r="E2427" s="140" t="s">
        <v>12</v>
      </c>
      <c r="F2427">
        <v>2.5613941630000001</v>
      </c>
      <c r="G2427" s="140" t="s">
        <v>309</v>
      </c>
      <c r="H2427">
        <v>0</v>
      </c>
      <c r="I2427" s="140" t="s">
        <v>14</v>
      </c>
    </row>
    <row r="2428" spans="1:9" hidden="1" x14ac:dyDescent="0.25">
      <c r="A2428">
        <v>2014</v>
      </c>
      <c r="B2428" s="140" t="s">
        <v>18</v>
      </c>
      <c r="C2428" s="140" t="s">
        <v>308</v>
      </c>
      <c r="D2428" s="140" t="s">
        <v>11</v>
      </c>
      <c r="E2428" s="140" t="s">
        <v>12</v>
      </c>
      <c r="F2428">
        <v>1.6446704080000001</v>
      </c>
      <c r="G2428" s="140" t="s">
        <v>309</v>
      </c>
      <c r="H2428">
        <v>0</v>
      </c>
      <c r="I2428" s="140" t="s">
        <v>14</v>
      </c>
    </row>
    <row r="2429" spans="1:9" hidden="1" x14ac:dyDescent="0.25">
      <c r="A2429">
        <v>2015</v>
      </c>
      <c r="B2429" s="140" t="s">
        <v>18</v>
      </c>
      <c r="C2429" s="140" t="s">
        <v>308</v>
      </c>
      <c r="D2429" s="140" t="s">
        <v>11</v>
      </c>
      <c r="E2429" s="140" t="s">
        <v>12</v>
      </c>
      <c r="F2429">
        <v>1.63270263</v>
      </c>
      <c r="G2429" s="140" t="s">
        <v>309</v>
      </c>
      <c r="H2429">
        <v>0</v>
      </c>
      <c r="I2429" s="140" t="s">
        <v>14</v>
      </c>
    </row>
    <row r="2430" spans="1:9" hidden="1" x14ac:dyDescent="0.25">
      <c r="A2430">
        <v>2016</v>
      </c>
      <c r="B2430" s="140" t="s">
        <v>18</v>
      </c>
      <c r="C2430" s="140" t="s">
        <v>308</v>
      </c>
      <c r="D2430" s="140" t="s">
        <v>11</v>
      </c>
      <c r="E2430" s="140" t="s">
        <v>12</v>
      </c>
      <c r="F2430">
        <v>5.5195317000000001E-2</v>
      </c>
      <c r="G2430" s="140" t="s">
        <v>309</v>
      </c>
      <c r="H2430">
        <v>0</v>
      </c>
      <c r="I2430" s="140" t="s">
        <v>14</v>
      </c>
    </row>
    <row r="2431" spans="1:9" hidden="1" x14ac:dyDescent="0.25">
      <c r="A2431">
        <v>2017</v>
      </c>
      <c r="B2431" s="140" t="s">
        <v>18</v>
      </c>
      <c r="C2431" s="140" t="s">
        <v>308</v>
      </c>
      <c r="D2431" s="140" t="s">
        <v>11</v>
      </c>
      <c r="E2431" s="140" t="s">
        <v>12</v>
      </c>
      <c r="F2431">
        <v>0.83604581099999997</v>
      </c>
      <c r="G2431" s="140" t="s">
        <v>309</v>
      </c>
      <c r="H2431">
        <v>0</v>
      </c>
      <c r="I2431" s="140" t="s">
        <v>14</v>
      </c>
    </row>
    <row r="2432" spans="1:9" hidden="1" x14ac:dyDescent="0.25">
      <c r="A2432">
        <v>2018</v>
      </c>
      <c r="B2432" s="140" t="s">
        <v>18</v>
      </c>
      <c r="C2432" s="140" t="s">
        <v>308</v>
      </c>
      <c r="D2432" s="140" t="s">
        <v>11</v>
      </c>
      <c r="E2432" s="140" t="s">
        <v>12</v>
      </c>
      <c r="F2432">
        <v>1.987058878</v>
      </c>
      <c r="G2432" s="140" t="s">
        <v>309</v>
      </c>
      <c r="H2432">
        <v>0</v>
      </c>
      <c r="I2432" s="140" t="s">
        <v>14</v>
      </c>
    </row>
    <row r="2433" spans="1:9" hidden="1" x14ac:dyDescent="0.25">
      <c r="A2433">
        <v>2019</v>
      </c>
      <c r="B2433" s="140" t="s">
        <v>18</v>
      </c>
      <c r="C2433" s="140" t="s">
        <v>308</v>
      </c>
      <c r="D2433" s="140" t="s">
        <v>11</v>
      </c>
      <c r="E2433" s="140" t="s">
        <v>12</v>
      </c>
      <c r="F2433">
        <v>1.4818590549999999</v>
      </c>
      <c r="G2433" s="140" t="s">
        <v>309</v>
      </c>
      <c r="H2433">
        <v>0</v>
      </c>
      <c r="I2433" s="140" t="s">
        <v>14</v>
      </c>
    </row>
    <row r="2434" spans="1:9" hidden="1" x14ac:dyDescent="0.25">
      <c r="A2434">
        <v>2020</v>
      </c>
      <c r="B2434" s="140" t="s">
        <v>18</v>
      </c>
      <c r="C2434" s="140" t="s">
        <v>308</v>
      </c>
      <c r="D2434" s="140" t="s">
        <v>11</v>
      </c>
      <c r="E2434" s="140" t="s">
        <v>12</v>
      </c>
      <c r="F2434">
        <v>1.63841613</v>
      </c>
      <c r="G2434" s="140" t="s">
        <v>309</v>
      </c>
      <c r="H2434">
        <v>0</v>
      </c>
      <c r="I2434" s="140" t="s">
        <v>14</v>
      </c>
    </row>
    <row r="2435" spans="1:9" hidden="1" x14ac:dyDescent="0.25">
      <c r="A2435">
        <v>2021</v>
      </c>
      <c r="B2435" s="140" t="s">
        <v>18</v>
      </c>
      <c r="C2435" s="140" t="s">
        <v>308</v>
      </c>
      <c r="D2435" s="140" t="s">
        <v>11</v>
      </c>
      <c r="E2435" s="140" t="s">
        <v>12</v>
      </c>
      <c r="F2435">
        <v>2.4928418479999999</v>
      </c>
      <c r="G2435" s="140" t="s">
        <v>309</v>
      </c>
      <c r="H2435">
        <v>0</v>
      </c>
      <c r="I2435" s="140" t="s">
        <v>14</v>
      </c>
    </row>
    <row r="2436" spans="1:9" hidden="1" x14ac:dyDescent="0.25">
      <c r="A2436">
        <v>2022</v>
      </c>
      <c r="B2436" s="140" t="s">
        <v>18</v>
      </c>
      <c r="C2436" s="140" t="s">
        <v>308</v>
      </c>
      <c r="D2436" s="140" t="s">
        <v>11</v>
      </c>
      <c r="E2436" s="140" t="s">
        <v>12</v>
      </c>
      <c r="F2436">
        <v>6.1840951669999997</v>
      </c>
      <c r="G2436" s="140" t="s">
        <v>309</v>
      </c>
      <c r="H2436">
        <v>0</v>
      </c>
      <c r="I2436" s="140" t="s">
        <v>14</v>
      </c>
    </row>
    <row r="2437" spans="1:9" hidden="1" x14ac:dyDescent="0.25">
      <c r="A2437">
        <v>2023</v>
      </c>
      <c r="B2437" s="140" t="s">
        <v>18</v>
      </c>
      <c r="C2437" s="140" t="s">
        <v>308</v>
      </c>
      <c r="D2437" s="140" t="s">
        <v>11</v>
      </c>
      <c r="E2437" s="140" t="s">
        <v>12</v>
      </c>
      <c r="F2437">
        <v>3.9257488039999999</v>
      </c>
      <c r="G2437" s="140" t="s">
        <v>309</v>
      </c>
      <c r="H2437">
        <v>0</v>
      </c>
      <c r="I2437" s="140" t="s">
        <v>14</v>
      </c>
    </row>
    <row r="2438" spans="1:9" hidden="1" x14ac:dyDescent="0.25">
      <c r="A2438">
        <v>2024</v>
      </c>
      <c r="B2438" s="140" t="s">
        <v>18</v>
      </c>
      <c r="C2438" s="140" t="s">
        <v>308</v>
      </c>
      <c r="D2438" s="140" t="s">
        <v>11</v>
      </c>
      <c r="E2438" s="140" t="s">
        <v>12</v>
      </c>
      <c r="F2438">
        <v>0.256136166</v>
      </c>
      <c r="G2438" s="140" t="s">
        <v>309</v>
      </c>
      <c r="H2438">
        <v>0</v>
      </c>
      <c r="I2438" s="140" t="s">
        <v>14</v>
      </c>
    </row>
    <row r="2439" spans="1:9" hidden="1" x14ac:dyDescent="0.25">
      <c r="A2439">
        <v>2025</v>
      </c>
      <c r="B2439" s="140" t="s">
        <v>18</v>
      </c>
      <c r="C2439" s="140" t="s">
        <v>308</v>
      </c>
      <c r="D2439" s="140" t="s">
        <v>11</v>
      </c>
      <c r="E2439" s="140" t="s">
        <v>12</v>
      </c>
      <c r="F2439">
        <v>1.1866251880000001</v>
      </c>
      <c r="G2439" s="140" t="s">
        <v>309</v>
      </c>
      <c r="H2439">
        <v>0</v>
      </c>
      <c r="I2439" s="140" t="s">
        <v>14</v>
      </c>
    </row>
    <row r="2440" spans="1:9" hidden="1" x14ac:dyDescent="0.25">
      <c r="A2440">
        <v>2026</v>
      </c>
      <c r="B2440" s="140" t="s">
        <v>18</v>
      </c>
      <c r="C2440" s="140" t="s">
        <v>308</v>
      </c>
      <c r="D2440" s="140" t="s">
        <v>11</v>
      </c>
      <c r="E2440" s="140" t="s">
        <v>12</v>
      </c>
      <c r="F2440">
        <v>2.370842401</v>
      </c>
      <c r="G2440" s="140" t="s">
        <v>309</v>
      </c>
      <c r="H2440">
        <v>0</v>
      </c>
      <c r="I2440" s="140" t="s">
        <v>14</v>
      </c>
    </row>
    <row r="2441" spans="1:9" hidden="1" x14ac:dyDescent="0.25">
      <c r="A2441">
        <v>2027</v>
      </c>
      <c r="B2441" s="140" t="s">
        <v>18</v>
      </c>
      <c r="C2441" s="140" t="s">
        <v>308</v>
      </c>
      <c r="D2441" s="140" t="s">
        <v>11</v>
      </c>
      <c r="E2441" s="140" t="s">
        <v>12</v>
      </c>
      <c r="F2441">
        <v>2.1726696460000001</v>
      </c>
      <c r="G2441" s="140" t="s">
        <v>309</v>
      </c>
      <c r="H2441">
        <v>0</v>
      </c>
      <c r="I2441" s="140" t="s">
        <v>14</v>
      </c>
    </row>
    <row r="2442" spans="1:9" hidden="1" x14ac:dyDescent="0.25">
      <c r="A2442">
        <v>2028</v>
      </c>
      <c r="B2442" s="140" t="s">
        <v>18</v>
      </c>
      <c r="C2442" s="140" t="s">
        <v>308</v>
      </c>
      <c r="D2442" s="140" t="s">
        <v>11</v>
      </c>
      <c r="E2442" s="140" t="s">
        <v>12</v>
      </c>
      <c r="F2442">
        <v>2.4478606510000001</v>
      </c>
      <c r="G2442" s="140" t="s">
        <v>309</v>
      </c>
      <c r="H2442">
        <v>0</v>
      </c>
      <c r="I2442" s="140" t="s">
        <v>14</v>
      </c>
    </row>
    <row r="2443" spans="1:9" hidden="1" x14ac:dyDescent="0.25">
      <c r="A2443">
        <v>1990</v>
      </c>
      <c r="B2443" s="140" t="s">
        <v>312</v>
      </c>
      <c r="C2443" s="140" t="s">
        <v>243</v>
      </c>
      <c r="D2443" s="140" t="s">
        <v>11</v>
      </c>
      <c r="E2443" s="140" t="s">
        <v>52</v>
      </c>
      <c r="F2443">
        <v>13862</v>
      </c>
      <c r="G2443" s="140" t="s">
        <v>313</v>
      </c>
      <c r="H2443">
        <v>0</v>
      </c>
      <c r="I2443" s="140" t="s">
        <v>17</v>
      </c>
    </row>
    <row r="2444" spans="1:9" hidden="1" x14ac:dyDescent="0.25">
      <c r="A2444">
        <v>1991</v>
      </c>
      <c r="B2444" s="140" t="s">
        <v>312</v>
      </c>
      <c r="C2444" s="140" t="s">
        <v>243</v>
      </c>
      <c r="D2444" s="140" t="s">
        <v>11</v>
      </c>
      <c r="E2444" s="140" t="s">
        <v>52</v>
      </c>
      <c r="F2444">
        <v>16405</v>
      </c>
      <c r="G2444" s="140" t="s">
        <v>313</v>
      </c>
      <c r="H2444">
        <v>0</v>
      </c>
      <c r="I2444" s="140" t="s">
        <v>17</v>
      </c>
    </row>
    <row r="2445" spans="1:9" hidden="1" x14ac:dyDescent="0.25">
      <c r="A2445">
        <v>1992</v>
      </c>
      <c r="B2445" s="140" t="s">
        <v>312</v>
      </c>
      <c r="C2445" s="140" t="s">
        <v>243</v>
      </c>
      <c r="D2445" s="140" t="s">
        <v>11</v>
      </c>
      <c r="E2445" s="140" t="s">
        <v>52</v>
      </c>
      <c r="F2445">
        <v>19391</v>
      </c>
      <c r="G2445" s="140" t="s">
        <v>313</v>
      </c>
      <c r="H2445">
        <v>0</v>
      </c>
      <c r="I2445" s="140" t="s">
        <v>17</v>
      </c>
    </row>
    <row r="2446" spans="1:9" hidden="1" x14ac:dyDescent="0.25">
      <c r="A2446">
        <v>1993</v>
      </c>
      <c r="B2446" s="140" t="s">
        <v>312</v>
      </c>
      <c r="C2446" s="140" t="s">
        <v>243</v>
      </c>
      <c r="D2446" s="140" t="s">
        <v>11</v>
      </c>
      <c r="E2446" s="140" t="s">
        <v>52</v>
      </c>
      <c r="F2446">
        <v>20906</v>
      </c>
      <c r="G2446" s="140" t="s">
        <v>313</v>
      </c>
      <c r="H2446">
        <v>0</v>
      </c>
      <c r="I2446" s="140" t="s">
        <v>17</v>
      </c>
    </row>
    <row r="2447" spans="1:9" hidden="1" x14ac:dyDescent="0.25">
      <c r="A2447">
        <v>1994</v>
      </c>
      <c r="B2447" s="140" t="s">
        <v>312</v>
      </c>
      <c r="C2447" s="140" t="s">
        <v>243</v>
      </c>
      <c r="D2447" s="140" t="s">
        <v>11</v>
      </c>
      <c r="E2447" s="140" t="s">
        <v>52</v>
      </c>
      <c r="F2447">
        <v>21844</v>
      </c>
      <c r="G2447" s="140" t="s">
        <v>313</v>
      </c>
      <c r="H2447">
        <v>0</v>
      </c>
      <c r="I2447" s="140" t="s">
        <v>17</v>
      </c>
    </row>
    <row r="2448" spans="1:9" hidden="1" x14ac:dyDescent="0.25">
      <c r="A2448">
        <v>1995</v>
      </c>
      <c r="B2448" s="140" t="s">
        <v>312</v>
      </c>
      <c r="C2448" s="140" t="s">
        <v>243</v>
      </c>
      <c r="D2448" s="140" t="s">
        <v>11</v>
      </c>
      <c r="E2448" s="140" t="s">
        <v>52</v>
      </c>
      <c r="F2448">
        <v>21875</v>
      </c>
      <c r="G2448" s="140" t="s">
        <v>313</v>
      </c>
      <c r="H2448">
        <v>0</v>
      </c>
      <c r="I2448" s="140" t="s">
        <v>17</v>
      </c>
    </row>
    <row r="2449" spans="1:9" hidden="1" x14ac:dyDescent="0.25">
      <c r="A2449">
        <v>1996</v>
      </c>
      <c r="B2449" s="140" t="s">
        <v>312</v>
      </c>
      <c r="C2449" s="140" t="s">
        <v>243</v>
      </c>
      <c r="D2449" s="140" t="s">
        <v>11</v>
      </c>
      <c r="E2449" s="140" t="s">
        <v>52</v>
      </c>
      <c r="F2449">
        <v>21911</v>
      </c>
      <c r="G2449" s="140" t="s">
        <v>313</v>
      </c>
      <c r="H2449">
        <v>0</v>
      </c>
      <c r="I2449" s="140" t="s">
        <v>17</v>
      </c>
    </row>
    <row r="2450" spans="1:9" hidden="1" x14ac:dyDescent="0.25">
      <c r="A2450">
        <v>1997</v>
      </c>
      <c r="B2450" s="140" t="s">
        <v>312</v>
      </c>
      <c r="C2450" s="140" t="s">
        <v>243</v>
      </c>
      <c r="D2450" s="140" t="s">
        <v>11</v>
      </c>
      <c r="E2450" s="140" t="s">
        <v>52</v>
      </c>
      <c r="F2450">
        <v>21985</v>
      </c>
      <c r="G2450" s="140" t="s">
        <v>313</v>
      </c>
      <c r="H2450">
        <v>0</v>
      </c>
      <c r="I2450" s="140" t="s">
        <v>17</v>
      </c>
    </row>
    <row r="2451" spans="1:9" hidden="1" x14ac:dyDescent="0.25">
      <c r="A2451">
        <v>1998</v>
      </c>
      <c r="B2451" s="140" t="s">
        <v>312</v>
      </c>
      <c r="C2451" s="140" t="s">
        <v>243</v>
      </c>
      <c r="D2451" s="140" t="s">
        <v>11</v>
      </c>
      <c r="E2451" s="140" t="s">
        <v>52</v>
      </c>
      <c r="F2451">
        <v>22218</v>
      </c>
      <c r="G2451" s="140" t="s">
        <v>313</v>
      </c>
      <c r="H2451">
        <v>0</v>
      </c>
      <c r="I2451" s="140" t="s">
        <v>17</v>
      </c>
    </row>
    <row r="2452" spans="1:9" hidden="1" x14ac:dyDescent="0.25">
      <c r="A2452">
        <v>1999</v>
      </c>
      <c r="B2452" s="140" t="s">
        <v>312</v>
      </c>
      <c r="C2452" s="140" t="s">
        <v>243</v>
      </c>
      <c r="D2452" s="140" t="s">
        <v>11</v>
      </c>
      <c r="E2452" s="140" t="s">
        <v>52</v>
      </c>
      <c r="F2452">
        <v>22473</v>
      </c>
      <c r="G2452" s="140" t="s">
        <v>313</v>
      </c>
      <c r="H2452">
        <v>0</v>
      </c>
      <c r="I2452" s="140" t="s">
        <v>17</v>
      </c>
    </row>
    <row r="2453" spans="1:9" hidden="1" x14ac:dyDescent="0.25">
      <c r="A2453">
        <v>2000</v>
      </c>
      <c r="B2453" s="140" t="s">
        <v>312</v>
      </c>
      <c r="C2453" s="140" t="s">
        <v>243</v>
      </c>
      <c r="D2453" s="140" t="s">
        <v>11</v>
      </c>
      <c r="E2453" s="140" t="s">
        <v>52</v>
      </c>
      <c r="F2453">
        <v>22678</v>
      </c>
      <c r="G2453" s="140" t="s">
        <v>313</v>
      </c>
      <c r="H2453">
        <v>0</v>
      </c>
      <c r="I2453" s="140" t="s">
        <v>17</v>
      </c>
    </row>
    <row r="2454" spans="1:9" hidden="1" x14ac:dyDescent="0.25">
      <c r="A2454">
        <v>2001</v>
      </c>
      <c r="B2454" s="140" t="s">
        <v>312</v>
      </c>
      <c r="C2454" s="140" t="s">
        <v>243</v>
      </c>
      <c r="D2454" s="140" t="s">
        <v>11</v>
      </c>
      <c r="E2454" s="140" t="s">
        <v>52</v>
      </c>
      <c r="F2454">
        <v>23346</v>
      </c>
      <c r="G2454" s="140" t="s">
        <v>313</v>
      </c>
      <c r="H2454">
        <v>0</v>
      </c>
      <c r="I2454" s="140" t="s">
        <v>17</v>
      </c>
    </row>
    <row r="2455" spans="1:9" hidden="1" x14ac:dyDescent="0.25">
      <c r="A2455">
        <v>2002</v>
      </c>
      <c r="B2455" s="140" t="s">
        <v>312</v>
      </c>
      <c r="C2455" s="140" t="s">
        <v>243</v>
      </c>
      <c r="D2455" s="140" t="s">
        <v>11</v>
      </c>
      <c r="E2455" s="140" t="s">
        <v>52</v>
      </c>
      <c r="F2455">
        <v>24718</v>
      </c>
      <c r="G2455" s="140" t="s">
        <v>313</v>
      </c>
      <c r="H2455">
        <v>0</v>
      </c>
      <c r="I2455" s="140" t="s">
        <v>17</v>
      </c>
    </row>
    <row r="2456" spans="1:9" hidden="1" x14ac:dyDescent="0.25">
      <c r="A2456">
        <v>2003</v>
      </c>
      <c r="B2456" s="140" t="s">
        <v>312</v>
      </c>
      <c r="C2456" s="140" t="s">
        <v>243</v>
      </c>
      <c r="D2456" s="140" t="s">
        <v>11</v>
      </c>
      <c r="E2456" s="140" t="s">
        <v>52</v>
      </c>
      <c r="F2456">
        <v>25740</v>
      </c>
      <c r="G2456" s="140" t="s">
        <v>313</v>
      </c>
      <c r="H2456">
        <v>0</v>
      </c>
      <c r="I2456" s="140" t="s">
        <v>17</v>
      </c>
    </row>
    <row r="2457" spans="1:9" hidden="1" x14ac:dyDescent="0.25">
      <c r="A2457">
        <v>2004</v>
      </c>
      <c r="B2457" s="140" t="s">
        <v>312</v>
      </c>
      <c r="C2457" s="140" t="s">
        <v>243</v>
      </c>
      <c r="D2457" s="140" t="s">
        <v>11</v>
      </c>
      <c r="E2457" s="140" t="s">
        <v>52</v>
      </c>
      <c r="F2457">
        <v>26633</v>
      </c>
      <c r="G2457" s="140" t="s">
        <v>313</v>
      </c>
      <c r="H2457">
        <v>0</v>
      </c>
      <c r="I2457" s="140" t="s">
        <v>17</v>
      </c>
    </row>
    <row r="2458" spans="1:9" hidden="1" x14ac:dyDescent="0.25">
      <c r="A2458">
        <v>2005</v>
      </c>
      <c r="B2458" s="140" t="s">
        <v>312</v>
      </c>
      <c r="C2458" s="140" t="s">
        <v>243</v>
      </c>
      <c r="D2458" s="140" t="s">
        <v>11</v>
      </c>
      <c r="E2458" s="140" t="s">
        <v>52</v>
      </c>
      <c r="F2458">
        <v>27386</v>
      </c>
      <c r="G2458" s="140" t="s">
        <v>313</v>
      </c>
      <c r="H2458">
        <v>0</v>
      </c>
      <c r="I2458" s="140" t="s">
        <v>17</v>
      </c>
    </row>
    <row r="2459" spans="1:9" hidden="1" x14ac:dyDescent="0.25">
      <c r="A2459">
        <v>2006</v>
      </c>
      <c r="B2459" s="140" t="s">
        <v>312</v>
      </c>
      <c r="C2459" s="140" t="s">
        <v>243</v>
      </c>
      <c r="D2459" s="140" t="s">
        <v>11</v>
      </c>
      <c r="E2459" s="140" t="s">
        <v>52</v>
      </c>
      <c r="F2459">
        <v>28033</v>
      </c>
      <c r="G2459" s="140" t="s">
        <v>313</v>
      </c>
      <c r="H2459">
        <v>0</v>
      </c>
      <c r="I2459" s="140" t="s">
        <v>17</v>
      </c>
    </row>
    <row r="2460" spans="1:9" hidden="1" x14ac:dyDescent="0.25">
      <c r="A2460">
        <v>2007</v>
      </c>
      <c r="B2460" s="140" t="s">
        <v>312</v>
      </c>
      <c r="C2460" s="140" t="s">
        <v>243</v>
      </c>
      <c r="D2460" s="140" t="s">
        <v>11</v>
      </c>
      <c r="E2460" s="140" t="s">
        <v>52</v>
      </c>
      <c r="F2460">
        <v>28579</v>
      </c>
      <c r="G2460" s="140" t="s">
        <v>313</v>
      </c>
      <c r="H2460">
        <v>0</v>
      </c>
      <c r="I2460" s="140" t="s">
        <v>17</v>
      </c>
    </row>
    <row r="2461" spans="1:9" hidden="1" x14ac:dyDescent="0.25">
      <c r="A2461">
        <v>2008</v>
      </c>
      <c r="B2461" s="140" t="s">
        <v>312</v>
      </c>
      <c r="C2461" s="140" t="s">
        <v>243</v>
      </c>
      <c r="D2461" s="140" t="s">
        <v>11</v>
      </c>
      <c r="E2461" s="140" t="s">
        <v>52</v>
      </c>
      <c r="F2461">
        <v>29969</v>
      </c>
      <c r="G2461" s="140" t="s">
        <v>313</v>
      </c>
      <c r="H2461">
        <v>0</v>
      </c>
      <c r="I2461" s="140" t="s">
        <v>17</v>
      </c>
    </row>
    <row r="2462" spans="1:9" hidden="1" x14ac:dyDescent="0.25">
      <c r="A2462">
        <v>2009</v>
      </c>
      <c r="B2462" s="140" t="s">
        <v>312</v>
      </c>
      <c r="C2462" s="140" t="s">
        <v>243</v>
      </c>
      <c r="D2462" s="140" t="s">
        <v>11</v>
      </c>
      <c r="E2462" s="140" t="s">
        <v>52</v>
      </c>
      <c r="F2462">
        <v>32858</v>
      </c>
      <c r="G2462" s="140" t="s">
        <v>313</v>
      </c>
      <c r="H2462">
        <v>0</v>
      </c>
      <c r="I2462" s="140" t="s">
        <v>17</v>
      </c>
    </row>
    <row r="2463" spans="1:9" hidden="1" x14ac:dyDescent="0.25">
      <c r="A2463">
        <v>2010</v>
      </c>
      <c r="B2463" s="140" t="s">
        <v>312</v>
      </c>
      <c r="C2463" s="140" t="s">
        <v>243</v>
      </c>
      <c r="D2463" s="140" t="s">
        <v>11</v>
      </c>
      <c r="E2463" s="140" t="s">
        <v>52</v>
      </c>
      <c r="F2463">
        <v>34238</v>
      </c>
      <c r="G2463" s="140" t="s">
        <v>313</v>
      </c>
      <c r="H2463">
        <v>0</v>
      </c>
      <c r="I2463" s="140" t="s">
        <v>17</v>
      </c>
    </row>
    <row r="2464" spans="1:9" hidden="1" x14ac:dyDescent="0.25">
      <c r="A2464">
        <v>2011</v>
      </c>
      <c r="B2464" s="140" t="s">
        <v>312</v>
      </c>
      <c r="C2464" s="140" t="s">
        <v>243</v>
      </c>
      <c r="D2464" s="140" t="s">
        <v>11</v>
      </c>
      <c r="E2464" s="140" t="s">
        <v>52</v>
      </c>
      <c r="F2464">
        <v>36051</v>
      </c>
      <c r="G2464" s="140" t="s">
        <v>313</v>
      </c>
      <c r="H2464">
        <v>0</v>
      </c>
      <c r="I2464" s="140" t="s">
        <v>17</v>
      </c>
    </row>
    <row r="2465" spans="1:9" hidden="1" x14ac:dyDescent="0.25">
      <c r="A2465">
        <v>2012</v>
      </c>
      <c r="B2465" s="140" t="s">
        <v>312</v>
      </c>
      <c r="C2465" s="140" t="s">
        <v>243</v>
      </c>
      <c r="D2465" s="140" t="s">
        <v>11</v>
      </c>
      <c r="E2465" s="140" t="s">
        <v>52</v>
      </c>
      <c r="F2465">
        <v>38212</v>
      </c>
      <c r="G2465" s="140" t="s">
        <v>313</v>
      </c>
      <c r="H2465">
        <v>0</v>
      </c>
      <c r="I2465" s="140" t="s">
        <v>17</v>
      </c>
    </row>
    <row r="2466" spans="1:9" hidden="1" x14ac:dyDescent="0.25">
      <c r="A2466">
        <v>2013</v>
      </c>
      <c r="B2466" s="140" t="s">
        <v>312</v>
      </c>
      <c r="C2466" s="140" t="s">
        <v>243</v>
      </c>
      <c r="D2466" s="140" t="s">
        <v>11</v>
      </c>
      <c r="E2466" s="140" t="s">
        <v>52</v>
      </c>
      <c r="F2466">
        <v>40006</v>
      </c>
      <c r="G2466" s="140" t="s">
        <v>313</v>
      </c>
      <c r="H2466">
        <v>0</v>
      </c>
      <c r="I2466" s="140" t="s">
        <v>17</v>
      </c>
    </row>
    <row r="2467" spans="1:9" hidden="1" x14ac:dyDescent="0.25">
      <c r="A2467">
        <v>2014</v>
      </c>
      <c r="B2467" s="140" t="s">
        <v>312</v>
      </c>
      <c r="C2467" s="140" t="s">
        <v>243</v>
      </c>
      <c r="D2467" s="140" t="s">
        <v>11</v>
      </c>
      <c r="E2467" s="140" t="s">
        <v>52</v>
      </c>
      <c r="F2467">
        <v>41908</v>
      </c>
      <c r="G2467" s="140" t="s">
        <v>313</v>
      </c>
      <c r="H2467">
        <v>0</v>
      </c>
      <c r="I2467" s="140" t="s">
        <v>17</v>
      </c>
    </row>
    <row r="2468" spans="1:9" hidden="1" x14ac:dyDescent="0.25">
      <c r="A2468">
        <v>2015</v>
      </c>
      <c r="B2468" s="140" t="s">
        <v>312</v>
      </c>
      <c r="C2468" s="140" t="s">
        <v>243</v>
      </c>
      <c r="D2468" s="140" t="s">
        <v>11</v>
      </c>
      <c r="E2468" s="140" t="s">
        <v>52</v>
      </c>
      <c r="F2468">
        <v>43264</v>
      </c>
      <c r="G2468" s="140" t="s">
        <v>313</v>
      </c>
      <c r="H2468">
        <v>0</v>
      </c>
      <c r="I2468" s="140" t="s">
        <v>17</v>
      </c>
    </row>
    <row r="2469" spans="1:9" hidden="1" x14ac:dyDescent="0.25">
      <c r="A2469">
        <v>2016</v>
      </c>
      <c r="B2469" s="140" t="s">
        <v>312</v>
      </c>
      <c r="C2469" s="140" t="s">
        <v>243</v>
      </c>
      <c r="D2469" s="140" t="s">
        <v>11</v>
      </c>
      <c r="E2469" s="140" t="s">
        <v>52</v>
      </c>
      <c r="F2469">
        <v>43980</v>
      </c>
      <c r="G2469" s="140" t="s">
        <v>313</v>
      </c>
      <c r="H2469">
        <v>0</v>
      </c>
      <c r="I2469" s="140" t="s">
        <v>17</v>
      </c>
    </row>
    <row r="2470" spans="1:9" hidden="1" x14ac:dyDescent="0.25">
      <c r="A2470">
        <v>2017</v>
      </c>
      <c r="B2470" s="140" t="s">
        <v>312</v>
      </c>
      <c r="C2470" s="140" t="s">
        <v>243</v>
      </c>
      <c r="D2470" s="140" t="s">
        <v>11</v>
      </c>
      <c r="E2470" s="140" t="s">
        <v>52</v>
      </c>
      <c r="F2470">
        <v>44265</v>
      </c>
      <c r="G2470" s="140" t="s">
        <v>313</v>
      </c>
      <c r="H2470">
        <v>0</v>
      </c>
      <c r="I2470" s="140" t="s">
        <v>17</v>
      </c>
    </row>
    <row r="2471" spans="1:9" hidden="1" x14ac:dyDescent="0.25">
      <c r="A2471">
        <v>2018</v>
      </c>
      <c r="B2471" s="140" t="s">
        <v>312</v>
      </c>
      <c r="C2471" s="140" t="s">
        <v>243</v>
      </c>
      <c r="D2471" s="140" t="s">
        <v>11</v>
      </c>
      <c r="E2471" s="140" t="s">
        <v>52</v>
      </c>
      <c r="F2471">
        <v>44589</v>
      </c>
      <c r="G2471" s="140" t="s">
        <v>313</v>
      </c>
      <c r="H2471">
        <v>0</v>
      </c>
      <c r="I2471" s="140" t="s">
        <v>17</v>
      </c>
    </row>
    <row r="2472" spans="1:9" hidden="1" x14ac:dyDescent="0.25">
      <c r="A2472">
        <v>2019</v>
      </c>
      <c r="B2472" s="140" t="s">
        <v>312</v>
      </c>
      <c r="C2472" s="140" t="s">
        <v>243</v>
      </c>
      <c r="D2472" s="140" t="s">
        <v>11</v>
      </c>
      <c r="E2472" s="140" t="s">
        <v>52</v>
      </c>
      <c r="F2472">
        <v>45600</v>
      </c>
      <c r="G2472" s="140" t="s">
        <v>313</v>
      </c>
      <c r="H2472">
        <v>0</v>
      </c>
      <c r="I2472" s="140" t="s">
        <v>17</v>
      </c>
    </row>
    <row r="2473" spans="1:9" hidden="1" x14ac:dyDescent="0.25">
      <c r="A2473">
        <v>2020</v>
      </c>
      <c r="B2473" s="140" t="s">
        <v>312</v>
      </c>
      <c r="C2473" s="140" t="s">
        <v>243</v>
      </c>
      <c r="D2473" s="140" t="s">
        <v>11</v>
      </c>
      <c r="E2473" s="140" t="s">
        <v>52</v>
      </c>
      <c r="F2473">
        <v>48058</v>
      </c>
      <c r="G2473" s="140" t="s">
        <v>313</v>
      </c>
      <c r="H2473">
        <v>0</v>
      </c>
      <c r="I2473" s="140" t="s">
        <v>17</v>
      </c>
    </row>
    <row r="2474" spans="1:9" hidden="1" x14ac:dyDescent="0.25">
      <c r="A2474">
        <v>2021</v>
      </c>
      <c r="B2474" s="140" t="s">
        <v>312</v>
      </c>
      <c r="C2474" s="140" t="s">
        <v>243</v>
      </c>
      <c r="D2474" s="140" t="s">
        <v>11</v>
      </c>
      <c r="E2474" s="140" t="s">
        <v>52</v>
      </c>
      <c r="F2474">
        <v>48435</v>
      </c>
      <c r="G2474" s="140" t="s">
        <v>313</v>
      </c>
      <c r="H2474">
        <v>0</v>
      </c>
      <c r="I2474" s="140" t="s">
        <v>17</v>
      </c>
    </row>
    <row r="2475" spans="1:9" hidden="1" x14ac:dyDescent="0.25">
      <c r="A2475">
        <v>2022</v>
      </c>
      <c r="B2475" s="140" t="s">
        <v>312</v>
      </c>
      <c r="C2475" s="140" t="s">
        <v>243</v>
      </c>
      <c r="D2475" s="140" t="s">
        <v>11</v>
      </c>
      <c r="E2475" s="140" t="s">
        <v>52</v>
      </c>
      <c r="F2475">
        <v>48595</v>
      </c>
      <c r="G2475" s="140" t="s">
        <v>313</v>
      </c>
      <c r="H2475">
        <v>0</v>
      </c>
      <c r="I2475" s="140" t="s">
        <v>17</v>
      </c>
    </row>
    <row r="2476" spans="1:9" hidden="1" x14ac:dyDescent="0.25">
      <c r="A2476">
        <v>2023</v>
      </c>
      <c r="B2476" s="140" t="s">
        <v>312</v>
      </c>
      <c r="C2476" s="140" t="s">
        <v>243</v>
      </c>
      <c r="D2476" s="140" t="s">
        <v>11</v>
      </c>
      <c r="E2476" s="140" t="s">
        <v>52</v>
      </c>
      <c r="F2476">
        <v>52020</v>
      </c>
      <c r="G2476" s="140" t="s">
        <v>313</v>
      </c>
      <c r="H2476">
        <v>0</v>
      </c>
      <c r="I2476" s="140" t="s">
        <v>17</v>
      </c>
    </row>
    <row r="2477" spans="1:9" hidden="1" x14ac:dyDescent="0.25">
      <c r="A2477">
        <v>2024</v>
      </c>
      <c r="B2477" s="140" t="s">
        <v>312</v>
      </c>
      <c r="C2477" s="140" t="s">
        <v>243</v>
      </c>
      <c r="D2477" s="140" t="s">
        <v>11</v>
      </c>
      <c r="E2477" s="140" t="s">
        <v>52</v>
      </c>
      <c r="F2477">
        <v>54684</v>
      </c>
      <c r="G2477" s="140" t="s">
        <v>313</v>
      </c>
      <c r="H2477">
        <v>0</v>
      </c>
      <c r="I2477" s="140" t="s">
        <v>17</v>
      </c>
    </row>
    <row r="2478" spans="1:9" hidden="1" x14ac:dyDescent="0.25">
      <c r="A2478">
        <v>2025</v>
      </c>
      <c r="B2478" s="140" t="s">
        <v>312</v>
      </c>
      <c r="C2478" s="140" t="s">
        <v>243</v>
      </c>
      <c r="D2478" s="140" t="s">
        <v>11</v>
      </c>
      <c r="E2478" s="140" t="s">
        <v>52</v>
      </c>
      <c r="F2478">
        <v>54960</v>
      </c>
      <c r="G2478" s="140" t="s">
        <v>313</v>
      </c>
      <c r="H2478">
        <v>0</v>
      </c>
      <c r="I2478" s="140" t="s">
        <v>17</v>
      </c>
    </row>
    <row r="2479" spans="1:9" hidden="1" x14ac:dyDescent="0.25">
      <c r="A2479">
        <v>2026</v>
      </c>
      <c r="B2479" s="140" t="s">
        <v>312</v>
      </c>
      <c r="C2479" s="140" t="s">
        <v>243</v>
      </c>
      <c r="D2479" s="140" t="s">
        <v>11</v>
      </c>
      <c r="E2479" s="140" t="s">
        <v>52</v>
      </c>
      <c r="F2479">
        <v>0</v>
      </c>
      <c r="G2479" s="140" t="s">
        <v>313</v>
      </c>
      <c r="H2479">
        <v>0</v>
      </c>
      <c r="I2479" s="140" t="s">
        <v>17</v>
      </c>
    </row>
    <row r="2480" spans="1:9" hidden="1" x14ac:dyDescent="0.25">
      <c r="A2480">
        <v>2027</v>
      </c>
      <c r="B2480" s="140" t="s">
        <v>312</v>
      </c>
      <c r="C2480" s="140" t="s">
        <v>243</v>
      </c>
      <c r="D2480" s="140" t="s">
        <v>11</v>
      </c>
      <c r="E2480" s="140" t="s">
        <v>52</v>
      </c>
      <c r="F2480">
        <v>0</v>
      </c>
      <c r="G2480" s="140" t="s">
        <v>313</v>
      </c>
      <c r="H2480">
        <v>0</v>
      </c>
      <c r="I2480" s="140" t="s">
        <v>17</v>
      </c>
    </row>
    <row r="2481" spans="1:9" hidden="1" x14ac:dyDescent="0.25">
      <c r="A2481">
        <v>2028</v>
      </c>
      <c r="B2481" s="140" t="s">
        <v>312</v>
      </c>
      <c r="C2481" s="140" t="s">
        <v>243</v>
      </c>
      <c r="D2481" s="140" t="s">
        <v>11</v>
      </c>
      <c r="E2481" s="140" t="s">
        <v>52</v>
      </c>
      <c r="F2481">
        <v>0</v>
      </c>
      <c r="G2481" s="140" t="s">
        <v>313</v>
      </c>
      <c r="H2481">
        <v>0</v>
      </c>
      <c r="I2481" s="140" t="s">
        <v>17</v>
      </c>
    </row>
    <row r="2482" spans="1:9" hidden="1" x14ac:dyDescent="0.25">
      <c r="A2482">
        <v>1990</v>
      </c>
      <c r="B2482" s="140" t="s">
        <v>314</v>
      </c>
      <c r="C2482" s="140" t="s">
        <v>82</v>
      </c>
      <c r="D2482" s="140" t="s">
        <v>11</v>
      </c>
      <c r="E2482" s="140" t="s">
        <v>12</v>
      </c>
      <c r="F2482">
        <v>79.512156480000002</v>
      </c>
      <c r="G2482" s="140" t="s">
        <v>315</v>
      </c>
      <c r="H2482">
        <v>0</v>
      </c>
      <c r="I2482" s="140" t="s">
        <v>14</v>
      </c>
    </row>
    <row r="2483" spans="1:9" hidden="1" x14ac:dyDescent="0.25">
      <c r="A2483">
        <v>1991</v>
      </c>
      <c r="B2483" s="140" t="s">
        <v>314</v>
      </c>
      <c r="C2483" s="140" t="s">
        <v>82</v>
      </c>
      <c r="D2483" s="140" t="s">
        <v>11</v>
      </c>
      <c r="E2483" s="140" t="s">
        <v>12</v>
      </c>
      <c r="F2483">
        <v>84.782906729999993</v>
      </c>
      <c r="G2483" s="140" t="s">
        <v>315</v>
      </c>
      <c r="H2483">
        <v>0</v>
      </c>
      <c r="I2483" s="140" t="s">
        <v>14</v>
      </c>
    </row>
    <row r="2484" spans="1:9" hidden="1" x14ac:dyDescent="0.25">
      <c r="A2484">
        <v>1992</v>
      </c>
      <c r="B2484" s="140" t="s">
        <v>314</v>
      </c>
      <c r="C2484" s="140" t="s">
        <v>82</v>
      </c>
      <c r="D2484" s="140" t="s">
        <v>11</v>
      </c>
      <c r="E2484" s="140" t="s">
        <v>12</v>
      </c>
      <c r="F2484">
        <v>82.698334990000006</v>
      </c>
      <c r="G2484" s="140" t="s">
        <v>315</v>
      </c>
      <c r="H2484">
        <v>0</v>
      </c>
      <c r="I2484" s="140" t="s">
        <v>14</v>
      </c>
    </row>
    <row r="2485" spans="1:9" hidden="1" x14ac:dyDescent="0.25">
      <c r="A2485">
        <v>1993</v>
      </c>
      <c r="B2485" s="140" t="s">
        <v>314</v>
      </c>
      <c r="C2485" s="140" t="s">
        <v>82</v>
      </c>
      <c r="D2485" s="140" t="s">
        <v>11</v>
      </c>
      <c r="E2485" s="140" t="s">
        <v>12</v>
      </c>
      <c r="F2485">
        <v>78.381485589999997</v>
      </c>
      <c r="G2485" s="140" t="s">
        <v>315</v>
      </c>
      <c r="H2485">
        <v>0</v>
      </c>
      <c r="I2485" s="140" t="s">
        <v>14</v>
      </c>
    </row>
    <row r="2486" spans="1:9" hidden="1" x14ac:dyDescent="0.25">
      <c r="A2486">
        <v>1994</v>
      </c>
      <c r="B2486" s="140" t="s">
        <v>314</v>
      </c>
      <c r="C2486" s="140" t="s">
        <v>82</v>
      </c>
      <c r="D2486" s="140" t="s">
        <v>11</v>
      </c>
      <c r="E2486" s="140" t="s">
        <v>12</v>
      </c>
      <c r="F2486">
        <v>76.279746470000006</v>
      </c>
      <c r="G2486" s="140" t="s">
        <v>315</v>
      </c>
      <c r="H2486">
        <v>0</v>
      </c>
      <c r="I2486" s="140" t="s">
        <v>14</v>
      </c>
    </row>
    <row r="2487" spans="1:9" hidden="1" x14ac:dyDescent="0.25">
      <c r="A2487">
        <v>1995</v>
      </c>
      <c r="B2487" s="140" t="s">
        <v>314</v>
      </c>
      <c r="C2487" s="140" t="s">
        <v>82</v>
      </c>
      <c r="D2487" s="140" t="s">
        <v>11</v>
      </c>
      <c r="E2487" s="140" t="s">
        <v>12</v>
      </c>
      <c r="F2487">
        <v>77.766004199999998</v>
      </c>
      <c r="G2487" s="140" t="s">
        <v>315</v>
      </c>
      <c r="H2487">
        <v>0</v>
      </c>
      <c r="I2487" s="140" t="s">
        <v>14</v>
      </c>
    </row>
    <row r="2488" spans="1:9" hidden="1" x14ac:dyDescent="0.25">
      <c r="A2488">
        <v>1996</v>
      </c>
      <c r="B2488" s="140" t="s">
        <v>314</v>
      </c>
      <c r="C2488" s="140" t="s">
        <v>82</v>
      </c>
      <c r="D2488" s="140" t="s">
        <v>11</v>
      </c>
      <c r="E2488" s="140" t="s">
        <v>12</v>
      </c>
      <c r="F2488">
        <v>78.117463819999998</v>
      </c>
      <c r="G2488" s="140" t="s">
        <v>315</v>
      </c>
      <c r="H2488">
        <v>0</v>
      </c>
      <c r="I2488" s="140" t="s">
        <v>14</v>
      </c>
    </row>
    <row r="2489" spans="1:9" hidden="1" x14ac:dyDescent="0.25">
      <c r="A2489">
        <v>1997</v>
      </c>
      <c r="B2489" s="140" t="s">
        <v>314</v>
      </c>
      <c r="C2489" s="140" t="s">
        <v>82</v>
      </c>
      <c r="D2489" s="140" t="s">
        <v>11</v>
      </c>
      <c r="E2489" s="140" t="s">
        <v>12</v>
      </c>
      <c r="F2489">
        <v>77.477949649999999</v>
      </c>
      <c r="G2489" s="140" t="s">
        <v>315</v>
      </c>
      <c r="H2489">
        <v>0</v>
      </c>
      <c r="I2489" s="140" t="s">
        <v>14</v>
      </c>
    </row>
    <row r="2490" spans="1:9" hidden="1" x14ac:dyDescent="0.25">
      <c r="A2490">
        <v>1998</v>
      </c>
      <c r="B2490" s="140" t="s">
        <v>314</v>
      </c>
      <c r="C2490" s="140" t="s">
        <v>82</v>
      </c>
      <c r="D2490" s="140" t="s">
        <v>11</v>
      </c>
      <c r="E2490" s="140" t="s">
        <v>12</v>
      </c>
      <c r="F2490">
        <v>79.35704509</v>
      </c>
      <c r="G2490" s="140" t="s">
        <v>315</v>
      </c>
      <c r="H2490">
        <v>0</v>
      </c>
      <c r="I2490" s="140" t="s">
        <v>14</v>
      </c>
    </row>
    <row r="2491" spans="1:9" hidden="1" x14ac:dyDescent="0.25">
      <c r="A2491">
        <v>1999</v>
      </c>
      <c r="B2491" s="140" t="s">
        <v>314</v>
      </c>
      <c r="C2491" s="140" t="s">
        <v>82</v>
      </c>
      <c r="D2491" s="140" t="s">
        <v>11</v>
      </c>
      <c r="E2491" s="140" t="s">
        <v>12</v>
      </c>
      <c r="F2491">
        <v>80.366601549999999</v>
      </c>
      <c r="G2491" s="140" t="s">
        <v>315</v>
      </c>
      <c r="H2491">
        <v>0</v>
      </c>
      <c r="I2491" s="140" t="s">
        <v>14</v>
      </c>
    </row>
    <row r="2492" spans="1:9" hidden="1" x14ac:dyDescent="0.25">
      <c r="A2492">
        <v>2000</v>
      </c>
      <c r="B2492" s="140" t="s">
        <v>314</v>
      </c>
      <c r="C2492" s="140" t="s">
        <v>82</v>
      </c>
      <c r="D2492" s="140" t="s">
        <v>11</v>
      </c>
      <c r="E2492" s="140" t="s">
        <v>12</v>
      </c>
      <c r="F2492">
        <v>80.376956579999998</v>
      </c>
      <c r="G2492" s="140" t="s">
        <v>315</v>
      </c>
      <c r="H2492">
        <v>0</v>
      </c>
      <c r="I2492" s="140" t="s">
        <v>14</v>
      </c>
    </row>
    <row r="2493" spans="1:9" hidden="1" x14ac:dyDescent="0.25">
      <c r="A2493">
        <v>2001</v>
      </c>
      <c r="B2493" s="140" t="s">
        <v>314</v>
      </c>
      <c r="C2493" s="140" t="s">
        <v>82</v>
      </c>
      <c r="D2493" s="140" t="s">
        <v>11</v>
      </c>
      <c r="E2493" s="140" t="s">
        <v>12</v>
      </c>
      <c r="F2493">
        <v>82.643153170000005</v>
      </c>
      <c r="G2493" s="140" t="s">
        <v>315</v>
      </c>
      <c r="H2493">
        <v>0</v>
      </c>
      <c r="I2493" s="140" t="s">
        <v>14</v>
      </c>
    </row>
    <row r="2494" spans="1:9" hidden="1" x14ac:dyDescent="0.25">
      <c r="A2494">
        <v>2002</v>
      </c>
      <c r="B2494" s="140" t="s">
        <v>314</v>
      </c>
      <c r="C2494" s="140" t="s">
        <v>82</v>
      </c>
      <c r="D2494" s="140" t="s">
        <v>11</v>
      </c>
      <c r="E2494" s="140" t="s">
        <v>12</v>
      </c>
      <c r="F2494">
        <v>84.154821780000006</v>
      </c>
      <c r="G2494" s="140" t="s">
        <v>315</v>
      </c>
      <c r="H2494">
        <v>0</v>
      </c>
      <c r="I2494" s="140" t="s">
        <v>14</v>
      </c>
    </row>
    <row r="2495" spans="1:9" hidden="1" x14ac:dyDescent="0.25">
      <c r="A2495">
        <v>2003</v>
      </c>
      <c r="B2495" s="140" t="s">
        <v>314</v>
      </c>
      <c r="C2495" s="140" t="s">
        <v>82</v>
      </c>
      <c r="D2495" s="140" t="s">
        <v>11</v>
      </c>
      <c r="E2495" s="140" t="s">
        <v>12</v>
      </c>
      <c r="F2495">
        <v>85.183712600000007</v>
      </c>
      <c r="G2495" s="140" t="s">
        <v>315</v>
      </c>
      <c r="H2495">
        <v>0</v>
      </c>
      <c r="I2495" s="140" t="s">
        <v>14</v>
      </c>
    </row>
    <row r="2496" spans="1:9" hidden="1" x14ac:dyDescent="0.25">
      <c r="A2496">
        <v>2004</v>
      </c>
      <c r="B2496" s="140" t="s">
        <v>314</v>
      </c>
      <c r="C2496" s="140" t="s">
        <v>82</v>
      </c>
      <c r="D2496" s="140" t="s">
        <v>11</v>
      </c>
      <c r="E2496" s="140" t="s">
        <v>12</v>
      </c>
      <c r="F2496">
        <v>85.419311669999999</v>
      </c>
      <c r="G2496" s="140" t="s">
        <v>315</v>
      </c>
      <c r="H2496">
        <v>0</v>
      </c>
      <c r="I2496" s="140" t="s">
        <v>14</v>
      </c>
    </row>
    <row r="2497" spans="1:9" hidden="1" x14ac:dyDescent="0.25">
      <c r="A2497">
        <v>2005</v>
      </c>
      <c r="B2497" s="140" t="s">
        <v>314</v>
      </c>
      <c r="C2497" s="140" t="s">
        <v>82</v>
      </c>
      <c r="D2497" s="140" t="s">
        <v>11</v>
      </c>
      <c r="E2497" s="140" t="s">
        <v>12</v>
      </c>
      <c r="F2497">
        <v>87.535820659999999</v>
      </c>
      <c r="G2497" s="140" t="s">
        <v>315</v>
      </c>
      <c r="H2497">
        <v>0</v>
      </c>
      <c r="I2497" s="140" t="s">
        <v>14</v>
      </c>
    </row>
    <row r="2498" spans="1:9" hidden="1" x14ac:dyDescent="0.25">
      <c r="A2498">
        <v>2006</v>
      </c>
      <c r="B2498" s="140" t="s">
        <v>314</v>
      </c>
      <c r="C2498" s="140" t="s">
        <v>82</v>
      </c>
      <c r="D2498" s="140" t="s">
        <v>11</v>
      </c>
      <c r="E2498" s="140" t="s">
        <v>12</v>
      </c>
      <c r="F2498">
        <v>88.6368255</v>
      </c>
      <c r="G2498" s="140" t="s">
        <v>315</v>
      </c>
      <c r="H2498">
        <v>0</v>
      </c>
      <c r="I2498" s="140" t="s">
        <v>14</v>
      </c>
    </row>
    <row r="2499" spans="1:9" hidden="1" x14ac:dyDescent="0.25">
      <c r="A2499">
        <v>2007</v>
      </c>
      <c r="B2499" s="140" t="s">
        <v>314</v>
      </c>
      <c r="C2499" s="140" t="s">
        <v>82</v>
      </c>
      <c r="D2499" s="140" t="s">
        <v>11</v>
      </c>
      <c r="E2499" s="140" t="s">
        <v>12</v>
      </c>
      <c r="F2499">
        <v>88.288552690000003</v>
      </c>
      <c r="G2499" s="140" t="s">
        <v>315</v>
      </c>
      <c r="H2499">
        <v>0</v>
      </c>
      <c r="I2499" s="140" t="s">
        <v>14</v>
      </c>
    </row>
    <row r="2500" spans="1:9" hidden="1" x14ac:dyDescent="0.25">
      <c r="A2500">
        <v>2008</v>
      </c>
      <c r="B2500" s="140" t="s">
        <v>314</v>
      </c>
      <c r="C2500" s="140" t="s">
        <v>82</v>
      </c>
      <c r="D2500" s="140" t="s">
        <v>11</v>
      </c>
      <c r="E2500" s="140" t="s">
        <v>12</v>
      </c>
      <c r="F2500">
        <v>93.267248480000006</v>
      </c>
      <c r="G2500" s="140" t="s">
        <v>315</v>
      </c>
      <c r="H2500">
        <v>0</v>
      </c>
      <c r="I2500" s="140" t="s">
        <v>14</v>
      </c>
    </row>
    <row r="2501" spans="1:9" hidden="1" x14ac:dyDescent="0.25">
      <c r="A2501">
        <v>2009</v>
      </c>
      <c r="B2501" s="140" t="s">
        <v>314</v>
      </c>
      <c r="C2501" s="140" t="s">
        <v>82</v>
      </c>
      <c r="D2501" s="140" t="s">
        <v>11</v>
      </c>
      <c r="E2501" s="140" t="s">
        <v>12</v>
      </c>
      <c r="F2501">
        <v>100.8864435</v>
      </c>
      <c r="G2501" s="140" t="s">
        <v>315</v>
      </c>
      <c r="H2501">
        <v>0</v>
      </c>
      <c r="I2501" s="140" t="s">
        <v>14</v>
      </c>
    </row>
    <row r="2502" spans="1:9" hidden="1" x14ac:dyDescent="0.25">
      <c r="A2502">
        <v>2010</v>
      </c>
      <c r="B2502" s="140" t="s">
        <v>314</v>
      </c>
      <c r="C2502" s="140" t="s">
        <v>82</v>
      </c>
      <c r="D2502" s="140" t="s">
        <v>11</v>
      </c>
      <c r="E2502" s="140" t="s">
        <v>12</v>
      </c>
      <c r="F2502">
        <v>100</v>
      </c>
      <c r="G2502" s="140" t="s">
        <v>315</v>
      </c>
      <c r="H2502">
        <v>0</v>
      </c>
      <c r="I2502" s="140" t="s">
        <v>14</v>
      </c>
    </row>
    <row r="2503" spans="1:9" hidden="1" x14ac:dyDescent="0.25">
      <c r="A2503">
        <v>2011</v>
      </c>
      <c r="B2503" s="140" t="s">
        <v>314</v>
      </c>
      <c r="C2503" s="140" t="s">
        <v>82</v>
      </c>
      <c r="D2503" s="140" t="s">
        <v>11</v>
      </c>
      <c r="E2503" s="140" t="s">
        <v>12</v>
      </c>
      <c r="F2503">
        <v>103.05602690000001</v>
      </c>
      <c r="G2503" s="140" t="s">
        <v>315</v>
      </c>
      <c r="H2503">
        <v>0</v>
      </c>
      <c r="I2503" s="140" t="s">
        <v>14</v>
      </c>
    </row>
    <row r="2504" spans="1:9" hidden="1" x14ac:dyDescent="0.25">
      <c r="A2504">
        <v>2012</v>
      </c>
      <c r="B2504" s="140" t="s">
        <v>314</v>
      </c>
      <c r="C2504" s="140" t="s">
        <v>82</v>
      </c>
      <c r="D2504" s="140" t="s">
        <v>11</v>
      </c>
      <c r="E2504" s="140" t="s">
        <v>12</v>
      </c>
      <c r="F2504">
        <v>108.65716500000001</v>
      </c>
      <c r="G2504" s="140" t="s">
        <v>315</v>
      </c>
      <c r="H2504">
        <v>0</v>
      </c>
      <c r="I2504" s="140" t="s">
        <v>14</v>
      </c>
    </row>
    <row r="2505" spans="1:9" hidden="1" x14ac:dyDescent="0.25">
      <c r="A2505">
        <v>2013</v>
      </c>
      <c r="B2505" s="140" t="s">
        <v>314</v>
      </c>
      <c r="C2505" s="140" t="s">
        <v>82</v>
      </c>
      <c r="D2505" s="140" t="s">
        <v>11</v>
      </c>
      <c r="E2505" s="140" t="s">
        <v>12</v>
      </c>
      <c r="F2505">
        <v>110.8389517</v>
      </c>
      <c r="G2505" s="140" t="s">
        <v>315</v>
      </c>
      <c r="H2505">
        <v>0</v>
      </c>
      <c r="I2505" s="140" t="s">
        <v>14</v>
      </c>
    </row>
    <row r="2506" spans="1:9" hidden="1" x14ac:dyDescent="0.25">
      <c r="A2506">
        <v>2014</v>
      </c>
      <c r="B2506" s="140" t="s">
        <v>314</v>
      </c>
      <c r="C2506" s="140" t="s">
        <v>82</v>
      </c>
      <c r="D2506" s="140" t="s">
        <v>11</v>
      </c>
      <c r="E2506" s="140" t="s">
        <v>12</v>
      </c>
      <c r="F2506">
        <v>111.63182310000001</v>
      </c>
      <c r="G2506" s="140" t="s">
        <v>315</v>
      </c>
      <c r="H2506">
        <v>0</v>
      </c>
      <c r="I2506" s="140" t="s">
        <v>14</v>
      </c>
    </row>
    <row r="2507" spans="1:9" hidden="1" x14ac:dyDescent="0.25">
      <c r="A2507">
        <v>2015</v>
      </c>
      <c r="B2507" s="140" t="s">
        <v>314</v>
      </c>
      <c r="C2507" s="140" t="s">
        <v>82</v>
      </c>
      <c r="D2507" s="140" t="s">
        <v>11</v>
      </c>
      <c r="E2507" s="140" t="s">
        <v>12</v>
      </c>
      <c r="F2507">
        <v>112.60499160000001</v>
      </c>
      <c r="G2507" s="140" t="s">
        <v>315</v>
      </c>
      <c r="H2507">
        <v>0</v>
      </c>
      <c r="I2507" s="140" t="s">
        <v>14</v>
      </c>
    </row>
    <row r="2508" spans="1:9" hidden="1" x14ac:dyDescent="0.25">
      <c r="A2508">
        <v>2016</v>
      </c>
      <c r="B2508" s="140" t="s">
        <v>314</v>
      </c>
      <c r="C2508" s="140" t="s">
        <v>82</v>
      </c>
      <c r="D2508" s="140" t="s">
        <v>11</v>
      </c>
      <c r="E2508" s="140" t="s">
        <v>12</v>
      </c>
      <c r="F2508">
        <v>111.8770841</v>
      </c>
      <c r="G2508" s="140" t="s">
        <v>315</v>
      </c>
      <c r="H2508">
        <v>0</v>
      </c>
      <c r="I2508" s="140" t="s">
        <v>14</v>
      </c>
    </row>
    <row r="2509" spans="1:9" hidden="1" x14ac:dyDescent="0.25">
      <c r="A2509">
        <v>2017</v>
      </c>
      <c r="B2509" s="140" t="s">
        <v>314</v>
      </c>
      <c r="C2509" s="140" t="s">
        <v>82</v>
      </c>
      <c r="D2509" s="140" t="s">
        <v>11</v>
      </c>
      <c r="E2509" s="140" t="s">
        <v>12</v>
      </c>
      <c r="F2509">
        <v>108.63454969999999</v>
      </c>
      <c r="G2509" s="140" t="s">
        <v>315</v>
      </c>
      <c r="H2509">
        <v>0</v>
      </c>
      <c r="I2509" s="140" t="s">
        <v>14</v>
      </c>
    </row>
    <row r="2510" spans="1:9" hidden="1" x14ac:dyDescent="0.25">
      <c r="A2510">
        <v>2018</v>
      </c>
      <c r="B2510" s="140" t="s">
        <v>314</v>
      </c>
      <c r="C2510" s="140" t="s">
        <v>82</v>
      </c>
      <c r="D2510" s="140" t="s">
        <v>11</v>
      </c>
      <c r="E2510" s="140" t="s">
        <v>12</v>
      </c>
      <c r="F2510">
        <v>111.9672886</v>
      </c>
      <c r="G2510" s="140" t="s">
        <v>315</v>
      </c>
      <c r="H2510">
        <v>0</v>
      </c>
      <c r="I2510" s="140" t="s">
        <v>14</v>
      </c>
    </row>
    <row r="2511" spans="1:9" hidden="1" x14ac:dyDescent="0.25">
      <c r="A2511">
        <v>2019</v>
      </c>
      <c r="B2511" s="140" t="s">
        <v>314</v>
      </c>
      <c r="C2511" s="140" t="s">
        <v>82</v>
      </c>
      <c r="D2511" s="140" t="s">
        <v>11</v>
      </c>
      <c r="E2511" s="140" t="s">
        <v>12</v>
      </c>
      <c r="F2511">
        <v>113.69462230000001</v>
      </c>
      <c r="G2511" s="140" t="s">
        <v>315</v>
      </c>
      <c r="H2511">
        <v>0</v>
      </c>
      <c r="I2511" s="140" t="s">
        <v>14</v>
      </c>
    </row>
    <row r="2512" spans="1:9" hidden="1" x14ac:dyDescent="0.25">
      <c r="A2512">
        <v>2020</v>
      </c>
      <c r="B2512" s="140" t="s">
        <v>314</v>
      </c>
      <c r="C2512" s="140" t="s">
        <v>82</v>
      </c>
      <c r="D2512" s="140" t="s">
        <v>11</v>
      </c>
      <c r="E2512" s="140" t="s">
        <v>12</v>
      </c>
      <c r="F2512">
        <v>114.70442389999999</v>
      </c>
      <c r="G2512" s="140" t="s">
        <v>315</v>
      </c>
      <c r="H2512">
        <v>0</v>
      </c>
      <c r="I2512" s="140" t="s">
        <v>14</v>
      </c>
    </row>
    <row r="2513" spans="1:9" hidden="1" x14ac:dyDescent="0.25">
      <c r="A2513">
        <v>2021</v>
      </c>
      <c r="B2513" s="140" t="s">
        <v>314</v>
      </c>
      <c r="C2513" s="140" t="s">
        <v>82</v>
      </c>
      <c r="D2513" s="140" t="s">
        <v>11</v>
      </c>
      <c r="E2513" s="140" t="s">
        <v>12</v>
      </c>
      <c r="F2513">
        <v>118.91873820000001</v>
      </c>
      <c r="G2513" s="140" t="s">
        <v>315</v>
      </c>
      <c r="H2513">
        <v>0</v>
      </c>
      <c r="I2513" s="140" t="s">
        <v>14</v>
      </c>
    </row>
    <row r="2514" spans="1:9" hidden="1" x14ac:dyDescent="0.25">
      <c r="A2514">
        <v>2022</v>
      </c>
      <c r="B2514" s="140" t="s">
        <v>314</v>
      </c>
      <c r="C2514" s="140" t="s">
        <v>82</v>
      </c>
      <c r="D2514" s="140" t="s">
        <v>11</v>
      </c>
      <c r="E2514" s="140" t="s">
        <v>12</v>
      </c>
      <c r="F2514">
        <v>125.92532300000001</v>
      </c>
      <c r="G2514" s="140" t="s">
        <v>315</v>
      </c>
      <c r="H2514">
        <v>0</v>
      </c>
      <c r="I2514" s="140" t="s">
        <v>14</v>
      </c>
    </row>
    <row r="2515" spans="1:9" hidden="1" x14ac:dyDescent="0.25">
      <c r="A2515">
        <v>2023</v>
      </c>
      <c r="B2515" s="140" t="s">
        <v>314</v>
      </c>
      <c r="C2515" s="140" t="s">
        <v>82</v>
      </c>
      <c r="D2515" s="140" t="s">
        <v>11</v>
      </c>
      <c r="E2515" s="140" t="s">
        <v>12</v>
      </c>
      <c r="F2515">
        <v>132.45383530000001</v>
      </c>
      <c r="G2515" s="140" t="s">
        <v>315</v>
      </c>
      <c r="H2515">
        <v>0</v>
      </c>
      <c r="I2515" s="140" t="s">
        <v>14</v>
      </c>
    </row>
    <row r="2516" spans="1:9" hidden="1" x14ac:dyDescent="0.25">
      <c r="A2516">
        <v>2024</v>
      </c>
      <c r="B2516" s="140" t="s">
        <v>314</v>
      </c>
      <c r="C2516" s="140" t="s">
        <v>82</v>
      </c>
      <c r="D2516" s="140" t="s">
        <v>11</v>
      </c>
      <c r="E2516" s="140" t="s">
        <v>12</v>
      </c>
      <c r="F2516">
        <v>132.52856320000001</v>
      </c>
      <c r="G2516" s="140" t="s">
        <v>315</v>
      </c>
      <c r="H2516">
        <v>0</v>
      </c>
      <c r="I2516" s="140" t="s">
        <v>14</v>
      </c>
    </row>
    <row r="2517" spans="1:9" hidden="1" x14ac:dyDescent="0.25">
      <c r="A2517">
        <v>2025</v>
      </c>
      <c r="B2517" s="140" t="s">
        <v>314</v>
      </c>
      <c r="C2517" s="140" t="s">
        <v>82</v>
      </c>
      <c r="D2517" s="140" t="s">
        <v>11</v>
      </c>
      <c r="E2517" s="140" t="s">
        <v>12</v>
      </c>
      <c r="F2517">
        <v>135.14109970000001</v>
      </c>
      <c r="G2517" s="140" t="s">
        <v>315</v>
      </c>
      <c r="H2517">
        <v>0</v>
      </c>
      <c r="I2517" s="140" t="s">
        <v>14</v>
      </c>
    </row>
    <row r="2518" spans="1:9" hidden="1" x14ac:dyDescent="0.25">
      <c r="A2518">
        <v>2026</v>
      </c>
      <c r="B2518" s="140" t="s">
        <v>314</v>
      </c>
      <c r="C2518" s="140" t="s">
        <v>82</v>
      </c>
      <c r="D2518" s="140" t="s">
        <v>11</v>
      </c>
      <c r="E2518" s="140" t="s">
        <v>12</v>
      </c>
      <c r="F2518">
        <v>137.37261820000001</v>
      </c>
      <c r="G2518" s="140" t="s">
        <v>315</v>
      </c>
      <c r="H2518">
        <v>0</v>
      </c>
      <c r="I2518" s="140" t="s">
        <v>14</v>
      </c>
    </row>
    <row r="2519" spans="1:9" hidden="1" x14ac:dyDescent="0.25">
      <c r="A2519">
        <v>2027</v>
      </c>
      <c r="B2519" s="140" t="s">
        <v>314</v>
      </c>
      <c r="C2519" s="140" t="s">
        <v>82</v>
      </c>
      <c r="D2519" s="140" t="s">
        <v>11</v>
      </c>
      <c r="E2519" s="140" t="s">
        <v>12</v>
      </c>
      <c r="F2519">
        <v>140.57031480000001</v>
      </c>
      <c r="G2519" s="140" t="s">
        <v>315</v>
      </c>
      <c r="H2519">
        <v>0</v>
      </c>
      <c r="I2519" s="140" t="s">
        <v>14</v>
      </c>
    </row>
    <row r="2520" spans="1:9" hidden="1" x14ac:dyDescent="0.25">
      <c r="A2520">
        <v>2028</v>
      </c>
      <c r="B2520" s="140" t="s">
        <v>314</v>
      </c>
      <c r="C2520" s="140" t="s">
        <v>82</v>
      </c>
      <c r="D2520" s="140" t="s">
        <v>11</v>
      </c>
      <c r="E2520" s="140" t="s">
        <v>12</v>
      </c>
      <c r="F2520">
        <v>144.1746349</v>
      </c>
      <c r="G2520" s="140" t="s">
        <v>315</v>
      </c>
      <c r="H2520">
        <v>0</v>
      </c>
      <c r="I2520" s="140" t="s">
        <v>14</v>
      </c>
    </row>
    <row r="2521" spans="1:9" hidden="1" x14ac:dyDescent="0.25">
      <c r="A2521">
        <v>1990</v>
      </c>
      <c r="B2521" s="140" t="s">
        <v>190</v>
      </c>
      <c r="C2521" s="140" t="s">
        <v>50</v>
      </c>
      <c r="D2521" s="140" t="s">
        <v>11</v>
      </c>
      <c r="E2521" s="140" t="s">
        <v>12</v>
      </c>
      <c r="F2521">
        <v>112072</v>
      </c>
      <c r="G2521" s="140" t="s">
        <v>207</v>
      </c>
      <c r="H2521">
        <v>0</v>
      </c>
      <c r="I2521" s="140" t="s">
        <v>17</v>
      </c>
    </row>
    <row r="2522" spans="1:9" hidden="1" x14ac:dyDescent="0.25">
      <c r="A2522">
        <v>1991</v>
      </c>
      <c r="B2522" s="140" t="s">
        <v>190</v>
      </c>
      <c r="C2522" s="140" t="s">
        <v>50</v>
      </c>
      <c r="D2522" s="140" t="s">
        <v>11</v>
      </c>
      <c r="E2522" s="140" t="s">
        <v>12</v>
      </c>
      <c r="F2522">
        <v>106409</v>
      </c>
      <c r="G2522" s="140" t="s">
        <v>207</v>
      </c>
      <c r="H2522">
        <v>0</v>
      </c>
      <c r="I2522" s="140" t="s">
        <v>17</v>
      </c>
    </row>
    <row r="2523" spans="1:9" hidden="1" x14ac:dyDescent="0.25">
      <c r="A2523">
        <v>1992</v>
      </c>
      <c r="B2523" s="140" t="s">
        <v>190</v>
      </c>
      <c r="C2523" s="140" t="s">
        <v>50</v>
      </c>
      <c r="D2523" s="140" t="s">
        <v>11</v>
      </c>
      <c r="E2523" s="140" t="s">
        <v>12</v>
      </c>
      <c r="F2523">
        <v>105891</v>
      </c>
      <c r="G2523" s="140" t="s">
        <v>207</v>
      </c>
      <c r="H2523">
        <v>0</v>
      </c>
      <c r="I2523" s="140" t="s">
        <v>17</v>
      </c>
    </row>
    <row r="2524" spans="1:9" hidden="1" x14ac:dyDescent="0.25">
      <c r="A2524">
        <v>1993</v>
      </c>
      <c r="B2524" s="140" t="s">
        <v>190</v>
      </c>
      <c r="C2524" s="140" t="s">
        <v>50</v>
      </c>
      <c r="D2524" s="140" t="s">
        <v>11</v>
      </c>
      <c r="E2524" s="140" t="s">
        <v>12</v>
      </c>
      <c r="F2524">
        <v>108963</v>
      </c>
      <c r="G2524" s="140" t="s">
        <v>207</v>
      </c>
      <c r="H2524">
        <v>0</v>
      </c>
      <c r="I2524" s="140" t="s">
        <v>17</v>
      </c>
    </row>
    <row r="2525" spans="1:9" hidden="1" x14ac:dyDescent="0.25">
      <c r="A2525">
        <v>1994</v>
      </c>
      <c r="B2525" s="140" t="s">
        <v>190</v>
      </c>
      <c r="C2525" s="140" t="s">
        <v>50</v>
      </c>
      <c r="D2525" s="140" t="s">
        <v>11</v>
      </c>
      <c r="E2525" s="140" t="s">
        <v>12</v>
      </c>
      <c r="F2525">
        <v>116834</v>
      </c>
      <c r="G2525" s="140" t="s">
        <v>207</v>
      </c>
      <c r="H2525">
        <v>0</v>
      </c>
      <c r="I2525" s="140" t="s">
        <v>17</v>
      </c>
    </row>
    <row r="2526" spans="1:9" hidden="1" x14ac:dyDescent="0.25">
      <c r="A2526">
        <v>1995</v>
      </c>
      <c r="B2526" s="140" t="s">
        <v>190</v>
      </c>
      <c r="C2526" s="140" t="s">
        <v>50</v>
      </c>
      <c r="D2526" s="140" t="s">
        <v>11</v>
      </c>
      <c r="E2526" s="140" t="s">
        <v>12</v>
      </c>
      <c r="F2526">
        <v>127090</v>
      </c>
      <c r="G2526" s="140" t="s">
        <v>207</v>
      </c>
      <c r="H2526">
        <v>0</v>
      </c>
      <c r="I2526" s="140" t="s">
        <v>17</v>
      </c>
    </row>
    <row r="2527" spans="1:9" hidden="1" x14ac:dyDescent="0.25">
      <c r="A2527">
        <v>1996</v>
      </c>
      <c r="B2527" s="140" t="s">
        <v>190</v>
      </c>
      <c r="C2527" s="140" t="s">
        <v>50</v>
      </c>
      <c r="D2527" s="140" t="s">
        <v>11</v>
      </c>
      <c r="E2527" s="140" t="s">
        <v>12</v>
      </c>
      <c r="F2527">
        <v>132974</v>
      </c>
      <c r="G2527" s="140" t="s">
        <v>207</v>
      </c>
      <c r="H2527">
        <v>0</v>
      </c>
      <c r="I2527" s="140" t="s">
        <v>17</v>
      </c>
    </row>
    <row r="2528" spans="1:9" hidden="1" x14ac:dyDescent="0.25">
      <c r="A2528">
        <v>1997</v>
      </c>
      <c r="B2528" s="140" t="s">
        <v>190</v>
      </c>
      <c r="C2528" s="140" t="s">
        <v>50</v>
      </c>
      <c r="D2528" s="140" t="s">
        <v>11</v>
      </c>
      <c r="E2528" s="140" t="s">
        <v>12</v>
      </c>
      <c r="F2528">
        <v>145084</v>
      </c>
      <c r="G2528" s="140" t="s">
        <v>207</v>
      </c>
      <c r="H2528">
        <v>0</v>
      </c>
      <c r="I2528" s="140" t="s">
        <v>17</v>
      </c>
    </row>
    <row r="2529" spans="1:9" hidden="1" x14ac:dyDescent="0.25">
      <c r="A2529">
        <v>1998</v>
      </c>
      <c r="B2529" s="140" t="s">
        <v>190</v>
      </c>
      <c r="C2529" s="140" t="s">
        <v>50</v>
      </c>
      <c r="D2529" s="140" t="s">
        <v>11</v>
      </c>
      <c r="E2529" s="140" t="s">
        <v>12</v>
      </c>
      <c r="F2529">
        <v>156751</v>
      </c>
      <c r="G2529" s="140" t="s">
        <v>207</v>
      </c>
      <c r="H2529">
        <v>0</v>
      </c>
      <c r="I2529" s="140" t="s">
        <v>17</v>
      </c>
    </row>
    <row r="2530" spans="1:9" hidden="1" x14ac:dyDescent="0.25">
      <c r="A2530">
        <v>1999</v>
      </c>
      <c r="B2530" s="140" t="s">
        <v>190</v>
      </c>
      <c r="C2530" s="140" t="s">
        <v>50</v>
      </c>
      <c r="D2530" s="140" t="s">
        <v>11</v>
      </c>
      <c r="E2530" s="140" t="s">
        <v>12</v>
      </c>
      <c r="F2530">
        <v>163838</v>
      </c>
      <c r="G2530" s="140" t="s">
        <v>207</v>
      </c>
      <c r="H2530">
        <v>0</v>
      </c>
      <c r="I2530" s="140" t="s">
        <v>17</v>
      </c>
    </row>
    <row r="2531" spans="1:9" hidden="1" x14ac:dyDescent="0.25">
      <c r="A2531">
        <v>2000</v>
      </c>
      <c r="B2531" s="140" t="s">
        <v>190</v>
      </c>
      <c r="C2531" s="140" t="s">
        <v>50</v>
      </c>
      <c r="D2531" s="140" t="s">
        <v>11</v>
      </c>
      <c r="E2531" s="140" t="s">
        <v>12</v>
      </c>
      <c r="F2531">
        <v>182003</v>
      </c>
      <c r="G2531" s="140" t="s">
        <v>207</v>
      </c>
      <c r="H2531">
        <v>0</v>
      </c>
      <c r="I2531" s="140" t="s">
        <v>17</v>
      </c>
    </row>
    <row r="2532" spans="1:9" hidden="1" x14ac:dyDescent="0.25">
      <c r="A2532">
        <v>2001</v>
      </c>
      <c r="B2532" s="140" t="s">
        <v>190</v>
      </c>
      <c r="C2532" s="140" t="s">
        <v>50</v>
      </c>
      <c r="D2532" s="140" t="s">
        <v>11</v>
      </c>
      <c r="E2532" s="140" t="s">
        <v>12</v>
      </c>
      <c r="F2532">
        <v>188608</v>
      </c>
      <c r="G2532" s="140" t="s">
        <v>207</v>
      </c>
      <c r="H2532">
        <v>0</v>
      </c>
      <c r="I2532" s="140" t="s">
        <v>17</v>
      </c>
    </row>
    <row r="2533" spans="1:9" hidden="1" x14ac:dyDescent="0.25">
      <c r="A2533">
        <v>2002</v>
      </c>
      <c r="B2533" s="140" t="s">
        <v>190</v>
      </c>
      <c r="C2533" s="140" t="s">
        <v>50</v>
      </c>
      <c r="D2533" s="140" t="s">
        <v>11</v>
      </c>
      <c r="E2533" s="140" t="s">
        <v>12</v>
      </c>
      <c r="F2533">
        <v>193087</v>
      </c>
      <c r="G2533" s="140" t="s">
        <v>207</v>
      </c>
      <c r="H2533">
        <v>0</v>
      </c>
      <c r="I2533" s="140" t="s">
        <v>17</v>
      </c>
    </row>
    <row r="2534" spans="1:9" hidden="1" x14ac:dyDescent="0.25">
      <c r="A2534">
        <v>2003</v>
      </c>
      <c r="B2534" s="140" t="s">
        <v>190</v>
      </c>
      <c r="C2534" s="140" t="s">
        <v>50</v>
      </c>
      <c r="D2534" s="140" t="s">
        <v>11</v>
      </c>
      <c r="E2534" s="140" t="s">
        <v>12</v>
      </c>
      <c r="F2534">
        <v>197691</v>
      </c>
      <c r="G2534" s="140" t="s">
        <v>207</v>
      </c>
      <c r="H2534">
        <v>0</v>
      </c>
      <c r="I2534" s="140" t="s">
        <v>17</v>
      </c>
    </row>
    <row r="2535" spans="1:9" hidden="1" x14ac:dyDescent="0.25">
      <c r="A2535">
        <v>2004</v>
      </c>
      <c r="B2535" s="140" t="s">
        <v>190</v>
      </c>
      <c r="C2535" s="140" t="s">
        <v>50</v>
      </c>
      <c r="D2535" s="140" t="s">
        <v>11</v>
      </c>
      <c r="E2535" s="140" t="s">
        <v>12</v>
      </c>
      <c r="F2535">
        <v>209622</v>
      </c>
      <c r="G2535" s="140" t="s">
        <v>207</v>
      </c>
      <c r="H2535">
        <v>0</v>
      </c>
      <c r="I2535" s="140" t="s">
        <v>17</v>
      </c>
    </row>
    <row r="2536" spans="1:9" hidden="1" x14ac:dyDescent="0.25">
      <c r="A2536">
        <v>2005</v>
      </c>
      <c r="B2536" s="140" t="s">
        <v>190</v>
      </c>
      <c r="C2536" s="140" t="s">
        <v>50</v>
      </c>
      <c r="D2536" s="140" t="s">
        <v>11</v>
      </c>
      <c r="E2536" s="140" t="s">
        <v>12</v>
      </c>
      <c r="F2536">
        <v>223832</v>
      </c>
      <c r="G2536" s="140" t="s">
        <v>207</v>
      </c>
      <c r="H2536">
        <v>0</v>
      </c>
      <c r="I2536" s="140" t="s">
        <v>17</v>
      </c>
    </row>
    <row r="2537" spans="1:9" hidden="1" x14ac:dyDescent="0.25">
      <c r="A2537">
        <v>2006</v>
      </c>
      <c r="B2537" s="140" t="s">
        <v>190</v>
      </c>
      <c r="C2537" s="140" t="s">
        <v>50</v>
      </c>
      <c r="D2537" s="140" t="s">
        <v>11</v>
      </c>
      <c r="E2537" s="140" t="s">
        <v>12</v>
      </c>
      <c r="F2537">
        <v>238924</v>
      </c>
      <c r="G2537" s="140" t="s">
        <v>207</v>
      </c>
      <c r="H2537">
        <v>0</v>
      </c>
      <c r="I2537" s="140" t="s">
        <v>17</v>
      </c>
    </row>
    <row r="2538" spans="1:9" hidden="1" x14ac:dyDescent="0.25">
      <c r="A2538">
        <v>2007</v>
      </c>
      <c r="B2538" s="140" t="s">
        <v>190</v>
      </c>
      <c r="C2538" s="140" t="s">
        <v>50</v>
      </c>
      <c r="D2538" s="140" t="s">
        <v>11</v>
      </c>
      <c r="E2538" s="140" t="s">
        <v>12</v>
      </c>
      <c r="F2538">
        <v>259493</v>
      </c>
      <c r="G2538" s="140" t="s">
        <v>207</v>
      </c>
      <c r="H2538">
        <v>0</v>
      </c>
      <c r="I2538" s="140" t="s">
        <v>17</v>
      </c>
    </row>
    <row r="2539" spans="1:9" hidden="1" x14ac:dyDescent="0.25">
      <c r="A2539">
        <v>2008</v>
      </c>
      <c r="B2539" s="140" t="s">
        <v>190</v>
      </c>
      <c r="C2539" s="140" t="s">
        <v>50</v>
      </c>
      <c r="D2539" s="140" t="s">
        <v>11</v>
      </c>
      <c r="E2539" s="140" t="s">
        <v>12</v>
      </c>
      <c r="F2539">
        <v>273967</v>
      </c>
      <c r="G2539" s="140" t="s">
        <v>207</v>
      </c>
      <c r="H2539">
        <v>0</v>
      </c>
      <c r="I2539" s="140" t="s">
        <v>17</v>
      </c>
    </row>
    <row r="2540" spans="1:9" hidden="1" x14ac:dyDescent="0.25">
      <c r="A2540">
        <v>2009</v>
      </c>
      <c r="B2540" s="140" t="s">
        <v>190</v>
      </c>
      <c r="C2540" s="140" t="s">
        <v>50</v>
      </c>
      <c r="D2540" s="140" t="s">
        <v>11</v>
      </c>
      <c r="E2540" s="140" t="s">
        <v>12</v>
      </c>
      <c r="F2540">
        <v>243105</v>
      </c>
      <c r="G2540" s="140" t="s">
        <v>207</v>
      </c>
      <c r="H2540">
        <v>0</v>
      </c>
      <c r="I2540" s="140" t="s">
        <v>17</v>
      </c>
    </row>
    <row r="2541" spans="1:9" hidden="1" x14ac:dyDescent="0.25">
      <c r="A2541">
        <v>2010</v>
      </c>
      <c r="B2541" s="140" t="s">
        <v>190</v>
      </c>
      <c r="C2541" s="140" t="s">
        <v>50</v>
      </c>
      <c r="D2541" s="140" t="s">
        <v>11</v>
      </c>
      <c r="E2541" s="140" t="s">
        <v>12</v>
      </c>
      <c r="F2541">
        <v>257622</v>
      </c>
      <c r="G2541" s="140" t="s">
        <v>207</v>
      </c>
      <c r="H2541">
        <v>0</v>
      </c>
      <c r="I2541" s="140" t="s">
        <v>17</v>
      </c>
    </row>
    <row r="2542" spans="1:9" hidden="1" x14ac:dyDescent="0.25">
      <c r="A2542">
        <v>2011</v>
      </c>
      <c r="B2542" s="140" t="s">
        <v>190</v>
      </c>
      <c r="C2542" s="140" t="s">
        <v>50</v>
      </c>
      <c r="D2542" s="140" t="s">
        <v>11</v>
      </c>
      <c r="E2542" s="140" t="s">
        <v>12</v>
      </c>
      <c r="F2542">
        <v>275856</v>
      </c>
      <c r="G2542" s="140" t="s">
        <v>207</v>
      </c>
      <c r="H2542">
        <v>0</v>
      </c>
      <c r="I2542" s="140" t="s">
        <v>17</v>
      </c>
    </row>
    <row r="2543" spans="1:9" hidden="1" x14ac:dyDescent="0.25">
      <c r="A2543">
        <v>2012</v>
      </c>
      <c r="B2543" s="140" t="s">
        <v>190</v>
      </c>
      <c r="C2543" s="140" t="s">
        <v>50</v>
      </c>
      <c r="D2543" s="140" t="s">
        <v>11</v>
      </c>
      <c r="E2543" s="140" t="s">
        <v>12</v>
      </c>
      <c r="F2543">
        <v>281647</v>
      </c>
      <c r="G2543" s="140" t="s">
        <v>207</v>
      </c>
      <c r="H2543">
        <v>0</v>
      </c>
      <c r="I2543" s="140" t="s">
        <v>17</v>
      </c>
    </row>
    <row r="2544" spans="1:9" hidden="1" x14ac:dyDescent="0.25">
      <c r="A2544">
        <v>2013</v>
      </c>
      <c r="B2544" s="140" t="s">
        <v>190</v>
      </c>
      <c r="C2544" s="140" t="s">
        <v>50</v>
      </c>
      <c r="D2544" s="140" t="s">
        <v>11</v>
      </c>
      <c r="E2544" s="140" t="s">
        <v>12</v>
      </c>
      <c r="F2544">
        <v>283993</v>
      </c>
      <c r="G2544" s="140" t="s">
        <v>207</v>
      </c>
      <c r="H2544">
        <v>0</v>
      </c>
      <c r="I2544" s="140" t="s">
        <v>17</v>
      </c>
    </row>
    <row r="2545" spans="1:9" hidden="1" x14ac:dyDescent="0.25">
      <c r="A2545">
        <v>2014</v>
      </c>
      <c r="B2545" s="140" t="s">
        <v>190</v>
      </c>
      <c r="C2545" s="140" t="s">
        <v>50</v>
      </c>
      <c r="D2545" s="140" t="s">
        <v>11</v>
      </c>
      <c r="E2545" s="140" t="s">
        <v>12</v>
      </c>
      <c r="F2545">
        <v>284073</v>
      </c>
      <c r="G2545" s="140" t="s">
        <v>207</v>
      </c>
      <c r="H2545">
        <v>0</v>
      </c>
      <c r="I2545" s="140" t="s">
        <v>17</v>
      </c>
    </row>
    <row r="2546" spans="1:9" hidden="1" x14ac:dyDescent="0.25">
      <c r="A2546">
        <v>2015</v>
      </c>
      <c r="B2546" s="140" t="s">
        <v>190</v>
      </c>
      <c r="C2546" s="140" t="s">
        <v>50</v>
      </c>
      <c r="D2546" s="140" t="s">
        <v>11</v>
      </c>
      <c r="E2546" s="140" t="s">
        <v>12</v>
      </c>
      <c r="F2546">
        <v>286796</v>
      </c>
      <c r="G2546" s="140" t="s">
        <v>207</v>
      </c>
      <c r="H2546">
        <v>0</v>
      </c>
      <c r="I2546" s="140" t="s">
        <v>17</v>
      </c>
    </row>
    <row r="2547" spans="1:9" hidden="1" x14ac:dyDescent="0.25">
      <c r="A2547">
        <v>2016</v>
      </c>
      <c r="B2547" s="140" t="s">
        <v>190</v>
      </c>
      <c r="C2547" s="140" t="s">
        <v>50</v>
      </c>
      <c r="D2547" s="140" t="s">
        <v>11</v>
      </c>
      <c r="E2547" s="140" t="s">
        <v>12</v>
      </c>
      <c r="F2547">
        <v>294847</v>
      </c>
      <c r="G2547" s="140" t="s">
        <v>207</v>
      </c>
      <c r="H2547">
        <v>0</v>
      </c>
      <c r="I2547" s="140" t="s">
        <v>17</v>
      </c>
    </row>
    <row r="2548" spans="1:9" hidden="1" x14ac:dyDescent="0.25">
      <c r="A2548">
        <v>2017</v>
      </c>
      <c r="B2548" s="140" t="s">
        <v>190</v>
      </c>
      <c r="C2548" s="140" t="s">
        <v>50</v>
      </c>
      <c r="D2548" s="140" t="s">
        <v>11</v>
      </c>
      <c r="E2548" s="140" t="s">
        <v>12</v>
      </c>
      <c r="F2548">
        <v>309904</v>
      </c>
      <c r="G2548" s="140" t="s">
        <v>207</v>
      </c>
      <c r="H2548">
        <v>0</v>
      </c>
      <c r="I2548" s="140" t="s">
        <v>17</v>
      </c>
    </row>
    <row r="2549" spans="1:9" hidden="1" x14ac:dyDescent="0.25">
      <c r="A2549">
        <v>2018</v>
      </c>
      <c r="B2549" s="140" t="s">
        <v>190</v>
      </c>
      <c r="C2549" s="140" t="s">
        <v>50</v>
      </c>
      <c r="D2549" s="140" t="s">
        <v>11</v>
      </c>
      <c r="E2549" s="140" t="s">
        <v>12</v>
      </c>
      <c r="F2549">
        <v>324766</v>
      </c>
      <c r="G2549" s="140" t="s">
        <v>207</v>
      </c>
      <c r="H2549">
        <v>0</v>
      </c>
      <c r="I2549" s="140" t="s">
        <v>17</v>
      </c>
    </row>
    <row r="2550" spans="1:9" hidden="1" x14ac:dyDescent="0.25">
      <c r="A2550">
        <v>2019</v>
      </c>
      <c r="B2550" s="140" t="s">
        <v>190</v>
      </c>
      <c r="C2550" s="140" t="s">
        <v>50</v>
      </c>
      <c r="D2550" s="140" t="s">
        <v>11</v>
      </c>
      <c r="E2550" s="140" t="s">
        <v>12</v>
      </c>
      <c r="F2550">
        <v>333962</v>
      </c>
      <c r="G2550" s="140" t="s">
        <v>207</v>
      </c>
      <c r="H2550">
        <v>0</v>
      </c>
      <c r="I2550" s="140" t="s">
        <v>17</v>
      </c>
    </row>
    <row r="2551" spans="1:9" hidden="1" x14ac:dyDescent="0.25">
      <c r="A2551">
        <v>2020</v>
      </c>
      <c r="B2551" s="140" t="s">
        <v>190</v>
      </c>
      <c r="C2551" s="140" t="s">
        <v>50</v>
      </c>
      <c r="D2551" s="140" t="s">
        <v>11</v>
      </c>
      <c r="E2551" s="140" t="s">
        <v>12</v>
      </c>
      <c r="F2551">
        <v>321155</v>
      </c>
      <c r="G2551" s="140" t="s">
        <v>207</v>
      </c>
      <c r="H2551">
        <v>0</v>
      </c>
      <c r="I2551" s="140" t="s">
        <v>17</v>
      </c>
    </row>
    <row r="2552" spans="1:9" hidden="1" x14ac:dyDescent="0.25">
      <c r="A2552">
        <v>2021</v>
      </c>
      <c r="B2552" s="140" t="s">
        <v>190</v>
      </c>
      <c r="C2552" s="140" t="s">
        <v>50</v>
      </c>
      <c r="D2552" s="140" t="s">
        <v>11</v>
      </c>
      <c r="E2552" s="140" t="s">
        <v>12</v>
      </c>
      <c r="F2552">
        <v>347940</v>
      </c>
      <c r="G2552" s="140" t="s">
        <v>207</v>
      </c>
      <c r="H2552">
        <v>0</v>
      </c>
      <c r="I2552" s="140" t="s">
        <v>17</v>
      </c>
    </row>
    <row r="2553" spans="1:9" hidden="1" x14ac:dyDescent="0.25">
      <c r="A2553">
        <v>2022</v>
      </c>
      <c r="B2553" s="140" t="s">
        <v>190</v>
      </c>
      <c r="C2553" s="140" t="s">
        <v>50</v>
      </c>
      <c r="D2553" s="140" t="s">
        <v>11</v>
      </c>
      <c r="E2553" s="140" t="s">
        <v>12</v>
      </c>
      <c r="F2553">
        <v>394334</v>
      </c>
      <c r="G2553" s="140" t="s">
        <v>207</v>
      </c>
      <c r="H2553">
        <v>0</v>
      </c>
      <c r="I2553" s="140" t="s">
        <v>17</v>
      </c>
    </row>
    <row r="2554" spans="1:9" hidden="1" x14ac:dyDescent="0.25">
      <c r="A2554">
        <v>2023</v>
      </c>
      <c r="B2554" s="140" t="s">
        <v>190</v>
      </c>
      <c r="C2554" s="140" t="s">
        <v>50</v>
      </c>
      <c r="D2554" s="140" t="s">
        <v>11</v>
      </c>
      <c r="E2554" s="140" t="s">
        <v>12</v>
      </c>
      <c r="F2554">
        <v>389823</v>
      </c>
      <c r="G2554" s="140" t="s">
        <v>207</v>
      </c>
      <c r="H2554">
        <v>0</v>
      </c>
      <c r="I2554" s="140" t="s">
        <v>17</v>
      </c>
    </row>
    <row r="2555" spans="1:9" hidden="1" x14ac:dyDescent="0.25">
      <c r="A2555">
        <v>2024</v>
      </c>
      <c r="B2555" s="140" t="s">
        <v>190</v>
      </c>
      <c r="C2555" s="140" t="s">
        <v>50</v>
      </c>
      <c r="D2555" s="140" t="s">
        <v>11</v>
      </c>
      <c r="E2555" s="140" t="s">
        <v>12</v>
      </c>
      <c r="F2555">
        <v>390994</v>
      </c>
      <c r="G2555" s="140" t="s">
        <v>207</v>
      </c>
      <c r="H2555">
        <v>0</v>
      </c>
      <c r="I2555" s="140" t="s">
        <v>17</v>
      </c>
    </row>
    <row r="2556" spans="1:9" hidden="1" x14ac:dyDescent="0.25">
      <c r="A2556">
        <v>2025</v>
      </c>
      <c r="B2556" s="140" t="s">
        <v>190</v>
      </c>
      <c r="C2556" s="140" t="s">
        <v>50</v>
      </c>
      <c r="D2556" s="140" t="s">
        <v>11</v>
      </c>
      <c r="E2556" s="140" t="s">
        <v>12</v>
      </c>
      <c r="F2556">
        <v>399122</v>
      </c>
      <c r="G2556" s="140" t="s">
        <v>207</v>
      </c>
      <c r="H2556">
        <v>0</v>
      </c>
      <c r="I2556" s="140" t="s">
        <v>17</v>
      </c>
    </row>
    <row r="2557" spans="1:9" hidden="1" x14ac:dyDescent="0.25">
      <c r="A2557">
        <v>2026</v>
      </c>
      <c r="B2557" s="140" t="s">
        <v>190</v>
      </c>
      <c r="C2557" s="140" t="s">
        <v>50</v>
      </c>
      <c r="D2557" s="140" t="s">
        <v>11</v>
      </c>
      <c r="E2557" s="140" t="s">
        <v>12</v>
      </c>
      <c r="F2557">
        <v>419552.28379999998</v>
      </c>
      <c r="G2557" s="140" t="s">
        <v>207</v>
      </c>
      <c r="H2557">
        <v>0</v>
      </c>
      <c r="I2557" s="140" t="s">
        <v>17</v>
      </c>
    </row>
    <row r="2558" spans="1:9" hidden="1" x14ac:dyDescent="0.25">
      <c r="A2558">
        <v>2027</v>
      </c>
      <c r="B2558" s="140" t="s">
        <v>190</v>
      </c>
      <c r="C2558" s="140" t="s">
        <v>50</v>
      </c>
      <c r="D2558" s="140" t="s">
        <v>11</v>
      </c>
      <c r="E2558" s="140" t="s">
        <v>12</v>
      </c>
      <c r="F2558">
        <v>435112.77779999998</v>
      </c>
      <c r="G2558" s="140" t="s">
        <v>207</v>
      </c>
      <c r="H2558">
        <v>0</v>
      </c>
      <c r="I2558" s="140" t="s">
        <v>17</v>
      </c>
    </row>
    <row r="2559" spans="1:9" hidden="1" x14ac:dyDescent="0.25">
      <c r="A2559">
        <v>2028</v>
      </c>
      <c r="B2559" s="140" t="s">
        <v>190</v>
      </c>
      <c r="C2559" s="140" t="s">
        <v>50</v>
      </c>
      <c r="D2559" s="140" t="s">
        <v>11</v>
      </c>
      <c r="E2559" s="140" t="s">
        <v>12</v>
      </c>
      <c r="F2559">
        <v>452843.6226</v>
      </c>
      <c r="G2559" s="140" t="s">
        <v>207</v>
      </c>
      <c r="H2559">
        <v>0</v>
      </c>
      <c r="I2559" s="140" t="s">
        <v>17</v>
      </c>
    </row>
    <row r="2560" spans="1:9" hidden="1" x14ac:dyDescent="0.25">
      <c r="A2560">
        <v>2029</v>
      </c>
      <c r="B2560" s="140" t="s">
        <v>190</v>
      </c>
      <c r="C2560" s="140" t="s">
        <v>50</v>
      </c>
      <c r="D2560" s="140" t="s">
        <v>11</v>
      </c>
      <c r="E2560" s="140" t="s">
        <v>12</v>
      </c>
      <c r="F2560">
        <v>470661.21189999999</v>
      </c>
      <c r="G2560" s="140" t="s">
        <v>207</v>
      </c>
      <c r="H2560">
        <v>0</v>
      </c>
      <c r="I2560" s="140" t="s">
        <v>17</v>
      </c>
    </row>
    <row r="2561" spans="1:9" hidden="1" x14ac:dyDescent="0.25">
      <c r="A2561">
        <v>2030</v>
      </c>
      <c r="B2561" s="140" t="s">
        <v>190</v>
      </c>
      <c r="C2561" s="140" t="s">
        <v>50</v>
      </c>
      <c r="D2561" s="140" t="s">
        <v>11</v>
      </c>
      <c r="E2561" s="140" t="s">
        <v>12</v>
      </c>
      <c r="F2561">
        <v>488182.12650000001</v>
      </c>
      <c r="G2561" s="140" t="s">
        <v>207</v>
      </c>
      <c r="H2561">
        <v>0</v>
      </c>
      <c r="I2561" s="140" t="s">
        <v>17</v>
      </c>
    </row>
    <row r="2562" spans="1:9" hidden="1" x14ac:dyDescent="0.25">
      <c r="A2562">
        <v>2003</v>
      </c>
      <c r="B2562" s="140" t="s">
        <v>190</v>
      </c>
      <c r="C2562" s="140" t="s">
        <v>20</v>
      </c>
      <c r="D2562" s="140" t="s">
        <v>11</v>
      </c>
      <c r="E2562" s="140" t="s">
        <v>12</v>
      </c>
      <c r="F2562">
        <v>187243</v>
      </c>
      <c r="G2562" s="140" t="s">
        <v>207</v>
      </c>
      <c r="H2562">
        <v>0</v>
      </c>
      <c r="I2562" s="140" t="s">
        <v>17</v>
      </c>
    </row>
    <row r="2563" spans="1:9" hidden="1" x14ac:dyDescent="0.25">
      <c r="A2563">
        <v>2004</v>
      </c>
      <c r="B2563" s="140" t="s">
        <v>190</v>
      </c>
      <c r="C2563" s="140" t="s">
        <v>20</v>
      </c>
      <c r="D2563" s="140" t="s">
        <v>11</v>
      </c>
      <c r="E2563" s="140" t="s">
        <v>12</v>
      </c>
      <c r="F2563">
        <v>200079</v>
      </c>
      <c r="G2563" s="140" t="s">
        <v>207</v>
      </c>
      <c r="H2563">
        <v>0</v>
      </c>
      <c r="I2563" s="140" t="s">
        <v>17</v>
      </c>
    </row>
    <row r="2564" spans="1:9" hidden="1" x14ac:dyDescent="0.25">
      <c r="A2564">
        <v>2005</v>
      </c>
      <c r="B2564" s="140" t="s">
        <v>190</v>
      </c>
      <c r="C2564" s="140" t="s">
        <v>20</v>
      </c>
      <c r="D2564" s="140" t="s">
        <v>11</v>
      </c>
      <c r="E2564" s="140" t="s">
        <v>12</v>
      </c>
      <c r="F2564">
        <v>209809</v>
      </c>
      <c r="G2564" s="140" t="s">
        <v>207</v>
      </c>
      <c r="H2564">
        <v>0</v>
      </c>
      <c r="I2564" s="140" t="s">
        <v>17</v>
      </c>
    </row>
    <row r="2565" spans="1:9" hidden="1" x14ac:dyDescent="0.25">
      <c r="A2565">
        <v>2006</v>
      </c>
      <c r="B2565" s="140" t="s">
        <v>190</v>
      </c>
      <c r="C2565" s="140" t="s">
        <v>20</v>
      </c>
      <c r="D2565" s="140" t="s">
        <v>11</v>
      </c>
      <c r="E2565" s="140" t="s">
        <v>12</v>
      </c>
      <c r="F2565">
        <v>225666</v>
      </c>
      <c r="G2565" s="140" t="s">
        <v>207</v>
      </c>
      <c r="H2565">
        <v>0</v>
      </c>
      <c r="I2565" s="140" t="s">
        <v>17</v>
      </c>
    </row>
    <row r="2566" spans="1:9" hidden="1" x14ac:dyDescent="0.25">
      <c r="A2566">
        <v>2007</v>
      </c>
      <c r="B2566" s="140" t="s">
        <v>190</v>
      </c>
      <c r="C2566" s="140" t="s">
        <v>20</v>
      </c>
      <c r="D2566" s="140" t="s">
        <v>11</v>
      </c>
      <c r="E2566" s="140" t="s">
        <v>12</v>
      </c>
      <c r="F2566">
        <v>229846</v>
      </c>
      <c r="G2566" s="140" t="s">
        <v>207</v>
      </c>
      <c r="H2566">
        <v>0</v>
      </c>
      <c r="I2566" s="140" t="s">
        <v>17</v>
      </c>
    </row>
    <row r="2567" spans="1:9" hidden="1" x14ac:dyDescent="0.25">
      <c r="A2567">
        <v>2008</v>
      </c>
      <c r="B2567" s="140" t="s">
        <v>190</v>
      </c>
      <c r="C2567" s="140" t="s">
        <v>20</v>
      </c>
      <c r="D2567" s="140" t="s">
        <v>11</v>
      </c>
      <c r="E2567" s="140" t="s">
        <v>12</v>
      </c>
      <c r="F2567">
        <v>234758</v>
      </c>
      <c r="G2567" s="140" t="s">
        <v>207</v>
      </c>
      <c r="H2567">
        <v>0</v>
      </c>
      <c r="I2567" s="140" t="s">
        <v>17</v>
      </c>
    </row>
    <row r="2568" spans="1:9" hidden="1" x14ac:dyDescent="0.25">
      <c r="A2568">
        <v>2009</v>
      </c>
      <c r="B2568" s="140" t="s">
        <v>190</v>
      </c>
      <c r="C2568" s="140" t="s">
        <v>20</v>
      </c>
      <c r="D2568" s="140" t="s">
        <v>11</v>
      </c>
      <c r="E2568" s="140" t="s">
        <v>12</v>
      </c>
      <c r="F2568">
        <v>239133</v>
      </c>
      <c r="G2568" s="140" t="s">
        <v>207</v>
      </c>
      <c r="H2568">
        <v>0</v>
      </c>
      <c r="I2568" s="140" t="s">
        <v>17</v>
      </c>
    </row>
    <row r="2569" spans="1:9" hidden="1" x14ac:dyDescent="0.25">
      <c r="A2569">
        <v>2010</v>
      </c>
      <c r="B2569" s="140" t="s">
        <v>190</v>
      </c>
      <c r="C2569" s="140" t="s">
        <v>20</v>
      </c>
      <c r="D2569" s="140" t="s">
        <v>11</v>
      </c>
      <c r="E2569" s="140" t="s">
        <v>12</v>
      </c>
      <c r="F2569">
        <v>251357</v>
      </c>
      <c r="G2569" s="140" t="s">
        <v>207</v>
      </c>
      <c r="H2569">
        <v>0</v>
      </c>
      <c r="I2569" s="140" t="s">
        <v>17</v>
      </c>
    </row>
    <row r="2570" spans="1:9" hidden="1" x14ac:dyDescent="0.25">
      <c r="A2570">
        <v>2011</v>
      </c>
      <c r="B2570" s="140" t="s">
        <v>190</v>
      </c>
      <c r="C2570" s="140" t="s">
        <v>20</v>
      </c>
      <c r="D2570" s="140" t="s">
        <v>11</v>
      </c>
      <c r="E2570" s="140" t="s">
        <v>12</v>
      </c>
      <c r="F2570">
        <v>263738</v>
      </c>
      <c r="G2570" s="140" t="s">
        <v>207</v>
      </c>
      <c r="H2570">
        <v>0</v>
      </c>
      <c r="I2570" s="140" t="s">
        <v>17</v>
      </c>
    </row>
    <row r="2571" spans="1:9" hidden="1" x14ac:dyDescent="0.25">
      <c r="A2571">
        <v>2012</v>
      </c>
      <c r="B2571" s="140" t="s">
        <v>190</v>
      </c>
      <c r="C2571" s="140" t="s">
        <v>20</v>
      </c>
      <c r="D2571" s="140" t="s">
        <v>11</v>
      </c>
      <c r="E2571" s="140" t="s">
        <v>12</v>
      </c>
      <c r="F2571">
        <v>275563</v>
      </c>
      <c r="G2571" s="140" t="s">
        <v>207</v>
      </c>
      <c r="H2571">
        <v>0</v>
      </c>
      <c r="I2571" s="140" t="s">
        <v>17</v>
      </c>
    </row>
    <row r="2572" spans="1:9" hidden="1" x14ac:dyDescent="0.25">
      <c r="A2572">
        <v>2013</v>
      </c>
      <c r="B2572" s="140" t="s">
        <v>190</v>
      </c>
      <c r="C2572" s="140" t="s">
        <v>20</v>
      </c>
      <c r="D2572" s="140" t="s">
        <v>11</v>
      </c>
      <c r="E2572" s="140" t="s">
        <v>12</v>
      </c>
      <c r="F2572">
        <v>292316</v>
      </c>
      <c r="G2572" s="140" t="s">
        <v>207</v>
      </c>
      <c r="H2572">
        <v>0</v>
      </c>
      <c r="I2572" s="140" t="s">
        <v>17</v>
      </c>
    </row>
    <row r="2573" spans="1:9" hidden="1" x14ac:dyDescent="0.25">
      <c r="A2573">
        <v>2014</v>
      </c>
      <c r="B2573" s="140" t="s">
        <v>190</v>
      </c>
      <c r="C2573" s="140" t="s">
        <v>20</v>
      </c>
      <c r="D2573" s="140" t="s">
        <v>11</v>
      </c>
      <c r="E2573" s="140" t="s">
        <v>12</v>
      </c>
      <c r="F2573">
        <v>300430</v>
      </c>
      <c r="G2573" s="140" t="s">
        <v>207</v>
      </c>
      <c r="H2573">
        <v>0</v>
      </c>
      <c r="I2573" s="140" t="s">
        <v>17</v>
      </c>
    </row>
    <row r="2574" spans="1:9" hidden="1" x14ac:dyDescent="0.25">
      <c r="A2574">
        <v>2015</v>
      </c>
      <c r="B2574" s="140" t="s">
        <v>190</v>
      </c>
      <c r="C2574" s="140" t="s">
        <v>20</v>
      </c>
      <c r="D2574" s="140" t="s">
        <v>11</v>
      </c>
      <c r="E2574" s="140" t="s">
        <v>12</v>
      </c>
      <c r="F2574">
        <v>268052</v>
      </c>
      <c r="G2574" s="140" t="s">
        <v>207</v>
      </c>
      <c r="H2574">
        <v>0</v>
      </c>
      <c r="I2574" s="140" t="s">
        <v>17</v>
      </c>
    </row>
    <row r="2575" spans="1:9" hidden="1" x14ac:dyDescent="0.25">
      <c r="A2575">
        <v>2016</v>
      </c>
      <c r="B2575" s="140" t="s">
        <v>190</v>
      </c>
      <c r="C2575" s="140" t="s">
        <v>20</v>
      </c>
      <c r="D2575" s="140" t="s">
        <v>11</v>
      </c>
      <c r="E2575" s="140" t="s">
        <v>12</v>
      </c>
      <c r="F2575">
        <v>279190</v>
      </c>
      <c r="G2575" s="140" t="s">
        <v>207</v>
      </c>
      <c r="H2575">
        <v>0</v>
      </c>
      <c r="I2575" s="140" t="s">
        <v>17</v>
      </c>
    </row>
    <row r="2576" spans="1:9" hidden="1" x14ac:dyDescent="0.25">
      <c r="A2576">
        <v>2017</v>
      </c>
      <c r="B2576" s="140" t="s">
        <v>190</v>
      </c>
      <c r="C2576" s="140" t="s">
        <v>20</v>
      </c>
      <c r="D2576" s="140" t="s">
        <v>11</v>
      </c>
      <c r="E2576" s="140" t="s">
        <v>12</v>
      </c>
      <c r="F2576">
        <v>288930</v>
      </c>
      <c r="G2576" s="140" t="s">
        <v>207</v>
      </c>
      <c r="H2576">
        <v>0</v>
      </c>
      <c r="I2576" s="140" t="s">
        <v>17</v>
      </c>
    </row>
    <row r="2577" spans="1:9" hidden="1" x14ac:dyDescent="0.25">
      <c r="A2577">
        <v>2018</v>
      </c>
      <c r="B2577" s="140" t="s">
        <v>190</v>
      </c>
      <c r="C2577" s="140" t="s">
        <v>20</v>
      </c>
      <c r="D2577" s="140" t="s">
        <v>11</v>
      </c>
      <c r="E2577" s="140" t="s">
        <v>12</v>
      </c>
      <c r="F2577">
        <v>287389</v>
      </c>
      <c r="G2577" s="140" t="s">
        <v>207</v>
      </c>
      <c r="H2577">
        <v>0</v>
      </c>
      <c r="I2577" s="140" t="s">
        <v>17</v>
      </c>
    </row>
    <row r="2578" spans="1:9" hidden="1" x14ac:dyDescent="0.25">
      <c r="A2578">
        <v>2019</v>
      </c>
      <c r="B2578" s="140" t="s">
        <v>190</v>
      </c>
      <c r="C2578" s="140" t="s">
        <v>20</v>
      </c>
      <c r="D2578" s="140" t="s">
        <v>11</v>
      </c>
      <c r="E2578" s="140" t="s">
        <v>12</v>
      </c>
      <c r="F2578">
        <v>285793</v>
      </c>
      <c r="G2578" s="140" t="s">
        <v>207</v>
      </c>
      <c r="H2578">
        <v>0</v>
      </c>
      <c r="I2578" s="140" t="s">
        <v>17</v>
      </c>
    </row>
    <row r="2579" spans="1:9" hidden="1" x14ac:dyDescent="0.25">
      <c r="A2579">
        <v>2020</v>
      </c>
      <c r="B2579" s="140" t="s">
        <v>190</v>
      </c>
      <c r="C2579" s="140" t="s">
        <v>20</v>
      </c>
      <c r="D2579" s="140" t="s">
        <v>11</v>
      </c>
      <c r="E2579" s="140" t="s">
        <v>12</v>
      </c>
      <c r="F2579">
        <v>307565</v>
      </c>
      <c r="G2579" s="140" t="s">
        <v>207</v>
      </c>
      <c r="H2579">
        <v>0</v>
      </c>
      <c r="I2579" s="140" t="s">
        <v>17</v>
      </c>
    </row>
    <row r="2580" spans="1:9" hidden="1" x14ac:dyDescent="0.25">
      <c r="A2580">
        <v>2021</v>
      </c>
      <c r="B2580" s="140" t="s">
        <v>190</v>
      </c>
      <c r="C2580" s="140" t="s">
        <v>20</v>
      </c>
      <c r="D2580" s="140" t="s">
        <v>11</v>
      </c>
      <c r="E2580" s="140" t="s">
        <v>12</v>
      </c>
      <c r="F2580">
        <v>319570</v>
      </c>
      <c r="G2580" s="140" t="s">
        <v>207</v>
      </c>
      <c r="H2580">
        <v>0</v>
      </c>
      <c r="I2580" s="140" t="s">
        <v>17</v>
      </c>
    </row>
    <row r="2581" spans="1:9" hidden="1" x14ac:dyDescent="0.25">
      <c r="A2581">
        <v>2022</v>
      </c>
      <c r="B2581" s="140" t="s">
        <v>190</v>
      </c>
      <c r="C2581" s="140" t="s">
        <v>20</v>
      </c>
      <c r="D2581" s="140" t="s">
        <v>11</v>
      </c>
      <c r="E2581" s="140" t="s">
        <v>12</v>
      </c>
      <c r="F2581">
        <v>329485</v>
      </c>
      <c r="G2581" s="140" t="s">
        <v>207</v>
      </c>
      <c r="H2581">
        <v>0</v>
      </c>
      <c r="I2581" s="140" t="s">
        <v>17</v>
      </c>
    </row>
    <row r="2582" spans="1:9" hidden="1" x14ac:dyDescent="0.25">
      <c r="A2582">
        <v>2023</v>
      </c>
      <c r="B2582" s="140" t="s">
        <v>190</v>
      </c>
      <c r="C2582" s="140" t="s">
        <v>20</v>
      </c>
      <c r="D2582" s="140" t="s">
        <v>11</v>
      </c>
      <c r="E2582" s="140" t="s">
        <v>12</v>
      </c>
      <c r="F2582">
        <v>319616</v>
      </c>
      <c r="G2582" s="140" t="s">
        <v>207</v>
      </c>
      <c r="H2582">
        <v>0</v>
      </c>
      <c r="I2582" s="140" t="s">
        <v>17</v>
      </c>
    </row>
    <row r="2583" spans="1:9" hidden="1" x14ac:dyDescent="0.25">
      <c r="A2583">
        <v>2024</v>
      </c>
      <c r="B2583" s="140" t="s">
        <v>190</v>
      </c>
      <c r="C2583" s="140" t="s">
        <v>20</v>
      </c>
      <c r="D2583" s="140" t="s">
        <v>11</v>
      </c>
      <c r="E2583" s="140" t="s">
        <v>12</v>
      </c>
      <c r="F2583">
        <v>321221</v>
      </c>
      <c r="G2583" s="140" t="s">
        <v>207</v>
      </c>
      <c r="H2583">
        <v>0</v>
      </c>
      <c r="I2583" s="140" t="s">
        <v>17</v>
      </c>
    </row>
    <row r="2584" spans="1:9" hidden="1" x14ac:dyDescent="0.25">
      <c r="A2584">
        <v>2025</v>
      </c>
      <c r="B2584" s="140" t="s">
        <v>190</v>
      </c>
      <c r="C2584" s="140" t="s">
        <v>20</v>
      </c>
      <c r="D2584" s="140" t="s">
        <v>11</v>
      </c>
      <c r="E2584" s="140" t="s">
        <v>12</v>
      </c>
      <c r="F2584">
        <v>325686</v>
      </c>
      <c r="G2584" s="140" t="s">
        <v>207</v>
      </c>
      <c r="H2584">
        <v>0</v>
      </c>
      <c r="I2584" s="140" t="s">
        <v>17</v>
      </c>
    </row>
    <row r="2585" spans="1:9" hidden="1" x14ac:dyDescent="0.25">
      <c r="A2585">
        <v>2026</v>
      </c>
      <c r="B2585" s="140" t="s">
        <v>190</v>
      </c>
      <c r="C2585" s="140" t="s">
        <v>20</v>
      </c>
      <c r="D2585" s="140" t="s">
        <v>11</v>
      </c>
      <c r="E2585" s="140" t="s">
        <v>12</v>
      </c>
      <c r="F2585">
        <v>333030.08789999998</v>
      </c>
      <c r="G2585" s="140" t="s">
        <v>207</v>
      </c>
      <c r="H2585">
        <v>0</v>
      </c>
      <c r="I2585" s="140" t="s">
        <v>17</v>
      </c>
    </row>
    <row r="2586" spans="1:9" hidden="1" x14ac:dyDescent="0.25">
      <c r="A2586">
        <v>2027</v>
      </c>
      <c r="B2586" s="140" t="s">
        <v>190</v>
      </c>
      <c r="C2586" s="140" t="s">
        <v>20</v>
      </c>
      <c r="D2586" s="140" t="s">
        <v>11</v>
      </c>
      <c r="E2586" s="140" t="s">
        <v>12</v>
      </c>
      <c r="F2586">
        <v>338909.25170000002</v>
      </c>
      <c r="G2586" s="140" t="s">
        <v>207</v>
      </c>
      <c r="H2586">
        <v>0</v>
      </c>
      <c r="I2586" s="140" t="s">
        <v>17</v>
      </c>
    </row>
    <row r="2587" spans="1:9" hidden="1" x14ac:dyDescent="0.25">
      <c r="A2587">
        <v>2028</v>
      </c>
      <c r="B2587" s="140" t="s">
        <v>190</v>
      </c>
      <c r="C2587" s="140" t="s">
        <v>20</v>
      </c>
      <c r="D2587" s="140" t="s">
        <v>11</v>
      </c>
      <c r="E2587" s="140" t="s">
        <v>12</v>
      </c>
      <c r="F2587">
        <v>345138.1005</v>
      </c>
      <c r="G2587" s="140" t="s">
        <v>207</v>
      </c>
      <c r="H2587">
        <v>0</v>
      </c>
      <c r="I2587" s="140" t="s">
        <v>17</v>
      </c>
    </row>
    <row r="2588" spans="1:9" hidden="1" x14ac:dyDescent="0.25">
      <c r="A2588">
        <v>2029</v>
      </c>
      <c r="B2588" s="140" t="s">
        <v>190</v>
      </c>
      <c r="C2588" s="140" t="s">
        <v>20</v>
      </c>
      <c r="D2588" s="140" t="s">
        <v>11</v>
      </c>
      <c r="E2588" s="140" t="s">
        <v>12</v>
      </c>
      <c r="F2588">
        <v>351544.41019999998</v>
      </c>
      <c r="G2588" s="140" t="s">
        <v>207</v>
      </c>
      <c r="H2588">
        <v>0</v>
      </c>
      <c r="I2588" s="140" t="s">
        <v>17</v>
      </c>
    </row>
    <row r="2589" spans="1:9" hidden="1" x14ac:dyDescent="0.25">
      <c r="A2589">
        <v>2030</v>
      </c>
      <c r="B2589" s="140" t="s">
        <v>190</v>
      </c>
      <c r="C2589" s="140" t="s">
        <v>20</v>
      </c>
      <c r="D2589" s="140" t="s">
        <v>11</v>
      </c>
      <c r="E2589" s="140" t="s">
        <v>12</v>
      </c>
      <c r="F2589">
        <v>357443.18219999998</v>
      </c>
      <c r="G2589" s="140" t="s">
        <v>207</v>
      </c>
      <c r="H2589">
        <v>0</v>
      </c>
      <c r="I2589" s="140" t="s">
        <v>17</v>
      </c>
    </row>
    <row r="2590" spans="1:9" hidden="1" x14ac:dyDescent="0.25">
      <c r="A2590">
        <v>1990</v>
      </c>
      <c r="B2590" s="140" t="s">
        <v>191</v>
      </c>
      <c r="C2590" s="140" t="s">
        <v>19</v>
      </c>
      <c r="D2590" s="140" t="s">
        <v>11</v>
      </c>
      <c r="E2590" s="140" t="s">
        <v>12</v>
      </c>
      <c r="F2590">
        <v>91928</v>
      </c>
      <c r="G2590" s="140" t="s">
        <v>212</v>
      </c>
      <c r="H2590">
        <v>0</v>
      </c>
      <c r="I2590" s="140" t="s">
        <v>17</v>
      </c>
    </row>
    <row r="2591" spans="1:9" hidden="1" x14ac:dyDescent="0.25">
      <c r="A2591">
        <v>1991</v>
      </c>
      <c r="B2591" s="140" t="s">
        <v>191</v>
      </c>
      <c r="C2591" s="140" t="s">
        <v>19</v>
      </c>
      <c r="D2591" s="140" t="s">
        <v>11</v>
      </c>
      <c r="E2591" s="140" t="s">
        <v>12</v>
      </c>
      <c r="F2591">
        <v>87926</v>
      </c>
      <c r="G2591" s="140" t="s">
        <v>212</v>
      </c>
      <c r="H2591">
        <v>0</v>
      </c>
      <c r="I2591" s="140" t="s">
        <v>17</v>
      </c>
    </row>
    <row r="2592" spans="1:9" hidden="1" x14ac:dyDescent="0.25">
      <c r="A2592">
        <v>1992</v>
      </c>
      <c r="B2592" s="140" t="s">
        <v>191</v>
      </c>
      <c r="C2592" s="140" t="s">
        <v>19</v>
      </c>
      <c r="D2592" s="140" t="s">
        <v>11</v>
      </c>
      <c r="E2592" s="140" t="s">
        <v>12</v>
      </c>
      <c r="F2592">
        <v>84234</v>
      </c>
      <c r="G2592" s="140" t="s">
        <v>212</v>
      </c>
      <c r="H2592">
        <v>0</v>
      </c>
      <c r="I2592" s="140" t="s">
        <v>17</v>
      </c>
    </row>
    <row r="2593" spans="1:9" hidden="1" x14ac:dyDescent="0.25">
      <c r="A2593">
        <v>1993</v>
      </c>
      <c r="B2593" s="140" t="s">
        <v>191</v>
      </c>
      <c r="C2593" s="140" t="s">
        <v>19</v>
      </c>
      <c r="D2593" s="140" t="s">
        <v>11</v>
      </c>
      <c r="E2593" s="140" t="s">
        <v>12</v>
      </c>
      <c r="F2593">
        <v>82067</v>
      </c>
      <c r="G2593" s="140" t="s">
        <v>212</v>
      </c>
      <c r="H2593">
        <v>0</v>
      </c>
      <c r="I2593" s="140" t="s">
        <v>17</v>
      </c>
    </row>
    <row r="2594" spans="1:9" hidden="1" x14ac:dyDescent="0.25">
      <c r="A2594">
        <v>1994</v>
      </c>
      <c r="B2594" s="140" t="s">
        <v>191</v>
      </c>
      <c r="C2594" s="140" t="s">
        <v>19</v>
      </c>
      <c r="D2594" s="140" t="s">
        <v>11</v>
      </c>
      <c r="E2594" s="140" t="s">
        <v>12</v>
      </c>
      <c r="F2594">
        <v>85947</v>
      </c>
      <c r="G2594" s="140" t="s">
        <v>212</v>
      </c>
      <c r="H2594">
        <v>0</v>
      </c>
      <c r="I2594" s="140" t="s">
        <v>17</v>
      </c>
    </row>
    <row r="2595" spans="1:9" hidden="1" x14ac:dyDescent="0.25">
      <c r="A2595">
        <v>1995</v>
      </c>
      <c r="B2595" s="140" t="s">
        <v>191</v>
      </c>
      <c r="C2595" s="140" t="s">
        <v>19</v>
      </c>
      <c r="D2595" s="140" t="s">
        <v>11</v>
      </c>
      <c r="E2595" s="140" t="s">
        <v>12</v>
      </c>
      <c r="F2595">
        <v>91844</v>
      </c>
      <c r="G2595" s="140" t="s">
        <v>212</v>
      </c>
      <c r="H2595">
        <v>0</v>
      </c>
      <c r="I2595" s="140" t="s">
        <v>17</v>
      </c>
    </row>
    <row r="2596" spans="1:9" hidden="1" x14ac:dyDescent="0.25">
      <c r="A2596">
        <v>1996</v>
      </c>
      <c r="B2596" s="140" t="s">
        <v>191</v>
      </c>
      <c r="C2596" s="140" t="s">
        <v>19</v>
      </c>
      <c r="D2596" s="140" t="s">
        <v>11</v>
      </c>
      <c r="E2596" s="140" t="s">
        <v>12</v>
      </c>
      <c r="F2596">
        <v>95898</v>
      </c>
      <c r="G2596" s="140" t="s">
        <v>212</v>
      </c>
      <c r="H2596">
        <v>0</v>
      </c>
      <c r="I2596" s="140" t="s">
        <v>17</v>
      </c>
    </row>
    <row r="2597" spans="1:9" hidden="1" x14ac:dyDescent="0.25">
      <c r="A2597">
        <v>1997</v>
      </c>
      <c r="B2597" s="140" t="s">
        <v>191</v>
      </c>
      <c r="C2597" s="140" t="s">
        <v>19</v>
      </c>
      <c r="D2597" s="140" t="s">
        <v>11</v>
      </c>
      <c r="E2597" s="140" t="s">
        <v>12</v>
      </c>
      <c r="F2597">
        <v>103224</v>
      </c>
      <c r="G2597" s="140" t="s">
        <v>212</v>
      </c>
      <c r="H2597">
        <v>0</v>
      </c>
      <c r="I2597" s="140" t="s">
        <v>17</v>
      </c>
    </row>
    <row r="2598" spans="1:9" hidden="1" x14ac:dyDescent="0.25">
      <c r="A2598">
        <v>1998</v>
      </c>
      <c r="B2598" s="140" t="s">
        <v>191</v>
      </c>
      <c r="C2598" s="140" t="s">
        <v>19</v>
      </c>
      <c r="D2598" s="140" t="s">
        <v>11</v>
      </c>
      <c r="E2598" s="140" t="s">
        <v>12</v>
      </c>
      <c r="F2598">
        <v>111647</v>
      </c>
      <c r="G2598" s="140" t="s">
        <v>212</v>
      </c>
      <c r="H2598">
        <v>0</v>
      </c>
      <c r="I2598" s="140" t="s">
        <v>17</v>
      </c>
    </row>
    <row r="2599" spans="1:9" hidden="1" x14ac:dyDescent="0.25">
      <c r="A2599">
        <v>1999</v>
      </c>
      <c r="B2599" s="140" t="s">
        <v>191</v>
      </c>
      <c r="C2599" s="140" t="s">
        <v>19</v>
      </c>
      <c r="D2599" s="140" t="s">
        <v>11</v>
      </c>
      <c r="E2599" s="140" t="s">
        <v>12</v>
      </c>
      <c r="F2599">
        <v>116112</v>
      </c>
      <c r="G2599" s="140" t="s">
        <v>212</v>
      </c>
      <c r="H2599">
        <v>0</v>
      </c>
      <c r="I2599" s="140" t="s">
        <v>17</v>
      </c>
    </row>
    <row r="2600" spans="1:9" hidden="1" x14ac:dyDescent="0.25">
      <c r="A2600">
        <v>2000</v>
      </c>
      <c r="B2600" s="140" t="s">
        <v>191</v>
      </c>
      <c r="C2600" s="140" t="s">
        <v>19</v>
      </c>
      <c r="D2600" s="140" t="s">
        <v>11</v>
      </c>
      <c r="E2600" s="140" t="s">
        <v>12</v>
      </c>
      <c r="F2600">
        <v>124655</v>
      </c>
      <c r="G2600" s="140" t="s">
        <v>212</v>
      </c>
      <c r="H2600">
        <v>0</v>
      </c>
      <c r="I2600" s="140" t="s">
        <v>17</v>
      </c>
    </row>
    <row r="2601" spans="1:9" hidden="1" x14ac:dyDescent="0.25">
      <c r="A2601">
        <v>2001</v>
      </c>
      <c r="B2601" s="140" t="s">
        <v>191</v>
      </c>
      <c r="C2601" s="140" t="s">
        <v>19</v>
      </c>
      <c r="D2601" s="140" t="s">
        <v>11</v>
      </c>
      <c r="E2601" s="140" t="s">
        <v>12</v>
      </c>
      <c r="F2601">
        <v>131098</v>
      </c>
      <c r="G2601" s="140" t="s">
        <v>212</v>
      </c>
      <c r="H2601">
        <v>0</v>
      </c>
      <c r="I2601" s="140" t="s">
        <v>17</v>
      </c>
    </row>
    <row r="2602" spans="1:9" hidden="1" x14ac:dyDescent="0.25">
      <c r="A2602">
        <v>2002</v>
      </c>
      <c r="B2602" s="140" t="s">
        <v>191</v>
      </c>
      <c r="C2602" s="140" t="s">
        <v>19</v>
      </c>
      <c r="D2602" s="140" t="s">
        <v>11</v>
      </c>
      <c r="E2602" s="140" t="s">
        <v>12</v>
      </c>
      <c r="F2602">
        <v>134977</v>
      </c>
      <c r="G2602" s="140" t="s">
        <v>212</v>
      </c>
      <c r="H2602">
        <v>0</v>
      </c>
      <c r="I2602" s="140" t="s">
        <v>17</v>
      </c>
    </row>
    <row r="2603" spans="1:9" hidden="1" x14ac:dyDescent="0.25">
      <c r="A2603">
        <v>2003</v>
      </c>
      <c r="B2603" s="140" t="s">
        <v>191</v>
      </c>
      <c r="C2603" s="140" t="s">
        <v>19</v>
      </c>
      <c r="D2603" s="140" t="s">
        <v>11</v>
      </c>
      <c r="E2603" s="140" t="s">
        <v>12</v>
      </c>
      <c r="F2603">
        <v>141057</v>
      </c>
      <c r="G2603" s="140" t="s">
        <v>212</v>
      </c>
      <c r="H2603">
        <v>0</v>
      </c>
      <c r="I2603" s="140" t="s">
        <v>17</v>
      </c>
    </row>
    <row r="2604" spans="1:9" hidden="1" x14ac:dyDescent="0.25">
      <c r="A2604">
        <v>2004</v>
      </c>
      <c r="B2604" s="140" t="s">
        <v>191</v>
      </c>
      <c r="C2604" s="140" t="s">
        <v>19</v>
      </c>
      <c r="D2604" s="140" t="s">
        <v>11</v>
      </c>
      <c r="E2604" s="140" t="s">
        <v>12</v>
      </c>
      <c r="F2604">
        <v>148317</v>
      </c>
      <c r="G2604" s="140" t="s">
        <v>212</v>
      </c>
      <c r="H2604">
        <v>0</v>
      </c>
      <c r="I2604" s="140" t="s">
        <v>17</v>
      </c>
    </row>
    <row r="2605" spans="1:9" hidden="1" x14ac:dyDescent="0.25">
      <c r="A2605">
        <v>2005</v>
      </c>
      <c r="B2605" s="140" t="s">
        <v>191</v>
      </c>
      <c r="C2605" s="140" t="s">
        <v>19</v>
      </c>
      <c r="D2605" s="140" t="s">
        <v>11</v>
      </c>
      <c r="E2605" s="140" t="s">
        <v>12</v>
      </c>
      <c r="F2605">
        <v>157507</v>
      </c>
      <c r="G2605" s="140" t="s">
        <v>212</v>
      </c>
      <c r="H2605">
        <v>0</v>
      </c>
      <c r="I2605" s="140" t="s">
        <v>17</v>
      </c>
    </row>
    <row r="2606" spans="1:9" hidden="1" x14ac:dyDescent="0.25">
      <c r="A2606">
        <v>2006</v>
      </c>
      <c r="B2606" s="140" t="s">
        <v>191</v>
      </c>
      <c r="C2606" s="140" t="s">
        <v>19</v>
      </c>
      <c r="D2606" s="140" t="s">
        <v>11</v>
      </c>
      <c r="E2606" s="140" t="s">
        <v>12</v>
      </c>
      <c r="F2606">
        <v>164450</v>
      </c>
      <c r="G2606" s="140" t="s">
        <v>212</v>
      </c>
      <c r="H2606">
        <v>0</v>
      </c>
      <c r="I2606" s="140" t="s">
        <v>17</v>
      </c>
    </row>
    <row r="2607" spans="1:9" hidden="1" x14ac:dyDescent="0.25">
      <c r="A2607">
        <v>2007</v>
      </c>
      <c r="B2607" s="140" t="s">
        <v>191</v>
      </c>
      <c r="C2607" s="140" t="s">
        <v>19</v>
      </c>
      <c r="D2607" s="140" t="s">
        <v>11</v>
      </c>
      <c r="E2607" s="140" t="s">
        <v>12</v>
      </c>
      <c r="F2607">
        <v>177507</v>
      </c>
      <c r="G2607" s="140" t="s">
        <v>212</v>
      </c>
      <c r="H2607">
        <v>0</v>
      </c>
      <c r="I2607" s="140" t="s">
        <v>17</v>
      </c>
    </row>
    <row r="2608" spans="1:9" hidden="1" x14ac:dyDescent="0.25">
      <c r="A2608">
        <v>2008</v>
      </c>
      <c r="B2608" s="140" t="s">
        <v>191</v>
      </c>
      <c r="C2608" s="140" t="s">
        <v>19</v>
      </c>
      <c r="D2608" s="140" t="s">
        <v>11</v>
      </c>
      <c r="E2608" s="140" t="s">
        <v>12</v>
      </c>
      <c r="F2608">
        <v>186742</v>
      </c>
      <c r="G2608" s="140" t="s">
        <v>212</v>
      </c>
      <c r="H2608">
        <v>0</v>
      </c>
      <c r="I2608" s="140" t="s">
        <v>17</v>
      </c>
    </row>
    <row r="2609" spans="1:9" hidden="1" x14ac:dyDescent="0.25">
      <c r="A2609">
        <v>2009</v>
      </c>
      <c r="B2609" s="140" t="s">
        <v>191</v>
      </c>
      <c r="C2609" s="140" t="s">
        <v>19</v>
      </c>
      <c r="D2609" s="140" t="s">
        <v>11</v>
      </c>
      <c r="E2609" s="140" t="s">
        <v>12</v>
      </c>
      <c r="F2609">
        <v>177529</v>
      </c>
      <c r="G2609" s="140" t="s">
        <v>212</v>
      </c>
      <c r="H2609">
        <v>0</v>
      </c>
      <c r="I2609" s="140" t="s">
        <v>17</v>
      </c>
    </row>
    <row r="2610" spans="1:9" hidden="1" x14ac:dyDescent="0.25">
      <c r="A2610">
        <v>2010</v>
      </c>
      <c r="B2610" s="140" t="s">
        <v>191</v>
      </c>
      <c r="C2610" s="140" t="s">
        <v>19</v>
      </c>
      <c r="D2610" s="140" t="s">
        <v>11</v>
      </c>
      <c r="E2610" s="140" t="s">
        <v>12</v>
      </c>
      <c r="F2610">
        <v>185349</v>
      </c>
      <c r="G2610" s="140" t="s">
        <v>212</v>
      </c>
      <c r="H2610">
        <v>0</v>
      </c>
      <c r="I2610" s="140" t="s">
        <v>17</v>
      </c>
    </row>
    <row r="2611" spans="1:9" hidden="1" x14ac:dyDescent="0.25">
      <c r="A2611">
        <v>2011</v>
      </c>
      <c r="B2611" s="140" t="s">
        <v>191</v>
      </c>
      <c r="C2611" s="140" t="s">
        <v>19</v>
      </c>
      <c r="D2611" s="140" t="s">
        <v>11</v>
      </c>
      <c r="E2611" s="140" t="s">
        <v>12</v>
      </c>
      <c r="F2611">
        <v>198835</v>
      </c>
      <c r="G2611" s="140" t="s">
        <v>212</v>
      </c>
      <c r="H2611">
        <v>0</v>
      </c>
      <c r="I2611" s="140" t="s">
        <v>17</v>
      </c>
    </row>
    <row r="2612" spans="1:9" hidden="1" x14ac:dyDescent="0.25">
      <c r="A2612">
        <v>2012</v>
      </c>
      <c r="B2612" s="140" t="s">
        <v>191</v>
      </c>
      <c r="C2612" s="140" t="s">
        <v>19</v>
      </c>
      <c r="D2612" s="140" t="s">
        <v>11</v>
      </c>
      <c r="E2612" s="140" t="s">
        <v>12</v>
      </c>
      <c r="F2612">
        <v>203630</v>
      </c>
      <c r="G2612" s="140" t="s">
        <v>212</v>
      </c>
      <c r="H2612">
        <v>0</v>
      </c>
      <c r="I2612" s="140" t="s">
        <v>17</v>
      </c>
    </row>
    <row r="2613" spans="1:9" hidden="1" x14ac:dyDescent="0.25">
      <c r="A2613">
        <v>2013</v>
      </c>
      <c r="B2613" s="140" t="s">
        <v>191</v>
      </c>
      <c r="C2613" s="140" t="s">
        <v>19</v>
      </c>
      <c r="D2613" s="140" t="s">
        <v>11</v>
      </c>
      <c r="E2613" s="140" t="s">
        <v>12</v>
      </c>
      <c r="F2613">
        <v>206155</v>
      </c>
      <c r="G2613" s="140" t="s">
        <v>212</v>
      </c>
      <c r="H2613">
        <v>0</v>
      </c>
      <c r="I2613" s="140" t="s">
        <v>17</v>
      </c>
    </row>
    <row r="2614" spans="1:9" hidden="1" x14ac:dyDescent="0.25">
      <c r="A2614">
        <v>2014</v>
      </c>
      <c r="B2614" s="140" t="s">
        <v>191</v>
      </c>
      <c r="C2614" s="140" t="s">
        <v>19</v>
      </c>
      <c r="D2614" s="140" t="s">
        <v>11</v>
      </c>
      <c r="E2614" s="140" t="s">
        <v>12</v>
      </c>
      <c r="F2614">
        <v>208306</v>
      </c>
      <c r="G2614" s="140" t="s">
        <v>212</v>
      </c>
      <c r="H2614">
        <v>0</v>
      </c>
      <c r="I2614" s="140" t="s">
        <v>17</v>
      </c>
    </row>
    <row r="2615" spans="1:9" hidden="1" x14ac:dyDescent="0.25">
      <c r="A2615">
        <v>2015</v>
      </c>
      <c r="B2615" s="140" t="s">
        <v>191</v>
      </c>
      <c r="C2615" s="140" t="s">
        <v>19</v>
      </c>
      <c r="D2615" s="140" t="s">
        <v>11</v>
      </c>
      <c r="E2615" s="140" t="s">
        <v>12</v>
      </c>
      <c r="F2615">
        <v>211586</v>
      </c>
      <c r="G2615" s="140" t="s">
        <v>212</v>
      </c>
      <c r="H2615">
        <v>0</v>
      </c>
      <c r="I2615" s="140" t="s">
        <v>17</v>
      </c>
    </row>
    <row r="2616" spans="1:9" hidden="1" x14ac:dyDescent="0.25">
      <c r="A2616">
        <v>2016</v>
      </c>
      <c r="B2616" s="140" t="s">
        <v>191</v>
      </c>
      <c r="C2616" s="140" t="s">
        <v>19</v>
      </c>
      <c r="D2616" s="140" t="s">
        <v>11</v>
      </c>
      <c r="E2616" s="140" t="s">
        <v>12</v>
      </c>
      <c r="F2616">
        <v>218627</v>
      </c>
      <c r="G2616" s="140" t="s">
        <v>212</v>
      </c>
      <c r="H2616">
        <v>0</v>
      </c>
      <c r="I2616" s="140" t="s">
        <v>17</v>
      </c>
    </row>
    <row r="2617" spans="1:9" hidden="1" x14ac:dyDescent="0.25">
      <c r="A2617">
        <v>2017</v>
      </c>
      <c r="B2617" s="140" t="s">
        <v>191</v>
      </c>
      <c r="C2617" s="140" t="s">
        <v>19</v>
      </c>
      <c r="D2617" s="140" t="s">
        <v>11</v>
      </c>
      <c r="E2617" s="140" t="s">
        <v>12</v>
      </c>
      <c r="F2617">
        <v>224142</v>
      </c>
      <c r="G2617" s="140" t="s">
        <v>212</v>
      </c>
      <c r="H2617">
        <v>0</v>
      </c>
      <c r="I2617" s="140" t="s">
        <v>17</v>
      </c>
    </row>
    <row r="2618" spans="1:9" hidden="1" x14ac:dyDescent="0.25">
      <c r="A2618">
        <v>2018</v>
      </c>
      <c r="B2618" s="140" t="s">
        <v>191</v>
      </c>
      <c r="C2618" s="140" t="s">
        <v>19</v>
      </c>
      <c r="D2618" s="140" t="s">
        <v>11</v>
      </c>
      <c r="E2618" s="140" t="s">
        <v>12</v>
      </c>
      <c r="F2618">
        <v>233977</v>
      </c>
      <c r="G2618" s="140" t="s">
        <v>212</v>
      </c>
      <c r="H2618">
        <v>0</v>
      </c>
      <c r="I2618" s="140" t="s">
        <v>17</v>
      </c>
    </row>
    <row r="2619" spans="1:9" hidden="1" x14ac:dyDescent="0.25">
      <c r="A2619">
        <v>2019</v>
      </c>
      <c r="B2619" s="140" t="s">
        <v>191</v>
      </c>
      <c r="C2619" s="140" t="s">
        <v>19</v>
      </c>
      <c r="D2619" s="140" t="s">
        <v>11</v>
      </c>
      <c r="E2619" s="140" t="s">
        <v>12</v>
      </c>
      <c r="F2619">
        <v>237080</v>
      </c>
      <c r="G2619" s="140" t="s">
        <v>212</v>
      </c>
      <c r="H2619">
        <v>0</v>
      </c>
      <c r="I2619" s="140" t="s">
        <v>17</v>
      </c>
    </row>
    <row r="2620" spans="1:9" hidden="1" x14ac:dyDescent="0.25">
      <c r="A2620">
        <v>2020</v>
      </c>
      <c r="B2620" s="140" t="s">
        <v>191</v>
      </c>
      <c r="C2620" s="140" t="s">
        <v>19</v>
      </c>
      <c r="D2620" s="140" t="s">
        <v>11</v>
      </c>
      <c r="E2620" s="140" t="s">
        <v>12</v>
      </c>
      <c r="F2620">
        <v>235549</v>
      </c>
      <c r="G2620" s="140" t="s">
        <v>212</v>
      </c>
      <c r="H2620">
        <v>0</v>
      </c>
      <c r="I2620" s="140" t="s">
        <v>17</v>
      </c>
    </row>
    <row r="2621" spans="1:9" hidden="1" x14ac:dyDescent="0.25">
      <c r="A2621">
        <v>2021</v>
      </c>
      <c r="B2621" s="140" t="s">
        <v>191</v>
      </c>
      <c r="C2621" s="140" t="s">
        <v>19</v>
      </c>
      <c r="D2621" s="140" t="s">
        <v>11</v>
      </c>
      <c r="E2621" s="140" t="s">
        <v>12</v>
      </c>
      <c r="F2621">
        <v>248629</v>
      </c>
      <c r="G2621" s="140" t="s">
        <v>212</v>
      </c>
      <c r="H2621">
        <v>0</v>
      </c>
      <c r="I2621" s="140" t="s">
        <v>17</v>
      </c>
    </row>
    <row r="2622" spans="1:9" hidden="1" x14ac:dyDescent="0.25">
      <c r="A2622">
        <v>2022</v>
      </c>
      <c r="B2622" s="140" t="s">
        <v>191</v>
      </c>
      <c r="C2622" s="140" t="s">
        <v>19</v>
      </c>
      <c r="D2622" s="140" t="s">
        <v>11</v>
      </c>
      <c r="E2622" s="140" t="s">
        <v>12</v>
      </c>
      <c r="F2622">
        <v>271439</v>
      </c>
      <c r="G2622" s="140" t="s">
        <v>212</v>
      </c>
      <c r="H2622">
        <v>0</v>
      </c>
      <c r="I2622" s="140" t="s">
        <v>17</v>
      </c>
    </row>
    <row r="2623" spans="1:9" hidden="1" x14ac:dyDescent="0.25">
      <c r="A2623">
        <v>2023</v>
      </c>
      <c r="B2623" s="140" t="s">
        <v>191</v>
      </c>
      <c r="C2623" s="140" t="s">
        <v>19</v>
      </c>
      <c r="D2623" s="140" t="s">
        <v>11</v>
      </c>
      <c r="E2623" s="140" t="s">
        <v>12</v>
      </c>
      <c r="F2623">
        <v>272943</v>
      </c>
      <c r="G2623" s="140" t="s">
        <v>212</v>
      </c>
      <c r="H2623">
        <v>0</v>
      </c>
      <c r="I2623" s="140" t="s">
        <v>17</v>
      </c>
    </row>
    <row r="2624" spans="1:9" hidden="1" x14ac:dyDescent="0.25">
      <c r="A2624">
        <v>2024</v>
      </c>
      <c r="B2624" s="140" t="s">
        <v>191</v>
      </c>
      <c r="C2624" s="140" t="s">
        <v>19</v>
      </c>
      <c r="D2624" s="140" t="s">
        <v>11</v>
      </c>
      <c r="E2624" s="140" t="s">
        <v>12</v>
      </c>
      <c r="F2624">
        <v>276171</v>
      </c>
      <c r="G2624" s="140" t="s">
        <v>212</v>
      </c>
      <c r="H2624">
        <v>0</v>
      </c>
      <c r="I2624" s="140" t="s">
        <v>17</v>
      </c>
    </row>
    <row r="2625" spans="1:9" hidden="1" x14ac:dyDescent="0.25">
      <c r="A2625">
        <v>2025</v>
      </c>
      <c r="B2625" s="140" t="s">
        <v>191</v>
      </c>
      <c r="C2625" s="140" t="s">
        <v>19</v>
      </c>
      <c r="D2625" s="140" t="s">
        <v>11</v>
      </c>
      <c r="E2625" s="140" t="s">
        <v>12</v>
      </c>
      <c r="F2625">
        <v>278382</v>
      </c>
      <c r="G2625" s="140" t="s">
        <v>212</v>
      </c>
      <c r="H2625">
        <v>0</v>
      </c>
      <c r="I2625" s="140" t="s">
        <v>17</v>
      </c>
    </row>
    <row r="2626" spans="1:9" hidden="1" x14ac:dyDescent="0.25">
      <c r="A2626">
        <v>2026</v>
      </c>
      <c r="B2626" s="140" t="s">
        <v>191</v>
      </c>
      <c r="C2626" s="140" t="s">
        <v>19</v>
      </c>
      <c r="D2626" s="140" t="s">
        <v>11</v>
      </c>
      <c r="E2626" s="140" t="s">
        <v>12</v>
      </c>
      <c r="F2626">
        <v>291469.804</v>
      </c>
      <c r="G2626" s="140" t="s">
        <v>212</v>
      </c>
      <c r="H2626">
        <v>0</v>
      </c>
      <c r="I2626" s="140" t="s">
        <v>17</v>
      </c>
    </row>
    <row r="2627" spans="1:9" hidden="1" x14ac:dyDescent="0.25">
      <c r="A2627">
        <v>2027</v>
      </c>
      <c r="B2627" s="140" t="s">
        <v>191</v>
      </c>
      <c r="C2627" s="140" t="s">
        <v>19</v>
      </c>
      <c r="D2627" s="140" t="s">
        <v>11</v>
      </c>
      <c r="E2627" s="140" t="s">
        <v>12</v>
      </c>
      <c r="F2627">
        <v>302893.01309999998</v>
      </c>
      <c r="G2627" s="140" t="s">
        <v>212</v>
      </c>
      <c r="H2627">
        <v>0</v>
      </c>
      <c r="I2627" s="140" t="s">
        <v>17</v>
      </c>
    </row>
    <row r="2628" spans="1:9" hidden="1" x14ac:dyDescent="0.25">
      <c r="A2628">
        <v>2028</v>
      </c>
      <c r="B2628" s="140" t="s">
        <v>191</v>
      </c>
      <c r="C2628" s="140" t="s">
        <v>19</v>
      </c>
      <c r="D2628" s="140" t="s">
        <v>11</v>
      </c>
      <c r="E2628" s="140" t="s">
        <v>12</v>
      </c>
      <c r="F2628">
        <v>315877.25689999998</v>
      </c>
      <c r="G2628" s="140" t="s">
        <v>212</v>
      </c>
      <c r="H2628">
        <v>0</v>
      </c>
      <c r="I2628" s="140" t="s">
        <v>17</v>
      </c>
    </row>
    <row r="2629" spans="1:9" hidden="1" x14ac:dyDescent="0.25">
      <c r="A2629">
        <v>2029</v>
      </c>
      <c r="B2629" s="140" t="s">
        <v>191</v>
      </c>
      <c r="C2629" s="140" t="s">
        <v>19</v>
      </c>
      <c r="D2629" s="140" t="s">
        <v>11</v>
      </c>
      <c r="E2629" s="140" t="s">
        <v>12</v>
      </c>
      <c r="F2629">
        <v>328601.8334</v>
      </c>
      <c r="G2629" s="140" t="s">
        <v>212</v>
      </c>
      <c r="H2629">
        <v>0</v>
      </c>
      <c r="I2629" s="140" t="s">
        <v>17</v>
      </c>
    </row>
    <row r="2630" spans="1:9" hidden="1" x14ac:dyDescent="0.25">
      <c r="A2630">
        <v>2030</v>
      </c>
      <c r="B2630" s="140" t="s">
        <v>191</v>
      </c>
      <c r="C2630" s="140" t="s">
        <v>19</v>
      </c>
      <c r="D2630" s="140" t="s">
        <v>11</v>
      </c>
      <c r="E2630" s="140" t="s">
        <v>12</v>
      </c>
      <c r="F2630">
        <v>340825.19929999998</v>
      </c>
      <c r="G2630" s="140" t="s">
        <v>212</v>
      </c>
      <c r="H2630">
        <v>0</v>
      </c>
      <c r="I2630" s="140" t="s">
        <v>17</v>
      </c>
    </row>
    <row r="2631" spans="1:9" hidden="1" x14ac:dyDescent="0.25">
      <c r="A2631">
        <v>1990</v>
      </c>
      <c r="B2631" s="140" t="s">
        <v>191</v>
      </c>
      <c r="C2631" s="140" t="s">
        <v>20</v>
      </c>
      <c r="D2631" s="140" t="s">
        <v>11</v>
      </c>
      <c r="E2631" s="140" t="s">
        <v>12</v>
      </c>
      <c r="F2631">
        <v>152661</v>
      </c>
      <c r="G2631" s="140" t="s">
        <v>212</v>
      </c>
      <c r="H2631">
        <v>0</v>
      </c>
      <c r="I2631" s="140" t="s">
        <v>17</v>
      </c>
    </row>
    <row r="2632" spans="1:9" hidden="1" x14ac:dyDescent="0.25">
      <c r="A2632">
        <v>1991</v>
      </c>
      <c r="B2632" s="140" t="s">
        <v>191</v>
      </c>
      <c r="C2632" s="140" t="s">
        <v>20</v>
      </c>
      <c r="D2632" s="140" t="s">
        <v>11</v>
      </c>
      <c r="E2632" s="140" t="s">
        <v>12</v>
      </c>
      <c r="F2632">
        <v>140299</v>
      </c>
      <c r="G2632" s="140" t="s">
        <v>212</v>
      </c>
      <c r="H2632">
        <v>0</v>
      </c>
      <c r="I2632" s="140" t="s">
        <v>17</v>
      </c>
    </row>
    <row r="2633" spans="1:9" hidden="1" x14ac:dyDescent="0.25">
      <c r="A2633">
        <v>1992</v>
      </c>
      <c r="B2633" s="140" t="s">
        <v>191</v>
      </c>
      <c r="C2633" s="140" t="s">
        <v>20</v>
      </c>
      <c r="D2633" s="140" t="s">
        <v>11</v>
      </c>
      <c r="E2633" s="140" t="s">
        <v>12</v>
      </c>
      <c r="F2633">
        <v>132248</v>
      </c>
      <c r="G2633" s="140" t="s">
        <v>212</v>
      </c>
      <c r="H2633">
        <v>0</v>
      </c>
      <c r="I2633" s="140" t="s">
        <v>17</v>
      </c>
    </row>
    <row r="2634" spans="1:9" hidden="1" x14ac:dyDescent="0.25">
      <c r="A2634">
        <v>1993</v>
      </c>
      <c r="B2634" s="140" t="s">
        <v>191</v>
      </c>
      <c r="C2634" s="140" t="s">
        <v>20</v>
      </c>
      <c r="D2634" s="140" t="s">
        <v>11</v>
      </c>
      <c r="E2634" s="140" t="s">
        <v>12</v>
      </c>
      <c r="F2634">
        <v>126032</v>
      </c>
      <c r="G2634" s="140" t="s">
        <v>212</v>
      </c>
      <c r="H2634">
        <v>0</v>
      </c>
      <c r="I2634" s="140" t="s">
        <v>17</v>
      </c>
    </row>
    <row r="2635" spans="1:9" hidden="1" x14ac:dyDescent="0.25">
      <c r="A2635">
        <v>1994</v>
      </c>
      <c r="B2635" s="140" t="s">
        <v>191</v>
      </c>
      <c r="C2635" s="140" t="s">
        <v>20</v>
      </c>
      <c r="D2635" s="140" t="s">
        <v>11</v>
      </c>
      <c r="E2635" s="140" t="s">
        <v>12</v>
      </c>
      <c r="F2635">
        <v>130802</v>
      </c>
      <c r="G2635" s="140" t="s">
        <v>212</v>
      </c>
      <c r="H2635">
        <v>0</v>
      </c>
      <c r="I2635" s="140" t="s">
        <v>17</v>
      </c>
    </row>
    <row r="2636" spans="1:9" hidden="1" x14ac:dyDescent="0.25">
      <c r="A2636">
        <v>1995</v>
      </c>
      <c r="B2636" s="140" t="s">
        <v>191</v>
      </c>
      <c r="C2636" s="140" t="s">
        <v>20</v>
      </c>
      <c r="D2636" s="140" t="s">
        <v>11</v>
      </c>
      <c r="E2636" s="140" t="s">
        <v>12</v>
      </c>
      <c r="F2636">
        <v>138672</v>
      </c>
      <c r="G2636" s="140" t="s">
        <v>212</v>
      </c>
      <c r="H2636">
        <v>0</v>
      </c>
      <c r="I2636" s="140" t="s">
        <v>17</v>
      </c>
    </row>
    <row r="2637" spans="1:9" hidden="1" x14ac:dyDescent="0.25">
      <c r="A2637">
        <v>1996</v>
      </c>
      <c r="B2637" s="140" t="s">
        <v>191</v>
      </c>
      <c r="C2637" s="140" t="s">
        <v>20</v>
      </c>
      <c r="D2637" s="140" t="s">
        <v>11</v>
      </c>
      <c r="E2637" s="140" t="s">
        <v>12</v>
      </c>
      <c r="F2637">
        <v>143109</v>
      </c>
      <c r="G2637" s="140" t="s">
        <v>212</v>
      </c>
      <c r="H2637">
        <v>0</v>
      </c>
      <c r="I2637" s="140" t="s">
        <v>17</v>
      </c>
    </row>
    <row r="2638" spans="1:9" hidden="1" x14ac:dyDescent="0.25">
      <c r="A2638">
        <v>1997</v>
      </c>
      <c r="B2638" s="140" t="s">
        <v>191</v>
      </c>
      <c r="C2638" s="140" t="s">
        <v>20</v>
      </c>
      <c r="D2638" s="140" t="s">
        <v>11</v>
      </c>
      <c r="E2638" s="140" t="s">
        <v>12</v>
      </c>
      <c r="F2638">
        <v>151378</v>
      </c>
      <c r="G2638" s="140" t="s">
        <v>212</v>
      </c>
      <c r="H2638">
        <v>0</v>
      </c>
      <c r="I2638" s="140" t="s">
        <v>17</v>
      </c>
    </row>
    <row r="2639" spans="1:9" hidden="1" x14ac:dyDescent="0.25">
      <c r="A2639">
        <v>1998</v>
      </c>
      <c r="B2639" s="140" t="s">
        <v>191</v>
      </c>
      <c r="C2639" s="140" t="s">
        <v>20</v>
      </c>
      <c r="D2639" s="140" t="s">
        <v>11</v>
      </c>
      <c r="E2639" s="140" t="s">
        <v>12</v>
      </c>
      <c r="F2639">
        <v>160563</v>
      </c>
      <c r="G2639" s="140" t="s">
        <v>212</v>
      </c>
      <c r="H2639">
        <v>0</v>
      </c>
      <c r="I2639" s="140" t="s">
        <v>17</v>
      </c>
    </row>
    <row r="2640" spans="1:9" hidden="1" x14ac:dyDescent="0.25">
      <c r="A2640">
        <v>1999</v>
      </c>
      <c r="B2640" s="140" t="s">
        <v>191</v>
      </c>
      <c r="C2640" s="140" t="s">
        <v>20</v>
      </c>
      <c r="D2640" s="140" t="s">
        <v>11</v>
      </c>
      <c r="E2640" s="140" t="s">
        <v>12</v>
      </c>
      <c r="F2640">
        <v>164201</v>
      </c>
      <c r="G2640" s="140" t="s">
        <v>212</v>
      </c>
      <c r="H2640">
        <v>0</v>
      </c>
      <c r="I2640" s="140" t="s">
        <v>17</v>
      </c>
    </row>
    <row r="2641" spans="1:9" hidden="1" x14ac:dyDescent="0.25">
      <c r="A2641">
        <v>2000</v>
      </c>
      <c r="B2641" s="140" t="s">
        <v>191</v>
      </c>
      <c r="C2641" s="140" t="s">
        <v>20</v>
      </c>
      <c r="D2641" s="140" t="s">
        <v>11</v>
      </c>
      <c r="E2641" s="140" t="s">
        <v>12</v>
      </c>
      <c r="F2641">
        <v>170870</v>
      </c>
      <c r="G2641" s="140" t="s">
        <v>212</v>
      </c>
      <c r="H2641">
        <v>0</v>
      </c>
      <c r="I2641" s="140" t="s">
        <v>17</v>
      </c>
    </row>
    <row r="2642" spans="1:9" hidden="1" x14ac:dyDescent="0.25">
      <c r="A2642">
        <v>2001</v>
      </c>
      <c r="B2642" s="140" t="s">
        <v>191</v>
      </c>
      <c r="C2642" s="140" t="s">
        <v>20</v>
      </c>
      <c r="D2642" s="140" t="s">
        <v>11</v>
      </c>
      <c r="E2642" s="140" t="s">
        <v>12</v>
      </c>
      <c r="F2642">
        <v>174123</v>
      </c>
      <c r="G2642" s="140" t="s">
        <v>212</v>
      </c>
      <c r="H2642">
        <v>0</v>
      </c>
      <c r="I2642" s="140" t="s">
        <v>17</v>
      </c>
    </row>
    <row r="2643" spans="1:9" hidden="1" x14ac:dyDescent="0.25">
      <c r="A2643">
        <v>2002</v>
      </c>
      <c r="B2643" s="140" t="s">
        <v>191</v>
      </c>
      <c r="C2643" s="140" t="s">
        <v>20</v>
      </c>
      <c r="D2643" s="140" t="s">
        <v>11</v>
      </c>
      <c r="E2643" s="140" t="s">
        <v>12</v>
      </c>
      <c r="F2643">
        <v>176393</v>
      </c>
      <c r="G2643" s="140" t="s">
        <v>212</v>
      </c>
      <c r="H2643">
        <v>0</v>
      </c>
      <c r="I2643" s="140" t="s">
        <v>17</v>
      </c>
    </row>
    <row r="2644" spans="1:9" hidden="1" x14ac:dyDescent="0.25">
      <c r="A2644">
        <v>2003</v>
      </c>
      <c r="B2644" s="140" t="s">
        <v>191</v>
      </c>
      <c r="C2644" s="140" t="s">
        <v>20</v>
      </c>
      <c r="D2644" s="140" t="s">
        <v>11</v>
      </c>
      <c r="E2644" s="140" t="s">
        <v>12</v>
      </c>
      <c r="F2644">
        <v>181882</v>
      </c>
      <c r="G2644" s="140" t="s">
        <v>212</v>
      </c>
      <c r="H2644">
        <v>0</v>
      </c>
      <c r="I2644" s="140" t="s">
        <v>17</v>
      </c>
    </row>
    <row r="2645" spans="1:9" hidden="1" x14ac:dyDescent="0.25">
      <c r="A2645">
        <v>2004</v>
      </c>
      <c r="B2645" s="140" t="s">
        <v>191</v>
      </c>
      <c r="C2645" s="140" t="s">
        <v>20</v>
      </c>
      <c r="D2645" s="140" t="s">
        <v>11</v>
      </c>
      <c r="E2645" s="140" t="s">
        <v>12</v>
      </c>
      <c r="F2645">
        <v>188560</v>
      </c>
      <c r="G2645" s="140" t="s">
        <v>212</v>
      </c>
      <c r="H2645">
        <v>0</v>
      </c>
      <c r="I2645" s="140" t="s">
        <v>17</v>
      </c>
    </row>
    <row r="2646" spans="1:9" hidden="1" x14ac:dyDescent="0.25">
      <c r="A2646">
        <v>2005</v>
      </c>
      <c r="B2646" s="140" t="s">
        <v>191</v>
      </c>
      <c r="C2646" s="140" t="s">
        <v>20</v>
      </c>
      <c r="D2646" s="140" t="s">
        <v>11</v>
      </c>
      <c r="E2646" s="140" t="s">
        <v>12</v>
      </c>
      <c r="F2646">
        <v>196266</v>
      </c>
      <c r="G2646" s="140" t="s">
        <v>212</v>
      </c>
      <c r="H2646">
        <v>0</v>
      </c>
      <c r="I2646" s="140" t="s">
        <v>17</v>
      </c>
    </row>
    <row r="2647" spans="1:9" hidden="1" x14ac:dyDescent="0.25">
      <c r="A2647">
        <v>2006</v>
      </c>
      <c r="B2647" s="140" t="s">
        <v>191</v>
      </c>
      <c r="C2647" s="140" t="s">
        <v>20</v>
      </c>
      <c r="D2647" s="140" t="s">
        <v>11</v>
      </c>
      <c r="E2647" s="140" t="s">
        <v>12</v>
      </c>
      <c r="F2647">
        <v>200641</v>
      </c>
      <c r="G2647" s="140" t="s">
        <v>212</v>
      </c>
      <c r="H2647">
        <v>0</v>
      </c>
      <c r="I2647" s="140" t="s">
        <v>17</v>
      </c>
    </row>
    <row r="2648" spans="1:9" hidden="1" x14ac:dyDescent="0.25">
      <c r="A2648">
        <v>2007</v>
      </c>
      <c r="B2648" s="140" t="s">
        <v>191</v>
      </c>
      <c r="C2648" s="140" t="s">
        <v>20</v>
      </c>
      <c r="D2648" s="140" t="s">
        <v>11</v>
      </c>
      <c r="E2648" s="140" t="s">
        <v>12</v>
      </c>
      <c r="F2648">
        <v>210226</v>
      </c>
      <c r="G2648" s="140" t="s">
        <v>212</v>
      </c>
      <c r="H2648">
        <v>0</v>
      </c>
      <c r="I2648" s="140" t="s">
        <v>17</v>
      </c>
    </row>
    <row r="2649" spans="1:9" hidden="1" x14ac:dyDescent="0.25">
      <c r="A2649">
        <v>2008</v>
      </c>
      <c r="B2649" s="140" t="s">
        <v>191</v>
      </c>
      <c r="C2649" s="140" t="s">
        <v>20</v>
      </c>
      <c r="D2649" s="140" t="s">
        <v>11</v>
      </c>
      <c r="E2649" s="140" t="s">
        <v>12</v>
      </c>
      <c r="F2649">
        <v>212351</v>
      </c>
      <c r="G2649" s="140" t="s">
        <v>212</v>
      </c>
      <c r="H2649">
        <v>0</v>
      </c>
      <c r="I2649" s="140" t="s">
        <v>17</v>
      </c>
    </row>
    <row r="2650" spans="1:9" hidden="1" x14ac:dyDescent="0.25">
      <c r="A2650">
        <v>2009</v>
      </c>
      <c r="B2650" s="140" t="s">
        <v>191</v>
      </c>
      <c r="C2650" s="140" t="s">
        <v>20</v>
      </c>
      <c r="D2650" s="140" t="s">
        <v>11</v>
      </c>
      <c r="E2650" s="140" t="s">
        <v>12</v>
      </c>
      <c r="F2650">
        <v>198721</v>
      </c>
      <c r="G2650" s="140" t="s">
        <v>212</v>
      </c>
      <c r="H2650">
        <v>0</v>
      </c>
      <c r="I2650" s="140" t="s">
        <v>17</v>
      </c>
    </row>
    <row r="2651" spans="1:9" hidden="1" x14ac:dyDescent="0.25">
      <c r="A2651">
        <v>2010</v>
      </c>
      <c r="B2651" s="140" t="s">
        <v>191</v>
      </c>
      <c r="C2651" s="140" t="s">
        <v>20</v>
      </c>
      <c r="D2651" s="140" t="s">
        <v>11</v>
      </c>
      <c r="E2651" s="140" t="s">
        <v>12</v>
      </c>
      <c r="F2651">
        <v>205751</v>
      </c>
      <c r="G2651" s="140" t="s">
        <v>212</v>
      </c>
      <c r="H2651">
        <v>0</v>
      </c>
      <c r="I2651" s="140" t="s">
        <v>17</v>
      </c>
    </row>
    <row r="2652" spans="1:9" hidden="1" x14ac:dyDescent="0.25">
      <c r="A2652">
        <v>2011</v>
      </c>
      <c r="B2652" s="140" t="s">
        <v>191</v>
      </c>
      <c r="C2652" s="140" t="s">
        <v>20</v>
      </c>
      <c r="D2652" s="140" t="s">
        <v>11</v>
      </c>
      <c r="E2652" s="140" t="s">
        <v>12</v>
      </c>
      <c r="F2652">
        <v>213529</v>
      </c>
      <c r="G2652" s="140" t="s">
        <v>212</v>
      </c>
      <c r="H2652">
        <v>0</v>
      </c>
      <c r="I2652" s="140" t="s">
        <v>17</v>
      </c>
    </row>
    <row r="2653" spans="1:9" hidden="1" x14ac:dyDescent="0.25">
      <c r="A2653">
        <v>2012</v>
      </c>
      <c r="B2653" s="140" t="s">
        <v>191</v>
      </c>
      <c r="C2653" s="140" t="s">
        <v>20</v>
      </c>
      <c r="D2653" s="140" t="s">
        <v>11</v>
      </c>
      <c r="E2653" s="140" t="s">
        <v>12</v>
      </c>
      <c r="F2653">
        <v>211552</v>
      </c>
      <c r="G2653" s="140" t="s">
        <v>212</v>
      </c>
      <c r="H2653">
        <v>0</v>
      </c>
      <c r="I2653" s="140" t="s">
        <v>17</v>
      </c>
    </row>
    <row r="2654" spans="1:9" hidden="1" x14ac:dyDescent="0.25">
      <c r="A2654">
        <v>2013</v>
      </c>
      <c r="B2654" s="140" t="s">
        <v>191</v>
      </c>
      <c r="C2654" s="140" t="s">
        <v>20</v>
      </c>
      <c r="D2654" s="140" t="s">
        <v>11</v>
      </c>
      <c r="E2654" s="140" t="s">
        <v>12</v>
      </c>
      <c r="F2654">
        <v>209534</v>
      </c>
      <c r="G2654" s="140" t="s">
        <v>212</v>
      </c>
      <c r="H2654">
        <v>0</v>
      </c>
      <c r="I2654" s="140" t="s">
        <v>17</v>
      </c>
    </row>
    <row r="2655" spans="1:9" hidden="1" x14ac:dyDescent="0.25">
      <c r="A2655">
        <v>2014</v>
      </c>
      <c r="B2655" s="140" t="s">
        <v>191</v>
      </c>
      <c r="C2655" s="140" t="s">
        <v>20</v>
      </c>
      <c r="D2655" s="140" t="s">
        <v>11</v>
      </c>
      <c r="E2655" s="140" t="s">
        <v>12</v>
      </c>
      <c r="F2655">
        <v>209271</v>
      </c>
      <c r="G2655" s="140" t="s">
        <v>212</v>
      </c>
      <c r="H2655">
        <v>0</v>
      </c>
      <c r="I2655" s="140" t="s">
        <v>17</v>
      </c>
    </row>
    <row r="2656" spans="1:9" hidden="1" x14ac:dyDescent="0.25">
      <c r="A2656">
        <v>2015</v>
      </c>
      <c r="B2656" s="140" t="s">
        <v>191</v>
      </c>
      <c r="C2656" s="140" t="s">
        <v>20</v>
      </c>
      <c r="D2656" s="140" t="s">
        <v>11</v>
      </c>
      <c r="E2656" s="140" t="s">
        <v>12</v>
      </c>
      <c r="F2656">
        <v>211586</v>
      </c>
      <c r="G2656" s="140" t="s">
        <v>212</v>
      </c>
      <c r="H2656">
        <v>0</v>
      </c>
      <c r="I2656" s="140" t="s">
        <v>17</v>
      </c>
    </row>
    <row r="2657" spans="1:9" hidden="1" x14ac:dyDescent="0.25">
      <c r="A2657">
        <v>2016</v>
      </c>
      <c r="B2657" s="140" t="s">
        <v>191</v>
      </c>
      <c r="C2657" s="140" t="s">
        <v>20</v>
      </c>
      <c r="D2657" s="140" t="s">
        <v>11</v>
      </c>
      <c r="E2657" s="140" t="s">
        <v>12</v>
      </c>
      <c r="F2657">
        <v>218366</v>
      </c>
      <c r="G2657" s="140" t="s">
        <v>212</v>
      </c>
      <c r="H2657">
        <v>0</v>
      </c>
      <c r="I2657" s="140" t="s">
        <v>17</v>
      </c>
    </row>
    <row r="2658" spans="1:9" hidden="1" x14ac:dyDescent="0.25">
      <c r="A2658">
        <v>2017</v>
      </c>
      <c r="B2658" s="140" t="s">
        <v>191</v>
      </c>
      <c r="C2658" s="140" t="s">
        <v>20</v>
      </c>
      <c r="D2658" s="140" t="s">
        <v>11</v>
      </c>
      <c r="E2658" s="140" t="s">
        <v>12</v>
      </c>
      <c r="F2658">
        <v>221643</v>
      </c>
      <c r="G2658" s="140" t="s">
        <v>212</v>
      </c>
      <c r="H2658">
        <v>0</v>
      </c>
      <c r="I2658" s="140" t="s">
        <v>17</v>
      </c>
    </row>
    <row r="2659" spans="1:9" hidden="1" x14ac:dyDescent="0.25">
      <c r="A2659">
        <v>2018</v>
      </c>
      <c r="B2659" s="140" t="s">
        <v>191</v>
      </c>
      <c r="C2659" s="140" t="s">
        <v>20</v>
      </c>
      <c r="D2659" s="140" t="s">
        <v>11</v>
      </c>
      <c r="E2659" s="140" t="s">
        <v>12</v>
      </c>
      <c r="F2659">
        <v>227463</v>
      </c>
      <c r="G2659" s="140" t="s">
        <v>212</v>
      </c>
      <c r="H2659">
        <v>0</v>
      </c>
      <c r="I2659" s="140" t="s">
        <v>17</v>
      </c>
    </row>
    <row r="2660" spans="1:9" hidden="1" x14ac:dyDescent="0.25">
      <c r="A2660">
        <v>2019</v>
      </c>
      <c r="B2660" s="140" t="s">
        <v>191</v>
      </c>
      <c r="C2660" s="140" t="s">
        <v>20</v>
      </c>
      <c r="D2660" s="140" t="s">
        <v>11</v>
      </c>
      <c r="E2660" s="140" t="s">
        <v>12</v>
      </c>
      <c r="F2660">
        <v>226555</v>
      </c>
      <c r="G2660" s="140" t="s">
        <v>212</v>
      </c>
      <c r="H2660">
        <v>0</v>
      </c>
      <c r="I2660" s="140" t="s">
        <v>17</v>
      </c>
    </row>
    <row r="2661" spans="1:9" hidden="1" x14ac:dyDescent="0.25">
      <c r="A2661">
        <v>2020</v>
      </c>
      <c r="B2661" s="140" t="s">
        <v>191</v>
      </c>
      <c r="C2661" s="140" t="s">
        <v>20</v>
      </c>
      <c r="D2661" s="140" t="s">
        <v>11</v>
      </c>
      <c r="E2661" s="140" t="s">
        <v>12</v>
      </c>
      <c r="F2661">
        <v>222650</v>
      </c>
      <c r="G2661" s="140" t="s">
        <v>212</v>
      </c>
      <c r="H2661">
        <v>0</v>
      </c>
      <c r="I2661" s="140" t="s">
        <v>17</v>
      </c>
    </row>
    <row r="2662" spans="1:9" hidden="1" x14ac:dyDescent="0.25">
      <c r="A2662">
        <v>2021</v>
      </c>
      <c r="B2662" s="140" t="s">
        <v>191</v>
      </c>
      <c r="C2662" s="140" t="s">
        <v>20</v>
      </c>
      <c r="D2662" s="140" t="s">
        <v>11</v>
      </c>
      <c r="E2662" s="140" t="s">
        <v>12</v>
      </c>
      <c r="F2662">
        <v>229658</v>
      </c>
      <c r="G2662" s="140" t="s">
        <v>212</v>
      </c>
      <c r="H2662">
        <v>0</v>
      </c>
      <c r="I2662" s="140" t="s">
        <v>17</v>
      </c>
    </row>
    <row r="2663" spans="1:9" hidden="1" x14ac:dyDescent="0.25">
      <c r="A2663">
        <v>2022</v>
      </c>
      <c r="B2663" s="140" t="s">
        <v>191</v>
      </c>
      <c r="C2663" s="140" t="s">
        <v>20</v>
      </c>
      <c r="D2663" s="140" t="s">
        <v>11</v>
      </c>
      <c r="E2663" s="140" t="s">
        <v>12</v>
      </c>
      <c r="F2663">
        <v>235826</v>
      </c>
      <c r="G2663" s="140" t="s">
        <v>212</v>
      </c>
      <c r="H2663">
        <v>0</v>
      </c>
      <c r="I2663" s="140" t="s">
        <v>17</v>
      </c>
    </row>
    <row r="2664" spans="1:9" hidden="1" x14ac:dyDescent="0.25">
      <c r="A2664">
        <v>2023</v>
      </c>
      <c r="B2664" s="140" t="s">
        <v>191</v>
      </c>
      <c r="C2664" s="140" t="s">
        <v>20</v>
      </c>
      <c r="D2664" s="140" t="s">
        <v>11</v>
      </c>
      <c r="E2664" s="140" t="s">
        <v>12</v>
      </c>
      <c r="F2664">
        <v>226670</v>
      </c>
      <c r="G2664" s="140" t="s">
        <v>212</v>
      </c>
      <c r="H2664">
        <v>0</v>
      </c>
      <c r="I2664" s="140" t="s">
        <v>17</v>
      </c>
    </row>
    <row r="2665" spans="1:9" hidden="1" x14ac:dyDescent="0.25">
      <c r="A2665">
        <v>2024</v>
      </c>
      <c r="B2665" s="140" t="s">
        <v>191</v>
      </c>
      <c r="C2665" s="140" t="s">
        <v>20</v>
      </c>
      <c r="D2665" s="140" t="s">
        <v>11</v>
      </c>
      <c r="E2665" s="140" t="s">
        <v>12</v>
      </c>
      <c r="F2665">
        <v>227314</v>
      </c>
      <c r="G2665" s="140" t="s">
        <v>212</v>
      </c>
      <c r="H2665">
        <v>0</v>
      </c>
      <c r="I2665" s="140" t="s">
        <v>17</v>
      </c>
    </row>
    <row r="2666" spans="1:9" hidden="1" x14ac:dyDescent="0.25">
      <c r="A2666">
        <v>2025</v>
      </c>
      <c r="B2666" s="140" t="s">
        <v>191</v>
      </c>
      <c r="C2666" s="140" t="s">
        <v>20</v>
      </c>
      <c r="D2666" s="140" t="s">
        <v>11</v>
      </c>
      <c r="E2666" s="140" t="s">
        <v>12</v>
      </c>
      <c r="F2666">
        <v>226862</v>
      </c>
      <c r="G2666" s="140" t="s">
        <v>212</v>
      </c>
      <c r="H2666">
        <v>0</v>
      </c>
      <c r="I2666" s="140" t="s">
        <v>17</v>
      </c>
    </row>
    <row r="2667" spans="1:9" hidden="1" x14ac:dyDescent="0.25">
      <c r="A2667">
        <v>2026</v>
      </c>
      <c r="B2667" s="140" t="s">
        <v>191</v>
      </c>
      <c r="C2667" s="140" t="s">
        <v>20</v>
      </c>
      <c r="D2667" s="140" t="s">
        <v>11</v>
      </c>
      <c r="E2667" s="140" t="s">
        <v>12</v>
      </c>
      <c r="F2667">
        <v>232091.83900000001</v>
      </c>
      <c r="G2667" s="140" t="s">
        <v>212</v>
      </c>
      <c r="H2667">
        <v>0</v>
      </c>
      <c r="I2667" s="140" t="s">
        <v>17</v>
      </c>
    </row>
    <row r="2668" spans="1:9" hidden="1" x14ac:dyDescent="0.25">
      <c r="A2668">
        <v>2027</v>
      </c>
      <c r="B2668" s="140" t="s">
        <v>191</v>
      </c>
      <c r="C2668" s="140" t="s">
        <v>20</v>
      </c>
      <c r="D2668" s="140" t="s">
        <v>11</v>
      </c>
      <c r="E2668" s="140" t="s">
        <v>12</v>
      </c>
      <c r="F2668">
        <v>236357.72930000001</v>
      </c>
      <c r="G2668" s="140" t="s">
        <v>212</v>
      </c>
      <c r="H2668">
        <v>0</v>
      </c>
      <c r="I2668" s="140" t="s">
        <v>17</v>
      </c>
    </row>
    <row r="2669" spans="1:9" hidden="1" x14ac:dyDescent="0.25">
      <c r="A2669">
        <v>2028</v>
      </c>
      <c r="B2669" s="140" t="s">
        <v>191</v>
      </c>
      <c r="C2669" s="140" t="s">
        <v>20</v>
      </c>
      <c r="D2669" s="140" t="s">
        <v>11</v>
      </c>
      <c r="E2669" s="140" t="s">
        <v>12</v>
      </c>
      <c r="F2669">
        <v>240544.2193</v>
      </c>
      <c r="G2669" s="140" t="s">
        <v>212</v>
      </c>
      <c r="H2669">
        <v>0</v>
      </c>
      <c r="I2669" s="140" t="s">
        <v>17</v>
      </c>
    </row>
    <row r="2670" spans="1:9" hidden="1" x14ac:dyDescent="0.25">
      <c r="A2670">
        <v>2029</v>
      </c>
      <c r="B2670" s="140" t="s">
        <v>191</v>
      </c>
      <c r="C2670" s="140" t="s">
        <v>20</v>
      </c>
      <c r="D2670" s="140" t="s">
        <v>11</v>
      </c>
      <c r="E2670" s="140" t="s">
        <v>12</v>
      </c>
      <c r="F2670">
        <v>244901.70509999999</v>
      </c>
      <c r="G2670" s="140" t="s">
        <v>212</v>
      </c>
      <c r="H2670">
        <v>0</v>
      </c>
      <c r="I2670" s="140" t="s">
        <v>17</v>
      </c>
    </row>
    <row r="2671" spans="1:9" hidden="1" x14ac:dyDescent="0.25">
      <c r="A2671">
        <v>2030</v>
      </c>
      <c r="B2671" s="140" t="s">
        <v>191</v>
      </c>
      <c r="C2671" s="140" t="s">
        <v>20</v>
      </c>
      <c r="D2671" s="140" t="s">
        <v>11</v>
      </c>
      <c r="E2671" s="140" t="s">
        <v>12</v>
      </c>
      <c r="F2671">
        <v>248626.8395</v>
      </c>
      <c r="G2671" s="140" t="s">
        <v>212</v>
      </c>
      <c r="H2671">
        <v>0</v>
      </c>
      <c r="I2671" s="140" t="s">
        <v>17</v>
      </c>
    </row>
    <row r="2672" spans="1:9" hidden="1" x14ac:dyDescent="0.25">
      <c r="A2672">
        <v>1990</v>
      </c>
      <c r="B2672" s="140" t="s">
        <v>56</v>
      </c>
      <c r="C2672" s="140" t="s">
        <v>19</v>
      </c>
      <c r="D2672" s="140" t="s">
        <v>11</v>
      </c>
      <c r="E2672" s="140" t="s">
        <v>12</v>
      </c>
      <c r="F2672">
        <v>38795</v>
      </c>
      <c r="G2672" s="140" t="s">
        <v>324</v>
      </c>
      <c r="H2672">
        <v>0</v>
      </c>
      <c r="I2672" s="140" t="s">
        <v>17</v>
      </c>
    </row>
    <row r="2673" spans="1:9" hidden="1" x14ac:dyDescent="0.25">
      <c r="A2673">
        <v>1991</v>
      </c>
      <c r="B2673" s="140" t="s">
        <v>56</v>
      </c>
      <c r="C2673" s="140" t="s">
        <v>19</v>
      </c>
      <c r="D2673" s="140" t="s">
        <v>11</v>
      </c>
      <c r="E2673" s="140" t="s">
        <v>12</v>
      </c>
      <c r="F2673">
        <v>38730</v>
      </c>
      <c r="G2673" s="140" t="s">
        <v>324</v>
      </c>
      <c r="H2673">
        <v>0</v>
      </c>
      <c r="I2673" s="140" t="s">
        <v>17</v>
      </c>
    </row>
    <row r="2674" spans="1:9" hidden="1" x14ac:dyDescent="0.25">
      <c r="A2674">
        <v>1992</v>
      </c>
      <c r="B2674" s="140" t="s">
        <v>56</v>
      </c>
      <c r="C2674" s="140" t="s">
        <v>19</v>
      </c>
      <c r="D2674" s="140" t="s">
        <v>11</v>
      </c>
      <c r="E2674" s="140" t="s">
        <v>12</v>
      </c>
      <c r="F2674">
        <v>36577</v>
      </c>
      <c r="G2674" s="140" t="s">
        <v>324</v>
      </c>
      <c r="H2674">
        <v>0</v>
      </c>
      <c r="I2674" s="140" t="s">
        <v>17</v>
      </c>
    </row>
    <row r="2675" spans="1:9" hidden="1" x14ac:dyDescent="0.25">
      <c r="A2675">
        <v>1993</v>
      </c>
      <c r="B2675" s="140" t="s">
        <v>56</v>
      </c>
      <c r="C2675" s="140" t="s">
        <v>19</v>
      </c>
      <c r="D2675" s="140" t="s">
        <v>11</v>
      </c>
      <c r="E2675" s="140" t="s">
        <v>12</v>
      </c>
      <c r="F2675">
        <v>34375</v>
      </c>
      <c r="G2675" s="140" t="s">
        <v>324</v>
      </c>
      <c r="H2675">
        <v>0</v>
      </c>
      <c r="I2675" s="140" t="s">
        <v>17</v>
      </c>
    </row>
    <row r="2676" spans="1:9" hidden="1" x14ac:dyDescent="0.25">
      <c r="A2676">
        <v>1994</v>
      </c>
      <c r="B2676" s="140" t="s">
        <v>56</v>
      </c>
      <c r="C2676" s="140" t="s">
        <v>19</v>
      </c>
      <c r="D2676" s="140" t="s">
        <v>11</v>
      </c>
      <c r="E2676" s="140" t="s">
        <v>12</v>
      </c>
      <c r="F2676">
        <v>34608</v>
      </c>
      <c r="G2676" s="140" t="s">
        <v>324</v>
      </c>
      <c r="H2676">
        <v>0</v>
      </c>
      <c r="I2676" s="140" t="s">
        <v>17</v>
      </c>
    </row>
    <row r="2677" spans="1:9" hidden="1" x14ac:dyDescent="0.25">
      <c r="A2677">
        <v>1995</v>
      </c>
      <c r="B2677" s="140" t="s">
        <v>56</v>
      </c>
      <c r="C2677" s="140" t="s">
        <v>19</v>
      </c>
      <c r="D2677" s="140" t="s">
        <v>11</v>
      </c>
      <c r="E2677" s="140" t="s">
        <v>12</v>
      </c>
      <c r="F2677">
        <v>36923</v>
      </c>
      <c r="G2677" s="140" t="s">
        <v>324</v>
      </c>
      <c r="H2677">
        <v>0</v>
      </c>
      <c r="I2677" s="140" t="s">
        <v>17</v>
      </c>
    </row>
    <row r="2678" spans="1:9" hidden="1" x14ac:dyDescent="0.25">
      <c r="A2678">
        <v>1996</v>
      </c>
      <c r="B2678" s="140" t="s">
        <v>56</v>
      </c>
      <c r="C2678" s="140" t="s">
        <v>19</v>
      </c>
      <c r="D2678" s="140" t="s">
        <v>11</v>
      </c>
      <c r="E2678" s="140" t="s">
        <v>12</v>
      </c>
      <c r="F2678">
        <v>38807</v>
      </c>
      <c r="G2678" s="140" t="s">
        <v>324</v>
      </c>
      <c r="H2678">
        <v>0</v>
      </c>
      <c r="I2678" s="140" t="s">
        <v>17</v>
      </c>
    </row>
    <row r="2679" spans="1:9" hidden="1" x14ac:dyDescent="0.25">
      <c r="A2679">
        <v>1997</v>
      </c>
      <c r="B2679" s="140" t="s">
        <v>56</v>
      </c>
      <c r="C2679" s="140" t="s">
        <v>19</v>
      </c>
      <c r="D2679" s="140" t="s">
        <v>11</v>
      </c>
      <c r="E2679" s="140" t="s">
        <v>12</v>
      </c>
      <c r="F2679">
        <v>41087</v>
      </c>
      <c r="G2679" s="140" t="s">
        <v>324</v>
      </c>
      <c r="H2679">
        <v>0</v>
      </c>
      <c r="I2679" s="140" t="s">
        <v>17</v>
      </c>
    </row>
    <row r="2680" spans="1:9" hidden="1" x14ac:dyDescent="0.25">
      <c r="A2680">
        <v>1998</v>
      </c>
      <c r="B2680" s="140" t="s">
        <v>56</v>
      </c>
      <c r="C2680" s="140" t="s">
        <v>19</v>
      </c>
      <c r="D2680" s="140" t="s">
        <v>11</v>
      </c>
      <c r="E2680" s="140" t="s">
        <v>12</v>
      </c>
      <c r="F2680">
        <v>44164</v>
      </c>
      <c r="G2680" s="140" t="s">
        <v>324</v>
      </c>
      <c r="H2680">
        <v>0</v>
      </c>
      <c r="I2680" s="140" t="s">
        <v>17</v>
      </c>
    </row>
    <row r="2681" spans="1:9" hidden="1" x14ac:dyDescent="0.25">
      <c r="A2681">
        <v>1999</v>
      </c>
      <c r="B2681" s="140" t="s">
        <v>56</v>
      </c>
      <c r="C2681" s="140" t="s">
        <v>19</v>
      </c>
      <c r="D2681" s="140" t="s">
        <v>11</v>
      </c>
      <c r="E2681" s="140" t="s">
        <v>12</v>
      </c>
      <c r="F2681">
        <v>46995</v>
      </c>
      <c r="G2681" s="140" t="s">
        <v>324</v>
      </c>
      <c r="H2681">
        <v>0</v>
      </c>
      <c r="I2681" s="140" t="s">
        <v>17</v>
      </c>
    </row>
    <row r="2682" spans="1:9" hidden="1" x14ac:dyDescent="0.25">
      <c r="A2682">
        <v>2000</v>
      </c>
      <c r="B2682" s="140" t="s">
        <v>56</v>
      </c>
      <c r="C2682" s="140" t="s">
        <v>19</v>
      </c>
      <c r="D2682" s="140" t="s">
        <v>11</v>
      </c>
      <c r="E2682" s="140" t="s">
        <v>12</v>
      </c>
      <c r="F2682">
        <v>50523</v>
      </c>
      <c r="G2682" s="140" t="s">
        <v>324</v>
      </c>
      <c r="H2682">
        <v>0</v>
      </c>
      <c r="I2682" s="140" t="s">
        <v>17</v>
      </c>
    </row>
    <row r="2683" spans="1:9" hidden="1" x14ac:dyDescent="0.25">
      <c r="A2683">
        <v>2001</v>
      </c>
      <c r="B2683" s="140" t="s">
        <v>56</v>
      </c>
      <c r="C2683" s="140" t="s">
        <v>19</v>
      </c>
      <c r="D2683" s="140" t="s">
        <v>11</v>
      </c>
      <c r="E2683" s="140" t="s">
        <v>12</v>
      </c>
      <c r="F2683">
        <v>53178</v>
      </c>
      <c r="G2683" s="140" t="s">
        <v>324</v>
      </c>
      <c r="H2683">
        <v>0</v>
      </c>
      <c r="I2683" s="140" t="s">
        <v>17</v>
      </c>
    </row>
    <row r="2684" spans="1:9" hidden="1" x14ac:dyDescent="0.25">
      <c r="A2684">
        <v>2002</v>
      </c>
      <c r="B2684" s="140" t="s">
        <v>56</v>
      </c>
      <c r="C2684" s="140" t="s">
        <v>19</v>
      </c>
      <c r="D2684" s="140" t="s">
        <v>11</v>
      </c>
      <c r="E2684" s="140" t="s">
        <v>12</v>
      </c>
      <c r="F2684">
        <v>55121</v>
      </c>
      <c r="G2684" s="140" t="s">
        <v>324</v>
      </c>
      <c r="H2684">
        <v>0</v>
      </c>
      <c r="I2684" s="140" t="s">
        <v>17</v>
      </c>
    </row>
    <row r="2685" spans="1:9" hidden="1" x14ac:dyDescent="0.25">
      <c r="A2685">
        <v>2003</v>
      </c>
      <c r="B2685" s="140" t="s">
        <v>56</v>
      </c>
      <c r="C2685" s="140" t="s">
        <v>19</v>
      </c>
      <c r="D2685" s="140" t="s">
        <v>11</v>
      </c>
      <c r="E2685" s="140" t="s">
        <v>12</v>
      </c>
      <c r="F2685">
        <v>56813</v>
      </c>
      <c r="G2685" s="140" t="s">
        <v>324</v>
      </c>
      <c r="H2685">
        <v>0</v>
      </c>
      <c r="I2685" s="140" t="s">
        <v>17</v>
      </c>
    </row>
    <row r="2686" spans="1:9" hidden="1" x14ac:dyDescent="0.25">
      <c r="A2686">
        <v>2004</v>
      </c>
      <c r="B2686" s="140" t="s">
        <v>56</v>
      </c>
      <c r="C2686" s="140" t="s">
        <v>19</v>
      </c>
      <c r="D2686" s="140" t="s">
        <v>11</v>
      </c>
      <c r="E2686" s="140" t="s">
        <v>12</v>
      </c>
      <c r="F2686">
        <v>59216</v>
      </c>
      <c r="G2686" s="140" t="s">
        <v>324</v>
      </c>
      <c r="H2686">
        <v>0</v>
      </c>
      <c r="I2686" s="140" t="s">
        <v>17</v>
      </c>
    </row>
    <row r="2687" spans="1:9" hidden="1" x14ac:dyDescent="0.25">
      <c r="A2687">
        <v>2005</v>
      </c>
      <c r="B2687" s="140" t="s">
        <v>56</v>
      </c>
      <c r="C2687" s="140" t="s">
        <v>19</v>
      </c>
      <c r="D2687" s="140" t="s">
        <v>11</v>
      </c>
      <c r="E2687" s="140" t="s">
        <v>12</v>
      </c>
      <c r="F2687">
        <v>62206</v>
      </c>
      <c r="G2687" s="140" t="s">
        <v>324</v>
      </c>
      <c r="H2687">
        <v>0</v>
      </c>
      <c r="I2687" s="140" t="s">
        <v>17</v>
      </c>
    </row>
    <row r="2688" spans="1:9" hidden="1" x14ac:dyDescent="0.25">
      <c r="A2688">
        <v>2006</v>
      </c>
      <c r="B2688" s="140" t="s">
        <v>56</v>
      </c>
      <c r="C2688" s="140" t="s">
        <v>19</v>
      </c>
      <c r="D2688" s="140" t="s">
        <v>11</v>
      </c>
      <c r="E2688" s="140" t="s">
        <v>12</v>
      </c>
      <c r="F2688">
        <v>65415</v>
      </c>
      <c r="G2688" s="140" t="s">
        <v>324</v>
      </c>
      <c r="H2688">
        <v>0</v>
      </c>
      <c r="I2688" s="140" t="s">
        <v>17</v>
      </c>
    </row>
    <row r="2689" spans="1:9" hidden="1" x14ac:dyDescent="0.25">
      <c r="A2689">
        <v>2007</v>
      </c>
      <c r="B2689" s="140" t="s">
        <v>56</v>
      </c>
      <c r="C2689" s="140" t="s">
        <v>19</v>
      </c>
      <c r="D2689" s="140" t="s">
        <v>11</v>
      </c>
      <c r="E2689" s="140" t="s">
        <v>12</v>
      </c>
      <c r="F2689">
        <v>69127</v>
      </c>
      <c r="G2689" s="140" t="s">
        <v>324</v>
      </c>
      <c r="H2689">
        <v>0</v>
      </c>
      <c r="I2689" s="140" t="s">
        <v>17</v>
      </c>
    </row>
    <row r="2690" spans="1:9" hidden="1" x14ac:dyDescent="0.25">
      <c r="A2690">
        <v>2008</v>
      </c>
      <c r="B2690" s="140" t="s">
        <v>56</v>
      </c>
      <c r="C2690" s="140" t="s">
        <v>19</v>
      </c>
      <c r="D2690" s="140" t="s">
        <v>11</v>
      </c>
      <c r="E2690" s="140" t="s">
        <v>12</v>
      </c>
      <c r="F2690">
        <v>73791</v>
      </c>
      <c r="G2690" s="140" t="s">
        <v>324</v>
      </c>
      <c r="H2690">
        <v>0</v>
      </c>
      <c r="I2690" s="140" t="s">
        <v>17</v>
      </c>
    </row>
    <row r="2691" spans="1:9" hidden="1" x14ac:dyDescent="0.25">
      <c r="A2691">
        <v>2009</v>
      </c>
      <c r="B2691" s="140" t="s">
        <v>56</v>
      </c>
      <c r="C2691" s="140" t="s">
        <v>19</v>
      </c>
      <c r="D2691" s="140" t="s">
        <v>11</v>
      </c>
      <c r="E2691" s="140" t="s">
        <v>12</v>
      </c>
      <c r="F2691">
        <v>73137</v>
      </c>
      <c r="G2691" s="140" t="s">
        <v>324</v>
      </c>
      <c r="H2691">
        <v>0</v>
      </c>
      <c r="I2691" s="140" t="s">
        <v>17</v>
      </c>
    </row>
    <row r="2692" spans="1:9" hidden="1" x14ac:dyDescent="0.25">
      <c r="A2692">
        <v>2010</v>
      </c>
      <c r="B2692" s="140" t="s">
        <v>56</v>
      </c>
      <c r="C2692" s="140" t="s">
        <v>19</v>
      </c>
      <c r="D2692" s="140" t="s">
        <v>11</v>
      </c>
      <c r="E2692" s="140" t="s">
        <v>12</v>
      </c>
      <c r="F2692">
        <v>75550</v>
      </c>
      <c r="G2692" s="140" t="s">
        <v>324</v>
      </c>
      <c r="H2692">
        <v>0</v>
      </c>
      <c r="I2692" s="140" t="s">
        <v>17</v>
      </c>
    </row>
    <row r="2693" spans="1:9" hidden="1" x14ac:dyDescent="0.25">
      <c r="A2693">
        <v>2011</v>
      </c>
      <c r="B2693" s="140" t="s">
        <v>56</v>
      </c>
      <c r="C2693" s="140" t="s">
        <v>19</v>
      </c>
      <c r="D2693" s="140" t="s">
        <v>11</v>
      </c>
      <c r="E2693" s="140" t="s">
        <v>12</v>
      </c>
      <c r="F2693">
        <v>79017</v>
      </c>
      <c r="G2693" s="140" t="s">
        <v>324</v>
      </c>
      <c r="H2693">
        <v>0</v>
      </c>
      <c r="I2693" s="140" t="s">
        <v>17</v>
      </c>
    </row>
    <row r="2694" spans="1:9" hidden="1" x14ac:dyDescent="0.25">
      <c r="A2694">
        <v>2012</v>
      </c>
      <c r="B2694" s="140" t="s">
        <v>56</v>
      </c>
      <c r="C2694" s="140" t="s">
        <v>19</v>
      </c>
      <c r="D2694" s="140" t="s">
        <v>11</v>
      </c>
      <c r="E2694" s="140" t="s">
        <v>12</v>
      </c>
      <c r="F2694">
        <v>81509</v>
      </c>
      <c r="G2694" s="140" t="s">
        <v>324</v>
      </c>
      <c r="H2694">
        <v>0</v>
      </c>
      <c r="I2694" s="140" t="s">
        <v>17</v>
      </c>
    </row>
    <row r="2695" spans="1:9" hidden="1" x14ac:dyDescent="0.25">
      <c r="A2695">
        <v>2013</v>
      </c>
      <c r="B2695" s="140" t="s">
        <v>56</v>
      </c>
      <c r="C2695" s="140" t="s">
        <v>19</v>
      </c>
      <c r="D2695" s="140" t="s">
        <v>11</v>
      </c>
      <c r="E2695" s="140" t="s">
        <v>12</v>
      </c>
      <c r="F2695">
        <v>82180</v>
      </c>
      <c r="G2695" s="140" t="s">
        <v>324</v>
      </c>
      <c r="H2695">
        <v>0</v>
      </c>
      <c r="I2695" s="140" t="s">
        <v>17</v>
      </c>
    </row>
    <row r="2696" spans="1:9" hidden="1" x14ac:dyDescent="0.25">
      <c r="A2696">
        <v>2014</v>
      </c>
      <c r="B2696" s="140" t="s">
        <v>56</v>
      </c>
      <c r="C2696" s="140" t="s">
        <v>19</v>
      </c>
      <c r="D2696" s="140" t="s">
        <v>11</v>
      </c>
      <c r="E2696" s="140" t="s">
        <v>12</v>
      </c>
      <c r="F2696">
        <v>82491</v>
      </c>
      <c r="G2696" s="140" t="s">
        <v>324</v>
      </c>
      <c r="H2696">
        <v>0</v>
      </c>
      <c r="I2696" s="140" t="s">
        <v>17</v>
      </c>
    </row>
    <row r="2697" spans="1:9" hidden="1" x14ac:dyDescent="0.25">
      <c r="A2697">
        <v>2015</v>
      </c>
      <c r="B2697" s="140" t="s">
        <v>56</v>
      </c>
      <c r="C2697" s="140" t="s">
        <v>19</v>
      </c>
      <c r="D2697" s="140" t="s">
        <v>11</v>
      </c>
      <c r="E2697" s="140" t="s">
        <v>12</v>
      </c>
      <c r="F2697">
        <v>83349</v>
      </c>
      <c r="G2697" s="140" t="s">
        <v>324</v>
      </c>
      <c r="H2697">
        <v>0</v>
      </c>
      <c r="I2697" s="140" t="s">
        <v>17</v>
      </c>
    </row>
    <row r="2698" spans="1:9" hidden="1" x14ac:dyDescent="0.25">
      <c r="A2698">
        <v>2016</v>
      </c>
      <c r="B2698" s="140" t="s">
        <v>56</v>
      </c>
      <c r="C2698" s="140" t="s">
        <v>19</v>
      </c>
      <c r="D2698" s="140" t="s">
        <v>11</v>
      </c>
      <c r="E2698" s="140" t="s">
        <v>12</v>
      </c>
      <c r="F2698">
        <v>84579</v>
      </c>
      <c r="G2698" s="140" t="s">
        <v>324</v>
      </c>
      <c r="H2698">
        <v>0</v>
      </c>
      <c r="I2698" s="140" t="s">
        <v>17</v>
      </c>
    </row>
    <row r="2699" spans="1:9" hidden="1" x14ac:dyDescent="0.25">
      <c r="A2699">
        <v>2017</v>
      </c>
      <c r="B2699" s="140" t="s">
        <v>56</v>
      </c>
      <c r="C2699" s="140" t="s">
        <v>19</v>
      </c>
      <c r="D2699" s="140" t="s">
        <v>11</v>
      </c>
      <c r="E2699" s="140" t="s">
        <v>12</v>
      </c>
      <c r="F2699">
        <v>86576</v>
      </c>
      <c r="G2699" s="140" t="s">
        <v>324</v>
      </c>
      <c r="H2699">
        <v>0</v>
      </c>
      <c r="I2699" s="140" t="s">
        <v>17</v>
      </c>
    </row>
    <row r="2700" spans="1:9" hidden="1" x14ac:dyDescent="0.25">
      <c r="A2700">
        <v>2018</v>
      </c>
      <c r="B2700" s="140" t="s">
        <v>56</v>
      </c>
      <c r="C2700" s="140" t="s">
        <v>19</v>
      </c>
      <c r="D2700" s="140" t="s">
        <v>11</v>
      </c>
      <c r="E2700" s="140" t="s">
        <v>12</v>
      </c>
      <c r="F2700">
        <v>90580</v>
      </c>
      <c r="G2700" s="140" t="s">
        <v>324</v>
      </c>
      <c r="H2700">
        <v>0</v>
      </c>
      <c r="I2700" s="140" t="s">
        <v>17</v>
      </c>
    </row>
    <row r="2701" spans="1:9" hidden="1" x14ac:dyDescent="0.25">
      <c r="A2701">
        <v>2019</v>
      </c>
      <c r="B2701" s="140" t="s">
        <v>56</v>
      </c>
      <c r="C2701" s="140" t="s">
        <v>19</v>
      </c>
      <c r="D2701" s="140" t="s">
        <v>11</v>
      </c>
      <c r="E2701" s="140" t="s">
        <v>12</v>
      </c>
      <c r="F2701">
        <v>93842</v>
      </c>
      <c r="G2701" s="140" t="s">
        <v>324</v>
      </c>
      <c r="H2701">
        <v>0</v>
      </c>
      <c r="I2701" s="140" t="s">
        <v>17</v>
      </c>
    </row>
    <row r="2702" spans="1:9" hidden="1" x14ac:dyDescent="0.25">
      <c r="A2702">
        <v>2020</v>
      </c>
      <c r="B2702" s="140" t="s">
        <v>56</v>
      </c>
      <c r="C2702" s="140" t="s">
        <v>19</v>
      </c>
      <c r="D2702" s="140" t="s">
        <v>11</v>
      </c>
      <c r="E2702" s="140" t="s">
        <v>12</v>
      </c>
      <c r="F2702">
        <v>93232</v>
      </c>
      <c r="G2702" s="140" t="s">
        <v>324</v>
      </c>
      <c r="H2702">
        <v>0</v>
      </c>
      <c r="I2702" s="140" t="s">
        <v>17</v>
      </c>
    </row>
    <row r="2703" spans="1:9" hidden="1" x14ac:dyDescent="0.25">
      <c r="A2703">
        <v>2021</v>
      </c>
      <c r="B2703" s="140" t="s">
        <v>56</v>
      </c>
      <c r="C2703" s="140" t="s">
        <v>19</v>
      </c>
      <c r="D2703" s="140" t="s">
        <v>11</v>
      </c>
      <c r="E2703" s="140" t="s">
        <v>12</v>
      </c>
      <c r="F2703">
        <v>98284</v>
      </c>
      <c r="G2703" s="140" t="s">
        <v>324</v>
      </c>
      <c r="H2703">
        <v>0</v>
      </c>
      <c r="I2703" s="140" t="s">
        <v>17</v>
      </c>
    </row>
    <row r="2704" spans="1:9" hidden="1" x14ac:dyDescent="0.25">
      <c r="A2704">
        <v>2022</v>
      </c>
      <c r="B2704" s="140" t="s">
        <v>56</v>
      </c>
      <c r="C2704" s="140" t="s">
        <v>19</v>
      </c>
      <c r="D2704" s="140" t="s">
        <v>11</v>
      </c>
      <c r="E2704" s="140" t="s">
        <v>12</v>
      </c>
      <c r="F2704">
        <v>104901</v>
      </c>
      <c r="G2704" s="140" t="s">
        <v>324</v>
      </c>
      <c r="H2704">
        <v>0</v>
      </c>
      <c r="I2704" s="140" t="s">
        <v>17</v>
      </c>
    </row>
    <row r="2705" spans="1:9" hidden="1" x14ac:dyDescent="0.25">
      <c r="A2705">
        <v>2023</v>
      </c>
      <c r="B2705" s="140" t="s">
        <v>56</v>
      </c>
      <c r="C2705" s="140" t="s">
        <v>19</v>
      </c>
      <c r="D2705" s="140" t="s">
        <v>11</v>
      </c>
      <c r="E2705" s="140" t="s">
        <v>12</v>
      </c>
      <c r="F2705">
        <v>110096</v>
      </c>
      <c r="G2705" s="140" t="s">
        <v>324</v>
      </c>
      <c r="H2705">
        <v>0</v>
      </c>
      <c r="I2705" s="140" t="s">
        <v>17</v>
      </c>
    </row>
    <row r="2706" spans="1:9" hidden="1" x14ac:dyDescent="0.25">
      <c r="A2706">
        <v>2024</v>
      </c>
      <c r="B2706" s="140" t="s">
        <v>56</v>
      </c>
      <c r="C2706" s="140" t="s">
        <v>19</v>
      </c>
      <c r="D2706" s="140" t="s">
        <v>11</v>
      </c>
      <c r="E2706" s="140" t="s">
        <v>12</v>
      </c>
      <c r="F2706">
        <v>112225</v>
      </c>
      <c r="G2706" s="140" t="s">
        <v>324</v>
      </c>
      <c r="H2706">
        <v>0</v>
      </c>
      <c r="I2706" s="140" t="s">
        <v>17</v>
      </c>
    </row>
    <row r="2707" spans="1:9" hidden="1" x14ac:dyDescent="0.25">
      <c r="A2707">
        <v>2025</v>
      </c>
      <c r="B2707" s="140" t="s">
        <v>56</v>
      </c>
      <c r="C2707" s="140" t="s">
        <v>19</v>
      </c>
      <c r="D2707" s="140" t="s">
        <v>11</v>
      </c>
      <c r="E2707" s="140" t="s">
        <v>12</v>
      </c>
      <c r="F2707">
        <v>114625</v>
      </c>
      <c r="G2707" s="140" t="s">
        <v>324</v>
      </c>
      <c r="H2707">
        <v>0</v>
      </c>
      <c r="I2707" s="140" t="s">
        <v>17</v>
      </c>
    </row>
    <row r="2708" spans="1:9" hidden="1" x14ac:dyDescent="0.25">
      <c r="A2708">
        <v>2026</v>
      </c>
      <c r="B2708" s="140" t="s">
        <v>56</v>
      </c>
      <c r="C2708" s="140" t="s">
        <v>19</v>
      </c>
      <c r="D2708" s="140" t="s">
        <v>11</v>
      </c>
      <c r="E2708" s="140" t="s">
        <v>12</v>
      </c>
      <c r="F2708">
        <v>118210.4832</v>
      </c>
      <c r="G2708" s="140" t="s">
        <v>324</v>
      </c>
      <c r="H2708">
        <v>0</v>
      </c>
      <c r="I2708" s="140" t="s">
        <v>17</v>
      </c>
    </row>
    <row r="2709" spans="1:9" hidden="1" x14ac:dyDescent="0.25">
      <c r="A2709">
        <v>2027</v>
      </c>
      <c r="B2709" s="140" t="s">
        <v>56</v>
      </c>
      <c r="C2709" s="140" t="s">
        <v>19</v>
      </c>
      <c r="D2709" s="140" t="s">
        <v>11</v>
      </c>
      <c r="E2709" s="140" t="s">
        <v>12</v>
      </c>
      <c r="F2709">
        <v>123292.90670000001</v>
      </c>
      <c r="G2709" s="140" t="s">
        <v>324</v>
      </c>
      <c r="H2709">
        <v>0</v>
      </c>
      <c r="I2709" s="140" t="s">
        <v>17</v>
      </c>
    </row>
    <row r="2710" spans="1:9" hidden="1" x14ac:dyDescent="0.25">
      <c r="A2710">
        <v>2028</v>
      </c>
      <c r="B2710" s="140" t="s">
        <v>56</v>
      </c>
      <c r="C2710" s="140" t="s">
        <v>19</v>
      </c>
      <c r="D2710" s="140" t="s">
        <v>11</v>
      </c>
      <c r="E2710" s="140" t="s">
        <v>12</v>
      </c>
      <c r="F2710">
        <v>128473.0413</v>
      </c>
      <c r="G2710" s="140" t="s">
        <v>324</v>
      </c>
      <c r="H2710">
        <v>0</v>
      </c>
      <c r="I2710" s="140" t="s">
        <v>17</v>
      </c>
    </row>
    <row r="2711" spans="1:9" hidden="1" x14ac:dyDescent="0.25">
      <c r="A2711">
        <v>2029</v>
      </c>
      <c r="B2711" s="140" t="s">
        <v>56</v>
      </c>
      <c r="C2711" s="140" t="s">
        <v>19</v>
      </c>
      <c r="D2711" s="140" t="s">
        <v>11</v>
      </c>
      <c r="E2711" s="140" t="s">
        <v>12</v>
      </c>
      <c r="F2711">
        <v>133585.85</v>
      </c>
      <c r="G2711" s="140" t="s">
        <v>324</v>
      </c>
      <c r="H2711">
        <v>0</v>
      </c>
      <c r="I2711" s="140" t="s">
        <v>17</v>
      </c>
    </row>
    <row r="2712" spans="1:9" hidden="1" x14ac:dyDescent="0.25">
      <c r="A2712">
        <v>2030</v>
      </c>
      <c r="B2712" s="140" t="s">
        <v>56</v>
      </c>
      <c r="C2712" s="140" t="s">
        <v>19</v>
      </c>
      <c r="D2712" s="140" t="s">
        <v>11</v>
      </c>
      <c r="E2712" s="140" t="s">
        <v>12</v>
      </c>
      <c r="F2712">
        <v>138708.53630000001</v>
      </c>
      <c r="G2712" s="140" t="s">
        <v>324</v>
      </c>
      <c r="H2712">
        <v>0</v>
      </c>
      <c r="I2712" s="140" t="s">
        <v>17</v>
      </c>
    </row>
    <row r="2713" spans="1:9" hidden="1" x14ac:dyDescent="0.25">
      <c r="A2713">
        <v>1991</v>
      </c>
      <c r="B2713" s="140" t="s">
        <v>325</v>
      </c>
      <c r="C2713" s="140" t="s">
        <v>82</v>
      </c>
      <c r="D2713" s="140" t="s">
        <v>11</v>
      </c>
      <c r="E2713" s="140" t="s">
        <v>12</v>
      </c>
      <c r="F2713">
        <v>7.2142567739999999</v>
      </c>
      <c r="G2713" s="140" t="s">
        <v>326</v>
      </c>
      <c r="H2713">
        <v>0</v>
      </c>
      <c r="I2713" s="140" t="s">
        <v>14</v>
      </c>
    </row>
    <row r="2714" spans="1:9" hidden="1" x14ac:dyDescent="0.25">
      <c r="A2714">
        <v>1992</v>
      </c>
      <c r="B2714" s="140" t="s">
        <v>325</v>
      </c>
      <c r="C2714" s="140" t="s">
        <v>82</v>
      </c>
      <c r="D2714" s="140" t="s">
        <v>11</v>
      </c>
      <c r="E2714" s="140" t="s">
        <v>12</v>
      </c>
      <c r="F2714">
        <v>2.0732638799999998</v>
      </c>
      <c r="G2714" s="140" t="s">
        <v>326</v>
      </c>
      <c r="H2714">
        <v>0</v>
      </c>
      <c r="I2714" s="140" t="s">
        <v>14</v>
      </c>
    </row>
    <row r="2715" spans="1:9" hidden="1" x14ac:dyDescent="0.25">
      <c r="A2715">
        <v>1993</v>
      </c>
      <c r="B2715" s="140" t="s">
        <v>325</v>
      </c>
      <c r="C2715" s="140" t="s">
        <v>82</v>
      </c>
      <c r="D2715" s="140" t="s">
        <v>11</v>
      </c>
      <c r="E2715" s="140" t="s">
        <v>12</v>
      </c>
      <c r="F2715">
        <v>9.2305172000000005E-2</v>
      </c>
      <c r="G2715" s="140" t="s">
        <v>326</v>
      </c>
      <c r="H2715">
        <v>0</v>
      </c>
      <c r="I2715" s="140" t="s">
        <v>14</v>
      </c>
    </row>
    <row r="2716" spans="1:9" hidden="1" x14ac:dyDescent="0.25">
      <c r="A2716">
        <v>1994</v>
      </c>
      <c r="B2716" s="140" t="s">
        <v>325</v>
      </c>
      <c r="C2716" s="140" t="s">
        <v>82</v>
      </c>
      <c r="D2716" s="140" t="s">
        <v>11</v>
      </c>
      <c r="E2716" s="140" t="s">
        <v>12</v>
      </c>
      <c r="F2716">
        <v>0.98530778900000004</v>
      </c>
      <c r="G2716" s="140" t="s">
        <v>326</v>
      </c>
      <c r="H2716">
        <v>0</v>
      </c>
      <c r="I2716" s="140" t="s">
        <v>14</v>
      </c>
    </row>
    <row r="2717" spans="1:9" hidden="1" x14ac:dyDescent="0.25">
      <c r="A2717">
        <v>1995</v>
      </c>
      <c r="B2717" s="140" t="s">
        <v>325</v>
      </c>
      <c r="C2717" s="140" t="s">
        <v>82</v>
      </c>
      <c r="D2717" s="140" t="s">
        <v>11</v>
      </c>
      <c r="E2717" s="140" t="s">
        <v>12</v>
      </c>
      <c r="F2717">
        <v>3.6880761049999999</v>
      </c>
      <c r="G2717" s="140" t="s">
        <v>326</v>
      </c>
      <c r="H2717">
        <v>0</v>
      </c>
      <c r="I2717" s="140" t="s">
        <v>14</v>
      </c>
    </row>
    <row r="2718" spans="1:9" hidden="1" x14ac:dyDescent="0.25">
      <c r="A2718">
        <v>1996</v>
      </c>
      <c r="B2718" s="140" t="s">
        <v>325</v>
      </c>
      <c r="C2718" s="140" t="s">
        <v>82</v>
      </c>
      <c r="D2718" s="140" t="s">
        <v>11</v>
      </c>
      <c r="E2718" s="140" t="s">
        <v>12</v>
      </c>
      <c r="F2718">
        <v>3.7100688129999999</v>
      </c>
      <c r="G2718" s="140" t="s">
        <v>326</v>
      </c>
      <c r="H2718">
        <v>0</v>
      </c>
      <c r="I2718" s="140" t="s">
        <v>14</v>
      </c>
    </row>
    <row r="2719" spans="1:9" hidden="1" x14ac:dyDescent="0.25">
      <c r="A2719">
        <v>1997</v>
      </c>
      <c r="B2719" s="140" t="s">
        <v>325</v>
      </c>
      <c r="C2719" s="140" t="s">
        <v>82</v>
      </c>
      <c r="D2719" s="140" t="s">
        <v>11</v>
      </c>
      <c r="E2719" s="140" t="s">
        <v>12</v>
      </c>
      <c r="F2719">
        <v>2.0821746619999999</v>
      </c>
      <c r="G2719" s="140" t="s">
        <v>326</v>
      </c>
      <c r="H2719">
        <v>0</v>
      </c>
      <c r="I2719" s="140" t="s">
        <v>14</v>
      </c>
    </row>
    <row r="2720" spans="1:9" hidden="1" x14ac:dyDescent="0.25">
      <c r="A2720">
        <v>1998</v>
      </c>
      <c r="B2720" s="140" t="s">
        <v>325</v>
      </c>
      <c r="C2720" s="140" t="s">
        <v>82</v>
      </c>
      <c r="D2720" s="140" t="s">
        <v>11</v>
      </c>
      <c r="E2720" s="140" t="s">
        <v>12</v>
      </c>
      <c r="F2720">
        <v>4.6170256170000004</v>
      </c>
      <c r="G2720" s="140" t="s">
        <v>326</v>
      </c>
      <c r="H2720">
        <v>0</v>
      </c>
      <c r="I2720" s="140" t="s">
        <v>14</v>
      </c>
    </row>
    <row r="2721" spans="1:9" hidden="1" x14ac:dyDescent="0.25">
      <c r="A2721">
        <v>1999</v>
      </c>
      <c r="B2721" s="140" t="s">
        <v>325</v>
      </c>
      <c r="C2721" s="140" t="s">
        <v>82</v>
      </c>
      <c r="D2721" s="140" t="s">
        <v>11</v>
      </c>
      <c r="E2721" s="140" t="s">
        <v>12</v>
      </c>
      <c r="F2721">
        <v>4.049148293</v>
      </c>
      <c r="G2721" s="140" t="s">
        <v>326</v>
      </c>
      <c r="H2721">
        <v>0</v>
      </c>
      <c r="I2721" s="140" t="s">
        <v>14</v>
      </c>
    </row>
    <row r="2722" spans="1:9" hidden="1" x14ac:dyDescent="0.25">
      <c r="A2722">
        <v>2000</v>
      </c>
      <c r="B2722" s="140" t="s">
        <v>325</v>
      </c>
      <c r="C2722" s="140" t="s">
        <v>82</v>
      </c>
      <c r="D2722" s="140" t="s">
        <v>11</v>
      </c>
      <c r="E2722" s="140" t="s">
        <v>12</v>
      </c>
      <c r="F2722">
        <v>5.3991330770000001</v>
      </c>
      <c r="G2722" s="140" t="s">
        <v>326</v>
      </c>
      <c r="H2722">
        <v>0</v>
      </c>
      <c r="I2722" s="140" t="s">
        <v>14</v>
      </c>
    </row>
    <row r="2723" spans="1:9" hidden="1" x14ac:dyDescent="0.25">
      <c r="A2723">
        <v>2001</v>
      </c>
      <c r="B2723" s="140" t="s">
        <v>325</v>
      </c>
      <c r="C2723" s="140" t="s">
        <v>82</v>
      </c>
      <c r="D2723" s="140" t="s">
        <v>11</v>
      </c>
      <c r="E2723" s="140" t="s">
        <v>12</v>
      </c>
      <c r="F2723">
        <v>3.886389103</v>
      </c>
      <c r="G2723" s="140" t="s">
        <v>326</v>
      </c>
      <c r="H2723">
        <v>0</v>
      </c>
      <c r="I2723" s="140" t="s">
        <v>14</v>
      </c>
    </row>
    <row r="2724" spans="1:9" hidden="1" x14ac:dyDescent="0.25">
      <c r="A2724">
        <v>2002</v>
      </c>
      <c r="B2724" s="140" t="s">
        <v>325</v>
      </c>
      <c r="C2724" s="140" t="s">
        <v>82</v>
      </c>
      <c r="D2724" s="140" t="s">
        <v>11</v>
      </c>
      <c r="E2724" s="140" t="s">
        <v>12</v>
      </c>
      <c r="F2724">
        <v>2.4823274890000002</v>
      </c>
      <c r="G2724" s="140" t="s">
        <v>326</v>
      </c>
      <c r="H2724">
        <v>0</v>
      </c>
      <c r="I2724" s="140" t="s">
        <v>14</v>
      </c>
    </row>
    <row r="2725" spans="1:9" hidden="1" x14ac:dyDescent="0.25">
      <c r="A2725">
        <v>2003</v>
      </c>
      <c r="B2725" s="140" t="s">
        <v>325</v>
      </c>
      <c r="C2725" s="140" t="s">
        <v>82</v>
      </c>
      <c r="D2725" s="140" t="s">
        <v>11</v>
      </c>
      <c r="E2725" s="140" t="s">
        <v>12</v>
      </c>
      <c r="F2725">
        <v>2.977245935</v>
      </c>
      <c r="G2725" s="140" t="s">
        <v>326</v>
      </c>
      <c r="H2725">
        <v>0</v>
      </c>
      <c r="I2725" s="140" t="s">
        <v>14</v>
      </c>
    </row>
    <row r="2726" spans="1:9" hidden="1" x14ac:dyDescent="0.25">
      <c r="A2726">
        <v>2004</v>
      </c>
      <c r="B2726" s="140" t="s">
        <v>325</v>
      </c>
      <c r="C2726" s="140" t="s">
        <v>82</v>
      </c>
      <c r="D2726" s="140" t="s">
        <v>11</v>
      </c>
      <c r="E2726" s="140" t="s">
        <v>12</v>
      </c>
      <c r="F2726">
        <v>3.4785444889999999</v>
      </c>
      <c r="G2726" s="140" t="s">
        <v>326</v>
      </c>
      <c r="H2726">
        <v>0</v>
      </c>
      <c r="I2726" s="140" t="s">
        <v>14</v>
      </c>
    </row>
    <row r="2727" spans="1:9" hidden="1" x14ac:dyDescent="0.25">
      <c r="A2727">
        <v>2005</v>
      </c>
      <c r="B2727" s="140" t="s">
        <v>325</v>
      </c>
      <c r="C2727" s="140" t="s">
        <v>82</v>
      </c>
      <c r="D2727" s="140" t="s">
        <v>11</v>
      </c>
      <c r="E2727" s="140" t="s">
        <v>12</v>
      </c>
      <c r="F2727">
        <v>4.0251018099999998</v>
      </c>
      <c r="G2727" s="140" t="s">
        <v>326</v>
      </c>
      <c r="H2727">
        <v>0</v>
      </c>
      <c r="I2727" s="140" t="s">
        <v>14</v>
      </c>
    </row>
    <row r="2728" spans="1:9" hidden="1" x14ac:dyDescent="0.25">
      <c r="A2728">
        <v>2006</v>
      </c>
      <c r="B2728" s="140" t="s">
        <v>325</v>
      </c>
      <c r="C2728" s="140" t="s">
        <v>82</v>
      </c>
      <c r="D2728" s="140" t="s">
        <v>11</v>
      </c>
      <c r="E2728" s="140" t="s">
        <v>12</v>
      </c>
      <c r="F2728">
        <v>3.5260605140000001</v>
      </c>
      <c r="G2728" s="140" t="s">
        <v>326</v>
      </c>
      <c r="H2728">
        <v>0</v>
      </c>
      <c r="I2728" s="140" t="s">
        <v>14</v>
      </c>
    </row>
    <row r="2729" spans="1:9" hidden="1" x14ac:dyDescent="0.25">
      <c r="A2729">
        <v>2007</v>
      </c>
      <c r="B2729" s="140" t="s">
        <v>325</v>
      </c>
      <c r="C2729" s="140" t="s">
        <v>82</v>
      </c>
      <c r="D2729" s="140" t="s">
        <v>11</v>
      </c>
      <c r="E2729" s="140" t="s">
        <v>12</v>
      </c>
      <c r="F2729">
        <v>3.3557654750000001</v>
      </c>
      <c r="G2729" s="140" t="s">
        <v>326</v>
      </c>
      <c r="H2729">
        <v>0</v>
      </c>
      <c r="I2729" s="140" t="s">
        <v>14</v>
      </c>
    </row>
    <row r="2730" spans="1:9" hidden="1" x14ac:dyDescent="0.25">
      <c r="A2730">
        <v>2008</v>
      </c>
      <c r="B2730" s="140" t="s">
        <v>325</v>
      </c>
      <c r="C2730" s="140" t="s">
        <v>82</v>
      </c>
      <c r="D2730" s="140" t="s">
        <v>11</v>
      </c>
      <c r="E2730" s="140" t="s">
        <v>12</v>
      </c>
      <c r="F2730">
        <v>4.5417662769999998</v>
      </c>
      <c r="G2730" s="140" t="s">
        <v>326</v>
      </c>
      <c r="H2730">
        <v>0</v>
      </c>
      <c r="I2730" s="140" t="s">
        <v>14</v>
      </c>
    </row>
    <row r="2731" spans="1:9" hidden="1" x14ac:dyDescent="0.25">
      <c r="A2731">
        <v>2009</v>
      </c>
      <c r="B2731" s="140" t="s">
        <v>325</v>
      </c>
      <c r="C2731" s="140" t="s">
        <v>82</v>
      </c>
      <c r="D2731" s="140" t="s">
        <v>11</v>
      </c>
      <c r="E2731" s="140" t="s">
        <v>12</v>
      </c>
      <c r="F2731">
        <v>3.910558939</v>
      </c>
      <c r="G2731" s="140" t="s">
        <v>326</v>
      </c>
      <c r="H2731">
        <v>0</v>
      </c>
      <c r="I2731" s="140" t="s">
        <v>14</v>
      </c>
    </row>
    <row r="2732" spans="1:9" hidden="1" x14ac:dyDescent="0.25">
      <c r="A2732">
        <v>2010</v>
      </c>
      <c r="B2732" s="140" t="s">
        <v>325</v>
      </c>
      <c r="C2732" s="140" t="s">
        <v>82</v>
      </c>
      <c r="D2732" s="140" t="s">
        <v>11</v>
      </c>
      <c r="E2732" s="140" t="s">
        <v>12</v>
      </c>
      <c r="F2732">
        <v>3.3863333839999998</v>
      </c>
      <c r="G2732" s="140" t="s">
        <v>326</v>
      </c>
      <c r="H2732">
        <v>0</v>
      </c>
      <c r="I2732" s="140" t="s">
        <v>14</v>
      </c>
    </row>
    <row r="2733" spans="1:9" hidden="1" x14ac:dyDescent="0.25">
      <c r="A2733">
        <v>2011</v>
      </c>
      <c r="B2733" s="140" t="s">
        <v>325</v>
      </c>
      <c r="C2733" s="140" t="s">
        <v>82</v>
      </c>
      <c r="D2733" s="140" t="s">
        <v>11</v>
      </c>
      <c r="E2733" s="140" t="s">
        <v>12</v>
      </c>
      <c r="F2733">
        <v>3.28056335</v>
      </c>
      <c r="G2733" s="140" t="s">
        <v>326</v>
      </c>
      <c r="H2733">
        <v>0</v>
      </c>
      <c r="I2733" s="140" t="s">
        <v>14</v>
      </c>
    </row>
    <row r="2734" spans="1:9" hidden="1" x14ac:dyDescent="0.25">
      <c r="A2734">
        <v>2012</v>
      </c>
      <c r="B2734" s="140" t="s">
        <v>325</v>
      </c>
      <c r="C2734" s="140" t="s">
        <v>82</v>
      </c>
      <c r="D2734" s="140" t="s">
        <v>11</v>
      </c>
      <c r="E2734" s="140" t="s">
        <v>12</v>
      </c>
      <c r="F2734">
        <v>3.0945886649999998</v>
      </c>
      <c r="G2734" s="140" t="s">
        <v>326</v>
      </c>
      <c r="H2734">
        <v>0</v>
      </c>
      <c r="I2734" s="140" t="s">
        <v>14</v>
      </c>
    </row>
    <row r="2735" spans="1:9" hidden="1" x14ac:dyDescent="0.25">
      <c r="A2735">
        <v>2013</v>
      </c>
      <c r="B2735" s="140" t="s">
        <v>325</v>
      </c>
      <c r="C2735" s="140" t="s">
        <v>82</v>
      </c>
      <c r="D2735" s="140" t="s">
        <v>11</v>
      </c>
      <c r="E2735" s="140" t="s">
        <v>12</v>
      </c>
      <c r="F2735">
        <v>1.7099133129999999</v>
      </c>
      <c r="G2735" s="140" t="s">
        <v>326</v>
      </c>
      <c r="H2735">
        <v>0</v>
      </c>
      <c r="I2735" s="140" t="s">
        <v>14</v>
      </c>
    </row>
    <row r="2736" spans="1:9" hidden="1" x14ac:dyDescent="0.25">
      <c r="A2736">
        <v>2014</v>
      </c>
      <c r="B2736" s="140" t="s">
        <v>325</v>
      </c>
      <c r="C2736" s="140" t="s">
        <v>82</v>
      </c>
      <c r="D2736" s="140" t="s">
        <v>11</v>
      </c>
      <c r="E2736" s="140" t="s">
        <v>12</v>
      </c>
      <c r="F2736">
        <v>1.35779662</v>
      </c>
      <c r="G2736" s="140" t="s">
        <v>326</v>
      </c>
      <c r="H2736">
        <v>0</v>
      </c>
      <c r="I2736" s="140" t="s">
        <v>14</v>
      </c>
    </row>
    <row r="2737" spans="1:9" hidden="1" x14ac:dyDescent="0.25">
      <c r="A2737">
        <v>2015</v>
      </c>
      <c r="B2737" s="140" t="s">
        <v>325</v>
      </c>
      <c r="C2737" s="140" t="s">
        <v>82</v>
      </c>
      <c r="D2737" s="140" t="s">
        <v>11</v>
      </c>
      <c r="E2737" s="140" t="s">
        <v>12</v>
      </c>
      <c r="F2737">
        <v>0.90158122299999999</v>
      </c>
      <c r="G2737" s="140" t="s">
        <v>326</v>
      </c>
      <c r="H2737">
        <v>0</v>
      </c>
      <c r="I2737" s="140" t="s">
        <v>14</v>
      </c>
    </row>
    <row r="2738" spans="1:9" hidden="1" x14ac:dyDescent="0.25">
      <c r="A2738">
        <v>2016</v>
      </c>
      <c r="B2738" s="140" t="s">
        <v>325</v>
      </c>
      <c r="C2738" s="140" t="s">
        <v>82</v>
      </c>
      <c r="D2738" s="140" t="s">
        <v>11</v>
      </c>
      <c r="E2738" s="140" t="s">
        <v>12</v>
      </c>
      <c r="F2738">
        <v>0.79065191400000001</v>
      </c>
      <c r="G2738" s="140" t="s">
        <v>326</v>
      </c>
      <c r="H2738">
        <v>0</v>
      </c>
      <c r="I2738" s="140" t="s">
        <v>14</v>
      </c>
    </row>
    <row r="2739" spans="1:9" hidden="1" x14ac:dyDescent="0.25">
      <c r="A2739">
        <v>2017</v>
      </c>
      <c r="B2739" s="140" t="s">
        <v>325</v>
      </c>
      <c r="C2739" s="140" t="s">
        <v>82</v>
      </c>
      <c r="D2739" s="140" t="s">
        <v>11</v>
      </c>
      <c r="E2739" s="140" t="s">
        <v>12</v>
      </c>
      <c r="F2739">
        <v>1.3480078529999999</v>
      </c>
      <c r="G2739" s="140" t="s">
        <v>326</v>
      </c>
      <c r="H2739">
        <v>0</v>
      </c>
      <c r="I2739" s="140" t="s">
        <v>14</v>
      </c>
    </row>
    <row r="2740" spans="1:9" hidden="1" x14ac:dyDescent="0.25">
      <c r="A2740">
        <v>2018</v>
      </c>
      <c r="B2740" s="140" t="s">
        <v>325</v>
      </c>
      <c r="C2740" s="140" t="s">
        <v>82</v>
      </c>
      <c r="D2740" s="140" t="s">
        <v>11</v>
      </c>
      <c r="E2740" s="140" t="s">
        <v>12</v>
      </c>
      <c r="F2740">
        <v>2.0943008000000001</v>
      </c>
      <c r="G2740" s="140" t="s">
        <v>326</v>
      </c>
      <c r="H2740">
        <v>0</v>
      </c>
      <c r="I2740" s="140" t="s">
        <v>14</v>
      </c>
    </row>
    <row r="2741" spans="1:9" hidden="1" x14ac:dyDescent="0.25">
      <c r="A2741">
        <v>2019</v>
      </c>
      <c r="B2741" s="140" t="s">
        <v>325</v>
      </c>
      <c r="C2741" s="140" t="s">
        <v>82</v>
      </c>
      <c r="D2741" s="140" t="s">
        <v>11</v>
      </c>
      <c r="E2741" s="140" t="s">
        <v>12</v>
      </c>
      <c r="F2741">
        <v>2.724161584</v>
      </c>
      <c r="G2741" s="140" t="s">
        <v>326</v>
      </c>
      <c r="H2741">
        <v>0</v>
      </c>
      <c r="I2741" s="140" t="s">
        <v>14</v>
      </c>
    </row>
    <row r="2742" spans="1:9" hidden="1" x14ac:dyDescent="0.25">
      <c r="A2742">
        <v>2020</v>
      </c>
      <c r="B2742" s="140" t="s">
        <v>325</v>
      </c>
      <c r="C2742" s="140" t="s">
        <v>82</v>
      </c>
      <c r="D2742" s="140" t="s">
        <v>11</v>
      </c>
      <c r="E2742" s="140" t="s">
        <v>12</v>
      </c>
      <c r="F2742">
        <v>1.8577522319999999</v>
      </c>
      <c r="G2742" s="140" t="s">
        <v>326</v>
      </c>
      <c r="H2742">
        <v>0</v>
      </c>
      <c r="I2742" s="140" t="s">
        <v>14</v>
      </c>
    </row>
    <row r="2743" spans="1:9" hidden="1" x14ac:dyDescent="0.25">
      <c r="A2743">
        <v>2021</v>
      </c>
      <c r="B2743" s="140" t="s">
        <v>325</v>
      </c>
      <c r="C2743" s="140" t="s">
        <v>82</v>
      </c>
      <c r="D2743" s="140" t="s">
        <v>11</v>
      </c>
      <c r="E2743" s="140" t="s">
        <v>12</v>
      </c>
      <c r="F2743">
        <v>3.2531854889999998</v>
      </c>
      <c r="G2743" s="140" t="s">
        <v>326</v>
      </c>
      <c r="H2743">
        <v>0</v>
      </c>
      <c r="I2743" s="140" t="s">
        <v>14</v>
      </c>
    </row>
    <row r="2744" spans="1:9" hidden="1" x14ac:dyDescent="0.25">
      <c r="A2744">
        <v>2022</v>
      </c>
      <c r="B2744" s="140" t="s">
        <v>325</v>
      </c>
      <c r="C2744" s="140" t="s">
        <v>82</v>
      </c>
      <c r="D2744" s="140" t="s">
        <v>11</v>
      </c>
      <c r="E2744" s="140" t="s">
        <v>12</v>
      </c>
      <c r="F2744">
        <v>3.2447083139999999</v>
      </c>
      <c r="G2744" s="140" t="s">
        <v>326</v>
      </c>
      <c r="H2744">
        <v>0</v>
      </c>
      <c r="I2744" s="140" t="s">
        <v>14</v>
      </c>
    </row>
    <row r="2745" spans="1:9" hidden="1" x14ac:dyDescent="0.25">
      <c r="A2745">
        <v>2023</v>
      </c>
      <c r="B2745" s="140" t="s">
        <v>325</v>
      </c>
      <c r="C2745" s="140" t="s">
        <v>82</v>
      </c>
      <c r="D2745" s="140" t="s">
        <v>11</v>
      </c>
      <c r="E2745" s="140" t="s">
        <v>12</v>
      </c>
      <c r="F2745">
        <v>3.810316093</v>
      </c>
      <c r="G2745" s="140" t="s">
        <v>326</v>
      </c>
      <c r="H2745">
        <v>0</v>
      </c>
      <c r="I2745" s="140" t="s">
        <v>14</v>
      </c>
    </row>
    <row r="2746" spans="1:9" hidden="1" x14ac:dyDescent="0.25">
      <c r="A2746">
        <v>2024</v>
      </c>
      <c r="B2746" s="140" t="s">
        <v>325</v>
      </c>
      <c r="C2746" s="140" t="s">
        <v>82</v>
      </c>
      <c r="D2746" s="140" t="s">
        <v>11</v>
      </c>
      <c r="E2746" s="140" t="s">
        <v>12</v>
      </c>
      <c r="F2746">
        <v>2.4858682729999999</v>
      </c>
      <c r="G2746" s="140" t="s">
        <v>326</v>
      </c>
      <c r="H2746">
        <v>0</v>
      </c>
      <c r="I2746" s="140" t="s">
        <v>14</v>
      </c>
    </row>
    <row r="2747" spans="1:9" hidden="1" x14ac:dyDescent="0.25">
      <c r="A2747">
        <v>2025</v>
      </c>
      <c r="B2747" s="140" t="s">
        <v>325</v>
      </c>
      <c r="C2747" s="140" t="s">
        <v>82</v>
      </c>
      <c r="D2747" s="140" t="s">
        <v>11</v>
      </c>
      <c r="E2747" s="140" t="s">
        <v>12</v>
      </c>
      <c r="F2747">
        <v>3.111756754</v>
      </c>
      <c r="G2747" s="140" t="s">
        <v>326</v>
      </c>
      <c r="H2747">
        <v>0</v>
      </c>
      <c r="I2747" s="140" t="s">
        <v>14</v>
      </c>
    </row>
    <row r="2748" spans="1:9" hidden="1" x14ac:dyDescent="0.25">
      <c r="A2748">
        <v>2026</v>
      </c>
      <c r="B2748" s="140" t="s">
        <v>325</v>
      </c>
      <c r="C2748" s="140" t="s">
        <v>82</v>
      </c>
      <c r="D2748" s="140" t="s">
        <v>11</v>
      </c>
      <c r="E2748" s="140" t="s">
        <v>12</v>
      </c>
      <c r="F2748">
        <v>3.438326456</v>
      </c>
      <c r="G2748" s="140" t="s">
        <v>326</v>
      </c>
      <c r="H2748">
        <v>0</v>
      </c>
      <c r="I2748" s="140" t="s">
        <v>14</v>
      </c>
    </row>
    <row r="2749" spans="1:9" hidden="1" x14ac:dyDescent="0.25">
      <c r="A2749">
        <v>2027</v>
      </c>
      <c r="B2749" s="140" t="s">
        <v>325</v>
      </c>
      <c r="C2749" s="140" t="s">
        <v>82</v>
      </c>
      <c r="D2749" s="140" t="s">
        <v>11</v>
      </c>
      <c r="E2749" s="140" t="s">
        <v>12</v>
      </c>
      <c r="F2749">
        <v>3.292264603</v>
      </c>
      <c r="G2749" s="140" t="s">
        <v>326</v>
      </c>
      <c r="H2749">
        <v>0</v>
      </c>
      <c r="I2749" s="140" t="s">
        <v>14</v>
      </c>
    </row>
    <row r="2750" spans="1:9" hidden="1" x14ac:dyDescent="0.25">
      <c r="A2750">
        <v>2028</v>
      </c>
      <c r="B2750" s="140" t="s">
        <v>325</v>
      </c>
      <c r="C2750" s="140" t="s">
        <v>82</v>
      </c>
      <c r="D2750" s="140" t="s">
        <v>11</v>
      </c>
      <c r="E2750" s="140" t="s">
        <v>12</v>
      </c>
      <c r="F2750">
        <v>3.4607183450000001</v>
      </c>
      <c r="G2750" s="140" t="s">
        <v>326</v>
      </c>
      <c r="H2750">
        <v>0</v>
      </c>
      <c r="I2750" s="140" t="s">
        <v>14</v>
      </c>
    </row>
    <row r="2751" spans="1:9" hidden="1" x14ac:dyDescent="0.25">
      <c r="A2751">
        <v>1993</v>
      </c>
      <c r="B2751" s="140" t="s">
        <v>333</v>
      </c>
      <c r="C2751" s="140" t="s">
        <v>19</v>
      </c>
      <c r="D2751" s="140" t="s">
        <v>11</v>
      </c>
      <c r="E2751" s="140" t="s">
        <v>12</v>
      </c>
      <c r="F2751">
        <v>29959.927179999999</v>
      </c>
      <c r="G2751" s="140" t="s">
        <v>334</v>
      </c>
      <c r="H2751">
        <v>0</v>
      </c>
      <c r="I2751" s="140" t="s">
        <v>17</v>
      </c>
    </row>
    <row r="2752" spans="1:9" hidden="1" x14ac:dyDescent="0.25">
      <c r="A2752">
        <v>1994</v>
      </c>
      <c r="B2752" s="140" t="s">
        <v>333</v>
      </c>
      <c r="C2752" s="140" t="s">
        <v>19</v>
      </c>
      <c r="D2752" s="140" t="s">
        <v>11</v>
      </c>
      <c r="E2752" s="140" t="s">
        <v>12</v>
      </c>
      <c r="F2752">
        <v>35134.195849999996</v>
      </c>
      <c r="G2752" s="140" t="s">
        <v>334</v>
      </c>
      <c r="H2752">
        <v>0</v>
      </c>
      <c r="I2752" s="140" t="s">
        <v>17</v>
      </c>
    </row>
    <row r="2753" spans="1:9" hidden="1" x14ac:dyDescent="0.25">
      <c r="A2753">
        <v>1995</v>
      </c>
      <c r="B2753" s="140" t="s">
        <v>333</v>
      </c>
      <c r="C2753" s="140" t="s">
        <v>19</v>
      </c>
      <c r="D2753" s="140" t="s">
        <v>11</v>
      </c>
      <c r="E2753" s="140" t="s">
        <v>12</v>
      </c>
      <c r="F2753">
        <v>38255.082779999997</v>
      </c>
      <c r="G2753" s="140" t="s">
        <v>334</v>
      </c>
      <c r="H2753">
        <v>0</v>
      </c>
      <c r="I2753" s="140" t="s">
        <v>17</v>
      </c>
    </row>
    <row r="2754" spans="1:9" hidden="1" x14ac:dyDescent="0.25">
      <c r="A2754">
        <v>1996</v>
      </c>
      <c r="B2754" s="140" t="s">
        <v>333</v>
      </c>
      <c r="C2754" s="140" t="s">
        <v>19</v>
      </c>
      <c r="D2754" s="140" t="s">
        <v>11</v>
      </c>
      <c r="E2754" s="140" t="s">
        <v>12</v>
      </c>
      <c r="F2754">
        <v>41135.307269999998</v>
      </c>
      <c r="G2754" s="140" t="s">
        <v>334</v>
      </c>
      <c r="H2754">
        <v>0</v>
      </c>
      <c r="I2754" s="140" t="s">
        <v>17</v>
      </c>
    </row>
    <row r="2755" spans="1:9" hidden="1" x14ac:dyDescent="0.25">
      <c r="A2755">
        <v>1997</v>
      </c>
      <c r="B2755" s="140" t="s">
        <v>333</v>
      </c>
      <c r="C2755" s="140" t="s">
        <v>19</v>
      </c>
      <c r="D2755" s="140" t="s">
        <v>11</v>
      </c>
      <c r="E2755" s="140" t="s">
        <v>12</v>
      </c>
      <c r="F2755">
        <v>47669.096010000001</v>
      </c>
      <c r="G2755" s="140" t="s">
        <v>334</v>
      </c>
      <c r="H2755">
        <v>0</v>
      </c>
      <c r="I2755" s="140" t="s">
        <v>17</v>
      </c>
    </row>
    <row r="2756" spans="1:9" hidden="1" x14ac:dyDescent="0.25">
      <c r="A2756">
        <v>1998</v>
      </c>
      <c r="B2756" s="140" t="s">
        <v>333</v>
      </c>
      <c r="C2756" s="140" t="s">
        <v>19</v>
      </c>
      <c r="D2756" s="140" t="s">
        <v>11</v>
      </c>
      <c r="E2756" s="140" t="s">
        <v>12</v>
      </c>
      <c r="F2756">
        <v>50421.094040000004</v>
      </c>
      <c r="G2756" s="140" t="s">
        <v>334</v>
      </c>
      <c r="H2756">
        <v>0</v>
      </c>
      <c r="I2756" s="140" t="s">
        <v>17</v>
      </c>
    </row>
    <row r="2757" spans="1:9" hidden="1" x14ac:dyDescent="0.25">
      <c r="A2757">
        <v>1999</v>
      </c>
      <c r="B2757" s="140" t="s">
        <v>333</v>
      </c>
      <c r="C2757" s="140" t="s">
        <v>19</v>
      </c>
      <c r="D2757" s="140" t="s">
        <v>11</v>
      </c>
      <c r="E2757" s="140" t="s">
        <v>12</v>
      </c>
      <c r="F2757">
        <v>54343.736570000001</v>
      </c>
      <c r="G2757" s="140" t="s">
        <v>334</v>
      </c>
      <c r="H2757">
        <v>0</v>
      </c>
      <c r="I2757" s="140" t="s">
        <v>17</v>
      </c>
    </row>
    <row r="2758" spans="1:9" hidden="1" x14ac:dyDescent="0.25">
      <c r="A2758">
        <v>2000</v>
      </c>
      <c r="B2758" s="140" t="s">
        <v>333</v>
      </c>
      <c r="C2758" s="140" t="s">
        <v>19</v>
      </c>
      <c r="D2758" s="140" t="s">
        <v>11</v>
      </c>
      <c r="E2758" s="140" t="s">
        <v>12</v>
      </c>
      <c r="F2758">
        <v>64351.271999999997</v>
      </c>
      <c r="G2758" s="140" t="s">
        <v>334</v>
      </c>
      <c r="H2758">
        <v>0</v>
      </c>
      <c r="I2758" s="140" t="s">
        <v>17</v>
      </c>
    </row>
    <row r="2759" spans="1:9" hidden="1" x14ac:dyDescent="0.25">
      <c r="A2759">
        <v>2001</v>
      </c>
      <c r="B2759" s="140" t="s">
        <v>333</v>
      </c>
      <c r="C2759" s="140" t="s">
        <v>19</v>
      </c>
      <c r="D2759" s="140" t="s">
        <v>11</v>
      </c>
      <c r="E2759" s="140" t="s">
        <v>12</v>
      </c>
      <c r="F2759">
        <v>62354.489049999996</v>
      </c>
      <c r="G2759" s="140" t="s">
        <v>334</v>
      </c>
      <c r="H2759">
        <v>0</v>
      </c>
      <c r="I2759" s="140" t="s">
        <v>17</v>
      </c>
    </row>
    <row r="2760" spans="1:9" hidden="1" x14ac:dyDescent="0.25">
      <c r="A2760">
        <v>2002</v>
      </c>
      <c r="B2760" s="140" t="s">
        <v>333</v>
      </c>
      <c r="C2760" s="140" t="s">
        <v>19</v>
      </c>
      <c r="D2760" s="140" t="s">
        <v>11</v>
      </c>
      <c r="E2760" s="140" t="s">
        <v>12</v>
      </c>
      <c r="F2760">
        <v>64658.276669999999</v>
      </c>
      <c r="G2760" s="140" t="s">
        <v>334</v>
      </c>
      <c r="H2760">
        <v>0</v>
      </c>
      <c r="I2760" s="140" t="s">
        <v>17</v>
      </c>
    </row>
    <row r="2761" spans="1:9" hidden="1" x14ac:dyDescent="0.25">
      <c r="A2761">
        <v>2003</v>
      </c>
      <c r="B2761" s="140" t="s">
        <v>333</v>
      </c>
      <c r="C2761" s="140" t="s">
        <v>19</v>
      </c>
      <c r="D2761" s="140" t="s">
        <v>11</v>
      </c>
      <c r="E2761" s="140" t="s">
        <v>12</v>
      </c>
      <c r="F2761">
        <v>64008.933969999998</v>
      </c>
      <c r="G2761" s="140" t="s">
        <v>334</v>
      </c>
      <c r="H2761">
        <v>0</v>
      </c>
      <c r="I2761" s="140" t="s">
        <v>17</v>
      </c>
    </row>
    <row r="2762" spans="1:9" hidden="1" x14ac:dyDescent="0.25">
      <c r="A2762">
        <v>2004</v>
      </c>
      <c r="B2762" s="140" t="s">
        <v>333</v>
      </c>
      <c r="C2762" s="140" t="s">
        <v>19</v>
      </c>
      <c r="D2762" s="140" t="s">
        <v>11</v>
      </c>
      <c r="E2762" s="140" t="s">
        <v>12</v>
      </c>
      <c r="F2762">
        <v>69616.946419999993</v>
      </c>
      <c r="G2762" s="140" t="s">
        <v>334</v>
      </c>
      <c r="H2762">
        <v>0</v>
      </c>
      <c r="I2762" s="140" t="s">
        <v>17</v>
      </c>
    </row>
    <row r="2763" spans="1:9" hidden="1" x14ac:dyDescent="0.25">
      <c r="A2763">
        <v>2005</v>
      </c>
      <c r="B2763" s="140" t="s">
        <v>333</v>
      </c>
      <c r="C2763" s="140" t="s">
        <v>19</v>
      </c>
      <c r="D2763" s="140" t="s">
        <v>11</v>
      </c>
      <c r="E2763" s="140" t="s">
        <v>12</v>
      </c>
      <c r="F2763">
        <v>76883.985379999998</v>
      </c>
      <c r="G2763" s="140" t="s">
        <v>334</v>
      </c>
      <c r="H2763">
        <v>0</v>
      </c>
      <c r="I2763" s="140" t="s">
        <v>17</v>
      </c>
    </row>
    <row r="2764" spans="1:9" hidden="1" x14ac:dyDescent="0.25">
      <c r="A2764">
        <v>2006</v>
      </c>
      <c r="B2764" s="140" t="s">
        <v>333</v>
      </c>
      <c r="C2764" s="140" t="s">
        <v>19</v>
      </c>
      <c r="D2764" s="140" t="s">
        <v>11</v>
      </c>
      <c r="E2764" s="140" t="s">
        <v>12</v>
      </c>
      <c r="F2764">
        <v>84217.875830000004</v>
      </c>
      <c r="G2764" s="140" t="s">
        <v>334</v>
      </c>
      <c r="H2764">
        <v>0</v>
      </c>
      <c r="I2764" s="140" t="s">
        <v>17</v>
      </c>
    </row>
    <row r="2765" spans="1:9" hidden="1" x14ac:dyDescent="0.25">
      <c r="A2765">
        <v>2007</v>
      </c>
      <c r="B2765" s="140" t="s">
        <v>333</v>
      </c>
      <c r="C2765" s="140" t="s">
        <v>19</v>
      </c>
      <c r="D2765" s="140" t="s">
        <v>11</v>
      </c>
      <c r="E2765" s="140" t="s">
        <v>12</v>
      </c>
      <c r="F2765">
        <v>90933.58223</v>
      </c>
      <c r="G2765" s="140" t="s">
        <v>334</v>
      </c>
      <c r="H2765">
        <v>0</v>
      </c>
      <c r="I2765" s="140" t="s">
        <v>17</v>
      </c>
    </row>
    <row r="2766" spans="1:9" hidden="1" x14ac:dyDescent="0.25">
      <c r="A2766">
        <v>2008</v>
      </c>
      <c r="B2766" s="140" t="s">
        <v>333</v>
      </c>
      <c r="C2766" s="140" t="s">
        <v>19</v>
      </c>
      <c r="D2766" s="140" t="s">
        <v>11</v>
      </c>
      <c r="E2766" s="140" t="s">
        <v>12</v>
      </c>
      <c r="F2766">
        <v>97126.932409999994</v>
      </c>
      <c r="G2766" s="140" t="s">
        <v>334</v>
      </c>
      <c r="H2766">
        <v>0</v>
      </c>
      <c r="I2766" s="140" t="s">
        <v>17</v>
      </c>
    </row>
    <row r="2767" spans="1:9" hidden="1" x14ac:dyDescent="0.25">
      <c r="A2767">
        <v>2009</v>
      </c>
      <c r="B2767" s="140" t="s">
        <v>333</v>
      </c>
      <c r="C2767" s="140" t="s">
        <v>19</v>
      </c>
      <c r="D2767" s="140" t="s">
        <v>11</v>
      </c>
      <c r="E2767" s="140" t="s">
        <v>12</v>
      </c>
      <c r="F2767">
        <v>69344.242599999998</v>
      </c>
      <c r="G2767" s="140" t="s">
        <v>334</v>
      </c>
      <c r="H2767">
        <v>0</v>
      </c>
      <c r="I2767" s="140" t="s">
        <v>17</v>
      </c>
    </row>
    <row r="2768" spans="1:9" hidden="1" x14ac:dyDescent="0.25">
      <c r="A2768">
        <v>2010</v>
      </c>
      <c r="B2768" s="140" t="s">
        <v>333</v>
      </c>
      <c r="C2768" s="140" t="s">
        <v>19</v>
      </c>
      <c r="D2768" s="140" t="s">
        <v>11</v>
      </c>
      <c r="E2768" s="140" t="s">
        <v>12</v>
      </c>
      <c r="F2768">
        <v>39959</v>
      </c>
      <c r="G2768" s="140" t="s">
        <v>334</v>
      </c>
      <c r="H2768">
        <v>0</v>
      </c>
      <c r="I2768" s="140" t="s">
        <v>17</v>
      </c>
    </row>
    <row r="2769" spans="1:9" hidden="1" x14ac:dyDescent="0.25">
      <c r="A2769">
        <v>2011</v>
      </c>
      <c r="B2769" s="140" t="s">
        <v>333</v>
      </c>
      <c r="C2769" s="140" t="s">
        <v>19</v>
      </c>
      <c r="D2769" s="140" t="s">
        <v>11</v>
      </c>
      <c r="E2769" s="140" t="s">
        <v>12</v>
      </c>
      <c r="F2769">
        <v>39201</v>
      </c>
      <c r="G2769" s="140" t="s">
        <v>334</v>
      </c>
      <c r="H2769">
        <v>0</v>
      </c>
      <c r="I2769" s="140" t="s">
        <v>17</v>
      </c>
    </row>
    <row r="2770" spans="1:9" hidden="1" x14ac:dyDescent="0.25">
      <c r="A2770">
        <v>2012</v>
      </c>
      <c r="B2770" s="140" t="s">
        <v>333</v>
      </c>
      <c r="C2770" s="140" t="s">
        <v>19</v>
      </c>
      <c r="D2770" s="140" t="s">
        <v>11</v>
      </c>
      <c r="E2770" s="140" t="s">
        <v>12</v>
      </c>
      <c r="F2770">
        <v>36068</v>
      </c>
      <c r="G2770" s="140" t="s">
        <v>334</v>
      </c>
      <c r="H2770">
        <v>0</v>
      </c>
      <c r="I2770" s="140" t="s">
        <v>17</v>
      </c>
    </row>
    <row r="2771" spans="1:9" hidden="1" x14ac:dyDescent="0.25">
      <c r="A2771">
        <v>2013</v>
      </c>
      <c r="B2771" s="140" t="s">
        <v>333</v>
      </c>
      <c r="C2771" s="140" t="s">
        <v>19</v>
      </c>
      <c r="D2771" s="140" t="s">
        <v>11</v>
      </c>
      <c r="E2771" s="140" t="s">
        <v>12</v>
      </c>
      <c r="F2771">
        <v>36516</v>
      </c>
      <c r="G2771" s="140" t="s">
        <v>334</v>
      </c>
      <c r="H2771">
        <v>0</v>
      </c>
      <c r="I2771" s="140" t="s">
        <v>17</v>
      </c>
    </row>
    <row r="2772" spans="1:9" hidden="1" x14ac:dyDescent="0.25">
      <c r="A2772">
        <v>2014</v>
      </c>
      <c r="B2772" s="140" t="s">
        <v>333</v>
      </c>
      <c r="C2772" s="140" t="s">
        <v>19</v>
      </c>
      <c r="D2772" s="140" t="s">
        <v>11</v>
      </c>
      <c r="E2772" s="140" t="s">
        <v>12</v>
      </c>
      <c r="F2772">
        <v>38936</v>
      </c>
      <c r="G2772" s="140" t="s">
        <v>334</v>
      </c>
      <c r="H2772">
        <v>0</v>
      </c>
      <c r="I2772" s="140" t="s">
        <v>17</v>
      </c>
    </row>
    <row r="2773" spans="1:9" hidden="1" x14ac:dyDescent="0.25">
      <c r="A2773">
        <v>2015</v>
      </c>
      <c r="B2773" s="140" t="s">
        <v>333</v>
      </c>
      <c r="C2773" s="140" t="s">
        <v>19</v>
      </c>
      <c r="D2773" s="140" t="s">
        <v>11</v>
      </c>
      <c r="E2773" s="140" t="s">
        <v>12</v>
      </c>
      <c r="F2773">
        <v>41237</v>
      </c>
      <c r="G2773" s="140" t="s">
        <v>334</v>
      </c>
      <c r="H2773">
        <v>0</v>
      </c>
      <c r="I2773" s="140" t="s">
        <v>17</v>
      </c>
    </row>
    <row r="2774" spans="1:9" hidden="1" x14ac:dyDescent="0.25">
      <c r="A2774">
        <v>2016</v>
      </c>
      <c r="B2774" s="140" t="s">
        <v>333</v>
      </c>
      <c r="C2774" s="140" t="s">
        <v>19</v>
      </c>
      <c r="D2774" s="140" t="s">
        <v>11</v>
      </c>
      <c r="E2774" s="140" t="s">
        <v>12</v>
      </c>
      <c r="F2774">
        <v>41928</v>
      </c>
      <c r="G2774" s="140" t="s">
        <v>334</v>
      </c>
      <c r="H2774">
        <v>0</v>
      </c>
      <c r="I2774" s="140" t="s">
        <v>17</v>
      </c>
    </row>
    <row r="2775" spans="1:9" hidden="1" x14ac:dyDescent="0.25">
      <c r="A2775">
        <v>2017</v>
      </c>
      <c r="B2775" s="140" t="s">
        <v>333</v>
      </c>
      <c r="C2775" s="140" t="s">
        <v>19</v>
      </c>
      <c r="D2775" s="140" t="s">
        <v>11</v>
      </c>
      <c r="E2775" s="140" t="s">
        <v>12</v>
      </c>
      <c r="F2775">
        <v>47601</v>
      </c>
      <c r="G2775" s="140" t="s">
        <v>334</v>
      </c>
      <c r="H2775">
        <v>0</v>
      </c>
      <c r="I2775" s="140" t="s">
        <v>17</v>
      </c>
    </row>
    <row r="2776" spans="1:9" hidden="1" x14ac:dyDescent="0.25">
      <c r="A2776">
        <v>2018</v>
      </c>
      <c r="B2776" s="140" t="s">
        <v>333</v>
      </c>
      <c r="C2776" s="140" t="s">
        <v>19</v>
      </c>
      <c r="D2776" s="140" t="s">
        <v>11</v>
      </c>
      <c r="E2776" s="140" t="s">
        <v>12</v>
      </c>
      <c r="F2776">
        <v>48261</v>
      </c>
      <c r="G2776" s="140" t="s">
        <v>334</v>
      </c>
      <c r="H2776">
        <v>0</v>
      </c>
      <c r="I2776" s="140" t="s">
        <v>17</v>
      </c>
    </row>
    <row r="2777" spans="1:9" hidden="1" x14ac:dyDescent="0.25">
      <c r="A2777">
        <v>2019</v>
      </c>
      <c r="B2777" s="140" t="s">
        <v>333</v>
      </c>
      <c r="C2777" s="140" t="s">
        <v>19</v>
      </c>
      <c r="D2777" s="140" t="s">
        <v>11</v>
      </c>
      <c r="E2777" s="140" t="s">
        <v>12</v>
      </c>
      <c r="F2777">
        <v>48520</v>
      </c>
      <c r="G2777" s="140" t="s">
        <v>334</v>
      </c>
      <c r="H2777">
        <v>0</v>
      </c>
      <c r="I2777" s="140" t="s">
        <v>17</v>
      </c>
    </row>
    <row r="2778" spans="1:9" hidden="1" x14ac:dyDescent="0.25">
      <c r="A2778">
        <v>2020</v>
      </c>
      <c r="B2778" s="140" t="s">
        <v>333</v>
      </c>
      <c r="C2778" s="140" t="s">
        <v>19</v>
      </c>
      <c r="D2778" s="140" t="s">
        <v>11</v>
      </c>
      <c r="E2778" s="140" t="s">
        <v>12</v>
      </c>
      <c r="F2778">
        <v>51897</v>
      </c>
      <c r="G2778" s="140" t="s">
        <v>334</v>
      </c>
      <c r="H2778">
        <v>0</v>
      </c>
      <c r="I2778" s="140" t="s">
        <v>17</v>
      </c>
    </row>
    <row r="2779" spans="1:9" hidden="1" x14ac:dyDescent="0.25">
      <c r="A2779">
        <v>2021</v>
      </c>
      <c r="B2779" s="140" t="s">
        <v>333</v>
      </c>
      <c r="C2779" s="140" t="s">
        <v>19</v>
      </c>
      <c r="D2779" s="140" t="s">
        <v>11</v>
      </c>
      <c r="E2779" s="140" t="s">
        <v>12</v>
      </c>
      <c r="F2779">
        <v>53752</v>
      </c>
      <c r="G2779" s="140" t="s">
        <v>334</v>
      </c>
      <c r="H2779">
        <v>0</v>
      </c>
      <c r="I2779" s="140" t="s">
        <v>17</v>
      </c>
    </row>
    <row r="2780" spans="1:9" hidden="1" x14ac:dyDescent="0.25">
      <c r="A2780">
        <v>2022</v>
      </c>
      <c r="B2780" s="140" t="s">
        <v>333</v>
      </c>
      <c r="C2780" s="140" t="s">
        <v>19</v>
      </c>
      <c r="D2780" s="140" t="s">
        <v>11</v>
      </c>
      <c r="E2780" s="140" t="s">
        <v>12</v>
      </c>
      <c r="F2780">
        <v>54347</v>
      </c>
      <c r="G2780" s="140" t="s">
        <v>334</v>
      </c>
      <c r="H2780">
        <v>0</v>
      </c>
      <c r="I2780" s="140" t="s">
        <v>17</v>
      </c>
    </row>
    <row r="2781" spans="1:9" hidden="1" x14ac:dyDescent="0.25">
      <c r="A2781">
        <v>2023</v>
      </c>
      <c r="B2781" s="140" t="s">
        <v>333</v>
      </c>
      <c r="C2781" s="140" t="s">
        <v>19</v>
      </c>
      <c r="D2781" s="140" t="s">
        <v>11</v>
      </c>
      <c r="E2781" s="140" t="s">
        <v>12</v>
      </c>
      <c r="F2781">
        <v>50782</v>
      </c>
      <c r="G2781" s="140" t="s">
        <v>334</v>
      </c>
      <c r="H2781">
        <v>0</v>
      </c>
      <c r="I2781" s="140" t="s">
        <v>17</v>
      </c>
    </row>
    <row r="2782" spans="1:9" hidden="1" x14ac:dyDescent="0.25">
      <c r="A2782">
        <v>2024</v>
      </c>
      <c r="B2782" s="140" t="s">
        <v>333</v>
      </c>
      <c r="C2782" s="140" t="s">
        <v>19</v>
      </c>
      <c r="D2782" s="140" t="s">
        <v>11</v>
      </c>
      <c r="E2782" s="140" t="s">
        <v>12</v>
      </c>
      <c r="F2782">
        <v>50809</v>
      </c>
      <c r="G2782" s="140" t="s">
        <v>334</v>
      </c>
      <c r="H2782">
        <v>0</v>
      </c>
      <c r="I2782" s="140" t="s">
        <v>17</v>
      </c>
    </row>
    <row r="2783" spans="1:9" hidden="1" x14ac:dyDescent="0.25">
      <c r="A2783">
        <v>2025</v>
      </c>
      <c r="B2783" s="140" t="s">
        <v>333</v>
      </c>
      <c r="C2783" s="140" t="s">
        <v>19</v>
      </c>
      <c r="D2783" s="140" t="s">
        <v>11</v>
      </c>
      <c r="E2783" s="140" t="s">
        <v>12</v>
      </c>
      <c r="F2783">
        <v>51536</v>
      </c>
      <c r="G2783" s="140" t="s">
        <v>334</v>
      </c>
      <c r="H2783">
        <v>0</v>
      </c>
      <c r="I2783" s="140" t="s">
        <v>17</v>
      </c>
    </row>
    <row r="2784" spans="1:9" hidden="1" x14ac:dyDescent="0.25">
      <c r="A2784">
        <v>2026</v>
      </c>
      <c r="B2784" s="140" t="s">
        <v>333</v>
      </c>
      <c r="C2784" s="140" t="s">
        <v>19</v>
      </c>
      <c r="D2784" s="140" t="s">
        <v>11</v>
      </c>
      <c r="E2784" s="140" t="s">
        <v>12</v>
      </c>
      <c r="F2784">
        <v>54974.308429999997</v>
      </c>
      <c r="G2784" s="140" t="s">
        <v>334</v>
      </c>
      <c r="H2784">
        <v>0</v>
      </c>
      <c r="I2784" s="140" t="s">
        <v>17</v>
      </c>
    </row>
    <row r="2785" spans="1:9" hidden="1" x14ac:dyDescent="0.25">
      <c r="A2785">
        <v>2027</v>
      </c>
      <c r="B2785" s="140" t="s">
        <v>333</v>
      </c>
      <c r="C2785" s="140" t="s">
        <v>19</v>
      </c>
      <c r="D2785" s="140" t="s">
        <v>11</v>
      </c>
      <c r="E2785" s="140" t="s">
        <v>12</v>
      </c>
      <c r="F2785">
        <v>57428.847179999997</v>
      </c>
      <c r="G2785" s="140" t="s">
        <v>334</v>
      </c>
      <c r="H2785">
        <v>0</v>
      </c>
      <c r="I2785" s="140" t="s">
        <v>17</v>
      </c>
    </row>
    <row r="2786" spans="1:9" hidden="1" x14ac:dyDescent="0.25">
      <c r="A2786">
        <v>2028</v>
      </c>
      <c r="B2786" s="140" t="s">
        <v>333</v>
      </c>
      <c r="C2786" s="140" t="s">
        <v>19</v>
      </c>
      <c r="D2786" s="140" t="s">
        <v>11</v>
      </c>
      <c r="E2786" s="140" t="s">
        <v>12</v>
      </c>
      <c r="F2786">
        <v>59801.497080000001</v>
      </c>
      <c r="G2786" s="140" t="s">
        <v>334</v>
      </c>
      <c r="H2786">
        <v>0</v>
      </c>
      <c r="I2786" s="140" t="s">
        <v>17</v>
      </c>
    </row>
    <row r="2787" spans="1:9" hidden="1" x14ac:dyDescent="0.25">
      <c r="A2787">
        <v>1990</v>
      </c>
      <c r="B2787" s="140" t="s">
        <v>48</v>
      </c>
      <c r="C2787" s="140" t="s">
        <v>19</v>
      </c>
      <c r="D2787" s="140" t="s">
        <v>11</v>
      </c>
      <c r="E2787" s="140" t="s">
        <v>12</v>
      </c>
      <c r="F2787">
        <v>71868</v>
      </c>
      <c r="G2787" s="140" t="s">
        <v>337</v>
      </c>
      <c r="H2787">
        <v>0</v>
      </c>
      <c r="I2787" s="140" t="s">
        <v>17</v>
      </c>
    </row>
    <row r="2788" spans="1:9" hidden="1" x14ac:dyDescent="0.25">
      <c r="A2788">
        <v>1991</v>
      </c>
      <c r="B2788" s="140" t="s">
        <v>48</v>
      </c>
      <c r="C2788" s="140" t="s">
        <v>19</v>
      </c>
      <c r="D2788" s="140" t="s">
        <v>11</v>
      </c>
      <c r="E2788" s="140" t="s">
        <v>12</v>
      </c>
      <c r="F2788">
        <v>66483</v>
      </c>
      <c r="G2788" s="140" t="s">
        <v>337</v>
      </c>
      <c r="H2788">
        <v>0</v>
      </c>
      <c r="I2788" s="140" t="s">
        <v>17</v>
      </c>
    </row>
    <row r="2789" spans="1:9" hidden="1" x14ac:dyDescent="0.25">
      <c r="A2789">
        <v>1992</v>
      </c>
      <c r="B2789" s="140" t="s">
        <v>48</v>
      </c>
      <c r="C2789" s="140" t="s">
        <v>19</v>
      </c>
      <c r="D2789" s="140" t="s">
        <v>11</v>
      </c>
      <c r="E2789" s="140" t="s">
        <v>12</v>
      </c>
      <c r="F2789">
        <v>63493</v>
      </c>
      <c r="G2789" s="140" t="s">
        <v>337</v>
      </c>
      <c r="H2789">
        <v>0</v>
      </c>
      <c r="I2789" s="140" t="s">
        <v>17</v>
      </c>
    </row>
    <row r="2790" spans="1:9" hidden="1" x14ac:dyDescent="0.25">
      <c r="A2790">
        <v>1993</v>
      </c>
      <c r="B2790" s="140" t="s">
        <v>48</v>
      </c>
      <c r="C2790" s="140" t="s">
        <v>19</v>
      </c>
      <c r="D2790" s="140" t="s">
        <v>11</v>
      </c>
      <c r="E2790" s="140" t="s">
        <v>12</v>
      </c>
      <c r="F2790">
        <v>63477</v>
      </c>
      <c r="G2790" s="140" t="s">
        <v>337</v>
      </c>
      <c r="H2790">
        <v>0</v>
      </c>
      <c r="I2790" s="140" t="s">
        <v>17</v>
      </c>
    </row>
    <row r="2791" spans="1:9" hidden="1" x14ac:dyDescent="0.25">
      <c r="A2791">
        <v>1994</v>
      </c>
      <c r="B2791" s="140" t="s">
        <v>48</v>
      </c>
      <c r="C2791" s="140" t="s">
        <v>19</v>
      </c>
      <c r="D2791" s="140" t="s">
        <v>11</v>
      </c>
      <c r="E2791" s="140" t="s">
        <v>12</v>
      </c>
      <c r="F2791">
        <v>69110</v>
      </c>
      <c r="G2791" s="140" t="s">
        <v>337</v>
      </c>
      <c r="H2791">
        <v>0</v>
      </c>
      <c r="I2791" s="140" t="s">
        <v>17</v>
      </c>
    </row>
    <row r="2792" spans="1:9" hidden="1" x14ac:dyDescent="0.25">
      <c r="A2792">
        <v>1995</v>
      </c>
      <c r="B2792" s="140" t="s">
        <v>48</v>
      </c>
      <c r="C2792" s="140" t="s">
        <v>19</v>
      </c>
      <c r="D2792" s="140" t="s">
        <v>11</v>
      </c>
      <c r="E2792" s="140" t="s">
        <v>12</v>
      </c>
      <c r="F2792">
        <v>77777</v>
      </c>
      <c r="G2792" s="140" t="s">
        <v>337</v>
      </c>
      <c r="H2792">
        <v>0</v>
      </c>
      <c r="I2792" s="140" t="s">
        <v>17</v>
      </c>
    </row>
    <row r="2793" spans="1:9" hidden="1" x14ac:dyDescent="0.25">
      <c r="A2793">
        <v>1996</v>
      </c>
      <c r="B2793" s="140" t="s">
        <v>48</v>
      </c>
      <c r="C2793" s="140" t="s">
        <v>19</v>
      </c>
      <c r="D2793" s="140" t="s">
        <v>11</v>
      </c>
      <c r="E2793" s="140" t="s">
        <v>12</v>
      </c>
      <c r="F2793">
        <v>81361</v>
      </c>
      <c r="G2793" s="140" t="s">
        <v>337</v>
      </c>
      <c r="H2793">
        <v>0</v>
      </c>
      <c r="I2793" s="140" t="s">
        <v>17</v>
      </c>
    </row>
    <row r="2794" spans="1:9" hidden="1" x14ac:dyDescent="0.25">
      <c r="A2794">
        <v>1997</v>
      </c>
      <c r="B2794" s="140" t="s">
        <v>48</v>
      </c>
      <c r="C2794" s="140" t="s">
        <v>19</v>
      </c>
      <c r="D2794" s="140" t="s">
        <v>11</v>
      </c>
      <c r="E2794" s="140" t="s">
        <v>12</v>
      </c>
      <c r="F2794">
        <v>89935</v>
      </c>
      <c r="G2794" s="140" t="s">
        <v>337</v>
      </c>
      <c r="H2794">
        <v>0</v>
      </c>
      <c r="I2794" s="140" t="s">
        <v>17</v>
      </c>
    </row>
    <row r="2795" spans="1:9" hidden="1" x14ac:dyDescent="0.25">
      <c r="A2795">
        <v>1998</v>
      </c>
      <c r="B2795" s="140" t="s">
        <v>48</v>
      </c>
      <c r="C2795" s="140" t="s">
        <v>19</v>
      </c>
      <c r="D2795" s="140" t="s">
        <v>11</v>
      </c>
      <c r="E2795" s="140" t="s">
        <v>12</v>
      </c>
      <c r="F2795">
        <v>97872</v>
      </c>
      <c r="G2795" s="140" t="s">
        <v>337</v>
      </c>
      <c r="H2795">
        <v>0</v>
      </c>
      <c r="I2795" s="140" t="s">
        <v>17</v>
      </c>
    </row>
    <row r="2796" spans="1:9" hidden="1" x14ac:dyDescent="0.25">
      <c r="A2796">
        <v>1999</v>
      </c>
      <c r="B2796" s="140" t="s">
        <v>48</v>
      </c>
      <c r="C2796" s="140" t="s">
        <v>19</v>
      </c>
      <c r="D2796" s="140" t="s">
        <v>11</v>
      </c>
      <c r="E2796" s="140" t="s">
        <v>12</v>
      </c>
      <c r="F2796">
        <v>104237</v>
      </c>
      <c r="G2796" s="140" t="s">
        <v>337</v>
      </c>
      <c r="H2796">
        <v>0</v>
      </c>
      <c r="I2796" s="140" t="s">
        <v>17</v>
      </c>
    </row>
    <row r="2797" spans="1:9" hidden="1" x14ac:dyDescent="0.25">
      <c r="A2797">
        <v>2000</v>
      </c>
      <c r="B2797" s="140" t="s">
        <v>48</v>
      </c>
      <c r="C2797" s="140" t="s">
        <v>19</v>
      </c>
      <c r="D2797" s="140" t="s">
        <v>11</v>
      </c>
      <c r="E2797" s="140" t="s">
        <v>12</v>
      </c>
      <c r="F2797">
        <v>112431</v>
      </c>
      <c r="G2797" s="140" t="s">
        <v>337</v>
      </c>
      <c r="H2797">
        <v>0</v>
      </c>
      <c r="I2797" s="140" t="s">
        <v>17</v>
      </c>
    </row>
    <row r="2798" spans="1:9" hidden="1" x14ac:dyDescent="0.25">
      <c r="A2798">
        <v>2001</v>
      </c>
      <c r="B2798" s="140" t="s">
        <v>48</v>
      </c>
      <c r="C2798" s="140" t="s">
        <v>19</v>
      </c>
      <c r="D2798" s="140" t="s">
        <v>11</v>
      </c>
      <c r="E2798" s="140" t="s">
        <v>12</v>
      </c>
      <c r="F2798">
        <v>119908</v>
      </c>
      <c r="G2798" s="140" t="s">
        <v>337</v>
      </c>
      <c r="H2798">
        <v>0</v>
      </c>
      <c r="I2798" s="140" t="s">
        <v>17</v>
      </c>
    </row>
    <row r="2799" spans="1:9" hidden="1" x14ac:dyDescent="0.25">
      <c r="A2799">
        <v>2002</v>
      </c>
      <c r="B2799" s="140" t="s">
        <v>48</v>
      </c>
      <c r="C2799" s="140" t="s">
        <v>19</v>
      </c>
      <c r="D2799" s="140" t="s">
        <v>11</v>
      </c>
      <c r="E2799" s="140" t="s">
        <v>12</v>
      </c>
      <c r="F2799">
        <v>123481</v>
      </c>
      <c r="G2799" s="140" t="s">
        <v>337</v>
      </c>
      <c r="H2799">
        <v>0</v>
      </c>
      <c r="I2799" s="140" t="s">
        <v>17</v>
      </c>
    </row>
    <row r="2800" spans="1:9" hidden="1" x14ac:dyDescent="0.25">
      <c r="A2800">
        <v>2003</v>
      </c>
      <c r="B2800" s="140" t="s">
        <v>48</v>
      </c>
      <c r="C2800" s="140" t="s">
        <v>19</v>
      </c>
      <c r="D2800" s="140" t="s">
        <v>11</v>
      </c>
      <c r="E2800" s="140" t="s">
        <v>12</v>
      </c>
      <c r="F2800">
        <v>124670</v>
      </c>
      <c r="G2800" s="140" t="s">
        <v>337</v>
      </c>
      <c r="H2800">
        <v>0</v>
      </c>
      <c r="I2800" s="140" t="s">
        <v>17</v>
      </c>
    </row>
    <row r="2801" spans="1:9" hidden="1" x14ac:dyDescent="0.25">
      <c r="A2801">
        <v>2004</v>
      </c>
      <c r="B2801" s="140" t="s">
        <v>48</v>
      </c>
      <c r="C2801" s="140" t="s">
        <v>19</v>
      </c>
      <c r="D2801" s="140" t="s">
        <v>11</v>
      </c>
      <c r="E2801" s="140" t="s">
        <v>12</v>
      </c>
      <c r="F2801">
        <v>132422</v>
      </c>
      <c r="G2801" s="140" t="s">
        <v>337</v>
      </c>
      <c r="H2801">
        <v>0</v>
      </c>
      <c r="I2801" s="140" t="s">
        <v>17</v>
      </c>
    </row>
    <row r="2802" spans="1:9" hidden="1" x14ac:dyDescent="0.25">
      <c r="A2802">
        <v>2005</v>
      </c>
      <c r="B2802" s="140" t="s">
        <v>48</v>
      </c>
      <c r="C2802" s="140" t="s">
        <v>19</v>
      </c>
      <c r="D2802" s="140" t="s">
        <v>11</v>
      </c>
      <c r="E2802" s="140" t="s">
        <v>12</v>
      </c>
      <c r="F2802">
        <v>136349</v>
      </c>
      <c r="G2802" s="140" t="s">
        <v>337</v>
      </c>
      <c r="H2802">
        <v>0</v>
      </c>
      <c r="I2802" s="140" t="s">
        <v>17</v>
      </c>
    </row>
    <row r="2803" spans="1:9" hidden="1" x14ac:dyDescent="0.25">
      <c r="A2803">
        <v>2006</v>
      </c>
      <c r="B2803" s="140" t="s">
        <v>48</v>
      </c>
      <c r="C2803" s="140" t="s">
        <v>19</v>
      </c>
      <c r="D2803" s="140" t="s">
        <v>11</v>
      </c>
      <c r="E2803" s="140" t="s">
        <v>12</v>
      </c>
      <c r="F2803">
        <v>144004</v>
      </c>
      <c r="G2803" s="140" t="s">
        <v>337</v>
      </c>
      <c r="H2803">
        <v>0</v>
      </c>
      <c r="I2803" s="140" t="s">
        <v>17</v>
      </c>
    </row>
    <row r="2804" spans="1:9" hidden="1" x14ac:dyDescent="0.25">
      <c r="A2804">
        <v>2007</v>
      </c>
      <c r="B2804" s="140" t="s">
        <v>48</v>
      </c>
      <c r="C2804" s="140" t="s">
        <v>19</v>
      </c>
      <c r="D2804" s="140" t="s">
        <v>11</v>
      </c>
      <c r="E2804" s="140" t="s">
        <v>12</v>
      </c>
      <c r="F2804">
        <v>155142</v>
      </c>
      <c r="G2804" s="140" t="s">
        <v>337</v>
      </c>
      <c r="H2804">
        <v>0</v>
      </c>
      <c r="I2804" s="140" t="s">
        <v>17</v>
      </c>
    </row>
    <row r="2805" spans="1:9" hidden="1" x14ac:dyDescent="0.25">
      <c r="A2805">
        <v>2008</v>
      </c>
      <c r="B2805" s="140" t="s">
        <v>48</v>
      </c>
      <c r="C2805" s="140" t="s">
        <v>19</v>
      </c>
      <c r="D2805" s="140" t="s">
        <v>11</v>
      </c>
      <c r="E2805" s="140" t="s">
        <v>12</v>
      </c>
      <c r="F2805">
        <v>159750</v>
      </c>
      <c r="G2805" s="140" t="s">
        <v>337</v>
      </c>
      <c r="H2805">
        <v>0</v>
      </c>
      <c r="I2805" s="140" t="s">
        <v>17</v>
      </c>
    </row>
    <row r="2806" spans="1:9" hidden="1" x14ac:dyDescent="0.25">
      <c r="A2806">
        <v>2009</v>
      </c>
      <c r="B2806" s="140" t="s">
        <v>48</v>
      </c>
      <c r="C2806" s="140" t="s">
        <v>19</v>
      </c>
      <c r="D2806" s="140" t="s">
        <v>11</v>
      </c>
      <c r="E2806" s="140" t="s">
        <v>12</v>
      </c>
      <c r="F2806">
        <v>148498</v>
      </c>
      <c r="G2806" s="140" t="s">
        <v>337</v>
      </c>
      <c r="H2806">
        <v>0</v>
      </c>
      <c r="I2806" s="140" t="s">
        <v>17</v>
      </c>
    </row>
    <row r="2807" spans="1:9" hidden="1" x14ac:dyDescent="0.25">
      <c r="A2807">
        <v>2010</v>
      </c>
      <c r="B2807" s="140" t="s">
        <v>48</v>
      </c>
      <c r="C2807" s="140" t="s">
        <v>19</v>
      </c>
      <c r="D2807" s="140" t="s">
        <v>11</v>
      </c>
      <c r="E2807" s="140" t="s">
        <v>12</v>
      </c>
      <c r="F2807">
        <v>155300</v>
      </c>
      <c r="G2807" s="140" t="s">
        <v>337</v>
      </c>
      <c r="H2807">
        <v>0</v>
      </c>
      <c r="I2807" s="140" t="s">
        <v>17</v>
      </c>
    </row>
    <row r="2808" spans="1:9" hidden="1" x14ac:dyDescent="0.25">
      <c r="A2808">
        <v>2011</v>
      </c>
      <c r="B2808" s="140" t="s">
        <v>48</v>
      </c>
      <c r="C2808" s="140" t="s">
        <v>19</v>
      </c>
      <c r="D2808" s="140" t="s">
        <v>11</v>
      </c>
      <c r="E2808" s="140" t="s">
        <v>12</v>
      </c>
      <c r="F2808">
        <v>161932</v>
      </c>
      <c r="G2808" s="140" t="s">
        <v>337</v>
      </c>
      <c r="H2808">
        <v>0</v>
      </c>
      <c r="I2808" s="140" t="s">
        <v>17</v>
      </c>
    </row>
    <row r="2809" spans="1:9" hidden="1" x14ac:dyDescent="0.25">
      <c r="A2809">
        <v>2012</v>
      </c>
      <c r="B2809" s="140" t="s">
        <v>48</v>
      </c>
      <c r="C2809" s="140" t="s">
        <v>19</v>
      </c>
      <c r="D2809" s="140" t="s">
        <v>11</v>
      </c>
      <c r="E2809" s="140" t="s">
        <v>12</v>
      </c>
      <c r="F2809">
        <v>162990</v>
      </c>
      <c r="G2809" s="140" t="s">
        <v>337</v>
      </c>
      <c r="H2809">
        <v>0</v>
      </c>
      <c r="I2809" s="140" t="s">
        <v>17</v>
      </c>
    </row>
    <row r="2810" spans="1:9" hidden="1" x14ac:dyDescent="0.25">
      <c r="A2810">
        <v>2013</v>
      </c>
      <c r="B2810" s="140" t="s">
        <v>48</v>
      </c>
      <c r="C2810" s="140" t="s">
        <v>19</v>
      </c>
      <c r="D2810" s="140" t="s">
        <v>11</v>
      </c>
      <c r="E2810" s="140" t="s">
        <v>12</v>
      </c>
      <c r="F2810">
        <v>165586</v>
      </c>
      <c r="G2810" s="140" t="s">
        <v>337</v>
      </c>
      <c r="H2810">
        <v>0</v>
      </c>
      <c r="I2810" s="140" t="s">
        <v>17</v>
      </c>
    </row>
    <row r="2811" spans="1:9" hidden="1" x14ac:dyDescent="0.25">
      <c r="A2811">
        <v>2014</v>
      </c>
      <c r="B2811" s="140" t="s">
        <v>48</v>
      </c>
      <c r="C2811" s="140" t="s">
        <v>19</v>
      </c>
      <c r="D2811" s="140" t="s">
        <v>11</v>
      </c>
      <c r="E2811" s="140" t="s">
        <v>12</v>
      </c>
      <c r="F2811">
        <v>168690</v>
      </c>
      <c r="G2811" s="140" t="s">
        <v>337</v>
      </c>
      <c r="H2811">
        <v>0</v>
      </c>
      <c r="I2811" s="140" t="s">
        <v>17</v>
      </c>
    </row>
    <row r="2812" spans="1:9" hidden="1" x14ac:dyDescent="0.25">
      <c r="A2812">
        <v>2015</v>
      </c>
      <c r="B2812" s="140" t="s">
        <v>48</v>
      </c>
      <c r="C2812" s="140" t="s">
        <v>19</v>
      </c>
      <c r="D2812" s="140" t="s">
        <v>11</v>
      </c>
      <c r="E2812" s="140" t="s">
        <v>12</v>
      </c>
      <c r="F2812">
        <v>172250</v>
      </c>
      <c r="G2812" s="140" t="s">
        <v>337</v>
      </c>
      <c r="H2812">
        <v>0</v>
      </c>
      <c r="I2812" s="140" t="s">
        <v>17</v>
      </c>
    </row>
    <row r="2813" spans="1:9" hidden="1" x14ac:dyDescent="0.25">
      <c r="A2813">
        <v>2016</v>
      </c>
      <c r="B2813" s="140" t="s">
        <v>48</v>
      </c>
      <c r="C2813" s="140" t="s">
        <v>19</v>
      </c>
      <c r="D2813" s="140" t="s">
        <v>11</v>
      </c>
      <c r="E2813" s="140" t="s">
        <v>12</v>
      </c>
      <c r="F2813">
        <v>176292</v>
      </c>
      <c r="G2813" s="140" t="s">
        <v>337</v>
      </c>
      <c r="H2813">
        <v>0</v>
      </c>
      <c r="I2813" s="140" t="s">
        <v>17</v>
      </c>
    </row>
    <row r="2814" spans="1:9" hidden="1" x14ac:dyDescent="0.25">
      <c r="A2814">
        <v>2017</v>
      </c>
      <c r="B2814" s="140" t="s">
        <v>48</v>
      </c>
      <c r="C2814" s="140" t="s">
        <v>19</v>
      </c>
      <c r="D2814" s="140" t="s">
        <v>11</v>
      </c>
      <c r="E2814" s="140" t="s">
        <v>12</v>
      </c>
      <c r="F2814">
        <v>183297</v>
      </c>
      <c r="G2814" s="140" t="s">
        <v>337</v>
      </c>
      <c r="H2814">
        <v>0</v>
      </c>
      <c r="I2814" s="140" t="s">
        <v>17</v>
      </c>
    </row>
    <row r="2815" spans="1:9" hidden="1" x14ac:dyDescent="0.25">
      <c r="A2815">
        <v>2018</v>
      </c>
      <c r="B2815" s="140" t="s">
        <v>48</v>
      </c>
      <c r="C2815" s="140" t="s">
        <v>19</v>
      </c>
      <c r="D2815" s="140" t="s">
        <v>11</v>
      </c>
      <c r="E2815" s="140" t="s">
        <v>12</v>
      </c>
      <c r="F2815">
        <v>189684</v>
      </c>
      <c r="G2815" s="140" t="s">
        <v>337</v>
      </c>
      <c r="H2815">
        <v>0</v>
      </c>
      <c r="I2815" s="140" t="s">
        <v>17</v>
      </c>
    </row>
    <row r="2816" spans="1:9" hidden="1" x14ac:dyDescent="0.25">
      <c r="A2816">
        <v>2019</v>
      </c>
      <c r="B2816" s="140" t="s">
        <v>48</v>
      </c>
      <c r="C2816" s="140" t="s">
        <v>19</v>
      </c>
      <c r="D2816" s="140" t="s">
        <v>11</v>
      </c>
      <c r="E2816" s="140" t="s">
        <v>12</v>
      </c>
      <c r="F2816">
        <v>194045</v>
      </c>
      <c r="G2816" s="140" t="s">
        <v>337</v>
      </c>
      <c r="H2816">
        <v>0</v>
      </c>
      <c r="I2816" s="140" t="s">
        <v>17</v>
      </c>
    </row>
    <row r="2817" spans="1:9" hidden="1" x14ac:dyDescent="0.25">
      <c r="A2817">
        <v>2020</v>
      </c>
      <c r="B2817" s="140" t="s">
        <v>48</v>
      </c>
      <c r="C2817" s="140" t="s">
        <v>19</v>
      </c>
      <c r="D2817" s="140" t="s">
        <v>11</v>
      </c>
      <c r="E2817" s="140" t="s">
        <v>12</v>
      </c>
      <c r="F2817">
        <v>193458</v>
      </c>
      <c r="G2817" s="140" t="s">
        <v>337</v>
      </c>
      <c r="H2817">
        <v>0</v>
      </c>
      <c r="I2817" s="140" t="s">
        <v>17</v>
      </c>
    </row>
    <row r="2818" spans="1:9" hidden="1" x14ac:dyDescent="0.25">
      <c r="A2818">
        <v>2021</v>
      </c>
      <c r="B2818" s="140" t="s">
        <v>48</v>
      </c>
      <c r="C2818" s="140" t="s">
        <v>19</v>
      </c>
      <c r="D2818" s="140" t="s">
        <v>11</v>
      </c>
      <c r="E2818" s="140" t="s">
        <v>12</v>
      </c>
      <c r="F2818">
        <v>204553</v>
      </c>
      <c r="G2818" s="140" t="s">
        <v>337</v>
      </c>
      <c r="H2818">
        <v>0</v>
      </c>
      <c r="I2818" s="140" t="s">
        <v>17</v>
      </c>
    </row>
    <row r="2819" spans="1:9" hidden="1" x14ac:dyDescent="0.25">
      <c r="A2819">
        <v>2022</v>
      </c>
      <c r="B2819" s="140" t="s">
        <v>48</v>
      </c>
      <c r="C2819" s="140" t="s">
        <v>19</v>
      </c>
      <c r="D2819" s="140" t="s">
        <v>11</v>
      </c>
      <c r="E2819" s="140" t="s">
        <v>12</v>
      </c>
      <c r="F2819">
        <v>215905</v>
      </c>
      <c r="G2819" s="140" t="s">
        <v>337</v>
      </c>
      <c r="H2819">
        <v>0</v>
      </c>
      <c r="I2819" s="140" t="s">
        <v>17</v>
      </c>
    </row>
    <row r="2820" spans="1:9" hidden="1" x14ac:dyDescent="0.25">
      <c r="A2820">
        <v>2023</v>
      </c>
      <c r="B2820" s="140" t="s">
        <v>48</v>
      </c>
      <c r="C2820" s="140" t="s">
        <v>19</v>
      </c>
      <c r="D2820" s="140" t="s">
        <v>11</v>
      </c>
      <c r="E2820" s="140" t="s">
        <v>12</v>
      </c>
      <c r="F2820">
        <v>217665</v>
      </c>
      <c r="G2820" s="140" t="s">
        <v>337</v>
      </c>
      <c r="H2820">
        <v>0</v>
      </c>
      <c r="I2820" s="140" t="s">
        <v>17</v>
      </c>
    </row>
    <row r="2821" spans="1:9" hidden="1" x14ac:dyDescent="0.25">
      <c r="A2821">
        <v>2024</v>
      </c>
      <c r="B2821" s="140" t="s">
        <v>48</v>
      </c>
      <c r="C2821" s="140" t="s">
        <v>19</v>
      </c>
      <c r="D2821" s="140" t="s">
        <v>11</v>
      </c>
      <c r="E2821" s="140" t="s">
        <v>12</v>
      </c>
      <c r="F2821">
        <v>219544</v>
      </c>
      <c r="G2821" s="140" t="s">
        <v>337</v>
      </c>
      <c r="H2821">
        <v>0</v>
      </c>
      <c r="I2821" s="140" t="s">
        <v>17</v>
      </c>
    </row>
    <row r="2822" spans="1:9" hidden="1" x14ac:dyDescent="0.25">
      <c r="A2822">
        <v>2025</v>
      </c>
      <c r="B2822" s="140" t="s">
        <v>48</v>
      </c>
      <c r="C2822" s="140" t="s">
        <v>19</v>
      </c>
      <c r="D2822" s="140" t="s">
        <v>11</v>
      </c>
      <c r="E2822" s="140" t="s">
        <v>12</v>
      </c>
      <c r="F2822">
        <v>224952</v>
      </c>
      <c r="G2822" s="140" t="s">
        <v>337</v>
      </c>
      <c r="H2822">
        <v>0</v>
      </c>
      <c r="I2822" s="140" t="s">
        <v>17</v>
      </c>
    </row>
    <row r="2823" spans="1:9" hidden="1" x14ac:dyDescent="0.25">
      <c r="A2823">
        <v>2026</v>
      </c>
      <c r="B2823" s="140" t="s">
        <v>48</v>
      </c>
      <c r="C2823" s="140" t="s">
        <v>19</v>
      </c>
      <c r="D2823" s="140" t="s">
        <v>11</v>
      </c>
      <c r="E2823" s="140" t="s">
        <v>12</v>
      </c>
      <c r="F2823">
        <v>234743.82430000001</v>
      </c>
      <c r="G2823" s="140" t="s">
        <v>337</v>
      </c>
      <c r="H2823">
        <v>0</v>
      </c>
      <c r="I2823" s="140" t="s">
        <v>17</v>
      </c>
    </row>
    <row r="2824" spans="1:9" hidden="1" x14ac:dyDescent="0.25">
      <c r="A2824">
        <v>2027</v>
      </c>
      <c r="B2824" s="140" t="s">
        <v>48</v>
      </c>
      <c r="C2824" s="140" t="s">
        <v>19</v>
      </c>
      <c r="D2824" s="140" t="s">
        <v>11</v>
      </c>
      <c r="E2824" s="140" t="s">
        <v>12</v>
      </c>
      <c r="F2824">
        <v>244554.7776</v>
      </c>
      <c r="G2824" s="140" t="s">
        <v>337</v>
      </c>
      <c r="H2824">
        <v>0</v>
      </c>
      <c r="I2824" s="140" t="s">
        <v>17</v>
      </c>
    </row>
    <row r="2825" spans="1:9" hidden="1" x14ac:dyDescent="0.25">
      <c r="A2825">
        <v>2028</v>
      </c>
      <c r="B2825" s="140" t="s">
        <v>48</v>
      </c>
      <c r="C2825" s="140" t="s">
        <v>19</v>
      </c>
      <c r="D2825" s="140" t="s">
        <v>11</v>
      </c>
      <c r="E2825" s="140" t="s">
        <v>12</v>
      </c>
      <c r="F2825">
        <v>254656.3175</v>
      </c>
      <c r="G2825" s="140" t="s">
        <v>337</v>
      </c>
      <c r="H2825">
        <v>0</v>
      </c>
      <c r="I2825" s="140" t="s">
        <v>17</v>
      </c>
    </row>
    <row r="2826" spans="1:9" hidden="1" x14ac:dyDescent="0.25">
      <c r="A2826">
        <v>1990</v>
      </c>
      <c r="B2826" s="140" t="s">
        <v>110</v>
      </c>
      <c r="C2826" s="140" t="s">
        <v>19</v>
      </c>
      <c r="D2826" s="140" t="s">
        <v>11</v>
      </c>
      <c r="E2826" s="140" t="s">
        <v>12</v>
      </c>
      <c r="F2826">
        <v>43398</v>
      </c>
      <c r="G2826" s="140" t="s">
        <v>258</v>
      </c>
      <c r="H2826">
        <v>0</v>
      </c>
      <c r="I2826" s="140" t="s">
        <v>17</v>
      </c>
    </row>
    <row r="2827" spans="1:9" hidden="1" x14ac:dyDescent="0.25">
      <c r="A2827">
        <v>1991</v>
      </c>
      <c r="B2827" s="140" t="s">
        <v>110</v>
      </c>
      <c r="C2827" s="140" t="s">
        <v>19</v>
      </c>
      <c r="D2827" s="140" t="s">
        <v>11</v>
      </c>
      <c r="E2827" s="140" t="s">
        <v>12</v>
      </c>
      <c r="F2827">
        <v>44054</v>
      </c>
      <c r="G2827" s="140" t="s">
        <v>258</v>
      </c>
      <c r="H2827">
        <v>0</v>
      </c>
      <c r="I2827" s="140" t="s">
        <v>17</v>
      </c>
    </row>
    <row r="2828" spans="1:9" hidden="1" x14ac:dyDescent="0.25">
      <c r="A2828">
        <v>1992</v>
      </c>
      <c r="B2828" s="140" t="s">
        <v>110</v>
      </c>
      <c r="C2828" s="140" t="s">
        <v>19</v>
      </c>
      <c r="D2828" s="140" t="s">
        <v>11</v>
      </c>
      <c r="E2828" s="140" t="s">
        <v>12</v>
      </c>
      <c r="F2828">
        <v>43709</v>
      </c>
      <c r="G2828" s="140" t="s">
        <v>258</v>
      </c>
      <c r="H2828">
        <v>0</v>
      </c>
      <c r="I2828" s="140" t="s">
        <v>17</v>
      </c>
    </row>
    <row r="2829" spans="1:9" hidden="1" x14ac:dyDescent="0.25">
      <c r="A2829">
        <v>1993</v>
      </c>
      <c r="B2829" s="140" t="s">
        <v>110</v>
      </c>
      <c r="C2829" s="140" t="s">
        <v>19</v>
      </c>
      <c r="D2829" s="140" t="s">
        <v>11</v>
      </c>
      <c r="E2829" s="140" t="s">
        <v>12</v>
      </c>
      <c r="F2829">
        <v>44594</v>
      </c>
      <c r="G2829" s="140" t="s">
        <v>258</v>
      </c>
      <c r="H2829">
        <v>0</v>
      </c>
      <c r="I2829" s="140" t="s">
        <v>17</v>
      </c>
    </row>
    <row r="2830" spans="1:9" hidden="1" x14ac:dyDescent="0.25">
      <c r="A2830">
        <v>1994</v>
      </c>
      <c r="B2830" s="140" t="s">
        <v>110</v>
      </c>
      <c r="C2830" s="140" t="s">
        <v>19</v>
      </c>
      <c r="D2830" s="140" t="s">
        <v>11</v>
      </c>
      <c r="E2830" s="140" t="s">
        <v>12</v>
      </c>
      <c r="F2830">
        <v>46192</v>
      </c>
      <c r="G2830" s="140" t="s">
        <v>258</v>
      </c>
      <c r="H2830">
        <v>0</v>
      </c>
      <c r="I2830" s="140" t="s">
        <v>17</v>
      </c>
    </row>
    <row r="2831" spans="1:9" hidden="1" x14ac:dyDescent="0.25">
      <c r="A2831">
        <v>1995</v>
      </c>
      <c r="B2831" s="140" t="s">
        <v>110</v>
      </c>
      <c r="C2831" s="140" t="s">
        <v>19</v>
      </c>
      <c r="D2831" s="140" t="s">
        <v>11</v>
      </c>
      <c r="E2831" s="140" t="s">
        <v>12</v>
      </c>
      <c r="F2831">
        <v>48375</v>
      </c>
      <c r="G2831" s="140" t="s">
        <v>258</v>
      </c>
      <c r="H2831">
        <v>0</v>
      </c>
      <c r="I2831" s="140" t="s">
        <v>17</v>
      </c>
    </row>
    <row r="2832" spans="1:9" hidden="1" x14ac:dyDescent="0.25">
      <c r="A2832">
        <v>1996</v>
      </c>
      <c r="B2832" s="140" t="s">
        <v>110</v>
      </c>
      <c r="C2832" s="140" t="s">
        <v>19</v>
      </c>
      <c r="D2832" s="140" t="s">
        <v>11</v>
      </c>
      <c r="E2832" s="140" t="s">
        <v>12</v>
      </c>
      <c r="F2832">
        <v>50705</v>
      </c>
      <c r="G2832" s="140" t="s">
        <v>258</v>
      </c>
      <c r="H2832">
        <v>0</v>
      </c>
      <c r="I2832" s="140" t="s">
        <v>17</v>
      </c>
    </row>
    <row r="2833" spans="1:9" hidden="1" x14ac:dyDescent="0.25">
      <c r="A2833">
        <v>1997</v>
      </c>
      <c r="B2833" s="140" t="s">
        <v>110</v>
      </c>
      <c r="C2833" s="140" t="s">
        <v>19</v>
      </c>
      <c r="D2833" s="140" t="s">
        <v>11</v>
      </c>
      <c r="E2833" s="140" t="s">
        <v>12</v>
      </c>
      <c r="F2833">
        <v>53684</v>
      </c>
      <c r="G2833" s="140" t="s">
        <v>258</v>
      </c>
      <c r="H2833">
        <v>0</v>
      </c>
      <c r="I2833" s="140" t="s">
        <v>17</v>
      </c>
    </row>
    <row r="2834" spans="1:9" hidden="1" x14ac:dyDescent="0.25">
      <c r="A2834">
        <v>1998</v>
      </c>
      <c r="B2834" s="140" t="s">
        <v>110</v>
      </c>
      <c r="C2834" s="140" t="s">
        <v>19</v>
      </c>
      <c r="D2834" s="140" t="s">
        <v>11</v>
      </c>
      <c r="E2834" s="140" t="s">
        <v>12</v>
      </c>
      <c r="F2834">
        <v>57052</v>
      </c>
      <c r="G2834" s="140" t="s">
        <v>258</v>
      </c>
      <c r="H2834">
        <v>0</v>
      </c>
      <c r="I2834" s="140" t="s">
        <v>17</v>
      </c>
    </row>
    <row r="2835" spans="1:9" hidden="1" x14ac:dyDescent="0.25">
      <c r="A2835">
        <v>1999</v>
      </c>
      <c r="B2835" s="140" t="s">
        <v>110</v>
      </c>
      <c r="C2835" s="140" t="s">
        <v>19</v>
      </c>
      <c r="D2835" s="140" t="s">
        <v>11</v>
      </c>
      <c r="E2835" s="140" t="s">
        <v>12</v>
      </c>
      <c r="F2835">
        <v>59755</v>
      </c>
      <c r="G2835" s="140" t="s">
        <v>258</v>
      </c>
      <c r="H2835">
        <v>0</v>
      </c>
      <c r="I2835" s="140" t="s">
        <v>17</v>
      </c>
    </row>
    <row r="2836" spans="1:9" hidden="1" x14ac:dyDescent="0.25">
      <c r="A2836">
        <v>2000</v>
      </c>
      <c r="B2836" s="140" t="s">
        <v>110</v>
      </c>
      <c r="C2836" s="140" t="s">
        <v>19</v>
      </c>
      <c r="D2836" s="140" t="s">
        <v>11</v>
      </c>
      <c r="E2836" s="140" t="s">
        <v>12</v>
      </c>
      <c r="F2836">
        <v>62884</v>
      </c>
      <c r="G2836" s="140" t="s">
        <v>258</v>
      </c>
      <c r="H2836">
        <v>0</v>
      </c>
      <c r="I2836" s="140" t="s">
        <v>17</v>
      </c>
    </row>
    <row r="2837" spans="1:9" hidden="1" x14ac:dyDescent="0.25">
      <c r="A2837">
        <v>2001</v>
      </c>
      <c r="B2837" s="140" t="s">
        <v>110</v>
      </c>
      <c r="C2837" s="140" t="s">
        <v>19</v>
      </c>
      <c r="D2837" s="140" t="s">
        <v>11</v>
      </c>
      <c r="E2837" s="140" t="s">
        <v>12</v>
      </c>
      <c r="F2837">
        <v>66268</v>
      </c>
      <c r="G2837" s="140" t="s">
        <v>258</v>
      </c>
      <c r="H2837">
        <v>0</v>
      </c>
      <c r="I2837" s="140" t="s">
        <v>17</v>
      </c>
    </row>
    <row r="2838" spans="1:9" hidden="1" x14ac:dyDescent="0.25">
      <c r="A2838">
        <v>2002</v>
      </c>
      <c r="B2838" s="140" t="s">
        <v>110</v>
      </c>
      <c r="C2838" s="140" t="s">
        <v>19</v>
      </c>
      <c r="D2838" s="140" t="s">
        <v>11</v>
      </c>
      <c r="E2838" s="140" t="s">
        <v>12</v>
      </c>
      <c r="F2838">
        <v>68933</v>
      </c>
      <c r="G2838" s="140" t="s">
        <v>258</v>
      </c>
      <c r="H2838">
        <v>0</v>
      </c>
      <c r="I2838" s="140" t="s">
        <v>17</v>
      </c>
    </row>
    <row r="2839" spans="1:9" hidden="1" x14ac:dyDescent="0.25">
      <c r="A2839">
        <v>2003</v>
      </c>
      <c r="B2839" s="140" t="s">
        <v>110</v>
      </c>
      <c r="C2839" s="140" t="s">
        <v>19</v>
      </c>
      <c r="D2839" s="140" t="s">
        <v>11</v>
      </c>
      <c r="E2839" s="140" t="s">
        <v>12</v>
      </c>
      <c r="F2839">
        <v>72309</v>
      </c>
      <c r="G2839" s="140" t="s">
        <v>258</v>
      </c>
      <c r="H2839">
        <v>0</v>
      </c>
      <c r="I2839" s="140" t="s">
        <v>17</v>
      </c>
    </row>
    <row r="2840" spans="1:9" hidden="1" x14ac:dyDescent="0.25">
      <c r="A2840">
        <v>2004</v>
      </c>
      <c r="B2840" s="140" t="s">
        <v>110</v>
      </c>
      <c r="C2840" s="140" t="s">
        <v>19</v>
      </c>
      <c r="D2840" s="140" t="s">
        <v>11</v>
      </c>
      <c r="E2840" s="140" t="s">
        <v>12</v>
      </c>
      <c r="F2840">
        <v>75041</v>
      </c>
      <c r="G2840" s="140" t="s">
        <v>258</v>
      </c>
      <c r="H2840">
        <v>0</v>
      </c>
      <c r="I2840" s="140" t="s">
        <v>17</v>
      </c>
    </row>
    <row r="2841" spans="1:9" hidden="1" x14ac:dyDescent="0.25">
      <c r="A2841">
        <v>2005</v>
      </c>
      <c r="B2841" s="140" t="s">
        <v>110</v>
      </c>
      <c r="C2841" s="140" t="s">
        <v>19</v>
      </c>
      <c r="D2841" s="140" t="s">
        <v>11</v>
      </c>
      <c r="E2841" s="140" t="s">
        <v>12</v>
      </c>
      <c r="F2841">
        <v>78208</v>
      </c>
      <c r="G2841" s="140" t="s">
        <v>258</v>
      </c>
      <c r="H2841">
        <v>0</v>
      </c>
      <c r="I2841" s="140" t="s">
        <v>17</v>
      </c>
    </row>
    <row r="2842" spans="1:9" hidden="1" x14ac:dyDescent="0.25">
      <c r="A2842">
        <v>2006</v>
      </c>
      <c r="B2842" s="140" t="s">
        <v>110</v>
      </c>
      <c r="C2842" s="140" t="s">
        <v>19</v>
      </c>
      <c r="D2842" s="140" t="s">
        <v>11</v>
      </c>
      <c r="E2842" s="140" t="s">
        <v>12</v>
      </c>
      <c r="F2842">
        <v>82412</v>
      </c>
      <c r="G2842" s="140" t="s">
        <v>258</v>
      </c>
      <c r="H2842">
        <v>0</v>
      </c>
      <c r="I2842" s="140" t="s">
        <v>17</v>
      </c>
    </row>
    <row r="2843" spans="1:9" hidden="1" x14ac:dyDescent="0.25">
      <c r="A2843">
        <v>2007</v>
      </c>
      <c r="B2843" s="140" t="s">
        <v>110</v>
      </c>
      <c r="C2843" s="140" t="s">
        <v>19</v>
      </c>
      <c r="D2843" s="140" t="s">
        <v>11</v>
      </c>
      <c r="E2843" s="140" t="s">
        <v>12</v>
      </c>
      <c r="F2843">
        <v>86772</v>
      </c>
      <c r="G2843" s="140" t="s">
        <v>258</v>
      </c>
      <c r="H2843">
        <v>0</v>
      </c>
      <c r="I2843" s="140" t="s">
        <v>17</v>
      </c>
    </row>
    <row r="2844" spans="1:9" hidden="1" x14ac:dyDescent="0.25">
      <c r="A2844">
        <v>2008</v>
      </c>
      <c r="B2844" s="140" t="s">
        <v>110</v>
      </c>
      <c r="C2844" s="140" t="s">
        <v>19</v>
      </c>
      <c r="D2844" s="140" t="s">
        <v>11</v>
      </c>
      <c r="E2844" s="140" t="s">
        <v>12</v>
      </c>
      <c r="F2844">
        <v>91520</v>
      </c>
      <c r="G2844" s="140" t="s">
        <v>258</v>
      </c>
      <c r="H2844">
        <v>0</v>
      </c>
      <c r="I2844" s="140" t="s">
        <v>17</v>
      </c>
    </row>
    <row r="2845" spans="1:9" hidden="1" x14ac:dyDescent="0.25">
      <c r="A2845">
        <v>2009</v>
      </c>
      <c r="B2845" s="140" t="s">
        <v>110</v>
      </c>
      <c r="C2845" s="140" t="s">
        <v>19</v>
      </c>
      <c r="D2845" s="140" t="s">
        <v>11</v>
      </c>
      <c r="E2845" s="140" t="s">
        <v>12</v>
      </c>
      <c r="F2845">
        <v>89823</v>
      </c>
      <c r="G2845" s="140" t="s">
        <v>258</v>
      </c>
      <c r="H2845">
        <v>0</v>
      </c>
      <c r="I2845" s="140" t="s">
        <v>17</v>
      </c>
    </row>
    <row r="2846" spans="1:9" hidden="1" x14ac:dyDescent="0.25">
      <c r="A2846">
        <v>2010</v>
      </c>
      <c r="B2846" s="140" t="s">
        <v>110</v>
      </c>
      <c r="C2846" s="140" t="s">
        <v>19</v>
      </c>
      <c r="D2846" s="140" t="s">
        <v>11</v>
      </c>
      <c r="E2846" s="140" t="s">
        <v>12</v>
      </c>
      <c r="F2846">
        <v>94048</v>
      </c>
      <c r="G2846" s="140" t="s">
        <v>258</v>
      </c>
      <c r="H2846">
        <v>0</v>
      </c>
      <c r="I2846" s="140" t="s">
        <v>17</v>
      </c>
    </row>
    <row r="2847" spans="1:9" hidden="1" x14ac:dyDescent="0.25">
      <c r="A2847">
        <v>2011</v>
      </c>
      <c r="B2847" s="140" t="s">
        <v>110</v>
      </c>
      <c r="C2847" s="140" t="s">
        <v>19</v>
      </c>
      <c r="D2847" s="140" t="s">
        <v>11</v>
      </c>
      <c r="E2847" s="140" t="s">
        <v>12</v>
      </c>
      <c r="F2847">
        <v>100397</v>
      </c>
      <c r="G2847" s="140" t="s">
        <v>258</v>
      </c>
      <c r="H2847">
        <v>0</v>
      </c>
      <c r="I2847" s="140" t="s">
        <v>17</v>
      </c>
    </row>
    <row r="2848" spans="1:9" hidden="1" x14ac:dyDescent="0.25">
      <c r="A2848">
        <v>2012</v>
      </c>
      <c r="B2848" s="140" t="s">
        <v>110</v>
      </c>
      <c r="C2848" s="140" t="s">
        <v>19</v>
      </c>
      <c r="D2848" s="140" t="s">
        <v>11</v>
      </c>
      <c r="E2848" s="140" t="s">
        <v>12</v>
      </c>
      <c r="F2848">
        <v>103784</v>
      </c>
      <c r="G2848" s="140" t="s">
        <v>258</v>
      </c>
      <c r="H2848">
        <v>0</v>
      </c>
      <c r="I2848" s="140" t="s">
        <v>17</v>
      </c>
    </row>
    <row r="2849" spans="1:9" hidden="1" x14ac:dyDescent="0.25">
      <c r="A2849">
        <v>2013</v>
      </c>
      <c r="B2849" s="140" t="s">
        <v>110</v>
      </c>
      <c r="C2849" s="140" t="s">
        <v>19</v>
      </c>
      <c r="D2849" s="140" t="s">
        <v>11</v>
      </c>
      <c r="E2849" s="140" t="s">
        <v>12</v>
      </c>
      <c r="F2849">
        <v>105689</v>
      </c>
      <c r="G2849" s="140" t="s">
        <v>258</v>
      </c>
      <c r="H2849">
        <v>0</v>
      </c>
      <c r="I2849" s="140" t="s">
        <v>17</v>
      </c>
    </row>
    <row r="2850" spans="1:9" hidden="1" x14ac:dyDescent="0.25">
      <c r="A2850">
        <v>2014</v>
      </c>
      <c r="B2850" s="140" t="s">
        <v>110</v>
      </c>
      <c r="C2850" s="140" t="s">
        <v>19</v>
      </c>
      <c r="D2850" s="140" t="s">
        <v>11</v>
      </c>
      <c r="E2850" s="140" t="s">
        <v>12</v>
      </c>
      <c r="F2850">
        <v>107372</v>
      </c>
      <c r="G2850" s="140" t="s">
        <v>258</v>
      </c>
      <c r="H2850">
        <v>0</v>
      </c>
      <c r="I2850" s="140" t="s">
        <v>17</v>
      </c>
    </row>
    <row r="2851" spans="1:9" hidden="1" x14ac:dyDescent="0.25">
      <c r="A2851">
        <v>2015</v>
      </c>
      <c r="B2851" s="140" t="s">
        <v>110</v>
      </c>
      <c r="C2851" s="140" t="s">
        <v>19</v>
      </c>
      <c r="D2851" s="140" t="s">
        <v>11</v>
      </c>
      <c r="E2851" s="140" t="s">
        <v>12</v>
      </c>
      <c r="F2851">
        <v>108818</v>
      </c>
      <c r="G2851" s="140" t="s">
        <v>258</v>
      </c>
      <c r="H2851">
        <v>0</v>
      </c>
      <c r="I2851" s="140" t="s">
        <v>17</v>
      </c>
    </row>
    <row r="2852" spans="1:9" hidden="1" x14ac:dyDescent="0.25">
      <c r="A2852">
        <v>2016</v>
      </c>
      <c r="B2852" s="140" t="s">
        <v>110</v>
      </c>
      <c r="C2852" s="140" t="s">
        <v>19</v>
      </c>
      <c r="D2852" s="140" t="s">
        <v>11</v>
      </c>
      <c r="E2852" s="140" t="s">
        <v>12</v>
      </c>
      <c r="F2852">
        <v>111375</v>
      </c>
      <c r="G2852" s="140" t="s">
        <v>258</v>
      </c>
      <c r="H2852">
        <v>0</v>
      </c>
      <c r="I2852" s="140" t="s">
        <v>17</v>
      </c>
    </row>
    <row r="2853" spans="1:9" hidden="1" x14ac:dyDescent="0.25">
      <c r="A2853">
        <v>2017</v>
      </c>
      <c r="B2853" s="140" t="s">
        <v>110</v>
      </c>
      <c r="C2853" s="140" t="s">
        <v>19</v>
      </c>
      <c r="D2853" s="140" t="s">
        <v>11</v>
      </c>
      <c r="E2853" s="140" t="s">
        <v>12</v>
      </c>
      <c r="F2853">
        <v>113616</v>
      </c>
      <c r="G2853" s="140" t="s">
        <v>258</v>
      </c>
      <c r="H2853">
        <v>0</v>
      </c>
      <c r="I2853" s="140" t="s">
        <v>17</v>
      </c>
    </row>
    <row r="2854" spans="1:9" hidden="1" x14ac:dyDescent="0.25">
      <c r="A2854">
        <v>2018</v>
      </c>
      <c r="B2854" s="140" t="s">
        <v>110</v>
      </c>
      <c r="C2854" s="140" t="s">
        <v>19</v>
      </c>
      <c r="D2854" s="140" t="s">
        <v>11</v>
      </c>
      <c r="E2854" s="140" t="s">
        <v>12</v>
      </c>
      <c r="F2854">
        <v>116863</v>
      </c>
      <c r="G2854" s="140" t="s">
        <v>258</v>
      </c>
      <c r="H2854">
        <v>0</v>
      </c>
      <c r="I2854" s="140" t="s">
        <v>17</v>
      </c>
    </row>
    <row r="2855" spans="1:9" hidden="1" x14ac:dyDescent="0.25">
      <c r="A2855">
        <v>2019</v>
      </c>
      <c r="B2855" s="140" t="s">
        <v>110</v>
      </c>
      <c r="C2855" s="140" t="s">
        <v>19</v>
      </c>
      <c r="D2855" s="140" t="s">
        <v>11</v>
      </c>
      <c r="E2855" s="140" t="s">
        <v>12</v>
      </c>
      <c r="F2855">
        <v>118908</v>
      </c>
      <c r="G2855" s="140" t="s">
        <v>258</v>
      </c>
      <c r="H2855">
        <v>0</v>
      </c>
      <c r="I2855" s="140" t="s">
        <v>17</v>
      </c>
    </row>
    <row r="2856" spans="1:9" hidden="1" x14ac:dyDescent="0.25">
      <c r="A2856">
        <v>2020</v>
      </c>
      <c r="B2856" s="140" t="s">
        <v>110</v>
      </c>
      <c r="C2856" s="140" t="s">
        <v>19</v>
      </c>
      <c r="D2856" s="140" t="s">
        <v>11</v>
      </c>
      <c r="E2856" s="140" t="s">
        <v>12</v>
      </c>
      <c r="F2856">
        <v>114766</v>
      </c>
      <c r="G2856" s="140" t="s">
        <v>258</v>
      </c>
      <c r="H2856">
        <v>0</v>
      </c>
      <c r="I2856" s="140" t="s">
        <v>17</v>
      </c>
    </row>
    <row r="2857" spans="1:9" hidden="1" x14ac:dyDescent="0.25">
      <c r="A2857">
        <v>2021</v>
      </c>
      <c r="B2857" s="140" t="s">
        <v>110</v>
      </c>
      <c r="C2857" s="140" t="s">
        <v>19</v>
      </c>
      <c r="D2857" s="140" t="s">
        <v>11</v>
      </c>
      <c r="E2857" s="140" t="s">
        <v>12</v>
      </c>
      <c r="F2857">
        <v>121178</v>
      </c>
      <c r="G2857" s="140" t="s">
        <v>258</v>
      </c>
      <c r="H2857">
        <v>0</v>
      </c>
      <c r="I2857" s="140" t="s">
        <v>17</v>
      </c>
    </row>
    <row r="2858" spans="1:9" hidden="1" x14ac:dyDescent="0.25">
      <c r="A2858">
        <v>2022</v>
      </c>
      <c r="B2858" s="140" t="s">
        <v>110</v>
      </c>
      <c r="C2858" s="140" t="s">
        <v>19</v>
      </c>
      <c r="D2858" s="140" t="s">
        <v>11</v>
      </c>
      <c r="E2858" s="140" t="s">
        <v>12</v>
      </c>
      <c r="F2858">
        <v>129372</v>
      </c>
      <c r="G2858" s="140" t="s">
        <v>258</v>
      </c>
      <c r="H2858">
        <v>0</v>
      </c>
      <c r="I2858" s="140" t="s">
        <v>17</v>
      </c>
    </row>
    <row r="2859" spans="1:9" hidden="1" x14ac:dyDescent="0.25">
      <c r="A2859">
        <v>2023</v>
      </c>
      <c r="B2859" s="140" t="s">
        <v>110</v>
      </c>
      <c r="C2859" s="140" t="s">
        <v>19</v>
      </c>
      <c r="D2859" s="140" t="s">
        <v>11</v>
      </c>
      <c r="E2859" s="140" t="s">
        <v>12</v>
      </c>
      <c r="F2859">
        <v>134509</v>
      </c>
      <c r="G2859" s="140" t="s">
        <v>258</v>
      </c>
      <c r="H2859">
        <v>0</v>
      </c>
      <c r="I2859" s="140" t="s">
        <v>17</v>
      </c>
    </row>
    <row r="2860" spans="1:9" hidden="1" x14ac:dyDescent="0.25">
      <c r="A2860">
        <v>2024</v>
      </c>
      <c r="B2860" s="140" t="s">
        <v>110</v>
      </c>
      <c r="C2860" s="140" t="s">
        <v>19</v>
      </c>
      <c r="D2860" s="140" t="s">
        <v>11</v>
      </c>
      <c r="E2860" s="140" t="s">
        <v>12</v>
      </c>
      <c r="F2860">
        <v>136333</v>
      </c>
      <c r="G2860" s="140" t="s">
        <v>258</v>
      </c>
      <c r="H2860">
        <v>0</v>
      </c>
      <c r="I2860" s="140" t="s">
        <v>17</v>
      </c>
    </row>
    <row r="2861" spans="1:9" hidden="1" x14ac:dyDescent="0.25">
      <c r="A2861">
        <v>2025</v>
      </c>
      <c r="B2861" s="140" t="s">
        <v>110</v>
      </c>
      <c r="C2861" s="140" t="s">
        <v>19</v>
      </c>
      <c r="D2861" s="140" t="s">
        <v>11</v>
      </c>
      <c r="E2861" s="140" t="s">
        <v>12</v>
      </c>
      <c r="F2861">
        <v>136699</v>
      </c>
      <c r="G2861" s="140" t="s">
        <v>258</v>
      </c>
      <c r="H2861">
        <v>0</v>
      </c>
      <c r="I2861" s="140" t="s">
        <v>17</v>
      </c>
    </row>
    <row r="2862" spans="1:9" hidden="1" x14ac:dyDescent="0.25">
      <c r="A2862">
        <v>2026</v>
      </c>
      <c r="B2862" s="140" t="s">
        <v>110</v>
      </c>
      <c r="C2862" s="140" t="s">
        <v>19</v>
      </c>
      <c r="D2862" s="140" t="s">
        <v>11</v>
      </c>
      <c r="E2862" s="140" t="s">
        <v>12</v>
      </c>
      <c r="F2862">
        <v>141521.4431</v>
      </c>
      <c r="G2862" s="140" t="s">
        <v>258</v>
      </c>
      <c r="H2862">
        <v>0</v>
      </c>
      <c r="I2862" s="140" t="s">
        <v>17</v>
      </c>
    </row>
    <row r="2863" spans="1:9" hidden="1" x14ac:dyDescent="0.25">
      <c r="A2863">
        <v>2027</v>
      </c>
      <c r="B2863" s="140" t="s">
        <v>110</v>
      </c>
      <c r="C2863" s="140" t="s">
        <v>19</v>
      </c>
      <c r="D2863" s="140" t="s">
        <v>11</v>
      </c>
      <c r="E2863" s="140" t="s">
        <v>12</v>
      </c>
      <c r="F2863">
        <v>146120.61009999999</v>
      </c>
      <c r="G2863" s="140" t="s">
        <v>258</v>
      </c>
      <c r="H2863">
        <v>0</v>
      </c>
      <c r="I2863" s="140" t="s">
        <v>17</v>
      </c>
    </row>
    <row r="2864" spans="1:9" hidden="1" x14ac:dyDescent="0.25">
      <c r="A2864">
        <v>2028</v>
      </c>
      <c r="B2864" s="140" t="s">
        <v>110</v>
      </c>
      <c r="C2864" s="140" t="s">
        <v>19</v>
      </c>
      <c r="D2864" s="140" t="s">
        <v>11</v>
      </c>
      <c r="E2864" s="140" t="s">
        <v>12</v>
      </c>
      <c r="F2864">
        <v>151536.74479999999</v>
      </c>
      <c r="G2864" s="140" t="s">
        <v>258</v>
      </c>
      <c r="H2864">
        <v>0</v>
      </c>
      <c r="I2864" s="140" t="s">
        <v>17</v>
      </c>
    </row>
    <row r="2865" spans="1:9" hidden="1" x14ac:dyDescent="0.25">
      <c r="A2865">
        <v>1990</v>
      </c>
      <c r="B2865" s="140" t="s">
        <v>111</v>
      </c>
      <c r="C2865" s="140" t="s">
        <v>19</v>
      </c>
      <c r="D2865" s="140" t="s">
        <v>11</v>
      </c>
      <c r="E2865" s="140" t="s">
        <v>12</v>
      </c>
      <c r="F2865">
        <v>43821</v>
      </c>
      <c r="G2865" s="140" t="s">
        <v>259</v>
      </c>
      <c r="H2865">
        <v>0</v>
      </c>
      <c r="I2865" s="140" t="s">
        <v>17</v>
      </c>
    </row>
    <row r="2866" spans="1:9" hidden="1" x14ac:dyDescent="0.25">
      <c r="A2866">
        <v>1991</v>
      </c>
      <c r="B2866" s="140" t="s">
        <v>111</v>
      </c>
      <c r="C2866" s="140" t="s">
        <v>19</v>
      </c>
      <c r="D2866" s="140" t="s">
        <v>11</v>
      </c>
      <c r="E2866" s="140" t="s">
        <v>12</v>
      </c>
      <c r="F2866">
        <v>44447</v>
      </c>
      <c r="G2866" s="140" t="s">
        <v>259</v>
      </c>
      <c r="H2866">
        <v>0</v>
      </c>
      <c r="I2866" s="140" t="s">
        <v>17</v>
      </c>
    </row>
    <row r="2867" spans="1:9" hidden="1" x14ac:dyDescent="0.25">
      <c r="A2867">
        <v>1992</v>
      </c>
      <c r="B2867" s="140" t="s">
        <v>111</v>
      </c>
      <c r="C2867" s="140" t="s">
        <v>19</v>
      </c>
      <c r="D2867" s="140" t="s">
        <v>11</v>
      </c>
      <c r="E2867" s="140" t="s">
        <v>12</v>
      </c>
      <c r="F2867">
        <v>43991</v>
      </c>
      <c r="G2867" s="140" t="s">
        <v>259</v>
      </c>
      <c r="H2867">
        <v>0</v>
      </c>
      <c r="I2867" s="140" t="s">
        <v>17</v>
      </c>
    </row>
    <row r="2868" spans="1:9" hidden="1" x14ac:dyDescent="0.25">
      <c r="A2868">
        <v>1993</v>
      </c>
      <c r="B2868" s="140" t="s">
        <v>111</v>
      </c>
      <c r="C2868" s="140" t="s">
        <v>19</v>
      </c>
      <c r="D2868" s="140" t="s">
        <v>11</v>
      </c>
      <c r="E2868" s="140" t="s">
        <v>12</v>
      </c>
      <c r="F2868">
        <v>44361</v>
      </c>
      <c r="G2868" s="140" t="s">
        <v>259</v>
      </c>
      <c r="H2868">
        <v>0</v>
      </c>
      <c r="I2868" s="140" t="s">
        <v>17</v>
      </c>
    </row>
    <row r="2869" spans="1:9" hidden="1" x14ac:dyDescent="0.25">
      <c r="A2869">
        <v>1994</v>
      </c>
      <c r="B2869" s="140" t="s">
        <v>111</v>
      </c>
      <c r="C2869" s="140" t="s">
        <v>19</v>
      </c>
      <c r="D2869" s="140" t="s">
        <v>11</v>
      </c>
      <c r="E2869" s="140" t="s">
        <v>12</v>
      </c>
      <c r="F2869">
        <v>45839</v>
      </c>
      <c r="G2869" s="140" t="s">
        <v>259</v>
      </c>
      <c r="H2869">
        <v>0</v>
      </c>
      <c r="I2869" s="140" t="s">
        <v>17</v>
      </c>
    </row>
    <row r="2870" spans="1:9" hidden="1" x14ac:dyDescent="0.25">
      <c r="A2870">
        <v>1995</v>
      </c>
      <c r="B2870" s="140" t="s">
        <v>111</v>
      </c>
      <c r="C2870" s="140" t="s">
        <v>19</v>
      </c>
      <c r="D2870" s="140" t="s">
        <v>11</v>
      </c>
      <c r="E2870" s="140" t="s">
        <v>12</v>
      </c>
      <c r="F2870">
        <v>48239</v>
      </c>
      <c r="G2870" s="140" t="s">
        <v>259</v>
      </c>
      <c r="H2870">
        <v>0</v>
      </c>
      <c r="I2870" s="140" t="s">
        <v>17</v>
      </c>
    </row>
    <row r="2871" spans="1:9" hidden="1" x14ac:dyDescent="0.25">
      <c r="A2871">
        <v>1996</v>
      </c>
      <c r="B2871" s="140" t="s">
        <v>111</v>
      </c>
      <c r="C2871" s="140" t="s">
        <v>19</v>
      </c>
      <c r="D2871" s="140" t="s">
        <v>11</v>
      </c>
      <c r="E2871" s="140" t="s">
        <v>12</v>
      </c>
      <c r="F2871">
        <v>50568</v>
      </c>
      <c r="G2871" s="140" t="s">
        <v>259</v>
      </c>
      <c r="H2871">
        <v>0</v>
      </c>
      <c r="I2871" s="140" t="s">
        <v>17</v>
      </c>
    </row>
    <row r="2872" spans="1:9" hidden="1" x14ac:dyDescent="0.25">
      <c r="A2872">
        <v>1997</v>
      </c>
      <c r="B2872" s="140" t="s">
        <v>111</v>
      </c>
      <c r="C2872" s="140" t="s">
        <v>19</v>
      </c>
      <c r="D2872" s="140" t="s">
        <v>11</v>
      </c>
      <c r="E2872" s="140" t="s">
        <v>12</v>
      </c>
      <c r="F2872">
        <v>53328</v>
      </c>
      <c r="G2872" s="140" t="s">
        <v>259</v>
      </c>
      <c r="H2872">
        <v>0</v>
      </c>
      <c r="I2872" s="140" t="s">
        <v>17</v>
      </c>
    </row>
    <row r="2873" spans="1:9" hidden="1" x14ac:dyDescent="0.25">
      <c r="A2873">
        <v>1998</v>
      </c>
      <c r="B2873" s="140" t="s">
        <v>111</v>
      </c>
      <c r="C2873" s="140" t="s">
        <v>19</v>
      </c>
      <c r="D2873" s="140" t="s">
        <v>11</v>
      </c>
      <c r="E2873" s="140" t="s">
        <v>12</v>
      </c>
      <c r="F2873">
        <v>56772</v>
      </c>
      <c r="G2873" s="140" t="s">
        <v>259</v>
      </c>
      <c r="H2873">
        <v>0</v>
      </c>
      <c r="I2873" s="140" t="s">
        <v>17</v>
      </c>
    </row>
    <row r="2874" spans="1:9" hidden="1" x14ac:dyDescent="0.25">
      <c r="A2874">
        <v>1999</v>
      </c>
      <c r="B2874" s="140" t="s">
        <v>111</v>
      </c>
      <c r="C2874" s="140" t="s">
        <v>19</v>
      </c>
      <c r="D2874" s="140" t="s">
        <v>11</v>
      </c>
      <c r="E2874" s="140" t="s">
        <v>12</v>
      </c>
      <c r="F2874">
        <v>59454</v>
      </c>
      <c r="G2874" s="140" t="s">
        <v>259</v>
      </c>
      <c r="H2874">
        <v>0</v>
      </c>
      <c r="I2874" s="140" t="s">
        <v>17</v>
      </c>
    </row>
    <row r="2875" spans="1:9" hidden="1" x14ac:dyDescent="0.25">
      <c r="A2875">
        <v>2000</v>
      </c>
      <c r="B2875" s="140" t="s">
        <v>111</v>
      </c>
      <c r="C2875" s="140" t="s">
        <v>19</v>
      </c>
      <c r="D2875" s="140" t="s">
        <v>11</v>
      </c>
      <c r="E2875" s="140" t="s">
        <v>12</v>
      </c>
      <c r="F2875">
        <v>62511</v>
      </c>
      <c r="G2875" s="140" t="s">
        <v>259</v>
      </c>
      <c r="H2875">
        <v>0</v>
      </c>
      <c r="I2875" s="140" t="s">
        <v>17</v>
      </c>
    </row>
    <row r="2876" spans="1:9" hidden="1" x14ac:dyDescent="0.25">
      <c r="A2876">
        <v>2001</v>
      </c>
      <c r="B2876" s="140" t="s">
        <v>111</v>
      </c>
      <c r="C2876" s="140" t="s">
        <v>19</v>
      </c>
      <c r="D2876" s="140" t="s">
        <v>11</v>
      </c>
      <c r="E2876" s="140" t="s">
        <v>12</v>
      </c>
      <c r="F2876">
        <v>65849</v>
      </c>
      <c r="G2876" s="140" t="s">
        <v>259</v>
      </c>
      <c r="H2876">
        <v>0</v>
      </c>
      <c r="I2876" s="140" t="s">
        <v>17</v>
      </c>
    </row>
    <row r="2877" spans="1:9" hidden="1" x14ac:dyDescent="0.25">
      <c r="A2877">
        <v>2002</v>
      </c>
      <c r="B2877" s="140" t="s">
        <v>111</v>
      </c>
      <c r="C2877" s="140" t="s">
        <v>19</v>
      </c>
      <c r="D2877" s="140" t="s">
        <v>11</v>
      </c>
      <c r="E2877" s="140" t="s">
        <v>12</v>
      </c>
      <c r="F2877">
        <v>68585</v>
      </c>
      <c r="G2877" s="140" t="s">
        <v>259</v>
      </c>
      <c r="H2877">
        <v>0</v>
      </c>
      <c r="I2877" s="140" t="s">
        <v>17</v>
      </c>
    </row>
    <row r="2878" spans="1:9" hidden="1" x14ac:dyDescent="0.25">
      <c r="A2878">
        <v>2003</v>
      </c>
      <c r="B2878" s="140" t="s">
        <v>111</v>
      </c>
      <c r="C2878" s="140" t="s">
        <v>19</v>
      </c>
      <c r="D2878" s="140" t="s">
        <v>11</v>
      </c>
      <c r="E2878" s="140" t="s">
        <v>12</v>
      </c>
      <c r="F2878">
        <v>72048</v>
      </c>
      <c r="G2878" s="140" t="s">
        <v>259</v>
      </c>
      <c r="H2878">
        <v>0</v>
      </c>
      <c r="I2878" s="140" t="s">
        <v>17</v>
      </c>
    </row>
    <row r="2879" spans="1:9" hidden="1" x14ac:dyDescent="0.25">
      <c r="A2879">
        <v>2004</v>
      </c>
      <c r="B2879" s="140" t="s">
        <v>111</v>
      </c>
      <c r="C2879" s="140" t="s">
        <v>19</v>
      </c>
      <c r="D2879" s="140" t="s">
        <v>11</v>
      </c>
      <c r="E2879" s="140" t="s">
        <v>12</v>
      </c>
      <c r="F2879">
        <v>74849</v>
      </c>
      <c r="G2879" s="140" t="s">
        <v>259</v>
      </c>
      <c r="H2879">
        <v>0</v>
      </c>
      <c r="I2879" s="140" t="s">
        <v>17</v>
      </c>
    </row>
    <row r="2880" spans="1:9" hidden="1" x14ac:dyDescent="0.25">
      <c r="A2880">
        <v>2005</v>
      </c>
      <c r="B2880" s="140" t="s">
        <v>111</v>
      </c>
      <c r="C2880" s="140" t="s">
        <v>19</v>
      </c>
      <c r="D2880" s="140" t="s">
        <v>11</v>
      </c>
      <c r="E2880" s="140" t="s">
        <v>12</v>
      </c>
      <c r="F2880">
        <v>77979</v>
      </c>
      <c r="G2880" s="140" t="s">
        <v>259</v>
      </c>
      <c r="H2880">
        <v>0</v>
      </c>
      <c r="I2880" s="140" t="s">
        <v>17</v>
      </c>
    </row>
    <row r="2881" spans="1:9" hidden="1" x14ac:dyDescent="0.25">
      <c r="A2881">
        <v>2006</v>
      </c>
      <c r="B2881" s="140" t="s">
        <v>111</v>
      </c>
      <c r="C2881" s="140" t="s">
        <v>19</v>
      </c>
      <c r="D2881" s="140" t="s">
        <v>11</v>
      </c>
      <c r="E2881" s="140" t="s">
        <v>12</v>
      </c>
      <c r="F2881">
        <v>82154</v>
      </c>
      <c r="G2881" s="140" t="s">
        <v>259</v>
      </c>
      <c r="H2881">
        <v>0</v>
      </c>
      <c r="I2881" s="140" t="s">
        <v>17</v>
      </c>
    </row>
    <row r="2882" spans="1:9" hidden="1" x14ac:dyDescent="0.25">
      <c r="A2882">
        <v>2007</v>
      </c>
      <c r="B2882" s="140" t="s">
        <v>111</v>
      </c>
      <c r="C2882" s="140" t="s">
        <v>19</v>
      </c>
      <c r="D2882" s="140" t="s">
        <v>11</v>
      </c>
      <c r="E2882" s="140" t="s">
        <v>12</v>
      </c>
      <c r="F2882">
        <v>86608</v>
      </c>
      <c r="G2882" s="140" t="s">
        <v>259</v>
      </c>
      <c r="H2882">
        <v>0</v>
      </c>
      <c r="I2882" s="140" t="s">
        <v>17</v>
      </c>
    </row>
    <row r="2883" spans="1:9" hidden="1" x14ac:dyDescent="0.25">
      <c r="A2883">
        <v>2008</v>
      </c>
      <c r="B2883" s="140" t="s">
        <v>111</v>
      </c>
      <c r="C2883" s="140" t="s">
        <v>19</v>
      </c>
      <c r="D2883" s="140" t="s">
        <v>11</v>
      </c>
      <c r="E2883" s="140" t="s">
        <v>12</v>
      </c>
      <c r="F2883">
        <v>91323</v>
      </c>
      <c r="G2883" s="140" t="s">
        <v>259</v>
      </c>
      <c r="H2883">
        <v>0</v>
      </c>
      <c r="I2883" s="140" t="s">
        <v>17</v>
      </c>
    </row>
    <row r="2884" spans="1:9" hidden="1" x14ac:dyDescent="0.25">
      <c r="A2884">
        <v>2009</v>
      </c>
      <c r="B2884" s="140" t="s">
        <v>111</v>
      </c>
      <c r="C2884" s="140" t="s">
        <v>19</v>
      </c>
      <c r="D2884" s="140" t="s">
        <v>11</v>
      </c>
      <c r="E2884" s="140" t="s">
        <v>12</v>
      </c>
      <c r="F2884">
        <v>90063</v>
      </c>
      <c r="G2884" s="140" t="s">
        <v>259</v>
      </c>
      <c r="H2884">
        <v>0</v>
      </c>
      <c r="I2884" s="140" t="s">
        <v>17</v>
      </c>
    </row>
    <row r="2885" spans="1:9" hidden="1" x14ac:dyDescent="0.25">
      <c r="A2885">
        <v>2010</v>
      </c>
      <c r="B2885" s="140" t="s">
        <v>111</v>
      </c>
      <c r="C2885" s="140" t="s">
        <v>19</v>
      </c>
      <c r="D2885" s="140" t="s">
        <v>11</v>
      </c>
      <c r="E2885" s="140" t="s">
        <v>12</v>
      </c>
      <c r="F2885">
        <v>94058</v>
      </c>
      <c r="G2885" s="140" t="s">
        <v>259</v>
      </c>
      <c r="H2885">
        <v>0</v>
      </c>
      <c r="I2885" s="140" t="s">
        <v>17</v>
      </c>
    </row>
    <row r="2886" spans="1:9" hidden="1" x14ac:dyDescent="0.25">
      <c r="A2886">
        <v>2011</v>
      </c>
      <c r="B2886" s="140" t="s">
        <v>111</v>
      </c>
      <c r="C2886" s="140" t="s">
        <v>19</v>
      </c>
      <c r="D2886" s="140" t="s">
        <v>11</v>
      </c>
      <c r="E2886" s="140" t="s">
        <v>12</v>
      </c>
      <c r="F2886">
        <v>100130</v>
      </c>
      <c r="G2886" s="140" t="s">
        <v>259</v>
      </c>
      <c r="H2886">
        <v>0</v>
      </c>
      <c r="I2886" s="140" t="s">
        <v>17</v>
      </c>
    </row>
    <row r="2887" spans="1:9" hidden="1" x14ac:dyDescent="0.25">
      <c r="A2887">
        <v>2012</v>
      </c>
      <c r="B2887" s="140" t="s">
        <v>111</v>
      </c>
      <c r="C2887" s="140" t="s">
        <v>19</v>
      </c>
      <c r="D2887" s="140" t="s">
        <v>11</v>
      </c>
      <c r="E2887" s="140" t="s">
        <v>12</v>
      </c>
      <c r="F2887">
        <v>103427</v>
      </c>
      <c r="G2887" s="140" t="s">
        <v>259</v>
      </c>
      <c r="H2887">
        <v>0</v>
      </c>
      <c r="I2887" s="140" t="s">
        <v>17</v>
      </c>
    </row>
    <row r="2888" spans="1:9" hidden="1" x14ac:dyDescent="0.25">
      <c r="A2888">
        <v>2013</v>
      </c>
      <c r="B2888" s="140" t="s">
        <v>111</v>
      </c>
      <c r="C2888" s="140" t="s">
        <v>19</v>
      </c>
      <c r="D2888" s="140" t="s">
        <v>11</v>
      </c>
      <c r="E2888" s="140" t="s">
        <v>12</v>
      </c>
      <c r="F2888">
        <v>105524</v>
      </c>
      <c r="G2888" s="140" t="s">
        <v>259</v>
      </c>
      <c r="H2888">
        <v>0</v>
      </c>
      <c r="I2888" s="140" t="s">
        <v>17</v>
      </c>
    </row>
    <row r="2889" spans="1:9" hidden="1" x14ac:dyDescent="0.25">
      <c r="A2889">
        <v>2014</v>
      </c>
      <c r="B2889" s="140" t="s">
        <v>111</v>
      </c>
      <c r="C2889" s="140" t="s">
        <v>19</v>
      </c>
      <c r="D2889" s="140" t="s">
        <v>11</v>
      </c>
      <c r="E2889" s="140" t="s">
        <v>12</v>
      </c>
      <c r="F2889">
        <v>107511</v>
      </c>
      <c r="G2889" s="140" t="s">
        <v>259</v>
      </c>
      <c r="H2889">
        <v>0</v>
      </c>
      <c r="I2889" s="140" t="s">
        <v>17</v>
      </c>
    </row>
    <row r="2890" spans="1:9" hidden="1" x14ac:dyDescent="0.25">
      <c r="A2890">
        <v>2015</v>
      </c>
      <c r="B2890" s="140" t="s">
        <v>111</v>
      </c>
      <c r="C2890" s="140" t="s">
        <v>19</v>
      </c>
      <c r="D2890" s="140" t="s">
        <v>11</v>
      </c>
      <c r="E2890" s="140" t="s">
        <v>12</v>
      </c>
      <c r="F2890">
        <v>109654</v>
      </c>
      <c r="G2890" s="140" t="s">
        <v>259</v>
      </c>
      <c r="H2890">
        <v>0</v>
      </c>
      <c r="I2890" s="140" t="s">
        <v>17</v>
      </c>
    </row>
    <row r="2891" spans="1:9" hidden="1" x14ac:dyDescent="0.25">
      <c r="A2891">
        <v>2016</v>
      </c>
      <c r="B2891" s="140" t="s">
        <v>111</v>
      </c>
      <c r="C2891" s="140" t="s">
        <v>19</v>
      </c>
      <c r="D2891" s="140" t="s">
        <v>11</v>
      </c>
      <c r="E2891" s="140" t="s">
        <v>12</v>
      </c>
      <c r="F2891">
        <v>111887</v>
      </c>
      <c r="G2891" s="140" t="s">
        <v>259</v>
      </c>
      <c r="H2891">
        <v>0</v>
      </c>
      <c r="I2891" s="140" t="s">
        <v>17</v>
      </c>
    </row>
    <row r="2892" spans="1:9" hidden="1" x14ac:dyDescent="0.25">
      <c r="A2892">
        <v>2017</v>
      </c>
      <c r="B2892" s="140" t="s">
        <v>111</v>
      </c>
      <c r="C2892" s="140" t="s">
        <v>19</v>
      </c>
      <c r="D2892" s="140" t="s">
        <v>11</v>
      </c>
      <c r="E2892" s="140" t="s">
        <v>12</v>
      </c>
      <c r="F2892">
        <v>113491</v>
      </c>
      <c r="G2892" s="140" t="s">
        <v>259</v>
      </c>
      <c r="H2892">
        <v>0</v>
      </c>
      <c r="I2892" s="140" t="s">
        <v>17</v>
      </c>
    </row>
    <row r="2893" spans="1:9" hidden="1" x14ac:dyDescent="0.25">
      <c r="A2893">
        <v>2018</v>
      </c>
      <c r="B2893" s="140" t="s">
        <v>111</v>
      </c>
      <c r="C2893" s="140" t="s">
        <v>19</v>
      </c>
      <c r="D2893" s="140" t="s">
        <v>11</v>
      </c>
      <c r="E2893" s="140" t="s">
        <v>12</v>
      </c>
      <c r="F2893">
        <v>116510</v>
      </c>
      <c r="G2893" s="140" t="s">
        <v>259</v>
      </c>
      <c r="H2893">
        <v>0</v>
      </c>
      <c r="I2893" s="140" t="s">
        <v>17</v>
      </c>
    </row>
    <row r="2894" spans="1:9" hidden="1" x14ac:dyDescent="0.25">
      <c r="A2894">
        <v>2019</v>
      </c>
      <c r="B2894" s="140" t="s">
        <v>111</v>
      </c>
      <c r="C2894" s="140" t="s">
        <v>19</v>
      </c>
      <c r="D2894" s="140" t="s">
        <v>11</v>
      </c>
      <c r="E2894" s="140" t="s">
        <v>12</v>
      </c>
      <c r="F2894">
        <v>118072</v>
      </c>
      <c r="G2894" s="140" t="s">
        <v>259</v>
      </c>
      <c r="H2894">
        <v>0</v>
      </c>
      <c r="I2894" s="140" t="s">
        <v>17</v>
      </c>
    </row>
    <row r="2895" spans="1:9" hidden="1" x14ac:dyDescent="0.25">
      <c r="A2895">
        <v>2020</v>
      </c>
      <c r="B2895" s="140" t="s">
        <v>111</v>
      </c>
      <c r="C2895" s="140" t="s">
        <v>19</v>
      </c>
      <c r="D2895" s="140" t="s">
        <v>11</v>
      </c>
      <c r="E2895" s="140" t="s">
        <v>12</v>
      </c>
      <c r="F2895">
        <v>114301</v>
      </c>
      <c r="G2895" s="140" t="s">
        <v>259</v>
      </c>
      <c r="H2895">
        <v>0</v>
      </c>
      <c r="I2895" s="140" t="s">
        <v>17</v>
      </c>
    </row>
    <row r="2896" spans="1:9" hidden="1" x14ac:dyDescent="0.25">
      <c r="A2896">
        <v>2021</v>
      </c>
      <c r="B2896" s="140" t="s">
        <v>111</v>
      </c>
      <c r="C2896" s="140" t="s">
        <v>19</v>
      </c>
      <c r="D2896" s="140" t="s">
        <v>11</v>
      </c>
      <c r="E2896" s="140" t="s">
        <v>12</v>
      </c>
      <c r="F2896">
        <v>120735</v>
      </c>
      <c r="G2896" s="140" t="s">
        <v>259</v>
      </c>
      <c r="H2896">
        <v>0</v>
      </c>
      <c r="I2896" s="140" t="s">
        <v>17</v>
      </c>
    </row>
    <row r="2897" spans="1:9" hidden="1" x14ac:dyDescent="0.25">
      <c r="A2897">
        <v>2022</v>
      </c>
      <c r="B2897" s="140" t="s">
        <v>111</v>
      </c>
      <c r="C2897" s="140" t="s">
        <v>19</v>
      </c>
      <c r="D2897" s="140" t="s">
        <v>11</v>
      </c>
      <c r="E2897" s="140" t="s">
        <v>12</v>
      </c>
      <c r="F2897">
        <v>129295</v>
      </c>
      <c r="G2897" s="140" t="s">
        <v>259</v>
      </c>
      <c r="H2897">
        <v>0</v>
      </c>
      <c r="I2897" s="140" t="s">
        <v>17</v>
      </c>
    </row>
    <row r="2898" spans="1:9" hidden="1" x14ac:dyDescent="0.25">
      <c r="A2898">
        <v>2023</v>
      </c>
      <c r="B2898" s="140" t="s">
        <v>111</v>
      </c>
      <c r="C2898" s="140" t="s">
        <v>19</v>
      </c>
      <c r="D2898" s="140" t="s">
        <v>11</v>
      </c>
      <c r="E2898" s="140" t="s">
        <v>12</v>
      </c>
      <c r="F2898">
        <v>134918</v>
      </c>
      <c r="G2898" s="140" t="s">
        <v>259</v>
      </c>
      <c r="H2898">
        <v>0</v>
      </c>
      <c r="I2898" s="140" t="s">
        <v>17</v>
      </c>
    </row>
    <row r="2899" spans="1:9" hidden="1" x14ac:dyDescent="0.25">
      <c r="A2899">
        <v>2024</v>
      </c>
      <c r="B2899" s="140" t="s">
        <v>111</v>
      </c>
      <c r="C2899" s="140" t="s">
        <v>19</v>
      </c>
      <c r="D2899" s="140" t="s">
        <v>11</v>
      </c>
      <c r="E2899" s="140" t="s">
        <v>12</v>
      </c>
      <c r="F2899">
        <v>136929</v>
      </c>
      <c r="G2899" s="140" t="s">
        <v>259</v>
      </c>
      <c r="H2899">
        <v>0</v>
      </c>
      <c r="I2899" s="140" t="s">
        <v>17</v>
      </c>
    </row>
    <row r="2900" spans="1:9" hidden="1" x14ac:dyDescent="0.25">
      <c r="A2900">
        <v>2025</v>
      </c>
      <c r="B2900" s="140" t="s">
        <v>111</v>
      </c>
      <c r="C2900" s="140" t="s">
        <v>19</v>
      </c>
      <c r="D2900" s="140" t="s">
        <v>11</v>
      </c>
      <c r="E2900" s="140" t="s">
        <v>12</v>
      </c>
      <c r="F2900">
        <v>137079</v>
      </c>
      <c r="G2900" s="140" t="s">
        <v>259</v>
      </c>
      <c r="H2900">
        <v>0</v>
      </c>
      <c r="I2900" s="140" t="s">
        <v>17</v>
      </c>
    </row>
    <row r="2901" spans="1:9" hidden="1" x14ac:dyDescent="0.25">
      <c r="A2901">
        <v>2026</v>
      </c>
      <c r="B2901" s="140" t="s">
        <v>111</v>
      </c>
      <c r="C2901" s="140" t="s">
        <v>19</v>
      </c>
      <c r="D2901" s="140" t="s">
        <v>11</v>
      </c>
      <c r="E2901" s="140" t="s">
        <v>12</v>
      </c>
      <c r="F2901">
        <v>141912.9191</v>
      </c>
      <c r="G2901" s="140" t="s">
        <v>259</v>
      </c>
      <c r="H2901">
        <v>0</v>
      </c>
      <c r="I2901" s="140" t="s">
        <v>17</v>
      </c>
    </row>
    <row r="2902" spans="1:9" hidden="1" x14ac:dyDescent="0.25">
      <c r="A2902">
        <v>2027</v>
      </c>
      <c r="B2902" s="140" t="s">
        <v>111</v>
      </c>
      <c r="C2902" s="140" t="s">
        <v>19</v>
      </c>
      <c r="D2902" s="140" t="s">
        <v>11</v>
      </c>
      <c r="E2902" s="140" t="s">
        <v>12</v>
      </c>
      <c r="F2902">
        <v>146525.90520000001</v>
      </c>
      <c r="G2902" s="140" t="s">
        <v>259</v>
      </c>
      <c r="H2902">
        <v>0</v>
      </c>
      <c r="I2902" s="140" t="s">
        <v>17</v>
      </c>
    </row>
    <row r="2903" spans="1:9" hidden="1" x14ac:dyDescent="0.25">
      <c r="A2903">
        <v>2028</v>
      </c>
      <c r="B2903" s="140" t="s">
        <v>111</v>
      </c>
      <c r="C2903" s="140" t="s">
        <v>19</v>
      </c>
      <c r="D2903" s="140" t="s">
        <v>11</v>
      </c>
      <c r="E2903" s="140" t="s">
        <v>12</v>
      </c>
      <c r="F2903">
        <v>151956.76019999999</v>
      </c>
      <c r="G2903" s="140" t="s">
        <v>259</v>
      </c>
      <c r="H2903">
        <v>0</v>
      </c>
      <c r="I2903" s="140" t="s">
        <v>17</v>
      </c>
    </row>
    <row r="2904" spans="1:9" hidden="1" x14ac:dyDescent="0.25">
      <c r="A2904">
        <v>1990</v>
      </c>
      <c r="B2904" s="140" t="s">
        <v>105</v>
      </c>
      <c r="C2904" s="140" t="s">
        <v>19</v>
      </c>
      <c r="D2904" s="140" t="s">
        <v>11</v>
      </c>
      <c r="E2904" s="140" t="s">
        <v>12</v>
      </c>
      <c r="F2904">
        <v>5276</v>
      </c>
      <c r="G2904" s="140" t="s">
        <v>260</v>
      </c>
      <c r="H2904">
        <v>0</v>
      </c>
      <c r="I2904" s="140" t="s">
        <v>17</v>
      </c>
    </row>
    <row r="2905" spans="1:9" hidden="1" x14ac:dyDescent="0.25">
      <c r="A2905">
        <v>1991</v>
      </c>
      <c r="B2905" s="140" t="s">
        <v>105</v>
      </c>
      <c r="C2905" s="140" t="s">
        <v>19</v>
      </c>
      <c r="D2905" s="140" t="s">
        <v>11</v>
      </c>
      <c r="E2905" s="140" t="s">
        <v>12</v>
      </c>
      <c r="F2905">
        <v>4225</v>
      </c>
      <c r="G2905" s="140" t="s">
        <v>260</v>
      </c>
      <c r="H2905">
        <v>0</v>
      </c>
      <c r="I2905" s="140" t="s">
        <v>17</v>
      </c>
    </row>
    <row r="2906" spans="1:9" hidden="1" x14ac:dyDescent="0.25">
      <c r="A2906">
        <v>1992</v>
      </c>
      <c r="B2906" s="140" t="s">
        <v>105</v>
      </c>
      <c r="C2906" s="140" t="s">
        <v>19</v>
      </c>
      <c r="D2906" s="140" t="s">
        <v>11</v>
      </c>
      <c r="E2906" s="140" t="s">
        <v>12</v>
      </c>
      <c r="F2906">
        <v>3455</v>
      </c>
      <c r="G2906" s="140" t="s">
        <v>260</v>
      </c>
      <c r="H2906">
        <v>0</v>
      </c>
      <c r="I2906" s="140" t="s">
        <v>17</v>
      </c>
    </row>
    <row r="2907" spans="1:9" hidden="1" x14ac:dyDescent="0.25">
      <c r="A2907">
        <v>1993</v>
      </c>
      <c r="B2907" s="140" t="s">
        <v>105</v>
      </c>
      <c r="C2907" s="140" t="s">
        <v>19</v>
      </c>
      <c r="D2907" s="140" t="s">
        <v>11</v>
      </c>
      <c r="E2907" s="140" t="s">
        <v>12</v>
      </c>
      <c r="F2907">
        <v>3205</v>
      </c>
      <c r="G2907" s="140" t="s">
        <v>260</v>
      </c>
      <c r="H2907">
        <v>0</v>
      </c>
      <c r="I2907" s="140" t="s">
        <v>17</v>
      </c>
    </row>
    <row r="2908" spans="1:9" hidden="1" x14ac:dyDescent="0.25">
      <c r="A2908">
        <v>1994</v>
      </c>
      <c r="B2908" s="140" t="s">
        <v>105</v>
      </c>
      <c r="C2908" s="140" t="s">
        <v>19</v>
      </c>
      <c r="D2908" s="140" t="s">
        <v>11</v>
      </c>
      <c r="E2908" s="140" t="s">
        <v>12</v>
      </c>
      <c r="F2908">
        <v>3649</v>
      </c>
      <c r="G2908" s="140" t="s">
        <v>260</v>
      </c>
      <c r="H2908">
        <v>0</v>
      </c>
      <c r="I2908" s="140" t="s">
        <v>17</v>
      </c>
    </row>
    <row r="2909" spans="1:9" hidden="1" x14ac:dyDescent="0.25">
      <c r="A2909">
        <v>1995</v>
      </c>
      <c r="B2909" s="140" t="s">
        <v>105</v>
      </c>
      <c r="C2909" s="140" t="s">
        <v>19</v>
      </c>
      <c r="D2909" s="140" t="s">
        <v>11</v>
      </c>
      <c r="E2909" s="140" t="s">
        <v>12</v>
      </c>
      <c r="F2909">
        <v>4119</v>
      </c>
      <c r="G2909" s="140" t="s">
        <v>260</v>
      </c>
      <c r="H2909">
        <v>0</v>
      </c>
      <c r="I2909" s="140" t="s">
        <v>17</v>
      </c>
    </row>
    <row r="2910" spans="1:9" hidden="1" x14ac:dyDescent="0.25">
      <c r="A2910">
        <v>1996</v>
      </c>
      <c r="B2910" s="140" t="s">
        <v>105</v>
      </c>
      <c r="C2910" s="140" t="s">
        <v>19</v>
      </c>
      <c r="D2910" s="140" t="s">
        <v>11</v>
      </c>
      <c r="E2910" s="140" t="s">
        <v>12</v>
      </c>
      <c r="F2910">
        <v>4763</v>
      </c>
      <c r="G2910" s="140" t="s">
        <v>260</v>
      </c>
      <c r="H2910">
        <v>0</v>
      </c>
      <c r="I2910" s="140" t="s">
        <v>17</v>
      </c>
    </row>
    <row r="2911" spans="1:9" hidden="1" x14ac:dyDescent="0.25">
      <c r="A2911">
        <v>1997</v>
      </c>
      <c r="B2911" s="140" t="s">
        <v>105</v>
      </c>
      <c r="C2911" s="140" t="s">
        <v>19</v>
      </c>
      <c r="D2911" s="140" t="s">
        <v>11</v>
      </c>
      <c r="E2911" s="140" t="s">
        <v>12</v>
      </c>
      <c r="F2911">
        <v>5111</v>
      </c>
      <c r="G2911" s="140" t="s">
        <v>260</v>
      </c>
      <c r="H2911">
        <v>0</v>
      </c>
      <c r="I2911" s="140" t="s">
        <v>17</v>
      </c>
    </row>
    <row r="2912" spans="1:9" hidden="1" x14ac:dyDescent="0.25">
      <c r="A2912">
        <v>1998</v>
      </c>
      <c r="B2912" s="140" t="s">
        <v>105</v>
      </c>
      <c r="C2912" s="140" t="s">
        <v>19</v>
      </c>
      <c r="D2912" s="140" t="s">
        <v>11</v>
      </c>
      <c r="E2912" s="140" t="s">
        <v>12</v>
      </c>
      <c r="F2912">
        <v>5954</v>
      </c>
      <c r="G2912" s="140" t="s">
        <v>260</v>
      </c>
      <c r="H2912">
        <v>0</v>
      </c>
      <c r="I2912" s="140" t="s">
        <v>17</v>
      </c>
    </row>
    <row r="2913" spans="1:9" hidden="1" x14ac:dyDescent="0.25">
      <c r="A2913">
        <v>1999</v>
      </c>
      <c r="B2913" s="140" t="s">
        <v>105</v>
      </c>
      <c r="C2913" s="140" t="s">
        <v>19</v>
      </c>
      <c r="D2913" s="140" t="s">
        <v>11</v>
      </c>
      <c r="E2913" s="140" t="s">
        <v>12</v>
      </c>
      <c r="F2913">
        <v>6067</v>
      </c>
      <c r="G2913" s="140" t="s">
        <v>260</v>
      </c>
      <c r="H2913">
        <v>0</v>
      </c>
      <c r="I2913" s="140" t="s">
        <v>17</v>
      </c>
    </row>
    <row r="2914" spans="1:9" hidden="1" x14ac:dyDescent="0.25">
      <c r="A2914">
        <v>2000</v>
      </c>
      <c r="B2914" s="140" t="s">
        <v>105</v>
      </c>
      <c r="C2914" s="140" t="s">
        <v>19</v>
      </c>
      <c r="D2914" s="140" t="s">
        <v>11</v>
      </c>
      <c r="E2914" s="140" t="s">
        <v>12</v>
      </c>
      <c r="F2914">
        <v>6352</v>
      </c>
      <c r="G2914" s="140" t="s">
        <v>260</v>
      </c>
      <c r="H2914">
        <v>0</v>
      </c>
      <c r="I2914" s="140" t="s">
        <v>17</v>
      </c>
    </row>
    <row r="2915" spans="1:9" hidden="1" x14ac:dyDescent="0.25">
      <c r="A2915">
        <v>2001</v>
      </c>
      <c r="B2915" s="140" t="s">
        <v>105</v>
      </c>
      <c r="C2915" s="140" t="s">
        <v>19</v>
      </c>
      <c r="D2915" s="140" t="s">
        <v>11</v>
      </c>
      <c r="E2915" s="140" t="s">
        <v>12</v>
      </c>
      <c r="F2915">
        <v>6187</v>
      </c>
      <c r="G2915" s="140" t="s">
        <v>260</v>
      </c>
      <c r="H2915">
        <v>0</v>
      </c>
      <c r="I2915" s="140" t="s">
        <v>17</v>
      </c>
    </row>
    <row r="2916" spans="1:9" hidden="1" x14ac:dyDescent="0.25">
      <c r="A2916">
        <v>2002</v>
      </c>
      <c r="B2916" s="140" t="s">
        <v>105</v>
      </c>
      <c r="C2916" s="140" t="s">
        <v>19</v>
      </c>
      <c r="D2916" s="140" t="s">
        <v>11</v>
      </c>
      <c r="E2916" s="140" t="s">
        <v>12</v>
      </c>
      <c r="F2916">
        <v>6798</v>
      </c>
      <c r="G2916" s="140" t="s">
        <v>260</v>
      </c>
      <c r="H2916">
        <v>0</v>
      </c>
      <c r="I2916" s="140" t="s">
        <v>17</v>
      </c>
    </row>
    <row r="2917" spans="1:9" hidden="1" x14ac:dyDescent="0.25">
      <c r="A2917">
        <v>2003</v>
      </c>
      <c r="B2917" s="140" t="s">
        <v>105</v>
      </c>
      <c r="C2917" s="140" t="s">
        <v>19</v>
      </c>
      <c r="D2917" s="140" t="s">
        <v>11</v>
      </c>
      <c r="E2917" s="140" t="s">
        <v>12</v>
      </c>
      <c r="F2917">
        <v>7573</v>
      </c>
      <c r="G2917" s="140" t="s">
        <v>260</v>
      </c>
      <c r="H2917">
        <v>0</v>
      </c>
      <c r="I2917" s="140" t="s">
        <v>17</v>
      </c>
    </row>
    <row r="2918" spans="1:9" hidden="1" x14ac:dyDescent="0.25">
      <c r="A2918">
        <v>2004</v>
      </c>
      <c r="B2918" s="140" t="s">
        <v>105</v>
      </c>
      <c r="C2918" s="140" t="s">
        <v>19</v>
      </c>
      <c r="D2918" s="140" t="s">
        <v>11</v>
      </c>
      <c r="E2918" s="140" t="s">
        <v>12</v>
      </c>
      <c r="F2918">
        <v>7744</v>
      </c>
      <c r="G2918" s="140" t="s">
        <v>260</v>
      </c>
      <c r="H2918">
        <v>0</v>
      </c>
      <c r="I2918" s="140" t="s">
        <v>17</v>
      </c>
    </row>
    <row r="2919" spans="1:9" hidden="1" x14ac:dyDescent="0.25">
      <c r="A2919">
        <v>2005</v>
      </c>
      <c r="B2919" s="140" t="s">
        <v>105</v>
      </c>
      <c r="C2919" s="140" t="s">
        <v>19</v>
      </c>
      <c r="D2919" s="140" t="s">
        <v>11</v>
      </c>
      <c r="E2919" s="140" t="s">
        <v>12</v>
      </c>
      <c r="F2919">
        <v>8247</v>
      </c>
      <c r="G2919" s="140" t="s">
        <v>260</v>
      </c>
      <c r="H2919">
        <v>0</v>
      </c>
      <c r="I2919" s="140" t="s">
        <v>17</v>
      </c>
    </row>
    <row r="2920" spans="1:9" hidden="1" x14ac:dyDescent="0.25">
      <c r="A2920">
        <v>2006</v>
      </c>
      <c r="B2920" s="140" t="s">
        <v>105</v>
      </c>
      <c r="C2920" s="140" t="s">
        <v>19</v>
      </c>
      <c r="D2920" s="140" t="s">
        <v>11</v>
      </c>
      <c r="E2920" s="140" t="s">
        <v>12</v>
      </c>
      <c r="F2920">
        <v>8778</v>
      </c>
      <c r="G2920" s="140" t="s">
        <v>260</v>
      </c>
      <c r="H2920">
        <v>0</v>
      </c>
      <c r="I2920" s="140" t="s">
        <v>17</v>
      </c>
    </row>
    <row r="2921" spans="1:9" hidden="1" x14ac:dyDescent="0.25">
      <c r="A2921">
        <v>2007</v>
      </c>
      <c r="B2921" s="140" t="s">
        <v>105</v>
      </c>
      <c r="C2921" s="140" t="s">
        <v>19</v>
      </c>
      <c r="D2921" s="140" t="s">
        <v>11</v>
      </c>
      <c r="E2921" s="140" t="s">
        <v>12</v>
      </c>
      <c r="F2921">
        <v>9007</v>
      </c>
      <c r="G2921" s="140" t="s">
        <v>260</v>
      </c>
      <c r="H2921">
        <v>0</v>
      </c>
      <c r="I2921" s="140" t="s">
        <v>17</v>
      </c>
    </row>
    <row r="2922" spans="1:9" hidden="1" x14ac:dyDescent="0.25">
      <c r="A2922">
        <v>2008</v>
      </c>
      <c r="B2922" s="140" t="s">
        <v>105</v>
      </c>
      <c r="C2922" s="140" t="s">
        <v>19</v>
      </c>
      <c r="D2922" s="140" t="s">
        <v>11</v>
      </c>
      <c r="E2922" s="140" t="s">
        <v>12</v>
      </c>
      <c r="F2922">
        <v>9272</v>
      </c>
      <c r="G2922" s="140" t="s">
        <v>260</v>
      </c>
      <c r="H2922">
        <v>0</v>
      </c>
      <c r="I2922" s="140" t="s">
        <v>17</v>
      </c>
    </row>
    <row r="2923" spans="1:9" hidden="1" x14ac:dyDescent="0.25">
      <c r="A2923">
        <v>2009</v>
      </c>
      <c r="B2923" s="140" t="s">
        <v>105</v>
      </c>
      <c r="C2923" s="140" t="s">
        <v>19</v>
      </c>
      <c r="D2923" s="140" t="s">
        <v>11</v>
      </c>
      <c r="E2923" s="140" t="s">
        <v>12</v>
      </c>
      <c r="F2923">
        <v>7784</v>
      </c>
      <c r="G2923" s="140" t="s">
        <v>260</v>
      </c>
      <c r="H2923">
        <v>0</v>
      </c>
      <c r="I2923" s="140" t="s">
        <v>17</v>
      </c>
    </row>
    <row r="2924" spans="1:9" hidden="1" x14ac:dyDescent="0.25">
      <c r="A2924">
        <v>2010</v>
      </c>
      <c r="B2924" s="140" t="s">
        <v>105</v>
      </c>
      <c r="C2924" s="140" t="s">
        <v>19</v>
      </c>
      <c r="D2924" s="140" t="s">
        <v>11</v>
      </c>
      <c r="E2924" s="140" t="s">
        <v>12</v>
      </c>
      <c r="F2924">
        <v>8622</v>
      </c>
      <c r="G2924" s="140" t="s">
        <v>260</v>
      </c>
      <c r="H2924">
        <v>0</v>
      </c>
      <c r="I2924" s="140" t="s">
        <v>17</v>
      </c>
    </row>
    <row r="2925" spans="1:9" hidden="1" x14ac:dyDescent="0.25">
      <c r="A2925">
        <v>2011</v>
      </c>
      <c r="B2925" s="140" t="s">
        <v>105</v>
      </c>
      <c r="C2925" s="140" t="s">
        <v>19</v>
      </c>
      <c r="D2925" s="140" t="s">
        <v>11</v>
      </c>
      <c r="E2925" s="140" t="s">
        <v>12</v>
      </c>
      <c r="F2925">
        <v>9453</v>
      </c>
      <c r="G2925" s="140" t="s">
        <v>260</v>
      </c>
      <c r="H2925">
        <v>0</v>
      </c>
      <c r="I2925" s="140" t="s">
        <v>17</v>
      </c>
    </row>
    <row r="2926" spans="1:9" hidden="1" x14ac:dyDescent="0.25">
      <c r="A2926">
        <v>2012</v>
      </c>
      <c r="B2926" s="140" t="s">
        <v>105</v>
      </c>
      <c r="C2926" s="140" t="s">
        <v>19</v>
      </c>
      <c r="D2926" s="140" t="s">
        <v>11</v>
      </c>
      <c r="E2926" s="140" t="s">
        <v>12</v>
      </c>
      <c r="F2926">
        <v>9236</v>
      </c>
      <c r="G2926" s="140" t="s">
        <v>260</v>
      </c>
      <c r="H2926">
        <v>0</v>
      </c>
      <c r="I2926" s="140" t="s">
        <v>17</v>
      </c>
    </row>
    <row r="2927" spans="1:9" hidden="1" x14ac:dyDescent="0.25">
      <c r="A2927">
        <v>2013</v>
      </c>
      <c r="B2927" s="140" t="s">
        <v>105</v>
      </c>
      <c r="C2927" s="140" t="s">
        <v>19</v>
      </c>
      <c r="D2927" s="140" t="s">
        <v>11</v>
      </c>
      <c r="E2927" s="140" t="s">
        <v>12</v>
      </c>
      <c r="F2927">
        <v>9042</v>
      </c>
      <c r="G2927" s="140" t="s">
        <v>260</v>
      </c>
      <c r="H2927">
        <v>0</v>
      </c>
      <c r="I2927" s="140" t="s">
        <v>17</v>
      </c>
    </row>
    <row r="2928" spans="1:9" hidden="1" x14ac:dyDescent="0.25">
      <c r="A2928">
        <v>2014</v>
      </c>
      <c r="B2928" s="140" t="s">
        <v>105</v>
      </c>
      <c r="C2928" s="140" t="s">
        <v>19</v>
      </c>
      <c r="D2928" s="140" t="s">
        <v>11</v>
      </c>
      <c r="E2928" s="140" t="s">
        <v>12</v>
      </c>
      <c r="F2928">
        <v>8860</v>
      </c>
      <c r="G2928" s="140" t="s">
        <v>260</v>
      </c>
      <c r="H2928">
        <v>0</v>
      </c>
      <c r="I2928" s="140" t="s">
        <v>17</v>
      </c>
    </row>
    <row r="2929" spans="1:9" hidden="1" x14ac:dyDescent="0.25">
      <c r="A2929">
        <v>2015</v>
      </c>
      <c r="B2929" s="140" t="s">
        <v>105</v>
      </c>
      <c r="C2929" s="140" t="s">
        <v>19</v>
      </c>
      <c r="D2929" s="140" t="s">
        <v>11</v>
      </c>
      <c r="E2929" s="140" t="s">
        <v>12</v>
      </c>
      <c r="F2929">
        <v>8963</v>
      </c>
      <c r="G2929" s="140" t="s">
        <v>260</v>
      </c>
      <c r="H2929">
        <v>0</v>
      </c>
      <c r="I2929" s="140" t="s">
        <v>17</v>
      </c>
    </row>
    <row r="2930" spans="1:9" hidden="1" x14ac:dyDescent="0.25">
      <c r="A2930">
        <v>2016</v>
      </c>
      <c r="B2930" s="140" t="s">
        <v>105</v>
      </c>
      <c r="C2930" s="140" t="s">
        <v>19</v>
      </c>
      <c r="D2930" s="140" t="s">
        <v>11</v>
      </c>
      <c r="E2930" s="140" t="s">
        <v>12</v>
      </c>
      <c r="F2930">
        <v>9266</v>
      </c>
      <c r="G2930" s="140" t="s">
        <v>260</v>
      </c>
      <c r="H2930">
        <v>0</v>
      </c>
      <c r="I2930" s="140" t="s">
        <v>17</v>
      </c>
    </row>
    <row r="2931" spans="1:9" hidden="1" x14ac:dyDescent="0.25">
      <c r="A2931">
        <v>2017</v>
      </c>
      <c r="B2931" s="140" t="s">
        <v>105</v>
      </c>
      <c r="C2931" s="140" t="s">
        <v>19</v>
      </c>
      <c r="D2931" s="140" t="s">
        <v>11</v>
      </c>
      <c r="E2931" s="140" t="s">
        <v>12</v>
      </c>
      <c r="F2931">
        <v>9428</v>
      </c>
      <c r="G2931" s="140" t="s">
        <v>260</v>
      </c>
      <c r="H2931">
        <v>0</v>
      </c>
      <c r="I2931" s="140" t="s">
        <v>17</v>
      </c>
    </row>
    <row r="2932" spans="1:9" hidden="1" x14ac:dyDescent="0.25">
      <c r="A2932">
        <v>2018</v>
      </c>
      <c r="B2932" s="140" t="s">
        <v>105</v>
      </c>
      <c r="C2932" s="140" t="s">
        <v>19</v>
      </c>
      <c r="D2932" s="140" t="s">
        <v>11</v>
      </c>
      <c r="E2932" s="140" t="s">
        <v>12</v>
      </c>
      <c r="F2932">
        <v>9704</v>
      </c>
      <c r="G2932" s="140" t="s">
        <v>260</v>
      </c>
      <c r="H2932">
        <v>0</v>
      </c>
      <c r="I2932" s="140" t="s">
        <v>17</v>
      </c>
    </row>
    <row r="2933" spans="1:9" hidden="1" x14ac:dyDescent="0.25">
      <c r="A2933">
        <v>2019</v>
      </c>
      <c r="B2933" s="140" t="s">
        <v>105</v>
      </c>
      <c r="C2933" s="140" t="s">
        <v>19</v>
      </c>
      <c r="D2933" s="140" t="s">
        <v>11</v>
      </c>
      <c r="E2933" s="140" t="s">
        <v>12</v>
      </c>
      <c r="F2933">
        <v>9722</v>
      </c>
      <c r="G2933" s="140" t="s">
        <v>260</v>
      </c>
      <c r="H2933">
        <v>0</v>
      </c>
      <c r="I2933" s="140" t="s">
        <v>17</v>
      </c>
    </row>
    <row r="2934" spans="1:9" hidden="1" x14ac:dyDescent="0.25">
      <c r="A2934">
        <v>2020</v>
      </c>
      <c r="B2934" s="140" t="s">
        <v>105</v>
      </c>
      <c r="C2934" s="140" t="s">
        <v>19</v>
      </c>
      <c r="D2934" s="140" t="s">
        <v>11</v>
      </c>
      <c r="E2934" s="140" t="s">
        <v>12</v>
      </c>
      <c r="F2934">
        <v>9825</v>
      </c>
      <c r="G2934" s="140" t="s">
        <v>260</v>
      </c>
      <c r="H2934">
        <v>0</v>
      </c>
      <c r="I2934" s="140" t="s">
        <v>17</v>
      </c>
    </row>
    <row r="2935" spans="1:9" hidden="1" x14ac:dyDescent="0.25">
      <c r="A2935">
        <v>2021</v>
      </c>
      <c r="B2935" s="140" t="s">
        <v>105</v>
      </c>
      <c r="C2935" s="140" t="s">
        <v>19</v>
      </c>
      <c r="D2935" s="140" t="s">
        <v>11</v>
      </c>
      <c r="E2935" s="140" t="s">
        <v>12</v>
      </c>
      <c r="F2935">
        <v>10141</v>
      </c>
      <c r="G2935" s="140" t="s">
        <v>260</v>
      </c>
      <c r="H2935">
        <v>0</v>
      </c>
      <c r="I2935" s="140" t="s">
        <v>17</v>
      </c>
    </row>
    <row r="2936" spans="1:9" hidden="1" x14ac:dyDescent="0.25">
      <c r="A2936">
        <v>2022</v>
      </c>
      <c r="B2936" s="140" t="s">
        <v>105</v>
      </c>
      <c r="C2936" s="140" t="s">
        <v>19</v>
      </c>
      <c r="D2936" s="140" t="s">
        <v>11</v>
      </c>
      <c r="E2936" s="140" t="s">
        <v>12</v>
      </c>
      <c r="F2936">
        <v>9863</v>
      </c>
      <c r="G2936" s="140" t="s">
        <v>260</v>
      </c>
      <c r="H2936">
        <v>0</v>
      </c>
      <c r="I2936" s="140" t="s">
        <v>17</v>
      </c>
    </row>
    <row r="2937" spans="1:9" hidden="1" x14ac:dyDescent="0.25">
      <c r="A2937">
        <v>2023</v>
      </c>
      <c r="B2937" s="140" t="s">
        <v>105</v>
      </c>
      <c r="C2937" s="140" t="s">
        <v>19</v>
      </c>
      <c r="D2937" s="140" t="s">
        <v>11</v>
      </c>
      <c r="E2937" s="140" t="s">
        <v>12</v>
      </c>
      <c r="F2937">
        <v>9862</v>
      </c>
      <c r="G2937" s="140" t="s">
        <v>260</v>
      </c>
      <c r="H2937">
        <v>0</v>
      </c>
      <c r="I2937" s="140" t="s">
        <v>17</v>
      </c>
    </row>
    <row r="2938" spans="1:9" hidden="1" x14ac:dyDescent="0.25">
      <c r="A2938">
        <v>2024</v>
      </c>
      <c r="B2938" s="140" t="s">
        <v>105</v>
      </c>
      <c r="C2938" s="140" t="s">
        <v>19</v>
      </c>
      <c r="D2938" s="140" t="s">
        <v>11</v>
      </c>
      <c r="E2938" s="140" t="s">
        <v>12</v>
      </c>
      <c r="F2938">
        <v>9715</v>
      </c>
      <c r="G2938" s="140" t="s">
        <v>260</v>
      </c>
      <c r="H2938">
        <v>0</v>
      </c>
      <c r="I2938" s="140" t="s">
        <v>17</v>
      </c>
    </row>
    <row r="2939" spans="1:9" hidden="1" x14ac:dyDescent="0.25">
      <c r="A2939">
        <v>2025</v>
      </c>
      <c r="B2939" s="140" t="s">
        <v>105</v>
      </c>
      <c r="C2939" s="140" t="s">
        <v>19</v>
      </c>
      <c r="D2939" s="140" t="s">
        <v>11</v>
      </c>
      <c r="E2939" s="140" t="s">
        <v>12</v>
      </c>
      <c r="F2939">
        <v>9835</v>
      </c>
      <c r="G2939" s="140" t="s">
        <v>260</v>
      </c>
      <c r="H2939">
        <v>0</v>
      </c>
      <c r="I2939" s="140" t="s">
        <v>17</v>
      </c>
    </row>
    <row r="2940" spans="1:9" hidden="1" x14ac:dyDescent="0.25">
      <c r="A2940">
        <v>2026</v>
      </c>
      <c r="B2940" s="140" t="s">
        <v>105</v>
      </c>
      <c r="C2940" s="140" t="s">
        <v>19</v>
      </c>
      <c r="D2940" s="140" t="s">
        <v>11</v>
      </c>
      <c r="E2940" s="140" t="s">
        <v>12</v>
      </c>
      <c r="F2940">
        <v>10175.6738</v>
      </c>
      <c r="G2940" s="140" t="s">
        <v>260</v>
      </c>
      <c r="H2940">
        <v>0</v>
      </c>
      <c r="I2940" s="140" t="s">
        <v>17</v>
      </c>
    </row>
    <row r="2941" spans="1:9" hidden="1" x14ac:dyDescent="0.25">
      <c r="A2941">
        <v>2027</v>
      </c>
      <c r="B2941" s="140" t="s">
        <v>105</v>
      </c>
      <c r="C2941" s="140" t="s">
        <v>19</v>
      </c>
      <c r="D2941" s="140" t="s">
        <v>11</v>
      </c>
      <c r="E2941" s="140" t="s">
        <v>12</v>
      </c>
      <c r="F2941">
        <v>10585.08605</v>
      </c>
      <c r="G2941" s="140" t="s">
        <v>260</v>
      </c>
      <c r="H2941">
        <v>0</v>
      </c>
      <c r="I2941" s="140" t="s">
        <v>17</v>
      </c>
    </row>
    <row r="2942" spans="1:9" hidden="1" x14ac:dyDescent="0.25">
      <c r="A2942">
        <v>2028</v>
      </c>
      <c r="B2942" s="140" t="s">
        <v>105</v>
      </c>
      <c r="C2942" s="140" t="s">
        <v>19</v>
      </c>
      <c r="D2942" s="140" t="s">
        <v>11</v>
      </c>
      <c r="E2942" s="140" t="s">
        <v>12</v>
      </c>
      <c r="F2942">
        <v>10830.74907</v>
      </c>
      <c r="G2942" s="140" t="s">
        <v>260</v>
      </c>
      <c r="H2942">
        <v>0</v>
      </c>
      <c r="I2942" s="140" t="s">
        <v>17</v>
      </c>
    </row>
    <row r="2943" spans="1:9" hidden="1" x14ac:dyDescent="0.25">
      <c r="A2943">
        <v>1990</v>
      </c>
      <c r="B2943" s="140" t="s">
        <v>109</v>
      </c>
      <c r="C2943" s="140" t="s">
        <v>19</v>
      </c>
      <c r="D2943" s="140" t="s">
        <v>11</v>
      </c>
      <c r="E2943" s="140" t="s">
        <v>12</v>
      </c>
      <c r="F2943">
        <v>4180</v>
      </c>
      <c r="G2943" s="140" t="s">
        <v>261</v>
      </c>
      <c r="H2943">
        <v>0</v>
      </c>
      <c r="I2943" s="140" t="s">
        <v>17</v>
      </c>
    </row>
    <row r="2944" spans="1:9" hidden="1" x14ac:dyDescent="0.25">
      <c r="A2944">
        <v>1991</v>
      </c>
      <c r="B2944" s="140" t="s">
        <v>109</v>
      </c>
      <c r="C2944" s="140" t="s">
        <v>19</v>
      </c>
      <c r="D2944" s="140" t="s">
        <v>11</v>
      </c>
      <c r="E2944" s="140" t="s">
        <v>12</v>
      </c>
      <c r="F2944">
        <v>4134</v>
      </c>
      <c r="G2944" s="140" t="s">
        <v>261</v>
      </c>
      <c r="H2944">
        <v>0</v>
      </c>
      <c r="I2944" s="140" t="s">
        <v>17</v>
      </c>
    </row>
    <row r="2945" spans="1:9" hidden="1" x14ac:dyDescent="0.25">
      <c r="A2945">
        <v>1992</v>
      </c>
      <c r="B2945" s="140" t="s">
        <v>109</v>
      </c>
      <c r="C2945" s="140" t="s">
        <v>19</v>
      </c>
      <c r="D2945" s="140" t="s">
        <v>11</v>
      </c>
      <c r="E2945" s="140" t="s">
        <v>12</v>
      </c>
      <c r="F2945">
        <v>3770</v>
      </c>
      <c r="G2945" s="140" t="s">
        <v>261</v>
      </c>
      <c r="H2945">
        <v>0</v>
      </c>
      <c r="I2945" s="140" t="s">
        <v>17</v>
      </c>
    </row>
    <row r="2946" spans="1:9" hidden="1" x14ac:dyDescent="0.25">
      <c r="A2946">
        <v>1993</v>
      </c>
      <c r="B2946" s="140" t="s">
        <v>109</v>
      </c>
      <c r="C2946" s="140" t="s">
        <v>19</v>
      </c>
      <c r="D2946" s="140" t="s">
        <v>11</v>
      </c>
      <c r="E2946" s="140" t="s">
        <v>12</v>
      </c>
      <c r="F2946">
        <v>3644</v>
      </c>
      <c r="G2946" s="140" t="s">
        <v>261</v>
      </c>
      <c r="H2946">
        <v>0</v>
      </c>
      <c r="I2946" s="140" t="s">
        <v>17</v>
      </c>
    </row>
    <row r="2947" spans="1:9" hidden="1" x14ac:dyDescent="0.25">
      <c r="A2947">
        <v>1994</v>
      </c>
      <c r="B2947" s="140" t="s">
        <v>109</v>
      </c>
      <c r="C2947" s="140" t="s">
        <v>19</v>
      </c>
      <c r="D2947" s="140" t="s">
        <v>11</v>
      </c>
      <c r="E2947" s="140" t="s">
        <v>12</v>
      </c>
      <c r="F2947">
        <v>3760</v>
      </c>
      <c r="G2947" s="140" t="s">
        <v>261</v>
      </c>
      <c r="H2947">
        <v>0</v>
      </c>
      <c r="I2947" s="140" t="s">
        <v>17</v>
      </c>
    </row>
    <row r="2948" spans="1:9" hidden="1" x14ac:dyDescent="0.25">
      <c r="A2948">
        <v>1995</v>
      </c>
      <c r="B2948" s="140" t="s">
        <v>109</v>
      </c>
      <c r="C2948" s="140" t="s">
        <v>19</v>
      </c>
      <c r="D2948" s="140" t="s">
        <v>11</v>
      </c>
      <c r="E2948" s="140" t="s">
        <v>12</v>
      </c>
      <c r="F2948">
        <v>4011</v>
      </c>
      <c r="G2948" s="140" t="s">
        <v>261</v>
      </c>
      <c r="H2948">
        <v>0</v>
      </c>
      <c r="I2948" s="140" t="s">
        <v>17</v>
      </c>
    </row>
    <row r="2949" spans="1:9" hidden="1" x14ac:dyDescent="0.25">
      <c r="A2949">
        <v>1996</v>
      </c>
      <c r="B2949" s="140" t="s">
        <v>109</v>
      </c>
      <c r="C2949" s="140" t="s">
        <v>19</v>
      </c>
      <c r="D2949" s="140" t="s">
        <v>11</v>
      </c>
      <c r="E2949" s="140" t="s">
        <v>12</v>
      </c>
      <c r="F2949">
        <v>4452</v>
      </c>
      <c r="G2949" s="140" t="s">
        <v>261</v>
      </c>
      <c r="H2949">
        <v>0</v>
      </c>
      <c r="I2949" s="140" t="s">
        <v>17</v>
      </c>
    </row>
    <row r="2950" spans="1:9" hidden="1" x14ac:dyDescent="0.25">
      <c r="A2950">
        <v>1997</v>
      </c>
      <c r="B2950" s="140" t="s">
        <v>109</v>
      </c>
      <c r="C2950" s="140" t="s">
        <v>19</v>
      </c>
      <c r="D2950" s="140" t="s">
        <v>11</v>
      </c>
      <c r="E2950" s="140" t="s">
        <v>12</v>
      </c>
      <c r="F2950">
        <v>4781</v>
      </c>
      <c r="G2950" s="140" t="s">
        <v>261</v>
      </c>
      <c r="H2950">
        <v>0</v>
      </c>
      <c r="I2950" s="140" t="s">
        <v>17</v>
      </c>
    </row>
    <row r="2951" spans="1:9" hidden="1" x14ac:dyDescent="0.25">
      <c r="A2951">
        <v>1998</v>
      </c>
      <c r="B2951" s="140" t="s">
        <v>109</v>
      </c>
      <c r="C2951" s="140" t="s">
        <v>19</v>
      </c>
      <c r="D2951" s="140" t="s">
        <v>11</v>
      </c>
      <c r="E2951" s="140" t="s">
        <v>12</v>
      </c>
      <c r="F2951">
        <v>5037</v>
      </c>
      <c r="G2951" s="140" t="s">
        <v>261</v>
      </c>
      <c r="H2951">
        <v>0</v>
      </c>
      <c r="I2951" s="140" t="s">
        <v>17</v>
      </c>
    </row>
    <row r="2952" spans="1:9" hidden="1" x14ac:dyDescent="0.25">
      <c r="A2952">
        <v>1999</v>
      </c>
      <c r="B2952" s="140" t="s">
        <v>109</v>
      </c>
      <c r="C2952" s="140" t="s">
        <v>19</v>
      </c>
      <c r="D2952" s="140" t="s">
        <v>11</v>
      </c>
      <c r="E2952" s="140" t="s">
        <v>12</v>
      </c>
      <c r="F2952">
        <v>5124</v>
      </c>
      <c r="G2952" s="140" t="s">
        <v>261</v>
      </c>
      <c r="H2952">
        <v>0</v>
      </c>
      <c r="I2952" s="140" t="s">
        <v>17</v>
      </c>
    </row>
    <row r="2953" spans="1:9" hidden="1" x14ac:dyDescent="0.25">
      <c r="A2953">
        <v>2000</v>
      </c>
      <c r="B2953" s="140" t="s">
        <v>109</v>
      </c>
      <c r="C2953" s="140" t="s">
        <v>19</v>
      </c>
      <c r="D2953" s="140" t="s">
        <v>11</v>
      </c>
      <c r="E2953" s="140" t="s">
        <v>12</v>
      </c>
      <c r="F2953">
        <v>5267</v>
      </c>
      <c r="G2953" s="140" t="s">
        <v>261</v>
      </c>
      <c r="H2953">
        <v>0</v>
      </c>
      <c r="I2953" s="140" t="s">
        <v>17</v>
      </c>
    </row>
    <row r="2954" spans="1:9" hidden="1" x14ac:dyDescent="0.25">
      <c r="A2954">
        <v>2001</v>
      </c>
      <c r="B2954" s="140" t="s">
        <v>109</v>
      </c>
      <c r="C2954" s="140" t="s">
        <v>19</v>
      </c>
      <c r="D2954" s="140" t="s">
        <v>11</v>
      </c>
      <c r="E2954" s="140" t="s">
        <v>12</v>
      </c>
      <c r="F2954">
        <v>5585</v>
      </c>
      <c r="G2954" s="140" t="s">
        <v>261</v>
      </c>
      <c r="H2954">
        <v>0</v>
      </c>
      <c r="I2954" s="140" t="s">
        <v>17</v>
      </c>
    </row>
    <row r="2955" spans="1:9" hidden="1" x14ac:dyDescent="0.25">
      <c r="A2955">
        <v>2002</v>
      </c>
      <c r="B2955" s="140" t="s">
        <v>109</v>
      </c>
      <c r="C2955" s="140" t="s">
        <v>19</v>
      </c>
      <c r="D2955" s="140" t="s">
        <v>11</v>
      </c>
      <c r="E2955" s="140" t="s">
        <v>12</v>
      </c>
      <c r="F2955">
        <v>5834</v>
      </c>
      <c r="G2955" s="140" t="s">
        <v>261</v>
      </c>
      <c r="H2955">
        <v>0</v>
      </c>
      <c r="I2955" s="140" t="s">
        <v>17</v>
      </c>
    </row>
    <row r="2956" spans="1:9" hidden="1" x14ac:dyDescent="0.25">
      <c r="A2956">
        <v>2003</v>
      </c>
      <c r="B2956" s="140" t="s">
        <v>109</v>
      </c>
      <c r="C2956" s="140" t="s">
        <v>19</v>
      </c>
      <c r="D2956" s="140" t="s">
        <v>11</v>
      </c>
      <c r="E2956" s="140" t="s">
        <v>12</v>
      </c>
      <c r="F2956">
        <v>6179</v>
      </c>
      <c r="G2956" s="140" t="s">
        <v>261</v>
      </c>
      <c r="H2956">
        <v>0</v>
      </c>
      <c r="I2956" s="140" t="s">
        <v>17</v>
      </c>
    </row>
    <row r="2957" spans="1:9" hidden="1" x14ac:dyDescent="0.25">
      <c r="A2957">
        <v>2004</v>
      </c>
      <c r="B2957" s="140" t="s">
        <v>109</v>
      </c>
      <c r="C2957" s="140" t="s">
        <v>19</v>
      </c>
      <c r="D2957" s="140" t="s">
        <v>11</v>
      </c>
      <c r="E2957" s="140" t="s">
        <v>12</v>
      </c>
      <c r="F2957">
        <v>6492</v>
      </c>
      <c r="G2957" s="140" t="s">
        <v>261</v>
      </c>
      <c r="H2957">
        <v>0</v>
      </c>
      <c r="I2957" s="140" t="s">
        <v>17</v>
      </c>
    </row>
    <row r="2958" spans="1:9" hidden="1" x14ac:dyDescent="0.25">
      <c r="A2958">
        <v>2005</v>
      </c>
      <c r="B2958" s="140" t="s">
        <v>109</v>
      </c>
      <c r="C2958" s="140" t="s">
        <v>19</v>
      </c>
      <c r="D2958" s="140" t="s">
        <v>11</v>
      </c>
      <c r="E2958" s="140" t="s">
        <v>12</v>
      </c>
      <c r="F2958">
        <v>6851</v>
      </c>
      <c r="G2958" s="140" t="s">
        <v>261</v>
      </c>
      <c r="H2958">
        <v>0</v>
      </c>
      <c r="I2958" s="140" t="s">
        <v>17</v>
      </c>
    </row>
    <row r="2959" spans="1:9" hidden="1" x14ac:dyDescent="0.25">
      <c r="A2959">
        <v>2006</v>
      </c>
      <c r="B2959" s="140" t="s">
        <v>109</v>
      </c>
      <c r="C2959" s="140" t="s">
        <v>19</v>
      </c>
      <c r="D2959" s="140" t="s">
        <v>11</v>
      </c>
      <c r="E2959" s="140" t="s">
        <v>12</v>
      </c>
      <c r="F2959">
        <v>7287</v>
      </c>
      <c r="G2959" s="140" t="s">
        <v>261</v>
      </c>
      <c r="H2959">
        <v>0</v>
      </c>
      <c r="I2959" s="140" t="s">
        <v>17</v>
      </c>
    </row>
    <row r="2960" spans="1:9" hidden="1" x14ac:dyDescent="0.25">
      <c r="A2960">
        <v>2007</v>
      </c>
      <c r="B2960" s="140" t="s">
        <v>109</v>
      </c>
      <c r="C2960" s="140" t="s">
        <v>19</v>
      </c>
      <c r="D2960" s="140" t="s">
        <v>11</v>
      </c>
      <c r="E2960" s="140" t="s">
        <v>12</v>
      </c>
      <c r="F2960">
        <v>7705</v>
      </c>
      <c r="G2960" s="140" t="s">
        <v>261</v>
      </c>
      <c r="H2960">
        <v>0</v>
      </c>
      <c r="I2960" s="140" t="s">
        <v>17</v>
      </c>
    </row>
    <row r="2961" spans="1:9" hidden="1" x14ac:dyDescent="0.25">
      <c r="A2961">
        <v>2008</v>
      </c>
      <c r="B2961" s="140" t="s">
        <v>109</v>
      </c>
      <c r="C2961" s="140" t="s">
        <v>19</v>
      </c>
      <c r="D2961" s="140" t="s">
        <v>11</v>
      </c>
      <c r="E2961" s="140" t="s">
        <v>12</v>
      </c>
      <c r="F2961">
        <v>7967</v>
      </c>
      <c r="G2961" s="140" t="s">
        <v>261</v>
      </c>
      <c r="H2961">
        <v>0</v>
      </c>
      <c r="I2961" s="140" t="s">
        <v>17</v>
      </c>
    </row>
    <row r="2962" spans="1:9" hidden="1" x14ac:dyDescent="0.25">
      <c r="A2962">
        <v>2009</v>
      </c>
      <c r="B2962" s="140" t="s">
        <v>109</v>
      </c>
      <c r="C2962" s="140" t="s">
        <v>19</v>
      </c>
      <c r="D2962" s="140" t="s">
        <v>11</v>
      </c>
      <c r="E2962" s="140" t="s">
        <v>12</v>
      </c>
      <c r="F2962">
        <v>7709</v>
      </c>
      <c r="G2962" s="140" t="s">
        <v>261</v>
      </c>
      <c r="H2962">
        <v>0</v>
      </c>
      <c r="I2962" s="140" t="s">
        <v>17</v>
      </c>
    </row>
    <row r="2963" spans="1:9" hidden="1" x14ac:dyDescent="0.25">
      <c r="A2963">
        <v>2010</v>
      </c>
      <c r="B2963" s="140" t="s">
        <v>109</v>
      </c>
      <c r="C2963" s="140" t="s">
        <v>19</v>
      </c>
      <c r="D2963" s="140" t="s">
        <v>11</v>
      </c>
      <c r="E2963" s="140" t="s">
        <v>12</v>
      </c>
      <c r="F2963">
        <v>8214</v>
      </c>
      <c r="G2963" s="140" t="s">
        <v>261</v>
      </c>
      <c r="H2963">
        <v>0</v>
      </c>
      <c r="I2963" s="140" t="s">
        <v>17</v>
      </c>
    </row>
    <row r="2964" spans="1:9" hidden="1" x14ac:dyDescent="0.25">
      <c r="A2964">
        <v>2011</v>
      </c>
      <c r="B2964" s="140" t="s">
        <v>109</v>
      </c>
      <c r="C2964" s="140" t="s">
        <v>19</v>
      </c>
      <c r="D2964" s="140" t="s">
        <v>11</v>
      </c>
      <c r="E2964" s="140" t="s">
        <v>12</v>
      </c>
      <c r="F2964">
        <v>8599</v>
      </c>
      <c r="G2964" s="140" t="s">
        <v>261</v>
      </c>
      <c r="H2964">
        <v>0</v>
      </c>
      <c r="I2964" s="140" t="s">
        <v>17</v>
      </c>
    </row>
    <row r="2965" spans="1:9" hidden="1" x14ac:dyDescent="0.25">
      <c r="A2965">
        <v>2012</v>
      </c>
      <c r="B2965" s="140" t="s">
        <v>109</v>
      </c>
      <c r="C2965" s="140" t="s">
        <v>19</v>
      </c>
      <c r="D2965" s="140" t="s">
        <v>11</v>
      </c>
      <c r="E2965" s="140" t="s">
        <v>12</v>
      </c>
      <c r="F2965">
        <v>8827</v>
      </c>
      <c r="G2965" s="140" t="s">
        <v>261</v>
      </c>
      <c r="H2965">
        <v>0</v>
      </c>
      <c r="I2965" s="140" t="s">
        <v>17</v>
      </c>
    </row>
    <row r="2966" spans="1:9" hidden="1" x14ac:dyDescent="0.25">
      <c r="A2966">
        <v>2013</v>
      </c>
      <c r="B2966" s="140" t="s">
        <v>109</v>
      </c>
      <c r="C2966" s="140" t="s">
        <v>19</v>
      </c>
      <c r="D2966" s="140" t="s">
        <v>11</v>
      </c>
      <c r="E2966" s="140" t="s">
        <v>12</v>
      </c>
      <c r="F2966">
        <v>8725</v>
      </c>
      <c r="G2966" s="140" t="s">
        <v>261</v>
      </c>
      <c r="H2966">
        <v>0</v>
      </c>
      <c r="I2966" s="140" t="s">
        <v>17</v>
      </c>
    </row>
    <row r="2967" spans="1:9" hidden="1" x14ac:dyDescent="0.25">
      <c r="A2967">
        <v>2014</v>
      </c>
      <c r="B2967" s="140" t="s">
        <v>109</v>
      </c>
      <c r="C2967" s="140" t="s">
        <v>19</v>
      </c>
      <c r="D2967" s="140" t="s">
        <v>11</v>
      </c>
      <c r="E2967" s="140" t="s">
        <v>12</v>
      </c>
      <c r="F2967">
        <v>8708</v>
      </c>
      <c r="G2967" s="140" t="s">
        <v>261</v>
      </c>
      <c r="H2967">
        <v>0</v>
      </c>
      <c r="I2967" s="140" t="s">
        <v>17</v>
      </c>
    </row>
    <row r="2968" spans="1:9" hidden="1" x14ac:dyDescent="0.25">
      <c r="A2968">
        <v>2015</v>
      </c>
      <c r="B2968" s="140" t="s">
        <v>109</v>
      </c>
      <c r="C2968" s="140" t="s">
        <v>19</v>
      </c>
      <c r="D2968" s="140" t="s">
        <v>11</v>
      </c>
      <c r="E2968" s="140" t="s">
        <v>12</v>
      </c>
      <c r="F2968">
        <v>8706</v>
      </c>
      <c r="G2968" s="140" t="s">
        <v>261</v>
      </c>
      <c r="H2968">
        <v>0</v>
      </c>
      <c r="I2968" s="140" t="s">
        <v>17</v>
      </c>
    </row>
    <row r="2969" spans="1:9" hidden="1" x14ac:dyDescent="0.25">
      <c r="A2969">
        <v>2016</v>
      </c>
      <c r="B2969" s="140" t="s">
        <v>109</v>
      </c>
      <c r="C2969" s="140" t="s">
        <v>19</v>
      </c>
      <c r="D2969" s="140" t="s">
        <v>11</v>
      </c>
      <c r="E2969" s="140" t="s">
        <v>12</v>
      </c>
      <c r="F2969">
        <v>8700</v>
      </c>
      <c r="G2969" s="140" t="s">
        <v>261</v>
      </c>
      <c r="H2969">
        <v>0</v>
      </c>
      <c r="I2969" s="140" t="s">
        <v>17</v>
      </c>
    </row>
    <row r="2970" spans="1:9" hidden="1" x14ac:dyDescent="0.25">
      <c r="A2970">
        <v>2017</v>
      </c>
      <c r="B2970" s="140" t="s">
        <v>109</v>
      </c>
      <c r="C2970" s="140" t="s">
        <v>19</v>
      </c>
      <c r="D2970" s="140" t="s">
        <v>11</v>
      </c>
      <c r="E2970" s="140" t="s">
        <v>12</v>
      </c>
      <c r="F2970">
        <v>8811</v>
      </c>
      <c r="G2970" s="140" t="s">
        <v>261</v>
      </c>
      <c r="H2970">
        <v>0</v>
      </c>
      <c r="I2970" s="140" t="s">
        <v>17</v>
      </c>
    </row>
    <row r="2971" spans="1:9" hidden="1" x14ac:dyDescent="0.25">
      <c r="A2971">
        <v>2018</v>
      </c>
      <c r="B2971" s="140" t="s">
        <v>109</v>
      </c>
      <c r="C2971" s="140" t="s">
        <v>19</v>
      </c>
      <c r="D2971" s="140" t="s">
        <v>11</v>
      </c>
      <c r="E2971" s="140" t="s">
        <v>12</v>
      </c>
      <c r="F2971">
        <v>8913</v>
      </c>
      <c r="G2971" s="140" t="s">
        <v>261</v>
      </c>
      <c r="H2971">
        <v>0</v>
      </c>
      <c r="I2971" s="140" t="s">
        <v>17</v>
      </c>
    </row>
    <row r="2972" spans="1:9" hidden="1" x14ac:dyDescent="0.25">
      <c r="A2972">
        <v>2019</v>
      </c>
      <c r="B2972" s="140" t="s">
        <v>109</v>
      </c>
      <c r="C2972" s="140" t="s">
        <v>19</v>
      </c>
      <c r="D2972" s="140" t="s">
        <v>11</v>
      </c>
      <c r="E2972" s="140" t="s">
        <v>12</v>
      </c>
      <c r="F2972">
        <v>9159</v>
      </c>
      <c r="G2972" s="140" t="s">
        <v>261</v>
      </c>
      <c r="H2972">
        <v>0</v>
      </c>
      <c r="I2972" s="140" t="s">
        <v>17</v>
      </c>
    </row>
    <row r="2973" spans="1:9" hidden="1" x14ac:dyDescent="0.25">
      <c r="A2973">
        <v>2020</v>
      </c>
      <c r="B2973" s="140" t="s">
        <v>109</v>
      </c>
      <c r="C2973" s="140" t="s">
        <v>19</v>
      </c>
      <c r="D2973" s="140" t="s">
        <v>11</v>
      </c>
      <c r="E2973" s="140" t="s">
        <v>12</v>
      </c>
      <c r="F2973">
        <v>8158</v>
      </c>
      <c r="G2973" s="140" t="s">
        <v>261</v>
      </c>
      <c r="H2973">
        <v>0</v>
      </c>
      <c r="I2973" s="140" t="s">
        <v>17</v>
      </c>
    </row>
    <row r="2974" spans="1:9" hidden="1" x14ac:dyDescent="0.25">
      <c r="A2974">
        <v>2021</v>
      </c>
      <c r="B2974" s="140" t="s">
        <v>109</v>
      </c>
      <c r="C2974" s="140" t="s">
        <v>19</v>
      </c>
      <c r="D2974" s="140" t="s">
        <v>11</v>
      </c>
      <c r="E2974" s="140" t="s">
        <v>12</v>
      </c>
      <c r="F2974">
        <v>9174</v>
      </c>
      <c r="G2974" s="140" t="s">
        <v>261</v>
      </c>
      <c r="H2974">
        <v>0</v>
      </c>
      <c r="I2974" s="140" t="s">
        <v>17</v>
      </c>
    </row>
    <row r="2975" spans="1:9" hidden="1" x14ac:dyDescent="0.25">
      <c r="A2975">
        <v>2022</v>
      </c>
      <c r="B2975" s="140" t="s">
        <v>109</v>
      </c>
      <c r="C2975" s="140" t="s">
        <v>19</v>
      </c>
      <c r="D2975" s="140" t="s">
        <v>11</v>
      </c>
      <c r="E2975" s="140" t="s">
        <v>12</v>
      </c>
      <c r="F2975">
        <v>9556</v>
      </c>
      <c r="G2975" s="140" t="s">
        <v>261</v>
      </c>
      <c r="H2975">
        <v>0</v>
      </c>
      <c r="I2975" s="140" t="s">
        <v>17</v>
      </c>
    </row>
    <row r="2976" spans="1:9" hidden="1" x14ac:dyDescent="0.25">
      <c r="A2976">
        <v>2023</v>
      </c>
      <c r="B2976" s="140" t="s">
        <v>109</v>
      </c>
      <c r="C2976" s="140" t="s">
        <v>19</v>
      </c>
      <c r="D2976" s="140" t="s">
        <v>11</v>
      </c>
      <c r="E2976" s="140" t="s">
        <v>12</v>
      </c>
      <c r="F2976">
        <v>9568</v>
      </c>
      <c r="G2976" s="140" t="s">
        <v>261</v>
      </c>
      <c r="H2976">
        <v>0</v>
      </c>
      <c r="I2976" s="140" t="s">
        <v>17</v>
      </c>
    </row>
    <row r="2977" spans="1:9" hidden="1" x14ac:dyDescent="0.25">
      <c r="A2977">
        <v>2024</v>
      </c>
      <c r="B2977" s="140" t="s">
        <v>109</v>
      </c>
      <c r="C2977" s="140" t="s">
        <v>19</v>
      </c>
      <c r="D2977" s="140" t="s">
        <v>11</v>
      </c>
      <c r="E2977" s="140" t="s">
        <v>12</v>
      </c>
      <c r="F2977">
        <v>9797</v>
      </c>
      <c r="G2977" s="140" t="s">
        <v>261</v>
      </c>
      <c r="H2977">
        <v>0</v>
      </c>
      <c r="I2977" s="140" t="s">
        <v>17</v>
      </c>
    </row>
    <row r="2978" spans="1:9" hidden="1" x14ac:dyDescent="0.25">
      <c r="A2978">
        <v>2025</v>
      </c>
      <c r="B2978" s="140" t="s">
        <v>109</v>
      </c>
      <c r="C2978" s="140" t="s">
        <v>19</v>
      </c>
      <c r="D2978" s="140" t="s">
        <v>11</v>
      </c>
      <c r="E2978" s="140" t="s">
        <v>12</v>
      </c>
      <c r="F2978">
        <v>9933</v>
      </c>
      <c r="G2978" s="140" t="s">
        <v>261</v>
      </c>
      <c r="H2978">
        <v>0</v>
      </c>
      <c r="I2978" s="140" t="s">
        <v>17</v>
      </c>
    </row>
    <row r="2979" spans="1:9" hidden="1" x14ac:dyDescent="0.25">
      <c r="A2979">
        <v>2026</v>
      </c>
      <c r="B2979" s="140" t="s">
        <v>109</v>
      </c>
      <c r="C2979" s="140" t="s">
        <v>19</v>
      </c>
      <c r="D2979" s="140" t="s">
        <v>11</v>
      </c>
      <c r="E2979" s="140" t="s">
        <v>12</v>
      </c>
      <c r="F2979">
        <v>10306.262779999999</v>
      </c>
      <c r="G2979" s="140" t="s">
        <v>261</v>
      </c>
      <c r="H2979">
        <v>0</v>
      </c>
      <c r="I2979" s="140" t="s">
        <v>17</v>
      </c>
    </row>
    <row r="2980" spans="1:9" hidden="1" x14ac:dyDescent="0.25">
      <c r="A2980">
        <v>2027</v>
      </c>
      <c r="B2980" s="140" t="s">
        <v>109</v>
      </c>
      <c r="C2980" s="140" t="s">
        <v>19</v>
      </c>
      <c r="D2980" s="140" t="s">
        <v>11</v>
      </c>
      <c r="E2980" s="140" t="s">
        <v>12</v>
      </c>
      <c r="F2980">
        <v>10563.720799999999</v>
      </c>
      <c r="G2980" s="140" t="s">
        <v>261</v>
      </c>
      <c r="H2980">
        <v>0</v>
      </c>
      <c r="I2980" s="140" t="s">
        <v>17</v>
      </c>
    </row>
    <row r="2981" spans="1:9" hidden="1" x14ac:dyDescent="0.25">
      <c r="A2981">
        <v>2028</v>
      </c>
      <c r="B2981" s="140" t="s">
        <v>109</v>
      </c>
      <c r="C2981" s="140" t="s">
        <v>19</v>
      </c>
      <c r="D2981" s="140" t="s">
        <v>11</v>
      </c>
      <c r="E2981" s="140" t="s">
        <v>12</v>
      </c>
      <c r="F2981">
        <v>10830.35534</v>
      </c>
      <c r="G2981" s="140" t="s">
        <v>261</v>
      </c>
      <c r="H2981">
        <v>0</v>
      </c>
      <c r="I2981" s="140" t="s">
        <v>17</v>
      </c>
    </row>
    <row r="2982" spans="1:9" hidden="1" x14ac:dyDescent="0.25">
      <c r="A2982">
        <v>1990</v>
      </c>
      <c r="B2982" s="140" t="s">
        <v>107</v>
      </c>
      <c r="C2982" s="140" t="s">
        <v>19</v>
      </c>
      <c r="D2982" s="140" t="s">
        <v>11</v>
      </c>
      <c r="E2982" s="140" t="s">
        <v>12</v>
      </c>
      <c r="F2982">
        <v>15440</v>
      </c>
      <c r="G2982" s="140" t="s">
        <v>262</v>
      </c>
      <c r="H2982">
        <v>0</v>
      </c>
      <c r="I2982" s="140" t="s">
        <v>17</v>
      </c>
    </row>
    <row r="2983" spans="1:9" hidden="1" x14ac:dyDescent="0.25">
      <c r="A2983">
        <v>1991</v>
      </c>
      <c r="B2983" s="140" t="s">
        <v>107</v>
      </c>
      <c r="C2983" s="140" t="s">
        <v>19</v>
      </c>
      <c r="D2983" s="140" t="s">
        <v>11</v>
      </c>
      <c r="E2983" s="140" t="s">
        <v>12</v>
      </c>
      <c r="F2983">
        <v>16247</v>
      </c>
      <c r="G2983" s="140" t="s">
        <v>262</v>
      </c>
      <c r="H2983">
        <v>0</v>
      </c>
      <c r="I2983" s="140" t="s">
        <v>17</v>
      </c>
    </row>
    <row r="2984" spans="1:9" hidden="1" x14ac:dyDescent="0.25">
      <c r="A2984">
        <v>1992</v>
      </c>
      <c r="B2984" s="140" t="s">
        <v>107</v>
      </c>
      <c r="C2984" s="140" t="s">
        <v>19</v>
      </c>
      <c r="D2984" s="140" t="s">
        <v>11</v>
      </c>
      <c r="E2984" s="140" t="s">
        <v>12</v>
      </c>
      <c r="F2984">
        <v>16475</v>
      </c>
      <c r="G2984" s="140" t="s">
        <v>262</v>
      </c>
      <c r="H2984">
        <v>0</v>
      </c>
      <c r="I2984" s="140" t="s">
        <v>17</v>
      </c>
    </row>
    <row r="2985" spans="1:9" hidden="1" x14ac:dyDescent="0.25">
      <c r="A2985">
        <v>1993</v>
      </c>
      <c r="B2985" s="140" t="s">
        <v>107</v>
      </c>
      <c r="C2985" s="140" t="s">
        <v>19</v>
      </c>
      <c r="D2985" s="140" t="s">
        <v>11</v>
      </c>
      <c r="E2985" s="140" t="s">
        <v>12</v>
      </c>
      <c r="F2985">
        <v>16821</v>
      </c>
      <c r="G2985" s="140" t="s">
        <v>262</v>
      </c>
      <c r="H2985">
        <v>0</v>
      </c>
      <c r="I2985" s="140" t="s">
        <v>17</v>
      </c>
    </row>
    <row r="2986" spans="1:9" hidden="1" x14ac:dyDescent="0.25">
      <c r="A2986">
        <v>1994</v>
      </c>
      <c r="B2986" s="140" t="s">
        <v>107</v>
      </c>
      <c r="C2986" s="140" t="s">
        <v>19</v>
      </c>
      <c r="D2986" s="140" t="s">
        <v>11</v>
      </c>
      <c r="E2986" s="140" t="s">
        <v>12</v>
      </c>
      <c r="F2986">
        <v>17081</v>
      </c>
      <c r="G2986" s="140" t="s">
        <v>262</v>
      </c>
      <c r="H2986">
        <v>0</v>
      </c>
      <c r="I2986" s="140" t="s">
        <v>17</v>
      </c>
    </row>
    <row r="2987" spans="1:9" hidden="1" x14ac:dyDescent="0.25">
      <c r="A2987">
        <v>1995</v>
      </c>
      <c r="B2987" s="140" t="s">
        <v>107</v>
      </c>
      <c r="C2987" s="140" t="s">
        <v>19</v>
      </c>
      <c r="D2987" s="140" t="s">
        <v>11</v>
      </c>
      <c r="E2987" s="140" t="s">
        <v>12</v>
      </c>
      <c r="F2987">
        <v>17124</v>
      </c>
      <c r="G2987" s="140" t="s">
        <v>262</v>
      </c>
      <c r="H2987">
        <v>0</v>
      </c>
      <c r="I2987" s="140" t="s">
        <v>17</v>
      </c>
    </row>
    <row r="2988" spans="1:9" hidden="1" x14ac:dyDescent="0.25">
      <c r="A2988">
        <v>1996</v>
      </c>
      <c r="B2988" s="140" t="s">
        <v>107</v>
      </c>
      <c r="C2988" s="140" t="s">
        <v>19</v>
      </c>
      <c r="D2988" s="140" t="s">
        <v>11</v>
      </c>
      <c r="E2988" s="140" t="s">
        <v>12</v>
      </c>
      <c r="F2988">
        <v>17328</v>
      </c>
      <c r="G2988" s="140" t="s">
        <v>262</v>
      </c>
      <c r="H2988">
        <v>0</v>
      </c>
      <c r="I2988" s="140" t="s">
        <v>17</v>
      </c>
    </row>
    <row r="2989" spans="1:9" hidden="1" x14ac:dyDescent="0.25">
      <c r="A2989">
        <v>1997</v>
      </c>
      <c r="B2989" s="140" t="s">
        <v>107</v>
      </c>
      <c r="C2989" s="140" t="s">
        <v>19</v>
      </c>
      <c r="D2989" s="140" t="s">
        <v>11</v>
      </c>
      <c r="E2989" s="140" t="s">
        <v>12</v>
      </c>
      <c r="F2989">
        <v>18104</v>
      </c>
      <c r="G2989" s="140" t="s">
        <v>262</v>
      </c>
      <c r="H2989">
        <v>0</v>
      </c>
      <c r="I2989" s="140" t="s">
        <v>17</v>
      </c>
    </row>
    <row r="2990" spans="1:9" hidden="1" x14ac:dyDescent="0.25">
      <c r="A2990">
        <v>1998</v>
      </c>
      <c r="B2990" s="140" t="s">
        <v>107</v>
      </c>
      <c r="C2990" s="140" t="s">
        <v>19</v>
      </c>
      <c r="D2990" s="140" t="s">
        <v>11</v>
      </c>
      <c r="E2990" s="140" t="s">
        <v>12</v>
      </c>
      <c r="F2990">
        <v>18712</v>
      </c>
      <c r="G2990" s="140" t="s">
        <v>262</v>
      </c>
      <c r="H2990">
        <v>0</v>
      </c>
      <c r="I2990" s="140" t="s">
        <v>17</v>
      </c>
    </row>
    <row r="2991" spans="1:9" hidden="1" x14ac:dyDescent="0.25">
      <c r="A2991">
        <v>1999</v>
      </c>
      <c r="B2991" s="140" t="s">
        <v>107</v>
      </c>
      <c r="C2991" s="140" t="s">
        <v>19</v>
      </c>
      <c r="D2991" s="140" t="s">
        <v>11</v>
      </c>
      <c r="E2991" s="140" t="s">
        <v>12</v>
      </c>
      <c r="F2991">
        <v>19399</v>
      </c>
      <c r="G2991" s="140" t="s">
        <v>262</v>
      </c>
      <c r="H2991">
        <v>0</v>
      </c>
      <c r="I2991" s="140" t="s">
        <v>17</v>
      </c>
    </row>
    <row r="2992" spans="1:9" hidden="1" x14ac:dyDescent="0.25">
      <c r="A2992">
        <v>2000</v>
      </c>
      <c r="B2992" s="140" t="s">
        <v>107</v>
      </c>
      <c r="C2992" s="140" t="s">
        <v>19</v>
      </c>
      <c r="D2992" s="140" t="s">
        <v>11</v>
      </c>
      <c r="E2992" s="140" t="s">
        <v>12</v>
      </c>
      <c r="F2992">
        <v>20072</v>
      </c>
      <c r="G2992" s="140" t="s">
        <v>262</v>
      </c>
      <c r="H2992">
        <v>0</v>
      </c>
      <c r="I2992" s="140" t="s">
        <v>17</v>
      </c>
    </row>
    <row r="2993" spans="1:9" hidden="1" x14ac:dyDescent="0.25">
      <c r="A2993">
        <v>2001</v>
      </c>
      <c r="B2993" s="140" t="s">
        <v>107</v>
      </c>
      <c r="C2993" s="140" t="s">
        <v>19</v>
      </c>
      <c r="D2993" s="140" t="s">
        <v>11</v>
      </c>
      <c r="E2993" s="140" t="s">
        <v>12</v>
      </c>
      <c r="F2993">
        <v>21378</v>
      </c>
      <c r="G2993" s="140" t="s">
        <v>262</v>
      </c>
      <c r="H2993">
        <v>0</v>
      </c>
      <c r="I2993" s="140" t="s">
        <v>17</v>
      </c>
    </row>
    <row r="2994" spans="1:9" hidden="1" x14ac:dyDescent="0.25">
      <c r="A2994">
        <v>2002</v>
      </c>
      <c r="B2994" s="140" t="s">
        <v>107</v>
      </c>
      <c r="C2994" s="140" t="s">
        <v>19</v>
      </c>
      <c r="D2994" s="140" t="s">
        <v>11</v>
      </c>
      <c r="E2994" s="140" t="s">
        <v>12</v>
      </c>
      <c r="F2994">
        <v>21946</v>
      </c>
      <c r="G2994" s="140" t="s">
        <v>262</v>
      </c>
      <c r="H2994">
        <v>0</v>
      </c>
      <c r="I2994" s="140" t="s">
        <v>17</v>
      </c>
    </row>
    <row r="2995" spans="1:9" hidden="1" x14ac:dyDescent="0.25">
      <c r="A2995">
        <v>2003</v>
      </c>
      <c r="B2995" s="140" t="s">
        <v>107</v>
      </c>
      <c r="C2995" s="140" t="s">
        <v>19</v>
      </c>
      <c r="D2995" s="140" t="s">
        <v>11</v>
      </c>
      <c r="E2995" s="140" t="s">
        <v>12</v>
      </c>
      <c r="F2995">
        <v>22962</v>
      </c>
      <c r="G2995" s="140" t="s">
        <v>262</v>
      </c>
      <c r="H2995">
        <v>0</v>
      </c>
      <c r="I2995" s="140" t="s">
        <v>17</v>
      </c>
    </row>
    <row r="2996" spans="1:9" hidden="1" x14ac:dyDescent="0.25">
      <c r="A2996">
        <v>2004</v>
      </c>
      <c r="B2996" s="140" t="s">
        <v>107</v>
      </c>
      <c r="C2996" s="140" t="s">
        <v>19</v>
      </c>
      <c r="D2996" s="140" t="s">
        <v>11</v>
      </c>
      <c r="E2996" s="140" t="s">
        <v>12</v>
      </c>
      <c r="F2996">
        <v>23259</v>
      </c>
      <c r="G2996" s="140" t="s">
        <v>262</v>
      </c>
      <c r="H2996">
        <v>0</v>
      </c>
      <c r="I2996" s="140" t="s">
        <v>17</v>
      </c>
    </row>
    <row r="2997" spans="1:9" hidden="1" x14ac:dyDescent="0.25">
      <c r="A2997">
        <v>2005</v>
      </c>
      <c r="B2997" s="140" t="s">
        <v>107</v>
      </c>
      <c r="C2997" s="140" t="s">
        <v>19</v>
      </c>
      <c r="D2997" s="140" t="s">
        <v>11</v>
      </c>
      <c r="E2997" s="140" t="s">
        <v>12</v>
      </c>
      <c r="F2997">
        <v>24060</v>
      </c>
      <c r="G2997" s="140" t="s">
        <v>262</v>
      </c>
      <c r="H2997">
        <v>0</v>
      </c>
      <c r="I2997" s="140" t="s">
        <v>17</v>
      </c>
    </row>
    <row r="2998" spans="1:9" hidden="1" x14ac:dyDescent="0.25">
      <c r="A2998">
        <v>2006</v>
      </c>
      <c r="B2998" s="140" t="s">
        <v>107</v>
      </c>
      <c r="C2998" s="140" t="s">
        <v>19</v>
      </c>
      <c r="D2998" s="140" t="s">
        <v>11</v>
      </c>
      <c r="E2998" s="140" t="s">
        <v>12</v>
      </c>
      <c r="F2998">
        <v>25138</v>
      </c>
      <c r="G2998" s="140" t="s">
        <v>262</v>
      </c>
      <c r="H2998">
        <v>0</v>
      </c>
      <c r="I2998" s="140" t="s">
        <v>17</v>
      </c>
    </row>
    <row r="2999" spans="1:9" hidden="1" x14ac:dyDescent="0.25">
      <c r="A2999">
        <v>2007</v>
      </c>
      <c r="B2999" s="140" t="s">
        <v>107</v>
      </c>
      <c r="C2999" s="140" t="s">
        <v>19</v>
      </c>
      <c r="D2999" s="140" t="s">
        <v>11</v>
      </c>
      <c r="E2999" s="140" t="s">
        <v>12</v>
      </c>
      <c r="F2999">
        <v>26285</v>
      </c>
      <c r="G2999" s="140" t="s">
        <v>262</v>
      </c>
      <c r="H2999">
        <v>0</v>
      </c>
      <c r="I2999" s="140" t="s">
        <v>17</v>
      </c>
    </row>
    <row r="3000" spans="1:9" hidden="1" x14ac:dyDescent="0.25">
      <c r="A3000">
        <v>2008</v>
      </c>
      <c r="B3000" s="140" t="s">
        <v>107</v>
      </c>
      <c r="C3000" s="140" t="s">
        <v>19</v>
      </c>
      <c r="D3000" s="140" t="s">
        <v>11</v>
      </c>
      <c r="E3000" s="140" t="s">
        <v>12</v>
      </c>
      <c r="F3000">
        <v>28107</v>
      </c>
      <c r="G3000" s="140" t="s">
        <v>262</v>
      </c>
      <c r="H3000">
        <v>0</v>
      </c>
      <c r="I3000" s="140" t="s">
        <v>17</v>
      </c>
    </row>
    <row r="3001" spans="1:9" hidden="1" x14ac:dyDescent="0.25">
      <c r="A3001">
        <v>2009</v>
      </c>
      <c r="B3001" s="140" t="s">
        <v>107</v>
      </c>
      <c r="C3001" s="140" t="s">
        <v>19</v>
      </c>
      <c r="D3001" s="140" t="s">
        <v>11</v>
      </c>
      <c r="E3001" s="140" t="s">
        <v>12</v>
      </c>
      <c r="F3001">
        <v>27922</v>
      </c>
      <c r="G3001" s="140" t="s">
        <v>262</v>
      </c>
      <c r="H3001">
        <v>0</v>
      </c>
      <c r="I3001" s="140" t="s">
        <v>17</v>
      </c>
    </row>
    <row r="3002" spans="1:9" hidden="1" x14ac:dyDescent="0.25">
      <c r="A3002">
        <v>2010</v>
      </c>
      <c r="B3002" s="140" t="s">
        <v>107</v>
      </c>
      <c r="C3002" s="140" t="s">
        <v>19</v>
      </c>
      <c r="D3002" s="140" t="s">
        <v>11</v>
      </c>
      <c r="E3002" s="140" t="s">
        <v>12</v>
      </c>
      <c r="F3002">
        <v>29306</v>
      </c>
      <c r="G3002" s="140" t="s">
        <v>262</v>
      </c>
      <c r="H3002">
        <v>0</v>
      </c>
      <c r="I3002" s="140" t="s">
        <v>17</v>
      </c>
    </row>
    <row r="3003" spans="1:9" hidden="1" x14ac:dyDescent="0.25">
      <c r="A3003">
        <v>2011</v>
      </c>
      <c r="B3003" s="140" t="s">
        <v>107</v>
      </c>
      <c r="C3003" s="140" t="s">
        <v>19</v>
      </c>
      <c r="D3003" s="140" t="s">
        <v>11</v>
      </c>
      <c r="E3003" s="140" t="s">
        <v>12</v>
      </c>
      <c r="F3003">
        <v>30950</v>
      </c>
      <c r="G3003" s="140" t="s">
        <v>262</v>
      </c>
      <c r="H3003">
        <v>0</v>
      </c>
      <c r="I3003" s="140" t="s">
        <v>17</v>
      </c>
    </row>
    <row r="3004" spans="1:9" hidden="1" x14ac:dyDescent="0.25">
      <c r="A3004">
        <v>2012</v>
      </c>
      <c r="B3004" s="140" t="s">
        <v>107</v>
      </c>
      <c r="C3004" s="140" t="s">
        <v>19</v>
      </c>
      <c r="D3004" s="140" t="s">
        <v>11</v>
      </c>
      <c r="E3004" s="140" t="s">
        <v>12</v>
      </c>
      <c r="F3004">
        <v>32324</v>
      </c>
      <c r="G3004" s="140" t="s">
        <v>262</v>
      </c>
      <c r="H3004">
        <v>0</v>
      </c>
      <c r="I3004" s="140" t="s">
        <v>17</v>
      </c>
    </row>
    <row r="3005" spans="1:9" hidden="1" x14ac:dyDescent="0.25">
      <c r="A3005">
        <v>2013</v>
      </c>
      <c r="B3005" s="140" t="s">
        <v>107</v>
      </c>
      <c r="C3005" s="140" t="s">
        <v>19</v>
      </c>
      <c r="D3005" s="140" t="s">
        <v>11</v>
      </c>
      <c r="E3005" s="140" t="s">
        <v>12</v>
      </c>
      <c r="F3005">
        <v>33093</v>
      </c>
      <c r="G3005" s="140" t="s">
        <v>262</v>
      </c>
      <c r="H3005">
        <v>0</v>
      </c>
      <c r="I3005" s="140" t="s">
        <v>17</v>
      </c>
    </row>
    <row r="3006" spans="1:9" hidden="1" x14ac:dyDescent="0.25">
      <c r="A3006">
        <v>2014</v>
      </c>
      <c r="B3006" s="140" t="s">
        <v>107</v>
      </c>
      <c r="C3006" s="140" t="s">
        <v>19</v>
      </c>
      <c r="D3006" s="140" t="s">
        <v>11</v>
      </c>
      <c r="E3006" s="140" t="s">
        <v>12</v>
      </c>
      <c r="F3006">
        <v>33113</v>
      </c>
      <c r="G3006" s="140" t="s">
        <v>262</v>
      </c>
      <c r="H3006">
        <v>0</v>
      </c>
      <c r="I3006" s="140" t="s">
        <v>17</v>
      </c>
    </row>
    <row r="3007" spans="1:9" hidden="1" x14ac:dyDescent="0.25">
      <c r="A3007">
        <v>2015</v>
      </c>
      <c r="B3007" s="140" t="s">
        <v>107</v>
      </c>
      <c r="C3007" s="140" t="s">
        <v>19</v>
      </c>
      <c r="D3007" s="140" t="s">
        <v>11</v>
      </c>
      <c r="E3007" s="140" t="s">
        <v>12</v>
      </c>
      <c r="F3007">
        <v>32391</v>
      </c>
      <c r="G3007" s="140" t="s">
        <v>262</v>
      </c>
      <c r="H3007">
        <v>0</v>
      </c>
      <c r="I3007" s="140" t="s">
        <v>17</v>
      </c>
    </row>
    <row r="3008" spans="1:9" hidden="1" x14ac:dyDescent="0.25">
      <c r="A3008">
        <v>2016</v>
      </c>
      <c r="B3008" s="140" t="s">
        <v>107</v>
      </c>
      <c r="C3008" s="140" t="s">
        <v>19</v>
      </c>
      <c r="D3008" s="140" t="s">
        <v>11</v>
      </c>
      <c r="E3008" s="140" t="s">
        <v>12</v>
      </c>
      <c r="F3008">
        <v>32581</v>
      </c>
      <c r="G3008" s="140" t="s">
        <v>262</v>
      </c>
      <c r="H3008">
        <v>0</v>
      </c>
      <c r="I3008" s="140" t="s">
        <v>17</v>
      </c>
    </row>
    <row r="3009" spans="1:9" hidden="1" x14ac:dyDescent="0.25">
      <c r="A3009">
        <v>2017</v>
      </c>
      <c r="B3009" s="140" t="s">
        <v>107</v>
      </c>
      <c r="C3009" s="140" t="s">
        <v>19</v>
      </c>
      <c r="D3009" s="140" t="s">
        <v>11</v>
      </c>
      <c r="E3009" s="140" t="s">
        <v>12</v>
      </c>
      <c r="F3009">
        <v>33003</v>
      </c>
      <c r="G3009" s="140" t="s">
        <v>262</v>
      </c>
      <c r="H3009">
        <v>0</v>
      </c>
      <c r="I3009" s="140" t="s">
        <v>17</v>
      </c>
    </row>
    <row r="3010" spans="1:9" hidden="1" x14ac:dyDescent="0.25">
      <c r="A3010">
        <v>2018</v>
      </c>
      <c r="B3010" s="140" t="s">
        <v>107</v>
      </c>
      <c r="C3010" s="140" t="s">
        <v>19</v>
      </c>
      <c r="D3010" s="140" t="s">
        <v>11</v>
      </c>
      <c r="E3010" s="140" t="s">
        <v>12</v>
      </c>
      <c r="F3010">
        <v>33899</v>
      </c>
      <c r="G3010" s="140" t="s">
        <v>262</v>
      </c>
      <c r="H3010">
        <v>0</v>
      </c>
      <c r="I3010" s="140" t="s">
        <v>17</v>
      </c>
    </row>
    <row r="3011" spans="1:9" hidden="1" x14ac:dyDescent="0.25">
      <c r="A3011">
        <v>2019</v>
      </c>
      <c r="B3011" s="140" t="s">
        <v>107</v>
      </c>
      <c r="C3011" s="140" t="s">
        <v>19</v>
      </c>
      <c r="D3011" s="140" t="s">
        <v>11</v>
      </c>
      <c r="E3011" s="140" t="s">
        <v>12</v>
      </c>
      <c r="F3011">
        <v>34107</v>
      </c>
      <c r="G3011" s="140" t="s">
        <v>262</v>
      </c>
      <c r="H3011">
        <v>0</v>
      </c>
      <c r="I3011" s="140" t="s">
        <v>17</v>
      </c>
    </row>
    <row r="3012" spans="1:9" hidden="1" x14ac:dyDescent="0.25">
      <c r="A3012">
        <v>2020</v>
      </c>
      <c r="B3012" s="140" t="s">
        <v>107</v>
      </c>
      <c r="C3012" s="140" t="s">
        <v>19</v>
      </c>
      <c r="D3012" s="140" t="s">
        <v>11</v>
      </c>
      <c r="E3012" s="140" t="s">
        <v>12</v>
      </c>
      <c r="F3012">
        <v>34809</v>
      </c>
      <c r="G3012" s="140" t="s">
        <v>262</v>
      </c>
      <c r="H3012">
        <v>0</v>
      </c>
      <c r="I3012" s="140" t="s">
        <v>17</v>
      </c>
    </row>
    <row r="3013" spans="1:9" hidden="1" x14ac:dyDescent="0.25">
      <c r="A3013">
        <v>2021</v>
      </c>
      <c r="B3013" s="140" t="s">
        <v>107</v>
      </c>
      <c r="C3013" s="140" t="s">
        <v>19</v>
      </c>
      <c r="D3013" s="140" t="s">
        <v>11</v>
      </c>
      <c r="E3013" s="140" t="s">
        <v>12</v>
      </c>
      <c r="F3013">
        <v>37330</v>
      </c>
      <c r="G3013" s="140" t="s">
        <v>262</v>
      </c>
      <c r="H3013">
        <v>0</v>
      </c>
      <c r="I3013" s="140" t="s">
        <v>17</v>
      </c>
    </row>
    <row r="3014" spans="1:9" hidden="1" x14ac:dyDescent="0.25">
      <c r="A3014">
        <v>2022</v>
      </c>
      <c r="B3014" s="140" t="s">
        <v>107</v>
      </c>
      <c r="C3014" s="140" t="s">
        <v>19</v>
      </c>
      <c r="D3014" s="140" t="s">
        <v>11</v>
      </c>
      <c r="E3014" s="140" t="s">
        <v>12</v>
      </c>
      <c r="F3014">
        <v>40310</v>
      </c>
      <c r="G3014" s="140" t="s">
        <v>262</v>
      </c>
      <c r="H3014">
        <v>0</v>
      </c>
      <c r="I3014" s="140" t="s">
        <v>17</v>
      </c>
    </row>
    <row r="3015" spans="1:9" hidden="1" x14ac:dyDescent="0.25">
      <c r="A3015">
        <v>2023</v>
      </c>
      <c r="B3015" s="140" t="s">
        <v>107</v>
      </c>
      <c r="C3015" s="140" t="s">
        <v>19</v>
      </c>
      <c r="D3015" s="140" t="s">
        <v>11</v>
      </c>
      <c r="E3015" s="140" t="s">
        <v>12</v>
      </c>
      <c r="F3015">
        <v>41360</v>
      </c>
      <c r="G3015" s="140" t="s">
        <v>262</v>
      </c>
      <c r="H3015">
        <v>0</v>
      </c>
      <c r="I3015" s="140" t="s">
        <v>17</v>
      </c>
    </row>
    <row r="3016" spans="1:9" hidden="1" x14ac:dyDescent="0.25">
      <c r="A3016">
        <v>2024</v>
      </c>
      <c r="B3016" s="140" t="s">
        <v>107</v>
      </c>
      <c r="C3016" s="140" t="s">
        <v>19</v>
      </c>
      <c r="D3016" s="140" t="s">
        <v>11</v>
      </c>
      <c r="E3016" s="140" t="s">
        <v>12</v>
      </c>
      <c r="F3016">
        <v>40773</v>
      </c>
      <c r="G3016" s="140" t="s">
        <v>262</v>
      </c>
      <c r="H3016">
        <v>0</v>
      </c>
      <c r="I3016" s="140" t="s">
        <v>17</v>
      </c>
    </row>
    <row r="3017" spans="1:9" hidden="1" x14ac:dyDescent="0.25">
      <c r="A3017">
        <v>2025</v>
      </c>
      <c r="B3017" s="140" t="s">
        <v>107</v>
      </c>
      <c r="C3017" s="140" t="s">
        <v>19</v>
      </c>
      <c r="D3017" s="140" t="s">
        <v>11</v>
      </c>
      <c r="E3017" s="140" t="s">
        <v>12</v>
      </c>
      <c r="F3017">
        <v>40693</v>
      </c>
      <c r="G3017" s="140" t="s">
        <v>262</v>
      </c>
      <c r="H3017">
        <v>0</v>
      </c>
      <c r="I3017" s="140" t="s">
        <v>17</v>
      </c>
    </row>
    <row r="3018" spans="1:9" hidden="1" x14ac:dyDescent="0.25">
      <c r="A3018">
        <v>2026</v>
      </c>
      <c r="B3018" s="140" t="s">
        <v>107</v>
      </c>
      <c r="C3018" s="140" t="s">
        <v>19</v>
      </c>
      <c r="D3018" s="140" t="s">
        <v>11</v>
      </c>
      <c r="E3018" s="140" t="s">
        <v>12</v>
      </c>
      <c r="F3018">
        <v>43106.919909999997</v>
      </c>
      <c r="G3018" s="140" t="s">
        <v>262</v>
      </c>
      <c r="H3018">
        <v>0</v>
      </c>
      <c r="I3018" s="140" t="s">
        <v>17</v>
      </c>
    </row>
    <row r="3019" spans="1:9" hidden="1" x14ac:dyDescent="0.25">
      <c r="A3019">
        <v>2027</v>
      </c>
      <c r="B3019" s="140" t="s">
        <v>107</v>
      </c>
      <c r="C3019" s="140" t="s">
        <v>19</v>
      </c>
      <c r="D3019" s="140" t="s">
        <v>11</v>
      </c>
      <c r="E3019" s="140" t="s">
        <v>12</v>
      </c>
      <c r="F3019">
        <v>43545.866699999999</v>
      </c>
      <c r="G3019" s="140" t="s">
        <v>262</v>
      </c>
      <c r="H3019">
        <v>0</v>
      </c>
      <c r="I3019" s="140" t="s">
        <v>17</v>
      </c>
    </row>
    <row r="3020" spans="1:9" hidden="1" x14ac:dyDescent="0.25">
      <c r="A3020">
        <v>2028</v>
      </c>
      <c r="B3020" s="140" t="s">
        <v>107</v>
      </c>
      <c r="C3020" s="140" t="s">
        <v>19</v>
      </c>
      <c r="D3020" s="140" t="s">
        <v>11</v>
      </c>
      <c r="E3020" s="140" t="s">
        <v>12</v>
      </c>
      <c r="F3020">
        <v>45008.957999999999</v>
      </c>
      <c r="G3020" s="140" t="s">
        <v>262</v>
      </c>
      <c r="H3020">
        <v>0</v>
      </c>
      <c r="I3020" s="140" t="s">
        <v>17</v>
      </c>
    </row>
    <row r="3021" spans="1:9" hidden="1" x14ac:dyDescent="0.25">
      <c r="A3021">
        <v>1990</v>
      </c>
      <c r="B3021" s="140" t="s">
        <v>108</v>
      </c>
      <c r="C3021" s="140" t="s">
        <v>19</v>
      </c>
      <c r="D3021" s="140" t="s">
        <v>11</v>
      </c>
      <c r="E3021" s="140" t="s">
        <v>12</v>
      </c>
      <c r="F3021">
        <v>18502</v>
      </c>
      <c r="G3021" s="140" t="s">
        <v>263</v>
      </c>
      <c r="H3021">
        <v>0</v>
      </c>
      <c r="I3021" s="140" t="s">
        <v>17</v>
      </c>
    </row>
    <row r="3022" spans="1:9" hidden="1" x14ac:dyDescent="0.25">
      <c r="A3022">
        <v>1991</v>
      </c>
      <c r="B3022" s="140" t="s">
        <v>108</v>
      </c>
      <c r="C3022" s="140" t="s">
        <v>19</v>
      </c>
      <c r="D3022" s="140" t="s">
        <v>11</v>
      </c>
      <c r="E3022" s="140" t="s">
        <v>12</v>
      </c>
      <c r="F3022">
        <v>19448</v>
      </c>
      <c r="G3022" s="140" t="s">
        <v>263</v>
      </c>
      <c r="H3022">
        <v>0</v>
      </c>
      <c r="I3022" s="140" t="s">
        <v>17</v>
      </c>
    </row>
    <row r="3023" spans="1:9" hidden="1" x14ac:dyDescent="0.25">
      <c r="A3023">
        <v>1992</v>
      </c>
      <c r="B3023" s="140" t="s">
        <v>108</v>
      </c>
      <c r="C3023" s="140" t="s">
        <v>19</v>
      </c>
      <c r="D3023" s="140" t="s">
        <v>11</v>
      </c>
      <c r="E3023" s="140" t="s">
        <v>12</v>
      </c>
      <c r="F3023">
        <v>20009</v>
      </c>
      <c r="G3023" s="140" t="s">
        <v>263</v>
      </c>
      <c r="H3023">
        <v>0</v>
      </c>
      <c r="I3023" s="140" t="s">
        <v>17</v>
      </c>
    </row>
    <row r="3024" spans="1:9" hidden="1" x14ac:dyDescent="0.25">
      <c r="A3024">
        <v>1993</v>
      </c>
      <c r="B3024" s="140" t="s">
        <v>108</v>
      </c>
      <c r="C3024" s="140" t="s">
        <v>19</v>
      </c>
      <c r="D3024" s="140" t="s">
        <v>11</v>
      </c>
      <c r="E3024" s="140" t="s">
        <v>12</v>
      </c>
      <c r="F3024">
        <v>20924</v>
      </c>
      <c r="G3024" s="140" t="s">
        <v>263</v>
      </c>
      <c r="H3024">
        <v>0</v>
      </c>
      <c r="I3024" s="140" t="s">
        <v>17</v>
      </c>
    </row>
    <row r="3025" spans="1:9" hidden="1" x14ac:dyDescent="0.25">
      <c r="A3025">
        <v>1994</v>
      </c>
      <c r="B3025" s="140" t="s">
        <v>108</v>
      </c>
      <c r="C3025" s="140" t="s">
        <v>19</v>
      </c>
      <c r="D3025" s="140" t="s">
        <v>11</v>
      </c>
      <c r="E3025" s="140" t="s">
        <v>12</v>
      </c>
      <c r="F3025">
        <v>21702</v>
      </c>
      <c r="G3025" s="140" t="s">
        <v>263</v>
      </c>
      <c r="H3025">
        <v>0</v>
      </c>
      <c r="I3025" s="140" t="s">
        <v>17</v>
      </c>
    </row>
    <row r="3026" spans="1:9" hidden="1" x14ac:dyDescent="0.25">
      <c r="A3026">
        <v>1995</v>
      </c>
      <c r="B3026" s="140" t="s">
        <v>108</v>
      </c>
      <c r="C3026" s="140" t="s">
        <v>19</v>
      </c>
      <c r="D3026" s="140" t="s">
        <v>11</v>
      </c>
      <c r="E3026" s="140" t="s">
        <v>12</v>
      </c>
      <c r="F3026">
        <v>23121</v>
      </c>
      <c r="G3026" s="140" t="s">
        <v>263</v>
      </c>
      <c r="H3026">
        <v>0</v>
      </c>
      <c r="I3026" s="140" t="s">
        <v>17</v>
      </c>
    </row>
    <row r="3027" spans="1:9" hidden="1" x14ac:dyDescent="0.25">
      <c r="A3027">
        <v>1996</v>
      </c>
      <c r="B3027" s="140" t="s">
        <v>108</v>
      </c>
      <c r="C3027" s="140" t="s">
        <v>19</v>
      </c>
      <c r="D3027" s="140" t="s">
        <v>11</v>
      </c>
      <c r="E3027" s="140" t="s">
        <v>12</v>
      </c>
      <c r="F3027">
        <v>24162</v>
      </c>
      <c r="G3027" s="140" t="s">
        <v>263</v>
      </c>
      <c r="H3027">
        <v>0</v>
      </c>
      <c r="I3027" s="140" t="s">
        <v>17</v>
      </c>
    </row>
    <row r="3028" spans="1:9" hidden="1" x14ac:dyDescent="0.25">
      <c r="A3028">
        <v>1997</v>
      </c>
      <c r="B3028" s="140" t="s">
        <v>108</v>
      </c>
      <c r="C3028" s="140" t="s">
        <v>19</v>
      </c>
      <c r="D3028" s="140" t="s">
        <v>11</v>
      </c>
      <c r="E3028" s="140" t="s">
        <v>12</v>
      </c>
      <c r="F3028">
        <v>25688</v>
      </c>
      <c r="G3028" s="140" t="s">
        <v>263</v>
      </c>
      <c r="H3028">
        <v>0</v>
      </c>
      <c r="I3028" s="140" t="s">
        <v>17</v>
      </c>
    </row>
    <row r="3029" spans="1:9" hidden="1" x14ac:dyDescent="0.25">
      <c r="A3029">
        <v>1998</v>
      </c>
      <c r="B3029" s="140" t="s">
        <v>108</v>
      </c>
      <c r="C3029" s="140" t="s">
        <v>19</v>
      </c>
      <c r="D3029" s="140" t="s">
        <v>11</v>
      </c>
      <c r="E3029" s="140" t="s">
        <v>12</v>
      </c>
      <c r="F3029">
        <v>27349</v>
      </c>
      <c r="G3029" s="140" t="s">
        <v>263</v>
      </c>
      <c r="H3029">
        <v>0</v>
      </c>
      <c r="I3029" s="140" t="s">
        <v>17</v>
      </c>
    </row>
    <row r="3030" spans="1:9" hidden="1" x14ac:dyDescent="0.25">
      <c r="A3030">
        <v>1999</v>
      </c>
      <c r="B3030" s="140" t="s">
        <v>108</v>
      </c>
      <c r="C3030" s="140" t="s">
        <v>19</v>
      </c>
      <c r="D3030" s="140" t="s">
        <v>11</v>
      </c>
      <c r="E3030" s="140" t="s">
        <v>12</v>
      </c>
      <c r="F3030">
        <v>29165</v>
      </c>
      <c r="G3030" s="140" t="s">
        <v>263</v>
      </c>
      <c r="H3030">
        <v>0</v>
      </c>
      <c r="I3030" s="140" t="s">
        <v>17</v>
      </c>
    </row>
    <row r="3031" spans="1:9" hidden="1" x14ac:dyDescent="0.25">
      <c r="A3031">
        <v>2000</v>
      </c>
      <c r="B3031" s="140" t="s">
        <v>108</v>
      </c>
      <c r="C3031" s="140" t="s">
        <v>19</v>
      </c>
      <c r="D3031" s="140" t="s">
        <v>11</v>
      </c>
      <c r="E3031" s="140" t="s">
        <v>12</v>
      </c>
      <c r="F3031">
        <v>31193</v>
      </c>
      <c r="G3031" s="140" t="s">
        <v>263</v>
      </c>
      <c r="H3031">
        <v>0</v>
      </c>
      <c r="I3031" s="140" t="s">
        <v>17</v>
      </c>
    </row>
    <row r="3032" spans="1:9" hidden="1" x14ac:dyDescent="0.25">
      <c r="A3032">
        <v>2001</v>
      </c>
      <c r="B3032" s="140" t="s">
        <v>108</v>
      </c>
      <c r="C3032" s="140" t="s">
        <v>19</v>
      </c>
      <c r="D3032" s="140" t="s">
        <v>11</v>
      </c>
      <c r="E3032" s="140" t="s">
        <v>12</v>
      </c>
      <c r="F3032">
        <v>33118</v>
      </c>
      <c r="G3032" s="140" t="s">
        <v>263</v>
      </c>
      <c r="H3032">
        <v>0</v>
      </c>
      <c r="I3032" s="140" t="s">
        <v>17</v>
      </c>
    </row>
    <row r="3033" spans="1:9" hidden="1" x14ac:dyDescent="0.25">
      <c r="A3033">
        <v>2002</v>
      </c>
      <c r="B3033" s="140" t="s">
        <v>108</v>
      </c>
      <c r="C3033" s="140" t="s">
        <v>19</v>
      </c>
      <c r="D3033" s="140" t="s">
        <v>11</v>
      </c>
      <c r="E3033" s="140" t="s">
        <v>12</v>
      </c>
      <c r="F3033">
        <v>34355</v>
      </c>
      <c r="G3033" s="140" t="s">
        <v>263</v>
      </c>
      <c r="H3033">
        <v>0</v>
      </c>
      <c r="I3033" s="140" t="s">
        <v>17</v>
      </c>
    </row>
    <row r="3034" spans="1:9" hidden="1" x14ac:dyDescent="0.25">
      <c r="A3034">
        <v>2003</v>
      </c>
      <c r="B3034" s="140" t="s">
        <v>108</v>
      </c>
      <c r="C3034" s="140" t="s">
        <v>19</v>
      </c>
      <c r="D3034" s="140" t="s">
        <v>11</v>
      </c>
      <c r="E3034" s="140" t="s">
        <v>12</v>
      </c>
      <c r="F3034">
        <v>35595</v>
      </c>
      <c r="G3034" s="140" t="s">
        <v>263</v>
      </c>
      <c r="H3034">
        <v>0</v>
      </c>
      <c r="I3034" s="140" t="s">
        <v>17</v>
      </c>
    </row>
    <row r="3035" spans="1:9" hidden="1" x14ac:dyDescent="0.25">
      <c r="A3035">
        <v>2004</v>
      </c>
      <c r="B3035" s="140" t="s">
        <v>108</v>
      </c>
      <c r="C3035" s="140" t="s">
        <v>19</v>
      </c>
      <c r="D3035" s="140" t="s">
        <v>11</v>
      </c>
      <c r="E3035" s="140" t="s">
        <v>12</v>
      </c>
      <c r="F3035">
        <v>37546</v>
      </c>
      <c r="G3035" s="140" t="s">
        <v>263</v>
      </c>
      <c r="H3035">
        <v>0</v>
      </c>
      <c r="I3035" s="140" t="s">
        <v>17</v>
      </c>
    </row>
    <row r="3036" spans="1:9" hidden="1" x14ac:dyDescent="0.25">
      <c r="A3036">
        <v>2005</v>
      </c>
      <c r="B3036" s="140" t="s">
        <v>108</v>
      </c>
      <c r="C3036" s="140" t="s">
        <v>19</v>
      </c>
      <c r="D3036" s="140" t="s">
        <v>11</v>
      </c>
      <c r="E3036" s="140" t="s">
        <v>12</v>
      </c>
      <c r="F3036">
        <v>39050</v>
      </c>
      <c r="G3036" s="140" t="s">
        <v>263</v>
      </c>
      <c r="H3036">
        <v>0</v>
      </c>
      <c r="I3036" s="140" t="s">
        <v>17</v>
      </c>
    </row>
    <row r="3037" spans="1:9" hidden="1" x14ac:dyDescent="0.25">
      <c r="A3037">
        <v>2006</v>
      </c>
      <c r="B3037" s="140" t="s">
        <v>108</v>
      </c>
      <c r="C3037" s="140" t="s">
        <v>19</v>
      </c>
      <c r="D3037" s="140" t="s">
        <v>11</v>
      </c>
      <c r="E3037" s="140" t="s">
        <v>12</v>
      </c>
      <c r="F3037">
        <v>41209</v>
      </c>
      <c r="G3037" s="140" t="s">
        <v>263</v>
      </c>
      <c r="H3037">
        <v>0</v>
      </c>
      <c r="I3037" s="140" t="s">
        <v>17</v>
      </c>
    </row>
    <row r="3038" spans="1:9" hidden="1" x14ac:dyDescent="0.25">
      <c r="A3038">
        <v>2007</v>
      </c>
      <c r="B3038" s="140" t="s">
        <v>108</v>
      </c>
      <c r="C3038" s="140" t="s">
        <v>19</v>
      </c>
      <c r="D3038" s="140" t="s">
        <v>11</v>
      </c>
      <c r="E3038" s="140" t="s">
        <v>12</v>
      </c>
      <c r="F3038">
        <v>43775</v>
      </c>
      <c r="G3038" s="140" t="s">
        <v>263</v>
      </c>
      <c r="H3038">
        <v>0</v>
      </c>
      <c r="I3038" s="140" t="s">
        <v>17</v>
      </c>
    </row>
    <row r="3039" spans="1:9" hidden="1" x14ac:dyDescent="0.25">
      <c r="A3039">
        <v>2008</v>
      </c>
      <c r="B3039" s="140" t="s">
        <v>108</v>
      </c>
      <c r="C3039" s="140" t="s">
        <v>19</v>
      </c>
      <c r="D3039" s="140" t="s">
        <v>11</v>
      </c>
      <c r="E3039" s="140" t="s">
        <v>12</v>
      </c>
      <c r="F3039">
        <v>46174</v>
      </c>
      <c r="G3039" s="140" t="s">
        <v>263</v>
      </c>
      <c r="H3039">
        <v>0</v>
      </c>
      <c r="I3039" s="140" t="s">
        <v>17</v>
      </c>
    </row>
    <row r="3040" spans="1:9" hidden="1" x14ac:dyDescent="0.25">
      <c r="A3040">
        <v>2009</v>
      </c>
      <c r="B3040" s="140" t="s">
        <v>108</v>
      </c>
      <c r="C3040" s="140" t="s">
        <v>19</v>
      </c>
      <c r="D3040" s="140" t="s">
        <v>11</v>
      </c>
      <c r="E3040" s="140" t="s">
        <v>12</v>
      </c>
      <c r="F3040">
        <v>46408</v>
      </c>
      <c r="G3040" s="140" t="s">
        <v>263</v>
      </c>
      <c r="H3040">
        <v>0</v>
      </c>
      <c r="I3040" s="140" t="s">
        <v>17</v>
      </c>
    </row>
    <row r="3041" spans="1:9" hidden="1" x14ac:dyDescent="0.25">
      <c r="A3041">
        <v>2010</v>
      </c>
      <c r="B3041" s="140" t="s">
        <v>108</v>
      </c>
      <c r="C3041" s="140" t="s">
        <v>19</v>
      </c>
      <c r="D3041" s="140" t="s">
        <v>11</v>
      </c>
      <c r="E3041" s="140" t="s">
        <v>12</v>
      </c>
      <c r="F3041">
        <v>47906</v>
      </c>
      <c r="G3041" s="140" t="s">
        <v>263</v>
      </c>
      <c r="H3041">
        <v>0</v>
      </c>
      <c r="I3041" s="140" t="s">
        <v>17</v>
      </c>
    </row>
    <row r="3042" spans="1:9" hidden="1" x14ac:dyDescent="0.25">
      <c r="A3042">
        <v>2011</v>
      </c>
      <c r="B3042" s="140" t="s">
        <v>108</v>
      </c>
      <c r="C3042" s="140" t="s">
        <v>19</v>
      </c>
      <c r="D3042" s="140" t="s">
        <v>11</v>
      </c>
      <c r="E3042" s="140" t="s">
        <v>12</v>
      </c>
      <c r="F3042">
        <v>51395</v>
      </c>
      <c r="G3042" s="140" t="s">
        <v>263</v>
      </c>
      <c r="H3042">
        <v>0</v>
      </c>
      <c r="I3042" s="140" t="s">
        <v>17</v>
      </c>
    </row>
    <row r="3043" spans="1:9" hidden="1" x14ac:dyDescent="0.25">
      <c r="A3043">
        <v>2012</v>
      </c>
      <c r="B3043" s="140" t="s">
        <v>108</v>
      </c>
      <c r="C3043" s="140" t="s">
        <v>19</v>
      </c>
      <c r="D3043" s="140" t="s">
        <v>11</v>
      </c>
      <c r="E3043" s="140" t="s">
        <v>12</v>
      </c>
      <c r="F3043">
        <v>53397</v>
      </c>
      <c r="G3043" s="140" t="s">
        <v>263</v>
      </c>
      <c r="H3043">
        <v>0</v>
      </c>
      <c r="I3043" s="140" t="s">
        <v>17</v>
      </c>
    </row>
    <row r="3044" spans="1:9" hidden="1" x14ac:dyDescent="0.25">
      <c r="A3044">
        <v>2013</v>
      </c>
      <c r="B3044" s="140" t="s">
        <v>108</v>
      </c>
      <c r="C3044" s="140" t="s">
        <v>19</v>
      </c>
      <c r="D3044" s="140" t="s">
        <v>11</v>
      </c>
      <c r="E3044" s="140" t="s">
        <v>12</v>
      </c>
      <c r="F3044">
        <v>54829</v>
      </c>
      <c r="G3044" s="140" t="s">
        <v>263</v>
      </c>
      <c r="H3044">
        <v>0</v>
      </c>
      <c r="I3044" s="140" t="s">
        <v>17</v>
      </c>
    </row>
    <row r="3045" spans="1:9" hidden="1" x14ac:dyDescent="0.25">
      <c r="A3045">
        <v>2014</v>
      </c>
      <c r="B3045" s="140" t="s">
        <v>108</v>
      </c>
      <c r="C3045" s="140" t="s">
        <v>19</v>
      </c>
      <c r="D3045" s="140" t="s">
        <v>11</v>
      </c>
      <c r="E3045" s="140" t="s">
        <v>12</v>
      </c>
      <c r="F3045">
        <v>56691</v>
      </c>
      <c r="G3045" s="140" t="s">
        <v>263</v>
      </c>
      <c r="H3045">
        <v>0</v>
      </c>
      <c r="I3045" s="140" t="s">
        <v>17</v>
      </c>
    </row>
    <row r="3046" spans="1:9" hidden="1" x14ac:dyDescent="0.25">
      <c r="A3046">
        <v>2015</v>
      </c>
      <c r="B3046" s="140" t="s">
        <v>108</v>
      </c>
      <c r="C3046" s="140" t="s">
        <v>19</v>
      </c>
      <c r="D3046" s="140" t="s">
        <v>11</v>
      </c>
      <c r="E3046" s="140" t="s">
        <v>12</v>
      </c>
      <c r="F3046">
        <v>58758</v>
      </c>
      <c r="G3046" s="140" t="s">
        <v>263</v>
      </c>
      <c r="H3046">
        <v>0</v>
      </c>
      <c r="I3046" s="140" t="s">
        <v>17</v>
      </c>
    </row>
    <row r="3047" spans="1:9" hidden="1" x14ac:dyDescent="0.25">
      <c r="A3047">
        <v>2016</v>
      </c>
      <c r="B3047" s="140" t="s">
        <v>108</v>
      </c>
      <c r="C3047" s="140" t="s">
        <v>19</v>
      </c>
      <c r="D3047" s="140" t="s">
        <v>11</v>
      </c>
      <c r="E3047" s="140" t="s">
        <v>12</v>
      </c>
      <c r="F3047">
        <v>60828</v>
      </c>
      <c r="G3047" s="140" t="s">
        <v>263</v>
      </c>
      <c r="H3047">
        <v>0</v>
      </c>
      <c r="I3047" s="140" t="s">
        <v>17</v>
      </c>
    </row>
    <row r="3048" spans="1:9" hidden="1" x14ac:dyDescent="0.25">
      <c r="A3048">
        <v>2017</v>
      </c>
      <c r="B3048" s="140" t="s">
        <v>108</v>
      </c>
      <c r="C3048" s="140" t="s">
        <v>19</v>
      </c>
      <c r="D3048" s="140" t="s">
        <v>11</v>
      </c>
      <c r="E3048" s="140" t="s">
        <v>12</v>
      </c>
      <c r="F3048">
        <v>62374</v>
      </c>
      <c r="G3048" s="140" t="s">
        <v>263</v>
      </c>
      <c r="H3048">
        <v>0</v>
      </c>
      <c r="I3048" s="140" t="s">
        <v>17</v>
      </c>
    </row>
    <row r="3049" spans="1:9" hidden="1" x14ac:dyDescent="0.25">
      <c r="A3049">
        <v>2018</v>
      </c>
      <c r="B3049" s="140" t="s">
        <v>108</v>
      </c>
      <c r="C3049" s="140" t="s">
        <v>19</v>
      </c>
      <c r="D3049" s="140" t="s">
        <v>11</v>
      </c>
      <c r="E3049" s="140" t="s">
        <v>12</v>
      </c>
      <c r="F3049">
        <v>64347</v>
      </c>
      <c r="G3049" s="140" t="s">
        <v>263</v>
      </c>
      <c r="H3049">
        <v>0</v>
      </c>
      <c r="I3049" s="140" t="s">
        <v>17</v>
      </c>
    </row>
    <row r="3050" spans="1:9" hidden="1" x14ac:dyDescent="0.25">
      <c r="A3050">
        <v>2019</v>
      </c>
      <c r="B3050" s="140" t="s">
        <v>108</v>
      </c>
      <c r="C3050" s="140" t="s">
        <v>19</v>
      </c>
      <c r="D3050" s="140" t="s">
        <v>11</v>
      </c>
      <c r="E3050" s="140" t="s">
        <v>12</v>
      </c>
      <c r="F3050">
        <v>65920</v>
      </c>
      <c r="G3050" s="140" t="s">
        <v>263</v>
      </c>
      <c r="H3050">
        <v>0</v>
      </c>
      <c r="I3050" s="140" t="s">
        <v>17</v>
      </c>
    </row>
    <row r="3051" spans="1:9" hidden="1" x14ac:dyDescent="0.25">
      <c r="A3051">
        <v>2020</v>
      </c>
      <c r="B3051" s="140" t="s">
        <v>108</v>
      </c>
      <c r="C3051" s="140" t="s">
        <v>19</v>
      </c>
      <c r="D3051" s="140" t="s">
        <v>11</v>
      </c>
      <c r="E3051" s="140" t="s">
        <v>12</v>
      </c>
      <c r="F3051">
        <v>61974</v>
      </c>
      <c r="G3051" s="140" t="s">
        <v>263</v>
      </c>
      <c r="H3051">
        <v>0</v>
      </c>
      <c r="I3051" s="140" t="s">
        <v>17</v>
      </c>
    </row>
    <row r="3052" spans="1:9" hidden="1" x14ac:dyDescent="0.25">
      <c r="A3052">
        <v>2021</v>
      </c>
      <c r="B3052" s="140" t="s">
        <v>108</v>
      </c>
      <c r="C3052" s="140" t="s">
        <v>19</v>
      </c>
      <c r="D3052" s="140" t="s">
        <v>11</v>
      </c>
      <c r="E3052" s="140" t="s">
        <v>12</v>
      </c>
      <c r="F3052">
        <v>64533</v>
      </c>
      <c r="G3052" s="140" t="s">
        <v>263</v>
      </c>
      <c r="H3052">
        <v>0</v>
      </c>
      <c r="I3052" s="140" t="s">
        <v>17</v>
      </c>
    </row>
    <row r="3053" spans="1:9" hidden="1" x14ac:dyDescent="0.25">
      <c r="A3053">
        <v>2022</v>
      </c>
      <c r="B3053" s="140" t="s">
        <v>108</v>
      </c>
      <c r="C3053" s="140" t="s">
        <v>19</v>
      </c>
      <c r="D3053" s="140" t="s">
        <v>11</v>
      </c>
      <c r="E3053" s="140" t="s">
        <v>12</v>
      </c>
      <c r="F3053">
        <v>69643</v>
      </c>
      <c r="G3053" s="140" t="s">
        <v>263</v>
      </c>
      <c r="H3053">
        <v>0</v>
      </c>
      <c r="I3053" s="140" t="s">
        <v>17</v>
      </c>
    </row>
    <row r="3054" spans="1:9" hidden="1" x14ac:dyDescent="0.25">
      <c r="A3054">
        <v>2023</v>
      </c>
      <c r="B3054" s="140" t="s">
        <v>108</v>
      </c>
      <c r="C3054" s="140" t="s">
        <v>19</v>
      </c>
      <c r="D3054" s="140" t="s">
        <v>11</v>
      </c>
      <c r="E3054" s="140" t="s">
        <v>12</v>
      </c>
      <c r="F3054">
        <v>73719</v>
      </c>
      <c r="G3054" s="140" t="s">
        <v>263</v>
      </c>
      <c r="H3054">
        <v>0</v>
      </c>
      <c r="I3054" s="140" t="s">
        <v>17</v>
      </c>
    </row>
    <row r="3055" spans="1:9" hidden="1" x14ac:dyDescent="0.25">
      <c r="A3055">
        <v>2024</v>
      </c>
      <c r="B3055" s="140" t="s">
        <v>108</v>
      </c>
      <c r="C3055" s="140" t="s">
        <v>19</v>
      </c>
      <c r="D3055" s="140" t="s">
        <v>11</v>
      </c>
      <c r="E3055" s="140" t="s">
        <v>12</v>
      </c>
      <c r="F3055">
        <v>76048</v>
      </c>
      <c r="G3055" s="140" t="s">
        <v>263</v>
      </c>
      <c r="H3055">
        <v>0</v>
      </c>
      <c r="I3055" s="140" t="s">
        <v>17</v>
      </c>
    </row>
    <row r="3056" spans="1:9" hidden="1" x14ac:dyDescent="0.25">
      <c r="A3056">
        <v>2025</v>
      </c>
      <c r="B3056" s="140" t="s">
        <v>108</v>
      </c>
      <c r="C3056" s="140" t="s">
        <v>19</v>
      </c>
      <c r="D3056" s="140" t="s">
        <v>11</v>
      </c>
      <c r="E3056" s="140" t="s">
        <v>12</v>
      </c>
      <c r="F3056">
        <v>76238</v>
      </c>
      <c r="G3056" s="140" t="s">
        <v>263</v>
      </c>
      <c r="H3056">
        <v>0</v>
      </c>
      <c r="I3056" s="140" t="s">
        <v>17</v>
      </c>
    </row>
    <row r="3057" spans="1:9" hidden="1" x14ac:dyDescent="0.25">
      <c r="A3057">
        <v>2026</v>
      </c>
      <c r="B3057" s="140" t="s">
        <v>108</v>
      </c>
      <c r="C3057" s="140" t="s">
        <v>19</v>
      </c>
      <c r="D3057" s="140" t="s">
        <v>11</v>
      </c>
      <c r="E3057" s="140" t="s">
        <v>12</v>
      </c>
      <c r="F3057">
        <v>77932.586609999998</v>
      </c>
      <c r="G3057" s="140" t="s">
        <v>263</v>
      </c>
      <c r="H3057">
        <v>0</v>
      </c>
      <c r="I3057" s="140" t="s">
        <v>17</v>
      </c>
    </row>
    <row r="3058" spans="1:9" hidden="1" x14ac:dyDescent="0.25">
      <c r="A3058">
        <v>2027</v>
      </c>
      <c r="B3058" s="140" t="s">
        <v>108</v>
      </c>
      <c r="C3058" s="140" t="s">
        <v>19</v>
      </c>
      <c r="D3058" s="140" t="s">
        <v>11</v>
      </c>
      <c r="E3058" s="140" t="s">
        <v>12</v>
      </c>
      <c r="F3058">
        <v>81425.936589999998</v>
      </c>
      <c r="G3058" s="140" t="s">
        <v>263</v>
      </c>
      <c r="H3058">
        <v>0</v>
      </c>
      <c r="I3058" s="140" t="s">
        <v>17</v>
      </c>
    </row>
    <row r="3059" spans="1:9" hidden="1" x14ac:dyDescent="0.25">
      <c r="A3059">
        <v>2028</v>
      </c>
      <c r="B3059" s="140" t="s">
        <v>108</v>
      </c>
      <c r="C3059" s="140" t="s">
        <v>19</v>
      </c>
      <c r="D3059" s="140" t="s">
        <v>11</v>
      </c>
      <c r="E3059" s="140" t="s">
        <v>12</v>
      </c>
      <c r="F3059">
        <v>84866.682379999998</v>
      </c>
      <c r="G3059" s="140" t="s">
        <v>263</v>
      </c>
      <c r="H3059">
        <v>0</v>
      </c>
      <c r="I3059" s="140" t="s">
        <v>17</v>
      </c>
    </row>
    <row r="3060" spans="1:9" hidden="1" x14ac:dyDescent="0.25">
      <c r="A3060">
        <v>1990</v>
      </c>
      <c r="B3060" s="140" t="s">
        <v>117</v>
      </c>
      <c r="C3060" s="140" t="s">
        <v>19</v>
      </c>
      <c r="D3060" s="140" t="s">
        <v>11</v>
      </c>
      <c r="E3060" s="140" t="s">
        <v>12</v>
      </c>
      <c r="F3060">
        <v>1709</v>
      </c>
      <c r="G3060" s="140" t="s">
        <v>264</v>
      </c>
      <c r="H3060">
        <v>0</v>
      </c>
      <c r="I3060" s="140" t="s">
        <v>17</v>
      </c>
    </row>
    <row r="3061" spans="1:9" hidden="1" x14ac:dyDescent="0.25">
      <c r="A3061">
        <v>1991</v>
      </c>
      <c r="B3061" s="140" t="s">
        <v>117</v>
      </c>
      <c r="C3061" s="140" t="s">
        <v>19</v>
      </c>
      <c r="D3061" s="140" t="s">
        <v>11</v>
      </c>
      <c r="E3061" s="140" t="s">
        <v>12</v>
      </c>
      <c r="F3061">
        <v>1763</v>
      </c>
      <c r="G3061" s="140" t="s">
        <v>264</v>
      </c>
      <c r="H3061">
        <v>0</v>
      </c>
      <c r="I3061" s="140" t="s">
        <v>17</v>
      </c>
    </row>
    <row r="3062" spans="1:9" hidden="1" x14ac:dyDescent="0.25">
      <c r="A3062">
        <v>1992</v>
      </c>
      <c r="B3062" s="140" t="s">
        <v>117</v>
      </c>
      <c r="C3062" s="140" t="s">
        <v>19</v>
      </c>
      <c r="D3062" s="140" t="s">
        <v>11</v>
      </c>
      <c r="E3062" s="140" t="s">
        <v>12</v>
      </c>
      <c r="F3062">
        <v>1800</v>
      </c>
      <c r="G3062" s="140" t="s">
        <v>264</v>
      </c>
      <c r="H3062">
        <v>0</v>
      </c>
      <c r="I3062" s="140" t="s">
        <v>17</v>
      </c>
    </row>
    <row r="3063" spans="1:9" hidden="1" x14ac:dyDescent="0.25">
      <c r="A3063">
        <v>1993</v>
      </c>
      <c r="B3063" s="140" t="s">
        <v>117</v>
      </c>
      <c r="C3063" s="140" t="s">
        <v>19</v>
      </c>
      <c r="D3063" s="140" t="s">
        <v>11</v>
      </c>
      <c r="E3063" s="140" t="s">
        <v>12</v>
      </c>
      <c r="F3063">
        <v>1807</v>
      </c>
      <c r="G3063" s="140" t="s">
        <v>264</v>
      </c>
      <c r="H3063">
        <v>0</v>
      </c>
      <c r="I3063" s="140" t="s">
        <v>17</v>
      </c>
    </row>
    <row r="3064" spans="1:9" hidden="1" x14ac:dyDescent="0.25">
      <c r="A3064">
        <v>1994</v>
      </c>
      <c r="B3064" s="140" t="s">
        <v>117</v>
      </c>
      <c r="C3064" s="140" t="s">
        <v>19</v>
      </c>
      <c r="D3064" s="140" t="s">
        <v>11</v>
      </c>
      <c r="E3064" s="140" t="s">
        <v>12</v>
      </c>
      <c r="F3064">
        <v>1850</v>
      </c>
      <c r="G3064" s="140" t="s">
        <v>264</v>
      </c>
      <c r="H3064">
        <v>0</v>
      </c>
      <c r="I3064" s="140" t="s">
        <v>17</v>
      </c>
    </row>
    <row r="3065" spans="1:9" hidden="1" x14ac:dyDescent="0.25">
      <c r="A3065">
        <v>1995</v>
      </c>
      <c r="B3065" s="140" t="s">
        <v>117</v>
      </c>
      <c r="C3065" s="140" t="s">
        <v>19</v>
      </c>
      <c r="D3065" s="140" t="s">
        <v>11</v>
      </c>
      <c r="E3065" s="140" t="s">
        <v>12</v>
      </c>
      <c r="F3065">
        <v>1976</v>
      </c>
      <c r="G3065" s="140" t="s">
        <v>264</v>
      </c>
      <c r="H3065">
        <v>0</v>
      </c>
      <c r="I3065" s="140" t="s">
        <v>17</v>
      </c>
    </row>
    <row r="3066" spans="1:9" hidden="1" x14ac:dyDescent="0.25">
      <c r="A3066">
        <v>1996</v>
      </c>
      <c r="B3066" s="140" t="s">
        <v>117</v>
      </c>
      <c r="C3066" s="140" t="s">
        <v>19</v>
      </c>
      <c r="D3066" s="140" t="s">
        <v>11</v>
      </c>
      <c r="E3066" s="140" t="s">
        <v>12</v>
      </c>
      <c r="F3066">
        <v>2047</v>
      </c>
      <c r="G3066" s="140" t="s">
        <v>264</v>
      </c>
      <c r="H3066">
        <v>0</v>
      </c>
      <c r="I3066" s="140" t="s">
        <v>17</v>
      </c>
    </row>
    <row r="3067" spans="1:9" hidden="1" x14ac:dyDescent="0.25">
      <c r="A3067">
        <v>1997</v>
      </c>
      <c r="B3067" s="140" t="s">
        <v>117</v>
      </c>
      <c r="C3067" s="140" t="s">
        <v>19</v>
      </c>
      <c r="D3067" s="140" t="s">
        <v>11</v>
      </c>
      <c r="E3067" s="140" t="s">
        <v>12</v>
      </c>
      <c r="F3067">
        <v>2175</v>
      </c>
      <c r="G3067" s="140" t="s">
        <v>264</v>
      </c>
      <c r="H3067">
        <v>0</v>
      </c>
      <c r="I3067" s="140" t="s">
        <v>17</v>
      </c>
    </row>
    <row r="3068" spans="1:9" hidden="1" x14ac:dyDescent="0.25">
      <c r="A3068">
        <v>1998</v>
      </c>
      <c r="B3068" s="140" t="s">
        <v>117</v>
      </c>
      <c r="C3068" s="140" t="s">
        <v>19</v>
      </c>
      <c r="D3068" s="140" t="s">
        <v>11</v>
      </c>
      <c r="E3068" s="140" t="s">
        <v>12</v>
      </c>
      <c r="F3068">
        <v>2361</v>
      </c>
      <c r="G3068" s="140" t="s">
        <v>264</v>
      </c>
      <c r="H3068">
        <v>0</v>
      </c>
      <c r="I3068" s="140" t="s">
        <v>17</v>
      </c>
    </row>
    <row r="3069" spans="1:9" hidden="1" x14ac:dyDescent="0.25">
      <c r="A3069">
        <v>1999</v>
      </c>
      <c r="B3069" s="140" t="s">
        <v>117</v>
      </c>
      <c r="C3069" s="140" t="s">
        <v>19</v>
      </c>
      <c r="D3069" s="140" t="s">
        <v>11</v>
      </c>
      <c r="E3069" s="140" t="s">
        <v>12</v>
      </c>
      <c r="F3069">
        <v>2530</v>
      </c>
      <c r="G3069" s="140" t="s">
        <v>264</v>
      </c>
      <c r="H3069">
        <v>0</v>
      </c>
      <c r="I3069" s="140" t="s">
        <v>17</v>
      </c>
    </row>
    <row r="3070" spans="1:9" hidden="1" x14ac:dyDescent="0.25">
      <c r="A3070">
        <v>2000</v>
      </c>
      <c r="B3070" s="140" t="s">
        <v>117</v>
      </c>
      <c r="C3070" s="140" t="s">
        <v>19</v>
      </c>
      <c r="D3070" s="140" t="s">
        <v>11</v>
      </c>
      <c r="E3070" s="140" t="s">
        <v>12</v>
      </c>
      <c r="F3070">
        <v>2697</v>
      </c>
      <c r="G3070" s="140" t="s">
        <v>264</v>
      </c>
      <c r="H3070">
        <v>0</v>
      </c>
      <c r="I3070" s="140" t="s">
        <v>17</v>
      </c>
    </row>
    <row r="3071" spans="1:9" hidden="1" x14ac:dyDescent="0.25">
      <c r="A3071">
        <v>2001</v>
      </c>
      <c r="B3071" s="140" t="s">
        <v>117</v>
      </c>
      <c r="C3071" s="140" t="s">
        <v>19</v>
      </c>
      <c r="D3071" s="140" t="s">
        <v>11</v>
      </c>
      <c r="E3071" s="140" t="s">
        <v>12</v>
      </c>
      <c r="F3071">
        <v>2914</v>
      </c>
      <c r="G3071" s="140" t="s">
        <v>264</v>
      </c>
      <c r="H3071">
        <v>0</v>
      </c>
      <c r="I3071" s="140" t="s">
        <v>17</v>
      </c>
    </row>
    <row r="3072" spans="1:9" hidden="1" x14ac:dyDescent="0.25">
      <c r="A3072">
        <v>2002</v>
      </c>
      <c r="B3072" s="140" t="s">
        <v>117</v>
      </c>
      <c r="C3072" s="140" t="s">
        <v>19</v>
      </c>
      <c r="D3072" s="140" t="s">
        <v>11</v>
      </c>
      <c r="E3072" s="140" t="s">
        <v>12</v>
      </c>
      <c r="F3072">
        <v>3054</v>
      </c>
      <c r="G3072" s="140" t="s">
        <v>264</v>
      </c>
      <c r="H3072">
        <v>0</v>
      </c>
      <c r="I3072" s="140" t="s">
        <v>17</v>
      </c>
    </row>
    <row r="3073" spans="1:9" hidden="1" x14ac:dyDescent="0.25">
      <c r="A3073">
        <v>2003</v>
      </c>
      <c r="B3073" s="140" t="s">
        <v>117</v>
      </c>
      <c r="C3073" s="140" t="s">
        <v>19</v>
      </c>
      <c r="D3073" s="140" t="s">
        <v>11</v>
      </c>
      <c r="E3073" s="140" t="s">
        <v>12</v>
      </c>
      <c r="F3073">
        <v>3291</v>
      </c>
      <c r="G3073" s="140" t="s">
        <v>264</v>
      </c>
      <c r="H3073">
        <v>0</v>
      </c>
      <c r="I3073" s="140" t="s">
        <v>17</v>
      </c>
    </row>
    <row r="3074" spans="1:9" hidden="1" x14ac:dyDescent="0.25">
      <c r="A3074">
        <v>2004</v>
      </c>
      <c r="B3074" s="140" t="s">
        <v>117</v>
      </c>
      <c r="C3074" s="140" t="s">
        <v>19</v>
      </c>
      <c r="D3074" s="140" t="s">
        <v>11</v>
      </c>
      <c r="E3074" s="140" t="s">
        <v>12</v>
      </c>
      <c r="F3074">
        <v>3536</v>
      </c>
      <c r="G3074" s="140" t="s">
        <v>264</v>
      </c>
      <c r="H3074">
        <v>0</v>
      </c>
      <c r="I3074" s="140" t="s">
        <v>17</v>
      </c>
    </row>
    <row r="3075" spans="1:9" hidden="1" x14ac:dyDescent="0.25">
      <c r="A3075">
        <v>2005</v>
      </c>
      <c r="B3075" s="140" t="s">
        <v>117</v>
      </c>
      <c r="C3075" s="140" t="s">
        <v>19</v>
      </c>
      <c r="D3075" s="140" t="s">
        <v>11</v>
      </c>
      <c r="E3075" s="140" t="s">
        <v>12</v>
      </c>
      <c r="F3075">
        <v>3758</v>
      </c>
      <c r="G3075" s="140" t="s">
        <v>264</v>
      </c>
      <c r="H3075">
        <v>0</v>
      </c>
      <c r="I3075" s="140" t="s">
        <v>17</v>
      </c>
    </row>
    <row r="3076" spans="1:9" hidden="1" x14ac:dyDescent="0.25">
      <c r="A3076">
        <v>2006</v>
      </c>
      <c r="B3076" s="140" t="s">
        <v>117</v>
      </c>
      <c r="C3076" s="140" t="s">
        <v>19</v>
      </c>
      <c r="D3076" s="140" t="s">
        <v>11</v>
      </c>
      <c r="E3076" s="140" t="s">
        <v>12</v>
      </c>
      <c r="F3076">
        <v>3972</v>
      </c>
      <c r="G3076" s="140" t="s">
        <v>264</v>
      </c>
      <c r="H3076">
        <v>0</v>
      </c>
      <c r="I3076" s="140" t="s">
        <v>17</v>
      </c>
    </row>
    <row r="3077" spans="1:9" hidden="1" x14ac:dyDescent="0.25">
      <c r="A3077">
        <v>2007</v>
      </c>
      <c r="B3077" s="140" t="s">
        <v>117</v>
      </c>
      <c r="C3077" s="140" t="s">
        <v>19</v>
      </c>
      <c r="D3077" s="140" t="s">
        <v>11</v>
      </c>
      <c r="E3077" s="140" t="s">
        <v>12</v>
      </c>
      <c r="F3077">
        <v>4256</v>
      </c>
      <c r="G3077" s="140" t="s">
        <v>264</v>
      </c>
      <c r="H3077">
        <v>0</v>
      </c>
      <c r="I3077" s="140" t="s">
        <v>17</v>
      </c>
    </row>
    <row r="3078" spans="1:9" hidden="1" x14ac:dyDescent="0.25">
      <c r="A3078">
        <v>2008</v>
      </c>
      <c r="B3078" s="140" t="s">
        <v>117</v>
      </c>
      <c r="C3078" s="140" t="s">
        <v>19</v>
      </c>
      <c r="D3078" s="140" t="s">
        <v>11</v>
      </c>
      <c r="E3078" s="140" t="s">
        <v>12</v>
      </c>
      <c r="F3078">
        <v>4485</v>
      </c>
      <c r="G3078" s="140" t="s">
        <v>264</v>
      </c>
      <c r="H3078">
        <v>0</v>
      </c>
      <c r="I3078" s="140" t="s">
        <v>17</v>
      </c>
    </row>
    <row r="3079" spans="1:9" hidden="1" x14ac:dyDescent="0.25">
      <c r="A3079">
        <v>2009</v>
      </c>
      <c r="B3079" s="140" t="s">
        <v>117</v>
      </c>
      <c r="C3079" s="140" t="s">
        <v>19</v>
      </c>
      <c r="D3079" s="140" t="s">
        <v>11</v>
      </c>
      <c r="E3079" s="140" t="s">
        <v>12</v>
      </c>
      <c r="F3079">
        <v>4703</v>
      </c>
      <c r="G3079" s="140" t="s">
        <v>264</v>
      </c>
      <c r="H3079">
        <v>0</v>
      </c>
      <c r="I3079" s="140" t="s">
        <v>17</v>
      </c>
    </row>
    <row r="3080" spans="1:9" hidden="1" x14ac:dyDescent="0.25">
      <c r="A3080">
        <v>2010</v>
      </c>
      <c r="B3080" s="140" t="s">
        <v>117</v>
      </c>
      <c r="C3080" s="140" t="s">
        <v>19</v>
      </c>
      <c r="D3080" s="140" t="s">
        <v>11</v>
      </c>
      <c r="E3080" s="140" t="s">
        <v>12</v>
      </c>
      <c r="F3080">
        <v>4170</v>
      </c>
      <c r="G3080" s="140" t="s">
        <v>264</v>
      </c>
      <c r="H3080">
        <v>0</v>
      </c>
      <c r="I3080" s="140" t="s">
        <v>17</v>
      </c>
    </row>
    <row r="3081" spans="1:9" hidden="1" x14ac:dyDescent="0.25">
      <c r="A3081">
        <v>2011</v>
      </c>
      <c r="B3081" s="140" t="s">
        <v>117</v>
      </c>
      <c r="C3081" s="140" t="s">
        <v>19</v>
      </c>
      <c r="D3081" s="140" t="s">
        <v>11</v>
      </c>
      <c r="E3081" s="140" t="s">
        <v>12</v>
      </c>
      <c r="F3081">
        <v>4288</v>
      </c>
      <c r="G3081" s="140" t="s">
        <v>264</v>
      </c>
      <c r="H3081">
        <v>0</v>
      </c>
      <c r="I3081" s="140" t="s">
        <v>17</v>
      </c>
    </row>
    <row r="3082" spans="1:9" hidden="1" x14ac:dyDescent="0.25">
      <c r="A3082">
        <v>2012</v>
      </c>
      <c r="B3082" s="140" t="s">
        <v>117</v>
      </c>
      <c r="C3082" s="140" t="s">
        <v>19</v>
      </c>
      <c r="D3082" s="140" t="s">
        <v>11</v>
      </c>
      <c r="E3082" s="140" t="s">
        <v>12</v>
      </c>
      <c r="F3082">
        <v>4351</v>
      </c>
      <c r="G3082" s="140" t="s">
        <v>264</v>
      </c>
      <c r="H3082">
        <v>0</v>
      </c>
      <c r="I3082" s="140" t="s">
        <v>17</v>
      </c>
    </row>
    <row r="3083" spans="1:9" hidden="1" x14ac:dyDescent="0.25">
      <c r="A3083">
        <v>2013</v>
      </c>
      <c r="B3083" s="140" t="s">
        <v>117</v>
      </c>
      <c r="C3083" s="140" t="s">
        <v>19</v>
      </c>
      <c r="D3083" s="140" t="s">
        <v>11</v>
      </c>
      <c r="E3083" s="140" t="s">
        <v>12</v>
      </c>
      <c r="F3083">
        <v>4319</v>
      </c>
      <c r="G3083" s="140" t="s">
        <v>264</v>
      </c>
      <c r="H3083">
        <v>0</v>
      </c>
      <c r="I3083" s="140" t="s">
        <v>17</v>
      </c>
    </row>
    <row r="3084" spans="1:9" hidden="1" x14ac:dyDescent="0.25">
      <c r="A3084">
        <v>2014</v>
      </c>
      <c r="B3084" s="140" t="s">
        <v>117</v>
      </c>
      <c r="C3084" s="140" t="s">
        <v>19</v>
      </c>
      <c r="D3084" s="140" t="s">
        <v>11</v>
      </c>
      <c r="E3084" s="140" t="s">
        <v>12</v>
      </c>
      <c r="F3084">
        <v>4338</v>
      </c>
      <c r="G3084" s="140" t="s">
        <v>264</v>
      </c>
      <c r="H3084">
        <v>0</v>
      </c>
      <c r="I3084" s="140" t="s">
        <v>17</v>
      </c>
    </row>
    <row r="3085" spans="1:9" hidden="1" x14ac:dyDescent="0.25">
      <c r="A3085">
        <v>2015</v>
      </c>
      <c r="B3085" s="140" t="s">
        <v>117</v>
      </c>
      <c r="C3085" s="140" t="s">
        <v>19</v>
      </c>
      <c r="D3085" s="140" t="s">
        <v>11</v>
      </c>
      <c r="E3085" s="140" t="s">
        <v>12</v>
      </c>
      <c r="F3085">
        <v>4244</v>
      </c>
      <c r="G3085" s="140" t="s">
        <v>264</v>
      </c>
      <c r="H3085">
        <v>0</v>
      </c>
      <c r="I3085" s="140" t="s">
        <v>17</v>
      </c>
    </row>
    <row r="3086" spans="1:9" hidden="1" x14ac:dyDescent="0.25">
      <c r="A3086">
        <v>2016</v>
      </c>
      <c r="B3086" s="140" t="s">
        <v>117</v>
      </c>
      <c r="C3086" s="140" t="s">
        <v>19</v>
      </c>
      <c r="D3086" s="140" t="s">
        <v>11</v>
      </c>
      <c r="E3086" s="140" t="s">
        <v>12</v>
      </c>
      <c r="F3086">
        <v>4294</v>
      </c>
      <c r="G3086" s="140" t="s">
        <v>264</v>
      </c>
      <c r="H3086">
        <v>0</v>
      </c>
      <c r="I3086" s="140" t="s">
        <v>17</v>
      </c>
    </row>
    <row r="3087" spans="1:9" hidden="1" x14ac:dyDescent="0.25">
      <c r="A3087">
        <v>2017</v>
      </c>
      <c r="B3087" s="140" t="s">
        <v>117</v>
      </c>
      <c r="C3087" s="140" t="s">
        <v>19</v>
      </c>
      <c r="D3087" s="140" t="s">
        <v>11</v>
      </c>
      <c r="E3087" s="140" t="s">
        <v>12</v>
      </c>
      <c r="F3087">
        <v>4409</v>
      </c>
      <c r="G3087" s="140" t="s">
        <v>264</v>
      </c>
      <c r="H3087">
        <v>0</v>
      </c>
      <c r="I3087" s="140" t="s">
        <v>17</v>
      </c>
    </row>
    <row r="3088" spans="1:9" hidden="1" x14ac:dyDescent="0.25">
      <c r="A3088">
        <v>2018</v>
      </c>
      <c r="B3088" s="140" t="s">
        <v>117</v>
      </c>
      <c r="C3088" s="140" t="s">
        <v>19</v>
      </c>
      <c r="D3088" s="140" t="s">
        <v>11</v>
      </c>
      <c r="E3088" s="140" t="s">
        <v>12</v>
      </c>
      <c r="F3088">
        <v>4277</v>
      </c>
      <c r="G3088" s="140" t="s">
        <v>264</v>
      </c>
      <c r="H3088">
        <v>0</v>
      </c>
      <c r="I3088" s="140" t="s">
        <v>17</v>
      </c>
    </row>
    <row r="3089" spans="1:9" hidden="1" x14ac:dyDescent="0.25">
      <c r="A3089">
        <v>2019</v>
      </c>
      <c r="B3089" s="140" t="s">
        <v>117</v>
      </c>
      <c r="C3089" s="140" t="s">
        <v>19</v>
      </c>
      <c r="D3089" s="140" t="s">
        <v>11</v>
      </c>
      <c r="E3089" s="140" t="s">
        <v>12</v>
      </c>
      <c r="F3089">
        <v>4406</v>
      </c>
      <c r="G3089" s="140" t="s">
        <v>264</v>
      </c>
      <c r="H3089">
        <v>0</v>
      </c>
      <c r="I3089" s="140" t="s">
        <v>17</v>
      </c>
    </row>
    <row r="3090" spans="1:9" hidden="1" x14ac:dyDescent="0.25">
      <c r="A3090">
        <v>2020</v>
      </c>
      <c r="B3090" s="140" t="s">
        <v>117</v>
      </c>
      <c r="C3090" s="140" t="s">
        <v>19</v>
      </c>
      <c r="D3090" s="140" t="s">
        <v>11</v>
      </c>
      <c r="E3090" s="140" t="s">
        <v>12</v>
      </c>
      <c r="F3090">
        <v>4422</v>
      </c>
      <c r="G3090" s="140" t="s">
        <v>264</v>
      </c>
      <c r="H3090">
        <v>0</v>
      </c>
      <c r="I3090" s="140" t="s">
        <v>17</v>
      </c>
    </row>
    <row r="3091" spans="1:9" hidden="1" x14ac:dyDescent="0.25">
      <c r="A3091">
        <v>2021</v>
      </c>
      <c r="B3091" s="140" t="s">
        <v>117</v>
      </c>
      <c r="C3091" s="140" t="s">
        <v>19</v>
      </c>
      <c r="D3091" s="140" t="s">
        <v>11</v>
      </c>
      <c r="E3091" s="140" t="s">
        <v>12</v>
      </c>
      <c r="F3091">
        <v>4522</v>
      </c>
      <c r="G3091" s="140" t="s">
        <v>264</v>
      </c>
      <c r="H3091">
        <v>0</v>
      </c>
      <c r="I3091" s="140" t="s">
        <v>17</v>
      </c>
    </row>
    <row r="3092" spans="1:9" hidden="1" x14ac:dyDescent="0.25">
      <c r="A3092">
        <v>2022</v>
      </c>
      <c r="B3092" s="140" t="s">
        <v>117</v>
      </c>
      <c r="C3092" s="140" t="s">
        <v>19</v>
      </c>
      <c r="D3092" s="140" t="s">
        <v>11</v>
      </c>
      <c r="E3092" s="140" t="s">
        <v>12</v>
      </c>
      <c r="F3092">
        <v>5210</v>
      </c>
      <c r="G3092" s="140" t="s">
        <v>264</v>
      </c>
      <c r="H3092">
        <v>0</v>
      </c>
      <c r="I3092" s="140" t="s">
        <v>17</v>
      </c>
    </row>
    <row r="3093" spans="1:9" hidden="1" x14ac:dyDescent="0.25">
      <c r="A3093">
        <v>2023</v>
      </c>
      <c r="B3093" s="140" t="s">
        <v>117</v>
      </c>
      <c r="C3093" s="140" t="s">
        <v>19</v>
      </c>
      <c r="D3093" s="140" t="s">
        <v>11</v>
      </c>
      <c r="E3093" s="140" t="s">
        <v>12</v>
      </c>
      <c r="F3093">
        <v>5042</v>
      </c>
      <c r="G3093" s="140" t="s">
        <v>264</v>
      </c>
      <c r="H3093">
        <v>0</v>
      </c>
      <c r="I3093" s="140" t="s">
        <v>17</v>
      </c>
    </row>
    <row r="3094" spans="1:9" hidden="1" x14ac:dyDescent="0.25">
      <c r="A3094">
        <v>2024</v>
      </c>
      <c r="B3094" s="140" t="s">
        <v>117</v>
      </c>
      <c r="C3094" s="140" t="s">
        <v>19</v>
      </c>
      <c r="D3094" s="140" t="s">
        <v>11</v>
      </c>
      <c r="E3094" s="140" t="s">
        <v>12</v>
      </c>
      <c r="F3094">
        <v>5114</v>
      </c>
      <c r="G3094" s="140" t="s">
        <v>264</v>
      </c>
      <c r="H3094">
        <v>0</v>
      </c>
      <c r="I3094" s="140" t="s">
        <v>17</v>
      </c>
    </row>
    <row r="3095" spans="1:9" hidden="1" x14ac:dyDescent="0.25">
      <c r="A3095">
        <v>2025</v>
      </c>
      <c r="B3095" s="140" t="s">
        <v>117</v>
      </c>
      <c r="C3095" s="140" t="s">
        <v>19</v>
      </c>
      <c r="D3095" s="140" t="s">
        <v>11</v>
      </c>
      <c r="E3095" s="140" t="s">
        <v>12</v>
      </c>
      <c r="F3095">
        <v>5140</v>
      </c>
      <c r="G3095" s="140" t="s">
        <v>264</v>
      </c>
      <c r="H3095">
        <v>0</v>
      </c>
      <c r="I3095" s="140" t="s">
        <v>17</v>
      </c>
    </row>
    <row r="3096" spans="1:9" hidden="1" x14ac:dyDescent="0.25">
      <c r="A3096">
        <v>2026</v>
      </c>
      <c r="B3096" s="140" t="s">
        <v>117</v>
      </c>
      <c r="C3096" s="140" t="s">
        <v>19</v>
      </c>
      <c r="D3096" s="140" t="s">
        <v>11</v>
      </c>
      <c r="E3096" s="140" t="s">
        <v>12</v>
      </c>
      <c r="F3096">
        <v>5315.9935999999998</v>
      </c>
      <c r="G3096" s="140" t="s">
        <v>264</v>
      </c>
      <c r="H3096">
        <v>0</v>
      </c>
      <c r="I3096" s="140" t="s">
        <v>17</v>
      </c>
    </row>
    <row r="3097" spans="1:9" hidden="1" x14ac:dyDescent="0.25">
      <c r="A3097">
        <v>2027</v>
      </c>
      <c r="B3097" s="140" t="s">
        <v>117</v>
      </c>
      <c r="C3097" s="140" t="s">
        <v>19</v>
      </c>
      <c r="D3097" s="140" t="s">
        <v>11</v>
      </c>
      <c r="E3097" s="140" t="s">
        <v>12</v>
      </c>
      <c r="F3097">
        <v>5455.0599929999998</v>
      </c>
      <c r="G3097" s="140" t="s">
        <v>264</v>
      </c>
      <c r="H3097">
        <v>0</v>
      </c>
      <c r="I3097" s="140" t="s">
        <v>17</v>
      </c>
    </row>
    <row r="3098" spans="1:9" hidden="1" x14ac:dyDescent="0.25">
      <c r="A3098">
        <v>2028</v>
      </c>
      <c r="B3098" s="140" t="s">
        <v>117</v>
      </c>
      <c r="C3098" s="140" t="s">
        <v>19</v>
      </c>
      <c r="D3098" s="140" t="s">
        <v>11</v>
      </c>
      <c r="E3098" s="140" t="s">
        <v>12</v>
      </c>
      <c r="F3098">
        <v>5625.3124150000003</v>
      </c>
      <c r="G3098" s="140" t="s">
        <v>264</v>
      </c>
      <c r="H3098">
        <v>0</v>
      </c>
      <c r="I3098" s="140" t="s">
        <v>17</v>
      </c>
    </row>
    <row r="3099" spans="1:9" hidden="1" x14ac:dyDescent="0.25">
      <c r="A3099">
        <v>2019</v>
      </c>
      <c r="B3099" s="140" t="s">
        <v>265</v>
      </c>
      <c r="C3099" s="140" t="s">
        <v>243</v>
      </c>
      <c r="D3099" s="140" t="s">
        <v>11</v>
      </c>
      <c r="E3099" s="140" t="s">
        <v>12</v>
      </c>
      <c r="F3099">
        <v>3714</v>
      </c>
      <c r="G3099" s="140" t="s">
        <v>266</v>
      </c>
      <c r="H3099">
        <v>0</v>
      </c>
      <c r="I3099" s="140" t="s">
        <v>17</v>
      </c>
    </row>
    <row r="3100" spans="1:9" hidden="1" x14ac:dyDescent="0.25">
      <c r="A3100">
        <v>2020</v>
      </c>
      <c r="B3100" s="140" t="s">
        <v>265</v>
      </c>
      <c r="C3100" s="140" t="s">
        <v>243</v>
      </c>
      <c r="D3100" s="140" t="s">
        <v>11</v>
      </c>
      <c r="E3100" s="140" t="s">
        <v>12</v>
      </c>
      <c r="F3100">
        <v>1101</v>
      </c>
      <c r="G3100" s="140" t="s">
        <v>266</v>
      </c>
      <c r="H3100">
        <v>0</v>
      </c>
      <c r="I3100" s="140" t="s">
        <v>17</v>
      </c>
    </row>
    <row r="3101" spans="1:9" hidden="1" x14ac:dyDescent="0.25">
      <c r="A3101">
        <v>2021</v>
      </c>
      <c r="B3101" s="140" t="s">
        <v>265</v>
      </c>
      <c r="C3101" s="140" t="s">
        <v>243</v>
      </c>
      <c r="D3101" s="140" t="s">
        <v>11</v>
      </c>
      <c r="E3101" s="140" t="s">
        <v>12</v>
      </c>
      <c r="F3101">
        <v>919</v>
      </c>
      <c r="G3101" s="140" t="s">
        <v>266</v>
      </c>
      <c r="H3101">
        <v>0</v>
      </c>
      <c r="I3101" s="140" t="s">
        <v>17</v>
      </c>
    </row>
    <row r="3102" spans="1:9" hidden="1" x14ac:dyDescent="0.25">
      <c r="A3102">
        <v>2022</v>
      </c>
      <c r="B3102" s="140" t="s">
        <v>265</v>
      </c>
      <c r="C3102" s="140" t="s">
        <v>243</v>
      </c>
      <c r="D3102" s="140" t="s">
        <v>11</v>
      </c>
      <c r="E3102" s="140" t="s">
        <v>12</v>
      </c>
      <c r="F3102">
        <v>3181</v>
      </c>
      <c r="G3102" s="140" t="s">
        <v>266</v>
      </c>
      <c r="H3102">
        <v>0</v>
      </c>
      <c r="I3102" s="140" t="s">
        <v>17</v>
      </c>
    </row>
    <row r="3103" spans="1:9" hidden="1" x14ac:dyDescent="0.25">
      <c r="A3103">
        <v>2023</v>
      </c>
      <c r="B3103" s="140" t="s">
        <v>265</v>
      </c>
      <c r="C3103" s="140" t="s">
        <v>243</v>
      </c>
      <c r="D3103" s="140" t="s">
        <v>11</v>
      </c>
      <c r="E3103" s="140" t="s">
        <v>12</v>
      </c>
      <c r="F3103">
        <v>4168</v>
      </c>
      <c r="G3103" s="140" t="s">
        <v>266</v>
      </c>
      <c r="H3103">
        <v>0</v>
      </c>
      <c r="I3103" s="140" t="s">
        <v>17</v>
      </c>
    </row>
    <row r="3104" spans="1:9" hidden="1" x14ac:dyDescent="0.25">
      <c r="A3104">
        <v>2024</v>
      </c>
      <c r="B3104" s="140" t="s">
        <v>265</v>
      </c>
      <c r="C3104" s="140" t="s">
        <v>243</v>
      </c>
      <c r="D3104" s="140" t="s">
        <v>11</v>
      </c>
      <c r="E3104" s="140" t="s">
        <v>12</v>
      </c>
      <c r="F3104">
        <v>4438</v>
      </c>
      <c r="G3104" s="140" t="s">
        <v>266</v>
      </c>
      <c r="H3104">
        <v>0</v>
      </c>
      <c r="I3104" s="140" t="s">
        <v>17</v>
      </c>
    </row>
    <row r="3105" spans="1:9" hidden="1" x14ac:dyDescent="0.25">
      <c r="A3105">
        <v>2025</v>
      </c>
      <c r="B3105" s="140" t="s">
        <v>265</v>
      </c>
      <c r="C3105" s="140" t="s">
        <v>243</v>
      </c>
      <c r="D3105" s="140" t="s">
        <v>11</v>
      </c>
      <c r="E3105" s="140" t="s">
        <v>12</v>
      </c>
      <c r="F3105">
        <v>4114</v>
      </c>
      <c r="G3105" s="140" t="s">
        <v>266</v>
      </c>
      <c r="H3105">
        <v>0</v>
      </c>
      <c r="I3105" s="140" t="s">
        <v>17</v>
      </c>
    </row>
    <row r="3106" spans="1:9" hidden="1" x14ac:dyDescent="0.25">
      <c r="A3106">
        <v>2026</v>
      </c>
      <c r="B3106" s="140" t="s">
        <v>265</v>
      </c>
      <c r="C3106" s="140" t="s">
        <v>243</v>
      </c>
      <c r="D3106" s="140" t="s">
        <v>11</v>
      </c>
      <c r="E3106" s="140" t="s">
        <v>12</v>
      </c>
      <c r="F3106">
        <v>4238.2428</v>
      </c>
      <c r="G3106" s="140" t="s">
        <v>266</v>
      </c>
      <c r="H3106">
        <v>0</v>
      </c>
      <c r="I3106" s="140" t="s">
        <v>17</v>
      </c>
    </row>
    <row r="3107" spans="1:9" hidden="1" x14ac:dyDescent="0.25">
      <c r="A3107">
        <v>2027</v>
      </c>
      <c r="B3107" s="140" t="s">
        <v>265</v>
      </c>
      <c r="C3107" s="140" t="s">
        <v>243</v>
      </c>
      <c r="D3107" s="140" t="s">
        <v>11</v>
      </c>
      <c r="E3107" s="140" t="s">
        <v>12</v>
      </c>
      <c r="F3107">
        <v>4387.8527709999998</v>
      </c>
      <c r="G3107" s="140" t="s">
        <v>266</v>
      </c>
      <c r="H3107">
        <v>0</v>
      </c>
      <c r="I3107" s="140" t="s">
        <v>17</v>
      </c>
    </row>
    <row r="3108" spans="1:9" hidden="1" x14ac:dyDescent="0.25">
      <c r="A3108">
        <v>2028</v>
      </c>
      <c r="B3108" s="140" t="s">
        <v>265</v>
      </c>
      <c r="C3108" s="140" t="s">
        <v>243</v>
      </c>
      <c r="D3108" s="140" t="s">
        <v>11</v>
      </c>
      <c r="E3108" s="140" t="s">
        <v>12</v>
      </c>
      <c r="F3108">
        <v>4547.2195830000001</v>
      </c>
      <c r="G3108" s="140" t="s">
        <v>266</v>
      </c>
      <c r="H3108">
        <v>0</v>
      </c>
      <c r="I3108" s="140" t="s">
        <v>17</v>
      </c>
    </row>
    <row r="3109" spans="1:9" hidden="1" x14ac:dyDescent="0.25">
      <c r="A3109">
        <v>2019</v>
      </c>
      <c r="B3109" s="140" t="s">
        <v>267</v>
      </c>
      <c r="C3109" s="140" t="s">
        <v>243</v>
      </c>
      <c r="D3109" s="140" t="s">
        <v>11</v>
      </c>
      <c r="E3109" s="140" t="s">
        <v>12</v>
      </c>
      <c r="F3109">
        <v>4550</v>
      </c>
      <c r="G3109" s="140" t="s">
        <v>268</v>
      </c>
      <c r="H3109">
        <v>0</v>
      </c>
      <c r="I3109" s="140" t="s">
        <v>17</v>
      </c>
    </row>
    <row r="3110" spans="1:9" hidden="1" x14ac:dyDescent="0.25">
      <c r="A3110">
        <v>2020</v>
      </c>
      <c r="B3110" s="140" t="s">
        <v>267</v>
      </c>
      <c r="C3110" s="140" t="s">
        <v>243</v>
      </c>
      <c r="D3110" s="140" t="s">
        <v>11</v>
      </c>
      <c r="E3110" s="140" t="s">
        <v>12</v>
      </c>
      <c r="F3110">
        <v>1566</v>
      </c>
      <c r="G3110" s="140" t="s">
        <v>268</v>
      </c>
      <c r="H3110">
        <v>0</v>
      </c>
      <c r="I3110" s="140" t="s">
        <v>17</v>
      </c>
    </row>
    <row r="3111" spans="1:9" hidden="1" x14ac:dyDescent="0.25">
      <c r="A3111">
        <v>2021</v>
      </c>
      <c r="B3111" s="140" t="s">
        <v>267</v>
      </c>
      <c r="C3111" s="140" t="s">
        <v>243</v>
      </c>
      <c r="D3111" s="140" t="s">
        <v>11</v>
      </c>
      <c r="E3111" s="140" t="s">
        <v>12</v>
      </c>
      <c r="F3111">
        <v>1362</v>
      </c>
      <c r="G3111" s="140" t="s">
        <v>268</v>
      </c>
      <c r="H3111">
        <v>0</v>
      </c>
      <c r="I3111" s="140" t="s">
        <v>17</v>
      </c>
    </row>
    <row r="3112" spans="1:9" hidden="1" x14ac:dyDescent="0.25">
      <c r="A3112">
        <v>2022</v>
      </c>
      <c r="B3112" s="140" t="s">
        <v>267</v>
      </c>
      <c r="C3112" s="140" t="s">
        <v>243</v>
      </c>
      <c r="D3112" s="140" t="s">
        <v>11</v>
      </c>
      <c r="E3112" s="140" t="s">
        <v>12</v>
      </c>
      <c r="F3112">
        <v>3258</v>
      </c>
      <c r="G3112" s="140" t="s">
        <v>268</v>
      </c>
      <c r="H3112">
        <v>0</v>
      </c>
      <c r="I3112" s="140" t="s">
        <v>17</v>
      </c>
    </row>
    <row r="3113" spans="1:9" hidden="1" x14ac:dyDescent="0.25">
      <c r="A3113">
        <v>2023</v>
      </c>
      <c r="B3113" s="140" t="s">
        <v>267</v>
      </c>
      <c r="C3113" s="140" t="s">
        <v>243</v>
      </c>
      <c r="D3113" s="140" t="s">
        <v>11</v>
      </c>
      <c r="E3113" s="140" t="s">
        <v>12</v>
      </c>
      <c r="F3113">
        <v>3759</v>
      </c>
      <c r="G3113" s="140" t="s">
        <v>268</v>
      </c>
      <c r="H3113">
        <v>0</v>
      </c>
      <c r="I3113" s="140" t="s">
        <v>17</v>
      </c>
    </row>
    <row r="3114" spans="1:9" hidden="1" x14ac:dyDescent="0.25">
      <c r="A3114">
        <v>2024</v>
      </c>
      <c r="B3114" s="140" t="s">
        <v>267</v>
      </c>
      <c r="C3114" s="140" t="s">
        <v>243</v>
      </c>
      <c r="D3114" s="140" t="s">
        <v>11</v>
      </c>
      <c r="E3114" s="140" t="s">
        <v>12</v>
      </c>
      <c r="F3114">
        <v>3842</v>
      </c>
      <c r="G3114" s="140" t="s">
        <v>268</v>
      </c>
      <c r="H3114">
        <v>0</v>
      </c>
      <c r="I3114" s="140" t="s">
        <v>17</v>
      </c>
    </row>
    <row r="3115" spans="1:9" hidden="1" x14ac:dyDescent="0.25">
      <c r="A3115">
        <v>2025</v>
      </c>
      <c r="B3115" s="140" t="s">
        <v>267</v>
      </c>
      <c r="C3115" s="140" t="s">
        <v>243</v>
      </c>
      <c r="D3115" s="140" t="s">
        <v>11</v>
      </c>
      <c r="E3115" s="140" t="s">
        <v>12</v>
      </c>
      <c r="F3115">
        <v>3734</v>
      </c>
      <c r="G3115" s="140" t="s">
        <v>268</v>
      </c>
      <c r="H3115">
        <v>0</v>
      </c>
      <c r="I3115" s="140" t="s">
        <v>17</v>
      </c>
    </row>
    <row r="3116" spans="1:9" hidden="1" x14ac:dyDescent="0.25">
      <c r="A3116">
        <v>2026</v>
      </c>
      <c r="B3116" s="140" t="s">
        <v>267</v>
      </c>
      <c r="C3116" s="140" t="s">
        <v>243</v>
      </c>
      <c r="D3116" s="140" t="s">
        <v>11</v>
      </c>
      <c r="E3116" s="140" t="s">
        <v>12</v>
      </c>
      <c r="F3116">
        <v>3846.7667999999999</v>
      </c>
      <c r="G3116" s="140" t="s">
        <v>268</v>
      </c>
      <c r="H3116">
        <v>0</v>
      </c>
      <c r="I3116" s="140" t="s">
        <v>17</v>
      </c>
    </row>
    <row r="3117" spans="1:9" hidden="1" x14ac:dyDescent="0.25">
      <c r="A3117">
        <v>2027</v>
      </c>
      <c r="B3117" s="140" t="s">
        <v>267</v>
      </c>
      <c r="C3117" s="140" t="s">
        <v>243</v>
      </c>
      <c r="D3117" s="140" t="s">
        <v>11</v>
      </c>
      <c r="E3117" s="140" t="s">
        <v>12</v>
      </c>
      <c r="F3117">
        <v>3982.5576679999999</v>
      </c>
      <c r="G3117" s="140" t="s">
        <v>268</v>
      </c>
      <c r="H3117">
        <v>0</v>
      </c>
      <c r="I3117" s="140" t="s">
        <v>17</v>
      </c>
    </row>
    <row r="3118" spans="1:9" hidden="1" x14ac:dyDescent="0.25">
      <c r="A3118">
        <v>2028</v>
      </c>
      <c r="B3118" s="140" t="s">
        <v>267</v>
      </c>
      <c r="C3118" s="140" t="s">
        <v>243</v>
      </c>
      <c r="D3118" s="140" t="s">
        <v>11</v>
      </c>
      <c r="E3118" s="140" t="s">
        <v>12</v>
      </c>
      <c r="F3118">
        <v>4127.2041630000003</v>
      </c>
      <c r="G3118" s="140" t="s">
        <v>268</v>
      </c>
      <c r="H3118">
        <v>0</v>
      </c>
      <c r="I3118" s="140" t="s">
        <v>17</v>
      </c>
    </row>
    <row r="3119" spans="1:9" hidden="1" x14ac:dyDescent="0.25">
      <c r="A3119">
        <v>1990</v>
      </c>
      <c r="B3119" s="140" t="s">
        <v>110</v>
      </c>
      <c r="C3119" s="140" t="s">
        <v>20</v>
      </c>
      <c r="D3119" s="140" t="s">
        <v>11</v>
      </c>
      <c r="E3119" s="140" t="s">
        <v>12</v>
      </c>
      <c r="F3119">
        <v>69824</v>
      </c>
      <c r="G3119" s="140" t="s">
        <v>258</v>
      </c>
      <c r="H3119">
        <v>0</v>
      </c>
      <c r="I3119" s="140" t="s">
        <v>17</v>
      </c>
    </row>
    <row r="3120" spans="1:9" hidden="1" x14ac:dyDescent="0.25">
      <c r="A3120">
        <v>1991</v>
      </c>
      <c r="B3120" s="140" t="s">
        <v>110</v>
      </c>
      <c r="C3120" s="140" t="s">
        <v>20</v>
      </c>
      <c r="D3120" s="140" t="s">
        <v>11</v>
      </c>
      <c r="E3120" s="140" t="s">
        <v>12</v>
      </c>
      <c r="F3120">
        <v>67866</v>
      </c>
      <c r="G3120" s="140" t="s">
        <v>258</v>
      </c>
      <c r="H3120">
        <v>0</v>
      </c>
      <c r="I3120" s="140" t="s">
        <v>17</v>
      </c>
    </row>
    <row r="3121" spans="1:9" hidden="1" x14ac:dyDescent="0.25">
      <c r="A3121">
        <v>1992</v>
      </c>
      <c r="B3121" s="140" t="s">
        <v>110</v>
      </c>
      <c r="C3121" s="140" t="s">
        <v>20</v>
      </c>
      <c r="D3121" s="140" t="s">
        <v>11</v>
      </c>
      <c r="E3121" s="140" t="s">
        <v>12</v>
      </c>
      <c r="F3121">
        <v>65282</v>
      </c>
      <c r="G3121" s="140" t="s">
        <v>258</v>
      </c>
      <c r="H3121">
        <v>0</v>
      </c>
      <c r="I3121" s="140" t="s">
        <v>17</v>
      </c>
    </row>
    <row r="3122" spans="1:9" hidden="1" x14ac:dyDescent="0.25">
      <c r="A3122">
        <v>1993</v>
      </c>
      <c r="B3122" s="140" t="s">
        <v>110</v>
      </c>
      <c r="C3122" s="140" t="s">
        <v>20</v>
      </c>
      <c r="D3122" s="140" t="s">
        <v>11</v>
      </c>
      <c r="E3122" s="140" t="s">
        <v>12</v>
      </c>
      <c r="F3122">
        <v>64388</v>
      </c>
      <c r="G3122" s="140" t="s">
        <v>258</v>
      </c>
      <c r="H3122">
        <v>0</v>
      </c>
      <c r="I3122" s="140" t="s">
        <v>17</v>
      </c>
    </row>
    <row r="3123" spans="1:9" hidden="1" x14ac:dyDescent="0.25">
      <c r="A3123">
        <v>1994</v>
      </c>
      <c r="B3123" s="140" t="s">
        <v>110</v>
      </c>
      <c r="C3123" s="140" t="s">
        <v>20</v>
      </c>
      <c r="D3123" s="140" t="s">
        <v>11</v>
      </c>
      <c r="E3123" s="140" t="s">
        <v>12</v>
      </c>
      <c r="F3123">
        <v>66257</v>
      </c>
      <c r="G3123" s="140" t="s">
        <v>258</v>
      </c>
      <c r="H3123">
        <v>0</v>
      </c>
      <c r="I3123" s="140" t="s">
        <v>17</v>
      </c>
    </row>
    <row r="3124" spans="1:9" hidden="1" x14ac:dyDescent="0.25">
      <c r="A3124">
        <v>1995</v>
      </c>
      <c r="B3124" s="140" t="s">
        <v>110</v>
      </c>
      <c r="C3124" s="140" t="s">
        <v>20</v>
      </c>
      <c r="D3124" s="140" t="s">
        <v>11</v>
      </c>
      <c r="E3124" s="140" t="s">
        <v>12</v>
      </c>
      <c r="F3124">
        <v>69003</v>
      </c>
      <c r="G3124" s="140" t="s">
        <v>258</v>
      </c>
      <c r="H3124">
        <v>0</v>
      </c>
      <c r="I3124" s="140" t="s">
        <v>17</v>
      </c>
    </row>
    <row r="3125" spans="1:9" hidden="1" x14ac:dyDescent="0.25">
      <c r="A3125">
        <v>1996</v>
      </c>
      <c r="B3125" s="140" t="s">
        <v>110</v>
      </c>
      <c r="C3125" s="140" t="s">
        <v>20</v>
      </c>
      <c r="D3125" s="140" t="s">
        <v>11</v>
      </c>
      <c r="E3125" s="140" t="s">
        <v>12</v>
      </c>
      <c r="F3125">
        <v>71672</v>
      </c>
      <c r="G3125" s="140" t="s">
        <v>258</v>
      </c>
      <c r="H3125">
        <v>0</v>
      </c>
      <c r="I3125" s="140" t="s">
        <v>17</v>
      </c>
    </row>
    <row r="3126" spans="1:9" hidden="1" x14ac:dyDescent="0.25">
      <c r="A3126">
        <v>1997</v>
      </c>
      <c r="B3126" s="140" t="s">
        <v>110</v>
      </c>
      <c r="C3126" s="140" t="s">
        <v>20</v>
      </c>
      <c r="D3126" s="140" t="s">
        <v>11</v>
      </c>
      <c r="E3126" s="140" t="s">
        <v>12</v>
      </c>
      <c r="F3126">
        <v>74490</v>
      </c>
      <c r="G3126" s="140" t="s">
        <v>258</v>
      </c>
      <c r="H3126">
        <v>0</v>
      </c>
      <c r="I3126" s="140" t="s">
        <v>17</v>
      </c>
    </row>
    <row r="3127" spans="1:9" hidden="1" x14ac:dyDescent="0.25">
      <c r="A3127">
        <v>1998</v>
      </c>
      <c r="B3127" s="140" t="s">
        <v>110</v>
      </c>
      <c r="C3127" s="140" t="s">
        <v>20</v>
      </c>
      <c r="D3127" s="140" t="s">
        <v>11</v>
      </c>
      <c r="E3127" s="140" t="s">
        <v>12</v>
      </c>
      <c r="F3127">
        <v>77859</v>
      </c>
      <c r="G3127" s="140" t="s">
        <v>258</v>
      </c>
      <c r="H3127">
        <v>0</v>
      </c>
      <c r="I3127" s="140" t="s">
        <v>17</v>
      </c>
    </row>
    <row r="3128" spans="1:9" hidden="1" x14ac:dyDescent="0.25">
      <c r="A3128">
        <v>1999</v>
      </c>
      <c r="B3128" s="140" t="s">
        <v>110</v>
      </c>
      <c r="C3128" s="140" t="s">
        <v>20</v>
      </c>
      <c r="D3128" s="140" t="s">
        <v>11</v>
      </c>
      <c r="E3128" s="140" t="s">
        <v>12</v>
      </c>
      <c r="F3128">
        <v>80362</v>
      </c>
      <c r="G3128" s="140" t="s">
        <v>258</v>
      </c>
      <c r="H3128">
        <v>0</v>
      </c>
      <c r="I3128" s="140" t="s">
        <v>17</v>
      </c>
    </row>
    <row r="3129" spans="1:9" hidden="1" x14ac:dyDescent="0.25">
      <c r="A3129">
        <v>2000</v>
      </c>
      <c r="B3129" s="140" t="s">
        <v>110</v>
      </c>
      <c r="C3129" s="140" t="s">
        <v>20</v>
      </c>
      <c r="D3129" s="140" t="s">
        <v>11</v>
      </c>
      <c r="E3129" s="140" t="s">
        <v>12</v>
      </c>
      <c r="F3129">
        <v>82100</v>
      </c>
      <c r="G3129" s="140" t="s">
        <v>258</v>
      </c>
      <c r="H3129">
        <v>0</v>
      </c>
      <c r="I3129" s="140" t="s">
        <v>17</v>
      </c>
    </row>
    <row r="3130" spans="1:9" hidden="1" x14ac:dyDescent="0.25">
      <c r="A3130">
        <v>2001</v>
      </c>
      <c r="B3130" s="140" t="s">
        <v>110</v>
      </c>
      <c r="C3130" s="140" t="s">
        <v>20</v>
      </c>
      <c r="D3130" s="140" t="s">
        <v>11</v>
      </c>
      <c r="E3130" s="140" t="s">
        <v>12</v>
      </c>
      <c r="F3130">
        <v>84158</v>
      </c>
      <c r="G3130" s="140" t="s">
        <v>258</v>
      </c>
      <c r="H3130">
        <v>0</v>
      </c>
      <c r="I3130" s="140" t="s">
        <v>17</v>
      </c>
    </row>
    <row r="3131" spans="1:9" hidden="1" x14ac:dyDescent="0.25">
      <c r="A3131">
        <v>2002</v>
      </c>
      <c r="B3131" s="140" t="s">
        <v>110</v>
      </c>
      <c r="C3131" s="140" t="s">
        <v>20</v>
      </c>
      <c r="D3131" s="140" t="s">
        <v>11</v>
      </c>
      <c r="E3131" s="140" t="s">
        <v>12</v>
      </c>
      <c r="F3131">
        <v>86074</v>
      </c>
      <c r="G3131" s="140" t="s">
        <v>258</v>
      </c>
      <c r="H3131">
        <v>0</v>
      </c>
      <c r="I3131" s="140" t="s">
        <v>17</v>
      </c>
    </row>
    <row r="3132" spans="1:9" hidden="1" x14ac:dyDescent="0.25">
      <c r="A3132">
        <v>2003</v>
      </c>
      <c r="B3132" s="140" t="s">
        <v>110</v>
      </c>
      <c r="C3132" s="140" t="s">
        <v>20</v>
      </c>
      <c r="D3132" s="140" t="s">
        <v>11</v>
      </c>
      <c r="E3132" s="140" t="s">
        <v>12</v>
      </c>
      <c r="F3132">
        <v>89384</v>
      </c>
      <c r="G3132" s="140" t="s">
        <v>258</v>
      </c>
      <c r="H3132">
        <v>0</v>
      </c>
      <c r="I3132" s="140" t="s">
        <v>17</v>
      </c>
    </row>
    <row r="3133" spans="1:9" hidden="1" x14ac:dyDescent="0.25">
      <c r="A3133">
        <v>2004</v>
      </c>
      <c r="B3133" s="140" t="s">
        <v>110</v>
      </c>
      <c r="C3133" s="140" t="s">
        <v>20</v>
      </c>
      <c r="D3133" s="140" t="s">
        <v>11</v>
      </c>
      <c r="E3133" s="140" t="s">
        <v>12</v>
      </c>
      <c r="F3133">
        <v>92587</v>
      </c>
      <c r="G3133" s="140" t="s">
        <v>258</v>
      </c>
      <c r="H3133">
        <v>0</v>
      </c>
      <c r="I3133" s="140" t="s">
        <v>17</v>
      </c>
    </row>
    <row r="3134" spans="1:9" hidden="1" x14ac:dyDescent="0.25">
      <c r="A3134">
        <v>2005</v>
      </c>
      <c r="B3134" s="140" t="s">
        <v>110</v>
      </c>
      <c r="C3134" s="140" t="s">
        <v>20</v>
      </c>
      <c r="D3134" s="140" t="s">
        <v>11</v>
      </c>
      <c r="E3134" s="140" t="s">
        <v>12</v>
      </c>
      <c r="F3134">
        <v>95562</v>
      </c>
      <c r="G3134" s="140" t="s">
        <v>258</v>
      </c>
      <c r="H3134">
        <v>0</v>
      </c>
      <c r="I3134" s="140" t="s">
        <v>17</v>
      </c>
    </row>
    <row r="3135" spans="1:9" hidden="1" x14ac:dyDescent="0.25">
      <c r="A3135">
        <v>2006</v>
      </c>
      <c r="B3135" s="140" t="s">
        <v>110</v>
      </c>
      <c r="C3135" s="140" t="s">
        <v>20</v>
      </c>
      <c r="D3135" s="140" t="s">
        <v>11</v>
      </c>
      <c r="E3135" s="140" t="s">
        <v>12</v>
      </c>
      <c r="F3135">
        <v>99458</v>
      </c>
      <c r="G3135" s="140" t="s">
        <v>258</v>
      </c>
      <c r="H3135">
        <v>0</v>
      </c>
      <c r="I3135" s="140" t="s">
        <v>17</v>
      </c>
    </row>
    <row r="3136" spans="1:9" hidden="1" x14ac:dyDescent="0.25">
      <c r="A3136">
        <v>2007</v>
      </c>
      <c r="B3136" s="140" t="s">
        <v>110</v>
      </c>
      <c r="C3136" s="140" t="s">
        <v>20</v>
      </c>
      <c r="D3136" s="140" t="s">
        <v>11</v>
      </c>
      <c r="E3136" s="140" t="s">
        <v>12</v>
      </c>
      <c r="F3136">
        <v>102771</v>
      </c>
      <c r="G3136" s="140" t="s">
        <v>258</v>
      </c>
      <c r="H3136">
        <v>0</v>
      </c>
      <c r="I3136" s="140" t="s">
        <v>17</v>
      </c>
    </row>
    <row r="3137" spans="1:9" hidden="1" x14ac:dyDescent="0.25">
      <c r="A3137">
        <v>2008</v>
      </c>
      <c r="B3137" s="140" t="s">
        <v>110</v>
      </c>
      <c r="C3137" s="140" t="s">
        <v>20</v>
      </c>
      <c r="D3137" s="140" t="s">
        <v>11</v>
      </c>
      <c r="E3137" s="140" t="s">
        <v>12</v>
      </c>
      <c r="F3137">
        <v>104927</v>
      </c>
      <c r="G3137" s="140" t="s">
        <v>258</v>
      </c>
      <c r="H3137">
        <v>0</v>
      </c>
      <c r="I3137" s="140" t="s">
        <v>17</v>
      </c>
    </row>
    <row r="3138" spans="1:9" hidden="1" x14ac:dyDescent="0.25">
      <c r="A3138">
        <v>2009</v>
      </c>
      <c r="B3138" s="140" t="s">
        <v>110</v>
      </c>
      <c r="C3138" s="140" t="s">
        <v>20</v>
      </c>
      <c r="D3138" s="140" t="s">
        <v>11</v>
      </c>
      <c r="E3138" s="140" t="s">
        <v>12</v>
      </c>
      <c r="F3138">
        <v>100879</v>
      </c>
      <c r="G3138" s="140" t="s">
        <v>258</v>
      </c>
      <c r="H3138">
        <v>0</v>
      </c>
      <c r="I3138" s="140" t="s">
        <v>17</v>
      </c>
    </row>
    <row r="3139" spans="1:9" hidden="1" x14ac:dyDescent="0.25">
      <c r="A3139">
        <v>2010</v>
      </c>
      <c r="B3139" s="140" t="s">
        <v>110</v>
      </c>
      <c r="C3139" s="140" t="s">
        <v>20</v>
      </c>
      <c r="D3139" s="140" t="s">
        <v>11</v>
      </c>
      <c r="E3139" s="140" t="s">
        <v>12</v>
      </c>
      <c r="F3139">
        <v>104301</v>
      </c>
      <c r="G3139" s="140" t="s">
        <v>258</v>
      </c>
      <c r="H3139">
        <v>0</v>
      </c>
      <c r="I3139" s="140" t="s">
        <v>17</v>
      </c>
    </row>
    <row r="3140" spans="1:9" hidden="1" x14ac:dyDescent="0.25">
      <c r="A3140">
        <v>2011</v>
      </c>
      <c r="B3140" s="140" t="s">
        <v>110</v>
      </c>
      <c r="C3140" s="140" t="s">
        <v>20</v>
      </c>
      <c r="D3140" s="140" t="s">
        <v>11</v>
      </c>
      <c r="E3140" s="140" t="s">
        <v>12</v>
      </c>
      <c r="F3140">
        <v>107811</v>
      </c>
      <c r="G3140" s="140" t="s">
        <v>258</v>
      </c>
      <c r="H3140">
        <v>0</v>
      </c>
      <c r="I3140" s="140" t="s">
        <v>17</v>
      </c>
    </row>
    <row r="3141" spans="1:9" hidden="1" x14ac:dyDescent="0.25">
      <c r="A3141">
        <v>2012</v>
      </c>
      <c r="B3141" s="140" t="s">
        <v>110</v>
      </c>
      <c r="C3141" s="140" t="s">
        <v>20</v>
      </c>
      <c r="D3141" s="140" t="s">
        <v>11</v>
      </c>
      <c r="E3141" s="140" t="s">
        <v>12</v>
      </c>
      <c r="F3141">
        <v>108305</v>
      </c>
      <c r="G3141" s="140" t="s">
        <v>258</v>
      </c>
      <c r="H3141">
        <v>0</v>
      </c>
      <c r="I3141" s="140" t="s">
        <v>17</v>
      </c>
    </row>
    <row r="3142" spans="1:9" hidden="1" x14ac:dyDescent="0.25">
      <c r="A3142">
        <v>2013</v>
      </c>
      <c r="B3142" s="140" t="s">
        <v>110</v>
      </c>
      <c r="C3142" s="140" t="s">
        <v>20</v>
      </c>
      <c r="D3142" s="140" t="s">
        <v>11</v>
      </c>
      <c r="E3142" s="140" t="s">
        <v>12</v>
      </c>
      <c r="F3142">
        <v>107645</v>
      </c>
      <c r="G3142" s="140" t="s">
        <v>258</v>
      </c>
      <c r="H3142">
        <v>0</v>
      </c>
      <c r="I3142" s="140" t="s">
        <v>17</v>
      </c>
    </row>
    <row r="3143" spans="1:9" hidden="1" x14ac:dyDescent="0.25">
      <c r="A3143">
        <v>2014</v>
      </c>
      <c r="B3143" s="140" t="s">
        <v>110</v>
      </c>
      <c r="C3143" s="140" t="s">
        <v>20</v>
      </c>
      <c r="D3143" s="140" t="s">
        <v>11</v>
      </c>
      <c r="E3143" s="140" t="s">
        <v>12</v>
      </c>
      <c r="F3143">
        <v>107866</v>
      </c>
      <c r="G3143" s="140" t="s">
        <v>258</v>
      </c>
      <c r="H3143">
        <v>0</v>
      </c>
      <c r="I3143" s="140" t="s">
        <v>17</v>
      </c>
    </row>
    <row r="3144" spans="1:9" hidden="1" x14ac:dyDescent="0.25">
      <c r="A3144">
        <v>2015</v>
      </c>
      <c r="B3144" s="140" t="s">
        <v>110</v>
      </c>
      <c r="C3144" s="140" t="s">
        <v>20</v>
      </c>
      <c r="D3144" s="140" t="s">
        <v>11</v>
      </c>
      <c r="E3144" s="140" t="s">
        <v>12</v>
      </c>
      <c r="F3144">
        <v>108818</v>
      </c>
      <c r="G3144" s="140" t="s">
        <v>258</v>
      </c>
      <c r="H3144">
        <v>0</v>
      </c>
      <c r="I3144" s="140" t="s">
        <v>17</v>
      </c>
    </row>
    <row r="3145" spans="1:9" hidden="1" x14ac:dyDescent="0.25">
      <c r="A3145">
        <v>2016</v>
      </c>
      <c r="B3145" s="140" t="s">
        <v>110</v>
      </c>
      <c r="C3145" s="140" t="s">
        <v>20</v>
      </c>
      <c r="D3145" s="140" t="s">
        <v>11</v>
      </c>
      <c r="E3145" s="140" t="s">
        <v>12</v>
      </c>
      <c r="F3145">
        <v>111113</v>
      </c>
      <c r="G3145" s="140" t="s">
        <v>258</v>
      </c>
      <c r="H3145">
        <v>0</v>
      </c>
      <c r="I3145" s="140" t="s">
        <v>17</v>
      </c>
    </row>
    <row r="3146" spans="1:9" hidden="1" x14ac:dyDescent="0.25">
      <c r="A3146">
        <v>2017</v>
      </c>
      <c r="B3146" s="140" t="s">
        <v>110</v>
      </c>
      <c r="C3146" s="140" t="s">
        <v>20</v>
      </c>
      <c r="D3146" s="140" t="s">
        <v>11</v>
      </c>
      <c r="E3146" s="140" t="s">
        <v>12</v>
      </c>
      <c r="F3146">
        <v>112162</v>
      </c>
      <c r="G3146" s="140" t="s">
        <v>258</v>
      </c>
      <c r="H3146">
        <v>0</v>
      </c>
      <c r="I3146" s="140" t="s">
        <v>17</v>
      </c>
    </row>
    <row r="3147" spans="1:9" hidden="1" x14ac:dyDescent="0.25">
      <c r="A3147">
        <v>2018</v>
      </c>
      <c r="B3147" s="140" t="s">
        <v>110</v>
      </c>
      <c r="C3147" s="140" t="s">
        <v>20</v>
      </c>
      <c r="D3147" s="140" t="s">
        <v>11</v>
      </c>
      <c r="E3147" s="140" t="s">
        <v>12</v>
      </c>
      <c r="F3147">
        <v>113911</v>
      </c>
      <c r="G3147" s="140" t="s">
        <v>258</v>
      </c>
      <c r="H3147">
        <v>0</v>
      </c>
      <c r="I3147" s="140" t="s">
        <v>17</v>
      </c>
    </row>
    <row r="3148" spans="1:9" hidden="1" x14ac:dyDescent="0.25">
      <c r="A3148">
        <v>2019</v>
      </c>
      <c r="B3148" s="140" t="s">
        <v>110</v>
      </c>
      <c r="C3148" s="140" t="s">
        <v>20</v>
      </c>
      <c r="D3148" s="140" t="s">
        <v>11</v>
      </c>
      <c r="E3148" s="140" t="s">
        <v>12</v>
      </c>
      <c r="F3148">
        <v>114801</v>
      </c>
      <c r="G3148" s="140" t="s">
        <v>258</v>
      </c>
      <c r="H3148">
        <v>0</v>
      </c>
      <c r="I3148" s="140" t="s">
        <v>17</v>
      </c>
    </row>
    <row r="3149" spans="1:9" hidden="1" x14ac:dyDescent="0.25">
      <c r="A3149">
        <v>2020</v>
      </c>
      <c r="B3149" s="140" t="s">
        <v>110</v>
      </c>
      <c r="C3149" s="140" t="s">
        <v>20</v>
      </c>
      <c r="D3149" s="140" t="s">
        <v>11</v>
      </c>
      <c r="E3149" s="140" t="s">
        <v>12</v>
      </c>
      <c r="F3149">
        <v>110387</v>
      </c>
      <c r="G3149" s="140" t="s">
        <v>258</v>
      </c>
      <c r="H3149">
        <v>0</v>
      </c>
      <c r="I3149" s="140" t="s">
        <v>17</v>
      </c>
    </row>
    <row r="3150" spans="1:9" hidden="1" x14ac:dyDescent="0.25">
      <c r="A3150">
        <v>2021</v>
      </c>
      <c r="B3150" s="140" t="s">
        <v>110</v>
      </c>
      <c r="C3150" s="140" t="s">
        <v>20</v>
      </c>
      <c r="D3150" s="140" t="s">
        <v>11</v>
      </c>
      <c r="E3150" s="140" t="s">
        <v>12</v>
      </c>
      <c r="F3150">
        <v>114153</v>
      </c>
      <c r="G3150" s="140" t="s">
        <v>258</v>
      </c>
      <c r="H3150">
        <v>0</v>
      </c>
      <c r="I3150" s="140" t="s">
        <v>17</v>
      </c>
    </row>
    <row r="3151" spans="1:9" hidden="1" x14ac:dyDescent="0.25">
      <c r="A3151">
        <v>2022</v>
      </c>
      <c r="B3151" s="140" t="s">
        <v>110</v>
      </c>
      <c r="C3151" s="140" t="s">
        <v>20</v>
      </c>
      <c r="D3151" s="140" t="s">
        <v>11</v>
      </c>
      <c r="E3151" s="140" t="s">
        <v>12</v>
      </c>
      <c r="F3151">
        <v>114813</v>
      </c>
      <c r="G3151" s="140" t="s">
        <v>258</v>
      </c>
      <c r="H3151">
        <v>0</v>
      </c>
      <c r="I3151" s="140" t="s">
        <v>17</v>
      </c>
    </row>
    <row r="3152" spans="1:9" hidden="1" x14ac:dyDescent="0.25">
      <c r="A3152">
        <v>2023</v>
      </c>
      <c r="B3152" s="140" t="s">
        <v>110</v>
      </c>
      <c r="C3152" s="140" t="s">
        <v>20</v>
      </c>
      <c r="D3152" s="140" t="s">
        <v>11</v>
      </c>
      <c r="E3152" s="140" t="s">
        <v>12</v>
      </c>
      <c r="F3152">
        <v>114457</v>
      </c>
      <c r="G3152" s="140" t="s">
        <v>258</v>
      </c>
      <c r="H3152">
        <v>0</v>
      </c>
      <c r="I3152" s="140" t="s">
        <v>17</v>
      </c>
    </row>
    <row r="3153" spans="1:9" hidden="1" x14ac:dyDescent="0.25">
      <c r="A3153">
        <v>2024</v>
      </c>
      <c r="B3153" s="140" t="s">
        <v>110</v>
      </c>
      <c r="C3153" s="140" t="s">
        <v>20</v>
      </c>
      <c r="D3153" s="140" t="s">
        <v>11</v>
      </c>
      <c r="E3153" s="140" t="s">
        <v>12</v>
      </c>
      <c r="F3153">
        <v>114612</v>
      </c>
      <c r="G3153" s="140" t="s">
        <v>258</v>
      </c>
      <c r="H3153">
        <v>0</v>
      </c>
      <c r="I3153" s="140" t="s">
        <v>17</v>
      </c>
    </row>
    <row r="3154" spans="1:9" hidden="1" x14ac:dyDescent="0.25">
      <c r="A3154">
        <v>2025</v>
      </c>
      <c r="B3154" s="140" t="s">
        <v>110</v>
      </c>
      <c r="C3154" s="140" t="s">
        <v>20</v>
      </c>
      <c r="D3154" s="140" t="s">
        <v>11</v>
      </c>
      <c r="E3154" s="140" t="s">
        <v>12</v>
      </c>
      <c r="F3154">
        <v>113517</v>
      </c>
      <c r="G3154" s="140" t="s">
        <v>258</v>
      </c>
      <c r="H3154">
        <v>0</v>
      </c>
      <c r="I3154" s="140" t="s">
        <v>17</v>
      </c>
    </row>
    <row r="3155" spans="1:9" hidden="1" x14ac:dyDescent="0.25">
      <c r="A3155">
        <v>2026</v>
      </c>
      <c r="B3155" s="140" t="s">
        <v>110</v>
      </c>
      <c r="C3155" s="140" t="s">
        <v>20</v>
      </c>
      <c r="D3155" s="140" t="s">
        <v>11</v>
      </c>
      <c r="E3155" s="140" t="s">
        <v>12</v>
      </c>
      <c r="F3155">
        <v>114752.72629999999</v>
      </c>
      <c r="G3155" s="140" t="s">
        <v>258</v>
      </c>
      <c r="H3155">
        <v>0</v>
      </c>
      <c r="I3155" s="140" t="s">
        <v>17</v>
      </c>
    </row>
    <row r="3156" spans="1:9" hidden="1" x14ac:dyDescent="0.25">
      <c r="A3156">
        <v>2027</v>
      </c>
      <c r="B3156" s="140" t="s">
        <v>110</v>
      </c>
      <c r="C3156" s="140" t="s">
        <v>20</v>
      </c>
      <c r="D3156" s="140" t="s">
        <v>11</v>
      </c>
      <c r="E3156" s="140" t="s">
        <v>12</v>
      </c>
      <c r="F3156">
        <v>116576.3869</v>
      </c>
      <c r="G3156" s="140" t="s">
        <v>258</v>
      </c>
      <c r="H3156">
        <v>0</v>
      </c>
      <c r="I3156" s="140" t="s">
        <v>17</v>
      </c>
    </row>
    <row r="3157" spans="1:9" hidden="1" x14ac:dyDescent="0.25">
      <c r="A3157">
        <v>2028</v>
      </c>
      <c r="B3157" s="140" t="s">
        <v>110</v>
      </c>
      <c r="C3157" s="140" t="s">
        <v>20</v>
      </c>
      <c r="D3157" s="140" t="s">
        <v>11</v>
      </c>
      <c r="E3157" s="140" t="s">
        <v>12</v>
      </c>
      <c r="F3157">
        <v>118435.15609999999</v>
      </c>
      <c r="G3157" s="140" t="s">
        <v>258</v>
      </c>
      <c r="H3157">
        <v>0</v>
      </c>
      <c r="I3157" s="140" t="s">
        <v>17</v>
      </c>
    </row>
    <row r="3158" spans="1:9" hidden="1" x14ac:dyDescent="0.25">
      <c r="A3158">
        <v>1990</v>
      </c>
      <c r="B3158" s="140" t="s">
        <v>111</v>
      </c>
      <c r="C3158" s="140" t="s">
        <v>20</v>
      </c>
      <c r="D3158" s="140" t="s">
        <v>11</v>
      </c>
      <c r="E3158" s="140" t="s">
        <v>12</v>
      </c>
      <c r="F3158">
        <v>71148</v>
      </c>
      <c r="G3158" s="140" t="s">
        <v>259</v>
      </c>
      <c r="H3158">
        <v>0</v>
      </c>
      <c r="I3158" s="140" t="s">
        <v>17</v>
      </c>
    </row>
    <row r="3159" spans="1:9" hidden="1" x14ac:dyDescent="0.25">
      <c r="A3159">
        <v>1991</v>
      </c>
      <c r="B3159" s="140" t="s">
        <v>111</v>
      </c>
      <c r="C3159" s="140" t="s">
        <v>20</v>
      </c>
      <c r="D3159" s="140" t="s">
        <v>11</v>
      </c>
      <c r="E3159" s="140" t="s">
        <v>12</v>
      </c>
      <c r="F3159">
        <v>69001</v>
      </c>
      <c r="G3159" s="140" t="s">
        <v>259</v>
      </c>
      <c r="H3159">
        <v>0</v>
      </c>
      <c r="I3159" s="140" t="s">
        <v>17</v>
      </c>
    </row>
    <row r="3160" spans="1:9" hidden="1" x14ac:dyDescent="0.25">
      <c r="A3160">
        <v>1992</v>
      </c>
      <c r="B3160" s="140" t="s">
        <v>111</v>
      </c>
      <c r="C3160" s="140" t="s">
        <v>20</v>
      </c>
      <c r="D3160" s="140" t="s">
        <v>11</v>
      </c>
      <c r="E3160" s="140" t="s">
        <v>12</v>
      </c>
      <c r="F3160">
        <v>65949</v>
      </c>
      <c r="G3160" s="140" t="s">
        <v>259</v>
      </c>
      <c r="H3160">
        <v>0</v>
      </c>
      <c r="I3160" s="140" t="s">
        <v>17</v>
      </c>
    </row>
    <row r="3161" spans="1:9" hidden="1" x14ac:dyDescent="0.25">
      <c r="A3161">
        <v>1993</v>
      </c>
      <c r="B3161" s="140" t="s">
        <v>111</v>
      </c>
      <c r="C3161" s="140" t="s">
        <v>20</v>
      </c>
      <c r="D3161" s="140" t="s">
        <v>11</v>
      </c>
      <c r="E3161" s="140" t="s">
        <v>12</v>
      </c>
      <c r="F3161">
        <v>64155</v>
      </c>
      <c r="G3161" s="140" t="s">
        <v>259</v>
      </c>
      <c r="H3161">
        <v>0</v>
      </c>
      <c r="I3161" s="140" t="s">
        <v>17</v>
      </c>
    </row>
    <row r="3162" spans="1:9" hidden="1" x14ac:dyDescent="0.25">
      <c r="A3162">
        <v>1994</v>
      </c>
      <c r="B3162" s="140" t="s">
        <v>111</v>
      </c>
      <c r="C3162" s="140" t="s">
        <v>20</v>
      </c>
      <c r="D3162" s="140" t="s">
        <v>11</v>
      </c>
      <c r="E3162" s="140" t="s">
        <v>12</v>
      </c>
      <c r="F3162">
        <v>65896</v>
      </c>
      <c r="G3162" s="140" t="s">
        <v>259</v>
      </c>
      <c r="H3162">
        <v>0</v>
      </c>
      <c r="I3162" s="140" t="s">
        <v>17</v>
      </c>
    </row>
    <row r="3163" spans="1:9" hidden="1" x14ac:dyDescent="0.25">
      <c r="A3163">
        <v>1995</v>
      </c>
      <c r="B3163" s="140" t="s">
        <v>111</v>
      </c>
      <c r="C3163" s="140" t="s">
        <v>20</v>
      </c>
      <c r="D3163" s="140" t="s">
        <v>11</v>
      </c>
      <c r="E3163" s="140" t="s">
        <v>12</v>
      </c>
      <c r="F3163">
        <v>69093</v>
      </c>
      <c r="G3163" s="140" t="s">
        <v>259</v>
      </c>
      <c r="H3163">
        <v>0</v>
      </c>
      <c r="I3163" s="140" t="s">
        <v>17</v>
      </c>
    </row>
    <row r="3164" spans="1:9" hidden="1" x14ac:dyDescent="0.25">
      <c r="A3164">
        <v>1996</v>
      </c>
      <c r="B3164" s="140" t="s">
        <v>111</v>
      </c>
      <c r="C3164" s="140" t="s">
        <v>20</v>
      </c>
      <c r="D3164" s="140" t="s">
        <v>11</v>
      </c>
      <c r="E3164" s="140" t="s">
        <v>12</v>
      </c>
      <c r="F3164">
        <v>71693</v>
      </c>
      <c r="G3164" s="140" t="s">
        <v>259</v>
      </c>
      <c r="H3164">
        <v>0</v>
      </c>
      <c r="I3164" s="140" t="s">
        <v>17</v>
      </c>
    </row>
    <row r="3165" spans="1:9" hidden="1" x14ac:dyDescent="0.25">
      <c r="A3165">
        <v>1997</v>
      </c>
      <c r="B3165" s="140" t="s">
        <v>111</v>
      </c>
      <c r="C3165" s="140" t="s">
        <v>20</v>
      </c>
      <c r="D3165" s="140" t="s">
        <v>11</v>
      </c>
      <c r="E3165" s="140" t="s">
        <v>12</v>
      </c>
      <c r="F3165">
        <v>74144</v>
      </c>
      <c r="G3165" s="140" t="s">
        <v>259</v>
      </c>
      <c r="H3165">
        <v>0</v>
      </c>
      <c r="I3165" s="140" t="s">
        <v>17</v>
      </c>
    </row>
    <row r="3166" spans="1:9" hidden="1" x14ac:dyDescent="0.25">
      <c r="A3166">
        <v>1998</v>
      </c>
      <c r="B3166" s="140" t="s">
        <v>111</v>
      </c>
      <c r="C3166" s="140" t="s">
        <v>20</v>
      </c>
      <c r="D3166" s="140" t="s">
        <v>11</v>
      </c>
      <c r="E3166" s="140" t="s">
        <v>12</v>
      </c>
      <c r="F3166">
        <v>77653</v>
      </c>
      <c r="G3166" s="140" t="s">
        <v>259</v>
      </c>
      <c r="H3166">
        <v>0</v>
      </c>
      <c r="I3166" s="140" t="s">
        <v>17</v>
      </c>
    </row>
    <row r="3167" spans="1:9" hidden="1" x14ac:dyDescent="0.25">
      <c r="A3167">
        <v>1999</v>
      </c>
      <c r="B3167" s="140" t="s">
        <v>111</v>
      </c>
      <c r="C3167" s="140" t="s">
        <v>20</v>
      </c>
      <c r="D3167" s="140" t="s">
        <v>11</v>
      </c>
      <c r="E3167" s="140" t="s">
        <v>12</v>
      </c>
      <c r="F3167">
        <v>80109</v>
      </c>
      <c r="G3167" s="140" t="s">
        <v>259</v>
      </c>
      <c r="H3167">
        <v>0</v>
      </c>
      <c r="I3167" s="140" t="s">
        <v>17</v>
      </c>
    </row>
    <row r="3168" spans="1:9" hidden="1" x14ac:dyDescent="0.25">
      <c r="A3168">
        <v>2000</v>
      </c>
      <c r="B3168" s="140" t="s">
        <v>111</v>
      </c>
      <c r="C3168" s="140" t="s">
        <v>20</v>
      </c>
      <c r="D3168" s="140" t="s">
        <v>11</v>
      </c>
      <c r="E3168" s="140" t="s">
        <v>12</v>
      </c>
      <c r="F3168">
        <v>81703</v>
      </c>
      <c r="G3168" s="140" t="s">
        <v>259</v>
      </c>
      <c r="H3168">
        <v>0</v>
      </c>
      <c r="I3168" s="140" t="s">
        <v>17</v>
      </c>
    </row>
    <row r="3169" spans="1:9" hidden="1" x14ac:dyDescent="0.25">
      <c r="A3169">
        <v>2001</v>
      </c>
      <c r="B3169" s="140" t="s">
        <v>111</v>
      </c>
      <c r="C3169" s="140" t="s">
        <v>20</v>
      </c>
      <c r="D3169" s="140" t="s">
        <v>11</v>
      </c>
      <c r="E3169" s="140" t="s">
        <v>12</v>
      </c>
      <c r="F3169">
        <v>83705</v>
      </c>
      <c r="G3169" s="140" t="s">
        <v>259</v>
      </c>
      <c r="H3169">
        <v>0</v>
      </c>
      <c r="I3169" s="140" t="s">
        <v>17</v>
      </c>
    </row>
    <row r="3170" spans="1:9" hidden="1" x14ac:dyDescent="0.25">
      <c r="A3170">
        <v>2002</v>
      </c>
      <c r="B3170" s="140" t="s">
        <v>111</v>
      </c>
      <c r="C3170" s="140" t="s">
        <v>20</v>
      </c>
      <c r="D3170" s="140" t="s">
        <v>11</v>
      </c>
      <c r="E3170" s="140" t="s">
        <v>12</v>
      </c>
      <c r="F3170">
        <v>85725</v>
      </c>
      <c r="G3170" s="140" t="s">
        <v>259</v>
      </c>
      <c r="H3170">
        <v>0</v>
      </c>
      <c r="I3170" s="140" t="s">
        <v>17</v>
      </c>
    </row>
    <row r="3171" spans="1:9" hidden="1" x14ac:dyDescent="0.25">
      <c r="A3171">
        <v>2003</v>
      </c>
      <c r="B3171" s="140" t="s">
        <v>111</v>
      </c>
      <c r="C3171" s="140" t="s">
        <v>20</v>
      </c>
      <c r="D3171" s="140" t="s">
        <v>11</v>
      </c>
      <c r="E3171" s="140" t="s">
        <v>12</v>
      </c>
      <c r="F3171">
        <v>89155</v>
      </c>
      <c r="G3171" s="140" t="s">
        <v>259</v>
      </c>
      <c r="H3171">
        <v>0</v>
      </c>
      <c r="I3171" s="140" t="s">
        <v>17</v>
      </c>
    </row>
    <row r="3172" spans="1:9" hidden="1" x14ac:dyDescent="0.25">
      <c r="A3172">
        <v>2004</v>
      </c>
      <c r="B3172" s="140" t="s">
        <v>111</v>
      </c>
      <c r="C3172" s="140" t="s">
        <v>20</v>
      </c>
      <c r="D3172" s="140" t="s">
        <v>11</v>
      </c>
      <c r="E3172" s="140" t="s">
        <v>12</v>
      </c>
      <c r="F3172">
        <v>92408</v>
      </c>
      <c r="G3172" s="140" t="s">
        <v>259</v>
      </c>
      <c r="H3172">
        <v>0</v>
      </c>
      <c r="I3172" s="140" t="s">
        <v>17</v>
      </c>
    </row>
    <row r="3173" spans="1:9" hidden="1" x14ac:dyDescent="0.25">
      <c r="A3173">
        <v>2005</v>
      </c>
      <c r="B3173" s="140" t="s">
        <v>111</v>
      </c>
      <c r="C3173" s="140" t="s">
        <v>20</v>
      </c>
      <c r="D3173" s="140" t="s">
        <v>11</v>
      </c>
      <c r="E3173" s="140" t="s">
        <v>12</v>
      </c>
      <c r="F3173">
        <v>95323</v>
      </c>
      <c r="G3173" s="140" t="s">
        <v>259</v>
      </c>
      <c r="H3173">
        <v>0</v>
      </c>
      <c r="I3173" s="140" t="s">
        <v>17</v>
      </c>
    </row>
    <row r="3174" spans="1:9" hidden="1" x14ac:dyDescent="0.25">
      <c r="A3174">
        <v>2006</v>
      </c>
      <c r="B3174" s="140" t="s">
        <v>111</v>
      </c>
      <c r="C3174" s="140" t="s">
        <v>20</v>
      </c>
      <c r="D3174" s="140" t="s">
        <v>11</v>
      </c>
      <c r="E3174" s="140" t="s">
        <v>12</v>
      </c>
      <c r="F3174">
        <v>99124</v>
      </c>
      <c r="G3174" s="140" t="s">
        <v>259</v>
      </c>
      <c r="H3174">
        <v>0</v>
      </c>
      <c r="I3174" s="140" t="s">
        <v>17</v>
      </c>
    </row>
    <row r="3175" spans="1:9" hidden="1" x14ac:dyDescent="0.25">
      <c r="A3175">
        <v>2007</v>
      </c>
      <c r="B3175" s="140" t="s">
        <v>111</v>
      </c>
      <c r="C3175" s="140" t="s">
        <v>20</v>
      </c>
      <c r="D3175" s="140" t="s">
        <v>11</v>
      </c>
      <c r="E3175" s="140" t="s">
        <v>12</v>
      </c>
      <c r="F3175">
        <v>102529</v>
      </c>
      <c r="G3175" s="140" t="s">
        <v>259</v>
      </c>
      <c r="H3175">
        <v>0</v>
      </c>
      <c r="I3175" s="140" t="s">
        <v>17</v>
      </c>
    </row>
    <row r="3176" spans="1:9" hidden="1" x14ac:dyDescent="0.25">
      <c r="A3176">
        <v>2008</v>
      </c>
      <c r="B3176" s="140" t="s">
        <v>111</v>
      </c>
      <c r="C3176" s="140" t="s">
        <v>20</v>
      </c>
      <c r="D3176" s="140" t="s">
        <v>11</v>
      </c>
      <c r="E3176" s="140" t="s">
        <v>12</v>
      </c>
      <c r="F3176">
        <v>104660</v>
      </c>
      <c r="G3176" s="140" t="s">
        <v>259</v>
      </c>
      <c r="H3176">
        <v>0</v>
      </c>
      <c r="I3176" s="140" t="s">
        <v>17</v>
      </c>
    </row>
    <row r="3177" spans="1:9" hidden="1" x14ac:dyDescent="0.25">
      <c r="A3177">
        <v>2009</v>
      </c>
      <c r="B3177" s="140" t="s">
        <v>111</v>
      </c>
      <c r="C3177" s="140" t="s">
        <v>20</v>
      </c>
      <c r="D3177" s="140" t="s">
        <v>11</v>
      </c>
      <c r="E3177" s="140" t="s">
        <v>12</v>
      </c>
      <c r="F3177">
        <v>101205</v>
      </c>
      <c r="G3177" s="140" t="s">
        <v>259</v>
      </c>
      <c r="H3177">
        <v>0</v>
      </c>
      <c r="I3177" s="140" t="s">
        <v>17</v>
      </c>
    </row>
    <row r="3178" spans="1:9" hidden="1" x14ac:dyDescent="0.25">
      <c r="A3178">
        <v>2010</v>
      </c>
      <c r="B3178" s="140" t="s">
        <v>111</v>
      </c>
      <c r="C3178" s="140" t="s">
        <v>20</v>
      </c>
      <c r="D3178" s="140" t="s">
        <v>11</v>
      </c>
      <c r="E3178" s="140" t="s">
        <v>12</v>
      </c>
      <c r="F3178">
        <v>104268</v>
      </c>
      <c r="G3178" s="140" t="s">
        <v>259</v>
      </c>
      <c r="H3178">
        <v>0</v>
      </c>
      <c r="I3178" s="140" t="s">
        <v>17</v>
      </c>
    </row>
    <row r="3179" spans="1:9" hidden="1" x14ac:dyDescent="0.25">
      <c r="A3179">
        <v>2011</v>
      </c>
      <c r="B3179" s="140" t="s">
        <v>111</v>
      </c>
      <c r="C3179" s="140" t="s">
        <v>20</v>
      </c>
      <c r="D3179" s="140" t="s">
        <v>11</v>
      </c>
      <c r="E3179" s="140" t="s">
        <v>12</v>
      </c>
      <c r="F3179">
        <v>107478</v>
      </c>
      <c r="G3179" s="140" t="s">
        <v>259</v>
      </c>
      <c r="H3179">
        <v>0</v>
      </c>
      <c r="I3179" s="140" t="s">
        <v>17</v>
      </c>
    </row>
    <row r="3180" spans="1:9" hidden="1" x14ac:dyDescent="0.25">
      <c r="A3180">
        <v>2012</v>
      </c>
      <c r="B3180" s="140" t="s">
        <v>111</v>
      </c>
      <c r="C3180" s="140" t="s">
        <v>20</v>
      </c>
      <c r="D3180" s="140" t="s">
        <v>11</v>
      </c>
      <c r="E3180" s="140" t="s">
        <v>12</v>
      </c>
      <c r="F3180">
        <v>107917</v>
      </c>
      <c r="G3180" s="140" t="s">
        <v>259</v>
      </c>
      <c r="H3180">
        <v>0</v>
      </c>
      <c r="I3180" s="140" t="s">
        <v>17</v>
      </c>
    </row>
    <row r="3181" spans="1:9" hidden="1" x14ac:dyDescent="0.25">
      <c r="A3181">
        <v>2013</v>
      </c>
      <c r="B3181" s="140" t="s">
        <v>111</v>
      </c>
      <c r="C3181" s="140" t="s">
        <v>20</v>
      </c>
      <c r="D3181" s="140" t="s">
        <v>11</v>
      </c>
      <c r="E3181" s="140" t="s">
        <v>12</v>
      </c>
      <c r="F3181">
        <v>107473</v>
      </c>
      <c r="G3181" s="140" t="s">
        <v>259</v>
      </c>
      <c r="H3181">
        <v>0</v>
      </c>
      <c r="I3181" s="140" t="s">
        <v>17</v>
      </c>
    </row>
    <row r="3182" spans="1:9" hidden="1" x14ac:dyDescent="0.25">
      <c r="A3182">
        <v>2014</v>
      </c>
      <c r="B3182" s="140" t="s">
        <v>111</v>
      </c>
      <c r="C3182" s="140" t="s">
        <v>20</v>
      </c>
      <c r="D3182" s="140" t="s">
        <v>11</v>
      </c>
      <c r="E3182" s="140" t="s">
        <v>12</v>
      </c>
      <c r="F3182">
        <v>108001</v>
      </c>
      <c r="G3182" s="140" t="s">
        <v>259</v>
      </c>
      <c r="H3182">
        <v>0</v>
      </c>
      <c r="I3182" s="140" t="s">
        <v>17</v>
      </c>
    </row>
    <row r="3183" spans="1:9" hidden="1" x14ac:dyDescent="0.25">
      <c r="A3183">
        <v>2015</v>
      </c>
      <c r="B3183" s="140" t="s">
        <v>111</v>
      </c>
      <c r="C3183" s="140" t="s">
        <v>20</v>
      </c>
      <c r="D3183" s="140" t="s">
        <v>11</v>
      </c>
      <c r="E3183" s="140" t="s">
        <v>12</v>
      </c>
      <c r="F3183">
        <v>109654</v>
      </c>
      <c r="G3183" s="140" t="s">
        <v>259</v>
      </c>
      <c r="H3183">
        <v>0</v>
      </c>
      <c r="I3183" s="140" t="s">
        <v>17</v>
      </c>
    </row>
    <row r="3184" spans="1:9" hidden="1" x14ac:dyDescent="0.25">
      <c r="A3184">
        <v>2016</v>
      </c>
      <c r="B3184" s="140" t="s">
        <v>111</v>
      </c>
      <c r="C3184" s="140" t="s">
        <v>20</v>
      </c>
      <c r="D3184" s="140" t="s">
        <v>11</v>
      </c>
      <c r="E3184" s="140" t="s">
        <v>12</v>
      </c>
      <c r="F3184">
        <v>111671</v>
      </c>
      <c r="G3184" s="140" t="s">
        <v>259</v>
      </c>
      <c r="H3184">
        <v>0</v>
      </c>
      <c r="I3184" s="140" t="s">
        <v>17</v>
      </c>
    </row>
    <row r="3185" spans="1:9" hidden="1" x14ac:dyDescent="0.25">
      <c r="A3185">
        <v>2017</v>
      </c>
      <c r="B3185" s="140" t="s">
        <v>111</v>
      </c>
      <c r="C3185" s="140" t="s">
        <v>20</v>
      </c>
      <c r="D3185" s="140" t="s">
        <v>11</v>
      </c>
      <c r="E3185" s="140" t="s">
        <v>12</v>
      </c>
      <c r="F3185">
        <v>112055</v>
      </c>
      <c r="G3185" s="140" t="s">
        <v>259</v>
      </c>
      <c r="H3185">
        <v>0</v>
      </c>
      <c r="I3185" s="140" t="s">
        <v>17</v>
      </c>
    </row>
    <row r="3186" spans="1:9" hidden="1" x14ac:dyDescent="0.25">
      <c r="A3186">
        <v>2018</v>
      </c>
      <c r="B3186" s="140" t="s">
        <v>111</v>
      </c>
      <c r="C3186" s="140" t="s">
        <v>20</v>
      </c>
      <c r="D3186" s="140" t="s">
        <v>11</v>
      </c>
      <c r="E3186" s="140" t="s">
        <v>12</v>
      </c>
      <c r="F3186">
        <v>113586</v>
      </c>
      <c r="G3186" s="140" t="s">
        <v>259</v>
      </c>
      <c r="H3186">
        <v>0</v>
      </c>
      <c r="I3186" s="140" t="s">
        <v>17</v>
      </c>
    </row>
    <row r="3187" spans="1:9" hidden="1" x14ac:dyDescent="0.25">
      <c r="A3187">
        <v>2019</v>
      </c>
      <c r="B3187" s="140" t="s">
        <v>111</v>
      </c>
      <c r="C3187" s="140" t="s">
        <v>20</v>
      </c>
      <c r="D3187" s="140" t="s">
        <v>11</v>
      </c>
      <c r="E3187" s="140" t="s">
        <v>12</v>
      </c>
      <c r="F3187">
        <v>114033</v>
      </c>
      <c r="G3187" s="140" t="s">
        <v>259</v>
      </c>
      <c r="H3187">
        <v>0</v>
      </c>
      <c r="I3187" s="140" t="s">
        <v>17</v>
      </c>
    </row>
    <row r="3188" spans="1:9" hidden="1" x14ac:dyDescent="0.25">
      <c r="A3188">
        <v>2020</v>
      </c>
      <c r="B3188" s="140" t="s">
        <v>111</v>
      </c>
      <c r="C3188" s="140" t="s">
        <v>20</v>
      </c>
      <c r="D3188" s="140" t="s">
        <v>11</v>
      </c>
      <c r="E3188" s="140" t="s">
        <v>12</v>
      </c>
      <c r="F3188">
        <v>109944</v>
      </c>
      <c r="G3188" s="140" t="s">
        <v>259</v>
      </c>
      <c r="H3188">
        <v>0</v>
      </c>
      <c r="I3188" s="140" t="s">
        <v>17</v>
      </c>
    </row>
    <row r="3189" spans="1:9" hidden="1" x14ac:dyDescent="0.25">
      <c r="A3189">
        <v>2021</v>
      </c>
      <c r="B3189" s="140" t="s">
        <v>111</v>
      </c>
      <c r="C3189" s="140" t="s">
        <v>20</v>
      </c>
      <c r="D3189" s="140" t="s">
        <v>11</v>
      </c>
      <c r="E3189" s="140" t="s">
        <v>12</v>
      </c>
      <c r="F3189">
        <v>113735</v>
      </c>
      <c r="G3189" s="140" t="s">
        <v>259</v>
      </c>
      <c r="H3189">
        <v>0</v>
      </c>
      <c r="I3189" s="140" t="s">
        <v>17</v>
      </c>
    </row>
    <row r="3190" spans="1:9" hidden="1" x14ac:dyDescent="0.25">
      <c r="A3190">
        <v>2022</v>
      </c>
      <c r="B3190" s="140" t="s">
        <v>111</v>
      </c>
      <c r="C3190" s="140" t="s">
        <v>20</v>
      </c>
      <c r="D3190" s="140" t="s">
        <v>11</v>
      </c>
      <c r="E3190" s="140" t="s">
        <v>12</v>
      </c>
      <c r="F3190">
        <v>114650</v>
      </c>
      <c r="G3190" s="140" t="s">
        <v>259</v>
      </c>
      <c r="H3190">
        <v>0</v>
      </c>
      <c r="I3190" s="140" t="s">
        <v>17</v>
      </c>
    </row>
    <row r="3191" spans="1:9" hidden="1" x14ac:dyDescent="0.25">
      <c r="A3191">
        <v>2023</v>
      </c>
      <c r="B3191" s="140" t="s">
        <v>111</v>
      </c>
      <c r="C3191" s="140" t="s">
        <v>20</v>
      </c>
      <c r="D3191" s="140" t="s">
        <v>11</v>
      </c>
      <c r="E3191" s="140" t="s">
        <v>12</v>
      </c>
      <c r="F3191">
        <v>114585</v>
      </c>
      <c r="G3191" s="140" t="s">
        <v>259</v>
      </c>
      <c r="H3191">
        <v>0</v>
      </c>
      <c r="I3191" s="140" t="s">
        <v>17</v>
      </c>
    </row>
    <row r="3192" spans="1:9" hidden="1" x14ac:dyDescent="0.25">
      <c r="A3192">
        <v>2024</v>
      </c>
      <c r="B3192" s="140" t="s">
        <v>111</v>
      </c>
      <c r="C3192" s="140" t="s">
        <v>20</v>
      </c>
      <c r="D3192" s="140" t="s">
        <v>11</v>
      </c>
      <c r="E3192" s="140" t="s">
        <v>12</v>
      </c>
      <c r="F3192">
        <v>114827</v>
      </c>
      <c r="G3192" s="140" t="s">
        <v>259</v>
      </c>
      <c r="H3192">
        <v>0</v>
      </c>
      <c r="I3192" s="140" t="s">
        <v>17</v>
      </c>
    </row>
    <row r="3193" spans="1:9" hidden="1" x14ac:dyDescent="0.25">
      <c r="A3193">
        <v>2025</v>
      </c>
      <c r="B3193" s="140" t="s">
        <v>111</v>
      </c>
      <c r="C3193" s="140" t="s">
        <v>20</v>
      </c>
      <c r="D3193" s="140" t="s">
        <v>11</v>
      </c>
      <c r="E3193" s="140" t="s">
        <v>12</v>
      </c>
      <c r="F3193">
        <v>113474</v>
      </c>
      <c r="G3193" s="140" t="s">
        <v>259</v>
      </c>
      <c r="H3193">
        <v>0</v>
      </c>
      <c r="I3193" s="140" t="s">
        <v>17</v>
      </c>
    </row>
    <row r="3194" spans="1:9" hidden="1" x14ac:dyDescent="0.25">
      <c r="A3194">
        <v>2026</v>
      </c>
      <c r="B3194" s="140" t="s">
        <v>111</v>
      </c>
      <c r="C3194" s="140" t="s">
        <v>20</v>
      </c>
      <c r="D3194" s="140" t="s">
        <v>11</v>
      </c>
      <c r="E3194" s="140" t="s">
        <v>12</v>
      </c>
      <c r="F3194">
        <v>114708.9795</v>
      </c>
      <c r="G3194" s="140" t="s">
        <v>259</v>
      </c>
      <c r="H3194">
        <v>0</v>
      </c>
      <c r="I3194" s="140" t="s">
        <v>17</v>
      </c>
    </row>
    <row r="3195" spans="1:9" hidden="1" x14ac:dyDescent="0.25">
      <c r="A3195">
        <v>2027</v>
      </c>
      <c r="B3195" s="140" t="s">
        <v>111</v>
      </c>
      <c r="C3195" s="140" t="s">
        <v>20</v>
      </c>
      <c r="D3195" s="140" t="s">
        <v>11</v>
      </c>
      <c r="E3195" s="140" t="s">
        <v>12</v>
      </c>
      <c r="F3195">
        <v>116531.6627</v>
      </c>
      <c r="G3195" s="140" t="s">
        <v>259</v>
      </c>
      <c r="H3195">
        <v>0</v>
      </c>
      <c r="I3195" s="140" t="s">
        <v>17</v>
      </c>
    </row>
    <row r="3196" spans="1:9" hidden="1" x14ac:dyDescent="0.25">
      <c r="A3196">
        <v>2028</v>
      </c>
      <c r="B3196" s="140" t="s">
        <v>111</v>
      </c>
      <c r="C3196" s="140" t="s">
        <v>20</v>
      </c>
      <c r="D3196" s="140" t="s">
        <v>11</v>
      </c>
      <c r="E3196" s="140" t="s">
        <v>12</v>
      </c>
      <c r="F3196">
        <v>118389.7365</v>
      </c>
      <c r="G3196" s="140" t="s">
        <v>259</v>
      </c>
      <c r="H3196">
        <v>0</v>
      </c>
      <c r="I3196" s="140" t="s">
        <v>17</v>
      </c>
    </row>
    <row r="3197" spans="1:9" hidden="1" x14ac:dyDescent="0.25">
      <c r="A3197">
        <v>1990</v>
      </c>
      <c r="B3197" s="140" t="s">
        <v>105</v>
      </c>
      <c r="C3197" s="140" t="s">
        <v>20</v>
      </c>
      <c r="D3197" s="140" t="s">
        <v>11</v>
      </c>
      <c r="E3197" s="140" t="s">
        <v>12</v>
      </c>
      <c r="F3197">
        <v>3926</v>
      </c>
      <c r="G3197" s="140" t="s">
        <v>260</v>
      </c>
      <c r="H3197">
        <v>0</v>
      </c>
      <c r="I3197" s="140" t="s">
        <v>17</v>
      </c>
    </row>
    <row r="3198" spans="1:9" hidden="1" x14ac:dyDescent="0.25">
      <c r="A3198">
        <v>1991</v>
      </c>
      <c r="B3198" s="140" t="s">
        <v>105</v>
      </c>
      <c r="C3198" s="140" t="s">
        <v>20</v>
      </c>
      <c r="D3198" s="140" t="s">
        <v>11</v>
      </c>
      <c r="E3198" s="140" t="s">
        <v>12</v>
      </c>
      <c r="F3198">
        <v>3146</v>
      </c>
      <c r="G3198" s="140" t="s">
        <v>260</v>
      </c>
      <c r="H3198">
        <v>0</v>
      </c>
      <c r="I3198" s="140" t="s">
        <v>17</v>
      </c>
    </row>
    <row r="3199" spans="1:9" hidden="1" x14ac:dyDescent="0.25">
      <c r="A3199">
        <v>1992</v>
      </c>
      <c r="B3199" s="140" t="s">
        <v>105</v>
      </c>
      <c r="C3199" s="140" t="s">
        <v>20</v>
      </c>
      <c r="D3199" s="140" t="s">
        <v>11</v>
      </c>
      <c r="E3199" s="140" t="s">
        <v>12</v>
      </c>
      <c r="F3199">
        <v>2506</v>
      </c>
      <c r="G3199" s="140" t="s">
        <v>260</v>
      </c>
      <c r="H3199">
        <v>0</v>
      </c>
      <c r="I3199" s="140" t="s">
        <v>17</v>
      </c>
    </row>
    <row r="3200" spans="1:9" hidden="1" x14ac:dyDescent="0.25">
      <c r="A3200">
        <v>1993</v>
      </c>
      <c r="B3200" s="140" t="s">
        <v>105</v>
      </c>
      <c r="C3200" s="140" t="s">
        <v>20</v>
      </c>
      <c r="D3200" s="140" t="s">
        <v>11</v>
      </c>
      <c r="E3200" s="140" t="s">
        <v>12</v>
      </c>
      <c r="F3200">
        <v>2252</v>
      </c>
      <c r="G3200" s="140" t="s">
        <v>260</v>
      </c>
      <c r="H3200">
        <v>0</v>
      </c>
      <c r="I3200" s="140" t="s">
        <v>17</v>
      </c>
    </row>
    <row r="3201" spans="1:9" hidden="1" x14ac:dyDescent="0.25">
      <c r="A3201">
        <v>1994</v>
      </c>
      <c r="B3201" s="140" t="s">
        <v>105</v>
      </c>
      <c r="C3201" s="140" t="s">
        <v>20</v>
      </c>
      <c r="D3201" s="140" t="s">
        <v>11</v>
      </c>
      <c r="E3201" s="140" t="s">
        <v>12</v>
      </c>
      <c r="F3201">
        <v>2517</v>
      </c>
      <c r="G3201" s="140" t="s">
        <v>260</v>
      </c>
      <c r="H3201">
        <v>0</v>
      </c>
      <c r="I3201" s="140" t="s">
        <v>17</v>
      </c>
    </row>
    <row r="3202" spans="1:9" hidden="1" x14ac:dyDescent="0.25">
      <c r="A3202">
        <v>1995</v>
      </c>
      <c r="B3202" s="140" t="s">
        <v>105</v>
      </c>
      <c r="C3202" s="140" t="s">
        <v>20</v>
      </c>
      <c r="D3202" s="140" t="s">
        <v>11</v>
      </c>
      <c r="E3202" s="140" t="s">
        <v>12</v>
      </c>
      <c r="F3202">
        <v>2881</v>
      </c>
      <c r="G3202" s="140" t="s">
        <v>260</v>
      </c>
      <c r="H3202">
        <v>0</v>
      </c>
      <c r="I3202" s="140" t="s">
        <v>17</v>
      </c>
    </row>
    <row r="3203" spans="1:9" hidden="1" x14ac:dyDescent="0.25">
      <c r="A3203">
        <v>1996</v>
      </c>
      <c r="B3203" s="140" t="s">
        <v>105</v>
      </c>
      <c r="C3203" s="140" t="s">
        <v>20</v>
      </c>
      <c r="D3203" s="140" t="s">
        <v>11</v>
      </c>
      <c r="E3203" s="140" t="s">
        <v>12</v>
      </c>
      <c r="F3203">
        <v>3396</v>
      </c>
      <c r="G3203" s="140" t="s">
        <v>260</v>
      </c>
      <c r="H3203">
        <v>0</v>
      </c>
      <c r="I3203" s="140" t="s">
        <v>17</v>
      </c>
    </row>
    <row r="3204" spans="1:9" hidden="1" x14ac:dyDescent="0.25">
      <c r="A3204">
        <v>1997</v>
      </c>
      <c r="B3204" s="140" t="s">
        <v>105</v>
      </c>
      <c r="C3204" s="140" t="s">
        <v>20</v>
      </c>
      <c r="D3204" s="140" t="s">
        <v>11</v>
      </c>
      <c r="E3204" s="140" t="s">
        <v>12</v>
      </c>
      <c r="F3204">
        <v>3682</v>
      </c>
      <c r="G3204" s="140" t="s">
        <v>260</v>
      </c>
      <c r="H3204">
        <v>0</v>
      </c>
      <c r="I3204" s="140" t="s">
        <v>17</v>
      </c>
    </row>
    <row r="3205" spans="1:9" hidden="1" x14ac:dyDescent="0.25">
      <c r="A3205">
        <v>1998</v>
      </c>
      <c r="B3205" s="140" t="s">
        <v>105</v>
      </c>
      <c r="C3205" s="140" t="s">
        <v>20</v>
      </c>
      <c r="D3205" s="140" t="s">
        <v>11</v>
      </c>
      <c r="E3205" s="140" t="s">
        <v>12</v>
      </c>
      <c r="F3205">
        <v>4323</v>
      </c>
      <c r="G3205" s="140" t="s">
        <v>260</v>
      </c>
      <c r="H3205">
        <v>0</v>
      </c>
      <c r="I3205" s="140" t="s">
        <v>17</v>
      </c>
    </row>
    <row r="3206" spans="1:9" hidden="1" x14ac:dyDescent="0.25">
      <c r="A3206">
        <v>1999</v>
      </c>
      <c r="B3206" s="140" t="s">
        <v>105</v>
      </c>
      <c r="C3206" s="140" t="s">
        <v>20</v>
      </c>
      <c r="D3206" s="140" t="s">
        <v>11</v>
      </c>
      <c r="E3206" s="140" t="s">
        <v>12</v>
      </c>
      <c r="F3206">
        <v>4439</v>
      </c>
      <c r="G3206" s="140" t="s">
        <v>260</v>
      </c>
      <c r="H3206">
        <v>0</v>
      </c>
      <c r="I3206" s="140" t="s">
        <v>17</v>
      </c>
    </row>
    <row r="3207" spans="1:9" hidden="1" x14ac:dyDescent="0.25">
      <c r="A3207">
        <v>2000</v>
      </c>
      <c r="B3207" s="140" t="s">
        <v>105</v>
      </c>
      <c r="C3207" s="140" t="s">
        <v>20</v>
      </c>
      <c r="D3207" s="140" t="s">
        <v>11</v>
      </c>
      <c r="E3207" s="140" t="s">
        <v>12</v>
      </c>
      <c r="F3207">
        <v>4675</v>
      </c>
      <c r="G3207" s="140" t="s">
        <v>260</v>
      </c>
      <c r="H3207">
        <v>0</v>
      </c>
      <c r="I3207" s="140" t="s">
        <v>17</v>
      </c>
    </row>
    <row r="3208" spans="1:9" hidden="1" x14ac:dyDescent="0.25">
      <c r="A3208">
        <v>2001</v>
      </c>
      <c r="B3208" s="140" t="s">
        <v>105</v>
      </c>
      <c r="C3208" s="140" t="s">
        <v>20</v>
      </c>
      <c r="D3208" s="140" t="s">
        <v>11</v>
      </c>
      <c r="E3208" s="140" t="s">
        <v>12</v>
      </c>
      <c r="F3208">
        <v>4583</v>
      </c>
      <c r="G3208" s="140" t="s">
        <v>260</v>
      </c>
      <c r="H3208">
        <v>0</v>
      </c>
      <c r="I3208" s="140" t="s">
        <v>17</v>
      </c>
    </row>
    <row r="3209" spans="1:9" hidden="1" x14ac:dyDescent="0.25">
      <c r="A3209">
        <v>2002</v>
      </c>
      <c r="B3209" s="140" t="s">
        <v>105</v>
      </c>
      <c r="C3209" s="140" t="s">
        <v>20</v>
      </c>
      <c r="D3209" s="140" t="s">
        <v>11</v>
      </c>
      <c r="E3209" s="140" t="s">
        <v>12</v>
      </c>
      <c r="F3209">
        <v>5058</v>
      </c>
      <c r="G3209" s="140" t="s">
        <v>260</v>
      </c>
      <c r="H3209">
        <v>0</v>
      </c>
      <c r="I3209" s="140" t="s">
        <v>17</v>
      </c>
    </row>
    <row r="3210" spans="1:9" hidden="1" x14ac:dyDescent="0.25">
      <c r="A3210">
        <v>2003</v>
      </c>
      <c r="B3210" s="140" t="s">
        <v>105</v>
      </c>
      <c r="C3210" s="140" t="s">
        <v>20</v>
      </c>
      <c r="D3210" s="140" t="s">
        <v>11</v>
      </c>
      <c r="E3210" s="140" t="s">
        <v>12</v>
      </c>
      <c r="F3210">
        <v>5857</v>
      </c>
      <c r="G3210" s="140" t="s">
        <v>260</v>
      </c>
      <c r="H3210">
        <v>0</v>
      </c>
      <c r="I3210" s="140" t="s">
        <v>17</v>
      </c>
    </row>
    <row r="3211" spans="1:9" hidden="1" x14ac:dyDescent="0.25">
      <c r="A3211">
        <v>2004</v>
      </c>
      <c r="B3211" s="140" t="s">
        <v>105</v>
      </c>
      <c r="C3211" s="140" t="s">
        <v>20</v>
      </c>
      <c r="D3211" s="140" t="s">
        <v>11</v>
      </c>
      <c r="E3211" s="140" t="s">
        <v>12</v>
      </c>
      <c r="F3211">
        <v>6130</v>
      </c>
      <c r="G3211" s="140" t="s">
        <v>260</v>
      </c>
      <c r="H3211">
        <v>0</v>
      </c>
      <c r="I3211" s="140" t="s">
        <v>17</v>
      </c>
    </row>
    <row r="3212" spans="1:9" hidden="1" x14ac:dyDescent="0.25">
      <c r="A3212">
        <v>2005</v>
      </c>
      <c r="B3212" s="140" t="s">
        <v>105</v>
      </c>
      <c r="C3212" s="140" t="s">
        <v>20</v>
      </c>
      <c r="D3212" s="140" t="s">
        <v>11</v>
      </c>
      <c r="E3212" s="140" t="s">
        <v>12</v>
      </c>
      <c r="F3212">
        <v>6704</v>
      </c>
      <c r="G3212" s="140" t="s">
        <v>260</v>
      </c>
      <c r="H3212">
        <v>0</v>
      </c>
      <c r="I3212" s="140" t="s">
        <v>17</v>
      </c>
    </row>
    <row r="3213" spans="1:9" hidden="1" x14ac:dyDescent="0.25">
      <c r="A3213">
        <v>2006</v>
      </c>
      <c r="B3213" s="140" t="s">
        <v>105</v>
      </c>
      <c r="C3213" s="140" t="s">
        <v>20</v>
      </c>
      <c r="D3213" s="140" t="s">
        <v>11</v>
      </c>
      <c r="E3213" s="140" t="s">
        <v>12</v>
      </c>
      <c r="F3213">
        <v>7350</v>
      </c>
      <c r="G3213" s="140" t="s">
        <v>260</v>
      </c>
      <c r="H3213">
        <v>0</v>
      </c>
      <c r="I3213" s="140" t="s">
        <v>17</v>
      </c>
    </row>
    <row r="3214" spans="1:9" hidden="1" x14ac:dyDescent="0.25">
      <c r="A3214">
        <v>2007</v>
      </c>
      <c r="B3214" s="140" t="s">
        <v>105</v>
      </c>
      <c r="C3214" s="140" t="s">
        <v>20</v>
      </c>
      <c r="D3214" s="140" t="s">
        <v>11</v>
      </c>
      <c r="E3214" s="140" t="s">
        <v>12</v>
      </c>
      <c r="F3214">
        <v>7804</v>
      </c>
      <c r="G3214" s="140" t="s">
        <v>260</v>
      </c>
      <c r="H3214">
        <v>0</v>
      </c>
      <c r="I3214" s="140" t="s">
        <v>17</v>
      </c>
    </row>
    <row r="3215" spans="1:9" hidden="1" x14ac:dyDescent="0.25">
      <c r="A3215">
        <v>2008</v>
      </c>
      <c r="B3215" s="140" t="s">
        <v>105</v>
      </c>
      <c r="C3215" s="140" t="s">
        <v>20</v>
      </c>
      <c r="D3215" s="140" t="s">
        <v>11</v>
      </c>
      <c r="E3215" s="140" t="s">
        <v>12</v>
      </c>
      <c r="F3215">
        <v>8505</v>
      </c>
      <c r="G3215" s="140" t="s">
        <v>260</v>
      </c>
      <c r="H3215">
        <v>0</v>
      </c>
      <c r="I3215" s="140" t="s">
        <v>17</v>
      </c>
    </row>
    <row r="3216" spans="1:9" hidden="1" x14ac:dyDescent="0.25">
      <c r="A3216">
        <v>2009</v>
      </c>
      <c r="B3216" s="140" t="s">
        <v>105</v>
      </c>
      <c r="C3216" s="140" t="s">
        <v>20</v>
      </c>
      <c r="D3216" s="140" t="s">
        <v>11</v>
      </c>
      <c r="E3216" s="140" t="s">
        <v>12</v>
      </c>
      <c r="F3216">
        <v>7315</v>
      </c>
      <c r="G3216" s="140" t="s">
        <v>260</v>
      </c>
      <c r="H3216">
        <v>0</v>
      </c>
      <c r="I3216" s="140" t="s">
        <v>17</v>
      </c>
    </row>
    <row r="3217" spans="1:9" hidden="1" x14ac:dyDescent="0.25">
      <c r="A3217">
        <v>2010</v>
      </c>
      <c r="B3217" s="140" t="s">
        <v>105</v>
      </c>
      <c r="C3217" s="140" t="s">
        <v>20</v>
      </c>
      <c r="D3217" s="140" t="s">
        <v>11</v>
      </c>
      <c r="E3217" s="140" t="s">
        <v>12</v>
      </c>
      <c r="F3217">
        <v>8116</v>
      </c>
      <c r="G3217" s="140" t="s">
        <v>260</v>
      </c>
      <c r="H3217">
        <v>0</v>
      </c>
      <c r="I3217" s="140" t="s">
        <v>17</v>
      </c>
    </row>
    <row r="3218" spans="1:9" hidden="1" x14ac:dyDescent="0.25">
      <c r="A3218">
        <v>2011</v>
      </c>
      <c r="B3218" s="140" t="s">
        <v>105</v>
      </c>
      <c r="C3218" s="140" t="s">
        <v>20</v>
      </c>
      <c r="D3218" s="140" t="s">
        <v>11</v>
      </c>
      <c r="E3218" s="140" t="s">
        <v>12</v>
      </c>
      <c r="F3218">
        <v>8949</v>
      </c>
      <c r="G3218" s="140" t="s">
        <v>260</v>
      </c>
      <c r="H3218">
        <v>0</v>
      </c>
      <c r="I3218" s="140" t="s">
        <v>17</v>
      </c>
    </row>
    <row r="3219" spans="1:9" hidden="1" x14ac:dyDescent="0.25">
      <c r="A3219">
        <v>2012</v>
      </c>
      <c r="B3219" s="140" t="s">
        <v>105</v>
      </c>
      <c r="C3219" s="140" t="s">
        <v>20</v>
      </c>
      <c r="D3219" s="140" t="s">
        <v>11</v>
      </c>
      <c r="E3219" s="140" t="s">
        <v>12</v>
      </c>
      <c r="F3219">
        <v>8904</v>
      </c>
      <c r="G3219" s="140" t="s">
        <v>260</v>
      </c>
      <c r="H3219">
        <v>0</v>
      </c>
      <c r="I3219" s="140" t="s">
        <v>17</v>
      </c>
    </row>
    <row r="3220" spans="1:9" hidden="1" x14ac:dyDescent="0.25">
      <c r="A3220">
        <v>2013</v>
      </c>
      <c r="B3220" s="140" t="s">
        <v>105</v>
      </c>
      <c r="C3220" s="140" t="s">
        <v>20</v>
      </c>
      <c r="D3220" s="140" t="s">
        <v>11</v>
      </c>
      <c r="E3220" s="140" t="s">
        <v>12</v>
      </c>
      <c r="F3220">
        <v>8767</v>
      </c>
      <c r="G3220" s="140" t="s">
        <v>260</v>
      </c>
      <c r="H3220">
        <v>0</v>
      </c>
      <c r="I3220" s="140" t="s">
        <v>17</v>
      </c>
    </row>
    <row r="3221" spans="1:9" hidden="1" x14ac:dyDescent="0.25">
      <c r="A3221">
        <v>2014</v>
      </c>
      <c r="B3221" s="140" t="s">
        <v>105</v>
      </c>
      <c r="C3221" s="140" t="s">
        <v>20</v>
      </c>
      <c r="D3221" s="140" t="s">
        <v>11</v>
      </c>
      <c r="E3221" s="140" t="s">
        <v>12</v>
      </c>
      <c r="F3221">
        <v>8756</v>
      </c>
      <c r="G3221" s="140" t="s">
        <v>260</v>
      </c>
      <c r="H3221">
        <v>0</v>
      </c>
      <c r="I3221" s="140" t="s">
        <v>17</v>
      </c>
    </row>
    <row r="3222" spans="1:9" hidden="1" x14ac:dyDescent="0.25">
      <c r="A3222">
        <v>2015</v>
      </c>
      <c r="B3222" s="140" t="s">
        <v>105</v>
      </c>
      <c r="C3222" s="140" t="s">
        <v>20</v>
      </c>
      <c r="D3222" s="140" t="s">
        <v>11</v>
      </c>
      <c r="E3222" s="140" t="s">
        <v>12</v>
      </c>
      <c r="F3222">
        <v>8963</v>
      </c>
      <c r="G3222" s="140" t="s">
        <v>260</v>
      </c>
      <c r="H3222">
        <v>0</v>
      </c>
      <c r="I3222" s="140" t="s">
        <v>17</v>
      </c>
    </row>
    <row r="3223" spans="1:9" hidden="1" x14ac:dyDescent="0.25">
      <c r="A3223">
        <v>2016</v>
      </c>
      <c r="B3223" s="140" t="s">
        <v>105</v>
      </c>
      <c r="C3223" s="140" t="s">
        <v>20</v>
      </c>
      <c r="D3223" s="140" t="s">
        <v>11</v>
      </c>
      <c r="E3223" s="140" t="s">
        <v>12</v>
      </c>
      <c r="F3223">
        <v>9410</v>
      </c>
      <c r="G3223" s="140" t="s">
        <v>260</v>
      </c>
      <c r="H3223">
        <v>0</v>
      </c>
      <c r="I3223" s="140" t="s">
        <v>17</v>
      </c>
    </row>
    <row r="3224" spans="1:9" hidden="1" x14ac:dyDescent="0.25">
      <c r="A3224">
        <v>2017</v>
      </c>
      <c r="B3224" s="140" t="s">
        <v>105</v>
      </c>
      <c r="C3224" s="140" t="s">
        <v>20</v>
      </c>
      <c r="D3224" s="140" t="s">
        <v>11</v>
      </c>
      <c r="E3224" s="140" t="s">
        <v>12</v>
      </c>
      <c r="F3224">
        <v>9657</v>
      </c>
      <c r="G3224" s="140" t="s">
        <v>260</v>
      </c>
      <c r="H3224">
        <v>0</v>
      </c>
      <c r="I3224" s="140" t="s">
        <v>17</v>
      </c>
    </row>
    <row r="3225" spans="1:9" hidden="1" x14ac:dyDescent="0.25">
      <c r="A3225">
        <v>2018</v>
      </c>
      <c r="B3225" s="140" t="s">
        <v>105</v>
      </c>
      <c r="C3225" s="140" t="s">
        <v>20</v>
      </c>
      <c r="D3225" s="140" t="s">
        <v>11</v>
      </c>
      <c r="E3225" s="140" t="s">
        <v>12</v>
      </c>
      <c r="F3225">
        <v>10065</v>
      </c>
      <c r="G3225" s="140" t="s">
        <v>260</v>
      </c>
      <c r="H3225">
        <v>0</v>
      </c>
      <c r="I3225" s="140" t="s">
        <v>17</v>
      </c>
    </row>
    <row r="3226" spans="1:9" hidden="1" x14ac:dyDescent="0.25">
      <c r="A3226">
        <v>2019</v>
      </c>
      <c r="B3226" s="140" t="s">
        <v>105</v>
      </c>
      <c r="C3226" s="140" t="s">
        <v>20</v>
      </c>
      <c r="D3226" s="140" t="s">
        <v>11</v>
      </c>
      <c r="E3226" s="140" t="s">
        <v>12</v>
      </c>
      <c r="F3226">
        <v>10266</v>
      </c>
      <c r="G3226" s="140" t="s">
        <v>260</v>
      </c>
      <c r="H3226">
        <v>0</v>
      </c>
      <c r="I3226" s="140" t="s">
        <v>17</v>
      </c>
    </row>
    <row r="3227" spans="1:9" hidden="1" x14ac:dyDescent="0.25">
      <c r="A3227">
        <v>2020</v>
      </c>
      <c r="B3227" s="140" t="s">
        <v>105</v>
      </c>
      <c r="C3227" s="140" t="s">
        <v>20</v>
      </c>
      <c r="D3227" s="140" t="s">
        <v>11</v>
      </c>
      <c r="E3227" s="140" t="s">
        <v>12</v>
      </c>
      <c r="F3227">
        <v>10470</v>
      </c>
      <c r="G3227" s="140" t="s">
        <v>260</v>
      </c>
      <c r="H3227">
        <v>0</v>
      </c>
      <c r="I3227" s="140" t="s">
        <v>17</v>
      </c>
    </row>
    <row r="3228" spans="1:9" hidden="1" x14ac:dyDescent="0.25">
      <c r="A3228">
        <v>2021</v>
      </c>
      <c r="B3228" s="140" t="s">
        <v>105</v>
      </c>
      <c r="C3228" s="140" t="s">
        <v>20</v>
      </c>
      <c r="D3228" s="140" t="s">
        <v>11</v>
      </c>
      <c r="E3228" s="140" t="s">
        <v>12</v>
      </c>
      <c r="F3228">
        <v>10736</v>
      </c>
      <c r="G3228" s="140" t="s">
        <v>260</v>
      </c>
      <c r="H3228">
        <v>0</v>
      </c>
      <c r="I3228" s="140" t="s">
        <v>17</v>
      </c>
    </row>
    <row r="3229" spans="1:9" hidden="1" x14ac:dyDescent="0.25">
      <c r="A3229">
        <v>2022</v>
      </c>
      <c r="B3229" s="140" t="s">
        <v>105</v>
      </c>
      <c r="C3229" s="140" t="s">
        <v>20</v>
      </c>
      <c r="D3229" s="140" t="s">
        <v>11</v>
      </c>
      <c r="E3229" s="140" t="s">
        <v>12</v>
      </c>
      <c r="F3229">
        <v>9857</v>
      </c>
      <c r="G3229" s="140" t="s">
        <v>260</v>
      </c>
      <c r="H3229">
        <v>0</v>
      </c>
      <c r="I3229" s="140" t="s">
        <v>17</v>
      </c>
    </row>
    <row r="3230" spans="1:9" hidden="1" x14ac:dyDescent="0.25">
      <c r="A3230">
        <v>2023</v>
      </c>
      <c r="B3230" s="140" t="s">
        <v>105</v>
      </c>
      <c r="C3230" s="140" t="s">
        <v>20</v>
      </c>
      <c r="D3230" s="140" t="s">
        <v>11</v>
      </c>
      <c r="E3230" s="140" t="s">
        <v>12</v>
      </c>
      <c r="F3230">
        <v>9437</v>
      </c>
      <c r="G3230" s="140" t="s">
        <v>260</v>
      </c>
      <c r="H3230">
        <v>0</v>
      </c>
      <c r="I3230" s="140" t="s">
        <v>17</v>
      </c>
    </row>
    <row r="3231" spans="1:9" hidden="1" x14ac:dyDescent="0.25">
      <c r="A3231">
        <v>2024</v>
      </c>
      <c r="B3231" s="140" t="s">
        <v>105</v>
      </c>
      <c r="C3231" s="140" t="s">
        <v>20</v>
      </c>
      <c r="D3231" s="140" t="s">
        <v>11</v>
      </c>
      <c r="E3231" s="140" t="s">
        <v>12</v>
      </c>
      <c r="F3231">
        <v>9299</v>
      </c>
      <c r="G3231" s="140" t="s">
        <v>260</v>
      </c>
      <c r="H3231">
        <v>0</v>
      </c>
      <c r="I3231" s="140" t="s">
        <v>17</v>
      </c>
    </row>
    <row r="3232" spans="1:9" hidden="1" x14ac:dyDescent="0.25">
      <c r="A3232">
        <v>2025</v>
      </c>
      <c r="B3232" s="140" t="s">
        <v>105</v>
      </c>
      <c r="C3232" s="140" t="s">
        <v>20</v>
      </c>
      <c r="D3232" s="140" t="s">
        <v>11</v>
      </c>
      <c r="E3232" s="140" t="s">
        <v>12</v>
      </c>
      <c r="F3232">
        <v>9287</v>
      </c>
      <c r="G3232" s="140" t="s">
        <v>260</v>
      </c>
      <c r="H3232">
        <v>0</v>
      </c>
      <c r="I3232" s="140" t="s">
        <v>17</v>
      </c>
    </row>
    <row r="3233" spans="1:9" hidden="1" x14ac:dyDescent="0.25">
      <c r="A3233">
        <v>2026</v>
      </c>
      <c r="B3233" s="140" t="s">
        <v>105</v>
      </c>
      <c r="C3233" s="140" t="s">
        <v>20</v>
      </c>
      <c r="D3233" s="140" t="s">
        <v>11</v>
      </c>
      <c r="E3233" s="140" t="s">
        <v>12</v>
      </c>
      <c r="F3233">
        <v>9420.2859499999995</v>
      </c>
      <c r="G3233" s="140" t="s">
        <v>260</v>
      </c>
      <c r="H3233">
        <v>0</v>
      </c>
      <c r="I3233" s="140" t="s">
        <v>17</v>
      </c>
    </row>
    <row r="3234" spans="1:9" hidden="1" x14ac:dyDescent="0.25">
      <c r="A3234">
        <v>2027</v>
      </c>
      <c r="B3234" s="140" t="s">
        <v>105</v>
      </c>
      <c r="C3234" s="140" t="s">
        <v>20</v>
      </c>
      <c r="D3234" s="140" t="s">
        <v>11</v>
      </c>
      <c r="E3234" s="140" t="s">
        <v>12</v>
      </c>
      <c r="F3234">
        <v>9702.2827849999994</v>
      </c>
      <c r="G3234" s="140" t="s">
        <v>260</v>
      </c>
      <c r="H3234">
        <v>0</v>
      </c>
      <c r="I3234" s="140" t="s">
        <v>17</v>
      </c>
    </row>
    <row r="3235" spans="1:9" hidden="1" x14ac:dyDescent="0.25">
      <c r="A3235">
        <v>2028</v>
      </c>
      <c r="B3235" s="140" t="s">
        <v>105</v>
      </c>
      <c r="C3235" s="140" t="s">
        <v>20</v>
      </c>
      <c r="D3235" s="140" t="s">
        <v>11</v>
      </c>
      <c r="E3235" s="140" t="s">
        <v>12</v>
      </c>
      <c r="F3235">
        <v>9878.0670109999992</v>
      </c>
      <c r="G3235" s="140" t="s">
        <v>260</v>
      </c>
      <c r="H3235">
        <v>0</v>
      </c>
      <c r="I3235" s="140" t="s">
        <v>17</v>
      </c>
    </row>
    <row r="3236" spans="1:9" hidden="1" x14ac:dyDescent="0.25">
      <c r="A3236">
        <v>1990</v>
      </c>
      <c r="B3236" s="140" t="s">
        <v>109</v>
      </c>
      <c r="C3236" s="140" t="s">
        <v>20</v>
      </c>
      <c r="D3236" s="140" t="s">
        <v>11</v>
      </c>
      <c r="E3236" s="140" t="s">
        <v>12</v>
      </c>
      <c r="F3236">
        <v>5105</v>
      </c>
      <c r="G3236" s="140" t="s">
        <v>261</v>
      </c>
      <c r="H3236">
        <v>0</v>
      </c>
      <c r="I3236" s="140" t="s">
        <v>17</v>
      </c>
    </row>
    <row r="3237" spans="1:9" hidden="1" x14ac:dyDescent="0.25">
      <c r="A3237">
        <v>1991</v>
      </c>
      <c r="B3237" s="140" t="s">
        <v>109</v>
      </c>
      <c r="C3237" s="140" t="s">
        <v>20</v>
      </c>
      <c r="D3237" s="140" t="s">
        <v>11</v>
      </c>
      <c r="E3237" s="140" t="s">
        <v>12</v>
      </c>
      <c r="F3237">
        <v>4860</v>
      </c>
      <c r="G3237" s="140" t="s">
        <v>261</v>
      </c>
      <c r="H3237">
        <v>0</v>
      </c>
      <c r="I3237" s="140" t="s">
        <v>17</v>
      </c>
    </row>
    <row r="3238" spans="1:9" hidden="1" x14ac:dyDescent="0.25">
      <c r="A3238">
        <v>1992</v>
      </c>
      <c r="B3238" s="140" t="s">
        <v>109</v>
      </c>
      <c r="C3238" s="140" t="s">
        <v>20</v>
      </c>
      <c r="D3238" s="140" t="s">
        <v>11</v>
      </c>
      <c r="E3238" s="140" t="s">
        <v>12</v>
      </c>
      <c r="F3238">
        <v>4263</v>
      </c>
      <c r="G3238" s="140" t="s">
        <v>261</v>
      </c>
      <c r="H3238">
        <v>0</v>
      </c>
      <c r="I3238" s="140" t="s">
        <v>17</v>
      </c>
    </row>
    <row r="3239" spans="1:9" hidden="1" x14ac:dyDescent="0.25">
      <c r="A3239">
        <v>1993</v>
      </c>
      <c r="B3239" s="140" t="s">
        <v>109</v>
      </c>
      <c r="C3239" s="140" t="s">
        <v>20</v>
      </c>
      <c r="D3239" s="140" t="s">
        <v>11</v>
      </c>
      <c r="E3239" s="140" t="s">
        <v>12</v>
      </c>
      <c r="F3239">
        <v>3957</v>
      </c>
      <c r="G3239" s="140" t="s">
        <v>261</v>
      </c>
      <c r="H3239">
        <v>0</v>
      </c>
      <c r="I3239" s="140" t="s">
        <v>17</v>
      </c>
    </row>
    <row r="3240" spans="1:9" hidden="1" x14ac:dyDescent="0.25">
      <c r="A3240">
        <v>1994</v>
      </c>
      <c r="B3240" s="140" t="s">
        <v>109</v>
      </c>
      <c r="C3240" s="140" t="s">
        <v>20</v>
      </c>
      <c r="D3240" s="140" t="s">
        <v>11</v>
      </c>
      <c r="E3240" s="140" t="s">
        <v>12</v>
      </c>
      <c r="F3240">
        <v>4018</v>
      </c>
      <c r="G3240" s="140" t="s">
        <v>261</v>
      </c>
      <c r="H3240">
        <v>0</v>
      </c>
      <c r="I3240" s="140" t="s">
        <v>17</v>
      </c>
    </row>
    <row r="3241" spans="1:9" hidden="1" x14ac:dyDescent="0.25">
      <c r="A3241">
        <v>1995</v>
      </c>
      <c r="B3241" s="140" t="s">
        <v>109</v>
      </c>
      <c r="C3241" s="140" t="s">
        <v>20</v>
      </c>
      <c r="D3241" s="140" t="s">
        <v>11</v>
      </c>
      <c r="E3241" s="140" t="s">
        <v>12</v>
      </c>
      <c r="F3241">
        <v>4259</v>
      </c>
      <c r="G3241" s="140" t="s">
        <v>261</v>
      </c>
      <c r="H3241">
        <v>0</v>
      </c>
      <c r="I3241" s="140" t="s">
        <v>17</v>
      </c>
    </row>
    <row r="3242" spans="1:9" hidden="1" x14ac:dyDescent="0.25">
      <c r="A3242">
        <v>1996</v>
      </c>
      <c r="B3242" s="140" t="s">
        <v>109</v>
      </c>
      <c r="C3242" s="140" t="s">
        <v>20</v>
      </c>
      <c r="D3242" s="140" t="s">
        <v>11</v>
      </c>
      <c r="E3242" s="140" t="s">
        <v>12</v>
      </c>
      <c r="F3242">
        <v>4709</v>
      </c>
      <c r="G3242" s="140" t="s">
        <v>261</v>
      </c>
      <c r="H3242">
        <v>0</v>
      </c>
      <c r="I3242" s="140" t="s">
        <v>17</v>
      </c>
    </row>
    <row r="3243" spans="1:9" hidden="1" x14ac:dyDescent="0.25">
      <c r="A3243">
        <v>1997</v>
      </c>
      <c r="B3243" s="140" t="s">
        <v>109</v>
      </c>
      <c r="C3243" s="140" t="s">
        <v>20</v>
      </c>
      <c r="D3243" s="140" t="s">
        <v>11</v>
      </c>
      <c r="E3243" s="140" t="s">
        <v>12</v>
      </c>
      <c r="F3243">
        <v>5063</v>
      </c>
      <c r="G3243" s="140" t="s">
        <v>261</v>
      </c>
      <c r="H3243">
        <v>0</v>
      </c>
      <c r="I3243" s="140" t="s">
        <v>17</v>
      </c>
    </row>
    <row r="3244" spans="1:9" hidden="1" x14ac:dyDescent="0.25">
      <c r="A3244">
        <v>1998</v>
      </c>
      <c r="B3244" s="140" t="s">
        <v>109</v>
      </c>
      <c r="C3244" s="140" t="s">
        <v>20</v>
      </c>
      <c r="D3244" s="140" t="s">
        <v>11</v>
      </c>
      <c r="E3244" s="140" t="s">
        <v>12</v>
      </c>
      <c r="F3244">
        <v>5364</v>
      </c>
      <c r="G3244" s="140" t="s">
        <v>261</v>
      </c>
      <c r="H3244">
        <v>0</v>
      </c>
      <c r="I3244" s="140" t="s">
        <v>17</v>
      </c>
    </row>
    <row r="3245" spans="1:9" hidden="1" x14ac:dyDescent="0.25">
      <c r="A3245">
        <v>1999</v>
      </c>
      <c r="B3245" s="140" t="s">
        <v>109</v>
      </c>
      <c r="C3245" s="140" t="s">
        <v>20</v>
      </c>
      <c r="D3245" s="140" t="s">
        <v>11</v>
      </c>
      <c r="E3245" s="140" t="s">
        <v>12</v>
      </c>
      <c r="F3245">
        <v>5418</v>
      </c>
      <c r="G3245" s="140" t="s">
        <v>261</v>
      </c>
      <c r="H3245">
        <v>0</v>
      </c>
      <c r="I3245" s="140" t="s">
        <v>17</v>
      </c>
    </row>
    <row r="3246" spans="1:9" hidden="1" x14ac:dyDescent="0.25">
      <c r="A3246">
        <v>2000</v>
      </c>
      <c r="B3246" s="140" t="s">
        <v>109</v>
      </c>
      <c r="C3246" s="140" t="s">
        <v>20</v>
      </c>
      <c r="D3246" s="140" t="s">
        <v>11</v>
      </c>
      <c r="E3246" s="140" t="s">
        <v>12</v>
      </c>
      <c r="F3246">
        <v>5546</v>
      </c>
      <c r="G3246" s="140" t="s">
        <v>261</v>
      </c>
      <c r="H3246">
        <v>0</v>
      </c>
      <c r="I3246" s="140" t="s">
        <v>17</v>
      </c>
    </row>
    <row r="3247" spans="1:9" hidden="1" x14ac:dyDescent="0.25">
      <c r="A3247">
        <v>2001</v>
      </c>
      <c r="B3247" s="140" t="s">
        <v>109</v>
      </c>
      <c r="C3247" s="140" t="s">
        <v>20</v>
      </c>
      <c r="D3247" s="140" t="s">
        <v>11</v>
      </c>
      <c r="E3247" s="140" t="s">
        <v>12</v>
      </c>
      <c r="F3247">
        <v>5782</v>
      </c>
      <c r="G3247" s="140" t="s">
        <v>261</v>
      </c>
      <c r="H3247">
        <v>0</v>
      </c>
      <c r="I3247" s="140" t="s">
        <v>17</v>
      </c>
    </row>
    <row r="3248" spans="1:9" hidden="1" x14ac:dyDescent="0.25">
      <c r="A3248">
        <v>2002</v>
      </c>
      <c r="B3248" s="140" t="s">
        <v>109</v>
      </c>
      <c r="C3248" s="140" t="s">
        <v>20</v>
      </c>
      <c r="D3248" s="140" t="s">
        <v>11</v>
      </c>
      <c r="E3248" s="140" t="s">
        <v>12</v>
      </c>
      <c r="F3248">
        <v>6079</v>
      </c>
      <c r="G3248" s="140" t="s">
        <v>261</v>
      </c>
      <c r="H3248">
        <v>0</v>
      </c>
      <c r="I3248" s="140" t="s">
        <v>17</v>
      </c>
    </row>
    <row r="3249" spans="1:9" hidden="1" x14ac:dyDescent="0.25">
      <c r="A3249">
        <v>2003</v>
      </c>
      <c r="B3249" s="140" t="s">
        <v>109</v>
      </c>
      <c r="C3249" s="140" t="s">
        <v>20</v>
      </c>
      <c r="D3249" s="140" t="s">
        <v>11</v>
      </c>
      <c r="E3249" s="140" t="s">
        <v>12</v>
      </c>
      <c r="F3249">
        <v>6447</v>
      </c>
      <c r="G3249" s="140" t="s">
        <v>261</v>
      </c>
      <c r="H3249">
        <v>0</v>
      </c>
      <c r="I3249" s="140" t="s">
        <v>17</v>
      </c>
    </row>
    <row r="3250" spans="1:9" hidden="1" x14ac:dyDescent="0.25">
      <c r="A3250">
        <v>2004</v>
      </c>
      <c r="B3250" s="140" t="s">
        <v>109</v>
      </c>
      <c r="C3250" s="140" t="s">
        <v>20</v>
      </c>
      <c r="D3250" s="140" t="s">
        <v>11</v>
      </c>
      <c r="E3250" s="140" t="s">
        <v>12</v>
      </c>
      <c r="F3250">
        <v>6746</v>
      </c>
      <c r="G3250" s="140" t="s">
        <v>261</v>
      </c>
      <c r="H3250">
        <v>0</v>
      </c>
      <c r="I3250" s="140" t="s">
        <v>17</v>
      </c>
    </row>
    <row r="3251" spans="1:9" hidden="1" x14ac:dyDescent="0.25">
      <c r="A3251">
        <v>2005</v>
      </c>
      <c r="B3251" s="140" t="s">
        <v>109</v>
      </c>
      <c r="C3251" s="140" t="s">
        <v>20</v>
      </c>
      <c r="D3251" s="140" t="s">
        <v>11</v>
      </c>
      <c r="E3251" s="140" t="s">
        <v>12</v>
      </c>
      <c r="F3251">
        <v>7113</v>
      </c>
      <c r="G3251" s="140" t="s">
        <v>261</v>
      </c>
      <c r="H3251">
        <v>0</v>
      </c>
      <c r="I3251" s="140" t="s">
        <v>17</v>
      </c>
    </row>
    <row r="3252" spans="1:9" hidden="1" x14ac:dyDescent="0.25">
      <c r="A3252">
        <v>2006</v>
      </c>
      <c r="B3252" s="140" t="s">
        <v>109</v>
      </c>
      <c r="C3252" s="140" t="s">
        <v>20</v>
      </c>
      <c r="D3252" s="140" t="s">
        <v>11</v>
      </c>
      <c r="E3252" s="140" t="s">
        <v>12</v>
      </c>
      <c r="F3252">
        <v>7681</v>
      </c>
      <c r="G3252" s="140" t="s">
        <v>261</v>
      </c>
      <c r="H3252">
        <v>0</v>
      </c>
      <c r="I3252" s="140" t="s">
        <v>17</v>
      </c>
    </row>
    <row r="3253" spans="1:9" hidden="1" x14ac:dyDescent="0.25">
      <c r="A3253">
        <v>2007</v>
      </c>
      <c r="B3253" s="140" t="s">
        <v>109</v>
      </c>
      <c r="C3253" s="140" t="s">
        <v>20</v>
      </c>
      <c r="D3253" s="140" t="s">
        <v>11</v>
      </c>
      <c r="E3253" s="140" t="s">
        <v>12</v>
      </c>
      <c r="F3253">
        <v>8131</v>
      </c>
      <c r="G3253" s="140" t="s">
        <v>261</v>
      </c>
      <c r="H3253">
        <v>0</v>
      </c>
      <c r="I3253" s="140" t="s">
        <v>17</v>
      </c>
    </row>
    <row r="3254" spans="1:9" hidden="1" x14ac:dyDescent="0.25">
      <c r="A3254">
        <v>2008</v>
      </c>
      <c r="B3254" s="140" t="s">
        <v>109</v>
      </c>
      <c r="C3254" s="140" t="s">
        <v>20</v>
      </c>
      <c r="D3254" s="140" t="s">
        <v>11</v>
      </c>
      <c r="E3254" s="140" t="s">
        <v>12</v>
      </c>
      <c r="F3254">
        <v>8352</v>
      </c>
      <c r="G3254" s="140" t="s">
        <v>261</v>
      </c>
      <c r="H3254">
        <v>0</v>
      </c>
      <c r="I3254" s="140" t="s">
        <v>17</v>
      </c>
    </row>
    <row r="3255" spans="1:9" hidden="1" x14ac:dyDescent="0.25">
      <c r="A3255">
        <v>2009</v>
      </c>
      <c r="B3255" s="140" t="s">
        <v>109</v>
      </c>
      <c r="C3255" s="140" t="s">
        <v>20</v>
      </c>
      <c r="D3255" s="140" t="s">
        <v>11</v>
      </c>
      <c r="E3255" s="140" t="s">
        <v>12</v>
      </c>
      <c r="F3255">
        <v>8024</v>
      </c>
      <c r="G3255" s="140" t="s">
        <v>261</v>
      </c>
      <c r="H3255">
        <v>0</v>
      </c>
      <c r="I3255" s="140" t="s">
        <v>17</v>
      </c>
    </row>
    <row r="3256" spans="1:9" hidden="1" x14ac:dyDescent="0.25">
      <c r="A3256">
        <v>2010</v>
      </c>
      <c r="B3256" s="140" t="s">
        <v>109</v>
      </c>
      <c r="C3256" s="140" t="s">
        <v>20</v>
      </c>
      <c r="D3256" s="140" t="s">
        <v>11</v>
      </c>
      <c r="E3256" s="140" t="s">
        <v>12</v>
      </c>
      <c r="F3256">
        <v>8465</v>
      </c>
      <c r="G3256" s="140" t="s">
        <v>261</v>
      </c>
      <c r="H3256">
        <v>0</v>
      </c>
      <c r="I3256" s="140" t="s">
        <v>17</v>
      </c>
    </row>
    <row r="3257" spans="1:9" hidden="1" x14ac:dyDescent="0.25">
      <c r="A3257">
        <v>2011</v>
      </c>
      <c r="B3257" s="140" t="s">
        <v>109</v>
      </c>
      <c r="C3257" s="140" t="s">
        <v>20</v>
      </c>
      <c r="D3257" s="140" t="s">
        <v>11</v>
      </c>
      <c r="E3257" s="140" t="s">
        <v>12</v>
      </c>
      <c r="F3257">
        <v>8721</v>
      </c>
      <c r="G3257" s="140" t="s">
        <v>261</v>
      </c>
      <c r="H3257">
        <v>0</v>
      </c>
      <c r="I3257" s="140" t="s">
        <v>17</v>
      </c>
    </row>
    <row r="3258" spans="1:9" hidden="1" x14ac:dyDescent="0.25">
      <c r="A3258">
        <v>2012</v>
      </c>
      <c r="B3258" s="140" t="s">
        <v>109</v>
      </c>
      <c r="C3258" s="140" t="s">
        <v>20</v>
      </c>
      <c r="D3258" s="140" t="s">
        <v>11</v>
      </c>
      <c r="E3258" s="140" t="s">
        <v>12</v>
      </c>
      <c r="F3258">
        <v>8805</v>
      </c>
      <c r="G3258" s="140" t="s">
        <v>261</v>
      </c>
      <c r="H3258">
        <v>0</v>
      </c>
      <c r="I3258" s="140" t="s">
        <v>17</v>
      </c>
    </row>
    <row r="3259" spans="1:9" hidden="1" x14ac:dyDescent="0.25">
      <c r="A3259">
        <v>2013</v>
      </c>
      <c r="B3259" s="140" t="s">
        <v>109</v>
      </c>
      <c r="C3259" s="140" t="s">
        <v>20</v>
      </c>
      <c r="D3259" s="140" t="s">
        <v>11</v>
      </c>
      <c r="E3259" s="140" t="s">
        <v>12</v>
      </c>
      <c r="F3259">
        <v>8800</v>
      </c>
      <c r="G3259" s="140" t="s">
        <v>261</v>
      </c>
      <c r="H3259">
        <v>0</v>
      </c>
      <c r="I3259" s="140" t="s">
        <v>17</v>
      </c>
    </row>
    <row r="3260" spans="1:9" hidden="1" x14ac:dyDescent="0.25">
      <c r="A3260">
        <v>2014</v>
      </c>
      <c r="B3260" s="140" t="s">
        <v>109</v>
      </c>
      <c r="C3260" s="140" t="s">
        <v>20</v>
      </c>
      <c r="D3260" s="140" t="s">
        <v>11</v>
      </c>
      <c r="E3260" s="140" t="s">
        <v>12</v>
      </c>
      <c r="F3260">
        <v>8756</v>
      </c>
      <c r="G3260" s="140" t="s">
        <v>261</v>
      </c>
      <c r="H3260">
        <v>0</v>
      </c>
      <c r="I3260" s="140" t="s">
        <v>17</v>
      </c>
    </row>
    <row r="3261" spans="1:9" hidden="1" x14ac:dyDescent="0.25">
      <c r="A3261">
        <v>2015</v>
      </c>
      <c r="B3261" s="140" t="s">
        <v>109</v>
      </c>
      <c r="C3261" s="140" t="s">
        <v>20</v>
      </c>
      <c r="D3261" s="140" t="s">
        <v>11</v>
      </c>
      <c r="E3261" s="140" t="s">
        <v>12</v>
      </c>
      <c r="F3261">
        <v>8706</v>
      </c>
      <c r="G3261" s="140" t="s">
        <v>261</v>
      </c>
      <c r="H3261">
        <v>0</v>
      </c>
      <c r="I3261" s="140" t="s">
        <v>17</v>
      </c>
    </row>
    <row r="3262" spans="1:9" hidden="1" x14ac:dyDescent="0.25">
      <c r="A3262">
        <v>2016</v>
      </c>
      <c r="B3262" s="140" t="s">
        <v>109</v>
      </c>
      <c r="C3262" s="140" t="s">
        <v>20</v>
      </c>
      <c r="D3262" s="140" t="s">
        <v>11</v>
      </c>
      <c r="E3262" s="140" t="s">
        <v>12</v>
      </c>
      <c r="F3262">
        <v>8809</v>
      </c>
      <c r="G3262" s="140" t="s">
        <v>261</v>
      </c>
      <c r="H3262">
        <v>0</v>
      </c>
      <c r="I3262" s="140" t="s">
        <v>17</v>
      </c>
    </row>
    <row r="3263" spans="1:9" hidden="1" x14ac:dyDescent="0.25">
      <c r="A3263">
        <v>2017</v>
      </c>
      <c r="B3263" s="140" t="s">
        <v>109</v>
      </c>
      <c r="C3263" s="140" t="s">
        <v>20</v>
      </c>
      <c r="D3263" s="140" t="s">
        <v>11</v>
      </c>
      <c r="E3263" s="140" t="s">
        <v>12</v>
      </c>
      <c r="F3263">
        <v>9010</v>
      </c>
      <c r="G3263" s="140" t="s">
        <v>261</v>
      </c>
      <c r="H3263">
        <v>0</v>
      </c>
      <c r="I3263" s="140" t="s">
        <v>17</v>
      </c>
    </row>
    <row r="3264" spans="1:9" hidden="1" x14ac:dyDescent="0.25">
      <c r="A3264">
        <v>2018</v>
      </c>
      <c r="B3264" s="140" t="s">
        <v>109</v>
      </c>
      <c r="C3264" s="140" t="s">
        <v>20</v>
      </c>
      <c r="D3264" s="140" t="s">
        <v>11</v>
      </c>
      <c r="E3264" s="140" t="s">
        <v>12</v>
      </c>
      <c r="F3264">
        <v>9200</v>
      </c>
      <c r="G3264" s="140" t="s">
        <v>261</v>
      </c>
      <c r="H3264">
        <v>0</v>
      </c>
      <c r="I3264" s="140" t="s">
        <v>17</v>
      </c>
    </row>
    <row r="3265" spans="1:9" hidden="1" x14ac:dyDescent="0.25">
      <c r="A3265">
        <v>2019</v>
      </c>
      <c r="B3265" s="140" t="s">
        <v>109</v>
      </c>
      <c r="C3265" s="140" t="s">
        <v>20</v>
      </c>
      <c r="D3265" s="140" t="s">
        <v>11</v>
      </c>
      <c r="E3265" s="140" t="s">
        <v>12</v>
      </c>
      <c r="F3265">
        <v>9482</v>
      </c>
      <c r="G3265" s="140" t="s">
        <v>261</v>
      </c>
      <c r="H3265">
        <v>0</v>
      </c>
      <c r="I3265" s="140" t="s">
        <v>17</v>
      </c>
    </row>
    <row r="3266" spans="1:9" hidden="1" x14ac:dyDescent="0.25">
      <c r="A3266">
        <v>2020</v>
      </c>
      <c r="B3266" s="140" t="s">
        <v>109</v>
      </c>
      <c r="C3266" s="140" t="s">
        <v>20</v>
      </c>
      <c r="D3266" s="140" t="s">
        <v>11</v>
      </c>
      <c r="E3266" s="140" t="s">
        <v>12</v>
      </c>
      <c r="F3266">
        <v>8497</v>
      </c>
      <c r="G3266" s="140" t="s">
        <v>261</v>
      </c>
      <c r="H3266">
        <v>0</v>
      </c>
      <c r="I3266" s="140" t="s">
        <v>17</v>
      </c>
    </row>
    <row r="3267" spans="1:9" hidden="1" x14ac:dyDescent="0.25">
      <c r="A3267">
        <v>2021</v>
      </c>
      <c r="B3267" s="140" t="s">
        <v>109</v>
      </c>
      <c r="C3267" s="140" t="s">
        <v>20</v>
      </c>
      <c r="D3267" s="140" t="s">
        <v>11</v>
      </c>
      <c r="E3267" s="140" t="s">
        <v>12</v>
      </c>
      <c r="F3267">
        <v>9553</v>
      </c>
      <c r="G3267" s="140" t="s">
        <v>261</v>
      </c>
      <c r="H3267">
        <v>0</v>
      </c>
      <c r="I3267" s="140" t="s">
        <v>17</v>
      </c>
    </row>
    <row r="3268" spans="1:9" hidden="1" x14ac:dyDescent="0.25">
      <c r="A3268">
        <v>2022</v>
      </c>
      <c r="B3268" s="140" t="s">
        <v>109</v>
      </c>
      <c r="C3268" s="140" t="s">
        <v>20</v>
      </c>
      <c r="D3268" s="140" t="s">
        <v>11</v>
      </c>
      <c r="E3268" s="140" t="s">
        <v>12</v>
      </c>
      <c r="F3268">
        <v>9449</v>
      </c>
      <c r="G3268" s="140" t="s">
        <v>261</v>
      </c>
      <c r="H3268">
        <v>0</v>
      </c>
      <c r="I3268" s="140" t="s">
        <v>17</v>
      </c>
    </row>
    <row r="3269" spans="1:9" hidden="1" x14ac:dyDescent="0.25">
      <c r="A3269">
        <v>2023</v>
      </c>
      <c r="B3269" s="140" t="s">
        <v>109</v>
      </c>
      <c r="C3269" s="140" t="s">
        <v>20</v>
      </c>
      <c r="D3269" s="140" t="s">
        <v>11</v>
      </c>
      <c r="E3269" s="140" t="s">
        <v>12</v>
      </c>
      <c r="F3269">
        <v>8944</v>
      </c>
      <c r="G3269" s="140" t="s">
        <v>261</v>
      </c>
      <c r="H3269">
        <v>0</v>
      </c>
      <c r="I3269" s="140" t="s">
        <v>17</v>
      </c>
    </row>
    <row r="3270" spans="1:9" hidden="1" x14ac:dyDescent="0.25">
      <c r="A3270">
        <v>2024</v>
      </c>
      <c r="B3270" s="140" t="s">
        <v>109</v>
      </c>
      <c r="C3270" s="140" t="s">
        <v>20</v>
      </c>
      <c r="D3270" s="140" t="s">
        <v>11</v>
      </c>
      <c r="E3270" s="140" t="s">
        <v>12</v>
      </c>
      <c r="F3270">
        <v>9024</v>
      </c>
      <c r="G3270" s="140" t="s">
        <v>261</v>
      </c>
      <c r="H3270">
        <v>0</v>
      </c>
      <c r="I3270" s="140" t="s">
        <v>17</v>
      </c>
    </row>
    <row r="3271" spans="1:9" hidden="1" x14ac:dyDescent="0.25">
      <c r="A3271">
        <v>2025</v>
      </c>
      <c r="B3271" s="140" t="s">
        <v>109</v>
      </c>
      <c r="C3271" s="140" t="s">
        <v>20</v>
      </c>
      <c r="D3271" s="140" t="s">
        <v>11</v>
      </c>
      <c r="E3271" s="140" t="s">
        <v>12</v>
      </c>
      <c r="F3271">
        <v>9104</v>
      </c>
      <c r="G3271" s="140" t="s">
        <v>261</v>
      </c>
      <c r="H3271">
        <v>0</v>
      </c>
      <c r="I3271" s="140" t="s">
        <v>17</v>
      </c>
    </row>
    <row r="3272" spans="1:9" hidden="1" x14ac:dyDescent="0.25">
      <c r="A3272">
        <v>2026</v>
      </c>
      <c r="B3272" s="140" t="s">
        <v>109</v>
      </c>
      <c r="C3272" s="140" t="s">
        <v>20</v>
      </c>
      <c r="D3272" s="140" t="s">
        <v>11</v>
      </c>
      <c r="E3272" s="140" t="s">
        <v>12</v>
      </c>
      <c r="F3272">
        <v>9399.1149999999998</v>
      </c>
      <c r="G3272" s="140" t="s">
        <v>261</v>
      </c>
      <c r="H3272">
        <v>0</v>
      </c>
      <c r="I3272" s="140" t="s">
        <v>17</v>
      </c>
    </row>
    <row r="3273" spans="1:9" hidden="1" x14ac:dyDescent="0.25">
      <c r="A3273">
        <v>2027</v>
      </c>
      <c r="B3273" s="140" t="s">
        <v>109</v>
      </c>
      <c r="C3273" s="140" t="s">
        <v>20</v>
      </c>
      <c r="D3273" s="140" t="s">
        <v>11</v>
      </c>
      <c r="E3273" s="140" t="s">
        <v>12</v>
      </c>
      <c r="F3273">
        <v>9538.5265350000009</v>
      </c>
      <c r="G3273" s="140" t="s">
        <v>261</v>
      </c>
      <c r="H3273">
        <v>0</v>
      </c>
      <c r="I3273" s="140" t="s">
        <v>17</v>
      </c>
    </row>
    <row r="3274" spans="1:9" hidden="1" x14ac:dyDescent="0.25">
      <c r="A3274">
        <v>2028</v>
      </c>
      <c r="B3274" s="140" t="s">
        <v>109</v>
      </c>
      <c r="C3274" s="140" t="s">
        <v>20</v>
      </c>
      <c r="D3274" s="140" t="s">
        <v>11</v>
      </c>
      <c r="E3274" s="140" t="s">
        <v>12</v>
      </c>
      <c r="F3274">
        <v>9701.6712009999992</v>
      </c>
      <c r="G3274" s="140" t="s">
        <v>261</v>
      </c>
      <c r="H3274">
        <v>0</v>
      </c>
      <c r="I3274" s="140" t="s">
        <v>17</v>
      </c>
    </row>
    <row r="3275" spans="1:9" hidden="1" x14ac:dyDescent="0.25">
      <c r="A3275">
        <v>1990</v>
      </c>
      <c r="B3275" s="140" t="s">
        <v>107</v>
      </c>
      <c r="C3275" s="140" t="s">
        <v>20</v>
      </c>
      <c r="D3275" s="140" t="s">
        <v>11</v>
      </c>
      <c r="E3275" s="140" t="s">
        <v>12</v>
      </c>
      <c r="F3275">
        <v>25448</v>
      </c>
      <c r="G3275" s="140" t="s">
        <v>262</v>
      </c>
      <c r="H3275">
        <v>0</v>
      </c>
      <c r="I3275" s="140" t="s">
        <v>17</v>
      </c>
    </row>
    <row r="3276" spans="1:9" hidden="1" x14ac:dyDescent="0.25">
      <c r="A3276">
        <v>1991</v>
      </c>
      <c r="B3276" s="140" t="s">
        <v>107</v>
      </c>
      <c r="C3276" s="140" t="s">
        <v>20</v>
      </c>
      <c r="D3276" s="140" t="s">
        <v>11</v>
      </c>
      <c r="E3276" s="140" t="s">
        <v>12</v>
      </c>
      <c r="F3276">
        <v>25593</v>
      </c>
      <c r="G3276" s="140" t="s">
        <v>262</v>
      </c>
      <c r="H3276">
        <v>0</v>
      </c>
      <c r="I3276" s="140" t="s">
        <v>17</v>
      </c>
    </row>
    <row r="3277" spans="1:9" hidden="1" x14ac:dyDescent="0.25">
      <c r="A3277">
        <v>1992</v>
      </c>
      <c r="B3277" s="140" t="s">
        <v>107</v>
      </c>
      <c r="C3277" s="140" t="s">
        <v>20</v>
      </c>
      <c r="D3277" s="140" t="s">
        <v>11</v>
      </c>
      <c r="E3277" s="140" t="s">
        <v>12</v>
      </c>
      <c r="F3277">
        <v>25479</v>
      </c>
      <c r="G3277" s="140" t="s">
        <v>262</v>
      </c>
      <c r="H3277">
        <v>0</v>
      </c>
      <c r="I3277" s="140" t="s">
        <v>17</v>
      </c>
    </row>
    <row r="3278" spans="1:9" hidden="1" x14ac:dyDescent="0.25">
      <c r="A3278">
        <v>1993</v>
      </c>
      <c r="B3278" s="140" t="s">
        <v>107</v>
      </c>
      <c r="C3278" s="140" t="s">
        <v>20</v>
      </c>
      <c r="D3278" s="140" t="s">
        <v>11</v>
      </c>
      <c r="E3278" s="140" t="s">
        <v>12</v>
      </c>
      <c r="F3278">
        <v>25012</v>
      </c>
      <c r="G3278" s="140" t="s">
        <v>262</v>
      </c>
      <c r="H3278">
        <v>0</v>
      </c>
      <c r="I3278" s="140" t="s">
        <v>17</v>
      </c>
    </row>
    <row r="3279" spans="1:9" hidden="1" x14ac:dyDescent="0.25">
      <c r="A3279">
        <v>1994</v>
      </c>
      <c r="B3279" s="140" t="s">
        <v>107</v>
      </c>
      <c r="C3279" s="140" t="s">
        <v>20</v>
      </c>
      <c r="D3279" s="140" t="s">
        <v>11</v>
      </c>
      <c r="E3279" s="140" t="s">
        <v>12</v>
      </c>
      <c r="F3279">
        <v>25232</v>
      </c>
      <c r="G3279" s="140" t="s">
        <v>262</v>
      </c>
      <c r="H3279">
        <v>0</v>
      </c>
      <c r="I3279" s="140" t="s">
        <v>17</v>
      </c>
    </row>
    <row r="3280" spans="1:9" hidden="1" x14ac:dyDescent="0.25">
      <c r="A3280">
        <v>1995</v>
      </c>
      <c r="B3280" s="140" t="s">
        <v>107</v>
      </c>
      <c r="C3280" s="140" t="s">
        <v>20</v>
      </c>
      <c r="D3280" s="140" t="s">
        <v>11</v>
      </c>
      <c r="E3280" s="140" t="s">
        <v>12</v>
      </c>
      <c r="F3280">
        <v>25770</v>
      </c>
      <c r="G3280" s="140" t="s">
        <v>262</v>
      </c>
      <c r="H3280">
        <v>0</v>
      </c>
      <c r="I3280" s="140" t="s">
        <v>17</v>
      </c>
    </row>
    <row r="3281" spans="1:9" hidden="1" x14ac:dyDescent="0.25">
      <c r="A3281">
        <v>1996</v>
      </c>
      <c r="B3281" s="140" t="s">
        <v>107</v>
      </c>
      <c r="C3281" s="140" t="s">
        <v>20</v>
      </c>
      <c r="D3281" s="140" t="s">
        <v>11</v>
      </c>
      <c r="E3281" s="140" t="s">
        <v>12</v>
      </c>
      <c r="F3281">
        <v>25621</v>
      </c>
      <c r="G3281" s="140" t="s">
        <v>262</v>
      </c>
      <c r="H3281">
        <v>0</v>
      </c>
      <c r="I3281" s="140" t="s">
        <v>17</v>
      </c>
    </row>
    <row r="3282" spans="1:9" hidden="1" x14ac:dyDescent="0.25">
      <c r="A3282">
        <v>1997</v>
      </c>
      <c r="B3282" s="140" t="s">
        <v>107</v>
      </c>
      <c r="C3282" s="140" t="s">
        <v>20</v>
      </c>
      <c r="D3282" s="140" t="s">
        <v>11</v>
      </c>
      <c r="E3282" s="140" t="s">
        <v>12</v>
      </c>
      <c r="F3282">
        <v>26322</v>
      </c>
      <c r="G3282" s="140" t="s">
        <v>262</v>
      </c>
      <c r="H3282">
        <v>0</v>
      </c>
      <c r="I3282" s="140" t="s">
        <v>17</v>
      </c>
    </row>
    <row r="3283" spans="1:9" hidden="1" x14ac:dyDescent="0.25">
      <c r="A3283">
        <v>1998</v>
      </c>
      <c r="B3283" s="140" t="s">
        <v>107</v>
      </c>
      <c r="C3283" s="140" t="s">
        <v>20</v>
      </c>
      <c r="D3283" s="140" t="s">
        <v>11</v>
      </c>
      <c r="E3283" s="140" t="s">
        <v>12</v>
      </c>
      <c r="F3283">
        <v>26906</v>
      </c>
      <c r="G3283" s="140" t="s">
        <v>262</v>
      </c>
      <c r="H3283">
        <v>0</v>
      </c>
      <c r="I3283" s="140" t="s">
        <v>17</v>
      </c>
    </row>
    <row r="3284" spans="1:9" hidden="1" x14ac:dyDescent="0.25">
      <c r="A3284">
        <v>1999</v>
      </c>
      <c r="B3284" s="140" t="s">
        <v>107</v>
      </c>
      <c r="C3284" s="140" t="s">
        <v>20</v>
      </c>
      <c r="D3284" s="140" t="s">
        <v>11</v>
      </c>
      <c r="E3284" s="140" t="s">
        <v>12</v>
      </c>
      <c r="F3284">
        <v>27525</v>
      </c>
      <c r="G3284" s="140" t="s">
        <v>262</v>
      </c>
      <c r="H3284">
        <v>0</v>
      </c>
      <c r="I3284" s="140" t="s">
        <v>17</v>
      </c>
    </row>
    <row r="3285" spans="1:9" hidden="1" x14ac:dyDescent="0.25">
      <c r="A3285">
        <v>2000</v>
      </c>
      <c r="B3285" s="140" t="s">
        <v>107</v>
      </c>
      <c r="C3285" s="140" t="s">
        <v>20</v>
      </c>
      <c r="D3285" s="140" t="s">
        <v>11</v>
      </c>
      <c r="E3285" s="140" t="s">
        <v>12</v>
      </c>
      <c r="F3285">
        <v>27593</v>
      </c>
      <c r="G3285" s="140" t="s">
        <v>262</v>
      </c>
      <c r="H3285">
        <v>0</v>
      </c>
      <c r="I3285" s="140" t="s">
        <v>17</v>
      </c>
    </row>
    <row r="3286" spans="1:9" hidden="1" x14ac:dyDescent="0.25">
      <c r="A3286">
        <v>2001</v>
      </c>
      <c r="B3286" s="140" t="s">
        <v>107</v>
      </c>
      <c r="C3286" s="140" t="s">
        <v>20</v>
      </c>
      <c r="D3286" s="140" t="s">
        <v>11</v>
      </c>
      <c r="E3286" s="140" t="s">
        <v>12</v>
      </c>
      <c r="F3286">
        <v>28646</v>
      </c>
      <c r="G3286" s="140" t="s">
        <v>262</v>
      </c>
      <c r="H3286">
        <v>0</v>
      </c>
      <c r="I3286" s="140" t="s">
        <v>17</v>
      </c>
    </row>
    <row r="3287" spans="1:9" hidden="1" x14ac:dyDescent="0.25">
      <c r="A3287">
        <v>2002</v>
      </c>
      <c r="B3287" s="140" t="s">
        <v>107</v>
      </c>
      <c r="C3287" s="140" t="s">
        <v>20</v>
      </c>
      <c r="D3287" s="140" t="s">
        <v>11</v>
      </c>
      <c r="E3287" s="140" t="s">
        <v>12</v>
      </c>
      <c r="F3287">
        <v>28915</v>
      </c>
      <c r="G3287" s="140" t="s">
        <v>262</v>
      </c>
      <c r="H3287">
        <v>0</v>
      </c>
      <c r="I3287" s="140" t="s">
        <v>17</v>
      </c>
    </row>
    <row r="3288" spans="1:9" hidden="1" x14ac:dyDescent="0.25">
      <c r="A3288">
        <v>2003</v>
      </c>
      <c r="B3288" s="140" t="s">
        <v>107</v>
      </c>
      <c r="C3288" s="140" t="s">
        <v>20</v>
      </c>
      <c r="D3288" s="140" t="s">
        <v>11</v>
      </c>
      <c r="E3288" s="140" t="s">
        <v>12</v>
      </c>
      <c r="F3288">
        <v>29719</v>
      </c>
      <c r="G3288" s="140" t="s">
        <v>262</v>
      </c>
      <c r="H3288">
        <v>0</v>
      </c>
      <c r="I3288" s="140" t="s">
        <v>17</v>
      </c>
    </row>
    <row r="3289" spans="1:9" hidden="1" x14ac:dyDescent="0.25">
      <c r="A3289">
        <v>2004</v>
      </c>
      <c r="B3289" s="140" t="s">
        <v>107</v>
      </c>
      <c r="C3289" s="140" t="s">
        <v>20</v>
      </c>
      <c r="D3289" s="140" t="s">
        <v>11</v>
      </c>
      <c r="E3289" s="140" t="s">
        <v>12</v>
      </c>
      <c r="F3289">
        <v>30291</v>
      </c>
      <c r="G3289" s="140" t="s">
        <v>262</v>
      </c>
      <c r="H3289">
        <v>0</v>
      </c>
      <c r="I3289" s="140" t="s">
        <v>17</v>
      </c>
    </row>
    <row r="3290" spans="1:9" hidden="1" x14ac:dyDescent="0.25">
      <c r="A3290">
        <v>2005</v>
      </c>
      <c r="B3290" s="140" t="s">
        <v>107</v>
      </c>
      <c r="C3290" s="140" t="s">
        <v>20</v>
      </c>
      <c r="D3290" s="140" t="s">
        <v>11</v>
      </c>
      <c r="E3290" s="140" t="s">
        <v>12</v>
      </c>
      <c r="F3290">
        <v>30846</v>
      </c>
      <c r="G3290" s="140" t="s">
        <v>262</v>
      </c>
      <c r="H3290">
        <v>0</v>
      </c>
      <c r="I3290" s="140" t="s">
        <v>17</v>
      </c>
    </row>
    <row r="3291" spans="1:9" hidden="1" x14ac:dyDescent="0.25">
      <c r="A3291">
        <v>2006</v>
      </c>
      <c r="B3291" s="140" t="s">
        <v>107</v>
      </c>
      <c r="C3291" s="140" t="s">
        <v>20</v>
      </c>
      <c r="D3291" s="140" t="s">
        <v>11</v>
      </c>
      <c r="E3291" s="140" t="s">
        <v>12</v>
      </c>
      <c r="F3291">
        <v>31587</v>
      </c>
      <c r="G3291" s="140" t="s">
        <v>262</v>
      </c>
      <c r="H3291">
        <v>0</v>
      </c>
      <c r="I3291" s="140" t="s">
        <v>17</v>
      </c>
    </row>
    <row r="3292" spans="1:9" hidden="1" x14ac:dyDescent="0.25">
      <c r="A3292">
        <v>2007</v>
      </c>
      <c r="B3292" s="140" t="s">
        <v>107</v>
      </c>
      <c r="C3292" s="140" t="s">
        <v>20</v>
      </c>
      <c r="D3292" s="140" t="s">
        <v>11</v>
      </c>
      <c r="E3292" s="140" t="s">
        <v>12</v>
      </c>
      <c r="F3292">
        <v>32403</v>
      </c>
      <c r="G3292" s="140" t="s">
        <v>262</v>
      </c>
      <c r="H3292">
        <v>0</v>
      </c>
      <c r="I3292" s="140" t="s">
        <v>17</v>
      </c>
    </row>
    <row r="3293" spans="1:9" hidden="1" x14ac:dyDescent="0.25">
      <c r="A3293">
        <v>2008</v>
      </c>
      <c r="B3293" s="140" t="s">
        <v>107</v>
      </c>
      <c r="C3293" s="140" t="s">
        <v>20</v>
      </c>
      <c r="D3293" s="140" t="s">
        <v>11</v>
      </c>
      <c r="E3293" s="140" t="s">
        <v>12</v>
      </c>
      <c r="F3293">
        <v>32257</v>
      </c>
      <c r="G3293" s="140" t="s">
        <v>262</v>
      </c>
      <c r="H3293">
        <v>0</v>
      </c>
      <c r="I3293" s="140" t="s">
        <v>17</v>
      </c>
    </row>
    <row r="3294" spans="1:9" hidden="1" x14ac:dyDescent="0.25">
      <c r="A3294">
        <v>2009</v>
      </c>
      <c r="B3294" s="140" t="s">
        <v>107</v>
      </c>
      <c r="C3294" s="140" t="s">
        <v>20</v>
      </c>
      <c r="D3294" s="140" t="s">
        <v>11</v>
      </c>
      <c r="E3294" s="140" t="s">
        <v>12</v>
      </c>
      <c r="F3294">
        <v>31742</v>
      </c>
      <c r="G3294" s="140" t="s">
        <v>262</v>
      </c>
      <c r="H3294">
        <v>0</v>
      </c>
      <c r="I3294" s="140" t="s">
        <v>17</v>
      </c>
    </row>
    <row r="3295" spans="1:9" hidden="1" x14ac:dyDescent="0.25">
      <c r="A3295">
        <v>2010</v>
      </c>
      <c r="B3295" s="140" t="s">
        <v>107</v>
      </c>
      <c r="C3295" s="140" t="s">
        <v>20</v>
      </c>
      <c r="D3295" s="140" t="s">
        <v>11</v>
      </c>
      <c r="E3295" s="140" t="s">
        <v>12</v>
      </c>
      <c r="F3295">
        <v>33060</v>
      </c>
      <c r="G3295" s="140" t="s">
        <v>262</v>
      </c>
      <c r="H3295">
        <v>0</v>
      </c>
      <c r="I3295" s="140" t="s">
        <v>17</v>
      </c>
    </row>
    <row r="3296" spans="1:9" hidden="1" x14ac:dyDescent="0.25">
      <c r="A3296">
        <v>2011</v>
      </c>
      <c r="B3296" s="140" t="s">
        <v>107</v>
      </c>
      <c r="C3296" s="140" t="s">
        <v>20</v>
      </c>
      <c r="D3296" s="140" t="s">
        <v>11</v>
      </c>
      <c r="E3296" s="140" t="s">
        <v>12</v>
      </c>
      <c r="F3296">
        <v>32961</v>
      </c>
      <c r="G3296" s="140" t="s">
        <v>262</v>
      </c>
      <c r="H3296">
        <v>0</v>
      </c>
      <c r="I3296" s="140" t="s">
        <v>17</v>
      </c>
    </row>
    <row r="3297" spans="1:9" hidden="1" x14ac:dyDescent="0.25">
      <c r="A3297">
        <v>2012</v>
      </c>
      <c r="B3297" s="140" t="s">
        <v>107</v>
      </c>
      <c r="C3297" s="140" t="s">
        <v>20</v>
      </c>
      <c r="D3297" s="140" t="s">
        <v>11</v>
      </c>
      <c r="E3297" s="140" t="s">
        <v>12</v>
      </c>
      <c r="F3297">
        <v>32922</v>
      </c>
      <c r="G3297" s="140" t="s">
        <v>262</v>
      </c>
      <c r="H3297">
        <v>0</v>
      </c>
      <c r="I3297" s="140" t="s">
        <v>17</v>
      </c>
    </row>
    <row r="3298" spans="1:9" hidden="1" x14ac:dyDescent="0.25">
      <c r="A3298">
        <v>2013</v>
      </c>
      <c r="B3298" s="140" t="s">
        <v>107</v>
      </c>
      <c r="C3298" s="140" t="s">
        <v>20</v>
      </c>
      <c r="D3298" s="140" t="s">
        <v>11</v>
      </c>
      <c r="E3298" s="140" t="s">
        <v>12</v>
      </c>
      <c r="F3298">
        <v>32631</v>
      </c>
      <c r="G3298" s="140" t="s">
        <v>262</v>
      </c>
      <c r="H3298">
        <v>0</v>
      </c>
      <c r="I3298" s="140" t="s">
        <v>17</v>
      </c>
    </row>
    <row r="3299" spans="1:9" hidden="1" x14ac:dyDescent="0.25">
      <c r="A3299">
        <v>2014</v>
      </c>
      <c r="B3299" s="140" t="s">
        <v>107</v>
      </c>
      <c r="C3299" s="140" t="s">
        <v>20</v>
      </c>
      <c r="D3299" s="140" t="s">
        <v>11</v>
      </c>
      <c r="E3299" s="140" t="s">
        <v>12</v>
      </c>
      <c r="F3299">
        <v>32472</v>
      </c>
      <c r="G3299" s="140" t="s">
        <v>262</v>
      </c>
      <c r="H3299">
        <v>0</v>
      </c>
      <c r="I3299" s="140" t="s">
        <v>17</v>
      </c>
    </row>
    <row r="3300" spans="1:9" hidden="1" x14ac:dyDescent="0.25">
      <c r="A3300">
        <v>2015</v>
      </c>
      <c r="B3300" s="140" t="s">
        <v>107</v>
      </c>
      <c r="C3300" s="140" t="s">
        <v>20</v>
      </c>
      <c r="D3300" s="140" t="s">
        <v>11</v>
      </c>
      <c r="E3300" s="140" t="s">
        <v>12</v>
      </c>
      <c r="F3300">
        <v>32391</v>
      </c>
      <c r="G3300" s="140" t="s">
        <v>262</v>
      </c>
      <c r="H3300">
        <v>0</v>
      </c>
      <c r="I3300" s="140" t="s">
        <v>17</v>
      </c>
    </row>
    <row r="3301" spans="1:9" hidden="1" x14ac:dyDescent="0.25">
      <c r="A3301">
        <v>2016</v>
      </c>
      <c r="B3301" s="140" t="s">
        <v>107</v>
      </c>
      <c r="C3301" s="140" t="s">
        <v>20</v>
      </c>
      <c r="D3301" s="140" t="s">
        <v>11</v>
      </c>
      <c r="E3301" s="140" t="s">
        <v>12</v>
      </c>
      <c r="F3301">
        <v>33006</v>
      </c>
      <c r="G3301" s="140" t="s">
        <v>262</v>
      </c>
      <c r="H3301">
        <v>0</v>
      </c>
      <c r="I3301" s="140" t="s">
        <v>17</v>
      </c>
    </row>
    <row r="3302" spans="1:9" hidden="1" x14ac:dyDescent="0.25">
      <c r="A3302">
        <v>2017</v>
      </c>
      <c r="B3302" s="140" t="s">
        <v>107</v>
      </c>
      <c r="C3302" s="140" t="s">
        <v>20</v>
      </c>
      <c r="D3302" s="140" t="s">
        <v>11</v>
      </c>
      <c r="E3302" s="140" t="s">
        <v>12</v>
      </c>
      <c r="F3302">
        <v>32865</v>
      </c>
      <c r="G3302" s="140" t="s">
        <v>262</v>
      </c>
      <c r="H3302">
        <v>0</v>
      </c>
      <c r="I3302" s="140" t="s">
        <v>17</v>
      </c>
    </row>
    <row r="3303" spans="1:9" hidden="1" x14ac:dyDescent="0.25">
      <c r="A3303">
        <v>2018</v>
      </c>
      <c r="B3303" s="140" t="s">
        <v>107</v>
      </c>
      <c r="C3303" s="140" t="s">
        <v>20</v>
      </c>
      <c r="D3303" s="140" t="s">
        <v>11</v>
      </c>
      <c r="E3303" s="140" t="s">
        <v>12</v>
      </c>
      <c r="F3303">
        <v>32811</v>
      </c>
      <c r="G3303" s="140" t="s">
        <v>262</v>
      </c>
      <c r="H3303">
        <v>0</v>
      </c>
      <c r="I3303" s="140" t="s">
        <v>17</v>
      </c>
    </row>
    <row r="3304" spans="1:9" hidden="1" x14ac:dyDescent="0.25">
      <c r="A3304">
        <v>2019</v>
      </c>
      <c r="B3304" s="140" t="s">
        <v>107</v>
      </c>
      <c r="C3304" s="140" t="s">
        <v>20</v>
      </c>
      <c r="D3304" s="140" t="s">
        <v>11</v>
      </c>
      <c r="E3304" s="140" t="s">
        <v>12</v>
      </c>
      <c r="F3304">
        <v>32613</v>
      </c>
      <c r="G3304" s="140" t="s">
        <v>262</v>
      </c>
      <c r="H3304">
        <v>0</v>
      </c>
      <c r="I3304" s="140" t="s">
        <v>17</v>
      </c>
    </row>
    <row r="3305" spans="1:9" hidden="1" x14ac:dyDescent="0.25">
      <c r="A3305">
        <v>2020</v>
      </c>
      <c r="B3305" s="140" t="s">
        <v>107</v>
      </c>
      <c r="C3305" s="140" t="s">
        <v>20</v>
      </c>
      <c r="D3305" s="140" t="s">
        <v>11</v>
      </c>
      <c r="E3305" s="140" t="s">
        <v>12</v>
      </c>
      <c r="F3305">
        <v>33416</v>
      </c>
      <c r="G3305" s="140" t="s">
        <v>262</v>
      </c>
      <c r="H3305">
        <v>0</v>
      </c>
      <c r="I3305" s="140" t="s">
        <v>17</v>
      </c>
    </row>
    <row r="3306" spans="1:9" hidden="1" x14ac:dyDescent="0.25">
      <c r="A3306">
        <v>2021</v>
      </c>
      <c r="B3306" s="140" t="s">
        <v>107</v>
      </c>
      <c r="C3306" s="140" t="s">
        <v>20</v>
      </c>
      <c r="D3306" s="140" t="s">
        <v>11</v>
      </c>
      <c r="E3306" s="140" t="s">
        <v>12</v>
      </c>
      <c r="F3306">
        <v>34388</v>
      </c>
      <c r="G3306" s="140" t="s">
        <v>262</v>
      </c>
      <c r="H3306">
        <v>0</v>
      </c>
      <c r="I3306" s="140" t="s">
        <v>17</v>
      </c>
    </row>
    <row r="3307" spans="1:9" hidden="1" x14ac:dyDescent="0.25">
      <c r="A3307">
        <v>2022</v>
      </c>
      <c r="B3307" s="140" t="s">
        <v>107</v>
      </c>
      <c r="C3307" s="140" t="s">
        <v>20</v>
      </c>
      <c r="D3307" s="140" t="s">
        <v>11</v>
      </c>
      <c r="E3307" s="140" t="s">
        <v>12</v>
      </c>
      <c r="F3307">
        <v>32855</v>
      </c>
      <c r="G3307" s="140" t="s">
        <v>262</v>
      </c>
      <c r="H3307">
        <v>0</v>
      </c>
      <c r="I3307" s="140" t="s">
        <v>17</v>
      </c>
    </row>
    <row r="3308" spans="1:9" hidden="1" x14ac:dyDescent="0.25">
      <c r="A3308">
        <v>2023</v>
      </c>
      <c r="B3308" s="140" t="s">
        <v>107</v>
      </c>
      <c r="C3308" s="140" t="s">
        <v>20</v>
      </c>
      <c r="D3308" s="140" t="s">
        <v>11</v>
      </c>
      <c r="E3308" s="140" t="s">
        <v>12</v>
      </c>
      <c r="F3308">
        <v>32392</v>
      </c>
      <c r="G3308" s="140" t="s">
        <v>262</v>
      </c>
      <c r="H3308">
        <v>0</v>
      </c>
      <c r="I3308" s="140" t="s">
        <v>17</v>
      </c>
    </row>
    <row r="3309" spans="1:9" hidden="1" x14ac:dyDescent="0.25">
      <c r="A3309">
        <v>2024</v>
      </c>
      <c r="B3309" s="140" t="s">
        <v>107</v>
      </c>
      <c r="C3309" s="140" t="s">
        <v>20</v>
      </c>
      <c r="D3309" s="140" t="s">
        <v>11</v>
      </c>
      <c r="E3309" s="140" t="s">
        <v>12</v>
      </c>
      <c r="F3309">
        <v>32401</v>
      </c>
      <c r="G3309" s="140" t="s">
        <v>262</v>
      </c>
      <c r="H3309">
        <v>0</v>
      </c>
      <c r="I3309" s="140" t="s">
        <v>17</v>
      </c>
    </row>
    <row r="3310" spans="1:9" hidden="1" x14ac:dyDescent="0.25">
      <c r="A3310">
        <v>2025</v>
      </c>
      <c r="B3310" s="140" t="s">
        <v>107</v>
      </c>
      <c r="C3310" s="140" t="s">
        <v>20</v>
      </c>
      <c r="D3310" s="140" t="s">
        <v>11</v>
      </c>
      <c r="E3310" s="140" t="s">
        <v>12</v>
      </c>
      <c r="F3310">
        <v>32126</v>
      </c>
      <c r="G3310" s="140" t="s">
        <v>262</v>
      </c>
      <c r="H3310">
        <v>0</v>
      </c>
      <c r="I3310" s="140" t="s">
        <v>17</v>
      </c>
    </row>
    <row r="3311" spans="1:9" hidden="1" x14ac:dyDescent="0.25">
      <c r="A3311">
        <v>2026</v>
      </c>
      <c r="B3311" s="140" t="s">
        <v>107</v>
      </c>
      <c r="C3311" s="140" t="s">
        <v>20</v>
      </c>
      <c r="D3311" s="140" t="s">
        <v>11</v>
      </c>
      <c r="E3311" s="140" t="s">
        <v>12</v>
      </c>
      <c r="F3311">
        <v>32566.24222</v>
      </c>
      <c r="G3311" s="140" t="s">
        <v>262</v>
      </c>
      <c r="H3311">
        <v>0</v>
      </c>
      <c r="I3311" s="140" t="s">
        <v>17</v>
      </c>
    </row>
    <row r="3312" spans="1:9" hidden="1" x14ac:dyDescent="0.25">
      <c r="A3312">
        <v>2027</v>
      </c>
      <c r="B3312" s="140" t="s">
        <v>107</v>
      </c>
      <c r="C3312" s="140" t="s">
        <v>20</v>
      </c>
      <c r="D3312" s="140" t="s">
        <v>11</v>
      </c>
      <c r="E3312" s="140" t="s">
        <v>12</v>
      </c>
      <c r="F3312">
        <v>32897.85598</v>
      </c>
      <c r="G3312" s="140" t="s">
        <v>262</v>
      </c>
      <c r="H3312">
        <v>0</v>
      </c>
      <c r="I3312" s="140" t="s">
        <v>17</v>
      </c>
    </row>
    <row r="3313" spans="1:9" hidden="1" x14ac:dyDescent="0.25">
      <c r="A3313">
        <v>2028</v>
      </c>
      <c r="B3313" s="140" t="s">
        <v>107</v>
      </c>
      <c r="C3313" s="140" t="s">
        <v>20</v>
      </c>
      <c r="D3313" s="140" t="s">
        <v>11</v>
      </c>
      <c r="E3313" s="140" t="s">
        <v>12</v>
      </c>
      <c r="F3313">
        <v>33401.951179999996</v>
      </c>
      <c r="G3313" s="140" t="s">
        <v>262</v>
      </c>
      <c r="H3313">
        <v>0</v>
      </c>
      <c r="I3313" s="140" t="s">
        <v>17</v>
      </c>
    </row>
    <row r="3314" spans="1:9" hidden="1" x14ac:dyDescent="0.25">
      <c r="A3314">
        <v>1990</v>
      </c>
      <c r="B3314" s="140" t="s">
        <v>108</v>
      </c>
      <c r="C3314" s="140" t="s">
        <v>20</v>
      </c>
      <c r="D3314" s="140" t="s">
        <v>11</v>
      </c>
      <c r="E3314" s="140" t="s">
        <v>12</v>
      </c>
      <c r="F3314">
        <v>36062</v>
      </c>
      <c r="G3314" s="140" t="s">
        <v>263</v>
      </c>
      <c r="H3314">
        <v>0</v>
      </c>
      <c r="I3314" s="140" t="s">
        <v>17</v>
      </c>
    </row>
    <row r="3315" spans="1:9" hidden="1" x14ac:dyDescent="0.25">
      <c r="A3315">
        <v>1991</v>
      </c>
      <c r="B3315" s="140" t="s">
        <v>108</v>
      </c>
      <c r="C3315" s="140" t="s">
        <v>20</v>
      </c>
      <c r="D3315" s="140" t="s">
        <v>11</v>
      </c>
      <c r="E3315" s="140" t="s">
        <v>12</v>
      </c>
      <c r="F3315">
        <v>35953</v>
      </c>
      <c r="G3315" s="140" t="s">
        <v>263</v>
      </c>
      <c r="H3315">
        <v>0</v>
      </c>
      <c r="I3315" s="140" t="s">
        <v>17</v>
      </c>
    </row>
    <row r="3316" spans="1:9" hidden="1" x14ac:dyDescent="0.25">
      <c r="A3316">
        <v>1992</v>
      </c>
      <c r="B3316" s="140" t="s">
        <v>108</v>
      </c>
      <c r="C3316" s="140" t="s">
        <v>20</v>
      </c>
      <c r="D3316" s="140" t="s">
        <v>11</v>
      </c>
      <c r="E3316" s="140" t="s">
        <v>12</v>
      </c>
      <c r="F3316">
        <v>35513</v>
      </c>
      <c r="G3316" s="140" t="s">
        <v>263</v>
      </c>
      <c r="H3316">
        <v>0</v>
      </c>
      <c r="I3316" s="140" t="s">
        <v>17</v>
      </c>
    </row>
    <row r="3317" spans="1:9" hidden="1" x14ac:dyDescent="0.25">
      <c r="A3317">
        <v>1993</v>
      </c>
      <c r="B3317" s="140" t="s">
        <v>108</v>
      </c>
      <c r="C3317" s="140" t="s">
        <v>20</v>
      </c>
      <c r="D3317" s="140" t="s">
        <v>11</v>
      </c>
      <c r="E3317" s="140" t="s">
        <v>12</v>
      </c>
      <c r="F3317">
        <v>36086</v>
      </c>
      <c r="G3317" s="140" t="s">
        <v>263</v>
      </c>
      <c r="H3317">
        <v>0</v>
      </c>
      <c r="I3317" s="140" t="s">
        <v>17</v>
      </c>
    </row>
    <row r="3318" spans="1:9" hidden="1" x14ac:dyDescent="0.25">
      <c r="A3318">
        <v>1994</v>
      </c>
      <c r="B3318" s="140" t="s">
        <v>108</v>
      </c>
      <c r="C3318" s="140" t="s">
        <v>20</v>
      </c>
      <c r="D3318" s="140" t="s">
        <v>11</v>
      </c>
      <c r="E3318" s="140" t="s">
        <v>12</v>
      </c>
      <c r="F3318">
        <v>37317</v>
      </c>
      <c r="G3318" s="140" t="s">
        <v>263</v>
      </c>
      <c r="H3318">
        <v>0</v>
      </c>
      <c r="I3318" s="140" t="s">
        <v>17</v>
      </c>
    </row>
    <row r="3319" spans="1:9" hidden="1" x14ac:dyDescent="0.25">
      <c r="A3319">
        <v>1995</v>
      </c>
      <c r="B3319" s="140" t="s">
        <v>108</v>
      </c>
      <c r="C3319" s="140" t="s">
        <v>20</v>
      </c>
      <c r="D3319" s="140" t="s">
        <v>11</v>
      </c>
      <c r="E3319" s="140" t="s">
        <v>12</v>
      </c>
      <c r="F3319">
        <v>38690</v>
      </c>
      <c r="G3319" s="140" t="s">
        <v>263</v>
      </c>
      <c r="H3319">
        <v>0</v>
      </c>
      <c r="I3319" s="140" t="s">
        <v>17</v>
      </c>
    </row>
    <row r="3320" spans="1:9" hidden="1" x14ac:dyDescent="0.25">
      <c r="A3320">
        <v>1996</v>
      </c>
      <c r="B3320" s="140" t="s">
        <v>108</v>
      </c>
      <c r="C3320" s="140" t="s">
        <v>20</v>
      </c>
      <c r="D3320" s="140" t="s">
        <v>11</v>
      </c>
      <c r="E3320" s="140" t="s">
        <v>12</v>
      </c>
      <c r="F3320">
        <v>40045</v>
      </c>
      <c r="G3320" s="140" t="s">
        <v>263</v>
      </c>
      <c r="H3320">
        <v>0</v>
      </c>
      <c r="I3320" s="140" t="s">
        <v>17</v>
      </c>
    </row>
    <row r="3321" spans="1:9" hidden="1" x14ac:dyDescent="0.25">
      <c r="A3321">
        <v>1997</v>
      </c>
      <c r="B3321" s="140" t="s">
        <v>108</v>
      </c>
      <c r="C3321" s="140" t="s">
        <v>20</v>
      </c>
      <c r="D3321" s="140" t="s">
        <v>11</v>
      </c>
      <c r="E3321" s="140" t="s">
        <v>12</v>
      </c>
      <c r="F3321">
        <v>41343</v>
      </c>
      <c r="G3321" s="140" t="s">
        <v>263</v>
      </c>
      <c r="H3321">
        <v>0</v>
      </c>
      <c r="I3321" s="140" t="s">
        <v>17</v>
      </c>
    </row>
    <row r="3322" spans="1:9" hidden="1" x14ac:dyDescent="0.25">
      <c r="A3322">
        <v>1998</v>
      </c>
      <c r="B3322" s="140" t="s">
        <v>108</v>
      </c>
      <c r="C3322" s="140" t="s">
        <v>20</v>
      </c>
      <c r="D3322" s="140" t="s">
        <v>11</v>
      </c>
      <c r="E3322" s="140" t="s">
        <v>12</v>
      </c>
      <c r="F3322">
        <v>42716</v>
      </c>
      <c r="G3322" s="140" t="s">
        <v>263</v>
      </c>
      <c r="H3322">
        <v>0</v>
      </c>
      <c r="I3322" s="140" t="s">
        <v>17</v>
      </c>
    </row>
    <row r="3323" spans="1:9" hidden="1" x14ac:dyDescent="0.25">
      <c r="A3323">
        <v>1999</v>
      </c>
      <c r="B3323" s="140" t="s">
        <v>108</v>
      </c>
      <c r="C3323" s="140" t="s">
        <v>20</v>
      </c>
      <c r="D3323" s="140" t="s">
        <v>11</v>
      </c>
      <c r="E3323" s="140" t="s">
        <v>12</v>
      </c>
      <c r="F3323">
        <v>44579</v>
      </c>
      <c r="G3323" s="140" t="s">
        <v>263</v>
      </c>
      <c r="H3323">
        <v>0</v>
      </c>
      <c r="I3323" s="140" t="s">
        <v>17</v>
      </c>
    </row>
    <row r="3324" spans="1:9" hidden="1" x14ac:dyDescent="0.25">
      <c r="A3324">
        <v>2000</v>
      </c>
      <c r="B3324" s="140" t="s">
        <v>108</v>
      </c>
      <c r="C3324" s="140" t="s">
        <v>20</v>
      </c>
      <c r="D3324" s="140" t="s">
        <v>11</v>
      </c>
      <c r="E3324" s="140" t="s">
        <v>12</v>
      </c>
      <c r="F3324">
        <v>45802</v>
      </c>
      <c r="G3324" s="140" t="s">
        <v>263</v>
      </c>
      <c r="H3324">
        <v>0</v>
      </c>
      <c r="I3324" s="140" t="s">
        <v>17</v>
      </c>
    </row>
    <row r="3325" spans="1:9" hidden="1" x14ac:dyDescent="0.25">
      <c r="A3325">
        <v>2001</v>
      </c>
      <c r="B3325" s="140" t="s">
        <v>108</v>
      </c>
      <c r="C3325" s="140" t="s">
        <v>20</v>
      </c>
      <c r="D3325" s="140" t="s">
        <v>11</v>
      </c>
      <c r="E3325" s="140" t="s">
        <v>12</v>
      </c>
      <c r="F3325">
        <v>46847</v>
      </c>
      <c r="G3325" s="140" t="s">
        <v>263</v>
      </c>
      <c r="H3325">
        <v>0</v>
      </c>
      <c r="I3325" s="140" t="s">
        <v>17</v>
      </c>
    </row>
    <row r="3326" spans="1:9" hidden="1" x14ac:dyDescent="0.25">
      <c r="A3326">
        <v>2002</v>
      </c>
      <c r="B3326" s="140" t="s">
        <v>108</v>
      </c>
      <c r="C3326" s="140" t="s">
        <v>20</v>
      </c>
      <c r="D3326" s="140" t="s">
        <v>11</v>
      </c>
      <c r="E3326" s="140" t="s">
        <v>12</v>
      </c>
      <c r="F3326">
        <v>47383</v>
      </c>
      <c r="G3326" s="140" t="s">
        <v>263</v>
      </c>
      <c r="H3326">
        <v>0</v>
      </c>
      <c r="I3326" s="140" t="s">
        <v>17</v>
      </c>
    </row>
    <row r="3327" spans="1:9" hidden="1" x14ac:dyDescent="0.25">
      <c r="A3327">
        <v>2003</v>
      </c>
      <c r="B3327" s="140" t="s">
        <v>108</v>
      </c>
      <c r="C3327" s="140" t="s">
        <v>20</v>
      </c>
      <c r="D3327" s="140" t="s">
        <v>11</v>
      </c>
      <c r="E3327" s="140" t="s">
        <v>12</v>
      </c>
      <c r="F3327">
        <v>48230</v>
      </c>
      <c r="G3327" s="140" t="s">
        <v>263</v>
      </c>
      <c r="H3327">
        <v>0</v>
      </c>
      <c r="I3327" s="140" t="s">
        <v>17</v>
      </c>
    </row>
    <row r="3328" spans="1:9" hidden="1" x14ac:dyDescent="0.25">
      <c r="A3328">
        <v>2004</v>
      </c>
      <c r="B3328" s="140" t="s">
        <v>108</v>
      </c>
      <c r="C3328" s="140" t="s">
        <v>20</v>
      </c>
      <c r="D3328" s="140" t="s">
        <v>11</v>
      </c>
      <c r="E3328" s="140" t="s">
        <v>12</v>
      </c>
      <c r="F3328">
        <v>50275</v>
      </c>
      <c r="G3328" s="140" t="s">
        <v>263</v>
      </c>
      <c r="H3328">
        <v>0</v>
      </c>
      <c r="I3328" s="140" t="s">
        <v>17</v>
      </c>
    </row>
    <row r="3329" spans="1:9" hidden="1" x14ac:dyDescent="0.25">
      <c r="A3329">
        <v>2005</v>
      </c>
      <c r="B3329" s="140" t="s">
        <v>108</v>
      </c>
      <c r="C3329" s="140" t="s">
        <v>20</v>
      </c>
      <c r="D3329" s="140" t="s">
        <v>11</v>
      </c>
      <c r="E3329" s="140" t="s">
        <v>12</v>
      </c>
      <c r="F3329">
        <v>51491</v>
      </c>
      <c r="G3329" s="140" t="s">
        <v>263</v>
      </c>
      <c r="H3329">
        <v>0</v>
      </c>
      <c r="I3329" s="140" t="s">
        <v>17</v>
      </c>
    </row>
    <row r="3330" spans="1:9" hidden="1" x14ac:dyDescent="0.25">
      <c r="A3330">
        <v>2006</v>
      </c>
      <c r="B3330" s="140" t="s">
        <v>108</v>
      </c>
      <c r="C3330" s="140" t="s">
        <v>20</v>
      </c>
      <c r="D3330" s="140" t="s">
        <v>11</v>
      </c>
      <c r="E3330" s="140" t="s">
        <v>12</v>
      </c>
      <c r="F3330">
        <v>53164</v>
      </c>
      <c r="G3330" s="140" t="s">
        <v>263</v>
      </c>
      <c r="H3330">
        <v>0</v>
      </c>
      <c r="I3330" s="140" t="s">
        <v>17</v>
      </c>
    </row>
    <row r="3331" spans="1:9" hidden="1" x14ac:dyDescent="0.25">
      <c r="A3331">
        <v>2007</v>
      </c>
      <c r="B3331" s="140" t="s">
        <v>108</v>
      </c>
      <c r="C3331" s="140" t="s">
        <v>20</v>
      </c>
      <c r="D3331" s="140" t="s">
        <v>11</v>
      </c>
      <c r="E3331" s="140" t="s">
        <v>12</v>
      </c>
      <c r="F3331">
        <v>54615</v>
      </c>
      <c r="G3331" s="140" t="s">
        <v>263</v>
      </c>
      <c r="H3331">
        <v>0</v>
      </c>
      <c r="I3331" s="140" t="s">
        <v>17</v>
      </c>
    </row>
    <row r="3332" spans="1:9" hidden="1" x14ac:dyDescent="0.25">
      <c r="A3332">
        <v>2008</v>
      </c>
      <c r="B3332" s="140" t="s">
        <v>108</v>
      </c>
      <c r="C3332" s="140" t="s">
        <v>20</v>
      </c>
      <c r="D3332" s="140" t="s">
        <v>11</v>
      </c>
      <c r="E3332" s="140" t="s">
        <v>12</v>
      </c>
      <c r="F3332">
        <v>55765</v>
      </c>
      <c r="G3332" s="140" t="s">
        <v>263</v>
      </c>
      <c r="H3332">
        <v>0</v>
      </c>
      <c r="I3332" s="140" t="s">
        <v>17</v>
      </c>
    </row>
    <row r="3333" spans="1:9" hidden="1" x14ac:dyDescent="0.25">
      <c r="A3333">
        <v>2009</v>
      </c>
      <c r="B3333" s="140" t="s">
        <v>108</v>
      </c>
      <c r="C3333" s="140" t="s">
        <v>20</v>
      </c>
      <c r="D3333" s="140" t="s">
        <v>11</v>
      </c>
      <c r="E3333" s="140" t="s">
        <v>12</v>
      </c>
      <c r="F3333">
        <v>53988</v>
      </c>
      <c r="G3333" s="140" t="s">
        <v>263</v>
      </c>
      <c r="H3333">
        <v>0</v>
      </c>
      <c r="I3333" s="140" t="s">
        <v>17</v>
      </c>
    </row>
    <row r="3334" spans="1:9" hidden="1" x14ac:dyDescent="0.25">
      <c r="A3334">
        <v>2010</v>
      </c>
      <c r="B3334" s="140" t="s">
        <v>108</v>
      </c>
      <c r="C3334" s="140" t="s">
        <v>20</v>
      </c>
      <c r="D3334" s="140" t="s">
        <v>11</v>
      </c>
      <c r="E3334" s="140" t="s">
        <v>12</v>
      </c>
      <c r="F3334">
        <v>54698</v>
      </c>
      <c r="G3334" s="140" t="s">
        <v>263</v>
      </c>
      <c r="H3334">
        <v>0</v>
      </c>
      <c r="I3334" s="140" t="s">
        <v>17</v>
      </c>
    </row>
    <row r="3335" spans="1:9" hidden="1" x14ac:dyDescent="0.25">
      <c r="A3335">
        <v>2011</v>
      </c>
      <c r="B3335" s="140" t="s">
        <v>108</v>
      </c>
      <c r="C3335" s="140" t="s">
        <v>20</v>
      </c>
      <c r="D3335" s="140" t="s">
        <v>11</v>
      </c>
      <c r="E3335" s="140" t="s">
        <v>12</v>
      </c>
      <c r="F3335">
        <v>57118</v>
      </c>
      <c r="G3335" s="140" t="s">
        <v>263</v>
      </c>
      <c r="H3335">
        <v>0</v>
      </c>
      <c r="I3335" s="140" t="s">
        <v>17</v>
      </c>
    </row>
    <row r="3336" spans="1:9" hidden="1" x14ac:dyDescent="0.25">
      <c r="A3336">
        <v>2012</v>
      </c>
      <c r="B3336" s="140" t="s">
        <v>108</v>
      </c>
      <c r="C3336" s="140" t="s">
        <v>20</v>
      </c>
      <c r="D3336" s="140" t="s">
        <v>11</v>
      </c>
      <c r="E3336" s="140" t="s">
        <v>12</v>
      </c>
      <c r="F3336">
        <v>57631</v>
      </c>
      <c r="G3336" s="140" t="s">
        <v>263</v>
      </c>
      <c r="H3336">
        <v>0</v>
      </c>
      <c r="I3336" s="140" t="s">
        <v>17</v>
      </c>
    </row>
    <row r="3337" spans="1:9" hidden="1" x14ac:dyDescent="0.25">
      <c r="A3337">
        <v>2013</v>
      </c>
      <c r="B3337" s="140" t="s">
        <v>108</v>
      </c>
      <c r="C3337" s="140" t="s">
        <v>20</v>
      </c>
      <c r="D3337" s="140" t="s">
        <v>11</v>
      </c>
      <c r="E3337" s="140" t="s">
        <v>12</v>
      </c>
      <c r="F3337">
        <v>57416</v>
      </c>
      <c r="G3337" s="140" t="s">
        <v>263</v>
      </c>
      <c r="H3337">
        <v>0</v>
      </c>
      <c r="I3337" s="140" t="s">
        <v>17</v>
      </c>
    </row>
    <row r="3338" spans="1:9" hidden="1" x14ac:dyDescent="0.25">
      <c r="A3338">
        <v>2014</v>
      </c>
      <c r="B3338" s="140" t="s">
        <v>108</v>
      </c>
      <c r="C3338" s="140" t="s">
        <v>20</v>
      </c>
      <c r="D3338" s="140" t="s">
        <v>11</v>
      </c>
      <c r="E3338" s="140" t="s">
        <v>12</v>
      </c>
      <c r="F3338">
        <v>57868</v>
      </c>
      <c r="G3338" s="140" t="s">
        <v>263</v>
      </c>
      <c r="H3338">
        <v>0</v>
      </c>
      <c r="I3338" s="140" t="s">
        <v>17</v>
      </c>
    </row>
    <row r="3339" spans="1:9" hidden="1" x14ac:dyDescent="0.25">
      <c r="A3339">
        <v>2015</v>
      </c>
      <c r="B3339" s="140" t="s">
        <v>108</v>
      </c>
      <c r="C3339" s="140" t="s">
        <v>20</v>
      </c>
      <c r="D3339" s="140" t="s">
        <v>11</v>
      </c>
      <c r="E3339" s="140" t="s">
        <v>12</v>
      </c>
      <c r="F3339">
        <v>58758</v>
      </c>
      <c r="G3339" s="140" t="s">
        <v>263</v>
      </c>
      <c r="H3339">
        <v>0</v>
      </c>
      <c r="I3339" s="140" t="s">
        <v>17</v>
      </c>
    </row>
    <row r="3340" spans="1:9" hidden="1" x14ac:dyDescent="0.25">
      <c r="A3340">
        <v>2016</v>
      </c>
      <c r="B3340" s="140" t="s">
        <v>108</v>
      </c>
      <c r="C3340" s="140" t="s">
        <v>20</v>
      </c>
      <c r="D3340" s="140" t="s">
        <v>11</v>
      </c>
      <c r="E3340" s="140" t="s">
        <v>12</v>
      </c>
      <c r="F3340">
        <v>59888</v>
      </c>
      <c r="G3340" s="140" t="s">
        <v>263</v>
      </c>
      <c r="H3340">
        <v>0</v>
      </c>
      <c r="I3340" s="140" t="s">
        <v>17</v>
      </c>
    </row>
    <row r="3341" spans="1:9" hidden="1" x14ac:dyDescent="0.25">
      <c r="A3341">
        <v>2017</v>
      </c>
      <c r="B3341" s="140" t="s">
        <v>108</v>
      </c>
      <c r="C3341" s="140" t="s">
        <v>20</v>
      </c>
      <c r="D3341" s="140" t="s">
        <v>11</v>
      </c>
      <c r="E3341" s="140" t="s">
        <v>12</v>
      </c>
      <c r="F3341">
        <v>60624</v>
      </c>
      <c r="G3341" s="140" t="s">
        <v>263</v>
      </c>
      <c r="H3341">
        <v>0</v>
      </c>
      <c r="I3341" s="140" t="s">
        <v>17</v>
      </c>
    </row>
    <row r="3342" spans="1:9" hidden="1" x14ac:dyDescent="0.25">
      <c r="A3342">
        <v>2018</v>
      </c>
      <c r="B3342" s="140" t="s">
        <v>108</v>
      </c>
      <c r="C3342" s="140" t="s">
        <v>20</v>
      </c>
      <c r="D3342" s="140" t="s">
        <v>11</v>
      </c>
      <c r="E3342" s="140" t="s">
        <v>12</v>
      </c>
      <c r="F3342">
        <v>61832</v>
      </c>
      <c r="G3342" s="140" t="s">
        <v>263</v>
      </c>
      <c r="H3342">
        <v>0</v>
      </c>
      <c r="I3342" s="140" t="s">
        <v>17</v>
      </c>
    </row>
    <row r="3343" spans="1:9" hidden="1" x14ac:dyDescent="0.25">
      <c r="A3343">
        <v>2019</v>
      </c>
      <c r="B3343" s="140" t="s">
        <v>108</v>
      </c>
      <c r="C3343" s="140" t="s">
        <v>20</v>
      </c>
      <c r="D3343" s="140" t="s">
        <v>11</v>
      </c>
      <c r="E3343" s="140" t="s">
        <v>12</v>
      </c>
      <c r="F3343">
        <v>62457</v>
      </c>
      <c r="G3343" s="140" t="s">
        <v>263</v>
      </c>
      <c r="H3343">
        <v>0</v>
      </c>
      <c r="I3343" s="140" t="s">
        <v>17</v>
      </c>
    </row>
    <row r="3344" spans="1:9" hidden="1" x14ac:dyDescent="0.25">
      <c r="A3344">
        <v>2020</v>
      </c>
      <c r="B3344" s="140" t="s">
        <v>108</v>
      </c>
      <c r="C3344" s="140" t="s">
        <v>20</v>
      </c>
      <c r="D3344" s="140" t="s">
        <v>11</v>
      </c>
      <c r="E3344" s="140" t="s">
        <v>12</v>
      </c>
      <c r="F3344">
        <v>58048</v>
      </c>
      <c r="G3344" s="140" t="s">
        <v>263</v>
      </c>
      <c r="H3344">
        <v>0</v>
      </c>
      <c r="I3344" s="140" t="s">
        <v>17</v>
      </c>
    </row>
    <row r="3345" spans="1:9" hidden="1" x14ac:dyDescent="0.25">
      <c r="A3345">
        <v>2021</v>
      </c>
      <c r="B3345" s="140" t="s">
        <v>108</v>
      </c>
      <c r="C3345" s="140" t="s">
        <v>20</v>
      </c>
      <c r="D3345" s="140" t="s">
        <v>11</v>
      </c>
      <c r="E3345" s="140" t="s">
        <v>12</v>
      </c>
      <c r="F3345">
        <v>59585</v>
      </c>
      <c r="G3345" s="140" t="s">
        <v>263</v>
      </c>
      <c r="H3345">
        <v>0</v>
      </c>
      <c r="I3345" s="140" t="s">
        <v>17</v>
      </c>
    </row>
    <row r="3346" spans="1:9" hidden="1" x14ac:dyDescent="0.25">
      <c r="A3346">
        <v>2022</v>
      </c>
      <c r="B3346" s="140" t="s">
        <v>108</v>
      </c>
      <c r="C3346" s="140" t="s">
        <v>20</v>
      </c>
      <c r="D3346" s="140" t="s">
        <v>11</v>
      </c>
      <c r="E3346" s="140" t="s">
        <v>12</v>
      </c>
      <c r="F3346">
        <v>62626</v>
      </c>
      <c r="G3346" s="140" t="s">
        <v>263</v>
      </c>
      <c r="H3346">
        <v>0</v>
      </c>
      <c r="I3346" s="140" t="s">
        <v>17</v>
      </c>
    </row>
    <row r="3347" spans="1:9" hidden="1" x14ac:dyDescent="0.25">
      <c r="A3347">
        <v>2023</v>
      </c>
      <c r="B3347" s="140" t="s">
        <v>108</v>
      </c>
      <c r="C3347" s="140" t="s">
        <v>20</v>
      </c>
      <c r="D3347" s="140" t="s">
        <v>11</v>
      </c>
      <c r="E3347" s="140" t="s">
        <v>12</v>
      </c>
      <c r="F3347">
        <v>63613</v>
      </c>
      <c r="G3347" s="140" t="s">
        <v>263</v>
      </c>
      <c r="H3347">
        <v>0</v>
      </c>
      <c r="I3347" s="140" t="s">
        <v>17</v>
      </c>
    </row>
    <row r="3348" spans="1:9" hidden="1" x14ac:dyDescent="0.25">
      <c r="A3348">
        <v>2024</v>
      </c>
      <c r="B3348" s="140" t="s">
        <v>108</v>
      </c>
      <c r="C3348" s="140" t="s">
        <v>20</v>
      </c>
      <c r="D3348" s="140" t="s">
        <v>11</v>
      </c>
      <c r="E3348" s="140" t="s">
        <v>12</v>
      </c>
      <c r="F3348">
        <v>63811</v>
      </c>
      <c r="G3348" s="140" t="s">
        <v>263</v>
      </c>
      <c r="H3348">
        <v>0</v>
      </c>
      <c r="I3348" s="140" t="s">
        <v>17</v>
      </c>
    </row>
    <row r="3349" spans="1:9" hidden="1" x14ac:dyDescent="0.25">
      <c r="A3349">
        <v>2025</v>
      </c>
      <c r="B3349" s="140" t="s">
        <v>108</v>
      </c>
      <c r="C3349" s="140" t="s">
        <v>20</v>
      </c>
      <c r="D3349" s="140" t="s">
        <v>11</v>
      </c>
      <c r="E3349" s="140" t="s">
        <v>12</v>
      </c>
      <c r="F3349">
        <v>62947</v>
      </c>
      <c r="G3349" s="140" t="s">
        <v>263</v>
      </c>
      <c r="H3349">
        <v>0</v>
      </c>
      <c r="I3349" s="140" t="s">
        <v>17</v>
      </c>
    </row>
    <row r="3350" spans="1:9" hidden="1" x14ac:dyDescent="0.25">
      <c r="A3350">
        <v>2026</v>
      </c>
      <c r="B3350" s="140" t="s">
        <v>108</v>
      </c>
      <c r="C3350" s="140" t="s">
        <v>20</v>
      </c>
      <c r="D3350" s="140" t="s">
        <v>11</v>
      </c>
      <c r="E3350" s="140" t="s">
        <v>12</v>
      </c>
      <c r="F3350">
        <v>63332.834430000003</v>
      </c>
      <c r="G3350" s="140" t="s">
        <v>263</v>
      </c>
      <c r="H3350">
        <v>0</v>
      </c>
      <c r="I3350" s="140" t="s">
        <v>17</v>
      </c>
    </row>
    <row r="3351" spans="1:9" hidden="1" x14ac:dyDescent="0.25">
      <c r="A3351">
        <v>2027</v>
      </c>
      <c r="B3351" s="140" t="s">
        <v>108</v>
      </c>
      <c r="C3351" s="140" t="s">
        <v>20</v>
      </c>
      <c r="D3351" s="140" t="s">
        <v>11</v>
      </c>
      <c r="E3351" s="140" t="s">
        <v>12</v>
      </c>
      <c r="F3351">
        <v>64432.080269999999</v>
      </c>
      <c r="G3351" s="140" t="s">
        <v>263</v>
      </c>
      <c r="H3351">
        <v>0</v>
      </c>
      <c r="I3351" s="140" t="s">
        <v>17</v>
      </c>
    </row>
    <row r="3352" spans="1:9" hidden="1" x14ac:dyDescent="0.25">
      <c r="A3352">
        <v>2028</v>
      </c>
      <c r="B3352" s="140" t="s">
        <v>108</v>
      </c>
      <c r="C3352" s="140" t="s">
        <v>20</v>
      </c>
      <c r="D3352" s="140" t="s">
        <v>11</v>
      </c>
      <c r="E3352" s="140" t="s">
        <v>12</v>
      </c>
      <c r="F3352">
        <v>65452.954469999997</v>
      </c>
      <c r="G3352" s="140" t="s">
        <v>263</v>
      </c>
      <c r="H3352">
        <v>0</v>
      </c>
      <c r="I3352" s="140" t="s">
        <v>17</v>
      </c>
    </row>
    <row r="3353" spans="1:9" hidden="1" x14ac:dyDescent="0.25">
      <c r="A3353">
        <v>1990</v>
      </c>
      <c r="B3353" s="140" t="s">
        <v>117</v>
      </c>
      <c r="C3353" s="140" t="s">
        <v>20</v>
      </c>
      <c r="D3353" s="140" t="s">
        <v>11</v>
      </c>
      <c r="E3353" s="140" t="s">
        <v>12</v>
      </c>
      <c r="F3353">
        <v>2545</v>
      </c>
      <c r="G3353" s="140" t="s">
        <v>264</v>
      </c>
      <c r="H3353">
        <v>0</v>
      </c>
      <c r="I3353" s="140" t="s">
        <v>17</v>
      </c>
    </row>
    <row r="3354" spans="1:9" hidden="1" x14ac:dyDescent="0.25">
      <c r="A3354">
        <v>1991</v>
      </c>
      <c r="B3354" s="140" t="s">
        <v>117</v>
      </c>
      <c r="C3354" s="140" t="s">
        <v>20</v>
      </c>
      <c r="D3354" s="140" t="s">
        <v>11</v>
      </c>
      <c r="E3354" s="140" t="s">
        <v>12</v>
      </c>
      <c r="F3354">
        <v>2460</v>
      </c>
      <c r="G3354" s="140" t="s">
        <v>264</v>
      </c>
      <c r="H3354">
        <v>0</v>
      </c>
      <c r="I3354" s="140" t="s">
        <v>17</v>
      </c>
    </row>
    <row r="3355" spans="1:9" hidden="1" x14ac:dyDescent="0.25">
      <c r="A3355">
        <v>1992</v>
      </c>
      <c r="B3355" s="140" t="s">
        <v>117</v>
      </c>
      <c r="C3355" s="140" t="s">
        <v>20</v>
      </c>
      <c r="D3355" s="140" t="s">
        <v>11</v>
      </c>
      <c r="E3355" s="140" t="s">
        <v>12</v>
      </c>
      <c r="F3355">
        <v>2498</v>
      </c>
      <c r="G3355" s="140" t="s">
        <v>264</v>
      </c>
      <c r="H3355">
        <v>0</v>
      </c>
      <c r="I3355" s="140" t="s">
        <v>17</v>
      </c>
    </row>
    <row r="3356" spans="1:9" hidden="1" x14ac:dyDescent="0.25">
      <c r="A3356">
        <v>1993</v>
      </c>
      <c r="B3356" s="140" t="s">
        <v>117</v>
      </c>
      <c r="C3356" s="140" t="s">
        <v>20</v>
      </c>
      <c r="D3356" s="140" t="s">
        <v>11</v>
      </c>
      <c r="E3356" s="140" t="s">
        <v>12</v>
      </c>
      <c r="F3356">
        <v>2466</v>
      </c>
      <c r="G3356" s="140" t="s">
        <v>264</v>
      </c>
      <c r="H3356">
        <v>0</v>
      </c>
      <c r="I3356" s="140" t="s">
        <v>17</v>
      </c>
    </row>
    <row r="3357" spans="1:9" hidden="1" x14ac:dyDescent="0.25">
      <c r="A3357">
        <v>1994</v>
      </c>
      <c r="B3357" s="140" t="s">
        <v>117</v>
      </c>
      <c r="C3357" s="140" t="s">
        <v>20</v>
      </c>
      <c r="D3357" s="140" t="s">
        <v>11</v>
      </c>
      <c r="E3357" s="140" t="s">
        <v>12</v>
      </c>
      <c r="F3357">
        <v>2461</v>
      </c>
      <c r="G3357" s="140" t="s">
        <v>264</v>
      </c>
      <c r="H3357">
        <v>0</v>
      </c>
      <c r="I3357" s="140" t="s">
        <v>17</v>
      </c>
    </row>
    <row r="3358" spans="1:9" hidden="1" x14ac:dyDescent="0.25">
      <c r="A3358">
        <v>1995</v>
      </c>
      <c r="B3358" s="140" t="s">
        <v>117</v>
      </c>
      <c r="C3358" s="140" t="s">
        <v>20</v>
      </c>
      <c r="D3358" s="140" t="s">
        <v>11</v>
      </c>
      <c r="E3358" s="140" t="s">
        <v>12</v>
      </c>
      <c r="F3358">
        <v>2627</v>
      </c>
      <c r="G3358" s="140" t="s">
        <v>264</v>
      </c>
      <c r="H3358">
        <v>0</v>
      </c>
      <c r="I3358" s="140" t="s">
        <v>17</v>
      </c>
    </row>
    <row r="3359" spans="1:9" hidden="1" x14ac:dyDescent="0.25">
      <c r="A3359">
        <v>1996</v>
      </c>
      <c r="B3359" s="140" t="s">
        <v>117</v>
      </c>
      <c r="C3359" s="140" t="s">
        <v>20</v>
      </c>
      <c r="D3359" s="140" t="s">
        <v>11</v>
      </c>
      <c r="E3359" s="140" t="s">
        <v>12</v>
      </c>
      <c r="F3359">
        <v>2728</v>
      </c>
      <c r="G3359" s="140" t="s">
        <v>264</v>
      </c>
      <c r="H3359">
        <v>0</v>
      </c>
      <c r="I3359" s="140" t="s">
        <v>17</v>
      </c>
    </row>
    <row r="3360" spans="1:9" hidden="1" x14ac:dyDescent="0.25">
      <c r="A3360">
        <v>1997</v>
      </c>
      <c r="B3360" s="140" t="s">
        <v>117</v>
      </c>
      <c r="C3360" s="140" t="s">
        <v>20</v>
      </c>
      <c r="D3360" s="140" t="s">
        <v>11</v>
      </c>
      <c r="E3360" s="140" t="s">
        <v>12</v>
      </c>
      <c r="F3360">
        <v>2869</v>
      </c>
      <c r="G3360" s="140" t="s">
        <v>264</v>
      </c>
      <c r="H3360">
        <v>0</v>
      </c>
      <c r="I3360" s="140" t="s">
        <v>17</v>
      </c>
    </row>
    <row r="3361" spans="1:9" hidden="1" x14ac:dyDescent="0.25">
      <c r="A3361">
        <v>1998</v>
      </c>
      <c r="B3361" s="140" t="s">
        <v>117</v>
      </c>
      <c r="C3361" s="140" t="s">
        <v>20</v>
      </c>
      <c r="D3361" s="140" t="s">
        <v>11</v>
      </c>
      <c r="E3361" s="140" t="s">
        <v>12</v>
      </c>
      <c r="F3361">
        <v>3066</v>
      </c>
      <c r="G3361" s="140" t="s">
        <v>264</v>
      </c>
      <c r="H3361">
        <v>0</v>
      </c>
      <c r="I3361" s="140" t="s">
        <v>17</v>
      </c>
    </row>
    <row r="3362" spans="1:9" hidden="1" x14ac:dyDescent="0.25">
      <c r="A3362">
        <v>1999</v>
      </c>
      <c r="B3362" s="140" t="s">
        <v>117</v>
      </c>
      <c r="C3362" s="140" t="s">
        <v>20</v>
      </c>
      <c r="D3362" s="140" t="s">
        <v>11</v>
      </c>
      <c r="E3362" s="140" t="s">
        <v>12</v>
      </c>
      <c r="F3362">
        <v>3297</v>
      </c>
      <c r="G3362" s="140" t="s">
        <v>264</v>
      </c>
      <c r="H3362">
        <v>0</v>
      </c>
      <c r="I3362" s="140" t="s">
        <v>17</v>
      </c>
    </row>
    <row r="3363" spans="1:9" hidden="1" x14ac:dyDescent="0.25">
      <c r="A3363">
        <v>2000</v>
      </c>
      <c r="B3363" s="140" t="s">
        <v>117</v>
      </c>
      <c r="C3363" s="140" t="s">
        <v>20</v>
      </c>
      <c r="D3363" s="140" t="s">
        <v>11</v>
      </c>
      <c r="E3363" s="140" t="s">
        <v>12</v>
      </c>
      <c r="F3363">
        <v>3451</v>
      </c>
      <c r="G3363" s="140" t="s">
        <v>264</v>
      </c>
      <c r="H3363">
        <v>0</v>
      </c>
      <c r="I3363" s="140" t="s">
        <v>17</v>
      </c>
    </row>
    <row r="3364" spans="1:9" hidden="1" x14ac:dyDescent="0.25">
      <c r="A3364">
        <v>2001</v>
      </c>
      <c r="B3364" s="140" t="s">
        <v>117</v>
      </c>
      <c r="C3364" s="140" t="s">
        <v>20</v>
      </c>
      <c r="D3364" s="140" t="s">
        <v>11</v>
      </c>
      <c r="E3364" s="140" t="s">
        <v>12</v>
      </c>
      <c r="F3364">
        <v>3731</v>
      </c>
      <c r="G3364" s="140" t="s">
        <v>264</v>
      </c>
      <c r="H3364">
        <v>0</v>
      </c>
      <c r="I3364" s="140" t="s">
        <v>17</v>
      </c>
    </row>
    <row r="3365" spans="1:9" hidden="1" x14ac:dyDescent="0.25">
      <c r="A3365">
        <v>2002</v>
      </c>
      <c r="B3365" s="140" t="s">
        <v>117</v>
      </c>
      <c r="C3365" s="140" t="s">
        <v>20</v>
      </c>
      <c r="D3365" s="140" t="s">
        <v>11</v>
      </c>
      <c r="E3365" s="140" t="s">
        <v>12</v>
      </c>
      <c r="F3365">
        <v>3901</v>
      </c>
      <c r="G3365" s="140" t="s">
        <v>264</v>
      </c>
      <c r="H3365">
        <v>0</v>
      </c>
      <c r="I3365" s="140" t="s">
        <v>17</v>
      </c>
    </row>
    <row r="3366" spans="1:9" hidden="1" x14ac:dyDescent="0.25">
      <c r="A3366">
        <v>2003</v>
      </c>
      <c r="B3366" s="140" t="s">
        <v>117</v>
      </c>
      <c r="C3366" s="140" t="s">
        <v>20</v>
      </c>
      <c r="D3366" s="140" t="s">
        <v>11</v>
      </c>
      <c r="E3366" s="140" t="s">
        <v>12</v>
      </c>
      <c r="F3366">
        <v>4176</v>
      </c>
      <c r="G3366" s="140" t="s">
        <v>264</v>
      </c>
      <c r="H3366">
        <v>0</v>
      </c>
      <c r="I3366" s="140" t="s">
        <v>17</v>
      </c>
    </row>
    <row r="3367" spans="1:9" hidden="1" x14ac:dyDescent="0.25">
      <c r="A3367">
        <v>2004</v>
      </c>
      <c r="B3367" s="140" t="s">
        <v>117</v>
      </c>
      <c r="C3367" s="140" t="s">
        <v>20</v>
      </c>
      <c r="D3367" s="140" t="s">
        <v>11</v>
      </c>
      <c r="E3367" s="140" t="s">
        <v>12</v>
      </c>
      <c r="F3367">
        <v>4428</v>
      </c>
      <c r="G3367" s="140" t="s">
        <v>264</v>
      </c>
      <c r="H3367">
        <v>0</v>
      </c>
      <c r="I3367" s="140" t="s">
        <v>17</v>
      </c>
    </row>
    <row r="3368" spans="1:9" hidden="1" x14ac:dyDescent="0.25">
      <c r="A3368">
        <v>2005</v>
      </c>
      <c r="B3368" s="140" t="s">
        <v>117</v>
      </c>
      <c r="C3368" s="140" t="s">
        <v>20</v>
      </c>
      <c r="D3368" s="140" t="s">
        <v>11</v>
      </c>
      <c r="E3368" s="140" t="s">
        <v>12</v>
      </c>
      <c r="F3368">
        <v>4589</v>
      </c>
      <c r="G3368" s="140" t="s">
        <v>264</v>
      </c>
      <c r="H3368">
        <v>0</v>
      </c>
      <c r="I3368" s="140" t="s">
        <v>17</v>
      </c>
    </row>
    <row r="3369" spans="1:9" hidden="1" x14ac:dyDescent="0.25">
      <c r="A3369">
        <v>2006</v>
      </c>
      <c r="B3369" s="140" t="s">
        <v>117</v>
      </c>
      <c r="C3369" s="140" t="s">
        <v>20</v>
      </c>
      <c r="D3369" s="140" t="s">
        <v>11</v>
      </c>
      <c r="E3369" s="140" t="s">
        <v>12</v>
      </c>
      <c r="F3369">
        <v>4707</v>
      </c>
      <c r="G3369" s="140" t="s">
        <v>264</v>
      </c>
      <c r="H3369">
        <v>0</v>
      </c>
      <c r="I3369" s="140" t="s">
        <v>17</v>
      </c>
    </row>
    <row r="3370" spans="1:9" hidden="1" x14ac:dyDescent="0.25">
      <c r="A3370">
        <v>2007</v>
      </c>
      <c r="B3370" s="140" t="s">
        <v>117</v>
      </c>
      <c r="C3370" s="140" t="s">
        <v>20</v>
      </c>
      <c r="D3370" s="140" t="s">
        <v>11</v>
      </c>
      <c r="E3370" s="140" t="s">
        <v>12</v>
      </c>
      <c r="F3370">
        <v>4938</v>
      </c>
      <c r="G3370" s="140" t="s">
        <v>264</v>
      </c>
      <c r="H3370">
        <v>0</v>
      </c>
      <c r="I3370" s="140" t="s">
        <v>17</v>
      </c>
    </row>
    <row r="3371" spans="1:9" hidden="1" x14ac:dyDescent="0.25">
      <c r="A3371">
        <v>2008</v>
      </c>
      <c r="B3371" s="140" t="s">
        <v>117</v>
      </c>
      <c r="C3371" s="140" t="s">
        <v>20</v>
      </c>
      <c r="D3371" s="140" t="s">
        <v>11</v>
      </c>
      <c r="E3371" s="140" t="s">
        <v>12</v>
      </c>
      <c r="F3371">
        <v>4925</v>
      </c>
      <c r="G3371" s="140" t="s">
        <v>264</v>
      </c>
      <c r="H3371">
        <v>0</v>
      </c>
      <c r="I3371" s="140" t="s">
        <v>17</v>
      </c>
    </row>
    <row r="3372" spans="1:9" hidden="1" x14ac:dyDescent="0.25">
      <c r="A3372">
        <v>2009</v>
      </c>
      <c r="B3372" s="140" t="s">
        <v>117</v>
      </c>
      <c r="C3372" s="140" t="s">
        <v>20</v>
      </c>
      <c r="D3372" s="140" t="s">
        <v>11</v>
      </c>
      <c r="E3372" s="140" t="s">
        <v>12</v>
      </c>
      <c r="F3372">
        <v>5163</v>
      </c>
      <c r="G3372" s="140" t="s">
        <v>264</v>
      </c>
      <c r="H3372">
        <v>0</v>
      </c>
      <c r="I3372" s="140" t="s">
        <v>17</v>
      </c>
    </row>
    <row r="3373" spans="1:9" hidden="1" x14ac:dyDescent="0.25">
      <c r="A3373">
        <v>2010</v>
      </c>
      <c r="B3373" s="140" t="s">
        <v>117</v>
      </c>
      <c r="C3373" s="140" t="s">
        <v>20</v>
      </c>
      <c r="D3373" s="140" t="s">
        <v>11</v>
      </c>
      <c r="E3373" s="140" t="s">
        <v>12</v>
      </c>
      <c r="F3373">
        <v>4462</v>
      </c>
      <c r="G3373" s="140" t="s">
        <v>264</v>
      </c>
      <c r="H3373">
        <v>0</v>
      </c>
      <c r="I3373" s="140" t="s">
        <v>17</v>
      </c>
    </row>
    <row r="3374" spans="1:9" hidden="1" x14ac:dyDescent="0.25">
      <c r="A3374">
        <v>2011</v>
      </c>
      <c r="B3374" s="140" t="s">
        <v>117</v>
      </c>
      <c r="C3374" s="140" t="s">
        <v>20</v>
      </c>
      <c r="D3374" s="140" t="s">
        <v>11</v>
      </c>
      <c r="E3374" s="140" t="s">
        <v>12</v>
      </c>
      <c r="F3374">
        <v>4403</v>
      </c>
      <c r="G3374" s="140" t="s">
        <v>264</v>
      </c>
      <c r="H3374">
        <v>0</v>
      </c>
      <c r="I3374" s="140" t="s">
        <v>17</v>
      </c>
    </row>
    <row r="3375" spans="1:9" hidden="1" x14ac:dyDescent="0.25">
      <c r="A3375">
        <v>2012</v>
      </c>
      <c r="B3375" s="140" t="s">
        <v>117</v>
      </c>
      <c r="C3375" s="140" t="s">
        <v>20</v>
      </c>
      <c r="D3375" s="140" t="s">
        <v>11</v>
      </c>
      <c r="E3375" s="140" t="s">
        <v>12</v>
      </c>
      <c r="F3375">
        <v>4403</v>
      </c>
      <c r="G3375" s="140" t="s">
        <v>264</v>
      </c>
      <c r="H3375">
        <v>0</v>
      </c>
      <c r="I3375" s="140" t="s">
        <v>17</v>
      </c>
    </row>
    <row r="3376" spans="1:9" hidden="1" x14ac:dyDescent="0.25">
      <c r="A3376">
        <v>2013</v>
      </c>
      <c r="B3376" s="140" t="s">
        <v>117</v>
      </c>
      <c r="C3376" s="140" t="s">
        <v>20</v>
      </c>
      <c r="D3376" s="140" t="s">
        <v>11</v>
      </c>
      <c r="E3376" s="140" t="s">
        <v>12</v>
      </c>
      <c r="F3376">
        <v>4303</v>
      </c>
      <c r="G3376" s="140" t="s">
        <v>264</v>
      </c>
      <c r="H3376">
        <v>0</v>
      </c>
      <c r="I3376" s="140" t="s">
        <v>17</v>
      </c>
    </row>
    <row r="3377" spans="1:9" hidden="1" x14ac:dyDescent="0.25">
      <c r="A3377">
        <v>2014</v>
      </c>
      <c r="B3377" s="140" t="s">
        <v>117</v>
      </c>
      <c r="C3377" s="140" t="s">
        <v>20</v>
      </c>
      <c r="D3377" s="140" t="s">
        <v>11</v>
      </c>
      <c r="E3377" s="140" t="s">
        <v>12</v>
      </c>
      <c r="F3377">
        <v>4372</v>
      </c>
      <c r="G3377" s="140" t="s">
        <v>264</v>
      </c>
      <c r="H3377">
        <v>0</v>
      </c>
      <c r="I3377" s="140" t="s">
        <v>17</v>
      </c>
    </row>
    <row r="3378" spans="1:9" hidden="1" x14ac:dyDescent="0.25">
      <c r="A3378">
        <v>2015</v>
      </c>
      <c r="B3378" s="140" t="s">
        <v>117</v>
      </c>
      <c r="C3378" s="140" t="s">
        <v>20</v>
      </c>
      <c r="D3378" s="140" t="s">
        <v>11</v>
      </c>
      <c r="E3378" s="140" t="s">
        <v>12</v>
      </c>
      <c r="F3378">
        <v>4244</v>
      </c>
      <c r="G3378" s="140" t="s">
        <v>264</v>
      </c>
      <c r="H3378">
        <v>0</v>
      </c>
      <c r="I3378" s="140" t="s">
        <v>17</v>
      </c>
    </row>
    <row r="3379" spans="1:9" hidden="1" x14ac:dyDescent="0.25">
      <c r="A3379">
        <v>2016</v>
      </c>
      <c r="B3379" s="140" t="s">
        <v>117</v>
      </c>
      <c r="C3379" s="140" t="s">
        <v>20</v>
      </c>
      <c r="D3379" s="140" t="s">
        <v>11</v>
      </c>
      <c r="E3379" s="140" t="s">
        <v>12</v>
      </c>
      <c r="F3379">
        <v>4332</v>
      </c>
      <c r="G3379" s="140" t="s">
        <v>264</v>
      </c>
      <c r="H3379">
        <v>0</v>
      </c>
      <c r="I3379" s="140" t="s">
        <v>17</v>
      </c>
    </row>
    <row r="3380" spans="1:9" hidden="1" x14ac:dyDescent="0.25">
      <c r="A3380">
        <v>2017</v>
      </c>
      <c r="B3380" s="140" t="s">
        <v>117</v>
      </c>
      <c r="C3380" s="140" t="s">
        <v>20</v>
      </c>
      <c r="D3380" s="140" t="s">
        <v>11</v>
      </c>
      <c r="E3380" s="140" t="s">
        <v>12</v>
      </c>
      <c r="F3380">
        <v>4466</v>
      </c>
      <c r="G3380" s="140" t="s">
        <v>264</v>
      </c>
      <c r="H3380">
        <v>0</v>
      </c>
      <c r="I3380" s="140" t="s">
        <v>17</v>
      </c>
    </row>
    <row r="3381" spans="1:9" hidden="1" x14ac:dyDescent="0.25">
      <c r="A3381">
        <v>2018</v>
      </c>
      <c r="B3381" s="140" t="s">
        <v>117</v>
      </c>
      <c r="C3381" s="140" t="s">
        <v>20</v>
      </c>
      <c r="D3381" s="140" t="s">
        <v>11</v>
      </c>
      <c r="E3381" s="140" t="s">
        <v>12</v>
      </c>
      <c r="F3381">
        <v>4260</v>
      </c>
      <c r="G3381" s="140" t="s">
        <v>264</v>
      </c>
      <c r="H3381">
        <v>0</v>
      </c>
      <c r="I3381" s="140" t="s">
        <v>17</v>
      </c>
    </row>
    <row r="3382" spans="1:9" hidden="1" x14ac:dyDescent="0.25">
      <c r="A3382">
        <v>2019</v>
      </c>
      <c r="B3382" s="140" t="s">
        <v>117</v>
      </c>
      <c r="C3382" s="140" t="s">
        <v>20</v>
      </c>
      <c r="D3382" s="140" t="s">
        <v>11</v>
      </c>
      <c r="E3382" s="140" t="s">
        <v>12</v>
      </c>
      <c r="F3382">
        <v>4298</v>
      </c>
      <c r="G3382" s="140" t="s">
        <v>264</v>
      </c>
      <c r="H3382">
        <v>0</v>
      </c>
      <c r="I3382" s="140" t="s">
        <v>17</v>
      </c>
    </row>
    <row r="3383" spans="1:9" hidden="1" x14ac:dyDescent="0.25">
      <c r="A3383">
        <v>2020</v>
      </c>
      <c r="B3383" s="140" t="s">
        <v>117</v>
      </c>
      <c r="C3383" s="140" t="s">
        <v>20</v>
      </c>
      <c r="D3383" s="140" t="s">
        <v>11</v>
      </c>
      <c r="E3383" s="140" t="s">
        <v>12</v>
      </c>
      <c r="F3383">
        <v>4336</v>
      </c>
      <c r="G3383" s="140" t="s">
        <v>264</v>
      </c>
      <c r="H3383">
        <v>0</v>
      </c>
      <c r="I3383" s="140" t="s">
        <v>17</v>
      </c>
    </row>
    <row r="3384" spans="1:9" hidden="1" x14ac:dyDescent="0.25">
      <c r="A3384">
        <v>2021</v>
      </c>
      <c r="B3384" s="140" t="s">
        <v>117</v>
      </c>
      <c r="C3384" s="140" t="s">
        <v>20</v>
      </c>
      <c r="D3384" s="140" t="s">
        <v>11</v>
      </c>
      <c r="E3384" s="140" t="s">
        <v>12</v>
      </c>
      <c r="F3384">
        <v>4198</v>
      </c>
      <c r="G3384" s="140" t="s">
        <v>264</v>
      </c>
      <c r="H3384">
        <v>0</v>
      </c>
      <c r="I3384" s="140" t="s">
        <v>17</v>
      </c>
    </row>
    <row r="3385" spans="1:9" hidden="1" x14ac:dyDescent="0.25">
      <c r="A3385">
        <v>2022</v>
      </c>
      <c r="B3385" s="140" t="s">
        <v>117</v>
      </c>
      <c r="C3385" s="140" t="s">
        <v>20</v>
      </c>
      <c r="D3385" s="140" t="s">
        <v>11</v>
      </c>
      <c r="E3385" s="140" t="s">
        <v>12</v>
      </c>
      <c r="F3385">
        <v>4296</v>
      </c>
      <c r="G3385" s="140" t="s">
        <v>264</v>
      </c>
      <c r="H3385">
        <v>0</v>
      </c>
      <c r="I3385" s="140" t="s">
        <v>17</v>
      </c>
    </row>
    <row r="3386" spans="1:9" hidden="1" x14ac:dyDescent="0.25">
      <c r="A3386">
        <v>2023</v>
      </c>
      <c r="B3386" s="140" t="s">
        <v>117</v>
      </c>
      <c r="C3386" s="140" t="s">
        <v>20</v>
      </c>
      <c r="D3386" s="140" t="s">
        <v>11</v>
      </c>
      <c r="E3386" s="140" t="s">
        <v>12</v>
      </c>
      <c r="F3386">
        <v>4073</v>
      </c>
      <c r="G3386" s="140" t="s">
        <v>264</v>
      </c>
      <c r="H3386">
        <v>0</v>
      </c>
      <c r="I3386" s="140" t="s">
        <v>17</v>
      </c>
    </row>
    <row r="3387" spans="1:9" hidden="1" x14ac:dyDescent="0.25">
      <c r="A3387">
        <v>2024</v>
      </c>
      <c r="B3387" s="140" t="s">
        <v>117</v>
      </c>
      <c r="C3387" s="140" t="s">
        <v>20</v>
      </c>
      <c r="D3387" s="140" t="s">
        <v>11</v>
      </c>
      <c r="E3387" s="140" t="s">
        <v>12</v>
      </c>
      <c r="F3387">
        <v>4170</v>
      </c>
      <c r="G3387" s="140" t="s">
        <v>264</v>
      </c>
      <c r="H3387">
        <v>0</v>
      </c>
      <c r="I3387" s="140" t="s">
        <v>17</v>
      </c>
    </row>
    <row r="3388" spans="1:9" hidden="1" x14ac:dyDescent="0.25">
      <c r="A3388">
        <v>2025</v>
      </c>
      <c r="B3388" s="140" t="s">
        <v>117</v>
      </c>
      <c r="C3388" s="140" t="s">
        <v>20</v>
      </c>
      <c r="D3388" s="140" t="s">
        <v>11</v>
      </c>
      <c r="E3388" s="140" t="s">
        <v>12</v>
      </c>
      <c r="F3388">
        <v>4157</v>
      </c>
      <c r="G3388" s="140" t="s">
        <v>264</v>
      </c>
      <c r="H3388">
        <v>0</v>
      </c>
      <c r="I3388" s="140" t="s">
        <v>17</v>
      </c>
    </row>
    <row r="3389" spans="1:9" hidden="1" x14ac:dyDescent="0.25">
      <c r="A3389">
        <v>2026</v>
      </c>
      <c r="B3389" s="140" t="s">
        <v>117</v>
      </c>
      <c r="C3389" s="140" t="s">
        <v>20</v>
      </c>
      <c r="D3389" s="140" t="s">
        <v>11</v>
      </c>
      <c r="E3389" s="140" t="s">
        <v>12</v>
      </c>
      <c r="F3389">
        <v>4198.57</v>
      </c>
      <c r="G3389" s="140" t="s">
        <v>264</v>
      </c>
      <c r="H3389">
        <v>0</v>
      </c>
      <c r="I3389" s="140" t="s">
        <v>17</v>
      </c>
    </row>
    <row r="3390" spans="1:9" hidden="1" x14ac:dyDescent="0.25">
      <c r="A3390">
        <v>2027</v>
      </c>
      <c r="B3390" s="140" t="s">
        <v>117</v>
      </c>
      <c r="C3390" s="140" t="s">
        <v>20</v>
      </c>
      <c r="D3390" s="140" t="s">
        <v>11</v>
      </c>
      <c r="E3390" s="140" t="s">
        <v>12</v>
      </c>
      <c r="F3390">
        <v>4240.5556999999999</v>
      </c>
      <c r="G3390" s="140" t="s">
        <v>264</v>
      </c>
      <c r="H3390">
        <v>0</v>
      </c>
      <c r="I3390" s="140" t="s">
        <v>17</v>
      </c>
    </row>
    <row r="3391" spans="1:9" hidden="1" x14ac:dyDescent="0.25">
      <c r="A3391">
        <v>2028</v>
      </c>
      <c r="B3391" s="140" t="s">
        <v>117</v>
      </c>
      <c r="C3391" s="140" t="s">
        <v>20</v>
      </c>
      <c r="D3391" s="140" t="s">
        <v>11</v>
      </c>
      <c r="E3391" s="140" t="s">
        <v>12</v>
      </c>
      <c r="F3391">
        <v>4282.9612569999999</v>
      </c>
      <c r="G3391" s="140" t="s">
        <v>264</v>
      </c>
      <c r="H3391">
        <v>0</v>
      </c>
      <c r="I3391" s="140" t="s">
        <v>17</v>
      </c>
    </row>
    <row r="3392" spans="1:9" hidden="1" x14ac:dyDescent="0.25">
      <c r="A3392">
        <v>1990</v>
      </c>
      <c r="B3392" s="140" t="s">
        <v>103</v>
      </c>
      <c r="C3392" s="140" t="s">
        <v>245</v>
      </c>
      <c r="D3392" s="140" t="s">
        <v>11</v>
      </c>
      <c r="E3392" s="140" t="s">
        <v>104</v>
      </c>
      <c r="F3392">
        <v>27825.044010000001</v>
      </c>
      <c r="G3392" s="140" t="s">
        <v>269</v>
      </c>
      <c r="H3392">
        <v>0</v>
      </c>
      <c r="I3392" s="140" t="s">
        <v>17</v>
      </c>
    </row>
    <row r="3393" spans="1:9" hidden="1" x14ac:dyDescent="0.25">
      <c r="A3393">
        <v>1991</v>
      </c>
      <c r="B3393" s="140" t="s">
        <v>103</v>
      </c>
      <c r="C3393" s="140" t="s">
        <v>245</v>
      </c>
      <c r="D3393" s="140" t="s">
        <v>11</v>
      </c>
      <c r="E3393" s="140" t="s">
        <v>104</v>
      </c>
      <c r="F3393">
        <v>27941.880430000001</v>
      </c>
      <c r="G3393" s="140" t="s">
        <v>269</v>
      </c>
      <c r="H3393">
        <v>0</v>
      </c>
      <c r="I3393" s="140" t="s">
        <v>17</v>
      </c>
    </row>
    <row r="3394" spans="1:9" hidden="1" x14ac:dyDescent="0.25">
      <c r="A3394">
        <v>1992</v>
      </c>
      <c r="B3394" s="140" t="s">
        <v>103</v>
      </c>
      <c r="C3394" s="140" t="s">
        <v>245</v>
      </c>
      <c r="D3394" s="140" t="s">
        <v>11</v>
      </c>
      <c r="E3394" s="140" t="s">
        <v>104</v>
      </c>
      <c r="F3394">
        <v>26727.378980000001</v>
      </c>
      <c r="G3394" s="140" t="s">
        <v>269</v>
      </c>
      <c r="H3394">
        <v>0</v>
      </c>
      <c r="I3394" s="140" t="s">
        <v>17</v>
      </c>
    </row>
    <row r="3395" spans="1:9" hidden="1" x14ac:dyDescent="0.25">
      <c r="A3395">
        <v>1993</v>
      </c>
      <c r="B3395" s="140" t="s">
        <v>103</v>
      </c>
      <c r="C3395" s="140" t="s">
        <v>245</v>
      </c>
      <c r="D3395" s="140" t="s">
        <v>11</v>
      </c>
      <c r="E3395" s="140" t="s">
        <v>104</v>
      </c>
      <c r="F3395">
        <v>25057.676749999999</v>
      </c>
      <c r="G3395" s="140" t="s">
        <v>269</v>
      </c>
      <c r="H3395">
        <v>0</v>
      </c>
      <c r="I3395" s="140" t="s">
        <v>17</v>
      </c>
    </row>
    <row r="3396" spans="1:9" hidden="1" x14ac:dyDescent="0.25">
      <c r="A3396">
        <v>1994</v>
      </c>
      <c r="B3396" s="140" t="s">
        <v>103</v>
      </c>
      <c r="C3396" s="140" t="s">
        <v>245</v>
      </c>
      <c r="D3396" s="140" t="s">
        <v>11</v>
      </c>
      <c r="E3396" s="140" t="s">
        <v>104</v>
      </c>
      <c r="F3396">
        <v>24938.345010000001</v>
      </c>
      <c r="G3396" s="140" t="s">
        <v>269</v>
      </c>
      <c r="H3396">
        <v>0</v>
      </c>
      <c r="I3396" s="140" t="s">
        <v>17</v>
      </c>
    </row>
    <row r="3397" spans="1:9" hidden="1" x14ac:dyDescent="0.25">
      <c r="A3397">
        <v>1995</v>
      </c>
      <c r="B3397" s="140" t="s">
        <v>103</v>
      </c>
      <c r="C3397" s="140" t="s">
        <v>245</v>
      </c>
      <c r="D3397" s="140" t="s">
        <v>11</v>
      </c>
      <c r="E3397" s="140" t="s">
        <v>104</v>
      </c>
      <c r="F3397">
        <v>25881.193589999999</v>
      </c>
      <c r="G3397" s="140" t="s">
        <v>269</v>
      </c>
      <c r="H3397">
        <v>0</v>
      </c>
      <c r="I3397" s="140" t="s">
        <v>17</v>
      </c>
    </row>
    <row r="3398" spans="1:9" hidden="1" x14ac:dyDescent="0.25">
      <c r="A3398">
        <v>1996</v>
      </c>
      <c r="B3398" s="140" t="s">
        <v>103</v>
      </c>
      <c r="C3398" s="140" t="s">
        <v>245</v>
      </c>
      <c r="D3398" s="140" t="s">
        <v>11</v>
      </c>
      <c r="E3398" s="140" t="s">
        <v>104</v>
      </c>
      <c r="F3398">
        <v>26378.06682</v>
      </c>
      <c r="G3398" s="140" t="s">
        <v>269</v>
      </c>
      <c r="H3398">
        <v>0</v>
      </c>
      <c r="I3398" s="140" t="s">
        <v>17</v>
      </c>
    </row>
    <row r="3399" spans="1:9" hidden="1" x14ac:dyDescent="0.25">
      <c r="A3399">
        <v>1997</v>
      </c>
      <c r="B3399" s="140" t="s">
        <v>103</v>
      </c>
      <c r="C3399" s="140" t="s">
        <v>245</v>
      </c>
      <c r="D3399" s="140" t="s">
        <v>11</v>
      </c>
      <c r="E3399" s="140" t="s">
        <v>104</v>
      </c>
      <c r="F3399">
        <v>26943.642240000001</v>
      </c>
      <c r="G3399" s="140" t="s">
        <v>269</v>
      </c>
      <c r="H3399">
        <v>0</v>
      </c>
      <c r="I3399" s="140" t="s">
        <v>17</v>
      </c>
    </row>
    <row r="3400" spans="1:9" hidden="1" x14ac:dyDescent="0.25">
      <c r="A3400">
        <v>1998</v>
      </c>
      <c r="B3400" s="140" t="s">
        <v>103</v>
      </c>
      <c r="C3400" s="140" t="s">
        <v>245</v>
      </c>
      <c r="D3400" s="140" t="s">
        <v>11</v>
      </c>
      <c r="E3400" s="140" t="s">
        <v>104</v>
      </c>
      <c r="F3400">
        <v>28082.391019999999</v>
      </c>
      <c r="G3400" s="140" t="s">
        <v>269</v>
      </c>
      <c r="H3400">
        <v>0</v>
      </c>
      <c r="I3400" s="140" t="s">
        <v>17</v>
      </c>
    </row>
    <row r="3401" spans="1:9" hidden="1" x14ac:dyDescent="0.25">
      <c r="A3401">
        <v>1999</v>
      </c>
      <c r="B3401" s="140" t="s">
        <v>103</v>
      </c>
      <c r="C3401" s="140" t="s">
        <v>245</v>
      </c>
      <c r="D3401" s="140" t="s">
        <v>11</v>
      </c>
      <c r="E3401" s="140" t="s">
        <v>104</v>
      </c>
      <c r="F3401">
        <v>28364.464619999999</v>
      </c>
      <c r="G3401" s="140" t="s">
        <v>269</v>
      </c>
      <c r="H3401">
        <v>0</v>
      </c>
      <c r="I3401" s="140" t="s">
        <v>17</v>
      </c>
    </row>
    <row r="3402" spans="1:9" hidden="1" x14ac:dyDescent="0.25">
      <c r="A3402">
        <v>2000</v>
      </c>
      <c r="B3402" s="140" t="s">
        <v>103</v>
      </c>
      <c r="C3402" s="140" t="s">
        <v>245</v>
      </c>
      <c r="D3402" s="140" t="s">
        <v>11</v>
      </c>
      <c r="E3402" s="140" t="s">
        <v>104</v>
      </c>
      <c r="F3402">
        <v>29084.543460000001</v>
      </c>
      <c r="G3402" s="140" t="s">
        <v>269</v>
      </c>
      <c r="H3402">
        <v>0</v>
      </c>
      <c r="I3402" s="140" t="s">
        <v>17</v>
      </c>
    </row>
    <row r="3403" spans="1:9" hidden="1" x14ac:dyDescent="0.25">
      <c r="A3403">
        <v>2001</v>
      </c>
      <c r="B3403" s="140" t="s">
        <v>103</v>
      </c>
      <c r="C3403" s="140" t="s">
        <v>245</v>
      </c>
      <c r="D3403" s="140" t="s">
        <v>11</v>
      </c>
      <c r="E3403" s="140" t="s">
        <v>104</v>
      </c>
      <c r="F3403">
        <v>28448.85269</v>
      </c>
      <c r="G3403" s="140" t="s">
        <v>269</v>
      </c>
      <c r="H3403">
        <v>0</v>
      </c>
      <c r="I3403" s="140" t="s">
        <v>17</v>
      </c>
    </row>
    <row r="3404" spans="1:9" hidden="1" x14ac:dyDescent="0.25">
      <c r="A3404">
        <v>2002</v>
      </c>
      <c r="B3404" s="140" t="s">
        <v>103</v>
      </c>
      <c r="C3404" s="140" t="s">
        <v>245</v>
      </c>
      <c r="D3404" s="140" t="s">
        <v>11</v>
      </c>
      <c r="E3404" s="140" t="s">
        <v>104</v>
      </c>
      <c r="F3404">
        <v>29074.154920000001</v>
      </c>
      <c r="G3404" s="140" t="s">
        <v>269</v>
      </c>
      <c r="H3404">
        <v>0</v>
      </c>
      <c r="I3404" s="140" t="s">
        <v>17</v>
      </c>
    </row>
    <row r="3405" spans="1:9" hidden="1" x14ac:dyDescent="0.25">
      <c r="A3405">
        <v>2003</v>
      </c>
      <c r="B3405" s="140" t="s">
        <v>103</v>
      </c>
      <c r="C3405" s="140" t="s">
        <v>245</v>
      </c>
      <c r="D3405" s="140" t="s">
        <v>11</v>
      </c>
      <c r="E3405" s="140" t="s">
        <v>104</v>
      </c>
      <c r="F3405">
        <v>29619.52447</v>
      </c>
      <c r="G3405" s="140" t="s">
        <v>269</v>
      </c>
      <c r="H3405">
        <v>0</v>
      </c>
      <c r="I3405" s="140" t="s">
        <v>17</v>
      </c>
    </row>
    <row r="3406" spans="1:9" hidden="1" x14ac:dyDescent="0.25">
      <c r="A3406">
        <v>2004</v>
      </c>
      <c r="B3406" s="140" t="s">
        <v>103</v>
      </c>
      <c r="C3406" s="140" t="s">
        <v>245</v>
      </c>
      <c r="D3406" s="140" t="s">
        <v>11</v>
      </c>
      <c r="E3406" s="140" t="s">
        <v>104</v>
      </c>
      <c r="F3406">
        <v>30244.34692</v>
      </c>
      <c r="G3406" s="140" t="s">
        <v>269</v>
      </c>
      <c r="H3406">
        <v>0</v>
      </c>
      <c r="I3406" s="140" t="s">
        <v>17</v>
      </c>
    </row>
    <row r="3407" spans="1:9" hidden="1" x14ac:dyDescent="0.25">
      <c r="A3407">
        <v>2005</v>
      </c>
      <c r="B3407" s="140" t="s">
        <v>103</v>
      </c>
      <c r="C3407" s="140" t="s">
        <v>245</v>
      </c>
      <c r="D3407" s="140" t="s">
        <v>11</v>
      </c>
      <c r="E3407" s="140" t="s">
        <v>104</v>
      </c>
      <c r="F3407">
        <v>30969.406879999999</v>
      </c>
      <c r="G3407" s="140" t="s">
        <v>269</v>
      </c>
      <c r="H3407">
        <v>0</v>
      </c>
      <c r="I3407" s="140" t="s">
        <v>17</v>
      </c>
    </row>
    <row r="3408" spans="1:9" hidden="1" x14ac:dyDescent="0.25">
      <c r="A3408">
        <v>2006</v>
      </c>
      <c r="B3408" s="140" t="s">
        <v>103</v>
      </c>
      <c r="C3408" s="140" t="s">
        <v>245</v>
      </c>
      <c r="D3408" s="140" t="s">
        <v>11</v>
      </c>
      <c r="E3408" s="140" t="s">
        <v>104</v>
      </c>
      <c r="F3408">
        <v>31199.401590000001</v>
      </c>
      <c r="G3408" s="140" t="s">
        <v>269</v>
      </c>
      <c r="H3408">
        <v>0</v>
      </c>
      <c r="I3408" s="140" t="s">
        <v>17</v>
      </c>
    </row>
    <row r="3409" spans="1:9" hidden="1" x14ac:dyDescent="0.25">
      <c r="A3409">
        <v>2007</v>
      </c>
      <c r="B3409" s="140" t="s">
        <v>103</v>
      </c>
      <c r="C3409" s="140" t="s">
        <v>245</v>
      </c>
      <c r="D3409" s="140" t="s">
        <v>11</v>
      </c>
      <c r="E3409" s="140" t="s">
        <v>104</v>
      </c>
      <c r="F3409">
        <v>31583.891919999998</v>
      </c>
      <c r="G3409" s="140" t="s">
        <v>269</v>
      </c>
      <c r="H3409">
        <v>0</v>
      </c>
      <c r="I3409" s="140" t="s">
        <v>17</v>
      </c>
    </row>
    <row r="3410" spans="1:9" hidden="1" x14ac:dyDescent="0.25">
      <c r="A3410">
        <v>2008</v>
      </c>
      <c r="B3410" s="140" t="s">
        <v>103</v>
      </c>
      <c r="C3410" s="140" t="s">
        <v>245</v>
      </c>
      <c r="D3410" s="140" t="s">
        <v>11</v>
      </c>
      <c r="E3410" s="140" t="s">
        <v>104</v>
      </c>
      <c r="F3410">
        <v>32365.36218</v>
      </c>
      <c r="G3410" s="140" t="s">
        <v>269</v>
      </c>
      <c r="H3410">
        <v>0</v>
      </c>
      <c r="I3410" s="140" t="s">
        <v>17</v>
      </c>
    </row>
    <row r="3411" spans="1:9" hidden="1" x14ac:dyDescent="0.25">
      <c r="A3411">
        <v>2009</v>
      </c>
      <c r="B3411" s="140" t="s">
        <v>103</v>
      </c>
      <c r="C3411" s="140" t="s">
        <v>245</v>
      </c>
      <c r="D3411" s="140" t="s">
        <v>11</v>
      </c>
      <c r="E3411" s="140" t="s">
        <v>104</v>
      </c>
      <c r="F3411">
        <v>32546.450779999999</v>
      </c>
      <c r="G3411" s="140" t="s">
        <v>269</v>
      </c>
      <c r="H3411">
        <v>0</v>
      </c>
      <c r="I3411" s="140" t="s">
        <v>17</v>
      </c>
    </row>
    <row r="3412" spans="1:9" hidden="1" x14ac:dyDescent="0.25">
      <c r="A3412">
        <v>2010</v>
      </c>
      <c r="B3412" s="140" t="s">
        <v>103</v>
      </c>
      <c r="C3412" s="140" t="s">
        <v>245</v>
      </c>
      <c r="D3412" s="140" t="s">
        <v>11</v>
      </c>
      <c r="E3412" s="140" t="s">
        <v>104</v>
      </c>
      <c r="F3412">
        <v>32710.78559</v>
      </c>
      <c r="G3412" s="140" t="s">
        <v>269</v>
      </c>
      <c r="H3412">
        <v>0</v>
      </c>
      <c r="I3412" s="140" t="s">
        <v>17</v>
      </c>
    </row>
    <row r="3413" spans="1:9" hidden="1" x14ac:dyDescent="0.25">
      <c r="A3413">
        <v>2011</v>
      </c>
      <c r="B3413" s="140" t="s">
        <v>103</v>
      </c>
      <c r="C3413" s="140" t="s">
        <v>245</v>
      </c>
      <c r="D3413" s="140" t="s">
        <v>11</v>
      </c>
      <c r="E3413" s="140" t="s">
        <v>104</v>
      </c>
      <c r="F3413">
        <v>33146.306140000001</v>
      </c>
      <c r="G3413" s="140" t="s">
        <v>269</v>
      </c>
      <c r="H3413">
        <v>0</v>
      </c>
      <c r="I3413" s="140" t="s">
        <v>17</v>
      </c>
    </row>
    <row r="3414" spans="1:9" hidden="1" x14ac:dyDescent="0.25">
      <c r="A3414">
        <v>2012</v>
      </c>
      <c r="B3414" s="140" t="s">
        <v>103</v>
      </c>
      <c r="C3414" s="140" t="s">
        <v>245</v>
      </c>
      <c r="D3414" s="140" t="s">
        <v>11</v>
      </c>
      <c r="E3414" s="140" t="s">
        <v>104</v>
      </c>
      <c r="F3414">
        <v>33419.309260000002</v>
      </c>
      <c r="G3414" s="140" t="s">
        <v>269</v>
      </c>
      <c r="H3414">
        <v>0</v>
      </c>
      <c r="I3414" s="140" t="s">
        <v>17</v>
      </c>
    </row>
    <row r="3415" spans="1:9" hidden="1" x14ac:dyDescent="0.25">
      <c r="A3415">
        <v>2013</v>
      </c>
      <c r="B3415" s="140" t="s">
        <v>103</v>
      </c>
      <c r="C3415" s="140" t="s">
        <v>245</v>
      </c>
      <c r="D3415" s="140" t="s">
        <v>11</v>
      </c>
      <c r="E3415" s="140" t="s">
        <v>104</v>
      </c>
      <c r="F3415">
        <v>33405.680710000001</v>
      </c>
      <c r="G3415" s="140" t="s">
        <v>269</v>
      </c>
      <c r="H3415">
        <v>0</v>
      </c>
      <c r="I3415" s="140" t="s">
        <v>17</v>
      </c>
    </row>
    <row r="3416" spans="1:9" hidden="1" x14ac:dyDescent="0.25">
      <c r="A3416">
        <v>2014</v>
      </c>
      <c r="B3416" s="140" t="s">
        <v>103</v>
      </c>
      <c r="C3416" s="140" t="s">
        <v>245</v>
      </c>
      <c r="D3416" s="140" t="s">
        <v>11</v>
      </c>
      <c r="E3416" s="140" t="s">
        <v>104</v>
      </c>
      <c r="F3416">
        <v>33150.808340000003</v>
      </c>
      <c r="G3416" s="140" t="s">
        <v>269</v>
      </c>
      <c r="H3416">
        <v>0</v>
      </c>
      <c r="I3416" s="140" t="s">
        <v>17</v>
      </c>
    </row>
    <row r="3417" spans="1:9" hidden="1" x14ac:dyDescent="0.25">
      <c r="A3417">
        <v>2015</v>
      </c>
      <c r="B3417" s="140" t="s">
        <v>103</v>
      </c>
      <c r="C3417" s="140" t="s">
        <v>245</v>
      </c>
      <c r="D3417" s="140" t="s">
        <v>11</v>
      </c>
      <c r="E3417" s="140" t="s">
        <v>104</v>
      </c>
      <c r="F3417">
        <v>34350</v>
      </c>
      <c r="G3417" s="140" t="s">
        <v>269</v>
      </c>
      <c r="H3417">
        <v>0</v>
      </c>
      <c r="I3417" s="140" t="s">
        <v>17</v>
      </c>
    </row>
    <row r="3418" spans="1:9" hidden="1" x14ac:dyDescent="0.25">
      <c r="A3418">
        <v>2016</v>
      </c>
      <c r="B3418" s="140" t="s">
        <v>103</v>
      </c>
      <c r="C3418" s="140" t="s">
        <v>245</v>
      </c>
      <c r="D3418" s="140" t="s">
        <v>11</v>
      </c>
      <c r="E3418" s="140" t="s">
        <v>104</v>
      </c>
      <c r="F3418">
        <v>35327</v>
      </c>
      <c r="G3418" s="140" t="s">
        <v>269</v>
      </c>
      <c r="H3418">
        <v>0</v>
      </c>
      <c r="I3418" s="140" t="s">
        <v>17</v>
      </c>
    </row>
    <row r="3419" spans="1:9" hidden="1" x14ac:dyDescent="0.25">
      <c r="A3419">
        <v>2017</v>
      </c>
      <c r="B3419" s="140" t="s">
        <v>103</v>
      </c>
      <c r="C3419" s="140" t="s">
        <v>245</v>
      </c>
      <c r="D3419" s="140" t="s">
        <v>11</v>
      </c>
      <c r="E3419" s="140" t="s">
        <v>104</v>
      </c>
      <c r="F3419">
        <v>35571.502079999998</v>
      </c>
      <c r="G3419" s="140" t="s">
        <v>269</v>
      </c>
      <c r="H3419">
        <v>0</v>
      </c>
      <c r="I3419" s="140" t="s">
        <v>17</v>
      </c>
    </row>
    <row r="3420" spans="1:9" hidden="1" x14ac:dyDescent="0.25">
      <c r="A3420">
        <v>2018</v>
      </c>
      <c r="B3420" s="140" t="s">
        <v>103</v>
      </c>
      <c r="C3420" s="140" t="s">
        <v>245</v>
      </c>
      <c r="D3420" s="140" t="s">
        <v>11</v>
      </c>
      <c r="E3420" s="140" t="s">
        <v>104</v>
      </c>
      <c r="F3420">
        <v>36478.7984</v>
      </c>
      <c r="G3420" s="140" t="s">
        <v>269</v>
      </c>
      <c r="H3420">
        <v>0</v>
      </c>
      <c r="I3420" s="140" t="s">
        <v>17</v>
      </c>
    </row>
    <row r="3421" spans="1:9" hidden="1" x14ac:dyDescent="0.25">
      <c r="A3421">
        <v>2019</v>
      </c>
      <c r="B3421" s="140" t="s">
        <v>103</v>
      </c>
      <c r="C3421" s="140" t="s">
        <v>245</v>
      </c>
      <c r="D3421" s="140" t="s">
        <v>11</v>
      </c>
      <c r="E3421" s="140" t="s">
        <v>104</v>
      </c>
      <c r="F3421">
        <v>37432.950060000003</v>
      </c>
      <c r="G3421" s="140" t="s">
        <v>269</v>
      </c>
      <c r="H3421">
        <v>0</v>
      </c>
      <c r="I3421" s="140" t="s">
        <v>17</v>
      </c>
    </row>
    <row r="3422" spans="1:9" hidden="1" x14ac:dyDescent="0.25">
      <c r="A3422">
        <v>2020</v>
      </c>
      <c r="B3422" s="140" t="s">
        <v>103</v>
      </c>
      <c r="C3422" s="140" t="s">
        <v>245</v>
      </c>
      <c r="D3422" s="140" t="s">
        <v>11</v>
      </c>
      <c r="E3422" s="140" t="s">
        <v>104</v>
      </c>
      <c r="F3422">
        <v>37380.99798</v>
      </c>
      <c r="G3422" s="140" t="s">
        <v>269</v>
      </c>
      <c r="H3422">
        <v>0</v>
      </c>
      <c r="I3422" s="140" t="s">
        <v>17</v>
      </c>
    </row>
    <row r="3423" spans="1:9" hidden="1" x14ac:dyDescent="0.25">
      <c r="A3423">
        <v>2021</v>
      </c>
      <c r="B3423" s="140" t="s">
        <v>103</v>
      </c>
      <c r="C3423" s="140" t="s">
        <v>245</v>
      </c>
      <c r="D3423" s="140" t="s">
        <v>11</v>
      </c>
      <c r="E3423" s="140" t="s">
        <v>104</v>
      </c>
      <c r="F3423">
        <v>38948.685640000003</v>
      </c>
      <c r="G3423" s="140" t="s">
        <v>269</v>
      </c>
      <c r="H3423">
        <v>0</v>
      </c>
      <c r="I3423" s="140" t="s">
        <v>17</v>
      </c>
    </row>
    <row r="3424" spans="1:9" hidden="1" x14ac:dyDescent="0.25">
      <c r="A3424">
        <v>2022</v>
      </c>
      <c r="B3424" s="140" t="s">
        <v>103</v>
      </c>
      <c r="C3424" s="140" t="s">
        <v>245</v>
      </c>
      <c r="D3424" s="140" t="s">
        <v>11</v>
      </c>
      <c r="E3424" s="140" t="s">
        <v>104</v>
      </c>
      <c r="F3424">
        <v>38765.728179999998</v>
      </c>
      <c r="G3424" s="140" t="s">
        <v>269</v>
      </c>
      <c r="H3424">
        <v>0</v>
      </c>
      <c r="I3424" s="140" t="s">
        <v>17</v>
      </c>
    </row>
    <row r="3425" spans="1:9" hidden="1" x14ac:dyDescent="0.25">
      <c r="A3425">
        <v>2023</v>
      </c>
      <c r="B3425" s="140" t="s">
        <v>103</v>
      </c>
      <c r="C3425" s="140" t="s">
        <v>245</v>
      </c>
      <c r="D3425" s="140" t="s">
        <v>11</v>
      </c>
      <c r="E3425" s="140" t="s">
        <v>104</v>
      </c>
      <c r="F3425">
        <v>40985.558340000003</v>
      </c>
      <c r="G3425" s="140" t="s">
        <v>269</v>
      </c>
      <c r="H3425">
        <v>0</v>
      </c>
      <c r="I3425" s="140" t="s">
        <v>17</v>
      </c>
    </row>
    <row r="3426" spans="1:9" hidden="1" x14ac:dyDescent="0.25">
      <c r="A3426">
        <v>2024</v>
      </c>
      <c r="B3426" s="140" t="s">
        <v>103</v>
      </c>
      <c r="C3426" s="140" t="s">
        <v>245</v>
      </c>
      <c r="D3426" s="140" t="s">
        <v>11</v>
      </c>
      <c r="E3426" s="140" t="s">
        <v>104</v>
      </c>
      <c r="F3426">
        <v>41506.526380000003</v>
      </c>
      <c r="G3426" s="140" t="s">
        <v>269</v>
      </c>
      <c r="H3426">
        <v>0</v>
      </c>
      <c r="I3426" s="140" t="s">
        <v>17</v>
      </c>
    </row>
    <row r="3427" spans="1:9" hidden="1" x14ac:dyDescent="0.25">
      <c r="A3427">
        <v>2025</v>
      </c>
      <c r="B3427" s="140" t="s">
        <v>103</v>
      </c>
      <c r="C3427" s="140" t="s">
        <v>245</v>
      </c>
      <c r="D3427" s="140" t="s">
        <v>11</v>
      </c>
      <c r="E3427" s="140" t="s">
        <v>104</v>
      </c>
      <c r="F3427">
        <v>41714.439639999997</v>
      </c>
      <c r="G3427" s="140" t="s">
        <v>269</v>
      </c>
      <c r="H3427">
        <v>0</v>
      </c>
      <c r="I3427" s="140" t="s">
        <v>17</v>
      </c>
    </row>
    <row r="3428" spans="1:9" hidden="1" x14ac:dyDescent="0.25">
      <c r="A3428">
        <v>2026</v>
      </c>
      <c r="B3428" s="140" t="s">
        <v>103</v>
      </c>
      <c r="C3428" s="140" t="s">
        <v>245</v>
      </c>
      <c r="D3428" s="140" t="s">
        <v>11</v>
      </c>
      <c r="E3428" s="140" t="s">
        <v>104</v>
      </c>
      <c r="F3428">
        <v>41426.824610000003</v>
      </c>
      <c r="G3428" s="140" t="s">
        <v>269</v>
      </c>
      <c r="H3428">
        <v>0</v>
      </c>
      <c r="I3428" s="140" t="s">
        <v>17</v>
      </c>
    </row>
    <row r="3429" spans="1:9" hidden="1" x14ac:dyDescent="0.25">
      <c r="A3429">
        <v>2027</v>
      </c>
      <c r="B3429" s="140" t="s">
        <v>103</v>
      </c>
      <c r="C3429" s="140" t="s">
        <v>245</v>
      </c>
      <c r="D3429" s="140" t="s">
        <v>11</v>
      </c>
      <c r="E3429" s="140" t="s">
        <v>104</v>
      </c>
      <c r="F3429">
        <v>41456.157879999999</v>
      </c>
      <c r="G3429" s="140" t="s">
        <v>269</v>
      </c>
      <c r="H3429">
        <v>0</v>
      </c>
      <c r="I3429" s="140" t="s">
        <v>17</v>
      </c>
    </row>
    <row r="3430" spans="1:9" hidden="1" x14ac:dyDescent="0.25">
      <c r="A3430">
        <v>2028</v>
      </c>
      <c r="B3430" s="140" t="s">
        <v>103</v>
      </c>
      <c r="C3430" s="140" t="s">
        <v>245</v>
      </c>
      <c r="D3430" s="140" t="s">
        <v>11</v>
      </c>
      <c r="E3430" s="140" t="s">
        <v>104</v>
      </c>
      <c r="F3430">
        <v>41511.850960000003</v>
      </c>
      <c r="G3430" s="140" t="s">
        <v>269</v>
      </c>
      <c r="H3430">
        <v>0</v>
      </c>
      <c r="I3430" s="140" t="s">
        <v>17</v>
      </c>
    </row>
    <row r="3431" spans="1:9" hidden="1" x14ac:dyDescent="0.25">
      <c r="A3431">
        <v>1990</v>
      </c>
      <c r="B3431" s="140" t="s">
        <v>116</v>
      </c>
      <c r="C3431" s="140" t="s">
        <v>19</v>
      </c>
      <c r="D3431" s="140" t="s">
        <v>11</v>
      </c>
      <c r="E3431" s="140" t="s">
        <v>12</v>
      </c>
      <c r="F3431">
        <v>45530</v>
      </c>
      <c r="G3431" s="140" t="s">
        <v>270</v>
      </c>
      <c r="H3431">
        <v>0</v>
      </c>
      <c r="I3431" s="140" t="s">
        <v>17</v>
      </c>
    </row>
    <row r="3432" spans="1:9" hidden="1" x14ac:dyDescent="0.25">
      <c r="A3432">
        <v>1991</v>
      </c>
      <c r="B3432" s="140" t="s">
        <v>116</v>
      </c>
      <c r="C3432" s="140" t="s">
        <v>19</v>
      </c>
      <c r="D3432" s="140" t="s">
        <v>11</v>
      </c>
      <c r="E3432" s="140" t="s">
        <v>12</v>
      </c>
      <c r="F3432">
        <v>46210</v>
      </c>
      <c r="G3432" s="140" t="s">
        <v>270</v>
      </c>
      <c r="H3432">
        <v>0</v>
      </c>
      <c r="I3432" s="140" t="s">
        <v>17</v>
      </c>
    </row>
    <row r="3433" spans="1:9" hidden="1" x14ac:dyDescent="0.25">
      <c r="A3433">
        <v>1992</v>
      </c>
      <c r="B3433" s="140" t="s">
        <v>116</v>
      </c>
      <c r="C3433" s="140" t="s">
        <v>19</v>
      </c>
      <c r="D3433" s="140" t="s">
        <v>11</v>
      </c>
      <c r="E3433" s="140" t="s">
        <v>12</v>
      </c>
      <c r="F3433">
        <v>45791</v>
      </c>
      <c r="G3433" s="140" t="s">
        <v>270</v>
      </c>
      <c r="H3433">
        <v>0</v>
      </c>
      <c r="I3433" s="140" t="s">
        <v>17</v>
      </c>
    </row>
    <row r="3434" spans="1:9" hidden="1" x14ac:dyDescent="0.25">
      <c r="A3434">
        <v>1993</v>
      </c>
      <c r="B3434" s="140" t="s">
        <v>116</v>
      </c>
      <c r="C3434" s="140" t="s">
        <v>19</v>
      </c>
      <c r="D3434" s="140" t="s">
        <v>11</v>
      </c>
      <c r="E3434" s="140" t="s">
        <v>12</v>
      </c>
      <c r="F3434">
        <v>46168</v>
      </c>
      <c r="G3434" s="140" t="s">
        <v>270</v>
      </c>
      <c r="H3434">
        <v>0</v>
      </c>
      <c r="I3434" s="140" t="s">
        <v>17</v>
      </c>
    </row>
    <row r="3435" spans="1:9" hidden="1" x14ac:dyDescent="0.25">
      <c r="A3435">
        <v>1994</v>
      </c>
      <c r="B3435" s="140" t="s">
        <v>116</v>
      </c>
      <c r="C3435" s="140" t="s">
        <v>19</v>
      </c>
      <c r="D3435" s="140" t="s">
        <v>11</v>
      </c>
      <c r="E3435" s="140" t="s">
        <v>12</v>
      </c>
      <c r="F3435">
        <v>47689</v>
      </c>
      <c r="G3435" s="140" t="s">
        <v>270</v>
      </c>
      <c r="H3435">
        <v>0</v>
      </c>
      <c r="I3435" s="140" t="s">
        <v>17</v>
      </c>
    </row>
    <row r="3436" spans="1:9" hidden="1" x14ac:dyDescent="0.25">
      <c r="A3436">
        <v>1995</v>
      </c>
      <c r="B3436" s="140" t="s">
        <v>116</v>
      </c>
      <c r="C3436" s="140" t="s">
        <v>19</v>
      </c>
      <c r="D3436" s="140" t="s">
        <v>11</v>
      </c>
      <c r="E3436" s="140" t="s">
        <v>12</v>
      </c>
      <c r="F3436">
        <v>50215</v>
      </c>
      <c r="G3436" s="140" t="s">
        <v>270</v>
      </c>
      <c r="H3436">
        <v>0</v>
      </c>
      <c r="I3436" s="140" t="s">
        <v>17</v>
      </c>
    </row>
    <row r="3437" spans="1:9" hidden="1" x14ac:dyDescent="0.25">
      <c r="A3437">
        <v>1996</v>
      </c>
      <c r="B3437" s="140" t="s">
        <v>116</v>
      </c>
      <c r="C3437" s="140" t="s">
        <v>19</v>
      </c>
      <c r="D3437" s="140" t="s">
        <v>11</v>
      </c>
      <c r="E3437" s="140" t="s">
        <v>12</v>
      </c>
      <c r="F3437">
        <v>52615</v>
      </c>
      <c r="G3437" s="140" t="s">
        <v>270</v>
      </c>
      <c r="H3437">
        <v>0</v>
      </c>
      <c r="I3437" s="140" t="s">
        <v>17</v>
      </c>
    </row>
    <row r="3438" spans="1:9" hidden="1" x14ac:dyDescent="0.25">
      <c r="A3438">
        <v>1997</v>
      </c>
      <c r="B3438" s="140" t="s">
        <v>116</v>
      </c>
      <c r="C3438" s="140" t="s">
        <v>19</v>
      </c>
      <c r="D3438" s="140" t="s">
        <v>11</v>
      </c>
      <c r="E3438" s="140" t="s">
        <v>12</v>
      </c>
      <c r="F3438">
        <v>55503</v>
      </c>
      <c r="G3438" s="140" t="s">
        <v>270</v>
      </c>
      <c r="H3438">
        <v>0</v>
      </c>
      <c r="I3438" s="140" t="s">
        <v>17</v>
      </c>
    </row>
    <row r="3439" spans="1:9" hidden="1" x14ac:dyDescent="0.25">
      <c r="A3439">
        <v>1998</v>
      </c>
      <c r="B3439" s="140" t="s">
        <v>116</v>
      </c>
      <c r="C3439" s="140" t="s">
        <v>19</v>
      </c>
      <c r="D3439" s="140" t="s">
        <v>11</v>
      </c>
      <c r="E3439" s="140" t="s">
        <v>12</v>
      </c>
      <c r="F3439">
        <v>59133</v>
      </c>
      <c r="G3439" s="140" t="s">
        <v>270</v>
      </c>
      <c r="H3439">
        <v>0</v>
      </c>
      <c r="I3439" s="140" t="s">
        <v>17</v>
      </c>
    </row>
    <row r="3440" spans="1:9" hidden="1" x14ac:dyDescent="0.25">
      <c r="A3440">
        <v>1999</v>
      </c>
      <c r="B3440" s="140" t="s">
        <v>116</v>
      </c>
      <c r="C3440" s="140" t="s">
        <v>19</v>
      </c>
      <c r="D3440" s="140" t="s">
        <v>11</v>
      </c>
      <c r="E3440" s="140" t="s">
        <v>12</v>
      </c>
      <c r="F3440">
        <v>61984</v>
      </c>
      <c r="G3440" s="140" t="s">
        <v>270</v>
      </c>
      <c r="H3440">
        <v>0</v>
      </c>
      <c r="I3440" s="140" t="s">
        <v>17</v>
      </c>
    </row>
    <row r="3441" spans="1:9" hidden="1" x14ac:dyDescent="0.25">
      <c r="A3441">
        <v>2000</v>
      </c>
      <c r="B3441" s="140" t="s">
        <v>116</v>
      </c>
      <c r="C3441" s="140" t="s">
        <v>19</v>
      </c>
      <c r="D3441" s="140" t="s">
        <v>11</v>
      </c>
      <c r="E3441" s="140" t="s">
        <v>12</v>
      </c>
      <c r="F3441">
        <v>65208</v>
      </c>
      <c r="G3441" s="140" t="s">
        <v>270</v>
      </c>
      <c r="H3441">
        <v>0</v>
      </c>
      <c r="I3441" s="140" t="s">
        <v>17</v>
      </c>
    </row>
    <row r="3442" spans="1:9" hidden="1" x14ac:dyDescent="0.25">
      <c r="A3442">
        <v>2001</v>
      </c>
      <c r="B3442" s="140" t="s">
        <v>116</v>
      </c>
      <c r="C3442" s="140" t="s">
        <v>19</v>
      </c>
      <c r="D3442" s="140" t="s">
        <v>11</v>
      </c>
      <c r="E3442" s="140" t="s">
        <v>12</v>
      </c>
      <c r="F3442">
        <v>68763</v>
      </c>
      <c r="G3442" s="140" t="s">
        <v>270</v>
      </c>
      <c r="H3442">
        <v>0</v>
      </c>
      <c r="I3442" s="140" t="s">
        <v>17</v>
      </c>
    </row>
    <row r="3443" spans="1:9" hidden="1" x14ac:dyDescent="0.25">
      <c r="A3443">
        <v>2002</v>
      </c>
      <c r="B3443" s="140" t="s">
        <v>116</v>
      </c>
      <c r="C3443" s="140" t="s">
        <v>19</v>
      </c>
      <c r="D3443" s="140" t="s">
        <v>11</v>
      </c>
      <c r="E3443" s="140" t="s">
        <v>12</v>
      </c>
      <c r="F3443">
        <v>71639</v>
      </c>
      <c r="G3443" s="140" t="s">
        <v>270</v>
      </c>
      <c r="H3443">
        <v>0</v>
      </c>
      <c r="I3443" s="140" t="s">
        <v>17</v>
      </c>
    </row>
    <row r="3444" spans="1:9" hidden="1" x14ac:dyDescent="0.25">
      <c r="A3444">
        <v>2003</v>
      </c>
      <c r="B3444" s="140" t="s">
        <v>116</v>
      </c>
      <c r="C3444" s="140" t="s">
        <v>19</v>
      </c>
      <c r="D3444" s="140" t="s">
        <v>11</v>
      </c>
      <c r="E3444" s="140" t="s">
        <v>12</v>
      </c>
      <c r="F3444">
        <v>75339</v>
      </c>
      <c r="G3444" s="140" t="s">
        <v>270</v>
      </c>
      <c r="H3444">
        <v>0</v>
      </c>
      <c r="I3444" s="140" t="s">
        <v>17</v>
      </c>
    </row>
    <row r="3445" spans="1:9" hidden="1" x14ac:dyDescent="0.25">
      <c r="A3445">
        <v>2004</v>
      </c>
      <c r="B3445" s="140" t="s">
        <v>116</v>
      </c>
      <c r="C3445" s="140" t="s">
        <v>19</v>
      </c>
      <c r="D3445" s="140" t="s">
        <v>11</v>
      </c>
      <c r="E3445" s="140" t="s">
        <v>12</v>
      </c>
      <c r="F3445">
        <v>78385</v>
      </c>
      <c r="G3445" s="140" t="s">
        <v>270</v>
      </c>
      <c r="H3445">
        <v>0</v>
      </c>
      <c r="I3445" s="140" t="s">
        <v>17</v>
      </c>
    </row>
    <row r="3446" spans="1:9" hidden="1" x14ac:dyDescent="0.25">
      <c r="A3446">
        <v>2005</v>
      </c>
      <c r="B3446" s="140" t="s">
        <v>116</v>
      </c>
      <c r="C3446" s="140" t="s">
        <v>19</v>
      </c>
      <c r="D3446" s="140" t="s">
        <v>11</v>
      </c>
      <c r="E3446" s="140" t="s">
        <v>12</v>
      </c>
      <c r="F3446">
        <v>81737</v>
      </c>
      <c r="G3446" s="140" t="s">
        <v>270</v>
      </c>
      <c r="H3446">
        <v>0</v>
      </c>
      <c r="I3446" s="140" t="s">
        <v>17</v>
      </c>
    </row>
    <row r="3447" spans="1:9" hidden="1" x14ac:dyDescent="0.25">
      <c r="A3447">
        <v>2006</v>
      </c>
      <c r="B3447" s="140" t="s">
        <v>116</v>
      </c>
      <c r="C3447" s="140" t="s">
        <v>19</v>
      </c>
      <c r="D3447" s="140" t="s">
        <v>11</v>
      </c>
      <c r="E3447" s="140" t="s">
        <v>12</v>
      </c>
      <c r="F3447">
        <v>86126</v>
      </c>
      <c r="G3447" s="140" t="s">
        <v>270</v>
      </c>
      <c r="H3447">
        <v>0</v>
      </c>
      <c r="I3447" s="140" t="s">
        <v>17</v>
      </c>
    </row>
    <row r="3448" spans="1:9" hidden="1" x14ac:dyDescent="0.25">
      <c r="A3448">
        <v>2007</v>
      </c>
      <c r="B3448" s="140" t="s">
        <v>116</v>
      </c>
      <c r="C3448" s="140" t="s">
        <v>19</v>
      </c>
      <c r="D3448" s="140" t="s">
        <v>11</v>
      </c>
      <c r="E3448" s="140" t="s">
        <v>12</v>
      </c>
      <c r="F3448">
        <v>90864</v>
      </c>
      <c r="G3448" s="140" t="s">
        <v>270</v>
      </c>
      <c r="H3448">
        <v>0</v>
      </c>
      <c r="I3448" s="140" t="s">
        <v>17</v>
      </c>
    </row>
    <row r="3449" spans="1:9" hidden="1" x14ac:dyDescent="0.25">
      <c r="A3449">
        <v>2008</v>
      </c>
      <c r="B3449" s="140" t="s">
        <v>116</v>
      </c>
      <c r="C3449" s="140" t="s">
        <v>19</v>
      </c>
      <c r="D3449" s="140" t="s">
        <v>11</v>
      </c>
      <c r="E3449" s="140" t="s">
        <v>12</v>
      </c>
      <c r="F3449">
        <v>95808</v>
      </c>
      <c r="G3449" s="140" t="s">
        <v>270</v>
      </c>
      <c r="H3449">
        <v>0</v>
      </c>
      <c r="I3449" s="140" t="s">
        <v>17</v>
      </c>
    </row>
    <row r="3450" spans="1:9" hidden="1" x14ac:dyDescent="0.25">
      <c r="A3450">
        <v>2009</v>
      </c>
      <c r="B3450" s="140" t="s">
        <v>116</v>
      </c>
      <c r="C3450" s="140" t="s">
        <v>19</v>
      </c>
      <c r="D3450" s="140" t="s">
        <v>11</v>
      </c>
      <c r="E3450" s="140" t="s">
        <v>12</v>
      </c>
      <c r="F3450">
        <v>94766</v>
      </c>
      <c r="G3450" s="140" t="s">
        <v>270</v>
      </c>
      <c r="H3450">
        <v>0</v>
      </c>
      <c r="I3450" s="140" t="s">
        <v>17</v>
      </c>
    </row>
    <row r="3451" spans="1:9" hidden="1" x14ac:dyDescent="0.25">
      <c r="A3451">
        <v>2010</v>
      </c>
      <c r="B3451" s="140" t="s">
        <v>116</v>
      </c>
      <c r="C3451" s="140" t="s">
        <v>19</v>
      </c>
      <c r="D3451" s="140" t="s">
        <v>11</v>
      </c>
      <c r="E3451" s="140" t="s">
        <v>12</v>
      </c>
      <c r="F3451">
        <v>98228</v>
      </c>
      <c r="G3451" s="140" t="s">
        <v>270</v>
      </c>
      <c r="H3451">
        <v>0</v>
      </c>
      <c r="I3451" s="140" t="s">
        <v>17</v>
      </c>
    </row>
    <row r="3452" spans="1:9" hidden="1" x14ac:dyDescent="0.25">
      <c r="A3452">
        <v>2011</v>
      </c>
      <c r="B3452" s="140" t="s">
        <v>116</v>
      </c>
      <c r="C3452" s="140" t="s">
        <v>19</v>
      </c>
      <c r="D3452" s="140" t="s">
        <v>11</v>
      </c>
      <c r="E3452" s="140" t="s">
        <v>12</v>
      </c>
      <c r="F3452">
        <v>104418</v>
      </c>
      <c r="G3452" s="140" t="s">
        <v>270</v>
      </c>
      <c r="H3452">
        <v>0</v>
      </c>
      <c r="I3452" s="140" t="s">
        <v>17</v>
      </c>
    </row>
    <row r="3453" spans="1:9" hidden="1" x14ac:dyDescent="0.25">
      <c r="A3453">
        <v>2012</v>
      </c>
      <c r="B3453" s="140" t="s">
        <v>116</v>
      </c>
      <c r="C3453" s="140" t="s">
        <v>19</v>
      </c>
      <c r="D3453" s="140" t="s">
        <v>11</v>
      </c>
      <c r="E3453" s="140" t="s">
        <v>12</v>
      </c>
      <c r="F3453">
        <v>107778</v>
      </c>
      <c r="G3453" s="140" t="s">
        <v>270</v>
      </c>
      <c r="H3453">
        <v>0</v>
      </c>
      <c r="I3453" s="140" t="s">
        <v>17</v>
      </c>
    </row>
    <row r="3454" spans="1:9" hidden="1" x14ac:dyDescent="0.25">
      <c r="A3454">
        <v>2013</v>
      </c>
      <c r="B3454" s="140" t="s">
        <v>116</v>
      </c>
      <c r="C3454" s="140" t="s">
        <v>19</v>
      </c>
      <c r="D3454" s="140" t="s">
        <v>11</v>
      </c>
      <c r="E3454" s="140" t="s">
        <v>12</v>
      </c>
      <c r="F3454">
        <v>109843</v>
      </c>
      <c r="G3454" s="140" t="s">
        <v>270</v>
      </c>
      <c r="H3454">
        <v>0</v>
      </c>
      <c r="I3454" s="140" t="s">
        <v>17</v>
      </c>
    </row>
    <row r="3455" spans="1:9" hidden="1" x14ac:dyDescent="0.25">
      <c r="A3455">
        <v>2014</v>
      </c>
      <c r="B3455" s="140" t="s">
        <v>116</v>
      </c>
      <c r="C3455" s="140" t="s">
        <v>19</v>
      </c>
      <c r="D3455" s="140" t="s">
        <v>11</v>
      </c>
      <c r="E3455" s="140" t="s">
        <v>12</v>
      </c>
      <c r="F3455">
        <v>111849</v>
      </c>
      <c r="G3455" s="140" t="s">
        <v>270</v>
      </c>
      <c r="H3455">
        <v>0</v>
      </c>
      <c r="I3455" s="140" t="s">
        <v>17</v>
      </c>
    </row>
    <row r="3456" spans="1:9" hidden="1" x14ac:dyDescent="0.25">
      <c r="A3456">
        <v>2015</v>
      </c>
      <c r="B3456" s="140" t="s">
        <v>116</v>
      </c>
      <c r="C3456" s="140" t="s">
        <v>19</v>
      </c>
      <c r="D3456" s="140" t="s">
        <v>11</v>
      </c>
      <c r="E3456" s="140" t="s">
        <v>12</v>
      </c>
      <c r="F3456">
        <v>113898</v>
      </c>
      <c r="G3456" s="140" t="s">
        <v>270</v>
      </c>
      <c r="H3456">
        <v>0</v>
      </c>
      <c r="I3456" s="140" t="s">
        <v>17</v>
      </c>
    </row>
    <row r="3457" spans="1:9" hidden="1" x14ac:dyDescent="0.25">
      <c r="A3457">
        <v>2016</v>
      </c>
      <c r="B3457" s="140" t="s">
        <v>116</v>
      </c>
      <c r="C3457" s="140" t="s">
        <v>19</v>
      </c>
      <c r="D3457" s="140" t="s">
        <v>11</v>
      </c>
      <c r="E3457" s="140" t="s">
        <v>12</v>
      </c>
      <c r="F3457">
        <v>116181</v>
      </c>
      <c r="G3457" s="140" t="s">
        <v>270</v>
      </c>
      <c r="H3457">
        <v>0</v>
      </c>
      <c r="I3457" s="140" t="s">
        <v>17</v>
      </c>
    </row>
    <row r="3458" spans="1:9" hidden="1" x14ac:dyDescent="0.25">
      <c r="A3458">
        <v>2017</v>
      </c>
      <c r="B3458" s="140" t="s">
        <v>116</v>
      </c>
      <c r="C3458" s="140" t="s">
        <v>19</v>
      </c>
      <c r="D3458" s="140" t="s">
        <v>11</v>
      </c>
      <c r="E3458" s="140" t="s">
        <v>12</v>
      </c>
      <c r="F3458">
        <v>117900</v>
      </c>
      <c r="G3458" s="140" t="s">
        <v>270</v>
      </c>
      <c r="H3458">
        <v>0</v>
      </c>
      <c r="I3458" s="140" t="s">
        <v>17</v>
      </c>
    </row>
    <row r="3459" spans="1:9" hidden="1" x14ac:dyDescent="0.25">
      <c r="A3459">
        <v>2018</v>
      </c>
      <c r="B3459" s="140" t="s">
        <v>116</v>
      </c>
      <c r="C3459" s="140" t="s">
        <v>19</v>
      </c>
      <c r="D3459" s="140" t="s">
        <v>11</v>
      </c>
      <c r="E3459" s="140" t="s">
        <v>12</v>
      </c>
      <c r="F3459">
        <v>120787</v>
      </c>
      <c r="G3459" s="140" t="s">
        <v>270</v>
      </c>
      <c r="H3459">
        <v>0</v>
      </c>
      <c r="I3459" s="140" t="s">
        <v>17</v>
      </c>
    </row>
    <row r="3460" spans="1:9" hidden="1" x14ac:dyDescent="0.25">
      <c r="A3460">
        <v>2019</v>
      </c>
      <c r="B3460" s="140" t="s">
        <v>116</v>
      </c>
      <c r="C3460" s="140" t="s">
        <v>19</v>
      </c>
      <c r="D3460" s="140" t="s">
        <v>11</v>
      </c>
      <c r="E3460" s="140" t="s">
        <v>12</v>
      </c>
      <c r="F3460">
        <v>122478</v>
      </c>
      <c r="G3460" s="140" t="s">
        <v>270</v>
      </c>
      <c r="H3460">
        <v>0</v>
      </c>
      <c r="I3460" s="140" t="s">
        <v>17</v>
      </c>
    </row>
    <row r="3461" spans="1:9" hidden="1" x14ac:dyDescent="0.25">
      <c r="A3461">
        <v>2020</v>
      </c>
      <c r="B3461" s="140" t="s">
        <v>116</v>
      </c>
      <c r="C3461" s="140" t="s">
        <v>19</v>
      </c>
      <c r="D3461" s="140" t="s">
        <v>11</v>
      </c>
      <c r="E3461" s="140" t="s">
        <v>12</v>
      </c>
      <c r="F3461">
        <v>118723</v>
      </c>
      <c r="G3461" s="140" t="s">
        <v>270</v>
      </c>
      <c r="H3461">
        <v>0</v>
      </c>
      <c r="I3461" s="140" t="s">
        <v>17</v>
      </c>
    </row>
    <row r="3462" spans="1:9" hidden="1" x14ac:dyDescent="0.25">
      <c r="A3462">
        <v>2021</v>
      </c>
      <c r="B3462" s="140" t="s">
        <v>116</v>
      </c>
      <c r="C3462" s="140" t="s">
        <v>19</v>
      </c>
      <c r="D3462" s="140" t="s">
        <v>11</v>
      </c>
      <c r="E3462" s="140" t="s">
        <v>12</v>
      </c>
      <c r="F3462">
        <v>125257</v>
      </c>
      <c r="G3462" s="140" t="s">
        <v>270</v>
      </c>
      <c r="H3462">
        <v>0</v>
      </c>
      <c r="I3462" s="140" t="s">
        <v>17</v>
      </c>
    </row>
    <row r="3463" spans="1:9" hidden="1" x14ac:dyDescent="0.25">
      <c r="A3463">
        <v>2022</v>
      </c>
      <c r="B3463" s="140" t="s">
        <v>116</v>
      </c>
      <c r="C3463" s="140" t="s">
        <v>19</v>
      </c>
      <c r="D3463" s="140" t="s">
        <v>11</v>
      </c>
      <c r="E3463" s="140" t="s">
        <v>12</v>
      </c>
      <c r="F3463">
        <v>134505</v>
      </c>
      <c r="G3463" s="140" t="s">
        <v>270</v>
      </c>
      <c r="H3463">
        <v>0</v>
      </c>
      <c r="I3463" s="140" t="s">
        <v>17</v>
      </c>
    </row>
    <row r="3464" spans="1:9" hidden="1" x14ac:dyDescent="0.25">
      <c r="A3464">
        <v>2023</v>
      </c>
      <c r="B3464" s="140" t="s">
        <v>116</v>
      </c>
      <c r="C3464" s="140" t="s">
        <v>19</v>
      </c>
      <c r="D3464" s="140" t="s">
        <v>11</v>
      </c>
      <c r="E3464" s="140" t="s">
        <v>12</v>
      </c>
      <c r="F3464">
        <v>139960</v>
      </c>
      <c r="G3464" s="140" t="s">
        <v>270</v>
      </c>
      <c r="H3464">
        <v>0</v>
      </c>
      <c r="I3464" s="140" t="s">
        <v>17</v>
      </c>
    </row>
    <row r="3465" spans="1:9" hidden="1" x14ac:dyDescent="0.25">
      <c r="A3465">
        <v>2024</v>
      </c>
      <c r="B3465" s="140" t="s">
        <v>116</v>
      </c>
      <c r="C3465" s="140" t="s">
        <v>19</v>
      </c>
      <c r="D3465" s="140" t="s">
        <v>11</v>
      </c>
      <c r="E3465" s="140" t="s">
        <v>12</v>
      </c>
      <c r="F3465">
        <v>142043</v>
      </c>
      <c r="G3465" s="140" t="s">
        <v>270</v>
      </c>
      <c r="H3465">
        <v>0</v>
      </c>
      <c r="I3465" s="140" t="s">
        <v>17</v>
      </c>
    </row>
    <row r="3466" spans="1:9" hidden="1" x14ac:dyDescent="0.25">
      <c r="A3466">
        <v>2025</v>
      </c>
      <c r="B3466" s="140" t="s">
        <v>116</v>
      </c>
      <c r="C3466" s="140" t="s">
        <v>19</v>
      </c>
      <c r="D3466" s="140" t="s">
        <v>11</v>
      </c>
      <c r="E3466" s="140" t="s">
        <v>12</v>
      </c>
      <c r="F3466">
        <v>142219</v>
      </c>
      <c r="G3466" s="140" t="s">
        <v>270</v>
      </c>
      <c r="H3466">
        <v>0</v>
      </c>
      <c r="I3466" s="140" t="s">
        <v>17</v>
      </c>
    </row>
    <row r="3467" spans="1:9" hidden="1" x14ac:dyDescent="0.25">
      <c r="A3467">
        <v>2026</v>
      </c>
      <c r="B3467" s="140" t="s">
        <v>116</v>
      </c>
      <c r="C3467" s="140" t="s">
        <v>19</v>
      </c>
      <c r="D3467" s="140" t="s">
        <v>11</v>
      </c>
      <c r="E3467" s="140" t="s">
        <v>12</v>
      </c>
      <c r="F3467">
        <v>147228.91269999999</v>
      </c>
      <c r="G3467" s="140" t="s">
        <v>270</v>
      </c>
      <c r="H3467">
        <v>0</v>
      </c>
      <c r="I3467" s="140" t="s">
        <v>17</v>
      </c>
    </row>
    <row r="3468" spans="1:9" hidden="1" x14ac:dyDescent="0.25">
      <c r="A3468">
        <v>2027</v>
      </c>
      <c r="B3468" s="140" t="s">
        <v>116</v>
      </c>
      <c r="C3468" s="140" t="s">
        <v>19</v>
      </c>
      <c r="D3468" s="140" t="s">
        <v>11</v>
      </c>
      <c r="E3468" s="140" t="s">
        <v>12</v>
      </c>
      <c r="F3468">
        <v>151980.96520000001</v>
      </c>
      <c r="G3468" s="140" t="s">
        <v>270</v>
      </c>
      <c r="H3468">
        <v>0</v>
      </c>
      <c r="I3468" s="140" t="s">
        <v>17</v>
      </c>
    </row>
    <row r="3469" spans="1:9" hidden="1" x14ac:dyDescent="0.25">
      <c r="A3469">
        <v>2028</v>
      </c>
      <c r="B3469" s="140" t="s">
        <v>116</v>
      </c>
      <c r="C3469" s="140" t="s">
        <v>19</v>
      </c>
      <c r="D3469" s="140" t="s">
        <v>11</v>
      </c>
      <c r="E3469" s="140" t="s">
        <v>12</v>
      </c>
      <c r="F3469">
        <v>157582.07260000001</v>
      </c>
      <c r="G3469" s="140" t="s">
        <v>270</v>
      </c>
      <c r="H3469">
        <v>0</v>
      </c>
      <c r="I3469" s="140" t="s">
        <v>17</v>
      </c>
    </row>
    <row r="3470" spans="1:9" hidden="1" x14ac:dyDescent="0.25">
      <c r="A3470">
        <v>2029</v>
      </c>
      <c r="B3470" s="140" t="s">
        <v>116</v>
      </c>
      <c r="C3470" s="140" t="s">
        <v>19</v>
      </c>
      <c r="D3470" s="140" t="s">
        <v>11</v>
      </c>
      <c r="E3470" s="140" t="s">
        <v>12</v>
      </c>
      <c r="F3470">
        <v>163024.40169999999</v>
      </c>
      <c r="G3470" s="140" t="s">
        <v>270</v>
      </c>
      <c r="H3470">
        <v>0</v>
      </c>
      <c r="I3470" s="140" t="s">
        <v>17</v>
      </c>
    </row>
    <row r="3471" spans="1:9" hidden="1" x14ac:dyDescent="0.25">
      <c r="A3471">
        <v>2030</v>
      </c>
      <c r="B3471" s="140" t="s">
        <v>116</v>
      </c>
      <c r="C3471" s="140" t="s">
        <v>19</v>
      </c>
      <c r="D3471" s="140" t="s">
        <v>11</v>
      </c>
      <c r="E3471" s="140" t="s">
        <v>12</v>
      </c>
      <c r="F3471">
        <v>168703.69390000001</v>
      </c>
      <c r="G3471" s="140" t="s">
        <v>270</v>
      </c>
      <c r="H3471">
        <v>0</v>
      </c>
      <c r="I3471" s="140" t="s">
        <v>17</v>
      </c>
    </row>
    <row r="3472" spans="1:9" hidden="1" x14ac:dyDescent="0.25">
      <c r="A3472">
        <v>1990</v>
      </c>
      <c r="B3472" s="140" t="s">
        <v>116</v>
      </c>
      <c r="C3472" s="140" t="s">
        <v>20</v>
      </c>
      <c r="D3472" s="140" t="s">
        <v>11</v>
      </c>
      <c r="E3472" s="140" t="s">
        <v>12</v>
      </c>
      <c r="F3472">
        <v>73669</v>
      </c>
      <c r="G3472" s="140" t="s">
        <v>271</v>
      </c>
      <c r="H3472">
        <v>0</v>
      </c>
      <c r="I3472" s="140" t="s">
        <v>17</v>
      </c>
    </row>
    <row r="3473" spans="1:9" hidden="1" x14ac:dyDescent="0.25">
      <c r="A3473">
        <v>1991</v>
      </c>
      <c r="B3473" s="140" t="s">
        <v>116</v>
      </c>
      <c r="C3473" s="140" t="s">
        <v>20</v>
      </c>
      <c r="D3473" s="140" t="s">
        <v>11</v>
      </c>
      <c r="E3473" s="140" t="s">
        <v>12</v>
      </c>
      <c r="F3473">
        <v>71438</v>
      </c>
      <c r="G3473" s="140" t="s">
        <v>271</v>
      </c>
      <c r="H3473">
        <v>0</v>
      </c>
      <c r="I3473" s="140" t="s">
        <v>17</v>
      </c>
    </row>
    <row r="3474" spans="1:9" hidden="1" x14ac:dyDescent="0.25">
      <c r="A3474">
        <v>1992</v>
      </c>
      <c r="B3474" s="140" t="s">
        <v>116</v>
      </c>
      <c r="C3474" s="140" t="s">
        <v>20</v>
      </c>
      <c r="D3474" s="140" t="s">
        <v>11</v>
      </c>
      <c r="E3474" s="140" t="s">
        <v>12</v>
      </c>
      <c r="F3474">
        <v>68440</v>
      </c>
      <c r="G3474" s="140" t="s">
        <v>271</v>
      </c>
      <c r="H3474">
        <v>0</v>
      </c>
      <c r="I3474" s="140" t="s">
        <v>17</v>
      </c>
    </row>
    <row r="3475" spans="1:9" hidden="1" x14ac:dyDescent="0.25">
      <c r="A3475">
        <v>1993</v>
      </c>
      <c r="B3475" s="140" t="s">
        <v>116</v>
      </c>
      <c r="C3475" s="140" t="s">
        <v>20</v>
      </c>
      <c r="D3475" s="140" t="s">
        <v>11</v>
      </c>
      <c r="E3475" s="140" t="s">
        <v>12</v>
      </c>
      <c r="F3475">
        <v>66617</v>
      </c>
      <c r="G3475" s="140" t="s">
        <v>271</v>
      </c>
      <c r="H3475">
        <v>0</v>
      </c>
      <c r="I3475" s="140" t="s">
        <v>17</v>
      </c>
    </row>
    <row r="3476" spans="1:9" hidden="1" x14ac:dyDescent="0.25">
      <c r="A3476">
        <v>1994</v>
      </c>
      <c r="B3476" s="140" t="s">
        <v>116</v>
      </c>
      <c r="C3476" s="140" t="s">
        <v>20</v>
      </c>
      <c r="D3476" s="140" t="s">
        <v>11</v>
      </c>
      <c r="E3476" s="140" t="s">
        <v>12</v>
      </c>
      <c r="F3476">
        <v>68348</v>
      </c>
      <c r="G3476" s="140" t="s">
        <v>271</v>
      </c>
      <c r="H3476">
        <v>0</v>
      </c>
      <c r="I3476" s="140" t="s">
        <v>17</v>
      </c>
    </row>
    <row r="3477" spans="1:9" hidden="1" x14ac:dyDescent="0.25">
      <c r="A3477">
        <v>1995</v>
      </c>
      <c r="B3477" s="140" t="s">
        <v>116</v>
      </c>
      <c r="C3477" s="140" t="s">
        <v>20</v>
      </c>
      <c r="D3477" s="140" t="s">
        <v>11</v>
      </c>
      <c r="E3477" s="140" t="s">
        <v>12</v>
      </c>
      <c r="F3477">
        <v>71715</v>
      </c>
      <c r="G3477" s="140" t="s">
        <v>271</v>
      </c>
      <c r="H3477">
        <v>0</v>
      </c>
      <c r="I3477" s="140" t="s">
        <v>17</v>
      </c>
    </row>
    <row r="3478" spans="1:9" hidden="1" x14ac:dyDescent="0.25">
      <c r="A3478">
        <v>1996</v>
      </c>
      <c r="B3478" s="140" t="s">
        <v>116</v>
      </c>
      <c r="C3478" s="140" t="s">
        <v>20</v>
      </c>
      <c r="D3478" s="140" t="s">
        <v>11</v>
      </c>
      <c r="E3478" s="140" t="s">
        <v>12</v>
      </c>
      <c r="F3478">
        <v>74415</v>
      </c>
      <c r="G3478" s="140" t="s">
        <v>271</v>
      </c>
      <c r="H3478">
        <v>0</v>
      </c>
      <c r="I3478" s="140" t="s">
        <v>17</v>
      </c>
    </row>
    <row r="3479" spans="1:9" hidden="1" x14ac:dyDescent="0.25">
      <c r="A3479">
        <v>1997</v>
      </c>
      <c r="B3479" s="140" t="s">
        <v>116</v>
      </c>
      <c r="C3479" s="140" t="s">
        <v>20</v>
      </c>
      <c r="D3479" s="140" t="s">
        <v>11</v>
      </c>
      <c r="E3479" s="140" t="s">
        <v>12</v>
      </c>
      <c r="F3479">
        <v>77011</v>
      </c>
      <c r="G3479" s="140" t="s">
        <v>271</v>
      </c>
      <c r="H3479">
        <v>0</v>
      </c>
      <c r="I3479" s="140" t="s">
        <v>17</v>
      </c>
    </row>
    <row r="3480" spans="1:9" hidden="1" x14ac:dyDescent="0.25">
      <c r="A3480">
        <v>1998</v>
      </c>
      <c r="B3480" s="140" t="s">
        <v>116</v>
      </c>
      <c r="C3480" s="140" t="s">
        <v>20</v>
      </c>
      <c r="D3480" s="140" t="s">
        <v>11</v>
      </c>
      <c r="E3480" s="140" t="s">
        <v>12</v>
      </c>
      <c r="F3480">
        <v>80719</v>
      </c>
      <c r="G3480" s="140" t="s">
        <v>271</v>
      </c>
      <c r="H3480">
        <v>0</v>
      </c>
      <c r="I3480" s="140" t="s">
        <v>17</v>
      </c>
    </row>
    <row r="3481" spans="1:9" hidden="1" x14ac:dyDescent="0.25">
      <c r="A3481">
        <v>1999</v>
      </c>
      <c r="B3481" s="140" t="s">
        <v>116</v>
      </c>
      <c r="C3481" s="140" t="s">
        <v>20</v>
      </c>
      <c r="D3481" s="140" t="s">
        <v>11</v>
      </c>
      <c r="E3481" s="140" t="s">
        <v>12</v>
      </c>
      <c r="F3481">
        <v>83413</v>
      </c>
      <c r="G3481" s="140" t="s">
        <v>271</v>
      </c>
      <c r="H3481">
        <v>0</v>
      </c>
      <c r="I3481" s="140" t="s">
        <v>17</v>
      </c>
    </row>
    <row r="3482" spans="1:9" hidden="1" x14ac:dyDescent="0.25">
      <c r="A3482">
        <v>2000</v>
      </c>
      <c r="B3482" s="140" t="s">
        <v>116</v>
      </c>
      <c r="C3482" s="140" t="s">
        <v>20</v>
      </c>
      <c r="D3482" s="140" t="s">
        <v>11</v>
      </c>
      <c r="E3482" s="140" t="s">
        <v>12</v>
      </c>
      <c r="F3482">
        <v>85163</v>
      </c>
      <c r="G3482" s="140" t="s">
        <v>271</v>
      </c>
      <c r="H3482">
        <v>0</v>
      </c>
      <c r="I3482" s="140" t="s">
        <v>17</v>
      </c>
    </row>
    <row r="3483" spans="1:9" hidden="1" x14ac:dyDescent="0.25">
      <c r="A3483">
        <v>2001</v>
      </c>
      <c r="B3483" s="140" t="s">
        <v>116</v>
      </c>
      <c r="C3483" s="140" t="s">
        <v>20</v>
      </c>
      <c r="D3483" s="140" t="s">
        <v>11</v>
      </c>
      <c r="E3483" s="140" t="s">
        <v>12</v>
      </c>
      <c r="F3483">
        <v>87450</v>
      </c>
      <c r="G3483" s="140" t="s">
        <v>271</v>
      </c>
      <c r="H3483">
        <v>0</v>
      </c>
      <c r="I3483" s="140" t="s">
        <v>17</v>
      </c>
    </row>
    <row r="3484" spans="1:9" hidden="1" x14ac:dyDescent="0.25">
      <c r="A3484">
        <v>2002</v>
      </c>
      <c r="B3484" s="140" t="s">
        <v>116</v>
      </c>
      <c r="C3484" s="140" t="s">
        <v>20</v>
      </c>
      <c r="D3484" s="140" t="s">
        <v>11</v>
      </c>
      <c r="E3484" s="140" t="s">
        <v>12</v>
      </c>
      <c r="F3484">
        <v>89640</v>
      </c>
      <c r="G3484" s="140" t="s">
        <v>271</v>
      </c>
      <c r="H3484">
        <v>0</v>
      </c>
      <c r="I3484" s="140" t="s">
        <v>17</v>
      </c>
    </row>
    <row r="3485" spans="1:9" hidden="1" x14ac:dyDescent="0.25">
      <c r="A3485">
        <v>2003</v>
      </c>
      <c r="B3485" s="140" t="s">
        <v>116</v>
      </c>
      <c r="C3485" s="140" t="s">
        <v>20</v>
      </c>
      <c r="D3485" s="140" t="s">
        <v>11</v>
      </c>
      <c r="E3485" s="140" t="s">
        <v>12</v>
      </c>
      <c r="F3485">
        <v>93343</v>
      </c>
      <c r="G3485" s="140" t="s">
        <v>271</v>
      </c>
      <c r="H3485">
        <v>0</v>
      </c>
      <c r="I3485" s="140" t="s">
        <v>17</v>
      </c>
    </row>
    <row r="3486" spans="1:9" hidden="1" x14ac:dyDescent="0.25">
      <c r="A3486">
        <v>2004</v>
      </c>
      <c r="B3486" s="140" t="s">
        <v>116</v>
      </c>
      <c r="C3486" s="140" t="s">
        <v>20</v>
      </c>
      <c r="D3486" s="140" t="s">
        <v>11</v>
      </c>
      <c r="E3486" s="140" t="s">
        <v>12</v>
      </c>
      <c r="F3486">
        <v>96847</v>
      </c>
      <c r="G3486" s="140" t="s">
        <v>271</v>
      </c>
      <c r="H3486">
        <v>0</v>
      </c>
      <c r="I3486" s="140" t="s">
        <v>17</v>
      </c>
    </row>
    <row r="3487" spans="1:9" hidden="1" x14ac:dyDescent="0.25">
      <c r="A3487">
        <v>2005</v>
      </c>
      <c r="B3487" s="140" t="s">
        <v>116</v>
      </c>
      <c r="C3487" s="140" t="s">
        <v>20</v>
      </c>
      <c r="D3487" s="140" t="s">
        <v>11</v>
      </c>
      <c r="E3487" s="140" t="s">
        <v>12</v>
      </c>
      <c r="F3487">
        <v>99922</v>
      </c>
      <c r="G3487" s="140" t="s">
        <v>271</v>
      </c>
      <c r="H3487">
        <v>0</v>
      </c>
      <c r="I3487" s="140" t="s">
        <v>17</v>
      </c>
    </row>
    <row r="3488" spans="1:9" hidden="1" x14ac:dyDescent="0.25">
      <c r="A3488">
        <v>2006</v>
      </c>
      <c r="B3488" s="140" t="s">
        <v>116</v>
      </c>
      <c r="C3488" s="140" t="s">
        <v>20</v>
      </c>
      <c r="D3488" s="140" t="s">
        <v>11</v>
      </c>
      <c r="E3488" s="140" t="s">
        <v>12</v>
      </c>
      <c r="F3488">
        <v>103842</v>
      </c>
      <c r="G3488" s="140" t="s">
        <v>271</v>
      </c>
      <c r="H3488">
        <v>0</v>
      </c>
      <c r="I3488" s="140" t="s">
        <v>17</v>
      </c>
    </row>
    <row r="3489" spans="1:9" hidden="1" x14ac:dyDescent="0.25">
      <c r="A3489">
        <v>2007</v>
      </c>
      <c r="B3489" s="140" t="s">
        <v>116</v>
      </c>
      <c r="C3489" s="140" t="s">
        <v>20</v>
      </c>
      <c r="D3489" s="140" t="s">
        <v>11</v>
      </c>
      <c r="E3489" s="140" t="s">
        <v>12</v>
      </c>
      <c r="F3489">
        <v>107480</v>
      </c>
      <c r="G3489" s="140" t="s">
        <v>271</v>
      </c>
      <c r="H3489">
        <v>0</v>
      </c>
      <c r="I3489" s="140" t="s">
        <v>17</v>
      </c>
    </row>
    <row r="3490" spans="1:9" hidden="1" x14ac:dyDescent="0.25">
      <c r="A3490">
        <v>2008</v>
      </c>
      <c r="B3490" s="140" t="s">
        <v>116</v>
      </c>
      <c r="C3490" s="140" t="s">
        <v>20</v>
      </c>
      <c r="D3490" s="140" t="s">
        <v>11</v>
      </c>
      <c r="E3490" s="140" t="s">
        <v>12</v>
      </c>
      <c r="F3490">
        <v>109596</v>
      </c>
      <c r="G3490" s="140" t="s">
        <v>271</v>
      </c>
      <c r="H3490">
        <v>0</v>
      </c>
      <c r="I3490" s="140" t="s">
        <v>17</v>
      </c>
    </row>
    <row r="3491" spans="1:9" hidden="1" x14ac:dyDescent="0.25">
      <c r="A3491">
        <v>2009</v>
      </c>
      <c r="B3491" s="140" t="s">
        <v>116</v>
      </c>
      <c r="C3491" s="140" t="s">
        <v>20</v>
      </c>
      <c r="D3491" s="140" t="s">
        <v>11</v>
      </c>
      <c r="E3491" s="140" t="s">
        <v>12</v>
      </c>
      <c r="F3491">
        <v>106394</v>
      </c>
      <c r="G3491" s="140" t="s">
        <v>271</v>
      </c>
      <c r="H3491">
        <v>0</v>
      </c>
      <c r="I3491" s="140" t="s">
        <v>17</v>
      </c>
    </row>
    <row r="3492" spans="1:9" hidden="1" x14ac:dyDescent="0.25">
      <c r="A3492">
        <v>2010</v>
      </c>
      <c r="B3492" s="140" t="s">
        <v>116</v>
      </c>
      <c r="C3492" s="140" t="s">
        <v>20</v>
      </c>
      <c r="D3492" s="140" t="s">
        <v>11</v>
      </c>
      <c r="E3492" s="140" t="s">
        <v>12</v>
      </c>
      <c r="F3492">
        <v>108738</v>
      </c>
      <c r="G3492" s="140" t="s">
        <v>271</v>
      </c>
      <c r="H3492">
        <v>0</v>
      </c>
      <c r="I3492" s="140" t="s">
        <v>17</v>
      </c>
    </row>
    <row r="3493" spans="1:9" hidden="1" x14ac:dyDescent="0.25">
      <c r="A3493">
        <v>2011</v>
      </c>
      <c r="B3493" s="140" t="s">
        <v>116</v>
      </c>
      <c r="C3493" s="140" t="s">
        <v>20</v>
      </c>
      <c r="D3493" s="140" t="s">
        <v>11</v>
      </c>
      <c r="E3493" s="140" t="s">
        <v>12</v>
      </c>
      <c r="F3493">
        <v>111883</v>
      </c>
      <c r="G3493" s="140" t="s">
        <v>271</v>
      </c>
      <c r="H3493">
        <v>0</v>
      </c>
      <c r="I3493" s="140" t="s">
        <v>17</v>
      </c>
    </row>
    <row r="3494" spans="1:9" hidden="1" x14ac:dyDescent="0.25">
      <c r="A3494">
        <v>2012</v>
      </c>
      <c r="B3494" s="140" t="s">
        <v>116</v>
      </c>
      <c r="C3494" s="140" t="s">
        <v>20</v>
      </c>
      <c r="D3494" s="140" t="s">
        <v>11</v>
      </c>
      <c r="E3494" s="140" t="s">
        <v>12</v>
      </c>
      <c r="F3494">
        <v>112322</v>
      </c>
      <c r="G3494" s="140" t="s">
        <v>271</v>
      </c>
      <c r="H3494">
        <v>0</v>
      </c>
      <c r="I3494" s="140" t="s">
        <v>17</v>
      </c>
    </row>
    <row r="3495" spans="1:9" hidden="1" x14ac:dyDescent="0.25">
      <c r="A3495">
        <v>2013</v>
      </c>
      <c r="B3495" s="140" t="s">
        <v>116</v>
      </c>
      <c r="C3495" s="140" t="s">
        <v>20</v>
      </c>
      <c r="D3495" s="140" t="s">
        <v>11</v>
      </c>
      <c r="E3495" s="140" t="s">
        <v>12</v>
      </c>
      <c r="F3495">
        <v>111775</v>
      </c>
      <c r="G3495" s="140" t="s">
        <v>271</v>
      </c>
      <c r="H3495">
        <v>0</v>
      </c>
      <c r="I3495" s="140" t="s">
        <v>17</v>
      </c>
    </row>
    <row r="3496" spans="1:9" hidden="1" x14ac:dyDescent="0.25">
      <c r="A3496">
        <v>2014</v>
      </c>
      <c r="B3496" s="140" t="s">
        <v>116</v>
      </c>
      <c r="C3496" s="140" t="s">
        <v>20</v>
      </c>
      <c r="D3496" s="140" t="s">
        <v>11</v>
      </c>
      <c r="E3496" s="140" t="s">
        <v>12</v>
      </c>
      <c r="F3496">
        <v>112372</v>
      </c>
      <c r="G3496" s="140" t="s">
        <v>271</v>
      </c>
      <c r="H3496">
        <v>0</v>
      </c>
      <c r="I3496" s="140" t="s">
        <v>17</v>
      </c>
    </row>
    <row r="3497" spans="1:9" hidden="1" x14ac:dyDescent="0.25">
      <c r="A3497">
        <v>2015</v>
      </c>
      <c r="B3497" s="140" t="s">
        <v>116</v>
      </c>
      <c r="C3497" s="140" t="s">
        <v>20</v>
      </c>
      <c r="D3497" s="140" t="s">
        <v>11</v>
      </c>
      <c r="E3497" s="140" t="s">
        <v>12</v>
      </c>
      <c r="F3497">
        <v>113898</v>
      </c>
      <c r="G3497" s="140" t="s">
        <v>271</v>
      </c>
      <c r="H3497">
        <v>0</v>
      </c>
      <c r="I3497" s="140" t="s">
        <v>17</v>
      </c>
    </row>
    <row r="3498" spans="1:9" hidden="1" x14ac:dyDescent="0.25">
      <c r="A3498">
        <v>2016</v>
      </c>
      <c r="B3498" s="140" t="s">
        <v>116</v>
      </c>
      <c r="C3498" s="140" t="s">
        <v>20</v>
      </c>
      <c r="D3498" s="140" t="s">
        <v>11</v>
      </c>
      <c r="E3498" s="140" t="s">
        <v>12</v>
      </c>
      <c r="F3498">
        <v>116003</v>
      </c>
      <c r="G3498" s="140" t="s">
        <v>271</v>
      </c>
      <c r="H3498">
        <v>0</v>
      </c>
      <c r="I3498" s="140" t="s">
        <v>17</v>
      </c>
    </row>
    <row r="3499" spans="1:9" hidden="1" x14ac:dyDescent="0.25">
      <c r="A3499">
        <v>2017</v>
      </c>
      <c r="B3499" s="140" t="s">
        <v>116</v>
      </c>
      <c r="C3499" s="140" t="s">
        <v>20</v>
      </c>
      <c r="D3499" s="140" t="s">
        <v>11</v>
      </c>
      <c r="E3499" s="140" t="s">
        <v>12</v>
      </c>
      <c r="F3499">
        <v>116520</v>
      </c>
      <c r="G3499" s="140" t="s">
        <v>271</v>
      </c>
      <c r="H3499">
        <v>0</v>
      </c>
      <c r="I3499" s="140" t="s">
        <v>17</v>
      </c>
    </row>
    <row r="3500" spans="1:9" hidden="1" x14ac:dyDescent="0.25">
      <c r="A3500">
        <v>2018</v>
      </c>
      <c r="B3500" s="140" t="s">
        <v>116</v>
      </c>
      <c r="C3500" s="140" t="s">
        <v>20</v>
      </c>
      <c r="D3500" s="140" t="s">
        <v>11</v>
      </c>
      <c r="E3500" s="140" t="s">
        <v>12</v>
      </c>
      <c r="F3500">
        <v>117850</v>
      </c>
      <c r="G3500" s="140" t="s">
        <v>271</v>
      </c>
      <c r="H3500">
        <v>0</v>
      </c>
      <c r="I3500" s="140" t="s">
        <v>17</v>
      </c>
    </row>
    <row r="3501" spans="1:9" hidden="1" x14ac:dyDescent="0.25">
      <c r="A3501">
        <v>2019</v>
      </c>
      <c r="B3501" s="140" t="s">
        <v>116</v>
      </c>
      <c r="C3501" s="140" t="s">
        <v>20</v>
      </c>
      <c r="D3501" s="140" t="s">
        <v>11</v>
      </c>
      <c r="E3501" s="140" t="s">
        <v>12</v>
      </c>
      <c r="F3501">
        <v>118336</v>
      </c>
      <c r="G3501" s="140" t="s">
        <v>271</v>
      </c>
      <c r="H3501">
        <v>0</v>
      </c>
      <c r="I3501" s="140" t="s">
        <v>17</v>
      </c>
    </row>
    <row r="3502" spans="1:9" hidden="1" x14ac:dyDescent="0.25">
      <c r="A3502">
        <v>2020</v>
      </c>
      <c r="B3502" s="140" t="s">
        <v>116</v>
      </c>
      <c r="C3502" s="140" t="s">
        <v>20</v>
      </c>
      <c r="D3502" s="140" t="s">
        <v>11</v>
      </c>
      <c r="E3502" s="140" t="s">
        <v>12</v>
      </c>
      <c r="F3502">
        <v>114283</v>
      </c>
      <c r="G3502" s="140" t="s">
        <v>271</v>
      </c>
      <c r="H3502">
        <v>0</v>
      </c>
      <c r="I3502" s="140" t="s">
        <v>17</v>
      </c>
    </row>
    <row r="3503" spans="1:9" hidden="1" x14ac:dyDescent="0.25">
      <c r="A3503">
        <v>2021</v>
      </c>
      <c r="B3503" s="140" t="s">
        <v>116</v>
      </c>
      <c r="C3503" s="140" t="s">
        <v>20</v>
      </c>
      <c r="D3503" s="140" t="s">
        <v>11</v>
      </c>
      <c r="E3503" s="140" t="s">
        <v>12</v>
      </c>
      <c r="F3503">
        <v>117941</v>
      </c>
      <c r="G3503" s="140" t="s">
        <v>271</v>
      </c>
      <c r="H3503">
        <v>0</v>
      </c>
      <c r="I3503" s="140" t="s">
        <v>17</v>
      </c>
    </row>
    <row r="3504" spans="1:9" hidden="1" x14ac:dyDescent="0.25">
      <c r="A3504">
        <v>2022</v>
      </c>
      <c r="B3504" s="140" t="s">
        <v>116</v>
      </c>
      <c r="C3504" s="140" t="s">
        <v>20</v>
      </c>
      <c r="D3504" s="140" t="s">
        <v>11</v>
      </c>
      <c r="E3504" s="140" t="s">
        <v>12</v>
      </c>
      <c r="F3504">
        <v>118955</v>
      </c>
      <c r="G3504" s="140" t="s">
        <v>271</v>
      </c>
      <c r="H3504">
        <v>0</v>
      </c>
      <c r="I3504" s="140" t="s">
        <v>17</v>
      </c>
    </row>
    <row r="3505" spans="1:9" hidden="1" x14ac:dyDescent="0.25">
      <c r="A3505">
        <v>2023</v>
      </c>
      <c r="B3505" s="140" t="s">
        <v>116</v>
      </c>
      <c r="C3505" s="140" t="s">
        <v>20</v>
      </c>
      <c r="D3505" s="140" t="s">
        <v>11</v>
      </c>
      <c r="E3505" s="140" t="s">
        <v>12</v>
      </c>
      <c r="F3505">
        <v>118651</v>
      </c>
      <c r="G3505" s="140" t="s">
        <v>271</v>
      </c>
      <c r="H3505">
        <v>0</v>
      </c>
      <c r="I3505" s="140" t="s">
        <v>17</v>
      </c>
    </row>
    <row r="3506" spans="1:9" hidden="1" x14ac:dyDescent="0.25">
      <c r="A3506">
        <v>2024</v>
      </c>
      <c r="B3506" s="140" t="s">
        <v>116</v>
      </c>
      <c r="C3506" s="140" t="s">
        <v>20</v>
      </c>
      <c r="D3506" s="140" t="s">
        <v>11</v>
      </c>
      <c r="E3506" s="140" t="s">
        <v>12</v>
      </c>
      <c r="F3506">
        <v>118994</v>
      </c>
      <c r="G3506" s="140" t="s">
        <v>271</v>
      </c>
      <c r="H3506">
        <v>0</v>
      </c>
      <c r="I3506" s="140" t="s">
        <v>17</v>
      </c>
    </row>
    <row r="3507" spans="1:9" hidden="1" x14ac:dyDescent="0.25">
      <c r="A3507">
        <v>2025</v>
      </c>
      <c r="B3507" s="140" t="s">
        <v>116</v>
      </c>
      <c r="C3507" s="140" t="s">
        <v>20</v>
      </c>
      <c r="D3507" s="140" t="s">
        <v>11</v>
      </c>
      <c r="E3507" s="140" t="s">
        <v>12</v>
      </c>
      <c r="F3507">
        <v>117630</v>
      </c>
      <c r="G3507" s="140" t="s">
        <v>271</v>
      </c>
      <c r="H3507">
        <v>0</v>
      </c>
      <c r="I3507" s="140" t="s">
        <v>17</v>
      </c>
    </row>
    <row r="3508" spans="1:9" hidden="1" x14ac:dyDescent="0.25">
      <c r="A3508">
        <v>2026</v>
      </c>
      <c r="B3508" s="140" t="s">
        <v>116</v>
      </c>
      <c r="C3508" s="140" t="s">
        <v>20</v>
      </c>
      <c r="D3508" s="140" t="s">
        <v>11</v>
      </c>
      <c r="E3508" s="140" t="s">
        <v>12</v>
      </c>
      <c r="F3508">
        <v>118906.4553</v>
      </c>
      <c r="G3508" s="140" t="s">
        <v>271</v>
      </c>
      <c r="H3508">
        <v>0</v>
      </c>
      <c r="I3508" s="140" t="s">
        <v>17</v>
      </c>
    </row>
    <row r="3509" spans="1:9" hidden="1" x14ac:dyDescent="0.25">
      <c r="A3509">
        <v>2027</v>
      </c>
      <c r="B3509" s="140" t="s">
        <v>116</v>
      </c>
      <c r="C3509" s="140" t="s">
        <v>20</v>
      </c>
      <c r="D3509" s="140" t="s">
        <v>11</v>
      </c>
      <c r="E3509" s="140" t="s">
        <v>12</v>
      </c>
      <c r="F3509">
        <v>120770.54859999999</v>
      </c>
      <c r="G3509" s="140" t="s">
        <v>271</v>
      </c>
      <c r="H3509">
        <v>0</v>
      </c>
      <c r="I3509" s="140" t="s">
        <v>17</v>
      </c>
    </row>
    <row r="3510" spans="1:9" hidden="1" x14ac:dyDescent="0.25">
      <c r="A3510">
        <v>2028</v>
      </c>
      <c r="B3510" s="140" t="s">
        <v>116</v>
      </c>
      <c r="C3510" s="140" t="s">
        <v>20</v>
      </c>
      <c r="D3510" s="140" t="s">
        <v>11</v>
      </c>
      <c r="E3510" s="140" t="s">
        <v>12</v>
      </c>
      <c r="F3510">
        <v>122670.4409</v>
      </c>
      <c r="G3510" s="140" t="s">
        <v>271</v>
      </c>
      <c r="H3510">
        <v>0</v>
      </c>
      <c r="I3510" s="140" t="s">
        <v>17</v>
      </c>
    </row>
    <row r="3511" spans="1:9" hidden="1" x14ac:dyDescent="0.25">
      <c r="A3511">
        <v>2029</v>
      </c>
      <c r="B3511" s="140" t="s">
        <v>116</v>
      </c>
      <c r="C3511" s="140" t="s">
        <v>20</v>
      </c>
      <c r="D3511" s="140" t="s">
        <v>11</v>
      </c>
      <c r="E3511" s="140" t="s">
        <v>12</v>
      </c>
      <c r="F3511">
        <v>124449.5552</v>
      </c>
      <c r="G3511" s="140" t="s">
        <v>271</v>
      </c>
      <c r="H3511">
        <v>0</v>
      </c>
      <c r="I3511" s="140" t="s">
        <v>17</v>
      </c>
    </row>
    <row r="3512" spans="1:9" hidden="1" x14ac:dyDescent="0.25">
      <c r="A3512">
        <v>2030</v>
      </c>
      <c r="B3512" s="140" t="s">
        <v>116</v>
      </c>
      <c r="C3512" s="140" t="s">
        <v>20</v>
      </c>
      <c r="D3512" s="140" t="s">
        <v>11</v>
      </c>
      <c r="E3512" s="140" t="s">
        <v>12</v>
      </c>
      <c r="F3512">
        <v>126316.29859999999</v>
      </c>
      <c r="G3512" s="140" t="s">
        <v>271</v>
      </c>
      <c r="H3512">
        <v>0</v>
      </c>
      <c r="I3512" s="140" t="s">
        <v>17</v>
      </c>
    </row>
    <row r="3513" spans="1:9" hidden="1" x14ac:dyDescent="0.25">
      <c r="A3513">
        <v>1990</v>
      </c>
      <c r="B3513" s="140" t="s">
        <v>115</v>
      </c>
      <c r="C3513" s="140" t="s">
        <v>20</v>
      </c>
      <c r="D3513" s="140" t="s">
        <v>11</v>
      </c>
      <c r="E3513" s="140" t="s">
        <v>12</v>
      </c>
      <c r="F3513">
        <v>40088</v>
      </c>
      <c r="G3513" s="140" t="s">
        <v>273</v>
      </c>
      <c r="H3513">
        <v>0</v>
      </c>
      <c r="I3513" s="140" t="s">
        <v>17</v>
      </c>
    </row>
    <row r="3514" spans="1:9" hidden="1" x14ac:dyDescent="0.25">
      <c r="A3514">
        <v>1991</v>
      </c>
      <c r="B3514" s="140" t="s">
        <v>115</v>
      </c>
      <c r="C3514" s="140" t="s">
        <v>20</v>
      </c>
      <c r="D3514" s="140" t="s">
        <v>11</v>
      </c>
      <c r="E3514" s="140" t="s">
        <v>12</v>
      </c>
      <c r="F3514">
        <v>40785</v>
      </c>
      <c r="G3514" s="140" t="s">
        <v>273</v>
      </c>
      <c r="H3514">
        <v>0</v>
      </c>
      <c r="I3514" s="140" t="s">
        <v>17</v>
      </c>
    </row>
    <row r="3515" spans="1:9" hidden="1" x14ac:dyDescent="0.25">
      <c r="A3515">
        <v>1992</v>
      </c>
      <c r="B3515" s="140" t="s">
        <v>115</v>
      </c>
      <c r="C3515" s="140" t="s">
        <v>20</v>
      </c>
      <c r="D3515" s="140" t="s">
        <v>11</v>
      </c>
      <c r="E3515" s="140" t="s">
        <v>12</v>
      </c>
      <c r="F3515">
        <v>39433</v>
      </c>
      <c r="G3515" s="140" t="s">
        <v>273</v>
      </c>
      <c r="H3515">
        <v>0</v>
      </c>
      <c r="I3515" s="140" t="s">
        <v>17</v>
      </c>
    </row>
    <row r="3516" spans="1:9" hidden="1" x14ac:dyDescent="0.25">
      <c r="A3516">
        <v>1993</v>
      </c>
      <c r="B3516" s="140" t="s">
        <v>115</v>
      </c>
      <c r="C3516" s="140" t="s">
        <v>20</v>
      </c>
      <c r="D3516" s="140" t="s">
        <v>11</v>
      </c>
      <c r="E3516" s="140" t="s">
        <v>12</v>
      </c>
      <c r="F3516">
        <v>37882</v>
      </c>
      <c r="G3516" s="140" t="s">
        <v>273</v>
      </c>
      <c r="H3516">
        <v>0</v>
      </c>
      <c r="I3516" s="140" t="s">
        <v>17</v>
      </c>
    </row>
    <row r="3517" spans="1:9" hidden="1" x14ac:dyDescent="0.25">
      <c r="A3517">
        <v>1994</v>
      </c>
      <c r="B3517" s="140" t="s">
        <v>115</v>
      </c>
      <c r="C3517" s="140" t="s">
        <v>20</v>
      </c>
      <c r="D3517" s="140" t="s">
        <v>11</v>
      </c>
      <c r="E3517" s="140" t="s">
        <v>12</v>
      </c>
      <c r="F3517">
        <v>37941</v>
      </c>
      <c r="G3517" s="140" t="s">
        <v>273</v>
      </c>
      <c r="H3517">
        <v>0</v>
      </c>
      <c r="I3517" s="140" t="s">
        <v>17</v>
      </c>
    </row>
    <row r="3518" spans="1:9" hidden="1" x14ac:dyDescent="0.25">
      <c r="A3518">
        <v>1995</v>
      </c>
      <c r="B3518" s="140" t="s">
        <v>115</v>
      </c>
      <c r="C3518" s="140" t="s">
        <v>20</v>
      </c>
      <c r="D3518" s="140" t="s">
        <v>11</v>
      </c>
      <c r="E3518" s="140" t="s">
        <v>12</v>
      </c>
      <c r="F3518">
        <v>39072</v>
      </c>
      <c r="G3518" s="140" t="s">
        <v>273</v>
      </c>
      <c r="H3518">
        <v>0</v>
      </c>
      <c r="I3518" s="140" t="s">
        <v>17</v>
      </c>
    </row>
    <row r="3519" spans="1:9" hidden="1" x14ac:dyDescent="0.25">
      <c r="A3519">
        <v>1996</v>
      </c>
      <c r="B3519" s="140" t="s">
        <v>115</v>
      </c>
      <c r="C3519" s="140" t="s">
        <v>20</v>
      </c>
      <c r="D3519" s="140" t="s">
        <v>11</v>
      </c>
      <c r="E3519" s="140" t="s">
        <v>12</v>
      </c>
      <c r="F3519">
        <v>39876</v>
      </c>
      <c r="G3519" s="140" t="s">
        <v>273</v>
      </c>
      <c r="H3519">
        <v>0</v>
      </c>
      <c r="I3519" s="140" t="s">
        <v>17</v>
      </c>
    </row>
    <row r="3520" spans="1:9" hidden="1" x14ac:dyDescent="0.25">
      <c r="A3520">
        <v>1997</v>
      </c>
      <c r="B3520" s="140" t="s">
        <v>115</v>
      </c>
      <c r="C3520" s="140" t="s">
        <v>20</v>
      </c>
      <c r="D3520" s="140" t="s">
        <v>11</v>
      </c>
      <c r="E3520" s="140" t="s">
        <v>12</v>
      </c>
      <c r="F3520">
        <v>41195</v>
      </c>
      <c r="G3520" s="140" t="s">
        <v>273</v>
      </c>
      <c r="H3520">
        <v>0</v>
      </c>
      <c r="I3520" s="140" t="s">
        <v>17</v>
      </c>
    </row>
    <row r="3521" spans="1:9" hidden="1" x14ac:dyDescent="0.25">
      <c r="A3521">
        <v>1998</v>
      </c>
      <c r="B3521" s="140" t="s">
        <v>115</v>
      </c>
      <c r="C3521" s="140" t="s">
        <v>20</v>
      </c>
      <c r="D3521" s="140" t="s">
        <v>11</v>
      </c>
      <c r="E3521" s="140" t="s">
        <v>12</v>
      </c>
      <c r="F3521">
        <v>42025</v>
      </c>
      <c r="G3521" s="140" t="s">
        <v>273</v>
      </c>
      <c r="H3521">
        <v>0</v>
      </c>
      <c r="I3521" s="140" t="s">
        <v>17</v>
      </c>
    </row>
    <row r="3522" spans="1:9" hidden="1" x14ac:dyDescent="0.25">
      <c r="A3522">
        <v>1999</v>
      </c>
      <c r="B3522" s="140" t="s">
        <v>115</v>
      </c>
      <c r="C3522" s="140" t="s">
        <v>20</v>
      </c>
      <c r="D3522" s="140" t="s">
        <v>11</v>
      </c>
      <c r="E3522" s="140" t="s">
        <v>12</v>
      </c>
      <c r="F3522">
        <v>42719</v>
      </c>
      <c r="G3522" s="140" t="s">
        <v>273</v>
      </c>
      <c r="H3522">
        <v>0</v>
      </c>
      <c r="I3522" s="140" t="s">
        <v>17</v>
      </c>
    </row>
    <row r="3523" spans="1:9" hidden="1" x14ac:dyDescent="0.25">
      <c r="A3523">
        <v>2000</v>
      </c>
      <c r="B3523" s="140" t="s">
        <v>115</v>
      </c>
      <c r="C3523" s="140" t="s">
        <v>20</v>
      </c>
      <c r="D3523" s="140" t="s">
        <v>11</v>
      </c>
      <c r="E3523" s="140" t="s">
        <v>12</v>
      </c>
      <c r="F3523">
        <v>43301</v>
      </c>
      <c r="G3523" s="140" t="s">
        <v>273</v>
      </c>
      <c r="H3523">
        <v>0</v>
      </c>
      <c r="I3523" s="140" t="s">
        <v>17</v>
      </c>
    </row>
    <row r="3524" spans="1:9" hidden="1" x14ac:dyDescent="0.25">
      <c r="A3524">
        <v>2001</v>
      </c>
      <c r="B3524" s="140" t="s">
        <v>115</v>
      </c>
      <c r="C3524" s="140" t="s">
        <v>20</v>
      </c>
      <c r="D3524" s="140" t="s">
        <v>11</v>
      </c>
      <c r="E3524" s="140" t="s">
        <v>12</v>
      </c>
      <c r="F3524">
        <v>44399</v>
      </c>
      <c r="G3524" s="140" t="s">
        <v>273</v>
      </c>
      <c r="H3524">
        <v>0</v>
      </c>
      <c r="I3524" s="140" t="s">
        <v>17</v>
      </c>
    </row>
    <row r="3525" spans="1:9" hidden="1" x14ac:dyDescent="0.25">
      <c r="A3525">
        <v>2002</v>
      </c>
      <c r="B3525" s="140" t="s">
        <v>115</v>
      </c>
      <c r="C3525" s="140" t="s">
        <v>20</v>
      </c>
      <c r="D3525" s="140" t="s">
        <v>11</v>
      </c>
      <c r="E3525" s="140" t="s">
        <v>12</v>
      </c>
      <c r="F3525">
        <v>45430</v>
      </c>
      <c r="G3525" s="140" t="s">
        <v>273</v>
      </c>
      <c r="H3525">
        <v>0</v>
      </c>
      <c r="I3525" s="140" t="s">
        <v>17</v>
      </c>
    </row>
    <row r="3526" spans="1:9" hidden="1" x14ac:dyDescent="0.25">
      <c r="A3526">
        <v>2003</v>
      </c>
      <c r="B3526" s="140" t="s">
        <v>115</v>
      </c>
      <c r="C3526" s="140" t="s">
        <v>20</v>
      </c>
      <c r="D3526" s="140" t="s">
        <v>11</v>
      </c>
      <c r="E3526" s="140" t="s">
        <v>12</v>
      </c>
      <c r="F3526">
        <v>46018</v>
      </c>
      <c r="G3526" s="140" t="s">
        <v>273</v>
      </c>
      <c r="H3526">
        <v>0</v>
      </c>
      <c r="I3526" s="140" t="s">
        <v>17</v>
      </c>
    </row>
    <row r="3527" spans="1:9" hidden="1" x14ac:dyDescent="0.25">
      <c r="A3527">
        <v>2004</v>
      </c>
      <c r="B3527" s="140" t="s">
        <v>115</v>
      </c>
      <c r="C3527" s="140" t="s">
        <v>20</v>
      </c>
      <c r="D3527" s="140" t="s">
        <v>11</v>
      </c>
      <c r="E3527" s="140" t="s">
        <v>12</v>
      </c>
      <c r="F3527">
        <v>46710</v>
      </c>
      <c r="G3527" s="140" t="s">
        <v>273</v>
      </c>
      <c r="H3527">
        <v>0</v>
      </c>
      <c r="I3527" s="140" t="s">
        <v>17</v>
      </c>
    </row>
    <row r="3528" spans="1:9" hidden="1" x14ac:dyDescent="0.25">
      <c r="A3528">
        <v>2005</v>
      </c>
      <c r="B3528" s="140" t="s">
        <v>115</v>
      </c>
      <c r="C3528" s="140" t="s">
        <v>20</v>
      </c>
      <c r="D3528" s="140" t="s">
        <v>11</v>
      </c>
      <c r="E3528" s="140" t="s">
        <v>12</v>
      </c>
      <c r="F3528">
        <v>47634</v>
      </c>
      <c r="G3528" s="140" t="s">
        <v>273</v>
      </c>
      <c r="H3528">
        <v>0</v>
      </c>
      <c r="I3528" s="140" t="s">
        <v>17</v>
      </c>
    </row>
    <row r="3529" spans="1:9" hidden="1" x14ac:dyDescent="0.25">
      <c r="A3529">
        <v>2006</v>
      </c>
      <c r="B3529" s="140" t="s">
        <v>115</v>
      </c>
      <c r="C3529" s="140" t="s">
        <v>20</v>
      </c>
      <c r="D3529" s="140" t="s">
        <v>11</v>
      </c>
      <c r="E3529" s="140" t="s">
        <v>12</v>
      </c>
      <c r="F3529">
        <v>48163</v>
      </c>
      <c r="G3529" s="140" t="s">
        <v>273</v>
      </c>
      <c r="H3529">
        <v>0</v>
      </c>
      <c r="I3529" s="140" t="s">
        <v>17</v>
      </c>
    </row>
    <row r="3530" spans="1:9" hidden="1" x14ac:dyDescent="0.25">
      <c r="A3530">
        <v>2007</v>
      </c>
      <c r="B3530" s="140" t="s">
        <v>115</v>
      </c>
      <c r="C3530" s="140" t="s">
        <v>20</v>
      </c>
      <c r="D3530" s="140" t="s">
        <v>11</v>
      </c>
      <c r="E3530" s="140" t="s">
        <v>12</v>
      </c>
      <c r="F3530">
        <v>48800</v>
      </c>
      <c r="G3530" s="140" t="s">
        <v>273</v>
      </c>
      <c r="H3530">
        <v>0</v>
      </c>
      <c r="I3530" s="140" t="s">
        <v>17</v>
      </c>
    </row>
    <row r="3531" spans="1:9" hidden="1" x14ac:dyDescent="0.25">
      <c r="A3531">
        <v>2008</v>
      </c>
      <c r="B3531" s="140" t="s">
        <v>115</v>
      </c>
      <c r="C3531" s="140" t="s">
        <v>20</v>
      </c>
      <c r="D3531" s="140" t="s">
        <v>11</v>
      </c>
      <c r="E3531" s="140" t="s">
        <v>12</v>
      </c>
      <c r="F3531">
        <v>49667</v>
      </c>
      <c r="G3531" s="140" t="s">
        <v>273</v>
      </c>
      <c r="H3531">
        <v>0</v>
      </c>
      <c r="I3531" s="140" t="s">
        <v>17</v>
      </c>
    </row>
    <row r="3532" spans="1:9" hidden="1" x14ac:dyDescent="0.25">
      <c r="A3532">
        <v>2009</v>
      </c>
      <c r="B3532" s="140" t="s">
        <v>115</v>
      </c>
      <c r="C3532" s="140" t="s">
        <v>20</v>
      </c>
      <c r="D3532" s="140" t="s">
        <v>11</v>
      </c>
      <c r="E3532" s="140" t="s">
        <v>12</v>
      </c>
      <c r="F3532">
        <v>50376</v>
      </c>
      <c r="G3532" s="140" t="s">
        <v>273</v>
      </c>
      <c r="H3532">
        <v>0</v>
      </c>
      <c r="I3532" s="140" t="s">
        <v>17</v>
      </c>
    </row>
    <row r="3533" spans="1:9" hidden="1" x14ac:dyDescent="0.25">
      <c r="A3533">
        <v>2010</v>
      </c>
      <c r="B3533" s="140" t="s">
        <v>115</v>
      </c>
      <c r="C3533" s="140" t="s">
        <v>20</v>
      </c>
      <c r="D3533" s="140" t="s">
        <v>11</v>
      </c>
      <c r="E3533" s="140" t="s">
        <v>12</v>
      </c>
      <c r="F3533">
        <v>50272</v>
      </c>
      <c r="G3533" s="140" t="s">
        <v>273</v>
      </c>
      <c r="H3533">
        <v>0</v>
      </c>
      <c r="I3533" s="140" t="s">
        <v>17</v>
      </c>
    </row>
    <row r="3534" spans="1:9" hidden="1" x14ac:dyDescent="0.25">
      <c r="A3534">
        <v>2011</v>
      </c>
      <c r="B3534" s="140" t="s">
        <v>115</v>
      </c>
      <c r="C3534" s="140" t="s">
        <v>20</v>
      </c>
      <c r="D3534" s="140" t="s">
        <v>11</v>
      </c>
      <c r="E3534" s="140" t="s">
        <v>12</v>
      </c>
      <c r="F3534">
        <v>50244</v>
      </c>
      <c r="G3534" s="140" t="s">
        <v>273</v>
      </c>
      <c r="H3534">
        <v>0</v>
      </c>
      <c r="I3534" s="140" t="s">
        <v>17</v>
      </c>
    </row>
    <row r="3535" spans="1:9" hidden="1" x14ac:dyDescent="0.25">
      <c r="A3535">
        <v>2012</v>
      </c>
      <c r="B3535" s="140" t="s">
        <v>115</v>
      </c>
      <c r="C3535" s="140" t="s">
        <v>20</v>
      </c>
      <c r="D3535" s="140" t="s">
        <v>11</v>
      </c>
      <c r="E3535" s="140" t="s">
        <v>12</v>
      </c>
      <c r="F3535">
        <v>50538</v>
      </c>
      <c r="G3535" s="140" t="s">
        <v>273</v>
      </c>
      <c r="H3535">
        <v>0</v>
      </c>
      <c r="I3535" s="140" t="s">
        <v>17</v>
      </c>
    </row>
    <row r="3536" spans="1:9" hidden="1" x14ac:dyDescent="0.25">
      <c r="A3536">
        <v>2013</v>
      </c>
      <c r="B3536" s="140" t="s">
        <v>115</v>
      </c>
      <c r="C3536" s="140" t="s">
        <v>20</v>
      </c>
      <c r="D3536" s="140" t="s">
        <v>11</v>
      </c>
      <c r="E3536" s="140" t="s">
        <v>12</v>
      </c>
      <c r="F3536">
        <v>51143</v>
      </c>
      <c r="G3536" s="140" t="s">
        <v>273</v>
      </c>
      <c r="H3536">
        <v>0</v>
      </c>
      <c r="I3536" s="140" t="s">
        <v>17</v>
      </c>
    </row>
    <row r="3537" spans="1:9" hidden="1" x14ac:dyDescent="0.25">
      <c r="A3537">
        <v>2014</v>
      </c>
      <c r="B3537" s="140" t="s">
        <v>115</v>
      </c>
      <c r="C3537" s="140" t="s">
        <v>20</v>
      </c>
      <c r="D3537" s="140" t="s">
        <v>11</v>
      </c>
      <c r="E3537" s="140" t="s">
        <v>12</v>
      </c>
      <c r="F3537">
        <v>51030</v>
      </c>
      <c r="G3537" s="140" t="s">
        <v>273</v>
      </c>
      <c r="H3537">
        <v>0</v>
      </c>
      <c r="I3537" s="140" t="s">
        <v>17</v>
      </c>
    </row>
    <row r="3538" spans="1:9" hidden="1" x14ac:dyDescent="0.25">
      <c r="A3538">
        <v>2015</v>
      </c>
      <c r="B3538" s="140" t="s">
        <v>115</v>
      </c>
      <c r="C3538" s="140" t="s">
        <v>20</v>
      </c>
      <c r="D3538" s="140" t="s">
        <v>11</v>
      </c>
      <c r="E3538" s="140" t="s">
        <v>12</v>
      </c>
      <c r="F3538">
        <v>51644</v>
      </c>
      <c r="G3538" s="140" t="s">
        <v>273</v>
      </c>
      <c r="H3538">
        <v>0</v>
      </c>
      <c r="I3538" s="140" t="s">
        <v>17</v>
      </c>
    </row>
    <row r="3539" spans="1:9" hidden="1" x14ac:dyDescent="0.25">
      <c r="A3539">
        <v>2016</v>
      </c>
      <c r="B3539" s="140" t="s">
        <v>115</v>
      </c>
      <c r="C3539" s="140" t="s">
        <v>20</v>
      </c>
      <c r="D3539" s="140" t="s">
        <v>11</v>
      </c>
      <c r="E3539" s="140" t="s">
        <v>12</v>
      </c>
      <c r="F3539">
        <v>52068</v>
      </c>
      <c r="G3539" s="140" t="s">
        <v>273</v>
      </c>
      <c r="H3539">
        <v>0</v>
      </c>
      <c r="I3539" s="140" t="s">
        <v>17</v>
      </c>
    </row>
    <row r="3540" spans="1:9" hidden="1" x14ac:dyDescent="0.25">
      <c r="A3540">
        <v>2017</v>
      </c>
      <c r="B3540" s="140" t="s">
        <v>115</v>
      </c>
      <c r="C3540" s="140" t="s">
        <v>20</v>
      </c>
      <c r="D3540" s="140" t="s">
        <v>11</v>
      </c>
      <c r="E3540" s="140" t="s">
        <v>12</v>
      </c>
      <c r="F3540">
        <v>52154</v>
      </c>
      <c r="G3540" s="140" t="s">
        <v>273</v>
      </c>
      <c r="H3540">
        <v>0</v>
      </c>
      <c r="I3540" s="140" t="s">
        <v>17</v>
      </c>
    </row>
    <row r="3541" spans="1:9" hidden="1" x14ac:dyDescent="0.25">
      <c r="A3541">
        <v>2018</v>
      </c>
      <c r="B3541" s="140" t="s">
        <v>115</v>
      </c>
      <c r="C3541" s="140" t="s">
        <v>20</v>
      </c>
      <c r="D3541" s="140" t="s">
        <v>11</v>
      </c>
      <c r="E3541" s="140" t="s">
        <v>12</v>
      </c>
      <c r="F3541">
        <v>53183</v>
      </c>
      <c r="G3541" s="140" t="s">
        <v>273</v>
      </c>
      <c r="H3541">
        <v>0</v>
      </c>
      <c r="I3541" s="140" t="s">
        <v>17</v>
      </c>
    </row>
    <row r="3542" spans="1:9" hidden="1" x14ac:dyDescent="0.25">
      <c r="A3542">
        <v>2019</v>
      </c>
      <c r="B3542" s="140" t="s">
        <v>115</v>
      </c>
      <c r="C3542" s="140" t="s">
        <v>20</v>
      </c>
      <c r="D3542" s="140" t="s">
        <v>11</v>
      </c>
      <c r="E3542" s="140" t="s">
        <v>12</v>
      </c>
      <c r="F3542">
        <v>54559</v>
      </c>
      <c r="G3542" s="140" t="s">
        <v>273</v>
      </c>
      <c r="H3542">
        <v>0</v>
      </c>
      <c r="I3542" s="140" t="s">
        <v>17</v>
      </c>
    </row>
    <row r="3543" spans="1:9" hidden="1" x14ac:dyDescent="0.25">
      <c r="A3543">
        <v>2020</v>
      </c>
      <c r="B3543" s="140" t="s">
        <v>115</v>
      </c>
      <c r="C3543" s="140" t="s">
        <v>20</v>
      </c>
      <c r="D3543" s="140" t="s">
        <v>11</v>
      </c>
      <c r="E3543" s="140" t="s">
        <v>12</v>
      </c>
      <c r="F3543">
        <v>54798</v>
      </c>
      <c r="G3543" s="140" t="s">
        <v>273</v>
      </c>
      <c r="H3543">
        <v>0</v>
      </c>
      <c r="I3543" s="140" t="s">
        <v>17</v>
      </c>
    </row>
    <row r="3544" spans="1:9" hidden="1" x14ac:dyDescent="0.25">
      <c r="A3544">
        <v>2021</v>
      </c>
      <c r="B3544" s="140" t="s">
        <v>115</v>
      </c>
      <c r="C3544" s="140" t="s">
        <v>20</v>
      </c>
      <c r="D3544" s="140" t="s">
        <v>11</v>
      </c>
      <c r="E3544" s="140" t="s">
        <v>12</v>
      </c>
      <c r="F3544">
        <v>57138</v>
      </c>
      <c r="G3544" s="140" t="s">
        <v>273</v>
      </c>
      <c r="H3544">
        <v>0</v>
      </c>
      <c r="I3544" s="140" t="s">
        <v>17</v>
      </c>
    </row>
    <row r="3545" spans="1:9" hidden="1" x14ac:dyDescent="0.25">
      <c r="A3545">
        <v>2022</v>
      </c>
      <c r="B3545" s="140" t="s">
        <v>115</v>
      </c>
      <c r="C3545" s="140" t="s">
        <v>20</v>
      </c>
      <c r="D3545" s="140" t="s">
        <v>11</v>
      </c>
      <c r="E3545" s="140" t="s">
        <v>12</v>
      </c>
      <c r="F3545">
        <v>56785</v>
      </c>
      <c r="G3545" s="140" t="s">
        <v>273</v>
      </c>
      <c r="H3545">
        <v>0</v>
      </c>
      <c r="I3545" s="140" t="s">
        <v>17</v>
      </c>
    </row>
    <row r="3546" spans="1:9" hidden="1" x14ac:dyDescent="0.25">
      <c r="A3546">
        <v>2023</v>
      </c>
      <c r="B3546" s="140" t="s">
        <v>115</v>
      </c>
      <c r="C3546" s="140" t="s">
        <v>20</v>
      </c>
      <c r="D3546" s="140" t="s">
        <v>11</v>
      </c>
      <c r="E3546" s="140" t="s">
        <v>12</v>
      </c>
      <c r="F3546">
        <v>59152</v>
      </c>
      <c r="G3546" s="140" t="s">
        <v>273</v>
      </c>
      <c r="H3546">
        <v>0</v>
      </c>
      <c r="I3546" s="140" t="s">
        <v>17</v>
      </c>
    </row>
    <row r="3547" spans="1:9" hidden="1" x14ac:dyDescent="0.25">
      <c r="A3547">
        <v>2024</v>
      </c>
      <c r="B3547" s="140" t="s">
        <v>115</v>
      </c>
      <c r="C3547" s="140" t="s">
        <v>20</v>
      </c>
      <c r="D3547" s="140" t="s">
        <v>11</v>
      </c>
      <c r="E3547" s="140" t="s">
        <v>12</v>
      </c>
      <c r="F3547">
        <v>60202</v>
      </c>
      <c r="G3547" s="140" t="s">
        <v>273</v>
      </c>
      <c r="H3547">
        <v>0</v>
      </c>
      <c r="I3547" s="140" t="s">
        <v>17</v>
      </c>
    </row>
    <row r="3548" spans="1:9" hidden="1" x14ac:dyDescent="0.25">
      <c r="A3548">
        <v>2025</v>
      </c>
      <c r="B3548" s="140" t="s">
        <v>115</v>
      </c>
      <c r="C3548" s="140" t="s">
        <v>20</v>
      </c>
      <c r="D3548" s="140" t="s">
        <v>11</v>
      </c>
      <c r="E3548" s="140" t="s">
        <v>12</v>
      </c>
      <c r="F3548">
        <v>60377</v>
      </c>
      <c r="G3548" s="140" t="s">
        <v>273</v>
      </c>
      <c r="H3548">
        <v>0</v>
      </c>
      <c r="I3548" s="140" t="s">
        <v>17</v>
      </c>
    </row>
    <row r="3549" spans="1:9" hidden="1" x14ac:dyDescent="0.25">
      <c r="A3549">
        <v>2026</v>
      </c>
      <c r="B3549" s="140" t="s">
        <v>115</v>
      </c>
      <c r="C3549" s="140" t="s">
        <v>20</v>
      </c>
      <c r="D3549" s="140" t="s">
        <v>11</v>
      </c>
      <c r="E3549" s="140" t="s">
        <v>12</v>
      </c>
      <c r="F3549">
        <v>60059.739350000003</v>
      </c>
      <c r="G3549" s="140" t="s">
        <v>273</v>
      </c>
      <c r="H3549">
        <v>0</v>
      </c>
      <c r="I3549" s="140" t="s">
        <v>17</v>
      </c>
    </row>
    <row r="3550" spans="1:9" hidden="1" x14ac:dyDescent="0.25">
      <c r="A3550">
        <v>2027</v>
      </c>
      <c r="B3550" s="140" t="s">
        <v>115</v>
      </c>
      <c r="C3550" s="140" t="s">
        <v>20</v>
      </c>
      <c r="D3550" s="140" t="s">
        <v>11</v>
      </c>
      <c r="E3550" s="140" t="s">
        <v>12</v>
      </c>
      <c r="F3550">
        <v>60124.803390000001</v>
      </c>
      <c r="G3550" s="140" t="s">
        <v>273</v>
      </c>
      <c r="H3550">
        <v>0</v>
      </c>
      <c r="I3550" s="140" t="s">
        <v>17</v>
      </c>
    </row>
    <row r="3551" spans="1:9" hidden="1" x14ac:dyDescent="0.25">
      <c r="A3551">
        <v>2028</v>
      </c>
      <c r="B3551" s="140" t="s">
        <v>115</v>
      </c>
      <c r="C3551" s="140" t="s">
        <v>20</v>
      </c>
      <c r="D3551" s="140" t="s">
        <v>11</v>
      </c>
      <c r="E3551" s="140" t="s">
        <v>12</v>
      </c>
      <c r="F3551">
        <v>60425.259420000002</v>
      </c>
      <c r="G3551" s="140" t="s">
        <v>273</v>
      </c>
      <c r="H3551">
        <v>0</v>
      </c>
      <c r="I3551" s="140" t="s">
        <v>17</v>
      </c>
    </row>
    <row r="3552" spans="1:9" hidden="1" x14ac:dyDescent="0.25">
      <c r="A3552">
        <v>2029</v>
      </c>
      <c r="B3552" s="140" t="s">
        <v>115</v>
      </c>
      <c r="C3552" s="140" t="s">
        <v>20</v>
      </c>
      <c r="D3552" s="140" t="s">
        <v>11</v>
      </c>
      <c r="E3552" s="140" t="s">
        <v>12</v>
      </c>
      <c r="F3552">
        <v>61468.161670000001</v>
      </c>
      <c r="G3552" s="140" t="s">
        <v>273</v>
      </c>
      <c r="H3552">
        <v>0</v>
      </c>
      <c r="I3552" s="140" t="s">
        <v>17</v>
      </c>
    </row>
    <row r="3553" spans="1:9" hidden="1" x14ac:dyDescent="0.25">
      <c r="A3553">
        <v>2030</v>
      </c>
      <c r="B3553" s="140" t="s">
        <v>115</v>
      </c>
      <c r="C3553" s="140" t="s">
        <v>20</v>
      </c>
      <c r="D3553" s="140" t="s">
        <v>11</v>
      </c>
      <c r="E3553" s="140" t="s">
        <v>12</v>
      </c>
      <c r="F3553">
        <v>62116.168400000002</v>
      </c>
      <c r="G3553" s="140" t="s">
        <v>273</v>
      </c>
      <c r="H3553">
        <v>0</v>
      </c>
      <c r="I3553" s="140" t="s">
        <v>17</v>
      </c>
    </row>
    <row r="3554" spans="1:9" hidden="1" x14ac:dyDescent="0.25">
      <c r="A3554">
        <v>1990</v>
      </c>
      <c r="B3554" s="140" t="s">
        <v>112</v>
      </c>
      <c r="C3554" s="140" t="s">
        <v>538</v>
      </c>
      <c r="D3554" s="140" t="s">
        <v>11</v>
      </c>
      <c r="E3554" s="140" t="s">
        <v>104</v>
      </c>
      <c r="F3554">
        <v>12609.63967</v>
      </c>
      <c r="G3554" s="140" t="s">
        <v>275</v>
      </c>
      <c r="H3554">
        <v>0</v>
      </c>
      <c r="I3554" s="140" t="s">
        <v>17</v>
      </c>
    </row>
    <row r="3555" spans="1:9" hidden="1" x14ac:dyDescent="0.25">
      <c r="A3555">
        <v>1991</v>
      </c>
      <c r="B3555" s="140" t="s">
        <v>112</v>
      </c>
      <c r="C3555" s="140" t="s">
        <v>538</v>
      </c>
      <c r="D3555" s="140" t="s">
        <v>11</v>
      </c>
      <c r="E3555" s="140" t="s">
        <v>104</v>
      </c>
      <c r="F3555">
        <v>13140.77298</v>
      </c>
      <c r="G3555" s="140" t="s">
        <v>275</v>
      </c>
      <c r="H3555">
        <v>0</v>
      </c>
      <c r="I3555" s="140" t="s">
        <v>17</v>
      </c>
    </row>
    <row r="3556" spans="1:9" hidden="1" x14ac:dyDescent="0.25">
      <c r="A3556">
        <v>1992</v>
      </c>
      <c r="B3556" s="140" t="s">
        <v>112</v>
      </c>
      <c r="C3556" s="140" t="s">
        <v>538</v>
      </c>
      <c r="D3556" s="140" t="s">
        <v>11</v>
      </c>
      <c r="E3556" s="140" t="s">
        <v>104</v>
      </c>
      <c r="F3556">
        <v>12950.507390000001</v>
      </c>
      <c r="G3556" s="140" t="s">
        <v>275</v>
      </c>
      <c r="H3556">
        <v>0</v>
      </c>
      <c r="I3556" s="140" t="s">
        <v>17</v>
      </c>
    </row>
    <row r="3557" spans="1:9" hidden="1" x14ac:dyDescent="0.25">
      <c r="A3557">
        <v>1993</v>
      </c>
      <c r="B3557" s="140" t="s">
        <v>112</v>
      </c>
      <c r="C3557" s="140" t="s">
        <v>538</v>
      </c>
      <c r="D3557" s="140" t="s">
        <v>11</v>
      </c>
      <c r="E3557" s="140" t="s">
        <v>104</v>
      </c>
      <c r="F3557">
        <v>12978.61865</v>
      </c>
      <c r="G3557" s="140" t="s">
        <v>275</v>
      </c>
      <c r="H3557">
        <v>0</v>
      </c>
      <c r="I3557" s="140" t="s">
        <v>17</v>
      </c>
    </row>
    <row r="3558" spans="1:9" hidden="1" x14ac:dyDescent="0.25">
      <c r="A3558">
        <v>1994</v>
      </c>
      <c r="B3558" s="140" t="s">
        <v>112</v>
      </c>
      <c r="C3558" s="140" t="s">
        <v>538</v>
      </c>
      <c r="D3558" s="140" t="s">
        <v>11</v>
      </c>
      <c r="E3558" s="140" t="s">
        <v>104</v>
      </c>
      <c r="F3558">
        <v>13138.826779999999</v>
      </c>
      <c r="G3558" s="140" t="s">
        <v>275</v>
      </c>
      <c r="H3558">
        <v>0</v>
      </c>
      <c r="I3558" s="140" t="s">
        <v>17</v>
      </c>
    </row>
    <row r="3559" spans="1:9" hidden="1" x14ac:dyDescent="0.25">
      <c r="A3559">
        <v>1995</v>
      </c>
      <c r="B3559" s="140" t="s">
        <v>112</v>
      </c>
      <c r="C3559" s="140" t="s">
        <v>538</v>
      </c>
      <c r="D3559" s="140" t="s">
        <v>11</v>
      </c>
      <c r="E3559" s="140" t="s">
        <v>104</v>
      </c>
      <c r="F3559">
        <v>13355.82667</v>
      </c>
      <c r="G3559" s="140" t="s">
        <v>275</v>
      </c>
      <c r="H3559">
        <v>0</v>
      </c>
      <c r="I3559" s="140" t="s">
        <v>17</v>
      </c>
    </row>
    <row r="3560" spans="1:9" hidden="1" x14ac:dyDescent="0.25">
      <c r="A3560">
        <v>1996</v>
      </c>
      <c r="B3560" s="140" t="s">
        <v>112</v>
      </c>
      <c r="C3560" s="140" t="s">
        <v>538</v>
      </c>
      <c r="D3560" s="140" t="s">
        <v>11</v>
      </c>
      <c r="E3560" s="140" t="s">
        <v>104</v>
      </c>
      <c r="F3560">
        <v>13662.03016</v>
      </c>
      <c r="G3560" s="140" t="s">
        <v>275</v>
      </c>
      <c r="H3560">
        <v>0</v>
      </c>
      <c r="I3560" s="140" t="s">
        <v>17</v>
      </c>
    </row>
    <row r="3561" spans="1:9" hidden="1" x14ac:dyDescent="0.25">
      <c r="A3561">
        <v>1997</v>
      </c>
      <c r="B3561" s="140" t="s">
        <v>112</v>
      </c>
      <c r="C3561" s="140" t="s">
        <v>538</v>
      </c>
      <c r="D3561" s="140" t="s">
        <v>11</v>
      </c>
      <c r="E3561" s="140" t="s">
        <v>104</v>
      </c>
      <c r="F3561">
        <v>14382.882879999999</v>
      </c>
      <c r="G3561" s="140" t="s">
        <v>275</v>
      </c>
      <c r="H3561">
        <v>0</v>
      </c>
      <c r="I3561" s="140" t="s">
        <v>17</v>
      </c>
    </row>
    <row r="3562" spans="1:9" hidden="1" x14ac:dyDescent="0.25">
      <c r="A3562">
        <v>1998</v>
      </c>
      <c r="B3562" s="140" t="s">
        <v>112</v>
      </c>
      <c r="C3562" s="140" t="s">
        <v>538</v>
      </c>
      <c r="D3562" s="140" t="s">
        <v>11</v>
      </c>
      <c r="E3562" s="140" t="s">
        <v>104</v>
      </c>
      <c r="F3562">
        <v>14153.564979999999</v>
      </c>
      <c r="G3562" s="140" t="s">
        <v>275</v>
      </c>
      <c r="H3562">
        <v>0</v>
      </c>
      <c r="I3562" s="140" t="s">
        <v>17</v>
      </c>
    </row>
    <row r="3563" spans="1:9" hidden="1" x14ac:dyDescent="0.25">
      <c r="A3563">
        <v>1999</v>
      </c>
      <c r="B3563" s="140" t="s">
        <v>112</v>
      </c>
      <c r="C3563" s="140" t="s">
        <v>538</v>
      </c>
      <c r="D3563" s="140" t="s">
        <v>11</v>
      </c>
      <c r="E3563" s="140" t="s">
        <v>104</v>
      </c>
      <c r="F3563">
        <v>14544.20212</v>
      </c>
      <c r="G3563" s="140" t="s">
        <v>275</v>
      </c>
      <c r="H3563">
        <v>0</v>
      </c>
      <c r="I3563" s="140" t="s">
        <v>17</v>
      </c>
    </row>
    <row r="3564" spans="1:9" hidden="1" x14ac:dyDescent="0.25">
      <c r="A3564">
        <v>2000</v>
      </c>
      <c r="B3564" s="140" t="s">
        <v>112</v>
      </c>
      <c r="C3564" s="140" t="s">
        <v>538</v>
      </c>
      <c r="D3564" s="140" t="s">
        <v>11</v>
      </c>
      <c r="E3564" s="140" t="s">
        <v>104</v>
      </c>
      <c r="F3564">
        <v>14415.39738</v>
      </c>
      <c r="G3564" s="140" t="s">
        <v>275</v>
      </c>
      <c r="H3564">
        <v>0</v>
      </c>
      <c r="I3564" s="140" t="s">
        <v>17</v>
      </c>
    </row>
    <row r="3565" spans="1:9" hidden="1" x14ac:dyDescent="0.25">
      <c r="A3565">
        <v>2001</v>
      </c>
      <c r="B3565" s="140" t="s">
        <v>112</v>
      </c>
      <c r="C3565" s="140" t="s">
        <v>538</v>
      </c>
      <c r="D3565" s="140" t="s">
        <v>11</v>
      </c>
      <c r="E3565" s="140" t="s">
        <v>104</v>
      </c>
      <c r="F3565">
        <v>15914.87134</v>
      </c>
      <c r="G3565" s="140" t="s">
        <v>275</v>
      </c>
      <c r="H3565">
        <v>0</v>
      </c>
      <c r="I3565" s="140" t="s">
        <v>17</v>
      </c>
    </row>
    <row r="3566" spans="1:9" hidden="1" x14ac:dyDescent="0.25">
      <c r="A3566">
        <v>2002</v>
      </c>
      <c r="B3566" s="140" t="s">
        <v>112</v>
      </c>
      <c r="C3566" s="140" t="s">
        <v>538</v>
      </c>
      <c r="D3566" s="140" t="s">
        <v>11</v>
      </c>
      <c r="E3566" s="140" t="s">
        <v>104</v>
      </c>
      <c r="F3566">
        <v>16316.171490000001</v>
      </c>
      <c r="G3566" s="140" t="s">
        <v>275</v>
      </c>
      <c r="H3566">
        <v>0</v>
      </c>
      <c r="I3566" s="140" t="s">
        <v>17</v>
      </c>
    </row>
    <row r="3567" spans="1:9" hidden="1" x14ac:dyDescent="0.25">
      <c r="A3567">
        <v>2003</v>
      </c>
      <c r="B3567" s="140" t="s">
        <v>112</v>
      </c>
      <c r="C3567" s="140" t="s">
        <v>538</v>
      </c>
      <c r="D3567" s="140" t="s">
        <v>11</v>
      </c>
      <c r="E3567" s="140" t="s">
        <v>104</v>
      </c>
      <c r="F3567">
        <v>16371.21264</v>
      </c>
      <c r="G3567" s="140" t="s">
        <v>275</v>
      </c>
      <c r="H3567">
        <v>0</v>
      </c>
      <c r="I3567" s="140" t="s">
        <v>17</v>
      </c>
    </row>
    <row r="3568" spans="1:9" hidden="1" x14ac:dyDescent="0.25">
      <c r="A3568">
        <v>2004</v>
      </c>
      <c r="B3568" s="140" t="s">
        <v>112</v>
      </c>
      <c r="C3568" s="140" t="s">
        <v>538</v>
      </c>
      <c r="D3568" s="140" t="s">
        <v>11</v>
      </c>
      <c r="E3568" s="140" t="s">
        <v>104</v>
      </c>
      <c r="F3568">
        <v>16448.630969999998</v>
      </c>
      <c r="G3568" s="140" t="s">
        <v>275</v>
      </c>
      <c r="H3568">
        <v>0</v>
      </c>
      <c r="I3568" s="140" t="s">
        <v>17</v>
      </c>
    </row>
    <row r="3569" spans="1:9" hidden="1" x14ac:dyDescent="0.25">
      <c r="A3569">
        <v>2005</v>
      </c>
      <c r="B3569" s="140" t="s">
        <v>112</v>
      </c>
      <c r="C3569" s="140" t="s">
        <v>538</v>
      </c>
      <c r="D3569" s="140" t="s">
        <v>11</v>
      </c>
      <c r="E3569" s="140" t="s">
        <v>104</v>
      </c>
      <c r="F3569">
        <v>16653.78631</v>
      </c>
      <c r="G3569" s="140" t="s">
        <v>275</v>
      </c>
      <c r="H3569">
        <v>0</v>
      </c>
      <c r="I3569" s="140" t="s">
        <v>17</v>
      </c>
    </row>
    <row r="3570" spans="1:9" hidden="1" x14ac:dyDescent="0.25">
      <c r="A3570">
        <v>2006</v>
      </c>
      <c r="B3570" s="140" t="s">
        <v>112</v>
      </c>
      <c r="C3570" s="140" t="s">
        <v>538</v>
      </c>
      <c r="D3570" s="140" t="s">
        <v>11</v>
      </c>
      <c r="E3570" s="140" t="s">
        <v>104</v>
      </c>
      <c r="F3570">
        <v>16947.37731</v>
      </c>
      <c r="G3570" s="140" t="s">
        <v>275</v>
      </c>
      <c r="H3570">
        <v>0</v>
      </c>
      <c r="I3570" s="140" t="s">
        <v>17</v>
      </c>
    </row>
    <row r="3571" spans="1:9" hidden="1" x14ac:dyDescent="0.25">
      <c r="A3571">
        <v>2007</v>
      </c>
      <c r="B3571" s="140" t="s">
        <v>112</v>
      </c>
      <c r="C3571" s="140" t="s">
        <v>538</v>
      </c>
      <c r="D3571" s="140" t="s">
        <v>11</v>
      </c>
      <c r="E3571" s="140" t="s">
        <v>104</v>
      </c>
      <c r="F3571">
        <v>17198.34576</v>
      </c>
      <c r="G3571" s="140" t="s">
        <v>275</v>
      </c>
      <c r="H3571">
        <v>0</v>
      </c>
      <c r="I3571" s="140" t="s">
        <v>17</v>
      </c>
    </row>
    <row r="3572" spans="1:9" hidden="1" x14ac:dyDescent="0.25">
      <c r="A3572">
        <v>2008</v>
      </c>
      <c r="B3572" s="140" t="s">
        <v>112</v>
      </c>
      <c r="C3572" s="140" t="s">
        <v>538</v>
      </c>
      <c r="D3572" s="140" t="s">
        <v>11</v>
      </c>
      <c r="E3572" s="140" t="s">
        <v>104</v>
      </c>
      <c r="F3572">
        <v>17292.479439999999</v>
      </c>
      <c r="G3572" s="140" t="s">
        <v>275</v>
      </c>
      <c r="H3572">
        <v>0</v>
      </c>
      <c r="I3572" s="140" t="s">
        <v>17</v>
      </c>
    </row>
    <row r="3573" spans="1:9" hidden="1" x14ac:dyDescent="0.25">
      <c r="A3573">
        <v>2009</v>
      </c>
      <c r="B3573" s="140" t="s">
        <v>112</v>
      </c>
      <c r="C3573" s="140" t="s">
        <v>538</v>
      </c>
      <c r="D3573" s="140" t="s">
        <v>11</v>
      </c>
      <c r="E3573" s="140" t="s">
        <v>104</v>
      </c>
      <c r="F3573">
        <v>17806.242340000001</v>
      </c>
      <c r="G3573" s="140" t="s">
        <v>275</v>
      </c>
      <c r="H3573">
        <v>0</v>
      </c>
      <c r="I3573" s="140" t="s">
        <v>17</v>
      </c>
    </row>
    <row r="3574" spans="1:9" hidden="1" x14ac:dyDescent="0.25">
      <c r="A3574">
        <v>2010</v>
      </c>
      <c r="B3574" s="140" t="s">
        <v>112</v>
      </c>
      <c r="C3574" s="140" t="s">
        <v>538</v>
      </c>
      <c r="D3574" s="140" t="s">
        <v>11</v>
      </c>
      <c r="E3574" s="140" t="s">
        <v>104</v>
      </c>
      <c r="F3574">
        <v>17546.10814</v>
      </c>
      <c r="G3574" s="140" t="s">
        <v>275</v>
      </c>
      <c r="H3574">
        <v>0</v>
      </c>
      <c r="I3574" s="140" t="s">
        <v>17</v>
      </c>
    </row>
    <row r="3575" spans="1:9" hidden="1" x14ac:dyDescent="0.25">
      <c r="A3575">
        <v>2011</v>
      </c>
      <c r="B3575" s="140" t="s">
        <v>112</v>
      </c>
      <c r="C3575" s="140" t="s">
        <v>538</v>
      </c>
      <c r="D3575" s="140" t="s">
        <v>11</v>
      </c>
      <c r="E3575" s="140" t="s">
        <v>104</v>
      </c>
      <c r="F3575">
        <v>17096.83063</v>
      </c>
      <c r="G3575" s="140" t="s">
        <v>275</v>
      </c>
      <c r="H3575">
        <v>0</v>
      </c>
      <c r="I3575" s="140" t="s">
        <v>17</v>
      </c>
    </row>
    <row r="3576" spans="1:9" hidden="1" x14ac:dyDescent="0.25">
      <c r="A3576">
        <v>2012</v>
      </c>
      <c r="B3576" s="140" t="s">
        <v>112</v>
      </c>
      <c r="C3576" s="140" t="s">
        <v>538</v>
      </c>
      <c r="D3576" s="140" t="s">
        <v>11</v>
      </c>
      <c r="E3576" s="140" t="s">
        <v>104</v>
      </c>
      <c r="F3576">
        <v>17120.224730000002</v>
      </c>
      <c r="G3576" s="140" t="s">
        <v>275</v>
      </c>
      <c r="H3576">
        <v>0</v>
      </c>
      <c r="I3576" s="140" t="s">
        <v>17</v>
      </c>
    </row>
    <row r="3577" spans="1:9" hidden="1" x14ac:dyDescent="0.25">
      <c r="A3577">
        <v>2013</v>
      </c>
      <c r="B3577" s="140" t="s">
        <v>112</v>
      </c>
      <c r="C3577" s="140" t="s">
        <v>538</v>
      </c>
      <c r="D3577" s="140" t="s">
        <v>11</v>
      </c>
      <c r="E3577" s="140" t="s">
        <v>104</v>
      </c>
      <c r="F3577">
        <v>17730.77881</v>
      </c>
      <c r="G3577" s="140" t="s">
        <v>275</v>
      </c>
      <c r="H3577">
        <v>0</v>
      </c>
      <c r="I3577" s="140" t="s">
        <v>17</v>
      </c>
    </row>
    <row r="3578" spans="1:9" hidden="1" x14ac:dyDescent="0.25">
      <c r="A3578">
        <v>2014</v>
      </c>
      <c r="B3578" s="140" t="s">
        <v>112</v>
      </c>
      <c r="C3578" s="140" t="s">
        <v>538</v>
      </c>
      <c r="D3578" s="140" t="s">
        <v>11</v>
      </c>
      <c r="E3578" s="140" t="s">
        <v>104</v>
      </c>
      <c r="F3578">
        <v>17871.066739999998</v>
      </c>
      <c r="G3578" s="140" t="s">
        <v>275</v>
      </c>
      <c r="H3578">
        <v>0</v>
      </c>
      <c r="I3578" s="140" t="s">
        <v>17</v>
      </c>
    </row>
    <row r="3579" spans="1:9" hidden="1" x14ac:dyDescent="0.25">
      <c r="A3579">
        <v>2015</v>
      </c>
      <c r="B3579" s="140" t="s">
        <v>112</v>
      </c>
      <c r="C3579" s="140" t="s">
        <v>538</v>
      </c>
      <c r="D3579" s="140" t="s">
        <v>11</v>
      </c>
      <c r="E3579" s="140" t="s">
        <v>104</v>
      </c>
      <c r="F3579">
        <v>17294</v>
      </c>
      <c r="G3579" s="140" t="s">
        <v>275</v>
      </c>
      <c r="H3579">
        <v>0</v>
      </c>
      <c r="I3579" s="140" t="s">
        <v>17</v>
      </c>
    </row>
    <row r="3580" spans="1:9" hidden="1" x14ac:dyDescent="0.25">
      <c r="A3580">
        <v>2016</v>
      </c>
      <c r="B3580" s="140" t="s">
        <v>112</v>
      </c>
      <c r="C3580" s="140" t="s">
        <v>538</v>
      </c>
      <c r="D3580" s="140" t="s">
        <v>11</v>
      </c>
      <c r="E3580" s="140" t="s">
        <v>104</v>
      </c>
      <c r="F3580">
        <v>16741</v>
      </c>
      <c r="G3580" s="140" t="s">
        <v>275</v>
      </c>
      <c r="H3580">
        <v>0</v>
      </c>
      <c r="I3580" s="140" t="s">
        <v>17</v>
      </c>
    </row>
    <row r="3581" spans="1:9" hidden="1" x14ac:dyDescent="0.25">
      <c r="A3581">
        <v>2017</v>
      </c>
      <c r="B3581" s="140" t="s">
        <v>112</v>
      </c>
      <c r="C3581" s="140" t="s">
        <v>538</v>
      </c>
      <c r="D3581" s="140" t="s">
        <v>11</v>
      </c>
      <c r="E3581" s="140" t="s">
        <v>104</v>
      </c>
      <c r="F3581">
        <v>16585</v>
      </c>
      <c r="G3581" s="140" t="s">
        <v>275</v>
      </c>
      <c r="H3581">
        <v>0</v>
      </c>
      <c r="I3581" s="140" t="s">
        <v>17</v>
      </c>
    </row>
    <row r="3582" spans="1:9" hidden="1" x14ac:dyDescent="0.25">
      <c r="A3582">
        <v>2018</v>
      </c>
      <c r="B3582" s="140" t="s">
        <v>112</v>
      </c>
      <c r="C3582" s="140" t="s">
        <v>538</v>
      </c>
      <c r="D3582" s="140" t="s">
        <v>11</v>
      </c>
      <c r="E3582" s="140" t="s">
        <v>104</v>
      </c>
      <c r="F3582">
        <v>16710.840660000002</v>
      </c>
      <c r="G3582" s="140" t="s">
        <v>275</v>
      </c>
      <c r="H3582">
        <v>0</v>
      </c>
      <c r="I3582" s="140" t="s">
        <v>17</v>
      </c>
    </row>
    <row r="3583" spans="1:9" hidden="1" x14ac:dyDescent="0.25">
      <c r="A3583">
        <v>2019</v>
      </c>
      <c r="B3583" s="140" t="s">
        <v>112</v>
      </c>
      <c r="C3583" s="140" t="s">
        <v>538</v>
      </c>
      <c r="D3583" s="140" t="s">
        <v>11</v>
      </c>
      <c r="E3583" s="140" t="s">
        <v>104</v>
      </c>
      <c r="F3583">
        <v>17132.945350000002</v>
      </c>
      <c r="G3583" s="140" t="s">
        <v>275</v>
      </c>
      <c r="H3583">
        <v>0</v>
      </c>
      <c r="I3583" s="140" t="s">
        <v>17</v>
      </c>
    </row>
    <row r="3584" spans="1:9" hidden="1" x14ac:dyDescent="0.25">
      <c r="A3584">
        <v>2020</v>
      </c>
      <c r="B3584" s="140" t="s">
        <v>112</v>
      </c>
      <c r="C3584" s="140" t="s">
        <v>538</v>
      </c>
      <c r="D3584" s="140" t="s">
        <v>11</v>
      </c>
      <c r="E3584" s="140" t="s">
        <v>104</v>
      </c>
      <c r="F3584">
        <v>17419.520209999999</v>
      </c>
      <c r="G3584" s="140" t="s">
        <v>275</v>
      </c>
      <c r="H3584">
        <v>0</v>
      </c>
      <c r="I3584" s="140" t="s">
        <v>17</v>
      </c>
    </row>
    <row r="3585" spans="1:9" hidden="1" x14ac:dyDescent="0.25">
      <c r="A3585">
        <v>2021</v>
      </c>
      <c r="B3585" s="140" t="s">
        <v>112</v>
      </c>
      <c r="C3585" s="140" t="s">
        <v>538</v>
      </c>
      <c r="D3585" s="140" t="s">
        <v>11</v>
      </c>
      <c r="E3585" s="140" t="s">
        <v>104</v>
      </c>
      <c r="F3585">
        <v>18192.570169999999</v>
      </c>
      <c r="G3585" s="140" t="s">
        <v>275</v>
      </c>
      <c r="H3585">
        <v>0</v>
      </c>
      <c r="I3585" s="140" t="s">
        <v>17</v>
      </c>
    </row>
    <row r="3586" spans="1:9" hidden="1" x14ac:dyDescent="0.25">
      <c r="A3586">
        <v>2022</v>
      </c>
      <c r="B3586" s="140" t="s">
        <v>112</v>
      </c>
      <c r="C3586" s="140" t="s">
        <v>538</v>
      </c>
      <c r="D3586" s="140" t="s">
        <v>11</v>
      </c>
      <c r="E3586" s="140" t="s">
        <v>104</v>
      </c>
      <c r="F3586">
        <v>18022.337500000001</v>
      </c>
      <c r="G3586" s="140" t="s">
        <v>275</v>
      </c>
      <c r="H3586">
        <v>0</v>
      </c>
      <c r="I3586" s="140" t="s">
        <v>17</v>
      </c>
    </row>
    <row r="3587" spans="1:9" hidden="1" x14ac:dyDescent="0.25">
      <c r="A3587">
        <v>2023</v>
      </c>
      <c r="B3587" s="140" t="s">
        <v>112</v>
      </c>
      <c r="C3587" s="140" t="s">
        <v>538</v>
      </c>
      <c r="D3587" s="140" t="s">
        <v>11</v>
      </c>
      <c r="E3587" s="140" t="s">
        <v>104</v>
      </c>
      <c r="F3587">
        <v>18170.39386</v>
      </c>
      <c r="G3587" s="140" t="s">
        <v>275</v>
      </c>
      <c r="H3587">
        <v>0</v>
      </c>
      <c r="I3587" s="140" t="s">
        <v>17</v>
      </c>
    </row>
    <row r="3588" spans="1:9" hidden="1" x14ac:dyDescent="0.25">
      <c r="A3588">
        <v>2024</v>
      </c>
      <c r="B3588" s="140" t="s">
        <v>112</v>
      </c>
      <c r="C3588" s="140" t="s">
        <v>538</v>
      </c>
      <c r="D3588" s="140" t="s">
        <v>11</v>
      </c>
      <c r="E3588" s="140" t="s">
        <v>104</v>
      </c>
      <c r="F3588">
        <v>18718.592100000002</v>
      </c>
      <c r="G3588" s="140" t="s">
        <v>275</v>
      </c>
      <c r="H3588">
        <v>0</v>
      </c>
      <c r="I3588" s="140" t="s">
        <v>17</v>
      </c>
    </row>
    <row r="3589" spans="1:9" hidden="1" x14ac:dyDescent="0.25">
      <c r="A3589">
        <v>2025</v>
      </c>
      <c r="B3589" s="140" t="s">
        <v>112</v>
      </c>
      <c r="C3589" s="140" t="s">
        <v>538</v>
      </c>
      <c r="D3589" s="140" t="s">
        <v>11</v>
      </c>
      <c r="E3589" s="140" t="s">
        <v>104</v>
      </c>
      <c r="F3589">
        <v>18678.57991</v>
      </c>
      <c r="G3589" s="140" t="s">
        <v>275</v>
      </c>
      <c r="H3589">
        <v>0</v>
      </c>
      <c r="I3589" s="140" t="s">
        <v>17</v>
      </c>
    </row>
    <row r="3590" spans="1:9" hidden="1" x14ac:dyDescent="0.25">
      <c r="A3590">
        <v>2026</v>
      </c>
      <c r="B3590" s="140" t="s">
        <v>112</v>
      </c>
      <c r="C3590" s="140" t="s">
        <v>538</v>
      </c>
      <c r="D3590" s="140" t="s">
        <v>11</v>
      </c>
      <c r="E3590" s="140" t="s">
        <v>104</v>
      </c>
      <c r="F3590">
        <v>18654.446469999999</v>
      </c>
      <c r="G3590" s="140" t="s">
        <v>275</v>
      </c>
      <c r="H3590">
        <v>0</v>
      </c>
      <c r="I3590" s="140" t="s">
        <v>17</v>
      </c>
    </row>
    <row r="3591" spans="1:9" hidden="1" x14ac:dyDescent="0.25">
      <c r="A3591">
        <v>2027</v>
      </c>
      <c r="B3591" s="140" t="s">
        <v>112</v>
      </c>
      <c r="C3591" s="140" t="s">
        <v>538</v>
      </c>
      <c r="D3591" s="140" t="s">
        <v>11</v>
      </c>
      <c r="E3591" s="140" t="s">
        <v>104</v>
      </c>
      <c r="F3591">
        <v>18691.688620000001</v>
      </c>
      <c r="G3591" s="140" t="s">
        <v>275</v>
      </c>
      <c r="H3591">
        <v>0</v>
      </c>
      <c r="I3591" s="140" t="s">
        <v>17</v>
      </c>
    </row>
    <row r="3592" spans="1:9" hidden="1" x14ac:dyDescent="0.25">
      <c r="A3592">
        <v>2028</v>
      </c>
      <c r="B3592" s="140" t="s">
        <v>112</v>
      </c>
      <c r="C3592" s="140" t="s">
        <v>538</v>
      </c>
      <c r="D3592" s="140" t="s">
        <v>11</v>
      </c>
      <c r="E3592" s="140" t="s">
        <v>104</v>
      </c>
      <c r="F3592">
        <v>18951.770359999999</v>
      </c>
      <c r="G3592" s="140" t="s">
        <v>275</v>
      </c>
      <c r="H3592">
        <v>0</v>
      </c>
      <c r="I3592" s="140" t="s">
        <v>17</v>
      </c>
    </row>
    <row r="3593" spans="1:9" hidden="1" x14ac:dyDescent="0.25">
      <c r="A3593">
        <v>1990</v>
      </c>
      <c r="B3593" s="140" t="s">
        <v>115</v>
      </c>
      <c r="C3593" s="140" t="s">
        <v>19</v>
      </c>
      <c r="D3593" s="140" t="s">
        <v>11</v>
      </c>
      <c r="E3593" s="140" t="s">
        <v>12</v>
      </c>
      <c r="F3593">
        <v>18984</v>
      </c>
      <c r="G3593" s="140" t="s">
        <v>273</v>
      </c>
      <c r="H3593">
        <v>0</v>
      </c>
      <c r="I3593" s="140" t="s">
        <v>17</v>
      </c>
    </row>
    <row r="3594" spans="1:9" hidden="1" x14ac:dyDescent="0.25">
      <c r="A3594">
        <v>1991</v>
      </c>
      <c r="B3594" s="140" t="s">
        <v>115</v>
      </c>
      <c r="C3594" s="140" t="s">
        <v>19</v>
      </c>
      <c r="D3594" s="140" t="s">
        <v>11</v>
      </c>
      <c r="E3594" s="140" t="s">
        <v>12</v>
      </c>
      <c r="F3594">
        <v>20780</v>
      </c>
      <c r="G3594" s="140" t="s">
        <v>273</v>
      </c>
      <c r="H3594">
        <v>0</v>
      </c>
      <c r="I3594" s="140" t="s">
        <v>17</v>
      </c>
    </row>
    <row r="3595" spans="1:9" hidden="1" x14ac:dyDescent="0.25">
      <c r="A3595">
        <v>1992</v>
      </c>
      <c r="B3595" s="140" t="s">
        <v>115</v>
      </c>
      <c r="C3595" s="140" t="s">
        <v>19</v>
      </c>
      <c r="D3595" s="140" t="s">
        <v>11</v>
      </c>
      <c r="E3595" s="140" t="s">
        <v>12</v>
      </c>
      <c r="F3595">
        <v>20577</v>
      </c>
      <c r="G3595" s="140" t="s">
        <v>273</v>
      </c>
      <c r="H3595">
        <v>0</v>
      </c>
      <c r="I3595" s="140" t="s">
        <v>17</v>
      </c>
    </row>
    <row r="3596" spans="1:9" hidden="1" x14ac:dyDescent="0.25">
      <c r="A3596">
        <v>1993</v>
      </c>
      <c r="B3596" s="140" t="s">
        <v>115</v>
      </c>
      <c r="C3596" s="140" t="s">
        <v>19</v>
      </c>
      <c r="D3596" s="140" t="s">
        <v>11</v>
      </c>
      <c r="E3596" s="140" t="s">
        <v>12</v>
      </c>
      <c r="F3596">
        <v>19971</v>
      </c>
      <c r="G3596" s="140" t="s">
        <v>273</v>
      </c>
      <c r="H3596">
        <v>0</v>
      </c>
      <c r="I3596" s="140" t="s">
        <v>17</v>
      </c>
    </row>
    <row r="3597" spans="1:9" hidden="1" x14ac:dyDescent="0.25">
      <c r="A3597">
        <v>1994</v>
      </c>
      <c r="B3597" s="140" t="s">
        <v>115</v>
      </c>
      <c r="C3597" s="140" t="s">
        <v>19</v>
      </c>
      <c r="D3597" s="140" t="s">
        <v>11</v>
      </c>
      <c r="E3597" s="140" t="s">
        <v>12</v>
      </c>
      <c r="F3597">
        <v>20325</v>
      </c>
      <c r="G3597" s="140" t="s">
        <v>273</v>
      </c>
      <c r="H3597">
        <v>0</v>
      </c>
      <c r="I3597" s="140" t="s">
        <v>17</v>
      </c>
    </row>
    <row r="3598" spans="1:9" hidden="1" x14ac:dyDescent="0.25">
      <c r="A3598">
        <v>1995</v>
      </c>
      <c r="B3598" s="140" t="s">
        <v>115</v>
      </c>
      <c r="C3598" s="140" t="s">
        <v>19</v>
      </c>
      <c r="D3598" s="140" t="s">
        <v>11</v>
      </c>
      <c r="E3598" s="140" t="s">
        <v>12</v>
      </c>
      <c r="F3598">
        <v>21577</v>
      </c>
      <c r="G3598" s="140" t="s">
        <v>273</v>
      </c>
      <c r="H3598">
        <v>0</v>
      </c>
      <c r="I3598" s="140" t="s">
        <v>17</v>
      </c>
    </row>
    <row r="3599" spans="1:9" hidden="1" x14ac:dyDescent="0.25">
      <c r="A3599">
        <v>1996</v>
      </c>
      <c r="B3599" s="140" t="s">
        <v>115</v>
      </c>
      <c r="C3599" s="140" t="s">
        <v>19</v>
      </c>
      <c r="D3599" s="140" t="s">
        <v>11</v>
      </c>
      <c r="E3599" s="140" t="s">
        <v>12</v>
      </c>
      <c r="F3599">
        <v>22621</v>
      </c>
      <c r="G3599" s="140" t="s">
        <v>273</v>
      </c>
      <c r="H3599">
        <v>0</v>
      </c>
      <c r="I3599" s="140" t="s">
        <v>17</v>
      </c>
    </row>
    <row r="3600" spans="1:9" hidden="1" x14ac:dyDescent="0.25">
      <c r="A3600">
        <v>1997</v>
      </c>
      <c r="B3600" s="140" t="s">
        <v>115</v>
      </c>
      <c r="C3600" s="140" t="s">
        <v>19</v>
      </c>
      <c r="D3600" s="140" t="s">
        <v>11</v>
      </c>
      <c r="E3600" s="140" t="s">
        <v>12</v>
      </c>
      <c r="F3600">
        <v>23615</v>
      </c>
      <c r="G3600" s="140" t="s">
        <v>273</v>
      </c>
      <c r="H3600">
        <v>0</v>
      </c>
      <c r="I3600" s="140" t="s">
        <v>17</v>
      </c>
    </row>
    <row r="3601" spans="1:9" hidden="1" x14ac:dyDescent="0.25">
      <c r="A3601">
        <v>1998</v>
      </c>
      <c r="B3601" s="140" t="s">
        <v>115</v>
      </c>
      <c r="C3601" s="140" t="s">
        <v>19</v>
      </c>
      <c r="D3601" s="140" t="s">
        <v>11</v>
      </c>
      <c r="E3601" s="140" t="s">
        <v>12</v>
      </c>
      <c r="F3601">
        <v>24787</v>
      </c>
      <c r="G3601" s="140" t="s">
        <v>273</v>
      </c>
      <c r="H3601">
        <v>0</v>
      </c>
      <c r="I3601" s="140" t="s">
        <v>17</v>
      </c>
    </row>
    <row r="3602" spans="1:9" hidden="1" x14ac:dyDescent="0.25">
      <c r="A3602">
        <v>1999</v>
      </c>
      <c r="B3602" s="140" t="s">
        <v>115</v>
      </c>
      <c r="C3602" s="140" t="s">
        <v>19</v>
      </c>
      <c r="D3602" s="140" t="s">
        <v>11</v>
      </c>
      <c r="E3602" s="140" t="s">
        <v>12</v>
      </c>
      <c r="F3602">
        <v>25692</v>
      </c>
      <c r="G3602" s="140" t="s">
        <v>273</v>
      </c>
      <c r="H3602">
        <v>0</v>
      </c>
      <c r="I3602" s="140" t="s">
        <v>17</v>
      </c>
    </row>
    <row r="3603" spans="1:9" hidden="1" x14ac:dyDescent="0.25">
      <c r="A3603">
        <v>2000</v>
      </c>
      <c r="B3603" s="140" t="s">
        <v>115</v>
      </c>
      <c r="C3603" s="140" t="s">
        <v>19</v>
      </c>
      <c r="D3603" s="140" t="s">
        <v>11</v>
      </c>
      <c r="E3603" s="140" t="s">
        <v>12</v>
      </c>
      <c r="F3603">
        <v>26886</v>
      </c>
      <c r="G3603" s="140" t="s">
        <v>273</v>
      </c>
      <c r="H3603">
        <v>0</v>
      </c>
      <c r="I3603" s="140" t="s">
        <v>17</v>
      </c>
    </row>
    <row r="3604" spans="1:9" hidden="1" x14ac:dyDescent="0.25">
      <c r="A3604">
        <v>2001</v>
      </c>
      <c r="B3604" s="140" t="s">
        <v>115</v>
      </c>
      <c r="C3604" s="140" t="s">
        <v>19</v>
      </c>
      <c r="D3604" s="140" t="s">
        <v>11</v>
      </c>
      <c r="E3604" s="140" t="s">
        <v>12</v>
      </c>
      <c r="F3604">
        <v>28814</v>
      </c>
      <c r="G3604" s="140" t="s">
        <v>273</v>
      </c>
      <c r="H3604">
        <v>0</v>
      </c>
      <c r="I3604" s="140" t="s">
        <v>17</v>
      </c>
    </row>
    <row r="3605" spans="1:9" hidden="1" x14ac:dyDescent="0.25">
      <c r="A3605">
        <v>2002</v>
      </c>
      <c r="B3605" s="140" t="s">
        <v>115</v>
      </c>
      <c r="C3605" s="140" t="s">
        <v>19</v>
      </c>
      <c r="D3605" s="140" t="s">
        <v>11</v>
      </c>
      <c r="E3605" s="140" t="s">
        <v>12</v>
      </c>
      <c r="F3605">
        <v>30593</v>
      </c>
      <c r="G3605" s="140" t="s">
        <v>273</v>
      </c>
      <c r="H3605">
        <v>0</v>
      </c>
      <c r="I3605" s="140" t="s">
        <v>17</v>
      </c>
    </row>
    <row r="3606" spans="1:9" hidden="1" x14ac:dyDescent="0.25">
      <c r="A3606">
        <v>2003</v>
      </c>
      <c r="B3606" s="140" t="s">
        <v>115</v>
      </c>
      <c r="C3606" s="140" t="s">
        <v>19</v>
      </c>
      <c r="D3606" s="140" t="s">
        <v>11</v>
      </c>
      <c r="E3606" s="140" t="s">
        <v>12</v>
      </c>
      <c r="F3606">
        <v>31989</v>
      </c>
      <c r="G3606" s="140" t="s">
        <v>273</v>
      </c>
      <c r="H3606">
        <v>0</v>
      </c>
      <c r="I3606" s="140" t="s">
        <v>17</v>
      </c>
    </row>
    <row r="3607" spans="1:9" hidden="1" x14ac:dyDescent="0.25">
      <c r="A3607">
        <v>2004</v>
      </c>
      <c r="B3607" s="140" t="s">
        <v>115</v>
      </c>
      <c r="C3607" s="140" t="s">
        <v>19</v>
      </c>
      <c r="D3607" s="140" t="s">
        <v>11</v>
      </c>
      <c r="E3607" s="140" t="s">
        <v>12</v>
      </c>
      <c r="F3607">
        <v>33624</v>
      </c>
      <c r="G3607" s="140" t="s">
        <v>273</v>
      </c>
      <c r="H3607">
        <v>0</v>
      </c>
      <c r="I3607" s="140" t="s">
        <v>17</v>
      </c>
    </row>
    <row r="3608" spans="1:9" hidden="1" x14ac:dyDescent="0.25">
      <c r="A3608">
        <v>2005</v>
      </c>
      <c r="B3608" s="140" t="s">
        <v>115</v>
      </c>
      <c r="C3608" s="140" t="s">
        <v>19</v>
      </c>
      <c r="D3608" s="140" t="s">
        <v>11</v>
      </c>
      <c r="E3608" s="140" t="s">
        <v>12</v>
      </c>
      <c r="F3608">
        <v>35250</v>
      </c>
      <c r="G3608" s="140" t="s">
        <v>273</v>
      </c>
      <c r="H3608">
        <v>0</v>
      </c>
      <c r="I3608" s="140" t="s">
        <v>17</v>
      </c>
    </row>
    <row r="3609" spans="1:9" hidden="1" x14ac:dyDescent="0.25">
      <c r="A3609">
        <v>2006</v>
      </c>
      <c r="B3609" s="140" t="s">
        <v>115</v>
      </c>
      <c r="C3609" s="140" t="s">
        <v>19</v>
      </c>
      <c r="D3609" s="140" t="s">
        <v>11</v>
      </c>
      <c r="E3609" s="140" t="s">
        <v>12</v>
      </c>
      <c r="F3609">
        <v>36835</v>
      </c>
      <c r="G3609" s="140" t="s">
        <v>273</v>
      </c>
      <c r="H3609">
        <v>0</v>
      </c>
      <c r="I3609" s="140" t="s">
        <v>17</v>
      </c>
    </row>
    <row r="3610" spans="1:9" hidden="1" x14ac:dyDescent="0.25">
      <c r="A3610">
        <v>2007</v>
      </c>
      <c r="B3610" s="140" t="s">
        <v>115</v>
      </c>
      <c r="C3610" s="140" t="s">
        <v>19</v>
      </c>
      <c r="D3610" s="140" t="s">
        <v>11</v>
      </c>
      <c r="E3610" s="140" t="s">
        <v>12</v>
      </c>
      <c r="F3610">
        <v>38843</v>
      </c>
      <c r="G3610" s="140" t="s">
        <v>273</v>
      </c>
      <c r="H3610">
        <v>0</v>
      </c>
      <c r="I3610" s="140" t="s">
        <v>17</v>
      </c>
    </row>
    <row r="3611" spans="1:9" hidden="1" x14ac:dyDescent="0.25">
      <c r="A3611">
        <v>2008</v>
      </c>
      <c r="B3611" s="140" t="s">
        <v>115</v>
      </c>
      <c r="C3611" s="140" t="s">
        <v>19</v>
      </c>
      <c r="D3611" s="140" t="s">
        <v>11</v>
      </c>
      <c r="E3611" s="140" t="s">
        <v>12</v>
      </c>
      <c r="F3611">
        <v>41888</v>
      </c>
      <c r="G3611" s="140" t="s">
        <v>273</v>
      </c>
      <c r="H3611">
        <v>0</v>
      </c>
      <c r="I3611" s="140" t="s">
        <v>17</v>
      </c>
    </row>
    <row r="3612" spans="1:9" hidden="1" x14ac:dyDescent="0.25">
      <c r="A3612">
        <v>2009</v>
      </c>
      <c r="B3612" s="140" t="s">
        <v>115</v>
      </c>
      <c r="C3612" s="140" t="s">
        <v>19</v>
      </c>
      <c r="D3612" s="140" t="s">
        <v>11</v>
      </c>
      <c r="E3612" s="140" t="s">
        <v>12</v>
      </c>
      <c r="F3612">
        <v>43737</v>
      </c>
      <c r="G3612" s="140" t="s">
        <v>273</v>
      </c>
      <c r="H3612">
        <v>0</v>
      </c>
      <c r="I3612" s="140" t="s">
        <v>17</v>
      </c>
    </row>
    <row r="3613" spans="1:9" hidden="1" x14ac:dyDescent="0.25">
      <c r="A3613">
        <v>2010</v>
      </c>
      <c r="B3613" s="140" t="s">
        <v>115</v>
      </c>
      <c r="C3613" s="140" t="s">
        <v>19</v>
      </c>
      <c r="D3613" s="140" t="s">
        <v>11</v>
      </c>
      <c r="E3613" s="140" t="s">
        <v>12</v>
      </c>
      <c r="F3613">
        <v>44586</v>
      </c>
      <c r="G3613" s="140" t="s">
        <v>273</v>
      </c>
      <c r="H3613">
        <v>0</v>
      </c>
      <c r="I3613" s="140" t="s">
        <v>17</v>
      </c>
    </row>
    <row r="3614" spans="1:9" hidden="1" x14ac:dyDescent="0.25">
      <c r="A3614">
        <v>2011</v>
      </c>
      <c r="B3614" s="140" t="s">
        <v>115</v>
      </c>
      <c r="C3614" s="140" t="s">
        <v>19</v>
      </c>
      <c r="D3614" s="140" t="s">
        <v>11</v>
      </c>
      <c r="E3614" s="140" t="s">
        <v>12</v>
      </c>
      <c r="F3614">
        <v>46310</v>
      </c>
      <c r="G3614" s="140" t="s">
        <v>273</v>
      </c>
      <c r="H3614">
        <v>0</v>
      </c>
      <c r="I3614" s="140" t="s">
        <v>17</v>
      </c>
    </row>
    <row r="3615" spans="1:9" hidden="1" x14ac:dyDescent="0.25">
      <c r="A3615">
        <v>2012</v>
      </c>
      <c r="B3615" s="140" t="s">
        <v>115</v>
      </c>
      <c r="C3615" s="140" t="s">
        <v>19</v>
      </c>
      <c r="D3615" s="140" t="s">
        <v>11</v>
      </c>
      <c r="E3615" s="140" t="s">
        <v>12</v>
      </c>
      <c r="F3615">
        <v>48506</v>
      </c>
      <c r="G3615" s="140" t="s">
        <v>273</v>
      </c>
      <c r="H3615">
        <v>0</v>
      </c>
      <c r="I3615" s="140" t="s">
        <v>17</v>
      </c>
    </row>
    <row r="3616" spans="1:9" hidden="1" x14ac:dyDescent="0.25">
      <c r="A3616">
        <v>2013</v>
      </c>
      <c r="B3616" s="140" t="s">
        <v>115</v>
      </c>
      <c r="C3616" s="140" t="s">
        <v>19</v>
      </c>
      <c r="D3616" s="140" t="s">
        <v>11</v>
      </c>
      <c r="E3616" s="140" t="s">
        <v>12</v>
      </c>
      <c r="F3616">
        <v>50204</v>
      </c>
      <c r="G3616" s="140" t="s">
        <v>273</v>
      </c>
      <c r="H3616">
        <v>0</v>
      </c>
      <c r="I3616" s="140" t="s">
        <v>17</v>
      </c>
    </row>
    <row r="3617" spans="1:9" hidden="1" x14ac:dyDescent="0.25">
      <c r="A3617">
        <v>2014</v>
      </c>
      <c r="B3617" s="140" t="s">
        <v>115</v>
      </c>
      <c r="C3617" s="140" t="s">
        <v>19</v>
      </c>
      <c r="D3617" s="140" t="s">
        <v>11</v>
      </c>
      <c r="E3617" s="140" t="s">
        <v>12</v>
      </c>
      <c r="F3617">
        <v>50821</v>
      </c>
      <c r="G3617" s="140" t="s">
        <v>273</v>
      </c>
      <c r="H3617">
        <v>0</v>
      </c>
      <c r="I3617" s="140" t="s">
        <v>17</v>
      </c>
    </row>
    <row r="3618" spans="1:9" hidden="1" x14ac:dyDescent="0.25">
      <c r="A3618">
        <v>2015</v>
      </c>
      <c r="B3618" s="140" t="s">
        <v>115</v>
      </c>
      <c r="C3618" s="140" t="s">
        <v>19</v>
      </c>
      <c r="D3618" s="140" t="s">
        <v>11</v>
      </c>
      <c r="E3618" s="140" t="s">
        <v>12</v>
      </c>
      <c r="F3618">
        <v>51644</v>
      </c>
      <c r="G3618" s="140" t="s">
        <v>273</v>
      </c>
      <c r="H3618">
        <v>0</v>
      </c>
      <c r="I3618" s="140" t="s">
        <v>17</v>
      </c>
    </row>
    <row r="3619" spans="1:9" hidden="1" x14ac:dyDescent="0.25">
      <c r="A3619">
        <v>2016</v>
      </c>
      <c r="B3619" s="140" t="s">
        <v>115</v>
      </c>
      <c r="C3619" s="140" t="s">
        <v>19</v>
      </c>
      <c r="D3619" s="140" t="s">
        <v>11</v>
      </c>
      <c r="E3619" s="140" t="s">
        <v>12</v>
      </c>
      <c r="F3619">
        <v>51562</v>
      </c>
      <c r="G3619" s="140" t="s">
        <v>273</v>
      </c>
      <c r="H3619">
        <v>0</v>
      </c>
      <c r="I3619" s="140" t="s">
        <v>17</v>
      </c>
    </row>
    <row r="3620" spans="1:9" hidden="1" x14ac:dyDescent="0.25">
      <c r="A3620">
        <v>2017</v>
      </c>
      <c r="B3620" s="140" t="s">
        <v>115</v>
      </c>
      <c r="C3620" s="140" t="s">
        <v>19</v>
      </c>
      <c r="D3620" s="140" t="s">
        <v>11</v>
      </c>
      <c r="E3620" s="140" t="s">
        <v>12</v>
      </c>
      <c r="F3620">
        <v>51617</v>
      </c>
      <c r="G3620" s="140" t="s">
        <v>273</v>
      </c>
      <c r="H3620">
        <v>0</v>
      </c>
      <c r="I3620" s="140" t="s">
        <v>17</v>
      </c>
    </row>
    <row r="3621" spans="1:9" hidden="1" x14ac:dyDescent="0.25">
      <c r="A3621">
        <v>2018</v>
      </c>
      <c r="B3621" s="140" t="s">
        <v>115</v>
      </c>
      <c r="C3621" s="140" t="s">
        <v>19</v>
      </c>
      <c r="D3621" s="140" t="s">
        <v>11</v>
      </c>
      <c r="E3621" s="140" t="s">
        <v>12</v>
      </c>
      <c r="F3621">
        <v>53536</v>
      </c>
      <c r="G3621" s="140" t="s">
        <v>273</v>
      </c>
      <c r="H3621">
        <v>0</v>
      </c>
      <c r="I3621" s="140" t="s">
        <v>17</v>
      </c>
    </row>
    <row r="3622" spans="1:9" hidden="1" x14ac:dyDescent="0.25">
      <c r="A3622">
        <v>2019</v>
      </c>
      <c r="B3622" s="140" t="s">
        <v>115</v>
      </c>
      <c r="C3622" s="140" t="s">
        <v>19</v>
      </c>
      <c r="D3622" s="140" t="s">
        <v>11</v>
      </c>
      <c r="E3622" s="140" t="s">
        <v>12</v>
      </c>
      <c r="F3622">
        <v>56004</v>
      </c>
      <c r="G3622" s="140" t="s">
        <v>273</v>
      </c>
      <c r="H3622">
        <v>0</v>
      </c>
      <c r="I3622" s="140" t="s">
        <v>17</v>
      </c>
    </row>
    <row r="3623" spans="1:9" hidden="1" x14ac:dyDescent="0.25">
      <c r="A3623">
        <v>2020</v>
      </c>
      <c r="B3623" s="140" t="s">
        <v>115</v>
      </c>
      <c r="C3623" s="140" t="s">
        <v>19</v>
      </c>
      <c r="D3623" s="140" t="s">
        <v>11</v>
      </c>
      <c r="E3623" s="140" t="s">
        <v>12</v>
      </c>
      <c r="F3623">
        <v>57768</v>
      </c>
      <c r="G3623" s="140" t="s">
        <v>273</v>
      </c>
      <c r="H3623">
        <v>0</v>
      </c>
      <c r="I3623" s="140" t="s">
        <v>17</v>
      </c>
    </row>
    <row r="3624" spans="1:9" hidden="1" x14ac:dyDescent="0.25">
      <c r="A3624">
        <v>2021</v>
      </c>
      <c r="B3624" s="140" t="s">
        <v>115</v>
      </c>
      <c r="C3624" s="140" t="s">
        <v>19</v>
      </c>
      <c r="D3624" s="140" t="s">
        <v>11</v>
      </c>
      <c r="E3624" s="140" t="s">
        <v>12</v>
      </c>
      <c r="F3624">
        <v>61708</v>
      </c>
      <c r="G3624" s="140" t="s">
        <v>273</v>
      </c>
      <c r="H3624">
        <v>0</v>
      </c>
      <c r="I3624" s="140" t="s">
        <v>17</v>
      </c>
    </row>
    <row r="3625" spans="1:9" hidden="1" x14ac:dyDescent="0.25">
      <c r="A3625">
        <v>2022</v>
      </c>
      <c r="B3625" s="140" t="s">
        <v>115</v>
      </c>
      <c r="C3625" s="140" t="s">
        <v>19</v>
      </c>
      <c r="D3625" s="140" t="s">
        <v>11</v>
      </c>
      <c r="E3625" s="140" t="s">
        <v>12</v>
      </c>
      <c r="F3625">
        <v>64318</v>
      </c>
      <c r="G3625" s="140" t="s">
        <v>273</v>
      </c>
      <c r="H3625">
        <v>0</v>
      </c>
      <c r="I3625" s="140" t="s">
        <v>17</v>
      </c>
    </row>
    <row r="3626" spans="1:9" hidden="1" x14ac:dyDescent="0.25">
      <c r="A3626">
        <v>2023</v>
      </c>
      <c r="B3626" s="140" t="s">
        <v>115</v>
      </c>
      <c r="C3626" s="140" t="s">
        <v>19</v>
      </c>
      <c r="D3626" s="140" t="s">
        <v>11</v>
      </c>
      <c r="E3626" s="140" t="s">
        <v>12</v>
      </c>
      <c r="F3626">
        <v>70130</v>
      </c>
      <c r="G3626" s="140" t="s">
        <v>273</v>
      </c>
      <c r="H3626">
        <v>0</v>
      </c>
      <c r="I3626" s="140" t="s">
        <v>17</v>
      </c>
    </row>
    <row r="3627" spans="1:9" hidden="1" x14ac:dyDescent="0.25">
      <c r="A3627">
        <v>2024</v>
      </c>
      <c r="B3627" s="140" t="s">
        <v>115</v>
      </c>
      <c r="C3627" s="140" t="s">
        <v>19</v>
      </c>
      <c r="D3627" s="140" t="s">
        <v>11</v>
      </c>
      <c r="E3627" s="140" t="s">
        <v>12</v>
      </c>
      <c r="F3627">
        <v>71759</v>
      </c>
      <c r="G3627" s="140" t="s">
        <v>273</v>
      </c>
      <c r="H3627">
        <v>0</v>
      </c>
      <c r="I3627" s="140" t="s">
        <v>17</v>
      </c>
    </row>
    <row r="3628" spans="1:9" hidden="1" x14ac:dyDescent="0.25">
      <c r="A3628">
        <v>2025</v>
      </c>
      <c r="B3628" s="140" t="s">
        <v>115</v>
      </c>
      <c r="C3628" s="140" t="s">
        <v>19</v>
      </c>
      <c r="D3628" s="140" t="s">
        <v>11</v>
      </c>
      <c r="E3628" s="140" t="s">
        <v>12</v>
      </c>
      <c r="F3628">
        <v>72820</v>
      </c>
      <c r="G3628" s="140" t="s">
        <v>273</v>
      </c>
      <c r="H3628">
        <v>0</v>
      </c>
      <c r="I3628" s="140" t="s">
        <v>17</v>
      </c>
    </row>
    <row r="3629" spans="1:9" hidden="1" x14ac:dyDescent="0.25">
      <c r="A3629">
        <v>2026</v>
      </c>
      <c r="B3629" s="140" t="s">
        <v>115</v>
      </c>
      <c r="C3629" s="140" t="s">
        <v>19</v>
      </c>
      <c r="D3629" s="140" t="s">
        <v>11</v>
      </c>
      <c r="E3629" s="140" t="s">
        <v>12</v>
      </c>
      <c r="F3629">
        <v>74493.467050000007</v>
      </c>
      <c r="G3629" s="140" t="s">
        <v>273</v>
      </c>
      <c r="H3629">
        <v>0</v>
      </c>
      <c r="I3629" s="140" t="s">
        <v>17</v>
      </c>
    </row>
    <row r="3630" spans="1:9" hidden="1" x14ac:dyDescent="0.25">
      <c r="A3630">
        <v>2027</v>
      </c>
      <c r="B3630" s="140" t="s">
        <v>115</v>
      </c>
      <c r="C3630" s="140" t="s">
        <v>19</v>
      </c>
      <c r="D3630" s="140" t="s">
        <v>11</v>
      </c>
      <c r="E3630" s="140" t="s">
        <v>12</v>
      </c>
      <c r="F3630">
        <v>77027.393129999997</v>
      </c>
      <c r="G3630" s="140" t="s">
        <v>273</v>
      </c>
      <c r="H3630">
        <v>0</v>
      </c>
      <c r="I3630" s="140" t="s">
        <v>17</v>
      </c>
    </row>
    <row r="3631" spans="1:9" hidden="1" x14ac:dyDescent="0.25">
      <c r="A3631">
        <v>2028</v>
      </c>
      <c r="B3631" s="140" t="s">
        <v>115</v>
      </c>
      <c r="C3631" s="140" t="s">
        <v>19</v>
      </c>
      <c r="D3631" s="140" t="s">
        <v>11</v>
      </c>
      <c r="E3631" s="140" t="s">
        <v>12</v>
      </c>
      <c r="F3631">
        <v>80122.467910000007</v>
      </c>
      <c r="G3631" s="140" t="s">
        <v>273</v>
      </c>
      <c r="H3631">
        <v>0</v>
      </c>
      <c r="I3631" s="140" t="s">
        <v>17</v>
      </c>
    </row>
    <row r="3632" spans="1:9" hidden="1" x14ac:dyDescent="0.25">
      <c r="A3632">
        <v>2029</v>
      </c>
      <c r="B3632" s="140" t="s">
        <v>115</v>
      </c>
      <c r="C3632" s="140" t="s">
        <v>19</v>
      </c>
      <c r="D3632" s="140" t="s">
        <v>11</v>
      </c>
      <c r="E3632" s="140" t="s">
        <v>12</v>
      </c>
      <c r="F3632">
        <v>83786.735960000005</v>
      </c>
      <c r="G3632" s="140" t="s">
        <v>273</v>
      </c>
      <c r="H3632">
        <v>0</v>
      </c>
      <c r="I3632" s="140" t="s">
        <v>17</v>
      </c>
    </row>
    <row r="3633" spans="1:9" hidden="1" x14ac:dyDescent="0.25">
      <c r="A3633">
        <v>2030</v>
      </c>
      <c r="B3633" s="140" t="s">
        <v>115</v>
      </c>
      <c r="C3633" s="140" t="s">
        <v>19</v>
      </c>
      <c r="D3633" s="140" t="s">
        <v>11</v>
      </c>
      <c r="E3633" s="140" t="s">
        <v>12</v>
      </c>
      <c r="F3633">
        <v>87186.739419999998</v>
      </c>
      <c r="G3633" s="140" t="s">
        <v>273</v>
      </c>
      <c r="H3633">
        <v>0</v>
      </c>
      <c r="I3633" s="140" t="s">
        <v>17</v>
      </c>
    </row>
    <row r="3634" spans="1:9" hidden="1" x14ac:dyDescent="0.25">
      <c r="A3634">
        <v>1990</v>
      </c>
      <c r="B3634" s="140" t="s">
        <v>103</v>
      </c>
      <c r="C3634" s="140" t="s">
        <v>19</v>
      </c>
      <c r="D3634" s="140" t="s">
        <v>11</v>
      </c>
      <c r="E3634" s="140" t="s">
        <v>12</v>
      </c>
      <c r="F3634">
        <v>55782</v>
      </c>
      <c r="G3634" s="140" t="s">
        <v>274</v>
      </c>
      <c r="H3634">
        <v>0</v>
      </c>
      <c r="I3634" s="140" t="s">
        <v>17</v>
      </c>
    </row>
    <row r="3635" spans="1:9" hidden="1" x14ac:dyDescent="0.25">
      <c r="A3635">
        <v>1991</v>
      </c>
      <c r="B3635" s="140" t="s">
        <v>103</v>
      </c>
      <c r="C3635" s="140" t="s">
        <v>19</v>
      </c>
      <c r="D3635" s="140" t="s">
        <v>11</v>
      </c>
      <c r="E3635" s="140" t="s">
        <v>12</v>
      </c>
      <c r="F3635">
        <v>57444</v>
      </c>
      <c r="G3635" s="140" t="s">
        <v>274</v>
      </c>
      <c r="H3635">
        <v>0</v>
      </c>
      <c r="I3635" s="140" t="s">
        <v>17</v>
      </c>
    </row>
    <row r="3636" spans="1:9" hidden="1" x14ac:dyDescent="0.25">
      <c r="A3636">
        <v>1992</v>
      </c>
      <c r="B3636" s="140" t="s">
        <v>103</v>
      </c>
      <c r="C3636" s="140" t="s">
        <v>19</v>
      </c>
      <c r="D3636" s="140" t="s">
        <v>11</v>
      </c>
      <c r="E3636" s="140" t="s">
        <v>12</v>
      </c>
      <c r="F3636">
        <v>56915</v>
      </c>
      <c r="G3636" s="140" t="s">
        <v>274</v>
      </c>
      <c r="H3636">
        <v>0</v>
      </c>
      <c r="I3636" s="140" t="s">
        <v>17</v>
      </c>
    </row>
    <row r="3637" spans="1:9" hidden="1" x14ac:dyDescent="0.25">
      <c r="A3637">
        <v>1993</v>
      </c>
      <c r="B3637" s="140" t="s">
        <v>103</v>
      </c>
      <c r="C3637" s="140" t="s">
        <v>19</v>
      </c>
      <c r="D3637" s="140" t="s">
        <v>11</v>
      </c>
      <c r="E3637" s="140" t="s">
        <v>12</v>
      </c>
      <c r="F3637">
        <v>57193</v>
      </c>
      <c r="G3637" s="140" t="s">
        <v>274</v>
      </c>
      <c r="H3637">
        <v>0</v>
      </c>
      <c r="I3637" s="140" t="s">
        <v>17</v>
      </c>
    </row>
    <row r="3638" spans="1:9" hidden="1" x14ac:dyDescent="0.25">
      <c r="A3638">
        <v>1994</v>
      </c>
      <c r="B3638" s="140" t="s">
        <v>103</v>
      </c>
      <c r="C3638" s="140" t="s">
        <v>19</v>
      </c>
      <c r="D3638" s="140" t="s">
        <v>11</v>
      </c>
      <c r="E3638" s="140" t="s">
        <v>12</v>
      </c>
      <c r="F3638">
        <v>58888</v>
      </c>
      <c r="G3638" s="140" t="s">
        <v>274</v>
      </c>
      <c r="H3638">
        <v>0</v>
      </c>
      <c r="I3638" s="140" t="s">
        <v>17</v>
      </c>
    </row>
    <row r="3639" spans="1:9" hidden="1" x14ac:dyDescent="0.25">
      <c r="A3639">
        <v>1995</v>
      </c>
      <c r="B3639" s="140" t="s">
        <v>103</v>
      </c>
      <c r="C3639" s="140" t="s">
        <v>19</v>
      </c>
      <c r="D3639" s="140" t="s">
        <v>11</v>
      </c>
      <c r="E3639" s="140" t="s">
        <v>12</v>
      </c>
      <c r="F3639">
        <v>61970</v>
      </c>
      <c r="G3639" s="140" t="s">
        <v>274</v>
      </c>
      <c r="H3639">
        <v>0</v>
      </c>
      <c r="I3639" s="140" t="s">
        <v>17</v>
      </c>
    </row>
    <row r="3640" spans="1:9" hidden="1" x14ac:dyDescent="0.25">
      <c r="A3640">
        <v>1996</v>
      </c>
      <c r="B3640" s="140" t="s">
        <v>103</v>
      </c>
      <c r="C3640" s="140" t="s">
        <v>19</v>
      </c>
      <c r="D3640" s="140" t="s">
        <v>11</v>
      </c>
      <c r="E3640" s="140" t="s">
        <v>12</v>
      </c>
      <c r="F3640">
        <v>64930</v>
      </c>
      <c r="G3640" s="140" t="s">
        <v>274</v>
      </c>
      <c r="H3640">
        <v>0</v>
      </c>
      <c r="I3640" s="140" t="s">
        <v>17</v>
      </c>
    </row>
    <row r="3641" spans="1:9" hidden="1" x14ac:dyDescent="0.25">
      <c r="A3641">
        <v>1997</v>
      </c>
      <c r="B3641" s="140" t="s">
        <v>103</v>
      </c>
      <c r="C3641" s="140" t="s">
        <v>19</v>
      </c>
      <c r="D3641" s="140" t="s">
        <v>11</v>
      </c>
      <c r="E3641" s="140" t="s">
        <v>12</v>
      </c>
      <c r="F3641">
        <v>68330</v>
      </c>
      <c r="G3641" s="140" t="s">
        <v>274</v>
      </c>
      <c r="H3641">
        <v>0</v>
      </c>
      <c r="I3641" s="140" t="s">
        <v>17</v>
      </c>
    </row>
    <row r="3642" spans="1:9" hidden="1" x14ac:dyDescent="0.25">
      <c r="A3642">
        <v>1998</v>
      </c>
      <c r="B3642" s="140" t="s">
        <v>103</v>
      </c>
      <c r="C3642" s="140" t="s">
        <v>19</v>
      </c>
      <c r="D3642" s="140" t="s">
        <v>11</v>
      </c>
      <c r="E3642" s="140" t="s">
        <v>12</v>
      </c>
      <c r="F3642">
        <v>72781</v>
      </c>
      <c r="G3642" s="140" t="s">
        <v>274</v>
      </c>
      <c r="H3642">
        <v>0</v>
      </c>
      <c r="I3642" s="140" t="s">
        <v>17</v>
      </c>
    </row>
    <row r="3643" spans="1:9" hidden="1" x14ac:dyDescent="0.25">
      <c r="A3643">
        <v>1999</v>
      </c>
      <c r="B3643" s="140" t="s">
        <v>103</v>
      </c>
      <c r="C3643" s="140" t="s">
        <v>19</v>
      </c>
      <c r="D3643" s="140" t="s">
        <v>11</v>
      </c>
      <c r="E3643" s="140" t="s">
        <v>12</v>
      </c>
      <c r="F3643">
        <v>75965</v>
      </c>
      <c r="G3643" s="140" t="s">
        <v>274</v>
      </c>
      <c r="H3643">
        <v>0</v>
      </c>
      <c r="I3643" s="140" t="s">
        <v>17</v>
      </c>
    </row>
    <row r="3644" spans="1:9" hidden="1" x14ac:dyDescent="0.25">
      <c r="A3644">
        <v>2000</v>
      </c>
      <c r="B3644" s="140" t="s">
        <v>103</v>
      </c>
      <c r="C3644" s="140" t="s">
        <v>19</v>
      </c>
      <c r="D3644" s="140" t="s">
        <v>11</v>
      </c>
      <c r="E3644" s="140" t="s">
        <v>12</v>
      </c>
      <c r="F3644">
        <v>80048</v>
      </c>
      <c r="G3644" s="140" t="s">
        <v>274</v>
      </c>
      <c r="H3644">
        <v>0</v>
      </c>
      <c r="I3644" s="140" t="s">
        <v>17</v>
      </c>
    </row>
    <row r="3645" spans="1:9" hidden="1" x14ac:dyDescent="0.25">
      <c r="A3645">
        <v>2001</v>
      </c>
      <c r="B3645" s="140" t="s">
        <v>103</v>
      </c>
      <c r="C3645" s="140" t="s">
        <v>19</v>
      </c>
      <c r="D3645" s="140" t="s">
        <v>11</v>
      </c>
      <c r="E3645" s="140" t="s">
        <v>12</v>
      </c>
      <c r="F3645">
        <v>84057</v>
      </c>
      <c r="G3645" s="140" t="s">
        <v>274</v>
      </c>
      <c r="H3645">
        <v>0</v>
      </c>
      <c r="I3645" s="140" t="s">
        <v>17</v>
      </c>
    </row>
    <row r="3646" spans="1:9" hidden="1" x14ac:dyDescent="0.25">
      <c r="A3646">
        <v>2002</v>
      </c>
      <c r="B3646" s="140" t="s">
        <v>103</v>
      </c>
      <c r="C3646" s="140" t="s">
        <v>19</v>
      </c>
      <c r="D3646" s="140" t="s">
        <v>11</v>
      </c>
      <c r="E3646" s="140" t="s">
        <v>12</v>
      </c>
      <c r="F3646">
        <v>87965</v>
      </c>
      <c r="G3646" s="140" t="s">
        <v>274</v>
      </c>
      <c r="H3646">
        <v>0</v>
      </c>
      <c r="I3646" s="140" t="s">
        <v>17</v>
      </c>
    </row>
    <row r="3647" spans="1:9" hidden="1" x14ac:dyDescent="0.25">
      <c r="A3647">
        <v>2003</v>
      </c>
      <c r="B3647" s="140" t="s">
        <v>103</v>
      </c>
      <c r="C3647" s="140" t="s">
        <v>19</v>
      </c>
      <c r="D3647" s="140" t="s">
        <v>11</v>
      </c>
      <c r="E3647" s="140" t="s">
        <v>12</v>
      </c>
      <c r="F3647">
        <v>92456</v>
      </c>
      <c r="G3647" s="140" t="s">
        <v>274</v>
      </c>
      <c r="H3647">
        <v>0</v>
      </c>
      <c r="I3647" s="140" t="s">
        <v>17</v>
      </c>
    </row>
    <row r="3648" spans="1:9" hidden="1" x14ac:dyDescent="0.25">
      <c r="A3648">
        <v>2004</v>
      </c>
      <c r="B3648" s="140" t="s">
        <v>103</v>
      </c>
      <c r="C3648" s="140" t="s">
        <v>19</v>
      </c>
      <c r="D3648" s="140" t="s">
        <v>11</v>
      </c>
      <c r="E3648" s="140" t="s">
        <v>12</v>
      </c>
      <c r="F3648">
        <v>96398</v>
      </c>
      <c r="G3648" s="140" t="s">
        <v>274</v>
      </c>
      <c r="H3648">
        <v>0</v>
      </c>
      <c r="I3648" s="140" t="s">
        <v>17</v>
      </c>
    </row>
    <row r="3649" spans="1:9" hidden="1" x14ac:dyDescent="0.25">
      <c r="A3649">
        <v>2005</v>
      </c>
      <c r="B3649" s="140" t="s">
        <v>103</v>
      </c>
      <c r="C3649" s="140" t="s">
        <v>19</v>
      </c>
      <c r="D3649" s="140" t="s">
        <v>11</v>
      </c>
      <c r="E3649" s="140" t="s">
        <v>12</v>
      </c>
      <c r="F3649">
        <v>100695</v>
      </c>
      <c r="G3649" s="140" t="s">
        <v>274</v>
      </c>
      <c r="H3649">
        <v>0</v>
      </c>
      <c r="I3649" s="140" t="s">
        <v>17</v>
      </c>
    </row>
    <row r="3650" spans="1:9" hidden="1" x14ac:dyDescent="0.25">
      <c r="A3650">
        <v>2006</v>
      </c>
      <c r="B3650" s="140" t="s">
        <v>103</v>
      </c>
      <c r="C3650" s="140" t="s">
        <v>19</v>
      </c>
      <c r="D3650" s="140" t="s">
        <v>11</v>
      </c>
      <c r="E3650" s="140" t="s">
        <v>12</v>
      </c>
      <c r="F3650">
        <v>105944</v>
      </c>
      <c r="G3650" s="140" t="s">
        <v>274</v>
      </c>
      <c r="H3650">
        <v>0</v>
      </c>
      <c r="I3650" s="140" t="s">
        <v>17</v>
      </c>
    </row>
    <row r="3651" spans="1:9" hidden="1" x14ac:dyDescent="0.25">
      <c r="A3651">
        <v>2007</v>
      </c>
      <c r="B3651" s="140" t="s">
        <v>103</v>
      </c>
      <c r="C3651" s="140" t="s">
        <v>19</v>
      </c>
      <c r="D3651" s="140" t="s">
        <v>11</v>
      </c>
      <c r="E3651" s="140" t="s">
        <v>12</v>
      </c>
      <c r="F3651">
        <v>111547</v>
      </c>
      <c r="G3651" s="140" t="s">
        <v>274</v>
      </c>
      <c r="H3651">
        <v>0</v>
      </c>
      <c r="I3651" s="140" t="s">
        <v>17</v>
      </c>
    </row>
    <row r="3652" spans="1:9" hidden="1" x14ac:dyDescent="0.25">
      <c r="A3652">
        <v>2008</v>
      </c>
      <c r="B3652" s="140" t="s">
        <v>103</v>
      </c>
      <c r="C3652" s="140" t="s">
        <v>19</v>
      </c>
      <c r="D3652" s="140" t="s">
        <v>11</v>
      </c>
      <c r="E3652" s="140" t="s">
        <v>12</v>
      </c>
      <c r="F3652">
        <v>118329</v>
      </c>
      <c r="G3652" s="140" t="s">
        <v>274</v>
      </c>
      <c r="H3652">
        <v>0</v>
      </c>
      <c r="I3652" s="140" t="s">
        <v>17</v>
      </c>
    </row>
    <row r="3653" spans="1:9" hidden="1" x14ac:dyDescent="0.25">
      <c r="A3653">
        <v>2009</v>
      </c>
      <c r="B3653" s="140" t="s">
        <v>103</v>
      </c>
      <c r="C3653" s="140" t="s">
        <v>19</v>
      </c>
      <c r="D3653" s="140" t="s">
        <v>11</v>
      </c>
      <c r="E3653" s="140" t="s">
        <v>12</v>
      </c>
      <c r="F3653">
        <v>117748</v>
      </c>
      <c r="G3653" s="140" t="s">
        <v>274</v>
      </c>
      <c r="H3653">
        <v>0</v>
      </c>
      <c r="I3653" s="140" t="s">
        <v>17</v>
      </c>
    </row>
    <row r="3654" spans="1:9" hidden="1" x14ac:dyDescent="0.25">
      <c r="A3654">
        <v>2010</v>
      </c>
      <c r="B3654" s="140" t="s">
        <v>103</v>
      </c>
      <c r="C3654" s="140" t="s">
        <v>19</v>
      </c>
      <c r="D3654" s="140" t="s">
        <v>11</v>
      </c>
      <c r="E3654" s="140" t="s">
        <v>12</v>
      </c>
      <c r="F3654">
        <v>122739</v>
      </c>
      <c r="G3654" s="140" t="s">
        <v>274</v>
      </c>
      <c r="H3654">
        <v>0</v>
      </c>
      <c r="I3654" s="140" t="s">
        <v>17</v>
      </c>
    </row>
    <row r="3655" spans="1:9" hidden="1" x14ac:dyDescent="0.25">
      <c r="A3655">
        <v>2011</v>
      </c>
      <c r="B3655" s="140" t="s">
        <v>103</v>
      </c>
      <c r="C3655" s="140" t="s">
        <v>19</v>
      </c>
      <c r="D3655" s="140" t="s">
        <v>11</v>
      </c>
      <c r="E3655" s="140" t="s">
        <v>12</v>
      </c>
      <c r="F3655">
        <v>130629</v>
      </c>
      <c r="G3655" s="140" t="s">
        <v>274</v>
      </c>
      <c r="H3655">
        <v>0</v>
      </c>
      <c r="I3655" s="140" t="s">
        <v>17</v>
      </c>
    </row>
    <row r="3656" spans="1:9" hidden="1" x14ac:dyDescent="0.25">
      <c r="A3656">
        <v>2012</v>
      </c>
      <c r="B3656" s="140" t="s">
        <v>103</v>
      </c>
      <c r="C3656" s="140" t="s">
        <v>19</v>
      </c>
      <c r="D3656" s="140" t="s">
        <v>11</v>
      </c>
      <c r="E3656" s="140" t="s">
        <v>12</v>
      </c>
      <c r="F3656">
        <v>135662</v>
      </c>
      <c r="G3656" s="140" t="s">
        <v>274</v>
      </c>
      <c r="H3656">
        <v>0</v>
      </c>
      <c r="I3656" s="140" t="s">
        <v>17</v>
      </c>
    </row>
    <row r="3657" spans="1:9" hidden="1" x14ac:dyDescent="0.25">
      <c r="A3657">
        <v>2013</v>
      </c>
      <c r="B3657" s="140" t="s">
        <v>103</v>
      </c>
      <c r="C3657" s="140" t="s">
        <v>19</v>
      </c>
      <c r="D3657" s="140" t="s">
        <v>11</v>
      </c>
      <c r="E3657" s="140" t="s">
        <v>12</v>
      </c>
      <c r="F3657">
        <v>138325</v>
      </c>
      <c r="G3657" s="140" t="s">
        <v>274</v>
      </c>
      <c r="H3657">
        <v>0</v>
      </c>
      <c r="I3657" s="140" t="s">
        <v>17</v>
      </c>
    </row>
    <row r="3658" spans="1:9" hidden="1" x14ac:dyDescent="0.25">
      <c r="A3658">
        <v>2014</v>
      </c>
      <c r="B3658" s="140" t="s">
        <v>103</v>
      </c>
      <c r="C3658" s="140" t="s">
        <v>19</v>
      </c>
      <c r="D3658" s="140" t="s">
        <v>11</v>
      </c>
      <c r="E3658" s="140" t="s">
        <v>12</v>
      </c>
      <c r="F3658">
        <v>140324</v>
      </c>
      <c r="G3658" s="140" t="s">
        <v>274</v>
      </c>
      <c r="H3658">
        <v>0</v>
      </c>
      <c r="I3658" s="140" t="s">
        <v>17</v>
      </c>
    </row>
    <row r="3659" spans="1:9" hidden="1" x14ac:dyDescent="0.25">
      <c r="A3659">
        <v>2015</v>
      </c>
      <c r="B3659" s="140" t="s">
        <v>103</v>
      </c>
      <c r="C3659" s="140" t="s">
        <v>19</v>
      </c>
      <c r="D3659" s="140" t="s">
        <v>11</v>
      </c>
      <c r="E3659" s="140" t="s">
        <v>12</v>
      </c>
      <c r="F3659">
        <v>143168</v>
      </c>
      <c r="G3659" s="140" t="s">
        <v>274</v>
      </c>
      <c r="H3659">
        <v>0</v>
      </c>
      <c r="I3659" s="140" t="s">
        <v>17</v>
      </c>
    </row>
    <row r="3660" spans="1:9" hidden="1" x14ac:dyDescent="0.25">
      <c r="A3660">
        <v>2016</v>
      </c>
      <c r="B3660" s="140" t="s">
        <v>103</v>
      </c>
      <c r="C3660" s="140" t="s">
        <v>19</v>
      </c>
      <c r="D3660" s="140" t="s">
        <v>11</v>
      </c>
      <c r="E3660" s="140" t="s">
        <v>12</v>
      </c>
      <c r="F3660">
        <v>146196</v>
      </c>
      <c r="G3660" s="140" t="s">
        <v>274</v>
      </c>
      <c r="H3660">
        <v>0</v>
      </c>
      <c r="I3660" s="140" t="s">
        <v>17</v>
      </c>
    </row>
    <row r="3661" spans="1:9" hidden="1" x14ac:dyDescent="0.25">
      <c r="A3661">
        <v>2017</v>
      </c>
      <c r="B3661" s="140" t="s">
        <v>103</v>
      </c>
      <c r="C3661" s="140" t="s">
        <v>19</v>
      </c>
      <c r="D3661" s="140" t="s">
        <v>11</v>
      </c>
      <c r="E3661" s="140" t="s">
        <v>12</v>
      </c>
      <c r="F3661">
        <v>148627</v>
      </c>
      <c r="G3661" s="140" t="s">
        <v>274</v>
      </c>
      <c r="H3661">
        <v>0</v>
      </c>
      <c r="I3661" s="140" t="s">
        <v>17</v>
      </c>
    </row>
    <row r="3662" spans="1:9" hidden="1" x14ac:dyDescent="0.25">
      <c r="A3662">
        <v>2018</v>
      </c>
      <c r="B3662" s="140" t="s">
        <v>103</v>
      </c>
      <c r="C3662" s="140" t="s">
        <v>19</v>
      </c>
      <c r="D3662" s="140" t="s">
        <v>11</v>
      </c>
      <c r="E3662" s="140" t="s">
        <v>12</v>
      </c>
      <c r="F3662">
        <v>153336</v>
      </c>
      <c r="G3662" s="140" t="s">
        <v>274</v>
      </c>
      <c r="H3662">
        <v>0</v>
      </c>
      <c r="I3662" s="140" t="s">
        <v>17</v>
      </c>
    </row>
    <row r="3663" spans="1:9" hidden="1" x14ac:dyDescent="0.25">
      <c r="A3663">
        <v>2019</v>
      </c>
      <c r="B3663" s="140" t="s">
        <v>103</v>
      </c>
      <c r="C3663" s="140" t="s">
        <v>19</v>
      </c>
      <c r="D3663" s="140" t="s">
        <v>11</v>
      </c>
      <c r="E3663" s="140" t="s">
        <v>12</v>
      </c>
      <c r="F3663">
        <v>157096</v>
      </c>
      <c r="G3663" s="140" t="s">
        <v>274</v>
      </c>
      <c r="H3663">
        <v>0</v>
      </c>
      <c r="I3663" s="140" t="s">
        <v>17</v>
      </c>
    </row>
    <row r="3664" spans="1:9" hidden="1" x14ac:dyDescent="0.25">
      <c r="A3664">
        <v>2020</v>
      </c>
      <c r="B3664" s="140" t="s">
        <v>103</v>
      </c>
      <c r="C3664" s="140" t="s">
        <v>19</v>
      </c>
      <c r="D3664" s="140" t="s">
        <v>11</v>
      </c>
      <c r="E3664" s="140" t="s">
        <v>12</v>
      </c>
      <c r="F3664">
        <v>154372</v>
      </c>
      <c r="G3664" s="140" t="s">
        <v>274</v>
      </c>
      <c r="H3664">
        <v>0</v>
      </c>
      <c r="I3664" s="140" t="s">
        <v>17</v>
      </c>
    </row>
    <row r="3665" spans="1:9" hidden="1" x14ac:dyDescent="0.25">
      <c r="A3665">
        <v>2021</v>
      </c>
      <c r="B3665" s="140" t="s">
        <v>103</v>
      </c>
      <c r="C3665" s="140" t="s">
        <v>19</v>
      </c>
      <c r="D3665" s="140" t="s">
        <v>11</v>
      </c>
      <c r="E3665" s="140" t="s">
        <v>12</v>
      </c>
      <c r="F3665">
        <v>163329</v>
      </c>
      <c r="G3665" s="140" t="s">
        <v>274</v>
      </c>
      <c r="H3665">
        <v>0</v>
      </c>
      <c r="I3665" s="140" t="s">
        <v>17</v>
      </c>
    </row>
    <row r="3666" spans="1:9" hidden="1" x14ac:dyDescent="0.25">
      <c r="A3666">
        <v>2022</v>
      </c>
      <c r="B3666" s="140" t="s">
        <v>103</v>
      </c>
      <c r="C3666" s="140" t="s">
        <v>19</v>
      </c>
      <c r="D3666" s="140" t="s">
        <v>11</v>
      </c>
      <c r="E3666" s="140" t="s">
        <v>12</v>
      </c>
      <c r="F3666">
        <v>173240</v>
      </c>
      <c r="G3666" s="140" t="s">
        <v>274</v>
      </c>
      <c r="H3666">
        <v>0</v>
      </c>
      <c r="I3666" s="140" t="s">
        <v>17</v>
      </c>
    </row>
    <row r="3667" spans="1:9" hidden="1" x14ac:dyDescent="0.25">
      <c r="A3667">
        <v>2023</v>
      </c>
      <c r="B3667" s="140" t="s">
        <v>103</v>
      </c>
      <c r="C3667" s="140" t="s">
        <v>19</v>
      </c>
      <c r="D3667" s="140" t="s">
        <v>11</v>
      </c>
      <c r="E3667" s="140" t="s">
        <v>12</v>
      </c>
      <c r="F3667">
        <v>184387</v>
      </c>
      <c r="G3667" s="140" t="s">
        <v>274</v>
      </c>
      <c r="H3667">
        <v>0</v>
      </c>
      <c r="I3667" s="140" t="s">
        <v>17</v>
      </c>
    </row>
    <row r="3668" spans="1:9" hidden="1" x14ac:dyDescent="0.25">
      <c r="A3668">
        <v>2024</v>
      </c>
      <c r="B3668" s="140" t="s">
        <v>103</v>
      </c>
      <c r="C3668" s="140" t="s">
        <v>19</v>
      </c>
      <c r="D3668" s="140" t="s">
        <v>11</v>
      </c>
      <c r="E3668" s="140" t="s">
        <v>12</v>
      </c>
      <c r="F3668">
        <v>187040</v>
      </c>
      <c r="G3668" s="140" t="s">
        <v>274</v>
      </c>
      <c r="H3668">
        <v>0</v>
      </c>
      <c r="I3668" s="140" t="s">
        <v>17</v>
      </c>
    </row>
    <row r="3669" spans="1:9" hidden="1" x14ac:dyDescent="0.25">
      <c r="A3669">
        <v>2025</v>
      </c>
      <c r="B3669" s="140" t="s">
        <v>103</v>
      </c>
      <c r="C3669" s="140" t="s">
        <v>19</v>
      </c>
      <c r="D3669" s="140" t="s">
        <v>11</v>
      </c>
      <c r="E3669" s="140" t="s">
        <v>12</v>
      </c>
      <c r="F3669">
        <v>188161</v>
      </c>
      <c r="G3669" s="140" t="s">
        <v>274</v>
      </c>
      <c r="H3669">
        <v>0</v>
      </c>
      <c r="I3669" s="140" t="s">
        <v>17</v>
      </c>
    </row>
    <row r="3670" spans="1:9" hidden="1" x14ac:dyDescent="0.25">
      <c r="A3670">
        <v>2026</v>
      </c>
      <c r="B3670" s="140" t="s">
        <v>103</v>
      </c>
      <c r="C3670" s="140" t="s">
        <v>19</v>
      </c>
      <c r="D3670" s="140" t="s">
        <v>11</v>
      </c>
      <c r="E3670" s="140" t="s">
        <v>12</v>
      </c>
      <c r="F3670">
        <v>200025.2034</v>
      </c>
      <c r="G3670" s="140" t="s">
        <v>274</v>
      </c>
      <c r="H3670">
        <v>0</v>
      </c>
      <c r="I3670" s="140" t="s">
        <v>17</v>
      </c>
    </row>
    <row r="3671" spans="1:9" hidden="1" x14ac:dyDescent="0.25">
      <c r="A3671">
        <v>2027</v>
      </c>
      <c r="B3671" s="140" t="s">
        <v>103</v>
      </c>
      <c r="C3671" s="140" t="s">
        <v>19</v>
      </c>
      <c r="D3671" s="140" t="s">
        <v>11</v>
      </c>
      <c r="E3671" s="140" t="s">
        <v>12</v>
      </c>
      <c r="F3671">
        <v>206619.98319999999</v>
      </c>
      <c r="G3671" s="140" t="s">
        <v>274</v>
      </c>
      <c r="H3671">
        <v>0</v>
      </c>
      <c r="I3671" s="140" t="s">
        <v>17</v>
      </c>
    </row>
    <row r="3672" spans="1:9" hidden="1" x14ac:dyDescent="0.25">
      <c r="A3672">
        <v>2028</v>
      </c>
      <c r="B3672" s="140" t="s">
        <v>103</v>
      </c>
      <c r="C3672" s="140" t="s">
        <v>19</v>
      </c>
      <c r="D3672" s="140" t="s">
        <v>11</v>
      </c>
      <c r="E3672" s="140" t="s">
        <v>12</v>
      </c>
      <c r="F3672">
        <v>214247.7696</v>
      </c>
      <c r="G3672" s="140" t="s">
        <v>274</v>
      </c>
      <c r="H3672">
        <v>0</v>
      </c>
      <c r="I3672" s="140" t="s">
        <v>17</v>
      </c>
    </row>
    <row r="3673" spans="1:9" hidden="1" x14ac:dyDescent="0.25">
      <c r="A3673">
        <v>1990</v>
      </c>
      <c r="B3673" s="140" t="s">
        <v>80</v>
      </c>
      <c r="C3673" s="140" t="s">
        <v>246</v>
      </c>
      <c r="D3673" s="140" t="s">
        <v>11</v>
      </c>
      <c r="E3673" s="140" t="s">
        <v>12</v>
      </c>
      <c r="F3673">
        <v>86.508449999999996</v>
      </c>
      <c r="G3673" s="140" t="s">
        <v>250</v>
      </c>
      <c r="H3673">
        <v>0</v>
      </c>
      <c r="I3673" s="140" t="s">
        <v>14</v>
      </c>
    </row>
    <row r="3674" spans="1:9" hidden="1" x14ac:dyDescent="0.25">
      <c r="A3674">
        <v>1991</v>
      </c>
      <c r="B3674" s="140" t="s">
        <v>80</v>
      </c>
      <c r="C3674" s="140" t="s">
        <v>246</v>
      </c>
      <c r="D3674" s="140" t="s">
        <v>11</v>
      </c>
      <c r="E3674" s="140" t="s">
        <v>12</v>
      </c>
      <c r="F3674">
        <v>81.982249999999993</v>
      </c>
      <c r="G3674" s="140" t="s">
        <v>250</v>
      </c>
      <c r="H3674">
        <v>0</v>
      </c>
      <c r="I3674" s="140" t="s">
        <v>14</v>
      </c>
    </row>
    <row r="3675" spans="1:9" hidden="1" x14ac:dyDescent="0.25">
      <c r="A3675">
        <v>1992</v>
      </c>
      <c r="B3675" s="140" t="s">
        <v>80</v>
      </c>
      <c r="C3675" s="140" t="s">
        <v>246</v>
      </c>
      <c r="D3675" s="140" t="s">
        <v>11</v>
      </c>
      <c r="E3675" s="140" t="s">
        <v>12</v>
      </c>
      <c r="F3675">
        <v>77.480220000000003</v>
      </c>
      <c r="G3675" s="140" t="s">
        <v>250</v>
      </c>
      <c r="H3675">
        <v>0</v>
      </c>
      <c r="I3675" s="140" t="s">
        <v>14</v>
      </c>
    </row>
    <row r="3676" spans="1:9" hidden="1" x14ac:dyDescent="0.25">
      <c r="A3676">
        <v>1993</v>
      </c>
      <c r="B3676" s="140" t="s">
        <v>80</v>
      </c>
      <c r="C3676" s="140" t="s">
        <v>246</v>
      </c>
      <c r="D3676" s="140" t="s">
        <v>11</v>
      </c>
      <c r="E3676" s="140" t="s">
        <v>12</v>
      </c>
      <c r="F3676">
        <v>74.541669999999996</v>
      </c>
      <c r="G3676" s="140" t="s">
        <v>250</v>
      </c>
      <c r="H3676">
        <v>0</v>
      </c>
      <c r="I3676" s="140" t="s">
        <v>14</v>
      </c>
    </row>
    <row r="3677" spans="1:9" hidden="1" x14ac:dyDescent="0.25">
      <c r="A3677">
        <v>1994</v>
      </c>
      <c r="B3677" s="140" t="s">
        <v>80</v>
      </c>
      <c r="C3677" s="140" t="s">
        <v>246</v>
      </c>
      <c r="D3677" s="140" t="s">
        <v>11</v>
      </c>
      <c r="E3677" s="140" t="s">
        <v>12</v>
      </c>
      <c r="F3677">
        <v>73.914739999999995</v>
      </c>
      <c r="G3677" s="140" t="s">
        <v>250</v>
      </c>
      <c r="H3677">
        <v>0</v>
      </c>
      <c r="I3677" s="140" t="s">
        <v>14</v>
      </c>
    </row>
    <row r="3678" spans="1:9" hidden="1" x14ac:dyDescent="0.25">
      <c r="A3678">
        <v>1995</v>
      </c>
      <c r="B3678" s="140" t="s">
        <v>80</v>
      </c>
      <c r="C3678" s="140" t="s">
        <v>246</v>
      </c>
      <c r="D3678" s="140" t="s">
        <v>11</v>
      </c>
      <c r="E3678" s="140" t="s">
        <v>12</v>
      </c>
      <c r="F3678">
        <v>68.682760000000002</v>
      </c>
      <c r="G3678" s="140" t="s">
        <v>250</v>
      </c>
      <c r="H3678">
        <v>0</v>
      </c>
      <c r="I3678" s="140" t="s">
        <v>14</v>
      </c>
    </row>
    <row r="3679" spans="1:9" hidden="1" x14ac:dyDescent="0.25">
      <c r="A3679">
        <v>1996</v>
      </c>
      <c r="B3679" s="140" t="s">
        <v>80</v>
      </c>
      <c r="C3679" s="140" t="s">
        <v>246</v>
      </c>
      <c r="D3679" s="140" t="s">
        <v>11</v>
      </c>
      <c r="E3679" s="140" t="s">
        <v>12</v>
      </c>
      <c r="F3679">
        <v>65.74682</v>
      </c>
      <c r="G3679" s="140" t="s">
        <v>250</v>
      </c>
      <c r="H3679">
        <v>0</v>
      </c>
      <c r="I3679" s="140" t="s">
        <v>14</v>
      </c>
    </row>
    <row r="3680" spans="1:9" hidden="1" x14ac:dyDescent="0.25">
      <c r="A3680">
        <v>1997</v>
      </c>
      <c r="B3680" s="140" t="s">
        <v>80</v>
      </c>
      <c r="C3680" s="140" t="s">
        <v>246</v>
      </c>
      <c r="D3680" s="140" t="s">
        <v>11</v>
      </c>
      <c r="E3680" s="140" t="s">
        <v>12</v>
      </c>
      <c r="F3680">
        <v>60.028210000000001</v>
      </c>
      <c r="G3680" s="140" t="s">
        <v>250</v>
      </c>
      <c r="H3680">
        <v>0</v>
      </c>
      <c r="I3680" s="140" t="s">
        <v>14</v>
      </c>
    </row>
    <row r="3681" spans="1:9" hidden="1" x14ac:dyDescent="0.25">
      <c r="A3681">
        <v>1998</v>
      </c>
      <c r="B3681" s="140" t="s">
        <v>80</v>
      </c>
      <c r="C3681" s="140" t="s">
        <v>246</v>
      </c>
      <c r="D3681" s="140" t="s">
        <v>11</v>
      </c>
      <c r="E3681" s="140" t="s">
        <v>12</v>
      </c>
      <c r="F3681">
        <v>60.816670000000002</v>
      </c>
      <c r="G3681" s="140" t="s">
        <v>250</v>
      </c>
      <c r="H3681">
        <v>0</v>
      </c>
      <c r="I3681" s="140" t="s">
        <v>14</v>
      </c>
    </row>
    <row r="3682" spans="1:9" hidden="1" x14ac:dyDescent="0.25">
      <c r="A3682">
        <v>1999</v>
      </c>
      <c r="B3682" s="140" t="s">
        <v>80</v>
      </c>
      <c r="C3682" s="140" t="s">
        <v>246</v>
      </c>
      <c r="D3682" s="140" t="s">
        <v>11</v>
      </c>
      <c r="E3682" s="140" t="s">
        <v>12</v>
      </c>
      <c r="F3682">
        <v>62.779589999999999</v>
      </c>
      <c r="G3682" s="140" t="s">
        <v>250</v>
      </c>
      <c r="H3682">
        <v>0</v>
      </c>
      <c r="I3682" s="140" t="s">
        <v>14</v>
      </c>
    </row>
    <row r="3683" spans="1:9" hidden="1" x14ac:dyDescent="0.25">
      <c r="A3683">
        <v>2000</v>
      </c>
      <c r="B3683" s="140" t="s">
        <v>80</v>
      </c>
      <c r="C3683" s="140" t="s">
        <v>246</v>
      </c>
      <c r="D3683" s="140" t="s">
        <v>11</v>
      </c>
      <c r="E3683" s="140" t="s">
        <v>12</v>
      </c>
      <c r="F3683">
        <v>65.778919999999999</v>
      </c>
      <c r="G3683" s="140" t="s">
        <v>250</v>
      </c>
      <c r="H3683">
        <v>0</v>
      </c>
      <c r="I3683" s="140" t="s">
        <v>14</v>
      </c>
    </row>
    <row r="3684" spans="1:9" hidden="1" x14ac:dyDescent="0.25">
      <c r="A3684">
        <v>2001</v>
      </c>
      <c r="B3684" s="140" t="s">
        <v>80</v>
      </c>
      <c r="C3684" s="140" t="s">
        <v>246</v>
      </c>
      <c r="D3684" s="140" t="s">
        <v>11</v>
      </c>
      <c r="E3684" s="140" t="s">
        <v>12</v>
      </c>
      <c r="F3684">
        <v>67.532740000000004</v>
      </c>
      <c r="G3684" s="140" t="s">
        <v>250</v>
      </c>
      <c r="H3684">
        <v>0</v>
      </c>
      <c r="I3684" s="140" t="s">
        <v>14</v>
      </c>
    </row>
    <row r="3685" spans="1:9" hidden="1" x14ac:dyDescent="0.25">
      <c r="A3685">
        <v>2002</v>
      </c>
      <c r="B3685" s="140" t="s">
        <v>80</v>
      </c>
      <c r="C3685" s="140" t="s">
        <v>246</v>
      </c>
      <c r="D3685" s="140" t="s">
        <v>11</v>
      </c>
      <c r="E3685" s="140" t="s">
        <v>12</v>
      </c>
      <c r="F3685">
        <v>70.686679999999996</v>
      </c>
      <c r="G3685" s="140" t="s">
        <v>250</v>
      </c>
      <c r="H3685">
        <v>0</v>
      </c>
      <c r="I3685" s="140" t="s">
        <v>14</v>
      </c>
    </row>
    <row r="3686" spans="1:9" hidden="1" x14ac:dyDescent="0.25">
      <c r="A3686">
        <v>2003</v>
      </c>
      <c r="B3686" s="140" t="s">
        <v>80</v>
      </c>
      <c r="C3686" s="140" t="s">
        <v>246</v>
      </c>
      <c r="D3686" s="140" t="s">
        <v>11</v>
      </c>
      <c r="E3686" s="140" t="s">
        <v>12</v>
      </c>
      <c r="F3686">
        <v>75.850409999999997</v>
      </c>
      <c r="G3686" s="140" t="s">
        <v>250</v>
      </c>
      <c r="H3686">
        <v>0</v>
      </c>
      <c r="I3686" s="140" t="s">
        <v>14</v>
      </c>
    </row>
    <row r="3687" spans="1:9" hidden="1" x14ac:dyDescent="0.25">
      <c r="A3687">
        <v>2004</v>
      </c>
      <c r="B3687" s="140" t="s">
        <v>80</v>
      </c>
      <c r="C3687" s="140" t="s">
        <v>246</v>
      </c>
      <c r="D3687" s="140" t="s">
        <v>11</v>
      </c>
      <c r="E3687" s="140" t="s">
        <v>12</v>
      </c>
      <c r="F3687">
        <v>82.086089999999999</v>
      </c>
      <c r="G3687" s="140" t="s">
        <v>250</v>
      </c>
      <c r="H3687">
        <v>0</v>
      </c>
      <c r="I3687" s="140" t="s">
        <v>14</v>
      </c>
    </row>
    <row r="3688" spans="1:9" hidden="1" x14ac:dyDescent="0.25">
      <c r="A3688">
        <v>2005</v>
      </c>
      <c r="B3688" s="140" t="s">
        <v>80</v>
      </c>
      <c r="C3688" s="140" t="s">
        <v>246</v>
      </c>
      <c r="D3688" s="140" t="s">
        <v>11</v>
      </c>
      <c r="E3688" s="140" t="s">
        <v>12</v>
      </c>
      <c r="F3688">
        <v>92.004440000000002</v>
      </c>
      <c r="G3688" s="140" t="s">
        <v>250</v>
      </c>
      <c r="H3688">
        <v>0</v>
      </c>
      <c r="I3688" s="140" t="s">
        <v>14</v>
      </c>
    </row>
    <row r="3689" spans="1:9" hidden="1" x14ac:dyDescent="0.25">
      <c r="A3689">
        <v>2006</v>
      </c>
      <c r="B3689" s="140" t="s">
        <v>80</v>
      </c>
      <c r="C3689" s="140" t="s">
        <v>246</v>
      </c>
      <c r="D3689" s="140" t="s">
        <v>11</v>
      </c>
      <c r="E3689" s="140" t="s">
        <v>12</v>
      </c>
      <c r="F3689">
        <v>99.902950000000004</v>
      </c>
      <c r="G3689" s="140" t="s">
        <v>250</v>
      </c>
      <c r="H3689">
        <v>0</v>
      </c>
      <c r="I3689" s="140" t="s">
        <v>14</v>
      </c>
    </row>
    <row r="3690" spans="1:9" hidden="1" x14ac:dyDescent="0.25">
      <c r="A3690">
        <v>2007</v>
      </c>
      <c r="B3690" s="140" t="s">
        <v>80</v>
      </c>
      <c r="C3690" s="140" t="s">
        <v>246</v>
      </c>
      <c r="D3690" s="140" t="s">
        <v>11</v>
      </c>
      <c r="E3690" s="140" t="s">
        <v>12</v>
      </c>
      <c r="F3690">
        <v>104.66595</v>
      </c>
      <c r="G3690" s="140" t="s">
        <v>250</v>
      </c>
      <c r="H3690">
        <v>0</v>
      </c>
      <c r="I3690" s="140" t="s">
        <v>14</v>
      </c>
    </row>
    <row r="3691" spans="1:9" hidden="1" x14ac:dyDescent="0.25">
      <c r="A3691">
        <v>2008</v>
      </c>
      <c r="B3691" s="140" t="s">
        <v>80</v>
      </c>
      <c r="C3691" s="140" t="s">
        <v>246</v>
      </c>
      <c r="D3691" s="140" t="s">
        <v>11</v>
      </c>
      <c r="E3691" s="140" t="s">
        <v>12</v>
      </c>
      <c r="F3691">
        <v>106.59517</v>
      </c>
      <c r="G3691" s="140" t="s">
        <v>250</v>
      </c>
      <c r="H3691">
        <v>0</v>
      </c>
      <c r="I3691" s="140" t="s">
        <v>14</v>
      </c>
    </row>
    <row r="3692" spans="1:9" hidden="1" x14ac:dyDescent="0.25">
      <c r="A3692">
        <v>2009</v>
      </c>
      <c r="B3692" s="140" t="s">
        <v>80</v>
      </c>
      <c r="C3692" s="140" t="s">
        <v>246</v>
      </c>
      <c r="D3692" s="140" t="s">
        <v>11</v>
      </c>
      <c r="E3692" s="140" t="s">
        <v>12</v>
      </c>
      <c r="F3692">
        <v>108.97342</v>
      </c>
      <c r="G3692" s="140" t="s">
        <v>250</v>
      </c>
      <c r="H3692">
        <v>0</v>
      </c>
      <c r="I3692" s="140" t="s">
        <v>14</v>
      </c>
    </row>
    <row r="3693" spans="1:9" hidden="1" x14ac:dyDescent="0.25">
      <c r="A3693">
        <v>2010</v>
      </c>
      <c r="B3693" s="140" t="s">
        <v>80</v>
      </c>
      <c r="C3693" s="140" t="s">
        <v>246</v>
      </c>
      <c r="D3693" s="140" t="s">
        <v>11</v>
      </c>
      <c r="E3693" s="140" t="s">
        <v>12</v>
      </c>
      <c r="F3693">
        <v>110.17283</v>
      </c>
      <c r="G3693" s="140" t="s">
        <v>250</v>
      </c>
      <c r="H3693">
        <v>0</v>
      </c>
      <c r="I3693" s="140" t="s">
        <v>14</v>
      </c>
    </row>
    <row r="3694" spans="1:9" hidden="1" x14ac:dyDescent="0.25">
      <c r="A3694">
        <v>2011</v>
      </c>
      <c r="B3694" s="140" t="s">
        <v>80</v>
      </c>
      <c r="C3694" s="140" t="s">
        <v>246</v>
      </c>
      <c r="D3694" s="140" t="s">
        <v>11</v>
      </c>
      <c r="E3694" s="140" t="s">
        <v>12</v>
      </c>
      <c r="F3694">
        <v>111.30996</v>
      </c>
      <c r="G3694" s="140" t="s">
        <v>250</v>
      </c>
      <c r="H3694">
        <v>0</v>
      </c>
      <c r="I3694" s="140" t="s">
        <v>14</v>
      </c>
    </row>
    <row r="3695" spans="1:9" hidden="1" x14ac:dyDescent="0.25">
      <c r="A3695">
        <v>2012</v>
      </c>
      <c r="B3695" s="140" t="s">
        <v>80</v>
      </c>
      <c r="C3695" s="140" t="s">
        <v>246</v>
      </c>
      <c r="D3695" s="140" t="s">
        <v>11</v>
      </c>
      <c r="E3695" s="140" t="s">
        <v>12</v>
      </c>
      <c r="F3695">
        <v>114.17944</v>
      </c>
      <c r="G3695" s="140" t="s">
        <v>250</v>
      </c>
      <c r="H3695">
        <v>0</v>
      </c>
      <c r="I3695" s="140" t="s">
        <v>14</v>
      </c>
    </row>
    <row r="3696" spans="1:9" hidden="1" x14ac:dyDescent="0.25">
      <c r="A3696">
        <v>2013</v>
      </c>
      <c r="B3696" s="140" t="s">
        <v>80</v>
      </c>
      <c r="C3696" s="140" t="s">
        <v>246</v>
      </c>
      <c r="D3696" s="140" t="s">
        <v>11</v>
      </c>
      <c r="E3696" s="140" t="s">
        <v>12</v>
      </c>
      <c r="F3696">
        <v>114.92587</v>
      </c>
      <c r="G3696" s="140" t="s">
        <v>250</v>
      </c>
      <c r="H3696">
        <v>0</v>
      </c>
      <c r="I3696" s="140" t="s">
        <v>14</v>
      </c>
    </row>
    <row r="3697" spans="1:9" hidden="1" x14ac:dyDescent="0.25">
      <c r="A3697">
        <v>2014</v>
      </c>
      <c r="B3697" s="140" t="s">
        <v>80</v>
      </c>
      <c r="C3697" s="140" t="s">
        <v>246</v>
      </c>
      <c r="D3697" s="140" t="s">
        <v>11</v>
      </c>
      <c r="E3697" s="140" t="s">
        <v>12</v>
      </c>
      <c r="F3697">
        <v>117.12126000000001</v>
      </c>
      <c r="G3697" s="140" t="s">
        <v>250</v>
      </c>
      <c r="H3697">
        <v>0</v>
      </c>
      <c r="I3697" s="140" t="s">
        <v>14</v>
      </c>
    </row>
    <row r="3698" spans="1:9" hidden="1" x14ac:dyDescent="0.25">
      <c r="A3698">
        <v>2015</v>
      </c>
      <c r="B3698" s="140" t="s">
        <v>80</v>
      </c>
      <c r="C3698" s="140" t="s">
        <v>246</v>
      </c>
      <c r="D3698" s="140" t="s">
        <v>11</v>
      </c>
      <c r="E3698" s="140" t="s">
        <v>12</v>
      </c>
      <c r="F3698">
        <v>119.24379</v>
      </c>
      <c r="G3698" s="140" t="s">
        <v>250</v>
      </c>
      <c r="H3698">
        <v>0</v>
      </c>
      <c r="I3698" s="140" t="s">
        <v>14</v>
      </c>
    </row>
    <row r="3699" spans="1:9" hidden="1" x14ac:dyDescent="0.25">
      <c r="A3699">
        <v>2016</v>
      </c>
      <c r="B3699" s="140" t="s">
        <v>80</v>
      </c>
      <c r="C3699" s="140" t="s">
        <v>246</v>
      </c>
      <c r="D3699" s="140" t="s">
        <v>11</v>
      </c>
      <c r="E3699" s="140" t="s">
        <v>12</v>
      </c>
      <c r="F3699">
        <v>122.45134</v>
      </c>
      <c r="G3699" s="140" t="s">
        <v>250</v>
      </c>
      <c r="H3699">
        <v>0</v>
      </c>
      <c r="I3699" s="140" t="s">
        <v>14</v>
      </c>
    </row>
    <row r="3700" spans="1:9" hidden="1" x14ac:dyDescent="0.25">
      <c r="A3700">
        <v>2017</v>
      </c>
      <c r="B3700" s="140" t="s">
        <v>80</v>
      </c>
      <c r="C3700" s="140" t="s">
        <v>246</v>
      </c>
      <c r="D3700" s="140" t="s">
        <v>11</v>
      </c>
      <c r="E3700" s="140" t="s">
        <v>12</v>
      </c>
      <c r="F3700">
        <v>125.53175</v>
      </c>
      <c r="G3700" s="140" t="s">
        <v>250</v>
      </c>
      <c r="H3700">
        <v>0</v>
      </c>
      <c r="I3700" s="140" t="s">
        <v>14</v>
      </c>
    </row>
    <row r="3701" spans="1:9" hidden="1" x14ac:dyDescent="0.25">
      <c r="A3701">
        <v>2018</v>
      </c>
      <c r="B3701" s="140" t="s">
        <v>80</v>
      </c>
      <c r="C3701" s="140" t="s">
        <v>246</v>
      </c>
      <c r="D3701" s="140" t="s">
        <v>11</v>
      </c>
      <c r="E3701" s="140" t="s">
        <v>12</v>
      </c>
      <c r="F3701">
        <v>127.23439</v>
      </c>
      <c r="G3701" s="140" t="s">
        <v>250</v>
      </c>
      <c r="H3701">
        <v>0</v>
      </c>
      <c r="I3701" s="140" t="s">
        <v>14</v>
      </c>
    </row>
    <row r="3702" spans="1:9" hidden="1" x14ac:dyDescent="0.25">
      <c r="A3702">
        <v>2019</v>
      </c>
      <c r="B3702" s="140" t="s">
        <v>80</v>
      </c>
      <c r="C3702" s="140" t="s">
        <v>246</v>
      </c>
      <c r="D3702" s="140" t="s">
        <v>11</v>
      </c>
      <c r="E3702" s="140" t="s">
        <v>12</v>
      </c>
      <c r="F3702">
        <v>127.93653</v>
      </c>
      <c r="G3702" s="140" t="s">
        <v>250</v>
      </c>
      <c r="H3702">
        <v>0</v>
      </c>
      <c r="I3702" s="140" t="s">
        <v>14</v>
      </c>
    </row>
    <row r="3703" spans="1:9" hidden="1" x14ac:dyDescent="0.25">
      <c r="A3703">
        <v>2020</v>
      </c>
      <c r="B3703" s="140" t="s">
        <v>80</v>
      </c>
      <c r="C3703" s="140" t="s">
        <v>246</v>
      </c>
      <c r="D3703" s="140" t="s">
        <v>11</v>
      </c>
      <c r="E3703" s="140" t="s">
        <v>12</v>
      </c>
      <c r="F3703">
        <v>132.73303000000001</v>
      </c>
      <c r="G3703" s="140" t="s">
        <v>250</v>
      </c>
      <c r="H3703">
        <v>0</v>
      </c>
      <c r="I3703" s="140" t="s">
        <v>14</v>
      </c>
    </row>
    <row r="3704" spans="1:9" hidden="1" x14ac:dyDescent="0.25">
      <c r="A3704">
        <v>2021</v>
      </c>
      <c r="B3704" s="140" t="s">
        <v>80</v>
      </c>
      <c r="C3704" s="140" t="s">
        <v>246</v>
      </c>
      <c r="D3704" s="140" t="s">
        <v>11</v>
      </c>
      <c r="E3704" s="140" t="s">
        <v>12</v>
      </c>
      <c r="F3704">
        <v>133.40377000000001</v>
      </c>
      <c r="G3704" s="140" t="s">
        <v>250</v>
      </c>
      <c r="H3704">
        <v>0</v>
      </c>
      <c r="I3704" s="140" t="s">
        <v>14</v>
      </c>
    </row>
    <row r="3705" spans="1:9" hidden="1" x14ac:dyDescent="0.25">
      <c r="A3705">
        <v>2022</v>
      </c>
      <c r="B3705" s="140" t="s">
        <v>80</v>
      </c>
      <c r="C3705" s="140" t="s">
        <v>246</v>
      </c>
      <c r="D3705" s="140" t="s">
        <v>11</v>
      </c>
      <c r="E3705" s="140" t="s">
        <v>12</v>
      </c>
      <c r="F3705">
        <v>133.40232</v>
      </c>
      <c r="G3705" s="140" t="s">
        <v>250</v>
      </c>
      <c r="H3705">
        <v>0</v>
      </c>
      <c r="I3705" s="140" t="s">
        <v>14</v>
      </c>
    </row>
    <row r="3706" spans="1:9" hidden="1" x14ac:dyDescent="0.25">
      <c r="A3706">
        <v>2023</v>
      </c>
      <c r="B3706" s="140" t="s">
        <v>80</v>
      </c>
      <c r="C3706" s="140" t="s">
        <v>246</v>
      </c>
      <c r="D3706" s="140" t="s">
        <v>11</v>
      </c>
      <c r="E3706" s="140" t="s">
        <v>12</v>
      </c>
      <c r="F3706">
        <v>126.48994</v>
      </c>
      <c r="G3706" s="140" t="s">
        <v>250</v>
      </c>
      <c r="H3706">
        <v>0</v>
      </c>
      <c r="I3706" s="140" t="s">
        <v>14</v>
      </c>
    </row>
    <row r="3707" spans="1:9" hidden="1" x14ac:dyDescent="0.25">
      <c r="A3707">
        <v>2024</v>
      </c>
      <c r="B3707" s="140" t="s">
        <v>80</v>
      </c>
      <c r="C3707" s="140" t="s">
        <v>246</v>
      </c>
      <c r="D3707" s="140" t="s">
        <v>11</v>
      </c>
      <c r="E3707" s="140" t="s">
        <v>12</v>
      </c>
      <c r="F3707">
        <v>121.7687</v>
      </c>
      <c r="G3707" s="140" t="s">
        <v>250</v>
      </c>
      <c r="H3707">
        <v>0</v>
      </c>
      <c r="I3707" s="140" t="s">
        <v>14</v>
      </c>
    </row>
    <row r="3708" spans="1:9" hidden="1" x14ac:dyDescent="0.25">
      <c r="A3708">
        <v>2025</v>
      </c>
      <c r="B3708" s="140" t="s">
        <v>80</v>
      </c>
      <c r="C3708" s="140" t="s">
        <v>246</v>
      </c>
      <c r="D3708" s="140" t="s">
        <v>11</v>
      </c>
      <c r="E3708" s="140" t="s">
        <v>12</v>
      </c>
      <c r="F3708">
        <v>119.31075</v>
      </c>
      <c r="G3708" s="140" t="s">
        <v>250</v>
      </c>
      <c r="H3708">
        <v>0</v>
      </c>
      <c r="I3708" s="140" t="s">
        <v>14</v>
      </c>
    </row>
    <row r="3709" spans="1:9" hidden="1" x14ac:dyDescent="0.25">
      <c r="A3709">
        <v>2026</v>
      </c>
      <c r="B3709" s="140" t="s">
        <v>80</v>
      </c>
      <c r="C3709" s="140" t="s">
        <v>246</v>
      </c>
      <c r="D3709" s="140" t="s">
        <v>11</v>
      </c>
      <c r="E3709" s="140" t="s">
        <v>12</v>
      </c>
      <c r="F3709">
        <v>118.84521890000001</v>
      </c>
      <c r="G3709" s="140" t="s">
        <v>250</v>
      </c>
      <c r="H3709">
        <v>0</v>
      </c>
      <c r="I3709" s="140" t="s">
        <v>14</v>
      </c>
    </row>
    <row r="3710" spans="1:9" hidden="1" x14ac:dyDescent="0.25">
      <c r="A3710">
        <v>2027</v>
      </c>
      <c r="B3710" s="140" t="s">
        <v>80</v>
      </c>
      <c r="C3710" s="140" t="s">
        <v>246</v>
      </c>
      <c r="D3710" s="140" t="s">
        <v>11</v>
      </c>
      <c r="E3710" s="140" t="s">
        <v>12</v>
      </c>
      <c r="F3710">
        <v>119.0754221</v>
      </c>
      <c r="G3710" s="140" t="s">
        <v>250</v>
      </c>
      <c r="H3710">
        <v>0</v>
      </c>
      <c r="I3710" s="140" t="s">
        <v>14</v>
      </c>
    </row>
    <row r="3711" spans="1:9" hidden="1" x14ac:dyDescent="0.25">
      <c r="A3711">
        <v>2028</v>
      </c>
      <c r="B3711" s="140" t="s">
        <v>80</v>
      </c>
      <c r="C3711" s="140" t="s">
        <v>246</v>
      </c>
      <c r="D3711" s="140" t="s">
        <v>11</v>
      </c>
      <c r="E3711" s="140" t="s">
        <v>12</v>
      </c>
      <c r="F3711">
        <v>119.3064739</v>
      </c>
      <c r="G3711" s="140" t="s">
        <v>250</v>
      </c>
      <c r="H3711">
        <v>0</v>
      </c>
      <c r="I3711" s="140" t="s">
        <v>14</v>
      </c>
    </row>
    <row r="3712" spans="1:9" hidden="1" x14ac:dyDescent="0.25">
      <c r="A3712">
        <v>1990</v>
      </c>
      <c r="B3712" s="140" t="s">
        <v>51</v>
      </c>
      <c r="C3712" s="140" t="s">
        <v>243</v>
      </c>
      <c r="D3712" s="140" t="s">
        <v>11</v>
      </c>
      <c r="E3712" s="140" t="s">
        <v>52</v>
      </c>
      <c r="F3712">
        <v>44539</v>
      </c>
      <c r="G3712" s="140" t="s">
        <v>251</v>
      </c>
      <c r="H3712">
        <v>0</v>
      </c>
      <c r="I3712" s="140" t="s">
        <v>17</v>
      </c>
    </row>
    <row r="3713" spans="1:9" hidden="1" x14ac:dyDescent="0.25">
      <c r="A3713">
        <v>1991</v>
      </c>
      <c r="B3713" s="140" t="s">
        <v>51</v>
      </c>
      <c r="C3713" s="140" t="s">
        <v>243</v>
      </c>
      <c r="D3713" s="140" t="s">
        <v>11</v>
      </c>
      <c r="E3713" s="140" t="s">
        <v>52</v>
      </c>
      <c r="F3713">
        <v>47764</v>
      </c>
      <c r="G3713" s="140" t="s">
        <v>251</v>
      </c>
      <c r="H3713">
        <v>0</v>
      </c>
      <c r="I3713" s="140" t="s">
        <v>17</v>
      </c>
    </row>
    <row r="3714" spans="1:9" hidden="1" x14ac:dyDescent="0.25">
      <c r="A3714">
        <v>1992</v>
      </c>
      <c r="B3714" s="140" t="s">
        <v>51</v>
      </c>
      <c r="C3714" s="140" t="s">
        <v>243</v>
      </c>
      <c r="D3714" s="140" t="s">
        <v>11</v>
      </c>
      <c r="E3714" s="140" t="s">
        <v>52</v>
      </c>
      <c r="F3714">
        <v>48655</v>
      </c>
      <c r="G3714" s="140" t="s">
        <v>251</v>
      </c>
      <c r="H3714">
        <v>0</v>
      </c>
      <c r="I3714" s="140" t="s">
        <v>17</v>
      </c>
    </row>
    <row r="3715" spans="1:9" hidden="1" x14ac:dyDescent="0.25">
      <c r="A3715">
        <v>1993</v>
      </c>
      <c r="B3715" s="140" t="s">
        <v>51</v>
      </c>
      <c r="C3715" s="140" t="s">
        <v>243</v>
      </c>
      <c r="D3715" s="140" t="s">
        <v>11</v>
      </c>
      <c r="E3715" s="140" t="s">
        <v>52</v>
      </c>
      <c r="F3715">
        <v>47564</v>
      </c>
      <c r="G3715" s="140" t="s">
        <v>251</v>
      </c>
      <c r="H3715">
        <v>0</v>
      </c>
      <c r="I3715" s="140" t="s">
        <v>17</v>
      </c>
    </row>
    <row r="3716" spans="1:9" hidden="1" x14ac:dyDescent="0.25">
      <c r="A3716">
        <v>1994</v>
      </c>
      <c r="B3716" s="140" t="s">
        <v>51</v>
      </c>
      <c r="C3716" s="140" t="s">
        <v>243</v>
      </c>
      <c r="D3716" s="140" t="s">
        <v>11</v>
      </c>
      <c r="E3716" s="140" t="s">
        <v>52</v>
      </c>
      <c r="F3716">
        <v>46049</v>
      </c>
      <c r="G3716" s="140" t="s">
        <v>251</v>
      </c>
      <c r="H3716">
        <v>0</v>
      </c>
      <c r="I3716" s="140" t="s">
        <v>17</v>
      </c>
    </row>
    <row r="3717" spans="1:9" hidden="1" x14ac:dyDescent="0.25">
      <c r="A3717">
        <v>1995</v>
      </c>
      <c r="B3717" s="140" t="s">
        <v>51</v>
      </c>
      <c r="C3717" s="140" t="s">
        <v>243</v>
      </c>
      <c r="D3717" s="140" t="s">
        <v>11</v>
      </c>
      <c r="E3717" s="140" t="s">
        <v>52</v>
      </c>
      <c r="F3717">
        <v>50097</v>
      </c>
      <c r="G3717" s="140" t="s">
        <v>251</v>
      </c>
      <c r="H3717">
        <v>0</v>
      </c>
      <c r="I3717" s="140" t="s">
        <v>17</v>
      </c>
    </row>
    <row r="3718" spans="1:9" hidden="1" x14ac:dyDescent="0.25">
      <c r="A3718">
        <v>1996</v>
      </c>
      <c r="B3718" s="140" t="s">
        <v>51</v>
      </c>
      <c r="C3718" s="140" t="s">
        <v>243</v>
      </c>
      <c r="D3718" s="140" t="s">
        <v>11</v>
      </c>
      <c r="E3718" s="140" t="s">
        <v>52</v>
      </c>
      <c r="F3718">
        <v>50407</v>
      </c>
      <c r="G3718" s="140" t="s">
        <v>251</v>
      </c>
      <c r="H3718">
        <v>0</v>
      </c>
      <c r="I3718" s="140" t="s">
        <v>17</v>
      </c>
    </row>
    <row r="3719" spans="1:9" hidden="1" x14ac:dyDescent="0.25">
      <c r="A3719">
        <v>1997</v>
      </c>
      <c r="B3719" s="140" t="s">
        <v>51</v>
      </c>
      <c r="C3719" s="140" t="s">
        <v>243</v>
      </c>
      <c r="D3719" s="140" t="s">
        <v>11</v>
      </c>
      <c r="E3719" s="140" t="s">
        <v>52</v>
      </c>
      <c r="F3719">
        <v>53873</v>
      </c>
      <c r="G3719" s="140" t="s">
        <v>251</v>
      </c>
      <c r="H3719">
        <v>0</v>
      </c>
      <c r="I3719" s="140" t="s">
        <v>17</v>
      </c>
    </row>
    <row r="3720" spans="1:9" hidden="1" x14ac:dyDescent="0.25">
      <c r="A3720">
        <v>1998</v>
      </c>
      <c r="B3720" s="140" t="s">
        <v>51</v>
      </c>
      <c r="C3720" s="140" t="s">
        <v>243</v>
      </c>
      <c r="D3720" s="140" t="s">
        <v>11</v>
      </c>
      <c r="E3720" s="140" t="s">
        <v>52</v>
      </c>
      <c r="F3720">
        <v>56718</v>
      </c>
      <c r="G3720" s="140" t="s">
        <v>251</v>
      </c>
      <c r="H3720">
        <v>0</v>
      </c>
      <c r="I3720" s="140" t="s">
        <v>17</v>
      </c>
    </row>
    <row r="3721" spans="1:9" hidden="1" x14ac:dyDescent="0.25">
      <c r="A3721">
        <v>1999</v>
      </c>
      <c r="B3721" s="140" t="s">
        <v>51</v>
      </c>
      <c r="C3721" s="140" t="s">
        <v>243</v>
      </c>
      <c r="D3721" s="140" t="s">
        <v>11</v>
      </c>
      <c r="E3721" s="140" t="s">
        <v>52</v>
      </c>
      <c r="F3721">
        <v>60534</v>
      </c>
      <c r="G3721" s="140" t="s">
        <v>251</v>
      </c>
      <c r="H3721">
        <v>0</v>
      </c>
      <c r="I3721" s="140" t="s">
        <v>17</v>
      </c>
    </row>
    <row r="3722" spans="1:9" hidden="1" x14ac:dyDescent="0.25">
      <c r="A3722">
        <v>2000</v>
      </c>
      <c r="B3722" s="140" t="s">
        <v>51</v>
      </c>
      <c r="C3722" s="140" t="s">
        <v>243</v>
      </c>
      <c r="D3722" s="140" t="s">
        <v>11</v>
      </c>
      <c r="E3722" s="140" t="s">
        <v>52</v>
      </c>
      <c r="F3722">
        <v>62856</v>
      </c>
      <c r="G3722" s="140" t="s">
        <v>251</v>
      </c>
      <c r="H3722">
        <v>0</v>
      </c>
      <c r="I3722" s="140" t="s">
        <v>17</v>
      </c>
    </row>
    <row r="3723" spans="1:9" hidden="1" x14ac:dyDescent="0.25">
      <c r="A3723">
        <v>2001</v>
      </c>
      <c r="B3723" s="140" t="s">
        <v>51</v>
      </c>
      <c r="C3723" s="140" t="s">
        <v>243</v>
      </c>
      <c r="D3723" s="140" t="s">
        <v>11</v>
      </c>
      <c r="E3723" s="140" t="s">
        <v>52</v>
      </c>
      <c r="F3723">
        <v>66199</v>
      </c>
      <c r="G3723" s="140" t="s">
        <v>251</v>
      </c>
      <c r="H3723">
        <v>0</v>
      </c>
      <c r="I3723" s="140" t="s">
        <v>17</v>
      </c>
    </row>
    <row r="3724" spans="1:9" hidden="1" x14ac:dyDescent="0.25">
      <c r="A3724">
        <v>2002</v>
      </c>
      <c r="B3724" s="140" t="s">
        <v>51</v>
      </c>
      <c r="C3724" s="140" t="s">
        <v>243</v>
      </c>
      <c r="D3724" s="140" t="s">
        <v>11</v>
      </c>
      <c r="E3724" s="140" t="s">
        <v>52</v>
      </c>
      <c r="F3724">
        <v>69552</v>
      </c>
      <c r="G3724" s="140" t="s">
        <v>251</v>
      </c>
      <c r="H3724">
        <v>0</v>
      </c>
      <c r="I3724" s="140" t="s">
        <v>17</v>
      </c>
    </row>
    <row r="3725" spans="1:9" hidden="1" x14ac:dyDescent="0.25">
      <c r="A3725">
        <v>2003</v>
      </c>
      <c r="B3725" s="140" t="s">
        <v>51</v>
      </c>
      <c r="C3725" s="140" t="s">
        <v>243</v>
      </c>
      <c r="D3725" s="140" t="s">
        <v>11</v>
      </c>
      <c r="E3725" s="140" t="s">
        <v>52</v>
      </c>
      <c r="F3725">
        <v>73053</v>
      </c>
      <c r="G3725" s="140" t="s">
        <v>251</v>
      </c>
      <c r="H3725">
        <v>0</v>
      </c>
      <c r="I3725" s="140" t="s">
        <v>17</v>
      </c>
    </row>
    <row r="3726" spans="1:9" hidden="1" x14ac:dyDescent="0.25">
      <c r="A3726">
        <v>2004</v>
      </c>
      <c r="B3726" s="140" t="s">
        <v>51</v>
      </c>
      <c r="C3726" s="140" t="s">
        <v>243</v>
      </c>
      <c r="D3726" s="140" t="s">
        <v>11</v>
      </c>
      <c r="E3726" s="140" t="s">
        <v>52</v>
      </c>
      <c r="F3726">
        <v>76689</v>
      </c>
      <c r="G3726" s="140" t="s">
        <v>251</v>
      </c>
      <c r="H3726">
        <v>0</v>
      </c>
      <c r="I3726" s="140" t="s">
        <v>17</v>
      </c>
    </row>
    <row r="3727" spans="1:9" hidden="1" x14ac:dyDescent="0.25">
      <c r="A3727">
        <v>2005</v>
      </c>
      <c r="B3727" s="140" t="s">
        <v>51</v>
      </c>
      <c r="C3727" s="140" t="s">
        <v>243</v>
      </c>
      <c r="D3727" s="140" t="s">
        <v>11</v>
      </c>
      <c r="E3727" s="140" t="s">
        <v>52</v>
      </c>
      <c r="F3727">
        <v>78456</v>
      </c>
      <c r="G3727" s="140" t="s">
        <v>251</v>
      </c>
      <c r="H3727">
        <v>0</v>
      </c>
      <c r="I3727" s="140" t="s">
        <v>17</v>
      </c>
    </row>
    <row r="3728" spans="1:9" hidden="1" x14ac:dyDescent="0.25">
      <c r="A3728">
        <v>2006</v>
      </c>
      <c r="B3728" s="140" t="s">
        <v>51</v>
      </c>
      <c r="C3728" s="140" t="s">
        <v>243</v>
      </c>
      <c r="D3728" s="140" t="s">
        <v>11</v>
      </c>
      <c r="E3728" s="140" t="s">
        <v>52</v>
      </c>
      <c r="F3728">
        <v>81405</v>
      </c>
      <c r="G3728" s="140" t="s">
        <v>251</v>
      </c>
      <c r="H3728">
        <v>0</v>
      </c>
      <c r="I3728" s="140" t="s">
        <v>17</v>
      </c>
    </row>
    <row r="3729" spans="1:9" hidden="1" x14ac:dyDescent="0.25">
      <c r="A3729">
        <v>2007</v>
      </c>
      <c r="B3729" s="140" t="s">
        <v>51</v>
      </c>
      <c r="C3729" s="140" t="s">
        <v>243</v>
      </c>
      <c r="D3729" s="140" t="s">
        <v>11</v>
      </c>
      <c r="E3729" s="140" t="s">
        <v>52</v>
      </c>
      <c r="F3729">
        <v>86199</v>
      </c>
      <c r="G3729" s="140" t="s">
        <v>251</v>
      </c>
      <c r="H3729">
        <v>0</v>
      </c>
      <c r="I3729" s="140" t="s">
        <v>17</v>
      </c>
    </row>
    <row r="3730" spans="1:9" hidden="1" x14ac:dyDescent="0.25">
      <c r="A3730">
        <v>2008</v>
      </c>
      <c r="B3730" s="140" t="s">
        <v>51</v>
      </c>
      <c r="C3730" s="140" t="s">
        <v>243</v>
      </c>
      <c r="D3730" s="140" t="s">
        <v>11</v>
      </c>
      <c r="E3730" s="140" t="s">
        <v>52</v>
      </c>
      <c r="F3730">
        <v>91006</v>
      </c>
      <c r="G3730" s="140" t="s">
        <v>251</v>
      </c>
      <c r="H3730">
        <v>0</v>
      </c>
      <c r="I3730" s="140" t="s">
        <v>17</v>
      </c>
    </row>
    <row r="3731" spans="1:9" hidden="1" x14ac:dyDescent="0.25">
      <c r="A3731">
        <v>2009</v>
      </c>
      <c r="B3731" s="140" t="s">
        <v>51</v>
      </c>
      <c r="C3731" s="140" t="s">
        <v>243</v>
      </c>
      <c r="D3731" s="140" t="s">
        <v>11</v>
      </c>
      <c r="E3731" s="140" t="s">
        <v>52</v>
      </c>
      <c r="F3731">
        <v>93777</v>
      </c>
      <c r="G3731" s="140" t="s">
        <v>251</v>
      </c>
      <c r="H3731">
        <v>0</v>
      </c>
      <c r="I3731" s="140" t="s">
        <v>17</v>
      </c>
    </row>
    <row r="3732" spans="1:9" hidden="1" x14ac:dyDescent="0.25">
      <c r="A3732">
        <v>2010</v>
      </c>
      <c r="B3732" s="140" t="s">
        <v>51</v>
      </c>
      <c r="C3732" s="140" t="s">
        <v>243</v>
      </c>
      <c r="D3732" s="140" t="s">
        <v>11</v>
      </c>
      <c r="E3732" s="140" t="s">
        <v>52</v>
      </c>
      <c r="F3732">
        <v>98478</v>
      </c>
      <c r="G3732" s="140" t="s">
        <v>251</v>
      </c>
      <c r="H3732">
        <v>0</v>
      </c>
      <c r="I3732" s="140" t="s">
        <v>17</v>
      </c>
    </row>
    <row r="3733" spans="1:9" hidden="1" x14ac:dyDescent="0.25">
      <c r="A3733">
        <v>2011</v>
      </c>
      <c r="B3733" s="140" t="s">
        <v>51</v>
      </c>
      <c r="C3733" s="140" t="s">
        <v>243</v>
      </c>
      <c r="D3733" s="140" t="s">
        <v>11</v>
      </c>
      <c r="E3733" s="140" t="s">
        <v>52</v>
      </c>
      <c r="F3733">
        <v>102812</v>
      </c>
      <c r="G3733" s="140" t="s">
        <v>251</v>
      </c>
      <c r="H3733">
        <v>0</v>
      </c>
      <c r="I3733" s="140" t="s">
        <v>17</v>
      </c>
    </row>
    <row r="3734" spans="1:9" hidden="1" x14ac:dyDescent="0.25">
      <c r="A3734">
        <v>2012</v>
      </c>
      <c r="B3734" s="140" t="s">
        <v>51</v>
      </c>
      <c r="C3734" s="140" t="s">
        <v>243</v>
      </c>
      <c r="D3734" s="140" t="s">
        <v>11</v>
      </c>
      <c r="E3734" s="140" t="s">
        <v>52</v>
      </c>
      <c r="F3734">
        <v>105251</v>
      </c>
      <c r="G3734" s="140" t="s">
        <v>251</v>
      </c>
      <c r="H3734">
        <v>0</v>
      </c>
      <c r="I3734" s="140" t="s">
        <v>17</v>
      </c>
    </row>
    <row r="3735" spans="1:9" hidden="1" x14ac:dyDescent="0.25">
      <c r="A3735">
        <v>2013</v>
      </c>
      <c r="B3735" s="140" t="s">
        <v>51</v>
      </c>
      <c r="C3735" s="140" t="s">
        <v>243</v>
      </c>
      <c r="D3735" s="140" t="s">
        <v>11</v>
      </c>
      <c r="E3735" s="140" t="s">
        <v>52</v>
      </c>
      <c r="F3735">
        <v>107317</v>
      </c>
      <c r="G3735" s="140" t="s">
        <v>251</v>
      </c>
      <c r="H3735">
        <v>0</v>
      </c>
      <c r="I3735" s="140" t="s">
        <v>17</v>
      </c>
    </row>
    <row r="3736" spans="1:9" hidden="1" x14ac:dyDescent="0.25">
      <c r="A3736">
        <v>2014</v>
      </c>
      <c r="B3736" s="140" t="s">
        <v>51</v>
      </c>
      <c r="C3736" s="140" t="s">
        <v>243</v>
      </c>
      <c r="D3736" s="140" t="s">
        <v>11</v>
      </c>
      <c r="E3736" s="140" t="s">
        <v>52</v>
      </c>
      <c r="F3736">
        <v>108631</v>
      </c>
      <c r="G3736" s="140" t="s">
        <v>251</v>
      </c>
      <c r="H3736">
        <v>0</v>
      </c>
      <c r="I3736" s="140" t="s">
        <v>17</v>
      </c>
    </row>
    <row r="3737" spans="1:9" hidden="1" x14ac:dyDescent="0.25">
      <c r="A3737">
        <v>2015</v>
      </c>
      <c r="B3737" s="140" t="s">
        <v>51</v>
      </c>
      <c r="C3737" s="140" t="s">
        <v>243</v>
      </c>
      <c r="D3737" s="140" t="s">
        <v>11</v>
      </c>
      <c r="E3737" s="140" t="s">
        <v>52</v>
      </c>
      <c r="F3737">
        <v>110498</v>
      </c>
      <c r="G3737" s="140" t="s">
        <v>251</v>
      </c>
      <c r="H3737">
        <v>0</v>
      </c>
      <c r="I3737" s="140" t="s">
        <v>17</v>
      </c>
    </row>
    <row r="3738" spans="1:9" hidden="1" x14ac:dyDescent="0.25">
      <c r="A3738">
        <v>2016</v>
      </c>
      <c r="B3738" s="140" t="s">
        <v>51</v>
      </c>
      <c r="C3738" s="140" t="s">
        <v>243</v>
      </c>
      <c r="D3738" s="140" t="s">
        <v>11</v>
      </c>
      <c r="E3738" s="140" t="s">
        <v>52</v>
      </c>
      <c r="F3738">
        <v>112167</v>
      </c>
      <c r="G3738" s="140" t="s">
        <v>251</v>
      </c>
      <c r="H3738">
        <v>0</v>
      </c>
      <c r="I3738" s="140" t="s">
        <v>17</v>
      </c>
    </row>
    <row r="3739" spans="1:9" hidden="1" x14ac:dyDescent="0.25">
      <c r="A3739">
        <v>2017</v>
      </c>
      <c r="B3739" s="140" t="s">
        <v>51</v>
      </c>
      <c r="C3739" s="140" t="s">
        <v>243</v>
      </c>
      <c r="D3739" s="140" t="s">
        <v>11</v>
      </c>
      <c r="E3739" s="140" t="s">
        <v>52</v>
      </c>
      <c r="F3739">
        <v>114481</v>
      </c>
      <c r="G3739" s="140" t="s">
        <v>251</v>
      </c>
      <c r="H3739">
        <v>0</v>
      </c>
      <c r="I3739" s="140" t="s">
        <v>17</v>
      </c>
    </row>
    <row r="3740" spans="1:9" hidden="1" x14ac:dyDescent="0.25">
      <c r="A3740">
        <v>2018</v>
      </c>
      <c r="B3740" s="140" t="s">
        <v>51</v>
      </c>
      <c r="C3740" s="140" t="s">
        <v>243</v>
      </c>
      <c r="D3740" s="140" t="s">
        <v>11</v>
      </c>
      <c r="E3740" s="140" t="s">
        <v>52</v>
      </c>
      <c r="F3740">
        <v>118097</v>
      </c>
      <c r="G3740" s="140" t="s">
        <v>251</v>
      </c>
      <c r="H3740">
        <v>0</v>
      </c>
      <c r="I3740" s="140" t="s">
        <v>17</v>
      </c>
    </row>
    <row r="3741" spans="1:9" hidden="1" x14ac:dyDescent="0.25">
      <c r="A3741">
        <v>2019</v>
      </c>
      <c r="B3741" s="140" t="s">
        <v>51</v>
      </c>
      <c r="C3741" s="140" t="s">
        <v>243</v>
      </c>
      <c r="D3741" s="140" t="s">
        <v>11</v>
      </c>
      <c r="E3741" s="140" t="s">
        <v>52</v>
      </c>
      <c r="F3741">
        <v>121819</v>
      </c>
      <c r="G3741" s="140" t="s">
        <v>251</v>
      </c>
      <c r="H3741">
        <v>0</v>
      </c>
      <c r="I3741" s="140" t="s">
        <v>17</v>
      </c>
    </row>
    <row r="3742" spans="1:9" hidden="1" x14ac:dyDescent="0.25">
      <c r="A3742">
        <v>2020</v>
      </c>
      <c r="B3742" s="140" t="s">
        <v>51</v>
      </c>
      <c r="C3742" s="140" t="s">
        <v>243</v>
      </c>
      <c r="D3742" s="140" t="s">
        <v>11</v>
      </c>
      <c r="E3742" s="140" t="s">
        <v>52</v>
      </c>
      <c r="F3742">
        <v>122439</v>
      </c>
      <c r="G3742" s="140" t="s">
        <v>251</v>
      </c>
      <c r="H3742">
        <v>0</v>
      </c>
      <c r="I3742" s="140" t="s">
        <v>17</v>
      </c>
    </row>
    <row r="3743" spans="1:9" hidden="1" x14ac:dyDescent="0.25">
      <c r="A3743">
        <v>2021</v>
      </c>
      <c r="B3743" s="140" t="s">
        <v>51</v>
      </c>
      <c r="C3743" s="140" t="s">
        <v>243</v>
      </c>
      <c r="D3743" s="140" t="s">
        <v>11</v>
      </c>
      <c r="E3743" s="140" t="s">
        <v>52</v>
      </c>
      <c r="F3743">
        <v>126351</v>
      </c>
      <c r="G3743" s="140" t="s">
        <v>251</v>
      </c>
      <c r="H3743">
        <v>0</v>
      </c>
      <c r="I3743" s="140" t="s">
        <v>17</v>
      </c>
    </row>
    <row r="3744" spans="1:9" hidden="1" x14ac:dyDescent="0.25">
      <c r="A3744">
        <v>2022</v>
      </c>
      <c r="B3744" s="140" t="s">
        <v>51</v>
      </c>
      <c r="C3744" s="140" t="s">
        <v>243</v>
      </c>
      <c r="D3744" s="140" t="s">
        <v>11</v>
      </c>
      <c r="E3744" s="140" t="s">
        <v>52</v>
      </c>
      <c r="F3744">
        <v>131422</v>
      </c>
      <c r="G3744" s="140" t="s">
        <v>251</v>
      </c>
      <c r="H3744">
        <v>0</v>
      </c>
      <c r="I3744" s="140" t="s">
        <v>17</v>
      </c>
    </row>
    <row r="3745" spans="1:9" hidden="1" x14ac:dyDescent="0.25">
      <c r="A3745">
        <v>2023</v>
      </c>
      <c r="B3745" s="140" t="s">
        <v>51</v>
      </c>
      <c r="C3745" s="140" t="s">
        <v>243</v>
      </c>
      <c r="D3745" s="140" t="s">
        <v>11</v>
      </c>
      <c r="E3745" s="140" t="s">
        <v>52</v>
      </c>
      <c r="F3745">
        <v>138143</v>
      </c>
      <c r="G3745" s="140" t="s">
        <v>251</v>
      </c>
      <c r="H3745">
        <v>0</v>
      </c>
      <c r="I3745" s="140" t="s">
        <v>17</v>
      </c>
    </row>
    <row r="3746" spans="1:9" hidden="1" x14ac:dyDescent="0.25">
      <c r="A3746">
        <v>2024</v>
      </c>
      <c r="B3746" s="140" t="s">
        <v>51</v>
      </c>
      <c r="C3746" s="140" t="s">
        <v>243</v>
      </c>
      <c r="D3746" s="140" t="s">
        <v>11</v>
      </c>
      <c r="E3746" s="140" t="s">
        <v>52</v>
      </c>
      <c r="F3746">
        <v>142907</v>
      </c>
      <c r="G3746" s="140" t="s">
        <v>251</v>
      </c>
      <c r="H3746">
        <v>0</v>
      </c>
      <c r="I3746" s="140" t="s">
        <v>17</v>
      </c>
    </row>
    <row r="3747" spans="1:9" hidden="1" x14ac:dyDescent="0.25">
      <c r="A3747">
        <v>2025</v>
      </c>
      <c r="B3747" s="140" t="s">
        <v>51</v>
      </c>
      <c r="C3747" s="140" t="s">
        <v>243</v>
      </c>
      <c r="D3747" s="140" t="s">
        <v>11</v>
      </c>
      <c r="E3747" s="140" t="s">
        <v>52</v>
      </c>
      <c r="F3747">
        <v>145753</v>
      </c>
      <c r="G3747" s="140" t="s">
        <v>251</v>
      </c>
      <c r="H3747">
        <v>0</v>
      </c>
      <c r="I3747" s="140" t="s">
        <v>17</v>
      </c>
    </row>
    <row r="3748" spans="1:9" hidden="1" x14ac:dyDescent="0.25">
      <c r="A3748">
        <v>2026</v>
      </c>
      <c r="B3748" s="140" t="s">
        <v>51</v>
      </c>
      <c r="C3748" s="140" t="s">
        <v>243</v>
      </c>
      <c r="D3748" s="140" t="s">
        <v>11</v>
      </c>
      <c r="E3748" s="140" t="s">
        <v>52</v>
      </c>
      <c r="F3748">
        <v>149436.0166</v>
      </c>
      <c r="G3748" s="140" t="s">
        <v>251</v>
      </c>
      <c r="H3748">
        <v>0</v>
      </c>
      <c r="I3748" s="140" t="s">
        <v>17</v>
      </c>
    </row>
    <row r="3749" spans="1:9" hidden="1" x14ac:dyDescent="0.25">
      <c r="A3749">
        <v>2027</v>
      </c>
      <c r="B3749" s="140" t="s">
        <v>51</v>
      </c>
      <c r="C3749" s="140" t="s">
        <v>243</v>
      </c>
      <c r="D3749" s="140" t="s">
        <v>11</v>
      </c>
      <c r="E3749" s="140" t="s">
        <v>52</v>
      </c>
      <c r="F3749">
        <v>154409.99160000001</v>
      </c>
      <c r="G3749" s="140" t="s">
        <v>251</v>
      </c>
      <c r="H3749">
        <v>0</v>
      </c>
      <c r="I3749" s="140" t="s">
        <v>17</v>
      </c>
    </row>
    <row r="3750" spans="1:9" hidden="1" x14ac:dyDescent="0.25">
      <c r="A3750">
        <v>2028</v>
      </c>
      <c r="B3750" s="140" t="s">
        <v>51</v>
      </c>
      <c r="C3750" s="140" t="s">
        <v>243</v>
      </c>
      <c r="D3750" s="140" t="s">
        <v>11</v>
      </c>
      <c r="E3750" s="140" t="s">
        <v>52</v>
      </c>
      <c r="F3750">
        <v>159188.60879999999</v>
      </c>
      <c r="G3750" s="140" t="s">
        <v>251</v>
      </c>
      <c r="H3750">
        <v>0</v>
      </c>
      <c r="I3750" s="140" t="s">
        <v>17</v>
      </c>
    </row>
    <row r="3751" spans="1:9" hidden="1" x14ac:dyDescent="0.25">
      <c r="A3751">
        <v>1993</v>
      </c>
      <c r="B3751" s="140" t="s">
        <v>252</v>
      </c>
      <c r="C3751" s="140" t="s">
        <v>50</v>
      </c>
      <c r="D3751" s="140" t="s">
        <v>11</v>
      </c>
      <c r="E3751" s="140" t="s">
        <v>52</v>
      </c>
      <c r="F3751">
        <v>35454.999920000002</v>
      </c>
      <c r="G3751" s="140" t="s">
        <v>253</v>
      </c>
      <c r="H3751">
        <v>0</v>
      </c>
      <c r="I3751" s="140" t="s">
        <v>17</v>
      </c>
    </row>
    <row r="3752" spans="1:9" hidden="1" x14ac:dyDescent="0.25">
      <c r="A3752">
        <v>1994</v>
      </c>
      <c r="B3752" s="140" t="s">
        <v>252</v>
      </c>
      <c r="C3752" s="140" t="s">
        <v>50</v>
      </c>
      <c r="D3752" s="140" t="s">
        <v>11</v>
      </c>
      <c r="E3752" s="140" t="s">
        <v>52</v>
      </c>
      <c r="F3752">
        <v>34036.998619999998</v>
      </c>
      <c r="G3752" s="140" t="s">
        <v>253</v>
      </c>
      <c r="H3752">
        <v>0</v>
      </c>
      <c r="I3752" s="140" t="s">
        <v>17</v>
      </c>
    </row>
    <row r="3753" spans="1:9" hidden="1" x14ac:dyDescent="0.25">
      <c r="A3753">
        <v>1995</v>
      </c>
      <c r="B3753" s="140" t="s">
        <v>252</v>
      </c>
      <c r="C3753" s="140" t="s">
        <v>50</v>
      </c>
      <c r="D3753" s="140" t="s">
        <v>11</v>
      </c>
      <c r="E3753" s="140" t="s">
        <v>52</v>
      </c>
      <c r="F3753">
        <v>34408.002280000001</v>
      </c>
      <c r="G3753" s="140" t="s">
        <v>253</v>
      </c>
      <c r="H3753">
        <v>0</v>
      </c>
      <c r="I3753" s="140" t="s">
        <v>17</v>
      </c>
    </row>
    <row r="3754" spans="1:9" hidden="1" x14ac:dyDescent="0.25">
      <c r="A3754">
        <v>1996</v>
      </c>
      <c r="B3754" s="140" t="s">
        <v>252</v>
      </c>
      <c r="C3754" s="140" t="s">
        <v>50</v>
      </c>
      <c r="D3754" s="140" t="s">
        <v>11</v>
      </c>
      <c r="E3754" s="140" t="s">
        <v>52</v>
      </c>
      <c r="F3754">
        <v>33140.999559999997</v>
      </c>
      <c r="G3754" s="140" t="s">
        <v>253</v>
      </c>
      <c r="H3754">
        <v>0</v>
      </c>
      <c r="I3754" s="140" t="s">
        <v>17</v>
      </c>
    </row>
    <row r="3755" spans="1:9" hidden="1" x14ac:dyDescent="0.25">
      <c r="A3755">
        <v>1997</v>
      </c>
      <c r="B3755" s="140" t="s">
        <v>252</v>
      </c>
      <c r="C3755" s="140" t="s">
        <v>50</v>
      </c>
      <c r="D3755" s="140" t="s">
        <v>11</v>
      </c>
      <c r="E3755" s="140" t="s">
        <v>52</v>
      </c>
      <c r="F3755">
        <v>32338.99757</v>
      </c>
      <c r="G3755" s="140" t="s">
        <v>253</v>
      </c>
      <c r="H3755">
        <v>0</v>
      </c>
      <c r="I3755" s="140" t="s">
        <v>17</v>
      </c>
    </row>
    <row r="3756" spans="1:9" hidden="1" x14ac:dyDescent="0.25">
      <c r="A3756">
        <v>1998</v>
      </c>
      <c r="B3756" s="140" t="s">
        <v>252</v>
      </c>
      <c r="C3756" s="140" t="s">
        <v>50</v>
      </c>
      <c r="D3756" s="140" t="s">
        <v>11</v>
      </c>
      <c r="E3756" s="140" t="s">
        <v>52</v>
      </c>
      <c r="F3756">
        <v>34493.998890000003</v>
      </c>
      <c r="G3756" s="140" t="s">
        <v>253</v>
      </c>
      <c r="H3756">
        <v>0</v>
      </c>
      <c r="I3756" s="140" t="s">
        <v>17</v>
      </c>
    </row>
    <row r="3757" spans="1:9" hidden="1" x14ac:dyDescent="0.25">
      <c r="A3757">
        <v>1999</v>
      </c>
      <c r="B3757" s="140" t="s">
        <v>252</v>
      </c>
      <c r="C3757" s="140" t="s">
        <v>50</v>
      </c>
      <c r="D3757" s="140" t="s">
        <v>11</v>
      </c>
      <c r="E3757" s="140" t="s">
        <v>52</v>
      </c>
      <c r="F3757">
        <v>38002.997009999999</v>
      </c>
      <c r="G3757" s="140" t="s">
        <v>253</v>
      </c>
      <c r="H3757">
        <v>0</v>
      </c>
      <c r="I3757" s="140" t="s">
        <v>17</v>
      </c>
    </row>
    <row r="3758" spans="1:9" hidden="1" x14ac:dyDescent="0.25">
      <c r="A3758">
        <v>2000</v>
      </c>
      <c r="B3758" s="140" t="s">
        <v>252</v>
      </c>
      <c r="C3758" s="140" t="s">
        <v>50</v>
      </c>
      <c r="D3758" s="140" t="s">
        <v>11</v>
      </c>
      <c r="E3758" s="140" t="s">
        <v>52</v>
      </c>
      <c r="F3758">
        <v>41345.997960000001</v>
      </c>
      <c r="G3758" s="140" t="s">
        <v>253</v>
      </c>
      <c r="H3758">
        <v>0</v>
      </c>
      <c r="I3758" s="140" t="s">
        <v>17</v>
      </c>
    </row>
    <row r="3759" spans="1:9" hidden="1" x14ac:dyDescent="0.25">
      <c r="A3759">
        <v>2001</v>
      </c>
      <c r="B3759" s="140" t="s">
        <v>252</v>
      </c>
      <c r="C3759" s="140" t="s">
        <v>50</v>
      </c>
      <c r="D3759" s="140" t="s">
        <v>11</v>
      </c>
      <c r="E3759" s="140" t="s">
        <v>52</v>
      </c>
      <c r="F3759">
        <v>44705.998549999997</v>
      </c>
      <c r="G3759" s="140" t="s">
        <v>253</v>
      </c>
      <c r="H3759">
        <v>0</v>
      </c>
      <c r="I3759" s="140" t="s">
        <v>17</v>
      </c>
    </row>
    <row r="3760" spans="1:9" hidden="1" x14ac:dyDescent="0.25">
      <c r="A3760">
        <v>2002</v>
      </c>
      <c r="B3760" s="140" t="s">
        <v>252</v>
      </c>
      <c r="C3760" s="140" t="s">
        <v>50</v>
      </c>
      <c r="D3760" s="140" t="s">
        <v>11</v>
      </c>
      <c r="E3760" s="140" t="s">
        <v>52</v>
      </c>
      <c r="F3760">
        <v>49163.999669999997</v>
      </c>
      <c r="G3760" s="140" t="s">
        <v>253</v>
      </c>
      <c r="H3760">
        <v>0</v>
      </c>
      <c r="I3760" s="140" t="s">
        <v>17</v>
      </c>
    </row>
    <row r="3761" spans="1:9" hidden="1" x14ac:dyDescent="0.25">
      <c r="A3761">
        <v>2003</v>
      </c>
      <c r="B3761" s="140" t="s">
        <v>252</v>
      </c>
      <c r="C3761" s="140" t="s">
        <v>50</v>
      </c>
      <c r="D3761" s="140" t="s">
        <v>11</v>
      </c>
      <c r="E3761" s="140" t="s">
        <v>52</v>
      </c>
      <c r="F3761">
        <v>55411.000019999999</v>
      </c>
      <c r="G3761" s="140" t="s">
        <v>253</v>
      </c>
      <c r="H3761">
        <v>0</v>
      </c>
      <c r="I3761" s="140" t="s">
        <v>17</v>
      </c>
    </row>
    <row r="3762" spans="1:9" hidden="1" x14ac:dyDescent="0.25">
      <c r="A3762">
        <v>2004</v>
      </c>
      <c r="B3762" s="140" t="s">
        <v>252</v>
      </c>
      <c r="C3762" s="140" t="s">
        <v>50</v>
      </c>
      <c r="D3762" s="140" t="s">
        <v>11</v>
      </c>
      <c r="E3762" s="140" t="s">
        <v>52</v>
      </c>
      <c r="F3762">
        <v>62951.001559999997</v>
      </c>
      <c r="G3762" s="140" t="s">
        <v>253</v>
      </c>
      <c r="H3762">
        <v>0</v>
      </c>
      <c r="I3762" s="140" t="s">
        <v>17</v>
      </c>
    </row>
    <row r="3763" spans="1:9" hidden="1" x14ac:dyDescent="0.25">
      <c r="A3763">
        <v>2005</v>
      </c>
      <c r="B3763" s="140" t="s">
        <v>252</v>
      </c>
      <c r="C3763" s="140" t="s">
        <v>50</v>
      </c>
      <c r="D3763" s="140" t="s">
        <v>11</v>
      </c>
      <c r="E3763" s="140" t="s">
        <v>52</v>
      </c>
      <c r="F3763">
        <v>72183.003450000004</v>
      </c>
      <c r="G3763" s="140" t="s">
        <v>253</v>
      </c>
      <c r="H3763">
        <v>0</v>
      </c>
      <c r="I3763" s="140" t="s">
        <v>17</v>
      </c>
    </row>
    <row r="3764" spans="1:9" hidden="1" x14ac:dyDescent="0.25">
      <c r="A3764">
        <v>2006</v>
      </c>
      <c r="B3764" s="140" t="s">
        <v>252</v>
      </c>
      <c r="C3764" s="140" t="s">
        <v>50</v>
      </c>
      <c r="D3764" s="140" t="s">
        <v>11</v>
      </c>
      <c r="E3764" s="140" t="s">
        <v>52</v>
      </c>
      <c r="F3764">
        <v>81325.996450000006</v>
      </c>
      <c r="G3764" s="140" t="s">
        <v>253</v>
      </c>
      <c r="H3764">
        <v>0</v>
      </c>
      <c r="I3764" s="140" t="s">
        <v>17</v>
      </c>
    </row>
    <row r="3765" spans="1:9" hidden="1" x14ac:dyDescent="0.25">
      <c r="A3765">
        <v>2007</v>
      </c>
      <c r="B3765" s="140" t="s">
        <v>252</v>
      </c>
      <c r="C3765" s="140" t="s">
        <v>50</v>
      </c>
      <c r="D3765" s="140" t="s">
        <v>11</v>
      </c>
      <c r="E3765" s="140" t="s">
        <v>52</v>
      </c>
      <c r="F3765">
        <v>90221.002240000002</v>
      </c>
      <c r="G3765" s="140" t="s">
        <v>253</v>
      </c>
      <c r="H3765">
        <v>0</v>
      </c>
      <c r="I3765" s="140" t="s">
        <v>17</v>
      </c>
    </row>
    <row r="3766" spans="1:9" hidden="1" x14ac:dyDescent="0.25">
      <c r="A3766">
        <v>2008</v>
      </c>
      <c r="B3766" s="140" t="s">
        <v>252</v>
      </c>
      <c r="C3766" s="140" t="s">
        <v>50</v>
      </c>
      <c r="D3766" s="140" t="s">
        <v>11</v>
      </c>
      <c r="E3766" s="140" t="s">
        <v>52</v>
      </c>
      <c r="F3766">
        <v>97008.000409999993</v>
      </c>
      <c r="G3766" s="140" t="s">
        <v>253</v>
      </c>
      <c r="H3766">
        <v>0</v>
      </c>
      <c r="I3766" s="140" t="s">
        <v>17</v>
      </c>
    </row>
    <row r="3767" spans="1:9" hidden="1" x14ac:dyDescent="0.25">
      <c r="A3767">
        <v>2009</v>
      </c>
      <c r="B3767" s="140" t="s">
        <v>252</v>
      </c>
      <c r="C3767" s="140" t="s">
        <v>50</v>
      </c>
      <c r="D3767" s="140" t="s">
        <v>11</v>
      </c>
      <c r="E3767" s="140" t="s">
        <v>52</v>
      </c>
      <c r="F3767">
        <v>102192.00410000001</v>
      </c>
      <c r="G3767" s="140" t="s">
        <v>253</v>
      </c>
      <c r="H3767">
        <v>0</v>
      </c>
      <c r="I3767" s="140" t="s">
        <v>17</v>
      </c>
    </row>
    <row r="3768" spans="1:9" hidden="1" x14ac:dyDescent="0.25">
      <c r="A3768">
        <v>2010</v>
      </c>
      <c r="B3768" s="140" t="s">
        <v>252</v>
      </c>
      <c r="C3768" s="140" t="s">
        <v>50</v>
      </c>
      <c r="D3768" s="140" t="s">
        <v>11</v>
      </c>
      <c r="E3768" s="140" t="s">
        <v>52</v>
      </c>
      <c r="F3768">
        <v>108495.99950000001</v>
      </c>
      <c r="G3768" s="140" t="s">
        <v>253</v>
      </c>
      <c r="H3768">
        <v>0</v>
      </c>
      <c r="I3768" s="140" t="s">
        <v>17</v>
      </c>
    </row>
    <row r="3769" spans="1:9" hidden="1" x14ac:dyDescent="0.25">
      <c r="A3769">
        <v>2011</v>
      </c>
      <c r="B3769" s="140" t="s">
        <v>252</v>
      </c>
      <c r="C3769" s="140" t="s">
        <v>50</v>
      </c>
      <c r="D3769" s="140" t="s">
        <v>11</v>
      </c>
      <c r="E3769" s="140" t="s">
        <v>52</v>
      </c>
      <c r="F3769">
        <v>114439.9961</v>
      </c>
      <c r="G3769" s="140" t="s">
        <v>253</v>
      </c>
      <c r="H3769">
        <v>0</v>
      </c>
      <c r="I3769" s="140" t="s">
        <v>17</v>
      </c>
    </row>
    <row r="3770" spans="1:9" hidden="1" x14ac:dyDescent="0.25">
      <c r="A3770">
        <v>2012</v>
      </c>
      <c r="B3770" s="140" t="s">
        <v>252</v>
      </c>
      <c r="C3770" s="140" t="s">
        <v>50</v>
      </c>
      <c r="D3770" s="140" t="s">
        <v>11</v>
      </c>
      <c r="E3770" s="140" t="s">
        <v>52</v>
      </c>
      <c r="F3770">
        <v>120175.0024</v>
      </c>
      <c r="G3770" s="140" t="s">
        <v>253</v>
      </c>
      <c r="H3770">
        <v>0</v>
      </c>
      <c r="I3770" s="140" t="s">
        <v>17</v>
      </c>
    </row>
    <row r="3771" spans="1:9" hidden="1" x14ac:dyDescent="0.25">
      <c r="A3771">
        <v>2013</v>
      </c>
      <c r="B3771" s="140" t="s">
        <v>252</v>
      </c>
      <c r="C3771" s="140" t="s">
        <v>50</v>
      </c>
      <c r="D3771" s="140" t="s">
        <v>11</v>
      </c>
      <c r="E3771" s="140" t="s">
        <v>52</v>
      </c>
      <c r="F3771">
        <v>123334.99589999999</v>
      </c>
      <c r="G3771" s="140" t="s">
        <v>253</v>
      </c>
      <c r="H3771">
        <v>0</v>
      </c>
      <c r="I3771" s="140" t="s">
        <v>17</v>
      </c>
    </row>
    <row r="3772" spans="1:9" hidden="1" x14ac:dyDescent="0.25">
      <c r="A3772">
        <v>2014</v>
      </c>
      <c r="B3772" s="140" t="s">
        <v>252</v>
      </c>
      <c r="C3772" s="140" t="s">
        <v>50</v>
      </c>
      <c r="D3772" s="140" t="s">
        <v>11</v>
      </c>
      <c r="E3772" s="140" t="s">
        <v>52</v>
      </c>
      <c r="F3772">
        <v>127229.996</v>
      </c>
      <c r="G3772" s="140" t="s">
        <v>253</v>
      </c>
      <c r="H3772">
        <v>0</v>
      </c>
      <c r="I3772" s="140" t="s">
        <v>17</v>
      </c>
    </row>
    <row r="3773" spans="1:9" hidden="1" x14ac:dyDescent="0.25">
      <c r="A3773">
        <v>2015</v>
      </c>
      <c r="B3773" s="140" t="s">
        <v>252</v>
      </c>
      <c r="C3773" s="140" t="s">
        <v>50</v>
      </c>
      <c r="D3773" s="140" t="s">
        <v>11</v>
      </c>
      <c r="E3773" s="140" t="s">
        <v>52</v>
      </c>
      <c r="F3773">
        <v>131762.0031</v>
      </c>
      <c r="G3773" s="140" t="s">
        <v>253</v>
      </c>
      <c r="H3773">
        <v>0</v>
      </c>
      <c r="I3773" s="140" t="s">
        <v>17</v>
      </c>
    </row>
    <row r="3774" spans="1:9" hidden="1" x14ac:dyDescent="0.25">
      <c r="A3774">
        <v>2016</v>
      </c>
      <c r="B3774" s="140" t="s">
        <v>252</v>
      </c>
      <c r="C3774" s="140" t="s">
        <v>50</v>
      </c>
      <c r="D3774" s="140" t="s">
        <v>11</v>
      </c>
      <c r="E3774" s="140" t="s">
        <v>52</v>
      </c>
      <c r="F3774">
        <v>137349.9945</v>
      </c>
      <c r="G3774" s="140" t="s">
        <v>253</v>
      </c>
      <c r="H3774">
        <v>0</v>
      </c>
      <c r="I3774" s="140" t="s">
        <v>17</v>
      </c>
    </row>
    <row r="3775" spans="1:9" hidden="1" x14ac:dyDescent="0.25">
      <c r="A3775">
        <v>2017</v>
      </c>
      <c r="B3775" s="140" t="s">
        <v>252</v>
      </c>
      <c r="C3775" s="140" t="s">
        <v>50</v>
      </c>
      <c r="D3775" s="140" t="s">
        <v>11</v>
      </c>
      <c r="E3775" s="140" t="s">
        <v>52</v>
      </c>
      <c r="F3775">
        <v>143710.00270000001</v>
      </c>
      <c r="G3775" s="140" t="s">
        <v>253</v>
      </c>
      <c r="H3775">
        <v>0</v>
      </c>
      <c r="I3775" s="140" t="s">
        <v>17</v>
      </c>
    </row>
    <row r="3776" spans="1:9" hidden="1" x14ac:dyDescent="0.25">
      <c r="A3776">
        <v>2018</v>
      </c>
      <c r="B3776" s="140" t="s">
        <v>252</v>
      </c>
      <c r="C3776" s="140" t="s">
        <v>50</v>
      </c>
      <c r="D3776" s="140" t="s">
        <v>11</v>
      </c>
      <c r="E3776" s="140" t="s">
        <v>52</v>
      </c>
      <c r="F3776">
        <v>150259.9976</v>
      </c>
      <c r="G3776" s="140" t="s">
        <v>253</v>
      </c>
      <c r="H3776">
        <v>0</v>
      </c>
      <c r="I3776" s="140" t="s">
        <v>17</v>
      </c>
    </row>
    <row r="3777" spans="1:9" hidden="1" x14ac:dyDescent="0.25">
      <c r="A3777">
        <v>2019</v>
      </c>
      <c r="B3777" s="140" t="s">
        <v>252</v>
      </c>
      <c r="C3777" s="140" t="s">
        <v>50</v>
      </c>
      <c r="D3777" s="140" t="s">
        <v>11</v>
      </c>
      <c r="E3777" s="140" t="s">
        <v>52</v>
      </c>
      <c r="F3777">
        <v>155851.00150000001</v>
      </c>
      <c r="G3777" s="140" t="s">
        <v>253</v>
      </c>
      <c r="H3777">
        <v>0</v>
      </c>
      <c r="I3777" s="140" t="s">
        <v>17</v>
      </c>
    </row>
    <row r="3778" spans="1:9" hidden="1" x14ac:dyDescent="0.25">
      <c r="A3778">
        <v>2020</v>
      </c>
      <c r="B3778" s="140" t="s">
        <v>252</v>
      </c>
      <c r="C3778" s="140" t="s">
        <v>50</v>
      </c>
      <c r="D3778" s="140" t="s">
        <v>11</v>
      </c>
      <c r="E3778" s="140" t="s">
        <v>52</v>
      </c>
      <c r="F3778">
        <v>162516.99460000001</v>
      </c>
      <c r="G3778" s="140" t="s">
        <v>253</v>
      </c>
      <c r="H3778">
        <v>0</v>
      </c>
      <c r="I3778" s="140" t="s">
        <v>17</v>
      </c>
    </row>
    <row r="3779" spans="1:9" hidden="1" x14ac:dyDescent="0.25">
      <c r="A3779">
        <v>2021</v>
      </c>
      <c r="B3779" s="140" t="s">
        <v>252</v>
      </c>
      <c r="C3779" s="140" t="s">
        <v>50</v>
      </c>
      <c r="D3779" s="140" t="s">
        <v>11</v>
      </c>
      <c r="E3779" s="140" t="s">
        <v>52</v>
      </c>
      <c r="F3779">
        <v>168556.99739999999</v>
      </c>
      <c r="G3779" s="140" t="s">
        <v>253</v>
      </c>
      <c r="H3779">
        <v>0</v>
      </c>
      <c r="I3779" s="140" t="s">
        <v>17</v>
      </c>
    </row>
    <row r="3780" spans="1:9" hidden="1" x14ac:dyDescent="0.25">
      <c r="A3780">
        <v>2022</v>
      </c>
      <c r="B3780" s="140" t="s">
        <v>252</v>
      </c>
      <c r="C3780" s="140" t="s">
        <v>50</v>
      </c>
      <c r="D3780" s="140" t="s">
        <v>11</v>
      </c>
      <c r="E3780" s="140" t="s">
        <v>52</v>
      </c>
      <c r="F3780">
        <v>175319.997</v>
      </c>
      <c r="G3780" s="140" t="s">
        <v>253</v>
      </c>
      <c r="H3780">
        <v>0</v>
      </c>
      <c r="I3780" s="140" t="s">
        <v>17</v>
      </c>
    </row>
    <row r="3781" spans="1:9" hidden="1" x14ac:dyDescent="0.25">
      <c r="A3781">
        <v>2023</v>
      </c>
      <c r="B3781" s="140" t="s">
        <v>252</v>
      </c>
      <c r="C3781" s="140" t="s">
        <v>50</v>
      </c>
      <c r="D3781" s="140" t="s">
        <v>11</v>
      </c>
      <c r="E3781" s="140" t="s">
        <v>52</v>
      </c>
      <c r="F3781">
        <v>174736.99780000001</v>
      </c>
      <c r="G3781" s="140" t="s">
        <v>253</v>
      </c>
      <c r="H3781">
        <v>0</v>
      </c>
      <c r="I3781" s="140" t="s">
        <v>17</v>
      </c>
    </row>
    <row r="3782" spans="1:9" hidden="1" x14ac:dyDescent="0.25">
      <c r="A3782">
        <v>2024</v>
      </c>
      <c r="B3782" s="140" t="s">
        <v>252</v>
      </c>
      <c r="C3782" s="140" t="s">
        <v>50</v>
      </c>
      <c r="D3782" s="140" t="s">
        <v>11</v>
      </c>
      <c r="E3782" s="140" t="s">
        <v>52</v>
      </c>
      <c r="F3782">
        <v>174015.99609999999</v>
      </c>
      <c r="G3782" s="140" t="s">
        <v>253</v>
      </c>
      <c r="H3782">
        <v>0</v>
      </c>
      <c r="I3782" s="140" t="s">
        <v>17</v>
      </c>
    </row>
    <row r="3783" spans="1:9" hidden="1" x14ac:dyDescent="0.25">
      <c r="A3783">
        <v>2025</v>
      </c>
      <c r="B3783" s="140" t="s">
        <v>252</v>
      </c>
      <c r="C3783" s="140" t="s">
        <v>50</v>
      </c>
      <c r="D3783" s="140" t="s">
        <v>11</v>
      </c>
      <c r="E3783" s="140" t="s">
        <v>52</v>
      </c>
      <c r="F3783">
        <v>173898.99739999999</v>
      </c>
      <c r="G3783" s="140" t="s">
        <v>253</v>
      </c>
      <c r="H3783">
        <v>0</v>
      </c>
      <c r="I3783" s="140" t="s">
        <v>17</v>
      </c>
    </row>
    <row r="3784" spans="1:9" hidden="1" x14ac:dyDescent="0.25">
      <c r="A3784">
        <v>2026</v>
      </c>
      <c r="B3784" s="140" t="s">
        <v>252</v>
      </c>
      <c r="C3784" s="140" t="s">
        <v>50</v>
      </c>
      <c r="D3784" s="140" t="s">
        <v>11</v>
      </c>
      <c r="E3784" s="140" t="s">
        <v>52</v>
      </c>
      <c r="F3784">
        <v>177597.56099999999</v>
      </c>
      <c r="G3784" s="140" t="s">
        <v>253</v>
      </c>
      <c r="H3784">
        <v>0</v>
      </c>
      <c r="I3784" s="140" t="s">
        <v>17</v>
      </c>
    </row>
    <row r="3785" spans="1:9" hidden="1" x14ac:dyDescent="0.25">
      <c r="A3785">
        <v>2027</v>
      </c>
      <c r="B3785" s="140" t="s">
        <v>252</v>
      </c>
      <c r="C3785" s="140" t="s">
        <v>50</v>
      </c>
      <c r="D3785" s="140" t="s">
        <v>11</v>
      </c>
      <c r="E3785" s="140" t="s">
        <v>52</v>
      </c>
      <c r="F3785">
        <v>183864.3493</v>
      </c>
      <c r="G3785" s="140" t="s">
        <v>253</v>
      </c>
      <c r="H3785">
        <v>0</v>
      </c>
      <c r="I3785" s="140" t="s">
        <v>17</v>
      </c>
    </row>
    <row r="3786" spans="1:9" hidden="1" x14ac:dyDescent="0.25">
      <c r="A3786">
        <v>2028</v>
      </c>
      <c r="B3786" s="140" t="s">
        <v>252</v>
      </c>
      <c r="C3786" s="140" t="s">
        <v>50</v>
      </c>
      <c r="D3786" s="140" t="s">
        <v>11</v>
      </c>
      <c r="E3786" s="140" t="s">
        <v>52</v>
      </c>
      <c r="F3786">
        <v>189922.31599999999</v>
      </c>
      <c r="G3786" s="140" t="s">
        <v>253</v>
      </c>
      <c r="H3786">
        <v>0</v>
      </c>
      <c r="I3786" s="140" t="s">
        <v>17</v>
      </c>
    </row>
    <row r="3787" spans="1:9" hidden="1" x14ac:dyDescent="0.25">
      <c r="A3787">
        <v>1990</v>
      </c>
      <c r="B3787" s="140" t="s">
        <v>15</v>
      </c>
      <c r="C3787" s="140" t="s">
        <v>243</v>
      </c>
      <c r="D3787" s="140" t="s">
        <v>11</v>
      </c>
      <c r="E3787" s="140" t="s">
        <v>52</v>
      </c>
      <c r="F3787">
        <v>6212</v>
      </c>
      <c r="G3787" s="140" t="s">
        <v>367</v>
      </c>
      <c r="H3787">
        <v>0</v>
      </c>
      <c r="I3787" s="140" t="s">
        <v>17</v>
      </c>
    </row>
    <row r="3788" spans="1:9" hidden="1" x14ac:dyDescent="0.25">
      <c r="A3788">
        <v>1991</v>
      </c>
      <c r="B3788" s="140" t="s">
        <v>15</v>
      </c>
      <c r="C3788" s="140" t="s">
        <v>243</v>
      </c>
      <c r="D3788" s="140" t="s">
        <v>11</v>
      </c>
      <c r="E3788" s="140" t="s">
        <v>52</v>
      </c>
      <c r="F3788">
        <v>6485</v>
      </c>
      <c r="G3788" s="140" t="s">
        <v>367</v>
      </c>
      <c r="H3788">
        <v>0</v>
      </c>
      <c r="I3788" s="140" t="s">
        <v>17</v>
      </c>
    </row>
    <row r="3789" spans="1:9" hidden="1" x14ac:dyDescent="0.25">
      <c r="A3789">
        <v>1992</v>
      </c>
      <c r="B3789" s="140" t="s">
        <v>15</v>
      </c>
      <c r="C3789" s="140" t="s">
        <v>243</v>
      </c>
      <c r="D3789" s="140" t="s">
        <v>11</v>
      </c>
      <c r="E3789" s="140" t="s">
        <v>52</v>
      </c>
      <c r="F3789">
        <v>6803</v>
      </c>
      <c r="G3789" s="140" t="s">
        <v>367</v>
      </c>
      <c r="H3789">
        <v>0</v>
      </c>
      <c r="I3789" s="140" t="s">
        <v>17</v>
      </c>
    </row>
    <row r="3790" spans="1:9" hidden="1" x14ac:dyDescent="0.25">
      <c r="A3790">
        <v>1993</v>
      </c>
      <c r="B3790" s="140" t="s">
        <v>15</v>
      </c>
      <c r="C3790" s="140" t="s">
        <v>243</v>
      </c>
      <c r="D3790" s="140" t="s">
        <v>11</v>
      </c>
      <c r="E3790" s="140" t="s">
        <v>52</v>
      </c>
      <c r="F3790">
        <v>7238</v>
      </c>
      <c r="G3790" s="140" t="s">
        <v>367</v>
      </c>
      <c r="H3790">
        <v>0</v>
      </c>
      <c r="I3790" s="140" t="s">
        <v>17</v>
      </c>
    </row>
    <row r="3791" spans="1:9" hidden="1" x14ac:dyDescent="0.25">
      <c r="A3791">
        <v>1994</v>
      </c>
      <c r="B3791" s="140" t="s">
        <v>15</v>
      </c>
      <c r="C3791" s="140" t="s">
        <v>243</v>
      </c>
      <c r="D3791" s="140" t="s">
        <v>11</v>
      </c>
      <c r="E3791" s="140" t="s">
        <v>52</v>
      </c>
      <c r="F3791">
        <v>7155</v>
      </c>
      <c r="G3791" s="140" t="s">
        <v>367</v>
      </c>
      <c r="H3791">
        <v>0</v>
      </c>
      <c r="I3791" s="140" t="s">
        <v>17</v>
      </c>
    </row>
    <row r="3792" spans="1:9" hidden="1" x14ac:dyDescent="0.25">
      <c r="A3792">
        <v>1995</v>
      </c>
      <c r="B3792" s="140" t="s">
        <v>15</v>
      </c>
      <c r="C3792" s="140" t="s">
        <v>243</v>
      </c>
      <c r="D3792" s="140" t="s">
        <v>11</v>
      </c>
      <c r="E3792" s="140" t="s">
        <v>52</v>
      </c>
      <c r="F3792">
        <v>7806</v>
      </c>
      <c r="G3792" s="140" t="s">
        <v>367</v>
      </c>
      <c r="H3792">
        <v>0</v>
      </c>
      <c r="I3792" s="140" t="s">
        <v>17</v>
      </c>
    </row>
    <row r="3793" spans="1:9" hidden="1" x14ac:dyDescent="0.25">
      <c r="A3793">
        <v>1996</v>
      </c>
      <c r="B3793" s="140" t="s">
        <v>15</v>
      </c>
      <c r="C3793" s="140" t="s">
        <v>243</v>
      </c>
      <c r="D3793" s="140" t="s">
        <v>11</v>
      </c>
      <c r="E3793" s="140" t="s">
        <v>52</v>
      </c>
      <c r="F3793">
        <v>7698</v>
      </c>
      <c r="G3793" s="140" t="s">
        <v>367</v>
      </c>
      <c r="H3793">
        <v>0</v>
      </c>
      <c r="I3793" s="140" t="s">
        <v>17</v>
      </c>
    </row>
    <row r="3794" spans="1:9" hidden="1" x14ac:dyDescent="0.25">
      <c r="A3794">
        <v>1997</v>
      </c>
      <c r="B3794" s="140" t="s">
        <v>15</v>
      </c>
      <c r="C3794" s="140" t="s">
        <v>243</v>
      </c>
      <c r="D3794" s="140" t="s">
        <v>11</v>
      </c>
      <c r="E3794" s="140" t="s">
        <v>52</v>
      </c>
      <c r="F3794">
        <v>8410</v>
      </c>
      <c r="G3794" s="140" t="s">
        <v>367</v>
      </c>
      <c r="H3794">
        <v>0</v>
      </c>
      <c r="I3794" s="140" t="s">
        <v>17</v>
      </c>
    </row>
    <row r="3795" spans="1:9" hidden="1" x14ac:dyDescent="0.25">
      <c r="A3795">
        <v>1998</v>
      </c>
      <c r="B3795" s="140" t="s">
        <v>15</v>
      </c>
      <c r="C3795" s="140" t="s">
        <v>243</v>
      </c>
      <c r="D3795" s="140" t="s">
        <v>11</v>
      </c>
      <c r="E3795" s="140" t="s">
        <v>52</v>
      </c>
      <c r="F3795">
        <v>8443</v>
      </c>
      <c r="G3795" s="140" t="s">
        <v>367</v>
      </c>
      <c r="H3795">
        <v>0</v>
      </c>
      <c r="I3795" s="140" t="s">
        <v>17</v>
      </c>
    </row>
    <row r="3796" spans="1:9" hidden="1" x14ac:dyDescent="0.25">
      <c r="A3796">
        <v>1999</v>
      </c>
      <c r="B3796" s="140" t="s">
        <v>15</v>
      </c>
      <c r="C3796" s="140" t="s">
        <v>243</v>
      </c>
      <c r="D3796" s="140" t="s">
        <v>11</v>
      </c>
      <c r="E3796" s="140" t="s">
        <v>52</v>
      </c>
      <c r="F3796">
        <v>9235</v>
      </c>
      <c r="G3796" s="140" t="s">
        <v>367</v>
      </c>
      <c r="H3796">
        <v>0</v>
      </c>
      <c r="I3796" s="140" t="s">
        <v>17</v>
      </c>
    </row>
    <row r="3797" spans="1:9" hidden="1" x14ac:dyDescent="0.25">
      <c r="A3797">
        <v>2000</v>
      </c>
      <c r="B3797" s="140" t="s">
        <v>15</v>
      </c>
      <c r="C3797" s="140" t="s">
        <v>243</v>
      </c>
      <c r="D3797" s="140" t="s">
        <v>11</v>
      </c>
      <c r="E3797" s="140" t="s">
        <v>52</v>
      </c>
      <c r="F3797">
        <v>9920</v>
      </c>
      <c r="G3797" s="140" t="s">
        <v>367</v>
      </c>
      <c r="H3797">
        <v>0</v>
      </c>
      <c r="I3797" s="140" t="s">
        <v>17</v>
      </c>
    </row>
    <row r="3798" spans="1:9" hidden="1" x14ac:dyDescent="0.25">
      <c r="A3798">
        <v>2001</v>
      </c>
      <c r="B3798" s="140" t="s">
        <v>15</v>
      </c>
      <c r="C3798" s="140" t="s">
        <v>243</v>
      </c>
      <c r="D3798" s="140" t="s">
        <v>11</v>
      </c>
      <c r="E3798" s="140" t="s">
        <v>52</v>
      </c>
      <c r="F3798">
        <v>10339</v>
      </c>
      <c r="G3798" s="140" t="s">
        <v>367</v>
      </c>
      <c r="H3798">
        <v>0</v>
      </c>
      <c r="I3798" s="140" t="s">
        <v>17</v>
      </c>
    </row>
    <row r="3799" spans="1:9" hidden="1" x14ac:dyDescent="0.25">
      <c r="A3799">
        <v>2002</v>
      </c>
      <c r="B3799" s="140" t="s">
        <v>15</v>
      </c>
      <c r="C3799" s="140" t="s">
        <v>243</v>
      </c>
      <c r="D3799" s="140" t="s">
        <v>11</v>
      </c>
      <c r="E3799" s="140" t="s">
        <v>52</v>
      </c>
      <c r="F3799">
        <v>10960</v>
      </c>
      <c r="G3799" s="140" t="s">
        <v>367</v>
      </c>
      <c r="H3799">
        <v>0</v>
      </c>
      <c r="I3799" s="140" t="s">
        <v>17</v>
      </c>
    </row>
    <row r="3800" spans="1:9" hidden="1" x14ac:dyDescent="0.25">
      <c r="A3800">
        <v>2003</v>
      </c>
      <c r="B3800" s="140" t="s">
        <v>15</v>
      </c>
      <c r="C3800" s="140" t="s">
        <v>243</v>
      </c>
      <c r="D3800" s="140" t="s">
        <v>11</v>
      </c>
      <c r="E3800" s="140" t="s">
        <v>52</v>
      </c>
      <c r="F3800">
        <v>11356</v>
      </c>
      <c r="G3800" s="140" t="s">
        <v>367</v>
      </c>
      <c r="H3800">
        <v>0</v>
      </c>
      <c r="I3800" s="140" t="s">
        <v>17</v>
      </c>
    </row>
    <row r="3801" spans="1:9" hidden="1" x14ac:dyDescent="0.25">
      <c r="A3801">
        <v>2004</v>
      </c>
      <c r="B3801" s="140" t="s">
        <v>15</v>
      </c>
      <c r="C3801" s="140" t="s">
        <v>243</v>
      </c>
      <c r="D3801" s="140" t="s">
        <v>11</v>
      </c>
      <c r="E3801" s="140" t="s">
        <v>52</v>
      </c>
      <c r="F3801">
        <v>11770</v>
      </c>
      <c r="G3801" s="140" t="s">
        <v>367</v>
      </c>
      <c r="H3801">
        <v>0</v>
      </c>
      <c r="I3801" s="140" t="s">
        <v>17</v>
      </c>
    </row>
    <row r="3802" spans="1:9" hidden="1" x14ac:dyDescent="0.25">
      <c r="A3802">
        <v>2005</v>
      </c>
      <c r="B3802" s="140" t="s">
        <v>15</v>
      </c>
      <c r="C3802" s="140" t="s">
        <v>243</v>
      </c>
      <c r="D3802" s="140" t="s">
        <v>11</v>
      </c>
      <c r="E3802" s="140" t="s">
        <v>52</v>
      </c>
      <c r="F3802">
        <v>11956</v>
      </c>
      <c r="G3802" s="140" t="s">
        <v>367</v>
      </c>
      <c r="H3802">
        <v>0</v>
      </c>
      <c r="I3802" s="140" t="s">
        <v>17</v>
      </c>
    </row>
    <row r="3803" spans="1:9" hidden="1" x14ac:dyDescent="0.25">
      <c r="A3803">
        <v>2006</v>
      </c>
      <c r="B3803" s="140" t="s">
        <v>15</v>
      </c>
      <c r="C3803" s="140" t="s">
        <v>243</v>
      </c>
      <c r="D3803" s="140" t="s">
        <v>11</v>
      </c>
      <c r="E3803" s="140" t="s">
        <v>52</v>
      </c>
      <c r="F3803">
        <v>12474</v>
      </c>
      <c r="G3803" s="140" t="s">
        <v>367</v>
      </c>
      <c r="H3803">
        <v>0</v>
      </c>
      <c r="I3803" s="140" t="s">
        <v>17</v>
      </c>
    </row>
    <row r="3804" spans="1:9" hidden="1" x14ac:dyDescent="0.25">
      <c r="A3804">
        <v>2007</v>
      </c>
      <c r="B3804" s="140" t="s">
        <v>15</v>
      </c>
      <c r="C3804" s="140" t="s">
        <v>243</v>
      </c>
      <c r="D3804" s="140" t="s">
        <v>11</v>
      </c>
      <c r="E3804" s="140" t="s">
        <v>52</v>
      </c>
      <c r="F3804">
        <v>13775</v>
      </c>
      <c r="G3804" s="140" t="s">
        <v>367</v>
      </c>
      <c r="H3804">
        <v>0</v>
      </c>
      <c r="I3804" s="140" t="s">
        <v>17</v>
      </c>
    </row>
    <row r="3805" spans="1:9" hidden="1" x14ac:dyDescent="0.25">
      <c r="A3805">
        <v>2008</v>
      </c>
      <c r="B3805" s="140" t="s">
        <v>15</v>
      </c>
      <c r="C3805" s="140" t="s">
        <v>243</v>
      </c>
      <c r="D3805" s="140" t="s">
        <v>11</v>
      </c>
      <c r="E3805" s="140" t="s">
        <v>52</v>
      </c>
      <c r="F3805">
        <v>14068</v>
      </c>
      <c r="G3805" s="140" t="s">
        <v>367</v>
      </c>
      <c r="H3805">
        <v>0</v>
      </c>
      <c r="I3805" s="140" t="s">
        <v>17</v>
      </c>
    </row>
    <row r="3806" spans="1:9" hidden="1" x14ac:dyDescent="0.25">
      <c r="A3806">
        <v>2009</v>
      </c>
      <c r="B3806" s="140" t="s">
        <v>15</v>
      </c>
      <c r="C3806" s="140" t="s">
        <v>243</v>
      </c>
      <c r="D3806" s="140" t="s">
        <v>11</v>
      </c>
      <c r="E3806" s="140" t="s">
        <v>52</v>
      </c>
      <c r="F3806">
        <v>14058</v>
      </c>
      <c r="G3806" s="140" t="s">
        <v>367</v>
      </c>
      <c r="H3806">
        <v>0</v>
      </c>
      <c r="I3806" s="140" t="s">
        <v>17</v>
      </c>
    </row>
    <row r="3807" spans="1:9" hidden="1" x14ac:dyDescent="0.25">
      <c r="A3807">
        <v>2010</v>
      </c>
      <c r="B3807" s="140" t="s">
        <v>15</v>
      </c>
      <c r="C3807" s="140" t="s">
        <v>243</v>
      </c>
      <c r="D3807" s="140" t="s">
        <v>11</v>
      </c>
      <c r="E3807" s="140" t="s">
        <v>52</v>
      </c>
      <c r="F3807">
        <v>14304</v>
      </c>
      <c r="G3807" s="140" t="s">
        <v>367</v>
      </c>
      <c r="H3807">
        <v>0</v>
      </c>
      <c r="I3807" s="140" t="s">
        <v>17</v>
      </c>
    </row>
    <row r="3808" spans="1:9" hidden="1" x14ac:dyDescent="0.25">
      <c r="A3808">
        <v>2011</v>
      </c>
      <c r="B3808" s="140" t="s">
        <v>15</v>
      </c>
      <c r="C3808" s="140" t="s">
        <v>243</v>
      </c>
      <c r="D3808" s="140" t="s">
        <v>11</v>
      </c>
      <c r="E3808" s="140" t="s">
        <v>52</v>
      </c>
      <c r="F3808">
        <v>14780</v>
      </c>
      <c r="G3808" s="140" t="s">
        <v>367</v>
      </c>
      <c r="H3808">
        <v>0</v>
      </c>
      <c r="I3808" s="140" t="s">
        <v>17</v>
      </c>
    </row>
    <row r="3809" spans="1:9" hidden="1" x14ac:dyDescent="0.25">
      <c r="A3809">
        <v>2012</v>
      </c>
      <c r="B3809" s="140" t="s">
        <v>15</v>
      </c>
      <c r="C3809" s="140" t="s">
        <v>243</v>
      </c>
      <c r="D3809" s="140" t="s">
        <v>11</v>
      </c>
      <c r="E3809" s="140" t="s">
        <v>52</v>
      </c>
      <c r="F3809">
        <v>14976</v>
      </c>
      <c r="G3809" s="140" t="s">
        <v>367</v>
      </c>
      <c r="H3809">
        <v>0</v>
      </c>
      <c r="I3809" s="140" t="s">
        <v>17</v>
      </c>
    </row>
    <row r="3810" spans="1:9" hidden="1" x14ac:dyDescent="0.25">
      <c r="A3810">
        <v>2013</v>
      </c>
      <c r="B3810" s="140" t="s">
        <v>15</v>
      </c>
      <c r="C3810" s="140" t="s">
        <v>243</v>
      </c>
      <c r="D3810" s="140" t="s">
        <v>11</v>
      </c>
      <c r="E3810" s="140" t="s">
        <v>52</v>
      </c>
      <c r="F3810">
        <v>15156</v>
      </c>
      <c r="G3810" s="140" t="s">
        <v>367</v>
      </c>
      <c r="H3810">
        <v>0</v>
      </c>
      <c r="I3810" s="140" t="s">
        <v>17</v>
      </c>
    </row>
    <row r="3811" spans="1:9" hidden="1" x14ac:dyDescent="0.25">
      <c r="A3811">
        <v>2014</v>
      </c>
      <c r="B3811" s="140" t="s">
        <v>15</v>
      </c>
      <c r="C3811" s="140" t="s">
        <v>243</v>
      </c>
      <c r="D3811" s="140" t="s">
        <v>11</v>
      </c>
      <c r="E3811" s="140" t="s">
        <v>52</v>
      </c>
      <c r="F3811">
        <v>15505</v>
      </c>
      <c r="G3811" s="140" t="s">
        <v>367</v>
      </c>
      <c r="H3811">
        <v>0</v>
      </c>
      <c r="I3811" s="140" t="s">
        <v>17</v>
      </c>
    </row>
    <row r="3812" spans="1:9" hidden="1" x14ac:dyDescent="0.25">
      <c r="A3812">
        <v>2015</v>
      </c>
      <c r="B3812" s="140" t="s">
        <v>15</v>
      </c>
      <c r="C3812" s="140" t="s">
        <v>243</v>
      </c>
      <c r="D3812" s="140" t="s">
        <v>11</v>
      </c>
      <c r="E3812" s="140" t="s">
        <v>52</v>
      </c>
      <c r="F3812">
        <v>16070</v>
      </c>
      <c r="G3812" s="140" t="s">
        <v>367</v>
      </c>
      <c r="H3812">
        <v>0</v>
      </c>
      <c r="I3812" s="140" t="s">
        <v>17</v>
      </c>
    </row>
    <row r="3813" spans="1:9" hidden="1" x14ac:dyDescent="0.25">
      <c r="A3813">
        <v>2016</v>
      </c>
      <c r="B3813" s="140" t="s">
        <v>15</v>
      </c>
      <c r="C3813" s="140" t="s">
        <v>243</v>
      </c>
      <c r="D3813" s="140" t="s">
        <v>11</v>
      </c>
      <c r="E3813" s="140" t="s">
        <v>52</v>
      </c>
      <c r="F3813">
        <v>16390</v>
      </c>
      <c r="G3813" s="140" t="s">
        <v>367</v>
      </c>
      <c r="H3813">
        <v>0</v>
      </c>
      <c r="I3813" s="140" t="s">
        <v>17</v>
      </c>
    </row>
    <row r="3814" spans="1:9" hidden="1" x14ac:dyDescent="0.25">
      <c r="A3814">
        <v>2017</v>
      </c>
      <c r="B3814" s="140" t="s">
        <v>15</v>
      </c>
      <c r="C3814" s="140" t="s">
        <v>243</v>
      </c>
      <c r="D3814" s="140" t="s">
        <v>11</v>
      </c>
      <c r="E3814" s="140" t="s">
        <v>52</v>
      </c>
      <c r="F3814">
        <v>16747</v>
      </c>
      <c r="G3814" s="140" t="s">
        <v>367</v>
      </c>
      <c r="H3814">
        <v>0</v>
      </c>
      <c r="I3814" s="140" t="s">
        <v>17</v>
      </c>
    </row>
    <row r="3815" spans="1:9" hidden="1" x14ac:dyDescent="0.25">
      <c r="A3815">
        <v>2018</v>
      </c>
      <c r="B3815" s="140" t="s">
        <v>15</v>
      </c>
      <c r="C3815" s="140" t="s">
        <v>243</v>
      </c>
      <c r="D3815" s="140" t="s">
        <v>11</v>
      </c>
      <c r="E3815" s="140" t="s">
        <v>52</v>
      </c>
      <c r="F3815">
        <v>17068</v>
      </c>
      <c r="G3815" s="140" t="s">
        <v>367</v>
      </c>
      <c r="H3815">
        <v>0</v>
      </c>
      <c r="I3815" s="140" t="s">
        <v>17</v>
      </c>
    </row>
    <row r="3816" spans="1:9" hidden="1" x14ac:dyDescent="0.25">
      <c r="A3816">
        <v>2019</v>
      </c>
      <c r="B3816" s="140" t="s">
        <v>15</v>
      </c>
      <c r="C3816" s="140" t="s">
        <v>243</v>
      </c>
      <c r="D3816" s="140" t="s">
        <v>11</v>
      </c>
      <c r="E3816" s="140" t="s">
        <v>52</v>
      </c>
      <c r="F3816">
        <v>17275</v>
      </c>
      <c r="G3816" s="140" t="s">
        <v>367</v>
      </c>
      <c r="H3816">
        <v>0</v>
      </c>
      <c r="I3816" s="140" t="s">
        <v>17</v>
      </c>
    </row>
    <row r="3817" spans="1:9" hidden="1" x14ac:dyDescent="0.25">
      <c r="A3817">
        <v>2020</v>
      </c>
      <c r="B3817" s="140" t="s">
        <v>15</v>
      </c>
      <c r="C3817" s="140" t="s">
        <v>243</v>
      </c>
      <c r="D3817" s="140" t="s">
        <v>11</v>
      </c>
      <c r="E3817" s="140" t="s">
        <v>52</v>
      </c>
      <c r="F3817">
        <v>17633</v>
      </c>
      <c r="G3817" s="140" t="s">
        <v>367</v>
      </c>
      <c r="H3817">
        <v>0</v>
      </c>
      <c r="I3817" s="140" t="s">
        <v>17</v>
      </c>
    </row>
    <row r="3818" spans="1:9" hidden="1" x14ac:dyDescent="0.25">
      <c r="A3818">
        <v>2021</v>
      </c>
      <c r="B3818" s="140" t="s">
        <v>15</v>
      </c>
      <c r="C3818" s="140" t="s">
        <v>243</v>
      </c>
      <c r="D3818" s="140" t="s">
        <v>11</v>
      </c>
      <c r="E3818" s="140" t="s">
        <v>52</v>
      </c>
      <c r="F3818">
        <v>18135</v>
      </c>
      <c r="G3818" s="140" t="s">
        <v>367</v>
      </c>
      <c r="H3818">
        <v>0</v>
      </c>
      <c r="I3818" s="140" t="s">
        <v>17</v>
      </c>
    </row>
    <row r="3819" spans="1:9" hidden="1" x14ac:dyDescent="0.25">
      <c r="A3819">
        <v>2022</v>
      </c>
      <c r="B3819" s="140" t="s">
        <v>15</v>
      </c>
      <c r="C3819" s="140" t="s">
        <v>243</v>
      </c>
      <c r="D3819" s="140" t="s">
        <v>11</v>
      </c>
      <c r="E3819" s="140" t="s">
        <v>52</v>
      </c>
      <c r="F3819">
        <v>17843</v>
      </c>
      <c r="G3819" s="140" t="s">
        <v>367</v>
      </c>
      <c r="H3819">
        <v>0</v>
      </c>
      <c r="I3819" s="140" t="s">
        <v>17</v>
      </c>
    </row>
    <row r="3820" spans="1:9" hidden="1" x14ac:dyDescent="0.25">
      <c r="A3820">
        <v>2023</v>
      </c>
      <c r="B3820" s="140" t="s">
        <v>15</v>
      </c>
      <c r="C3820" s="140" t="s">
        <v>243</v>
      </c>
      <c r="D3820" s="140" t="s">
        <v>11</v>
      </c>
      <c r="E3820" s="140" t="s">
        <v>52</v>
      </c>
      <c r="F3820">
        <v>17525</v>
      </c>
      <c r="G3820" s="140" t="s">
        <v>367</v>
      </c>
      <c r="H3820">
        <v>0</v>
      </c>
      <c r="I3820" s="140" t="s">
        <v>17</v>
      </c>
    </row>
    <row r="3821" spans="1:9" hidden="1" x14ac:dyDescent="0.25">
      <c r="A3821">
        <v>2024</v>
      </c>
      <c r="B3821" s="140" t="s">
        <v>15</v>
      </c>
      <c r="C3821" s="140" t="s">
        <v>243</v>
      </c>
      <c r="D3821" s="140" t="s">
        <v>11</v>
      </c>
      <c r="E3821" s="140" t="s">
        <v>52</v>
      </c>
      <c r="F3821">
        <v>18444</v>
      </c>
      <c r="G3821" s="140" t="s">
        <v>367</v>
      </c>
      <c r="H3821">
        <v>0</v>
      </c>
      <c r="I3821" s="140" t="s">
        <v>17</v>
      </c>
    </row>
    <row r="3822" spans="1:9" hidden="1" x14ac:dyDescent="0.25">
      <c r="A3822">
        <v>2025</v>
      </c>
      <c r="B3822" s="140" t="s">
        <v>15</v>
      </c>
      <c r="C3822" s="140" t="s">
        <v>243</v>
      </c>
      <c r="D3822" s="140" t="s">
        <v>11</v>
      </c>
      <c r="E3822" s="140" t="s">
        <v>52</v>
      </c>
      <c r="F3822">
        <v>18714</v>
      </c>
      <c r="G3822" s="140" t="s">
        <v>367</v>
      </c>
      <c r="H3822">
        <v>0</v>
      </c>
      <c r="I3822" s="140" t="s">
        <v>17</v>
      </c>
    </row>
    <row r="3823" spans="1:9" hidden="1" x14ac:dyDescent="0.25">
      <c r="A3823">
        <v>2026</v>
      </c>
      <c r="B3823" s="140" t="s">
        <v>15</v>
      </c>
      <c r="C3823" s="140" t="s">
        <v>243</v>
      </c>
      <c r="D3823" s="140" t="s">
        <v>11</v>
      </c>
      <c r="E3823" s="140" t="s">
        <v>52</v>
      </c>
      <c r="F3823">
        <v>18912.07</v>
      </c>
      <c r="G3823" s="140" t="s">
        <v>367</v>
      </c>
      <c r="H3823">
        <v>0</v>
      </c>
      <c r="I3823" s="140" t="s">
        <v>17</v>
      </c>
    </row>
    <row r="3824" spans="1:9" hidden="1" x14ac:dyDescent="0.25">
      <c r="A3824">
        <v>2027</v>
      </c>
      <c r="B3824" s="140" t="s">
        <v>15</v>
      </c>
      <c r="C3824" s="140" t="s">
        <v>243</v>
      </c>
      <c r="D3824" s="140" t="s">
        <v>11</v>
      </c>
      <c r="E3824" s="140" t="s">
        <v>52</v>
      </c>
      <c r="F3824">
        <v>19254.176100000001</v>
      </c>
      <c r="G3824" s="140" t="s">
        <v>367</v>
      </c>
      <c r="H3824">
        <v>0</v>
      </c>
      <c r="I3824" s="140" t="s">
        <v>17</v>
      </c>
    </row>
    <row r="3825" spans="1:9" hidden="1" x14ac:dyDescent="0.25">
      <c r="A3825">
        <v>2028</v>
      </c>
      <c r="B3825" s="140" t="s">
        <v>15</v>
      </c>
      <c r="C3825" s="140" t="s">
        <v>243</v>
      </c>
      <c r="D3825" s="140" t="s">
        <v>11</v>
      </c>
      <c r="E3825" s="140" t="s">
        <v>52</v>
      </c>
      <c r="F3825">
        <v>19731.342509999999</v>
      </c>
      <c r="G3825" s="140" t="s">
        <v>367</v>
      </c>
      <c r="H3825">
        <v>0</v>
      </c>
      <c r="I3825" s="140" t="s">
        <v>17</v>
      </c>
    </row>
    <row r="3826" spans="1:9" hidden="1" x14ac:dyDescent="0.25">
      <c r="A3826">
        <v>1990</v>
      </c>
      <c r="B3826" s="140" t="s">
        <v>368</v>
      </c>
      <c r="C3826" s="140" t="s">
        <v>243</v>
      </c>
      <c r="D3826" s="140" t="s">
        <v>11</v>
      </c>
      <c r="E3826" s="140" t="s">
        <v>52</v>
      </c>
      <c r="F3826">
        <v>38834</v>
      </c>
      <c r="G3826" s="140" t="s">
        <v>369</v>
      </c>
      <c r="H3826">
        <v>0</v>
      </c>
      <c r="I3826" s="140" t="s">
        <v>17</v>
      </c>
    </row>
    <row r="3827" spans="1:9" hidden="1" x14ac:dyDescent="0.25">
      <c r="A3827">
        <v>1991</v>
      </c>
      <c r="B3827" s="140" t="s">
        <v>368</v>
      </c>
      <c r="C3827" s="140" t="s">
        <v>243</v>
      </c>
      <c r="D3827" s="140" t="s">
        <v>11</v>
      </c>
      <c r="E3827" s="140" t="s">
        <v>52</v>
      </c>
      <c r="F3827">
        <v>38760</v>
      </c>
      <c r="G3827" s="140" t="s">
        <v>369</v>
      </c>
      <c r="H3827">
        <v>0</v>
      </c>
      <c r="I3827" s="140" t="s">
        <v>17</v>
      </c>
    </row>
    <row r="3828" spans="1:9" hidden="1" x14ac:dyDescent="0.25">
      <c r="A3828">
        <v>1992</v>
      </c>
      <c r="B3828" s="140" t="s">
        <v>368</v>
      </c>
      <c r="C3828" s="140" t="s">
        <v>243</v>
      </c>
      <c r="D3828" s="140" t="s">
        <v>11</v>
      </c>
      <c r="E3828" s="140" t="s">
        <v>52</v>
      </c>
      <c r="F3828">
        <v>36628</v>
      </c>
      <c r="G3828" s="140" t="s">
        <v>369</v>
      </c>
      <c r="H3828">
        <v>0</v>
      </c>
      <c r="I3828" s="140" t="s">
        <v>17</v>
      </c>
    </row>
    <row r="3829" spans="1:9" hidden="1" x14ac:dyDescent="0.25">
      <c r="A3829">
        <v>1993</v>
      </c>
      <c r="B3829" s="140" t="s">
        <v>368</v>
      </c>
      <c r="C3829" s="140" t="s">
        <v>243</v>
      </c>
      <c r="D3829" s="140" t="s">
        <v>11</v>
      </c>
      <c r="E3829" s="140" t="s">
        <v>52</v>
      </c>
      <c r="F3829">
        <v>34416</v>
      </c>
      <c r="G3829" s="140" t="s">
        <v>369</v>
      </c>
      <c r="H3829">
        <v>0</v>
      </c>
      <c r="I3829" s="140" t="s">
        <v>17</v>
      </c>
    </row>
    <row r="3830" spans="1:9" hidden="1" x14ac:dyDescent="0.25">
      <c r="A3830">
        <v>1994</v>
      </c>
      <c r="B3830" s="140" t="s">
        <v>368</v>
      </c>
      <c r="C3830" s="140" t="s">
        <v>243</v>
      </c>
      <c r="D3830" s="140" t="s">
        <v>11</v>
      </c>
      <c r="E3830" s="140" t="s">
        <v>52</v>
      </c>
      <c r="F3830">
        <v>34631</v>
      </c>
      <c r="G3830" s="140" t="s">
        <v>369</v>
      </c>
      <c r="H3830">
        <v>0</v>
      </c>
      <c r="I3830" s="140" t="s">
        <v>17</v>
      </c>
    </row>
    <row r="3831" spans="1:9" hidden="1" x14ac:dyDescent="0.25">
      <c r="A3831">
        <v>1995</v>
      </c>
      <c r="B3831" s="140" t="s">
        <v>368</v>
      </c>
      <c r="C3831" s="140" t="s">
        <v>243</v>
      </c>
      <c r="D3831" s="140" t="s">
        <v>11</v>
      </c>
      <c r="E3831" s="140" t="s">
        <v>52</v>
      </c>
      <c r="F3831">
        <v>36939</v>
      </c>
      <c r="G3831" s="140" t="s">
        <v>369</v>
      </c>
      <c r="H3831">
        <v>0</v>
      </c>
      <c r="I3831" s="140" t="s">
        <v>17</v>
      </c>
    </row>
    <row r="3832" spans="1:9" hidden="1" x14ac:dyDescent="0.25">
      <c r="A3832">
        <v>1996</v>
      </c>
      <c r="B3832" s="140" t="s">
        <v>368</v>
      </c>
      <c r="C3832" s="140" t="s">
        <v>243</v>
      </c>
      <c r="D3832" s="140" t="s">
        <v>11</v>
      </c>
      <c r="E3832" s="140" t="s">
        <v>52</v>
      </c>
      <c r="F3832">
        <v>38877</v>
      </c>
      <c r="G3832" s="140" t="s">
        <v>369</v>
      </c>
      <c r="H3832">
        <v>0</v>
      </c>
      <c r="I3832" s="140" t="s">
        <v>17</v>
      </c>
    </row>
    <row r="3833" spans="1:9" hidden="1" x14ac:dyDescent="0.25">
      <c r="A3833">
        <v>1997</v>
      </c>
      <c r="B3833" s="140" t="s">
        <v>368</v>
      </c>
      <c r="C3833" s="140" t="s">
        <v>243</v>
      </c>
      <c r="D3833" s="140" t="s">
        <v>11</v>
      </c>
      <c r="E3833" s="140" t="s">
        <v>52</v>
      </c>
      <c r="F3833">
        <v>41214</v>
      </c>
      <c r="G3833" s="140" t="s">
        <v>369</v>
      </c>
      <c r="H3833">
        <v>0</v>
      </c>
      <c r="I3833" s="140" t="s">
        <v>17</v>
      </c>
    </row>
    <row r="3834" spans="1:9" hidden="1" x14ac:dyDescent="0.25">
      <c r="A3834">
        <v>1998</v>
      </c>
      <c r="B3834" s="140" t="s">
        <v>368</v>
      </c>
      <c r="C3834" s="140" t="s">
        <v>243</v>
      </c>
      <c r="D3834" s="140" t="s">
        <v>11</v>
      </c>
      <c r="E3834" s="140" t="s">
        <v>52</v>
      </c>
      <c r="F3834">
        <v>44408</v>
      </c>
      <c r="G3834" s="140" t="s">
        <v>369</v>
      </c>
      <c r="H3834">
        <v>0</v>
      </c>
      <c r="I3834" s="140" t="s">
        <v>17</v>
      </c>
    </row>
    <row r="3835" spans="1:9" hidden="1" x14ac:dyDescent="0.25">
      <c r="A3835">
        <v>1999</v>
      </c>
      <c r="B3835" s="140" t="s">
        <v>368</v>
      </c>
      <c r="C3835" s="140" t="s">
        <v>243</v>
      </c>
      <c r="D3835" s="140" t="s">
        <v>11</v>
      </c>
      <c r="E3835" s="140" t="s">
        <v>52</v>
      </c>
      <c r="F3835">
        <v>47308</v>
      </c>
      <c r="G3835" s="140" t="s">
        <v>369</v>
      </c>
      <c r="H3835">
        <v>0</v>
      </c>
      <c r="I3835" s="140" t="s">
        <v>17</v>
      </c>
    </row>
    <row r="3836" spans="1:9" hidden="1" x14ac:dyDescent="0.25">
      <c r="A3836">
        <v>2000</v>
      </c>
      <c r="B3836" s="140" t="s">
        <v>368</v>
      </c>
      <c r="C3836" s="140" t="s">
        <v>243</v>
      </c>
      <c r="D3836" s="140" t="s">
        <v>11</v>
      </c>
      <c r="E3836" s="140" t="s">
        <v>52</v>
      </c>
      <c r="F3836">
        <v>50915</v>
      </c>
      <c r="G3836" s="140" t="s">
        <v>369</v>
      </c>
      <c r="H3836">
        <v>0</v>
      </c>
      <c r="I3836" s="140" t="s">
        <v>17</v>
      </c>
    </row>
    <row r="3837" spans="1:9" hidden="1" x14ac:dyDescent="0.25">
      <c r="A3837">
        <v>2001</v>
      </c>
      <c r="B3837" s="140" t="s">
        <v>368</v>
      </c>
      <c r="C3837" s="140" t="s">
        <v>243</v>
      </c>
      <c r="D3837" s="140" t="s">
        <v>11</v>
      </c>
      <c r="E3837" s="140" t="s">
        <v>52</v>
      </c>
      <c r="F3837">
        <v>53590</v>
      </c>
      <c r="G3837" s="140" t="s">
        <v>369</v>
      </c>
      <c r="H3837">
        <v>0</v>
      </c>
      <c r="I3837" s="140" t="s">
        <v>17</v>
      </c>
    </row>
    <row r="3838" spans="1:9" hidden="1" x14ac:dyDescent="0.25">
      <c r="A3838">
        <v>2002</v>
      </c>
      <c r="B3838" s="140" t="s">
        <v>368</v>
      </c>
      <c r="C3838" s="140" t="s">
        <v>243</v>
      </c>
      <c r="D3838" s="140" t="s">
        <v>11</v>
      </c>
      <c r="E3838" s="140" t="s">
        <v>52</v>
      </c>
      <c r="F3838">
        <v>55468</v>
      </c>
      <c r="G3838" s="140" t="s">
        <v>369</v>
      </c>
      <c r="H3838">
        <v>0</v>
      </c>
      <c r="I3838" s="140" t="s">
        <v>17</v>
      </c>
    </row>
    <row r="3839" spans="1:9" hidden="1" x14ac:dyDescent="0.25">
      <c r="A3839">
        <v>2003</v>
      </c>
      <c r="B3839" s="140" t="s">
        <v>368</v>
      </c>
      <c r="C3839" s="140" t="s">
        <v>243</v>
      </c>
      <c r="D3839" s="140" t="s">
        <v>11</v>
      </c>
      <c r="E3839" s="140" t="s">
        <v>52</v>
      </c>
      <c r="F3839">
        <v>57096</v>
      </c>
      <c r="G3839" s="140" t="s">
        <v>369</v>
      </c>
      <c r="H3839">
        <v>0</v>
      </c>
      <c r="I3839" s="140" t="s">
        <v>17</v>
      </c>
    </row>
    <row r="3840" spans="1:9" hidden="1" x14ac:dyDescent="0.25">
      <c r="A3840">
        <v>2004</v>
      </c>
      <c r="B3840" s="140" t="s">
        <v>368</v>
      </c>
      <c r="C3840" s="140" t="s">
        <v>243</v>
      </c>
      <c r="D3840" s="140" t="s">
        <v>11</v>
      </c>
      <c r="E3840" s="140" t="s">
        <v>52</v>
      </c>
      <c r="F3840">
        <v>59468</v>
      </c>
      <c r="G3840" s="140" t="s">
        <v>369</v>
      </c>
      <c r="H3840">
        <v>0</v>
      </c>
      <c r="I3840" s="140" t="s">
        <v>17</v>
      </c>
    </row>
    <row r="3841" spans="1:9" hidden="1" x14ac:dyDescent="0.25">
      <c r="A3841">
        <v>2005</v>
      </c>
      <c r="B3841" s="140" t="s">
        <v>368</v>
      </c>
      <c r="C3841" s="140" t="s">
        <v>243</v>
      </c>
      <c r="D3841" s="140" t="s">
        <v>11</v>
      </c>
      <c r="E3841" s="140" t="s">
        <v>52</v>
      </c>
      <c r="F3841">
        <v>62445</v>
      </c>
      <c r="G3841" s="140" t="s">
        <v>369</v>
      </c>
      <c r="H3841">
        <v>0</v>
      </c>
      <c r="I3841" s="140" t="s">
        <v>17</v>
      </c>
    </row>
    <row r="3842" spans="1:9" hidden="1" x14ac:dyDescent="0.25">
      <c r="A3842">
        <v>2006</v>
      </c>
      <c r="B3842" s="140" t="s">
        <v>368</v>
      </c>
      <c r="C3842" s="140" t="s">
        <v>243</v>
      </c>
      <c r="D3842" s="140" t="s">
        <v>11</v>
      </c>
      <c r="E3842" s="140" t="s">
        <v>52</v>
      </c>
      <c r="F3842">
        <v>65609</v>
      </c>
      <c r="G3842" s="140" t="s">
        <v>369</v>
      </c>
      <c r="H3842">
        <v>0</v>
      </c>
      <c r="I3842" s="140" t="s">
        <v>17</v>
      </c>
    </row>
    <row r="3843" spans="1:9" hidden="1" x14ac:dyDescent="0.25">
      <c r="A3843">
        <v>2007</v>
      </c>
      <c r="B3843" s="140" t="s">
        <v>368</v>
      </c>
      <c r="C3843" s="140" t="s">
        <v>243</v>
      </c>
      <c r="D3843" s="140" t="s">
        <v>11</v>
      </c>
      <c r="E3843" s="140" t="s">
        <v>52</v>
      </c>
      <c r="F3843">
        <v>69286</v>
      </c>
      <c r="G3843" s="140" t="s">
        <v>369</v>
      </c>
      <c r="H3843">
        <v>0</v>
      </c>
      <c r="I3843" s="140" t="s">
        <v>17</v>
      </c>
    </row>
    <row r="3844" spans="1:9" hidden="1" x14ac:dyDescent="0.25">
      <c r="A3844">
        <v>2008</v>
      </c>
      <c r="B3844" s="140" t="s">
        <v>368</v>
      </c>
      <c r="C3844" s="140" t="s">
        <v>243</v>
      </c>
      <c r="D3844" s="140" t="s">
        <v>11</v>
      </c>
      <c r="E3844" s="140" t="s">
        <v>52</v>
      </c>
      <c r="F3844">
        <v>73949</v>
      </c>
      <c r="G3844" s="140" t="s">
        <v>369</v>
      </c>
      <c r="H3844">
        <v>0</v>
      </c>
      <c r="I3844" s="140" t="s">
        <v>17</v>
      </c>
    </row>
    <row r="3845" spans="1:9" hidden="1" x14ac:dyDescent="0.25">
      <c r="A3845">
        <v>2009</v>
      </c>
      <c r="B3845" s="140" t="s">
        <v>368</v>
      </c>
      <c r="C3845" s="140" t="s">
        <v>243</v>
      </c>
      <c r="D3845" s="140" t="s">
        <v>11</v>
      </c>
      <c r="E3845" s="140" t="s">
        <v>52</v>
      </c>
      <c r="F3845">
        <v>73260</v>
      </c>
      <c r="G3845" s="140" t="s">
        <v>369</v>
      </c>
      <c r="H3845">
        <v>0</v>
      </c>
      <c r="I3845" s="140" t="s">
        <v>17</v>
      </c>
    </row>
    <row r="3846" spans="1:9" hidden="1" x14ac:dyDescent="0.25">
      <c r="A3846">
        <v>2010</v>
      </c>
      <c r="B3846" s="140" t="s">
        <v>368</v>
      </c>
      <c r="C3846" s="140" t="s">
        <v>243</v>
      </c>
      <c r="D3846" s="140" t="s">
        <v>11</v>
      </c>
      <c r="E3846" s="140" t="s">
        <v>52</v>
      </c>
      <c r="F3846">
        <v>75667</v>
      </c>
      <c r="G3846" s="140" t="s">
        <v>369</v>
      </c>
      <c r="H3846">
        <v>0</v>
      </c>
      <c r="I3846" s="140" t="s">
        <v>17</v>
      </c>
    </row>
    <row r="3847" spans="1:9" hidden="1" x14ac:dyDescent="0.25">
      <c r="A3847">
        <v>2011</v>
      </c>
      <c r="B3847" s="140" t="s">
        <v>368</v>
      </c>
      <c r="C3847" s="140" t="s">
        <v>243</v>
      </c>
      <c r="D3847" s="140" t="s">
        <v>11</v>
      </c>
      <c r="E3847" s="140" t="s">
        <v>52</v>
      </c>
      <c r="F3847">
        <v>79113</v>
      </c>
      <c r="G3847" s="140" t="s">
        <v>369</v>
      </c>
      <c r="H3847">
        <v>0</v>
      </c>
      <c r="I3847" s="140" t="s">
        <v>17</v>
      </c>
    </row>
    <row r="3848" spans="1:9" hidden="1" x14ac:dyDescent="0.25">
      <c r="A3848">
        <v>2012</v>
      </c>
      <c r="B3848" s="140" t="s">
        <v>368</v>
      </c>
      <c r="C3848" s="140" t="s">
        <v>243</v>
      </c>
      <c r="D3848" s="140" t="s">
        <v>11</v>
      </c>
      <c r="E3848" s="140" t="s">
        <v>52</v>
      </c>
      <c r="F3848">
        <v>81624</v>
      </c>
      <c r="G3848" s="140" t="s">
        <v>369</v>
      </c>
      <c r="H3848">
        <v>0</v>
      </c>
      <c r="I3848" s="140" t="s">
        <v>17</v>
      </c>
    </row>
    <row r="3849" spans="1:9" hidden="1" x14ac:dyDescent="0.25">
      <c r="A3849">
        <v>2013</v>
      </c>
      <c r="B3849" s="140" t="s">
        <v>368</v>
      </c>
      <c r="C3849" s="140" t="s">
        <v>243</v>
      </c>
      <c r="D3849" s="140" t="s">
        <v>11</v>
      </c>
      <c r="E3849" s="140" t="s">
        <v>52</v>
      </c>
      <c r="F3849">
        <v>82307</v>
      </c>
      <c r="G3849" s="140" t="s">
        <v>369</v>
      </c>
      <c r="H3849">
        <v>0</v>
      </c>
      <c r="I3849" s="140" t="s">
        <v>17</v>
      </c>
    </row>
    <row r="3850" spans="1:9" hidden="1" x14ac:dyDescent="0.25">
      <c r="A3850">
        <v>2014</v>
      </c>
      <c r="B3850" s="140" t="s">
        <v>368</v>
      </c>
      <c r="C3850" s="140" t="s">
        <v>243</v>
      </c>
      <c r="D3850" s="140" t="s">
        <v>11</v>
      </c>
      <c r="E3850" s="140" t="s">
        <v>52</v>
      </c>
      <c r="F3850">
        <v>82655</v>
      </c>
      <c r="G3850" s="140" t="s">
        <v>369</v>
      </c>
      <c r="H3850">
        <v>0</v>
      </c>
      <c r="I3850" s="140" t="s">
        <v>17</v>
      </c>
    </row>
    <row r="3851" spans="1:9" hidden="1" x14ac:dyDescent="0.25">
      <c r="A3851">
        <v>2015</v>
      </c>
      <c r="B3851" s="140" t="s">
        <v>368</v>
      </c>
      <c r="C3851" s="140" t="s">
        <v>243</v>
      </c>
      <c r="D3851" s="140" t="s">
        <v>11</v>
      </c>
      <c r="E3851" s="140" t="s">
        <v>52</v>
      </c>
      <c r="F3851">
        <v>83471</v>
      </c>
      <c r="G3851" s="140" t="s">
        <v>369</v>
      </c>
      <c r="H3851">
        <v>0</v>
      </c>
      <c r="I3851" s="140" t="s">
        <v>17</v>
      </c>
    </row>
    <row r="3852" spans="1:9" hidden="1" x14ac:dyDescent="0.25">
      <c r="A3852">
        <v>2016</v>
      </c>
      <c r="B3852" s="140" t="s">
        <v>368</v>
      </c>
      <c r="C3852" s="140" t="s">
        <v>243</v>
      </c>
      <c r="D3852" s="140" t="s">
        <v>11</v>
      </c>
      <c r="E3852" s="140" t="s">
        <v>52</v>
      </c>
      <c r="F3852">
        <v>84730</v>
      </c>
      <c r="G3852" s="140" t="s">
        <v>369</v>
      </c>
      <c r="H3852">
        <v>0</v>
      </c>
      <c r="I3852" s="140" t="s">
        <v>17</v>
      </c>
    </row>
    <row r="3853" spans="1:9" hidden="1" x14ac:dyDescent="0.25">
      <c r="A3853">
        <v>2017</v>
      </c>
      <c r="B3853" s="140" t="s">
        <v>368</v>
      </c>
      <c r="C3853" s="140" t="s">
        <v>243</v>
      </c>
      <c r="D3853" s="140" t="s">
        <v>11</v>
      </c>
      <c r="E3853" s="140" t="s">
        <v>52</v>
      </c>
      <c r="F3853">
        <v>86661</v>
      </c>
      <c r="G3853" s="140" t="s">
        <v>369</v>
      </c>
      <c r="H3853">
        <v>0</v>
      </c>
      <c r="I3853" s="140" t="s">
        <v>17</v>
      </c>
    </row>
    <row r="3854" spans="1:9" hidden="1" x14ac:dyDescent="0.25">
      <c r="A3854">
        <v>2018</v>
      </c>
      <c r="B3854" s="140" t="s">
        <v>368</v>
      </c>
      <c r="C3854" s="140" t="s">
        <v>243</v>
      </c>
      <c r="D3854" s="140" t="s">
        <v>11</v>
      </c>
      <c r="E3854" s="140" t="s">
        <v>52</v>
      </c>
      <c r="F3854">
        <v>90612</v>
      </c>
      <c r="G3854" s="140" t="s">
        <v>369</v>
      </c>
      <c r="H3854">
        <v>0</v>
      </c>
      <c r="I3854" s="140" t="s">
        <v>17</v>
      </c>
    </row>
    <row r="3855" spans="1:9" hidden="1" x14ac:dyDescent="0.25">
      <c r="A3855">
        <v>2019</v>
      </c>
      <c r="B3855" s="140" t="s">
        <v>368</v>
      </c>
      <c r="C3855" s="140" t="s">
        <v>243</v>
      </c>
      <c r="D3855" s="140" t="s">
        <v>11</v>
      </c>
      <c r="E3855" s="140" t="s">
        <v>52</v>
      </c>
      <c r="F3855">
        <v>93900</v>
      </c>
      <c r="G3855" s="140" t="s">
        <v>369</v>
      </c>
      <c r="H3855">
        <v>0</v>
      </c>
      <c r="I3855" s="140" t="s">
        <v>17</v>
      </c>
    </row>
    <row r="3856" spans="1:9" hidden="1" x14ac:dyDescent="0.25">
      <c r="A3856">
        <v>2020</v>
      </c>
      <c r="B3856" s="140" t="s">
        <v>368</v>
      </c>
      <c r="C3856" s="140" t="s">
        <v>243</v>
      </c>
      <c r="D3856" s="140" t="s">
        <v>11</v>
      </c>
      <c r="E3856" s="140" t="s">
        <v>52</v>
      </c>
      <c r="F3856">
        <v>93152</v>
      </c>
      <c r="G3856" s="140" t="s">
        <v>369</v>
      </c>
      <c r="H3856">
        <v>0</v>
      </c>
      <c r="I3856" s="140" t="s">
        <v>17</v>
      </c>
    </row>
    <row r="3857" spans="1:9" hidden="1" x14ac:dyDescent="0.25">
      <c r="A3857">
        <v>2021</v>
      </c>
      <c r="B3857" s="140" t="s">
        <v>368</v>
      </c>
      <c r="C3857" s="140" t="s">
        <v>243</v>
      </c>
      <c r="D3857" s="140" t="s">
        <v>11</v>
      </c>
      <c r="E3857" s="140" t="s">
        <v>52</v>
      </c>
      <c r="F3857">
        <v>98221</v>
      </c>
      <c r="G3857" s="140" t="s">
        <v>369</v>
      </c>
      <c r="H3857">
        <v>0</v>
      </c>
      <c r="I3857" s="140" t="s">
        <v>17</v>
      </c>
    </row>
    <row r="3858" spans="1:9" hidden="1" x14ac:dyDescent="0.25">
      <c r="A3858">
        <v>2022</v>
      </c>
      <c r="B3858" s="140" t="s">
        <v>368</v>
      </c>
      <c r="C3858" s="140" t="s">
        <v>243</v>
      </c>
      <c r="D3858" s="140" t="s">
        <v>11</v>
      </c>
      <c r="E3858" s="140" t="s">
        <v>52</v>
      </c>
      <c r="F3858">
        <v>104809</v>
      </c>
      <c r="G3858" s="140" t="s">
        <v>369</v>
      </c>
      <c r="H3858">
        <v>0</v>
      </c>
      <c r="I3858" s="140" t="s">
        <v>17</v>
      </c>
    </row>
    <row r="3859" spans="1:9" hidden="1" x14ac:dyDescent="0.25">
      <c r="A3859">
        <v>2023</v>
      </c>
      <c r="B3859" s="140" t="s">
        <v>368</v>
      </c>
      <c r="C3859" s="140" t="s">
        <v>243</v>
      </c>
      <c r="D3859" s="140" t="s">
        <v>11</v>
      </c>
      <c r="E3859" s="140" t="s">
        <v>52</v>
      </c>
      <c r="F3859">
        <v>110054</v>
      </c>
      <c r="G3859" s="140" t="s">
        <v>369</v>
      </c>
      <c r="H3859">
        <v>0</v>
      </c>
      <c r="I3859" s="140" t="s">
        <v>17</v>
      </c>
    </row>
    <row r="3860" spans="1:9" hidden="1" x14ac:dyDescent="0.25">
      <c r="A3860">
        <v>2024</v>
      </c>
      <c r="B3860" s="140" t="s">
        <v>368</v>
      </c>
      <c r="C3860" s="140" t="s">
        <v>243</v>
      </c>
      <c r="D3860" s="140" t="s">
        <v>11</v>
      </c>
      <c r="E3860" s="140" t="s">
        <v>52</v>
      </c>
      <c r="F3860">
        <v>112213</v>
      </c>
      <c r="G3860" s="140" t="s">
        <v>369</v>
      </c>
      <c r="H3860">
        <v>0</v>
      </c>
      <c r="I3860" s="140" t="s">
        <v>17</v>
      </c>
    </row>
    <row r="3861" spans="1:9" hidden="1" x14ac:dyDescent="0.25">
      <c r="A3861">
        <v>2025</v>
      </c>
      <c r="B3861" s="140" t="s">
        <v>368</v>
      </c>
      <c r="C3861" s="140" t="s">
        <v>243</v>
      </c>
      <c r="D3861" s="140" t="s">
        <v>11</v>
      </c>
      <c r="E3861" s="140" t="s">
        <v>52</v>
      </c>
      <c r="F3861">
        <v>114532</v>
      </c>
      <c r="G3861" s="140" t="s">
        <v>369</v>
      </c>
      <c r="H3861">
        <v>0</v>
      </c>
      <c r="I3861" s="140" t="s">
        <v>17</v>
      </c>
    </row>
    <row r="3862" spans="1:9" hidden="1" x14ac:dyDescent="0.25">
      <c r="A3862">
        <v>2026</v>
      </c>
      <c r="B3862" s="140" t="s">
        <v>368</v>
      </c>
      <c r="C3862" s="140" t="s">
        <v>243</v>
      </c>
      <c r="D3862" s="140" t="s">
        <v>11</v>
      </c>
      <c r="E3862" s="140" t="s">
        <v>52</v>
      </c>
      <c r="F3862">
        <v>118114.5741</v>
      </c>
      <c r="G3862" s="140" t="s">
        <v>369</v>
      </c>
      <c r="H3862">
        <v>0</v>
      </c>
      <c r="I3862" s="140" t="s">
        <v>17</v>
      </c>
    </row>
    <row r="3863" spans="1:9" hidden="1" x14ac:dyDescent="0.25">
      <c r="A3863">
        <v>2027</v>
      </c>
      <c r="B3863" s="140" t="s">
        <v>368</v>
      </c>
      <c r="C3863" s="140" t="s">
        <v>243</v>
      </c>
      <c r="D3863" s="140" t="s">
        <v>11</v>
      </c>
      <c r="E3863" s="140" t="s">
        <v>52</v>
      </c>
      <c r="F3863">
        <v>123192.8741</v>
      </c>
      <c r="G3863" s="140" t="s">
        <v>369</v>
      </c>
      <c r="H3863">
        <v>0</v>
      </c>
      <c r="I3863" s="140" t="s">
        <v>17</v>
      </c>
    </row>
    <row r="3864" spans="1:9" hidden="1" x14ac:dyDescent="0.25">
      <c r="A3864">
        <v>2028</v>
      </c>
      <c r="B3864" s="140" t="s">
        <v>368</v>
      </c>
      <c r="C3864" s="140" t="s">
        <v>243</v>
      </c>
      <c r="D3864" s="140" t="s">
        <v>11</v>
      </c>
      <c r="E3864" s="140" t="s">
        <v>52</v>
      </c>
      <c r="F3864">
        <v>128368.8058</v>
      </c>
      <c r="G3864" s="140" t="s">
        <v>369</v>
      </c>
      <c r="H3864">
        <v>0</v>
      </c>
      <c r="I3864" s="140" t="s">
        <v>17</v>
      </c>
    </row>
    <row r="3865" spans="1:9" hidden="1" x14ac:dyDescent="0.25">
      <c r="A3865">
        <v>1990</v>
      </c>
      <c r="B3865" s="140" t="s">
        <v>370</v>
      </c>
      <c r="C3865" s="140" t="s">
        <v>243</v>
      </c>
      <c r="D3865" s="140" t="s">
        <v>11</v>
      </c>
      <c r="E3865" s="140" t="s">
        <v>52</v>
      </c>
      <c r="F3865">
        <v>10031</v>
      </c>
      <c r="G3865" s="140" t="s">
        <v>371</v>
      </c>
      <c r="H3865">
        <v>0</v>
      </c>
      <c r="I3865" s="140" t="s">
        <v>17</v>
      </c>
    </row>
    <row r="3866" spans="1:9" hidden="1" x14ac:dyDescent="0.25">
      <c r="A3866">
        <v>1991</v>
      </c>
      <c r="B3866" s="140" t="s">
        <v>370</v>
      </c>
      <c r="C3866" s="140" t="s">
        <v>243</v>
      </c>
      <c r="D3866" s="140" t="s">
        <v>11</v>
      </c>
      <c r="E3866" s="140" t="s">
        <v>52</v>
      </c>
      <c r="F3866">
        <v>10197</v>
      </c>
      <c r="G3866" s="140" t="s">
        <v>371</v>
      </c>
      <c r="H3866">
        <v>0</v>
      </c>
      <c r="I3866" s="140" t="s">
        <v>17</v>
      </c>
    </row>
    <row r="3867" spans="1:9" hidden="1" x14ac:dyDescent="0.25">
      <c r="A3867">
        <v>1992</v>
      </c>
      <c r="B3867" s="140" t="s">
        <v>370</v>
      </c>
      <c r="C3867" s="140" t="s">
        <v>243</v>
      </c>
      <c r="D3867" s="140" t="s">
        <v>11</v>
      </c>
      <c r="E3867" s="140" t="s">
        <v>52</v>
      </c>
      <c r="F3867">
        <v>9705</v>
      </c>
      <c r="G3867" s="140" t="s">
        <v>371</v>
      </c>
      <c r="H3867">
        <v>0</v>
      </c>
      <c r="I3867" s="140" t="s">
        <v>17</v>
      </c>
    </row>
    <row r="3868" spans="1:9" hidden="1" x14ac:dyDescent="0.25">
      <c r="A3868">
        <v>1993</v>
      </c>
      <c r="B3868" s="140" t="s">
        <v>370</v>
      </c>
      <c r="C3868" s="140" t="s">
        <v>243</v>
      </c>
      <c r="D3868" s="140" t="s">
        <v>11</v>
      </c>
      <c r="E3868" s="140" t="s">
        <v>52</v>
      </c>
      <c r="F3868">
        <v>9400</v>
      </c>
      <c r="G3868" s="140" t="s">
        <v>371</v>
      </c>
      <c r="H3868">
        <v>0</v>
      </c>
      <c r="I3868" s="140" t="s">
        <v>17</v>
      </c>
    </row>
    <row r="3869" spans="1:9" hidden="1" x14ac:dyDescent="0.25">
      <c r="A3869">
        <v>1994</v>
      </c>
      <c r="B3869" s="140" t="s">
        <v>370</v>
      </c>
      <c r="C3869" s="140" t="s">
        <v>243</v>
      </c>
      <c r="D3869" s="140" t="s">
        <v>11</v>
      </c>
      <c r="E3869" s="140" t="s">
        <v>52</v>
      </c>
      <c r="F3869">
        <v>9950</v>
      </c>
      <c r="G3869" s="140" t="s">
        <v>371</v>
      </c>
      <c r="H3869">
        <v>0</v>
      </c>
      <c r="I3869" s="140" t="s">
        <v>17</v>
      </c>
    </row>
    <row r="3870" spans="1:9" hidden="1" x14ac:dyDescent="0.25">
      <c r="A3870">
        <v>1995</v>
      </c>
      <c r="B3870" s="140" t="s">
        <v>370</v>
      </c>
      <c r="C3870" s="140" t="s">
        <v>243</v>
      </c>
      <c r="D3870" s="140" t="s">
        <v>11</v>
      </c>
      <c r="E3870" s="140" t="s">
        <v>52</v>
      </c>
      <c r="F3870">
        <v>10432</v>
      </c>
      <c r="G3870" s="140" t="s">
        <v>371</v>
      </c>
      <c r="H3870">
        <v>0</v>
      </c>
      <c r="I3870" s="140" t="s">
        <v>17</v>
      </c>
    </row>
    <row r="3871" spans="1:9" hidden="1" x14ac:dyDescent="0.25">
      <c r="A3871">
        <v>1996</v>
      </c>
      <c r="B3871" s="140" t="s">
        <v>370</v>
      </c>
      <c r="C3871" s="140" t="s">
        <v>243</v>
      </c>
      <c r="D3871" s="140" t="s">
        <v>11</v>
      </c>
      <c r="E3871" s="140" t="s">
        <v>52</v>
      </c>
      <c r="F3871">
        <v>10555</v>
      </c>
      <c r="G3871" s="140" t="s">
        <v>371</v>
      </c>
      <c r="H3871">
        <v>0</v>
      </c>
      <c r="I3871" s="140" t="s">
        <v>17</v>
      </c>
    </row>
    <row r="3872" spans="1:9" hidden="1" x14ac:dyDescent="0.25">
      <c r="A3872">
        <v>1997</v>
      </c>
      <c r="B3872" s="140" t="s">
        <v>370</v>
      </c>
      <c r="C3872" s="140" t="s">
        <v>243</v>
      </c>
      <c r="D3872" s="140" t="s">
        <v>11</v>
      </c>
      <c r="E3872" s="140" t="s">
        <v>52</v>
      </c>
      <c r="F3872">
        <v>10942</v>
      </c>
      <c r="G3872" s="140" t="s">
        <v>371</v>
      </c>
      <c r="H3872">
        <v>0</v>
      </c>
      <c r="I3872" s="140" t="s">
        <v>17</v>
      </c>
    </row>
    <row r="3873" spans="1:9" hidden="1" x14ac:dyDescent="0.25">
      <c r="A3873">
        <v>1998</v>
      </c>
      <c r="B3873" s="140" t="s">
        <v>370</v>
      </c>
      <c r="C3873" s="140" t="s">
        <v>243</v>
      </c>
      <c r="D3873" s="140" t="s">
        <v>11</v>
      </c>
      <c r="E3873" s="140" t="s">
        <v>52</v>
      </c>
      <c r="F3873">
        <v>11968</v>
      </c>
      <c r="G3873" s="140" t="s">
        <v>371</v>
      </c>
      <c r="H3873">
        <v>0</v>
      </c>
      <c r="I3873" s="140" t="s">
        <v>17</v>
      </c>
    </row>
    <row r="3874" spans="1:9" hidden="1" x14ac:dyDescent="0.25">
      <c r="A3874">
        <v>1999</v>
      </c>
      <c r="B3874" s="140" t="s">
        <v>370</v>
      </c>
      <c r="C3874" s="140" t="s">
        <v>243</v>
      </c>
      <c r="D3874" s="140" t="s">
        <v>11</v>
      </c>
      <c r="E3874" s="140" t="s">
        <v>52</v>
      </c>
      <c r="F3874">
        <v>12508</v>
      </c>
      <c r="G3874" s="140" t="s">
        <v>371</v>
      </c>
      <c r="H3874">
        <v>0</v>
      </c>
      <c r="I3874" s="140" t="s">
        <v>17</v>
      </c>
    </row>
    <row r="3875" spans="1:9" hidden="1" x14ac:dyDescent="0.25">
      <c r="A3875">
        <v>2000</v>
      </c>
      <c r="B3875" s="140" t="s">
        <v>370</v>
      </c>
      <c r="C3875" s="140" t="s">
        <v>243</v>
      </c>
      <c r="D3875" s="140" t="s">
        <v>11</v>
      </c>
      <c r="E3875" s="140" t="s">
        <v>52</v>
      </c>
      <c r="F3875">
        <v>12827</v>
      </c>
      <c r="G3875" s="140" t="s">
        <v>371</v>
      </c>
      <c r="H3875">
        <v>0</v>
      </c>
      <c r="I3875" s="140" t="s">
        <v>17</v>
      </c>
    </row>
    <row r="3876" spans="1:9" hidden="1" x14ac:dyDescent="0.25">
      <c r="A3876">
        <v>2001</v>
      </c>
      <c r="B3876" s="140" t="s">
        <v>370</v>
      </c>
      <c r="C3876" s="140" t="s">
        <v>243</v>
      </c>
      <c r="D3876" s="140" t="s">
        <v>11</v>
      </c>
      <c r="E3876" s="140" t="s">
        <v>52</v>
      </c>
      <c r="F3876">
        <v>13768</v>
      </c>
      <c r="G3876" s="140" t="s">
        <v>371</v>
      </c>
      <c r="H3876">
        <v>0</v>
      </c>
      <c r="I3876" s="140" t="s">
        <v>17</v>
      </c>
    </row>
    <row r="3877" spans="1:9" hidden="1" x14ac:dyDescent="0.25">
      <c r="A3877">
        <v>2002</v>
      </c>
      <c r="B3877" s="140" t="s">
        <v>370</v>
      </c>
      <c r="C3877" s="140" t="s">
        <v>243</v>
      </c>
      <c r="D3877" s="140" t="s">
        <v>11</v>
      </c>
      <c r="E3877" s="140" t="s">
        <v>52</v>
      </c>
      <c r="F3877">
        <v>13934</v>
      </c>
      <c r="G3877" s="140" t="s">
        <v>371</v>
      </c>
      <c r="H3877">
        <v>0</v>
      </c>
      <c r="I3877" s="140" t="s">
        <v>17</v>
      </c>
    </row>
    <row r="3878" spans="1:9" hidden="1" x14ac:dyDescent="0.25">
      <c r="A3878">
        <v>2003</v>
      </c>
      <c r="B3878" s="140" t="s">
        <v>370</v>
      </c>
      <c r="C3878" s="140" t="s">
        <v>243</v>
      </c>
      <c r="D3878" s="140" t="s">
        <v>11</v>
      </c>
      <c r="E3878" s="140" t="s">
        <v>52</v>
      </c>
      <c r="F3878">
        <v>13896</v>
      </c>
      <c r="G3878" s="140" t="s">
        <v>371</v>
      </c>
      <c r="H3878">
        <v>0</v>
      </c>
      <c r="I3878" s="140" t="s">
        <v>17</v>
      </c>
    </row>
    <row r="3879" spans="1:9" hidden="1" x14ac:dyDescent="0.25">
      <c r="A3879">
        <v>2004</v>
      </c>
      <c r="B3879" s="140" t="s">
        <v>370</v>
      </c>
      <c r="C3879" s="140" t="s">
        <v>243</v>
      </c>
      <c r="D3879" s="140" t="s">
        <v>11</v>
      </c>
      <c r="E3879" s="140" t="s">
        <v>52</v>
      </c>
      <c r="F3879">
        <v>14428</v>
      </c>
      <c r="G3879" s="140" t="s">
        <v>371</v>
      </c>
      <c r="H3879">
        <v>0</v>
      </c>
      <c r="I3879" s="140" t="s">
        <v>17</v>
      </c>
    </row>
    <row r="3880" spans="1:9" hidden="1" x14ac:dyDescent="0.25">
      <c r="A3880">
        <v>2005</v>
      </c>
      <c r="B3880" s="140" t="s">
        <v>370</v>
      </c>
      <c r="C3880" s="140" t="s">
        <v>243</v>
      </c>
      <c r="D3880" s="140" t="s">
        <v>11</v>
      </c>
      <c r="E3880" s="140" t="s">
        <v>52</v>
      </c>
      <c r="F3880">
        <v>15205</v>
      </c>
      <c r="G3880" s="140" t="s">
        <v>371</v>
      </c>
      <c r="H3880">
        <v>0</v>
      </c>
      <c r="I3880" s="140" t="s">
        <v>17</v>
      </c>
    </row>
    <row r="3881" spans="1:9" hidden="1" x14ac:dyDescent="0.25">
      <c r="A3881">
        <v>2006</v>
      </c>
      <c r="B3881" s="140" t="s">
        <v>370</v>
      </c>
      <c r="C3881" s="140" t="s">
        <v>243</v>
      </c>
      <c r="D3881" s="140" t="s">
        <v>11</v>
      </c>
      <c r="E3881" s="140" t="s">
        <v>52</v>
      </c>
      <c r="F3881">
        <v>15924</v>
      </c>
      <c r="G3881" s="140" t="s">
        <v>371</v>
      </c>
      <c r="H3881">
        <v>0</v>
      </c>
      <c r="I3881" s="140" t="s">
        <v>17</v>
      </c>
    </row>
    <row r="3882" spans="1:9" hidden="1" x14ac:dyDescent="0.25">
      <c r="A3882">
        <v>2007</v>
      </c>
      <c r="B3882" s="140" t="s">
        <v>370</v>
      </c>
      <c r="C3882" s="140" t="s">
        <v>243</v>
      </c>
      <c r="D3882" s="140" t="s">
        <v>11</v>
      </c>
      <c r="E3882" s="140" t="s">
        <v>52</v>
      </c>
      <c r="F3882">
        <v>16762</v>
      </c>
      <c r="G3882" s="140" t="s">
        <v>371</v>
      </c>
      <c r="H3882">
        <v>0</v>
      </c>
      <c r="I3882" s="140" t="s">
        <v>17</v>
      </c>
    </row>
    <row r="3883" spans="1:9" hidden="1" x14ac:dyDescent="0.25">
      <c r="A3883">
        <v>2008</v>
      </c>
      <c r="B3883" s="140" t="s">
        <v>370</v>
      </c>
      <c r="C3883" s="140" t="s">
        <v>243</v>
      </c>
      <c r="D3883" s="140" t="s">
        <v>11</v>
      </c>
      <c r="E3883" s="140" t="s">
        <v>52</v>
      </c>
      <c r="F3883">
        <v>17772</v>
      </c>
      <c r="G3883" s="140" t="s">
        <v>371</v>
      </c>
      <c r="H3883">
        <v>0</v>
      </c>
      <c r="I3883" s="140" t="s">
        <v>17</v>
      </c>
    </row>
    <row r="3884" spans="1:9" hidden="1" x14ac:dyDescent="0.25">
      <c r="A3884">
        <v>2009</v>
      </c>
      <c r="B3884" s="140" t="s">
        <v>370</v>
      </c>
      <c r="C3884" s="140" t="s">
        <v>243</v>
      </c>
      <c r="D3884" s="140" t="s">
        <v>11</v>
      </c>
      <c r="E3884" s="140" t="s">
        <v>52</v>
      </c>
      <c r="F3884">
        <v>17355</v>
      </c>
      <c r="G3884" s="140" t="s">
        <v>371</v>
      </c>
      <c r="H3884">
        <v>0</v>
      </c>
      <c r="I3884" s="140" t="s">
        <v>17</v>
      </c>
    </row>
    <row r="3885" spans="1:9" hidden="1" x14ac:dyDescent="0.25">
      <c r="A3885">
        <v>2010</v>
      </c>
      <c r="B3885" s="140" t="s">
        <v>370</v>
      </c>
      <c r="C3885" s="140" t="s">
        <v>243</v>
      </c>
      <c r="D3885" s="140" t="s">
        <v>11</v>
      </c>
      <c r="E3885" s="140" t="s">
        <v>52</v>
      </c>
      <c r="F3885">
        <v>17028</v>
      </c>
      <c r="G3885" s="140" t="s">
        <v>371</v>
      </c>
      <c r="H3885">
        <v>0</v>
      </c>
      <c r="I3885" s="140" t="s">
        <v>17</v>
      </c>
    </row>
    <row r="3886" spans="1:9" hidden="1" x14ac:dyDescent="0.25">
      <c r="A3886">
        <v>2011</v>
      </c>
      <c r="B3886" s="140" t="s">
        <v>370</v>
      </c>
      <c r="C3886" s="140" t="s">
        <v>243</v>
      </c>
      <c r="D3886" s="140" t="s">
        <v>11</v>
      </c>
      <c r="E3886" s="140" t="s">
        <v>52</v>
      </c>
      <c r="F3886">
        <v>18033</v>
      </c>
      <c r="G3886" s="140" t="s">
        <v>371</v>
      </c>
      <c r="H3886">
        <v>0</v>
      </c>
      <c r="I3886" s="140" t="s">
        <v>17</v>
      </c>
    </row>
    <row r="3887" spans="1:9" hidden="1" x14ac:dyDescent="0.25">
      <c r="A3887">
        <v>2012</v>
      </c>
      <c r="B3887" s="140" t="s">
        <v>370</v>
      </c>
      <c r="C3887" s="140" t="s">
        <v>243</v>
      </c>
      <c r="D3887" s="140" t="s">
        <v>11</v>
      </c>
      <c r="E3887" s="140" t="s">
        <v>52</v>
      </c>
      <c r="F3887">
        <v>18723</v>
      </c>
      <c r="G3887" s="140" t="s">
        <v>371</v>
      </c>
      <c r="H3887">
        <v>0</v>
      </c>
      <c r="I3887" s="140" t="s">
        <v>17</v>
      </c>
    </row>
    <row r="3888" spans="1:9" hidden="1" x14ac:dyDescent="0.25">
      <c r="A3888">
        <v>2013</v>
      </c>
      <c r="B3888" s="140" t="s">
        <v>370</v>
      </c>
      <c r="C3888" s="140" t="s">
        <v>243</v>
      </c>
      <c r="D3888" s="140" t="s">
        <v>11</v>
      </c>
      <c r="E3888" s="140" t="s">
        <v>52</v>
      </c>
      <c r="F3888">
        <v>18894</v>
      </c>
      <c r="G3888" s="140" t="s">
        <v>371</v>
      </c>
      <c r="H3888">
        <v>0</v>
      </c>
      <c r="I3888" s="140" t="s">
        <v>17</v>
      </c>
    </row>
    <row r="3889" spans="1:9" hidden="1" x14ac:dyDescent="0.25">
      <c r="A3889">
        <v>2014</v>
      </c>
      <c r="B3889" s="140" t="s">
        <v>370</v>
      </c>
      <c r="C3889" s="140" t="s">
        <v>243</v>
      </c>
      <c r="D3889" s="140" t="s">
        <v>11</v>
      </c>
      <c r="E3889" s="140" t="s">
        <v>52</v>
      </c>
      <c r="F3889">
        <v>18871</v>
      </c>
      <c r="G3889" s="140" t="s">
        <v>371</v>
      </c>
      <c r="H3889">
        <v>0</v>
      </c>
      <c r="I3889" s="140" t="s">
        <v>17</v>
      </c>
    </row>
    <row r="3890" spans="1:9" hidden="1" x14ac:dyDescent="0.25">
      <c r="A3890">
        <v>2015</v>
      </c>
      <c r="B3890" s="140" t="s">
        <v>370</v>
      </c>
      <c r="C3890" s="140" t="s">
        <v>243</v>
      </c>
      <c r="D3890" s="140" t="s">
        <v>11</v>
      </c>
      <c r="E3890" s="140" t="s">
        <v>52</v>
      </c>
      <c r="F3890">
        <v>19202</v>
      </c>
      <c r="G3890" s="140" t="s">
        <v>371</v>
      </c>
      <c r="H3890">
        <v>0</v>
      </c>
      <c r="I3890" s="140" t="s">
        <v>17</v>
      </c>
    </row>
    <row r="3891" spans="1:9" hidden="1" x14ac:dyDescent="0.25">
      <c r="A3891">
        <v>2016</v>
      </c>
      <c r="B3891" s="140" t="s">
        <v>370</v>
      </c>
      <c r="C3891" s="140" t="s">
        <v>243</v>
      </c>
      <c r="D3891" s="140" t="s">
        <v>11</v>
      </c>
      <c r="E3891" s="140" t="s">
        <v>52</v>
      </c>
      <c r="F3891">
        <v>19692</v>
      </c>
      <c r="G3891" s="140" t="s">
        <v>371</v>
      </c>
      <c r="H3891">
        <v>0</v>
      </c>
      <c r="I3891" s="140" t="s">
        <v>17</v>
      </c>
    </row>
    <row r="3892" spans="1:9" hidden="1" x14ac:dyDescent="0.25">
      <c r="A3892">
        <v>2017</v>
      </c>
      <c r="B3892" s="140" t="s">
        <v>370</v>
      </c>
      <c r="C3892" s="140" t="s">
        <v>243</v>
      </c>
      <c r="D3892" s="140" t="s">
        <v>11</v>
      </c>
      <c r="E3892" s="140" t="s">
        <v>52</v>
      </c>
      <c r="F3892">
        <v>18477</v>
      </c>
      <c r="G3892" s="140" t="s">
        <v>371</v>
      </c>
      <c r="H3892">
        <v>0</v>
      </c>
      <c r="I3892" s="140" t="s">
        <v>17</v>
      </c>
    </row>
    <row r="3893" spans="1:9" hidden="1" x14ac:dyDescent="0.25">
      <c r="A3893">
        <v>2018</v>
      </c>
      <c r="B3893" s="140" t="s">
        <v>370</v>
      </c>
      <c r="C3893" s="140" t="s">
        <v>243</v>
      </c>
      <c r="D3893" s="140" t="s">
        <v>11</v>
      </c>
      <c r="E3893" s="140" t="s">
        <v>52</v>
      </c>
      <c r="F3893">
        <v>18546</v>
      </c>
      <c r="G3893" s="140" t="s">
        <v>371</v>
      </c>
      <c r="H3893">
        <v>0</v>
      </c>
      <c r="I3893" s="140" t="s">
        <v>17</v>
      </c>
    </row>
    <row r="3894" spans="1:9" hidden="1" x14ac:dyDescent="0.25">
      <c r="A3894">
        <v>2019</v>
      </c>
      <c r="B3894" s="140" t="s">
        <v>370</v>
      </c>
      <c r="C3894" s="140" t="s">
        <v>243</v>
      </c>
      <c r="D3894" s="140" t="s">
        <v>11</v>
      </c>
      <c r="E3894" s="140" t="s">
        <v>52</v>
      </c>
      <c r="F3894">
        <v>18765</v>
      </c>
      <c r="G3894" s="140" t="s">
        <v>371</v>
      </c>
      <c r="H3894">
        <v>0</v>
      </c>
      <c r="I3894" s="140" t="s">
        <v>17</v>
      </c>
    </row>
    <row r="3895" spans="1:9" hidden="1" x14ac:dyDescent="0.25">
      <c r="A3895">
        <v>2020</v>
      </c>
      <c r="B3895" s="140" t="s">
        <v>370</v>
      </c>
      <c r="C3895" s="140" t="s">
        <v>243</v>
      </c>
      <c r="D3895" s="140" t="s">
        <v>11</v>
      </c>
      <c r="E3895" s="140" t="s">
        <v>52</v>
      </c>
      <c r="F3895">
        <v>17596</v>
      </c>
      <c r="G3895" s="140" t="s">
        <v>371</v>
      </c>
      <c r="H3895">
        <v>0</v>
      </c>
      <c r="I3895" s="140" t="s">
        <v>17</v>
      </c>
    </row>
    <row r="3896" spans="1:9" hidden="1" x14ac:dyDescent="0.25">
      <c r="A3896">
        <v>2021</v>
      </c>
      <c r="B3896" s="140" t="s">
        <v>370</v>
      </c>
      <c r="C3896" s="140" t="s">
        <v>243</v>
      </c>
      <c r="D3896" s="140" t="s">
        <v>11</v>
      </c>
      <c r="E3896" s="140" t="s">
        <v>52</v>
      </c>
      <c r="F3896">
        <v>19783</v>
      </c>
      <c r="G3896" s="140" t="s">
        <v>371</v>
      </c>
      <c r="H3896">
        <v>0</v>
      </c>
      <c r="I3896" s="140" t="s">
        <v>17</v>
      </c>
    </row>
    <row r="3897" spans="1:9" hidden="1" x14ac:dyDescent="0.25">
      <c r="A3897">
        <v>2022</v>
      </c>
      <c r="B3897" s="140" t="s">
        <v>370</v>
      </c>
      <c r="C3897" s="140" t="s">
        <v>243</v>
      </c>
      <c r="D3897" s="140" t="s">
        <v>11</v>
      </c>
      <c r="E3897" s="140" t="s">
        <v>52</v>
      </c>
      <c r="F3897">
        <v>21191</v>
      </c>
      <c r="G3897" s="140" t="s">
        <v>371</v>
      </c>
      <c r="H3897">
        <v>0</v>
      </c>
      <c r="I3897" s="140" t="s">
        <v>17</v>
      </c>
    </row>
    <row r="3898" spans="1:9" hidden="1" x14ac:dyDescent="0.25">
      <c r="A3898">
        <v>2023</v>
      </c>
      <c r="B3898" s="140" t="s">
        <v>370</v>
      </c>
      <c r="C3898" s="140" t="s">
        <v>243</v>
      </c>
      <c r="D3898" s="140" t="s">
        <v>11</v>
      </c>
      <c r="E3898" s="140" t="s">
        <v>52</v>
      </c>
      <c r="F3898">
        <v>22232</v>
      </c>
      <c r="G3898" s="140" t="s">
        <v>371</v>
      </c>
      <c r="H3898">
        <v>0</v>
      </c>
      <c r="I3898" s="140" t="s">
        <v>17</v>
      </c>
    </row>
    <row r="3899" spans="1:9" hidden="1" x14ac:dyDescent="0.25">
      <c r="A3899">
        <v>2024</v>
      </c>
      <c r="B3899" s="140" t="s">
        <v>370</v>
      </c>
      <c r="C3899" s="140" t="s">
        <v>243</v>
      </c>
      <c r="D3899" s="140" t="s">
        <v>11</v>
      </c>
      <c r="E3899" s="140" t="s">
        <v>52</v>
      </c>
      <c r="F3899">
        <v>21482</v>
      </c>
      <c r="G3899" s="140" t="s">
        <v>371</v>
      </c>
      <c r="H3899">
        <v>0</v>
      </c>
      <c r="I3899" s="140" t="s">
        <v>17</v>
      </c>
    </row>
    <row r="3900" spans="1:9" hidden="1" x14ac:dyDescent="0.25">
      <c r="A3900">
        <v>2025</v>
      </c>
      <c r="B3900" s="140" t="s">
        <v>370</v>
      </c>
      <c r="C3900" s="140" t="s">
        <v>243</v>
      </c>
      <c r="D3900" s="140" t="s">
        <v>11</v>
      </c>
      <c r="E3900" s="140" t="s">
        <v>52</v>
      </c>
      <c r="F3900">
        <v>22583</v>
      </c>
      <c r="G3900" s="140" t="s">
        <v>371</v>
      </c>
      <c r="H3900">
        <v>0</v>
      </c>
      <c r="I3900" s="140" t="s">
        <v>17</v>
      </c>
    </row>
    <row r="3901" spans="1:9" hidden="1" x14ac:dyDescent="0.25">
      <c r="A3901">
        <v>2026</v>
      </c>
      <c r="B3901" s="140" t="s">
        <v>370</v>
      </c>
      <c r="C3901" s="140" t="s">
        <v>243</v>
      </c>
      <c r="D3901" s="140" t="s">
        <v>11</v>
      </c>
      <c r="E3901" s="140" t="s">
        <v>52</v>
      </c>
      <c r="F3901">
        <v>23465.120569999999</v>
      </c>
      <c r="G3901" s="140" t="s">
        <v>371</v>
      </c>
      <c r="H3901">
        <v>0</v>
      </c>
      <c r="I3901" s="140" t="s">
        <v>17</v>
      </c>
    </row>
    <row r="3902" spans="1:9" hidden="1" x14ac:dyDescent="0.25">
      <c r="A3902">
        <v>2027</v>
      </c>
      <c r="B3902" s="140" t="s">
        <v>370</v>
      </c>
      <c r="C3902" s="140" t="s">
        <v>243</v>
      </c>
      <c r="D3902" s="140" t="s">
        <v>11</v>
      </c>
      <c r="E3902" s="140" t="s">
        <v>52</v>
      </c>
      <c r="F3902">
        <v>24424.798900000002</v>
      </c>
      <c r="G3902" s="140" t="s">
        <v>371</v>
      </c>
      <c r="H3902">
        <v>0</v>
      </c>
      <c r="I3902" s="140" t="s">
        <v>17</v>
      </c>
    </row>
    <row r="3903" spans="1:9" hidden="1" x14ac:dyDescent="0.25">
      <c r="A3903">
        <v>2028</v>
      </c>
      <c r="B3903" s="140" t="s">
        <v>370</v>
      </c>
      <c r="C3903" s="140" t="s">
        <v>243</v>
      </c>
      <c r="D3903" s="140" t="s">
        <v>11</v>
      </c>
      <c r="E3903" s="140" t="s">
        <v>52</v>
      </c>
      <c r="F3903">
        <v>25399.739119999998</v>
      </c>
      <c r="G3903" s="140" t="s">
        <v>371</v>
      </c>
      <c r="H3903">
        <v>0</v>
      </c>
      <c r="I3903" s="140" t="s">
        <v>17</v>
      </c>
    </row>
    <row r="3904" spans="1:9" hidden="1" x14ac:dyDescent="0.25">
      <c r="A3904">
        <v>1990</v>
      </c>
      <c r="B3904" s="140" t="s">
        <v>372</v>
      </c>
      <c r="C3904" s="140" t="s">
        <v>243</v>
      </c>
      <c r="D3904" s="140" t="s">
        <v>11</v>
      </c>
      <c r="E3904" s="140" t="s">
        <v>52</v>
      </c>
      <c r="F3904">
        <v>6849</v>
      </c>
      <c r="G3904" s="140" t="s">
        <v>373</v>
      </c>
      <c r="H3904">
        <v>0</v>
      </c>
      <c r="I3904" s="140" t="s">
        <v>17</v>
      </c>
    </row>
    <row r="3905" spans="1:9" hidden="1" x14ac:dyDescent="0.25">
      <c r="A3905">
        <v>1991</v>
      </c>
      <c r="B3905" s="140" t="s">
        <v>372</v>
      </c>
      <c r="C3905" s="140" t="s">
        <v>243</v>
      </c>
      <c r="D3905" s="140" t="s">
        <v>11</v>
      </c>
      <c r="E3905" s="140" t="s">
        <v>52</v>
      </c>
      <c r="F3905">
        <v>6895</v>
      </c>
      <c r="G3905" s="140" t="s">
        <v>373</v>
      </c>
      <c r="H3905">
        <v>0</v>
      </c>
      <c r="I3905" s="140" t="s">
        <v>17</v>
      </c>
    </row>
    <row r="3906" spans="1:9" hidden="1" x14ac:dyDescent="0.25">
      <c r="A3906">
        <v>1992</v>
      </c>
      <c r="B3906" s="140" t="s">
        <v>372</v>
      </c>
      <c r="C3906" s="140" t="s">
        <v>243</v>
      </c>
      <c r="D3906" s="140" t="s">
        <v>11</v>
      </c>
      <c r="E3906" s="140" t="s">
        <v>52</v>
      </c>
      <c r="F3906">
        <v>6993</v>
      </c>
      <c r="G3906" s="140" t="s">
        <v>373</v>
      </c>
      <c r="H3906">
        <v>0</v>
      </c>
      <c r="I3906" s="140" t="s">
        <v>17</v>
      </c>
    </row>
    <row r="3907" spans="1:9" hidden="1" x14ac:dyDescent="0.25">
      <c r="A3907">
        <v>1993</v>
      </c>
      <c r="B3907" s="140" t="s">
        <v>372</v>
      </c>
      <c r="C3907" s="140" t="s">
        <v>243</v>
      </c>
      <c r="D3907" s="140" t="s">
        <v>11</v>
      </c>
      <c r="E3907" s="140" t="s">
        <v>52</v>
      </c>
      <c r="F3907">
        <v>5902</v>
      </c>
      <c r="G3907" s="140" t="s">
        <v>373</v>
      </c>
      <c r="H3907">
        <v>0</v>
      </c>
      <c r="I3907" s="140" t="s">
        <v>17</v>
      </c>
    </row>
    <row r="3908" spans="1:9" hidden="1" x14ac:dyDescent="0.25">
      <c r="A3908">
        <v>1994</v>
      </c>
      <c r="B3908" s="140" t="s">
        <v>372</v>
      </c>
      <c r="C3908" s="140" t="s">
        <v>243</v>
      </c>
      <c r="D3908" s="140" t="s">
        <v>11</v>
      </c>
      <c r="E3908" s="140" t="s">
        <v>52</v>
      </c>
      <c r="F3908">
        <v>4703</v>
      </c>
      <c r="G3908" s="140" t="s">
        <v>373</v>
      </c>
      <c r="H3908">
        <v>0</v>
      </c>
      <c r="I3908" s="140" t="s">
        <v>17</v>
      </c>
    </row>
    <row r="3909" spans="1:9" hidden="1" x14ac:dyDescent="0.25">
      <c r="A3909">
        <v>1995</v>
      </c>
      <c r="B3909" s="140" t="s">
        <v>372</v>
      </c>
      <c r="C3909" s="140" t="s">
        <v>243</v>
      </c>
      <c r="D3909" s="140" t="s">
        <v>11</v>
      </c>
      <c r="E3909" s="140" t="s">
        <v>52</v>
      </c>
      <c r="F3909">
        <v>5306</v>
      </c>
      <c r="G3909" s="140" t="s">
        <v>373</v>
      </c>
      <c r="H3909">
        <v>0</v>
      </c>
      <c r="I3909" s="140" t="s">
        <v>17</v>
      </c>
    </row>
    <row r="3910" spans="1:9" hidden="1" x14ac:dyDescent="0.25">
      <c r="A3910">
        <v>1996</v>
      </c>
      <c r="B3910" s="140" t="s">
        <v>372</v>
      </c>
      <c r="C3910" s="140" t="s">
        <v>243</v>
      </c>
      <c r="D3910" s="140" t="s">
        <v>11</v>
      </c>
      <c r="E3910" s="140" t="s">
        <v>52</v>
      </c>
      <c r="F3910">
        <v>4830</v>
      </c>
      <c r="G3910" s="140" t="s">
        <v>373</v>
      </c>
      <c r="H3910">
        <v>0</v>
      </c>
      <c r="I3910" s="140" t="s">
        <v>17</v>
      </c>
    </row>
    <row r="3911" spans="1:9" hidden="1" x14ac:dyDescent="0.25">
      <c r="A3911">
        <v>1997</v>
      </c>
      <c r="B3911" s="140" t="s">
        <v>372</v>
      </c>
      <c r="C3911" s="140" t="s">
        <v>243</v>
      </c>
      <c r="D3911" s="140" t="s">
        <v>11</v>
      </c>
      <c r="E3911" s="140" t="s">
        <v>52</v>
      </c>
      <c r="F3911">
        <v>4981</v>
      </c>
      <c r="G3911" s="140" t="s">
        <v>373</v>
      </c>
      <c r="H3911">
        <v>0</v>
      </c>
      <c r="I3911" s="140" t="s">
        <v>17</v>
      </c>
    </row>
    <row r="3912" spans="1:9" hidden="1" x14ac:dyDescent="0.25">
      <c r="A3912">
        <v>1998</v>
      </c>
      <c r="B3912" s="140" t="s">
        <v>372</v>
      </c>
      <c r="C3912" s="140" t="s">
        <v>243</v>
      </c>
      <c r="D3912" s="140" t="s">
        <v>11</v>
      </c>
      <c r="E3912" s="140" t="s">
        <v>52</v>
      </c>
      <c r="F3912">
        <v>5506</v>
      </c>
      <c r="G3912" s="140" t="s">
        <v>373</v>
      </c>
      <c r="H3912">
        <v>0</v>
      </c>
      <c r="I3912" s="140" t="s">
        <v>17</v>
      </c>
    </row>
    <row r="3913" spans="1:9" hidden="1" x14ac:dyDescent="0.25">
      <c r="A3913">
        <v>1999</v>
      </c>
      <c r="B3913" s="140" t="s">
        <v>372</v>
      </c>
      <c r="C3913" s="140" t="s">
        <v>243</v>
      </c>
      <c r="D3913" s="140" t="s">
        <v>11</v>
      </c>
      <c r="E3913" s="140" t="s">
        <v>52</v>
      </c>
      <c r="F3913">
        <v>5781</v>
      </c>
      <c r="G3913" s="140" t="s">
        <v>373</v>
      </c>
      <c r="H3913">
        <v>0</v>
      </c>
      <c r="I3913" s="140" t="s">
        <v>17</v>
      </c>
    </row>
    <row r="3914" spans="1:9" hidden="1" x14ac:dyDescent="0.25">
      <c r="A3914">
        <v>2000</v>
      </c>
      <c r="B3914" s="140" t="s">
        <v>372</v>
      </c>
      <c r="C3914" s="140" t="s">
        <v>243</v>
      </c>
      <c r="D3914" s="140" t="s">
        <v>11</v>
      </c>
      <c r="E3914" s="140" t="s">
        <v>52</v>
      </c>
      <c r="F3914">
        <v>7369</v>
      </c>
      <c r="G3914" s="140" t="s">
        <v>373</v>
      </c>
      <c r="H3914">
        <v>0</v>
      </c>
      <c r="I3914" s="140" t="s">
        <v>17</v>
      </c>
    </row>
    <row r="3915" spans="1:9" hidden="1" x14ac:dyDescent="0.25">
      <c r="A3915">
        <v>2001</v>
      </c>
      <c r="B3915" s="140" t="s">
        <v>372</v>
      </c>
      <c r="C3915" s="140" t="s">
        <v>243</v>
      </c>
      <c r="D3915" s="140" t="s">
        <v>11</v>
      </c>
      <c r="E3915" s="140" t="s">
        <v>52</v>
      </c>
      <c r="F3915">
        <v>7936</v>
      </c>
      <c r="G3915" s="140" t="s">
        <v>373</v>
      </c>
      <c r="H3915">
        <v>0</v>
      </c>
      <c r="I3915" s="140" t="s">
        <v>17</v>
      </c>
    </row>
    <row r="3916" spans="1:9" hidden="1" x14ac:dyDescent="0.25">
      <c r="A3916">
        <v>2002</v>
      </c>
      <c r="B3916" s="140" t="s">
        <v>372</v>
      </c>
      <c r="C3916" s="140" t="s">
        <v>243</v>
      </c>
      <c r="D3916" s="140" t="s">
        <v>11</v>
      </c>
      <c r="E3916" s="140" t="s">
        <v>52</v>
      </c>
      <c r="F3916">
        <v>7518</v>
      </c>
      <c r="G3916" s="140" t="s">
        <v>373</v>
      </c>
      <c r="H3916">
        <v>0</v>
      </c>
      <c r="I3916" s="140" t="s">
        <v>17</v>
      </c>
    </row>
    <row r="3917" spans="1:9" hidden="1" x14ac:dyDescent="0.25">
      <c r="A3917">
        <v>2003</v>
      </c>
      <c r="B3917" s="140" t="s">
        <v>372</v>
      </c>
      <c r="C3917" s="140" t="s">
        <v>243</v>
      </c>
      <c r="D3917" s="140" t="s">
        <v>11</v>
      </c>
      <c r="E3917" s="140" t="s">
        <v>52</v>
      </c>
      <c r="F3917">
        <v>7622</v>
      </c>
      <c r="G3917" s="140" t="s">
        <v>373</v>
      </c>
      <c r="H3917">
        <v>0</v>
      </c>
      <c r="I3917" s="140" t="s">
        <v>17</v>
      </c>
    </row>
    <row r="3918" spans="1:9" hidden="1" x14ac:dyDescent="0.25">
      <c r="A3918">
        <v>2004</v>
      </c>
      <c r="B3918" s="140" t="s">
        <v>372</v>
      </c>
      <c r="C3918" s="140" t="s">
        <v>243</v>
      </c>
      <c r="D3918" s="140" t="s">
        <v>11</v>
      </c>
      <c r="E3918" s="140" t="s">
        <v>52</v>
      </c>
      <c r="F3918">
        <v>8351</v>
      </c>
      <c r="G3918" s="140" t="s">
        <v>373</v>
      </c>
      <c r="H3918">
        <v>0</v>
      </c>
      <c r="I3918" s="140" t="s">
        <v>17</v>
      </c>
    </row>
    <row r="3919" spans="1:9" hidden="1" x14ac:dyDescent="0.25">
      <c r="A3919">
        <v>2005</v>
      </c>
      <c r="B3919" s="140" t="s">
        <v>372</v>
      </c>
      <c r="C3919" s="140" t="s">
        <v>243</v>
      </c>
      <c r="D3919" s="140" t="s">
        <v>11</v>
      </c>
      <c r="E3919" s="140" t="s">
        <v>52</v>
      </c>
      <c r="F3919">
        <v>7789</v>
      </c>
      <c r="G3919" s="140" t="s">
        <v>373</v>
      </c>
      <c r="H3919">
        <v>0</v>
      </c>
      <c r="I3919" s="140" t="s">
        <v>17</v>
      </c>
    </row>
    <row r="3920" spans="1:9" hidden="1" x14ac:dyDescent="0.25">
      <c r="A3920">
        <v>2006</v>
      </c>
      <c r="B3920" s="140" t="s">
        <v>372</v>
      </c>
      <c r="C3920" s="140" t="s">
        <v>243</v>
      </c>
      <c r="D3920" s="140" t="s">
        <v>11</v>
      </c>
      <c r="E3920" s="140" t="s">
        <v>52</v>
      </c>
      <c r="F3920">
        <v>8470</v>
      </c>
      <c r="G3920" s="140" t="s">
        <v>373</v>
      </c>
      <c r="H3920">
        <v>0</v>
      </c>
      <c r="I3920" s="140" t="s">
        <v>17</v>
      </c>
    </row>
    <row r="3921" spans="1:9" hidden="1" x14ac:dyDescent="0.25">
      <c r="A3921">
        <v>2007</v>
      </c>
      <c r="B3921" s="140" t="s">
        <v>372</v>
      </c>
      <c r="C3921" s="140" t="s">
        <v>243</v>
      </c>
      <c r="D3921" s="140" t="s">
        <v>11</v>
      </c>
      <c r="E3921" s="140" t="s">
        <v>52</v>
      </c>
      <c r="F3921">
        <v>10820</v>
      </c>
      <c r="G3921" s="140" t="s">
        <v>373</v>
      </c>
      <c r="H3921">
        <v>0</v>
      </c>
      <c r="I3921" s="140" t="s">
        <v>17</v>
      </c>
    </row>
    <row r="3922" spans="1:9" hidden="1" x14ac:dyDescent="0.25">
      <c r="A3922">
        <v>2008</v>
      </c>
      <c r="B3922" s="140" t="s">
        <v>372</v>
      </c>
      <c r="C3922" s="140" t="s">
        <v>243</v>
      </c>
      <c r="D3922" s="140" t="s">
        <v>11</v>
      </c>
      <c r="E3922" s="140" t="s">
        <v>52</v>
      </c>
      <c r="F3922">
        <v>11844</v>
      </c>
      <c r="G3922" s="140" t="s">
        <v>373</v>
      </c>
      <c r="H3922">
        <v>0</v>
      </c>
      <c r="I3922" s="140" t="s">
        <v>17</v>
      </c>
    </row>
    <row r="3923" spans="1:9" hidden="1" x14ac:dyDescent="0.25">
      <c r="A3923">
        <v>2009</v>
      </c>
      <c r="B3923" s="140" t="s">
        <v>372</v>
      </c>
      <c r="C3923" s="140" t="s">
        <v>243</v>
      </c>
      <c r="D3923" s="140" t="s">
        <v>11</v>
      </c>
      <c r="E3923" s="140" t="s">
        <v>52</v>
      </c>
      <c r="F3923">
        <v>8239</v>
      </c>
      <c r="G3923" s="140" t="s">
        <v>373</v>
      </c>
      <c r="H3923">
        <v>0</v>
      </c>
      <c r="I3923" s="140" t="s">
        <v>17</v>
      </c>
    </row>
    <row r="3924" spans="1:9" hidden="1" x14ac:dyDescent="0.25">
      <c r="A3924">
        <v>2010</v>
      </c>
      <c r="B3924" s="140" t="s">
        <v>372</v>
      </c>
      <c r="C3924" s="140" t="s">
        <v>243</v>
      </c>
      <c r="D3924" s="140" t="s">
        <v>11</v>
      </c>
      <c r="E3924" s="140" t="s">
        <v>52</v>
      </c>
      <c r="F3924">
        <v>8283</v>
      </c>
      <c r="G3924" s="140" t="s">
        <v>373</v>
      </c>
      <c r="H3924">
        <v>0</v>
      </c>
      <c r="I3924" s="140" t="s">
        <v>17</v>
      </c>
    </row>
    <row r="3925" spans="1:9" hidden="1" x14ac:dyDescent="0.25">
      <c r="A3925">
        <v>2011</v>
      </c>
      <c r="B3925" s="140" t="s">
        <v>372</v>
      </c>
      <c r="C3925" s="140" t="s">
        <v>243</v>
      </c>
      <c r="D3925" s="140" t="s">
        <v>11</v>
      </c>
      <c r="E3925" s="140" t="s">
        <v>52</v>
      </c>
      <c r="F3925">
        <v>9631</v>
      </c>
      <c r="G3925" s="140" t="s">
        <v>373</v>
      </c>
      <c r="H3925">
        <v>0</v>
      </c>
      <c r="I3925" s="140" t="s">
        <v>17</v>
      </c>
    </row>
    <row r="3926" spans="1:9" hidden="1" x14ac:dyDescent="0.25">
      <c r="A3926">
        <v>2012</v>
      </c>
      <c r="B3926" s="140" t="s">
        <v>372</v>
      </c>
      <c r="C3926" s="140" t="s">
        <v>243</v>
      </c>
      <c r="D3926" s="140" t="s">
        <v>11</v>
      </c>
      <c r="E3926" s="140" t="s">
        <v>52</v>
      </c>
      <c r="F3926">
        <v>8615</v>
      </c>
      <c r="G3926" s="140" t="s">
        <v>373</v>
      </c>
      <c r="H3926">
        <v>0</v>
      </c>
      <c r="I3926" s="140" t="s">
        <v>17</v>
      </c>
    </row>
    <row r="3927" spans="1:9" hidden="1" x14ac:dyDescent="0.25">
      <c r="A3927">
        <v>2013</v>
      </c>
      <c r="B3927" s="140" t="s">
        <v>372</v>
      </c>
      <c r="C3927" s="140" t="s">
        <v>243</v>
      </c>
      <c r="D3927" s="140" t="s">
        <v>11</v>
      </c>
      <c r="E3927" s="140" t="s">
        <v>52</v>
      </c>
      <c r="F3927">
        <v>8578</v>
      </c>
      <c r="G3927" s="140" t="s">
        <v>373</v>
      </c>
      <c r="H3927">
        <v>0</v>
      </c>
      <c r="I3927" s="140" t="s">
        <v>17</v>
      </c>
    </row>
    <row r="3928" spans="1:9" hidden="1" x14ac:dyDescent="0.25">
      <c r="A3928">
        <v>2014</v>
      </c>
      <c r="B3928" s="140" t="s">
        <v>372</v>
      </c>
      <c r="C3928" s="140" t="s">
        <v>243</v>
      </c>
      <c r="D3928" s="140" t="s">
        <v>11</v>
      </c>
      <c r="E3928" s="140" t="s">
        <v>52</v>
      </c>
      <c r="F3928">
        <v>8902</v>
      </c>
      <c r="G3928" s="140" t="s">
        <v>373</v>
      </c>
      <c r="H3928">
        <v>0</v>
      </c>
      <c r="I3928" s="140" t="s">
        <v>17</v>
      </c>
    </row>
    <row r="3929" spans="1:9" hidden="1" x14ac:dyDescent="0.25">
      <c r="A3929">
        <v>2015</v>
      </c>
      <c r="B3929" s="140" t="s">
        <v>372</v>
      </c>
      <c r="C3929" s="140" t="s">
        <v>243</v>
      </c>
      <c r="D3929" s="140" t="s">
        <v>11</v>
      </c>
      <c r="E3929" s="140" t="s">
        <v>52</v>
      </c>
      <c r="F3929">
        <v>8826</v>
      </c>
      <c r="G3929" s="140" t="s">
        <v>373</v>
      </c>
      <c r="H3929">
        <v>0</v>
      </c>
      <c r="I3929" s="140" t="s">
        <v>17</v>
      </c>
    </row>
    <row r="3930" spans="1:9" hidden="1" x14ac:dyDescent="0.25">
      <c r="A3930">
        <v>2016</v>
      </c>
      <c r="B3930" s="140" t="s">
        <v>372</v>
      </c>
      <c r="C3930" s="140" t="s">
        <v>243</v>
      </c>
      <c r="D3930" s="140" t="s">
        <v>11</v>
      </c>
      <c r="E3930" s="140" t="s">
        <v>52</v>
      </c>
      <c r="F3930">
        <v>8708</v>
      </c>
      <c r="G3930" s="140" t="s">
        <v>373</v>
      </c>
      <c r="H3930">
        <v>0</v>
      </c>
      <c r="I3930" s="140" t="s">
        <v>17</v>
      </c>
    </row>
    <row r="3931" spans="1:9" hidden="1" x14ac:dyDescent="0.25">
      <c r="A3931">
        <v>2017</v>
      </c>
      <c r="B3931" s="140" t="s">
        <v>372</v>
      </c>
      <c r="C3931" s="140" t="s">
        <v>243</v>
      </c>
      <c r="D3931" s="140" t="s">
        <v>11</v>
      </c>
      <c r="E3931" s="140" t="s">
        <v>52</v>
      </c>
      <c r="F3931">
        <v>8924</v>
      </c>
      <c r="G3931" s="140" t="s">
        <v>373</v>
      </c>
      <c r="H3931">
        <v>0</v>
      </c>
      <c r="I3931" s="140" t="s">
        <v>17</v>
      </c>
    </row>
    <row r="3932" spans="1:9" hidden="1" x14ac:dyDescent="0.25">
      <c r="A3932">
        <v>2018</v>
      </c>
      <c r="B3932" s="140" t="s">
        <v>372</v>
      </c>
      <c r="C3932" s="140" t="s">
        <v>243</v>
      </c>
      <c r="D3932" s="140" t="s">
        <v>11</v>
      </c>
      <c r="E3932" s="140" t="s">
        <v>52</v>
      </c>
      <c r="F3932">
        <v>9008</v>
      </c>
      <c r="G3932" s="140" t="s">
        <v>373</v>
      </c>
      <c r="H3932">
        <v>0</v>
      </c>
      <c r="I3932" s="140" t="s">
        <v>17</v>
      </c>
    </row>
    <row r="3933" spans="1:9" hidden="1" x14ac:dyDescent="0.25">
      <c r="A3933">
        <v>2019</v>
      </c>
      <c r="B3933" s="140" t="s">
        <v>372</v>
      </c>
      <c r="C3933" s="140" t="s">
        <v>243</v>
      </c>
      <c r="D3933" s="140" t="s">
        <v>11</v>
      </c>
      <c r="E3933" s="140" t="s">
        <v>52</v>
      </c>
      <c r="F3933">
        <v>9532</v>
      </c>
      <c r="G3933" s="140" t="s">
        <v>373</v>
      </c>
      <c r="H3933">
        <v>0</v>
      </c>
      <c r="I3933" s="140" t="s">
        <v>17</v>
      </c>
    </row>
    <row r="3934" spans="1:9" hidden="1" x14ac:dyDescent="0.25">
      <c r="A3934">
        <v>2020</v>
      </c>
      <c r="B3934" s="140" t="s">
        <v>372</v>
      </c>
      <c r="C3934" s="140" t="s">
        <v>243</v>
      </c>
      <c r="D3934" s="140" t="s">
        <v>11</v>
      </c>
      <c r="E3934" s="140" t="s">
        <v>52</v>
      </c>
      <c r="F3934">
        <v>8553</v>
      </c>
      <c r="G3934" s="140" t="s">
        <v>373</v>
      </c>
      <c r="H3934">
        <v>0</v>
      </c>
      <c r="I3934" s="140" t="s">
        <v>17</v>
      </c>
    </row>
    <row r="3935" spans="1:9" hidden="1" x14ac:dyDescent="0.25">
      <c r="A3935">
        <v>2021</v>
      </c>
      <c r="B3935" s="140" t="s">
        <v>372</v>
      </c>
      <c r="C3935" s="140" t="s">
        <v>243</v>
      </c>
      <c r="D3935" s="140" t="s">
        <v>11</v>
      </c>
      <c r="E3935" s="140" t="s">
        <v>52</v>
      </c>
      <c r="F3935">
        <v>9581</v>
      </c>
      <c r="G3935" s="140" t="s">
        <v>373</v>
      </c>
      <c r="H3935">
        <v>0</v>
      </c>
      <c r="I3935" s="140" t="s">
        <v>17</v>
      </c>
    </row>
    <row r="3936" spans="1:9" hidden="1" x14ac:dyDescent="0.25">
      <c r="A3936">
        <v>2022</v>
      </c>
      <c r="B3936" s="140" t="s">
        <v>372</v>
      </c>
      <c r="C3936" s="140" t="s">
        <v>243</v>
      </c>
      <c r="D3936" s="140" t="s">
        <v>11</v>
      </c>
      <c r="E3936" s="140" t="s">
        <v>52</v>
      </c>
      <c r="F3936">
        <v>11205</v>
      </c>
      <c r="G3936" s="140" t="s">
        <v>373</v>
      </c>
      <c r="H3936">
        <v>0</v>
      </c>
      <c r="I3936" s="140" t="s">
        <v>17</v>
      </c>
    </row>
    <row r="3937" spans="1:9" hidden="1" x14ac:dyDescent="0.25">
      <c r="A3937">
        <v>2023</v>
      </c>
      <c r="B3937" s="140" t="s">
        <v>372</v>
      </c>
      <c r="C3937" s="140" t="s">
        <v>243</v>
      </c>
      <c r="D3937" s="140" t="s">
        <v>11</v>
      </c>
      <c r="E3937" s="140" t="s">
        <v>52</v>
      </c>
      <c r="F3937">
        <v>15190</v>
      </c>
      <c r="G3937" s="140" t="s">
        <v>373</v>
      </c>
      <c r="H3937">
        <v>0</v>
      </c>
      <c r="I3937" s="140" t="s">
        <v>17</v>
      </c>
    </row>
    <row r="3938" spans="1:9" hidden="1" x14ac:dyDescent="0.25">
      <c r="A3938">
        <v>2024</v>
      </c>
      <c r="B3938" s="140" t="s">
        <v>372</v>
      </c>
      <c r="C3938" s="140" t="s">
        <v>243</v>
      </c>
      <c r="D3938" s="140" t="s">
        <v>11</v>
      </c>
      <c r="E3938" s="140" t="s">
        <v>52</v>
      </c>
      <c r="F3938">
        <v>16068</v>
      </c>
      <c r="G3938" s="140" t="s">
        <v>373</v>
      </c>
      <c r="H3938">
        <v>0</v>
      </c>
      <c r="I3938" s="140" t="s">
        <v>17</v>
      </c>
    </row>
    <row r="3939" spans="1:9" hidden="1" x14ac:dyDescent="0.25">
      <c r="A3939">
        <v>2025</v>
      </c>
      <c r="B3939" s="140" t="s">
        <v>372</v>
      </c>
      <c r="C3939" s="140" t="s">
        <v>243</v>
      </c>
      <c r="D3939" s="140" t="s">
        <v>11</v>
      </c>
      <c r="E3939" s="140" t="s">
        <v>52</v>
      </c>
      <c r="F3939">
        <v>15233</v>
      </c>
      <c r="G3939" s="140" t="s">
        <v>373</v>
      </c>
      <c r="H3939">
        <v>0</v>
      </c>
      <c r="I3939" s="140" t="s">
        <v>17</v>
      </c>
    </row>
    <row r="3940" spans="1:9" hidden="1" x14ac:dyDescent="0.25">
      <c r="A3940">
        <v>2026</v>
      </c>
      <c r="B3940" s="140" t="s">
        <v>372</v>
      </c>
      <c r="C3940" s="140" t="s">
        <v>243</v>
      </c>
      <c r="D3940" s="140" t="s">
        <v>11</v>
      </c>
      <c r="E3940" s="140" t="s">
        <v>52</v>
      </c>
      <c r="F3940">
        <v>15163.42</v>
      </c>
      <c r="G3940" s="140" t="s">
        <v>373</v>
      </c>
      <c r="H3940">
        <v>0</v>
      </c>
      <c r="I3940" s="140" t="s">
        <v>17</v>
      </c>
    </row>
    <row r="3941" spans="1:9" hidden="1" x14ac:dyDescent="0.25">
      <c r="A3941">
        <v>2027</v>
      </c>
      <c r="B3941" s="140" t="s">
        <v>372</v>
      </c>
      <c r="C3941" s="140" t="s">
        <v>243</v>
      </c>
      <c r="D3941" s="140" t="s">
        <v>11</v>
      </c>
      <c r="E3941" s="140" t="s">
        <v>52</v>
      </c>
      <c r="F3941">
        <v>15361.789500000001</v>
      </c>
      <c r="G3941" s="140" t="s">
        <v>373</v>
      </c>
      <c r="H3941">
        <v>0</v>
      </c>
      <c r="I3941" s="140" t="s">
        <v>17</v>
      </c>
    </row>
    <row r="3942" spans="1:9" hidden="1" x14ac:dyDescent="0.25">
      <c r="A3942">
        <v>2028</v>
      </c>
      <c r="B3942" s="140" t="s">
        <v>372</v>
      </c>
      <c r="C3942" s="140" t="s">
        <v>243</v>
      </c>
      <c r="D3942" s="140" t="s">
        <v>11</v>
      </c>
      <c r="E3942" s="140" t="s">
        <v>52</v>
      </c>
      <c r="F3942">
        <v>15631.50981</v>
      </c>
      <c r="G3942" s="140" t="s">
        <v>373</v>
      </c>
      <c r="H3942">
        <v>0</v>
      </c>
      <c r="I3942" s="140" t="s">
        <v>17</v>
      </c>
    </row>
    <row r="3943" spans="1:9" hidden="1" x14ac:dyDescent="0.25">
      <c r="A3943">
        <v>1990</v>
      </c>
      <c r="B3943" s="140" t="s">
        <v>374</v>
      </c>
      <c r="C3943" s="140" t="s">
        <v>243</v>
      </c>
      <c r="D3943" s="140" t="s">
        <v>11</v>
      </c>
      <c r="E3943" s="140" t="s">
        <v>52</v>
      </c>
      <c r="F3943">
        <v>3917</v>
      </c>
      <c r="G3943" s="140" t="s">
        <v>375</v>
      </c>
      <c r="H3943">
        <v>0</v>
      </c>
      <c r="I3943" s="140" t="s">
        <v>17</v>
      </c>
    </row>
    <row r="3944" spans="1:9" hidden="1" x14ac:dyDescent="0.25">
      <c r="A3944">
        <v>1991</v>
      </c>
      <c r="B3944" s="140" t="s">
        <v>374</v>
      </c>
      <c r="C3944" s="140" t="s">
        <v>243</v>
      </c>
      <c r="D3944" s="140" t="s">
        <v>11</v>
      </c>
      <c r="E3944" s="140" t="s">
        <v>52</v>
      </c>
      <c r="F3944">
        <v>4140</v>
      </c>
      <c r="G3944" s="140" t="s">
        <v>375</v>
      </c>
      <c r="H3944">
        <v>0</v>
      </c>
      <c r="I3944" s="140" t="s">
        <v>17</v>
      </c>
    </row>
    <row r="3945" spans="1:9" hidden="1" x14ac:dyDescent="0.25">
      <c r="A3945">
        <v>1992</v>
      </c>
      <c r="B3945" s="140" t="s">
        <v>374</v>
      </c>
      <c r="C3945" s="140" t="s">
        <v>243</v>
      </c>
      <c r="D3945" s="140" t="s">
        <v>11</v>
      </c>
      <c r="E3945" s="140" t="s">
        <v>52</v>
      </c>
      <c r="F3945">
        <v>4559</v>
      </c>
      <c r="G3945" s="140" t="s">
        <v>375</v>
      </c>
      <c r="H3945">
        <v>0</v>
      </c>
      <c r="I3945" s="140" t="s">
        <v>17</v>
      </c>
    </row>
    <row r="3946" spans="1:9" hidden="1" x14ac:dyDescent="0.25">
      <c r="A3946">
        <v>1993</v>
      </c>
      <c r="B3946" s="140" t="s">
        <v>374</v>
      </c>
      <c r="C3946" s="140" t="s">
        <v>243</v>
      </c>
      <c r="D3946" s="140" t="s">
        <v>11</v>
      </c>
      <c r="E3946" s="140" t="s">
        <v>52</v>
      </c>
      <c r="F3946">
        <v>3161</v>
      </c>
      <c r="G3946" s="140" t="s">
        <v>375</v>
      </c>
      <c r="H3946">
        <v>0</v>
      </c>
      <c r="I3946" s="140" t="s">
        <v>17</v>
      </c>
    </row>
    <row r="3947" spans="1:9" hidden="1" x14ac:dyDescent="0.25">
      <c r="A3947">
        <v>1994</v>
      </c>
      <c r="B3947" s="140" t="s">
        <v>374</v>
      </c>
      <c r="C3947" s="140" t="s">
        <v>243</v>
      </c>
      <c r="D3947" s="140" t="s">
        <v>11</v>
      </c>
      <c r="E3947" s="140" t="s">
        <v>52</v>
      </c>
      <c r="F3947">
        <v>2037</v>
      </c>
      <c r="G3947" s="140" t="s">
        <v>375</v>
      </c>
      <c r="H3947">
        <v>0</v>
      </c>
      <c r="I3947" s="140" t="s">
        <v>17</v>
      </c>
    </row>
    <row r="3948" spans="1:9" hidden="1" x14ac:dyDescent="0.25">
      <c r="A3948">
        <v>1995</v>
      </c>
      <c r="B3948" s="140" t="s">
        <v>374</v>
      </c>
      <c r="C3948" s="140" t="s">
        <v>243</v>
      </c>
      <c r="D3948" s="140" t="s">
        <v>11</v>
      </c>
      <c r="E3948" s="140" t="s">
        <v>52</v>
      </c>
      <c r="F3948">
        <v>2372</v>
      </c>
      <c r="G3948" s="140" t="s">
        <v>375</v>
      </c>
      <c r="H3948">
        <v>0</v>
      </c>
      <c r="I3948" s="140" t="s">
        <v>17</v>
      </c>
    </row>
    <row r="3949" spans="1:9" hidden="1" x14ac:dyDescent="0.25">
      <c r="A3949">
        <v>1996</v>
      </c>
      <c r="B3949" s="140" t="s">
        <v>374</v>
      </c>
      <c r="C3949" s="140" t="s">
        <v>243</v>
      </c>
      <c r="D3949" s="140" t="s">
        <v>11</v>
      </c>
      <c r="E3949" s="140" t="s">
        <v>52</v>
      </c>
      <c r="F3949">
        <v>1723</v>
      </c>
      <c r="G3949" s="140" t="s">
        <v>375</v>
      </c>
      <c r="H3949">
        <v>0</v>
      </c>
      <c r="I3949" s="140" t="s">
        <v>17</v>
      </c>
    </row>
    <row r="3950" spans="1:9" hidden="1" x14ac:dyDescent="0.25">
      <c r="A3950">
        <v>1997</v>
      </c>
      <c r="B3950" s="140" t="s">
        <v>374</v>
      </c>
      <c r="C3950" s="140" t="s">
        <v>243</v>
      </c>
      <c r="D3950" s="140" t="s">
        <v>11</v>
      </c>
      <c r="E3950" s="140" t="s">
        <v>52</v>
      </c>
      <c r="F3950">
        <v>1488</v>
      </c>
      <c r="G3950" s="140" t="s">
        <v>375</v>
      </c>
      <c r="H3950">
        <v>0</v>
      </c>
      <c r="I3950" s="140" t="s">
        <v>17</v>
      </c>
    </row>
    <row r="3951" spans="1:9" hidden="1" x14ac:dyDescent="0.25">
      <c r="A3951">
        <v>1998</v>
      </c>
      <c r="B3951" s="140" t="s">
        <v>374</v>
      </c>
      <c r="C3951" s="140" t="s">
        <v>243</v>
      </c>
      <c r="D3951" s="140" t="s">
        <v>11</v>
      </c>
      <c r="E3951" s="140" t="s">
        <v>52</v>
      </c>
      <c r="F3951">
        <v>1572</v>
      </c>
      <c r="G3951" s="140" t="s">
        <v>375</v>
      </c>
      <c r="H3951">
        <v>0</v>
      </c>
      <c r="I3951" s="140" t="s">
        <v>17</v>
      </c>
    </row>
    <row r="3952" spans="1:9" hidden="1" x14ac:dyDescent="0.25">
      <c r="A3952">
        <v>1999</v>
      </c>
      <c r="B3952" s="140" t="s">
        <v>374</v>
      </c>
      <c r="C3952" s="140" t="s">
        <v>243</v>
      </c>
      <c r="D3952" s="140" t="s">
        <v>11</v>
      </c>
      <c r="E3952" s="140" t="s">
        <v>52</v>
      </c>
      <c r="F3952">
        <v>1481</v>
      </c>
      <c r="G3952" s="140" t="s">
        <v>375</v>
      </c>
      <c r="H3952">
        <v>0</v>
      </c>
      <c r="I3952" s="140" t="s">
        <v>17</v>
      </c>
    </row>
    <row r="3953" spans="1:9" hidden="1" x14ac:dyDescent="0.25">
      <c r="A3953">
        <v>2000</v>
      </c>
      <c r="B3953" s="140" t="s">
        <v>374</v>
      </c>
      <c r="C3953" s="140" t="s">
        <v>243</v>
      </c>
      <c r="D3953" s="140" t="s">
        <v>11</v>
      </c>
      <c r="E3953" s="140" t="s">
        <v>52</v>
      </c>
      <c r="F3953">
        <v>1797</v>
      </c>
      <c r="G3953" s="140" t="s">
        <v>375</v>
      </c>
      <c r="H3953">
        <v>0</v>
      </c>
      <c r="I3953" s="140" t="s">
        <v>17</v>
      </c>
    </row>
    <row r="3954" spans="1:9" hidden="1" x14ac:dyDescent="0.25">
      <c r="A3954">
        <v>2001</v>
      </c>
      <c r="B3954" s="140" t="s">
        <v>374</v>
      </c>
      <c r="C3954" s="140" t="s">
        <v>243</v>
      </c>
      <c r="D3954" s="140" t="s">
        <v>11</v>
      </c>
      <c r="E3954" s="140" t="s">
        <v>52</v>
      </c>
      <c r="F3954">
        <v>2083</v>
      </c>
      <c r="G3954" s="140" t="s">
        <v>375</v>
      </c>
      <c r="H3954">
        <v>0</v>
      </c>
      <c r="I3954" s="140" t="s">
        <v>17</v>
      </c>
    </row>
    <row r="3955" spans="1:9" hidden="1" x14ac:dyDescent="0.25">
      <c r="A3955">
        <v>2002</v>
      </c>
      <c r="B3955" s="140" t="s">
        <v>374</v>
      </c>
      <c r="C3955" s="140" t="s">
        <v>243</v>
      </c>
      <c r="D3955" s="140" t="s">
        <v>11</v>
      </c>
      <c r="E3955" s="140" t="s">
        <v>52</v>
      </c>
      <c r="F3955">
        <v>1767</v>
      </c>
      <c r="G3955" s="140" t="s">
        <v>375</v>
      </c>
      <c r="H3955">
        <v>0</v>
      </c>
      <c r="I3955" s="140" t="s">
        <v>17</v>
      </c>
    </row>
    <row r="3956" spans="1:9" hidden="1" x14ac:dyDescent="0.25">
      <c r="A3956">
        <v>2003</v>
      </c>
      <c r="B3956" s="140" t="s">
        <v>374</v>
      </c>
      <c r="C3956" s="140" t="s">
        <v>243</v>
      </c>
      <c r="D3956" s="140" t="s">
        <v>11</v>
      </c>
      <c r="E3956" s="140" t="s">
        <v>52</v>
      </c>
      <c r="F3956">
        <v>1483</v>
      </c>
      <c r="G3956" s="140" t="s">
        <v>375</v>
      </c>
      <c r="H3956">
        <v>0</v>
      </c>
      <c r="I3956" s="140" t="s">
        <v>17</v>
      </c>
    </row>
    <row r="3957" spans="1:9" hidden="1" x14ac:dyDescent="0.25">
      <c r="A3957">
        <v>2004</v>
      </c>
      <c r="B3957" s="140" t="s">
        <v>374</v>
      </c>
      <c r="C3957" s="140" t="s">
        <v>243</v>
      </c>
      <c r="D3957" s="140" t="s">
        <v>11</v>
      </c>
      <c r="E3957" s="140" t="s">
        <v>52</v>
      </c>
      <c r="F3957">
        <v>1371</v>
      </c>
      <c r="G3957" s="140" t="s">
        <v>375</v>
      </c>
      <c r="H3957">
        <v>0</v>
      </c>
      <c r="I3957" s="140" t="s">
        <v>17</v>
      </c>
    </row>
    <row r="3958" spans="1:9" hidden="1" x14ac:dyDescent="0.25">
      <c r="A3958">
        <v>2005</v>
      </c>
      <c r="B3958" s="140" t="s">
        <v>374</v>
      </c>
      <c r="C3958" s="140" t="s">
        <v>243</v>
      </c>
      <c r="D3958" s="140" t="s">
        <v>11</v>
      </c>
      <c r="E3958" s="140" t="s">
        <v>52</v>
      </c>
      <c r="F3958">
        <v>1460</v>
      </c>
      <c r="G3958" s="140" t="s">
        <v>375</v>
      </c>
      <c r="H3958">
        <v>0</v>
      </c>
      <c r="I3958" s="140" t="s">
        <v>17</v>
      </c>
    </row>
    <row r="3959" spans="1:9" hidden="1" x14ac:dyDescent="0.25">
      <c r="A3959">
        <v>2006</v>
      </c>
      <c r="B3959" s="140" t="s">
        <v>374</v>
      </c>
      <c r="C3959" s="140" t="s">
        <v>243</v>
      </c>
      <c r="D3959" s="140" t="s">
        <v>11</v>
      </c>
      <c r="E3959" s="140" t="s">
        <v>52</v>
      </c>
      <c r="F3959">
        <v>1996</v>
      </c>
      <c r="G3959" s="140" t="s">
        <v>375</v>
      </c>
      <c r="H3959">
        <v>0</v>
      </c>
      <c r="I3959" s="140" t="s">
        <v>17</v>
      </c>
    </row>
    <row r="3960" spans="1:9" hidden="1" x14ac:dyDescent="0.25">
      <c r="A3960">
        <v>2007</v>
      </c>
      <c r="B3960" s="140" t="s">
        <v>374</v>
      </c>
      <c r="C3960" s="140" t="s">
        <v>243</v>
      </c>
      <c r="D3960" s="140" t="s">
        <v>11</v>
      </c>
      <c r="E3960" s="140" t="s">
        <v>52</v>
      </c>
      <c r="F3960">
        <v>2904</v>
      </c>
      <c r="G3960" s="140" t="s">
        <v>375</v>
      </c>
      <c r="H3960">
        <v>0</v>
      </c>
      <c r="I3960" s="140" t="s">
        <v>17</v>
      </c>
    </row>
    <row r="3961" spans="1:9" hidden="1" x14ac:dyDescent="0.25">
      <c r="A3961">
        <v>2008</v>
      </c>
      <c r="B3961" s="140" t="s">
        <v>374</v>
      </c>
      <c r="C3961" s="140" t="s">
        <v>243</v>
      </c>
      <c r="D3961" s="140" t="s">
        <v>11</v>
      </c>
      <c r="E3961" s="140" t="s">
        <v>52</v>
      </c>
      <c r="F3961">
        <v>4021</v>
      </c>
      <c r="G3961" s="140" t="s">
        <v>375</v>
      </c>
      <c r="H3961">
        <v>0</v>
      </c>
      <c r="I3961" s="140" t="s">
        <v>17</v>
      </c>
    </row>
    <row r="3962" spans="1:9" hidden="1" x14ac:dyDescent="0.25">
      <c r="A3962">
        <v>2009</v>
      </c>
      <c r="B3962" s="140" t="s">
        <v>374</v>
      </c>
      <c r="C3962" s="140" t="s">
        <v>243</v>
      </c>
      <c r="D3962" s="140" t="s">
        <v>11</v>
      </c>
      <c r="E3962" s="140" t="s">
        <v>52</v>
      </c>
      <c r="F3962">
        <v>1954</v>
      </c>
      <c r="G3962" s="140" t="s">
        <v>375</v>
      </c>
      <c r="H3962">
        <v>0</v>
      </c>
      <c r="I3962" s="140" t="s">
        <v>17</v>
      </c>
    </row>
    <row r="3963" spans="1:9" hidden="1" x14ac:dyDescent="0.25">
      <c r="A3963">
        <v>2010</v>
      </c>
      <c r="B3963" s="140" t="s">
        <v>374</v>
      </c>
      <c r="C3963" s="140" t="s">
        <v>243</v>
      </c>
      <c r="D3963" s="140" t="s">
        <v>11</v>
      </c>
      <c r="E3963" s="140" t="s">
        <v>52</v>
      </c>
      <c r="F3963">
        <v>1335</v>
      </c>
      <c r="G3963" s="140" t="s">
        <v>375</v>
      </c>
      <c r="H3963">
        <v>0</v>
      </c>
      <c r="I3963" s="140" t="s">
        <v>17</v>
      </c>
    </row>
    <row r="3964" spans="1:9" hidden="1" x14ac:dyDescent="0.25">
      <c r="A3964">
        <v>2011</v>
      </c>
      <c r="B3964" s="140" t="s">
        <v>374</v>
      </c>
      <c r="C3964" s="140" t="s">
        <v>243</v>
      </c>
      <c r="D3964" s="140" t="s">
        <v>11</v>
      </c>
      <c r="E3964" s="140" t="s">
        <v>52</v>
      </c>
      <c r="F3964">
        <v>1917</v>
      </c>
      <c r="G3964" s="140" t="s">
        <v>375</v>
      </c>
      <c r="H3964">
        <v>0</v>
      </c>
      <c r="I3964" s="140" t="s">
        <v>17</v>
      </c>
    </row>
    <row r="3965" spans="1:9" hidden="1" x14ac:dyDescent="0.25">
      <c r="A3965">
        <v>2012</v>
      </c>
      <c r="B3965" s="140" t="s">
        <v>374</v>
      </c>
      <c r="C3965" s="140" t="s">
        <v>243</v>
      </c>
      <c r="D3965" s="140" t="s">
        <v>11</v>
      </c>
      <c r="E3965" s="140" t="s">
        <v>52</v>
      </c>
      <c r="F3965">
        <v>1664</v>
      </c>
      <c r="G3965" s="140" t="s">
        <v>375</v>
      </c>
      <c r="H3965">
        <v>0</v>
      </c>
      <c r="I3965" s="140" t="s">
        <v>17</v>
      </c>
    </row>
    <row r="3966" spans="1:9" hidden="1" x14ac:dyDescent="0.25">
      <c r="A3966">
        <v>2013</v>
      </c>
      <c r="B3966" s="140" t="s">
        <v>374</v>
      </c>
      <c r="C3966" s="140" t="s">
        <v>243</v>
      </c>
      <c r="D3966" s="140" t="s">
        <v>11</v>
      </c>
      <c r="E3966" s="140" t="s">
        <v>52</v>
      </c>
      <c r="F3966">
        <v>1124</v>
      </c>
      <c r="G3966" s="140" t="s">
        <v>375</v>
      </c>
      <c r="H3966">
        <v>0</v>
      </c>
      <c r="I3966" s="140" t="s">
        <v>17</v>
      </c>
    </row>
    <row r="3967" spans="1:9" hidden="1" x14ac:dyDescent="0.25">
      <c r="A3967">
        <v>2014</v>
      </c>
      <c r="B3967" s="140" t="s">
        <v>374</v>
      </c>
      <c r="C3967" s="140" t="s">
        <v>243</v>
      </c>
      <c r="D3967" s="140" t="s">
        <v>11</v>
      </c>
      <c r="E3967" s="140" t="s">
        <v>52</v>
      </c>
      <c r="F3967">
        <v>998</v>
      </c>
      <c r="G3967" s="140" t="s">
        <v>375</v>
      </c>
      <c r="H3967">
        <v>0</v>
      </c>
      <c r="I3967" s="140" t="s">
        <v>17</v>
      </c>
    </row>
    <row r="3968" spans="1:9" hidden="1" x14ac:dyDescent="0.25">
      <c r="A3968">
        <v>2015</v>
      </c>
      <c r="B3968" s="140" t="s">
        <v>374</v>
      </c>
      <c r="C3968" s="140" t="s">
        <v>243</v>
      </c>
      <c r="D3968" s="140" t="s">
        <v>11</v>
      </c>
      <c r="E3968" s="140" t="s">
        <v>52</v>
      </c>
      <c r="F3968">
        <v>771</v>
      </c>
      <c r="G3968" s="140" t="s">
        <v>375</v>
      </c>
      <c r="H3968">
        <v>0</v>
      </c>
      <c r="I3968" s="140" t="s">
        <v>17</v>
      </c>
    </row>
    <row r="3969" spans="1:9" hidden="1" x14ac:dyDescent="0.25">
      <c r="A3969">
        <v>2016</v>
      </c>
      <c r="B3969" s="140" t="s">
        <v>374</v>
      </c>
      <c r="C3969" s="140" t="s">
        <v>243</v>
      </c>
      <c r="D3969" s="140" t="s">
        <v>11</v>
      </c>
      <c r="E3969" s="140" t="s">
        <v>52</v>
      </c>
      <c r="F3969">
        <v>643</v>
      </c>
      <c r="G3969" s="140" t="s">
        <v>375</v>
      </c>
      <c r="H3969">
        <v>0</v>
      </c>
      <c r="I3969" s="140" t="s">
        <v>17</v>
      </c>
    </row>
    <row r="3970" spans="1:9" hidden="1" x14ac:dyDescent="0.25">
      <c r="A3970">
        <v>2017</v>
      </c>
      <c r="B3970" s="140" t="s">
        <v>374</v>
      </c>
      <c r="C3970" s="140" t="s">
        <v>243</v>
      </c>
      <c r="D3970" s="140" t="s">
        <v>11</v>
      </c>
      <c r="E3970" s="140" t="s">
        <v>52</v>
      </c>
      <c r="F3970">
        <v>640</v>
      </c>
      <c r="G3970" s="140" t="s">
        <v>375</v>
      </c>
      <c r="H3970">
        <v>0</v>
      </c>
      <c r="I3970" s="140" t="s">
        <v>17</v>
      </c>
    </row>
    <row r="3971" spans="1:9" hidden="1" x14ac:dyDescent="0.25">
      <c r="A3971">
        <v>2018</v>
      </c>
      <c r="B3971" s="140" t="s">
        <v>374</v>
      </c>
      <c r="C3971" s="140" t="s">
        <v>243</v>
      </c>
      <c r="D3971" s="140" t="s">
        <v>11</v>
      </c>
      <c r="E3971" s="140" t="s">
        <v>52</v>
      </c>
      <c r="F3971">
        <v>606</v>
      </c>
      <c r="G3971" s="140" t="s">
        <v>375</v>
      </c>
      <c r="H3971">
        <v>0</v>
      </c>
      <c r="I3971" s="140" t="s">
        <v>17</v>
      </c>
    </row>
    <row r="3972" spans="1:9" hidden="1" x14ac:dyDescent="0.25">
      <c r="A3972">
        <v>2019</v>
      </c>
      <c r="B3972" s="140" t="s">
        <v>374</v>
      </c>
      <c r="C3972" s="140" t="s">
        <v>243</v>
      </c>
      <c r="D3972" s="140" t="s">
        <v>11</v>
      </c>
      <c r="E3972" s="140" t="s">
        <v>52</v>
      </c>
      <c r="F3972">
        <v>514</v>
      </c>
      <c r="G3972" s="140" t="s">
        <v>375</v>
      </c>
      <c r="H3972">
        <v>0</v>
      </c>
      <c r="I3972" s="140" t="s">
        <v>17</v>
      </c>
    </row>
    <row r="3973" spans="1:9" hidden="1" x14ac:dyDescent="0.25">
      <c r="A3973">
        <v>2020</v>
      </c>
      <c r="B3973" s="140" t="s">
        <v>374</v>
      </c>
      <c r="C3973" s="140" t="s">
        <v>243</v>
      </c>
      <c r="D3973" s="140" t="s">
        <v>11</v>
      </c>
      <c r="E3973" s="140" t="s">
        <v>52</v>
      </c>
      <c r="F3973">
        <v>431</v>
      </c>
      <c r="G3973" s="140" t="s">
        <v>375</v>
      </c>
      <c r="H3973">
        <v>0</v>
      </c>
      <c r="I3973" s="140" t="s">
        <v>17</v>
      </c>
    </row>
    <row r="3974" spans="1:9" hidden="1" x14ac:dyDescent="0.25">
      <c r="A3974">
        <v>2021</v>
      </c>
      <c r="B3974" s="140" t="s">
        <v>374</v>
      </c>
      <c r="C3974" s="140" t="s">
        <v>243</v>
      </c>
      <c r="D3974" s="140" t="s">
        <v>11</v>
      </c>
      <c r="E3974" s="140" t="s">
        <v>52</v>
      </c>
      <c r="F3974">
        <v>319</v>
      </c>
      <c r="G3974" s="140" t="s">
        <v>375</v>
      </c>
      <c r="H3974">
        <v>0</v>
      </c>
      <c r="I3974" s="140" t="s">
        <v>17</v>
      </c>
    </row>
    <row r="3975" spans="1:9" hidden="1" x14ac:dyDescent="0.25">
      <c r="A3975">
        <v>2022</v>
      </c>
      <c r="B3975" s="140" t="s">
        <v>374</v>
      </c>
      <c r="C3975" s="140" t="s">
        <v>243</v>
      </c>
      <c r="D3975" s="140" t="s">
        <v>11</v>
      </c>
      <c r="E3975" s="140" t="s">
        <v>52</v>
      </c>
      <c r="F3975">
        <v>678</v>
      </c>
      <c r="G3975" s="140" t="s">
        <v>375</v>
      </c>
      <c r="H3975">
        <v>0</v>
      </c>
      <c r="I3975" s="140" t="s">
        <v>17</v>
      </c>
    </row>
    <row r="3976" spans="1:9" hidden="1" x14ac:dyDescent="0.25">
      <c r="A3976">
        <v>2023</v>
      </c>
      <c r="B3976" s="140" t="s">
        <v>374</v>
      </c>
      <c r="C3976" s="140" t="s">
        <v>243</v>
      </c>
      <c r="D3976" s="140" t="s">
        <v>11</v>
      </c>
      <c r="E3976" s="140" t="s">
        <v>52</v>
      </c>
      <c r="F3976">
        <v>3759</v>
      </c>
      <c r="G3976" s="140" t="s">
        <v>375</v>
      </c>
      <c r="H3976">
        <v>0</v>
      </c>
      <c r="I3976" s="140" t="s">
        <v>17</v>
      </c>
    </row>
    <row r="3977" spans="1:9" hidden="1" x14ac:dyDescent="0.25">
      <c r="A3977">
        <v>2024</v>
      </c>
      <c r="B3977" s="140" t="s">
        <v>374</v>
      </c>
      <c r="C3977" s="140" t="s">
        <v>243</v>
      </c>
      <c r="D3977" s="140" t="s">
        <v>11</v>
      </c>
      <c r="E3977" s="140" t="s">
        <v>52</v>
      </c>
      <c r="F3977">
        <v>4648</v>
      </c>
      <c r="G3977" s="140" t="s">
        <v>375</v>
      </c>
      <c r="H3977">
        <v>0</v>
      </c>
      <c r="I3977" s="140" t="s">
        <v>17</v>
      </c>
    </row>
    <row r="3978" spans="1:9" hidden="1" x14ac:dyDescent="0.25">
      <c r="A3978">
        <v>2025</v>
      </c>
      <c r="B3978" s="140" t="s">
        <v>374</v>
      </c>
      <c r="C3978" s="140" t="s">
        <v>243</v>
      </c>
      <c r="D3978" s="140" t="s">
        <v>11</v>
      </c>
      <c r="E3978" s="140" t="s">
        <v>52</v>
      </c>
      <c r="F3978">
        <v>3393</v>
      </c>
      <c r="G3978" s="140" t="s">
        <v>375</v>
      </c>
      <c r="H3978">
        <v>0</v>
      </c>
      <c r="I3978" s="140" t="s">
        <v>17</v>
      </c>
    </row>
    <row r="3979" spans="1:9" hidden="1" x14ac:dyDescent="0.25">
      <c r="A3979">
        <v>2026</v>
      </c>
      <c r="B3979" s="140" t="s">
        <v>374</v>
      </c>
      <c r="C3979" s="140" t="s">
        <v>243</v>
      </c>
      <c r="D3979" s="140" t="s">
        <v>11</v>
      </c>
      <c r="E3979" s="140" t="s">
        <v>52</v>
      </c>
      <c r="F3979">
        <v>3223.35</v>
      </c>
      <c r="G3979" s="140" t="s">
        <v>375</v>
      </c>
      <c r="H3979">
        <v>0</v>
      </c>
      <c r="I3979" s="140" t="s">
        <v>17</v>
      </c>
    </row>
    <row r="3980" spans="1:9" hidden="1" x14ac:dyDescent="0.25">
      <c r="A3980">
        <v>2027</v>
      </c>
      <c r="B3980" s="140" t="s">
        <v>374</v>
      </c>
      <c r="C3980" s="140" t="s">
        <v>243</v>
      </c>
      <c r="D3980" s="140" t="s">
        <v>11</v>
      </c>
      <c r="E3980" s="140" t="s">
        <v>52</v>
      </c>
      <c r="F3980">
        <v>3223.35</v>
      </c>
      <c r="G3980" s="140" t="s">
        <v>375</v>
      </c>
      <c r="H3980">
        <v>0</v>
      </c>
      <c r="I3980" s="140" t="s">
        <v>17</v>
      </c>
    </row>
    <row r="3981" spans="1:9" hidden="1" x14ac:dyDescent="0.25">
      <c r="A3981">
        <v>2028</v>
      </c>
      <c r="B3981" s="140" t="s">
        <v>374</v>
      </c>
      <c r="C3981" s="140" t="s">
        <v>243</v>
      </c>
      <c r="D3981" s="140" t="s">
        <v>11</v>
      </c>
      <c r="E3981" s="140" t="s">
        <v>52</v>
      </c>
      <c r="F3981">
        <v>3223.35</v>
      </c>
      <c r="G3981" s="140" t="s">
        <v>375</v>
      </c>
      <c r="H3981">
        <v>0</v>
      </c>
      <c r="I3981" s="140" t="s">
        <v>17</v>
      </c>
    </row>
    <row r="3982" spans="1:9" hidden="1" x14ac:dyDescent="0.25">
      <c r="A3982">
        <v>1990</v>
      </c>
      <c r="B3982" s="140" t="s">
        <v>376</v>
      </c>
      <c r="C3982" s="140" t="s">
        <v>243</v>
      </c>
      <c r="D3982" s="140" t="s">
        <v>11</v>
      </c>
      <c r="E3982" s="140" t="s">
        <v>52</v>
      </c>
      <c r="F3982">
        <v>357</v>
      </c>
      <c r="G3982" s="140" t="s">
        <v>377</v>
      </c>
      <c r="H3982">
        <v>0</v>
      </c>
      <c r="I3982" s="140" t="s">
        <v>17</v>
      </c>
    </row>
    <row r="3983" spans="1:9" hidden="1" x14ac:dyDescent="0.25">
      <c r="A3983">
        <v>1991</v>
      </c>
      <c r="B3983" s="140" t="s">
        <v>376</v>
      </c>
      <c r="C3983" s="140" t="s">
        <v>243</v>
      </c>
      <c r="D3983" s="140" t="s">
        <v>11</v>
      </c>
      <c r="E3983" s="140" t="s">
        <v>52</v>
      </c>
      <c r="F3983">
        <v>455</v>
      </c>
      <c r="G3983" s="140" t="s">
        <v>377</v>
      </c>
      <c r="H3983">
        <v>0</v>
      </c>
      <c r="I3983" s="140" t="s">
        <v>17</v>
      </c>
    </row>
    <row r="3984" spans="1:9" hidden="1" x14ac:dyDescent="0.25">
      <c r="A3984">
        <v>1992</v>
      </c>
      <c r="B3984" s="140" t="s">
        <v>376</v>
      </c>
      <c r="C3984" s="140" t="s">
        <v>243</v>
      </c>
      <c r="D3984" s="140" t="s">
        <v>11</v>
      </c>
      <c r="E3984" s="140" t="s">
        <v>52</v>
      </c>
      <c r="F3984">
        <v>307</v>
      </c>
      <c r="G3984" s="140" t="s">
        <v>377</v>
      </c>
      <c r="H3984">
        <v>0</v>
      </c>
      <c r="I3984" s="140" t="s">
        <v>17</v>
      </c>
    </row>
    <row r="3985" spans="1:9" hidden="1" x14ac:dyDescent="0.25">
      <c r="A3985">
        <v>1993</v>
      </c>
      <c r="B3985" s="140" t="s">
        <v>376</v>
      </c>
      <c r="C3985" s="140" t="s">
        <v>243</v>
      </c>
      <c r="D3985" s="140" t="s">
        <v>11</v>
      </c>
      <c r="E3985" s="140" t="s">
        <v>52</v>
      </c>
      <c r="F3985">
        <v>283</v>
      </c>
      <c r="G3985" s="140" t="s">
        <v>377</v>
      </c>
      <c r="H3985">
        <v>0</v>
      </c>
      <c r="I3985" s="140" t="s">
        <v>17</v>
      </c>
    </row>
    <row r="3986" spans="1:9" hidden="1" x14ac:dyDescent="0.25">
      <c r="A3986">
        <v>1994</v>
      </c>
      <c r="B3986" s="140" t="s">
        <v>376</v>
      </c>
      <c r="C3986" s="140" t="s">
        <v>243</v>
      </c>
      <c r="D3986" s="140" t="s">
        <v>11</v>
      </c>
      <c r="E3986" s="140" t="s">
        <v>52</v>
      </c>
      <c r="F3986">
        <v>274</v>
      </c>
      <c r="G3986" s="140" t="s">
        <v>377</v>
      </c>
      <c r="H3986">
        <v>0</v>
      </c>
      <c r="I3986" s="140" t="s">
        <v>17</v>
      </c>
    </row>
    <row r="3987" spans="1:9" hidden="1" x14ac:dyDescent="0.25">
      <c r="A3987">
        <v>1995</v>
      </c>
      <c r="B3987" s="140" t="s">
        <v>376</v>
      </c>
      <c r="C3987" s="140" t="s">
        <v>243</v>
      </c>
      <c r="D3987" s="140" t="s">
        <v>11</v>
      </c>
      <c r="E3987" s="140" t="s">
        <v>52</v>
      </c>
      <c r="F3987">
        <v>405</v>
      </c>
      <c r="G3987" s="140" t="s">
        <v>377</v>
      </c>
      <c r="H3987">
        <v>0</v>
      </c>
      <c r="I3987" s="140" t="s">
        <v>17</v>
      </c>
    </row>
    <row r="3988" spans="1:9" hidden="1" x14ac:dyDescent="0.25">
      <c r="A3988">
        <v>1996</v>
      </c>
      <c r="B3988" s="140" t="s">
        <v>376</v>
      </c>
      <c r="C3988" s="140" t="s">
        <v>243</v>
      </c>
      <c r="D3988" s="140" t="s">
        <v>11</v>
      </c>
      <c r="E3988" s="140" t="s">
        <v>52</v>
      </c>
      <c r="F3988">
        <v>698</v>
      </c>
      <c r="G3988" s="140" t="s">
        <v>377</v>
      </c>
      <c r="H3988">
        <v>0</v>
      </c>
      <c r="I3988" s="140" t="s">
        <v>17</v>
      </c>
    </row>
    <row r="3989" spans="1:9" hidden="1" x14ac:dyDescent="0.25">
      <c r="A3989">
        <v>1997</v>
      </c>
      <c r="B3989" s="140" t="s">
        <v>376</v>
      </c>
      <c r="C3989" s="140" t="s">
        <v>243</v>
      </c>
      <c r="D3989" s="140" t="s">
        <v>11</v>
      </c>
      <c r="E3989" s="140" t="s">
        <v>52</v>
      </c>
      <c r="F3989">
        <v>928</v>
      </c>
      <c r="G3989" s="140" t="s">
        <v>377</v>
      </c>
      <c r="H3989">
        <v>0</v>
      </c>
      <c r="I3989" s="140" t="s">
        <v>17</v>
      </c>
    </row>
    <row r="3990" spans="1:9" hidden="1" x14ac:dyDescent="0.25">
      <c r="A3990">
        <v>1998</v>
      </c>
      <c r="B3990" s="140" t="s">
        <v>376</v>
      </c>
      <c r="C3990" s="140" t="s">
        <v>243</v>
      </c>
      <c r="D3990" s="140" t="s">
        <v>11</v>
      </c>
      <c r="E3990" s="140" t="s">
        <v>52</v>
      </c>
      <c r="F3990">
        <v>1241</v>
      </c>
      <c r="G3990" s="140" t="s">
        <v>377</v>
      </c>
      <c r="H3990">
        <v>0</v>
      </c>
      <c r="I3990" s="140" t="s">
        <v>17</v>
      </c>
    </row>
    <row r="3991" spans="1:9" hidden="1" x14ac:dyDescent="0.25">
      <c r="A3991">
        <v>1999</v>
      </c>
      <c r="B3991" s="140" t="s">
        <v>376</v>
      </c>
      <c r="C3991" s="140" t="s">
        <v>243</v>
      </c>
      <c r="D3991" s="140" t="s">
        <v>11</v>
      </c>
      <c r="E3991" s="140" t="s">
        <v>52</v>
      </c>
      <c r="F3991">
        <v>1622</v>
      </c>
      <c r="G3991" s="140" t="s">
        <v>377</v>
      </c>
      <c r="H3991">
        <v>0</v>
      </c>
      <c r="I3991" s="140" t="s">
        <v>17</v>
      </c>
    </row>
    <row r="3992" spans="1:9" hidden="1" x14ac:dyDescent="0.25">
      <c r="A3992">
        <v>2000</v>
      </c>
      <c r="B3992" s="140" t="s">
        <v>376</v>
      </c>
      <c r="C3992" s="140" t="s">
        <v>243</v>
      </c>
      <c r="D3992" s="140" t="s">
        <v>11</v>
      </c>
      <c r="E3992" s="140" t="s">
        <v>52</v>
      </c>
      <c r="F3992">
        <v>2049</v>
      </c>
      <c r="G3992" s="140" t="s">
        <v>377</v>
      </c>
      <c r="H3992">
        <v>0</v>
      </c>
      <c r="I3992" s="140" t="s">
        <v>17</v>
      </c>
    </row>
    <row r="3993" spans="1:9" hidden="1" x14ac:dyDescent="0.25">
      <c r="A3993">
        <v>2001</v>
      </c>
      <c r="B3993" s="140" t="s">
        <v>376</v>
      </c>
      <c r="C3993" s="140" t="s">
        <v>243</v>
      </c>
      <c r="D3993" s="140" t="s">
        <v>11</v>
      </c>
      <c r="E3993" s="140" t="s">
        <v>52</v>
      </c>
      <c r="F3993">
        <v>2437</v>
      </c>
      <c r="G3993" s="140" t="s">
        <v>377</v>
      </c>
      <c r="H3993">
        <v>0</v>
      </c>
      <c r="I3993" s="140" t="s">
        <v>17</v>
      </c>
    </row>
    <row r="3994" spans="1:9" hidden="1" x14ac:dyDescent="0.25">
      <c r="A3994">
        <v>2002</v>
      </c>
      <c r="B3994" s="140" t="s">
        <v>376</v>
      </c>
      <c r="C3994" s="140" t="s">
        <v>243</v>
      </c>
      <c r="D3994" s="140" t="s">
        <v>11</v>
      </c>
      <c r="E3994" s="140" t="s">
        <v>52</v>
      </c>
      <c r="F3994">
        <v>2589</v>
      </c>
      <c r="G3994" s="140" t="s">
        <v>377</v>
      </c>
      <c r="H3994">
        <v>0</v>
      </c>
      <c r="I3994" s="140" t="s">
        <v>17</v>
      </c>
    </row>
    <row r="3995" spans="1:9" hidden="1" x14ac:dyDescent="0.25">
      <c r="A3995">
        <v>2003</v>
      </c>
      <c r="B3995" s="140" t="s">
        <v>376</v>
      </c>
      <c r="C3995" s="140" t="s">
        <v>243</v>
      </c>
      <c r="D3995" s="140" t="s">
        <v>11</v>
      </c>
      <c r="E3995" s="140" t="s">
        <v>52</v>
      </c>
      <c r="F3995">
        <v>3104</v>
      </c>
      <c r="G3995" s="140" t="s">
        <v>377</v>
      </c>
      <c r="H3995">
        <v>0</v>
      </c>
      <c r="I3995" s="140" t="s">
        <v>17</v>
      </c>
    </row>
    <row r="3996" spans="1:9" hidden="1" x14ac:dyDescent="0.25">
      <c r="A3996">
        <v>2004</v>
      </c>
      <c r="B3996" s="140" t="s">
        <v>376</v>
      </c>
      <c r="C3996" s="140" t="s">
        <v>243</v>
      </c>
      <c r="D3996" s="140" t="s">
        <v>11</v>
      </c>
      <c r="E3996" s="140" t="s">
        <v>52</v>
      </c>
      <c r="F3996">
        <v>3909</v>
      </c>
      <c r="G3996" s="140" t="s">
        <v>377</v>
      </c>
      <c r="H3996">
        <v>0</v>
      </c>
      <c r="I3996" s="140" t="s">
        <v>17</v>
      </c>
    </row>
    <row r="3997" spans="1:9" hidden="1" x14ac:dyDescent="0.25">
      <c r="A3997">
        <v>2005</v>
      </c>
      <c r="B3997" s="140" t="s">
        <v>376</v>
      </c>
      <c r="C3997" s="140" t="s">
        <v>243</v>
      </c>
      <c r="D3997" s="140" t="s">
        <v>11</v>
      </c>
      <c r="E3997" s="140" t="s">
        <v>52</v>
      </c>
      <c r="F3997">
        <v>3262</v>
      </c>
      <c r="G3997" s="140" t="s">
        <v>377</v>
      </c>
      <c r="H3997">
        <v>0</v>
      </c>
      <c r="I3997" s="140" t="s">
        <v>17</v>
      </c>
    </row>
    <row r="3998" spans="1:9" hidden="1" x14ac:dyDescent="0.25">
      <c r="A3998">
        <v>2006</v>
      </c>
      <c r="B3998" s="140" t="s">
        <v>376</v>
      </c>
      <c r="C3998" s="140" t="s">
        <v>243</v>
      </c>
      <c r="D3998" s="140" t="s">
        <v>11</v>
      </c>
      <c r="E3998" s="140" t="s">
        <v>52</v>
      </c>
      <c r="F3998">
        <v>3053</v>
      </c>
      <c r="G3998" s="140" t="s">
        <v>377</v>
      </c>
      <c r="H3998">
        <v>0</v>
      </c>
      <c r="I3998" s="140" t="s">
        <v>17</v>
      </c>
    </row>
    <row r="3999" spans="1:9" hidden="1" x14ac:dyDescent="0.25">
      <c r="A3999">
        <v>2007</v>
      </c>
      <c r="B3999" s="140" t="s">
        <v>376</v>
      </c>
      <c r="C3999" s="140" t="s">
        <v>243</v>
      </c>
      <c r="D3999" s="140" t="s">
        <v>11</v>
      </c>
      <c r="E3999" s="140" t="s">
        <v>52</v>
      </c>
      <c r="F3999">
        <v>3599</v>
      </c>
      <c r="G3999" s="140" t="s">
        <v>377</v>
      </c>
      <c r="H3999">
        <v>0</v>
      </c>
      <c r="I3999" s="140" t="s">
        <v>17</v>
      </c>
    </row>
    <row r="4000" spans="1:9" hidden="1" x14ac:dyDescent="0.25">
      <c r="A4000">
        <v>2008</v>
      </c>
      <c r="B4000" s="140" t="s">
        <v>376</v>
      </c>
      <c r="C4000" s="140" t="s">
        <v>243</v>
      </c>
      <c r="D4000" s="140" t="s">
        <v>11</v>
      </c>
      <c r="E4000" s="140" t="s">
        <v>52</v>
      </c>
      <c r="F4000">
        <v>3771</v>
      </c>
      <c r="G4000" s="140" t="s">
        <v>377</v>
      </c>
      <c r="H4000">
        <v>0</v>
      </c>
      <c r="I4000" s="140" t="s">
        <v>17</v>
      </c>
    </row>
    <row r="4001" spans="1:9" hidden="1" x14ac:dyDescent="0.25">
      <c r="A4001">
        <v>2009</v>
      </c>
      <c r="B4001" s="140" t="s">
        <v>376</v>
      </c>
      <c r="C4001" s="140" t="s">
        <v>243</v>
      </c>
      <c r="D4001" s="140" t="s">
        <v>11</v>
      </c>
      <c r="E4001" s="140" t="s">
        <v>52</v>
      </c>
      <c r="F4001">
        <v>3393</v>
      </c>
      <c r="G4001" s="140" t="s">
        <v>377</v>
      </c>
      <c r="H4001">
        <v>0</v>
      </c>
      <c r="I4001" s="140" t="s">
        <v>17</v>
      </c>
    </row>
    <row r="4002" spans="1:9" hidden="1" x14ac:dyDescent="0.25">
      <c r="A4002">
        <v>2010</v>
      </c>
      <c r="B4002" s="140" t="s">
        <v>376</v>
      </c>
      <c r="C4002" s="140" t="s">
        <v>243</v>
      </c>
      <c r="D4002" s="140" t="s">
        <v>11</v>
      </c>
      <c r="E4002" s="140" t="s">
        <v>52</v>
      </c>
      <c r="F4002">
        <v>3709</v>
      </c>
      <c r="G4002" s="140" t="s">
        <v>377</v>
      </c>
      <c r="H4002">
        <v>0</v>
      </c>
      <c r="I4002" s="140" t="s">
        <v>17</v>
      </c>
    </row>
    <row r="4003" spans="1:9" hidden="1" x14ac:dyDescent="0.25">
      <c r="A4003">
        <v>2011</v>
      </c>
      <c r="B4003" s="140" t="s">
        <v>376</v>
      </c>
      <c r="C4003" s="140" t="s">
        <v>243</v>
      </c>
      <c r="D4003" s="140" t="s">
        <v>11</v>
      </c>
      <c r="E4003" s="140" t="s">
        <v>52</v>
      </c>
      <c r="F4003">
        <v>4248</v>
      </c>
      <c r="G4003" s="140" t="s">
        <v>377</v>
      </c>
      <c r="H4003">
        <v>0</v>
      </c>
      <c r="I4003" s="140" t="s">
        <v>17</v>
      </c>
    </row>
    <row r="4004" spans="1:9" hidden="1" x14ac:dyDescent="0.25">
      <c r="A4004">
        <v>2012</v>
      </c>
      <c r="B4004" s="140" t="s">
        <v>376</v>
      </c>
      <c r="C4004" s="140" t="s">
        <v>243</v>
      </c>
      <c r="D4004" s="140" t="s">
        <v>11</v>
      </c>
      <c r="E4004" s="140" t="s">
        <v>52</v>
      </c>
      <c r="F4004">
        <v>3912</v>
      </c>
      <c r="G4004" s="140" t="s">
        <v>377</v>
      </c>
      <c r="H4004">
        <v>0</v>
      </c>
      <c r="I4004" s="140" t="s">
        <v>17</v>
      </c>
    </row>
    <row r="4005" spans="1:9" hidden="1" x14ac:dyDescent="0.25">
      <c r="A4005">
        <v>2013</v>
      </c>
      <c r="B4005" s="140" t="s">
        <v>376</v>
      </c>
      <c r="C4005" s="140" t="s">
        <v>243</v>
      </c>
      <c r="D4005" s="140" t="s">
        <v>11</v>
      </c>
      <c r="E4005" s="140" t="s">
        <v>52</v>
      </c>
      <c r="F4005">
        <v>4140</v>
      </c>
      <c r="G4005" s="140" t="s">
        <v>377</v>
      </c>
      <c r="H4005">
        <v>0</v>
      </c>
      <c r="I4005" s="140" t="s">
        <v>17</v>
      </c>
    </row>
    <row r="4006" spans="1:9" hidden="1" x14ac:dyDescent="0.25">
      <c r="A4006">
        <v>2014</v>
      </c>
      <c r="B4006" s="140" t="s">
        <v>376</v>
      </c>
      <c r="C4006" s="140" t="s">
        <v>243</v>
      </c>
      <c r="D4006" s="140" t="s">
        <v>11</v>
      </c>
      <c r="E4006" s="140" t="s">
        <v>52</v>
      </c>
      <c r="F4006">
        <v>4111</v>
      </c>
      <c r="G4006" s="140" t="s">
        <v>377</v>
      </c>
      <c r="H4006">
        <v>0</v>
      </c>
      <c r="I4006" s="140" t="s">
        <v>17</v>
      </c>
    </row>
    <row r="4007" spans="1:9" hidden="1" x14ac:dyDescent="0.25">
      <c r="A4007">
        <v>2015</v>
      </c>
      <c r="B4007" s="140" t="s">
        <v>376</v>
      </c>
      <c r="C4007" s="140" t="s">
        <v>243</v>
      </c>
      <c r="D4007" s="140" t="s">
        <v>11</v>
      </c>
      <c r="E4007" s="140" t="s">
        <v>52</v>
      </c>
      <c r="F4007">
        <v>4189</v>
      </c>
      <c r="G4007" s="140" t="s">
        <v>377</v>
      </c>
      <c r="H4007">
        <v>0</v>
      </c>
      <c r="I4007" s="140" t="s">
        <v>17</v>
      </c>
    </row>
    <row r="4008" spans="1:9" hidden="1" x14ac:dyDescent="0.25">
      <c r="A4008">
        <v>2016</v>
      </c>
      <c r="B4008" s="140" t="s">
        <v>376</v>
      </c>
      <c r="C4008" s="140" t="s">
        <v>243</v>
      </c>
      <c r="D4008" s="140" t="s">
        <v>11</v>
      </c>
      <c r="E4008" s="140" t="s">
        <v>52</v>
      </c>
      <c r="F4008">
        <v>4730</v>
      </c>
      <c r="G4008" s="140" t="s">
        <v>377</v>
      </c>
      <c r="H4008">
        <v>0</v>
      </c>
      <c r="I4008" s="140" t="s">
        <v>17</v>
      </c>
    </row>
    <row r="4009" spans="1:9" hidden="1" x14ac:dyDescent="0.25">
      <c r="A4009">
        <v>2017</v>
      </c>
      <c r="B4009" s="140" t="s">
        <v>376</v>
      </c>
      <c r="C4009" s="140" t="s">
        <v>243</v>
      </c>
      <c r="D4009" s="140" t="s">
        <v>11</v>
      </c>
      <c r="E4009" s="140" t="s">
        <v>52</v>
      </c>
      <c r="F4009">
        <v>4918</v>
      </c>
      <c r="G4009" s="140" t="s">
        <v>377</v>
      </c>
      <c r="H4009">
        <v>0</v>
      </c>
      <c r="I4009" s="140" t="s">
        <v>17</v>
      </c>
    </row>
    <row r="4010" spans="1:9" hidden="1" x14ac:dyDescent="0.25">
      <c r="A4010">
        <v>2018</v>
      </c>
      <c r="B4010" s="140" t="s">
        <v>376</v>
      </c>
      <c r="C4010" s="140" t="s">
        <v>243</v>
      </c>
      <c r="D4010" s="140" t="s">
        <v>11</v>
      </c>
      <c r="E4010" s="140" t="s">
        <v>52</v>
      </c>
      <c r="F4010">
        <v>4997</v>
      </c>
      <c r="G4010" s="140" t="s">
        <v>377</v>
      </c>
      <c r="H4010">
        <v>0</v>
      </c>
      <c r="I4010" s="140" t="s">
        <v>17</v>
      </c>
    </row>
    <row r="4011" spans="1:9" hidden="1" x14ac:dyDescent="0.25">
      <c r="A4011">
        <v>2019</v>
      </c>
      <c r="B4011" s="140" t="s">
        <v>376</v>
      </c>
      <c r="C4011" s="140" t="s">
        <v>243</v>
      </c>
      <c r="D4011" s="140" t="s">
        <v>11</v>
      </c>
      <c r="E4011" s="140" t="s">
        <v>52</v>
      </c>
      <c r="F4011">
        <v>5519</v>
      </c>
      <c r="G4011" s="140" t="s">
        <v>377</v>
      </c>
      <c r="H4011">
        <v>0</v>
      </c>
      <c r="I4011" s="140" t="s">
        <v>17</v>
      </c>
    </row>
    <row r="4012" spans="1:9" hidden="1" x14ac:dyDescent="0.25">
      <c r="A4012">
        <v>2020</v>
      </c>
      <c r="B4012" s="140" t="s">
        <v>376</v>
      </c>
      <c r="C4012" s="140" t="s">
        <v>243</v>
      </c>
      <c r="D4012" s="140" t="s">
        <v>11</v>
      </c>
      <c r="E4012" s="140" t="s">
        <v>52</v>
      </c>
      <c r="F4012">
        <v>4960</v>
      </c>
      <c r="G4012" s="140" t="s">
        <v>377</v>
      </c>
      <c r="H4012">
        <v>0</v>
      </c>
      <c r="I4012" s="140" t="s">
        <v>17</v>
      </c>
    </row>
    <row r="4013" spans="1:9" hidden="1" x14ac:dyDescent="0.25">
      <c r="A4013">
        <v>2021</v>
      </c>
      <c r="B4013" s="140" t="s">
        <v>376</v>
      </c>
      <c r="C4013" s="140" t="s">
        <v>243</v>
      </c>
      <c r="D4013" s="140" t="s">
        <v>11</v>
      </c>
      <c r="E4013" s="140" t="s">
        <v>52</v>
      </c>
      <c r="F4013">
        <v>5691</v>
      </c>
      <c r="G4013" s="140" t="s">
        <v>377</v>
      </c>
      <c r="H4013">
        <v>0</v>
      </c>
      <c r="I4013" s="140" t="s">
        <v>17</v>
      </c>
    </row>
    <row r="4014" spans="1:9" hidden="1" x14ac:dyDescent="0.25">
      <c r="A4014">
        <v>2022</v>
      </c>
      <c r="B4014" s="140" t="s">
        <v>376</v>
      </c>
      <c r="C4014" s="140" t="s">
        <v>243</v>
      </c>
      <c r="D4014" s="140" t="s">
        <v>11</v>
      </c>
      <c r="E4014" s="140" t="s">
        <v>52</v>
      </c>
      <c r="F4014">
        <v>6302</v>
      </c>
      <c r="G4014" s="140" t="s">
        <v>377</v>
      </c>
      <c r="H4014">
        <v>0</v>
      </c>
      <c r="I4014" s="140" t="s">
        <v>17</v>
      </c>
    </row>
    <row r="4015" spans="1:9" hidden="1" x14ac:dyDescent="0.25">
      <c r="A4015">
        <v>2023</v>
      </c>
      <c r="B4015" s="140" t="s">
        <v>376</v>
      </c>
      <c r="C4015" s="140" t="s">
        <v>243</v>
      </c>
      <c r="D4015" s="140" t="s">
        <v>11</v>
      </c>
      <c r="E4015" s="140" t="s">
        <v>52</v>
      </c>
      <c r="F4015">
        <v>6422</v>
      </c>
      <c r="G4015" s="140" t="s">
        <v>377</v>
      </c>
      <c r="H4015">
        <v>0</v>
      </c>
      <c r="I4015" s="140" t="s">
        <v>17</v>
      </c>
    </row>
    <row r="4016" spans="1:9" hidden="1" x14ac:dyDescent="0.25">
      <c r="A4016">
        <v>2024</v>
      </c>
      <c r="B4016" s="140" t="s">
        <v>376</v>
      </c>
      <c r="C4016" s="140" t="s">
        <v>243</v>
      </c>
      <c r="D4016" s="140" t="s">
        <v>11</v>
      </c>
      <c r="E4016" s="140" t="s">
        <v>52</v>
      </c>
      <c r="F4016">
        <v>5917</v>
      </c>
      <c r="G4016" s="140" t="s">
        <v>377</v>
      </c>
      <c r="H4016">
        <v>0</v>
      </c>
      <c r="I4016" s="140" t="s">
        <v>17</v>
      </c>
    </row>
    <row r="4017" spans="1:9" hidden="1" x14ac:dyDescent="0.25">
      <c r="A4017">
        <v>2025</v>
      </c>
      <c r="B4017" s="140" t="s">
        <v>376</v>
      </c>
      <c r="C4017" s="140" t="s">
        <v>243</v>
      </c>
      <c r="D4017" s="140" t="s">
        <v>11</v>
      </c>
      <c r="E4017" s="140" t="s">
        <v>52</v>
      </c>
      <c r="F4017">
        <v>6537</v>
      </c>
      <c r="G4017" s="140" t="s">
        <v>377</v>
      </c>
      <c r="H4017">
        <v>0</v>
      </c>
      <c r="I4017" s="140" t="s">
        <v>17</v>
      </c>
    </row>
    <row r="4018" spans="1:9" hidden="1" x14ac:dyDescent="0.25">
      <c r="A4018">
        <v>2026</v>
      </c>
      <c r="B4018" s="140" t="s">
        <v>376</v>
      </c>
      <c r="C4018" s="140" t="s">
        <v>243</v>
      </c>
      <c r="D4018" s="140" t="s">
        <v>11</v>
      </c>
      <c r="E4018" s="140" t="s">
        <v>52</v>
      </c>
      <c r="F4018">
        <v>6602.37</v>
      </c>
      <c r="G4018" s="140" t="s">
        <v>377</v>
      </c>
      <c r="H4018">
        <v>0</v>
      </c>
      <c r="I4018" s="140" t="s">
        <v>17</v>
      </c>
    </row>
    <row r="4019" spans="1:9" hidden="1" x14ac:dyDescent="0.25">
      <c r="A4019">
        <v>2027</v>
      </c>
      <c r="B4019" s="140" t="s">
        <v>376</v>
      </c>
      <c r="C4019" s="140" t="s">
        <v>243</v>
      </c>
      <c r="D4019" s="140" t="s">
        <v>11</v>
      </c>
      <c r="E4019" s="140" t="s">
        <v>52</v>
      </c>
      <c r="F4019">
        <v>6734.4174000000003</v>
      </c>
      <c r="G4019" s="140" t="s">
        <v>377</v>
      </c>
      <c r="H4019">
        <v>0</v>
      </c>
      <c r="I4019" s="140" t="s">
        <v>17</v>
      </c>
    </row>
    <row r="4020" spans="1:9" hidden="1" x14ac:dyDescent="0.25">
      <c r="A4020">
        <v>2028</v>
      </c>
      <c r="B4020" s="140" t="s">
        <v>376</v>
      </c>
      <c r="C4020" s="140" t="s">
        <v>243</v>
      </c>
      <c r="D4020" s="140" t="s">
        <v>11</v>
      </c>
      <c r="E4020" s="140" t="s">
        <v>52</v>
      </c>
      <c r="F4020">
        <v>6936.4499219999998</v>
      </c>
      <c r="G4020" s="140" t="s">
        <v>377</v>
      </c>
      <c r="H4020">
        <v>0</v>
      </c>
      <c r="I4020" s="140" t="s">
        <v>17</v>
      </c>
    </row>
    <row r="4021" spans="1:9" hidden="1" x14ac:dyDescent="0.25">
      <c r="A4021">
        <v>1990</v>
      </c>
      <c r="B4021" s="140" t="s">
        <v>378</v>
      </c>
      <c r="C4021" s="140" t="s">
        <v>243</v>
      </c>
      <c r="D4021" s="140" t="s">
        <v>11</v>
      </c>
      <c r="E4021" s="140" t="s">
        <v>52</v>
      </c>
      <c r="F4021">
        <v>2256</v>
      </c>
      <c r="G4021" s="140" t="s">
        <v>379</v>
      </c>
      <c r="H4021">
        <v>0</v>
      </c>
      <c r="I4021" s="140" t="s">
        <v>17</v>
      </c>
    </row>
    <row r="4022" spans="1:9" hidden="1" x14ac:dyDescent="0.25">
      <c r="A4022">
        <v>1991</v>
      </c>
      <c r="B4022" s="140" t="s">
        <v>378</v>
      </c>
      <c r="C4022" s="140" t="s">
        <v>243</v>
      </c>
      <c r="D4022" s="140" t="s">
        <v>11</v>
      </c>
      <c r="E4022" s="140" t="s">
        <v>52</v>
      </c>
      <c r="F4022">
        <v>1943</v>
      </c>
      <c r="G4022" s="140" t="s">
        <v>379</v>
      </c>
      <c r="H4022">
        <v>0</v>
      </c>
      <c r="I4022" s="140" t="s">
        <v>17</v>
      </c>
    </row>
    <row r="4023" spans="1:9" hidden="1" x14ac:dyDescent="0.25">
      <c r="A4023">
        <v>1992</v>
      </c>
      <c r="B4023" s="140" t="s">
        <v>378</v>
      </c>
      <c r="C4023" s="140" t="s">
        <v>243</v>
      </c>
      <c r="D4023" s="140" t="s">
        <v>11</v>
      </c>
      <c r="E4023" s="140" t="s">
        <v>52</v>
      </c>
      <c r="F4023">
        <v>1758</v>
      </c>
      <c r="G4023" s="140" t="s">
        <v>379</v>
      </c>
      <c r="H4023">
        <v>0</v>
      </c>
      <c r="I4023" s="140" t="s">
        <v>17</v>
      </c>
    </row>
    <row r="4024" spans="1:9" hidden="1" x14ac:dyDescent="0.25">
      <c r="A4024">
        <v>1993</v>
      </c>
      <c r="B4024" s="140" t="s">
        <v>378</v>
      </c>
      <c r="C4024" s="140" t="s">
        <v>243</v>
      </c>
      <c r="D4024" s="140" t="s">
        <v>11</v>
      </c>
      <c r="E4024" s="140" t="s">
        <v>52</v>
      </c>
      <c r="F4024">
        <v>2077</v>
      </c>
      <c r="G4024" s="140" t="s">
        <v>379</v>
      </c>
      <c r="H4024">
        <v>0</v>
      </c>
      <c r="I4024" s="140" t="s">
        <v>17</v>
      </c>
    </row>
    <row r="4025" spans="1:9" hidden="1" x14ac:dyDescent="0.25">
      <c r="A4025">
        <v>1994</v>
      </c>
      <c r="B4025" s="140" t="s">
        <v>378</v>
      </c>
      <c r="C4025" s="140" t="s">
        <v>243</v>
      </c>
      <c r="D4025" s="140" t="s">
        <v>11</v>
      </c>
      <c r="E4025" s="140" t="s">
        <v>52</v>
      </c>
      <c r="F4025">
        <v>2049</v>
      </c>
      <c r="G4025" s="140" t="s">
        <v>379</v>
      </c>
      <c r="H4025">
        <v>0</v>
      </c>
      <c r="I4025" s="140" t="s">
        <v>17</v>
      </c>
    </row>
    <row r="4026" spans="1:9" hidden="1" x14ac:dyDescent="0.25">
      <c r="A4026">
        <v>1995</v>
      </c>
      <c r="B4026" s="140" t="s">
        <v>378</v>
      </c>
      <c r="C4026" s="140" t="s">
        <v>243</v>
      </c>
      <c r="D4026" s="140" t="s">
        <v>11</v>
      </c>
      <c r="E4026" s="140" t="s">
        <v>52</v>
      </c>
      <c r="F4026">
        <v>1981</v>
      </c>
      <c r="G4026" s="140" t="s">
        <v>379</v>
      </c>
      <c r="H4026">
        <v>0</v>
      </c>
      <c r="I4026" s="140" t="s">
        <v>17</v>
      </c>
    </row>
    <row r="4027" spans="1:9" hidden="1" x14ac:dyDescent="0.25">
      <c r="A4027">
        <v>1996</v>
      </c>
      <c r="B4027" s="140" t="s">
        <v>378</v>
      </c>
      <c r="C4027" s="140" t="s">
        <v>243</v>
      </c>
      <c r="D4027" s="140" t="s">
        <v>11</v>
      </c>
      <c r="E4027" s="140" t="s">
        <v>52</v>
      </c>
      <c r="F4027">
        <v>1759</v>
      </c>
      <c r="G4027" s="140" t="s">
        <v>379</v>
      </c>
      <c r="H4027">
        <v>0</v>
      </c>
      <c r="I4027" s="140" t="s">
        <v>17</v>
      </c>
    </row>
    <row r="4028" spans="1:9" hidden="1" x14ac:dyDescent="0.25">
      <c r="A4028">
        <v>1997</v>
      </c>
      <c r="B4028" s="140" t="s">
        <v>378</v>
      </c>
      <c r="C4028" s="140" t="s">
        <v>243</v>
      </c>
      <c r="D4028" s="140" t="s">
        <v>11</v>
      </c>
      <c r="E4028" s="140" t="s">
        <v>52</v>
      </c>
      <c r="F4028">
        <v>1831</v>
      </c>
      <c r="G4028" s="140" t="s">
        <v>379</v>
      </c>
      <c r="H4028">
        <v>0</v>
      </c>
      <c r="I4028" s="140" t="s">
        <v>17</v>
      </c>
    </row>
    <row r="4029" spans="1:9" hidden="1" x14ac:dyDescent="0.25">
      <c r="A4029">
        <v>1998</v>
      </c>
      <c r="B4029" s="140" t="s">
        <v>378</v>
      </c>
      <c r="C4029" s="140" t="s">
        <v>243</v>
      </c>
      <c r="D4029" s="140" t="s">
        <v>11</v>
      </c>
      <c r="E4029" s="140" t="s">
        <v>52</v>
      </c>
      <c r="F4029">
        <v>1783</v>
      </c>
      <c r="G4029" s="140" t="s">
        <v>379</v>
      </c>
      <c r="H4029">
        <v>0</v>
      </c>
      <c r="I4029" s="140" t="s">
        <v>17</v>
      </c>
    </row>
    <row r="4030" spans="1:9" hidden="1" x14ac:dyDescent="0.25">
      <c r="A4030">
        <v>1999</v>
      </c>
      <c r="B4030" s="140" t="s">
        <v>378</v>
      </c>
      <c r="C4030" s="140" t="s">
        <v>243</v>
      </c>
      <c r="D4030" s="140" t="s">
        <v>11</v>
      </c>
      <c r="E4030" s="140" t="s">
        <v>52</v>
      </c>
      <c r="F4030">
        <v>1747</v>
      </c>
      <c r="G4030" s="140" t="s">
        <v>379</v>
      </c>
      <c r="H4030">
        <v>0</v>
      </c>
      <c r="I4030" s="140" t="s">
        <v>17</v>
      </c>
    </row>
    <row r="4031" spans="1:9" hidden="1" x14ac:dyDescent="0.25">
      <c r="A4031">
        <v>2000</v>
      </c>
      <c r="B4031" s="140" t="s">
        <v>378</v>
      </c>
      <c r="C4031" s="140" t="s">
        <v>243</v>
      </c>
      <c r="D4031" s="140" t="s">
        <v>11</v>
      </c>
      <c r="E4031" s="140" t="s">
        <v>52</v>
      </c>
      <c r="F4031">
        <v>1795</v>
      </c>
      <c r="G4031" s="140" t="s">
        <v>379</v>
      </c>
      <c r="H4031">
        <v>0</v>
      </c>
      <c r="I4031" s="140" t="s">
        <v>17</v>
      </c>
    </row>
    <row r="4032" spans="1:9" hidden="1" x14ac:dyDescent="0.25">
      <c r="A4032">
        <v>2001</v>
      </c>
      <c r="B4032" s="140" t="s">
        <v>378</v>
      </c>
      <c r="C4032" s="140" t="s">
        <v>243</v>
      </c>
      <c r="D4032" s="140" t="s">
        <v>11</v>
      </c>
      <c r="E4032" s="140" t="s">
        <v>52</v>
      </c>
      <c r="F4032">
        <v>1667</v>
      </c>
      <c r="G4032" s="140" t="s">
        <v>379</v>
      </c>
      <c r="H4032">
        <v>0</v>
      </c>
      <c r="I4032" s="140" t="s">
        <v>17</v>
      </c>
    </row>
    <row r="4033" spans="1:9" hidden="1" x14ac:dyDescent="0.25">
      <c r="A4033">
        <v>2002</v>
      </c>
      <c r="B4033" s="140" t="s">
        <v>378</v>
      </c>
      <c r="C4033" s="140" t="s">
        <v>243</v>
      </c>
      <c r="D4033" s="140" t="s">
        <v>11</v>
      </c>
      <c r="E4033" s="140" t="s">
        <v>52</v>
      </c>
      <c r="F4033">
        <v>1630</v>
      </c>
      <c r="G4033" s="140" t="s">
        <v>379</v>
      </c>
      <c r="H4033">
        <v>0</v>
      </c>
      <c r="I4033" s="140" t="s">
        <v>17</v>
      </c>
    </row>
    <row r="4034" spans="1:9" hidden="1" x14ac:dyDescent="0.25">
      <c r="A4034">
        <v>2003</v>
      </c>
      <c r="B4034" s="140" t="s">
        <v>378</v>
      </c>
      <c r="C4034" s="140" t="s">
        <v>243</v>
      </c>
      <c r="D4034" s="140" t="s">
        <v>11</v>
      </c>
      <c r="E4034" s="140" t="s">
        <v>52</v>
      </c>
      <c r="F4034">
        <v>1547</v>
      </c>
      <c r="G4034" s="140" t="s">
        <v>379</v>
      </c>
      <c r="H4034">
        <v>0</v>
      </c>
      <c r="I4034" s="140" t="s">
        <v>17</v>
      </c>
    </row>
    <row r="4035" spans="1:9" hidden="1" x14ac:dyDescent="0.25">
      <c r="A4035">
        <v>2004</v>
      </c>
      <c r="B4035" s="140" t="s">
        <v>378</v>
      </c>
      <c r="C4035" s="140" t="s">
        <v>243</v>
      </c>
      <c r="D4035" s="140" t="s">
        <v>11</v>
      </c>
      <c r="E4035" s="140" t="s">
        <v>52</v>
      </c>
      <c r="F4035">
        <v>1458</v>
      </c>
      <c r="G4035" s="140" t="s">
        <v>379</v>
      </c>
      <c r="H4035">
        <v>0</v>
      </c>
      <c r="I4035" s="140" t="s">
        <v>17</v>
      </c>
    </row>
    <row r="4036" spans="1:9" hidden="1" x14ac:dyDescent="0.25">
      <c r="A4036">
        <v>2005</v>
      </c>
      <c r="B4036" s="140" t="s">
        <v>378</v>
      </c>
      <c r="C4036" s="140" t="s">
        <v>243</v>
      </c>
      <c r="D4036" s="140" t="s">
        <v>11</v>
      </c>
      <c r="E4036" s="140" t="s">
        <v>52</v>
      </c>
      <c r="F4036">
        <v>1376</v>
      </c>
      <c r="G4036" s="140" t="s">
        <v>379</v>
      </c>
      <c r="H4036">
        <v>0</v>
      </c>
      <c r="I4036" s="140" t="s">
        <v>17</v>
      </c>
    </row>
    <row r="4037" spans="1:9" hidden="1" x14ac:dyDescent="0.25">
      <c r="A4037">
        <v>2006</v>
      </c>
      <c r="B4037" s="140" t="s">
        <v>378</v>
      </c>
      <c r="C4037" s="140" t="s">
        <v>243</v>
      </c>
      <c r="D4037" s="140" t="s">
        <v>11</v>
      </c>
      <c r="E4037" s="140" t="s">
        <v>52</v>
      </c>
      <c r="F4037">
        <v>1448</v>
      </c>
      <c r="G4037" s="140" t="s">
        <v>379</v>
      </c>
      <c r="H4037">
        <v>0</v>
      </c>
      <c r="I4037" s="140" t="s">
        <v>17</v>
      </c>
    </row>
    <row r="4038" spans="1:9" hidden="1" x14ac:dyDescent="0.25">
      <c r="A4038">
        <v>2007</v>
      </c>
      <c r="B4038" s="140" t="s">
        <v>378</v>
      </c>
      <c r="C4038" s="140" t="s">
        <v>243</v>
      </c>
      <c r="D4038" s="140" t="s">
        <v>11</v>
      </c>
      <c r="E4038" s="140" t="s">
        <v>52</v>
      </c>
      <c r="F4038">
        <v>1897</v>
      </c>
      <c r="G4038" s="140" t="s">
        <v>379</v>
      </c>
      <c r="H4038">
        <v>0</v>
      </c>
      <c r="I4038" s="140" t="s">
        <v>17</v>
      </c>
    </row>
    <row r="4039" spans="1:9" hidden="1" x14ac:dyDescent="0.25">
      <c r="A4039">
        <v>2008</v>
      </c>
      <c r="B4039" s="140" t="s">
        <v>378</v>
      </c>
      <c r="C4039" s="140" t="s">
        <v>243</v>
      </c>
      <c r="D4039" s="140" t="s">
        <v>11</v>
      </c>
      <c r="E4039" s="140" t="s">
        <v>52</v>
      </c>
      <c r="F4039">
        <v>1641</v>
      </c>
      <c r="G4039" s="140" t="s">
        <v>379</v>
      </c>
      <c r="H4039">
        <v>0</v>
      </c>
      <c r="I4039" s="140" t="s">
        <v>17</v>
      </c>
    </row>
    <row r="4040" spans="1:9" hidden="1" x14ac:dyDescent="0.25">
      <c r="A4040">
        <v>2009</v>
      </c>
      <c r="B4040" s="140" t="s">
        <v>378</v>
      </c>
      <c r="C4040" s="140" t="s">
        <v>243</v>
      </c>
      <c r="D4040" s="140" t="s">
        <v>11</v>
      </c>
      <c r="E4040" s="140" t="s">
        <v>52</v>
      </c>
      <c r="F4040">
        <v>1011</v>
      </c>
      <c r="G4040" s="140" t="s">
        <v>379</v>
      </c>
      <c r="H4040">
        <v>0</v>
      </c>
      <c r="I4040" s="140" t="s">
        <v>17</v>
      </c>
    </row>
    <row r="4041" spans="1:9" hidden="1" x14ac:dyDescent="0.25">
      <c r="A4041">
        <v>2010</v>
      </c>
      <c r="B4041" s="140" t="s">
        <v>378</v>
      </c>
      <c r="C4041" s="140" t="s">
        <v>243</v>
      </c>
      <c r="D4041" s="140" t="s">
        <v>11</v>
      </c>
      <c r="E4041" s="140" t="s">
        <v>52</v>
      </c>
      <c r="F4041">
        <v>1335</v>
      </c>
      <c r="G4041" s="140" t="s">
        <v>379</v>
      </c>
      <c r="H4041">
        <v>0</v>
      </c>
      <c r="I4041" s="140" t="s">
        <v>17</v>
      </c>
    </row>
    <row r="4042" spans="1:9" hidden="1" x14ac:dyDescent="0.25">
      <c r="A4042">
        <v>2011</v>
      </c>
      <c r="B4042" s="140" t="s">
        <v>378</v>
      </c>
      <c r="C4042" s="140" t="s">
        <v>243</v>
      </c>
      <c r="D4042" s="140" t="s">
        <v>11</v>
      </c>
      <c r="E4042" s="140" t="s">
        <v>52</v>
      </c>
      <c r="F4042">
        <v>1359</v>
      </c>
      <c r="G4042" s="140" t="s">
        <v>379</v>
      </c>
      <c r="H4042">
        <v>0</v>
      </c>
      <c r="I4042" s="140" t="s">
        <v>17</v>
      </c>
    </row>
    <row r="4043" spans="1:9" hidden="1" x14ac:dyDescent="0.25">
      <c r="A4043">
        <v>2012</v>
      </c>
      <c r="B4043" s="140" t="s">
        <v>378</v>
      </c>
      <c r="C4043" s="140" t="s">
        <v>243</v>
      </c>
      <c r="D4043" s="140" t="s">
        <v>11</v>
      </c>
      <c r="E4043" s="140" t="s">
        <v>52</v>
      </c>
      <c r="F4043">
        <v>970</v>
      </c>
      <c r="G4043" s="140" t="s">
        <v>379</v>
      </c>
      <c r="H4043">
        <v>0</v>
      </c>
      <c r="I4043" s="140" t="s">
        <v>17</v>
      </c>
    </row>
    <row r="4044" spans="1:9" hidden="1" x14ac:dyDescent="0.25">
      <c r="A4044">
        <v>2013</v>
      </c>
      <c r="B4044" s="140" t="s">
        <v>378</v>
      </c>
      <c r="C4044" s="140" t="s">
        <v>243</v>
      </c>
      <c r="D4044" s="140" t="s">
        <v>11</v>
      </c>
      <c r="E4044" s="140" t="s">
        <v>52</v>
      </c>
      <c r="F4044">
        <v>1361</v>
      </c>
      <c r="G4044" s="140" t="s">
        <v>379</v>
      </c>
      <c r="H4044">
        <v>0</v>
      </c>
      <c r="I4044" s="140" t="s">
        <v>17</v>
      </c>
    </row>
    <row r="4045" spans="1:9" hidden="1" x14ac:dyDescent="0.25">
      <c r="A4045">
        <v>2014</v>
      </c>
      <c r="B4045" s="140" t="s">
        <v>378</v>
      </c>
      <c r="C4045" s="140" t="s">
        <v>243</v>
      </c>
      <c r="D4045" s="140" t="s">
        <v>11</v>
      </c>
      <c r="E4045" s="140" t="s">
        <v>52</v>
      </c>
      <c r="F4045">
        <v>1770</v>
      </c>
      <c r="G4045" s="140" t="s">
        <v>379</v>
      </c>
      <c r="H4045">
        <v>0</v>
      </c>
      <c r="I4045" s="140" t="s">
        <v>17</v>
      </c>
    </row>
    <row r="4046" spans="1:9" hidden="1" x14ac:dyDescent="0.25">
      <c r="A4046">
        <v>2015</v>
      </c>
      <c r="B4046" s="140" t="s">
        <v>378</v>
      </c>
      <c r="C4046" s="140" t="s">
        <v>243</v>
      </c>
      <c r="D4046" s="140" t="s">
        <v>11</v>
      </c>
      <c r="E4046" s="140" t="s">
        <v>52</v>
      </c>
      <c r="F4046">
        <v>1749</v>
      </c>
      <c r="G4046" s="140" t="s">
        <v>379</v>
      </c>
      <c r="H4046">
        <v>0</v>
      </c>
      <c r="I4046" s="140" t="s">
        <v>17</v>
      </c>
    </row>
    <row r="4047" spans="1:9" hidden="1" x14ac:dyDescent="0.25">
      <c r="A4047">
        <v>2016</v>
      </c>
      <c r="B4047" s="140" t="s">
        <v>378</v>
      </c>
      <c r="C4047" s="140" t="s">
        <v>243</v>
      </c>
      <c r="D4047" s="140" t="s">
        <v>11</v>
      </c>
      <c r="E4047" s="140" t="s">
        <v>52</v>
      </c>
      <c r="F4047">
        <v>1395</v>
      </c>
      <c r="G4047" s="140" t="s">
        <v>379</v>
      </c>
      <c r="H4047">
        <v>0</v>
      </c>
      <c r="I4047" s="140" t="s">
        <v>17</v>
      </c>
    </row>
    <row r="4048" spans="1:9" hidden="1" x14ac:dyDescent="0.25">
      <c r="A4048">
        <v>2017</v>
      </c>
      <c r="B4048" s="140" t="s">
        <v>378</v>
      </c>
      <c r="C4048" s="140" t="s">
        <v>243</v>
      </c>
      <c r="D4048" s="140" t="s">
        <v>11</v>
      </c>
      <c r="E4048" s="140" t="s">
        <v>52</v>
      </c>
      <c r="F4048">
        <v>1349</v>
      </c>
      <c r="G4048" s="140" t="s">
        <v>379</v>
      </c>
      <c r="H4048">
        <v>0</v>
      </c>
      <c r="I4048" s="140" t="s">
        <v>17</v>
      </c>
    </row>
    <row r="4049" spans="1:9" hidden="1" x14ac:dyDescent="0.25">
      <c r="A4049">
        <v>2018</v>
      </c>
      <c r="B4049" s="140" t="s">
        <v>378</v>
      </c>
      <c r="C4049" s="140" t="s">
        <v>243</v>
      </c>
      <c r="D4049" s="140" t="s">
        <v>11</v>
      </c>
      <c r="E4049" s="140" t="s">
        <v>52</v>
      </c>
      <c r="F4049">
        <v>1374</v>
      </c>
      <c r="G4049" s="140" t="s">
        <v>379</v>
      </c>
      <c r="H4049">
        <v>0</v>
      </c>
      <c r="I4049" s="140" t="s">
        <v>17</v>
      </c>
    </row>
    <row r="4050" spans="1:9" hidden="1" x14ac:dyDescent="0.25">
      <c r="A4050">
        <v>2019</v>
      </c>
      <c r="B4050" s="140" t="s">
        <v>378</v>
      </c>
      <c r="C4050" s="140" t="s">
        <v>243</v>
      </c>
      <c r="D4050" s="140" t="s">
        <v>11</v>
      </c>
      <c r="E4050" s="140" t="s">
        <v>52</v>
      </c>
      <c r="F4050">
        <v>1396</v>
      </c>
      <c r="G4050" s="140" t="s">
        <v>379</v>
      </c>
      <c r="H4050">
        <v>0</v>
      </c>
      <c r="I4050" s="140" t="s">
        <v>17</v>
      </c>
    </row>
    <row r="4051" spans="1:9" hidden="1" x14ac:dyDescent="0.25">
      <c r="A4051">
        <v>2020</v>
      </c>
      <c r="B4051" s="140" t="s">
        <v>378</v>
      </c>
      <c r="C4051" s="140" t="s">
        <v>243</v>
      </c>
      <c r="D4051" s="140" t="s">
        <v>11</v>
      </c>
      <c r="E4051" s="140" t="s">
        <v>52</v>
      </c>
      <c r="F4051">
        <v>1374</v>
      </c>
      <c r="G4051" s="140" t="s">
        <v>379</v>
      </c>
      <c r="H4051">
        <v>0</v>
      </c>
      <c r="I4051" s="140" t="s">
        <v>17</v>
      </c>
    </row>
    <row r="4052" spans="1:9" hidden="1" x14ac:dyDescent="0.25">
      <c r="A4052">
        <v>2021</v>
      </c>
      <c r="B4052" s="140" t="s">
        <v>378</v>
      </c>
      <c r="C4052" s="140" t="s">
        <v>243</v>
      </c>
      <c r="D4052" s="140" t="s">
        <v>11</v>
      </c>
      <c r="E4052" s="140" t="s">
        <v>52</v>
      </c>
      <c r="F4052">
        <v>1376</v>
      </c>
      <c r="G4052" s="140" t="s">
        <v>379</v>
      </c>
      <c r="H4052">
        <v>0</v>
      </c>
      <c r="I4052" s="140" t="s">
        <v>17</v>
      </c>
    </row>
    <row r="4053" spans="1:9" hidden="1" x14ac:dyDescent="0.25">
      <c r="A4053">
        <v>2022</v>
      </c>
      <c r="B4053" s="140" t="s">
        <v>378</v>
      </c>
      <c r="C4053" s="140" t="s">
        <v>243</v>
      </c>
      <c r="D4053" s="140" t="s">
        <v>11</v>
      </c>
      <c r="E4053" s="140" t="s">
        <v>52</v>
      </c>
      <c r="F4053">
        <v>1699</v>
      </c>
      <c r="G4053" s="140" t="s">
        <v>379</v>
      </c>
      <c r="H4053">
        <v>0</v>
      </c>
      <c r="I4053" s="140" t="s">
        <v>17</v>
      </c>
    </row>
    <row r="4054" spans="1:9" hidden="1" x14ac:dyDescent="0.25">
      <c r="A4054">
        <v>2023</v>
      </c>
      <c r="B4054" s="140" t="s">
        <v>378</v>
      </c>
      <c r="C4054" s="140" t="s">
        <v>243</v>
      </c>
      <c r="D4054" s="140" t="s">
        <v>11</v>
      </c>
      <c r="E4054" s="140" t="s">
        <v>52</v>
      </c>
      <c r="F4054">
        <v>2294</v>
      </c>
      <c r="G4054" s="140" t="s">
        <v>379</v>
      </c>
      <c r="H4054">
        <v>0</v>
      </c>
      <c r="I4054" s="140" t="s">
        <v>17</v>
      </c>
    </row>
    <row r="4055" spans="1:9" hidden="1" x14ac:dyDescent="0.25">
      <c r="A4055">
        <v>2024</v>
      </c>
      <c r="B4055" s="140" t="s">
        <v>378</v>
      </c>
      <c r="C4055" s="140" t="s">
        <v>243</v>
      </c>
      <c r="D4055" s="140" t="s">
        <v>11</v>
      </c>
      <c r="E4055" s="140" t="s">
        <v>52</v>
      </c>
      <c r="F4055">
        <v>2370</v>
      </c>
      <c r="G4055" s="140" t="s">
        <v>379</v>
      </c>
      <c r="H4055">
        <v>0</v>
      </c>
      <c r="I4055" s="140" t="s">
        <v>17</v>
      </c>
    </row>
    <row r="4056" spans="1:9" hidden="1" x14ac:dyDescent="0.25">
      <c r="A4056">
        <v>2025</v>
      </c>
      <c r="B4056" s="140" t="s">
        <v>378</v>
      </c>
      <c r="C4056" s="140" t="s">
        <v>243</v>
      </c>
      <c r="D4056" s="140" t="s">
        <v>11</v>
      </c>
      <c r="E4056" s="140" t="s">
        <v>52</v>
      </c>
      <c r="F4056">
        <v>2087</v>
      </c>
      <c r="G4056" s="140" t="s">
        <v>379</v>
      </c>
      <c r="H4056">
        <v>0</v>
      </c>
      <c r="I4056" s="140" t="s">
        <v>17</v>
      </c>
    </row>
    <row r="4057" spans="1:9" hidden="1" x14ac:dyDescent="0.25">
      <c r="A4057">
        <v>2026</v>
      </c>
      <c r="B4057" s="140" t="s">
        <v>378</v>
      </c>
      <c r="C4057" s="140" t="s">
        <v>243</v>
      </c>
      <c r="D4057" s="140" t="s">
        <v>11</v>
      </c>
      <c r="E4057" s="140" t="s">
        <v>52</v>
      </c>
      <c r="F4057">
        <v>2087</v>
      </c>
      <c r="G4057" s="140" t="s">
        <v>379</v>
      </c>
      <c r="H4057">
        <v>0</v>
      </c>
      <c r="I4057" s="140" t="s">
        <v>17</v>
      </c>
    </row>
    <row r="4058" spans="1:9" hidden="1" x14ac:dyDescent="0.25">
      <c r="A4058">
        <v>2027</v>
      </c>
      <c r="B4058" s="140" t="s">
        <v>378</v>
      </c>
      <c r="C4058" s="140" t="s">
        <v>243</v>
      </c>
      <c r="D4058" s="140" t="s">
        <v>11</v>
      </c>
      <c r="E4058" s="140" t="s">
        <v>52</v>
      </c>
      <c r="F4058">
        <v>2087</v>
      </c>
      <c r="G4058" s="140" t="s">
        <v>379</v>
      </c>
      <c r="H4058">
        <v>0</v>
      </c>
      <c r="I4058" s="140" t="s">
        <v>17</v>
      </c>
    </row>
    <row r="4059" spans="1:9" hidden="1" x14ac:dyDescent="0.25">
      <c r="A4059">
        <v>2028</v>
      </c>
      <c r="B4059" s="140" t="s">
        <v>378</v>
      </c>
      <c r="C4059" s="140" t="s">
        <v>243</v>
      </c>
      <c r="D4059" s="140" t="s">
        <v>11</v>
      </c>
      <c r="E4059" s="140" t="s">
        <v>52</v>
      </c>
      <c r="F4059">
        <v>2087</v>
      </c>
      <c r="G4059" s="140" t="s">
        <v>379</v>
      </c>
      <c r="H4059">
        <v>0</v>
      </c>
      <c r="I4059" s="140" t="s">
        <v>17</v>
      </c>
    </row>
    <row r="4060" spans="1:9" hidden="1" x14ac:dyDescent="0.25">
      <c r="A4060">
        <v>1990</v>
      </c>
      <c r="B4060" s="140" t="s">
        <v>380</v>
      </c>
      <c r="C4060" s="140" t="s">
        <v>243</v>
      </c>
      <c r="D4060" s="140" t="s">
        <v>11</v>
      </c>
      <c r="E4060" s="140" t="s">
        <v>52</v>
      </c>
      <c r="F4060">
        <v>0</v>
      </c>
      <c r="G4060" s="140" t="s">
        <v>381</v>
      </c>
      <c r="H4060">
        <v>0</v>
      </c>
      <c r="I4060" s="140" t="s">
        <v>17</v>
      </c>
    </row>
    <row r="4061" spans="1:9" hidden="1" x14ac:dyDescent="0.25">
      <c r="A4061">
        <v>1991</v>
      </c>
      <c r="B4061" s="140" t="s">
        <v>380</v>
      </c>
      <c r="C4061" s="140" t="s">
        <v>243</v>
      </c>
      <c r="D4061" s="140" t="s">
        <v>11</v>
      </c>
      <c r="E4061" s="140" t="s">
        <v>52</v>
      </c>
      <c r="F4061">
        <v>0</v>
      </c>
      <c r="G4061" s="140" t="s">
        <v>381</v>
      </c>
      <c r="H4061">
        <v>0</v>
      </c>
      <c r="I4061" s="140" t="s">
        <v>17</v>
      </c>
    </row>
    <row r="4062" spans="1:9" hidden="1" x14ac:dyDescent="0.25">
      <c r="A4062">
        <v>1992</v>
      </c>
      <c r="B4062" s="140" t="s">
        <v>380</v>
      </c>
      <c r="C4062" s="140" t="s">
        <v>243</v>
      </c>
      <c r="D4062" s="140" t="s">
        <v>11</v>
      </c>
      <c r="E4062" s="140" t="s">
        <v>52</v>
      </c>
      <c r="F4062">
        <v>0</v>
      </c>
      <c r="G4062" s="140" t="s">
        <v>381</v>
      </c>
      <c r="H4062">
        <v>0</v>
      </c>
      <c r="I4062" s="140" t="s">
        <v>17</v>
      </c>
    </row>
    <row r="4063" spans="1:9" hidden="1" x14ac:dyDescent="0.25">
      <c r="A4063">
        <v>1993</v>
      </c>
      <c r="B4063" s="140" t="s">
        <v>380</v>
      </c>
      <c r="C4063" s="140" t="s">
        <v>243</v>
      </c>
      <c r="D4063" s="140" t="s">
        <v>11</v>
      </c>
      <c r="E4063" s="140" t="s">
        <v>52</v>
      </c>
      <c r="F4063">
        <v>0</v>
      </c>
      <c r="G4063" s="140" t="s">
        <v>381</v>
      </c>
      <c r="H4063">
        <v>0</v>
      </c>
      <c r="I4063" s="140" t="s">
        <v>17</v>
      </c>
    </row>
    <row r="4064" spans="1:9" hidden="1" x14ac:dyDescent="0.25">
      <c r="A4064">
        <v>1994</v>
      </c>
      <c r="B4064" s="140" t="s">
        <v>380</v>
      </c>
      <c r="C4064" s="140" t="s">
        <v>243</v>
      </c>
      <c r="D4064" s="140" t="s">
        <v>11</v>
      </c>
      <c r="E4064" s="140" t="s">
        <v>52</v>
      </c>
      <c r="F4064">
        <v>0</v>
      </c>
      <c r="G4064" s="140" t="s">
        <v>381</v>
      </c>
      <c r="H4064">
        <v>0</v>
      </c>
      <c r="I4064" s="140" t="s">
        <v>17</v>
      </c>
    </row>
    <row r="4065" spans="1:9" hidden="1" x14ac:dyDescent="0.25">
      <c r="A4065">
        <v>1995</v>
      </c>
      <c r="B4065" s="140" t="s">
        <v>380</v>
      </c>
      <c r="C4065" s="140" t="s">
        <v>243</v>
      </c>
      <c r="D4065" s="140" t="s">
        <v>11</v>
      </c>
      <c r="E4065" s="140" t="s">
        <v>52</v>
      </c>
      <c r="F4065">
        <v>0</v>
      </c>
      <c r="G4065" s="140" t="s">
        <v>381</v>
      </c>
      <c r="H4065">
        <v>0</v>
      </c>
      <c r="I4065" s="140" t="s">
        <v>17</v>
      </c>
    </row>
    <row r="4066" spans="1:9" hidden="1" x14ac:dyDescent="0.25">
      <c r="A4066">
        <v>1996</v>
      </c>
      <c r="B4066" s="140" t="s">
        <v>380</v>
      </c>
      <c r="C4066" s="140" t="s">
        <v>243</v>
      </c>
      <c r="D4066" s="140" t="s">
        <v>11</v>
      </c>
      <c r="E4066" s="140" t="s">
        <v>52</v>
      </c>
      <c r="F4066">
        <v>0</v>
      </c>
      <c r="G4066" s="140" t="s">
        <v>381</v>
      </c>
      <c r="H4066">
        <v>0</v>
      </c>
      <c r="I4066" s="140" t="s">
        <v>17</v>
      </c>
    </row>
    <row r="4067" spans="1:9" hidden="1" x14ac:dyDescent="0.25">
      <c r="A4067">
        <v>1997</v>
      </c>
      <c r="B4067" s="140" t="s">
        <v>380</v>
      </c>
      <c r="C4067" s="140" t="s">
        <v>243</v>
      </c>
      <c r="D4067" s="140" t="s">
        <v>11</v>
      </c>
      <c r="E4067" s="140" t="s">
        <v>52</v>
      </c>
      <c r="F4067">
        <v>0</v>
      </c>
      <c r="G4067" s="140" t="s">
        <v>381</v>
      </c>
      <c r="H4067">
        <v>0</v>
      </c>
      <c r="I4067" s="140" t="s">
        <v>17</v>
      </c>
    </row>
    <row r="4068" spans="1:9" hidden="1" x14ac:dyDescent="0.25">
      <c r="A4068">
        <v>1998</v>
      </c>
      <c r="B4068" s="140" t="s">
        <v>380</v>
      </c>
      <c r="C4068" s="140" t="s">
        <v>243</v>
      </c>
      <c r="D4068" s="140" t="s">
        <v>11</v>
      </c>
      <c r="E4068" s="140" t="s">
        <v>52</v>
      </c>
      <c r="F4068">
        <v>0</v>
      </c>
      <c r="G4068" s="140" t="s">
        <v>381</v>
      </c>
      <c r="H4068">
        <v>0</v>
      </c>
      <c r="I4068" s="140" t="s">
        <v>17</v>
      </c>
    </row>
    <row r="4069" spans="1:9" hidden="1" x14ac:dyDescent="0.25">
      <c r="A4069">
        <v>1999</v>
      </c>
      <c r="B4069" s="140" t="s">
        <v>380</v>
      </c>
      <c r="C4069" s="140" t="s">
        <v>243</v>
      </c>
      <c r="D4069" s="140" t="s">
        <v>11</v>
      </c>
      <c r="E4069" s="140" t="s">
        <v>52</v>
      </c>
      <c r="F4069">
        <v>0</v>
      </c>
      <c r="G4069" s="140" t="s">
        <v>381</v>
      </c>
      <c r="H4069">
        <v>0</v>
      </c>
      <c r="I4069" s="140" t="s">
        <v>17</v>
      </c>
    </row>
    <row r="4070" spans="1:9" hidden="1" x14ac:dyDescent="0.25">
      <c r="A4070">
        <v>2000</v>
      </c>
      <c r="B4070" s="140" t="s">
        <v>380</v>
      </c>
      <c r="C4070" s="140" t="s">
        <v>243</v>
      </c>
      <c r="D4070" s="140" t="s">
        <v>11</v>
      </c>
      <c r="E4070" s="140" t="s">
        <v>52</v>
      </c>
      <c r="F4070">
        <v>0</v>
      </c>
      <c r="G4070" s="140" t="s">
        <v>381</v>
      </c>
      <c r="H4070">
        <v>0</v>
      </c>
      <c r="I4070" s="140" t="s">
        <v>17</v>
      </c>
    </row>
    <row r="4071" spans="1:9" hidden="1" x14ac:dyDescent="0.25">
      <c r="A4071">
        <v>2001</v>
      </c>
      <c r="B4071" s="140" t="s">
        <v>380</v>
      </c>
      <c r="C4071" s="140" t="s">
        <v>243</v>
      </c>
      <c r="D4071" s="140" t="s">
        <v>11</v>
      </c>
      <c r="E4071" s="140" t="s">
        <v>52</v>
      </c>
      <c r="F4071">
        <v>0</v>
      </c>
      <c r="G4071" s="140" t="s">
        <v>381</v>
      </c>
      <c r="H4071">
        <v>0</v>
      </c>
      <c r="I4071" s="140" t="s">
        <v>17</v>
      </c>
    </row>
    <row r="4072" spans="1:9" hidden="1" x14ac:dyDescent="0.25">
      <c r="A4072">
        <v>2002</v>
      </c>
      <c r="B4072" s="140" t="s">
        <v>380</v>
      </c>
      <c r="C4072" s="140" t="s">
        <v>243</v>
      </c>
      <c r="D4072" s="140" t="s">
        <v>11</v>
      </c>
      <c r="E4072" s="140" t="s">
        <v>52</v>
      </c>
      <c r="F4072">
        <v>0</v>
      </c>
      <c r="G4072" s="140" t="s">
        <v>381</v>
      </c>
      <c r="H4072">
        <v>0</v>
      </c>
      <c r="I4072" s="140" t="s">
        <v>17</v>
      </c>
    </row>
    <row r="4073" spans="1:9" hidden="1" x14ac:dyDescent="0.25">
      <c r="A4073">
        <v>2003</v>
      </c>
      <c r="B4073" s="140" t="s">
        <v>380</v>
      </c>
      <c r="C4073" s="140" t="s">
        <v>243</v>
      </c>
      <c r="D4073" s="140" t="s">
        <v>11</v>
      </c>
      <c r="E4073" s="140" t="s">
        <v>52</v>
      </c>
      <c r="F4073">
        <v>0</v>
      </c>
      <c r="G4073" s="140" t="s">
        <v>381</v>
      </c>
      <c r="H4073">
        <v>0</v>
      </c>
      <c r="I4073" s="140" t="s">
        <v>17</v>
      </c>
    </row>
    <row r="4074" spans="1:9" hidden="1" x14ac:dyDescent="0.25">
      <c r="A4074">
        <v>2004</v>
      </c>
      <c r="B4074" s="140" t="s">
        <v>380</v>
      </c>
      <c r="C4074" s="140" t="s">
        <v>243</v>
      </c>
      <c r="D4074" s="140" t="s">
        <v>11</v>
      </c>
      <c r="E4074" s="140" t="s">
        <v>52</v>
      </c>
      <c r="F4074">
        <v>11</v>
      </c>
      <c r="G4074" s="140" t="s">
        <v>381</v>
      </c>
      <c r="H4074">
        <v>0</v>
      </c>
      <c r="I4074" s="140" t="s">
        <v>17</v>
      </c>
    </row>
    <row r="4075" spans="1:9" hidden="1" x14ac:dyDescent="0.25">
      <c r="A4075">
        <v>2005</v>
      </c>
      <c r="B4075" s="140" t="s">
        <v>380</v>
      </c>
      <c r="C4075" s="140" t="s">
        <v>243</v>
      </c>
      <c r="D4075" s="140" t="s">
        <v>11</v>
      </c>
      <c r="E4075" s="140" t="s">
        <v>52</v>
      </c>
      <c r="F4075">
        <v>13</v>
      </c>
      <c r="G4075" s="140" t="s">
        <v>381</v>
      </c>
      <c r="H4075">
        <v>0</v>
      </c>
      <c r="I4075" s="140" t="s">
        <v>17</v>
      </c>
    </row>
    <row r="4076" spans="1:9" hidden="1" x14ac:dyDescent="0.25">
      <c r="A4076">
        <v>2006</v>
      </c>
      <c r="B4076" s="140" t="s">
        <v>380</v>
      </c>
      <c r="C4076" s="140" t="s">
        <v>243</v>
      </c>
      <c r="D4076" s="140" t="s">
        <v>11</v>
      </c>
      <c r="E4076" s="140" t="s">
        <v>52</v>
      </c>
      <c r="F4076">
        <v>14</v>
      </c>
      <c r="G4076" s="140" t="s">
        <v>381</v>
      </c>
      <c r="H4076">
        <v>0</v>
      </c>
      <c r="I4076" s="140" t="s">
        <v>17</v>
      </c>
    </row>
    <row r="4077" spans="1:9" hidden="1" x14ac:dyDescent="0.25">
      <c r="A4077">
        <v>2007</v>
      </c>
      <c r="B4077" s="140" t="s">
        <v>380</v>
      </c>
      <c r="C4077" s="140" t="s">
        <v>243</v>
      </c>
      <c r="D4077" s="140" t="s">
        <v>11</v>
      </c>
      <c r="E4077" s="140" t="s">
        <v>52</v>
      </c>
      <c r="F4077">
        <v>17</v>
      </c>
      <c r="G4077" s="140" t="s">
        <v>381</v>
      </c>
      <c r="H4077">
        <v>0</v>
      </c>
      <c r="I4077" s="140" t="s">
        <v>17</v>
      </c>
    </row>
    <row r="4078" spans="1:9" hidden="1" x14ac:dyDescent="0.25">
      <c r="A4078">
        <v>2008</v>
      </c>
      <c r="B4078" s="140" t="s">
        <v>380</v>
      </c>
      <c r="C4078" s="140" t="s">
        <v>243</v>
      </c>
      <c r="D4078" s="140" t="s">
        <v>11</v>
      </c>
      <c r="E4078" s="140" t="s">
        <v>52</v>
      </c>
      <c r="F4078">
        <v>16</v>
      </c>
      <c r="G4078" s="140" t="s">
        <v>381</v>
      </c>
      <c r="H4078">
        <v>0</v>
      </c>
      <c r="I4078" s="140" t="s">
        <v>17</v>
      </c>
    </row>
    <row r="4079" spans="1:9" hidden="1" x14ac:dyDescent="0.25">
      <c r="A4079">
        <v>2009</v>
      </c>
      <c r="B4079" s="140" t="s">
        <v>380</v>
      </c>
      <c r="C4079" s="140" t="s">
        <v>243</v>
      </c>
      <c r="D4079" s="140" t="s">
        <v>11</v>
      </c>
      <c r="E4079" s="140" t="s">
        <v>52</v>
      </c>
      <c r="F4079">
        <v>15</v>
      </c>
      <c r="G4079" s="140" t="s">
        <v>381</v>
      </c>
      <c r="H4079">
        <v>0</v>
      </c>
      <c r="I4079" s="140" t="s">
        <v>17</v>
      </c>
    </row>
    <row r="4080" spans="1:9" hidden="1" x14ac:dyDescent="0.25">
      <c r="A4080">
        <v>2010</v>
      </c>
      <c r="B4080" s="140" t="s">
        <v>380</v>
      </c>
      <c r="C4080" s="140" t="s">
        <v>243</v>
      </c>
      <c r="D4080" s="140" t="s">
        <v>11</v>
      </c>
      <c r="E4080" s="140" t="s">
        <v>52</v>
      </c>
      <c r="F4080">
        <v>0</v>
      </c>
      <c r="G4080" s="140" t="s">
        <v>381</v>
      </c>
      <c r="H4080">
        <v>0</v>
      </c>
      <c r="I4080" s="140" t="s">
        <v>17</v>
      </c>
    </row>
    <row r="4081" spans="1:9" hidden="1" x14ac:dyDescent="0.25">
      <c r="A4081">
        <v>2011</v>
      </c>
      <c r="B4081" s="140" t="s">
        <v>380</v>
      </c>
      <c r="C4081" s="140" t="s">
        <v>243</v>
      </c>
      <c r="D4081" s="140" t="s">
        <v>11</v>
      </c>
      <c r="E4081" s="140" t="s">
        <v>52</v>
      </c>
      <c r="F4081">
        <v>0</v>
      </c>
      <c r="G4081" s="140" t="s">
        <v>381</v>
      </c>
      <c r="H4081">
        <v>0</v>
      </c>
      <c r="I4081" s="140" t="s">
        <v>17</v>
      </c>
    </row>
    <row r="4082" spans="1:9" hidden="1" x14ac:dyDescent="0.25">
      <c r="A4082">
        <v>2012</v>
      </c>
      <c r="B4082" s="140" t="s">
        <v>380</v>
      </c>
      <c r="C4082" s="140" t="s">
        <v>243</v>
      </c>
      <c r="D4082" s="140" t="s">
        <v>11</v>
      </c>
      <c r="E4082" s="140" t="s">
        <v>52</v>
      </c>
      <c r="F4082">
        <v>0</v>
      </c>
      <c r="G4082" s="140" t="s">
        <v>381</v>
      </c>
      <c r="H4082">
        <v>0</v>
      </c>
      <c r="I4082" s="140" t="s">
        <v>17</v>
      </c>
    </row>
    <row r="4083" spans="1:9" hidden="1" x14ac:dyDescent="0.25">
      <c r="A4083">
        <v>2013</v>
      </c>
      <c r="B4083" s="140" t="s">
        <v>380</v>
      </c>
      <c r="C4083" s="140" t="s">
        <v>243</v>
      </c>
      <c r="D4083" s="140" t="s">
        <v>11</v>
      </c>
      <c r="E4083" s="140" t="s">
        <v>52</v>
      </c>
      <c r="F4083">
        <v>0</v>
      </c>
      <c r="G4083" s="140" t="s">
        <v>381</v>
      </c>
      <c r="H4083">
        <v>0</v>
      </c>
      <c r="I4083" s="140" t="s">
        <v>17</v>
      </c>
    </row>
    <row r="4084" spans="1:9" hidden="1" x14ac:dyDescent="0.25">
      <c r="A4084">
        <v>2014</v>
      </c>
      <c r="B4084" s="140" t="s">
        <v>380</v>
      </c>
      <c r="C4084" s="140" t="s">
        <v>243</v>
      </c>
      <c r="D4084" s="140" t="s">
        <v>11</v>
      </c>
      <c r="E4084" s="140" t="s">
        <v>52</v>
      </c>
      <c r="F4084">
        <v>0</v>
      </c>
      <c r="G4084" s="140" t="s">
        <v>381</v>
      </c>
      <c r="H4084">
        <v>0</v>
      </c>
      <c r="I4084" s="140" t="s">
        <v>17</v>
      </c>
    </row>
    <row r="4085" spans="1:9" hidden="1" x14ac:dyDescent="0.25">
      <c r="A4085">
        <v>2015</v>
      </c>
      <c r="B4085" s="140" t="s">
        <v>380</v>
      </c>
      <c r="C4085" s="140" t="s">
        <v>243</v>
      </c>
      <c r="D4085" s="140" t="s">
        <v>11</v>
      </c>
      <c r="E4085" s="140" t="s">
        <v>52</v>
      </c>
      <c r="F4085">
        <v>0</v>
      </c>
      <c r="G4085" s="140" t="s">
        <v>381</v>
      </c>
      <c r="H4085">
        <v>0</v>
      </c>
      <c r="I4085" s="140" t="s">
        <v>17</v>
      </c>
    </row>
    <row r="4086" spans="1:9" hidden="1" x14ac:dyDescent="0.25">
      <c r="A4086">
        <v>2016</v>
      </c>
      <c r="B4086" s="140" t="s">
        <v>380</v>
      </c>
      <c r="C4086" s="140" t="s">
        <v>243</v>
      </c>
      <c r="D4086" s="140" t="s">
        <v>11</v>
      </c>
      <c r="E4086" s="140" t="s">
        <v>52</v>
      </c>
      <c r="F4086">
        <v>0</v>
      </c>
      <c r="G4086" s="140" t="s">
        <v>381</v>
      </c>
      <c r="H4086">
        <v>0</v>
      </c>
      <c r="I4086" s="140" t="s">
        <v>17</v>
      </c>
    </row>
    <row r="4087" spans="1:9" hidden="1" x14ac:dyDescent="0.25">
      <c r="A4087">
        <v>2017</v>
      </c>
      <c r="B4087" s="140" t="s">
        <v>380</v>
      </c>
      <c r="C4087" s="140" t="s">
        <v>243</v>
      </c>
      <c r="D4087" s="140" t="s">
        <v>11</v>
      </c>
      <c r="E4087" s="140" t="s">
        <v>52</v>
      </c>
      <c r="F4087">
        <v>0</v>
      </c>
      <c r="G4087" s="140" t="s">
        <v>381</v>
      </c>
      <c r="H4087">
        <v>0</v>
      </c>
      <c r="I4087" s="140" t="s">
        <v>17</v>
      </c>
    </row>
    <row r="4088" spans="1:9" hidden="1" x14ac:dyDescent="0.25">
      <c r="A4088">
        <v>2018</v>
      </c>
      <c r="B4088" s="140" t="s">
        <v>380</v>
      </c>
      <c r="C4088" s="140" t="s">
        <v>243</v>
      </c>
      <c r="D4088" s="140" t="s">
        <v>11</v>
      </c>
      <c r="E4088" s="140" t="s">
        <v>52</v>
      </c>
      <c r="F4088">
        <v>0</v>
      </c>
      <c r="G4088" s="140" t="s">
        <v>381</v>
      </c>
      <c r="H4088">
        <v>0</v>
      </c>
      <c r="I4088" s="140" t="s">
        <v>17</v>
      </c>
    </row>
    <row r="4089" spans="1:9" hidden="1" x14ac:dyDescent="0.25">
      <c r="A4089">
        <v>2019</v>
      </c>
      <c r="B4089" s="140" t="s">
        <v>380</v>
      </c>
      <c r="C4089" s="140" t="s">
        <v>243</v>
      </c>
      <c r="D4089" s="140" t="s">
        <v>11</v>
      </c>
      <c r="E4089" s="140" t="s">
        <v>52</v>
      </c>
      <c r="F4089">
        <v>0</v>
      </c>
      <c r="G4089" s="140" t="s">
        <v>381</v>
      </c>
      <c r="H4089">
        <v>0</v>
      </c>
      <c r="I4089" s="140" t="s">
        <v>17</v>
      </c>
    </row>
    <row r="4090" spans="1:9" hidden="1" x14ac:dyDescent="0.25">
      <c r="A4090">
        <v>2020</v>
      </c>
      <c r="B4090" s="140" t="s">
        <v>380</v>
      </c>
      <c r="C4090" s="140" t="s">
        <v>243</v>
      </c>
      <c r="D4090" s="140" t="s">
        <v>11</v>
      </c>
      <c r="E4090" s="140" t="s">
        <v>52</v>
      </c>
      <c r="F4090">
        <v>0</v>
      </c>
      <c r="G4090" s="140" t="s">
        <v>381</v>
      </c>
      <c r="H4090">
        <v>0</v>
      </c>
      <c r="I4090" s="140" t="s">
        <v>17</v>
      </c>
    </row>
    <row r="4091" spans="1:9" hidden="1" x14ac:dyDescent="0.25">
      <c r="A4091">
        <v>2021</v>
      </c>
      <c r="B4091" s="140" t="s">
        <v>380</v>
      </c>
      <c r="C4091" s="140" t="s">
        <v>243</v>
      </c>
      <c r="D4091" s="140" t="s">
        <v>11</v>
      </c>
      <c r="E4091" s="140" t="s">
        <v>52</v>
      </c>
      <c r="F4091">
        <v>0</v>
      </c>
      <c r="G4091" s="140" t="s">
        <v>381</v>
      </c>
      <c r="H4091">
        <v>0</v>
      </c>
      <c r="I4091" s="140" t="s">
        <v>17</v>
      </c>
    </row>
    <row r="4092" spans="1:9" hidden="1" x14ac:dyDescent="0.25">
      <c r="A4092">
        <v>2022</v>
      </c>
      <c r="B4092" s="140" t="s">
        <v>380</v>
      </c>
      <c r="C4092" s="140" t="s">
        <v>243</v>
      </c>
      <c r="D4092" s="140" t="s">
        <v>11</v>
      </c>
      <c r="E4092" s="140" t="s">
        <v>52</v>
      </c>
      <c r="F4092">
        <v>0</v>
      </c>
      <c r="G4092" s="140" t="s">
        <v>381</v>
      </c>
      <c r="H4092">
        <v>0</v>
      </c>
      <c r="I4092" s="140" t="s">
        <v>17</v>
      </c>
    </row>
    <row r="4093" spans="1:9" hidden="1" x14ac:dyDescent="0.25">
      <c r="A4093">
        <v>2023</v>
      </c>
      <c r="B4093" s="140" t="s">
        <v>380</v>
      </c>
      <c r="C4093" s="140" t="s">
        <v>243</v>
      </c>
      <c r="D4093" s="140" t="s">
        <v>11</v>
      </c>
      <c r="E4093" s="140" t="s">
        <v>52</v>
      </c>
      <c r="F4093">
        <v>0</v>
      </c>
      <c r="G4093" s="140" t="s">
        <v>381</v>
      </c>
      <c r="H4093">
        <v>0</v>
      </c>
      <c r="I4093" s="140" t="s">
        <v>17</v>
      </c>
    </row>
    <row r="4094" spans="1:9" hidden="1" x14ac:dyDescent="0.25">
      <c r="A4094">
        <v>2024</v>
      </c>
      <c r="B4094" s="140" t="s">
        <v>380</v>
      </c>
      <c r="C4094" s="140" t="s">
        <v>243</v>
      </c>
      <c r="D4094" s="140" t="s">
        <v>11</v>
      </c>
      <c r="E4094" s="140" t="s">
        <v>52</v>
      </c>
      <c r="F4094">
        <v>0</v>
      </c>
      <c r="G4094" s="140" t="s">
        <v>381</v>
      </c>
      <c r="H4094">
        <v>0</v>
      </c>
      <c r="I4094" s="140" t="s">
        <v>17</v>
      </c>
    </row>
    <row r="4095" spans="1:9" hidden="1" x14ac:dyDescent="0.25">
      <c r="A4095">
        <v>2025</v>
      </c>
      <c r="B4095" s="140" t="s">
        <v>380</v>
      </c>
      <c r="C4095" s="140" t="s">
        <v>243</v>
      </c>
      <c r="D4095" s="140" t="s">
        <v>11</v>
      </c>
      <c r="E4095" s="140" t="s">
        <v>52</v>
      </c>
      <c r="F4095">
        <v>0</v>
      </c>
      <c r="G4095" s="140" t="s">
        <v>381</v>
      </c>
      <c r="H4095">
        <v>0</v>
      </c>
      <c r="I4095" s="140" t="s">
        <v>17</v>
      </c>
    </row>
    <row r="4096" spans="1:9" hidden="1" x14ac:dyDescent="0.25">
      <c r="A4096">
        <v>2026</v>
      </c>
      <c r="B4096" s="140" t="s">
        <v>380</v>
      </c>
      <c r="C4096" s="140" t="s">
        <v>243</v>
      </c>
      <c r="D4096" s="140" t="s">
        <v>11</v>
      </c>
      <c r="E4096" s="140" t="s">
        <v>52</v>
      </c>
      <c r="F4096">
        <v>0</v>
      </c>
      <c r="G4096" s="140" t="s">
        <v>381</v>
      </c>
      <c r="H4096">
        <v>0</v>
      </c>
      <c r="I4096" s="140" t="s">
        <v>17</v>
      </c>
    </row>
    <row r="4097" spans="1:9" hidden="1" x14ac:dyDescent="0.25">
      <c r="A4097">
        <v>2027</v>
      </c>
      <c r="B4097" s="140" t="s">
        <v>380</v>
      </c>
      <c r="C4097" s="140" t="s">
        <v>243</v>
      </c>
      <c r="D4097" s="140" t="s">
        <v>11</v>
      </c>
      <c r="E4097" s="140" t="s">
        <v>52</v>
      </c>
      <c r="F4097">
        <v>0</v>
      </c>
      <c r="G4097" s="140" t="s">
        <v>381</v>
      </c>
      <c r="H4097">
        <v>0</v>
      </c>
      <c r="I4097" s="140" t="s">
        <v>17</v>
      </c>
    </row>
    <row r="4098" spans="1:9" hidden="1" x14ac:dyDescent="0.25">
      <c r="A4098">
        <v>2028</v>
      </c>
      <c r="B4098" s="140" t="s">
        <v>380</v>
      </c>
      <c r="C4098" s="140" t="s">
        <v>243</v>
      </c>
      <c r="D4098" s="140" t="s">
        <v>11</v>
      </c>
      <c r="E4098" s="140" t="s">
        <v>52</v>
      </c>
      <c r="F4098">
        <v>0</v>
      </c>
      <c r="G4098" s="140" t="s">
        <v>381</v>
      </c>
      <c r="H4098">
        <v>0</v>
      </c>
      <c r="I4098" s="140" t="s">
        <v>17</v>
      </c>
    </row>
    <row r="4099" spans="1:9" hidden="1" x14ac:dyDescent="0.25">
      <c r="A4099">
        <v>1990</v>
      </c>
      <c r="B4099" s="140" t="s">
        <v>382</v>
      </c>
      <c r="C4099" s="140" t="s">
        <v>243</v>
      </c>
      <c r="D4099" s="140" t="s">
        <v>11</v>
      </c>
      <c r="E4099" s="140" t="s">
        <v>52</v>
      </c>
      <c r="F4099">
        <v>300</v>
      </c>
      <c r="G4099" s="140" t="s">
        <v>383</v>
      </c>
      <c r="H4099">
        <v>0</v>
      </c>
      <c r="I4099" s="140" t="s">
        <v>17</v>
      </c>
    </row>
    <row r="4100" spans="1:9" hidden="1" x14ac:dyDescent="0.25">
      <c r="A4100">
        <v>1991</v>
      </c>
      <c r="B4100" s="140" t="s">
        <v>382</v>
      </c>
      <c r="C4100" s="140" t="s">
        <v>243</v>
      </c>
      <c r="D4100" s="140" t="s">
        <v>11</v>
      </c>
      <c r="E4100" s="140" t="s">
        <v>52</v>
      </c>
      <c r="F4100">
        <v>343</v>
      </c>
      <c r="G4100" s="140" t="s">
        <v>383</v>
      </c>
      <c r="H4100">
        <v>0</v>
      </c>
      <c r="I4100" s="140" t="s">
        <v>17</v>
      </c>
    </row>
    <row r="4101" spans="1:9" hidden="1" x14ac:dyDescent="0.25">
      <c r="A4101">
        <v>1992</v>
      </c>
      <c r="B4101" s="140" t="s">
        <v>382</v>
      </c>
      <c r="C4101" s="140" t="s">
        <v>243</v>
      </c>
      <c r="D4101" s="140" t="s">
        <v>11</v>
      </c>
      <c r="E4101" s="140" t="s">
        <v>52</v>
      </c>
      <c r="F4101">
        <v>356</v>
      </c>
      <c r="G4101" s="140" t="s">
        <v>383</v>
      </c>
      <c r="H4101">
        <v>0</v>
      </c>
      <c r="I4101" s="140" t="s">
        <v>17</v>
      </c>
    </row>
    <row r="4102" spans="1:9" hidden="1" x14ac:dyDescent="0.25">
      <c r="A4102">
        <v>1993</v>
      </c>
      <c r="B4102" s="140" t="s">
        <v>382</v>
      </c>
      <c r="C4102" s="140" t="s">
        <v>243</v>
      </c>
      <c r="D4102" s="140" t="s">
        <v>11</v>
      </c>
      <c r="E4102" s="140" t="s">
        <v>52</v>
      </c>
      <c r="F4102">
        <v>368</v>
      </c>
      <c r="G4102" s="140" t="s">
        <v>383</v>
      </c>
      <c r="H4102">
        <v>0</v>
      </c>
      <c r="I4102" s="140" t="s">
        <v>17</v>
      </c>
    </row>
    <row r="4103" spans="1:9" hidden="1" x14ac:dyDescent="0.25">
      <c r="A4103">
        <v>1994</v>
      </c>
      <c r="B4103" s="140" t="s">
        <v>382</v>
      </c>
      <c r="C4103" s="140" t="s">
        <v>243</v>
      </c>
      <c r="D4103" s="140" t="s">
        <v>11</v>
      </c>
      <c r="E4103" s="140" t="s">
        <v>52</v>
      </c>
      <c r="F4103">
        <v>331</v>
      </c>
      <c r="G4103" s="140" t="s">
        <v>383</v>
      </c>
      <c r="H4103">
        <v>0</v>
      </c>
      <c r="I4103" s="140" t="s">
        <v>17</v>
      </c>
    </row>
    <row r="4104" spans="1:9" hidden="1" x14ac:dyDescent="0.25">
      <c r="A4104">
        <v>1995</v>
      </c>
      <c r="B4104" s="140" t="s">
        <v>382</v>
      </c>
      <c r="C4104" s="140" t="s">
        <v>243</v>
      </c>
      <c r="D4104" s="140" t="s">
        <v>11</v>
      </c>
      <c r="E4104" s="140" t="s">
        <v>52</v>
      </c>
      <c r="F4104">
        <v>526</v>
      </c>
      <c r="G4104" s="140" t="s">
        <v>383</v>
      </c>
      <c r="H4104">
        <v>0</v>
      </c>
      <c r="I4104" s="140" t="s">
        <v>17</v>
      </c>
    </row>
    <row r="4105" spans="1:9" hidden="1" x14ac:dyDescent="0.25">
      <c r="A4105">
        <v>1996</v>
      </c>
      <c r="B4105" s="140" t="s">
        <v>382</v>
      </c>
      <c r="C4105" s="140" t="s">
        <v>243</v>
      </c>
      <c r="D4105" s="140" t="s">
        <v>11</v>
      </c>
      <c r="E4105" s="140" t="s">
        <v>52</v>
      </c>
      <c r="F4105">
        <v>624</v>
      </c>
      <c r="G4105" s="140" t="s">
        <v>383</v>
      </c>
      <c r="H4105">
        <v>0</v>
      </c>
      <c r="I4105" s="140" t="s">
        <v>17</v>
      </c>
    </row>
    <row r="4106" spans="1:9" hidden="1" x14ac:dyDescent="0.25">
      <c r="A4106">
        <v>1997</v>
      </c>
      <c r="B4106" s="140" t="s">
        <v>382</v>
      </c>
      <c r="C4106" s="140" t="s">
        <v>243</v>
      </c>
      <c r="D4106" s="140" t="s">
        <v>11</v>
      </c>
      <c r="E4106" s="140" t="s">
        <v>52</v>
      </c>
      <c r="F4106">
        <v>713</v>
      </c>
      <c r="G4106" s="140" t="s">
        <v>383</v>
      </c>
      <c r="H4106">
        <v>0</v>
      </c>
      <c r="I4106" s="140" t="s">
        <v>17</v>
      </c>
    </row>
    <row r="4107" spans="1:9" hidden="1" x14ac:dyDescent="0.25">
      <c r="A4107">
        <v>1998</v>
      </c>
      <c r="B4107" s="140" t="s">
        <v>382</v>
      </c>
      <c r="C4107" s="140" t="s">
        <v>243</v>
      </c>
      <c r="D4107" s="140" t="s">
        <v>11</v>
      </c>
      <c r="E4107" s="140" t="s">
        <v>52</v>
      </c>
      <c r="F4107">
        <v>881</v>
      </c>
      <c r="G4107" s="140" t="s">
        <v>383</v>
      </c>
      <c r="H4107">
        <v>0</v>
      </c>
      <c r="I4107" s="140" t="s">
        <v>17</v>
      </c>
    </row>
    <row r="4108" spans="1:9" hidden="1" x14ac:dyDescent="0.25">
      <c r="A4108">
        <v>1999</v>
      </c>
      <c r="B4108" s="140" t="s">
        <v>382</v>
      </c>
      <c r="C4108" s="140" t="s">
        <v>243</v>
      </c>
      <c r="D4108" s="140" t="s">
        <v>11</v>
      </c>
      <c r="E4108" s="140" t="s">
        <v>52</v>
      </c>
      <c r="F4108">
        <v>897</v>
      </c>
      <c r="G4108" s="140" t="s">
        <v>383</v>
      </c>
      <c r="H4108">
        <v>0</v>
      </c>
      <c r="I4108" s="140" t="s">
        <v>17</v>
      </c>
    </row>
    <row r="4109" spans="1:9" hidden="1" x14ac:dyDescent="0.25">
      <c r="A4109">
        <v>2000</v>
      </c>
      <c r="B4109" s="140" t="s">
        <v>382</v>
      </c>
      <c r="C4109" s="140" t="s">
        <v>243</v>
      </c>
      <c r="D4109" s="140" t="s">
        <v>11</v>
      </c>
      <c r="E4109" s="140" t="s">
        <v>52</v>
      </c>
      <c r="F4109">
        <v>1693</v>
      </c>
      <c r="G4109" s="140" t="s">
        <v>383</v>
      </c>
      <c r="H4109">
        <v>0</v>
      </c>
      <c r="I4109" s="140" t="s">
        <v>17</v>
      </c>
    </row>
    <row r="4110" spans="1:9" hidden="1" x14ac:dyDescent="0.25">
      <c r="A4110">
        <v>2001</v>
      </c>
      <c r="B4110" s="140" t="s">
        <v>382</v>
      </c>
      <c r="C4110" s="140" t="s">
        <v>243</v>
      </c>
      <c r="D4110" s="140" t="s">
        <v>11</v>
      </c>
      <c r="E4110" s="140" t="s">
        <v>52</v>
      </c>
      <c r="F4110">
        <v>1705</v>
      </c>
      <c r="G4110" s="140" t="s">
        <v>383</v>
      </c>
      <c r="H4110">
        <v>0</v>
      </c>
      <c r="I4110" s="140" t="s">
        <v>17</v>
      </c>
    </row>
    <row r="4111" spans="1:9" hidden="1" x14ac:dyDescent="0.25">
      <c r="A4111">
        <v>2002</v>
      </c>
      <c r="B4111" s="140" t="s">
        <v>382</v>
      </c>
      <c r="C4111" s="140" t="s">
        <v>243</v>
      </c>
      <c r="D4111" s="140" t="s">
        <v>11</v>
      </c>
      <c r="E4111" s="140" t="s">
        <v>52</v>
      </c>
      <c r="F4111">
        <v>1478</v>
      </c>
      <c r="G4111" s="140" t="s">
        <v>383</v>
      </c>
      <c r="H4111">
        <v>0</v>
      </c>
      <c r="I4111" s="140" t="s">
        <v>17</v>
      </c>
    </row>
    <row r="4112" spans="1:9" hidden="1" x14ac:dyDescent="0.25">
      <c r="A4112">
        <v>2003</v>
      </c>
      <c r="B4112" s="140" t="s">
        <v>382</v>
      </c>
      <c r="C4112" s="140" t="s">
        <v>243</v>
      </c>
      <c r="D4112" s="140" t="s">
        <v>11</v>
      </c>
      <c r="E4112" s="140" t="s">
        <v>52</v>
      </c>
      <c r="F4112">
        <v>1434</v>
      </c>
      <c r="G4112" s="140" t="s">
        <v>383</v>
      </c>
      <c r="H4112">
        <v>0</v>
      </c>
      <c r="I4112" s="140" t="s">
        <v>17</v>
      </c>
    </row>
    <row r="4113" spans="1:9" hidden="1" x14ac:dyDescent="0.25">
      <c r="A4113">
        <v>2004</v>
      </c>
      <c r="B4113" s="140" t="s">
        <v>382</v>
      </c>
      <c r="C4113" s="140" t="s">
        <v>243</v>
      </c>
      <c r="D4113" s="140" t="s">
        <v>11</v>
      </c>
      <c r="E4113" s="140" t="s">
        <v>52</v>
      </c>
      <c r="F4113">
        <v>1540</v>
      </c>
      <c r="G4113" s="140" t="s">
        <v>383</v>
      </c>
      <c r="H4113">
        <v>0</v>
      </c>
      <c r="I4113" s="140" t="s">
        <v>17</v>
      </c>
    </row>
    <row r="4114" spans="1:9" hidden="1" x14ac:dyDescent="0.25">
      <c r="A4114">
        <v>2005</v>
      </c>
      <c r="B4114" s="140" t="s">
        <v>382</v>
      </c>
      <c r="C4114" s="140" t="s">
        <v>243</v>
      </c>
      <c r="D4114" s="140" t="s">
        <v>11</v>
      </c>
      <c r="E4114" s="140" t="s">
        <v>52</v>
      </c>
      <c r="F4114">
        <v>1610</v>
      </c>
      <c r="G4114" s="140" t="s">
        <v>383</v>
      </c>
      <c r="H4114">
        <v>0</v>
      </c>
      <c r="I4114" s="140" t="s">
        <v>17</v>
      </c>
    </row>
    <row r="4115" spans="1:9" hidden="1" x14ac:dyDescent="0.25">
      <c r="A4115">
        <v>2006</v>
      </c>
      <c r="B4115" s="140" t="s">
        <v>382</v>
      </c>
      <c r="C4115" s="140" t="s">
        <v>243</v>
      </c>
      <c r="D4115" s="140" t="s">
        <v>11</v>
      </c>
      <c r="E4115" s="140" t="s">
        <v>52</v>
      </c>
      <c r="F4115">
        <v>1886</v>
      </c>
      <c r="G4115" s="140" t="s">
        <v>383</v>
      </c>
      <c r="H4115">
        <v>0</v>
      </c>
      <c r="I4115" s="140" t="s">
        <v>17</v>
      </c>
    </row>
    <row r="4116" spans="1:9" hidden="1" x14ac:dyDescent="0.25">
      <c r="A4116">
        <v>2007</v>
      </c>
      <c r="B4116" s="140" t="s">
        <v>382</v>
      </c>
      <c r="C4116" s="140" t="s">
        <v>243</v>
      </c>
      <c r="D4116" s="140" t="s">
        <v>11</v>
      </c>
      <c r="E4116" s="140" t="s">
        <v>52</v>
      </c>
      <c r="F4116">
        <v>2328</v>
      </c>
      <c r="G4116" s="140" t="s">
        <v>383</v>
      </c>
      <c r="H4116">
        <v>0</v>
      </c>
      <c r="I4116" s="140" t="s">
        <v>17</v>
      </c>
    </row>
    <row r="4117" spans="1:9" hidden="1" x14ac:dyDescent="0.25">
      <c r="A4117">
        <v>2008</v>
      </c>
      <c r="B4117" s="140" t="s">
        <v>382</v>
      </c>
      <c r="C4117" s="140" t="s">
        <v>243</v>
      </c>
      <c r="D4117" s="140" t="s">
        <v>11</v>
      </c>
      <c r="E4117" s="140" t="s">
        <v>52</v>
      </c>
      <c r="F4117">
        <v>2317</v>
      </c>
      <c r="G4117" s="140" t="s">
        <v>383</v>
      </c>
      <c r="H4117">
        <v>0</v>
      </c>
      <c r="I4117" s="140" t="s">
        <v>17</v>
      </c>
    </row>
    <row r="4118" spans="1:9" hidden="1" x14ac:dyDescent="0.25">
      <c r="A4118">
        <v>2009</v>
      </c>
      <c r="B4118" s="140" t="s">
        <v>382</v>
      </c>
      <c r="C4118" s="140" t="s">
        <v>243</v>
      </c>
      <c r="D4118" s="140" t="s">
        <v>11</v>
      </c>
      <c r="E4118" s="140" t="s">
        <v>52</v>
      </c>
      <c r="F4118">
        <v>1788</v>
      </c>
      <c r="G4118" s="140" t="s">
        <v>383</v>
      </c>
      <c r="H4118">
        <v>0</v>
      </c>
      <c r="I4118" s="140" t="s">
        <v>17</v>
      </c>
    </row>
    <row r="4119" spans="1:9" hidden="1" x14ac:dyDescent="0.25">
      <c r="A4119">
        <v>2010</v>
      </c>
      <c r="B4119" s="140" t="s">
        <v>382</v>
      </c>
      <c r="C4119" s="140" t="s">
        <v>243</v>
      </c>
      <c r="D4119" s="140" t="s">
        <v>11</v>
      </c>
      <c r="E4119" s="140" t="s">
        <v>52</v>
      </c>
      <c r="F4119">
        <v>1826</v>
      </c>
      <c r="G4119" s="140" t="s">
        <v>383</v>
      </c>
      <c r="H4119">
        <v>0</v>
      </c>
      <c r="I4119" s="140" t="s">
        <v>17</v>
      </c>
    </row>
    <row r="4120" spans="1:9" hidden="1" x14ac:dyDescent="0.25">
      <c r="A4120">
        <v>2011</v>
      </c>
      <c r="B4120" s="140" t="s">
        <v>382</v>
      </c>
      <c r="C4120" s="140" t="s">
        <v>243</v>
      </c>
      <c r="D4120" s="140" t="s">
        <v>11</v>
      </c>
      <c r="E4120" s="140" t="s">
        <v>52</v>
      </c>
      <c r="F4120">
        <v>2027</v>
      </c>
      <c r="G4120" s="140" t="s">
        <v>383</v>
      </c>
      <c r="H4120">
        <v>0</v>
      </c>
      <c r="I4120" s="140" t="s">
        <v>17</v>
      </c>
    </row>
    <row r="4121" spans="1:9" hidden="1" x14ac:dyDescent="0.25">
      <c r="A4121">
        <v>2012</v>
      </c>
      <c r="B4121" s="140" t="s">
        <v>382</v>
      </c>
      <c r="C4121" s="140" t="s">
        <v>243</v>
      </c>
      <c r="D4121" s="140" t="s">
        <v>11</v>
      </c>
      <c r="E4121" s="140" t="s">
        <v>52</v>
      </c>
      <c r="F4121">
        <v>1985</v>
      </c>
      <c r="G4121" s="140" t="s">
        <v>383</v>
      </c>
      <c r="H4121">
        <v>0</v>
      </c>
      <c r="I4121" s="140" t="s">
        <v>17</v>
      </c>
    </row>
    <row r="4122" spans="1:9" hidden="1" x14ac:dyDescent="0.25">
      <c r="A4122">
        <v>2013</v>
      </c>
      <c r="B4122" s="140" t="s">
        <v>382</v>
      </c>
      <c r="C4122" s="140" t="s">
        <v>243</v>
      </c>
      <c r="D4122" s="140" t="s">
        <v>11</v>
      </c>
      <c r="E4122" s="140" t="s">
        <v>52</v>
      </c>
      <c r="F4122">
        <v>1868</v>
      </c>
      <c r="G4122" s="140" t="s">
        <v>383</v>
      </c>
      <c r="H4122">
        <v>0</v>
      </c>
      <c r="I4122" s="140" t="s">
        <v>17</v>
      </c>
    </row>
    <row r="4123" spans="1:9" hidden="1" x14ac:dyDescent="0.25">
      <c r="A4123">
        <v>2014</v>
      </c>
      <c r="B4123" s="140" t="s">
        <v>382</v>
      </c>
      <c r="C4123" s="140" t="s">
        <v>243</v>
      </c>
      <c r="D4123" s="140" t="s">
        <v>11</v>
      </c>
      <c r="E4123" s="140" t="s">
        <v>52</v>
      </c>
      <c r="F4123">
        <v>1934</v>
      </c>
      <c r="G4123" s="140" t="s">
        <v>383</v>
      </c>
      <c r="H4123">
        <v>0</v>
      </c>
      <c r="I4123" s="140" t="s">
        <v>17</v>
      </c>
    </row>
    <row r="4124" spans="1:9" hidden="1" x14ac:dyDescent="0.25">
      <c r="A4124">
        <v>2015</v>
      </c>
      <c r="B4124" s="140" t="s">
        <v>382</v>
      </c>
      <c r="C4124" s="140" t="s">
        <v>243</v>
      </c>
      <c r="D4124" s="140" t="s">
        <v>11</v>
      </c>
      <c r="E4124" s="140" t="s">
        <v>52</v>
      </c>
      <c r="F4124">
        <v>2019</v>
      </c>
      <c r="G4124" s="140" t="s">
        <v>383</v>
      </c>
      <c r="H4124">
        <v>0</v>
      </c>
      <c r="I4124" s="140" t="s">
        <v>17</v>
      </c>
    </row>
    <row r="4125" spans="1:9" hidden="1" x14ac:dyDescent="0.25">
      <c r="A4125">
        <v>2016</v>
      </c>
      <c r="B4125" s="140" t="s">
        <v>382</v>
      </c>
      <c r="C4125" s="140" t="s">
        <v>243</v>
      </c>
      <c r="D4125" s="140" t="s">
        <v>11</v>
      </c>
      <c r="E4125" s="140" t="s">
        <v>52</v>
      </c>
      <c r="F4125">
        <v>1840</v>
      </c>
      <c r="G4125" s="140" t="s">
        <v>383</v>
      </c>
      <c r="H4125">
        <v>0</v>
      </c>
      <c r="I4125" s="140" t="s">
        <v>17</v>
      </c>
    </row>
    <row r="4126" spans="1:9" hidden="1" x14ac:dyDescent="0.25">
      <c r="A4126">
        <v>2017</v>
      </c>
      <c r="B4126" s="140" t="s">
        <v>382</v>
      </c>
      <c r="C4126" s="140" t="s">
        <v>243</v>
      </c>
      <c r="D4126" s="140" t="s">
        <v>11</v>
      </c>
      <c r="E4126" s="140" t="s">
        <v>52</v>
      </c>
      <c r="F4126">
        <v>1915</v>
      </c>
      <c r="G4126" s="140" t="s">
        <v>383</v>
      </c>
      <c r="H4126">
        <v>0</v>
      </c>
      <c r="I4126" s="140" t="s">
        <v>17</v>
      </c>
    </row>
    <row r="4127" spans="1:9" hidden="1" x14ac:dyDescent="0.25">
      <c r="A4127">
        <v>2018</v>
      </c>
      <c r="B4127" s="140" t="s">
        <v>382</v>
      </c>
      <c r="C4127" s="140" t="s">
        <v>243</v>
      </c>
      <c r="D4127" s="140" t="s">
        <v>11</v>
      </c>
      <c r="E4127" s="140" t="s">
        <v>52</v>
      </c>
      <c r="F4127">
        <v>1927</v>
      </c>
      <c r="G4127" s="140" t="s">
        <v>383</v>
      </c>
      <c r="H4127">
        <v>0</v>
      </c>
      <c r="I4127" s="140" t="s">
        <v>17</v>
      </c>
    </row>
    <row r="4128" spans="1:9" hidden="1" x14ac:dyDescent="0.25">
      <c r="A4128">
        <v>2019</v>
      </c>
      <c r="B4128" s="140" t="s">
        <v>382</v>
      </c>
      <c r="C4128" s="140" t="s">
        <v>243</v>
      </c>
      <c r="D4128" s="140" t="s">
        <v>11</v>
      </c>
      <c r="E4128" s="140" t="s">
        <v>52</v>
      </c>
      <c r="F4128">
        <v>1996</v>
      </c>
      <c r="G4128" s="140" t="s">
        <v>383</v>
      </c>
      <c r="H4128">
        <v>0</v>
      </c>
      <c r="I4128" s="140" t="s">
        <v>17</v>
      </c>
    </row>
    <row r="4129" spans="1:9" hidden="1" x14ac:dyDescent="0.25">
      <c r="A4129">
        <v>2020</v>
      </c>
      <c r="B4129" s="140" t="s">
        <v>382</v>
      </c>
      <c r="C4129" s="140" t="s">
        <v>243</v>
      </c>
      <c r="D4129" s="140" t="s">
        <v>11</v>
      </c>
      <c r="E4129" s="140" t="s">
        <v>52</v>
      </c>
      <c r="F4129">
        <v>1679</v>
      </c>
      <c r="G4129" s="140" t="s">
        <v>383</v>
      </c>
      <c r="H4129">
        <v>0</v>
      </c>
      <c r="I4129" s="140" t="s">
        <v>17</v>
      </c>
    </row>
    <row r="4130" spans="1:9" hidden="1" x14ac:dyDescent="0.25">
      <c r="A4130">
        <v>2021</v>
      </c>
      <c r="B4130" s="140" t="s">
        <v>382</v>
      </c>
      <c r="C4130" s="140" t="s">
        <v>243</v>
      </c>
      <c r="D4130" s="140" t="s">
        <v>11</v>
      </c>
      <c r="E4130" s="140" t="s">
        <v>52</v>
      </c>
      <c r="F4130">
        <v>2083</v>
      </c>
      <c r="G4130" s="140" t="s">
        <v>383</v>
      </c>
      <c r="H4130">
        <v>0</v>
      </c>
      <c r="I4130" s="140" t="s">
        <v>17</v>
      </c>
    </row>
    <row r="4131" spans="1:9" hidden="1" x14ac:dyDescent="0.25">
      <c r="A4131">
        <v>2022</v>
      </c>
      <c r="B4131" s="140" t="s">
        <v>382</v>
      </c>
      <c r="C4131" s="140" t="s">
        <v>243</v>
      </c>
      <c r="D4131" s="140" t="s">
        <v>11</v>
      </c>
      <c r="E4131" s="140" t="s">
        <v>52</v>
      </c>
      <c r="F4131">
        <v>2410</v>
      </c>
      <c r="G4131" s="140" t="s">
        <v>383</v>
      </c>
      <c r="H4131">
        <v>0</v>
      </c>
      <c r="I4131" s="140" t="s">
        <v>17</v>
      </c>
    </row>
    <row r="4132" spans="1:9" hidden="1" x14ac:dyDescent="0.25">
      <c r="A4132">
        <v>2023</v>
      </c>
      <c r="B4132" s="140" t="s">
        <v>382</v>
      </c>
      <c r="C4132" s="140" t="s">
        <v>243</v>
      </c>
      <c r="D4132" s="140" t="s">
        <v>11</v>
      </c>
      <c r="E4132" s="140" t="s">
        <v>52</v>
      </c>
      <c r="F4132">
        <v>2595</v>
      </c>
      <c r="G4132" s="140" t="s">
        <v>383</v>
      </c>
      <c r="H4132">
        <v>0</v>
      </c>
      <c r="I4132" s="140" t="s">
        <v>17</v>
      </c>
    </row>
    <row r="4133" spans="1:9" hidden="1" x14ac:dyDescent="0.25">
      <c r="A4133">
        <v>2024</v>
      </c>
      <c r="B4133" s="140" t="s">
        <v>382</v>
      </c>
      <c r="C4133" s="140" t="s">
        <v>243</v>
      </c>
      <c r="D4133" s="140" t="s">
        <v>11</v>
      </c>
      <c r="E4133" s="140" t="s">
        <v>52</v>
      </c>
      <c r="F4133">
        <v>3008</v>
      </c>
      <c r="G4133" s="140" t="s">
        <v>383</v>
      </c>
      <c r="H4133">
        <v>0</v>
      </c>
      <c r="I4133" s="140" t="s">
        <v>17</v>
      </c>
    </row>
    <row r="4134" spans="1:9" hidden="1" x14ac:dyDescent="0.25">
      <c r="A4134">
        <v>2025</v>
      </c>
      <c r="B4134" s="140" t="s">
        <v>382</v>
      </c>
      <c r="C4134" s="140" t="s">
        <v>243</v>
      </c>
      <c r="D4134" s="140" t="s">
        <v>11</v>
      </c>
      <c r="E4134" s="140" t="s">
        <v>52</v>
      </c>
      <c r="F4134">
        <v>3089</v>
      </c>
      <c r="G4134" s="140" t="s">
        <v>383</v>
      </c>
      <c r="H4134">
        <v>0</v>
      </c>
      <c r="I4134" s="140" t="s">
        <v>17</v>
      </c>
    </row>
    <row r="4135" spans="1:9" hidden="1" x14ac:dyDescent="0.25">
      <c r="A4135">
        <v>2026</v>
      </c>
      <c r="B4135" s="140" t="s">
        <v>382</v>
      </c>
      <c r="C4135" s="140" t="s">
        <v>243</v>
      </c>
      <c r="D4135" s="140" t="s">
        <v>11</v>
      </c>
      <c r="E4135" s="140" t="s">
        <v>52</v>
      </c>
      <c r="F4135">
        <v>3119.89</v>
      </c>
      <c r="G4135" s="140" t="s">
        <v>383</v>
      </c>
      <c r="H4135">
        <v>0</v>
      </c>
      <c r="I4135" s="140" t="s">
        <v>17</v>
      </c>
    </row>
    <row r="4136" spans="1:9" hidden="1" x14ac:dyDescent="0.25">
      <c r="A4136">
        <v>2027</v>
      </c>
      <c r="B4136" s="140" t="s">
        <v>382</v>
      </c>
      <c r="C4136" s="140" t="s">
        <v>243</v>
      </c>
      <c r="D4136" s="140" t="s">
        <v>11</v>
      </c>
      <c r="E4136" s="140" t="s">
        <v>52</v>
      </c>
      <c r="F4136">
        <v>3182.2878000000001</v>
      </c>
      <c r="G4136" s="140" t="s">
        <v>383</v>
      </c>
      <c r="H4136">
        <v>0</v>
      </c>
      <c r="I4136" s="140" t="s">
        <v>17</v>
      </c>
    </row>
    <row r="4137" spans="1:9" hidden="1" x14ac:dyDescent="0.25">
      <c r="A4137">
        <v>2028</v>
      </c>
      <c r="B4137" s="140" t="s">
        <v>382</v>
      </c>
      <c r="C4137" s="140" t="s">
        <v>243</v>
      </c>
      <c r="D4137" s="140" t="s">
        <v>11</v>
      </c>
      <c r="E4137" s="140" t="s">
        <v>52</v>
      </c>
      <c r="F4137">
        <v>3245.933556</v>
      </c>
      <c r="G4137" s="140" t="s">
        <v>383</v>
      </c>
      <c r="H4137">
        <v>0</v>
      </c>
      <c r="I4137" s="140" t="s">
        <v>17</v>
      </c>
    </row>
    <row r="4138" spans="1:9" hidden="1" x14ac:dyDescent="0.25">
      <c r="A4138">
        <v>1990</v>
      </c>
      <c r="B4138" s="140" t="s">
        <v>384</v>
      </c>
      <c r="C4138" s="140" t="s">
        <v>243</v>
      </c>
      <c r="D4138" s="140" t="s">
        <v>11</v>
      </c>
      <c r="E4138" s="140" t="s">
        <v>52</v>
      </c>
      <c r="F4138">
        <v>19</v>
      </c>
      <c r="G4138" s="140" t="s">
        <v>385</v>
      </c>
      <c r="H4138">
        <v>0</v>
      </c>
      <c r="I4138" s="140" t="s">
        <v>17</v>
      </c>
    </row>
    <row r="4139" spans="1:9" hidden="1" x14ac:dyDescent="0.25">
      <c r="A4139">
        <v>1991</v>
      </c>
      <c r="B4139" s="140" t="s">
        <v>384</v>
      </c>
      <c r="C4139" s="140" t="s">
        <v>243</v>
      </c>
      <c r="D4139" s="140" t="s">
        <v>11</v>
      </c>
      <c r="E4139" s="140" t="s">
        <v>52</v>
      </c>
      <c r="F4139">
        <v>14</v>
      </c>
      <c r="G4139" s="140" t="s">
        <v>385</v>
      </c>
      <c r="H4139">
        <v>0</v>
      </c>
      <c r="I4139" s="140" t="s">
        <v>17</v>
      </c>
    </row>
    <row r="4140" spans="1:9" hidden="1" x14ac:dyDescent="0.25">
      <c r="A4140">
        <v>1992</v>
      </c>
      <c r="B4140" s="140" t="s">
        <v>384</v>
      </c>
      <c r="C4140" s="140" t="s">
        <v>243</v>
      </c>
      <c r="D4140" s="140" t="s">
        <v>11</v>
      </c>
      <c r="E4140" s="140" t="s">
        <v>52</v>
      </c>
      <c r="F4140">
        <v>13</v>
      </c>
      <c r="G4140" s="140" t="s">
        <v>385</v>
      </c>
      <c r="H4140">
        <v>0</v>
      </c>
      <c r="I4140" s="140" t="s">
        <v>17</v>
      </c>
    </row>
    <row r="4141" spans="1:9" hidden="1" x14ac:dyDescent="0.25">
      <c r="A4141">
        <v>1993</v>
      </c>
      <c r="B4141" s="140" t="s">
        <v>384</v>
      </c>
      <c r="C4141" s="140" t="s">
        <v>243</v>
      </c>
      <c r="D4141" s="140" t="s">
        <v>11</v>
      </c>
      <c r="E4141" s="140" t="s">
        <v>52</v>
      </c>
      <c r="F4141">
        <v>13</v>
      </c>
      <c r="G4141" s="140" t="s">
        <v>385</v>
      </c>
      <c r="H4141">
        <v>0</v>
      </c>
      <c r="I4141" s="140" t="s">
        <v>17</v>
      </c>
    </row>
    <row r="4142" spans="1:9" hidden="1" x14ac:dyDescent="0.25">
      <c r="A4142">
        <v>1994</v>
      </c>
      <c r="B4142" s="140" t="s">
        <v>384</v>
      </c>
      <c r="C4142" s="140" t="s">
        <v>243</v>
      </c>
      <c r="D4142" s="140" t="s">
        <v>11</v>
      </c>
      <c r="E4142" s="140" t="s">
        <v>52</v>
      </c>
      <c r="F4142">
        <v>12</v>
      </c>
      <c r="G4142" s="140" t="s">
        <v>385</v>
      </c>
      <c r="H4142">
        <v>0</v>
      </c>
      <c r="I4142" s="140" t="s">
        <v>17</v>
      </c>
    </row>
    <row r="4143" spans="1:9" hidden="1" x14ac:dyDescent="0.25">
      <c r="A4143">
        <v>1995</v>
      </c>
      <c r="B4143" s="140" t="s">
        <v>384</v>
      </c>
      <c r="C4143" s="140" t="s">
        <v>243</v>
      </c>
      <c r="D4143" s="140" t="s">
        <v>11</v>
      </c>
      <c r="E4143" s="140" t="s">
        <v>52</v>
      </c>
      <c r="F4143">
        <v>22</v>
      </c>
      <c r="G4143" s="140" t="s">
        <v>385</v>
      </c>
      <c r="H4143">
        <v>0</v>
      </c>
      <c r="I4143" s="140" t="s">
        <v>17</v>
      </c>
    </row>
    <row r="4144" spans="1:9" hidden="1" x14ac:dyDescent="0.25">
      <c r="A4144">
        <v>1996</v>
      </c>
      <c r="B4144" s="140" t="s">
        <v>384</v>
      </c>
      <c r="C4144" s="140" t="s">
        <v>243</v>
      </c>
      <c r="D4144" s="140" t="s">
        <v>11</v>
      </c>
      <c r="E4144" s="140" t="s">
        <v>52</v>
      </c>
      <c r="F4144">
        <v>26</v>
      </c>
      <c r="G4144" s="140" t="s">
        <v>385</v>
      </c>
      <c r="H4144">
        <v>0</v>
      </c>
      <c r="I4144" s="140" t="s">
        <v>17</v>
      </c>
    </row>
    <row r="4145" spans="1:9" hidden="1" x14ac:dyDescent="0.25">
      <c r="A4145">
        <v>1997</v>
      </c>
      <c r="B4145" s="140" t="s">
        <v>384</v>
      </c>
      <c r="C4145" s="140" t="s">
        <v>243</v>
      </c>
      <c r="D4145" s="140" t="s">
        <v>11</v>
      </c>
      <c r="E4145" s="140" t="s">
        <v>52</v>
      </c>
      <c r="F4145">
        <v>21</v>
      </c>
      <c r="G4145" s="140" t="s">
        <v>385</v>
      </c>
      <c r="H4145">
        <v>0</v>
      </c>
      <c r="I4145" s="140" t="s">
        <v>17</v>
      </c>
    </row>
    <row r="4146" spans="1:9" hidden="1" x14ac:dyDescent="0.25">
      <c r="A4146">
        <v>1998</v>
      </c>
      <c r="B4146" s="140" t="s">
        <v>384</v>
      </c>
      <c r="C4146" s="140" t="s">
        <v>243</v>
      </c>
      <c r="D4146" s="140" t="s">
        <v>11</v>
      </c>
      <c r="E4146" s="140" t="s">
        <v>52</v>
      </c>
      <c r="F4146">
        <v>29</v>
      </c>
      <c r="G4146" s="140" t="s">
        <v>385</v>
      </c>
      <c r="H4146">
        <v>0</v>
      </c>
      <c r="I4146" s="140" t="s">
        <v>17</v>
      </c>
    </row>
    <row r="4147" spans="1:9" hidden="1" x14ac:dyDescent="0.25">
      <c r="A4147">
        <v>1999</v>
      </c>
      <c r="B4147" s="140" t="s">
        <v>384</v>
      </c>
      <c r="C4147" s="140" t="s">
        <v>243</v>
      </c>
      <c r="D4147" s="140" t="s">
        <v>11</v>
      </c>
      <c r="E4147" s="140" t="s">
        <v>52</v>
      </c>
      <c r="F4147">
        <v>34</v>
      </c>
      <c r="G4147" s="140" t="s">
        <v>385</v>
      </c>
      <c r="H4147">
        <v>0</v>
      </c>
      <c r="I4147" s="140" t="s">
        <v>17</v>
      </c>
    </row>
    <row r="4148" spans="1:9" hidden="1" x14ac:dyDescent="0.25">
      <c r="A4148">
        <v>2000</v>
      </c>
      <c r="B4148" s="140" t="s">
        <v>384</v>
      </c>
      <c r="C4148" s="140" t="s">
        <v>243</v>
      </c>
      <c r="D4148" s="140" t="s">
        <v>11</v>
      </c>
      <c r="E4148" s="140" t="s">
        <v>52</v>
      </c>
      <c r="F4148">
        <v>35</v>
      </c>
      <c r="G4148" s="140" t="s">
        <v>385</v>
      </c>
      <c r="H4148">
        <v>0</v>
      </c>
      <c r="I4148" s="140" t="s">
        <v>17</v>
      </c>
    </row>
    <row r="4149" spans="1:9" hidden="1" x14ac:dyDescent="0.25">
      <c r="A4149">
        <v>2001</v>
      </c>
      <c r="B4149" s="140" t="s">
        <v>384</v>
      </c>
      <c r="C4149" s="140" t="s">
        <v>243</v>
      </c>
      <c r="D4149" s="140" t="s">
        <v>11</v>
      </c>
      <c r="E4149" s="140" t="s">
        <v>52</v>
      </c>
      <c r="F4149">
        <v>44</v>
      </c>
      <c r="G4149" s="140" t="s">
        <v>385</v>
      </c>
      <c r="H4149">
        <v>0</v>
      </c>
      <c r="I4149" s="140" t="s">
        <v>17</v>
      </c>
    </row>
    <row r="4150" spans="1:9" hidden="1" x14ac:dyDescent="0.25">
      <c r="A4150">
        <v>2002</v>
      </c>
      <c r="B4150" s="140" t="s">
        <v>384</v>
      </c>
      <c r="C4150" s="140" t="s">
        <v>243</v>
      </c>
      <c r="D4150" s="140" t="s">
        <v>11</v>
      </c>
      <c r="E4150" s="140" t="s">
        <v>52</v>
      </c>
      <c r="F4150">
        <v>54</v>
      </c>
      <c r="G4150" s="140" t="s">
        <v>385</v>
      </c>
      <c r="H4150">
        <v>0</v>
      </c>
      <c r="I4150" s="140" t="s">
        <v>17</v>
      </c>
    </row>
    <row r="4151" spans="1:9" hidden="1" x14ac:dyDescent="0.25">
      <c r="A4151">
        <v>2003</v>
      </c>
      <c r="B4151" s="140" t="s">
        <v>384</v>
      </c>
      <c r="C4151" s="140" t="s">
        <v>243</v>
      </c>
      <c r="D4151" s="140" t="s">
        <v>11</v>
      </c>
      <c r="E4151" s="140" t="s">
        <v>52</v>
      </c>
      <c r="F4151">
        <v>54</v>
      </c>
      <c r="G4151" s="140" t="s">
        <v>385</v>
      </c>
      <c r="H4151">
        <v>0</v>
      </c>
      <c r="I4151" s="140" t="s">
        <v>17</v>
      </c>
    </row>
    <row r="4152" spans="1:9" hidden="1" x14ac:dyDescent="0.25">
      <c r="A4152">
        <v>2004</v>
      </c>
      <c r="B4152" s="140" t="s">
        <v>384</v>
      </c>
      <c r="C4152" s="140" t="s">
        <v>243</v>
      </c>
      <c r="D4152" s="140" t="s">
        <v>11</v>
      </c>
      <c r="E4152" s="140" t="s">
        <v>52</v>
      </c>
      <c r="F4152">
        <v>62</v>
      </c>
      <c r="G4152" s="140" t="s">
        <v>385</v>
      </c>
      <c r="H4152">
        <v>0</v>
      </c>
      <c r="I4152" s="140" t="s">
        <v>17</v>
      </c>
    </row>
    <row r="4153" spans="1:9" hidden="1" x14ac:dyDescent="0.25">
      <c r="A4153">
        <v>2005</v>
      </c>
      <c r="B4153" s="140" t="s">
        <v>384</v>
      </c>
      <c r="C4153" s="140" t="s">
        <v>243</v>
      </c>
      <c r="D4153" s="140" t="s">
        <v>11</v>
      </c>
      <c r="E4153" s="140" t="s">
        <v>52</v>
      </c>
      <c r="F4153">
        <v>68</v>
      </c>
      <c r="G4153" s="140" t="s">
        <v>385</v>
      </c>
      <c r="H4153">
        <v>0</v>
      </c>
      <c r="I4153" s="140" t="s">
        <v>17</v>
      </c>
    </row>
    <row r="4154" spans="1:9" hidden="1" x14ac:dyDescent="0.25">
      <c r="A4154">
        <v>2006</v>
      </c>
      <c r="B4154" s="140" t="s">
        <v>384</v>
      </c>
      <c r="C4154" s="140" t="s">
        <v>243</v>
      </c>
      <c r="D4154" s="140" t="s">
        <v>11</v>
      </c>
      <c r="E4154" s="140" t="s">
        <v>52</v>
      </c>
      <c r="F4154">
        <v>73</v>
      </c>
      <c r="G4154" s="140" t="s">
        <v>385</v>
      </c>
      <c r="H4154">
        <v>0</v>
      </c>
      <c r="I4154" s="140" t="s">
        <v>17</v>
      </c>
    </row>
    <row r="4155" spans="1:9" hidden="1" x14ac:dyDescent="0.25">
      <c r="A4155">
        <v>2007</v>
      </c>
      <c r="B4155" s="140" t="s">
        <v>384</v>
      </c>
      <c r="C4155" s="140" t="s">
        <v>243</v>
      </c>
      <c r="D4155" s="140" t="s">
        <v>11</v>
      </c>
      <c r="E4155" s="140" t="s">
        <v>52</v>
      </c>
      <c r="F4155">
        <v>75</v>
      </c>
      <c r="G4155" s="140" t="s">
        <v>385</v>
      </c>
      <c r="H4155">
        <v>0</v>
      </c>
      <c r="I4155" s="140" t="s">
        <v>17</v>
      </c>
    </row>
    <row r="4156" spans="1:9" hidden="1" x14ac:dyDescent="0.25">
      <c r="A4156">
        <v>2008</v>
      </c>
      <c r="B4156" s="140" t="s">
        <v>384</v>
      </c>
      <c r="C4156" s="140" t="s">
        <v>243</v>
      </c>
      <c r="D4156" s="140" t="s">
        <v>11</v>
      </c>
      <c r="E4156" s="140" t="s">
        <v>52</v>
      </c>
      <c r="F4156">
        <v>78</v>
      </c>
      <c r="G4156" s="140" t="s">
        <v>385</v>
      </c>
      <c r="H4156">
        <v>0</v>
      </c>
      <c r="I4156" s="140" t="s">
        <v>17</v>
      </c>
    </row>
    <row r="4157" spans="1:9" hidden="1" x14ac:dyDescent="0.25">
      <c r="A4157">
        <v>2009</v>
      </c>
      <c r="B4157" s="140" t="s">
        <v>384</v>
      </c>
      <c r="C4157" s="140" t="s">
        <v>243</v>
      </c>
      <c r="D4157" s="140" t="s">
        <v>11</v>
      </c>
      <c r="E4157" s="140" t="s">
        <v>52</v>
      </c>
      <c r="F4157">
        <v>78</v>
      </c>
      <c r="G4157" s="140" t="s">
        <v>385</v>
      </c>
      <c r="H4157">
        <v>0</v>
      </c>
      <c r="I4157" s="140" t="s">
        <v>17</v>
      </c>
    </row>
    <row r="4158" spans="1:9" hidden="1" x14ac:dyDescent="0.25">
      <c r="A4158">
        <v>2010</v>
      </c>
      <c r="B4158" s="140" t="s">
        <v>384</v>
      </c>
      <c r="C4158" s="140" t="s">
        <v>243</v>
      </c>
      <c r="D4158" s="140" t="s">
        <v>11</v>
      </c>
      <c r="E4158" s="140" t="s">
        <v>52</v>
      </c>
      <c r="F4158">
        <v>78</v>
      </c>
      <c r="G4158" s="140" t="s">
        <v>385</v>
      </c>
      <c r="H4158">
        <v>0</v>
      </c>
      <c r="I4158" s="140" t="s">
        <v>17</v>
      </c>
    </row>
    <row r="4159" spans="1:9" hidden="1" x14ac:dyDescent="0.25">
      <c r="A4159">
        <v>2011</v>
      </c>
      <c r="B4159" s="140" t="s">
        <v>384</v>
      </c>
      <c r="C4159" s="140" t="s">
        <v>243</v>
      </c>
      <c r="D4159" s="140" t="s">
        <v>11</v>
      </c>
      <c r="E4159" s="140" t="s">
        <v>52</v>
      </c>
      <c r="F4159">
        <v>80</v>
      </c>
      <c r="G4159" s="140" t="s">
        <v>385</v>
      </c>
      <c r="H4159">
        <v>0</v>
      </c>
      <c r="I4159" s="140" t="s">
        <v>17</v>
      </c>
    </row>
    <row r="4160" spans="1:9" hidden="1" x14ac:dyDescent="0.25">
      <c r="A4160">
        <v>2012</v>
      </c>
      <c r="B4160" s="140" t="s">
        <v>384</v>
      </c>
      <c r="C4160" s="140" t="s">
        <v>243</v>
      </c>
      <c r="D4160" s="140" t="s">
        <v>11</v>
      </c>
      <c r="E4160" s="140" t="s">
        <v>52</v>
      </c>
      <c r="F4160">
        <v>84</v>
      </c>
      <c r="G4160" s="140" t="s">
        <v>385</v>
      </c>
      <c r="H4160">
        <v>0</v>
      </c>
      <c r="I4160" s="140" t="s">
        <v>17</v>
      </c>
    </row>
    <row r="4161" spans="1:9" hidden="1" x14ac:dyDescent="0.25">
      <c r="A4161">
        <v>2013</v>
      </c>
      <c r="B4161" s="140" t="s">
        <v>384</v>
      </c>
      <c r="C4161" s="140" t="s">
        <v>243</v>
      </c>
      <c r="D4161" s="140" t="s">
        <v>11</v>
      </c>
      <c r="E4161" s="140" t="s">
        <v>52</v>
      </c>
      <c r="F4161">
        <v>85</v>
      </c>
      <c r="G4161" s="140" t="s">
        <v>385</v>
      </c>
      <c r="H4161">
        <v>0</v>
      </c>
      <c r="I4161" s="140" t="s">
        <v>17</v>
      </c>
    </row>
    <row r="4162" spans="1:9" hidden="1" x14ac:dyDescent="0.25">
      <c r="A4162">
        <v>2014</v>
      </c>
      <c r="B4162" s="140" t="s">
        <v>384</v>
      </c>
      <c r="C4162" s="140" t="s">
        <v>243</v>
      </c>
      <c r="D4162" s="140" t="s">
        <v>11</v>
      </c>
      <c r="E4162" s="140" t="s">
        <v>52</v>
      </c>
      <c r="F4162">
        <v>89</v>
      </c>
      <c r="G4162" s="140" t="s">
        <v>385</v>
      </c>
      <c r="H4162">
        <v>0</v>
      </c>
      <c r="I4162" s="140" t="s">
        <v>17</v>
      </c>
    </row>
    <row r="4163" spans="1:9" hidden="1" x14ac:dyDescent="0.25">
      <c r="A4163">
        <v>2015</v>
      </c>
      <c r="B4163" s="140" t="s">
        <v>384</v>
      </c>
      <c r="C4163" s="140" t="s">
        <v>243</v>
      </c>
      <c r="D4163" s="140" t="s">
        <v>11</v>
      </c>
      <c r="E4163" s="140" t="s">
        <v>52</v>
      </c>
      <c r="F4163">
        <v>98</v>
      </c>
      <c r="G4163" s="140" t="s">
        <v>385</v>
      </c>
      <c r="H4163">
        <v>0</v>
      </c>
      <c r="I4163" s="140" t="s">
        <v>17</v>
      </c>
    </row>
    <row r="4164" spans="1:9" hidden="1" x14ac:dyDescent="0.25">
      <c r="A4164">
        <v>2016</v>
      </c>
      <c r="B4164" s="140" t="s">
        <v>384</v>
      </c>
      <c r="C4164" s="140" t="s">
        <v>243</v>
      </c>
      <c r="D4164" s="140" t="s">
        <v>11</v>
      </c>
      <c r="E4164" s="140" t="s">
        <v>52</v>
      </c>
      <c r="F4164">
        <v>100</v>
      </c>
      <c r="G4164" s="140" t="s">
        <v>385</v>
      </c>
      <c r="H4164">
        <v>0</v>
      </c>
      <c r="I4164" s="140" t="s">
        <v>17</v>
      </c>
    </row>
    <row r="4165" spans="1:9" hidden="1" x14ac:dyDescent="0.25">
      <c r="A4165">
        <v>2017</v>
      </c>
      <c r="B4165" s="140" t="s">
        <v>384</v>
      </c>
      <c r="C4165" s="140" t="s">
        <v>243</v>
      </c>
      <c r="D4165" s="140" t="s">
        <v>11</v>
      </c>
      <c r="E4165" s="140" t="s">
        <v>52</v>
      </c>
      <c r="F4165">
        <v>102</v>
      </c>
      <c r="G4165" s="140" t="s">
        <v>385</v>
      </c>
      <c r="H4165">
        <v>0</v>
      </c>
      <c r="I4165" s="140" t="s">
        <v>17</v>
      </c>
    </row>
    <row r="4166" spans="1:9" hidden="1" x14ac:dyDescent="0.25">
      <c r="A4166">
        <v>2018</v>
      </c>
      <c r="B4166" s="140" t="s">
        <v>384</v>
      </c>
      <c r="C4166" s="140" t="s">
        <v>243</v>
      </c>
      <c r="D4166" s="140" t="s">
        <v>11</v>
      </c>
      <c r="E4166" s="140" t="s">
        <v>52</v>
      </c>
      <c r="F4166">
        <v>104</v>
      </c>
      <c r="G4166" s="140" t="s">
        <v>385</v>
      </c>
      <c r="H4166">
        <v>0</v>
      </c>
      <c r="I4166" s="140" t="s">
        <v>17</v>
      </c>
    </row>
    <row r="4167" spans="1:9" hidden="1" x14ac:dyDescent="0.25">
      <c r="A4167">
        <v>2019</v>
      </c>
      <c r="B4167" s="140" t="s">
        <v>384</v>
      </c>
      <c r="C4167" s="140" t="s">
        <v>243</v>
      </c>
      <c r="D4167" s="140" t="s">
        <v>11</v>
      </c>
      <c r="E4167" s="140" t="s">
        <v>52</v>
      </c>
      <c r="F4167">
        <v>107</v>
      </c>
      <c r="G4167" s="140" t="s">
        <v>385</v>
      </c>
      <c r="H4167">
        <v>0</v>
      </c>
      <c r="I4167" s="140" t="s">
        <v>17</v>
      </c>
    </row>
    <row r="4168" spans="1:9" hidden="1" x14ac:dyDescent="0.25">
      <c r="A4168">
        <v>2020</v>
      </c>
      <c r="B4168" s="140" t="s">
        <v>384</v>
      </c>
      <c r="C4168" s="140" t="s">
        <v>243</v>
      </c>
      <c r="D4168" s="140" t="s">
        <v>11</v>
      </c>
      <c r="E4168" s="140" t="s">
        <v>52</v>
      </c>
      <c r="F4168">
        <v>109</v>
      </c>
      <c r="G4168" s="140" t="s">
        <v>385</v>
      </c>
      <c r="H4168">
        <v>0</v>
      </c>
      <c r="I4168" s="140" t="s">
        <v>17</v>
      </c>
    </row>
    <row r="4169" spans="1:9" hidden="1" x14ac:dyDescent="0.25">
      <c r="A4169">
        <v>2021</v>
      </c>
      <c r="B4169" s="140" t="s">
        <v>384</v>
      </c>
      <c r="C4169" s="140" t="s">
        <v>243</v>
      </c>
      <c r="D4169" s="140" t="s">
        <v>11</v>
      </c>
      <c r="E4169" s="140" t="s">
        <v>52</v>
      </c>
      <c r="F4169">
        <v>112</v>
      </c>
      <c r="G4169" s="140" t="s">
        <v>385</v>
      </c>
      <c r="H4169">
        <v>0</v>
      </c>
      <c r="I4169" s="140" t="s">
        <v>17</v>
      </c>
    </row>
    <row r="4170" spans="1:9" hidden="1" x14ac:dyDescent="0.25">
      <c r="A4170">
        <v>2022</v>
      </c>
      <c r="B4170" s="140" t="s">
        <v>384</v>
      </c>
      <c r="C4170" s="140" t="s">
        <v>243</v>
      </c>
      <c r="D4170" s="140" t="s">
        <v>11</v>
      </c>
      <c r="E4170" s="140" t="s">
        <v>52</v>
      </c>
      <c r="F4170">
        <v>116</v>
      </c>
      <c r="G4170" s="140" t="s">
        <v>385</v>
      </c>
      <c r="H4170">
        <v>0</v>
      </c>
      <c r="I4170" s="140" t="s">
        <v>17</v>
      </c>
    </row>
    <row r="4171" spans="1:9" hidden="1" x14ac:dyDescent="0.25">
      <c r="A4171">
        <v>2023</v>
      </c>
      <c r="B4171" s="140" t="s">
        <v>384</v>
      </c>
      <c r="C4171" s="140" t="s">
        <v>243</v>
      </c>
      <c r="D4171" s="140" t="s">
        <v>11</v>
      </c>
      <c r="E4171" s="140" t="s">
        <v>52</v>
      </c>
      <c r="F4171">
        <v>120</v>
      </c>
      <c r="G4171" s="140" t="s">
        <v>385</v>
      </c>
      <c r="H4171">
        <v>0</v>
      </c>
      <c r="I4171" s="140" t="s">
        <v>17</v>
      </c>
    </row>
    <row r="4172" spans="1:9" hidden="1" x14ac:dyDescent="0.25">
      <c r="A4172">
        <v>2024</v>
      </c>
      <c r="B4172" s="140" t="s">
        <v>384</v>
      </c>
      <c r="C4172" s="140" t="s">
        <v>243</v>
      </c>
      <c r="D4172" s="140" t="s">
        <v>11</v>
      </c>
      <c r="E4172" s="140" t="s">
        <v>52</v>
      </c>
      <c r="F4172">
        <v>125</v>
      </c>
      <c r="G4172" s="140" t="s">
        <v>385</v>
      </c>
      <c r="H4172">
        <v>0</v>
      </c>
      <c r="I4172" s="140" t="s">
        <v>17</v>
      </c>
    </row>
    <row r="4173" spans="1:9" hidden="1" x14ac:dyDescent="0.25">
      <c r="A4173">
        <v>2025</v>
      </c>
      <c r="B4173" s="140" t="s">
        <v>384</v>
      </c>
      <c r="C4173" s="140" t="s">
        <v>243</v>
      </c>
      <c r="D4173" s="140" t="s">
        <v>11</v>
      </c>
      <c r="E4173" s="140" t="s">
        <v>52</v>
      </c>
      <c r="F4173">
        <v>127</v>
      </c>
      <c r="G4173" s="140" t="s">
        <v>385</v>
      </c>
      <c r="H4173">
        <v>0</v>
      </c>
      <c r="I4173" s="140" t="s">
        <v>17</v>
      </c>
    </row>
    <row r="4174" spans="1:9" hidden="1" x14ac:dyDescent="0.25">
      <c r="A4174">
        <v>2026</v>
      </c>
      <c r="B4174" s="140" t="s">
        <v>384</v>
      </c>
      <c r="C4174" s="140" t="s">
        <v>243</v>
      </c>
      <c r="D4174" s="140" t="s">
        <v>11</v>
      </c>
      <c r="E4174" s="140" t="s">
        <v>52</v>
      </c>
      <c r="F4174">
        <v>130.81</v>
      </c>
      <c r="G4174" s="140" t="s">
        <v>385</v>
      </c>
      <c r="H4174">
        <v>0</v>
      </c>
      <c r="I4174" s="140" t="s">
        <v>17</v>
      </c>
    </row>
    <row r="4175" spans="1:9" hidden="1" x14ac:dyDescent="0.25">
      <c r="A4175">
        <v>2027</v>
      </c>
      <c r="B4175" s="140" t="s">
        <v>384</v>
      </c>
      <c r="C4175" s="140" t="s">
        <v>243</v>
      </c>
      <c r="D4175" s="140" t="s">
        <v>11</v>
      </c>
      <c r="E4175" s="140" t="s">
        <v>52</v>
      </c>
      <c r="F4175">
        <v>134.73429999999999</v>
      </c>
      <c r="G4175" s="140" t="s">
        <v>385</v>
      </c>
      <c r="H4175">
        <v>0</v>
      </c>
      <c r="I4175" s="140" t="s">
        <v>17</v>
      </c>
    </row>
    <row r="4176" spans="1:9" hidden="1" x14ac:dyDescent="0.25">
      <c r="A4176">
        <v>2028</v>
      </c>
      <c r="B4176" s="140" t="s">
        <v>384</v>
      </c>
      <c r="C4176" s="140" t="s">
        <v>243</v>
      </c>
      <c r="D4176" s="140" t="s">
        <v>11</v>
      </c>
      <c r="E4176" s="140" t="s">
        <v>52</v>
      </c>
      <c r="F4176">
        <v>138.776329</v>
      </c>
      <c r="G4176" s="140" t="s">
        <v>385</v>
      </c>
      <c r="H4176">
        <v>0</v>
      </c>
      <c r="I4176" s="140" t="s">
        <v>17</v>
      </c>
    </row>
    <row r="4177" spans="1:9" hidden="1" x14ac:dyDescent="0.25">
      <c r="A4177">
        <v>1990</v>
      </c>
      <c r="B4177" s="140" t="s">
        <v>386</v>
      </c>
      <c r="C4177" s="140" t="s">
        <v>243</v>
      </c>
      <c r="D4177" s="140" t="s">
        <v>11</v>
      </c>
      <c r="E4177" s="140" t="s">
        <v>52</v>
      </c>
      <c r="F4177">
        <v>4130</v>
      </c>
      <c r="G4177" s="140" t="s">
        <v>387</v>
      </c>
      <c r="H4177">
        <v>0</v>
      </c>
      <c r="I4177" s="140" t="s">
        <v>17</v>
      </c>
    </row>
    <row r="4178" spans="1:9" hidden="1" x14ac:dyDescent="0.25">
      <c r="A4178">
        <v>1991</v>
      </c>
      <c r="B4178" s="140" t="s">
        <v>386</v>
      </c>
      <c r="C4178" s="140" t="s">
        <v>243</v>
      </c>
      <c r="D4178" s="140" t="s">
        <v>11</v>
      </c>
      <c r="E4178" s="140" t="s">
        <v>52</v>
      </c>
      <c r="F4178">
        <v>4323</v>
      </c>
      <c r="G4178" s="140" t="s">
        <v>387</v>
      </c>
      <c r="H4178">
        <v>0</v>
      </c>
      <c r="I4178" s="140" t="s">
        <v>17</v>
      </c>
    </row>
    <row r="4179" spans="1:9" hidden="1" x14ac:dyDescent="0.25">
      <c r="A4179">
        <v>1992</v>
      </c>
      <c r="B4179" s="140" t="s">
        <v>386</v>
      </c>
      <c r="C4179" s="140" t="s">
        <v>243</v>
      </c>
      <c r="D4179" s="140" t="s">
        <v>11</v>
      </c>
      <c r="E4179" s="140" t="s">
        <v>52</v>
      </c>
      <c r="F4179">
        <v>4393</v>
      </c>
      <c r="G4179" s="140" t="s">
        <v>387</v>
      </c>
      <c r="H4179">
        <v>0</v>
      </c>
      <c r="I4179" s="140" t="s">
        <v>17</v>
      </c>
    </row>
    <row r="4180" spans="1:9" hidden="1" x14ac:dyDescent="0.25">
      <c r="A4180">
        <v>1993</v>
      </c>
      <c r="B4180" s="140" t="s">
        <v>386</v>
      </c>
      <c r="C4180" s="140" t="s">
        <v>243</v>
      </c>
      <c r="D4180" s="140" t="s">
        <v>11</v>
      </c>
      <c r="E4180" s="140" t="s">
        <v>52</v>
      </c>
      <c r="F4180">
        <v>3084</v>
      </c>
      <c r="G4180" s="140" t="s">
        <v>387</v>
      </c>
      <c r="H4180">
        <v>0</v>
      </c>
      <c r="I4180" s="140" t="s">
        <v>17</v>
      </c>
    </row>
    <row r="4181" spans="1:9" hidden="1" x14ac:dyDescent="0.25">
      <c r="A4181">
        <v>1994</v>
      </c>
      <c r="B4181" s="140" t="s">
        <v>386</v>
      </c>
      <c r="C4181" s="140" t="s">
        <v>243</v>
      </c>
      <c r="D4181" s="140" t="s">
        <v>11</v>
      </c>
      <c r="E4181" s="140" t="s">
        <v>52</v>
      </c>
      <c r="F4181">
        <v>2000</v>
      </c>
      <c r="G4181" s="140" t="s">
        <v>387</v>
      </c>
      <c r="H4181">
        <v>0</v>
      </c>
      <c r="I4181" s="140" t="s">
        <v>17</v>
      </c>
    </row>
    <row r="4182" spans="1:9" hidden="1" x14ac:dyDescent="0.25">
      <c r="A4182">
        <v>1995</v>
      </c>
      <c r="B4182" s="140" t="s">
        <v>386</v>
      </c>
      <c r="C4182" s="140" t="s">
        <v>243</v>
      </c>
      <c r="D4182" s="140" t="s">
        <v>11</v>
      </c>
      <c r="E4182" s="140" t="s">
        <v>52</v>
      </c>
      <c r="F4182">
        <v>2046</v>
      </c>
      <c r="G4182" s="140" t="s">
        <v>387</v>
      </c>
      <c r="H4182">
        <v>0</v>
      </c>
      <c r="I4182" s="140" t="s">
        <v>17</v>
      </c>
    </row>
    <row r="4183" spans="1:9" hidden="1" x14ac:dyDescent="0.25">
      <c r="A4183">
        <v>1996</v>
      </c>
      <c r="B4183" s="140" t="s">
        <v>386</v>
      </c>
      <c r="C4183" s="140" t="s">
        <v>243</v>
      </c>
      <c r="D4183" s="140" t="s">
        <v>11</v>
      </c>
      <c r="E4183" s="140" t="s">
        <v>52</v>
      </c>
      <c r="F4183">
        <v>1527</v>
      </c>
      <c r="G4183" s="140" t="s">
        <v>387</v>
      </c>
      <c r="H4183">
        <v>0</v>
      </c>
      <c r="I4183" s="140" t="s">
        <v>17</v>
      </c>
    </row>
    <row r="4184" spans="1:9" hidden="1" x14ac:dyDescent="0.25">
      <c r="A4184">
        <v>1997</v>
      </c>
      <c r="B4184" s="140" t="s">
        <v>386</v>
      </c>
      <c r="C4184" s="140" t="s">
        <v>243</v>
      </c>
      <c r="D4184" s="140" t="s">
        <v>11</v>
      </c>
      <c r="E4184" s="140" t="s">
        <v>52</v>
      </c>
      <c r="F4184">
        <v>1278</v>
      </c>
      <c r="G4184" s="140" t="s">
        <v>387</v>
      </c>
      <c r="H4184">
        <v>0</v>
      </c>
      <c r="I4184" s="140" t="s">
        <v>17</v>
      </c>
    </row>
    <row r="4185" spans="1:9" hidden="1" x14ac:dyDescent="0.25">
      <c r="A4185">
        <v>1998</v>
      </c>
      <c r="B4185" s="140" t="s">
        <v>386</v>
      </c>
      <c r="C4185" s="140" t="s">
        <v>243</v>
      </c>
      <c r="D4185" s="140" t="s">
        <v>11</v>
      </c>
      <c r="E4185" s="140" t="s">
        <v>52</v>
      </c>
      <c r="F4185">
        <v>1470</v>
      </c>
      <c r="G4185" s="140" t="s">
        <v>387</v>
      </c>
      <c r="H4185">
        <v>0</v>
      </c>
      <c r="I4185" s="140" t="s">
        <v>17</v>
      </c>
    </row>
    <row r="4186" spans="1:9" hidden="1" x14ac:dyDescent="0.25">
      <c r="A4186">
        <v>1999</v>
      </c>
      <c r="B4186" s="140" t="s">
        <v>386</v>
      </c>
      <c r="C4186" s="140" t="s">
        <v>243</v>
      </c>
      <c r="D4186" s="140" t="s">
        <v>11</v>
      </c>
      <c r="E4186" s="140" t="s">
        <v>52</v>
      </c>
      <c r="F4186">
        <v>1409</v>
      </c>
      <c r="G4186" s="140" t="s">
        <v>387</v>
      </c>
      <c r="H4186">
        <v>0</v>
      </c>
      <c r="I4186" s="140" t="s">
        <v>17</v>
      </c>
    </row>
    <row r="4187" spans="1:9" hidden="1" x14ac:dyDescent="0.25">
      <c r="A4187">
        <v>2000</v>
      </c>
      <c r="B4187" s="140" t="s">
        <v>386</v>
      </c>
      <c r="C4187" s="140" t="s">
        <v>243</v>
      </c>
      <c r="D4187" s="140" t="s">
        <v>11</v>
      </c>
      <c r="E4187" s="140" t="s">
        <v>52</v>
      </c>
      <c r="F4187">
        <v>1939</v>
      </c>
      <c r="G4187" s="140" t="s">
        <v>387</v>
      </c>
      <c r="H4187">
        <v>0</v>
      </c>
      <c r="I4187" s="140" t="s">
        <v>17</v>
      </c>
    </row>
    <row r="4188" spans="1:9" hidden="1" x14ac:dyDescent="0.25">
      <c r="A4188">
        <v>2001</v>
      </c>
      <c r="B4188" s="140" t="s">
        <v>386</v>
      </c>
      <c r="C4188" s="140" t="s">
        <v>243</v>
      </c>
      <c r="D4188" s="140" t="s">
        <v>11</v>
      </c>
      <c r="E4188" s="140" t="s">
        <v>52</v>
      </c>
      <c r="F4188">
        <v>2145</v>
      </c>
      <c r="G4188" s="140" t="s">
        <v>387</v>
      </c>
      <c r="H4188">
        <v>0</v>
      </c>
      <c r="I4188" s="140" t="s">
        <v>17</v>
      </c>
    </row>
    <row r="4189" spans="1:9" hidden="1" x14ac:dyDescent="0.25">
      <c r="A4189">
        <v>2002</v>
      </c>
      <c r="B4189" s="140" t="s">
        <v>386</v>
      </c>
      <c r="C4189" s="140" t="s">
        <v>243</v>
      </c>
      <c r="D4189" s="140" t="s">
        <v>11</v>
      </c>
      <c r="E4189" s="140" t="s">
        <v>52</v>
      </c>
      <c r="F4189">
        <v>1893</v>
      </c>
      <c r="G4189" s="140" t="s">
        <v>387</v>
      </c>
      <c r="H4189">
        <v>0</v>
      </c>
      <c r="I4189" s="140" t="s">
        <v>17</v>
      </c>
    </row>
    <row r="4190" spans="1:9" hidden="1" x14ac:dyDescent="0.25">
      <c r="A4190">
        <v>2003</v>
      </c>
      <c r="B4190" s="140" t="s">
        <v>386</v>
      </c>
      <c r="C4190" s="140" t="s">
        <v>243</v>
      </c>
      <c r="D4190" s="140" t="s">
        <v>11</v>
      </c>
      <c r="E4190" s="140" t="s">
        <v>52</v>
      </c>
      <c r="F4190">
        <v>1676</v>
      </c>
      <c r="G4190" s="140" t="s">
        <v>387</v>
      </c>
      <c r="H4190">
        <v>0</v>
      </c>
      <c r="I4190" s="140" t="s">
        <v>17</v>
      </c>
    </row>
    <row r="4191" spans="1:9" hidden="1" x14ac:dyDescent="0.25">
      <c r="A4191">
        <v>2004</v>
      </c>
      <c r="B4191" s="140" t="s">
        <v>386</v>
      </c>
      <c r="C4191" s="140" t="s">
        <v>243</v>
      </c>
      <c r="D4191" s="140" t="s">
        <v>11</v>
      </c>
      <c r="E4191" s="140" t="s">
        <v>52</v>
      </c>
      <c r="F4191">
        <v>1568</v>
      </c>
      <c r="G4191" s="140" t="s">
        <v>387</v>
      </c>
      <c r="H4191">
        <v>0</v>
      </c>
      <c r="I4191" s="140" t="s">
        <v>17</v>
      </c>
    </row>
    <row r="4192" spans="1:9" hidden="1" x14ac:dyDescent="0.25">
      <c r="A4192">
        <v>2005</v>
      </c>
      <c r="B4192" s="140" t="s">
        <v>386</v>
      </c>
      <c r="C4192" s="140" t="s">
        <v>243</v>
      </c>
      <c r="D4192" s="140" t="s">
        <v>11</v>
      </c>
      <c r="E4192" s="140" t="s">
        <v>52</v>
      </c>
      <c r="F4192">
        <v>1826</v>
      </c>
      <c r="G4192" s="140" t="s">
        <v>387</v>
      </c>
      <c r="H4192">
        <v>0</v>
      </c>
      <c r="I4192" s="140" t="s">
        <v>17</v>
      </c>
    </row>
    <row r="4193" spans="1:9" hidden="1" x14ac:dyDescent="0.25">
      <c r="A4193">
        <v>2006</v>
      </c>
      <c r="B4193" s="140" t="s">
        <v>386</v>
      </c>
      <c r="C4193" s="140" t="s">
        <v>243</v>
      </c>
      <c r="D4193" s="140" t="s">
        <v>11</v>
      </c>
      <c r="E4193" s="140" t="s">
        <v>52</v>
      </c>
      <c r="F4193">
        <v>2367</v>
      </c>
      <c r="G4193" s="140" t="s">
        <v>387</v>
      </c>
      <c r="H4193">
        <v>0</v>
      </c>
      <c r="I4193" s="140" t="s">
        <v>17</v>
      </c>
    </row>
    <row r="4194" spans="1:9" hidden="1" x14ac:dyDescent="0.25">
      <c r="A4194">
        <v>2007</v>
      </c>
      <c r="B4194" s="140" t="s">
        <v>386</v>
      </c>
      <c r="C4194" s="140" t="s">
        <v>243</v>
      </c>
      <c r="D4194" s="140" t="s">
        <v>11</v>
      </c>
      <c r="E4194" s="140" t="s">
        <v>52</v>
      </c>
      <c r="F4194">
        <v>3698</v>
      </c>
      <c r="G4194" s="140" t="s">
        <v>387</v>
      </c>
      <c r="H4194">
        <v>0</v>
      </c>
      <c r="I4194" s="140" t="s">
        <v>17</v>
      </c>
    </row>
    <row r="4195" spans="1:9" hidden="1" x14ac:dyDescent="0.25">
      <c r="A4195">
        <v>2008</v>
      </c>
      <c r="B4195" s="140" t="s">
        <v>386</v>
      </c>
      <c r="C4195" s="140" t="s">
        <v>243</v>
      </c>
      <c r="D4195" s="140" t="s">
        <v>11</v>
      </c>
      <c r="E4195" s="140" t="s">
        <v>52</v>
      </c>
      <c r="F4195">
        <v>5003</v>
      </c>
      <c r="G4195" s="140" t="s">
        <v>387</v>
      </c>
      <c r="H4195">
        <v>0</v>
      </c>
      <c r="I4195" s="140" t="s">
        <v>17</v>
      </c>
    </row>
    <row r="4196" spans="1:9" hidden="1" x14ac:dyDescent="0.25">
      <c r="A4196">
        <v>2009</v>
      </c>
      <c r="B4196" s="140" t="s">
        <v>386</v>
      </c>
      <c r="C4196" s="140" t="s">
        <v>243</v>
      </c>
      <c r="D4196" s="140" t="s">
        <v>11</v>
      </c>
      <c r="E4196" s="140" t="s">
        <v>52</v>
      </c>
      <c r="F4196">
        <v>2185</v>
      </c>
      <c r="G4196" s="140" t="s">
        <v>387</v>
      </c>
      <c r="H4196">
        <v>0</v>
      </c>
      <c r="I4196" s="140" t="s">
        <v>17</v>
      </c>
    </row>
    <row r="4197" spans="1:9" hidden="1" x14ac:dyDescent="0.25">
      <c r="A4197">
        <v>2010</v>
      </c>
      <c r="B4197" s="140" t="s">
        <v>386</v>
      </c>
      <c r="C4197" s="140" t="s">
        <v>243</v>
      </c>
      <c r="D4197" s="140" t="s">
        <v>11</v>
      </c>
      <c r="E4197" s="140" t="s">
        <v>52</v>
      </c>
      <c r="F4197">
        <v>1259</v>
      </c>
      <c r="G4197" s="140" t="s">
        <v>387</v>
      </c>
      <c r="H4197">
        <v>0</v>
      </c>
      <c r="I4197" s="140" t="s">
        <v>17</v>
      </c>
    </row>
    <row r="4198" spans="1:9" hidden="1" x14ac:dyDescent="0.25">
      <c r="A4198">
        <v>2011</v>
      </c>
      <c r="B4198" s="140" t="s">
        <v>386</v>
      </c>
      <c r="C4198" s="140" t="s">
        <v>243</v>
      </c>
      <c r="D4198" s="140" t="s">
        <v>11</v>
      </c>
      <c r="E4198" s="140" t="s">
        <v>52</v>
      </c>
      <c r="F4198">
        <v>2203</v>
      </c>
      <c r="G4198" s="140" t="s">
        <v>387</v>
      </c>
      <c r="H4198">
        <v>0</v>
      </c>
      <c r="I4198" s="140" t="s">
        <v>17</v>
      </c>
    </row>
    <row r="4199" spans="1:9" hidden="1" x14ac:dyDescent="0.25">
      <c r="A4199">
        <v>2012</v>
      </c>
      <c r="B4199" s="140" t="s">
        <v>386</v>
      </c>
      <c r="C4199" s="140" t="s">
        <v>243</v>
      </c>
      <c r="D4199" s="140" t="s">
        <v>11</v>
      </c>
      <c r="E4199" s="140" t="s">
        <v>52</v>
      </c>
      <c r="F4199">
        <v>1829</v>
      </c>
      <c r="G4199" s="140" t="s">
        <v>387</v>
      </c>
      <c r="H4199">
        <v>0</v>
      </c>
      <c r="I4199" s="140" t="s">
        <v>17</v>
      </c>
    </row>
    <row r="4200" spans="1:9" hidden="1" x14ac:dyDescent="0.25">
      <c r="A4200">
        <v>2013</v>
      </c>
      <c r="B4200" s="140" t="s">
        <v>386</v>
      </c>
      <c r="C4200" s="140" t="s">
        <v>243</v>
      </c>
      <c r="D4200" s="140" t="s">
        <v>11</v>
      </c>
      <c r="E4200" s="140" t="s">
        <v>52</v>
      </c>
      <c r="F4200">
        <v>1119</v>
      </c>
      <c r="G4200" s="140" t="s">
        <v>387</v>
      </c>
      <c r="H4200">
        <v>0</v>
      </c>
      <c r="I4200" s="140" t="s">
        <v>17</v>
      </c>
    </row>
    <row r="4201" spans="1:9" hidden="1" x14ac:dyDescent="0.25">
      <c r="A4201">
        <v>2014</v>
      </c>
      <c r="B4201" s="140" t="s">
        <v>386</v>
      </c>
      <c r="C4201" s="140" t="s">
        <v>243</v>
      </c>
      <c r="D4201" s="140" t="s">
        <v>11</v>
      </c>
      <c r="E4201" s="140" t="s">
        <v>52</v>
      </c>
      <c r="F4201">
        <v>1031</v>
      </c>
      <c r="G4201" s="140" t="s">
        <v>387</v>
      </c>
      <c r="H4201">
        <v>0</v>
      </c>
      <c r="I4201" s="140" t="s">
        <v>17</v>
      </c>
    </row>
    <row r="4202" spans="1:9" hidden="1" x14ac:dyDescent="0.25">
      <c r="A4202">
        <v>2015</v>
      </c>
      <c r="B4202" s="140" t="s">
        <v>386</v>
      </c>
      <c r="C4202" s="140" t="s">
        <v>243</v>
      </c>
      <c r="D4202" s="140" t="s">
        <v>11</v>
      </c>
      <c r="E4202" s="140" t="s">
        <v>52</v>
      </c>
      <c r="F4202">
        <v>917</v>
      </c>
      <c r="G4202" s="140" t="s">
        <v>387</v>
      </c>
      <c r="H4202">
        <v>0</v>
      </c>
      <c r="I4202" s="140" t="s">
        <v>17</v>
      </c>
    </row>
    <row r="4203" spans="1:9" hidden="1" x14ac:dyDescent="0.25">
      <c r="A4203">
        <v>2016</v>
      </c>
      <c r="B4203" s="140" t="s">
        <v>386</v>
      </c>
      <c r="C4203" s="140" t="s">
        <v>243</v>
      </c>
      <c r="D4203" s="140" t="s">
        <v>11</v>
      </c>
      <c r="E4203" s="140" t="s">
        <v>52</v>
      </c>
      <c r="F4203">
        <v>665</v>
      </c>
      <c r="G4203" s="140" t="s">
        <v>387</v>
      </c>
      <c r="H4203">
        <v>0</v>
      </c>
      <c r="I4203" s="140" t="s">
        <v>17</v>
      </c>
    </row>
    <row r="4204" spans="1:9" hidden="1" x14ac:dyDescent="0.25">
      <c r="A4204">
        <v>2017</v>
      </c>
      <c r="B4204" s="140" t="s">
        <v>386</v>
      </c>
      <c r="C4204" s="140" t="s">
        <v>243</v>
      </c>
      <c r="D4204" s="140" t="s">
        <v>11</v>
      </c>
      <c r="E4204" s="140" t="s">
        <v>52</v>
      </c>
      <c r="F4204">
        <v>558</v>
      </c>
      <c r="G4204" s="140" t="s">
        <v>387</v>
      </c>
      <c r="H4204">
        <v>0</v>
      </c>
      <c r="I4204" s="140" t="s">
        <v>17</v>
      </c>
    </row>
    <row r="4205" spans="1:9" hidden="1" x14ac:dyDescent="0.25">
      <c r="A4205">
        <v>2018</v>
      </c>
      <c r="B4205" s="140" t="s">
        <v>386</v>
      </c>
      <c r="C4205" s="140" t="s">
        <v>243</v>
      </c>
      <c r="D4205" s="140" t="s">
        <v>11</v>
      </c>
      <c r="E4205" s="140" t="s">
        <v>52</v>
      </c>
      <c r="F4205">
        <v>637</v>
      </c>
      <c r="G4205" s="140" t="s">
        <v>387</v>
      </c>
      <c r="H4205">
        <v>0</v>
      </c>
      <c r="I4205" s="140" t="s">
        <v>17</v>
      </c>
    </row>
    <row r="4206" spans="1:9" hidden="1" x14ac:dyDescent="0.25">
      <c r="A4206">
        <v>2019</v>
      </c>
      <c r="B4206" s="140" t="s">
        <v>386</v>
      </c>
      <c r="C4206" s="140" t="s">
        <v>243</v>
      </c>
      <c r="D4206" s="140" t="s">
        <v>11</v>
      </c>
      <c r="E4206" s="140" t="s">
        <v>52</v>
      </c>
      <c r="F4206">
        <v>647</v>
      </c>
      <c r="G4206" s="140" t="s">
        <v>387</v>
      </c>
      <c r="H4206">
        <v>0</v>
      </c>
      <c r="I4206" s="140" t="s">
        <v>17</v>
      </c>
    </row>
    <row r="4207" spans="1:9" hidden="1" x14ac:dyDescent="0.25">
      <c r="A4207">
        <v>2020</v>
      </c>
      <c r="B4207" s="140" t="s">
        <v>386</v>
      </c>
      <c r="C4207" s="140" t="s">
        <v>243</v>
      </c>
      <c r="D4207" s="140" t="s">
        <v>11</v>
      </c>
      <c r="E4207" s="140" t="s">
        <v>52</v>
      </c>
      <c r="F4207">
        <v>517</v>
      </c>
      <c r="G4207" s="140" t="s">
        <v>387</v>
      </c>
      <c r="H4207">
        <v>0</v>
      </c>
      <c r="I4207" s="140" t="s">
        <v>17</v>
      </c>
    </row>
    <row r="4208" spans="1:9" hidden="1" x14ac:dyDescent="0.25">
      <c r="A4208">
        <v>2021</v>
      </c>
      <c r="B4208" s="140" t="s">
        <v>386</v>
      </c>
      <c r="C4208" s="140" t="s">
        <v>243</v>
      </c>
      <c r="D4208" s="140" t="s">
        <v>11</v>
      </c>
      <c r="E4208" s="140" t="s">
        <v>52</v>
      </c>
      <c r="F4208">
        <v>431</v>
      </c>
      <c r="G4208" s="140" t="s">
        <v>387</v>
      </c>
      <c r="H4208">
        <v>0</v>
      </c>
      <c r="I4208" s="140" t="s">
        <v>17</v>
      </c>
    </row>
    <row r="4209" spans="1:9" hidden="1" x14ac:dyDescent="0.25">
      <c r="A4209">
        <v>2022</v>
      </c>
      <c r="B4209" s="140" t="s">
        <v>386</v>
      </c>
      <c r="C4209" s="140" t="s">
        <v>243</v>
      </c>
      <c r="D4209" s="140" t="s">
        <v>11</v>
      </c>
      <c r="E4209" s="140" t="s">
        <v>52</v>
      </c>
      <c r="F4209">
        <v>1034</v>
      </c>
      <c r="G4209" s="140" t="s">
        <v>387</v>
      </c>
      <c r="H4209">
        <v>0</v>
      </c>
      <c r="I4209" s="140" t="s">
        <v>17</v>
      </c>
    </row>
    <row r="4210" spans="1:9" hidden="1" x14ac:dyDescent="0.25">
      <c r="A4210">
        <v>2023</v>
      </c>
      <c r="B4210" s="140" t="s">
        <v>386</v>
      </c>
      <c r="C4210" s="140" t="s">
        <v>243</v>
      </c>
      <c r="D4210" s="140" t="s">
        <v>11</v>
      </c>
      <c r="E4210" s="140" t="s">
        <v>52</v>
      </c>
      <c r="F4210">
        <v>5330</v>
      </c>
      <c r="G4210" s="140" t="s">
        <v>387</v>
      </c>
      <c r="H4210">
        <v>0</v>
      </c>
      <c r="I4210" s="140" t="s">
        <v>17</v>
      </c>
    </row>
    <row r="4211" spans="1:9" hidden="1" x14ac:dyDescent="0.25">
      <c r="A4211">
        <v>2024</v>
      </c>
      <c r="B4211" s="140" t="s">
        <v>386</v>
      </c>
      <c r="C4211" s="140" t="s">
        <v>243</v>
      </c>
      <c r="D4211" s="140" t="s">
        <v>11</v>
      </c>
      <c r="E4211" s="140" t="s">
        <v>52</v>
      </c>
      <c r="F4211">
        <v>6247</v>
      </c>
      <c r="G4211" s="140" t="s">
        <v>387</v>
      </c>
      <c r="H4211">
        <v>0</v>
      </c>
      <c r="I4211" s="140" t="s">
        <v>17</v>
      </c>
    </row>
    <row r="4212" spans="1:9" hidden="1" x14ac:dyDescent="0.25">
      <c r="A4212">
        <v>2025</v>
      </c>
      <c r="B4212" s="140" t="s">
        <v>386</v>
      </c>
      <c r="C4212" s="140" t="s">
        <v>243</v>
      </c>
      <c r="D4212" s="140" t="s">
        <v>11</v>
      </c>
      <c r="E4212" s="140" t="s">
        <v>52</v>
      </c>
      <c r="F4212">
        <v>4500</v>
      </c>
      <c r="G4212" s="140" t="s">
        <v>387</v>
      </c>
      <c r="H4212">
        <v>0</v>
      </c>
      <c r="I4212" s="140" t="s">
        <v>17</v>
      </c>
    </row>
    <row r="4213" spans="1:9" hidden="1" x14ac:dyDescent="0.25">
      <c r="A4213">
        <v>2026</v>
      </c>
      <c r="B4213" s="140" t="s">
        <v>386</v>
      </c>
      <c r="C4213" s="140" t="s">
        <v>243</v>
      </c>
      <c r="D4213" s="140" t="s">
        <v>11</v>
      </c>
      <c r="E4213" s="140" t="s">
        <v>52</v>
      </c>
      <c r="F4213">
        <v>4324.28</v>
      </c>
      <c r="G4213" s="140" t="s">
        <v>387</v>
      </c>
      <c r="H4213">
        <v>0</v>
      </c>
      <c r="I4213" s="140" t="s">
        <v>17</v>
      </c>
    </row>
    <row r="4214" spans="1:9" hidden="1" x14ac:dyDescent="0.25">
      <c r="A4214">
        <v>2027</v>
      </c>
      <c r="B4214" s="140" t="s">
        <v>386</v>
      </c>
      <c r="C4214" s="140" t="s">
        <v>243</v>
      </c>
      <c r="D4214" s="140" t="s">
        <v>11</v>
      </c>
      <c r="E4214" s="140" t="s">
        <v>52</v>
      </c>
      <c r="F4214">
        <v>4343.3144000000002</v>
      </c>
      <c r="G4214" s="140" t="s">
        <v>387</v>
      </c>
      <c r="H4214">
        <v>0</v>
      </c>
      <c r="I4214" s="140" t="s">
        <v>17</v>
      </c>
    </row>
    <row r="4215" spans="1:9" hidden="1" x14ac:dyDescent="0.25">
      <c r="A4215">
        <v>2028</v>
      </c>
      <c r="B4215" s="140" t="s">
        <v>386</v>
      </c>
      <c r="C4215" s="140" t="s">
        <v>243</v>
      </c>
      <c r="D4215" s="140" t="s">
        <v>11</v>
      </c>
      <c r="E4215" s="140" t="s">
        <v>52</v>
      </c>
      <c r="F4215">
        <v>4362.9198319999996</v>
      </c>
      <c r="G4215" s="140" t="s">
        <v>387</v>
      </c>
      <c r="H4215">
        <v>0</v>
      </c>
      <c r="I4215" s="140" t="s">
        <v>17</v>
      </c>
    </row>
    <row r="4216" spans="1:9" hidden="1" x14ac:dyDescent="0.25">
      <c r="A4216">
        <v>1990</v>
      </c>
      <c r="B4216" s="140" t="s">
        <v>388</v>
      </c>
      <c r="C4216" s="140" t="s">
        <v>243</v>
      </c>
      <c r="D4216" s="140" t="s">
        <v>11</v>
      </c>
      <c r="E4216" s="140" t="s">
        <v>52</v>
      </c>
      <c r="F4216">
        <v>4058</v>
      </c>
      <c r="G4216" s="140" t="s">
        <v>389</v>
      </c>
      <c r="H4216">
        <v>0</v>
      </c>
      <c r="I4216" s="140" t="s">
        <v>17</v>
      </c>
    </row>
    <row r="4217" spans="1:9" hidden="1" x14ac:dyDescent="0.25">
      <c r="A4217">
        <v>1991</v>
      </c>
      <c r="B4217" s="140" t="s">
        <v>388</v>
      </c>
      <c r="C4217" s="140" t="s">
        <v>243</v>
      </c>
      <c r="D4217" s="140" t="s">
        <v>11</v>
      </c>
      <c r="E4217" s="140" t="s">
        <v>52</v>
      </c>
      <c r="F4217">
        <v>4246</v>
      </c>
      <c r="G4217" s="140" t="s">
        <v>389</v>
      </c>
      <c r="H4217">
        <v>0</v>
      </c>
      <c r="I4217" s="140" t="s">
        <v>17</v>
      </c>
    </row>
    <row r="4218" spans="1:9" hidden="1" x14ac:dyDescent="0.25">
      <c r="A4218">
        <v>1992</v>
      </c>
      <c r="B4218" s="140" t="s">
        <v>388</v>
      </c>
      <c r="C4218" s="140" t="s">
        <v>243</v>
      </c>
      <c r="D4218" s="140" t="s">
        <v>11</v>
      </c>
      <c r="E4218" s="140" t="s">
        <v>52</v>
      </c>
      <c r="F4218">
        <v>4318</v>
      </c>
      <c r="G4218" s="140" t="s">
        <v>389</v>
      </c>
      <c r="H4218">
        <v>0</v>
      </c>
      <c r="I4218" s="140" t="s">
        <v>17</v>
      </c>
    </row>
    <row r="4219" spans="1:9" hidden="1" x14ac:dyDescent="0.25">
      <c r="A4219">
        <v>1993</v>
      </c>
      <c r="B4219" s="140" t="s">
        <v>388</v>
      </c>
      <c r="C4219" s="140" t="s">
        <v>243</v>
      </c>
      <c r="D4219" s="140" t="s">
        <v>11</v>
      </c>
      <c r="E4219" s="140" t="s">
        <v>52</v>
      </c>
      <c r="F4219">
        <v>2993</v>
      </c>
      <c r="G4219" s="140" t="s">
        <v>389</v>
      </c>
      <c r="H4219">
        <v>0</v>
      </c>
      <c r="I4219" s="140" t="s">
        <v>17</v>
      </c>
    </row>
    <row r="4220" spans="1:9" hidden="1" x14ac:dyDescent="0.25">
      <c r="A4220">
        <v>1994</v>
      </c>
      <c r="B4220" s="140" t="s">
        <v>388</v>
      </c>
      <c r="C4220" s="140" t="s">
        <v>243</v>
      </c>
      <c r="D4220" s="140" t="s">
        <v>11</v>
      </c>
      <c r="E4220" s="140" t="s">
        <v>52</v>
      </c>
      <c r="F4220">
        <v>1903</v>
      </c>
      <c r="G4220" s="140" t="s">
        <v>389</v>
      </c>
      <c r="H4220">
        <v>0</v>
      </c>
      <c r="I4220" s="140" t="s">
        <v>17</v>
      </c>
    </row>
    <row r="4221" spans="1:9" hidden="1" x14ac:dyDescent="0.25">
      <c r="A4221">
        <v>1995</v>
      </c>
      <c r="B4221" s="140" t="s">
        <v>388</v>
      </c>
      <c r="C4221" s="140" t="s">
        <v>243</v>
      </c>
      <c r="D4221" s="140" t="s">
        <v>11</v>
      </c>
      <c r="E4221" s="140" t="s">
        <v>52</v>
      </c>
      <c r="F4221">
        <v>1932</v>
      </c>
      <c r="G4221" s="140" t="s">
        <v>389</v>
      </c>
      <c r="H4221">
        <v>0</v>
      </c>
      <c r="I4221" s="140" t="s">
        <v>17</v>
      </c>
    </row>
    <row r="4222" spans="1:9" hidden="1" x14ac:dyDescent="0.25">
      <c r="A4222">
        <v>1996</v>
      </c>
      <c r="B4222" s="140" t="s">
        <v>388</v>
      </c>
      <c r="C4222" s="140" t="s">
        <v>243</v>
      </c>
      <c r="D4222" s="140" t="s">
        <v>11</v>
      </c>
      <c r="E4222" s="140" t="s">
        <v>52</v>
      </c>
      <c r="F4222">
        <v>1415</v>
      </c>
      <c r="G4222" s="140" t="s">
        <v>389</v>
      </c>
      <c r="H4222">
        <v>0</v>
      </c>
      <c r="I4222" s="140" t="s">
        <v>17</v>
      </c>
    </row>
    <row r="4223" spans="1:9" hidden="1" x14ac:dyDescent="0.25">
      <c r="A4223">
        <v>1997</v>
      </c>
      <c r="B4223" s="140" t="s">
        <v>388</v>
      </c>
      <c r="C4223" s="140" t="s">
        <v>243</v>
      </c>
      <c r="D4223" s="140" t="s">
        <v>11</v>
      </c>
      <c r="E4223" s="140" t="s">
        <v>52</v>
      </c>
      <c r="F4223">
        <v>1149</v>
      </c>
      <c r="G4223" s="140" t="s">
        <v>389</v>
      </c>
      <c r="H4223">
        <v>0</v>
      </c>
      <c r="I4223" s="140" t="s">
        <v>17</v>
      </c>
    </row>
    <row r="4224" spans="1:9" hidden="1" x14ac:dyDescent="0.25">
      <c r="A4224">
        <v>1998</v>
      </c>
      <c r="B4224" s="140" t="s">
        <v>388</v>
      </c>
      <c r="C4224" s="140" t="s">
        <v>243</v>
      </c>
      <c r="D4224" s="140" t="s">
        <v>11</v>
      </c>
      <c r="E4224" s="140" t="s">
        <v>52</v>
      </c>
      <c r="F4224">
        <v>1342</v>
      </c>
      <c r="G4224" s="140" t="s">
        <v>389</v>
      </c>
      <c r="H4224">
        <v>0</v>
      </c>
      <c r="I4224" s="140" t="s">
        <v>17</v>
      </c>
    </row>
    <row r="4225" spans="1:9" hidden="1" x14ac:dyDescent="0.25">
      <c r="A4225">
        <v>1999</v>
      </c>
      <c r="B4225" s="140" t="s">
        <v>388</v>
      </c>
      <c r="C4225" s="140" t="s">
        <v>243</v>
      </c>
      <c r="D4225" s="140" t="s">
        <v>11</v>
      </c>
      <c r="E4225" s="140" t="s">
        <v>52</v>
      </c>
      <c r="F4225">
        <v>1257</v>
      </c>
      <c r="G4225" s="140" t="s">
        <v>389</v>
      </c>
      <c r="H4225">
        <v>0</v>
      </c>
      <c r="I4225" s="140" t="s">
        <v>17</v>
      </c>
    </row>
    <row r="4226" spans="1:9" hidden="1" x14ac:dyDescent="0.25">
      <c r="A4226">
        <v>2000</v>
      </c>
      <c r="B4226" s="140" t="s">
        <v>388</v>
      </c>
      <c r="C4226" s="140" t="s">
        <v>243</v>
      </c>
      <c r="D4226" s="140" t="s">
        <v>11</v>
      </c>
      <c r="E4226" s="140" t="s">
        <v>52</v>
      </c>
      <c r="F4226">
        <v>1786</v>
      </c>
      <c r="G4226" s="140" t="s">
        <v>389</v>
      </c>
      <c r="H4226">
        <v>0</v>
      </c>
      <c r="I4226" s="140" t="s">
        <v>17</v>
      </c>
    </row>
    <row r="4227" spans="1:9" hidden="1" x14ac:dyDescent="0.25">
      <c r="A4227">
        <v>2001</v>
      </c>
      <c r="B4227" s="140" t="s">
        <v>388</v>
      </c>
      <c r="C4227" s="140" t="s">
        <v>243</v>
      </c>
      <c r="D4227" s="140" t="s">
        <v>11</v>
      </c>
      <c r="E4227" s="140" t="s">
        <v>52</v>
      </c>
      <c r="F4227">
        <v>1983</v>
      </c>
      <c r="G4227" s="140" t="s">
        <v>389</v>
      </c>
      <c r="H4227">
        <v>0</v>
      </c>
      <c r="I4227" s="140" t="s">
        <v>17</v>
      </c>
    </row>
    <row r="4228" spans="1:9" hidden="1" x14ac:dyDescent="0.25">
      <c r="A4228">
        <v>2002</v>
      </c>
      <c r="B4228" s="140" t="s">
        <v>388</v>
      </c>
      <c r="C4228" s="140" t="s">
        <v>243</v>
      </c>
      <c r="D4228" s="140" t="s">
        <v>11</v>
      </c>
      <c r="E4228" s="140" t="s">
        <v>52</v>
      </c>
      <c r="F4228">
        <v>1727</v>
      </c>
      <c r="G4228" s="140" t="s">
        <v>389</v>
      </c>
      <c r="H4228">
        <v>0</v>
      </c>
      <c r="I4228" s="140" t="s">
        <v>17</v>
      </c>
    </row>
    <row r="4229" spans="1:9" hidden="1" x14ac:dyDescent="0.25">
      <c r="A4229">
        <v>2003</v>
      </c>
      <c r="B4229" s="140" t="s">
        <v>388</v>
      </c>
      <c r="C4229" s="140" t="s">
        <v>243</v>
      </c>
      <c r="D4229" s="140" t="s">
        <v>11</v>
      </c>
      <c r="E4229" s="140" t="s">
        <v>52</v>
      </c>
      <c r="F4229">
        <v>1500</v>
      </c>
      <c r="G4229" s="140" t="s">
        <v>389</v>
      </c>
      <c r="H4229">
        <v>0</v>
      </c>
      <c r="I4229" s="140" t="s">
        <v>17</v>
      </c>
    </row>
    <row r="4230" spans="1:9" hidden="1" x14ac:dyDescent="0.25">
      <c r="A4230">
        <v>2004</v>
      </c>
      <c r="B4230" s="140" t="s">
        <v>388</v>
      </c>
      <c r="C4230" s="140" t="s">
        <v>243</v>
      </c>
      <c r="D4230" s="140" t="s">
        <v>11</v>
      </c>
      <c r="E4230" s="140" t="s">
        <v>52</v>
      </c>
      <c r="F4230">
        <v>1383</v>
      </c>
      <c r="G4230" s="140" t="s">
        <v>389</v>
      </c>
      <c r="H4230">
        <v>0</v>
      </c>
      <c r="I4230" s="140" t="s">
        <v>17</v>
      </c>
    </row>
    <row r="4231" spans="1:9" hidden="1" x14ac:dyDescent="0.25">
      <c r="A4231">
        <v>2005</v>
      </c>
      <c r="B4231" s="140" t="s">
        <v>388</v>
      </c>
      <c r="C4231" s="140" t="s">
        <v>243</v>
      </c>
      <c r="D4231" s="140" t="s">
        <v>11</v>
      </c>
      <c r="E4231" s="140" t="s">
        <v>52</v>
      </c>
      <c r="F4231">
        <v>1627</v>
      </c>
      <c r="G4231" s="140" t="s">
        <v>389</v>
      </c>
      <c r="H4231">
        <v>0</v>
      </c>
      <c r="I4231" s="140" t="s">
        <v>17</v>
      </c>
    </row>
    <row r="4232" spans="1:9" hidden="1" x14ac:dyDescent="0.25">
      <c r="A4232">
        <v>2006</v>
      </c>
      <c r="B4232" s="140" t="s">
        <v>388</v>
      </c>
      <c r="C4232" s="140" t="s">
        <v>243</v>
      </c>
      <c r="D4232" s="140" t="s">
        <v>11</v>
      </c>
      <c r="E4232" s="140" t="s">
        <v>52</v>
      </c>
      <c r="F4232">
        <v>2162</v>
      </c>
      <c r="G4232" s="140" t="s">
        <v>389</v>
      </c>
      <c r="H4232">
        <v>0</v>
      </c>
      <c r="I4232" s="140" t="s">
        <v>17</v>
      </c>
    </row>
    <row r="4233" spans="1:9" hidden="1" x14ac:dyDescent="0.25">
      <c r="A4233">
        <v>2007</v>
      </c>
      <c r="B4233" s="140" t="s">
        <v>388</v>
      </c>
      <c r="C4233" s="140" t="s">
        <v>243</v>
      </c>
      <c r="D4233" s="140" t="s">
        <v>11</v>
      </c>
      <c r="E4233" s="140" t="s">
        <v>52</v>
      </c>
      <c r="F4233">
        <v>3494</v>
      </c>
      <c r="G4233" s="140" t="s">
        <v>389</v>
      </c>
      <c r="H4233">
        <v>0</v>
      </c>
      <c r="I4233" s="140" t="s">
        <v>17</v>
      </c>
    </row>
    <row r="4234" spans="1:9" hidden="1" x14ac:dyDescent="0.25">
      <c r="A4234">
        <v>2008</v>
      </c>
      <c r="B4234" s="140" t="s">
        <v>388</v>
      </c>
      <c r="C4234" s="140" t="s">
        <v>243</v>
      </c>
      <c r="D4234" s="140" t="s">
        <v>11</v>
      </c>
      <c r="E4234" s="140" t="s">
        <v>52</v>
      </c>
      <c r="F4234">
        <v>4785</v>
      </c>
      <c r="G4234" s="140" t="s">
        <v>389</v>
      </c>
      <c r="H4234">
        <v>0</v>
      </c>
      <c r="I4234" s="140" t="s">
        <v>17</v>
      </c>
    </row>
    <row r="4235" spans="1:9" hidden="1" x14ac:dyDescent="0.25">
      <c r="A4235">
        <v>2009</v>
      </c>
      <c r="B4235" s="140" t="s">
        <v>388</v>
      </c>
      <c r="C4235" s="140" t="s">
        <v>243</v>
      </c>
      <c r="D4235" s="140" t="s">
        <v>11</v>
      </c>
      <c r="E4235" s="140" t="s">
        <v>52</v>
      </c>
      <c r="F4235">
        <v>1953</v>
      </c>
      <c r="G4235" s="140" t="s">
        <v>389</v>
      </c>
      <c r="H4235">
        <v>0</v>
      </c>
      <c r="I4235" s="140" t="s">
        <v>17</v>
      </c>
    </row>
    <row r="4236" spans="1:9" hidden="1" x14ac:dyDescent="0.25">
      <c r="A4236">
        <v>2010</v>
      </c>
      <c r="B4236" s="140" t="s">
        <v>388</v>
      </c>
      <c r="C4236" s="140" t="s">
        <v>243</v>
      </c>
      <c r="D4236" s="140" t="s">
        <v>11</v>
      </c>
      <c r="E4236" s="140" t="s">
        <v>52</v>
      </c>
      <c r="F4236">
        <v>1034</v>
      </c>
      <c r="G4236" s="140" t="s">
        <v>389</v>
      </c>
      <c r="H4236">
        <v>0</v>
      </c>
      <c r="I4236" s="140" t="s">
        <v>17</v>
      </c>
    </row>
    <row r="4237" spans="1:9" hidden="1" x14ac:dyDescent="0.25">
      <c r="A4237">
        <v>2011</v>
      </c>
      <c r="B4237" s="140" t="s">
        <v>388</v>
      </c>
      <c r="C4237" s="140" t="s">
        <v>243</v>
      </c>
      <c r="D4237" s="140" t="s">
        <v>11</v>
      </c>
      <c r="E4237" s="140" t="s">
        <v>52</v>
      </c>
      <c r="F4237">
        <v>1963</v>
      </c>
      <c r="G4237" s="140" t="s">
        <v>389</v>
      </c>
      <c r="H4237">
        <v>0</v>
      </c>
      <c r="I4237" s="140" t="s">
        <v>17</v>
      </c>
    </row>
    <row r="4238" spans="1:9" hidden="1" x14ac:dyDescent="0.25">
      <c r="A4238">
        <v>2012</v>
      </c>
      <c r="B4238" s="140" t="s">
        <v>388</v>
      </c>
      <c r="C4238" s="140" t="s">
        <v>243</v>
      </c>
      <c r="D4238" s="140" t="s">
        <v>11</v>
      </c>
      <c r="E4238" s="140" t="s">
        <v>52</v>
      </c>
      <c r="F4238">
        <v>1563</v>
      </c>
      <c r="G4238" s="140" t="s">
        <v>389</v>
      </c>
      <c r="H4238">
        <v>0</v>
      </c>
      <c r="I4238" s="140" t="s">
        <v>17</v>
      </c>
    </row>
    <row r="4239" spans="1:9" hidden="1" x14ac:dyDescent="0.25">
      <c r="A4239">
        <v>2013</v>
      </c>
      <c r="B4239" s="140" t="s">
        <v>388</v>
      </c>
      <c r="C4239" s="140" t="s">
        <v>243</v>
      </c>
      <c r="D4239" s="140" t="s">
        <v>11</v>
      </c>
      <c r="E4239" s="140" t="s">
        <v>52</v>
      </c>
      <c r="F4239">
        <v>853</v>
      </c>
      <c r="G4239" s="140" t="s">
        <v>389</v>
      </c>
      <c r="H4239">
        <v>0</v>
      </c>
      <c r="I4239" s="140" t="s">
        <v>17</v>
      </c>
    </row>
    <row r="4240" spans="1:9" hidden="1" x14ac:dyDescent="0.25">
      <c r="A4240">
        <v>2014</v>
      </c>
      <c r="B4240" s="140" t="s">
        <v>388</v>
      </c>
      <c r="C4240" s="140" t="s">
        <v>243</v>
      </c>
      <c r="D4240" s="140" t="s">
        <v>11</v>
      </c>
      <c r="E4240" s="140" t="s">
        <v>52</v>
      </c>
      <c r="F4240">
        <v>753</v>
      </c>
      <c r="G4240" s="140" t="s">
        <v>389</v>
      </c>
      <c r="H4240">
        <v>0</v>
      </c>
      <c r="I4240" s="140" t="s">
        <v>17</v>
      </c>
    </row>
    <row r="4241" spans="1:9" hidden="1" x14ac:dyDescent="0.25">
      <c r="A4241">
        <v>2015</v>
      </c>
      <c r="B4241" s="140" t="s">
        <v>388</v>
      </c>
      <c r="C4241" s="140" t="s">
        <v>243</v>
      </c>
      <c r="D4241" s="140" t="s">
        <v>11</v>
      </c>
      <c r="E4241" s="140" t="s">
        <v>52</v>
      </c>
      <c r="F4241">
        <v>543</v>
      </c>
      <c r="G4241" s="140" t="s">
        <v>389</v>
      </c>
      <c r="H4241">
        <v>0</v>
      </c>
      <c r="I4241" s="140" t="s">
        <v>17</v>
      </c>
    </row>
    <row r="4242" spans="1:9" hidden="1" x14ac:dyDescent="0.25">
      <c r="A4242">
        <v>2016</v>
      </c>
      <c r="B4242" s="140" t="s">
        <v>388</v>
      </c>
      <c r="C4242" s="140" t="s">
        <v>243</v>
      </c>
      <c r="D4242" s="140" t="s">
        <v>11</v>
      </c>
      <c r="E4242" s="140" t="s">
        <v>52</v>
      </c>
      <c r="F4242">
        <v>333</v>
      </c>
      <c r="G4242" s="140" t="s">
        <v>389</v>
      </c>
      <c r="H4242">
        <v>0</v>
      </c>
      <c r="I4242" s="140" t="s">
        <v>17</v>
      </c>
    </row>
    <row r="4243" spans="1:9" hidden="1" x14ac:dyDescent="0.25">
      <c r="A4243">
        <v>2017</v>
      </c>
      <c r="B4243" s="140" t="s">
        <v>388</v>
      </c>
      <c r="C4243" s="140" t="s">
        <v>243</v>
      </c>
      <c r="D4243" s="140" t="s">
        <v>11</v>
      </c>
      <c r="E4243" s="140" t="s">
        <v>52</v>
      </c>
      <c r="F4243">
        <v>246</v>
      </c>
      <c r="G4243" s="140" t="s">
        <v>389</v>
      </c>
      <c r="H4243">
        <v>0</v>
      </c>
      <c r="I4243" s="140" t="s">
        <v>17</v>
      </c>
    </row>
    <row r="4244" spans="1:9" hidden="1" x14ac:dyDescent="0.25">
      <c r="A4244">
        <v>2018</v>
      </c>
      <c r="B4244" s="140" t="s">
        <v>388</v>
      </c>
      <c r="C4244" s="140" t="s">
        <v>243</v>
      </c>
      <c r="D4244" s="140" t="s">
        <v>11</v>
      </c>
      <c r="E4244" s="140" t="s">
        <v>52</v>
      </c>
      <c r="F4244">
        <v>315</v>
      </c>
      <c r="G4244" s="140" t="s">
        <v>389</v>
      </c>
      <c r="H4244">
        <v>0</v>
      </c>
      <c r="I4244" s="140" t="s">
        <v>17</v>
      </c>
    </row>
    <row r="4245" spans="1:9" hidden="1" x14ac:dyDescent="0.25">
      <c r="A4245">
        <v>2019</v>
      </c>
      <c r="B4245" s="140" t="s">
        <v>388</v>
      </c>
      <c r="C4245" s="140" t="s">
        <v>243</v>
      </c>
      <c r="D4245" s="140" t="s">
        <v>11</v>
      </c>
      <c r="E4245" s="140" t="s">
        <v>52</v>
      </c>
      <c r="F4245">
        <v>325</v>
      </c>
      <c r="G4245" s="140" t="s">
        <v>389</v>
      </c>
      <c r="H4245">
        <v>0</v>
      </c>
      <c r="I4245" s="140" t="s">
        <v>17</v>
      </c>
    </row>
    <row r="4246" spans="1:9" hidden="1" x14ac:dyDescent="0.25">
      <c r="A4246">
        <v>2020</v>
      </c>
      <c r="B4246" s="140" t="s">
        <v>388</v>
      </c>
      <c r="C4246" s="140" t="s">
        <v>243</v>
      </c>
      <c r="D4246" s="140" t="s">
        <v>11</v>
      </c>
      <c r="E4246" s="140" t="s">
        <v>52</v>
      </c>
      <c r="F4246">
        <v>185</v>
      </c>
      <c r="G4246" s="140" t="s">
        <v>389</v>
      </c>
      <c r="H4246">
        <v>0</v>
      </c>
      <c r="I4246" s="140" t="s">
        <v>17</v>
      </c>
    </row>
    <row r="4247" spans="1:9" hidden="1" x14ac:dyDescent="0.25">
      <c r="A4247">
        <v>2021</v>
      </c>
      <c r="B4247" s="140" t="s">
        <v>388</v>
      </c>
      <c r="C4247" s="140" t="s">
        <v>243</v>
      </c>
      <c r="D4247" s="140" t="s">
        <v>11</v>
      </c>
      <c r="E4247" s="140" t="s">
        <v>52</v>
      </c>
      <c r="F4247">
        <v>21</v>
      </c>
      <c r="G4247" s="140" t="s">
        <v>389</v>
      </c>
      <c r="H4247">
        <v>0</v>
      </c>
      <c r="I4247" s="140" t="s">
        <v>17</v>
      </c>
    </row>
    <row r="4248" spans="1:9" hidden="1" x14ac:dyDescent="0.25">
      <c r="A4248">
        <v>2022</v>
      </c>
      <c r="B4248" s="140" t="s">
        <v>388</v>
      </c>
      <c r="C4248" s="140" t="s">
        <v>243</v>
      </c>
      <c r="D4248" s="140" t="s">
        <v>11</v>
      </c>
      <c r="E4248" s="140" t="s">
        <v>52</v>
      </c>
      <c r="F4248">
        <v>642</v>
      </c>
      <c r="G4248" s="140" t="s">
        <v>389</v>
      </c>
      <c r="H4248">
        <v>0</v>
      </c>
      <c r="I4248" s="140" t="s">
        <v>17</v>
      </c>
    </row>
    <row r="4249" spans="1:9" hidden="1" x14ac:dyDescent="0.25">
      <c r="A4249">
        <v>2023</v>
      </c>
      <c r="B4249" s="140" t="s">
        <v>388</v>
      </c>
      <c r="C4249" s="140" t="s">
        <v>243</v>
      </c>
      <c r="D4249" s="140" t="s">
        <v>11</v>
      </c>
      <c r="E4249" s="140" t="s">
        <v>52</v>
      </c>
      <c r="F4249">
        <v>4802</v>
      </c>
      <c r="G4249" s="140" t="s">
        <v>389</v>
      </c>
      <c r="H4249">
        <v>0</v>
      </c>
      <c r="I4249" s="140" t="s">
        <v>17</v>
      </c>
    </row>
    <row r="4250" spans="1:9" hidden="1" x14ac:dyDescent="0.25">
      <c r="A4250">
        <v>2024</v>
      </c>
      <c r="B4250" s="140" t="s">
        <v>388</v>
      </c>
      <c r="C4250" s="140" t="s">
        <v>243</v>
      </c>
      <c r="D4250" s="140" t="s">
        <v>11</v>
      </c>
      <c r="E4250" s="140" t="s">
        <v>52</v>
      </c>
      <c r="F4250">
        <v>5678</v>
      </c>
      <c r="G4250" s="140" t="s">
        <v>389</v>
      </c>
      <c r="H4250">
        <v>0</v>
      </c>
      <c r="I4250" s="140" t="s">
        <v>17</v>
      </c>
    </row>
    <row r="4251" spans="1:9" hidden="1" x14ac:dyDescent="0.25">
      <c r="A4251">
        <v>2025</v>
      </c>
      <c r="B4251" s="140" t="s">
        <v>388</v>
      </c>
      <c r="C4251" s="140" t="s">
        <v>243</v>
      </c>
      <c r="D4251" s="140" t="s">
        <v>11</v>
      </c>
      <c r="E4251" s="140" t="s">
        <v>52</v>
      </c>
      <c r="F4251">
        <v>3884</v>
      </c>
      <c r="G4251" s="140" t="s">
        <v>389</v>
      </c>
      <c r="H4251">
        <v>0</v>
      </c>
      <c r="I4251" s="140" t="s">
        <v>17</v>
      </c>
    </row>
    <row r="4252" spans="1:9" hidden="1" x14ac:dyDescent="0.25">
      <c r="A4252">
        <v>2026</v>
      </c>
      <c r="B4252" s="140" t="s">
        <v>388</v>
      </c>
      <c r="C4252" s="140" t="s">
        <v>243</v>
      </c>
      <c r="D4252" s="140" t="s">
        <v>11</v>
      </c>
      <c r="E4252" s="140" t="s">
        <v>52</v>
      </c>
      <c r="F4252">
        <v>3689.8</v>
      </c>
      <c r="G4252" s="140" t="s">
        <v>389</v>
      </c>
      <c r="H4252">
        <v>0</v>
      </c>
      <c r="I4252" s="140" t="s">
        <v>17</v>
      </c>
    </row>
    <row r="4253" spans="1:9" hidden="1" x14ac:dyDescent="0.25">
      <c r="A4253">
        <v>2027</v>
      </c>
      <c r="B4253" s="140" t="s">
        <v>388</v>
      </c>
      <c r="C4253" s="140" t="s">
        <v>243</v>
      </c>
      <c r="D4253" s="140" t="s">
        <v>11</v>
      </c>
      <c r="E4253" s="140" t="s">
        <v>52</v>
      </c>
      <c r="F4253">
        <v>3689.8</v>
      </c>
      <c r="G4253" s="140" t="s">
        <v>389</v>
      </c>
      <c r="H4253">
        <v>0</v>
      </c>
      <c r="I4253" s="140" t="s">
        <v>17</v>
      </c>
    </row>
    <row r="4254" spans="1:9" hidden="1" x14ac:dyDescent="0.25">
      <c r="A4254">
        <v>2028</v>
      </c>
      <c r="B4254" s="140" t="s">
        <v>388</v>
      </c>
      <c r="C4254" s="140" t="s">
        <v>243</v>
      </c>
      <c r="D4254" s="140" t="s">
        <v>11</v>
      </c>
      <c r="E4254" s="140" t="s">
        <v>52</v>
      </c>
      <c r="F4254">
        <v>3689.8</v>
      </c>
      <c r="G4254" s="140" t="s">
        <v>389</v>
      </c>
      <c r="H4254">
        <v>0</v>
      </c>
      <c r="I4254" s="140" t="s">
        <v>17</v>
      </c>
    </row>
    <row r="4255" spans="1:9" hidden="1" x14ac:dyDescent="0.25">
      <c r="A4255">
        <v>1990</v>
      </c>
      <c r="B4255" s="140" t="s">
        <v>390</v>
      </c>
      <c r="C4255" s="140" t="s">
        <v>243</v>
      </c>
      <c r="D4255" s="140" t="s">
        <v>11</v>
      </c>
      <c r="E4255" s="140" t="s">
        <v>52</v>
      </c>
      <c r="F4255">
        <v>72</v>
      </c>
      <c r="G4255" s="140" t="s">
        <v>391</v>
      </c>
      <c r="H4255">
        <v>0</v>
      </c>
      <c r="I4255" s="140" t="s">
        <v>17</v>
      </c>
    </row>
    <row r="4256" spans="1:9" hidden="1" x14ac:dyDescent="0.25">
      <c r="A4256">
        <v>1991</v>
      </c>
      <c r="B4256" s="140" t="s">
        <v>390</v>
      </c>
      <c r="C4256" s="140" t="s">
        <v>243</v>
      </c>
      <c r="D4256" s="140" t="s">
        <v>11</v>
      </c>
      <c r="E4256" s="140" t="s">
        <v>52</v>
      </c>
      <c r="F4256">
        <v>77</v>
      </c>
      <c r="G4256" s="140" t="s">
        <v>391</v>
      </c>
      <c r="H4256">
        <v>0</v>
      </c>
      <c r="I4256" s="140" t="s">
        <v>17</v>
      </c>
    </row>
    <row r="4257" spans="1:9" hidden="1" x14ac:dyDescent="0.25">
      <c r="A4257">
        <v>1992</v>
      </c>
      <c r="B4257" s="140" t="s">
        <v>390</v>
      </c>
      <c r="C4257" s="140" t="s">
        <v>243</v>
      </c>
      <c r="D4257" s="140" t="s">
        <v>11</v>
      </c>
      <c r="E4257" s="140" t="s">
        <v>52</v>
      </c>
      <c r="F4257">
        <v>75</v>
      </c>
      <c r="G4257" s="140" t="s">
        <v>391</v>
      </c>
      <c r="H4257">
        <v>0</v>
      </c>
      <c r="I4257" s="140" t="s">
        <v>17</v>
      </c>
    </row>
    <row r="4258" spans="1:9" hidden="1" x14ac:dyDescent="0.25">
      <c r="A4258">
        <v>1993</v>
      </c>
      <c r="B4258" s="140" t="s">
        <v>390</v>
      </c>
      <c r="C4258" s="140" t="s">
        <v>243</v>
      </c>
      <c r="D4258" s="140" t="s">
        <v>11</v>
      </c>
      <c r="E4258" s="140" t="s">
        <v>52</v>
      </c>
      <c r="F4258">
        <v>91</v>
      </c>
      <c r="G4258" s="140" t="s">
        <v>391</v>
      </c>
      <c r="H4258">
        <v>0</v>
      </c>
      <c r="I4258" s="140" t="s">
        <v>17</v>
      </c>
    </row>
    <row r="4259" spans="1:9" hidden="1" x14ac:dyDescent="0.25">
      <c r="A4259">
        <v>1994</v>
      </c>
      <c r="B4259" s="140" t="s">
        <v>390</v>
      </c>
      <c r="C4259" s="140" t="s">
        <v>243</v>
      </c>
      <c r="D4259" s="140" t="s">
        <v>11</v>
      </c>
      <c r="E4259" s="140" t="s">
        <v>52</v>
      </c>
      <c r="F4259">
        <v>97</v>
      </c>
      <c r="G4259" s="140" t="s">
        <v>391</v>
      </c>
      <c r="H4259">
        <v>0</v>
      </c>
      <c r="I4259" s="140" t="s">
        <v>17</v>
      </c>
    </row>
    <row r="4260" spans="1:9" hidden="1" x14ac:dyDescent="0.25">
      <c r="A4260">
        <v>1995</v>
      </c>
      <c r="B4260" s="140" t="s">
        <v>390</v>
      </c>
      <c r="C4260" s="140" t="s">
        <v>243</v>
      </c>
      <c r="D4260" s="140" t="s">
        <v>11</v>
      </c>
      <c r="E4260" s="140" t="s">
        <v>52</v>
      </c>
      <c r="F4260">
        <v>114</v>
      </c>
      <c r="G4260" s="140" t="s">
        <v>391</v>
      </c>
      <c r="H4260">
        <v>0</v>
      </c>
      <c r="I4260" s="140" t="s">
        <v>17</v>
      </c>
    </row>
    <row r="4261" spans="1:9" hidden="1" x14ac:dyDescent="0.25">
      <c r="A4261">
        <v>1996</v>
      </c>
      <c r="B4261" s="140" t="s">
        <v>390</v>
      </c>
      <c r="C4261" s="140" t="s">
        <v>243</v>
      </c>
      <c r="D4261" s="140" t="s">
        <v>11</v>
      </c>
      <c r="E4261" s="140" t="s">
        <v>52</v>
      </c>
      <c r="F4261">
        <v>112</v>
      </c>
      <c r="G4261" s="140" t="s">
        <v>391</v>
      </c>
      <c r="H4261">
        <v>0</v>
      </c>
      <c r="I4261" s="140" t="s">
        <v>17</v>
      </c>
    </row>
    <row r="4262" spans="1:9" hidden="1" x14ac:dyDescent="0.25">
      <c r="A4262">
        <v>1997</v>
      </c>
      <c r="B4262" s="140" t="s">
        <v>390</v>
      </c>
      <c r="C4262" s="140" t="s">
        <v>243</v>
      </c>
      <c r="D4262" s="140" t="s">
        <v>11</v>
      </c>
      <c r="E4262" s="140" t="s">
        <v>52</v>
      </c>
      <c r="F4262">
        <v>129</v>
      </c>
      <c r="G4262" s="140" t="s">
        <v>391</v>
      </c>
      <c r="H4262">
        <v>0</v>
      </c>
      <c r="I4262" s="140" t="s">
        <v>17</v>
      </c>
    </row>
    <row r="4263" spans="1:9" hidden="1" x14ac:dyDescent="0.25">
      <c r="A4263">
        <v>1998</v>
      </c>
      <c r="B4263" s="140" t="s">
        <v>390</v>
      </c>
      <c r="C4263" s="140" t="s">
        <v>243</v>
      </c>
      <c r="D4263" s="140" t="s">
        <v>11</v>
      </c>
      <c r="E4263" s="140" t="s">
        <v>52</v>
      </c>
      <c r="F4263">
        <v>128</v>
      </c>
      <c r="G4263" s="140" t="s">
        <v>391</v>
      </c>
      <c r="H4263">
        <v>0</v>
      </c>
      <c r="I4263" s="140" t="s">
        <v>17</v>
      </c>
    </row>
    <row r="4264" spans="1:9" hidden="1" x14ac:dyDescent="0.25">
      <c r="A4264">
        <v>1999</v>
      </c>
      <c r="B4264" s="140" t="s">
        <v>390</v>
      </c>
      <c r="C4264" s="140" t="s">
        <v>243</v>
      </c>
      <c r="D4264" s="140" t="s">
        <v>11</v>
      </c>
      <c r="E4264" s="140" t="s">
        <v>52</v>
      </c>
      <c r="F4264">
        <v>152</v>
      </c>
      <c r="G4264" s="140" t="s">
        <v>391</v>
      </c>
      <c r="H4264">
        <v>0</v>
      </c>
      <c r="I4264" s="140" t="s">
        <v>17</v>
      </c>
    </row>
    <row r="4265" spans="1:9" hidden="1" x14ac:dyDescent="0.25">
      <c r="A4265">
        <v>2000</v>
      </c>
      <c r="B4265" s="140" t="s">
        <v>390</v>
      </c>
      <c r="C4265" s="140" t="s">
        <v>243</v>
      </c>
      <c r="D4265" s="140" t="s">
        <v>11</v>
      </c>
      <c r="E4265" s="140" t="s">
        <v>52</v>
      </c>
      <c r="F4265">
        <v>153</v>
      </c>
      <c r="G4265" s="140" t="s">
        <v>391</v>
      </c>
      <c r="H4265">
        <v>0</v>
      </c>
      <c r="I4265" s="140" t="s">
        <v>17</v>
      </c>
    </row>
    <row r="4266" spans="1:9" hidden="1" x14ac:dyDescent="0.25">
      <c r="A4266">
        <v>2001</v>
      </c>
      <c r="B4266" s="140" t="s">
        <v>390</v>
      </c>
      <c r="C4266" s="140" t="s">
        <v>243</v>
      </c>
      <c r="D4266" s="140" t="s">
        <v>11</v>
      </c>
      <c r="E4266" s="140" t="s">
        <v>52</v>
      </c>
      <c r="F4266">
        <v>162</v>
      </c>
      <c r="G4266" s="140" t="s">
        <v>391</v>
      </c>
      <c r="H4266">
        <v>0</v>
      </c>
      <c r="I4266" s="140" t="s">
        <v>17</v>
      </c>
    </row>
    <row r="4267" spans="1:9" hidden="1" x14ac:dyDescent="0.25">
      <c r="A4267">
        <v>2002</v>
      </c>
      <c r="B4267" s="140" t="s">
        <v>390</v>
      </c>
      <c r="C4267" s="140" t="s">
        <v>243</v>
      </c>
      <c r="D4267" s="140" t="s">
        <v>11</v>
      </c>
      <c r="E4267" s="140" t="s">
        <v>52</v>
      </c>
      <c r="F4267">
        <v>166</v>
      </c>
      <c r="G4267" s="140" t="s">
        <v>391</v>
      </c>
      <c r="H4267">
        <v>0</v>
      </c>
      <c r="I4267" s="140" t="s">
        <v>17</v>
      </c>
    </row>
    <row r="4268" spans="1:9" hidden="1" x14ac:dyDescent="0.25">
      <c r="A4268">
        <v>2003</v>
      </c>
      <c r="B4268" s="140" t="s">
        <v>390</v>
      </c>
      <c r="C4268" s="140" t="s">
        <v>243</v>
      </c>
      <c r="D4268" s="140" t="s">
        <v>11</v>
      </c>
      <c r="E4268" s="140" t="s">
        <v>52</v>
      </c>
      <c r="F4268">
        <v>176</v>
      </c>
      <c r="G4268" s="140" t="s">
        <v>391</v>
      </c>
      <c r="H4268">
        <v>0</v>
      </c>
      <c r="I4268" s="140" t="s">
        <v>17</v>
      </c>
    </row>
    <row r="4269" spans="1:9" hidden="1" x14ac:dyDescent="0.25">
      <c r="A4269">
        <v>2004</v>
      </c>
      <c r="B4269" s="140" t="s">
        <v>390</v>
      </c>
      <c r="C4269" s="140" t="s">
        <v>243</v>
      </c>
      <c r="D4269" s="140" t="s">
        <v>11</v>
      </c>
      <c r="E4269" s="140" t="s">
        <v>52</v>
      </c>
      <c r="F4269">
        <v>182</v>
      </c>
      <c r="G4269" s="140" t="s">
        <v>391</v>
      </c>
      <c r="H4269">
        <v>0</v>
      </c>
      <c r="I4269" s="140" t="s">
        <v>17</v>
      </c>
    </row>
    <row r="4270" spans="1:9" hidden="1" x14ac:dyDescent="0.25">
      <c r="A4270">
        <v>2005</v>
      </c>
      <c r="B4270" s="140" t="s">
        <v>390</v>
      </c>
      <c r="C4270" s="140" t="s">
        <v>243</v>
      </c>
      <c r="D4270" s="140" t="s">
        <v>11</v>
      </c>
      <c r="E4270" s="140" t="s">
        <v>52</v>
      </c>
      <c r="F4270">
        <v>196</v>
      </c>
      <c r="G4270" s="140" t="s">
        <v>391</v>
      </c>
      <c r="H4270">
        <v>0</v>
      </c>
      <c r="I4270" s="140" t="s">
        <v>17</v>
      </c>
    </row>
    <row r="4271" spans="1:9" hidden="1" x14ac:dyDescent="0.25">
      <c r="A4271">
        <v>2006</v>
      </c>
      <c r="B4271" s="140" t="s">
        <v>390</v>
      </c>
      <c r="C4271" s="140" t="s">
        <v>243</v>
      </c>
      <c r="D4271" s="140" t="s">
        <v>11</v>
      </c>
      <c r="E4271" s="140" t="s">
        <v>52</v>
      </c>
      <c r="F4271">
        <v>201</v>
      </c>
      <c r="G4271" s="140" t="s">
        <v>391</v>
      </c>
      <c r="H4271">
        <v>0</v>
      </c>
      <c r="I4271" s="140" t="s">
        <v>17</v>
      </c>
    </row>
    <row r="4272" spans="1:9" hidden="1" x14ac:dyDescent="0.25">
      <c r="A4272">
        <v>2007</v>
      </c>
      <c r="B4272" s="140" t="s">
        <v>390</v>
      </c>
      <c r="C4272" s="140" t="s">
        <v>243</v>
      </c>
      <c r="D4272" s="140" t="s">
        <v>11</v>
      </c>
      <c r="E4272" s="140" t="s">
        <v>52</v>
      </c>
      <c r="F4272">
        <v>198</v>
      </c>
      <c r="G4272" s="140" t="s">
        <v>391</v>
      </c>
      <c r="H4272">
        <v>0</v>
      </c>
      <c r="I4272" s="140" t="s">
        <v>17</v>
      </c>
    </row>
    <row r="4273" spans="1:9" hidden="1" x14ac:dyDescent="0.25">
      <c r="A4273">
        <v>2008</v>
      </c>
      <c r="B4273" s="140" t="s">
        <v>390</v>
      </c>
      <c r="C4273" s="140" t="s">
        <v>243</v>
      </c>
      <c r="D4273" s="140" t="s">
        <v>11</v>
      </c>
      <c r="E4273" s="140" t="s">
        <v>52</v>
      </c>
      <c r="F4273">
        <v>211</v>
      </c>
      <c r="G4273" s="140" t="s">
        <v>391</v>
      </c>
      <c r="H4273">
        <v>0</v>
      </c>
      <c r="I4273" s="140" t="s">
        <v>17</v>
      </c>
    </row>
    <row r="4274" spans="1:9" hidden="1" x14ac:dyDescent="0.25">
      <c r="A4274">
        <v>2009</v>
      </c>
      <c r="B4274" s="140" t="s">
        <v>390</v>
      </c>
      <c r="C4274" s="140" t="s">
        <v>243</v>
      </c>
      <c r="D4274" s="140" t="s">
        <v>11</v>
      </c>
      <c r="E4274" s="140" t="s">
        <v>52</v>
      </c>
      <c r="F4274">
        <v>225</v>
      </c>
      <c r="G4274" s="140" t="s">
        <v>391</v>
      </c>
      <c r="H4274">
        <v>0</v>
      </c>
      <c r="I4274" s="140" t="s">
        <v>17</v>
      </c>
    </row>
    <row r="4275" spans="1:9" hidden="1" x14ac:dyDescent="0.25">
      <c r="A4275">
        <v>2010</v>
      </c>
      <c r="B4275" s="140" t="s">
        <v>390</v>
      </c>
      <c r="C4275" s="140" t="s">
        <v>243</v>
      </c>
      <c r="D4275" s="140" t="s">
        <v>11</v>
      </c>
      <c r="E4275" s="140" t="s">
        <v>52</v>
      </c>
      <c r="F4275">
        <v>225</v>
      </c>
      <c r="G4275" s="140" t="s">
        <v>391</v>
      </c>
      <c r="H4275">
        <v>0</v>
      </c>
      <c r="I4275" s="140" t="s">
        <v>17</v>
      </c>
    </row>
    <row r="4276" spans="1:9" hidden="1" x14ac:dyDescent="0.25">
      <c r="A4276">
        <v>2011</v>
      </c>
      <c r="B4276" s="140" t="s">
        <v>390</v>
      </c>
      <c r="C4276" s="140" t="s">
        <v>243</v>
      </c>
      <c r="D4276" s="140" t="s">
        <v>11</v>
      </c>
      <c r="E4276" s="140" t="s">
        <v>52</v>
      </c>
      <c r="F4276">
        <v>240</v>
      </c>
      <c r="G4276" s="140" t="s">
        <v>391</v>
      </c>
      <c r="H4276">
        <v>0</v>
      </c>
      <c r="I4276" s="140" t="s">
        <v>17</v>
      </c>
    </row>
    <row r="4277" spans="1:9" hidden="1" x14ac:dyDescent="0.25">
      <c r="A4277">
        <v>2012</v>
      </c>
      <c r="B4277" s="140" t="s">
        <v>390</v>
      </c>
      <c r="C4277" s="140" t="s">
        <v>243</v>
      </c>
      <c r="D4277" s="140" t="s">
        <v>11</v>
      </c>
      <c r="E4277" s="140" t="s">
        <v>52</v>
      </c>
      <c r="F4277">
        <v>266</v>
      </c>
      <c r="G4277" s="140" t="s">
        <v>391</v>
      </c>
      <c r="H4277">
        <v>0</v>
      </c>
      <c r="I4277" s="140" t="s">
        <v>17</v>
      </c>
    </row>
    <row r="4278" spans="1:9" hidden="1" x14ac:dyDescent="0.25">
      <c r="A4278">
        <v>2013</v>
      </c>
      <c r="B4278" s="140" t="s">
        <v>390</v>
      </c>
      <c r="C4278" s="140" t="s">
        <v>243</v>
      </c>
      <c r="D4278" s="140" t="s">
        <v>11</v>
      </c>
      <c r="E4278" s="140" t="s">
        <v>52</v>
      </c>
      <c r="F4278">
        <v>266</v>
      </c>
      <c r="G4278" s="140" t="s">
        <v>391</v>
      </c>
      <c r="H4278">
        <v>0</v>
      </c>
      <c r="I4278" s="140" t="s">
        <v>17</v>
      </c>
    </row>
    <row r="4279" spans="1:9" hidden="1" x14ac:dyDescent="0.25">
      <c r="A4279">
        <v>2014</v>
      </c>
      <c r="B4279" s="140" t="s">
        <v>390</v>
      </c>
      <c r="C4279" s="140" t="s">
        <v>243</v>
      </c>
      <c r="D4279" s="140" t="s">
        <v>11</v>
      </c>
      <c r="E4279" s="140" t="s">
        <v>52</v>
      </c>
      <c r="F4279">
        <v>278</v>
      </c>
      <c r="G4279" s="140" t="s">
        <v>391</v>
      </c>
      <c r="H4279">
        <v>0</v>
      </c>
      <c r="I4279" s="140" t="s">
        <v>17</v>
      </c>
    </row>
    <row r="4280" spans="1:9" hidden="1" x14ac:dyDescent="0.25">
      <c r="A4280">
        <v>2015</v>
      </c>
      <c r="B4280" s="140" t="s">
        <v>390</v>
      </c>
      <c r="C4280" s="140" t="s">
        <v>243</v>
      </c>
      <c r="D4280" s="140" t="s">
        <v>11</v>
      </c>
      <c r="E4280" s="140" t="s">
        <v>52</v>
      </c>
      <c r="F4280">
        <v>374</v>
      </c>
      <c r="G4280" s="140" t="s">
        <v>391</v>
      </c>
      <c r="H4280">
        <v>0</v>
      </c>
      <c r="I4280" s="140" t="s">
        <v>17</v>
      </c>
    </row>
    <row r="4281" spans="1:9" hidden="1" x14ac:dyDescent="0.25">
      <c r="A4281">
        <v>2016</v>
      </c>
      <c r="B4281" s="140" t="s">
        <v>390</v>
      </c>
      <c r="C4281" s="140" t="s">
        <v>243</v>
      </c>
      <c r="D4281" s="140" t="s">
        <v>11</v>
      </c>
      <c r="E4281" s="140" t="s">
        <v>52</v>
      </c>
      <c r="F4281">
        <v>332</v>
      </c>
      <c r="G4281" s="140" t="s">
        <v>391</v>
      </c>
      <c r="H4281">
        <v>0</v>
      </c>
      <c r="I4281" s="140" t="s">
        <v>17</v>
      </c>
    </row>
    <row r="4282" spans="1:9" hidden="1" x14ac:dyDescent="0.25">
      <c r="A4282">
        <v>2017</v>
      </c>
      <c r="B4282" s="140" t="s">
        <v>390</v>
      </c>
      <c r="C4282" s="140" t="s">
        <v>243</v>
      </c>
      <c r="D4282" s="140" t="s">
        <v>11</v>
      </c>
      <c r="E4282" s="140" t="s">
        <v>52</v>
      </c>
      <c r="F4282">
        <v>312</v>
      </c>
      <c r="G4282" s="140" t="s">
        <v>391</v>
      </c>
      <c r="H4282">
        <v>0</v>
      </c>
      <c r="I4282" s="140" t="s">
        <v>17</v>
      </c>
    </row>
    <row r="4283" spans="1:9" hidden="1" x14ac:dyDescent="0.25">
      <c r="A4283">
        <v>2018</v>
      </c>
      <c r="B4283" s="140" t="s">
        <v>390</v>
      </c>
      <c r="C4283" s="140" t="s">
        <v>243</v>
      </c>
      <c r="D4283" s="140" t="s">
        <v>11</v>
      </c>
      <c r="E4283" s="140" t="s">
        <v>52</v>
      </c>
      <c r="F4283">
        <v>322</v>
      </c>
      <c r="G4283" s="140" t="s">
        <v>391</v>
      </c>
      <c r="H4283">
        <v>0</v>
      </c>
      <c r="I4283" s="140" t="s">
        <v>17</v>
      </c>
    </row>
    <row r="4284" spans="1:9" hidden="1" x14ac:dyDescent="0.25">
      <c r="A4284">
        <v>2019</v>
      </c>
      <c r="B4284" s="140" t="s">
        <v>390</v>
      </c>
      <c r="C4284" s="140" t="s">
        <v>243</v>
      </c>
      <c r="D4284" s="140" t="s">
        <v>11</v>
      </c>
      <c r="E4284" s="140" t="s">
        <v>52</v>
      </c>
      <c r="F4284">
        <v>322</v>
      </c>
      <c r="G4284" s="140" t="s">
        <v>391</v>
      </c>
      <c r="H4284">
        <v>0</v>
      </c>
      <c r="I4284" s="140" t="s">
        <v>17</v>
      </c>
    </row>
    <row r="4285" spans="1:9" hidden="1" x14ac:dyDescent="0.25">
      <c r="A4285">
        <v>2020</v>
      </c>
      <c r="B4285" s="140" t="s">
        <v>390</v>
      </c>
      <c r="C4285" s="140" t="s">
        <v>243</v>
      </c>
      <c r="D4285" s="140" t="s">
        <v>11</v>
      </c>
      <c r="E4285" s="140" t="s">
        <v>52</v>
      </c>
      <c r="F4285">
        <v>332</v>
      </c>
      <c r="G4285" s="140" t="s">
        <v>391</v>
      </c>
      <c r="H4285">
        <v>0</v>
      </c>
      <c r="I4285" s="140" t="s">
        <v>17</v>
      </c>
    </row>
    <row r="4286" spans="1:9" hidden="1" x14ac:dyDescent="0.25">
      <c r="A4286">
        <v>2021</v>
      </c>
      <c r="B4286" s="140" t="s">
        <v>390</v>
      </c>
      <c r="C4286" s="140" t="s">
        <v>243</v>
      </c>
      <c r="D4286" s="140" t="s">
        <v>11</v>
      </c>
      <c r="E4286" s="140" t="s">
        <v>52</v>
      </c>
      <c r="F4286">
        <v>410</v>
      </c>
      <c r="G4286" s="140" t="s">
        <v>391</v>
      </c>
      <c r="H4286">
        <v>0</v>
      </c>
      <c r="I4286" s="140" t="s">
        <v>17</v>
      </c>
    </row>
    <row r="4287" spans="1:9" hidden="1" x14ac:dyDescent="0.25">
      <c r="A4287">
        <v>2022</v>
      </c>
      <c r="B4287" s="140" t="s">
        <v>390</v>
      </c>
      <c r="C4287" s="140" t="s">
        <v>243</v>
      </c>
      <c r="D4287" s="140" t="s">
        <v>11</v>
      </c>
      <c r="E4287" s="140" t="s">
        <v>52</v>
      </c>
      <c r="F4287">
        <v>392</v>
      </c>
      <c r="G4287" s="140" t="s">
        <v>391</v>
      </c>
      <c r="H4287">
        <v>0</v>
      </c>
      <c r="I4287" s="140" t="s">
        <v>17</v>
      </c>
    </row>
    <row r="4288" spans="1:9" hidden="1" x14ac:dyDescent="0.25">
      <c r="A4288">
        <v>2023</v>
      </c>
      <c r="B4288" s="140" t="s">
        <v>390</v>
      </c>
      <c r="C4288" s="140" t="s">
        <v>243</v>
      </c>
      <c r="D4288" s="140" t="s">
        <v>11</v>
      </c>
      <c r="E4288" s="140" t="s">
        <v>52</v>
      </c>
      <c r="F4288">
        <v>528</v>
      </c>
      <c r="G4288" s="140" t="s">
        <v>391</v>
      </c>
      <c r="H4288">
        <v>0</v>
      </c>
      <c r="I4288" s="140" t="s">
        <v>17</v>
      </c>
    </row>
    <row r="4289" spans="1:9" hidden="1" x14ac:dyDescent="0.25">
      <c r="A4289">
        <v>2024</v>
      </c>
      <c r="B4289" s="140" t="s">
        <v>390</v>
      </c>
      <c r="C4289" s="140" t="s">
        <v>243</v>
      </c>
      <c r="D4289" s="140" t="s">
        <v>11</v>
      </c>
      <c r="E4289" s="140" t="s">
        <v>52</v>
      </c>
      <c r="F4289">
        <v>569</v>
      </c>
      <c r="G4289" s="140" t="s">
        <v>391</v>
      </c>
      <c r="H4289">
        <v>0</v>
      </c>
      <c r="I4289" s="140" t="s">
        <v>17</v>
      </c>
    </row>
    <row r="4290" spans="1:9" hidden="1" x14ac:dyDescent="0.25">
      <c r="A4290">
        <v>2025</v>
      </c>
      <c r="B4290" s="140" t="s">
        <v>390</v>
      </c>
      <c r="C4290" s="140" t="s">
        <v>243</v>
      </c>
      <c r="D4290" s="140" t="s">
        <v>11</v>
      </c>
      <c r="E4290" s="140" t="s">
        <v>52</v>
      </c>
      <c r="F4290">
        <v>616</v>
      </c>
      <c r="G4290" s="140" t="s">
        <v>391</v>
      </c>
      <c r="H4290">
        <v>0</v>
      </c>
      <c r="I4290" s="140" t="s">
        <v>17</v>
      </c>
    </row>
    <row r="4291" spans="1:9" hidden="1" x14ac:dyDescent="0.25">
      <c r="A4291">
        <v>2026</v>
      </c>
      <c r="B4291" s="140" t="s">
        <v>390</v>
      </c>
      <c r="C4291" s="140" t="s">
        <v>243</v>
      </c>
      <c r="D4291" s="140" t="s">
        <v>11</v>
      </c>
      <c r="E4291" s="140" t="s">
        <v>52</v>
      </c>
      <c r="F4291">
        <v>634.48</v>
      </c>
      <c r="G4291" s="140" t="s">
        <v>391</v>
      </c>
      <c r="H4291">
        <v>0</v>
      </c>
      <c r="I4291" s="140" t="s">
        <v>17</v>
      </c>
    </row>
    <row r="4292" spans="1:9" hidden="1" x14ac:dyDescent="0.25">
      <c r="A4292">
        <v>2027</v>
      </c>
      <c r="B4292" s="140" t="s">
        <v>390</v>
      </c>
      <c r="C4292" s="140" t="s">
        <v>243</v>
      </c>
      <c r="D4292" s="140" t="s">
        <v>11</v>
      </c>
      <c r="E4292" s="140" t="s">
        <v>52</v>
      </c>
      <c r="F4292">
        <v>653.51440000000002</v>
      </c>
      <c r="G4292" s="140" t="s">
        <v>391</v>
      </c>
      <c r="H4292">
        <v>0</v>
      </c>
      <c r="I4292" s="140" t="s">
        <v>17</v>
      </c>
    </row>
    <row r="4293" spans="1:9" hidden="1" x14ac:dyDescent="0.25">
      <c r="A4293">
        <v>2028</v>
      </c>
      <c r="B4293" s="140" t="s">
        <v>390</v>
      </c>
      <c r="C4293" s="140" t="s">
        <v>243</v>
      </c>
      <c r="D4293" s="140" t="s">
        <v>11</v>
      </c>
      <c r="E4293" s="140" t="s">
        <v>52</v>
      </c>
      <c r="F4293">
        <v>673.11983199999997</v>
      </c>
      <c r="G4293" s="140" t="s">
        <v>391</v>
      </c>
      <c r="H4293">
        <v>0</v>
      </c>
      <c r="I4293" s="140" t="s">
        <v>17</v>
      </c>
    </row>
    <row r="4294" spans="1:9" hidden="1" x14ac:dyDescent="0.25">
      <c r="A4294">
        <v>1990</v>
      </c>
      <c r="B4294" s="140" t="s">
        <v>48</v>
      </c>
      <c r="C4294" s="140" t="s">
        <v>243</v>
      </c>
      <c r="D4294" s="140" t="s">
        <v>11</v>
      </c>
      <c r="E4294" s="140" t="s">
        <v>52</v>
      </c>
      <c r="F4294">
        <v>57796</v>
      </c>
      <c r="G4294" s="140" t="s">
        <v>392</v>
      </c>
      <c r="H4294">
        <v>0</v>
      </c>
      <c r="I4294" s="140" t="s">
        <v>17</v>
      </c>
    </row>
    <row r="4295" spans="1:9" hidden="1" x14ac:dyDescent="0.25">
      <c r="A4295">
        <v>1991</v>
      </c>
      <c r="B4295" s="140" t="s">
        <v>48</v>
      </c>
      <c r="C4295" s="140" t="s">
        <v>243</v>
      </c>
      <c r="D4295" s="140" t="s">
        <v>11</v>
      </c>
      <c r="E4295" s="140" t="s">
        <v>52</v>
      </c>
      <c r="F4295">
        <v>58014</v>
      </c>
      <c r="G4295" s="140" t="s">
        <v>392</v>
      </c>
      <c r="H4295">
        <v>0</v>
      </c>
      <c r="I4295" s="140" t="s">
        <v>17</v>
      </c>
    </row>
    <row r="4296" spans="1:9" hidden="1" x14ac:dyDescent="0.25">
      <c r="A4296">
        <v>1992</v>
      </c>
      <c r="B4296" s="140" t="s">
        <v>48</v>
      </c>
      <c r="C4296" s="140" t="s">
        <v>243</v>
      </c>
      <c r="D4296" s="140" t="s">
        <v>11</v>
      </c>
      <c r="E4296" s="140" t="s">
        <v>52</v>
      </c>
      <c r="F4296">
        <v>55736</v>
      </c>
      <c r="G4296" s="140" t="s">
        <v>392</v>
      </c>
      <c r="H4296">
        <v>0</v>
      </c>
      <c r="I4296" s="140" t="s">
        <v>17</v>
      </c>
    </row>
    <row r="4297" spans="1:9" hidden="1" x14ac:dyDescent="0.25">
      <c r="A4297">
        <v>1993</v>
      </c>
      <c r="B4297" s="140" t="s">
        <v>48</v>
      </c>
      <c r="C4297" s="140" t="s">
        <v>243</v>
      </c>
      <c r="D4297" s="140" t="s">
        <v>11</v>
      </c>
      <c r="E4297" s="140" t="s">
        <v>52</v>
      </c>
      <c r="F4297">
        <v>53872</v>
      </c>
      <c r="G4297" s="140" t="s">
        <v>392</v>
      </c>
      <c r="H4297">
        <v>0</v>
      </c>
      <c r="I4297" s="140" t="s">
        <v>17</v>
      </c>
    </row>
    <row r="4298" spans="1:9" hidden="1" x14ac:dyDescent="0.25">
      <c r="A4298">
        <v>1994</v>
      </c>
      <c r="B4298" s="140" t="s">
        <v>48</v>
      </c>
      <c r="C4298" s="140" t="s">
        <v>243</v>
      </c>
      <c r="D4298" s="140" t="s">
        <v>11</v>
      </c>
      <c r="E4298" s="140" t="s">
        <v>52</v>
      </c>
      <c r="F4298">
        <v>54439</v>
      </c>
      <c r="G4298" s="140" t="s">
        <v>392</v>
      </c>
      <c r="H4298">
        <v>0</v>
      </c>
      <c r="I4298" s="140" t="s">
        <v>17</v>
      </c>
    </row>
    <row r="4299" spans="1:9" hidden="1" x14ac:dyDescent="0.25">
      <c r="A4299">
        <v>1995</v>
      </c>
      <c r="B4299" s="140" t="s">
        <v>48</v>
      </c>
      <c r="C4299" s="140" t="s">
        <v>243</v>
      </c>
      <c r="D4299" s="140" t="s">
        <v>11</v>
      </c>
      <c r="E4299" s="140" t="s">
        <v>52</v>
      </c>
      <c r="F4299">
        <v>58437</v>
      </c>
      <c r="G4299" s="140" t="s">
        <v>392</v>
      </c>
      <c r="H4299">
        <v>0</v>
      </c>
      <c r="I4299" s="140" t="s">
        <v>17</v>
      </c>
    </row>
    <row r="4300" spans="1:9" hidden="1" x14ac:dyDescent="0.25">
      <c r="A4300">
        <v>1996</v>
      </c>
      <c r="B4300" s="140" t="s">
        <v>48</v>
      </c>
      <c r="C4300" s="140" t="s">
        <v>243</v>
      </c>
      <c r="D4300" s="140" t="s">
        <v>11</v>
      </c>
      <c r="E4300" s="140" t="s">
        <v>52</v>
      </c>
      <c r="F4300">
        <v>60433</v>
      </c>
      <c r="G4300" s="140" t="s">
        <v>392</v>
      </c>
      <c r="H4300">
        <v>0</v>
      </c>
      <c r="I4300" s="140" t="s">
        <v>17</v>
      </c>
    </row>
    <row r="4301" spans="1:9" hidden="1" x14ac:dyDescent="0.25">
      <c r="A4301">
        <v>1997</v>
      </c>
      <c r="B4301" s="140" t="s">
        <v>48</v>
      </c>
      <c r="C4301" s="140" t="s">
        <v>243</v>
      </c>
      <c r="D4301" s="140" t="s">
        <v>11</v>
      </c>
      <c r="E4301" s="140" t="s">
        <v>52</v>
      </c>
      <c r="F4301">
        <v>64269</v>
      </c>
      <c r="G4301" s="140" t="s">
        <v>392</v>
      </c>
      <c r="H4301">
        <v>0</v>
      </c>
      <c r="I4301" s="140" t="s">
        <v>17</v>
      </c>
    </row>
    <row r="4302" spans="1:9" hidden="1" x14ac:dyDescent="0.25">
      <c r="A4302">
        <v>1998</v>
      </c>
      <c r="B4302" s="140" t="s">
        <v>48</v>
      </c>
      <c r="C4302" s="140" t="s">
        <v>243</v>
      </c>
      <c r="D4302" s="140" t="s">
        <v>11</v>
      </c>
      <c r="E4302" s="140" t="s">
        <v>52</v>
      </c>
      <c r="F4302">
        <v>68855</v>
      </c>
      <c r="G4302" s="140" t="s">
        <v>392</v>
      </c>
      <c r="H4302">
        <v>0</v>
      </c>
      <c r="I4302" s="140" t="s">
        <v>17</v>
      </c>
    </row>
    <row r="4303" spans="1:9" hidden="1" x14ac:dyDescent="0.25">
      <c r="A4303">
        <v>1999</v>
      </c>
      <c r="B4303" s="140" t="s">
        <v>48</v>
      </c>
      <c r="C4303" s="140" t="s">
        <v>243</v>
      </c>
      <c r="D4303" s="140" t="s">
        <v>11</v>
      </c>
      <c r="E4303" s="140" t="s">
        <v>52</v>
      </c>
      <c r="F4303">
        <v>73423</v>
      </c>
      <c r="G4303" s="140" t="s">
        <v>392</v>
      </c>
      <c r="H4303">
        <v>0</v>
      </c>
      <c r="I4303" s="140" t="s">
        <v>17</v>
      </c>
    </row>
    <row r="4304" spans="1:9" hidden="1" x14ac:dyDescent="0.25">
      <c r="A4304">
        <v>2000</v>
      </c>
      <c r="B4304" s="140" t="s">
        <v>48</v>
      </c>
      <c r="C4304" s="140" t="s">
        <v>243</v>
      </c>
      <c r="D4304" s="140" t="s">
        <v>11</v>
      </c>
      <c r="E4304" s="140" t="s">
        <v>52</v>
      </c>
      <c r="F4304">
        <v>79092</v>
      </c>
      <c r="G4304" s="140" t="s">
        <v>392</v>
      </c>
      <c r="H4304">
        <v>0</v>
      </c>
      <c r="I4304" s="140" t="s">
        <v>17</v>
      </c>
    </row>
    <row r="4305" spans="1:9" hidden="1" x14ac:dyDescent="0.25">
      <c r="A4305">
        <v>2001</v>
      </c>
      <c r="B4305" s="140" t="s">
        <v>48</v>
      </c>
      <c r="C4305" s="140" t="s">
        <v>243</v>
      </c>
      <c r="D4305" s="140" t="s">
        <v>11</v>
      </c>
      <c r="E4305" s="140" t="s">
        <v>52</v>
      </c>
      <c r="F4305">
        <v>83488</v>
      </c>
      <c r="G4305" s="140" t="s">
        <v>392</v>
      </c>
      <c r="H4305">
        <v>0</v>
      </c>
      <c r="I4305" s="140" t="s">
        <v>17</v>
      </c>
    </row>
    <row r="4306" spans="1:9" hidden="1" x14ac:dyDescent="0.25">
      <c r="A4306">
        <v>2002</v>
      </c>
      <c r="B4306" s="140" t="s">
        <v>48</v>
      </c>
      <c r="C4306" s="140" t="s">
        <v>243</v>
      </c>
      <c r="D4306" s="140" t="s">
        <v>11</v>
      </c>
      <c r="E4306" s="140" t="s">
        <v>52</v>
      </c>
      <c r="F4306">
        <v>85987</v>
      </c>
      <c r="G4306" s="140" t="s">
        <v>392</v>
      </c>
      <c r="H4306">
        <v>0</v>
      </c>
      <c r="I4306" s="140" t="s">
        <v>17</v>
      </c>
    </row>
    <row r="4307" spans="1:9" hidden="1" x14ac:dyDescent="0.25">
      <c r="A4307">
        <v>2003</v>
      </c>
      <c r="B4307" s="140" t="s">
        <v>48</v>
      </c>
      <c r="C4307" s="140" t="s">
        <v>243</v>
      </c>
      <c r="D4307" s="140" t="s">
        <v>11</v>
      </c>
      <c r="E4307" s="140" t="s">
        <v>52</v>
      </c>
      <c r="F4307">
        <v>88294</v>
      </c>
      <c r="G4307" s="140" t="s">
        <v>392</v>
      </c>
      <c r="H4307">
        <v>0</v>
      </c>
      <c r="I4307" s="140" t="s">
        <v>17</v>
      </c>
    </row>
    <row r="4308" spans="1:9" hidden="1" x14ac:dyDescent="0.25">
      <c r="A4308">
        <v>2004</v>
      </c>
      <c r="B4308" s="140" t="s">
        <v>48</v>
      </c>
      <c r="C4308" s="140" t="s">
        <v>243</v>
      </c>
      <c r="D4308" s="140" t="s">
        <v>11</v>
      </c>
      <c r="E4308" s="140" t="s">
        <v>52</v>
      </c>
      <c r="F4308">
        <v>92449</v>
      </c>
      <c r="G4308" s="140" t="s">
        <v>392</v>
      </c>
      <c r="H4308">
        <v>0</v>
      </c>
      <c r="I4308" s="140" t="s">
        <v>17</v>
      </c>
    </row>
    <row r="4309" spans="1:9" hidden="1" x14ac:dyDescent="0.25">
      <c r="A4309">
        <v>2005</v>
      </c>
      <c r="B4309" s="140" t="s">
        <v>48</v>
      </c>
      <c r="C4309" s="140" t="s">
        <v>243</v>
      </c>
      <c r="D4309" s="140" t="s">
        <v>11</v>
      </c>
      <c r="E4309" s="140" t="s">
        <v>52</v>
      </c>
      <c r="F4309">
        <v>95569</v>
      </c>
      <c r="G4309" s="140" t="s">
        <v>392</v>
      </c>
      <c r="H4309">
        <v>0</v>
      </c>
      <c r="I4309" s="140" t="s">
        <v>17</v>
      </c>
    </row>
    <row r="4310" spans="1:9" hidden="1" x14ac:dyDescent="0.25">
      <c r="A4310">
        <v>2006</v>
      </c>
      <c r="B4310" s="140" t="s">
        <v>48</v>
      </c>
      <c r="C4310" s="140" t="s">
        <v>243</v>
      </c>
      <c r="D4310" s="140" t="s">
        <v>11</v>
      </c>
      <c r="E4310" s="140" t="s">
        <v>52</v>
      </c>
      <c r="F4310">
        <v>100110</v>
      </c>
      <c r="G4310" s="140" t="s">
        <v>392</v>
      </c>
      <c r="H4310">
        <v>0</v>
      </c>
      <c r="I4310" s="140" t="s">
        <v>17</v>
      </c>
    </row>
    <row r="4311" spans="1:9" hidden="1" x14ac:dyDescent="0.25">
      <c r="A4311">
        <v>2007</v>
      </c>
      <c r="B4311" s="140" t="s">
        <v>48</v>
      </c>
      <c r="C4311" s="140" t="s">
        <v>243</v>
      </c>
      <c r="D4311" s="140" t="s">
        <v>11</v>
      </c>
      <c r="E4311" s="140" t="s">
        <v>52</v>
      </c>
      <c r="F4311">
        <v>106945</v>
      </c>
      <c r="G4311" s="140" t="s">
        <v>392</v>
      </c>
      <c r="H4311">
        <v>0</v>
      </c>
      <c r="I4311" s="140" t="s">
        <v>17</v>
      </c>
    </row>
    <row r="4312" spans="1:9" hidden="1" x14ac:dyDescent="0.25">
      <c r="A4312">
        <v>2008</v>
      </c>
      <c r="B4312" s="140" t="s">
        <v>48</v>
      </c>
      <c r="C4312" s="140" t="s">
        <v>243</v>
      </c>
      <c r="D4312" s="140" t="s">
        <v>11</v>
      </c>
      <c r="E4312" s="140" t="s">
        <v>52</v>
      </c>
      <c r="F4312">
        <v>112630</v>
      </c>
      <c r="G4312" s="140" t="s">
        <v>392</v>
      </c>
      <c r="H4312">
        <v>0</v>
      </c>
      <c r="I4312" s="140" t="s">
        <v>17</v>
      </c>
    </row>
    <row r="4313" spans="1:9" hidden="1" x14ac:dyDescent="0.25">
      <c r="A4313">
        <v>2009</v>
      </c>
      <c r="B4313" s="140" t="s">
        <v>48</v>
      </c>
      <c r="C4313" s="140" t="s">
        <v>243</v>
      </c>
      <c r="D4313" s="140" t="s">
        <v>11</v>
      </c>
      <c r="E4313" s="140" t="s">
        <v>52</v>
      </c>
      <c r="F4313">
        <v>110727</v>
      </c>
      <c r="G4313" s="140" t="s">
        <v>392</v>
      </c>
      <c r="H4313">
        <v>0</v>
      </c>
      <c r="I4313" s="140" t="s">
        <v>17</v>
      </c>
    </row>
    <row r="4314" spans="1:9" hidden="1" x14ac:dyDescent="0.25">
      <c r="A4314">
        <v>2010</v>
      </c>
      <c r="B4314" s="140" t="s">
        <v>48</v>
      </c>
      <c r="C4314" s="140" t="s">
        <v>243</v>
      </c>
      <c r="D4314" s="140" t="s">
        <v>11</v>
      </c>
      <c r="E4314" s="140" t="s">
        <v>52</v>
      </c>
      <c r="F4314">
        <v>114023</v>
      </c>
      <c r="G4314" s="140" t="s">
        <v>392</v>
      </c>
      <c r="H4314">
        <v>0</v>
      </c>
      <c r="I4314" s="140" t="s">
        <v>17</v>
      </c>
    </row>
    <row r="4315" spans="1:9" hidden="1" x14ac:dyDescent="0.25">
      <c r="A4315">
        <v>2011</v>
      </c>
      <c r="B4315" s="140" t="s">
        <v>48</v>
      </c>
      <c r="C4315" s="140" t="s">
        <v>243</v>
      </c>
      <c r="D4315" s="140" t="s">
        <v>11</v>
      </c>
      <c r="E4315" s="140" t="s">
        <v>52</v>
      </c>
      <c r="F4315">
        <v>119354</v>
      </c>
      <c r="G4315" s="140" t="s">
        <v>392</v>
      </c>
      <c r="H4315">
        <v>0</v>
      </c>
      <c r="I4315" s="140" t="s">
        <v>17</v>
      </c>
    </row>
    <row r="4316" spans="1:9" hidden="1" x14ac:dyDescent="0.25">
      <c r="A4316">
        <v>2012</v>
      </c>
      <c r="B4316" s="140" t="s">
        <v>48</v>
      </c>
      <c r="C4316" s="140" t="s">
        <v>243</v>
      </c>
      <c r="D4316" s="140" t="s">
        <v>11</v>
      </c>
      <c r="E4316" s="140" t="s">
        <v>52</v>
      </c>
      <c r="F4316">
        <v>122109</v>
      </c>
      <c r="G4316" s="140" t="s">
        <v>392</v>
      </c>
      <c r="H4316">
        <v>0</v>
      </c>
      <c r="I4316" s="140" t="s">
        <v>17</v>
      </c>
    </row>
    <row r="4317" spans="1:9" hidden="1" x14ac:dyDescent="0.25">
      <c r="A4317">
        <v>2013</v>
      </c>
      <c r="B4317" s="140" t="s">
        <v>48</v>
      </c>
      <c r="C4317" s="140" t="s">
        <v>243</v>
      </c>
      <c r="D4317" s="140" t="s">
        <v>11</v>
      </c>
      <c r="E4317" s="140" t="s">
        <v>52</v>
      </c>
      <c r="F4317">
        <v>123816</v>
      </c>
      <c r="G4317" s="140" t="s">
        <v>392</v>
      </c>
      <c r="H4317">
        <v>0</v>
      </c>
      <c r="I4317" s="140" t="s">
        <v>17</v>
      </c>
    </row>
    <row r="4318" spans="1:9" hidden="1" x14ac:dyDescent="0.25">
      <c r="A4318">
        <v>2014</v>
      </c>
      <c r="B4318" s="140" t="s">
        <v>48</v>
      </c>
      <c r="C4318" s="140" t="s">
        <v>243</v>
      </c>
      <c r="D4318" s="140" t="s">
        <v>11</v>
      </c>
      <c r="E4318" s="140" t="s">
        <v>52</v>
      </c>
      <c r="F4318">
        <v>124902</v>
      </c>
      <c r="G4318" s="140" t="s">
        <v>392</v>
      </c>
      <c r="H4318">
        <v>0</v>
      </c>
      <c r="I4318" s="140" t="s">
        <v>17</v>
      </c>
    </row>
    <row r="4319" spans="1:9" hidden="1" x14ac:dyDescent="0.25">
      <c r="A4319">
        <v>2015</v>
      </c>
      <c r="B4319" s="140" t="s">
        <v>48</v>
      </c>
      <c r="C4319" s="140" t="s">
        <v>243</v>
      </c>
      <c r="D4319" s="140" t="s">
        <v>11</v>
      </c>
      <c r="E4319" s="140" t="s">
        <v>52</v>
      </c>
      <c r="F4319">
        <v>126652</v>
      </c>
      <c r="G4319" s="140" t="s">
        <v>392</v>
      </c>
      <c r="H4319">
        <v>0</v>
      </c>
      <c r="I4319" s="140" t="s">
        <v>17</v>
      </c>
    </row>
    <row r="4320" spans="1:9" hidden="1" x14ac:dyDescent="0.25">
      <c r="A4320">
        <v>2016</v>
      </c>
      <c r="B4320" s="140" t="s">
        <v>48</v>
      </c>
      <c r="C4320" s="140" t="s">
        <v>243</v>
      </c>
      <c r="D4320" s="140" t="s">
        <v>11</v>
      </c>
      <c r="E4320" s="140" t="s">
        <v>52</v>
      </c>
      <c r="F4320">
        <v>128855</v>
      </c>
      <c r="G4320" s="140" t="s">
        <v>392</v>
      </c>
      <c r="H4320">
        <v>0</v>
      </c>
      <c r="I4320" s="140" t="s">
        <v>17</v>
      </c>
    </row>
    <row r="4321" spans="1:9" hidden="1" x14ac:dyDescent="0.25">
      <c r="A4321">
        <v>2017</v>
      </c>
      <c r="B4321" s="140" t="s">
        <v>48</v>
      </c>
      <c r="C4321" s="140" t="s">
        <v>243</v>
      </c>
      <c r="D4321" s="140" t="s">
        <v>11</v>
      </c>
      <c r="E4321" s="140" t="s">
        <v>52</v>
      </c>
      <c r="F4321">
        <v>130251</v>
      </c>
      <c r="G4321" s="140" t="s">
        <v>392</v>
      </c>
      <c r="H4321">
        <v>0</v>
      </c>
      <c r="I4321" s="140" t="s">
        <v>17</v>
      </c>
    </row>
    <row r="4322" spans="1:9" hidden="1" x14ac:dyDescent="0.25">
      <c r="A4322">
        <v>2018</v>
      </c>
      <c r="B4322" s="140" t="s">
        <v>48</v>
      </c>
      <c r="C4322" s="140" t="s">
        <v>243</v>
      </c>
      <c r="D4322" s="140" t="s">
        <v>11</v>
      </c>
      <c r="E4322" s="140" t="s">
        <v>52</v>
      </c>
      <c r="F4322">
        <v>134597</v>
      </c>
      <c r="G4322" s="140" t="s">
        <v>392</v>
      </c>
      <c r="H4322">
        <v>0</v>
      </c>
      <c r="I4322" s="140" t="s">
        <v>17</v>
      </c>
    </row>
    <row r="4323" spans="1:9" hidden="1" x14ac:dyDescent="0.25">
      <c r="A4323">
        <v>2019</v>
      </c>
      <c r="B4323" s="140" t="s">
        <v>48</v>
      </c>
      <c r="C4323" s="140" t="s">
        <v>243</v>
      </c>
      <c r="D4323" s="140" t="s">
        <v>11</v>
      </c>
      <c r="E4323" s="140" t="s">
        <v>52</v>
      </c>
      <c r="F4323">
        <v>138825</v>
      </c>
      <c r="G4323" s="140" t="s">
        <v>392</v>
      </c>
      <c r="H4323">
        <v>0</v>
      </c>
      <c r="I4323" s="140" t="s">
        <v>17</v>
      </c>
    </row>
    <row r="4324" spans="1:9" hidden="1" x14ac:dyDescent="0.25">
      <c r="A4324">
        <v>2020</v>
      </c>
      <c r="B4324" s="140" t="s">
        <v>48</v>
      </c>
      <c r="C4324" s="140" t="s">
        <v>243</v>
      </c>
      <c r="D4324" s="140" t="s">
        <v>11</v>
      </c>
      <c r="E4324" s="140" t="s">
        <v>52</v>
      </c>
      <c r="F4324">
        <v>136417</v>
      </c>
      <c r="G4324" s="140" t="s">
        <v>392</v>
      </c>
      <c r="H4324">
        <v>0</v>
      </c>
      <c r="I4324" s="140" t="s">
        <v>17</v>
      </c>
    </row>
    <row r="4325" spans="1:9" hidden="1" x14ac:dyDescent="0.25">
      <c r="A4325">
        <v>2021</v>
      </c>
      <c r="B4325" s="140" t="s">
        <v>48</v>
      </c>
      <c r="C4325" s="140" t="s">
        <v>243</v>
      </c>
      <c r="D4325" s="140" t="s">
        <v>11</v>
      </c>
      <c r="E4325" s="140" t="s">
        <v>52</v>
      </c>
      <c r="F4325">
        <v>145289</v>
      </c>
      <c r="G4325" s="140" t="s">
        <v>392</v>
      </c>
      <c r="H4325">
        <v>0</v>
      </c>
      <c r="I4325" s="140" t="s">
        <v>17</v>
      </c>
    </row>
    <row r="4326" spans="1:9" hidden="1" x14ac:dyDescent="0.25">
      <c r="A4326">
        <v>2022</v>
      </c>
      <c r="B4326" s="140" t="s">
        <v>48</v>
      </c>
      <c r="C4326" s="140" t="s">
        <v>243</v>
      </c>
      <c r="D4326" s="140" t="s">
        <v>11</v>
      </c>
      <c r="E4326" s="140" t="s">
        <v>52</v>
      </c>
      <c r="F4326">
        <v>154014</v>
      </c>
      <c r="G4326" s="140" t="s">
        <v>392</v>
      </c>
      <c r="H4326">
        <v>0</v>
      </c>
      <c r="I4326" s="140" t="s">
        <v>17</v>
      </c>
    </row>
    <row r="4327" spans="1:9" hidden="1" x14ac:dyDescent="0.25">
      <c r="A4327">
        <v>2023</v>
      </c>
      <c r="B4327" s="140" t="s">
        <v>48</v>
      </c>
      <c r="C4327" s="140" t="s">
        <v>243</v>
      </c>
      <c r="D4327" s="140" t="s">
        <v>11</v>
      </c>
      <c r="E4327" s="140" t="s">
        <v>52</v>
      </c>
      <c r="F4327">
        <v>159671</v>
      </c>
      <c r="G4327" s="140" t="s">
        <v>392</v>
      </c>
      <c r="H4327">
        <v>0</v>
      </c>
      <c r="I4327" s="140" t="s">
        <v>17</v>
      </c>
    </row>
    <row r="4328" spans="1:9" hidden="1" x14ac:dyDescent="0.25">
      <c r="A4328">
        <v>2024</v>
      </c>
      <c r="B4328" s="140" t="s">
        <v>48</v>
      </c>
      <c r="C4328" s="140" t="s">
        <v>243</v>
      </c>
      <c r="D4328" s="140" t="s">
        <v>11</v>
      </c>
      <c r="E4328" s="140" t="s">
        <v>52</v>
      </c>
      <c r="F4328">
        <v>161960</v>
      </c>
      <c r="G4328" s="140" t="s">
        <v>392</v>
      </c>
      <c r="H4328">
        <v>0</v>
      </c>
      <c r="I4328" s="140" t="s">
        <v>17</v>
      </c>
    </row>
    <row r="4329" spans="1:9" hidden="1" x14ac:dyDescent="0.25">
      <c r="A4329">
        <v>2025</v>
      </c>
      <c r="B4329" s="140" t="s">
        <v>48</v>
      </c>
      <c r="C4329" s="140" t="s">
        <v>243</v>
      </c>
      <c r="D4329" s="140" t="s">
        <v>11</v>
      </c>
      <c r="E4329" s="140" t="s">
        <v>52</v>
      </c>
      <c r="F4329">
        <v>166562</v>
      </c>
      <c r="G4329" s="140" t="s">
        <v>392</v>
      </c>
      <c r="H4329">
        <v>0</v>
      </c>
      <c r="I4329" s="140" t="s">
        <v>17</v>
      </c>
    </row>
    <row r="4330" spans="1:9" hidden="1" x14ac:dyDescent="0.25">
      <c r="A4330">
        <v>2026</v>
      </c>
      <c r="B4330" s="140" t="s">
        <v>48</v>
      </c>
      <c r="C4330" s="140" t="s">
        <v>243</v>
      </c>
      <c r="D4330" s="140" t="s">
        <v>11</v>
      </c>
      <c r="E4330" s="140" t="s">
        <v>52</v>
      </c>
      <c r="F4330">
        <v>171330.90470000001</v>
      </c>
      <c r="G4330" s="140" t="s">
        <v>392</v>
      </c>
      <c r="H4330">
        <v>0</v>
      </c>
      <c r="I4330" s="140" t="s">
        <v>17</v>
      </c>
    </row>
    <row r="4331" spans="1:9" hidden="1" x14ac:dyDescent="0.25">
      <c r="A4331">
        <v>2027</v>
      </c>
      <c r="B4331" s="140" t="s">
        <v>48</v>
      </c>
      <c r="C4331" s="140" t="s">
        <v>243</v>
      </c>
      <c r="D4331" s="140" t="s">
        <v>11</v>
      </c>
      <c r="E4331" s="140" t="s">
        <v>52</v>
      </c>
      <c r="F4331">
        <v>177890.3242</v>
      </c>
      <c r="G4331" s="140" t="s">
        <v>392</v>
      </c>
      <c r="H4331">
        <v>0</v>
      </c>
      <c r="I4331" s="140" t="s">
        <v>17</v>
      </c>
    </row>
    <row r="4332" spans="1:9" hidden="1" x14ac:dyDescent="0.25">
      <c r="A4332">
        <v>2028</v>
      </c>
      <c r="B4332" s="140" t="s">
        <v>48</v>
      </c>
      <c r="C4332" s="140" t="s">
        <v>243</v>
      </c>
      <c r="D4332" s="140" t="s">
        <v>11</v>
      </c>
      <c r="E4332" s="140" t="s">
        <v>52</v>
      </c>
      <c r="F4332">
        <v>184768.4774</v>
      </c>
      <c r="G4332" s="140" t="s">
        <v>392</v>
      </c>
      <c r="H4332">
        <v>0</v>
      </c>
      <c r="I4332" s="140" t="s">
        <v>17</v>
      </c>
    </row>
    <row r="4333" spans="1:9" hidden="1" x14ac:dyDescent="0.25">
      <c r="A4333">
        <v>1990</v>
      </c>
      <c r="B4333" s="140" t="s">
        <v>393</v>
      </c>
      <c r="C4333" s="140" t="s">
        <v>243</v>
      </c>
      <c r="D4333" s="140" t="s">
        <v>11</v>
      </c>
      <c r="E4333" s="140" t="s">
        <v>52</v>
      </c>
      <c r="F4333">
        <v>2927</v>
      </c>
      <c r="G4333" s="140" t="s">
        <v>394</v>
      </c>
      <c r="H4333">
        <v>0</v>
      </c>
      <c r="I4333" s="140" t="s">
        <v>17</v>
      </c>
    </row>
    <row r="4334" spans="1:9" hidden="1" x14ac:dyDescent="0.25">
      <c r="A4334">
        <v>1991</v>
      </c>
      <c r="B4334" s="140" t="s">
        <v>393</v>
      </c>
      <c r="C4334" s="140" t="s">
        <v>243</v>
      </c>
      <c r="D4334" s="140" t="s">
        <v>11</v>
      </c>
      <c r="E4334" s="140" t="s">
        <v>52</v>
      </c>
      <c r="F4334">
        <v>3041</v>
      </c>
      <c r="G4334" s="140" t="s">
        <v>394</v>
      </c>
      <c r="H4334">
        <v>0</v>
      </c>
      <c r="I4334" s="140" t="s">
        <v>17</v>
      </c>
    </row>
    <row r="4335" spans="1:9" hidden="1" x14ac:dyDescent="0.25">
      <c r="A4335">
        <v>1992</v>
      </c>
      <c r="B4335" s="140" t="s">
        <v>393</v>
      </c>
      <c r="C4335" s="140" t="s">
        <v>243</v>
      </c>
      <c r="D4335" s="140" t="s">
        <v>11</v>
      </c>
      <c r="E4335" s="140" t="s">
        <v>52</v>
      </c>
      <c r="F4335">
        <v>3301</v>
      </c>
      <c r="G4335" s="140" t="s">
        <v>394</v>
      </c>
      <c r="H4335">
        <v>0</v>
      </c>
      <c r="I4335" s="140" t="s">
        <v>17</v>
      </c>
    </row>
    <row r="4336" spans="1:9" hidden="1" x14ac:dyDescent="0.25">
      <c r="A4336">
        <v>1993</v>
      </c>
      <c r="B4336" s="140" t="s">
        <v>393</v>
      </c>
      <c r="C4336" s="140" t="s">
        <v>243</v>
      </c>
      <c r="D4336" s="140" t="s">
        <v>11</v>
      </c>
      <c r="E4336" s="140" t="s">
        <v>52</v>
      </c>
      <c r="F4336">
        <v>4662</v>
      </c>
      <c r="G4336" s="140" t="s">
        <v>394</v>
      </c>
      <c r="H4336">
        <v>0</v>
      </c>
      <c r="I4336" s="140" t="s">
        <v>17</v>
      </c>
    </row>
    <row r="4337" spans="1:9" hidden="1" x14ac:dyDescent="0.25">
      <c r="A4337">
        <v>1994</v>
      </c>
      <c r="B4337" s="140" t="s">
        <v>393</v>
      </c>
      <c r="C4337" s="140" t="s">
        <v>243</v>
      </c>
      <c r="D4337" s="140" t="s">
        <v>11</v>
      </c>
      <c r="E4337" s="140" t="s">
        <v>52</v>
      </c>
      <c r="F4337">
        <v>5427</v>
      </c>
      <c r="G4337" s="140" t="s">
        <v>394</v>
      </c>
      <c r="H4337">
        <v>0</v>
      </c>
      <c r="I4337" s="140" t="s">
        <v>17</v>
      </c>
    </row>
    <row r="4338" spans="1:9" hidden="1" x14ac:dyDescent="0.25">
      <c r="A4338">
        <v>1995</v>
      </c>
      <c r="B4338" s="140" t="s">
        <v>393</v>
      </c>
      <c r="C4338" s="140" t="s">
        <v>243</v>
      </c>
      <c r="D4338" s="140" t="s">
        <v>11</v>
      </c>
      <c r="E4338" s="140" t="s">
        <v>52</v>
      </c>
      <c r="F4338">
        <v>6056</v>
      </c>
      <c r="G4338" s="140" t="s">
        <v>394</v>
      </c>
      <c r="H4338">
        <v>0</v>
      </c>
      <c r="I4338" s="140" t="s">
        <v>17</v>
      </c>
    </row>
    <row r="4339" spans="1:9" hidden="1" x14ac:dyDescent="0.25">
      <c r="A4339">
        <v>1996</v>
      </c>
      <c r="B4339" s="140" t="s">
        <v>393</v>
      </c>
      <c r="C4339" s="140" t="s">
        <v>243</v>
      </c>
      <c r="D4339" s="140" t="s">
        <v>11</v>
      </c>
      <c r="E4339" s="140" t="s">
        <v>52</v>
      </c>
      <c r="F4339">
        <v>6380</v>
      </c>
      <c r="G4339" s="140" t="s">
        <v>394</v>
      </c>
      <c r="H4339">
        <v>0</v>
      </c>
      <c r="I4339" s="140" t="s">
        <v>17</v>
      </c>
    </row>
    <row r="4340" spans="1:9" hidden="1" x14ac:dyDescent="0.25">
      <c r="A4340">
        <v>1997</v>
      </c>
      <c r="B4340" s="140" t="s">
        <v>393</v>
      </c>
      <c r="C4340" s="140" t="s">
        <v>243</v>
      </c>
      <c r="D4340" s="140" t="s">
        <v>11</v>
      </c>
      <c r="E4340" s="140" t="s">
        <v>52</v>
      </c>
      <c r="F4340">
        <v>7308</v>
      </c>
      <c r="G4340" s="140" t="s">
        <v>394</v>
      </c>
      <c r="H4340">
        <v>0</v>
      </c>
      <c r="I4340" s="140" t="s">
        <v>17</v>
      </c>
    </row>
    <row r="4341" spans="1:9" hidden="1" x14ac:dyDescent="0.25">
      <c r="A4341">
        <v>1998</v>
      </c>
      <c r="B4341" s="140" t="s">
        <v>393</v>
      </c>
      <c r="C4341" s="140" t="s">
        <v>243</v>
      </c>
      <c r="D4341" s="140" t="s">
        <v>11</v>
      </c>
      <c r="E4341" s="140" t="s">
        <v>52</v>
      </c>
      <c r="F4341">
        <v>7200</v>
      </c>
      <c r="G4341" s="140" t="s">
        <v>394</v>
      </c>
      <c r="H4341">
        <v>0</v>
      </c>
      <c r="I4341" s="140" t="s">
        <v>17</v>
      </c>
    </row>
    <row r="4342" spans="1:9" hidden="1" x14ac:dyDescent="0.25">
      <c r="A4342">
        <v>1999</v>
      </c>
      <c r="B4342" s="140" t="s">
        <v>393</v>
      </c>
      <c r="C4342" s="140" t="s">
        <v>243</v>
      </c>
      <c r="D4342" s="140" t="s">
        <v>11</v>
      </c>
      <c r="E4342" s="140" t="s">
        <v>52</v>
      </c>
      <c r="F4342">
        <v>8042</v>
      </c>
      <c r="G4342" s="140" t="s">
        <v>394</v>
      </c>
      <c r="H4342">
        <v>0</v>
      </c>
      <c r="I4342" s="140" t="s">
        <v>17</v>
      </c>
    </row>
    <row r="4343" spans="1:9" hidden="1" x14ac:dyDescent="0.25">
      <c r="A4343">
        <v>2000</v>
      </c>
      <c r="B4343" s="140" t="s">
        <v>393</v>
      </c>
      <c r="C4343" s="140" t="s">
        <v>243</v>
      </c>
      <c r="D4343" s="140" t="s">
        <v>11</v>
      </c>
      <c r="E4343" s="140" t="s">
        <v>52</v>
      </c>
      <c r="F4343">
        <v>8344</v>
      </c>
      <c r="G4343" s="140" t="s">
        <v>394</v>
      </c>
      <c r="H4343">
        <v>0</v>
      </c>
      <c r="I4343" s="140" t="s">
        <v>17</v>
      </c>
    </row>
    <row r="4344" spans="1:9" hidden="1" x14ac:dyDescent="0.25">
      <c r="A4344">
        <v>2001</v>
      </c>
      <c r="B4344" s="140" t="s">
        <v>393</v>
      </c>
      <c r="C4344" s="140" t="s">
        <v>243</v>
      </c>
      <c r="D4344" s="140" t="s">
        <v>11</v>
      </c>
      <c r="E4344" s="140" t="s">
        <v>52</v>
      </c>
      <c r="F4344">
        <v>8581</v>
      </c>
      <c r="G4344" s="140" t="s">
        <v>394</v>
      </c>
      <c r="H4344">
        <v>0</v>
      </c>
      <c r="I4344" s="140" t="s">
        <v>17</v>
      </c>
    </row>
    <row r="4345" spans="1:9" hidden="1" x14ac:dyDescent="0.25">
      <c r="A4345">
        <v>2002</v>
      </c>
      <c r="B4345" s="140" t="s">
        <v>393</v>
      </c>
      <c r="C4345" s="140" t="s">
        <v>243</v>
      </c>
      <c r="D4345" s="140" t="s">
        <v>11</v>
      </c>
      <c r="E4345" s="140" t="s">
        <v>52</v>
      </c>
      <c r="F4345">
        <v>9404</v>
      </c>
      <c r="G4345" s="140" t="s">
        <v>394</v>
      </c>
      <c r="H4345">
        <v>0</v>
      </c>
      <c r="I4345" s="140" t="s">
        <v>17</v>
      </c>
    </row>
    <row r="4346" spans="1:9" hidden="1" x14ac:dyDescent="0.25">
      <c r="A4346">
        <v>2003</v>
      </c>
      <c r="B4346" s="140" t="s">
        <v>393</v>
      </c>
      <c r="C4346" s="140" t="s">
        <v>243</v>
      </c>
      <c r="D4346" s="140" t="s">
        <v>11</v>
      </c>
      <c r="E4346" s="140" t="s">
        <v>52</v>
      </c>
      <c r="F4346">
        <v>10002</v>
      </c>
      <c r="G4346" s="140" t="s">
        <v>394</v>
      </c>
      <c r="H4346">
        <v>0</v>
      </c>
      <c r="I4346" s="140" t="s">
        <v>17</v>
      </c>
    </row>
    <row r="4347" spans="1:9" hidden="1" x14ac:dyDescent="0.25">
      <c r="A4347">
        <v>2004</v>
      </c>
      <c r="B4347" s="140" t="s">
        <v>393</v>
      </c>
      <c r="C4347" s="140" t="s">
        <v>243</v>
      </c>
      <c r="D4347" s="140" t="s">
        <v>11</v>
      </c>
      <c r="E4347" s="140" t="s">
        <v>52</v>
      </c>
      <c r="F4347">
        <v>10513</v>
      </c>
      <c r="G4347" s="140" t="s">
        <v>394</v>
      </c>
      <c r="H4347">
        <v>0</v>
      </c>
      <c r="I4347" s="140" t="s">
        <v>17</v>
      </c>
    </row>
    <row r="4348" spans="1:9" hidden="1" x14ac:dyDescent="0.25">
      <c r="A4348">
        <v>2005</v>
      </c>
      <c r="B4348" s="140" t="s">
        <v>393</v>
      </c>
      <c r="C4348" s="140" t="s">
        <v>243</v>
      </c>
      <c r="D4348" s="140" t="s">
        <v>11</v>
      </c>
      <c r="E4348" s="140" t="s">
        <v>52</v>
      </c>
      <c r="F4348">
        <v>10461</v>
      </c>
      <c r="G4348" s="140" t="s">
        <v>394</v>
      </c>
      <c r="H4348">
        <v>0</v>
      </c>
      <c r="I4348" s="140" t="s">
        <v>17</v>
      </c>
    </row>
    <row r="4349" spans="1:9" hidden="1" x14ac:dyDescent="0.25">
      <c r="A4349">
        <v>2006</v>
      </c>
      <c r="B4349" s="140" t="s">
        <v>393</v>
      </c>
      <c r="C4349" s="140" t="s">
        <v>243</v>
      </c>
      <c r="D4349" s="140" t="s">
        <v>11</v>
      </c>
      <c r="E4349" s="140" t="s">
        <v>52</v>
      </c>
      <c r="F4349">
        <v>10523</v>
      </c>
      <c r="G4349" s="140" t="s">
        <v>394</v>
      </c>
      <c r="H4349">
        <v>0</v>
      </c>
      <c r="I4349" s="140" t="s">
        <v>17</v>
      </c>
    </row>
    <row r="4350" spans="1:9" hidden="1" x14ac:dyDescent="0.25">
      <c r="A4350">
        <v>2007</v>
      </c>
      <c r="B4350" s="140" t="s">
        <v>393</v>
      </c>
      <c r="C4350" s="140" t="s">
        <v>243</v>
      </c>
      <c r="D4350" s="140" t="s">
        <v>11</v>
      </c>
      <c r="E4350" s="140" t="s">
        <v>52</v>
      </c>
      <c r="F4350">
        <v>10678</v>
      </c>
      <c r="G4350" s="140" t="s">
        <v>394</v>
      </c>
      <c r="H4350">
        <v>0</v>
      </c>
      <c r="I4350" s="140" t="s">
        <v>17</v>
      </c>
    </row>
    <row r="4351" spans="1:9" hidden="1" x14ac:dyDescent="0.25">
      <c r="A4351">
        <v>2008</v>
      </c>
      <c r="B4351" s="140" t="s">
        <v>393</v>
      </c>
      <c r="C4351" s="140" t="s">
        <v>243</v>
      </c>
      <c r="D4351" s="140" t="s">
        <v>11</v>
      </c>
      <c r="E4351" s="140" t="s">
        <v>52</v>
      </c>
      <c r="F4351">
        <v>9859</v>
      </c>
      <c r="G4351" s="140" t="s">
        <v>394</v>
      </c>
      <c r="H4351">
        <v>0</v>
      </c>
      <c r="I4351" s="140" t="s">
        <v>17</v>
      </c>
    </row>
    <row r="4352" spans="1:9" hidden="1" x14ac:dyDescent="0.25">
      <c r="A4352">
        <v>2009</v>
      </c>
      <c r="B4352" s="140" t="s">
        <v>393</v>
      </c>
      <c r="C4352" s="140" t="s">
        <v>243</v>
      </c>
      <c r="D4352" s="140" t="s">
        <v>11</v>
      </c>
      <c r="E4352" s="140" t="s">
        <v>52</v>
      </c>
      <c r="F4352">
        <v>12204</v>
      </c>
      <c r="G4352" s="140" t="s">
        <v>394</v>
      </c>
      <c r="H4352">
        <v>0</v>
      </c>
      <c r="I4352" s="140" t="s">
        <v>17</v>
      </c>
    </row>
    <row r="4353" spans="1:9" hidden="1" x14ac:dyDescent="0.25">
      <c r="A4353">
        <v>2010</v>
      </c>
      <c r="B4353" s="140" t="s">
        <v>393</v>
      </c>
      <c r="C4353" s="140" t="s">
        <v>243</v>
      </c>
      <c r="D4353" s="140" t="s">
        <v>11</v>
      </c>
      <c r="E4353" s="140" t="s">
        <v>52</v>
      </c>
      <c r="F4353">
        <v>13235</v>
      </c>
      <c r="G4353" s="140" t="s">
        <v>394</v>
      </c>
      <c r="H4353">
        <v>0</v>
      </c>
      <c r="I4353" s="140" t="s">
        <v>17</v>
      </c>
    </row>
    <row r="4354" spans="1:9" hidden="1" x14ac:dyDescent="0.25">
      <c r="A4354">
        <v>2011</v>
      </c>
      <c r="B4354" s="140" t="s">
        <v>393</v>
      </c>
      <c r="C4354" s="140" t="s">
        <v>243</v>
      </c>
      <c r="D4354" s="140" t="s">
        <v>11</v>
      </c>
      <c r="E4354" s="140" t="s">
        <v>52</v>
      </c>
      <c r="F4354">
        <v>12917</v>
      </c>
      <c r="G4354" s="140" t="s">
        <v>394</v>
      </c>
      <c r="H4354">
        <v>0</v>
      </c>
      <c r="I4354" s="140" t="s">
        <v>17</v>
      </c>
    </row>
    <row r="4355" spans="1:9" hidden="1" x14ac:dyDescent="0.25">
      <c r="A4355">
        <v>2012</v>
      </c>
      <c r="B4355" s="140" t="s">
        <v>393</v>
      </c>
      <c r="C4355" s="140" t="s">
        <v>243</v>
      </c>
      <c r="D4355" s="140" t="s">
        <v>11</v>
      </c>
      <c r="E4355" s="140" t="s">
        <v>52</v>
      </c>
      <c r="F4355">
        <v>13425</v>
      </c>
      <c r="G4355" s="140" t="s">
        <v>394</v>
      </c>
      <c r="H4355">
        <v>0</v>
      </c>
      <c r="I4355" s="140" t="s">
        <v>17</v>
      </c>
    </row>
    <row r="4356" spans="1:9" hidden="1" x14ac:dyDescent="0.25">
      <c r="A4356">
        <v>2013</v>
      </c>
      <c r="B4356" s="140" t="s">
        <v>393</v>
      </c>
      <c r="C4356" s="140" t="s">
        <v>243</v>
      </c>
      <c r="D4356" s="140" t="s">
        <v>11</v>
      </c>
      <c r="E4356" s="140" t="s">
        <v>52</v>
      </c>
      <c r="F4356">
        <v>14208</v>
      </c>
      <c r="G4356" s="140" t="s">
        <v>394</v>
      </c>
      <c r="H4356">
        <v>0</v>
      </c>
      <c r="I4356" s="140" t="s">
        <v>17</v>
      </c>
    </row>
    <row r="4357" spans="1:9" hidden="1" x14ac:dyDescent="0.25">
      <c r="A4357">
        <v>2014</v>
      </c>
      <c r="B4357" s="140" t="s">
        <v>393</v>
      </c>
      <c r="C4357" s="140" t="s">
        <v>243</v>
      </c>
      <c r="D4357" s="140" t="s">
        <v>11</v>
      </c>
      <c r="E4357" s="140" t="s">
        <v>52</v>
      </c>
      <c r="F4357">
        <v>14684</v>
      </c>
      <c r="G4357" s="140" t="s">
        <v>394</v>
      </c>
      <c r="H4357">
        <v>0</v>
      </c>
      <c r="I4357" s="140" t="s">
        <v>17</v>
      </c>
    </row>
    <row r="4358" spans="1:9" hidden="1" x14ac:dyDescent="0.25">
      <c r="A4358">
        <v>2015</v>
      </c>
      <c r="B4358" s="140" t="s">
        <v>393</v>
      </c>
      <c r="C4358" s="140" t="s">
        <v>243</v>
      </c>
      <c r="D4358" s="140" t="s">
        <v>11</v>
      </c>
      <c r="E4358" s="140" t="s">
        <v>52</v>
      </c>
      <c r="F4358">
        <v>15351</v>
      </c>
      <c r="G4358" s="140" t="s">
        <v>394</v>
      </c>
      <c r="H4358">
        <v>0</v>
      </c>
      <c r="I4358" s="140" t="s">
        <v>17</v>
      </c>
    </row>
    <row r="4359" spans="1:9" hidden="1" x14ac:dyDescent="0.25">
      <c r="A4359">
        <v>2016</v>
      </c>
      <c r="B4359" s="140" t="s">
        <v>393</v>
      </c>
      <c r="C4359" s="140" t="s">
        <v>243</v>
      </c>
      <c r="D4359" s="140" t="s">
        <v>11</v>
      </c>
      <c r="E4359" s="140" t="s">
        <v>52</v>
      </c>
      <c r="F4359">
        <v>15905</v>
      </c>
      <c r="G4359" s="140" t="s">
        <v>394</v>
      </c>
      <c r="H4359">
        <v>0</v>
      </c>
      <c r="I4359" s="140" t="s">
        <v>17</v>
      </c>
    </row>
    <row r="4360" spans="1:9" hidden="1" x14ac:dyDescent="0.25">
      <c r="A4360">
        <v>2017</v>
      </c>
      <c r="B4360" s="140" t="s">
        <v>393</v>
      </c>
      <c r="C4360" s="140" t="s">
        <v>243</v>
      </c>
      <c r="D4360" s="140" t="s">
        <v>11</v>
      </c>
      <c r="E4360" s="140" t="s">
        <v>52</v>
      </c>
      <c r="F4360">
        <v>16347</v>
      </c>
      <c r="G4360" s="140" t="s">
        <v>394</v>
      </c>
      <c r="H4360">
        <v>0</v>
      </c>
      <c r="I4360" s="140" t="s">
        <v>17</v>
      </c>
    </row>
    <row r="4361" spans="1:9" hidden="1" x14ac:dyDescent="0.25">
      <c r="A4361">
        <v>2018</v>
      </c>
      <c r="B4361" s="140" t="s">
        <v>393</v>
      </c>
      <c r="C4361" s="140" t="s">
        <v>243</v>
      </c>
      <c r="D4361" s="140" t="s">
        <v>11</v>
      </c>
      <c r="E4361" s="140" t="s">
        <v>52</v>
      </c>
      <c r="F4361">
        <v>16553</v>
      </c>
      <c r="G4361" s="140" t="s">
        <v>394</v>
      </c>
      <c r="H4361">
        <v>0</v>
      </c>
      <c r="I4361" s="140" t="s">
        <v>17</v>
      </c>
    </row>
    <row r="4362" spans="1:9" hidden="1" x14ac:dyDescent="0.25">
      <c r="A4362">
        <v>2019</v>
      </c>
      <c r="B4362" s="140" t="s">
        <v>393</v>
      </c>
      <c r="C4362" s="140" t="s">
        <v>243</v>
      </c>
      <c r="D4362" s="140" t="s">
        <v>11</v>
      </c>
      <c r="E4362" s="140" t="s">
        <v>52</v>
      </c>
      <c r="F4362">
        <v>16761</v>
      </c>
      <c r="G4362" s="140" t="s">
        <v>394</v>
      </c>
      <c r="H4362">
        <v>0</v>
      </c>
      <c r="I4362" s="140" t="s">
        <v>17</v>
      </c>
    </row>
    <row r="4363" spans="1:9" hidden="1" x14ac:dyDescent="0.25">
      <c r="A4363">
        <v>2020</v>
      </c>
      <c r="B4363" s="140" t="s">
        <v>393</v>
      </c>
      <c r="C4363" s="140" t="s">
        <v>243</v>
      </c>
      <c r="D4363" s="140" t="s">
        <v>11</v>
      </c>
      <c r="E4363" s="140" t="s">
        <v>52</v>
      </c>
      <c r="F4363">
        <v>17190</v>
      </c>
      <c r="G4363" s="140" t="s">
        <v>394</v>
      </c>
      <c r="H4363">
        <v>0</v>
      </c>
      <c r="I4363" s="140" t="s">
        <v>17</v>
      </c>
    </row>
    <row r="4364" spans="1:9" hidden="1" x14ac:dyDescent="0.25">
      <c r="A4364">
        <v>2021</v>
      </c>
      <c r="B4364" s="140" t="s">
        <v>393</v>
      </c>
      <c r="C4364" s="140" t="s">
        <v>243</v>
      </c>
      <c r="D4364" s="140" t="s">
        <v>11</v>
      </c>
      <c r="E4364" s="140" t="s">
        <v>52</v>
      </c>
      <c r="F4364">
        <v>17704</v>
      </c>
      <c r="G4364" s="140" t="s">
        <v>394</v>
      </c>
      <c r="H4364">
        <v>0</v>
      </c>
      <c r="I4364" s="140" t="s">
        <v>17</v>
      </c>
    </row>
    <row r="4365" spans="1:9" hidden="1" x14ac:dyDescent="0.25">
      <c r="A4365">
        <v>2022</v>
      </c>
      <c r="B4365" s="140" t="s">
        <v>393</v>
      </c>
      <c r="C4365" s="140" t="s">
        <v>243</v>
      </c>
      <c r="D4365" s="140" t="s">
        <v>11</v>
      </c>
      <c r="E4365" s="140" t="s">
        <v>52</v>
      </c>
      <c r="F4365">
        <v>16932</v>
      </c>
      <c r="G4365" s="140" t="s">
        <v>394</v>
      </c>
      <c r="H4365">
        <v>0</v>
      </c>
      <c r="I4365" s="140" t="s">
        <v>17</v>
      </c>
    </row>
    <row r="4366" spans="1:9" hidden="1" x14ac:dyDescent="0.25">
      <c r="A4366">
        <v>2023</v>
      </c>
      <c r="B4366" s="140" t="s">
        <v>393</v>
      </c>
      <c r="C4366" s="140" t="s">
        <v>243</v>
      </c>
      <c r="D4366" s="140" t="s">
        <v>11</v>
      </c>
      <c r="E4366" s="140" t="s">
        <v>52</v>
      </c>
      <c r="F4366">
        <v>13156</v>
      </c>
      <c r="G4366" s="140" t="s">
        <v>394</v>
      </c>
      <c r="H4366">
        <v>0</v>
      </c>
      <c r="I4366" s="140" t="s">
        <v>17</v>
      </c>
    </row>
    <row r="4367" spans="1:9" hidden="1" x14ac:dyDescent="0.25">
      <c r="A4367">
        <v>2024</v>
      </c>
      <c r="B4367" s="140" t="s">
        <v>393</v>
      </c>
      <c r="C4367" s="140" t="s">
        <v>243</v>
      </c>
      <c r="D4367" s="140" t="s">
        <v>11</v>
      </c>
      <c r="E4367" s="140" t="s">
        <v>52</v>
      </c>
      <c r="F4367">
        <v>13328</v>
      </c>
      <c r="G4367" s="140" t="s">
        <v>394</v>
      </c>
      <c r="H4367">
        <v>0</v>
      </c>
      <c r="I4367" s="140" t="s">
        <v>17</v>
      </c>
    </row>
    <row r="4368" spans="1:9" hidden="1" x14ac:dyDescent="0.25">
      <c r="A4368">
        <v>2025</v>
      </c>
      <c r="B4368" s="140" t="s">
        <v>393</v>
      </c>
      <c r="C4368" s="140" t="s">
        <v>243</v>
      </c>
      <c r="D4368" s="140" t="s">
        <v>11</v>
      </c>
      <c r="E4368" s="140" t="s">
        <v>52</v>
      </c>
      <c r="F4368">
        <v>14984</v>
      </c>
      <c r="G4368" s="140" t="s">
        <v>394</v>
      </c>
      <c r="H4368">
        <v>0</v>
      </c>
      <c r="I4368" s="140" t="s">
        <v>17</v>
      </c>
    </row>
    <row r="4369" spans="1:9" hidden="1" x14ac:dyDescent="0.25">
      <c r="A4369">
        <v>2026</v>
      </c>
      <c r="B4369" s="140" t="s">
        <v>393</v>
      </c>
      <c r="C4369" s="140" t="s">
        <v>243</v>
      </c>
      <c r="D4369" s="140" t="s">
        <v>11</v>
      </c>
      <c r="E4369" s="140" t="s">
        <v>52</v>
      </c>
      <c r="F4369">
        <v>15555.07</v>
      </c>
      <c r="G4369" s="140" t="s">
        <v>394</v>
      </c>
      <c r="H4369">
        <v>0</v>
      </c>
      <c r="I4369" s="140" t="s">
        <v>17</v>
      </c>
    </row>
    <row r="4370" spans="1:9" hidden="1" x14ac:dyDescent="0.25">
      <c r="A4370">
        <v>2027</v>
      </c>
      <c r="B4370" s="140" t="s">
        <v>393</v>
      </c>
      <c r="C4370" s="140" t="s">
        <v>243</v>
      </c>
      <c r="D4370" s="140" t="s">
        <v>11</v>
      </c>
      <c r="E4370" s="140" t="s">
        <v>52</v>
      </c>
      <c r="F4370">
        <v>16065.026099999999</v>
      </c>
      <c r="G4370" s="140" t="s">
        <v>394</v>
      </c>
      <c r="H4370">
        <v>0</v>
      </c>
      <c r="I4370" s="140" t="s">
        <v>17</v>
      </c>
    </row>
    <row r="4371" spans="1:9" hidden="1" x14ac:dyDescent="0.25">
      <c r="A4371">
        <v>2028</v>
      </c>
      <c r="B4371" s="140" t="s">
        <v>393</v>
      </c>
      <c r="C4371" s="140" t="s">
        <v>243</v>
      </c>
      <c r="D4371" s="140" t="s">
        <v>11</v>
      </c>
      <c r="E4371" s="140" t="s">
        <v>52</v>
      </c>
      <c r="F4371">
        <v>16542.192510000001</v>
      </c>
      <c r="G4371" s="140" t="s">
        <v>394</v>
      </c>
      <c r="H4371">
        <v>0</v>
      </c>
      <c r="I4371" s="140" t="s">
        <v>17</v>
      </c>
    </row>
    <row r="4372" spans="1:9" hidden="1" x14ac:dyDescent="0.25">
      <c r="A4372">
        <v>1990</v>
      </c>
      <c r="B4372" s="140" t="s">
        <v>395</v>
      </c>
      <c r="C4372" s="140" t="s">
        <v>243</v>
      </c>
      <c r="D4372" s="140" t="s">
        <v>11</v>
      </c>
      <c r="E4372" s="140" t="s">
        <v>52</v>
      </c>
      <c r="F4372">
        <v>1746</v>
      </c>
      <c r="G4372" s="140" t="s">
        <v>396</v>
      </c>
      <c r="H4372">
        <v>0</v>
      </c>
      <c r="I4372" s="140" t="s">
        <v>17</v>
      </c>
    </row>
    <row r="4373" spans="1:9" hidden="1" x14ac:dyDescent="0.25">
      <c r="A4373">
        <v>1991</v>
      </c>
      <c r="B4373" s="140" t="s">
        <v>395</v>
      </c>
      <c r="C4373" s="140" t="s">
        <v>243</v>
      </c>
      <c r="D4373" s="140" t="s">
        <v>11</v>
      </c>
      <c r="E4373" s="140" t="s">
        <v>52</v>
      </c>
      <c r="F4373">
        <v>1460</v>
      </c>
      <c r="G4373" s="140" t="s">
        <v>396</v>
      </c>
      <c r="H4373">
        <v>0</v>
      </c>
      <c r="I4373" s="140" t="s">
        <v>17</v>
      </c>
    </row>
    <row r="4374" spans="1:9" hidden="1" x14ac:dyDescent="0.25">
      <c r="A4374">
        <v>1992</v>
      </c>
      <c r="B4374" s="140" t="s">
        <v>395</v>
      </c>
      <c r="C4374" s="140" t="s">
        <v>243</v>
      </c>
      <c r="D4374" s="140" t="s">
        <v>11</v>
      </c>
      <c r="E4374" s="140" t="s">
        <v>52</v>
      </c>
      <c r="F4374">
        <v>1321</v>
      </c>
      <c r="G4374" s="140" t="s">
        <v>396</v>
      </c>
      <c r="H4374">
        <v>0</v>
      </c>
      <c r="I4374" s="140" t="s">
        <v>17</v>
      </c>
    </row>
    <row r="4375" spans="1:9" hidden="1" x14ac:dyDescent="0.25">
      <c r="A4375">
        <v>1993</v>
      </c>
      <c r="B4375" s="140" t="s">
        <v>395</v>
      </c>
      <c r="C4375" s="140" t="s">
        <v>243</v>
      </c>
      <c r="D4375" s="140" t="s">
        <v>11</v>
      </c>
      <c r="E4375" s="140" t="s">
        <v>52</v>
      </c>
      <c r="F4375">
        <v>1476</v>
      </c>
      <c r="G4375" s="140" t="s">
        <v>396</v>
      </c>
      <c r="H4375">
        <v>0</v>
      </c>
      <c r="I4375" s="140" t="s">
        <v>17</v>
      </c>
    </row>
    <row r="4376" spans="1:9" hidden="1" x14ac:dyDescent="0.25">
      <c r="A4376">
        <v>1994</v>
      </c>
      <c r="B4376" s="140" t="s">
        <v>395</v>
      </c>
      <c r="C4376" s="140" t="s">
        <v>243</v>
      </c>
      <c r="D4376" s="140" t="s">
        <v>11</v>
      </c>
      <c r="E4376" s="140" t="s">
        <v>52</v>
      </c>
      <c r="F4376">
        <v>1413</v>
      </c>
      <c r="G4376" s="140" t="s">
        <v>396</v>
      </c>
      <c r="H4376">
        <v>0</v>
      </c>
      <c r="I4376" s="140" t="s">
        <v>17</v>
      </c>
    </row>
    <row r="4377" spans="1:9" hidden="1" x14ac:dyDescent="0.25">
      <c r="A4377">
        <v>1995</v>
      </c>
      <c r="B4377" s="140" t="s">
        <v>395</v>
      </c>
      <c r="C4377" s="140" t="s">
        <v>243</v>
      </c>
      <c r="D4377" s="140" t="s">
        <v>11</v>
      </c>
      <c r="E4377" s="140" t="s">
        <v>52</v>
      </c>
      <c r="F4377">
        <v>1765</v>
      </c>
      <c r="G4377" s="140" t="s">
        <v>396</v>
      </c>
      <c r="H4377">
        <v>0</v>
      </c>
      <c r="I4377" s="140" t="s">
        <v>17</v>
      </c>
    </row>
    <row r="4378" spans="1:9" hidden="1" x14ac:dyDescent="0.25">
      <c r="A4378">
        <v>1996</v>
      </c>
      <c r="B4378" s="140" t="s">
        <v>395</v>
      </c>
      <c r="C4378" s="140" t="s">
        <v>243</v>
      </c>
      <c r="D4378" s="140" t="s">
        <v>11</v>
      </c>
      <c r="E4378" s="140" t="s">
        <v>52</v>
      </c>
      <c r="F4378">
        <v>1347</v>
      </c>
      <c r="G4378" s="140" t="s">
        <v>396</v>
      </c>
      <c r="H4378">
        <v>0</v>
      </c>
      <c r="I4378" s="140" t="s">
        <v>17</v>
      </c>
    </row>
    <row r="4379" spans="1:9" hidden="1" x14ac:dyDescent="0.25">
      <c r="A4379">
        <v>1997</v>
      </c>
      <c r="B4379" s="140" t="s">
        <v>395</v>
      </c>
      <c r="C4379" s="140" t="s">
        <v>243</v>
      </c>
      <c r="D4379" s="140" t="s">
        <v>11</v>
      </c>
      <c r="E4379" s="140" t="s">
        <v>52</v>
      </c>
      <c r="F4379">
        <v>1324</v>
      </c>
      <c r="G4379" s="140" t="s">
        <v>396</v>
      </c>
      <c r="H4379">
        <v>0</v>
      </c>
      <c r="I4379" s="140" t="s">
        <v>17</v>
      </c>
    </row>
    <row r="4380" spans="1:9" hidden="1" x14ac:dyDescent="0.25">
      <c r="A4380">
        <v>1998</v>
      </c>
      <c r="B4380" s="140" t="s">
        <v>395</v>
      </c>
      <c r="C4380" s="140" t="s">
        <v>243</v>
      </c>
      <c r="D4380" s="140" t="s">
        <v>11</v>
      </c>
      <c r="E4380" s="140" t="s">
        <v>52</v>
      </c>
      <c r="F4380">
        <v>973</v>
      </c>
      <c r="G4380" s="140" t="s">
        <v>396</v>
      </c>
      <c r="H4380">
        <v>0</v>
      </c>
      <c r="I4380" s="140" t="s">
        <v>17</v>
      </c>
    </row>
    <row r="4381" spans="1:9" hidden="1" x14ac:dyDescent="0.25">
      <c r="A4381">
        <v>1999</v>
      </c>
      <c r="B4381" s="140" t="s">
        <v>395</v>
      </c>
      <c r="C4381" s="140" t="s">
        <v>243</v>
      </c>
      <c r="D4381" s="140" t="s">
        <v>11</v>
      </c>
      <c r="E4381" s="140" t="s">
        <v>52</v>
      </c>
      <c r="F4381">
        <v>1178</v>
      </c>
      <c r="G4381" s="140" t="s">
        <v>396</v>
      </c>
      <c r="H4381">
        <v>0</v>
      </c>
      <c r="I4381" s="140" t="s">
        <v>17</v>
      </c>
    </row>
    <row r="4382" spans="1:9" hidden="1" x14ac:dyDescent="0.25">
      <c r="A4382">
        <v>2000</v>
      </c>
      <c r="B4382" s="140" t="s">
        <v>395</v>
      </c>
      <c r="C4382" s="140" t="s">
        <v>243</v>
      </c>
      <c r="D4382" s="140" t="s">
        <v>11</v>
      </c>
      <c r="E4382" s="140" t="s">
        <v>52</v>
      </c>
      <c r="F4382">
        <v>1309</v>
      </c>
      <c r="G4382" s="140" t="s">
        <v>396</v>
      </c>
      <c r="H4382">
        <v>0</v>
      </c>
      <c r="I4382" s="140" t="s">
        <v>17</v>
      </c>
    </row>
    <row r="4383" spans="1:9" hidden="1" x14ac:dyDescent="0.25">
      <c r="A4383">
        <v>2001</v>
      </c>
      <c r="B4383" s="140" t="s">
        <v>395</v>
      </c>
      <c r="C4383" s="140" t="s">
        <v>243</v>
      </c>
      <c r="D4383" s="140" t="s">
        <v>11</v>
      </c>
      <c r="E4383" s="140" t="s">
        <v>52</v>
      </c>
      <c r="F4383">
        <v>1316</v>
      </c>
      <c r="G4383" s="140" t="s">
        <v>396</v>
      </c>
      <c r="H4383">
        <v>0</v>
      </c>
      <c r="I4383" s="140" t="s">
        <v>17</v>
      </c>
    </row>
    <row r="4384" spans="1:9" hidden="1" x14ac:dyDescent="0.25">
      <c r="A4384">
        <v>2002</v>
      </c>
      <c r="B4384" s="140" t="s">
        <v>395</v>
      </c>
      <c r="C4384" s="140" t="s">
        <v>243</v>
      </c>
      <c r="D4384" s="140" t="s">
        <v>11</v>
      </c>
      <c r="E4384" s="140" t="s">
        <v>52</v>
      </c>
      <c r="F4384">
        <v>1301</v>
      </c>
      <c r="G4384" s="140" t="s">
        <v>396</v>
      </c>
      <c r="H4384">
        <v>0</v>
      </c>
      <c r="I4384" s="140" t="s">
        <v>17</v>
      </c>
    </row>
    <row r="4385" spans="1:9" hidden="1" x14ac:dyDescent="0.25">
      <c r="A4385">
        <v>2003</v>
      </c>
      <c r="B4385" s="140" t="s">
        <v>395</v>
      </c>
      <c r="C4385" s="140" t="s">
        <v>243</v>
      </c>
      <c r="D4385" s="140" t="s">
        <v>11</v>
      </c>
      <c r="E4385" s="140" t="s">
        <v>52</v>
      </c>
      <c r="F4385">
        <v>1145</v>
      </c>
      <c r="G4385" s="140" t="s">
        <v>396</v>
      </c>
      <c r="H4385">
        <v>0</v>
      </c>
      <c r="I4385" s="140" t="s">
        <v>17</v>
      </c>
    </row>
    <row r="4386" spans="1:9" hidden="1" x14ac:dyDescent="0.25">
      <c r="A4386">
        <v>2004</v>
      </c>
      <c r="B4386" s="140" t="s">
        <v>395</v>
      </c>
      <c r="C4386" s="140" t="s">
        <v>243</v>
      </c>
      <c r="D4386" s="140" t="s">
        <v>11</v>
      </c>
      <c r="E4386" s="140" t="s">
        <v>52</v>
      </c>
      <c r="F4386">
        <v>1171</v>
      </c>
      <c r="G4386" s="140" t="s">
        <v>396</v>
      </c>
      <c r="H4386">
        <v>0</v>
      </c>
      <c r="I4386" s="140" t="s">
        <v>17</v>
      </c>
    </row>
    <row r="4387" spans="1:9" hidden="1" x14ac:dyDescent="0.25">
      <c r="A4387">
        <v>2005</v>
      </c>
      <c r="B4387" s="140" t="s">
        <v>395</v>
      </c>
      <c r="C4387" s="140" t="s">
        <v>243</v>
      </c>
      <c r="D4387" s="140" t="s">
        <v>11</v>
      </c>
      <c r="E4387" s="140" t="s">
        <v>52</v>
      </c>
      <c r="F4387">
        <v>1145</v>
      </c>
      <c r="G4387" s="140" t="s">
        <v>396</v>
      </c>
      <c r="H4387">
        <v>0</v>
      </c>
      <c r="I4387" s="140" t="s">
        <v>17</v>
      </c>
    </row>
    <row r="4388" spans="1:9" hidden="1" x14ac:dyDescent="0.25">
      <c r="A4388">
        <v>2006</v>
      </c>
      <c r="B4388" s="140" t="s">
        <v>395</v>
      </c>
      <c r="C4388" s="140" t="s">
        <v>243</v>
      </c>
      <c r="D4388" s="140" t="s">
        <v>11</v>
      </c>
      <c r="E4388" s="140" t="s">
        <v>52</v>
      </c>
      <c r="F4388">
        <v>1049</v>
      </c>
      <c r="G4388" s="140" t="s">
        <v>396</v>
      </c>
      <c r="H4388">
        <v>0</v>
      </c>
      <c r="I4388" s="140" t="s">
        <v>17</v>
      </c>
    </row>
    <row r="4389" spans="1:9" hidden="1" x14ac:dyDescent="0.25">
      <c r="A4389">
        <v>2007</v>
      </c>
      <c r="B4389" s="140" t="s">
        <v>395</v>
      </c>
      <c r="C4389" s="140" t="s">
        <v>243</v>
      </c>
      <c r="D4389" s="140" t="s">
        <v>11</v>
      </c>
      <c r="E4389" s="140" t="s">
        <v>52</v>
      </c>
      <c r="F4389">
        <v>1293</v>
      </c>
      <c r="G4389" s="140" t="s">
        <v>396</v>
      </c>
      <c r="H4389">
        <v>0</v>
      </c>
      <c r="I4389" s="140" t="s">
        <v>17</v>
      </c>
    </row>
    <row r="4390" spans="1:9" hidden="1" x14ac:dyDescent="0.25">
      <c r="A4390">
        <v>2008</v>
      </c>
      <c r="B4390" s="140" t="s">
        <v>395</v>
      </c>
      <c r="C4390" s="140" t="s">
        <v>243</v>
      </c>
      <c r="D4390" s="140" t="s">
        <v>11</v>
      </c>
      <c r="E4390" s="140" t="s">
        <v>52</v>
      </c>
      <c r="F4390">
        <v>786</v>
      </c>
      <c r="G4390" s="140" t="s">
        <v>396</v>
      </c>
      <c r="H4390">
        <v>0</v>
      </c>
      <c r="I4390" s="140" t="s">
        <v>17</v>
      </c>
    </row>
    <row r="4391" spans="1:9" hidden="1" x14ac:dyDescent="0.25">
      <c r="A4391">
        <v>2009</v>
      </c>
      <c r="B4391" s="140" t="s">
        <v>395</v>
      </c>
      <c r="C4391" s="140" t="s">
        <v>243</v>
      </c>
      <c r="D4391" s="140" t="s">
        <v>11</v>
      </c>
      <c r="E4391" s="140" t="s">
        <v>52</v>
      </c>
      <c r="F4391">
        <v>793</v>
      </c>
      <c r="G4391" s="140" t="s">
        <v>396</v>
      </c>
      <c r="H4391">
        <v>0</v>
      </c>
      <c r="I4391" s="140" t="s">
        <v>17</v>
      </c>
    </row>
    <row r="4392" spans="1:9" hidden="1" x14ac:dyDescent="0.25">
      <c r="A4392">
        <v>2010</v>
      </c>
      <c r="B4392" s="140" t="s">
        <v>395</v>
      </c>
      <c r="C4392" s="140" t="s">
        <v>243</v>
      </c>
      <c r="D4392" s="140" t="s">
        <v>11</v>
      </c>
      <c r="E4392" s="140" t="s">
        <v>52</v>
      </c>
      <c r="F4392">
        <v>843</v>
      </c>
      <c r="G4392" s="140" t="s">
        <v>396</v>
      </c>
      <c r="H4392">
        <v>0</v>
      </c>
      <c r="I4392" s="140" t="s">
        <v>17</v>
      </c>
    </row>
    <row r="4393" spans="1:9" hidden="1" x14ac:dyDescent="0.25">
      <c r="A4393">
        <v>2011</v>
      </c>
      <c r="B4393" s="140" t="s">
        <v>395</v>
      </c>
      <c r="C4393" s="140" t="s">
        <v>243</v>
      </c>
      <c r="D4393" s="140" t="s">
        <v>11</v>
      </c>
      <c r="E4393" s="140" t="s">
        <v>52</v>
      </c>
      <c r="F4393">
        <v>422</v>
      </c>
      <c r="G4393" s="140" t="s">
        <v>396</v>
      </c>
      <c r="H4393">
        <v>0</v>
      </c>
      <c r="I4393" s="140" t="s">
        <v>17</v>
      </c>
    </row>
    <row r="4394" spans="1:9" hidden="1" x14ac:dyDescent="0.25">
      <c r="A4394">
        <v>2012</v>
      </c>
      <c r="B4394" s="140" t="s">
        <v>395</v>
      </c>
      <c r="C4394" s="140" t="s">
        <v>243</v>
      </c>
      <c r="D4394" s="140" t="s">
        <v>11</v>
      </c>
      <c r="E4394" s="140" t="s">
        <v>52</v>
      </c>
      <c r="F4394">
        <v>340</v>
      </c>
      <c r="G4394" s="140" t="s">
        <v>396</v>
      </c>
      <c r="H4394">
        <v>0</v>
      </c>
      <c r="I4394" s="140" t="s">
        <v>17</v>
      </c>
    </row>
    <row r="4395" spans="1:9" hidden="1" x14ac:dyDescent="0.25">
      <c r="A4395">
        <v>2013</v>
      </c>
      <c r="B4395" s="140" t="s">
        <v>395</v>
      </c>
      <c r="C4395" s="140" t="s">
        <v>243</v>
      </c>
      <c r="D4395" s="140" t="s">
        <v>11</v>
      </c>
      <c r="E4395" s="140" t="s">
        <v>52</v>
      </c>
      <c r="F4395">
        <v>445</v>
      </c>
      <c r="G4395" s="140" t="s">
        <v>396</v>
      </c>
      <c r="H4395">
        <v>0</v>
      </c>
      <c r="I4395" s="140" t="s">
        <v>17</v>
      </c>
    </row>
    <row r="4396" spans="1:9" hidden="1" x14ac:dyDescent="0.25">
      <c r="A4396">
        <v>2014</v>
      </c>
      <c r="B4396" s="140" t="s">
        <v>395</v>
      </c>
      <c r="C4396" s="140" t="s">
        <v>243</v>
      </c>
      <c r="D4396" s="140" t="s">
        <v>11</v>
      </c>
      <c r="E4396" s="140" t="s">
        <v>52</v>
      </c>
      <c r="F4396">
        <v>341</v>
      </c>
      <c r="G4396" s="140" t="s">
        <v>396</v>
      </c>
      <c r="H4396">
        <v>0</v>
      </c>
      <c r="I4396" s="140" t="s">
        <v>17</v>
      </c>
    </row>
    <row r="4397" spans="1:9" hidden="1" x14ac:dyDescent="0.25">
      <c r="A4397">
        <v>2015</v>
      </c>
      <c r="B4397" s="140" t="s">
        <v>395</v>
      </c>
      <c r="C4397" s="140" t="s">
        <v>243</v>
      </c>
      <c r="D4397" s="140" t="s">
        <v>11</v>
      </c>
      <c r="E4397" s="140" t="s">
        <v>52</v>
      </c>
      <c r="F4397">
        <v>143</v>
      </c>
      <c r="G4397" s="140" t="s">
        <v>396</v>
      </c>
      <c r="H4397">
        <v>0</v>
      </c>
      <c r="I4397" s="140" t="s">
        <v>17</v>
      </c>
    </row>
    <row r="4398" spans="1:9" hidden="1" x14ac:dyDescent="0.25">
      <c r="A4398">
        <v>2016</v>
      </c>
      <c r="B4398" s="140" t="s">
        <v>395</v>
      </c>
      <c r="C4398" s="140" t="s">
        <v>243</v>
      </c>
      <c r="D4398" s="140" t="s">
        <v>11</v>
      </c>
      <c r="E4398" s="140" t="s">
        <v>52</v>
      </c>
      <c r="F4398">
        <v>172</v>
      </c>
      <c r="G4398" s="140" t="s">
        <v>396</v>
      </c>
      <c r="H4398">
        <v>0</v>
      </c>
      <c r="I4398" s="140" t="s">
        <v>17</v>
      </c>
    </row>
    <row r="4399" spans="1:9" hidden="1" x14ac:dyDescent="0.25">
      <c r="A4399">
        <v>2017</v>
      </c>
      <c r="B4399" s="140" t="s">
        <v>395</v>
      </c>
      <c r="C4399" s="140" t="s">
        <v>243</v>
      </c>
      <c r="D4399" s="140" t="s">
        <v>11</v>
      </c>
      <c r="E4399" s="140" t="s">
        <v>52</v>
      </c>
      <c r="F4399">
        <v>200</v>
      </c>
      <c r="G4399" s="140" t="s">
        <v>396</v>
      </c>
      <c r="H4399">
        <v>0</v>
      </c>
      <c r="I4399" s="140" t="s">
        <v>17</v>
      </c>
    </row>
    <row r="4400" spans="1:9" hidden="1" x14ac:dyDescent="0.25">
      <c r="A4400">
        <v>2018</v>
      </c>
      <c r="B4400" s="140" t="s">
        <v>395</v>
      </c>
      <c r="C4400" s="140" t="s">
        <v>243</v>
      </c>
      <c r="D4400" s="140" t="s">
        <v>11</v>
      </c>
      <c r="E4400" s="140" t="s">
        <v>52</v>
      </c>
      <c r="F4400">
        <v>159</v>
      </c>
      <c r="G4400" s="140" t="s">
        <v>396</v>
      </c>
      <c r="H4400">
        <v>0</v>
      </c>
      <c r="I4400" s="140" t="s">
        <v>17</v>
      </c>
    </row>
    <row r="4401" spans="1:9" hidden="1" x14ac:dyDescent="0.25">
      <c r="A4401">
        <v>2019</v>
      </c>
      <c r="B4401" s="140" t="s">
        <v>395</v>
      </c>
      <c r="C4401" s="140" t="s">
        <v>243</v>
      </c>
      <c r="D4401" s="140" t="s">
        <v>11</v>
      </c>
      <c r="E4401" s="140" t="s">
        <v>52</v>
      </c>
      <c r="F4401">
        <v>355</v>
      </c>
      <c r="G4401" s="140" t="s">
        <v>396</v>
      </c>
      <c r="H4401">
        <v>0</v>
      </c>
      <c r="I4401" s="140" t="s">
        <v>17</v>
      </c>
    </row>
    <row r="4402" spans="1:9" hidden="1" x14ac:dyDescent="0.25">
      <c r="A4402">
        <v>2020</v>
      </c>
      <c r="B4402" s="140" t="s">
        <v>395</v>
      </c>
      <c r="C4402" s="140" t="s">
        <v>243</v>
      </c>
      <c r="D4402" s="140" t="s">
        <v>11</v>
      </c>
      <c r="E4402" s="140" t="s">
        <v>52</v>
      </c>
      <c r="F4402">
        <v>430</v>
      </c>
      <c r="G4402" s="140" t="s">
        <v>396</v>
      </c>
      <c r="H4402">
        <v>0</v>
      </c>
      <c r="I4402" s="140" t="s">
        <v>17</v>
      </c>
    </row>
    <row r="4403" spans="1:9" hidden="1" x14ac:dyDescent="0.25">
      <c r="A4403">
        <v>2021</v>
      </c>
      <c r="B4403" s="140" t="s">
        <v>395</v>
      </c>
      <c r="C4403" s="140" t="s">
        <v>243</v>
      </c>
      <c r="D4403" s="140" t="s">
        <v>11</v>
      </c>
      <c r="E4403" s="140" t="s">
        <v>52</v>
      </c>
      <c r="F4403">
        <v>425</v>
      </c>
      <c r="G4403" s="140" t="s">
        <v>396</v>
      </c>
      <c r="H4403">
        <v>0</v>
      </c>
      <c r="I4403" s="140" t="s">
        <v>17</v>
      </c>
    </row>
    <row r="4404" spans="1:9" hidden="1" x14ac:dyDescent="0.25">
      <c r="A4404">
        <v>2022</v>
      </c>
      <c r="B4404" s="140" t="s">
        <v>395</v>
      </c>
      <c r="C4404" s="140" t="s">
        <v>243</v>
      </c>
      <c r="D4404" s="140" t="s">
        <v>11</v>
      </c>
      <c r="E4404" s="140" t="s">
        <v>52</v>
      </c>
      <c r="F4404">
        <v>636</v>
      </c>
      <c r="G4404" s="140" t="s">
        <v>396</v>
      </c>
      <c r="H4404">
        <v>0</v>
      </c>
      <c r="I4404" s="140" t="s">
        <v>17</v>
      </c>
    </row>
    <row r="4405" spans="1:9" hidden="1" x14ac:dyDescent="0.25">
      <c r="A4405">
        <v>2023</v>
      </c>
      <c r="B4405" s="140" t="s">
        <v>395</v>
      </c>
      <c r="C4405" s="140" t="s">
        <v>243</v>
      </c>
      <c r="D4405" s="140" t="s">
        <v>11</v>
      </c>
      <c r="E4405" s="140" t="s">
        <v>52</v>
      </c>
      <c r="F4405">
        <v>609</v>
      </c>
      <c r="G4405" s="140" t="s">
        <v>396</v>
      </c>
      <c r="H4405">
        <v>0</v>
      </c>
      <c r="I4405" s="140" t="s">
        <v>17</v>
      </c>
    </row>
    <row r="4406" spans="1:9" hidden="1" x14ac:dyDescent="0.25">
      <c r="A4406">
        <v>2024</v>
      </c>
      <c r="B4406" s="140" t="s">
        <v>395</v>
      </c>
      <c r="C4406" s="140" t="s">
        <v>243</v>
      </c>
      <c r="D4406" s="140" t="s">
        <v>11</v>
      </c>
      <c r="E4406" s="140" t="s">
        <v>52</v>
      </c>
      <c r="F4406">
        <v>666</v>
      </c>
      <c r="G4406" s="140" t="s">
        <v>396</v>
      </c>
      <c r="H4406">
        <v>0</v>
      </c>
      <c r="I4406" s="140" t="s">
        <v>17</v>
      </c>
    </row>
    <row r="4407" spans="1:9" hidden="1" x14ac:dyDescent="0.25">
      <c r="A4407">
        <v>2025</v>
      </c>
      <c r="B4407" s="140" t="s">
        <v>395</v>
      </c>
      <c r="C4407" s="140" t="s">
        <v>243</v>
      </c>
      <c r="D4407" s="140" t="s">
        <v>11</v>
      </c>
      <c r="E4407" s="140" t="s">
        <v>52</v>
      </c>
      <c r="F4407">
        <v>966</v>
      </c>
      <c r="G4407" s="140" t="s">
        <v>396</v>
      </c>
      <c r="H4407">
        <v>0</v>
      </c>
      <c r="I4407" s="140" t="s">
        <v>17</v>
      </c>
    </row>
    <row r="4408" spans="1:9" hidden="1" x14ac:dyDescent="0.25">
      <c r="A4408">
        <v>2026</v>
      </c>
      <c r="B4408" s="140" t="s">
        <v>395</v>
      </c>
      <c r="C4408" s="140" t="s">
        <v>243</v>
      </c>
      <c r="D4408" s="140" t="s">
        <v>11</v>
      </c>
      <c r="E4408" s="140" t="s">
        <v>52</v>
      </c>
      <c r="F4408">
        <v>966</v>
      </c>
      <c r="G4408" s="140" t="s">
        <v>396</v>
      </c>
      <c r="H4408">
        <v>0</v>
      </c>
      <c r="I4408" s="140" t="s">
        <v>17</v>
      </c>
    </row>
    <row r="4409" spans="1:9" hidden="1" x14ac:dyDescent="0.25">
      <c r="A4409">
        <v>2027</v>
      </c>
      <c r="B4409" s="140" t="s">
        <v>395</v>
      </c>
      <c r="C4409" s="140" t="s">
        <v>243</v>
      </c>
      <c r="D4409" s="140" t="s">
        <v>11</v>
      </c>
      <c r="E4409" s="140" t="s">
        <v>52</v>
      </c>
      <c r="F4409">
        <v>966</v>
      </c>
      <c r="G4409" s="140" t="s">
        <v>396</v>
      </c>
      <c r="H4409">
        <v>0</v>
      </c>
      <c r="I4409" s="140" t="s">
        <v>17</v>
      </c>
    </row>
    <row r="4410" spans="1:9" hidden="1" x14ac:dyDescent="0.25">
      <c r="A4410">
        <v>2028</v>
      </c>
      <c r="B4410" s="140" t="s">
        <v>395</v>
      </c>
      <c r="C4410" s="140" t="s">
        <v>243</v>
      </c>
      <c r="D4410" s="140" t="s">
        <v>11</v>
      </c>
      <c r="E4410" s="140" t="s">
        <v>52</v>
      </c>
      <c r="F4410">
        <v>966</v>
      </c>
      <c r="G4410" s="140" t="s">
        <v>396</v>
      </c>
      <c r="H4410">
        <v>0</v>
      </c>
      <c r="I4410" s="140" t="s">
        <v>17</v>
      </c>
    </row>
    <row r="4411" spans="1:9" hidden="1" x14ac:dyDescent="0.25">
      <c r="A4411">
        <v>1990</v>
      </c>
      <c r="B4411" s="140" t="s">
        <v>397</v>
      </c>
      <c r="C4411" s="140" t="s">
        <v>243</v>
      </c>
      <c r="D4411" s="140" t="s">
        <v>11</v>
      </c>
      <c r="E4411" s="140" t="s">
        <v>52</v>
      </c>
      <c r="F4411">
        <v>1138</v>
      </c>
      <c r="G4411" s="140" t="s">
        <v>398</v>
      </c>
      <c r="H4411">
        <v>0</v>
      </c>
      <c r="I4411" s="140" t="s">
        <v>17</v>
      </c>
    </row>
    <row r="4412" spans="1:9" hidden="1" x14ac:dyDescent="0.25">
      <c r="A4412">
        <v>1991</v>
      </c>
      <c r="B4412" s="140" t="s">
        <v>397</v>
      </c>
      <c r="C4412" s="140" t="s">
        <v>243</v>
      </c>
      <c r="D4412" s="140" t="s">
        <v>11</v>
      </c>
      <c r="E4412" s="140" t="s">
        <v>52</v>
      </c>
      <c r="F4412">
        <v>1046</v>
      </c>
      <c r="G4412" s="140" t="s">
        <v>398</v>
      </c>
      <c r="H4412">
        <v>0</v>
      </c>
      <c r="I4412" s="140" t="s">
        <v>17</v>
      </c>
    </row>
    <row r="4413" spans="1:9" hidden="1" x14ac:dyDescent="0.25">
      <c r="A4413">
        <v>1992</v>
      </c>
      <c r="B4413" s="140" t="s">
        <v>397</v>
      </c>
      <c r="C4413" s="140" t="s">
        <v>243</v>
      </c>
      <c r="D4413" s="140" t="s">
        <v>11</v>
      </c>
      <c r="E4413" s="140" t="s">
        <v>52</v>
      </c>
      <c r="F4413">
        <v>834</v>
      </c>
      <c r="G4413" s="140" t="s">
        <v>398</v>
      </c>
      <c r="H4413">
        <v>0</v>
      </c>
      <c r="I4413" s="140" t="s">
        <v>17</v>
      </c>
    </row>
    <row r="4414" spans="1:9" hidden="1" x14ac:dyDescent="0.25">
      <c r="A4414">
        <v>1993</v>
      </c>
      <c r="B4414" s="140" t="s">
        <v>397</v>
      </c>
      <c r="C4414" s="140" t="s">
        <v>243</v>
      </c>
      <c r="D4414" s="140" t="s">
        <v>11</v>
      </c>
      <c r="E4414" s="140" t="s">
        <v>52</v>
      </c>
      <c r="F4414">
        <v>776</v>
      </c>
      <c r="G4414" s="140" t="s">
        <v>398</v>
      </c>
      <c r="H4414">
        <v>0</v>
      </c>
      <c r="I4414" s="140" t="s">
        <v>17</v>
      </c>
    </row>
    <row r="4415" spans="1:9" hidden="1" x14ac:dyDescent="0.25">
      <c r="A4415">
        <v>1994</v>
      </c>
      <c r="B4415" s="140" t="s">
        <v>397</v>
      </c>
      <c r="C4415" s="140" t="s">
        <v>243</v>
      </c>
      <c r="D4415" s="140" t="s">
        <v>11</v>
      </c>
      <c r="E4415" s="140" t="s">
        <v>52</v>
      </c>
      <c r="F4415">
        <v>806</v>
      </c>
      <c r="G4415" s="140" t="s">
        <v>398</v>
      </c>
      <c r="H4415">
        <v>0</v>
      </c>
      <c r="I4415" s="140" t="s">
        <v>17</v>
      </c>
    </row>
    <row r="4416" spans="1:9" hidden="1" x14ac:dyDescent="0.25">
      <c r="A4416">
        <v>1995</v>
      </c>
      <c r="B4416" s="140" t="s">
        <v>397</v>
      </c>
      <c r="C4416" s="140" t="s">
        <v>243</v>
      </c>
      <c r="D4416" s="140" t="s">
        <v>11</v>
      </c>
      <c r="E4416" s="140" t="s">
        <v>52</v>
      </c>
      <c r="F4416">
        <v>881</v>
      </c>
      <c r="G4416" s="140" t="s">
        <v>398</v>
      </c>
      <c r="H4416">
        <v>0</v>
      </c>
      <c r="I4416" s="140" t="s">
        <v>17</v>
      </c>
    </row>
    <row r="4417" spans="1:9" hidden="1" x14ac:dyDescent="0.25">
      <c r="A4417">
        <v>1996</v>
      </c>
      <c r="B4417" s="140" t="s">
        <v>397</v>
      </c>
      <c r="C4417" s="140" t="s">
        <v>243</v>
      </c>
      <c r="D4417" s="140" t="s">
        <v>11</v>
      </c>
      <c r="E4417" s="140" t="s">
        <v>52</v>
      </c>
      <c r="F4417">
        <v>944</v>
      </c>
      <c r="G4417" s="140" t="s">
        <v>398</v>
      </c>
      <c r="H4417">
        <v>0</v>
      </c>
      <c r="I4417" s="140" t="s">
        <v>17</v>
      </c>
    </row>
    <row r="4418" spans="1:9" hidden="1" x14ac:dyDescent="0.25">
      <c r="A4418">
        <v>1997</v>
      </c>
      <c r="B4418" s="140" t="s">
        <v>397</v>
      </c>
      <c r="C4418" s="140" t="s">
        <v>243</v>
      </c>
      <c r="D4418" s="140" t="s">
        <v>11</v>
      </c>
      <c r="E4418" s="140" t="s">
        <v>52</v>
      </c>
      <c r="F4418">
        <v>1014</v>
      </c>
      <c r="G4418" s="140" t="s">
        <v>398</v>
      </c>
      <c r="H4418">
        <v>0</v>
      </c>
      <c r="I4418" s="140" t="s">
        <v>17</v>
      </c>
    </row>
    <row r="4419" spans="1:9" hidden="1" x14ac:dyDescent="0.25">
      <c r="A4419">
        <v>1998</v>
      </c>
      <c r="B4419" s="140" t="s">
        <v>397</v>
      </c>
      <c r="C4419" s="140" t="s">
        <v>243</v>
      </c>
      <c r="D4419" s="140" t="s">
        <v>11</v>
      </c>
      <c r="E4419" s="140" t="s">
        <v>52</v>
      </c>
      <c r="F4419">
        <v>1063</v>
      </c>
      <c r="G4419" s="140" t="s">
        <v>398</v>
      </c>
      <c r="H4419">
        <v>0</v>
      </c>
      <c r="I4419" s="140" t="s">
        <v>17</v>
      </c>
    </row>
    <row r="4420" spans="1:9" hidden="1" x14ac:dyDescent="0.25">
      <c r="A4420">
        <v>1999</v>
      </c>
      <c r="B4420" s="140" t="s">
        <v>397</v>
      </c>
      <c r="C4420" s="140" t="s">
        <v>243</v>
      </c>
      <c r="D4420" s="140" t="s">
        <v>11</v>
      </c>
      <c r="E4420" s="140" t="s">
        <v>52</v>
      </c>
      <c r="F4420">
        <v>1054</v>
      </c>
      <c r="G4420" s="140" t="s">
        <v>398</v>
      </c>
      <c r="H4420">
        <v>0</v>
      </c>
      <c r="I4420" s="140" t="s">
        <v>17</v>
      </c>
    </row>
    <row r="4421" spans="1:9" hidden="1" x14ac:dyDescent="0.25">
      <c r="A4421">
        <v>2000</v>
      </c>
      <c r="B4421" s="140" t="s">
        <v>397</v>
      </c>
      <c r="C4421" s="140" t="s">
        <v>243</v>
      </c>
      <c r="D4421" s="140" t="s">
        <v>11</v>
      </c>
      <c r="E4421" s="140" t="s">
        <v>52</v>
      </c>
      <c r="F4421">
        <v>1252</v>
      </c>
      <c r="G4421" s="140" t="s">
        <v>398</v>
      </c>
      <c r="H4421">
        <v>0</v>
      </c>
      <c r="I4421" s="140" t="s">
        <v>17</v>
      </c>
    </row>
    <row r="4422" spans="1:9" hidden="1" x14ac:dyDescent="0.25">
      <c r="A4422">
        <v>2001</v>
      </c>
      <c r="B4422" s="140" t="s">
        <v>397</v>
      </c>
      <c r="C4422" s="140" t="s">
        <v>243</v>
      </c>
      <c r="D4422" s="140" t="s">
        <v>11</v>
      </c>
      <c r="E4422" s="140" t="s">
        <v>52</v>
      </c>
      <c r="F4422">
        <v>1213</v>
      </c>
      <c r="G4422" s="140" t="s">
        <v>398</v>
      </c>
      <c r="H4422">
        <v>0</v>
      </c>
      <c r="I4422" s="140" t="s">
        <v>17</v>
      </c>
    </row>
    <row r="4423" spans="1:9" hidden="1" x14ac:dyDescent="0.25">
      <c r="A4423">
        <v>2002</v>
      </c>
      <c r="B4423" s="140" t="s">
        <v>397</v>
      </c>
      <c r="C4423" s="140" t="s">
        <v>243</v>
      </c>
      <c r="D4423" s="140" t="s">
        <v>11</v>
      </c>
      <c r="E4423" s="140" t="s">
        <v>52</v>
      </c>
      <c r="F4423">
        <v>1194</v>
      </c>
      <c r="G4423" s="140" t="s">
        <v>398</v>
      </c>
      <c r="H4423">
        <v>0</v>
      </c>
      <c r="I4423" s="140" t="s">
        <v>17</v>
      </c>
    </row>
    <row r="4424" spans="1:9" hidden="1" x14ac:dyDescent="0.25">
      <c r="A4424">
        <v>2003</v>
      </c>
      <c r="B4424" s="140" t="s">
        <v>397</v>
      </c>
      <c r="C4424" s="140" t="s">
        <v>243</v>
      </c>
      <c r="D4424" s="140" t="s">
        <v>11</v>
      </c>
      <c r="E4424" s="140" t="s">
        <v>52</v>
      </c>
      <c r="F4424">
        <v>1157</v>
      </c>
      <c r="G4424" s="140" t="s">
        <v>398</v>
      </c>
      <c r="H4424">
        <v>0</v>
      </c>
      <c r="I4424" s="140" t="s">
        <v>17</v>
      </c>
    </row>
    <row r="4425" spans="1:9" hidden="1" x14ac:dyDescent="0.25">
      <c r="A4425">
        <v>2004</v>
      </c>
      <c r="B4425" s="140" t="s">
        <v>397</v>
      </c>
      <c r="C4425" s="140" t="s">
        <v>243</v>
      </c>
      <c r="D4425" s="140" t="s">
        <v>11</v>
      </c>
      <c r="E4425" s="140" t="s">
        <v>52</v>
      </c>
      <c r="F4425">
        <v>1068</v>
      </c>
      <c r="G4425" s="140" t="s">
        <v>398</v>
      </c>
      <c r="H4425">
        <v>0</v>
      </c>
      <c r="I4425" s="140" t="s">
        <v>17</v>
      </c>
    </row>
    <row r="4426" spans="1:9" hidden="1" x14ac:dyDescent="0.25">
      <c r="A4426">
        <v>2005</v>
      </c>
      <c r="B4426" s="140" t="s">
        <v>397</v>
      </c>
      <c r="C4426" s="140" t="s">
        <v>243</v>
      </c>
      <c r="D4426" s="140" t="s">
        <v>11</v>
      </c>
      <c r="E4426" s="140" t="s">
        <v>52</v>
      </c>
      <c r="F4426">
        <v>1064</v>
      </c>
      <c r="G4426" s="140" t="s">
        <v>398</v>
      </c>
      <c r="H4426">
        <v>0</v>
      </c>
      <c r="I4426" s="140" t="s">
        <v>17</v>
      </c>
    </row>
    <row r="4427" spans="1:9" hidden="1" x14ac:dyDescent="0.25">
      <c r="A4427">
        <v>2006</v>
      </c>
      <c r="B4427" s="140" t="s">
        <v>397</v>
      </c>
      <c r="C4427" s="140" t="s">
        <v>243</v>
      </c>
      <c r="D4427" s="140" t="s">
        <v>11</v>
      </c>
      <c r="E4427" s="140" t="s">
        <v>52</v>
      </c>
      <c r="F4427">
        <v>1177</v>
      </c>
      <c r="G4427" s="140" t="s">
        <v>398</v>
      </c>
      <c r="H4427">
        <v>0</v>
      </c>
      <c r="I4427" s="140" t="s">
        <v>17</v>
      </c>
    </row>
    <row r="4428" spans="1:9" hidden="1" x14ac:dyDescent="0.25">
      <c r="A4428">
        <v>2007</v>
      </c>
      <c r="B4428" s="140" t="s">
        <v>397</v>
      </c>
      <c r="C4428" s="140" t="s">
        <v>243</v>
      </c>
      <c r="D4428" s="140" t="s">
        <v>11</v>
      </c>
      <c r="E4428" s="140" t="s">
        <v>52</v>
      </c>
      <c r="F4428">
        <v>2085</v>
      </c>
      <c r="G4428" s="140" t="s">
        <v>398</v>
      </c>
      <c r="H4428">
        <v>0</v>
      </c>
      <c r="I4428" s="140" t="s">
        <v>17</v>
      </c>
    </row>
    <row r="4429" spans="1:9" hidden="1" x14ac:dyDescent="0.25">
      <c r="A4429">
        <v>2008</v>
      </c>
      <c r="B4429" s="140" t="s">
        <v>397</v>
      </c>
      <c r="C4429" s="140" t="s">
        <v>243</v>
      </c>
      <c r="D4429" s="140" t="s">
        <v>11</v>
      </c>
      <c r="E4429" s="140" t="s">
        <v>52</v>
      </c>
      <c r="F4429">
        <v>1845</v>
      </c>
      <c r="G4429" s="140" t="s">
        <v>398</v>
      </c>
      <c r="H4429">
        <v>0</v>
      </c>
      <c r="I4429" s="140" t="s">
        <v>17</v>
      </c>
    </row>
    <row r="4430" spans="1:9" hidden="1" x14ac:dyDescent="0.25">
      <c r="A4430">
        <v>2009</v>
      </c>
      <c r="B4430" s="140" t="s">
        <v>397</v>
      </c>
      <c r="C4430" s="140" t="s">
        <v>243</v>
      </c>
      <c r="D4430" s="140" t="s">
        <v>11</v>
      </c>
      <c r="E4430" s="140" t="s">
        <v>52</v>
      </c>
      <c r="F4430">
        <v>1441</v>
      </c>
      <c r="G4430" s="140" t="s">
        <v>398</v>
      </c>
      <c r="H4430">
        <v>0</v>
      </c>
      <c r="I4430" s="140" t="s">
        <v>17</v>
      </c>
    </row>
    <row r="4431" spans="1:9" hidden="1" x14ac:dyDescent="0.25">
      <c r="A4431">
        <v>2010</v>
      </c>
      <c r="B4431" s="140" t="s">
        <v>397</v>
      </c>
      <c r="C4431" s="140" t="s">
        <v>243</v>
      </c>
      <c r="D4431" s="140" t="s">
        <v>11</v>
      </c>
      <c r="E4431" s="140" t="s">
        <v>52</v>
      </c>
      <c r="F4431">
        <v>1648</v>
      </c>
      <c r="G4431" s="140" t="s">
        <v>398</v>
      </c>
      <c r="H4431">
        <v>0</v>
      </c>
      <c r="I4431" s="140" t="s">
        <v>17</v>
      </c>
    </row>
    <row r="4432" spans="1:9" hidden="1" x14ac:dyDescent="0.25">
      <c r="A4432">
        <v>2011</v>
      </c>
      <c r="B4432" s="140" t="s">
        <v>397</v>
      </c>
      <c r="C4432" s="140" t="s">
        <v>243</v>
      </c>
      <c r="D4432" s="140" t="s">
        <v>11</v>
      </c>
      <c r="E4432" s="140" t="s">
        <v>52</v>
      </c>
      <c r="F4432">
        <v>1716</v>
      </c>
      <c r="G4432" s="140" t="s">
        <v>398</v>
      </c>
      <c r="H4432">
        <v>0</v>
      </c>
      <c r="I4432" s="140" t="s">
        <v>17</v>
      </c>
    </row>
    <row r="4433" spans="1:9" hidden="1" x14ac:dyDescent="0.25">
      <c r="A4433">
        <v>2012</v>
      </c>
      <c r="B4433" s="140" t="s">
        <v>397</v>
      </c>
      <c r="C4433" s="140" t="s">
        <v>243</v>
      </c>
      <c r="D4433" s="140" t="s">
        <v>11</v>
      </c>
      <c r="E4433" s="140" t="s">
        <v>52</v>
      </c>
      <c r="F4433">
        <v>1635</v>
      </c>
      <c r="G4433" s="140" t="s">
        <v>398</v>
      </c>
      <c r="H4433">
        <v>0</v>
      </c>
      <c r="I4433" s="140" t="s">
        <v>17</v>
      </c>
    </row>
    <row r="4434" spans="1:9" hidden="1" x14ac:dyDescent="0.25">
      <c r="A4434">
        <v>2013</v>
      </c>
      <c r="B4434" s="140" t="s">
        <v>397</v>
      </c>
      <c r="C4434" s="140" t="s">
        <v>243</v>
      </c>
      <c r="D4434" s="140" t="s">
        <v>11</v>
      </c>
      <c r="E4434" s="140" t="s">
        <v>52</v>
      </c>
      <c r="F4434">
        <v>1747</v>
      </c>
      <c r="G4434" s="140" t="s">
        <v>398</v>
      </c>
      <c r="H4434">
        <v>0</v>
      </c>
      <c r="I4434" s="140" t="s">
        <v>17</v>
      </c>
    </row>
    <row r="4435" spans="1:9" hidden="1" x14ac:dyDescent="0.25">
      <c r="A4435">
        <v>2014</v>
      </c>
      <c r="B4435" s="140" t="s">
        <v>397</v>
      </c>
      <c r="C4435" s="140" t="s">
        <v>243</v>
      </c>
      <c r="D4435" s="140" t="s">
        <v>11</v>
      </c>
      <c r="E4435" s="140" t="s">
        <v>52</v>
      </c>
      <c r="F4435">
        <v>1827</v>
      </c>
      <c r="G4435" s="140" t="s">
        <v>398</v>
      </c>
      <c r="H4435">
        <v>0</v>
      </c>
      <c r="I4435" s="140" t="s">
        <v>17</v>
      </c>
    </row>
    <row r="4436" spans="1:9" hidden="1" x14ac:dyDescent="0.25">
      <c r="A4436">
        <v>2015</v>
      </c>
      <c r="B4436" s="140" t="s">
        <v>397</v>
      </c>
      <c r="C4436" s="140" t="s">
        <v>243</v>
      </c>
      <c r="D4436" s="140" t="s">
        <v>11</v>
      </c>
      <c r="E4436" s="140" t="s">
        <v>52</v>
      </c>
      <c r="F4436">
        <v>1787</v>
      </c>
      <c r="G4436" s="140" t="s">
        <v>398</v>
      </c>
      <c r="H4436">
        <v>0</v>
      </c>
      <c r="I4436" s="140" t="s">
        <v>17</v>
      </c>
    </row>
    <row r="4437" spans="1:9" hidden="1" x14ac:dyDescent="0.25">
      <c r="A4437">
        <v>2016</v>
      </c>
      <c r="B4437" s="140" t="s">
        <v>397</v>
      </c>
      <c r="C4437" s="140" t="s">
        <v>243</v>
      </c>
      <c r="D4437" s="140" t="s">
        <v>11</v>
      </c>
      <c r="E4437" s="140" t="s">
        <v>52</v>
      </c>
      <c r="F4437">
        <v>1816</v>
      </c>
      <c r="G4437" s="140" t="s">
        <v>398</v>
      </c>
      <c r="H4437">
        <v>0</v>
      </c>
      <c r="I4437" s="140" t="s">
        <v>17</v>
      </c>
    </row>
    <row r="4438" spans="1:9" hidden="1" x14ac:dyDescent="0.25">
      <c r="A4438">
        <v>2017</v>
      </c>
      <c r="B4438" s="140" t="s">
        <v>397</v>
      </c>
      <c r="C4438" s="140" t="s">
        <v>243</v>
      </c>
      <c r="D4438" s="140" t="s">
        <v>11</v>
      </c>
      <c r="E4438" s="140" t="s">
        <v>52</v>
      </c>
      <c r="F4438">
        <v>1841</v>
      </c>
      <c r="G4438" s="140" t="s">
        <v>398</v>
      </c>
      <c r="H4438">
        <v>0</v>
      </c>
      <c r="I4438" s="140" t="s">
        <v>17</v>
      </c>
    </row>
    <row r="4439" spans="1:9" hidden="1" x14ac:dyDescent="0.25">
      <c r="A4439">
        <v>2018</v>
      </c>
      <c r="B4439" s="140" t="s">
        <v>397</v>
      </c>
      <c r="C4439" s="140" t="s">
        <v>243</v>
      </c>
      <c r="D4439" s="140" t="s">
        <v>11</v>
      </c>
      <c r="E4439" s="140" t="s">
        <v>52</v>
      </c>
      <c r="F4439">
        <v>1956</v>
      </c>
      <c r="G4439" s="140" t="s">
        <v>398</v>
      </c>
      <c r="H4439">
        <v>0</v>
      </c>
      <c r="I4439" s="140" t="s">
        <v>17</v>
      </c>
    </row>
    <row r="4440" spans="1:9" hidden="1" x14ac:dyDescent="0.25">
      <c r="A4440">
        <v>2019</v>
      </c>
      <c r="B4440" s="140" t="s">
        <v>397</v>
      </c>
      <c r="C4440" s="140" t="s">
        <v>243</v>
      </c>
      <c r="D4440" s="140" t="s">
        <v>11</v>
      </c>
      <c r="E4440" s="140" t="s">
        <v>52</v>
      </c>
      <c r="F4440">
        <v>1972</v>
      </c>
      <c r="G4440" s="140" t="s">
        <v>398</v>
      </c>
      <c r="H4440">
        <v>0</v>
      </c>
      <c r="I4440" s="140" t="s">
        <v>17</v>
      </c>
    </row>
    <row r="4441" spans="1:9" hidden="1" x14ac:dyDescent="0.25">
      <c r="A4441">
        <v>2020</v>
      </c>
      <c r="B4441" s="140" t="s">
        <v>397</v>
      </c>
      <c r="C4441" s="140" t="s">
        <v>243</v>
      </c>
      <c r="D4441" s="140" t="s">
        <v>11</v>
      </c>
      <c r="E4441" s="140" t="s">
        <v>52</v>
      </c>
      <c r="F4441">
        <v>1961</v>
      </c>
      <c r="G4441" s="140" t="s">
        <v>398</v>
      </c>
      <c r="H4441">
        <v>0</v>
      </c>
      <c r="I4441" s="140" t="s">
        <v>17</v>
      </c>
    </row>
    <row r="4442" spans="1:9" hidden="1" x14ac:dyDescent="0.25">
      <c r="A4442">
        <v>2021</v>
      </c>
      <c r="B4442" s="140" t="s">
        <v>397</v>
      </c>
      <c r="C4442" s="140" t="s">
        <v>243</v>
      </c>
      <c r="D4442" s="140" t="s">
        <v>11</v>
      </c>
      <c r="E4442" s="140" t="s">
        <v>52</v>
      </c>
      <c r="F4442">
        <v>2063</v>
      </c>
      <c r="G4442" s="140" t="s">
        <v>398</v>
      </c>
      <c r="H4442">
        <v>0</v>
      </c>
      <c r="I4442" s="140" t="s">
        <v>17</v>
      </c>
    </row>
    <row r="4443" spans="1:9" hidden="1" x14ac:dyDescent="0.25">
      <c r="A4443">
        <v>2022</v>
      </c>
      <c r="B4443" s="140" t="s">
        <v>397</v>
      </c>
      <c r="C4443" s="140" t="s">
        <v>243</v>
      </c>
      <c r="D4443" s="140" t="s">
        <v>11</v>
      </c>
      <c r="E4443" s="140" t="s">
        <v>52</v>
      </c>
      <c r="F4443">
        <v>2116</v>
      </c>
      <c r="G4443" s="140" t="s">
        <v>398</v>
      </c>
      <c r="H4443">
        <v>0</v>
      </c>
      <c r="I4443" s="140" t="s">
        <v>17</v>
      </c>
    </row>
    <row r="4444" spans="1:9" hidden="1" x14ac:dyDescent="0.25">
      <c r="A4444">
        <v>2023</v>
      </c>
      <c r="B4444" s="140" t="s">
        <v>397</v>
      </c>
      <c r="C4444" s="140" t="s">
        <v>243</v>
      </c>
      <c r="D4444" s="140" t="s">
        <v>11</v>
      </c>
      <c r="E4444" s="140" t="s">
        <v>52</v>
      </c>
      <c r="F4444">
        <v>2241</v>
      </c>
      <c r="G4444" s="140" t="s">
        <v>398</v>
      </c>
      <c r="H4444">
        <v>0</v>
      </c>
      <c r="I4444" s="140" t="s">
        <v>17</v>
      </c>
    </row>
    <row r="4445" spans="1:9" hidden="1" x14ac:dyDescent="0.25">
      <c r="A4445">
        <v>2024</v>
      </c>
      <c r="B4445" s="140" t="s">
        <v>397</v>
      </c>
      <c r="C4445" s="140" t="s">
        <v>243</v>
      </c>
      <c r="D4445" s="140" t="s">
        <v>11</v>
      </c>
      <c r="E4445" s="140" t="s">
        <v>52</v>
      </c>
      <c r="F4445">
        <v>2589</v>
      </c>
      <c r="G4445" s="140" t="s">
        <v>398</v>
      </c>
      <c r="H4445">
        <v>0</v>
      </c>
      <c r="I4445" s="140" t="s">
        <v>17</v>
      </c>
    </row>
    <row r="4446" spans="1:9" hidden="1" x14ac:dyDescent="0.25">
      <c r="A4446">
        <v>2025</v>
      </c>
      <c r="B4446" s="140" t="s">
        <v>397</v>
      </c>
      <c r="C4446" s="140" t="s">
        <v>243</v>
      </c>
      <c r="D4446" s="140" t="s">
        <v>11</v>
      </c>
      <c r="E4446" s="140" t="s">
        <v>52</v>
      </c>
      <c r="F4446">
        <v>2724</v>
      </c>
      <c r="G4446" s="140" t="s">
        <v>398</v>
      </c>
      <c r="H4446">
        <v>0</v>
      </c>
      <c r="I4446" s="140" t="s">
        <v>17</v>
      </c>
    </row>
    <row r="4447" spans="1:9" hidden="1" x14ac:dyDescent="0.25">
      <c r="A4447">
        <v>2026</v>
      </c>
      <c r="B4447" s="140" t="s">
        <v>397</v>
      </c>
      <c r="C4447" s="140" t="s">
        <v>243</v>
      </c>
      <c r="D4447" s="140" t="s">
        <v>11</v>
      </c>
      <c r="E4447" s="140" t="s">
        <v>52</v>
      </c>
      <c r="F4447">
        <v>2778.48</v>
      </c>
      <c r="G4447" s="140" t="s">
        <v>398</v>
      </c>
      <c r="H4447">
        <v>0</v>
      </c>
      <c r="I4447" s="140" t="s">
        <v>17</v>
      </c>
    </row>
    <row r="4448" spans="1:9" hidden="1" x14ac:dyDescent="0.25">
      <c r="A4448">
        <v>2027</v>
      </c>
      <c r="B4448" s="140" t="s">
        <v>397</v>
      </c>
      <c r="C4448" s="140" t="s">
        <v>243</v>
      </c>
      <c r="D4448" s="140" t="s">
        <v>11</v>
      </c>
      <c r="E4448" s="140" t="s">
        <v>52</v>
      </c>
      <c r="F4448">
        <v>2834.0495999999998</v>
      </c>
      <c r="G4448" s="140" t="s">
        <v>398</v>
      </c>
      <c r="H4448">
        <v>0</v>
      </c>
      <c r="I4448" s="140" t="s">
        <v>17</v>
      </c>
    </row>
    <row r="4449" spans="1:9" hidden="1" x14ac:dyDescent="0.25">
      <c r="A4449">
        <v>2028</v>
      </c>
      <c r="B4449" s="140" t="s">
        <v>397</v>
      </c>
      <c r="C4449" s="140" t="s">
        <v>243</v>
      </c>
      <c r="D4449" s="140" t="s">
        <v>11</v>
      </c>
      <c r="E4449" s="140" t="s">
        <v>52</v>
      </c>
      <c r="F4449">
        <v>2890.7305919999999</v>
      </c>
      <c r="G4449" s="140" t="s">
        <v>398</v>
      </c>
      <c r="H4449">
        <v>0</v>
      </c>
      <c r="I4449" s="140" t="s">
        <v>17</v>
      </c>
    </row>
    <row r="4450" spans="1:9" hidden="1" x14ac:dyDescent="0.25">
      <c r="A4450">
        <v>1990</v>
      </c>
      <c r="B4450" s="140" t="s">
        <v>399</v>
      </c>
      <c r="C4450" s="140" t="s">
        <v>243</v>
      </c>
      <c r="D4450" s="140" t="s">
        <v>11</v>
      </c>
      <c r="E4450" s="140" t="s">
        <v>52</v>
      </c>
      <c r="F4450">
        <v>-625</v>
      </c>
      <c r="G4450" s="140" t="s">
        <v>400</v>
      </c>
      <c r="H4450">
        <v>0</v>
      </c>
      <c r="I4450" s="140" t="s">
        <v>17</v>
      </c>
    </row>
    <row r="4451" spans="1:9" hidden="1" x14ac:dyDescent="0.25">
      <c r="A4451">
        <v>1991</v>
      </c>
      <c r="B4451" s="140" t="s">
        <v>399</v>
      </c>
      <c r="C4451" s="140" t="s">
        <v>243</v>
      </c>
      <c r="D4451" s="140" t="s">
        <v>11</v>
      </c>
      <c r="E4451" s="140" t="s">
        <v>52</v>
      </c>
      <c r="F4451">
        <v>-41</v>
      </c>
      <c r="G4451" s="140" t="s">
        <v>400</v>
      </c>
      <c r="H4451">
        <v>0</v>
      </c>
      <c r="I4451" s="140" t="s">
        <v>17</v>
      </c>
    </row>
    <row r="4452" spans="1:9" hidden="1" x14ac:dyDescent="0.25">
      <c r="A4452">
        <v>1992</v>
      </c>
      <c r="B4452" s="140" t="s">
        <v>399</v>
      </c>
      <c r="C4452" s="140" t="s">
        <v>243</v>
      </c>
      <c r="D4452" s="140" t="s">
        <v>11</v>
      </c>
      <c r="E4452" s="140" t="s">
        <v>52</v>
      </c>
      <c r="F4452">
        <v>583</v>
      </c>
      <c r="G4452" s="140" t="s">
        <v>400</v>
      </c>
      <c r="H4452">
        <v>0</v>
      </c>
      <c r="I4452" s="140" t="s">
        <v>17</v>
      </c>
    </row>
    <row r="4453" spans="1:9" hidden="1" x14ac:dyDescent="0.25">
      <c r="A4453">
        <v>1993</v>
      </c>
      <c r="B4453" s="140" t="s">
        <v>399</v>
      </c>
      <c r="C4453" s="140" t="s">
        <v>243</v>
      </c>
      <c r="D4453" s="140" t="s">
        <v>11</v>
      </c>
      <c r="E4453" s="140" t="s">
        <v>52</v>
      </c>
      <c r="F4453">
        <v>1687</v>
      </c>
      <c r="G4453" s="140" t="s">
        <v>400</v>
      </c>
      <c r="H4453">
        <v>0</v>
      </c>
      <c r="I4453" s="140" t="s">
        <v>17</v>
      </c>
    </row>
    <row r="4454" spans="1:9" hidden="1" x14ac:dyDescent="0.25">
      <c r="A4454">
        <v>1994</v>
      </c>
      <c r="B4454" s="140" t="s">
        <v>399</v>
      </c>
      <c r="C4454" s="140" t="s">
        <v>243</v>
      </c>
      <c r="D4454" s="140" t="s">
        <v>11</v>
      </c>
      <c r="E4454" s="140" t="s">
        <v>52</v>
      </c>
      <c r="F4454">
        <v>2205</v>
      </c>
      <c r="G4454" s="140" t="s">
        <v>400</v>
      </c>
      <c r="H4454">
        <v>0</v>
      </c>
      <c r="I4454" s="140" t="s">
        <v>17</v>
      </c>
    </row>
    <row r="4455" spans="1:9" hidden="1" x14ac:dyDescent="0.25">
      <c r="A4455">
        <v>1995</v>
      </c>
      <c r="B4455" s="140" t="s">
        <v>399</v>
      </c>
      <c r="C4455" s="140" t="s">
        <v>243</v>
      </c>
      <c r="D4455" s="140" t="s">
        <v>11</v>
      </c>
      <c r="E4455" s="140" t="s">
        <v>52</v>
      </c>
      <c r="F4455">
        <v>2086</v>
      </c>
      <c r="G4455" s="140" t="s">
        <v>400</v>
      </c>
      <c r="H4455">
        <v>0</v>
      </c>
      <c r="I4455" s="140" t="s">
        <v>17</v>
      </c>
    </row>
    <row r="4456" spans="1:9" hidden="1" x14ac:dyDescent="0.25">
      <c r="A4456">
        <v>1996</v>
      </c>
      <c r="B4456" s="140" t="s">
        <v>399</v>
      </c>
      <c r="C4456" s="140" t="s">
        <v>243</v>
      </c>
      <c r="D4456" s="140" t="s">
        <v>11</v>
      </c>
      <c r="E4456" s="140" t="s">
        <v>52</v>
      </c>
      <c r="F4456">
        <v>2521</v>
      </c>
      <c r="G4456" s="140" t="s">
        <v>400</v>
      </c>
      <c r="H4456">
        <v>0</v>
      </c>
      <c r="I4456" s="140" t="s">
        <v>17</v>
      </c>
    </row>
    <row r="4457" spans="1:9" hidden="1" x14ac:dyDescent="0.25">
      <c r="A4457">
        <v>1997</v>
      </c>
      <c r="B4457" s="140" t="s">
        <v>399</v>
      </c>
      <c r="C4457" s="140" t="s">
        <v>243</v>
      </c>
      <c r="D4457" s="140" t="s">
        <v>11</v>
      </c>
      <c r="E4457" s="140" t="s">
        <v>52</v>
      </c>
      <c r="F4457">
        <v>3144</v>
      </c>
      <c r="G4457" s="140" t="s">
        <v>400</v>
      </c>
      <c r="H4457">
        <v>0</v>
      </c>
      <c r="I4457" s="140" t="s">
        <v>17</v>
      </c>
    </row>
    <row r="4458" spans="1:9" hidden="1" x14ac:dyDescent="0.25">
      <c r="A4458">
        <v>1998</v>
      </c>
      <c r="B4458" s="140" t="s">
        <v>399</v>
      </c>
      <c r="C4458" s="140" t="s">
        <v>243</v>
      </c>
      <c r="D4458" s="140" t="s">
        <v>11</v>
      </c>
      <c r="E4458" s="140" t="s">
        <v>52</v>
      </c>
      <c r="F4458">
        <v>3127</v>
      </c>
      <c r="G4458" s="140" t="s">
        <v>400</v>
      </c>
      <c r="H4458">
        <v>0</v>
      </c>
      <c r="I4458" s="140" t="s">
        <v>17</v>
      </c>
    </row>
    <row r="4459" spans="1:9" hidden="1" x14ac:dyDescent="0.25">
      <c r="A4459">
        <v>1999</v>
      </c>
      <c r="B4459" s="140" t="s">
        <v>399</v>
      </c>
      <c r="C4459" s="140" t="s">
        <v>243</v>
      </c>
      <c r="D4459" s="140" t="s">
        <v>11</v>
      </c>
      <c r="E4459" s="140" t="s">
        <v>52</v>
      </c>
      <c r="F4459">
        <v>3484</v>
      </c>
      <c r="G4459" s="140" t="s">
        <v>400</v>
      </c>
      <c r="H4459">
        <v>0</v>
      </c>
      <c r="I4459" s="140" t="s">
        <v>17</v>
      </c>
    </row>
    <row r="4460" spans="1:9" hidden="1" x14ac:dyDescent="0.25">
      <c r="A4460">
        <v>2000</v>
      </c>
      <c r="B4460" s="140" t="s">
        <v>399</v>
      </c>
      <c r="C4460" s="140" t="s">
        <v>243</v>
      </c>
      <c r="D4460" s="140" t="s">
        <v>11</v>
      </c>
      <c r="E4460" s="140" t="s">
        <v>52</v>
      </c>
      <c r="F4460">
        <v>3130</v>
      </c>
      <c r="G4460" s="140" t="s">
        <v>400</v>
      </c>
      <c r="H4460">
        <v>0</v>
      </c>
      <c r="I4460" s="140" t="s">
        <v>17</v>
      </c>
    </row>
    <row r="4461" spans="1:9" hidden="1" x14ac:dyDescent="0.25">
      <c r="A4461">
        <v>2001</v>
      </c>
      <c r="B4461" s="140" t="s">
        <v>399</v>
      </c>
      <c r="C4461" s="140" t="s">
        <v>243</v>
      </c>
      <c r="D4461" s="140" t="s">
        <v>11</v>
      </c>
      <c r="E4461" s="140" t="s">
        <v>52</v>
      </c>
      <c r="F4461">
        <v>3154</v>
      </c>
      <c r="G4461" s="140" t="s">
        <v>400</v>
      </c>
      <c r="H4461">
        <v>0</v>
      </c>
      <c r="I4461" s="140" t="s">
        <v>17</v>
      </c>
    </row>
    <row r="4462" spans="1:9" hidden="1" x14ac:dyDescent="0.25">
      <c r="A4462">
        <v>2002</v>
      </c>
      <c r="B4462" s="140" t="s">
        <v>399</v>
      </c>
      <c r="C4462" s="140" t="s">
        <v>243</v>
      </c>
      <c r="D4462" s="140" t="s">
        <v>11</v>
      </c>
      <c r="E4462" s="140" t="s">
        <v>52</v>
      </c>
      <c r="F4462">
        <v>3787</v>
      </c>
      <c r="G4462" s="140" t="s">
        <v>400</v>
      </c>
      <c r="H4462">
        <v>0</v>
      </c>
      <c r="I4462" s="140" t="s">
        <v>17</v>
      </c>
    </row>
    <row r="4463" spans="1:9" hidden="1" x14ac:dyDescent="0.25">
      <c r="A4463">
        <v>2003</v>
      </c>
      <c r="B4463" s="140" t="s">
        <v>399</v>
      </c>
      <c r="C4463" s="140" t="s">
        <v>243</v>
      </c>
      <c r="D4463" s="140" t="s">
        <v>11</v>
      </c>
      <c r="E4463" s="140" t="s">
        <v>52</v>
      </c>
      <c r="F4463">
        <v>4262</v>
      </c>
      <c r="G4463" s="140" t="s">
        <v>400</v>
      </c>
      <c r="H4463">
        <v>0</v>
      </c>
      <c r="I4463" s="140" t="s">
        <v>17</v>
      </c>
    </row>
    <row r="4464" spans="1:9" hidden="1" x14ac:dyDescent="0.25">
      <c r="A4464">
        <v>2004</v>
      </c>
      <c r="B4464" s="140" t="s">
        <v>399</v>
      </c>
      <c r="C4464" s="140" t="s">
        <v>243</v>
      </c>
      <c r="D4464" s="140" t="s">
        <v>11</v>
      </c>
      <c r="E4464" s="140" t="s">
        <v>52</v>
      </c>
      <c r="F4464">
        <v>4574</v>
      </c>
      <c r="G4464" s="140" t="s">
        <v>400</v>
      </c>
      <c r="H4464">
        <v>0</v>
      </c>
      <c r="I4464" s="140" t="s">
        <v>17</v>
      </c>
    </row>
    <row r="4465" spans="1:9" hidden="1" x14ac:dyDescent="0.25">
      <c r="A4465">
        <v>2005</v>
      </c>
      <c r="B4465" s="140" t="s">
        <v>399</v>
      </c>
      <c r="C4465" s="140" t="s">
        <v>243</v>
      </c>
      <c r="D4465" s="140" t="s">
        <v>11</v>
      </c>
      <c r="E4465" s="140" t="s">
        <v>52</v>
      </c>
      <c r="F4465">
        <v>4318</v>
      </c>
      <c r="G4465" s="140" t="s">
        <v>400</v>
      </c>
      <c r="H4465">
        <v>0</v>
      </c>
      <c r="I4465" s="140" t="s">
        <v>17</v>
      </c>
    </row>
    <row r="4466" spans="1:9" hidden="1" x14ac:dyDescent="0.25">
      <c r="A4466">
        <v>2006</v>
      </c>
      <c r="B4466" s="140" t="s">
        <v>399</v>
      </c>
      <c r="C4466" s="140" t="s">
        <v>243</v>
      </c>
      <c r="D4466" s="140" t="s">
        <v>11</v>
      </c>
      <c r="E4466" s="140" t="s">
        <v>52</v>
      </c>
      <c r="F4466">
        <v>4101</v>
      </c>
      <c r="G4466" s="140" t="s">
        <v>400</v>
      </c>
      <c r="H4466">
        <v>0</v>
      </c>
      <c r="I4466" s="140" t="s">
        <v>17</v>
      </c>
    </row>
    <row r="4467" spans="1:9" hidden="1" x14ac:dyDescent="0.25">
      <c r="A4467">
        <v>2007</v>
      </c>
      <c r="B4467" s="140" t="s">
        <v>399</v>
      </c>
      <c r="C4467" s="140" t="s">
        <v>243</v>
      </c>
      <c r="D4467" s="140" t="s">
        <v>11</v>
      </c>
      <c r="E4467" s="140" t="s">
        <v>52</v>
      </c>
      <c r="F4467">
        <v>3303</v>
      </c>
      <c r="G4467" s="140" t="s">
        <v>400</v>
      </c>
      <c r="H4467">
        <v>0</v>
      </c>
      <c r="I4467" s="140" t="s">
        <v>17</v>
      </c>
    </row>
    <row r="4468" spans="1:9" hidden="1" x14ac:dyDescent="0.25">
      <c r="A4468">
        <v>2008</v>
      </c>
      <c r="B4468" s="140" t="s">
        <v>399</v>
      </c>
      <c r="C4468" s="140" t="s">
        <v>243</v>
      </c>
      <c r="D4468" s="140" t="s">
        <v>11</v>
      </c>
      <c r="E4468" s="140" t="s">
        <v>52</v>
      </c>
      <c r="F4468">
        <v>3016</v>
      </c>
      <c r="G4468" s="140" t="s">
        <v>400</v>
      </c>
      <c r="H4468">
        <v>0</v>
      </c>
      <c r="I4468" s="140" t="s">
        <v>17</v>
      </c>
    </row>
    <row r="4469" spans="1:9" hidden="1" x14ac:dyDescent="0.25">
      <c r="A4469">
        <v>2009</v>
      </c>
      <c r="B4469" s="140" t="s">
        <v>399</v>
      </c>
      <c r="C4469" s="140" t="s">
        <v>243</v>
      </c>
      <c r="D4469" s="140" t="s">
        <v>11</v>
      </c>
      <c r="E4469" s="140" t="s">
        <v>52</v>
      </c>
      <c r="F4469">
        <v>5162</v>
      </c>
      <c r="G4469" s="140" t="s">
        <v>400</v>
      </c>
      <c r="H4469">
        <v>0</v>
      </c>
      <c r="I4469" s="140" t="s">
        <v>17</v>
      </c>
    </row>
    <row r="4470" spans="1:9" hidden="1" x14ac:dyDescent="0.25">
      <c r="A4470">
        <v>2010</v>
      </c>
      <c r="B4470" s="140" t="s">
        <v>399</v>
      </c>
      <c r="C4470" s="140" t="s">
        <v>243</v>
      </c>
      <c r="D4470" s="140" t="s">
        <v>11</v>
      </c>
      <c r="E4470" s="140" t="s">
        <v>52</v>
      </c>
      <c r="F4470">
        <v>5701</v>
      </c>
      <c r="G4470" s="140" t="s">
        <v>400</v>
      </c>
      <c r="H4470">
        <v>0</v>
      </c>
      <c r="I4470" s="140" t="s">
        <v>17</v>
      </c>
    </row>
    <row r="4471" spans="1:9" hidden="1" x14ac:dyDescent="0.25">
      <c r="A4471">
        <v>2011</v>
      </c>
      <c r="B4471" s="140" t="s">
        <v>399</v>
      </c>
      <c r="C4471" s="140" t="s">
        <v>243</v>
      </c>
      <c r="D4471" s="140" t="s">
        <v>11</v>
      </c>
      <c r="E4471" s="140" t="s">
        <v>52</v>
      </c>
      <c r="F4471">
        <v>5684</v>
      </c>
      <c r="G4471" s="140" t="s">
        <v>400</v>
      </c>
      <c r="H4471">
        <v>0</v>
      </c>
      <c r="I4471" s="140" t="s">
        <v>17</v>
      </c>
    </row>
    <row r="4472" spans="1:9" hidden="1" x14ac:dyDescent="0.25">
      <c r="A4472">
        <v>2012</v>
      </c>
      <c r="B4472" s="140" t="s">
        <v>399</v>
      </c>
      <c r="C4472" s="140" t="s">
        <v>243</v>
      </c>
      <c r="D4472" s="140" t="s">
        <v>11</v>
      </c>
      <c r="E4472" s="140" t="s">
        <v>52</v>
      </c>
      <c r="F4472">
        <v>5966</v>
      </c>
      <c r="G4472" s="140" t="s">
        <v>400</v>
      </c>
      <c r="H4472">
        <v>0</v>
      </c>
      <c r="I4472" s="140" t="s">
        <v>17</v>
      </c>
    </row>
    <row r="4473" spans="1:9" hidden="1" x14ac:dyDescent="0.25">
      <c r="A4473">
        <v>2013</v>
      </c>
      <c r="B4473" s="140" t="s">
        <v>399</v>
      </c>
      <c r="C4473" s="140" t="s">
        <v>243</v>
      </c>
      <c r="D4473" s="140" t="s">
        <v>11</v>
      </c>
      <c r="E4473" s="140" t="s">
        <v>52</v>
      </c>
      <c r="F4473">
        <v>6873</v>
      </c>
      <c r="G4473" s="140" t="s">
        <v>400</v>
      </c>
      <c r="H4473">
        <v>0</v>
      </c>
      <c r="I4473" s="140" t="s">
        <v>17</v>
      </c>
    </row>
    <row r="4474" spans="1:9" hidden="1" x14ac:dyDescent="0.25">
      <c r="A4474">
        <v>2014</v>
      </c>
      <c r="B4474" s="140" t="s">
        <v>399</v>
      </c>
      <c r="C4474" s="140" t="s">
        <v>243</v>
      </c>
      <c r="D4474" s="140" t="s">
        <v>11</v>
      </c>
      <c r="E4474" s="140" t="s">
        <v>52</v>
      </c>
      <c r="F4474">
        <v>7390</v>
      </c>
      <c r="G4474" s="140" t="s">
        <v>400</v>
      </c>
      <c r="H4474">
        <v>0</v>
      </c>
      <c r="I4474" s="140" t="s">
        <v>17</v>
      </c>
    </row>
    <row r="4475" spans="1:9" hidden="1" x14ac:dyDescent="0.25">
      <c r="A4475">
        <v>2015</v>
      </c>
      <c r="B4475" s="140" t="s">
        <v>399</v>
      </c>
      <c r="C4475" s="140" t="s">
        <v>243</v>
      </c>
      <c r="D4475" s="140" t="s">
        <v>11</v>
      </c>
      <c r="E4475" s="140" t="s">
        <v>52</v>
      </c>
      <c r="F4475">
        <v>8070</v>
      </c>
      <c r="G4475" s="140" t="s">
        <v>400</v>
      </c>
      <c r="H4475">
        <v>0</v>
      </c>
      <c r="I4475" s="140" t="s">
        <v>17</v>
      </c>
    </row>
    <row r="4476" spans="1:9" hidden="1" x14ac:dyDescent="0.25">
      <c r="A4476">
        <v>2016</v>
      </c>
      <c r="B4476" s="140" t="s">
        <v>399</v>
      </c>
      <c r="C4476" s="140" t="s">
        <v>243</v>
      </c>
      <c r="D4476" s="140" t="s">
        <v>11</v>
      </c>
      <c r="E4476" s="140" t="s">
        <v>52</v>
      </c>
      <c r="F4476">
        <v>8555</v>
      </c>
      <c r="G4476" s="140" t="s">
        <v>400</v>
      </c>
      <c r="H4476">
        <v>0</v>
      </c>
      <c r="I4476" s="140" t="s">
        <v>17</v>
      </c>
    </row>
    <row r="4477" spans="1:9" hidden="1" x14ac:dyDescent="0.25">
      <c r="A4477">
        <v>2017</v>
      </c>
      <c r="B4477" s="140" t="s">
        <v>399</v>
      </c>
      <c r="C4477" s="140" t="s">
        <v>243</v>
      </c>
      <c r="D4477" s="140" t="s">
        <v>11</v>
      </c>
      <c r="E4477" s="140" t="s">
        <v>52</v>
      </c>
      <c r="F4477">
        <v>8621</v>
      </c>
      <c r="G4477" s="140" t="s">
        <v>400</v>
      </c>
      <c r="H4477">
        <v>0</v>
      </c>
      <c r="I4477" s="140" t="s">
        <v>17</v>
      </c>
    </row>
    <row r="4478" spans="1:9" hidden="1" x14ac:dyDescent="0.25">
      <c r="A4478">
        <v>2018</v>
      </c>
      <c r="B4478" s="140" t="s">
        <v>399</v>
      </c>
      <c r="C4478" s="140" t="s">
        <v>243</v>
      </c>
      <c r="D4478" s="140" t="s">
        <v>11</v>
      </c>
      <c r="E4478" s="140" t="s">
        <v>52</v>
      </c>
      <c r="F4478">
        <v>8722</v>
      </c>
      <c r="G4478" s="140" t="s">
        <v>400</v>
      </c>
      <c r="H4478">
        <v>0</v>
      </c>
      <c r="I4478" s="140" t="s">
        <v>17</v>
      </c>
    </row>
    <row r="4479" spans="1:9" hidden="1" x14ac:dyDescent="0.25">
      <c r="A4479">
        <v>2019</v>
      </c>
      <c r="B4479" s="140" t="s">
        <v>399</v>
      </c>
      <c r="C4479" s="140" t="s">
        <v>243</v>
      </c>
      <c r="D4479" s="140" t="s">
        <v>11</v>
      </c>
      <c r="E4479" s="140" t="s">
        <v>52</v>
      </c>
      <c r="F4479">
        <v>8683</v>
      </c>
      <c r="G4479" s="140" t="s">
        <v>400</v>
      </c>
      <c r="H4479">
        <v>0</v>
      </c>
      <c r="I4479" s="140" t="s">
        <v>17</v>
      </c>
    </row>
    <row r="4480" spans="1:9" hidden="1" x14ac:dyDescent="0.25">
      <c r="A4480">
        <v>2020</v>
      </c>
      <c r="B4480" s="140" t="s">
        <v>399</v>
      </c>
      <c r="C4480" s="140" t="s">
        <v>243</v>
      </c>
      <c r="D4480" s="140" t="s">
        <v>11</v>
      </c>
      <c r="E4480" s="140" t="s">
        <v>52</v>
      </c>
      <c r="F4480">
        <v>9068</v>
      </c>
      <c r="G4480" s="140" t="s">
        <v>400</v>
      </c>
      <c r="H4480">
        <v>0</v>
      </c>
      <c r="I4480" s="140" t="s">
        <v>17</v>
      </c>
    </row>
    <row r="4481" spans="1:9" hidden="1" x14ac:dyDescent="0.25">
      <c r="A4481">
        <v>2021</v>
      </c>
      <c r="B4481" s="140" t="s">
        <v>399</v>
      </c>
      <c r="C4481" s="140" t="s">
        <v>243</v>
      </c>
      <c r="D4481" s="140" t="s">
        <v>11</v>
      </c>
      <c r="E4481" s="140" t="s">
        <v>52</v>
      </c>
      <c r="F4481">
        <v>9207</v>
      </c>
      <c r="G4481" s="140" t="s">
        <v>400</v>
      </c>
      <c r="H4481">
        <v>0</v>
      </c>
      <c r="I4481" s="140" t="s">
        <v>17</v>
      </c>
    </row>
    <row r="4482" spans="1:9" hidden="1" x14ac:dyDescent="0.25">
      <c r="A4482">
        <v>2022</v>
      </c>
      <c r="B4482" s="140" t="s">
        <v>399</v>
      </c>
      <c r="C4482" s="140" t="s">
        <v>243</v>
      </c>
      <c r="D4482" s="140" t="s">
        <v>11</v>
      </c>
      <c r="E4482" s="140" t="s">
        <v>52</v>
      </c>
      <c r="F4482">
        <v>8406</v>
      </c>
      <c r="G4482" s="140" t="s">
        <v>400</v>
      </c>
      <c r="H4482">
        <v>0</v>
      </c>
      <c r="I4482" s="140" t="s">
        <v>17</v>
      </c>
    </row>
    <row r="4483" spans="1:9" hidden="1" x14ac:dyDescent="0.25">
      <c r="A4483">
        <v>2023</v>
      </c>
      <c r="B4483" s="140" t="s">
        <v>399</v>
      </c>
      <c r="C4483" s="140" t="s">
        <v>243</v>
      </c>
      <c r="D4483" s="140" t="s">
        <v>11</v>
      </c>
      <c r="E4483" s="140" t="s">
        <v>52</v>
      </c>
      <c r="F4483">
        <v>5533</v>
      </c>
      <c r="G4483" s="140" t="s">
        <v>400</v>
      </c>
      <c r="H4483">
        <v>0</v>
      </c>
      <c r="I4483" s="140" t="s">
        <v>17</v>
      </c>
    </row>
    <row r="4484" spans="1:9" hidden="1" x14ac:dyDescent="0.25">
      <c r="A4484">
        <v>2024</v>
      </c>
      <c r="B4484" s="140" t="s">
        <v>399</v>
      </c>
      <c r="C4484" s="140" t="s">
        <v>243</v>
      </c>
      <c r="D4484" s="140" t="s">
        <v>11</v>
      </c>
      <c r="E4484" s="140" t="s">
        <v>52</v>
      </c>
      <c r="F4484">
        <v>5356</v>
      </c>
      <c r="G4484" s="140" t="s">
        <v>400</v>
      </c>
      <c r="H4484">
        <v>0</v>
      </c>
      <c r="I4484" s="140" t="s">
        <v>17</v>
      </c>
    </row>
    <row r="4485" spans="1:9" hidden="1" x14ac:dyDescent="0.25">
      <c r="A4485">
        <v>2025</v>
      </c>
      <c r="B4485" s="140" t="s">
        <v>399</v>
      </c>
      <c r="C4485" s="140" t="s">
        <v>243</v>
      </c>
      <c r="D4485" s="140" t="s">
        <v>11</v>
      </c>
      <c r="E4485" s="140" t="s">
        <v>52</v>
      </c>
      <c r="F4485">
        <v>6483</v>
      </c>
      <c r="G4485" s="140" t="s">
        <v>400</v>
      </c>
      <c r="H4485">
        <v>0</v>
      </c>
      <c r="I4485" s="140" t="s">
        <v>17</v>
      </c>
    </row>
    <row r="4486" spans="1:9" hidden="1" x14ac:dyDescent="0.25">
      <c r="A4486">
        <v>2026</v>
      </c>
      <c r="B4486" s="140" t="s">
        <v>399</v>
      </c>
      <c r="C4486" s="140" t="s">
        <v>243</v>
      </c>
      <c r="D4486" s="140" t="s">
        <v>11</v>
      </c>
      <c r="E4486" s="140" t="s">
        <v>52</v>
      </c>
      <c r="F4486">
        <v>6807.15</v>
      </c>
      <c r="G4486" s="140" t="s">
        <v>400</v>
      </c>
      <c r="H4486">
        <v>0</v>
      </c>
      <c r="I4486" s="140" t="s">
        <v>17</v>
      </c>
    </row>
    <row r="4487" spans="1:9" hidden="1" x14ac:dyDescent="0.25">
      <c r="A4487">
        <v>2027</v>
      </c>
      <c r="B4487" s="140" t="s">
        <v>399</v>
      </c>
      <c r="C4487" s="140" t="s">
        <v>243</v>
      </c>
      <c r="D4487" s="140" t="s">
        <v>11</v>
      </c>
      <c r="E4487" s="140" t="s">
        <v>52</v>
      </c>
      <c r="F4487">
        <v>7011.3644999999997</v>
      </c>
      <c r="G4487" s="140" t="s">
        <v>400</v>
      </c>
      <c r="H4487">
        <v>0</v>
      </c>
      <c r="I4487" s="140" t="s">
        <v>17</v>
      </c>
    </row>
    <row r="4488" spans="1:9" hidden="1" x14ac:dyDescent="0.25">
      <c r="A4488">
        <v>2028</v>
      </c>
      <c r="B4488" s="140" t="s">
        <v>399</v>
      </c>
      <c r="C4488" s="140" t="s">
        <v>243</v>
      </c>
      <c r="D4488" s="140" t="s">
        <v>11</v>
      </c>
      <c r="E4488" s="140" t="s">
        <v>52</v>
      </c>
      <c r="F4488">
        <v>7221.7054349999999</v>
      </c>
      <c r="G4488" s="140" t="s">
        <v>400</v>
      </c>
      <c r="H4488">
        <v>0</v>
      </c>
      <c r="I4488" s="140" t="s">
        <v>17</v>
      </c>
    </row>
    <row r="4489" spans="1:9" hidden="1" x14ac:dyDescent="0.25">
      <c r="A4489">
        <v>1990</v>
      </c>
      <c r="B4489" s="140" t="s">
        <v>401</v>
      </c>
      <c r="C4489" s="140" t="s">
        <v>243</v>
      </c>
      <c r="D4489" s="140" t="s">
        <v>11</v>
      </c>
      <c r="E4489" s="140" t="s">
        <v>52</v>
      </c>
      <c r="F4489">
        <v>668</v>
      </c>
      <c r="G4489" s="140" t="s">
        <v>402</v>
      </c>
      <c r="H4489">
        <v>0</v>
      </c>
      <c r="I4489" s="140" t="s">
        <v>17</v>
      </c>
    </row>
    <row r="4490" spans="1:9" hidden="1" x14ac:dyDescent="0.25">
      <c r="A4490">
        <v>1991</v>
      </c>
      <c r="B4490" s="140" t="s">
        <v>401</v>
      </c>
      <c r="C4490" s="140" t="s">
        <v>243</v>
      </c>
      <c r="D4490" s="140" t="s">
        <v>11</v>
      </c>
      <c r="E4490" s="140" t="s">
        <v>52</v>
      </c>
      <c r="F4490">
        <v>576</v>
      </c>
      <c r="G4490" s="140" t="s">
        <v>402</v>
      </c>
      <c r="H4490">
        <v>0</v>
      </c>
      <c r="I4490" s="140" t="s">
        <v>17</v>
      </c>
    </row>
    <row r="4491" spans="1:9" hidden="1" x14ac:dyDescent="0.25">
      <c r="A4491">
        <v>1992</v>
      </c>
      <c r="B4491" s="140" t="s">
        <v>401</v>
      </c>
      <c r="C4491" s="140" t="s">
        <v>243</v>
      </c>
      <c r="D4491" s="140" t="s">
        <v>11</v>
      </c>
      <c r="E4491" s="140" t="s">
        <v>52</v>
      </c>
      <c r="F4491">
        <v>563</v>
      </c>
      <c r="G4491" s="140" t="s">
        <v>402</v>
      </c>
      <c r="H4491">
        <v>0</v>
      </c>
      <c r="I4491" s="140" t="s">
        <v>17</v>
      </c>
    </row>
    <row r="4492" spans="1:9" hidden="1" x14ac:dyDescent="0.25">
      <c r="A4492">
        <v>1993</v>
      </c>
      <c r="B4492" s="140" t="s">
        <v>401</v>
      </c>
      <c r="C4492" s="140" t="s">
        <v>243</v>
      </c>
      <c r="D4492" s="140" t="s">
        <v>11</v>
      </c>
      <c r="E4492" s="140" t="s">
        <v>52</v>
      </c>
      <c r="F4492">
        <v>723</v>
      </c>
      <c r="G4492" s="140" t="s">
        <v>402</v>
      </c>
      <c r="H4492">
        <v>0</v>
      </c>
      <c r="I4492" s="140" t="s">
        <v>17</v>
      </c>
    </row>
    <row r="4493" spans="1:9" hidden="1" x14ac:dyDescent="0.25">
      <c r="A4493">
        <v>1994</v>
      </c>
      <c r="B4493" s="140" t="s">
        <v>401</v>
      </c>
      <c r="C4493" s="140" t="s">
        <v>243</v>
      </c>
      <c r="D4493" s="140" t="s">
        <v>11</v>
      </c>
      <c r="E4493" s="140" t="s">
        <v>52</v>
      </c>
      <c r="F4493">
        <v>1003</v>
      </c>
      <c r="G4493" s="140" t="s">
        <v>402</v>
      </c>
      <c r="H4493">
        <v>0</v>
      </c>
      <c r="I4493" s="140" t="s">
        <v>17</v>
      </c>
    </row>
    <row r="4494" spans="1:9" hidden="1" x14ac:dyDescent="0.25">
      <c r="A4494">
        <v>1995</v>
      </c>
      <c r="B4494" s="140" t="s">
        <v>401</v>
      </c>
      <c r="C4494" s="140" t="s">
        <v>243</v>
      </c>
      <c r="D4494" s="140" t="s">
        <v>11</v>
      </c>
      <c r="E4494" s="140" t="s">
        <v>52</v>
      </c>
      <c r="F4494">
        <v>1324</v>
      </c>
      <c r="G4494" s="140" t="s">
        <v>402</v>
      </c>
      <c r="H4494">
        <v>0</v>
      </c>
      <c r="I4494" s="140" t="s">
        <v>17</v>
      </c>
    </row>
    <row r="4495" spans="1:9" hidden="1" x14ac:dyDescent="0.25">
      <c r="A4495">
        <v>1996</v>
      </c>
      <c r="B4495" s="140" t="s">
        <v>401</v>
      </c>
      <c r="C4495" s="140" t="s">
        <v>243</v>
      </c>
      <c r="D4495" s="140" t="s">
        <v>11</v>
      </c>
      <c r="E4495" s="140" t="s">
        <v>52</v>
      </c>
      <c r="F4495">
        <v>1568</v>
      </c>
      <c r="G4495" s="140" t="s">
        <v>402</v>
      </c>
      <c r="H4495">
        <v>0</v>
      </c>
      <c r="I4495" s="140" t="s">
        <v>17</v>
      </c>
    </row>
    <row r="4496" spans="1:9" hidden="1" x14ac:dyDescent="0.25">
      <c r="A4496">
        <v>1997</v>
      </c>
      <c r="B4496" s="140" t="s">
        <v>401</v>
      </c>
      <c r="C4496" s="140" t="s">
        <v>243</v>
      </c>
      <c r="D4496" s="140" t="s">
        <v>11</v>
      </c>
      <c r="E4496" s="140" t="s">
        <v>52</v>
      </c>
      <c r="F4496">
        <v>1826</v>
      </c>
      <c r="G4496" s="140" t="s">
        <v>402</v>
      </c>
      <c r="H4496">
        <v>0</v>
      </c>
      <c r="I4496" s="140" t="s">
        <v>17</v>
      </c>
    </row>
    <row r="4497" spans="1:9" hidden="1" x14ac:dyDescent="0.25">
      <c r="A4497">
        <v>1998</v>
      </c>
      <c r="B4497" s="140" t="s">
        <v>401</v>
      </c>
      <c r="C4497" s="140" t="s">
        <v>243</v>
      </c>
      <c r="D4497" s="140" t="s">
        <v>11</v>
      </c>
      <c r="E4497" s="140" t="s">
        <v>52</v>
      </c>
      <c r="F4497">
        <v>2037</v>
      </c>
      <c r="G4497" s="140" t="s">
        <v>402</v>
      </c>
      <c r="H4497">
        <v>0</v>
      </c>
      <c r="I4497" s="140" t="s">
        <v>17</v>
      </c>
    </row>
    <row r="4498" spans="1:9" hidden="1" x14ac:dyDescent="0.25">
      <c r="A4498">
        <v>1999</v>
      </c>
      <c r="B4498" s="140" t="s">
        <v>401</v>
      </c>
      <c r="C4498" s="140" t="s">
        <v>243</v>
      </c>
      <c r="D4498" s="140" t="s">
        <v>11</v>
      </c>
      <c r="E4498" s="140" t="s">
        <v>52</v>
      </c>
      <c r="F4498">
        <v>2326</v>
      </c>
      <c r="G4498" s="140" t="s">
        <v>402</v>
      </c>
      <c r="H4498">
        <v>0</v>
      </c>
      <c r="I4498" s="140" t="s">
        <v>17</v>
      </c>
    </row>
    <row r="4499" spans="1:9" hidden="1" x14ac:dyDescent="0.25">
      <c r="A4499">
        <v>2000</v>
      </c>
      <c r="B4499" s="140" t="s">
        <v>401</v>
      </c>
      <c r="C4499" s="140" t="s">
        <v>243</v>
      </c>
      <c r="D4499" s="140" t="s">
        <v>11</v>
      </c>
      <c r="E4499" s="140" t="s">
        <v>52</v>
      </c>
      <c r="F4499">
        <v>2653</v>
      </c>
      <c r="G4499" s="140" t="s">
        <v>402</v>
      </c>
      <c r="H4499">
        <v>0</v>
      </c>
      <c r="I4499" s="140" t="s">
        <v>17</v>
      </c>
    </row>
    <row r="4500" spans="1:9" hidden="1" x14ac:dyDescent="0.25">
      <c r="A4500">
        <v>2001</v>
      </c>
      <c r="B4500" s="140" t="s">
        <v>401</v>
      </c>
      <c r="C4500" s="140" t="s">
        <v>243</v>
      </c>
      <c r="D4500" s="140" t="s">
        <v>11</v>
      </c>
      <c r="E4500" s="140" t="s">
        <v>52</v>
      </c>
      <c r="F4500">
        <v>2898</v>
      </c>
      <c r="G4500" s="140" t="s">
        <v>402</v>
      </c>
      <c r="H4500">
        <v>0</v>
      </c>
      <c r="I4500" s="140" t="s">
        <v>17</v>
      </c>
    </row>
    <row r="4501" spans="1:9" hidden="1" x14ac:dyDescent="0.25">
      <c r="A4501">
        <v>2002</v>
      </c>
      <c r="B4501" s="140" t="s">
        <v>401</v>
      </c>
      <c r="C4501" s="140" t="s">
        <v>243</v>
      </c>
      <c r="D4501" s="140" t="s">
        <v>11</v>
      </c>
      <c r="E4501" s="140" t="s">
        <v>52</v>
      </c>
      <c r="F4501">
        <v>3122</v>
      </c>
      <c r="G4501" s="140" t="s">
        <v>402</v>
      </c>
      <c r="H4501">
        <v>0</v>
      </c>
      <c r="I4501" s="140" t="s">
        <v>17</v>
      </c>
    </row>
    <row r="4502" spans="1:9" hidden="1" x14ac:dyDescent="0.25">
      <c r="A4502">
        <v>2003</v>
      </c>
      <c r="B4502" s="140" t="s">
        <v>401</v>
      </c>
      <c r="C4502" s="140" t="s">
        <v>243</v>
      </c>
      <c r="D4502" s="140" t="s">
        <v>11</v>
      </c>
      <c r="E4502" s="140" t="s">
        <v>52</v>
      </c>
      <c r="F4502">
        <v>3438</v>
      </c>
      <c r="G4502" s="140" t="s">
        <v>402</v>
      </c>
      <c r="H4502">
        <v>0</v>
      </c>
      <c r="I4502" s="140" t="s">
        <v>17</v>
      </c>
    </row>
    <row r="4503" spans="1:9" hidden="1" x14ac:dyDescent="0.25">
      <c r="A4503">
        <v>2004</v>
      </c>
      <c r="B4503" s="140" t="s">
        <v>401</v>
      </c>
      <c r="C4503" s="140" t="s">
        <v>243</v>
      </c>
      <c r="D4503" s="140" t="s">
        <v>11</v>
      </c>
      <c r="E4503" s="140" t="s">
        <v>52</v>
      </c>
      <c r="F4503">
        <v>3700</v>
      </c>
      <c r="G4503" s="140" t="s">
        <v>402</v>
      </c>
      <c r="H4503">
        <v>0</v>
      </c>
      <c r="I4503" s="140" t="s">
        <v>17</v>
      </c>
    </row>
    <row r="4504" spans="1:9" hidden="1" x14ac:dyDescent="0.25">
      <c r="A4504">
        <v>2005</v>
      </c>
      <c r="B4504" s="140" t="s">
        <v>401</v>
      </c>
      <c r="C4504" s="140" t="s">
        <v>243</v>
      </c>
      <c r="D4504" s="140" t="s">
        <v>11</v>
      </c>
      <c r="E4504" s="140" t="s">
        <v>52</v>
      </c>
      <c r="F4504">
        <v>3934</v>
      </c>
      <c r="G4504" s="140" t="s">
        <v>402</v>
      </c>
      <c r="H4504">
        <v>0</v>
      </c>
      <c r="I4504" s="140" t="s">
        <v>17</v>
      </c>
    </row>
    <row r="4505" spans="1:9" hidden="1" x14ac:dyDescent="0.25">
      <c r="A4505">
        <v>2006</v>
      </c>
      <c r="B4505" s="140" t="s">
        <v>401</v>
      </c>
      <c r="C4505" s="140" t="s">
        <v>243</v>
      </c>
      <c r="D4505" s="140" t="s">
        <v>11</v>
      </c>
      <c r="E4505" s="140" t="s">
        <v>52</v>
      </c>
      <c r="F4505">
        <v>4196</v>
      </c>
      <c r="G4505" s="140" t="s">
        <v>402</v>
      </c>
      <c r="H4505">
        <v>0</v>
      </c>
      <c r="I4505" s="140" t="s">
        <v>17</v>
      </c>
    </row>
    <row r="4506" spans="1:9" hidden="1" x14ac:dyDescent="0.25">
      <c r="A4506">
        <v>2007</v>
      </c>
      <c r="B4506" s="140" t="s">
        <v>401</v>
      </c>
      <c r="C4506" s="140" t="s">
        <v>243</v>
      </c>
      <c r="D4506" s="140" t="s">
        <v>11</v>
      </c>
      <c r="E4506" s="140" t="s">
        <v>52</v>
      </c>
      <c r="F4506">
        <v>3997</v>
      </c>
      <c r="G4506" s="140" t="s">
        <v>402</v>
      </c>
      <c r="H4506">
        <v>0</v>
      </c>
      <c r="I4506" s="140" t="s">
        <v>17</v>
      </c>
    </row>
    <row r="4507" spans="1:9" hidden="1" x14ac:dyDescent="0.25">
      <c r="A4507">
        <v>2008</v>
      </c>
      <c r="B4507" s="140" t="s">
        <v>401</v>
      </c>
      <c r="C4507" s="140" t="s">
        <v>243</v>
      </c>
      <c r="D4507" s="140" t="s">
        <v>11</v>
      </c>
      <c r="E4507" s="140" t="s">
        <v>52</v>
      </c>
      <c r="F4507">
        <v>4212</v>
      </c>
      <c r="G4507" s="140" t="s">
        <v>402</v>
      </c>
      <c r="H4507">
        <v>0</v>
      </c>
      <c r="I4507" s="140" t="s">
        <v>17</v>
      </c>
    </row>
    <row r="4508" spans="1:9" hidden="1" x14ac:dyDescent="0.25">
      <c r="A4508">
        <v>2009</v>
      </c>
      <c r="B4508" s="140" t="s">
        <v>401</v>
      </c>
      <c r="C4508" s="140" t="s">
        <v>243</v>
      </c>
      <c r="D4508" s="140" t="s">
        <v>11</v>
      </c>
      <c r="E4508" s="140" t="s">
        <v>52</v>
      </c>
      <c r="F4508">
        <v>4808</v>
      </c>
      <c r="G4508" s="140" t="s">
        <v>402</v>
      </c>
      <c r="H4508">
        <v>0</v>
      </c>
      <c r="I4508" s="140" t="s">
        <v>17</v>
      </c>
    </row>
    <row r="4509" spans="1:9" hidden="1" x14ac:dyDescent="0.25">
      <c r="A4509">
        <v>2010</v>
      </c>
      <c r="B4509" s="140" t="s">
        <v>401</v>
      </c>
      <c r="C4509" s="140" t="s">
        <v>243</v>
      </c>
      <c r="D4509" s="140" t="s">
        <v>11</v>
      </c>
      <c r="E4509" s="140" t="s">
        <v>52</v>
      </c>
      <c r="F4509">
        <v>5043</v>
      </c>
      <c r="G4509" s="140" t="s">
        <v>402</v>
      </c>
      <c r="H4509">
        <v>0</v>
      </c>
      <c r="I4509" s="140" t="s">
        <v>17</v>
      </c>
    </row>
    <row r="4510" spans="1:9" hidden="1" x14ac:dyDescent="0.25">
      <c r="A4510">
        <v>2011</v>
      </c>
      <c r="B4510" s="140" t="s">
        <v>401</v>
      </c>
      <c r="C4510" s="140" t="s">
        <v>243</v>
      </c>
      <c r="D4510" s="140" t="s">
        <v>11</v>
      </c>
      <c r="E4510" s="140" t="s">
        <v>52</v>
      </c>
      <c r="F4510">
        <v>5095</v>
      </c>
      <c r="G4510" s="140" t="s">
        <v>402</v>
      </c>
      <c r="H4510">
        <v>0</v>
      </c>
      <c r="I4510" s="140" t="s">
        <v>17</v>
      </c>
    </row>
    <row r="4511" spans="1:9" hidden="1" x14ac:dyDescent="0.25">
      <c r="A4511">
        <v>2012</v>
      </c>
      <c r="B4511" s="140" t="s">
        <v>401</v>
      </c>
      <c r="C4511" s="140" t="s">
        <v>243</v>
      </c>
      <c r="D4511" s="140" t="s">
        <v>11</v>
      </c>
      <c r="E4511" s="140" t="s">
        <v>52</v>
      </c>
      <c r="F4511">
        <v>5484</v>
      </c>
      <c r="G4511" s="140" t="s">
        <v>402</v>
      </c>
      <c r="H4511">
        <v>0</v>
      </c>
      <c r="I4511" s="140" t="s">
        <v>17</v>
      </c>
    </row>
    <row r="4512" spans="1:9" hidden="1" x14ac:dyDescent="0.25">
      <c r="A4512">
        <v>2013</v>
      </c>
      <c r="B4512" s="140" t="s">
        <v>401</v>
      </c>
      <c r="C4512" s="140" t="s">
        <v>243</v>
      </c>
      <c r="D4512" s="140" t="s">
        <v>11</v>
      </c>
      <c r="E4512" s="140" t="s">
        <v>52</v>
      </c>
      <c r="F4512">
        <v>5143</v>
      </c>
      <c r="G4512" s="140" t="s">
        <v>402</v>
      </c>
      <c r="H4512">
        <v>0</v>
      </c>
      <c r="I4512" s="140" t="s">
        <v>17</v>
      </c>
    </row>
    <row r="4513" spans="1:9" hidden="1" x14ac:dyDescent="0.25">
      <c r="A4513">
        <v>2014</v>
      </c>
      <c r="B4513" s="140" t="s">
        <v>401</v>
      </c>
      <c r="C4513" s="140" t="s">
        <v>243</v>
      </c>
      <c r="D4513" s="140" t="s">
        <v>11</v>
      </c>
      <c r="E4513" s="140" t="s">
        <v>52</v>
      </c>
      <c r="F4513">
        <v>5126</v>
      </c>
      <c r="G4513" s="140" t="s">
        <v>402</v>
      </c>
      <c r="H4513">
        <v>0</v>
      </c>
      <c r="I4513" s="140" t="s">
        <v>17</v>
      </c>
    </row>
    <row r="4514" spans="1:9" hidden="1" x14ac:dyDescent="0.25">
      <c r="A4514">
        <v>2015</v>
      </c>
      <c r="B4514" s="140" t="s">
        <v>401</v>
      </c>
      <c r="C4514" s="140" t="s">
        <v>243</v>
      </c>
      <c r="D4514" s="140" t="s">
        <v>11</v>
      </c>
      <c r="E4514" s="140" t="s">
        <v>52</v>
      </c>
      <c r="F4514">
        <v>5351</v>
      </c>
      <c r="G4514" s="140" t="s">
        <v>402</v>
      </c>
      <c r="H4514">
        <v>0</v>
      </c>
      <c r="I4514" s="140" t="s">
        <v>17</v>
      </c>
    </row>
    <row r="4515" spans="1:9" hidden="1" x14ac:dyDescent="0.25">
      <c r="A4515">
        <v>2016</v>
      </c>
      <c r="B4515" s="140" t="s">
        <v>401</v>
      </c>
      <c r="C4515" s="140" t="s">
        <v>243</v>
      </c>
      <c r="D4515" s="140" t="s">
        <v>11</v>
      </c>
      <c r="E4515" s="140" t="s">
        <v>52</v>
      </c>
      <c r="F4515">
        <v>5362</v>
      </c>
      <c r="G4515" s="140" t="s">
        <v>402</v>
      </c>
      <c r="H4515">
        <v>0</v>
      </c>
      <c r="I4515" s="140" t="s">
        <v>17</v>
      </c>
    </row>
    <row r="4516" spans="1:9" hidden="1" x14ac:dyDescent="0.25">
      <c r="A4516">
        <v>2017</v>
      </c>
      <c r="B4516" s="140" t="s">
        <v>401</v>
      </c>
      <c r="C4516" s="140" t="s">
        <v>243</v>
      </c>
      <c r="D4516" s="140" t="s">
        <v>11</v>
      </c>
      <c r="E4516" s="140" t="s">
        <v>52</v>
      </c>
      <c r="F4516">
        <v>5685</v>
      </c>
      <c r="G4516" s="140" t="s">
        <v>402</v>
      </c>
      <c r="H4516">
        <v>0</v>
      </c>
      <c r="I4516" s="140" t="s">
        <v>17</v>
      </c>
    </row>
    <row r="4517" spans="1:9" hidden="1" x14ac:dyDescent="0.25">
      <c r="A4517">
        <v>2018</v>
      </c>
      <c r="B4517" s="140" t="s">
        <v>401</v>
      </c>
      <c r="C4517" s="140" t="s">
        <v>243</v>
      </c>
      <c r="D4517" s="140" t="s">
        <v>11</v>
      </c>
      <c r="E4517" s="140" t="s">
        <v>52</v>
      </c>
      <c r="F4517">
        <v>5716</v>
      </c>
      <c r="G4517" s="140" t="s">
        <v>402</v>
      </c>
      <c r="H4517">
        <v>0</v>
      </c>
      <c r="I4517" s="140" t="s">
        <v>17</v>
      </c>
    </row>
    <row r="4518" spans="1:9" hidden="1" x14ac:dyDescent="0.25">
      <c r="A4518">
        <v>2019</v>
      </c>
      <c r="B4518" s="140" t="s">
        <v>401</v>
      </c>
      <c r="C4518" s="140" t="s">
        <v>243</v>
      </c>
      <c r="D4518" s="140" t="s">
        <v>11</v>
      </c>
      <c r="E4518" s="140" t="s">
        <v>52</v>
      </c>
      <c r="F4518">
        <v>5751</v>
      </c>
      <c r="G4518" s="140" t="s">
        <v>402</v>
      </c>
      <c r="H4518">
        <v>0</v>
      </c>
      <c r="I4518" s="140" t="s">
        <v>17</v>
      </c>
    </row>
    <row r="4519" spans="1:9" hidden="1" x14ac:dyDescent="0.25">
      <c r="A4519">
        <v>2020</v>
      </c>
      <c r="B4519" s="140" t="s">
        <v>401</v>
      </c>
      <c r="C4519" s="140" t="s">
        <v>243</v>
      </c>
      <c r="D4519" s="140" t="s">
        <v>11</v>
      </c>
      <c r="E4519" s="140" t="s">
        <v>52</v>
      </c>
      <c r="F4519">
        <v>5731</v>
      </c>
      <c r="G4519" s="140" t="s">
        <v>402</v>
      </c>
      <c r="H4519">
        <v>0</v>
      </c>
      <c r="I4519" s="140" t="s">
        <v>17</v>
      </c>
    </row>
    <row r="4520" spans="1:9" hidden="1" x14ac:dyDescent="0.25">
      <c r="A4520">
        <v>2021</v>
      </c>
      <c r="B4520" s="140" t="s">
        <v>401</v>
      </c>
      <c r="C4520" s="140" t="s">
        <v>243</v>
      </c>
      <c r="D4520" s="140" t="s">
        <v>11</v>
      </c>
      <c r="E4520" s="140" t="s">
        <v>52</v>
      </c>
      <c r="F4520">
        <v>6009</v>
      </c>
      <c r="G4520" s="140" t="s">
        <v>402</v>
      </c>
      <c r="H4520">
        <v>0</v>
      </c>
      <c r="I4520" s="140" t="s">
        <v>17</v>
      </c>
    </row>
    <row r="4521" spans="1:9" hidden="1" x14ac:dyDescent="0.25">
      <c r="A4521">
        <v>2022</v>
      </c>
      <c r="B4521" s="140" t="s">
        <v>401</v>
      </c>
      <c r="C4521" s="140" t="s">
        <v>243</v>
      </c>
      <c r="D4521" s="140" t="s">
        <v>11</v>
      </c>
      <c r="E4521" s="140" t="s">
        <v>52</v>
      </c>
      <c r="F4521">
        <v>5774</v>
      </c>
      <c r="G4521" s="140" t="s">
        <v>402</v>
      </c>
      <c r="H4521">
        <v>0</v>
      </c>
      <c r="I4521" s="140" t="s">
        <v>17</v>
      </c>
    </row>
    <row r="4522" spans="1:9" hidden="1" x14ac:dyDescent="0.25">
      <c r="A4522">
        <v>2023</v>
      </c>
      <c r="B4522" s="140" t="s">
        <v>401</v>
      </c>
      <c r="C4522" s="140" t="s">
        <v>243</v>
      </c>
      <c r="D4522" s="140" t="s">
        <v>11</v>
      </c>
      <c r="E4522" s="140" t="s">
        <v>52</v>
      </c>
      <c r="F4522">
        <v>4773</v>
      </c>
      <c r="G4522" s="140" t="s">
        <v>402</v>
      </c>
      <c r="H4522">
        <v>0</v>
      </c>
      <c r="I4522" s="140" t="s">
        <v>17</v>
      </c>
    </row>
    <row r="4523" spans="1:9" hidden="1" x14ac:dyDescent="0.25">
      <c r="A4523">
        <v>2024</v>
      </c>
      <c r="B4523" s="140" t="s">
        <v>401</v>
      </c>
      <c r="C4523" s="140" t="s">
        <v>243</v>
      </c>
      <c r="D4523" s="140" t="s">
        <v>11</v>
      </c>
      <c r="E4523" s="140" t="s">
        <v>52</v>
      </c>
      <c r="F4523">
        <v>4717</v>
      </c>
      <c r="G4523" s="140" t="s">
        <v>402</v>
      </c>
      <c r="H4523">
        <v>0</v>
      </c>
      <c r="I4523" s="140" t="s">
        <v>17</v>
      </c>
    </row>
    <row r="4524" spans="1:9" hidden="1" x14ac:dyDescent="0.25">
      <c r="A4524">
        <v>2025</v>
      </c>
      <c r="B4524" s="140" t="s">
        <v>401</v>
      </c>
      <c r="C4524" s="140" t="s">
        <v>243</v>
      </c>
      <c r="D4524" s="140" t="s">
        <v>11</v>
      </c>
      <c r="E4524" s="140" t="s">
        <v>52</v>
      </c>
      <c r="F4524">
        <v>4811</v>
      </c>
      <c r="G4524" s="140" t="s">
        <v>402</v>
      </c>
      <c r="H4524">
        <v>0</v>
      </c>
      <c r="I4524" s="140" t="s">
        <v>17</v>
      </c>
    </row>
    <row r="4525" spans="1:9" hidden="1" x14ac:dyDescent="0.25">
      <c r="A4525">
        <v>2026</v>
      </c>
      <c r="B4525" s="140" t="s">
        <v>401</v>
      </c>
      <c r="C4525" s="140" t="s">
        <v>243</v>
      </c>
      <c r="D4525" s="140" t="s">
        <v>11</v>
      </c>
      <c r="E4525" s="140" t="s">
        <v>52</v>
      </c>
      <c r="F4525">
        <v>5003.4399999999996</v>
      </c>
      <c r="G4525" s="140" t="s">
        <v>402</v>
      </c>
      <c r="H4525">
        <v>0</v>
      </c>
      <c r="I4525" s="140" t="s">
        <v>17</v>
      </c>
    </row>
    <row r="4526" spans="1:9" hidden="1" x14ac:dyDescent="0.25">
      <c r="A4526">
        <v>2027</v>
      </c>
      <c r="B4526" s="140" t="s">
        <v>401</v>
      </c>
      <c r="C4526" s="140" t="s">
        <v>243</v>
      </c>
      <c r="D4526" s="140" t="s">
        <v>11</v>
      </c>
      <c r="E4526" s="140" t="s">
        <v>52</v>
      </c>
      <c r="F4526">
        <v>5253.6120000000001</v>
      </c>
      <c r="G4526" s="140" t="s">
        <v>402</v>
      </c>
      <c r="H4526">
        <v>0</v>
      </c>
      <c r="I4526" s="140" t="s">
        <v>17</v>
      </c>
    </row>
    <row r="4527" spans="1:9" hidden="1" x14ac:dyDescent="0.25">
      <c r="A4527">
        <v>2028</v>
      </c>
      <c r="B4527" s="140" t="s">
        <v>401</v>
      </c>
      <c r="C4527" s="140" t="s">
        <v>243</v>
      </c>
      <c r="D4527" s="140" t="s">
        <v>11</v>
      </c>
      <c r="E4527" s="140" t="s">
        <v>52</v>
      </c>
      <c r="F4527">
        <v>5463.75648</v>
      </c>
      <c r="G4527" s="140" t="s">
        <v>402</v>
      </c>
      <c r="H4527">
        <v>0</v>
      </c>
      <c r="I4527" s="140" t="s">
        <v>17</v>
      </c>
    </row>
    <row r="4528" spans="1:9" hidden="1" x14ac:dyDescent="0.25">
      <c r="A4528">
        <v>1990</v>
      </c>
      <c r="B4528" s="140" t="s">
        <v>403</v>
      </c>
      <c r="C4528" s="140" t="s">
        <v>243</v>
      </c>
      <c r="D4528" s="140" t="s">
        <v>11</v>
      </c>
      <c r="E4528" s="140" t="s">
        <v>52</v>
      </c>
      <c r="F4528">
        <v>13488</v>
      </c>
      <c r="G4528" s="140" t="s">
        <v>404</v>
      </c>
      <c r="H4528">
        <v>0</v>
      </c>
      <c r="I4528" s="140" t="s">
        <v>17</v>
      </c>
    </row>
    <row r="4529" spans="1:9" hidden="1" x14ac:dyDescent="0.25">
      <c r="A4529">
        <v>1991</v>
      </c>
      <c r="B4529" s="140" t="s">
        <v>403</v>
      </c>
      <c r="C4529" s="140" t="s">
        <v>243</v>
      </c>
      <c r="D4529" s="140" t="s">
        <v>11</v>
      </c>
      <c r="E4529" s="140" t="s">
        <v>52</v>
      </c>
      <c r="F4529">
        <v>15966</v>
      </c>
      <c r="G4529" s="140" t="s">
        <v>404</v>
      </c>
      <c r="H4529">
        <v>0</v>
      </c>
      <c r="I4529" s="140" t="s">
        <v>17</v>
      </c>
    </row>
    <row r="4530" spans="1:9" hidden="1" x14ac:dyDescent="0.25">
      <c r="A4530">
        <v>1992</v>
      </c>
      <c r="B4530" s="140" t="s">
        <v>403</v>
      </c>
      <c r="C4530" s="140" t="s">
        <v>243</v>
      </c>
      <c r="D4530" s="140" t="s">
        <v>11</v>
      </c>
      <c r="E4530" s="140" t="s">
        <v>52</v>
      </c>
      <c r="F4530">
        <v>18799</v>
      </c>
      <c r="G4530" s="140" t="s">
        <v>404</v>
      </c>
      <c r="H4530">
        <v>0</v>
      </c>
      <c r="I4530" s="140" t="s">
        <v>17</v>
      </c>
    </row>
    <row r="4531" spans="1:9" hidden="1" x14ac:dyDescent="0.25">
      <c r="A4531">
        <v>1993</v>
      </c>
      <c r="B4531" s="140" t="s">
        <v>403</v>
      </c>
      <c r="C4531" s="140" t="s">
        <v>243</v>
      </c>
      <c r="D4531" s="140" t="s">
        <v>11</v>
      </c>
      <c r="E4531" s="140" t="s">
        <v>52</v>
      </c>
      <c r="F4531">
        <v>20210</v>
      </c>
      <c r="G4531" s="140" t="s">
        <v>404</v>
      </c>
      <c r="H4531">
        <v>0</v>
      </c>
      <c r="I4531" s="140" t="s">
        <v>17</v>
      </c>
    </row>
    <row r="4532" spans="1:9" hidden="1" x14ac:dyDescent="0.25">
      <c r="A4532">
        <v>1994</v>
      </c>
      <c r="B4532" s="140" t="s">
        <v>403</v>
      </c>
      <c r="C4532" s="140" t="s">
        <v>243</v>
      </c>
      <c r="D4532" s="140" t="s">
        <v>11</v>
      </c>
      <c r="E4532" s="140" t="s">
        <v>52</v>
      </c>
      <c r="F4532">
        <v>21298</v>
      </c>
      <c r="G4532" s="140" t="s">
        <v>404</v>
      </c>
      <c r="H4532">
        <v>0</v>
      </c>
      <c r="I4532" s="140" t="s">
        <v>17</v>
      </c>
    </row>
    <row r="4533" spans="1:9" hidden="1" x14ac:dyDescent="0.25">
      <c r="A4533">
        <v>1995</v>
      </c>
      <c r="B4533" s="140" t="s">
        <v>403</v>
      </c>
      <c r="C4533" s="140" t="s">
        <v>243</v>
      </c>
      <c r="D4533" s="140" t="s">
        <v>11</v>
      </c>
      <c r="E4533" s="140" t="s">
        <v>52</v>
      </c>
      <c r="F4533">
        <v>21502</v>
      </c>
      <c r="G4533" s="140" t="s">
        <v>404</v>
      </c>
      <c r="H4533">
        <v>0</v>
      </c>
      <c r="I4533" s="140" t="s">
        <v>17</v>
      </c>
    </row>
    <row r="4534" spans="1:9" hidden="1" x14ac:dyDescent="0.25">
      <c r="A4534">
        <v>1996</v>
      </c>
      <c r="B4534" s="140" t="s">
        <v>403</v>
      </c>
      <c r="C4534" s="140" t="s">
        <v>243</v>
      </c>
      <c r="D4534" s="140" t="s">
        <v>11</v>
      </c>
      <c r="E4534" s="140" t="s">
        <v>52</v>
      </c>
      <c r="F4534">
        <v>21598</v>
      </c>
      <c r="G4534" s="140" t="s">
        <v>404</v>
      </c>
      <c r="H4534">
        <v>0</v>
      </c>
      <c r="I4534" s="140" t="s">
        <v>17</v>
      </c>
    </row>
    <row r="4535" spans="1:9" hidden="1" x14ac:dyDescent="0.25">
      <c r="A4535">
        <v>1997</v>
      </c>
      <c r="B4535" s="140" t="s">
        <v>403</v>
      </c>
      <c r="C4535" s="140" t="s">
        <v>243</v>
      </c>
      <c r="D4535" s="140" t="s">
        <v>11</v>
      </c>
      <c r="E4535" s="140" t="s">
        <v>52</v>
      </c>
      <c r="F4535">
        <v>21648</v>
      </c>
      <c r="G4535" s="140" t="s">
        <v>404</v>
      </c>
      <c r="H4535">
        <v>0</v>
      </c>
      <c r="I4535" s="140" t="s">
        <v>17</v>
      </c>
    </row>
    <row r="4536" spans="1:9" hidden="1" x14ac:dyDescent="0.25">
      <c r="A4536">
        <v>1998</v>
      </c>
      <c r="B4536" s="140" t="s">
        <v>403</v>
      </c>
      <c r="C4536" s="140" t="s">
        <v>243</v>
      </c>
      <c r="D4536" s="140" t="s">
        <v>11</v>
      </c>
      <c r="E4536" s="140" t="s">
        <v>52</v>
      </c>
      <c r="F4536">
        <v>21876</v>
      </c>
      <c r="G4536" s="140" t="s">
        <v>404</v>
      </c>
      <c r="H4536">
        <v>0</v>
      </c>
      <c r="I4536" s="140" t="s">
        <v>17</v>
      </c>
    </row>
    <row r="4537" spans="1:9" hidden="1" x14ac:dyDescent="0.25">
      <c r="A4537">
        <v>1999</v>
      </c>
      <c r="B4537" s="140" t="s">
        <v>403</v>
      </c>
      <c r="C4537" s="140" t="s">
        <v>243</v>
      </c>
      <c r="D4537" s="140" t="s">
        <v>11</v>
      </c>
      <c r="E4537" s="140" t="s">
        <v>52</v>
      </c>
      <c r="F4537">
        <v>22128</v>
      </c>
      <c r="G4537" s="140" t="s">
        <v>404</v>
      </c>
      <c r="H4537">
        <v>0</v>
      </c>
      <c r="I4537" s="140" t="s">
        <v>17</v>
      </c>
    </row>
    <row r="4538" spans="1:9" hidden="1" x14ac:dyDescent="0.25">
      <c r="A4538">
        <v>2000</v>
      </c>
      <c r="B4538" s="140" t="s">
        <v>403</v>
      </c>
      <c r="C4538" s="140" t="s">
        <v>243</v>
      </c>
      <c r="D4538" s="140" t="s">
        <v>11</v>
      </c>
      <c r="E4538" s="140" t="s">
        <v>52</v>
      </c>
      <c r="F4538">
        <v>22348</v>
      </c>
      <c r="G4538" s="140" t="s">
        <v>404</v>
      </c>
      <c r="H4538">
        <v>0</v>
      </c>
      <c r="I4538" s="140" t="s">
        <v>17</v>
      </c>
    </row>
    <row r="4539" spans="1:9" hidden="1" x14ac:dyDescent="0.25">
      <c r="A4539">
        <v>2001</v>
      </c>
      <c r="B4539" s="140" t="s">
        <v>403</v>
      </c>
      <c r="C4539" s="140" t="s">
        <v>243</v>
      </c>
      <c r="D4539" s="140" t="s">
        <v>11</v>
      </c>
      <c r="E4539" s="140" t="s">
        <v>52</v>
      </c>
      <c r="F4539">
        <v>23008</v>
      </c>
      <c r="G4539" s="140" t="s">
        <v>404</v>
      </c>
      <c r="H4539">
        <v>0</v>
      </c>
      <c r="I4539" s="140" t="s">
        <v>17</v>
      </c>
    </row>
    <row r="4540" spans="1:9" hidden="1" x14ac:dyDescent="0.25">
      <c r="A4540">
        <v>2002</v>
      </c>
      <c r="B4540" s="140" t="s">
        <v>403</v>
      </c>
      <c r="C4540" s="140" t="s">
        <v>243</v>
      </c>
      <c r="D4540" s="140" t="s">
        <v>11</v>
      </c>
      <c r="E4540" s="140" t="s">
        <v>52</v>
      </c>
      <c r="F4540">
        <v>24358</v>
      </c>
      <c r="G4540" s="140" t="s">
        <v>404</v>
      </c>
      <c r="H4540">
        <v>0</v>
      </c>
      <c r="I4540" s="140" t="s">
        <v>17</v>
      </c>
    </row>
    <row r="4541" spans="1:9" hidden="1" x14ac:dyDescent="0.25">
      <c r="A4541">
        <v>2003</v>
      </c>
      <c r="B4541" s="140" t="s">
        <v>403</v>
      </c>
      <c r="C4541" s="140" t="s">
        <v>243</v>
      </c>
      <c r="D4541" s="140" t="s">
        <v>11</v>
      </c>
      <c r="E4541" s="140" t="s">
        <v>52</v>
      </c>
      <c r="F4541">
        <v>25372</v>
      </c>
      <c r="G4541" s="140" t="s">
        <v>404</v>
      </c>
      <c r="H4541">
        <v>0</v>
      </c>
      <c r="I4541" s="140" t="s">
        <v>17</v>
      </c>
    </row>
    <row r="4542" spans="1:9" hidden="1" x14ac:dyDescent="0.25">
      <c r="A4542">
        <v>2004</v>
      </c>
      <c r="B4542" s="140" t="s">
        <v>403</v>
      </c>
      <c r="C4542" s="140" t="s">
        <v>243</v>
      </c>
      <c r="D4542" s="140" t="s">
        <v>11</v>
      </c>
      <c r="E4542" s="140" t="s">
        <v>52</v>
      </c>
      <c r="F4542">
        <v>26247</v>
      </c>
      <c r="G4542" s="140" t="s">
        <v>404</v>
      </c>
      <c r="H4542">
        <v>0</v>
      </c>
      <c r="I4542" s="140" t="s">
        <v>17</v>
      </c>
    </row>
    <row r="4543" spans="1:9" hidden="1" x14ac:dyDescent="0.25">
      <c r="A4543">
        <v>2005</v>
      </c>
      <c r="B4543" s="140" t="s">
        <v>403</v>
      </c>
      <c r="C4543" s="140" t="s">
        <v>243</v>
      </c>
      <c r="D4543" s="140" t="s">
        <v>11</v>
      </c>
      <c r="E4543" s="140" t="s">
        <v>52</v>
      </c>
      <c r="F4543">
        <v>26975</v>
      </c>
      <c r="G4543" s="140" t="s">
        <v>404</v>
      </c>
      <c r="H4543">
        <v>0</v>
      </c>
      <c r="I4543" s="140" t="s">
        <v>17</v>
      </c>
    </row>
    <row r="4544" spans="1:9" hidden="1" x14ac:dyDescent="0.25">
      <c r="A4544">
        <v>2006</v>
      </c>
      <c r="B4544" s="140" t="s">
        <v>403</v>
      </c>
      <c r="C4544" s="140" t="s">
        <v>243</v>
      </c>
      <c r="D4544" s="140" t="s">
        <v>11</v>
      </c>
      <c r="E4544" s="140" t="s">
        <v>52</v>
      </c>
      <c r="F4544">
        <v>27605</v>
      </c>
      <c r="G4544" s="140" t="s">
        <v>404</v>
      </c>
      <c r="H4544">
        <v>0</v>
      </c>
      <c r="I4544" s="140" t="s">
        <v>17</v>
      </c>
    </row>
    <row r="4545" spans="1:9" hidden="1" x14ac:dyDescent="0.25">
      <c r="A4545">
        <v>2007</v>
      </c>
      <c r="B4545" s="140" t="s">
        <v>403</v>
      </c>
      <c r="C4545" s="140" t="s">
        <v>243</v>
      </c>
      <c r="D4545" s="140" t="s">
        <v>11</v>
      </c>
      <c r="E4545" s="140" t="s">
        <v>52</v>
      </c>
      <c r="F4545">
        <v>28150</v>
      </c>
      <c r="G4545" s="140" t="s">
        <v>404</v>
      </c>
      <c r="H4545">
        <v>0</v>
      </c>
      <c r="I4545" s="140" t="s">
        <v>17</v>
      </c>
    </row>
    <row r="4546" spans="1:9" hidden="1" x14ac:dyDescent="0.25">
      <c r="A4546">
        <v>2008</v>
      </c>
      <c r="B4546" s="140" t="s">
        <v>403</v>
      </c>
      <c r="C4546" s="140" t="s">
        <v>243</v>
      </c>
      <c r="D4546" s="140" t="s">
        <v>11</v>
      </c>
      <c r="E4546" s="140" t="s">
        <v>52</v>
      </c>
      <c r="F4546">
        <v>29515</v>
      </c>
      <c r="G4546" s="140" t="s">
        <v>404</v>
      </c>
      <c r="H4546">
        <v>0</v>
      </c>
      <c r="I4546" s="140" t="s">
        <v>17</v>
      </c>
    </row>
    <row r="4547" spans="1:9" hidden="1" x14ac:dyDescent="0.25">
      <c r="A4547">
        <v>2009</v>
      </c>
      <c r="B4547" s="140" t="s">
        <v>403</v>
      </c>
      <c r="C4547" s="140" t="s">
        <v>243</v>
      </c>
      <c r="D4547" s="140" t="s">
        <v>11</v>
      </c>
      <c r="E4547" s="140" t="s">
        <v>52</v>
      </c>
      <c r="F4547">
        <v>32394</v>
      </c>
      <c r="G4547" s="140" t="s">
        <v>404</v>
      </c>
      <c r="H4547">
        <v>0</v>
      </c>
      <c r="I4547" s="140" t="s">
        <v>17</v>
      </c>
    </row>
    <row r="4548" spans="1:9" hidden="1" x14ac:dyDescent="0.25">
      <c r="A4548">
        <v>2010</v>
      </c>
      <c r="B4548" s="140" t="s">
        <v>403</v>
      </c>
      <c r="C4548" s="140" t="s">
        <v>243</v>
      </c>
      <c r="D4548" s="140" t="s">
        <v>11</v>
      </c>
      <c r="E4548" s="140" t="s">
        <v>52</v>
      </c>
      <c r="F4548">
        <v>33723</v>
      </c>
      <c r="G4548" s="140" t="s">
        <v>404</v>
      </c>
      <c r="H4548">
        <v>0</v>
      </c>
      <c r="I4548" s="140" t="s">
        <v>17</v>
      </c>
    </row>
    <row r="4549" spans="1:9" hidden="1" x14ac:dyDescent="0.25">
      <c r="A4549">
        <v>2011</v>
      </c>
      <c r="B4549" s="140" t="s">
        <v>403</v>
      </c>
      <c r="C4549" s="140" t="s">
        <v>243</v>
      </c>
      <c r="D4549" s="140" t="s">
        <v>11</v>
      </c>
      <c r="E4549" s="140" t="s">
        <v>52</v>
      </c>
      <c r="F4549">
        <v>35114</v>
      </c>
      <c r="G4549" s="140" t="s">
        <v>404</v>
      </c>
      <c r="H4549">
        <v>0</v>
      </c>
      <c r="I4549" s="140" t="s">
        <v>17</v>
      </c>
    </row>
    <row r="4550" spans="1:9" hidden="1" x14ac:dyDescent="0.25">
      <c r="A4550">
        <v>2012</v>
      </c>
      <c r="B4550" s="140" t="s">
        <v>403</v>
      </c>
      <c r="C4550" s="140" t="s">
        <v>243</v>
      </c>
      <c r="D4550" s="140" t="s">
        <v>11</v>
      </c>
      <c r="E4550" s="140" t="s">
        <v>52</v>
      </c>
      <c r="F4550">
        <v>37235</v>
      </c>
      <c r="G4550" s="140" t="s">
        <v>404</v>
      </c>
      <c r="H4550">
        <v>0</v>
      </c>
      <c r="I4550" s="140" t="s">
        <v>17</v>
      </c>
    </row>
    <row r="4551" spans="1:9" hidden="1" x14ac:dyDescent="0.25">
      <c r="A4551">
        <v>2013</v>
      </c>
      <c r="B4551" s="140" t="s">
        <v>403</v>
      </c>
      <c r="C4551" s="140" t="s">
        <v>243</v>
      </c>
      <c r="D4551" s="140" t="s">
        <v>11</v>
      </c>
      <c r="E4551" s="140" t="s">
        <v>52</v>
      </c>
      <c r="F4551">
        <v>39524</v>
      </c>
      <c r="G4551" s="140" t="s">
        <v>404</v>
      </c>
      <c r="H4551">
        <v>0</v>
      </c>
      <c r="I4551" s="140" t="s">
        <v>17</v>
      </c>
    </row>
    <row r="4552" spans="1:9" hidden="1" x14ac:dyDescent="0.25">
      <c r="A4552">
        <v>2014</v>
      </c>
      <c r="B4552" s="140" t="s">
        <v>403</v>
      </c>
      <c r="C4552" s="140" t="s">
        <v>243</v>
      </c>
      <c r="D4552" s="140" t="s">
        <v>11</v>
      </c>
      <c r="E4552" s="140" t="s">
        <v>52</v>
      </c>
      <c r="F4552">
        <v>41432</v>
      </c>
      <c r="G4552" s="140" t="s">
        <v>404</v>
      </c>
      <c r="H4552">
        <v>0</v>
      </c>
      <c r="I4552" s="140" t="s">
        <v>17</v>
      </c>
    </row>
    <row r="4553" spans="1:9" hidden="1" x14ac:dyDescent="0.25">
      <c r="A4553">
        <v>2015</v>
      </c>
      <c r="B4553" s="140" t="s">
        <v>403</v>
      </c>
      <c r="C4553" s="140" t="s">
        <v>243</v>
      </c>
      <c r="D4553" s="140" t="s">
        <v>11</v>
      </c>
      <c r="E4553" s="140" t="s">
        <v>52</v>
      </c>
      <c r="F4553">
        <v>42765</v>
      </c>
      <c r="G4553" s="140" t="s">
        <v>404</v>
      </c>
      <c r="H4553">
        <v>0</v>
      </c>
      <c r="I4553" s="140" t="s">
        <v>17</v>
      </c>
    </row>
    <row r="4554" spans="1:9" hidden="1" x14ac:dyDescent="0.25">
      <c r="A4554">
        <v>2016</v>
      </c>
      <c r="B4554" s="140" t="s">
        <v>403</v>
      </c>
      <c r="C4554" s="140" t="s">
        <v>243</v>
      </c>
      <c r="D4554" s="140" t="s">
        <v>11</v>
      </c>
      <c r="E4554" s="140" t="s">
        <v>52</v>
      </c>
      <c r="F4554">
        <v>43384</v>
      </c>
      <c r="G4554" s="140" t="s">
        <v>404</v>
      </c>
      <c r="H4554">
        <v>0</v>
      </c>
      <c r="I4554" s="140" t="s">
        <v>17</v>
      </c>
    </row>
    <row r="4555" spans="1:9" hidden="1" x14ac:dyDescent="0.25">
      <c r="A4555">
        <v>2017</v>
      </c>
      <c r="B4555" s="140" t="s">
        <v>403</v>
      </c>
      <c r="C4555" s="140" t="s">
        <v>243</v>
      </c>
      <c r="D4555" s="140" t="s">
        <v>11</v>
      </c>
      <c r="E4555" s="140" t="s">
        <v>52</v>
      </c>
      <c r="F4555">
        <v>43732</v>
      </c>
      <c r="G4555" s="140" t="s">
        <v>404</v>
      </c>
      <c r="H4555">
        <v>0</v>
      </c>
      <c r="I4555" s="140" t="s">
        <v>17</v>
      </c>
    </row>
    <row r="4556" spans="1:9" hidden="1" x14ac:dyDescent="0.25">
      <c r="A4556">
        <v>2018</v>
      </c>
      <c r="B4556" s="140" t="s">
        <v>403</v>
      </c>
      <c r="C4556" s="140" t="s">
        <v>243</v>
      </c>
      <c r="D4556" s="140" t="s">
        <v>11</v>
      </c>
      <c r="E4556" s="140" t="s">
        <v>52</v>
      </c>
      <c r="F4556">
        <v>44084</v>
      </c>
      <c r="G4556" s="140" t="s">
        <v>404</v>
      </c>
      <c r="H4556">
        <v>0</v>
      </c>
      <c r="I4556" s="140" t="s">
        <v>17</v>
      </c>
    </row>
    <row r="4557" spans="1:9" hidden="1" x14ac:dyDescent="0.25">
      <c r="A4557">
        <v>2019</v>
      </c>
      <c r="B4557" s="140" t="s">
        <v>403</v>
      </c>
      <c r="C4557" s="140" t="s">
        <v>243</v>
      </c>
      <c r="D4557" s="140" t="s">
        <v>11</v>
      </c>
      <c r="E4557" s="140" t="s">
        <v>52</v>
      </c>
      <c r="F4557">
        <v>45065</v>
      </c>
      <c r="G4557" s="140" t="s">
        <v>404</v>
      </c>
      <c r="H4557">
        <v>0</v>
      </c>
      <c r="I4557" s="140" t="s">
        <v>17</v>
      </c>
    </row>
    <row r="4558" spans="1:9" hidden="1" x14ac:dyDescent="0.25">
      <c r="A4558">
        <v>2020</v>
      </c>
      <c r="B4558" s="140" t="s">
        <v>403</v>
      </c>
      <c r="C4558" s="140" t="s">
        <v>243</v>
      </c>
      <c r="D4558" s="140" t="s">
        <v>11</v>
      </c>
      <c r="E4558" s="140" t="s">
        <v>52</v>
      </c>
      <c r="F4558">
        <v>47440</v>
      </c>
      <c r="G4558" s="140" t="s">
        <v>404</v>
      </c>
      <c r="H4558">
        <v>0</v>
      </c>
      <c r="I4558" s="140" t="s">
        <v>17</v>
      </c>
    </row>
    <row r="4559" spans="1:9" hidden="1" x14ac:dyDescent="0.25">
      <c r="A4559">
        <v>2021</v>
      </c>
      <c r="B4559" s="140" t="s">
        <v>403</v>
      </c>
      <c r="C4559" s="140" t="s">
        <v>243</v>
      </c>
      <c r="D4559" s="140" t="s">
        <v>11</v>
      </c>
      <c r="E4559" s="140" t="s">
        <v>52</v>
      </c>
      <c r="F4559">
        <v>47762</v>
      </c>
      <c r="G4559" s="140" t="s">
        <v>404</v>
      </c>
      <c r="H4559">
        <v>0</v>
      </c>
      <c r="I4559" s="140" t="s">
        <v>17</v>
      </c>
    </row>
    <row r="4560" spans="1:9" hidden="1" x14ac:dyDescent="0.25">
      <c r="A4560">
        <v>2022</v>
      </c>
      <c r="B4560" s="140" t="s">
        <v>403</v>
      </c>
      <c r="C4560" s="140" t="s">
        <v>243</v>
      </c>
      <c r="D4560" s="140" t="s">
        <v>11</v>
      </c>
      <c r="E4560" s="140" t="s">
        <v>52</v>
      </c>
      <c r="F4560">
        <v>47961</v>
      </c>
      <c r="G4560" s="140" t="s">
        <v>404</v>
      </c>
      <c r="H4560">
        <v>0</v>
      </c>
      <c r="I4560" s="140" t="s">
        <v>17</v>
      </c>
    </row>
    <row r="4561" spans="1:9" hidden="1" x14ac:dyDescent="0.25">
      <c r="A4561">
        <v>2023</v>
      </c>
      <c r="B4561" s="140" t="s">
        <v>403</v>
      </c>
      <c r="C4561" s="140" t="s">
        <v>243</v>
      </c>
      <c r="D4561" s="140" t="s">
        <v>11</v>
      </c>
      <c r="E4561" s="140" t="s">
        <v>52</v>
      </c>
      <c r="F4561">
        <v>51136</v>
      </c>
      <c r="G4561" s="140" t="s">
        <v>404</v>
      </c>
      <c r="H4561">
        <v>0</v>
      </c>
      <c r="I4561" s="140" t="s">
        <v>17</v>
      </c>
    </row>
    <row r="4562" spans="1:9" hidden="1" x14ac:dyDescent="0.25">
      <c r="A4562">
        <v>2024</v>
      </c>
      <c r="B4562" s="140" t="s">
        <v>403</v>
      </c>
      <c r="C4562" s="140" t="s">
        <v>243</v>
      </c>
      <c r="D4562" s="140" t="s">
        <v>11</v>
      </c>
      <c r="E4562" s="140" t="s">
        <v>52</v>
      </c>
      <c r="F4562">
        <v>54018</v>
      </c>
      <c r="G4562" s="140" t="s">
        <v>404</v>
      </c>
      <c r="H4562">
        <v>0</v>
      </c>
      <c r="I4562" s="140" t="s">
        <v>17</v>
      </c>
    </row>
    <row r="4563" spans="1:9" hidden="1" x14ac:dyDescent="0.25">
      <c r="A4563">
        <v>2025</v>
      </c>
      <c r="B4563" s="140" t="s">
        <v>403</v>
      </c>
      <c r="C4563" s="140" t="s">
        <v>243</v>
      </c>
      <c r="D4563" s="140" t="s">
        <v>11</v>
      </c>
      <c r="E4563" s="140" t="s">
        <v>52</v>
      </c>
      <c r="F4563">
        <v>54293</v>
      </c>
      <c r="G4563" s="140" t="s">
        <v>404</v>
      </c>
      <c r="H4563">
        <v>0</v>
      </c>
      <c r="I4563" s="140" t="s">
        <v>17</v>
      </c>
    </row>
    <row r="4564" spans="1:9" hidden="1" x14ac:dyDescent="0.25">
      <c r="A4564">
        <v>2026</v>
      </c>
      <c r="B4564" s="140" t="s">
        <v>403</v>
      </c>
      <c r="C4564" s="140" t="s">
        <v>243</v>
      </c>
      <c r="D4564" s="140" t="s">
        <v>11</v>
      </c>
      <c r="E4564" s="140" t="s">
        <v>52</v>
      </c>
      <c r="F4564">
        <v>55074.819199999998</v>
      </c>
      <c r="G4564" s="140" t="s">
        <v>404</v>
      </c>
      <c r="H4564">
        <v>0</v>
      </c>
      <c r="I4564" s="140" t="s">
        <v>17</v>
      </c>
    </row>
    <row r="4565" spans="1:9" hidden="1" x14ac:dyDescent="0.25">
      <c r="A4565">
        <v>2027</v>
      </c>
      <c r="B4565" s="140" t="s">
        <v>403</v>
      </c>
      <c r="C4565" s="140" t="s">
        <v>243</v>
      </c>
      <c r="D4565" s="140" t="s">
        <v>11</v>
      </c>
      <c r="E4565" s="140" t="s">
        <v>52</v>
      </c>
      <c r="F4565">
        <v>56512.271979999998</v>
      </c>
      <c r="G4565" s="140" t="s">
        <v>404</v>
      </c>
      <c r="H4565">
        <v>0</v>
      </c>
      <c r="I4565" s="140" t="s">
        <v>17</v>
      </c>
    </row>
    <row r="4566" spans="1:9" hidden="1" x14ac:dyDescent="0.25">
      <c r="A4566">
        <v>2028</v>
      </c>
      <c r="B4566" s="140" t="s">
        <v>403</v>
      </c>
      <c r="C4566" s="140" t="s">
        <v>243</v>
      </c>
      <c r="D4566" s="140" t="s">
        <v>11</v>
      </c>
      <c r="E4566" s="140" t="s">
        <v>52</v>
      </c>
      <c r="F4566">
        <v>57958.986140000001</v>
      </c>
      <c r="G4566" s="140" t="s">
        <v>404</v>
      </c>
      <c r="H4566">
        <v>0</v>
      </c>
      <c r="I4566" s="140" t="s">
        <v>17</v>
      </c>
    </row>
    <row r="4567" spans="1:9" hidden="1" x14ac:dyDescent="0.25">
      <c r="A4567">
        <v>1990</v>
      </c>
      <c r="B4567" s="140" t="s">
        <v>405</v>
      </c>
      <c r="C4567" s="140" t="s">
        <v>243</v>
      </c>
      <c r="D4567" s="140" t="s">
        <v>11</v>
      </c>
      <c r="E4567" s="140" t="s">
        <v>52</v>
      </c>
      <c r="F4567">
        <v>802</v>
      </c>
      <c r="G4567" s="140" t="s">
        <v>406</v>
      </c>
      <c r="H4567">
        <v>0</v>
      </c>
      <c r="I4567" s="140" t="s">
        <v>17</v>
      </c>
    </row>
    <row r="4568" spans="1:9" hidden="1" x14ac:dyDescent="0.25">
      <c r="A4568">
        <v>1991</v>
      </c>
      <c r="B4568" s="140" t="s">
        <v>405</v>
      </c>
      <c r="C4568" s="140" t="s">
        <v>243</v>
      </c>
      <c r="D4568" s="140" t="s">
        <v>11</v>
      </c>
      <c r="E4568" s="140" t="s">
        <v>52</v>
      </c>
      <c r="F4568">
        <v>895</v>
      </c>
      <c r="G4568" s="140" t="s">
        <v>406</v>
      </c>
      <c r="H4568">
        <v>0</v>
      </c>
      <c r="I4568" s="140" t="s">
        <v>17</v>
      </c>
    </row>
    <row r="4569" spans="1:9" hidden="1" x14ac:dyDescent="0.25">
      <c r="A4569">
        <v>1992</v>
      </c>
      <c r="B4569" s="140" t="s">
        <v>405</v>
      </c>
      <c r="C4569" s="140" t="s">
        <v>243</v>
      </c>
      <c r="D4569" s="140" t="s">
        <v>11</v>
      </c>
      <c r="E4569" s="140" t="s">
        <v>52</v>
      </c>
      <c r="F4569">
        <v>945</v>
      </c>
      <c r="G4569" s="140" t="s">
        <v>406</v>
      </c>
      <c r="H4569">
        <v>0</v>
      </c>
      <c r="I4569" s="140" t="s">
        <v>17</v>
      </c>
    </row>
    <row r="4570" spans="1:9" hidden="1" x14ac:dyDescent="0.25">
      <c r="A4570">
        <v>1993</v>
      </c>
      <c r="B4570" s="140" t="s">
        <v>405</v>
      </c>
      <c r="C4570" s="140" t="s">
        <v>243</v>
      </c>
      <c r="D4570" s="140" t="s">
        <v>11</v>
      </c>
      <c r="E4570" s="140" t="s">
        <v>52</v>
      </c>
      <c r="F4570">
        <v>891</v>
      </c>
      <c r="G4570" s="140" t="s">
        <v>406</v>
      </c>
      <c r="H4570">
        <v>0</v>
      </c>
      <c r="I4570" s="140" t="s">
        <v>17</v>
      </c>
    </row>
    <row r="4571" spans="1:9" hidden="1" x14ac:dyDescent="0.25">
      <c r="A4571">
        <v>1994</v>
      </c>
      <c r="B4571" s="140" t="s">
        <v>405</v>
      </c>
      <c r="C4571" s="140" t="s">
        <v>243</v>
      </c>
      <c r="D4571" s="140" t="s">
        <v>11</v>
      </c>
      <c r="E4571" s="140" t="s">
        <v>52</v>
      </c>
      <c r="F4571">
        <v>812</v>
      </c>
      <c r="G4571" s="140" t="s">
        <v>406</v>
      </c>
      <c r="H4571">
        <v>0</v>
      </c>
      <c r="I4571" s="140" t="s">
        <v>17</v>
      </c>
    </row>
    <row r="4572" spans="1:9" hidden="1" x14ac:dyDescent="0.25">
      <c r="A4572">
        <v>1995</v>
      </c>
      <c r="B4572" s="140" t="s">
        <v>405</v>
      </c>
      <c r="C4572" s="140" t="s">
        <v>243</v>
      </c>
      <c r="D4572" s="140" t="s">
        <v>11</v>
      </c>
      <c r="E4572" s="140" t="s">
        <v>52</v>
      </c>
      <c r="F4572">
        <v>694</v>
      </c>
      <c r="G4572" s="140" t="s">
        <v>406</v>
      </c>
      <c r="H4572">
        <v>0</v>
      </c>
      <c r="I4572" s="140" t="s">
        <v>17</v>
      </c>
    </row>
    <row r="4573" spans="1:9" hidden="1" x14ac:dyDescent="0.25">
      <c r="A4573">
        <v>1996</v>
      </c>
      <c r="B4573" s="140" t="s">
        <v>405</v>
      </c>
      <c r="C4573" s="140" t="s">
        <v>243</v>
      </c>
      <c r="D4573" s="140" t="s">
        <v>11</v>
      </c>
      <c r="E4573" s="140" t="s">
        <v>52</v>
      </c>
      <c r="F4573">
        <v>739</v>
      </c>
      <c r="G4573" s="140" t="s">
        <v>406</v>
      </c>
      <c r="H4573">
        <v>0</v>
      </c>
      <c r="I4573" s="140" t="s">
        <v>17</v>
      </c>
    </row>
    <row r="4574" spans="1:9" hidden="1" x14ac:dyDescent="0.25">
      <c r="A4574">
        <v>1997</v>
      </c>
      <c r="B4574" s="140" t="s">
        <v>405</v>
      </c>
      <c r="C4574" s="140" t="s">
        <v>243</v>
      </c>
      <c r="D4574" s="140" t="s">
        <v>11</v>
      </c>
      <c r="E4574" s="140" t="s">
        <v>52</v>
      </c>
      <c r="F4574">
        <v>766</v>
      </c>
      <c r="G4574" s="140" t="s">
        <v>406</v>
      </c>
      <c r="H4574">
        <v>0</v>
      </c>
      <c r="I4574" s="140" t="s">
        <v>17</v>
      </c>
    </row>
    <row r="4575" spans="1:9" hidden="1" x14ac:dyDescent="0.25">
      <c r="A4575">
        <v>1998</v>
      </c>
      <c r="B4575" s="140" t="s">
        <v>405</v>
      </c>
      <c r="C4575" s="140" t="s">
        <v>243</v>
      </c>
      <c r="D4575" s="140" t="s">
        <v>11</v>
      </c>
      <c r="E4575" s="140" t="s">
        <v>52</v>
      </c>
      <c r="F4575">
        <v>752</v>
      </c>
      <c r="G4575" s="140" t="s">
        <v>406</v>
      </c>
      <c r="H4575">
        <v>0</v>
      </c>
      <c r="I4575" s="140" t="s">
        <v>17</v>
      </c>
    </row>
    <row r="4576" spans="1:9" hidden="1" x14ac:dyDescent="0.25">
      <c r="A4576">
        <v>1999</v>
      </c>
      <c r="B4576" s="140" t="s">
        <v>405</v>
      </c>
      <c r="C4576" s="140" t="s">
        <v>243</v>
      </c>
      <c r="D4576" s="140" t="s">
        <v>11</v>
      </c>
      <c r="E4576" s="140" t="s">
        <v>52</v>
      </c>
      <c r="F4576">
        <v>899</v>
      </c>
      <c r="G4576" s="140" t="s">
        <v>406</v>
      </c>
      <c r="H4576">
        <v>0</v>
      </c>
      <c r="I4576" s="140" t="s">
        <v>17</v>
      </c>
    </row>
    <row r="4577" spans="1:9" hidden="1" x14ac:dyDescent="0.25">
      <c r="A4577">
        <v>2000</v>
      </c>
      <c r="B4577" s="140" t="s">
        <v>405</v>
      </c>
      <c r="C4577" s="140" t="s">
        <v>243</v>
      </c>
      <c r="D4577" s="140" t="s">
        <v>11</v>
      </c>
      <c r="E4577" s="140" t="s">
        <v>52</v>
      </c>
      <c r="F4577">
        <v>951</v>
      </c>
      <c r="G4577" s="140" t="s">
        <v>406</v>
      </c>
      <c r="H4577">
        <v>0</v>
      </c>
      <c r="I4577" s="140" t="s">
        <v>17</v>
      </c>
    </row>
    <row r="4578" spans="1:9" hidden="1" x14ac:dyDescent="0.25">
      <c r="A4578">
        <v>2001</v>
      </c>
      <c r="B4578" s="140" t="s">
        <v>405</v>
      </c>
      <c r="C4578" s="140" t="s">
        <v>243</v>
      </c>
      <c r="D4578" s="140" t="s">
        <v>11</v>
      </c>
      <c r="E4578" s="140" t="s">
        <v>52</v>
      </c>
      <c r="F4578">
        <v>959</v>
      </c>
      <c r="G4578" s="140" t="s">
        <v>406</v>
      </c>
      <c r="H4578">
        <v>0</v>
      </c>
      <c r="I4578" s="140" t="s">
        <v>17</v>
      </c>
    </row>
    <row r="4579" spans="1:9" hidden="1" x14ac:dyDescent="0.25">
      <c r="A4579">
        <v>2002</v>
      </c>
      <c r="B4579" s="140" t="s">
        <v>405</v>
      </c>
      <c r="C4579" s="140" t="s">
        <v>243</v>
      </c>
      <c r="D4579" s="140" t="s">
        <v>11</v>
      </c>
      <c r="E4579" s="140" t="s">
        <v>52</v>
      </c>
      <c r="F4579">
        <v>937</v>
      </c>
      <c r="G4579" s="140" t="s">
        <v>406</v>
      </c>
      <c r="H4579">
        <v>0</v>
      </c>
      <c r="I4579" s="140" t="s">
        <v>17</v>
      </c>
    </row>
    <row r="4580" spans="1:9" hidden="1" x14ac:dyDescent="0.25">
      <c r="A4580">
        <v>2003</v>
      </c>
      <c r="B4580" s="140" t="s">
        <v>405</v>
      </c>
      <c r="C4580" s="140" t="s">
        <v>243</v>
      </c>
      <c r="D4580" s="140" t="s">
        <v>11</v>
      </c>
      <c r="E4580" s="140" t="s">
        <v>52</v>
      </c>
      <c r="F4580">
        <v>941</v>
      </c>
      <c r="G4580" s="140" t="s">
        <v>406</v>
      </c>
      <c r="H4580">
        <v>0</v>
      </c>
      <c r="I4580" s="140" t="s">
        <v>17</v>
      </c>
    </row>
    <row r="4581" spans="1:9" hidden="1" x14ac:dyDescent="0.25">
      <c r="A4581">
        <v>2004</v>
      </c>
      <c r="B4581" s="140" t="s">
        <v>405</v>
      </c>
      <c r="C4581" s="140" t="s">
        <v>243</v>
      </c>
      <c r="D4581" s="140" t="s">
        <v>11</v>
      </c>
      <c r="E4581" s="140" t="s">
        <v>52</v>
      </c>
      <c r="F4581">
        <v>879</v>
      </c>
      <c r="G4581" s="140" t="s">
        <v>406</v>
      </c>
      <c r="H4581">
        <v>0</v>
      </c>
      <c r="I4581" s="140" t="s">
        <v>17</v>
      </c>
    </row>
    <row r="4582" spans="1:9" hidden="1" x14ac:dyDescent="0.25">
      <c r="A4582">
        <v>2005</v>
      </c>
      <c r="B4582" s="140" t="s">
        <v>405</v>
      </c>
      <c r="C4582" s="140" t="s">
        <v>243</v>
      </c>
      <c r="D4582" s="140" t="s">
        <v>11</v>
      </c>
      <c r="E4582" s="140" t="s">
        <v>52</v>
      </c>
      <c r="F4582">
        <v>1048</v>
      </c>
      <c r="G4582" s="140" t="s">
        <v>406</v>
      </c>
      <c r="H4582">
        <v>0</v>
      </c>
      <c r="I4582" s="140" t="s">
        <v>17</v>
      </c>
    </row>
    <row r="4583" spans="1:9" hidden="1" x14ac:dyDescent="0.25">
      <c r="A4583">
        <v>2006</v>
      </c>
      <c r="B4583" s="140" t="s">
        <v>405</v>
      </c>
      <c r="C4583" s="140" t="s">
        <v>243</v>
      </c>
      <c r="D4583" s="140" t="s">
        <v>11</v>
      </c>
      <c r="E4583" s="140" t="s">
        <v>52</v>
      </c>
      <c r="F4583">
        <v>1077</v>
      </c>
      <c r="G4583" s="140" t="s">
        <v>406</v>
      </c>
      <c r="H4583">
        <v>0</v>
      </c>
      <c r="I4583" s="140" t="s">
        <v>17</v>
      </c>
    </row>
    <row r="4584" spans="1:9" hidden="1" x14ac:dyDescent="0.25">
      <c r="A4584">
        <v>2007</v>
      </c>
      <c r="B4584" s="140" t="s">
        <v>405</v>
      </c>
      <c r="C4584" s="140" t="s">
        <v>243</v>
      </c>
      <c r="D4584" s="140" t="s">
        <v>11</v>
      </c>
      <c r="E4584" s="140" t="s">
        <v>52</v>
      </c>
      <c r="F4584">
        <v>1093</v>
      </c>
      <c r="G4584" s="140" t="s">
        <v>406</v>
      </c>
      <c r="H4584">
        <v>0</v>
      </c>
      <c r="I4584" s="140" t="s">
        <v>17</v>
      </c>
    </row>
    <row r="4585" spans="1:9" hidden="1" x14ac:dyDescent="0.25">
      <c r="A4585">
        <v>2008</v>
      </c>
      <c r="B4585" s="140" t="s">
        <v>405</v>
      </c>
      <c r="C4585" s="140" t="s">
        <v>243</v>
      </c>
      <c r="D4585" s="140" t="s">
        <v>11</v>
      </c>
      <c r="E4585" s="140" t="s">
        <v>52</v>
      </c>
      <c r="F4585">
        <v>1218</v>
      </c>
      <c r="G4585" s="140" t="s">
        <v>406</v>
      </c>
      <c r="H4585">
        <v>0</v>
      </c>
      <c r="I4585" s="140" t="s">
        <v>17</v>
      </c>
    </row>
    <row r="4586" spans="1:9" hidden="1" x14ac:dyDescent="0.25">
      <c r="A4586">
        <v>2009</v>
      </c>
      <c r="B4586" s="140" t="s">
        <v>405</v>
      </c>
      <c r="C4586" s="140" t="s">
        <v>243</v>
      </c>
      <c r="D4586" s="140" t="s">
        <v>11</v>
      </c>
      <c r="E4586" s="140" t="s">
        <v>52</v>
      </c>
      <c r="F4586">
        <v>1154</v>
      </c>
      <c r="G4586" s="140" t="s">
        <v>406</v>
      </c>
      <c r="H4586">
        <v>0</v>
      </c>
      <c r="I4586" s="140" t="s">
        <v>17</v>
      </c>
    </row>
    <row r="4587" spans="1:9" hidden="1" x14ac:dyDescent="0.25">
      <c r="A4587">
        <v>2010</v>
      </c>
      <c r="B4587" s="140" t="s">
        <v>405</v>
      </c>
      <c r="C4587" s="140" t="s">
        <v>243</v>
      </c>
      <c r="D4587" s="140" t="s">
        <v>11</v>
      </c>
      <c r="E4587" s="140" t="s">
        <v>52</v>
      </c>
      <c r="F4587">
        <v>1400</v>
      </c>
      <c r="G4587" s="140" t="s">
        <v>406</v>
      </c>
      <c r="H4587">
        <v>0</v>
      </c>
      <c r="I4587" s="140" t="s">
        <v>17</v>
      </c>
    </row>
    <row r="4588" spans="1:9" hidden="1" x14ac:dyDescent="0.25">
      <c r="A4588">
        <v>2011</v>
      </c>
      <c r="B4588" s="140" t="s">
        <v>405</v>
      </c>
      <c r="C4588" s="140" t="s">
        <v>243</v>
      </c>
      <c r="D4588" s="140" t="s">
        <v>11</v>
      </c>
      <c r="E4588" s="140" t="s">
        <v>52</v>
      </c>
      <c r="F4588">
        <v>1453</v>
      </c>
      <c r="G4588" s="140" t="s">
        <v>406</v>
      </c>
      <c r="H4588">
        <v>0</v>
      </c>
      <c r="I4588" s="140" t="s">
        <v>17</v>
      </c>
    </row>
    <row r="4589" spans="1:9" hidden="1" x14ac:dyDescent="0.25">
      <c r="A4589">
        <v>2012</v>
      </c>
      <c r="B4589" s="140" t="s">
        <v>405</v>
      </c>
      <c r="C4589" s="140" t="s">
        <v>243</v>
      </c>
      <c r="D4589" s="140" t="s">
        <v>11</v>
      </c>
      <c r="E4589" s="140" t="s">
        <v>52</v>
      </c>
      <c r="F4589">
        <v>1439</v>
      </c>
      <c r="G4589" s="140" t="s">
        <v>406</v>
      </c>
      <c r="H4589">
        <v>0</v>
      </c>
      <c r="I4589" s="140" t="s">
        <v>17</v>
      </c>
    </row>
    <row r="4590" spans="1:9" hidden="1" x14ac:dyDescent="0.25">
      <c r="A4590">
        <v>2013</v>
      </c>
      <c r="B4590" s="140" t="s">
        <v>405</v>
      </c>
      <c r="C4590" s="140" t="s">
        <v>243</v>
      </c>
      <c r="D4590" s="140" t="s">
        <v>11</v>
      </c>
      <c r="E4590" s="140" t="s">
        <v>52</v>
      </c>
      <c r="F4590">
        <v>1492</v>
      </c>
      <c r="G4590" s="140" t="s">
        <v>406</v>
      </c>
      <c r="H4590">
        <v>0</v>
      </c>
      <c r="I4590" s="140" t="s">
        <v>17</v>
      </c>
    </row>
    <row r="4591" spans="1:9" hidden="1" x14ac:dyDescent="0.25">
      <c r="A4591">
        <v>2014</v>
      </c>
      <c r="B4591" s="140" t="s">
        <v>405</v>
      </c>
      <c r="C4591" s="140" t="s">
        <v>243</v>
      </c>
      <c r="D4591" s="140" t="s">
        <v>11</v>
      </c>
      <c r="E4591" s="140" t="s">
        <v>52</v>
      </c>
      <c r="F4591">
        <v>1639</v>
      </c>
      <c r="G4591" s="140" t="s">
        <v>406</v>
      </c>
      <c r="H4591">
        <v>0</v>
      </c>
      <c r="I4591" s="140" t="s">
        <v>17</v>
      </c>
    </row>
    <row r="4592" spans="1:9" hidden="1" x14ac:dyDescent="0.25">
      <c r="A4592">
        <v>2015</v>
      </c>
      <c r="B4592" s="140" t="s">
        <v>405</v>
      </c>
      <c r="C4592" s="140" t="s">
        <v>243</v>
      </c>
      <c r="D4592" s="140" t="s">
        <v>11</v>
      </c>
      <c r="E4592" s="140" t="s">
        <v>52</v>
      </c>
      <c r="F4592">
        <v>1659</v>
      </c>
      <c r="G4592" s="140" t="s">
        <v>406</v>
      </c>
      <c r="H4592">
        <v>0</v>
      </c>
      <c r="I4592" s="140" t="s">
        <v>17</v>
      </c>
    </row>
    <row r="4593" spans="1:9" hidden="1" x14ac:dyDescent="0.25">
      <c r="A4593">
        <v>2016</v>
      </c>
      <c r="B4593" s="140" t="s">
        <v>405</v>
      </c>
      <c r="C4593" s="140" t="s">
        <v>243</v>
      </c>
      <c r="D4593" s="140" t="s">
        <v>11</v>
      </c>
      <c r="E4593" s="140" t="s">
        <v>52</v>
      </c>
      <c r="F4593">
        <v>1573</v>
      </c>
      <c r="G4593" s="140" t="s">
        <v>406</v>
      </c>
      <c r="H4593">
        <v>0</v>
      </c>
      <c r="I4593" s="140" t="s">
        <v>17</v>
      </c>
    </row>
    <row r="4594" spans="1:9" hidden="1" x14ac:dyDescent="0.25">
      <c r="A4594">
        <v>2017</v>
      </c>
      <c r="B4594" s="140" t="s">
        <v>405</v>
      </c>
      <c r="C4594" s="140" t="s">
        <v>243</v>
      </c>
      <c r="D4594" s="140" t="s">
        <v>11</v>
      </c>
      <c r="E4594" s="140" t="s">
        <v>52</v>
      </c>
      <c r="F4594">
        <v>1940</v>
      </c>
      <c r="G4594" s="140" t="s">
        <v>406</v>
      </c>
      <c r="H4594">
        <v>0</v>
      </c>
      <c r="I4594" s="140" t="s">
        <v>17</v>
      </c>
    </row>
    <row r="4595" spans="1:9" hidden="1" x14ac:dyDescent="0.25">
      <c r="A4595">
        <v>2018</v>
      </c>
      <c r="B4595" s="140" t="s">
        <v>405</v>
      </c>
      <c r="C4595" s="140" t="s">
        <v>243</v>
      </c>
      <c r="D4595" s="140" t="s">
        <v>11</v>
      </c>
      <c r="E4595" s="140" t="s">
        <v>52</v>
      </c>
      <c r="F4595">
        <v>1776</v>
      </c>
      <c r="G4595" s="140" t="s">
        <v>406</v>
      </c>
      <c r="H4595">
        <v>0</v>
      </c>
      <c r="I4595" s="140" t="s">
        <v>17</v>
      </c>
    </row>
    <row r="4596" spans="1:9" hidden="1" x14ac:dyDescent="0.25">
      <c r="A4596">
        <v>2019</v>
      </c>
      <c r="B4596" s="140" t="s">
        <v>405</v>
      </c>
      <c r="C4596" s="140" t="s">
        <v>243</v>
      </c>
      <c r="D4596" s="140" t="s">
        <v>11</v>
      </c>
      <c r="E4596" s="140" t="s">
        <v>52</v>
      </c>
      <c r="F4596">
        <v>1947</v>
      </c>
      <c r="G4596" s="140" t="s">
        <v>406</v>
      </c>
      <c r="H4596">
        <v>0</v>
      </c>
      <c r="I4596" s="140" t="s">
        <v>17</v>
      </c>
    </row>
    <row r="4597" spans="1:9" hidden="1" x14ac:dyDescent="0.25">
      <c r="A4597">
        <v>2020</v>
      </c>
      <c r="B4597" s="140" t="s">
        <v>405</v>
      </c>
      <c r="C4597" s="140" t="s">
        <v>243</v>
      </c>
      <c r="D4597" s="140" t="s">
        <v>11</v>
      </c>
      <c r="E4597" s="140" t="s">
        <v>52</v>
      </c>
      <c r="F4597">
        <v>1765</v>
      </c>
      <c r="G4597" s="140" t="s">
        <v>406</v>
      </c>
      <c r="H4597">
        <v>0</v>
      </c>
      <c r="I4597" s="140" t="s">
        <v>17</v>
      </c>
    </row>
    <row r="4598" spans="1:9" hidden="1" x14ac:dyDescent="0.25">
      <c r="A4598">
        <v>2021</v>
      </c>
      <c r="B4598" s="140" t="s">
        <v>405</v>
      </c>
      <c r="C4598" s="140" t="s">
        <v>243</v>
      </c>
      <c r="D4598" s="140" t="s">
        <v>11</v>
      </c>
      <c r="E4598" s="140" t="s">
        <v>52</v>
      </c>
      <c r="F4598">
        <v>1760</v>
      </c>
      <c r="G4598" s="140" t="s">
        <v>406</v>
      </c>
      <c r="H4598">
        <v>0</v>
      </c>
      <c r="I4598" s="140" t="s">
        <v>17</v>
      </c>
    </row>
    <row r="4599" spans="1:9" hidden="1" x14ac:dyDescent="0.25">
      <c r="A4599">
        <v>2022</v>
      </c>
      <c r="B4599" s="140" t="s">
        <v>405</v>
      </c>
      <c r="C4599" s="140" t="s">
        <v>243</v>
      </c>
      <c r="D4599" s="140" t="s">
        <v>11</v>
      </c>
      <c r="E4599" s="140" t="s">
        <v>52</v>
      </c>
      <c r="F4599">
        <v>1644</v>
      </c>
      <c r="G4599" s="140" t="s">
        <v>406</v>
      </c>
      <c r="H4599">
        <v>0</v>
      </c>
      <c r="I4599" s="140" t="s">
        <v>17</v>
      </c>
    </row>
    <row r="4600" spans="1:9" hidden="1" x14ac:dyDescent="0.25">
      <c r="A4600">
        <v>2023</v>
      </c>
      <c r="B4600" s="140" t="s">
        <v>405</v>
      </c>
      <c r="C4600" s="140" t="s">
        <v>243</v>
      </c>
      <c r="D4600" s="140" t="s">
        <v>11</v>
      </c>
      <c r="E4600" s="140" t="s">
        <v>52</v>
      </c>
      <c r="F4600">
        <v>1863</v>
      </c>
      <c r="G4600" s="140" t="s">
        <v>406</v>
      </c>
      <c r="H4600">
        <v>0</v>
      </c>
      <c r="I4600" s="140" t="s">
        <v>17</v>
      </c>
    </row>
    <row r="4601" spans="1:9" hidden="1" x14ac:dyDescent="0.25">
      <c r="A4601">
        <v>2024</v>
      </c>
      <c r="B4601" s="140" t="s">
        <v>405</v>
      </c>
      <c r="C4601" s="140" t="s">
        <v>243</v>
      </c>
      <c r="D4601" s="140" t="s">
        <v>11</v>
      </c>
      <c r="E4601" s="140" t="s">
        <v>52</v>
      </c>
      <c r="F4601">
        <v>2000</v>
      </c>
      <c r="G4601" s="140" t="s">
        <v>406</v>
      </c>
      <c r="H4601">
        <v>0</v>
      </c>
      <c r="I4601" s="140" t="s">
        <v>17</v>
      </c>
    </row>
    <row r="4602" spans="1:9" hidden="1" x14ac:dyDescent="0.25">
      <c r="A4602">
        <v>2025</v>
      </c>
      <c r="B4602" s="140" t="s">
        <v>405</v>
      </c>
      <c r="C4602" s="140" t="s">
        <v>243</v>
      </c>
      <c r="D4602" s="140" t="s">
        <v>11</v>
      </c>
      <c r="E4602" s="140" t="s">
        <v>52</v>
      </c>
      <c r="F4602">
        <v>1905</v>
      </c>
      <c r="G4602" s="140" t="s">
        <v>406</v>
      </c>
      <c r="H4602">
        <v>0</v>
      </c>
      <c r="I4602" s="140" t="s">
        <v>17</v>
      </c>
    </row>
    <row r="4603" spans="1:9" hidden="1" x14ac:dyDescent="0.25">
      <c r="A4603">
        <v>2026</v>
      </c>
      <c r="B4603" s="140" t="s">
        <v>405</v>
      </c>
      <c r="C4603" s="140" t="s">
        <v>243</v>
      </c>
      <c r="D4603" s="140" t="s">
        <v>11</v>
      </c>
      <c r="E4603" s="140" t="s">
        <v>52</v>
      </c>
      <c r="F4603">
        <v>1943.1</v>
      </c>
      <c r="G4603" s="140" t="s">
        <v>406</v>
      </c>
      <c r="H4603">
        <v>0</v>
      </c>
      <c r="I4603" s="140" t="s">
        <v>17</v>
      </c>
    </row>
    <row r="4604" spans="1:9" hidden="1" x14ac:dyDescent="0.25">
      <c r="A4604">
        <v>2027</v>
      </c>
      <c r="B4604" s="140" t="s">
        <v>405</v>
      </c>
      <c r="C4604" s="140" t="s">
        <v>243</v>
      </c>
      <c r="D4604" s="140" t="s">
        <v>11</v>
      </c>
      <c r="E4604" s="140" t="s">
        <v>52</v>
      </c>
      <c r="F4604">
        <v>1981.962</v>
      </c>
      <c r="G4604" s="140" t="s">
        <v>406</v>
      </c>
      <c r="H4604">
        <v>0</v>
      </c>
      <c r="I4604" s="140" t="s">
        <v>17</v>
      </c>
    </row>
    <row r="4605" spans="1:9" hidden="1" x14ac:dyDescent="0.25">
      <c r="A4605">
        <v>2028</v>
      </c>
      <c r="B4605" s="140" t="s">
        <v>405</v>
      </c>
      <c r="C4605" s="140" t="s">
        <v>243</v>
      </c>
      <c r="D4605" s="140" t="s">
        <v>11</v>
      </c>
      <c r="E4605" s="140" t="s">
        <v>52</v>
      </c>
      <c r="F4605">
        <v>2021.60124</v>
      </c>
      <c r="G4605" s="140" t="s">
        <v>406</v>
      </c>
      <c r="H4605">
        <v>0</v>
      </c>
      <c r="I4605" s="140" t="s">
        <v>17</v>
      </c>
    </row>
    <row r="4606" spans="1:9" hidden="1" x14ac:dyDescent="0.25">
      <c r="A4606">
        <v>1990</v>
      </c>
      <c r="B4606" s="140" t="s">
        <v>407</v>
      </c>
      <c r="C4606" s="140" t="s">
        <v>243</v>
      </c>
      <c r="D4606" s="140" t="s">
        <v>11</v>
      </c>
      <c r="E4606" s="140" t="s">
        <v>52</v>
      </c>
      <c r="F4606">
        <v>374</v>
      </c>
      <c r="G4606" s="140" t="s">
        <v>408</v>
      </c>
      <c r="H4606">
        <v>0</v>
      </c>
      <c r="I4606" s="140" t="s">
        <v>17</v>
      </c>
    </row>
    <row r="4607" spans="1:9" hidden="1" x14ac:dyDescent="0.25">
      <c r="A4607">
        <v>1991</v>
      </c>
      <c r="B4607" s="140" t="s">
        <v>407</v>
      </c>
      <c r="C4607" s="140" t="s">
        <v>243</v>
      </c>
      <c r="D4607" s="140" t="s">
        <v>11</v>
      </c>
      <c r="E4607" s="140" t="s">
        <v>52</v>
      </c>
      <c r="F4607">
        <v>439</v>
      </c>
      <c r="G4607" s="140" t="s">
        <v>408</v>
      </c>
      <c r="H4607">
        <v>0</v>
      </c>
      <c r="I4607" s="140" t="s">
        <v>17</v>
      </c>
    </row>
    <row r="4608" spans="1:9" hidden="1" x14ac:dyDescent="0.25">
      <c r="A4608">
        <v>1992</v>
      </c>
      <c r="B4608" s="140" t="s">
        <v>407</v>
      </c>
      <c r="C4608" s="140" t="s">
        <v>243</v>
      </c>
      <c r="D4608" s="140" t="s">
        <v>11</v>
      </c>
      <c r="E4608" s="140" t="s">
        <v>52</v>
      </c>
      <c r="F4608">
        <v>592</v>
      </c>
      <c r="G4608" s="140" t="s">
        <v>408</v>
      </c>
      <c r="H4608">
        <v>0</v>
      </c>
      <c r="I4608" s="140" t="s">
        <v>17</v>
      </c>
    </row>
    <row r="4609" spans="1:9" hidden="1" x14ac:dyDescent="0.25">
      <c r="A4609">
        <v>1993</v>
      </c>
      <c r="B4609" s="140" t="s">
        <v>407</v>
      </c>
      <c r="C4609" s="140" t="s">
        <v>243</v>
      </c>
      <c r="D4609" s="140" t="s">
        <v>11</v>
      </c>
      <c r="E4609" s="140" t="s">
        <v>52</v>
      </c>
      <c r="F4609">
        <v>696</v>
      </c>
      <c r="G4609" s="140" t="s">
        <v>408</v>
      </c>
      <c r="H4609">
        <v>0</v>
      </c>
      <c r="I4609" s="140" t="s">
        <v>17</v>
      </c>
    </row>
    <row r="4610" spans="1:9" hidden="1" x14ac:dyDescent="0.25">
      <c r="A4610">
        <v>1994</v>
      </c>
      <c r="B4610" s="140" t="s">
        <v>407</v>
      </c>
      <c r="C4610" s="140" t="s">
        <v>243</v>
      </c>
      <c r="D4610" s="140" t="s">
        <v>11</v>
      </c>
      <c r="E4610" s="140" t="s">
        <v>52</v>
      </c>
      <c r="F4610">
        <v>546</v>
      </c>
      <c r="G4610" s="140" t="s">
        <v>408</v>
      </c>
      <c r="H4610">
        <v>0</v>
      </c>
      <c r="I4610" s="140" t="s">
        <v>17</v>
      </c>
    </row>
    <row r="4611" spans="1:9" hidden="1" x14ac:dyDescent="0.25">
      <c r="A4611">
        <v>1995</v>
      </c>
      <c r="B4611" s="140" t="s">
        <v>407</v>
      </c>
      <c r="C4611" s="140" t="s">
        <v>243</v>
      </c>
      <c r="D4611" s="140" t="s">
        <v>11</v>
      </c>
      <c r="E4611" s="140" t="s">
        <v>52</v>
      </c>
      <c r="F4611">
        <v>373</v>
      </c>
      <c r="G4611" s="140" t="s">
        <v>408</v>
      </c>
      <c r="H4611">
        <v>0</v>
      </c>
      <c r="I4611" s="140" t="s">
        <v>17</v>
      </c>
    </row>
    <row r="4612" spans="1:9" hidden="1" x14ac:dyDescent="0.25">
      <c r="A4612">
        <v>1996</v>
      </c>
      <c r="B4612" s="140" t="s">
        <v>407</v>
      </c>
      <c r="C4612" s="140" t="s">
        <v>243</v>
      </c>
      <c r="D4612" s="140" t="s">
        <v>11</v>
      </c>
      <c r="E4612" s="140" t="s">
        <v>52</v>
      </c>
      <c r="F4612">
        <v>313</v>
      </c>
      <c r="G4612" s="140" t="s">
        <v>408</v>
      </c>
      <c r="H4612">
        <v>0</v>
      </c>
      <c r="I4612" s="140" t="s">
        <v>17</v>
      </c>
    </row>
    <row r="4613" spans="1:9" hidden="1" x14ac:dyDescent="0.25">
      <c r="A4613">
        <v>1997</v>
      </c>
      <c r="B4613" s="140" t="s">
        <v>407</v>
      </c>
      <c r="C4613" s="140" t="s">
        <v>243</v>
      </c>
      <c r="D4613" s="140" t="s">
        <v>11</v>
      </c>
      <c r="E4613" s="140" t="s">
        <v>52</v>
      </c>
      <c r="F4613">
        <v>337</v>
      </c>
      <c r="G4613" s="140" t="s">
        <v>408</v>
      </c>
      <c r="H4613">
        <v>0</v>
      </c>
      <c r="I4613" s="140" t="s">
        <v>17</v>
      </c>
    </row>
    <row r="4614" spans="1:9" hidden="1" x14ac:dyDescent="0.25">
      <c r="A4614">
        <v>1998</v>
      </c>
      <c r="B4614" s="140" t="s">
        <v>407</v>
      </c>
      <c r="C4614" s="140" t="s">
        <v>243</v>
      </c>
      <c r="D4614" s="140" t="s">
        <v>11</v>
      </c>
      <c r="E4614" s="140" t="s">
        <v>52</v>
      </c>
      <c r="F4614">
        <v>342</v>
      </c>
      <c r="G4614" s="140" t="s">
        <v>408</v>
      </c>
      <c r="H4614">
        <v>0</v>
      </c>
      <c r="I4614" s="140" t="s">
        <v>17</v>
      </c>
    </row>
    <row r="4615" spans="1:9" hidden="1" x14ac:dyDescent="0.25">
      <c r="A4615">
        <v>1999</v>
      </c>
      <c r="B4615" s="140" t="s">
        <v>407</v>
      </c>
      <c r="C4615" s="140" t="s">
        <v>243</v>
      </c>
      <c r="D4615" s="140" t="s">
        <v>11</v>
      </c>
      <c r="E4615" s="140" t="s">
        <v>52</v>
      </c>
      <c r="F4615">
        <v>345</v>
      </c>
      <c r="G4615" s="140" t="s">
        <v>408</v>
      </c>
      <c r="H4615">
        <v>0</v>
      </c>
      <c r="I4615" s="140" t="s">
        <v>17</v>
      </c>
    </row>
    <row r="4616" spans="1:9" hidden="1" x14ac:dyDescent="0.25">
      <c r="A4616">
        <v>2000</v>
      </c>
      <c r="B4616" s="140" t="s">
        <v>407</v>
      </c>
      <c r="C4616" s="140" t="s">
        <v>243</v>
      </c>
      <c r="D4616" s="140" t="s">
        <v>11</v>
      </c>
      <c r="E4616" s="140" t="s">
        <v>52</v>
      </c>
      <c r="F4616">
        <v>330</v>
      </c>
      <c r="G4616" s="140" t="s">
        <v>408</v>
      </c>
      <c r="H4616">
        <v>0</v>
      </c>
      <c r="I4616" s="140" t="s">
        <v>17</v>
      </c>
    </row>
    <row r="4617" spans="1:9" hidden="1" x14ac:dyDescent="0.25">
      <c r="A4617">
        <v>2001</v>
      </c>
      <c r="B4617" s="140" t="s">
        <v>407</v>
      </c>
      <c r="C4617" s="140" t="s">
        <v>243</v>
      </c>
      <c r="D4617" s="140" t="s">
        <v>11</v>
      </c>
      <c r="E4617" s="140" t="s">
        <v>52</v>
      </c>
      <c r="F4617">
        <v>338</v>
      </c>
      <c r="G4617" s="140" t="s">
        <v>408</v>
      </c>
      <c r="H4617">
        <v>0</v>
      </c>
      <c r="I4617" s="140" t="s">
        <v>17</v>
      </c>
    </row>
    <row r="4618" spans="1:9" hidden="1" x14ac:dyDescent="0.25">
      <c r="A4618">
        <v>2002</v>
      </c>
      <c r="B4618" s="140" t="s">
        <v>407</v>
      </c>
      <c r="C4618" s="140" t="s">
        <v>243</v>
      </c>
      <c r="D4618" s="140" t="s">
        <v>11</v>
      </c>
      <c r="E4618" s="140" t="s">
        <v>52</v>
      </c>
      <c r="F4618">
        <v>360</v>
      </c>
      <c r="G4618" s="140" t="s">
        <v>408</v>
      </c>
      <c r="H4618">
        <v>0</v>
      </c>
      <c r="I4618" s="140" t="s">
        <v>17</v>
      </c>
    </row>
    <row r="4619" spans="1:9" hidden="1" x14ac:dyDescent="0.25">
      <c r="A4619">
        <v>2003</v>
      </c>
      <c r="B4619" s="140" t="s">
        <v>407</v>
      </c>
      <c r="C4619" s="140" t="s">
        <v>243</v>
      </c>
      <c r="D4619" s="140" t="s">
        <v>11</v>
      </c>
      <c r="E4619" s="140" t="s">
        <v>52</v>
      </c>
      <c r="F4619">
        <v>368</v>
      </c>
      <c r="G4619" s="140" t="s">
        <v>408</v>
      </c>
      <c r="H4619">
        <v>0</v>
      </c>
      <c r="I4619" s="140" t="s">
        <v>17</v>
      </c>
    </row>
    <row r="4620" spans="1:9" hidden="1" x14ac:dyDescent="0.25">
      <c r="A4620">
        <v>2004</v>
      </c>
      <c r="B4620" s="140" t="s">
        <v>407</v>
      </c>
      <c r="C4620" s="140" t="s">
        <v>243</v>
      </c>
      <c r="D4620" s="140" t="s">
        <v>11</v>
      </c>
      <c r="E4620" s="140" t="s">
        <v>52</v>
      </c>
      <c r="F4620">
        <v>386</v>
      </c>
      <c r="G4620" s="140" t="s">
        <v>408</v>
      </c>
      <c r="H4620">
        <v>0</v>
      </c>
      <c r="I4620" s="140" t="s">
        <v>17</v>
      </c>
    </row>
    <row r="4621" spans="1:9" hidden="1" x14ac:dyDescent="0.25">
      <c r="A4621">
        <v>2005</v>
      </c>
      <c r="B4621" s="140" t="s">
        <v>407</v>
      </c>
      <c r="C4621" s="140" t="s">
        <v>243</v>
      </c>
      <c r="D4621" s="140" t="s">
        <v>11</v>
      </c>
      <c r="E4621" s="140" t="s">
        <v>52</v>
      </c>
      <c r="F4621">
        <v>411</v>
      </c>
      <c r="G4621" s="140" t="s">
        <v>408</v>
      </c>
      <c r="H4621">
        <v>0</v>
      </c>
      <c r="I4621" s="140" t="s">
        <v>17</v>
      </c>
    </row>
    <row r="4622" spans="1:9" hidden="1" x14ac:dyDescent="0.25">
      <c r="A4622">
        <v>2006</v>
      </c>
      <c r="B4622" s="140" t="s">
        <v>407</v>
      </c>
      <c r="C4622" s="140" t="s">
        <v>243</v>
      </c>
      <c r="D4622" s="140" t="s">
        <v>11</v>
      </c>
      <c r="E4622" s="140" t="s">
        <v>52</v>
      </c>
      <c r="F4622">
        <v>428</v>
      </c>
      <c r="G4622" s="140" t="s">
        <v>408</v>
      </c>
      <c r="H4622">
        <v>0</v>
      </c>
      <c r="I4622" s="140" t="s">
        <v>17</v>
      </c>
    </row>
    <row r="4623" spans="1:9" hidden="1" x14ac:dyDescent="0.25">
      <c r="A4623">
        <v>2007</v>
      </c>
      <c r="B4623" s="140" t="s">
        <v>407</v>
      </c>
      <c r="C4623" s="140" t="s">
        <v>243</v>
      </c>
      <c r="D4623" s="140" t="s">
        <v>11</v>
      </c>
      <c r="E4623" s="140" t="s">
        <v>52</v>
      </c>
      <c r="F4623">
        <v>429</v>
      </c>
      <c r="G4623" s="140" t="s">
        <v>408</v>
      </c>
      <c r="H4623">
        <v>0</v>
      </c>
      <c r="I4623" s="140" t="s">
        <v>17</v>
      </c>
    </row>
    <row r="4624" spans="1:9" hidden="1" x14ac:dyDescent="0.25">
      <c r="A4624">
        <v>2008</v>
      </c>
      <c r="B4624" s="140" t="s">
        <v>407</v>
      </c>
      <c r="C4624" s="140" t="s">
        <v>243</v>
      </c>
      <c r="D4624" s="140" t="s">
        <v>11</v>
      </c>
      <c r="E4624" s="140" t="s">
        <v>52</v>
      </c>
      <c r="F4624">
        <v>454</v>
      </c>
      <c r="G4624" s="140" t="s">
        <v>408</v>
      </c>
      <c r="H4624">
        <v>0</v>
      </c>
      <c r="I4624" s="140" t="s">
        <v>17</v>
      </c>
    </row>
    <row r="4625" spans="1:9" hidden="1" x14ac:dyDescent="0.25">
      <c r="A4625">
        <v>2009</v>
      </c>
      <c r="B4625" s="140" t="s">
        <v>407</v>
      </c>
      <c r="C4625" s="140" t="s">
        <v>243</v>
      </c>
      <c r="D4625" s="140" t="s">
        <v>11</v>
      </c>
      <c r="E4625" s="140" t="s">
        <v>52</v>
      </c>
      <c r="F4625">
        <v>464</v>
      </c>
      <c r="G4625" s="140" t="s">
        <v>408</v>
      </c>
      <c r="H4625">
        <v>0</v>
      </c>
      <c r="I4625" s="140" t="s">
        <v>17</v>
      </c>
    </row>
    <row r="4626" spans="1:9" hidden="1" x14ac:dyDescent="0.25">
      <c r="A4626">
        <v>2010</v>
      </c>
      <c r="B4626" s="140" t="s">
        <v>407</v>
      </c>
      <c r="C4626" s="140" t="s">
        <v>243</v>
      </c>
      <c r="D4626" s="140" t="s">
        <v>11</v>
      </c>
      <c r="E4626" s="140" t="s">
        <v>52</v>
      </c>
      <c r="F4626">
        <v>515</v>
      </c>
      <c r="G4626" s="140" t="s">
        <v>408</v>
      </c>
      <c r="H4626">
        <v>0</v>
      </c>
      <c r="I4626" s="140" t="s">
        <v>17</v>
      </c>
    </row>
    <row r="4627" spans="1:9" hidden="1" x14ac:dyDescent="0.25">
      <c r="A4627">
        <v>2011</v>
      </c>
      <c r="B4627" s="140" t="s">
        <v>407</v>
      </c>
      <c r="C4627" s="140" t="s">
        <v>243</v>
      </c>
      <c r="D4627" s="140" t="s">
        <v>11</v>
      </c>
      <c r="E4627" s="140" t="s">
        <v>52</v>
      </c>
      <c r="F4627">
        <v>937</v>
      </c>
      <c r="G4627" s="140" t="s">
        <v>408</v>
      </c>
      <c r="H4627">
        <v>0</v>
      </c>
      <c r="I4627" s="140" t="s">
        <v>17</v>
      </c>
    </row>
    <row r="4628" spans="1:9" hidden="1" x14ac:dyDescent="0.25">
      <c r="A4628">
        <v>2012</v>
      </c>
      <c r="B4628" s="140" t="s">
        <v>407</v>
      </c>
      <c r="C4628" s="140" t="s">
        <v>243</v>
      </c>
      <c r="D4628" s="140" t="s">
        <v>11</v>
      </c>
      <c r="E4628" s="140" t="s">
        <v>52</v>
      </c>
      <c r="F4628">
        <v>977</v>
      </c>
      <c r="G4628" s="140" t="s">
        <v>408</v>
      </c>
      <c r="H4628">
        <v>0</v>
      </c>
      <c r="I4628" s="140" t="s">
        <v>17</v>
      </c>
    </row>
    <row r="4629" spans="1:9" hidden="1" x14ac:dyDescent="0.25">
      <c r="A4629">
        <v>2013</v>
      </c>
      <c r="B4629" s="140" t="s">
        <v>407</v>
      </c>
      <c r="C4629" s="140" t="s">
        <v>243</v>
      </c>
      <c r="D4629" s="140" t="s">
        <v>11</v>
      </c>
      <c r="E4629" s="140" t="s">
        <v>52</v>
      </c>
      <c r="F4629">
        <v>482</v>
      </c>
      <c r="G4629" s="140" t="s">
        <v>408</v>
      </c>
      <c r="H4629">
        <v>0</v>
      </c>
      <c r="I4629" s="140" t="s">
        <v>17</v>
      </c>
    </row>
    <row r="4630" spans="1:9" hidden="1" x14ac:dyDescent="0.25">
      <c r="A4630">
        <v>2014</v>
      </c>
      <c r="B4630" s="140" t="s">
        <v>407</v>
      </c>
      <c r="C4630" s="140" t="s">
        <v>243</v>
      </c>
      <c r="D4630" s="140" t="s">
        <v>11</v>
      </c>
      <c r="E4630" s="140" t="s">
        <v>52</v>
      </c>
      <c r="F4630">
        <v>476</v>
      </c>
      <c r="G4630" s="140" t="s">
        <v>408</v>
      </c>
      <c r="H4630">
        <v>0</v>
      </c>
      <c r="I4630" s="140" t="s">
        <v>17</v>
      </c>
    </row>
    <row r="4631" spans="1:9" hidden="1" x14ac:dyDescent="0.25">
      <c r="A4631">
        <v>2015</v>
      </c>
      <c r="B4631" s="140" t="s">
        <v>407</v>
      </c>
      <c r="C4631" s="140" t="s">
        <v>243</v>
      </c>
      <c r="D4631" s="140" t="s">
        <v>11</v>
      </c>
      <c r="E4631" s="140" t="s">
        <v>52</v>
      </c>
      <c r="F4631">
        <v>499</v>
      </c>
      <c r="G4631" s="140" t="s">
        <v>408</v>
      </c>
      <c r="H4631">
        <v>0</v>
      </c>
      <c r="I4631" s="140" t="s">
        <v>17</v>
      </c>
    </row>
    <row r="4632" spans="1:9" hidden="1" x14ac:dyDescent="0.25">
      <c r="A4632">
        <v>2016</v>
      </c>
      <c r="B4632" s="140" t="s">
        <v>407</v>
      </c>
      <c r="C4632" s="140" t="s">
        <v>243</v>
      </c>
      <c r="D4632" s="140" t="s">
        <v>11</v>
      </c>
      <c r="E4632" s="140" t="s">
        <v>52</v>
      </c>
      <c r="F4632">
        <v>596</v>
      </c>
      <c r="G4632" s="140" t="s">
        <v>408</v>
      </c>
      <c r="H4632">
        <v>0</v>
      </c>
      <c r="I4632" s="140" t="s">
        <v>17</v>
      </c>
    </row>
    <row r="4633" spans="1:9" hidden="1" x14ac:dyDescent="0.25">
      <c r="A4633">
        <v>2017</v>
      </c>
      <c r="B4633" s="140" t="s">
        <v>407</v>
      </c>
      <c r="C4633" s="140" t="s">
        <v>243</v>
      </c>
      <c r="D4633" s="140" t="s">
        <v>11</v>
      </c>
      <c r="E4633" s="140" t="s">
        <v>52</v>
      </c>
      <c r="F4633">
        <v>533</v>
      </c>
      <c r="G4633" s="140" t="s">
        <v>408</v>
      </c>
      <c r="H4633">
        <v>0</v>
      </c>
      <c r="I4633" s="140" t="s">
        <v>17</v>
      </c>
    </row>
    <row r="4634" spans="1:9" hidden="1" x14ac:dyDescent="0.25">
      <c r="A4634">
        <v>2018</v>
      </c>
      <c r="B4634" s="140" t="s">
        <v>407</v>
      </c>
      <c r="C4634" s="140" t="s">
        <v>243</v>
      </c>
      <c r="D4634" s="140" t="s">
        <v>11</v>
      </c>
      <c r="E4634" s="140" t="s">
        <v>52</v>
      </c>
      <c r="F4634">
        <v>505</v>
      </c>
      <c r="G4634" s="140" t="s">
        <v>408</v>
      </c>
      <c r="H4634">
        <v>0</v>
      </c>
      <c r="I4634" s="140" t="s">
        <v>17</v>
      </c>
    </row>
    <row r="4635" spans="1:9" hidden="1" x14ac:dyDescent="0.25">
      <c r="A4635">
        <v>2019</v>
      </c>
      <c r="B4635" s="140" t="s">
        <v>407</v>
      </c>
      <c r="C4635" s="140" t="s">
        <v>243</v>
      </c>
      <c r="D4635" s="140" t="s">
        <v>11</v>
      </c>
      <c r="E4635" s="140" t="s">
        <v>52</v>
      </c>
      <c r="F4635">
        <v>535</v>
      </c>
      <c r="G4635" s="140" t="s">
        <v>408</v>
      </c>
      <c r="H4635">
        <v>0</v>
      </c>
      <c r="I4635" s="140" t="s">
        <v>17</v>
      </c>
    </row>
    <row r="4636" spans="1:9" hidden="1" x14ac:dyDescent="0.25">
      <c r="A4636">
        <v>2020</v>
      </c>
      <c r="B4636" s="140" t="s">
        <v>407</v>
      </c>
      <c r="C4636" s="140" t="s">
        <v>243</v>
      </c>
      <c r="D4636" s="140" t="s">
        <v>11</v>
      </c>
      <c r="E4636" s="140" t="s">
        <v>52</v>
      </c>
      <c r="F4636">
        <v>618</v>
      </c>
      <c r="G4636" s="140" t="s">
        <v>408</v>
      </c>
      <c r="H4636">
        <v>0</v>
      </c>
      <c r="I4636" s="140" t="s">
        <v>17</v>
      </c>
    </row>
    <row r="4637" spans="1:9" hidden="1" x14ac:dyDescent="0.25">
      <c r="A4637">
        <v>2021</v>
      </c>
      <c r="B4637" s="140" t="s">
        <v>407</v>
      </c>
      <c r="C4637" s="140" t="s">
        <v>243</v>
      </c>
      <c r="D4637" s="140" t="s">
        <v>11</v>
      </c>
      <c r="E4637" s="140" t="s">
        <v>52</v>
      </c>
      <c r="F4637">
        <v>673</v>
      </c>
      <c r="G4637" s="140" t="s">
        <v>408</v>
      </c>
      <c r="H4637">
        <v>0</v>
      </c>
      <c r="I4637" s="140" t="s">
        <v>17</v>
      </c>
    </row>
    <row r="4638" spans="1:9" hidden="1" x14ac:dyDescent="0.25">
      <c r="A4638">
        <v>2022</v>
      </c>
      <c r="B4638" s="140" t="s">
        <v>407</v>
      </c>
      <c r="C4638" s="140" t="s">
        <v>243</v>
      </c>
      <c r="D4638" s="140" t="s">
        <v>11</v>
      </c>
      <c r="E4638" s="140" t="s">
        <v>52</v>
      </c>
      <c r="F4638">
        <v>634</v>
      </c>
      <c r="G4638" s="140" t="s">
        <v>408</v>
      </c>
      <c r="H4638">
        <v>0</v>
      </c>
      <c r="I4638" s="140" t="s">
        <v>17</v>
      </c>
    </row>
    <row r="4639" spans="1:9" hidden="1" x14ac:dyDescent="0.25">
      <c r="A4639">
        <v>2023</v>
      </c>
      <c r="B4639" s="140" t="s">
        <v>407</v>
      </c>
      <c r="C4639" s="140" t="s">
        <v>243</v>
      </c>
      <c r="D4639" s="140" t="s">
        <v>11</v>
      </c>
      <c r="E4639" s="140" t="s">
        <v>52</v>
      </c>
      <c r="F4639">
        <v>884</v>
      </c>
      <c r="G4639" s="140" t="s">
        <v>408</v>
      </c>
      <c r="H4639">
        <v>0</v>
      </c>
      <c r="I4639" s="140" t="s">
        <v>17</v>
      </c>
    </row>
    <row r="4640" spans="1:9" hidden="1" x14ac:dyDescent="0.25">
      <c r="A4640">
        <v>2024</v>
      </c>
      <c r="B4640" s="140" t="s">
        <v>407</v>
      </c>
      <c r="C4640" s="140" t="s">
        <v>243</v>
      </c>
      <c r="D4640" s="140" t="s">
        <v>11</v>
      </c>
      <c r="E4640" s="140" t="s">
        <v>52</v>
      </c>
      <c r="F4640">
        <v>666</v>
      </c>
      <c r="G4640" s="140" t="s">
        <v>408</v>
      </c>
      <c r="H4640">
        <v>0</v>
      </c>
      <c r="I4640" s="140" t="s">
        <v>17</v>
      </c>
    </row>
    <row r="4641" spans="1:9" hidden="1" x14ac:dyDescent="0.25">
      <c r="A4641">
        <v>2025</v>
      </c>
      <c r="B4641" s="140" t="s">
        <v>407</v>
      </c>
      <c r="C4641" s="140" t="s">
        <v>243</v>
      </c>
      <c r="D4641" s="140" t="s">
        <v>11</v>
      </c>
      <c r="E4641" s="140" t="s">
        <v>52</v>
      </c>
      <c r="F4641">
        <v>667</v>
      </c>
      <c r="G4641" s="140" t="s">
        <v>408</v>
      </c>
      <c r="H4641">
        <v>0</v>
      </c>
      <c r="I4641" s="140" t="s">
        <v>17</v>
      </c>
    </row>
    <row r="4642" spans="1:9" hidden="1" x14ac:dyDescent="0.25">
      <c r="A4642">
        <v>2026</v>
      </c>
      <c r="B4642" s="140" t="s">
        <v>407</v>
      </c>
      <c r="C4642" s="140" t="s">
        <v>243</v>
      </c>
      <c r="D4642" s="140" t="s">
        <v>11</v>
      </c>
      <c r="E4642" s="140" t="s">
        <v>52</v>
      </c>
      <c r="F4642">
        <v>680.34</v>
      </c>
      <c r="G4642" s="140" t="s">
        <v>408</v>
      </c>
      <c r="H4642">
        <v>0</v>
      </c>
      <c r="I4642" s="140" t="s">
        <v>17</v>
      </c>
    </row>
    <row r="4643" spans="1:9" hidden="1" x14ac:dyDescent="0.25">
      <c r="A4643">
        <v>2027</v>
      </c>
      <c r="B4643" s="140" t="s">
        <v>407</v>
      </c>
      <c r="C4643" s="140" t="s">
        <v>243</v>
      </c>
      <c r="D4643" s="140" t="s">
        <v>11</v>
      </c>
      <c r="E4643" s="140" t="s">
        <v>52</v>
      </c>
      <c r="F4643">
        <v>693.94680000000005</v>
      </c>
      <c r="G4643" s="140" t="s">
        <v>408</v>
      </c>
      <c r="H4643">
        <v>0</v>
      </c>
      <c r="I4643" s="140" t="s">
        <v>17</v>
      </c>
    </row>
    <row r="4644" spans="1:9" hidden="1" x14ac:dyDescent="0.25">
      <c r="A4644">
        <v>2028</v>
      </c>
      <c r="B4644" s="140" t="s">
        <v>407</v>
      </c>
      <c r="C4644" s="140" t="s">
        <v>243</v>
      </c>
      <c r="D4644" s="140" t="s">
        <v>11</v>
      </c>
      <c r="E4644" s="140" t="s">
        <v>52</v>
      </c>
      <c r="F4644">
        <v>707.82573600000001</v>
      </c>
      <c r="G4644" s="140" t="s">
        <v>408</v>
      </c>
      <c r="H4644">
        <v>0</v>
      </c>
      <c r="I4644" s="140" t="s">
        <v>17</v>
      </c>
    </row>
    <row r="4645" spans="1:9" hidden="1" x14ac:dyDescent="0.25">
      <c r="A4645">
        <v>1990</v>
      </c>
      <c r="B4645" s="140" t="s">
        <v>409</v>
      </c>
      <c r="C4645" s="140" t="s">
        <v>243</v>
      </c>
      <c r="D4645" s="140" t="s">
        <v>11</v>
      </c>
      <c r="E4645" s="140" t="s">
        <v>52</v>
      </c>
      <c r="F4645">
        <v>13672</v>
      </c>
      <c r="G4645" s="140" t="s">
        <v>410</v>
      </c>
      <c r="H4645">
        <v>0</v>
      </c>
      <c r="I4645" s="140" t="s">
        <v>17</v>
      </c>
    </row>
    <row r="4646" spans="1:9" hidden="1" x14ac:dyDescent="0.25">
      <c r="A4646">
        <v>1991</v>
      </c>
      <c r="B4646" s="140" t="s">
        <v>409</v>
      </c>
      <c r="C4646" s="140" t="s">
        <v>243</v>
      </c>
      <c r="D4646" s="140" t="s">
        <v>11</v>
      </c>
      <c r="E4646" s="140" t="s">
        <v>52</v>
      </c>
      <c r="F4646">
        <v>13120</v>
      </c>
      <c r="G4646" s="140" t="s">
        <v>410</v>
      </c>
      <c r="H4646">
        <v>0</v>
      </c>
      <c r="I4646" s="140" t="s">
        <v>17</v>
      </c>
    </row>
    <row r="4647" spans="1:9" hidden="1" x14ac:dyDescent="0.25">
      <c r="A4647">
        <v>1992</v>
      </c>
      <c r="B4647" s="140" t="s">
        <v>409</v>
      </c>
      <c r="C4647" s="140" t="s">
        <v>243</v>
      </c>
      <c r="D4647" s="140" t="s">
        <v>11</v>
      </c>
      <c r="E4647" s="140" t="s">
        <v>52</v>
      </c>
      <c r="F4647">
        <v>12257</v>
      </c>
      <c r="G4647" s="140" t="s">
        <v>410</v>
      </c>
      <c r="H4647">
        <v>0</v>
      </c>
      <c r="I4647" s="140" t="s">
        <v>17</v>
      </c>
    </row>
    <row r="4648" spans="1:9" hidden="1" x14ac:dyDescent="0.25">
      <c r="A4648">
        <v>1993</v>
      </c>
      <c r="B4648" s="140" t="s">
        <v>409</v>
      </c>
      <c r="C4648" s="140" t="s">
        <v>243</v>
      </c>
      <c r="D4648" s="140" t="s">
        <v>11</v>
      </c>
      <c r="E4648" s="140" t="s">
        <v>52</v>
      </c>
      <c r="F4648">
        <v>12634</v>
      </c>
      <c r="G4648" s="140" t="s">
        <v>410</v>
      </c>
      <c r="H4648">
        <v>0</v>
      </c>
      <c r="I4648" s="140" t="s">
        <v>17</v>
      </c>
    </row>
    <row r="4649" spans="1:9" hidden="1" x14ac:dyDescent="0.25">
      <c r="A4649">
        <v>1994</v>
      </c>
      <c r="B4649" s="140" t="s">
        <v>409</v>
      </c>
      <c r="C4649" s="140" t="s">
        <v>243</v>
      </c>
      <c r="D4649" s="140" t="s">
        <v>11</v>
      </c>
      <c r="E4649" s="140" t="s">
        <v>52</v>
      </c>
      <c r="F4649">
        <v>14365</v>
      </c>
      <c r="G4649" s="140" t="s">
        <v>410</v>
      </c>
      <c r="H4649">
        <v>0</v>
      </c>
      <c r="I4649" s="140" t="s">
        <v>17</v>
      </c>
    </row>
    <row r="4650" spans="1:9" hidden="1" x14ac:dyDescent="0.25">
      <c r="A4650">
        <v>1995</v>
      </c>
      <c r="B4650" s="140" t="s">
        <v>409</v>
      </c>
      <c r="C4650" s="140" t="s">
        <v>243</v>
      </c>
      <c r="D4650" s="140" t="s">
        <v>11</v>
      </c>
      <c r="E4650" s="140" t="s">
        <v>52</v>
      </c>
      <c r="F4650">
        <v>14087</v>
      </c>
      <c r="G4650" s="140" t="s">
        <v>410</v>
      </c>
      <c r="H4650">
        <v>0</v>
      </c>
      <c r="I4650" s="140" t="s">
        <v>17</v>
      </c>
    </row>
    <row r="4651" spans="1:9" hidden="1" x14ac:dyDescent="0.25">
      <c r="A4651">
        <v>1996</v>
      </c>
      <c r="B4651" s="140" t="s">
        <v>409</v>
      </c>
      <c r="C4651" s="140" t="s">
        <v>243</v>
      </c>
      <c r="D4651" s="140" t="s">
        <v>11</v>
      </c>
      <c r="E4651" s="140" t="s">
        <v>52</v>
      </c>
      <c r="F4651">
        <v>15714</v>
      </c>
      <c r="G4651" s="140" t="s">
        <v>410</v>
      </c>
      <c r="H4651">
        <v>0</v>
      </c>
      <c r="I4651" s="140" t="s">
        <v>17</v>
      </c>
    </row>
    <row r="4652" spans="1:9" hidden="1" x14ac:dyDescent="0.25">
      <c r="A4652">
        <v>1997</v>
      </c>
      <c r="B4652" s="140" t="s">
        <v>409</v>
      </c>
      <c r="C4652" s="140" t="s">
        <v>243</v>
      </c>
      <c r="D4652" s="140" t="s">
        <v>11</v>
      </c>
      <c r="E4652" s="140" t="s">
        <v>52</v>
      </c>
      <c r="F4652">
        <v>15781</v>
      </c>
      <c r="G4652" s="140" t="s">
        <v>410</v>
      </c>
      <c r="H4652">
        <v>0</v>
      </c>
      <c r="I4652" s="140" t="s">
        <v>17</v>
      </c>
    </row>
    <row r="4653" spans="1:9" hidden="1" x14ac:dyDescent="0.25">
      <c r="A4653">
        <v>1998</v>
      </c>
      <c r="B4653" s="140" t="s">
        <v>409</v>
      </c>
      <c r="C4653" s="140" t="s">
        <v>243</v>
      </c>
      <c r="D4653" s="140" t="s">
        <v>11</v>
      </c>
      <c r="E4653" s="140" t="s">
        <v>52</v>
      </c>
      <c r="F4653">
        <v>16672</v>
      </c>
      <c r="G4653" s="140" t="s">
        <v>410</v>
      </c>
      <c r="H4653">
        <v>0</v>
      </c>
      <c r="I4653" s="140" t="s">
        <v>17</v>
      </c>
    </row>
    <row r="4654" spans="1:9" hidden="1" x14ac:dyDescent="0.25">
      <c r="A4654">
        <v>1999</v>
      </c>
      <c r="B4654" s="140" t="s">
        <v>409</v>
      </c>
      <c r="C4654" s="140" t="s">
        <v>243</v>
      </c>
      <c r="D4654" s="140" t="s">
        <v>11</v>
      </c>
      <c r="E4654" s="140" t="s">
        <v>52</v>
      </c>
      <c r="F4654">
        <v>17049</v>
      </c>
      <c r="G4654" s="140" t="s">
        <v>410</v>
      </c>
      <c r="H4654">
        <v>0</v>
      </c>
      <c r="I4654" s="140" t="s">
        <v>17</v>
      </c>
    </row>
    <row r="4655" spans="1:9" hidden="1" x14ac:dyDescent="0.25">
      <c r="A4655">
        <v>2000</v>
      </c>
      <c r="B4655" s="140" t="s">
        <v>409</v>
      </c>
      <c r="C4655" s="140" t="s">
        <v>243</v>
      </c>
      <c r="D4655" s="140" t="s">
        <v>11</v>
      </c>
      <c r="E4655" s="140" t="s">
        <v>52</v>
      </c>
      <c r="F4655">
        <v>19769</v>
      </c>
      <c r="G4655" s="140" t="s">
        <v>410</v>
      </c>
      <c r="H4655">
        <v>0</v>
      </c>
      <c r="I4655" s="140" t="s">
        <v>17</v>
      </c>
    </row>
    <row r="4656" spans="1:9" hidden="1" x14ac:dyDescent="0.25">
      <c r="A4656">
        <v>2001</v>
      </c>
      <c r="B4656" s="140" t="s">
        <v>409</v>
      </c>
      <c r="C4656" s="140" t="s">
        <v>243</v>
      </c>
      <c r="D4656" s="140" t="s">
        <v>11</v>
      </c>
      <c r="E4656" s="140" t="s">
        <v>52</v>
      </c>
      <c r="F4656">
        <v>20258</v>
      </c>
      <c r="G4656" s="140" t="s">
        <v>410</v>
      </c>
      <c r="H4656">
        <v>0</v>
      </c>
      <c r="I4656" s="140" t="s">
        <v>17</v>
      </c>
    </row>
    <row r="4657" spans="1:9" hidden="1" x14ac:dyDescent="0.25">
      <c r="A4657">
        <v>2002</v>
      </c>
      <c r="B4657" s="140" t="s">
        <v>409</v>
      </c>
      <c r="C4657" s="140" t="s">
        <v>243</v>
      </c>
      <c r="D4657" s="140" t="s">
        <v>11</v>
      </c>
      <c r="E4657" s="140" t="s">
        <v>52</v>
      </c>
      <c r="F4657">
        <v>20698</v>
      </c>
      <c r="G4657" s="140" t="s">
        <v>410</v>
      </c>
      <c r="H4657">
        <v>0</v>
      </c>
      <c r="I4657" s="140" t="s">
        <v>17</v>
      </c>
    </row>
    <row r="4658" spans="1:9" hidden="1" x14ac:dyDescent="0.25">
      <c r="A4658">
        <v>2003</v>
      </c>
      <c r="B4658" s="140" t="s">
        <v>409</v>
      </c>
      <c r="C4658" s="140" t="s">
        <v>243</v>
      </c>
      <c r="D4658" s="140" t="s">
        <v>11</v>
      </c>
      <c r="E4658" s="140" t="s">
        <v>52</v>
      </c>
      <c r="F4658">
        <v>20553</v>
      </c>
      <c r="G4658" s="140" t="s">
        <v>410</v>
      </c>
      <c r="H4658">
        <v>0</v>
      </c>
      <c r="I4658" s="140" t="s">
        <v>17</v>
      </c>
    </row>
    <row r="4659" spans="1:9" hidden="1" x14ac:dyDescent="0.25">
      <c r="A4659">
        <v>2004</v>
      </c>
      <c r="B4659" s="140" t="s">
        <v>409</v>
      </c>
      <c r="C4659" s="140" t="s">
        <v>243</v>
      </c>
      <c r="D4659" s="140" t="s">
        <v>11</v>
      </c>
      <c r="E4659" s="140" t="s">
        <v>52</v>
      </c>
      <c r="F4659">
        <v>21175</v>
      </c>
      <c r="G4659" s="140" t="s">
        <v>410</v>
      </c>
      <c r="H4659">
        <v>0</v>
      </c>
      <c r="I4659" s="140" t="s">
        <v>17</v>
      </c>
    </row>
    <row r="4660" spans="1:9" hidden="1" x14ac:dyDescent="0.25">
      <c r="A4660">
        <v>2005</v>
      </c>
      <c r="B4660" s="140" t="s">
        <v>409</v>
      </c>
      <c r="C4660" s="140" t="s">
        <v>243</v>
      </c>
      <c r="D4660" s="140" t="s">
        <v>11</v>
      </c>
      <c r="E4660" s="140" t="s">
        <v>52</v>
      </c>
      <c r="F4660">
        <v>22165</v>
      </c>
      <c r="G4660" s="140" t="s">
        <v>410</v>
      </c>
      <c r="H4660">
        <v>0</v>
      </c>
      <c r="I4660" s="140" t="s">
        <v>17</v>
      </c>
    </row>
    <row r="4661" spans="1:9" hidden="1" x14ac:dyDescent="0.25">
      <c r="A4661">
        <v>2006</v>
      </c>
      <c r="B4661" s="140" t="s">
        <v>409</v>
      </c>
      <c r="C4661" s="140" t="s">
        <v>243</v>
      </c>
      <c r="D4661" s="140" t="s">
        <v>11</v>
      </c>
      <c r="E4661" s="140" t="s">
        <v>52</v>
      </c>
      <c r="F4661">
        <v>22912</v>
      </c>
      <c r="G4661" s="140" t="s">
        <v>410</v>
      </c>
      <c r="H4661">
        <v>0</v>
      </c>
      <c r="I4661" s="140" t="s">
        <v>17</v>
      </c>
    </row>
    <row r="4662" spans="1:9" hidden="1" x14ac:dyDescent="0.25">
      <c r="A4662">
        <v>2007</v>
      </c>
      <c r="B4662" s="140" t="s">
        <v>409</v>
      </c>
      <c r="C4662" s="140" t="s">
        <v>243</v>
      </c>
      <c r="D4662" s="140" t="s">
        <v>11</v>
      </c>
      <c r="E4662" s="140" t="s">
        <v>52</v>
      </c>
      <c r="F4662">
        <v>24332</v>
      </c>
      <c r="G4662" s="140" t="s">
        <v>410</v>
      </c>
      <c r="H4662">
        <v>0</v>
      </c>
      <c r="I4662" s="140" t="s">
        <v>17</v>
      </c>
    </row>
    <row r="4663" spans="1:9" hidden="1" x14ac:dyDescent="0.25">
      <c r="A4663">
        <v>2008</v>
      </c>
      <c r="B4663" s="140" t="s">
        <v>409</v>
      </c>
      <c r="C4663" s="140" t="s">
        <v>243</v>
      </c>
      <c r="D4663" s="140" t="s">
        <v>11</v>
      </c>
      <c r="E4663" s="140" t="s">
        <v>52</v>
      </c>
      <c r="F4663">
        <v>25583</v>
      </c>
      <c r="G4663" s="140" t="s">
        <v>410</v>
      </c>
      <c r="H4663">
        <v>0</v>
      </c>
      <c r="I4663" s="140" t="s">
        <v>17</v>
      </c>
    </row>
    <row r="4664" spans="1:9" hidden="1" x14ac:dyDescent="0.25">
      <c r="A4664">
        <v>2009</v>
      </c>
      <c r="B4664" s="140" t="s">
        <v>409</v>
      </c>
      <c r="C4664" s="140" t="s">
        <v>243</v>
      </c>
      <c r="D4664" s="140" t="s">
        <v>11</v>
      </c>
      <c r="E4664" s="140" t="s">
        <v>52</v>
      </c>
      <c r="F4664">
        <v>24034</v>
      </c>
      <c r="G4664" s="140" t="s">
        <v>410</v>
      </c>
      <c r="H4664">
        <v>0</v>
      </c>
      <c r="I4664" s="140" t="s">
        <v>17</v>
      </c>
    </row>
    <row r="4665" spans="1:9" hidden="1" x14ac:dyDescent="0.25">
      <c r="A4665">
        <v>2010</v>
      </c>
      <c r="B4665" s="140" t="s">
        <v>409</v>
      </c>
      <c r="C4665" s="140" t="s">
        <v>243</v>
      </c>
      <c r="D4665" s="140" t="s">
        <v>11</v>
      </c>
      <c r="E4665" s="140" t="s">
        <v>52</v>
      </c>
      <c r="F4665">
        <v>23137</v>
      </c>
      <c r="G4665" s="140" t="s">
        <v>410</v>
      </c>
      <c r="H4665">
        <v>0</v>
      </c>
      <c r="I4665" s="140" t="s">
        <v>17</v>
      </c>
    </row>
    <row r="4666" spans="1:9" hidden="1" x14ac:dyDescent="0.25">
      <c r="A4666">
        <v>2011</v>
      </c>
      <c r="B4666" s="140" t="s">
        <v>409</v>
      </c>
      <c r="C4666" s="140" t="s">
        <v>243</v>
      </c>
      <c r="D4666" s="140" t="s">
        <v>11</v>
      </c>
      <c r="E4666" s="140" t="s">
        <v>52</v>
      </c>
      <c r="F4666">
        <v>24817</v>
      </c>
      <c r="G4666" s="140" t="s">
        <v>410</v>
      </c>
      <c r="H4666">
        <v>0</v>
      </c>
      <c r="I4666" s="140" t="s">
        <v>17</v>
      </c>
    </row>
    <row r="4667" spans="1:9" hidden="1" x14ac:dyDescent="0.25">
      <c r="A4667">
        <v>2012</v>
      </c>
      <c r="B4667" s="140" t="s">
        <v>409</v>
      </c>
      <c r="C4667" s="140" t="s">
        <v>243</v>
      </c>
      <c r="D4667" s="140" t="s">
        <v>11</v>
      </c>
      <c r="E4667" s="140" t="s">
        <v>52</v>
      </c>
      <c r="F4667">
        <v>25656</v>
      </c>
      <c r="G4667" s="140" t="s">
        <v>410</v>
      </c>
      <c r="H4667">
        <v>0</v>
      </c>
      <c r="I4667" s="140" t="s">
        <v>17</v>
      </c>
    </row>
    <row r="4668" spans="1:9" hidden="1" x14ac:dyDescent="0.25">
      <c r="A4668">
        <v>2013</v>
      </c>
      <c r="B4668" s="140" t="s">
        <v>409</v>
      </c>
      <c r="C4668" s="140" t="s">
        <v>243</v>
      </c>
      <c r="D4668" s="140" t="s">
        <v>11</v>
      </c>
      <c r="E4668" s="140" t="s">
        <v>52</v>
      </c>
      <c r="F4668">
        <v>26742</v>
      </c>
      <c r="G4668" s="140" t="s">
        <v>410</v>
      </c>
      <c r="H4668">
        <v>0</v>
      </c>
      <c r="I4668" s="140" t="s">
        <v>17</v>
      </c>
    </row>
    <row r="4669" spans="1:9" hidden="1" x14ac:dyDescent="0.25">
      <c r="A4669">
        <v>2014</v>
      </c>
      <c r="B4669" s="140" t="s">
        <v>409</v>
      </c>
      <c r="C4669" s="140" t="s">
        <v>243</v>
      </c>
      <c r="D4669" s="140" t="s">
        <v>11</v>
      </c>
      <c r="E4669" s="140" t="s">
        <v>52</v>
      </c>
      <c r="F4669">
        <v>28280</v>
      </c>
      <c r="G4669" s="140" t="s">
        <v>410</v>
      </c>
      <c r="H4669">
        <v>0</v>
      </c>
      <c r="I4669" s="140" t="s">
        <v>17</v>
      </c>
    </row>
    <row r="4670" spans="1:9" hidden="1" x14ac:dyDescent="0.25">
      <c r="A4670">
        <v>2015</v>
      </c>
      <c r="B4670" s="140" t="s">
        <v>409</v>
      </c>
      <c r="C4670" s="140" t="s">
        <v>243</v>
      </c>
      <c r="D4670" s="140" t="s">
        <v>11</v>
      </c>
      <c r="E4670" s="140" t="s">
        <v>52</v>
      </c>
      <c r="F4670">
        <v>28625</v>
      </c>
      <c r="G4670" s="140" t="s">
        <v>410</v>
      </c>
      <c r="H4670">
        <v>0</v>
      </c>
      <c r="I4670" s="140" t="s">
        <v>17</v>
      </c>
    </row>
    <row r="4671" spans="1:9" hidden="1" x14ac:dyDescent="0.25">
      <c r="A4671">
        <v>2016</v>
      </c>
      <c r="B4671" s="140" t="s">
        <v>409</v>
      </c>
      <c r="C4671" s="140" t="s">
        <v>243</v>
      </c>
      <c r="D4671" s="140" t="s">
        <v>11</v>
      </c>
      <c r="E4671" s="140" t="s">
        <v>52</v>
      </c>
      <c r="F4671">
        <v>29081</v>
      </c>
      <c r="G4671" s="140" t="s">
        <v>410</v>
      </c>
      <c r="H4671">
        <v>0</v>
      </c>
      <c r="I4671" s="140" t="s">
        <v>17</v>
      </c>
    </row>
    <row r="4672" spans="1:9" hidden="1" x14ac:dyDescent="0.25">
      <c r="A4672">
        <v>2017</v>
      </c>
      <c r="B4672" s="140" t="s">
        <v>409</v>
      </c>
      <c r="C4672" s="140" t="s">
        <v>243</v>
      </c>
      <c r="D4672" s="140" t="s">
        <v>11</v>
      </c>
      <c r="E4672" s="140" t="s">
        <v>52</v>
      </c>
      <c r="F4672">
        <v>29282</v>
      </c>
      <c r="G4672" s="140" t="s">
        <v>410</v>
      </c>
      <c r="H4672">
        <v>0</v>
      </c>
      <c r="I4672" s="140" t="s">
        <v>17</v>
      </c>
    </row>
    <row r="4673" spans="1:9" hidden="1" x14ac:dyDescent="0.25">
      <c r="A4673">
        <v>2018</v>
      </c>
      <c r="B4673" s="140" t="s">
        <v>409</v>
      </c>
      <c r="C4673" s="140" t="s">
        <v>243</v>
      </c>
      <c r="D4673" s="140" t="s">
        <v>11</v>
      </c>
      <c r="E4673" s="140" t="s">
        <v>52</v>
      </c>
      <c r="F4673">
        <v>29595</v>
      </c>
      <c r="G4673" s="140" t="s">
        <v>410</v>
      </c>
      <c r="H4673">
        <v>0</v>
      </c>
      <c r="I4673" s="140" t="s">
        <v>17</v>
      </c>
    </row>
    <row r="4674" spans="1:9" hidden="1" x14ac:dyDescent="0.25">
      <c r="A4674">
        <v>2019</v>
      </c>
      <c r="B4674" s="140" t="s">
        <v>409</v>
      </c>
      <c r="C4674" s="140" t="s">
        <v>243</v>
      </c>
      <c r="D4674" s="140" t="s">
        <v>11</v>
      </c>
      <c r="E4674" s="140" t="s">
        <v>52</v>
      </c>
      <c r="F4674">
        <v>30394</v>
      </c>
      <c r="G4674" s="140" t="s">
        <v>410</v>
      </c>
      <c r="H4674">
        <v>0</v>
      </c>
      <c r="I4674" s="140" t="s">
        <v>17</v>
      </c>
    </row>
    <row r="4675" spans="1:9" hidden="1" x14ac:dyDescent="0.25">
      <c r="A4675">
        <v>2020</v>
      </c>
      <c r="B4675" s="140" t="s">
        <v>409</v>
      </c>
      <c r="C4675" s="140" t="s">
        <v>243</v>
      </c>
      <c r="D4675" s="140" t="s">
        <v>11</v>
      </c>
      <c r="E4675" s="140" t="s">
        <v>52</v>
      </c>
      <c r="F4675">
        <v>30888</v>
      </c>
      <c r="G4675" s="140" t="s">
        <v>410</v>
      </c>
      <c r="H4675">
        <v>0</v>
      </c>
      <c r="I4675" s="140" t="s">
        <v>17</v>
      </c>
    </row>
    <row r="4676" spans="1:9" hidden="1" x14ac:dyDescent="0.25">
      <c r="A4676">
        <v>2021</v>
      </c>
      <c r="B4676" s="140" t="s">
        <v>409</v>
      </c>
      <c r="C4676" s="140" t="s">
        <v>243</v>
      </c>
      <c r="D4676" s="140" t="s">
        <v>11</v>
      </c>
      <c r="E4676" s="140" t="s">
        <v>52</v>
      </c>
      <c r="F4676">
        <v>33270</v>
      </c>
      <c r="G4676" s="140" t="s">
        <v>410</v>
      </c>
      <c r="H4676">
        <v>0</v>
      </c>
      <c r="I4676" s="140" t="s">
        <v>17</v>
      </c>
    </row>
    <row r="4677" spans="1:9" hidden="1" x14ac:dyDescent="0.25">
      <c r="A4677">
        <v>2022</v>
      </c>
      <c r="B4677" s="140" t="s">
        <v>409</v>
      </c>
      <c r="C4677" s="140" t="s">
        <v>243</v>
      </c>
      <c r="D4677" s="140" t="s">
        <v>11</v>
      </c>
      <c r="E4677" s="140" t="s">
        <v>52</v>
      </c>
      <c r="F4677">
        <v>35572</v>
      </c>
      <c r="G4677" s="140" t="s">
        <v>410</v>
      </c>
      <c r="H4677">
        <v>0</v>
      </c>
      <c r="I4677" s="140" t="s">
        <v>17</v>
      </c>
    </row>
    <row r="4678" spans="1:9" hidden="1" x14ac:dyDescent="0.25">
      <c r="A4678">
        <v>2023</v>
      </c>
      <c r="B4678" s="140" t="s">
        <v>409</v>
      </c>
      <c r="C4678" s="140" t="s">
        <v>243</v>
      </c>
      <c r="D4678" s="140" t="s">
        <v>11</v>
      </c>
      <c r="E4678" s="140" t="s">
        <v>52</v>
      </c>
      <c r="F4678">
        <v>35734</v>
      </c>
      <c r="G4678" s="140" t="s">
        <v>410</v>
      </c>
      <c r="H4678">
        <v>0</v>
      </c>
      <c r="I4678" s="140" t="s">
        <v>17</v>
      </c>
    </row>
    <row r="4679" spans="1:9" hidden="1" x14ac:dyDescent="0.25">
      <c r="A4679">
        <v>2024</v>
      </c>
      <c r="B4679" s="140" t="s">
        <v>409</v>
      </c>
      <c r="C4679" s="140" t="s">
        <v>243</v>
      </c>
      <c r="D4679" s="140" t="s">
        <v>11</v>
      </c>
      <c r="E4679" s="140" t="s">
        <v>52</v>
      </c>
      <c r="F4679">
        <v>36962</v>
      </c>
      <c r="G4679" s="140" t="s">
        <v>410</v>
      </c>
      <c r="H4679">
        <v>0</v>
      </c>
      <c r="I4679" s="140" t="s">
        <v>17</v>
      </c>
    </row>
    <row r="4680" spans="1:9" hidden="1" x14ac:dyDescent="0.25">
      <c r="A4680">
        <v>2025</v>
      </c>
      <c r="B4680" s="140" t="s">
        <v>409</v>
      </c>
      <c r="C4680" s="140" t="s">
        <v>243</v>
      </c>
      <c r="D4680" s="140" t="s">
        <v>11</v>
      </c>
      <c r="E4680" s="140" t="s">
        <v>52</v>
      </c>
      <c r="F4680">
        <v>37519</v>
      </c>
      <c r="G4680" s="140" t="s">
        <v>410</v>
      </c>
      <c r="H4680">
        <v>0</v>
      </c>
      <c r="I4680" s="140" t="s">
        <v>17</v>
      </c>
    </row>
    <row r="4681" spans="1:9" hidden="1" x14ac:dyDescent="0.25">
      <c r="A4681">
        <v>2026</v>
      </c>
      <c r="B4681" s="140" t="s">
        <v>409</v>
      </c>
      <c r="C4681" s="140" t="s">
        <v>243</v>
      </c>
      <c r="D4681" s="140" t="s">
        <v>11</v>
      </c>
      <c r="E4681" s="140" t="s">
        <v>52</v>
      </c>
      <c r="F4681">
        <v>37905.445699999997</v>
      </c>
      <c r="G4681" s="140" t="s">
        <v>410</v>
      </c>
      <c r="H4681">
        <v>0</v>
      </c>
      <c r="I4681" s="140" t="s">
        <v>17</v>
      </c>
    </row>
    <row r="4682" spans="1:9" hidden="1" x14ac:dyDescent="0.25">
      <c r="A4682">
        <v>2027</v>
      </c>
      <c r="B4682" s="140" t="s">
        <v>409</v>
      </c>
      <c r="C4682" s="140" t="s">
        <v>243</v>
      </c>
      <c r="D4682" s="140" t="s">
        <v>11</v>
      </c>
      <c r="E4682" s="140" t="s">
        <v>52</v>
      </c>
      <c r="F4682">
        <v>39391.339169999999</v>
      </c>
      <c r="G4682" s="140" t="s">
        <v>410</v>
      </c>
      <c r="H4682">
        <v>0</v>
      </c>
      <c r="I4682" s="140" t="s">
        <v>17</v>
      </c>
    </row>
    <row r="4683" spans="1:9" hidden="1" x14ac:dyDescent="0.25">
      <c r="A4683">
        <v>2028</v>
      </c>
      <c r="B4683" s="140" t="s">
        <v>409</v>
      </c>
      <c r="C4683" s="140" t="s">
        <v>243</v>
      </c>
      <c r="D4683" s="140" t="s">
        <v>11</v>
      </c>
      <c r="E4683" s="140" t="s">
        <v>52</v>
      </c>
      <c r="F4683">
        <v>41388.480069999998</v>
      </c>
      <c r="G4683" s="140" t="s">
        <v>410</v>
      </c>
      <c r="H4683">
        <v>0</v>
      </c>
      <c r="I4683" s="140" t="s">
        <v>17</v>
      </c>
    </row>
    <row r="4684" spans="1:9" hidden="1" x14ac:dyDescent="0.25">
      <c r="A4684">
        <v>1990</v>
      </c>
      <c r="B4684" s="140" t="s">
        <v>411</v>
      </c>
      <c r="C4684" s="140" t="s">
        <v>243</v>
      </c>
      <c r="D4684" s="140" t="s">
        <v>11</v>
      </c>
      <c r="E4684" s="140" t="s">
        <v>52</v>
      </c>
      <c r="F4684">
        <v>11999</v>
      </c>
      <c r="G4684" s="140" t="s">
        <v>412</v>
      </c>
      <c r="H4684">
        <v>0</v>
      </c>
      <c r="I4684" s="140" t="s">
        <v>17</v>
      </c>
    </row>
    <row r="4685" spans="1:9" hidden="1" x14ac:dyDescent="0.25">
      <c r="A4685">
        <v>1991</v>
      </c>
      <c r="B4685" s="140" t="s">
        <v>411</v>
      </c>
      <c r="C4685" s="140" t="s">
        <v>243</v>
      </c>
      <c r="D4685" s="140" t="s">
        <v>11</v>
      </c>
      <c r="E4685" s="140" t="s">
        <v>52</v>
      </c>
      <c r="F4685">
        <v>12138</v>
      </c>
      <c r="G4685" s="140" t="s">
        <v>412</v>
      </c>
      <c r="H4685">
        <v>0</v>
      </c>
      <c r="I4685" s="140" t="s">
        <v>17</v>
      </c>
    </row>
    <row r="4686" spans="1:9" hidden="1" x14ac:dyDescent="0.25">
      <c r="A4686">
        <v>1992</v>
      </c>
      <c r="B4686" s="140" t="s">
        <v>411</v>
      </c>
      <c r="C4686" s="140" t="s">
        <v>243</v>
      </c>
      <c r="D4686" s="140" t="s">
        <v>11</v>
      </c>
      <c r="E4686" s="140" t="s">
        <v>52</v>
      </c>
      <c r="F4686">
        <v>12738</v>
      </c>
      <c r="G4686" s="140" t="s">
        <v>412</v>
      </c>
      <c r="H4686">
        <v>0</v>
      </c>
      <c r="I4686" s="140" t="s">
        <v>17</v>
      </c>
    </row>
    <row r="4687" spans="1:9" hidden="1" x14ac:dyDescent="0.25">
      <c r="A4687">
        <v>1993</v>
      </c>
      <c r="B4687" s="140" t="s">
        <v>411</v>
      </c>
      <c r="C4687" s="140" t="s">
        <v>243</v>
      </c>
      <c r="D4687" s="140" t="s">
        <v>11</v>
      </c>
      <c r="E4687" s="140" t="s">
        <v>52</v>
      </c>
      <c r="F4687">
        <v>13100</v>
      </c>
      <c r="G4687" s="140" t="s">
        <v>412</v>
      </c>
      <c r="H4687">
        <v>0</v>
      </c>
      <c r="I4687" s="140" t="s">
        <v>17</v>
      </c>
    </row>
    <row r="4688" spans="1:9" hidden="1" x14ac:dyDescent="0.25">
      <c r="A4688">
        <v>1994</v>
      </c>
      <c r="B4688" s="140" t="s">
        <v>411</v>
      </c>
      <c r="C4688" s="140" t="s">
        <v>243</v>
      </c>
      <c r="D4688" s="140" t="s">
        <v>11</v>
      </c>
      <c r="E4688" s="140" t="s">
        <v>52</v>
      </c>
      <c r="F4688">
        <v>14468</v>
      </c>
      <c r="G4688" s="140" t="s">
        <v>412</v>
      </c>
      <c r="H4688">
        <v>0</v>
      </c>
      <c r="I4688" s="140" t="s">
        <v>17</v>
      </c>
    </row>
    <row r="4689" spans="1:9" hidden="1" x14ac:dyDescent="0.25">
      <c r="A4689">
        <v>1995</v>
      </c>
      <c r="B4689" s="140" t="s">
        <v>411</v>
      </c>
      <c r="C4689" s="140" t="s">
        <v>243</v>
      </c>
      <c r="D4689" s="140" t="s">
        <v>11</v>
      </c>
      <c r="E4689" s="140" t="s">
        <v>52</v>
      </c>
      <c r="F4689">
        <v>14724</v>
      </c>
      <c r="G4689" s="140" t="s">
        <v>412</v>
      </c>
      <c r="H4689">
        <v>0</v>
      </c>
      <c r="I4689" s="140" t="s">
        <v>17</v>
      </c>
    </row>
    <row r="4690" spans="1:9" hidden="1" x14ac:dyDescent="0.25">
      <c r="A4690">
        <v>1996</v>
      </c>
      <c r="B4690" s="140" t="s">
        <v>411</v>
      </c>
      <c r="C4690" s="140" t="s">
        <v>243</v>
      </c>
      <c r="D4690" s="140" t="s">
        <v>11</v>
      </c>
      <c r="E4690" s="140" t="s">
        <v>52</v>
      </c>
      <c r="F4690">
        <v>14734</v>
      </c>
      <c r="G4690" s="140" t="s">
        <v>412</v>
      </c>
      <c r="H4690">
        <v>0</v>
      </c>
      <c r="I4690" s="140" t="s">
        <v>17</v>
      </c>
    </row>
    <row r="4691" spans="1:9" hidden="1" x14ac:dyDescent="0.25">
      <c r="A4691">
        <v>1997</v>
      </c>
      <c r="B4691" s="140" t="s">
        <v>411</v>
      </c>
      <c r="C4691" s="140" t="s">
        <v>243</v>
      </c>
      <c r="D4691" s="140" t="s">
        <v>11</v>
      </c>
      <c r="E4691" s="140" t="s">
        <v>52</v>
      </c>
      <c r="F4691">
        <v>15168</v>
      </c>
      <c r="G4691" s="140" t="s">
        <v>412</v>
      </c>
      <c r="H4691">
        <v>0</v>
      </c>
      <c r="I4691" s="140" t="s">
        <v>17</v>
      </c>
    </row>
    <row r="4692" spans="1:9" hidden="1" x14ac:dyDescent="0.25">
      <c r="A4692">
        <v>1998</v>
      </c>
      <c r="B4692" s="140" t="s">
        <v>411</v>
      </c>
      <c r="C4692" s="140" t="s">
        <v>243</v>
      </c>
      <c r="D4692" s="140" t="s">
        <v>11</v>
      </c>
      <c r="E4692" s="140" t="s">
        <v>52</v>
      </c>
      <c r="F4692">
        <v>16154</v>
      </c>
      <c r="G4692" s="140" t="s">
        <v>412</v>
      </c>
      <c r="H4692">
        <v>0</v>
      </c>
      <c r="I4692" s="140" t="s">
        <v>17</v>
      </c>
    </row>
    <row r="4693" spans="1:9" hidden="1" x14ac:dyDescent="0.25">
      <c r="A4693">
        <v>1999</v>
      </c>
      <c r="B4693" s="140" t="s">
        <v>411</v>
      </c>
      <c r="C4693" s="140" t="s">
        <v>243</v>
      </c>
      <c r="D4693" s="140" t="s">
        <v>11</v>
      </c>
      <c r="E4693" s="140" t="s">
        <v>52</v>
      </c>
      <c r="F4693">
        <v>16823</v>
      </c>
      <c r="G4693" s="140" t="s">
        <v>412</v>
      </c>
      <c r="H4693">
        <v>0</v>
      </c>
      <c r="I4693" s="140" t="s">
        <v>17</v>
      </c>
    </row>
    <row r="4694" spans="1:9" hidden="1" x14ac:dyDescent="0.25">
      <c r="A4694">
        <v>2000</v>
      </c>
      <c r="B4694" s="140" t="s">
        <v>411</v>
      </c>
      <c r="C4694" s="140" t="s">
        <v>243</v>
      </c>
      <c r="D4694" s="140" t="s">
        <v>11</v>
      </c>
      <c r="E4694" s="140" t="s">
        <v>52</v>
      </c>
      <c r="F4694">
        <v>17583</v>
      </c>
      <c r="G4694" s="140" t="s">
        <v>412</v>
      </c>
      <c r="H4694">
        <v>0</v>
      </c>
      <c r="I4694" s="140" t="s">
        <v>17</v>
      </c>
    </row>
    <row r="4695" spans="1:9" hidden="1" x14ac:dyDescent="0.25">
      <c r="A4695">
        <v>2001</v>
      </c>
      <c r="B4695" s="140" t="s">
        <v>411</v>
      </c>
      <c r="C4695" s="140" t="s">
        <v>243</v>
      </c>
      <c r="D4695" s="140" t="s">
        <v>11</v>
      </c>
      <c r="E4695" s="140" t="s">
        <v>52</v>
      </c>
      <c r="F4695">
        <v>18618</v>
      </c>
      <c r="G4695" s="140" t="s">
        <v>412</v>
      </c>
      <c r="H4695">
        <v>0</v>
      </c>
      <c r="I4695" s="140" t="s">
        <v>17</v>
      </c>
    </row>
    <row r="4696" spans="1:9" hidden="1" x14ac:dyDescent="0.25">
      <c r="A4696">
        <v>2002</v>
      </c>
      <c r="B4696" s="140" t="s">
        <v>411</v>
      </c>
      <c r="C4696" s="140" t="s">
        <v>243</v>
      </c>
      <c r="D4696" s="140" t="s">
        <v>11</v>
      </c>
      <c r="E4696" s="140" t="s">
        <v>52</v>
      </c>
      <c r="F4696">
        <v>18607</v>
      </c>
      <c r="G4696" s="140" t="s">
        <v>412</v>
      </c>
      <c r="H4696">
        <v>0</v>
      </c>
      <c r="I4696" s="140" t="s">
        <v>17</v>
      </c>
    </row>
    <row r="4697" spans="1:9" hidden="1" x14ac:dyDescent="0.25">
      <c r="A4697">
        <v>2003</v>
      </c>
      <c r="B4697" s="140" t="s">
        <v>411</v>
      </c>
      <c r="C4697" s="140" t="s">
        <v>243</v>
      </c>
      <c r="D4697" s="140" t="s">
        <v>11</v>
      </c>
      <c r="E4697" s="140" t="s">
        <v>52</v>
      </c>
      <c r="F4697">
        <v>18555</v>
      </c>
      <c r="G4697" s="140" t="s">
        <v>412</v>
      </c>
      <c r="H4697">
        <v>0</v>
      </c>
      <c r="I4697" s="140" t="s">
        <v>17</v>
      </c>
    </row>
    <row r="4698" spans="1:9" hidden="1" x14ac:dyDescent="0.25">
      <c r="A4698">
        <v>2004</v>
      </c>
      <c r="B4698" s="140" t="s">
        <v>411</v>
      </c>
      <c r="C4698" s="140" t="s">
        <v>243</v>
      </c>
      <c r="D4698" s="140" t="s">
        <v>11</v>
      </c>
      <c r="E4698" s="140" t="s">
        <v>52</v>
      </c>
      <c r="F4698">
        <v>19200</v>
      </c>
      <c r="G4698" s="140" t="s">
        <v>412</v>
      </c>
      <c r="H4698">
        <v>0</v>
      </c>
      <c r="I4698" s="140" t="s">
        <v>17</v>
      </c>
    </row>
    <row r="4699" spans="1:9" hidden="1" x14ac:dyDescent="0.25">
      <c r="A4699">
        <v>2005</v>
      </c>
      <c r="B4699" s="140" t="s">
        <v>411</v>
      </c>
      <c r="C4699" s="140" t="s">
        <v>243</v>
      </c>
      <c r="D4699" s="140" t="s">
        <v>11</v>
      </c>
      <c r="E4699" s="140" t="s">
        <v>52</v>
      </c>
      <c r="F4699">
        <v>20327</v>
      </c>
      <c r="G4699" s="140" t="s">
        <v>412</v>
      </c>
      <c r="H4699">
        <v>0</v>
      </c>
      <c r="I4699" s="140" t="s">
        <v>17</v>
      </c>
    </row>
    <row r="4700" spans="1:9" hidden="1" x14ac:dyDescent="0.25">
      <c r="A4700">
        <v>2006</v>
      </c>
      <c r="B4700" s="140" t="s">
        <v>411</v>
      </c>
      <c r="C4700" s="140" t="s">
        <v>243</v>
      </c>
      <c r="D4700" s="140" t="s">
        <v>11</v>
      </c>
      <c r="E4700" s="140" t="s">
        <v>52</v>
      </c>
      <c r="F4700">
        <v>21732</v>
      </c>
      <c r="G4700" s="140" t="s">
        <v>412</v>
      </c>
      <c r="H4700">
        <v>0</v>
      </c>
      <c r="I4700" s="140" t="s">
        <v>17</v>
      </c>
    </row>
    <row r="4701" spans="1:9" hidden="1" x14ac:dyDescent="0.25">
      <c r="A4701">
        <v>2007</v>
      </c>
      <c r="B4701" s="140" t="s">
        <v>411</v>
      </c>
      <c r="C4701" s="140" t="s">
        <v>243</v>
      </c>
      <c r="D4701" s="140" t="s">
        <v>11</v>
      </c>
      <c r="E4701" s="140" t="s">
        <v>52</v>
      </c>
      <c r="F4701">
        <v>22864</v>
      </c>
      <c r="G4701" s="140" t="s">
        <v>412</v>
      </c>
      <c r="H4701">
        <v>0</v>
      </c>
      <c r="I4701" s="140" t="s">
        <v>17</v>
      </c>
    </row>
    <row r="4702" spans="1:9" hidden="1" x14ac:dyDescent="0.25">
      <c r="A4702">
        <v>2008</v>
      </c>
      <c r="B4702" s="140" t="s">
        <v>411</v>
      </c>
      <c r="C4702" s="140" t="s">
        <v>243</v>
      </c>
      <c r="D4702" s="140" t="s">
        <v>11</v>
      </c>
      <c r="E4702" s="140" t="s">
        <v>52</v>
      </c>
      <c r="F4702">
        <v>23857</v>
      </c>
      <c r="G4702" s="140" t="s">
        <v>412</v>
      </c>
      <c r="H4702">
        <v>0</v>
      </c>
      <c r="I4702" s="140" t="s">
        <v>17</v>
      </c>
    </row>
    <row r="4703" spans="1:9" hidden="1" x14ac:dyDescent="0.25">
      <c r="A4703">
        <v>2009</v>
      </c>
      <c r="B4703" s="140" t="s">
        <v>411</v>
      </c>
      <c r="C4703" s="140" t="s">
        <v>243</v>
      </c>
      <c r="D4703" s="140" t="s">
        <v>11</v>
      </c>
      <c r="E4703" s="140" t="s">
        <v>52</v>
      </c>
      <c r="F4703">
        <v>23497</v>
      </c>
      <c r="G4703" s="140" t="s">
        <v>412</v>
      </c>
      <c r="H4703">
        <v>0</v>
      </c>
      <c r="I4703" s="140" t="s">
        <v>17</v>
      </c>
    </row>
    <row r="4704" spans="1:9" hidden="1" x14ac:dyDescent="0.25">
      <c r="A4704">
        <v>2010</v>
      </c>
      <c r="B4704" s="140" t="s">
        <v>411</v>
      </c>
      <c r="C4704" s="140" t="s">
        <v>243</v>
      </c>
      <c r="D4704" s="140" t="s">
        <v>11</v>
      </c>
      <c r="E4704" s="140" t="s">
        <v>52</v>
      </c>
      <c r="F4704">
        <v>24048</v>
      </c>
      <c r="G4704" s="140" t="s">
        <v>412</v>
      </c>
      <c r="H4704">
        <v>0</v>
      </c>
      <c r="I4704" s="140" t="s">
        <v>17</v>
      </c>
    </row>
    <row r="4705" spans="1:9" hidden="1" x14ac:dyDescent="0.25">
      <c r="A4705">
        <v>2011</v>
      </c>
      <c r="B4705" s="140" t="s">
        <v>411</v>
      </c>
      <c r="C4705" s="140" t="s">
        <v>243</v>
      </c>
      <c r="D4705" s="140" t="s">
        <v>11</v>
      </c>
      <c r="E4705" s="140" t="s">
        <v>52</v>
      </c>
      <c r="F4705">
        <v>25290</v>
      </c>
      <c r="G4705" s="140" t="s">
        <v>412</v>
      </c>
      <c r="H4705">
        <v>0</v>
      </c>
      <c r="I4705" s="140" t="s">
        <v>17</v>
      </c>
    </row>
    <row r="4706" spans="1:9" hidden="1" x14ac:dyDescent="0.25">
      <c r="A4706">
        <v>2012</v>
      </c>
      <c r="B4706" s="140" t="s">
        <v>411</v>
      </c>
      <c r="C4706" s="140" t="s">
        <v>243</v>
      </c>
      <c r="D4706" s="140" t="s">
        <v>11</v>
      </c>
      <c r="E4706" s="140" t="s">
        <v>52</v>
      </c>
      <c r="F4706">
        <v>26699</v>
      </c>
      <c r="G4706" s="140" t="s">
        <v>412</v>
      </c>
      <c r="H4706">
        <v>0</v>
      </c>
      <c r="I4706" s="140" t="s">
        <v>17</v>
      </c>
    </row>
    <row r="4707" spans="1:9" hidden="1" x14ac:dyDescent="0.25">
      <c r="A4707">
        <v>2013</v>
      </c>
      <c r="B4707" s="140" t="s">
        <v>411</v>
      </c>
      <c r="C4707" s="140" t="s">
        <v>243</v>
      </c>
      <c r="D4707" s="140" t="s">
        <v>11</v>
      </c>
      <c r="E4707" s="140" t="s">
        <v>52</v>
      </c>
      <c r="F4707">
        <v>26986</v>
      </c>
      <c r="G4707" s="140" t="s">
        <v>412</v>
      </c>
      <c r="H4707">
        <v>0</v>
      </c>
      <c r="I4707" s="140" t="s">
        <v>17</v>
      </c>
    </row>
    <row r="4708" spans="1:9" hidden="1" x14ac:dyDescent="0.25">
      <c r="A4708">
        <v>2014</v>
      </c>
      <c r="B4708" s="140" t="s">
        <v>411</v>
      </c>
      <c r="C4708" s="140" t="s">
        <v>243</v>
      </c>
      <c r="D4708" s="140" t="s">
        <v>11</v>
      </c>
      <c r="E4708" s="140" t="s">
        <v>52</v>
      </c>
      <c r="F4708">
        <v>27316</v>
      </c>
      <c r="G4708" s="140" t="s">
        <v>412</v>
      </c>
      <c r="H4708">
        <v>0</v>
      </c>
      <c r="I4708" s="140" t="s">
        <v>17</v>
      </c>
    </row>
    <row r="4709" spans="1:9" hidden="1" x14ac:dyDescent="0.25">
      <c r="A4709">
        <v>2015</v>
      </c>
      <c r="B4709" s="140" t="s">
        <v>411</v>
      </c>
      <c r="C4709" s="140" t="s">
        <v>243</v>
      </c>
      <c r="D4709" s="140" t="s">
        <v>11</v>
      </c>
      <c r="E4709" s="140" t="s">
        <v>52</v>
      </c>
      <c r="F4709">
        <v>27967</v>
      </c>
      <c r="G4709" s="140" t="s">
        <v>412</v>
      </c>
      <c r="H4709">
        <v>0</v>
      </c>
      <c r="I4709" s="140" t="s">
        <v>17</v>
      </c>
    </row>
    <row r="4710" spans="1:9" hidden="1" x14ac:dyDescent="0.25">
      <c r="A4710">
        <v>2016</v>
      </c>
      <c r="B4710" s="140" t="s">
        <v>411</v>
      </c>
      <c r="C4710" s="140" t="s">
        <v>243</v>
      </c>
      <c r="D4710" s="140" t="s">
        <v>11</v>
      </c>
      <c r="E4710" s="140" t="s">
        <v>52</v>
      </c>
      <c r="F4710">
        <v>28869</v>
      </c>
      <c r="G4710" s="140" t="s">
        <v>412</v>
      </c>
      <c r="H4710">
        <v>0</v>
      </c>
      <c r="I4710" s="140" t="s">
        <v>17</v>
      </c>
    </row>
    <row r="4711" spans="1:9" hidden="1" x14ac:dyDescent="0.25">
      <c r="A4711">
        <v>2017</v>
      </c>
      <c r="B4711" s="140" t="s">
        <v>411</v>
      </c>
      <c r="C4711" s="140" t="s">
        <v>243</v>
      </c>
      <c r="D4711" s="140" t="s">
        <v>11</v>
      </c>
      <c r="E4711" s="140" t="s">
        <v>52</v>
      </c>
      <c r="F4711">
        <v>28227</v>
      </c>
      <c r="G4711" s="140" t="s">
        <v>412</v>
      </c>
      <c r="H4711">
        <v>0</v>
      </c>
      <c r="I4711" s="140" t="s">
        <v>17</v>
      </c>
    </row>
    <row r="4712" spans="1:9" hidden="1" x14ac:dyDescent="0.25">
      <c r="A4712">
        <v>2018</v>
      </c>
      <c r="B4712" s="140" t="s">
        <v>411</v>
      </c>
      <c r="C4712" s="140" t="s">
        <v>243</v>
      </c>
      <c r="D4712" s="140" t="s">
        <v>11</v>
      </c>
      <c r="E4712" s="140" t="s">
        <v>52</v>
      </c>
      <c r="F4712">
        <v>28842</v>
      </c>
      <c r="G4712" s="140" t="s">
        <v>412</v>
      </c>
      <c r="H4712">
        <v>0</v>
      </c>
      <c r="I4712" s="140" t="s">
        <v>17</v>
      </c>
    </row>
    <row r="4713" spans="1:9" hidden="1" x14ac:dyDescent="0.25">
      <c r="A4713">
        <v>2019</v>
      </c>
      <c r="B4713" s="140" t="s">
        <v>411</v>
      </c>
      <c r="C4713" s="140" t="s">
        <v>243</v>
      </c>
      <c r="D4713" s="140" t="s">
        <v>11</v>
      </c>
      <c r="E4713" s="140" t="s">
        <v>52</v>
      </c>
      <c r="F4713">
        <v>29572</v>
      </c>
      <c r="G4713" s="140" t="s">
        <v>412</v>
      </c>
      <c r="H4713">
        <v>0</v>
      </c>
      <c r="I4713" s="140" t="s">
        <v>17</v>
      </c>
    </row>
    <row r="4714" spans="1:9" hidden="1" x14ac:dyDescent="0.25">
      <c r="A4714">
        <v>2020</v>
      </c>
      <c r="B4714" s="140" t="s">
        <v>411</v>
      </c>
      <c r="C4714" s="140" t="s">
        <v>243</v>
      </c>
      <c r="D4714" s="140" t="s">
        <v>11</v>
      </c>
      <c r="E4714" s="140" t="s">
        <v>52</v>
      </c>
      <c r="F4714">
        <v>28384</v>
      </c>
      <c r="G4714" s="140" t="s">
        <v>412</v>
      </c>
      <c r="H4714">
        <v>0</v>
      </c>
      <c r="I4714" s="140" t="s">
        <v>17</v>
      </c>
    </row>
    <row r="4715" spans="1:9" hidden="1" x14ac:dyDescent="0.25">
      <c r="A4715">
        <v>2021</v>
      </c>
      <c r="B4715" s="140" t="s">
        <v>411</v>
      </c>
      <c r="C4715" s="140" t="s">
        <v>243</v>
      </c>
      <c r="D4715" s="140" t="s">
        <v>11</v>
      </c>
      <c r="E4715" s="140" t="s">
        <v>52</v>
      </c>
      <c r="F4715">
        <v>31275</v>
      </c>
      <c r="G4715" s="140" t="s">
        <v>412</v>
      </c>
      <c r="H4715">
        <v>0</v>
      </c>
      <c r="I4715" s="140" t="s">
        <v>17</v>
      </c>
    </row>
    <row r="4716" spans="1:9" hidden="1" x14ac:dyDescent="0.25">
      <c r="A4716">
        <v>2022</v>
      </c>
      <c r="B4716" s="140" t="s">
        <v>411</v>
      </c>
      <c r="C4716" s="140" t="s">
        <v>243</v>
      </c>
      <c r="D4716" s="140" t="s">
        <v>11</v>
      </c>
      <c r="E4716" s="140" t="s">
        <v>52</v>
      </c>
      <c r="F4716">
        <v>32982</v>
      </c>
      <c r="G4716" s="140" t="s">
        <v>412</v>
      </c>
      <c r="H4716">
        <v>0</v>
      </c>
      <c r="I4716" s="140" t="s">
        <v>17</v>
      </c>
    </row>
    <row r="4717" spans="1:9" hidden="1" x14ac:dyDescent="0.25">
      <c r="A4717">
        <v>2023</v>
      </c>
      <c r="B4717" s="140" t="s">
        <v>411</v>
      </c>
      <c r="C4717" s="140" t="s">
        <v>243</v>
      </c>
      <c r="D4717" s="140" t="s">
        <v>11</v>
      </c>
      <c r="E4717" s="140" t="s">
        <v>52</v>
      </c>
      <c r="F4717">
        <v>35018</v>
      </c>
      <c r="G4717" s="140" t="s">
        <v>412</v>
      </c>
      <c r="H4717">
        <v>0</v>
      </c>
      <c r="I4717" s="140" t="s">
        <v>17</v>
      </c>
    </row>
    <row r="4718" spans="1:9" hidden="1" x14ac:dyDescent="0.25">
      <c r="A4718">
        <v>2024</v>
      </c>
      <c r="B4718" s="140" t="s">
        <v>411</v>
      </c>
      <c r="C4718" s="140" t="s">
        <v>243</v>
      </c>
      <c r="D4718" s="140" t="s">
        <v>11</v>
      </c>
      <c r="E4718" s="140" t="s">
        <v>52</v>
      </c>
      <c r="F4718">
        <v>33665</v>
      </c>
      <c r="G4718" s="140" t="s">
        <v>412</v>
      </c>
      <c r="H4718">
        <v>0</v>
      </c>
      <c r="I4718" s="140" t="s">
        <v>17</v>
      </c>
    </row>
    <row r="4719" spans="1:9" hidden="1" x14ac:dyDescent="0.25">
      <c r="A4719">
        <v>2025</v>
      </c>
      <c r="B4719" s="140" t="s">
        <v>411</v>
      </c>
      <c r="C4719" s="140" t="s">
        <v>243</v>
      </c>
      <c r="D4719" s="140" t="s">
        <v>11</v>
      </c>
      <c r="E4719" s="140" t="s">
        <v>52</v>
      </c>
      <c r="F4719">
        <v>35077</v>
      </c>
      <c r="G4719" s="140" t="s">
        <v>412</v>
      </c>
      <c r="H4719">
        <v>0</v>
      </c>
      <c r="I4719" s="140" t="s">
        <v>17</v>
      </c>
    </row>
    <row r="4720" spans="1:9" hidden="1" x14ac:dyDescent="0.25">
      <c r="A4720">
        <v>2026</v>
      </c>
      <c r="B4720" s="140" t="s">
        <v>411</v>
      </c>
      <c r="C4720" s="140" t="s">
        <v>243</v>
      </c>
      <c r="D4720" s="140" t="s">
        <v>11</v>
      </c>
      <c r="E4720" s="140" t="s">
        <v>52</v>
      </c>
      <c r="F4720">
        <v>36508.141600000003</v>
      </c>
      <c r="G4720" s="140" t="s">
        <v>412</v>
      </c>
      <c r="H4720">
        <v>0</v>
      </c>
      <c r="I4720" s="140" t="s">
        <v>17</v>
      </c>
    </row>
    <row r="4721" spans="1:9" hidden="1" x14ac:dyDescent="0.25">
      <c r="A4721">
        <v>2027</v>
      </c>
      <c r="B4721" s="140" t="s">
        <v>411</v>
      </c>
      <c r="C4721" s="140" t="s">
        <v>243</v>
      </c>
      <c r="D4721" s="140" t="s">
        <v>11</v>
      </c>
      <c r="E4721" s="140" t="s">
        <v>52</v>
      </c>
      <c r="F4721">
        <v>37994.022960000002</v>
      </c>
      <c r="G4721" s="140" t="s">
        <v>412</v>
      </c>
      <c r="H4721">
        <v>0</v>
      </c>
      <c r="I4721" s="140" t="s">
        <v>17</v>
      </c>
    </row>
    <row r="4722" spans="1:9" hidden="1" x14ac:dyDescent="0.25">
      <c r="A4722">
        <v>2028</v>
      </c>
      <c r="B4722" s="140" t="s">
        <v>411</v>
      </c>
      <c r="C4722" s="140" t="s">
        <v>243</v>
      </c>
      <c r="D4722" s="140" t="s">
        <v>11</v>
      </c>
      <c r="E4722" s="140" t="s">
        <v>52</v>
      </c>
      <c r="F4722">
        <v>39490.98747</v>
      </c>
      <c r="G4722" s="140" t="s">
        <v>412</v>
      </c>
      <c r="H4722">
        <v>0</v>
      </c>
      <c r="I4722" s="140" t="s">
        <v>17</v>
      </c>
    </row>
    <row r="4723" spans="1:9" hidden="1" x14ac:dyDescent="0.25">
      <c r="A4723">
        <v>1990</v>
      </c>
      <c r="B4723" s="140" t="s">
        <v>413</v>
      </c>
      <c r="C4723" s="140" t="s">
        <v>243</v>
      </c>
      <c r="D4723" s="140" t="s">
        <v>11</v>
      </c>
      <c r="E4723" s="140" t="s">
        <v>52</v>
      </c>
      <c r="F4723">
        <v>876</v>
      </c>
      <c r="G4723" s="140" t="s">
        <v>414</v>
      </c>
      <c r="H4723">
        <v>0</v>
      </c>
      <c r="I4723" s="140" t="s">
        <v>17</v>
      </c>
    </row>
    <row r="4724" spans="1:9" hidden="1" x14ac:dyDescent="0.25">
      <c r="A4724">
        <v>1991</v>
      </c>
      <c r="B4724" s="140" t="s">
        <v>413</v>
      </c>
      <c r="C4724" s="140" t="s">
        <v>243</v>
      </c>
      <c r="D4724" s="140" t="s">
        <v>11</v>
      </c>
      <c r="E4724" s="140" t="s">
        <v>52</v>
      </c>
      <c r="F4724">
        <v>952</v>
      </c>
      <c r="G4724" s="140" t="s">
        <v>414</v>
      </c>
      <c r="H4724">
        <v>0</v>
      </c>
      <c r="I4724" s="140" t="s">
        <v>17</v>
      </c>
    </row>
    <row r="4725" spans="1:9" hidden="1" x14ac:dyDescent="0.25">
      <c r="A4725">
        <v>1992</v>
      </c>
      <c r="B4725" s="140" t="s">
        <v>413</v>
      </c>
      <c r="C4725" s="140" t="s">
        <v>243</v>
      </c>
      <c r="D4725" s="140" t="s">
        <v>11</v>
      </c>
      <c r="E4725" s="140" t="s">
        <v>52</v>
      </c>
      <c r="F4725">
        <v>990</v>
      </c>
      <c r="G4725" s="140" t="s">
        <v>414</v>
      </c>
      <c r="H4725">
        <v>0</v>
      </c>
      <c r="I4725" s="140" t="s">
        <v>17</v>
      </c>
    </row>
    <row r="4726" spans="1:9" hidden="1" x14ac:dyDescent="0.25">
      <c r="A4726">
        <v>1993</v>
      </c>
      <c r="B4726" s="140" t="s">
        <v>413</v>
      </c>
      <c r="C4726" s="140" t="s">
        <v>243</v>
      </c>
      <c r="D4726" s="140" t="s">
        <v>11</v>
      </c>
      <c r="E4726" s="140" t="s">
        <v>52</v>
      </c>
      <c r="F4726">
        <v>919</v>
      </c>
      <c r="G4726" s="140" t="s">
        <v>414</v>
      </c>
      <c r="H4726">
        <v>0</v>
      </c>
      <c r="I4726" s="140" t="s">
        <v>17</v>
      </c>
    </row>
    <row r="4727" spans="1:9" hidden="1" x14ac:dyDescent="0.25">
      <c r="A4727">
        <v>1994</v>
      </c>
      <c r="B4727" s="140" t="s">
        <v>413</v>
      </c>
      <c r="C4727" s="140" t="s">
        <v>243</v>
      </c>
      <c r="D4727" s="140" t="s">
        <v>11</v>
      </c>
      <c r="E4727" s="140" t="s">
        <v>52</v>
      </c>
      <c r="F4727">
        <v>825</v>
      </c>
      <c r="G4727" s="140" t="s">
        <v>414</v>
      </c>
      <c r="H4727">
        <v>0</v>
      </c>
      <c r="I4727" s="140" t="s">
        <v>17</v>
      </c>
    </row>
    <row r="4728" spans="1:9" hidden="1" x14ac:dyDescent="0.25">
      <c r="A4728">
        <v>1995</v>
      </c>
      <c r="B4728" s="140" t="s">
        <v>413</v>
      </c>
      <c r="C4728" s="140" t="s">
        <v>243</v>
      </c>
      <c r="D4728" s="140" t="s">
        <v>11</v>
      </c>
      <c r="E4728" s="140" t="s">
        <v>52</v>
      </c>
      <c r="F4728">
        <v>771</v>
      </c>
      <c r="G4728" s="140" t="s">
        <v>414</v>
      </c>
      <c r="H4728">
        <v>0</v>
      </c>
      <c r="I4728" s="140" t="s">
        <v>17</v>
      </c>
    </row>
    <row r="4729" spans="1:9" hidden="1" x14ac:dyDescent="0.25">
      <c r="A4729">
        <v>1996</v>
      </c>
      <c r="B4729" s="140" t="s">
        <v>413</v>
      </c>
      <c r="C4729" s="140" t="s">
        <v>243</v>
      </c>
      <c r="D4729" s="140" t="s">
        <v>11</v>
      </c>
      <c r="E4729" s="140" t="s">
        <v>52</v>
      </c>
      <c r="F4729">
        <v>795</v>
      </c>
      <c r="G4729" s="140" t="s">
        <v>414</v>
      </c>
      <c r="H4729">
        <v>0</v>
      </c>
      <c r="I4729" s="140" t="s">
        <v>17</v>
      </c>
    </row>
    <row r="4730" spans="1:9" hidden="1" x14ac:dyDescent="0.25">
      <c r="A4730">
        <v>1997</v>
      </c>
      <c r="B4730" s="140" t="s">
        <v>413</v>
      </c>
      <c r="C4730" s="140" t="s">
        <v>243</v>
      </c>
      <c r="D4730" s="140" t="s">
        <v>11</v>
      </c>
      <c r="E4730" s="140" t="s">
        <v>52</v>
      </c>
      <c r="F4730">
        <v>832</v>
      </c>
      <c r="G4730" s="140" t="s">
        <v>414</v>
      </c>
      <c r="H4730">
        <v>0</v>
      </c>
      <c r="I4730" s="140" t="s">
        <v>17</v>
      </c>
    </row>
    <row r="4731" spans="1:9" hidden="1" x14ac:dyDescent="0.25">
      <c r="A4731">
        <v>1998</v>
      </c>
      <c r="B4731" s="140" t="s">
        <v>413</v>
      </c>
      <c r="C4731" s="140" t="s">
        <v>243</v>
      </c>
      <c r="D4731" s="140" t="s">
        <v>11</v>
      </c>
      <c r="E4731" s="140" t="s">
        <v>52</v>
      </c>
      <c r="F4731">
        <v>846</v>
      </c>
      <c r="G4731" s="140" t="s">
        <v>414</v>
      </c>
      <c r="H4731">
        <v>0</v>
      </c>
      <c r="I4731" s="140" t="s">
        <v>17</v>
      </c>
    </row>
    <row r="4732" spans="1:9" hidden="1" x14ac:dyDescent="0.25">
      <c r="A4732">
        <v>1999</v>
      </c>
      <c r="B4732" s="140" t="s">
        <v>413</v>
      </c>
      <c r="C4732" s="140" t="s">
        <v>243</v>
      </c>
      <c r="D4732" s="140" t="s">
        <v>11</v>
      </c>
      <c r="E4732" s="140" t="s">
        <v>52</v>
      </c>
      <c r="F4732">
        <v>897</v>
      </c>
      <c r="G4732" s="140" t="s">
        <v>414</v>
      </c>
      <c r="H4732">
        <v>0</v>
      </c>
      <c r="I4732" s="140" t="s">
        <v>17</v>
      </c>
    </row>
    <row r="4733" spans="1:9" hidden="1" x14ac:dyDescent="0.25">
      <c r="A4733">
        <v>2000</v>
      </c>
      <c r="B4733" s="140" t="s">
        <v>413</v>
      </c>
      <c r="C4733" s="140" t="s">
        <v>243</v>
      </c>
      <c r="D4733" s="140" t="s">
        <v>11</v>
      </c>
      <c r="E4733" s="140" t="s">
        <v>52</v>
      </c>
      <c r="F4733">
        <v>955</v>
      </c>
      <c r="G4733" s="140" t="s">
        <v>414</v>
      </c>
      <c r="H4733">
        <v>0</v>
      </c>
      <c r="I4733" s="140" t="s">
        <v>17</v>
      </c>
    </row>
    <row r="4734" spans="1:9" hidden="1" x14ac:dyDescent="0.25">
      <c r="A4734">
        <v>2001</v>
      </c>
      <c r="B4734" s="140" t="s">
        <v>413</v>
      </c>
      <c r="C4734" s="140" t="s">
        <v>243</v>
      </c>
      <c r="D4734" s="140" t="s">
        <v>11</v>
      </c>
      <c r="E4734" s="140" t="s">
        <v>52</v>
      </c>
      <c r="F4734">
        <v>995</v>
      </c>
      <c r="G4734" s="140" t="s">
        <v>414</v>
      </c>
      <c r="H4734">
        <v>0</v>
      </c>
      <c r="I4734" s="140" t="s">
        <v>17</v>
      </c>
    </row>
    <row r="4735" spans="1:9" hidden="1" x14ac:dyDescent="0.25">
      <c r="A4735">
        <v>2002</v>
      </c>
      <c r="B4735" s="140" t="s">
        <v>413</v>
      </c>
      <c r="C4735" s="140" t="s">
        <v>243</v>
      </c>
      <c r="D4735" s="140" t="s">
        <v>11</v>
      </c>
      <c r="E4735" s="140" t="s">
        <v>52</v>
      </c>
      <c r="F4735">
        <v>1012</v>
      </c>
      <c r="G4735" s="140" t="s">
        <v>414</v>
      </c>
      <c r="H4735">
        <v>0</v>
      </c>
      <c r="I4735" s="140" t="s">
        <v>17</v>
      </c>
    </row>
    <row r="4736" spans="1:9" hidden="1" x14ac:dyDescent="0.25">
      <c r="A4736">
        <v>2003</v>
      </c>
      <c r="B4736" s="140" t="s">
        <v>413</v>
      </c>
      <c r="C4736" s="140" t="s">
        <v>243</v>
      </c>
      <c r="D4736" s="140" t="s">
        <v>11</v>
      </c>
      <c r="E4736" s="140" t="s">
        <v>52</v>
      </c>
      <c r="F4736">
        <v>1010</v>
      </c>
      <c r="G4736" s="140" t="s">
        <v>414</v>
      </c>
      <c r="H4736">
        <v>0</v>
      </c>
      <c r="I4736" s="140" t="s">
        <v>17</v>
      </c>
    </row>
    <row r="4737" spans="1:9" hidden="1" x14ac:dyDescent="0.25">
      <c r="A4737">
        <v>2004</v>
      </c>
      <c r="B4737" s="140" t="s">
        <v>413</v>
      </c>
      <c r="C4737" s="140" t="s">
        <v>243</v>
      </c>
      <c r="D4737" s="140" t="s">
        <v>11</v>
      </c>
      <c r="E4737" s="140" t="s">
        <v>52</v>
      </c>
      <c r="F4737">
        <v>1060</v>
      </c>
      <c r="G4737" s="140" t="s">
        <v>414</v>
      </c>
      <c r="H4737">
        <v>0</v>
      </c>
      <c r="I4737" s="140" t="s">
        <v>17</v>
      </c>
    </row>
    <row r="4738" spans="1:9" hidden="1" x14ac:dyDescent="0.25">
      <c r="A4738">
        <v>2005</v>
      </c>
      <c r="B4738" s="140" t="s">
        <v>413</v>
      </c>
      <c r="C4738" s="140" t="s">
        <v>243</v>
      </c>
      <c r="D4738" s="140" t="s">
        <v>11</v>
      </c>
      <c r="E4738" s="140" t="s">
        <v>52</v>
      </c>
      <c r="F4738">
        <v>1165</v>
      </c>
      <c r="G4738" s="140" t="s">
        <v>414</v>
      </c>
      <c r="H4738">
        <v>0</v>
      </c>
      <c r="I4738" s="140" t="s">
        <v>17</v>
      </c>
    </row>
    <row r="4739" spans="1:9" hidden="1" x14ac:dyDescent="0.25">
      <c r="A4739">
        <v>2006</v>
      </c>
      <c r="B4739" s="140" t="s">
        <v>413</v>
      </c>
      <c r="C4739" s="140" t="s">
        <v>243</v>
      </c>
      <c r="D4739" s="140" t="s">
        <v>11</v>
      </c>
      <c r="E4739" s="140" t="s">
        <v>52</v>
      </c>
      <c r="F4739">
        <v>1209</v>
      </c>
      <c r="G4739" s="140" t="s">
        <v>414</v>
      </c>
      <c r="H4739">
        <v>0</v>
      </c>
      <c r="I4739" s="140" t="s">
        <v>17</v>
      </c>
    </row>
    <row r="4740" spans="1:9" hidden="1" x14ac:dyDescent="0.25">
      <c r="A4740">
        <v>2007</v>
      </c>
      <c r="B4740" s="140" t="s">
        <v>413</v>
      </c>
      <c r="C4740" s="140" t="s">
        <v>243</v>
      </c>
      <c r="D4740" s="140" t="s">
        <v>11</v>
      </c>
      <c r="E4740" s="140" t="s">
        <v>52</v>
      </c>
      <c r="F4740">
        <v>1166</v>
      </c>
      <c r="G4740" s="140" t="s">
        <v>414</v>
      </c>
      <c r="H4740">
        <v>0</v>
      </c>
      <c r="I4740" s="140" t="s">
        <v>17</v>
      </c>
    </row>
    <row r="4741" spans="1:9" hidden="1" x14ac:dyDescent="0.25">
      <c r="A4741">
        <v>2008</v>
      </c>
      <c r="B4741" s="140" t="s">
        <v>413</v>
      </c>
      <c r="C4741" s="140" t="s">
        <v>243</v>
      </c>
      <c r="D4741" s="140" t="s">
        <v>11</v>
      </c>
      <c r="E4741" s="140" t="s">
        <v>52</v>
      </c>
      <c r="F4741">
        <v>1184</v>
      </c>
      <c r="G4741" s="140" t="s">
        <v>414</v>
      </c>
      <c r="H4741">
        <v>0</v>
      </c>
      <c r="I4741" s="140" t="s">
        <v>17</v>
      </c>
    </row>
    <row r="4742" spans="1:9" hidden="1" x14ac:dyDescent="0.25">
      <c r="A4742">
        <v>2009</v>
      </c>
      <c r="B4742" s="140" t="s">
        <v>413</v>
      </c>
      <c r="C4742" s="140" t="s">
        <v>243</v>
      </c>
      <c r="D4742" s="140" t="s">
        <v>11</v>
      </c>
      <c r="E4742" s="140" t="s">
        <v>52</v>
      </c>
      <c r="F4742">
        <v>1287</v>
      </c>
      <c r="G4742" s="140" t="s">
        <v>414</v>
      </c>
      <c r="H4742">
        <v>0</v>
      </c>
      <c r="I4742" s="140" t="s">
        <v>17</v>
      </c>
    </row>
    <row r="4743" spans="1:9" hidden="1" x14ac:dyDescent="0.25">
      <c r="A4743">
        <v>2010</v>
      </c>
      <c r="B4743" s="140" t="s">
        <v>413</v>
      </c>
      <c r="C4743" s="140" t="s">
        <v>243</v>
      </c>
      <c r="D4743" s="140" t="s">
        <v>11</v>
      </c>
      <c r="E4743" s="140" t="s">
        <v>52</v>
      </c>
      <c r="F4743">
        <v>1445</v>
      </c>
      <c r="G4743" s="140" t="s">
        <v>414</v>
      </c>
      <c r="H4743">
        <v>0</v>
      </c>
      <c r="I4743" s="140" t="s">
        <v>17</v>
      </c>
    </row>
    <row r="4744" spans="1:9" hidden="1" x14ac:dyDescent="0.25">
      <c r="A4744">
        <v>2011</v>
      </c>
      <c r="B4744" s="140" t="s">
        <v>413</v>
      </c>
      <c r="C4744" s="140" t="s">
        <v>243</v>
      </c>
      <c r="D4744" s="140" t="s">
        <v>11</v>
      </c>
      <c r="E4744" s="140" t="s">
        <v>52</v>
      </c>
      <c r="F4744">
        <v>1373</v>
      </c>
      <c r="G4744" s="140" t="s">
        <v>414</v>
      </c>
      <c r="H4744">
        <v>0</v>
      </c>
      <c r="I4744" s="140" t="s">
        <v>17</v>
      </c>
    </row>
    <row r="4745" spans="1:9" hidden="1" x14ac:dyDescent="0.25">
      <c r="A4745">
        <v>2012</v>
      </c>
      <c r="B4745" s="140" t="s">
        <v>413</v>
      </c>
      <c r="C4745" s="140" t="s">
        <v>243</v>
      </c>
      <c r="D4745" s="140" t="s">
        <v>11</v>
      </c>
      <c r="E4745" s="140" t="s">
        <v>52</v>
      </c>
      <c r="F4745">
        <v>1456</v>
      </c>
      <c r="G4745" s="140" t="s">
        <v>414</v>
      </c>
      <c r="H4745">
        <v>0</v>
      </c>
      <c r="I4745" s="140" t="s">
        <v>17</v>
      </c>
    </row>
    <row r="4746" spans="1:9" hidden="1" x14ac:dyDescent="0.25">
      <c r="A4746">
        <v>2013</v>
      </c>
      <c r="B4746" s="140" t="s">
        <v>413</v>
      </c>
      <c r="C4746" s="140" t="s">
        <v>243</v>
      </c>
      <c r="D4746" s="140" t="s">
        <v>11</v>
      </c>
      <c r="E4746" s="140" t="s">
        <v>52</v>
      </c>
      <c r="F4746">
        <v>1595</v>
      </c>
      <c r="G4746" s="140" t="s">
        <v>414</v>
      </c>
      <c r="H4746">
        <v>0</v>
      </c>
      <c r="I4746" s="140" t="s">
        <v>17</v>
      </c>
    </row>
    <row r="4747" spans="1:9" hidden="1" x14ac:dyDescent="0.25">
      <c r="A4747">
        <v>2014</v>
      </c>
      <c r="B4747" s="140" t="s">
        <v>413</v>
      </c>
      <c r="C4747" s="140" t="s">
        <v>243</v>
      </c>
      <c r="D4747" s="140" t="s">
        <v>11</v>
      </c>
      <c r="E4747" s="140" t="s">
        <v>52</v>
      </c>
      <c r="F4747">
        <v>1582</v>
      </c>
      <c r="G4747" s="140" t="s">
        <v>414</v>
      </c>
      <c r="H4747">
        <v>0</v>
      </c>
      <c r="I4747" s="140" t="s">
        <v>17</v>
      </c>
    </row>
    <row r="4748" spans="1:9" hidden="1" x14ac:dyDescent="0.25">
      <c r="A4748">
        <v>2015</v>
      </c>
      <c r="B4748" s="140" t="s">
        <v>413</v>
      </c>
      <c r="C4748" s="140" t="s">
        <v>243</v>
      </c>
      <c r="D4748" s="140" t="s">
        <v>11</v>
      </c>
      <c r="E4748" s="140" t="s">
        <v>52</v>
      </c>
      <c r="F4748">
        <v>1781</v>
      </c>
      <c r="G4748" s="140" t="s">
        <v>414</v>
      </c>
      <c r="H4748">
        <v>0</v>
      </c>
      <c r="I4748" s="140" t="s">
        <v>17</v>
      </c>
    </row>
    <row r="4749" spans="1:9" hidden="1" x14ac:dyDescent="0.25">
      <c r="A4749">
        <v>2016</v>
      </c>
      <c r="B4749" s="140" t="s">
        <v>413</v>
      </c>
      <c r="C4749" s="140" t="s">
        <v>243</v>
      </c>
      <c r="D4749" s="140" t="s">
        <v>11</v>
      </c>
      <c r="E4749" s="140" t="s">
        <v>52</v>
      </c>
      <c r="F4749">
        <v>1689</v>
      </c>
      <c r="G4749" s="140" t="s">
        <v>414</v>
      </c>
      <c r="H4749">
        <v>0</v>
      </c>
      <c r="I4749" s="140" t="s">
        <v>17</v>
      </c>
    </row>
    <row r="4750" spans="1:9" hidden="1" x14ac:dyDescent="0.25">
      <c r="A4750">
        <v>2017</v>
      </c>
      <c r="B4750" s="140" t="s">
        <v>413</v>
      </c>
      <c r="C4750" s="140" t="s">
        <v>243</v>
      </c>
      <c r="D4750" s="140" t="s">
        <v>11</v>
      </c>
      <c r="E4750" s="140" t="s">
        <v>52</v>
      </c>
      <c r="F4750">
        <v>1874</v>
      </c>
      <c r="G4750" s="140" t="s">
        <v>414</v>
      </c>
      <c r="H4750">
        <v>0</v>
      </c>
      <c r="I4750" s="140" t="s">
        <v>17</v>
      </c>
    </row>
    <row r="4751" spans="1:9" hidden="1" x14ac:dyDescent="0.25">
      <c r="A4751">
        <v>2018</v>
      </c>
      <c r="B4751" s="140" t="s">
        <v>413</v>
      </c>
      <c r="C4751" s="140" t="s">
        <v>243</v>
      </c>
      <c r="D4751" s="140" t="s">
        <v>11</v>
      </c>
      <c r="E4751" s="140" t="s">
        <v>52</v>
      </c>
      <c r="F4751">
        <v>1803</v>
      </c>
      <c r="G4751" s="140" t="s">
        <v>414</v>
      </c>
      <c r="H4751">
        <v>0</v>
      </c>
      <c r="I4751" s="140" t="s">
        <v>17</v>
      </c>
    </row>
    <row r="4752" spans="1:9" hidden="1" x14ac:dyDescent="0.25">
      <c r="A4752">
        <v>2019</v>
      </c>
      <c r="B4752" s="140" t="s">
        <v>413</v>
      </c>
      <c r="C4752" s="140" t="s">
        <v>243</v>
      </c>
      <c r="D4752" s="140" t="s">
        <v>11</v>
      </c>
      <c r="E4752" s="140" t="s">
        <v>52</v>
      </c>
      <c r="F4752">
        <v>1876</v>
      </c>
      <c r="G4752" s="140" t="s">
        <v>414</v>
      </c>
      <c r="H4752">
        <v>0</v>
      </c>
      <c r="I4752" s="140" t="s">
        <v>17</v>
      </c>
    </row>
    <row r="4753" spans="1:9" hidden="1" x14ac:dyDescent="0.25">
      <c r="A4753">
        <v>2020</v>
      </c>
      <c r="B4753" s="140" t="s">
        <v>413</v>
      </c>
      <c r="C4753" s="140" t="s">
        <v>243</v>
      </c>
      <c r="D4753" s="140" t="s">
        <v>11</v>
      </c>
      <c r="E4753" s="140" t="s">
        <v>52</v>
      </c>
      <c r="F4753">
        <v>1765</v>
      </c>
      <c r="G4753" s="140" t="s">
        <v>414</v>
      </c>
      <c r="H4753">
        <v>0</v>
      </c>
      <c r="I4753" s="140" t="s">
        <v>17</v>
      </c>
    </row>
    <row r="4754" spans="1:9" hidden="1" x14ac:dyDescent="0.25">
      <c r="A4754">
        <v>2021</v>
      </c>
      <c r="B4754" s="140" t="s">
        <v>413</v>
      </c>
      <c r="C4754" s="140" t="s">
        <v>243</v>
      </c>
      <c r="D4754" s="140" t="s">
        <v>11</v>
      </c>
      <c r="E4754" s="140" t="s">
        <v>52</v>
      </c>
      <c r="F4754">
        <v>1751</v>
      </c>
      <c r="G4754" s="140" t="s">
        <v>414</v>
      </c>
      <c r="H4754">
        <v>0</v>
      </c>
      <c r="I4754" s="140" t="s">
        <v>17</v>
      </c>
    </row>
    <row r="4755" spans="1:9" hidden="1" x14ac:dyDescent="0.25">
      <c r="A4755">
        <v>2022</v>
      </c>
      <c r="B4755" s="140" t="s">
        <v>413</v>
      </c>
      <c r="C4755" s="140" t="s">
        <v>243</v>
      </c>
      <c r="D4755" s="140" t="s">
        <v>11</v>
      </c>
      <c r="E4755" s="140" t="s">
        <v>52</v>
      </c>
      <c r="F4755">
        <v>1386</v>
      </c>
      <c r="G4755" s="140" t="s">
        <v>414</v>
      </c>
      <c r="H4755">
        <v>0</v>
      </c>
      <c r="I4755" s="140" t="s">
        <v>17</v>
      </c>
    </row>
    <row r="4756" spans="1:9" hidden="1" x14ac:dyDescent="0.25">
      <c r="A4756">
        <v>2023</v>
      </c>
      <c r="B4756" s="140" t="s">
        <v>413</v>
      </c>
      <c r="C4756" s="140" t="s">
        <v>243</v>
      </c>
      <c r="D4756" s="140" t="s">
        <v>11</v>
      </c>
      <c r="E4756" s="140" t="s">
        <v>52</v>
      </c>
      <c r="F4756">
        <v>1586</v>
      </c>
      <c r="G4756" s="140" t="s">
        <v>414</v>
      </c>
      <c r="H4756">
        <v>0</v>
      </c>
      <c r="I4756" s="140" t="s">
        <v>17</v>
      </c>
    </row>
    <row r="4757" spans="1:9" hidden="1" x14ac:dyDescent="0.25">
      <c r="A4757">
        <v>2024</v>
      </c>
      <c r="B4757" s="140" t="s">
        <v>413</v>
      </c>
      <c r="C4757" s="140" t="s">
        <v>243</v>
      </c>
      <c r="D4757" s="140" t="s">
        <v>11</v>
      </c>
      <c r="E4757" s="140" t="s">
        <v>52</v>
      </c>
      <c r="F4757">
        <v>1978</v>
      </c>
      <c r="G4757" s="140" t="s">
        <v>414</v>
      </c>
      <c r="H4757">
        <v>0</v>
      </c>
      <c r="I4757" s="140" t="s">
        <v>17</v>
      </c>
    </row>
    <row r="4758" spans="1:9" hidden="1" x14ac:dyDescent="0.25">
      <c r="A4758">
        <v>2025</v>
      </c>
      <c r="B4758" s="140" t="s">
        <v>413</v>
      </c>
      <c r="C4758" s="140" t="s">
        <v>243</v>
      </c>
      <c r="D4758" s="140" t="s">
        <v>11</v>
      </c>
      <c r="E4758" s="140" t="s">
        <v>52</v>
      </c>
      <c r="F4758">
        <v>1940</v>
      </c>
      <c r="G4758" s="140" t="s">
        <v>414</v>
      </c>
      <c r="H4758">
        <v>0</v>
      </c>
      <c r="I4758" s="140" t="s">
        <v>17</v>
      </c>
    </row>
    <row r="4759" spans="1:9" hidden="1" x14ac:dyDescent="0.25">
      <c r="A4759">
        <v>2026</v>
      </c>
      <c r="B4759" s="140" t="s">
        <v>413</v>
      </c>
      <c r="C4759" s="140" t="s">
        <v>243</v>
      </c>
      <c r="D4759" s="140" t="s">
        <v>11</v>
      </c>
      <c r="E4759" s="140" t="s">
        <v>52</v>
      </c>
      <c r="F4759">
        <v>1978.8</v>
      </c>
      <c r="G4759" s="140" t="s">
        <v>414</v>
      </c>
      <c r="H4759">
        <v>0</v>
      </c>
      <c r="I4759" s="140" t="s">
        <v>17</v>
      </c>
    </row>
    <row r="4760" spans="1:9" hidden="1" x14ac:dyDescent="0.25">
      <c r="A4760">
        <v>2027</v>
      </c>
      <c r="B4760" s="140" t="s">
        <v>413</v>
      </c>
      <c r="C4760" s="140" t="s">
        <v>243</v>
      </c>
      <c r="D4760" s="140" t="s">
        <v>11</v>
      </c>
      <c r="E4760" s="140" t="s">
        <v>52</v>
      </c>
      <c r="F4760">
        <v>2018.376</v>
      </c>
      <c r="G4760" s="140" t="s">
        <v>414</v>
      </c>
      <c r="H4760">
        <v>0</v>
      </c>
      <c r="I4760" s="140" t="s">
        <v>17</v>
      </c>
    </row>
    <row r="4761" spans="1:9" hidden="1" x14ac:dyDescent="0.25">
      <c r="A4761">
        <v>2028</v>
      </c>
      <c r="B4761" s="140" t="s">
        <v>413</v>
      </c>
      <c r="C4761" s="140" t="s">
        <v>243</v>
      </c>
      <c r="D4761" s="140" t="s">
        <v>11</v>
      </c>
      <c r="E4761" s="140" t="s">
        <v>52</v>
      </c>
      <c r="F4761">
        <v>2058.74352</v>
      </c>
      <c r="G4761" s="140" t="s">
        <v>414</v>
      </c>
      <c r="H4761">
        <v>0</v>
      </c>
      <c r="I4761" s="140" t="s">
        <v>17</v>
      </c>
    </row>
    <row r="4762" spans="1:9" hidden="1" x14ac:dyDescent="0.25">
      <c r="A4762">
        <v>1990</v>
      </c>
      <c r="B4762" s="140" t="s">
        <v>415</v>
      </c>
      <c r="C4762" s="140" t="s">
        <v>243</v>
      </c>
      <c r="D4762" s="140" t="s">
        <v>11</v>
      </c>
      <c r="E4762" s="140" t="s">
        <v>52</v>
      </c>
      <c r="F4762">
        <v>1374</v>
      </c>
      <c r="G4762" s="140" t="s">
        <v>408</v>
      </c>
      <c r="H4762">
        <v>0</v>
      </c>
      <c r="I4762" s="140" t="s">
        <v>17</v>
      </c>
    </row>
    <row r="4763" spans="1:9" hidden="1" x14ac:dyDescent="0.25">
      <c r="A4763">
        <v>1991</v>
      </c>
      <c r="B4763" s="140" t="s">
        <v>415</v>
      </c>
      <c r="C4763" s="140" t="s">
        <v>243</v>
      </c>
      <c r="D4763" s="140" t="s">
        <v>11</v>
      </c>
      <c r="E4763" s="140" t="s">
        <v>52</v>
      </c>
      <c r="F4763">
        <v>1340</v>
      </c>
      <c r="G4763" s="140" t="s">
        <v>408</v>
      </c>
      <c r="H4763">
        <v>0</v>
      </c>
      <c r="I4763" s="140" t="s">
        <v>17</v>
      </c>
    </row>
    <row r="4764" spans="1:9" hidden="1" x14ac:dyDescent="0.25">
      <c r="A4764">
        <v>1992</v>
      </c>
      <c r="B4764" s="140" t="s">
        <v>415</v>
      </c>
      <c r="C4764" s="140" t="s">
        <v>243</v>
      </c>
      <c r="D4764" s="140" t="s">
        <v>11</v>
      </c>
      <c r="E4764" s="140" t="s">
        <v>52</v>
      </c>
      <c r="F4764">
        <v>1432</v>
      </c>
      <c r="G4764" s="140" t="s">
        <v>408</v>
      </c>
      <c r="H4764">
        <v>0</v>
      </c>
      <c r="I4764" s="140" t="s">
        <v>17</v>
      </c>
    </row>
    <row r="4765" spans="1:9" hidden="1" x14ac:dyDescent="0.25">
      <c r="A4765">
        <v>1993</v>
      </c>
      <c r="B4765" s="140" t="s">
        <v>415</v>
      </c>
      <c r="C4765" s="140" t="s">
        <v>243</v>
      </c>
      <c r="D4765" s="140" t="s">
        <v>11</v>
      </c>
      <c r="E4765" s="140" t="s">
        <v>52</v>
      </c>
      <c r="F4765">
        <v>1452</v>
      </c>
      <c r="G4765" s="140" t="s">
        <v>408</v>
      </c>
      <c r="H4765">
        <v>0</v>
      </c>
      <c r="I4765" s="140" t="s">
        <v>17</v>
      </c>
    </row>
    <row r="4766" spans="1:9" hidden="1" x14ac:dyDescent="0.25">
      <c r="A4766">
        <v>1994</v>
      </c>
      <c r="B4766" s="140" t="s">
        <v>415</v>
      </c>
      <c r="C4766" s="140" t="s">
        <v>243</v>
      </c>
      <c r="D4766" s="140" t="s">
        <v>11</v>
      </c>
      <c r="E4766" s="140" t="s">
        <v>52</v>
      </c>
      <c r="F4766">
        <v>1388</v>
      </c>
      <c r="G4766" s="140" t="s">
        <v>408</v>
      </c>
      <c r="H4766">
        <v>0</v>
      </c>
      <c r="I4766" s="140" t="s">
        <v>17</v>
      </c>
    </row>
    <row r="4767" spans="1:9" hidden="1" x14ac:dyDescent="0.25">
      <c r="A4767">
        <v>1995</v>
      </c>
      <c r="B4767" s="140" t="s">
        <v>415</v>
      </c>
      <c r="C4767" s="140" t="s">
        <v>243</v>
      </c>
      <c r="D4767" s="140" t="s">
        <v>11</v>
      </c>
      <c r="E4767" s="140" t="s">
        <v>52</v>
      </c>
      <c r="F4767">
        <v>1327</v>
      </c>
      <c r="G4767" s="140" t="s">
        <v>408</v>
      </c>
      <c r="H4767">
        <v>0</v>
      </c>
      <c r="I4767" s="140" t="s">
        <v>17</v>
      </c>
    </row>
    <row r="4768" spans="1:9" hidden="1" x14ac:dyDescent="0.25">
      <c r="A4768">
        <v>1996</v>
      </c>
      <c r="B4768" s="140" t="s">
        <v>415</v>
      </c>
      <c r="C4768" s="140" t="s">
        <v>243</v>
      </c>
      <c r="D4768" s="140" t="s">
        <v>11</v>
      </c>
      <c r="E4768" s="140" t="s">
        <v>52</v>
      </c>
      <c r="F4768">
        <v>1433</v>
      </c>
      <c r="G4768" s="140" t="s">
        <v>408</v>
      </c>
      <c r="H4768">
        <v>0</v>
      </c>
      <c r="I4768" s="140" t="s">
        <v>17</v>
      </c>
    </row>
    <row r="4769" spans="1:9" hidden="1" x14ac:dyDescent="0.25">
      <c r="A4769">
        <v>1997</v>
      </c>
      <c r="B4769" s="140" t="s">
        <v>415</v>
      </c>
      <c r="C4769" s="140" t="s">
        <v>243</v>
      </c>
      <c r="D4769" s="140" t="s">
        <v>11</v>
      </c>
      <c r="E4769" s="140" t="s">
        <v>52</v>
      </c>
      <c r="F4769">
        <v>1366</v>
      </c>
      <c r="G4769" s="140" t="s">
        <v>408</v>
      </c>
      <c r="H4769">
        <v>0</v>
      </c>
      <c r="I4769" s="140" t="s">
        <v>17</v>
      </c>
    </row>
    <row r="4770" spans="1:9" hidden="1" x14ac:dyDescent="0.25">
      <c r="A4770">
        <v>1998</v>
      </c>
      <c r="B4770" s="140" t="s">
        <v>415</v>
      </c>
      <c r="C4770" s="140" t="s">
        <v>243</v>
      </c>
      <c r="D4770" s="140" t="s">
        <v>11</v>
      </c>
      <c r="E4770" s="140" t="s">
        <v>52</v>
      </c>
      <c r="F4770">
        <v>1435</v>
      </c>
      <c r="G4770" s="140" t="s">
        <v>408</v>
      </c>
      <c r="H4770">
        <v>0</v>
      </c>
      <c r="I4770" s="140" t="s">
        <v>17</v>
      </c>
    </row>
    <row r="4771" spans="1:9" hidden="1" x14ac:dyDescent="0.25">
      <c r="A4771">
        <v>1999</v>
      </c>
      <c r="B4771" s="140" t="s">
        <v>415</v>
      </c>
      <c r="C4771" s="140" t="s">
        <v>243</v>
      </c>
      <c r="D4771" s="140" t="s">
        <v>11</v>
      </c>
      <c r="E4771" s="140" t="s">
        <v>52</v>
      </c>
      <c r="F4771">
        <v>1492</v>
      </c>
      <c r="G4771" s="140" t="s">
        <v>408</v>
      </c>
      <c r="H4771">
        <v>0</v>
      </c>
      <c r="I4771" s="140" t="s">
        <v>17</v>
      </c>
    </row>
    <row r="4772" spans="1:9" hidden="1" x14ac:dyDescent="0.25">
      <c r="A4772">
        <v>2000</v>
      </c>
      <c r="B4772" s="140" t="s">
        <v>415</v>
      </c>
      <c r="C4772" s="140" t="s">
        <v>243</v>
      </c>
      <c r="D4772" s="140" t="s">
        <v>11</v>
      </c>
      <c r="E4772" s="140" t="s">
        <v>52</v>
      </c>
      <c r="F4772">
        <v>1558</v>
      </c>
      <c r="G4772" s="140" t="s">
        <v>408</v>
      </c>
      <c r="H4772">
        <v>0</v>
      </c>
      <c r="I4772" s="140" t="s">
        <v>17</v>
      </c>
    </row>
    <row r="4773" spans="1:9" hidden="1" x14ac:dyDescent="0.25">
      <c r="A4773">
        <v>2001</v>
      </c>
      <c r="B4773" s="140" t="s">
        <v>415</v>
      </c>
      <c r="C4773" s="140" t="s">
        <v>243</v>
      </c>
      <c r="D4773" s="140" t="s">
        <v>11</v>
      </c>
      <c r="E4773" s="140" t="s">
        <v>52</v>
      </c>
      <c r="F4773">
        <v>1723</v>
      </c>
      <c r="G4773" s="140" t="s">
        <v>408</v>
      </c>
      <c r="H4773">
        <v>0</v>
      </c>
      <c r="I4773" s="140" t="s">
        <v>17</v>
      </c>
    </row>
    <row r="4774" spans="1:9" hidden="1" x14ac:dyDescent="0.25">
      <c r="A4774">
        <v>2002</v>
      </c>
      <c r="B4774" s="140" t="s">
        <v>415</v>
      </c>
      <c r="C4774" s="140" t="s">
        <v>243</v>
      </c>
      <c r="D4774" s="140" t="s">
        <v>11</v>
      </c>
      <c r="E4774" s="140" t="s">
        <v>52</v>
      </c>
      <c r="F4774">
        <v>1773</v>
      </c>
      <c r="G4774" s="140" t="s">
        <v>408</v>
      </c>
      <c r="H4774">
        <v>0</v>
      </c>
      <c r="I4774" s="140" t="s">
        <v>17</v>
      </c>
    </row>
    <row r="4775" spans="1:9" hidden="1" x14ac:dyDescent="0.25">
      <c r="A4775">
        <v>2003</v>
      </c>
      <c r="B4775" s="140" t="s">
        <v>415</v>
      </c>
      <c r="C4775" s="140" t="s">
        <v>243</v>
      </c>
      <c r="D4775" s="140" t="s">
        <v>11</v>
      </c>
      <c r="E4775" s="140" t="s">
        <v>52</v>
      </c>
      <c r="F4775">
        <v>1804</v>
      </c>
      <c r="G4775" s="140" t="s">
        <v>408</v>
      </c>
      <c r="H4775">
        <v>0</v>
      </c>
      <c r="I4775" s="140" t="s">
        <v>17</v>
      </c>
    </row>
    <row r="4776" spans="1:9" hidden="1" x14ac:dyDescent="0.25">
      <c r="A4776">
        <v>2004</v>
      </c>
      <c r="B4776" s="140" t="s">
        <v>415</v>
      </c>
      <c r="C4776" s="140" t="s">
        <v>243</v>
      </c>
      <c r="D4776" s="140" t="s">
        <v>11</v>
      </c>
      <c r="E4776" s="140" t="s">
        <v>52</v>
      </c>
      <c r="F4776">
        <v>1837</v>
      </c>
      <c r="G4776" s="140" t="s">
        <v>408</v>
      </c>
      <c r="H4776">
        <v>0</v>
      </c>
      <c r="I4776" s="140" t="s">
        <v>17</v>
      </c>
    </row>
    <row r="4777" spans="1:9" hidden="1" x14ac:dyDescent="0.25">
      <c r="A4777">
        <v>2005</v>
      </c>
      <c r="B4777" s="140" t="s">
        <v>415</v>
      </c>
      <c r="C4777" s="140" t="s">
        <v>243</v>
      </c>
      <c r="D4777" s="140" t="s">
        <v>11</v>
      </c>
      <c r="E4777" s="140" t="s">
        <v>52</v>
      </c>
      <c r="F4777">
        <v>1890</v>
      </c>
      <c r="G4777" s="140" t="s">
        <v>408</v>
      </c>
      <c r="H4777">
        <v>0</v>
      </c>
      <c r="I4777" s="140" t="s">
        <v>17</v>
      </c>
    </row>
    <row r="4778" spans="1:9" hidden="1" x14ac:dyDescent="0.25">
      <c r="A4778">
        <v>2006</v>
      </c>
      <c r="B4778" s="140" t="s">
        <v>415</v>
      </c>
      <c r="C4778" s="140" t="s">
        <v>243</v>
      </c>
      <c r="D4778" s="140" t="s">
        <v>11</v>
      </c>
      <c r="E4778" s="140" t="s">
        <v>52</v>
      </c>
      <c r="F4778">
        <v>1962</v>
      </c>
      <c r="G4778" s="140" t="s">
        <v>408</v>
      </c>
      <c r="H4778">
        <v>0</v>
      </c>
      <c r="I4778" s="140" t="s">
        <v>17</v>
      </c>
    </row>
    <row r="4779" spans="1:9" hidden="1" x14ac:dyDescent="0.25">
      <c r="A4779">
        <v>2007</v>
      </c>
      <c r="B4779" s="140" t="s">
        <v>415</v>
      </c>
      <c r="C4779" s="140" t="s">
        <v>243</v>
      </c>
      <c r="D4779" s="140" t="s">
        <v>11</v>
      </c>
      <c r="E4779" s="140" t="s">
        <v>52</v>
      </c>
      <c r="F4779">
        <v>2056</v>
      </c>
      <c r="G4779" s="140" t="s">
        <v>408</v>
      </c>
      <c r="H4779">
        <v>0</v>
      </c>
      <c r="I4779" s="140" t="s">
        <v>17</v>
      </c>
    </row>
    <row r="4780" spans="1:9" hidden="1" x14ac:dyDescent="0.25">
      <c r="A4780">
        <v>2008</v>
      </c>
      <c r="B4780" s="140" t="s">
        <v>415</v>
      </c>
      <c r="C4780" s="140" t="s">
        <v>243</v>
      </c>
      <c r="D4780" s="140" t="s">
        <v>11</v>
      </c>
      <c r="E4780" s="140" t="s">
        <v>52</v>
      </c>
      <c r="F4780">
        <v>2187</v>
      </c>
      <c r="G4780" s="140" t="s">
        <v>408</v>
      </c>
      <c r="H4780">
        <v>0</v>
      </c>
      <c r="I4780" s="140" t="s">
        <v>17</v>
      </c>
    </row>
    <row r="4781" spans="1:9" hidden="1" x14ac:dyDescent="0.25">
      <c r="A4781">
        <v>2009</v>
      </c>
      <c r="B4781" s="140" t="s">
        <v>415</v>
      </c>
      <c r="C4781" s="140" t="s">
        <v>243</v>
      </c>
      <c r="D4781" s="140" t="s">
        <v>11</v>
      </c>
      <c r="E4781" s="140" t="s">
        <v>52</v>
      </c>
      <c r="F4781">
        <v>2144</v>
      </c>
      <c r="G4781" s="140" t="s">
        <v>408</v>
      </c>
      <c r="H4781">
        <v>0</v>
      </c>
      <c r="I4781" s="140" t="s">
        <v>17</v>
      </c>
    </row>
    <row r="4782" spans="1:9" hidden="1" x14ac:dyDescent="0.25">
      <c r="A4782">
        <v>2010</v>
      </c>
      <c r="B4782" s="140" t="s">
        <v>415</v>
      </c>
      <c r="C4782" s="140" t="s">
        <v>243</v>
      </c>
      <c r="D4782" s="140" t="s">
        <v>11</v>
      </c>
      <c r="E4782" s="140" t="s">
        <v>52</v>
      </c>
      <c r="F4782">
        <v>2553</v>
      </c>
      <c r="G4782" s="140" t="s">
        <v>408</v>
      </c>
      <c r="H4782">
        <v>0</v>
      </c>
      <c r="I4782" s="140" t="s">
        <v>17</v>
      </c>
    </row>
    <row r="4783" spans="1:9" hidden="1" x14ac:dyDescent="0.25">
      <c r="A4783">
        <v>2011</v>
      </c>
      <c r="B4783" s="140" t="s">
        <v>415</v>
      </c>
      <c r="C4783" s="140" t="s">
        <v>243</v>
      </c>
      <c r="D4783" s="140" t="s">
        <v>11</v>
      </c>
      <c r="E4783" s="140" t="s">
        <v>52</v>
      </c>
      <c r="F4783">
        <v>2566</v>
      </c>
      <c r="G4783" s="140" t="s">
        <v>408</v>
      </c>
      <c r="H4783">
        <v>0</v>
      </c>
      <c r="I4783" s="140" t="s">
        <v>17</v>
      </c>
    </row>
    <row r="4784" spans="1:9" hidden="1" x14ac:dyDescent="0.25">
      <c r="A4784">
        <v>2012</v>
      </c>
      <c r="B4784" s="140" t="s">
        <v>415</v>
      </c>
      <c r="C4784" s="140" t="s">
        <v>243</v>
      </c>
      <c r="D4784" s="140" t="s">
        <v>11</v>
      </c>
      <c r="E4784" s="140" t="s">
        <v>52</v>
      </c>
      <c r="F4784">
        <v>2698</v>
      </c>
      <c r="G4784" s="140" t="s">
        <v>408</v>
      </c>
      <c r="H4784">
        <v>0</v>
      </c>
      <c r="I4784" s="140" t="s">
        <v>17</v>
      </c>
    </row>
    <row r="4785" spans="1:9" hidden="1" x14ac:dyDescent="0.25">
      <c r="A4785">
        <v>2013</v>
      </c>
      <c r="B4785" s="140" t="s">
        <v>415</v>
      </c>
      <c r="C4785" s="140" t="s">
        <v>243</v>
      </c>
      <c r="D4785" s="140" t="s">
        <v>11</v>
      </c>
      <c r="E4785" s="140" t="s">
        <v>52</v>
      </c>
      <c r="F4785">
        <v>2674</v>
      </c>
      <c r="G4785" s="140" t="s">
        <v>408</v>
      </c>
      <c r="H4785">
        <v>0</v>
      </c>
      <c r="I4785" s="140" t="s">
        <v>17</v>
      </c>
    </row>
    <row r="4786" spans="1:9" hidden="1" x14ac:dyDescent="0.25">
      <c r="A4786">
        <v>2014</v>
      </c>
      <c r="B4786" s="140" t="s">
        <v>415</v>
      </c>
      <c r="C4786" s="140" t="s">
        <v>243</v>
      </c>
      <c r="D4786" s="140" t="s">
        <v>11</v>
      </c>
      <c r="E4786" s="140" t="s">
        <v>52</v>
      </c>
      <c r="F4786">
        <v>2640</v>
      </c>
      <c r="G4786" s="140" t="s">
        <v>408</v>
      </c>
      <c r="H4786">
        <v>0</v>
      </c>
      <c r="I4786" s="140" t="s">
        <v>17</v>
      </c>
    </row>
    <row r="4787" spans="1:9" hidden="1" x14ac:dyDescent="0.25">
      <c r="A4787">
        <v>2015</v>
      </c>
      <c r="B4787" s="140" t="s">
        <v>415</v>
      </c>
      <c r="C4787" s="140" t="s">
        <v>243</v>
      </c>
      <c r="D4787" s="140" t="s">
        <v>11</v>
      </c>
      <c r="E4787" s="140" t="s">
        <v>52</v>
      </c>
      <c r="F4787">
        <v>2704</v>
      </c>
      <c r="G4787" s="140" t="s">
        <v>408</v>
      </c>
      <c r="H4787">
        <v>0</v>
      </c>
      <c r="I4787" s="140" t="s">
        <v>17</v>
      </c>
    </row>
    <row r="4788" spans="1:9" hidden="1" x14ac:dyDescent="0.25">
      <c r="A4788">
        <v>2016</v>
      </c>
      <c r="B4788" s="140" t="s">
        <v>415</v>
      </c>
      <c r="C4788" s="140" t="s">
        <v>243</v>
      </c>
      <c r="D4788" s="140" t="s">
        <v>11</v>
      </c>
      <c r="E4788" s="140" t="s">
        <v>52</v>
      </c>
      <c r="F4788">
        <v>2602</v>
      </c>
      <c r="G4788" s="140" t="s">
        <v>408</v>
      </c>
      <c r="H4788">
        <v>0</v>
      </c>
      <c r="I4788" s="140" t="s">
        <v>17</v>
      </c>
    </row>
    <row r="4789" spans="1:9" hidden="1" x14ac:dyDescent="0.25">
      <c r="A4789">
        <v>2017</v>
      </c>
      <c r="B4789" s="140" t="s">
        <v>415</v>
      </c>
      <c r="C4789" s="140" t="s">
        <v>243</v>
      </c>
      <c r="D4789" s="140" t="s">
        <v>11</v>
      </c>
      <c r="E4789" s="140" t="s">
        <v>52</v>
      </c>
      <c r="F4789">
        <v>2592</v>
      </c>
      <c r="G4789" s="140" t="s">
        <v>408</v>
      </c>
      <c r="H4789">
        <v>0</v>
      </c>
      <c r="I4789" s="140" t="s">
        <v>17</v>
      </c>
    </row>
    <row r="4790" spans="1:9" hidden="1" x14ac:dyDescent="0.25">
      <c r="A4790">
        <v>2018</v>
      </c>
      <c r="B4790" s="140" t="s">
        <v>415</v>
      </c>
      <c r="C4790" s="140" t="s">
        <v>243</v>
      </c>
      <c r="D4790" s="140" t="s">
        <v>11</v>
      </c>
      <c r="E4790" s="140" t="s">
        <v>52</v>
      </c>
      <c r="F4790">
        <v>2625</v>
      </c>
      <c r="G4790" s="140" t="s">
        <v>408</v>
      </c>
      <c r="H4790">
        <v>0</v>
      </c>
      <c r="I4790" s="140" t="s">
        <v>17</v>
      </c>
    </row>
    <row r="4791" spans="1:9" hidden="1" x14ac:dyDescent="0.25">
      <c r="A4791">
        <v>2019</v>
      </c>
      <c r="B4791" s="140" t="s">
        <v>415</v>
      </c>
      <c r="C4791" s="140" t="s">
        <v>243</v>
      </c>
      <c r="D4791" s="140" t="s">
        <v>11</v>
      </c>
      <c r="E4791" s="140" t="s">
        <v>52</v>
      </c>
      <c r="F4791">
        <v>2711</v>
      </c>
      <c r="G4791" s="140" t="s">
        <v>408</v>
      </c>
      <c r="H4791">
        <v>0</v>
      </c>
      <c r="I4791" s="140" t="s">
        <v>17</v>
      </c>
    </row>
    <row r="4792" spans="1:9" hidden="1" x14ac:dyDescent="0.25">
      <c r="A4792">
        <v>2020</v>
      </c>
      <c r="B4792" s="140" t="s">
        <v>415</v>
      </c>
      <c r="C4792" s="140" t="s">
        <v>243</v>
      </c>
      <c r="D4792" s="140" t="s">
        <v>11</v>
      </c>
      <c r="E4792" s="140" t="s">
        <v>52</v>
      </c>
      <c r="F4792">
        <v>2764</v>
      </c>
      <c r="G4792" s="140" t="s">
        <v>408</v>
      </c>
      <c r="H4792">
        <v>0</v>
      </c>
      <c r="I4792" s="140" t="s">
        <v>17</v>
      </c>
    </row>
    <row r="4793" spans="1:9" hidden="1" x14ac:dyDescent="0.25">
      <c r="A4793">
        <v>2021</v>
      </c>
      <c r="B4793" s="140" t="s">
        <v>415</v>
      </c>
      <c r="C4793" s="140" t="s">
        <v>243</v>
      </c>
      <c r="D4793" s="140" t="s">
        <v>11</v>
      </c>
      <c r="E4793" s="140" t="s">
        <v>52</v>
      </c>
      <c r="F4793">
        <v>2837</v>
      </c>
      <c r="G4793" s="140" t="s">
        <v>408</v>
      </c>
      <c r="H4793">
        <v>0</v>
      </c>
      <c r="I4793" s="140" t="s">
        <v>17</v>
      </c>
    </row>
    <row r="4794" spans="1:9" hidden="1" x14ac:dyDescent="0.25">
      <c r="A4794">
        <v>2022</v>
      </c>
      <c r="B4794" s="140" t="s">
        <v>415</v>
      </c>
      <c r="C4794" s="140" t="s">
        <v>243</v>
      </c>
      <c r="D4794" s="140" t="s">
        <v>11</v>
      </c>
      <c r="E4794" s="140" t="s">
        <v>52</v>
      </c>
      <c r="F4794">
        <v>2891</v>
      </c>
      <c r="G4794" s="140" t="s">
        <v>408</v>
      </c>
      <c r="H4794">
        <v>0</v>
      </c>
      <c r="I4794" s="140" t="s">
        <v>17</v>
      </c>
    </row>
    <row r="4795" spans="1:9" hidden="1" x14ac:dyDescent="0.25">
      <c r="A4795">
        <v>2023</v>
      </c>
      <c r="B4795" s="140" t="s">
        <v>415</v>
      </c>
      <c r="C4795" s="140" t="s">
        <v>243</v>
      </c>
      <c r="D4795" s="140" t="s">
        <v>11</v>
      </c>
      <c r="E4795" s="140" t="s">
        <v>52</v>
      </c>
      <c r="F4795">
        <v>3073</v>
      </c>
      <c r="G4795" s="140" t="s">
        <v>408</v>
      </c>
      <c r="H4795">
        <v>0</v>
      </c>
      <c r="I4795" s="140" t="s">
        <v>17</v>
      </c>
    </row>
    <row r="4796" spans="1:9" hidden="1" x14ac:dyDescent="0.25">
      <c r="A4796">
        <v>2024</v>
      </c>
      <c r="B4796" s="140" t="s">
        <v>415</v>
      </c>
      <c r="C4796" s="140" t="s">
        <v>243</v>
      </c>
      <c r="D4796" s="140" t="s">
        <v>11</v>
      </c>
      <c r="E4796" s="140" t="s">
        <v>52</v>
      </c>
      <c r="F4796">
        <v>3132</v>
      </c>
      <c r="G4796" s="140" t="s">
        <v>408</v>
      </c>
      <c r="H4796">
        <v>0</v>
      </c>
      <c r="I4796" s="140" t="s">
        <v>17</v>
      </c>
    </row>
    <row r="4797" spans="1:9" hidden="1" x14ac:dyDescent="0.25">
      <c r="A4797">
        <v>2025</v>
      </c>
      <c r="B4797" s="140" t="s">
        <v>415</v>
      </c>
      <c r="C4797" s="140" t="s">
        <v>243</v>
      </c>
      <c r="D4797" s="140" t="s">
        <v>11</v>
      </c>
      <c r="E4797" s="140" t="s">
        <v>52</v>
      </c>
      <c r="F4797">
        <v>3138</v>
      </c>
      <c r="G4797" s="140" t="s">
        <v>408</v>
      </c>
      <c r="H4797">
        <v>0</v>
      </c>
      <c r="I4797" s="140" t="s">
        <v>17</v>
      </c>
    </row>
    <row r="4798" spans="1:9" hidden="1" x14ac:dyDescent="0.25">
      <c r="A4798">
        <v>2026</v>
      </c>
      <c r="B4798" s="140" t="s">
        <v>415</v>
      </c>
      <c r="C4798" s="140" t="s">
        <v>243</v>
      </c>
      <c r="D4798" s="140" t="s">
        <v>11</v>
      </c>
      <c r="E4798" s="140" t="s">
        <v>52</v>
      </c>
      <c r="F4798">
        <v>3200.76</v>
      </c>
      <c r="G4798" s="140" t="s">
        <v>408</v>
      </c>
      <c r="H4798">
        <v>0</v>
      </c>
      <c r="I4798" s="140" t="s">
        <v>17</v>
      </c>
    </row>
    <row r="4799" spans="1:9" hidden="1" x14ac:dyDescent="0.25">
      <c r="A4799">
        <v>2027</v>
      </c>
      <c r="B4799" s="140" t="s">
        <v>415</v>
      </c>
      <c r="C4799" s="140" t="s">
        <v>243</v>
      </c>
      <c r="D4799" s="140" t="s">
        <v>11</v>
      </c>
      <c r="E4799" s="140" t="s">
        <v>52</v>
      </c>
      <c r="F4799">
        <v>3264.7752</v>
      </c>
      <c r="G4799" s="140" t="s">
        <v>408</v>
      </c>
      <c r="H4799">
        <v>0</v>
      </c>
      <c r="I4799" s="140" t="s">
        <v>17</v>
      </c>
    </row>
    <row r="4800" spans="1:9" hidden="1" x14ac:dyDescent="0.25">
      <c r="A4800">
        <v>2028</v>
      </c>
      <c r="B4800" s="140" t="s">
        <v>415</v>
      </c>
      <c r="C4800" s="140" t="s">
        <v>243</v>
      </c>
      <c r="D4800" s="140" t="s">
        <v>11</v>
      </c>
      <c r="E4800" s="140" t="s">
        <v>52</v>
      </c>
      <c r="F4800">
        <v>3330.0707040000002</v>
      </c>
      <c r="G4800" s="140" t="s">
        <v>408</v>
      </c>
      <c r="H4800">
        <v>0</v>
      </c>
      <c r="I4800" s="140" t="s">
        <v>17</v>
      </c>
    </row>
    <row r="4801" spans="1:9" hidden="1" x14ac:dyDescent="0.25">
      <c r="A4801">
        <v>1990</v>
      </c>
      <c r="B4801" s="140" t="s">
        <v>416</v>
      </c>
      <c r="C4801" s="140" t="s">
        <v>243</v>
      </c>
      <c r="D4801" s="140" t="s">
        <v>11</v>
      </c>
      <c r="E4801" s="140" t="s">
        <v>52</v>
      </c>
      <c r="F4801">
        <v>115</v>
      </c>
      <c r="G4801" s="140" t="s">
        <v>417</v>
      </c>
      <c r="H4801">
        <v>0</v>
      </c>
      <c r="I4801" s="140" t="s">
        <v>17</v>
      </c>
    </row>
    <row r="4802" spans="1:9" hidden="1" x14ac:dyDescent="0.25">
      <c r="A4802">
        <v>1991</v>
      </c>
      <c r="B4802" s="140" t="s">
        <v>416</v>
      </c>
      <c r="C4802" s="140" t="s">
        <v>243</v>
      </c>
      <c r="D4802" s="140" t="s">
        <v>11</v>
      </c>
      <c r="E4802" s="140" t="s">
        <v>52</v>
      </c>
      <c r="F4802">
        <v>109</v>
      </c>
      <c r="G4802" s="140" t="s">
        <v>417</v>
      </c>
      <c r="H4802">
        <v>0</v>
      </c>
      <c r="I4802" s="140" t="s">
        <v>17</v>
      </c>
    </row>
    <row r="4803" spans="1:9" hidden="1" x14ac:dyDescent="0.25">
      <c r="A4803">
        <v>1992</v>
      </c>
      <c r="B4803" s="140" t="s">
        <v>416</v>
      </c>
      <c r="C4803" s="140" t="s">
        <v>243</v>
      </c>
      <c r="D4803" s="140" t="s">
        <v>11</v>
      </c>
      <c r="E4803" s="140" t="s">
        <v>52</v>
      </c>
      <c r="F4803">
        <v>126</v>
      </c>
      <c r="G4803" s="140" t="s">
        <v>417</v>
      </c>
      <c r="H4803">
        <v>0</v>
      </c>
      <c r="I4803" s="140" t="s">
        <v>17</v>
      </c>
    </row>
    <row r="4804" spans="1:9" hidden="1" x14ac:dyDescent="0.25">
      <c r="A4804">
        <v>1993</v>
      </c>
      <c r="B4804" s="140" t="s">
        <v>416</v>
      </c>
      <c r="C4804" s="140" t="s">
        <v>243</v>
      </c>
      <c r="D4804" s="140" t="s">
        <v>11</v>
      </c>
      <c r="E4804" s="140" t="s">
        <v>52</v>
      </c>
      <c r="F4804">
        <v>139</v>
      </c>
      <c r="G4804" s="140" t="s">
        <v>417</v>
      </c>
      <c r="H4804">
        <v>0</v>
      </c>
      <c r="I4804" s="140" t="s">
        <v>17</v>
      </c>
    </row>
    <row r="4805" spans="1:9" hidden="1" x14ac:dyDescent="0.25">
      <c r="A4805">
        <v>1994</v>
      </c>
      <c r="B4805" s="140" t="s">
        <v>416</v>
      </c>
      <c r="C4805" s="140" t="s">
        <v>243</v>
      </c>
      <c r="D4805" s="140" t="s">
        <v>11</v>
      </c>
      <c r="E4805" s="140" t="s">
        <v>52</v>
      </c>
      <c r="F4805">
        <v>119</v>
      </c>
      <c r="G4805" s="140" t="s">
        <v>417</v>
      </c>
      <c r="H4805">
        <v>0</v>
      </c>
      <c r="I4805" s="140" t="s">
        <v>17</v>
      </c>
    </row>
    <row r="4806" spans="1:9" hidden="1" x14ac:dyDescent="0.25">
      <c r="A4806">
        <v>1995</v>
      </c>
      <c r="B4806" s="140" t="s">
        <v>416</v>
      </c>
      <c r="C4806" s="140" t="s">
        <v>243</v>
      </c>
      <c r="D4806" s="140" t="s">
        <v>11</v>
      </c>
      <c r="E4806" s="140" t="s">
        <v>52</v>
      </c>
      <c r="F4806">
        <v>126</v>
      </c>
      <c r="G4806" s="140" t="s">
        <v>417</v>
      </c>
      <c r="H4806">
        <v>0</v>
      </c>
      <c r="I4806" s="140" t="s">
        <v>17</v>
      </c>
    </row>
    <row r="4807" spans="1:9" hidden="1" x14ac:dyDescent="0.25">
      <c r="A4807">
        <v>1996</v>
      </c>
      <c r="B4807" s="140" t="s">
        <v>416</v>
      </c>
      <c r="C4807" s="140" t="s">
        <v>243</v>
      </c>
      <c r="D4807" s="140" t="s">
        <v>11</v>
      </c>
      <c r="E4807" s="140" t="s">
        <v>52</v>
      </c>
      <c r="F4807">
        <v>138</v>
      </c>
      <c r="G4807" s="140" t="s">
        <v>417</v>
      </c>
      <c r="H4807">
        <v>0</v>
      </c>
      <c r="I4807" s="140" t="s">
        <v>17</v>
      </c>
    </row>
    <row r="4808" spans="1:9" hidden="1" x14ac:dyDescent="0.25">
      <c r="A4808">
        <v>1997</v>
      </c>
      <c r="B4808" s="140" t="s">
        <v>416</v>
      </c>
      <c r="C4808" s="140" t="s">
        <v>243</v>
      </c>
      <c r="D4808" s="140" t="s">
        <v>11</v>
      </c>
      <c r="E4808" s="140" t="s">
        <v>52</v>
      </c>
      <c r="F4808">
        <v>225</v>
      </c>
      <c r="G4808" s="140" t="s">
        <v>417</v>
      </c>
      <c r="H4808">
        <v>0</v>
      </c>
      <c r="I4808" s="140" t="s">
        <v>17</v>
      </c>
    </row>
    <row r="4809" spans="1:9" hidden="1" x14ac:dyDescent="0.25">
      <c r="A4809">
        <v>1998</v>
      </c>
      <c r="B4809" s="140" t="s">
        <v>416</v>
      </c>
      <c r="C4809" s="140" t="s">
        <v>243</v>
      </c>
      <c r="D4809" s="140" t="s">
        <v>11</v>
      </c>
      <c r="E4809" s="140" t="s">
        <v>52</v>
      </c>
      <c r="F4809">
        <v>247</v>
      </c>
      <c r="G4809" s="140" t="s">
        <v>417</v>
      </c>
      <c r="H4809">
        <v>0</v>
      </c>
      <c r="I4809" s="140" t="s">
        <v>17</v>
      </c>
    </row>
    <row r="4810" spans="1:9" hidden="1" x14ac:dyDescent="0.25">
      <c r="A4810">
        <v>1999</v>
      </c>
      <c r="B4810" s="140" t="s">
        <v>416</v>
      </c>
      <c r="C4810" s="140" t="s">
        <v>243</v>
      </c>
      <c r="D4810" s="140" t="s">
        <v>11</v>
      </c>
      <c r="E4810" s="140" t="s">
        <v>52</v>
      </c>
      <c r="F4810">
        <v>253</v>
      </c>
      <c r="G4810" s="140" t="s">
        <v>417</v>
      </c>
      <c r="H4810">
        <v>0</v>
      </c>
      <c r="I4810" s="140" t="s">
        <v>17</v>
      </c>
    </row>
    <row r="4811" spans="1:9" hidden="1" x14ac:dyDescent="0.25">
      <c r="A4811">
        <v>2000</v>
      </c>
      <c r="B4811" s="140" t="s">
        <v>416</v>
      </c>
      <c r="C4811" s="140" t="s">
        <v>243</v>
      </c>
      <c r="D4811" s="140" t="s">
        <v>11</v>
      </c>
      <c r="E4811" s="140" t="s">
        <v>52</v>
      </c>
      <c r="F4811">
        <v>393</v>
      </c>
      <c r="G4811" s="140" t="s">
        <v>417</v>
      </c>
      <c r="H4811">
        <v>0</v>
      </c>
      <c r="I4811" s="140" t="s">
        <v>17</v>
      </c>
    </row>
    <row r="4812" spans="1:9" hidden="1" x14ac:dyDescent="0.25">
      <c r="A4812">
        <v>2001</v>
      </c>
      <c r="B4812" s="140" t="s">
        <v>416</v>
      </c>
      <c r="C4812" s="140" t="s">
        <v>243</v>
      </c>
      <c r="D4812" s="140" t="s">
        <v>11</v>
      </c>
      <c r="E4812" s="140" t="s">
        <v>52</v>
      </c>
      <c r="F4812">
        <v>579</v>
      </c>
      <c r="G4812" s="140" t="s">
        <v>417</v>
      </c>
      <c r="H4812">
        <v>0</v>
      </c>
      <c r="I4812" s="140" t="s">
        <v>17</v>
      </c>
    </row>
    <row r="4813" spans="1:9" hidden="1" x14ac:dyDescent="0.25">
      <c r="A4813">
        <v>2002</v>
      </c>
      <c r="B4813" s="140" t="s">
        <v>416</v>
      </c>
      <c r="C4813" s="140" t="s">
        <v>243</v>
      </c>
      <c r="D4813" s="140" t="s">
        <v>11</v>
      </c>
      <c r="E4813" s="140" t="s">
        <v>52</v>
      </c>
      <c r="F4813">
        <v>330</v>
      </c>
      <c r="G4813" s="140" t="s">
        <v>417</v>
      </c>
      <c r="H4813">
        <v>0</v>
      </c>
      <c r="I4813" s="140" t="s">
        <v>17</v>
      </c>
    </row>
    <row r="4814" spans="1:9" hidden="1" x14ac:dyDescent="0.25">
      <c r="A4814">
        <v>2003</v>
      </c>
      <c r="B4814" s="140" t="s">
        <v>416</v>
      </c>
      <c r="C4814" s="140" t="s">
        <v>243</v>
      </c>
      <c r="D4814" s="140" t="s">
        <v>11</v>
      </c>
      <c r="E4814" s="140" t="s">
        <v>52</v>
      </c>
      <c r="F4814">
        <v>191</v>
      </c>
      <c r="G4814" s="140" t="s">
        <v>417</v>
      </c>
      <c r="H4814">
        <v>0</v>
      </c>
      <c r="I4814" s="140" t="s">
        <v>17</v>
      </c>
    </row>
    <row r="4815" spans="1:9" hidden="1" x14ac:dyDescent="0.25">
      <c r="A4815">
        <v>2004</v>
      </c>
      <c r="B4815" s="140" t="s">
        <v>416</v>
      </c>
      <c r="C4815" s="140" t="s">
        <v>243</v>
      </c>
      <c r="D4815" s="140" t="s">
        <v>11</v>
      </c>
      <c r="E4815" s="140" t="s">
        <v>52</v>
      </c>
      <c r="F4815">
        <v>176</v>
      </c>
      <c r="G4815" s="140" t="s">
        <v>417</v>
      </c>
      <c r="H4815">
        <v>0</v>
      </c>
      <c r="I4815" s="140" t="s">
        <v>17</v>
      </c>
    </row>
    <row r="4816" spans="1:9" hidden="1" x14ac:dyDescent="0.25">
      <c r="A4816">
        <v>2005</v>
      </c>
      <c r="B4816" s="140" t="s">
        <v>416</v>
      </c>
      <c r="C4816" s="140" t="s">
        <v>243</v>
      </c>
      <c r="D4816" s="140" t="s">
        <v>11</v>
      </c>
      <c r="E4816" s="140" t="s">
        <v>52</v>
      </c>
      <c r="F4816">
        <v>116</v>
      </c>
      <c r="G4816" s="140" t="s">
        <v>417</v>
      </c>
      <c r="H4816">
        <v>0</v>
      </c>
      <c r="I4816" s="140" t="s">
        <v>17</v>
      </c>
    </row>
    <row r="4817" spans="1:9" hidden="1" x14ac:dyDescent="0.25">
      <c r="A4817">
        <v>2006</v>
      </c>
      <c r="B4817" s="140" t="s">
        <v>416</v>
      </c>
      <c r="C4817" s="140" t="s">
        <v>243</v>
      </c>
      <c r="D4817" s="140" t="s">
        <v>11</v>
      </c>
      <c r="E4817" s="140" t="s">
        <v>52</v>
      </c>
      <c r="F4817">
        <v>65</v>
      </c>
      <c r="G4817" s="140" t="s">
        <v>417</v>
      </c>
      <c r="H4817">
        <v>0</v>
      </c>
      <c r="I4817" s="140" t="s">
        <v>17</v>
      </c>
    </row>
    <row r="4818" spans="1:9" hidden="1" x14ac:dyDescent="0.25">
      <c r="A4818">
        <v>2007</v>
      </c>
      <c r="B4818" s="140" t="s">
        <v>416</v>
      </c>
      <c r="C4818" s="140" t="s">
        <v>243</v>
      </c>
      <c r="D4818" s="140" t="s">
        <v>11</v>
      </c>
      <c r="E4818" s="140" t="s">
        <v>52</v>
      </c>
      <c r="F4818">
        <v>99</v>
      </c>
      <c r="G4818" s="140" t="s">
        <v>417</v>
      </c>
      <c r="H4818">
        <v>0</v>
      </c>
      <c r="I4818" s="140" t="s">
        <v>17</v>
      </c>
    </row>
    <row r="4819" spans="1:9" hidden="1" x14ac:dyDescent="0.25">
      <c r="A4819">
        <v>2008</v>
      </c>
      <c r="B4819" s="140" t="s">
        <v>416</v>
      </c>
      <c r="C4819" s="140" t="s">
        <v>243</v>
      </c>
      <c r="D4819" s="140" t="s">
        <v>11</v>
      </c>
      <c r="E4819" s="140" t="s">
        <v>52</v>
      </c>
      <c r="F4819">
        <v>116</v>
      </c>
      <c r="G4819" s="140" t="s">
        <v>417</v>
      </c>
      <c r="H4819">
        <v>0</v>
      </c>
      <c r="I4819" s="140" t="s">
        <v>17</v>
      </c>
    </row>
    <row r="4820" spans="1:9" hidden="1" x14ac:dyDescent="0.25">
      <c r="A4820">
        <v>2009</v>
      </c>
      <c r="B4820" s="140" t="s">
        <v>416</v>
      </c>
      <c r="C4820" s="140" t="s">
        <v>243</v>
      </c>
      <c r="D4820" s="140" t="s">
        <v>11</v>
      </c>
      <c r="E4820" s="140" t="s">
        <v>52</v>
      </c>
      <c r="F4820">
        <v>13</v>
      </c>
      <c r="G4820" s="140" t="s">
        <v>417</v>
      </c>
      <c r="H4820">
        <v>0</v>
      </c>
      <c r="I4820" s="140" t="s">
        <v>17</v>
      </c>
    </row>
    <row r="4821" spans="1:9" hidden="1" x14ac:dyDescent="0.25">
      <c r="A4821">
        <v>2010</v>
      </c>
      <c r="B4821" s="140" t="s">
        <v>416</v>
      </c>
      <c r="C4821" s="140" t="s">
        <v>243</v>
      </c>
      <c r="D4821" s="140" t="s">
        <v>11</v>
      </c>
      <c r="E4821" s="140" t="s">
        <v>52</v>
      </c>
      <c r="F4821">
        <v>1</v>
      </c>
      <c r="G4821" s="140" t="s">
        <v>417</v>
      </c>
      <c r="H4821">
        <v>0</v>
      </c>
      <c r="I4821" s="140" t="s">
        <v>17</v>
      </c>
    </row>
    <row r="4822" spans="1:9" hidden="1" x14ac:dyDescent="0.25">
      <c r="A4822">
        <v>2011</v>
      </c>
      <c r="B4822" s="140" t="s">
        <v>416</v>
      </c>
      <c r="C4822" s="140" t="s">
        <v>243</v>
      </c>
      <c r="D4822" s="140" t="s">
        <v>11</v>
      </c>
      <c r="E4822" s="140" t="s">
        <v>52</v>
      </c>
      <c r="F4822">
        <v>35</v>
      </c>
      <c r="G4822" s="140" t="s">
        <v>417</v>
      </c>
      <c r="H4822">
        <v>0</v>
      </c>
      <c r="I4822" s="140" t="s">
        <v>17</v>
      </c>
    </row>
    <row r="4823" spans="1:9" hidden="1" x14ac:dyDescent="0.25">
      <c r="A4823">
        <v>2012</v>
      </c>
      <c r="B4823" s="140" t="s">
        <v>416</v>
      </c>
      <c r="C4823" s="140" t="s">
        <v>243</v>
      </c>
      <c r="D4823" s="140" t="s">
        <v>11</v>
      </c>
      <c r="E4823" s="140" t="s">
        <v>52</v>
      </c>
      <c r="F4823">
        <v>-62</v>
      </c>
      <c r="G4823" s="140" t="s">
        <v>417</v>
      </c>
      <c r="H4823">
        <v>0</v>
      </c>
      <c r="I4823" s="140" t="s">
        <v>17</v>
      </c>
    </row>
    <row r="4824" spans="1:9" hidden="1" x14ac:dyDescent="0.25">
      <c r="A4824">
        <v>2013</v>
      </c>
      <c r="B4824" s="140" t="s">
        <v>416</v>
      </c>
      <c r="C4824" s="140" t="s">
        <v>243</v>
      </c>
      <c r="D4824" s="140" t="s">
        <v>11</v>
      </c>
      <c r="E4824" s="140" t="s">
        <v>52</v>
      </c>
      <c r="F4824">
        <v>-85</v>
      </c>
      <c r="G4824" s="140" t="s">
        <v>417</v>
      </c>
      <c r="H4824">
        <v>0</v>
      </c>
      <c r="I4824" s="140" t="s">
        <v>17</v>
      </c>
    </row>
    <row r="4825" spans="1:9" hidden="1" x14ac:dyDescent="0.25">
      <c r="A4825">
        <v>2014</v>
      </c>
      <c r="B4825" s="140" t="s">
        <v>416</v>
      </c>
      <c r="C4825" s="140" t="s">
        <v>243</v>
      </c>
      <c r="D4825" s="140" t="s">
        <v>11</v>
      </c>
      <c r="E4825" s="140" t="s">
        <v>52</v>
      </c>
      <c r="F4825">
        <v>-145</v>
      </c>
      <c r="G4825" s="140" t="s">
        <v>417</v>
      </c>
      <c r="H4825">
        <v>0</v>
      </c>
      <c r="I4825" s="140" t="s">
        <v>17</v>
      </c>
    </row>
    <row r="4826" spans="1:9" hidden="1" x14ac:dyDescent="0.25">
      <c r="A4826">
        <v>2015</v>
      </c>
      <c r="B4826" s="140" t="s">
        <v>416</v>
      </c>
      <c r="C4826" s="140" t="s">
        <v>243</v>
      </c>
      <c r="D4826" s="140" t="s">
        <v>11</v>
      </c>
      <c r="E4826" s="140" t="s">
        <v>52</v>
      </c>
      <c r="F4826">
        <v>-162</v>
      </c>
      <c r="G4826" s="140" t="s">
        <v>417</v>
      </c>
      <c r="H4826">
        <v>0</v>
      </c>
      <c r="I4826" s="140" t="s">
        <v>17</v>
      </c>
    </row>
    <row r="4827" spans="1:9" hidden="1" x14ac:dyDescent="0.25">
      <c r="A4827">
        <v>2016</v>
      </c>
      <c r="B4827" s="140" t="s">
        <v>416</v>
      </c>
      <c r="C4827" s="140" t="s">
        <v>243</v>
      </c>
      <c r="D4827" s="140" t="s">
        <v>11</v>
      </c>
      <c r="E4827" s="140" t="s">
        <v>52</v>
      </c>
      <c r="F4827">
        <v>-234</v>
      </c>
      <c r="G4827" s="140" t="s">
        <v>417</v>
      </c>
      <c r="H4827">
        <v>0</v>
      </c>
      <c r="I4827" s="140" t="s">
        <v>17</v>
      </c>
    </row>
    <row r="4828" spans="1:9" hidden="1" x14ac:dyDescent="0.25">
      <c r="A4828">
        <v>2017</v>
      </c>
      <c r="B4828" s="140" t="s">
        <v>416</v>
      </c>
      <c r="C4828" s="140" t="s">
        <v>243</v>
      </c>
      <c r="D4828" s="140" t="s">
        <v>11</v>
      </c>
      <c r="E4828" s="140" t="s">
        <v>52</v>
      </c>
      <c r="F4828">
        <v>-218</v>
      </c>
      <c r="G4828" s="140" t="s">
        <v>417</v>
      </c>
      <c r="H4828">
        <v>0</v>
      </c>
      <c r="I4828" s="140" t="s">
        <v>17</v>
      </c>
    </row>
    <row r="4829" spans="1:9" hidden="1" x14ac:dyDescent="0.25">
      <c r="A4829">
        <v>2018</v>
      </c>
      <c r="B4829" s="140" t="s">
        <v>416</v>
      </c>
      <c r="C4829" s="140" t="s">
        <v>243</v>
      </c>
      <c r="D4829" s="140" t="s">
        <v>11</v>
      </c>
      <c r="E4829" s="140" t="s">
        <v>52</v>
      </c>
      <c r="F4829">
        <v>-208</v>
      </c>
      <c r="G4829" s="140" t="s">
        <v>417</v>
      </c>
      <c r="H4829">
        <v>0</v>
      </c>
      <c r="I4829" s="140" t="s">
        <v>17</v>
      </c>
    </row>
    <row r="4830" spans="1:9" hidden="1" x14ac:dyDescent="0.25">
      <c r="A4830">
        <v>2019</v>
      </c>
      <c r="B4830" s="140" t="s">
        <v>416</v>
      </c>
      <c r="C4830" s="140" t="s">
        <v>243</v>
      </c>
      <c r="D4830" s="140" t="s">
        <v>11</v>
      </c>
      <c r="E4830" s="140" t="s">
        <v>52</v>
      </c>
      <c r="F4830">
        <v>-156</v>
      </c>
      <c r="G4830" s="140" t="s">
        <v>417</v>
      </c>
      <c r="H4830">
        <v>0</v>
      </c>
      <c r="I4830" s="140" t="s">
        <v>17</v>
      </c>
    </row>
    <row r="4831" spans="1:9" hidden="1" x14ac:dyDescent="0.25">
      <c r="A4831">
        <v>2020</v>
      </c>
      <c r="B4831" s="140" t="s">
        <v>416</v>
      </c>
      <c r="C4831" s="140" t="s">
        <v>243</v>
      </c>
      <c r="D4831" s="140" t="s">
        <v>11</v>
      </c>
      <c r="E4831" s="140" t="s">
        <v>52</v>
      </c>
      <c r="F4831">
        <v>-235</v>
      </c>
      <c r="G4831" s="140" t="s">
        <v>417</v>
      </c>
      <c r="H4831">
        <v>0</v>
      </c>
      <c r="I4831" s="140" t="s">
        <v>17</v>
      </c>
    </row>
    <row r="4832" spans="1:9" hidden="1" x14ac:dyDescent="0.25">
      <c r="A4832">
        <v>2021</v>
      </c>
      <c r="B4832" s="140" t="s">
        <v>416</v>
      </c>
      <c r="C4832" s="140" t="s">
        <v>243</v>
      </c>
      <c r="D4832" s="140" t="s">
        <v>11</v>
      </c>
      <c r="E4832" s="140" t="s">
        <v>52</v>
      </c>
      <c r="F4832">
        <v>-233</v>
      </c>
      <c r="G4832" s="140" t="s">
        <v>417</v>
      </c>
      <c r="H4832">
        <v>0</v>
      </c>
      <c r="I4832" s="140" t="s">
        <v>17</v>
      </c>
    </row>
    <row r="4833" spans="1:9" hidden="1" x14ac:dyDescent="0.25">
      <c r="A4833">
        <v>2022</v>
      </c>
      <c r="B4833" s="140" t="s">
        <v>416</v>
      </c>
      <c r="C4833" s="140" t="s">
        <v>243</v>
      </c>
      <c r="D4833" s="140" t="s">
        <v>11</v>
      </c>
      <c r="E4833" s="140" t="s">
        <v>52</v>
      </c>
      <c r="F4833">
        <v>-179</v>
      </c>
      <c r="G4833" s="140" t="s">
        <v>417</v>
      </c>
      <c r="H4833">
        <v>0</v>
      </c>
      <c r="I4833" s="140" t="s">
        <v>17</v>
      </c>
    </row>
    <row r="4834" spans="1:9" hidden="1" x14ac:dyDescent="0.25">
      <c r="A4834">
        <v>2023</v>
      </c>
      <c r="B4834" s="140" t="s">
        <v>416</v>
      </c>
      <c r="C4834" s="140" t="s">
        <v>243</v>
      </c>
      <c r="D4834" s="140" t="s">
        <v>11</v>
      </c>
      <c r="E4834" s="140" t="s">
        <v>52</v>
      </c>
      <c r="F4834">
        <v>-126</v>
      </c>
      <c r="G4834" s="140" t="s">
        <v>417</v>
      </c>
      <c r="H4834">
        <v>0</v>
      </c>
      <c r="I4834" s="140" t="s">
        <v>17</v>
      </c>
    </row>
    <row r="4835" spans="1:9" hidden="1" x14ac:dyDescent="0.25">
      <c r="A4835">
        <v>2024</v>
      </c>
      <c r="B4835" s="140" t="s">
        <v>416</v>
      </c>
      <c r="C4835" s="140" t="s">
        <v>243</v>
      </c>
      <c r="D4835" s="140" t="s">
        <v>11</v>
      </c>
      <c r="E4835" s="140" t="s">
        <v>52</v>
      </c>
      <c r="F4835">
        <v>-155</v>
      </c>
      <c r="G4835" s="140" t="s">
        <v>417</v>
      </c>
      <c r="H4835">
        <v>0</v>
      </c>
      <c r="I4835" s="140" t="s">
        <v>17</v>
      </c>
    </row>
    <row r="4836" spans="1:9" hidden="1" x14ac:dyDescent="0.25">
      <c r="A4836">
        <v>2025</v>
      </c>
      <c r="B4836" s="140" t="s">
        <v>416</v>
      </c>
      <c r="C4836" s="140" t="s">
        <v>243</v>
      </c>
      <c r="D4836" s="140" t="s">
        <v>11</v>
      </c>
      <c r="E4836" s="140" t="s">
        <v>52</v>
      </c>
      <c r="F4836">
        <v>-53</v>
      </c>
      <c r="G4836" s="140" t="s">
        <v>417</v>
      </c>
      <c r="H4836">
        <v>0</v>
      </c>
      <c r="I4836" s="140" t="s">
        <v>17</v>
      </c>
    </row>
    <row r="4837" spans="1:9" hidden="1" x14ac:dyDescent="0.25">
      <c r="A4837">
        <v>2026</v>
      </c>
      <c r="B4837" s="140" t="s">
        <v>416</v>
      </c>
      <c r="C4837" s="140" t="s">
        <v>243</v>
      </c>
      <c r="D4837" s="140" t="s">
        <v>11</v>
      </c>
      <c r="E4837" s="140" t="s">
        <v>52</v>
      </c>
      <c r="F4837">
        <v>-53</v>
      </c>
      <c r="G4837" s="140" t="s">
        <v>417</v>
      </c>
      <c r="H4837">
        <v>0</v>
      </c>
      <c r="I4837" s="140" t="s">
        <v>17</v>
      </c>
    </row>
    <row r="4838" spans="1:9" hidden="1" x14ac:dyDescent="0.25">
      <c r="A4838">
        <v>2027</v>
      </c>
      <c r="B4838" s="140" t="s">
        <v>416</v>
      </c>
      <c r="C4838" s="140" t="s">
        <v>243</v>
      </c>
      <c r="D4838" s="140" t="s">
        <v>11</v>
      </c>
      <c r="E4838" s="140" t="s">
        <v>52</v>
      </c>
      <c r="F4838">
        <v>-53</v>
      </c>
      <c r="G4838" s="140" t="s">
        <v>417</v>
      </c>
      <c r="H4838">
        <v>0</v>
      </c>
      <c r="I4838" s="140" t="s">
        <v>17</v>
      </c>
    </row>
    <row r="4839" spans="1:9" hidden="1" x14ac:dyDescent="0.25">
      <c r="A4839">
        <v>2028</v>
      </c>
      <c r="B4839" s="140" t="s">
        <v>416</v>
      </c>
      <c r="C4839" s="140" t="s">
        <v>243</v>
      </c>
      <c r="D4839" s="140" t="s">
        <v>11</v>
      </c>
      <c r="E4839" s="140" t="s">
        <v>52</v>
      </c>
      <c r="F4839">
        <v>-53</v>
      </c>
      <c r="G4839" s="140" t="s">
        <v>417</v>
      </c>
      <c r="H4839">
        <v>0</v>
      </c>
      <c r="I4839" s="140" t="s">
        <v>17</v>
      </c>
    </row>
    <row r="4840" spans="1:9" hidden="1" x14ac:dyDescent="0.25">
      <c r="A4840">
        <v>1990</v>
      </c>
      <c r="B4840" s="140" t="s">
        <v>113</v>
      </c>
      <c r="C4840" s="140" t="s">
        <v>243</v>
      </c>
      <c r="D4840" s="140" t="s">
        <v>11</v>
      </c>
      <c r="E4840" s="140" t="s">
        <v>52</v>
      </c>
      <c r="F4840">
        <v>43821</v>
      </c>
      <c r="G4840" s="140" t="s">
        <v>209</v>
      </c>
      <c r="H4840">
        <v>0</v>
      </c>
      <c r="I4840" s="140" t="s">
        <v>17</v>
      </c>
    </row>
    <row r="4841" spans="1:9" hidden="1" x14ac:dyDescent="0.25">
      <c r="A4841">
        <v>1991</v>
      </c>
      <c r="B4841" s="140" t="s">
        <v>113</v>
      </c>
      <c r="C4841" s="140" t="s">
        <v>243</v>
      </c>
      <c r="D4841" s="140" t="s">
        <v>11</v>
      </c>
      <c r="E4841" s="140" t="s">
        <v>52</v>
      </c>
      <c r="F4841">
        <v>44447</v>
      </c>
      <c r="G4841" s="140" t="s">
        <v>209</v>
      </c>
      <c r="H4841">
        <v>0</v>
      </c>
      <c r="I4841" s="140" t="s">
        <v>17</v>
      </c>
    </row>
    <row r="4842" spans="1:9" hidden="1" x14ac:dyDescent="0.25">
      <c r="A4842">
        <v>1992</v>
      </c>
      <c r="B4842" s="140" t="s">
        <v>113</v>
      </c>
      <c r="C4842" s="140" t="s">
        <v>243</v>
      </c>
      <c r="D4842" s="140" t="s">
        <v>11</v>
      </c>
      <c r="E4842" s="140" t="s">
        <v>52</v>
      </c>
      <c r="F4842">
        <v>43991</v>
      </c>
      <c r="G4842" s="140" t="s">
        <v>209</v>
      </c>
      <c r="H4842">
        <v>0</v>
      </c>
      <c r="I4842" s="140" t="s">
        <v>17</v>
      </c>
    </row>
    <row r="4843" spans="1:9" hidden="1" x14ac:dyDescent="0.25">
      <c r="A4843">
        <v>1993</v>
      </c>
      <c r="B4843" s="140" t="s">
        <v>113</v>
      </c>
      <c r="C4843" s="140" t="s">
        <v>243</v>
      </c>
      <c r="D4843" s="140" t="s">
        <v>11</v>
      </c>
      <c r="E4843" s="140" t="s">
        <v>52</v>
      </c>
      <c r="F4843">
        <v>44361</v>
      </c>
      <c r="G4843" s="140" t="s">
        <v>209</v>
      </c>
      <c r="H4843">
        <v>0</v>
      </c>
      <c r="I4843" s="140" t="s">
        <v>17</v>
      </c>
    </row>
    <row r="4844" spans="1:9" hidden="1" x14ac:dyDescent="0.25">
      <c r="A4844">
        <v>1994</v>
      </c>
      <c r="B4844" s="140" t="s">
        <v>113</v>
      </c>
      <c r="C4844" s="140" t="s">
        <v>243</v>
      </c>
      <c r="D4844" s="140" t="s">
        <v>11</v>
      </c>
      <c r="E4844" s="140" t="s">
        <v>52</v>
      </c>
      <c r="F4844">
        <v>45839</v>
      </c>
      <c r="G4844" s="140" t="s">
        <v>209</v>
      </c>
      <c r="H4844">
        <v>0</v>
      </c>
      <c r="I4844" s="140" t="s">
        <v>17</v>
      </c>
    </row>
    <row r="4845" spans="1:9" hidden="1" x14ac:dyDescent="0.25">
      <c r="A4845">
        <v>1995</v>
      </c>
      <c r="B4845" s="140" t="s">
        <v>113</v>
      </c>
      <c r="C4845" s="140" t="s">
        <v>243</v>
      </c>
      <c r="D4845" s="140" t="s">
        <v>11</v>
      </c>
      <c r="E4845" s="140" t="s">
        <v>52</v>
      </c>
      <c r="F4845">
        <v>48239</v>
      </c>
      <c r="G4845" s="140" t="s">
        <v>209</v>
      </c>
      <c r="H4845">
        <v>0</v>
      </c>
      <c r="I4845" s="140" t="s">
        <v>17</v>
      </c>
    </row>
    <row r="4846" spans="1:9" hidden="1" x14ac:dyDescent="0.25">
      <c r="A4846">
        <v>1996</v>
      </c>
      <c r="B4846" s="140" t="s">
        <v>113</v>
      </c>
      <c r="C4846" s="140" t="s">
        <v>243</v>
      </c>
      <c r="D4846" s="140" t="s">
        <v>11</v>
      </c>
      <c r="E4846" s="140" t="s">
        <v>52</v>
      </c>
      <c r="F4846">
        <v>50568</v>
      </c>
      <c r="G4846" s="140" t="s">
        <v>209</v>
      </c>
      <c r="H4846">
        <v>0</v>
      </c>
      <c r="I4846" s="140" t="s">
        <v>17</v>
      </c>
    </row>
    <row r="4847" spans="1:9" hidden="1" x14ac:dyDescent="0.25">
      <c r="A4847">
        <v>1997</v>
      </c>
      <c r="B4847" s="140" t="s">
        <v>113</v>
      </c>
      <c r="C4847" s="140" t="s">
        <v>243</v>
      </c>
      <c r="D4847" s="140" t="s">
        <v>11</v>
      </c>
      <c r="E4847" s="140" t="s">
        <v>52</v>
      </c>
      <c r="F4847">
        <v>53328</v>
      </c>
      <c r="G4847" s="140" t="s">
        <v>209</v>
      </c>
      <c r="H4847">
        <v>0</v>
      </c>
      <c r="I4847" s="140" t="s">
        <v>17</v>
      </c>
    </row>
    <row r="4848" spans="1:9" hidden="1" x14ac:dyDescent="0.25">
      <c r="A4848">
        <v>1998</v>
      </c>
      <c r="B4848" s="140" t="s">
        <v>113</v>
      </c>
      <c r="C4848" s="140" t="s">
        <v>243</v>
      </c>
      <c r="D4848" s="140" t="s">
        <v>11</v>
      </c>
      <c r="E4848" s="140" t="s">
        <v>52</v>
      </c>
      <c r="F4848">
        <v>56772</v>
      </c>
      <c r="G4848" s="140" t="s">
        <v>209</v>
      </c>
      <c r="H4848">
        <v>0</v>
      </c>
      <c r="I4848" s="140" t="s">
        <v>17</v>
      </c>
    </row>
    <row r="4849" spans="1:9" hidden="1" x14ac:dyDescent="0.25">
      <c r="A4849">
        <v>1999</v>
      </c>
      <c r="B4849" s="140" t="s">
        <v>113</v>
      </c>
      <c r="C4849" s="140" t="s">
        <v>243</v>
      </c>
      <c r="D4849" s="140" t="s">
        <v>11</v>
      </c>
      <c r="E4849" s="140" t="s">
        <v>52</v>
      </c>
      <c r="F4849">
        <v>59454</v>
      </c>
      <c r="G4849" s="140" t="s">
        <v>209</v>
      </c>
      <c r="H4849">
        <v>0</v>
      </c>
      <c r="I4849" s="140" t="s">
        <v>17</v>
      </c>
    </row>
    <row r="4850" spans="1:9" hidden="1" x14ac:dyDescent="0.25">
      <c r="A4850">
        <v>2000</v>
      </c>
      <c r="B4850" s="140" t="s">
        <v>113</v>
      </c>
      <c r="C4850" s="140" t="s">
        <v>243</v>
      </c>
      <c r="D4850" s="140" t="s">
        <v>11</v>
      </c>
      <c r="E4850" s="140" t="s">
        <v>52</v>
      </c>
      <c r="F4850">
        <v>62511</v>
      </c>
      <c r="G4850" s="140" t="s">
        <v>209</v>
      </c>
      <c r="H4850">
        <v>0</v>
      </c>
      <c r="I4850" s="140" t="s">
        <v>17</v>
      </c>
    </row>
    <row r="4851" spans="1:9" hidden="1" x14ac:dyDescent="0.25">
      <c r="A4851">
        <v>2001</v>
      </c>
      <c r="B4851" s="140" t="s">
        <v>113</v>
      </c>
      <c r="C4851" s="140" t="s">
        <v>243</v>
      </c>
      <c r="D4851" s="140" t="s">
        <v>11</v>
      </c>
      <c r="E4851" s="140" t="s">
        <v>52</v>
      </c>
      <c r="F4851">
        <v>65849</v>
      </c>
      <c r="G4851" s="140" t="s">
        <v>209</v>
      </c>
      <c r="H4851">
        <v>0</v>
      </c>
      <c r="I4851" s="140" t="s">
        <v>17</v>
      </c>
    </row>
    <row r="4852" spans="1:9" hidden="1" x14ac:dyDescent="0.25">
      <c r="A4852">
        <v>2002</v>
      </c>
      <c r="B4852" s="140" t="s">
        <v>113</v>
      </c>
      <c r="C4852" s="140" t="s">
        <v>243</v>
      </c>
      <c r="D4852" s="140" t="s">
        <v>11</v>
      </c>
      <c r="E4852" s="140" t="s">
        <v>52</v>
      </c>
      <c r="F4852">
        <v>68585</v>
      </c>
      <c r="G4852" s="140" t="s">
        <v>209</v>
      </c>
      <c r="H4852">
        <v>0</v>
      </c>
      <c r="I4852" s="140" t="s">
        <v>17</v>
      </c>
    </row>
    <row r="4853" spans="1:9" hidden="1" x14ac:dyDescent="0.25">
      <c r="A4853">
        <v>2003</v>
      </c>
      <c r="B4853" s="140" t="s">
        <v>113</v>
      </c>
      <c r="C4853" s="140" t="s">
        <v>243</v>
      </c>
      <c r="D4853" s="140" t="s">
        <v>11</v>
      </c>
      <c r="E4853" s="140" t="s">
        <v>52</v>
      </c>
      <c r="F4853">
        <v>72048</v>
      </c>
      <c r="G4853" s="140" t="s">
        <v>209</v>
      </c>
      <c r="H4853">
        <v>0</v>
      </c>
      <c r="I4853" s="140" t="s">
        <v>17</v>
      </c>
    </row>
    <row r="4854" spans="1:9" hidden="1" x14ac:dyDescent="0.25">
      <c r="A4854">
        <v>2004</v>
      </c>
      <c r="B4854" s="140" t="s">
        <v>113</v>
      </c>
      <c r="C4854" s="140" t="s">
        <v>243</v>
      </c>
      <c r="D4854" s="140" t="s">
        <v>11</v>
      </c>
      <c r="E4854" s="140" t="s">
        <v>52</v>
      </c>
      <c r="F4854">
        <v>74849</v>
      </c>
      <c r="G4854" s="140" t="s">
        <v>209</v>
      </c>
      <c r="H4854">
        <v>0</v>
      </c>
      <c r="I4854" s="140" t="s">
        <v>17</v>
      </c>
    </row>
    <row r="4855" spans="1:9" hidden="1" x14ac:dyDescent="0.25">
      <c r="A4855">
        <v>2005</v>
      </c>
      <c r="B4855" s="140" t="s">
        <v>113</v>
      </c>
      <c r="C4855" s="140" t="s">
        <v>243</v>
      </c>
      <c r="D4855" s="140" t="s">
        <v>11</v>
      </c>
      <c r="E4855" s="140" t="s">
        <v>52</v>
      </c>
      <c r="F4855">
        <v>77979</v>
      </c>
      <c r="G4855" s="140" t="s">
        <v>209</v>
      </c>
      <c r="H4855">
        <v>0</v>
      </c>
      <c r="I4855" s="140" t="s">
        <v>17</v>
      </c>
    </row>
    <row r="4856" spans="1:9" hidden="1" x14ac:dyDescent="0.25">
      <c r="A4856">
        <v>2006</v>
      </c>
      <c r="B4856" s="140" t="s">
        <v>113</v>
      </c>
      <c r="C4856" s="140" t="s">
        <v>243</v>
      </c>
      <c r="D4856" s="140" t="s">
        <v>11</v>
      </c>
      <c r="E4856" s="140" t="s">
        <v>52</v>
      </c>
      <c r="F4856">
        <v>82154</v>
      </c>
      <c r="G4856" s="140" t="s">
        <v>209</v>
      </c>
      <c r="H4856">
        <v>0</v>
      </c>
      <c r="I4856" s="140" t="s">
        <v>17</v>
      </c>
    </row>
    <row r="4857" spans="1:9" hidden="1" x14ac:dyDescent="0.25">
      <c r="A4857">
        <v>2007</v>
      </c>
      <c r="B4857" s="140" t="s">
        <v>113</v>
      </c>
      <c r="C4857" s="140" t="s">
        <v>243</v>
      </c>
      <c r="D4857" s="140" t="s">
        <v>11</v>
      </c>
      <c r="E4857" s="140" t="s">
        <v>52</v>
      </c>
      <c r="F4857">
        <v>86608</v>
      </c>
      <c r="G4857" s="140" t="s">
        <v>209</v>
      </c>
      <c r="H4857">
        <v>0</v>
      </c>
      <c r="I4857" s="140" t="s">
        <v>17</v>
      </c>
    </row>
    <row r="4858" spans="1:9" hidden="1" x14ac:dyDescent="0.25">
      <c r="A4858">
        <v>2008</v>
      </c>
      <c r="B4858" s="140" t="s">
        <v>113</v>
      </c>
      <c r="C4858" s="140" t="s">
        <v>243</v>
      </c>
      <c r="D4858" s="140" t="s">
        <v>11</v>
      </c>
      <c r="E4858" s="140" t="s">
        <v>52</v>
      </c>
      <c r="F4858">
        <v>91323</v>
      </c>
      <c r="G4858" s="140" t="s">
        <v>209</v>
      </c>
      <c r="H4858">
        <v>0</v>
      </c>
      <c r="I4858" s="140" t="s">
        <v>17</v>
      </c>
    </row>
    <row r="4859" spans="1:9" hidden="1" x14ac:dyDescent="0.25">
      <c r="A4859">
        <v>2009</v>
      </c>
      <c r="B4859" s="140" t="s">
        <v>113</v>
      </c>
      <c r="C4859" s="140" t="s">
        <v>243</v>
      </c>
      <c r="D4859" s="140" t="s">
        <v>11</v>
      </c>
      <c r="E4859" s="140" t="s">
        <v>52</v>
      </c>
      <c r="F4859">
        <v>90063</v>
      </c>
      <c r="G4859" s="140" t="s">
        <v>209</v>
      </c>
      <c r="H4859">
        <v>0</v>
      </c>
      <c r="I4859" s="140" t="s">
        <v>17</v>
      </c>
    </row>
    <row r="4860" spans="1:9" hidden="1" x14ac:dyDescent="0.25">
      <c r="A4860">
        <v>2010</v>
      </c>
      <c r="B4860" s="140" t="s">
        <v>113</v>
      </c>
      <c r="C4860" s="140" t="s">
        <v>243</v>
      </c>
      <c r="D4860" s="140" t="s">
        <v>11</v>
      </c>
      <c r="E4860" s="140" t="s">
        <v>52</v>
      </c>
      <c r="F4860">
        <v>94058</v>
      </c>
      <c r="G4860" s="140" t="s">
        <v>209</v>
      </c>
      <c r="H4860">
        <v>0</v>
      </c>
      <c r="I4860" s="140" t="s">
        <v>17</v>
      </c>
    </row>
    <row r="4861" spans="1:9" hidden="1" x14ac:dyDescent="0.25">
      <c r="A4861">
        <v>2011</v>
      </c>
      <c r="B4861" s="140" t="s">
        <v>113</v>
      </c>
      <c r="C4861" s="140" t="s">
        <v>243</v>
      </c>
      <c r="D4861" s="140" t="s">
        <v>11</v>
      </c>
      <c r="E4861" s="140" t="s">
        <v>52</v>
      </c>
      <c r="F4861">
        <v>100130</v>
      </c>
      <c r="G4861" s="140" t="s">
        <v>209</v>
      </c>
      <c r="H4861">
        <v>0</v>
      </c>
      <c r="I4861" s="140" t="s">
        <v>17</v>
      </c>
    </row>
    <row r="4862" spans="1:9" hidden="1" x14ac:dyDescent="0.25">
      <c r="A4862">
        <v>2012</v>
      </c>
      <c r="B4862" s="140" t="s">
        <v>113</v>
      </c>
      <c r="C4862" s="140" t="s">
        <v>243</v>
      </c>
      <c r="D4862" s="140" t="s">
        <v>11</v>
      </c>
      <c r="E4862" s="140" t="s">
        <v>52</v>
      </c>
      <c r="F4862">
        <v>103427</v>
      </c>
      <c r="G4862" s="140" t="s">
        <v>209</v>
      </c>
      <c r="H4862">
        <v>0</v>
      </c>
      <c r="I4862" s="140" t="s">
        <v>17</v>
      </c>
    </row>
    <row r="4863" spans="1:9" hidden="1" x14ac:dyDescent="0.25">
      <c r="A4863">
        <v>2013</v>
      </c>
      <c r="B4863" s="140" t="s">
        <v>113</v>
      </c>
      <c r="C4863" s="140" t="s">
        <v>243</v>
      </c>
      <c r="D4863" s="140" t="s">
        <v>11</v>
      </c>
      <c r="E4863" s="140" t="s">
        <v>52</v>
      </c>
      <c r="F4863">
        <v>105524</v>
      </c>
      <c r="G4863" s="140" t="s">
        <v>209</v>
      </c>
      <c r="H4863">
        <v>0</v>
      </c>
      <c r="I4863" s="140" t="s">
        <v>17</v>
      </c>
    </row>
    <row r="4864" spans="1:9" hidden="1" x14ac:dyDescent="0.25">
      <c r="A4864">
        <v>2014</v>
      </c>
      <c r="B4864" s="140" t="s">
        <v>113</v>
      </c>
      <c r="C4864" s="140" t="s">
        <v>243</v>
      </c>
      <c r="D4864" s="140" t="s">
        <v>11</v>
      </c>
      <c r="E4864" s="140" t="s">
        <v>52</v>
      </c>
      <c r="F4864">
        <v>107511</v>
      </c>
      <c r="G4864" s="140" t="s">
        <v>209</v>
      </c>
      <c r="H4864">
        <v>0</v>
      </c>
      <c r="I4864" s="140" t="s">
        <v>17</v>
      </c>
    </row>
    <row r="4865" spans="1:9" hidden="1" x14ac:dyDescent="0.25">
      <c r="A4865">
        <v>2015</v>
      </c>
      <c r="B4865" s="140" t="s">
        <v>113</v>
      </c>
      <c r="C4865" s="140" t="s">
        <v>243</v>
      </c>
      <c r="D4865" s="140" t="s">
        <v>11</v>
      </c>
      <c r="E4865" s="140" t="s">
        <v>52</v>
      </c>
      <c r="F4865">
        <v>109654</v>
      </c>
      <c r="G4865" s="140" t="s">
        <v>209</v>
      </c>
      <c r="H4865">
        <v>0</v>
      </c>
      <c r="I4865" s="140" t="s">
        <v>17</v>
      </c>
    </row>
    <row r="4866" spans="1:9" hidden="1" x14ac:dyDescent="0.25">
      <c r="A4866">
        <v>2016</v>
      </c>
      <c r="B4866" s="140" t="s">
        <v>113</v>
      </c>
      <c r="C4866" s="140" t="s">
        <v>243</v>
      </c>
      <c r="D4866" s="140" t="s">
        <v>11</v>
      </c>
      <c r="E4866" s="140" t="s">
        <v>52</v>
      </c>
      <c r="F4866">
        <v>111887</v>
      </c>
      <c r="G4866" s="140" t="s">
        <v>209</v>
      </c>
      <c r="H4866">
        <v>0</v>
      </c>
      <c r="I4866" s="140" t="s">
        <v>17</v>
      </c>
    </row>
    <row r="4867" spans="1:9" hidden="1" x14ac:dyDescent="0.25">
      <c r="A4867">
        <v>2017</v>
      </c>
      <c r="B4867" s="140" t="s">
        <v>113</v>
      </c>
      <c r="C4867" s="140" t="s">
        <v>243</v>
      </c>
      <c r="D4867" s="140" t="s">
        <v>11</v>
      </c>
      <c r="E4867" s="140" t="s">
        <v>52</v>
      </c>
      <c r="F4867">
        <v>113491</v>
      </c>
      <c r="G4867" s="140" t="s">
        <v>209</v>
      </c>
      <c r="H4867">
        <v>0</v>
      </c>
      <c r="I4867" s="140" t="s">
        <v>17</v>
      </c>
    </row>
    <row r="4868" spans="1:9" hidden="1" x14ac:dyDescent="0.25">
      <c r="A4868">
        <v>2018</v>
      </c>
      <c r="B4868" s="140" t="s">
        <v>113</v>
      </c>
      <c r="C4868" s="140" t="s">
        <v>243</v>
      </c>
      <c r="D4868" s="140" t="s">
        <v>11</v>
      </c>
      <c r="E4868" s="140" t="s">
        <v>52</v>
      </c>
      <c r="F4868">
        <v>116510</v>
      </c>
      <c r="G4868" s="140" t="s">
        <v>209</v>
      </c>
      <c r="H4868">
        <v>0</v>
      </c>
      <c r="I4868" s="140" t="s">
        <v>17</v>
      </c>
    </row>
    <row r="4869" spans="1:9" hidden="1" x14ac:dyDescent="0.25">
      <c r="A4869">
        <v>2019</v>
      </c>
      <c r="B4869" s="140" t="s">
        <v>113</v>
      </c>
      <c r="C4869" s="140" t="s">
        <v>243</v>
      </c>
      <c r="D4869" s="140" t="s">
        <v>11</v>
      </c>
      <c r="E4869" s="140" t="s">
        <v>52</v>
      </c>
      <c r="F4869">
        <v>118072</v>
      </c>
      <c r="G4869" s="140" t="s">
        <v>209</v>
      </c>
      <c r="H4869">
        <v>0</v>
      </c>
      <c r="I4869" s="140" t="s">
        <v>17</v>
      </c>
    </row>
    <row r="4870" spans="1:9" hidden="1" x14ac:dyDescent="0.25">
      <c r="A4870">
        <v>2020</v>
      </c>
      <c r="B4870" s="140" t="s">
        <v>113</v>
      </c>
      <c r="C4870" s="140" t="s">
        <v>243</v>
      </c>
      <c r="D4870" s="140" t="s">
        <v>11</v>
      </c>
      <c r="E4870" s="140" t="s">
        <v>52</v>
      </c>
      <c r="F4870">
        <v>114301</v>
      </c>
      <c r="G4870" s="140" t="s">
        <v>209</v>
      </c>
      <c r="H4870">
        <v>0</v>
      </c>
      <c r="I4870" s="140" t="s">
        <v>17</v>
      </c>
    </row>
    <row r="4871" spans="1:9" hidden="1" x14ac:dyDescent="0.25">
      <c r="A4871">
        <v>2021</v>
      </c>
      <c r="B4871" s="140" t="s">
        <v>113</v>
      </c>
      <c r="C4871" s="140" t="s">
        <v>243</v>
      </c>
      <c r="D4871" s="140" t="s">
        <v>11</v>
      </c>
      <c r="E4871" s="140" t="s">
        <v>52</v>
      </c>
      <c r="F4871">
        <v>120735</v>
      </c>
      <c r="G4871" s="140" t="s">
        <v>209</v>
      </c>
      <c r="H4871">
        <v>0</v>
      </c>
      <c r="I4871" s="140" t="s">
        <v>17</v>
      </c>
    </row>
    <row r="4872" spans="1:9" hidden="1" x14ac:dyDescent="0.25">
      <c r="A4872">
        <v>2022</v>
      </c>
      <c r="B4872" s="140" t="s">
        <v>113</v>
      </c>
      <c r="C4872" s="140" t="s">
        <v>243</v>
      </c>
      <c r="D4872" s="140" t="s">
        <v>11</v>
      </c>
      <c r="E4872" s="140" t="s">
        <v>52</v>
      </c>
      <c r="F4872">
        <v>129295</v>
      </c>
      <c r="G4872" s="140" t="s">
        <v>209</v>
      </c>
      <c r="H4872">
        <v>0</v>
      </c>
      <c r="I4872" s="140" t="s">
        <v>17</v>
      </c>
    </row>
    <row r="4873" spans="1:9" hidden="1" x14ac:dyDescent="0.25">
      <c r="A4873">
        <v>2023</v>
      </c>
      <c r="B4873" s="140" t="s">
        <v>113</v>
      </c>
      <c r="C4873" s="140" t="s">
        <v>243</v>
      </c>
      <c r="D4873" s="140" t="s">
        <v>11</v>
      </c>
      <c r="E4873" s="140" t="s">
        <v>52</v>
      </c>
      <c r="F4873">
        <v>134918</v>
      </c>
      <c r="G4873" s="140" t="s">
        <v>209</v>
      </c>
      <c r="H4873">
        <v>0</v>
      </c>
      <c r="I4873" s="140" t="s">
        <v>17</v>
      </c>
    </row>
    <row r="4874" spans="1:9" hidden="1" x14ac:dyDescent="0.25">
      <c r="A4874">
        <v>2024</v>
      </c>
      <c r="B4874" s="140" t="s">
        <v>113</v>
      </c>
      <c r="C4874" s="140" t="s">
        <v>243</v>
      </c>
      <c r="D4874" s="140" t="s">
        <v>11</v>
      </c>
      <c r="E4874" s="140" t="s">
        <v>52</v>
      </c>
      <c r="F4874">
        <v>136929</v>
      </c>
      <c r="G4874" s="140" t="s">
        <v>209</v>
      </c>
      <c r="H4874">
        <v>0</v>
      </c>
      <c r="I4874" s="140" t="s">
        <v>17</v>
      </c>
    </row>
    <row r="4875" spans="1:9" hidden="1" x14ac:dyDescent="0.25">
      <c r="A4875">
        <v>2025</v>
      </c>
      <c r="B4875" s="140" t="s">
        <v>113</v>
      </c>
      <c r="C4875" s="140" t="s">
        <v>243</v>
      </c>
      <c r="D4875" s="140" t="s">
        <v>11</v>
      </c>
      <c r="E4875" s="140" t="s">
        <v>52</v>
      </c>
      <c r="F4875">
        <v>137079</v>
      </c>
      <c r="G4875" s="140" t="s">
        <v>209</v>
      </c>
      <c r="H4875">
        <v>0</v>
      </c>
      <c r="I4875" s="140" t="s">
        <v>17</v>
      </c>
    </row>
    <row r="4876" spans="1:9" hidden="1" x14ac:dyDescent="0.25">
      <c r="A4876">
        <v>2026</v>
      </c>
      <c r="B4876" s="140" t="s">
        <v>113</v>
      </c>
      <c r="C4876" s="140" t="s">
        <v>243</v>
      </c>
      <c r="D4876" s="140" t="s">
        <v>11</v>
      </c>
      <c r="E4876" s="140" t="s">
        <v>52</v>
      </c>
      <c r="F4876">
        <v>141912.9191</v>
      </c>
      <c r="G4876" s="140" t="s">
        <v>209</v>
      </c>
      <c r="H4876">
        <v>0</v>
      </c>
      <c r="I4876" s="140" t="s">
        <v>17</v>
      </c>
    </row>
    <row r="4877" spans="1:9" hidden="1" x14ac:dyDescent="0.25">
      <c r="A4877">
        <v>2027</v>
      </c>
      <c r="B4877" s="140" t="s">
        <v>113</v>
      </c>
      <c r="C4877" s="140" t="s">
        <v>243</v>
      </c>
      <c r="D4877" s="140" t="s">
        <v>11</v>
      </c>
      <c r="E4877" s="140" t="s">
        <v>52</v>
      </c>
      <c r="F4877">
        <v>146525.90520000001</v>
      </c>
      <c r="G4877" s="140" t="s">
        <v>209</v>
      </c>
      <c r="H4877">
        <v>0</v>
      </c>
      <c r="I4877" s="140" t="s">
        <v>17</v>
      </c>
    </row>
    <row r="4878" spans="1:9" hidden="1" x14ac:dyDescent="0.25">
      <c r="A4878">
        <v>2028</v>
      </c>
      <c r="B4878" s="140" t="s">
        <v>113</v>
      </c>
      <c r="C4878" s="140" t="s">
        <v>243</v>
      </c>
      <c r="D4878" s="140" t="s">
        <v>11</v>
      </c>
      <c r="E4878" s="140" t="s">
        <v>52</v>
      </c>
      <c r="F4878">
        <v>151956.76019999999</v>
      </c>
      <c r="G4878" s="140" t="s">
        <v>209</v>
      </c>
      <c r="H4878">
        <v>0</v>
      </c>
      <c r="I4878" s="140" t="s">
        <v>17</v>
      </c>
    </row>
    <row r="4879" spans="1:9" hidden="1" x14ac:dyDescent="0.25">
      <c r="A4879">
        <v>1990</v>
      </c>
      <c r="B4879" s="140" t="s">
        <v>53</v>
      </c>
      <c r="C4879" s="140" t="s">
        <v>243</v>
      </c>
      <c r="D4879" s="140" t="s">
        <v>11</v>
      </c>
      <c r="E4879" s="140" t="s">
        <v>52</v>
      </c>
      <c r="F4879">
        <v>833</v>
      </c>
      <c r="G4879" s="140" t="s">
        <v>418</v>
      </c>
      <c r="H4879">
        <v>0</v>
      </c>
      <c r="I4879" s="140" t="s">
        <v>17</v>
      </c>
    </row>
    <row r="4880" spans="1:9" hidden="1" x14ac:dyDescent="0.25">
      <c r="A4880">
        <v>1991</v>
      </c>
      <c r="B4880" s="140" t="s">
        <v>53</v>
      </c>
      <c r="C4880" s="140" t="s">
        <v>243</v>
      </c>
      <c r="D4880" s="140" t="s">
        <v>11</v>
      </c>
      <c r="E4880" s="140" t="s">
        <v>52</v>
      </c>
      <c r="F4880">
        <v>3426</v>
      </c>
      <c r="G4880" s="140" t="s">
        <v>418</v>
      </c>
      <c r="H4880">
        <v>0</v>
      </c>
      <c r="I4880" s="140" t="s">
        <v>17</v>
      </c>
    </row>
    <row r="4881" spans="1:9" hidden="1" x14ac:dyDescent="0.25">
      <c r="A4881">
        <v>1992</v>
      </c>
      <c r="B4881" s="140" t="s">
        <v>53</v>
      </c>
      <c r="C4881" s="140" t="s">
        <v>243</v>
      </c>
      <c r="D4881" s="140" t="s">
        <v>11</v>
      </c>
      <c r="E4881" s="140" t="s">
        <v>52</v>
      </c>
      <c r="F4881">
        <v>4790</v>
      </c>
      <c r="G4881" s="140" t="s">
        <v>418</v>
      </c>
      <c r="H4881">
        <v>0</v>
      </c>
      <c r="I4881" s="140" t="s">
        <v>17</v>
      </c>
    </row>
    <row r="4882" spans="1:9" hidden="1" x14ac:dyDescent="0.25">
      <c r="A4882">
        <v>1993</v>
      </c>
      <c r="B4882" s="140" t="s">
        <v>53</v>
      </c>
      <c r="C4882" s="140" t="s">
        <v>243</v>
      </c>
      <c r="D4882" s="140" t="s">
        <v>11</v>
      </c>
      <c r="E4882" s="140" t="s">
        <v>52</v>
      </c>
      <c r="F4882">
        <v>3342</v>
      </c>
      <c r="G4882" s="140" t="s">
        <v>418</v>
      </c>
      <c r="H4882">
        <v>0</v>
      </c>
      <c r="I4882" s="140" t="s">
        <v>17</v>
      </c>
    </row>
    <row r="4883" spans="1:9" hidden="1" x14ac:dyDescent="0.25">
      <c r="A4883">
        <v>1994</v>
      </c>
      <c r="B4883" s="140" t="s">
        <v>53</v>
      </c>
      <c r="C4883" s="140" t="s">
        <v>243</v>
      </c>
      <c r="D4883" s="140" t="s">
        <v>11</v>
      </c>
      <c r="E4883" s="140" t="s">
        <v>52</v>
      </c>
      <c r="F4883">
        <v>329</v>
      </c>
      <c r="G4883" s="140" t="s">
        <v>418</v>
      </c>
      <c r="H4883">
        <v>0</v>
      </c>
      <c r="I4883" s="140" t="s">
        <v>17</v>
      </c>
    </row>
    <row r="4884" spans="1:9" hidden="1" x14ac:dyDescent="0.25">
      <c r="A4884">
        <v>1995</v>
      </c>
      <c r="B4884" s="140" t="s">
        <v>53</v>
      </c>
      <c r="C4884" s="140" t="s">
        <v>243</v>
      </c>
      <c r="D4884" s="140" t="s">
        <v>11</v>
      </c>
      <c r="E4884" s="140" t="s">
        <v>52</v>
      </c>
      <c r="F4884">
        <v>1984</v>
      </c>
      <c r="G4884" s="140" t="s">
        <v>418</v>
      </c>
      <c r="H4884">
        <v>0</v>
      </c>
      <c r="I4884" s="140" t="s">
        <v>17</v>
      </c>
    </row>
    <row r="4885" spans="1:9" hidden="1" x14ac:dyDescent="0.25">
      <c r="A4885">
        <v>1996</v>
      </c>
      <c r="B4885" s="140" t="s">
        <v>53</v>
      </c>
      <c r="C4885" s="140" t="s">
        <v>243</v>
      </c>
      <c r="D4885" s="140" t="s">
        <v>11</v>
      </c>
      <c r="E4885" s="140" t="s">
        <v>52</v>
      </c>
      <c r="F4885">
        <v>-23</v>
      </c>
      <c r="G4885" s="140" t="s">
        <v>418</v>
      </c>
      <c r="H4885">
        <v>0</v>
      </c>
      <c r="I4885" s="140" t="s">
        <v>17</v>
      </c>
    </row>
    <row r="4886" spans="1:9" hidden="1" x14ac:dyDescent="0.25">
      <c r="A4886">
        <v>1997</v>
      </c>
      <c r="B4886" s="140" t="s">
        <v>53</v>
      </c>
      <c r="C4886" s="140" t="s">
        <v>243</v>
      </c>
      <c r="D4886" s="140" t="s">
        <v>11</v>
      </c>
      <c r="E4886" s="140" t="s">
        <v>52</v>
      </c>
      <c r="F4886">
        <v>770</v>
      </c>
      <c r="G4886" s="140" t="s">
        <v>418</v>
      </c>
      <c r="H4886">
        <v>0</v>
      </c>
      <c r="I4886" s="140" t="s">
        <v>17</v>
      </c>
    </row>
    <row r="4887" spans="1:9" hidden="1" x14ac:dyDescent="0.25">
      <c r="A4887">
        <v>1998</v>
      </c>
      <c r="B4887" s="140" t="s">
        <v>53</v>
      </c>
      <c r="C4887" s="140" t="s">
        <v>243</v>
      </c>
      <c r="D4887" s="140" t="s">
        <v>11</v>
      </c>
      <c r="E4887" s="140" t="s">
        <v>52</v>
      </c>
      <c r="F4887">
        <v>193</v>
      </c>
      <c r="G4887" s="140" t="s">
        <v>418</v>
      </c>
      <c r="H4887">
        <v>0</v>
      </c>
      <c r="I4887" s="140" t="s">
        <v>17</v>
      </c>
    </row>
    <row r="4888" spans="1:9" hidden="1" x14ac:dyDescent="0.25">
      <c r="A4888">
        <v>1999</v>
      </c>
      <c r="B4888" s="140" t="s">
        <v>53</v>
      </c>
      <c r="C4888" s="140" t="s">
        <v>243</v>
      </c>
      <c r="D4888" s="140" t="s">
        <v>11</v>
      </c>
      <c r="E4888" s="140" t="s">
        <v>52</v>
      </c>
      <c r="F4888">
        <v>1333</v>
      </c>
      <c r="G4888" s="140" t="s">
        <v>418</v>
      </c>
      <c r="H4888">
        <v>0</v>
      </c>
      <c r="I4888" s="140" t="s">
        <v>17</v>
      </c>
    </row>
    <row r="4889" spans="1:9" hidden="1" x14ac:dyDescent="0.25">
      <c r="A4889">
        <v>2000</v>
      </c>
      <c r="B4889" s="140" t="s">
        <v>53</v>
      </c>
      <c r="C4889" s="140" t="s">
        <v>243</v>
      </c>
      <c r="D4889" s="140" t="s">
        <v>11</v>
      </c>
      <c r="E4889" s="140" t="s">
        <v>52</v>
      </c>
      <c r="F4889">
        <v>738</v>
      </c>
      <c r="G4889" s="140" t="s">
        <v>418</v>
      </c>
      <c r="H4889">
        <v>0</v>
      </c>
      <c r="I4889" s="140" t="s">
        <v>17</v>
      </c>
    </row>
    <row r="4890" spans="1:9" hidden="1" x14ac:dyDescent="0.25">
      <c r="A4890">
        <v>2001</v>
      </c>
      <c r="B4890" s="140" t="s">
        <v>53</v>
      </c>
      <c r="C4890" s="140" t="s">
        <v>243</v>
      </c>
      <c r="D4890" s="140" t="s">
        <v>11</v>
      </c>
      <c r="E4890" s="140" t="s">
        <v>52</v>
      </c>
      <c r="F4890">
        <v>929</v>
      </c>
      <c r="G4890" s="140" t="s">
        <v>418</v>
      </c>
      <c r="H4890">
        <v>0</v>
      </c>
      <c r="I4890" s="140" t="s">
        <v>17</v>
      </c>
    </row>
    <row r="4891" spans="1:9" hidden="1" x14ac:dyDescent="0.25">
      <c r="A4891">
        <v>2002</v>
      </c>
      <c r="B4891" s="140" t="s">
        <v>53</v>
      </c>
      <c r="C4891" s="140" t="s">
        <v>243</v>
      </c>
      <c r="D4891" s="140" t="s">
        <v>11</v>
      </c>
      <c r="E4891" s="140" t="s">
        <v>52</v>
      </c>
      <c r="F4891">
        <v>1297</v>
      </c>
      <c r="G4891" s="140" t="s">
        <v>418</v>
      </c>
      <c r="H4891">
        <v>0</v>
      </c>
      <c r="I4891" s="140" t="s">
        <v>17</v>
      </c>
    </row>
    <row r="4892" spans="1:9" hidden="1" x14ac:dyDescent="0.25">
      <c r="A4892">
        <v>2003</v>
      </c>
      <c r="B4892" s="140" t="s">
        <v>53</v>
      </c>
      <c r="C4892" s="140" t="s">
        <v>243</v>
      </c>
      <c r="D4892" s="140" t="s">
        <v>11</v>
      </c>
      <c r="E4892" s="140" t="s">
        <v>52</v>
      </c>
      <c r="F4892">
        <v>1196</v>
      </c>
      <c r="G4892" s="140" t="s">
        <v>418</v>
      </c>
      <c r="H4892">
        <v>0</v>
      </c>
      <c r="I4892" s="140" t="s">
        <v>17</v>
      </c>
    </row>
    <row r="4893" spans="1:9" hidden="1" x14ac:dyDescent="0.25">
      <c r="A4893">
        <v>2004</v>
      </c>
      <c r="B4893" s="140" t="s">
        <v>53</v>
      </c>
      <c r="C4893" s="140" t="s">
        <v>243</v>
      </c>
      <c r="D4893" s="140" t="s">
        <v>11</v>
      </c>
      <c r="E4893" s="140" t="s">
        <v>52</v>
      </c>
      <c r="F4893">
        <v>2016</v>
      </c>
      <c r="G4893" s="140" t="s">
        <v>418</v>
      </c>
      <c r="H4893">
        <v>0</v>
      </c>
      <c r="I4893" s="140" t="s">
        <v>17</v>
      </c>
    </row>
    <row r="4894" spans="1:9" hidden="1" x14ac:dyDescent="0.25">
      <c r="A4894">
        <v>2005</v>
      </c>
      <c r="B4894" s="140" t="s">
        <v>53</v>
      </c>
      <c r="C4894" s="140" t="s">
        <v>243</v>
      </c>
      <c r="D4894" s="140" t="s">
        <v>11</v>
      </c>
      <c r="E4894" s="140" t="s">
        <v>52</v>
      </c>
      <c r="F4894">
        <v>593</v>
      </c>
      <c r="G4894" s="140" t="s">
        <v>418</v>
      </c>
      <c r="H4894">
        <v>0</v>
      </c>
      <c r="I4894" s="140" t="s">
        <v>17</v>
      </c>
    </row>
    <row r="4895" spans="1:9" hidden="1" x14ac:dyDescent="0.25">
      <c r="A4895">
        <v>2006</v>
      </c>
      <c r="B4895" s="140" t="s">
        <v>53</v>
      </c>
      <c r="C4895" s="140" t="s">
        <v>243</v>
      </c>
      <c r="D4895" s="140" t="s">
        <v>11</v>
      </c>
      <c r="E4895" s="140" t="s">
        <v>52</v>
      </c>
      <c r="F4895">
        <v>-684</v>
      </c>
      <c r="G4895" s="140" t="s">
        <v>418</v>
      </c>
      <c r="H4895">
        <v>0</v>
      </c>
      <c r="I4895" s="140" t="s">
        <v>17</v>
      </c>
    </row>
    <row r="4896" spans="1:9" hidden="1" x14ac:dyDescent="0.25">
      <c r="A4896">
        <v>2007</v>
      </c>
      <c r="B4896" s="140" t="s">
        <v>53</v>
      </c>
      <c r="C4896" s="140" t="s">
        <v>243</v>
      </c>
      <c r="D4896" s="140" t="s">
        <v>11</v>
      </c>
      <c r="E4896" s="140" t="s">
        <v>52</v>
      </c>
      <c r="F4896">
        <v>-310</v>
      </c>
      <c r="G4896" s="140" t="s">
        <v>418</v>
      </c>
      <c r="H4896">
        <v>0</v>
      </c>
      <c r="I4896" s="140" t="s">
        <v>17</v>
      </c>
    </row>
    <row r="4897" spans="1:9" hidden="1" x14ac:dyDescent="0.25">
      <c r="A4897">
        <v>2008</v>
      </c>
      <c r="B4897" s="140" t="s">
        <v>53</v>
      </c>
      <c r="C4897" s="140" t="s">
        <v>243</v>
      </c>
      <c r="D4897" s="140" t="s">
        <v>11</v>
      </c>
      <c r="E4897" s="140" t="s">
        <v>52</v>
      </c>
      <c r="F4897">
        <v>-201</v>
      </c>
      <c r="G4897" s="140" t="s">
        <v>418</v>
      </c>
      <c r="H4897">
        <v>0</v>
      </c>
      <c r="I4897" s="140" t="s">
        <v>17</v>
      </c>
    </row>
    <row r="4898" spans="1:9" hidden="1" x14ac:dyDescent="0.25">
      <c r="A4898">
        <v>2009</v>
      </c>
      <c r="B4898" s="140" t="s">
        <v>53</v>
      </c>
      <c r="C4898" s="140" t="s">
        <v>243</v>
      </c>
      <c r="D4898" s="140" t="s">
        <v>11</v>
      </c>
      <c r="E4898" s="140" t="s">
        <v>52</v>
      </c>
      <c r="F4898">
        <v>3727</v>
      </c>
      <c r="G4898" s="140" t="s">
        <v>418</v>
      </c>
      <c r="H4898">
        <v>0</v>
      </c>
      <c r="I4898" s="140" t="s">
        <v>17</v>
      </c>
    </row>
    <row r="4899" spans="1:9" hidden="1" x14ac:dyDescent="0.25">
      <c r="A4899">
        <v>2010</v>
      </c>
      <c r="B4899" s="140" t="s">
        <v>53</v>
      </c>
      <c r="C4899" s="140" t="s">
        <v>243</v>
      </c>
      <c r="D4899" s="140" t="s">
        <v>11</v>
      </c>
      <c r="E4899" s="140" t="s">
        <v>52</v>
      </c>
      <c r="F4899">
        <v>4421</v>
      </c>
      <c r="G4899" s="140" t="s">
        <v>418</v>
      </c>
      <c r="H4899">
        <v>0</v>
      </c>
      <c r="I4899" s="140" t="s">
        <v>17</v>
      </c>
    </row>
    <row r="4900" spans="1:9" hidden="1" x14ac:dyDescent="0.25">
      <c r="A4900">
        <v>2011</v>
      </c>
      <c r="B4900" s="140" t="s">
        <v>53</v>
      </c>
      <c r="C4900" s="140" t="s">
        <v>243</v>
      </c>
      <c r="D4900" s="140" t="s">
        <v>11</v>
      </c>
      <c r="E4900" s="140" t="s">
        <v>52</v>
      </c>
      <c r="F4900">
        <v>2717</v>
      </c>
      <c r="G4900" s="140" t="s">
        <v>418</v>
      </c>
      <c r="H4900">
        <v>0</v>
      </c>
      <c r="I4900" s="140" t="s">
        <v>17</v>
      </c>
    </row>
    <row r="4901" spans="1:9" hidden="1" x14ac:dyDescent="0.25">
      <c r="A4901">
        <v>2012</v>
      </c>
      <c r="B4901" s="140" t="s">
        <v>53</v>
      </c>
      <c r="C4901" s="140" t="s">
        <v>243</v>
      </c>
      <c r="D4901" s="140" t="s">
        <v>11</v>
      </c>
      <c r="E4901" s="140" t="s">
        <v>52</v>
      </c>
      <c r="F4901">
        <v>1762</v>
      </c>
      <c r="G4901" s="140" t="s">
        <v>418</v>
      </c>
      <c r="H4901">
        <v>0</v>
      </c>
      <c r="I4901" s="140" t="s">
        <v>17</v>
      </c>
    </row>
    <row r="4902" spans="1:9" hidden="1" x14ac:dyDescent="0.25">
      <c r="A4902">
        <v>2013</v>
      </c>
      <c r="B4902" s="140" t="s">
        <v>53</v>
      </c>
      <c r="C4902" s="140" t="s">
        <v>243</v>
      </c>
      <c r="D4902" s="140" t="s">
        <v>11</v>
      </c>
      <c r="E4902" s="140" t="s">
        <v>52</v>
      </c>
      <c r="F4902">
        <v>1708</v>
      </c>
      <c r="G4902" s="140" t="s">
        <v>418</v>
      </c>
      <c r="H4902">
        <v>0</v>
      </c>
      <c r="I4902" s="140" t="s">
        <v>17</v>
      </c>
    </row>
    <row r="4903" spans="1:9" hidden="1" x14ac:dyDescent="0.25">
      <c r="A4903">
        <v>2014</v>
      </c>
      <c r="B4903" s="140" t="s">
        <v>53</v>
      </c>
      <c r="C4903" s="140" t="s">
        <v>243</v>
      </c>
      <c r="D4903" s="140" t="s">
        <v>11</v>
      </c>
      <c r="E4903" s="140" t="s">
        <v>52</v>
      </c>
      <c r="F4903">
        <v>975</v>
      </c>
      <c r="G4903" s="140" t="s">
        <v>418</v>
      </c>
      <c r="H4903">
        <v>0</v>
      </c>
      <c r="I4903" s="140" t="s">
        <v>17</v>
      </c>
    </row>
    <row r="4904" spans="1:9" hidden="1" x14ac:dyDescent="0.25">
      <c r="A4904">
        <v>2015</v>
      </c>
      <c r="B4904" s="140" t="s">
        <v>53</v>
      </c>
      <c r="C4904" s="140" t="s">
        <v>243</v>
      </c>
      <c r="D4904" s="140" t="s">
        <v>11</v>
      </c>
      <c r="E4904" s="140" t="s">
        <v>52</v>
      </c>
      <c r="F4904">
        <v>682</v>
      </c>
      <c r="G4904" s="140" t="s">
        <v>418</v>
      </c>
      <c r="H4904">
        <v>0</v>
      </c>
      <c r="I4904" s="140" t="s">
        <v>17</v>
      </c>
    </row>
    <row r="4905" spans="1:9" hidden="1" x14ac:dyDescent="0.25">
      <c r="A4905">
        <v>2016</v>
      </c>
      <c r="B4905" s="140" t="s">
        <v>53</v>
      </c>
      <c r="C4905" s="140" t="s">
        <v>243</v>
      </c>
      <c r="D4905" s="140" t="s">
        <v>11</v>
      </c>
      <c r="E4905" s="140" t="s">
        <v>52</v>
      </c>
      <c r="F4905">
        <v>46</v>
      </c>
      <c r="G4905" s="140" t="s">
        <v>418</v>
      </c>
      <c r="H4905">
        <v>0</v>
      </c>
      <c r="I4905" s="140" t="s">
        <v>17</v>
      </c>
    </row>
    <row r="4906" spans="1:9" hidden="1" x14ac:dyDescent="0.25">
      <c r="A4906">
        <v>2017</v>
      </c>
      <c r="B4906" s="140" t="s">
        <v>53</v>
      </c>
      <c r="C4906" s="140" t="s">
        <v>243</v>
      </c>
      <c r="D4906" s="140" t="s">
        <v>11</v>
      </c>
      <c r="E4906" s="140" t="s">
        <v>52</v>
      </c>
      <c r="F4906">
        <v>772</v>
      </c>
      <c r="G4906" s="140" t="s">
        <v>418</v>
      </c>
      <c r="H4906">
        <v>0</v>
      </c>
      <c r="I4906" s="140" t="s">
        <v>17</v>
      </c>
    </row>
    <row r="4907" spans="1:9" hidden="1" x14ac:dyDescent="0.25">
      <c r="A4907">
        <v>2018</v>
      </c>
      <c r="B4907" s="140" t="s">
        <v>53</v>
      </c>
      <c r="C4907" s="140" t="s">
        <v>243</v>
      </c>
      <c r="D4907" s="140" t="s">
        <v>11</v>
      </c>
      <c r="E4907" s="140" t="s">
        <v>52</v>
      </c>
      <c r="F4907">
        <v>1379</v>
      </c>
      <c r="G4907" s="140" t="s">
        <v>418</v>
      </c>
      <c r="H4907">
        <v>0</v>
      </c>
      <c r="I4907" s="140" t="s">
        <v>17</v>
      </c>
    </row>
    <row r="4908" spans="1:9" hidden="1" x14ac:dyDescent="0.25">
      <c r="A4908">
        <v>2019</v>
      </c>
      <c r="B4908" s="140" t="s">
        <v>53</v>
      </c>
      <c r="C4908" s="140" t="s">
        <v>243</v>
      </c>
      <c r="D4908" s="140" t="s">
        <v>11</v>
      </c>
      <c r="E4908" s="140" t="s">
        <v>52</v>
      </c>
      <c r="F4908">
        <v>3591</v>
      </c>
      <c r="G4908" s="140" t="s">
        <v>418</v>
      </c>
      <c r="H4908">
        <v>0</v>
      </c>
      <c r="I4908" s="140" t="s">
        <v>17</v>
      </c>
    </row>
    <row r="4909" spans="1:9" hidden="1" x14ac:dyDescent="0.25">
      <c r="A4909">
        <v>2020</v>
      </c>
      <c r="B4909" s="140" t="s">
        <v>53</v>
      </c>
      <c r="C4909" s="140" t="s">
        <v>243</v>
      </c>
      <c r="D4909" s="140" t="s">
        <v>11</v>
      </c>
      <c r="E4909" s="140" t="s">
        <v>52</v>
      </c>
      <c r="F4909">
        <v>7903</v>
      </c>
      <c r="G4909" s="140" t="s">
        <v>418</v>
      </c>
      <c r="H4909">
        <v>0</v>
      </c>
      <c r="I4909" s="140" t="s">
        <v>17</v>
      </c>
    </row>
    <row r="4910" spans="1:9" hidden="1" x14ac:dyDescent="0.25">
      <c r="A4910">
        <v>2021</v>
      </c>
      <c r="B4910" s="140" t="s">
        <v>53</v>
      </c>
      <c r="C4910" s="140" t="s">
        <v>243</v>
      </c>
      <c r="D4910" s="140" t="s">
        <v>11</v>
      </c>
      <c r="E4910" s="140" t="s">
        <v>52</v>
      </c>
      <c r="F4910">
        <v>5383</v>
      </c>
      <c r="G4910" s="140" t="s">
        <v>418</v>
      </c>
      <c r="H4910">
        <v>0</v>
      </c>
      <c r="I4910" s="140" t="s">
        <v>17</v>
      </c>
    </row>
    <row r="4911" spans="1:9" hidden="1" x14ac:dyDescent="0.25">
      <c r="A4911">
        <v>2022</v>
      </c>
      <c r="B4911" s="140" t="s">
        <v>53</v>
      </c>
      <c r="C4911" s="140" t="s">
        <v>243</v>
      </c>
      <c r="D4911" s="140" t="s">
        <v>11</v>
      </c>
      <c r="E4911" s="140" t="s">
        <v>52</v>
      </c>
      <c r="F4911">
        <v>1948</v>
      </c>
      <c r="G4911" s="140" t="s">
        <v>418</v>
      </c>
      <c r="H4911">
        <v>0</v>
      </c>
      <c r="I4911" s="140" t="s">
        <v>17</v>
      </c>
    </row>
    <row r="4912" spans="1:9" hidden="1" x14ac:dyDescent="0.25">
      <c r="A4912">
        <v>2023</v>
      </c>
      <c r="B4912" s="140" t="s">
        <v>53</v>
      </c>
      <c r="C4912" s="140" t="s">
        <v>243</v>
      </c>
      <c r="D4912" s="140" t="s">
        <v>11</v>
      </c>
      <c r="E4912" s="140" t="s">
        <v>52</v>
      </c>
      <c r="F4912">
        <v>3099</v>
      </c>
      <c r="G4912" s="140" t="s">
        <v>418</v>
      </c>
      <c r="H4912">
        <v>0</v>
      </c>
      <c r="I4912" s="140" t="s">
        <v>17</v>
      </c>
    </row>
    <row r="4913" spans="1:9" hidden="1" x14ac:dyDescent="0.25">
      <c r="A4913">
        <v>2024</v>
      </c>
      <c r="B4913" s="140" t="s">
        <v>53</v>
      </c>
      <c r="C4913" s="140" t="s">
        <v>243</v>
      </c>
      <c r="D4913" s="140" t="s">
        <v>11</v>
      </c>
      <c r="E4913" s="140" t="s">
        <v>52</v>
      </c>
      <c r="F4913">
        <v>5823</v>
      </c>
      <c r="G4913" s="140" t="s">
        <v>418</v>
      </c>
      <c r="H4913">
        <v>0</v>
      </c>
      <c r="I4913" s="140" t="s">
        <v>17</v>
      </c>
    </row>
    <row r="4914" spans="1:9" hidden="1" x14ac:dyDescent="0.25">
      <c r="A4914">
        <v>2025</v>
      </c>
      <c r="B4914" s="140" t="s">
        <v>53</v>
      </c>
      <c r="C4914" s="140" t="s">
        <v>243</v>
      </c>
      <c r="D4914" s="140" t="s">
        <v>11</v>
      </c>
      <c r="E4914" s="140" t="s">
        <v>52</v>
      </c>
      <c r="F4914">
        <v>8621</v>
      </c>
      <c r="G4914" s="140" t="s">
        <v>418</v>
      </c>
      <c r="H4914">
        <v>0</v>
      </c>
      <c r="I4914" s="140" t="s">
        <v>17</v>
      </c>
    </row>
    <row r="4915" spans="1:9" hidden="1" x14ac:dyDescent="0.25">
      <c r="A4915">
        <v>2026</v>
      </c>
      <c r="B4915" s="140" t="s">
        <v>53</v>
      </c>
      <c r="C4915" s="140" t="s">
        <v>243</v>
      </c>
      <c r="D4915" s="140" t="s">
        <v>11</v>
      </c>
      <c r="E4915" s="140" t="s">
        <v>52</v>
      </c>
      <c r="F4915">
        <v>7470.0974749999996</v>
      </c>
      <c r="G4915" s="140" t="s">
        <v>418</v>
      </c>
      <c r="H4915">
        <v>0</v>
      </c>
      <c r="I4915" s="140" t="s">
        <v>17</v>
      </c>
    </row>
    <row r="4916" spans="1:9" hidden="1" x14ac:dyDescent="0.25">
      <c r="A4916">
        <v>2027</v>
      </c>
      <c r="B4916" s="140" t="s">
        <v>53</v>
      </c>
      <c r="C4916" s="140" t="s">
        <v>243</v>
      </c>
      <c r="D4916" s="140" t="s">
        <v>11</v>
      </c>
      <c r="E4916" s="140" t="s">
        <v>52</v>
      </c>
      <c r="F4916">
        <v>7831.0864160000001</v>
      </c>
      <c r="G4916" s="140" t="s">
        <v>418</v>
      </c>
      <c r="H4916">
        <v>0</v>
      </c>
      <c r="I4916" s="140" t="s">
        <v>17</v>
      </c>
    </row>
    <row r="4917" spans="1:9" hidden="1" x14ac:dyDescent="0.25">
      <c r="A4917">
        <v>2028</v>
      </c>
      <c r="B4917" s="140" t="s">
        <v>53</v>
      </c>
      <c r="C4917" s="140" t="s">
        <v>243</v>
      </c>
      <c r="D4917" s="140" t="s">
        <v>11</v>
      </c>
      <c r="E4917" s="140" t="s">
        <v>52</v>
      </c>
      <c r="F4917">
        <v>7178.8485529999998</v>
      </c>
      <c r="G4917" s="140" t="s">
        <v>418</v>
      </c>
      <c r="H4917">
        <v>0</v>
      </c>
      <c r="I4917" s="140" t="s">
        <v>17</v>
      </c>
    </row>
    <row r="4918" spans="1:9" hidden="1" x14ac:dyDescent="0.25">
      <c r="A4918">
        <v>1990</v>
      </c>
      <c r="B4918" s="140" t="s">
        <v>419</v>
      </c>
      <c r="C4918" s="140" t="s">
        <v>243</v>
      </c>
      <c r="D4918" s="140" t="s">
        <v>11</v>
      </c>
      <c r="E4918" s="140" t="s">
        <v>52</v>
      </c>
      <c r="F4918">
        <v>85</v>
      </c>
      <c r="G4918" s="140" t="s">
        <v>420</v>
      </c>
      <c r="H4918">
        <v>0</v>
      </c>
      <c r="I4918" s="140" t="s">
        <v>17</v>
      </c>
    </row>
    <row r="4919" spans="1:9" hidden="1" x14ac:dyDescent="0.25">
      <c r="A4919">
        <v>1991</v>
      </c>
      <c r="B4919" s="140" t="s">
        <v>419</v>
      </c>
      <c r="C4919" s="140" t="s">
        <v>243</v>
      </c>
      <c r="D4919" s="140" t="s">
        <v>11</v>
      </c>
      <c r="E4919" s="140" t="s">
        <v>52</v>
      </c>
      <c r="F4919">
        <v>93</v>
      </c>
      <c r="G4919" s="140" t="s">
        <v>420</v>
      </c>
      <c r="H4919">
        <v>0</v>
      </c>
      <c r="I4919" s="140" t="s">
        <v>17</v>
      </c>
    </row>
    <row r="4920" spans="1:9" hidden="1" x14ac:dyDescent="0.25">
      <c r="A4920">
        <v>1992</v>
      </c>
      <c r="B4920" s="140" t="s">
        <v>419</v>
      </c>
      <c r="C4920" s="140" t="s">
        <v>243</v>
      </c>
      <c r="D4920" s="140" t="s">
        <v>11</v>
      </c>
      <c r="E4920" s="140" t="s">
        <v>52</v>
      </c>
      <c r="F4920">
        <v>89</v>
      </c>
      <c r="G4920" s="140" t="s">
        <v>420</v>
      </c>
      <c r="H4920">
        <v>0</v>
      </c>
      <c r="I4920" s="140" t="s">
        <v>17</v>
      </c>
    </row>
    <row r="4921" spans="1:9" hidden="1" x14ac:dyDescent="0.25">
      <c r="A4921">
        <v>1993</v>
      </c>
      <c r="B4921" s="140" t="s">
        <v>419</v>
      </c>
      <c r="C4921" s="140" t="s">
        <v>243</v>
      </c>
      <c r="D4921" s="140" t="s">
        <v>11</v>
      </c>
      <c r="E4921" s="140" t="s">
        <v>52</v>
      </c>
      <c r="F4921">
        <v>113</v>
      </c>
      <c r="G4921" s="140" t="s">
        <v>420</v>
      </c>
      <c r="H4921">
        <v>0</v>
      </c>
      <c r="I4921" s="140" t="s">
        <v>17</v>
      </c>
    </row>
    <row r="4922" spans="1:9" hidden="1" x14ac:dyDescent="0.25">
      <c r="A4922">
        <v>1994</v>
      </c>
      <c r="B4922" s="140" t="s">
        <v>419</v>
      </c>
      <c r="C4922" s="140" t="s">
        <v>243</v>
      </c>
      <c r="D4922" s="140" t="s">
        <v>11</v>
      </c>
      <c r="E4922" s="140" t="s">
        <v>52</v>
      </c>
      <c r="F4922">
        <v>98</v>
      </c>
      <c r="G4922" s="140" t="s">
        <v>420</v>
      </c>
      <c r="H4922">
        <v>0</v>
      </c>
      <c r="I4922" s="140" t="s">
        <v>17</v>
      </c>
    </row>
    <row r="4923" spans="1:9" hidden="1" x14ac:dyDescent="0.25">
      <c r="A4923">
        <v>1995</v>
      </c>
      <c r="B4923" s="140" t="s">
        <v>419</v>
      </c>
      <c r="C4923" s="140" t="s">
        <v>243</v>
      </c>
      <c r="D4923" s="140" t="s">
        <v>11</v>
      </c>
      <c r="E4923" s="140" t="s">
        <v>52</v>
      </c>
      <c r="F4923">
        <v>119</v>
      </c>
      <c r="G4923" s="140" t="s">
        <v>420</v>
      </c>
      <c r="H4923">
        <v>0</v>
      </c>
      <c r="I4923" s="140" t="s">
        <v>17</v>
      </c>
    </row>
    <row r="4924" spans="1:9" hidden="1" x14ac:dyDescent="0.25">
      <c r="A4924">
        <v>1996</v>
      </c>
      <c r="B4924" s="140" t="s">
        <v>419</v>
      </c>
      <c r="C4924" s="140" t="s">
        <v>243</v>
      </c>
      <c r="D4924" s="140" t="s">
        <v>11</v>
      </c>
      <c r="E4924" s="140" t="s">
        <v>52</v>
      </c>
      <c r="F4924">
        <v>132</v>
      </c>
      <c r="G4924" s="140" t="s">
        <v>420</v>
      </c>
      <c r="H4924">
        <v>0</v>
      </c>
      <c r="I4924" s="140" t="s">
        <v>17</v>
      </c>
    </row>
    <row r="4925" spans="1:9" hidden="1" x14ac:dyDescent="0.25">
      <c r="A4925">
        <v>1997</v>
      </c>
      <c r="B4925" s="140" t="s">
        <v>419</v>
      </c>
      <c r="C4925" s="140" t="s">
        <v>243</v>
      </c>
      <c r="D4925" s="140" t="s">
        <v>11</v>
      </c>
      <c r="E4925" s="140" t="s">
        <v>52</v>
      </c>
      <c r="F4925">
        <v>166</v>
      </c>
      <c r="G4925" s="140" t="s">
        <v>420</v>
      </c>
      <c r="H4925">
        <v>0</v>
      </c>
      <c r="I4925" s="140" t="s">
        <v>17</v>
      </c>
    </row>
    <row r="4926" spans="1:9" hidden="1" x14ac:dyDescent="0.25">
      <c r="A4926">
        <v>1998</v>
      </c>
      <c r="B4926" s="140" t="s">
        <v>419</v>
      </c>
      <c r="C4926" s="140" t="s">
        <v>243</v>
      </c>
      <c r="D4926" s="140" t="s">
        <v>11</v>
      </c>
      <c r="E4926" s="140" t="s">
        <v>52</v>
      </c>
      <c r="F4926">
        <v>199</v>
      </c>
      <c r="G4926" s="140" t="s">
        <v>420</v>
      </c>
      <c r="H4926">
        <v>0</v>
      </c>
      <c r="I4926" s="140" t="s">
        <v>17</v>
      </c>
    </row>
    <row r="4927" spans="1:9" hidden="1" x14ac:dyDescent="0.25">
      <c r="A4927">
        <v>1999</v>
      </c>
      <c r="B4927" s="140" t="s">
        <v>419</v>
      </c>
      <c r="C4927" s="140" t="s">
        <v>243</v>
      </c>
      <c r="D4927" s="140" t="s">
        <v>11</v>
      </c>
      <c r="E4927" s="140" t="s">
        <v>52</v>
      </c>
      <c r="F4927">
        <v>188</v>
      </c>
      <c r="G4927" s="140" t="s">
        <v>420</v>
      </c>
      <c r="H4927">
        <v>0</v>
      </c>
      <c r="I4927" s="140" t="s">
        <v>17</v>
      </c>
    </row>
    <row r="4928" spans="1:9" hidden="1" x14ac:dyDescent="0.25">
      <c r="A4928">
        <v>2000</v>
      </c>
      <c r="B4928" s="140" t="s">
        <v>419</v>
      </c>
      <c r="C4928" s="140" t="s">
        <v>243</v>
      </c>
      <c r="D4928" s="140" t="s">
        <v>11</v>
      </c>
      <c r="E4928" s="140" t="s">
        <v>52</v>
      </c>
      <c r="F4928">
        <v>170</v>
      </c>
      <c r="G4928" s="140" t="s">
        <v>420</v>
      </c>
      <c r="H4928">
        <v>0</v>
      </c>
      <c r="I4928" s="140" t="s">
        <v>17</v>
      </c>
    </row>
    <row r="4929" spans="1:9" hidden="1" x14ac:dyDescent="0.25">
      <c r="A4929">
        <v>2001</v>
      </c>
      <c r="B4929" s="140" t="s">
        <v>419</v>
      </c>
      <c r="C4929" s="140" t="s">
        <v>243</v>
      </c>
      <c r="D4929" s="140" t="s">
        <v>11</v>
      </c>
      <c r="E4929" s="140" t="s">
        <v>52</v>
      </c>
      <c r="F4929">
        <v>190</v>
      </c>
      <c r="G4929" s="140" t="s">
        <v>420</v>
      </c>
      <c r="H4929">
        <v>0</v>
      </c>
      <c r="I4929" s="140" t="s">
        <v>17</v>
      </c>
    </row>
    <row r="4930" spans="1:9" hidden="1" x14ac:dyDescent="0.25">
      <c r="A4930">
        <v>2002</v>
      </c>
      <c r="B4930" s="140" t="s">
        <v>419</v>
      </c>
      <c r="C4930" s="140" t="s">
        <v>243</v>
      </c>
      <c r="D4930" s="140" t="s">
        <v>11</v>
      </c>
      <c r="E4930" s="140" t="s">
        <v>52</v>
      </c>
      <c r="F4930">
        <v>199</v>
      </c>
      <c r="G4930" s="140" t="s">
        <v>420</v>
      </c>
      <c r="H4930">
        <v>0</v>
      </c>
      <c r="I4930" s="140" t="s">
        <v>17</v>
      </c>
    </row>
    <row r="4931" spans="1:9" hidden="1" x14ac:dyDescent="0.25">
      <c r="A4931">
        <v>2003</v>
      </c>
      <c r="B4931" s="140" t="s">
        <v>419</v>
      </c>
      <c r="C4931" s="140" t="s">
        <v>243</v>
      </c>
      <c r="D4931" s="140" t="s">
        <v>11</v>
      </c>
      <c r="E4931" s="140" t="s">
        <v>52</v>
      </c>
      <c r="F4931">
        <v>204</v>
      </c>
      <c r="G4931" s="140" t="s">
        <v>420</v>
      </c>
      <c r="H4931">
        <v>0</v>
      </c>
      <c r="I4931" s="140" t="s">
        <v>17</v>
      </c>
    </row>
    <row r="4932" spans="1:9" hidden="1" x14ac:dyDescent="0.25">
      <c r="A4932">
        <v>2004</v>
      </c>
      <c r="B4932" s="140" t="s">
        <v>419</v>
      </c>
      <c r="C4932" s="140" t="s">
        <v>243</v>
      </c>
      <c r="D4932" s="140" t="s">
        <v>11</v>
      </c>
      <c r="E4932" s="140" t="s">
        <v>52</v>
      </c>
      <c r="F4932">
        <v>194</v>
      </c>
      <c r="G4932" s="140" t="s">
        <v>420</v>
      </c>
      <c r="H4932">
        <v>0</v>
      </c>
      <c r="I4932" s="140" t="s">
        <v>17</v>
      </c>
    </row>
    <row r="4933" spans="1:9" hidden="1" x14ac:dyDescent="0.25">
      <c r="A4933">
        <v>2005</v>
      </c>
      <c r="B4933" s="140" t="s">
        <v>419</v>
      </c>
      <c r="C4933" s="140" t="s">
        <v>243</v>
      </c>
      <c r="D4933" s="140" t="s">
        <v>11</v>
      </c>
      <c r="E4933" s="140" t="s">
        <v>52</v>
      </c>
      <c r="F4933">
        <v>234</v>
      </c>
      <c r="G4933" s="140" t="s">
        <v>420</v>
      </c>
      <c r="H4933">
        <v>0</v>
      </c>
      <c r="I4933" s="140" t="s">
        <v>17</v>
      </c>
    </row>
    <row r="4934" spans="1:9" hidden="1" x14ac:dyDescent="0.25">
      <c r="A4934">
        <v>2006</v>
      </c>
      <c r="B4934" s="140" t="s">
        <v>419</v>
      </c>
      <c r="C4934" s="140" t="s">
        <v>243</v>
      </c>
      <c r="D4934" s="140" t="s">
        <v>11</v>
      </c>
      <c r="E4934" s="140" t="s">
        <v>52</v>
      </c>
      <c r="F4934">
        <v>251</v>
      </c>
      <c r="G4934" s="140" t="s">
        <v>420</v>
      </c>
      <c r="H4934">
        <v>0</v>
      </c>
      <c r="I4934" s="140" t="s">
        <v>17</v>
      </c>
    </row>
    <row r="4935" spans="1:9" hidden="1" x14ac:dyDescent="0.25">
      <c r="A4935">
        <v>2007</v>
      </c>
      <c r="B4935" s="140" t="s">
        <v>419</v>
      </c>
      <c r="C4935" s="140" t="s">
        <v>243</v>
      </c>
      <c r="D4935" s="140" t="s">
        <v>11</v>
      </c>
      <c r="E4935" s="140" t="s">
        <v>52</v>
      </c>
      <c r="F4935">
        <v>296</v>
      </c>
      <c r="G4935" s="140" t="s">
        <v>420</v>
      </c>
      <c r="H4935">
        <v>0</v>
      </c>
      <c r="I4935" s="140" t="s">
        <v>17</v>
      </c>
    </row>
    <row r="4936" spans="1:9" hidden="1" x14ac:dyDescent="0.25">
      <c r="A4936">
        <v>2008</v>
      </c>
      <c r="B4936" s="140" t="s">
        <v>419</v>
      </c>
      <c r="C4936" s="140" t="s">
        <v>243</v>
      </c>
      <c r="D4936" s="140" t="s">
        <v>11</v>
      </c>
      <c r="E4936" s="140" t="s">
        <v>52</v>
      </c>
      <c r="F4936">
        <v>295</v>
      </c>
      <c r="G4936" s="140" t="s">
        <v>420</v>
      </c>
      <c r="H4936">
        <v>0</v>
      </c>
      <c r="I4936" s="140" t="s">
        <v>17</v>
      </c>
    </row>
    <row r="4937" spans="1:9" hidden="1" x14ac:dyDescent="0.25">
      <c r="A4937">
        <v>2009</v>
      </c>
      <c r="B4937" s="140" t="s">
        <v>419</v>
      </c>
      <c r="C4937" s="140" t="s">
        <v>243</v>
      </c>
      <c r="D4937" s="140" t="s">
        <v>11</v>
      </c>
      <c r="E4937" s="140" t="s">
        <v>52</v>
      </c>
      <c r="F4937">
        <v>287</v>
      </c>
      <c r="G4937" s="140" t="s">
        <v>420</v>
      </c>
      <c r="H4937">
        <v>0</v>
      </c>
      <c r="I4937" s="140" t="s">
        <v>17</v>
      </c>
    </row>
    <row r="4938" spans="1:9" hidden="1" x14ac:dyDescent="0.25">
      <c r="A4938">
        <v>2010</v>
      </c>
      <c r="B4938" s="140" t="s">
        <v>419</v>
      </c>
      <c r="C4938" s="140" t="s">
        <v>243</v>
      </c>
      <c r="D4938" s="140" t="s">
        <v>11</v>
      </c>
      <c r="E4938" s="140" t="s">
        <v>52</v>
      </c>
      <c r="F4938">
        <v>255</v>
      </c>
      <c r="G4938" s="140" t="s">
        <v>420</v>
      </c>
      <c r="H4938">
        <v>0</v>
      </c>
      <c r="I4938" s="140" t="s">
        <v>17</v>
      </c>
    </row>
    <row r="4939" spans="1:9" hidden="1" x14ac:dyDescent="0.25">
      <c r="A4939">
        <v>2011</v>
      </c>
      <c r="B4939" s="140" t="s">
        <v>419</v>
      </c>
      <c r="C4939" s="140" t="s">
        <v>243</v>
      </c>
      <c r="D4939" s="140" t="s">
        <v>11</v>
      </c>
      <c r="E4939" s="140" t="s">
        <v>52</v>
      </c>
      <c r="F4939">
        <v>235</v>
      </c>
      <c r="G4939" s="140" t="s">
        <v>420</v>
      </c>
      <c r="H4939">
        <v>0</v>
      </c>
      <c r="I4939" s="140" t="s">
        <v>17</v>
      </c>
    </row>
    <row r="4940" spans="1:9" hidden="1" x14ac:dyDescent="0.25">
      <c r="A4940">
        <v>2012</v>
      </c>
      <c r="B4940" s="140" t="s">
        <v>419</v>
      </c>
      <c r="C4940" s="140" t="s">
        <v>243</v>
      </c>
      <c r="D4940" s="140" t="s">
        <v>11</v>
      </c>
      <c r="E4940" s="140" t="s">
        <v>52</v>
      </c>
      <c r="F4940">
        <v>198</v>
      </c>
      <c r="G4940" s="140" t="s">
        <v>420</v>
      </c>
      <c r="H4940">
        <v>0</v>
      </c>
      <c r="I4940" s="140" t="s">
        <v>17</v>
      </c>
    </row>
    <row r="4941" spans="1:9" hidden="1" x14ac:dyDescent="0.25">
      <c r="A4941">
        <v>2013</v>
      </c>
      <c r="B4941" s="140" t="s">
        <v>419</v>
      </c>
      <c r="C4941" s="140" t="s">
        <v>243</v>
      </c>
      <c r="D4941" s="140" t="s">
        <v>11</v>
      </c>
      <c r="E4941" s="140" t="s">
        <v>52</v>
      </c>
      <c r="F4941">
        <v>198</v>
      </c>
      <c r="G4941" s="140" t="s">
        <v>420</v>
      </c>
      <c r="H4941">
        <v>0</v>
      </c>
      <c r="I4941" s="140" t="s">
        <v>17</v>
      </c>
    </row>
    <row r="4942" spans="1:9" hidden="1" x14ac:dyDescent="0.25">
      <c r="A4942">
        <v>2014</v>
      </c>
      <c r="B4942" s="140" t="s">
        <v>419</v>
      </c>
      <c r="C4942" s="140" t="s">
        <v>243</v>
      </c>
      <c r="D4942" s="140" t="s">
        <v>11</v>
      </c>
      <c r="E4942" s="140" t="s">
        <v>52</v>
      </c>
      <c r="F4942">
        <v>207</v>
      </c>
      <c r="G4942" s="140" t="s">
        <v>420</v>
      </c>
      <c r="H4942">
        <v>0</v>
      </c>
      <c r="I4942" s="140" t="s">
        <v>17</v>
      </c>
    </row>
    <row r="4943" spans="1:9" hidden="1" x14ac:dyDescent="0.25">
      <c r="A4943">
        <v>2015</v>
      </c>
      <c r="B4943" s="140" t="s">
        <v>419</v>
      </c>
      <c r="C4943" s="140" t="s">
        <v>243</v>
      </c>
      <c r="D4943" s="140" t="s">
        <v>11</v>
      </c>
      <c r="E4943" s="140" t="s">
        <v>52</v>
      </c>
      <c r="F4943">
        <v>141</v>
      </c>
      <c r="G4943" s="140" t="s">
        <v>420</v>
      </c>
      <c r="H4943">
        <v>0</v>
      </c>
      <c r="I4943" s="140" t="s">
        <v>17</v>
      </c>
    </row>
    <row r="4944" spans="1:9" hidden="1" x14ac:dyDescent="0.25">
      <c r="A4944">
        <v>2016</v>
      </c>
      <c r="B4944" s="140" t="s">
        <v>419</v>
      </c>
      <c r="C4944" s="140" t="s">
        <v>243</v>
      </c>
      <c r="D4944" s="140" t="s">
        <v>11</v>
      </c>
      <c r="E4944" s="140" t="s">
        <v>52</v>
      </c>
      <c r="F4944">
        <v>178</v>
      </c>
      <c r="G4944" s="140" t="s">
        <v>420</v>
      </c>
      <c r="H4944">
        <v>0</v>
      </c>
      <c r="I4944" s="140" t="s">
        <v>17</v>
      </c>
    </row>
    <row r="4945" spans="1:9" hidden="1" x14ac:dyDescent="0.25">
      <c r="A4945">
        <v>2017</v>
      </c>
      <c r="B4945" s="140" t="s">
        <v>419</v>
      </c>
      <c r="C4945" s="140" t="s">
        <v>243</v>
      </c>
      <c r="D4945" s="140" t="s">
        <v>11</v>
      </c>
      <c r="E4945" s="140" t="s">
        <v>52</v>
      </c>
      <c r="F4945">
        <v>188</v>
      </c>
      <c r="G4945" s="140" t="s">
        <v>420</v>
      </c>
      <c r="H4945">
        <v>0</v>
      </c>
      <c r="I4945" s="140" t="s">
        <v>17</v>
      </c>
    </row>
    <row r="4946" spans="1:9" hidden="1" x14ac:dyDescent="0.25">
      <c r="A4946">
        <v>2018</v>
      </c>
      <c r="B4946" s="140" t="s">
        <v>419</v>
      </c>
      <c r="C4946" s="140" t="s">
        <v>243</v>
      </c>
      <c r="D4946" s="140" t="s">
        <v>11</v>
      </c>
      <c r="E4946" s="140" t="s">
        <v>52</v>
      </c>
      <c r="F4946">
        <v>186</v>
      </c>
      <c r="G4946" s="140" t="s">
        <v>420</v>
      </c>
      <c r="H4946">
        <v>0</v>
      </c>
      <c r="I4946" s="140" t="s">
        <v>17</v>
      </c>
    </row>
    <row r="4947" spans="1:9" hidden="1" x14ac:dyDescent="0.25">
      <c r="A4947">
        <v>2019</v>
      </c>
      <c r="B4947" s="140" t="s">
        <v>419</v>
      </c>
      <c r="C4947" s="140" t="s">
        <v>243</v>
      </c>
      <c r="D4947" s="140" t="s">
        <v>11</v>
      </c>
      <c r="E4947" s="140" t="s">
        <v>52</v>
      </c>
      <c r="F4947">
        <v>198</v>
      </c>
      <c r="G4947" s="140" t="s">
        <v>420</v>
      </c>
      <c r="H4947">
        <v>0</v>
      </c>
      <c r="I4947" s="140" t="s">
        <v>17</v>
      </c>
    </row>
    <row r="4948" spans="1:9" hidden="1" x14ac:dyDescent="0.25">
      <c r="A4948">
        <v>2020</v>
      </c>
      <c r="B4948" s="140" t="s">
        <v>419</v>
      </c>
      <c r="C4948" s="140" t="s">
        <v>243</v>
      </c>
      <c r="D4948" s="140" t="s">
        <v>11</v>
      </c>
      <c r="E4948" s="140" t="s">
        <v>52</v>
      </c>
      <c r="F4948">
        <v>273</v>
      </c>
      <c r="G4948" s="140" t="s">
        <v>420</v>
      </c>
      <c r="H4948">
        <v>0</v>
      </c>
      <c r="I4948" s="140" t="s">
        <v>17</v>
      </c>
    </row>
    <row r="4949" spans="1:9" hidden="1" x14ac:dyDescent="0.25">
      <c r="A4949">
        <v>2021</v>
      </c>
      <c r="B4949" s="140" t="s">
        <v>419</v>
      </c>
      <c r="C4949" s="140" t="s">
        <v>243</v>
      </c>
      <c r="D4949" s="140" t="s">
        <v>11</v>
      </c>
      <c r="E4949" s="140" t="s">
        <v>52</v>
      </c>
      <c r="F4949">
        <v>242</v>
      </c>
      <c r="G4949" s="140" t="s">
        <v>420</v>
      </c>
      <c r="H4949">
        <v>0</v>
      </c>
      <c r="I4949" s="140" t="s">
        <v>17</v>
      </c>
    </row>
    <row r="4950" spans="1:9" hidden="1" x14ac:dyDescent="0.25">
      <c r="A4950">
        <v>2022</v>
      </c>
      <c r="B4950" s="140" t="s">
        <v>419</v>
      </c>
      <c r="C4950" s="140" t="s">
        <v>243</v>
      </c>
      <c r="D4950" s="140" t="s">
        <v>11</v>
      </c>
      <c r="E4950" s="140" t="s">
        <v>52</v>
      </c>
      <c r="F4950">
        <v>231</v>
      </c>
      <c r="G4950" s="140" t="s">
        <v>420</v>
      </c>
      <c r="H4950">
        <v>0</v>
      </c>
      <c r="I4950" s="140" t="s">
        <v>17</v>
      </c>
    </row>
    <row r="4951" spans="1:9" hidden="1" x14ac:dyDescent="0.25">
      <c r="A4951">
        <v>2023</v>
      </c>
      <c r="B4951" s="140" t="s">
        <v>419</v>
      </c>
      <c r="C4951" s="140" t="s">
        <v>243</v>
      </c>
      <c r="D4951" s="140" t="s">
        <v>11</v>
      </c>
      <c r="E4951" s="140" t="s">
        <v>52</v>
      </c>
      <c r="F4951">
        <v>202</v>
      </c>
      <c r="G4951" s="140" t="s">
        <v>420</v>
      </c>
      <c r="H4951">
        <v>0</v>
      </c>
      <c r="I4951" s="140" t="s">
        <v>17</v>
      </c>
    </row>
    <row r="4952" spans="1:9" hidden="1" x14ac:dyDescent="0.25">
      <c r="A4952">
        <v>2024</v>
      </c>
      <c r="B4952" s="140" t="s">
        <v>419</v>
      </c>
      <c r="C4952" s="140" t="s">
        <v>243</v>
      </c>
      <c r="D4952" s="140" t="s">
        <v>11</v>
      </c>
      <c r="E4952" s="140" t="s">
        <v>52</v>
      </c>
      <c r="F4952">
        <v>204</v>
      </c>
      <c r="G4952" s="140" t="s">
        <v>420</v>
      </c>
      <c r="H4952">
        <v>0</v>
      </c>
      <c r="I4952" s="140" t="s">
        <v>17</v>
      </c>
    </row>
    <row r="4953" spans="1:9" hidden="1" x14ac:dyDescent="0.25">
      <c r="A4953">
        <v>2025</v>
      </c>
      <c r="B4953" s="140" t="s">
        <v>419</v>
      </c>
      <c r="C4953" s="140" t="s">
        <v>243</v>
      </c>
      <c r="D4953" s="140" t="s">
        <v>11</v>
      </c>
      <c r="E4953" s="140" t="s">
        <v>52</v>
      </c>
      <c r="F4953">
        <v>223</v>
      </c>
      <c r="G4953" s="140" t="s">
        <v>420</v>
      </c>
      <c r="H4953">
        <v>0</v>
      </c>
      <c r="I4953" s="140" t="s">
        <v>17</v>
      </c>
    </row>
    <row r="4954" spans="1:9" hidden="1" x14ac:dyDescent="0.25">
      <c r="A4954">
        <v>2026</v>
      </c>
      <c r="B4954" s="140" t="s">
        <v>419</v>
      </c>
      <c r="C4954" s="140" t="s">
        <v>243</v>
      </c>
      <c r="D4954" s="140" t="s">
        <v>11</v>
      </c>
      <c r="E4954" s="140" t="s">
        <v>52</v>
      </c>
      <c r="F4954">
        <v>225.23</v>
      </c>
      <c r="G4954" s="140" t="s">
        <v>420</v>
      </c>
      <c r="H4954">
        <v>0</v>
      </c>
      <c r="I4954" s="140" t="s">
        <v>17</v>
      </c>
    </row>
    <row r="4955" spans="1:9" hidden="1" x14ac:dyDescent="0.25">
      <c r="A4955">
        <v>2027</v>
      </c>
      <c r="B4955" s="140" t="s">
        <v>419</v>
      </c>
      <c r="C4955" s="140" t="s">
        <v>243</v>
      </c>
      <c r="D4955" s="140" t="s">
        <v>11</v>
      </c>
      <c r="E4955" s="140" t="s">
        <v>52</v>
      </c>
      <c r="F4955">
        <v>227.48230000000001</v>
      </c>
      <c r="G4955" s="140" t="s">
        <v>420</v>
      </c>
      <c r="H4955">
        <v>0</v>
      </c>
      <c r="I4955" s="140" t="s">
        <v>17</v>
      </c>
    </row>
    <row r="4956" spans="1:9" hidden="1" x14ac:dyDescent="0.25">
      <c r="A4956">
        <v>2028</v>
      </c>
      <c r="B4956" s="140" t="s">
        <v>419</v>
      </c>
      <c r="C4956" s="140" t="s">
        <v>243</v>
      </c>
      <c r="D4956" s="140" t="s">
        <v>11</v>
      </c>
      <c r="E4956" s="140" t="s">
        <v>52</v>
      </c>
      <c r="F4956">
        <v>229.75712300000001</v>
      </c>
      <c r="G4956" s="140" t="s">
        <v>420</v>
      </c>
      <c r="H4956">
        <v>0</v>
      </c>
      <c r="I4956" s="140" t="s">
        <v>17</v>
      </c>
    </row>
    <row r="4957" spans="1:9" hidden="1" x14ac:dyDescent="0.25">
      <c r="A4957">
        <v>1990</v>
      </c>
      <c r="B4957" s="140" t="s">
        <v>421</v>
      </c>
      <c r="C4957" s="140" t="s">
        <v>243</v>
      </c>
      <c r="D4957" s="140" t="s">
        <v>11</v>
      </c>
      <c r="E4957" s="140" t="s">
        <v>52</v>
      </c>
      <c r="F4957">
        <v>147</v>
      </c>
      <c r="G4957" s="140" t="s">
        <v>422</v>
      </c>
      <c r="H4957">
        <v>0</v>
      </c>
      <c r="I4957" s="140" t="s">
        <v>17</v>
      </c>
    </row>
    <row r="4958" spans="1:9" hidden="1" x14ac:dyDescent="0.25">
      <c r="A4958">
        <v>1991</v>
      </c>
      <c r="B4958" s="140" t="s">
        <v>421</v>
      </c>
      <c r="C4958" s="140" t="s">
        <v>243</v>
      </c>
      <c r="D4958" s="140" t="s">
        <v>11</v>
      </c>
      <c r="E4958" s="140" t="s">
        <v>52</v>
      </c>
      <c r="F4958">
        <v>167</v>
      </c>
      <c r="G4958" s="140" t="s">
        <v>422</v>
      </c>
      <c r="H4958">
        <v>0</v>
      </c>
      <c r="I4958" s="140" t="s">
        <v>17</v>
      </c>
    </row>
    <row r="4959" spans="1:9" hidden="1" x14ac:dyDescent="0.25">
      <c r="A4959">
        <v>1992</v>
      </c>
      <c r="B4959" s="140" t="s">
        <v>421</v>
      </c>
      <c r="C4959" s="140" t="s">
        <v>243</v>
      </c>
      <c r="D4959" s="140" t="s">
        <v>11</v>
      </c>
      <c r="E4959" s="140" t="s">
        <v>52</v>
      </c>
      <c r="F4959">
        <v>173</v>
      </c>
      <c r="G4959" s="140" t="s">
        <v>422</v>
      </c>
      <c r="H4959">
        <v>0</v>
      </c>
      <c r="I4959" s="140" t="s">
        <v>17</v>
      </c>
    </row>
    <row r="4960" spans="1:9" hidden="1" x14ac:dyDescent="0.25">
      <c r="A4960">
        <v>1993</v>
      </c>
      <c r="B4960" s="140" t="s">
        <v>421</v>
      </c>
      <c r="C4960" s="140" t="s">
        <v>243</v>
      </c>
      <c r="D4960" s="140" t="s">
        <v>11</v>
      </c>
      <c r="E4960" s="140" t="s">
        <v>52</v>
      </c>
      <c r="F4960">
        <v>155</v>
      </c>
      <c r="G4960" s="140" t="s">
        <v>422</v>
      </c>
      <c r="H4960">
        <v>0</v>
      </c>
      <c r="I4960" s="140" t="s">
        <v>17</v>
      </c>
    </row>
    <row r="4961" spans="1:9" hidden="1" x14ac:dyDescent="0.25">
      <c r="A4961">
        <v>1994</v>
      </c>
      <c r="B4961" s="140" t="s">
        <v>421</v>
      </c>
      <c r="C4961" s="140" t="s">
        <v>243</v>
      </c>
      <c r="D4961" s="140" t="s">
        <v>11</v>
      </c>
      <c r="E4961" s="140" t="s">
        <v>52</v>
      </c>
      <c r="F4961">
        <v>173</v>
      </c>
      <c r="G4961" s="140" t="s">
        <v>422</v>
      </c>
      <c r="H4961">
        <v>0</v>
      </c>
      <c r="I4961" s="140" t="s">
        <v>17</v>
      </c>
    </row>
    <row r="4962" spans="1:9" hidden="1" x14ac:dyDescent="0.25">
      <c r="A4962">
        <v>1995</v>
      </c>
      <c r="B4962" s="140" t="s">
        <v>421</v>
      </c>
      <c r="C4962" s="140" t="s">
        <v>243</v>
      </c>
      <c r="D4962" s="140" t="s">
        <v>11</v>
      </c>
      <c r="E4962" s="140" t="s">
        <v>52</v>
      </c>
      <c r="F4962">
        <v>169</v>
      </c>
      <c r="G4962" s="140" t="s">
        <v>422</v>
      </c>
      <c r="H4962">
        <v>0</v>
      </c>
      <c r="I4962" s="140" t="s">
        <v>17</v>
      </c>
    </row>
    <row r="4963" spans="1:9" hidden="1" x14ac:dyDescent="0.25">
      <c r="A4963">
        <v>1996</v>
      </c>
      <c r="B4963" s="140" t="s">
        <v>421</v>
      </c>
      <c r="C4963" s="140" t="s">
        <v>243</v>
      </c>
      <c r="D4963" s="140" t="s">
        <v>11</v>
      </c>
      <c r="E4963" s="140" t="s">
        <v>52</v>
      </c>
      <c r="F4963">
        <v>221</v>
      </c>
      <c r="G4963" s="140" t="s">
        <v>422</v>
      </c>
      <c r="H4963">
        <v>0</v>
      </c>
      <c r="I4963" s="140" t="s">
        <v>17</v>
      </c>
    </row>
    <row r="4964" spans="1:9" hidden="1" x14ac:dyDescent="0.25">
      <c r="A4964">
        <v>1997</v>
      </c>
      <c r="B4964" s="140" t="s">
        <v>421</v>
      </c>
      <c r="C4964" s="140" t="s">
        <v>243</v>
      </c>
      <c r="D4964" s="140" t="s">
        <v>11</v>
      </c>
      <c r="E4964" s="140" t="s">
        <v>52</v>
      </c>
      <c r="F4964">
        <v>247</v>
      </c>
      <c r="G4964" s="140" t="s">
        <v>422</v>
      </c>
      <c r="H4964">
        <v>0</v>
      </c>
      <c r="I4964" s="140" t="s">
        <v>17</v>
      </c>
    </row>
    <row r="4965" spans="1:9" hidden="1" x14ac:dyDescent="0.25">
      <c r="A4965">
        <v>1998</v>
      </c>
      <c r="B4965" s="140" t="s">
        <v>421</v>
      </c>
      <c r="C4965" s="140" t="s">
        <v>243</v>
      </c>
      <c r="D4965" s="140" t="s">
        <v>11</v>
      </c>
      <c r="E4965" s="140" t="s">
        <v>52</v>
      </c>
      <c r="F4965">
        <v>288</v>
      </c>
      <c r="G4965" s="140" t="s">
        <v>422</v>
      </c>
      <c r="H4965">
        <v>0</v>
      </c>
      <c r="I4965" s="140" t="s">
        <v>17</v>
      </c>
    </row>
    <row r="4966" spans="1:9" hidden="1" x14ac:dyDescent="0.25">
      <c r="A4966">
        <v>1999</v>
      </c>
      <c r="B4966" s="140" t="s">
        <v>421</v>
      </c>
      <c r="C4966" s="140" t="s">
        <v>243</v>
      </c>
      <c r="D4966" s="140" t="s">
        <v>11</v>
      </c>
      <c r="E4966" s="140" t="s">
        <v>52</v>
      </c>
      <c r="F4966">
        <v>327</v>
      </c>
      <c r="G4966" s="140" t="s">
        <v>422</v>
      </c>
      <c r="H4966">
        <v>0</v>
      </c>
      <c r="I4966" s="140" t="s">
        <v>17</v>
      </c>
    </row>
    <row r="4967" spans="1:9" hidden="1" x14ac:dyDescent="0.25">
      <c r="A4967">
        <v>2000</v>
      </c>
      <c r="B4967" s="140" t="s">
        <v>421</v>
      </c>
      <c r="C4967" s="140" t="s">
        <v>243</v>
      </c>
      <c r="D4967" s="140" t="s">
        <v>11</v>
      </c>
      <c r="E4967" s="140" t="s">
        <v>52</v>
      </c>
      <c r="F4967">
        <v>376</v>
      </c>
      <c r="G4967" s="140" t="s">
        <v>422</v>
      </c>
      <c r="H4967">
        <v>0</v>
      </c>
      <c r="I4967" s="140" t="s">
        <v>17</v>
      </c>
    </row>
    <row r="4968" spans="1:9" hidden="1" x14ac:dyDescent="0.25">
      <c r="A4968">
        <v>2001</v>
      </c>
      <c r="B4968" s="140" t="s">
        <v>421</v>
      </c>
      <c r="C4968" s="140" t="s">
        <v>243</v>
      </c>
      <c r="D4968" s="140" t="s">
        <v>11</v>
      </c>
      <c r="E4968" s="140" t="s">
        <v>52</v>
      </c>
      <c r="F4968">
        <v>395</v>
      </c>
      <c r="G4968" s="140" t="s">
        <v>422</v>
      </c>
      <c r="H4968">
        <v>0</v>
      </c>
      <c r="I4968" s="140" t="s">
        <v>17</v>
      </c>
    </row>
    <row r="4969" spans="1:9" hidden="1" x14ac:dyDescent="0.25">
      <c r="A4969">
        <v>2002</v>
      </c>
      <c r="B4969" s="140" t="s">
        <v>421</v>
      </c>
      <c r="C4969" s="140" t="s">
        <v>243</v>
      </c>
      <c r="D4969" s="140" t="s">
        <v>11</v>
      </c>
      <c r="E4969" s="140" t="s">
        <v>52</v>
      </c>
      <c r="F4969">
        <v>464</v>
      </c>
      <c r="G4969" s="140" t="s">
        <v>422</v>
      </c>
      <c r="H4969">
        <v>0</v>
      </c>
      <c r="I4969" s="140" t="s">
        <v>17</v>
      </c>
    </row>
    <row r="4970" spans="1:9" hidden="1" x14ac:dyDescent="0.25">
      <c r="A4970">
        <v>2003</v>
      </c>
      <c r="B4970" s="140" t="s">
        <v>421</v>
      </c>
      <c r="C4970" s="140" t="s">
        <v>243</v>
      </c>
      <c r="D4970" s="140" t="s">
        <v>11</v>
      </c>
      <c r="E4970" s="140" t="s">
        <v>52</v>
      </c>
      <c r="F4970">
        <v>425</v>
      </c>
      <c r="G4970" s="140" t="s">
        <v>422</v>
      </c>
      <c r="H4970">
        <v>0</v>
      </c>
      <c r="I4970" s="140" t="s">
        <v>17</v>
      </c>
    </row>
    <row r="4971" spans="1:9" hidden="1" x14ac:dyDescent="0.25">
      <c r="A4971">
        <v>2004</v>
      </c>
      <c r="B4971" s="140" t="s">
        <v>421</v>
      </c>
      <c r="C4971" s="140" t="s">
        <v>243</v>
      </c>
      <c r="D4971" s="140" t="s">
        <v>11</v>
      </c>
      <c r="E4971" s="140" t="s">
        <v>52</v>
      </c>
      <c r="F4971">
        <v>486</v>
      </c>
      <c r="G4971" s="140" t="s">
        <v>422</v>
      </c>
      <c r="H4971">
        <v>0</v>
      </c>
      <c r="I4971" s="140" t="s">
        <v>17</v>
      </c>
    </row>
    <row r="4972" spans="1:9" hidden="1" x14ac:dyDescent="0.25">
      <c r="A4972">
        <v>2005</v>
      </c>
      <c r="B4972" s="140" t="s">
        <v>421</v>
      </c>
      <c r="C4972" s="140" t="s">
        <v>243</v>
      </c>
      <c r="D4972" s="140" t="s">
        <v>11</v>
      </c>
      <c r="E4972" s="140" t="s">
        <v>52</v>
      </c>
      <c r="F4972">
        <v>496</v>
      </c>
      <c r="G4972" s="140" t="s">
        <v>422</v>
      </c>
      <c r="H4972">
        <v>0</v>
      </c>
      <c r="I4972" s="140" t="s">
        <v>17</v>
      </c>
    </row>
    <row r="4973" spans="1:9" hidden="1" x14ac:dyDescent="0.25">
      <c r="A4973">
        <v>2006</v>
      </c>
      <c r="B4973" s="140" t="s">
        <v>421</v>
      </c>
      <c r="C4973" s="140" t="s">
        <v>243</v>
      </c>
      <c r="D4973" s="140" t="s">
        <v>11</v>
      </c>
      <c r="E4973" s="140" t="s">
        <v>52</v>
      </c>
      <c r="F4973">
        <v>508</v>
      </c>
      <c r="G4973" s="140" t="s">
        <v>422</v>
      </c>
      <c r="H4973">
        <v>0</v>
      </c>
      <c r="I4973" s="140" t="s">
        <v>17</v>
      </c>
    </row>
    <row r="4974" spans="1:9" hidden="1" x14ac:dyDescent="0.25">
      <c r="A4974">
        <v>2007</v>
      </c>
      <c r="B4974" s="140" t="s">
        <v>421</v>
      </c>
      <c r="C4974" s="140" t="s">
        <v>243</v>
      </c>
      <c r="D4974" s="140" t="s">
        <v>11</v>
      </c>
      <c r="E4974" s="140" t="s">
        <v>52</v>
      </c>
      <c r="F4974">
        <v>532</v>
      </c>
      <c r="G4974" s="140" t="s">
        <v>422</v>
      </c>
      <c r="H4974">
        <v>0</v>
      </c>
      <c r="I4974" s="140" t="s">
        <v>17</v>
      </c>
    </row>
    <row r="4975" spans="1:9" hidden="1" x14ac:dyDescent="0.25">
      <c r="A4975">
        <v>2008</v>
      </c>
      <c r="B4975" s="140" t="s">
        <v>421</v>
      </c>
      <c r="C4975" s="140" t="s">
        <v>243</v>
      </c>
      <c r="D4975" s="140" t="s">
        <v>11</v>
      </c>
      <c r="E4975" s="140" t="s">
        <v>52</v>
      </c>
      <c r="F4975">
        <v>771</v>
      </c>
      <c r="G4975" s="140" t="s">
        <v>422</v>
      </c>
      <c r="H4975">
        <v>0</v>
      </c>
      <c r="I4975" s="140" t="s">
        <v>17</v>
      </c>
    </row>
    <row r="4976" spans="1:9" hidden="1" x14ac:dyDescent="0.25">
      <c r="A4976">
        <v>2009</v>
      </c>
      <c r="B4976" s="140" t="s">
        <v>421</v>
      </c>
      <c r="C4976" s="140" t="s">
        <v>243</v>
      </c>
      <c r="D4976" s="140" t="s">
        <v>11</v>
      </c>
      <c r="E4976" s="140" t="s">
        <v>52</v>
      </c>
      <c r="F4976">
        <v>477</v>
      </c>
      <c r="G4976" s="140" t="s">
        <v>422</v>
      </c>
      <c r="H4976">
        <v>0</v>
      </c>
      <c r="I4976" s="140" t="s">
        <v>17</v>
      </c>
    </row>
    <row r="4977" spans="1:9" hidden="1" x14ac:dyDescent="0.25">
      <c r="A4977">
        <v>2010</v>
      </c>
      <c r="B4977" s="140" t="s">
        <v>421</v>
      </c>
      <c r="C4977" s="140" t="s">
        <v>243</v>
      </c>
      <c r="D4977" s="140" t="s">
        <v>11</v>
      </c>
      <c r="E4977" s="140" t="s">
        <v>52</v>
      </c>
      <c r="F4977">
        <v>532</v>
      </c>
      <c r="G4977" s="140" t="s">
        <v>422</v>
      </c>
      <c r="H4977">
        <v>0</v>
      </c>
      <c r="I4977" s="140" t="s">
        <v>17</v>
      </c>
    </row>
    <row r="4978" spans="1:9" hidden="1" x14ac:dyDescent="0.25">
      <c r="A4978">
        <v>2011</v>
      </c>
      <c r="B4978" s="140" t="s">
        <v>421</v>
      </c>
      <c r="C4978" s="140" t="s">
        <v>243</v>
      </c>
      <c r="D4978" s="140" t="s">
        <v>11</v>
      </c>
      <c r="E4978" s="140" t="s">
        <v>52</v>
      </c>
      <c r="F4978">
        <v>468</v>
      </c>
      <c r="G4978" s="140" t="s">
        <v>422</v>
      </c>
      <c r="H4978">
        <v>0</v>
      </c>
      <c r="I4978" s="140" t="s">
        <v>17</v>
      </c>
    </row>
    <row r="4979" spans="1:9" hidden="1" x14ac:dyDescent="0.25">
      <c r="A4979">
        <v>2012</v>
      </c>
      <c r="B4979" s="140" t="s">
        <v>421</v>
      </c>
      <c r="C4979" s="140" t="s">
        <v>243</v>
      </c>
      <c r="D4979" s="140" t="s">
        <v>11</v>
      </c>
      <c r="E4979" s="140" t="s">
        <v>52</v>
      </c>
      <c r="F4979">
        <v>1135</v>
      </c>
      <c r="G4979" s="140" t="s">
        <v>422</v>
      </c>
      <c r="H4979">
        <v>0</v>
      </c>
      <c r="I4979" s="140" t="s">
        <v>17</v>
      </c>
    </row>
    <row r="4980" spans="1:9" hidden="1" x14ac:dyDescent="0.25">
      <c r="A4980">
        <v>2013</v>
      </c>
      <c r="B4980" s="140" t="s">
        <v>421</v>
      </c>
      <c r="C4980" s="140" t="s">
        <v>243</v>
      </c>
      <c r="D4980" s="140" t="s">
        <v>11</v>
      </c>
      <c r="E4980" s="140" t="s">
        <v>52</v>
      </c>
      <c r="F4980">
        <v>732</v>
      </c>
      <c r="G4980" s="140" t="s">
        <v>422</v>
      </c>
      <c r="H4980">
        <v>0</v>
      </c>
      <c r="I4980" s="140" t="s">
        <v>17</v>
      </c>
    </row>
    <row r="4981" spans="1:9" hidden="1" x14ac:dyDescent="0.25">
      <c r="A4981">
        <v>2014</v>
      </c>
      <c r="B4981" s="140" t="s">
        <v>421</v>
      </c>
      <c r="C4981" s="140" t="s">
        <v>243</v>
      </c>
      <c r="D4981" s="140" t="s">
        <v>11</v>
      </c>
      <c r="E4981" s="140" t="s">
        <v>52</v>
      </c>
      <c r="F4981">
        <v>567</v>
      </c>
      <c r="G4981" s="140" t="s">
        <v>422</v>
      </c>
      <c r="H4981">
        <v>0</v>
      </c>
      <c r="I4981" s="140" t="s">
        <v>17</v>
      </c>
    </row>
    <row r="4982" spans="1:9" hidden="1" x14ac:dyDescent="0.25">
      <c r="A4982">
        <v>2015</v>
      </c>
      <c r="B4982" s="140" t="s">
        <v>421</v>
      </c>
      <c r="C4982" s="140" t="s">
        <v>243</v>
      </c>
      <c r="D4982" s="140" t="s">
        <v>11</v>
      </c>
      <c r="E4982" s="140" t="s">
        <v>52</v>
      </c>
      <c r="F4982">
        <v>721</v>
      </c>
      <c r="G4982" s="140" t="s">
        <v>422</v>
      </c>
      <c r="H4982">
        <v>0</v>
      </c>
      <c r="I4982" s="140" t="s">
        <v>17</v>
      </c>
    </row>
    <row r="4983" spans="1:9" hidden="1" x14ac:dyDescent="0.25">
      <c r="A4983">
        <v>2016</v>
      </c>
      <c r="B4983" s="140" t="s">
        <v>421</v>
      </c>
      <c r="C4983" s="140" t="s">
        <v>243</v>
      </c>
      <c r="D4983" s="140" t="s">
        <v>11</v>
      </c>
      <c r="E4983" s="140" t="s">
        <v>52</v>
      </c>
      <c r="F4983">
        <v>614</v>
      </c>
      <c r="G4983" s="140" t="s">
        <v>422</v>
      </c>
      <c r="H4983">
        <v>0</v>
      </c>
      <c r="I4983" s="140" t="s">
        <v>17</v>
      </c>
    </row>
    <row r="4984" spans="1:9" hidden="1" x14ac:dyDescent="0.25">
      <c r="A4984">
        <v>2017</v>
      </c>
      <c r="B4984" s="140" t="s">
        <v>421</v>
      </c>
      <c r="C4984" s="140" t="s">
        <v>243</v>
      </c>
      <c r="D4984" s="140" t="s">
        <v>11</v>
      </c>
      <c r="E4984" s="140" t="s">
        <v>52</v>
      </c>
      <c r="F4984">
        <v>997</v>
      </c>
      <c r="G4984" s="140" t="s">
        <v>422</v>
      </c>
      <c r="H4984">
        <v>0</v>
      </c>
      <c r="I4984" s="140" t="s">
        <v>17</v>
      </c>
    </row>
    <row r="4985" spans="1:9" hidden="1" x14ac:dyDescent="0.25">
      <c r="A4985">
        <v>2018</v>
      </c>
      <c r="B4985" s="140" t="s">
        <v>421</v>
      </c>
      <c r="C4985" s="140" t="s">
        <v>243</v>
      </c>
      <c r="D4985" s="140" t="s">
        <v>11</v>
      </c>
      <c r="E4985" s="140" t="s">
        <v>52</v>
      </c>
      <c r="F4985">
        <v>735</v>
      </c>
      <c r="G4985" s="140" t="s">
        <v>422</v>
      </c>
      <c r="H4985">
        <v>0</v>
      </c>
      <c r="I4985" s="140" t="s">
        <v>17</v>
      </c>
    </row>
    <row r="4986" spans="1:9" hidden="1" x14ac:dyDescent="0.25">
      <c r="A4986">
        <v>2019</v>
      </c>
      <c r="B4986" s="140" t="s">
        <v>421</v>
      </c>
      <c r="C4986" s="140" t="s">
        <v>243</v>
      </c>
      <c r="D4986" s="140" t="s">
        <v>11</v>
      </c>
      <c r="E4986" s="140" t="s">
        <v>52</v>
      </c>
      <c r="F4986">
        <v>806</v>
      </c>
      <c r="G4986" s="140" t="s">
        <v>422</v>
      </c>
      <c r="H4986">
        <v>0</v>
      </c>
      <c r="I4986" s="140" t="s">
        <v>17</v>
      </c>
    </row>
    <row r="4987" spans="1:9" hidden="1" x14ac:dyDescent="0.25">
      <c r="A4987">
        <v>2020</v>
      </c>
      <c r="B4987" s="140" t="s">
        <v>421</v>
      </c>
      <c r="C4987" s="140" t="s">
        <v>243</v>
      </c>
      <c r="D4987" s="140" t="s">
        <v>11</v>
      </c>
      <c r="E4987" s="140" t="s">
        <v>52</v>
      </c>
      <c r="F4987">
        <v>851</v>
      </c>
      <c r="G4987" s="140" t="s">
        <v>422</v>
      </c>
      <c r="H4987">
        <v>0</v>
      </c>
      <c r="I4987" s="140" t="s">
        <v>17</v>
      </c>
    </row>
    <row r="4988" spans="1:9" hidden="1" x14ac:dyDescent="0.25">
      <c r="A4988">
        <v>2021</v>
      </c>
      <c r="B4988" s="140" t="s">
        <v>421</v>
      </c>
      <c r="C4988" s="140" t="s">
        <v>243</v>
      </c>
      <c r="D4988" s="140" t="s">
        <v>11</v>
      </c>
      <c r="E4988" s="140" t="s">
        <v>52</v>
      </c>
      <c r="F4988">
        <v>881</v>
      </c>
      <c r="G4988" s="140" t="s">
        <v>422</v>
      </c>
      <c r="H4988">
        <v>0</v>
      </c>
      <c r="I4988" s="140" t="s">
        <v>17</v>
      </c>
    </row>
    <row r="4989" spans="1:9" hidden="1" x14ac:dyDescent="0.25">
      <c r="A4989">
        <v>2022</v>
      </c>
      <c r="B4989" s="140" t="s">
        <v>421</v>
      </c>
      <c r="C4989" s="140" t="s">
        <v>243</v>
      </c>
      <c r="D4989" s="140" t="s">
        <v>11</v>
      </c>
      <c r="E4989" s="140" t="s">
        <v>52</v>
      </c>
      <c r="F4989">
        <v>947</v>
      </c>
      <c r="G4989" s="140" t="s">
        <v>422</v>
      </c>
      <c r="H4989">
        <v>0</v>
      </c>
      <c r="I4989" s="140" t="s">
        <v>17</v>
      </c>
    </row>
    <row r="4990" spans="1:9" hidden="1" x14ac:dyDescent="0.25">
      <c r="A4990">
        <v>2023</v>
      </c>
      <c r="B4990" s="140" t="s">
        <v>421</v>
      </c>
      <c r="C4990" s="140" t="s">
        <v>243</v>
      </c>
      <c r="D4990" s="140" t="s">
        <v>11</v>
      </c>
      <c r="E4990" s="140" t="s">
        <v>52</v>
      </c>
      <c r="F4990">
        <v>1183</v>
      </c>
      <c r="G4990" s="140" t="s">
        <v>422</v>
      </c>
      <c r="H4990">
        <v>0</v>
      </c>
      <c r="I4990" s="140" t="s">
        <v>17</v>
      </c>
    </row>
    <row r="4991" spans="1:9" hidden="1" x14ac:dyDescent="0.25">
      <c r="A4991">
        <v>2024</v>
      </c>
      <c r="B4991" s="140" t="s">
        <v>421</v>
      </c>
      <c r="C4991" s="140" t="s">
        <v>243</v>
      </c>
      <c r="D4991" s="140" t="s">
        <v>11</v>
      </c>
      <c r="E4991" s="140" t="s">
        <v>52</v>
      </c>
      <c r="F4991">
        <v>1327</v>
      </c>
      <c r="G4991" s="140" t="s">
        <v>422</v>
      </c>
      <c r="H4991">
        <v>0</v>
      </c>
      <c r="I4991" s="140" t="s">
        <v>17</v>
      </c>
    </row>
    <row r="4992" spans="1:9" hidden="1" x14ac:dyDescent="0.25">
      <c r="A4992">
        <v>2025</v>
      </c>
      <c r="B4992" s="140" t="s">
        <v>421</v>
      </c>
      <c r="C4992" s="140" t="s">
        <v>243</v>
      </c>
      <c r="D4992" s="140" t="s">
        <v>11</v>
      </c>
      <c r="E4992" s="140" t="s">
        <v>52</v>
      </c>
      <c r="F4992">
        <v>1114</v>
      </c>
      <c r="G4992" s="140" t="s">
        <v>422</v>
      </c>
      <c r="H4992">
        <v>0</v>
      </c>
      <c r="I4992" s="140" t="s">
        <v>17</v>
      </c>
    </row>
    <row r="4993" spans="1:9" hidden="1" x14ac:dyDescent="0.25">
      <c r="A4993">
        <v>2026</v>
      </c>
      <c r="B4993" s="140" t="s">
        <v>421</v>
      </c>
      <c r="C4993" s="140" t="s">
        <v>243</v>
      </c>
      <c r="D4993" s="140" t="s">
        <v>11</v>
      </c>
      <c r="E4993" s="140" t="s">
        <v>52</v>
      </c>
      <c r="F4993">
        <v>1125.1400000000001</v>
      </c>
      <c r="G4993" s="140" t="s">
        <v>422</v>
      </c>
      <c r="H4993">
        <v>0</v>
      </c>
      <c r="I4993" s="140" t="s">
        <v>17</v>
      </c>
    </row>
    <row r="4994" spans="1:9" hidden="1" x14ac:dyDescent="0.25">
      <c r="A4994">
        <v>2027</v>
      </c>
      <c r="B4994" s="140" t="s">
        <v>421</v>
      </c>
      <c r="C4994" s="140" t="s">
        <v>243</v>
      </c>
      <c r="D4994" s="140" t="s">
        <v>11</v>
      </c>
      <c r="E4994" s="140" t="s">
        <v>52</v>
      </c>
      <c r="F4994">
        <v>1136.3914</v>
      </c>
      <c r="G4994" s="140" t="s">
        <v>422</v>
      </c>
      <c r="H4994">
        <v>0</v>
      </c>
      <c r="I4994" s="140" t="s">
        <v>17</v>
      </c>
    </row>
    <row r="4995" spans="1:9" hidden="1" x14ac:dyDescent="0.25">
      <c r="A4995">
        <v>2028</v>
      </c>
      <c r="B4995" s="140" t="s">
        <v>421</v>
      </c>
      <c r="C4995" s="140" t="s">
        <v>243</v>
      </c>
      <c r="D4995" s="140" t="s">
        <v>11</v>
      </c>
      <c r="E4995" s="140" t="s">
        <v>52</v>
      </c>
      <c r="F4995">
        <v>1147.755314</v>
      </c>
      <c r="G4995" s="140" t="s">
        <v>422</v>
      </c>
      <c r="H4995">
        <v>0</v>
      </c>
      <c r="I4995" s="140" t="s">
        <v>17</v>
      </c>
    </row>
    <row r="4996" spans="1:9" hidden="1" x14ac:dyDescent="0.25">
      <c r="A4996">
        <v>1990</v>
      </c>
      <c r="B4996" s="140" t="s">
        <v>423</v>
      </c>
      <c r="C4996" s="140" t="s">
        <v>243</v>
      </c>
      <c r="D4996" s="140" t="s">
        <v>11</v>
      </c>
      <c r="E4996" s="140" t="s">
        <v>52</v>
      </c>
      <c r="F4996">
        <v>3680</v>
      </c>
      <c r="G4996" s="140" t="s">
        <v>424</v>
      </c>
      <c r="H4996">
        <v>0</v>
      </c>
      <c r="I4996" s="140" t="s">
        <v>17</v>
      </c>
    </row>
    <row r="4997" spans="1:9" hidden="1" x14ac:dyDescent="0.25">
      <c r="A4997">
        <v>1991</v>
      </c>
      <c r="B4997" s="140" t="s">
        <v>423</v>
      </c>
      <c r="C4997" s="140" t="s">
        <v>243</v>
      </c>
      <c r="D4997" s="140" t="s">
        <v>11</v>
      </c>
      <c r="E4997" s="140" t="s">
        <v>52</v>
      </c>
      <c r="F4997">
        <v>3720</v>
      </c>
      <c r="G4997" s="140" t="s">
        <v>424</v>
      </c>
      <c r="H4997">
        <v>0</v>
      </c>
      <c r="I4997" s="140" t="s">
        <v>17</v>
      </c>
    </row>
    <row r="4998" spans="1:9" hidden="1" x14ac:dyDescent="0.25">
      <c r="A4998">
        <v>1992</v>
      </c>
      <c r="B4998" s="140" t="s">
        <v>423</v>
      </c>
      <c r="C4998" s="140" t="s">
        <v>243</v>
      </c>
      <c r="D4998" s="140" t="s">
        <v>11</v>
      </c>
      <c r="E4998" s="140" t="s">
        <v>52</v>
      </c>
      <c r="F4998">
        <v>3491</v>
      </c>
      <c r="G4998" s="140" t="s">
        <v>424</v>
      </c>
      <c r="H4998">
        <v>0</v>
      </c>
      <c r="I4998" s="140" t="s">
        <v>17</v>
      </c>
    </row>
    <row r="4999" spans="1:9" hidden="1" x14ac:dyDescent="0.25">
      <c r="A4999">
        <v>1993</v>
      </c>
      <c r="B4999" s="140" t="s">
        <v>423</v>
      </c>
      <c r="C4999" s="140" t="s">
        <v>243</v>
      </c>
      <c r="D4999" s="140" t="s">
        <v>11</v>
      </c>
      <c r="E4999" s="140" t="s">
        <v>52</v>
      </c>
      <c r="F4999">
        <v>3374</v>
      </c>
      <c r="G4999" s="140" t="s">
        <v>424</v>
      </c>
      <c r="H4999">
        <v>0</v>
      </c>
      <c r="I4999" s="140" t="s">
        <v>17</v>
      </c>
    </row>
    <row r="5000" spans="1:9" hidden="1" x14ac:dyDescent="0.25">
      <c r="A5000">
        <v>1994</v>
      </c>
      <c r="B5000" s="140" t="s">
        <v>423</v>
      </c>
      <c r="C5000" s="140" t="s">
        <v>243</v>
      </c>
      <c r="D5000" s="140" t="s">
        <v>11</v>
      </c>
      <c r="E5000" s="140" t="s">
        <v>52</v>
      </c>
      <c r="F5000">
        <v>3528</v>
      </c>
      <c r="G5000" s="140" t="s">
        <v>424</v>
      </c>
      <c r="H5000">
        <v>0</v>
      </c>
      <c r="I5000" s="140" t="s">
        <v>17</v>
      </c>
    </row>
    <row r="5001" spans="1:9" hidden="1" x14ac:dyDescent="0.25">
      <c r="A5001">
        <v>1995</v>
      </c>
      <c r="B5001" s="140" t="s">
        <v>423</v>
      </c>
      <c r="C5001" s="140" t="s">
        <v>243</v>
      </c>
      <c r="D5001" s="140" t="s">
        <v>11</v>
      </c>
      <c r="E5001" s="140" t="s">
        <v>52</v>
      </c>
      <c r="F5001">
        <v>3570</v>
      </c>
      <c r="G5001" s="140" t="s">
        <v>424</v>
      </c>
      <c r="H5001">
        <v>0</v>
      </c>
      <c r="I5001" s="140" t="s">
        <v>17</v>
      </c>
    </row>
    <row r="5002" spans="1:9" hidden="1" x14ac:dyDescent="0.25">
      <c r="A5002">
        <v>1996</v>
      </c>
      <c r="B5002" s="140" t="s">
        <v>423</v>
      </c>
      <c r="C5002" s="140" t="s">
        <v>243</v>
      </c>
      <c r="D5002" s="140" t="s">
        <v>11</v>
      </c>
      <c r="E5002" s="140" t="s">
        <v>52</v>
      </c>
      <c r="F5002">
        <v>3576</v>
      </c>
      <c r="G5002" s="140" t="s">
        <v>424</v>
      </c>
      <c r="H5002">
        <v>0</v>
      </c>
      <c r="I5002" s="140" t="s">
        <v>17</v>
      </c>
    </row>
    <row r="5003" spans="1:9" hidden="1" x14ac:dyDescent="0.25">
      <c r="A5003">
        <v>1997</v>
      </c>
      <c r="B5003" s="140" t="s">
        <v>423</v>
      </c>
      <c r="C5003" s="140" t="s">
        <v>243</v>
      </c>
      <c r="D5003" s="140" t="s">
        <v>11</v>
      </c>
      <c r="E5003" s="140" t="s">
        <v>52</v>
      </c>
      <c r="F5003">
        <v>3772</v>
      </c>
      <c r="G5003" s="140" t="s">
        <v>424</v>
      </c>
      <c r="H5003">
        <v>0</v>
      </c>
      <c r="I5003" s="140" t="s">
        <v>17</v>
      </c>
    </row>
    <row r="5004" spans="1:9" hidden="1" x14ac:dyDescent="0.25">
      <c r="A5004">
        <v>1998</v>
      </c>
      <c r="B5004" s="140" t="s">
        <v>423</v>
      </c>
      <c r="C5004" s="140" t="s">
        <v>243</v>
      </c>
      <c r="D5004" s="140" t="s">
        <v>11</v>
      </c>
      <c r="E5004" s="140" t="s">
        <v>52</v>
      </c>
      <c r="F5004">
        <v>4013</v>
      </c>
      <c r="G5004" s="140" t="s">
        <v>424</v>
      </c>
      <c r="H5004">
        <v>0</v>
      </c>
      <c r="I5004" s="140" t="s">
        <v>17</v>
      </c>
    </row>
    <row r="5005" spans="1:9" hidden="1" x14ac:dyDescent="0.25">
      <c r="A5005">
        <v>1999</v>
      </c>
      <c r="B5005" s="140" t="s">
        <v>423</v>
      </c>
      <c r="C5005" s="140" t="s">
        <v>243</v>
      </c>
      <c r="D5005" s="140" t="s">
        <v>11</v>
      </c>
      <c r="E5005" s="140" t="s">
        <v>52</v>
      </c>
      <c r="F5005">
        <v>4238</v>
      </c>
      <c r="G5005" s="140" t="s">
        <v>424</v>
      </c>
      <c r="H5005">
        <v>0</v>
      </c>
      <c r="I5005" s="140" t="s">
        <v>17</v>
      </c>
    </row>
    <row r="5006" spans="1:9" hidden="1" x14ac:dyDescent="0.25">
      <c r="A5006">
        <v>2000</v>
      </c>
      <c r="B5006" s="140" t="s">
        <v>423</v>
      </c>
      <c r="C5006" s="140" t="s">
        <v>243</v>
      </c>
      <c r="D5006" s="140" t="s">
        <v>11</v>
      </c>
      <c r="E5006" s="140" t="s">
        <v>52</v>
      </c>
      <c r="F5006">
        <v>4616</v>
      </c>
      <c r="G5006" s="140" t="s">
        <v>424</v>
      </c>
      <c r="H5006">
        <v>0</v>
      </c>
      <c r="I5006" s="140" t="s">
        <v>17</v>
      </c>
    </row>
    <row r="5007" spans="1:9" hidden="1" x14ac:dyDescent="0.25">
      <c r="A5007">
        <v>2001</v>
      </c>
      <c r="B5007" s="140" t="s">
        <v>423</v>
      </c>
      <c r="C5007" s="140" t="s">
        <v>243</v>
      </c>
      <c r="D5007" s="140" t="s">
        <v>11</v>
      </c>
      <c r="E5007" s="140" t="s">
        <v>52</v>
      </c>
      <c r="F5007">
        <v>4901</v>
      </c>
      <c r="G5007" s="140" t="s">
        <v>424</v>
      </c>
      <c r="H5007">
        <v>0</v>
      </c>
      <c r="I5007" s="140" t="s">
        <v>17</v>
      </c>
    </row>
    <row r="5008" spans="1:9" hidden="1" x14ac:dyDescent="0.25">
      <c r="A5008">
        <v>2002</v>
      </c>
      <c r="B5008" s="140" t="s">
        <v>423</v>
      </c>
      <c r="C5008" s="140" t="s">
        <v>243</v>
      </c>
      <c r="D5008" s="140" t="s">
        <v>11</v>
      </c>
      <c r="E5008" s="140" t="s">
        <v>52</v>
      </c>
      <c r="F5008">
        <v>4970</v>
      </c>
      <c r="G5008" s="140" t="s">
        <v>424</v>
      </c>
      <c r="H5008">
        <v>0</v>
      </c>
      <c r="I5008" s="140" t="s">
        <v>17</v>
      </c>
    </row>
    <row r="5009" spans="1:9" hidden="1" x14ac:dyDescent="0.25">
      <c r="A5009">
        <v>2003</v>
      </c>
      <c r="B5009" s="140" t="s">
        <v>423</v>
      </c>
      <c r="C5009" s="140" t="s">
        <v>243</v>
      </c>
      <c r="D5009" s="140" t="s">
        <v>11</v>
      </c>
      <c r="E5009" s="140" t="s">
        <v>52</v>
      </c>
      <c r="F5009">
        <v>5111</v>
      </c>
      <c r="G5009" s="140" t="s">
        <v>424</v>
      </c>
      <c r="H5009">
        <v>0</v>
      </c>
      <c r="I5009" s="140" t="s">
        <v>17</v>
      </c>
    </row>
    <row r="5010" spans="1:9" hidden="1" x14ac:dyDescent="0.25">
      <c r="A5010">
        <v>2004</v>
      </c>
      <c r="B5010" s="140" t="s">
        <v>423</v>
      </c>
      <c r="C5010" s="140" t="s">
        <v>243</v>
      </c>
      <c r="D5010" s="140" t="s">
        <v>11</v>
      </c>
      <c r="E5010" s="140" t="s">
        <v>52</v>
      </c>
      <c r="F5010">
        <v>5360</v>
      </c>
      <c r="G5010" s="140" t="s">
        <v>424</v>
      </c>
      <c r="H5010">
        <v>0</v>
      </c>
      <c r="I5010" s="140" t="s">
        <v>17</v>
      </c>
    </row>
    <row r="5011" spans="1:9" hidden="1" x14ac:dyDescent="0.25">
      <c r="A5011">
        <v>2005</v>
      </c>
      <c r="B5011" s="140" t="s">
        <v>423</v>
      </c>
      <c r="C5011" s="140" t="s">
        <v>243</v>
      </c>
      <c r="D5011" s="140" t="s">
        <v>11</v>
      </c>
      <c r="E5011" s="140" t="s">
        <v>52</v>
      </c>
      <c r="F5011">
        <v>5768</v>
      </c>
      <c r="G5011" s="140" t="s">
        <v>424</v>
      </c>
      <c r="H5011">
        <v>0</v>
      </c>
      <c r="I5011" s="140" t="s">
        <v>17</v>
      </c>
    </row>
    <row r="5012" spans="1:9" hidden="1" x14ac:dyDescent="0.25">
      <c r="A5012">
        <v>2006</v>
      </c>
      <c r="B5012" s="140" t="s">
        <v>423</v>
      </c>
      <c r="C5012" s="140" t="s">
        <v>243</v>
      </c>
      <c r="D5012" s="140" t="s">
        <v>11</v>
      </c>
      <c r="E5012" s="140" t="s">
        <v>52</v>
      </c>
      <c r="F5012">
        <v>6150</v>
      </c>
      <c r="G5012" s="140" t="s">
        <v>424</v>
      </c>
      <c r="H5012">
        <v>0</v>
      </c>
      <c r="I5012" s="140" t="s">
        <v>17</v>
      </c>
    </row>
    <row r="5013" spans="1:9" hidden="1" x14ac:dyDescent="0.25">
      <c r="A5013">
        <v>2007</v>
      </c>
      <c r="B5013" s="140" t="s">
        <v>423</v>
      </c>
      <c r="C5013" s="140" t="s">
        <v>243</v>
      </c>
      <c r="D5013" s="140" t="s">
        <v>11</v>
      </c>
      <c r="E5013" s="140" t="s">
        <v>52</v>
      </c>
      <c r="F5013">
        <v>6704</v>
      </c>
      <c r="G5013" s="140" t="s">
        <v>424</v>
      </c>
      <c r="H5013">
        <v>0</v>
      </c>
      <c r="I5013" s="140" t="s">
        <v>17</v>
      </c>
    </row>
    <row r="5014" spans="1:9" hidden="1" x14ac:dyDescent="0.25">
      <c r="A5014">
        <v>2008</v>
      </c>
      <c r="B5014" s="140" t="s">
        <v>423</v>
      </c>
      <c r="C5014" s="140" t="s">
        <v>243</v>
      </c>
      <c r="D5014" s="140" t="s">
        <v>11</v>
      </c>
      <c r="E5014" s="140" t="s">
        <v>52</v>
      </c>
      <c r="F5014">
        <v>7175</v>
      </c>
      <c r="G5014" s="140" t="s">
        <v>424</v>
      </c>
      <c r="H5014">
        <v>0</v>
      </c>
      <c r="I5014" s="140" t="s">
        <v>17</v>
      </c>
    </row>
    <row r="5015" spans="1:9" hidden="1" x14ac:dyDescent="0.25">
      <c r="A5015">
        <v>2009</v>
      </c>
      <c r="B5015" s="140" t="s">
        <v>423</v>
      </c>
      <c r="C5015" s="140" t="s">
        <v>243</v>
      </c>
      <c r="D5015" s="140" t="s">
        <v>11</v>
      </c>
      <c r="E5015" s="140" t="s">
        <v>52</v>
      </c>
      <c r="F5015">
        <v>7159</v>
      </c>
      <c r="G5015" s="140" t="s">
        <v>424</v>
      </c>
      <c r="H5015">
        <v>0</v>
      </c>
      <c r="I5015" s="140" t="s">
        <v>17</v>
      </c>
    </row>
    <row r="5016" spans="1:9" hidden="1" x14ac:dyDescent="0.25">
      <c r="A5016">
        <v>2010</v>
      </c>
      <c r="B5016" s="140" t="s">
        <v>423</v>
      </c>
      <c r="C5016" s="140" t="s">
        <v>243</v>
      </c>
      <c r="D5016" s="140" t="s">
        <v>11</v>
      </c>
      <c r="E5016" s="140" t="s">
        <v>52</v>
      </c>
      <c r="F5016">
        <v>6974</v>
      </c>
      <c r="G5016" s="140" t="s">
        <v>424</v>
      </c>
      <c r="H5016">
        <v>0</v>
      </c>
      <c r="I5016" s="140" t="s">
        <v>17</v>
      </c>
    </row>
    <row r="5017" spans="1:9" hidden="1" x14ac:dyDescent="0.25">
      <c r="A5017">
        <v>2011</v>
      </c>
      <c r="B5017" s="140" t="s">
        <v>423</v>
      </c>
      <c r="C5017" s="140" t="s">
        <v>243</v>
      </c>
      <c r="D5017" s="140" t="s">
        <v>11</v>
      </c>
      <c r="E5017" s="140" t="s">
        <v>52</v>
      </c>
      <c r="F5017">
        <v>7357</v>
      </c>
      <c r="G5017" s="140" t="s">
        <v>424</v>
      </c>
      <c r="H5017">
        <v>0</v>
      </c>
      <c r="I5017" s="140" t="s">
        <v>17</v>
      </c>
    </row>
    <row r="5018" spans="1:9" hidden="1" x14ac:dyDescent="0.25">
      <c r="A5018">
        <v>2012</v>
      </c>
      <c r="B5018" s="140" t="s">
        <v>423</v>
      </c>
      <c r="C5018" s="140" t="s">
        <v>243</v>
      </c>
      <c r="D5018" s="140" t="s">
        <v>11</v>
      </c>
      <c r="E5018" s="140" t="s">
        <v>52</v>
      </c>
      <c r="F5018">
        <v>7866</v>
      </c>
      <c r="G5018" s="140" t="s">
        <v>424</v>
      </c>
      <c r="H5018">
        <v>0</v>
      </c>
      <c r="I5018" s="140" t="s">
        <v>17</v>
      </c>
    </row>
    <row r="5019" spans="1:9" hidden="1" x14ac:dyDescent="0.25">
      <c r="A5019">
        <v>2013</v>
      </c>
      <c r="B5019" s="140" t="s">
        <v>423</v>
      </c>
      <c r="C5019" s="140" t="s">
        <v>243</v>
      </c>
      <c r="D5019" s="140" t="s">
        <v>11</v>
      </c>
      <c r="E5019" s="140" t="s">
        <v>52</v>
      </c>
      <c r="F5019">
        <v>8162</v>
      </c>
      <c r="G5019" s="140" t="s">
        <v>424</v>
      </c>
      <c r="H5019">
        <v>0</v>
      </c>
      <c r="I5019" s="140" t="s">
        <v>17</v>
      </c>
    </row>
    <row r="5020" spans="1:9" hidden="1" x14ac:dyDescent="0.25">
      <c r="A5020">
        <v>2014</v>
      </c>
      <c r="B5020" s="140" t="s">
        <v>423</v>
      </c>
      <c r="C5020" s="140" t="s">
        <v>243</v>
      </c>
      <c r="D5020" s="140" t="s">
        <v>11</v>
      </c>
      <c r="E5020" s="140" t="s">
        <v>52</v>
      </c>
      <c r="F5020">
        <v>8345</v>
      </c>
      <c r="G5020" s="140" t="s">
        <v>424</v>
      </c>
      <c r="H5020">
        <v>0</v>
      </c>
      <c r="I5020" s="140" t="s">
        <v>17</v>
      </c>
    </row>
    <row r="5021" spans="1:9" hidden="1" x14ac:dyDescent="0.25">
      <c r="A5021">
        <v>2015</v>
      </c>
      <c r="B5021" s="140" t="s">
        <v>423</v>
      </c>
      <c r="C5021" s="140" t="s">
        <v>243</v>
      </c>
      <c r="D5021" s="140" t="s">
        <v>11</v>
      </c>
      <c r="E5021" s="140" t="s">
        <v>52</v>
      </c>
      <c r="F5021">
        <v>8509</v>
      </c>
      <c r="G5021" s="140" t="s">
        <v>424</v>
      </c>
      <c r="H5021">
        <v>0</v>
      </c>
      <c r="I5021" s="140" t="s">
        <v>17</v>
      </c>
    </row>
    <row r="5022" spans="1:9" hidden="1" x14ac:dyDescent="0.25">
      <c r="A5022">
        <v>2016</v>
      </c>
      <c r="B5022" s="140" t="s">
        <v>423</v>
      </c>
      <c r="C5022" s="140" t="s">
        <v>243</v>
      </c>
      <c r="D5022" s="140" t="s">
        <v>11</v>
      </c>
      <c r="E5022" s="140" t="s">
        <v>52</v>
      </c>
      <c r="F5022">
        <v>8828</v>
      </c>
      <c r="G5022" s="140" t="s">
        <v>424</v>
      </c>
      <c r="H5022">
        <v>0</v>
      </c>
      <c r="I5022" s="140" t="s">
        <v>17</v>
      </c>
    </row>
    <row r="5023" spans="1:9" hidden="1" x14ac:dyDescent="0.25">
      <c r="A5023">
        <v>2017</v>
      </c>
      <c r="B5023" s="140" t="s">
        <v>423</v>
      </c>
      <c r="C5023" s="140" t="s">
        <v>243</v>
      </c>
      <c r="D5023" s="140" t="s">
        <v>11</v>
      </c>
      <c r="E5023" s="140" t="s">
        <v>52</v>
      </c>
      <c r="F5023">
        <v>9252</v>
      </c>
      <c r="G5023" s="140" t="s">
        <v>424</v>
      </c>
      <c r="H5023">
        <v>0</v>
      </c>
      <c r="I5023" s="140" t="s">
        <v>17</v>
      </c>
    </row>
    <row r="5024" spans="1:9" hidden="1" x14ac:dyDescent="0.25">
      <c r="A5024">
        <v>2018</v>
      </c>
      <c r="B5024" s="140" t="s">
        <v>423</v>
      </c>
      <c r="C5024" s="140" t="s">
        <v>243</v>
      </c>
      <c r="D5024" s="140" t="s">
        <v>11</v>
      </c>
      <c r="E5024" s="140" t="s">
        <v>52</v>
      </c>
      <c r="F5024">
        <v>9817</v>
      </c>
      <c r="G5024" s="140" t="s">
        <v>424</v>
      </c>
      <c r="H5024">
        <v>0</v>
      </c>
      <c r="I5024" s="140" t="s">
        <v>17</v>
      </c>
    </row>
    <row r="5025" spans="1:9" hidden="1" x14ac:dyDescent="0.25">
      <c r="A5025">
        <v>2019</v>
      </c>
      <c r="B5025" s="140" t="s">
        <v>423</v>
      </c>
      <c r="C5025" s="140" t="s">
        <v>243</v>
      </c>
      <c r="D5025" s="140" t="s">
        <v>11</v>
      </c>
      <c r="E5025" s="140" t="s">
        <v>52</v>
      </c>
      <c r="F5025">
        <v>10412</v>
      </c>
      <c r="G5025" s="140" t="s">
        <v>424</v>
      </c>
      <c r="H5025">
        <v>0</v>
      </c>
      <c r="I5025" s="140" t="s">
        <v>17</v>
      </c>
    </row>
    <row r="5026" spans="1:9" hidden="1" x14ac:dyDescent="0.25">
      <c r="A5026">
        <v>2020</v>
      </c>
      <c r="B5026" s="140" t="s">
        <v>423</v>
      </c>
      <c r="C5026" s="140" t="s">
        <v>243</v>
      </c>
      <c r="D5026" s="140" t="s">
        <v>11</v>
      </c>
      <c r="E5026" s="140" t="s">
        <v>52</v>
      </c>
      <c r="F5026">
        <v>10777</v>
      </c>
      <c r="G5026" s="140" t="s">
        <v>424</v>
      </c>
      <c r="H5026">
        <v>0</v>
      </c>
      <c r="I5026" s="140" t="s">
        <v>17</v>
      </c>
    </row>
    <row r="5027" spans="1:9" hidden="1" x14ac:dyDescent="0.25">
      <c r="A5027">
        <v>2021</v>
      </c>
      <c r="B5027" s="140" t="s">
        <v>423</v>
      </c>
      <c r="C5027" s="140" t="s">
        <v>243</v>
      </c>
      <c r="D5027" s="140" t="s">
        <v>11</v>
      </c>
      <c r="E5027" s="140" t="s">
        <v>52</v>
      </c>
      <c r="F5027">
        <v>11175</v>
      </c>
      <c r="G5027" s="140" t="s">
        <v>424</v>
      </c>
      <c r="H5027">
        <v>0</v>
      </c>
      <c r="I5027" s="140" t="s">
        <v>17</v>
      </c>
    </row>
    <row r="5028" spans="1:9" hidden="1" x14ac:dyDescent="0.25">
      <c r="A5028">
        <v>2022</v>
      </c>
      <c r="B5028" s="140" t="s">
        <v>423</v>
      </c>
      <c r="C5028" s="140" t="s">
        <v>243</v>
      </c>
      <c r="D5028" s="140" t="s">
        <v>11</v>
      </c>
      <c r="E5028" s="140" t="s">
        <v>52</v>
      </c>
      <c r="F5028">
        <v>12228</v>
      </c>
      <c r="G5028" s="140" t="s">
        <v>424</v>
      </c>
      <c r="H5028">
        <v>0</v>
      </c>
      <c r="I5028" s="140" t="s">
        <v>17</v>
      </c>
    </row>
    <row r="5029" spans="1:9" hidden="1" x14ac:dyDescent="0.25">
      <c r="A5029">
        <v>2023</v>
      </c>
      <c r="B5029" s="140" t="s">
        <v>423</v>
      </c>
      <c r="C5029" s="140" t="s">
        <v>243</v>
      </c>
      <c r="D5029" s="140" t="s">
        <v>11</v>
      </c>
      <c r="E5029" s="140" t="s">
        <v>52</v>
      </c>
      <c r="F5029">
        <v>13064</v>
      </c>
      <c r="G5029" s="140" t="s">
        <v>424</v>
      </c>
      <c r="H5029">
        <v>0</v>
      </c>
      <c r="I5029" s="140" t="s">
        <v>17</v>
      </c>
    </row>
    <row r="5030" spans="1:9" hidden="1" x14ac:dyDescent="0.25">
      <c r="A5030">
        <v>2024</v>
      </c>
      <c r="B5030" s="140" t="s">
        <v>423</v>
      </c>
      <c r="C5030" s="140" t="s">
        <v>243</v>
      </c>
      <c r="D5030" s="140" t="s">
        <v>11</v>
      </c>
      <c r="E5030" s="140" t="s">
        <v>52</v>
      </c>
      <c r="F5030">
        <v>12949</v>
      </c>
      <c r="G5030" s="140" t="s">
        <v>424</v>
      </c>
      <c r="H5030">
        <v>0</v>
      </c>
      <c r="I5030" s="140" t="s">
        <v>17</v>
      </c>
    </row>
    <row r="5031" spans="1:9" hidden="1" x14ac:dyDescent="0.25">
      <c r="A5031">
        <v>2025</v>
      </c>
      <c r="B5031" s="140" t="s">
        <v>423</v>
      </c>
      <c r="C5031" s="140" t="s">
        <v>243</v>
      </c>
      <c r="D5031" s="140" t="s">
        <v>11</v>
      </c>
      <c r="E5031" s="140" t="s">
        <v>52</v>
      </c>
      <c r="F5031">
        <v>12904</v>
      </c>
      <c r="G5031" s="140" t="s">
        <v>424</v>
      </c>
      <c r="H5031">
        <v>0</v>
      </c>
      <c r="I5031" s="140" t="s">
        <v>17</v>
      </c>
    </row>
    <row r="5032" spans="1:9" hidden="1" x14ac:dyDescent="0.25">
      <c r="A5032">
        <v>2026</v>
      </c>
      <c r="B5032" s="140" t="s">
        <v>423</v>
      </c>
      <c r="C5032" s="140" t="s">
        <v>243</v>
      </c>
      <c r="D5032" s="140" t="s">
        <v>11</v>
      </c>
      <c r="E5032" s="140" t="s">
        <v>52</v>
      </c>
      <c r="F5032">
        <v>12904</v>
      </c>
      <c r="G5032" s="140" t="s">
        <v>424</v>
      </c>
      <c r="H5032">
        <v>0</v>
      </c>
      <c r="I5032" s="140" t="s">
        <v>17</v>
      </c>
    </row>
    <row r="5033" spans="1:9" hidden="1" x14ac:dyDescent="0.25">
      <c r="A5033">
        <v>2027</v>
      </c>
      <c r="B5033" s="140" t="s">
        <v>423</v>
      </c>
      <c r="C5033" s="140" t="s">
        <v>243</v>
      </c>
      <c r="D5033" s="140" t="s">
        <v>11</v>
      </c>
      <c r="E5033" s="140" t="s">
        <v>52</v>
      </c>
      <c r="F5033">
        <v>13033.04</v>
      </c>
      <c r="G5033" s="140" t="s">
        <v>424</v>
      </c>
      <c r="H5033">
        <v>0</v>
      </c>
      <c r="I5033" s="140" t="s">
        <v>17</v>
      </c>
    </row>
    <row r="5034" spans="1:9" hidden="1" x14ac:dyDescent="0.25">
      <c r="A5034">
        <v>2028</v>
      </c>
      <c r="B5034" s="140" t="s">
        <v>423</v>
      </c>
      <c r="C5034" s="140" t="s">
        <v>243</v>
      </c>
      <c r="D5034" s="140" t="s">
        <v>11</v>
      </c>
      <c r="E5034" s="140" t="s">
        <v>52</v>
      </c>
      <c r="F5034">
        <v>13293.700800000001</v>
      </c>
      <c r="G5034" s="140" t="s">
        <v>424</v>
      </c>
      <c r="H5034">
        <v>0</v>
      </c>
      <c r="I5034" s="140" t="s">
        <v>17</v>
      </c>
    </row>
    <row r="5035" spans="1:9" hidden="1" x14ac:dyDescent="0.25">
      <c r="A5035">
        <v>1990</v>
      </c>
      <c r="B5035" s="140" t="s">
        <v>119</v>
      </c>
      <c r="C5035" s="140" t="s">
        <v>243</v>
      </c>
      <c r="D5035" s="140" t="s">
        <v>11</v>
      </c>
      <c r="E5035" s="140" t="s">
        <v>52</v>
      </c>
      <c r="F5035">
        <v>6841</v>
      </c>
      <c r="G5035" s="140" t="s">
        <v>121</v>
      </c>
      <c r="H5035">
        <v>0</v>
      </c>
      <c r="I5035" s="140" t="s">
        <v>17</v>
      </c>
    </row>
    <row r="5036" spans="1:9" hidden="1" x14ac:dyDescent="0.25">
      <c r="A5036">
        <v>1991</v>
      </c>
      <c r="B5036" s="140" t="s">
        <v>119</v>
      </c>
      <c r="C5036" s="140" t="s">
        <v>243</v>
      </c>
      <c r="D5036" s="140" t="s">
        <v>11</v>
      </c>
      <c r="E5036" s="140" t="s">
        <v>52</v>
      </c>
      <c r="F5036">
        <v>5479</v>
      </c>
      <c r="G5036" s="140" t="s">
        <v>121</v>
      </c>
      <c r="H5036">
        <v>0</v>
      </c>
      <c r="I5036" s="140" t="s">
        <v>17</v>
      </c>
    </row>
    <row r="5037" spans="1:9" hidden="1" x14ac:dyDescent="0.25">
      <c r="A5037">
        <v>1992</v>
      </c>
      <c r="B5037" s="140" t="s">
        <v>119</v>
      </c>
      <c r="C5037" s="140" t="s">
        <v>243</v>
      </c>
      <c r="D5037" s="140" t="s">
        <v>11</v>
      </c>
      <c r="E5037" s="140" t="s">
        <v>52</v>
      </c>
      <c r="F5037">
        <v>4173</v>
      </c>
      <c r="G5037" s="140" t="s">
        <v>121</v>
      </c>
      <c r="H5037">
        <v>0</v>
      </c>
      <c r="I5037" s="140" t="s">
        <v>17</v>
      </c>
    </row>
    <row r="5038" spans="1:9" hidden="1" x14ac:dyDescent="0.25">
      <c r="A5038">
        <v>1993</v>
      </c>
      <c r="B5038" s="140" t="s">
        <v>119</v>
      </c>
      <c r="C5038" s="140" t="s">
        <v>243</v>
      </c>
      <c r="D5038" s="140" t="s">
        <v>11</v>
      </c>
      <c r="E5038" s="140" t="s">
        <v>52</v>
      </c>
      <c r="F5038">
        <v>3768</v>
      </c>
      <c r="G5038" s="140" t="s">
        <v>121</v>
      </c>
      <c r="H5038">
        <v>0</v>
      </c>
      <c r="I5038" s="140" t="s">
        <v>17</v>
      </c>
    </row>
    <row r="5039" spans="1:9" hidden="1" x14ac:dyDescent="0.25">
      <c r="A5039">
        <v>1994</v>
      </c>
      <c r="B5039" s="140" t="s">
        <v>119</v>
      </c>
      <c r="C5039" s="140" t="s">
        <v>243</v>
      </c>
      <c r="D5039" s="140" t="s">
        <v>11</v>
      </c>
      <c r="E5039" s="140" t="s">
        <v>52</v>
      </c>
      <c r="F5039">
        <v>4146</v>
      </c>
      <c r="G5039" s="140" t="s">
        <v>121</v>
      </c>
      <c r="H5039">
        <v>0</v>
      </c>
      <c r="I5039" s="140" t="s">
        <v>17</v>
      </c>
    </row>
    <row r="5040" spans="1:9" hidden="1" x14ac:dyDescent="0.25">
      <c r="A5040">
        <v>1995</v>
      </c>
      <c r="B5040" s="140" t="s">
        <v>119</v>
      </c>
      <c r="C5040" s="140" t="s">
        <v>243</v>
      </c>
      <c r="D5040" s="140" t="s">
        <v>11</v>
      </c>
      <c r="E5040" s="140" t="s">
        <v>52</v>
      </c>
      <c r="F5040">
        <v>4540</v>
      </c>
      <c r="G5040" s="140" t="s">
        <v>121</v>
      </c>
      <c r="H5040">
        <v>0</v>
      </c>
      <c r="I5040" s="140" t="s">
        <v>17</v>
      </c>
    </row>
    <row r="5041" spans="1:9" hidden="1" x14ac:dyDescent="0.25">
      <c r="A5041">
        <v>1996</v>
      </c>
      <c r="B5041" s="140" t="s">
        <v>119</v>
      </c>
      <c r="C5041" s="140" t="s">
        <v>243</v>
      </c>
      <c r="D5041" s="140" t="s">
        <v>11</v>
      </c>
      <c r="E5041" s="140" t="s">
        <v>52</v>
      </c>
      <c r="F5041">
        <v>4587</v>
      </c>
      <c r="G5041" s="140" t="s">
        <v>121</v>
      </c>
      <c r="H5041">
        <v>0</v>
      </c>
      <c r="I5041" s="140" t="s">
        <v>17</v>
      </c>
    </row>
    <row r="5042" spans="1:9" hidden="1" x14ac:dyDescent="0.25">
      <c r="A5042">
        <v>1997</v>
      </c>
      <c r="B5042" s="140" t="s">
        <v>119</v>
      </c>
      <c r="C5042" s="140" t="s">
        <v>243</v>
      </c>
      <c r="D5042" s="140" t="s">
        <v>11</v>
      </c>
      <c r="E5042" s="140" t="s">
        <v>52</v>
      </c>
      <c r="F5042">
        <v>5440</v>
      </c>
      <c r="G5042" s="140" t="s">
        <v>121</v>
      </c>
      <c r="H5042">
        <v>0</v>
      </c>
      <c r="I5042" s="140" t="s">
        <v>17</v>
      </c>
    </row>
    <row r="5043" spans="1:9" hidden="1" x14ac:dyDescent="0.25">
      <c r="A5043">
        <v>1998</v>
      </c>
      <c r="B5043" s="140" t="s">
        <v>119</v>
      </c>
      <c r="C5043" s="140" t="s">
        <v>243</v>
      </c>
      <c r="D5043" s="140" t="s">
        <v>11</v>
      </c>
      <c r="E5043" s="140" t="s">
        <v>52</v>
      </c>
      <c r="F5043">
        <v>6538</v>
      </c>
      <c r="G5043" s="140" t="s">
        <v>121</v>
      </c>
      <c r="H5043">
        <v>0</v>
      </c>
      <c r="I5043" s="140" t="s">
        <v>17</v>
      </c>
    </row>
    <row r="5044" spans="1:9" hidden="1" x14ac:dyDescent="0.25">
      <c r="A5044">
        <v>1999</v>
      </c>
      <c r="B5044" s="140" t="s">
        <v>119</v>
      </c>
      <c r="C5044" s="140" t="s">
        <v>243</v>
      </c>
      <c r="D5044" s="140" t="s">
        <v>11</v>
      </c>
      <c r="E5044" s="140" t="s">
        <v>52</v>
      </c>
      <c r="F5044">
        <v>7542</v>
      </c>
      <c r="G5044" s="140" t="s">
        <v>121</v>
      </c>
      <c r="H5044">
        <v>0</v>
      </c>
      <c r="I5044" s="140" t="s">
        <v>17</v>
      </c>
    </row>
    <row r="5045" spans="1:9" hidden="1" x14ac:dyDescent="0.25">
      <c r="A5045">
        <v>2000</v>
      </c>
      <c r="B5045" s="140" t="s">
        <v>119</v>
      </c>
      <c r="C5045" s="140" t="s">
        <v>243</v>
      </c>
      <c r="D5045" s="140" t="s">
        <v>11</v>
      </c>
      <c r="E5045" s="140" t="s">
        <v>52</v>
      </c>
      <c r="F5045">
        <v>8283</v>
      </c>
      <c r="G5045" s="140" t="s">
        <v>121</v>
      </c>
      <c r="H5045">
        <v>0</v>
      </c>
      <c r="I5045" s="140" t="s">
        <v>17</v>
      </c>
    </row>
    <row r="5046" spans="1:9" hidden="1" x14ac:dyDescent="0.25">
      <c r="A5046">
        <v>2001</v>
      </c>
      <c r="B5046" s="140" t="s">
        <v>119</v>
      </c>
      <c r="C5046" s="140" t="s">
        <v>243</v>
      </c>
      <c r="D5046" s="140" t="s">
        <v>11</v>
      </c>
      <c r="E5046" s="140" t="s">
        <v>52</v>
      </c>
      <c r="F5046">
        <v>7831</v>
      </c>
      <c r="G5046" s="140" t="s">
        <v>121</v>
      </c>
      <c r="H5046">
        <v>0</v>
      </c>
      <c r="I5046" s="140" t="s">
        <v>17</v>
      </c>
    </row>
    <row r="5047" spans="1:9" hidden="1" x14ac:dyDescent="0.25">
      <c r="A5047">
        <v>2002</v>
      </c>
      <c r="B5047" s="140" t="s">
        <v>119</v>
      </c>
      <c r="C5047" s="140" t="s">
        <v>243</v>
      </c>
      <c r="D5047" s="140" t="s">
        <v>11</v>
      </c>
      <c r="E5047" s="140" t="s">
        <v>52</v>
      </c>
      <c r="F5047">
        <v>7904</v>
      </c>
      <c r="G5047" s="140" t="s">
        <v>121</v>
      </c>
      <c r="H5047">
        <v>0</v>
      </c>
      <c r="I5047" s="140" t="s">
        <v>17</v>
      </c>
    </row>
    <row r="5048" spans="1:9" hidden="1" x14ac:dyDescent="0.25">
      <c r="A5048">
        <v>2003</v>
      </c>
      <c r="B5048" s="140" t="s">
        <v>119</v>
      </c>
      <c r="C5048" s="140" t="s">
        <v>243</v>
      </c>
      <c r="D5048" s="140" t="s">
        <v>11</v>
      </c>
      <c r="E5048" s="140" t="s">
        <v>52</v>
      </c>
      <c r="F5048">
        <v>8807</v>
      </c>
      <c r="G5048" s="140" t="s">
        <v>121</v>
      </c>
      <c r="H5048">
        <v>0</v>
      </c>
      <c r="I5048" s="140" t="s">
        <v>17</v>
      </c>
    </row>
    <row r="5049" spans="1:9" hidden="1" x14ac:dyDescent="0.25">
      <c r="A5049">
        <v>2004</v>
      </c>
      <c r="B5049" s="140" t="s">
        <v>119</v>
      </c>
      <c r="C5049" s="140" t="s">
        <v>243</v>
      </c>
      <c r="D5049" s="140" t="s">
        <v>11</v>
      </c>
      <c r="E5049" s="140" t="s">
        <v>52</v>
      </c>
      <c r="F5049">
        <v>9951</v>
      </c>
      <c r="G5049" s="140" t="s">
        <v>121</v>
      </c>
      <c r="H5049">
        <v>0</v>
      </c>
      <c r="I5049" s="140" t="s">
        <v>17</v>
      </c>
    </row>
    <row r="5050" spans="1:9" hidden="1" x14ac:dyDescent="0.25">
      <c r="A5050">
        <v>2005</v>
      </c>
      <c r="B5050" s="140" t="s">
        <v>119</v>
      </c>
      <c r="C5050" s="140" t="s">
        <v>243</v>
      </c>
      <c r="D5050" s="140" t="s">
        <v>11</v>
      </c>
      <c r="E5050" s="140" t="s">
        <v>52</v>
      </c>
      <c r="F5050">
        <v>11103</v>
      </c>
      <c r="G5050" s="140" t="s">
        <v>121</v>
      </c>
      <c r="H5050">
        <v>0</v>
      </c>
      <c r="I5050" s="140" t="s">
        <v>17</v>
      </c>
    </row>
    <row r="5051" spans="1:9" hidden="1" x14ac:dyDescent="0.25">
      <c r="A5051">
        <v>2006</v>
      </c>
      <c r="B5051" s="140" t="s">
        <v>119</v>
      </c>
      <c r="C5051" s="140" t="s">
        <v>243</v>
      </c>
      <c r="D5051" s="140" t="s">
        <v>11</v>
      </c>
      <c r="E5051" s="140" t="s">
        <v>52</v>
      </c>
      <c r="F5051">
        <v>11930</v>
      </c>
      <c r="G5051" s="140" t="s">
        <v>121</v>
      </c>
      <c r="H5051">
        <v>0</v>
      </c>
      <c r="I5051" s="140" t="s">
        <v>17</v>
      </c>
    </row>
    <row r="5052" spans="1:9" hidden="1" x14ac:dyDescent="0.25">
      <c r="A5052">
        <v>2007</v>
      </c>
      <c r="B5052" s="140" t="s">
        <v>119</v>
      </c>
      <c r="C5052" s="140" t="s">
        <v>243</v>
      </c>
      <c r="D5052" s="140" t="s">
        <v>11</v>
      </c>
      <c r="E5052" s="140" t="s">
        <v>52</v>
      </c>
      <c r="F5052">
        <v>12849</v>
      </c>
      <c r="G5052" s="140" t="s">
        <v>121</v>
      </c>
      <c r="H5052">
        <v>0</v>
      </c>
      <c r="I5052" s="140" t="s">
        <v>17</v>
      </c>
    </row>
    <row r="5053" spans="1:9" hidden="1" x14ac:dyDescent="0.25">
      <c r="A5053">
        <v>2008</v>
      </c>
      <c r="B5053" s="140" t="s">
        <v>119</v>
      </c>
      <c r="C5053" s="140" t="s">
        <v>243</v>
      </c>
      <c r="D5053" s="140" t="s">
        <v>11</v>
      </c>
      <c r="E5053" s="140" t="s">
        <v>52</v>
      </c>
      <c r="F5053">
        <v>12182</v>
      </c>
      <c r="G5053" s="140" t="s">
        <v>121</v>
      </c>
      <c r="H5053">
        <v>0</v>
      </c>
      <c r="I5053" s="140" t="s">
        <v>17</v>
      </c>
    </row>
    <row r="5054" spans="1:9" hidden="1" x14ac:dyDescent="0.25">
      <c r="A5054">
        <v>2009</v>
      </c>
      <c r="B5054" s="140" t="s">
        <v>119</v>
      </c>
      <c r="C5054" s="140" t="s">
        <v>243</v>
      </c>
      <c r="D5054" s="140" t="s">
        <v>11</v>
      </c>
      <c r="E5054" s="140" t="s">
        <v>52</v>
      </c>
      <c r="F5054">
        <v>10439</v>
      </c>
      <c r="G5054" s="140" t="s">
        <v>121</v>
      </c>
      <c r="H5054">
        <v>0</v>
      </c>
      <c r="I5054" s="140" t="s">
        <v>17</v>
      </c>
    </row>
    <row r="5055" spans="1:9" hidden="1" x14ac:dyDescent="0.25">
      <c r="A5055">
        <v>2010</v>
      </c>
      <c r="B5055" s="140" t="s">
        <v>119</v>
      </c>
      <c r="C5055" s="140" t="s">
        <v>243</v>
      </c>
      <c r="D5055" s="140" t="s">
        <v>11</v>
      </c>
      <c r="E5055" s="140" t="s">
        <v>52</v>
      </c>
      <c r="F5055">
        <v>12279</v>
      </c>
      <c r="G5055" s="140" t="s">
        <v>121</v>
      </c>
      <c r="H5055">
        <v>0</v>
      </c>
      <c r="I5055" s="140" t="s">
        <v>17</v>
      </c>
    </row>
    <row r="5056" spans="1:9" hidden="1" x14ac:dyDescent="0.25">
      <c r="A5056">
        <v>2011</v>
      </c>
      <c r="B5056" s="140" t="s">
        <v>119</v>
      </c>
      <c r="C5056" s="140" t="s">
        <v>243</v>
      </c>
      <c r="D5056" s="140" t="s">
        <v>11</v>
      </c>
      <c r="E5056" s="140" t="s">
        <v>52</v>
      </c>
      <c r="F5056">
        <v>13401</v>
      </c>
      <c r="G5056" s="140" t="s">
        <v>121</v>
      </c>
      <c r="H5056">
        <v>0</v>
      </c>
      <c r="I5056" s="140" t="s">
        <v>17</v>
      </c>
    </row>
    <row r="5057" spans="1:9" hidden="1" x14ac:dyDescent="0.25">
      <c r="A5057">
        <v>2012</v>
      </c>
      <c r="B5057" s="140" t="s">
        <v>119</v>
      </c>
      <c r="C5057" s="140" t="s">
        <v>243</v>
      </c>
      <c r="D5057" s="140" t="s">
        <v>11</v>
      </c>
      <c r="E5057" s="140" t="s">
        <v>52</v>
      </c>
      <c r="F5057">
        <v>13942</v>
      </c>
      <c r="G5057" s="140" t="s">
        <v>121</v>
      </c>
      <c r="H5057">
        <v>0</v>
      </c>
      <c r="I5057" s="140" t="s">
        <v>17</v>
      </c>
    </row>
    <row r="5058" spans="1:9" hidden="1" x14ac:dyDescent="0.25">
      <c r="A5058">
        <v>2013</v>
      </c>
      <c r="B5058" s="140" t="s">
        <v>119</v>
      </c>
      <c r="C5058" s="140" t="s">
        <v>243</v>
      </c>
      <c r="D5058" s="140" t="s">
        <v>11</v>
      </c>
      <c r="E5058" s="140" t="s">
        <v>52</v>
      </c>
      <c r="F5058">
        <v>13586</v>
      </c>
      <c r="G5058" s="140" t="s">
        <v>121</v>
      </c>
      <c r="H5058">
        <v>0</v>
      </c>
      <c r="I5058" s="140" t="s">
        <v>17</v>
      </c>
    </row>
    <row r="5059" spans="1:9" hidden="1" x14ac:dyDescent="0.25">
      <c r="A5059">
        <v>2014</v>
      </c>
      <c r="B5059" s="140" t="s">
        <v>119</v>
      </c>
      <c r="C5059" s="140" t="s">
        <v>243</v>
      </c>
      <c r="D5059" s="140" t="s">
        <v>11</v>
      </c>
      <c r="E5059" s="140" t="s">
        <v>52</v>
      </c>
      <c r="F5059">
        <v>12851</v>
      </c>
      <c r="G5059" s="140" t="s">
        <v>121</v>
      </c>
      <c r="H5059">
        <v>0</v>
      </c>
      <c r="I5059" s="140" t="s">
        <v>17</v>
      </c>
    </row>
    <row r="5060" spans="1:9" hidden="1" x14ac:dyDescent="0.25">
      <c r="A5060">
        <v>2015</v>
      </c>
      <c r="B5060" s="140" t="s">
        <v>119</v>
      </c>
      <c r="C5060" s="140" t="s">
        <v>243</v>
      </c>
      <c r="D5060" s="140" t="s">
        <v>11</v>
      </c>
      <c r="E5060" s="140" t="s">
        <v>52</v>
      </c>
      <c r="F5060">
        <v>12510</v>
      </c>
      <c r="G5060" s="140" t="s">
        <v>121</v>
      </c>
      <c r="H5060">
        <v>0</v>
      </c>
      <c r="I5060" s="140" t="s">
        <v>17</v>
      </c>
    </row>
    <row r="5061" spans="1:9" hidden="1" x14ac:dyDescent="0.25">
      <c r="A5061">
        <v>2016</v>
      </c>
      <c r="B5061" s="140" t="s">
        <v>119</v>
      </c>
      <c r="C5061" s="140" t="s">
        <v>243</v>
      </c>
      <c r="D5061" s="140" t="s">
        <v>11</v>
      </c>
      <c r="E5061" s="140" t="s">
        <v>52</v>
      </c>
      <c r="F5061">
        <v>14141</v>
      </c>
      <c r="G5061" s="140" t="s">
        <v>121</v>
      </c>
      <c r="H5061">
        <v>0</v>
      </c>
      <c r="I5061" s="140" t="s">
        <v>17</v>
      </c>
    </row>
    <row r="5062" spans="1:9" hidden="1" x14ac:dyDescent="0.25">
      <c r="A5062">
        <v>2017</v>
      </c>
      <c r="B5062" s="140" t="s">
        <v>119</v>
      </c>
      <c r="C5062" s="140" t="s">
        <v>243</v>
      </c>
      <c r="D5062" s="140" t="s">
        <v>11</v>
      </c>
      <c r="E5062" s="140" t="s">
        <v>52</v>
      </c>
      <c r="F5062">
        <v>14826</v>
      </c>
      <c r="G5062" s="140" t="s">
        <v>121</v>
      </c>
      <c r="H5062">
        <v>0</v>
      </c>
      <c r="I5062" s="140" t="s">
        <v>17</v>
      </c>
    </row>
    <row r="5063" spans="1:9" hidden="1" x14ac:dyDescent="0.25">
      <c r="A5063">
        <v>2018</v>
      </c>
      <c r="B5063" s="140" t="s">
        <v>119</v>
      </c>
      <c r="C5063" s="140" t="s">
        <v>243</v>
      </c>
      <c r="D5063" s="140" t="s">
        <v>11</v>
      </c>
      <c r="E5063" s="140" t="s">
        <v>52</v>
      </c>
      <c r="F5063">
        <v>15905</v>
      </c>
      <c r="G5063" s="140" t="s">
        <v>121</v>
      </c>
      <c r="H5063">
        <v>0</v>
      </c>
      <c r="I5063" s="140" t="s">
        <v>17</v>
      </c>
    </row>
    <row r="5064" spans="1:9" hidden="1" x14ac:dyDescent="0.25">
      <c r="A5064">
        <v>2019</v>
      </c>
      <c r="B5064" s="140" t="s">
        <v>119</v>
      </c>
      <c r="C5064" s="140" t="s">
        <v>243</v>
      </c>
      <c r="D5064" s="140" t="s">
        <v>11</v>
      </c>
      <c r="E5064" s="140" t="s">
        <v>52</v>
      </c>
      <c r="F5064">
        <v>16238</v>
      </c>
      <c r="G5064" s="140" t="s">
        <v>121</v>
      </c>
      <c r="H5064">
        <v>0</v>
      </c>
      <c r="I5064" s="140" t="s">
        <v>17</v>
      </c>
    </row>
    <row r="5065" spans="1:9" hidden="1" x14ac:dyDescent="0.25">
      <c r="A5065">
        <v>2020</v>
      </c>
      <c r="B5065" s="140" t="s">
        <v>119</v>
      </c>
      <c r="C5065" s="140" t="s">
        <v>243</v>
      </c>
      <c r="D5065" s="140" t="s">
        <v>11</v>
      </c>
      <c r="E5065" s="140" t="s">
        <v>52</v>
      </c>
      <c r="F5065">
        <v>15902</v>
      </c>
      <c r="G5065" s="140" t="s">
        <v>121</v>
      </c>
      <c r="H5065">
        <v>0</v>
      </c>
      <c r="I5065" s="140" t="s">
        <v>17</v>
      </c>
    </row>
    <row r="5066" spans="1:9" hidden="1" x14ac:dyDescent="0.25">
      <c r="A5066">
        <v>2021</v>
      </c>
      <c r="B5066" s="140" t="s">
        <v>119</v>
      </c>
      <c r="C5066" s="140" t="s">
        <v>243</v>
      </c>
      <c r="D5066" s="140" t="s">
        <v>11</v>
      </c>
      <c r="E5066" s="140" t="s">
        <v>52</v>
      </c>
      <c r="F5066">
        <v>16418</v>
      </c>
      <c r="G5066" s="140" t="s">
        <v>121</v>
      </c>
      <c r="H5066">
        <v>0</v>
      </c>
      <c r="I5066" s="140" t="s">
        <v>17</v>
      </c>
    </row>
    <row r="5067" spans="1:9" hidden="1" x14ac:dyDescent="0.25">
      <c r="A5067">
        <v>2022</v>
      </c>
      <c r="B5067" s="140" t="s">
        <v>119</v>
      </c>
      <c r="C5067" s="140" t="s">
        <v>243</v>
      </c>
      <c r="D5067" s="140" t="s">
        <v>11</v>
      </c>
      <c r="E5067" s="140" t="s">
        <v>52</v>
      </c>
      <c r="F5067">
        <v>17641</v>
      </c>
      <c r="G5067" s="140" t="s">
        <v>121</v>
      </c>
      <c r="H5067">
        <v>0</v>
      </c>
      <c r="I5067" s="140" t="s">
        <v>17</v>
      </c>
    </row>
    <row r="5068" spans="1:9" hidden="1" x14ac:dyDescent="0.25">
      <c r="A5068">
        <v>2023</v>
      </c>
      <c r="B5068" s="140" t="s">
        <v>119</v>
      </c>
      <c r="C5068" s="140" t="s">
        <v>243</v>
      </c>
      <c r="D5068" s="140" t="s">
        <v>11</v>
      </c>
      <c r="E5068" s="140" t="s">
        <v>52</v>
      </c>
      <c r="F5068">
        <v>15249</v>
      </c>
      <c r="G5068" s="140" t="s">
        <v>121</v>
      </c>
      <c r="H5068">
        <v>0</v>
      </c>
      <c r="I5068" s="140" t="s">
        <v>17</v>
      </c>
    </row>
    <row r="5069" spans="1:9" hidden="1" x14ac:dyDescent="0.25">
      <c r="A5069">
        <v>2024</v>
      </c>
      <c r="B5069" s="140" t="s">
        <v>119</v>
      </c>
      <c r="C5069" s="140" t="s">
        <v>243</v>
      </c>
      <c r="D5069" s="140" t="s">
        <v>11</v>
      </c>
      <c r="E5069" s="140" t="s">
        <v>52</v>
      </c>
      <c r="F5069">
        <v>11757</v>
      </c>
      <c r="G5069" s="140" t="s">
        <v>121</v>
      </c>
      <c r="H5069">
        <v>0</v>
      </c>
      <c r="I5069" s="140" t="s">
        <v>17</v>
      </c>
    </row>
    <row r="5070" spans="1:9" hidden="1" x14ac:dyDescent="0.25">
      <c r="A5070">
        <v>2025</v>
      </c>
      <c r="B5070" s="140" t="s">
        <v>119</v>
      </c>
      <c r="C5070" s="140" t="s">
        <v>243</v>
      </c>
      <c r="D5070" s="140" t="s">
        <v>11</v>
      </c>
      <c r="E5070" s="140" t="s">
        <v>52</v>
      </c>
      <c r="F5070">
        <v>11657</v>
      </c>
      <c r="G5070" s="140" t="s">
        <v>121</v>
      </c>
      <c r="H5070">
        <v>0</v>
      </c>
      <c r="I5070" s="140" t="s">
        <v>17</v>
      </c>
    </row>
    <row r="5071" spans="1:9" hidden="1" x14ac:dyDescent="0.25">
      <c r="A5071">
        <v>2026</v>
      </c>
      <c r="B5071" s="140" t="s">
        <v>119</v>
      </c>
      <c r="C5071" s="140" t="s">
        <v>243</v>
      </c>
      <c r="D5071" s="140" t="s">
        <v>11</v>
      </c>
      <c r="E5071" s="140" t="s">
        <v>52</v>
      </c>
      <c r="F5071">
        <v>11476.89935</v>
      </c>
      <c r="G5071" s="140" t="s">
        <v>121</v>
      </c>
      <c r="H5071">
        <v>0</v>
      </c>
      <c r="I5071" s="140" t="s">
        <v>17</v>
      </c>
    </row>
    <row r="5072" spans="1:9" hidden="1" x14ac:dyDescent="0.25">
      <c r="A5072">
        <v>2027</v>
      </c>
      <c r="B5072" s="140" t="s">
        <v>119</v>
      </c>
      <c r="C5072" s="140" t="s">
        <v>243</v>
      </c>
      <c r="D5072" s="140" t="s">
        <v>11</v>
      </c>
      <c r="E5072" s="140" t="s">
        <v>52</v>
      </c>
      <c r="F5072">
        <v>12057.63046</v>
      </c>
      <c r="G5072" s="140" t="s">
        <v>121</v>
      </c>
      <c r="H5072">
        <v>0</v>
      </c>
      <c r="I5072" s="140" t="s">
        <v>17</v>
      </c>
    </row>
    <row r="5073" spans="1:9" hidden="1" x14ac:dyDescent="0.25">
      <c r="A5073">
        <v>2028</v>
      </c>
      <c r="B5073" s="140" t="s">
        <v>119</v>
      </c>
      <c r="C5073" s="140" t="s">
        <v>243</v>
      </c>
      <c r="D5073" s="140" t="s">
        <v>11</v>
      </c>
      <c r="E5073" s="140" t="s">
        <v>52</v>
      </c>
      <c r="F5073">
        <v>13286.001560000001</v>
      </c>
      <c r="G5073" s="140" t="s">
        <v>121</v>
      </c>
      <c r="H5073">
        <v>0</v>
      </c>
      <c r="I5073" s="140" t="s">
        <v>17</v>
      </c>
    </row>
    <row r="5074" spans="1:9" hidden="1" x14ac:dyDescent="0.25">
      <c r="A5074">
        <v>1990</v>
      </c>
      <c r="B5074" s="140" t="s">
        <v>131</v>
      </c>
      <c r="C5074" s="140" t="s">
        <v>243</v>
      </c>
      <c r="D5074" s="140" t="s">
        <v>11</v>
      </c>
      <c r="E5074" s="140" t="s">
        <v>52</v>
      </c>
      <c r="F5074">
        <v>55</v>
      </c>
      <c r="G5074" s="140" t="s">
        <v>285</v>
      </c>
      <c r="H5074">
        <v>0</v>
      </c>
      <c r="I5074" s="140" t="s">
        <v>17</v>
      </c>
    </row>
    <row r="5075" spans="1:9" hidden="1" x14ac:dyDescent="0.25">
      <c r="A5075">
        <v>1991</v>
      </c>
      <c r="B5075" s="140" t="s">
        <v>131</v>
      </c>
      <c r="C5075" s="140" t="s">
        <v>243</v>
      </c>
      <c r="D5075" s="140" t="s">
        <v>11</v>
      </c>
      <c r="E5075" s="140" t="s">
        <v>52</v>
      </c>
      <c r="F5075">
        <v>145</v>
      </c>
      <c r="G5075" s="140" t="s">
        <v>285</v>
      </c>
      <c r="H5075">
        <v>0</v>
      </c>
      <c r="I5075" s="140" t="s">
        <v>17</v>
      </c>
    </row>
    <row r="5076" spans="1:9" hidden="1" x14ac:dyDescent="0.25">
      <c r="A5076">
        <v>1992</v>
      </c>
      <c r="B5076" s="140" t="s">
        <v>131</v>
      </c>
      <c r="C5076" s="140" t="s">
        <v>243</v>
      </c>
      <c r="D5076" s="140" t="s">
        <v>11</v>
      </c>
      <c r="E5076" s="140" t="s">
        <v>52</v>
      </c>
      <c r="F5076">
        <v>-58</v>
      </c>
      <c r="G5076" s="140" t="s">
        <v>285</v>
      </c>
      <c r="H5076">
        <v>0</v>
      </c>
      <c r="I5076" s="140" t="s">
        <v>17</v>
      </c>
    </row>
    <row r="5077" spans="1:9" hidden="1" x14ac:dyDescent="0.25">
      <c r="A5077">
        <v>1993</v>
      </c>
      <c r="B5077" s="140" t="s">
        <v>131</v>
      </c>
      <c r="C5077" s="140" t="s">
        <v>243</v>
      </c>
      <c r="D5077" s="140" t="s">
        <v>11</v>
      </c>
      <c r="E5077" s="140" t="s">
        <v>52</v>
      </c>
      <c r="F5077">
        <v>223</v>
      </c>
      <c r="G5077" s="140" t="s">
        <v>285</v>
      </c>
      <c r="H5077">
        <v>0</v>
      </c>
      <c r="I5077" s="140" t="s">
        <v>17</v>
      </c>
    </row>
    <row r="5078" spans="1:9" hidden="1" x14ac:dyDescent="0.25">
      <c r="A5078">
        <v>1994</v>
      </c>
      <c r="B5078" s="140" t="s">
        <v>131</v>
      </c>
      <c r="C5078" s="140" t="s">
        <v>243</v>
      </c>
      <c r="D5078" s="140" t="s">
        <v>11</v>
      </c>
      <c r="E5078" s="140" t="s">
        <v>52</v>
      </c>
      <c r="F5078">
        <v>-354</v>
      </c>
      <c r="G5078" s="140" t="s">
        <v>285</v>
      </c>
      <c r="H5078">
        <v>0</v>
      </c>
      <c r="I5078" s="140" t="s">
        <v>17</v>
      </c>
    </row>
    <row r="5079" spans="1:9" hidden="1" x14ac:dyDescent="0.25">
      <c r="A5079">
        <v>1995</v>
      </c>
      <c r="B5079" s="140" t="s">
        <v>131</v>
      </c>
      <c r="C5079" s="140" t="s">
        <v>243</v>
      </c>
      <c r="D5079" s="140" t="s">
        <v>11</v>
      </c>
      <c r="E5079" s="140" t="s">
        <v>52</v>
      </c>
      <c r="F5079">
        <v>-176</v>
      </c>
      <c r="G5079" s="140" t="s">
        <v>285</v>
      </c>
      <c r="H5079">
        <v>0</v>
      </c>
      <c r="I5079" s="140" t="s">
        <v>17</v>
      </c>
    </row>
    <row r="5080" spans="1:9" hidden="1" x14ac:dyDescent="0.25">
      <c r="A5080">
        <v>1996</v>
      </c>
      <c r="B5080" s="140" t="s">
        <v>131</v>
      </c>
      <c r="C5080" s="140" t="s">
        <v>243</v>
      </c>
      <c r="D5080" s="140" t="s">
        <v>11</v>
      </c>
      <c r="E5080" s="140" t="s">
        <v>52</v>
      </c>
      <c r="F5080">
        <v>-36</v>
      </c>
      <c r="G5080" s="140" t="s">
        <v>285</v>
      </c>
      <c r="H5080">
        <v>0</v>
      </c>
      <c r="I5080" s="140" t="s">
        <v>17</v>
      </c>
    </row>
    <row r="5081" spans="1:9" hidden="1" x14ac:dyDescent="0.25">
      <c r="A5081">
        <v>1997</v>
      </c>
      <c r="B5081" s="140" t="s">
        <v>131</v>
      </c>
      <c r="C5081" s="140" t="s">
        <v>243</v>
      </c>
      <c r="D5081" s="140" t="s">
        <v>11</v>
      </c>
      <c r="E5081" s="140" t="s">
        <v>52</v>
      </c>
      <c r="F5081">
        <v>-187</v>
      </c>
      <c r="G5081" s="140" t="s">
        <v>285</v>
      </c>
      <c r="H5081">
        <v>0</v>
      </c>
      <c r="I5081" s="140" t="s">
        <v>17</v>
      </c>
    </row>
    <row r="5082" spans="1:9" hidden="1" x14ac:dyDescent="0.25">
      <c r="A5082">
        <v>1998</v>
      </c>
      <c r="B5082" s="140" t="s">
        <v>131</v>
      </c>
      <c r="C5082" s="140" t="s">
        <v>243</v>
      </c>
      <c r="D5082" s="140" t="s">
        <v>11</v>
      </c>
      <c r="E5082" s="140" t="s">
        <v>52</v>
      </c>
      <c r="F5082">
        <v>-318</v>
      </c>
      <c r="G5082" s="140" t="s">
        <v>285</v>
      </c>
      <c r="H5082">
        <v>0</v>
      </c>
      <c r="I5082" s="140" t="s">
        <v>17</v>
      </c>
    </row>
    <row r="5083" spans="1:9" hidden="1" x14ac:dyDescent="0.25">
      <c r="A5083">
        <v>1999</v>
      </c>
      <c r="B5083" s="140" t="s">
        <v>131</v>
      </c>
      <c r="C5083" s="140" t="s">
        <v>243</v>
      </c>
      <c r="D5083" s="140" t="s">
        <v>11</v>
      </c>
      <c r="E5083" s="140" t="s">
        <v>52</v>
      </c>
      <c r="F5083">
        <v>-135</v>
      </c>
      <c r="G5083" s="140" t="s">
        <v>285</v>
      </c>
      <c r="H5083">
        <v>0</v>
      </c>
      <c r="I5083" s="140" t="s">
        <v>17</v>
      </c>
    </row>
    <row r="5084" spans="1:9" hidden="1" x14ac:dyDescent="0.25">
      <c r="A5084">
        <v>2000</v>
      </c>
      <c r="B5084" s="140" t="s">
        <v>131</v>
      </c>
      <c r="C5084" s="140" t="s">
        <v>243</v>
      </c>
      <c r="D5084" s="140" t="s">
        <v>11</v>
      </c>
      <c r="E5084" s="140" t="s">
        <v>52</v>
      </c>
      <c r="F5084">
        <v>-60</v>
      </c>
      <c r="G5084" s="140" t="s">
        <v>285</v>
      </c>
      <c r="H5084">
        <v>0</v>
      </c>
      <c r="I5084" s="140" t="s">
        <v>17</v>
      </c>
    </row>
    <row r="5085" spans="1:9" hidden="1" x14ac:dyDescent="0.25">
      <c r="A5085">
        <v>2001</v>
      </c>
      <c r="B5085" s="140" t="s">
        <v>131</v>
      </c>
      <c r="C5085" s="140" t="s">
        <v>243</v>
      </c>
      <c r="D5085" s="140" t="s">
        <v>11</v>
      </c>
      <c r="E5085" s="140" t="s">
        <v>52</v>
      </c>
      <c r="F5085">
        <v>-63</v>
      </c>
      <c r="G5085" s="140" t="s">
        <v>285</v>
      </c>
      <c r="H5085">
        <v>0</v>
      </c>
      <c r="I5085" s="140" t="s">
        <v>17</v>
      </c>
    </row>
    <row r="5086" spans="1:9" hidden="1" x14ac:dyDescent="0.25">
      <c r="A5086">
        <v>2002</v>
      </c>
      <c r="B5086" s="140" t="s">
        <v>131</v>
      </c>
      <c r="C5086" s="140" t="s">
        <v>243</v>
      </c>
      <c r="D5086" s="140" t="s">
        <v>11</v>
      </c>
      <c r="E5086" s="140" t="s">
        <v>52</v>
      </c>
      <c r="F5086">
        <v>-52</v>
      </c>
      <c r="G5086" s="140" t="s">
        <v>285</v>
      </c>
      <c r="H5086">
        <v>0</v>
      </c>
      <c r="I5086" s="140" t="s">
        <v>17</v>
      </c>
    </row>
    <row r="5087" spans="1:9" hidden="1" x14ac:dyDescent="0.25">
      <c r="A5087">
        <v>2003</v>
      </c>
      <c r="B5087" s="140" t="s">
        <v>131</v>
      </c>
      <c r="C5087" s="140" t="s">
        <v>243</v>
      </c>
      <c r="D5087" s="140" t="s">
        <v>11</v>
      </c>
      <c r="E5087" s="140" t="s">
        <v>52</v>
      </c>
      <c r="F5087">
        <v>-99</v>
      </c>
      <c r="G5087" s="140" t="s">
        <v>285</v>
      </c>
      <c r="H5087">
        <v>0</v>
      </c>
      <c r="I5087" s="140" t="s">
        <v>17</v>
      </c>
    </row>
    <row r="5088" spans="1:9" hidden="1" x14ac:dyDescent="0.25">
      <c r="A5088">
        <v>2004</v>
      </c>
      <c r="B5088" s="140" t="s">
        <v>131</v>
      </c>
      <c r="C5088" s="140" t="s">
        <v>243</v>
      </c>
      <c r="D5088" s="140" t="s">
        <v>11</v>
      </c>
      <c r="E5088" s="140" t="s">
        <v>52</v>
      </c>
      <c r="F5088">
        <v>-104</v>
      </c>
      <c r="G5088" s="140" t="s">
        <v>285</v>
      </c>
      <c r="H5088">
        <v>0</v>
      </c>
      <c r="I5088" s="140" t="s">
        <v>17</v>
      </c>
    </row>
    <row r="5089" spans="1:9" hidden="1" x14ac:dyDescent="0.25">
      <c r="A5089">
        <v>2005</v>
      </c>
      <c r="B5089" s="140" t="s">
        <v>131</v>
      </c>
      <c r="C5089" s="140" t="s">
        <v>243</v>
      </c>
      <c r="D5089" s="140" t="s">
        <v>11</v>
      </c>
      <c r="E5089" s="140" t="s">
        <v>52</v>
      </c>
      <c r="F5089">
        <v>10</v>
      </c>
      <c r="G5089" s="140" t="s">
        <v>285</v>
      </c>
      <c r="H5089">
        <v>0</v>
      </c>
      <c r="I5089" s="140" t="s">
        <v>17</v>
      </c>
    </row>
    <row r="5090" spans="1:9" hidden="1" x14ac:dyDescent="0.25">
      <c r="A5090">
        <v>2006</v>
      </c>
      <c r="B5090" s="140" t="s">
        <v>131</v>
      </c>
      <c r="C5090" s="140" t="s">
        <v>243</v>
      </c>
      <c r="D5090" s="140" t="s">
        <v>11</v>
      </c>
      <c r="E5090" s="140" t="s">
        <v>52</v>
      </c>
      <c r="F5090">
        <v>77</v>
      </c>
      <c r="G5090" s="140" t="s">
        <v>285</v>
      </c>
      <c r="H5090">
        <v>0</v>
      </c>
      <c r="I5090" s="140" t="s">
        <v>17</v>
      </c>
    </row>
    <row r="5091" spans="1:9" hidden="1" x14ac:dyDescent="0.25">
      <c r="A5091">
        <v>2007</v>
      </c>
      <c r="B5091" s="140" t="s">
        <v>131</v>
      </c>
      <c r="C5091" s="140" t="s">
        <v>243</v>
      </c>
      <c r="D5091" s="140" t="s">
        <v>11</v>
      </c>
      <c r="E5091" s="140" t="s">
        <v>52</v>
      </c>
      <c r="F5091">
        <v>313</v>
      </c>
      <c r="G5091" s="140" t="s">
        <v>285</v>
      </c>
      <c r="H5091">
        <v>0</v>
      </c>
      <c r="I5091" s="140" t="s">
        <v>17</v>
      </c>
    </row>
    <row r="5092" spans="1:9" hidden="1" x14ac:dyDescent="0.25">
      <c r="A5092">
        <v>2008</v>
      </c>
      <c r="B5092" s="140" t="s">
        <v>131</v>
      </c>
      <c r="C5092" s="140" t="s">
        <v>243</v>
      </c>
      <c r="D5092" s="140" t="s">
        <v>11</v>
      </c>
      <c r="E5092" s="140" t="s">
        <v>52</v>
      </c>
      <c r="F5092">
        <v>460</v>
      </c>
      <c r="G5092" s="140" t="s">
        <v>285</v>
      </c>
      <c r="H5092">
        <v>0</v>
      </c>
      <c r="I5092" s="140" t="s">
        <v>17</v>
      </c>
    </row>
    <row r="5093" spans="1:9" hidden="1" x14ac:dyDescent="0.25">
      <c r="A5093">
        <v>2009</v>
      </c>
      <c r="B5093" s="140" t="s">
        <v>131</v>
      </c>
      <c r="C5093" s="140" t="s">
        <v>243</v>
      </c>
      <c r="D5093" s="140" t="s">
        <v>11</v>
      </c>
      <c r="E5093" s="140" t="s">
        <v>52</v>
      </c>
      <c r="F5093">
        <v>687</v>
      </c>
      <c r="G5093" s="140" t="s">
        <v>285</v>
      </c>
      <c r="H5093">
        <v>0</v>
      </c>
      <c r="I5093" s="140" t="s">
        <v>17</v>
      </c>
    </row>
    <row r="5094" spans="1:9" hidden="1" x14ac:dyDescent="0.25">
      <c r="A5094">
        <v>2010</v>
      </c>
      <c r="B5094" s="140" t="s">
        <v>131</v>
      </c>
      <c r="C5094" s="140" t="s">
        <v>243</v>
      </c>
      <c r="D5094" s="140" t="s">
        <v>11</v>
      </c>
      <c r="E5094" s="140" t="s">
        <v>52</v>
      </c>
      <c r="F5094">
        <v>465</v>
      </c>
      <c r="G5094" s="140" t="s">
        <v>285</v>
      </c>
      <c r="H5094">
        <v>0</v>
      </c>
      <c r="I5094" s="140" t="s">
        <v>17</v>
      </c>
    </row>
    <row r="5095" spans="1:9" hidden="1" x14ac:dyDescent="0.25">
      <c r="A5095">
        <v>2011</v>
      </c>
      <c r="B5095" s="140" t="s">
        <v>131</v>
      </c>
      <c r="C5095" s="140" t="s">
        <v>243</v>
      </c>
      <c r="D5095" s="140" t="s">
        <v>11</v>
      </c>
      <c r="E5095" s="140" t="s">
        <v>52</v>
      </c>
      <c r="F5095">
        <v>532</v>
      </c>
      <c r="G5095" s="140" t="s">
        <v>285</v>
      </c>
      <c r="H5095">
        <v>0</v>
      </c>
      <c r="I5095" s="140" t="s">
        <v>17</v>
      </c>
    </row>
    <row r="5096" spans="1:9" hidden="1" x14ac:dyDescent="0.25">
      <c r="A5096">
        <v>2012</v>
      </c>
      <c r="B5096" s="140" t="s">
        <v>131</v>
      </c>
      <c r="C5096" s="140" t="s">
        <v>243</v>
      </c>
      <c r="D5096" s="140" t="s">
        <v>11</v>
      </c>
      <c r="E5096" s="140" t="s">
        <v>52</v>
      </c>
      <c r="F5096">
        <v>591</v>
      </c>
      <c r="G5096" s="140" t="s">
        <v>285</v>
      </c>
      <c r="H5096">
        <v>0</v>
      </c>
      <c r="I5096" s="140" t="s">
        <v>17</v>
      </c>
    </row>
    <row r="5097" spans="1:9" hidden="1" x14ac:dyDescent="0.25">
      <c r="A5097">
        <v>2013</v>
      </c>
      <c r="B5097" s="140" t="s">
        <v>131</v>
      </c>
      <c r="C5097" s="140" t="s">
        <v>243</v>
      </c>
      <c r="D5097" s="140" t="s">
        <v>11</v>
      </c>
      <c r="E5097" s="140" t="s">
        <v>52</v>
      </c>
      <c r="F5097">
        <v>438</v>
      </c>
      <c r="G5097" s="140" t="s">
        <v>285</v>
      </c>
      <c r="H5097">
        <v>0</v>
      </c>
      <c r="I5097" s="140" t="s">
        <v>17</v>
      </c>
    </row>
    <row r="5098" spans="1:9" hidden="1" x14ac:dyDescent="0.25">
      <c r="A5098">
        <v>2014</v>
      </c>
      <c r="B5098" s="140" t="s">
        <v>131</v>
      </c>
      <c r="C5098" s="140" t="s">
        <v>243</v>
      </c>
      <c r="D5098" s="140" t="s">
        <v>11</v>
      </c>
      <c r="E5098" s="140" t="s">
        <v>52</v>
      </c>
      <c r="F5098">
        <v>532</v>
      </c>
      <c r="G5098" s="140" t="s">
        <v>285</v>
      </c>
      <c r="H5098">
        <v>0</v>
      </c>
      <c r="I5098" s="140" t="s">
        <v>17</v>
      </c>
    </row>
    <row r="5099" spans="1:9" hidden="1" x14ac:dyDescent="0.25">
      <c r="A5099">
        <v>2015</v>
      </c>
      <c r="B5099" s="140" t="s">
        <v>131</v>
      </c>
      <c r="C5099" s="140" t="s">
        <v>243</v>
      </c>
      <c r="D5099" s="140" t="s">
        <v>11</v>
      </c>
      <c r="E5099" s="140" t="s">
        <v>52</v>
      </c>
      <c r="F5099">
        <v>379</v>
      </c>
      <c r="G5099" s="140" t="s">
        <v>285</v>
      </c>
      <c r="H5099">
        <v>0</v>
      </c>
      <c r="I5099" s="140" t="s">
        <v>17</v>
      </c>
    </row>
    <row r="5100" spans="1:9" hidden="1" x14ac:dyDescent="0.25">
      <c r="A5100">
        <v>2016</v>
      </c>
      <c r="B5100" s="140" t="s">
        <v>131</v>
      </c>
      <c r="C5100" s="140" t="s">
        <v>243</v>
      </c>
      <c r="D5100" s="140" t="s">
        <v>11</v>
      </c>
      <c r="E5100" s="140" t="s">
        <v>52</v>
      </c>
      <c r="F5100">
        <v>411</v>
      </c>
      <c r="G5100" s="140" t="s">
        <v>285</v>
      </c>
      <c r="H5100">
        <v>0</v>
      </c>
      <c r="I5100" s="140" t="s">
        <v>17</v>
      </c>
    </row>
    <row r="5101" spans="1:9" hidden="1" x14ac:dyDescent="0.25">
      <c r="A5101">
        <v>2017</v>
      </c>
      <c r="B5101" s="140" t="s">
        <v>131</v>
      </c>
      <c r="C5101" s="140" t="s">
        <v>243</v>
      </c>
      <c r="D5101" s="140" t="s">
        <v>11</v>
      </c>
      <c r="E5101" s="140" t="s">
        <v>52</v>
      </c>
      <c r="F5101">
        <v>293</v>
      </c>
      <c r="G5101" s="140" t="s">
        <v>285</v>
      </c>
      <c r="H5101">
        <v>0</v>
      </c>
      <c r="I5101" s="140" t="s">
        <v>17</v>
      </c>
    </row>
    <row r="5102" spans="1:9" hidden="1" x14ac:dyDescent="0.25">
      <c r="A5102">
        <v>2018</v>
      </c>
      <c r="B5102" s="140" t="s">
        <v>131</v>
      </c>
      <c r="C5102" s="140" t="s">
        <v>243</v>
      </c>
      <c r="D5102" s="140" t="s">
        <v>11</v>
      </c>
      <c r="E5102" s="140" t="s">
        <v>52</v>
      </c>
      <c r="F5102">
        <v>90</v>
      </c>
      <c r="G5102" s="140" t="s">
        <v>285</v>
      </c>
      <c r="H5102">
        <v>0</v>
      </c>
      <c r="I5102" s="140" t="s">
        <v>17</v>
      </c>
    </row>
    <row r="5103" spans="1:9" hidden="1" x14ac:dyDescent="0.25">
      <c r="A5103">
        <v>2019</v>
      </c>
      <c r="B5103" s="140" t="s">
        <v>131</v>
      </c>
      <c r="C5103" s="140" t="s">
        <v>243</v>
      </c>
      <c r="D5103" s="140" t="s">
        <v>11</v>
      </c>
      <c r="E5103" s="140" t="s">
        <v>52</v>
      </c>
      <c r="F5103">
        <v>432</v>
      </c>
      <c r="G5103" s="140" t="s">
        <v>285</v>
      </c>
      <c r="H5103">
        <v>0</v>
      </c>
      <c r="I5103" s="140" t="s">
        <v>17</v>
      </c>
    </row>
    <row r="5104" spans="1:9" hidden="1" x14ac:dyDescent="0.25">
      <c r="A5104">
        <v>2020</v>
      </c>
      <c r="B5104" s="140" t="s">
        <v>131</v>
      </c>
      <c r="C5104" s="140" t="s">
        <v>243</v>
      </c>
      <c r="D5104" s="140" t="s">
        <v>11</v>
      </c>
      <c r="E5104" s="140" t="s">
        <v>52</v>
      </c>
      <c r="F5104">
        <v>403</v>
      </c>
      <c r="G5104" s="140" t="s">
        <v>285</v>
      </c>
      <c r="H5104">
        <v>0</v>
      </c>
      <c r="I5104" s="140" t="s">
        <v>17</v>
      </c>
    </row>
    <row r="5105" spans="1:9" hidden="1" x14ac:dyDescent="0.25">
      <c r="A5105">
        <v>2021</v>
      </c>
      <c r="B5105" s="140" t="s">
        <v>131</v>
      </c>
      <c r="C5105" s="140" t="s">
        <v>243</v>
      </c>
      <c r="D5105" s="140" t="s">
        <v>11</v>
      </c>
      <c r="E5105" s="140" t="s">
        <v>52</v>
      </c>
      <c r="F5105">
        <v>89</v>
      </c>
      <c r="G5105" s="140" t="s">
        <v>285</v>
      </c>
      <c r="H5105">
        <v>0</v>
      </c>
      <c r="I5105" s="140" t="s">
        <v>17</v>
      </c>
    </row>
    <row r="5106" spans="1:9" hidden="1" x14ac:dyDescent="0.25">
      <c r="A5106">
        <v>2022</v>
      </c>
      <c r="B5106" s="140" t="s">
        <v>131</v>
      </c>
      <c r="C5106" s="140" t="s">
        <v>243</v>
      </c>
      <c r="D5106" s="140" t="s">
        <v>11</v>
      </c>
      <c r="E5106" s="140" t="s">
        <v>52</v>
      </c>
      <c r="F5106">
        <v>366</v>
      </c>
      <c r="G5106" s="140" t="s">
        <v>285</v>
      </c>
      <c r="H5106">
        <v>0</v>
      </c>
      <c r="I5106" s="140" t="s">
        <v>17</v>
      </c>
    </row>
    <row r="5107" spans="1:9" hidden="1" x14ac:dyDescent="0.25">
      <c r="A5107">
        <v>2023</v>
      </c>
      <c r="B5107" s="140" t="s">
        <v>131</v>
      </c>
      <c r="C5107" s="140" t="s">
        <v>243</v>
      </c>
      <c r="D5107" s="140" t="s">
        <v>11</v>
      </c>
      <c r="E5107" s="140" t="s">
        <v>52</v>
      </c>
      <c r="F5107">
        <v>139</v>
      </c>
      <c r="G5107" s="140" t="s">
        <v>285</v>
      </c>
      <c r="H5107">
        <v>0</v>
      </c>
      <c r="I5107" s="140" t="s">
        <v>17</v>
      </c>
    </row>
    <row r="5108" spans="1:9" hidden="1" x14ac:dyDescent="0.25">
      <c r="A5108">
        <v>2024</v>
      </c>
      <c r="B5108" s="140" t="s">
        <v>131</v>
      </c>
      <c r="C5108" s="140" t="s">
        <v>243</v>
      </c>
      <c r="D5108" s="140" t="s">
        <v>11</v>
      </c>
      <c r="E5108" s="140" t="s">
        <v>52</v>
      </c>
      <c r="F5108">
        <v>278</v>
      </c>
      <c r="G5108" s="140" t="s">
        <v>285</v>
      </c>
      <c r="H5108">
        <v>0</v>
      </c>
      <c r="I5108" s="140" t="s">
        <v>17</v>
      </c>
    </row>
    <row r="5109" spans="1:9" hidden="1" x14ac:dyDescent="0.25">
      <c r="A5109">
        <v>2025</v>
      </c>
      <c r="B5109" s="140" t="s">
        <v>131</v>
      </c>
      <c r="C5109" s="140" t="s">
        <v>243</v>
      </c>
      <c r="D5109" s="140" t="s">
        <v>11</v>
      </c>
      <c r="E5109" s="140" t="s">
        <v>52</v>
      </c>
      <c r="F5109">
        <v>392</v>
      </c>
      <c r="G5109" s="140" t="s">
        <v>285</v>
      </c>
      <c r="H5109">
        <v>0</v>
      </c>
      <c r="I5109" s="140" t="s">
        <v>17</v>
      </c>
    </row>
    <row r="5110" spans="1:9" hidden="1" x14ac:dyDescent="0.25">
      <c r="A5110">
        <v>2026</v>
      </c>
      <c r="B5110" s="140" t="s">
        <v>131</v>
      </c>
      <c r="C5110" s="140" t="s">
        <v>243</v>
      </c>
      <c r="D5110" s="140" t="s">
        <v>11</v>
      </c>
      <c r="E5110" s="140" t="s">
        <v>52</v>
      </c>
      <c r="F5110">
        <v>392</v>
      </c>
      <c r="G5110" s="140" t="s">
        <v>285</v>
      </c>
      <c r="H5110">
        <v>0</v>
      </c>
      <c r="I5110" s="140" t="s">
        <v>17</v>
      </c>
    </row>
    <row r="5111" spans="1:9" hidden="1" x14ac:dyDescent="0.25">
      <c r="A5111">
        <v>2027</v>
      </c>
      <c r="B5111" s="140" t="s">
        <v>131</v>
      </c>
      <c r="C5111" s="140" t="s">
        <v>243</v>
      </c>
      <c r="D5111" s="140" t="s">
        <v>11</v>
      </c>
      <c r="E5111" s="140" t="s">
        <v>52</v>
      </c>
      <c r="F5111">
        <v>392</v>
      </c>
      <c r="G5111" s="140" t="s">
        <v>285</v>
      </c>
      <c r="H5111">
        <v>0</v>
      </c>
      <c r="I5111" s="140" t="s">
        <v>17</v>
      </c>
    </row>
    <row r="5112" spans="1:9" hidden="1" x14ac:dyDescent="0.25">
      <c r="A5112">
        <v>2028</v>
      </c>
      <c r="B5112" s="140" t="s">
        <v>131</v>
      </c>
      <c r="C5112" s="140" t="s">
        <v>243</v>
      </c>
      <c r="D5112" s="140" t="s">
        <v>11</v>
      </c>
      <c r="E5112" s="140" t="s">
        <v>52</v>
      </c>
      <c r="F5112">
        <v>392</v>
      </c>
      <c r="G5112" s="140" t="s">
        <v>285</v>
      </c>
      <c r="H5112">
        <v>0</v>
      </c>
      <c r="I5112" s="140" t="s">
        <v>17</v>
      </c>
    </row>
    <row r="5113" spans="1:9" hidden="1" x14ac:dyDescent="0.25">
      <c r="A5113">
        <v>1990</v>
      </c>
      <c r="B5113" s="140" t="s">
        <v>425</v>
      </c>
      <c r="C5113" s="140" t="s">
        <v>243</v>
      </c>
      <c r="D5113" s="140" t="s">
        <v>11</v>
      </c>
      <c r="E5113" s="140" t="s">
        <v>52</v>
      </c>
      <c r="F5113">
        <v>-232</v>
      </c>
      <c r="G5113" s="140" t="s">
        <v>426</v>
      </c>
      <c r="H5113">
        <v>0</v>
      </c>
      <c r="I5113" s="140" t="s">
        <v>17</v>
      </c>
    </row>
    <row r="5114" spans="1:9" hidden="1" x14ac:dyDescent="0.25">
      <c r="A5114">
        <v>1991</v>
      </c>
      <c r="B5114" s="140" t="s">
        <v>425</v>
      </c>
      <c r="C5114" s="140" t="s">
        <v>243</v>
      </c>
      <c r="D5114" s="140" t="s">
        <v>11</v>
      </c>
      <c r="E5114" s="140" t="s">
        <v>52</v>
      </c>
      <c r="F5114">
        <v>-49</v>
      </c>
      <c r="G5114" s="140" t="s">
        <v>426</v>
      </c>
      <c r="H5114">
        <v>0</v>
      </c>
      <c r="I5114" s="140" t="s">
        <v>17</v>
      </c>
    </row>
    <row r="5115" spans="1:9" hidden="1" x14ac:dyDescent="0.25">
      <c r="A5115">
        <v>1992</v>
      </c>
      <c r="B5115" s="140" t="s">
        <v>425</v>
      </c>
      <c r="C5115" s="140" t="s">
        <v>243</v>
      </c>
      <c r="D5115" s="140" t="s">
        <v>11</v>
      </c>
      <c r="E5115" s="140" t="s">
        <v>52</v>
      </c>
      <c r="F5115">
        <v>-33</v>
      </c>
      <c r="G5115" s="140" t="s">
        <v>426</v>
      </c>
      <c r="H5115">
        <v>0</v>
      </c>
      <c r="I5115" s="140" t="s">
        <v>17</v>
      </c>
    </row>
    <row r="5116" spans="1:9" hidden="1" x14ac:dyDescent="0.25">
      <c r="A5116">
        <v>1993</v>
      </c>
      <c r="B5116" s="140" t="s">
        <v>425</v>
      </c>
      <c r="C5116" s="140" t="s">
        <v>243</v>
      </c>
      <c r="D5116" s="140" t="s">
        <v>11</v>
      </c>
      <c r="E5116" s="140" t="s">
        <v>52</v>
      </c>
      <c r="F5116">
        <v>45</v>
      </c>
      <c r="G5116" s="140" t="s">
        <v>426</v>
      </c>
      <c r="H5116">
        <v>0</v>
      </c>
      <c r="I5116" s="140" t="s">
        <v>17</v>
      </c>
    </row>
    <row r="5117" spans="1:9" hidden="1" x14ac:dyDescent="0.25">
      <c r="A5117">
        <v>1994</v>
      </c>
      <c r="B5117" s="140" t="s">
        <v>425</v>
      </c>
      <c r="C5117" s="140" t="s">
        <v>243</v>
      </c>
      <c r="D5117" s="140" t="s">
        <v>11</v>
      </c>
      <c r="E5117" s="140" t="s">
        <v>52</v>
      </c>
      <c r="F5117">
        <v>-22</v>
      </c>
      <c r="G5117" s="140" t="s">
        <v>426</v>
      </c>
      <c r="H5117">
        <v>0</v>
      </c>
      <c r="I5117" s="140" t="s">
        <v>17</v>
      </c>
    </row>
    <row r="5118" spans="1:9" hidden="1" x14ac:dyDescent="0.25">
      <c r="A5118">
        <v>1995</v>
      </c>
      <c r="B5118" s="140" t="s">
        <v>425</v>
      </c>
      <c r="C5118" s="140" t="s">
        <v>243</v>
      </c>
      <c r="D5118" s="140" t="s">
        <v>11</v>
      </c>
      <c r="E5118" s="140" t="s">
        <v>52</v>
      </c>
      <c r="F5118">
        <v>-110</v>
      </c>
      <c r="G5118" s="140" t="s">
        <v>426</v>
      </c>
      <c r="H5118">
        <v>0</v>
      </c>
      <c r="I5118" s="140" t="s">
        <v>17</v>
      </c>
    </row>
    <row r="5119" spans="1:9" hidden="1" x14ac:dyDescent="0.25">
      <c r="A5119">
        <v>1996</v>
      </c>
      <c r="B5119" s="140" t="s">
        <v>425</v>
      </c>
      <c r="C5119" s="140" t="s">
        <v>243</v>
      </c>
      <c r="D5119" s="140" t="s">
        <v>11</v>
      </c>
      <c r="E5119" s="140" t="s">
        <v>52</v>
      </c>
      <c r="F5119">
        <v>-100</v>
      </c>
      <c r="G5119" s="140" t="s">
        <v>426</v>
      </c>
      <c r="H5119">
        <v>0</v>
      </c>
      <c r="I5119" s="140" t="s">
        <v>17</v>
      </c>
    </row>
    <row r="5120" spans="1:9" hidden="1" x14ac:dyDescent="0.25">
      <c r="A5120">
        <v>1997</v>
      </c>
      <c r="B5120" s="140" t="s">
        <v>425</v>
      </c>
      <c r="C5120" s="140" t="s">
        <v>243</v>
      </c>
      <c r="D5120" s="140" t="s">
        <v>11</v>
      </c>
      <c r="E5120" s="140" t="s">
        <v>52</v>
      </c>
      <c r="F5120">
        <v>-48</v>
      </c>
      <c r="G5120" s="140" t="s">
        <v>426</v>
      </c>
      <c r="H5120">
        <v>0</v>
      </c>
      <c r="I5120" s="140" t="s">
        <v>17</v>
      </c>
    </row>
    <row r="5121" spans="1:9" hidden="1" x14ac:dyDescent="0.25">
      <c r="A5121">
        <v>1998</v>
      </c>
      <c r="B5121" s="140" t="s">
        <v>425</v>
      </c>
      <c r="C5121" s="140" t="s">
        <v>243</v>
      </c>
      <c r="D5121" s="140" t="s">
        <v>11</v>
      </c>
      <c r="E5121" s="140" t="s">
        <v>52</v>
      </c>
      <c r="F5121">
        <v>-13</v>
      </c>
      <c r="G5121" s="140" t="s">
        <v>426</v>
      </c>
      <c r="H5121">
        <v>0</v>
      </c>
      <c r="I5121" s="140" t="s">
        <v>17</v>
      </c>
    </row>
    <row r="5122" spans="1:9" hidden="1" x14ac:dyDescent="0.25">
      <c r="A5122">
        <v>1999</v>
      </c>
      <c r="B5122" s="140" t="s">
        <v>425</v>
      </c>
      <c r="C5122" s="140" t="s">
        <v>243</v>
      </c>
      <c r="D5122" s="140" t="s">
        <v>11</v>
      </c>
      <c r="E5122" s="140" t="s">
        <v>52</v>
      </c>
      <c r="F5122">
        <v>2</v>
      </c>
      <c r="G5122" s="140" t="s">
        <v>426</v>
      </c>
      <c r="H5122">
        <v>0</v>
      </c>
      <c r="I5122" s="140" t="s">
        <v>17</v>
      </c>
    </row>
    <row r="5123" spans="1:9" hidden="1" x14ac:dyDescent="0.25">
      <c r="A5123">
        <v>2000</v>
      </c>
      <c r="B5123" s="140" t="s">
        <v>425</v>
      </c>
      <c r="C5123" s="140" t="s">
        <v>243</v>
      </c>
      <c r="D5123" s="140" t="s">
        <v>11</v>
      </c>
      <c r="E5123" s="140" t="s">
        <v>52</v>
      </c>
      <c r="F5123">
        <v>-31</v>
      </c>
      <c r="G5123" s="140" t="s">
        <v>426</v>
      </c>
      <c r="H5123">
        <v>0</v>
      </c>
      <c r="I5123" s="140" t="s">
        <v>17</v>
      </c>
    </row>
    <row r="5124" spans="1:9" hidden="1" x14ac:dyDescent="0.25">
      <c r="A5124">
        <v>2001</v>
      </c>
      <c r="B5124" s="140" t="s">
        <v>425</v>
      </c>
      <c r="C5124" s="140" t="s">
        <v>243</v>
      </c>
      <c r="D5124" s="140" t="s">
        <v>11</v>
      </c>
      <c r="E5124" s="140" t="s">
        <v>52</v>
      </c>
      <c r="F5124">
        <v>9</v>
      </c>
      <c r="G5124" s="140" t="s">
        <v>426</v>
      </c>
      <c r="H5124">
        <v>0</v>
      </c>
      <c r="I5124" s="140" t="s">
        <v>17</v>
      </c>
    </row>
    <row r="5125" spans="1:9" hidden="1" x14ac:dyDescent="0.25">
      <c r="A5125">
        <v>2002</v>
      </c>
      <c r="B5125" s="140" t="s">
        <v>425</v>
      </c>
      <c r="C5125" s="140" t="s">
        <v>243</v>
      </c>
      <c r="D5125" s="140" t="s">
        <v>11</v>
      </c>
      <c r="E5125" s="140" t="s">
        <v>52</v>
      </c>
      <c r="F5125">
        <v>34</v>
      </c>
      <c r="G5125" s="140" t="s">
        <v>426</v>
      </c>
      <c r="H5125">
        <v>0</v>
      </c>
      <c r="I5125" s="140" t="s">
        <v>17</v>
      </c>
    </row>
    <row r="5126" spans="1:9" hidden="1" x14ac:dyDescent="0.25">
      <c r="A5126">
        <v>2003</v>
      </c>
      <c r="B5126" s="140" t="s">
        <v>425</v>
      </c>
      <c r="C5126" s="140" t="s">
        <v>243</v>
      </c>
      <c r="D5126" s="140" t="s">
        <v>11</v>
      </c>
      <c r="E5126" s="140" t="s">
        <v>52</v>
      </c>
      <c r="F5126">
        <v>18</v>
      </c>
      <c r="G5126" s="140" t="s">
        <v>426</v>
      </c>
      <c r="H5126">
        <v>0</v>
      </c>
      <c r="I5126" s="140" t="s">
        <v>17</v>
      </c>
    </row>
    <row r="5127" spans="1:9" hidden="1" x14ac:dyDescent="0.25">
      <c r="A5127">
        <v>2004</v>
      </c>
      <c r="B5127" s="140" t="s">
        <v>425</v>
      </c>
      <c r="C5127" s="140" t="s">
        <v>243</v>
      </c>
      <c r="D5127" s="140" t="s">
        <v>11</v>
      </c>
      <c r="E5127" s="140" t="s">
        <v>52</v>
      </c>
      <c r="F5127">
        <v>50</v>
      </c>
      <c r="G5127" s="140" t="s">
        <v>426</v>
      </c>
      <c r="H5127">
        <v>0</v>
      </c>
      <c r="I5127" s="140" t="s">
        <v>17</v>
      </c>
    </row>
    <row r="5128" spans="1:9" hidden="1" x14ac:dyDescent="0.25">
      <c r="A5128">
        <v>2005</v>
      </c>
      <c r="B5128" s="140" t="s">
        <v>425</v>
      </c>
      <c r="C5128" s="140" t="s">
        <v>243</v>
      </c>
      <c r="D5128" s="140" t="s">
        <v>11</v>
      </c>
      <c r="E5128" s="140" t="s">
        <v>52</v>
      </c>
      <c r="F5128">
        <v>54</v>
      </c>
      <c r="G5128" s="140" t="s">
        <v>426</v>
      </c>
      <c r="H5128">
        <v>0</v>
      </c>
      <c r="I5128" s="140" t="s">
        <v>17</v>
      </c>
    </row>
    <row r="5129" spans="1:9" hidden="1" x14ac:dyDescent="0.25">
      <c r="A5129">
        <v>2006</v>
      </c>
      <c r="B5129" s="140" t="s">
        <v>425</v>
      </c>
      <c r="C5129" s="140" t="s">
        <v>243</v>
      </c>
      <c r="D5129" s="140" t="s">
        <v>11</v>
      </c>
      <c r="E5129" s="140" t="s">
        <v>52</v>
      </c>
      <c r="F5129">
        <v>-41</v>
      </c>
      <c r="G5129" s="140" t="s">
        <v>426</v>
      </c>
      <c r="H5129">
        <v>0</v>
      </c>
      <c r="I5129" s="140" t="s">
        <v>17</v>
      </c>
    </row>
    <row r="5130" spans="1:9" hidden="1" x14ac:dyDescent="0.25">
      <c r="A5130">
        <v>2007</v>
      </c>
      <c r="B5130" s="140" t="s">
        <v>425</v>
      </c>
      <c r="C5130" s="140" t="s">
        <v>243</v>
      </c>
      <c r="D5130" s="140" t="s">
        <v>11</v>
      </c>
      <c r="E5130" s="140" t="s">
        <v>52</v>
      </c>
      <c r="F5130">
        <v>-151</v>
      </c>
      <c r="G5130" s="140" t="s">
        <v>426</v>
      </c>
      <c r="H5130">
        <v>0</v>
      </c>
      <c r="I5130" s="140" t="s">
        <v>17</v>
      </c>
    </row>
    <row r="5131" spans="1:9" hidden="1" x14ac:dyDescent="0.25">
      <c r="A5131">
        <v>2008</v>
      </c>
      <c r="B5131" s="140" t="s">
        <v>425</v>
      </c>
      <c r="C5131" s="140" t="s">
        <v>243</v>
      </c>
      <c r="D5131" s="140" t="s">
        <v>11</v>
      </c>
      <c r="E5131" s="140" t="s">
        <v>52</v>
      </c>
      <c r="F5131">
        <v>-45</v>
      </c>
      <c r="G5131" s="140" t="s">
        <v>426</v>
      </c>
      <c r="H5131">
        <v>0</v>
      </c>
      <c r="I5131" s="140" t="s">
        <v>17</v>
      </c>
    </row>
    <row r="5132" spans="1:9" hidden="1" x14ac:dyDescent="0.25">
      <c r="A5132">
        <v>2009</v>
      </c>
      <c r="B5132" s="140" t="s">
        <v>425</v>
      </c>
      <c r="C5132" s="140" t="s">
        <v>243</v>
      </c>
      <c r="D5132" s="140" t="s">
        <v>11</v>
      </c>
      <c r="E5132" s="140" t="s">
        <v>52</v>
      </c>
      <c r="F5132">
        <v>66</v>
      </c>
      <c r="G5132" s="140" t="s">
        <v>426</v>
      </c>
      <c r="H5132">
        <v>0</v>
      </c>
      <c r="I5132" s="140" t="s">
        <v>17</v>
      </c>
    </row>
    <row r="5133" spans="1:9" hidden="1" x14ac:dyDescent="0.25">
      <c r="A5133">
        <v>2010</v>
      </c>
      <c r="B5133" s="140" t="s">
        <v>425</v>
      </c>
      <c r="C5133" s="140" t="s">
        <v>243</v>
      </c>
      <c r="D5133" s="140" t="s">
        <v>11</v>
      </c>
      <c r="E5133" s="140" t="s">
        <v>52</v>
      </c>
      <c r="F5133">
        <v>62</v>
      </c>
      <c r="G5133" s="140" t="s">
        <v>426</v>
      </c>
      <c r="H5133">
        <v>0</v>
      </c>
      <c r="I5133" s="140" t="s">
        <v>17</v>
      </c>
    </row>
    <row r="5134" spans="1:9" hidden="1" x14ac:dyDescent="0.25">
      <c r="A5134">
        <v>2011</v>
      </c>
      <c r="B5134" s="140" t="s">
        <v>425</v>
      </c>
      <c r="C5134" s="140" t="s">
        <v>243</v>
      </c>
      <c r="D5134" s="140" t="s">
        <v>11</v>
      </c>
      <c r="E5134" s="140" t="s">
        <v>52</v>
      </c>
      <c r="F5134">
        <v>137</v>
      </c>
      <c r="G5134" s="140" t="s">
        <v>426</v>
      </c>
      <c r="H5134">
        <v>0</v>
      </c>
      <c r="I5134" s="140" t="s">
        <v>17</v>
      </c>
    </row>
    <row r="5135" spans="1:9" hidden="1" x14ac:dyDescent="0.25">
      <c r="A5135">
        <v>2012</v>
      </c>
      <c r="B5135" s="140" t="s">
        <v>425</v>
      </c>
      <c r="C5135" s="140" t="s">
        <v>243</v>
      </c>
      <c r="D5135" s="140" t="s">
        <v>11</v>
      </c>
      <c r="E5135" s="140" t="s">
        <v>52</v>
      </c>
      <c r="F5135">
        <v>83</v>
      </c>
      <c r="G5135" s="140" t="s">
        <v>426</v>
      </c>
      <c r="H5135">
        <v>0</v>
      </c>
      <c r="I5135" s="140" t="s">
        <v>17</v>
      </c>
    </row>
    <row r="5136" spans="1:9" hidden="1" x14ac:dyDescent="0.25">
      <c r="A5136">
        <v>2013</v>
      </c>
      <c r="B5136" s="140" t="s">
        <v>425</v>
      </c>
      <c r="C5136" s="140" t="s">
        <v>243</v>
      </c>
      <c r="D5136" s="140" t="s">
        <v>11</v>
      </c>
      <c r="E5136" s="140" t="s">
        <v>52</v>
      </c>
      <c r="F5136">
        <v>137</v>
      </c>
      <c r="G5136" s="140" t="s">
        <v>426</v>
      </c>
      <c r="H5136">
        <v>0</v>
      </c>
      <c r="I5136" s="140" t="s">
        <v>17</v>
      </c>
    </row>
    <row r="5137" spans="1:9" hidden="1" x14ac:dyDescent="0.25">
      <c r="A5137">
        <v>2014</v>
      </c>
      <c r="B5137" s="140" t="s">
        <v>425</v>
      </c>
      <c r="C5137" s="140" t="s">
        <v>243</v>
      </c>
      <c r="D5137" s="140" t="s">
        <v>11</v>
      </c>
      <c r="E5137" s="140" t="s">
        <v>52</v>
      </c>
      <c r="F5137">
        <v>-7</v>
      </c>
      <c r="G5137" s="140" t="s">
        <v>426</v>
      </c>
      <c r="H5137">
        <v>0</v>
      </c>
      <c r="I5137" s="140" t="s">
        <v>17</v>
      </c>
    </row>
    <row r="5138" spans="1:9" hidden="1" x14ac:dyDescent="0.25">
      <c r="A5138">
        <v>2015</v>
      </c>
      <c r="B5138" s="140" t="s">
        <v>425</v>
      </c>
      <c r="C5138" s="140" t="s">
        <v>243</v>
      </c>
      <c r="D5138" s="140" t="s">
        <v>11</v>
      </c>
      <c r="E5138" s="140" t="s">
        <v>52</v>
      </c>
      <c r="F5138">
        <v>37</v>
      </c>
      <c r="G5138" s="140" t="s">
        <v>426</v>
      </c>
      <c r="H5138">
        <v>0</v>
      </c>
      <c r="I5138" s="140" t="s">
        <v>17</v>
      </c>
    </row>
    <row r="5139" spans="1:9" hidden="1" x14ac:dyDescent="0.25">
      <c r="A5139">
        <v>2016</v>
      </c>
      <c r="B5139" s="140" t="s">
        <v>425</v>
      </c>
      <c r="C5139" s="140" t="s">
        <v>243</v>
      </c>
      <c r="D5139" s="140" t="s">
        <v>11</v>
      </c>
      <c r="E5139" s="140" t="s">
        <v>52</v>
      </c>
      <c r="F5139">
        <v>208</v>
      </c>
      <c r="G5139" s="140" t="s">
        <v>426</v>
      </c>
      <c r="H5139">
        <v>0</v>
      </c>
      <c r="I5139" s="140" t="s">
        <v>17</v>
      </c>
    </row>
    <row r="5140" spans="1:9" hidden="1" x14ac:dyDescent="0.25">
      <c r="A5140">
        <v>2017</v>
      </c>
      <c r="B5140" s="140" t="s">
        <v>425</v>
      </c>
      <c r="C5140" s="140" t="s">
        <v>243</v>
      </c>
      <c r="D5140" s="140" t="s">
        <v>11</v>
      </c>
      <c r="E5140" s="140" t="s">
        <v>52</v>
      </c>
      <c r="F5140">
        <v>45</v>
      </c>
      <c r="G5140" s="140" t="s">
        <v>426</v>
      </c>
      <c r="H5140">
        <v>0</v>
      </c>
      <c r="I5140" s="140" t="s">
        <v>17</v>
      </c>
    </row>
    <row r="5141" spans="1:9" hidden="1" x14ac:dyDescent="0.25">
      <c r="A5141">
        <v>2018</v>
      </c>
      <c r="B5141" s="140" t="s">
        <v>425</v>
      </c>
      <c r="C5141" s="140" t="s">
        <v>243</v>
      </c>
      <c r="D5141" s="140" t="s">
        <v>11</v>
      </c>
      <c r="E5141" s="140" t="s">
        <v>52</v>
      </c>
      <c r="F5141">
        <v>-13</v>
      </c>
      <c r="G5141" s="140" t="s">
        <v>426</v>
      </c>
      <c r="H5141">
        <v>0</v>
      </c>
      <c r="I5141" s="140" t="s">
        <v>17</v>
      </c>
    </row>
    <row r="5142" spans="1:9" hidden="1" x14ac:dyDescent="0.25">
      <c r="A5142">
        <v>2019</v>
      </c>
      <c r="B5142" s="140" t="s">
        <v>425</v>
      </c>
      <c r="C5142" s="140" t="s">
        <v>243</v>
      </c>
      <c r="D5142" s="140" t="s">
        <v>11</v>
      </c>
      <c r="E5142" s="140" t="s">
        <v>52</v>
      </c>
      <c r="F5142">
        <v>-63</v>
      </c>
      <c r="G5142" s="140" t="s">
        <v>426</v>
      </c>
      <c r="H5142">
        <v>0</v>
      </c>
      <c r="I5142" s="140" t="s">
        <v>17</v>
      </c>
    </row>
    <row r="5143" spans="1:9" hidden="1" x14ac:dyDescent="0.25">
      <c r="A5143">
        <v>2020</v>
      </c>
      <c r="B5143" s="140" t="s">
        <v>425</v>
      </c>
      <c r="C5143" s="140" t="s">
        <v>243</v>
      </c>
      <c r="D5143" s="140" t="s">
        <v>11</v>
      </c>
      <c r="E5143" s="140" t="s">
        <v>52</v>
      </c>
      <c r="F5143">
        <v>-12</v>
      </c>
      <c r="G5143" s="140" t="s">
        <v>426</v>
      </c>
      <c r="H5143">
        <v>0</v>
      </c>
      <c r="I5143" s="140" t="s">
        <v>17</v>
      </c>
    </row>
    <row r="5144" spans="1:9" hidden="1" x14ac:dyDescent="0.25">
      <c r="A5144">
        <v>2021</v>
      </c>
      <c r="B5144" s="140" t="s">
        <v>425</v>
      </c>
      <c r="C5144" s="140" t="s">
        <v>243</v>
      </c>
      <c r="D5144" s="140" t="s">
        <v>11</v>
      </c>
      <c r="E5144" s="140" t="s">
        <v>52</v>
      </c>
      <c r="F5144">
        <v>25</v>
      </c>
      <c r="G5144" s="140" t="s">
        <v>426</v>
      </c>
      <c r="H5144">
        <v>0</v>
      </c>
      <c r="I5144" s="140" t="s">
        <v>17</v>
      </c>
    </row>
    <row r="5145" spans="1:9" hidden="1" x14ac:dyDescent="0.25">
      <c r="A5145">
        <v>2022</v>
      </c>
      <c r="B5145" s="140" t="s">
        <v>425</v>
      </c>
      <c r="C5145" s="140" t="s">
        <v>243</v>
      </c>
      <c r="D5145" s="140" t="s">
        <v>11</v>
      </c>
      <c r="E5145" s="140" t="s">
        <v>52</v>
      </c>
      <c r="F5145">
        <v>-131</v>
      </c>
      <c r="G5145" s="140" t="s">
        <v>426</v>
      </c>
      <c r="H5145">
        <v>0</v>
      </c>
      <c r="I5145" s="140" t="s">
        <v>17</v>
      </c>
    </row>
    <row r="5146" spans="1:9" hidden="1" x14ac:dyDescent="0.25">
      <c r="A5146">
        <v>2023</v>
      </c>
      <c r="B5146" s="140" t="s">
        <v>425</v>
      </c>
      <c r="C5146" s="140" t="s">
        <v>243</v>
      </c>
      <c r="D5146" s="140" t="s">
        <v>11</v>
      </c>
      <c r="E5146" s="140" t="s">
        <v>52</v>
      </c>
      <c r="F5146">
        <v>-251</v>
      </c>
      <c r="G5146" s="140" t="s">
        <v>426</v>
      </c>
      <c r="H5146">
        <v>0</v>
      </c>
      <c r="I5146" s="140" t="s">
        <v>17</v>
      </c>
    </row>
    <row r="5147" spans="1:9" hidden="1" x14ac:dyDescent="0.25">
      <c r="A5147">
        <v>2024</v>
      </c>
      <c r="B5147" s="140" t="s">
        <v>425</v>
      </c>
      <c r="C5147" s="140" t="s">
        <v>243</v>
      </c>
      <c r="D5147" s="140" t="s">
        <v>11</v>
      </c>
      <c r="E5147" s="140" t="s">
        <v>52</v>
      </c>
      <c r="F5147">
        <v>-126</v>
      </c>
      <c r="G5147" s="140" t="s">
        <v>426</v>
      </c>
      <c r="H5147">
        <v>0</v>
      </c>
      <c r="I5147" s="140" t="s">
        <v>17</v>
      </c>
    </row>
    <row r="5148" spans="1:9" hidden="1" x14ac:dyDescent="0.25">
      <c r="A5148">
        <v>2025</v>
      </c>
      <c r="B5148" s="140" t="s">
        <v>425</v>
      </c>
      <c r="C5148" s="140" t="s">
        <v>243</v>
      </c>
      <c r="D5148" s="140" t="s">
        <v>11</v>
      </c>
      <c r="E5148" s="140" t="s">
        <v>52</v>
      </c>
      <c r="F5148">
        <v>-289</v>
      </c>
      <c r="G5148" s="140" t="s">
        <v>426</v>
      </c>
      <c r="H5148">
        <v>0</v>
      </c>
      <c r="I5148" s="140" t="s">
        <v>17</v>
      </c>
    </row>
    <row r="5149" spans="1:9" hidden="1" x14ac:dyDescent="0.25">
      <c r="A5149">
        <v>2026</v>
      </c>
      <c r="B5149" s="140" t="s">
        <v>425</v>
      </c>
      <c r="C5149" s="140" t="s">
        <v>243</v>
      </c>
      <c r="D5149" s="140" t="s">
        <v>11</v>
      </c>
      <c r="E5149" s="140" t="s">
        <v>52</v>
      </c>
      <c r="F5149">
        <v>-289</v>
      </c>
      <c r="G5149" s="140" t="s">
        <v>426</v>
      </c>
      <c r="H5149">
        <v>0</v>
      </c>
      <c r="I5149" s="140" t="s">
        <v>17</v>
      </c>
    </row>
    <row r="5150" spans="1:9" hidden="1" x14ac:dyDescent="0.25">
      <c r="A5150">
        <v>2027</v>
      </c>
      <c r="B5150" s="140" t="s">
        <v>425</v>
      </c>
      <c r="C5150" s="140" t="s">
        <v>243</v>
      </c>
      <c r="D5150" s="140" t="s">
        <v>11</v>
      </c>
      <c r="E5150" s="140" t="s">
        <v>52</v>
      </c>
      <c r="F5150">
        <v>-289</v>
      </c>
      <c r="G5150" s="140" t="s">
        <v>426</v>
      </c>
      <c r="H5150">
        <v>0</v>
      </c>
      <c r="I5150" s="140" t="s">
        <v>17</v>
      </c>
    </row>
    <row r="5151" spans="1:9" hidden="1" x14ac:dyDescent="0.25">
      <c r="A5151">
        <v>2028</v>
      </c>
      <c r="B5151" s="140" t="s">
        <v>425</v>
      </c>
      <c r="C5151" s="140" t="s">
        <v>243</v>
      </c>
      <c r="D5151" s="140" t="s">
        <v>11</v>
      </c>
      <c r="E5151" s="140" t="s">
        <v>52</v>
      </c>
      <c r="F5151">
        <v>-289</v>
      </c>
      <c r="G5151" s="140" t="s">
        <v>426</v>
      </c>
      <c r="H5151">
        <v>0</v>
      </c>
      <c r="I5151" s="140" t="s">
        <v>17</v>
      </c>
    </row>
    <row r="5152" spans="1:9" hidden="1" x14ac:dyDescent="0.25">
      <c r="A5152">
        <v>1990</v>
      </c>
      <c r="B5152" s="140" t="s">
        <v>316</v>
      </c>
      <c r="C5152" s="140" t="s">
        <v>243</v>
      </c>
      <c r="D5152" s="140" t="s">
        <v>11</v>
      </c>
      <c r="E5152" s="140" t="s">
        <v>52</v>
      </c>
      <c r="F5152">
        <v>-2213</v>
      </c>
      <c r="G5152" s="140" t="s">
        <v>427</v>
      </c>
      <c r="H5152">
        <v>0</v>
      </c>
      <c r="I5152" s="140" t="s">
        <v>17</v>
      </c>
    </row>
    <row r="5153" spans="1:9" hidden="1" x14ac:dyDescent="0.25">
      <c r="A5153">
        <v>1991</v>
      </c>
      <c r="B5153" s="140" t="s">
        <v>316</v>
      </c>
      <c r="C5153" s="140" t="s">
        <v>243</v>
      </c>
      <c r="D5153" s="140" t="s">
        <v>11</v>
      </c>
      <c r="E5153" s="140" t="s">
        <v>52</v>
      </c>
      <c r="F5153">
        <v>1497</v>
      </c>
      <c r="G5153" s="140" t="s">
        <v>427</v>
      </c>
      <c r="H5153">
        <v>0</v>
      </c>
      <c r="I5153" s="140" t="s">
        <v>17</v>
      </c>
    </row>
    <row r="5154" spans="1:9" hidden="1" x14ac:dyDescent="0.25">
      <c r="A5154">
        <v>1992</v>
      </c>
      <c r="B5154" s="140" t="s">
        <v>316</v>
      </c>
      <c r="C5154" s="140" t="s">
        <v>243</v>
      </c>
      <c r="D5154" s="140" t="s">
        <v>11</v>
      </c>
      <c r="E5154" s="140" t="s">
        <v>52</v>
      </c>
      <c r="F5154">
        <v>4115</v>
      </c>
      <c r="G5154" s="140" t="s">
        <v>427</v>
      </c>
      <c r="H5154">
        <v>0</v>
      </c>
      <c r="I5154" s="140" t="s">
        <v>17</v>
      </c>
    </row>
    <row r="5155" spans="1:9" hidden="1" x14ac:dyDescent="0.25">
      <c r="A5155">
        <v>1993</v>
      </c>
      <c r="B5155" s="140" t="s">
        <v>316</v>
      </c>
      <c r="C5155" s="140" t="s">
        <v>243</v>
      </c>
      <c r="D5155" s="140" t="s">
        <v>11</v>
      </c>
      <c r="E5155" s="140" t="s">
        <v>52</v>
      </c>
      <c r="F5155">
        <v>2638</v>
      </c>
      <c r="G5155" s="140" t="s">
        <v>427</v>
      </c>
      <c r="H5155">
        <v>0</v>
      </c>
      <c r="I5155" s="140" t="s">
        <v>17</v>
      </c>
    </row>
    <row r="5156" spans="1:9" hidden="1" x14ac:dyDescent="0.25">
      <c r="A5156">
        <v>1994</v>
      </c>
      <c r="B5156" s="140" t="s">
        <v>316</v>
      </c>
      <c r="C5156" s="140" t="s">
        <v>243</v>
      </c>
      <c r="D5156" s="140" t="s">
        <v>11</v>
      </c>
      <c r="E5156" s="140" t="s">
        <v>52</v>
      </c>
      <c r="F5156">
        <v>12</v>
      </c>
      <c r="G5156" s="140" t="s">
        <v>427</v>
      </c>
      <c r="H5156">
        <v>0</v>
      </c>
      <c r="I5156" s="140" t="s">
        <v>17</v>
      </c>
    </row>
    <row r="5157" spans="1:9" hidden="1" x14ac:dyDescent="0.25">
      <c r="A5157">
        <v>1995</v>
      </c>
      <c r="B5157" s="140" t="s">
        <v>316</v>
      </c>
      <c r="C5157" s="140" t="s">
        <v>243</v>
      </c>
      <c r="D5157" s="140" t="s">
        <v>11</v>
      </c>
      <c r="E5157" s="140" t="s">
        <v>52</v>
      </c>
      <c r="F5157">
        <v>1191</v>
      </c>
      <c r="G5157" s="140" t="s">
        <v>427</v>
      </c>
      <c r="H5157">
        <v>0</v>
      </c>
      <c r="I5157" s="140" t="s">
        <v>17</v>
      </c>
    </row>
    <row r="5158" spans="1:9" hidden="1" x14ac:dyDescent="0.25">
      <c r="A5158">
        <v>1996</v>
      </c>
      <c r="B5158" s="140" t="s">
        <v>316</v>
      </c>
      <c r="C5158" s="140" t="s">
        <v>243</v>
      </c>
      <c r="D5158" s="140" t="s">
        <v>11</v>
      </c>
      <c r="E5158" s="140" t="s">
        <v>52</v>
      </c>
      <c r="F5158">
        <v>-1046</v>
      </c>
      <c r="G5158" s="140" t="s">
        <v>427</v>
      </c>
      <c r="H5158">
        <v>0</v>
      </c>
      <c r="I5158" s="140" t="s">
        <v>17</v>
      </c>
    </row>
    <row r="5159" spans="1:9" hidden="1" x14ac:dyDescent="0.25">
      <c r="A5159">
        <v>1997</v>
      </c>
      <c r="B5159" s="140" t="s">
        <v>316</v>
      </c>
      <c r="C5159" s="140" t="s">
        <v>243</v>
      </c>
      <c r="D5159" s="140" t="s">
        <v>11</v>
      </c>
      <c r="E5159" s="140" t="s">
        <v>52</v>
      </c>
      <c r="F5159">
        <v>-803</v>
      </c>
      <c r="G5159" s="140" t="s">
        <v>427</v>
      </c>
      <c r="H5159">
        <v>0</v>
      </c>
      <c r="I5159" s="140" t="s">
        <v>17</v>
      </c>
    </row>
    <row r="5160" spans="1:9" hidden="1" x14ac:dyDescent="0.25">
      <c r="A5160">
        <v>1998</v>
      </c>
      <c r="B5160" s="140" t="s">
        <v>316</v>
      </c>
      <c r="C5160" s="140" t="s">
        <v>243</v>
      </c>
      <c r="D5160" s="140" t="s">
        <v>11</v>
      </c>
      <c r="E5160" s="140" t="s">
        <v>52</v>
      </c>
      <c r="F5160">
        <v>-2149</v>
      </c>
      <c r="G5160" s="140" t="s">
        <v>427</v>
      </c>
      <c r="H5160">
        <v>0</v>
      </c>
      <c r="I5160" s="140" t="s">
        <v>17</v>
      </c>
    </row>
    <row r="5161" spans="1:9" hidden="1" x14ac:dyDescent="0.25">
      <c r="A5161">
        <v>1999</v>
      </c>
      <c r="B5161" s="140" t="s">
        <v>316</v>
      </c>
      <c r="C5161" s="140" t="s">
        <v>243</v>
      </c>
      <c r="D5161" s="140" t="s">
        <v>11</v>
      </c>
      <c r="E5161" s="140" t="s">
        <v>52</v>
      </c>
      <c r="F5161">
        <v>-2036</v>
      </c>
      <c r="G5161" s="140" t="s">
        <v>427</v>
      </c>
      <c r="H5161">
        <v>0</v>
      </c>
      <c r="I5161" s="140" t="s">
        <v>17</v>
      </c>
    </row>
    <row r="5162" spans="1:9" hidden="1" x14ac:dyDescent="0.25">
      <c r="A5162">
        <v>2000</v>
      </c>
      <c r="B5162" s="140" t="s">
        <v>316</v>
      </c>
      <c r="C5162" s="140" t="s">
        <v>243</v>
      </c>
      <c r="D5162" s="140" t="s">
        <v>11</v>
      </c>
      <c r="E5162" s="140" t="s">
        <v>52</v>
      </c>
      <c r="F5162">
        <v>-3105</v>
      </c>
      <c r="G5162" s="140" t="s">
        <v>427</v>
      </c>
      <c r="H5162">
        <v>0</v>
      </c>
      <c r="I5162" s="140" t="s">
        <v>17</v>
      </c>
    </row>
    <row r="5163" spans="1:9" hidden="1" x14ac:dyDescent="0.25">
      <c r="A5163">
        <v>2001</v>
      </c>
      <c r="B5163" s="140" t="s">
        <v>316</v>
      </c>
      <c r="C5163" s="140" t="s">
        <v>243</v>
      </c>
      <c r="D5163" s="140" t="s">
        <v>11</v>
      </c>
      <c r="E5163" s="140" t="s">
        <v>52</v>
      </c>
      <c r="F5163">
        <v>-2213</v>
      </c>
      <c r="G5163" s="140" t="s">
        <v>427</v>
      </c>
      <c r="H5163">
        <v>0</v>
      </c>
      <c r="I5163" s="140" t="s">
        <v>17</v>
      </c>
    </row>
    <row r="5164" spans="1:9" hidden="1" x14ac:dyDescent="0.25">
      <c r="A5164">
        <v>2002</v>
      </c>
      <c r="B5164" s="140" t="s">
        <v>316</v>
      </c>
      <c r="C5164" s="140" t="s">
        <v>243</v>
      </c>
      <c r="D5164" s="140" t="s">
        <v>11</v>
      </c>
      <c r="E5164" s="140" t="s">
        <v>52</v>
      </c>
      <c r="F5164">
        <v>-1945</v>
      </c>
      <c r="G5164" s="140" t="s">
        <v>427</v>
      </c>
      <c r="H5164">
        <v>0</v>
      </c>
      <c r="I5164" s="140" t="s">
        <v>17</v>
      </c>
    </row>
    <row r="5165" spans="1:9" hidden="1" x14ac:dyDescent="0.25">
      <c r="A5165">
        <v>2003</v>
      </c>
      <c r="B5165" s="140" t="s">
        <v>316</v>
      </c>
      <c r="C5165" s="140" t="s">
        <v>243</v>
      </c>
      <c r="D5165" s="140" t="s">
        <v>11</v>
      </c>
      <c r="E5165" s="140" t="s">
        <v>52</v>
      </c>
      <c r="F5165">
        <v>-2701</v>
      </c>
      <c r="G5165" s="140" t="s">
        <v>427</v>
      </c>
      <c r="H5165">
        <v>0</v>
      </c>
      <c r="I5165" s="140" t="s">
        <v>17</v>
      </c>
    </row>
    <row r="5166" spans="1:9" hidden="1" x14ac:dyDescent="0.25">
      <c r="A5166">
        <v>2004</v>
      </c>
      <c r="B5166" s="140" t="s">
        <v>316</v>
      </c>
      <c r="C5166" s="140" t="s">
        <v>243</v>
      </c>
      <c r="D5166" s="140" t="s">
        <v>11</v>
      </c>
      <c r="E5166" s="140" t="s">
        <v>52</v>
      </c>
      <c r="F5166">
        <v>-2874</v>
      </c>
      <c r="G5166" s="140" t="s">
        <v>427</v>
      </c>
      <c r="H5166">
        <v>0</v>
      </c>
      <c r="I5166" s="140" t="s">
        <v>17</v>
      </c>
    </row>
    <row r="5167" spans="1:9" hidden="1" x14ac:dyDescent="0.25">
      <c r="A5167">
        <v>2005</v>
      </c>
      <c r="B5167" s="140" t="s">
        <v>316</v>
      </c>
      <c r="C5167" s="140" t="s">
        <v>243</v>
      </c>
      <c r="D5167" s="140" t="s">
        <v>11</v>
      </c>
      <c r="E5167" s="140" t="s">
        <v>52</v>
      </c>
      <c r="F5167">
        <v>-5129</v>
      </c>
      <c r="G5167" s="140" t="s">
        <v>427</v>
      </c>
      <c r="H5167">
        <v>0</v>
      </c>
      <c r="I5167" s="140" t="s">
        <v>17</v>
      </c>
    </row>
    <row r="5168" spans="1:9" hidden="1" x14ac:dyDescent="0.25">
      <c r="A5168">
        <v>2006</v>
      </c>
      <c r="B5168" s="140" t="s">
        <v>316</v>
      </c>
      <c r="C5168" s="140" t="s">
        <v>243</v>
      </c>
      <c r="D5168" s="140" t="s">
        <v>11</v>
      </c>
      <c r="E5168" s="140" t="s">
        <v>52</v>
      </c>
      <c r="F5168">
        <v>-6818</v>
      </c>
      <c r="G5168" s="140" t="s">
        <v>427</v>
      </c>
      <c r="H5168">
        <v>0</v>
      </c>
      <c r="I5168" s="140" t="s">
        <v>17</v>
      </c>
    </row>
    <row r="5169" spans="1:9" hidden="1" x14ac:dyDescent="0.25">
      <c r="A5169">
        <v>2007</v>
      </c>
      <c r="B5169" s="140" t="s">
        <v>316</v>
      </c>
      <c r="C5169" s="140" t="s">
        <v>243</v>
      </c>
      <c r="D5169" s="140" t="s">
        <v>11</v>
      </c>
      <c r="E5169" s="140" t="s">
        <v>52</v>
      </c>
      <c r="F5169">
        <v>-6914</v>
      </c>
      <c r="G5169" s="140" t="s">
        <v>427</v>
      </c>
      <c r="H5169">
        <v>0</v>
      </c>
      <c r="I5169" s="140" t="s">
        <v>17</v>
      </c>
    </row>
    <row r="5170" spans="1:9" hidden="1" x14ac:dyDescent="0.25">
      <c r="A5170">
        <v>2008</v>
      </c>
      <c r="B5170" s="140" t="s">
        <v>316</v>
      </c>
      <c r="C5170" s="140" t="s">
        <v>243</v>
      </c>
      <c r="D5170" s="140" t="s">
        <v>11</v>
      </c>
      <c r="E5170" s="140" t="s">
        <v>52</v>
      </c>
      <c r="F5170">
        <v>-6160</v>
      </c>
      <c r="G5170" s="140" t="s">
        <v>427</v>
      </c>
      <c r="H5170">
        <v>0</v>
      </c>
      <c r="I5170" s="140" t="s">
        <v>17</v>
      </c>
    </row>
    <row r="5171" spans="1:9" hidden="1" x14ac:dyDescent="0.25">
      <c r="A5171">
        <v>2009</v>
      </c>
      <c r="B5171" s="140" t="s">
        <v>316</v>
      </c>
      <c r="C5171" s="140" t="s">
        <v>243</v>
      </c>
      <c r="D5171" s="140" t="s">
        <v>11</v>
      </c>
      <c r="E5171" s="140" t="s">
        <v>52</v>
      </c>
      <c r="F5171">
        <v>-557</v>
      </c>
      <c r="G5171" s="140" t="s">
        <v>427</v>
      </c>
      <c r="H5171">
        <v>0</v>
      </c>
      <c r="I5171" s="140" t="s">
        <v>17</v>
      </c>
    </row>
    <row r="5172" spans="1:9" hidden="1" x14ac:dyDescent="0.25">
      <c r="A5172">
        <v>2010</v>
      </c>
      <c r="B5172" s="140" t="s">
        <v>316</v>
      </c>
      <c r="C5172" s="140" t="s">
        <v>243</v>
      </c>
      <c r="D5172" s="140" t="s">
        <v>11</v>
      </c>
      <c r="E5172" s="140" t="s">
        <v>52</v>
      </c>
      <c r="F5172">
        <v>-1749</v>
      </c>
      <c r="G5172" s="140" t="s">
        <v>427</v>
      </c>
      <c r="H5172">
        <v>0</v>
      </c>
      <c r="I5172" s="140" t="s">
        <v>17</v>
      </c>
    </row>
    <row r="5173" spans="1:9" hidden="1" x14ac:dyDescent="0.25">
      <c r="A5173">
        <v>2011</v>
      </c>
      <c r="B5173" s="140" t="s">
        <v>316</v>
      </c>
      <c r="C5173" s="140" t="s">
        <v>243</v>
      </c>
      <c r="D5173" s="140" t="s">
        <v>11</v>
      </c>
      <c r="E5173" s="140" t="s">
        <v>52</v>
      </c>
      <c r="F5173">
        <v>-4292</v>
      </c>
      <c r="G5173" s="140" t="s">
        <v>427</v>
      </c>
      <c r="H5173">
        <v>0</v>
      </c>
      <c r="I5173" s="140" t="s">
        <v>17</v>
      </c>
    </row>
    <row r="5174" spans="1:9" hidden="1" x14ac:dyDescent="0.25">
      <c r="A5174">
        <v>2012</v>
      </c>
      <c r="B5174" s="140" t="s">
        <v>316</v>
      </c>
      <c r="C5174" s="140" t="s">
        <v>243</v>
      </c>
      <c r="D5174" s="140" t="s">
        <v>11</v>
      </c>
      <c r="E5174" s="140" t="s">
        <v>52</v>
      </c>
      <c r="F5174">
        <v>-5988</v>
      </c>
      <c r="G5174" s="140" t="s">
        <v>427</v>
      </c>
      <c r="H5174">
        <v>0</v>
      </c>
      <c r="I5174" s="140" t="s">
        <v>17</v>
      </c>
    </row>
    <row r="5175" spans="1:9" hidden="1" x14ac:dyDescent="0.25">
      <c r="A5175">
        <v>2013</v>
      </c>
      <c r="B5175" s="140" t="s">
        <v>316</v>
      </c>
      <c r="C5175" s="140" t="s">
        <v>243</v>
      </c>
      <c r="D5175" s="140" t="s">
        <v>11</v>
      </c>
      <c r="E5175" s="140" t="s">
        <v>52</v>
      </c>
      <c r="F5175">
        <v>-4888</v>
      </c>
      <c r="G5175" s="140" t="s">
        <v>427</v>
      </c>
      <c r="H5175">
        <v>0</v>
      </c>
      <c r="I5175" s="140" t="s">
        <v>17</v>
      </c>
    </row>
    <row r="5176" spans="1:9" hidden="1" x14ac:dyDescent="0.25">
      <c r="A5176">
        <v>2014</v>
      </c>
      <c r="B5176" s="140" t="s">
        <v>316</v>
      </c>
      <c r="C5176" s="140" t="s">
        <v>243</v>
      </c>
      <c r="D5176" s="140" t="s">
        <v>11</v>
      </c>
      <c r="E5176" s="140" t="s">
        <v>52</v>
      </c>
      <c r="F5176">
        <v>-4479</v>
      </c>
      <c r="G5176" s="140" t="s">
        <v>427</v>
      </c>
      <c r="H5176">
        <v>0</v>
      </c>
      <c r="I5176" s="140" t="s">
        <v>17</v>
      </c>
    </row>
    <row r="5177" spans="1:9" hidden="1" x14ac:dyDescent="0.25">
      <c r="A5177">
        <v>2015</v>
      </c>
      <c r="B5177" s="140" t="s">
        <v>316</v>
      </c>
      <c r="C5177" s="140" t="s">
        <v>243</v>
      </c>
      <c r="D5177" s="140" t="s">
        <v>11</v>
      </c>
      <c r="E5177" s="140" t="s">
        <v>52</v>
      </c>
      <c r="F5177">
        <v>-4378</v>
      </c>
      <c r="G5177" s="140" t="s">
        <v>427</v>
      </c>
      <c r="H5177">
        <v>0</v>
      </c>
      <c r="I5177" s="140" t="s">
        <v>17</v>
      </c>
    </row>
    <row r="5178" spans="1:9" hidden="1" x14ac:dyDescent="0.25">
      <c r="A5178">
        <v>2016</v>
      </c>
      <c r="B5178" s="140" t="s">
        <v>316</v>
      </c>
      <c r="C5178" s="140" t="s">
        <v>243</v>
      </c>
      <c r="D5178" s="140" t="s">
        <v>11</v>
      </c>
      <c r="E5178" s="140" t="s">
        <v>52</v>
      </c>
      <c r="F5178">
        <v>-6385</v>
      </c>
      <c r="G5178" s="140" t="s">
        <v>427</v>
      </c>
      <c r="H5178">
        <v>0</v>
      </c>
      <c r="I5178" s="140" t="s">
        <v>17</v>
      </c>
    </row>
    <row r="5179" spans="1:9" hidden="1" x14ac:dyDescent="0.25">
      <c r="A5179">
        <v>2017</v>
      </c>
      <c r="B5179" s="140" t="s">
        <v>316</v>
      </c>
      <c r="C5179" s="140" t="s">
        <v>243</v>
      </c>
      <c r="D5179" s="140" t="s">
        <v>11</v>
      </c>
      <c r="E5179" s="140" t="s">
        <v>52</v>
      </c>
      <c r="F5179">
        <v>-6012</v>
      </c>
      <c r="G5179" s="140" t="s">
        <v>427</v>
      </c>
      <c r="H5179">
        <v>0</v>
      </c>
      <c r="I5179" s="140" t="s">
        <v>17</v>
      </c>
    </row>
    <row r="5180" spans="1:9" hidden="1" x14ac:dyDescent="0.25">
      <c r="A5180">
        <v>2018</v>
      </c>
      <c r="B5180" s="140" t="s">
        <v>316</v>
      </c>
      <c r="C5180" s="140" t="s">
        <v>243</v>
      </c>
      <c r="D5180" s="140" t="s">
        <v>11</v>
      </c>
      <c r="E5180" s="140" t="s">
        <v>52</v>
      </c>
      <c r="F5180">
        <v>-5398</v>
      </c>
      <c r="G5180" s="140" t="s">
        <v>427</v>
      </c>
      <c r="H5180">
        <v>0</v>
      </c>
      <c r="I5180" s="140" t="s">
        <v>17</v>
      </c>
    </row>
    <row r="5181" spans="1:9" hidden="1" x14ac:dyDescent="0.25">
      <c r="A5181">
        <v>2019</v>
      </c>
      <c r="B5181" s="140" t="s">
        <v>316</v>
      </c>
      <c r="C5181" s="140" t="s">
        <v>243</v>
      </c>
      <c r="D5181" s="140" t="s">
        <v>11</v>
      </c>
      <c r="E5181" s="140" t="s">
        <v>52</v>
      </c>
      <c r="F5181">
        <v>-3275</v>
      </c>
      <c r="G5181" s="140" t="s">
        <v>427</v>
      </c>
      <c r="H5181">
        <v>0</v>
      </c>
      <c r="I5181" s="140" t="s">
        <v>17</v>
      </c>
    </row>
    <row r="5182" spans="1:9" hidden="1" x14ac:dyDescent="0.25">
      <c r="A5182">
        <v>2020</v>
      </c>
      <c r="B5182" s="140" t="s">
        <v>316</v>
      </c>
      <c r="C5182" s="140" t="s">
        <v>243</v>
      </c>
      <c r="D5182" s="140" t="s">
        <v>11</v>
      </c>
      <c r="E5182" s="140" t="s">
        <v>52</v>
      </c>
      <c r="F5182">
        <v>1746</v>
      </c>
      <c r="G5182" s="140" t="s">
        <v>427</v>
      </c>
      <c r="H5182">
        <v>0</v>
      </c>
      <c r="I5182" s="140" t="s">
        <v>17</v>
      </c>
    </row>
    <row r="5183" spans="1:9" hidden="1" x14ac:dyDescent="0.25">
      <c r="A5183">
        <v>2021</v>
      </c>
      <c r="B5183" s="140" t="s">
        <v>316</v>
      </c>
      <c r="C5183" s="140" t="s">
        <v>243</v>
      </c>
      <c r="D5183" s="140" t="s">
        <v>11</v>
      </c>
      <c r="E5183" s="140" t="s">
        <v>52</v>
      </c>
      <c r="F5183">
        <v>-676</v>
      </c>
      <c r="G5183" s="140" t="s">
        <v>427</v>
      </c>
      <c r="H5183">
        <v>0</v>
      </c>
      <c r="I5183" s="140" t="s">
        <v>17</v>
      </c>
    </row>
    <row r="5184" spans="1:9" hidden="1" x14ac:dyDescent="0.25">
      <c r="A5184">
        <v>2022</v>
      </c>
      <c r="B5184" s="140" t="s">
        <v>316</v>
      </c>
      <c r="C5184" s="140" t="s">
        <v>243</v>
      </c>
      <c r="D5184" s="140" t="s">
        <v>11</v>
      </c>
      <c r="E5184" s="140" t="s">
        <v>52</v>
      </c>
      <c r="F5184">
        <v>-4479</v>
      </c>
      <c r="G5184" s="140" t="s">
        <v>427</v>
      </c>
      <c r="H5184">
        <v>0</v>
      </c>
      <c r="I5184" s="140" t="s">
        <v>17</v>
      </c>
    </row>
    <row r="5185" spans="1:9" hidden="1" x14ac:dyDescent="0.25">
      <c r="A5185">
        <v>2023</v>
      </c>
      <c r="B5185" s="140" t="s">
        <v>316</v>
      </c>
      <c r="C5185" s="140" t="s">
        <v>243</v>
      </c>
      <c r="D5185" s="140" t="s">
        <v>11</v>
      </c>
      <c r="E5185" s="140" t="s">
        <v>52</v>
      </c>
      <c r="F5185">
        <v>-18</v>
      </c>
      <c r="G5185" s="140" t="s">
        <v>427</v>
      </c>
      <c r="H5185">
        <v>0</v>
      </c>
      <c r="I5185" s="140" t="s">
        <v>17</v>
      </c>
    </row>
    <row r="5186" spans="1:9" hidden="1" x14ac:dyDescent="0.25">
      <c r="A5186">
        <v>2024</v>
      </c>
      <c r="B5186" s="140" t="s">
        <v>316</v>
      </c>
      <c r="C5186" s="140" t="s">
        <v>243</v>
      </c>
      <c r="D5186" s="140" t="s">
        <v>11</v>
      </c>
      <c r="E5186" s="140" t="s">
        <v>52</v>
      </c>
      <c r="F5186">
        <v>5677</v>
      </c>
      <c r="G5186" s="140" t="s">
        <v>427</v>
      </c>
      <c r="H5186">
        <v>0</v>
      </c>
      <c r="I5186" s="140" t="s">
        <v>17</v>
      </c>
    </row>
    <row r="5187" spans="1:9" hidden="1" x14ac:dyDescent="0.25">
      <c r="A5187">
        <v>2025</v>
      </c>
      <c r="B5187" s="140" t="s">
        <v>316</v>
      </c>
      <c r="C5187" s="140" t="s">
        <v>243</v>
      </c>
      <c r="D5187" s="140" t="s">
        <v>11</v>
      </c>
      <c r="E5187" s="140" t="s">
        <v>52</v>
      </c>
      <c r="F5187">
        <v>8811</v>
      </c>
      <c r="G5187" s="140" t="s">
        <v>427</v>
      </c>
      <c r="H5187">
        <v>0</v>
      </c>
      <c r="I5187" s="140" t="s">
        <v>17</v>
      </c>
    </row>
    <row r="5188" spans="1:9" hidden="1" x14ac:dyDescent="0.25">
      <c r="A5188">
        <v>2026</v>
      </c>
      <c r="B5188" s="140" t="s">
        <v>316</v>
      </c>
      <c r="C5188" s="140" t="s">
        <v>243</v>
      </c>
      <c r="D5188" s="140" t="s">
        <v>11</v>
      </c>
      <c r="E5188" s="140" t="s">
        <v>52</v>
      </c>
      <c r="F5188">
        <v>7831.288125</v>
      </c>
      <c r="G5188" s="140" t="s">
        <v>427</v>
      </c>
      <c r="H5188">
        <v>0</v>
      </c>
      <c r="I5188" s="140" t="s">
        <v>17</v>
      </c>
    </row>
    <row r="5189" spans="1:9" hidden="1" x14ac:dyDescent="0.25">
      <c r="A5189">
        <v>2027</v>
      </c>
      <c r="B5189" s="140" t="s">
        <v>316</v>
      </c>
      <c r="C5189" s="140" t="s">
        <v>243</v>
      </c>
      <c r="D5189" s="140" t="s">
        <v>11</v>
      </c>
      <c r="E5189" s="140" t="s">
        <v>52</v>
      </c>
      <c r="F5189">
        <v>7731.586859</v>
      </c>
      <c r="G5189" s="140" t="s">
        <v>427</v>
      </c>
      <c r="H5189">
        <v>0</v>
      </c>
      <c r="I5189" s="140" t="s">
        <v>17</v>
      </c>
    </row>
    <row r="5190" spans="1:9" hidden="1" x14ac:dyDescent="0.25">
      <c r="A5190">
        <v>2028</v>
      </c>
      <c r="B5190" s="140" t="s">
        <v>316</v>
      </c>
      <c r="C5190" s="140" t="s">
        <v>243</v>
      </c>
      <c r="D5190" s="140" t="s">
        <v>11</v>
      </c>
      <c r="E5190" s="140" t="s">
        <v>52</v>
      </c>
      <c r="F5190">
        <v>6102.549602</v>
      </c>
      <c r="G5190" s="140" t="s">
        <v>427</v>
      </c>
      <c r="H5190">
        <v>0</v>
      </c>
      <c r="I5190" s="140" t="s">
        <v>17</v>
      </c>
    </row>
    <row r="5191" spans="1:9" hidden="1" x14ac:dyDescent="0.25">
      <c r="A5191">
        <v>1990</v>
      </c>
      <c r="B5191" s="140" t="s">
        <v>80</v>
      </c>
      <c r="C5191" s="140" t="s">
        <v>539</v>
      </c>
      <c r="D5191" s="140" t="s">
        <v>11</v>
      </c>
      <c r="E5191" s="140" t="s">
        <v>70</v>
      </c>
      <c r="F5191">
        <v>86.508449999999996</v>
      </c>
      <c r="G5191" s="140" t="s">
        <v>250</v>
      </c>
      <c r="H5191">
        <v>0</v>
      </c>
      <c r="I5191" s="140" t="s">
        <v>17</v>
      </c>
    </row>
    <row r="5192" spans="1:9" hidden="1" x14ac:dyDescent="0.25">
      <c r="A5192">
        <v>1991</v>
      </c>
      <c r="B5192" s="140" t="s">
        <v>80</v>
      </c>
      <c r="C5192" s="140" t="s">
        <v>539</v>
      </c>
      <c r="D5192" s="140" t="s">
        <v>11</v>
      </c>
      <c r="E5192" s="140" t="s">
        <v>70</v>
      </c>
      <c r="F5192">
        <v>81.982249999999993</v>
      </c>
      <c r="G5192" s="140" t="s">
        <v>250</v>
      </c>
      <c r="H5192">
        <v>0</v>
      </c>
      <c r="I5192" s="140" t="s">
        <v>17</v>
      </c>
    </row>
    <row r="5193" spans="1:9" hidden="1" x14ac:dyDescent="0.25">
      <c r="A5193">
        <v>1992</v>
      </c>
      <c r="B5193" s="140" t="s">
        <v>80</v>
      </c>
      <c r="C5193" s="140" t="s">
        <v>539</v>
      </c>
      <c r="D5193" s="140" t="s">
        <v>11</v>
      </c>
      <c r="E5193" s="140" t="s">
        <v>70</v>
      </c>
      <c r="F5193">
        <v>77.480220000000003</v>
      </c>
      <c r="G5193" s="140" t="s">
        <v>250</v>
      </c>
      <c r="H5193">
        <v>0</v>
      </c>
      <c r="I5193" s="140" t="s">
        <v>17</v>
      </c>
    </row>
    <row r="5194" spans="1:9" hidden="1" x14ac:dyDescent="0.25">
      <c r="A5194">
        <v>1993</v>
      </c>
      <c r="B5194" s="140" t="s">
        <v>80</v>
      </c>
      <c r="C5194" s="140" t="s">
        <v>539</v>
      </c>
      <c r="D5194" s="140" t="s">
        <v>11</v>
      </c>
      <c r="E5194" s="140" t="s">
        <v>70</v>
      </c>
      <c r="F5194">
        <v>74.541669999999996</v>
      </c>
      <c r="G5194" s="140" t="s">
        <v>250</v>
      </c>
      <c r="H5194">
        <v>0</v>
      </c>
      <c r="I5194" s="140" t="s">
        <v>17</v>
      </c>
    </row>
    <row r="5195" spans="1:9" hidden="1" x14ac:dyDescent="0.25">
      <c r="A5195">
        <v>1994</v>
      </c>
      <c r="B5195" s="140" t="s">
        <v>80</v>
      </c>
      <c r="C5195" s="140" t="s">
        <v>539</v>
      </c>
      <c r="D5195" s="140" t="s">
        <v>11</v>
      </c>
      <c r="E5195" s="140" t="s">
        <v>70</v>
      </c>
      <c r="F5195">
        <v>73.914739999999995</v>
      </c>
      <c r="G5195" s="140" t="s">
        <v>250</v>
      </c>
      <c r="H5195">
        <v>0</v>
      </c>
      <c r="I5195" s="140" t="s">
        <v>17</v>
      </c>
    </row>
    <row r="5196" spans="1:9" hidden="1" x14ac:dyDescent="0.25">
      <c r="A5196">
        <v>1995</v>
      </c>
      <c r="B5196" s="140" t="s">
        <v>80</v>
      </c>
      <c r="C5196" s="140" t="s">
        <v>539</v>
      </c>
      <c r="D5196" s="140" t="s">
        <v>11</v>
      </c>
      <c r="E5196" s="140" t="s">
        <v>70</v>
      </c>
      <c r="F5196">
        <v>68.682760000000002</v>
      </c>
      <c r="G5196" s="140" t="s">
        <v>250</v>
      </c>
      <c r="H5196">
        <v>0</v>
      </c>
      <c r="I5196" s="140" t="s">
        <v>17</v>
      </c>
    </row>
    <row r="5197" spans="1:9" hidden="1" x14ac:dyDescent="0.25">
      <c r="A5197">
        <v>1996</v>
      </c>
      <c r="B5197" s="140" t="s">
        <v>80</v>
      </c>
      <c r="C5197" s="140" t="s">
        <v>539</v>
      </c>
      <c r="D5197" s="140" t="s">
        <v>11</v>
      </c>
      <c r="E5197" s="140" t="s">
        <v>70</v>
      </c>
      <c r="F5197">
        <v>65.74682</v>
      </c>
      <c r="G5197" s="140" t="s">
        <v>250</v>
      </c>
      <c r="H5197">
        <v>0</v>
      </c>
      <c r="I5197" s="140" t="s">
        <v>17</v>
      </c>
    </row>
    <row r="5198" spans="1:9" hidden="1" x14ac:dyDescent="0.25">
      <c r="A5198">
        <v>1997</v>
      </c>
      <c r="B5198" s="140" t="s">
        <v>80</v>
      </c>
      <c r="C5198" s="140" t="s">
        <v>539</v>
      </c>
      <c r="D5198" s="140" t="s">
        <v>11</v>
      </c>
      <c r="E5198" s="140" t="s">
        <v>70</v>
      </c>
      <c r="F5198">
        <v>60.028210000000001</v>
      </c>
      <c r="G5198" s="140" t="s">
        <v>250</v>
      </c>
      <c r="H5198">
        <v>0</v>
      </c>
      <c r="I5198" s="140" t="s">
        <v>17</v>
      </c>
    </row>
    <row r="5199" spans="1:9" hidden="1" x14ac:dyDescent="0.25">
      <c r="A5199">
        <v>1998</v>
      </c>
      <c r="B5199" s="140" t="s">
        <v>80</v>
      </c>
      <c r="C5199" s="140" t="s">
        <v>539</v>
      </c>
      <c r="D5199" s="140" t="s">
        <v>11</v>
      </c>
      <c r="E5199" s="140" t="s">
        <v>70</v>
      </c>
      <c r="F5199">
        <v>60.816670000000002</v>
      </c>
      <c r="G5199" s="140" t="s">
        <v>250</v>
      </c>
      <c r="H5199">
        <v>0</v>
      </c>
      <c r="I5199" s="140" t="s">
        <v>17</v>
      </c>
    </row>
    <row r="5200" spans="1:9" hidden="1" x14ac:dyDescent="0.25">
      <c r="A5200">
        <v>1999</v>
      </c>
      <c r="B5200" s="140" t="s">
        <v>80</v>
      </c>
      <c r="C5200" s="140" t="s">
        <v>539</v>
      </c>
      <c r="D5200" s="140" t="s">
        <v>11</v>
      </c>
      <c r="E5200" s="140" t="s">
        <v>70</v>
      </c>
      <c r="F5200">
        <v>62.779589999999999</v>
      </c>
      <c r="G5200" s="140" t="s">
        <v>250</v>
      </c>
      <c r="H5200">
        <v>0</v>
      </c>
      <c r="I5200" s="140" t="s">
        <v>17</v>
      </c>
    </row>
    <row r="5201" spans="1:9" hidden="1" x14ac:dyDescent="0.25">
      <c r="A5201">
        <v>2000</v>
      </c>
      <c r="B5201" s="140" t="s">
        <v>80</v>
      </c>
      <c r="C5201" s="140" t="s">
        <v>539</v>
      </c>
      <c r="D5201" s="140" t="s">
        <v>11</v>
      </c>
      <c r="E5201" s="140" t="s">
        <v>70</v>
      </c>
      <c r="F5201">
        <v>65.778919999999999</v>
      </c>
      <c r="G5201" s="140" t="s">
        <v>250</v>
      </c>
      <c r="H5201">
        <v>0</v>
      </c>
      <c r="I5201" s="140" t="s">
        <v>17</v>
      </c>
    </row>
    <row r="5202" spans="1:9" hidden="1" x14ac:dyDescent="0.25">
      <c r="A5202">
        <v>2001</v>
      </c>
      <c r="B5202" s="140" t="s">
        <v>80</v>
      </c>
      <c r="C5202" s="140" t="s">
        <v>539</v>
      </c>
      <c r="D5202" s="140" t="s">
        <v>11</v>
      </c>
      <c r="E5202" s="140" t="s">
        <v>70</v>
      </c>
      <c r="F5202">
        <v>67.532740000000004</v>
      </c>
      <c r="G5202" s="140" t="s">
        <v>250</v>
      </c>
      <c r="H5202">
        <v>0</v>
      </c>
      <c r="I5202" s="140" t="s">
        <v>17</v>
      </c>
    </row>
    <row r="5203" spans="1:9" hidden="1" x14ac:dyDescent="0.25">
      <c r="A5203">
        <v>2002</v>
      </c>
      <c r="B5203" s="140" t="s">
        <v>80</v>
      </c>
      <c r="C5203" s="140" t="s">
        <v>539</v>
      </c>
      <c r="D5203" s="140" t="s">
        <v>11</v>
      </c>
      <c r="E5203" s="140" t="s">
        <v>70</v>
      </c>
      <c r="F5203">
        <v>70.686679999999996</v>
      </c>
      <c r="G5203" s="140" t="s">
        <v>250</v>
      </c>
      <c r="H5203">
        <v>0</v>
      </c>
      <c r="I5203" s="140" t="s">
        <v>17</v>
      </c>
    </row>
    <row r="5204" spans="1:9" hidden="1" x14ac:dyDescent="0.25">
      <c r="A5204">
        <v>2003</v>
      </c>
      <c r="B5204" s="140" t="s">
        <v>80</v>
      </c>
      <c r="C5204" s="140" t="s">
        <v>539</v>
      </c>
      <c r="D5204" s="140" t="s">
        <v>11</v>
      </c>
      <c r="E5204" s="140" t="s">
        <v>70</v>
      </c>
      <c r="F5204">
        <v>75.850409999999997</v>
      </c>
      <c r="G5204" s="140" t="s">
        <v>250</v>
      </c>
      <c r="H5204">
        <v>0</v>
      </c>
      <c r="I5204" s="140" t="s">
        <v>17</v>
      </c>
    </row>
    <row r="5205" spans="1:9" hidden="1" x14ac:dyDescent="0.25">
      <c r="A5205">
        <v>2004</v>
      </c>
      <c r="B5205" s="140" t="s">
        <v>80</v>
      </c>
      <c r="C5205" s="140" t="s">
        <v>539</v>
      </c>
      <c r="D5205" s="140" t="s">
        <v>11</v>
      </c>
      <c r="E5205" s="140" t="s">
        <v>70</v>
      </c>
      <c r="F5205">
        <v>82.086089999999999</v>
      </c>
      <c r="G5205" s="140" t="s">
        <v>250</v>
      </c>
      <c r="H5205">
        <v>0</v>
      </c>
      <c r="I5205" s="140" t="s">
        <v>17</v>
      </c>
    </row>
    <row r="5206" spans="1:9" hidden="1" x14ac:dyDescent="0.25">
      <c r="A5206">
        <v>2005</v>
      </c>
      <c r="B5206" s="140" t="s">
        <v>80</v>
      </c>
      <c r="C5206" s="140" t="s">
        <v>539</v>
      </c>
      <c r="D5206" s="140" t="s">
        <v>11</v>
      </c>
      <c r="E5206" s="140" t="s">
        <v>70</v>
      </c>
      <c r="F5206">
        <v>92.004440000000002</v>
      </c>
      <c r="G5206" s="140" t="s">
        <v>250</v>
      </c>
      <c r="H5206">
        <v>0</v>
      </c>
      <c r="I5206" s="140" t="s">
        <v>17</v>
      </c>
    </row>
    <row r="5207" spans="1:9" hidden="1" x14ac:dyDescent="0.25">
      <c r="A5207">
        <v>2006</v>
      </c>
      <c r="B5207" s="140" t="s">
        <v>80</v>
      </c>
      <c r="C5207" s="140" t="s">
        <v>539</v>
      </c>
      <c r="D5207" s="140" t="s">
        <v>11</v>
      </c>
      <c r="E5207" s="140" t="s">
        <v>70</v>
      </c>
      <c r="F5207">
        <v>99.902950000000004</v>
      </c>
      <c r="G5207" s="140" t="s">
        <v>250</v>
      </c>
      <c r="H5207">
        <v>0</v>
      </c>
      <c r="I5207" s="140" t="s">
        <v>17</v>
      </c>
    </row>
    <row r="5208" spans="1:9" hidden="1" x14ac:dyDescent="0.25">
      <c r="A5208">
        <v>2007</v>
      </c>
      <c r="B5208" s="140" t="s">
        <v>80</v>
      </c>
      <c r="C5208" s="140" t="s">
        <v>539</v>
      </c>
      <c r="D5208" s="140" t="s">
        <v>11</v>
      </c>
      <c r="E5208" s="140" t="s">
        <v>70</v>
      </c>
      <c r="F5208">
        <v>104.66595</v>
      </c>
      <c r="G5208" s="140" t="s">
        <v>250</v>
      </c>
      <c r="H5208">
        <v>0</v>
      </c>
      <c r="I5208" s="140" t="s">
        <v>17</v>
      </c>
    </row>
    <row r="5209" spans="1:9" hidden="1" x14ac:dyDescent="0.25">
      <c r="A5209">
        <v>2008</v>
      </c>
      <c r="B5209" s="140" t="s">
        <v>80</v>
      </c>
      <c r="C5209" s="140" t="s">
        <v>539</v>
      </c>
      <c r="D5209" s="140" t="s">
        <v>11</v>
      </c>
      <c r="E5209" s="140" t="s">
        <v>70</v>
      </c>
      <c r="F5209">
        <v>106.59517</v>
      </c>
      <c r="G5209" s="140" t="s">
        <v>250</v>
      </c>
      <c r="H5209">
        <v>0</v>
      </c>
      <c r="I5209" s="140" t="s">
        <v>17</v>
      </c>
    </row>
    <row r="5210" spans="1:9" hidden="1" x14ac:dyDescent="0.25">
      <c r="A5210">
        <v>2009</v>
      </c>
      <c r="B5210" s="140" t="s">
        <v>80</v>
      </c>
      <c r="C5210" s="140" t="s">
        <v>539</v>
      </c>
      <c r="D5210" s="140" t="s">
        <v>11</v>
      </c>
      <c r="E5210" s="140" t="s">
        <v>70</v>
      </c>
      <c r="F5210">
        <v>108.97342</v>
      </c>
      <c r="G5210" s="140" t="s">
        <v>250</v>
      </c>
      <c r="H5210">
        <v>0</v>
      </c>
      <c r="I5210" s="140" t="s">
        <v>17</v>
      </c>
    </row>
    <row r="5211" spans="1:9" hidden="1" x14ac:dyDescent="0.25">
      <c r="A5211">
        <v>2010</v>
      </c>
      <c r="B5211" s="140" t="s">
        <v>80</v>
      </c>
      <c r="C5211" s="140" t="s">
        <v>539</v>
      </c>
      <c r="D5211" s="140" t="s">
        <v>11</v>
      </c>
      <c r="E5211" s="140" t="s">
        <v>70</v>
      </c>
      <c r="F5211">
        <v>110.17283</v>
      </c>
      <c r="G5211" s="140" t="s">
        <v>250</v>
      </c>
      <c r="H5211">
        <v>0</v>
      </c>
      <c r="I5211" s="140" t="s">
        <v>17</v>
      </c>
    </row>
    <row r="5212" spans="1:9" hidden="1" x14ac:dyDescent="0.25">
      <c r="A5212">
        <v>2011</v>
      </c>
      <c r="B5212" s="140" t="s">
        <v>80</v>
      </c>
      <c r="C5212" s="140" t="s">
        <v>539</v>
      </c>
      <c r="D5212" s="140" t="s">
        <v>11</v>
      </c>
      <c r="E5212" s="140" t="s">
        <v>70</v>
      </c>
      <c r="F5212">
        <v>111.30996</v>
      </c>
      <c r="G5212" s="140" t="s">
        <v>250</v>
      </c>
      <c r="H5212">
        <v>0</v>
      </c>
      <c r="I5212" s="140" t="s">
        <v>17</v>
      </c>
    </row>
    <row r="5213" spans="1:9" hidden="1" x14ac:dyDescent="0.25">
      <c r="A5213">
        <v>2012</v>
      </c>
      <c r="B5213" s="140" t="s">
        <v>80</v>
      </c>
      <c r="C5213" s="140" t="s">
        <v>539</v>
      </c>
      <c r="D5213" s="140" t="s">
        <v>11</v>
      </c>
      <c r="E5213" s="140" t="s">
        <v>70</v>
      </c>
      <c r="F5213">
        <v>114.17944</v>
      </c>
      <c r="G5213" s="140" t="s">
        <v>250</v>
      </c>
      <c r="H5213">
        <v>0</v>
      </c>
      <c r="I5213" s="140" t="s">
        <v>17</v>
      </c>
    </row>
    <row r="5214" spans="1:9" hidden="1" x14ac:dyDescent="0.25">
      <c r="A5214">
        <v>2013</v>
      </c>
      <c r="B5214" s="140" t="s">
        <v>80</v>
      </c>
      <c r="C5214" s="140" t="s">
        <v>539</v>
      </c>
      <c r="D5214" s="140" t="s">
        <v>11</v>
      </c>
      <c r="E5214" s="140" t="s">
        <v>70</v>
      </c>
      <c r="F5214">
        <v>114.92587</v>
      </c>
      <c r="G5214" s="140" t="s">
        <v>250</v>
      </c>
      <c r="H5214">
        <v>0</v>
      </c>
      <c r="I5214" s="140" t="s">
        <v>17</v>
      </c>
    </row>
    <row r="5215" spans="1:9" hidden="1" x14ac:dyDescent="0.25">
      <c r="A5215">
        <v>2014</v>
      </c>
      <c r="B5215" s="140" t="s">
        <v>80</v>
      </c>
      <c r="C5215" s="140" t="s">
        <v>539</v>
      </c>
      <c r="D5215" s="140" t="s">
        <v>11</v>
      </c>
      <c r="E5215" s="140" t="s">
        <v>70</v>
      </c>
      <c r="F5215">
        <v>117.12126000000001</v>
      </c>
      <c r="G5215" s="140" t="s">
        <v>250</v>
      </c>
      <c r="H5215">
        <v>0</v>
      </c>
      <c r="I5215" s="140" t="s">
        <v>17</v>
      </c>
    </row>
    <row r="5216" spans="1:9" hidden="1" x14ac:dyDescent="0.25">
      <c r="A5216">
        <v>2015</v>
      </c>
      <c r="B5216" s="140" t="s">
        <v>80</v>
      </c>
      <c r="C5216" s="140" t="s">
        <v>539</v>
      </c>
      <c r="D5216" s="140" t="s">
        <v>11</v>
      </c>
      <c r="E5216" s="140" t="s">
        <v>70</v>
      </c>
      <c r="F5216">
        <v>119.24379</v>
      </c>
      <c r="G5216" s="140" t="s">
        <v>250</v>
      </c>
      <c r="H5216">
        <v>0</v>
      </c>
      <c r="I5216" s="140" t="s">
        <v>17</v>
      </c>
    </row>
    <row r="5217" spans="1:9" hidden="1" x14ac:dyDescent="0.25">
      <c r="A5217">
        <v>2016</v>
      </c>
      <c r="B5217" s="140" t="s">
        <v>80</v>
      </c>
      <c r="C5217" s="140" t="s">
        <v>539</v>
      </c>
      <c r="D5217" s="140" t="s">
        <v>11</v>
      </c>
      <c r="E5217" s="140" t="s">
        <v>70</v>
      </c>
      <c r="F5217">
        <v>122.45134</v>
      </c>
      <c r="G5217" s="140" t="s">
        <v>250</v>
      </c>
      <c r="H5217">
        <v>0</v>
      </c>
      <c r="I5217" s="140" t="s">
        <v>17</v>
      </c>
    </row>
    <row r="5218" spans="1:9" hidden="1" x14ac:dyDescent="0.25">
      <c r="A5218">
        <v>2017</v>
      </c>
      <c r="B5218" s="140" t="s">
        <v>80</v>
      </c>
      <c r="C5218" s="140" t="s">
        <v>539</v>
      </c>
      <c r="D5218" s="140" t="s">
        <v>11</v>
      </c>
      <c r="E5218" s="140" t="s">
        <v>70</v>
      </c>
      <c r="F5218">
        <v>125.53175</v>
      </c>
      <c r="G5218" s="140" t="s">
        <v>250</v>
      </c>
      <c r="H5218">
        <v>0</v>
      </c>
      <c r="I5218" s="140" t="s">
        <v>17</v>
      </c>
    </row>
    <row r="5219" spans="1:9" hidden="1" x14ac:dyDescent="0.25">
      <c r="A5219">
        <v>2018</v>
      </c>
      <c r="B5219" s="140" t="s">
        <v>80</v>
      </c>
      <c r="C5219" s="140" t="s">
        <v>539</v>
      </c>
      <c r="D5219" s="140" t="s">
        <v>11</v>
      </c>
      <c r="E5219" s="140" t="s">
        <v>70</v>
      </c>
      <c r="F5219">
        <v>127.23439</v>
      </c>
      <c r="G5219" s="140" t="s">
        <v>250</v>
      </c>
      <c r="H5219">
        <v>0</v>
      </c>
      <c r="I5219" s="140" t="s">
        <v>17</v>
      </c>
    </row>
    <row r="5220" spans="1:9" hidden="1" x14ac:dyDescent="0.25">
      <c r="A5220">
        <v>2019</v>
      </c>
      <c r="B5220" s="140" t="s">
        <v>80</v>
      </c>
      <c r="C5220" s="140" t="s">
        <v>539</v>
      </c>
      <c r="D5220" s="140" t="s">
        <v>11</v>
      </c>
      <c r="E5220" s="140" t="s">
        <v>70</v>
      </c>
      <c r="F5220">
        <v>127.93653</v>
      </c>
      <c r="G5220" s="140" t="s">
        <v>250</v>
      </c>
      <c r="H5220">
        <v>0</v>
      </c>
      <c r="I5220" s="140" t="s">
        <v>17</v>
      </c>
    </row>
    <row r="5221" spans="1:9" hidden="1" x14ac:dyDescent="0.25">
      <c r="A5221">
        <v>2020</v>
      </c>
      <c r="B5221" s="140" t="s">
        <v>80</v>
      </c>
      <c r="C5221" s="140" t="s">
        <v>539</v>
      </c>
      <c r="D5221" s="140" t="s">
        <v>11</v>
      </c>
      <c r="E5221" s="140" t="s">
        <v>70</v>
      </c>
      <c r="F5221">
        <v>132.73303000000001</v>
      </c>
      <c r="G5221" s="140" t="s">
        <v>250</v>
      </c>
      <c r="H5221">
        <v>0</v>
      </c>
      <c r="I5221" s="140" t="s">
        <v>17</v>
      </c>
    </row>
    <row r="5222" spans="1:9" hidden="1" x14ac:dyDescent="0.25">
      <c r="A5222">
        <v>2021</v>
      </c>
      <c r="B5222" s="140" t="s">
        <v>80</v>
      </c>
      <c r="C5222" s="140" t="s">
        <v>539</v>
      </c>
      <c r="D5222" s="140" t="s">
        <v>11</v>
      </c>
      <c r="E5222" s="140" t="s">
        <v>70</v>
      </c>
      <c r="F5222">
        <v>133.40377000000001</v>
      </c>
      <c r="G5222" s="140" t="s">
        <v>250</v>
      </c>
      <c r="H5222">
        <v>0</v>
      </c>
      <c r="I5222" s="140" t="s">
        <v>17</v>
      </c>
    </row>
    <row r="5223" spans="1:9" hidden="1" x14ac:dyDescent="0.25">
      <c r="A5223">
        <v>2022</v>
      </c>
      <c r="B5223" s="140" t="s">
        <v>80</v>
      </c>
      <c r="C5223" s="140" t="s">
        <v>539</v>
      </c>
      <c r="D5223" s="140" t="s">
        <v>11</v>
      </c>
      <c r="E5223" s="140" t="s">
        <v>70</v>
      </c>
      <c r="F5223">
        <v>133.40232</v>
      </c>
      <c r="G5223" s="140" t="s">
        <v>250</v>
      </c>
      <c r="H5223">
        <v>0</v>
      </c>
      <c r="I5223" s="140" t="s">
        <v>17</v>
      </c>
    </row>
    <row r="5224" spans="1:9" hidden="1" x14ac:dyDescent="0.25">
      <c r="A5224">
        <v>2023</v>
      </c>
      <c r="B5224" s="140" t="s">
        <v>80</v>
      </c>
      <c r="C5224" s="140" t="s">
        <v>539</v>
      </c>
      <c r="D5224" s="140" t="s">
        <v>11</v>
      </c>
      <c r="E5224" s="140" t="s">
        <v>70</v>
      </c>
      <c r="F5224">
        <v>126.48994</v>
      </c>
      <c r="G5224" s="140" t="s">
        <v>250</v>
      </c>
      <c r="H5224">
        <v>0</v>
      </c>
      <c r="I5224" s="140" t="s">
        <v>17</v>
      </c>
    </row>
    <row r="5225" spans="1:9" hidden="1" x14ac:dyDescent="0.25">
      <c r="A5225">
        <v>2024</v>
      </c>
      <c r="B5225" s="140" t="s">
        <v>80</v>
      </c>
      <c r="C5225" s="140" t="s">
        <v>539</v>
      </c>
      <c r="D5225" s="140" t="s">
        <v>11</v>
      </c>
      <c r="E5225" s="140" t="s">
        <v>70</v>
      </c>
      <c r="F5225">
        <v>121.7687</v>
      </c>
      <c r="G5225" s="140" t="s">
        <v>250</v>
      </c>
      <c r="H5225">
        <v>0</v>
      </c>
      <c r="I5225" s="140" t="s">
        <v>17</v>
      </c>
    </row>
    <row r="5226" spans="1:9" hidden="1" x14ac:dyDescent="0.25">
      <c r="A5226">
        <v>2025</v>
      </c>
      <c r="B5226" s="140" t="s">
        <v>80</v>
      </c>
      <c r="C5226" s="140" t="s">
        <v>539</v>
      </c>
      <c r="D5226" s="140" t="s">
        <v>11</v>
      </c>
      <c r="E5226" s="140" t="s">
        <v>70</v>
      </c>
      <c r="F5226">
        <v>119.31075</v>
      </c>
      <c r="G5226" s="140" t="s">
        <v>250</v>
      </c>
      <c r="H5226">
        <v>0</v>
      </c>
      <c r="I5226" s="140" t="s">
        <v>17</v>
      </c>
    </row>
    <row r="5227" spans="1:9" hidden="1" x14ac:dyDescent="0.25">
      <c r="A5227">
        <v>2026</v>
      </c>
      <c r="B5227" s="140" t="s">
        <v>80</v>
      </c>
      <c r="C5227" s="140" t="s">
        <v>539</v>
      </c>
      <c r="D5227" s="140" t="s">
        <v>11</v>
      </c>
      <c r="E5227" s="140" t="s">
        <v>70</v>
      </c>
      <c r="F5227">
        <v>118.84521890000001</v>
      </c>
      <c r="G5227" s="140" t="s">
        <v>250</v>
      </c>
      <c r="H5227">
        <v>0</v>
      </c>
      <c r="I5227" s="140" t="s">
        <v>17</v>
      </c>
    </row>
    <row r="5228" spans="1:9" hidden="1" x14ac:dyDescent="0.25">
      <c r="A5228">
        <v>2027</v>
      </c>
      <c r="B5228" s="140" t="s">
        <v>80</v>
      </c>
      <c r="C5228" s="140" t="s">
        <v>539</v>
      </c>
      <c r="D5228" s="140" t="s">
        <v>11</v>
      </c>
      <c r="E5228" s="140" t="s">
        <v>70</v>
      </c>
      <c r="F5228">
        <v>119.0754221</v>
      </c>
      <c r="G5228" s="140" t="s">
        <v>250</v>
      </c>
      <c r="H5228">
        <v>0</v>
      </c>
      <c r="I5228" s="140" t="s">
        <v>17</v>
      </c>
    </row>
    <row r="5229" spans="1:9" hidden="1" x14ac:dyDescent="0.25">
      <c r="A5229">
        <v>2028</v>
      </c>
      <c r="B5229" s="140" t="s">
        <v>80</v>
      </c>
      <c r="C5229" s="140" t="s">
        <v>539</v>
      </c>
      <c r="D5229" s="140" t="s">
        <v>11</v>
      </c>
      <c r="E5229" s="140" t="s">
        <v>70</v>
      </c>
      <c r="F5229">
        <v>119.3064739</v>
      </c>
      <c r="G5229" s="140" t="s">
        <v>250</v>
      </c>
      <c r="H5229">
        <v>0</v>
      </c>
      <c r="I5229" s="140" t="s">
        <v>17</v>
      </c>
    </row>
    <row r="5230" spans="1:9" hidden="1" x14ac:dyDescent="0.25">
      <c r="A5230">
        <v>1990</v>
      </c>
      <c r="B5230" s="140" t="s">
        <v>310</v>
      </c>
      <c r="C5230" s="140" t="s">
        <v>243</v>
      </c>
      <c r="D5230" s="140" t="s">
        <v>11</v>
      </c>
      <c r="E5230" s="140" t="s">
        <v>12</v>
      </c>
      <c r="F5230">
        <v>48865</v>
      </c>
      <c r="G5230" s="140" t="s">
        <v>311</v>
      </c>
      <c r="H5230">
        <v>0</v>
      </c>
      <c r="I5230" s="140" t="s">
        <v>17</v>
      </c>
    </row>
    <row r="5231" spans="1:9" hidden="1" x14ac:dyDescent="0.25">
      <c r="A5231">
        <v>1991</v>
      </c>
      <c r="B5231" s="140" t="s">
        <v>310</v>
      </c>
      <c r="C5231" s="140" t="s">
        <v>243</v>
      </c>
      <c r="D5231" s="140" t="s">
        <v>11</v>
      </c>
      <c r="E5231" s="140" t="s">
        <v>12</v>
      </c>
      <c r="F5231">
        <v>48957</v>
      </c>
      <c r="G5231" s="140" t="s">
        <v>311</v>
      </c>
      <c r="H5231">
        <v>0</v>
      </c>
      <c r="I5231" s="140" t="s">
        <v>17</v>
      </c>
    </row>
    <row r="5232" spans="1:9" hidden="1" x14ac:dyDescent="0.25">
      <c r="A5232">
        <v>1992</v>
      </c>
      <c r="B5232" s="140" t="s">
        <v>310</v>
      </c>
      <c r="C5232" s="140" t="s">
        <v>243</v>
      </c>
      <c r="D5232" s="140" t="s">
        <v>11</v>
      </c>
      <c r="E5232" s="140" t="s">
        <v>12</v>
      </c>
      <c r="F5232">
        <v>46333</v>
      </c>
      <c r="G5232" s="140" t="s">
        <v>311</v>
      </c>
      <c r="H5232">
        <v>0</v>
      </c>
      <c r="I5232" s="140" t="s">
        <v>17</v>
      </c>
    </row>
    <row r="5233" spans="1:9" hidden="1" x14ac:dyDescent="0.25">
      <c r="A5233">
        <v>1993</v>
      </c>
      <c r="B5233" s="140" t="s">
        <v>310</v>
      </c>
      <c r="C5233" s="140" t="s">
        <v>243</v>
      </c>
      <c r="D5233" s="140" t="s">
        <v>11</v>
      </c>
      <c r="E5233" s="140" t="s">
        <v>12</v>
      </c>
      <c r="F5233">
        <v>43816</v>
      </c>
      <c r="G5233" s="140" t="s">
        <v>311</v>
      </c>
      <c r="H5233">
        <v>0</v>
      </c>
      <c r="I5233" s="140" t="s">
        <v>17</v>
      </c>
    </row>
    <row r="5234" spans="1:9" hidden="1" x14ac:dyDescent="0.25">
      <c r="A5234">
        <v>1994</v>
      </c>
      <c r="B5234" s="140" t="s">
        <v>310</v>
      </c>
      <c r="C5234" s="140" t="s">
        <v>243</v>
      </c>
      <c r="D5234" s="140" t="s">
        <v>11</v>
      </c>
      <c r="E5234" s="140" t="s">
        <v>12</v>
      </c>
      <c r="F5234">
        <v>44581</v>
      </c>
      <c r="G5234" s="140" t="s">
        <v>311</v>
      </c>
      <c r="H5234">
        <v>0</v>
      </c>
      <c r="I5234" s="140" t="s">
        <v>17</v>
      </c>
    </row>
    <row r="5235" spans="1:9" hidden="1" x14ac:dyDescent="0.25">
      <c r="A5235">
        <v>1995</v>
      </c>
      <c r="B5235" s="140" t="s">
        <v>310</v>
      </c>
      <c r="C5235" s="140" t="s">
        <v>243</v>
      </c>
      <c r="D5235" s="140" t="s">
        <v>11</v>
      </c>
      <c r="E5235" s="140" t="s">
        <v>12</v>
      </c>
      <c r="F5235">
        <v>47371</v>
      </c>
      <c r="G5235" s="140" t="s">
        <v>311</v>
      </c>
      <c r="H5235">
        <v>0</v>
      </c>
      <c r="I5235" s="140" t="s">
        <v>17</v>
      </c>
    </row>
    <row r="5236" spans="1:9" hidden="1" x14ac:dyDescent="0.25">
      <c r="A5236">
        <v>1996</v>
      </c>
      <c r="B5236" s="140" t="s">
        <v>310</v>
      </c>
      <c r="C5236" s="140" t="s">
        <v>243</v>
      </c>
      <c r="D5236" s="140" t="s">
        <v>11</v>
      </c>
      <c r="E5236" s="140" t="s">
        <v>12</v>
      </c>
      <c r="F5236">
        <v>49432</v>
      </c>
      <c r="G5236" s="140" t="s">
        <v>311</v>
      </c>
      <c r="H5236">
        <v>0</v>
      </c>
      <c r="I5236" s="140" t="s">
        <v>17</v>
      </c>
    </row>
    <row r="5237" spans="1:9" hidden="1" x14ac:dyDescent="0.25">
      <c r="A5237">
        <v>1997</v>
      </c>
      <c r="B5237" s="140" t="s">
        <v>310</v>
      </c>
      <c r="C5237" s="140" t="s">
        <v>243</v>
      </c>
      <c r="D5237" s="140" t="s">
        <v>11</v>
      </c>
      <c r="E5237" s="140" t="s">
        <v>12</v>
      </c>
      <c r="F5237">
        <v>52156</v>
      </c>
      <c r="G5237" s="140" t="s">
        <v>311</v>
      </c>
      <c r="H5237">
        <v>0</v>
      </c>
      <c r="I5237" s="140" t="s">
        <v>17</v>
      </c>
    </row>
    <row r="5238" spans="1:9" hidden="1" x14ac:dyDescent="0.25">
      <c r="A5238">
        <v>1998</v>
      </c>
      <c r="B5238" s="140" t="s">
        <v>310</v>
      </c>
      <c r="C5238" s="140" t="s">
        <v>243</v>
      </c>
      <c r="D5238" s="140" t="s">
        <v>11</v>
      </c>
      <c r="E5238" s="140" t="s">
        <v>12</v>
      </c>
      <c r="F5238">
        <v>56376</v>
      </c>
      <c r="G5238" s="140" t="s">
        <v>311</v>
      </c>
      <c r="H5238">
        <v>0</v>
      </c>
      <c r="I5238" s="140" t="s">
        <v>17</v>
      </c>
    </row>
    <row r="5239" spans="1:9" hidden="1" x14ac:dyDescent="0.25">
      <c r="A5239">
        <v>1999</v>
      </c>
      <c r="B5239" s="140" t="s">
        <v>310</v>
      </c>
      <c r="C5239" s="140" t="s">
        <v>243</v>
      </c>
      <c r="D5239" s="140" t="s">
        <v>11</v>
      </c>
      <c r="E5239" s="140" t="s">
        <v>12</v>
      </c>
      <c r="F5239">
        <v>59816</v>
      </c>
      <c r="G5239" s="140" t="s">
        <v>311</v>
      </c>
      <c r="H5239">
        <v>0</v>
      </c>
      <c r="I5239" s="140" t="s">
        <v>17</v>
      </c>
    </row>
    <row r="5240" spans="1:9" hidden="1" x14ac:dyDescent="0.25">
      <c r="A5240">
        <v>2000</v>
      </c>
      <c r="B5240" s="140" t="s">
        <v>310</v>
      </c>
      <c r="C5240" s="140" t="s">
        <v>243</v>
      </c>
      <c r="D5240" s="140" t="s">
        <v>11</v>
      </c>
      <c r="E5240" s="140" t="s">
        <v>12</v>
      </c>
      <c r="F5240">
        <v>63742</v>
      </c>
      <c r="G5240" s="140" t="s">
        <v>311</v>
      </c>
      <c r="H5240">
        <v>0</v>
      </c>
      <c r="I5240" s="140" t="s">
        <v>17</v>
      </c>
    </row>
    <row r="5241" spans="1:9" hidden="1" x14ac:dyDescent="0.25">
      <c r="A5241">
        <v>2001</v>
      </c>
      <c r="B5241" s="140" t="s">
        <v>310</v>
      </c>
      <c r="C5241" s="140" t="s">
        <v>243</v>
      </c>
      <c r="D5241" s="140" t="s">
        <v>11</v>
      </c>
      <c r="E5241" s="140" t="s">
        <v>12</v>
      </c>
      <c r="F5241">
        <v>67358</v>
      </c>
      <c r="G5241" s="140" t="s">
        <v>311</v>
      </c>
      <c r="H5241">
        <v>0</v>
      </c>
      <c r="I5241" s="140" t="s">
        <v>17</v>
      </c>
    </row>
    <row r="5242" spans="1:9" hidden="1" x14ac:dyDescent="0.25">
      <c r="A5242">
        <v>2002</v>
      </c>
      <c r="B5242" s="140" t="s">
        <v>310</v>
      </c>
      <c r="C5242" s="140" t="s">
        <v>243</v>
      </c>
      <c r="D5242" s="140" t="s">
        <v>11</v>
      </c>
      <c r="E5242" s="140" t="s">
        <v>12</v>
      </c>
      <c r="F5242">
        <v>69402</v>
      </c>
      <c r="G5242" s="140" t="s">
        <v>311</v>
      </c>
      <c r="H5242">
        <v>0</v>
      </c>
      <c r="I5242" s="140" t="s">
        <v>17</v>
      </c>
    </row>
    <row r="5243" spans="1:9" hidden="1" x14ac:dyDescent="0.25">
      <c r="A5243">
        <v>2003</v>
      </c>
      <c r="B5243" s="140" t="s">
        <v>310</v>
      </c>
      <c r="C5243" s="140" t="s">
        <v>243</v>
      </c>
      <c r="D5243" s="140" t="s">
        <v>11</v>
      </c>
      <c r="E5243" s="140" t="s">
        <v>12</v>
      </c>
      <c r="F5243">
        <v>70992</v>
      </c>
      <c r="G5243" s="140" t="s">
        <v>311</v>
      </c>
      <c r="H5243">
        <v>0</v>
      </c>
      <c r="I5243" s="140" t="s">
        <v>17</v>
      </c>
    </row>
    <row r="5244" spans="1:9" hidden="1" x14ac:dyDescent="0.25">
      <c r="A5244">
        <v>2004</v>
      </c>
      <c r="B5244" s="140" t="s">
        <v>310</v>
      </c>
      <c r="C5244" s="140" t="s">
        <v>243</v>
      </c>
      <c r="D5244" s="140" t="s">
        <v>11</v>
      </c>
      <c r="E5244" s="140" t="s">
        <v>12</v>
      </c>
      <c r="F5244">
        <v>73896</v>
      </c>
      <c r="G5244" s="140" t="s">
        <v>311</v>
      </c>
      <c r="H5244">
        <v>0</v>
      </c>
      <c r="I5244" s="140" t="s">
        <v>17</v>
      </c>
    </row>
    <row r="5245" spans="1:9" hidden="1" x14ac:dyDescent="0.25">
      <c r="A5245">
        <v>2005</v>
      </c>
      <c r="B5245" s="140" t="s">
        <v>310</v>
      </c>
      <c r="C5245" s="140" t="s">
        <v>243</v>
      </c>
      <c r="D5245" s="140" t="s">
        <v>11</v>
      </c>
      <c r="E5245" s="140" t="s">
        <v>12</v>
      </c>
      <c r="F5245">
        <v>77650</v>
      </c>
      <c r="G5245" s="140" t="s">
        <v>311</v>
      </c>
      <c r="H5245">
        <v>0</v>
      </c>
      <c r="I5245" s="140" t="s">
        <v>17</v>
      </c>
    </row>
    <row r="5246" spans="1:9" hidden="1" x14ac:dyDescent="0.25">
      <c r="A5246">
        <v>2006</v>
      </c>
      <c r="B5246" s="140" t="s">
        <v>310</v>
      </c>
      <c r="C5246" s="140" t="s">
        <v>243</v>
      </c>
      <c r="D5246" s="140" t="s">
        <v>11</v>
      </c>
      <c r="E5246" s="140" t="s">
        <v>12</v>
      </c>
      <c r="F5246">
        <v>81533</v>
      </c>
      <c r="G5246" s="140" t="s">
        <v>311</v>
      </c>
      <c r="H5246">
        <v>0</v>
      </c>
      <c r="I5246" s="140" t="s">
        <v>17</v>
      </c>
    </row>
    <row r="5247" spans="1:9" hidden="1" x14ac:dyDescent="0.25">
      <c r="A5247">
        <v>2007</v>
      </c>
      <c r="B5247" s="140" t="s">
        <v>310</v>
      </c>
      <c r="C5247" s="140" t="s">
        <v>243</v>
      </c>
      <c r="D5247" s="140" t="s">
        <v>11</v>
      </c>
      <c r="E5247" s="140" t="s">
        <v>12</v>
      </c>
      <c r="F5247">
        <v>86048</v>
      </c>
      <c r="G5247" s="140" t="s">
        <v>311</v>
      </c>
      <c r="H5247">
        <v>0</v>
      </c>
      <c r="I5247" s="140" t="s">
        <v>17</v>
      </c>
    </row>
    <row r="5248" spans="1:9" hidden="1" x14ac:dyDescent="0.25">
      <c r="A5248">
        <v>2008</v>
      </c>
      <c r="B5248" s="140" t="s">
        <v>310</v>
      </c>
      <c r="C5248" s="140" t="s">
        <v>243</v>
      </c>
      <c r="D5248" s="140" t="s">
        <v>11</v>
      </c>
      <c r="E5248" s="140" t="s">
        <v>12</v>
      </c>
      <c r="F5248">
        <v>91721</v>
      </c>
      <c r="G5248" s="140" t="s">
        <v>311</v>
      </c>
      <c r="H5248">
        <v>0</v>
      </c>
      <c r="I5248" s="140" t="s">
        <v>17</v>
      </c>
    </row>
    <row r="5249" spans="1:9" hidden="1" x14ac:dyDescent="0.25">
      <c r="A5249">
        <v>2009</v>
      </c>
      <c r="B5249" s="140" t="s">
        <v>310</v>
      </c>
      <c r="C5249" s="140" t="s">
        <v>243</v>
      </c>
      <c r="D5249" s="140" t="s">
        <v>11</v>
      </c>
      <c r="E5249" s="140" t="s">
        <v>12</v>
      </c>
      <c r="F5249">
        <v>90615</v>
      </c>
      <c r="G5249" s="140" t="s">
        <v>311</v>
      </c>
      <c r="H5249">
        <v>0</v>
      </c>
      <c r="I5249" s="140" t="s">
        <v>17</v>
      </c>
    </row>
    <row r="5250" spans="1:9" hidden="1" x14ac:dyDescent="0.25">
      <c r="A5250">
        <v>2010</v>
      </c>
      <c r="B5250" s="140" t="s">
        <v>310</v>
      </c>
      <c r="C5250" s="140" t="s">
        <v>243</v>
      </c>
      <c r="D5250" s="140" t="s">
        <v>11</v>
      </c>
      <c r="E5250" s="140" t="s">
        <v>12</v>
      </c>
      <c r="F5250">
        <v>92695</v>
      </c>
      <c r="G5250" s="140" t="s">
        <v>311</v>
      </c>
      <c r="H5250">
        <v>0</v>
      </c>
      <c r="I5250" s="140" t="s">
        <v>17</v>
      </c>
    </row>
    <row r="5251" spans="1:9" hidden="1" x14ac:dyDescent="0.25">
      <c r="A5251">
        <v>2011</v>
      </c>
      <c r="B5251" s="140" t="s">
        <v>310</v>
      </c>
      <c r="C5251" s="140" t="s">
        <v>243</v>
      </c>
      <c r="D5251" s="140" t="s">
        <v>11</v>
      </c>
      <c r="E5251" s="140" t="s">
        <v>12</v>
      </c>
      <c r="F5251">
        <v>97146</v>
      </c>
      <c r="G5251" s="140" t="s">
        <v>311</v>
      </c>
      <c r="H5251">
        <v>0</v>
      </c>
      <c r="I5251" s="140" t="s">
        <v>17</v>
      </c>
    </row>
    <row r="5252" spans="1:9" hidden="1" x14ac:dyDescent="0.25">
      <c r="A5252">
        <v>2012</v>
      </c>
      <c r="B5252" s="140" t="s">
        <v>310</v>
      </c>
      <c r="C5252" s="140" t="s">
        <v>243</v>
      </c>
      <c r="D5252" s="140" t="s">
        <v>11</v>
      </c>
      <c r="E5252" s="140" t="s">
        <v>12</v>
      </c>
      <c r="F5252">
        <v>100347</v>
      </c>
      <c r="G5252" s="140" t="s">
        <v>311</v>
      </c>
      <c r="H5252">
        <v>0</v>
      </c>
      <c r="I5252" s="140" t="s">
        <v>17</v>
      </c>
    </row>
    <row r="5253" spans="1:9" hidden="1" x14ac:dyDescent="0.25">
      <c r="A5253">
        <v>2013</v>
      </c>
      <c r="B5253" s="140" t="s">
        <v>310</v>
      </c>
      <c r="C5253" s="140" t="s">
        <v>243</v>
      </c>
      <c r="D5253" s="140" t="s">
        <v>11</v>
      </c>
      <c r="E5253" s="140" t="s">
        <v>12</v>
      </c>
      <c r="F5253">
        <v>101201</v>
      </c>
      <c r="G5253" s="140" t="s">
        <v>311</v>
      </c>
      <c r="H5253">
        <v>0</v>
      </c>
      <c r="I5253" s="140" t="s">
        <v>17</v>
      </c>
    </row>
    <row r="5254" spans="1:9" hidden="1" x14ac:dyDescent="0.25">
      <c r="A5254">
        <v>2014</v>
      </c>
      <c r="B5254" s="140" t="s">
        <v>310</v>
      </c>
      <c r="C5254" s="140" t="s">
        <v>243</v>
      </c>
      <c r="D5254" s="140" t="s">
        <v>11</v>
      </c>
      <c r="E5254" s="140" t="s">
        <v>12</v>
      </c>
      <c r="F5254">
        <v>101526</v>
      </c>
      <c r="G5254" s="140" t="s">
        <v>311</v>
      </c>
      <c r="H5254">
        <v>0</v>
      </c>
      <c r="I5254" s="140" t="s">
        <v>17</v>
      </c>
    </row>
    <row r="5255" spans="1:9" hidden="1" x14ac:dyDescent="0.25">
      <c r="A5255">
        <v>2015</v>
      </c>
      <c r="B5255" s="140" t="s">
        <v>310</v>
      </c>
      <c r="C5255" s="140" t="s">
        <v>243</v>
      </c>
      <c r="D5255" s="140" t="s">
        <v>11</v>
      </c>
      <c r="E5255" s="140" t="s">
        <v>12</v>
      </c>
      <c r="F5255">
        <v>102673</v>
      </c>
      <c r="G5255" s="140" t="s">
        <v>311</v>
      </c>
      <c r="H5255">
        <v>0</v>
      </c>
      <c r="I5255" s="140" t="s">
        <v>17</v>
      </c>
    </row>
    <row r="5256" spans="1:9" hidden="1" x14ac:dyDescent="0.25">
      <c r="A5256">
        <v>2016</v>
      </c>
      <c r="B5256" s="140" t="s">
        <v>310</v>
      </c>
      <c r="C5256" s="140" t="s">
        <v>243</v>
      </c>
      <c r="D5256" s="140" t="s">
        <v>11</v>
      </c>
      <c r="E5256" s="140" t="s">
        <v>12</v>
      </c>
      <c r="F5256">
        <v>104422</v>
      </c>
      <c r="G5256" s="140" t="s">
        <v>311</v>
      </c>
      <c r="H5256">
        <v>0</v>
      </c>
      <c r="I5256" s="140" t="s">
        <v>17</v>
      </c>
    </row>
    <row r="5257" spans="1:9" hidden="1" x14ac:dyDescent="0.25">
      <c r="A5257">
        <v>2017</v>
      </c>
      <c r="B5257" s="140" t="s">
        <v>310</v>
      </c>
      <c r="C5257" s="140" t="s">
        <v>243</v>
      </c>
      <c r="D5257" s="140" t="s">
        <v>11</v>
      </c>
      <c r="E5257" s="140" t="s">
        <v>12</v>
      </c>
      <c r="F5257">
        <v>105138</v>
      </c>
      <c r="G5257" s="140" t="s">
        <v>311</v>
      </c>
      <c r="H5257">
        <v>0</v>
      </c>
      <c r="I5257" s="140" t="s">
        <v>17</v>
      </c>
    </row>
    <row r="5258" spans="1:9" hidden="1" x14ac:dyDescent="0.25">
      <c r="A5258">
        <v>2018</v>
      </c>
      <c r="B5258" s="140" t="s">
        <v>310</v>
      </c>
      <c r="C5258" s="140" t="s">
        <v>243</v>
      </c>
      <c r="D5258" s="140" t="s">
        <v>11</v>
      </c>
      <c r="E5258" s="140" t="s">
        <v>12</v>
      </c>
      <c r="F5258">
        <v>109158</v>
      </c>
      <c r="G5258" s="140" t="s">
        <v>311</v>
      </c>
      <c r="H5258">
        <v>0</v>
      </c>
      <c r="I5258" s="140" t="s">
        <v>17</v>
      </c>
    </row>
    <row r="5259" spans="1:9" hidden="1" x14ac:dyDescent="0.25">
      <c r="A5259">
        <v>2019</v>
      </c>
      <c r="B5259" s="140" t="s">
        <v>310</v>
      </c>
      <c r="C5259" s="140" t="s">
        <v>243</v>
      </c>
      <c r="D5259" s="140" t="s">
        <v>11</v>
      </c>
      <c r="E5259" s="140" t="s">
        <v>12</v>
      </c>
      <c r="F5259">
        <v>112665</v>
      </c>
      <c r="G5259" s="140" t="s">
        <v>311</v>
      </c>
      <c r="H5259">
        <v>0</v>
      </c>
      <c r="I5259" s="140" t="s">
        <v>17</v>
      </c>
    </row>
    <row r="5260" spans="1:9" hidden="1" x14ac:dyDescent="0.25">
      <c r="A5260">
        <v>2020</v>
      </c>
      <c r="B5260" s="140" t="s">
        <v>310</v>
      </c>
      <c r="C5260" s="140" t="s">
        <v>243</v>
      </c>
      <c r="D5260" s="140" t="s">
        <v>11</v>
      </c>
      <c r="E5260" s="140" t="s">
        <v>12</v>
      </c>
      <c r="F5260">
        <v>110748</v>
      </c>
      <c r="G5260" s="140" t="s">
        <v>311</v>
      </c>
      <c r="H5260">
        <v>0</v>
      </c>
      <c r="I5260" s="140" t="s">
        <v>17</v>
      </c>
    </row>
    <row r="5261" spans="1:9" hidden="1" x14ac:dyDescent="0.25">
      <c r="A5261">
        <v>2021</v>
      </c>
      <c r="B5261" s="140" t="s">
        <v>310</v>
      </c>
      <c r="C5261" s="140" t="s">
        <v>243</v>
      </c>
      <c r="D5261" s="140" t="s">
        <v>11</v>
      </c>
      <c r="E5261" s="140" t="s">
        <v>12</v>
      </c>
      <c r="F5261">
        <v>118004</v>
      </c>
      <c r="G5261" s="140" t="s">
        <v>311</v>
      </c>
      <c r="H5261">
        <v>0</v>
      </c>
      <c r="I5261" s="140" t="s">
        <v>17</v>
      </c>
    </row>
    <row r="5262" spans="1:9" hidden="1" x14ac:dyDescent="0.25">
      <c r="A5262">
        <v>2022</v>
      </c>
      <c r="B5262" s="140" t="s">
        <v>310</v>
      </c>
      <c r="C5262" s="140" t="s">
        <v>243</v>
      </c>
      <c r="D5262" s="140" t="s">
        <v>11</v>
      </c>
      <c r="E5262" s="140" t="s">
        <v>12</v>
      </c>
      <c r="F5262">
        <v>126000</v>
      </c>
      <c r="G5262" s="140" t="s">
        <v>311</v>
      </c>
      <c r="H5262">
        <v>0</v>
      </c>
      <c r="I5262" s="140" t="s">
        <v>17</v>
      </c>
    </row>
    <row r="5263" spans="1:9" hidden="1" x14ac:dyDescent="0.25">
      <c r="A5263">
        <v>2023</v>
      </c>
      <c r="B5263" s="140" t="s">
        <v>310</v>
      </c>
      <c r="C5263" s="140" t="s">
        <v>243</v>
      </c>
      <c r="D5263" s="140" t="s">
        <v>11</v>
      </c>
      <c r="E5263" s="140" t="s">
        <v>12</v>
      </c>
      <c r="F5263">
        <v>132286</v>
      </c>
      <c r="G5263" s="140" t="s">
        <v>311</v>
      </c>
      <c r="H5263">
        <v>0</v>
      </c>
      <c r="I5263" s="140" t="s">
        <v>17</v>
      </c>
    </row>
    <row r="5264" spans="1:9" hidden="1" x14ac:dyDescent="0.25">
      <c r="A5264">
        <v>2024</v>
      </c>
      <c r="B5264" s="140" t="s">
        <v>310</v>
      </c>
      <c r="C5264" s="140" t="s">
        <v>243</v>
      </c>
      <c r="D5264" s="140" t="s">
        <v>11</v>
      </c>
      <c r="E5264" s="140" t="s">
        <v>12</v>
      </c>
      <c r="F5264">
        <v>133695</v>
      </c>
      <c r="G5264" s="140" t="s">
        <v>311</v>
      </c>
      <c r="H5264">
        <v>0</v>
      </c>
      <c r="I5264" s="140" t="s">
        <v>17</v>
      </c>
    </row>
    <row r="5265" spans="1:9" hidden="1" x14ac:dyDescent="0.25">
      <c r="A5265">
        <v>2025</v>
      </c>
      <c r="B5265" s="140" t="s">
        <v>310</v>
      </c>
      <c r="C5265" s="140" t="s">
        <v>243</v>
      </c>
      <c r="D5265" s="140" t="s">
        <v>11</v>
      </c>
      <c r="E5265" s="140" t="s">
        <v>12</v>
      </c>
      <c r="F5265">
        <v>137115</v>
      </c>
      <c r="G5265" s="140" t="s">
        <v>311</v>
      </c>
      <c r="H5265">
        <v>0</v>
      </c>
      <c r="I5265" s="140" t="s">
        <v>17</v>
      </c>
    </row>
    <row r="5266" spans="1:9" hidden="1" x14ac:dyDescent="0.25">
      <c r="A5266">
        <v>2026</v>
      </c>
      <c r="B5266" s="140" t="s">
        <v>310</v>
      </c>
      <c r="C5266" s="140" t="s">
        <v>243</v>
      </c>
      <c r="D5266" s="140" t="s">
        <v>11</v>
      </c>
      <c r="E5266" s="140" t="s">
        <v>12</v>
      </c>
      <c r="F5266">
        <v>141579.69469999999</v>
      </c>
      <c r="G5266" s="140" t="s">
        <v>311</v>
      </c>
      <c r="H5266">
        <v>0</v>
      </c>
      <c r="I5266" s="140" t="s">
        <v>17</v>
      </c>
    </row>
    <row r="5267" spans="1:9" hidden="1" x14ac:dyDescent="0.25">
      <c r="A5267">
        <v>2027</v>
      </c>
      <c r="B5267" s="140" t="s">
        <v>310</v>
      </c>
      <c r="C5267" s="140" t="s">
        <v>243</v>
      </c>
      <c r="D5267" s="140" t="s">
        <v>11</v>
      </c>
      <c r="E5267" s="140" t="s">
        <v>12</v>
      </c>
      <c r="F5267">
        <v>147617.67300000001</v>
      </c>
      <c r="G5267" s="140" t="s">
        <v>311</v>
      </c>
      <c r="H5267">
        <v>0</v>
      </c>
      <c r="I5267" s="140" t="s">
        <v>17</v>
      </c>
    </row>
    <row r="5268" spans="1:9" hidden="1" x14ac:dyDescent="0.25">
      <c r="A5268">
        <v>2028</v>
      </c>
      <c r="B5268" s="140" t="s">
        <v>310</v>
      </c>
      <c r="C5268" s="140" t="s">
        <v>243</v>
      </c>
      <c r="D5268" s="140" t="s">
        <v>11</v>
      </c>
      <c r="E5268" s="140" t="s">
        <v>12</v>
      </c>
      <c r="F5268">
        <v>153768.54490000001</v>
      </c>
      <c r="G5268" s="140" t="s">
        <v>311</v>
      </c>
      <c r="H5268">
        <v>0</v>
      </c>
      <c r="I5268" s="140" t="s">
        <v>17</v>
      </c>
    </row>
    <row r="5269" spans="1:9" hidden="1" x14ac:dyDescent="0.25">
      <c r="A5269">
        <v>1990</v>
      </c>
      <c r="B5269" s="140" t="s">
        <v>470</v>
      </c>
      <c r="C5269" s="140" t="s">
        <v>243</v>
      </c>
      <c r="D5269" s="140" t="s">
        <v>11</v>
      </c>
      <c r="E5269" s="140" t="s">
        <v>55</v>
      </c>
      <c r="F5269">
        <v>-4544</v>
      </c>
      <c r="G5269" s="140" t="s">
        <v>471</v>
      </c>
      <c r="H5269">
        <v>0</v>
      </c>
      <c r="I5269" s="140" t="s">
        <v>17</v>
      </c>
    </row>
    <row r="5270" spans="1:9" hidden="1" x14ac:dyDescent="0.25">
      <c r="A5270">
        <v>1991</v>
      </c>
      <c r="B5270" s="140" t="s">
        <v>470</v>
      </c>
      <c r="C5270" s="140" t="s">
        <v>243</v>
      </c>
      <c r="D5270" s="140" t="s">
        <v>11</v>
      </c>
      <c r="E5270" s="140" t="s">
        <v>55</v>
      </c>
      <c r="F5270">
        <v>-4661</v>
      </c>
      <c r="G5270" s="140" t="s">
        <v>471</v>
      </c>
      <c r="H5270">
        <v>0</v>
      </c>
      <c r="I5270" s="140" t="s">
        <v>17</v>
      </c>
    </row>
    <row r="5271" spans="1:9" hidden="1" x14ac:dyDescent="0.25">
      <c r="A5271">
        <v>1992</v>
      </c>
      <c r="B5271" s="140" t="s">
        <v>470</v>
      </c>
      <c r="C5271" s="140" t="s">
        <v>243</v>
      </c>
      <c r="D5271" s="140" t="s">
        <v>11</v>
      </c>
      <c r="E5271" s="140" t="s">
        <v>55</v>
      </c>
      <c r="F5271">
        <v>-3954</v>
      </c>
      <c r="G5271" s="140" t="s">
        <v>471</v>
      </c>
      <c r="H5271">
        <v>0</v>
      </c>
      <c r="I5271" s="140" t="s">
        <v>17</v>
      </c>
    </row>
    <row r="5272" spans="1:9" hidden="1" x14ac:dyDescent="0.25">
      <c r="A5272">
        <v>1993</v>
      </c>
      <c r="B5272" s="140" t="s">
        <v>470</v>
      </c>
      <c r="C5272" s="140" t="s">
        <v>243</v>
      </c>
      <c r="D5272" s="140" t="s">
        <v>11</v>
      </c>
      <c r="E5272" s="140" t="s">
        <v>55</v>
      </c>
      <c r="F5272">
        <v>-1202</v>
      </c>
      <c r="G5272" s="140" t="s">
        <v>471</v>
      </c>
      <c r="H5272">
        <v>0</v>
      </c>
      <c r="I5272" s="140" t="s">
        <v>17</v>
      </c>
    </row>
    <row r="5273" spans="1:9" hidden="1" x14ac:dyDescent="0.25">
      <c r="A5273">
        <v>1994</v>
      </c>
      <c r="B5273" s="140" t="s">
        <v>470</v>
      </c>
      <c r="C5273" s="140" t="s">
        <v>243</v>
      </c>
      <c r="D5273" s="140" t="s">
        <v>11</v>
      </c>
      <c r="E5273" s="140" t="s">
        <v>55</v>
      </c>
      <c r="F5273">
        <v>831</v>
      </c>
      <c r="G5273" s="140" t="s">
        <v>471</v>
      </c>
      <c r="H5273">
        <v>0</v>
      </c>
      <c r="I5273" s="140" t="s">
        <v>17</v>
      </c>
    </row>
    <row r="5274" spans="1:9" hidden="1" x14ac:dyDescent="0.25">
      <c r="A5274">
        <v>1995</v>
      </c>
      <c r="B5274" s="140" t="s">
        <v>470</v>
      </c>
      <c r="C5274" s="140" t="s">
        <v>243</v>
      </c>
      <c r="D5274" s="140" t="s">
        <v>11</v>
      </c>
      <c r="E5274" s="140" t="s">
        <v>55</v>
      </c>
      <c r="F5274">
        <v>3822</v>
      </c>
      <c r="G5274" s="140" t="s">
        <v>471</v>
      </c>
      <c r="H5274">
        <v>0</v>
      </c>
      <c r="I5274" s="140" t="s">
        <v>17</v>
      </c>
    </row>
    <row r="5275" spans="1:9" hidden="1" x14ac:dyDescent="0.25">
      <c r="A5275">
        <v>1996</v>
      </c>
      <c r="B5275" s="140" t="s">
        <v>470</v>
      </c>
      <c r="C5275" s="140" t="s">
        <v>243</v>
      </c>
      <c r="D5275" s="140" t="s">
        <v>11</v>
      </c>
      <c r="E5275" s="140" t="s">
        <v>55</v>
      </c>
      <c r="F5275">
        <v>3669</v>
      </c>
      <c r="G5275" s="140" t="s">
        <v>471</v>
      </c>
      <c r="H5275">
        <v>0</v>
      </c>
      <c r="I5275" s="140" t="s">
        <v>17</v>
      </c>
    </row>
    <row r="5276" spans="1:9" hidden="1" x14ac:dyDescent="0.25">
      <c r="A5276">
        <v>1997</v>
      </c>
      <c r="B5276" s="140" t="s">
        <v>470</v>
      </c>
      <c r="C5276" s="140" t="s">
        <v>243</v>
      </c>
      <c r="D5276" s="140" t="s">
        <v>11</v>
      </c>
      <c r="E5276" s="140" t="s">
        <v>55</v>
      </c>
      <c r="F5276">
        <v>5323</v>
      </c>
      <c r="G5276" s="140" t="s">
        <v>471</v>
      </c>
      <c r="H5276">
        <v>0</v>
      </c>
      <c r="I5276" s="140" t="s">
        <v>17</v>
      </c>
    </row>
    <row r="5277" spans="1:9" hidden="1" x14ac:dyDescent="0.25">
      <c r="A5277">
        <v>1998</v>
      </c>
      <c r="B5277" s="140" t="s">
        <v>470</v>
      </c>
      <c r="C5277" s="140" t="s">
        <v>243</v>
      </c>
      <c r="D5277" s="140" t="s">
        <v>11</v>
      </c>
      <c r="E5277" s="140" t="s">
        <v>55</v>
      </c>
      <c r="F5277">
        <v>5892</v>
      </c>
      <c r="G5277" s="140" t="s">
        <v>471</v>
      </c>
      <c r="H5277">
        <v>0</v>
      </c>
      <c r="I5277" s="140" t="s">
        <v>17</v>
      </c>
    </row>
    <row r="5278" spans="1:9" hidden="1" x14ac:dyDescent="0.25">
      <c r="A5278">
        <v>1999</v>
      </c>
      <c r="B5278" s="140" t="s">
        <v>470</v>
      </c>
      <c r="C5278" s="140" t="s">
        <v>243</v>
      </c>
      <c r="D5278" s="140" t="s">
        <v>11</v>
      </c>
      <c r="E5278" s="140" t="s">
        <v>55</v>
      </c>
      <c r="F5278">
        <v>8650</v>
      </c>
      <c r="G5278" s="140" t="s">
        <v>471</v>
      </c>
      <c r="H5278">
        <v>0</v>
      </c>
      <c r="I5278" s="140" t="s">
        <v>17</v>
      </c>
    </row>
    <row r="5279" spans="1:9" hidden="1" x14ac:dyDescent="0.25">
      <c r="A5279">
        <v>2000</v>
      </c>
      <c r="B5279" s="140" t="s">
        <v>470</v>
      </c>
      <c r="C5279" s="140" t="s">
        <v>243</v>
      </c>
      <c r="D5279" s="140" t="s">
        <v>11</v>
      </c>
      <c r="E5279" s="140" t="s">
        <v>55</v>
      </c>
      <c r="F5279">
        <v>10202</v>
      </c>
      <c r="G5279" s="140" t="s">
        <v>471</v>
      </c>
      <c r="H5279">
        <v>0</v>
      </c>
      <c r="I5279" s="140" t="s">
        <v>17</v>
      </c>
    </row>
    <row r="5280" spans="1:9" hidden="1" x14ac:dyDescent="0.25">
      <c r="A5280">
        <v>2001</v>
      </c>
      <c r="B5280" s="140" t="s">
        <v>470</v>
      </c>
      <c r="C5280" s="140" t="s">
        <v>243</v>
      </c>
      <c r="D5280" s="140" t="s">
        <v>11</v>
      </c>
      <c r="E5280" s="140" t="s">
        <v>55</v>
      </c>
      <c r="F5280">
        <v>11831</v>
      </c>
      <c r="G5280" s="140" t="s">
        <v>471</v>
      </c>
      <c r="H5280">
        <v>0</v>
      </c>
      <c r="I5280" s="140" t="s">
        <v>17</v>
      </c>
    </row>
    <row r="5281" spans="1:9" hidden="1" x14ac:dyDescent="0.25">
      <c r="A5281">
        <v>2002</v>
      </c>
      <c r="B5281" s="140" t="s">
        <v>470</v>
      </c>
      <c r="C5281" s="140" t="s">
        <v>243</v>
      </c>
      <c r="D5281" s="140" t="s">
        <v>11</v>
      </c>
      <c r="E5281" s="140" t="s">
        <v>55</v>
      </c>
      <c r="F5281">
        <v>12271</v>
      </c>
      <c r="G5281" s="140" t="s">
        <v>471</v>
      </c>
      <c r="H5281">
        <v>0</v>
      </c>
      <c r="I5281" s="140" t="s">
        <v>17</v>
      </c>
    </row>
    <row r="5282" spans="1:9" hidden="1" x14ac:dyDescent="0.25">
      <c r="A5282">
        <v>2003</v>
      </c>
      <c r="B5282" s="140" t="s">
        <v>470</v>
      </c>
      <c r="C5282" s="140" t="s">
        <v>243</v>
      </c>
      <c r="D5282" s="140" t="s">
        <v>11</v>
      </c>
      <c r="E5282" s="140" t="s">
        <v>55</v>
      </c>
      <c r="F5282">
        <v>7409</v>
      </c>
      <c r="G5282" s="140" t="s">
        <v>471</v>
      </c>
      <c r="H5282">
        <v>0</v>
      </c>
      <c r="I5282" s="140" t="s">
        <v>17</v>
      </c>
    </row>
    <row r="5283" spans="1:9" hidden="1" x14ac:dyDescent="0.25">
      <c r="A5283">
        <v>2004</v>
      </c>
      <c r="B5283" s="140" t="s">
        <v>470</v>
      </c>
      <c r="C5283" s="140" t="s">
        <v>243</v>
      </c>
      <c r="D5283" s="140" t="s">
        <v>11</v>
      </c>
      <c r="E5283" s="140" t="s">
        <v>55</v>
      </c>
      <c r="F5283">
        <v>9423</v>
      </c>
      <c r="G5283" s="140" t="s">
        <v>471</v>
      </c>
      <c r="H5283">
        <v>0</v>
      </c>
      <c r="I5283" s="140" t="s">
        <v>17</v>
      </c>
    </row>
    <row r="5284" spans="1:9" hidden="1" x14ac:dyDescent="0.25">
      <c r="A5284">
        <v>2005</v>
      </c>
      <c r="B5284" s="140" t="s">
        <v>470</v>
      </c>
      <c r="C5284" s="140" t="s">
        <v>243</v>
      </c>
      <c r="D5284" s="140" t="s">
        <v>11</v>
      </c>
      <c r="E5284" s="140" t="s">
        <v>55</v>
      </c>
      <c r="F5284">
        <v>5352</v>
      </c>
      <c r="G5284" s="140" t="s">
        <v>471</v>
      </c>
      <c r="H5284">
        <v>0</v>
      </c>
      <c r="I5284" s="140" t="s">
        <v>17</v>
      </c>
    </row>
    <row r="5285" spans="1:9" hidden="1" x14ac:dyDescent="0.25">
      <c r="A5285">
        <v>2006</v>
      </c>
      <c r="B5285" s="140" t="s">
        <v>470</v>
      </c>
      <c r="C5285" s="140" t="s">
        <v>243</v>
      </c>
      <c r="D5285" s="140" t="s">
        <v>11</v>
      </c>
      <c r="E5285" s="140" t="s">
        <v>55</v>
      </c>
      <c r="F5285">
        <v>6825</v>
      </c>
      <c r="G5285" s="140" t="s">
        <v>471</v>
      </c>
      <c r="H5285">
        <v>0</v>
      </c>
      <c r="I5285" s="140" t="s">
        <v>17</v>
      </c>
    </row>
    <row r="5286" spans="1:9" hidden="1" x14ac:dyDescent="0.25">
      <c r="A5286">
        <v>2007</v>
      </c>
      <c r="B5286" s="140" t="s">
        <v>470</v>
      </c>
      <c r="C5286" s="140" t="s">
        <v>243</v>
      </c>
      <c r="D5286" s="140" t="s">
        <v>11</v>
      </c>
      <c r="E5286" s="140" t="s">
        <v>55</v>
      </c>
      <c r="F5286">
        <v>7630</v>
      </c>
      <c r="G5286" s="140" t="s">
        <v>471</v>
      </c>
      <c r="H5286">
        <v>0</v>
      </c>
      <c r="I5286" s="140" t="s">
        <v>17</v>
      </c>
    </row>
    <row r="5287" spans="1:9" hidden="1" x14ac:dyDescent="0.25">
      <c r="A5287">
        <v>2008</v>
      </c>
      <c r="B5287" s="140" t="s">
        <v>470</v>
      </c>
      <c r="C5287" s="140" t="s">
        <v>243</v>
      </c>
      <c r="D5287" s="140" t="s">
        <v>11</v>
      </c>
      <c r="E5287" s="140" t="s">
        <v>55</v>
      </c>
      <c r="F5287">
        <v>5287</v>
      </c>
      <c r="G5287" s="140" t="s">
        <v>471</v>
      </c>
      <c r="H5287">
        <v>0</v>
      </c>
      <c r="I5287" s="140" t="s">
        <v>17</v>
      </c>
    </row>
    <row r="5288" spans="1:9" hidden="1" x14ac:dyDescent="0.25">
      <c r="A5288">
        <v>2009</v>
      </c>
      <c r="B5288" s="140" t="s">
        <v>470</v>
      </c>
      <c r="C5288" s="140" t="s">
        <v>243</v>
      </c>
      <c r="D5288" s="140" t="s">
        <v>11</v>
      </c>
      <c r="E5288" s="140" t="s">
        <v>55</v>
      </c>
      <c r="F5288">
        <v>3678</v>
      </c>
      <c r="G5288" s="140" t="s">
        <v>471</v>
      </c>
      <c r="H5288">
        <v>0</v>
      </c>
      <c r="I5288" s="140" t="s">
        <v>17</v>
      </c>
    </row>
    <row r="5289" spans="1:9" hidden="1" x14ac:dyDescent="0.25">
      <c r="A5289">
        <v>2010</v>
      </c>
      <c r="B5289" s="140" t="s">
        <v>470</v>
      </c>
      <c r="C5289" s="140" t="s">
        <v>243</v>
      </c>
      <c r="D5289" s="140" t="s">
        <v>11</v>
      </c>
      <c r="E5289" s="140" t="s">
        <v>55</v>
      </c>
      <c r="F5289">
        <v>2561</v>
      </c>
      <c r="G5289" s="140" t="s">
        <v>471</v>
      </c>
      <c r="H5289">
        <v>0</v>
      </c>
      <c r="I5289" s="140" t="s">
        <v>17</v>
      </c>
    </row>
    <row r="5290" spans="1:9" hidden="1" x14ac:dyDescent="0.25">
      <c r="A5290">
        <v>2011</v>
      </c>
      <c r="B5290" s="140" t="s">
        <v>470</v>
      </c>
      <c r="C5290" s="140" t="s">
        <v>243</v>
      </c>
      <c r="D5290" s="140" t="s">
        <v>11</v>
      </c>
      <c r="E5290" s="140" t="s">
        <v>55</v>
      </c>
      <c r="F5290">
        <v>-3068</v>
      </c>
      <c r="G5290" s="140" t="s">
        <v>471</v>
      </c>
      <c r="H5290">
        <v>0</v>
      </c>
      <c r="I5290" s="140" t="s">
        <v>17</v>
      </c>
    </row>
    <row r="5291" spans="1:9" hidden="1" x14ac:dyDescent="0.25">
      <c r="A5291">
        <v>2012</v>
      </c>
      <c r="B5291" s="140" t="s">
        <v>470</v>
      </c>
      <c r="C5291" s="140" t="s">
        <v>243</v>
      </c>
      <c r="D5291" s="140" t="s">
        <v>11</v>
      </c>
      <c r="E5291" s="140" t="s">
        <v>55</v>
      </c>
      <c r="F5291">
        <v>-4470</v>
      </c>
      <c r="G5291" s="140" t="s">
        <v>471</v>
      </c>
      <c r="H5291">
        <v>0</v>
      </c>
      <c r="I5291" s="140" t="s">
        <v>17</v>
      </c>
    </row>
    <row r="5292" spans="1:9" hidden="1" x14ac:dyDescent="0.25">
      <c r="A5292">
        <v>2013</v>
      </c>
      <c r="B5292" s="140" t="s">
        <v>470</v>
      </c>
      <c r="C5292" s="140" t="s">
        <v>243</v>
      </c>
      <c r="D5292" s="140" t="s">
        <v>11</v>
      </c>
      <c r="E5292" s="140" t="s">
        <v>55</v>
      </c>
      <c r="F5292">
        <v>-3851</v>
      </c>
      <c r="G5292" s="140" t="s">
        <v>471</v>
      </c>
      <c r="H5292">
        <v>0</v>
      </c>
      <c r="I5292" s="140" t="s">
        <v>17</v>
      </c>
    </row>
    <row r="5293" spans="1:9" hidden="1" x14ac:dyDescent="0.25">
      <c r="A5293">
        <v>2014</v>
      </c>
      <c r="B5293" s="140" t="s">
        <v>470</v>
      </c>
      <c r="C5293" s="140" t="s">
        <v>243</v>
      </c>
      <c r="D5293" s="140" t="s">
        <v>11</v>
      </c>
      <c r="E5293" s="140" t="s">
        <v>55</v>
      </c>
      <c r="F5293">
        <v>-2811</v>
      </c>
      <c r="G5293" s="140" t="s">
        <v>471</v>
      </c>
      <c r="H5293">
        <v>0</v>
      </c>
      <c r="I5293" s="140" t="s">
        <v>17</v>
      </c>
    </row>
    <row r="5294" spans="1:9" hidden="1" x14ac:dyDescent="0.25">
      <c r="A5294">
        <v>2015</v>
      </c>
      <c r="B5294" s="140" t="s">
        <v>470</v>
      </c>
      <c r="C5294" s="140" t="s">
        <v>243</v>
      </c>
      <c r="D5294" s="140" t="s">
        <v>11</v>
      </c>
      <c r="E5294" s="140" t="s">
        <v>55</v>
      </c>
      <c r="F5294">
        <v>-1906</v>
      </c>
      <c r="G5294" s="140" t="s">
        <v>471</v>
      </c>
      <c r="H5294">
        <v>0</v>
      </c>
      <c r="I5294" s="140" t="s">
        <v>17</v>
      </c>
    </row>
    <row r="5295" spans="1:9" hidden="1" x14ac:dyDescent="0.25">
      <c r="A5295">
        <v>2016</v>
      </c>
      <c r="B5295" s="140" t="s">
        <v>470</v>
      </c>
      <c r="C5295" s="140" t="s">
        <v>243</v>
      </c>
      <c r="D5295" s="140" t="s">
        <v>11</v>
      </c>
      <c r="E5295" s="140" t="s">
        <v>55</v>
      </c>
      <c r="F5295">
        <v>-4252</v>
      </c>
      <c r="G5295" s="140" t="s">
        <v>471</v>
      </c>
      <c r="H5295">
        <v>0</v>
      </c>
      <c r="I5295" s="140" t="s">
        <v>17</v>
      </c>
    </row>
    <row r="5296" spans="1:9" hidden="1" x14ac:dyDescent="0.25">
      <c r="A5296">
        <v>2017</v>
      </c>
      <c r="B5296" s="140" t="s">
        <v>470</v>
      </c>
      <c r="C5296" s="140" t="s">
        <v>243</v>
      </c>
      <c r="D5296" s="140" t="s">
        <v>11</v>
      </c>
      <c r="E5296" s="140" t="s">
        <v>55</v>
      </c>
      <c r="F5296">
        <v>-1473</v>
      </c>
      <c r="G5296" s="140" t="s">
        <v>471</v>
      </c>
      <c r="H5296">
        <v>0</v>
      </c>
      <c r="I5296" s="140" t="s">
        <v>17</v>
      </c>
    </row>
    <row r="5297" spans="1:9" hidden="1" x14ac:dyDescent="0.25">
      <c r="A5297">
        <v>2018</v>
      </c>
      <c r="B5297" s="140" t="s">
        <v>470</v>
      </c>
      <c r="C5297" s="140" t="s">
        <v>243</v>
      </c>
      <c r="D5297" s="140" t="s">
        <v>11</v>
      </c>
      <c r="E5297" s="140" t="s">
        <v>55</v>
      </c>
      <c r="F5297">
        <v>-3740</v>
      </c>
      <c r="G5297" s="140" t="s">
        <v>471</v>
      </c>
      <c r="H5297">
        <v>0</v>
      </c>
      <c r="I5297" s="140" t="s">
        <v>17</v>
      </c>
    </row>
    <row r="5298" spans="1:9" hidden="1" x14ac:dyDescent="0.25">
      <c r="A5298">
        <v>2019</v>
      </c>
      <c r="B5298" s="140" t="s">
        <v>470</v>
      </c>
      <c r="C5298" s="140" t="s">
        <v>243</v>
      </c>
      <c r="D5298" s="140" t="s">
        <v>11</v>
      </c>
      <c r="E5298" s="140" t="s">
        <v>55</v>
      </c>
      <c r="F5298">
        <v>-326</v>
      </c>
      <c r="G5298" s="140" t="s">
        <v>471</v>
      </c>
      <c r="H5298">
        <v>0</v>
      </c>
      <c r="I5298" s="140" t="s">
        <v>17</v>
      </c>
    </row>
    <row r="5299" spans="1:9" hidden="1" x14ac:dyDescent="0.25">
      <c r="A5299">
        <v>2020</v>
      </c>
      <c r="B5299" s="140" t="s">
        <v>470</v>
      </c>
      <c r="C5299" s="140" t="s">
        <v>243</v>
      </c>
      <c r="D5299" s="140" t="s">
        <v>11</v>
      </c>
      <c r="E5299" s="140" t="s">
        <v>55</v>
      </c>
      <c r="F5299">
        <v>1004</v>
      </c>
      <c r="G5299" s="140" t="s">
        <v>471</v>
      </c>
      <c r="H5299">
        <v>0</v>
      </c>
      <c r="I5299" s="140" t="s">
        <v>17</v>
      </c>
    </row>
    <row r="5300" spans="1:9" hidden="1" x14ac:dyDescent="0.25">
      <c r="A5300">
        <v>2021</v>
      </c>
      <c r="B5300" s="140" t="s">
        <v>470</v>
      </c>
      <c r="C5300" s="140" t="s">
        <v>243</v>
      </c>
      <c r="D5300" s="140" t="s">
        <v>11</v>
      </c>
      <c r="E5300" s="140" t="s">
        <v>55</v>
      </c>
      <c r="F5300">
        <v>824</v>
      </c>
      <c r="G5300" s="140" t="s">
        <v>471</v>
      </c>
      <c r="H5300">
        <v>0</v>
      </c>
      <c r="I5300" s="140" t="s">
        <v>17</v>
      </c>
    </row>
    <row r="5301" spans="1:9" hidden="1" x14ac:dyDescent="0.25">
      <c r="A5301">
        <v>2022</v>
      </c>
      <c r="B5301" s="140" t="s">
        <v>470</v>
      </c>
      <c r="C5301" s="140" t="s">
        <v>243</v>
      </c>
      <c r="D5301" s="140" t="s">
        <v>11</v>
      </c>
      <c r="E5301" s="140" t="s">
        <v>55</v>
      </c>
      <c r="F5301">
        <v>-6895</v>
      </c>
      <c r="G5301" s="140" t="s">
        <v>471</v>
      </c>
      <c r="H5301">
        <v>0</v>
      </c>
      <c r="I5301" s="140" t="s">
        <v>17</v>
      </c>
    </row>
    <row r="5302" spans="1:9" hidden="1" x14ac:dyDescent="0.25">
      <c r="A5302">
        <v>2023</v>
      </c>
      <c r="B5302" s="140" t="s">
        <v>470</v>
      </c>
      <c r="C5302" s="140" t="s">
        <v>243</v>
      </c>
      <c r="D5302" s="140" t="s">
        <v>11</v>
      </c>
      <c r="E5302" s="140" t="s">
        <v>55</v>
      </c>
      <c r="F5302">
        <v>-2769</v>
      </c>
      <c r="G5302" s="140" t="s">
        <v>471</v>
      </c>
      <c r="H5302">
        <v>0</v>
      </c>
      <c r="I5302" s="140" t="s">
        <v>17</v>
      </c>
    </row>
    <row r="5303" spans="1:9" hidden="1" x14ac:dyDescent="0.25">
      <c r="A5303">
        <v>2024</v>
      </c>
      <c r="B5303" s="140" t="s">
        <v>470</v>
      </c>
      <c r="C5303" s="140" t="s">
        <v>243</v>
      </c>
      <c r="D5303" s="140" t="s">
        <v>11</v>
      </c>
      <c r="E5303" s="140" t="s">
        <v>55</v>
      </c>
      <c r="F5303">
        <v>-1526</v>
      </c>
      <c r="G5303" s="140" t="s">
        <v>471</v>
      </c>
      <c r="H5303">
        <v>0</v>
      </c>
      <c r="I5303" s="140" t="s">
        <v>17</v>
      </c>
    </row>
    <row r="5304" spans="1:9" hidden="1" x14ac:dyDescent="0.25">
      <c r="A5304">
        <v>2025</v>
      </c>
      <c r="B5304" s="140" t="s">
        <v>470</v>
      </c>
      <c r="C5304" s="140" t="s">
        <v>243</v>
      </c>
      <c r="D5304" s="140" t="s">
        <v>11</v>
      </c>
      <c r="E5304" s="140" t="s">
        <v>55</v>
      </c>
      <c r="F5304">
        <v>2917</v>
      </c>
      <c r="G5304" s="140" t="s">
        <v>471</v>
      </c>
      <c r="H5304">
        <v>0</v>
      </c>
      <c r="I5304" s="140" t="s">
        <v>17</v>
      </c>
    </row>
    <row r="5305" spans="1:9" hidden="1" x14ac:dyDescent="0.25">
      <c r="A5305">
        <v>2026</v>
      </c>
      <c r="B5305" s="140" t="s">
        <v>470</v>
      </c>
      <c r="C5305" s="140" t="s">
        <v>243</v>
      </c>
      <c r="D5305" s="140" t="s">
        <v>11</v>
      </c>
      <c r="E5305" s="140" t="s">
        <v>55</v>
      </c>
      <c r="F5305">
        <v>1186.4302769999999</v>
      </c>
      <c r="G5305" s="140" t="s">
        <v>471</v>
      </c>
      <c r="H5305">
        <v>0</v>
      </c>
      <c r="I5305" s="140" t="s">
        <v>17</v>
      </c>
    </row>
    <row r="5306" spans="1:9" hidden="1" x14ac:dyDescent="0.25">
      <c r="A5306">
        <v>2027</v>
      </c>
      <c r="B5306" s="140" t="s">
        <v>470</v>
      </c>
      <c r="C5306" s="140" t="s">
        <v>243</v>
      </c>
      <c r="D5306" s="140" t="s">
        <v>11</v>
      </c>
      <c r="E5306" s="140" t="s">
        <v>55</v>
      </c>
      <c r="F5306">
        <v>1569.4736089999999</v>
      </c>
      <c r="G5306" s="140" t="s">
        <v>471</v>
      </c>
      <c r="H5306">
        <v>0</v>
      </c>
      <c r="I5306" s="140" t="s">
        <v>17</v>
      </c>
    </row>
    <row r="5307" spans="1:9" hidden="1" x14ac:dyDescent="0.25">
      <c r="A5307">
        <v>2028</v>
      </c>
      <c r="B5307" s="140" t="s">
        <v>470</v>
      </c>
      <c r="C5307" s="140" t="s">
        <v>243</v>
      </c>
      <c r="D5307" s="140" t="s">
        <v>11</v>
      </c>
      <c r="E5307" s="140" t="s">
        <v>55</v>
      </c>
      <c r="F5307">
        <v>663.29497419999996</v>
      </c>
      <c r="G5307" s="140" t="s">
        <v>471</v>
      </c>
      <c r="H5307">
        <v>0</v>
      </c>
      <c r="I5307" s="140" t="s">
        <v>17</v>
      </c>
    </row>
    <row r="5308" spans="1:9" hidden="1" x14ac:dyDescent="0.25">
      <c r="A5308">
        <v>2029</v>
      </c>
      <c r="B5308" s="140" t="s">
        <v>470</v>
      </c>
      <c r="C5308" s="140" t="s">
        <v>243</v>
      </c>
      <c r="D5308" s="140" t="s">
        <v>11</v>
      </c>
      <c r="E5308" s="140" t="s">
        <v>55</v>
      </c>
      <c r="F5308">
        <v>410.80983529999997</v>
      </c>
      <c r="G5308" s="140" t="s">
        <v>471</v>
      </c>
      <c r="H5308">
        <v>0</v>
      </c>
      <c r="I5308" s="140" t="s">
        <v>17</v>
      </c>
    </row>
    <row r="5309" spans="1:9" hidden="1" x14ac:dyDescent="0.25">
      <c r="A5309">
        <v>2030</v>
      </c>
      <c r="B5309" s="140" t="s">
        <v>470</v>
      </c>
      <c r="C5309" s="140" t="s">
        <v>243</v>
      </c>
      <c r="D5309" s="140" t="s">
        <v>11</v>
      </c>
      <c r="E5309" s="140" t="s">
        <v>55</v>
      </c>
      <c r="F5309">
        <v>-66.064261630000004</v>
      </c>
      <c r="G5309" s="140" t="s">
        <v>471</v>
      </c>
      <c r="H5309">
        <v>0</v>
      </c>
      <c r="I5309" s="140" t="s">
        <v>17</v>
      </c>
    </row>
    <row r="5310" spans="1:9" hidden="1" x14ac:dyDescent="0.25">
      <c r="A5310">
        <v>1990</v>
      </c>
      <c r="B5310" s="140" t="s">
        <v>54</v>
      </c>
      <c r="C5310" s="140" t="s">
        <v>243</v>
      </c>
      <c r="D5310" s="140" t="s">
        <v>11</v>
      </c>
      <c r="E5310" s="140" t="s">
        <v>55</v>
      </c>
      <c r="F5310">
        <v>-4486</v>
      </c>
      <c r="G5310" s="140" t="s">
        <v>472</v>
      </c>
      <c r="H5310">
        <v>0</v>
      </c>
      <c r="I5310" s="140" t="s">
        <v>17</v>
      </c>
    </row>
    <row r="5311" spans="1:9" hidden="1" x14ac:dyDescent="0.25">
      <c r="A5311">
        <v>1991</v>
      </c>
      <c r="B5311" s="140" t="s">
        <v>54</v>
      </c>
      <c r="C5311" s="140" t="s">
        <v>243</v>
      </c>
      <c r="D5311" s="140" t="s">
        <v>11</v>
      </c>
      <c r="E5311" s="140" t="s">
        <v>55</v>
      </c>
      <c r="F5311">
        <v>-4565</v>
      </c>
      <c r="G5311" s="140" t="s">
        <v>472</v>
      </c>
      <c r="H5311">
        <v>0</v>
      </c>
      <c r="I5311" s="140" t="s">
        <v>17</v>
      </c>
    </row>
    <row r="5312" spans="1:9" hidden="1" x14ac:dyDescent="0.25">
      <c r="A5312">
        <v>1992</v>
      </c>
      <c r="B5312" s="140" t="s">
        <v>54</v>
      </c>
      <c r="C5312" s="140" t="s">
        <v>243</v>
      </c>
      <c r="D5312" s="140" t="s">
        <v>11</v>
      </c>
      <c r="E5312" s="140" t="s">
        <v>55</v>
      </c>
      <c r="F5312">
        <v>-3835</v>
      </c>
      <c r="G5312" s="140" t="s">
        <v>472</v>
      </c>
      <c r="H5312">
        <v>0</v>
      </c>
      <c r="I5312" s="140" t="s">
        <v>17</v>
      </c>
    </row>
    <row r="5313" spans="1:9" hidden="1" x14ac:dyDescent="0.25">
      <c r="A5313">
        <v>1993</v>
      </c>
      <c r="B5313" s="140" t="s">
        <v>54</v>
      </c>
      <c r="C5313" s="140" t="s">
        <v>243</v>
      </c>
      <c r="D5313" s="140" t="s">
        <v>11</v>
      </c>
      <c r="E5313" s="140" t="s">
        <v>55</v>
      </c>
      <c r="F5313">
        <v>-1079</v>
      </c>
      <c r="G5313" s="140" t="s">
        <v>472</v>
      </c>
      <c r="H5313">
        <v>0</v>
      </c>
      <c r="I5313" s="140" t="s">
        <v>17</v>
      </c>
    </row>
    <row r="5314" spans="1:9" hidden="1" x14ac:dyDescent="0.25">
      <c r="A5314">
        <v>1994</v>
      </c>
      <c r="B5314" s="140" t="s">
        <v>54</v>
      </c>
      <c r="C5314" s="140" t="s">
        <v>243</v>
      </c>
      <c r="D5314" s="140" t="s">
        <v>11</v>
      </c>
      <c r="E5314" s="140" t="s">
        <v>55</v>
      </c>
      <c r="F5314">
        <v>959</v>
      </c>
      <c r="G5314" s="140" t="s">
        <v>472</v>
      </c>
      <c r="H5314">
        <v>0</v>
      </c>
      <c r="I5314" s="140" t="s">
        <v>17</v>
      </c>
    </row>
    <row r="5315" spans="1:9" hidden="1" x14ac:dyDescent="0.25">
      <c r="A5315">
        <v>1995</v>
      </c>
      <c r="B5315" s="140" t="s">
        <v>54</v>
      </c>
      <c r="C5315" s="140" t="s">
        <v>243</v>
      </c>
      <c r="D5315" s="140" t="s">
        <v>11</v>
      </c>
      <c r="E5315" s="140" t="s">
        <v>55</v>
      </c>
      <c r="F5315">
        <v>4051</v>
      </c>
      <c r="G5315" s="140" t="s">
        <v>472</v>
      </c>
      <c r="H5315">
        <v>0</v>
      </c>
      <c r="I5315" s="140" t="s">
        <v>17</v>
      </c>
    </row>
    <row r="5316" spans="1:9" hidden="1" x14ac:dyDescent="0.25">
      <c r="A5316">
        <v>1996</v>
      </c>
      <c r="B5316" s="140" t="s">
        <v>54</v>
      </c>
      <c r="C5316" s="140" t="s">
        <v>243</v>
      </c>
      <c r="D5316" s="140" t="s">
        <v>11</v>
      </c>
      <c r="E5316" s="140" t="s">
        <v>55</v>
      </c>
      <c r="F5316">
        <v>3877</v>
      </c>
      <c r="G5316" s="140" t="s">
        <v>472</v>
      </c>
      <c r="H5316">
        <v>0</v>
      </c>
      <c r="I5316" s="140" t="s">
        <v>17</v>
      </c>
    </row>
    <row r="5317" spans="1:9" hidden="1" x14ac:dyDescent="0.25">
      <c r="A5317">
        <v>1997</v>
      </c>
      <c r="B5317" s="140" t="s">
        <v>54</v>
      </c>
      <c r="C5317" s="140" t="s">
        <v>243</v>
      </c>
      <c r="D5317" s="140" t="s">
        <v>11</v>
      </c>
      <c r="E5317" s="140" t="s">
        <v>55</v>
      </c>
      <c r="F5317">
        <v>5610</v>
      </c>
      <c r="G5317" s="140" t="s">
        <v>472</v>
      </c>
      <c r="H5317">
        <v>0</v>
      </c>
      <c r="I5317" s="140" t="s">
        <v>17</v>
      </c>
    </row>
    <row r="5318" spans="1:9" hidden="1" x14ac:dyDescent="0.25">
      <c r="A5318">
        <v>1998</v>
      </c>
      <c r="B5318" s="140" t="s">
        <v>54</v>
      </c>
      <c r="C5318" s="140" t="s">
        <v>243</v>
      </c>
      <c r="D5318" s="140" t="s">
        <v>11</v>
      </c>
      <c r="E5318" s="140" t="s">
        <v>55</v>
      </c>
      <c r="F5318">
        <v>6034</v>
      </c>
      <c r="G5318" s="140" t="s">
        <v>472</v>
      </c>
      <c r="H5318">
        <v>0</v>
      </c>
      <c r="I5318" s="140" t="s">
        <v>17</v>
      </c>
    </row>
    <row r="5319" spans="1:9" hidden="1" x14ac:dyDescent="0.25">
      <c r="A5319">
        <v>1999</v>
      </c>
      <c r="B5319" s="140" t="s">
        <v>54</v>
      </c>
      <c r="C5319" s="140" t="s">
        <v>243</v>
      </c>
      <c r="D5319" s="140" t="s">
        <v>11</v>
      </c>
      <c r="E5319" s="140" t="s">
        <v>55</v>
      </c>
      <c r="F5319">
        <v>6534</v>
      </c>
      <c r="G5319" s="140" t="s">
        <v>472</v>
      </c>
      <c r="H5319">
        <v>0</v>
      </c>
      <c r="I5319" s="140" t="s">
        <v>17</v>
      </c>
    </row>
    <row r="5320" spans="1:9" hidden="1" x14ac:dyDescent="0.25">
      <c r="A5320">
        <v>2000</v>
      </c>
      <c r="B5320" s="140" t="s">
        <v>54</v>
      </c>
      <c r="C5320" s="140" t="s">
        <v>243</v>
      </c>
      <c r="D5320" s="140" t="s">
        <v>11</v>
      </c>
      <c r="E5320" s="140" t="s">
        <v>55</v>
      </c>
      <c r="F5320">
        <v>10280</v>
      </c>
      <c r="G5320" s="140" t="s">
        <v>472</v>
      </c>
      <c r="H5320">
        <v>0</v>
      </c>
      <c r="I5320" s="140" t="s">
        <v>17</v>
      </c>
    </row>
    <row r="5321" spans="1:9" hidden="1" x14ac:dyDescent="0.25">
      <c r="A5321">
        <v>2001</v>
      </c>
      <c r="B5321" s="140" t="s">
        <v>54</v>
      </c>
      <c r="C5321" s="140" t="s">
        <v>243</v>
      </c>
      <c r="D5321" s="140" t="s">
        <v>11</v>
      </c>
      <c r="E5321" s="140" t="s">
        <v>55</v>
      </c>
      <c r="F5321">
        <v>11636</v>
      </c>
      <c r="G5321" s="140" t="s">
        <v>472</v>
      </c>
      <c r="H5321">
        <v>0</v>
      </c>
      <c r="I5321" s="140" t="s">
        <v>17</v>
      </c>
    </row>
    <row r="5322" spans="1:9" hidden="1" x14ac:dyDescent="0.25">
      <c r="A5322">
        <v>2002</v>
      </c>
      <c r="B5322" s="140" t="s">
        <v>54</v>
      </c>
      <c r="C5322" s="140" t="s">
        <v>243</v>
      </c>
      <c r="D5322" s="140" t="s">
        <v>11</v>
      </c>
      <c r="E5322" s="140" t="s">
        <v>55</v>
      </c>
      <c r="F5322">
        <v>12150</v>
      </c>
      <c r="G5322" s="140" t="s">
        <v>472</v>
      </c>
      <c r="H5322">
        <v>0</v>
      </c>
      <c r="I5322" s="140" t="s">
        <v>17</v>
      </c>
    </row>
    <row r="5323" spans="1:9" hidden="1" x14ac:dyDescent="0.25">
      <c r="A5323">
        <v>2003</v>
      </c>
      <c r="B5323" s="140" t="s">
        <v>54</v>
      </c>
      <c r="C5323" s="140" t="s">
        <v>243</v>
      </c>
      <c r="D5323" s="140" t="s">
        <v>11</v>
      </c>
      <c r="E5323" s="140" t="s">
        <v>55</v>
      </c>
      <c r="F5323">
        <v>7027</v>
      </c>
      <c r="G5323" s="140" t="s">
        <v>472</v>
      </c>
      <c r="H5323">
        <v>0</v>
      </c>
      <c r="I5323" s="140" t="s">
        <v>17</v>
      </c>
    </row>
    <row r="5324" spans="1:9" hidden="1" x14ac:dyDescent="0.25">
      <c r="A5324">
        <v>2004</v>
      </c>
      <c r="B5324" s="140" t="s">
        <v>54</v>
      </c>
      <c r="C5324" s="140" t="s">
        <v>243</v>
      </c>
      <c r="D5324" s="140" t="s">
        <v>11</v>
      </c>
      <c r="E5324" s="140" t="s">
        <v>55</v>
      </c>
      <c r="F5324">
        <v>9438</v>
      </c>
      <c r="G5324" s="140" t="s">
        <v>472</v>
      </c>
      <c r="H5324">
        <v>0</v>
      </c>
      <c r="I5324" s="140" t="s">
        <v>17</v>
      </c>
    </row>
    <row r="5325" spans="1:9" hidden="1" x14ac:dyDescent="0.25">
      <c r="A5325">
        <v>2005</v>
      </c>
      <c r="B5325" s="140" t="s">
        <v>54</v>
      </c>
      <c r="C5325" s="140" t="s">
        <v>243</v>
      </c>
      <c r="D5325" s="140" t="s">
        <v>11</v>
      </c>
      <c r="E5325" s="140" t="s">
        <v>55</v>
      </c>
      <c r="F5325">
        <v>5276</v>
      </c>
      <c r="G5325" s="140" t="s">
        <v>472</v>
      </c>
      <c r="H5325">
        <v>0</v>
      </c>
      <c r="I5325" s="140" t="s">
        <v>17</v>
      </c>
    </row>
    <row r="5326" spans="1:9" hidden="1" x14ac:dyDescent="0.25">
      <c r="A5326">
        <v>2006</v>
      </c>
      <c r="B5326" s="140" t="s">
        <v>54</v>
      </c>
      <c r="C5326" s="140" t="s">
        <v>243</v>
      </c>
      <c r="D5326" s="140" t="s">
        <v>11</v>
      </c>
      <c r="E5326" s="140" t="s">
        <v>55</v>
      </c>
      <c r="F5326">
        <v>6797.3624799999998</v>
      </c>
      <c r="G5326" s="140" t="s">
        <v>472</v>
      </c>
      <c r="H5326">
        <v>0</v>
      </c>
      <c r="I5326" s="140" t="s">
        <v>17</v>
      </c>
    </row>
    <row r="5327" spans="1:9" hidden="1" x14ac:dyDescent="0.25">
      <c r="A5327">
        <v>2007</v>
      </c>
      <c r="B5327" s="140" t="s">
        <v>54</v>
      </c>
      <c r="C5327" s="140" t="s">
        <v>243</v>
      </c>
      <c r="D5327" s="140" t="s">
        <v>11</v>
      </c>
      <c r="E5327" s="140" t="s">
        <v>55</v>
      </c>
      <c r="F5327">
        <v>7535.3729499999999</v>
      </c>
      <c r="G5327" s="140" t="s">
        <v>472</v>
      </c>
      <c r="H5327">
        <v>0</v>
      </c>
      <c r="I5327" s="140" t="s">
        <v>17</v>
      </c>
    </row>
    <row r="5328" spans="1:9" hidden="1" x14ac:dyDescent="0.25">
      <c r="A5328">
        <v>2008</v>
      </c>
      <c r="B5328" s="140" t="s">
        <v>54</v>
      </c>
      <c r="C5328" s="140" t="s">
        <v>243</v>
      </c>
      <c r="D5328" s="140" t="s">
        <v>11</v>
      </c>
      <c r="E5328" s="140" t="s">
        <v>55</v>
      </c>
      <c r="F5328">
        <v>4938.9679299999998</v>
      </c>
      <c r="G5328" s="140" t="s">
        <v>472</v>
      </c>
      <c r="H5328">
        <v>0</v>
      </c>
      <c r="I5328" s="140" t="s">
        <v>17</v>
      </c>
    </row>
    <row r="5329" spans="1:9" hidden="1" x14ac:dyDescent="0.25">
      <c r="A5329">
        <v>2009</v>
      </c>
      <c r="B5329" s="140" t="s">
        <v>54</v>
      </c>
      <c r="C5329" s="140" t="s">
        <v>243</v>
      </c>
      <c r="D5329" s="140" t="s">
        <v>11</v>
      </c>
      <c r="E5329" s="140" t="s">
        <v>55</v>
      </c>
      <c r="F5329">
        <v>3627.0980500000001</v>
      </c>
      <c r="G5329" s="140" t="s">
        <v>472</v>
      </c>
      <c r="H5329">
        <v>0</v>
      </c>
      <c r="I5329" s="140" t="s">
        <v>17</v>
      </c>
    </row>
    <row r="5330" spans="1:9" hidden="1" x14ac:dyDescent="0.25">
      <c r="A5330">
        <v>2010</v>
      </c>
      <c r="B5330" s="140" t="s">
        <v>54</v>
      </c>
      <c r="C5330" s="140" t="s">
        <v>243</v>
      </c>
      <c r="D5330" s="140" t="s">
        <v>11</v>
      </c>
      <c r="E5330" s="140" t="s">
        <v>55</v>
      </c>
      <c r="F5330">
        <v>2562.9452099999999</v>
      </c>
      <c r="G5330" s="140" t="s">
        <v>472</v>
      </c>
      <c r="H5330">
        <v>0</v>
      </c>
      <c r="I5330" s="140" t="s">
        <v>17</v>
      </c>
    </row>
    <row r="5331" spans="1:9" hidden="1" x14ac:dyDescent="0.25">
      <c r="A5331">
        <v>2011</v>
      </c>
      <c r="B5331" s="140" t="s">
        <v>54</v>
      </c>
      <c r="C5331" s="140" t="s">
        <v>243</v>
      </c>
      <c r="D5331" s="140" t="s">
        <v>11</v>
      </c>
      <c r="E5331" s="140" t="s">
        <v>55</v>
      </c>
      <c r="F5331">
        <v>-3067.4244600000002</v>
      </c>
      <c r="G5331" s="140" t="s">
        <v>472</v>
      </c>
      <c r="H5331">
        <v>0</v>
      </c>
      <c r="I5331" s="140" t="s">
        <v>17</v>
      </c>
    </row>
    <row r="5332" spans="1:9" hidden="1" x14ac:dyDescent="0.25">
      <c r="A5332">
        <v>2012</v>
      </c>
      <c r="B5332" s="140" t="s">
        <v>54</v>
      </c>
      <c r="C5332" s="140" t="s">
        <v>243</v>
      </c>
      <c r="D5332" s="140" t="s">
        <v>11</v>
      </c>
      <c r="E5332" s="140" t="s">
        <v>55</v>
      </c>
      <c r="F5332">
        <v>-4468.4930899999999</v>
      </c>
      <c r="G5332" s="140" t="s">
        <v>472</v>
      </c>
      <c r="H5332">
        <v>0</v>
      </c>
      <c r="I5332" s="140" t="s">
        <v>17</v>
      </c>
    </row>
    <row r="5333" spans="1:9" hidden="1" x14ac:dyDescent="0.25">
      <c r="A5333">
        <v>2013</v>
      </c>
      <c r="B5333" s="140" t="s">
        <v>54</v>
      </c>
      <c r="C5333" s="140" t="s">
        <v>243</v>
      </c>
      <c r="D5333" s="140" t="s">
        <v>11</v>
      </c>
      <c r="E5333" s="140" t="s">
        <v>55</v>
      </c>
      <c r="F5333">
        <v>-3831.9642800000001</v>
      </c>
      <c r="G5333" s="140" t="s">
        <v>472</v>
      </c>
      <c r="H5333">
        <v>0</v>
      </c>
      <c r="I5333" s="140" t="s">
        <v>17</v>
      </c>
    </row>
    <row r="5334" spans="1:9" hidden="1" x14ac:dyDescent="0.25">
      <c r="A5334">
        <v>2014</v>
      </c>
      <c r="B5334" s="140" t="s">
        <v>54</v>
      </c>
      <c r="C5334" s="140" t="s">
        <v>243</v>
      </c>
      <c r="D5334" s="140" t="s">
        <v>11</v>
      </c>
      <c r="E5334" s="140" t="s">
        <v>55</v>
      </c>
      <c r="F5334">
        <v>-2793.3003699999999</v>
      </c>
      <c r="G5334" s="140" t="s">
        <v>472</v>
      </c>
      <c r="H5334">
        <v>0</v>
      </c>
      <c r="I5334" s="140" t="s">
        <v>17</v>
      </c>
    </row>
    <row r="5335" spans="1:9" hidden="1" x14ac:dyDescent="0.25">
      <c r="A5335">
        <v>2015</v>
      </c>
      <c r="B5335" s="140" t="s">
        <v>54</v>
      </c>
      <c r="C5335" s="140" t="s">
        <v>243</v>
      </c>
      <c r="D5335" s="140" t="s">
        <v>11</v>
      </c>
      <c r="E5335" s="140" t="s">
        <v>55</v>
      </c>
      <c r="F5335">
        <v>-1908.5627500000001</v>
      </c>
      <c r="G5335" s="140" t="s">
        <v>472</v>
      </c>
      <c r="H5335">
        <v>0</v>
      </c>
      <c r="I5335" s="140" t="s">
        <v>17</v>
      </c>
    </row>
    <row r="5336" spans="1:9" hidden="1" x14ac:dyDescent="0.25">
      <c r="A5336">
        <v>2016</v>
      </c>
      <c r="B5336" s="140" t="s">
        <v>54</v>
      </c>
      <c r="C5336" s="140" t="s">
        <v>243</v>
      </c>
      <c r="D5336" s="140" t="s">
        <v>11</v>
      </c>
      <c r="E5336" s="140" t="s">
        <v>55</v>
      </c>
      <c r="F5336">
        <v>-4251.5663500000001</v>
      </c>
      <c r="G5336" s="140" t="s">
        <v>472</v>
      </c>
      <c r="H5336">
        <v>0</v>
      </c>
      <c r="I5336" s="140" t="s">
        <v>17</v>
      </c>
    </row>
    <row r="5337" spans="1:9" hidden="1" x14ac:dyDescent="0.25">
      <c r="A5337">
        <v>2017</v>
      </c>
      <c r="B5337" s="140" t="s">
        <v>54</v>
      </c>
      <c r="C5337" s="140" t="s">
        <v>243</v>
      </c>
      <c r="D5337" s="140" t="s">
        <v>11</v>
      </c>
      <c r="E5337" s="140" t="s">
        <v>55</v>
      </c>
      <c r="F5337">
        <v>-1472.19973</v>
      </c>
      <c r="G5337" s="140" t="s">
        <v>472</v>
      </c>
      <c r="H5337">
        <v>0</v>
      </c>
      <c r="I5337" s="140" t="s">
        <v>17</v>
      </c>
    </row>
    <row r="5338" spans="1:9" hidden="1" x14ac:dyDescent="0.25">
      <c r="A5338">
        <v>2018</v>
      </c>
      <c r="B5338" s="140" t="s">
        <v>54</v>
      </c>
      <c r="C5338" s="140" t="s">
        <v>243</v>
      </c>
      <c r="D5338" s="140" t="s">
        <v>11</v>
      </c>
      <c r="E5338" s="140" t="s">
        <v>55</v>
      </c>
      <c r="F5338">
        <v>-3736.0698699999998</v>
      </c>
      <c r="G5338" s="140" t="s">
        <v>472</v>
      </c>
      <c r="H5338">
        <v>0</v>
      </c>
      <c r="I5338" s="140" t="s">
        <v>17</v>
      </c>
    </row>
    <row r="5339" spans="1:9" hidden="1" x14ac:dyDescent="0.25">
      <c r="A5339">
        <v>2019</v>
      </c>
      <c r="B5339" s="140" t="s">
        <v>54</v>
      </c>
      <c r="C5339" s="140" t="s">
        <v>243</v>
      </c>
      <c r="D5339" s="140" t="s">
        <v>11</v>
      </c>
      <c r="E5339" s="140" t="s">
        <v>55</v>
      </c>
      <c r="F5339">
        <v>-328.42653000000001</v>
      </c>
      <c r="G5339" s="140" t="s">
        <v>472</v>
      </c>
      <c r="H5339">
        <v>0</v>
      </c>
      <c r="I5339" s="140" t="s">
        <v>17</v>
      </c>
    </row>
    <row r="5340" spans="1:9" hidden="1" x14ac:dyDescent="0.25">
      <c r="A5340">
        <v>2020</v>
      </c>
      <c r="B5340" s="140" t="s">
        <v>54</v>
      </c>
      <c r="C5340" s="140" t="s">
        <v>243</v>
      </c>
      <c r="D5340" s="140" t="s">
        <v>11</v>
      </c>
      <c r="E5340" s="140" t="s">
        <v>55</v>
      </c>
      <c r="F5340">
        <v>1000.13488</v>
      </c>
      <c r="G5340" s="140" t="s">
        <v>472</v>
      </c>
      <c r="H5340">
        <v>0</v>
      </c>
      <c r="I5340" s="140" t="s">
        <v>17</v>
      </c>
    </row>
    <row r="5341" spans="1:9" hidden="1" x14ac:dyDescent="0.25">
      <c r="A5341">
        <v>2021</v>
      </c>
      <c r="B5341" s="140" t="s">
        <v>54</v>
      </c>
      <c r="C5341" s="140" t="s">
        <v>243</v>
      </c>
      <c r="D5341" s="140" t="s">
        <v>11</v>
      </c>
      <c r="E5341" s="140" t="s">
        <v>55</v>
      </c>
      <c r="F5341">
        <v>822.39302999999995</v>
      </c>
      <c r="G5341" s="140" t="s">
        <v>472</v>
      </c>
      <c r="H5341">
        <v>0</v>
      </c>
      <c r="I5341" s="140" t="s">
        <v>17</v>
      </c>
    </row>
    <row r="5342" spans="1:9" hidden="1" x14ac:dyDescent="0.25">
      <c r="A5342">
        <v>2022</v>
      </c>
      <c r="B5342" s="140" t="s">
        <v>54</v>
      </c>
      <c r="C5342" s="140" t="s">
        <v>243</v>
      </c>
      <c r="D5342" s="140" t="s">
        <v>11</v>
      </c>
      <c r="E5342" s="140" t="s">
        <v>55</v>
      </c>
      <c r="F5342">
        <v>-6896.84908</v>
      </c>
      <c r="G5342" s="140" t="s">
        <v>472</v>
      </c>
      <c r="H5342">
        <v>0</v>
      </c>
      <c r="I5342" s="140" t="s">
        <v>17</v>
      </c>
    </row>
    <row r="5343" spans="1:9" hidden="1" x14ac:dyDescent="0.25">
      <c r="A5343">
        <v>2023</v>
      </c>
      <c r="B5343" s="140" t="s">
        <v>54</v>
      </c>
      <c r="C5343" s="140" t="s">
        <v>243</v>
      </c>
      <c r="D5343" s="140" t="s">
        <v>11</v>
      </c>
      <c r="E5343" s="140" t="s">
        <v>55</v>
      </c>
      <c r="F5343">
        <v>-2770.5021700000002</v>
      </c>
      <c r="G5343" s="140" t="s">
        <v>472</v>
      </c>
      <c r="H5343">
        <v>0</v>
      </c>
      <c r="I5343" s="140" t="s">
        <v>17</v>
      </c>
    </row>
    <row r="5344" spans="1:9" hidden="1" x14ac:dyDescent="0.25">
      <c r="A5344">
        <v>2024</v>
      </c>
      <c r="B5344" s="140" t="s">
        <v>54</v>
      </c>
      <c r="C5344" s="140" t="s">
        <v>243</v>
      </c>
      <c r="D5344" s="140" t="s">
        <v>11</v>
      </c>
      <c r="E5344" s="140" t="s">
        <v>55</v>
      </c>
      <c r="F5344">
        <v>-1525.4922099999999</v>
      </c>
      <c r="G5344" s="140" t="s">
        <v>472</v>
      </c>
      <c r="H5344">
        <v>0</v>
      </c>
      <c r="I5344" s="140" t="s">
        <v>17</v>
      </c>
    </row>
    <row r="5345" spans="1:9" hidden="1" x14ac:dyDescent="0.25">
      <c r="A5345">
        <v>2025</v>
      </c>
      <c r="B5345" s="140" t="s">
        <v>54</v>
      </c>
      <c r="C5345" s="140" t="s">
        <v>243</v>
      </c>
      <c r="D5345" s="140" t="s">
        <v>11</v>
      </c>
      <c r="E5345" s="140" t="s">
        <v>55</v>
      </c>
      <c r="F5345">
        <v>2922.4947099999999</v>
      </c>
      <c r="G5345" s="140" t="s">
        <v>472</v>
      </c>
      <c r="H5345">
        <v>0</v>
      </c>
      <c r="I5345" s="140" t="s">
        <v>17</v>
      </c>
    </row>
    <row r="5346" spans="1:9" hidden="1" x14ac:dyDescent="0.25">
      <c r="A5346">
        <v>2026</v>
      </c>
      <c r="B5346" s="140" t="s">
        <v>54</v>
      </c>
      <c r="C5346" s="140" t="s">
        <v>243</v>
      </c>
      <c r="D5346" s="140" t="s">
        <v>11</v>
      </c>
      <c r="E5346" s="140" t="s">
        <v>55</v>
      </c>
      <c r="F5346">
        <v>1191.9249870000001</v>
      </c>
      <c r="G5346" s="140" t="s">
        <v>472</v>
      </c>
      <c r="H5346">
        <v>0</v>
      </c>
      <c r="I5346" s="140" t="s">
        <v>17</v>
      </c>
    </row>
    <row r="5347" spans="1:9" hidden="1" x14ac:dyDescent="0.25">
      <c r="A5347">
        <v>2027</v>
      </c>
      <c r="B5347" s="140" t="s">
        <v>54</v>
      </c>
      <c r="C5347" s="140" t="s">
        <v>243</v>
      </c>
      <c r="D5347" s="140" t="s">
        <v>11</v>
      </c>
      <c r="E5347" s="140" t="s">
        <v>55</v>
      </c>
      <c r="F5347">
        <v>1574.9683190000001</v>
      </c>
      <c r="G5347" s="140" t="s">
        <v>472</v>
      </c>
      <c r="H5347">
        <v>0</v>
      </c>
      <c r="I5347" s="140" t="s">
        <v>17</v>
      </c>
    </row>
    <row r="5348" spans="1:9" hidden="1" x14ac:dyDescent="0.25">
      <c r="A5348">
        <v>2028</v>
      </c>
      <c r="B5348" s="140" t="s">
        <v>54</v>
      </c>
      <c r="C5348" s="140" t="s">
        <v>243</v>
      </c>
      <c r="D5348" s="140" t="s">
        <v>11</v>
      </c>
      <c r="E5348" s="140" t="s">
        <v>55</v>
      </c>
      <c r="F5348">
        <v>668.78968420000001</v>
      </c>
      <c r="G5348" s="140" t="s">
        <v>472</v>
      </c>
      <c r="H5348">
        <v>0</v>
      </c>
      <c r="I5348" s="140" t="s">
        <v>17</v>
      </c>
    </row>
    <row r="5349" spans="1:9" hidden="1" x14ac:dyDescent="0.25">
      <c r="A5349">
        <v>2029</v>
      </c>
      <c r="B5349" s="140" t="s">
        <v>54</v>
      </c>
      <c r="C5349" s="140" t="s">
        <v>243</v>
      </c>
      <c r="D5349" s="140" t="s">
        <v>11</v>
      </c>
      <c r="E5349" s="140" t="s">
        <v>55</v>
      </c>
      <c r="F5349">
        <v>416.30454529999997</v>
      </c>
      <c r="G5349" s="140" t="s">
        <v>472</v>
      </c>
      <c r="H5349">
        <v>0</v>
      </c>
      <c r="I5349" s="140" t="s">
        <v>17</v>
      </c>
    </row>
    <row r="5350" spans="1:9" hidden="1" x14ac:dyDescent="0.25">
      <c r="A5350">
        <v>2030</v>
      </c>
      <c r="B5350" s="140" t="s">
        <v>54</v>
      </c>
      <c r="C5350" s="140" t="s">
        <v>243</v>
      </c>
      <c r="D5350" s="140" t="s">
        <v>11</v>
      </c>
      <c r="E5350" s="140" t="s">
        <v>55</v>
      </c>
      <c r="F5350">
        <v>-60.569551629999999</v>
      </c>
      <c r="G5350" s="140" t="s">
        <v>472</v>
      </c>
      <c r="H5350">
        <v>0</v>
      </c>
      <c r="I5350" s="140" t="s">
        <v>17</v>
      </c>
    </row>
    <row r="5351" spans="1:9" hidden="1" x14ac:dyDescent="0.25">
      <c r="A5351">
        <v>1990</v>
      </c>
      <c r="B5351" s="140" t="s">
        <v>316</v>
      </c>
      <c r="C5351" s="140" t="s">
        <v>242</v>
      </c>
      <c r="D5351" s="140" t="s">
        <v>11</v>
      </c>
      <c r="E5351" s="140" t="s">
        <v>12</v>
      </c>
      <c r="F5351">
        <v>4544</v>
      </c>
      <c r="G5351" s="140" t="s">
        <v>473</v>
      </c>
      <c r="H5351">
        <v>0</v>
      </c>
      <c r="I5351" s="140" t="s">
        <v>17</v>
      </c>
    </row>
    <row r="5352" spans="1:9" hidden="1" x14ac:dyDescent="0.25">
      <c r="A5352">
        <v>1991</v>
      </c>
      <c r="B5352" s="140" t="s">
        <v>316</v>
      </c>
      <c r="C5352" s="140" t="s">
        <v>242</v>
      </c>
      <c r="D5352" s="140" t="s">
        <v>11</v>
      </c>
      <c r="E5352" s="140" t="s">
        <v>12</v>
      </c>
      <c r="F5352">
        <v>4711</v>
      </c>
      <c r="G5352" s="140" t="s">
        <v>473</v>
      </c>
      <c r="H5352">
        <v>0</v>
      </c>
      <c r="I5352" s="140" t="s">
        <v>17</v>
      </c>
    </row>
    <row r="5353" spans="1:9" hidden="1" x14ac:dyDescent="0.25">
      <c r="A5353">
        <v>1992</v>
      </c>
      <c r="B5353" s="140" t="s">
        <v>316</v>
      </c>
      <c r="C5353" s="140" t="s">
        <v>242</v>
      </c>
      <c r="D5353" s="140" t="s">
        <v>11</v>
      </c>
      <c r="E5353" s="140" t="s">
        <v>12</v>
      </c>
      <c r="F5353">
        <v>3954</v>
      </c>
      <c r="G5353" s="140" t="s">
        <v>473</v>
      </c>
      <c r="H5353">
        <v>0</v>
      </c>
      <c r="I5353" s="140" t="s">
        <v>17</v>
      </c>
    </row>
    <row r="5354" spans="1:9" hidden="1" x14ac:dyDescent="0.25">
      <c r="A5354">
        <v>1993</v>
      </c>
      <c r="B5354" s="140" t="s">
        <v>316</v>
      </c>
      <c r="C5354" s="140" t="s">
        <v>242</v>
      </c>
      <c r="D5354" s="140" t="s">
        <v>11</v>
      </c>
      <c r="E5354" s="140" t="s">
        <v>12</v>
      </c>
      <c r="F5354">
        <v>1202</v>
      </c>
      <c r="G5354" s="140" t="s">
        <v>473</v>
      </c>
      <c r="H5354">
        <v>0</v>
      </c>
      <c r="I5354" s="140" t="s">
        <v>17</v>
      </c>
    </row>
    <row r="5355" spans="1:9" hidden="1" x14ac:dyDescent="0.25">
      <c r="A5355">
        <v>1994</v>
      </c>
      <c r="B5355" s="140" t="s">
        <v>316</v>
      </c>
      <c r="C5355" s="140" t="s">
        <v>242</v>
      </c>
      <c r="D5355" s="140" t="s">
        <v>11</v>
      </c>
      <c r="E5355" s="140" t="s">
        <v>12</v>
      </c>
      <c r="F5355">
        <v>-831</v>
      </c>
      <c r="G5355" s="140" t="s">
        <v>473</v>
      </c>
      <c r="H5355">
        <v>0</v>
      </c>
      <c r="I5355" s="140" t="s">
        <v>17</v>
      </c>
    </row>
    <row r="5356" spans="1:9" hidden="1" x14ac:dyDescent="0.25">
      <c r="A5356">
        <v>1995</v>
      </c>
      <c r="B5356" s="140" t="s">
        <v>316</v>
      </c>
      <c r="C5356" s="140" t="s">
        <v>242</v>
      </c>
      <c r="D5356" s="140" t="s">
        <v>11</v>
      </c>
      <c r="E5356" s="140" t="s">
        <v>12</v>
      </c>
      <c r="F5356">
        <v>-3798</v>
      </c>
      <c r="G5356" s="140" t="s">
        <v>473</v>
      </c>
      <c r="H5356">
        <v>0</v>
      </c>
      <c r="I5356" s="140" t="s">
        <v>17</v>
      </c>
    </row>
    <row r="5357" spans="1:9" hidden="1" x14ac:dyDescent="0.25">
      <c r="A5357">
        <v>1996</v>
      </c>
      <c r="B5357" s="140" t="s">
        <v>316</v>
      </c>
      <c r="C5357" s="140" t="s">
        <v>242</v>
      </c>
      <c r="D5357" s="140" t="s">
        <v>11</v>
      </c>
      <c r="E5357" s="140" t="s">
        <v>12</v>
      </c>
      <c r="F5357">
        <v>-3714</v>
      </c>
      <c r="G5357" s="140" t="s">
        <v>473</v>
      </c>
      <c r="H5357">
        <v>0</v>
      </c>
      <c r="I5357" s="140" t="s">
        <v>17</v>
      </c>
    </row>
    <row r="5358" spans="1:9" hidden="1" x14ac:dyDescent="0.25">
      <c r="A5358">
        <v>1997</v>
      </c>
      <c r="B5358" s="140" t="s">
        <v>316</v>
      </c>
      <c r="C5358" s="140" t="s">
        <v>242</v>
      </c>
      <c r="D5358" s="140" t="s">
        <v>11</v>
      </c>
      <c r="E5358" s="140" t="s">
        <v>12</v>
      </c>
      <c r="F5358">
        <v>-5434</v>
      </c>
      <c r="G5358" s="140" t="s">
        <v>473</v>
      </c>
      <c r="H5358">
        <v>0</v>
      </c>
      <c r="I5358" s="140" t="s">
        <v>17</v>
      </c>
    </row>
    <row r="5359" spans="1:9" hidden="1" x14ac:dyDescent="0.25">
      <c r="A5359">
        <v>1998</v>
      </c>
      <c r="B5359" s="140" t="s">
        <v>316</v>
      </c>
      <c r="C5359" s="140" t="s">
        <v>242</v>
      </c>
      <c r="D5359" s="140" t="s">
        <v>11</v>
      </c>
      <c r="E5359" s="140" t="s">
        <v>12</v>
      </c>
      <c r="F5359">
        <v>-5996</v>
      </c>
      <c r="G5359" s="140" t="s">
        <v>473</v>
      </c>
      <c r="H5359">
        <v>0</v>
      </c>
      <c r="I5359" s="140" t="s">
        <v>17</v>
      </c>
    </row>
    <row r="5360" spans="1:9" hidden="1" x14ac:dyDescent="0.25">
      <c r="A5360">
        <v>1999</v>
      </c>
      <c r="B5360" s="140" t="s">
        <v>316</v>
      </c>
      <c r="C5360" s="140" t="s">
        <v>242</v>
      </c>
      <c r="D5360" s="140" t="s">
        <v>11</v>
      </c>
      <c r="E5360" s="140" t="s">
        <v>12</v>
      </c>
      <c r="F5360">
        <v>-8731</v>
      </c>
      <c r="G5360" s="140" t="s">
        <v>473</v>
      </c>
      <c r="H5360">
        <v>0</v>
      </c>
      <c r="I5360" s="140" t="s">
        <v>17</v>
      </c>
    </row>
    <row r="5361" spans="1:9" hidden="1" x14ac:dyDescent="0.25">
      <c r="A5361">
        <v>2000</v>
      </c>
      <c r="B5361" s="140" t="s">
        <v>316</v>
      </c>
      <c r="C5361" s="140" t="s">
        <v>242</v>
      </c>
      <c r="D5361" s="140" t="s">
        <v>11</v>
      </c>
      <c r="E5361" s="140" t="s">
        <v>12</v>
      </c>
      <c r="F5361">
        <v>-10335</v>
      </c>
      <c r="G5361" s="140" t="s">
        <v>473</v>
      </c>
      <c r="H5361">
        <v>0</v>
      </c>
      <c r="I5361" s="140" t="s">
        <v>17</v>
      </c>
    </row>
    <row r="5362" spans="1:9" hidden="1" x14ac:dyDescent="0.25">
      <c r="A5362">
        <v>2001</v>
      </c>
      <c r="B5362" s="140" t="s">
        <v>316</v>
      </c>
      <c r="C5362" s="140" t="s">
        <v>242</v>
      </c>
      <c r="D5362" s="140" t="s">
        <v>11</v>
      </c>
      <c r="E5362" s="140" t="s">
        <v>12</v>
      </c>
      <c r="F5362">
        <v>-11954</v>
      </c>
      <c r="G5362" s="140" t="s">
        <v>473</v>
      </c>
      <c r="H5362">
        <v>0</v>
      </c>
      <c r="I5362" s="140" t="s">
        <v>17</v>
      </c>
    </row>
    <row r="5363" spans="1:9" hidden="1" x14ac:dyDescent="0.25">
      <c r="A5363">
        <v>2002</v>
      </c>
      <c r="B5363" s="140" t="s">
        <v>316</v>
      </c>
      <c r="C5363" s="140" t="s">
        <v>242</v>
      </c>
      <c r="D5363" s="140" t="s">
        <v>11</v>
      </c>
      <c r="E5363" s="140" t="s">
        <v>12</v>
      </c>
      <c r="F5363">
        <v>-12398</v>
      </c>
      <c r="G5363" s="140" t="s">
        <v>473</v>
      </c>
      <c r="H5363">
        <v>0</v>
      </c>
      <c r="I5363" s="140" t="s">
        <v>17</v>
      </c>
    </row>
    <row r="5364" spans="1:9" hidden="1" x14ac:dyDescent="0.25">
      <c r="A5364">
        <v>2003</v>
      </c>
      <c r="B5364" s="140" t="s">
        <v>316</v>
      </c>
      <c r="C5364" s="140" t="s">
        <v>242</v>
      </c>
      <c r="D5364" s="140" t="s">
        <v>11</v>
      </c>
      <c r="E5364" s="140" t="s">
        <v>12</v>
      </c>
      <c r="F5364">
        <v>-7539</v>
      </c>
      <c r="G5364" s="140" t="s">
        <v>473</v>
      </c>
      <c r="H5364">
        <v>0</v>
      </c>
      <c r="I5364" s="140" t="s">
        <v>17</v>
      </c>
    </row>
    <row r="5365" spans="1:9" hidden="1" x14ac:dyDescent="0.25">
      <c r="A5365">
        <v>2004</v>
      </c>
      <c r="B5365" s="140" t="s">
        <v>316</v>
      </c>
      <c r="C5365" s="140" t="s">
        <v>242</v>
      </c>
      <c r="D5365" s="140" t="s">
        <v>11</v>
      </c>
      <c r="E5365" s="140" t="s">
        <v>12</v>
      </c>
      <c r="F5365">
        <v>-9568</v>
      </c>
      <c r="G5365" s="140" t="s">
        <v>473</v>
      </c>
      <c r="H5365">
        <v>0</v>
      </c>
      <c r="I5365" s="140" t="s">
        <v>17</v>
      </c>
    </row>
    <row r="5366" spans="1:9" hidden="1" x14ac:dyDescent="0.25">
      <c r="A5366">
        <v>2005</v>
      </c>
      <c r="B5366" s="140" t="s">
        <v>316</v>
      </c>
      <c r="C5366" s="140" t="s">
        <v>242</v>
      </c>
      <c r="D5366" s="140" t="s">
        <v>11</v>
      </c>
      <c r="E5366" s="140" t="s">
        <v>12</v>
      </c>
      <c r="F5366">
        <v>-5612</v>
      </c>
      <c r="G5366" s="140" t="s">
        <v>473</v>
      </c>
      <c r="H5366">
        <v>0</v>
      </c>
      <c r="I5366" s="140" t="s">
        <v>17</v>
      </c>
    </row>
    <row r="5367" spans="1:9" hidden="1" x14ac:dyDescent="0.25">
      <c r="A5367">
        <v>2006</v>
      </c>
      <c r="B5367" s="140" t="s">
        <v>316</v>
      </c>
      <c r="C5367" s="140" t="s">
        <v>242</v>
      </c>
      <c r="D5367" s="140" t="s">
        <v>11</v>
      </c>
      <c r="E5367" s="140" t="s">
        <v>12</v>
      </c>
      <c r="F5367">
        <v>-6994</v>
      </c>
      <c r="G5367" s="140" t="s">
        <v>473</v>
      </c>
      <c r="H5367">
        <v>0</v>
      </c>
      <c r="I5367" s="140" t="s">
        <v>17</v>
      </c>
    </row>
    <row r="5368" spans="1:9" hidden="1" x14ac:dyDescent="0.25">
      <c r="A5368">
        <v>2007</v>
      </c>
      <c r="B5368" s="140" t="s">
        <v>316</v>
      </c>
      <c r="C5368" s="140" t="s">
        <v>242</v>
      </c>
      <c r="D5368" s="140" t="s">
        <v>11</v>
      </c>
      <c r="E5368" s="140" t="s">
        <v>12</v>
      </c>
      <c r="F5368">
        <v>-7772</v>
      </c>
      <c r="G5368" s="140" t="s">
        <v>473</v>
      </c>
      <c r="H5368">
        <v>0</v>
      </c>
      <c r="I5368" s="140" t="s">
        <v>17</v>
      </c>
    </row>
    <row r="5369" spans="1:9" hidden="1" x14ac:dyDescent="0.25">
      <c r="A5369">
        <v>2008</v>
      </c>
      <c r="B5369" s="140" t="s">
        <v>316</v>
      </c>
      <c r="C5369" s="140" t="s">
        <v>242</v>
      </c>
      <c r="D5369" s="140" t="s">
        <v>11</v>
      </c>
      <c r="E5369" s="140" t="s">
        <v>12</v>
      </c>
      <c r="F5369">
        <v>-5470</v>
      </c>
      <c r="G5369" s="140" t="s">
        <v>473</v>
      </c>
      <c r="H5369">
        <v>0</v>
      </c>
      <c r="I5369" s="140" t="s">
        <v>17</v>
      </c>
    </row>
    <row r="5370" spans="1:9" hidden="1" x14ac:dyDescent="0.25">
      <c r="A5370">
        <v>2009</v>
      </c>
      <c r="B5370" s="140" t="s">
        <v>316</v>
      </c>
      <c r="C5370" s="140" t="s">
        <v>242</v>
      </c>
      <c r="D5370" s="140" t="s">
        <v>11</v>
      </c>
      <c r="E5370" s="140" t="s">
        <v>12</v>
      </c>
      <c r="F5370">
        <v>-3840</v>
      </c>
      <c r="G5370" s="140" t="s">
        <v>473</v>
      </c>
      <c r="H5370">
        <v>0</v>
      </c>
      <c r="I5370" s="140" t="s">
        <v>17</v>
      </c>
    </row>
    <row r="5371" spans="1:9" hidden="1" x14ac:dyDescent="0.25">
      <c r="A5371">
        <v>2010</v>
      </c>
      <c r="B5371" s="140" t="s">
        <v>316</v>
      </c>
      <c r="C5371" s="140" t="s">
        <v>242</v>
      </c>
      <c r="D5371" s="140" t="s">
        <v>11</v>
      </c>
      <c r="E5371" s="140" t="s">
        <v>12</v>
      </c>
      <c r="F5371">
        <v>-2674</v>
      </c>
      <c r="G5371" s="140" t="s">
        <v>473</v>
      </c>
      <c r="H5371">
        <v>0</v>
      </c>
      <c r="I5371" s="140" t="s">
        <v>17</v>
      </c>
    </row>
    <row r="5372" spans="1:9" hidden="1" x14ac:dyDescent="0.25">
      <c r="A5372">
        <v>2011</v>
      </c>
      <c r="B5372" s="140" t="s">
        <v>316</v>
      </c>
      <c r="C5372" s="140" t="s">
        <v>242</v>
      </c>
      <c r="D5372" s="140" t="s">
        <v>11</v>
      </c>
      <c r="E5372" s="140" t="s">
        <v>12</v>
      </c>
      <c r="F5372">
        <v>2927</v>
      </c>
      <c r="G5372" s="140" t="s">
        <v>473</v>
      </c>
      <c r="H5372">
        <v>0</v>
      </c>
      <c r="I5372" s="140" t="s">
        <v>17</v>
      </c>
    </row>
    <row r="5373" spans="1:9" hidden="1" x14ac:dyDescent="0.25">
      <c r="A5373">
        <v>2012</v>
      </c>
      <c r="B5373" s="140" t="s">
        <v>316</v>
      </c>
      <c r="C5373" s="140" t="s">
        <v>242</v>
      </c>
      <c r="D5373" s="140" t="s">
        <v>11</v>
      </c>
      <c r="E5373" s="140" t="s">
        <v>12</v>
      </c>
      <c r="F5373">
        <v>4565</v>
      </c>
      <c r="G5373" s="140" t="s">
        <v>473</v>
      </c>
      <c r="H5373">
        <v>0</v>
      </c>
      <c r="I5373" s="140" t="s">
        <v>17</v>
      </c>
    </row>
    <row r="5374" spans="1:9" hidden="1" x14ac:dyDescent="0.25">
      <c r="A5374">
        <v>2013</v>
      </c>
      <c r="B5374" s="140" t="s">
        <v>316</v>
      </c>
      <c r="C5374" s="140" t="s">
        <v>242</v>
      </c>
      <c r="D5374" s="140" t="s">
        <v>11</v>
      </c>
      <c r="E5374" s="140" t="s">
        <v>12</v>
      </c>
      <c r="F5374">
        <v>3608</v>
      </c>
      <c r="G5374" s="140" t="s">
        <v>473</v>
      </c>
      <c r="H5374">
        <v>0</v>
      </c>
      <c r="I5374" s="140" t="s">
        <v>17</v>
      </c>
    </row>
    <row r="5375" spans="1:9" hidden="1" x14ac:dyDescent="0.25">
      <c r="A5375">
        <v>2014</v>
      </c>
      <c r="B5375" s="140" t="s">
        <v>316</v>
      </c>
      <c r="C5375" s="140" t="s">
        <v>242</v>
      </c>
      <c r="D5375" s="140" t="s">
        <v>11</v>
      </c>
      <c r="E5375" s="140" t="s">
        <v>12</v>
      </c>
      <c r="F5375">
        <v>2680</v>
      </c>
      <c r="G5375" s="140" t="s">
        <v>473</v>
      </c>
      <c r="H5375">
        <v>0</v>
      </c>
      <c r="I5375" s="140" t="s">
        <v>17</v>
      </c>
    </row>
    <row r="5376" spans="1:9" hidden="1" x14ac:dyDescent="0.25">
      <c r="A5376">
        <v>2015</v>
      </c>
      <c r="B5376" s="140" t="s">
        <v>316</v>
      </c>
      <c r="C5376" s="140" t="s">
        <v>242</v>
      </c>
      <c r="D5376" s="140" t="s">
        <v>11</v>
      </c>
      <c r="E5376" s="140" t="s">
        <v>12</v>
      </c>
      <c r="F5376">
        <v>1373</v>
      </c>
      <c r="G5376" s="140" t="s">
        <v>473</v>
      </c>
      <c r="H5376">
        <v>0</v>
      </c>
      <c r="I5376" s="140" t="s">
        <v>17</v>
      </c>
    </row>
    <row r="5377" spans="1:9" hidden="1" x14ac:dyDescent="0.25">
      <c r="A5377">
        <v>2016</v>
      </c>
      <c r="B5377" s="140" t="s">
        <v>316</v>
      </c>
      <c r="C5377" s="140" t="s">
        <v>242</v>
      </c>
      <c r="D5377" s="140" t="s">
        <v>11</v>
      </c>
      <c r="E5377" s="140" t="s">
        <v>12</v>
      </c>
      <c r="F5377">
        <v>4076</v>
      </c>
      <c r="G5377" s="140" t="s">
        <v>473</v>
      </c>
      <c r="H5377">
        <v>0</v>
      </c>
      <c r="I5377" s="140" t="s">
        <v>17</v>
      </c>
    </row>
    <row r="5378" spans="1:9" hidden="1" x14ac:dyDescent="0.25">
      <c r="A5378">
        <v>2017</v>
      </c>
      <c r="B5378" s="140" t="s">
        <v>316</v>
      </c>
      <c r="C5378" s="140" t="s">
        <v>242</v>
      </c>
      <c r="D5378" s="140" t="s">
        <v>11</v>
      </c>
      <c r="E5378" s="140" t="s">
        <v>12</v>
      </c>
      <c r="F5378">
        <v>1241</v>
      </c>
      <c r="G5378" s="140" t="s">
        <v>473</v>
      </c>
      <c r="H5378">
        <v>0</v>
      </c>
      <c r="I5378" s="140" t="s">
        <v>17</v>
      </c>
    </row>
    <row r="5379" spans="1:9" hidden="1" x14ac:dyDescent="0.25">
      <c r="A5379">
        <v>2018</v>
      </c>
      <c r="B5379" s="140" t="s">
        <v>316</v>
      </c>
      <c r="C5379" s="140" t="s">
        <v>242</v>
      </c>
      <c r="D5379" s="140" t="s">
        <v>11</v>
      </c>
      <c r="E5379" s="140" t="s">
        <v>12</v>
      </c>
      <c r="F5379">
        <v>3425</v>
      </c>
      <c r="G5379" s="140" t="s">
        <v>473</v>
      </c>
      <c r="H5379">
        <v>0</v>
      </c>
      <c r="I5379" s="140" t="s">
        <v>17</v>
      </c>
    </row>
    <row r="5380" spans="1:9" hidden="1" x14ac:dyDescent="0.25">
      <c r="A5380">
        <v>2019</v>
      </c>
      <c r="B5380" s="140" t="s">
        <v>316</v>
      </c>
      <c r="C5380" s="140" t="s">
        <v>242</v>
      </c>
      <c r="D5380" s="140" t="s">
        <v>11</v>
      </c>
      <c r="E5380" s="140" t="s">
        <v>12</v>
      </c>
      <c r="F5380">
        <v>66</v>
      </c>
      <c r="G5380" s="140" t="s">
        <v>473</v>
      </c>
      <c r="H5380">
        <v>0</v>
      </c>
      <c r="I5380" s="140" t="s">
        <v>17</v>
      </c>
    </row>
    <row r="5381" spans="1:9" hidden="1" x14ac:dyDescent="0.25">
      <c r="A5381">
        <v>2020</v>
      </c>
      <c r="B5381" s="140" t="s">
        <v>316</v>
      </c>
      <c r="C5381" s="140" t="s">
        <v>242</v>
      </c>
      <c r="D5381" s="140" t="s">
        <v>11</v>
      </c>
      <c r="E5381" s="140" t="s">
        <v>12</v>
      </c>
      <c r="F5381">
        <v>-1222</v>
      </c>
      <c r="G5381" s="140" t="s">
        <v>473</v>
      </c>
      <c r="H5381">
        <v>0</v>
      </c>
      <c r="I5381" s="140" t="s">
        <v>17</v>
      </c>
    </row>
    <row r="5382" spans="1:9" hidden="1" x14ac:dyDescent="0.25">
      <c r="A5382">
        <v>2021</v>
      </c>
      <c r="B5382" s="140" t="s">
        <v>316</v>
      </c>
      <c r="C5382" s="140" t="s">
        <v>242</v>
      </c>
      <c r="D5382" s="140" t="s">
        <v>11</v>
      </c>
      <c r="E5382" s="140" t="s">
        <v>12</v>
      </c>
      <c r="F5382">
        <v>-968</v>
      </c>
      <c r="G5382" s="140" t="s">
        <v>473</v>
      </c>
      <c r="H5382">
        <v>0</v>
      </c>
      <c r="I5382" s="140" t="s">
        <v>17</v>
      </c>
    </row>
    <row r="5383" spans="1:9" hidden="1" x14ac:dyDescent="0.25">
      <c r="A5383">
        <v>2022</v>
      </c>
      <c r="B5383" s="140" t="s">
        <v>316</v>
      </c>
      <c r="C5383" s="140" t="s">
        <v>242</v>
      </c>
      <c r="D5383" s="140" t="s">
        <v>11</v>
      </c>
      <c r="E5383" s="140" t="s">
        <v>12</v>
      </c>
      <c r="F5383">
        <v>6930</v>
      </c>
      <c r="G5383" s="140" t="s">
        <v>473</v>
      </c>
      <c r="H5383">
        <v>0</v>
      </c>
      <c r="I5383" s="140" t="s">
        <v>17</v>
      </c>
    </row>
    <row r="5384" spans="1:9" hidden="1" x14ac:dyDescent="0.25">
      <c r="A5384">
        <v>2023</v>
      </c>
      <c r="B5384" s="140" t="s">
        <v>316</v>
      </c>
      <c r="C5384" s="140" t="s">
        <v>242</v>
      </c>
      <c r="D5384" s="140" t="s">
        <v>11</v>
      </c>
      <c r="E5384" s="140" t="s">
        <v>12</v>
      </c>
      <c r="F5384">
        <v>2768</v>
      </c>
      <c r="G5384" s="140" t="s">
        <v>473</v>
      </c>
      <c r="H5384">
        <v>0</v>
      </c>
      <c r="I5384" s="140" t="s">
        <v>17</v>
      </c>
    </row>
    <row r="5385" spans="1:9" hidden="1" x14ac:dyDescent="0.25">
      <c r="A5385">
        <v>2024</v>
      </c>
      <c r="B5385" s="140" t="s">
        <v>316</v>
      </c>
      <c r="C5385" s="140" t="s">
        <v>242</v>
      </c>
      <c r="D5385" s="140" t="s">
        <v>11</v>
      </c>
      <c r="E5385" s="140" t="s">
        <v>12</v>
      </c>
      <c r="F5385">
        <v>1209</v>
      </c>
      <c r="G5385" s="140" t="s">
        <v>473</v>
      </c>
      <c r="H5385">
        <v>0</v>
      </c>
      <c r="I5385" s="140" t="s">
        <v>17</v>
      </c>
    </row>
    <row r="5386" spans="1:9" hidden="1" x14ac:dyDescent="0.25">
      <c r="A5386">
        <v>2025</v>
      </c>
      <c r="B5386" s="140" t="s">
        <v>316</v>
      </c>
      <c r="C5386" s="140" t="s">
        <v>242</v>
      </c>
      <c r="D5386" s="140" t="s">
        <v>11</v>
      </c>
      <c r="E5386" s="140" t="s">
        <v>12</v>
      </c>
      <c r="F5386">
        <v>-3374</v>
      </c>
      <c r="G5386" s="140" t="s">
        <v>473</v>
      </c>
      <c r="H5386">
        <v>0</v>
      </c>
      <c r="I5386" s="140" t="s">
        <v>17</v>
      </c>
    </row>
    <row r="5387" spans="1:9" hidden="1" x14ac:dyDescent="0.25">
      <c r="A5387">
        <v>2026</v>
      </c>
      <c r="B5387" s="140" t="s">
        <v>316</v>
      </c>
      <c r="C5387" s="140" t="s">
        <v>242</v>
      </c>
      <c r="D5387" s="140" t="s">
        <v>11</v>
      </c>
      <c r="E5387" s="140" t="s">
        <v>12</v>
      </c>
      <c r="F5387">
        <v>-1643.4302769999999</v>
      </c>
      <c r="G5387" s="140" t="s">
        <v>473</v>
      </c>
      <c r="H5387">
        <v>0</v>
      </c>
      <c r="I5387" s="140" t="s">
        <v>17</v>
      </c>
    </row>
    <row r="5388" spans="1:9" hidden="1" x14ac:dyDescent="0.25">
      <c r="A5388">
        <v>2027</v>
      </c>
      <c r="B5388" s="140" t="s">
        <v>316</v>
      </c>
      <c r="C5388" s="140" t="s">
        <v>242</v>
      </c>
      <c r="D5388" s="140" t="s">
        <v>11</v>
      </c>
      <c r="E5388" s="140" t="s">
        <v>12</v>
      </c>
      <c r="F5388">
        <v>-2026.4736089999999</v>
      </c>
      <c r="G5388" s="140" t="s">
        <v>473</v>
      </c>
      <c r="H5388">
        <v>0</v>
      </c>
      <c r="I5388" s="140" t="s">
        <v>17</v>
      </c>
    </row>
    <row r="5389" spans="1:9" hidden="1" x14ac:dyDescent="0.25">
      <c r="A5389">
        <v>2028</v>
      </c>
      <c r="B5389" s="140" t="s">
        <v>316</v>
      </c>
      <c r="C5389" s="140" t="s">
        <v>242</v>
      </c>
      <c r="D5389" s="140" t="s">
        <v>11</v>
      </c>
      <c r="E5389" s="140" t="s">
        <v>12</v>
      </c>
      <c r="F5389">
        <v>-1120.2949739999999</v>
      </c>
      <c r="G5389" s="140" t="s">
        <v>473</v>
      </c>
      <c r="H5389">
        <v>0</v>
      </c>
      <c r="I5389" s="140" t="s">
        <v>17</v>
      </c>
    </row>
    <row r="5390" spans="1:9" hidden="1" x14ac:dyDescent="0.25">
      <c r="A5390">
        <v>1990</v>
      </c>
      <c r="B5390" s="140" t="s">
        <v>136</v>
      </c>
      <c r="C5390" s="140" t="s">
        <v>16</v>
      </c>
      <c r="D5390" s="140" t="s">
        <v>11</v>
      </c>
      <c r="E5390" s="140" t="s">
        <v>55</v>
      </c>
      <c r="F5390">
        <v>20144</v>
      </c>
      <c r="G5390" s="140" t="s">
        <v>206</v>
      </c>
      <c r="H5390">
        <v>0</v>
      </c>
      <c r="I5390" s="140" t="s">
        <v>17</v>
      </c>
    </row>
    <row r="5391" spans="1:9" hidden="1" x14ac:dyDescent="0.25">
      <c r="A5391">
        <v>1991</v>
      </c>
      <c r="B5391" s="140" t="s">
        <v>136</v>
      </c>
      <c r="C5391" s="140" t="s">
        <v>16</v>
      </c>
      <c r="D5391" s="140" t="s">
        <v>11</v>
      </c>
      <c r="E5391" s="140" t="s">
        <v>55</v>
      </c>
      <c r="F5391">
        <v>18483</v>
      </c>
      <c r="G5391" s="140" t="s">
        <v>206</v>
      </c>
      <c r="H5391">
        <v>0</v>
      </c>
      <c r="I5391" s="140" t="s">
        <v>17</v>
      </c>
    </row>
    <row r="5392" spans="1:9" hidden="1" x14ac:dyDescent="0.25">
      <c r="A5392">
        <v>1992</v>
      </c>
      <c r="B5392" s="140" t="s">
        <v>136</v>
      </c>
      <c r="C5392" s="140" t="s">
        <v>16</v>
      </c>
      <c r="D5392" s="140" t="s">
        <v>11</v>
      </c>
      <c r="E5392" s="140" t="s">
        <v>55</v>
      </c>
      <c r="F5392">
        <v>21657</v>
      </c>
      <c r="G5392" s="140" t="s">
        <v>206</v>
      </c>
      <c r="H5392">
        <v>0</v>
      </c>
      <c r="I5392" s="140" t="s">
        <v>17</v>
      </c>
    </row>
    <row r="5393" spans="1:9" hidden="1" x14ac:dyDescent="0.25">
      <c r="A5393">
        <v>1993</v>
      </c>
      <c r="B5393" s="140" t="s">
        <v>136</v>
      </c>
      <c r="C5393" s="140" t="s">
        <v>16</v>
      </c>
      <c r="D5393" s="140" t="s">
        <v>11</v>
      </c>
      <c r="E5393" s="140" t="s">
        <v>55</v>
      </c>
      <c r="F5393">
        <v>26896</v>
      </c>
      <c r="G5393" s="140" t="s">
        <v>206</v>
      </c>
      <c r="H5393">
        <v>0</v>
      </c>
      <c r="I5393" s="140" t="s">
        <v>17</v>
      </c>
    </row>
    <row r="5394" spans="1:9" hidden="1" x14ac:dyDescent="0.25">
      <c r="A5394">
        <v>1994</v>
      </c>
      <c r="B5394" s="140" t="s">
        <v>136</v>
      </c>
      <c r="C5394" s="140" t="s">
        <v>16</v>
      </c>
      <c r="D5394" s="140" t="s">
        <v>11</v>
      </c>
      <c r="E5394" s="140" t="s">
        <v>55</v>
      </c>
      <c r="F5394">
        <v>30887</v>
      </c>
      <c r="G5394" s="140" t="s">
        <v>206</v>
      </c>
      <c r="H5394">
        <v>0</v>
      </c>
      <c r="I5394" s="140" t="s">
        <v>17</v>
      </c>
    </row>
    <row r="5395" spans="1:9" hidden="1" x14ac:dyDescent="0.25">
      <c r="A5395">
        <v>1995</v>
      </c>
      <c r="B5395" s="140" t="s">
        <v>136</v>
      </c>
      <c r="C5395" s="140" t="s">
        <v>16</v>
      </c>
      <c r="D5395" s="140" t="s">
        <v>11</v>
      </c>
      <c r="E5395" s="140" t="s">
        <v>55</v>
      </c>
      <c r="F5395">
        <v>35246</v>
      </c>
      <c r="G5395" s="140" t="s">
        <v>206</v>
      </c>
      <c r="H5395">
        <v>0</v>
      </c>
      <c r="I5395" s="140" t="s">
        <v>17</v>
      </c>
    </row>
    <row r="5396" spans="1:9" hidden="1" x14ac:dyDescent="0.25">
      <c r="A5396">
        <v>1996</v>
      </c>
      <c r="B5396" s="140" t="s">
        <v>136</v>
      </c>
      <c r="C5396" s="140" t="s">
        <v>16</v>
      </c>
      <c r="D5396" s="140" t="s">
        <v>11</v>
      </c>
      <c r="E5396" s="140" t="s">
        <v>55</v>
      </c>
      <c r="F5396">
        <v>37076</v>
      </c>
      <c r="G5396" s="140" t="s">
        <v>206</v>
      </c>
      <c r="H5396">
        <v>0</v>
      </c>
      <c r="I5396" s="140" t="s">
        <v>17</v>
      </c>
    </row>
    <row r="5397" spans="1:9" hidden="1" x14ac:dyDescent="0.25">
      <c r="A5397">
        <v>1997</v>
      </c>
      <c r="B5397" s="140" t="s">
        <v>136</v>
      </c>
      <c r="C5397" s="140" t="s">
        <v>16</v>
      </c>
      <c r="D5397" s="140" t="s">
        <v>11</v>
      </c>
      <c r="E5397" s="140" t="s">
        <v>55</v>
      </c>
      <c r="F5397">
        <v>41860</v>
      </c>
      <c r="G5397" s="140" t="s">
        <v>206</v>
      </c>
      <c r="H5397">
        <v>0</v>
      </c>
      <c r="I5397" s="140" t="s">
        <v>17</v>
      </c>
    </row>
    <row r="5398" spans="1:9" hidden="1" x14ac:dyDescent="0.25">
      <c r="A5398">
        <v>1998</v>
      </c>
      <c r="B5398" s="140" t="s">
        <v>136</v>
      </c>
      <c r="C5398" s="140" t="s">
        <v>16</v>
      </c>
      <c r="D5398" s="140" t="s">
        <v>11</v>
      </c>
      <c r="E5398" s="140" t="s">
        <v>55</v>
      </c>
      <c r="F5398">
        <v>45104</v>
      </c>
      <c r="G5398" s="140" t="s">
        <v>206</v>
      </c>
      <c r="H5398">
        <v>0</v>
      </c>
      <c r="I5398" s="140" t="s">
        <v>17</v>
      </c>
    </row>
    <row r="5399" spans="1:9" hidden="1" x14ac:dyDescent="0.25">
      <c r="A5399">
        <v>1999</v>
      </c>
      <c r="B5399" s="140" t="s">
        <v>136</v>
      </c>
      <c r="C5399" s="140" t="s">
        <v>16</v>
      </c>
      <c r="D5399" s="140" t="s">
        <v>11</v>
      </c>
      <c r="E5399" s="140" t="s">
        <v>55</v>
      </c>
      <c r="F5399">
        <v>47726</v>
      </c>
      <c r="G5399" s="140" t="s">
        <v>206</v>
      </c>
      <c r="H5399">
        <v>0</v>
      </c>
      <c r="I5399" s="140" t="s">
        <v>17</v>
      </c>
    </row>
    <row r="5400" spans="1:9" hidden="1" x14ac:dyDescent="0.25">
      <c r="A5400">
        <v>2000</v>
      </c>
      <c r="B5400" s="140" t="s">
        <v>136</v>
      </c>
      <c r="C5400" s="140" t="s">
        <v>16</v>
      </c>
      <c r="D5400" s="140" t="s">
        <v>11</v>
      </c>
      <c r="E5400" s="140" t="s">
        <v>55</v>
      </c>
      <c r="F5400">
        <v>57348</v>
      </c>
      <c r="G5400" s="140" t="s">
        <v>206</v>
      </c>
      <c r="H5400">
        <v>0</v>
      </c>
      <c r="I5400" s="140" t="s">
        <v>17</v>
      </c>
    </row>
    <row r="5401" spans="1:9" hidden="1" x14ac:dyDescent="0.25">
      <c r="A5401">
        <v>2001</v>
      </c>
      <c r="B5401" s="140" t="s">
        <v>136</v>
      </c>
      <c r="C5401" s="140" t="s">
        <v>16</v>
      </c>
      <c r="D5401" s="140" t="s">
        <v>11</v>
      </c>
      <c r="E5401" s="140" t="s">
        <v>55</v>
      </c>
      <c r="F5401">
        <v>57510</v>
      </c>
      <c r="G5401" s="140" t="s">
        <v>206</v>
      </c>
      <c r="H5401">
        <v>0</v>
      </c>
      <c r="I5401" s="140" t="s">
        <v>17</v>
      </c>
    </row>
    <row r="5402" spans="1:9" hidden="1" x14ac:dyDescent="0.25">
      <c r="A5402">
        <v>2002</v>
      </c>
      <c r="B5402" s="140" t="s">
        <v>136</v>
      </c>
      <c r="C5402" s="140" t="s">
        <v>16</v>
      </c>
      <c r="D5402" s="140" t="s">
        <v>11</v>
      </c>
      <c r="E5402" s="140" t="s">
        <v>55</v>
      </c>
      <c r="F5402">
        <v>58110</v>
      </c>
      <c r="G5402" s="140" t="s">
        <v>206</v>
      </c>
      <c r="H5402">
        <v>0</v>
      </c>
      <c r="I5402" s="140" t="s">
        <v>17</v>
      </c>
    </row>
    <row r="5403" spans="1:9" hidden="1" x14ac:dyDescent="0.25">
      <c r="A5403">
        <v>2003</v>
      </c>
      <c r="B5403" s="140" t="s">
        <v>136</v>
      </c>
      <c r="C5403" s="140" t="s">
        <v>16</v>
      </c>
      <c r="D5403" s="140" t="s">
        <v>11</v>
      </c>
      <c r="E5403" s="140" t="s">
        <v>55</v>
      </c>
      <c r="F5403">
        <v>56634</v>
      </c>
      <c r="G5403" s="140" t="s">
        <v>206</v>
      </c>
      <c r="H5403">
        <v>0</v>
      </c>
      <c r="I5403" s="140" t="s">
        <v>17</v>
      </c>
    </row>
    <row r="5404" spans="1:9" hidden="1" x14ac:dyDescent="0.25">
      <c r="A5404">
        <v>2004</v>
      </c>
      <c r="B5404" s="140" t="s">
        <v>136</v>
      </c>
      <c r="C5404" s="140" t="s">
        <v>16</v>
      </c>
      <c r="D5404" s="140" t="s">
        <v>11</v>
      </c>
      <c r="E5404" s="140" t="s">
        <v>55</v>
      </c>
      <c r="F5404">
        <v>61305</v>
      </c>
      <c r="G5404" s="140" t="s">
        <v>206</v>
      </c>
      <c r="H5404">
        <v>0</v>
      </c>
      <c r="I5404" s="140" t="s">
        <v>17</v>
      </c>
    </row>
    <row r="5405" spans="1:9" hidden="1" x14ac:dyDescent="0.25">
      <c r="A5405">
        <v>2005</v>
      </c>
      <c r="B5405" s="140" t="s">
        <v>136</v>
      </c>
      <c r="C5405" s="140" t="s">
        <v>16</v>
      </c>
      <c r="D5405" s="140" t="s">
        <v>11</v>
      </c>
      <c r="E5405" s="140" t="s">
        <v>55</v>
      </c>
      <c r="F5405">
        <v>66325</v>
      </c>
      <c r="G5405" s="140" t="s">
        <v>206</v>
      </c>
      <c r="H5405">
        <v>0</v>
      </c>
      <c r="I5405" s="140" t="s">
        <v>17</v>
      </c>
    </row>
    <row r="5406" spans="1:9" hidden="1" x14ac:dyDescent="0.25">
      <c r="A5406">
        <v>2006</v>
      </c>
      <c r="B5406" s="140" t="s">
        <v>136</v>
      </c>
      <c r="C5406" s="140" t="s">
        <v>16</v>
      </c>
      <c r="D5406" s="140" t="s">
        <v>11</v>
      </c>
      <c r="E5406" s="140" t="s">
        <v>55</v>
      </c>
      <c r="F5406">
        <v>74474</v>
      </c>
      <c r="G5406" s="140" t="s">
        <v>206</v>
      </c>
      <c r="H5406">
        <v>0</v>
      </c>
      <c r="I5406" s="140" t="s">
        <v>17</v>
      </c>
    </row>
    <row r="5407" spans="1:9" hidden="1" x14ac:dyDescent="0.25">
      <c r="A5407">
        <v>2007</v>
      </c>
      <c r="B5407" s="140" t="s">
        <v>136</v>
      </c>
      <c r="C5407" s="140" t="s">
        <v>16</v>
      </c>
      <c r="D5407" s="140" t="s">
        <v>11</v>
      </c>
      <c r="E5407" s="140" t="s">
        <v>55</v>
      </c>
      <c r="F5407">
        <v>81986</v>
      </c>
      <c r="G5407" s="140" t="s">
        <v>206</v>
      </c>
      <c r="H5407">
        <v>0</v>
      </c>
      <c r="I5407" s="140" t="s">
        <v>17</v>
      </c>
    </row>
    <row r="5408" spans="1:9" hidden="1" x14ac:dyDescent="0.25">
      <c r="A5408">
        <v>2008</v>
      </c>
      <c r="B5408" s="140" t="s">
        <v>136</v>
      </c>
      <c r="C5408" s="140" t="s">
        <v>16</v>
      </c>
      <c r="D5408" s="140" t="s">
        <v>11</v>
      </c>
      <c r="E5408" s="140" t="s">
        <v>55</v>
      </c>
      <c r="F5408">
        <v>87225</v>
      </c>
      <c r="G5408" s="140" t="s">
        <v>206</v>
      </c>
      <c r="H5408">
        <v>0</v>
      </c>
      <c r="I5408" s="140" t="s">
        <v>17</v>
      </c>
    </row>
    <row r="5409" spans="1:9" hidden="1" x14ac:dyDescent="0.25">
      <c r="A5409">
        <v>2009</v>
      </c>
      <c r="B5409" s="140" t="s">
        <v>136</v>
      </c>
      <c r="C5409" s="140" t="s">
        <v>16</v>
      </c>
      <c r="D5409" s="140" t="s">
        <v>11</v>
      </c>
      <c r="E5409" s="140" t="s">
        <v>55</v>
      </c>
      <c r="F5409">
        <v>65576</v>
      </c>
      <c r="G5409" s="140" t="s">
        <v>206</v>
      </c>
      <c r="H5409">
        <v>0</v>
      </c>
      <c r="I5409" s="140" t="s">
        <v>17</v>
      </c>
    </row>
    <row r="5410" spans="1:9" hidden="1" x14ac:dyDescent="0.25">
      <c r="A5410">
        <v>2010</v>
      </c>
      <c r="B5410" s="140" t="s">
        <v>136</v>
      </c>
      <c r="C5410" s="140" t="s">
        <v>16</v>
      </c>
      <c r="D5410" s="140" t="s">
        <v>11</v>
      </c>
      <c r="E5410" s="140" t="s">
        <v>55</v>
      </c>
      <c r="F5410">
        <v>72273</v>
      </c>
      <c r="G5410" s="140" t="s">
        <v>206</v>
      </c>
      <c r="H5410">
        <v>0</v>
      </c>
      <c r="I5410" s="140" t="s">
        <v>17</v>
      </c>
    </row>
    <row r="5411" spans="1:9" hidden="1" x14ac:dyDescent="0.25">
      <c r="A5411">
        <v>2011</v>
      </c>
      <c r="B5411" s="140" t="s">
        <v>136</v>
      </c>
      <c r="C5411" s="140" t="s">
        <v>16</v>
      </c>
      <c r="D5411" s="140" t="s">
        <v>11</v>
      </c>
      <c r="E5411" s="140" t="s">
        <v>55</v>
      </c>
      <c r="F5411">
        <v>77021</v>
      </c>
      <c r="G5411" s="140" t="s">
        <v>206</v>
      </c>
      <c r="H5411">
        <v>0</v>
      </c>
      <c r="I5411" s="140" t="s">
        <v>17</v>
      </c>
    </row>
    <row r="5412" spans="1:9" hidden="1" x14ac:dyDescent="0.25">
      <c r="A5412">
        <v>2012</v>
      </c>
      <c r="B5412" s="140" t="s">
        <v>136</v>
      </c>
      <c r="C5412" s="140" t="s">
        <v>16</v>
      </c>
      <c r="D5412" s="140" t="s">
        <v>11</v>
      </c>
      <c r="E5412" s="140" t="s">
        <v>55</v>
      </c>
      <c r="F5412">
        <v>78017</v>
      </c>
      <c r="G5412" s="140" t="s">
        <v>206</v>
      </c>
      <c r="H5412">
        <v>0</v>
      </c>
      <c r="I5412" s="140" t="s">
        <v>17</v>
      </c>
    </row>
    <row r="5413" spans="1:9" hidden="1" x14ac:dyDescent="0.25">
      <c r="A5413">
        <v>2013</v>
      </c>
      <c r="B5413" s="140" t="s">
        <v>136</v>
      </c>
      <c r="C5413" s="140" t="s">
        <v>16</v>
      </c>
      <c r="D5413" s="140" t="s">
        <v>11</v>
      </c>
      <c r="E5413" s="140" t="s">
        <v>55</v>
      </c>
      <c r="F5413">
        <v>77838</v>
      </c>
      <c r="G5413" s="140" t="s">
        <v>206</v>
      </c>
      <c r="H5413">
        <v>0</v>
      </c>
      <c r="I5413" s="140" t="s">
        <v>17</v>
      </c>
    </row>
    <row r="5414" spans="1:9" hidden="1" x14ac:dyDescent="0.25">
      <c r="A5414">
        <v>2014</v>
      </c>
      <c r="B5414" s="140" t="s">
        <v>136</v>
      </c>
      <c r="C5414" s="140" t="s">
        <v>16</v>
      </c>
      <c r="D5414" s="140" t="s">
        <v>11</v>
      </c>
      <c r="E5414" s="140" t="s">
        <v>55</v>
      </c>
      <c r="F5414">
        <v>75767</v>
      </c>
      <c r="G5414" s="140" t="s">
        <v>206</v>
      </c>
      <c r="H5414">
        <v>0</v>
      </c>
      <c r="I5414" s="140" t="s">
        <v>17</v>
      </c>
    </row>
    <row r="5415" spans="1:9" hidden="1" x14ac:dyDescent="0.25">
      <c r="A5415">
        <v>2015</v>
      </c>
      <c r="B5415" s="140" t="s">
        <v>136</v>
      </c>
      <c r="C5415" s="140" t="s">
        <v>16</v>
      </c>
      <c r="D5415" s="140" t="s">
        <v>11</v>
      </c>
      <c r="E5415" s="140" t="s">
        <v>55</v>
      </c>
      <c r="F5415">
        <v>75210</v>
      </c>
      <c r="G5415" s="140" t="s">
        <v>206</v>
      </c>
      <c r="H5415">
        <v>0</v>
      </c>
      <c r="I5415" s="140" t="s">
        <v>17</v>
      </c>
    </row>
    <row r="5416" spans="1:9" hidden="1" x14ac:dyDescent="0.25">
      <c r="A5416">
        <v>2016</v>
      </c>
      <c r="B5416" s="140" t="s">
        <v>136</v>
      </c>
      <c r="C5416" s="140" t="s">
        <v>16</v>
      </c>
      <c r="D5416" s="140" t="s">
        <v>11</v>
      </c>
      <c r="E5416" s="140" t="s">
        <v>55</v>
      </c>
      <c r="F5416">
        <v>76220</v>
      </c>
      <c r="G5416" s="140" t="s">
        <v>206</v>
      </c>
      <c r="H5416">
        <v>0</v>
      </c>
      <c r="I5416" s="140" t="s">
        <v>17</v>
      </c>
    </row>
    <row r="5417" spans="1:9" hidden="1" x14ac:dyDescent="0.25">
      <c r="A5417">
        <v>2017</v>
      </c>
      <c r="B5417" s="140" t="s">
        <v>136</v>
      </c>
      <c r="C5417" s="140" t="s">
        <v>16</v>
      </c>
      <c r="D5417" s="140" t="s">
        <v>11</v>
      </c>
      <c r="E5417" s="140" t="s">
        <v>55</v>
      </c>
      <c r="F5417">
        <v>85762</v>
      </c>
      <c r="G5417" s="140" t="s">
        <v>206</v>
      </c>
      <c r="H5417">
        <v>0</v>
      </c>
      <c r="I5417" s="140" t="s">
        <v>17</v>
      </c>
    </row>
    <row r="5418" spans="1:9" hidden="1" x14ac:dyDescent="0.25">
      <c r="A5418">
        <v>2018</v>
      </c>
      <c r="B5418" s="140" t="s">
        <v>136</v>
      </c>
      <c r="C5418" s="140" t="s">
        <v>16</v>
      </c>
      <c r="D5418" s="140" t="s">
        <v>11</v>
      </c>
      <c r="E5418" s="140" t="s">
        <v>55</v>
      </c>
      <c r="F5418">
        <v>90789</v>
      </c>
      <c r="G5418" s="140" t="s">
        <v>206</v>
      </c>
      <c r="H5418">
        <v>0</v>
      </c>
      <c r="I5418" s="140" t="s">
        <v>17</v>
      </c>
    </row>
    <row r="5419" spans="1:9" hidden="1" x14ac:dyDescent="0.25">
      <c r="A5419">
        <v>2019</v>
      </c>
      <c r="B5419" s="140" t="s">
        <v>136</v>
      </c>
      <c r="C5419" s="140" t="s">
        <v>16</v>
      </c>
      <c r="D5419" s="140" t="s">
        <v>11</v>
      </c>
      <c r="E5419" s="140" t="s">
        <v>55</v>
      </c>
      <c r="F5419">
        <v>96882</v>
      </c>
      <c r="G5419" s="140" t="s">
        <v>206</v>
      </c>
      <c r="H5419">
        <v>0</v>
      </c>
      <c r="I5419" s="140" t="s">
        <v>17</v>
      </c>
    </row>
    <row r="5420" spans="1:9" hidden="1" x14ac:dyDescent="0.25">
      <c r="A5420">
        <v>2020</v>
      </c>
      <c r="B5420" s="140" t="s">
        <v>136</v>
      </c>
      <c r="C5420" s="140" t="s">
        <v>16</v>
      </c>
      <c r="D5420" s="140" t="s">
        <v>11</v>
      </c>
      <c r="E5420" s="140" t="s">
        <v>55</v>
      </c>
      <c r="F5420">
        <v>85606</v>
      </c>
      <c r="G5420" s="140" t="s">
        <v>206</v>
      </c>
      <c r="H5420">
        <v>0</v>
      </c>
      <c r="I5420" s="140" t="s">
        <v>17</v>
      </c>
    </row>
    <row r="5421" spans="1:9" hidden="1" x14ac:dyDescent="0.25">
      <c r="A5421">
        <v>2021</v>
      </c>
      <c r="B5421" s="140" t="s">
        <v>136</v>
      </c>
      <c r="C5421" s="140" t="s">
        <v>16</v>
      </c>
      <c r="D5421" s="140" t="s">
        <v>11</v>
      </c>
      <c r="E5421" s="140" t="s">
        <v>55</v>
      </c>
      <c r="F5421">
        <v>99311</v>
      </c>
      <c r="G5421" s="140" t="s">
        <v>206</v>
      </c>
      <c r="H5421">
        <v>0</v>
      </c>
      <c r="I5421" s="140" t="s">
        <v>17</v>
      </c>
    </row>
    <row r="5422" spans="1:9" hidden="1" x14ac:dyDescent="0.25">
      <c r="A5422">
        <v>2022</v>
      </c>
      <c r="B5422" s="140" t="s">
        <v>136</v>
      </c>
      <c r="C5422" s="140" t="s">
        <v>16</v>
      </c>
      <c r="D5422" s="140" t="s">
        <v>11</v>
      </c>
      <c r="E5422" s="140" t="s">
        <v>55</v>
      </c>
      <c r="F5422">
        <v>122895</v>
      </c>
      <c r="G5422" s="140" t="s">
        <v>206</v>
      </c>
      <c r="H5422">
        <v>0</v>
      </c>
      <c r="I5422" s="140" t="s">
        <v>17</v>
      </c>
    </row>
    <row r="5423" spans="1:9" hidden="1" x14ac:dyDescent="0.25">
      <c r="A5423">
        <v>2023</v>
      </c>
      <c r="B5423" s="140" t="s">
        <v>136</v>
      </c>
      <c r="C5423" s="140" t="s">
        <v>16</v>
      </c>
      <c r="D5423" s="140" t="s">
        <v>11</v>
      </c>
      <c r="E5423" s="140" t="s">
        <v>55</v>
      </c>
      <c r="F5423">
        <v>116880</v>
      </c>
      <c r="G5423" s="140" t="s">
        <v>206</v>
      </c>
      <c r="H5423">
        <v>0</v>
      </c>
      <c r="I5423" s="140" t="s">
        <v>17</v>
      </c>
    </row>
    <row r="5424" spans="1:9" hidden="1" x14ac:dyDescent="0.25">
      <c r="A5424">
        <v>2024</v>
      </c>
      <c r="B5424" s="140" t="s">
        <v>136</v>
      </c>
      <c r="C5424" s="140" t="s">
        <v>16</v>
      </c>
      <c r="D5424" s="140" t="s">
        <v>11</v>
      </c>
      <c r="E5424" s="140" t="s">
        <v>55</v>
      </c>
      <c r="F5424">
        <v>114823</v>
      </c>
      <c r="G5424" s="140" t="s">
        <v>206</v>
      </c>
      <c r="H5424">
        <v>0</v>
      </c>
      <c r="I5424" s="140" t="s">
        <v>17</v>
      </c>
    </row>
    <row r="5425" spans="1:9" hidden="1" x14ac:dyDescent="0.25">
      <c r="A5425">
        <v>2025</v>
      </c>
      <c r="B5425" s="140" t="s">
        <v>136</v>
      </c>
      <c r="C5425" s="140" t="s">
        <v>16</v>
      </c>
      <c r="D5425" s="140" t="s">
        <v>11</v>
      </c>
      <c r="E5425" s="140" t="s">
        <v>55</v>
      </c>
      <c r="F5425">
        <v>120740</v>
      </c>
      <c r="G5425" s="140" t="s">
        <v>206</v>
      </c>
      <c r="H5425">
        <v>0</v>
      </c>
      <c r="I5425" s="140" t="s">
        <v>17</v>
      </c>
    </row>
    <row r="5426" spans="1:9" hidden="1" x14ac:dyDescent="0.25">
      <c r="A5426">
        <v>2026</v>
      </c>
      <c r="B5426" s="140" t="s">
        <v>136</v>
      </c>
      <c r="C5426" s="140" t="s">
        <v>16</v>
      </c>
      <c r="D5426" s="140" t="s">
        <v>11</v>
      </c>
      <c r="E5426" s="140" t="s">
        <v>55</v>
      </c>
      <c r="F5426">
        <v>128082.4798</v>
      </c>
      <c r="G5426" s="140" t="s">
        <v>206</v>
      </c>
      <c r="H5426">
        <v>0</v>
      </c>
      <c r="I5426" s="140" t="s">
        <v>17</v>
      </c>
    </row>
    <row r="5427" spans="1:9" hidden="1" x14ac:dyDescent="0.25">
      <c r="A5427">
        <v>2027</v>
      </c>
      <c r="B5427" s="140" t="s">
        <v>136</v>
      </c>
      <c r="C5427" s="140" t="s">
        <v>16</v>
      </c>
      <c r="D5427" s="140" t="s">
        <v>11</v>
      </c>
      <c r="E5427" s="140" t="s">
        <v>55</v>
      </c>
      <c r="F5427">
        <v>132219.7647</v>
      </c>
      <c r="G5427" s="140" t="s">
        <v>206</v>
      </c>
      <c r="H5427">
        <v>0</v>
      </c>
      <c r="I5427" s="140" t="s">
        <v>17</v>
      </c>
    </row>
    <row r="5428" spans="1:9" hidden="1" x14ac:dyDescent="0.25">
      <c r="A5428">
        <v>2028</v>
      </c>
      <c r="B5428" s="140" t="s">
        <v>136</v>
      </c>
      <c r="C5428" s="140" t="s">
        <v>16</v>
      </c>
      <c r="D5428" s="140" t="s">
        <v>11</v>
      </c>
      <c r="E5428" s="140" t="s">
        <v>55</v>
      </c>
      <c r="F5428">
        <v>136966.36569999999</v>
      </c>
      <c r="G5428" s="140" t="s">
        <v>206</v>
      </c>
      <c r="H5428">
        <v>0</v>
      </c>
      <c r="I5428" s="140" t="s">
        <v>17</v>
      </c>
    </row>
    <row r="5429" spans="1:9" hidden="1" x14ac:dyDescent="0.25">
      <c r="A5429">
        <v>2029</v>
      </c>
      <c r="B5429" s="140" t="s">
        <v>136</v>
      </c>
      <c r="C5429" s="140" t="s">
        <v>16</v>
      </c>
      <c r="D5429" s="140" t="s">
        <v>11</v>
      </c>
      <c r="E5429" s="140" t="s">
        <v>55</v>
      </c>
      <c r="F5429">
        <v>142059.37849999999</v>
      </c>
      <c r="G5429" s="140" t="s">
        <v>206</v>
      </c>
      <c r="H5429">
        <v>0</v>
      </c>
      <c r="I5429" s="140" t="s">
        <v>17</v>
      </c>
    </row>
    <row r="5430" spans="1:9" hidden="1" x14ac:dyDescent="0.25">
      <c r="A5430">
        <v>2030</v>
      </c>
      <c r="B5430" s="140" t="s">
        <v>136</v>
      </c>
      <c r="C5430" s="140" t="s">
        <v>16</v>
      </c>
      <c r="D5430" s="140" t="s">
        <v>11</v>
      </c>
      <c r="E5430" s="140" t="s">
        <v>55</v>
      </c>
      <c r="F5430">
        <v>147356.92720000001</v>
      </c>
      <c r="G5430" s="140" t="s">
        <v>206</v>
      </c>
      <c r="H5430">
        <v>0</v>
      </c>
      <c r="I5430" s="140" t="s">
        <v>17</v>
      </c>
    </row>
    <row r="5431" spans="1:9" hidden="1" x14ac:dyDescent="0.25">
      <c r="A5431">
        <v>1990</v>
      </c>
      <c r="B5431" s="140" t="s">
        <v>141</v>
      </c>
      <c r="C5431" s="140" t="s">
        <v>16</v>
      </c>
      <c r="D5431" s="140" t="s">
        <v>11</v>
      </c>
      <c r="E5431" s="140" t="s">
        <v>55</v>
      </c>
      <c r="F5431">
        <v>21553</v>
      </c>
      <c r="G5431" s="140" t="s">
        <v>204</v>
      </c>
      <c r="H5431">
        <v>0</v>
      </c>
      <c r="I5431" s="140" t="s">
        <v>17</v>
      </c>
    </row>
    <row r="5432" spans="1:9" hidden="1" x14ac:dyDescent="0.25">
      <c r="A5432">
        <v>1991</v>
      </c>
      <c r="B5432" s="140" t="s">
        <v>141</v>
      </c>
      <c r="C5432" s="140" t="s">
        <v>16</v>
      </c>
      <c r="D5432" s="140" t="s">
        <v>11</v>
      </c>
      <c r="E5432" s="140" t="s">
        <v>55</v>
      </c>
      <c r="F5432">
        <v>19308</v>
      </c>
      <c r="G5432" s="140" t="s">
        <v>204</v>
      </c>
      <c r="H5432">
        <v>0</v>
      </c>
      <c r="I5432" s="140" t="s">
        <v>17</v>
      </c>
    </row>
    <row r="5433" spans="1:9" hidden="1" x14ac:dyDescent="0.25">
      <c r="A5433">
        <v>1992</v>
      </c>
      <c r="B5433" s="140" t="s">
        <v>141</v>
      </c>
      <c r="C5433" s="140" t="s">
        <v>16</v>
      </c>
      <c r="D5433" s="140" t="s">
        <v>11</v>
      </c>
      <c r="E5433" s="140" t="s">
        <v>55</v>
      </c>
      <c r="F5433">
        <v>20939</v>
      </c>
      <c r="G5433" s="140" t="s">
        <v>204</v>
      </c>
      <c r="H5433">
        <v>0</v>
      </c>
      <c r="I5433" s="140" t="s">
        <v>17</v>
      </c>
    </row>
    <row r="5434" spans="1:9" hidden="1" x14ac:dyDescent="0.25">
      <c r="A5434">
        <v>1993</v>
      </c>
      <c r="B5434" s="140" t="s">
        <v>141</v>
      </c>
      <c r="C5434" s="140" t="s">
        <v>16</v>
      </c>
      <c r="D5434" s="140" t="s">
        <v>11</v>
      </c>
      <c r="E5434" s="140" t="s">
        <v>55</v>
      </c>
      <c r="F5434">
        <v>22956</v>
      </c>
      <c r="G5434" s="140" t="s">
        <v>204</v>
      </c>
      <c r="H5434">
        <v>0</v>
      </c>
      <c r="I5434" s="140" t="s">
        <v>17</v>
      </c>
    </row>
    <row r="5435" spans="1:9" hidden="1" x14ac:dyDescent="0.25">
      <c r="A5435">
        <v>1994</v>
      </c>
      <c r="B5435" s="140" t="s">
        <v>141</v>
      </c>
      <c r="C5435" s="140" t="s">
        <v>16</v>
      </c>
      <c r="D5435" s="140" t="s">
        <v>11</v>
      </c>
      <c r="E5435" s="140" t="s">
        <v>55</v>
      </c>
      <c r="F5435">
        <v>25766</v>
      </c>
      <c r="G5435" s="140" t="s">
        <v>204</v>
      </c>
      <c r="H5435">
        <v>0</v>
      </c>
      <c r="I5435" s="140" t="s">
        <v>17</v>
      </c>
    </row>
    <row r="5436" spans="1:9" hidden="1" x14ac:dyDescent="0.25">
      <c r="A5436">
        <v>1995</v>
      </c>
      <c r="B5436" s="140" t="s">
        <v>141</v>
      </c>
      <c r="C5436" s="140" t="s">
        <v>16</v>
      </c>
      <c r="D5436" s="140" t="s">
        <v>11</v>
      </c>
      <c r="E5436" s="140" t="s">
        <v>55</v>
      </c>
      <c r="F5436">
        <v>27898</v>
      </c>
      <c r="G5436" s="140" t="s">
        <v>204</v>
      </c>
      <c r="H5436">
        <v>0</v>
      </c>
      <c r="I5436" s="140" t="s">
        <v>17</v>
      </c>
    </row>
    <row r="5437" spans="1:9" hidden="1" x14ac:dyDescent="0.25">
      <c r="A5437">
        <v>1996</v>
      </c>
      <c r="B5437" s="140" t="s">
        <v>141</v>
      </c>
      <c r="C5437" s="140" t="s">
        <v>16</v>
      </c>
      <c r="D5437" s="140" t="s">
        <v>11</v>
      </c>
      <c r="E5437" s="140" t="s">
        <v>55</v>
      </c>
      <c r="F5437">
        <v>30015</v>
      </c>
      <c r="G5437" s="140" t="s">
        <v>204</v>
      </c>
      <c r="H5437">
        <v>0</v>
      </c>
      <c r="I5437" s="140" t="s">
        <v>17</v>
      </c>
    </row>
    <row r="5438" spans="1:9" hidden="1" x14ac:dyDescent="0.25">
      <c r="A5438">
        <v>1997</v>
      </c>
      <c r="B5438" s="140" t="s">
        <v>141</v>
      </c>
      <c r="C5438" s="140" t="s">
        <v>16</v>
      </c>
      <c r="D5438" s="140" t="s">
        <v>11</v>
      </c>
      <c r="E5438" s="140" t="s">
        <v>55</v>
      </c>
      <c r="F5438">
        <v>33734</v>
      </c>
      <c r="G5438" s="140" t="s">
        <v>204</v>
      </c>
      <c r="H5438">
        <v>0</v>
      </c>
      <c r="I5438" s="140" t="s">
        <v>17</v>
      </c>
    </row>
    <row r="5439" spans="1:9" hidden="1" x14ac:dyDescent="0.25">
      <c r="A5439">
        <v>1998</v>
      </c>
      <c r="B5439" s="140" t="s">
        <v>141</v>
      </c>
      <c r="C5439" s="140" t="s">
        <v>16</v>
      </c>
      <c r="D5439" s="140" t="s">
        <v>11</v>
      </c>
      <c r="E5439" s="140" t="s">
        <v>55</v>
      </c>
      <c r="F5439">
        <v>35574</v>
      </c>
      <c r="G5439" s="140" t="s">
        <v>204</v>
      </c>
      <c r="H5439">
        <v>0</v>
      </c>
      <c r="I5439" s="140" t="s">
        <v>17</v>
      </c>
    </row>
    <row r="5440" spans="1:9" hidden="1" x14ac:dyDescent="0.25">
      <c r="A5440">
        <v>1999</v>
      </c>
      <c r="B5440" s="140" t="s">
        <v>141</v>
      </c>
      <c r="C5440" s="140" t="s">
        <v>16</v>
      </c>
      <c r="D5440" s="140" t="s">
        <v>11</v>
      </c>
      <c r="E5440" s="140" t="s">
        <v>55</v>
      </c>
      <c r="F5440">
        <v>36343</v>
      </c>
      <c r="G5440" s="140" t="s">
        <v>204</v>
      </c>
      <c r="H5440">
        <v>0</v>
      </c>
      <c r="I5440" s="140" t="s">
        <v>17</v>
      </c>
    </row>
    <row r="5441" spans="1:9" hidden="1" x14ac:dyDescent="0.25">
      <c r="A5441">
        <v>2000</v>
      </c>
      <c r="B5441" s="140" t="s">
        <v>141</v>
      </c>
      <c r="C5441" s="140" t="s">
        <v>16</v>
      </c>
      <c r="D5441" s="140" t="s">
        <v>11</v>
      </c>
      <c r="E5441" s="140" t="s">
        <v>55</v>
      </c>
      <c r="F5441">
        <v>44840</v>
      </c>
      <c r="G5441" s="140" t="s">
        <v>204</v>
      </c>
      <c r="H5441">
        <v>0</v>
      </c>
      <c r="I5441" s="140" t="s">
        <v>17</v>
      </c>
    </row>
    <row r="5442" spans="1:9" hidden="1" x14ac:dyDescent="0.25">
      <c r="A5442">
        <v>2001</v>
      </c>
      <c r="B5442" s="140" t="s">
        <v>141</v>
      </c>
      <c r="C5442" s="140" t="s">
        <v>16</v>
      </c>
      <c r="D5442" s="140" t="s">
        <v>11</v>
      </c>
      <c r="E5442" s="140" t="s">
        <v>55</v>
      </c>
      <c r="F5442">
        <v>44130</v>
      </c>
      <c r="G5442" s="140" t="s">
        <v>204</v>
      </c>
      <c r="H5442">
        <v>0</v>
      </c>
      <c r="I5442" s="140" t="s">
        <v>17</v>
      </c>
    </row>
    <row r="5443" spans="1:9" hidden="1" x14ac:dyDescent="0.25">
      <c r="A5443">
        <v>2002</v>
      </c>
      <c r="B5443" s="140" t="s">
        <v>141</v>
      </c>
      <c r="C5443" s="140" t="s">
        <v>16</v>
      </c>
      <c r="D5443" s="140" t="s">
        <v>11</v>
      </c>
      <c r="E5443" s="140" t="s">
        <v>55</v>
      </c>
      <c r="F5443">
        <v>44790</v>
      </c>
      <c r="G5443" s="140" t="s">
        <v>204</v>
      </c>
      <c r="H5443">
        <v>0</v>
      </c>
      <c r="I5443" s="140" t="s">
        <v>17</v>
      </c>
    </row>
    <row r="5444" spans="1:9" hidden="1" x14ac:dyDescent="0.25">
      <c r="A5444">
        <v>2003</v>
      </c>
      <c r="B5444" s="140" t="s">
        <v>141</v>
      </c>
      <c r="C5444" s="140" t="s">
        <v>16</v>
      </c>
      <c r="D5444" s="140" t="s">
        <v>11</v>
      </c>
      <c r="E5444" s="140" t="s">
        <v>55</v>
      </c>
      <c r="F5444">
        <v>46640</v>
      </c>
      <c r="G5444" s="140" t="s">
        <v>204</v>
      </c>
      <c r="H5444">
        <v>0</v>
      </c>
      <c r="I5444" s="140" t="s">
        <v>17</v>
      </c>
    </row>
    <row r="5445" spans="1:9" hidden="1" x14ac:dyDescent="0.25">
      <c r="A5445">
        <v>2004</v>
      </c>
      <c r="B5445" s="140" t="s">
        <v>141</v>
      </c>
      <c r="C5445" s="140" t="s">
        <v>16</v>
      </c>
      <c r="D5445" s="140" t="s">
        <v>11</v>
      </c>
      <c r="E5445" s="140" t="s">
        <v>55</v>
      </c>
      <c r="F5445">
        <v>51350</v>
      </c>
      <c r="G5445" s="140" t="s">
        <v>204</v>
      </c>
      <c r="H5445">
        <v>0</v>
      </c>
      <c r="I5445" s="140" t="s">
        <v>17</v>
      </c>
    </row>
    <row r="5446" spans="1:9" hidden="1" x14ac:dyDescent="0.25">
      <c r="A5446">
        <v>2005</v>
      </c>
      <c r="B5446" s="140" t="s">
        <v>141</v>
      </c>
      <c r="C5446" s="140" t="s">
        <v>16</v>
      </c>
      <c r="D5446" s="140" t="s">
        <v>11</v>
      </c>
      <c r="E5446" s="140" t="s">
        <v>55</v>
      </c>
      <c r="F5446">
        <v>59791</v>
      </c>
      <c r="G5446" s="140" t="s">
        <v>204</v>
      </c>
      <c r="H5446">
        <v>0</v>
      </c>
      <c r="I5446" s="140" t="s">
        <v>17</v>
      </c>
    </row>
    <row r="5447" spans="1:9" hidden="1" x14ac:dyDescent="0.25">
      <c r="A5447">
        <v>2006</v>
      </c>
      <c r="B5447" s="140" t="s">
        <v>141</v>
      </c>
      <c r="C5447" s="140" t="s">
        <v>16</v>
      </c>
      <c r="D5447" s="140" t="s">
        <v>11</v>
      </c>
      <c r="E5447" s="140" t="s">
        <v>55</v>
      </c>
      <c r="F5447">
        <v>67273</v>
      </c>
      <c r="G5447" s="140" t="s">
        <v>204</v>
      </c>
      <c r="H5447">
        <v>0</v>
      </c>
      <c r="I5447" s="140" t="s">
        <v>17</v>
      </c>
    </row>
    <row r="5448" spans="1:9" hidden="1" x14ac:dyDescent="0.25">
      <c r="A5448">
        <v>2007</v>
      </c>
      <c r="B5448" s="140" t="s">
        <v>141</v>
      </c>
      <c r="C5448" s="140" t="s">
        <v>16</v>
      </c>
      <c r="D5448" s="140" t="s">
        <v>11</v>
      </c>
      <c r="E5448" s="140" t="s">
        <v>55</v>
      </c>
      <c r="F5448">
        <v>73017</v>
      </c>
      <c r="G5448" s="140" t="s">
        <v>204</v>
      </c>
      <c r="H5448">
        <v>0</v>
      </c>
      <c r="I5448" s="140" t="s">
        <v>17</v>
      </c>
    </row>
    <row r="5449" spans="1:9" hidden="1" x14ac:dyDescent="0.25">
      <c r="A5449">
        <v>2008</v>
      </c>
      <c r="B5449" s="140" t="s">
        <v>141</v>
      </c>
      <c r="C5449" s="140" t="s">
        <v>16</v>
      </c>
      <c r="D5449" s="140" t="s">
        <v>11</v>
      </c>
      <c r="E5449" s="140" t="s">
        <v>55</v>
      </c>
      <c r="F5449">
        <v>80201</v>
      </c>
      <c r="G5449" s="140" t="s">
        <v>204</v>
      </c>
      <c r="H5449">
        <v>0</v>
      </c>
      <c r="I5449" s="140" t="s">
        <v>17</v>
      </c>
    </row>
    <row r="5450" spans="1:9" hidden="1" x14ac:dyDescent="0.25">
      <c r="A5450">
        <v>2009</v>
      </c>
      <c r="B5450" s="140" t="s">
        <v>141</v>
      </c>
      <c r="C5450" s="140" t="s">
        <v>16</v>
      </c>
      <c r="D5450" s="140" t="s">
        <v>11</v>
      </c>
      <c r="E5450" s="140" t="s">
        <v>55</v>
      </c>
      <c r="F5450">
        <v>61871</v>
      </c>
      <c r="G5450" s="140" t="s">
        <v>204</v>
      </c>
      <c r="H5450">
        <v>0</v>
      </c>
      <c r="I5450" s="140" t="s">
        <v>17</v>
      </c>
    </row>
    <row r="5451" spans="1:9" hidden="1" x14ac:dyDescent="0.25">
      <c r="A5451">
        <v>2010</v>
      </c>
      <c r="B5451" s="140" t="s">
        <v>141</v>
      </c>
      <c r="C5451" s="140" t="s">
        <v>16</v>
      </c>
      <c r="D5451" s="140" t="s">
        <v>11</v>
      </c>
      <c r="E5451" s="140" t="s">
        <v>55</v>
      </c>
      <c r="F5451">
        <v>69705</v>
      </c>
      <c r="G5451" s="140" t="s">
        <v>204</v>
      </c>
      <c r="H5451">
        <v>0</v>
      </c>
      <c r="I5451" s="140" t="s">
        <v>17</v>
      </c>
    </row>
    <row r="5452" spans="1:9" hidden="1" x14ac:dyDescent="0.25">
      <c r="A5452">
        <v>2011</v>
      </c>
      <c r="B5452" s="140" t="s">
        <v>141</v>
      </c>
      <c r="C5452" s="140" t="s">
        <v>16</v>
      </c>
      <c r="D5452" s="140" t="s">
        <v>11</v>
      </c>
      <c r="E5452" s="140" t="s">
        <v>55</v>
      </c>
      <c r="F5452">
        <v>78565</v>
      </c>
      <c r="G5452" s="140" t="s">
        <v>204</v>
      </c>
      <c r="H5452">
        <v>0</v>
      </c>
      <c r="I5452" s="140" t="s">
        <v>17</v>
      </c>
    </row>
    <row r="5453" spans="1:9" hidden="1" x14ac:dyDescent="0.25">
      <c r="A5453">
        <v>2012</v>
      </c>
      <c r="B5453" s="140" t="s">
        <v>141</v>
      </c>
      <c r="C5453" s="140" t="s">
        <v>16</v>
      </c>
      <c r="D5453" s="140" t="s">
        <v>11</v>
      </c>
      <c r="E5453" s="140" t="s">
        <v>55</v>
      </c>
      <c r="F5453">
        <v>81144</v>
      </c>
      <c r="G5453" s="140" t="s">
        <v>204</v>
      </c>
      <c r="H5453">
        <v>0</v>
      </c>
      <c r="I5453" s="140" t="s">
        <v>17</v>
      </c>
    </row>
    <row r="5454" spans="1:9" hidden="1" x14ac:dyDescent="0.25">
      <c r="A5454">
        <v>2013</v>
      </c>
      <c r="B5454" s="140" t="s">
        <v>141</v>
      </c>
      <c r="C5454" s="140" t="s">
        <v>16</v>
      </c>
      <c r="D5454" s="140" t="s">
        <v>11</v>
      </c>
      <c r="E5454" s="140" t="s">
        <v>55</v>
      </c>
      <c r="F5454">
        <v>79842</v>
      </c>
      <c r="G5454" s="140" t="s">
        <v>204</v>
      </c>
      <c r="H5454">
        <v>0</v>
      </c>
      <c r="I5454" s="140" t="s">
        <v>17</v>
      </c>
    </row>
    <row r="5455" spans="1:9" hidden="1" x14ac:dyDescent="0.25">
      <c r="A5455">
        <v>2014</v>
      </c>
      <c r="B5455" s="140" t="s">
        <v>141</v>
      </c>
      <c r="C5455" s="140" t="s">
        <v>16</v>
      </c>
      <c r="D5455" s="140" t="s">
        <v>11</v>
      </c>
      <c r="E5455" s="140" t="s">
        <v>55</v>
      </c>
      <c r="F5455">
        <v>77858</v>
      </c>
      <c r="G5455" s="140" t="s">
        <v>204</v>
      </c>
      <c r="H5455">
        <v>0</v>
      </c>
      <c r="I5455" s="140" t="s">
        <v>17</v>
      </c>
    </row>
    <row r="5456" spans="1:9" hidden="1" x14ac:dyDescent="0.25">
      <c r="A5456">
        <v>2015</v>
      </c>
      <c r="B5456" s="140" t="s">
        <v>141</v>
      </c>
      <c r="C5456" s="140" t="s">
        <v>16</v>
      </c>
      <c r="D5456" s="140" t="s">
        <v>11</v>
      </c>
      <c r="E5456" s="140" t="s">
        <v>55</v>
      </c>
      <c r="F5456">
        <v>76048</v>
      </c>
      <c r="G5456" s="140" t="s">
        <v>204</v>
      </c>
      <c r="H5456">
        <v>0</v>
      </c>
      <c r="I5456" s="140" t="s">
        <v>17</v>
      </c>
    </row>
    <row r="5457" spans="1:9" hidden="1" x14ac:dyDescent="0.25">
      <c r="A5457">
        <v>2016</v>
      </c>
      <c r="B5457" s="140" t="s">
        <v>141</v>
      </c>
      <c r="C5457" s="140" t="s">
        <v>16</v>
      </c>
      <c r="D5457" s="140" t="s">
        <v>11</v>
      </c>
      <c r="E5457" s="140" t="s">
        <v>55</v>
      </c>
      <c r="F5457">
        <v>78497</v>
      </c>
      <c r="G5457" s="140" t="s">
        <v>204</v>
      </c>
      <c r="H5457">
        <v>0</v>
      </c>
      <c r="I5457" s="140" t="s">
        <v>17</v>
      </c>
    </row>
    <row r="5458" spans="1:9" hidden="1" x14ac:dyDescent="0.25">
      <c r="A5458">
        <v>2017</v>
      </c>
      <c r="B5458" s="140" t="s">
        <v>141</v>
      </c>
      <c r="C5458" s="140" t="s">
        <v>16</v>
      </c>
      <c r="D5458" s="140" t="s">
        <v>11</v>
      </c>
      <c r="E5458" s="140" t="s">
        <v>55</v>
      </c>
      <c r="F5458">
        <v>84877</v>
      </c>
      <c r="G5458" s="140" t="s">
        <v>204</v>
      </c>
      <c r="H5458">
        <v>0</v>
      </c>
      <c r="I5458" s="140" t="s">
        <v>17</v>
      </c>
    </row>
    <row r="5459" spans="1:9" hidden="1" x14ac:dyDescent="0.25">
      <c r="A5459">
        <v>2018</v>
      </c>
      <c r="B5459" s="140" t="s">
        <v>141</v>
      </c>
      <c r="C5459" s="140" t="s">
        <v>16</v>
      </c>
      <c r="D5459" s="140" t="s">
        <v>11</v>
      </c>
      <c r="E5459" s="140" t="s">
        <v>55</v>
      </c>
      <c r="F5459">
        <v>92749</v>
      </c>
      <c r="G5459" s="140" t="s">
        <v>204</v>
      </c>
      <c r="H5459">
        <v>0</v>
      </c>
      <c r="I5459" s="140" t="s">
        <v>17</v>
      </c>
    </row>
    <row r="5460" spans="1:9" hidden="1" x14ac:dyDescent="0.25">
      <c r="A5460">
        <v>2019</v>
      </c>
      <c r="B5460" s="140" t="s">
        <v>141</v>
      </c>
      <c r="C5460" s="140" t="s">
        <v>16</v>
      </c>
      <c r="D5460" s="140" t="s">
        <v>11</v>
      </c>
      <c r="E5460" s="140" t="s">
        <v>55</v>
      </c>
      <c r="F5460">
        <v>95278</v>
      </c>
      <c r="G5460" s="140" t="s">
        <v>204</v>
      </c>
      <c r="H5460">
        <v>0</v>
      </c>
      <c r="I5460" s="140" t="s">
        <v>17</v>
      </c>
    </row>
    <row r="5461" spans="1:9" hidden="1" x14ac:dyDescent="0.25">
      <c r="A5461">
        <v>2020</v>
      </c>
      <c r="B5461" s="140" t="s">
        <v>141</v>
      </c>
      <c r="C5461" s="140" t="s">
        <v>16</v>
      </c>
      <c r="D5461" s="140" t="s">
        <v>11</v>
      </c>
      <c r="E5461" s="140" t="s">
        <v>55</v>
      </c>
      <c r="F5461">
        <v>85029</v>
      </c>
      <c r="G5461" s="140" t="s">
        <v>204</v>
      </c>
      <c r="H5461">
        <v>0</v>
      </c>
      <c r="I5461" s="140" t="s">
        <v>17</v>
      </c>
    </row>
    <row r="5462" spans="1:9" hidden="1" x14ac:dyDescent="0.25">
      <c r="A5462">
        <v>2021</v>
      </c>
      <c r="B5462" s="140" t="s">
        <v>141</v>
      </c>
      <c r="C5462" s="140" t="s">
        <v>16</v>
      </c>
      <c r="D5462" s="140" t="s">
        <v>11</v>
      </c>
      <c r="E5462" s="140" t="s">
        <v>55</v>
      </c>
      <c r="F5462">
        <v>99176</v>
      </c>
      <c r="G5462" s="140" t="s">
        <v>204</v>
      </c>
      <c r="H5462">
        <v>0</v>
      </c>
      <c r="I5462" s="140" t="s">
        <v>17</v>
      </c>
    </row>
    <row r="5463" spans="1:9" hidden="1" x14ac:dyDescent="0.25">
      <c r="A5463">
        <v>2022</v>
      </c>
      <c r="B5463" s="140" t="s">
        <v>141</v>
      </c>
      <c r="C5463" s="140" t="s">
        <v>16</v>
      </c>
      <c r="D5463" s="140" t="s">
        <v>11</v>
      </c>
      <c r="E5463" s="140" t="s">
        <v>55</v>
      </c>
      <c r="F5463">
        <v>128665</v>
      </c>
      <c r="G5463" s="140" t="s">
        <v>204</v>
      </c>
      <c r="H5463">
        <v>0</v>
      </c>
      <c r="I5463" s="140" t="s">
        <v>17</v>
      </c>
    </row>
    <row r="5464" spans="1:9" hidden="1" x14ac:dyDescent="0.25">
      <c r="A5464">
        <v>2023</v>
      </c>
      <c r="B5464" s="140" t="s">
        <v>141</v>
      </c>
      <c r="C5464" s="140" t="s">
        <v>16</v>
      </c>
      <c r="D5464" s="140" t="s">
        <v>11</v>
      </c>
      <c r="E5464" s="140" t="s">
        <v>55</v>
      </c>
      <c r="F5464">
        <v>117088</v>
      </c>
      <c r="G5464" s="140" t="s">
        <v>204</v>
      </c>
      <c r="H5464">
        <v>0</v>
      </c>
      <c r="I5464" s="140" t="s">
        <v>17</v>
      </c>
    </row>
    <row r="5465" spans="1:9" hidden="1" x14ac:dyDescent="0.25">
      <c r="A5465">
        <v>2024</v>
      </c>
      <c r="B5465" s="140" t="s">
        <v>141</v>
      </c>
      <c r="C5465" s="140" t="s">
        <v>16</v>
      </c>
      <c r="D5465" s="140" t="s">
        <v>11</v>
      </c>
      <c r="E5465" s="140" t="s">
        <v>55</v>
      </c>
      <c r="F5465">
        <v>114533</v>
      </c>
      <c r="G5465" s="140" t="s">
        <v>204</v>
      </c>
      <c r="H5465">
        <v>0</v>
      </c>
      <c r="I5465" s="140" t="s">
        <v>17</v>
      </c>
    </row>
    <row r="5466" spans="1:9" hidden="1" x14ac:dyDescent="0.25">
      <c r="A5466">
        <v>2025</v>
      </c>
      <c r="B5466" s="140" t="s">
        <v>141</v>
      </c>
      <c r="C5466" s="140" t="s">
        <v>16</v>
      </c>
      <c r="D5466" s="140" t="s">
        <v>11</v>
      </c>
      <c r="E5466" s="140" t="s">
        <v>55</v>
      </c>
      <c r="F5466">
        <v>116500</v>
      </c>
      <c r="G5466" s="140" t="s">
        <v>204</v>
      </c>
      <c r="H5466">
        <v>0</v>
      </c>
      <c r="I5466" s="140" t="s">
        <v>17</v>
      </c>
    </row>
    <row r="5467" spans="1:9" hidden="1" x14ac:dyDescent="0.25">
      <c r="A5467">
        <v>2026</v>
      </c>
      <c r="B5467" s="140" t="s">
        <v>141</v>
      </c>
      <c r="C5467" s="140" t="s">
        <v>16</v>
      </c>
      <c r="D5467" s="140" t="s">
        <v>11</v>
      </c>
      <c r="E5467" s="140" t="s">
        <v>55</v>
      </c>
      <c r="F5467">
        <v>125816.04949999999</v>
      </c>
      <c r="G5467" s="140" t="s">
        <v>204</v>
      </c>
      <c r="H5467">
        <v>0</v>
      </c>
      <c r="I5467" s="140" t="s">
        <v>17</v>
      </c>
    </row>
    <row r="5468" spans="1:9" hidden="1" x14ac:dyDescent="0.25">
      <c r="A5468">
        <v>2027</v>
      </c>
      <c r="B5468" s="140" t="s">
        <v>141</v>
      </c>
      <c r="C5468" s="140" t="s">
        <v>16</v>
      </c>
      <c r="D5468" s="140" t="s">
        <v>11</v>
      </c>
      <c r="E5468" s="140" t="s">
        <v>55</v>
      </c>
      <c r="F5468">
        <v>129690.2911</v>
      </c>
      <c r="G5468" s="140" t="s">
        <v>204</v>
      </c>
      <c r="H5468">
        <v>0</v>
      </c>
      <c r="I5468" s="140" t="s">
        <v>17</v>
      </c>
    </row>
    <row r="5469" spans="1:9" hidden="1" x14ac:dyDescent="0.25">
      <c r="A5469">
        <v>2028</v>
      </c>
      <c r="B5469" s="140" t="s">
        <v>141</v>
      </c>
      <c r="C5469" s="140" t="s">
        <v>16</v>
      </c>
      <c r="D5469" s="140" t="s">
        <v>11</v>
      </c>
      <c r="E5469" s="140" t="s">
        <v>55</v>
      </c>
      <c r="F5469">
        <v>135143.07070000001</v>
      </c>
      <c r="G5469" s="140" t="s">
        <v>204</v>
      </c>
      <c r="H5469">
        <v>0</v>
      </c>
      <c r="I5469" s="140" t="s">
        <v>17</v>
      </c>
    </row>
    <row r="5470" spans="1:9" hidden="1" x14ac:dyDescent="0.25">
      <c r="A5470">
        <v>2029</v>
      </c>
      <c r="B5470" s="140" t="s">
        <v>141</v>
      </c>
      <c r="C5470" s="140" t="s">
        <v>16</v>
      </c>
      <c r="D5470" s="140" t="s">
        <v>11</v>
      </c>
      <c r="E5470" s="140" t="s">
        <v>55</v>
      </c>
      <c r="F5470">
        <v>140861.5687</v>
      </c>
      <c r="G5470" s="140" t="s">
        <v>204</v>
      </c>
      <c r="H5470">
        <v>0</v>
      </c>
      <c r="I5470" s="140" t="s">
        <v>17</v>
      </c>
    </row>
    <row r="5471" spans="1:9" hidden="1" x14ac:dyDescent="0.25">
      <c r="A5471">
        <v>2030</v>
      </c>
      <c r="B5471" s="140" t="s">
        <v>141</v>
      </c>
      <c r="C5471" s="140" t="s">
        <v>16</v>
      </c>
      <c r="D5471" s="140" t="s">
        <v>11</v>
      </c>
      <c r="E5471" s="140" t="s">
        <v>55</v>
      </c>
      <c r="F5471">
        <v>146635.9915</v>
      </c>
      <c r="G5471" s="140" t="s">
        <v>204</v>
      </c>
      <c r="H5471">
        <v>0</v>
      </c>
      <c r="I5471" s="140" t="s">
        <v>17</v>
      </c>
    </row>
    <row r="5472" spans="1:9" hidden="1" x14ac:dyDescent="0.25">
      <c r="A5472">
        <v>1990</v>
      </c>
      <c r="B5472" s="140" t="s">
        <v>287</v>
      </c>
      <c r="C5472" s="140" t="s">
        <v>68</v>
      </c>
      <c r="D5472" s="140" t="s">
        <v>11</v>
      </c>
      <c r="E5472" s="140" t="s">
        <v>55</v>
      </c>
      <c r="F5472">
        <v>-1409</v>
      </c>
      <c r="G5472" s="140" t="s">
        <v>138</v>
      </c>
      <c r="H5472">
        <v>0</v>
      </c>
      <c r="I5472" s="140" t="s">
        <v>17</v>
      </c>
    </row>
    <row r="5473" spans="1:9" hidden="1" x14ac:dyDescent="0.25">
      <c r="A5473">
        <v>1991</v>
      </c>
      <c r="B5473" s="140" t="s">
        <v>287</v>
      </c>
      <c r="C5473" s="140" t="s">
        <v>68</v>
      </c>
      <c r="D5473" s="140" t="s">
        <v>11</v>
      </c>
      <c r="E5473" s="140" t="s">
        <v>55</v>
      </c>
      <c r="F5473">
        <v>-825</v>
      </c>
      <c r="G5473" s="140" t="s">
        <v>138</v>
      </c>
      <c r="H5473">
        <v>0</v>
      </c>
      <c r="I5473" s="140" t="s">
        <v>17</v>
      </c>
    </row>
    <row r="5474" spans="1:9" hidden="1" x14ac:dyDescent="0.25">
      <c r="A5474">
        <v>1992</v>
      </c>
      <c r="B5474" s="140" t="s">
        <v>287</v>
      </c>
      <c r="C5474" s="140" t="s">
        <v>68</v>
      </c>
      <c r="D5474" s="140" t="s">
        <v>11</v>
      </c>
      <c r="E5474" s="140" t="s">
        <v>55</v>
      </c>
      <c r="F5474">
        <v>718</v>
      </c>
      <c r="G5474" s="140" t="s">
        <v>138</v>
      </c>
      <c r="H5474">
        <v>0</v>
      </c>
      <c r="I5474" s="140" t="s">
        <v>17</v>
      </c>
    </row>
    <row r="5475" spans="1:9" hidden="1" x14ac:dyDescent="0.25">
      <c r="A5475">
        <v>1993</v>
      </c>
      <c r="B5475" s="140" t="s">
        <v>287</v>
      </c>
      <c r="C5475" s="140" t="s">
        <v>68</v>
      </c>
      <c r="D5475" s="140" t="s">
        <v>11</v>
      </c>
      <c r="E5475" s="140" t="s">
        <v>55</v>
      </c>
      <c r="F5475">
        <v>3940</v>
      </c>
      <c r="G5475" s="140" t="s">
        <v>138</v>
      </c>
      <c r="H5475">
        <v>0</v>
      </c>
      <c r="I5475" s="140" t="s">
        <v>17</v>
      </c>
    </row>
    <row r="5476" spans="1:9" hidden="1" x14ac:dyDescent="0.25">
      <c r="A5476">
        <v>1994</v>
      </c>
      <c r="B5476" s="140" t="s">
        <v>287</v>
      </c>
      <c r="C5476" s="140" t="s">
        <v>68</v>
      </c>
      <c r="D5476" s="140" t="s">
        <v>11</v>
      </c>
      <c r="E5476" s="140" t="s">
        <v>55</v>
      </c>
      <c r="F5476">
        <v>5121</v>
      </c>
      <c r="G5476" s="140" t="s">
        <v>138</v>
      </c>
      <c r="H5476">
        <v>0</v>
      </c>
      <c r="I5476" s="140" t="s">
        <v>17</v>
      </c>
    </row>
    <row r="5477" spans="1:9" hidden="1" x14ac:dyDescent="0.25">
      <c r="A5477">
        <v>1995</v>
      </c>
      <c r="B5477" s="140" t="s">
        <v>287</v>
      </c>
      <c r="C5477" s="140" t="s">
        <v>68</v>
      </c>
      <c r="D5477" s="140" t="s">
        <v>11</v>
      </c>
      <c r="E5477" s="140" t="s">
        <v>55</v>
      </c>
      <c r="F5477">
        <v>7348</v>
      </c>
      <c r="G5477" s="140" t="s">
        <v>138</v>
      </c>
      <c r="H5477">
        <v>0</v>
      </c>
      <c r="I5477" s="140" t="s">
        <v>17</v>
      </c>
    </row>
    <row r="5478" spans="1:9" hidden="1" x14ac:dyDescent="0.25">
      <c r="A5478">
        <v>1996</v>
      </c>
      <c r="B5478" s="140" t="s">
        <v>287</v>
      </c>
      <c r="C5478" s="140" t="s">
        <v>68</v>
      </c>
      <c r="D5478" s="140" t="s">
        <v>11</v>
      </c>
      <c r="E5478" s="140" t="s">
        <v>55</v>
      </c>
      <c r="F5478">
        <v>7061</v>
      </c>
      <c r="G5478" s="140" t="s">
        <v>138</v>
      </c>
      <c r="H5478">
        <v>0</v>
      </c>
      <c r="I5478" s="140" t="s">
        <v>17</v>
      </c>
    </row>
    <row r="5479" spans="1:9" hidden="1" x14ac:dyDescent="0.25">
      <c r="A5479">
        <v>1997</v>
      </c>
      <c r="B5479" s="140" t="s">
        <v>287</v>
      </c>
      <c r="C5479" s="140" t="s">
        <v>68</v>
      </c>
      <c r="D5479" s="140" t="s">
        <v>11</v>
      </c>
      <c r="E5479" s="140" t="s">
        <v>55</v>
      </c>
      <c r="F5479">
        <v>8126</v>
      </c>
      <c r="G5479" s="140" t="s">
        <v>138</v>
      </c>
      <c r="H5479">
        <v>0</v>
      </c>
      <c r="I5479" s="140" t="s">
        <v>17</v>
      </c>
    </row>
    <row r="5480" spans="1:9" hidden="1" x14ac:dyDescent="0.25">
      <c r="A5480">
        <v>1998</v>
      </c>
      <c r="B5480" s="140" t="s">
        <v>287</v>
      </c>
      <c r="C5480" s="140" t="s">
        <v>68</v>
      </c>
      <c r="D5480" s="140" t="s">
        <v>11</v>
      </c>
      <c r="E5480" s="140" t="s">
        <v>55</v>
      </c>
      <c r="F5480">
        <v>9530</v>
      </c>
      <c r="G5480" s="140" t="s">
        <v>138</v>
      </c>
      <c r="H5480">
        <v>0</v>
      </c>
      <c r="I5480" s="140" t="s">
        <v>17</v>
      </c>
    </row>
    <row r="5481" spans="1:9" hidden="1" x14ac:dyDescent="0.25">
      <c r="A5481">
        <v>1999</v>
      </c>
      <c r="B5481" s="140" t="s">
        <v>287</v>
      </c>
      <c r="C5481" s="140" t="s">
        <v>68</v>
      </c>
      <c r="D5481" s="140" t="s">
        <v>11</v>
      </c>
      <c r="E5481" s="140" t="s">
        <v>55</v>
      </c>
      <c r="F5481">
        <v>11383</v>
      </c>
      <c r="G5481" s="140" t="s">
        <v>138</v>
      </c>
      <c r="H5481">
        <v>0</v>
      </c>
      <c r="I5481" s="140" t="s">
        <v>17</v>
      </c>
    </row>
    <row r="5482" spans="1:9" hidden="1" x14ac:dyDescent="0.25">
      <c r="A5482">
        <v>2000</v>
      </c>
      <c r="B5482" s="140" t="s">
        <v>287</v>
      </c>
      <c r="C5482" s="140" t="s">
        <v>68</v>
      </c>
      <c r="D5482" s="140" t="s">
        <v>11</v>
      </c>
      <c r="E5482" s="140" t="s">
        <v>55</v>
      </c>
      <c r="F5482">
        <v>12508</v>
      </c>
      <c r="G5482" s="140" t="s">
        <v>138</v>
      </c>
      <c r="H5482">
        <v>0</v>
      </c>
      <c r="I5482" s="140" t="s">
        <v>17</v>
      </c>
    </row>
    <row r="5483" spans="1:9" hidden="1" x14ac:dyDescent="0.25">
      <c r="A5483">
        <v>2001</v>
      </c>
      <c r="B5483" s="140" t="s">
        <v>287</v>
      </c>
      <c r="C5483" s="140" t="s">
        <v>68</v>
      </c>
      <c r="D5483" s="140" t="s">
        <v>11</v>
      </c>
      <c r="E5483" s="140" t="s">
        <v>55</v>
      </c>
      <c r="F5483">
        <v>13380</v>
      </c>
      <c r="G5483" s="140" t="s">
        <v>138</v>
      </c>
      <c r="H5483">
        <v>0</v>
      </c>
      <c r="I5483" s="140" t="s">
        <v>17</v>
      </c>
    </row>
    <row r="5484" spans="1:9" hidden="1" x14ac:dyDescent="0.25">
      <c r="A5484">
        <v>2002</v>
      </c>
      <c r="B5484" s="140" t="s">
        <v>287</v>
      </c>
      <c r="C5484" s="140" t="s">
        <v>68</v>
      </c>
      <c r="D5484" s="140" t="s">
        <v>11</v>
      </c>
      <c r="E5484" s="140" t="s">
        <v>55</v>
      </c>
      <c r="F5484">
        <v>13320</v>
      </c>
      <c r="G5484" s="140" t="s">
        <v>138</v>
      </c>
      <c r="H5484">
        <v>0</v>
      </c>
      <c r="I5484" s="140" t="s">
        <v>17</v>
      </c>
    </row>
    <row r="5485" spans="1:9" hidden="1" x14ac:dyDescent="0.25">
      <c r="A5485">
        <v>2003</v>
      </c>
      <c r="B5485" s="140" t="s">
        <v>287</v>
      </c>
      <c r="C5485" s="140" t="s">
        <v>68</v>
      </c>
      <c r="D5485" s="140" t="s">
        <v>11</v>
      </c>
      <c r="E5485" s="140" t="s">
        <v>55</v>
      </c>
      <c r="F5485">
        <v>9994</v>
      </c>
      <c r="G5485" s="140" t="s">
        <v>138</v>
      </c>
      <c r="H5485">
        <v>0</v>
      </c>
      <c r="I5485" s="140" t="s">
        <v>17</v>
      </c>
    </row>
    <row r="5486" spans="1:9" hidden="1" x14ac:dyDescent="0.25">
      <c r="A5486">
        <v>2004</v>
      </c>
      <c r="B5486" s="140" t="s">
        <v>287</v>
      </c>
      <c r="C5486" s="140" t="s">
        <v>68</v>
      </c>
      <c r="D5486" s="140" t="s">
        <v>11</v>
      </c>
      <c r="E5486" s="140" t="s">
        <v>55</v>
      </c>
      <c r="F5486">
        <v>9955</v>
      </c>
      <c r="G5486" s="140" t="s">
        <v>138</v>
      </c>
      <c r="H5486">
        <v>0</v>
      </c>
      <c r="I5486" s="140" t="s">
        <v>17</v>
      </c>
    </row>
    <row r="5487" spans="1:9" hidden="1" x14ac:dyDescent="0.25">
      <c r="A5487">
        <v>2005</v>
      </c>
      <c r="B5487" s="140" t="s">
        <v>287</v>
      </c>
      <c r="C5487" s="140" t="s">
        <v>68</v>
      </c>
      <c r="D5487" s="140" t="s">
        <v>11</v>
      </c>
      <c r="E5487" s="140" t="s">
        <v>55</v>
      </c>
      <c r="F5487">
        <v>6534</v>
      </c>
      <c r="G5487" s="140" t="s">
        <v>138</v>
      </c>
      <c r="H5487">
        <v>0</v>
      </c>
      <c r="I5487" s="140" t="s">
        <v>17</v>
      </c>
    </row>
    <row r="5488" spans="1:9" hidden="1" x14ac:dyDescent="0.25">
      <c r="A5488">
        <v>2006</v>
      </c>
      <c r="B5488" s="140" t="s">
        <v>287</v>
      </c>
      <c r="C5488" s="140" t="s">
        <v>68</v>
      </c>
      <c r="D5488" s="140" t="s">
        <v>11</v>
      </c>
      <c r="E5488" s="140" t="s">
        <v>55</v>
      </c>
      <c r="F5488">
        <v>7201</v>
      </c>
      <c r="G5488" s="140" t="s">
        <v>138</v>
      </c>
      <c r="H5488">
        <v>0</v>
      </c>
      <c r="I5488" s="140" t="s">
        <v>17</v>
      </c>
    </row>
    <row r="5489" spans="1:9" hidden="1" x14ac:dyDescent="0.25">
      <c r="A5489">
        <v>2007</v>
      </c>
      <c r="B5489" s="140" t="s">
        <v>287</v>
      </c>
      <c r="C5489" s="140" t="s">
        <v>68</v>
      </c>
      <c r="D5489" s="140" t="s">
        <v>11</v>
      </c>
      <c r="E5489" s="140" t="s">
        <v>55</v>
      </c>
      <c r="F5489">
        <v>8969</v>
      </c>
      <c r="G5489" s="140" t="s">
        <v>138</v>
      </c>
      <c r="H5489">
        <v>0</v>
      </c>
      <c r="I5489" s="140" t="s">
        <v>17</v>
      </c>
    </row>
    <row r="5490" spans="1:9" hidden="1" x14ac:dyDescent="0.25">
      <c r="A5490">
        <v>2008</v>
      </c>
      <c r="B5490" s="140" t="s">
        <v>287</v>
      </c>
      <c r="C5490" s="140" t="s">
        <v>68</v>
      </c>
      <c r="D5490" s="140" t="s">
        <v>11</v>
      </c>
      <c r="E5490" s="140" t="s">
        <v>55</v>
      </c>
      <c r="F5490">
        <v>7024</v>
      </c>
      <c r="G5490" s="140" t="s">
        <v>138</v>
      </c>
      <c r="H5490">
        <v>0</v>
      </c>
      <c r="I5490" s="140" t="s">
        <v>17</v>
      </c>
    </row>
    <row r="5491" spans="1:9" hidden="1" x14ac:dyDescent="0.25">
      <c r="A5491">
        <v>2009</v>
      </c>
      <c r="B5491" s="140" t="s">
        <v>287</v>
      </c>
      <c r="C5491" s="140" t="s">
        <v>68</v>
      </c>
      <c r="D5491" s="140" t="s">
        <v>11</v>
      </c>
      <c r="E5491" s="140" t="s">
        <v>55</v>
      </c>
      <c r="F5491">
        <v>3705</v>
      </c>
      <c r="G5491" s="140" t="s">
        <v>138</v>
      </c>
      <c r="H5491">
        <v>0</v>
      </c>
      <c r="I5491" s="140" t="s">
        <v>17</v>
      </c>
    </row>
    <row r="5492" spans="1:9" hidden="1" x14ac:dyDescent="0.25">
      <c r="A5492">
        <v>2010</v>
      </c>
      <c r="B5492" s="140" t="s">
        <v>287</v>
      </c>
      <c r="C5492" s="140" t="s">
        <v>68</v>
      </c>
      <c r="D5492" s="140" t="s">
        <v>11</v>
      </c>
      <c r="E5492" s="140" t="s">
        <v>55</v>
      </c>
      <c r="F5492">
        <v>2568</v>
      </c>
      <c r="G5492" s="140" t="s">
        <v>138</v>
      </c>
      <c r="H5492">
        <v>0</v>
      </c>
      <c r="I5492" s="140" t="s">
        <v>17</v>
      </c>
    </row>
    <row r="5493" spans="1:9" hidden="1" x14ac:dyDescent="0.25">
      <c r="A5493">
        <v>2011</v>
      </c>
      <c r="B5493" s="140" t="s">
        <v>287</v>
      </c>
      <c r="C5493" s="140" t="s">
        <v>68</v>
      </c>
      <c r="D5493" s="140" t="s">
        <v>11</v>
      </c>
      <c r="E5493" s="140" t="s">
        <v>55</v>
      </c>
      <c r="F5493">
        <v>-1544</v>
      </c>
      <c r="G5493" s="140" t="s">
        <v>138</v>
      </c>
      <c r="H5493">
        <v>0</v>
      </c>
      <c r="I5493" s="140" t="s">
        <v>17</v>
      </c>
    </row>
    <row r="5494" spans="1:9" hidden="1" x14ac:dyDescent="0.25">
      <c r="A5494">
        <v>2012</v>
      </c>
      <c r="B5494" s="140" t="s">
        <v>287</v>
      </c>
      <c r="C5494" s="140" t="s">
        <v>68</v>
      </c>
      <c r="D5494" s="140" t="s">
        <v>11</v>
      </c>
      <c r="E5494" s="140" t="s">
        <v>55</v>
      </c>
      <c r="F5494">
        <v>-3127</v>
      </c>
      <c r="G5494" s="140" t="s">
        <v>138</v>
      </c>
      <c r="H5494">
        <v>0</v>
      </c>
      <c r="I5494" s="140" t="s">
        <v>17</v>
      </c>
    </row>
    <row r="5495" spans="1:9" hidden="1" x14ac:dyDescent="0.25">
      <c r="A5495">
        <v>2013</v>
      </c>
      <c r="B5495" s="140" t="s">
        <v>287</v>
      </c>
      <c r="C5495" s="140" t="s">
        <v>68</v>
      </c>
      <c r="D5495" s="140" t="s">
        <v>11</v>
      </c>
      <c r="E5495" s="140" t="s">
        <v>55</v>
      </c>
      <c r="F5495">
        <v>-2004</v>
      </c>
      <c r="G5495" s="140" t="s">
        <v>138</v>
      </c>
      <c r="H5495">
        <v>0</v>
      </c>
      <c r="I5495" s="140" t="s">
        <v>17</v>
      </c>
    </row>
    <row r="5496" spans="1:9" hidden="1" x14ac:dyDescent="0.25">
      <c r="A5496">
        <v>2014</v>
      </c>
      <c r="B5496" s="140" t="s">
        <v>287</v>
      </c>
      <c r="C5496" s="140" t="s">
        <v>68</v>
      </c>
      <c r="D5496" s="140" t="s">
        <v>11</v>
      </c>
      <c r="E5496" s="140" t="s">
        <v>55</v>
      </c>
      <c r="F5496">
        <v>-2091</v>
      </c>
      <c r="G5496" s="140" t="s">
        <v>138</v>
      </c>
      <c r="H5496">
        <v>0</v>
      </c>
      <c r="I5496" s="140" t="s">
        <v>17</v>
      </c>
    </row>
    <row r="5497" spans="1:9" hidden="1" x14ac:dyDescent="0.25">
      <c r="A5497">
        <v>2015</v>
      </c>
      <c r="B5497" s="140" t="s">
        <v>287</v>
      </c>
      <c r="C5497" s="140" t="s">
        <v>68</v>
      </c>
      <c r="D5497" s="140" t="s">
        <v>11</v>
      </c>
      <c r="E5497" s="140" t="s">
        <v>55</v>
      </c>
      <c r="F5497">
        <v>-838</v>
      </c>
      <c r="G5497" s="140" t="s">
        <v>138</v>
      </c>
      <c r="H5497">
        <v>0</v>
      </c>
      <c r="I5497" s="140" t="s">
        <v>17</v>
      </c>
    </row>
    <row r="5498" spans="1:9" hidden="1" x14ac:dyDescent="0.25">
      <c r="A5498">
        <v>2016</v>
      </c>
      <c r="B5498" s="140" t="s">
        <v>287</v>
      </c>
      <c r="C5498" s="140" t="s">
        <v>68</v>
      </c>
      <c r="D5498" s="140" t="s">
        <v>11</v>
      </c>
      <c r="E5498" s="140" t="s">
        <v>55</v>
      </c>
      <c r="F5498">
        <v>-2277</v>
      </c>
      <c r="G5498" s="140" t="s">
        <v>138</v>
      </c>
      <c r="H5498">
        <v>0</v>
      </c>
      <c r="I5498" s="140" t="s">
        <v>17</v>
      </c>
    </row>
    <row r="5499" spans="1:9" hidden="1" x14ac:dyDescent="0.25">
      <c r="A5499">
        <v>2017</v>
      </c>
      <c r="B5499" s="140" t="s">
        <v>287</v>
      </c>
      <c r="C5499" s="140" t="s">
        <v>68</v>
      </c>
      <c r="D5499" s="140" t="s">
        <v>11</v>
      </c>
      <c r="E5499" s="140" t="s">
        <v>55</v>
      </c>
      <c r="F5499">
        <v>885</v>
      </c>
      <c r="G5499" s="140" t="s">
        <v>138</v>
      </c>
      <c r="H5499">
        <v>0</v>
      </c>
      <c r="I5499" s="140" t="s">
        <v>17</v>
      </c>
    </row>
    <row r="5500" spans="1:9" hidden="1" x14ac:dyDescent="0.25">
      <c r="A5500">
        <v>2018</v>
      </c>
      <c r="B5500" s="140" t="s">
        <v>287</v>
      </c>
      <c r="C5500" s="140" t="s">
        <v>68</v>
      </c>
      <c r="D5500" s="140" t="s">
        <v>11</v>
      </c>
      <c r="E5500" s="140" t="s">
        <v>55</v>
      </c>
      <c r="F5500">
        <v>-1960</v>
      </c>
      <c r="G5500" s="140" t="s">
        <v>138</v>
      </c>
      <c r="H5500">
        <v>0</v>
      </c>
      <c r="I5500" s="140" t="s">
        <v>17</v>
      </c>
    </row>
    <row r="5501" spans="1:9" hidden="1" x14ac:dyDescent="0.25">
      <c r="A5501">
        <v>2019</v>
      </c>
      <c r="B5501" s="140" t="s">
        <v>287</v>
      </c>
      <c r="C5501" s="140" t="s">
        <v>68</v>
      </c>
      <c r="D5501" s="140" t="s">
        <v>11</v>
      </c>
      <c r="E5501" s="140" t="s">
        <v>55</v>
      </c>
      <c r="F5501">
        <v>1604</v>
      </c>
      <c r="G5501" s="140" t="s">
        <v>138</v>
      </c>
      <c r="H5501">
        <v>0</v>
      </c>
      <c r="I5501" s="140" t="s">
        <v>17</v>
      </c>
    </row>
    <row r="5502" spans="1:9" hidden="1" x14ac:dyDescent="0.25">
      <c r="A5502">
        <v>2020</v>
      </c>
      <c r="B5502" s="140" t="s">
        <v>287</v>
      </c>
      <c r="C5502" s="140" t="s">
        <v>68</v>
      </c>
      <c r="D5502" s="140" t="s">
        <v>11</v>
      </c>
      <c r="E5502" s="140" t="s">
        <v>55</v>
      </c>
      <c r="F5502">
        <v>577</v>
      </c>
      <c r="G5502" s="140" t="s">
        <v>138</v>
      </c>
      <c r="H5502">
        <v>0</v>
      </c>
      <c r="I5502" s="140" t="s">
        <v>17</v>
      </c>
    </row>
    <row r="5503" spans="1:9" hidden="1" x14ac:dyDescent="0.25">
      <c r="A5503">
        <v>2021</v>
      </c>
      <c r="B5503" s="140" t="s">
        <v>287</v>
      </c>
      <c r="C5503" s="140" t="s">
        <v>68</v>
      </c>
      <c r="D5503" s="140" t="s">
        <v>11</v>
      </c>
      <c r="E5503" s="140" t="s">
        <v>55</v>
      </c>
      <c r="F5503">
        <v>135</v>
      </c>
      <c r="G5503" s="140" t="s">
        <v>138</v>
      </c>
      <c r="H5503">
        <v>0</v>
      </c>
      <c r="I5503" s="140" t="s">
        <v>17</v>
      </c>
    </row>
    <row r="5504" spans="1:9" hidden="1" x14ac:dyDescent="0.25">
      <c r="A5504">
        <v>2022</v>
      </c>
      <c r="B5504" s="140" t="s">
        <v>287</v>
      </c>
      <c r="C5504" s="140" t="s">
        <v>68</v>
      </c>
      <c r="D5504" s="140" t="s">
        <v>11</v>
      </c>
      <c r="E5504" s="140" t="s">
        <v>55</v>
      </c>
      <c r="F5504">
        <v>-5770</v>
      </c>
      <c r="G5504" s="140" t="s">
        <v>138</v>
      </c>
      <c r="H5504">
        <v>0</v>
      </c>
      <c r="I5504" s="140" t="s">
        <v>17</v>
      </c>
    </row>
    <row r="5505" spans="1:9" hidden="1" x14ac:dyDescent="0.25">
      <c r="A5505">
        <v>2023</v>
      </c>
      <c r="B5505" s="140" t="s">
        <v>287</v>
      </c>
      <c r="C5505" s="140" t="s">
        <v>68</v>
      </c>
      <c r="D5505" s="140" t="s">
        <v>11</v>
      </c>
      <c r="E5505" s="140" t="s">
        <v>55</v>
      </c>
      <c r="F5505">
        <v>-208</v>
      </c>
      <c r="G5505" s="140" t="s">
        <v>138</v>
      </c>
      <c r="H5505">
        <v>0</v>
      </c>
      <c r="I5505" s="140" t="s">
        <v>17</v>
      </c>
    </row>
    <row r="5506" spans="1:9" hidden="1" x14ac:dyDescent="0.25">
      <c r="A5506">
        <v>2024</v>
      </c>
      <c r="B5506" s="140" t="s">
        <v>287</v>
      </c>
      <c r="C5506" s="140" t="s">
        <v>68</v>
      </c>
      <c r="D5506" s="140" t="s">
        <v>11</v>
      </c>
      <c r="E5506" s="140" t="s">
        <v>55</v>
      </c>
      <c r="F5506">
        <v>290</v>
      </c>
      <c r="G5506" s="140" t="s">
        <v>138</v>
      </c>
      <c r="H5506">
        <v>0</v>
      </c>
      <c r="I5506" s="140" t="s">
        <v>17</v>
      </c>
    </row>
    <row r="5507" spans="1:9" hidden="1" x14ac:dyDescent="0.25">
      <c r="A5507">
        <v>2025</v>
      </c>
      <c r="B5507" s="140" t="s">
        <v>287</v>
      </c>
      <c r="C5507" s="140" t="s">
        <v>68</v>
      </c>
      <c r="D5507" s="140" t="s">
        <v>11</v>
      </c>
      <c r="E5507" s="140" t="s">
        <v>55</v>
      </c>
      <c r="F5507">
        <v>4240</v>
      </c>
      <c r="G5507" s="140" t="s">
        <v>138</v>
      </c>
      <c r="H5507">
        <v>0</v>
      </c>
      <c r="I5507" s="140" t="s">
        <v>17</v>
      </c>
    </row>
    <row r="5508" spans="1:9" hidden="1" x14ac:dyDescent="0.25">
      <c r="A5508">
        <v>2026</v>
      </c>
      <c r="B5508" s="140" t="s">
        <v>287</v>
      </c>
      <c r="C5508" s="140" t="s">
        <v>68</v>
      </c>
      <c r="D5508" s="140" t="s">
        <v>11</v>
      </c>
      <c r="E5508" s="140" t="s">
        <v>55</v>
      </c>
      <c r="F5508">
        <v>2266.4302769999999</v>
      </c>
      <c r="G5508" s="140" t="s">
        <v>138</v>
      </c>
      <c r="H5508">
        <v>0</v>
      </c>
      <c r="I5508" s="140" t="s">
        <v>17</v>
      </c>
    </row>
    <row r="5509" spans="1:9" hidden="1" x14ac:dyDescent="0.25">
      <c r="A5509">
        <v>2027</v>
      </c>
      <c r="B5509" s="140" t="s">
        <v>287</v>
      </c>
      <c r="C5509" s="140" t="s">
        <v>68</v>
      </c>
      <c r="D5509" s="140" t="s">
        <v>11</v>
      </c>
      <c r="E5509" s="140" t="s">
        <v>55</v>
      </c>
      <c r="F5509">
        <v>2529.4736090000001</v>
      </c>
      <c r="G5509" s="140" t="s">
        <v>138</v>
      </c>
      <c r="H5509">
        <v>0</v>
      </c>
      <c r="I5509" s="140" t="s">
        <v>17</v>
      </c>
    </row>
    <row r="5510" spans="1:9" hidden="1" x14ac:dyDescent="0.25">
      <c r="A5510">
        <v>2028</v>
      </c>
      <c r="B5510" s="140" t="s">
        <v>287</v>
      </c>
      <c r="C5510" s="140" t="s">
        <v>68</v>
      </c>
      <c r="D5510" s="140" t="s">
        <v>11</v>
      </c>
      <c r="E5510" s="140" t="s">
        <v>55</v>
      </c>
      <c r="F5510">
        <v>1823.2949739999999</v>
      </c>
      <c r="G5510" s="140" t="s">
        <v>138</v>
      </c>
      <c r="H5510">
        <v>0</v>
      </c>
      <c r="I5510" s="140" t="s">
        <v>17</v>
      </c>
    </row>
    <row r="5511" spans="1:9" hidden="1" x14ac:dyDescent="0.25">
      <c r="A5511">
        <v>1990</v>
      </c>
      <c r="B5511" s="140" t="s">
        <v>136</v>
      </c>
      <c r="C5511" s="140" t="s">
        <v>20</v>
      </c>
      <c r="D5511" s="140" t="s">
        <v>11</v>
      </c>
      <c r="E5511" s="140" t="s">
        <v>55</v>
      </c>
      <c r="F5511">
        <v>22570</v>
      </c>
      <c r="G5511" s="140" t="s">
        <v>206</v>
      </c>
      <c r="H5511">
        <v>0</v>
      </c>
      <c r="I5511" s="140" t="s">
        <v>17</v>
      </c>
    </row>
    <row r="5512" spans="1:9" hidden="1" x14ac:dyDescent="0.25">
      <c r="A5512">
        <v>1991</v>
      </c>
      <c r="B5512" s="140" t="s">
        <v>136</v>
      </c>
      <c r="C5512" s="140" t="s">
        <v>20</v>
      </c>
      <c r="D5512" s="140" t="s">
        <v>11</v>
      </c>
      <c r="E5512" s="140" t="s">
        <v>55</v>
      </c>
      <c r="F5512">
        <v>20789</v>
      </c>
      <c r="G5512" s="140" t="s">
        <v>206</v>
      </c>
      <c r="H5512">
        <v>0</v>
      </c>
      <c r="I5512" s="140" t="s">
        <v>17</v>
      </c>
    </row>
    <row r="5513" spans="1:9" hidden="1" x14ac:dyDescent="0.25">
      <c r="A5513">
        <v>1992</v>
      </c>
      <c r="B5513" s="140" t="s">
        <v>136</v>
      </c>
      <c r="C5513" s="140" t="s">
        <v>20</v>
      </c>
      <c r="D5513" s="140" t="s">
        <v>11</v>
      </c>
      <c r="E5513" s="140" t="s">
        <v>55</v>
      </c>
      <c r="F5513">
        <v>22946</v>
      </c>
      <c r="G5513" s="140" t="s">
        <v>206</v>
      </c>
      <c r="H5513">
        <v>0</v>
      </c>
      <c r="I5513" s="140" t="s">
        <v>17</v>
      </c>
    </row>
    <row r="5514" spans="1:9" hidden="1" x14ac:dyDescent="0.25">
      <c r="A5514">
        <v>1993</v>
      </c>
      <c r="B5514" s="140" t="s">
        <v>136</v>
      </c>
      <c r="C5514" s="140" t="s">
        <v>20</v>
      </c>
      <c r="D5514" s="140" t="s">
        <v>11</v>
      </c>
      <c r="E5514" s="140" t="s">
        <v>55</v>
      </c>
      <c r="F5514">
        <v>26771</v>
      </c>
      <c r="G5514" s="140" t="s">
        <v>206</v>
      </c>
      <c r="H5514">
        <v>0</v>
      </c>
      <c r="I5514" s="140" t="s">
        <v>17</v>
      </c>
    </row>
    <row r="5515" spans="1:9" hidden="1" x14ac:dyDescent="0.25">
      <c r="A5515">
        <v>1994</v>
      </c>
      <c r="B5515" s="140" t="s">
        <v>136</v>
      </c>
      <c r="C5515" s="140" t="s">
        <v>20</v>
      </c>
      <c r="D5515" s="140" t="s">
        <v>11</v>
      </c>
      <c r="E5515" s="140" t="s">
        <v>55</v>
      </c>
      <c r="F5515">
        <v>30329</v>
      </c>
      <c r="G5515" s="140" t="s">
        <v>206</v>
      </c>
      <c r="H5515">
        <v>0</v>
      </c>
      <c r="I5515" s="140" t="s">
        <v>17</v>
      </c>
    </row>
    <row r="5516" spans="1:9" hidden="1" x14ac:dyDescent="0.25">
      <c r="A5516">
        <v>1995</v>
      </c>
      <c r="B5516" s="140" t="s">
        <v>136</v>
      </c>
      <c r="C5516" s="140" t="s">
        <v>20</v>
      </c>
      <c r="D5516" s="140" t="s">
        <v>11</v>
      </c>
      <c r="E5516" s="140" t="s">
        <v>55</v>
      </c>
      <c r="F5516">
        <v>32983</v>
      </c>
      <c r="G5516" s="140" t="s">
        <v>206</v>
      </c>
      <c r="H5516">
        <v>0</v>
      </c>
      <c r="I5516" s="140" t="s">
        <v>17</v>
      </c>
    </row>
    <row r="5517" spans="1:9" hidden="1" x14ac:dyDescent="0.25">
      <c r="A5517">
        <v>1996</v>
      </c>
      <c r="B5517" s="140" t="s">
        <v>136</v>
      </c>
      <c r="C5517" s="140" t="s">
        <v>20</v>
      </c>
      <c r="D5517" s="140" t="s">
        <v>11</v>
      </c>
      <c r="E5517" s="140" t="s">
        <v>55</v>
      </c>
      <c r="F5517">
        <v>34883</v>
      </c>
      <c r="G5517" s="140" t="s">
        <v>206</v>
      </c>
      <c r="H5517">
        <v>0</v>
      </c>
      <c r="I5517" s="140" t="s">
        <v>17</v>
      </c>
    </row>
    <row r="5518" spans="1:9" hidden="1" x14ac:dyDescent="0.25">
      <c r="A5518">
        <v>1997</v>
      </c>
      <c r="B5518" s="140" t="s">
        <v>136</v>
      </c>
      <c r="C5518" s="140" t="s">
        <v>20</v>
      </c>
      <c r="D5518" s="140" t="s">
        <v>11</v>
      </c>
      <c r="E5518" s="140" t="s">
        <v>55</v>
      </c>
      <c r="F5518">
        <v>39777</v>
      </c>
      <c r="G5518" s="140" t="s">
        <v>206</v>
      </c>
      <c r="H5518">
        <v>0</v>
      </c>
      <c r="I5518" s="140" t="s">
        <v>17</v>
      </c>
    </row>
    <row r="5519" spans="1:9" hidden="1" x14ac:dyDescent="0.25">
      <c r="A5519">
        <v>1998</v>
      </c>
      <c r="B5519" s="140" t="s">
        <v>136</v>
      </c>
      <c r="C5519" s="140" t="s">
        <v>20</v>
      </c>
      <c r="D5519" s="140" t="s">
        <v>11</v>
      </c>
      <c r="E5519" s="140" t="s">
        <v>55</v>
      </c>
      <c r="F5519">
        <v>43306</v>
      </c>
      <c r="G5519" s="140" t="s">
        <v>206</v>
      </c>
      <c r="H5519">
        <v>0</v>
      </c>
      <c r="I5519" s="140" t="s">
        <v>17</v>
      </c>
    </row>
    <row r="5520" spans="1:9" hidden="1" x14ac:dyDescent="0.25">
      <c r="A5520">
        <v>1999</v>
      </c>
      <c r="B5520" s="140" t="s">
        <v>136</v>
      </c>
      <c r="C5520" s="140" t="s">
        <v>20</v>
      </c>
      <c r="D5520" s="140" t="s">
        <v>11</v>
      </c>
      <c r="E5520" s="140" t="s">
        <v>55</v>
      </c>
      <c r="F5520">
        <v>48215</v>
      </c>
      <c r="G5520" s="140" t="s">
        <v>206</v>
      </c>
      <c r="H5520">
        <v>0</v>
      </c>
      <c r="I5520" s="140" t="s">
        <v>17</v>
      </c>
    </row>
    <row r="5521" spans="1:9" hidden="1" x14ac:dyDescent="0.25">
      <c r="A5521">
        <v>2000</v>
      </c>
      <c r="B5521" s="140" t="s">
        <v>136</v>
      </c>
      <c r="C5521" s="140" t="s">
        <v>20</v>
      </c>
      <c r="D5521" s="140" t="s">
        <v>11</v>
      </c>
      <c r="E5521" s="140" t="s">
        <v>55</v>
      </c>
      <c r="F5521">
        <v>55980</v>
      </c>
      <c r="G5521" s="140" t="s">
        <v>206</v>
      </c>
      <c r="H5521">
        <v>0</v>
      </c>
      <c r="I5521" s="140" t="s">
        <v>17</v>
      </c>
    </row>
    <row r="5522" spans="1:9" hidden="1" x14ac:dyDescent="0.25">
      <c r="A5522">
        <v>2001</v>
      </c>
      <c r="B5522" s="140" t="s">
        <v>136</v>
      </c>
      <c r="C5522" s="140" t="s">
        <v>20</v>
      </c>
      <c r="D5522" s="140" t="s">
        <v>11</v>
      </c>
      <c r="E5522" s="140" t="s">
        <v>55</v>
      </c>
      <c r="F5522">
        <v>57000</v>
      </c>
      <c r="G5522" s="140" t="s">
        <v>206</v>
      </c>
      <c r="H5522">
        <v>0</v>
      </c>
      <c r="I5522" s="140" t="s">
        <v>17</v>
      </c>
    </row>
    <row r="5523" spans="1:9" hidden="1" x14ac:dyDescent="0.25">
      <c r="A5523">
        <v>2002</v>
      </c>
      <c r="B5523" s="140" t="s">
        <v>136</v>
      </c>
      <c r="C5523" s="140" t="s">
        <v>20</v>
      </c>
      <c r="D5523" s="140" t="s">
        <v>11</v>
      </c>
      <c r="E5523" s="140" t="s">
        <v>55</v>
      </c>
      <c r="F5523">
        <v>59270</v>
      </c>
      <c r="G5523" s="140" t="s">
        <v>206</v>
      </c>
      <c r="H5523">
        <v>0</v>
      </c>
      <c r="I5523" s="140" t="s">
        <v>17</v>
      </c>
    </row>
    <row r="5524" spans="1:9" hidden="1" x14ac:dyDescent="0.25">
      <c r="A5524">
        <v>2003</v>
      </c>
      <c r="B5524" s="140" t="s">
        <v>136</v>
      </c>
      <c r="C5524" s="140" t="s">
        <v>20</v>
      </c>
      <c r="D5524" s="140" t="s">
        <v>11</v>
      </c>
      <c r="E5524" s="140" t="s">
        <v>55</v>
      </c>
      <c r="F5524">
        <v>58673</v>
      </c>
      <c r="G5524" s="140" t="s">
        <v>206</v>
      </c>
      <c r="H5524">
        <v>0</v>
      </c>
      <c r="I5524" s="140" t="s">
        <v>17</v>
      </c>
    </row>
    <row r="5525" spans="1:9" hidden="1" x14ac:dyDescent="0.25">
      <c r="A5525">
        <v>2004</v>
      </c>
      <c r="B5525" s="140" t="s">
        <v>136</v>
      </c>
      <c r="C5525" s="140" t="s">
        <v>20</v>
      </c>
      <c r="D5525" s="140" t="s">
        <v>11</v>
      </c>
      <c r="E5525" s="140" t="s">
        <v>55</v>
      </c>
      <c r="F5525">
        <v>63802</v>
      </c>
      <c r="G5525" s="140" t="s">
        <v>206</v>
      </c>
      <c r="H5525">
        <v>0</v>
      </c>
      <c r="I5525" s="140" t="s">
        <v>17</v>
      </c>
    </row>
    <row r="5526" spans="1:9" hidden="1" x14ac:dyDescent="0.25">
      <c r="A5526">
        <v>2005</v>
      </c>
      <c r="B5526" s="140" t="s">
        <v>136</v>
      </c>
      <c r="C5526" s="140" t="s">
        <v>20</v>
      </c>
      <c r="D5526" s="140" t="s">
        <v>11</v>
      </c>
      <c r="E5526" s="140" t="s">
        <v>55</v>
      </c>
      <c r="F5526">
        <v>68236</v>
      </c>
      <c r="G5526" s="140" t="s">
        <v>206</v>
      </c>
      <c r="H5526">
        <v>0</v>
      </c>
      <c r="I5526" s="140" t="s">
        <v>17</v>
      </c>
    </row>
    <row r="5527" spans="1:9" hidden="1" x14ac:dyDescent="0.25">
      <c r="A5527">
        <v>2006</v>
      </c>
      <c r="B5527" s="140" t="s">
        <v>136</v>
      </c>
      <c r="C5527" s="140" t="s">
        <v>20</v>
      </c>
      <c r="D5527" s="140" t="s">
        <v>11</v>
      </c>
      <c r="E5527" s="140" t="s">
        <v>55</v>
      </c>
      <c r="F5527">
        <v>74932</v>
      </c>
      <c r="G5527" s="140" t="s">
        <v>206</v>
      </c>
      <c r="H5527">
        <v>0</v>
      </c>
      <c r="I5527" s="140" t="s">
        <v>17</v>
      </c>
    </row>
    <row r="5528" spans="1:9" hidden="1" x14ac:dyDescent="0.25">
      <c r="A5528">
        <v>2007</v>
      </c>
      <c r="B5528" s="140" t="s">
        <v>136</v>
      </c>
      <c r="C5528" s="140" t="s">
        <v>20</v>
      </c>
      <c r="D5528" s="140" t="s">
        <v>11</v>
      </c>
      <c r="E5528" s="140" t="s">
        <v>55</v>
      </c>
      <c r="F5528">
        <v>81666</v>
      </c>
      <c r="G5528" s="140" t="s">
        <v>206</v>
      </c>
      <c r="H5528">
        <v>0</v>
      </c>
      <c r="I5528" s="140" t="s">
        <v>17</v>
      </c>
    </row>
    <row r="5529" spans="1:9" hidden="1" x14ac:dyDescent="0.25">
      <c r="A5529">
        <v>2008</v>
      </c>
      <c r="B5529" s="140" t="s">
        <v>136</v>
      </c>
      <c r="C5529" s="140" t="s">
        <v>20</v>
      </c>
      <c r="D5529" s="140" t="s">
        <v>11</v>
      </c>
      <c r="E5529" s="140" t="s">
        <v>55</v>
      </c>
      <c r="F5529">
        <v>87057</v>
      </c>
      <c r="G5529" s="140" t="s">
        <v>206</v>
      </c>
      <c r="H5529">
        <v>0</v>
      </c>
      <c r="I5529" s="140" t="s">
        <v>17</v>
      </c>
    </row>
    <row r="5530" spans="1:9" hidden="1" x14ac:dyDescent="0.25">
      <c r="A5530">
        <v>2009</v>
      </c>
      <c r="B5530" s="140" t="s">
        <v>136</v>
      </c>
      <c r="C5530" s="140" t="s">
        <v>20</v>
      </c>
      <c r="D5530" s="140" t="s">
        <v>11</v>
      </c>
      <c r="E5530" s="140" t="s">
        <v>55</v>
      </c>
      <c r="F5530">
        <v>69547</v>
      </c>
      <c r="G5530" s="140" t="s">
        <v>206</v>
      </c>
      <c r="H5530">
        <v>0</v>
      </c>
      <c r="I5530" s="140" t="s">
        <v>17</v>
      </c>
    </row>
    <row r="5531" spans="1:9" hidden="1" x14ac:dyDescent="0.25">
      <c r="A5531">
        <v>2010</v>
      </c>
      <c r="B5531" s="140" t="s">
        <v>136</v>
      </c>
      <c r="C5531" s="140" t="s">
        <v>20</v>
      </c>
      <c r="D5531" s="140" t="s">
        <v>11</v>
      </c>
      <c r="E5531" s="140" t="s">
        <v>55</v>
      </c>
      <c r="F5531">
        <v>73843</v>
      </c>
      <c r="G5531" s="140" t="s">
        <v>206</v>
      </c>
      <c r="H5531">
        <v>0</v>
      </c>
      <c r="I5531" s="140" t="s">
        <v>17</v>
      </c>
    </row>
    <row r="5532" spans="1:9" hidden="1" x14ac:dyDescent="0.25">
      <c r="A5532">
        <v>2011</v>
      </c>
      <c r="B5532" s="140" t="s">
        <v>136</v>
      </c>
      <c r="C5532" s="140" t="s">
        <v>20</v>
      </c>
      <c r="D5532" s="140" t="s">
        <v>11</v>
      </c>
      <c r="E5532" s="140" t="s">
        <v>55</v>
      </c>
      <c r="F5532">
        <v>75340</v>
      </c>
      <c r="G5532" s="140" t="s">
        <v>206</v>
      </c>
      <c r="H5532">
        <v>0</v>
      </c>
      <c r="I5532" s="140" t="s">
        <v>17</v>
      </c>
    </row>
    <row r="5533" spans="1:9" hidden="1" x14ac:dyDescent="0.25">
      <c r="A5533">
        <v>2012</v>
      </c>
      <c r="B5533" s="140" t="s">
        <v>136</v>
      </c>
      <c r="C5533" s="140" t="s">
        <v>20</v>
      </c>
      <c r="D5533" s="140" t="s">
        <v>11</v>
      </c>
      <c r="E5533" s="140" t="s">
        <v>55</v>
      </c>
      <c r="F5533">
        <v>75518</v>
      </c>
      <c r="G5533" s="140" t="s">
        <v>206</v>
      </c>
      <c r="H5533">
        <v>0</v>
      </c>
      <c r="I5533" s="140" t="s">
        <v>17</v>
      </c>
    </row>
    <row r="5534" spans="1:9" hidden="1" x14ac:dyDescent="0.25">
      <c r="A5534">
        <v>2013</v>
      </c>
      <c r="B5534" s="140" t="s">
        <v>136</v>
      </c>
      <c r="C5534" s="140" t="s">
        <v>20</v>
      </c>
      <c r="D5534" s="140" t="s">
        <v>11</v>
      </c>
      <c r="E5534" s="140" t="s">
        <v>55</v>
      </c>
      <c r="F5534">
        <v>76396</v>
      </c>
      <c r="G5534" s="140" t="s">
        <v>206</v>
      </c>
      <c r="H5534">
        <v>0</v>
      </c>
      <c r="I5534" s="140" t="s">
        <v>17</v>
      </c>
    </row>
    <row r="5535" spans="1:9" hidden="1" x14ac:dyDescent="0.25">
      <c r="A5535">
        <v>2014</v>
      </c>
      <c r="B5535" s="140" t="s">
        <v>136</v>
      </c>
      <c r="C5535" s="140" t="s">
        <v>20</v>
      </c>
      <c r="D5535" s="140" t="s">
        <v>11</v>
      </c>
      <c r="E5535" s="140" t="s">
        <v>55</v>
      </c>
      <c r="F5535">
        <v>75027</v>
      </c>
      <c r="G5535" s="140" t="s">
        <v>206</v>
      </c>
      <c r="H5535">
        <v>0</v>
      </c>
      <c r="I5535" s="140" t="s">
        <v>17</v>
      </c>
    </row>
    <row r="5536" spans="1:9" hidden="1" x14ac:dyDescent="0.25">
      <c r="A5536">
        <v>2015</v>
      </c>
      <c r="B5536" s="140" t="s">
        <v>136</v>
      </c>
      <c r="C5536" s="140" t="s">
        <v>20</v>
      </c>
      <c r="D5536" s="140" t="s">
        <v>11</v>
      </c>
      <c r="E5536" s="140" t="s">
        <v>55</v>
      </c>
      <c r="F5536">
        <v>75210</v>
      </c>
      <c r="G5536" s="140" t="s">
        <v>206</v>
      </c>
      <c r="H5536">
        <v>0</v>
      </c>
      <c r="I5536" s="140" t="s">
        <v>17</v>
      </c>
    </row>
    <row r="5537" spans="1:9" hidden="1" x14ac:dyDescent="0.25">
      <c r="A5537">
        <v>2016</v>
      </c>
      <c r="B5537" s="140" t="s">
        <v>136</v>
      </c>
      <c r="C5537" s="140" t="s">
        <v>20</v>
      </c>
      <c r="D5537" s="140" t="s">
        <v>11</v>
      </c>
      <c r="E5537" s="140" t="s">
        <v>55</v>
      </c>
      <c r="F5537">
        <v>78359</v>
      </c>
      <c r="G5537" s="140" t="s">
        <v>206</v>
      </c>
      <c r="H5537">
        <v>0</v>
      </c>
      <c r="I5537" s="140" t="s">
        <v>17</v>
      </c>
    </row>
    <row r="5538" spans="1:9" hidden="1" x14ac:dyDescent="0.25">
      <c r="A5538">
        <v>2017</v>
      </c>
      <c r="B5538" s="140" t="s">
        <v>136</v>
      </c>
      <c r="C5538" s="140" t="s">
        <v>20</v>
      </c>
      <c r="D5538" s="140" t="s">
        <v>11</v>
      </c>
      <c r="E5538" s="140" t="s">
        <v>55</v>
      </c>
      <c r="F5538">
        <v>85433</v>
      </c>
      <c r="G5538" s="140" t="s">
        <v>206</v>
      </c>
      <c r="H5538">
        <v>0</v>
      </c>
      <c r="I5538" s="140" t="s">
        <v>17</v>
      </c>
    </row>
    <row r="5539" spans="1:9" hidden="1" x14ac:dyDescent="0.25">
      <c r="A5539">
        <v>2018</v>
      </c>
      <c r="B5539" s="140" t="s">
        <v>136</v>
      </c>
      <c r="C5539" s="140" t="s">
        <v>20</v>
      </c>
      <c r="D5539" s="140" t="s">
        <v>11</v>
      </c>
      <c r="E5539" s="140" t="s">
        <v>55</v>
      </c>
      <c r="F5539">
        <v>86897</v>
      </c>
      <c r="G5539" s="140" t="s">
        <v>206</v>
      </c>
      <c r="H5539">
        <v>0</v>
      </c>
      <c r="I5539" s="140" t="s">
        <v>17</v>
      </c>
    </row>
    <row r="5540" spans="1:9" hidden="1" x14ac:dyDescent="0.25">
      <c r="A5540">
        <v>2019</v>
      </c>
      <c r="B5540" s="140" t="s">
        <v>136</v>
      </c>
      <c r="C5540" s="140" t="s">
        <v>20</v>
      </c>
      <c r="D5540" s="140" t="s">
        <v>11</v>
      </c>
      <c r="E5540" s="140" t="s">
        <v>55</v>
      </c>
      <c r="F5540">
        <v>92847</v>
      </c>
      <c r="G5540" s="140" t="s">
        <v>206</v>
      </c>
      <c r="H5540">
        <v>0</v>
      </c>
      <c r="I5540" s="140" t="s">
        <v>17</v>
      </c>
    </row>
    <row r="5541" spans="1:9" hidden="1" x14ac:dyDescent="0.25">
      <c r="A5541">
        <v>2020</v>
      </c>
      <c r="B5541" s="140" t="s">
        <v>136</v>
      </c>
      <c r="C5541" s="140" t="s">
        <v>20</v>
      </c>
      <c r="D5541" s="140" t="s">
        <v>11</v>
      </c>
      <c r="E5541" s="140" t="s">
        <v>55</v>
      </c>
      <c r="F5541">
        <v>84954</v>
      </c>
      <c r="G5541" s="140" t="s">
        <v>206</v>
      </c>
      <c r="H5541">
        <v>0</v>
      </c>
      <c r="I5541" s="140" t="s">
        <v>17</v>
      </c>
    </row>
    <row r="5542" spans="1:9" hidden="1" x14ac:dyDescent="0.25">
      <c r="A5542">
        <v>2021</v>
      </c>
      <c r="B5542" s="140" t="s">
        <v>136</v>
      </c>
      <c r="C5542" s="140" t="s">
        <v>20</v>
      </c>
      <c r="D5542" s="140" t="s">
        <v>11</v>
      </c>
      <c r="E5542" s="140" t="s">
        <v>55</v>
      </c>
      <c r="F5542">
        <v>90037</v>
      </c>
      <c r="G5542" s="140" t="s">
        <v>206</v>
      </c>
      <c r="H5542">
        <v>0</v>
      </c>
      <c r="I5542" s="140" t="s">
        <v>17</v>
      </c>
    </row>
    <row r="5543" spans="1:9" hidden="1" x14ac:dyDescent="0.25">
      <c r="A5543">
        <v>2022</v>
      </c>
      <c r="B5543" s="140" t="s">
        <v>136</v>
      </c>
      <c r="C5543" s="140" t="s">
        <v>20</v>
      </c>
      <c r="D5543" s="140" t="s">
        <v>11</v>
      </c>
      <c r="E5543" s="140" t="s">
        <v>55</v>
      </c>
      <c r="F5543">
        <v>93770</v>
      </c>
      <c r="G5543" s="140" t="s">
        <v>206</v>
      </c>
      <c r="H5543">
        <v>0</v>
      </c>
      <c r="I5543" s="140" t="s">
        <v>17</v>
      </c>
    </row>
    <row r="5544" spans="1:9" hidden="1" x14ac:dyDescent="0.25">
      <c r="A5544">
        <v>2023</v>
      </c>
      <c r="B5544" s="140" t="s">
        <v>136</v>
      </c>
      <c r="C5544" s="140" t="s">
        <v>20</v>
      </c>
      <c r="D5544" s="140" t="s">
        <v>11</v>
      </c>
      <c r="E5544" s="140" t="s">
        <v>55</v>
      </c>
      <c r="F5544">
        <v>92799</v>
      </c>
      <c r="G5544" s="140" t="s">
        <v>206</v>
      </c>
      <c r="H5544">
        <v>0</v>
      </c>
      <c r="I5544" s="140" t="s">
        <v>17</v>
      </c>
    </row>
    <row r="5545" spans="1:9" hidden="1" x14ac:dyDescent="0.25">
      <c r="A5545">
        <v>2024</v>
      </c>
      <c r="B5545" s="140" t="s">
        <v>136</v>
      </c>
      <c r="C5545" s="140" t="s">
        <v>20</v>
      </c>
      <c r="D5545" s="140" t="s">
        <v>11</v>
      </c>
      <c r="E5545" s="140" t="s">
        <v>55</v>
      </c>
      <c r="F5545">
        <v>93738</v>
      </c>
      <c r="G5545" s="140" t="s">
        <v>206</v>
      </c>
      <c r="H5545">
        <v>0</v>
      </c>
      <c r="I5545" s="140" t="s">
        <v>17</v>
      </c>
    </row>
    <row r="5546" spans="1:9" hidden="1" x14ac:dyDescent="0.25">
      <c r="A5546">
        <v>2025</v>
      </c>
      <c r="B5546" s="140" t="s">
        <v>136</v>
      </c>
      <c r="C5546" s="140" t="s">
        <v>20</v>
      </c>
      <c r="D5546" s="140" t="s">
        <v>11</v>
      </c>
      <c r="E5546" s="140" t="s">
        <v>55</v>
      </c>
      <c r="F5546">
        <v>98623</v>
      </c>
      <c r="G5546" s="140" t="s">
        <v>206</v>
      </c>
      <c r="H5546">
        <v>0</v>
      </c>
      <c r="I5546" s="140" t="s">
        <v>17</v>
      </c>
    </row>
    <row r="5547" spans="1:9" hidden="1" x14ac:dyDescent="0.25">
      <c r="A5547">
        <v>2026</v>
      </c>
      <c r="B5547" s="140" t="s">
        <v>136</v>
      </c>
      <c r="C5547" s="140" t="s">
        <v>20</v>
      </c>
      <c r="D5547" s="140" t="s">
        <v>11</v>
      </c>
      <c r="E5547" s="140" t="s">
        <v>55</v>
      </c>
      <c r="F5547">
        <v>100732.4515</v>
      </c>
      <c r="G5547" s="140" t="s">
        <v>206</v>
      </c>
      <c r="H5547">
        <v>0</v>
      </c>
      <c r="I5547" s="140" t="s">
        <v>17</v>
      </c>
    </row>
    <row r="5548" spans="1:9" hidden="1" x14ac:dyDescent="0.25">
      <c r="A5548">
        <v>2027</v>
      </c>
      <c r="B5548" s="140" t="s">
        <v>136</v>
      </c>
      <c r="C5548" s="140" t="s">
        <v>20</v>
      </c>
      <c r="D5548" s="140" t="s">
        <v>11</v>
      </c>
      <c r="E5548" s="140" t="s">
        <v>55</v>
      </c>
      <c r="F5548">
        <v>102344.17080000001</v>
      </c>
      <c r="G5548" s="140" t="s">
        <v>206</v>
      </c>
      <c r="H5548">
        <v>0</v>
      </c>
      <c r="I5548" s="140" t="s">
        <v>17</v>
      </c>
    </row>
    <row r="5549" spans="1:9" hidden="1" x14ac:dyDescent="0.25">
      <c r="A5549">
        <v>2028</v>
      </c>
      <c r="B5549" s="140" t="s">
        <v>136</v>
      </c>
      <c r="C5549" s="140" t="s">
        <v>20</v>
      </c>
      <c r="D5549" s="140" t="s">
        <v>11</v>
      </c>
      <c r="E5549" s="140" t="s">
        <v>55</v>
      </c>
      <c r="F5549">
        <v>104381.44899999999</v>
      </c>
      <c r="G5549" s="140" t="s">
        <v>206</v>
      </c>
      <c r="H5549">
        <v>0</v>
      </c>
      <c r="I5549" s="140" t="s">
        <v>17</v>
      </c>
    </row>
    <row r="5550" spans="1:9" hidden="1" x14ac:dyDescent="0.25">
      <c r="A5550">
        <v>2029</v>
      </c>
      <c r="B5550" s="140" t="s">
        <v>136</v>
      </c>
      <c r="C5550" s="140" t="s">
        <v>20</v>
      </c>
      <c r="D5550" s="140" t="s">
        <v>11</v>
      </c>
      <c r="E5550" s="140" t="s">
        <v>55</v>
      </c>
      <c r="F5550">
        <v>106426.41220000001</v>
      </c>
      <c r="G5550" s="140" t="s">
        <v>206</v>
      </c>
      <c r="H5550">
        <v>0</v>
      </c>
      <c r="I5550" s="140" t="s">
        <v>17</v>
      </c>
    </row>
    <row r="5551" spans="1:9" hidden="1" x14ac:dyDescent="0.25">
      <c r="A5551">
        <v>2030</v>
      </c>
      <c r="B5551" s="140" t="s">
        <v>136</v>
      </c>
      <c r="C5551" s="140" t="s">
        <v>20</v>
      </c>
      <c r="D5551" s="140" t="s">
        <v>11</v>
      </c>
      <c r="E5551" s="140" t="s">
        <v>55</v>
      </c>
      <c r="F5551">
        <v>108598.423</v>
      </c>
      <c r="G5551" s="140" t="s">
        <v>206</v>
      </c>
      <c r="H5551">
        <v>0</v>
      </c>
      <c r="I5551" s="140" t="s">
        <v>17</v>
      </c>
    </row>
    <row r="5552" spans="1:9" hidden="1" x14ac:dyDescent="0.25">
      <c r="A5552">
        <v>1990</v>
      </c>
      <c r="B5552" s="140" t="s">
        <v>141</v>
      </c>
      <c r="C5552" s="140" t="s">
        <v>20</v>
      </c>
      <c r="D5552" s="140" t="s">
        <v>11</v>
      </c>
      <c r="E5552" s="140" t="s">
        <v>55</v>
      </c>
      <c r="F5552">
        <v>28767</v>
      </c>
      <c r="G5552" s="140" t="s">
        <v>204</v>
      </c>
      <c r="H5552">
        <v>0</v>
      </c>
      <c r="I5552" s="140" t="s">
        <v>17</v>
      </c>
    </row>
    <row r="5553" spans="1:9" hidden="1" x14ac:dyDescent="0.25">
      <c r="A5553">
        <v>1991</v>
      </c>
      <c r="B5553" s="140" t="s">
        <v>141</v>
      </c>
      <c r="C5553" s="140" t="s">
        <v>20</v>
      </c>
      <c r="D5553" s="140" t="s">
        <v>11</v>
      </c>
      <c r="E5553" s="140" t="s">
        <v>55</v>
      </c>
      <c r="F5553">
        <v>24935</v>
      </c>
      <c r="G5553" s="140" t="s">
        <v>204</v>
      </c>
      <c r="H5553">
        <v>0</v>
      </c>
      <c r="I5553" s="140" t="s">
        <v>17</v>
      </c>
    </row>
    <row r="5554" spans="1:9" hidden="1" x14ac:dyDescent="0.25">
      <c r="A5554">
        <v>1992</v>
      </c>
      <c r="B5554" s="140" t="s">
        <v>141</v>
      </c>
      <c r="C5554" s="140" t="s">
        <v>20</v>
      </c>
      <c r="D5554" s="140" t="s">
        <v>11</v>
      </c>
      <c r="E5554" s="140" t="s">
        <v>55</v>
      </c>
      <c r="F5554">
        <v>25109</v>
      </c>
      <c r="G5554" s="140" t="s">
        <v>204</v>
      </c>
      <c r="H5554">
        <v>0</v>
      </c>
      <c r="I5554" s="140" t="s">
        <v>17</v>
      </c>
    </row>
    <row r="5555" spans="1:9" hidden="1" x14ac:dyDescent="0.25">
      <c r="A5555">
        <v>1993</v>
      </c>
      <c r="B5555" s="140" t="s">
        <v>141</v>
      </c>
      <c r="C5555" s="140" t="s">
        <v>20</v>
      </c>
      <c r="D5555" s="140" t="s">
        <v>11</v>
      </c>
      <c r="E5555" s="140" t="s">
        <v>55</v>
      </c>
      <c r="F5555">
        <v>25451</v>
      </c>
      <c r="G5555" s="140" t="s">
        <v>204</v>
      </c>
      <c r="H5555">
        <v>0</v>
      </c>
      <c r="I5555" s="140" t="s">
        <v>17</v>
      </c>
    </row>
    <row r="5556" spans="1:9" hidden="1" x14ac:dyDescent="0.25">
      <c r="A5556">
        <v>1994</v>
      </c>
      <c r="B5556" s="140" t="s">
        <v>141</v>
      </c>
      <c r="C5556" s="140" t="s">
        <v>20</v>
      </c>
      <c r="D5556" s="140" t="s">
        <v>11</v>
      </c>
      <c r="E5556" s="140" t="s">
        <v>55</v>
      </c>
      <c r="F5556">
        <v>28711</v>
      </c>
      <c r="G5556" s="140" t="s">
        <v>204</v>
      </c>
      <c r="H5556">
        <v>0</v>
      </c>
      <c r="I5556" s="140" t="s">
        <v>17</v>
      </c>
    </row>
    <row r="5557" spans="1:9" hidden="1" x14ac:dyDescent="0.25">
      <c r="A5557">
        <v>1995</v>
      </c>
      <c r="B5557" s="140" t="s">
        <v>141</v>
      </c>
      <c r="C5557" s="140" t="s">
        <v>20</v>
      </c>
      <c r="D5557" s="140" t="s">
        <v>11</v>
      </c>
      <c r="E5557" s="140" t="s">
        <v>55</v>
      </c>
      <c r="F5557">
        <v>31063</v>
      </c>
      <c r="G5557" s="140" t="s">
        <v>204</v>
      </c>
      <c r="H5557">
        <v>0</v>
      </c>
      <c r="I5557" s="140" t="s">
        <v>17</v>
      </c>
    </row>
    <row r="5558" spans="1:9" hidden="1" x14ac:dyDescent="0.25">
      <c r="A5558">
        <v>1996</v>
      </c>
      <c r="B5558" s="140" t="s">
        <v>141</v>
      </c>
      <c r="C5558" s="140" t="s">
        <v>20</v>
      </c>
      <c r="D5558" s="140" t="s">
        <v>11</v>
      </c>
      <c r="E5558" s="140" t="s">
        <v>55</v>
      </c>
      <c r="F5558">
        <v>33310</v>
      </c>
      <c r="G5558" s="140" t="s">
        <v>204</v>
      </c>
      <c r="H5558">
        <v>0</v>
      </c>
      <c r="I5558" s="140" t="s">
        <v>17</v>
      </c>
    </row>
    <row r="5559" spans="1:9" hidden="1" x14ac:dyDescent="0.25">
      <c r="A5559">
        <v>1997</v>
      </c>
      <c r="B5559" s="140" t="s">
        <v>141</v>
      </c>
      <c r="C5559" s="140" t="s">
        <v>20</v>
      </c>
      <c r="D5559" s="140" t="s">
        <v>11</v>
      </c>
      <c r="E5559" s="140" t="s">
        <v>55</v>
      </c>
      <c r="F5559">
        <v>37267</v>
      </c>
      <c r="G5559" s="140" t="s">
        <v>204</v>
      </c>
      <c r="H5559">
        <v>0</v>
      </c>
      <c r="I5559" s="140" t="s">
        <v>17</v>
      </c>
    </row>
    <row r="5560" spans="1:9" hidden="1" x14ac:dyDescent="0.25">
      <c r="A5560">
        <v>1998</v>
      </c>
      <c r="B5560" s="140" t="s">
        <v>141</v>
      </c>
      <c r="C5560" s="140" t="s">
        <v>20</v>
      </c>
      <c r="D5560" s="140" t="s">
        <v>11</v>
      </c>
      <c r="E5560" s="140" t="s">
        <v>55</v>
      </c>
      <c r="F5560">
        <v>40424</v>
      </c>
      <c r="G5560" s="140" t="s">
        <v>204</v>
      </c>
      <c r="H5560">
        <v>0</v>
      </c>
      <c r="I5560" s="140" t="s">
        <v>17</v>
      </c>
    </row>
    <row r="5561" spans="1:9" hidden="1" x14ac:dyDescent="0.25">
      <c r="A5561">
        <v>1999</v>
      </c>
      <c r="B5561" s="140" t="s">
        <v>141</v>
      </c>
      <c r="C5561" s="140" t="s">
        <v>20</v>
      </c>
      <c r="D5561" s="140" t="s">
        <v>11</v>
      </c>
      <c r="E5561" s="140" t="s">
        <v>55</v>
      </c>
      <c r="F5561">
        <v>42157</v>
      </c>
      <c r="G5561" s="140" t="s">
        <v>204</v>
      </c>
      <c r="H5561">
        <v>0</v>
      </c>
      <c r="I5561" s="140" t="s">
        <v>17</v>
      </c>
    </row>
    <row r="5562" spans="1:9" hidden="1" x14ac:dyDescent="0.25">
      <c r="A5562">
        <v>2000</v>
      </c>
      <c r="B5562" s="140" t="s">
        <v>141</v>
      </c>
      <c r="C5562" s="140" t="s">
        <v>20</v>
      </c>
      <c r="D5562" s="140" t="s">
        <v>11</v>
      </c>
      <c r="E5562" s="140" t="s">
        <v>55</v>
      </c>
      <c r="F5562">
        <v>48422</v>
      </c>
      <c r="G5562" s="140" t="s">
        <v>204</v>
      </c>
      <c r="H5562">
        <v>0</v>
      </c>
      <c r="I5562" s="140" t="s">
        <v>17</v>
      </c>
    </row>
    <row r="5563" spans="1:9" hidden="1" x14ac:dyDescent="0.25">
      <c r="A5563">
        <v>2001</v>
      </c>
      <c r="B5563" s="140" t="s">
        <v>141</v>
      </c>
      <c r="C5563" s="140" t="s">
        <v>20</v>
      </c>
      <c r="D5563" s="140" t="s">
        <v>11</v>
      </c>
      <c r="E5563" s="140" t="s">
        <v>55</v>
      </c>
      <c r="F5563">
        <v>49092</v>
      </c>
      <c r="G5563" s="140" t="s">
        <v>204</v>
      </c>
      <c r="H5563">
        <v>0</v>
      </c>
      <c r="I5563" s="140" t="s">
        <v>17</v>
      </c>
    </row>
    <row r="5564" spans="1:9" hidden="1" x14ac:dyDescent="0.25">
      <c r="A5564">
        <v>2002</v>
      </c>
      <c r="B5564" s="140" t="s">
        <v>141</v>
      </c>
      <c r="C5564" s="140" t="s">
        <v>20</v>
      </c>
      <c r="D5564" s="140" t="s">
        <v>11</v>
      </c>
      <c r="E5564" s="140" t="s">
        <v>55</v>
      </c>
      <c r="F5564">
        <v>51199</v>
      </c>
      <c r="G5564" s="140" t="s">
        <v>204</v>
      </c>
      <c r="H5564">
        <v>0</v>
      </c>
      <c r="I5564" s="140" t="s">
        <v>17</v>
      </c>
    </row>
    <row r="5565" spans="1:9" hidden="1" x14ac:dyDescent="0.25">
      <c r="A5565">
        <v>2003</v>
      </c>
      <c r="B5565" s="140" t="s">
        <v>141</v>
      </c>
      <c r="C5565" s="140" t="s">
        <v>20</v>
      </c>
      <c r="D5565" s="140" t="s">
        <v>11</v>
      </c>
      <c r="E5565" s="140" t="s">
        <v>55</v>
      </c>
      <c r="F5565">
        <v>53302</v>
      </c>
      <c r="G5565" s="140" t="s">
        <v>204</v>
      </c>
      <c r="H5565">
        <v>0</v>
      </c>
      <c r="I5565" s="140" t="s">
        <v>17</v>
      </c>
    </row>
    <row r="5566" spans="1:9" hidden="1" x14ac:dyDescent="0.25">
      <c r="A5566">
        <v>2004</v>
      </c>
      <c r="B5566" s="140" t="s">
        <v>141</v>
      </c>
      <c r="C5566" s="140" t="s">
        <v>20</v>
      </c>
      <c r="D5566" s="140" t="s">
        <v>11</v>
      </c>
      <c r="E5566" s="140" t="s">
        <v>55</v>
      </c>
      <c r="F5566">
        <v>57632</v>
      </c>
      <c r="G5566" s="140" t="s">
        <v>204</v>
      </c>
      <c r="H5566">
        <v>0</v>
      </c>
      <c r="I5566" s="140" t="s">
        <v>17</v>
      </c>
    </row>
    <row r="5567" spans="1:9" hidden="1" x14ac:dyDescent="0.25">
      <c r="A5567">
        <v>2005</v>
      </c>
      <c r="B5567" s="140" t="s">
        <v>141</v>
      </c>
      <c r="C5567" s="140" t="s">
        <v>20</v>
      </c>
      <c r="D5567" s="140" t="s">
        <v>11</v>
      </c>
      <c r="E5567" s="140" t="s">
        <v>55</v>
      </c>
      <c r="F5567">
        <v>64077</v>
      </c>
      <c r="G5567" s="140" t="s">
        <v>204</v>
      </c>
      <c r="H5567">
        <v>0</v>
      </c>
      <c r="I5567" s="140" t="s">
        <v>17</v>
      </c>
    </row>
    <row r="5568" spans="1:9" hidden="1" x14ac:dyDescent="0.25">
      <c r="A5568">
        <v>2006</v>
      </c>
      <c r="B5568" s="140" t="s">
        <v>141</v>
      </c>
      <c r="C5568" s="140" t="s">
        <v>20</v>
      </c>
      <c r="D5568" s="140" t="s">
        <v>11</v>
      </c>
      <c r="E5568" s="140" t="s">
        <v>55</v>
      </c>
      <c r="F5568">
        <v>68299</v>
      </c>
      <c r="G5568" s="140" t="s">
        <v>204</v>
      </c>
      <c r="H5568">
        <v>0</v>
      </c>
      <c r="I5568" s="140" t="s">
        <v>17</v>
      </c>
    </row>
    <row r="5569" spans="1:9" hidden="1" x14ac:dyDescent="0.25">
      <c r="A5569">
        <v>2007</v>
      </c>
      <c r="B5569" s="140" t="s">
        <v>141</v>
      </c>
      <c r="C5569" s="140" t="s">
        <v>20</v>
      </c>
      <c r="D5569" s="140" t="s">
        <v>11</v>
      </c>
      <c r="E5569" s="140" t="s">
        <v>55</v>
      </c>
      <c r="F5569">
        <v>73341</v>
      </c>
      <c r="G5569" s="140" t="s">
        <v>204</v>
      </c>
      <c r="H5569">
        <v>0</v>
      </c>
      <c r="I5569" s="140" t="s">
        <v>17</v>
      </c>
    </row>
    <row r="5570" spans="1:9" hidden="1" x14ac:dyDescent="0.25">
      <c r="A5570">
        <v>2008</v>
      </c>
      <c r="B5570" s="140" t="s">
        <v>141</v>
      </c>
      <c r="C5570" s="140" t="s">
        <v>20</v>
      </c>
      <c r="D5570" s="140" t="s">
        <v>11</v>
      </c>
      <c r="E5570" s="140" t="s">
        <v>55</v>
      </c>
      <c r="F5570">
        <v>79183</v>
      </c>
      <c r="G5570" s="140" t="s">
        <v>204</v>
      </c>
      <c r="H5570">
        <v>0</v>
      </c>
      <c r="I5570" s="140" t="s">
        <v>17</v>
      </c>
    </row>
    <row r="5571" spans="1:9" hidden="1" x14ac:dyDescent="0.25">
      <c r="A5571">
        <v>2009</v>
      </c>
      <c r="B5571" s="140" t="s">
        <v>141</v>
      </c>
      <c r="C5571" s="140" t="s">
        <v>20</v>
      </c>
      <c r="D5571" s="140" t="s">
        <v>11</v>
      </c>
      <c r="E5571" s="140" t="s">
        <v>55</v>
      </c>
      <c r="F5571">
        <v>65724</v>
      </c>
      <c r="G5571" s="140" t="s">
        <v>204</v>
      </c>
      <c r="H5571">
        <v>0</v>
      </c>
      <c r="I5571" s="140" t="s">
        <v>17</v>
      </c>
    </row>
    <row r="5572" spans="1:9" hidden="1" x14ac:dyDescent="0.25">
      <c r="A5572">
        <v>2010</v>
      </c>
      <c r="B5572" s="140" t="s">
        <v>141</v>
      </c>
      <c r="C5572" s="140" t="s">
        <v>20</v>
      </c>
      <c r="D5572" s="140" t="s">
        <v>11</v>
      </c>
      <c r="E5572" s="140" t="s">
        <v>55</v>
      </c>
      <c r="F5572">
        <v>69863</v>
      </c>
      <c r="G5572" s="140" t="s">
        <v>204</v>
      </c>
      <c r="H5572">
        <v>0</v>
      </c>
      <c r="I5572" s="140" t="s">
        <v>17</v>
      </c>
    </row>
    <row r="5573" spans="1:9" hidden="1" x14ac:dyDescent="0.25">
      <c r="A5573">
        <v>2011</v>
      </c>
      <c r="B5573" s="140" t="s">
        <v>141</v>
      </c>
      <c r="C5573" s="140" t="s">
        <v>20</v>
      </c>
      <c r="D5573" s="140" t="s">
        <v>11</v>
      </c>
      <c r="E5573" s="140" t="s">
        <v>55</v>
      </c>
      <c r="F5573">
        <v>74202</v>
      </c>
      <c r="G5573" s="140" t="s">
        <v>204</v>
      </c>
      <c r="H5573">
        <v>0</v>
      </c>
      <c r="I5573" s="140" t="s">
        <v>17</v>
      </c>
    </row>
    <row r="5574" spans="1:9" hidden="1" x14ac:dyDescent="0.25">
      <c r="A5574">
        <v>2012</v>
      </c>
      <c r="B5574" s="140" t="s">
        <v>141</v>
      </c>
      <c r="C5574" s="140" t="s">
        <v>20</v>
      </c>
      <c r="D5574" s="140" t="s">
        <v>11</v>
      </c>
      <c r="E5574" s="140" t="s">
        <v>55</v>
      </c>
      <c r="F5574">
        <v>75037</v>
      </c>
      <c r="G5574" s="140" t="s">
        <v>204</v>
      </c>
      <c r="H5574">
        <v>0</v>
      </c>
      <c r="I5574" s="140" t="s">
        <v>17</v>
      </c>
    </row>
    <row r="5575" spans="1:9" hidden="1" x14ac:dyDescent="0.25">
      <c r="A5575">
        <v>2013</v>
      </c>
      <c r="B5575" s="140" t="s">
        <v>141</v>
      </c>
      <c r="C5575" s="140" t="s">
        <v>20</v>
      </c>
      <c r="D5575" s="140" t="s">
        <v>11</v>
      </c>
      <c r="E5575" s="140" t="s">
        <v>55</v>
      </c>
      <c r="F5575">
        <v>75133</v>
      </c>
      <c r="G5575" s="140" t="s">
        <v>204</v>
      </c>
      <c r="H5575">
        <v>0</v>
      </c>
      <c r="I5575" s="140" t="s">
        <v>17</v>
      </c>
    </row>
    <row r="5576" spans="1:9" hidden="1" x14ac:dyDescent="0.25">
      <c r="A5576">
        <v>2014</v>
      </c>
      <c r="B5576" s="140" t="s">
        <v>141</v>
      </c>
      <c r="C5576" s="140" t="s">
        <v>20</v>
      </c>
      <c r="D5576" s="140" t="s">
        <v>11</v>
      </c>
      <c r="E5576" s="140" t="s">
        <v>55</v>
      </c>
      <c r="F5576">
        <v>74458</v>
      </c>
      <c r="G5576" s="140" t="s">
        <v>204</v>
      </c>
      <c r="H5576">
        <v>0</v>
      </c>
      <c r="I5576" s="140" t="s">
        <v>17</v>
      </c>
    </row>
    <row r="5577" spans="1:9" hidden="1" x14ac:dyDescent="0.25">
      <c r="A5577">
        <v>2015</v>
      </c>
      <c r="B5577" s="140" t="s">
        <v>141</v>
      </c>
      <c r="C5577" s="140" t="s">
        <v>20</v>
      </c>
      <c r="D5577" s="140" t="s">
        <v>11</v>
      </c>
      <c r="E5577" s="140" t="s">
        <v>55</v>
      </c>
      <c r="F5577">
        <v>76048</v>
      </c>
      <c r="G5577" s="140" t="s">
        <v>204</v>
      </c>
      <c r="H5577">
        <v>0</v>
      </c>
      <c r="I5577" s="140" t="s">
        <v>17</v>
      </c>
    </row>
    <row r="5578" spans="1:9" hidden="1" x14ac:dyDescent="0.25">
      <c r="A5578">
        <v>2016</v>
      </c>
      <c r="B5578" s="140" t="s">
        <v>141</v>
      </c>
      <c r="C5578" s="140" t="s">
        <v>20</v>
      </c>
      <c r="D5578" s="140" t="s">
        <v>11</v>
      </c>
      <c r="E5578" s="140" t="s">
        <v>55</v>
      </c>
      <c r="F5578">
        <v>80351</v>
      </c>
      <c r="G5578" s="140" t="s">
        <v>204</v>
      </c>
      <c r="H5578">
        <v>0</v>
      </c>
      <c r="I5578" s="140" t="s">
        <v>17</v>
      </c>
    </row>
    <row r="5579" spans="1:9" hidden="1" x14ac:dyDescent="0.25">
      <c r="A5579">
        <v>2017</v>
      </c>
      <c r="B5579" s="140" t="s">
        <v>141</v>
      </c>
      <c r="C5579" s="140" t="s">
        <v>20</v>
      </c>
      <c r="D5579" s="140" t="s">
        <v>11</v>
      </c>
      <c r="E5579" s="140" t="s">
        <v>55</v>
      </c>
      <c r="F5579">
        <v>83835</v>
      </c>
      <c r="G5579" s="140" t="s">
        <v>204</v>
      </c>
      <c r="H5579">
        <v>0</v>
      </c>
      <c r="I5579" s="140" t="s">
        <v>17</v>
      </c>
    </row>
    <row r="5580" spans="1:9" hidden="1" x14ac:dyDescent="0.25">
      <c r="A5580">
        <v>2018</v>
      </c>
      <c r="B5580" s="140" t="s">
        <v>141</v>
      </c>
      <c r="C5580" s="140" t="s">
        <v>20</v>
      </c>
      <c r="D5580" s="140" t="s">
        <v>11</v>
      </c>
      <c r="E5580" s="140" t="s">
        <v>55</v>
      </c>
      <c r="F5580">
        <v>88726</v>
      </c>
      <c r="G5580" s="140" t="s">
        <v>204</v>
      </c>
      <c r="H5580">
        <v>0</v>
      </c>
      <c r="I5580" s="140" t="s">
        <v>17</v>
      </c>
    </row>
    <row r="5581" spans="1:9" hidden="1" x14ac:dyDescent="0.25">
      <c r="A5581">
        <v>2019</v>
      </c>
      <c r="B5581" s="140" t="s">
        <v>141</v>
      </c>
      <c r="C5581" s="140" t="s">
        <v>20</v>
      </c>
      <c r="D5581" s="140" t="s">
        <v>11</v>
      </c>
      <c r="E5581" s="140" t="s">
        <v>55</v>
      </c>
      <c r="F5581">
        <v>90833</v>
      </c>
      <c r="G5581" s="140" t="s">
        <v>204</v>
      </c>
      <c r="H5581">
        <v>0</v>
      </c>
      <c r="I5581" s="140" t="s">
        <v>17</v>
      </c>
    </row>
    <row r="5582" spans="1:9" hidden="1" x14ac:dyDescent="0.25">
      <c r="A5582">
        <v>2020</v>
      </c>
      <c r="B5582" s="140" t="s">
        <v>141</v>
      </c>
      <c r="C5582" s="140" t="s">
        <v>20</v>
      </c>
      <c r="D5582" s="140" t="s">
        <v>11</v>
      </c>
      <c r="E5582" s="140" t="s">
        <v>55</v>
      </c>
      <c r="F5582">
        <v>85274</v>
      </c>
      <c r="G5582" s="140" t="s">
        <v>204</v>
      </c>
      <c r="H5582">
        <v>0</v>
      </c>
      <c r="I5582" s="140" t="s">
        <v>17</v>
      </c>
    </row>
    <row r="5583" spans="1:9" hidden="1" x14ac:dyDescent="0.25">
      <c r="A5583">
        <v>2021</v>
      </c>
      <c r="B5583" s="140" t="s">
        <v>141</v>
      </c>
      <c r="C5583" s="140" t="s">
        <v>20</v>
      </c>
      <c r="D5583" s="140" t="s">
        <v>11</v>
      </c>
      <c r="E5583" s="140" t="s">
        <v>55</v>
      </c>
      <c r="F5583">
        <v>91239</v>
      </c>
      <c r="G5583" s="140" t="s">
        <v>204</v>
      </c>
      <c r="H5583">
        <v>0</v>
      </c>
      <c r="I5583" s="140" t="s">
        <v>17</v>
      </c>
    </row>
    <row r="5584" spans="1:9" hidden="1" x14ac:dyDescent="0.25">
      <c r="A5584">
        <v>2022</v>
      </c>
      <c r="B5584" s="140" t="s">
        <v>141</v>
      </c>
      <c r="C5584" s="140" t="s">
        <v>20</v>
      </c>
      <c r="D5584" s="140" t="s">
        <v>11</v>
      </c>
      <c r="E5584" s="140" t="s">
        <v>55</v>
      </c>
      <c r="F5584">
        <v>99853</v>
      </c>
      <c r="G5584" s="140" t="s">
        <v>204</v>
      </c>
      <c r="H5584">
        <v>0</v>
      </c>
      <c r="I5584" s="140" t="s">
        <v>17</v>
      </c>
    </row>
    <row r="5585" spans="1:9" hidden="1" x14ac:dyDescent="0.25">
      <c r="A5585">
        <v>2023</v>
      </c>
      <c r="B5585" s="140" t="s">
        <v>141</v>
      </c>
      <c r="C5585" s="140" t="s">
        <v>20</v>
      </c>
      <c r="D5585" s="140" t="s">
        <v>11</v>
      </c>
      <c r="E5585" s="140" t="s">
        <v>55</v>
      </c>
      <c r="F5585">
        <v>93198</v>
      </c>
      <c r="G5585" s="140" t="s">
        <v>204</v>
      </c>
      <c r="H5585">
        <v>0</v>
      </c>
      <c r="I5585" s="140" t="s">
        <v>17</v>
      </c>
    </row>
    <row r="5586" spans="1:9" hidden="1" x14ac:dyDescent="0.25">
      <c r="A5586">
        <v>2024</v>
      </c>
      <c r="B5586" s="140" t="s">
        <v>141</v>
      </c>
      <c r="C5586" s="140" t="s">
        <v>20</v>
      </c>
      <c r="D5586" s="140" t="s">
        <v>11</v>
      </c>
      <c r="E5586" s="140" t="s">
        <v>55</v>
      </c>
      <c r="F5586">
        <v>91982</v>
      </c>
      <c r="G5586" s="140" t="s">
        <v>204</v>
      </c>
      <c r="H5586">
        <v>0</v>
      </c>
      <c r="I5586" s="140" t="s">
        <v>17</v>
      </c>
    </row>
    <row r="5587" spans="1:9" hidden="1" x14ac:dyDescent="0.25">
      <c r="A5587">
        <v>2025</v>
      </c>
      <c r="B5587" s="140" t="s">
        <v>141</v>
      </c>
      <c r="C5587" s="140" t="s">
        <v>20</v>
      </c>
      <c r="D5587" s="140" t="s">
        <v>11</v>
      </c>
      <c r="E5587" s="140" t="s">
        <v>55</v>
      </c>
      <c r="F5587">
        <v>94622</v>
      </c>
      <c r="G5587" s="140" t="s">
        <v>204</v>
      </c>
      <c r="H5587">
        <v>0</v>
      </c>
      <c r="I5587" s="140" t="s">
        <v>17</v>
      </c>
    </row>
    <row r="5588" spans="1:9" hidden="1" x14ac:dyDescent="0.25">
      <c r="A5588">
        <v>2026</v>
      </c>
      <c r="B5588" s="140" t="s">
        <v>141</v>
      </c>
      <c r="C5588" s="140" t="s">
        <v>20</v>
      </c>
      <c r="D5588" s="140" t="s">
        <v>11</v>
      </c>
      <c r="E5588" s="140" t="s">
        <v>55</v>
      </c>
      <c r="F5588">
        <v>98414.284069999994</v>
      </c>
      <c r="G5588" s="140" t="s">
        <v>204</v>
      </c>
      <c r="H5588">
        <v>0</v>
      </c>
      <c r="I5588" s="140" t="s">
        <v>17</v>
      </c>
    </row>
    <row r="5589" spans="1:9" hidden="1" x14ac:dyDescent="0.25">
      <c r="A5589">
        <v>2027</v>
      </c>
      <c r="B5589" s="140" t="s">
        <v>141</v>
      </c>
      <c r="C5589" s="140" t="s">
        <v>20</v>
      </c>
      <c r="D5589" s="140" t="s">
        <v>11</v>
      </c>
      <c r="E5589" s="140" t="s">
        <v>55</v>
      </c>
      <c r="F5589">
        <v>100132.9566</v>
      </c>
      <c r="G5589" s="140" t="s">
        <v>204</v>
      </c>
      <c r="H5589">
        <v>0</v>
      </c>
      <c r="I5589" s="140" t="s">
        <v>17</v>
      </c>
    </row>
    <row r="5590" spans="1:9" hidden="1" x14ac:dyDescent="0.25">
      <c r="A5590">
        <v>2028</v>
      </c>
      <c r="B5590" s="140" t="s">
        <v>141</v>
      </c>
      <c r="C5590" s="140" t="s">
        <v>20</v>
      </c>
      <c r="D5590" s="140" t="s">
        <v>11</v>
      </c>
      <c r="E5590" s="140" t="s">
        <v>55</v>
      </c>
      <c r="F5590">
        <v>102673.0806</v>
      </c>
      <c r="G5590" s="140" t="s">
        <v>204</v>
      </c>
      <c r="H5590">
        <v>0</v>
      </c>
      <c r="I5590" s="140" t="s">
        <v>17</v>
      </c>
    </row>
    <row r="5591" spans="1:9" hidden="1" x14ac:dyDescent="0.25">
      <c r="A5591">
        <v>2029</v>
      </c>
      <c r="B5591" s="140" t="s">
        <v>141</v>
      </c>
      <c r="C5591" s="140" t="s">
        <v>20</v>
      </c>
      <c r="D5591" s="140" t="s">
        <v>11</v>
      </c>
      <c r="E5591" s="140" t="s">
        <v>55</v>
      </c>
      <c r="F5591">
        <v>105332.3134</v>
      </c>
      <c r="G5591" s="140" t="s">
        <v>204</v>
      </c>
      <c r="H5591">
        <v>0</v>
      </c>
      <c r="I5591" s="140" t="s">
        <v>17</v>
      </c>
    </row>
    <row r="5592" spans="1:9" hidden="1" x14ac:dyDescent="0.25">
      <c r="A5592">
        <v>2030</v>
      </c>
      <c r="B5592" s="140" t="s">
        <v>141</v>
      </c>
      <c r="C5592" s="140" t="s">
        <v>20</v>
      </c>
      <c r="D5592" s="140" t="s">
        <v>11</v>
      </c>
      <c r="E5592" s="140" t="s">
        <v>55</v>
      </c>
      <c r="F5592">
        <v>107923.4883</v>
      </c>
      <c r="G5592" s="140" t="s">
        <v>204</v>
      </c>
      <c r="H5592">
        <v>0</v>
      </c>
      <c r="I5592" s="140" t="s">
        <v>17</v>
      </c>
    </row>
    <row r="5593" spans="1:9" hidden="1" x14ac:dyDescent="0.25">
      <c r="A5593">
        <v>1990</v>
      </c>
      <c r="B5593" s="140" t="s">
        <v>139</v>
      </c>
      <c r="C5593" s="140" t="s">
        <v>16</v>
      </c>
      <c r="D5593" s="140" t="s">
        <v>11</v>
      </c>
      <c r="E5593" s="140" t="s">
        <v>12</v>
      </c>
      <c r="F5593">
        <v>16581</v>
      </c>
      <c r="G5593" s="140" t="s">
        <v>289</v>
      </c>
      <c r="H5593">
        <v>0</v>
      </c>
      <c r="I5593" s="140" t="s">
        <v>17</v>
      </c>
    </row>
    <row r="5594" spans="1:9" hidden="1" x14ac:dyDescent="0.25">
      <c r="A5594">
        <v>1991</v>
      </c>
      <c r="B5594" s="140" t="s">
        <v>139</v>
      </c>
      <c r="C5594" s="140" t="s">
        <v>16</v>
      </c>
      <c r="D5594" s="140" t="s">
        <v>11</v>
      </c>
      <c r="E5594" s="140" t="s">
        <v>12</v>
      </c>
      <c r="F5594">
        <v>14073</v>
      </c>
      <c r="G5594" s="140" t="s">
        <v>289</v>
      </c>
      <c r="H5594">
        <v>0</v>
      </c>
      <c r="I5594" s="140" t="s">
        <v>17</v>
      </c>
    </row>
    <row r="5595" spans="1:9" hidden="1" x14ac:dyDescent="0.25">
      <c r="A5595">
        <v>1992</v>
      </c>
      <c r="B5595" s="140" t="s">
        <v>139</v>
      </c>
      <c r="C5595" s="140" t="s">
        <v>16</v>
      </c>
      <c r="D5595" s="140" t="s">
        <v>11</v>
      </c>
      <c r="E5595" s="140" t="s">
        <v>12</v>
      </c>
      <c r="F5595">
        <v>15227</v>
      </c>
      <c r="G5595" s="140" t="s">
        <v>289</v>
      </c>
      <c r="H5595">
        <v>0</v>
      </c>
      <c r="I5595" s="140" t="s">
        <v>17</v>
      </c>
    </row>
    <row r="5596" spans="1:9" hidden="1" x14ac:dyDescent="0.25">
      <c r="A5596">
        <v>1993</v>
      </c>
      <c r="B5596" s="140" t="s">
        <v>139</v>
      </c>
      <c r="C5596" s="140" t="s">
        <v>16</v>
      </c>
      <c r="D5596" s="140" t="s">
        <v>11</v>
      </c>
      <c r="E5596" s="140" t="s">
        <v>12</v>
      </c>
      <c r="F5596">
        <v>16558</v>
      </c>
      <c r="G5596" s="140" t="s">
        <v>289</v>
      </c>
      <c r="H5596">
        <v>0</v>
      </c>
      <c r="I5596" s="140" t="s">
        <v>17</v>
      </c>
    </row>
    <row r="5597" spans="1:9" hidden="1" x14ac:dyDescent="0.25">
      <c r="A5597">
        <v>1994</v>
      </c>
      <c r="B5597" s="140" t="s">
        <v>139</v>
      </c>
      <c r="C5597" s="140" t="s">
        <v>16</v>
      </c>
      <c r="D5597" s="140" t="s">
        <v>11</v>
      </c>
      <c r="E5597" s="140" t="s">
        <v>12</v>
      </c>
      <c r="F5597">
        <v>19357</v>
      </c>
      <c r="G5597" s="140" t="s">
        <v>289</v>
      </c>
      <c r="H5597">
        <v>0</v>
      </c>
      <c r="I5597" s="140" t="s">
        <v>17</v>
      </c>
    </row>
    <row r="5598" spans="1:9" hidden="1" x14ac:dyDescent="0.25">
      <c r="A5598">
        <v>1995</v>
      </c>
      <c r="B5598" s="140" t="s">
        <v>139</v>
      </c>
      <c r="C5598" s="140" t="s">
        <v>16</v>
      </c>
      <c r="D5598" s="140" t="s">
        <v>11</v>
      </c>
      <c r="E5598" s="140" t="s">
        <v>12</v>
      </c>
      <c r="F5598">
        <v>20713</v>
      </c>
      <c r="G5598" s="140" t="s">
        <v>289</v>
      </c>
      <c r="H5598">
        <v>0</v>
      </c>
      <c r="I5598" s="140" t="s">
        <v>17</v>
      </c>
    </row>
    <row r="5599" spans="1:9" hidden="1" x14ac:dyDescent="0.25">
      <c r="A5599">
        <v>1996</v>
      </c>
      <c r="B5599" s="140" t="s">
        <v>139</v>
      </c>
      <c r="C5599" s="140" t="s">
        <v>16</v>
      </c>
      <c r="D5599" s="140" t="s">
        <v>11</v>
      </c>
      <c r="E5599" s="140" t="s">
        <v>12</v>
      </c>
      <c r="F5599">
        <v>22750</v>
      </c>
      <c r="G5599" s="140" t="s">
        <v>289</v>
      </c>
      <c r="H5599">
        <v>0</v>
      </c>
      <c r="I5599" s="140" t="s">
        <v>17</v>
      </c>
    </row>
    <row r="5600" spans="1:9" hidden="1" x14ac:dyDescent="0.25">
      <c r="A5600">
        <v>1997</v>
      </c>
      <c r="B5600" s="140" t="s">
        <v>139</v>
      </c>
      <c r="C5600" s="140" t="s">
        <v>16</v>
      </c>
      <c r="D5600" s="140" t="s">
        <v>11</v>
      </c>
      <c r="E5600" s="140" t="s">
        <v>12</v>
      </c>
      <c r="F5600">
        <v>25898</v>
      </c>
      <c r="G5600" s="140" t="s">
        <v>289</v>
      </c>
      <c r="H5600">
        <v>0</v>
      </c>
      <c r="I5600" s="140" t="s">
        <v>17</v>
      </c>
    </row>
    <row r="5601" spans="1:9" hidden="1" x14ac:dyDescent="0.25">
      <c r="A5601">
        <v>1998</v>
      </c>
      <c r="B5601" s="140" t="s">
        <v>139</v>
      </c>
      <c r="C5601" s="140" t="s">
        <v>16</v>
      </c>
      <c r="D5601" s="140" t="s">
        <v>11</v>
      </c>
      <c r="E5601" s="140" t="s">
        <v>12</v>
      </c>
      <c r="F5601">
        <v>27781</v>
      </c>
      <c r="G5601" s="140" t="s">
        <v>289</v>
      </c>
      <c r="H5601">
        <v>0</v>
      </c>
      <c r="I5601" s="140" t="s">
        <v>17</v>
      </c>
    </row>
    <row r="5602" spans="1:9" hidden="1" x14ac:dyDescent="0.25">
      <c r="A5602">
        <v>1999</v>
      </c>
      <c r="B5602" s="140" t="s">
        <v>139</v>
      </c>
      <c r="C5602" s="140" t="s">
        <v>16</v>
      </c>
      <c r="D5602" s="140" t="s">
        <v>11</v>
      </c>
      <c r="E5602" s="140" t="s">
        <v>12</v>
      </c>
      <c r="F5602">
        <v>28310</v>
      </c>
      <c r="G5602" s="140" t="s">
        <v>289</v>
      </c>
      <c r="H5602">
        <v>0</v>
      </c>
      <c r="I5602" s="140" t="s">
        <v>17</v>
      </c>
    </row>
    <row r="5603" spans="1:9" hidden="1" x14ac:dyDescent="0.25">
      <c r="A5603">
        <v>2000</v>
      </c>
      <c r="B5603" s="140" t="s">
        <v>139</v>
      </c>
      <c r="C5603" s="140" t="s">
        <v>16</v>
      </c>
      <c r="D5603" s="140" t="s">
        <v>11</v>
      </c>
      <c r="E5603" s="140" t="s">
        <v>12</v>
      </c>
      <c r="F5603">
        <v>34393</v>
      </c>
      <c r="G5603" s="140" t="s">
        <v>289</v>
      </c>
      <c r="H5603">
        <v>0</v>
      </c>
      <c r="I5603" s="140" t="s">
        <v>17</v>
      </c>
    </row>
    <row r="5604" spans="1:9" hidden="1" x14ac:dyDescent="0.25">
      <c r="A5604">
        <v>2001</v>
      </c>
      <c r="B5604" s="140" t="s">
        <v>139</v>
      </c>
      <c r="C5604" s="140" t="s">
        <v>16</v>
      </c>
      <c r="D5604" s="140" t="s">
        <v>11</v>
      </c>
      <c r="E5604" s="140" t="s">
        <v>12</v>
      </c>
      <c r="F5604">
        <v>33525</v>
      </c>
      <c r="G5604" s="140" t="s">
        <v>289</v>
      </c>
      <c r="H5604">
        <v>0</v>
      </c>
      <c r="I5604" s="140" t="s">
        <v>17</v>
      </c>
    </row>
    <row r="5605" spans="1:9" hidden="1" x14ac:dyDescent="0.25">
      <c r="A5605">
        <v>2002</v>
      </c>
      <c r="B5605" s="140" t="s">
        <v>139</v>
      </c>
      <c r="C5605" s="140" t="s">
        <v>16</v>
      </c>
      <c r="D5605" s="140" t="s">
        <v>11</v>
      </c>
      <c r="E5605" s="140" t="s">
        <v>12</v>
      </c>
      <c r="F5605">
        <v>33831</v>
      </c>
      <c r="G5605" s="140" t="s">
        <v>289</v>
      </c>
      <c r="H5605">
        <v>0</v>
      </c>
      <c r="I5605" s="140" t="s">
        <v>17</v>
      </c>
    </row>
    <row r="5606" spans="1:9" hidden="1" x14ac:dyDescent="0.25">
      <c r="A5606">
        <v>2003</v>
      </c>
      <c r="B5606" s="140" t="s">
        <v>139</v>
      </c>
      <c r="C5606" s="140" t="s">
        <v>16</v>
      </c>
      <c r="D5606" s="140" t="s">
        <v>11</v>
      </c>
      <c r="E5606" s="140" t="s">
        <v>12</v>
      </c>
      <c r="F5606">
        <v>35409</v>
      </c>
      <c r="G5606" s="140" t="s">
        <v>289</v>
      </c>
      <c r="H5606">
        <v>0</v>
      </c>
      <c r="I5606" s="140" t="s">
        <v>17</v>
      </c>
    </row>
    <row r="5607" spans="1:9" hidden="1" x14ac:dyDescent="0.25">
      <c r="A5607">
        <v>2004</v>
      </c>
      <c r="B5607" s="140" t="s">
        <v>139</v>
      </c>
      <c r="C5607" s="140" t="s">
        <v>16</v>
      </c>
      <c r="D5607" s="140" t="s">
        <v>11</v>
      </c>
      <c r="E5607" s="140" t="s">
        <v>12</v>
      </c>
      <c r="F5607">
        <v>39248</v>
      </c>
      <c r="G5607" s="140" t="s">
        <v>289</v>
      </c>
      <c r="H5607">
        <v>0</v>
      </c>
      <c r="I5607" s="140" t="s">
        <v>17</v>
      </c>
    </row>
    <row r="5608" spans="1:9" hidden="1" x14ac:dyDescent="0.25">
      <c r="A5608">
        <v>2005</v>
      </c>
      <c r="B5608" s="140" t="s">
        <v>139</v>
      </c>
      <c r="C5608" s="140" t="s">
        <v>16</v>
      </c>
      <c r="D5608" s="140" t="s">
        <v>11</v>
      </c>
      <c r="E5608" s="140" t="s">
        <v>12</v>
      </c>
      <c r="F5608">
        <v>45122</v>
      </c>
      <c r="G5608" s="140" t="s">
        <v>289</v>
      </c>
      <c r="H5608">
        <v>0</v>
      </c>
      <c r="I5608" s="140" t="s">
        <v>17</v>
      </c>
    </row>
    <row r="5609" spans="1:9" hidden="1" x14ac:dyDescent="0.25">
      <c r="A5609">
        <v>2006</v>
      </c>
      <c r="B5609" s="140" t="s">
        <v>139</v>
      </c>
      <c r="C5609" s="140" t="s">
        <v>16</v>
      </c>
      <c r="D5609" s="140" t="s">
        <v>11</v>
      </c>
      <c r="E5609" s="140" t="s">
        <v>12</v>
      </c>
      <c r="F5609">
        <v>51881</v>
      </c>
      <c r="G5609" s="140" t="s">
        <v>289</v>
      </c>
      <c r="H5609">
        <v>0</v>
      </c>
      <c r="I5609" s="140" t="s">
        <v>17</v>
      </c>
    </row>
    <row r="5610" spans="1:9" hidden="1" x14ac:dyDescent="0.25">
      <c r="A5610">
        <v>2007</v>
      </c>
      <c r="B5610" s="140" t="s">
        <v>139</v>
      </c>
      <c r="C5610" s="140" t="s">
        <v>16</v>
      </c>
      <c r="D5610" s="140" t="s">
        <v>11</v>
      </c>
      <c r="E5610" s="140" t="s">
        <v>12</v>
      </c>
      <c r="F5610">
        <v>55958</v>
      </c>
      <c r="G5610" s="140" t="s">
        <v>289</v>
      </c>
      <c r="H5610">
        <v>0</v>
      </c>
      <c r="I5610" s="140" t="s">
        <v>17</v>
      </c>
    </row>
    <row r="5611" spans="1:9" hidden="1" x14ac:dyDescent="0.25">
      <c r="A5611">
        <v>2008</v>
      </c>
      <c r="B5611" s="140" t="s">
        <v>139</v>
      </c>
      <c r="C5611" s="140" t="s">
        <v>16</v>
      </c>
      <c r="D5611" s="140" t="s">
        <v>11</v>
      </c>
      <c r="E5611" s="140" t="s">
        <v>12</v>
      </c>
      <c r="F5611">
        <v>58350</v>
      </c>
      <c r="G5611" s="140" t="s">
        <v>289</v>
      </c>
      <c r="H5611">
        <v>0</v>
      </c>
      <c r="I5611" s="140" t="s">
        <v>17</v>
      </c>
    </row>
    <row r="5612" spans="1:9" hidden="1" x14ac:dyDescent="0.25">
      <c r="A5612">
        <v>2009</v>
      </c>
      <c r="B5612" s="140" t="s">
        <v>139</v>
      </c>
      <c r="C5612" s="140" t="s">
        <v>16</v>
      </c>
      <c r="D5612" s="140" t="s">
        <v>11</v>
      </c>
      <c r="E5612" s="140" t="s">
        <v>12</v>
      </c>
      <c r="F5612">
        <v>41663</v>
      </c>
      <c r="G5612" s="140" t="s">
        <v>289</v>
      </c>
      <c r="H5612">
        <v>0</v>
      </c>
      <c r="I5612" s="140" t="s">
        <v>17</v>
      </c>
    </row>
    <row r="5613" spans="1:9" hidden="1" x14ac:dyDescent="0.25">
      <c r="A5613">
        <v>2010</v>
      </c>
      <c r="B5613" s="140" t="s">
        <v>139</v>
      </c>
      <c r="C5613" s="140" t="s">
        <v>16</v>
      </c>
      <c r="D5613" s="140" t="s">
        <v>11</v>
      </c>
      <c r="E5613" s="140" t="s">
        <v>12</v>
      </c>
      <c r="F5613">
        <v>49081</v>
      </c>
      <c r="G5613" s="140" t="s">
        <v>289</v>
      </c>
      <c r="H5613">
        <v>0</v>
      </c>
      <c r="I5613" s="140" t="s">
        <v>17</v>
      </c>
    </row>
    <row r="5614" spans="1:9" hidden="1" x14ac:dyDescent="0.25">
      <c r="A5614">
        <v>2011</v>
      </c>
      <c r="B5614" s="140" t="s">
        <v>139</v>
      </c>
      <c r="C5614" s="140" t="s">
        <v>16</v>
      </c>
      <c r="D5614" s="140" t="s">
        <v>11</v>
      </c>
      <c r="E5614" s="140" t="s">
        <v>12</v>
      </c>
      <c r="F5614">
        <v>57063</v>
      </c>
      <c r="G5614" s="140" t="s">
        <v>289</v>
      </c>
      <c r="H5614">
        <v>0</v>
      </c>
      <c r="I5614" s="140" t="s">
        <v>17</v>
      </c>
    </row>
    <row r="5615" spans="1:9" hidden="1" x14ac:dyDescent="0.25">
      <c r="A5615">
        <v>2012</v>
      </c>
      <c r="B5615" s="140" t="s">
        <v>139</v>
      </c>
      <c r="C5615" s="140" t="s">
        <v>16</v>
      </c>
      <c r="D5615" s="140" t="s">
        <v>11</v>
      </c>
      <c r="E5615" s="140" t="s">
        <v>12</v>
      </c>
      <c r="F5615">
        <v>57063</v>
      </c>
      <c r="G5615" s="140" t="s">
        <v>289</v>
      </c>
      <c r="H5615">
        <v>0</v>
      </c>
      <c r="I5615" s="140" t="s">
        <v>17</v>
      </c>
    </row>
    <row r="5616" spans="1:9" hidden="1" x14ac:dyDescent="0.25">
      <c r="A5616">
        <v>2013</v>
      </c>
      <c r="B5616" s="140" t="s">
        <v>139</v>
      </c>
      <c r="C5616" s="140" t="s">
        <v>16</v>
      </c>
      <c r="D5616" s="140" t="s">
        <v>11</v>
      </c>
      <c r="E5616" s="140" t="s">
        <v>12</v>
      </c>
      <c r="F5616">
        <v>56233</v>
      </c>
      <c r="G5616" s="140" t="s">
        <v>289</v>
      </c>
      <c r="H5616">
        <v>0</v>
      </c>
      <c r="I5616" s="140" t="s">
        <v>17</v>
      </c>
    </row>
    <row r="5617" spans="1:9" hidden="1" x14ac:dyDescent="0.25">
      <c r="A5617">
        <v>2014</v>
      </c>
      <c r="B5617" s="140" t="s">
        <v>139</v>
      </c>
      <c r="C5617" s="140" t="s">
        <v>16</v>
      </c>
      <c r="D5617" s="140" t="s">
        <v>11</v>
      </c>
      <c r="E5617" s="140" t="s">
        <v>12</v>
      </c>
      <c r="F5617">
        <v>54646</v>
      </c>
      <c r="G5617" s="140" t="s">
        <v>289</v>
      </c>
      <c r="H5617">
        <v>0</v>
      </c>
      <c r="I5617" s="140" t="s">
        <v>17</v>
      </c>
    </row>
    <row r="5618" spans="1:9" hidden="1" x14ac:dyDescent="0.25">
      <c r="A5618">
        <v>2015</v>
      </c>
      <c r="B5618" s="140" t="s">
        <v>139</v>
      </c>
      <c r="C5618" s="140" t="s">
        <v>16</v>
      </c>
      <c r="D5618" s="140" t="s">
        <v>11</v>
      </c>
      <c r="E5618" s="140" t="s">
        <v>12</v>
      </c>
      <c r="F5618">
        <v>51104</v>
      </c>
      <c r="G5618" s="140" t="s">
        <v>289</v>
      </c>
      <c r="H5618">
        <v>0</v>
      </c>
      <c r="I5618" s="140" t="s">
        <v>17</v>
      </c>
    </row>
    <row r="5619" spans="1:9" hidden="1" x14ac:dyDescent="0.25">
      <c r="A5619">
        <v>2016</v>
      </c>
      <c r="B5619" s="140" t="s">
        <v>139</v>
      </c>
      <c r="C5619" s="140" t="s">
        <v>16</v>
      </c>
      <c r="D5619" s="140" t="s">
        <v>11</v>
      </c>
      <c r="E5619" s="140" t="s">
        <v>12</v>
      </c>
      <c r="F5619">
        <v>52699</v>
      </c>
      <c r="G5619" s="140" t="s">
        <v>289</v>
      </c>
      <c r="H5619">
        <v>0</v>
      </c>
      <c r="I5619" s="140" t="s">
        <v>17</v>
      </c>
    </row>
    <row r="5620" spans="1:9" hidden="1" x14ac:dyDescent="0.25">
      <c r="A5620">
        <v>2017</v>
      </c>
      <c r="B5620" s="140" t="s">
        <v>139</v>
      </c>
      <c r="C5620" s="140" t="s">
        <v>16</v>
      </c>
      <c r="D5620" s="140" t="s">
        <v>11</v>
      </c>
      <c r="E5620" s="140" t="s">
        <v>12</v>
      </c>
      <c r="F5620">
        <v>57802</v>
      </c>
      <c r="G5620" s="140" t="s">
        <v>289</v>
      </c>
      <c r="H5620">
        <v>0</v>
      </c>
      <c r="I5620" s="140" t="s">
        <v>17</v>
      </c>
    </row>
    <row r="5621" spans="1:9" hidden="1" x14ac:dyDescent="0.25">
      <c r="A5621">
        <v>2018</v>
      </c>
      <c r="B5621" s="140" t="s">
        <v>139</v>
      </c>
      <c r="C5621" s="140" t="s">
        <v>16</v>
      </c>
      <c r="D5621" s="140" t="s">
        <v>11</v>
      </c>
      <c r="E5621" s="140" t="s">
        <v>12</v>
      </c>
      <c r="F5621">
        <v>62492</v>
      </c>
      <c r="G5621" s="140" t="s">
        <v>289</v>
      </c>
      <c r="H5621">
        <v>0</v>
      </c>
      <c r="I5621" s="140" t="s">
        <v>17</v>
      </c>
    </row>
    <row r="5622" spans="1:9" hidden="1" x14ac:dyDescent="0.25">
      <c r="A5622">
        <v>2019</v>
      </c>
      <c r="B5622" s="140" t="s">
        <v>139</v>
      </c>
      <c r="C5622" s="140" t="s">
        <v>16</v>
      </c>
      <c r="D5622" s="140" t="s">
        <v>11</v>
      </c>
      <c r="E5622" s="140" t="s">
        <v>12</v>
      </c>
      <c r="F5622">
        <v>62426</v>
      </c>
      <c r="G5622" s="140" t="s">
        <v>289</v>
      </c>
      <c r="H5622">
        <v>0</v>
      </c>
      <c r="I5622" s="140" t="s">
        <v>17</v>
      </c>
    </row>
    <row r="5623" spans="1:9" hidden="1" x14ac:dyDescent="0.25">
      <c r="A5623">
        <v>2020</v>
      </c>
      <c r="B5623" s="140" t="s">
        <v>139</v>
      </c>
      <c r="C5623" s="140" t="s">
        <v>16</v>
      </c>
      <c r="D5623" s="140" t="s">
        <v>11</v>
      </c>
      <c r="E5623" s="140" t="s">
        <v>12</v>
      </c>
      <c r="F5623">
        <v>56040</v>
      </c>
      <c r="G5623" s="140" t="s">
        <v>289</v>
      </c>
      <c r="H5623">
        <v>0</v>
      </c>
      <c r="I5623" s="140" t="s">
        <v>17</v>
      </c>
    </row>
    <row r="5624" spans="1:9" hidden="1" x14ac:dyDescent="0.25">
      <c r="A5624">
        <v>2021</v>
      </c>
      <c r="B5624" s="140" t="s">
        <v>139</v>
      </c>
      <c r="C5624" s="140" t="s">
        <v>16</v>
      </c>
      <c r="D5624" s="140" t="s">
        <v>11</v>
      </c>
      <c r="E5624" s="140" t="s">
        <v>12</v>
      </c>
      <c r="F5624">
        <v>68041</v>
      </c>
      <c r="G5624" s="140" t="s">
        <v>289</v>
      </c>
      <c r="H5624">
        <v>0</v>
      </c>
      <c r="I5624" s="140" t="s">
        <v>17</v>
      </c>
    </row>
    <row r="5625" spans="1:9" hidden="1" x14ac:dyDescent="0.25">
      <c r="A5625">
        <v>2022</v>
      </c>
      <c r="B5625" s="140" t="s">
        <v>139</v>
      </c>
      <c r="C5625" s="140" t="s">
        <v>16</v>
      </c>
      <c r="D5625" s="140" t="s">
        <v>11</v>
      </c>
      <c r="E5625" s="140" t="s">
        <v>12</v>
      </c>
      <c r="F5625">
        <v>89272</v>
      </c>
      <c r="G5625" s="140" t="s">
        <v>289</v>
      </c>
      <c r="H5625">
        <v>0</v>
      </c>
      <c r="I5625" s="140" t="s">
        <v>17</v>
      </c>
    </row>
    <row r="5626" spans="1:9" hidden="1" x14ac:dyDescent="0.25">
      <c r="A5626">
        <v>2023</v>
      </c>
      <c r="B5626" s="140" t="s">
        <v>139</v>
      </c>
      <c r="C5626" s="140" t="s">
        <v>16</v>
      </c>
      <c r="D5626" s="140" t="s">
        <v>11</v>
      </c>
      <c r="E5626" s="140" t="s">
        <v>12</v>
      </c>
      <c r="F5626">
        <v>74848</v>
      </c>
      <c r="G5626" s="140" t="s">
        <v>289</v>
      </c>
      <c r="H5626">
        <v>0</v>
      </c>
      <c r="I5626" s="140" t="s">
        <v>17</v>
      </c>
    </row>
    <row r="5627" spans="1:9" hidden="1" x14ac:dyDescent="0.25">
      <c r="A5627">
        <v>2024</v>
      </c>
      <c r="B5627" s="140" t="s">
        <v>139</v>
      </c>
      <c r="C5627" s="140" t="s">
        <v>16</v>
      </c>
      <c r="D5627" s="140" t="s">
        <v>11</v>
      </c>
      <c r="E5627" s="140" t="s">
        <v>12</v>
      </c>
      <c r="F5627">
        <v>70642</v>
      </c>
      <c r="G5627" s="140" t="s">
        <v>289</v>
      </c>
      <c r="H5627">
        <v>0</v>
      </c>
      <c r="I5627" s="140" t="s">
        <v>17</v>
      </c>
    </row>
    <row r="5628" spans="1:9" hidden="1" x14ac:dyDescent="0.25">
      <c r="A5628">
        <v>2025</v>
      </c>
      <c r="B5628" s="140" t="s">
        <v>139</v>
      </c>
      <c r="C5628" s="140" t="s">
        <v>16</v>
      </c>
      <c r="D5628" s="140" t="s">
        <v>11</v>
      </c>
      <c r="E5628" s="140" t="s">
        <v>12</v>
      </c>
      <c r="F5628">
        <v>72224</v>
      </c>
      <c r="G5628" s="140" t="s">
        <v>289</v>
      </c>
      <c r="H5628">
        <v>0</v>
      </c>
      <c r="I5628" s="140" t="s">
        <v>17</v>
      </c>
    </row>
    <row r="5629" spans="1:9" hidden="1" x14ac:dyDescent="0.25">
      <c r="A5629">
        <v>2026</v>
      </c>
      <c r="B5629" s="140" t="s">
        <v>139</v>
      </c>
      <c r="C5629" s="140" t="s">
        <v>16</v>
      </c>
      <c r="D5629" s="140" t="s">
        <v>11</v>
      </c>
      <c r="E5629" s="140" t="s">
        <v>12</v>
      </c>
      <c r="F5629">
        <v>79778.41373</v>
      </c>
      <c r="G5629" s="140" t="s">
        <v>289</v>
      </c>
      <c r="H5629">
        <v>0</v>
      </c>
      <c r="I5629" s="140" t="s">
        <v>17</v>
      </c>
    </row>
    <row r="5630" spans="1:9" hidden="1" x14ac:dyDescent="0.25">
      <c r="A5630">
        <v>2027</v>
      </c>
      <c r="B5630" s="140" t="s">
        <v>139</v>
      </c>
      <c r="C5630" s="140" t="s">
        <v>16</v>
      </c>
      <c r="D5630" s="140" t="s">
        <v>11</v>
      </c>
      <c r="E5630" s="140" t="s">
        <v>12</v>
      </c>
      <c r="F5630">
        <v>82027.526769999997</v>
      </c>
      <c r="G5630" s="140" t="s">
        <v>289</v>
      </c>
      <c r="H5630">
        <v>0</v>
      </c>
      <c r="I5630" s="140" t="s">
        <v>17</v>
      </c>
    </row>
    <row r="5631" spans="1:9" hidden="1" x14ac:dyDescent="0.25">
      <c r="A5631">
        <v>2028</v>
      </c>
      <c r="B5631" s="140" t="s">
        <v>139</v>
      </c>
      <c r="C5631" s="140" t="s">
        <v>16</v>
      </c>
      <c r="D5631" s="140" t="s">
        <v>11</v>
      </c>
      <c r="E5631" s="140" t="s">
        <v>12</v>
      </c>
      <c r="F5631">
        <v>85507.544590000005</v>
      </c>
      <c r="G5631" s="140" t="s">
        <v>289</v>
      </c>
      <c r="H5631">
        <v>0</v>
      </c>
      <c r="I5631" s="140" t="s">
        <v>17</v>
      </c>
    </row>
    <row r="5632" spans="1:9" hidden="1" x14ac:dyDescent="0.25">
      <c r="A5632">
        <v>1990</v>
      </c>
      <c r="B5632" s="140" t="s">
        <v>140</v>
      </c>
      <c r="C5632" s="140" t="s">
        <v>16</v>
      </c>
      <c r="D5632" s="140" t="s">
        <v>11</v>
      </c>
      <c r="E5632" s="140" t="s">
        <v>12</v>
      </c>
      <c r="F5632">
        <v>4972</v>
      </c>
      <c r="G5632" s="140" t="s">
        <v>290</v>
      </c>
      <c r="H5632">
        <v>0</v>
      </c>
      <c r="I5632" s="140" t="s">
        <v>17</v>
      </c>
    </row>
    <row r="5633" spans="1:9" hidden="1" x14ac:dyDescent="0.25">
      <c r="A5633">
        <v>1991</v>
      </c>
      <c r="B5633" s="140" t="s">
        <v>140</v>
      </c>
      <c r="C5633" s="140" t="s">
        <v>16</v>
      </c>
      <c r="D5633" s="140" t="s">
        <v>11</v>
      </c>
      <c r="E5633" s="140" t="s">
        <v>12</v>
      </c>
      <c r="F5633">
        <v>5235</v>
      </c>
      <c r="G5633" s="140" t="s">
        <v>290</v>
      </c>
      <c r="H5633">
        <v>0</v>
      </c>
      <c r="I5633" s="140" t="s">
        <v>17</v>
      </c>
    </row>
    <row r="5634" spans="1:9" hidden="1" x14ac:dyDescent="0.25">
      <c r="A5634">
        <v>1992</v>
      </c>
      <c r="B5634" s="140" t="s">
        <v>140</v>
      </c>
      <c r="C5634" s="140" t="s">
        <v>16</v>
      </c>
      <c r="D5634" s="140" t="s">
        <v>11</v>
      </c>
      <c r="E5634" s="140" t="s">
        <v>12</v>
      </c>
      <c r="F5634">
        <v>5712</v>
      </c>
      <c r="G5634" s="140" t="s">
        <v>290</v>
      </c>
      <c r="H5634">
        <v>0</v>
      </c>
      <c r="I5634" s="140" t="s">
        <v>17</v>
      </c>
    </row>
    <row r="5635" spans="1:9" hidden="1" x14ac:dyDescent="0.25">
      <c r="A5635">
        <v>1993</v>
      </c>
      <c r="B5635" s="140" t="s">
        <v>140</v>
      </c>
      <c r="C5635" s="140" t="s">
        <v>16</v>
      </c>
      <c r="D5635" s="140" t="s">
        <v>11</v>
      </c>
      <c r="E5635" s="140" t="s">
        <v>12</v>
      </c>
      <c r="F5635">
        <v>6398</v>
      </c>
      <c r="G5635" s="140" t="s">
        <v>290</v>
      </c>
      <c r="H5635">
        <v>0</v>
      </c>
      <c r="I5635" s="140" t="s">
        <v>17</v>
      </c>
    </row>
    <row r="5636" spans="1:9" hidden="1" x14ac:dyDescent="0.25">
      <c r="A5636">
        <v>1994</v>
      </c>
      <c r="B5636" s="140" t="s">
        <v>140</v>
      </c>
      <c r="C5636" s="140" t="s">
        <v>16</v>
      </c>
      <c r="D5636" s="140" t="s">
        <v>11</v>
      </c>
      <c r="E5636" s="140" t="s">
        <v>12</v>
      </c>
      <c r="F5636">
        <v>6409</v>
      </c>
      <c r="G5636" s="140" t="s">
        <v>290</v>
      </c>
      <c r="H5636">
        <v>0</v>
      </c>
      <c r="I5636" s="140" t="s">
        <v>17</v>
      </c>
    </row>
    <row r="5637" spans="1:9" hidden="1" x14ac:dyDescent="0.25">
      <c r="A5637">
        <v>1995</v>
      </c>
      <c r="B5637" s="140" t="s">
        <v>140</v>
      </c>
      <c r="C5637" s="140" t="s">
        <v>16</v>
      </c>
      <c r="D5637" s="140" t="s">
        <v>11</v>
      </c>
      <c r="E5637" s="140" t="s">
        <v>12</v>
      </c>
      <c r="F5637">
        <v>7185</v>
      </c>
      <c r="G5637" s="140" t="s">
        <v>290</v>
      </c>
      <c r="H5637">
        <v>0</v>
      </c>
      <c r="I5637" s="140" t="s">
        <v>17</v>
      </c>
    </row>
    <row r="5638" spans="1:9" hidden="1" x14ac:dyDescent="0.25">
      <c r="A5638">
        <v>1996</v>
      </c>
      <c r="B5638" s="140" t="s">
        <v>140</v>
      </c>
      <c r="C5638" s="140" t="s">
        <v>16</v>
      </c>
      <c r="D5638" s="140" t="s">
        <v>11</v>
      </c>
      <c r="E5638" s="140" t="s">
        <v>12</v>
      </c>
      <c r="F5638">
        <v>7265</v>
      </c>
      <c r="G5638" s="140" t="s">
        <v>290</v>
      </c>
      <c r="H5638">
        <v>0</v>
      </c>
      <c r="I5638" s="140" t="s">
        <v>17</v>
      </c>
    </row>
    <row r="5639" spans="1:9" hidden="1" x14ac:dyDescent="0.25">
      <c r="A5639">
        <v>1997</v>
      </c>
      <c r="B5639" s="140" t="s">
        <v>140</v>
      </c>
      <c r="C5639" s="140" t="s">
        <v>16</v>
      </c>
      <c r="D5639" s="140" t="s">
        <v>11</v>
      </c>
      <c r="E5639" s="140" t="s">
        <v>12</v>
      </c>
      <c r="F5639">
        <v>7836</v>
      </c>
      <c r="G5639" s="140" t="s">
        <v>290</v>
      </c>
      <c r="H5639">
        <v>0</v>
      </c>
      <c r="I5639" s="140" t="s">
        <v>17</v>
      </c>
    </row>
    <row r="5640" spans="1:9" hidden="1" x14ac:dyDescent="0.25">
      <c r="A5640">
        <v>1998</v>
      </c>
      <c r="B5640" s="140" t="s">
        <v>140</v>
      </c>
      <c r="C5640" s="140" t="s">
        <v>16</v>
      </c>
      <c r="D5640" s="140" t="s">
        <v>11</v>
      </c>
      <c r="E5640" s="140" t="s">
        <v>12</v>
      </c>
      <c r="F5640">
        <v>7793</v>
      </c>
      <c r="G5640" s="140" t="s">
        <v>290</v>
      </c>
      <c r="H5640">
        <v>0</v>
      </c>
      <c r="I5640" s="140" t="s">
        <v>17</v>
      </c>
    </row>
    <row r="5641" spans="1:9" hidden="1" x14ac:dyDescent="0.25">
      <c r="A5641">
        <v>1999</v>
      </c>
      <c r="B5641" s="140" t="s">
        <v>140</v>
      </c>
      <c r="C5641" s="140" t="s">
        <v>16</v>
      </c>
      <c r="D5641" s="140" t="s">
        <v>11</v>
      </c>
      <c r="E5641" s="140" t="s">
        <v>12</v>
      </c>
      <c r="F5641">
        <v>8033</v>
      </c>
      <c r="G5641" s="140" t="s">
        <v>290</v>
      </c>
      <c r="H5641">
        <v>0</v>
      </c>
      <c r="I5641" s="140" t="s">
        <v>17</v>
      </c>
    </row>
    <row r="5642" spans="1:9" hidden="1" x14ac:dyDescent="0.25">
      <c r="A5642">
        <v>2000</v>
      </c>
      <c r="B5642" s="140" t="s">
        <v>140</v>
      </c>
      <c r="C5642" s="140" t="s">
        <v>16</v>
      </c>
      <c r="D5642" s="140" t="s">
        <v>11</v>
      </c>
      <c r="E5642" s="140" t="s">
        <v>12</v>
      </c>
      <c r="F5642">
        <v>10447</v>
      </c>
      <c r="G5642" s="140" t="s">
        <v>290</v>
      </c>
      <c r="H5642">
        <v>0</v>
      </c>
      <c r="I5642" s="140" t="s">
        <v>17</v>
      </c>
    </row>
    <row r="5643" spans="1:9" hidden="1" x14ac:dyDescent="0.25">
      <c r="A5643">
        <v>2001</v>
      </c>
      <c r="B5643" s="140" t="s">
        <v>140</v>
      </c>
      <c r="C5643" s="140" t="s">
        <v>16</v>
      </c>
      <c r="D5643" s="140" t="s">
        <v>11</v>
      </c>
      <c r="E5643" s="140" t="s">
        <v>12</v>
      </c>
      <c r="F5643">
        <v>10605</v>
      </c>
      <c r="G5643" s="140" t="s">
        <v>290</v>
      </c>
      <c r="H5643">
        <v>0</v>
      </c>
      <c r="I5643" s="140" t="s">
        <v>17</v>
      </c>
    </row>
    <row r="5644" spans="1:9" hidden="1" x14ac:dyDescent="0.25">
      <c r="A5644">
        <v>2002</v>
      </c>
      <c r="B5644" s="140" t="s">
        <v>140</v>
      </c>
      <c r="C5644" s="140" t="s">
        <v>16</v>
      </c>
      <c r="D5644" s="140" t="s">
        <v>11</v>
      </c>
      <c r="E5644" s="140" t="s">
        <v>12</v>
      </c>
      <c r="F5644">
        <v>10959</v>
      </c>
      <c r="G5644" s="140" t="s">
        <v>290</v>
      </c>
      <c r="H5644">
        <v>0</v>
      </c>
      <c r="I5644" s="140" t="s">
        <v>17</v>
      </c>
    </row>
    <row r="5645" spans="1:9" hidden="1" x14ac:dyDescent="0.25">
      <c r="A5645">
        <v>2003</v>
      </c>
      <c r="B5645" s="140" t="s">
        <v>140</v>
      </c>
      <c r="C5645" s="140" t="s">
        <v>16</v>
      </c>
      <c r="D5645" s="140" t="s">
        <v>11</v>
      </c>
      <c r="E5645" s="140" t="s">
        <v>12</v>
      </c>
      <c r="F5645">
        <v>11231</v>
      </c>
      <c r="G5645" s="140" t="s">
        <v>290</v>
      </c>
      <c r="H5645">
        <v>0</v>
      </c>
      <c r="I5645" s="140" t="s">
        <v>17</v>
      </c>
    </row>
    <row r="5646" spans="1:9" hidden="1" x14ac:dyDescent="0.25">
      <c r="A5646">
        <v>2004</v>
      </c>
      <c r="B5646" s="140" t="s">
        <v>140</v>
      </c>
      <c r="C5646" s="140" t="s">
        <v>16</v>
      </c>
      <c r="D5646" s="140" t="s">
        <v>11</v>
      </c>
      <c r="E5646" s="140" t="s">
        <v>12</v>
      </c>
      <c r="F5646">
        <v>12102</v>
      </c>
      <c r="G5646" s="140" t="s">
        <v>290</v>
      </c>
      <c r="H5646">
        <v>0</v>
      </c>
      <c r="I5646" s="140" t="s">
        <v>17</v>
      </c>
    </row>
    <row r="5647" spans="1:9" hidden="1" x14ac:dyDescent="0.25">
      <c r="A5647">
        <v>2005</v>
      </c>
      <c r="B5647" s="140" t="s">
        <v>140</v>
      </c>
      <c r="C5647" s="140" t="s">
        <v>16</v>
      </c>
      <c r="D5647" s="140" t="s">
        <v>11</v>
      </c>
      <c r="E5647" s="140" t="s">
        <v>12</v>
      </c>
      <c r="F5647">
        <v>14669</v>
      </c>
      <c r="G5647" s="140" t="s">
        <v>290</v>
      </c>
      <c r="H5647">
        <v>0</v>
      </c>
      <c r="I5647" s="140" t="s">
        <v>17</v>
      </c>
    </row>
    <row r="5648" spans="1:9" hidden="1" x14ac:dyDescent="0.25">
      <c r="A5648">
        <v>2006</v>
      </c>
      <c r="B5648" s="140" t="s">
        <v>140</v>
      </c>
      <c r="C5648" s="140" t="s">
        <v>16</v>
      </c>
      <c r="D5648" s="140" t="s">
        <v>11</v>
      </c>
      <c r="E5648" s="140" t="s">
        <v>12</v>
      </c>
      <c r="F5648">
        <v>15392</v>
      </c>
      <c r="G5648" s="140" t="s">
        <v>290</v>
      </c>
      <c r="H5648">
        <v>0</v>
      </c>
      <c r="I5648" s="140" t="s">
        <v>17</v>
      </c>
    </row>
    <row r="5649" spans="1:9" hidden="1" x14ac:dyDescent="0.25">
      <c r="A5649">
        <v>2007</v>
      </c>
      <c r="B5649" s="140" t="s">
        <v>140</v>
      </c>
      <c r="C5649" s="140" t="s">
        <v>16</v>
      </c>
      <c r="D5649" s="140" t="s">
        <v>11</v>
      </c>
      <c r="E5649" s="140" t="s">
        <v>12</v>
      </c>
      <c r="F5649">
        <v>17059</v>
      </c>
      <c r="G5649" s="140" t="s">
        <v>290</v>
      </c>
      <c r="H5649">
        <v>0</v>
      </c>
      <c r="I5649" s="140" t="s">
        <v>17</v>
      </c>
    </row>
    <row r="5650" spans="1:9" hidden="1" x14ac:dyDescent="0.25">
      <c r="A5650">
        <v>2008</v>
      </c>
      <c r="B5650" s="140" t="s">
        <v>140</v>
      </c>
      <c r="C5650" s="140" t="s">
        <v>16</v>
      </c>
      <c r="D5650" s="140" t="s">
        <v>11</v>
      </c>
      <c r="E5650" s="140" t="s">
        <v>12</v>
      </c>
      <c r="F5650">
        <v>21851</v>
      </c>
      <c r="G5650" s="140" t="s">
        <v>290</v>
      </c>
      <c r="H5650">
        <v>0</v>
      </c>
      <c r="I5650" s="140" t="s">
        <v>17</v>
      </c>
    </row>
    <row r="5651" spans="1:9" hidden="1" x14ac:dyDescent="0.25">
      <c r="A5651">
        <v>2009</v>
      </c>
      <c r="B5651" s="140" t="s">
        <v>140</v>
      </c>
      <c r="C5651" s="140" t="s">
        <v>16</v>
      </c>
      <c r="D5651" s="140" t="s">
        <v>11</v>
      </c>
      <c r="E5651" s="140" t="s">
        <v>12</v>
      </c>
      <c r="F5651">
        <v>20208</v>
      </c>
      <c r="G5651" s="140" t="s">
        <v>290</v>
      </c>
      <c r="H5651">
        <v>0</v>
      </c>
      <c r="I5651" s="140" t="s">
        <v>17</v>
      </c>
    </row>
    <row r="5652" spans="1:9" hidden="1" x14ac:dyDescent="0.25">
      <c r="A5652">
        <v>2010</v>
      </c>
      <c r="B5652" s="140" t="s">
        <v>140</v>
      </c>
      <c r="C5652" s="140" t="s">
        <v>16</v>
      </c>
      <c r="D5652" s="140" t="s">
        <v>11</v>
      </c>
      <c r="E5652" s="140" t="s">
        <v>12</v>
      </c>
      <c r="F5652">
        <v>20624</v>
      </c>
      <c r="G5652" s="140" t="s">
        <v>290</v>
      </c>
      <c r="H5652">
        <v>0</v>
      </c>
      <c r="I5652" s="140" t="s">
        <v>17</v>
      </c>
    </row>
    <row r="5653" spans="1:9" hidden="1" x14ac:dyDescent="0.25">
      <c r="A5653">
        <v>2011</v>
      </c>
      <c r="B5653" s="140" t="s">
        <v>140</v>
      </c>
      <c r="C5653" s="140" t="s">
        <v>16</v>
      </c>
      <c r="D5653" s="140" t="s">
        <v>11</v>
      </c>
      <c r="E5653" s="140" t="s">
        <v>12</v>
      </c>
      <c r="F5653">
        <v>21502</v>
      </c>
      <c r="G5653" s="140" t="s">
        <v>290</v>
      </c>
      <c r="H5653">
        <v>0</v>
      </c>
      <c r="I5653" s="140" t="s">
        <v>17</v>
      </c>
    </row>
    <row r="5654" spans="1:9" hidden="1" x14ac:dyDescent="0.25">
      <c r="A5654">
        <v>2012</v>
      </c>
      <c r="B5654" s="140" t="s">
        <v>140</v>
      </c>
      <c r="C5654" s="140" t="s">
        <v>16</v>
      </c>
      <c r="D5654" s="140" t="s">
        <v>11</v>
      </c>
      <c r="E5654" s="140" t="s">
        <v>12</v>
      </c>
      <c r="F5654">
        <v>24081</v>
      </c>
      <c r="G5654" s="140" t="s">
        <v>290</v>
      </c>
      <c r="H5654">
        <v>0</v>
      </c>
      <c r="I5654" s="140" t="s">
        <v>17</v>
      </c>
    </row>
    <row r="5655" spans="1:9" hidden="1" x14ac:dyDescent="0.25">
      <c r="A5655">
        <v>2013</v>
      </c>
      <c r="B5655" s="140" t="s">
        <v>140</v>
      </c>
      <c r="C5655" s="140" t="s">
        <v>16</v>
      </c>
      <c r="D5655" s="140" t="s">
        <v>11</v>
      </c>
      <c r="E5655" s="140" t="s">
        <v>12</v>
      </c>
      <c r="F5655">
        <v>23609</v>
      </c>
      <c r="G5655" s="140" t="s">
        <v>290</v>
      </c>
      <c r="H5655">
        <v>0</v>
      </c>
      <c r="I5655" s="140" t="s">
        <v>17</v>
      </c>
    </row>
    <row r="5656" spans="1:9" hidden="1" x14ac:dyDescent="0.25">
      <c r="A5656">
        <v>2014</v>
      </c>
      <c r="B5656" s="140" t="s">
        <v>140</v>
      </c>
      <c r="C5656" s="140" t="s">
        <v>16</v>
      </c>
      <c r="D5656" s="140" t="s">
        <v>11</v>
      </c>
      <c r="E5656" s="140" t="s">
        <v>12</v>
      </c>
      <c r="F5656">
        <v>23212</v>
      </c>
      <c r="G5656" s="140" t="s">
        <v>290</v>
      </c>
      <c r="H5656">
        <v>0</v>
      </c>
      <c r="I5656" s="140" t="s">
        <v>17</v>
      </c>
    </row>
    <row r="5657" spans="1:9" hidden="1" x14ac:dyDescent="0.25">
      <c r="A5657">
        <v>2015</v>
      </c>
      <c r="B5657" s="140" t="s">
        <v>140</v>
      </c>
      <c r="C5657" s="140" t="s">
        <v>16</v>
      </c>
      <c r="D5657" s="140" t="s">
        <v>11</v>
      </c>
      <c r="E5657" s="140" t="s">
        <v>12</v>
      </c>
      <c r="F5657">
        <v>24944</v>
      </c>
      <c r="G5657" s="140" t="s">
        <v>290</v>
      </c>
      <c r="H5657">
        <v>0</v>
      </c>
      <c r="I5657" s="140" t="s">
        <v>17</v>
      </c>
    </row>
    <row r="5658" spans="1:9" hidden="1" x14ac:dyDescent="0.25">
      <c r="A5658">
        <v>2016</v>
      </c>
      <c r="B5658" s="140" t="s">
        <v>140</v>
      </c>
      <c r="C5658" s="140" t="s">
        <v>16</v>
      </c>
      <c r="D5658" s="140" t="s">
        <v>11</v>
      </c>
      <c r="E5658" s="140" t="s">
        <v>12</v>
      </c>
      <c r="F5658">
        <v>25798</v>
      </c>
      <c r="G5658" s="140" t="s">
        <v>290</v>
      </c>
      <c r="H5658">
        <v>0</v>
      </c>
      <c r="I5658" s="140" t="s">
        <v>17</v>
      </c>
    </row>
    <row r="5659" spans="1:9" hidden="1" x14ac:dyDescent="0.25">
      <c r="A5659">
        <v>2017</v>
      </c>
      <c r="B5659" s="140" t="s">
        <v>140</v>
      </c>
      <c r="C5659" s="140" t="s">
        <v>16</v>
      </c>
      <c r="D5659" s="140" t="s">
        <v>11</v>
      </c>
      <c r="E5659" s="140" t="s">
        <v>12</v>
      </c>
      <c r="F5659">
        <v>27075</v>
      </c>
      <c r="G5659" s="140" t="s">
        <v>290</v>
      </c>
      <c r="H5659">
        <v>0</v>
      </c>
      <c r="I5659" s="140" t="s">
        <v>17</v>
      </c>
    </row>
    <row r="5660" spans="1:9" hidden="1" x14ac:dyDescent="0.25">
      <c r="A5660">
        <v>2018</v>
      </c>
      <c r="B5660" s="140" t="s">
        <v>140</v>
      </c>
      <c r="C5660" s="140" t="s">
        <v>16</v>
      </c>
      <c r="D5660" s="140" t="s">
        <v>11</v>
      </c>
      <c r="E5660" s="140" t="s">
        <v>12</v>
      </c>
      <c r="F5660">
        <v>30257</v>
      </c>
      <c r="G5660" s="140" t="s">
        <v>290</v>
      </c>
      <c r="H5660">
        <v>0</v>
      </c>
      <c r="I5660" s="140" t="s">
        <v>17</v>
      </c>
    </row>
    <row r="5661" spans="1:9" hidden="1" x14ac:dyDescent="0.25">
      <c r="A5661">
        <v>2019</v>
      </c>
      <c r="B5661" s="140" t="s">
        <v>140</v>
      </c>
      <c r="C5661" s="140" t="s">
        <v>16</v>
      </c>
      <c r="D5661" s="140" t="s">
        <v>11</v>
      </c>
      <c r="E5661" s="140" t="s">
        <v>12</v>
      </c>
      <c r="F5661">
        <v>32852</v>
      </c>
      <c r="G5661" s="140" t="s">
        <v>290</v>
      </c>
      <c r="H5661">
        <v>0</v>
      </c>
      <c r="I5661" s="140" t="s">
        <v>17</v>
      </c>
    </row>
    <row r="5662" spans="1:9" hidden="1" x14ac:dyDescent="0.25">
      <c r="A5662">
        <v>2020</v>
      </c>
      <c r="B5662" s="140" t="s">
        <v>140</v>
      </c>
      <c r="C5662" s="140" t="s">
        <v>16</v>
      </c>
      <c r="D5662" s="140" t="s">
        <v>11</v>
      </c>
      <c r="E5662" s="140" t="s">
        <v>12</v>
      </c>
      <c r="F5662">
        <v>28989</v>
      </c>
      <c r="G5662" s="140" t="s">
        <v>290</v>
      </c>
      <c r="H5662">
        <v>0</v>
      </c>
      <c r="I5662" s="140" t="s">
        <v>17</v>
      </c>
    </row>
    <row r="5663" spans="1:9" hidden="1" x14ac:dyDescent="0.25">
      <c r="A5663">
        <v>2021</v>
      </c>
      <c r="B5663" s="140" t="s">
        <v>140</v>
      </c>
      <c r="C5663" s="140" t="s">
        <v>16</v>
      </c>
      <c r="D5663" s="140" t="s">
        <v>11</v>
      </c>
      <c r="E5663" s="140" t="s">
        <v>12</v>
      </c>
      <c r="F5663">
        <v>31135</v>
      </c>
      <c r="G5663" s="140" t="s">
        <v>290</v>
      </c>
      <c r="H5663">
        <v>0</v>
      </c>
      <c r="I5663" s="140" t="s">
        <v>17</v>
      </c>
    </row>
    <row r="5664" spans="1:9" hidden="1" x14ac:dyDescent="0.25">
      <c r="A5664">
        <v>2022</v>
      </c>
      <c r="B5664" s="140" t="s">
        <v>140</v>
      </c>
      <c r="C5664" s="140" t="s">
        <v>16</v>
      </c>
      <c r="D5664" s="140" t="s">
        <v>11</v>
      </c>
      <c r="E5664" s="140" t="s">
        <v>12</v>
      </c>
      <c r="F5664">
        <v>39393</v>
      </c>
      <c r="G5664" s="140" t="s">
        <v>290</v>
      </c>
      <c r="H5664">
        <v>0</v>
      </c>
      <c r="I5664" s="140" t="s">
        <v>17</v>
      </c>
    </row>
    <row r="5665" spans="1:9" hidden="1" x14ac:dyDescent="0.25">
      <c r="A5665">
        <v>2023</v>
      </c>
      <c r="B5665" s="140" t="s">
        <v>140</v>
      </c>
      <c r="C5665" s="140" t="s">
        <v>16</v>
      </c>
      <c r="D5665" s="140" t="s">
        <v>11</v>
      </c>
      <c r="E5665" s="140" t="s">
        <v>12</v>
      </c>
      <c r="F5665">
        <v>42240</v>
      </c>
      <c r="G5665" s="140" t="s">
        <v>290</v>
      </c>
      <c r="H5665">
        <v>0</v>
      </c>
      <c r="I5665" s="140" t="s">
        <v>17</v>
      </c>
    </row>
    <row r="5666" spans="1:9" hidden="1" x14ac:dyDescent="0.25">
      <c r="A5666">
        <v>2024</v>
      </c>
      <c r="B5666" s="140" t="s">
        <v>140</v>
      </c>
      <c r="C5666" s="140" t="s">
        <v>16</v>
      </c>
      <c r="D5666" s="140" t="s">
        <v>11</v>
      </c>
      <c r="E5666" s="140" t="s">
        <v>12</v>
      </c>
      <c r="F5666">
        <v>43891</v>
      </c>
      <c r="G5666" s="140" t="s">
        <v>290</v>
      </c>
      <c r="H5666">
        <v>0</v>
      </c>
      <c r="I5666" s="140" t="s">
        <v>17</v>
      </c>
    </row>
    <row r="5667" spans="1:9" hidden="1" x14ac:dyDescent="0.25">
      <c r="A5667">
        <v>2025</v>
      </c>
      <c r="B5667" s="140" t="s">
        <v>140</v>
      </c>
      <c r="C5667" s="140" t="s">
        <v>16</v>
      </c>
      <c r="D5667" s="140" t="s">
        <v>11</v>
      </c>
      <c r="E5667" s="140" t="s">
        <v>12</v>
      </c>
      <c r="F5667">
        <v>44276</v>
      </c>
      <c r="G5667" s="140" t="s">
        <v>290</v>
      </c>
      <c r="H5667">
        <v>0</v>
      </c>
      <c r="I5667" s="140" t="s">
        <v>17</v>
      </c>
    </row>
    <row r="5668" spans="1:9" hidden="1" x14ac:dyDescent="0.25">
      <c r="A5668">
        <v>2026</v>
      </c>
      <c r="B5668" s="140" t="s">
        <v>140</v>
      </c>
      <c r="C5668" s="140" t="s">
        <v>16</v>
      </c>
      <c r="D5668" s="140" t="s">
        <v>11</v>
      </c>
      <c r="E5668" s="140" t="s">
        <v>12</v>
      </c>
      <c r="F5668">
        <v>46037.635779999997</v>
      </c>
      <c r="G5668" s="140" t="s">
        <v>290</v>
      </c>
      <c r="H5668">
        <v>0</v>
      </c>
      <c r="I5668" s="140" t="s">
        <v>17</v>
      </c>
    </row>
    <row r="5669" spans="1:9" hidden="1" x14ac:dyDescent="0.25">
      <c r="A5669">
        <v>2027</v>
      </c>
      <c r="B5669" s="140" t="s">
        <v>140</v>
      </c>
      <c r="C5669" s="140" t="s">
        <v>16</v>
      </c>
      <c r="D5669" s="140" t="s">
        <v>11</v>
      </c>
      <c r="E5669" s="140" t="s">
        <v>12</v>
      </c>
      <c r="F5669">
        <v>47662.764320000002</v>
      </c>
      <c r="G5669" s="140" t="s">
        <v>290</v>
      </c>
      <c r="H5669">
        <v>0</v>
      </c>
      <c r="I5669" s="140" t="s">
        <v>17</v>
      </c>
    </row>
    <row r="5670" spans="1:9" hidden="1" x14ac:dyDescent="0.25">
      <c r="A5670">
        <v>2028</v>
      </c>
      <c r="B5670" s="140" t="s">
        <v>140</v>
      </c>
      <c r="C5670" s="140" t="s">
        <v>16</v>
      </c>
      <c r="D5670" s="140" t="s">
        <v>11</v>
      </c>
      <c r="E5670" s="140" t="s">
        <v>12</v>
      </c>
      <c r="F5670">
        <v>49635.526140000002</v>
      </c>
      <c r="G5670" s="140" t="s">
        <v>290</v>
      </c>
      <c r="H5670">
        <v>0</v>
      </c>
      <c r="I5670" s="140" t="s">
        <v>17</v>
      </c>
    </row>
    <row r="5671" spans="1:9" hidden="1" x14ac:dyDescent="0.25">
      <c r="A5671">
        <v>1990</v>
      </c>
      <c r="B5671" s="140" t="s">
        <v>134</v>
      </c>
      <c r="C5671" s="140" t="s">
        <v>16</v>
      </c>
      <c r="D5671" s="140" t="s">
        <v>11</v>
      </c>
      <c r="E5671" s="140" t="s">
        <v>12</v>
      </c>
      <c r="F5671">
        <v>17119</v>
      </c>
      <c r="G5671" s="140" t="s">
        <v>291</v>
      </c>
      <c r="H5671">
        <v>0</v>
      </c>
      <c r="I5671" s="140" t="s">
        <v>17</v>
      </c>
    </row>
    <row r="5672" spans="1:9" hidden="1" x14ac:dyDescent="0.25">
      <c r="A5672">
        <v>1991</v>
      </c>
      <c r="B5672" s="140" t="s">
        <v>134</v>
      </c>
      <c r="C5672" s="140" t="s">
        <v>16</v>
      </c>
      <c r="D5672" s="140" t="s">
        <v>11</v>
      </c>
      <c r="E5672" s="140" t="s">
        <v>12</v>
      </c>
      <c r="F5672">
        <v>15692</v>
      </c>
      <c r="G5672" s="140" t="s">
        <v>291</v>
      </c>
      <c r="H5672">
        <v>0</v>
      </c>
      <c r="I5672" s="140" t="s">
        <v>17</v>
      </c>
    </row>
    <row r="5673" spans="1:9" hidden="1" x14ac:dyDescent="0.25">
      <c r="A5673">
        <v>1992</v>
      </c>
      <c r="B5673" s="140" t="s">
        <v>134</v>
      </c>
      <c r="C5673" s="140" t="s">
        <v>16</v>
      </c>
      <c r="D5673" s="140" t="s">
        <v>11</v>
      </c>
      <c r="E5673" s="140" t="s">
        <v>12</v>
      </c>
      <c r="F5673">
        <v>18161</v>
      </c>
      <c r="G5673" s="140" t="s">
        <v>291</v>
      </c>
      <c r="H5673">
        <v>0</v>
      </c>
      <c r="I5673" s="140" t="s">
        <v>17</v>
      </c>
    </row>
    <row r="5674" spans="1:9" hidden="1" x14ac:dyDescent="0.25">
      <c r="A5674">
        <v>1993</v>
      </c>
      <c r="B5674" s="140" t="s">
        <v>134</v>
      </c>
      <c r="C5674" s="140" t="s">
        <v>16</v>
      </c>
      <c r="D5674" s="140" t="s">
        <v>11</v>
      </c>
      <c r="E5674" s="140" t="s">
        <v>12</v>
      </c>
      <c r="F5674">
        <v>22658</v>
      </c>
      <c r="G5674" s="140" t="s">
        <v>291</v>
      </c>
      <c r="H5674">
        <v>0</v>
      </c>
      <c r="I5674" s="140" t="s">
        <v>17</v>
      </c>
    </row>
    <row r="5675" spans="1:9" hidden="1" x14ac:dyDescent="0.25">
      <c r="A5675">
        <v>1994</v>
      </c>
      <c r="B5675" s="140" t="s">
        <v>134</v>
      </c>
      <c r="C5675" s="140" t="s">
        <v>16</v>
      </c>
      <c r="D5675" s="140" t="s">
        <v>11</v>
      </c>
      <c r="E5675" s="140" t="s">
        <v>12</v>
      </c>
      <c r="F5675">
        <v>26044</v>
      </c>
      <c r="G5675" s="140" t="s">
        <v>291</v>
      </c>
      <c r="H5675">
        <v>0</v>
      </c>
      <c r="I5675" s="140" t="s">
        <v>17</v>
      </c>
    </row>
    <row r="5676" spans="1:9" hidden="1" x14ac:dyDescent="0.25">
      <c r="A5676">
        <v>1995</v>
      </c>
      <c r="B5676" s="140" t="s">
        <v>134</v>
      </c>
      <c r="C5676" s="140" t="s">
        <v>16</v>
      </c>
      <c r="D5676" s="140" t="s">
        <v>11</v>
      </c>
      <c r="E5676" s="140" t="s">
        <v>12</v>
      </c>
      <c r="F5676">
        <v>29779</v>
      </c>
      <c r="G5676" s="140" t="s">
        <v>291</v>
      </c>
      <c r="H5676">
        <v>0</v>
      </c>
      <c r="I5676" s="140" t="s">
        <v>17</v>
      </c>
    </row>
    <row r="5677" spans="1:9" hidden="1" x14ac:dyDescent="0.25">
      <c r="A5677">
        <v>1996</v>
      </c>
      <c r="B5677" s="140" t="s">
        <v>134</v>
      </c>
      <c r="C5677" s="140" t="s">
        <v>16</v>
      </c>
      <c r="D5677" s="140" t="s">
        <v>11</v>
      </c>
      <c r="E5677" s="140" t="s">
        <v>12</v>
      </c>
      <c r="F5677">
        <v>31518</v>
      </c>
      <c r="G5677" s="140" t="s">
        <v>291</v>
      </c>
      <c r="H5677">
        <v>0</v>
      </c>
      <c r="I5677" s="140" t="s">
        <v>17</v>
      </c>
    </row>
    <row r="5678" spans="1:9" hidden="1" x14ac:dyDescent="0.25">
      <c r="A5678">
        <v>1997</v>
      </c>
      <c r="B5678" s="140" t="s">
        <v>134</v>
      </c>
      <c r="C5678" s="140" t="s">
        <v>16</v>
      </c>
      <c r="D5678" s="140" t="s">
        <v>11</v>
      </c>
      <c r="E5678" s="140" t="s">
        <v>12</v>
      </c>
      <c r="F5678">
        <v>35989</v>
      </c>
      <c r="G5678" s="140" t="s">
        <v>291</v>
      </c>
      <c r="H5678">
        <v>0</v>
      </c>
      <c r="I5678" s="140" t="s">
        <v>17</v>
      </c>
    </row>
    <row r="5679" spans="1:9" hidden="1" x14ac:dyDescent="0.25">
      <c r="A5679">
        <v>1998</v>
      </c>
      <c r="B5679" s="140" t="s">
        <v>134</v>
      </c>
      <c r="C5679" s="140" t="s">
        <v>16</v>
      </c>
      <c r="D5679" s="140" t="s">
        <v>11</v>
      </c>
      <c r="E5679" s="140" t="s">
        <v>12</v>
      </c>
      <c r="F5679">
        <v>39014</v>
      </c>
      <c r="G5679" s="140" t="s">
        <v>291</v>
      </c>
      <c r="H5679">
        <v>0</v>
      </c>
      <c r="I5679" s="140" t="s">
        <v>17</v>
      </c>
    </row>
    <row r="5680" spans="1:9" hidden="1" x14ac:dyDescent="0.25">
      <c r="A5680">
        <v>1999</v>
      </c>
      <c r="B5680" s="140" t="s">
        <v>134</v>
      </c>
      <c r="C5680" s="140" t="s">
        <v>16</v>
      </c>
      <c r="D5680" s="140" t="s">
        <v>11</v>
      </c>
      <c r="E5680" s="140" t="s">
        <v>12</v>
      </c>
      <c r="F5680">
        <v>40973</v>
      </c>
      <c r="G5680" s="140" t="s">
        <v>291</v>
      </c>
      <c r="H5680">
        <v>0</v>
      </c>
      <c r="I5680" s="140" t="s">
        <v>17</v>
      </c>
    </row>
    <row r="5681" spans="1:9" hidden="1" x14ac:dyDescent="0.25">
      <c r="A5681">
        <v>2000</v>
      </c>
      <c r="B5681" s="140" t="s">
        <v>134</v>
      </c>
      <c r="C5681" s="140" t="s">
        <v>16</v>
      </c>
      <c r="D5681" s="140" t="s">
        <v>11</v>
      </c>
      <c r="E5681" s="140" t="s">
        <v>12</v>
      </c>
      <c r="F5681">
        <v>50408</v>
      </c>
      <c r="G5681" s="140" t="s">
        <v>291</v>
      </c>
      <c r="H5681">
        <v>0</v>
      </c>
      <c r="I5681" s="140" t="s">
        <v>17</v>
      </c>
    </row>
    <row r="5682" spans="1:9" hidden="1" x14ac:dyDescent="0.25">
      <c r="A5682">
        <v>2001</v>
      </c>
      <c r="B5682" s="140" t="s">
        <v>134</v>
      </c>
      <c r="C5682" s="140" t="s">
        <v>16</v>
      </c>
      <c r="D5682" s="140" t="s">
        <v>11</v>
      </c>
      <c r="E5682" s="140" t="s">
        <v>12</v>
      </c>
      <c r="F5682">
        <v>50516</v>
      </c>
      <c r="G5682" s="140" t="s">
        <v>291</v>
      </c>
      <c r="H5682">
        <v>0</v>
      </c>
      <c r="I5682" s="140" t="s">
        <v>17</v>
      </c>
    </row>
    <row r="5683" spans="1:9" hidden="1" x14ac:dyDescent="0.25">
      <c r="A5683">
        <v>2002</v>
      </c>
      <c r="B5683" s="140" t="s">
        <v>134</v>
      </c>
      <c r="C5683" s="140" t="s">
        <v>16</v>
      </c>
      <c r="D5683" s="140" t="s">
        <v>11</v>
      </c>
      <c r="E5683" s="140" t="s">
        <v>12</v>
      </c>
      <c r="F5683">
        <v>50785</v>
      </c>
      <c r="G5683" s="140" t="s">
        <v>291</v>
      </c>
      <c r="H5683">
        <v>0</v>
      </c>
      <c r="I5683" s="140" t="s">
        <v>17</v>
      </c>
    </row>
    <row r="5684" spans="1:9" hidden="1" x14ac:dyDescent="0.25">
      <c r="A5684">
        <v>2003</v>
      </c>
      <c r="B5684" s="140" t="s">
        <v>134</v>
      </c>
      <c r="C5684" s="140" t="s">
        <v>16</v>
      </c>
      <c r="D5684" s="140" t="s">
        <v>11</v>
      </c>
      <c r="E5684" s="140" t="s">
        <v>12</v>
      </c>
      <c r="F5684">
        <v>49466</v>
      </c>
      <c r="G5684" s="140" t="s">
        <v>291</v>
      </c>
      <c r="H5684">
        <v>0</v>
      </c>
      <c r="I5684" s="140" t="s">
        <v>17</v>
      </c>
    </row>
    <row r="5685" spans="1:9" hidden="1" x14ac:dyDescent="0.25">
      <c r="A5685">
        <v>2004</v>
      </c>
      <c r="B5685" s="140" t="s">
        <v>134</v>
      </c>
      <c r="C5685" s="140" t="s">
        <v>16</v>
      </c>
      <c r="D5685" s="140" t="s">
        <v>11</v>
      </c>
      <c r="E5685" s="140" t="s">
        <v>12</v>
      </c>
      <c r="F5685">
        <v>53271</v>
      </c>
      <c r="G5685" s="140" t="s">
        <v>291</v>
      </c>
      <c r="H5685">
        <v>0</v>
      </c>
      <c r="I5685" s="140" t="s">
        <v>17</v>
      </c>
    </row>
    <row r="5686" spans="1:9" hidden="1" x14ac:dyDescent="0.25">
      <c r="A5686">
        <v>2005</v>
      </c>
      <c r="B5686" s="140" t="s">
        <v>134</v>
      </c>
      <c r="C5686" s="140" t="s">
        <v>16</v>
      </c>
      <c r="D5686" s="140" t="s">
        <v>11</v>
      </c>
      <c r="E5686" s="140" t="s">
        <v>12</v>
      </c>
      <c r="F5686">
        <v>56897</v>
      </c>
      <c r="G5686" s="140" t="s">
        <v>291</v>
      </c>
      <c r="H5686">
        <v>0</v>
      </c>
      <c r="I5686" s="140" t="s">
        <v>17</v>
      </c>
    </row>
    <row r="5687" spans="1:9" hidden="1" x14ac:dyDescent="0.25">
      <c r="A5687">
        <v>2006</v>
      </c>
      <c r="B5687" s="140" t="s">
        <v>134</v>
      </c>
      <c r="C5687" s="140" t="s">
        <v>16</v>
      </c>
      <c r="D5687" s="140" t="s">
        <v>11</v>
      </c>
      <c r="E5687" s="140" t="s">
        <v>12</v>
      </c>
      <c r="F5687">
        <v>64993</v>
      </c>
      <c r="G5687" s="140" t="s">
        <v>291</v>
      </c>
      <c r="H5687">
        <v>0</v>
      </c>
      <c r="I5687" s="140" t="s">
        <v>17</v>
      </c>
    </row>
    <row r="5688" spans="1:9" hidden="1" x14ac:dyDescent="0.25">
      <c r="A5688">
        <v>2007</v>
      </c>
      <c r="B5688" s="140" t="s">
        <v>134</v>
      </c>
      <c r="C5688" s="140" t="s">
        <v>16</v>
      </c>
      <c r="D5688" s="140" t="s">
        <v>11</v>
      </c>
      <c r="E5688" s="140" t="s">
        <v>12</v>
      </c>
      <c r="F5688">
        <v>71714</v>
      </c>
      <c r="G5688" s="140" t="s">
        <v>291</v>
      </c>
      <c r="H5688">
        <v>0</v>
      </c>
      <c r="I5688" s="140" t="s">
        <v>17</v>
      </c>
    </row>
    <row r="5689" spans="1:9" hidden="1" x14ac:dyDescent="0.25">
      <c r="A5689">
        <v>2008</v>
      </c>
      <c r="B5689" s="140" t="s">
        <v>134</v>
      </c>
      <c r="C5689" s="140" t="s">
        <v>16</v>
      </c>
      <c r="D5689" s="140" t="s">
        <v>11</v>
      </c>
      <c r="E5689" s="140" t="s">
        <v>12</v>
      </c>
      <c r="F5689">
        <v>71310</v>
      </c>
      <c r="G5689" s="140" t="s">
        <v>291</v>
      </c>
      <c r="H5689">
        <v>0</v>
      </c>
      <c r="I5689" s="140" t="s">
        <v>17</v>
      </c>
    </row>
    <row r="5690" spans="1:9" hidden="1" x14ac:dyDescent="0.25">
      <c r="A5690">
        <v>2009</v>
      </c>
      <c r="B5690" s="140" t="s">
        <v>134</v>
      </c>
      <c r="C5690" s="140" t="s">
        <v>16</v>
      </c>
      <c r="D5690" s="140" t="s">
        <v>11</v>
      </c>
      <c r="E5690" s="140" t="s">
        <v>12</v>
      </c>
      <c r="F5690">
        <v>51257</v>
      </c>
      <c r="G5690" s="140" t="s">
        <v>291</v>
      </c>
      <c r="H5690">
        <v>0</v>
      </c>
      <c r="I5690" s="140" t="s">
        <v>17</v>
      </c>
    </row>
    <row r="5691" spans="1:9" hidden="1" x14ac:dyDescent="0.25">
      <c r="A5691">
        <v>2010</v>
      </c>
      <c r="B5691" s="140" t="s">
        <v>134</v>
      </c>
      <c r="C5691" s="140" t="s">
        <v>16</v>
      </c>
      <c r="D5691" s="140" t="s">
        <v>11</v>
      </c>
      <c r="E5691" s="140" t="s">
        <v>12</v>
      </c>
      <c r="F5691">
        <v>56514</v>
      </c>
      <c r="G5691" s="140" t="s">
        <v>291</v>
      </c>
      <c r="H5691">
        <v>0</v>
      </c>
      <c r="I5691" s="140" t="s">
        <v>17</v>
      </c>
    </row>
    <row r="5692" spans="1:9" hidden="1" x14ac:dyDescent="0.25">
      <c r="A5692">
        <v>2011</v>
      </c>
      <c r="B5692" s="140" t="s">
        <v>134</v>
      </c>
      <c r="C5692" s="140" t="s">
        <v>16</v>
      </c>
      <c r="D5692" s="140" t="s">
        <v>11</v>
      </c>
      <c r="E5692" s="140" t="s">
        <v>12</v>
      </c>
      <c r="F5692">
        <v>59370</v>
      </c>
      <c r="G5692" s="140" t="s">
        <v>291</v>
      </c>
      <c r="H5692">
        <v>0</v>
      </c>
      <c r="I5692" s="140" t="s">
        <v>17</v>
      </c>
    </row>
    <row r="5693" spans="1:9" hidden="1" x14ac:dyDescent="0.25">
      <c r="A5693">
        <v>2012</v>
      </c>
      <c r="B5693" s="140" t="s">
        <v>134</v>
      </c>
      <c r="C5693" s="140" t="s">
        <v>16</v>
      </c>
      <c r="D5693" s="140" t="s">
        <v>11</v>
      </c>
      <c r="E5693" s="140" t="s">
        <v>12</v>
      </c>
      <c r="F5693">
        <v>59482</v>
      </c>
      <c r="G5693" s="140" t="s">
        <v>291</v>
      </c>
      <c r="H5693">
        <v>0</v>
      </c>
      <c r="I5693" s="140" t="s">
        <v>17</v>
      </c>
    </row>
    <row r="5694" spans="1:9" hidden="1" x14ac:dyDescent="0.25">
      <c r="A5694">
        <v>2013</v>
      </c>
      <c r="B5694" s="140" t="s">
        <v>134</v>
      </c>
      <c r="C5694" s="140" t="s">
        <v>16</v>
      </c>
      <c r="D5694" s="140" t="s">
        <v>11</v>
      </c>
      <c r="E5694" s="140" t="s">
        <v>12</v>
      </c>
      <c r="F5694">
        <v>58586</v>
      </c>
      <c r="G5694" s="140" t="s">
        <v>291</v>
      </c>
      <c r="H5694">
        <v>0</v>
      </c>
      <c r="I5694" s="140" t="s">
        <v>17</v>
      </c>
    </row>
    <row r="5695" spans="1:9" hidden="1" x14ac:dyDescent="0.25">
      <c r="A5695">
        <v>2014</v>
      </c>
      <c r="B5695" s="140" t="s">
        <v>134</v>
      </c>
      <c r="C5695" s="140" t="s">
        <v>16</v>
      </c>
      <c r="D5695" s="140" t="s">
        <v>11</v>
      </c>
      <c r="E5695" s="140" t="s">
        <v>12</v>
      </c>
      <c r="F5695">
        <v>56060</v>
      </c>
      <c r="G5695" s="140" t="s">
        <v>291</v>
      </c>
      <c r="H5695">
        <v>0</v>
      </c>
      <c r="I5695" s="140" t="s">
        <v>17</v>
      </c>
    </row>
    <row r="5696" spans="1:9" hidden="1" x14ac:dyDescent="0.25">
      <c r="A5696">
        <v>2015</v>
      </c>
      <c r="B5696" s="140" t="s">
        <v>134</v>
      </c>
      <c r="C5696" s="140" t="s">
        <v>16</v>
      </c>
      <c r="D5696" s="140" t="s">
        <v>11</v>
      </c>
      <c r="E5696" s="140" t="s">
        <v>12</v>
      </c>
      <c r="F5696">
        <v>53014</v>
      </c>
      <c r="G5696" s="140" t="s">
        <v>291</v>
      </c>
      <c r="H5696">
        <v>0</v>
      </c>
      <c r="I5696" s="140" t="s">
        <v>17</v>
      </c>
    </row>
    <row r="5697" spans="1:9" hidden="1" x14ac:dyDescent="0.25">
      <c r="A5697">
        <v>2016</v>
      </c>
      <c r="B5697" s="140" t="s">
        <v>134</v>
      </c>
      <c r="C5697" s="140" t="s">
        <v>16</v>
      </c>
      <c r="D5697" s="140" t="s">
        <v>11</v>
      </c>
      <c r="E5697" s="140" t="s">
        <v>12</v>
      </c>
      <c r="F5697">
        <v>52724</v>
      </c>
      <c r="G5697" s="140" t="s">
        <v>291</v>
      </c>
      <c r="H5697">
        <v>0</v>
      </c>
      <c r="I5697" s="140" t="s">
        <v>17</v>
      </c>
    </row>
    <row r="5698" spans="1:9" hidden="1" x14ac:dyDescent="0.25">
      <c r="A5698">
        <v>2017</v>
      </c>
      <c r="B5698" s="140" t="s">
        <v>134</v>
      </c>
      <c r="C5698" s="140" t="s">
        <v>16</v>
      </c>
      <c r="D5698" s="140" t="s">
        <v>11</v>
      </c>
      <c r="E5698" s="140" t="s">
        <v>12</v>
      </c>
      <c r="F5698">
        <v>59456</v>
      </c>
      <c r="G5698" s="140" t="s">
        <v>291</v>
      </c>
      <c r="H5698">
        <v>0</v>
      </c>
      <c r="I5698" s="140" t="s">
        <v>17</v>
      </c>
    </row>
    <row r="5699" spans="1:9" hidden="1" x14ac:dyDescent="0.25">
      <c r="A5699">
        <v>2018</v>
      </c>
      <c r="B5699" s="140" t="s">
        <v>134</v>
      </c>
      <c r="C5699" s="140" t="s">
        <v>16</v>
      </c>
      <c r="D5699" s="140" t="s">
        <v>11</v>
      </c>
      <c r="E5699" s="140" t="s">
        <v>12</v>
      </c>
      <c r="F5699">
        <v>62927</v>
      </c>
      <c r="G5699" s="140" t="s">
        <v>291</v>
      </c>
      <c r="H5699">
        <v>0</v>
      </c>
      <c r="I5699" s="140" t="s">
        <v>17</v>
      </c>
    </row>
    <row r="5700" spans="1:9" hidden="1" x14ac:dyDescent="0.25">
      <c r="A5700">
        <v>2019</v>
      </c>
      <c r="B5700" s="140" t="s">
        <v>134</v>
      </c>
      <c r="C5700" s="140" t="s">
        <v>16</v>
      </c>
      <c r="D5700" s="140" t="s">
        <v>11</v>
      </c>
      <c r="E5700" s="140" t="s">
        <v>12</v>
      </c>
      <c r="F5700">
        <v>64926</v>
      </c>
      <c r="G5700" s="140" t="s">
        <v>291</v>
      </c>
      <c r="H5700">
        <v>0</v>
      </c>
      <c r="I5700" s="140" t="s">
        <v>17</v>
      </c>
    </row>
    <row r="5701" spans="1:9" hidden="1" x14ac:dyDescent="0.25">
      <c r="A5701">
        <v>2020</v>
      </c>
      <c r="B5701" s="140" t="s">
        <v>134</v>
      </c>
      <c r="C5701" s="140" t="s">
        <v>16</v>
      </c>
      <c r="D5701" s="140" t="s">
        <v>11</v>
      </c>
      <c r="E5701" s="140" t="s">
        <v>12</v>
      </c>
      <c r="F5701">
        <v>58957</v>
      </c>
      <c r="G5701" s="140" t="s">
        <v>291</v>
      </c>
      <c r="H5701">
        <v>0</v>
      </c>
      <c r="I5701" s="140" t="s">
        <v>17</v>
      </c>
    </row>
    <row r="5702" spans="1:9" hidden="1" x14ac:dyDescent="0.25">
      <c r="A5702">
        <v>2021</v>
      </c>
      <c r="B5702" s="140" t="s">
        <v>134</v>
      </c>
      <c r="C5702" s="140" t="s">
        <v>16</v>
      </c>
      <c r="D5702" s="140" t="s">
        <v>11</v>
      </c>
      <c r="E5702" s="140" t="s">
        <v>12</v>
      </c>
      <c r="F5702">
        <v>70236</v>
      </c>
      <c r="G5702" s="140" t="s">
        <v>291</v>
      </c>
      <c r="H5702">
        <v>0</v>
      </c>
      <c r="I5702" s="140" t="s">
        <v>17</v>
      </c>
    </row>
    <row r="5703" spans="1:9" hidden="1" x14ac:dyDescent="0.25">
      <c r="A5703">
        <v>2022</v>
      </c>
      <c r="B5703" s="140" t="s">
        <v>134</v>
      </c>
      <c r="C5703" s="140" t="s">
        <v>16</v>
      </c>
      <c r="D5703" s="140" t="s">
        <v>11</v>
      </c>
      <c r="E5703" s="140" t="s">
        <v>12</v>
      </c>
      <c r="F5703">
        <v>88574</v>
      </c>
      <c r="G5703" s="140" t="s">
        <v>291</v>
      </c>
      <c r="H5703">
        <v>0</v>
      </c>
      <c r="I5703" s="140" t="s">
        <v>17</v>
      </c>
    </row>
    <row r="5704" spans="1:9" hidden="1" x14ac:dyDescent="0.25">
      <c r="A5704">
        <v>2023</v>
      </c>
      <c r="B5704" s="140" t="s">
        <v>134</v>
      </c>
      <c r="C5704" s="140" t="s">
        <v>16</v>
      </c>
      <c r="D5704" s="140" t="s">
        <v>11</v>
      </c>
      <c r="E5704" s="140" t="s">
        <v>12</v>
      </c>
      <c r="F5704">
        <v>82759</v>
      </c>
      <c r="G5704" s="140" t="s">
        <v>291</v>
      </c>
      <c r="H5704">
        <v>0</v>
      </c>
      <c r="I5704" s="140" t="s">
        <v>17</v>
      </c>
    </row>
    <row r="5705" spans="1:9" hidden="1" x14ac:dyDescent="0.25">
      <c r="A5705">
        <v>2024</v>
      </c>
      <c r="B5705" s="140" t="s">
        <v>134</v>
      </c>
      <c r="C5705" s="140" t="s">
        <v>16</v>
      </c>
      <c r="D5705" s="140" t="s">
        <v>11</v>
      </c>
      <c r="E5705" s="140" t="s">
        <v>12</v>
      </c>
      <c r="F5705">
        <v>76415</v>
      </c>
      <c r="G5705" s="140" t="s">
        <v>291</v>
      </c>
      <c r="H5705">
        <v>0</v>
      </c>
      <c r="I5705" s="140" t="s">
        <v>17</v>
      </c>
    </row>
    <row r="5706" spans="1:9" hidden="1" x14ac:dyDescent="0.25">
      <c r="A5706">
        <v>2025</v>
      </c>
      <c r="B5706" s="140" t="s">
        <v>134</v>
      </c>
      <c r="C5706" s="140" t="s">
        <v>16</v>
      </c>
      <c r="D5706" s="140" t="s">
        <v>11</v>
      </c>
      <c r="E5706" s="140" t="s">
        <v>12</v>
      </c>
      <c r="F5706">
        <v>80889</v>
      </c>
      <c r="G5706" s="140" t="s">
        <v>291</v>
      </c>
      <c r="H5706">
        <v>0</v>
      </c>
      <c r="I5706" s="140" t="s">
        <v>17</v>
      </c>
    </row>
    <row r="5707" spans="1:9" hidden="1" x14ac:dyDescent="0.25">
      <c r="A5707">
        <v>2026</v>
      </c>
      <c r="B5707" s="140" t="s">
        <v>134</v>
      </c>
      <c r="C5707" s="140" t="s">
        <v>16</v>
      </c>
      <c r="D5707" s="140" t="s">
        <v>11</v>
      </c>
      <c r="E5707" s="140" t="s">
        <v>12</v>
      </c>
      <c r="F5707">
        <v>87309.726150000002</v>
      </c>
      <c r="G5707" s="140" t="s">
        <v>291</v>
      </c>
      <c r="H5707">
        <v>0</v>
      </c>
      <c r="I5707" s="140" t="s">
        <v>17</v>
      </c>
    </row>
    <row r="5708" spans="1:9" hidden="1" x14ac:dyDescent="0.25">
      <c r="A5708">
        <v>2027</v>
      </c>
      <c r="B5708" s="140" t="s">
        <v>134</v>
      </c>
      <c r="C5708" s="140" t="s">
        <v>16</v>
      </c>
      <c r="D5708" s="140" t="s">
        <v>11</v>
      </c>
      <c r="E5708" s="140" t="s">
        <v>12</v>
      </c>
      <c r="F5708">
        <v>90214.695359999998</v>
      </c>
      <c r="G5708" s="140" t="s">
        <v>291</v>
      </c>
      <c r="H5708">
        <v>0</v>
      </c>
      <c r="I5708" s="140" t="s">
        <v>17</v>
      </c>
    </row>
    <row r="5709" spans="1:9" hidden="1" x14ac:dyDescent="0.25">
      <c r="A5709">
        <v>2028</v>
      </c>
      <c r="B5709" s="140" t="s">
        <v>134</v>
      </c>
      <c r="C5709" s="140" t="s">
        <v>16</v>
      </c>
      <c r="D5709" s="140" t="s">
        <v>11</v>
      </c>
      <c r="E5709" s="140" t="s">
        <v>12</v>
      </c>
      <c r="F5709">
        <v>93307.976840000003</v>
      </c>
      <c r="G5709" s="140" t="s">
        <v>291</v>
      </c>
      <c r="H5709">
        <v>0</v>
      </c>
      <c r="I5709" s="140" t="s">
        <v>17</v>
      </c>
    </row>
    <row r="5710" spans="1:9" hidden="1" x14ac:dyDescent="0.25">
      <c r="A5710">
        <v>1990</v>
      </c>
      <c r="B5710" s="140" t="s">
        <v>135</v>
      </c>
      <c r="C5710" s="140" t="s">
        <v>16</v>
      </c>
      <c r="D5710" s="140" t="s">
        <v>11</v>
      </c>
      <c r="E5710" s="140" t="s">
        <v>12</v>
      </c>
      <c r="F5710">
        <v>3025</v>
      </c>
      <c r="G5710" s="140" t="s">
        <v>292</v>
      </c>
      <c r="H5710">
        <v>0</v>
      </c>
      <c r="I5710" s="140" t="s">
        <v>17</v>
      </c>
    </row>
    <row r="5711" spans="1:9" hidden="1" x14ac:dyDescent="0.25">
      <c r="A5711">
        <v>1991</v>
      </c>
      <c r="B5711" s="140" t="s">
        <v>135</v>
      </c>
      <c r="C5711" s="140" t="s">
        <v>16</v>
      </c>
      <c r="D5711" s="140" t="s">
        <v>11</v>
      </c>
      <c r="E5711" s="140" t="s">
        <v>12</v>
      </c>
      <c r="F5711">
        <v>2791</v>
      </c>
      <c r="G5711" s="140" t="s">
        <v>292</v>
      </c>
      <c r="H5711">
        <v>0</v>
      </c>
      <c r="I5711" s="140" t="s">
        <v>17</v>
      </c>
    </row>
    <row r="5712" spans="1:9" hidden="1" x14ac:dyDescent="0.25">
      <c r="A5712">
        <v>1992</v>
      </c>
      <c r="B5712" s="140" t="s">
        <v>135</v>
      </c>
      <c r="C5712" s="140" t="s">
        <v>16</v>
      </c>
      <c r="D5712" s="140" t="s">
        <v>11</v>
      </c>
      <c r="E5712" s="140" t="s">
        <v>12</v>
      </c>
      <c r="F5712">
        <v>3496</v>
      </c>
      <c r="G5712" s="140" t="s">
        <v>292</v>
      </c>
      <c r="H5712">
        <v>0</v>
      </c>
      <c r="I5712" s="140" t="s">
        <v>17</v>
      </c>
    </row>
    <row r="5713" spans="1:9" hidden="1" x14ac:dyDescent="0.25">
      <c r="A5713">
        <v>1993</v>
      </c>
      <c r="B5713" s="140" t="s">
        <v>135</v>
      </c>
      <c r="C5713" s="140" t="s">
        <v>16</v>
      </c>
      <c r="D5713" s="140" t="s">
        <v>11</v>
      </c>
      <c r="E5713" s="140" t="s">
        <v>12</v>
      </c>
      <c r="F5713">
        <v>4238</v>
      </c>
      <c r="G5713" s="140" t="s">
        <v>292</v>
      </c>
      <c r="H5713">
        <v>0</v>
      </c>
      <c r="I5713" s="140" t="s">
        <v>17</v>
      </c>
    </row>
    <row r="5714" spans="1:9" hidden="1" x14ac:dyDescent="0.25">
      <c r="A5714">
        <v>1994</v>
      </c>
      <c r="B5714" s="140" t="s">
        <v>135</v>
      </c>
      <c r="C5714" s="140" t="s">
        <v>16</v>
      </c>
      <c r="D5714" s="140" t="s">
        <v>11</v>
      </c>
      <c r="E5714" s="140" t="s">
        <v>12</v>
      </c>
      <c r="F5714">
        <v>4843</v>
      </c>
      <c r="G5714" s="140" t="s">
        <v>292</v>
      </c>
      <c r="H5714">
        <v>0</v>
      </c>
      <c r="I5714" s="140" t="s">
        <v>17</v>
      </c>
    </row>
    <row r="5715" spans="1:9" hidden="1" x14ac:dyDescent="0.25">
      <c r="A5715">
        <v>1995</v>
      </c>
      <c r="B5715" s="140" t="s">
        <v>135</v>
      </c>
      <c r="C5715" s="140" t="s">
        <v>16</v>
      </c>
      <c r="D5715" s="140" t="s">
        <v>11</v>
      </c>
      <c r="E5715" s="140" t="s">
        <v>12</v>
      </c>
      <c r="F5715">
        <v>5467</v>
      </c>
      <c r="G5715" s="140" t="s">
        <v>292</v>
      </c>
      <c r="H5715">
        <v>0</v>
      </c>
      <c r="I5715" s="140" t="s">
        <v>17</v>
      </c>
    </row>
    <row r="5716" spans="1:9" hidden="1" x14ac:dyDescent="0.25">
      <c r="A5716">
        <v>1996</v>
      </c>
      <c r="B5716" s="140" t="s">
        <v>135</v>
      </c>
      <c r="C5716" s="140" t="s">
        <v>16</v>
      </c>
      <c r="D5716" s="140" t="s">
        <v>11</v>
      </c>
      <c r="E5716" s="140" t="s">
        <v>12</v>
      </c>
      <c r="F5716">
        <v>5558</v>
      </c>
      <c r="G5716" s="140" t="s">
        <v>292</v>
      </c>
      <c r="H5716">
        <v>0</v>
      </c>
      <c r="I5716" s="140" t="s">
        <v>17</v>
      </c>
    </row>
    <row r="5717" spans="1:9" hidden="1" x14ac:dyDescent="0.25">
      <c r="A5717">
        <v>1997</v>
      </c>
      <c r="B5717" s="140" t="s">
        <v>135</v>
      </c>
      <c r="C5717" s="140" t="s">
        <v>16</v>
      </c>
      <c r="D5717" s="140" t="s">
        <v>11</v>
      </c>
      <c r="E5717" s="140" t="s">
        <v>12</v>
      </c>
      <c r="F5717">
        <v>5871</v>
      </c>
      <c r="G5717" s="140" t="s">
        <v>292</v>
      </c>
      <c r="H5717">
        <v>0</v>
      </c>
      <c r="I5717" s="140" t="s">
        <v>17</v>
      </c>
    </row>
    <row r="5718" spans="1:9" hidden="1" x14ac:dyDescent="0.25">
      <c r="A5718">
        <v>1998</v>
      </c>
      <c r="B5718" s="140" t="s">
        <v>135</v>
      </c>
      <c r="C5718" s="140" t="s">
        <v>16</v>
      </c>
      <c r="D5718" s="140" t="s">
        <v>11</v>
      </c>
      <c r="E5718" s="140" t="s">
        <v>12</v>
      </c>
      <c r="F5718">
        <v>6090</v>
      </c>
      <c r="G5718" s="140" t="s">
        <v>292</v>
      </c>
      <c r="H5718">
        <v>0</v>
      </c>
      <c r="I5718" s="140" t="s">
        <v>17</v>
      </c>
    </row>
    <row r="5719" spans="1:9" hidden="1" x14ac:dyDescent="0.25">
      <c r="A5719">
        <v>1999</v>
      </c>
      <c r="B5719" s="140" t="s">
        <v>135</v>
      </c>
      <c r="C5719" s="140" t="s">
        <v>16</v>
      </c>
      <c r="D5719" s="140" t="s">
        <v>11</v>
      </c>
      <c r="E5719" s="140" t="s">
        <v>12</v>
      </c>
      <c r="F5719">
        <v>6753</v>
      </c>
      <c r="G5719" s="140" t="s">
        <v>292</v>
      </c>
      <c r="H5719">
        <v>0</v>
      </c>
      <c r="I5719" s="140" t="s">
        <v>17</v>
      </c>
    </row>
    <row r="5720" spans="1:9" hidden="1" x14ac:dyDescent="0.25">
      <c r="A5720">
        <v>2000</v>
      </c>
      <c r="B5720" s="140" t="s">
        <v>135</v>
      </c>
      <c r="C5720" s="140" t="s">
        <v>16</v>
      </c>
      <c r="D5720" s="140" t="s">
        <v>11</v>
      </c>
      <c r="E5720" s="140" t="s">
        <v>12</v>
      </c>
      <c r="F5720">
        <v>6940</v>
      </c>
      <c r="G5720" s="140" t="s">
        <v>292</v>
      </c>
      <c r="H5720">
        <v>0</v>
      </c>
      <c r="I5720" s="140" t="s">
        <v>17</v>
      </c>
    </row>
    <row r="5721" spans="1:9" hidden="1" x14ac:dyDescent="0.25">
      <c r="A5721">
        <v>2001</v>
      </c>
      <c r="B5721" s="140" t="s">
        <v>135</v>
      </c>
      <c r="C5721" s="140" t="s">
        <v>16</v>
      </c>
      <c r="D5721" s="140" t="s">
        <v>11</v>
      </c>
      <c r="E5721" s="140" t="s">
        <v>12</v>
      </c>
      <c r="F5721">
        <v>6994</v>
      </c>
      <c r="G5721" s="140" t="s">
        <v>292</v>
      </c>
      <c r="H5721">
        <v>0</v>
      </c>
      <c r="I5721" s="140" t="s">
        <v>17</v>
      </c>
    </row>
    <row r="5722" spans="1:9" hidden="1" x14ac:dyDescent="0.25">
      <c r="A5722">
        <v>2002</v>
      </c>
      <c r="B5722" s="140" t="s">
        <v>135</v>
      </c>
      <c r="C5722" s="140" t="s">
        <v>16</v>
      </c>
      <c r="D5722" s="140" t="s">
        <v>11</v>
      </c>
      <c r="E5722" s="140" t="s">
        <v>12</v>
      </c>
      <c r="F5722">
        <v>7325</v>
      </c>
      <c r="G5722" s="140" t="s">
        <v>292</v>
      </c>
      <c r="H5722">
        <v>0</v>
      </c>
      <c r="I5722" s="140" t="s">
        <v>17</v>
      </c>
    </row>
    <row r="5723" spans="1:9" hidden="1" x14ac:dyDescent="0.25">
      <c r="A5723">
        <v>2003</v>
      </c>
      <c r="B5723" s="140" t="s">
        <v>135</v>
      </c>
      <c r="C5723" s="140" t="s">
        <v>16</v>
      </c>
      <c r="D5723" s="140" t="s">
        <v>11</v>
      </c>
      <c r="E5723" s="140" t="s">
        <v>12</v>
      </c>
      <c r="F5723">
        <v>7168</v>
      </c>
      <c r="G5723" s="140" t="s">
        <v>292</v>
      </c>
      <c r="H5723">
        <v>0</v>
      </c>
      <c r="I5723" s="140" t="s">
        <v>17</v>
      </c>
    </row>
    <row r="5724" spans="1:9" hidden="1" x14ac:dyDescent="0.25">
      <c r="A5724">
        <v>2004</v>
      </c>
      <c r="B5724" s="140" t="s">
        <v>135</v>
      </c>
      <c r="C5724" s="140" t="s">
        <v>16</v>
      </c>
      <c r="D5724" s="140" t="s">
        <v>11</v>
      </c>
      <c r="E5724" s="140" t="s">
        <v>12</v>
      </c>
      <c r="F5724">
        <v>8034</v>
      </c>
      <c r="G5724" s="140" t="s">
        <v>292</v>
      </c>
      <c r="H5724">
        <v>0</v>
      </c>
      <c r="I5724" s="140" t="s">
        <v>17</v>
      </c>
    </row>
    <row r="5725" spans="1:9" hidden="1" x14ac:dyDescent="0.25">
      <c r="A5725">
        <v>2005</v>
      </c>
      <c r="B5725" s="140" t="s">
        <v>135</v>
      </c>
      <c r="C5725" s="140" t="s">
        <v>16</v>
      </c>
      <c r="D5725" s="140" t="s">
        <v>11</v>
      </c>
      <c r="E5725" s="140" t="s">
        <v>12</v>
      </c>
      <c r="F5725">
        <v>9428</v>
      </c>
      <c r="G5725" s="140" t="s">
        <v>292</v>
      </c>
      <c r="H5725">
        <v>0</v>
      </c>
      <c r="I5725" s="140" t="s">
        <v>17</v>
      </c>
    </row>
    <row r="5726" spans="1:9" hidden="1" x14ac:dyDescent="0.25">
      <c r="A5726">
        <v>2006</v>
      </c>
      <c r="B5726" s="140" t="s">
        <v>135</v>
      </c>
      <c r="C5726" s="140" t="s">
        <v>16</v>
      </c>
      <c r="D5726" s="140" t="s">
        <v>11</v>
      </c>
      <c r="E5726" s="140" t="s">
        <v>12</v>
      </c>
      <c r="F5726">
        <v>9481</v>
      </c>
      <c r="G5726" s="140" t="s">
        <v>292</v>
      </c>
      <c r="H5726">
        <v>0</v>
      </c>
      <c r="I5726" s="140" t="s">
        <v>17</v>
      </c>
    </row>
    <row r="5727" spans="1:9" hidden="1" x14ac:dyDescent="0.25">
      <c r="A5727">
        <v>2007</v>
      </c>
      <c r="B5727" s="140" t="s">
        <v>135</v>
      </c>
      <c r="C5727" s="140" t="s">
        <v>16</v>
      </c>
      <c r="D5727" s="140" t="s">
        <v>11</v>
      </c>
      <c r="E5727" s="140" t="s">
        <v>12</v>
      </c>
      <c r="F5727">
        <v>10272</v>
      </c>
      <c r="G5727" s="140" t="s">
        <v>292</v>
      </c>
      <c r="H5727">
        <v>0</v>
      </c>
      <c r="I5727" s="140" t="s">
        <v>17</v>
      </c>
    </row>
    <row r="5728" spans="1:9" hidden="1" x14ac:dyDescent="0.25">
      <c r="A5728">
        <v>2008</v>
      </c>
      <c r="B5728" s="140" t="s">
        <v>135</v>
      </c>
      <c r="C5728" s="140" t="s">
        <v>16</v>
      </c>
      <c r="D5728" s="140" t="s">
        <v>11</v>
      </c>
      <c r="E5728" s="140" t="s">
        <v>12</v>
      </c>
      <c r="F5728">
        <v>15915</v>
      </c>
      <c r="G5728" s="140" t="s">
        <v>292</v>
      </c>
      <c r="H5728">
        <v>0</v>
      </c>
      <c r="I5728" s="140" t="s">
        <v>17</v>
      </c>
    </row>
    <row r="5729" spans="1:9" hidden="1" x14ac:dyDescent="0.25">
      <c r="A5729">
        <v>2009</v>
      </c>
      <c r="B5729" s="140" t="s">
        <v>135</v>
      </c>
      <c r="C5729" s="140" t="s">
        <v>16</v>
      </c>
      <c r="D5729" s="140" t="s">
        <v>11</v>
      </c>
      <c r="E5729" s="140" t="s">
        <v>12</v>
      </c>
      <c r="F5729">
        <v>14319</v>
      </c>
      <c r="G5729" s="140" t="s">
        <v>292</v>
      </c>
      <c r="H5729">
        <v>0</v>
      </c>
      <c r="I5729" s="140" t="s">
        <v>17</v>
      </c>
    </row>
    <row r="5730" spans="1:9" hidden="1" x14ac:dyDescent="0.25">
      <c r="A5730">
        <v>2010</v>
      </c>
      <c r="B5730" s="140" t="s">
        <v>135</v>
      </c>
      <c r="C5730" s="140" t="s">
        <v>16</v>
      </c>
      <c r="D5730" s="140" t="s">
        <v>11</v>
      </c>
      <c r="E5730" s="140" t="s">
        <v>12</v>
      </c>
      <c r="F5730">
        <v>15759</v>
      </c>
      <c r="G5730" s="140" t="s">
        <v>292</v>
      </c>
      <c r="H5730">
        <v>0</v>
      </c>
      <c r="I5730" s="140" t="s">
        <v>17</v>
      </c>
    </row>
    <row r="5731" spans="1:9" hidden="1" x14ac:dyDescent="0.25">
      <c r="A5731">
        <v>2011</v>
      </c>
      <c r="B5731" s="140" t="s">
        <v>135</v>
      </c>
      <c r="C5731" s="140" t="s">
        <v>16</v>
      </c>
      <c r="D5731" s="140" t="s">
        <v>11</v>
      </c>
      <c r="E5731" s="140" t="s">
        <v>12</v>
      </c>
      <c r="F5731">
        <v>17651</v>
      </c>
      <c r="G5731" s="140" t="s">
        <v>292</v>
      </c>
      <c r="H5731">
        <v>0</v>
      </c>
      <c r="I5731" s="140" t="s">
        <v>17</v>
      </c>
    </row>
    <row r="5732" spans="1:9" hidden="1" x14ac:dyDescent="0.25">
      <c r="A5732">
        <v>2012</v>
      </c>
      <c r="B5732" s="140" t="s">
        <v>135</v>
      </c>
      <c r="C5732" s="140" t="s">
        <v>16</v>
      </c>
      <c r="D5732" s="140" t="s">
        <v>11</v>
      </c>
      <c r="E5732" s="140" t="s">
        <v>12</v>
      </c>
      <c r="F5732">
        <v>18535</v>
      </c>
      <c r="G5732" s="140" t="s">
        <v>292</v>
      </c>
      <c r="H5732">
        <v>0</v>
      </c>
      <c r="I5732" s="140" t="s">
        <v>17</v>
      </c>
    </row>
    <row r="5733" spans="1:9" hidden="1" x14ac:dyDescent="0.25">
      <c r="A5733">
        <v>2013</v>
      </c>
      <c r="B5733" s="140" t="s">
        <v>135</v>
      </c>
      <c r="C5733" s="140" t="s">
        <v>16</v>
      </c>
      <c r="D5733" s="140" t="s">
        <v>11</v>
      </c>
      <c r="E5733" s="140" t="s">
        <v>12</v>
      </c>
      <c r="F5733">
        <v>19252</v>
      </c>
      <c r="G5733" s="140" t="s">
        <v>292</v>
      </c>
      <c r="H5733">
        <v>0</v>
      </c>
      <c r="I5733" s="140" t="s">
        <v>17</v>
      </c>
    </row>
    <row r="5734" spans="1:9" hidden="1" x14ac:dyDescent="0.25">
      <c r="A5734">
        <v>2014</v>
      </c>
      <c r="B5734" s="140" t="s">
        <v>135</v>
      </c>
      <c r="C5734" s="140" t="s">
        <v>16</v>
      </c>
      <c r="D5734" s="140" t="s">
        <v>11</v>
      </c>
      <c r="E5734" s="140" t="s">
        <v>12</v>
      </c>
      <c r="F5734">
        <v>19707</v>
      </c>
      <c r="G5734" s="140" t="s">
        <v>292</v>
      </c>
      <c r="H5734">
        <v>0</v>
      </c>
      <c r="I5734" s="140" t="s">
        <v>17</v>
      </c>
    </row>
    <row r="5735" spans="1:9" hidden="1" x14ac:dyDescent="0.25">
      <c r="A5735">
        <v>2015</v>
      </c>
      <c r="B5735" s="140" t="s">
        <v>135</v>
      </c>
      <c r="C5735" s="140" t="s">
        <v>16</v>
      </c>
      <c r="D5735" s="140" t="s">
        <v>11</v>
      </c>
      <c r="E5735" s="140" t="s">
        <v>12</v>
      </c>
      <c r="F5735">
        <v>22196</v>
      </c>
      <c r="G5735" s="140" t="s">
        <v>292</v>
      </c>
      <c r="H5735">
        <v>0</v>
      </c>
      <c r="I5735" s="140" t="s">
        <v>17</v>
      </c>
    </row>
    <row r="5736" spans="1:9" hidden="1" x14ac:dyDescent="0.25">
      <c r="A5736">
        <v>2016</v>
      </c>
      <c r="B5736" s="140" t="s">
        <v>135</v>
      </c>
      <c r="C5736" s="140" t="s">
        <v>16</v>
      </c>
      <c r="D5736" s="140" t="s">
        <v>11</v>
      </c>
      <c r="E5736" s="140" t="s">
        <v>12</v>
      </c>
      <c r="F5736">
        <v>23496</v>
      </c>
      <c r="G5736" s="140" t="s">
        <v>292</v>
      </c>
      <c r="H5736">
        <v>0</v>
      </c>
      <c r="I5736" s="140" t="s">
        <v>17</v>
      </c>
    </row>
    <row r="5737" spans="1:9" hidden="1" x14ac:dyDescent="0.25">
      <c r="A5737">
        <v>2017</v>
      </c>
      <c r="B5737" s="140" t="s">
        <v>135</v>
      </c>
      <c r="C5737" s="140" t="s">
        <v>16</v>
      </c>
      <c r="D5737" s="140" t="s">
        <v>11</v>
      </c>
      <c r="E5737" s="140" t="s">
        <v>12</v>
      </c>
      <c r="F5737">
        <v>26306</v>
      </c>
      <c r="G5737" s="140" t="s">
        <v>292</v>
      </c>
      <c r="H5737">
        <v>0</v>
      </c>
      <c r="I5737" s="140" t="s">
        <v>17</v>
      </c>
    </row>
    <row r="5738" spans="1:9" hidden="1" x14ac:dyDescent="0.25">
      <c r="A5738">
        <v>2018</v>
      </c>
      <c r="B5738" s="140" t="s">
        <v>135</v>
      </c>
      <c r="C5738" s="140" t="s">
        <v>16</v>
      </c>
      <c r="D5738" s="140" t="s">
        <v>11</v>
      </c>
      <c r="E5738" s="140" t="s">
        <v>12</v>
      </c>
      <c r="F5738">
        <v>27862</v>
      </c>
      <c r="G5738" s="140" t="s">
        <v>292</v>
      </c>
      <c r="H5738">
        <v>0</v>
      </c>
      <c r="I5738" s="140" t="s">
        <v>17</v>
      </c>
    </row>
    <row r="5739" spans="1:9" hidden="1" x14ac:dyDescent="0.25">
      <c r="A5739">
        <v>2019</v>
      </c>
      <c r="B5739" s="140" t="s">
        <v>135</v>
      </c>
      <c r="C5739" s="140" t="s">
        <v>16</v>
      </c>
      <c r="D5739" s="140" t="s">
        <v>11</v>
      </c>
      <c r="E5739" s="140" t="s">
        <v>12</v>
      </c>
      <c r="F5739">
        <v>31956</v>
      </c>
      <c r="G5739" s="140" t="s">
        <v>292</v>
      </c>
      <c r="H5739">
        <v>0</v>
      </c>
      <c r="I5739" s="140" t="s">
        <v>17</v>
      </c>
    </row>
    <row r="5740" spans="1:9" hidden="1" x14ac:dyDescent="0.25">
      <c r="A5740">
        <v>2020</v>
      </c>
      <c r="B5740" s="140" t="s">
        <v>135</v>
      </c>
      <c r="C5740" s="140" t="s">
        <v>16</v>
      </c>
      <c r="D5740" s="140" t="s">
        <v>11</v>
      </c>
      <c r="E5740" s="140" t="s">
        <v>12</v>
      </c>
      <c r="F5740">
        <v>26649</v>
      </c>
      <c r="G5740" s="140" t="s">
        <v>292</v>
      </c>
      <c r="H5740">
        <v>0</v>
      </c>
      <c r="I5740" s="140" t="s">
        <v>17</v>
      </c>
    </row>
    <row r="5741" spans="1:9" hidden="1" x14ac:dyDescent="0.25">
      <c r="A5741">
        <v>2021</v>
      </c>
      <c r="B5741" s="140" t="s">
        <v>135</v>
      </c>
      <c r="C5741" s="140" t="s">
        <v>16</v>
      </c>
      <c r="D5741" s="140" t="s">
        <v>11</v>
      </c>
      <c r="E5741" s="140" t="s">
        <v>12</v>
      </c>
      <c r="F5741">
        <v>29075</v>
      </c>
      <c r="G5741" s="140" t="s">
        <v>292</v>
      </c>
      <c r="H5741">
        <v>0</v>
      </c>
      <c r="I5741" s="140" t="s">
        <v>17</v>
      </c>
    </row>
    <row r="5742" spans="1:9" hidden="1" x14ac:dyDescent="0.25">
      <c r="A5742">
        <v>2022</v>
      </c>
      <c r="B5742" s="140" t="s">
        <v>135</v>
      </c>
      <c r="C5742" s="140" t="s">
        <v>16</v>
      </c>
      <c r="D5742" s="140" t="s">
        <v>11</v>
      </c>
      <c r="E5742" s="140" t="s">
        <v>12</v>
      </c>
      <c r="F5742">
        <v>34321</v>
      </c>
      <c r="G5742" s="140" t="s">
        <v>292</v>
      </c>
      <c r="H5742">
        <v>0</v>
      </c>
      <c r="I5742" s="140" t="s">
        <v>17</v>
      </c>
    </row>
    <row r="5743" spans="1:9" hidden="1" x14ac:dyDescent="0.25">
      <c r="A5743">
        <v>2023</v>
      </c>
      <c r="B5743" s="140" t="s">
        <v>135</v>
      </c>
      <c r="C5743" s="140" t="s">
        <v>16</v>
      </c>
      <c r="D5743" s="140" t="s">
        <v>11</v>
      </c>
      <c r="E5743" s="140" t="s">
        <v>12</v>
      </c>
      <c r="F5743">
        <v>34121</v>
      </c>
      <c r="G5743" s="140" t="s">
        <v>292</v>
      </c>
      <c r="H5743">
        <v>0</v>
      </c>
      <c r="I5743" s="140" t="s">
        <v>17</v>
      </c>
    </row>
    <row r="5744" spans="1:9" hidden="1" x14ac:dyDescent="0.25">
      <c r="A5744">
        <v>2024</v>
      </c>
      <c r="B5744" s="140" t="s">
        <v>135</v>
      </c>
      <c r="C5744" s="140" t="s">
        <v>16</v>
      </c>
      <c r="D5744" s="140" t="s">
        <v>11</v>
      </c>
      <c r="E5744" s="140" t="s">
        <v>12</v>
      </c>
      <c r="F5744">
        <v>38408</v>
      </c>
      <c r="G5744" s="140" t="s">
        <v>292</v>
      </c>
      <c r="H5744">
        <v>0</v>
      </c>
      <c r="I5744" s="140" t="s">
        <v>17</v>
      </c>
    </row>
    <row r="5745" spans="1:9" hidden="1" x14ac:dyDescent="0.25">
      <c r="A5745">
        <v>2025</v>
      </c>
      <c r="B5745" s="140" t="s">
        <v>135</v>
      </c>
      <c r="C5745" s="140" t="s">
        <v>16</v>
      </c>
      <c r="D5745" s="140" t="s">
        <v>11</v>
      </c>
      <c r="E5745" s="140" t="s">
        <v>12</v>
      </c>
      <c r="F5745">
        <v>39851</v>
      </c>
      <c r="G5745" s="140" t="s">
        <v>292</v>
      </c>
      <c r="H5745">
        <v>0</v>
      </c>
      <c r="I5745" s="140" t="s">
        <v>17</v>
      </c>
    </row>
    <row r="5746" spans="1:9" hidden="1" x14ac:dyDescent="0.25">
      <c r="A5746">
        <v>2026</v>
      </c>
      <c r="B5746" s="140" t="s">
        <v>135</v>
      </c>
      <c r="C5746" s="140" t="s">
        <v>16</v>
      </c>
      <c r="D5746" s="140" t="s">
        <v>11</v>
      </c>
      <c r="E5746" s="140" t="s">
        <v>12</v>
      </c>
      <c r="F5746">
        <v>40772.753629999999</v>
      </c>
      <c r="G5746" s="140" t="s">
        <v>292</v>
      </c>
      <c r="H5746">
        <v>0</v>
      </c>
      <c r="I5746" s="140" t="s">
        <v>17</v>
      </c>
    </row>
    <row r="5747" spans="1:9" hidden="1" x14ac:dyDescent="0.25">
      <c r="A5747">
        <v>2027</v>
      </c>
      <c r="B5747" s="140" t="s">
        <v>135</v>
      </c>
      <c r="C5747" s="140" t="s">
        <v>16</v>
      </c>
      <c r="D5747" s="140" t="s">
        <v>11</v>
      </c>
      <c r="E5747" s="140" t="s">
        <v>12</v>
      </c>
      <c r="F5747">
        <v>42005.069340000002</v>
      </c>
      <c r="G5747" s="140" t="s">
        <v>292</v>
      </c>
      <c r="H5747">
        <v>0</v>
      </c>
      <c r="I5747" s="140" t="s">
        <v>17</v>
      </c>
    </row>
    <row r="5748" spans="1:9" hidden="1" x14ac:dyDescent="0.25">
      <c r="A5748">
        <v>2028</v>
      </c>
      <c r="B5748" s="140" t="s">
        <v>135</v>
      </c>
      <c r="C5748" s="140" t="s">
        <v>16</v>
      </c>
      <c r="D5748" s="140" t="s">
        <v>11</v>
      </c>
      <c r="E5748" s="140" t="s">
        <v>12</v>
      </c>
      <c r="F5748">
        <v>43658.388859999999</v>
      </c>
      <c r="G5748" s="140" t="s">
        <v>292</v>
      </c>
      <c r="H5748">
        <v>0</v>
      </c>
      <c r="I5748" s="140" t="s">
        <v>17</v>
      </c>
    </row>
    <row r="5749" spans="1:9" hidden="1" x14ac:dyDescent="0.25">
      <c r="A5749">
        <v>1990</v>
      </c>
      <c r="B5749" s="140" t="s">
        <v>316</v>
      </c>
      <c r="C5749" s="140" t="s">
        <v>243</v>
      </c>
      <c r="D5749" s="140" t="s">
        <v>11</v>
      </c>
      <c r="E5749" s="140" t="s">
        <v>317</v>
      </c>
      <c r="F5749">
        <v>-7735</v>
      </c>
      <c r="G5749" s="140" t="s">
        <v>318</v>
      </c>
      <c r="H5749">
        <v>0</v>
      </c>
      <c r="I5749" s="140" t="s">
        <v>17</v>
      </c>
    </row>
    <row r="5750" spans="1:9" hidden="1" x14ac:dyDescent="0.25">
      <c r="A5750">
        <v>1991</v>
      </c>
      <c r="B5750" s="140" t="s">
        <v>316</v>
      </c>
      <c r="C5750" s="140" t="s">
        <v>243</v>
      </c>
      <c r="D5750" s="140" t="s">
        <v>11</v>
      </c>
      <c r="E5750" s="140" t="s">
        <v>317</v>
      </c>
      <c r="F5750">
        <v>-6151</v>
      </c>
      <c r="G5750" s="140" t="s">
        <v>318</v>
      </c>
      <c r="H5750">
        <v>0</v>
      </c>
      <c r="I5750" s="140" t="s">
        <v>17</v>
      </c>
    </row>
    <row r="5751" spans="1:9" hidden="1" x14ac:dyDescent="0.25">
      <c r="A5751">
        <v>1992</v>
      </c>
      <c r="B5751" s="140" t="s">
        <v>316</v>
      </c>
      <c r="C5751" s="140" t="s">
        <v>243</v>
      </c>
      <c r="D5751" s="140" t="s">
        <v>11</v>
      </c>
      <c r="E5751" s="140" t="s">
        <v>317</v>
      </c>
      <c r="F5751">
        <v>-3960</v>
      </c>
      <c r="G5751" s="140" t="s">
        <v>318</v>
      </c>
      <c r="H5751">
        <v>0</v>
      </c>
      <c r="I5751" s="140" t="s">
        <v>17</v>
      </c>
    </row>
    <row r="5752" spans="1:9" hidden="1" x14ac:dyDescent="0.25">
      <c r="A5752">
        <v>1993</v>
      </c>
      <c r="B5752" s="140" t="s">
        <v>316</v>
      </c>
      <c r="C5752" s="140" t="s">
        <v>243</v>
      </c>
      <c r="D5752" s="140" t="s">
        <v>11</v>
      </c>
      <c r="E5752" s="140" t="s">
        <v>317</v>
      </c>
      <c r="F5752">
        <v>382</v>
      </c>
      <c r="G5752" s="140" t="s">
        <v>318</v>
      </c>
      <c r="H5752">
        <v>0</v>
      </c>
      <c r="I5752" s="140" t="s">
        <v>17</v>
      </c>
    </row>
    <row r="5753" spans="1:9" hidden="1" x14ac:dyDescent="0.25">
      <c r="A5753">
        <v>1994</v>
      </c>
      <c r="B5753" s="140" t="s">
        <v>316</v>
      </c>
      <c r="C5753" s="140" t="s">
        <v>243</v>
      </c>
      <c r="D5753" s="140" t="s">
        <v>11</v>
      </c>
      <c r="E5753" s="140" t="s">
        <v>317</v>
      </c>
      <c r="F5753">
        <v>4507</v>
      </c>
      <c r="G5753" s="140" t="s">
        <v>318</v>
      </c>
      <c r="H5753">
        <v>0</v>
      </c>
      <c r="I5753" s="140" t="s">
        <v>17</v>
      </c>
    </row>
    <row r="5754" spans="1:9" hidden="1" x14ac:dyDescent="0.25">
      <c r="A5754">
        <v>1995</v>
      </c>
      <c r="B5754" s="140" t="s">
        <v>316</v>
      </c>
      <c r="C5754" s="140" t="s">
        <v>243</v>
      </c>
      <c r="D5754" s="140" t="s">
        <v>11</v>
      </c>
      <c r="E5754" s="140" t="s">
        <v>317</v>
      </c>
      <c r="F5754">
        <v>4321</v>
      </c>
      <c r="G5754" s="140" t="s">
        <v>318</v>
      </c>
      <c r="H5754">
        <v>0</v>
      </c>
      <c r="I5754" s="140" t="s">
        <v>17</v>
      </c>
    </row>
    <row r="5755" spans="1:9" hidden="1" x14ac:dyDescent="0.25">
      <c r="A5755">
        <v>1996</v>
      </c>
      <c r="B5755" s="140" t="s">
        <v>316</v>
      </c>
      <c r="C5755" s="140" t="s">
        <v>243</v>
      </c>
      <c r="D5755" s="140" t="s">
        <v>11</v>
      </c>
      <c r="E5755" s="140" t="s">
        <v>317</v>
      </c>
      <c r="F5755">
        <v>4299</v>
      </c>
      <c r="G5755" s="140" t="s">
        <v>318</v>
      </c>
      <c r="H5755">
        <v>0</v>
      </c>
      <c r="I5755" s="140" t="s">
        <v>17</v>
      </c>
    </row>
    <row r="5756" spans="1:9" hidden="1" x14ac:dyDescent="0.25">
      <c r="A5756">
        <v>1997</v>
      </c>
      <c r="B5756" s="140" t="s">
        <v>316</v>
      </c>
      <c r="C5756" s="140" t="s">
        <v>243</v>
      </c>
      <c r="D5756" s="140" t="s">
        <v>11</v>
      </c>
      <c r="E5756" s="140" t="s">
        <v>317</v>
      </c>
      <c r="F5756">
        <v>5065</v>
      </c>
      <c r="G5756" s="140" t="s">
        <v>318</v>
      </c>
      <c r="H5756">
        <v>0</v>
      </c>
      <c r="I5756" s="140" t="s">
        <v>17</v>
      </c>
    </row>
    <row r="5757" spans="1:9" hidden="1" x14ac:dyDescent="0.25">
      <c r="A5757">
        <v>1998</v>
      </c>
      <c r="B5757" s="140" t="s">
        <v>316</v>
      </c>
      <c r="C5757" s="140" t="s">
        <v>243</v>
      </c>
      <c r="D5757" s="140" t="s">
        <v>11</v>
      </c>
      <c r="E5757" s="140" t="s">
        <v>317</v>
      </c>
      <c r="F5757">
        <v>3539</v>
      </c>
      <c r="G5757" s="140" t="s">
        <v>318</v>
      </c>
      <c r="H5757">
        <v>0</v>
      </c>
      <c r="I5757" s="140" t="s">
        <v>17</v>
      </c>
    </row>
    <row r="5758" spans="1:9" hidden="1" x14ac:dyDescent="0.25">
      <c r="A5758">
        <v>1999</v>
      </c>
      <c r="B5758" s="140" t="s">
        <v>316</v>
      </c>
      <c r="C5758" s="140" t="s">
        <v>243</v>
      </c>
      <c r="D5758" s="140" t="s">
        <v>11</v>
      </c>
      <c r="E5758" s="140" t="s">
        <v>317</v>
      </c>
      <c r="F5758">
        <v>6799</v>
      </c>
      <c r="G5758" s="140" t="s">
        <v>318</v>
      </c>
      <c r="H5758">
        <v>0</v>
      </c>
      <c r="I5758" s="140" t="s">
        <v>17</v>
      </c>
    </row>
    <row r="5759" spans="1:9" hidden="1" x14ac:dyDescent="0.25">
      <c r="A5759">
        <v>2000</v>
      </c>
      <c r="B5759" s="140" t="s">
        <v>316</v>
      </c>
      <c r="C5759" s="140" t="s">
        <v>243</v>
      </c>
      <c r="D5759" s="140" t="s">
        <v>11</v>
      </c>
      <c r="E5759" s="140" t="s">
        <v>317</v>
      </c>
      <c r="F5759">
        <v>2799</v>
      </c>
      <c r="G5759" s="140" t="s">
        <v>318</v>
      </c>
      <c r="H5759">
        <v>0</v>
      </c>
      <c r="I5759" s="140" t="s">
        <v>17</v>
      </c>
    </row>
    <row r="5760" spans="1:9" hidden="1" x14ac:dyDescent="0.25">
      <c r="A5760">
        <v>2001</v>
      </c>
      <c r="B5760" s="140" t="s">
        <v>316</v>
      </c>
      <c r="C5760" s="140" t="s">
        <v>243</v>
      </c>
      <c r="D5760" s="140" t="s">
        <v>11</v>
      </c>
      <c r="E5760" s="140" t="s">
        <v>317</v>
      </c>
      <c r="F5760">
        <v>6567</v>
      </c>
      <c r="G5760" s="140" t="s">
        <v>318</v>
      </c>
      <c r="H5760">
        <v>0</v>
      </c>
      <c r="I5760" s="140" t="s">
        <v>17</v>
      </c>
    </row>
    <row r="5761" spans="1:9" hidden="1" x14ac:dyDescent="0.25">
      <c r="A5761">
        <v>2002</v>
      </c>
      <c r="B5761" s="140" t="s">
        <v>316</v>
      </c>
      <c r="C5761" s="140" t="s">
        <v>243</v>
      </c>
      <c r="D5761" s="140" t="s">
        <v>11</v>
      </c>
      <c r="E5761" s="140" t="s">
        <v>317</v>
      </c>
      <c r="F5761">
        <v>7691</v>
      </c>
      <c r="G5761" s="140" t="s">
        <v>318</v>
      </c>
      <c r="H5761">
        <v>0</v>
      </c>
      <c r="I5761" s="140" t="s">
        <v>17</v>
      </c>
    </row>
    <row r="5762" spans="1:9" hidden="1" x14ac:dyDescent="0.25">
      <c r="A5762">
        <v>2003</v>
      </c>
      <c r="B5762" s="140" t="s">
        <v>316</v>
      </c>
      <c r="C5762" s="140" t="s">
        <v>243</v>
      </c>
      <c r="D5762" s="140" t="s">
        <v>11</v>
      </c>
      <c r="E5762" s="140" t="s">
        <v>317</v>
      </c>
      <c r="F5762">
        <v>7234</v>
      </c>
      <c r="G5762" s="140" t="s">
        <v>318</v>
      </c>
      <c r="H5762">
        <v>0</v>
      </c>
      <c r="I5762" s="140" t="s">
        <v>17</v>
      </c>
    </row>
    <row r="5763" spans="1:9" hidden="1" x14ac:dyDescent="0.25">
      <c r="A5763">
        <v>2004</v>
      </c>
      <c r="B5763" s="140" t="s">
        <v>316</v>
      </c>
      <c r="C5763" s="140" t="s">
        <v>243</v>
      </c>
      <c r="D5763" s="140" t="s">
        <v>11</v>
      </c>
      <c r="E5763" s="140" t="s">
        <v>317</v>
      </c>
      <c r="F5763">
        <v>9111</v>
      </c>
      <c r="G5763" s="140" t="s">
        <v>318</v>
      </c>
      <c r="H5763">
        <v>0</v>
      </c>
      <c r="I5763" s="140" t="s">
        <v>17</v>
      </c>
    </row>
    <row r="5764" spans="1:9" hidden="1" x14ac:dyDescent="0.25">
      <c r="A5764">
        <v>2005</v>
      </c>
      <c r="B5764" s="140" t="s">
        <v>316</v>
      </c>
      <c r="C5764" s="140" t="s">
        <v>243</v>
      </c>
      <c r="D5764" s="140" t="s">
        <v>11</v>
      </c>
      <c r="E5764" s="140" t="s">
        <v>317</v>
      </c>
      <c r="F5764">
        <v>6495</v>
      </c>
      <c r="G5764" s="140" t="s">
        <v>318</v>
      </c>
      <c r="H5764">
        <v>0</v>
      </c>
      <c r="I5764" s="140" t="s">
        <v>17</v>
      </c>
    </row>
    <row r="5765" spans="1:9" hidden="1" x14ac:dyDescent="0.25">
      <c r="A5765">
        <v>2006</v>
      </c>
      <c r="B5765" s="140" t="s">
        <v>316</v>
      </c>
      <c r="C5765" s="140" t="s">
        <v>243</v>
      </c>
      <c r="D5765" s="140" t="s">
        <v>11</v>
      </c>
      <c r="E5765" s="140" t="s">
        <v>317</v>
      </c>
      <c r="F5765">
        <v>7675</v>
      </c>
      <c r="G5765" s="140" t="s">
        <v>318</v>
      </c>
      <c r="H5765">
        <v>0</v>
      </c>
      <c r="I5765" s="140" t="s">
        <v>17</v>
      </c>
    </row>
    <row r="5766" spans="1:9" hidden="1" x14ac:dyDescent="0.25">
      <c r="A5766">
        <v>2007</v>
      </c>
      <c r="B5766" s="140" t="s">
        <v>316</v>
      </c>
      <c r="C5766" s="140" t="s">
        <v>243</v>
      </c>
      <c r="D5766" s="140" t="s">
        <v>11</v>
      </c>
      <c r="E5766" s="140" t="s">
        <v>317</v>
      </c>
      <c r="F5766">
        <v>5521</v>
      </c>
      <c r="G5766" s="140" t="s">
        <v>318</v>
      </c>
      <c r="H5766">
        <v>0</v>
      </c>
      <c r="I5766" s="140" t="s">
        <v>17</v>
      </c>
    </row>
    <row r="5767" spans="1:9" hidden="1" x14ac:dyDescent="0.25">
      <c r="A5767">
        <v>2008</v>
      </c>
      <c r="B5767" s="140" t="s">
        <v>316</v>
      </c>
      <c r="C5767" s="140" t="s">
        <v>243</v>
      </c>
      <c r="D5767" s="140" t="s">
        <v>11</v>
      </c>
      <c r="E5767" s="140" t="s">
        <v>317</v>
      </c>
      <c r="F5767">
        <v>2024</v>
      </c>
      <c r="G5767" s="140" t="s">
        <v>318</v>
      </c>
      <c r="H5767">
        <v>0</v>
      </c>
      <c r="I5767" s="140" t="s">
        <v>17</v>
      </c>
    </row>
    <row r="5768" spans="1:9" hidden="1" x14ac:dyDescent="0.25">
      <c r="A5768">
        <v>2009</v>
      </c>
      <c r="B5768" s="140" t="s">
        <v>316</v>
      </c>
      <c r="C5768" s="140" t="s">
        <v>243</v>
      </c>
      <c r="D5768" s="140" t="s">
        <v>11</v>
      </c>
      <c r="E5768" s="140" t="s">
        <v>317</v>
      </c>
      <c r="F5768">
        <v>8640</v>
      </c>
      <c r="G5768" s="140" t="s">
        <v>318</v>
      </c>
      <c r="H5768">
        <v>0</v>
      </c>
      <c r="I5768" s="140" t="s">
        <v>17</v>
      </c>
    </row>
    <row r="5769" spans="1:9" hidden="1" x14ac:dyDescent="0.25">
      <c r="A5769">
        <v>2010</v>
      </c>
      <c r="B5769" s="140" t="s">
        <v>316</v>
      </c>
      <c r="C5769" s="140" t="s">
        <v>243</v>
      </c>
      <c r="D5769" s="140" t="s">
        <v>11</v>
      </c>
      <c r="E5769" s="140" t="s">
        <v>317</v>
      </c>
      <c r="F5769">
        <v>8870</v>
      </c>
      <c r="G5769" s="140" t="s">
        <v>318</v>
      </c>
      <c r="H5769">
        <v>0</v>
      </c>
      <c r="I5769" s="140" t="s">
        <v>17</v>
      </c>
    </row>
    <row r="5770" spans="1:9" hidden="1" x14ac:dyDescent="0.25">
      <c r="A5770">
        <v>2011</v>
      </c>
      <c r="B5770" s="140" t="s">
        <v>316</v>
      </c>
      <c r="C5770" s="140" t="s">
        <v>243</v>
      </c>
      <c r="D5770" s="140" t="s">
        <v>11</v>
      </c>
      <c r="E5770" s="140" t="s">
        <v>317</v>
      </c>
      <c r="F5770">
        <v>2887</v>
      </c>
      <c r="G5770" s="140" t="s">
        <v>318</v>
      </c>
      <c r="H5770">
        <v>0</v>
      </c>
      <c r="I5770" s="140" t="s">
        <v>17</v>
      </c>
    </row>
    <row r="5771" spans="1:9" hidden="1" x14ac:dyDescent="0.25">
      <c r="A5771">
        <v>2012</v>
      </c>
      <c r="B5771" s="140" t="s">
        <v>316</v>
      </c>
      <c r="C5771" s="140" t="s">
        <v>243</v>
      </c>
      <c r="D5771" s="140" t="s">
        <v>11</v>
      </c>
      <c r="E5771" s="140" t="s">
        <v>317</v>
      </c>
      <c r="F5771">
        <v>3558</v>
      </c>
      <c r="G5771" s="140" t="s">
        <v>318</v>
      </c>
      <c r="H5771">
        <v>0</v>
      </c>
      <c r="I5771" s="140" t="s">
        <v>17</v>
      </c>
    </row>
    <row r="5772" spans="1:9" hidden="1" x14ac:dyDescent="0.25">
      <c r="A5772">
        <v>2013</v>
      </c>
      <c r="B5772" s="140" t="s">
        <v>316</v>
      </c>
      <c r="C5772" s="140" t="s">
        <v>243</v>
      </c>
      <c r="D5772" s="140" t="s">
        <v>11</v>
      </c>
      <c r="E5772" s="140" t="s">
        <v>317</v>
      </c>
      <c r="F5772">
        <v>4769</v>
      </c>
      <c r="G5772" s="140" t="s">
        <v>318</v>
      </c>
      <c r="H5772">
        <v>0</v>
      </c>
      <c r="I5772" s="140" t="s">
        <v>17</v>
      </c>
    </row>
    <row r="5773" spans="1:9" hidden="1" x14ac:dyDescent="0.25">
      <c r="A5773">
        <v>2014</v>
      </c>
      <c r="B5773" s="140" t="s">
        <v>316</v>
      </c>
      <c r="C5773" s="140" t="s">
        <v>243</v>
      </c>
      <c r="D5773" s="140" t="s">
        <v>11</v>
      </c>
      <c r="E5773" s="140" t="s">
        <v>317</v>
      </c>
      <c r="F5773">
        <v>6238</v>
      </c>
      <c r="G5773" s="140" t="s">
        <v>318</v>
      </c>
      <c r="H5773">
        <v>0</v>
      </c>
      <c r="I5773" s="140" t="s">
        <v>17</v>
      </c>
    </row>
    <row r="5774" spans="1:9" hidden="1" x14ac:dyDescent="0.25">
      <c r="A5774">
        <v>2015</v>
      </c>
      <c r="B5774" s="140" t="s">
        <v>316</v>
      </c>
      <c r="C5774" s="140" t="s">
        <v>243</v>
      </c>
      <c r="D5774" s="140" t="s">
        <v>11</v>
      </c>
      <c r="E5774" s="140" t="s">
        <v>317</v>
      </c>
      <c r="F5774">
        <v>6371</v>
      </c>
      <c r="G5774" s="140" t="s">
        <v>318</v>
      </c>
      <c r="H5774">
        <v>0</v>
      </c>
      <c r="I5774" s="140" t="s">
        <v>17</v>
      </c>
    </row>
    <row r="5775" spans="1:9" hidden="1" x14ac:dyDescent="0.25">
      <c r="A5775">
        <v>2016</v>
      </c>
      <c r="B5775" s="140" t="s">
        <v>316</v>
      </c>
      <c r="C5775" s="140" t="s">
        <v>243</v>
      </c>
      <c r="D5775" s="140" t="s">
        <v>11</v>
      </c>
      <c r="E5775" s="140" t="s">
        <v>317</v>
      </c>
      <c r="F5775">
        <v>5584</v>
      </c>
      <c r="G5775" s="140" t="s">
        <v>318</v>
      </c>
      <c r="H5775">
        <v>0</v>
      </c>
      <c r="I5775" s="140" t="s">
        <v>17</v>
      </c>
    </row>
    <row r="5776" spans="1:9" hidden="1" x14ac:dyDescent="0.25">
      <c r="A5776">
        <v>2017</v>
      </c>
      <c r="B5776" s="140" t="s">
        <v>316</v>
      </c>
      <c r="C5776" s="140" t="s">
        <v>243</v>
      </c>
      <c r="D5776" s="140" t="s">
        <v>11</v>
      </c>
      <c r="E5776" s="140" t="s">
        <v>317</v>
      </c>
      <c r="F5776">
        <v>5420</v>
      </c>
      <c r="G5776" s="140" t="s">
        <v>318</v>
      </c>
      <c r="H5776">
        <v>0</v>
      </c>
      <c r="I5776" s="140" t="s">
        <v>17</v>
      </c>
    </row>
    <row r="5777" spans="1:9" hidden="1" x14ac:dyDescent="0.25">
      <c r="A5777">
        <v>2018</v>
      </c>
      <c r="B5777" s="140" t="s">
        <v>316</v>
      </c>
      <c r="C5777" s="140" t="s">
        <v>243</v>
      </c>
      <c r="D5777" s="140" t="s">
        <v>11</v>
      </c>
      <c r="E5777" s="140" t="s">
        <v>317</v>
      </c>
      <c r="F5777">
        <v>1109</v>
      </c>
      <c r="G5777" s="140" t="s">
        <v>318</v>
      </c>
      <c r="H5777">
        <v>0</v>
      </c>
      <c r="I5777" s="140" t="s">
        <v>17</v>
      </c>
    </row>
    <row r="5778" spans="1:9" hidden="1" x14ac:dyDescent="0.25">
      <c r="A5778">
        <v>2019</v>
      </c>
      <c r="B5778" s="140" t="s">
        <v>316</v>
      </c>
      <c r="C5778" s="140" t="s">
        <v>243</v>
      </c>
      <c r="D5778" s="140" t="s">
        <v>11</v>
      </c>
      <c r="E5778" s="140" t="s">
        <v>317</v>
      </c>
      <c r="F5778">
        <v>4677</v>
      </c>
      <c r="G5778" s="140" t="s">
        <v>318</v>
      </c>
      <c r="H5778">
        <v>0</v>
      </c>
      <c r="I5778" s="140" t="s">
        <v>17</v>
      </c>
    </row>
    <row r="5779" spans="1:9" hidden="1" x14ac:dyDescent="0.25">
      <c r="A5779">
        <v>2020</v>
      </c>
      <c r="B5779" s="140" t="s">
        <v>316</v>
      </c>
      <c r="C5779" s="140" t="s">
        <v>243</v>
      </c>
      <c r="D5779" s="140" t="s">
        <v>11</v>
      </c>
      <c r="E5779" s="140" t="s">
        <v>317</v>
      </c>
      <c r="F5779">
        <v>7924</v>
      </c>
      <c r="G5779" s="140" t="s">
        <v>318</v>
      </c>
      <c r="H5779">
        <v>0</v>
      </c>
      <c r="I5779" s="140" t="s">
        <v>17</v>
      </c>
    </row>
    <row r="5780" spans="1:9" hidden="1" x14ac:dyDescent="0.25">
      <c r="A5780">
        <v>2021</v>
      </c>
      <c r="B5780" s="140" t="s">
        <v>316</v>
      </c>
      <c r="C5780" s="140" t="s">
        <v>243</v>
      </c>
      <c r="D5780" s="140" t="s">
        <v>11</v>
      </c>
      <c r="E5780" s="140" t="s">
        <v>317</v>
      </c>
      <c r="F5780">
        <v>5161</v>
      </c>
      <c r="G5780" s="140" t="s">
        <v>318</v>
      </c>
      <c r="H5780">
        <v>0</v>
      </c>
      <c r="I5780" s="140" t="s">
        <v>17</v>
      </c>
    </row>
    <row r="5781" spans="1:9" hidden="1" x14ac:dyDescent="0.25">
      <c r="A5781">
        <v>2022</v>
      </c>
      <c r="B5781" s="140" t="s">
        <v>316</v>
      </c>
      <c r="C5781" s="140" t="s">
        <v>243</v>
      </c>
      <c r="D5781" s="140" t="s">
        <v>11</v>
      </c>
      <c r="E5781" s="140" t="s">
        <v>317</v>
      </c>
      <c r="F5781">
        <v>-3036</v>
      </c>
      <c r="G5781" s="140" t="s">
        <v>318</v>
      </c>
      <c r="H5781">
        <v>0</v>
      </c>
      <c r="I5781" s="140" t="s">
        <v>17</v>
      </c>
    </row>
    <row r="5782" spans="1:9" hidden="1" x14ac:dyDescent="0.25">
      <c r="A5782">
        <v>2023</v>
      </c>
      <c r="B5782" s="140" t="s">
        <v>316</v>
      </c>
      <c r="C5782" s="140" t="s">
        <v>243</v>
      </c>
      <c r="D5782" s="140" t="s">
        <v>11</v>
      </c>
      <c r="E5782" s="140" t="s">
        <v>317</v>
      </c>
      <c r="F5782">
        <v>1073</v>
      </c>
      <c r="G5782" s="140" t="s">
        <v>318</v>
      </c>
      <c r="H5782">
        <v>0</v>
      </c>
      <c r="I5782" s="140" t="s">
        <v>17</v>
      </c>
    </row>
    <row r="5783" spans="1:9" hidden="1" x14ac:dyDescent="0.25">
      <c r="A5783">
        <v>2024</v>
      </c>
      <c r="B5783" s="140" t="s">
        <v>316</v>
      </c>
      <c r="C5783" s="140" t="s">
        <v>243</v>
      </c>
      <c r="D5783" s="140" t="s">
        <v>11</v>
      </c>
      <c r="E5783" s="140" t="s">
        <v>317</v>
      </c>
      <c r="F5783">
        <v>737</v>
      </c>
      <c r="G5783" s="140" t="s">
        <v>318</v>
      </c>
      <c r="H5783">
        <v>0</v>
      </c>
      <c r="I5783" s="140" t="s">
        <v>17</v>
      </c>
    </row>
    <row r="5784" spans="1:9" hidden="1" x14ac:dyDescent="0.25">
      <c r="A5784">
        <v>2025</v>
      </c>
      <c r="B5784" s="140" t="s">
        <v>316</v>
      </c>
      <c r="C5784" s="140" t="s">
        <v>243</v>
      </c>
      <c r="D5784" s="140" t="s">
        <v>11</v>
      </c>
      <c r="E5784" s="140" t="s">
        <v>317</v>
      </c>
      <c r="F5784">
        <v>1203</v>
      </c>
      <c r="G5784" s="140" t="s">
        <v>318</v>
      </c>
      <c r="H5784">
        <v>0</v>
      </c>
      <c r="I5784" s="140" t="s">
        <v>17</v>
      </c>
    </row>
    <row r="5785" spans="1:9" hidden="1" x14ac:dyDescent="0.25">
      <c r="A5785">
        <v>2026</v>
      </c>
      <c r="B5785" s="140" t="s">
        <v>316</v>
      </c>
      <c r="C5785" s="140" t="s">
        <v>243</v>
      </c>
      <c r="D5785" s="140" t="s">
        <v>11</v>
      </c>
      <c r="E5785" s="140" t="s">
        <v>317</v>
      </c>
      <c r="F5785">
        <v>3208.1856990000001</v>
      </c>
      <c r="G5785" s="140" t="s">
        <v>318</v>
      </c>
      <c r="H5785">
        <v>0</v>
      </c>
      <c r="I5785" s="140" t="s">
        <v>17</v>
      </c>
    </row>
    <row r="5786" spans="1:9" hidden="1" x14ac:dyDescent="0.25">
      <c r="A5786">
        <v>2027</v>
      </c>
      <c r="B5786" s="140" t="s">
        <v>316</v>
      </c>
      <c r="C5786" s="140" t="s">
        <v>243</v>
      </c>
      <c r="D5786" s="140" t="s">
        <v>11</v>
      </c>
      <c r="E5786" s="140" t="s">
        <v>317</v>
      </c>
      <c r="F5786">
        <v>4444.689163</v>
      </c>
      <c r="G5786" s="140" t="s">
        <v>318</v>
      </c>
      <c r="H5786">
        <v>0</v>
      </c>
      <c r="I5786" s="140" t="s">
        <v>17</v>
      </c>
    </row>
    <row r="5787" spans="1:9" hidden="1" x14ac:dyDescent="0.25">
      <c r="A5787">
        <v>2028</v>
      </c>
      <c r="B5787" s="140" t="s">
        <v>316</v>
      </c>
      <c r="C5787" s="140" t="s">
        <v>243</v>
      </c>
      <c r="D5787" s="140" t="s">
        <v>11</v>
      </c>
      <c r="E5787" s="140" t="s">
        <v>317</v>
      </c>
      <c r="F5787">
        <v>6002.35707</v>
      </c>
      <c r="G5787" s="140" t="s">
        <v>318</v>
      </c>
      <c r="H5787">
        <v>0</v>
      </c>
      <c r="I5787" s="140" t="s">
        <v>17</v>
      </c>
    </row>
    <row r="5788" spans="1:9" hidden="1" x14ac:dyDescent="0.25">
      <c r="A5788">
        <v>1990</v>
      </c>
      <c r="B5788" s="140" t="s">
        <v>316</v>
      </c>
      <c r="C5788" s="140" t="s">
        <v>243</v>
      </c>
      <c r="D5788" s="140" t="s">
        <v>11</v>
      </c>
      <c r="E5788" s="140" t="s">
        <v>319</v>
      </c>
      <c r="F5788">
        <v>1016</v>
      </c>
      <c r="G5788" s="140" t="s">
        <v>318</v>
      </c>
      <c r="H5788">
        <v>0</v>
      </c>
      <c r="I5788" s="140" t="s">
        <v>17</v>
      </c>
    </row>
    <row r="5789" spans="1:9" hidden="1" x14ac:dyDescent="0.25">
      <c r="A5789">
        <v>1991</v>
      </c>
      <c r="B5789" s="140" t="s">
        <v>316</v>
      </c>
      <c r="C5789" s="140" t="s">
        <v>243</v>
      </c>
      <c r="D5789" s="140" t="s">
        <v>11</v>
      </c>
      <c r="E5789" s="140" t="s">
        <v>319</v>
      </c>
      <c r="F5789">
        <v>549</v>
      </c>
      <c r="G5789" s="140" t="s">
        <v>318</v>
      </c>
      <c r="H5789">
        <v>0</v>
      </c>
      <c r="I5789" s="140" t="s">
        <v>17</v>
      </c>
    </row>
    <row r="5790" spans="1:9" hidden="1" x14ac:dyDescent="0.25">
      <c r="A5790">
        <v>1992</v>
      </c>
      <c r="B5790" s="140" t="s">
        <v>316</v>
      </c>
      <c r="C5790" s="140" t="s">
        <v>243</v>
      </c>
      <c r="D5790" s="140" t="s">
        <v>11</v>
      </c>
      <c r="E5790" s="140" t="s">
        <v>319</v>
      </c>
      <c r="F5790">
        <v>296</v>
      </c>
      <c r="G5790" s="140" t="s">
        <v>318</v>
      </c>
      <c r="H5790">
        <v>0</v>
      </c>
      <c r="I5790" s="140" t="s">
        <v>17</v>
      </c>
    </row>
    <row r="5791" spans="1:9" hidden="1" x14ac:dyDescent="0.25">
      <c r="A5791">
        <v>1993</v>
      </c>
      <c r="B5791" s="140" t="s">
        <v>316</v>
      </c>
      <c r="C5791" s="140" t="s">
        <v>243</v>
      </c>
      <c r="D5791" s="140" t="s">
        <v>11</v>
      </c>
      <c r="E5791" s="140" t="s">
        <v>319</v>
      </c>
      <c r="F5791">
        <v>2299</v>
      </c>
      <c r="G5791" s="140" t="s">
        <v>318</v>
      </c>
      <c r="H5791">
        <v>0</v>
      </c>
      <c r="I5791" s="140" t="s">
        <v>17</v>
      </c>
    </row>
    <row r="5792" spans="1:9" hidden="1" x14ac:dyDescent="0.25">
      <c r="A5792">
        <v>1994</v>
      </c>
      <c r="B5792" s="140" t="s">
        <v>316</v>
      </c>
      <c r="C5792" s="140" t="s">
        <v>243</v>
      </c>
      <c r="D5792" s="140" t="s">
        <v>11</v>
      </c>
      <c r="E5792" s="140" t="s">
        <v>319</v>
      </c>
      <c r="F5792">
        <v>1743</v>
      </c>
      <c r="G5792" s="140" t="s">
        <v>318</v>
      </c>
      <c r="H5792">
        <v>0</v>
      </c>
      <c r="I5792" s="140" t="s">
        <v>17</v>
      </c>
    </row>
    <row r="5793" spans="1:9" hidden="1" x14ac:dyDescent="0.25">
      <c r="A5793">
        <v>1995</v>
      </c>
      <c r="B5793" s="140" t="s">
        <v>316</v>
      </c>
      <c r="C5793" s="140" t="s">
        <v>243</v>
      </c>
      <c r="D5793" s="140" t="s">
        <v>11</v>
      </c>
      <c r="E5793" s="140" t="s">
        <v>319</v>
      </c>
      <c r="F5793">
        <v>3287</v>
      </c>
      <c r="G5793" s="140" t="s">
        <v>318</v>
      </c>
      <c r="H5793">
        <v>0</v>
      </c>
      <c r="I5793" s="140" t="s">
        <v>17</v>
      </c>
    </row>
    <row r="5794" spans="1:9" hidden="1" x14ac:dyDescent="0.25">
      <c r="A5794">
        <v>1996</v>
      </c>
      <c r="B5794" s="140" t="s">
        <v>316</v>
      </c>
      <c r="C5794" s="140" t="s">
        <v>243</v>
      </c>
      <c r="D5794" s="140" t="s">
        <v>11</v>
      </c>
      <c r="E5794" s="140" t="s">
        <v>319</v>
      </c>
      <c r="F5794">
        <v>2593</v>
      </c>
      <c r="G5794" s="140" t="s">
        <v>318</v>
      </c>
      <c r="H5794">
        <v>0</v>
      </c>
      <c r="I5794" s="140" t="s">
        <v>17</v>
      </c>
    </row>
    <row r="5795" spans="1:9" hidden="1" x14ac:dyDescent="0.25">
      <c r="A5795">
        <v>1997</v>
      </c>
      <c r="B5795" s="140" t="s">
        <v>316</v>
      </c>
      <c r="C5795" s="140" t="s">
        <v>243</v>
      </c>
      <c r="D5795" s="140" t="s">
        <v>11</v>
      </c>
      <c r="E5795" s="140" t="s">
        <v>319</v>
      </c>
      <c r="F5795">
        <v>1594</v>
      </c>
      <c r="G5795" s="140" t="s">
        <v>318</v>
      </c>
      <c r="H5795">
        <v>0</v>
      </c>
      <c r="I5795" s="140" t="s">
        <v>17</v>
      </c>
    </row>
    <row r="5796" spans="1:9" hidden="1" x14ac:dyDescent="0.25">
      <c r="A5796">
        <v>1998</v>
      </c>
      <c r="B5796" s="140" t="s">
        <v>316</v>
      </c>
      <c r="C5796" s="140" t="s">
        <v>243</v>
      </c>
      <c r="D5796" s="140" t="s">
        <v>11</v>
      </c>
      <c r="E5796" s="140" t="s">
        <v>319</v>
      </c>
      <c r="F5796">
        <v>1644</v>
      </c>
      <c r="G5796" s="140" t="s">
        <v>318</v>
      </c>
      <c r="H5796">
        <v>0</v>
      </c>
      <c r="I5796" s="140" t="s">
        <v>17</v>
      </c>
    </row>
    <row r="5797" spans="1:9" hidden="1" x14ac:dyDescent="0.25">
      <c r="A5797">
        <v>1999</v>
      </c>
      <c r="B5797" s="140" t="s">
        <v>316</v>
      </c>
      <c r="C5797" s="140" t="s">
        <v>243</v>
      </c>
      <c r="D5797" s="140" t="s">
        <v>11</v>
      </c>
      <c r="E5797" s="140" t="s">
        <v>319</v>
      </c>
      <c r="F5797">
        <v>848</v>
      </c>
      <c r="G5797" s="140" t="s">
        <v>318</v>
      </c>
      <c r="H5797">
        <v>0</v>
      </c>
      <c r="I5797" s="140" t="s">
        <v>17</v>
      </c>
    </row>
    <row r="5798" spans="1:9" hidden="1" x14ac:dyDescent="0.25">
      <c r="A5798">
        <v>2000</v>
      </c>
      <c r="B5798" s="140" t="s">
        <v>316</v>
      </c>
      <c r="C5798" s="140" t="s">
        <v>243</v>
      </c>
      <c r="D5798" s="140" t="s">
        <v>11</v>
      </c>
      <c r="E5798" s="140" t="s">
        <v>319</v>
      </c>
      <c r="F5798">
        <v>-528</v>
      </c>
      <c r="G5798" s="140" t="s">
        <v>318</v>
      </c>
      <c r="H5798">
        <v>0</v>
      </c>
      <c r="I5798" s="140" t="s">
        <v>17</v>
      </c>
    </row>
    <row r="5799" spans="1:9" hidden="1" x14ac:dyDescent="0.25">
      <c r="A5799">
        <v>2001</v>
      </c>
      <c r="B5799" s="140" t="s">
        <v>316</v>
      </c>
      <c r="C5799" s="140" t="s">
        <v>243</v>
      </c>
      <c r="D5799" s="140" t="s">
        <v>11</v>
      </c>
      <c r="E5799" s="140" t="s">
        <v>319</v>
      </c>
      <c r="F5799">
        <v>171</v>
      </c>
      <c r="G5799" s="140" t="s">
        <v>318</v>
      </c>
      <c r="H5799">
        <v>0</v>
      </c>
      <c r="I5799" s="140" t="s">
        <v>17</v>
      </c>
    </row>
    <row r="5800" spans="1:9" hidden="1" x14ac:dyDescent="0.25">
      <c r="A5800">
        <v>2002</v>
      </c>
      <c r="B5800" s="140" t="s">
        <v>316</v>
      </c>
      <c r="C5800" s="140" t="s">
        <v>243</v>
      </c>
      <c r="D5800" s="140" t="s">
        <v>11</v>
      </c>
      <c r="E5800" s="140" t="s">
        <v>319</v>
      </c>
      <c r="F5800">
        <v>568</v>
      </c>
      <c r="G5800" s="140" t="s">
        <v>318</v>
      </c>
      <c r="H5800">
        <v>0</v>
      </c>
      <c r="I5800" s="140" t="s">
        <v>17</v>
      </c>
    </row>
    <row r="5801" spans="1:9" hidden="1" x14ac:dyDescent="0.25">
      <c r="A5801">
        <v>2003</v>
      </c>
      <c r="B5801" s="140" t="s">
        <v>316</v>
      </c>
      <c r="C5801" s="140" t="s">
        <v>243</v>
      </c>
      <c r="D5801" s="140" t="s">
        <v>11</v>
      </c>
      <c r="E5801" s="140" t="s">
        <v>319</v>
      </c>
      <c r="F5801">
        <v>-35</v>
      </c>
      <c r="G5801" s="140" t="s">
        <v>318</v>
      </c>
      <c r="H5801">
        <v>0</v>
      </c>
      <c r="I5801" s="140" t="s">
        <v>17</v>
      </c>
    </row>
    <row r="5802" spans="1:9" hidden="1" x14ac:dyDescent="0.25">
      <c r="A5802">
        <v>2004</v>
      </c>
      <c r="B5802" s="140" t="s">
        <v>316</v>
      </c>
      <c r="C5802" s="140" t="s">
        <v>243</v>
      </c>
      <c r="D5802" s="140" t="s">
        <v>11</v>
      </c>
      <c r="E5802" s="140" t="s">
        <v>319</v>
      </c>
      <c r="F5802">
        <v>325</v>
      </c>
      <c r="G5802" s="140" t="s">
        <v>318</v>
      </c>
      <c r="H5802">
        <v>0</v>
      </c>
      <c r="I5802" s="140" t="s">
        <v>17</v>
      </c>
    </row>
    <row r="5803" spans="1:9" hidden="1" x14ac:dyDescent="0.25">
      <c r="A5803">
        <v>2005</v>
      </c>
      <c r="B5803" s="140" t="s">
        <v>316</v>
      </c>
      <c r="C5803" s="140" t="s">
        <v>243</v>
      </c>
      <c r="D5803" s="140" t="s">
        <v>11</v>
      </c>
      <c r="E5803" s="140" t="s">
        <v>319</v>
      </c>
      <c r="F5803">
        <v>569</v>
      </c>
      <c r="G5803" s="140" t="s">
        <v>318</v>
      </c>
      <c r="H5803">
        <v>0</v>
      </c>
      <c r="I5803" s="140" t="s">
        <v>17</v>
      </c>
    </row>
    <row r="5804" spans="1:9" hidden="1" x14ac:dyDescent="0.25">
      <c r="A5804">
        <v>2006</v>
      </c>
      <c r="B5804" s="140" t="s">
        <v>316</v>
      </c>
      <c r="C5804" s="140" t="s">
        <v>243</v>
      </c>
      <c r="D5804" s="140" t="s">
        <v>11</v>
      </c>
      <c r="E5804" s="140" t="s">
        <v>319</v>
      </c>
      <c r="F5804">
        <v>571</v>
      </c>
      <c r="G5804" s="140" t="s">
        <v>318</v>
      </c>
      <c r="H5804">
        <v>0</v>
      </c>
      <c r="I5804" s="140" t="s">
        <v>17</v>
      </c>
    </row>
    <row r="5805" spans="1:9" hidden="1" x14ac:dyDescent="0.25">
      <c r="A5805">
        <v>2007</v>
      </c>
      <c r="B5805" s="140" t="s">
        <v>316</v>
      </c>
      <c r="C5805" s="140" t="s">
        <v>243</v>
      </c>
      <c r="D5805" s="140" t="s">
        <v>11</v>
      </c>
      <c r="E5805" s="140" t="s">
        <v>319</v>
      </c>
      <c r="F5805">
        <v>404</v>
      </c>
      <c r="G5805" s="140" t="s">
        <v>318</v>
      </c>
      <c r="H5805">
        <v>0</v>
      </c>
      <c r="I5805" s="140" t="s">
        <v>17</v>
      </c>
    </row>
    <row r="5806" spans="1:9" hidden="1" x14ac:dyDescent="0.25">
      <c r="A5806">
        <v>2008</v>
      </c>
      <c r="B5806" s="140" t="s">
        <v>316</v>
      </c>
      <c r="C5806" s="140" t="s">
        <v>243</v>
      </c>
      <c r="D5806" s="140" t="s">
        <v>11</v>
      </c>
      <c r="E5806" s="140" t="s">
        <v>319</v>
      </c>
      <c r="F5806">
        <v>2017</v>
      </c>
      <c r="G5806" s="140" t="s">
        <v>318</v>
      </c>
      <c r="H5806">
        <v>0</v>
      </c>
      <c r="I5806" s="140" t="s">
        <v>17</v>
      </c>
    </row>
    <row r="5807" spans="1:9" hidden="1" x14ac:dyDescent="0.25">
      <c r="A5807">
        <v>2009</v>
      </c>
      <c r="B5807" s="140" t="s">
        <v>316</v>
      </c>
      <c r="C5807" s="140" t="s">
        <v>243</v>
      </c>
      <c r="D5807" s="140" t="s">
        <v>11</v>
      </c>
      <c r="E5807" s="140" t="s">
        <v>319</v>
      </c>
      <c r="F5807">
        <v>1161</v>
      </c>
      <c r="G5807" s="140" t="s">
        <v>318</v>
      </c>
      <c r="H5807">
        <v>0</v>
      </c>
      <c r="I5807" s="140" t="s">
        <v>17</v>
      </c>
    </row>
    <row r="5808" spans="1:9" hidden="1" x14ac:dyDescent="0.25">
      <c r="A5808">
        <v>2010</v>
      </c>
      <c r="B5808" s="140" t="s">
        <v>316</v>
      </c>
      <c r="C5808" s="140" t="s">
        <v>243</v>
      </c>
      <c r="D5808" s="140" t="s">
        <v>11</v>
      </c>
      <c r="E5808" s="140" t="s">
        <v>319</v>
      </c>
      <c r="F5808">
        <v>156</v>
      </c>
      <c r="G5808" s="140" t="s">
        <v>318</v>
      </c>
      <c r="H5808">
        <v>0</v>
      </c>
      <c r="I5808" s="140" t="s">
        <v>17</v>
      </c>
    </row>
    <row r="5809" spans="1:9" hidden="1" x14ac:dyDescent="0.25">
      <c r="A5809">
        <v>2011</v>
      </c>
      <c r="B5809" s="140" t="s">
        <v>316</v>
      </c>
      <c r="C5809" s="140" t="s">
        <v>243</v>
      </c>
      <c r="D5809" s="140" t="s">
        <v>11</v>
      </c>
      <c r="E5809" s="140" t="s">
        <v>319</v>
      </c>
      <c r="F5809">
        <v>435</v>
      </c>
      <c r="G5809" s="140" t="s">
        <v>318</v>
      </c>
      <c r="H5809">
        <v>0</v>
      </c>
      <c r="I5809" s="140" t="s">
        <v>17</v>
      </c>
    </row>
    <row r="5810" spans="1:9" hidden="1" x14ac:dyDescent="0.25">
      <c r="A5810">
        <v>2012</v>
      </c>
      <c r="B5810" s="140" t="s">
        <v>316</v>
      </c>
      <c r="C5810" s="140" t="s">
        <v>243</v>
      </c>
      <c r="D5810" s="140" t="s">
        <v>11</v>
      </c>
      <c r="E5810" s="140" t="s">
        <v>319</v>
      </c>
      <c r="F5810">
        <v>1024</v>
      </c>
      <c r="G5810" s="140" t="s">
        <v>318</v>
      </c>
      <c r="H5810">
        <v>0</v>
      </c>
      <c r="I5810" s="140" t="s">
        <v>17</v>
      </c>
    </row>
    <row r="5811" spans="1:9" hidden="1" x14ac:dyDescent="0.25">
      <c r="A5811">
        <v>2013</v>
      </c>
      <c r="B5811" s="140" t="s">
        <v>316</v>
      </c>
      <c r="C5811" s="140" t="s">
        <v>243</v>
      </c>
      <c r="D5811" s="140" t="s">
        <v>11</v>
      </c>
      <c r="E5811" s="140" t="s">
        <v>319</v>
      </c>
      <c r="F5811">
        <v>343</v>
      </c>
      <c r="G5811" s="140" t="s">
        <v>318</v>
      </c>
      <c r="H5811">
        <v>0</v>
      </c>
      <c r="I5811" s="140" t="s">
        <v>17</v>
      </c>
    </row>
    <row r="5812" spans="1:9" hidden="1" x14ac:dyDescent="0.25">
      <c r="A5812">
        <v>2014</v>
      </c>
      <c r="B5812" s="140" t="s">
        <v>316</v>
      </c>
      <c r="C5812" s="140" t="s">
        <v>243</v>
      </c>
      <c r="D5812" s="140" t="s">
        <v>11</v>
      </c>
      <c r="E5812" s="140" t="s">
        <v>319</v>
      </c>
      <c r="F5812">
        <v>749</v>
      </c>
      <c r="G5812" s="140" t="s">
        <v>318</v>
      </c>
      <c r="H5812">
        <v>0</v>
      </c>
      <c r="I5812" s="140" t="s">
        <v>17</v>
      </c>
    </row>
    <row r="5813" spans="1:9" hidden="1" x14ac:dyDescent="0.25">
      <c r="A5813">
        <v>2015</v>
      </c>
      <c r="B5813" s="140" t="s">
        <v>316</v>
      </c>
      <c r="C5813" s="140" t="s">
        <v>243</v>
      </c>
      <c r="D5813" s="140" t="s">
        <v>11</v>
      </c>
      <c r="E5813" s="140" t="s">
        <v>319</v>
      </c>
      <c r="F5813">
        <v>490</v>
      </c>
      <c r="G5813" s="140" t="s">
        <v>318</v>
      </c>
      <c r="H5813">
        <v>0</v>
      </c>
      <c r="I5813" s="140" t="s">
        <v>17</v>
      </c>
    </row>
    <row r="5814" spans="1:9" hidden="1" x14ac:dyDescent="0.25">
      <c r="A5814">
        <v>2016</v>
      </c>
      <c r="B5814" s="140" t="s">
        <v>316</v>
      </c>
      <c r="C5814" s="140" t="s">
        <v>243</v>
      </c>
      <c r="D5814" s="140" t="s">
        <v>11</v>
      </c>
      <c r="E5814" s="140" t="s">
        <v>319</v>
      </c>
      <c r="F5814">
        <v>-572</v>
      </c>
      <c r="G5814" s="140" t="s">
        <v>318</v>
      </c>
      <c r="H5814">
        <v>0</v>
      </c>
      <c r="I5814" s="140" t="s">
        <v>17</v>
      </c>
    </row>
    <row r="5815" spans="1:9" hidden="1" x14ac:dyDescent="0.25">
      <c r="A5815">
        <v>2017</v>
      </c>
      <c r="B5815" s="140" t="s">
        <v>316</v>
      </c>
      <c r="C5815" s="140" t="s">
        <v>243</v>
      </c>
      <c r="D5815" s="140" t="s">
        <v>11</v>
      </c>
      <c r="E5815" s="140" t="s">
        <v>319</v>
      </c>
      <c r="F5815">
        <v>0</v>
      </c>
      <c r="G5815" s="140" t="s">
        <v>318</v>
      </c>
      <c r="H5815">
        <v>0</v>
      </c>
      <c r="I5815" s="140" t="s">
        <v>17</v>
      </c>
    </row>
    <row r="5816" spans="1:9" hidden="1" x14ac:dyDescent="0.25">
      <c r="A5816">
        <v>2018</v>
      </c>
      <c r="B5816" s="140" t="s">
        <v>316</v>
      </c>
      <c r="C5816" s="140" t="s">
        <v>243</v>
      </c>
      <c r="D5816" s="140" t="s">
        <v>11</v>
      </c>
      <c r="E5816" s="140" t="s">
        <v>319</v>
      </c>
      <c r="F5816">
        <v>2099</v>
      </c>
      <c r="G5816" s="140" t="s">
        <v>318</v>
      </c>
      <c r="H5816">
        <v>0</v>
      </c>
      <c r="I5816" s="140" t="s">
        <v>17</v>
      </c>
    </row>
    <row r="5817" spans="1:9" hidden="1" x14ac:dyDescent="0.25">
      <c r="A5817">
        <v>2019</v>
      </c>
      <c r="B5817" s="140" t="s">
        <v>316</v>
      </c>
      <c r="C5817" s="140" t="s">
        <v>243</v>
      </c>
      <c r="D5817" s="140" t="s">
        <v>11</v>
      </c>
      <c r="E5817" s="140" t="s">
        <v>319</v>
      </c>
      <c r="F5817">
        <v>-165</v>
      </c>
      <c r="G5817" s="140" t="s">
        <v>318</v>
      </c>
      <c r="H5817">
        <v>0</v>
      </c>
      <c r="I5817" s="140" t="s">
        <v>17</v>
      </c>
    </row>
    <row r="5818" spans="1:9" hidden="1" x14ac:dyDescent="0.25">
      <c r="A5818">
        <v>2020</v>
      </c>
      <c r="B5818" s="140" t="s">
        <v>316</v>
      </c>
      <c r="C5818" s="140" t="s">
        <v>243</v>
      </c>
      <c r="D5818" s="140" t="s">
        <v>11</v>
      </c>
      <c r="E5818" s="140" t="s">
        <v>319</v>
      </c>
      <c r="F5818">
        <v>4026</v>
      </c>
      <c r="G5818" s="140" t="s">
        <v>318</v>
      </c>
      <c r="H5818">
        <v>0</v>
      </c>
      <c r="I5818" s="140" t="s">
        <v>17</v>
      </c>
    </row>
    <row r="5819" spans="1:9" hidden="1" x14ac:dyDescent="0.25">
      <c r="A5819">
        <v>2021</v>
      </c>
      <c r="B5819" s="140" t="s">
        <v>316</v>
      </c>
      <c r="C5819" s="140" t="s">
        <v>243</v>
      </c>
      <c r="D5819" s="140" t="s">
        <v>11</v>
      </c>
      <c r="E5819" s="140" t="s">
        <v>319</v>
      </c>
      <c r="F5819">
        <v>2414</v>
      </c>
      <c r="G5819" s="140" t="s">
        <v>318</v>
      </c>
      <c r="H5819">
        <v>0</v>
      </c>
      <c r="I5819" s="140" t="s">
        <v>17</v>
      </c>
    </row>
    <row r="5820" spans="1:9" hidden="1" x14ac:dyDescent="0.25">
      <c r="A5820">
        <v>2022</v>
      </c>
      <c r="B5820" s="140" t="s">
        <v>316</v>
      </c>
      <c r="C5820" s="140" t="s">
        <v>243</v>
      </c>
      <c r="D5820" s="140" t="s">
        <v>11</v>
      </c>
      <c r="E5820" s="140" t="s">
        <v>319</v>
      </c>
      <c r="F5820">
        <v>872</v>
      </c>
      <c r="G5820" s="140" t="s">
        <v>318</v>
      </c>
      <c r="H5820">
        <v>0</v>
      </c>
      <c r="I5820" s="140" t="s">
        <v>17</v>
      </c>
    </row>
    <row r="5821" spans="1:9" hidden="1" x14ac:dyDescent="0.25">
      <c r="A5821">
        <v>2023</v>
      </c>
      <c r="B5821" s="140" t="s">
        <v>316</v>
      </c>
      <c r="C5821" s="140" t="s">
        <v>243</v>
      </c>
      <c r="D5821" s="140" t="s">
        <v>11</v>
      </c>
      <c r="E5821" s="140" t="s">
        <v>319</v>
      </c>
      <c r="F5821">
        <v>3481</v>
      </c>
      <c r="G5821" s="140" t="s">
        <v>318</v>
      </c>
      <c r="H5821">
        <v>0</v>
      </c>
      <c r="I5821" s="140" t="s">
        <v>17</v>
      </c>
    </row>
    <row r="5822" spans="1:9" hidden="1" x14ac:dyDescent="0.25">
      <c r="A5822">
        <v>2024</v>
      </c>
      <c r="B5822" s="140" t="s">
        <v>316</v>
      </c>
      <c r="C5822" s="140" t="s">
        <v>243</v>
      </c>
      <c r="D5822" s="140" t="s">
        <v>11</v>
      </c>
      <c r="E5822" s="140" t="s">
        <v>319</v>
      </c>
      <c r="F5822">
        <v>3545</v>
      </c>
      <c r="G5822" s="140" t="s">
        <v>318</v>
      </c>
      <c r="H5822">
        <v>0</v>
      </c>
      <c r="I5822" s="140" t="s">
        <v>17</v>
      </c>
    </row>
    <row r="5823" spans="1:9" hidden="1" x14ac:dyDescent="0.25">
      <c r="A5823">
        <v>2025</v>
      </c>
      <c r="B5823" s="140" t="s">
        <v>316</v>
      </c>
      <c r="C5823" s="140" t="s">
        <v>243</v>
      </c>
      <c r="D5823" s="140" t="s">
        <v>11</v>
      </c>
      <c r="E5823" s="140" t="s">
        <v>319</v>
      </c>
      <c r="F5823">
        <v>2540</v>
      </c>
      <c r="G5823" s="140" t="s">
        <v>318</v>
      </c>
      <c r="H5823">
        <v>0</v>
      </c>
      <c r="I5823" s="140" t="s">
        <v>17</v>
      </c>
    </row>
    <row r="5824" spans="1:9" hidden="1" x14ac:dyDescent="0.25">
      <c r="A5824">
        <v>2026</v>
      </c>
      <c r="B5824" s="140" t="s">
        <v>316</v>
      </c>
      <c r="C5824" s="140" t="s">
        <v>243</v>
      </c>
      <c r="D5824" s="140" t="s">
        <v>11</v>
      </c>
      <c r="E5824" s="140" t="s">
        <v>319</v>
      </c>
      <c r="F5824">
        <v>1900</v>
      </c>
      <c r="G5824" s="140" t="s">
        <v>318</v>
      </c>
      <c r="H5824">
        <v>0</v>
      </c>
      <c r="I5824" s="140" t="s">
        <v>17</v>
      </c>
    </row>
    <row r="5825" spans="1:9" hidden="1" x14ac:dyDescent="0.25">
      <c r="A5825">
        <v>2027</v>
      </c>
      <c r="B5825" s="140" t="s">
        <v>316</v>
      </c>
      <c r="C5825" s="140" t="s">
        <v>243</v>
      </c>
      <c r="D5825" s="140" t="s">
        <v>11</v>
      </c>
      <c r="E5825" s="140" t="s">
        <v>319</v>
      </c>
      <c r="F5825">
        <v>1900</v>
      </c>
      <c r="G5825" s="140" t="s">
        <v>318</v>
      </c>
      <c r="H5825">
        <v>0</v>
      </c>
      <c r="I5825" s="140" t="s">
        <v>17</v>
      </c>
    </row>
    <row r="5826" spans="1:9" hidden="1" x14ac:dyDescent="0.25">
      <c r="A5826">
        <v>2028</v>
      </c>
      <c r="B5826" s="140" t="s">
        <v>316</v>
      </c>
      <c r="C5826" s="140" t="s">
        <v>243</v>
      </c>
      <c r="D5826" s="140" t="s">
        <v>11</v>
      </c>
      <c r="E5826" s="140" t="s">
        <v>319</v>
      </c>
      <c r="F5826">
        <v>1900</v>
      </c>
      <c r="G5826" s="140" t="s">
        <v>318</v>
      </c>
      <c r="H5826">
        <v>0</v>
      </c>
      <c r="I5826" s="140" t="s">
        <v>17</v>
      </c>
    </row>
    <row r="5827" spans="1:9" hidden="1" x14ac:dyDescent="0.25">
      <c r="A5827">
        <v>2020</v>
      </c>
      <c r="B5827" s="140" t="s">
        <v>331</v>
      </c>
      <c r="C5827" s="140" t="s">
        <v>50</v>
      </c>
      <c r="D5827" s="140" t="s">
        <v>11</v>
      </c>
      <c r="E5827" s="140" t="s">
        <v>12</v>
      </c>
      <c r="F5827">
        <v>93.238967200000005</v>
      </c>
      <c r="G5827" s="140" t="s">
        <v>332</v>
      </c>
      <c r="H5827">
        <v>0</v>
      </c>
      <c r="I5827" s="140" t="s">
        <v>14</v>
      </c>
    </row>
    <row r="5828" spans="1:9" hidden="1" x14ac:dyDescent="0.25">
      <c r="A5828">
        <v>2021</v>
      </c>
      <c r="B5828" s="140" t="s">
        <v>331</v>
      </c>
      <c r="C5828" s="140" t="s">
        <v>50</v>
      </c>
      <c r="D5828" s="140" t="s">
        <v>11</v>
      </c>
      <c r="E5828" s="140" t="s">
        <v>12</v>
      </c>
      <c r="F5828">
        <v>99.861619200000007</v>
      </c>
      <c r="G5828" s="140" t="s">
        <v>332</v>
      </c>
      <c r="H5828">
        <v>0</v>
      </c>
      <c r="I5828" s="140" t="s">
        <v>14</v>
      </c>
    </row>
    <row r="5829" spans="1:9" hidden="1" x14ac:dyDescent="0.25">
      <c r="A5829">
        <v>2022</v>
      </c>
      <c r="B5829" s="140" t="s">
        <v>331</v>
      </c>
      <c r="C5829" s="140" t="s">
        <v>50</v>
      </c>
      <c r="D5829" s="140" t="s">
        <v>11</v>
      </c>
      <c r="E5829" s="140" t="s">
        <v>12</v>
      </c>
      <c r="F5829">
        <v>96.968141579999994</v>
      </c>
      <c r="G5829" s="140" t="s">
        <v>332</v>
      </c>
      <c r="H5829">
        <v>0</v>
      </c>
      <c r="I5829" s="140" t="s">
        <v>14</v>
      </c>
    </row>
    <row r="5830" spans="1:9" hidden="1" x14ac:dyDescent="0.25">
      <c r="A5830">
        <v>2023</v>
      </c>
      <c r="B5830" s="140" t="s">
        <v>331</v>
      </c>
      <c r="C5830" s="140" t="s">
        <v>50</v>
      </c>
      <c r="D5830" s="140" t="s">
        <v>11</v>
      </c>
      <c r="E5830" s="140" t="s">
        <v>12</v>
      </c>
      <c r="F5830">
        <v>92.795074240000005</v>
      </c>
      <c r="G5830" s="140" t="s">
        <v>332</v>
      </c>
      <c r="H5830">
        <v>0</v>
      </c>
      <c r="I5830" s="140" t="s">
        <v>14</v>
      </c>
    </row>
    <row r="5831" spans="1:9" hidden="1" x14ac:dyDescent="0.25">
      <c r="A5831">
        <v>2024</v>
      </c>
      <c r="B5831" s="140" t="s">
        <v>331</v>
      </c>
      <c r="C5831" s="140" t="s">
        <v>50</v>
      </c>
      <c r="D5831" s="140" t="s">
        <v>11</v>
      </c>
      <c r="E5831" s="140" t="s">
        <v>12</v>
      </c>
      <c r="F5831">
        <v>92.675751230000003</v>
      </c>
      <c r="G5831" s="140" t="s">
        <v>332</v>
      </c>
      <c r="H5831">
        <v>0</v>
      </c>
      <c r="I5831" s="140" t="s">
        <v>14</v>
      </c>
    </row>
    <row r="5832" spans="1:9" hidden="1" x14ac:dyDescent="0.25">
      <c r="A5832">
        <v>2025</v>
      </c>
      <c r="B5832" s="140" t="s">
        <v>331</v>
      </c>
      <c r="C5832" s="140" t="s">
        <v>50</v>
      </c>
      <c r="D5832" s="140" t="s">
        <v>11</v>
      </c>
      <c r="E5832" s="140" t="s">
        <v>12</v>
      </c>
      <c r="F5832">
        <v>93.995690620000005</v>
      </c>
      <c r="G5832" s="140" t="s">
        <v>332</v>
      </c>
      <c r="H5832">
        <v>0</v>
      </c>
      <c r="I5832" s="140" t="s">
        <v>14</v>
      </c>
    </row>
    <row r="5833" spans="1:9" hidden="1" x14ac:dyDescent="0.25">
      <c r="A5833">
        <v>2026</v>
      </c>
      <c r="B5833" s="140" t="s">
        <v>331</v>
      </c>
      <c r="C5833" s="140" t="s">
        <v>50</v>
      </c>
      <c r="D5833" s="140" t="s">
        <v>11</v>
      </c>
      <c r="E5833" s="140" t="s">
        <v>12</v>
      </c>
      <c r="F5833">
        <v>91.055419040000004</v>
      </c>
      <c r="G5833" s="140" t="s">
        <v>332</v>
      </c>
      <c r="H5833">
        <v>0</v>
      </c>
      <c r="I5833" s="140" t="s">
        <v>14</v>
      </c>
    </row>
    <row r="5834" spans="1:9" hidden="1" x14ac:dyDescent="0.25">
      <c r="A5834">
        <v>2027</v>
      </c>
      <c r="B5834" s="140" t="s">
        <v>331</v>
      </c>
      <c r="C5834" s="140" t="s">
        <v>50</v>
      </c>
      <c r="D5834" s="140" t="s">
        <v>11</v>
      </c>
      <c r="E5834" s="140" t="s">
        <v>12</v>
      </c>
      <c r="F5834">
        <v>90.326178720000001</v>
      </c>
      <c r="G5834" s="140" t="s">
        <v>332</v>
      </c>
      <c r="H5834">
        <v>0</v>
      </c>
      <c r="I5834" s="140" t="s">
        <v>14</v>
      </c>
    </row>
    <row r="5835" spans="1:9" hidden="1" x14ac:dyDescent="0.25">
      <c r="A5835">
        <v>2028</v>
      </c>
      <c r="B5835" s="140" t="s">
        <v>331</v>
      </c>
      <c r="C5835" s="140" t="s">
        <v>50</v>
      </c>
      <c r="D5835" s="140" t="s">
        <v>11</v>
      </c>
      <c r="E5835" s="140" t="s">
        <v>12</v>
      </c>
      <c r="F5835">
        <v>90.055958720000007</v>
      </c>
      <c r="G5835" s="140" t="s">
        <v>332</v>
      </c>
      <c r="H5835">
        <v>0</v>
      </c>
      <c r="I5835" s="140" t="s">
        <v>14</v>
      </c>
    </row>
    <row r="5836" spans="1:9" hidden="1" x14ac:dyDescent="0.25">
      <c r="A5836">
        <v>2009</v>
      </c>
      <c r="B5836" s="140" t="s">
        <v>152</v>
      </c>
      <c r="C5836" s="140" t="s">
        <v>150</v>
      </c>
      <c r="D5836" s="140" t="s">
        <v>11</v>
      </c>
      <c r="E5836" s="140" t="s">
        <v>12</v>
      </c>
      <c r="F5836">
        <v>4025</v>
      </c>
      <c r="G5836" s="140" t="s">
        <v>439</v>
      </c>
      <c r="H5836">
        <v>0</v>
      </c>
      <c r="I5836" s="140" t="s">
        <v>62</v>
      </c>
    </row>
    <row r="5837" spans="1:9" hidden="1" x14ac:dyDescent="0.25">
      <c r="A5837">
        <v>2010</v>
      </c>
      <c r="B5837" s="140" t="s">
        <v>152</v>
      </c>
      <c r="C5837" s="140" t="s">
        <v>150</v>
      </c>
      <c r="D5837" s="140" t="s">
        <v>11</v>
      </c>
      <c r="E5837" s="140" t="s">
        <v>12</v>
      </c>
      <c r="F5837">
        <v>4043</v>
      </c>
      <c r="G5837" s="140" t="s">
        <v>439</v>
      </c>
      <c r="H5837">
        <v>0</v>
      </c>
      <c r="I5837" s="140" t="s">
        <v>62</v>
      </c>
    </row>
    <row r="5838" spans="1:9" hidden="1" x14ac:dyDescent="0.25">
      <c r="A5838">
        <v>2011</v>
      </c>
      <c r="B5838" s="140" t="s">
        <v>152</v>
      </c>
      <c r="C5838" s="140" t="s">
        <v>150</v>
      </c>
      <c r="D5838" s="140" t="s">
        <v>11</v>
      </c>
      <c r="E5838" s="140" t="s">
        <v>12</v>
      </c>
      <c r="F5838">
        <v>4059</v>
      </c>
      <c r="G5838" s="140" t="s">
        <v>439</v>
      </c>
      <c r="H5838">
        <v>0</v>
      </c>
      <c r="I5838" s="140" t="s">
        <v>62</v>
      </c>
    </row>
    <row r="5839" spans="1:9" hidden="1" x14ac:dyDescent="0.25">
      <c r="A5839">
        <v>2012</v>
      </c>
      <c r="B5839" s="140" t="s">
        <v>152</v>
      </c>
      <c r="C5839" s="140" t="s">
        <v>150</v>
      </c>
      <c r="D5839" s="140" t="s">
        <v>11</v>
      </c>
      <c r="E5839" s="140" t="s">
        <v>12</v>
      </c>
      <c r="F5839">
        <v>4075</v>
      </c>
      <c r="G5839" s="140" t="s">
        <v>439</v>
      </c>
      <c r="H5839">
        <v>0</v>
      </c>
      <c r="I5839" s="140" t="s">
        <v>62</v>
      </c>
    </row>
    <row r="5840" spans="1:9" hidden="1" x14ac:dyDescent="0.25">
      <c r="A5840">
        <v>2013</v>
      </c>
      <c r="B5840" s="140" t="s">
        <v>152</v>
      </c>
      <c r="C5840" s="140" t="s">
        <v>150</v>
      </c>
      <c r="D5840" s="140" t="s">
        <v>11</v>
      </c>
      <c r="E5840" s="140" t="s">
        <v>12</v>
      </c>
      <c r="F5840">
        <v>4087</v>
      </c>
      <c r="G5840" s="140" t="s">
        <v>439</v>
      </c>
      <c r="H5840">
        <v>0</v>
      </c>
      <c r="I5840" s="140" t="s">
        <v>62</v>
      </c>
    </row>
    <row r="5841" spans="1:9" hidden="1" x14ac:dyDescent="0.25">
      <c r="A5841">
        <v>2014</v>
      </c>
      <c r="B5841" s="140" t="s">
        <v>152</v>
      </c>
      <c r="C5841" s="140" t="s">
        <v>150</v>
      </c>
      <c r="D5841" s="140" t="s">
        <v>11</v>
      </c>
      <c r="E5841" s="140" t="s">
        <v>12</v>
      </c>
      <c r="F5841">
        <v>4095</v>
      </c>
      <c r="G5841" s="140" t="s">
        <v>439</v>
      </c>
      <c r="H5841">
        <v>0</v>
      </c>
      <c r="I5841" s="140" t="s">
        <v>62</v>
      </c>
    </row>
    <row r="5842" spans="1:9" hidden="1" x14ac:dyDescent="0.25">
      <c r="A5842">
        <v>2015</v>
      </c>
      <c r="B5842" s="140" t="s">
        <v>152</v>
      </c>
      <c r="C5842" s="140" t="s">
        <v>150</v>
      </c>
      <c r="D5842" s="140" t="s">
        <v>11</v>
      </c>
      <c r="E5842" s="140" t="s">
        <v>12</v>
      </c>
      <c r="F5842">
        <v>4102</v>
      </c>
      <c r="G5842" s="140" t="s">
        <v>439</v>
      </c>
      <c r="H5842">
        <v>0</v>
      </c>
      <c r="I5842" s="140" t="s">
        <v>62</v>
      </c>
    </row>
    <row r="5843" spans="1:9" hidden="1" x14ac:dyDescent="0.25">
      <c r="A5843">
        <v>2016</v>
      </c>
      <c r="B5843" s="140" t="s">
        <v>152</v>
      </c>
      <c r="C5843" s="140" t="s">
        <v>150</v>
      </c>
      <c r="D5843" s="140" t="s">
        <v>11</v>
      </c>
      <c r="E5843" s="140" t="s">
        <v>12</v>
      </c>
      <c r="F5843">
        <v>4109</v>
      </c>
      <c r="G5843" s="140" t="s">
        <v>439</v>
      </c>
      <c r="H5843">
        <v>0</v>
      </c>
      <c r="I5843" s="140" t="s">
        <v>62</v>
      </c>
    </row>
    <row r="5844" spans="1:9" hidden="1" x14ac:dyDescent="0.25">
      <c r="A5844">
        <v>2017</v>
      </c>
      <c r="B5844" s="140" t="s">
        <v>152</v>
      </c>
      <c r="C5844" s="140" t="s">
        <v>150</v>
      </c>
      <c r="D5844" s="140" t="s">
        <v>11</v>
      </c>
      <c r="E5844" s="140" t="s">
        <v>12</v>
      </c>
      <c r="F5844">
        <v>4114</v>
      </c>
      <c r="G5844" s="140" t="s">
        <v>439</v>
      </c>
      <c r="H5844">
        <v>0</v>
      </c>
      <c r="I5844" s="140" t="s">
        <v>62</v>
      </c>
    </row>
    <row r="5845" spans="1:9" hidden="1" x14ac:dyDescent="0.25">
      <c r="A5845">
        <v>2018</v>
      </c>
      <c r="B5845" s="140" t="s">
        <v>152</v>
      </c>
      <c r="C5845" s="140" t="s">
        <v>150</v>
      </c>
      <c r="D5845" s="140" t="s">
        <v>11</v>
      </c>
      <c r="E5845" s="140" t="s">
        <v>12</v>
      </c>
      <c r="F5845">
        <v>4124</v>
      </c>
      <c r="G5845" s="140" t="s">
        <v>439</v>
      </c>
      <c r="H5845">
        <v>0</v>
      </c>
      <c r="I5845" s="140" t="s">
        <v>62</v>
      </c>
    </row>
    <row r="5846" spans="1:9" hidden="1" x14ac:dyDescent="0.25">
      <c r="A5846">
        <v>2019</v>
      </c>
      <c r="B5846" s="140" t="s">
        <v>152</v>
      </c>
      <c r="C5846" s="140" t="s">
        <v>150</v>
      </c>
      <c r="D5846" s="140" t="s">
        <v>11</v>
      </c>
      <c r="E5846" s="140" t="s">
        <v>12</v>
      </c>
      <c r="F5846">
        <v>4128</v>
      </c>
      <c r="G5846" s="140" t="s">
        <v>439</v>
      </c>
      <c r="H5846">
        <v>0</v>
      </c>
      <c r="I5846" s="140" t="s">
        <v>62</v>
      </c>
    </row>
    <row r="5847" spans="1:9" hidden="1" x14ac:dyDescent="0.25">
      <c r="A5847">
        <v>2020</v>
      </c>
      <c r="B5847" s="140" t="s">
        <v>152</v>
      </c>
      <c r="C5847" s="140" t="s">
        <v>150</v>
      </c>
      <c r="D5847" s="140" t="s">
        <v>11</v>
      </c>
      <c r="E5847" s="140" t="s">
        <v>12</v>
      </c>
      <c r="F5847">
        <v>4133</v>
      </c>
      <c r="G5847" s="140" t="s">
        <v>439</v>
      </c>
      <c r="H5847">
        <v>0</v>
      </c>
      <c r="I5847" s="140" t="s">
        <v>62</v>
      </c>
    </row>
    <row r="5848" spans="1:9" hidden="1" x14ac:dyDescent="0.25">
      <c r="A5848">
        <v>2021</v>
      </c>
      <c r="B5848" s="140" t="s">
        <v>152</v>
      </c>
      <c r="C5848" s="140" t="s">
        <v>150</v>
      </c>
      <c r="D5848" s="140" t="s">
        <v>11</v>
      </c>
      <c r="E5848" s="140" t="s">
        <v>12</v>
      </c>
      <c r="F5848">
        <v>4123</v>
      </c>
      <c r="G5848" s="140" t="s">
        <v>439</v>
      </c>
      <c r="H5848">
        <v>0</v>
      </c>
      <c r="I5848" s="140" t="s">
        <v>62</v>
      </c>
    </row>
    <row r="5849" spans="1:9" hidden="1" x14ac:dyDescent="0.25">
      <c r="A5849">
        <v>2022</v>
      </c>
      <c r="B5849" s="140" t="s">
        <v>152</v>
      </c>
      <c r="C5849" s="140" t="s">
        <v>150</v>
      </c>
      <c r="D5849" s="140" t="s">
        <v>11</v>
      </c>
      <c r="E5849" s="140" t="s">
        <v>12</v>
      </c>
      <c r="F5849">
        <v>4120</v>
      </c>
      <c r="G5849" s="140" t="s">
        <v>439</v>
      </c>
      <c r="H5849">
        <v>0</v>
      </c>
      <c r="I5849" s="140" t="s">
        <v>62</v>
      </c>
    </row>
    <row r="5850" spans="1:9" hidden="1" x14ac:dyDescent="0.25">
      <c r="A5850">
        <v>2023</v>
      </c>
      <c r="B5850" s="140" t="s">
        <v>152</v>
      </c>
      <c r="C5850" s="140" t="s">
        <v>150</v>
      </c>
      <c r="D5850" s="140" t="s">
        <v>11</v>
      </c>
      <c r="E5850" s="140" t="s">
        <v>12</v>
      </c>
      <c r="F5850">
        <v>4131</v>
      </c>
      <c r="G5850" s="140" t="s">
        <v>439</v>
      </c>
      <c r="H5850">
        <v>0</v>
      </c>
      <c r="I5850" s="140" t="s">
        <v>62</v>
      </c>
    </row>
    <row r="5851" spans="1:9" hidden="1" x14ac:dyDescent="0.25">
      <c r="A5851">
        <v>2024</v>
      </c>
      <c r="B5851" s="140" t="s">
        <v>152</v>
      </c>
      <c r="C5851" s="140" t="s">
        <v>150</v>
      </c>
      <c r="D5851" s="140" t="s">
        <v>11</v>
      </c>
      <c r="E5851" s="140" t="s">
        <v>12</v>
      </c>
      <c r="F5851">
        <v>4153</v>
      </c>
      <c r="G5851" s="140" t="s">
        <v>439</v>
      </c>
      <c r="H5851">
        <v>0</v>
      </c>
      <c r="I5851" s="140" t="s">
        <v>62</v>
      </c>
    </row>
    <row r="5852" spans="1:9" hidden="1" x14ac:dyDescent="0.25">
      <c r="A5852">
        <v>2025</v>
      </c>
      <c r="B5852" s="140" t="s">
        <v>152</v>
      </c>
      <c r="C5852" s="140" t="s">
        <v>150</v>
      </c>
      <c r="D5852" s="140" t="s">
        <v>11</v>
      </c>
      <c r="E5852" s="140" t="s">
        <v>12</v>
      </c>
      <c r="F5852">
        <v>4167</v>
      </c>
      <c r="G5852" s="140" t="s">
        <v>439</v>
      </c>
      <c r="H5852">
        <v>0</v>
      </c>
      <c r="I5852" s="140" t="s">
        <v>62</v>
      </c>
    </row>
    <row r="5853" spans="1:9" hidden="1" x14ac:dyDescent="0.25">
      <c r="A5853">
        <v>2026</v>
      </c>
      <c r="B5853" s="140" t="s">
        <v>152</v>
      </c>
      <c r="C5853" s="140" t="s">
        <v>150</v>
      </c>
      <c r="D5853" s="140" t="s">
        <v>11</v>
      </c>
      <c r="E5853" s="140" t="s">
        <v>12</v>
      </c>
      <c r="F5853">
        <v>4174.7415700000001</v>
      </c>
      <c r="G5853" s="140" t="s">
        <v>439</v>
      </c>
      <c r="H5853">
        <v>0</v>
      </c>
      <c r="I5853" s="140" t="s">
        <v>62</v>
      </c>
    </row>
    <row r="5854" spans="1:9" hidden="1" x14ac:dyDescent="0.25">
      <c r="A5854">
        <v>2027</v>
      </c>
      <c r="B5854" s="140" t="s">
        <v>152</v>
      </c>
      <c r="C5854" s="140" t="s">
        <v>150</v>
      </c>
      <c r="D5854" s="140" t="s">
        <v>11</v>
      </c>
      <c r="E5854" s="140" t="s">
        <v>12</v>
      </c>
      <c r="F5854">
        <v>4179.4969259999998</v>
      </c>
      <c r="G5854" s="140" t="s">
        <v>439</v>
      </c>
      <c r="H5854">
        <v>0</v>
      </c>
      <c r="I5854" s="140" t="s">
        <v>62</v>
      </c>
    </row>
    <row r="5855" spans="1:9" hidden="1" x14ac:dyDescent="0.25">
      <c r="A5855">
        <v>2028</v>
      </c>
      <c r="B5855" s="140" t="s">
        <v>152</v>
      </c>
      <c r="C5855" s="140" t="s">
        <v>150</v>
      </c>
      <c r="D5855" s="140" t="s">
        <v>11</v>
      </c>
      <c r="E5855" s="140" t="s">
        <v>12</v>
      </c>
      <c r="F5855">
        <v>4185.2934800000003</v>
      </c>
      <c r="G5855" s="140" t="s">
        <v>439</v>
      </c>
      <c r="H5855">
        <v>0</v>
      </c>
      <c r="I5855" s="140" t="s">
        <v>62</v>
      </c>
    </row>
    <row r="5856" spans="1:9" hidden="1" x14ac:dyDescent="0.25">
      <c r="A5856">
        <v>2009</v>
      </c>
      <c r="B5856" s="140" t="s">
        <v>149</v>
      </c>
      <c r="C5856" s="140" t="s">
        <v>150</v>
      </c>
      <c r="D5856" s="140" t="s">
        <v>11</v>
      </c>
      <c r="E5856" s="140" t="s">
        <v>12</v>
      </c>
      <c r="F5856">
        <v>3547</v>
      </c>
      <c r="G5856" s="140" t="s">
        <v>151</v>
      </c>
      <c r="H5856">
        <v>0</v>
      </c>
      <c r="I5856" s="140" t="s">
        <v>62</v>
      </c>
    </row>
    <row r="5857" spans="1:9" hidden="1" x14ac:dyDescent="0.25">
      <c r="A5857">
        <v>2010</v>
      </c>
      <c r="B5857" s="140" t="s">
        <v>149</v>
      </c>
      <c r="C5857" s="140" t="s">
        <v>150</v>
      </c>
      <c r="D5857" s="140" t="s">
        <v>11</v>
      </c>
      <c r="E5857" s="140" t="s">
        <v>12</v>
      </c>
      <c r="F5857">
        <v>3555</v>
      </c>
      <c r="G5857" s="140" t="s">
        <v>151</v>
      </c>
      <c r="H5857">
        <v>0</v>
      </c>
      <c r="I5857" s="140" t="s">
        <v>62</v>
      </c>
    </row>
    <row r="5858" spans="1:9" hidden="1" x14ac:dyDescent="0.25">
      <c r="A5858">
        <v>2011</v>
      </c>
      <c r="B5858" s="140" t="s">
        <v>149</v>
      </c>
      <c r="C5858" s="140" t="s">
        <v>150</v>
      </c>
      <c r="D5858" s="140" t="s">
        <v>11</v>
      </c>
      <c r="E5858" s="140" t="s">
        <v>12</v>
      </c>
      <c r="F5858">
        <v>3539</v>
      </c>
      <c r="G5858" s="140" t="s">
        <v>151</v>
      </c>
      <c r="H5858">
        <v>0</v>
      </c>
      <c r="I5858" s="140" t="s">
        <v>62</v>
      </c>
    </row>
    <row r="5859" spans="1:9" hidden="1" x14ac:dyDescent="0.25">
      <c r="A5859">
        <v>2012</v>
      </c>
      <c r="B5859" s="140" t="s">
        <v>149</v>
      </c>
      <c r="C5859" s="140" t="s">
        <v>150</v>
      </c>
      <c r="D5859" s="140" t="s">
        <v>11</v>
      </c>
      <c r="E5859" s="140" t="s">
        <v>12</v>
      </c>
      <c r="F5859">
        <v>3524</v>
      </c>
      <c r="G5859" s="140" t="s">
        <v>151</v>
      </c>
      <c r="H5859">
        <v>0</v>
      </c>
      <c r="I5859" s="140" t="s">
        <v>62</v>
      </c>
    </row>
    <row r="5860" spans="1:9" hidden="1" x14ac:dyDescent="0.25">
      <c r="A5860">
        <v>2013</v>
      </c>
      <c r="B5860" s="140" t="s">
        <v>149</v>
      </c>
      <c r="C5860" s="140" t="s">
        <v>150</v>
      </c>
      <c r="D5860" s="140" t="s">
        <v>11</v>
      </c>
      <c r="E5860" s="140" t="s">
        <v>12</v>
      </c>
      <c r="F5860">
        <v>3508</v>
      </c>
      <c r="G5860" s="140" t="s">
        <v>151</v>
      </c>
      <c r="H5860">
        <v>0</v>
      </c>
      <c r="I5860" s="140" t="s">
        <v>62</v>
      </c>
    </row>
    <row r="5861" spans="1:9" hidden="1" x14ac:dyDescent="0.25">
      <c r="A5861">
        <v>2014</v>
      </c>
      <c r="B5861" s="140" t="s">
        <v>149</v>
      </c>
      <c r="C5861" s="140" t="s">
        <v>150</v>
      </c>
      <c r="D5861" s="140" t="s">
        <v>11</v>
      </c>
      <c r="E5861" s="140" t="s">
        <v>12</v>
      </c>
      <c r="F5861">
        <v>3491</v>
      </c>
      <c r="G5861" s="140" t="s">
        <v>151</v>
      </c>
      <c r="H5861">
        <v>0</v>
      </c>
      <c r="I5861" s="140" t="s">
        <v>62</v>
      </c>
    </row>
    <row r="5862" spans="1:9" hidden="1" x14ac:dyDescent="0.25">
      <c r="A5862">
        <v>2015</v>
      </c>
      <c r="B5862" s="140" t="s">
        <v>149</v>
      </c>
      <c r="C5862" s="140" t="s">
        <v>150</v>
      </c>
      <c r="D5862" s="140" t="s">
        <v>11</v>
      </c>
      <c r="E5862" s="140" t="s">
        <v>12</v>
      </c>
      <c r="F5862">
        <v>3476</v>
      </c>
      <c r="G5862" s="140" t="s">
        <v>151</v>
      </c>
      <c r="H5862">
        <v>0</v>
      </c>
      <c r="I5862" s="140" t="s">
        <v>62</v>
      </c>
    </row>
    <row r="5863" spans="1:9" hidden="1" x14ac:dyDescent="0.25">
      <c r="A5863">
        <v>2016</v>
      </c>
      <c r="B5863" s="140" t="s">
        <v>149</v>
      </c>
      <c r="C5863" s="140" t="s">
        <v>150</v>
      </c>
      <c r="D5863" s="140" t="s">
        <v>11</v>
      </c>
      <c r="E5863" s="140" t="s">
        <v>12</v>
      </c>
      <c r="F5863">
        <v>3463</v>
      </c>
      <c r="G5863" s="140" t="s">
        <v>151</v>
      </c>
      <c r="H5863">
        <v>0</v>
      </c>
      <c r="I5863" s="140" t="s">
        <v>62</v>
      </c>
    </row>
    <row r="5864" spans="1:9" hidden="1" x14ac:dyDescent="0.25">
      <c r="A5864">
        <v>2017</v>
      </c>
      <c r="B5864" s="140" t="s">
        <v>149</v>
      </c>
      <c r="C5864" s="140" t="s">
        <v>150</v>
      </c>
      <c r="D5864" s="140" t="s">
        <v>11</v>
      </c>
      <c r="E5864" s="140" t="s">
        <v>12</v>
      </c>
      <c r="F5864">
        <v>3451</v>
      </c>
      <c r="G5864" s="140" t="s">
        <v>151</v>
      </c>
      <c r="H5864">
        <v>0</v>
      </c>
      <c r="I5864" s="140" t="s">
        <v>62</v>
      </c>
    </row>
    <row r="5865" spans="1:9" hidden="1" x14ac:dyDescent="0.25">
      <c r="A5865">
        <v>2018</v>
      </c>
      <c r="B5865" s="140" t="s">
        <v>149</v>
      </c>
      <c r="C5865" s="140" t="s">
        <v>150</v>
      </c>
      <c r="D5865" s="140" t="s">
        <v>11</v>
      </c>
      <c r="E5865" s="140" t="s">
        <v>12</v>
      </c>
      <c r="F5865">
        <v>3439</v>
      </c>
      <c r="G5865" s="140" t="s">
        <v>151</v>
      </c>
      <c r="H5865">
        <v>0</v>
      </c>
      <c r="I5865" s="140" t="s">
        <v>62</v>
      </c>
    </row>
    <row r="5866" spans="1:9" hidden="1" x14ac:dyDescent="0.25">
      <c r="A5866">
        <v>2019</v>
      </c>
      <c r="B5866" s="140" t="s">
        <v>149</v>
      </c>
      <c r="C5866" s="140" t="s">
        <v>150</v>
      </c>
      <c r="D5866" s="140" t="s">
        <v>11</v>
      </c>
      <c r="E5866" s="140" t="s">
        <v>12</v>
      </c>
      <c r="F5866">
        <v>3428</v>
      </c>
      <c r="G5866" s="140" t="s">
        <v>151</v>
      </c>
      <c r="H5866">
        <v>0</v>
      </c>
      <c r="I5866" s="140" t="s">
        <v>62</v>
      </c>
    </row>
    <row r="5867" spans="1:9" hidden="1" x14ac:dyDescent="0.25">
      <c r="A5867">
        <v>2020</v>
      </c>
      <c r="B5867" s="140" t="s">
        <v>149</v>
      </c>
      <c r="C5867" s="140" t="s">
        <v>150</v>
      </c>
      <c r="D5867" s="140" t="s">
        <v>11</v>
      </c>
      <c r="E5867" s="140" t="s">
        <v>12</v>
      </c>
      <c r="F5867">
        <v>3421</v>
      </c>
      <c r="G5867" s="140" t="s">
        <v>151</v>
      </c>
      <c r="H5867">
        <v>0</v>
      </c>
      <c r="I5867" s="140" t="s">
        <v>62</v>
      </c>
    </row>
    <row r="5868" spans="1:9" hidden="1" x14ac:dyDescent="0.25">
      <c r="A5868">
        <v>2021</v>
      </c>
      <c r="B5868" s="140" t="s">
        <v>149</v>
      </c>
      <c r="C5868" s="140" t="s">
        <v>150</v>
      </c>
      <c r="D5868" s="140" t="s">
        <v>11</v>
      </c>
      <c r="E5868" s="140" t="s">
        <v>12</v>
      </c>
      <c r="F5868">
        <v>3417</v>
      </c>
      <c r="G5868" s="140" t="s">
        <v>151</v>
      </c>
      <c r="H5868">
        <v>0</v>
      </c>
      <c r="I5868" s="140" t="s">
        <v>62</v>
      </c>
    </row>
    <row r="5869" spans="1:9" hidden="1" x14ac:dyDescent="0.25">
      <c r="A5869">
        <v>2022</v>
      </c>
      <c r="B5869" s="140" t="s">
        <v>149</v>
      </c>
      <c r="C5869" s="140" t="s">
        <v>150</v>
      </c>
      <c r="D5869" s="140" t="s">
        <v>11</v>
      </c>
      <c r="E5869" s="140" t="s">
        <v>12</v>
      </c>
      <c r="F5869">
        <v>3421</v>
      </c>
      <c r="G5869" s="140" t="s">
        <v>151</v>
      </c>
      <c r="H5869">
        <v>0</v>
      </c>
      <c r="I5869" s="140" t="s">
        <v>62</v>
      </c>
    </row>
    <row r="5870" spans="1:9" hidden="1" x14ac:dyDescent="0.25">
      <c r="A5870">
        <v>2023</v>
      </c>
      <c r="B5870" s="140" t="s">
        <v>149</v>
      </c>
      <c r="C5870" s="140" t="s">
        <v>150</v>
      </c>
      <c r="D5870" s="140" t="s">
        <v>11</v>
      </c>
      <c r="E5870" s="140" t="s">
        <v>12</v>
      </c>
      <c r="F5870">
        <v>3442</v>
      </c>
      <c r="G5870" s="140" t="s">
        <v>151</v>
      </c>
      <c r="H5870">
        <v>0</v>
      </c>
      <c r="I5870" s="140" t="s">
        <v>62</v>
      </c>
    </row>
    <row r="5871" spans="1:9" hidden="1" x14ac:dyDescent="0.25">
      <c r="A5871">
        <v>2024</v>
      </c>
      <c r="B5871" s="140" t="s">
        <v>149</v>
      </c>
      <c r="C5871" s="140" t="s">
        <v>150</v>
      </c>
      <c r="D5871" s="140" t="s">
        <v>11</v>
      </c>
      <c r="E5871" s="140" t="s">
        <v>12</v>
      </c>
      <c r="F5871">
        <v>3473</v>
      </c>
      <c r="G5871" s="140" t="s">
        <v>151</v>
      </c>
      <c r="H5871">
        <v>0</v>
      </c>
      <c r="I5871" s="140" t="s">
        <v>62</v>
      </c>
    </row>
    <row r="5872" spans="1:9" hidden="1" x14ac:dyDescent="0.25">
      <c r="A5872">
        <v>2025</v>
      </c>
      <c r="B5872" s="140" t="s">
        <v>149</v>
      </c>
      <c r="C5872" s="140" t="s">
        <v>150</v>
      </c>
      <c r="D5872" s="140" t="s">
        <v>11</v>
      </c>
      <c r="E5872" s="140" t="s">
        <v>12</v>
      </c>
      <c r="F5872">
        <v>3493</v>
      </c>
      <c r="G5872" s="140" t="s">
        <v>151</v>
      </c>
      <c r="H5872">
        <v>0</v>
      </c>
      <c r="I5872" s="140" t="s">
        <v>62</v>
      </c>
    </row>
    <row r="5873" spans="1:9" hidden="1" x14ac:dyDescent="0.25">
      <c r="A5873">
        <v>2026</v>
      </c>
      <c r="B5873" s="140" t="s">
        <v>149</v>
      </c>
      <c r="C5873" s="140" t="s">
        <v>150</v>
      </c>
      <c r="D5873" s="140" t="s">
        <v>11</v>
      </c>
      <c r="E5873" s="140" t="s">
        <v>12</v>
      </c>
      <c r="F5873">
        <v>3499.4893940000002</v>
      </c>
      <c r="G5873" s="140" t="s">
        <v>151</v>
      </c>
      <c r="H5873">
        <v>0</v>
      </c>
      <c r="I5873" s="140" t="s">
        <v>62</v>
      </c>
    </row>
    <row r="5874" spans="1:9" hidden="1" x14ac:dyDescent="0.25">
      <c r="A5874">
        <v>2027</v>
      </c>
      <c r="B5874" s="140" t="s">
        <v>149</v>
      </c>
      <c r="C5874" s="140" t="s">
        <v>150</v>
      </c>
      <c r="D5874" s="140" t="s">
        <v>11</v>
      </c>
      <c r="E5874" s="140" t="s">
        <v>12</v>
      </c>
      <c r="F5874">
        <v>3503.4755850000001</v>
      </c>
      <c r="G5874" s="140" t="s">
        <v>151</v>
      </c>
      <c r="H5874">
        <v>0</v>
      </c>
      <c r="I5874" s="140" t="s">
        <v>62</v>
      </c>
    </row>
    <row r="5875" spans="1:9" hidden="1" x14ac:dyDescent="0.25">
      <c r="A5875">
        <v>2028</v>
      </c>
      <c r="B5875" s="140" t="s">
        <v>149</v>
      </c>
      <c r="C5875" s="140" t="s">
        <v>150</v>
      </c>
      <c r="D5875" s="140" t="s">
        <v>11</v>
      </c>
      <c r="E5875" s="140" t="s">
        <v>12</v>
      </c>
      <c r="F5875">
        <v>3508.3345639999998</v>
      </c>
      <c r="G5875" s="140" t="s">
        <v>151</v>
      </c>
      <c r="H5875">
        <v>0</v>
      </c>
      <c r="I5875" s="140" t="s">
        <v>62</v>
      </c>
    </row>
    <row r="5876" spans="1:9" hidden="1" x14ac:dyDescent="0.25">
      <c r="A5876">
        <v>2029</v>
      </c>
      <c r="B5876" s="140" t="s">
        <v>149</v>
      </c>
      <c r="C5876" s="140" t="s">
        <v>150</v>
      </c>
      <c r="D5876" s="140" t="s">
        <v>11</v>
      </c>
      <c r="E5876" s="140" t="s">
        <v>12</v>
      </c>
      <c r="F5876">
        <v>3511.7619880000002</v>
      </c>
      <c r="G5876" s="140" t="s">
        <v>151</v>
      </c>
      <c r="H5876">
        <v>0</v>
      </c>
      <c r="I5876" s="140" t="s">
        <v>62</v>
      </c>
    </row>
    <row r="5877" spans="1:9" hidden="1" x14ac:dyDescent="0.25">
      <c r="A5877">
        <v>2030</v>
      </c>
      <c r="B5877" s="140" t="s">
        <v>149</v>
      </c>
      <c r="C5877" s="140" t="s">
        <v>150</v>
      </c>
      <c r="D5877" s="140" t="s">
        <v>11</v>
      </c>
      <c r="E5877" s="140" t="s">
        <v>12</v>
      </c>
      <c r="F5877">
        <v>3514.0292060000002</v>
      </c>
      <c r="G5877" s="140" t="s">
        <v>151</v>
      </c>
      <c r="H5877">
        <v>0</v>
      </c>
      <c r="I5877" s="140" t="s">
        <v>62</v>
      </c>
    </row>
    <row r="5878" spans="1:9" hidden="1" x14ac:dyDescent="0.25">
      <c r="A5878">
        <v>2009</v>
      </c>
      <c r="B5878" s="140" t="s">
        <v>540</v>
      </c>
      <c r="C5878" s="140" t="s">
        <v>150</v>
      </c>
      <c r="D5878" s="140" t="s">
        <v>11</v>
      </c>
      <c r="E5878" s="140" t="s">
        <v>12</v>
      </c>
      <c r="F5878">
        <v>3213</v>
      </c>
      <c r="G5878" s="140" t="s">
        <v>541</v>
      </c>
      <c r="H5878">
        <v>0</v>
      </c>
      <c r="I5878" s="140" t="s">
        <v>62</v>
      </c>
    </row>
    <row r="5879" spans="1:9" hidden="1" x14ac:dyDescent="0.25">
      <c r="A5879">
        <v>2010</v>
      </c>
      <c r="B5879" s="140" t="s">
        <v>540</v>
      </c>
      <c r="C5879" s="140" t="s">
        <v>150</v>
      </c>
      <c r="D5879" s="140" t="s">
        <v>11</v>
      </c>
      <c r="E5879" s="140" t="s">
        <v>12</v>
      </c>
      <c r="F5879">
        <v>3221</v>
      </c>
      <c r="G5879" s="140" t="s">
        <v>541</v>
      </c>
      <c r="H5879">
        <v>0</v>
      </c>
      <c r="I5879" s="140" t="s">
        <v>62</v>
      </c>
    </row>
    <row r="5880" spans="1:9" hidden="1" x14ac:dyDescent="0.25">
      <c r="A5880">
        <v>2011</v>
      </c>
      <c r="B5880" s="140" t="s">
        <v>540</v>
      </c>
      <c r="C5880" s="140" t="s">
        <v>150</v>
      </c>
      <c r="D5880" s="140" t="s">
        <v>11</v>
      </c>
      <c r="E5880" s="140" t="s">
        <v>12</v>
      </c>
      <c r="F5880">
        <v>3209</v>
      </c>
      <c r="G5880" s="140" t="s">
        <v>541</v>
      </c>
      <c r="H5880">
        <v>0</v>
      </c>
      <c r="I5880" s="140" t="s">
        <v>62</v>
      </c>
    </row>
    <row r="5881" spans="1:9" hidden="1" x14ac:dyDescent="0.25">
      <c r="A5881">
        <v>2012</v>
      </c>
      <c r="B5881" s="140" t="s">
        <v>540</v>
      </c>
      <c r="C5881" s="140" t="s">
        <v>150</v>
      </c>
      <c r="D5881" s="140" t="s">
        <v>11</v>
      </c>
      <c r="E5881" s="140" t="s">
        <v>12</v>
      </c>
      <c r="F5881">
        <v>3200</v>
      </c>
      <c r="G5881" s="140" t="s">
        <v>541</v>
      </c>
      <c r="H5881">
        <v>0</v>
      </c>
      <c r="I5881" s="140" t="s">
        <v>62</v>
      </c>
    </row>
    <row r="5882" spans="1:9" hidden="1" x14ac:dyDescent="0.25">
      <c r="A5882">
        <v>2013</v>
      </c>
      <c r="B5882" s="140" t="s">
        <v>540</v>
      </c>
      <c r="C5882" s="140" t="s">
        <v>150</v>
      </c>
      <c r="D5882" s="140" t="s">
        <v>11</v>
      </c>
      <c r="E5882" s="140" t="s">
        <v>12</v>
      </c>
      <c r="F5882">
        <v>3191</v>
      </c>
      <c r="G5882" s="140" t="s">
        <v>541</v>
      </c>
      <c r="H5882">
        <v>0</v>
      </c>
      <c r="I5882" s="140" t="s">
        <v>62</v>
      </c>
    </row>
    <row r="5883" spans="1:9" hidden="1" x14ac:dyDescent="0.25">
      <c r="A5883">
        <v>2014</v>
      </c>
      <c r="B5883" s="140" t="s">
        <v>540</v>
      </c>
      <c r="C5883" s="140" t="s">
        <v>150</v>
      </c>
      <c r="D5883" s="140" t="s">
        <v>11</v>
      </c>
      <c r="E5883" s="140" t="s">
        <v>12</v>
      </c>
      <c r="F5883">
        <v>3181</v>
      </c>
      <c r="G5883" s="140" t="s">
        <v>541</v>
      </c>
      <c r="H5883">
        <v>0</v>
      </c>
      <c r="I5883" s="140" t="s">
        <v>62</v>
      </c>
    </row>
    <row r="5884" spans="1:9" hidden="1" x14ac:dyDescent="0.25">
      <c r="A5884">
        <v>2015</v>
      </c>
      <c r="B5884" s="140" t="s">
        <v>540</v>
      </c>
      <c r="C5884" s="140" t="s">
        <v>150</v>
      </c>
      <c r="D5884" s="140" t="s">
        <v>11</v>
      </c>
      <c r="E5884" s="140" t="s">
        <v>12</v>
      </c>
      <c r="F5884">
        <v>3172</v>
      </c>
      <c r="G5884" s="140" t="s">
        <v>541</v>
      </c>
      <c r="H5884">
        <v>0</v>
      </c>
      <c r="I5884" s="140" t="s">
        <v>62</v>
      </c>
    </row>
    <row r="5885" spans="1:9" hidden="1" x14ac:dyDescent="0.25">
      <c r="A5885">
        <v>2016</v>
      </c>
      <c r="B5885" s="140" t="s">
        <v>540</v>
      </c>
      <c r="C5885" s="140" t="s">
        <v>150</v>
      </c>
      <c r="D5885" s="140" t="s">
        <v>11</v>
      </c>
      <c r="E5885" s="140" t="s">
        <v>12</v>
      </c>
      <c r="F5885">
        <v>3163</v>
      </c>
      <c r="G5885" s="140" t="s">
        <v>541</v>
      </c>
      <c r="H5885">
        <v>0</v>
      </c>
      <c r="I5885" s="140" t="s">
        <v>62</v>
      </c>
    </row>
    <row r="5886" spans="1:9" hidden="1" x14ac:dyDescent="0.25">
      <c r="A5886">
        <v>2017</v>
      </c>
      <c r="B5886" s="140" t="s">
        <v>540</v>
      </c>
      <c r="C5886" s="140" t="s">
        <v>150</v>
      </c>
      <c r="D5886" s="140" t="s">
        <v>11</v>
      </c>
      <c r="E5886" s="140" t="s">
        <v>12</v>
      </c>
      <c r="F5886">
        <v>3154</v>
      </c>
      <c r="G5886" s="140" t="s">
        <v>541</v>
      </c>
      <c r="H5886">
        <v>0</v>
      </c>
      <c r="I5886" s="140" t="s">
        <v>62</v>
      </c>
    </row>
    <row r="5887" spans="1:9" hidden="1" x14ac:dyDescent="0.25">
      <c r="A5887">
        <v>2018</v>
      </c>
      <c r="B5887" s="140" t="s">
        <v>540</v>
      </c>
      <c r="C5887" s="140" t="s">
        <v>150</v>
      </c>
      <c r="D5887" s="140" t="s">
        <v>11</v>
      </c>
      <c r="E5887" s="140" t="s">
        <v>12</v>
      </c>
      <c r="F5887">
        <v>3143</v>
      </c>
      <c r="G5887" s="140" t="s">
        <v>541</v>
      </c>
      <c r="H5887">
        <v>0</v>
      </c>
      <c r="I5887" s="140" t="s">
        <v>62</v>
      </c>
    </row>
    <row r="5888" spans="1:9" hidden="1" x14ac:dyDescent="0.25">
      <c r="A5888">
        <v>2019</v>
      </c>
      <c r="B5888" s="140" t="s">
        <v>540</v>
      </c>
      <c r="C5888" s="140" t="s">
        <v>150</v>
      </c>
      <c r="D5888" s="140" t="s">
        <v>11</v>
      </c>
      <c r="E5888" s="140" t="s">
        <v>12</v>
      </c>
      <c r="F5888">
        <v>3132</v>
      </c>
      <c r="G5888" s="140" t="s">
        <v>541</v>
      </c>
      <c r="H5888">
        <v>0</v>
      </c>
      <c r="I5888" s="140" t="s">
        <v>62</v>
      </c>
    </row>
    <row r="5889" spans="1:9" hidden="1" x14ac:dyDescent="0.25">
      <c r="A5889">
        <v>2020</v>
      </c>
      <c r="B5889" s="140" t="s">
        <v>540</v>
      </c>
      <c r="C5889" s="140" t="s">
        <v>150</v>
      </c>
      <c r="D5889" s="140" t="s">
        <v>11</v>
      </c>
      <c r="E5889" s="140" t="s">
        <v>12</v>
      </c>
      <c r="F5889">
        <v>3124</v>
      </c>
      <c r="G5889" s="140" t="s">
        <v>541</v>
      </c>
      <c r="H5889">
        <v>0</v>
      </c>
      <c r="I5889" s="140" t="s">
        <v>62</v>
      </c>
    </row>
    <row r="5890" spans="1:9" hidden="1" x14ac:dyDescent="0.25">
      <c r="A5890">
        <v>2021</v>
      </c>
      <c r="B5890" s="140" t="s">
        <v>540</v>
      </c>
      <c r="C5890" s="140" t="s">
        <v>150</v>
      </c>
      <c r="D5890" s="140" t="s">
        <v>11</v>
      </c>
      <c r="E5890" s="140" t="s">
        <v>12</v>
      </c>
      <c r="F5890">
        <v>3117</v>
      </c>
      <c r="G5890" s="140" t="s">
        <v>541</v>
      </c>
      <c r="H5890">
        <v>0</v>
      </c>
      <c r="I5890" s="140" t="s">
        <v>62</v>
      </c>
    </row>
    <row r="5891" spans="1:9" hidden="1" x14ac:dyDescent="0.25">
      <c r="A5891">
        <v>2022</v>
      </c>
      <c r="B5891" s="140" t="s">
        <v>540</v>
      </c>
      <c r="C5891" s="140" t="s">
        <v>150</v>
      </c>
      <c r="D5891" s="140" t="s">
        <v>11</v>
      </c>
      <c r="E5891" s="140" t="s">
        <v>12</v>
      </c>
      <c r="F5891">
        <v>3116</v>
      </c>
      <c r="G5891" s="140" t="s">
        <v>541</v>
      </c>
      <c r="H5891">
        <v>0</v>
      </c>
      <c r="I5891" s="140" t="s">
        <v>62</v>
      </c>
    </row>
    <row r="5892" spans="1:9" hidden="1" x14ac:dyDescent="0.25">
      <c r="A5892">
        <v>2023</v>
      </c>
      <c r="B5892" s="140" t="s">
        <v>540</v>
      </c>
      <c r="C5892" s="140" t="s">
        <v>150</v>
      </c>
      <c r="D5892" s="140" t="s">
        <v>11</v>
      </c>
      <c r="E5892" s="140" t="s">
        <v>12</v>
      </c>
      <c r="F5892">
        <v>3131</v>
      </c>
      <c r="G5892" s="140" t="s">
        <v>541</v>
      </c>
      <c r="H5892">
        <v>0</v>
      </c>
      <c r="I5892" s="140" t="s">
        <v>62</v>
      </c>
    </row>
    <row r="5893" spans="1:9" hidden="1" x14ac:dyDescent="0.25">
      <c r="A5893">
        <v>2024</v>
      </c>
      <c r="B5893" s="140" t="s">
        <v>540</v>
      </c>
      <c r="C5893" s="140" t="s">
        <v>150</v>
      </c>
      <c r="D5893" s="140" t="s">
        <v>11</v>
      </c>
      <c r="E5893" s="140" t="s">
        <v>12</v>
      </c>
      <c r="F5893">
        <v>3156</v>
      </c>
      <c r="G5893" s="140" t="s">
        <v>541</v>
      </c>
      <c r="H5893">
        <v>0</v>
      </c>
      <c r="I5893" s="140" t="s">
        <v>62</v>
      </c>
    </row>
    <row r="5894" spans="1:9" hidden="1" x14ac:dyDescent="0.25">
      <c r="A5894">
        <v>2025</v>
      </c>
      <c r="B5894" s="140" t="s">
        <v>540</v>
      </c>
      <c r="C5894" s="140" t="s">
        <v>150</v>
      </c>
      <c r="D5894" s="140" t="s">
        <v>11</v>
      </c>
      <c r="E5894" s="140" t="s">
        <v>12</v>
      </c>
      <c r="F5894">
        <v>3170</v>
      </c>
      <c r="G5894" s="140" t="s">
        <v>541</v>
      </c>
      <c r="H5894">
        <v>0</v>
      </c>
      <c r="I5894" s="140" t="s">
        <v>62</v>
      </c>
    </row>
    <row r="5895" spans="1:9" hidden="1" x14ac:dyDescent="0.25">
      <c r="A5895">
        <v>2026</v>
      </c>
      <c r="B5895" s="140" t="s">
        <v>540</v>
      </c>
      <c r="C5895" s="140" t="s">
        <v>150</v>
      </c>
      <c r="D5895" s="140" t="s">
        <v>11</v>
      </c>
      <c r="E5895" s="140" t="s">
        <v>12</v>
      </c>
      <c r="F5895">
        <v>1</v>
      </c>
      <c r="G5895" s="140" t="s">
        <v>541</v>
      </c>
      <c r="H5895">
        <v>0</v>
      </c>
      <c r="I5895" s="140" t="s">
        <v>62</v>
      </c>
    </row>
    <row r="5896" spans="1:9" hidden="1" x14ac:dyDescent="0.25">
      <c r="A5896">
        <v>2027</v>
      </c>
      <c r="B5896" s="140" t="s">
        <v>540</v>
      </c>
      <c r="C5896" s="140" t="s">
        <v>150</v>
      </c>
      <c r="D5896" s="140" t="s">
        <v>11</v>
      </c>
      <c r="E5896" s="140" t="s">
        <v>12</v>
      </c>
      <c r="F5896">
        <v>2</v>
      </c>
      <c r="G5896" s="140" t="s">
        <v>541</v>
      </c>
      <c r="H5896">
        <v>0</v>
      </c>
      <c r="I5896" s="140" t="s">
        <v>62</v>
      </c>
    </row>
    <row r="5897" spans="1:9" hidden="1" x14ac:dyDescent="0.25">
      <c r="A5897">
        <v>2028</v>
      </c>
      <c r="B5897" s="140" t="s">
        <v>540</v>
      </c>
      <c r="C5897" s="140" t="s">
        <v>150</v>
      </c>
      <c r="D5897" s="140" t="s">
        <v>11</v>
      </c>
      <c r="E5897" s="140" t="s">
        <v>12</v>
      </c>
      <c r="F5897">
        <v>3</v>
      </c>
      <c r="G5897" s="140" t="s">
        <v>541</v>
      </c>
      <c r="H5897">
        <v>0</v>
      </c>
      <c r="I5897" s="140" t="s">
        <v>62</v>
      </c>
    </row>
    <row r="5898" spans="1:9" hidden="1" x14ac:dyDescent="0.25">
      <c r="A5898">
        <v>2029</v>
      </c>
      <c r="B5898" s="140" t="s">
        <v>540</v>
      </c>
      <c r="C5898" s="140" t="s">
        <v>150</v>
      </c>
      <c r="D5898" s="140" t="s">
        <v>11</v>
      </c>
      <c r="E5898" s="140" t="s">
        <v>12</v>
      </c>
      <c r="F5898">
        <v>4</v>
      </c>
      <c r="G5898" s="140" t="s">
        <v>541</v>
      </c>
      <c r="H5898">
        <v>0</v>
      </c>
      <c r="I5898" s="140" t="s">
        <v>62</v>
      </c>
    </row>
    <row r="5899" spans="1:9" hidden="1" x14ac:dyDescent="0.25">
      <c r="A5899">
        <v>2030</v>
      </c>
      <c r="B5899" s="140" t="s">
        <v>540</v>
      </c>
      <c r="C5899" s="140" t="s">
        <v>150</v>
      </c>
      <c r="D5899" s="140" t="s">
        <v>11</v>
      </c>
      <c r="E5899" s="140" t="s">
        <v>12</v>
      </c>
      <c r="F5899">
        <v>5</v>
      </c>
      <c r="G5899" s="140" t="s">
        <v>541</v>
      </c>
      <c r="H5899">
        <v>0</v>
      </c>
      <c r="I5899" s="140" t="s">
        <v>62</v>
      </c>
    </row>
    <row r="5900" spans="1:9" hidden="1" x14ac:dyDescent="0.25">
      <c r="A5900">
        <v>2009</v>
      </c>
      <c r="B5900" s="140" t="s">
        <v>542</v>
      </c>
      <c r="C5900" s="140" t="s">
        <v>150</v>
      </c>
      <c r="D5900" s="140" t="s">
        <v>11</v>
      </c>
      <c r="E5900" s="140" t="s">
        <v>12</v>
      </c>
      <c r="F5900">
        <v>3470</v>
      </c>
      <c r="G5900" s="140" t="s">
        <v>543</v>
      </c>
      <c r="H5900">
        <v>0</v>
      </c>
      <c r="I5900" s="140" t="s">
        <v>62</v>
      </c>
    </row>
    <row r="5901" spans="1:9" hidden="1" x14ac:dyDescent="0.25">
      <c r="A5901">
        <v>2010</v>
      </c>
      <c r="B5901" s="140" t="s">
        <v>542</v>
      </c>
      <c r="C5901" s="140" t="s">
        <v>150</v>
      </c>
      <c r="D5901" s="140" t="s">
        <v>11</v>
      </c>
      <c r="E5901" s="140" t="s">
        <v>12</v>
      </c>
      <c r="F5901">
        <v>3483</v>
      </c>
      <c r="G5901" s="140" t="s">
        <v>543</v>
      </c>
      <c r="H5901">
        <v>0</v>
      </c>
      <c r="I5901" s="140" t="s">
        <v>62</v>
      </c>
    </row>
    <row r="5902" spans="1:9" hidden="1" x14ac:dyDescent="0.25">
      <c r="A5902">
        <v>2011</v>
      </c>
      <c r="B5902" s="140" t="s">
        <v>542</v>
      </c>
      <c r="C5902" s="140" t="s">
        <v>150</v>
      </c>
      <c r="D5902" s="140" t="s">
        <v>11</v>
      </c>
      <c r="E5902" s="140" t="s">
        <v>12</v>
      </c>
      <c r="F5902">
        <v>3497</v>
      </c>
      <c r="G5902" s="140" t="s">
        <v>543</v>
      </c>
      <c r="H5902">
        <v>0</v>
      </c>
      <c r="I5902" s="140" t="s">
        <v>62</v>
      </c>
    </row>
    <row r="5903" spans="1:9" hidden="1" x14ac:dyDescent="0.25">
      <c r="A5903">
        <v>2012</v>
      </c>
      <c r="B5903" s="140" t="s">
        <v>542</v>
      </c>
      <c r="C5903" s="140" t="s">
        <v>150</v>
      </c>
      <c r="D5903" s="140" t="s">
        <v>11</v>
      </c>
      <c r="E5903" s="140" t="s">
        <v>12</v>
      </c>
      <c r="F5903">
        <v>3513</v>
      </c>
      <c r="G5903" s="140" t="s">
        <v>543</v>
      </c>
      <c r="H5903">
        <v>0</v>
      </c>
      <c r="I5903" s="140" t="s">
        <v>62</v>
      </c>
    </row>
    <row r="5904" spans="1:9" hidden="1" x14ac:dyDescent="0.25">
      <c r="A5904">
        <v>2013</v>
      </c>
      <c r="B5904" s="140" t="s">
        <v>542</v>
      </c>
      <c r="C5904" s="140" t="s">
        <v>150</v>
      </c>
      <c r="D5904" s="140" t="s">
        <v>11</v>
      </c>
      <c r="E5904" s="140" t="s">
        <v>12</v>
      </c>
      <c r="F5904">
        <v>3535</v>
      </c>
      <c r="G5904" s="140" t="s">
        <v>543</v>
      </c>
      <c r="H5904">
        <v>0</v>
      </c>
      <c r="I5904" s="140" t="s">
        <v>62</v>
      </c>
    </row>
    <row r="5905" spans="1:9" hidden="1" x14ac:dyDescent="0.25">
      <c r="A5905">
        <v>2014</v>
      </c>
      <c r="B5905" s="140" t="s">
        <v>542</v>
      </c>
      <c r="C5905" s="140" t="s">
        <v>150</v>
      </c>
      <c r="D5905" s="140" t="s">
        <v>11</v>
      </c>
      <c r="E5905" s="140" t="s">
        <v>12</v>
      </c>
      <c r="F5905">
        <v>3547</v>
      </c>
      <c r="G5905" s="140" t="s">
        <v>543</v>
      </c>
      <c r="H5905">
        <v>0</v>
      </c>
      <c r="I5905" s="140" t="s">
        <v>62</v>
      </c>
    </row>
    <row r="5906" spans="1:9" hidden="1" x14ac:dyDescent="0.25">
      <c r="A5906">
        <v>2015</v>
      </c>
      <c r="B5906" s="140" t="s">
        <v>542</v>
      </c>
      <c r="C5906" s="140" t="s">
        <v>150</v>
      </c>
      <c r="D5906" s="140" t="s">
        <v>11</v>
      </c>
      <c r="E5906" s="140" t="s">
        <v>12</v>
      </c>
      <c r="F5906">
        <v>3556</v>
      </c>
      <c r="G5906" s="140" t="s">
        <v>543</v>
      </c>
      <c r="H5906">
        <v>0</v>
      </c>
      <c r="I5906" s="140" t="s">
        <v>62</v>
      </c>
    </row>
    <row r="5907" spans="1:9" hidden="1" x14ac:dyDescent="0.25">
      <c r="A5907">
        <v>2016</v>
      </c>
      <c r="B5907" s="140" t="s">
        <v>542</v>
      </c>
      <c r="C5907" s="140" t="s">
        <v>150</v>
      </c>
      <c r="D5907" s="140" t="s">
        <v>11</v>
      </c>
      <c r="E5907" s="140" t="s">
        <v>12</v>
      </c>
      <c r="F5907">
        <v>3542</v>
      </c>
      <c r="G5907" s="140" t="s">
        <v>543</v>
      </c>
      <c r="H5907">
        <v>0</v>
      </c>
      <c r="I5907" s="140" t="s">
        <v>62</v>
      </c>
    </row>
    <row r="5908" spans="1:9" hidden="1" x14ac:dyDescent="0.25">
      <c r="A5908">
        <v>2017</v>
      </c>
      <c r="B5908" s="140" t="s">
        <v>542</v>
      </c>
      <c r="C5908" s="140" t="s">
        <v>150</v>
      </c>
      <c r="D5908" s="140" t="s">
        <v>11</v>
      </c>
      <c r="E5908" s="140" t="s">
        <v>12</v>
      </c>
      <c r="F5908">
        <v>3527</v>
      </c>
      <c r="G5908" s="140" t="s">
        <v>543</v>
      </c>
      <c r="H5908">
        <v>0</v>
      </c>
      <c r="I5908" s="140" t="s">
        <v>62</v>
      </c>
    </row>
    <row r="5909" spans="1:9" hidden="1" x14ac:dyDescent="0.25">
      <c r="A5909">
        <v>2018</v>
      </c>
      <c r="B5909" s="140" t="s">
        <v>542</v>
      </c>
      <c r="C5909" s="140" t="s">
        <v>150</v>
      </c>
      <c r="D5909" s="140" t="s">
        <v>11</v>
      </c>
      <c r="E5909" s="140" t="s">
        <v>12</v>
      </c>
      <c r="F5909">
        <v>3510</v>
      </c>
      <c r="G5909" s="140" t="s">
        <v>543</v>
      </c>
      <c r="H5909">
        <v>0</v>
      </c>
      <c r="I5909" s="140" t="s">
        <v>62</v>
      </c>
    </row>
    <row r="5910" spans="1:9" hidden="1" x14ac:dyDescent="0.25">
      <c r="A5910">
        <v>2019</v>
      </c>
      <c r="B5910" s="140" t="s">
        <v>542</v>
      </c>
      <c r="C5910" s="140" t="s">
        <v>150</v>
      </c>
      <c r="D5910" s="140" t="s">
        <v>11</v>
      </c>
      <c r="E5910" s="140" t="s">
        <v>12</v>
      </c>
      <c r="F5910">
        <v>3491</v>
      </c>
      <c r="G5910" s="140" t="s">
        <v>543</v>
      </c>
      <c r="H5910">
        <v>0</v>
      </c>
      <c r="I5910" s="140" t="s">
        <v>62</v>
      </c>
    </row>
    <row r="5911" spans="1:9" hidden="1" x14ac:dyDescent="0.25">
      <c r="A5911">
        <v>2020</v>
      </c>
      <c r="B5911" s="140" t="s">
        <v>542</v>
      </c>
      <c r="C5911" s="140" t="s">
        <v>150</v>
      </c>
      <c r="D5911" s="140" t="s">
        <v>11</v>
      </c>
      <c r="E5911" s="140" t="s">
        <v>12</v>
      </c>
      <c r="F5911">
        <v>3479</v>
      </c>
      <c r="G5911" s="140" t="s">
        <v>543</v>
      </c>
      <c r="H5911">
        <v>0</v>
      </c>
      <c r="I5911" s="140" t="s">
        <v>62</v>
      </c>
    </row>
    <row r="5912" spans="1:9" hidden="1" x14ac:dyDescent="0.25">
      <c r="A5912">
        <v>2021</v>
      </c>
      <c r="B5912" s="140" t="s">
        <v>542</v>
      </c>
      <c r="C5912" s="140" t="s">
        <v>150</v>
      </c>
      <c r="D5912" s="140" t="s">
        <v>11</v>
      </c>
      <c r="E5912" s="140" t="s">
        <v>12</v>
      </c>
      <c r="F5912">
        <v>3471</v>
      </c>
      <c r="G5912" s="140" t="s">
        <v>543</v>
      </c>
      <c r="H5912">
        <v>0</v>
      </c>
      <c r="I5912" s="140" t="s">
        <v>62</v>
      </c>
    </row>
    <row r="5913" spans="1:9" hidden="1" x14ac:dyDescent="0.25">
      <c r="A5913">
        <v>2022</v>
      </c>
      <c r="B5913" s="140" t="s">
        <v>542</v>
      </c>
      <c r="C5913" s="140" t="s">
        <v>150</v>
      </c>
      <c r="D5913" s="140" t="s">
        <v>11</v>
      </c>
      <c r="E5913" s="140" t="s">
        <v>12</v>
      </c>
      <c r="F5913">
        <v>3468</v>
      </c>
      <c r="G5913" s="140" t="s">
        <v>543</v>
      </c>
      <c r="H5913">
        <v>0</v>
      </c>
      <c r="I5913" s="140" t="s">
        <v>62</v>
      </c>
    </row>
    <row r="5914" spans="1:9" hidden="1" x14ac:dyDescent="0.25">
      <c r="A5914">
        <v>2023</v>
      </c>
      <c r="B5914" s="140" t="s">
        <v>542</v>
      </c>
      <c r="C5914" s="140" t="s">
        <v>150</v>
      </c>
      <c r="D5914" s="140" t="s">
        <v>11</v>
      </c>
      <c r="E5914" s="140" t="s">
        <v>12</v>
      </c>
      <c r="F5914">
        <v>3479</v>
      </c>
      <c r="G5914" s="140" t="s">
        <v>543</v>
      </c>
      <c r="H5914">
        <v>0</v>
      </c>
      <c r="I5914" s="140" t="s">
        <v>62</v>
      </c>
    </row>
    <row r="5915" spans="1:9" hidden="1" x14ac:dyDescent="0.25">
      <c r="A5915">
        <v>2024</v>
      </c>
      <c r="B5915" s="140" t="s">
        <v>542</v>
      </c>
      <c r="C5915" s="140" t="s">
        <v>150</v>
      </c>
      <c r="D5915" s="140" t="s">
        <v>11</v>
      </c>
      <c r="E5915" s="140" t="s">
        <v>12</v>
      </c>
      <c r="F5915">
        <v>3501</v>
      </c>
      <c r="G5915" s="140" t="s">
        <v>543</v>
      </c>
      <c r="H5915">
        <v>0</v>
      </c>
      <c r="I5915" s="140" t="s">
        <v>62</v>
      </c>
    </row>
    <row r="5916" spans="1:9" hidden="1" x14ac:dyDescent="0.25">
      <c r="A5916">
        <v>2025</v>
      </c>
      <c r="B5916" s="140" t="s">
        <v>542</v>
      </c>
      <c r="C5916" s="140" t="s">
        <v>150</v>
      </c>
      <c r="D5916" s="140" t="s">
        <v>11</v>
      </c>
      <c r="E5916" s="140" t="s">
        <v>12</v>
      </c>
      <c r="F5916">
        <v>3513</v>
      </c>
      <c r="G5916" s="140" t="s">
        <v>543</v>
      </c>
      <c r="H5916">
        <v>0</v>
      </c>
      <c r="I5916" s="140" t="s">
        <v>62</v>
      </c>
    </row>
    <row r="5917" spans="1:9" hidden="1" x14ac:dyDescent="0.25">
      <c r="A5917">
        <v>2026</v>
      </c>
      <c r="B5917" s="140" t="s">
        <v>542</v>
      </c>
      <c r="C5917" s="140" t="s">
        <v>150</v>
      </c>
      <c r="D5917" s="140" t="s">
        <v>11</v>
      </c>
      <c r="E5917" s="140" t="s">
        <v>12</v>
      </c>
      <c r="F5917">
        <v>16</v>
      </c>
      <c r="G5917" s="140" t="s">
        <v>543</v>
      </c>
      <c r="H5917">
        <v>0</v>
      </c>
      <c r="I5917" s="140" t="s">
        <v>62</v>
      </c>
    </row>
    <row r="5918" spans="1:9" hidden="1" x14ac:dyDescent="0.25">
      <c r="A5918">
        <v>2027</v>
      </c>
      <c r="B5918" s="140" t="s">
        <v>542</v>
      </c>
      <c r="C5918" s="140" t="s">
        <v>150</v>
      </c>
      <c r="D5918" s="140" t="s">
        <v>11</v>
      </c>
      <c r="E5918" s="140" t="s">
        <v>12</v>
      </c>
      <c r="F5918">
        <v>17</v>
      </c>
      <c r="G5918" s="140" t="s">
        <v>543</v>
      </c>
      <c r="H5918">
        <v>0</v>
      </c>
      <c r="I5918" s="140" t="s">
        <v>62</v>
      </c>
    </row>
    <row r="5919" spans="1:9" hidden="1" x14ac:dyDescent="0.25">
      <c r="A5919">
        <v>2028</v>
      </c>
      <c r="B5919" s="140" t="s">
        <v>542</v>
      </c>
      <c r="C5919" s="140" t="s">
        <v>150</v>
      </c>
      <c r="D5919" s="140" t="s">
        <v>11</v>
      </c>
      <c r="E5919" s="140" t="s">
        <v>12</v>
      </c>
      <c r="F5919">
        <v>18</v>
      </c>
      <c r="G5919" s="140" t="s">
        <v>543</v>
      </c>
      <c r="H5919">
        <v>0</v>
      </c>
      <c r="I5919" s="140" t="s">
        <v>62</v>
      </c>
    </row>
    <row r="5920" spans="1:9" hidden="1" x14ac:dyDescent="0.25">
      <c r="A5920">
        <v>2029</v>
      </c>
      <c r="B5920" s="140" t="s">
        <v>542</v>
      </c>
      <c r="C5920" s="140" t="s">
        <v>150</v>
      </c>
      <c r="D5920" s="140" t="s">
        <v>11</v>
      </c>
      <c r="E5920" s="140" t="s">
        <v>12</v>
      </c>
      <c r="F5920">
        <v>19</v>
      </c>
      <c r="G5920" s="140" t="s">
        <v>543</v>
      </c>
      <c r="H5920">
        <v>0</v>
      </c>
      <c r="I5920" s="140" t="s">
        <v>62</v>
      </c>
    </row>
    <row r="5921" spans="1:9" hidden="1" x14ac:dyDescent="0.25">
      <c r="A5921">
        <v>2030</v>
      </c>
      <c r="B5921" s="140" t="s">
        <v>542</v>
      </c>
      <c r="C5921" s="140" t="s">
        <v>150</v>
      </c>
      <c r="D5921" s="140" t="s">
        <v>11</v>
      </c>
      <c r="E5921" s="140" t="s">
        <v>12</v>
      </c>
      <c r="F5921">
        <v>20</v>
      </c>
      <c r="G5921" s="140" t="s">
        <v>543</v>
      </c>
      <c r="H5921">
        <v>0</v>
      </c>
      <c r="I5921" s="140" t="s">
        <v>62</v>
      </c>
    </row>
    <row r="5922" spans="1:9" hidden="1" x14ac:dyDescent="0.25">
      <c r="A5922">
        <v>2009</v>
      </c>
      <c r="B5922" s="140" t="s">
        <v>153</v>
      </c>
      <c r="C5922" s="140" t="s">
        <v>150</v>
      </c>
      <c r="D5922" s="140" t="s">
        <v>11</v>
      </c>
      <c r="E5922" s="140" t="s">
        <v>12</v>
      </c>
      <c r="F5922">
        <v>478</v>
      </c>
      <c r="G5922" s="140" t="s">
        <v>154</v>
      </c>
      <c r="H5922">
        <v>0</v>
      </c>
      <c r="I5922" s="140" t="s">
        <v>62</v>
      </c>
    </row>
    <row r="5923" spans="1:9" hidden="1" x14ac:dyDescent="0.25">
      <c r="A5923">
        <v>2010</v>
      </c>
      <c r="B5923" s="140" t="s">
        <v>153</v>
      </c>
      <c r="C5923" s="140" t="s">
        <v>150</v>
      </c>
      <c r="D5923" s="140" t="s">
        <v>11</v>
      </c>
      <c r="E5923" s="140" t="s">
        <v>12</v>
      </c>
      <c r="F5923">
        <v>488</v>
      </c>
      <c r="G5923" s="140" t="s">
        <v>154</v>
      </c>
      <c r="H5923">
        <v>0</v>
      </c>
      <c r="I5923" s="140" t="s">
        <v>62</v>
      </c>
    </row>
    <row r="5924" spans="1:9" hidden="1" x14ac:dyDescent="0.25">
      <c r="A5924">
        <v>2011</v>
      </c>
      <c r="B5924" s="140" t="s">
        <v>153</v>
      </c>
      <c r="C5924" s="140" t="s">
        <v>150</v>
      </c>
      <c r="D5924" s="140" t="s">
        <v>11</v>
      </c>
      <c r="E5924" s="140" t="s">
        <v>12</v>
      </c>
      <c r="F5924">
        <v>520</v>
      </c>
      <c r="G5924" s="140" t="s">
        <v>154</v>
      </c>
      <c r="H5924">
        <v>0</v>
      </c>
      <c r="I5924" s="140" t="s">
        <v>62</v>
      </c>
    </row>
    <row r="5925" spans="1:9" hidden="1" x14ac:dyDescent="0.25">
      <c r="A5925">
        <v>2012</v>
      </c>
      <c r="B5925" s="140" t="s">
        <v>153</v>
      </c>
      <c r="C5925" s="140" t="s">
        <v>150</v>
      </c>
      <c r="D5925" s="140" t="s">
        <v>11</v>
      </c>
      <c r="E5925" s="140" t="s">
        <v>12</v>
      </c>
      <c r="F5925">
        <v>551</v>
      </c>
      <c r="G5925" s="140" t="s">
        <v>154</v>
      </c>
      <c r="H5925">
        <v>0</v>
      </c>
      <c r="I5925" s="140" t="s">
        <v>62</v>
      </c>
    </row>
    <row r="5926" spans="1:9" hidden="1" x14ac:dyDescent="0.25">
      <c r="A5926">
        <v>2013</v>
      </c>
      <c r="B5926" s="140" t="s">
        <v>153</v>
      </c>
      <c r="C5926" s="140" t="s">
        <v>150</v>
      </c>
      <c r="D5926" s="140" t="s">
        <v>11</v>
      </c>
      <c r="E5926" s="140" t="s">
        <v>12</v>
      </c>
      <c r="F5926">
        <v>579</v>
      </c>
      <c r="G5926" s="140" t="s">
        <v>154</v>
      </c>
      <c r="H5926">
        <v>0</v>
      </c>
      <c r="I5926" s="140" t="s">
        <v>62</v>
      </c>
    </row>
    <row r="5927" spans="1:9" hidden="1" x14ac:dyDescent="0.25">
      <c r="A5927">
        <v>2014</v>
      </c>
      <c r="B5927" s="140" t="s">
        <v>153</v>
      </c>
      <c r="C5927" s="140" t="s">
        <v>150</v>
      </c>
      <c r="D5927" s="140" t="s">
        <v>11</v>
      </c>
      <c r="E5927" s="140" t="s">
        <v>12</v>
      </c>
      <c r="F5927">
        <v>604</v>
      </c>
      <c r="G5927" s="140" t="s">
        <v>154</v>
      </c>
      <c r="H5927">
        <v>0</v>
      </c>
      <c r="I5927" s="140" t="s">
        <v>62</v>
      </c>
    </row>
    <row r="5928" spans="1:9" hidden="1" x14ac:dyDescent="0.25">
      <c r="A5928">
        <v>2015</v>
      </c>
      <c r="B5928" s="140" t="s">
        <v>153</v>
      </c>
      <c r="C5928" s="140" t="s">
        <v>150</v>
      </c>
      <c r="D5928" s="140" t="s">
        <v>11</v>
      </c>
      <c r="E5928" s="140" t="s">
        <v>12</v>
      </c>
      <c r="F5928">
        <v>626</v>
      </c>
      <c r="G5928" s="140" t="s">
        <v>154</v>
      </c>
      <c r="H5928">
        <v>0</v>
      </c>
      <c r="I5928" s="140" t="s">
        <v>62</v>
      </c>
    </row>
    <row r="5929" spans="1:9" hidden="1" x14ac:dyDescent="0.25">
      <c r="A5929">
        <v>2016</v>
      </c>
      <c r="B5929" s="140" t="s">
        <v>153</v>
      </c>
      <c r="C5929" s="140" t="s">
        <v>150</v>
      </c>
      <c r="D5929" s="140" t="s">
        <v>11</v>
      </c>
      <c r="E5929" s="140" t="s">
        <v>12</v>
      </c>
      <c r="F5929">
        <v>646</v>
      </c>
      <c r="G5929" s="140" t="s">
        <v>154</v>
      </c>
      <c r="H5929">
        <v>0</v>
      </c>
      <c r="I5929" s="140" t="s">
        <v>62</v>
      </c>
    </row>
    <row r="5930" spans="1:9" hidden="1" x14ac:dyDescent="0.25">
      <c r="A5930">
        <v>2017</v>
      </c>
      <c r="B5930" s="140" t="s">
        <v>153</v>
      </c>
      <c r="C5930" s="140" t="s">
        <v>150</v>
      </c>
      <c r="D5930" s="140" t="s">
        <v>11</v>
      </c>
      <c r="E5930" s="140" t="s">
        <v>12</v>
      </c>
      <c r="F5930">
        <v>663</v>
      </c>
      <c r="G5930" s="140" t="s">
        <v>154</v>
      </c>
      <c r="H5930">
        <v>0</v>
      </c>
      <c r="I5930" s="140" t="s">
        <v>62</v>
      </c>
    </row>
    <row r="5931" spans="1:9" hidden="1" x14ac:dyDescent="0.25">
      <c r="A5931">
        <v>2018</v>
      </c>
      <c r="B5931" s="140" t="s">
        <v>153</v>
      </c>
      <c r="C5931" s="140" t="s">
        <v>150</v>
      </c>
      <c r="D5931" s="140" t="s">
        <v>11</v>
      </c>
      <c r="E5931" s="140" t="s">
        <v>12</v>
      </c>
      <c r="F5931">
        <v>685</v>
      </c>
      <c r="G5931" s="140" t="s">
        <v>154</v>
      </c>
      <c r="H5931">
        <v>0</v>
      </c>
      <c r="I5931" s="140" t="s">
        <v>62</v>
      </c>
    </row>
    <row r="5932" spans="1:9" hidden="1" x14ac:dyDescent="0.25">
      <c r="A5932">
        <v>2019</v>
      </c>
      <c r="B5932" s="140" t="s">
        <v>153</v>
      </c>
      <c r="C5932" s="140" t="s">
        <v>150</v>
      </c>
      <c r="D5932" s="140" t="s">
        <v>11</v>
      </c>
      <c r="E5932" s="140" t="s">
        <v>12</v>
      </c>
      <c r="F5932">
        <v>700</v>
      </c>
      <c r="G5932" s="140" t="s">
        <v>154</v>
      </c>
      <c r="H5932">
        <v>0</v>
      </c>
      <c r="I5932" s="140" t="s">
        <v>62</v>
      </c>
    </row>
    <row r="5933" spans="1:9" hidden="1" x14ac:dyDescent="0.25">
      <c r="A5933">
        <v>2020</v>
      </c>
      <c r="B5933" s="140" t="s">
        <v>153</v>
      </c>
      <c r="C5933" s="140" t="s">
        <v>150</v>
      </c>
      <c r="D5933" s="140" t="s">
        <v>11</v>
      </c>
      <c r="E5933" s="140" t="s">
        <v>12</v>
      </c>
      <c r="F5933">
        <v>712</v>
      </c>
      <c r="G5933" s="140" t="s">
        <v>154</v>
      </c>
      <c r="H5933">
        <v>0</v>
      </c>
      <c r="I5933" s="140" t="s">
        <v>62</v>
      </c>
    </row>
    <row r="5934" spans="1:9" hidden="1" x14ac:dyDescent="0.25">
      <c r="A5934">
        <v>2021</v>
      </c>
      <c r="B5934" s="140" t="s">
        <v>153</v>
      </c>
      <c r="C5934" s="140" t="s">
        <v>150</v>
      </c>
      <c r="D5934" s="140" t="s">
        <v>11</v>
      </c>
      <c r="E5934" s="140" t="s">
        <v>12</v>
      </c>
      <c r="F5934">
        <v>706</v>
      </c>
      <c r="G5934" s="140" t="s">
        <v>154</v>
      </c>
      <c r="H5934">
        <v>0</v>
      </c>
      <c r="I5934" s="140" t="s">
        <v>62</v>
      </c>
    </row>
    <row r="5935" spans="1:9" hidden="1" x14ac:dyDescent="0.25">
      <c r="A5935">
        <v>2022</v>
      </c>
      <c r="B5935" s="140" t="s">
        <v>153</v>
      </c>
      <c r="C5935" s="140" t="s">
        <v>150</v>
      </c>
      <c r="D5935" s="140" t="s">
        <v>11</v>
      </c>
      <c r="E5935" s="140" t="s">
        <v>12</v>
      </c>
      <c r="F5935">
        <v>699</v>
      </c>
      <c r="G5935" s="140" t="s">
        <v>154</v>
      </c>
      <c r="H5935">
        <v>0</v>
      </c>
      <c r="I5935" s="140" t="s">
        <v>62</v>
      </c>
    </row>
    <row r="5936" spans="1:9" hidden="1" x14ac:dyDescent="0.25">
      <c r="A5936">
        <v>2023</v>
      </c>
      <c r="B5936" s="140" t="s">
        <v>153</v>
      </c>
      <c r="C5936" s="140" t="s">
        <v>150</v>
      </c>
      <c r="D5936" s="140" t="s">
        <v>11</v>
      </c>
      <c r="E5936" s="140" t="s">
        <v>12</v>
      </c>
      <c r="F5936">
        <v>689</v>
      </c>
      <c r="G5936" s="140" t="s">
        <v>154</v>
      </c>
      <c r="H5936">
        <v>0</v>
      </c>
      <c r="I5936" s="140" t="s">
        <v>62</v>
      </c>
    </row>
    <row r="5937" spans="1:9" hidden="1" x14ac:dyDescent="0.25">
      <c r="A5937">
        <v>2024</v>
      </c>
      <c r="B5937" s="140" t="s">
        <v>153</v>
      </c>
      <c r="C5937" s="140" t="s">
        <v>150</v>
      </c>
      <c r="D5937" s="140" t="s">
        <v>11</v>
      </c>
      <c r="E5937" s="140" t="s">
        <v>12</v>
      </c>
      <c r="F5937">
        <v>680</v>
      </c>
      <c r="G5937" s="140" t="s">
        <v>154</v>
      </c>
      <c r="H5937">
        <v>0</v>
      </c>
      <c r="I5937" s="140" t="s">
        <v>62</v>
      </c>
    </row>
    <row r="5938" spans="1:9" hidden="1" x14ac:dyDescent="0.25">
      <c r="A5938">
        <v>2025</v>
      </c>
      <c r="B5938" s="140" t="s">
        <v>153</v>
      </c>
      <c r="C5938" s="140" t="s">
        <v>150</v>
      </c>
      <c r="D5938" s="140" t="s">
        <v>11</v>
      </c>
      <c r="E5938" s="140" t="s">
        <v>12</v>
      </c>
      <c r="F5938">
        <v>674</v>
      </c>
      <c r="G5938" s="140" t="s">
        <v>154</v>
      </c>
      <c r="H5938">
        <v>0</v>
      </c>
      <c r="I5938" s="140" t="s">
        <v>62</v>
      </c>
    </row>
    <row r="5939" spans="1:9" hidden="1" x14ac:dyDescent="0.25">
      <c r="A5939">
        <v>2026</v>
      </c>
      <c r="B5939" s="140" t="s">
        <v>153</v>
      </c>
      <c r="C5939" s="140" t="s">
        <v>150</v>
      </c>
      <c r="D5939" s="140" t="s">
        <v>11</v>
      </c>
      <c r="E5939" s="140" t="s">
        <v>12</v>
      </c>
      <c r="F5939">
        <v>675.25217620000001</v>
      </c>
      <c r="G5939" s="140" t="s">
        <v>154</v>
      </c>
      <c r="H5939">
        <v>0</v>
      </c>
      <c r="I5939" s="140" t="s">
        <v>62</v>
      </c>
    </row>
    <row r="5940" spans="1:9" hidden="1" x14ac:dyDescent="0.25">
      <c r="A5940">
        <v>2027</v>
      </c>
      <c r="B5940" s="140" t="s">
        <v>153</v>
      </c>
      <c r="C5940" s="140" t="s">
        <v>150</v>
      </c>
      <c r="D5940" s="140" t="s">
        <v>11</v>
      </c>
      <c r="E5940" s="140" t="s">
        <v>12</v>
      </c>
      <c r="F5940">
        <v>676.02134100000001</v>
      </c>
      <c r="G5940" s="140" t="s">
        <v>154</v>
      </c>
      <c r="H5940">
        <v>0</v>
      </c>
      <c r="I5940" s="140" t="s">
        <v>62</v>
      </c>
    </row>
    <row r="5941" spans="1:9" hidden="1" x14ac:dyDescent="0.25">
      <c r="A5941">
        <v>2028</v>
      </c>
      <c r="B5941" s="140" t="s">
        <v>153</v>
      </c>
      <c r="C5941" s="140" t="s">
        <v>150</v>
      </c>
      <c r="D5941" s="140" t="s">
        <v>11</v>
      </c>
      <c r="E5941" s="140" t="s">
        <v>12</v>
      </c>
      <c r="F5941">
        <v>676.95891659999995</v>
      </c>
      <c r="G5941" s="140" t="s">
        <v>154</v>
      </c>
      <c r="H5941">
        <v>0</v>
      </c>
      <c r="I5941" s="140" t="s">
        <v>62</v>
      </c>
    </row>
    <row r="5942" spans="1:9" hidden="1" x14ac:dyDescent="0.25">
      <c r="A5942">
        <v>2009</v>
      </c>
      <c r="B5942" s="140" t="s">
        <v>187</v>
      </c>
      <c r="C5942" s="140" t="s">
        <v>50</v>
      </c>
      <c r="D5942" s="140" t="s">
        <v>11</v>
      </c>
      <c r="E5942" s="140" t="s">
        <v>12</v>
      </c>
      <c r="F5942">
        <v>8.3427708569999997</v>
      </c>
      <c r="G5942" s="140" t="s">
        <v>440</v>
      </c>
      <c r="H5942">
        <v>0</v>
      </c>
      <c r="I5942" s="140" t="s">
        <v>14</v>
      </c>
    </row>
    <row r="5943" spans="1:9" hidden="1" x14ac:dyDescent="0.25">
      <c r="A5943">
        <v>2010</v>
      </c>
      <c r="B5943" s="140" t="s">
        <v>187</v>
      </c>
      <c r="C5943" s="140" t="s">
        <v>50</v>
      </c>
      <c r="D5943" s="140" t="s">
        <v>11</v>
      </c>
      <c r="E5943" s="140" t="s">
        <v>12</v>
      </c>
      <c r="F5943">
        <v>8.5703450889999999</v>
      </c>
      <c r="G5943" s="140" t="s">
        <v>440</v>
      </c>
      <c r="H5943">
        <v>0</v>
      </c>
      <c r="I5943" s="140" t="s">
        <v>14</v>
      </c>
    </row>
    <row r="5944" spans="1:9" hidden="1" x14ac:dyDescent="0.25">
      <c r="A5944">
        <v>2011</v>
      </c>
      <c r="B5944" s="140" t="s">
        <v>187</v>
      </c>
      <c r="C5944" s="140" t="s">
        <v>50</v>
      </c>
      <c r="D5944" s="140" t="s">
        <v>11</v>
      </c>
      <c r="E5944" s="140" t="s">
        <v>12</v>
      </c>
      <c r="F5944">
        <v>8.003020008</v>
      </c>
      <c r="G5944" s="140" t="s">
        <v>440</v>
      </c>
      <c r="H5944">
        <v>0</v>
      </c>
      <c r="I5944" s="140" t="s">
        <v>14</v>
      </c>
    </row>
    <row r="5945" spans="1:9" hidden="1" x14ac:dyDescent="0.25">
      <c r="A5945">
        <v>2012</v>
      </c>
      <c r="B5945" s="140" t="s">
        <v>187</v>
      </c>
      <c r="C5945" s="140" t="s">
        <v>50</v>
      </c>
      <c r="D5945" s="140" t="s">
        <v>11</v>
      </c>
      <c r="E5945" s="140" t="s">
        <v>12</v>
      </c>
      <c r="F5945">
        <v>7.8600977810000003</v>
      </c>
      <c r="G5945" s="140" t="s">
        <v>440</v>
      </c>
      <c r="H5945">
        <v>0</v>
      </c>
      <c r="I5945" s="140" t="s">
        <v>14</v>
      </c>
    </row>
    <row r="5946" spans="1:9" hidden="1" x14ac:dyDescent="0.25">
      <c r="A5946">
        <v>2013</v>
      </c>
      <c r="B5946" s="140" t="s">
        <v>187</v>
      </c>
      <c r="C5946" s="140" t="s">
        <v>50</v>
      </c>
      <c r="D5946" s="140" t="s">
        <v>11</v>
      </c>
      <c r="E5946" s="140" t="s">
        <v>12</v>
      </c>
      <c r="F5946">
        <v>8.3490744239999994</v>
      </c>
      <c r="G5946" s="140" t="s">
        <v>440</v>
      </c>
      <c r="H5946">
        <v>0</v>
      </c>
      <c r="I5946" s="140" t="s">
        <v>14</v>
      </c>
    </row>
    <row r="5947" spans="1:9" hidden="1" x14ac:dyDescent="0.25">
      <c r="A5947">
        <v>2014</v>
      </c>
      <c r="B5947" s="140" t="s">
        <v>187</v>
      </c>
      <c r="C5947" s="140" t="s">
        <v>50</v>
      </c>
      <c r="D5947" s="140" t="s">
        <v>11</v>
      </c>
      <c r="E5947" s="140" t="s">
        <v>12</v>
      </c>
      <c r="F5947">
        <v>8.7514145610000007</v>
      </c>
      <c r="G5947" s="140" t="s">
        <v>440</v>
      </c>
      <c r="H5947">
        <v>0</v>
      </c>
      <c r="I5947" s="140" t="s">
        <v>14</v>
      </c>
    </row>
    <row r="5948" spans="1:9" hidden="1" x14ac:dyDescent="0.25">
      <c r="A5948">
        <v>2015</v>
      </c>
      <c r="B5948" s="140" t="s">
        <v>187</v>
      </c>
      <c r="C5948" s="140" t="s">
        <v>50</v>
      </c>
      <c r="D5948" s="140" t="s">
        <v>11</v>
      </c>
      <c r="E5948" s="140" t="s">
        <v>12</v>
      </c>
      <c r="F5948">
        <v>9.4268476620000001</v>
      </c>
      <c r="G5948" s="140" t="s">
        <v>440</v>
      </c>
      <c r="H5948">
        <v>0</v>
      </c>
      <c r="I5948" s="140" t="s">
        <v>14</v>
      </c>
    </row>
    <row r="5949" spans="1:9" hidden="1" x14ac:dyDescent="0.25">
      <c r="A5949">
        <v>2016</v>
      </c>
      <c r="B5949" s="140" t="s">
        <v>187</v>
      </c>
      <c r="C5949" s="140" t="s">
        <v>50</v>
      </c>
      <c r="D5949" s="140" t="s">
        <v>11</v>
      </c>
      <c r="E5949" s="140" t="s">
        <v>12</v>
      </c>
      <c r="F5949">
        <v>8.8955898980000008</v>
      </c>
      <c r="G5949" s="140" t="s">
        <v>440</v>
      </c>
      <c r="H5949">
        <v>0</v>
      </c>
      <c r="I5949" s="140" t="s">
        <v>14</v>
      </c>
    </row>
    <row r="5950" spans="1:9" hidden="1" x14ac:dyDescent="0.25">
      <c r="A5950">
        <v>2017</v>
      </c>
      <c r="B5950" s="140" t="s">
        <v>187</v>
      </c>
      <c r="C5950" s="140" t="s">
        <v>50</v>
      </c>
      <c r="D5950" s="140" t="s">
        <v>11</v>
      </c>
      <c r="E5950" s="140" t="s">
        <v>12</v>
      </c>
      <c r="F5950">
        <v>8.7135377710000004</v>
      </c>
      <c r="G5950" s="140" t="s">
        <v>440</v>
      </c>
      <c r="H5950">
        <v>0</v>
      </c>
      <c r="I5950" s="140" t="s">
        <v>14</v>
      </c>
    </row>
    <row r="5951" spans="1:9" hidden="1" x14ac:dyDescent="0.25">
      <c r="A5951">
        <v>2018</v>
      </c>
      <c r="B5951" s="140" t="s">
        <v>187</v>
      </c>
      <c r="C5951" s="140" t="s">
        <v>50</v>
      </c>
      <c r="D5951" s="140" t="s">
        <v>11</v>
      </c>
      <c r="E5951" s="140" t="s">
        <v>12</v>
      </c>
      <c r="F5951">
        <v>7.4566260609999997</v>
      </c>
      <c r="G5951" s="140" t="s">
        <v>440</v>
      </c>
      <c r="H5951">
        <v>0</v>
      </c>
      <c r="I5951" s="140" t="s">
        <v>14</v>
      </c>
    </row>
    <row r="5952" spans="1:9" hidden="1" x14ac:dyDescent="0.25">
      <c r="A5952">
        <v>2019</v>
      </c>
      <c r="B5952" s="140" t="s">
        <v>187</v>
      </c>
      <c r="C5952" s="140" t="s">
        <v>50</v>
      </c>
      <c r="D5952" s="140" t="s">
        <v>11</v>
      </c>
      <c r="E5952" s="140" t="s">
        <v>12</v>
      </c>
      <c r="F5952">
        <v>6.7721751929999998</v>
      </c>
      <c r="G5952" s="140" t="s">
        <v>440</v>
      </c>
      <c r="H5952">
        <v>0</v>
      </c>
      <c r="I5952" s="140" t="s">
        <v>14</v>
      </c>
    </row>
    <row r="5953" spans="1:9" hidden="1" x14ac:dyDescent="0.25">
      <c r="A5953">
        <v>2020</v>
      </c>
      <c r="B5953" s="140" t="s">
        <v>187</v>
      </c>
      <c r="C5953" s="140" t="s">
        <v>50</v>
      </c>
      <c r="D5953" s="140" t="s">
        <v>11</v>
      </c>
      <c r="E5953" s="140" t="s">
        <v>12</v>
      </c>
      <c r="F5953">
        <v>7.7292899410000002</v>
      </c>
      <c r="G5953" s="140" t="s">
        <v>440</v>
      </c>
      <c r="H5953">
        <v>0</v>
      </c>
      <c r="I5953" s="140" t="s">
        <v>14</v>
      </c>
    </row>
    <row r="5954" spans="1:9" hidden="1" x14ac:dyDescent="0.25">
      <c r="A5954">
        <v>2021</v>
      </c>
      <c r="B5954" s="140" t="s">
        <v>187</v>
      </c>
      <c r="C5954" s="140" t="s">
        <v>50</v>
      </c>
      <c r="D5954" s="140" t="s">
        <v>11</v>
      </c>
      <c r="E5954" s="140" t="s">
        <v>12</v>
      </c>
      <c r="F5954">
        <v>7.6644974689999996</v>
      </c>
      <c r="G5954" s="140" t="s">
        <v>440</v>
      </c>
      <c r="H5954">
        <v>0</v>
      </c>
      <c r="I5954" s="140" t="s">
        <v>14</v>
      </c>
    </row>
    <row r="5955" spans="1:9" hidden="1" x14ac:dyDescent="0.25">
      <c r="A5955">
        <v>2022</v>
      </c>
      <c r="B5955" s="140" t="s">
        <v>187</v>
      </c>
      <c r="C5955" s="140" t="s">
        <v>50</v>
      </c>
      <c r="D5955" s="140" t="s">
        <v>11</v>
      </c>
      <c r="E5955" s="140" t="s">
        <v>12</v>
      </c>
      <c r="F5955">
        <v>6.7639729439999998</v>
      </c>
      <c r="G5955" s="140" t="s">
        <v>440</v>
      </c>
      <c r="H5955">
        <v>0</v>
      </c>
      <c r="I5955" s="140" t="s">
        <v>14</v>
      </c>
    </row>
    <row r="5956" spans="1:9" hidden="1" x14ac:dyDescent="0.25">
      <c r="A5956">
        <v>2023</v>
      </c>
      <c r="B5956" s="140" t="s">
        <v>187</v>
      </c>
      <c r="C5956" s="140" t="s">
        <v>50</v>
      </c>
      <c r="D5956" s="140" t="s">
        <v>11</v>
      </c>
      <c r="E5956" s="140" t="s">
        <v>12</v>
      </c>
      <c r="F5956">
        <v>7.203389831</v>
      </c>
      <c r="G5956" s="140" t="s">
        <v>440</v>
      </c>
      <c r="H5956">
        <v>0</v>
      </c>
      <c r="I5956" s="140" t="s">
        <v>14</v>
      </c>
    </row>
    <row r="5957" spans="1:9" hidden="1" x14ac:dyDescent="0.25">
      <c r="A5957">
        <v>2024</v>
      </c>
      <c r="B5957" s="140" t="s">
        <v>187</v>
      </c>
      <c r="C5957" s="140" t="s">
        <v>50</v>
      </c>
      <c r="D5957" s="140" t="s">
        <v>11</v>
      </c>
      <c r="E5957" s="140" t="s">
        <v>12</v>
      </c>
      <c r="F5957">
        <v>8.377331925</v>
      </c>
      <c r="G5957" s="140" t="s">
        <v>440</v>
      </c>
      <c r="H5957">
        <v>0</v>
      </c>
      <c r="I5957" s="140" t="s">
        <v>14</v>
      </c>
    </row>
    <row r="5958" spans="1:9" hidden="1" x14ac:dyDescent="0.25">
      <c r="A5958">
        <v>2025</v>
      </c>
      <c r="B5958" s="140" t="s">
        <v>187</v>
      </c>
      <c r="C5958" s="140" t="s">
        <v>50</v>
      </c>
      <c r="D5958" s="140" t="s">
        <v>11</v>
      </c>
      <c r="E5958" s="140" t="s">
        <v>12</v>
      </c>
      <c r="F5958">
        <v>9.6931659690000007</v>
      </c>
      <c r="G5958" s="140" t="s">
        <v>440</v>
      </c>
      <c r="H5958">
        <v>0</v>
      </c>
      <c r="I5958" s="140" t="s">
        <v>14</v>
      </c>
    </row>
    <row r="5959" spans="1:9" hidden="1" x14ac:dyDescent="0.25">
      <c r="A5959">
        <v>2026</v>
      </c>
      <c r="B5959" s="140" t="s">
        <v>187</v>
      </c>
      <c r="C5959" s="140" t="s">
        <v>50</v>
      </c>
      <c r="D5959" s="140" t="s">
        <v>11</v>
      </c>
      <c r="E5959" s="140" t="s">
        <v>12</v>
      </c>
      <c r="F5959">
        <v>10.2859558</v>
      </c>
      <c r="G5959" s="140" t="s">
        <v>440</v>
      </c>
      <c r="H5959">
        <v>0</v>
      </c>
      <c r="I5959" s="140" t="s">
        <v>14</v>
      </c>
    </row>
    <row r="5960" spans="1:9" hidden="1" x14ac:dyDescent="0.25">
      <c r="A5960">
        <v>2027</v>
      </c>
      <c r="B5960" s="140" t="s">
        <v>187</v>
      </c>
      <c r="C5960" s="140" t="s">
        <v>50</v>
      </c>
      <c r="D5960" s="140" t="s">
        <v>11</v>
      </c>
      <c r="E5960" s="140" t="s">
        <v>12</v>
      </c>
      <c r="F5960">
        <v>9.8526496530000003</v>
      </c>
      <c r="G5960" s="140" t="s">
        <v>440</v>
      </c>
      <c r="H5960">
        <v>0</v>
      </c>
      <c r="I5960" s="140" t="s">
        <v>14</v>
      </c>
    </row>
    <row r="5961" spans="1:9" hidden="1" x14ac:dyDescent="0.25">
      <c r="A5961">
        <v>2028</v>
      </c>
      <c r="B5961" s="140" t="s">
        <v>187</v>
      </c>
      <c r="C5961" s="140" t="s">
        <v>50</v>
      </c>
      <c r="D5961" s="140" t="s">
        <v>11</v>
      </c>
      <c r="E5961" s="140" t="s">
        <v>12</v>
      </c>
      <c r="F5961">
        <v>9.5025468019999995</v>
      </c>
      <c r="G5961" s="140" t="s">
        <v>440</v>
      </c>
      <c r="H5961">
        <v>0</v>
      </c>
      <c r="I5961" s="140" t="s">
        <v>14</v>
      </c>
    </row>
    <row r="5962" spans="1:9" hidden="1" x14ac:dyDescent="0.25">
      <c r="A5962">
        <v>2029</v>
      </c>
      <c r="B5962" s="140" t="s">
        <v>187</v>
      </c>
      <c r="C5962" s="140" t="s">
        <v>50</v>
      </c>
      <c r="D5962" s="140" t="s">
        <v>11</v>
      </c>
      <c r="E5962" s="140" t="s">
        <v>12</v>
      </c>
      <c r="F5962">
        <v>8.9442258120000009</v>
      </c>
      <c r="G5962" s="140" t="s">
        <v>440</v>
      </c>
      <c r="H5962">
        <v>0</v>
      </c>
      <c r="I5962" s="140" t="s">
        <v>14</v>
      </c>
    </row>
    <row r="5963" spans="1:9" hidden="1" x14ac:dyDescent="0.25">
      <c r="A5963">
        <v>2030</v>
      </c>
      <c r="B5963" s="140" t="s">
        <v>187</v>
      </c>
      <c r="C5963" s="140" t="s">
        <v>50</v>
      </c>
      <c r="D5963" s="140" t="s">
        <v>11</v>
      </c>
      <c r="E5963" s="140" t="s">
        <v>12</v>
      </c>
      <c r="F5963">
        <v>8.4874368350000005</v>
      </c>
      <c r="G5963" s="140" t="s">
        <v>440</v>
      </c>
      <c r="H5963">
        <v>0</v>
      </c>
      <c r="I5963" s="140" t="s">
        <v>14</v>
      </c>
    </row>
    <row r="5964" spans="1:9" hidden="1" x14ac:dyDescent="0.25">
      <c r="A5964">
        <v>2009</v>
      </c>
      <c r="B5964" s="140" t="s">
        <v>76</v>
      </c>
      <c r="C5964" s="140" t="s">
        <v>50</v>
      </c>
      <c r="D5964" s="140" t="s">
        <v>11</v>
      </c>
      <c r="E5964" s="140" t="s">
        <v>12</v>
      </c>
      <c r="F5964">
        <v>67.493656610000002</v>
      </c>
      <c r="G5964" s="140" t="s">
        <v>441</v>
      </c>
      <c r="H5964">
        <v>0</v>
      </c>
      <c r="I5964" s="140" t="s">
        <v>14</v>
      </c>
    </row>
    <row r="5965" spans="1:9" hidden="1" x14ac:dyDescent="0.25">
      <c r="A5965">
        <v>2010</v>
      </c>
      <c r="B5965" s="140" t="s">
        <v>76</v>
      </c>
      <c r="C5965" s="140" t="s">
        <v>50</v>
      </c>
      <c r="D5965" s="140" t="s">
        <v>11</v>
      </c>
      <c r="E5965" s="140" t="s">
        <v>12</v>
      </c>
      <c r="F5965">
        <v>66.807313640000004</v>
      </c>
      <c r="G5965" s="140" t="s">
        <v>441</v>
      </c>
      <c r="H5965">
        <v>0</v>
      </c>
      <c r="I5965" s="140" t="s">
        <v>14</v>
      </c>
    </row>
    <row r="5966" spans="1:9" hidden="1" x14ac:dyDescent="0.25">
      <c r="A5966">
        <v>2011</v>
      </c>
      <c r="B5966" s="140" t="s">
        <v>76</v>
      </c>
      <c r="C5966" s="140" t="s">
        <v>50</v>
      </c>
      <c r="D5966" s="140" t="s">
        <v>11</v>
      </c>
      <c r="E5966" s="140" t="s">
        <v>12</v>
      </c>
      <c r="F5966">
        <v>67.646227749999994</v>
      </c>
      <c r="G5966" s="140" t="s">
        <v>441</v>
      </c>
      <c r="H5966">
        <v>0</v>
      </c>
      <c r="I5966" s="140" t="s">
        <v>14</v>
      </c>
    </row>
    <row r="5967" spans="1:9" hidden="1" x14ac:dyDescent="0.25">
      <c r="A5967">
        <v>2012</v>
      </c>
      <c r="B5967" s="140" t="s">
        <v>76</v>
      </c>
      <c r="C5967" s="140" t="s">
        <v>50</v>
      </c>
      <c r="D5967" s="140" t="s">
        <v>11</v>
      </c>
      <c r="E5967" s="140" t="s">
        <v>12</v>
      </c>
      <c r="F5967">
        <v>68.076049940000004</v>
      </c>
      <c r="G5967" s="140" t="s">
        <v>441</v>
      </c>
      <c r="H5967">
        <v>0</v>
      </c>
      <c r="I5967" s="140" t="s">
        <v>14</v>
      </c>
    </row>
    <row r="5968" spans="1:9" hidden="1" x14ac:dyDescent="0.25">
      <c r="A5968">
        <v>2013</v>
      </c>
      <c r="B5968" s="140" t="s">
        <v>76</v>
      </c>
      <c r="C5968" s="140" t="s">
        <v>50</v>
      </c>
      <c r="D5968" s="140" t="s">
        <v>11</v>
      </c>
      <c r="E5968" s="140" t="s">
        <v>12</v>
      </c>
      <c r="F5968">
        <v>67.702394530000007</v>
      </c>
      <c r="G5968" s="140" t="s">
        <v>441</v>
      </c>
      <c r="H5968">
        <v>0</v>
      </c>
      <c r="I5968" s="140" t="s">
        <v>14</v>
      </c>
    </row>
    <row r="5969" spans="1:9" hidden="1" x14ac:dyDescent="0.25">
      <c r="A5969">
        <v>2014</v>
      </c>
      <c r="B5969" s="140" t="s">
        <v>76</v>
      </c>
      <c r="C5969" s="140" t="s">
        <v>50</v>
      </c>
      <c r="D5969" s="140" t="s">
        <v>11</v>
      </c>
      <c r="E5969" s="140" t="s">
        <v>12</v>
      </c>
      <c r="F5969">
        <v>67.573761099999999</v>
      </c>
      <c r="G5969" s="140" t="s">
        <v>441</v>
      </c>
      <c r="H5969">
        <v>0</v>
      </c>
      <c r="I5969" s="140" t="s">
        <v>14</v>
      </c>
    </row>
    <row r="5970" spans="1:9" hidden="1" x14ac:dyDescent="0.25">
      <c r="A5970">
        <v>2015</v>
      </c>
      <c r="B5970" s="140" t="s">
        <v>76</v>
      </c>
      <c r="C5970" s="140" t="s">
        <v>50</v>
      </c>
      <c r="D5970" s="140" t="s">
        <v>11</v>
      </c>
      <c r="E5970" s="140" t="s">
        <v>12</v>
      </c>
      <c r="F5970">
        <v>67.146144989999996</v>
      </c>
      <c r="G5970" s="140" t="s">
        <v>441</v>
      </c>
      <c r="H5970">
        <v>0</v>
      </c>
      <c r="I5970" s="140" t="s">
        <v>14</v>
      </c>
    </row>
    <row r="5971" spans="1:9" hidden="1" x14ac:dyDescent="0.25">
      <c r="A5971">
        <v>2016</v>
      </c>
      <c r="B5971" s="140" t="s">
        <v>76</v>
      </c>
      <c r="C5971" s="140" t="s">
        <v>50</v>
      </c>
      <c r="D5971" s="140" t="s">
        <v>11</v>
      </c>
      <c r="E5971" s="140" t="s">
        <v>12</v>
      </c>
      <c r="F5971">
        <v>67.860236790000002</v>
      </c>
      <c r="G5971" s="140" t="s">
        <v>441</v>
      </c>
      <c r="H5971">
        <v>0</v>
      </c>
      <c r="I5971" s="140" t="s">
        <v>14</v>
      </c>
    </row>
    <row r="5972" spans="1:9" hidden="1" x14ac:dyDescent="0.25">
      <c r="A5972">
        <v>2017</v>
      </c>
      <c r="B5972" s="140" t="s">
        <v>76</v>
      </c>
      <c r="C5972" s="140" t="s">
        <v>50</v>
      </c>
      <c r="D5972" s="140" t="s">
        <v>11</v>
      </c>
      <c r="E5972" s="140" t="s">
        <v>12</v>
      </c>
      <c r="F5972">
        <v>68.733700380000002</v>
      </c>
      <c r="G5972" s="140" t="s">
        <v>441</v>
      </c>
      <c r="H5972">
        <v>0</v>
      </c>
      <c r="I5972" s="140" t="s">
        <v>14</v>
      </c>
    </row>
    <row r="5973" spans="1:9" hidden="1" x14ac:dyDescent="0.25">
      <c r="A5973">
        <v>2018</v>
      </c>
      <c r="B5973" s="140" t="s">
        <v>76</v>
      </c>
      <c r="C5973" s="140" t="s">
        <v>50</v>
      </c>
      <c r="D5973" s="140" t="s">
        <v>11</v>
      </c>
      <c r="E5973" s="140" t="s">
        <v>12</v>
      </c>
      <c r="F5973">
        <v>70.747310260000006</v>
      </c>
      <c r="G5973" s="140" t="s">
        <v>441</v>
      </c>
      <c r="H5973">
        <v>0</v>
      </c>
      <c r="I5973" s="140" t="s">
        <v>14</v>
      </c>
    </row>
    <row r="5974" spans="1:9" hidden="1" x14ac:dyDescent="0.25">
      <c r="A5974">
        <v>2019</v>
      </c>
      <c r="B5974" s="140" t="s">
        <v>76</v>
      </c>
      <c r="C5974" s="140" t="s">
        <v>50</v>
      </c>
      <c r="D5974" s="140" t="s">
        <v>11</v>
      </c>
      <c r="E5974" s="140" t="s">
        <v>12</v>
      </c>
      <c r="F5974">
        <v>71.616102679999997</v>
      </c>
      <c r="G5974" s="140" t="s">
        <v>441</v>
      </c>
      <c r="H5974">
        <v>0</v>
      </c>
      <c r="I5974" s="140" t="s">
        <v>14</v>
      </c>
    </row>
    <row r="5975" spans="1:9" hidden="1" x14ac:dyDescent="0.25">
      <c r="A5975">
        <v>2020</v>
      </c>
      <c r="B5975" s="140" t="s">
        <v>76</v>
      </c>
      <c r="C5975" s="140" t="s">
        <v>50</v>
      </c>
      <c r="D5975" s="140" t="s">
        <v>11</v>
      </c>
      <c r="E5975" s="140" t="s">
        <v>12</v>
      </c>
      <c r="F5975">
        <v>70.739549839999995</v>
      </c>
      <c r="G5975" s="140" t="s">
        <v>441</v>
      </c>
      <c r="H5975">
        <v>0</v>
      </c>
      <c r="I5975" s="140" t="s">
        <v>14</v>
      </c>
    </row>
    <row r="5976" spans="1:9" hidden="1" x14ac:dyDescent="0.25">
      <c r="A5976">
        <v>2021</v>
      </c>
      <c r="B5976" s="140" t="s">
        <v>76</v>
      </c>
      <c r="C5976" s="140" t="s">
        <v>50</v>
      </c>
      <c r="D5976" s="140" t="s">
        <v>11</v>
      </c>
      <c r="E5976" s="140" t="s">
        <v>12</v>
      </c>
      <c r="F5976">
        <v>72.285630670000003</v>
      </c>
      <c r="G5976" s="140" t="s">
        <v>441</v>
      </c>
      <c r="H5976">
        <v>0</v>
      </c>
      <c r="I5976" s="140" t="s">
        <v>14</v>
      </c>
    </row>
    <row r="5977" spans="1:9" hidden="1" x14ac:dyDescent="0.25">
      <c r="A5977">
        <v>2022</v>
      </c>
      <c r="B5977" s="140" t="s">
        <v>76</v>
      </c>
      <c r="C5977" s="140" t="s">
        <v>50</v>
      </c>
      <c r="D5977" s="140" t="s">
        <v>11</v>
      </c>
      <c r="E5977" s="140" t="s">
        <v>12</v>
      </c>
      <c r="F5977">
        <v>73.838059049999998</v>
      </c>
      <c r="G5977" s="140" t="s">
        <v>441</v>
      </c>
      <c r="H5977">
        <v>0</v>
      </c>
      <c r="I5977" s="140" t="s">
        <v>14</v>
      </c>
    </row>
    <row r="5978" spans="1:9" hidden="1" x14ac:dyDescent="0.25">
      <c r="A5978">
        <v>2023</v>
      </c>
      <c r="B5978" s="140" t="s">
        <v>76</v>
      </c>
      <c r="C5978" s="140" t="s">
        <v>50</v>
      </c>
      <c r="D5978" s="140" t="s">
        <v>11</v>
      </c>
      <c r="E5978" s="140" t="s">
        <v>12</v>
      </c>
      <c r="F5978">
        <v>73.561882629999999</v>
      </c>
      <c r="G5978" s="140" t="s">
        <v>441</v>
      </c>
      <c r="H5978">
        <v>0</v>
      </c>
      <c r="I5978" s="140" t="s">
        <v>14</v>
      </c>
    </row>
    <row r="5979" spans="1:9" hidden="1" x14ac:dyDescent="0.25">
      <c r="A5979">
        <v>2024</v>
      </c>
      <c r="B5979" s="140" t="s">
        <v>76</v>
      </c>
      <c r="C5979" s="140" t="s">
        <v>50</v>
      </c>
      <c r="D5979" s="140" t="s">
        <v>11</v>
      </c>
      <c r="E5979" s="140" t="s">
        <v>12</v>
      </c>
      <c r="F5979">
        <v>72.099049809999997</v>
      </c>
      <c r="G5979" s="140" t="s">
        <v>441</v>
      </c>
      <c r="H5979">
        <v>0</v>
      </c>
      <c r="I5979" s="140" t="s">
        <v>14</v>
      </c>
    </row>
    <row r="5980" spans="1:9" hidden="1" x14ac:dyDescent="0.25">
      <c r="A5980">
        <v>2025</v>
      </c>
      <c r="B5980" s="140" t="s">
        <v>76</v>
      </c>
      <c r="C5980" s="140" t="s">
        <v>50</v>
      </c>
      <c r="D5980" s="140" t="s">
        <v>11</v>
      </c>
      <c r="E5980" s="140" t="s">
        <v>12</v>
      </c>
      <c r="F5980">
        <v>71.428571430000005</v>
      </c>
      <c r="G5980" s="140" t="s">
        <v>441</v>
      </c>
      <c r="H5980">
        <v>0</v>
      </c>
      <c r="I5980" s="140" t="s">
        <v>14</v>
      </c>
    </row>
    <row r="5981" spans="1:9" hidden="1" x14ac:dyDescent="0.25">
      <c r="A5981">
        <v>2026</v>
      </c>
      <c r="B5981" s="140" t="s">
        <v>76</v>
      </c>
      <c r="C5981" s="140" t="s">
        <v>50</v>
      </c>
      <c r="D5981" s="140" t="s">
        <v>11</v>
      </c>
      <c r="E5981" s="140" t="s">
        <v>12</v>
      </c>
      <c r="F5981">
        <v>70.967879289999999</v>
      </c>
      <c r="G5981" s="140" t="s">
        <v>441</v>
      </c>
      <c r="H5981">
        <v>0</v>
      </c>
      <c r="I5981" s="140" t="s">
        <v>14</v>
      </c>
    </row>
    <row r="5982" spans="1:9" hidden="1" x14ac:dyDescent="0.25">
      <c r="A5982">
        <v>2027</v>
      </c>
      <c r="B5982" s="140" t="s">
        <v>76</v>
      </c>
      <c r="C5982" s="140" t="s">
        <v>50</v>
      </c>
      <c r="D5982" s="140" t="s">
        <v>11</v>
      </c>
      <c r="E5982" s="140" t="s">
        <v>12</v>
      </c>
      <c r="F5982">
        <v>71.649242240000007</v>
      </c>
      <c r="G5982" s="140" t="s">
        <v>441</v>
      </c>
      <c r="H5982">
        <v>0</v>
      </c>
      <c r="I5982" s="140" t="s">
        <v>14</v>
      </c>
    </row>
    <row r="5983" spans="1:9" hidden="1" x14ac:dyDescent="0.25">
      <c r="A5983">
        <v>2028</v>
      </c>
      <c r="B5983" s="140" t="s">
        <v>76</v>
      </c>
      <c r="C5983" s="140" t="s">
        <v>50</v>
      </c>
      <c r="D5983" s="140" t="s">
        <v>11</v>
      </c>
      <c r="E5983" s="140" t="s">
        <v>12</v>
      </c>
      <c r="F5983">
        <v>72.133849960000006</v>
      </c>
      <c r="G5983" s="140" t="s">
        <v>441</v>
      </c>
      <c r="H5983">
        <v>0</v>
      </c>
      <c r="I5983" s="140" t="s">
        <v>14</v>
      </c>
    </row>
    <row r="5984" spans="1:9" hidden="1" x14ac:dyDescent="0.25">
      <c r="A5984">
        <v>2029</v>
      </c>
      <c r="B5984" s="140" t="s">
        <v>76</v>
      </c>
      <c r="C5984" s="140" t="s">
        <v>50</v>
      </c>
      <c r="D5984" s="140" t="s">
        <v>11</v>
      </c>
      <c r="E5984" s="140" t="s">
        <v>12</v>
      </c>
      <c r="F5984">
        <v>72.607886669999999</v>
      </c>
      <c r="G5984" s="140" t="s">
        <v>441</v>
      </c>
      <c r="H5984">
        <v>0</v>
      </c>
      <c r="I5984" s="140" t="s">
        <v>14</v>
      </c>
    </row>
    <row r="5985" spans="1:9" hidden="1" x14ac:dyDescent="0.25">
      <c r="A5985">
        <v>2030</v>
      </c>
      <c r="B5985" s="140" t="s">
        <v>76</v>
      </c>
      <c r="C5985" s="140" t="s">
        <v>50</v>
      </c>
      <c r="D5985" s="140" t="s">
        <v>11</v>
      </c>
      <c r="E5985" s="140" t="s">
        <v>12</v>
      </c>
      <c r="F5985">
        <v>73.007341929999996</v>
      </c>
      <c r="G5985" s="140" t="s">
        <v>441</v>
      </c>
      <c r="H5985">
        <v>0</v>
      </c>
      <c r="I5985" s="140" t="s">
        <v>14</v>
      </c>
    </row>
    <row r="5986" spans="1:9" hidden="1" x14ac:dyDescent="0.25">
      <c r="A5986">
        <v>2009</v>
      </c>
      <c r="B5986" s="140" t="s">
        <v>77</v>
      </c>
      <c r="C5986" s="140" t="s">
        <v>50</v>
      </c>
      <c r="D5986" s="140" t="s">
        <v>11</v>
      </c>
      <c r="E5986" s="140" t="s">
        <v>12</v>
      </c>
      <c r="F5986">
        <v>72.400000000000006</v>
      </c>
      <c r="G5986" s="140" t="s">
        <v>78</v>
      </c>
      <c r="H5986">
        <v>0</v>
      </c>
      <c r="I5986" s="140" t="s">
        <v>14</v>
      </c>
    </row>
    <row r="5987" spans="1:9" hidden="1" x14ac:dyDescent="0.25">
      <c r="A5987">
        <v>2010</v>
      </c>
      <c r="B5987" s="140" t="s">
        <v>77</v>
      </c>
      <c r="C5987" s="140" t="s">
        <v>50</v>
      </c>
      <c r="D5987" s="140" t="s">
        <v>11</v>
      </c>
      <c r="E5987" s="140" t="s">
        <v>12</v>
      </c>
      <c r="F5987">
        <v>71.7</v>
      </c>
      <c r="G5987" s="140" t="s">
        <v>78</v>
      </c>
      <c r="H5987">
        <v>0</v>
      </c>
      <c r="I5987" s="140" t="s">
        <v>14</v>
      </c>
    </row>
    <row r="5988" spans="1:9" hidden="1" x14ac:dyDescent="0.25">
      <c r="A5988">
        <v>2011</v>
      </c>
      <c r="B5988" s="140" t="s">
        <v>77</v>
      </c>
      <c r="C5988" s="140" t="s">
        <v>50</v>
      </c>
      <c r="D5988" s="140" t="s">
        <v>11</v>
      </c>
      <c r="E5988" s="140" t="s">
        <v>12</v>
      </c>
      <c r="F5988">
        <v>72.5</v>
      </c>
      <c r="G5988" s="140" t="s">
        <v>78</v>
      </c>
      <c r="H5988">
        <v>0</v>
      </c>
      <c r="I5988" s="140" t="s">
        <v>14</v>
      </c>
    </row>
    <row r="5989" spans="1:9" hidden="1" x14ac:dyDescent="0.25">
      <c r="A5989">
        <v>2012</v>
      </c>
      <c r="B5989" s="140" t="s">
        <v>77</v>
      </c>
      <c r="C5989" s="140" t="s">
        <v>50</v>
      </c>
      <c r="D5989" s="140" t="s">
        <v>11</v>
      </c>
      <c r="E5989" s="140" t="s">
        <v>12</v>
      </c>
      <c r="F5989">
        <v>72.8</v>
      </c>
      <c r="G5989" s="140" t="s">
        <v>78</v>
      </c>
      <c r="H5989">
        <v>0</v>
      </c>
      <c r="I5989" s="140" t="s">
        <v>14</v>
      </c>
    </row>
    <row r="5990" spans="1:9" hidden="1" x14ac:dyDescent="0.25">
      <c r="A5990">
        <v>2013</v>
      </c>
      <c r="B5990" s="140" t="s">
        <v>77</v>
      </c>
      <c r="C5990" s="140" t="s">
        <v>50</v>
      </c>
      <c r="D5990" s="140" t="s">
        <v>11</v>
      </c>
      <c r="E5990" s="140" t="s">
        <v>12</v>
      </c>
      <c r="F5990">
        <v>72.3</v>
      </c>
      <c r="G5990" s="140" t="s">
        <v>78</v>
      </c>
      <c r="H5990">
        <v>0</v>
      </c>
      <c r="I5990" s="140" t="s">
        <v>14</v>
      </c>
    </row>
    <row r="5991" spans="1:9" hidden="1" x14ac:dyDescent="0.25">
      <c r="A5991">
        <v>2014</v>
      </c>
      <c r="B5991" s="140" t="s">
        <v>77</v>
      </c>
      <c r="C5991" s="140" t="s">
        <v>50</v>
      </c>
      <c r="D5991" s="140" t="s">
        <v>11</v>
      </c>
      <c r="E5991" s="140" t="s">
        <v>12</v>
      </c>
      <c r="F5991">
        <v>72</v>
      </c>
      <c r="G5991" s="140" t="s">
        <v>78</v>
      </c>
      <c r="H5991">
        <v>0</v>
      </c>
      <c r="I5991" s="140" t="s">
        <v>14</v>
      </c>
    </row>
    <row r="5992" spans="1:9" hidden="1" x14ac:dyDescent="0.25">
      <c r="A5992">
        <v>2015</v>
      </c>
      <c r="B5992" s="140" t="s">
        <v>77</v>
      </c>
      <c r="C5992" s="140" t="s">
        <v>50</v>
      </c>
      <c r="D5992" s="140" t="s">
        <v>11</v>
      </c>
      <c r="E5992" s="140" t="s">
        <v>12</v>
      </c>
      <c r="F5992">
        <v>71.5</v>
      </c>
      <c r="G5992" s="140" t="s">
        <v>78</v>
      </c>
      <c r="H5992">
        <v>0</v>
      </c>
      <c r="I5992" s="140" t="s">
        <v>14</v>
      </c>
    </row>
    <row r="5993" spans="1:9" hidden="1" x14ac:dyDescent="0.25">
      <c r="A5993">
        <v>2016</v>
      </c>
      <c r="B5993" s="140" t="s">
        <v>77</v>
      </c>
      <c r="C5993" s="140" t="s">
        <v>50</v>
      </c>
      <c r="D5993" s="140" t="s">
        <v>11</v>
      </c>
      <c r="E5993" s="140" t="s">
        <v>12</v>
      </c>
      <c r="F5993">
        <v>72.2</v>
      </c>
      <c r="G5993" s="140" t="s">
        <v>78</v>
      </c>
      <c r="H5993">
        <v>0</v>
      </c>
      <c r="I5993" s="140" t="s">
        <v>14</v>
      </c>
    </row>
    <row r="5994" spans="1:9" hidden="1" x14ac:dyDescent="0.25">
      <c r="A5994">
        <v>2017</v>
      </c>
      <c r="B5994" s="140" t="s">
        <v>77</v>
      </c>
      <c r="C5994" s="140" t="s">
        <v>50</v>
      </c>
      <c r="D5994" s="140" t="s">
        <v>11</v>
      </c>
      <c r="E5994" s="140" t="s">
        <v>12</v>
      </c>
      <c r="F5994">
        <v>73</v>
      </c>
      <c r="G5994" s="140" t="s">
        <v>78</v>
      </c>
      <c r="H5994">
        <v>0</v>
      </c>
      <c r="I5994" s="140" t="s">
        <v>14</v>
      </c>
    </row>
    <row r="5995" spans="1:9" hidden="1" x14ac:dyDescent="0.25">
      <c r="A5995">
        <v>2018</v>
      </c>
      <c r="B5995" s="140" t="s">
        <v>77</v>
      </c>
      <c r="C5995" s="140" t="s">
        <v>50</v>
      </c>
      <c r="D5995" s="140" t="s">
        <v>11</v>
      </c>
      <c r="E5995" s="140" t="s">
        <v>12</v>
      </c>
      <c r="F5995">
        <v>75.099999999999994</v>
      </c>
      <c r="G5995" s="140" t="s">
        <v>78</v>
      </c>
      <c r="H5995">
        <v>0</v>
      </c>
      <c r="I5995" s="140" t="s">
        <v>14</v>
      </c>
    </row>
    <row r="5996" spans="1:9" hidden="1" x14ac:dyDescent="0.25">
      <c r="A5996">
        <v>2019</v>
      </c>
      <c r="B5996" s="140" t="s">
        <v>77</v>
      </c>
      <c r="C5996" s="140" t="s">
        <v>50</v>
      </c>
      <c r="D5996" s="140" t="s">
        <v>11</v>
      </c>
      <c r="E5996" s="140" t="s">
        <v>12</v>
      </c>
      <c r="F5996">
        <v>75.900000000000006</v>
      </c>
      <c r="G5996" s="140" t="s">
        <v>78</v>
      </c>
      <c r="H5996">
        <v>0</v>
      </c>
      <c r="I5996" s="140" t="s">
        <v>14</v>
      </c>
    </row>
    <row r="5997" spans="1:9" hidden="1" x14ac:dyDescent="0.25">
      <c r="A5997">
        <v>2020</v>
      </c>
      <c r="B5997" s="140" t="s">
        <v>77</v>
      </c>
      <c r="C5997" s="140" t="s">
        <v>50</v>
      </c>
      <c r="D5997" s="140" t="s">
        <v>11</v>
      </c>
      <c r="E5997" s="140" t="s">
        <v>12</v>
      </c>
      <c r="F5997">
        <v>75.2</v>
      </c>
      <c r="G5997" s="140" t="s">
        <v>78</v>
      </c>
      <c r="H5997">
        <v>0</v>
      </c>
      <c r="I5997" s="140" t="s">
        <v>14</v>
      </c>
    </row>
    <row r="5998" spans="1:9" hidden="1" x14ac:dyDescent="0.25">
      <c r="A5998">
        <v>2021</v>
      </c>
      <c r="B5998" s="140" t="s">
        <v>77</v>
      </c>
      <c r="C5998" s="140" t="s">
        <v>50</v>
      </c>
      <c r="D5998" s="140" t="s">
        <v>11</v>
      </c>
      <c r="E5998" s="140" t="s">
        <v>12</v>
      </c>
      <c r="F5998">
        <v>76.599999999999994</v>
      </c>
      <c r="G5998" s="140" t="s">
        <v>78</v>
      </c>
      <c r="H5998">
        <v>0</v>
      </c>
      <c r="I5998" s="140" t="s">
        <v>14</v>
      </c>
    </row>
    <row r="5999" spans="1:9" hidden="1" x14ac:dyDescent="0.25">
      <c r="A5999">
        <v>2022</v>
      </c>
      <c r="B5999" s="140" t="s">
        <v>77</v>
      </c>
      <c r="C5999" s="140" t="s">
        <v>50</v>
      </c>
      <c r="D5999" s="140" t="s">
        <v>11</v>
      </c>
      <c r="E5999" s="140" t="s">
        <v>12</v>
      </c>
      <c r="F5999">
        <v>78.099999999999994</v>
      </c>
      <c r="G5999" s="140" t="s">
        <v>78</v>
      </c>
      <c r="H5999">
        <v>0</v>
      </c>
      <c r="I5999" s="140" t="s">
        <v>14</v>
      </c>
    </row>
    <row r="6000" spans="1:9" hidden="1" x14ac:dyDescent="0.25">
      <c r="A6000">
        <v>2023</v>
      </c>
      <c r="B6000" s="140" t="s">
        <v>77</v>
      </c>
      <c r="C6000" s="140" t="s">
        <v>50</v>
      </c>
      <c r="D6000" s="140" t="s">
        <v>11</v>
      </c>
      <c r="E6000" s="140" t="s">
        <v>12</v>
      </c>
      <c r="F6000">
        <v>77.900000000000006</v>
      </c>
      <c r="G6000" s="140" t="s">
        <v>78</v>
      </c>
      <c r="H6000">
        <v>0</v>
      </c>
      <c r="I6000" s="140" t="s">
        <v>14</v>
      </c>
    </row>
    <row r="6001" spans="1:9" hidden="1" x14ac:dyDescent="0.25">
      <c r="A6001">
        <v>2024</v>
      </c>
      <c r="B6001" s="140" t="s">
        <v>77</v>
      </c>
      <c r="C6001" s="140" t="s">
        <v>50</v>
      </c>
      <c r="D6001" s="140" t="s">
        <v>11</v>
      </c>
      <c r="E6001" s="140" t="s">
        <v>12</v>
      </c>
      <c r="F6001">
        <v>76.7</v>
      </c>
      <c r="G6001" s="140" t="s">
        <v>78</v>
      </c>
      <c r="H6001">
        <v>0</v>
      </c>
      <c r="I6001" s="140" t="s">
        <v>14</v>
      </c>
    </row>
    <row r="6002" spans="1:9" hidden="1" x14ac:dyDescent="0.25">
      <c r="A6002">
        <v>2025</v>
      </c>
      <c r="B6002" s="140" t="s">
        <v>77</v>
      </c>
      <c r="C6002" s="140" t="s">
        <v>50</v>
      </c>
      <c r="D6002" s="140" t="s">
        <v>11</v>
      </c>
      <c r="E6002" s="140" t="s">
        <v>12</v>
      </c>
      <c r="F6002">
        <v>76</v>
      </c>
      <c r="G6002" s="140" t="s">
        <v>78</v>
      </c>
      <c r="H6002">
        <v>0</v>
      </c>
      <c r="I6002" s="140" t="s">
        <v>14</v>
      </c>
    </row>
    <row r="6003" spans="1:9" hidden="1" x14ac:dyDescent="0.25">
      <c r="A6003">
        <v>2026</v>
      </c>
      <c r="B6003" s="140" t="s">
        <v>77</v>
      </c>
      <c r="C6003" s="140" t="s">
        <v>50</v>
      </c>
      <c r="D6003" s="140" t="s">
        <v>11</v>
      </c>
      <c r="E6003" s="140" t="s">
        <v>12</v>
      </c>
      <c r="F6003">
        <v>75.641110420000004</v>
      </c>
      <c r="G6003" s="140" t="s">
        <v>78</v>
      </c>
      <c r="H6003">
        <v>0</v>
      </c>
      <c r="I6003" s="140" t="s">
        <v>14</v>
      </c>
    </row>
    <row r="6004" spans="1:9" hidden="1" x14ac:dyDescent="0.25">
      <c r="A6004">
        <v>2027</v>
      </c>
      <c r="B6004" s="140" t="s">
        <v>77</v>
      </c>
      <c r="C6004" s="140" t="s">
        <v>50</v>
      </c>
      <c r="D6004" s="140" t="s">
        <v>11</v>
      </c>
      <c r="E6004" s="140" t="s">
        <v>12</v>
      </c>
      <c r="F6004">
        <v>76.068616030000001</v>
      </c>
      <c r="G6004" s="140" t="s">
        <v>78</v>
      </c>
      <c r="H6004">
        <v>0</v>
      </c>
      <c r="I6004" s="140" t="s">
        <v>14</v>
      </c>
    </row>
    <row r="6005" spans="1:9" hidden="1" x14ac:dyDescent="0.25">
      <c r="A6005">
        <v>2028</v>
      </c>
      <c r="B6005" s="140" t="s">
        <v>77</v>
      </c>
      <c r="C6005" s="140" t="s">
        <v>50</v>
      </c>
      <c r="D6005" s="140" t="s">
        <v>11</v>
      </c>
      <c r="E6005" s="140" t="s">
        <v>12</v>
      </c>
      <c r="F6005">
        <v>76.411101669999994</v>
      </c>
      <c r="G6005" s="140" t="s">
        <v>78</v>
      </c>
      <c r="H6005">
        <v>0</v>
      </c>
      <c r="I6005" s="140" t="s">
        <v>14</v>
      </c>
    </row>
    <row r="6006" spans="1:9" hidden="1" x14ac:dyDescent="0.25">
      <c r="A6006">
        <v>1990</v>
      </c>
      <c r="B6006" s="140" t="s">
        <v>72</v>
      </c>
      <c r="C6006" s="140" t="s">
        <v>73</v>
      </c>
      <c r="D6006" s="140" t="s">
        <v>11</v>
      </c>
      <c r="E6006" s="140" t="s">
        <v>12</v>
      </c>
      <c r="F6006">
        <v>4261.5</v>
      </c>
      <c r="G6006" s="140" t="s">
        <v>442</v>
      </c>
      <c r="H6006">
        <v>0</v>
      </c>
      <c r="I6006" s="140" t="s">
        <v>62</v>
      </c>
    </row>
    <row r="6007" spans="1:9" hidden="1" x14ac:dyDescent="0.25">
      <c r="A6007">
        <v>1991</v>
      </c>
      <c r="B6007" s="140" t="s">
        <v>72</v>
      </c>
      <c r="C6007" s="140" t="s">
        <v>73</v>
      </c>
      <c r="D6007" s="140" t="s">
        <v>11</v>
      </c>
      <c r="E6007" s="140" t="s">
        <v>12</v>
      </c>
      <c r="F6007">
        <v>3981</v>
      </c>
      <c r="G6007" s="140" t="s">
        <v>442</v>
      </c>
      <c r="H6007">
        <v>0</v>
      </c>
      <c r="I6007" s="140" t="s">
        <v>62</v>
      </c>
    </row>
    <row r="6008" spans="1:9" hidden="1" x14ac:dyDescent="0.25">
      <c r="A6008">
        <v>1992</v>
      </c>
      <c r="B6008" s="140" t="s">
        <v>72</v>
      </c>
      <c r="C6008" s="140" t="s">
        <v>73</v>
      </c>
      <c r="D6008" s="140" t="s">
        <v>11</v>
      </c>
      <c r="E6008" s="140" t="s">
        <v>12</v>
      </c>
      <c r="F6008">
        <v>3713.4</v>
      </c>
      <c r="G6008" s="140" t="s">
        <v>442</v>
      </c>
      <c r="H6008">
        <v>0</v>
      </c>
      <c r="I6008" s="140" t="s">
        <v>62</v>
      </c>
    </row>
    <row r="6009" spans="1:9" hidden="1" x14ac:dyDescent="0.25">
      <c r="A6009">
        <v>1993</v>
      </c>
      <c r="B6009" s="140" t="s">
        <v>72</v>
      </c>
      <c r="C6009" s="140" t="s">
        <v>73</v>
      </c>
      <c r="D6009" s="140" t="s">
        <v>11</v>
      </c>
      <c r="E6009" s="140" t="s">
        <v>12</v>
      </c>
      <c r="F6009">
        <v>3498.9</v>
      </c>
      <c r="G6009" s="140" t="s">
        <v>442</v>
      </c>
      <c r="H6009">
        <v>0</v>
      </c>
      <c r="I6009" s="140" t="s">
        <v>62</v>
      </c>
    </row>
    <row r="6010" spans="1:9" hidden="1" x14ac:dyDescent="0.25">
      <c r="A6010">
        <v>1994</v>
      </c>
      <c r="B6010" s="140" t="s">
        <v>72</v>
      </c>
      <c r="C6010" s="140" t="s">
        <v>73</v>
      </c>
      <c r="D6010" s="140" t="s">
        <v>11</v>
      </c>
      <c r="E6010" s="140" t="s">
        <v>12</v>
      </c>
      <c r="F6010">
        <v>3483.9</v>
      </c>
      <c r="G6010" s="140" t="s">
        <v>442</v>
      </c>
      <c r="H6010">
        <v>0</v>
      </c>
      <c r="I6010" s="140" t="s">
        <v>62</v>
      </c>
    </row>
    <row r="6011" spans="1:9" hidden="1" x14ac:dyDescent="0.25">
      <c r="A6011">
        <v>1995</v>
      </c>
      <c r="B6011" s="140" t="s">
        <v>72</v>
      </c>
      <c r="C6011" s="140" t="s">
        <v>73</v>
      </c>
      <c r="D6011" s="140" t="s">
        <v>11</v>
      </c>
      <c r="E6011" s="140" t="s">
        <v>12</v>
      </c>
      <c r="F6011">
        <v>3566.6</v>
      </c>
      <c r="G6011" s="140" t="s">
        <v>442</v>
      </c>
      <c r="H6011">
        <v>0</v>
      </c>
      <c r="I6011" s="140" t="s">
        <v>62</v>
      </c>
    </row>
    <row r="6012" spans="1:9" hidden="1" x14ac:dyDescent="0.25">
      <c r="A6012">
        <v>1996</v>
      </c>
      <c r="B6012" s="140" t="s">
        <v>72</v>
      </c>
      <c r="C6012" s="140" t="s">
        <v>73</v>
      </c>
      <c r="D6012" s="140" t="s">
        <v>11</v>
      </c>
      <c r="E6012" s="140" t="s">
        <v>12</v>
      </c>
      <c r="F6012">
        <v>3623.8</v>
      </c>
      <c r="G6012" s="140" t="s">
        <v>442</v>
      </c>
      <c r="H6012">
        <v>0</v>
      </c>
      <c r="I6012" s="140" t="s">
        <v>62</v>
      </c>
    </row>
    <row r="6013" spans="1:9" hidden="1" x14ac:dyDescent="0.25">
      <c r="A6013">
        <v>1997</v>
      </c>
      <c r="B6013" s="140" t="s">
        <v>72</v>
      </c>
      <c r="C6013" s="140" t="s">
        <v>73</v>
      </c>
      <c r="D6013" s="140" t="s">
        <v>11</v>
      </c>
      <c r="E6013" s="140" t="s">
        <v>12</v>
      </c>
      <c r="F6013">
        <v>3737.8</v>
      </c>
      <c r="G6013" s="140" t="s">
        <v>442</v>
      </c>
      <c r="H6013">
        <v>0</v>
      </c>
      <c r="I6013" s="140" t="s">
        <v>62</v>
      </c>
    </row>
    <row r="6014" spans="1:9" hidden="1" x14ac:dyDescent="0.25">
      <c r="A6014">
        <v>1998</v>
      </c>
      <c r="B6014" s="140" t="s">
        <v>72</v>
      </c>
      <c r="C6014" s="140" t="s">
        <v>73</v>
      </c>
      <c r="D6014" s="140" t="s">
        <v>11</v>
      </c>
      <c r="E6014" s="140" t="s">
        <v>12</v>
      </c>
      <c r="F6014">
        <v>3789.7</v>
      </c>
      <c r="G6014" s="140" t="s">
        <v>442</v>
      </c>
      <c r="H6014">
        <v>0</v>
      </c>
      <c r="I6014" s="140" t="s">
        <v>62</v>
      </c>
    </row>
    <row r="6015" spans="1:9" hidden="1" x14ac:dyDescent="0.25">
      <c r="A6015">
        <v>1999</v>
      </c>
      <c r="B6015" s="140" t="s">
        <v>72</v>
      </c>
      <c r="C6015" s="140" t="s">
        <v>73</v>
      </c>
      <c r="D6015" s="140" t="s">
        <v>11</v>
      </c>
      <c r="E6015" s="140" t="s">
        <v>12</v>
      </c>
      <c r="F6015">
        <v>3867</v>
      </c>
      <c r="G6015" s="140" t="s">
        <v>442</v>
      </c>
      <c r="H6015">
        <v>0</v>
      </c>
      <c r="I6015" s="140" t="s">
        <v>62</v>
      </c>
    </row>
    <row r="6016" spans="1:9" hidden="1" x14ac:dyDescent="0.25">
      <c r="A6016">
        <v>2000</v>
      </c>
      <c r="B6016" s="140" t="s">
        <v>72</v>
      </c>
      <c r="C6016" s="140" t="s">
        <v>73</v>
      </c>
      <c r="D6016" s="140" t="s">
        <v>11</v>
      </c>
      <c r="E6016" s="140" t="s">
        <v>12</v>
      </c>
      <c r="F6016">
        <v>3920.5</v>
      </c>
      <c r="G6016" s="140" t="s">
        <v>442</v>
      </c>
      <c r="H6016">
        <v>0</v>
      </c>
      <c r="I6016" s="140" t="s">
        <v>62</v>
      </c>
    </row>
    <row r="6017" spans="1:9" hidden="1" x14ac:dyDescent="0.25">
      <c r="A6017">
        <v>2001</v>
      </c>
      <c r="B6017" s="140" t="s">
        <v>72</v>
      </c>
      <c r="C6017" s="140" t="s">
        <v>73</v>
      </c>
      <c r="D6017" s="140" t="s">
        <v>11</v>
      </c>
      <c r="E6017" s="140" t="s">
        <v>12</v>
      </c>
      <c r="F6017">
        <v>3946.8</v>
      </c>
      <c r="G6017" s="140" t="s">
        <v>442</v>
      </c>
      <c r="H6017">
        <v>0</v>
      </c>
      <c r="I6017" s="140" t="s">
        <v>62</v>
      </c>
    </row>
    <row r="6018" spans="1:9" hidden="1" x14ac:dyDescent="0.25">
      <c r="A6018">
        <v>2002</v>
      </c>
      <c r="B6018" s="140" t="s">
        <v>72</v>
      </c>
      <c r="C6018" s="140" t="s">
        <v>73</v>
      </c>
      <c r="D6018" s="140" t="s">
        <v>11</v>
      </c>
      <c r="E6018" s="140" t="s">
        <v>12</v>
      </c>
      <c r="F6018">
        <v>3978.1</v>
      </c>
      <c r="G6018" s="140" t="s">
        <v>442</v>
      </c>
      <c r="H6018">
        <v>0</v>
      </c>
      <c r="I6018" s="140" t="s">
        <v>62</v>
      </c>
    </row>
    <row r="6019" spans="1:9" hidden="1" x14ac:dyDescent="0.25">
      <c r="A6019">
        <v>2003</v>
      </c>
      <c r="B6019" s="140" t="s">
        <v>72</v>
      </c>
      <c r="C6019" s="140" t="s">
        <v>73</v>
      </c>
      <c r="D6019" s="140" t="s">
        <v>11</v>
      </c>
      <c r="E6019" s="140" t="s">
        <v>12</v>
      </c>
      <c r="F6019">
        <v>3973.1</v>
      </c>
      <c r="G6019" s="140" t="s">
        <v>442</v>
      </c>
      <c r="H6019">
        <v>0</v>
      </c>
      <c r="I6019" s="140" t="s">
        <v>62</v>
      </c>
    </row>
    <row r="6020" spans="1:9" hidden="1" x14ac:dyDescent="0.25">
      <c r="A6020">
        <v>2004</v>
      </c>
      <c r="B6020" s="140" t="s">
        <v>72</v>
      </c>
      <c r="C6020" s="140" t="s">
        <v>73</v>
      </c>
      <c r="D6020" s="140" t="s">
        <v>11</v>
      </c>
      <c r="E6020" s="140" t="s">
        <v>12</v>
      </c>
      <c r="F6020">
        <v>3997.1</v>
      </c>
      <c r="G6020" s="140" t="s">
        <v>442</v>
      </c>
      <c r="H6020">
        <v>0</v>
      </c>
      <c r="I6020" s="140" t="s">
        <v>62</v>
      </c>
    </row>
    <row r="6021" spans="1:9" hidden="1" x14ac:dyDescent="0.25">
      <c r="A6021">
        <v>2005</v>
      </c>
      <c r="B6021" s="140" t="s">
        <v>72</v>
      </c>
      <c r="C6021" s="140" t="s">
        <v>73</v>
      </c>
      <c r="D6021" s="140" t="s">
        <v>11</v>
      </c>
      <c r="E6021" s="140" t="s">
        <v>12</v>
      </c>
      <c r="F6021">
        <v>4032.4</v>
      </c>
      <c r="G6021" s="140" t="s">
        <v>442</v>
      </c>
      <c r="H6021">
        <v>0</v>
      </c>
      <c r="I6021" s="140" t="s">
        <v>62</v>
      </c>
    </row>
    <row r="6022" spans="1:9" hidden="1" x14ac:dyDescent="0.25">
      <c r="A6022">
        <v>2006</v>
      </c>
      <c r="B6022" s="140" t="s">
        <v>72</v>
      </c>
      <c r="C6022" s="140" t="s">
        <v>73</v>
      </c>
      <c r="D6022" s="140" t="s">
        <v>11</v>
      </c>
      <c r="E6022" s="140" t="s">
        <v>12</v>
      </c>
      <c r="F6022">
        <v>4095.2</v>
      </c>
      <c r="G6022" s="140" t="s">
        <v>442</v>
      </c>
      <c r="H6022">
        <v>0</v>
      </c>
      <c r="I6022" s="140" t="s">
        <v>62</v>
      </c>
    </row>
    <row r="6023" spans="1:9" hidden="1" x14ac:dyDescent="0.25">
      <c r="A6023">
        <v>2007</v>
      </c>
      <c r="B6023" s="140" t="s">
        <v>72</v>
      </c>
      <c r="C6023" s="140" t="s">
        <v>73</v>
      </c>
      <c r="D6023" s="140" t="s">
        <v>11</v>
      </c>
      <c r="E6023" s="140" t="s">
        <v>12</v>
      </c>
      <c r="F6023">
        <v>4176.3999999999996</v>
      </c>
      <c r="G6023" s="140" t="s">
        <v>442</v>
      </c>
      <c r="H6023">
        <v>0</v>
      </c>
      <c r="I6023" s="140" t="s">
        <v>62</v>
      </c>
    </row>
    <row r="6024" spans="1:9" hidden="1" x14ac:dyDescent="0.25">
      <c r="A6024">
        <v>2008</v>
      </c>
      <c r="B6024" s="140" t="s">
        <v>72</v>
      </c>
      <c r="C6024" s="140" t="s">
        <v>73</v>
      </c>
      <c r="D6024" s="140" t="s">
        <v>11</v>
      </c>
      <c r="E6024" s="140" t="s">
        <v>12</v>
      </c>
      <c r="F6024">
        <v>4258.7</v>
      </c>
      <c r="G6024" s="140" t="s">
        <v>442</v>
      </c>
      <c r="H6024">
        <v>0</v>
      </c>
      <c r="I6024" s="140" t="s">
        <v>62</v>
      </c>
    </row>
    <row r="6025" spans="1:9" hidden="1" x14ac:dyDescent="0.25">
      <c r="A6025">
        <v>2009</v>
      </c>
      <c r="B6025" s="140" t="s">
        <v>72</v>
      </c>
      <c r="C6025" s="140" t="s">
        <v>73</v>
      </c>
      <c r="D6025" s="140" t="s">
        <v>11</v>
      </c>
      <c r="E6025" s="140" t="s">
        <v>12</v>
      </c>
      <c r="F6025">
        <v>4097.3</v>
      </c>
      <c r="G6025" s="140" t="s">
        <v>442</v>
      </c>
      <c r="H6025">
        <v>0</v>
      </c>
      <c r="I6025" s="140" t="s">
        <v>62</v>
      </c>
    </row>
    <row r="6026" spans="1:9" hidden="1" x14ac:dyDescent="0.25">
      <c r="A6026">
        <v>2010</v>
      </c>
      <c r="B6026" s="140" t="s">
        <v>72</v>
      </c>
      <c r="C6026" s="140" t="s">
        <v>73</v>
      </c>
      <c r="D6026" s="140" t="s">
        <v>11</v>
      </c>
      <c r="E6026" s="140" t="s">
        <v>12</v>
      </c>
      <c r="F6026">
        <v>4081.4</v>
      </c>
      <c r="G6026" s="140" t="s">
        <v>442</v>
      </c>
      <c r="H6026">
        <v>0</v>
      </c>
      <c r="I6026" s="140" t="s">
        <v>62</v>
      </c>
    </row>
    <row r="6027" spans="1:9" hidden="1" x14ac:dyDescent="0.25">
      <c r="A6027">
        <v>2011</v>
      </c>
      <c r="B6027" s="140" t="s">
        <v>72</v>
      </c>
      <c r="C6027" s="140" t="s">
        <v>73</v>
      </c>
      <c r="D6027" s="140" t="s">
        <v>11</v>
      </c>
      <c r="E6027" s="140" t="s">
        <v>12</v>
      </c>
      <c r="F6027">
        <v>4122.3</v>
      </c>
      <c r="G6027" s="140" t="s">
        <v>442</v>
      </c>
      <c r="H6027">
        <v>0</v>
      </c>
      <c r="I6027" s="140" t="s">
        <v>62</v>
      </c>
    </row>
    <row r="6028" spans="1:9" hidden="1" x14ac:dyDescent="0.25">
      <c r="A6028">
        <v>2012</v>
      </c>
      <c r="B6028" s="140" t="s">
        <v>72</v>
      </c>
      <c r="C6028" s="140" t="s">
        <v>73</v>
      </c>
      <c r="D6028" s="140" t="s">
        <v>11</v>
      </c>
      <c r="E6028" s="140" t="s">
        <v>12</v>
      </c>
      <c r="F6028">
        <v>4116.8</v>
      </c>
      <c r="G6028" s="140" t="s">
        <v>442</v>
      </c>
      <c r="H6028">
        <v>0</v>
      </c>
      <c r="I6028" s="140" t="s">
        <v>62</v>
      </c>
    </row>
    <row r="6029" spans="1:9" hidden="1" x14ac:dyDescent="0.25">
      <c r="A6029">
        <v>2013</v>
      </c>
      <c r="B6029" s="140" t="s">
        <v>72</v>
      </c>
      <c r="C6029" s="140" t="s">
        <v>73</v>
      </c>
      <c r="D6029" s="140" t="s">
        <v>11</v>
      </c>
      <c r="E6029" s="140" t="s">
        <v>12</v>
      </c>
      <c r="F6029">
        <v>4064.4</v>
      </c>
      <c r="G6029" s="140" t="s">
        <v>442</v>
      </c>
      <c r="H6029">
        <v>0</v>
      </c>
      <c r="I6029" s="140" t="s">
        <v>62</v>
      </c>
    </row>
    <row r="6030" spans="1:9" hidden="1" x14ac:dyDescent="0.25">
      <c r="A6030">
        <v>2014</v>
      </c>
      <c r="B6030" s="140" t="s">
        <v>72</v>
      </c>
      <c r="C6030" s="140" t="s">
        <v>73</v>
      </c>
      <c r="D6030" s="140" t="s">
        <v>11</v>
      </c>
      <c r="E6030" s="140" t="s">
        <v>12</v>
      </c>
      <c r="F6030">
        <v>4031.8</v>
      </c>
      <c r="G6030" s="140" t="s">
        <v>442</v>
      </c>
      <c r="H6030">
        <v>0</v>
      </c>
      <c r="I6030" s="140" t="s">
        <v>62</v>
      </c>
    </row>
    <row r="6031" spans="1:9" hidden="1" x14ac:dyDescent="0.25">
      <c r="A6031">
        <v>2015</v>
      </c>
      <c r="B6031" s="140" t="s">
        <v>72</v>
      </c>
      <c r="C6031" s="140" t="s">
        <v>73</v>
      </c>
      <c r="D6031" s="140" t="s">
        <v>11</v>
      </c>
      <c r="E6031" s="140" t="s">
        <v>12</v>
      </c>
      <c r="F6031">
        <v>4040.5</v>
      </c>
      <c r="G6031" s="140" t="s">
        <v>442</v>
      </c>
      <c r="H6031">
        <v>0</v>
      </c>
      <c r="I6031" s="140" t="s">
        <v>62</v>
      </c>
    </row>
    <row r="6032" spans="1:9" hidden="1" x14ac:dyDescent="0.25">
      <c r="A6032">
        <v>2016</v>
      </c>
      <c r="B6032" s="140" t="s">
        <v>72</v>
      </c>
      <c r="C6032" s="140" t="s">
        <v>73</v>
      </c>
      <c r="D6032" s="140" t="s">
        <v>11</v>
      </c>
      <c r="E6032" s="140" t="s">
        <v>12</v>
      </c>
      <c r="F6032">
        <v>4062.4</v>
      </c>
      <c r="G6032" s="140" t="s">
        <v>442</v>
      </c>
      <c r="H6032">
        <v>0</v>
      </c>
      <c r="I6032" s="140" t="s">
        <v>62</v>
      </c>
    </row>
    <row r="6033" spans="1:9" hidden="1" x14ac:dyDescent="0.25">
      <c r="A6033">
        <v>2017</v>
      </c>
      <c r="B6033" s="140" t="s">
        <v>72</v>
      </c>
      <c r="C6033" s="140" t="s">
        <v>73</v>
      </c>
      <c r="D6033" s="140" t="s">
        <v>11</v>
      </c>
      <c r="E6033" s="140" t="s">
        <v>12</v>
      </c>
      <c r="F6033">
        <v>4070.6</v>
      </c>
      <c r="G6033" s="140" t="s">
        <v>442</v>
      </c>
      <c r="H6033">
        <v>0</v>
      </c>
      <c r="I6033" s="140" t="s">
        <v>62</v>
      </c>
    </row>
    <row r="6034" spans="1:9" hidden="1" x14ac:dyDescent="0.25">
      <c r="A6034">
        <v>2018</v>
      </c>
      <c r="B6034" s="140" t="s">
        <v>72</v>
      </c>
      <c r="C6034" s="140" t="s">
        <v>73</v>
      </c>
      <c r="D6034" s="140" t="s">
        <v>11</v>
      </c>
      <c r="E6034" s="140" t="s">
        <v>12</v>
      </c>
      <c r="F6034">
        <v>4171.7</v>
      </c>
      <c r="G6034" s="140" t="s">
        <v>442</v>
      </c>
      <c r="H6034">
        <v>0</v>
      </c>
      <c r="I6034" s="140" t="s">
        <v>62</v>
      </c>
    </row>
    <row r="6035" spans="1:9" hidden="1" x14ac:dyDescent="0.25">
      <c r="A6035">
        <v>2019</v>
      </c>
      <c r="B6035" s="140" t="s">
        <v>72</v>
      </c>
      <c r="C6035" s="140" t="s">
        <v>73</v>
      </c>
      <c r="D6035" s="140" t="s">
        <v>11</v>
      </c>
      <c r="E6035" s="140" t="s">
        <v>12</v>
      </c>
      <c r="F6035">
        <v>4205.2</v>
      </c>
      <c r="G6035" s="140" t="s">
        <v>442</v>
      </c>
      <c r="H6035">
        <v>0</v>
      </c>
      <c r="I6035" s="140" t="s">
        <v>62</v>
      </c>
    </row>
    <row r="6036" spans="1:9" hidden="1" x14ac:dyDescent="0.25">
      <c r="A6036">
        <v>2020</v>
      </c>
      <c r="B6036" s="140" t="s">
        <v>72</v>
      </c>
      <c r="C6036" s="140" t="s">
        <v>73</v>
      </c>
      <c r="D6036" s="140" t="s">
        <v>11</v>
      </c>
      <c r="E6036" s="140" t="s">
        <v>12</v>
      </c>
      <c r="F6036">
        <v>4086.2</v>
      </c>
      <c r="G6036" s="140" t="s">
        <v>442</v>
      </c>
      <c r="H6036">
        <v>0</v>
      </c>
      <c r="I6036" s="140" t="s">
        <v>62</v>
      </c>
    </row>
    <row r="6037" spans="1:9" hidden="1" x14ac:dyDescent="0.25">
      <c r="A6037">
        <v>2021</v>
      </c>
      <c r="B6037" s="140" t="s">
        <v>72</v>
      </c>
      <c r="C6037" s="140" t="s">
        <v>73</v>
      </c>
      <c r="D6037" s="140" t="s">
        <v>11</v>
      </c>
      <c r="E6037" s="140" t="s">
        <v>12</v>
      </c>
      <c r="F6037">
        <v>4174.8999999999996</v>
      </c>
      <c r="G6037" s="140" t="s">
        <v>442</v>
      </c>
      <c r="H6037">
        <v>0</v>
      </c>
      <c r="I6037" s="140" t="s">
        <v>62</v>
      </c>
    </row>
    <row r="6038" spans="1:9" hidden="1" x14ac:dyDescent="0.25">
      <c r="A6038">
        <v>2022</v>
      </c>
      <c r="B6038" s="140" t="s">
        <v>72</v>
      </c>
      <c r="C6038" s="140" t="s">
        <v>73</v>
      </c>
      <c r="D6038" s="140" t="s">
        <v>11</v>
      </c>
      <c r="E6038" s="140" t="s">
        <v>12</v>
      </c>
      <c r="F6038">
        <v>4281.3999999999996</v>
      </c>
      <c r="G6038" s="140" t="s">
        <v>442</v>
      </c>
      <c r="H6038">
        <v>0</v>
      </c>
      <c r="I6038" s="140" t="s">
        <v>62</v>
      </c>
    </row>
    <row r="6039" spans="1:9" hidden="1" x14ac:dyDescent="0.25">
      <c r="A6039">
        <v>2023</v>
      </c>
      <c r="B6039" s="140" t="s">
        <v>72</v>
      </c>
      <c r="C6039" s="140" t="s">
        <v>73</v>
      </c>
      <c r="D6039" s="140" t="s">
        <v>11</v>
      </c>
      <c r="E6039" s="140" t="s">
        <v>12</v>
      </c>
      <c r="F6039">
        <v>4288</v>
      </c>
      <c r="G6039" s="140" t="s">
        <v>442</v>
      </c>
      <c r="H6039">
        <v>0</v>
      </c>
      <c r="I6039" s="140" t="s">
        <v>62</v>
      </c>
    </row>
    <row r="6040" spans="1:9" hidden="1" x14ac:dyDescent="0.25">
      <c r="A6040">
        <v>2024</v>
      </c>
      <c r="B6040" s="140" t="s">
        <v>72</v>
      </c>
      <c r="C6040" s="140" t="s">
        <v>73</v>
      </c>
      <c r="D6040" s="140" t="s">
        <v>11</v>
      </c>
      <c r="E6040" s="140" t="s">
        <v>12</v>
      </c>
      <c r="F6040">
        <v>4252</v>
      </c>
      <c r="G6040" s="140" t="s">
        <v>442</v>
      </c>
      <c r="H6040">
        <v>0</v>
      </c>
      <c r="I6040" s="140" t="s">
        <v>62</v>
      </c>
    </row>
    <row r="6041" spans="1:9" hidden="1" x14ac:dyDescent="0.25">
      <c r="A6041">
        <v>2025</v>
      </c>
      <c r="B6041" s="140" t="s">
        <v>72</v>
      </c>
      <c r="C6041" s="140" t="s">
        <v>73</v>
      </c>
      <c r="D6041" s="140" t="s">
        <v>11</v>
      </c>
      <c r="E6041" s="140" t="s">
        <v>12</v>
      </c>
      <c r="F6041">
        <v>4224</v>
      </c>
      <c r="G6041" s="140" t="s">
        <v>442</v>
      </c>
      <c r="H6041">
        <v>0</v>
      </c>
      <c r="I6041" s="140" t="s">
        <v>62</v>
      </c>
    </row>
    <row r="6042" spans="1:9" hidden="1" x14ac:dyDescent="0.25">
      <c r="A6042">
        <v>2026</v>
      </c>
      <c r="B6042" s="140" t="s">
        <v>72</v>
      </c>
      <c r="C6042" s="140" t="s">
        <v>73</v>
      </c>
      <c r="D6042" s="140" t="s">
        <v>11</v>
      </c>
      <c r="E6042" s="140" t="s">
        <v>12</v>
      </c>
      <c r="F6042">
        <v>4211.3280000000004</v>
      </c>
      <c r="G6042" s="140" t="s">
        <v>442</v>
      </c>
      <c r="H6042">
        <v>0</v>
      </c>
      <c r="I6042" s="140" t="s">
        <v>62</v>
      </c>
    </row>
    <row r="6043" spans="1:9" hidden="1" x14ac:dyDescent="0.25">
      <c r="A6043">
        <v>2027</v>
      </c>
      <c r="B6043" s="140" t="s">
        <v>72</v>
      </c>
      <c r="C6043" s="140" t="s">
        <v>73</v>
      </c>
      <c r="D6043" s="140" t="s">
        <v>11</v>
      </c>
      <c r="E6043" s="140" t="s">
        <v>12</v>
      </c>
      <c r="F6043">
        <v>4252.3927389999999</v>
      </c>
      <c r="G6043" s="140" t="s">
        <v>442</v>
      </c>
      <c r="H6043">
        <v>0</v>
      </c>
      <c r="I6043" s="140" t="s">
        <v>62</v>
      </c>
    </row>
    <row r="6044" spans="1:9" hidden="1" x14ac:dyDescent="0.25">
      <c r="A6044">
        <v>2028</v>
      </c>
      <c r="B6044" s="140" t="s">
        <v>72</v>
      </c>
      <c r="C6044" s="140" t="s">
        <v>73</v>
      </c>
      <c r="D6044" s="140" t="s">
        <v>11</v>
      </c>
      <c r="E6044" s="140" t="s">
        <v>12</v>
      </c>
      <c r="F6044">
        <v>4282.8394259999995</v>
      </c>
      <c r="G6044" s="140" t="s">
        <v>442</v>
      </c>
      <c r="H6044">
        <v>0</v>
      </c>
      <c r="I6044" s="140" t="s">
        <v>62</v>
      </c>
    </row>
    <row r="6045" spans="1:9" hidden="1" x14ac:dyDescent="0.25">
      <c r="A6045">
        <v>1990</v>
      </c>
      <c r="B6045" s="140" t="s">
        <v>181</v>
      </c>
      <c r="C6045" s="140" t="s">
        <v>182</v>
      </c>
      <c r="D6045" s="140" t="s">
        <v>11</v>
      </c>
      <c r="E6045" s="140" t="s">
        <v>12</v>
      </c>
      <c r="F6045">
        <v>2585.25</v>
      </c>
      <c r="G6045" s="140" t="s">
        <v>183</v>
      </c>
      <c r="H6045">
        <v>0</v>
      </c>
      <c r="I6045" s="140" t="s">
        <v>62</v>
      </c>
    </row>
    <row r="6046" spans="1:9" hidden="1" x14ac:dyDescent="0.25">
      <c r="A6046">
        <v>1991</v>
      </c>
      <c r="B6046" s="140" t="s">
        <v>181</v>
      </c>
      <c r="C6046" s="140" t="s">
        <v>182</v>
      </c>
      <c r="D6046" s="140" t="s">
        <v>11</v>
      </c>
      <c r="E6046" s="140" t="s">
        <v>12</v>
      </c>
      <c r="F6046">
        <v>2544.416667</v>
      </c>
      <c r="G6046" s="140" t="s">
        <v>183</v>
      </c>
      <c r="H6046">
        <v>0</v>
      </c>
      <c r="I6046" s="140" t="s">
        <v>62</v>
      </c>
    </row>
    <row r="6047" spans="1:9" hidden="1" x14ac:dyDescent="0.25">
      <c r="A6047">
        <v>1992</v>
      </c>
      <c r="B6047" s="140" t="s">
        <v>181</v>
      </c>
      <c r="C6047" s="140" t="s">
        <v>182</v>
      </c>
      <c r="D6047" s="140" t="s">
        <v>11</v>
      </c>
      <c r="E6047" s="140" t="s">
        <v>12</v>
      </c>
      <c r="F6047">
        <v>2497.916667</v>
      </c>
      <c r="G6047" s="140" t="s">
        <v>183</v>
      </c>
      <c r="H6047">
        <v>0</v>
      </c>
      <c r="I6047" s="140" t="s">
        <v>62</v>
      </c>
    </row>
    <row r="6048" spans="1:9" hidden="1" x14ac:dyDescent="0.25">
      <c r="A6048">
        <v>1993</v>
      </c>
      <c r="B6048" s="140" t="s">
        <v>181</v>
      </c>
      <c r="C6048" s="140" t="s">
        <v>182</v>
      </c>
      <c r="D6048" s="140" t="s">
        <v>11</v>
      </c>
      <c r="E6048" s="140" t="s">
        <v>12</v>
      </c>
      <c r="F6048">
        <v>2475.916667</v>
      </c>
      <c r="G6048" s="140" t="s">
        <v>183</v>
      </c>
      <c r="H6048">
        <v>0</v>
      </c>
      <c r="I6048" s="140" t="s">
        <v>62</v>
      </c>
    </row>
    <row r="6049" spans="1:9" hidden="1" x14ac:dyDescent="0.25">
      <c r="A6049">
        <v>1994</v>
      </c>
      <c r="B6049" s="140" t="s">
        <v>181</v>
      </c>
      <c r="C6049" s="140" t="s">
        <v>182</v>
      </c>
      <c r="D6049" s="140" t="s">
        <v>11</v>
      </c>
      <c r="E6049" s="140" t="s">
        <v>12</v>
      </c>
      <c r="F6049">
        <v>2462.583333</v>
      </c>
      <c r="G6049" s="140" t="s">
        <v>183</v>
      </c>
      <c r="H6049">
        <v>0</v>
      </c>
      <c r="I6049" s="140" t="s">
        <v>62</v>
      </c>
    </row>
    <row r="6050" spans="1:9" hidden="1" x14ac:dyDescent="0.25">
      <c r="A6050">
        <v>1995</v>
      </c>
      <c r="B6050" s="140" t="s">
        <v>181</v>
      </c>
      <c r="C6050" s="140" t="s">
        <v>182</v>
      </c>
      <c r="D6050" s="140" t="s">
        <v>11</v>
      </c>
      <c r="E6050" s="140" t="s">
        <v>12</v>
      </c>
      <c r="F6050">
        <v>2480.5</v>
      </c>
      <c r="G6050" s="140" t="s">
        <v>183</v>
      </c>
      <c r="H6050">
        <v>0</v>
      </c>
      <c r="I6050" s="140" t="s">
        <v>62</v>
      </c>
    </row>
    <row r="6051" spans="1:9" hidden="1" x14ac:dyDescent="0.25">
      <c r="A6051">
        <v>1996</v>
      </c>
      <c r="B6051" s="140" t="s">
        <v>181</v>
      </c>
      <c r="C6051" s="140" t="s">
        <v>182</v>
      </c>
      <c r="D6051" s="140" t="s">
        <v>11</v>
      </c>
      <c r="E6051" s="140" t="s">
        <v>12</v>
      </c>
      <c r="F6051">
        <v>2488.583333</v>
      </c>
      <c r="G6051" s="140" t="s">
        <v>183</v>
      </c>
      <c r="H6051">
        <v>0</v>
      </c>
      <c r="I6051" s="140" t="s">
        <v>62</v>
      </c>
    </row>
    <row r="6052" spans="1:9" hidden="1" x14ac:dyDescent="0.25">
      <c r="A6052">
        <v>1997</v>
      </c>
      <c r="B6052" s="140" t="s">
        <v>181</v>
      </c>
      <c r="C6052" s="140" t="s">
        <v>182</v>
      </c>
      <c r="D6052" s="140" t="s">
        <v>11</v>
      </c>
      <c r="E6052" s="140" t="s">
        <v>12</v>
      </c>
      <c r="F6052">
        <v>2485.666667</v>
      </c>
      <c r="G6052" s="140" t="s">
        <v>183</v>
      </c>
      <c r="H6052">
        <v>0</v>
      </c>
      <c r="I6052" s="140" t="s">
        <v>62</v>
      </c>
    </row>
    <row r="6053" spans="1:9" hidden="1" x14ac:dyDescent="0.25">
      <c r="A6053">
        <v>1998</v>
      </c>
      <c r="B6053" s="140" t="s">
        <v>181</v>
      </c>
      <c r="C6053" s="140" t="s">
        <v>182</v>
      </c>
      <c r="D6053" s="140" t="s">
        <v>11</v>
      </c>
      <c r="E6053" s="140" t="s">
        <v>12</v>
      </c>
      <c r="F6053">
        <v>2508.666667</v>
      </c>
      <c r="G6053" s="140" t="s">
        <v>183</v>
      </c>
      <c r="H6053">
        <v>0</v>
      </c>
      <c r="I6053" s="140" t="s">
        <v>62</v>
      </c>
    </row>
    <row r="6054" spans="1:9" hidden="1" x14ac:dyDescent="0.25">
      <c r="A6054">
        <v>1999</v>
      </c>
      <c r="B6054" s="140" t="s">
        <v>181</v>
      </c>
      <c r="C6054" s="140" t="s">
        <v>182</v>
      </c>
      <c r="D6054" s="140" t="s">
        <v>11</v>
      </c>
      <c r="E6054" s="140" t="s">
        <v>12</v>
      </c>
      <c r="F6054">
        <v>2557.25</v>
      </c>
      <c r="G6054" s="140" t="s">
        <v>183</v>
      </c>
      <c r="H6054">
        <v>0</v>
      </c>
      <c r="I6054" s="140" t="s">
        <v>62</v>
      </c>
    </row>
    <row r="6055" spans="1:9" hidden="1" x14ac:dyDescent="0.25">
      <c r="A6055">
        <v>2000</v>
      </c>
      <c r="B6055" s="140" t="s">
        <v>181</v>
      </c>
      <c r="C6055" s="140" t="s">
        <v>182</v>
      </c>
      <c r="D6055" s="140" t="s">
        <v>11</v>
      </c>
      <c r="E6055" s="140" t="s">
        <v>12</v>
      </c>
      <c r="F6055">
        <v>2587.666667</v>
      </c>
      <c r="G6055" s="140" t="s">
        <v>183</v>
      </c>
      <c r="H6055">
        <v>0</v>
      </c>
      <c r="I6055" s="140" t="s">
        <v>62</v>
      </c>
    </row>
    <row r="6056" spans="1:9" hidden="1" x14ac:dyDescent="0.25">
      <c r="A6056">
        <v>2001</v>
      </c>
      <c r="B6056" s="140" t="s">
        <v>181</v>
      </c>
      <c r="C6056" s="140" t="s">
        <v>182</v>
      </c>
      <c r="D6056" s="140" t="s">
        <v>11</v>
      </c>
      <c r="E6056" s="140" t="s">
        <v>12</v>
      </c>
      <c r="F6056">
        <v>2605.083333</v>
      </c>
      <c r="G6056" s="140" t="s">
        <v>183</v>
      </c>
      <c r="H6056">
        <v>0</v>
      </c>
      <c r="I6056" s="140" t="s">
        <v>62</v>
      </c>
    </row>
    <row r="6057" spans="1:9" hidden="1" x14ac:dyDescent="0.25">
      <c r="A6057">
        <v>2002</v>
      </c>
      <c r="B6057" s="140" t="s">
        <v>181</v>
      </c>
      <c r="C6057" s="140" t="s">
        <v>182</v>
      </c>
      <c r="D6057" s="140" t="s">
        <v>11</v>
      </c>
      <c r="E6057" s="140" t="s">
        <v>12</v>
      </c>
      <c r="F6057">
        <v>2610.166667</v>
      </c>
      <c r="G6057" s="140" t="s">
        <v>183</v>
      </c>
      <c r="H6057">
        <v>0</v>
      </c>
      <c r="I6057" s="140" t="s">
        <v>62</v>
      </c>
    </row>
    <row r="6058" spans="1:9" hidden="1" x14ac:dyDescent="0.25">
      <c r="A6058">
        <v>2003</v>
      </c>
      <c r="B6058" s="140" t="s">
        <v>181</v>
      </c>
      <c r="C6058" s="140" t="s">
        <v>182</v>
      </c>
      <c r="D6058" s="140" t="s">
        <v>11</v>
      </c>
      <c r="E6058" s="140" t="s">
        <v>12</v>
      </c>
      <c r="F6058">
        <v>2598.666667</v>
      </c>
      <c r="G6058" s="140" t="s">
        <v>183</v>
      </c>
      <c r="H6058">
        <v>0</v>
      </c>
      <c r="I6058" s="140" t="s">
        <v>62</v>
      </c>
    </row>
    <row r="6059" spans="1:9" hidden="1" x14ac:dyDescent="0.25">
      <c r="A6059">
        <v>2004</v>
      </c>
      <c r="B6059" s="140" t="s">
        <v>181</v>
      </c>
      <c r="C6059" s="140" t="s">
        <v>182</v>
      </c>
      <c r="D6059" s="140" t="s">
        <v>11</v>
      </c>
      <c r="E6059" s="140" t="s">
        <v>12</v>
      </c>
      <c r="F6059">
        <v>2593.75</v>
      </c>
      <c r="G6059" s="140" t="s">
        <v>183</v>
      </c>
      <c r="H6059">
        <v>0</v>
      </c>
      <c r="I6059" s="140" t="s">
        <v>62</v>
      </c>
    </row>
    <row r="6060" spans="1:9" hidden="1" x14ac:dyDescent="0.25">
      <c r="A6060">
        <v>2005</v>
      </c>
      <c r="B6060" s="140" t="s">
        <v>181</v>
      </c>
      <c r="C6060" s="140" t="s">
        <v>182</v>
      </c>
      <c r="D6060" s="140" t="s">
        <v>11</v>
      </c>
      <c r="E6060" s="140" t="s">
        <v>12</v>
      </c>
      <c r="F6060">
        <v>2618.916667</v>
      </c>
      <c r="G6060" s="140" t="s">
        <v>183</v>
      </c>
      <c r="H6060">
        <v>0</v>
      </c>
      <c r="I6060" s="140" t="s">
        <v>62</v>
      </c>
    </row>
    <row r="6061" spans="1:9" hidden="1" x14ac:dyDescent="0.25">
      <c r="A6061">
        <v>2006</v>
      </c>
      <c r="B6061" s="140" t="s">
        <v>181</v>
      </c>
      <c r="C6061" s="140" t="s">
        <v>182</v>
      </c>
      <c r="D6061" s="140" t="s">
        <v>11</v>
      </c>
      <c r="E6061" s="140" t="s">
        <v>12</v>
      </c>
      <c r="F6061">
        <v>2646.416667</v>
      </c>
      <c r="G6061" s="140" t="s">
        <v>183</v>
      </c>
      <c r="H6061">
        <v>0</v>
      </c>
      <c r="I6061" s="140" t="s">
        <v>62</v>
      </c>
    </row>
    <row r="6062" spans="1:9" hidden="1" x14ac:dyDescent="0.25">
      <c r="A6062">
        <v>2007</v>
      </c>
      <c r="B6062" s="140" t="s">
        <v>181</v>
      </c>
      <c r="C6062" s="140" t="s">
        <v>182</v>
      </c>
      <c r="D6062" s="140" t="s">
        <v>11</v>
      </c>
      <c r="E6062" s="140" t="s">
        <v>12</v>
      </c>
      <c r="F6062">
        <v>2677.083333</v>
      </c>
      <c r="G6062" s="140" t="s">
        <v>183</v>
      </c>
      <c r="H6062">
        <v>0</v>
      </c>
      <c r="I6062" s="140" t="s">
        <v>62</v>
      </c>
    </row>
    <row r="6063" spans="1:9" hidden="1" x14ac:dyDescent="0.25">
      <c r="A6063">
        <v>2008</v>
      </c>
      <c r="B6063" s="140" t="s">
        <v>181</v>
      </c>
      <c r="C6063" s="140" t="s">
        <v>182</v>
      </c>
      <c r="D6063" s="140" t="s">
        <v>11</v>
      </c>
      <c r="E6063" s="140" t="s">
        <v>12</v>
      </c>
      <c r="F6063">
        <v>2703.666667</v>
      </c>
      <c r="G6063" s="140" t="s">
        <v>183</v>
      </c>
      <c r="H6063">
        <v>0</v>
      </c>
      <c r="I6063" s="140" t="s">
        <v>62</v>
      </c>
    </row>
    <row r="6064" spans="1:9" hidden="1" x14ac:dyDescent="0.25">
      <c r="A6064">
        <v>2009</v>
      </c>
      <c r="B6064" s="140" t="s">
        <v>181</v>
      </c>
      <c r="C6064" s="140" t="s">
        <v>182</v>
      </c>
      <c r="D6064" s="140" t="s">
        <v>11</v>
      </c>
      <c r="E6064" s="140" t="s">
        <v>12</v>
      </c>
      <c r="F6064">
        <v>2649</v>
      </c>
      <c r="G6064" s="140" t="s">
        <v>183</v>
      </c>
      <c r="H6064">
        <v>0</v>
      </c>
      <c r="I6064" s="140" t="s">
        <v>62</v>
      </c>
    </row>
    <row r="6065" spans="1:9" hidden="1" x14ac:dyDescent="0.25">
      <c r="A6065">
        <v>2010</v>
      </c>
      <c r="B6065" s="140" t="s">
        <v>181</v>
      </c>
      <c r="C6065" s="140" t="s">
        <v>182</v>
      </c>
      <c r="D6065" s="140" t="s">
        <v>11</v>
      </c>
      <c r="E6065" s="140" t="s">
        <v>12</v>
      </c>
      <c r="F6065">
        <v>2637</v>
      </c>
      <c r="G6065" s="140" t="s">
        <v>183</v>
      </c>
      <c r="H6065">
        <v>0</v>
      </c>
      <c r="I6065" s="140" t="s">
        <v>62</v>
      </c>
    </row>
    <row r="6066" spans="1:9" hidden="1" x14ac:dyDescent="0.25">
      <c r="A6066">
        <v>2011</v>
      </c>
      <c r="B6066" s="140" t="s">
        <v>181</v>
      </c>
      <c r="C6066" s="140" t="s">
        <v>182</v>
      </c>
      <c r="D6066" s="140" t="s">
        <v>11</v>
      </c>
      <c r="E6066" s="140" t="s">
        <v>12</v>
      </c>
      <c r="F6066">
        <v>2649</v>
      </c>
      <c r="G6066" s="140" t="s">
        <v>183</v>
      </c>
      <c r="H6066">
        <v>0</v>
      </c>
      <c r="I6066" s="140" t="s">
        <v>62</v>
      </c>
    </row>
    <row r="6067" spans="1:9" hidden="1" x14ac:dyDescent="0.25">
      <c r="A6067">
        <v>2012</v>
      </c>
      <c r="B6067" s="140" t="s">
        <v>181</v>
      </c>
      <c r="C6067" s="140" t="s">
        <v>182</v>
      </c>
      <c r="D6067" s="140" t="s">
        <v>11</v>
      </c>
      <c r="E6067" s="140" t="s">
        <v>12</v>
      </c>
      <c r="F6067">
        <v>2659</v>
      </c>
      <c r="G6067" s="140" t="s">
        <v>183</v>
      </c>
      <c r="H6067">
        <v>0</v>
      </c>
      <c r="I6067" s="140" t="s">
        <v>62</v>
      </c>
    </row>
    <row r="6068" spans="1:9" hidden="1" x14ac:dyDescent="0.25">
      <c r="A6068">
        <v>2013</v>
      </c>
      <c r="B6068" s="140" t="s">
        <v>181</v>
      </c>
      <c r="C6068" s="140" t="s">
        <v>182</v>
      </c>
      <c r="D6068" s="140" t="s">
        <v>11</v>
      </c>
      <c r="E6068" s="140" t="s">
        <v>12</v>
      </c>
      <c r="F6068">
        <v>2647</v>
      </c>
      <c r="G6068" s="140" t="s">
        <v>183</v>
      </c>
      <c r="H6068">
        <v>0</v>
      </c>
      <c r="I6068" s="140" t="s">
        <v>62</v>
      </c>
    </row>
    <row r="6069" spans="1:9" hidden="1" x14ac:dyDescent="0.25">
      <c r="A6069">
        <v>2014</v>
      </c>
      <c r="B6069" s="140" t="s">
        <v>181</v>
      </c>
      <c r="C6069" s="140" t="s">
        <v>182</v>
      </c>
      <c r="D6069" s="140" t="s">
        <v>11</v>
      </c>
      <c r="E6069" s="140" t="s">
        <v>12</v>
      </c>
      <c r="F6069">
        <v>2651</v>
      </c>
      <c r="G6069" s="140" t="s">
        <v>183</v>
      </c>
      <c r="H6069">
        <v>0</v>
      </c>
      <c r="I6069" s="140" t="s">
        <v>62</v>
      </c>
    </row>
    <row r="6070" spans="1:9" hidden="1" x14ac:dyDescent="0.25">
      <c r="A6070">
        <v>2015</v>
      </c>
      <c r="B6070" s="140" t="s">
        <v>181</v>
      </c>
      <c r="C6070" s="140" t="s">
        <v>182</v>
      </c>
      <c r="D6070" s="140" t="s">
        <v>11</v>
      </c>
      <c r="E6070" s="140" t="s">
        <v>12</v>
      </c>
      <c r="F6070">
        <v>2652</v>
      </c>
      <c r="G6070" s="140" t="s">
        <v>183</v>
      </c>
      <c r="H6070">
        <v>0</v>
      </c>
      <c r="I6070" s="140" t="s">
        <v>62</v>
      </c>
    </row>
    <row r="6071" spans="1:9" hidden="1" x14ac:dyDescent="0.25">
      <c r="A6071">
        <v>2016</v>
      </c>
      <c r="B6071" s="140" t="s">
        <v>181</v>
      </c>
      <c r="C6071" s="140" t="s">
        <v>182</v>
      </c>
      <c r="D6071" s="140" t="s">
        <v>11</v>
      </c>
      <c r="E6071" s="140" t="s">
        <v>12</v>
      </c>
      <c r="F6071">
        <v>2653</v>
      </c>
      <c r="G6071" s="140" t="s">
        <v>183</v>
      </c>
      <c r="H6071">
        <v>0</v>
      </c>
      <c r="I6071" s="140" t="s">
        <v>62</v>
      </c>
    </row>
    <row r="6072" spans="1:9" hidden="1" x14ac:dyDescent="0.25">
      <c r="A6072">
        <v>2017</v>
      </c>
      <c r="B6072" s="140" t="s">
        <v>181</v>
      </c>
      <c r="C6072" s="140" t="s">
        <v>182</v>
      </c>
      <c r="D6072" s="140" t="s">
        <v>11</v>
      </c>
      <c r="E6072" s="140" t="s">
        <v>12</v>
      </c>
      <c r="F6072">
        <v>2674</v>
      </c>
      <c r="G6072" s="140" t="s">
        <v>183</v>
      </c>
      <c r="H6072">
        <v>0</v>
      </c>
      <c r="I6072" s="140" t="s">
        <v>62</v>
      </c>
    </row>
    <row r="6073" spans="1:9" hidden="1" x14ac:dyDescent="0.25">
      <c r="A6073">
        <v>2018</v>
      </c>
      <c r="B6073" s="140" t="s">
        <v>181</v>
      </c>
      <c r="C6073" s="140" t="s">
        <v>182</v>
      </c>
      <c r="D6073" s="140" t="s">
        <v>11</v>
      </c>
      <c r="E6073" s="140" t="s">
        <v>12</v>
      </c>
      <c r="F6073">
        <v>2709</v>
      </c>
      <c r="G6073" s="140" t="s">
        <v>183</v>
      </c>
      <c r="H6073">
        <v>0</v>
      </c>
      <c r="I6073" s="140" t="s">
        <v>62</v>
      </c>
    </row>
    <row r="6074" spans="1:9" hidden="1" x14ac:dyDescent="0.25">
      <c r="A6074">
        <v>2019</v>
      </c>
      <c r="B6074" s="140" t="s">
        <v>181</v>
      </c>
      <c r="C6074" s="140" t="s">
        <v>182</v>
      </c>
      <c r="D6074" s="140" t="s">
        <v>11</v>
      </c>
      <c r="E6074" s="140" t="s">
        <v>12</v>
      </c>
      <c r="F6074">
        <v>2717</v>
      </c>
      <c r="G6074" s="140" t="s">
        <v>183</v>
      </c>
      <c r="H6074">
        <v>0</v>
      </c>
      <c r="I6074" s="140" t="s">
        <v>62</v>
      </c>
    </row>
    <row r="6075" spans="1:9" hidden="1" x14ac:dyDescent="0.25">
      <c r="A6075">
        <v>2020</v>
      </c>
      <c r="B6075" s="140" t="s">
        <v>181</v>
      </c>
      <c r="C6075" s="140" t="s">
        <v>182</v>
      </c>
      <c r="D6075" s="140" t="s">
        <v>11</v>
      </c>
      <c r="E6075" s="140" t="s">
        <v>12</v>
      </c>
      <c r="F6075">
        <v>2704</v>
      </c>
      <c r="G6075" s="140" t="s">
        <v>183</v>
      </c>
      <c r="H6075">
        <v>0</v>
      </c>
      <c r="I6075" s="140" t="s">
        <v>62</v>
      </c>
    </row>
    <row r="6076" spans="1:9" hidden="1" x14ac:dyDescent="0.25">
      <c r="A6076">
        <v>2021</v>
      </c>
      <c r="B6076" s="140" t="s">
        <v>181</v>
      </c>
      <c r="C6076" s="140" t="s">
        <v>182</v>
      </c>
      <c r="D6076" s="140" t="s">
        <v>11</v>
      </c>
      <c r="E6076" s="140" t="s">
        <v>12</v>
      </c>
      <c r="F6076">
        <v>2766</v>
      </c>
      <c r="G6076" s="140" t="s">
        <v>183</v>
      </c>
      <c r="H6076">
        <v>0</v>
      </c>
      <c r="I6076" s="140" t="s">
        <v>62</v>
      </c>
    </row>
    <row r="6077" spans="1:9" hidden="1" x14ac:dyDescent="0.25">
      <c r="A6077">
        <v>2022</v>
      </c>
      <c r="B6077" s="140" t="s">
        <v>181</v>
      </c>
      <c r="C6077" s="140" t="s">
        <v>182</v>
      </c>
      <c r="D6077" s="140" t="s">
        <v>11</v>
      </c>
      <c r="E6077" s="140" t="s">
        <v>12</v>
      </c>
      <c r="F6077">
        <v>2809</v>
      </c>
      <c r="G6077" s="140" t="s">
        <v>183</v>
      </c>
      <c r="H6077">
        <v>0</v>
      </c>
      <c r="I6077" s="140" t="s">
        <v>62</v>
      </c>
    </row>
    <row r="6078" spans="1:9" hidden="1" x14ac:dyDescent="0.25">
      <c r="A6078">
        <v>2023</v>
      </c>
      <c r="B6078" s="140" t="s">
        <v>181</v>
      </c>
      <c r="C6078" s="140" t="s">
        <v>182</v>
      </c>
      <c r="D6078" s="140" t="s">
        <v>11</v>
      </c>
      <c r="E6078" s="140" t="s">
        <v>12</v>
      </c>
      <c r="F6078">
        <v>2832</v>
      </c>
      <c r="G6078" s="140" t="s">
        <v>183</v>
      </c>
      <c r="H6078">
        <v>0</v>
      </c>
      <c r="I6078" s="140" t="s">
        <v>62</v>
      </c>
    </row>
    <row r="6079" spans="1:9" hidden="1" x14ac:dyDescent="0.25">
      <c r="A6079">
        <v>2024</v>
      </c>
      <c r="B6079" s="140" t="s">
        <v>181</v>
      </c>
      <c r="C6079" s="140" t="s">
        <v>182</v>
      </c>
      <c r="D6079" s="140" t="s">
        <v>11</v>
      </c>
      <c r="E6079" s="140" t="s">
        <v>12</v>
      </c>
      <c r="F6079">
        <v>2841</v>
      </c>
      <c r="G6079" s="140" t="s">
        <v>183</v>
      </c>
      <c r="H6079">
        <v>0</v>
      </c>
      <c r="I6079" s="140" t="s">
        <v>62</v>
      </c>
    </row>
    <row r="6080" spans="1:9" hidden="1" x14ac:dyDescent="0.25">
      <c r="A6080">
        <v>2025</v>
      </c>
      <c r="B6080" s="140" t="s">
        <v>181</v>
      </c>
      <c r="C6080" s="140" t="s">
        <v>182</v>
      </c>
      <c r="D6080" s="140" t="s">
        <v>11</v>
      </c>
      <c r="E6080" s="140" t="s">
        <v>12</v>
      </c>
      <c r="F6080">
        <v>2868</v>
      </c>
      <c r="G6080" s="140" t="s">
        <v>183</v>
      </c>
      <c r="H6080">
        <v>0</v>
      </c>
      <c r="I6080" s="140" t="s">
        <v>62</v>
      </c>
    </row>
    <row r="6081" spans="1:9" hidden="1" x14ac:dyDescent="0.25">
      <c r="A6081">
        <v>2026</v>
      </c>
      <c r="B6081" s="140" t="s">
        <v>181</v>
      </c>
      <c r="C6081" s="140" t="s">
        <v>182</v>
      </c>
      <c r="D6081" s="140" t="s">
        <v>11</v>
      </c>
      <c r="E6081" s="140" t="s">
        <v>12</v>
      </c>
      <c r="F6081">
        <v>2873.6593769999999</v>
      </c>
      <c r="G6081" s="140" t="s">
        <v>183</v>
      </c>
      <c r="H6081">
        <v>0</v>
      </c>
      <c r="I6081" s="140" t="s">
        <v>62</v>
      </c>
    </row>
    <row r="6082" spans="1:9" hidden="1" x14ac:dyDescent="0.25">
      <c r="A6082">
        <v>2027</v>
      </c>
      <c r="B6082" s="140" t="s">
        <v>181</v>
      </c>
      <c r="C6082" s="140" t="s">
        <v>182</v>
      </c>
      <c r="D6082" s="140" t="s">
        <v>11</v>
      </c>
      <c r="E6082" s="140" t="s">
        <v>12</v>
      </c>
      <c r="F6082">
        <v>2890.5929879999999</v>
      </c>
      <c r="G6082" s="140" t="s">
        <v>183</v>
      </c>
      <c r="H6082">
        <v>0</v>
      </c>
      <c r="I6082" s="140" t="s">
        <v>62</v>
      </c>
    </row>
    <row r="6083" spans="1:9" hidden="1" x14ac:dyDescent="0.25">
      <c r="A6083">
        <v>2028</v>
      </c>
      <c r="B6083" s="140" t="s">
        <v>181</v>
      </c>
      <c r="C6083" s="140" t="s">
        <v>182</v>
      </c>
      <c r="D6083" s="140" t="s">
        <v>11</v>
      </c>
      <c r="E6083" s="140" t="s">
        <v>12</v>
      </c>
      <c r="F6083">
        <v>2902.9059870000001</v>
      </c>
      <c r="G6083" s="140" t="s">
        <v>183</v>
      </c>
      <c r="H6083">
        <v>0</v>
      </c>
      <c r="I6083" s="140" t="s">
        <v>62</v>
      </c>
    </row>
    <row r="6084" spans="1:9" hidden="1" x14ac:dyDescent="0.25">
      <c r="A6084">
        <v>2029</v>
      </c>
      <c r="B6084" s="140" t="s">
        <v>181</v>
      </c>
      <c r="C6084" s="140" t="s">
        <v>182</v>
      </c>
      <c r="D6084" s="140" t="s">
        <v>11</v>
      </c>
      <c r="E6084" s="140" t="s">
        <v>12</v>
      </c>
      <c r="F6084">
        <v>2906.9033530000002</v>
      </c>
      <c r="G6084" s="140" t="s">
        <v>183</v>
      </c>
      <c r="H6084">
        <v>0</v>
      </c>
      <c r="I6084" s="140" t="s">
        <v>62</v>
      </c>
    </row>
    <row r="6085" spans="1:9" hidden="1" x14ac:dyDescent="0.25">
      <c r="A6085">
        <v>2030</v>
      </c>
      <c r="B6085" s="140" t="s">
        <v>181</v>
      </c>
      <c r="C6085" s="140" t="s">
        <v>182</v>
      </c>
      <c r="D6085" s="140" t="s">
        <v>11</v>
      </c>
      <c r="E6085" s="140" t="s">
        <v>12</v>
      </c>
      <c r="F6085">
        <v>2910.183661</v>
      </c>
      <c r="G6085" s="140" t="s">
        <v>183</v>
      </c>
      <c r="H6085">
        <v>0</v>
      </c>
      <c r="I6085" s="140" t="s">
        <v>62</v>
      </c>
    </row>
    <row r="6086" spans="1:9" hidden="1" x14ac:dyDescent="0.25">
      <c r="A6086">
        <v>1990</v>
      </c>
      <c r="B6086" s="140" t="s">
        <v>443</v>
      </c>
      <c r="C6086" s="140" t="s">
        <v>182</v>
      </c>
      <c r="D6086" s="140" t="s">
        <v>11</v>
      </c>
      <c r="E6086" s="140" t="s">
        <v>12</v>
      </c>
      <c r="F6086">
        <v>2564</v>
      </c>
      <c r="G6086" s="140" t="s">
        <v>444</v>
      </c>
      <c r="H6086">
        <v>0</v>
      </c>
      <c r="I6086" s="140" t="s">
        <v>62</v>
      </c>
    </row>
    <row r="6087" spans="1:9" hidden="1" x14ac:dyDescent="0.25">
      <c r="A6087">
        <v>1991</v>
      </c>
      <c r="B6087" s="140" t="s">
        <v>443</v>
      </c>
      <c r="C6087" s="140" t="s">
        <v>182</v>
      </c>
      <c r="D6087" s="140" t="s">
        <v>11</v>
      </c>
      <c r="E6087" s="140" t="s">
        <v>12</v>
      </c>
      <c r="F6087">
        <v>2524</v>
      </c>
      <c r="G6087" s="140" t="s">
        <v>444</v>
      </c>
      <c r="H6087">
        <v>0</v>
      </c>
      <c r="I6087" s="140" t="s">
        <v>62</v>
      </c>
    </row>
    <row r="6088" spans="1:9" hidden="1" x14ac:dyDescent="0.25">
      <c r="A6088">
        <v>1992</v>
      </c>
      <c r="B6088" s="140" t="s">
        <v>443</v>
      </c>
      <c r="C6088" s="140" t="s">
        <v>182</v>
      </c>
      <c r="D6088" s="140" t="s">
        <v>11</v>
      </c>
      <c r="E6088" s="140" t="s">
        <v>12</v>
      </c>
      <c r="F6088">
        <v>2482</v>
      </c>
      <c r="G6088" s="140" t="s">
        <v>444</v>
      </c>
      <c r="H6088">
        <v>0</v>
      </c>
      <c r="I6088" s="140" t="s">
        <v>62</v>
      </c>
    </row>
    <row r="6089" spans="1:9" hidden="1" x14ac:dyDescent="0.25">
      <c r="A6089">
        <v>1993</v>
      </c>
      <c r="B6089" s="140" t="s">
        <v>443</v>
      </c>
      <c r="C6089" s="140" t="s">
        <v>182</v>
      </c>
      <c r="D6089" s="140" t="s">
        <v>11</v>
      </c>
      <c r="E6089" s="140" t="s">
        <v>12</v>
      </c>
      <c r="F6089">
        <v>2460</v>
      </c>
      <c r="G6089" s="140" t="s">
        <v>444</v>
      </c>
      <c r="H6089">
        <v>0</v>
      </c>
      <c r="I6089" s="140" t="s">
        <v>62</v>
      </c>
    </row>
    <row r="6090" spans="1:9" hidden="1" x14ac:dyDescent="0.25">
      <c r="A6090">
        <v>1994</v>
      </c>
      <c r="B6090" s="140" t="s">
        <v>443</v>
      </c>
      <c r="C6090" s="140" t="s">
        <v>182</v>
      </c>
      <c r="D6090" s="140" t="s">
        <v>11</v>
      </c>
      <c r="E6090" s="140" t="s">
        <v>12</v>
      </c>
      <c r="F6090">
        <v>2448</v>
      </c>
      <c r="G6090" s="140" t="s">
        <v>444</v>
      </c>
      <c r="H6090">
        <v>0</v>
      </c>
      <c r="I6090" s="140" t="s">
        <v>62</v>
      </c>
    </row>
    <row r="6091" spans="1:9" hidden="1" x14ac:dyDescent="0.25">
      <c r="A6091">
        <v>1995</v>
      </c>
      <c r="B6091" s="140" t="s">
        <v>443</v>
      </c>
      <c r="C6091" s="140" t="s">
        <v>182</v>
      </c>
      <c r="D6091" s="140" t="s">
        <v>11</v>
      </c>
      <c r="E6091" s="140" t="s">
        <v>12</v>
      </c>
      <c r="F6091">
        <v>2466</v>
      </c>
      <c r="G6091" s="140" t="s">
        <v>444</v>
      </c>
      <c r="H6091">
        <v>0</v>
      </c>
      <c r="I6091" s="140" t="s">
        <v>62</v>
      </c>
    </row>
    <row r="6092" spans="1:9" hidden="1" x14ac:dyDescent="0.25">
      <c r="A6092">
        <v>1996</v>
      </c>
      <c r="B6092" s="140" t="s">
        <v>443</v>
      </c>
      <c r="C6092" s="140" t="s">
        <v>182</v>
      </c>
      <c r="D6092" s="140" t="s">
        <v>11</v>
      </c>
      <c r="E6092" s="140" t="s">
        <v>12</v>
      </c>
      <c r="F6092">
        <v>2476</v>
      </c>
      <c r="G6092" s="140" t="s">
        <v>444</v>
      </c>
      <c r="H6092">
        <v>0</v>
      </c>
      <c r="I6092" s="140" t="s">
        <v>62</v>
      </c>
    </row>
    <row r="6093" spans="1:9" hidden="1" x14ac:dyDescent="0.25">
      <c r="A6093">
        <v>1997</v>
      </c>
      <c r="B6093" s="140" t="s">
        <v>443</v>
      </c>
      <c r="C6093" s="140" t="s">
        <v>182</v>
      </c>
      <c r="D6093" s="140" t="s">
        <v>11</v>
      </c>
      <c r="E6093" s="140" t="s">
        <v>12</v>
      </c>
      <c r="F6093">
        <v>2469</v>
      </c>
      <c r="G6093" s="140" t="s">
        <v>444</v>
      </c>
      <c r="H6093">
        <v>0</v>
      </c>
      <c r="I6093" s="140" t="s">
        <v>62</v>
      </c>
    </row>
    <row r="6094" spans="1:9" hidden="1" x14ac:dyDescent="0.25">
      <c r="A6094">
        <v>1998</v>
      </c>
      <c r="B6094" s="140" t="s">
        <v>443</v>
      </c>
      <c r="C6094" s="140" t="s">
        <v>182</v>
      </c>
      <c r="D6094" s="140" t="s">
        <v>11</v>
      </c>
      <c r="E6094" s="140" t="s">
        <v>12</v>
      </c>
      <c r="F6094">
        <v>2492</v>
      </c>
      <c r="G6094" s="140" t="s">
        <v>444</v>
      </c>
      <c r="H6094">
        <v>0</v>
      </c>
      <c r="I6094" s="140" t="s">
        <v>62</v>
      </c>
    </row>
    <row r="6095" spans="1:9" hidden="1" x14ac:dyDescent="0.25">
      <c r="A6095">
        <v>1999</v>
      </c>
      <c r="B6095" s="140" t="s">
        <v>443</v>
      </c>
      <c r="C6095" s="140" t="s">
        <v>182</v>
      </c>
      <c r="D6095" s="140" t="s">
        <v>11</v>
      </c>
      <c r="E6095" s="140" t="s">
        <v>12</v>
      </c>
      <c r="F6095">
        <v>2541</v>
      </c>
      <c r="G6095" s="140" t="s">
        <v>444</v>
      </c>
      <c r="H6095">
        <v>0</v>
      </c>
      <c r="I6095" s="140" t="s">
        <v>62</v>
      </c>
    </row>
    <row r="6096" spans="1:9" hidden="1" x14ac:dyDescent="0.25">
      <c r="A6096">
        <v>2000</v>
      </c>
      <c r="B6096" s="140" t="s">
        <v>443</v>
      </c>
      <c r="C6096" s="140" t="s">
        <v>182</v>
      </c>
      <c r="D6096" s="140" t="s">
        <v>11</v>
      </c>
      <c r="E6096" s="140" t="s">
        <v>12</v>
      </c>
      <c r="F6096">
        <v>2571</v>
      </c>
      <c r="G6096" s="140" t="s">
        <v>444</v>
      </c>
      <c r="H6096">
        <v>0</v>
      </c>
      <c r="I6096" s="140" t="s">
        <v>62</v>
      </c>
    </row>
    <row r="6097" spans="1:9" hidden="1" x14ac:dyDescent="0.25">
      <c r="A6097">
        <v>2001</v>
      </c>
      <c r="B6097" s="140" t="s">
        <v>443</v>
      </c>
      <c r="C6097" s="140" t="s">
        <v>182</v>
      </c>
      <c r="D6097" s="140" t="s">
        <v>11</v>
      </c>
      <c r="E6097" s="140" t="s">
        <v>12</v>
      </c>
      <c r="F6097">
        <v>2588</v>
      </c>
      <c r="G6097" s="140" t="s">
        <v>444</v>
      </c>
      <c r="H6097">
        <v>0</v>
      </c>
      <c r="I6097" s="140" t="s">
        <v>62</v>
      </c>
    </row>
    <row r="6098" spans="1:9" hidden="1" x14ac:dyDescent="0.25">
      <c r="A6098">
        <v>2002</v>
      </c>
      <c r="B6098" s="140" t="s">
        <v>443</v>
      </c>
      <c r="C6098" s="140" t="s">
        <v>182</v>
      </c>
      <c r="D6098" s="140" t="s">
        <v>11</v>
      </c>
      <c r="E6098" s="140" t="s">
        <v>12</v>
      </c>
      <c r="F6098">
        <v>2591</v>
      </c>
      <c r="G6098" s="140" t="s">
        <v>444</v>
      </c>
      <c r="H6098">
        <v>0</v>
      </c>
      <c r="I6098" s="140" t="s">
        <v>62</v>
      </c>
    </row>
    <row r="6099" spans="1:9" hidden="1" x14ac:dyDescent="0.25">
      <c r="A6099">
        <v>2003</v>
      </c>
      <c r="B6099" s="140" t="s">
        <v>443</v>
      </c>
      <c r="C6099" s="140" t="s">
        <v>182</v>
      </c>
      <c r="D6099" s="140" t="s">
        <v>11</v>
      </c>
      <c r="E6099" s="140" t="s">
        <v>12</v>
      </c>
      <c r="F6099">
        <v>2580</v>
      </c>
      <c r="G6099" s="140" t="s">
        <v>444</v>
      </c>
      <c r="H6099">
        <v>0</v>
      </c>
      <c r="I6099" s="140" t="s">
        <v>62</v>
      </c>
    </row>
    <row r="6100" spans="1:9" hidden="1" x14ac:dyDescent="0.25">
      <c r="A6100">
        <v>2004</v>
      </c>
      <c r="B6100" s="140" t="s">
        <v>443</v>
      </c>
      <c r="C6100" s="140" t="s">
        <v>182</v>
      </c>
      <c r="D6100" s="140" t="s">
        <v>11</v>
      </c>
      <c r="E6100" s="140" t="s">
        <v>12</v>
      </c>
      <c r="F6100">
        <v>2574</v>
      </c>
      <c r="G6100" s="140" t="s">
        <v>444</v>
      </c>
      <c r="H6100">
        <v>0</v>
      </c>
      <c r="I6100" s="140" t="s">
        <v>62</v>
      </c>
    </row>
    <row r="6101" spans="1:9" hidden="1" x14ac:dyDescent="0.25">
      <c r="A6101">
        <v>2005</v>
      </c>
      <c r="B6101" s="140" t="s">
        <v>443</v>
      </c>
      <c r="C6101" s="140" t="s">
        <v>182</v>
      </c>
      <c r="D6101" s="140" t="s">
        <v>11</v>
      </c>
      <c r="E6101" s="140" t="s">
        <v>12</v>
      </c>
      <c r="F6101">
        <v>2597</v>
      </c>
      <c r="G6101" s="140" t="s">
        <v>444</v>
      </c>
      <c r="H6101">
        <v>0</v>
      </c>
      <c r="I6101" s="140" t="s">
        <v>62</v>
      </c>
    </row>
    <row r="6102" spans="1:9" hidden="1" x14ac:dyDescent="0.25">
      <c r="A6102">
        <v>2006</v>
      </c>
      <c r="B6102" s="140" t="s">
        <v>443</v>
      </c>
      <c r="C6102" s="140" t="s">
        <v>182</v>
      </c>
      <c r="D6102" s="140" t="s">
        <v>11</v>
      </c>
      <c r="E6102" s="140" t="s">
        <v>12</v>
      </c>
      <c r="F6102">
        <v>2621</v>
      </c>
      <c r="G6102" s="140" t="s">
        <v>444</v>
      </c>
      <c r="H6102">
        <v>0</v>
      </c>
      <c r="I6102" s="140" t="s">
        <v>62</v>
      </c>
    </row>
    <row r="6103" spans="1:9" hidden="1" x14ac:dyDescent="0.25">
      <c r="A6103">
        <v>2007</v>
      </c>
      <c r="B6103" s="140" t="s">
        <v>443</v>
      </c>
      <c r="C6103" s="140" t="s">
        <v>182</v>
      </c>
      <c r="D6103" s="140" t="s">
        <v>11</v>
      </c>
      <c r="E6103" s="140" t="s">
        <v>12</v>
      </c>
      <c r="F6103">
        <v>2642</v>
      </c>
      <c r="G6103" s="140" t="s">
        <v>444</v>
      </c>
      <c r="H6103">
        <v>0</v>
      </c>
      <c r="I6103" s="140" t="s">
        <v>62</v>
      </c>
    </row>
    <row r="6104" spans="1:9" hidden="1" x14ac:dyDescent="0.25">
      <c r="A6104">
        <v>2008</v>
      </c>
      <c r="B6104" s="140" t="s">
        <v>443</v>
      </c>
      <c r="C6104" s="140" t="s">
        <v>182</v>
      </c>
      <c r="D6104" s="140" t="s">
        <v>11</v>
      </c>
      <c r="E6104" s="140" t="s">
        <v>12</v>
      </c>
      <c r="F6104">
        <v>2669</v>
      </c>
      <c r="G6104" s="140" t="s">
        <v>444</v>
      </c>
      <c r="H6104">
        <v>0</v>
      </c>
      <c r="I6104" s="140" t="s">
        <v>62</v>
      </c>
    </row>
    <row r="6105" spans="1:9" hidden="1" x14ac:dyDescent="0.25">
      <c r="A6105">
        <v>2009</v>
      </c>
      <c r="B6105" s="140" t="s">
        <v>443</v>
      </c>
      <c r="C6105" s="140" t="s">
        <v>182</v>
      </c>
      <c r="D6105" s="140" t="s">
        <v>11</v>
      </c>
      <c r="E6105" s="140" t="s">
        <v>12</v>
      </c>
      <c r="F6105">
        <v>2615</v>
      </c>
      <c r="G6105" s="140" t="s">
        <v>444</v>
      </c>
      <c r="H6105">
        <v>0</v>
      </c>
      <c r="I6105" s="140" t="s">
        <v>62</v>
      </c>
    </row>
    <row r="6106" spans="1:9" hidden="1" x14ac:dyDescent="0.25">
      <c r="A6106">
        <v>2010</v>
      </c>
      <c r="B6106" s="140" t="s">
        <v>443</v>
      </c>
      <c r="C6106" s="140" t="s">
        <v>182</v>
      </c>
      <c r="D6106" s="140" t="s">
        <v>11</v>
      </c>
      <c r="E6106" s="140" t="s">
        <v>12</v>
      </c>
      <c r="F6106">
        <v>2600</v>
      </c>
      <c r="G6106" s="140" t="s">
        <v>444</v>
      </c>
      <c r="H6106">
        <v>0</v>
      </c>
      <c r="I6106" s="140" t="s">
        <v>62</v>
      </c>
    </row>
    <row r="6107" spans="1:9" hidden="1" x14ac:dyDescent="0.25">
      <c r="A6107">
        <v>2011</v>
      </c>
      <c r="B6107" s="140" t="s">
        <v>443</v>
      </c>
      <c r="C6107" s="140" t="s">
        <v>182</v>
      </c>
      <c r="D6107" s="140" t="s">
        <v>11</v>
      </c>
      <c r="E6107" s="140" t="s">
        <v>12</v>
      </c>
      <c r="F6107">
        <v>2605</v>
      </c>
      <c r="G6107" s="140" t="s">
        <v>444</v>
      </c>
      <c r="H6107">
        <v>0</v>
      </c>
      <c r="I6107" s="140" t="s">
        <v>62</v>
      </c>
    </row>
    <row r="6108" spans="1:9" hidden="1" x14ac:dyDescent="0.25">
      <c r="A6108">
        <v>2012</v>
      </c>
      <c r="B6108" s="140" t="s">
        <v>443</v>
      </c>
      <c r="C6108" s="140" t="s">
        <v>182</v>
      </c>
      <c r="D6108" s="140" t="s">
        <v>11</v>
      </c>
      <c r="E6108" s="140" t="s">
        <v>12</v>
      </c>
      <c r="F6108">
        <v>2607</v>
      </c>
      <c r="G6108" s="140" t="s">
        <v>444</v>
      </c>
      <c r="H6108">
        <v>0</v>
      </c>
      <c r="I6108" s="140" t="s">
        <v>62</v>
      </c>
    </row>
    <row r="6109" spans="1:9" hidden="1" x14ac:dyDescent="0.25">
      <c r="A6109">
        <v>2013</v>
      </c>
      <c r="B6109" s="140" t="s">
        <v>443</v>
      </c>
      <c r="C6109" s="140" t="s">
        <v>182</v>
      </c>
      <c r="D6109" s="140" t="s">
        <v>11</v>
      </c>
      <c r="E6109" s="140" t="s">
        <v>12</v>
      </c>
      <c r="F6109">
        <v>2595</v>
      </c>
      <c r="G6109" s="140" t="s">
        <v>444</v>
      </c>
      <c r="H6109">
        <v>0</v>
      </c>
      <c r="I6109" s="140" t="s">
        <v>62</v>
      </c>
    </row>
    <row r="6110" spans="1:9" hidden="1" x14ac:dyDescent="0.25">
      <c r="A6110">
        <v>2014</v>
      </c>
      <c r="B6110" s="140" t="s">
        <v>443</v>
      </c>
      <c r="C6110" s="140" t="s">
        <v>182</v>
      </c>
      <c r="D6110" s="140" t="s">
        <v>11</v>
      </c>
      <c r="E6110" s="140" t="s">
        <v>12</v>
      </c>
      <c r="F6110">
        <v>2590</v>
      </c>
      <c r="G6110" s="140" t="s">
        <v>444</v>
      </c>
      <c r="H6110">
        <v>0</v>
      </c>
      <c r="I6110" s="140" t="s">
        <v>62</v>
      </c>
    </row>
    <row r="6111" spans="1:9" hidden="1" x14ac:dyDescent="0.25">
      <c r="A6111">
        <v>2015</v>
      </c>
      <c r="B6111" s="140" t="s">
        <v>443</v>
      </c>
      <c r="C6111" s="140" t="s">
        <v>182</v>
      </c>
      <c r="D6111" s="140" t="s">
        <v>11</v>
      </c>
      <c r="E6111" s="140" t="s">
        <v>12</v>
      </c>
      <c r="F6111">
        <v>2583</v>
      </c>
      <c r="G6111" s="140" t="s">
        <v>444</v>
      </c>
      <c r="H6111">
        <v>0</v>
      </c>
      <c r="I6111" s="140" t="s">
        <v>62</v>
      </c>
    </row>
    <row r="6112" spans="1:9" hidden="1" x14ac:dyDescent="0.25">
      <c r="A6112">
        <v>2016</v>
      </c>
      <c r="B6112" s="140" t="s">
        <v>443</v>
      </c>
      <c r="C6112" s="140" t="s">
        <v>182</v>
      </c>
      <c r="D6112" s="140" t="s">
        <v>11</v>
      </c>
      <c r="E6112" s="140" t="s">
        <v>12</v>
      </c>
      <c r="F6112">
        <v>2585</v>
      </c>
      <c r="G6112" s="140" t="s">
        <v>444</v>
      </c>
      <c r="H6112">
        <v>0</v>
      </c>
      <c r="I6112" s="140" t="s">
        <v>62</v>
      </c>
    </row>
    <row r="6113" spans="1:9" hidden="1" x14ac:dyDescent="0.25">
      <c r="A6113">
        <v>2017</v>
      </c>
      <c r="B6113" s="140" t="s">
        <v>443</v>
      </c>
      <c r="C6113" s="140" t="s">
        <v>182</v>
      </c>
      <c r="D6113" s="140" t="s">
        <v>11</v>
      </c>
      <c r="E6113" s="140" t="s">
        <v>12</v>
      </c>
      <c r="F6113">
        <v>2604</v>
      </c>
      <c r="G6113" s="140" t="s">
        <v>444</v>
      </c>
      <c r="H6113">
        <v>0</v>
      </c>
      <c r="I6113" s="140" t="s">
        <v>62</v>
      </c>
    </row>
    <row r="6114" spans="1:9" hidden="1" x14ac:dyDescent="0.25">
      <c r="A6114">
        <v>2018</v>
      </c>
      <c r="B6114" s="140" t="s">
        <v>443</v>
      </c>
      <c r="C6114" s="140" t="s">
        <v>182</v>
      </c>
      <c r="D6114" s="140" t="s">
        <v>11</v>
      </c>
      <c r="E6114" s="140" t="s">
        <v>12</v>
      </c>
      <c r="F6114">
        <v>2634</v>
      </c>
      <c r="G6114" s="140" t="s">
        <v>444</v>
      </c>
      <c r="H6114">
        <v>0</v>
      </c>
      <c r="I6114" s="140" t="s">
        <v>62</v>
      </c>
    </row>
    <row r="6115" spans="1:9" hidden="1" x14ac:dyDescent="0.25">
      <c r="A6115">
        <v>2019</v>
      </c>
      <c r="B6115" s="140" t="s">
        <v>443</v>
      </c>
      <c r="C6115" s="140" t="s">
        <v>182</v>
      </c>
      <c r="D6115" s="140" t="s">
        <v>11</v>
      </c>
      <c r="E6115" s="140" t="s">
        <v>12</v>
      </c>
      <c r="F6115">
        <v>2637</v>
      </c>
      <c r="G6115" s="140" t="s">
        <v>444</v>
      </c>
      <c r="H6115">
        <v>0</v>
      </c>
      <c r="I6115" s="140" t="s">
        <v>62</v>
      </c>
    </row>
    <row r="6116" spans="1:9" hidden="1" x14ac:dyDescent="0.25">
      <c r="A6116">
        <v>2020</v>
      </c>
      <c r="B6116" s="140" t="s">
        <v>443</v>
      </c>
      <c r="C6116" s="140" t="s">
        <v>182</v>
      </c>
      <c r="D6116" s="140" t="s">
        <v>11</v>
      </c>
      <c r="E6116" s="140" t="s">
        <v>12</v>
      </c>
      <c r="F6116">
        <v>2628</v>
      </c>
      <c r="G6116" s="140" t="s">
        <v>444</v>
      </c>
      <c r="H6116">
        <v>0</v>
      </c>
      <c r="I6116" s="140" t="s">
        <v>62</v>
      </c>
    </row>
    <row r="6117" spans="1:9" hidden="1" x14ac:dyDescent="0.25">
      <c r="A6117">
        <v>2021</v>
      </c>
      <c r="B6117" s="140" t="s">
        <v>443</v>
      </c>
      <c r="C6117" s="140" t="s">
        <v>182</v>
      </c>
      <c r="D6117" s="140" t="s">
        <v>11</v>
      </c>
      <c r="E6117" s="140" t="s">
        <v>12</v>
      </c>
      <c r="F6117">
        <v>2679</v>
      </c>
      <c r="G6117" s="140" t="s">
        <v>444</v>
      </c>
      <c r="H6117">
        <v>0</v>
      </c>
      <c r="I6117" s="140" t="s">
        <v>62</v>
      </c>
    </row>
    <row r="6118" spans="1:9" hidden="1" x14ac:dyDescent="0.25">
      <c r="A6118">
        <v>2022</v>
      </c>
      <c r="B6118" s="140" t="s">
        <v>443</v>
      </c>
      <c r="C6118" s="140" t="s">
        <v>182</v>
      </c>
      <c r="D6118" s="140" t="s">
        <v>11</v>
      </c>
      <c r="E6118" s="140" t="s">
        <v>12</v>
      </c>
      <c r="F6118">
        <v>2713</v>
      </c>
      <c r="G6118" s="140" t="s">
        <v>444</v>
      </c>
      <c r="H6118">
        <v>0</v>
      </c>
      <c r="I6118" s="140" t="s">
        <v>62</v>
      </c>
    </row>
    <row r="6119" spans="1:9" hidden="1" x14ac:dyDescent="0.25">
      <c r="A6119">
        <v>2023</v>
      </c>
      <c r="B6119" s="140" t="s">
        <v>443</v>
      </c>
      <c r="C6119" s="140" t="s">
        <v>182</v>
      </c>
      <c r="D6119" s="140" t="s">
        <v>11</v>
      </c>
      <c r="E6119" s="140" t="s">
        <v>12</v>
      </c>
      <c r="F6119">
        <v>2732</v>
      </c>
      <c r="G6119" s="140" t="s">
        <v>444</v>
      </c>
      <c r="H6119">
        <v>0</v>
      </c>
      <c r="I6119" s="140" t="s">
        <v>62</v>
      </c>
    </row>
    <row r="6120" spans="1:9" hidden="1" x14ac:dyDescent="0.25">
      <c r="A6120">
        <v>2024</v>
      </c>
      <c r="B6120" s="140" t="s">
        <v>443</v>
      </c>
      <c r="C6120" s="140" t="s">
        <v>182</v>
      </c>
      <c r="D6120" s="140" t="s">
        <v>11</v>
      </c>
      <c r="E6120" s="140" t="s">
        <v>12</v>
      </c>
      <c r="F6120">
        <v>2739</v>
      </c>
      <c r="G6120" s="140" t="s">
        <v>444</v>
      </c>
      <c r="H6120">
        <v>0</v>
      </c>
      <c r="I6120" s="140" t="s">
        <v>62</v>
      </c>
    </row>
    <row r="6121" spans="1:9" hidden="1" x14ac:dyDescent="0.25">
      <c r="A6121">
        <v>2025</v>
      </c>
      <c r="B6121" s="140" t="s">
        <v>443</v>
      </c>
      <c r="C6121" s="140" t="s">
        <v>182</v>
      </c>
      <c r="D6121" s="140" t="s">
        <v>11</v>
      </c>
      <c r="E6121" s="140" t="s">
        <v>12</v>
      </c>
      <c r="F6121">
        <v>2767</v>
      </c>
      <c r="G6121" s="140" t="s">
        <v>444</v>
      </c>
      <c r="H6121">
        <v>0</v>
      </c>
      <c r="I6121" s="140" t="s">
        <v>62</v>
      </c>
    </row>
    <row r="6122" spans="1:9" hidden="1" x14ac:dyDescent="0.25">
      <c r="A6122">
        <v>2026</v>
      </c>
      <c r="B6122" s="140" t="s">
        <v>443</v>
      </c>
      <c r="C6122" s="140" t="s">
        <v>182</v>
      </c>
      <c r="D6122" s="140" t="s">
        <v>11</v>
      </c>
      <c r="E6122" s="140" t="s">
        <v>12</v>
      </c>
      <c r="F6122">
        <v>2779.0967420000002</v>
      </c>
      <c r="G6122" s="140" t="s">
        <v>444</v>
      </c>
      <c r="H6122">
        <v>0</v>
      </c>
      <c r="I6122" s="140" t="s">
        <v>62</v>
      </c>
    </row>
    <row r="6123" spans="1:9" hidden="1" x14ac:dyDescent="0.25">
      <c r="A6123">
        <v>2027</v>
      </c>
      <c r="B6123" s="140" t="s">
        <v>443</v>
      </c>
      <c r="C6123" s="140" t="s">
        <v>182</v>
      </c>
      <c r="D6123" s="140" t="s">
        <v>11</v>
      </c>
      <c r="E6123" s="140" t="s">
        <v>12</v>
      </c>
      <c r="F6123">
        <v>2795.0137089999998</v>
      </c>
      <c r="G6123" s="140" t="s">
        <v>444</v>
      </c>
      <c r="H6123">
        <v>0</v>
      </c>
      <c r="I6123" s="140" t="s">
        <v>62</v>
      </c>
    </row>
    <row r="6124" spans="1:9" hidden="1" x14ac:dyDescent="0.25">
      <c r="A6124">
        <v>2028</v>
      </c>
      <c r="B6124" s="140" t="s">
        <v>443</v>
      </c>
      <c r="C6124" s="140" t="s">
        <v>182</v>
      </c>
      <c r="D6124" s="140" t="s">
        <v>11</v>
      </c>
      <c r="E6124" s="140" t="s">
        <v>12</v>
      </c>
      <c r="F6124">
        <v>2806.5467899999999</v>
      </c>
      <c r="G6124" s="140" t="s">
        <v>444</v>
      </c>
      <c r="H6124">
        <v>0</v>
      </c>
      <c r="I6124" s="140" t="s">
        <v>62</v>
      </c>
    </row>
    <row r="6125" spans="1:9" hidden="1" x14ac:dyDescent="0.25">
      <c r="A6125">
        <v>2029</v>
      </c>
      <c r="B6125" s="140" t="s">
        <v>443</v>
      </c>
      <c r="C6125" s="140" t="s">
        <v>182</v>
      </c>
      <c r="D6125" s="140" t="s">
        <v>11</v>
      </c>
      <c r="E6125" s="140" t="s">
        <v>12</v>
      </c>
      <c r="F6125">
        <v>2809.8161639999998</v>
      </c>
      <c r="G6125" s="140" t="s">
        <v>444</v>
      </c>
      <c r="H6125">
        <v>0</v>
      </c>
      <c r="I6125" s="140" t="s">
        <v>62</v>
      </c>
    </row>
    <row r="6126" spans="1:9" hidden="1" x14ac:dyDescent="0.25">
      <c r="A6126">
        <v>2030</v>
      </c>
      <c r="B6126" s="140" t="s">
        <v>443</v>
      </c>
      <c r="C6126" s="140" t="s">
        <v>182</v>
      </c>
      <c r="D6126" s="140" t="s">
        <v>11</v>
      </c>
      <c r="E6126" s="140" t="s">
        <v>12</v>
      </c>
      <c r="F6126">
        <v>2812.4993180000001</v>
      </c>
      <c r="G6126" s="140" t="s">
        <v>444</v>
      </c>
      <c r="H6126">
        <v>0</v>
      </c>
      <c r="I6126" s="140" t="s">
        <v>62</v>
      </c>
    </row>
    <row r="6127" spans="1:9" hidden="1" x14ac:dyDescent="0.25">
      <c r="A6127">
        <v>2009</v>
      </c>
      <c r="B6127" s="140" t="s">
        <v>544</v>
      </c>
      <c r="C6127" s="140" t="s">
        <v>182</v>
      </c>
      <c r="D6127" s="140" t="s">
        <v>11</v>
      </c>
      <c r="E6127" s="140" t="s">
        <v>12</v>
      </c>
      <c r="F6127">
        <v>2515</v>
      </c>
      <c r="G6127" s="140" t="s">
        <v>545</v>
      </c>
      <c r="H6127">
        <v>0</v>
      </c>
      <c r="I6127" s="140" t="s">
        <v>62</v>
      </c>
    </row>
    <row r="6128" spans="1:9" hidden="1" x14ac:dyDescent="0.25">
      <c r="A6128">
        <v>2010</v>
      </c>
      <c r="B6128" s="140" t="s">
        <v>544</v>
      </c>
      <c r="C6128" s="140" t="s">
        <v>182</v>
      </c>
      <c r="D6128" s="140" t="s">
        <v>11</v>
      </c>
      <c r="E6128" s="140" t="s">
        <v>12</v>
      </c>
      <c r="F6128">
        <v>2504</v>
      </c>
      <c r="G6128" s="140" t="s">
        <v>545</v>
      </c>
      <c r="H6128">
        <v>0</v>
      </c>
      <c r="I6128" s="140" t="s">
        <v>62</v>
      </c>
    </row>
    <row r="6129" spans="1:9" hidden="1" x14ac:dyDescent="0.25">
      <c r="A6129">
        <v>2011</v>
      </c>
      <c r="B6129" s="140" t="s">
        <v>544</v>
      </c>
      <c r="C6129" s="140" t="s">
        <v>182</v>
      </c>
      <c r="D6129" s="140" t="s">
        <v>11</v>
      </c>
      <c r="E6129" s="140" t="s">
        <v>12</v>
      </c>
      <c r="F6129">
        <v>2508</v>
      </c>
      <c r="G6129" s="140" t="s">
        <v>545</v>
      </c>
      <c r="H6129">
        <v>0</v>
      </c>
      <c r="I6129" s="140" t="s">
        <v>62</v>
      </c>
    </row>
    <row r="6130" spans="1:9" hidden="1" x14ac:dyDescent="0.25">
      <c r="A6130">
        <v>2012</v>
      </c>
      <c r="B6130" s="140" t="s">
        <v>544</v>
      </c>
      <c r="C6130" s="140" t="s">
        <v>182</v>
      </c>
      <c r="D6130" s="140" t="s">
        <v>11</v>
      </c>
      <c r="E6130" s="140" t="s">
        <v>12</v>
      </c>
      <c r="F6130">
        <v>2508</v>
      </c>
      <c r="G6130" s="140" t="s">
        <v>545</v>
      </c>
      <c r="H6130">
        <v>0</v>
      </c>
      <c r="I6130" s="140" t="s">
        <v>62</v>
      </c>
    </row>
    <row r="6131" spans="1:9" hidden="1" x14ac:dyDescent="0.25">
      <c r="A6131">
        <v>2013</v>
      </c>
      <c r="B6131" s="140" t="s">
        <v>544</v>
      </c>
      <c r="C6131" s="140" t="s">
        <v>182</v>
      </c>
      <c r="D6131" s="140" t="s">
        <v>11</v>
      </c>
      <c r="E6131" s="140" t="s">
        <v>12</v>
      </c>
      <c r="F6131">
        <v>2496</v>
      </c>
      <c r="G6131" s="140" t="s">
        <v>545</v>
      </c>
      <c r="H6131">
        <v>0</v>
      </c>
      <c r="I6131" s="140" t="s">
        <v>62</v>
      </c>
    </row>
    <row r="6132" spans="1:9" hidden="1" x14ac:dyDescent="0.25">
      <c r="A6132">
        <v>2014</v>
      </c>
      <c r="B6132" s="140" t="s">
        <v>544</v>
      </c>
      <c r="C6132" s="140" t="s">
        <v>182</v>
      </c>
      <c r="D6132" s="140" t="s">
        <v>11</v>
      </c>
      <c r="E6132" s="140" t="s">
        <v>12</v>
      </c>
      <c r="F6132">
        <v>2492</v>
      </c>
      <c r="G6132" s="140" t="s">
        <v>545</v>
      </c>
      <c r="H6132">
        <v>0</v>
      </c>
      <c r="I6132" s="140" t="s">
        <v>62</v>
      </c>
    </row>
    <row r="6133" spans="1:9" hidden="1" x14ac:dyDescent="0.25">
      <c r="A6133">
        <v>2015</v>
      </c>
      <c r="B6133" s="140" t="s">
        <v>544</v>
      </c>
      <c r="C6133" s="140" t="s">
        <v>182</v>
      </c>
      <c r="D6133" s="140" t="s">
        <v>11</v>
      </c>
      <c r="E6133" s="140" t="s">
        <v>12</v>
      </c>
      <c r="F6133">
        <v>2491</v>
      </c>
      <c r="G6133" s="140" t="s">
        <v>545</v>
      </c>
      <c r="H6133">
        <v>0</v>
      </c>
      <c r="I6133" s="140" t="s">
        <v>62</v>
      </c>
    </row>
    <row r="6134" spans="1:9" hidden="1" x14ac:dyDescent="0.25">
      <c r="A6134">
        <v>2016</v>
      </c>
      <c r="B6134" s="140" t="s">
        <v>544</v>
      </c>
      <c r="C6134" s="140" t="s">
        <v>182</v>
      </c>
      <c r="D6134" s="140" t="s">
        <v>11</v>
      </c>
      <c r="E6134" s="140" t="s">
        <v>12</v>
      </c>
      <c r="F6134">
        <v>2490</v>
      </c>
      <c r="G6134" s="140" t="s">
        <v>545</v>
      </c>
      <c r="H6134">
        <v>0</v>
      </c>
      <c r="I6134" s="140" t="s">
        <v>62</v>
      </c>
    </row>
    <row r="6135" spans="1:9" hidden="1" x14ac:dyDescent="0.25">
      <c r="A6135">
        <v>2017</v>
      </c>
      <c r="B6135" s="140" t="s">
        <v>544</v>
      </c>
      <c r="C6135" s="140" t="s">
        <v>182</v>
      </c>
      <c r="D6135" s="140" t="s">
        <v>11</v>
      </c>
      <c r="E6135" s="140" t="s">
        <v>12</v>
      </c>
      <c r="F6135">
        <v>2507</v>
      </c>
      <c r="G6135" s="140" t="s">
        <v>545</v>
      </c>
      <c r="H6135">
        <v>0</v>
      </c>
      <c r="I6135" s="140" t="s">
        <v>62</v>
      </c>
    </row>
    <row r="6136" spans="1:9" hidden="1" x14ac:dyDescent="0.25">
      <c r="A6136">
        <v>2018</v>
      </c>
      <c r="B6136" s="140" t="s">
        <v>544</v>
      </c>
      <c r="C6136" s="140" t="s">
        <v>182</v>
      </c>
      <c r="D6136" s="140" t="s">
        <v>11</v>
      </c>
      <c r="E6136" s="140" t="s">
        <v>12</v>
      </c>
      <c r="F6136">
        <v>2536</v>
      </c>
      <c r="G6136" s="140" t="s">
        <v>545</v>
      </c>
      <c r="H6136">
        <v>0</v>
      </c>
      <c r="I6136" s="140" t="s">
        <v>62</v>
      </c>
    </row>
    <row r="6137" spans="1:9" hidden="1" x14ac:dyDescent="0.25">
      <c r="A6137">
        <v>2019</v>
      </c>
      <c r="B6137" s="140" t="s">
        <v>544</v>
      </c>
      <c r="C6137" s="140" t="s">
        <v>182</v>
      </c>
      <c r="D6137" s="140" t="s">
        <v>11</v>
      </c>
      <c r="E6137" s="140" t="s">
        <v>12</v>
      </c>
      <c r="F6137">
        <v>2534</v>
      </c>
      <c r="G6137" s="140" t="s">
        <v>545</v>
      </c>
      <c r="H6137">
        <v>0</v>
      </c>
      <c r="I6137" s="140" t="s">
        <v>62</v>
      </c>
    </row>
    <row r="6138" spans="1:9" hidden="1" x14ac:dyDescent="0.25">
      <c r="A6138">
        <v>2020</v>
      </c>
      <c r="B6138" s="140" t="s">
        <v>544</v>
      </c>
      <c r="C6138" s="140" t="s">
        <v>182</v>
      </c>
      <c r="D6138" s="140" t="s">
        <v>11</v>
      </c>
      <c r="E6138" s="140" t="s">
        <v>12</v>
      </c>
      <c r="F6138">
        <v>2530</v>
      </c>
      <c r="G6138" s="140" t="s">
        <v>545</v>
      </c>
      <c r="H6138">
        <v>0</v>
      </c>
      <c r="I6138" s="140" t="s">
        <v>62</v>
      </c>
    </row>
    <row r="6139" spans="1:9" hidden="1" x14ac:dyDescent="0.25">
      <c r="A6139">
        <v>2021</v>
      </c>
      <c r="B6139" s="140" t="s">
        <v>544</v>
      </c>
      <c r="C6139" s="140" t="s">
        <v>182</v>
      </c>
      <c r="D6139" s="140" t="s">
        <v>11</v>
      </c>
      <c r="E6139" s="140" t="s">
        <v>12</v>
      </c>
      <c r="F6139">
        <v>2570</v>
      </c>
      <c r="G6139" s="140" t="s">
        <v>545</v>
      </c>
      <c r="H6139">
        <v>0</v>
      </c>
      <c r="I6139" s="140" t="s">
        <v>62</v>
      </c>
    </row>
    <row r="6140" spans="1:9" hidden="1" x14ac:dyDescent="0.25">
      <c r="A6140">
        <v>2022</v>
      </c>
      <c r="B6140" s="140" t="s">
        <v>544</v>
      </c>
      <c r="C6140" s="140" t="s">
        <v>182</v>
      </c>
      <c r="D6140" s="140" t="s">
        <v>11</v>
      </c>
      <c r="E6140" s="140" t="s">
        <v>12</v>
      </c>
      <c r="F6140">
        <v>2599</v>
      </c>
      <c r="G6140" s="140" t="s">
        <v>545</v>
      </c>
      <c r="H6140">
        <v>0</v>
      </c>
      <c r="I6140" s="140" t="s">
        <v>62</v>
      </c>
    </row>
    <row r="6141" spans="1:9" hidden="1" x14ac:dyDescent="0.25">
      <c r="A6141">
        <v>2023</v>
      </c>
      <c r="B6141" s="140" t="s">
        <v>544</v>
      </c>
      <c r="C6141" s="140" t="s">
        <v>182</v>
      </c>
      <c r="D6141" s="140" t="s">
        <v>11</v>
      </c>
      <c r="E6141" s="140" t="s">
        <v>12</v>
      </c>
      <c r="F6141">
        <v>2613</v>
      </c>
      <c r="G6141" s="140" t="s">
        <v>545</v>
      </c>
      <c r="H6141">
        <v>0</v>
      </c>
      <c r="I6141" s="140" t="s">
        <v>62</v>
      </c>
    </row>
    <row r="6142" spans="1:9" hidden="1" x14ac:dyDescent="0.25">
      <c r="A6142">
        <v>2024</v>
      </c>
      <c r="B6142" s="140" t="s">
        <v>544</v>
      </c>
      <c r="C6142" s="140" t="s">
        <v>182</v>
      </c>
      <c r="D6142" s="140" t="s">
        <v>11</v>
      </c>
      <c r="E6142" s="140" t="s">
        <v>12</v>
      </c>
      <c r="F6142">
        <v>2625</v>
      </c>
      <c r="G6142" s="140" t="s">
        <v>545</v>
      </c>
      <c r="H6142">
        <v>0</v>
      </c>
      <c r="I6142" s="140" t="s">
        <v>62</v>
      </c>
    </row>
    <row r="6143" spans="1:9" hidden="1" x14ac:dyDescent="0.25">
      <c r="A6143">
        <v>2025</v>
      </c>
      <c r="B6143" s="140" t="s">
        <v>544</v>
      </c>
      <c r="C6143" s="140" t="s">
        <v>182</v>
      </c>
      <c r="D6143" s="140" t="s">
        <v>11</v>
      </c>
      <c r="E6143" s="140" t="s">
        <v>12</v>
      </c>
      <c r="F6143">
        <v>2648</v>
      </c>
      <c r="G6143" s="140" t="s">
        <v>545</v>
      </c>
      <c r="H6143">
        <v>0</v>
      </c>
      <c r="I6143" s="140" t="s">
        <v>62</v>
      </c>
    </row>
    <row r="6144" spans="1:9" hidden="1" x14ac:dyDescent="0.25">
      <c r="A6144">
        <v>2026</v>
      </c>
      <c r="B6144" s="140" t="s">
        <v>544</v>
      </c>
      <c r="C6144" s="140" t="s">
        <v>182</v>
      </c>
      <c r="D6144" s="140" t="s">
        <v>11</v>
      </c>
      <c r="E6144" s="140" t="s">
        <v>12</v>
      </c>
      <c r="F6144">
        <v>11</v>
      </c>
      <c r="G6144" s="140" t="s">
        <v>545</v>
      </c>
      <c r="H6144">
        <v>0</v>
      </c>
      <c r="I6144" s="140" t="s">
        <v>62</v>
      </c>
    </row>
    <row r="6145" spans="1:9" hidden="1" x14ac:dyDescent="0.25">
      <c r="A6145">
        <v>2027</v>
      </c>
      <c r="B6145" s="140" t="s">
        <v>544</v>
      </c>
      <c r="C6145" s="140" t="s">
        <v>182</v>
      </c>
      <c r="D6145" s="140" t="s">
        <v>11</v>
      </c>
      <c r="E6145" s="140" t="s">
        <v>12</v>
      </c>
      <c r="F6145">
        <v>12</v>
      </c>
      <c r="G6145" s="140" t="s">
        <v>545</v>
      </c>
      <c r="H6145">
        <v>0</v>
      </c>
      <c r="I6145" s="140" t="s">
        <v>62</v>
      </c>
    </row>
    <row r="6146" spans="1:9" hidden="1" x14ac:dyDescent="0.25">
      <c r="A6146">
        <v>2028</v>
      </c>
      <c r="B6146" s="140" t="s">
        <v>544</v>
      </c>
      <c r="C6146" s="140" t="s">
        <v>182</v>
      </c>
      <c r="D6146" s="140" t="s">
        <v>11</v>
      </c>
      <c r="E6146" s="140" t="s">
        <v>12</v>
      </c>
      <c r="F6146">
        <v>13</v>
      </c>
      <c r="G6146" s="140" t="s">
        <v>545</v>
      </c>
      <c r="H6146">
        <v>0</v>
      </c>
      <c r="I6146" s="140" t="s">
        <v>62</v>
      </c>
    </row>
    <row r="6147" spans="1:9" hidden="1" x14ac:dyDescent="0.25">
      <c r="A6147">
        <v>2029</v>
      </c>
      <c r="B6147" s="140" t="s">
        <v>544</v>
      </c>
      <c r="C6147" s="140" t="s">
        <v>182</v>
      </c>
      <c r="D6147" s="140" t="s">
        <v>11</v>
      </c>
      <c r="E6147" s="140" t="s">
        <v>12</v>
      </c>
      <c r="F6147">
        <v>14</v>
      </c>
      <c r="G6147" s="140" t="s">
        <v>545</v>
      </c>
      <c r="H6147">
        <v>0</v>
      </c>
      <c r="I6147" s="140" t="s">
        <v>62</v>
      </c>
    </row>
    <row r="6148" spans="1:9" hidden="1" x14ac:dyDescent="0.25">
      <c r="A6148">
        <v>2030</v>
      </c>
      <c r="B6148" s="140" t="s">
        <v>544</v>
      </c>
      <c r="C6148" s="140" t="s">
        <v>182</v>
      </c>
      <c r="D6148" s="140" t="s">
        <v>11</v>
      </c>
      <c r="E6148" s="140" t="s">
        <v>12</v>
      </c>
      <c r="F6148">
        <v>15</v>
      </c>
      <c r="G6148" s="140" t="s">
        <v>545</v>
      </c>
      <c r="H6148">
        <v>0</v>
      </c>
      <c r="I6148" s="140" t="s">
        <v>62</v>
      </c>
    </row>
    <row r="6149" spans="1:9" hidden="1" x14ac:dyDescent="0.25">
      <c r="A6149">
        <v>2009</v>
      </c>
      <c r="B6149" s="140" t="s">
        <v>546</v>
      </c>
      <c r="C6149" s="140" t="s">
        <v>182</v>
      </c>
      <c r="D6149" s="140" t="s">
        <v>11</v>
      </c>
      <c r="E6149" s="140" t="s">
        <v>12</v>
      </c>
      <c r="F6149">
        <v>2540</v>
      </c>
      <c r="G6149" s="140" t="s">
        <v>547</v>
      </c>
      <c r="H6149">
        <v>0</v>
      </c>
      <c r="I6149" s="140" t="s">
        <v>62</v>
      </c>
    </row>
    <row r="6150" spans="1:9" hidden="1" x14ac:dyDescent="0.25">
      <c r="A6150">
        <v>2010</v>
      </c>
      <c r="B6150" s="140" t="s">
        <v>546</v>
      </c>
      <c r="C6150" s="140" t="s">
        <v>182</v>
      </c>
      <c r="D6150" s="140" t="s">
        <v>11</v>
      </c>
      <c r="E6150" s="140" t="s">
        <v>12</v>
      </c>
      <c r="F6150">
        <v>2531</v>
      </c>
      <c r="G6150" s="140" t="s">
        <v>547</v>
      </c>
      <c r="H6150">
        <v>0</v>
      </c>
      <c r="I6150" s="140" t="s">
        <v>62</v>
      </c>
    </row>
    <row r="6151" spans="1:9" hidden="1" x14ac:dyDescent="0.25">
      <c r="A6151">
        <v>2011</v>
      </c>
      <c r="B6151" s="140" t="s">
        <v>546</v>
      </c>
      <c r="C6151" s="140" t="s">
        <v>182</v>
      </c>
      <c r="D6151" s="140" t="s">
        <v>11</v>
      </c>
      <c r="E6151" s="140" t="s">
        <v>12</v>
      </c>
      <c r="F6151">
        <v>2541</v>
      </c>
      <c r="G6151" s="140" t="s">
        <v>547</v>
      </c>
      <c r="H6151">
        <v>0</v>
      </c>
      <c r="I6151" s="140" t="s">
        <v>62</v>
      </c>
    </row>
    <row r="6152" spans="1:9" hidden="1" x14ac:dyDescent="0.25">
      <c r="A6152">
        <v>2012</v>
      </c>
      <c r="B6152" s="140" t="s">
        <v>546</v>
      </c>
      <c r="C6152" s="140" t="s">
        <v>182</v>
      </c>
      <c r="D6152" s="140" t="s">
        <v>11</v>
      </c>
      <c r="E6152" s="140" t="s">
        <v>12</v>
      </c>
      <c r="F6152">
        <v>2547</v>
      </c>
      <c r="G6152" s="140" t="s">
        <v>547</v>
      </c>
      <c r="H6152">
        <v>0</v>
      </c>
      <c r="I6152" s="140" t="s">
        <v>62</v>
      </c>
    </row>
    <row r="6153" spans="1:9" hidden="1" x14ac:dyDescent="0.25">
      <c r="A6153">
        <v>2013</v>
      </c>
      <c r="B6153" s="140" t="s">
        <v>546</v>
      </c>
      <c r="C6153" s="140" t="s">
        <v>182</v>
      </c>
      <c r="D6153" s="140" t="s">
        <v>11</v>
      </c>
      <c r="E6153" s="140" t="s">
        <v>12</v>
      </c>
      <c r="F6153">
        <v>2537</v>
      </c>
      <c r="G6153" s="140" t="s">
        <v>547</v>
      </c>
      <c r="H6153">
        <v>0</v>
      </c>
      <c r="I6153" s="140" t="s">
        <v>62</v>
      </c>
    </row>
    <row r="6154" spans="1:9" hidden="1" x14ac:dyDescent="0.25">
      <c r="A6154">
        <v>2014</v>
      </c>
      <c r="B6154" s="140" t="s">
        <v>546</v>
      </c>
      <c r="C6154" s="140" t="s">
        <v>182</v>
      </c>
      <c r="D6154" s="140" t="s">
        <v>11</v>
      </c>
      <c r="E6154" s="140" t="s">
        <v>12</v>
      </c>
      <c r="F6154">
        <v>2539</v>
      </c>
      <c r="G6154" s="140" t="s">
        <v>547</v>
      </c>
      <c r="H6154">
        <v>0</v>
      </c>
      <c r="I6154" s="140" t="s">
        <v>62</v>
      </c>
    </row>
    <row r="6155" spans="1:9" hidden="1" x14ac:dyDescent="0.25">
      <c r="A6155">
        <v>2015</v>
      </c>
      <c r="B6155" s="140" t="s">
        <v>546</v>
      </c>
      <c r="C6155" s="140" t="s">
        <v>182</v>
      </c>
      <c r="D6155" s="140" t="s">
        <v>11</v>
      </c>
      <c r="E6155" s="140" t="s">
        <v>12</v>
      </c>
      <c r="F6155">
        <v>2545</v>
      </c>
      <c r="G6155" s="140" t="s">
        <v>547</v>
      </c>
      <c r="H6155">
        <v>0</v>
      </c>
      <c r="I6155" s="140" t="s">
        <v>62</v>
      </c>
    </row>
    <row r="6156" spans="1:9" hidden="1" x14ac:dyDescent="0.25">
      <c r="A6156">
        <v>2016</v>
      </c>
      <c r="B6156" s="140" t="s">
        <v>546</v>
      </c>
      <c r="C6156" s="140" t="s">
        <v>182</v>
      </c>
      <c r="D6156" s="140" t="s">
        <v>11</v>
      </c>
      <c r="E6156" s="140" t="s">
        <v>12</v>
      </c>
      <c r="F6156">
        <v>2542</v>
      </c>
      <c r="G6156" s="140" t="s">
        <v>547</v>
      </c>
      <c r="H6156">
        <v>0</v>
      </c>
      <c r="I6156" s="140" t="s">
        <v>62</v>
      </c>
    </row>
    <row r="6157" spans="1:9" hidden="1" x14ac:dyDescent="0.25">
      <c r="A6157">
        <v>2017</v>
      </c>
      <c r="B6157" s="140" t="s">
        <v>546</v>
      </c>
      <c r="C6157" s="140" t="s">
        <v>182</v>
      </c>
      <c r="D6157" s="140" t="s">
        <v>11</v>
      </c>
      <c r="E6157" s="140" t="s">
        <v>12</v>
      </c>
      <c r="F6157">
        <v>2557</v>
      </c>
      <c r="G6157" s="140" t="s">
        <v>547</v>
      </c>
      <c r="H6157">
        <v>0</v>
      </c>
      <c r="I6157" s="140" t="s">
        <v>62</v>
      </c>
    </row>
    <row r="6158" spans="1:9" hidden="1" x14ac:dyDescent="0.25">
      <c r="A6158">
        <v>2018</v>
      </c>
      <c r="B6158" s="140" t="s">
        <v>546</v>
      </c>
      <c r="C6158" s="140" t="s">
        <v>182</v>
      </c>
      <c r="D6158" s="140" t="s">
        <v>11</v>
      </c>
      <c r="E6158" s="140" t="s">
        <v>12</v>
      </c>
      <c r="F6158">
        <v>2588</v>
      </c>
      <c r="G6158" s="140" t="s">
        <v>547</v>
      </c>
      <c r="H6158">
        <v>0</v>
      </c>
      <c r="I6158" s="140" t="s">
        <v>62</v>
      </c>
    </row>
    <row r="6159" spans="1:9" hidden="1" x14ac:dyDescent="0.25">
      <c r="A6159">
        <v>2019</v>
      </c>
      <c r="B6159" s="140" t="s">
        <v>546</v>
      </c>
      <c r="C6159" s="140" t="s">
        <v>182</v>
      </c>
      <c r="D6159" s="140" t="s">
        <v>11</v>
      </c>
      <c r="E6159" s="140" t="s">
        <v>12</v>
      </c>
      <c r="F6159">
        <v>2589</v>
      </c>
      <c r="G6159" s="140" t="s">
        <v>547</v>
      </c>
      <c r="H6159">
        <v>0</v>
      </c>
      <c r="I6159" s="140" t="s">
        <v>62</v>
      </c>
    </row>
    <row r="6160" spans="1:9" hidden="1" x14ac:dyDescent="0.25">
      <c r="A6160">
        <v>2020</v>
      </c>
      <c r="B6160" s="140" t="s">
        <v>546</v>
      </c>
      <c r="C6160" s="140" t="s">
        <v>182</v>
      </c>
      <c r="D6160" s="140" t="s">
        <v>11</v>
      </c>
      <c r="E6160" s="140" t="s">
        <v>12</v>
      </c>
      <c r="F6160">
        <v>2581</v>
      </c>
      <c r="G6160" s="140" t="s">
        <v>547</v>
      </c>
      <c r="H6160">
        <v>0</v>
      </c>
      <c r="I6160" s="140" t="s">
        <v>62</v>
      </c>
    </row>
    <row r="6161" spans="1:9" hidden="1" x14ac:dyDescent="0.25">
      <c r="A6161">
        <v>2021</v>
      </c>
      <c r="B6161" s="140" t="s">
        <v>546</v>
      </c>
      <c r="C6161" s="140" t="s">
        <v>182</v>
      </c>
      <c r="D6161" s="140" t="s">
        <v>11</v>
      </c>
      <c r="E6161" s="140" t="s">
        <v>12</v>
      </c>
      <c r="F6161">
        <v>2629</v>
      </c>
      <c r="G6161" s="140" t="s">
        <v>547</v>
      </c>
      <c r="H6161">
        <v>0</v>
      </c>
      <c r="I6161" s="140" t="s">
        <v>62</v>
      </c>
    </row>
    <row r="6162" spans="1:9" hidden="1" x14ac:dyDescent="0.25">
      <c r="A6162">
        <v>2022</v>
      </c>
      <c r="B6162" s="140" t="s">
        <v>546</v>
      </c>
      <c r="C6162" s="140" t="s">
        <v>182</v>
      </c>
      <c r="D6162" s="140" t="s">
        <v>11</v>
      </c>
      <c r="E6162" s="140" t="s">
        <v>12</v>
      </c>
      <c r="F6162">
        <v>2669</v>
      </c>
      <c r="G6162" s="140" t="s">
        <v>547</v>
      </c>
      <c r="H6162">
        <v>0</v>
      </c>
      <c r="I6162" s="140" t="s">
        <v>62</v>
      </c>
    </row>
    <row r="6163" spans="1:9" hidden="1" x14ac:dyDescent="0.25">
      <c r="A6163">
        <v>2023</v>
      </c>
      <c r="B6163" s="140" t="s">
        <v>546</v>
      </c>
      <c r="C6163" s="140" t="s">
        <v>182</v>
      </c>
      <c r="D6163" s="140" t="s">
        <v>11</v>
      </c>
      <c r="E6163" s="140" t="s">
        <v>12</v>
      </c>
      <c r="F6163">
        <v>2682</v>
      </c>
      <c r="G6163" s="140" t="s">
        <v>547</v>
      </c>
      <c r="H6163">
        <v>0</v>
      </c>
      <c r="I6163" s="140" t="s">
        <v>62</v>
      </c>
    </row>
    <row r="6164" spans="1:9" hidden="1" x14ac:dyDescent="0.25">
      <c r="A6164">
        <v>2024</v>
      </c>
      <c r="B6164" s="140" t="s">
        <v>546</v>
      </c>
      <c r="C6164" s="140" t="s">
        <v>182</v>
      </c>
      <c r="D6164" s="140" t="s">
        <v>11</v>
      </c>
      <c r="E6164" s="140" t="s">
        <v>12</v>
      </c>
      <c r="F6164">
        <v>2698</v>
      </c>
      <c r="G6164" s="140" t="s">
        <v>547</v>
      </c>
      <c r="H6164">
        <v>0</v>
      </c>
      <c r="I6164" s="140" t="s">
        <v>62</v>
      </c>
    </row>
    <row r="6165" spans="1:9" hidden="1" x14ac:dyDescent="0.25">
      <c r="A6165">
        <v>2025</v>
      </c>
      <c r="B6165" s="140" t="s">
        <v>546</v>
      </c>
      <c r="C6165" s="140" t="s">
        <v>182</v>
      </c>
      <c r="D6165" s="140" t="s">
        <v>11</v>
      </c>
      <c r="E6165" s="140" t="s">
        <v>12</v>
      </c>
      <c r="F6165">
        <v>2722</v>
      </c>
      <c r="G6165" s="140" t="s">
        <v>547</v>
      </c>
      <c r="H6165">
        <v>0</v>
      </c>
      <c r="I6165" s="140" t="s">
        <v>62</v>
      </c>
    </row>
    <row r="6166" spans="1:9" hidden="1" x14ac:dyDescent="0.25">
      <c r="A6166">
        <v>2026</v>
      </c>
      <c r="B6166" s="140" t="s">
        <v>546</v>
      </c>
      <c r="C6166" s="140" t="s">
        <v>182</v>
      </c>
      <c r="D6166" s="140" t="s">
        <v>11</v>
      </c>
      <c r="E6166" s="140" t="s">
        <v>12</v>
      </c>
      <c r="F6166">
        <v>26</v>
      </c>
      <c r="G6166" s="140" t="s">
        <v>547</v>
      </c>
      <c r="H6166">
        <v>0</v>
      </c>
      <c r="I6166" s="140" t="s">
        <v>62</v>
      </c>
    </row>
    <row r="6167" spans="1:9" hidden="1" x14ac:dyDescent="0.25">
      <c r="A6167">
        <v>2027</v>
      </c>
      <c r="B6167" s="140" t="s">
        <v>546</v>
      </c>
      <c r="C6167" s="140" t="s">
        <v>182</v>
      </c>
      <c r="D6167" s="140" t="s">
        <v>11</v>
      </c>
      <c r="E6167" s="140" t="s">
        <v>12</v>
      </c>
      <c r="F6167">
        <v>27</v>
      </c>
      <c r="G6167" s="140" t="s">
        <v>547</v>
      </c>
      <c r="H6167">
        <v>0</v>
      </c>
      <c r="I6167" s="140" t="s">
        <v>62</v>
      </c>
    </row>
    <row r="6168" spans="1:9" hidden="1" x14ac:dyDescent="0.25">
      <c r="A6168">
        <v>2028</v>
      </c>
      <c r="B6168" s="140" t="s">
        <v>546</v>
      </c>
      <c r="C6168" s="140" t="s">
        <v>182</v>
      </c>
      <c r="D6168" s="140" t="s">
        <v>11</v>
      </c>
      <c r="E6168" s="140" t="s">
        <v>12</v>
      </c>
      <c r="F6168">
        <v>28</v>
      </c>
      <c r="G6168" s="140" t="s">
        <v>547</v>
      </c>
      <c r="H6168">
        <v>0</v>
      </c>
      <c r="I6168" s="140" t="s">
        <v>62</v>
      </c>
    </row>
    <row r="6169" spans="1:9" hidden="1" x14ac:dyDescent="0.25">
      <c r="A6169">
        <v>2029</v>
      </c>
      <c r="B6169" s="140" t="s">
        <v>546</v>
      </c>
      <c r="C6169" s="140" t="s">
        <v>182</v>
      </c>
      <c r="D6169" s="140" t="s">
        <v>11</v>
      </c>
      <c r="E6169" s="140" t="s">
        <v>12</v>
      </c>
      <c r="F6169">
        <v>29</v>
      </c>
      <c r="G6169" s="140" t="s">
        <v>547</v>
      </c>
      <c r="H6169">
        <v>0</v>
      </c>
      <c r="I6169" s="140" t="s">
        <v>62</v>
      </c>
    </row>
    <row r="6170" spans="1:9" hidden="1" x14ac:dyDescent="0.25">
      <c r="A6170">
        <v>2030</v>
      </c>
      <c r="B6170" s="140" t="s">
        <v>546</v>
      </c>
      <c r="C6170" s="140" t="s">
        <v>182</v>
      </c>
      <c r="D6170" s="140" t="s">
        <v>11</v>
      </c>
      <c r="E6170" s="140" t="s">
        <v>12</v>
      </c>
      <c r="F6170">
        <v>30</v>
      </c>
      <c r="G6170" s="140" t="s">
        <v>547</v>
      </c>
      <c r="H6170">
        <v>0</v>
      </c>
      <c r="I6170" s="140" t="s">
        <v>62</v>
      </c>
    </row>
    <row r="6171" spans="1:9" hidden="1" x14ac:dyDescent="0.25">
      <c r="A6171">
        <v>2009</v>
      </c>
      <c r="B6171" s="140" t="s">
        <v>168</v>
      </c>
      <c r="C6171" s="140" t="s">
        <v>166</v>
      </c>
      <c r="D6171" s="140" t="s">
        <v>11</v>
      </c>
      <c r="E6171" s="140" t="s">
        <v>12</v>
      </c>
      <c r="F6171">
        <v>2428</v>
      </c>
      <c r="G6171" s="140" t="s">
        <v>445</v>
      </c>
      <c r="H6171">
        <v>0</v>
      </c>
      <c r="I6171" s="140" t="s">
        <v>62</v>
      </c>
    </row>
    <row r="6172" spans="1:9" hidden="1" x14ac:dyDescent="0.25">
      <c r="A6172">
        <v>2010</v>
      </c>
      <c r="B6172" s="140" t="s">
        <v>168</v>
      </c>
      <c r="C6172" s="140" t="s">
        <v>166</v>
      </c>
      <c r="D6172" s="140" t="s">
        <v>11</v>
      </c>
      <c r="E6172" s="140" t="s">
        <v>12</v>
      </c>
      <c r="F6172">
        <v>2411</v>
      </c>
      <c r="G6172" s="140" t="s">
        <v>445</v>
      </c>
      <c r="H6172">
        <v>0</v>
      </c>
      <c r="I6172" s="140" t="s">
        <v>62</v>
      </c>
    </row>
    <row r="6173" spans="1:9" hidden="1" x14ac:dyDescent="0.25">
      <c r="A6173">
        <v>2011</v>
      </c>
      <c r="B6173" s="140" t="s">
        <v>168</v>
      </c>
      <c r="C6173" s="140" t="s">
        <v>166</v>
      </c>
      <c r="D6173" s="140" t="s">
        <v>11</v>
      </c>
      <c r="E6173" s="140" t="s">
        <v>12</v>
      </c>
      <c r="F6173">
        <v>2437</v>
      </c>
      <c r="G6173" s="140" t="s">
        <v>445</v>
      </c>
      <c r="H6173">
        <v>0</v>
      </c>
      <c r="I6173" s="140" t="s">
        <v>62</v>
      </c>
    </row>
    <row r="6174" spans="1:9" hidden="1" x14ac:dyDescent="0.25">
      <c r="A6174">
        <v>2012</v>
      </c>
      <c r="B6174" s="140" t="s">
        <v>168</v>
      </c>
      <c r="C6174" s="140" t="s">
        <v>166</v>
      </c>
      <c r="D6174" s="140" t="s">
        <v>11</v>
      </c>
      <c r="E6174" s="140" t="s">
        <v>12</v>
      </c>
      <c r="F6174">
        <v>2450</v>
      </c>
      <c r="G6174" s="140" t="s">
        <v>445</v>
      </c>
      <c r="H6174">
        <v>0</v>
      </c>
      <c r="I6174" s="140" t="s">
        <v>62</v>
      </c>
    </row>
    <row r="6175" spans="1:9" hidden="1" x14ac:dyDescent="0.25">
      <c r="A6175">
        <v>2013</v>
      </c>
      <c r="B6175" s="140" t="s">
        <v>168</v>
      </c>
      <c r="C6175" s="140" t="s">
        <v>166</v>
      </c>
      <c r="D6175" s="140" t="s">
        <v>11</v>
      </c>
      <c r="E6175" s="140" t="s">
        <v>12</v>
      </c>
      <c r="F6175">
        <v>2426</v>
      </c>
      <c r="G6175" s="140" t="s">
        <v>445</v>
      </c>
      <c r="H6175">
        <v>0</v>
      </c>
      <c r="I6175" s="140" t="s">
        <v>62</v>
      </c>
    </row>
    <row r="6176" spans="1:9" hidden="1" x14ac:dyDescent="0.25">
      <c r="A6176">
        <v>2014</v>
      </c>
      <c r="B6176" s="140" t="s">
        <v>168</v>
      </c>
      <c r="C6176" s="140" t="s">
        <v>166</v>
      </c>
      <c r="D6176" s="140" t="s">
        <v>11</v>
      </c>
      <c r="E6176" s="140" t="s">
        <v>12</v>
      </c>
      <c r="F6176">
        <v>2419</v>
      </c>
      <c r="G6176" s="140" t="s">
        <v>445</v>
      </c>
      <c r="H6176">
        <v>0</v>
      </c>
      <c r="I6176" s="140" t="s">
        <v>62</v>
      </c>
    </row>
    <row r="6177" spans="1:9" hidden="1" x14ac:dyDescent="0.25">
      <c r="A6177">
        <v>2015</v>
      </c>
      <c r="B6177" s="140" t="s">
        <v>168</v>
      </c>
      <c r="C6177" s="140" t="s">
        <v>166</v>
      </c>
      <c r="D6177" s="140" t="s">
        <v>11</v>
      </c>
      <c r="E6177" s="140" t="s">
        <v>12</v>
      </c>
      <c r="F6177">
        <v>2402</v>
      </c>
      <c r="G6177" s="140" t="s">
        <v>445</v>
      </c>
      <c r="H6177">
        <v>0</v>
      </c>
      <c r="I6177" s="140" t="s">
        <v>62</v>
      </c>
    </row>
    <row r="6178" spans="1:9" hidden="1" x14ac:dyDescent="0.25">
      <c r="A6178">
        <v>2016</v>
      </c>
      <c r="B6178" s="140" t="s">
        <v>168</v>
      </c>
      <c r="C6178" s="140" t="s">
        <v>166</v>
      </c>
      <c r="D6178" s="140" t="s">
        <v>11</v>
      </c>
      <c r="E6178" s="140" t="s">
        <v>12</v>
      </c>
      <c r="F6178">
        <v>2417</v>
      </c>
      <c r="G6178" s="140" t="s">
        <v>445</v>
      </c>
      <c r="H6178">
        <v>0</v>
      </c>
      <c r="I6178" s="140" t="s">
        <v>62</v>
      </c>
    </row>
    <row r="6179" spans="1:9" hidden="1" x14ac:dyDescent="0.25">
      <c r="A6179">
        <v>2017</v>
      </c>
      <c r="B6179" s="140" t="s">
        <v>168</v>
      </c>
      <c r="C6179" s="140" t="s">
        <v>166</v>
      </c>
      <c r="D6179" s="140" t="s">
        <v>11</v>
      </c>
      <c r="E6179" s="140" t="s">
        <v>12</v>
      </c>
      <c r="F6179">
        <v>2441</v>
      </c>
      <c r="G6179" s="140" t="s">
        <v>445</v>
      </c>
      <c r="H6179">
        <v>0</v>
      </c>
      <c r="I6179" s="140" t="s">
        <v>62</v>
      </c>
    </row>
    <row r="6180" spans="1:9" hidden="1" x14ac:dyDescent="0.25">
      <c r="A6180">
        <v>2018</v>
      </c>
      <c r="B6180" s="140" t="s">
        <v>168</v>
      </c>
      <c r="C6180" s="140" t="s">
        <v>166</v>
      </c>
      <c r="D6180" s="140" t="s">
        <v>11</v>
      </c>
      <c r="E6180" s="140" t="s">
        <v>12</v>
      </c>
      <c r="F6180">
        <v>2507</v>
      </c>
      <c r="G6180" s="140" t="s">
        <v>445</v>
      </c>
      <c r="H6180">
        <v>0</v>
      </c>
      <c r="I6180" s="140" t="s">
        <v>62</v>
      </c>
    </row>
    <row r="6181" spans="1:9" hidden="1" x14ac:dyDescent="0.25">
      <c r="A6181">
        <v>2019</v>
      </c>
      <c r="B6181" s="140" t="s">
        <v>168</v>
      </c>
      <c r="C6181" s="140" t="s">
        <v>166</v>
      </c>
      <c r="D6181" s="140" t="s">
        <v>11</v>
      </c>
      <c r="E6181" s="140" t="s">
        <v>12</v>
      </c>
      <c r="F6181">
        <v>2533</v>
      </c>
      <c r="G6181" s="140" t="s">
        <v>445</v>
      </c>
      <c r="H6181">
        <v>0</v>
      </c>
      <c r="I6181" s="140" t="s">
        <v>62</v>
      </c>
    </row>
    <row r="6182" spans="1:9" hidden="1" x14ac:dyDescent="0.25">
      <c r="A6182">
        <v>2020</v>
      </c>
      <c r="B6182" s="140" t="s">
        <v>168</v>
      </c>
      <c r="C6182" s="140" t="s">
        <v>166</v>
      </c>
      <c r="D6182" s="140" t="s">
        <v>11</v>
      </c>
      <c r="E6182" s="140" t="s">
        <v>12</v>
      </c>
      <c r="F6182">
        <v>2495</v>
      </c>
      <c r="G6182" s="140" t="s">
        <v>445</v>
      </c>
      <c r="H6182">
        <v>0</v>
      </c>
      <c r="I6182" s="140" t="s">
        <v>62</v>
      </c>
    </row>
    <row r="6183" spans="1:9" hidden="1" x14ac:dyDescent="0.25">
      <c r="A6183">
        <v>2021</v>
      </c>
      <c r="B6183" s="140" t="s">
        <v>168</v>
      </c>
      <c r="C6183" s="140" t="s">
        <v>166</v>
      </c>
      <c r="D6183" s="140" t="s">
        <v>11</v>
      </c>
      <c r="E6183" s="140" t="s">
        <v>12</v>
      </c>
      <c r="F6183">
        <v>2555</v>
      </c>
      <c r="G6183" s="140" t="s">
        <v>445</v>
      </c>
      <c r="H6183">
        <v>0</v>
      </c>
      <c r="I6183" s="140" t="s">
        <v>62</v>
      </c>
    </row>
    <row r="6184" spans="1:9" hidden="1" x14ac:dyDescent="0.25">
      <c r="A6184">
        <v>2022</v>
      </c>
      <c r="B6184" s="140" t="s">
        <v>168</v>
      </c>
      <c r="C6184" s="140" t="s">
        <v>166</v>
      </c>
      <c r="D6184" s="140" t="s">
        <v>11</v>
      </c>
      <c r="E6184" s="140" t="s">
        <v>12</v>
      </c>
      <c r="F6184">
        <v>2619</v>
      </c>
      <c r="G6184" s="140" t="s">
        <v>445</v>
      </c>
      <c r="H6184">
        <v>0</v>
      </c>
      <c r="I6184" s="140" t="s">
        <v>62</v>
      </c>
    </row>
    <row r="6185" spans="1:9" hidden="1" x14ac:dyDescent="0.25">
      <c r="A6185">
        <v>2023</v>
      </c>
      <c r="B6185" s="140" t="s">
        <v>168</v>
      </c>
      <c r="C6185" s="140" t="s">
        <v>166</v>
      </c>
      <c r="D6185" s="140" t="s">
        <v>11</v>
      </c>
      <c r="E6185" s="140" t="s">
        <v>12</v>
      </c>
      <c r="F6185">
        <v>2628</v>
      </c>
      <c r="G6185" s="140" t="s">
        <v>445</v>
      </c>
      <c r="H6185">
        <v>0</v>
      </c>
      <c r="I6185" s="140" t="s">
        <v>62</v>
      </c>
    </row>
    <row r="6186" spans="1:9" hidden="1" x14ac:dyDescent="0.25">
      <c r="A6186">
        <v>2024</v>
      </c>
      <c r="B6186" s="140" t="s">
        <v>168</v>
      </c>
      <c r="C6186" s="140" t="s">
        <v>166</v>
      </c>
      <c r="D6186" s="140" t="s">
        <v>11</v>
      </c>
      <c r="E6186" s="140" t="s">
        <v>12</v>
      </c>
      <c r="F6186">
        <v>2602</v>
      </c>
      <c r="G6186" s="140" t="s">
        <v>445</v>
      </c>
      <c r="H6186">
        <v>0</v>
      </c>
      <c r="I6186" s="140" t="s">
        <v>62</v>
      </c>
    </row>
    <row r="6187" spans="1:9" hidden="1" x14ac:dyDescent="0.25">
      <c r="A6187">
        <v>2025</v>
      </c>
      <c r="B6187" s="140" t="s">
        <v>168</v>
      </c>
      <c r="C6187" s="140" t="s">
        <v>166</v>
      </c>
      <c r="D6187" s="140" t="s">
        <v>11</v>
      </c>
      <c r="E6187" s="140" t="s">
        <v>12</v>
      </c>
      <c r="F6187">
        <v>2590</v>
      </c>
      <c r="G6187" s="140" t="s">
        <v>445</v>
      </c>
      <c r="H6187">
        <v>0</v>
      </c>
      <c r="I6187" s="140" t="s">
        <v>62</v>
      </c>
    </row>
    <row r="6188" spans="1:9" hidden="1" x14ac:dyDescent="0.25">
      <c r="A6188">
        <v>2026</v>
      </c>
      <c r="B6188" s="140" t="s">
        <v>168</v>
      </c>
      <c r="C6188" s="140" t="s">
        <v>166</v>
      </c>
      <c r="D6188" s="140" t="s">
        <v>11</v>
      </c>
      <c r="E6188" s="140" t="s">
        <v>12</v>
      </c>
      <c r="F6188">
        <v>2578.0760439999999</v>
      </c>
      <c r="G6188" s="140" t="s">
        <v>445</v>
      </c>
      <c r="H6188">
        <v>0</v>
      </c>
      <c r="I6188" s="140" t="s">
        <v>62</v>
      </c>
    </row>
    <row r="6189" spans="1:9" hidden="1" x14ac:dyDescent="0.25">
      <c r="A6189">
        <v>2027</v>
      </c>
      <c r="B6189" s="140" t="s">
        <v>168</v>
      </c>
      <c r="C6189" s="140" t="s">
        <v>166</v>
      </c>
      <c r="D6189" s="140" t="s">
        <v>11</v>
      </c>
      <c r="E6189" s="140" t="s">
        <v>12</v>
      </c>
      <c r="F6189">
        <v>2605.7929880000002</v>
      </c>
      <c r="G6189" s="140" t="s">
        <v>445</v>
      </c>
      <c r="H6189">
        <v>0</v>
      </c>
      <c r="I6189" s="140" t="s">
        <v>62</v>
      </c>
    </row>
    <row r="6190" spans="1:9" hidden="1" x14ac:dyDescent="0.25">
      <c r="A6190">
        <v>2028</v>
      </c>
      <c r="B6190" s="140" t="s">
        <v>168</v>
      </c>
      <c r="C6190" s="140" t="s">
        <v>166</v>
      </c>
      <c r="D6190" s="140" t="s">
        <v>11</v>
      </c>
      <c r="E6190" s="140" t="s">
        <v>12</v>
      </c>
      <c r="F6190">
        <v>2627.0559870000002</v>
      </c>
      <c r="G6190" s="140" t="s">
        <v>445</v>
      </c>
      <c r="H6190">
        <v>0</v>
      </c>
      <c r="I6190" s="140" t="s">
        <v>62</v>
      </c>
    </row>
    <row r="6191" spans="1:9" hidden="1" x14ac:dyDescent="0.25">
      <c r="A6191">
        <v>2029</v>
      </c>
      <c r="B6191" s="140" t="s">
        <v>168</v>
      </c>
      <c r="C6191" s="140" t="s">
        <v>166</v>
      </c>
      <c r="D6191" s="140" t="s">
        <v>11</v>
      </c>
      <c r="E6191" s="140" t="s">
        <v>12</v>
      </c>
      <c r="F6191">
        <v>2646.9033530000002</v>
      </c>
      <c r="G6191" s="140" t="s">
        <v>445</v>
      </c>
      <c r="H6191">
        <v>0</v>
      </c>
      <c r="I6191" s="140" t="s">
        <v>62</v>
      </c>
    </row>
    <row r="6192" spans="1:9" hidden="1" x14ac:dyDescent="0.25">
      <c r="A6192">
        <v>2030</v>
      </c>
      <c r="B6192" s="140" t="s">
        <v>168</v>
      </c>
      <c r="C6192" s="140" t="s">
        <v>166</v>
      </c>
      <c r="D6192" s="140" t="s">
        <v>11</v>
      </c>
      <c r="E6192" s="140" t="s">
        <v>12</v>
      </c>
      <c r="F6192">
        <v>2663.183661</v>
      </c>
      <c r="G6192" s="140" t="s">
        <v>445</v>
      </c>
      <c r="H6192">
        <v>0</v>
      </c>
      <c r="I6192" s="140" t="s">
        <v>62</v>
      </c>
    </row>
    <row r="6193" spans="1:9" hidden="1" x14ac:dyDescent="0.25">
      <c r="A6193">
        <v>2009</v>
      </c>
      <c r="B6193" s="140" t="s">
        <v>165</v>
      </c>
      <c r="C6193" s="140" t="s">
        <v>166</v>
      </c>
      <c r="D6193" s="140" t="s">
        <v>11</v>
      </c>
      <c r="E6193" s="140" t="s">
        <v>12</v>
      </c>
      <c r="F6193">
        <v>2394</v>
      </c>
      <c r="G6193" s="140" t="s">
        <v>167</v>
      </c>
      <c r="H6193">
        <v>0</v>
      </c>
      <c r="I6193" s="140" t="s">
        <v>62</v>
      </c>
    </row>
    <row r="6194" spans="1:9" hidden="1" x14ac:dyDescent="0.25">
      <c r="A6194">
        <v>2010</v>
      </c>
      <c r="B6194" s="140" t="s">
        <v>165</v>
      </c>
      <c r="C6194" s="140" t="s">
        <v>166</v>
      </c>
      <c r="D6194" s="140" t="s">
        <v>11</v>
      </c>
      <c r="E6194" s="140" t="s">
        <v>12</v>
      </c>
      <c r="F6194">
        <v>2375</v>
      </c>
      <c r="G6194" s="140" t="s">
        <v>167</v>
      </c>
      <c r="H6194">
        <v>0</v>
      </c>
      <c r="I6194" s="140" t="s">
        <v>62</v>
      </c>
    </row>
    <row r="6195" spans="1:9" hidden="1" x14ac:dyDescent="0.25">
      <c r="A6195">
        <v>2011</v>
      </c>
      <c r="B6195" s="140" t="s">
        <v>165</v>
      </c>
      <c r="C6195" s="140" t="s">
        <v>166</v>
      </c>
      <c r="D6195" s="140" t="s">
        <v>11</v>
      </c>
      <c r="E6195" s="140" t="s">
        <v>12</v>
      </c>
      <c r="F6195">
        <v>2394</v>
      </c>
      <c r="G6195" s="140" t="s">
        <v>167</v>
      </c>
      <c r="H6195">
        <v>0</v>
      </c>
      <c r="I6195" s="140" t="s">
        <v>62</v>
      </c>
    </row>
    <row r="6196" spans="1:9" hidden="1" x14ac:dyDescent="0.25">
      <c r="A6196">
        <v>2012</v>
      </c>
      <c r="B6196" s="140" t="s">
        <v>165</v>
      </c>
      <c r="C6196" s="140" t="s">
        <v>166</v>
      </c>
      <c r="D6196" s="140" t="s">
        <v>11</v>
      </c>
      <c r="E6196" s="140" t="s">
        <v>12</v>
      </c>
      <c r="F6196">
        <v>2399</v>
      </c>
      <c r="G6196" s="140" t="s">
        <v>167</v>
      </c>
      <c r="H6196">
        <v>0</v>
      </c>
      <c r="I6196" s="140" t="s">
        <v>62</v>
      </c>
    </row>
    <row r="6197" spans="1:9" hidden="1" x14ac:dyDescent="0.25">
      <c r="A6197">
        <v>2013</v>
      </c>
      <c r="B6197" s="140" t="s">
        <v>165</v>
      </c>
      <c r="C6197" s="140" t="s">
        <v>166</v>
      </c>
      <c r="D6197" s="140" t="s">
        <v>11</v>
      </c>
      <c r="E6197" s="140" t="s">
        <v>12</v>
      </c>
      <c r="F6197">
        <v>2375</v>
      </c>
      <c r="G6197" s="140" t="s">
        <v>167</v>
      </c>
      <c r="H6197">
        <v>0</v>
      </c>
      <c r="I6197" s="140" t="s">
        <v>62</v>
      </c>
    </row>
    <row r="6198" spans="1:9" hidden="1" x14ac:dyDescent="0.25">
      <c r="A6198">
        <v>2014</v>
      </c>
      <c r="B6198" s="140" t="s">
        <v>165</v>
      </c>
      <c r="C6198" s="140" t="s">
        <v>166</v>
      </c>
      <c r="D6198" s="140" t="s">
        <v>11</v>
      </c>
      <c r="E6198" s="140" t="s">
        <v>12</v>
      </c>
      <c r="F6198">
        <v>2359</v>
      </c>
      <c r="G6198" s="140" t="s">
        <v>167</v>
      </c>
      <c r="H6198">
        <v>0</v>
      </c>
      <c r="I6198" s="140" t="s">
        <v>62</v>
      </c>
    </row>
    <row r="6199" spans="1:9" hidden="1" x14ac:dyDescent="0.25">
      <c r="A6199">
        <v>2015</v>
      </c>
      <c r="B6199" s="140" t="s">
        <v>165</v>
      </c>
      <c r="C6199" s="140" t="s">
        <v>166</v>
      </c>
      <c r="D6199" s="140" t="s">
        <v>11</v>
      </c>
      <c r="E6199" s="140" t="s">
        <v>12</v>
      </c>
      <c r="F6199">
        <v>2334</v>
      </c>
      <c r="G6199" s="140" t="s">
        <v>167</v>
      </c>
      <c r="H6199">
        <v>0</v>
      </c>
      <c r="I6199" s="140" t="s">
        <v>62</v>
      </c>
    </row>
    <row r="6200" spans="1:9" hidden="1" x14ac:dyDescent="0.25">
      <c r="A6200">
        <v>2016</v>
      </c>
      <c r="B6200" s="140" t="s">
        <v>165</v>
      </c>
      <c r="C6200" s="140" t="s">
        <v>166</v>
      </c>
      <c r="D6200" s="140" t="s">
        <v>11</v>
      </c>
      <c r="E6200" s="140" t="s">
        <v>12</v>
      </c>
      <c r="F6200">
        <v>2350</v>
      </c>
      <c r="G6200" s="140" t="s">
        <v>167</v>
      </c>
      <c r="H6200">
        <v>0</v>
      </c>
      <c r="I6200" s="140" t="s">
        <v>62</v>
      </c>
    </row>
    <row r="6201" spans="1:9" hidden="1" x14ac:dyDescent="0.25">
      <c r="A6201">
        <v>2017</v>
      </c>
      <c r="B6201" s="140" t="s">
        <v>165</v>
      </c>
      <c r="C6201" s="140" t="s">
        <v>166</v>
      </c>
      <c r="D6201" s="140" t="s">
        <v>11</v>
      </c>
      <c r="E6201" s="140" t="s">
        <v>12</v>
      </c>
      <c r="F6201">
        <v>2372</v>
      </c>
      <c r="G6201" s="140" t="s">
        <v>167</v>
      </c>
      <c r="H6201">
        <v>0</v>
      </c>
      <c r="I6201" s="140" t="s">
        <v>62</v>
      </c>
    </row>
    <row r="6202" spans="1:9" hidden="1" x14ac:dyDescent="0.25">
      <c r="A6202">
        <v>2018</v>
      </c>
      <c r="B6202" s="140" t="s">
        <v>165</v>
      </c>
      <c r="C6202" s="140" t="s">
        <v>166</v>
      </c>
      <c r="D6202" s="140" t="s">
        <v>11</v>
      </c>
      <c r="E6202" s="140" t="s">
        <v>12</v>
      </c>
      <c r="F6202">
        <v>2433</v>
      </c>
      <c r="G6202" s="140" t="s">
        <v>167</v>
      </c>
      <c r="H6202">
        <v>0</v>
      </c>
      <c r="I6202" s="140" t="s">
        <v>62</v>
      </c>
    </row>
    <row r="6203" spans="1:9" hidden="1" x14ac:dyDescent="0.25">
      <c r="A6203">
        <v>2019</v>
      </c>
      <c r="B6203" s="140" t="s">
        <v>165</v>
      </c>
      <c r="C6203" s="140" t="s">
        <v>166</v>
      </c>
      <c r="D6203" s="140" t="s">
        <v>11</v>
      </c>
      <c r="E6203" s="140" t="s">
        <v>12</v>
      </c>
      <c r="F6203">
        <v>2455</v>
      </c>
      <c r="G6203" s="140" t="s">
        <v>167</v>
      </c>
      <c r="H6203">
        <v>0</v>
      </c>
      <c r="I6203" s="140" t="s">
        <v>62</v>
      </c>
    </row>
    <row r="6204" spans="1:9" hidden="1" x14ac:dyDescent="0.25">
      <c r="A6204">
        <v>2020</v>
      </c>
      <c r="B6204" s="140" t="s">
        <v>165</v>
      </c>
      <c r="C6204" s="140" t="s">
        <v>166</v>
      </c>
      <c r="D6204" s="140" t="s">
        <v>11</v>
      </c>
      <c r="E6204" s="140" t="s">
        <v>12</v>
      </c>
      <c r="F6204">
        <v>2420</v>
      </c>
      <c r="G6204" s="140" t="s">
        <v>167</v>
      </c>
      <c r="H6204">
        <v>0</v>
      </c>
      <c r="I6204" s="140" t="s">
        <v>62</v>
      </c>
    </row>
    <row r="6205" spans="1:9" hidden="1" x14ac:dyDescent="0.25">
      <c r="A6205">
        <v>2021</v>
      </c>
      <c r="B6205" s="140" t="s">
        <v>165</v>
      </c>
      <c r="C6205" s="140" t="s">
        <v>166</v>
      </c>
      <c r="D6205" s="140" t="s">
        <v>11</v>
      </c>
      <c r="E6205" s="140" t="s">
        <v>12</v>
      </c>
      <c r="F6205">
        <v>2470</v>
      </c>
      <c r="G6205" s="140" t="s">
        <v>167</v>
      </c>
      <c r="H6205">
        <v>0</v>
      </c>
      <c r="I6205" s="140" t="s">
        <v>62</v>
      </c>
    </row>
    <row r="6206" spans="1:9" hidden="1" x14ac:dyDescent="0.25">
      <c r="A6206">
        <v>2022</v>
      </c>
      <c r="B6206" s="140" t="s">
        <v>165</v>
      </c>
      <c r="C6206" s="140" t="s">
        <v>166</v>
      </c>
      <c r="D6206" s="140" t="s">
        <v>11</v>
      </c>
      <c r="E6206" s="140" t="s">
        <v>12</v>
      </c>
      <c r="F6206">
        <v>2526</v>
      </c>
      <c r="G6206" s="140" t="s">
        <v>167</v>
      </c>
      <c r="H6206">
        <v>0</v>
      </c>
      <c r="I6206" s="140" t="s">
        <v>62</v>
      </c>
    </row>
    <row r="6207" spans="1:9" hidden="1" x14ac:dyDescent="0.25">
      <c r="A6207">
        <v>2023</v>
      </c>
      <c r="B6207" s="140" t="s">
        <v>165</v>
      </c>
      <c r="C6207" s="140" t="s">
        <v>166</v>
      </c>
      <c r="D6207" s="140" t="s">
        <v>11</v>
      </c>
      <c r="E6207" s="140" t="s">
        <v>12</v>
      </c>
      <c r="F6207">
        <v>2532</v>
      </c>
      <c r="G6207" s="140" t="s">
        <v>167</v>
      </c>
      <c r="H6207">
        <v>0</v>
      </c>
      <c r="I6207" s="140" t="s">
        <v>62</v>
      </c>
    </row>
    <row r="6208" spans="1:9" hidden="1" x14ac:dyDescent="0.25">
      <c r="A6208">
        <v>2024</v>
      </c>
      <c r="B6208" s="140" t="s">
        <v>165</v>
      </c>
      <c r="C6208" s="140" t="s">
        <v>166</v>
      </c>
      <c r="D6208" s="140" t="s">
        <v>11</v>
      </c>
      <c r="E6208" s="140" t="s">
        <v>12</v>
      </c>
      <c r="F6208">
        <v>2504</v>
      </c>
      <c r="G6208" s="140" t="s">
        <v>167</v>
      </c>
      <c r="H6208">
        <v>0</v>
      </c>
      <c r="I6208" s="140" t="s">
        <v>62</v>
      </c>
    </row>
    <row r="6209" spans="1:9" hidden="1" x14ac:dyDescent="0.25">
      <c r="A6209">
        <v>2025</v>
      </c>
      <c r="B6209" s="140" t="s">
        <v>165</v>
      </c>
      <c r="C6209" s="140" t="s">
        <v>166</v>
      </c>
      <c r="D6209" s="140" t="s">
        <v>11</v>
      </c>
      <c r="E6209" s="140" t="s">
        <v>12</v>
      </c>
      <c r="F6209">
        <v>2495</v>
      </c>
      <c r="G6209" s="140" t="s">
        <v>167</v>
      </c>
      <c r="H6209">
        <v>0</v>
      </c>
      <c r="I6209" s="140" t="s">
        <v>62</v>
      </c>
    </row>
    <row r="6210" spans="1:9" hidden="1" x14ac:dyDescent="0.25">
      <c r="A6210">
        <v>2026</v>
      </c>
      <c r="B6210" s="140" t="s">
        <v>165</v>
      </c>
      <c r="C6210" s="140" t="s">
        <v>166</v>
      </c>
      <c r="D6210" s="140" t="s">
        <v>11</v>
      </c>
      <c r="E6210" s="140" t="s">
        <v>12</v>
      </c>
      <c r="F6210">
        <v>2483.5134090000001</v>
      </c>
      <c r="G6210" s="140" t="s">
        <v>167</v>
      </c>
      <c r="H6210">
        <v>0</v>
      </c>
      <c r="I6210" s="140" t="s">
        <v>62</v>
      </c>
    </row>
    <row r="6211" spans="1:9" hidden="1" x14ac:dyDescent="0.25">
      <c r="A6211">
        <v>2027</v>
      </c>
      <c r="B6211" s="140" t="s">
        <v>165</v>
      </c>
      <c r="C6211" s="140" t="s">
        <v>166</v>
      </c>
      <c r="D6211" s="140" t="s">
        <v>11</v>
      </c>
      <c r="E6211" s="140" t="s">
        <v>12</v>
      </c>
      <c r="F6211">
        <v>2510.2137090000001</v>
      </c>
      <c r="G6211" s="140" t="s">
        <v>167</v>
      </c>
      <c r="H6211">
        <v>0</v>
      </c>
      <c r="I6211" s="140" t="s">
        <v>62</v>
      </c>
    </row>
    <row r="6212" spans="1:9" hidden="1" x14ac:dyDescent="0.25">
      <c r="A6212">
        <v>2028</v>
      </c>
      <c r="B6212" s="140" t="s">
        <v>165</v>
      </c>
      <c r="C6212" s="140" t="s">
        <v>166</v>
      </c>
      <c r="D6212" s="140" t="s">
        <v>11</v>
      </c>
      <c r="E6212" s="140" t="s">
        <v>12</v>
      </c>
      <c r="F6212">
        <v>2530.69679</v>
      </c>
      <c r="G6212" s="140" t="s">
        <v>167</v>
      </c>
      <c r="H6212">
        <v>0</v>
      </c>
      <c r="I6212" s="140" t="s">
        <v>62</v>
      </c>
    </row>
    <row r="6213" spans="1:9" hidden="1" x14ac:dyDescent="0.25">
      <c r="A6213">
        <v>2029</v>
      </c>
      <c r="B6213" s="140" t="s">
        <v>165</v>
      </c>
      <c r="C6213" s="140" t="s">
        <v>166</v>
      </c>
      <c r="D6213" s="140" t="s">
        <v>11</v>
      </c>
      <c r="E6213" s="140" t="s">
        <v>12</v>
      </c>
      <c r="F6213">
        <v>2549.8161639999998</v>
      </c>
      <c r="G6213" s="140" t="s">
        <v>167</v>
      </c>
      <c r="H6213">
        <v>0</v>
      </c>
      <c r="I6213" s="140" t="s">
        <v>62</v>
      </c>
    </row>
    <row r="6214" spans="1:9" hidden="1" x14ac:dyDescent="0.25">
      <c r="A6214">
        <v>2030</v>
      </c>
      <c r="B6214" s="140" t="s">
        <v>165</v>
      </c>
      <c r="C6214" s="140" t="s">
        <v>166</v>
      </c>
      <c r="D6214" s="140" t="s">
        <v>11</v>
      </c>
      <c r="E6214" s="140" t="s">
        <v>12</v>
      </c>
      <c r="F6214">
        <v>2565.4993180000001</v>
      </c>
      <c r="G6214" s="140" t="s">
        <v>167</v>
      </c>
      <c r="H6214">
        <v>0</v>
      </c>
      <c r="I6214" s="140" t="s">
        <v>62</v>
      </c>
    </row>
    <row r="6215" spans="1:9" hidden="1" x14ac:dyDescent="0.25">
      <c r="A6215">
        <v>2009</v>
      </c>
      <c r="B6215" s="140" t="s">
        <v>548</v>
      </c>
      <c r="C6215" s="140" t="s">
        <v>166</v>
      </c>
      <c r="D6215" s="140" t="s">
        <v>11</v>
      </c>
      <c r="E6215" s="140" t="s">
        <v>12</v>
      </c>
      <c r="F6215">
        <v>2325</v>
      </c>
      <c r="G6215" s="140" t="s">
        <v>549</v>
      </c>
      <c r="H6215">
        <v>0</v>
      </c>
      <c r="I6215" s="140" t="s">
        <v>62</v>
      </c>
    </row>
    <row r="6216" spans="1:9" hidden="1" x14ac:dyDescent="0.25">
      <c r="A6216">
        <v>2010</v>
      </c>
      <c r="B6216" s="140" t="s">
        <v>548</v>
      </c>
      <c r="C6216" s="140" t="s">
        <v>166</v>
      </c>
      <c r="D6216" s="140" t="s">
        <v>11</v>
      </c>
      <c r="E6216" s="140" t="s">
        <v>12</v>
      </c>
      <c r="F6216">
        <v>2309</v>
      </c>
      <c r="G6216" s="140" t="s">
        <v>549</v>
      </c>
      <c r="H6216">
        <v>0</v>
      </c>
      <c r="I6216" s="140" t="s">
        <v>62</v>
      </c>
    </row>
    <row r="6217" spans="1:9" hidden="1" x14ac:dyDescent="0.25">
      <c r="A6217">
        <v>2011</v>
      </c>
      <c r="B6217" s="140" t="s">
        <v>548</v>
      </c>
      <c r="C6217" s="140" t="s">
        <v>166</v>
      </c>
      <c r="D6217" s="140" t="s">
        <v>11</v>
      </c>
      <c r="E6217" s="140" t="s">
        <v>12</v>
      </c>
      <c r="F6217">
        <v>2326</v>
      </c>
      <c r="G6217" s="140" t="s">
        <v>549</v>
      </c>
      <c r="H6217">
        <v>0</v>
      </c>
      <c r="I6217" s="140" t="s">
        <v>62</v>
      </c>
    </row>
    <row r="6218" spans="1:9" hidden="1" x14ac:dyDescent="0.25">
      <c r="A6218">
        <v>2012</v>
      </c>
      <c r="B6218" s="140" t="s">
        <v>548</v>
      </c>
      <c r="C6218" s="140" t="s">
        <v>166</v>
      </c>
      <c r="D6218" s="140" t="s">
        <v>11</v>
      </c>
      <c r="E6218" s="140" t="s">
        <v>12</v>
      </c>
      <c r="F6218">
        <v>2329</v>
      </c>
      <c r="G6218" s="140" t="s">
        <v>549</v>
      </c>
      <c r="H6218">
        <v>0</v>
      </c>
      <c r="I6218" s="140" t="s">
        <v>62</v>
      </c>
    </row>
    <row r="6219" spans="1:9" hidden="1" x14ac:dyDescent="0.25">
      <c r="A6219">
        <v>2013</v>
      </c>
      <c r="B6219" s="140" t="s">
        <v>548</v>
      </c>
      <c r="C6219" s="140" t="s">
        <v>166</v>
      </c>
      <c r="D6219" s="140" t="s">
        <v>11</v>
      </c>
      <c r="E6219" s="140" t="s">
        <v>12</v>
      </c>
      <c r="F6219">
        <v>2306</v>
      </c>
      <c r="G6219" s="140" t="s">
        <v>549</v>
      </c>
      <c r="H6219">
        <v>0</v>
      </c>
      <c r="I6219" s="140" t="s">
        <v>62</v>
      </c>
    </row>
    <row r="6220" spans="1:9" hidden="1" x14ac:dyDescent="0.25">
      <c r="A6220">
        <v>2014</v>
      </c>
      <c r="B6220" s="140" t="s">
        <v>548</v>
      </c>
      <c r="C6220" s="140" t="s">
        <v>166</v>
      </c>
      <c r="D6220" s="140" t="s">
        <v>11</v>
      </c>
      <c r="E6220" s="140" t="s">
        <v>12</v>
      </c>
      <c r="F6220">
        <v>2289</v>
      </c>
      <c r="G6220" s="140" t="s">
        <v>549</v>
      </c>
      <c r="H6220">
        <v>0</v>
      </c>
      <c r="I6220" s="140" t="s">
        <v>62</v>
      </c>
    </row>
    <row r="6221" spans="1:9" hidden="1" x14ac:dyDescent="0.25">
      <c r="A6221">
        <v>2015</v>
      </c>
      <c r="B6221" s="140" t="s">
        <v>548</v>
      </c>
      <c r="C6221" s="140" t="s">
        <v>166</v>
      </c>
      <c r="D6221" s="140" t="s">
        <v>11</v>
      </c>
      <c r="E6221" s="140" t="s">
        <v>12</v>
      </c>
      <c r="F6221">
        <v>2269</v>
      </c>
      <c r="G6221" s="140" t="s">
        <v>549</v>
      </c>
      <c r="H6221">
        <v>0</v>
      </c>
      <c r="I6221" s="140" t="s">
        <v>62</v>
      </c>
    </row>
    <row r="6222" spans="1:9" hidden="1" x14ac:dyDescent="0.25">
      <c r="A6222">
        <v>2016</v>
      </c>
      <c r="B6222" s="140" t="s">
        <v>548</v>
      </c>
      <c r="C6222" s="140" t="s">
        <v>166</v>
      </c>
      <c r="D6222" s="140" t="s">
        <v>11</v>
      </c>
      <c r="E6222" s="140" t="s">
        <v>12</v>
      </c>
      <c r="F6222">
        <v>2284</v>
      </c>
      <c r="G6222" s="140" t="s">
        <v>549</v>
      </c>
      <c r="H6222">
        <v>0</v>
      </c>
      <c r="I6222" s="140" t="s">
        <v>62</v>
      </c>
    </row>
    <row r="6223" spans="1:9" hidden="1" x14ac:dyDescent="0.25">
      <c r="A6223">
        <v>2017</v>
      </c>
      <c r="B6223" s="140" t="s">
        <v>548</v>
      </c>
      <c r="C6223" s="140" t="s">
        <v>166</v>
      </c>
      <c r="D6223" s="140" t="s">
        <v>11</v>
      </c>
      <c r="E6223" s="140" t="s">
        <v>12</v>
      </c>
      <c r="F6223">
        <v>2303</v>
      </c>
      <c r="G6223" s="140" t="s">
        <v>549</v>
      </c>
      <c r="H6223">
        <v>0</v>
      </c>
      <c r="I6223" s="140" t="s">
        <v>62</v>
      </c>
    </row>
    <row r="6224" spans="1:9" hidden="1" x14ac:dyDescent="0.25">
      <c r="A6224">
        <v>2018</v>
      </c>
      <c r="B6224" s="140" t="s">
        <v>548</v>
      </c>
      <c r="C6224" s="140" t="s">
        <v>166</v>
      </c>
      <c r="D6224" s="140" t="s">
        <v>11</v>
      </c>
      <c r="E6224" s="140" t="s">
        <v>12</v>
      </c>
      <c r="F6224">
        <v>2361</v>
      </c>
      <c r="G6224" s="140" t="s">
        <v>549</v>
      </c>
      <c r="H6224">
        <v>0</v>
      </c>
      <c r="I6224" s="140" t="s">
        <v>62</v>
      </c>
    </row>
    <row r="6225" spans="1:9" hidden="1" x14ac:dyDescent="0.25">
      <c r="A6225">
        <v>2019</v>
      </c>
      <c r="B6225" s="140" t="s">
        <v>548</v>
      </c>
      <c r="C6225" s="140" t="s">
        <v>166</v>
      </c>
      <c r="D6225" s="140" t="s">
        <v>11</v>
      </c>
      <c r="E6225" s="140" t="s">
        <v>12</v>
      </c>
      <c r="F6225">
        <v>2378</v>
      </c>
      <c r="G6225" s="140" t="s">
        <v>549</v>
      </c>
      <c r="H6225">
        <v>0</v>
      </c>
      <c r="I6225" s="140" t="s">
        <v>62</v>
      </c>
    </row>
    <row r="6226" spans="1:9" hidden="1" x14ac:dyDescent="0.25">
      <c r="A6226">
        <v>2020</v>
      </c>
      <c r="B6226" s="140" t="s">
        <v>548</v>
      </c>
      <c r="C6226" s="140" t="s">
        <v>166</v>
      </c>
      <c r="D6226" s="140" t="s">
        <v>11</v>
      </c>
      <c r="E6226" s="140" t="s">
        <v>12</v>
      </c>
      <c r="F6226">
        <v>2350</v>
      </c>
      <c r="G6226" s="140" t="s">
        <v>549</v>
      </c>
      <c r="H6226">
        <v>0</v>
      </c>
      <c r="I6226" s="140" t="s">
        <v>62</v>
      </c>
    </row>
    <row r="6227" spans="1:9" hidden="1" x14ac:dyDescent="0.25">
      <c r="A6227">
        <v>2021</v>
      </c>
      <c r="B6227" s="140" t="s">
        <v>548</v>
      </c>
      <c r="C6227" s="140" t="s">
        <v>166</v>
      </c>
      <c r="D6227" s="140" t="s">
        <v>11</v>
      </c>
      <c r="E6227" s="140" t="s">
        <v>12</v>
      </c>
      <c r="F6227">
        <v>2388</v>
      </c>
      <c r="G6227" s="140" t="s">
        <v>549</v>
      </c>
      <c r="H6227">
        <v>0</v>
      </c>
      <c r="I6227" s="140" t="s">
        <v>62</v>
      </c>
    </row>
    <row r="6228" spans="1:9" hidden="1" x14ac:dyDescent="0.25">
      <c r="A6228">
        <v>2022</v>
      </c>
      <c r="B6228" s="140" t="s">
        <v>548</v>
      </c>
      <c r="C6228" s="140" t="s">
        <v>166</v>
      </c>
      <c r="D6228" s="140" t="s">
        <v>11</v>
      </c>
      <c r="E6228" s="140" t="s">
        <v>12</v>
      </c>
      <c r="F6228">
        <v>2435</v>
      </c>
      <c r="G6228" s="140" t="s">
        <v>549</v>
      </c>
      <c r="H6228">
        <v>0</v>
      </c>
      <c r="I6228" s="140" t="s">
        <v>62</v>
      </c>
    </row>
    <row r="6229" spans="1:9" hidden="1" x14ac:dyDescent="0.25">
      <c r="A6229">
        <v>2023</v>
      </c>
      <c r="B6229" s="140" t="s">
        <v>548</v>
      </c>
      <c r="C6229" s="140" t="s">
        <v>166</v>
      </c>
      <c r="D6229" s="140" t="s">
        <v>11</v>
      </c>
      <c r="E6229" s="140" t="s">
        <v>12</v>
      </c>
      <c r="F6229">
        <v>2440</v>
      </c>
      <c r="G6229" s="140" t="s">
        <v>549</v>
      </c>
      <c r="H6229">
        <v>0</v>
      </c>
      <c r="I6229" s="140" t="s">
        <v>62</v>
      </c>
    </row>
    <row r="6230" spans="1:9" hidden="1" x14ac:dyDescent="0.25">
      <c r="A6230">
        <v>2024</v>
      </c>
      <c r="B6230" s="140" t="s">
        <v>548</v>
      </c>
      <c r="C6230" s="140" t="s">
        <v>166</v>
      </c>
      <c r="D6230" s="140" t="s">
        <v>11</v>
      </c>
      <c r="E6230" s="140" t="s">
        <v>12</v>
      </c>
      <c r="F6230">
        <v>2421</v>
      </c>
      <c r="G6230" s="140" t="s">
        <v>549</v>
      </c>
      <c r="H6230">
        <v>0</v>
      </c>
      <c r="I6230" s="140" t="s">
        <v>62</v>
      </c>
    </row>
    <row r="6231" spans="1:9" hidden="1" x14ac:dyDescent="0.25">
      <c r="A6231">
        <v>2025</v>
      </c>
      <c r="B6231" s="140" t="s">
        <v>548</v>
      </c>
      <c r="C6231" s="140" t="s">
        <v>166</v>
      </c>
      <c r="D6231" s="140" t="s">
        <v>11</v>
      </c>
      <c r="E6231" s="140" t="s">
        <v>12</v>
      </c>
      <c r="F6231">
        <v>2410</v>
      </c>
      <c r="G6231" s="140" t="s">
        <v>549</v>
      </c>
      <c r="H6231">
        <v>0</v>
      </c>
      <c r="I6231" s="140" t="s">
        <v>62</v>
      </c>
    </row>
    <row r="6232" spans="1:9" hidden="1" x14ac:dyDescent="0.25">
      <c r="A6232">
        <v>2026</v>
      </c>
      <c r="B6232" s="140" t="s">
        <v>548</v>
      </c>
      <c r="C6232" s="140" t="s">
        <v>166</v>
      </c>
      <c r="D6232" s="140" t="s">
        <v>11</v>
      </c>
      <c r="E6232" s="140" t="s">
        <v>12</v>
      </c>
      <c r="F6232">
        <v>6</v>
      </c>
      <c r="G6232" s="140" t="s">
        <v>549</v>
      </c>
      <c r="H6232">
        <v>0</v>
      </c>
      <c r="I6232" s="140" t="s">
        <v>62</v>
      </c>
    </row>
    <row r="6233" spans="1:9" hidden="1" x14ac:dyDescent="0.25">
      <c r="A6233">
        <v>2027</v>
      </c>
      <c r="B6233" s="140" t="s">
        <v>548</v>
      </c>
      <c r="C6233" s="140" t="s">
        <v>166</v>
      </c>
      <c r="D6233" s="140" t="s">
        <v>11</v>
      </c>
      <c r="E6233" s="140" t="s">
        <v>12</v>
      </c>
      <c r="F6233">
        <v>7</v>
      </c>
      <c r="G6233" s="140" t="s">
        <v>549</v>
      </c>
      <c r="H6233">
        <v>0</v>
      </c>
      <c r="I6233" s="140" t="s">
        <v>62</v>
      </c>
    </row>
    <row r="6234" spans="1:9" hidden="1" x14ac:dyDescent="0.25">
      <c r="A6234">
        <v>2028</v>
      </c>
      <c r="B6234" s="140" t="s">
        <v>548</v>
      </c>
      <c r="C6234" s="140" t="s">
        <v>166</v>
      </c>
      <c r="D6234" s="140" t="s">
        <v>11</v>
      </c>
      <c r="E6234" s="140" t="s">
        <v>12</v>
      </c>
      <c r="F6234">
        <v>8</v>
      </c>
      <c r="G6234" s="140" t="s">
        <v>549</v>
      </c>
      <c r="H6234">
        <v>0</v>
      </c>
      <c r="I6234" s="140" t="s">
        <v>62</v>
      </c>
    </row>
    <row r="6235" spans="1:9" hidden="1" x14ac:dyDescent="0.25">
      <c r="A6235">
        <v>2029</v>
      </c>
      <c r="B6235" s="140" t="s">
        <v>548</v>
      </c>
      <c r="C6235" s="140" t="s">
        <v>166</v>
      </c>
      <c r="D6235" s="140" t="s">
        <v>11</v>
      </c>
      <c r="E6235" s="140" t="s">
        <v>12</v>
      </c>
      <c r="F6235">
        <v>9</v>
      </c>
      <c r="G6235" s="140" t="s">
        <v>549</v>
      </c>
      <c r="H6235">
        <v>0</v>
      </c>
      <c r="I6235" s="140" t="s">
        <v>62</v>
      </c>
    </row>
    <row r="6236" spans="1:9" hidden="1" x14ac:dyDescent="0.25">
      <c r="A6236">
        <v>2030</v>
      </c>
      <c r="B6236" s="140" t="s">
        <v>548</v>
      </c>
      <c r="C6236" s="140" t="s">
        <v>166</v>
      </c>
      <c r="D6236" s="140" t="s">
        <v>11</v>
      </c>
      <c r="E6236" s="140" t="s">
        <v>12</v>
      </c>
      <c r="F6236">
        <v>10</v>
      </c>
      <c r="G6236" s="140" t="s">
        <v>549</v>
      </c>
      <c r="H6236">
        <v>0</v>
      </c>
      <c r="I6236" s="140" t="s">
        <v>62</v>
      </c>
    </row>
    <row r="6237" spans="1:9" hidden="1" x14ac:dyDescent="0.25">
      <c r="A6237">
        <v>2009</v>
      </c>
      <c r="B6237" s="140" t="s">
        <v>550</v>
      </c>
      <c r="C6237" s="140" t="s">
        <v>166</v>
      </c>
      <c r="D6237" s="140" t="s">
        <v>11</v>
      </c>
      <c r="E6237" s="140" t="s">
        <v>12</v>
      </c>
      <c r="F6237">
        <v>2351</v>
      </c>
      <c r="G6237" s="140" t="s">
        <v>551</v>
      </c>
      <c r="H6237">
        <v>0</v>
      </c>
      <c r="I6237" s="140" t="s">
        <v>62</v>
      </c>
    </row>
    <row r="6238" spans="1:9" hidden="1" x14ac:dyDescent="0.25">
      <c r="A6238">
        <v>2010</v>
      </c>
      <c r="B6238" s="140" t="s">
        <v>550</v>
      </c>
      <c r="C6238" s="140" t="s">
        <v>166</v>
      </c>
      <c r="D6238" s="140" t="s">
        <v>11</v>
      </c>
      <c r="E6238" s="140" t="s">
        <v>12</v>
      </c>
      <c r="F6238">
        <v>2336</v>
      </c>
      <c r="G6238" s="140" t="s">
        <v>551</v>
      </c>
      <c r="H6238">
        <v>0</v>
      </c>
      <c r="I6238" s="140" t="s">
        <v>62</v>
      </c>
    </row>
    <row r="6239" spans="1:9" hidden="1" x14ac:dyDescent="0.25">
      <c r="A6239">
        <v>2011</v>
      </c>
      <c r="B6239" s="140" t="s">
        <v>550</v>
      </c>
      <c r="C6239" s="140" t="s">
        <v>166</v>
      </c>
      <c r="D6239" s="140" t="s">
        <v>11</v>
      </c>
      <c r="E6239" s="140" t="s">
        <v>12</v>
      </c>
      <c r="F6239">
        <v>2358</v>
      </c>
      <c r="G6239" s="140" t="s">
        <v>551</v>
      </c>
      <c r="H6239">
        <v>0</v>
      </c>
      <c r="I6239" s="140" t="s">
        <v>62</v>
      </c>
    </row>
    <row r="6240" spans="1:9" hidden="1" x14ac:dyDescent="0.25">
      <c r="A6240">
        <v>2012</v>
      </c>
      <c r="B6240" s="140" t="s">
        <v>550</v>
      </c>
      <c r="C6240" s="140" t="s">
        <v>166</v>
      </c>
      <c r="D6240" s="140" t="s">
        <v>11</v>
      </c>
      <c r="E6240" s="140" t="s">
        <v>12</v>
      </c>
      <c r="F6240">
        <v>2368</v>
      </c>
      <c r="G6240" s="140" t="s">
        <v>551</v>
      </c>
      <c r="H6240">
        <v>0</v>
      </c>
      <c r="I6240" s="140" t="s">
        <v>62</v>
      </c>
    </row>
    <row r="6241" spans="1:9" hidden="1" x14ac:dyDescent="0.25">
      <c r="A6241">
        <v>2013</v>
      </c>
      <c r="B6241" s="140" t="s">
        <v>550</v>
      </c>
      <c r="C6241" s="140" t="s">
        <v>166</v>
      </c>
      <c r="D6241" s="140" t="s">
        <v>11</v>
      </c>
      <c r="E6241" s="140" t="s">
        <v>12</v>
      </c>
      <c r="F6241">
        <v>2346</v>
      </c>
      <c r="G6241" s="140" t="s">
        <v>551</v>
      </c>
      <c r="H6241">
        <v>0</v>
      </c>
      <c r="I6241" s="140" t="s">
        <v>62</v>
      </c>
    </row>
    <row r="6242" spans="1:9" hidden="1" x14ac:dyDescent="0.25">
      <c r="A6242">
        <v>2014</v>
      </c>
      <c r="B6242" s="140" t="s">
        <v>550</v>
      </c>
      <c r="C6242" s="140" t="s">
        <v>166</v>
      </c>
      <c r="D6242" s="140" t="s">
        <v>11</v>
      </c>
      <c r="E6242" s="140" t="s">
        <v>12</v>
      </c>
      <c r="F6242">
        <v>2336</v>
      </c>
      <c r="G6242" s="140" t="s">
        <v>551</v>
      </c>
      <c r="H6242">
        <v>0</v>
      </c>
      <c r="I6242" s="140" t="s">
        <v>62</v>
      </c>
    </row>
    <row r="6243" spans="1:9" hidden="1" x14ac:dyDescent="0.25">
      <c r="A6243">
        <v>2015</v>
      </c>
      <c r="B6243" s="140" t="s">
        <v>550</v>
      </c>
      <c r="C6243" s="140" t="s">
        <v>166</v>
      </c>
      <c r="D6243" s="140" t="s">
        <v>11</v>
      </c>
      <c r="E6243" s="140" t="s">
        <v>12</v>
      </c>
      <c r="F6243">
        <v>2322</v>
      </c>
      <c r="G6243" s="140" t="s">
        <v>551</v>
      </c>
      <c r="H6243">
        <v>0</v>
      </c>
      <c r="I6243" s="140" t="s">
        <v>62</v>
      </c>
    </row>
    <row r="6244" spans="1:9" hidden="1" x14ac:dyDescent="0.25">
      <c r="A6244">
        <v>2016</v>
      </c>
      <c r="B6244" s="140" t="s">
        <v>550</v>
      </c>
      <c r="C6244" s="140" t="s">
        <v>166</v>
      </c>
      <c r="D6244" s="140" t="s">
        <v>11</v>
      </c>
      <c r="E6244" s="140" t="s">
        <v>12</v>
      </c>
      <c r="F6244">
        <v>2335</v>
      </c>
      <c r="G6244" s="140" t="s">
        <v>551</v>
      </c>
      <c r="H6244">
        <v>0</v>
      </c>
      <c r="I6244" s="140" t="s">
        <v>62</v>
      </c>
    </row>
    <row r="6245" spans="1:9" hidden="1" x14ac:dyDescent="0.25">
      <c r="A6245">
        <v>2017</v>
      </c>
      <c r="B6245" s="140" t="s">
        <v>550</v>
      </c>
      <c r="C6245" s="140" t="s">
        <v>166</v>
      </c>
      <c r="D6245" s="140" t="s">
        <v>11</v>
      </c>
      <c r="E6245" s="140" t="s">
        <v>12</v>
      </c>
      <c r="F6245">
        <v>2352</v>
      </c>
      <c r="G6245" s="140" t="s">
        <v>551</v>
      </c>
      <c r="H6245">
        <v>0</v>
      </c>
      <c r="I6245" s="140" t="s">
        <v>62</v>
      </c>
    </row>
    <row r="6246" spans="1:9" hidden="1" x14ac:dyDescent="0.25">
      <c r="A6246">
        <v>2018</v>
      </c>
      <c r="B6246" s="140" t="s">
        <v>550</v>
      </c>
      <c r="C6246" s="140" t="s">
        <v>166</v>
      </c>
      <c r="D6246" s="140" t="s">
        <v>11</v>
      </c>
      <c r="E6246" s="140" t="s">
        <v>12</v>
      </c>
      <c r="F6246">
        <v>2411</v>
      </c>
      <c r="G6246" s="140" t="s">
        <v>551</v>
      </c>
      <c r="H6246">
        <v>0</v>
      </c>
      <c r="I6246" s="140" t="s">
        <v>62</v>
      </c>
    </row>
    <row r="6247" spans="1:9" hidden="1" x14ac:dyDescent="0.25">
      <c r="A6247">
        <v>2019</v>
      </c>
      <c r="B6247" s="140" t="s">
        <v>550</v>
      </c>
      <c r="C6247" s="140" t="s">
        <v>166</v>
      </c>
      <c r="D6247" s="140" t="s">
        <v>11</v>
      </c>
      <c r="E6247" s="140" t="s">
        <v>12</v>
      </c>
      <c r="F6247">
        <v>2432</v>
      </c>
      <c r="G6247" s="140" t="s">
        <v>551</v>
      </c>
      <c r="H6247">
        <v>0</v>
      </c>
      <c r="I6247" s="140" t="s">
        <v>62</v>
      </c>
    </row>
    <row r="6248" spans="1:9" hidden="1" x14ac:dyDescent="0.25">
      <c r="A6248">
        <v>2020</v>
      </c>
      <c r="B6248" s="140" t="s">
        <v>550</v>
      </c>
      <c r="C6248" s="140" t="s">
        <v>166</v>
      </c>
      <c r="D6248" s="140" t="s">
        <v>11</v>
      </c>
      <c r="E6248" s="140" t="s">
        <v>12</v>
      </c>
      <c r="F6248">
        <v>2400</v>
      </c>
      <c r="G6248" s="140" t="s">
        <v>551</v>
      </c>
      <c r="H6248">
        <v>0</v>
      </c>
      <c r="I6248" s="140" t="s">
        <v>62</v>
      </c>
    </row>
    <row r="6249" spans="1:9" hidden="1" x14ac:dyDescent="0.25">
      <c r="A6249">
        <v>2021</v>
      </c>
      <c r="B6249" s="140" t="s">
        <v>550</v>
      </c>
      <c r="C6249" s="140" t="s">
        <v>166</v>
      </c>
      <c r="D6249" s="140" t="s">
        <v>11</v>
      </c>
      <c r="E6249" s="140" t="s">
        <v>12</v>
      </c>
      <c r="F6249">
        <v>2445</v>
      </c>
      <c r="G6249" s="140" t="s">
        <v>551</v>
      </c>
      <c r="H6249">
        <v>0</v>
      </c>
      <c r="I6249" s="140" t="s">
        <v>62</v>
      </c>
    </row>
    <row r="6250" spans="1:9" hidden="1" x14ac:dyDescent="0.25">
      <c r="A6250">
        <v>2022</v>
      </c>
      <c r="B6250" s="140" t="s">
        <v>550</v>
      </c>
      <c r="C6250" s="140" t="s">
        <v>166</v>
      </c>
      <c r="D6250" s="140" t="s">
        <v>11</v>
      </c>
      <c r="E6250" s="140" t="s">
        <v>12</v>
      </c>
      <c r="F6250">
        <v>2503</v>
      </c>
      <c r="G6250" s="140" t="s">
        <v>551</v>
      </c>
      <c r="H6250">
        <v>0</v>
      </c>
      <c r="I6250" s="140" t="s">
        <v>62</v>
      </c>
    </row>
    <row r="6251" spans="1:9" hidden="1" x14ac:dyDescent="0.25">
      <c r="A6251">
        <v>2023</v>
      </c>
      <c r="B6251" s="140" t="s">
        <v>550</v>
      </c>
      <c r="C6251" s="140" t="s">
        <v>166</v>
      </c>
      <c r="D6251" s="140" t="s">
        <v>11</v>
      </c>
      <c r="E6251" s="140" t="s">
        <v>12</v>
      </c>
      <c r="F6251">
        <v>2506</v>
      </c>
      <c r="G6251" s="140" t="s">
        <v>551</v>
      </c>
      <c r="H6251">
        <v>0</v>
      </c>
      <c r="I6251" s="140" t="s">
        <v>62</v>
      </c>
    </row>
    <row r="6252" spans="1:9" hidden="1" x14ac:dyDescent="0.25">
      <c r="A6252">
        <v>2024</v>
      </c>
      <c r="B6252" s="140" t="s">
        <v>550</v>
      </c>
      <c r="C6252" s="140" t="s">
        <v>166</v>
      </c>
      <c r="D6252" s="140" t="s">
        <v>11</v>
      </c>
      <c r="E6252" s="140" t="s">
        <v>12</v>
      </c>
      <c r="F6252">
        <v>2491</v>
      </c>
      <c r="G6252" s="140" t="s">
        <v>551</v>
      </c>
      <c r="H6252">
        <v>0</v>
      </c>
      <c r="I6252" s="140" t="s">
        <v>62</v>
      </c>
    </row>
    <row r="6253" spans="1:9" hidden="1" x14ac:dyDescent="0.25">
      <c r="A6253">
        <v>2025</v>
      </c>
      <c r="B6253" s="140" t="s">
        <v>550</v>
      </c>
      <c r="C6253" s="140" t="s">
        <v>166</v>
      </c>
      <c r="D6253" s="140" t="s">
        <v>11</v>
      </c>
      <c r="E6253" s="140" t="s">
        <v>12</v>
      </c>
      <c r="F6253">
        <v>2481</v>
      </c>
      <c r="G6253" s="140" t="s">
        <v>551</v>
      </c>
      <c r="H6253">
        <v>0</v>
      </c>
      <c r="I6253" s="140" t="s">
        <v>62</v>
      </c>
    </row>
    <row r="6254" spans="1:9" hidden="1" x14ac:dyDescent="0.25">
      <c r="A6254">
        <v>2026</v>
      </c>
      <c r="B6254" s="140" t="s">
        <v>550</v>
      </c>
      <c r="C6254" s="140" t="s">
        <v>166</v>
      </c>
      <c r="D6254" s="140" t="s">
        <v>11</v>
      </c>
      <c r="E6254" s="140" t="s">
        <v>12</v>
      </c>
      <c r="F6254">
        <v>21</v>
      </c>
      <c r="G6254" s="140" t="s">
        <v>551</v>
      </c>
      <c r="H6254">
        <v>0</v>
      </c>
      <c r="I6254" s="140" t="s">
        <v>62</v>
      </c>
    </row>
    <row r="6255" spans="1:9" hidden="1" x14ac:dyDescent="0.25">
      <c r="A6255">
        <v>2027</v>
      </c>
      <c r="B6255" s="140" t="s">
        <v>550</v>
      </c>
      <c r="C6255" s="140" t="s">
        <v>166</v>
      </c>
      <c r="D6255" s="140" t="s">
        <v>11</v>
      </c>
      <c r="E6255" s="140" t="s">
        <v>12</v>
      </c>
      <c r="F6255">
        <v>22</v>
      </c>
      <c r="G6255" s="140" t="s">
        <v>551</v>
      </c>
      <c r="H6255">
        <v>0</v>
      </c>
      <c r="I6255" s="140" t="s">
        <v>62</v>
      </c>
    </row>
    <row r="6256" spans="1:9" hidden="1" x14ac:dyDescent="0.25">
      <c r="A6256">
        <v>2028</v>
      </c>
      <c r="B6256" s="140" t="s">
        <v>550</v>
      </c>
      <c r="C6256" s="140" t="s">
        <v>166</v>
      </c>
      <c r="D6256" s="140" t="s">
        <v>11</v>
      </c>
      <c r="E6256" s="140" t="s">
        <v>12</v>
      </c>
      <c r="F6256">
        <v>23</v>
      </c>
      <c r="G6256" s="140" t="s">
        <v>551</v>
      </c>
      <c r="H6256">
        <v>0</v>
      </c>
      <c r="I6256" s="140" t="s">
        <v>62</v>
      </c>
    </row>
    <row r="6257" spans="1:9" hidden="1" x14ac:dyDescent="0.25">
      <c r="A6257">
        <v>2029</v>
      </c>
      <c r="B6257" s="140" t="s">
        <v>550</v>
      </c>
      <c r="C6257" s="140" t="s">
        <v>166</v>
      </c>
      <c r="D6257" s="140" t="s">
        <v>11</v>
      </c>
      <c r="E6257" s="140" t="s">
        <v>12</v>
      </c>
      <c r="F6257">
        <v>24</v>
      </c>
      <c r="G6257" s="140" t="s">
        <v>551</v>
      </c>
      <c r="H6257">
        <v>0</v>
      </c>
      <c r="I6257" s="140" t="s">
        <v>62</v>
      </c>
    </row>
    <row r="6258" spans="1:9" hidden="1" x14ac:dyDescent="0.25">
      <c r="A6258">
        <v>2030</v>
      </c>
      <c r="B6258" s="140" t="s">
        <v>550</v>
      </c>
      <c r="C6258" s="140" t="s">
        <v>166</v>
      </c>
      <c r="D6258" s="140" t="s">
        <v>11</v>
      </c>
      <c r="E6258" s="140" t="s">
        <v>12</v>
      </c>
      <c r="F6258">
        <v>25</v>
      </c>
      <c r="G6258" s="140" t="s">
        <v>551</v>
      </c>
      <c r="H6258">
        <v>0</v>
      </c>
      <c r="I6258" s="140" t="s">
        <v>62</v>
      </c>
    </row>
    <row r="6259" spans="1:9" hidden="1" x14ac:dyDescent="0.25">
      <c r="A6259">
        <v>2009</v>
      </c>
      <c r="B6259" s="140" t="s">
        <v>446</v>
      </c>
      <c r="C6259" s="140" t="s">
        <v>166</v>
      </c>
      <c r="D6259" s="140" t="s">
        <v>11</v>
      </c>
      <c r="E6259" s="140" t="s">
        <v>12</v>
      </c>
      <c r="F6259">
        <v>34</v>
      </c>
      <c r="G6259" s="140" t="s">
        <v>447</v>
      </c>
      <c r="H6259">
        <v>0</v>
      </c>
      <c r="I6259" s="140" t="s">
        <v>62</v>
      </c>
    </row>
    <row r="6260" spans="1:9" hidden="1" x14ac:dyDescent="0.25">
      <c r="A6260">
        <v>2010</v>
      </c>
      <c r="B6260" s="140" t="s">
        <v>446</v>
      </c>
      <c r="C6260" s="140" t="s">
        <v>166</v>
      </c>
      <c r="D6260" s="140" t="s">
        <v>11</v>
      </c>
      <c r="E6260" s="140" t="s">
        <v>12</v>
      </c>
      <c r="F6260">
        <v>36</v>
      </c>
      <c r="G6260" s="140" t="s">
        <v>447</v>
      </c>
      <c r="H6260">
        <v>0</v>
      </c>
      <c r="I6260" s="140" t="s">
        <v>62</v>
      </c>
    </row>
    <row r="6261" spans="1:9" hidden="1" x14ac:dyDescent="0.25">
      <c r="A6261">
        <v>2011</v>
      </c>
      <c r="B6261" s="140" t="s">
        <v>446</v>
      </c>
      <c r="C6261" s="140" t="s">
        <v>166</v>
      </c>
      <c r="D6261" s="140" t="s">
        <v>11</v>
      </c>
      <c r="E6261" s="140" t="s">
        <v>12</v>
      </c>
      <c r="F6261">
        <v>43</v>
      </c>
      <c r="G6261" s="140" t="s">
        <v>447</v>
      </c>
      <c r="H6261">
        <v>0</v>
      </c>
      <c r="I6261" s="140" t="s">
        <v>62</v>
      </c>
    </row>
    <row r="6262" spans="1:9" hidden="1" x14ac:dyDescent="0.25">
      <c r="A6262">
        <v>2012</v>
      </c>
      <c r="B6262" s="140" t="s">
        <v>446</v>
      </c>
      <c r="C6262" s="140" t="s">
        <v>166</v>
      </c>
      <c r="D6262" s="140" t="s">
        <v>11</v>
      </c>
      <c r="E6262" s="140" t="s">
        <v>12</v>
      </c>
      <c r="F6262">
        <v>51</v>
      </c>
      <c r="G6262" s="140" t="s">
        <v>447</v>
      </c>
      <c r="H6262">
        <v>0</v>
      </c>
      <c r="I6262" s="140" t="s">
        <v>62</v>
      </c>
    </row>
    <row r="6263" spans="1:9" hidden="1" x14ac:dyDescent="0.25">
      <c r="A6263">
        <v>2013</v>
      </c>
      <c r="B6263" s="140" t="s">
        <v>446</v>
      </c>
      <c r="C6263" s="140" t="s">
        <v>166</v>
      </c>
      <c r="D6263" s="140" t="s">
        <v>11</v>
      </c>
      <c r="E6263" s="140" t="s">
        <v>12</v>
      </c>
      <c r="F6263">
        <v>51</v>
      </c>
      <c r="G6263" s="140" t="s">
        <v>447</v>
      </c>
      <c r="H6263">
        <v>0</v>
      </c>
      <c r="I6263" s="140" t="s">
        <v>62</v>
      </c>
    </row>
    <row r="6264" spans="1:9" hidden="1" x14ac:dyDescent="0.25">
      <c r="A6264">
        <v>2014</v>
      </c>
      <c r="B6264" s="140" t="s">
        <v>446</v>
      </c>
      <c r="C6264" s="140" t="s">
        <v>166</v>
      </c>
      <c r="D6264" s="140" t="s">
        <v>11</v>
      </c>
      <c r="E6264" s="140" t="s">
        <v>12</v>
      </c>
      <c r="F6264">
        <v>60</v>
      </c>
      <c r="G6264" s="140" t="s">
        <v>447</v>
      </c>
      <c r="H6264">
        <v>0</v>
      </c>
      <c r="I6264" s="140" t="s">
        <v>62</v>
      </c>
    </row>
    <row r="6265" spans="1:9" hidden="1" x14ac:dyDescent="0.25">
      <c r="A6265">
        <v>2015</v>
      </c>
      <c r="B6265" s="140" t="s">
        <v>446</v>
      </c>
      <c r="C6265" s="140" t="s">
        <v>166</v>
      </c>
      <c r="D6265" s="140" t="s">
        <v>11</v>
      </c>
      <c r="E6265" s="140" t="s">
        <v>12</v>
      </c>
      <c r="F6265">
        <v>68</v>
      </c>
      <c r="G6265" s="140" t="s">
        <v>447</v>
      </c>
      <c r="H6265">
        <v>0</v>
      </c>
      <c r="I6265" s="140" t="s">
        <v>62</v>
      </c>
    </row>
    <row r="6266" spans="1:9" hidden="1" x14ac:dyDescent="0.25">
      <c r="A6266">
        <v>2016</v>
      </c>
      <c r="B6266" s="140" t="s">
        <v>446</v>
      </c>
      <c r="C6266" s="140" t="s">
        <v>166</v>
      </c>
      <c r="D6266" s="140" t="s">
        <v>11</v>
      </c>
      <c r="E6266" s="140" t="s">
        <v>12</v>
      </c>
      <c r="F6266">
        <v>67</v>
      </c>
      <c r="G6266" s="140" t="s">
        <v>447</v>
      </c>
      <c r="H6266">
        <v>0</v>
      </c>
      <c r="I6266" s="140" t="s">
        <v>62</v>
      </c>
    </row>
    <row r="6267" spans="1:9" hidden="1" x14ac:dyDescent="0.25">
      <c r="A6267">
        <v>2017</v>
      </c>
      <c r="B6267" s="140" t="s">
        <v>446</v>
      </c>
      <c r="C6267" s="140" t="s">
        <v>166</v>
      </c>
      <c r="D6267" s="140" t="s">
        <v>11</v>
      </c>
      <c r="E6267" s="140" t="s">
        <v>12</v>
      </c>
      <c r="F6267">
        <v>69</v>
      </c>
      <c r="G6267" s="140" t="s">
        <v>447</v>
      </c>
      <c r="H6267">
        <v>0</v>
      </c>
      <c r="I6267" s="140" t="s">
        <v>62</v>
      </c>
    </row>
    <row r="6268" spans="1:9" hidden="1" x14ac:dyDescent="0.25">
      <c r="A6268">
        <v>2018</v>
      </c>
      <c r="B6268" s="140" t="s">
        <v>446</v>
      </c>
      <c r="C6268" s="140" t="s">
        <v>166</v>
      </c>
      <c r="D6268" s="140" t="s">
        <v>11</v>
      </c>
      <c r="E6268" s="140" t="s">
        <v>12</v>
      </c>
      <c r="F6268">
        <v>74</v>
      </c>
      <c r="G6268" s="140" t="s">
        <v>447</v>
      </c>
      <c r="H6268">
        <v>0</v>
      </c>
      <c r="I6268" s="140" t="s">
        <v>62</v>
      </c>
    </row>
    <row r="6269" spans="1:9" hidden="1" x14ac:dyDescent="0.25">
      <c r="A6269">
        <v>2019</v>
      </c>
      <c r="B6269" s="140" t="s">
        <v>446</v>
      </c>
      <c r="C6269" s="140" t="s">
        <v>166</v>
      </c>
      <c r="D6269" s="140" t="s">
        <v>11</v>
      </c>
      <c r="E6269" s="140" t="s">
        <v>12</v>
      </c>
      <c r="F6269">
        <v>78</v>
      </c>
      <c r="G6269" s="140" t="s">
        <v>447</v>
      </c>
      <c r="H6269">
        <v>0</v>
      </c>
      <c r="I6269" s="140" t="s">
        <v>62</v>
      </c>
    </row>
    <row r="6270" spans="1:9" hidden="1" x14ac:dyDescent="0.25">
      <c r="A6270">
        <v>2020</v>
      </c>
      <c r="B6270" s="140" t="s">
        <v>446</v>
      </c>
      <c r="C6270" s="140" t="s">
        <v>166</v>
      </c>
      <c r="D6270" s="140" t="s">
        <v>11</v>
      </c>
      <c r="E6270" s="140" t="s">
        <v>12</v>
      </c>
      <c r="F6270">
        <v>75</v>
      </c>
      <c r="G6270" s="140" t="s">
        <v>447</v>
      </c>
      <c r="H6270">
        <v>0</v>
      </c>
      <c r="I6270" s="140" t="s">
        <v>62</v>
      </c>
    </row>
    <row r="6271" spans="1:9" hidden="1" x14ac:dyDescent="0.25">
      <c r="A6271">
        <v>2021</v>
      </c>
      <c r="B6271" s="140" t="s">
        <v>446</v>
      </c>
      <c r="C6271" s="140" t="s">
        <v>166</v>
      </c>
      <c r="D6271" s="140" t="s">
        <v>11</v>
      </c>
      <c r="E6271" s="140" t="s">
        <v>12</v>
      </c>
      <c r="F6271">
        <v>85</v>
      </c>
      <c r="G6271" s="140" t="s">
        <v>447</v>
      </c>
      <c r="H6271">
        <v>0</v>
      </c>
      <c r="I6271" s="140" t="s">
        <v>62</v>
      </c>
    </row>
    <row r="6272" spans="1:9" hidden="1" x14ac:dyDescent="0.25">
      <c r="A6272">
        <v>2022</v>
      </c>
      <c r="B6272" s="140" t="s">
        <v>446</v>
      </c>
      <c r="C6272" s="140" t="s">
        <v>166</v>
      </c>
      <c r="D6272" s="140" t="s">
        <v>11</v>
      </c>
      <c r="E6272" s="140" t="s">
        <v>12</v>
      </c>
      <c r="F6272">
        <v>93</v>
      </c>
      <c r="G6272" s="140" t="s">
        <v>447</v>
      </c>
      <c r="H6272">
        <v>0</v>
      </c>
      <c r="I6272" s="140" t="s">
        <v>62</v>
      </c>
    </row>
    <row r="6273" spans="1:9" hidden="1" x14ac:dyDescent="0.25">
      <c r="A6273">
        <v>2023</v>
      </c>
      <c r="B6273" s="140" t="s">
        <v>446</v>
      </c>
      <c r="C6273" s="140" t="s">
        <v>166</v>
      </c>
      <c r="D6273" s="140" t="s">
        <v>11</v>
      </c>
      <c r="E6273" s="140" t="s">
        <v>12</v>
      </c>
      <c r="F6273">
        <v>96</v>
      </c>
      <c r="G6273" s="140" t="s">
        <v>447</v>
      </c>
      <c r="H6273">
        <v>0</v>
      </c>
      <c r="I6273" s="140" t="s">
        <v>62</v>
      </c>
    </row>
    <row r="6274" spans="1:9" hidden="1" x14ac:dyDescent="0.25">
      <c r="A6274">
        <v>2024</v>
      </c>
      <c r="B6274" s="140" t="s">
        <v>446</v>
      </c>
      <c r="C6274" s="140" t="s">
        <v>166</v>
      </c>
      <c r="D6274" s="140" t="s">
        <v>11</v>
      </c>
      <c r="E6274" s="140" t="s">
        <v>12</v>
      </c>
      <c r="F6274">
        <v>98</v>
      </c>
      <c r="G6274" s="140" t="s">
        <v>447</v>
      </c>
      <c r="H6274">
        <v>0</v>
      </c>
      <c r="I6274" s="140" t="s">
        <v>62</v>
      </c>
    </row>
    <row r="6275" spans="1:9" hidden="1" x14ac:dyDescent="0.25">
      <c r="A6275">
        <v>2025</v>
      </c>
      <c r="B6275" s="140" t="s">
        <v>446</v>
      </c>
      <c r="C6275" s="140" t="s">
        <v>166</v>
      </c>
      <c r="D6275" s="140" t="s">
        <v>11</v>
      </c>
      <c r="E6275" s="140" t="s">
        <v>12</v>
      </c>
      <c r="F6275">
        <v>95</v>
      </c>
      <c r="G6275" s="140" t="s">
        <v>447</v>
      </c>
      <c r="H6275">
        <v>0</v>
      </c>
      <c r="I6275" s="140" t="s">
        <v>62</v>
      </c>
    </row>
    <row r="6276" spans="1:9" hidden="1" x14ac:dyDescent="0.25">
      <c r="A6276">
        <v>2026</v>
      </c>
      <c r="B6276" s="140" t="s">
        <v>446</v>
      </c>
      <c r="C6276" s="140" t="s">
        <v>166</v>
      </c>
      <c r="D6276" s="140" t="s">
        <v>11</v>
      </c>
      <c r="E6276" s="140" t="s">
        <v>12</v>
      </c>
      <c r="F6276">
        <v>94.56263482</v>
      </c>
      <c r="G6276" s="140" t="s">
        <v>447</v>
      </c>
      <c r="H6276">
        <v>0</v>
      </c>
      <c r="I6276" s="140" t="s">
        <v>62</v>
      </c>
    </row>
    <row r="6277" spans="1:9" hidden="1" x14ac:dyDescent="0.25">
      <c r="A6277">
        <v>2027</v>
      </c>
      <c r="B6277" s="140" t="s">
        <v>446</v>
      </c>
      <c r="C6277" s="140" t="s">
        <v>166</v>
      </c>
      <c r="D6277" s="140" t="s">
        <v>11</v>
      </c>
      <c r="E6277" s="140" t="s">
        <v>12</v>
      </c>
      <c r="F6277">
        <v>95.579279479999997</v>
      </c>
      <c r="G6277" s="140" t="s">
        <v>447</v>
      </c>
      <c r="H6277">
        <v>0</v>
      </c>
      <c r="I6277" s="140" t="s">
        <v>62</v>
      </c>
    </row>
    <row r="6278" spans="1:9" hidden="1" x14ac:dyDescent="0.25">
      <c r="A6278">
        <v>2028</v>
      </c>
      <c r="B6278" s="140" t="s">
        <v>446</v>
      </c>
      <c r="C6278" s="140" t="s">
        <v>166</v>
      </c>
      <c r="D6278" s="140" t="s">
        <v>11</v>
      </c>
      <c r="E6278" s="140" t="s">
        <v>12</v>
      </c>
      <c r="F6278">
        <v>96.359196420000004</v>
      </c>
      <c r="G6278" s="140" t="s">
        <v>447</v>
      </c>
      <c r="H6278">
        <v>0</v>
      </c>
      <c r="I6278" s="140" t="s">
        <v>62</v>
      </c>
    </row>
    <row r="6279" spans="1:9" hidden="1" x14ac:dyDescent="0.25">
      <c r="A6279">
        <v>2009</v>
      </c>
      <c r="B6279" s="140" t="s">
        <v>179</v>
      </c>
      <c r="C6279" s="140" t="s">
        <v>180</v>
      </c>
      <c r="D6279" s="140" t="s">
        <v>11</v>
      </c>
      <c r="E6279" s="140" t="s">
        <v>12</v>
      </c>
      <c r="F6279">
        <v>221</v>
      </c>
      <c r="G6279" s="140" t="s">
        <v>448</v>
      </c>
      <c r="H6279">
        <v>0</v>
      </c>
      <c r="I6279" s="140" t="s">
        <v>62</v>
      </c>
    </row>
    <row r="6280" spans="1:9" hidden="1" x14ac:dyDescent="0.25">
      <c r="A6280">
        <v>2010</v>
      </c>
      <c r="B6280" s="140" t="s">
        <v>179</v>
      </c>
      <c r="C6280" s="140" t="s">
        <v>180</v>
      </c>
      <c r="D6280" s="140" t="s">
        <v>11</v>
      </c>
      <c r="E6280" s="140" t="s">
        <v>12</v>
      </c>
      <c r="F6280">
        <v>226</v>
      </c>
      <c r="G6280" s="140" t="s">
        <v>448</v>
      </c>
      <c r="H6280">
        <v>0</v>
      </c>
      <c r="I6280" s="140" t="s">
        <v>62</v>
      </c>
    </row>
    <row r="6281" spans="1:9" hidden="1" x14ac:dyDescent="0.25">
      <c r="A6281">
        <v>2011</v>
      </c>
      <c r="B6281" s="140" t="s">
        <v>179</v>
      </c>
      <c r="C6281" s="140" t="s">
        <v>180</v>
      </c>
      <c r="D6281" s="140" t="s">
        <v>11</v>
      </c>
      <c r="E6281" s="140" t="s">
        <v>12</v>
      </c>
      <c r="F6281">
        <v>212</v>
      </c>
      <c r="G6281" s="140" t="s">
        <v>448</v>
      </c>
      <c r="H6281">
        <v>0</v>
      </c>
      <c r="I6281" s="140" t="s">
        <v>62</v>
      </c>
    </row>
    <row r="6282" spans="1:9" hidden="1" x14ac:dyDescent="0.25">
      <c r="A6282">
        <v>2012</v>
      </c>
      <c r="B6282" s="140" t="s">
        <v>179</v>
      </c>
      <c r="C6282" s="140" t="s">
        <v>180</v>
      </c>
      <c r="D6282" s="140" t="s">
        <v>11</v>
      </c>
      <c r="E6282" s="140" t="s">
        <v>12</v>
      </c>
      <c r="F6282">
        <v>209</v>
      </c>
      <c r="G6282" s="140" t="s">
        <v>448</v>
      </c>
      <c r="H6282">
        <v>0</v>
      </c>
      <c r="I6282" s="140" t="s">
        <v>62</v>
      </c>
    </row>
    <row r="6283" spans="1:9" hidden="1" x14ac:dyDescent="0.25">
      <c r="A6283">
        <v>2013</v>
      </c>
      <c r="B6283" s="140" t="s">
        <v>179</v>
      </c>
      <c r="C6283" s="140" t="s">
        <v>180</v>
      </c>
      <c r="D6283" s="140" t="s">
        <v>11</v>
      </c>
      <c r="E6283" s="140" t="s">
        <v>12</v>
      </c>
      <c r="F6283">
        <v>221</v>
      </c>
      <c r="G6283" s="140" t="s">
        <v>448</v>
      </c>
      <c r="H6283">
        <v>0</v>
      </c>
      <c r="I6283" s="140" t="s">
        <v>62</v>
      </c>
    </row>
    <row r="6284" spans="1:9" hidden="1" x14ac:dyDescent="0.25">
      <c r="A6284">
        <v>2014</v>
      </c>
      <c r="B6284" s="140" t="s">
        <v>179</v>
      </c>
      <c r="C6284" s="140" t="s">
        <v>180</v>
      </c>
      <c r="D6284" s="140" t="s">
        <v>11</v>
      </c>
      <c r="E6284" s="140" t="s">
        <v>12</v>
      </c>
      <c r="F6284">
        <v>232</v>
      </c>
      <c r="G6284" s="140" t="s">
        <v>448</v>
      </c>
      <c r="H6284">
        <v>0</v>
      </c>
      <c r="I6284" s="140" t="s">
        <v>62</v>
      </c>
    </row>
    <row r="6285" spans="1:9" hidden="1" x14ac:dyDescent="0.25">
      <c r="A6285">
        <v>2015</v>
      </c>
      <c r="B6285" s="140" t="s">
        <v>179</v>
      </c>
      <c r="C6285" s="140" t="s">
        <v>180</v>
      </c>
      <c r="D6285" s="140" t="s">
        <v>11</v>
      </c>
      <c r="E6285" s="140" t="s">
        <v>12</v>
      </c>
      <c r="F6285">
        <v>250</v>
      </c>
      <c r="G6285" s="140" t="s">
        <v>448</v>
      </c>
      <c r="H6285">
        <v>0</v>
      </c>
      <c r="I6285" s="140" t="s">
        <v>62</v>
      </c>
    </row>
    <row r="6286" spans="1:9" hidden="1" x14ac:dyDescent="0.25">
      <c r="A6286">
        <v>2016</v>
      </c>
      <c r="B6286" s="140" t="s">
        <v>179</v>
      </c>
      <c r="C6286" s="140" t="s">
        <v>180</v>
      </c>
      <c r="D6286" s="140" t="s">
        <v>11</v>
      </c>
      <c r="E6286" s="140" t="s">
        <v>12</v>
      </c>
      <c r="F6286">
        <v>236</v>
      </c>
      <c r="G6286" s="140" t="s">
        <v>448</v>
      </c>
      <c r="H6286">
        <v>0</v>
      </c>
      <c r="I6286" s="140" t="s">
        <v>62</v>
      </c>
    </row>
    <row r="6287" spans="1:9" hidden="1" x14ac:dyDescent="0.25">
      <c r="A6287">
        <v>2017</v>
      </c>
      <c r="B6287" s="140" t="s">
        <v>179</v>
      </c>
      <c r="C6287" s="140" t="s">
        <v>180</v>
      </c>
      <c r="D6287" s="140" t="s">
        <v>11</v>
      </c>
      <c r="E6287" s="140" t="s">
        <v>12</v>
      </c>
      <c r="F6287">
        <v>233</v>
      </c>
      <c r="G6287" s="140" t="s">
        <v>448</v>
      </c>
      <c r="H6287">
        <v>0</v>
      </c>
      <c r="I6287" s="140" t="s">
        <v>62</v>
      </c>
    </row>
    <row r="6288" spans="1:9" hidden="1" x14ac:dyDescent="0.25">
      <c r="A6288">
        <v>2018</v>
      </c>
      <c r="B6288" s="140" t="s">
        <v>179</v>
      </c>
      <c r="C6288" s="140" t="s">
        <v>180</v>
      </c>
      <c r="D6288" s="140" t="s">
        <v>11</v>
      </c>
      <c r="E6288" s="140" t="s">
        <v>12</v>
      </c>
      <c r="F6288">
        <v>202</v>
      </c>
      <c r="G6288" s="140" t="s">
        <v>448</v>
      </c>
      <c r="H6288">
        <v>0</v>
      </c>
      <c r="I6288" s="140" t="s">
        <v>62</v>
      </c>
    </row>
    <row r="6289" spans="1:9" hidden="1" x14ac:dyDescent="0.25">
      <c r="A6289">
        <v>2019</v>
      </c>
      <c r="B6289" s="140" t="s">
        <v>179</v>
      </c>
      <c r="C6289" s="140" t="s">
        <v>180</v>
      </c>
      <c r="D6289" s="140" t="s">
        <v>11</v>
      </c>
      <c r="E6289" s="140" t="s">
        <v>12</v>
      </c>
      <c r="F6289">
        <v>184</v>
      </c>
      <c r="G6289" s="140" t="s">
        <v>448</v>
      </c>
      <c r="H6289">
        <v>0</v>
      </c>
      <c r="I6289" s="140" t="s">
        <v>62</v>
      </c>
    </row>
    <row r="6290" spans="1:9" hidden="1" x14ac:dyDescent="0.25">
      <c r="A6290">
        <v>2020</v>
      </c>
      <c r="B6290" s="140" t="s">
        <v>179</v>
      </c>
      <c r="C6290" s="140" t="s">
        <v>180</v>
      </c>
      <c r="D6290" s="140" t="s">
        <v>11</v>
      </c>
      <c r="E6290" s="140" t="s">
        <v>12</v>
      </c>
      <c r="F6290">
        <v>209</v>
      </c>
      <c r="G6290" s="140" t="s">
        <v>448</v>
      </c>
      <c r="H6290">
        <v>0</v>
      </c>
      <c r="I6290" s="140" t="s">
        <v>62</v>
      </c>
    </row>
    <row r="6291" spans="1:9" hidden="1" x14ac:dyDescent="0.25">
      <c r="A6291">
        <v>2021</v>
      </c>
      <c r="B6291" s="140" t="s">
        <v>179</v>
      </c>
      <c r="C6291" s="140" t="s">
        <v>180</v>
      </c>
      <c r="D6291" s="140" t="s">
        <v>11</v>
      </c>
      <c r="E6291" s="140" t="s">
        <v>12</v>
      </c>
      <c r="F6291">
        <v>212</v>
      </c>
      <c r="G6291" s="140" t="s">
        <v>448</v>
      </c>
      <c r="H6291">
        <v>0</v>
      </c>
      <c r="I6291" s="140" t="s">
        <v>62</v>
      </c>
    </row>
    <row r="6292" spans="1:9" hidden="1" x14ac:dyDescent="0.25">
      <c r="A6292">
        <v>2022</v>
      </c>
      <c r="B6292" s="140" t="s">
        <v>179</v>
      </c>
      <c r="C6292" s="140" t="s">
        <v>180</v>
      </c>
      <c r="D6292" s="140" t="s">
        <v>11</v>
      </c>
      <c r="E6292" s="140" t="s">
        <v>12</v>
      </c>
      <c r="F6292">
        <v>190</v>
      </c>
      <c r="G6292" s="140" t="s">
        <v>448</v>
      </c>
      <c r="H6292">
        <v>0</v>
      </c>
      <c r="I6292" s="140" t="s">
        <v>62</v>
      </c>
    </row>
    <row r="6293" spans="1:9" hidden="1" x14ac:dyDescent="0.25">
      <c r="A6293">
        <v>2023</v>
      </c>
      <c r="B6293" s="140" t="s">
        <v>179</v>
      </c>
      <c r="C6293" s="140" t="s">
        <v>180</v>
      </c>
      <c r="D6293" s="140" t="s">
        <v>11</v>
      </c>
      <c r="E6293" s="140" t="s">
        <v>12</v>
      </c>
      <c r="F6293">
        <v>204</v>
      </c>
      <c r="G6293" s="140" t="s">
        <v>448</v>
      </c>
      <c r="H6293">
        <v>0</v>
      </c>
      <c r="I6293" s="140" t="s">
        <v>62</v>
      </c>
    </row>
    <row r="6294" spans="1:9" hidden="1" x14ac:dyDescent="0.25">
      <c r="A6294">
        <v>2024</v>
      </c>
      <c r="B6294" s="140" t="s">
        <v>179</v>
      </c>
      <c r="C6294" s="140" t="s">
        <v>180</v>
      </c>
      <c r="D6294" s="140" t="s">
        <v>11</v>
      </c>
      <c r="E6294" s="140" t="s">
        <v>12</v>
      </c>
      <c r="F6294">
        <v>238</v>
      </c>
      <c r="G6294" s="140" t="s">
        <v>448</v>
      </c>
      <c r="H6294">
        <v>0</v>
      </c>
      <c r="I6294" s="140" t="s">
        <v>62</v>
      </c>
    </row>
    <row r="6295" spans="1:9" hidden="1" x14ac:dyDescent="0.25">
      <c r="A6295">
        <v>2025</v>
      </c>
      <c r="B6295" s="140" t="s">
        <v>179</v>
      </c>
      <c r="C6295" s="140" t="s">
        <v>180</v>
      </c>
      <c r="D6295" s="140" t="s">
        <v>11</v>
      </c>
      <c r="E6295" s="140" t="s">
        <v>12</v>
      </c>
      <c r="F6295">
        <v>278</v>
      </c>
      <c r="G6295" s="140" t="s">
        <v>448</v>
      </c>
      <c r="H6295">
        <v>0</v>
      </c>
      <c r="I6295" s="140" t="s">
        <v>62</v>
      </c>
    </row>
    <row r="6296" spans="1:9" hidden="1" x14ac:dyDescent="0.25">
      <c r="A6296">
        <v>2026</v>
      </c>
      <c r="B6296" s="140" t="s">
        <v>179</v>
      </c>
      <c r="C6296" s="140" t="s">
        <v>180</v>
      </c>
      <c r="D6296" s="140" t="s">
        <v>11</v>
      </c>
      <c r="E6296" s="140" t="s">
        <v>12</v>
      </c>
      <c r="F6296">
        <v>295.58333329999999</v>
      </c>
      <c r="G6296" s="140" t="s">
        <v>448</v>
      </c>
      <c r="H6296">
        <v>0</v>
      </c>
      <c r="I6296" s="140" t="s">
        <v>62</v>
      </c>
    </row>
    <row r="6297" spans="1:9" hidden="1" x14ac:dyDescent="0.25">
      <c r="A6297">
        <v>2027</v>
      </c>
      <c r="B6297" s="140" t="s">
        <v>179</v>
      </c>
      <c r="C6297" s="140" t="s">
        <v>180</v>
      </c>
      <c r="D6297" s="140" t="s">
        <v>11</v>
      </c>
      <c r="E6297" s="140" t="s">
        <v>12</v>
      </c>
      <c r="F6297">
        <v>284.8</v>
      </c>
      <c r="G6297" s="140" t="s">
        <v>448</v>
      </c>
      <c r="H6297">
        <v>0</v>
      </c>
      <c r="I6297" s="140" t="s">
        <v>62</v>
      </c>
    </row>
    <row r="6298" spans="1:9" hidden="1" x14ac:dyDescent="0.25">
      <c r="A6298">
        <v>2028</v>
      </c>
      <c r="B6298" s="140" t="s">
        <v>179</v>
      </c>
      <c r="C6298" s="140" t="s">
        <v>180</v>
      </c>
      <c r="D6298" s="140" t="s">
        <v>11</v>
      </c>
      <c r="E6298" s="140" t="s">
        <v>12</v>
      </c>
      <c r="F6298">
        <v>275.85000000000002</v>
      </c>
      <c r="G6298" s="140" t="s">
        <v>448</v>
      </c>
      <c r="H6298">
        <v>0</v>
      </c>
      <c r="I6298" s="140" t="s">
        <v>62</v>
      </c>
    </row>
    <row r="6299" spans="1:9" hidden="1" x14ac:dyDescent="0.25">
      <c r="A6299">
        <v>2029</v>
      </c>
      <c r="B6299" s="140" t="s">
        <v>179</v>
      </c>
      <c r="C6299" s="140" t="s">
        <v>180</v>
      </c>
      <c r="D6299" s="140" t="s">
        <v>11</v>
      </c>
      <c r="E6299" s="140" t="s">
        <v>12</v>
      </c>
      <c r="F6299">
        <v>260</v>
      </c>
      <c r="G6299" s="140" t="s">
        <v>448</v>
      </c>
      <c r="H6299">
        <v>0</v>
      </c>
      <c r="I6299" s="140" t="s">
        <v>62</v>
      </c>
    </row>
    <row r="6300" spans="1:9" hidden="1" x14ac:dyDescent="0.25">
      <c r="A6300">
        <v>2030</v>
      </c>
      <c r="B6300" s="140" t="s">
        <v>179</v>
      </c>
      <c r="C6300" s="140" t="s">
        <v>180</v>
      </c>
      <c r="D6300" s="140" t="s">
        <v>11</v>
      </c>
      <c r="E6300" s="140" t="s">
        <v>12</v>
      </c>
      <c r="F6300">
        <v>247</v>
      </c>
      <c r="G6300" s="140" t="s">
        <v>448</v>
      </c>
      <c r="H6300">
        <v>0</v>
      </c>
      <c r="I6300" s="140" t="s">
        <v>62</v>
      </c>
    </row>
    <row r="6301" spans="1:9" hidden="1" x14ac:dyDescent="0.25">
      <c r="A6301">
        <v>2009</v>
      </c>
      <c r="B6301" s="140" t="s">
        <v>61</v>
      </c>
      <c r="C6301" s="140" t="s">
        <v>552</v>
      </c>
      <c r="D6301" s="140" t="s">
        <v>66</v>
      </c>
      <c r="E6301" s="140" t="s">
        <v>12</v>
      </c>
      <c r="F6301">
        <v>118</v>
      </c>
      <c r="G6301" s="140" t="s">
        <v>449</v>
      </c>
      <c r="H6301">
        <v>0</v>
      </c>
      <c r="I6301" s="140" t="s">
        <v>62</v>
      </c>
    </row>
    <row r="6302" spans="1:9" hidden="1" x14ac:dyDescent="0.25">
      <c r="A6302">
        <v>2010</v>
      </c>
      <c r="B6302" s="140" t="s">
        <v>61</v>
      </c>
      <c r="C6302" s="140" t="s">
        <v>552</v>
      </c>
      <c r="D6302" s="140" t="s">
        <v>66</v>
      </c>
      <c r="E6302" s="140" t="s">
        <v>12</v>
      </c>
      <c r="F6302">
        <v>115</v>
      </c>
      <c r="G6302" s="140" t="s">
        <v>449</v>
      </c>
      <c r="H6302">
        <v>0</v>
      </c>
      <c r="I6302" s="140" t="s">
        <v>62</v>
      </c>
    </row>
    <row r="6303" spans="1:9" hidden="1" x14ac:dyDescent="0.25">
      <c r="A6303">
        <v>2011</v>
      </c>
      <c r="B6303" s="140" t="s">
        <v>61</v>
      </c>
      <c r="C6303" s="140" t="s">
        <v>552</v>
      </c>
      <c r="D6303" s="140" t="s">
        <v>66</v>
      </c>
      <c r="E6303" s="140" t="s">
        <v>12</v>
      </c>
      <c r="F6303">
        <v>112</v>
      </c>
      <c r="G6303" s="140" t="s">
        <v>449</v>
      </c>
      <c r="H6303">
        <v>0</v>
      </c>
      <c r="I6303" s="140" t="s">
        <v>62</v>
      </c>
    </row>
    <row r="6304" spans="1:9" hidden="1" x14ac:dyDescent="0.25">
      <c r="A6304">
        <v>2012</v>
      </c>
      <c r="B6304" s="140" t="s">
        <v>61</v>
      </c>
      <c r="C6304" s="140" t="s">
        <v>552</v>
      </c>
      <c r="D6304" s="140" t="s">
        <v>66</v>
      </c>
      <c r="E6304" s="140" t="s">
        <v>12</v>
      </c>
      <c r="F6304">
        <v>111</v>
      </c>
      <c r="G6304" s="140" t="s">
        <v>449</v>
      </c>
      <c r="H6304">
        <v>0</v>
      </c>
      <c r="I6304" s="140" t="s">
        <v>62</v>
      </c>
    </row>
    <row r="6305" spans="1:9" hidden="1" x14ac:dyDescent="0.25">
      <c r="A6305">
        <v>2013</v>
      </c>
      <c r="B6305" s="140" t="s">
        <v>61</v>
      </c>
      <c r="C6305" s="140" t="s">
        <v>552</v>
      </c>
      <c r="D6305" s="140" t="s">
        <v>66</v>
      </c>
      <c r="E6305" s="140" t="s">
        <v>12</v>
      </c>
      <c r="F6305">
        <v>109</v>
      </c>
      <c r="G6305" s="140" t="s">
        <v>449</v>
      </c>
      <c r="H6305">
        <v>0</v>
      </c>
      <c r="I6305" s="140" t="s">
        <v>62</v>
      </c>
    </row>
    <row r="6306" spans="1:9" hidden="1" x14ac:dyDescent="0.25">
      <c r="A6306">
        <v>2014</v>
      </c>
      <c r="B6306" s="140" t="s">
        <v>61</v>
      </c>
      <c r="C6306" s="140" t="s">
        <v>552</v>
      </c>
      <c r="D6306" s="140" t="s">
        <v>66</v>
      </c>
      <c r="E6306" s="140" t="s">
        <v>12</v>
      </c>
      <c r="F6306">
        <v>111</v>
      </c>
      <c r="G6306" s="140" t="s">
        <v>449</v>
      </c>
      <c r="H6306">
        <v>0</v>
      </c>
      <c r="I6306" s="140" t="s">
        <v>62</v>
      </c>
    </row>
    <row r="6307" spans="1:9" hidden="1" x14ac:dyDescent="0.25">
      <c r="A6307">
        <v>2015</v>
      </c>
      <c r="B6307" s="140" t="s">
        <v>61</v>
      </c>
      <c r="C6307" s="140" t="s">
        <v>552</v>
      </c>
      <c r="D6307" s="140" t="s">
        <v>66</v>
      </c>
      <c r="E6307" s="140" t="s">
        <v>12</v>
      </c>
      <c r="F6307">
        <v>110</v>
      </c>
      <c r="G6307" s="140" t="s">
        <v>449</v>
      </c>
      <c r="H6307">
        <v>0</v>
      </c>
      <c r="I6307" s="140" t="s">
        <v>62</v>
      </c>
    </row>
    <row r="6308" spans="1:9" hidden="1" x14ac:dyDescent="0.25">
      <c r="A6308">
        <v>2016</v>
      </c>
      <c r="B6308" s="140" t="s">
        <v>61</v>
      </c>
      <c r="C6308" s="140" t="s">
        <v>552</v>
      </c>
      <c r="D6308" s="140" t="s">
        <v>66</v>
      </c>
      <c r="E6308" s="140" t="s">
        <v>12</v>
      </c>
      <c r="F6308">
        <v>102</v>
      </c>
      <c r="G6308" s="140" t="s">
        <v>449</v>
      </c>
      <c r="H6308">
        <v>0</v>
      </c>
      <c r="I6308" s="140" t="s">
        <v>62</v>
      </c>
    </row>
    <row r="6309" spans="1:9" hidden="1" x14ac:dyDescent="0.25">
      <c r="A6309">
        <v>2017</v>
      </c>
      <c r="B6309" s="140" t="s">
        <v>61</v>
      </c>
      <c r="C6309" s="140" t="s">
        <v>552</v>
      </c>
      <c r="D6309" s="140" t="s">
        <v>66</v>
      </c>
      <c r="E6309" s="140" t="s">
        <v>12</v>
      </c>
      <c r="F6309">
        <v>100</v>
      </c>
      <c r="G6309" s="140" t="s">
        <v>449</v>
      </c>
      <c r="H6309">
        <v>0</v>
      </c>
      <c r="I6309" s="140" t="s">
        <v>62</v>
      </c>
    </row>
    <row r="6310" spans="1:9" hidden="1" x14ac:dyDescent="0.25">
      <c r="A6310">
        <v>2018</v>
      </c>
      <c r="B6310" s="140" t="s">
        <v>61</v>
      </c>
      <c r="C6310" s="140" t="s">
        <v>552</v>
      </c>
      <c r="D6310" s="140" t="s">
        <v>66</v>
      </c>
      <c r="E6310" s="140" t="s">
        <v>12</v>
      </c>
      <c r="F6310">
        <v>102</v>
      </c>
      <c r="G6310" s="140" t="s">
        <v>449</v>
      </c>
      <c r="H6310">
        <v>0</v>
      </c>
      <c r="I6310" s="140" t="s">
        <v>62</v>
      </c>
    </row>
    <row r="6311" spans="1:9" hidden="1" x14ac:dyDescent="0.25">
      <c r="A6311">
        <v>2019</v>
      </c>
      <c r="B6311" s="140" t="s">
        <v>61</v>
      </c>
      <c r="C6311" s="140" t="s">
        <v>552</v>
      </c>
      <c r="D6311" s="140" t="s">
        <v>66</v>
      </c>
      <c r="E6311" s="140" t="s">
        <v>12</v>
      </c>
      <c r="F6311">
        <v>106</v>
      </c>
      <c r="G6311" s="140" t="s">
        <v>449</v>
      </c>
      <c r="H6311">
        <v>0</v>
      </c>
      <c r="I6311" s="140" t="s">
        <v>62</v>
      </c>
    </row>
    <row r="6312" spans="1:9" hidden="1" x14ac:dyDescent="0.25">
      <c r="A6312">
        <v>2020</v>
      </c>
      <c r="B6312" s="140" t="s">
        <v>61</v>
      </c>
      <c r="C6312" s="140" t="s">
        <v>552</v>
      </c>
      <c r="D6312" s="140" t="s">
        <v>66</v>
      </c>
      <c r="E6312" s="140" t="s">
        <v>12</v>
      </c>
      <c r="F6312">
        <v>100</v>
      </c>
      <c r="G6312" s="140" t="s">
        <v>449</v>
      </c>
      <c r="H6312">
        <v>0</v>
      </c>
      <c r="I6312" s="140" t="s">
        <v>62</v>
      </c>
    </row>
    <row r="6313" spans="1:9" hidden="1" x14ac:dyDescent="0.25">
      <c r="A6313">
        <v>2021</v>
      </c>
      <c r="B6313" s="140" t="s">
        <v>61</v>
      </c>
      <c r="C6313" s="140" t="s">
        <v>552</v>
      </c>
      <c r="D6313" s="140" t="s">
        <v>66</v>
      </c>
      <c r="E6313" s="140" t="s">
        <v>12</v>
      </c>
      <c r="F6313">
        <v>107</v>
      </c>
      <c r="G6313" s="140" t="s">
        <v>449</v>
      </c>
      <c r="H6313">
        <v>0</v>
      </c>
      <c r="I6313" s="140" t="s">
        <v>62</v>
      </c>
    </row>
    <row r="6314" spans="1:9" hidden="1" x14ac:dyDescent="0.25">
      <c r="A6314">
        <v>2022</v>
      </c>
      <c r="B6314" s="140" t="s">
        <v>61</v>
      </c>
      <c r="C6314" s="140" t="s">
        <v>552</v>
      </c>
      <c r="D6314" s="140" t="s">
        <v>66</v>
      </c>
      <c r="E6314" s="140" t="s">
        <v>12</v>
      </c>
      <c r="F6314">
        <v>102</v>
      </c>
      <c r="G6314" s="140" t="s">
        <v>449</v>
      </c>
      <c r="H6314">
        <v>0</v>
      </c>
      <c r="I6314" s="140" t="s">
        <v>62</v>
      </c>
    </row>
    <row r="6315" spans="1:9" hidden="1" x14ac:dyDescent="0.25">
      <c r="A6315">
        <v>2023</v>
      </c>
      <c r="B6315" s="140" t="s">
        <v>61</v>
      </c>
      <c r="C6315" s="140" t="s">
        <v>552</v>
      </c>
      <c r="D6315" s="140" t="s">
        <v>66</v>
      </c>
      <c r="E6315" s="140" t="s">
        <v>12</v>
      </c>
      <c r="F6315">
        <v>96</v>
      </c>
      <c r="G6315" s="140" t="s">
        <v>449</v>
      </c>
      <c r="H6315">
        <v>0</v>
      </c>
      <c r="I6315" s="140" t="s">
        <v>62</v>
      </c>
    </row>
    <row r="6316" spans="1:9" hidden="1" x14ac:dyDescent="0.25">
      <c r="A6316">
        <v>2024</v>
      </c>
      <c r="B6316" s="140" t="s">
        <v>61</v>
      </c>
      <c r="C6316" s="140" t="s">
        <v>552</v>
      </c>
      <c r="D6316" s="140" t="s">
        <v>66</v>
      </c>
      <c r="E6316" s="140" t="s">
        <v>12</v>
      </c>
      <c r="F6316">
        <v>95</v>
      </c>
      <c r="G6316" s="140" t="s">
        <v>449</v>
      </c>
      <c r="H6316">
        <v>0</v>
      </c>
      <c r="I6316" s="140" t="s">
        <v>62</v>
      </c>
    </row>
    <row r="6317" spans="1:9" hidden="1" x14ac:dyDescent="0.25">
      <c r="A6317">
        <v>2025</v>
      </c>
      <c r="B6317" s="140" t="s">
        <v>61</v>
      </c>
      <c r="C6317" s="140" t="s">
        <v>552</v>
      </c>
      <c r="D6317" s="140" t="s">
        <v>66</v>
      </c>
      <c r="E6317" s="140" t="s">
        <v>12</v>
      </c>
      <c r="F6317">
        <v>93</v>
      </c>
      <c r="G6317" s="140" t="s">
        <v>449</v>
      </c>
      <c r="H6317">
        <v>0</v>
      </c>
      <c r="I6317" s="140" t="s">
        <v>62</v>
      </c>
    </row>
    <row r="6318" spans="1:9" hidden="1" x14ac:dyDescent="0.25">
      <c r="A6318">
        <v>2026</v>
      </c>
      <c r="B6318" s="140" t="s">
        <v>61</v>
      </c>
      <c r="C6318" s="140" t="s">
        <v>552</v>
      </c>
      <c r="D6318" s="140" t="s">
        <v>66</v>
      </c>
      <c r="E6318" s="140" t="s">
        <v>12</v>
      </c>
      <c r="F6318">
        <v>93</v>
      </c>
      <c r="G6318" s="140" t="s">
        <v>449</v>
      </c>
      <c r="H6318">
        <v>0</v>
      </c>
      <c r="I6318" s="140" t="s">
        <v>62</v>
      </c>
    </row>
    <row r="6319" spans="1:9" hidden="1" x14ac:dyDescent="0.25">
      <c r="A6319">
        <v>2027</v>
      </c>
      <c r="B6319" s="140" t="s">
        <v>61</v>
      </c>
      <c r="C6319" s="140" t="s">
        <v>552</v>
      </c>
      <c r="D6319" s="140" t="s">
        <v>66</v>
      </c>
      <c r="E6319" s="140" t="s">
        <v>12</v>
      </c>
      <c r="F6319">
        <v>93.999844749999994</v>
      </c>
      <c r="G6319" s="140" t="s">
        <v>449</v>
      </c>
      <c r="H6319">
        <v>0</v>
      </c>
      <c r="I6319" s="140" t="s">
        <v>62</v>
      </c>
    </row>
    <row r="6320" spans="1:9" hidden="1" x14ac:dyDescent="0.25">
      <c r="A6320">
        <v>2028</v>
      </c>
      <c r="B6320" s="140" t="s">
        <v>61</v>
      </c>
      <c r="C6320" s="140" t="s">
        <v>552</v>
      </c>
      <c r="D6320" s="140" t="s">
        <v>66</v>
      </c>
      <c r="E6320" s="140" t="s">
        <v>12</v>
      </c>
      <c r="F6320">
        <v>94.766873669999995</v>
      </c>
      <c r="G6320" s="140" t="s">
        <v>449</v>
      </c>
      <c r="H6320">
        <v>0</v>
      </c>
      <c r="I6320" s="140" t="s">
        <v>62</v>
      </c>
    </row>
    <row r="6321" spans="1:9" hidden="1" x14ac:dyDescent="0.25">
      <c r="A6321">
        <v>2009</v>
      </c>
      <c r="B6321" s="140" t="s">
        <v>61</v>
      </c>
      <c r="C6321" s="140" t="s">
        <v>552</v>
      </c>
      <c r="D6321" s="140" t="s">
        <v>34</v>
      </c>
      <c r="E6321" s="140" t="s">
        <v>12</v>
      </c>
      <c r="F6321">
        <v>175</v>
      </c>
      <c r="G6321" s="140" t="s">
        <v>235</v>
      </c>
      <c r="H6321">
        <v>0</v>
      </c>
      <c r="I6321" s="140" t="s">
        <v>62</v>
      </c>
    </row>
    <row r="6322" spans="1:9" hidden="1" x14ac:dyDescent="0.25">
      <c r="A6322">
        <v>2010</v>
      </c>
      <c r="B6322" s="140" t="s">
        <v>61</v>
      </c>
      <c r="C6322" s="140" t="s">
        <v>552</v>
      </c>
      <c r="D6322" s="140" t="s">
        <v>34</v>
      </c>
      <c r="E6322" s="140" t="s">
        <v>12</v>
      </c>
      <c r="F6322">
        <v>173</v>
      </c>
      <c r="G6322" s="140" t="s">
        <v>235</v>
      </c>
      <c r="H6322">
        <v>0</v>
      </c>
      <c r="I6322" s="140" t="s">
        <v>62</v>
      </c>
    </row>
    <row r="6323" spans="1:9" hidden="1" x14ac:dyDescent="0.25">
      <c r="A6323">
        <v>2011</v>
      </c>
      <c r="B6323" s="140" t="s">
        <v>61</v>
      </c>
      <c r="C6323" s="140" t="s">
        <v>552</v>
      </c>
      <c r="D6323" s="140" t="s">
        <v>34</v>
      </c>
      <c r="E6323" s="140" t="s">
        <v>12</v>
      </c>
      <c r="F6323">
        <v>177</v>
      </c>
      <c r="G6323" s="140" t="s">
        <v>235</v>
      </c>
      <c r="H6323">
        <v>0</v>
      </c>
      <c r="I6323" s="140" t="s">
        <v>62</v>
      </c>
    </row>
    <row r="6324" spans="1:9" hidden="1" x14ac:dyDescent="0.25">
      <c r="A6324">
        <v>2012</v>
      </c>
      <c r="B6324" s="140" t="s">
        <v>61</v>
      </c>
      <c r="C6324" s="140" t="s">
        <v>552</v>
      </c>
      <c r="D6324" s="140" t="s">
        <v>34</v>
      </c>
      <c r="E6324" s="140" t="s">
        <v>12</v>
      </c>
      <c r="F6324">
        <v>176</v>
      </c>
      <c r="G6324" s="140" t="s">
        <v>235</v>
      </c>
      <c r="H6324">
        <v>0</v>
      </c>
      <c r="I6324" s="140" t="s">
        <v>62</v>
      </c>
    </row>
    <row r="6325" spans="1:9" hidden="1" x14ac:dyDescent="0.25">
      <c r="A6325">
        <v>2013</v>
      </c>
      <c r="B6325" s="140" t="s">
        <v>61</v>
      </c>
      <c r="C6325" s="140" t="s">
        <v>552</v>
      </c>
      <c r="D6325" s="140" t="s">
        <v>34</v>
      </c>
      <c r="E6325" s="140" t="s">
        <v>12</v>
      </c>
      <c r="F6325">
        <v>176</v>
      </c>
      <c r="G6325" s="140" t="s">
        <v>235</v>
      </c>
      <c r="H6325">
        <v>0</v>
      </c>
      <c r="I6325" s="140" t="s">
        <v>62</v>
      </c>
    </row>
    <row r="6326" spans="1:9" hidden="1" x14ac:dyDescent="0.25">
      <c r="A6326">
        <v>2014</v>
      </c>
      <c r="B6326" s="140" t="s">
        <v>61</v>
      </c>
      <c r="C6326" s="140" t="s">
        <v>552</v>
      </c>
      <c r="D6326" s="140" t="s">
        <v>34</v>
      </c>
      <c r="E6326" s="140" t="s">
        <v>12</v>
      </c>
      <c r="F6326">
        <v>171</v>
      </c>
      <c r="G6326" s="140" t="s">
        <v>235</v>
      </c>
      <c r="H6326">
        <v>0</v>
      </c>
      <c r="I6326" s="140" t="s">
        <v>62</v>
      </c>
    </row>
    <row r="6327" spans="1:9" hidden="1" x14ac:dyDescent="0.25">
      <c r="A6327">
        <v>2015</v>
      </c>
      <c r="B6327" s="140" t="s">
        <v>61</v>
      </c>
      <c r="C6327" s="140" t="s">
        <v>552</v>
      </c>
      <c r="D6327" s="140" t="s">
        <v>34</v>
      </c>
      <c r="E6327" s="140" t="s">
        <v>12</v>
      </c>
      <c r="F6327">
        <v>171</v>
      </c>
      <c r="G6327" s="140" t="s">
        <v>235</v>
      </c>
      <c r="H6327">
        <v>0</v>
      </c>
      <c r="I6327" s="140" t="s">
        <v>62</v>
      </c>
    </row>
    <row r="6328" spans="1:9" hidden="1" x14ac:dyDescent="0.25">
      <c r="A6328">
        <v>2016</v>
      </c>
      <c r="B6328" s="140" t="s">
        <v>61</v>
      </c>
      <c r="C6328" s="140" t="s">
        <v>552</v>
      </c>
      <c r="D6328" s="140" t="s">
        <v>34</v>
      </c>
      <c r="E6328" s="140" t="s">
        <v>12</v>
      </c>
      <c r="F6328">
        <v>181</v>
      </c>
      <c r="G6328" s="140" t="s">
        <v>235</v>
      </c>
      <c r="H6328">
        <v>0</v>
      </c>
      <c r="I6328" s="140" t="s">
        <v>62</v>
      </c>
    </row>
    <row r="6329" spans="1:9" hidden="1" x14ac:dyDescent="0.25">
      <c r="A6329">
        <v>2017</v>
      </c>
      <c r="B6329" s="140" t="s">
        <v>61</v>
      </c>
      <c r="C6329" s="140" t="s">
        <v>552</v>
      </c>
      <c r="D6329" s="140" t="s">
        <v>34</v>
      </c>
      <c r="E6329" s="140" t="s">
        <v>12</v>
      </c>
      <c r="F6329">
        <v>190</v>
      </c>
      <c r="G6329" s="140" t="s">
        <v>235</v>
      </c>
      <c r="H6329">
        <v>0</v>
      </c>
      <c r="I6329" s="140" t="s">
        <v>62</v>
      </c>
    </row>
    <row r="6330" spans="1:9" hidden="1" x14ac:dyDescent="0.25">
      <c r="A6330">
        <v>2018</v>
      </c>
      <c r="B6330" s="140" t="s">
        <v>61</v>
      </c>
      <c r="C6330" s="140" t="s">
        <v>552</v>
      </c>
      <c r="D6330" s="140" t="s">
        <v>34</v>
      </c>
      <c r="E6330" s="140" t="s">
        <v>12</v>
      </c>
      <c r="F6330">
        <v>202</v>
      </c>
      <c r="G6330" s="140" t="s">
        <v>235</v>
      </c>
      <c r="H6330">
        <v>0</v>
      </c>
      <c r="I6330" s="140" t="s">
        <v>62</v>
      </c>
    </row>
    <row r="6331" spans="1:9" hidden="1" x14ac:dyDescent="0.25">
      <c r="A6331">
        <v>2019</v>
      </c>
      <c r="B6331" s="140" t="s">
        <v>61</v>
      </c>
      <c r="C6331" s="140" t="s">
        <v>552</v>
      </c>
      <c r="D6331" s="140" t="s">
        <v>34</v>
      </c>
      <c r="E6331" s="140" t="s">
        <v>12</v>
      </c>
      <c r="F6331">
        <v>196</v>
      </c>
      <c r="G6331" s="140" t="s">
        <v>235</v>
      </c>
      <c r="H6331">
        <v>0</v>
      </c>
      <c r="I6331" s="140" t="s">
        <v>62</v>
      </c>
    </row>
    <row r="6332" spans="1:9" hidden="1" x14ac:dyDescent="0.25">
      <c r="A6332">
        <v>2020</v>
      </c>
      <c r="B6332" s="140" t="s">
        <v>61</v>
      </c>
      <c r="C6332" s="140" t="s">
        <v>552</v>
      </c>
      <c r="D6332" s="140" t="s">
        <v>34</v>
      </c>
      <c r="E6332" s="140" t="s">
        <v>12</v>
      </c>
      <c r="F6332">
        <v>194</v>
      </c>
      <c r="G6332" s="140" t="s">
        <v>235</v>
      </c>
      <c r="H6332">
        <v>0</v>
      </c>
      <c r="I6332" s="140" t="s">
        <v>62</v>
      </c>
    </row>
    <row r="6333" spans="1:9" hidden="1" x14ac:dyDescent="0.25">
      <c r="A6333">
        <v>2021</v>
      </c>
      <c r="B6333" s="140" t="s">
        <v>61</v>
      </c>
      <c r="C6333" s="140" t="s">
        <v>552</v>
      </c>
      <c r="D6333" s="140" t="s">
        <v>34</v>
      </c>
      <c r="E6333" s="140" t="s">
        <v>12</v>
      </c>
      <c r="F6333">
        <v>189</v>
      </c>
      <c r="G6333" s="140" t="s">
        <v>235</v>
      </c>
      <c r="H6333">
        <v>0</v>
      </c>
      <c r="I6333" s="140" t="s">
        <v>62</v>
      </c>
    </row>
    <row r="6334" spans="1:9" hidden="1" x14ac:dyDescent="0.25">
      <c r="A6334">
        <v>2022</v>
      </c>
      <c r="B6334" s="140" t="s">
        <v>61</v>
      </c>
      <c r="C6334" s="140" t="s">
        <v>552</v>
      </c>
      <c r="D6334" s="140" t="s">
        <v>34</v>
      </c>
      <c r="E6334" s="140" t="s">
        <v>12</v>
      </c>
      <c r="F6334">
        <v>184</v>
      </c>
      <c r="G6334" s="140" t="s">
        <v>235</v>
      </c>
      <c r="H6334">
        <v>0</v>
      </c>
      <c r="I6334" s="140" t="s">
        <v>62</v>
      </c>
    </row>
    <row r="6335" spans="1:9" hidden="1" x14ac:dyDescent="0.25">
      <c r="A6335">
        <v>2023</v>
      </c>
      <c r="B6335" s="140" t="s">
        <v>61</v>
      </c>
      <c r="C6335" s="140" t="s">
        <v>552</v>
      </c>
      <c r="D6335" s="140" t="s">
        <v>34</v>
      </c>
      <c r="E6335" s="140" t="s">
        <v>12</v>
      </c>
      <c r="F6335">
        <v>182</v>
      </c>
      <c r="G6335" s="140" t="s">
        <v>235</v>
      </c>
      <c r="H6335">
        <v>0</v>
      </c>
      <c r="I6335" s="140" t="s">
        <v>62</v>
      </c>
    </row>
    <row r="6336" spans="1:9" hidden="1" x14ac:dyDescent="0.25">
      <c r="A6336">
        <v>2024</v>
      </c>
      <c r="B6336" s="140" t="s">
        <v>61</v>
      </c>
      <c r="C6336" s="140" t="s">
        <v>552</v>
      </c>
      <c r="D6336" s="140" t="s">
        <v>34</v>
      </c>
      <c r="E6336" s="140" t="s">
        <v>12</v>
      </c>
      <c r="F6336">
        <v>173</v>
      </c>
      <c r="G6336" s="140" t="s">
        <v>235</v>
      </c>
      <c r="H6336">
        <v>0</v>
      </c>
      <c r="I6336" s="140" t="s">
        <v>62</v>
      </c>
    </row>
    <row r="6337" spans="1:9" hidden="1" x14ac:dyDescent="0.25">
      <c r="A6337">
        <v>2025</v>
      </c>
      <c r="B6337" s="140" t="s">
        <v>61</v>
      </c>
      <c r="C6337" s="140" t="s">
        <v>552</v>
      </c>
      <c r="D6337" s="140" t="s">
        <v>34</v>
      </c>
      <c r="E6337" s="140" t="s">
        <v>12</v>
      </c>
      <c r="F6337">
        <v>178</v>
      </c>
      <c r="G6337" s="140" t="s">
        <v>235</v>
      </c>
      <c r="H6337">
        <v>0</v>
      </c>
      <c r="I6337" s="140" t="s">
        <v>62</v>
      </c>
    </row>
    <row r="6338" spans="1:9" hidden="1" x14ac:dyDescent="0.25">
      <c r="A6338">
        <v>2026</v>
      </c>
      <c r="B6338" s="140" t="s">
        <v>61</v>
      </c>
      <c r="C6338" s="140" t="s">
        <v>552</v>
      </c>
      <c r="D6338" s="140" t="s">
        <v>34</v>
      </c>
      <c r="E6338" s="140" t="s">
        <v>12</v>
      </c>
      <c r="F6338">
        <v>169.1</v>
      </c>
      <c r="G6338" s="140" t="s">
        <v>235</v>
      </c>
      <c r="H6338">
        <v>0</v>
      </c>
      <c r="I6338" s="140" t="s">
        <v>62</v>
      </c>
    </row>
    <row r="6339" spans="1:9" hidden="1" x14ac:dyDescent="0.25">
      <c r="A6339">
        <v>2027</v>
      </c>
      <c r="B6339" s="140" t="s">
        <v>61</v>
      </c>
      <c r="C6339" s="140" t="s">
        <v>552</v>
      </c>
      <c r="D6339" s="140" t="s">
        <v>34</v>
      </c>
      <c r="E6339" s="140" t="s">
        <v>12</v>
      </c>
      <c r="F6339">
        <v>174.34209999999999</v>
      </c>
      <c r="G6339" s="140" t="s">
        <v>235</v>
      </c>
      <c r="H6339">
        <v>0</v>
      </c>
      <c r="I6339" s="140" t="s">
        <v>62</v>
      </c>
    </row>
    <row r="6340" spans="1:9" hidden="1" x14ac:dyDescent="0.25">
      <c r="A6340">
        <v>2028</v>
      </c>
      <c r="B6340" s="140" t="s">
        <v>61</v>
      </c>
      <c r="C6340" s="140" t="s">
        <v>552</v>
      </c>
      <c r="D6340" s="140" t="s">
        <v>34</v>
      </c>
      <c r="E6340" s="140" t="s">
        <v>12</v>
      </c>
      <c r="F6340">
        <v>178.0032841</v>
      </c>
      <c r="G6340" s="140" t="s">
        <v>235</v>
      </c>
      <c r="H6340">
        <v>0</v>
      </c>
      <c r="I6340" s="140" t="s">
        <v>62</v>
      </c>
    </row>
    <row r="6341" spans="1:9" hidden="1" x14ac:dyDescent="0.25">
      <c r="A6341">
        <v>2009</v>
      </c>
      <c r="B6341" s="140" t="s">
        <v>61</v>
      </c>
      <c r="C6341" s="140" t="s">
        <v>552</v>
      </c>
      <c r="D6341" s="140" t="s">
        <v>64</v>
      </c>
      <c r="E6341" s="140" t="s">
        <v>12</v>
      </c>
      <c r="F6341">
        <v>1723</v>
      </c>
      <c r="G6341" s="140" t="s">
        <v>65</v>
      </c>
      <c r="H6341">
        <v>0</v>
      </c>
      <c r="I6341" s="140" t="s">
        <v>62</v>
      </c>
    </row>
    <row r="6342" spans="1:9" hidden="1" x14ac:dyDescent="0.25">
      <c r="A6342">
        <v>2010</v>
      </c>
      <c r="B6342" s="140" t="s">
        <v>61</v>
      </c>
      <c r="C6342" s="140" t="s">
        <v>552</v>
      </c>
      <c r="D6342" s="140" t="s">
        <v>64</v>
      </c>
      <c r="E6342" s="140" t="s">
        <v>12</v>
      </c>
      <c r="F6342">
        <v>1726</v>
      </c>
      <c r="G6342" s="140" t="s">
        <v>65</v>
      </c>
      <c r="H6342">
        <v>0</v>
      </c>
      <c r="I6342" s="140" t="s">
        <v>62</v>
      </c>
    </row>
    <row r="6343" spans="1:9" hidden="1" x14ac:dyDescent="0.25">
      <c r="A6343">
        <v>2011</v>
      </c>
      <c r="B6343" s="140" t="s">
        <v>61</v>
      </c>
      <c r="C6343" s="140" t="s">
        <v>552</v>
      </c>
      <c r="D6343" s="140" t="s">
        <v>64</v>
      </c>
      <c r="E6343" s="140" t="s">
        <v>12</v>
      </c>
      <c r="F6343">
        <v>1758</v>
      </c>
      <c r="G6343" s="140" t="s">
        <v>65</v>
      </c>
      <c r="H6343">
        <v>0</v>
      </c>
      <c r="I6343" s="140" t="s">
        <v>62</v>
      </c>
    </row>
    <row r="6344" spans="1:9" hidden="1" x14ac:dyDescent="0.25">
      <c r="A6344">
        <v>2012</v>
      </c>
      <c r="B6344" s="140" t="s">
        <v>61</v>
      </c>
      <c r="C6344" s="140" t="s">
        <v>552</v>
      </c>
      <c r="D6344" s="140" t="s">
        <v>64</v>
      </c>
      <c r="E6344" s="140" t="s">
        <v>12</v>
      </c>
      <c r="F6344">
        <v>1775</v>
      </c>
      <c r="G6344" s="140" t="s">
        <v>65</v>
      </c>
      <c r="H6344">
        <v>0</v>
      </c>
      <c r="I6344" s="140" t="s">
        <v>62</v>
      </c>
    </row>
    <row r="6345" spans="1:9" hidden="1" x14ac:dyDescent="0.25">
      <c r="A6345">
        <v>2013</v>
      </c>
      <c r="B6345" s="140" t="s">
        <v>61</v>
      </c>
      <c r="C6345" s="140" t="s">
        <v>552</v>
      </c>
      <c r="D6345" s="140" t="s">
        <v>64</v>
      </c>
      <c r="E6345" s="140" t="s">
        <v>12</v>
      </c>
      <c r="F6345">
        <v>1757</v>
      </c>
      <c r="G6345" s="140" t="s">
        <v>65</v>
      </c>
      <c r="H6345">
        <v>0</v>
      </c>
      <c r="I6345" s="140" t="s">
        <v>62</v>
      </c>
    </row>
    <row r="6346" spans="1:9" hidden="1" x14ac:dyDescent="0.25">
      <c r="A6346">
        <v>2014</v>
      </c>
      <c r="B6346" s="140" t="s">
        <v>61</v>
      </c>
      <c r="C6346" s="140" t="s">
        <v>552</v>
      </c>
      <c r="D6346" s="140" t="s">
        <v>64</v>
      </c>
      <c r="E6346" s="140" t="s">
        <v>12</v>
      </c>
      <c r="F6346">
        <v>1769</v>
      </c>
      <c r="G6346" s="140" t="s">
        <v>65</v>
      </c>
      <c r="H6346">
        <v>0</v>
      </c>
      <c r="I6346" s="140" t="s">
        <v>62</v>
      </c>
    </row>
    <row r="6347" spans="1:9" hidden="1" x14ac:dyDescent="0.25">
      <c r="A6347">
        <v>2015</v>
      </c>
      <c r="B6347" s="140" t="s">
        <v>61</v>
      </c>
      <c r="C6347" s="140" t="s">
        <v>552</v>
      </c>
      <c r="D6347" s="140" t="s">
        <v>64</v>
      </c>
      <c r="E6347" s="140" t="s">
        <v>12</v>
      </c>
      <c r="F6347">
        <v>1765</v>
      </c>
      <c r="G6347" s="140" t="s">
        <v>65</v>
      </c>
      <c r="H6347">
        <v>0</v>
      </c>
      <c r="I6347" s="140" t="s">
        <v>62</v>
      </c>
    </row>
    <row r="6348" spans="1:9" hidden="1" x14ac:dyDescent="0.25">
      <c r="A6348">
        <v>2016</v>
      </c>
      <c r="B6348" s="140" t="s">
        <v>61</v>
      </c>
      <c r="C6348" s="140" t="s">
        <v>552</v>
      </c>
      <c r="D6348" s="140" t="s">
        <v>64</v>
      </c>
      <c r="E6348" s="140" t="s">
        <v>12</v>
      </c>
      <c r="F6348">
        <v>1774</v>
      </c>
      <c r="G6348" s="140" t="s">
        <v>65</v>
      </c>
      <c r="H6348">
        <v>0</v>
      </c>
      <c r="I6348" s="140" t="s">
        <v>62</v>
      </c>
    </row>
    <row r="6349" spans="1:9" hidden="1" x14ac:dyDescent="0.25">
      <c r="A6349">
        <v>2017</v>
      </c>
      <c r="B6349" s="140" t="s">
        <v>61</v>
      </c>
      <c r="C6349" s="140" t="s">
        <v>552</v>
      </c>
      <c r="D6349" s="140" t="s">
        <v>64</v>
      </c>
      <c r="E6349" s="140" t="s">
        <v>12</v>
      </c>
      <c r="F6349">
        <v>1795</v>
      </c>
      <c r="G6349" s="140" t="s">
        <v>65</v>
      </c>
      <c r="H6349">
        <v>0</v>
      </c>
      <c r="I6349" s="140" t="s">
        <v>62</v>
      </c>
    </row>
    <row r="6350" spans="1:9" hidden="1" x14ac:dyDescent="0.25">
      <c r="A6350">
        <v>2018</v>
      </c>
      <c r="B6350" s="140" t="s">
        <v>61</v>
      </c>
      <c r="C6350" s="140" t="s">
        <v>552</v>
      </c>
      <c r="D6350" s="140" t="s">
        <v>64</v>
      </c>
      <c r="E6350" s="140" t="s">
        <v>12</v>
      </c>
      <c r="F6350">
        <v>1838</v>
      </c>
      <c r="G6350" s="140" t="s">
        <v>65</v>
      </c>
      <c r="H6350">
        <v>0</v>
      </c>
      <c r="I6350" s="140" t="s">
        <v>62</v>
      </c>
    </row>
    <row r="6351" spans="1:9" hidden="1" x14ac:dyDescent="0.25">
      <c r="A6351">
        <v>2019</v>
      </c>
      <c r="B6351" s="140" t="s">
        <v>61</v>
      </c>
      <c r="C6351" s="140" t="s">
        <v>552</v>
      </c>
      <c r="D6351" s="140" t="s">
        <v>64</v>
      </c>
      <c r="E6351" s="140" t="s">
        <v>12</v>
      </c>
      <c r="F6351">
        <v>1874</v>
      </c>
      <c r="G6351" s="140" t="s">
        <v>65</v>
      </c>
      <c r="H6351">
        <v>0</v>
      </c>
      <c r="I6351" s="140" t="s">
        <v>62</v>
      </c>
    </row>
    <row r="6352" spans="1:9" hidden="1" x14ac:dyDescent="0.25">
      <c r="A6352">
        <v>2020</v>
      </c>
      <c r="B6352" s="140" t="s">
        <v>61</v>
      </c>
      <c r="C6352" s="140" t="s">
        <v>552</v>
      </c>
      <c r="D6352" s="140" t="s">
        <v>64</v>
      </c>
      <c r="E6352" s="140" t="s">
        <v>12</v>
      </c>
      <c r="F6352">
        <v>1837</v>
      </c>
      <c r="G6352" s="140" t="s">
        <v>65</v>
      </c>
      <c r="H6352">
        <v>0</v>
      </c>
      <c r="I6352" s="140" t="s">
        <v>62</v>
      </c>
    </row>
    <row r="6353" spans="1:9" hidden="1" x14ac:dyDescent="0.25">
      <c r="A6353">
        <v>2021</v>
      </c>
      <c r="B6353" s="140" t="s">
        <v>61</v>
      </c>
      <c r="C6353" s="140" t="s">
        <v>552</v>
      </c>
      <c r="D6353" s="140" t="s">
        <v>64</v>
      </c>
      <c r="E6353" s="140" t="s">
        <v>12</v>
      </c>
      <c r="F6353">
        <v>1892</v>
      </c>
      <c r="G6353" s="140" t="s">
        <v>65</v>
      </c>
      <c r="H6353">
        <v>0</v>
      </c>
      <c r="I6353" s="140" t="s">
        <v>62</v>
      </c>
    </row>
    <row r="6354" spans="1:9" hidden="1" x14ac:dyDescent="0.25">
      <c r="A6354">
        <v>2022</v>
      </c>
      <c r="B6354" s="140" t="s">
        <v>61</v>
      </c>
      <c r="C6354" s="140" t="s">
        <v>552</v>
      </c>
      <c r="D6354" s="140" t="s">
        <v>64</v>
      </c>
      <c r="E6354" s="140" t="s">
        <v>12</v>
      </c>
      <c r="F6354">
        <v>1949</v>
      </c>
      <c r="G6354" s="140" t="s">
        <v>65</v>
      </c>
      <c r="H6354">
        <v>0</v>
      </c>
      <c r="I6354" s="140" t="s">
        <v>62</v>
      </c>
    </row>
    <row r="6355" spans="1:9" hidden="1" x14ac:dyDescent="0.25">
      <c r="A6355">
        <v>2023</v>
      </c>
      <c r="B6355" s="140" t="s">
        <v>61</v>
      </c>
      <c r="C6355" s="140" t="s">
        <v>552</v>
      </c>
      <c r="D6355" s="140" t="s">
        <v>64</v>
      </c>
      <c r="E6355" s="140" t="s">
        <v>12</v>
      </c>
      <c r="F6355">
        <v>1955</v>
      </c>
      <c r="G6355" s="140" t="s">
        <v>65</v>
      </c>
      <c r="H6355">
        <v>0</v>
      </c>
      <c r="I6355" s="140" t="s">
        <v>62</v>
      </c>
    </row>
    <row r="6356" spans="1:9" hidden="1" x14ac:dyDescent="0.25">
      <c r="A6356">
        <v>2024</v>
      </c>
      <c r="B6356" s="140" t="s">
        <v>61</v>
      </c>
      <c r="C6356" s="140" t="s">
        <v>552</v>
      </c>
      <c r="D6356" s="140" t="s">
        <v>64</v>
      </c>
      <c r="E6356" s="140" t="s">
        <v>12</v>
      </c>
      <c r="F6356">
        <v>1956</v>
      </c>
      <c r="G6356" s="140" t="s">
        <v>65</v>
      </c>
      <c r="H6356">
        <v>0</v>
      </c>
      <c r="I6356" s="140" t="s">
        <v>62</v>
      </c>
    </row>
    <row r="6357" spans="1:9" hidden="1" x14ac:dyDescent="0.25">
      <c r="A6357">
        <v>2025</v>
      </c>
      <c r="B6357" s="140" t="s">
        <v>61</v>
      </c>
      <c r="C6357" s="140" t="s">
        <v>552</v>
      </c>
      <c r="D6357" s="140" t="s">
        <v>64</v>
      </c>
      <c r="E6357" s="140" t="s">
        <v>12</v>
      </c>
      <c r="F6357">
        <v>1941</v>
      </c>
      <c r="G6357" s="140" t="s">
        <v>65</v>
      </c>
      <c r="H6357">
        <v>0</v>
      </c>
      <c r="I6357" s="140" t="s">
        <v>62</v>
      </c>
    </row>
    <row r="6358" spans="1:9" hidden="1" x14ac:dyDescent="0.25">
      <c r="A6358">
        <v>2026</v>
      </c>
      <c r="B6358" s="140" t="s">
        <v>61</v>
      </c>
      <c r="C6358" s="140" t="s">
        <v>552</v>
      </c>
      <c r="D6358" s="140" t="s">
        <v>64</v>
      </c>
      <c r="E6358" s="140" t="s">
        <v>12</v>
      </c>
      <c r="F6358">
        <v>1948.9604979999999</v>
      </c>
      <c r="G6358" s="140" t="s">
        <v>65</v>
      </c>
      <c r="H6358">
        <v>0</v>
      </c>
      <c r="I6358" s="140" t="s">
        <v>62</v>
      </c>
    </row>
    <row r="6359" spans="1:9" hidden="1" x14ac:dyDescent="0.25">
      <c r="A6359">
        <v>2027</v>
      </c>
      <c r="B6359" s="140" t="s">
        <v>61</v>
      </c>
      <c r="C6359" s="140" t="s">
        <v>552</v>
      </c>
      <c r="D6359" s="140" t="s">
        <v>64</v>
      </c>
      <c r="E6359" s="140" t="s">
        <v>12</v>
      </c>
      <c r="F6359">
        <v>1968.1671960000001</v>
      </c>
      <c r="G6359" s="140" t="s">
        <v>65</v>
      </c>
      <c r="H6359">
        <v>0</v>
      </c>
      <c r="I6359" s="140" t="s">
        <v>62</v>
      </c>
    </row>
    <row r="6360" spans="1:9" hidden="1" x14ac:dyDescent="0.25">
      <c r="A6360">
        <v>2028</v>
      </c>
      <c r="B6360" s="140" t="s">
        <v>61</v>
      </c>
      <c r="C6360" s="140" t="s">
        <v>552</v>
      </c>
      <c r="D6360" s="140" t="s">
        <v>64</v>
      </c>
      <c r="E6360" s="140" t="s">
        <v>12</v>
      </c>
      <c r="F6360">
        <v>1983.821451</v>
      </c>
      <c r="G6360" s="140" t="s">
        <v>65</v>
      </c>
      <c r="H6360">
        <v>0</v>
      </c>
      <c r="I6360" s="140" t="s">
        <v>62</v>
      </c>
    </row>
    <row r="6361" spans="1:9" hidden="1" x14ac:dyDescent="0.25">
      <c r="A6361">
        <v>2009</v>
      </c>
      <c r="B6361" s="140" t="s">
        <v>61</v>
      </c>
      <c r="C6361" s="140" t="s">
        <v>552</v>
      </c>
      <c r="D6361" s="140" t="s">
        <v>63</v>
      </c>
      <c r="E6361" s="140" t="s">
        <v>12</v>
      </c>
      <c r="F6361">
        <v>9</v>
      </c>
      <c r="G6361" s="140" t="s">
        <v>450</v>
      </c>
      <c r="H6361">
        <v>0</v>
      </c>
      <c r="I6361" s="140" t="s">
        <v>62</v>
      </c>
    </row>
    <row r="6362" spans="1:9" hidden="1" x14ac:dyDescent="0.25">
      <c r="A6362">
        <v>2010</v>
      </c>
      <c r="B6362" s="140" t="s">
        <v>61</v>
      </c>
      <c r="C6362" s="140" t="s">
        <v>552</v>
      </c>
      <c r="D6362" s="140" t="s">
        <v>63</v>
      </c>
      <c r="E6362" s="140" t="s">
        <v>12</v>
      </c>
      <c r="F6362">
        <v>12</v>
      </c>
      <c r="G6362" s="140" t="s">
        <v>450</v>
      </c>
      <c r="H6362">
        <v>0</v>
      </c>
      <c r="I6362" s="140" t="s">
        <v>62</v>
      </c>
    </row>
    <row r="6363" spans="1:9" hidden="1" x14ac:dyDescent="0.25">
      <c r="A6363">
        <v>2011</v>
      </c>
      <c r="B6363" s="140" t="s">
        <v>61</v>
      </c>
      <c r="C6363" s="140" t="s">
        <v>552</v>
      </c>
      <c r="D6363" s="140" t="s">
        <v>63</v>
      </c>
      <c r="E6363" s="140" t="s">
        <v>12</v>
      </c>
      <c r="F6363">
        <v>11</v>
      </c>
      <c r="G6363" s="140" t="s">
        <v>450</v>
      </c>
      <c r="H6363">
        <v>0</v>
      </c>
      <c r="I6363" s="140" t="s">
        <v>62</v>
      </c>
    </row>
    <row r="6364" spans="1:9" hidden="1" x14ac:dyDescent="0.25">
      <c r="A6364">
        <v>2012</v>
      </c>
      <c r="B6364" s="140" t="s">
        <v>61</v>
      </c>
      <c r="C6364" s="140" t="s">
        <v>552</v>
      </c>
      <c r="D6364" s="140" t="s">
        <v>63</v>
      </c>
      <c r="E6364" s="140" t="s">
        <v>12</v>
      </c>
      <c r="F6364">
        <v>11</v>
      </c>
      <c r="G6364" s="140" t="s">
        <v>450</v>
      </c>
      <c r="H6364">
        <v>0</v>
      </c>
      <c r="I6364" s="140" t="s">
        <v>62</v>
      </c>
    </row>
    <row r="6365" spans="1:9" hidden="1" x14ac:dyDescent="0.25">
      <c r="A6365">
        <v>2013</v>
      </c>
      <c r="B6365" s="140" t="s">
        <v>61</v>
      </c>
      <c r="C6365" s="140" t="s">
        <v>552</v>
      </c>
      <c r="D6365" s="140" t="s">
        <v>63</v>
      </c>
      <c r="E6365" s="140" t="s">
        <v>12</v>
      </c>
      <c r="F6365">
        <v>11</v>
      </c>
      <c r="G6365" s="140" t="s">
        <v>450</v>
      </c>
      <c r="H6365">
        <v>0</v>
      </c>
      <c r="I6365" s="140" t="s">
        <v>62</v>
      </c>
    </row>
    <row r="6366" spans="1:9" hidden="1" x14ac:dyDescent="0.25">
      <c r="A6366">
        <v>2014</v>
      </c>
      <c r="B6366" s="140" t="s">
        <v>61</v>
      </c>
      <c r="C6366" s="140" t="s">
        <v>552</v>
      </c>
      <c r="D6366" s="140" t="s">
        <v>63</v>
      </c>
      <c r="E6366" s="140" t="s">
        <v>12</v>
      </c>
      <c r="F6366">
        <v>12</v>
      </c>
      <c r="G6366" s="140" t="s">
        <v>450</v>
      </c>
      <c r="H6366">
        <v>0</v>
      </c>
      <c r="I6366" s="140" t="s">
        <v>62</v>
      </c>
    </row>
    <row r="6367" spans="1:9" hidden="1" x14ac:dyDescent="0.25">
      <c r="A6367">
        <v>2015</v>
      </c>
      <c r="B6367" s="140" t="s">
        <v>61</v>
      </c>
      <c r="C6367" s="140" t="s">
        <v>552</v>
      </c>
      <c r="D6367" s="140" t="s">
        <v>63</v>
      </c>
      <c r="E6367" s="140" t="s">
        <v>12</v>
      </c>
      <c r="F6367">
        <v>9</v>
      </c>
      <c r="G6367" s="140" t="s">
        <v>450</v>
      </c>
      <c r="H6367">
        <v>0</v>
      </c>
      <c r="I6367" s="140" t="s">
        <v>62</v>
      </c>
    </row>
    <row r="6368" spans="1:9" hidden="1" x14ac:dyDescent="0.25">
      <c r="A6368">
        <v>2016</v>
      </c>
      <c r="B6368" s="140" t="s">
        <v>61</v>
      </c>
      <c r="C6368" s="140" t="s">
        <v>552</v>
      </c>
      <c r="D6368" s="140" t="s">
        <v>63</v>
      </c>
      <c r="E6368" s="140" t="s">
        <v>12</v>
      </c>
      <c r="F6368">
        <v>8</v>
      </c>
      <c r="G6368" s="140" t="s">
        <v>450</v>
      </c>
      <c r="H6368">
        <v>0</v>
      </c>
      <c r="I6368" s="140" t="s">
        <v>62</v>
      </c>
    </row>
    <row r="6369" spans="1:9" hidden="1" x14ac:dyDescent="0.25">
      <c r="A6369">
        <v>2017</v>
      </c>
      <c r="B6369" s="140" t="s">
        <v>61</v>
      </c>
      <c r="C6369" s="140" t="s">
        <v>552</v>
      </c>
      <c r="D6369" s="140" t="s">
        <v>63</v>
      </c>
      <c r="E6369" s="140" t="s">
        <v>12</v>
      </c>
      <c r="F6369">
        <v>5</v>
      </c>
      <c r="G6369" s="140" t="s">
        <v>450</v>
      </c>
      <c r="H6369">
        <v>0</v>
      </c>
      <c r="I6369" s="140" t="s">
        <v>62</v>
      </c>
    </row>
    <row r="6370" spans="1:9" hidden="1" x14ac:dyDescent="0.25">
      <c r="A6370">
        <v>2018</v>
      </c>
      <c r="B6370" s="140" t="s">
        <v>61</v>
      </c>
      <c r="C6370" s="140" t="s">
        <v>552</v>
      </c>
      <c r="D6370" s="140" t="s">
        <v>63</v>
      </c>
      <c r="E6370" s="140" t="s">
        <v>12</v>
      </c>
      <c r="F6370">
        <v>7</v>
      </c>
      <c r="G6370" s="140" t="s">
        <v>450</v>
      </c>
      <c r="H6370">
        <v>0</v>
      </c>
      <c r="I6370" s="140" t="s">
        <v>62</v>
      </c>
    </row>
    <row r="6371" spans="1:9" hidden="1" x14ac:dyDescent="0.25">
      <c r="A6371">
        <v>2019</v>
      </c>
      <c r="B6371" s="140" t="s">
        <v>61</v>
      </c>
      <c r="C6371" s="140" t="s">
        <v>552</v>
      </c>
      <c r="D6371" s="140" t="s">
        <v>63</v>
      </c>
      <c r="E6371" s="140" t="s">
        <v>12</v>
      </c>
      <c r="F6371">
        <v>8</v>
      </c>
      <c r="G6371" s="140" t="s">
        <v>450</v>
      </c>
      <c r="H6371">
        <v>0</v>
      </c>
      <c r="I6371" s="140" t="s">
        <v>62</v>
      </c>
    </row>
    <row r="6372" spans="1:9" hidden="1" x14ac:dyDescent="0.25">
      <c r="A6372">
        <v>2020</v>
      </c>
      <c r="B6372" s="140" t="s">
        <v>61</v>
      </c>
      <c r="C6372" s="140" t="s">
        <v>552</v>
      </c>
      <c r="D6372" s="140" t="s">
        <v>63</v>
      </c>
      <c r="E6372" s="140" t="s">
        <v>12</v>
      </c>
      <c r="F6372">
        <v>7</v>
      </c>
      <c r="G6372" s="140" t="s">
        <v>450</v>
      </c>
      <c r="H6372">
        <v>0</v>
      </c>
      <c r="I6372" s="140" t="s">
        <v>62</v>
      </c>
    </row>
    <row r="6373" spans="1:9" hidden="1" x14ac:dyDescent="0.25">
      <c r="A6373">
        <v>2021</v>
      </c>
      <c r="B6373" s="140" t="s">
        <v>61</v>
      </c>
      <c r="C6373" s="140" t="s">
        <v>552</v>
      </c>
      <c r="D6373" s="140" t="s">
        <v>63</v>
      </c>
      <c r="E6373" s="140" t="s">
        <v>12</v>
      </c>
      <c r="F6373">
        <v>16</v>
      </c>
      <c r="G6373" s="140" t="s">
        <v>450</v>
      </c>
      <c r="H6373">
        <v>0</v>
      </c>
      <c r="I6373" s="140" t="s">
        <v>62</v>
      </c>
    </row>
    <row r="6374" spans="1:9" hidden="1" x14ac:dyDescent="0.25">
      <c r="A6374">
        <v>2022</v>
      </c>
      <c r="B6374" s="140" t="s">
        <v>61</v>
      </c>
      <c r="C6374" s="140" t="s">
        <v>552</v>
      </c>
      <c r="D6374" s="140" t="s">
        <v>63</v>
      </c>
      <c r="E6374" s="140" t="s">
        <v>12</v>
      </c>
      <c r="F6374">
        <v>18</v>
      </c>
      <c r="G6374" s="140" t="s">
        <v>450</v>
      </c>
      <c r="H6374">
        <v>0</v>
      </c>
      <c r="I6374" s="140" t="s">
        <v>62</v>
      </c>
    </row>
    <row r="6375" spans="1:9" hidden="1" x14ac:dyDescent="0.25">
      <c r="A6375">
        <v>2023</v>
      </c>
      <c r="B6375" s="140" t="s">
        <v>61</v>
      </c>
      <c r="C6375" s="140" t="s">
        <v>552</v>
      </c>
      <c r="D6375" s="140" t="s">
        <v>63</v>
      </c>
      <c r="E6375" s="140" t="s">
        <v>12</v>
      </c>
      <c r="F6375">
        <v>20</v>
      </c>
      <c r="G6375" s="140" t="s">
        <v>450</v>
      </c>
      <c r="H6375">
        <v>0</v>
      </c>
      <c r="I6375" s="140" t="s">
        <v>62</v>
      </c>
    </row>
    <row r="6376" spans="1:9" hidden="1" x14ac:dyDescent="0.25">
      <c r="A6376">
        <v>2024</v>
      </c>
      <c r="B6376" s="140" t="s">
        <v>61</v>
      </c>
      <c r="C6376" s="140" t="s">
        <v>552</v>
      </c>
      <c r="D6376" s="140" t="s">
        <v>63</v>
      </c>
      <c r="E6376" s="140" t="s">
        <v>12</v>
      </c>
      <c r="F6376">
        <v>15</v>
      </c>
      <c r="G6376" s="140" t="s">
        <v>450</v>
      </c>
      <c r="H6376">
        <v>0</v>
      </c>
      <c r="I6376" s="140" t="s">
        <v>62</v>
      </c>
    </row>
    <row r="6377" spans="1:9" hidden="1" x14ac:dyDescent="0.25">
      <c r="A6377">
        <v>2025</v>
      </c>
      <c r="B6377" s="140" t="s">
        <v>61</v>
      </c>
      <c r="C6377" s="140" t="s">
        <v>552</v>
      </c>
      <c r="D6377" s="140" t="s">
        <v>63</v>
      </c>
      <c r="E6377" s="140" t="s">
        <v>12</v>
      </c>
      <c r="F6377">
        <v>14</v>
      </c>
      <c r="G6377" s="140" t="s">
        <v>450</v>
      </c>
      <c r="H6377">
        <v>0</v>
      </c>
      <c r="I6377" s="140" t="s">
        <v>62</v>
      </c>
    </row>
    <row r="6378" spans="1:9" hidden="1" x14ac:dyDescent="0.25">
      <c r="A6378">
        <v>2026</v>
      </c>
      <c r="B6378" s="140" t="s">
        <v>61</v>
      </c>
      <c r="C6378" s="140" t="s">
        <v>552</v>
      </c>
      <c r="D6378" s="140" t="s">
        <v>63</v>
      </c>
      <c r="E6378" s="140" t="s">
        <v>12</v>
      </c>
      <c r="F6378">
        <v>13.935546179999999</v>
      </c>
      <c r="G6378" s="140" t="s">
        <v>450</v>
      </c>
      <c r="H6378">
        <v>0</v>
      </c>
      <c r="I6378" s="140" t="s">
        <v>62</v>
      </c>
    </row>
    <row r="6379" spans="1:9" hidden="1" x14ac:dyDescent="0.25">
      <c r="A6379">
        <v>2027</v>
      </c>
      <c r="B6379" s="140" t="s">
        <v>61</v>
      </c>
      <c r="C6379" s="140" t="s">
        <v>552</v>
      </c>
      <c r="D6379" s="140" t="s">
        <v>63</v>
      </c>
      <c r="E6379" s="140" t="s">
        <v>12</v>
      </c>
      <c r="F6379">
        <v>14.0853675</v>
      </c>
      <c r="G6379" s="140" t="s">
        <v>450</v>
      </c>
      <c r="H6379">
        <v>0</v>
      </c>
      <c r="I6379" s="140" t="s">
        <v>62</v>
      </c>
    </row>
    <row r="6380" spans="1:9" hidden="1" x14ac:dyDescent="0.25">
      <c r="A6380">
        <v>2028</v>
      </c>
      <c r="B6380" s="140" t="s">
        <v>61</v>
      </c>
      <c r="C6380" s="140" t="s">
        <v>552</v>
      </c>
      <c r="D6380" s="140" t="s">
        <v>63</v>
      </c>
      <c r="E6380" s="140" t="s">
        <v>12</v>
      </c>
      <c r="F6380">
        <v>14.200302629999999</v>
      </c>
      <c r="G6380" s="140" t="s">
        <v>450</v>
      </c>
      <c r="H6380">
        <v>0</v>
      </c>
      <c r="I6380" s="140" t="s">
        <v>62</v>
      </c>
    </row>
    <row r="6381" spans="1:9" hidden="1" x14ac:dyDescent="0.25">
      <c r="A6381">
        <v>2009</v>
      </c>
      <c r="B6381" s="140" t="s">
        <v>71</v>
      </c>
      <c r="C6381" s="140" t="s">
        <v>553</v>
      </c>
      <c r="D6381" s="140" t="s">
        <v>70</v>
      </c>
      <c r="E6381" s="140" t="s">
        <v>12</v>
      </c>
      <c r="F6381">
        <v>2091</v>
      </c>
      <c r="G6381" s="140" t="s">
        <v>451</v>
      </c>
      <c r="H6381">
        <v>0</v>
      </c>
      <c r="I6381" s="140" t="s">
        <v>62</v>
      </c>
    </row>
    <row r="6382" spans="1:9" hidden="1" x14ac:dyDescent="0.25">
      <c r="A6382">
        <v>2010</v>
      </c>
      <c r="B6382" s="140" t="s">
        <v>71</v>
      </c>
      <c r="C6382" s="140" t="s">
        <v>553</v>
      </c>
      <c r="D6382" s="140" t="s">
        <v>70</v>
      </c>
      <c r="E6382" s="140" t="s">
        <v>12</v>
      </c>
      <c r="F6382">
        <v>2082</v>
      </c>
      <c r="G6382" s="140" t="s">
        <v>451</v>
      </c>
      <c r="H6382">
        <v>0</v>
      </c>
      <c r="I6382" s="140" t="s">
        <v>62</v>
      </c>
    </row>
    <row r="6383" spans="1:9" hidden="1" x14ac:dyDescent="0.25">
      <c r="A6383">
        <v>2011</v>
      </c>
      <c r="B6383" s="140" t="s">
        <v>71</v>
      </c>
      <c r="C6383" s="140" t="s">
        <v>553</v>
      </c>
      <c r="D6383" s="140" t="s">
        <v>70</v>
      </c>
      <c r="E6383" s="140" t="s">
        <v>12</v>
      </c>
      <c r="F6383">
        <v>2104</v>
      </c>
      <c r="G6383" s="140" t="s">
        <v>451</v>
      </c>
      <c r="H6383">
        <v>0</v>
      </c>
      <c r="I6383" s="140" t="s">
        <v>62</v>
      </c>
    </row>
    <row r="6384" spans="1:9" hidden="1" x14ac:dyDescent="0.25">
      <c r="A6384">
        <v>2012</v>
      </c>
      <c r="B6384" s="140" t="s">
        <v>71</v>
      </c>
      <c r="C6384" s="140" t="s">
        <v>553</v>
      </c>
      <c r="D6384" s="140" t="s">
        <v>70</v>
      </c>
      <c r="E6384" s="140" t="s">
        <v>12</v>
      </c>
      <c r="F6384">
        <v>2110</v>
      </c>
      <c r="G6384" s="140" t="s">
        <v>451</v>
      </c>
      <c r="H6384">
        <v>0</v>
      </c>
      <c r="I6384" s="140" t="s">
        <v>62</v>
      </c>
    </row>
    <row r="6385" spans="1:9" hidden="1" x14ac:dyDescent="0.25">
      <c r="A6385">
        <v>2013</v>
      </c>
      <c r="B6385" s="140" t="s">
        <v>71</v>
      </c>
      <c r="C6385" s="140" t="s">
        <v>553</v>
      </c>
      <c r="D6385" s="140" t="s">
        <v>70</v>
      </c>
      <c r="E6385" s="140" t="s">
        <v>12</v>
      </c>
      <c r="F6385">
        <v>2093</v>
      </c>
      <c r="G6385" s="140" t="s">
        <v>451</v>
      </c>
      <c r="H6385">
        <v>0</v>
      </c>
      <c r="I6385" s="140" t="s">
        <v>62</v>
      </c>
    </row>
    <row r="6386" spans="1:9" hidden="1" x14ac:dyDescent="0.25">
      <c r="A6386">
        <v>2014</v>
      </c>
      <c r="B6386" s="140" t="s">
        <v>71</v>
      </c>
      <c r="C6386" s="140" t="s">
        <v>553</v>
      </c>
      <c r="D6386" s="140" t="s">
        <v>70</v>
      </c>
      <c r="E6386" s="140" t="s">
        <v>12</v>
      </c>
      <c r="F6386">
        <v>2072</v>
      </c>
      <c r="G6386" s="140" t="s">
        <v>451</v>
      </c>
      <c r="H6386">
        <v>0</v>
      </c>
      <c r="I6386" s="140" t="s">
        <v>62</v>
      </c>
    </row>
    <row r="6387" spans="1:9" hidden="1" x14ac:dyDescent="0.25">
      <c r="A6387">
        <v>2015</v>
      </c>
      <c r="B6387" s="140" t="s">
        <v>71</v>
      </c>
      <c r="C6387" s="140" t="s">
        <v>553</v>
      </c>
      <c r="D6387" s="140" t="s">
        <v>70</v>
      </c>
      <c r="E6387" s="140" t="s">
        <v>12</v>
      </c>
      <c r="F6387">
        <v>2050</v>
      </c>
      <c r="G6387" s="140" t="s">
        <v>451</v>
      </c>
      <c r="H6387">
        <v>0</v>
      </c>
      <c r="I6387" s="140" t="s">
        <v>62</v>
      </c>
    </row>
    <row r="6388" spans="1:9" hidden="1" x14ac:dyDescent="0.25">
      <c r="A6388">
        <v>2016</v>
      </c>
      <c r="B6388" s="140" t="s">
        <v>71</v>
      </c>
      <c r="C6388" s="140" t="s">
        <v>553</v>
      </c>
      <c r="D6388" s="140" t="s">
        <v>70</v>
      </c>
      <c r="E6388" s="140" t="s">
        <v>12</v>
      </c>
      <c r="F6388">
        <v>2071</v>
      </c>
      <c r="G6388" s="140" t="s">
        <v>451</v>
      </c>
      <c r="H6388">
        <v>0</v>
      </c>
      <c r="I6388" s="140" t="s">
        <v>62</v>
      </c>
    </row>
    <row r="6389" spans="1:9" hidden="1" x14ac:dyDescent="0.25">
      <c r="A6389">
        <v>2017</v>
      </c>
      <c r="B6389" s="140" t="s">
        <v>71</v>
      </c>
      <c r="C6389" s="140" t="s">
        <v>553</v>
      </c>
      <c r="D6389" s="140" t="s">
        <v>70</v>
      </c>
      <c r="E6389" s="140" t="s">
        <v>12</v>
      </c>
      <c r="F6389">
        <v>2114</v>
      </c>
      <c r="G6389" s="140" t="s">
        <v>451</v>
      </c>
      <c r="H6389">
        <v>0</v>
      </c>
      <c r="I6389" s="140" t="s">
        <v>62</v>
      </c>
    </row>
    <row r="6390" spans="1:9" hidden="1" x14ac:dyDescent="0.25">
      <c r="A6390">
        <v>2018</v>
      </c>
      <c r="B6390" s="140" t="s">
        <v>71</v>
      </c>
      <c r="C6390" s="140" t="s">
        <v>553</v>
      </c>
      <c r="D6390" s="140" t="s">
        <v>70</v>
      </c>
      <c r="E6390" s="140" t="s">
        <v>12</v>
      </c>
      <c r="F6390">
        <v>2169</v>
      </c>
      <c r="G6390" s="140" t="s">
        <v>451</v>
      </c>
      <c r="H6390">
        <v>0</v>
      </c>
      <c r="I6390" s="140" t="s">
        <v>62</v>
      </c>
    </row>
    <row r="6391" spans="1:9" hidden="1" x14ac:dyDescent="0.25">
      <c r="A6391">
        <v>2019</v>
      </c>
      <c r="B6391" s="140" t="s">
        <v>71</v>
      </c>
      <c r="C6391" s="140" t="s">
        <v>553</v>
      </c>
      <c r="D6391" s="140" t="s">
        <v>70</v>
      </c>
      <c r="E6391" s="140" t="s">
        <v>12</v>
      </c>
      <c r="F6391">
        <v>2185</v>
      </c>
      <c r="G6391" s="140" t="s">
        <v>451</v>
      </c>
      <c r="H6391">
        <v>0</v>
      </c>
      <c r="I6391" s="140" t="s">
        <v>62</v>
      </c>
    </row>
    <row r="6392" spans="1:9" hidden="1" x14ac:dyDescent="0.25">
      <c r="A6392">
        <v>2020</v>
      </c>
      <c r="B6392" s="140" t="s">
        <v>71</v>
      </c>
      <c r="C6392" s="140" t="s">
        <v>553</v>
      </c>
      <c r="D6392" s="140" t="s">
        <v>70</v>
      </c>
      <c r="E6392" s="140" t="s">
        <v>12</v>
      </c>
      <c r="F6392">
        <v>2151</v>
      </c>
      <c r="G6392" s="140" t="s">
        <v>451</v>
      </c>
      <c r="H6392">
        <v>0</v>
      </c>
      <c r="I6392" s="140" t="s">
        <v>62</v>
      </c>
    </row>
    <row r="6393" spans="1:9" hidden="1" x14ac:dyDescent="0.25">
      <c r="A6393">
        <v>2021</v>
      </c>
      <c r="B6393" s="140" t="s">
        <v>71</v>
      </c>
      <c r="C6393" s="140" t="s">
        <v>553</v>
      </c>
      <c r="D6393" s="140" t="s">
        <v>70</v>
      </c>
      <c r="E6393" s="140" t="s">
        <v>12</v>
      </c>
      <c r="F6393">
        <v>2193</v>
      </c>
      <c r="G6393" s="140" t="s">
        <v>451</v>
      </c>
      <c r="H6393">
        <v>0</v>
      </c>
      <c r="I6393" s="140" t="s">
        <v>62</v>
      </c>
    </row>
    <row r="6394" spans="1:9" hidden="1" x14ac:dyDescent="0.25">
      <c r="A6394">
        <v>2022</v>
      </c>
      <c r="B6394" s="140" t="s">
        <v>71</v>
      </c>
      <c r="C6394" s="140" t="s">
        <v>553</v>
      </c>
      <c r="D6394" s="140" t="s">
        <v>70</v>
      </c>
      <c r="E6394" s="140" t="s">
        <v>12</v>
      </c>
      <c r="F6394">
        <v>2265</v>
      </c>
      <c r="G6394" s="140" t="s">
        <v>451</v>
      </c>
      <c r="H6394">
        <v>0</v>
      </c>
      <c r="I6394" s="140" t="s">
        <v>62</v>
      </c>
    </row>
    <row r="6395" spans="1:9" hidden="1" x14ac:dyDescent="0.25">
      <c r="A6395">
        <v>2023</v>
      </c>
      <c r="B6395" s="140" t="s">
        <v>71</v>
      </c>
      <c r="C6395" s="140" t="s">
        <v>553</v>
      </c>
      <c r="D6395" s="140" t="s">
        <v>70</v>
      </c>
      <c r="E6395" s="140" t="s">
        <v>12</v>
      </c>
      <c r="F6395">
        <v>2292</v>
      </c>
      <c r="G6395" s="140" t="s">
        <v>451</v>
      </c>
      <c r="H6395">
        <v>0</v>
      </c>
      <c r="I6395" s="140" t="s">
        <v>62</v>
      </c>
    </row>
    <row r="6396" spans="1:9" hidden="1" x14ac:dyDescent="0.25">
      <c r="A6396">
        <v>2024</v>
      </c>
      <c r="B6396" s="140" t="s">
        <v>71</v>
      </c>
      <c r="C6396" s="140" t="s">
        <v>553</v>
      </c>
      <c r="D6396" s="140" t="s">
        <v>70</v>
      </c>
      <c r="E6396" s="140" t="s">
        <v>12</v>
      </c>
      <c r="F6396">
        <v>2285</v>
      </c>
      <c r="G6396" s="140" t="s">
        <v>451</v>
      </c>
      <c r="H6396">
        <v>0</v>
      </c>
      <c r="I6396" s="140" t="s">
        <v>62</v>
      </c>
    </row>
    <row r="6397" spans="1:9" hidden="1" x14ac:dyDescent="0.25">
      <c r="A6397">
        <v>2025</v>
      </c>
      <c r="B6397" s="140" t="s">
        <v>71</v>
      </c>
      <c r="C6397" s="140" t="s">
        <v>553</v>
      </c>
      <c r="D6397" s="140" t="s">
        <v>70</v>
      </c>
      <c r="E6397" s="140" t="s">
        <v>12</v>
      </c>
      <c r="F6397">
        <v>2276</v>
      </c>
      <c r="G6397" s="140" t="s">
        <v>451</v>
      </c>
      <c r="H6397">
        <v>0</v>
      </c>
      <c r="I6397" s="140" t="s">
        <v>62</v>
      </c>
    </row>
    <row r="6398" spans="1:9" hidden="1" x14ac:dyDescent="0.25">
      <c r="A6398">
        <v>2026</v>
      </c>
      <c r="B6398" s="140" t="s">
        <v>71</v>
      </c>
      <c r="C6398" s="140" t="s">
        <v>553</v>
      </c>
      <c r="D6398" s="140" t="s">
        <v>70</v>
      </c>
      <c r="E6398" s="140" t="s">
        <v>12</v>
      </c>
      <c r="F6398">
        <v>2313.5915719999998</v>
      </c>
      <c r="G6398" s="140" t="s">
        <v>451</v>
      </c>
      <c r="H6398">
        <v>0</v>
      </c>
      <c r="I6398" s="140" t="s">
        <v>62</v>
      </c>
    </row>
    <row r="6399" spans="1:9" hidden="1" x14ac:dyDescent="0.25">
      <c r="A6399">
        <v>2027</v>
      </c>
      <c r="B6399" s="140" t="s">
        <v>71</v>
      </c>
      <c r="C6399" s="140" t="s">
        <v>553</v>
      </c>
      <c r="D6399" s="140" t="s">
        <v>70</v>
      </c>
      <c r="E6399" s="140" t="s">
        <v>12</v>
      </c>
      <c r="F6399">
        <v>2282.2978619999999</v>
      </c>
      <c r="G6399" s="140" t="s">
        <v>451</v>
      </c>
      <c r="H6399">
        <v>0</v>
      </c>
      <c r="I6399" s="140" t="s">
        <v>62</v>
      </c>
    </row>
    <row r="6400" spans="1:9" hidden="1" x14ac:dyDescent="0.25">
      <c r="A6400">
        <v>2028</v>
      </c>
      <c r="B6400" s="140" t="s">
        <v>71</v>
      </c>
      <c r="C6400" s="140" t="s">
        <v>553</v>
      </c>
      <c r="D6400" s="140" t="s">
        <v>70</v>
      </c>
      <c r="E6400" s="140" t="s">
        <v>12</v>
      </c>
      <c r="F6400">
        <v>2258.6904869999998</v>
      </c>
      <c r="G6400" s="140" t="s">
        <v>451</v>
      </c>
      <c r="H6400">
        <v>0</v>
      </c>
      <c r="I6400" s="140" t="s">
        <v>62</v>
      </c>
    </row>
    <row r="6401" spans="1:9" hidden="1" x14ac:dyDescent="0.25">
      <c r="A6401">
        <v>2009</v>
      </c>
      <c r="B6401" s="140" t="s">
        <v>67</v>
      </c>
      <c r="C6401" s="140" t="s">
        <v>69</v>
      </c>
      <c r="D6401" s="140" t="s">
        <v>70</v>
      </c>
      <c r="E6401" s="140" t="s">
        <v>12</v>
      </c>
      <c r="F6401">
        <v>337</v>
      </c>
      <c r="G6401" s="140" t="s">
        <v>452</v>
      </c>
      <c r="H6401">
        <v>0</v>
      </c>
      <c r="I6401" s="140" t="s">
        <v>62</v>
      </c>
    </row>
    <row r="6402" spans="1:9" hidden="1" x14ac:dyDescent="0.25">
      <c r="A6402">
        <v>2010</v>
      </c>
      <c r="B6402" s="140" t="s">
        <v>67</v>
      </c>
      <c r="C6402" s="140" t="s">
        <v>69</v>
      </c>
      <c r="D6402" s="140" t="s">
        <v>70</v>
      </c>
      <c r="E6402" s="140" t="s">
        <v>12</v>
      </c>
      <c r="F6402">
        <v>329</v>
      </c>
      <c r="G6402" s="140" t="s">
        <v>452</v>
      </c>
      <c r="H6402">
        <v>0</v>
      </c>
      <c r="I6402" s="140" t="s">
        <v>62</v>
      </c>
    </row>
    <row r="6403" spans="1:9" hidden="1" x14ac:dyDescent="0.25">
      <c r="A6403">
        <v>2011</v>
      </c>
      <c r="B6403" s="140" t="s">
        <v>67</v>
      </c>
      <c r="C6403" s="140" t="s">
        <v>69</v>
      </c>
      <c r="D6403" s="140" t="s">
        <v>70</v>
      </c>
      <c r="E6403" s="140" t="s">
        <v>12</v>
      </c>
      <c r="F6403">
        <v>333</v>
      </c>
      <c r="G6403" s="140" t="s">
        <v>452</v>
      </c>
      <c r="H6403">
        <v>0</v>
      </c>
      <c r="I6403" s="140" t="s">
        <v>62</v>
      </c>
    </row>
    <row r="6404" spans="1:9" hidden="1" x14ac:dyDescent="0.25">
      <c r="A6404">
        <v>2012</v>
      </c>
      <c r="B6404" s="140" t="s">
        <v>67</v>
      </c>
      <c r="C6404" s="140" t="s">
        <v>69</v>
      </c>
      <c r="D6404" s="140" t="s">
        <v>70</v>
      </c>
      <c r="E6404" s="140" t="s">
        <v>12</v>
      </c>
      <c r="F6404">
        <v>340</v>
      </c>
      <c r="G6404" s="140" t="s">
        <v>452</v>
      </c>
      <c r="H6404">
        <v>0</v>
      </c>
      <c r="I6404" s="140" t="s">
        <v>62</v>
      </c>
    </row>
    <row r="6405" spans="1:9" hidden="1" x14ac:dyDescent="0.25">
      <c r="A6405">
        <v>2013</v>
      </c>
      <c r="B6405" s="140" t="s">
        <v>67</v>
      </c>
      <c r="C6405" s="140" t="s">
        <v>69</v>
      </c>
      <c r="D6405" s="140" t="s">
        <v>70</v>
      </c>
      <c r="E6405" s="140" t="s">
        <v>12</v>
      </c>
      <c r="F6405">
        <v>333</v>
      </c>
      <c r="G6405" s="140" t="s">
        <v>452</v>
      </c>
      <c r="H6405">
        <v>0</v>
      </c>
      <c r="I6405" s="140" t="s">
        <v>62</v>
      </c>
    </row>
    <row r="6406" spans="1:9" hidden="1" x14ac:dyDescent="0.25">
      <c r="A6406">
        <v>2014</v>
      </c>
      <c r="B6406" s="140" t="s">
        <v>67</v>
      </c>
      <c r="C6406" s="140" t="s">
        <v>69</v>
      </c>
      <c r="D6406" s="140" t="s">
        <v>70</v>
      </c>
      <c r="E6406" s="140" t="s">
        <v>12</v>
      </c>
      <c r="F6406">
        <v>347</v>
      </c>
      <c r="G6406" s="140" t="s">
        <v>452</v>
      </c>
      <c r="H6406">
        <v>0</v>
      </c>
      <c r="I6406" s="140" t="s">
        <v>62</v>
      </c>
    </row>
    <row r="6407" spans="1:9" hidden="1" x14ac:dyDescent="0.25">
      <c r="A6407">
        <v>2015</v>
      </c>
      <c r="B6407" s="140" t="s">
        <v>67</v>
      </c>
      <c r="C6407" s="140" t="s">
        <v>69</v>
      </c>
      <c r="D6407" s="140" t="s">
        <v>70</v>
      </c>
      <c r="E6407" s="140" t="s">
        <v>12</v>
      </c>
      <c r="F6407">
        <v>352</v>
      </c>
      <c r="G6407" s="140" t="s">
        <v>452</v>
      </c>
      <c r="H6407">
        <v>0</v>
      </c>
      <c r="I6407" s="140" t="s">
        <v>62</v>
      </c>
    </row>
    <row r="6408" spans="1:9" hidden="1" x14ac:dyDescent="0.25">
      <c r="A6408">
        <v>2016</v>
      </c>
      <c r="B6408" s="140" t="s">
        <v>67</v>
      </c>
      <c r="C6408" s="140" t="s">
        <v>69</v>
      </c>
      <c r="D6408" s="140" t="s">
        <v>70</v>
      </c>
      <c r="E6408" s="140" t="s">
        <v>12</v>
      </c>
      <c r="F6408">
        <v>346</v>
      </c>
      <c r="G6408" s="140" t="s">
        <v>452</v>
      </c>
      <c r="H6408">
        <v>0</v>
      </c>
      <c r="I6408" s="140" t="s">
        <v>62</v>
      </c>
    </row>
    <row r="6409" spans="1:9" hidden="1" x14ac:dyDescent="0.25">
      <c r="A6409">
        <v>2017</v>
      </c>
      <c r="B6409" s="140" t="s">
        <v>67</v>
      </c>
      <c r="C6409" s="140" t="s">
        <v>69</v>
      </c>
      <c r="D6409" s="140" t="s">
        <v>70</v>
      </c>
      <c r="E6409" s="140" t="s">
        <v>12</v>
      </c>
      <c r="F6409">
        <v>327</v>
      </c>
      <c r="G6409" s="140" t="s">
        <v>452</v>
      </c>
      <c r="H6409">
        <v>0</v>
      </c>
      <c r="I6409" s="140" t="s">
        <v>62</v>
      </c>
    </row>
    <row r="6410" spans="1:9" hidden="1" x14ac:dyDescent="0.25">
      <c r="A6410">
        <v>2018</v>
      </c>
      <c r="B6410" s="140" t="s">
        <v>67</v>
      </c>
      <c r="C6410" s="140" t="s">
        <v>69</v>
      </c>
      <c r="D6410" s="140" t="s">
        <v>70</v>
      </c>
      <c r="E6410" s="140" t="s">
        <v>12</v>
      </c>
      <c r="F6410">
        <v>338</v>
      </c>
      <c r="G6410" s="140" t="s">
        <v>452</v>
      </c>
      <c r="H6410">
        <v>0</v>
      </c>
      <c r="I6410" s="140" t="s">
        <v>62</v>
      </c>
    </row>
    <row r="6411" spans="1:9" hidden="1" x14ac:dyDescent="0.25">
      <c r="A6411">
        <v>2019</v>
      </c>
      <c r="B6411" s="140" t="s">
        <v>67</v>
      </c>
      <c r="C6411" s="140" t="s">
        <v>69</v>
      </c>
      <c r="D6411" s="140" t="s">
        <v>70</v>
      </c>
      <c r="E6411" s="140" t="s">
        <v>12</v>
      </c>
      <c r="F6411">
        <v>348</v>
      </c>
      <c r="G6411" s="140" t="s">
        <v>452</v>
      </c>
      <c r="H6411">
        <v>0</v>
      </c>
      <c r="I6411" s="140" t="s">
        <v>62</v>
      </c>
    </row>
    <row r="6412" spans="1:9" hidden="1" x14ac:dyDescent="0.25">
      <c r="A6412">
        <v>2020</v>
      </c>
      <c r="B6412" s="140" t="s">
        <v>67</v>
      </c>
      <c r="C6412" s="140" t="s">
        <v>69</v>
      </c>
      <c r="D6412" s="140" t="s">
        <v>70</v>
      </c>
      <c r="E6412" s="140" t="s">
        <v>12</v>
      </c>
      <c r="F6412">
        <v>344</v>
      </c>
      <c r="G6412" s="140" t="s">
        <v>452</v>
      </c>
      <c r="H6412">
        <v>0</v>
      </c>
      <c r="I6412" s="140" t="s">
        <v>62</v>
      </c>
    </row>
    <row r="6413" spans="1:9" hidden="1" x14ac:dyDescent="0.25">
      <c r="A6413">
        <v>2021</v>
      </c>
      <c r="B6413" s="140" t="s">
        <v>67</v>
      </c>
      <c r="C6413" s="140" t="s">
        <v>69</v>
      </c>
      <c r="D6413" s="140" t="s">
        <v>70</v>
      </c>
      <c r="E6413" s="140" t="s">
        <v>12</v>
      </c>
      <c r="F6413">
        <v>362</v>
      </c>
      <c r="G6413" s="140" t="s">
        <v>452</v>
      </c>
      <c r="H6413">
        <v>0</v>
      </c>
      <c r="I6413" s="140" t="s">
        <v>62</v>
      </c>
    </row>
    <row r="6414" spans="1:9" hidden="1" x14ac:dyDescent="0.25">
      <c r="A6414">
        <v>2022</v>
      </c>
      <c r="B6414" s="140" t="s">
        <v>67</v>
      </c>
      <c r="C6414" s="140" t="s">
        <v>69</v>
      </c>
      <c r="D6414" s="140" t="s">
        <v>70</v>
      </c>
      <c r="E6414" s="140" t="s">
        <v>12</v>
      </c>
      <c r="F6414">
        <v>354</v>
      </c>
      <c r="G6414" s="140" t="s">
        <v>452</v>
      </c>
      <c r="H6414">
        <v>0</v>
      </c>
      <c r="I6414" s="140" t="s">
        <v>62</v>
      </c>
    </row>
    <row r="6415" spans="1:9" hidden="1" x14ac:dyDescent="0.25">
      <c r="A6415">
        <v>2023</v>
      </c>
      <c r="B6415" s="140" t="s">
        <v>67</v>
      </c>
      <c r="C6415" s="140" t="s">
        <v>69</v>
      </c>
      <c r="D6415" s="140" t="s">
        <v>70</v>
      </c>
      <c r="E6415" s="140" t="s">
        <v>12</v>
      </c>
      <c r="F6415">
        <v>336</v>
      </c>
      <c r="G6415" s="140" t="s">
        <v>452</v>
      </c>
      <c r="H6415">
        <v>0</v>
      </c>
      <c r="I6415" s="140" t="s">
        <v>62</v>
      </c>
    </row>
    <row r="6416" spans="1:9" hidden="1" x14ac:dyDescent="0.25">
      <c r="A6416">
        <v>2024</v>
      </c>
      <c r="B6416" s="140" t="s">
        <v>67</v>
      </c>
      <c r="C6416" s="140" t="s">
        <v>69</v>
      </c>
      <c r="D6416" s="140" t="s">
        <v>70</v>
      </c>
      <c r="E6416" s="140" t="s">
        <v>12</v>
      </c>
      <c r="F6416">
        <v>317</v>
      </c>
      <c r="G6416" s="140" t="s">
        <v>452</v>
      </c>
      <c r="H6416">
        <v>0</v>
      </c>
      <c r="I6416" s="140" t="s">
        <v>62</v>
      </c>
    </row>
    <row r="6417" spans="1:9" hidden="1" x14ac:dyDescent="0.25">
      <c r="A6417">
        <v>2025</v>
      </c>
      <c r="B6417" s="140" t="s">
        <v>67</v>
      </c>
      <c r="C6417" s="140" t="s">
        <v>69</v>
      </c>
      <c r="D6417" s="140" t="s">
        <v>70</v>
      </c>
      <c r="E6417" s="140" t="s">
        <v>12</v>
      </c>
      <c r="F6417">
        <v>338.05559849999997</v>
      </c>
      <c r="G6417" s="140" t="s">
        <v>452</v>
      </c>
      <c r="H6417">
        <v>0</v>
      </c>
      <c r="I6417" s="140" t="s">
        <v>62</v>
      </c>
    </row>
    <row r="6418" spans="1:9" hidden="1" x14ac:dyDescent="0.25">
      <c r="A6418">
        <v>2026</v>
      </c>
      <c r="B6418" s="140" t="s">
        <v>67</v>
      </c>
      <c r="C6418" s="140" t="s">
        <v>69</v>
      </c>
      <c r="D6418" s="140" t="s">
        <v>70</v>
      </c>
      <c r="E6418" s="140" t="s">
        <v>12</v>
      </c>
      <c r="F6418">
        <v>312.554393</v>
      </c>
      <c r="G6418" s="140" t="s">
        <v>452</v>
      </c>
      <c r="H6418">
        <v>0</v>
      </c>
      <c r="I6418" s="140" t="s">
        <v>62</v>
      </c>
    </row>
    <row r="6419" spans="1:9" hidden="1" x14ac:dyDescent="0.25">
      <c r="A6419">
        <v>2027</v>
      </c>
      <c r="B6419" s="140" t="s">
        <v>67</v>
      </c>
      <c r="C6419" s="140" t="s">
        <v>69</v>
      </c>
      <c r="D6419" s="140" t="s">
        <v>70</v>
      </c>
      <c r="E6419" s="140" t="s">
        <v>12</v>
      </c>
      <c r="F6419">
        <v>315.91467110000002</v>
      </c>
      <c r="G6419" s="140" t="s">
        <v>452</v>
      </c>
      <c r="H6419">
        <v>0</v>
      </c>
      <c r="I6419" s="140" t="s">
        <v>62</v>
      </c>
    </row>
    <row r="6420" spans="1:9" hidden="1" x14ac:dyDescent="0.25">
      <c r="A6420">
        <v>2028</v>
      </c>
      <c r="B6420" s="140" t="s">
        <v>67</v>
      </c>
      <c r="C6420" s="140" t="s">
        <v>69</v>
      </c>
      <c r="D6420" s="140" t="s">
        <v>70</v>
      </c>
      <c r="E6420" s="140" t="s">
        <v>12</v>
      </c>
      <c r="F6420">
        <v>318.49250189999998</v>
      </c>
      <c r="G6420" s="140" t="s">
        <v>452</v>
      </c>
      <c r="H6420">
        <v>0</v>
      </c>
      <c r="I6420" s="140" t="s">
        <v>62</v>
      </c>
    </row>
    <row r="6421" spans="1:9" hidden="1" x14ac:dyDescent="0.25">
      <c r="A6421">
        <v>1990</v>
      </c>
      <c r="B6421" s="140" t="s">
        <v>453</v>
      </c>
      <c r="C6421" s="140" t="s">
        <v>242</v>
      </c>
      <c r="D6421" s="140" t="s">
        <v>11</v>
      </c>
      <c r="E6421" s="140" t="s">
        <v>12</v>
      </c>
      <c r="F6421">
        <v>2473.3000000000002</v>
      </c>
      <c r="G6421" s="140" t="s">
        <v>454</v>
      </c>
      <c r="H6421">
        <v>0</v>
      </c>
      <c r="I6421" s="140" t="s">
        <v>62</v>
      </c>
    </row>
    <row r="6422" spans="1:9" hidden="1" x14ac:dyDescent="0.25">
      <c r="A6422">
        <v>1991</v>
      </c>
      <c r="B6422" s="140" t="s">
        <v>453</v>
      </c>
      <c r="C6422" s="140" t="s">
        <v>242</v>
      </c>
      <c r="D6422" s="140" t="s">
        <v>11</v>
      </c>
      <c r="E6422" s="140" t="s">
        <v>12</v>
      </c>
      <c r="F6422">
        <v>2336.1</v>
      </c>
      <c r="G6422" s="140" t="s">
        <v>454</v>
      </c>
      <c r="H6422">
        <v>0</v>
      </c>
      <c r="I6422" s="140" t="s">
        <v>62</v>
      </c>
    </row>
    <row r="6423" spans="1:9" hidden="1" x14ac:dyDescent="0.25">
      <c r="A6423">
        <v>1992</v>
      </c>
      <c r="B6423" s="140" t="s">
        <v>453</v>
      </c>
      <c r="C6423" s="140" t="s">
        <v>242</v>
      </c>
      <c r="D6423" s="140" t="s">
        <v>11</v>
      </c>
      <c r="E6423" s="140" t="s">
        <v>12</v>
      </c>
      <c r="F6423">
        <v>2181.9</v>
      </c>
      <c r="G6423" s="140" t="s">
        <v>454</v>
      </c>
      <c r="H6423">
        <v>0</v>
      </c>
      <c r="I6423" s="140" t="s">
        <v>62</v>
      </c>
    </row>
    <row r="6424" spans="1:9" hidden="1" x14ac:dyDescent="0.25">
      <c r="A6424">
        <v>1993</v>
      </c>
      <c r="B6424" s="140" t="s">
        <v>453</v>
      </c>
      <c r="C6424" s="140" t="s">
        <v>242</v>
      </c>
      <c r="D6424" s="140" t="s">
        <v>11</v>
      </c>
      <c r="E6424" s="140" t="s">
        <v>12</v>
      </c>
      <c r="F6424">
        <v>2056.1</v>
      </c>
      <c r="G6424" s="140" t="s">
        <v>454</v>
      </c>
      <c r="H6424">
        <v>0</v>
      </c>
      <c r="I6424" s="140" t="s">
        <v>62</v>
      </c>
    </row>
    <row r="6425" spans="1:9" hidden="1" x14ac:dyDescent="0.25">
      <c r="A6425">
        <v>1994</v>
      </c>
      <c r="B6425" s="140" t="s">
        <v>453</v>
      </c>
      <c r="C6425" s="140" t="s">
        <v>242</v>
      </c>
      <c r="D6425" s="140" t="s">
        <v>11</v>
      </c>
      <c r="E6425" s="140" t="s">
        <v>12</v>
      </c>
      <c r="F6425">
        <v>2020.9</v>
      </c>
      <c r="G6425" s="140" t="s">
        <v>454</v>
      </c>
      <c r="H6425">
        <v>0</v>
      </c>
      <c r="I6425" s="140" t="s">
        <v>62</v>
      </c>
    </row>
    <row r="6426" spans="1:9" hidden="1" x14ac:dyDescent="0.25">
      <c r="A6426">
        <v>1995</v>
      </c>
      <c r="B6426" s="140" t="s">
        <v>453</v>
      </c>
      <c r="C6426" s="140" t="s">
        <v>242</v>
      </c>
      <c r="D6426" s="140" t="s">
        <v>11</v>
      </c>
      <c r="E6426" s="140" t="s">
        <v>12</v>
      </c>
      <c r="F6426">
        <v>2061.6</v>
      </c>
      <c r="G6426" s="140" t="s">
        <v>454</v>
      </c>
      <c r="H6426">
        <v>0</v>
      </c>
      <c r="I6426" s="140" t="s">
        <v>62</v>
      </c>
    </row>
    <row r="6427" spans="1:9" hidden="1" x14ac:dyDescent="0.25">
      <c r="A6427">
        <v>1996</v>
      </c>
      <c r="B6427" s="140" t="s">
        <v>453</v>
      </c>
      <c r="C6427" s="140" t="s">
        <v>242</v>
      </c>
      <c r="D6427" s="140" t="s">
        <v>11</v>
      </c>
      <c r="E6427" s="140" t="s">
        <v>12</v>
      </c>
      <c r="F6427">
        <v>2098.6</v>
      </c>
      <c r="G6427" s="140" t="s">
        <v>454</v>
      </c>
      <c r="H6427">
        <v>0</v>
      </c>
      <c r="I6427" s="140" t="s">
        <v>62</v>
      </c>
    </row>
    <row r="6428" spans="1:9" hidden="1" x14ac:dyDescent="0.25">
      <c r="A6428">
        <v>1997</v>
      </c>
      <c r="B6428" s="140" t="s">
        <v>453</v>
      </c>
      <c r="C6428" s="140" t="s">
        <v>242</v>
      </c>
      <c r="D6428" s="140" t="s">
        <v>11</v>
      </c>
      <c r="E6428" s="140" t="s">
        <v>12</v>
      </c>
      <c r="F6428">
        <v>2168.9</v>
      </c>
      <c r="G6428" s="140" t="s">
        <v>454</v>
      </c>
      <c r="H6428">
        <v>0</v>
      </c>
      <c r="I6428" s="140" t="s">
        <v>62</v>
      </c>
    </row>
    <row r="6429" spans="1:9" hidden="1" x14ac:dyDescent="0.25">
      <c r="A6429">
        <v>1998</v>
      </c>
      <c r="B6429" s="140" t="s">
        <v>453</v>
      </c>
      <c r="C6429" s="140" t="s">
        <v>242</v>
      </c>
      <c r="D6429" s="140" t="s">
        <v>11</v>
      </c>
      <c r="E6429" s="140" t="s">
        <v>12</v>
      </c>
      <c r="F6429">
        <v>2212.5</v>
      </c>
      <c r="G6429" s="140" t="s">
        <v>454</v>
      </c>
      <c r="H6429">
        <v>0</v>
      </c>
      <c r="I6429" s="140" t="s">
        <v>62</v>
      </c>
    </row>
    <row r="6430" spans="1:9" hidden="1" x14ac:dyDescent="0.25">
      <c r="A6430">
        <v>1999</v>
      </c>
      <c r="B6430" s="140" t="s">
        <v>453</v>
      </c>
      <c r="C6430" s="140" t="s">
        <v>242</v>
      </c>
      <c r="D6430" s="140" t="s">
        <v>11</v>
      </c>
      <c r="E6430" s="140" t="s">
        <v>12</v>
      </c>
      <c r="F6430">
        <v>2258.3000000000002</v>
      </c>
      <c r="G6430" s="140" t="s">
        <v>454</v>
      </c>
      <c r="H6430">
        <v>0</v>
      </c>
      <c r="I6430" s="140" t="s">
        <v>62</v>
      </c>
    </row>
    <row r="6431" spans="1:9" hidden="1" x14ac:dyDescent="0.25">
      <c r="A6431">
        <v>2000</v>
      </c>
      <c r="B6431" s="140" t="s">
        <v>453</v>
      </c>
      <c r="C6431" s="140" t="s">
        <v>242</v>
      </c>
      <c r="D6431" s="140" t="s">
        <v>11</v>
      </c>
      <c r="E6431" s="140" t="s">
        <v>12</v>
      </c>
      <c r="F6431">
        <v>2304.9</v>
      </c>
      <c r="G6431" s="140" t="s">
        <v>454</v>
      </c>
      <c r="H6431">
        <v>0</v>
      </c>
      <c r="I6431" s="140" t="s">
        <v>62</v>
      </c>
    </row>
    <row r="6432" spans="1:9" hidden="1" x14ac:dyDescent="0.25">
      <c r="A6432">
        <v>2001</v>
      </c>
      <c r="B6432" s="140" t="s">
        <v>453</v>
      </c>
      <c r="C6432" s="140" t="s">
        <v>242</v>
      </c>
      <c r="D6432" s="140" t="s">
        <v>11</v>
      </c>
      <c r="E6432" s="140" t="s">
        <v>12</v>
      </c>
      <c r="F6432">
        <v>2340.9</v>
      </c>
      <c r="G6432" s="140" t="s">
        <v>454</v>
      </c>
      <c r="H6432">
        <v>0</v>
      </c>
      <c r="I6432" s="140" t="s">
        <v>62</v>
      </c>
    </row>
    <row r="6433" spans="1:9" hidden="1" x14ac:dyDescent="0.25">
      <c r="A6433">
        <v>2002</v>
      </c>
      <c r="B6433" s="140" t="s">
        <v>453</v>
      </c>
      <c r="C6433" s="140" t="s">
        <v>242</v>
      </c>
      <c r="D6433" s="140" t="s">
        <v>11</v>
      </c>
      <c r="E6433" s="140" t="s">
        <v>12</v>
      </c>
      <c r="F6433">
        <v>2368.6</v>
      </c>
      <c r="G6433" s="140" t="s">
        <v>454</v>
      </c>
      <c r="H6433">
        <v>0</v>
      </c>
      <c r="I6433" s="140" t="s">
        <v>62</v>
      </c>
    </row>
    <row r="6434" spans="1:9" hidden="1" x14ac:dyDescent="0.25">
      <c r="A6434">
        <v>2003</v>
      </c>
      <c r="B6434" s="140" t="s">
        <v>453</v>
      </c>
      <c r="C6434" s="140" t="s">
        <v>242</v>
      </c>
      <c r="D6434" s="140" t="s">
        <v>11</v>
      </c>
      <c r="E6434" s="140" t="s">
        <v>12</v>
      </c>
      <c r="F6434">
        <v>2373.5</v>
      </c>
      <c r="G6434" s="140" t="s">
        <v>454</v>
      </c>
      <c r="H6434">
        <v>0</v>
      </c>
      <c r="I6434" s="140" t="s">
        <v>62</v>
      </c>
    </row>
    <row r="6435" spans="1:9" hidden="1" x14ac:dyDescent="0.25">
      <c r="A6435">
        <v>2004</v>
      </c>
      <c r="B6435" s="140" t="s">
        <v>453</v>
      </c>
      <c r="C6435" s="140" t="s">
        <v>242</v>
      </c>
      <c r="D6435" s="140" t="s">
        <v>11</v>
      </c>
      <c r="E6435" s="140" t="s">
        <v>12</v>
      </c>
      <c r="F6435">
        <v>2384.9</v>
      </c>
      <c r="G6435" s="140" t="s">
        <v>454</v>
      </c>
      <c r="H6435">
        <v>0</v>
      </c>
      <c r="I6435" s="140" t="s">
        <v>62</v>
      </c>
    </row>
    <row r="6436" spans="1:9" hidden="1" x14ac:dyDescent="0.25">
      <c r="A6436">
        <v>2005</v>
      </c>
      <c r="B6436" s="140" t="s">
        <v>453</v>
      </c>
      <c r="C6436" s="140" t="s">
        <v>242</v>
      </c>
      <c r="D6436" s="140" t="s">
        <v>11</v>
      </c>
      <c r="E6436" s="140" t="s">
        <v>12</v>
      </c>
      <c r="F6436">
        <v>2420.1</v>
      </c>
      <c r="G6436" s="140" t="s">
        <v>454</v>
      </c>
      <c r="H6436">
        <v>0</v>
      </c>
      <c r="I6436" s="140" t="s">
        <v>62</v>
      </c>
    </row>
    <row r="6437" spans="1:9" hidden="1" x14ac:dyDescent="0.25">
      <c r="A6437">
        <v>2006</v>
      </c>
      <c r="B6437" s="140" t="s">
        <v>453</v>
      </c>
      <c r="C6437" s="140" t="s">
        <v>242</v>
      </c>
      <c r="D6437" s="140" t="s">
        <v>11</v>
      </c>
      <c r="E6437" s="140" t="s">
        <v>12</v>
      </c>
      <c r="F6437">
        <v>2463.6999999999998</v>
      </c>
      <c r="G6437" s="140" t="s">
        <v>454</v>
      </c>
      <c r="H6437">
        <v>0</v>
      </c>
      <c r="I6437" s="140" t="s">
        <v>62</v>
      </c>
    </row>
    <row r="6438" spans="1:9" hidden="1" x14ac:dyDescent="0.25">
      <c r="A6438">
        <v>2007</v>
      </c>
      <c r="B6438" s="140" t="s">
        <v>453</v>
      </c>
      <c r="C6438" s="140" t="s">
        <v>242</v>
      </c>
      <c r="D6438" s="140" t="s">
        <v>11</v>
      </c>
      <c r="E6438" s="140" t="s">
        <v>12</v>
      </c>
      <c r="F6438">
        <v>2516.3000000000002</v>
      </c>
      <c r="G6438" s="140" t="s">
        <v>454</v>
      </c>
      <c r="H6438">
        <v>0</v>
      </c>
      <c r="I6438" s="140" t="s">
        <v>62</v>
      </c>
    </row>
    <row r="6439" spans="1:9" hidden="1" x14ac:dyDescent="0.25">
      <c r="A6439">
        <v>2008</v>
      </c>
      <c r="B6439" s="140" t="s">
        <v>453</v>
      </c>
      <c r="C6439" s="140" t="s">
        <v>242</v>
      </c>
      <c r="D6439" s="140" t="s">
        <v>11</v>
      </c>
      <c r="E6439" s="140" t="s">
        <v>12</v>
      </c>
      <c r="F6439">
        <v>2571.8000000000002</v>
      </c>
      <c r="G6439" s="140" t="s">
        <v>454</v>
      </c>
      <c r="H6439">
        <v>0</v>
      </c>
      <c r="I6439" s="140" t="s">
        <v>62</v>
      </c>
    </row>
    <row r="6440" spans="1:9" hidden="1" x14ac:dyDescent="0.25">
      <c r="A6440">
        <v>2009</v>
      </c>
      <c r="B6440" s="140" t="s">
        <v>453</v>
      </c>
      <c r="C6440" s="140" t="s">
        <v>242</v>
      </c>
      <c r="D6440" s="140" t="s">
        <v>11</v>
      </c>
      <c r="E6440" s="140" t="s">
        <v>12</v>
      </c>
      <c r="F6440">
        <v>2506.3000000000002</v>
      </c>
      <c r="G6440" s="140" t="s">
        <v>454</v>
      </c>
      <c r="H6440">
        <v>0</v>
      </c>
      <c r="I6440" s="140" t="s">
        <v>62</v>
      </c>
    </row>
    <row r="6441" spans="1:9" hidden="1" x14ac:dyDescent="0.25">
      <c r="A6441">
        <v>2010</v>
      </c>
      <c r="B6441" s="140" t="s">
        <v>453</v>
      </c>
      <c r="C6441" s="140" t="s">
        <v>242</v>
      </c>
      <c r="D6441" s="140" t="s">
        <v>11</v>
      </c>
      <c r="E6441" s="140" t="s">
        <v>12</v>
      </c>
      <c r="F6441">
        <v>2487.3000000000002</v>
      </c>
      <c r="G6441" s="140" t="s">
        <v>454</v>
      </c>
      <c r="H6441">
        <v>0</v>
      </c>
      <c r="I6441" s="140" t="s">
        <v>62</v>
      </c>
    </row>
    <row r="6442" spans="1:9" hidden="1" x14ac:dyDescent="0.25">
      <c r="A6442">
        <v>2011</v>
      </c>
      <c r="B6442" s="140" t="s">
        <v>453</v>
      </c>
      <c r="C6442" s="140" t="s">
        <v>242</v>
      </c>
      <c r="D6442" s="140" t="s">
        <v>11</v>
      </c>
      <c r="E6442" s="140" t="s">
        <v>12</v>
      </c>
      <c r="F6442">
        <v>2524.1999999999998</v>
      </c>
      <c r="G6442" s="140" t="s">
        <v>454</v>
      </c>
      <c r="H6442">
        <v>0</v>
      </c>
      <c r="I6442" s="140" t="s">
        <v>62</v>
      </c>
    </row>
    <row r="6443" spans="1:9" hidden="1" x14ac:dyDescent="0.25">
      <c r="A6443">
        <v>2012</v>
      </c>
      <c r="B6443" s="140" t="s">
        <v>453</v>
      </c>
      <c r="C6443" s="140" t="s">
        <v>242</v>
      </c>
      <c r="D6443" s="140" t="s">
        <v>11</v>
      </c>
      <c r="E6443" s="140" t="s">
        <v>12</v>
      </c>
      <c r="F6443">
        <v>2539.6999999999998</v>
      </c>
      <c r="G6443" s="140" t="s">
        <v>454</v>
      </c>
      <c r="H6443">
        <v>0</v>
      </c>
      <c r="I6443" s="140" t="s">
        <v>62</v>
      </c>
    </row>
    <row r="6444" spans="1:9" hidden="1" x14ac:dyDescent="0.25">
      <c r="A6444">
        <v>2013</v>
      </c>
      <c r="B6444" s="140" t="s">
        <v>453</v>
      </c>
      <c r="C6444" s="140" t="s">
        <v>242</v>
      </c>
      <c r="D6444" s="140" t="s">
        <v>11</v>
      </c>
      <c r="E6444" s="140" t="s">
        <v>12</v>
      </c>
      <c r="F6444">
        <v>2519</v>
      </c>
      <c r="G6444" s="140" t="s">
        <v>454</v>
      </c>
      <c r="H6444">
        <v>0</v>
      </c>
      <c r="I6444" s="140" t="s">
        <v>62</v>
      </c>
    </row>
    <row r="6445" spans="1:9" hidden="1" x14ac:dyDescent="0.25">
      <c r="A6445">
        <v>2014</v>
      </c>
      <c r="B6445" s="140" t="s">
        <v>453</v>
      </c>
      <c r="C6445" s="140" t="s">
        <v>242</v>
      </c>
      <c r="D6445" s="140" t="s">
        <v>11</v>
      </c>
      <c r="E6445" s="140" t="s">
        <v>12</v>
      </c>
      <c r="F6445">
        <v>2506.6999999999998</v>
      </c>
      <c r="G6445" s="140" t="s">
        <v>454</v>
      </c>
      <c r="H6445">
        <v>0</v>
      </c>
      <c r="I6445" s="140" t="s">
        <v>62</v>
      </c>
    </row>
    <row r="6446" spans="1:9" hidden="1" x14ac:dyDescent="0.25">
      <c r="A6446">
        <v>2015</v>
      </c>
      <c r="B6446" s="140" t="s">
        <v>453</v>
      </c>
      <c r="C6446" s="140" t="s">
        <v>242</v>
      </c>
      <c r="D6446" s="140" t="s">
        <v>11</v>
      </c>
      <c r="E6446" s="140" t="s">
        <v>12</v>
      </c>
      <c r="F6446">
        <v>2514.1</v>
      </c>
      <c r="G6446" s="140" t="s">
        <v>454</v>
      </c>
      <c r="H6446">
        <v>0</v>
      </c>
      <c r="I6446" s="140" t="s">
        <v>62</v>
      </c>
    </row>
    <row r="6447" spans="1:9" hidden="1" x14ac:dyDescent="0.25">
      <c r="A6447">
        <v>2016</v>
      </c>
      <c r="B6447" s="140" t="s">
        <v>453</v>
      </c>
      <c r="C6447" s="140" t="s">
        <v>242</v>
      </c>
      <c r="D6447" s="140" t="s">
        <v>11</v>
      </c>
      <c r="E6447" s="140" t="s">
        <v>12</v>
      </c>
      <c r="F6447">
        <v>2529.3000000000002</v>
      </c>
      <c r="G6447" s="140" t="s">
        <v>454</v>
      </c>
      <c r="H6447">
        <v>0</v>
      </c>
      <c r="I6447" s="140" t="s">
        <v>62</v>
      </c>
    </row>
    <row r="6448" spans="1:9" hidden="1" x14ac:dyDescent="0.25">
      <c r="A6448">
        <v>2017</v>
      </c>
      <c r="B6448" s="140" t="s">
        <v>453</v>
      </c>
      <c r="C6448" s="140" t="s">
        <v>242</v>
      </c>
      <c r="D6448" s="140" t="s">
        <v>11</v>
      </c>
      <c r="E6448" s="140" t="s">
        <v>12</v>
      </c>
      <c r="F6448">
        <v>2544.6</v>
      </c>
      <c r="G6448" s="140" t="s">
        <v>454</v>
      </c>
      <c r="H6448">
        <v>0</v>
      </c>
      <c r="I6448" s="140" t="s">
        <v>62</v>
      </c>
    </row>
    <row r="6449" spans="1:9" hidden="1" x14ac:dyDescent="0.25">
      <c r="A6449">
        <v>2018</v>
      </c>
      <c r="B6449" s="140" t="s">
        <v>453</v>
      </c>
      <c r="C6449" s="140" t="s">
        <v>242</v>
      </c>
      <c r="D6449" s="140" t="s">
        <v>11</v>
      </c>
      <c r="E6449" s="140" t="s">
        <v>12</v>
      </c>
      <c r="F6449">
        <v>2609.8000000000002</v>
      </c>
      <c r="G6449" s="140" t="s">
        <v>454</v>
      </c>
      <c r="H6449">
        <v>0</v>
      </c>
      <c r="I6449" s="140" t="s">
        <v>62</v>
      </c>
    </row>
    <row r="6450" spans="1:9" hidden="1" x14ac:dyDescent="0.25">
      <c r="A6450">
        <v>2019</v>
      </c>
      <c r="B6450" s="140" t="s">
        <v>453</v>
      </c>
      <c r="C6450" s="140" t="s">
        <v>242</v>
      </c>
      <c r="D6450" s="140" t="s">
        <v>11</v>
      </c>
      <c r="E6450" s="140" t="s">
        <v>12</v>
      </c>
      <c r="F6450">
        <v>2648.3</v>
      </c>
      <c r="G6450" s="140" t="s">
        <v>454</v>
      </c>
      <c r="H6450">
        <v>0</v>
      </c>
      <c r="I6450" s="140" t="s">
        <v>62</v>
      </c>
    </row>
    <row r="6451" spans="1:9" hidden="1" x14ac:dyDescent="0.25">
      <c r="A6451">
        <v>2020</v>
      </c>
      <c r="B6451" s="140" t="s">
        <v>453</v>
      </c>
      <c r="C6451" s="140" t="s">
        <v>242</v>
      </c>
      <c r="D6451" s="140" t="s">
        <v>11</v>
      </c>
      <c r="E6451" s="140" t="s">
        <v>12</v>
      </c>
      <c r="F6451">
        <v>2586.1999999999998</v>
      </c>
      <c r="G6451" s="140" t="s">
        <v>454</v>
      </c>
      <c r="H6451">
        <v>0</v>
      </c>
      <c r="I6451" s="140" t="s">
        <v>62</v>
      </c>
    </row>
    <row r="6452" spans="1:9" hidden="1" x14ac:dyDescent="0.25">
      <c r="A6452">
        <v>2021</v>
      </c>
      <c r="B6452" s="140" t="s">
        <v>453</v>
      </c>
      <c r="C6452" s="140" t="s">
        <v>242</v>
      </c>
      <c r="D6452" s="140" t="s">
        <v>11</v>
      </c>
      <c r="E6452" s="140" t="s">
        <v>12</v>
      </c>
      <c r="F6452">
        <v>2645.9</v>
      </c>
      <c r="G6452" s="140" t="s">
        <v>454</v>
      </c>
      <c r="H6452">
        <v>0</v>
      </c>
      <c r="I6452" s="140" t="s">
        <v>62</v>
      </c>
    </row>
    <row r="6453" spans="1:9" hidden="1" x14ac:dyDescent="0.25">
      <c r="A6453">
        <v>2022</v>
      </c>
      <c r="B6453" s="140" t="s">
        <v>453</v>
      </c>
      <c r="C6453" s="140" t="s">
        <v>242</v>
      </c>
      <c r="D6453" s="140" t="s">
        <v>11</v>
      </c>
      <c r="E6453" s="140" t="s">
        <v>12</v>
      </c>
      <c r="F6453">
        <v>2739</v>
      </c>
      <c r="G6453" s="140" t="s">
        <v>454</v>
      </c>
      <c r="H6453">
        <v>0</v>
      </c>
      <c r="I6453" s="140" t="s">
        <v>62</v>
      </c>
    </row>
    <row r="6454" spans="1:9" hidden="1" x14ac:dyDescent="0.25">
      <c r="A6454">
        <v>2023</v>
      </c>
      <c r="B6454" s="140" t="s">
        <v>453</v>
      </c>
      <c r="C6454" s="140" t="s">
        <v>242</v>
      </c>
      <c r="D6454" s="140" t="s">
        <v>11</v>
      </c>
      <c r="E6454" s="140" t="s">
        <v>12</v>
      </c>
      <c r="F6454">
        <v>2766.2</v>
      </c>
      <c r="G6454" s="140" t="s">
        <v>454</v>
      </c>
      <c r="H6454">
        <v>0</v>
      </c>
      <c r="I6454" s="140" t="s">
        <v>62</v>
      </c>
    </row>
    <row r="6455" spans="1:9" hidden="1" x14ac:dyDescent="0.25">
      <c r="A6455">
        <v>2024</v>
      </c>
      <c r="B6455" s="140" t="s">
        <v>453</v>
      </c>
      <c r="C6455" s="140" t="s">
        <v>242</v>
      </c>
      <c r="D6455" s="140" t="s">
        <v>11</v>
      </c>
      <c r="E6455" s="140" t="s">
        <v>12</v>
      </c>
      <c r="F6455">
        <v>2744.2</v>
      </c>
      <c r="G6455" s="140" t="s">
        <v>454</v>
      </c>
      <c r="H6455">
        <v>0</v>
      </c>
      <c r="I6455" s="140" t="s">
        <v>62</v>
      </c>
    </row>
    <row r="6456" spans="1:9" hidden="1" x14ac:dyDescent="0.25">
      <c r="A6456">
        <v>2025</v>
      </c>
      <c r="B6456" s="140" t="s">
        <v>453</v>
      </c>
      <c r="C6456" s="140" t="s">
        <v>242</v>
      </c>
      <c r="D6456" s="140" t="s">
        <v>11</v>
      </c>
      <c r="E6456" s="140" t="s">
        <v>12</v>
      </c>
      <c r="F6456">
        <v>2728.3</v>
      </c>
      <c r="G6456" s="140" t="s">
        <v>454</v>
      </c>
      <c r="H6456">
        <v>0</v>
      </c>
      <c r="I6456" s="140" t="s">
        <v>62</v>
      </c>
    </row>
    <row r="6457" spans="1:9" hidden="1" x14ac:dyDescent="0.25">
      <c r="A6457">
        <v>2026</v>
      </c>
      <c r="B6457" s="140" t="s">
        <v>453</v>
      </c>
      <c r="C6457" s="140" t="s">
        <v>242</v>
      </c>
      <c r="D6457" s="140" t="s">
        <v>11</v>
      </c>
      <c r="E6457" s="140" t="s">
        <v>12</v>
      </c>
      <c r="F6457">
        <v>0</v>
      </c>
      <c r="G6457" s="140" t="s">
        <v>454</v>
      </c>
      <c r="H6457">
        <v>0</v>
      </c>
      <c r="I6457" s="140" t="s">
        <v>62</v>
      </c>
    </row>
    <row r="6458" spans="1:9" hidden="1" x14ac:dyDescent="0.25">
      <c r="A6458">
        <v>2027</v>
      </c>
      <c r="B6458" s="140" t="s">
        <v>453</v>
      </c>
      <c r="C6458" s="140" t="s">
        <v>242</v>
      </c>
      <c r="D6458" s="140" t="s">
        <v>11</v>
      </c>
      <c r="E6458" s="140" t="s">
        <v>12</v>
      </c>
      <c r="F6458">
        <v>0</v>
      </c>
      <c r="G6458" s="140" t="s">
        <v>454</v>
      </c>
      <c r="H6458">
        <v>0</v>
      </c>
      <c r="I6458" s="140" t="s">
        <v>62</v>
      </c>
    </row>
    <row r="6459" spans="1:9" hidden="1" x14ac:dyDescent="0.25">
      <c r="A6459">
        <v>2028</v>
      </c>
      <c r="B6459" s="140" t="s">
        <v>453</v>
      </c>
      <c r="C6459" s="140" t="s">
        <v>242</v>
      </c>
      <c r="D6459" s="140" t="s">
        <v>11</v>
      </c>
      <c r="E6459" s="140" t="s">
        <v>12</v>
      </c>
      <c r="F6459">
        <v>0</v>
      </c>
      <c r="G6459" s="140" t="s">
        <v>454</v>
      </c>
      <c r="H6459">
        <v>0</v>
      </c>
      <c r="I6459" s="140" t="s">
        <v>62</v>
      </c>
    </row>
    <row r="6460" spans="1:9" hidden="1" x14ac:dyDescent="0.25">
      <c r="A6460">
        <v>1990</v>
      </c>
      <c r="B6460" s="140" t="s">
        <v>61</v>
      </c>
      <c r="C6460" s="140" t="s">
        <v>241</v>
      </c>
      <c r="D6460" s="140" t="s">
        <v>11</v>
      </c>
      <c r="E6460" s="140" t="s">
        <v>12</v>
      </c>
      <c r="F6460">
        <v>2468.4</v>
      </c>
      <c r="G6460" s="140" t="s">
        <v>554</v>
      </c>
      <c r="H6460">
        <v>1</v>
      </c>
      <c r="I6460" s="140" t="s">
        <v>62</v>
      </c>
    </row>
    <row r="6461" spans="1:9" hidden="1" x14ac:dyDescent="0.25">
      <c r="A6461">
        <v>1991</v>
      </c>
      <c r="B6461" s="140" t="s">
        <v>61</v>
      </c>
      <c r="C6461" s="140" t="s">
        <v>241</v>
      </c>
      <c r="D6461" s="140" t="s">
        <v>11</v>
      </c>
      <c r="E6461" s="140" t="s">
        <v>12</v>
      </c>
      <c r="F6461">
        <v>2331.6999999999998</v>
      </c>
      <c r="G6461" s="140" t="s">
        <v>554</v>
      </c>
      <c r="H6461">
        <v>1</v>
      </c>
      <c r="I6461" s="140" t="s">
        <v>62</v>
      </c>
    </row>
    <row r="6462" spans="1:9" hidden="1" x14ac:dyDescent="0.25">
      <c r="A6462">
        <v>1992</v>
      </c>
      <c r="B6462" s="140" t="s">
        <v>61</v>
      </c>
      <c r="C6462" s="140" t="s">
        <v>241</v>
      </c>
      <c r="D6462" s="140" t="s">
        <v>11</v>
      </c>
      <c r="E6462" s="140" t="s">
        <v>12</v>
      </c>
      <c r="F6462">
        <v>2176.1</v>
      </c>
      <c r="G6462" s="140" t="s">
        <v>554</v>
      </c>
      <c r="H6462">
        <v>1</v>
      </c>
      <c r="I6462" s="140" t="s">
        <v>62</v>
      </c>
    </row>
    <row r="6463" spans="1:9" hidden="1" x14ac:dyDescent="0.25">
      <c r="A6463">
        <v>1993</v>
      </c>
      <c r="B6463" s="140" t="s">
        <v>61</v>
      </c>
      <c r="C6463" s="140" t="s">
        <v>241</v>
      </c>
      <c r="D6463" s="140" t="s">
        <v>11</v>
      </c>
      <c r="E6463" s="140" t="s">
        <v>12</v>
      </c>
      <c r="F6463">
        <v>2051.1</v>
      </c>
      <c r="G6463" s="140" t="s">
        <v>554</v>
      </c>
      <c r="H6463">
        <v>1</v>
      </c>
      <c r="I6463" s="140" t="s">
        <v>62</v>
      </c>
    </row>
    <row r="6464" spans="1:9" hidden="1" x14ac:dyDescent="0.25">
      <c r="A6464">
        <v>1994</v>
      </c>
      <c r="B6464" s="140" t="s">
        <v>61</v>
      </c>
      <c r="C6464" s="140" t="s">
        <v>241</v>
      </c>
      <c r="D6464" s="140" t="s">
        <v>11</v>
      </c>
      <c r="E6464" s="140" t="s">
        <v>12</v>
      </c>
      <c r="F6464">
        <v>2017.5</v>
      </c>
      <c r="G6464" s="140" t="s">
        <v>554</v>
      </c>
      <c r="H6464">
        <v>1</v>
      </c>
      <c r="I6464" s="140" t="s">
        <v>62</v>
      </c>
    </row>
    <row r="6465" spans="1:9" hidden="1" x14ac:dyDescent="0.25">
      <c r="A6465">
        <v>1995</v>
      </c>
      <c r="B6465" s="140" t="s">
        <v>61</v>
      </c>
      <c r="C6465" s="140" t="s">
        <v>241</v>
      </c>
      <c r="D6465" s="140" t="s">
        <v>11</v>
      </c>
      <c r="E6465" s="140" t="s">
        <v>12</v>
      </c>
      <c r="F6465">
        <v>2058.6999999999998</v>
      </c>
      <c r="G6465" s="140" t="s">
        <v>554</v>
      </c>
      <c r="H6465">
        <v>1</v>
      </c>
      <c r="I6465" s="140" t="s">
        <v>62</v>
      </c>
    </row>
    <row r="6466" spans="1:9" hidden="1" x14ac:dyDescent="0.25">
      <c r="A6466">
        <v>1996</v>
      </c>
      <c r="B6466" s="140" t="s">
        <v>61</v>
      </c>
      <c r="C6466" s="140" t="s">
        <v>241</v>
      </c>
      <c r="D6466" s="140" t="s">
        <v>11</v>
      </c>
      <c r="E6466" s="140" t="s">
        <v>12</v>
      </c>
      <c r="F6466">
        <v>2093.5</v>
      </c>
      <c r="G6466" s="140" t="s">
        <v>554</v>
      </c>
      <c r="H6466">
        <v>1</v>
      </c>
      <c r="I6466" s="140" t="s">
        <v>62</v>
      </c>
    </row>
    <row r="6467" spans="1:9" hidden="1" x14ac:dyDescent="0.25">
      <c r="A6467">
        <v>1997</v>
      </c>
      <c r="B6467" s="140" t="s">
        <v>61</v>
      </c>
      <c r="C6467" s="140" t="s">
        <v>241</v>
      </c>
      <c r="D6467" s="140" t="s">
        <v>11</v>
      </c>
      <c r="E6467" s="140" t="s">
        <v>12</v>
      </c>
      <c r="F6467">
        <v>2164.6</v>
      </c>
      <c r="G6467" s="140" t="s">
        <v>554</v>
      </c>
      <c r="H6467">
        <v>1</v>
      </c>
      <c r="I6467" s="140" t="s">
        <v>62</v>
      </c>
    </row>
    <row r="6468" spans="1:9" hidden="1" x14ac:dyDescent="0.25">
      <c r="A6468">
        <v>1998</v>
      </c>
      <c r="B6468" s="140" t="s">
        <v>61</v>
      </c>
      <c r="C6468" s="140" t="s">
        <v>241</v>
      </c>
      <c r="D6468" s="140" t="s">
        <v>11</v>
      </c>
      <c r="E6468" s="140" t="s">
        <v>12</v>
      </c>
      <c r="F6468">
        <v>2207.8000000000002</v>
      </c>
      <c r="G6468" s="140" t="s">
        <v>554</v>
      </c>
      <c r="H6468">
        <v>1</v>
      </c>
      <c r="I6468" s="140" t="s">
        <v>62</v>
      </c>
    </row>
    <row r="6469" spans="1:9" hidden="1" x14ac:dyDescent="0.25">
      <c r="A6469">
        <v>1999</v>
      </c>
      <c r="B6469" s="140" t="s">
        <v>61</v>
      </c>
      <c r="C6469" s="140" t="s">
        <v>241</v>
      </c>
      <c r="D6469" s="140" t="s">
        <v>11</v>
      </c>
      <c r="E6469" s="140" t="s">
        <v>12</v>
      </c>
      <c r="F6469">
        <v>2253.3000000000002</v>
      </c>
      <c r="G6469" s="140" t="s">
        <v>554</v>
      </c>
      <c r="H6469">
        <v>1</v>
      </c>
      <c r="I6469" s="140" t="s">
        <v>62</v>
      </c>
    </row>
    <row r="6470" spans="1:9" hidden="1" x14ac:dyDescent="0.25">
      <c r="A6470">
        <v>2000</v>
      </c>
      <c r="B6470" s="140" t="s">
        <v>61</v>
      </c>
      <c r="C6470" s="140" t="s">
        <v>241</v>
      </c>
      <c r="D6470" s="140" t="s">
        <v>11</v>
      </c>
      <c r="E6470" s="140" t="s">
        <v>12</v>
      </c>
      <c r="F6470">
        <v>2299.8000000000002</v>
      </c>
      <c r="G6470" s="140" t="s">
        <v>554</v>
      </c>
      <c r="H6470">
        <v>1</v>
      </c>
      <c r="I6470" s="140" t="s">
        <v>62</v>
      </c>
    </row>
    <row r="6471" spans="1:9" hidden="1" x14ac:dyDescent="0.25">
      <c r="A6471">
        <v>2001</v>
      </c>
      <c r="B6471" s="140" t="s">
        <v>61</v>
      </c>
      <c r="C6471" s="140" t="s">
        <v>241</v>
      </c>
      <c r="D6471" s="140" t="s">
        <v>11</v>
      </c>
      <c r="E6471" s="140" t="s">
        <v>12</v>
      </c>
      <c r="F6471">
        <v>2335.5</v>
      </c>
      <c r="G6471" s="140" t="s">
        <v>554</v>
      </c>
      <c r="H6471">
        <v>1</v>
      </c>
      <c r="I6471" s="140" t="s">
        <v>62</v>
      </c>
    </row>
    <row r="6472" spans="1:9" hidden="1" x14ac:dyDescent="0.25">
      <c r="A6472">
        <v>2002</v>
      </c>
      <c r="B6472" s="140" t="s">
        <v>61</v>
      </c>
      <c r="C6472" s="140" t="s">
        <v>241</v>
      </c>
      <c r="D6472" s="140" t="s">
        <v>11</v>
      </c>
      <c r="E6472" s="140" t="s">
        <v>12</v>
      </c>
      <c r="F6472">
        <v>2364.4</v>
      </c>
      <c r="G6472" s="140" t="s">
        <v>554</v>
      </c>
      <c r="H6472">
        <v>1</v>
      </c>
      <c r="I6472" s="140" t="s">
        <v>62</v>
      </c>
    </row>
    <row r="6473" spans="1:9" hidden="1" x14ac:dyDescent="0.25">
      <c r="A6473">
        <v>2003</v>
      </c>
      <c r="B6473" s="140" t="s">
        <v>61</v>
      </c>
      <c r="C6473" s="140" t="s">
        <v>241</v>
      </c>
      <c r="D6473" s="140" t="s">
        <v>11</v>
      </c>
      <c r="E6473" s="140" t="s">
        <v>12</v>
      </c>
      <c r="F6473">
        <v>2370</v>
      </c>
      <c r="G6473" s="140" t="s">
        <v>554</v>
      </c>
      <c r="H6473">
        <v>1</v>
      </c>
      <c r="I6473" s="140" t="s">
        <v>62</v>
      </c>
    </row>
    <row r="6474" spans="1:9" hidden="1" x14ac:dyDescent="0.25">
      <c r="A6474">
        <v>2004</v>
      </c>
      <c r="B6474" s="140" t="s">
        <v>61</v>
      </c>
      <c r="C6474" s="140" t="s">
        <v>241</v>
      </c>
      <c r="D6474" s="140" t="s">
        <v>11</v>
      </c>
      <c r="E6474" s="140" t="s">
        <v>12</v>
      </c>
      <c r="F6474">
        <v>2382.5</v>
      </c>
      <c r="G6474" s="140" t="s">
        <v>554</v>
      </c>
      <c r="H6474">
        <v>1</v>
      </c>
      <c r="I6474" s="140" t="s">
        <v>62</v>
      </c>
    </row>
    <row r="6475" spans="1:9" hidden="1" x14ac:dyDescent="0.25">
      <c r="A6475">
        <v>2005</v>
      </c>
      <c r="B6475" s="140" t="s">
        <v>61</v>
      </c>
      <c r="C6475" s="140" t="s">
        <v>241</v>
      </c>
      <c r="D6475" s="140" t="s">
        <v>11</v>
      </c>
      <c r="E6475" s="140" t="s">
        <v>12</v>
      </c>
      <c r="F6475">
        <v>2418.9</v>
      </c>
      <c r="G6475" s="140" t="s">
        <v>554</v>
      </c>
      <c r="H6475">
        <v>1</v>
      </c>
      <c r="I6475" s="140" t="s">
        <v>62</v>
      </c>
    </row>
    <row r="6476" spans="1:9" hidden="1" x14ac:dyDescent="0.25">
      <c r="A6476">
        <v>2006</v>
      </c>
      <c r="B6476" s="140" t="s">
        <v>61</v>
      </c>
      <c r="C6476" s="140" t="s">
        <v>241</v>
      </c>
      <c r="D6476" s="140" t="s">
        <v>11</v>
      </c>
      <c r="E6476" s="140" t="s">
        <v>12</v>
      </c>
      <c r="F6476">
        <v>2464.4</v>
      </c>
      <c r="G6476" s="140" t="s">
        <v>554</v>
      </c>
      <c r="H6476">
        <v>1</v>
      </c>
      <c r="I6476" s="140" t="s">
        <v>62</v>
      </c>
    </row>
    <row r="6477" spans="1:9" hidden="1" x14ac:dyDescent="0.25">
      <c r="A6477">
        <v>2007</v>
      </c>
      <c r="B6477" s="140" t="s">
        <v>61</v>
      </c>
      <c r="C6477" s="140" t="s">
        <v>241</v>
      </c>
      <c r="D6477" s="140" t="s">
        <v>11</v>
      </c>
      <c r="E6477" s="140" t="s">
        <v>12</v>
      </c>
      <c r="F6477">
        <v>2518.9</v>
      </c>
      <c r="G6477" s="140" t="s">
        <v>554</v>
      </c>
      <c r="H6477">
        <v>1</v>
      </c>
      <c r="I6477" s="140" t="s">
        <v>62</v>
      </c>
    </row>
    <row r="6478" spans="1:9" hidden="1" x14ac:dyDescent="0.25">
      <c r="A6478">
        <v>2008</v>
      </c>
      <c r="B6478" s="140" t="s">
        <v>61</v>
      </c>
      <c r="C6478" s="140" t="s">
        <v>241</v>
      </c>
      <c r="D6478" s="140" t="s">
        <v>11</v>
      </c>
      <c r="E6478" s="140" t="s">
        <v>12</v>
      </c>
      <c r="F6478">
        <v>2575.1</v>
      </c>
      <c r="G6478" s="140" t="s">
        <v>554</v>
      </c>
      <c r="H6478">
        <v>1</v>
      </c>
      <c r="I6478" s="140" t="s">
        <v>62</v>
      </c>
    </row>
    <row r="6479" spans="1:9" hidden="1" x14ac:dyDescent="0.25">
      <c r="A6479">
        <v>2009</v>
      </c>
      <c r="B6479" s="140" t="s">
        <v>61</v>
      </c>
      <c r="C6479" s="140" t="s">
        <v>241</v>
      </c>
      <c r="D6479" s="140" t="s">
        <v>11</v>
      </c>
      <c r="E6479" s="140" t="s">
        <v>12</v>
      </c>
      <c r="F6479">
        <v>2509.8000000000002</v>
      </c>
      <c r="G6479" s="140" t="s">
        <v>554</v>
      </c>
      <c r="H6479">
        <v>1</v>
      </c>
      <c r="I6479" s="140" t="s">
        <v>62</v>
      </c>
    </row>
    <row r="6480" spans="1:9" hidden="1" x14ac:dyDescent="0.25">
      <c r="A6480">
        <v>2010</v>
      </c>
      <c r="B6480" s="140" t="s">
        <v>61</v>
      </c>
      <c r="C6480" s="140" t="s">
        <v>241</v>
      </c>
      <c r="D6480" s="140" t="s">
        <v>11</v>
      </c>
      <c r="E6480" s="140" t="s">
        <v>12</v>
      </c>
      <c r="F6480">
        <v>2491</v>
      </c>
      <c r="G6480" s="140" t="s">
        <v>554</v>
      </c>
      <c r="H6480">
        <v>1</v>
      </c>
      <c r="I6480" s="140" t="s">
        <v>62</v>
      </c>
    </row>
    <row r="6481" spans="1:9" hidden="1" x14ac:dyDescent="0.25">
      <c r="A6481">
        <v>2011</v>
      </c>
      <c r="B6481" s="140" t="s">
        <v>61</v>
      </c>
      <c r="C6481" s="140" t="s">
        <v>241</v>
      </c>
      <c r="D6481" s="140" t="s">
        <v>11</v>
      </c>
      <c r="E6481" s="140" t="s">
        <v>12</v>
      </c>
      <c r="F6481">
        <v>2528.6999999999998</v>
      </c>
      <c r="G6481" s="140" t="s">
        <v>554</v>
      </c>
      <c r="H6481">
        <v>1</v>
      </c>
      <c r="I6481" s="140" t="s">
        <v>62</v>
      </c>
    </row>
    <row r="6482" spans="1:9" hidden="1" x14ac:dyDescent="0.25">
      <c r="A6482">
        <v>2012</v>
      </c>
      <c r="B6482" s="140" t="s">
        <v>61</v>
      </c>
      <c r="C6482" s="140" t="s">
        <v>241</v>
      </c>
      <c r="D6482" s="140" t="s">
        <v>11</v>
      </c>
      <c r="E6482" s="140" t="s">
        <v>12</v>
      </c>
      <c r="F6482">
        <v>2544.1999999999998</v>
      </c>
      <c r="G6482" s="140" t="s">
        <v>554</v>
      </c>
      <c r="H6482">
        <v>1</v>
      </c>
      <c r="I6482" s="140" t="s">
        <v>62</v>
      </c>
    </row>
    <row r="6483" spans="1:9" hidden="1" x14ac:dyDescent="0.25">
      <c r="A6483">
        <v>2013</v>
      </c>
      <c r="B6483" s="140" t="s">
        <v>61</v>
      </c>
      <c r="C6483" s="140" t="s">
        <v>241</v>
      </c>
      <c r="D6483" s="140" t="s">
        <v>11</v>
      </c>
      <c r="E6483" s="140" t="s">
        <v>12</v>
      </c>
      <c r="F6483">
        <v>2523.8000000000002</v>
      </c>
      <c r="G6483" s="140" t="s">
        <v>554</v>
      </c>
      <c r="H6483">
        <v>1</v>
      </c>
      <c r="I6483" s="140" t="s">
        <v>62</v>
      </c>
    </row>
    <row r="6484" spans="1:9" hidden="1" x14ac:dyDescent="0.25">
      <c r="A6484">
        <v>2014</v>
      </c>
      <c r="B6484" s="140" t="s">
        <v>61</v>
      </c>
      <c r="C6484" s="140" t="s">
        <v>241</v>
      </c>
      <c r="D6484" s="140" t="s">
        <v>11</v>
      </c>
      <c r="E6484" s="140" t="s">
        <v>12</v>
      </c>
      <c r="F6484">
        <v>2510</v>
      </c>
      <c r="G6484" s="140" t="s">
        <v>554</v>
      </c>
      <c r="H6484">
        <v>1</v>
      </c>
      <c r="I6484" s="140" t="s">
        <v>62</v>
      </c>
    </row>
    <row r="6485" spans="1:9" hidden="1" x14ac:dyDescent="0.25">
      <c r="A6485">
        <v>2015</v>
      </c>
      <c r="B6485" s="140" t="s">
        <v>61</v>
      </c>
      <c r="C6485" s="140" t="s">
        <v>241</v>
      </c>
      <c r="D6485" s="140" t="s">
        <v>11</v>
      </c>
      <c r="E6485" s="140" t="s">
        <v>12</v>
      </c>
      <c r="F6485">
        <v>2518</v>
      </c>
      <c r="G6485" s="140" t="s">
        <v>554</v>
      </c>
      <c r="H6485">
        <v>1</v>
      </c>
      <c r="I6485" s="140" t="s">
        <v>62</v>
      </c>
    </row>
    <row r="6486" spans="1:9" hidden="1" x14ac:dyDescent="0.25">
      <c r="A6486">
        <v>2016</v>
      </c>
      <c r="B6486" s="140" t="s">
        <v>61</v>
      </c>
      <c r="C6486" s="140" t="s">
        <v>241</v>
      </c>
      <c r="D6486" s="140" t="s">
        <v>11</v>
      </c>
      <c r="E6486" s="140" t="s">
        <v>12</v>
      </c>
      <c r="F6486">
        <v>2532</v>
      </c>
      <c r="G6486" s="140" t="s">
        <v>554</v>
      </c>
      <c r="H6486">
        <v>1</v>
      </c>
      <c r="I6486" s="140" t="s">
        <v>62</v>
      </c>
    </row>
    <row r="6487" spans="1:9" hidden="1" x14ac:dyDescent="0.25">
      <c r="A6487">
        <v>2017</v>
      </c>
      <c r="B6487" s="140" t="s">
        <v>61</v>
      </c>
      <c r="C6487" s="140" t="s">
        <v>241</v>
      </c>
      <c r="D6487" s="140" t="s">
        <v>11</v>
      </c>
      <c r="E6487" s="140" t="s">
        <v>12</v>
      </c>
      <c r="F6487">
        <v>2547.3000000000002</v>
      </c>
      <c r="G6487" s="140" t="s">
        <v>554</v>
      </c>
      <c r="H6487">
        <v>1</v>
      </c>
      <c r="I6487" s="140" t="s">
        <v>62</v>
      </c>
    </row>
    <row r="6488" spans="1:9" hidden="1" x14ac:dyDescent="0.25">
      <c r="A6488">
        <v>2018</v>
      </c>
      <c r="B6488" s="140" t="s">
        <v>61</v>
      </c>
      <c r="C6488" s="140" t="s">
        <v>241</v>
      </c>
      <c r="D6488" s="140" t="s">
        <v>11</v>
      </c>
      <c r="E6488" s="140" t="s">
        <v>12</v>
      </c>
      <c r="F6488">
        <v>2613.6</v>
      </c>
      <c r="G6488" s="140" t="s">
        <v>554</v>
      </c>
      <c r="H6488">
        <v>1</v>
      </c>
      <c r="I6488" s="140" t="s">
        <v>62</v>
      </c>
    </row>
    <row r="6489" spans="1:9" hidden="1" x14ac:dyDescent="0.25">
      <c r="A6489">
        <v>2019</v>
      </c>
      <c r="B6489" s="140" t="s">
        <v>61</v>
      </c>
      <c r="C6489" s="140" t="s">
        <v>241</v>
      </c>
      <c r="D6489" s="140" t="s">
        <v>11</v>
      </c>
      <c r="E6489" s="140" t="s">
        <v>12</v>
      </c>
      <c r="F6489">
        <v>2652.1</v>
      </c>
      <c r="G6489" s="140" t="s">
        <v>554</v>
      </c>
      <c r="H6489">
        <v>1</v>
      </c>
      <c r="I6489" s="140" t="s">
        <v>62</v>
      </c>
    </row>
    <row r="6490" spans="1:9" hidden="1" x14ac:dyDescent="0.25">
      <c r="A6490">
        <v>2020</v>
      </c>
      <c r="B6490" s="140" t="s">
        <v>61</v>
      </c>
      <c r="C6490" s="140" t="s">
        <v>241</v>
      </c>
      <c r="D6490" s="140" t="s">
        <v>11</v>
      </c>
      <c r="E6490" s="140" t="s">
        <v>12</v>
      </c>
      <c r="F6490">
        <v>2590</v>
      </c>
      <c r="G6490" s="140" t="s">
        <v>554</v>
      </c>
      <c r="H6490">
        <v>1</v>
      </c>
      <c r="I6490" s="140" t="s">
        <v>62</v>
      </c>
    </row>
    <row r="6491" spans="1:9" hidden="1" x14ac:dyDescent="0.25">
      <c r="A6491">
        <v>2021</v>
      </c>
      <c r="B6491" s="140" t="s">
        <v>61</v>
      </c>
      <c r="C6491" s="140" t="s">
        <v>241</v>
      </c>
      <c r="D6491" s="140" t="s">
        <v>11</v>
      </c>
      <c r="E6491" s="140" t="s">
        <v>12</v>
      </c>
      <c r="F6491">
        <v>2649.7</v>
      </c>
      <c r="G6491" s="140" t="s">
        <v>554</v>
      </c>
      <c r="H6491">
        <v>1</v>
      </c>
      <c r="I6491" s="140" t="s">
        <v>62</v>
      </c>
    </row>
    <row r="6492" spans="1:9" hidden="1" x14ac:dyDescent="0.25">
      <c r="A6492">
        <v>2022</v>
      </c>
      <c r="B6492" s="140" t="s">
        <v>61</v>
      </c>
      <c r="C6492" s="140" t="s">
        <v>241</v>
      </c>
      <c r="D6492" s="140" t="s">
        <v>11</v>
      </c>
      <c r="E6492" s="140" t="s">
        <v>12</v>
      </c>
      <c r="F6492">
        <v>2742.8</v>
      </c>
      <c r="G6492" s="140" t="s">
        <v>554</v>
      </c>
      <c r="H6492">
        <v>1</v>
      </c>
      <c r="I6492" s="140" t="s">
        <v>62</v>
      </c>
    </row>
    <row r="6493" spans="1:9" hidden="1" x14ac:dyDescent="0.25">
      <c r="A6493">
        <v>2023</v>
      </c>
      <c r="B6493" s="140" t="s">
        <v>61</v>
      </c>
      <c r="C6493" s="140" t="s">
        <v>241</v>
      </c>
      <c r="D6493" s="140" t="s">
        <v>11</v>
      </c>
      <c r="E6493" s="140" t="s">
        <v>12</v>
      </c>
      <c r="F6493">
        <v>2770</v>
      </c>
      <c r="G6493" s="140" t="s">
        <v>554</v>
      </c>
      <c r="H6493">
        <v>1</v>
      </c>
      <c r="I6493" s="140" t="s">
        <v>62</v>
      </c>
    </row>
    <row r="6494" spans="1:9" hidden="1" x14ac:dyDescent="0.25">
      <c r="A6494">
        <v>2024</v>
      </c>
      <c r="B6494" s="140" t="s">
        <v>61</v>
      </c>
      <c r="C6494" s="140" t="s">
        <v>241</v>
      </c>
      <c r="D6494" s="140" t="s">
        <v>11</v>
      </c>
      <c r="E6494" s="140" t="s">
        <v>12</v>
      </c>
      <c r="F6494">
        <v>2748</v>
      </c>
      <c r="G6494" s="140" t="s">
        <v>554</v>
      </c>
      <c r="H6494">
        <v>1</v>
      </c>
      <c r="I6494" s="140" t="s">
        <v>62</v>
      </c>
    </row>
    <row r="6495" spans="1:9" hidden="1" x14ac:dyDescent="0.25">
      <c r="A6495">
        <v>2025</v>
      </c>
      <c r="B6495" s="140" t="s">
        <v>61</v>
      </c>
      <c r="C6495" s="140" t="s">
        <v>241</v>
      </c>
      <c r="D6495" s="140" t="s">
        <v>11</v>
      </c>
      <c r="E6495" s="140" t="s">
        <v>12</v>
      </c>
      <c r="F6495">
        <v>2732.1</v>
      </c>
      <c r="G6495" s="140" t="s">
        <v>554</v>
      </c>
      <c r="H6495">
        <v>1</v>
      </c>
      <c r="I6495" s="140" t="s">
        <v>62</v>
      </c>
    </row>
    <row r="6496" spans="1:9" hidden="1" x14ac:dyDescent="0.25">
      <c r="A6496">
        <v>2026</v>
      </c>
      <c r="B6496" s="140" t="s">
        <v>61</v>
      </c>
      <c r="C6496" s="140" t="s">
        <v>241</v>
      </c>
      <c r="D6496" s="140" t="s">
        <v>11</v>
      </c>
      <c r="E6496" s="140" t="s">
        <v>12</v>
      </c>
      <c r="F6496">
        <v>2719.5218380000001</v>
      </c>
      <c r="G6496" s="140" t="s">
        <v>554</v>
      </c>
      <c r="H6496">
        <v>1</v>
      </c>
      <c r="I6496" s="140" t="s">
        <v>62</v>
      </c>
    </row>
    <row r="6497" spans="1:9" hidden="1" x14ac:dyDescent="0.25">
      <c r="A6497">
        <v>2027</v>
      </c>
      <c r="B6497" s="140" t="s">
        <v>61</v>
      </c>
      <c r="C6497" s="140" t="s">
        <v>241</v>
      </c>
      <c r="D6497" s="140" t="s">
        <v>11</v>
      </c>
      <c r="E6497" s="140" t="s">
        <v>12</v>
      </c>
      <c r="F6497">
        <v>2748.7594680000002</v>
      </c>
      <c r="G6497" s="140" t="s">
        <v>554</v>
      </c>
      <c r="H6497">
        <v>1</v>
      </c>
      <c r="I6497" s="140" t="s">
        <v>62</v>
      </c>
    </row>
    <row r="6498" spans="1:9" hidden="1" x14ac:dyDescent="0.25">
      <c r="A6498">
        <v>2028</v>
      </c>
      <c r="B6498" s="140" t="s">
        <v>61</v>
      </c>
      <c r="C6498" s="140" t="s">
        <v>241</v>
      </c>
      <c r="D6498" s="140" t="s">
        <v>11</v>
      </c>
      <c r="E6498" s="140" t="s">
        <v>12</v>
      </c>
      <c r="F6498">
        <v>2771.1890579999999</v>
      </c>
      <c r="G6498" s="140" t="s">
        <v>554</v>
      </c>
      <c r="H6498">
        <v>1</v>
      </c>
      <c r="I6498" s="140" t="s">
        <v>62</v>
      </c>
    </row>
    <row r="6499" spans="1:9" hidden="1" x14ac:dyDescent="0.25">
      <c r="A6499">
        <v>1990</v>
      </c>
      <c r="B6499" s="140" t="s">
        <v>455</v>
      </c>
      <c r="C6499" s="140" t="s">
        <v>242</v>
      </c>
      <c r="D6499" s="140" t="s">
        <v>11</v>
      </c>
      <c r="E6499" s="140" t="s">
        <v>12</v>
      </c>
      <c r="F6499">
        <v>4986.3999999999996</v>
      </c>
      <c r="G6499" s="140" t="s">
        <v>456</v>
      </c>
      <c r="H6499">
        <v>0</v>
      </c>
      <c r="I6499" s="140" t="s">
        <v>62</v>
      </c>
    </row>
    <row r="6500" spans="1:9" hidden="1" x14ac:dyDescent="0.25">
      <c r="A6500">
        <v>1991</v>
      </c>
      <c r="B6500" s="140" t="s">
        <v>455</v>
      </c>
      <c r="C6500" s="140" t="s">
        <v>242</v>
      </c>
      <c r="D6500" s="140" t="s">
        <v>11</v>
      </c>
      <c r="E6500" s="140" t="s">
        <v>12</v>
      </c>
      <c r="F6500">
        <v>5013.7</v>
      </c>
      <c r="G6500" s="140" t="s">
        <v>456</v>
      </c>
      <c r="H6500">
        <v>0</v>
      </c>
      <c r="I6500" s="140" t="s">
        <v>62</v>
      </c>
    </row>
    <row r="6501" spans="1:9" hidden="1" x14ac:dyDescent="0.25">
      <c r="A6501">
        <v>1992</v>
      </c>
      <c r="B6501" s="140" t="s">
        <v>455</v>
      </c>
      <c r="C6501" s="140" t="s">
        <v>242</v>
      </c>
      <c r="D6501" s="140" t="s">
        <v>11</v>
      </c>
      <c r="E6501" s="140" t="s">
        <v>12</v>
      </c>
      <c r="F6501">
        <v>5042</v>
      </c>
      <c r="G6501" s="140" t="s">
        <v>456</v>
      </c>
      <c r="H6501">
        <v>0</v>
      </c>
      <c r="I6501" s="140" t="s">
        <v>62</v>
      </c>
    </row>
    <row r="6502" spans="1:9" hidden="1" x14ac:dyDescent="0.25">
      <c r="A6502">
        <v>1993</v>
      </c>
      <c r="B6502" s="140" t="s">
        <v>455</v>
      </c>
      <c r="C6502" s="140" t="s">
        <v>242</v>
      </c>
      <c r="D6502" s="140" t="s">
        <v>11</v>
      </c>
      <c r="E6502" s="140" t="s">
        <v>12</v>
      </c>
      <c r="F6502">
        <v>5066.3999999999996</v>
      </c>
      <c r="G6502" s="140" t="s">
        <v>456</v>
      </c>
      <c r="H6502">
        <v>0</v>
      </c>
      <c r="I6502" s="140" t="s">
        <v>62</v>
      </c>
    </row>
    <row r="6503" spans="1:9" hidden="1" x14ac:dyDescent="0.25">
      <c r="A6503">
        <v>1994</v>
      </c>
      <c r="B6503" s="140" t="s">
        <v>455</v>
      </c>
      <c r="C6503" s="140" t="s">
        <v>242</v>
      </c>
      <c r="D6503" s="140" t="s">
        <v>11</v>
      </c>
      <c r="E6503" s="140" t="s">
        <v>12</v>
      </c>
      <c r="F6503">
        <v>5088.3</v>
      </c>
      <c r="G6503" s="140" t="s">
        <v>456</v>
      </c>
      <c r="H6503">
        <v>0</v>
      </c>
      <c r="I6503" s="140" t="s">
        <v>62</v>
      </c>
    </row>
    <row r="6504" spans="1:9" hidden="1" x14ac:dyDescent="0.25">
      <c r="A6504">
        <v>1995</v>
      </c>
      <c r="B6504" s="140" t="s">
        <v>455</v>
      </c>
      <c r="C6504" s="140" t="s">
        <v>242</v>
      </c>
      <c r="D6504" s="140" t="s">
        <v>11</v>
      </c>
      <c r="E6504" s="140" t="s">
        <v>12</v>
      </c>
      <c r="F6504">
        <v>5107.8</v>
      </c>
      <c r="G6504" s="140" t="s">
        <v>456</v>
      </c>
      <c r="H6504">
        <v>0</v>
      </c>
      <c r="I6504" s="140" t="s">
        <v>62</v>
      </c>
    </row>
    <row r="6505" spans="1:9" hidden="1" x14ac:dyDescent="0.25">
      <c r="A6505">
        <v>1996</v>
      </c>
      <c r="B6505" s="140" t="s">
        <v>455</v>
      </c>
      <c r="C6505" s="140" t="s">
        <v>242</v>
      </c>
      <c r="D6505" s="140" t="s">
        <v>11</v>
      </c>
      <c r="E6505" s="140" t="s">
        <v>12</v>
      </c>
      <c r="F6505">
        <v>5124.6000000000004</v>
      </c>
      <c r="G6505" s="140" t="s">
        <v>456</v>
      </c>
      <c r="H6505">
        <v>0</v>
      </c>
      <c r="I6505" s="140" t="s">
        <v>62</v>
      </c>
    </row>
    <row r="6506" spans="1:9" hidden="1" x14ac:dyDescent="0.25">
      <c r="A6506">
        <v>1997</v>
      </c>
      <c r="B6506" s="140" t="s">
        <v>455</v>
      </c>
      <c r="C6506" s="140" t="s">
        <v>242</v>
      </c>
      <c r="D6506" s="140" t="s">
        <v>11</v>
      </c>
      <c r="E6506" s="140" t="s">
        <v>12</v>
      </c>
      <c r="F6506">
        <v>5139.8</v>
      </c>
      <c r="G6506" s="140" t="s">
        <v>456</v>
      </c>
      <c r="H6506">
        <v>0</v>
      </c>
      <c r="I6506" s="140" t="s">
        <v>62</v>
      </c>
    </row>
    <row r="6507" spans="1:9" hidden="1" x14ac:dyDescent="0.25">
      <c r="A6507">
        <v>1998</v>
      </c>
      <c r="B6507" s="140" t="s">
        <v>455</v>
      </c>
      <c r="C6507" s="140" t="s">
        <v>242</v>
      </c>
      <c r="D6507" s="140" t="s">
        <v>11</v>
      </c>
      <c r="E6507" s="140" t="s">
        <v>12</v>
      </c>
      <c r="F6507">
        <v>5153.5</v>
      </c>
      <c r="G6507" s="140" t="s">
        <v>456</v>
      </c>
      <c r="H6507">
        <v>0</v>
      </c>
      <c r="I6507" s="140" t="s">
        <v>62</v>
      </c>
    </row>
    <row r="6508" spans="1:9" hidden="1" x14ac:dyDescent="0.25">
      <c r="A6508">
        <v>1999</v>
      </c>
      <c r="B6508" s="140" t="s">
        <v>455</v>
      </c>
      <c r="C6508" s="140" t="s">
        <v>242</v>
      </c>
      <c r="D6508" s="140" t="s">
        <v>11</v>
      </c>
      <c r="E6508" s="140" t="s">
        <v>12</v>
      </c>
      <c r="F6508">
        <v>5165.5</v>
      </c>
      <c r="G6508" s="140" t="s">
        <v>456</v>
      </c>
      <c r="H6508">
        <v>0</v>
      </c>
      <c r="I6508" s="140" t="s">
        <v>62</v>
      </c>
    </row>
    <row r="6509" spans="1:9" hidden="1" x14ac:dyDescent="0.25">
      <c r="A6509">
        <v>2000</v>
      </c>
      <c r="B6509" s="140" t="s">
        <v>455</v>
      </c>
      <c r="C6509" s="140" t="s">
        <v>242</v>
      </c>
      <c r="D6509" s="140" t="s">
        <v>11</v>
      </c>
      <c r="E6509" s="140" t="s">
        <v>12</v>
      </c>
      <c r="F6509">
        <v>5176.2</v>
      </c>
      <c r="G6509" s="140" t="s">
        <v>456</v>
      </c>
      <c r="H6509">
        <v>0</v>
      </c>
      <c r="I6509" s="140" t="s">
        <v>62</v>
      </c>
    </row>
    <row r="6510" spans="1:9" hidden="1" x14ac:dyDescent="0.25">
      <c r="A6510">
        <v>2001</v>
      </c>
      <c r="B6510" s="140" t="s">
        <v>455</v>
      </c>
      <c r="C6510" s="140" t="s">
        <v>242</v>
      </c>
      <c r="D6510" s="140" t="s">
        <v>11</v>
      </c>
      <c r="E6510" s="140" t="s">
        <v>12</v>
      </c>
      <c r="F6510">
        <v>5188</v>
      </c>
      <c r="G6510" s="140" t="s">
        <v>456</v>
      </c>
      <c r="H6510">
        <v>0</v>
      </c>
      <c r="I6510" s="140" t="s">
        <v>62</v>
      </c>
    </row>
    <row r="6511" spans="1:9" hidden="1" x14ac:dyDescent="0.25">
      <c r="A6511">
        <v>2002</v>
      </c>
      <c r="B6511" s="140" t="s">
        <v>455</v>
      </c>
      <c r="C6511" s="140" t="s">
        <v>242</v>
      </c>
      <c r="D6511" s="140" t="s">
        <v>11</v>
      </c>
      <c r="E6511" s="140" t="s">
        <v>12</v>
      </c>
      <c r="F6511">
        <v>5200.6000000000004</v>
      </c>
      <c r="G6511" s="140" t="s">
        <v>456</v>
      </c>
      <c r="H6511">
        <v>0</v>
      </c>
      <c r="I6511" s="140" t="s">
        <v>62</v>
      </c>
    </row>
    <row r="6512" spans="1:9" hidden="1" x14ac:dyDescent="0.25">
      <c r="A6512">
        <v>2003</v>
      </c>
      <c r="B6512" s="140" t="s">
        <v>455</v>
      </c>
      <c r="C6512" s="140" t="s">
        <v>242</v>
      </c>
      <c r="D6512" s="140" t="s">
        <v>11</v>
      </c>
      <c r="E6512" s="140" t="s">
        <v>12</v>
      </c>
      <c r="F6512">
        <v>5213</v>
      </c>
      <c r="G6512" s="140" t="s">
        <v>456</v>
      </c>
      <c r="H6512">
        <v>0</v>
      </c>
      <c r="I6512" s="140" t="s">
        <v>62</v>
      </c>
    </row>
    <row r="6513" spans="1:9" hidden="1" x14ac:dyDescent="0.25">
      <c r="A6513">
        <v>2004</v>
      </c>
      <c r="B6513" s="140" t="s">
        <v>455</v>
      </c>
      <c r="C6513" s="140" t="s">
        <v>242</v>
      </c>
      <c r="D6513" s="140" t="s">
        <v>11</v>
      </c>
      <c r="E6513" s="140" t="s">
        <v>12</v>
      </c>
      <c r="F6513">
        <v>5228.2</v>
      </c>
      <c r="G6513" s="140" t="s">
        <v>456</v>
      </c>
      <c r="H6513">
        <v>0</v>
      </c>
      <c r="I6513" s="140" t="s">
        <v>62</v>
      </c>
    </row>
    <row r="6514" spans="1:9" hidden="1" x14ac:dyDescent="0.25">
      <c r="A6514">
        <v>2005</v>
      </c>
      <c r="B6514" s="140" t="s">
        <v>455</v>
      </c>
      <c r="C6514" s="140" t="s">
        <v>242</v>
      </c>
      <c r="D6514" s="140" t="s">
        <v>11</v>
      </c>
      <c r="E6514" s="140" t="s">
        <v>12</v>
      </c>
      <c r="F6514">
        <v>5246.1</v>
      </c>
      <c r="G6514" s="140" t="s">
        <v>456</v>
      </c>
      <c r="H6514">
        <v>0</v>
      </c>
      <c r="I6514" s="140" t="s">
        <v>62</v>
      </c>
    </row>
    <row r="6515" spans="1:9" hidden="1" x14ac:dyDescent="0.25">
      <c r="A6515">
        <v>2006</v>
      </c>
      <c r="B6515" s="140" t="s">
        <v>455</v>
      </c>
      <c r="C6515" s="140" t="s">
        <v>242</v>
      </c>
      <c r="D6515" s="140" t="s">
        <v>11</v>
      </c>
      <c r="E6515" s="140" t="s">
        <v>12</v>
      </c>
      <c r="F6515">
        <v>5266.3</v>
      </c>
      <c r="G6515" s="140" t="s">
        <v>456</v>
      </c>
      <c r="H6515">
        <v>0</v>
      </c>
      <c r="I6515" s="140" t="s">
        <v>62</v>
      </c>
    </row>
    <row r="6516" spans="1:9" hidden="1" x14ac:dyDescent="0.25">
      <c r="A6516">
        <v>2007</v>
      </c>
      <c r="B6516" s="140" t="s">
        <v>455</v>
      </c>
      <c r="C6516" s="140" t="s">
        <v>242</v>
      </c>
      <c r="D6516" s="140" t="s">
        <v>11</v>
      </c>
      <c r="E6516" s="140" t="s">
        <v>12</v>
      </c>
      <c r="F6516">
        <v>5288.7</v>
      </c>
      <c r="G6516" s="140" t="s">
        <v>456</v>
      </c>
      <c r="H6516">
        <v>0</v>
      </c>
      <c r="I6516" s="140" t="s">
        <v>62</v>
      </c>
    </row>
    <row r="6517" spans="1:9" hidden="1" x14ac:dyDescent="0.25">
      <c r="A6517">
        <v>2008</v>
      </c>
      <c r="B6517" s="140" t="s">
        <v>455</v>
      </c>
      <c r="C6517" s="140" t="s">
        <v>242</v>
      </c>
      <c r="D6517" s="140" t="s">
        <v>11</v>
      </c>
      <c r="E6517" s="140" t="s">
        <v>12</v>
      </c>
      <c r="F6517">
        <v>5313.4</v>
      </c>
      <c r="G6517" s="140" t="s">
        <v>456</v>
      </c>
      <c r="H6517">
        <v>0</v>
      </c>
      <c r="I6517" s="140" t="s">
        <v>62</v>
      </c>
    </row>
    <row r="6518" spans="1:9" hidden="1" x14ac:dyDescent="0.25">
      <c r="A6518">
        <v>2009</v>
      </c>
      <c r="B6518" s="140" t="s">
        <v>455</v>
      </c>
      <c r="C6518" s="140" t="s">
        <v>242</v>
      </c>
      <c r="D6518" s="140" t="s">
        <v>11</v>
      </c>
      <c r="E6518" s="140" t="s">
        <v>12</v>
      </c>
      <c r="F6518">
        <v>5338.9</v>
      </c>
      <c r="G6518" s="140" t="s">
        <v>456</v>
      </c>
      <c r="H6518">
        <v>0</v>
      </c>
      <c r="I6518" s="140" t="s">
        <v>62</v>
      </c>
    </row>
    <row r="6519" spans="1:9" hidden="1" x14ac:dyDescent="0.25">
      <c r="A6519">
        <v>2010</v>
      </c>
      <c r="B6519" s="140" t="s">
        <v>455</v>
      </c>
      <c r="C6519" s="140" t="s">
        <v>242</v>
      </c>
      <c r="D6519" s="140" t="s">
        <v>11</v>
      </c>
      <c r="E6519" s="140" t="s">
        <v>12</v>
      </c>
      <c r="F6519">
        <v>5363.4</v>
      </c>
      <c r="G6519" s="140" t="s">
        <v>456</v>
      </c>
      <c r="H6519">
        <v>0</v>
      </c>
      <c r="I6519" s="140" t="s">
        <v>62</v>
      </c>
    </row>
    <row r="6520" spans="1:9" hidden="1" x14ac:dyDescent="0.25">
      <c r="A6520">
        <v>2011</v>
      </c>
      <c r="B6520" s="140" t="s">
        <v>455</v>
      </c>
      <c r="C6520" s="140" t="s">
        <v>242</v>
      </c>
      <c r="D6520" s="140" t="s">
        <v>11</v>
      </c>
      <c r="E6520" s="140" t="s">
        <v>12</v>
      </c>
      <c r="F6520">
        <v>5388.3</v>
      </c>
      <c r="G6520" s="140" t="s">
        <v>456</v>
      </c>
      <c r="H6520">
        <v>0</v>
      </c>
      <c r="I6520" s="140" t="s">
        <v>62</v>
      </c>
    </row>
    <row r="6521" spans="1:9" hidden="1" x14ac:dyDescent="0.25">
      <c r="A6521">
        <v>2012</v>
      </c>
      <c r="B6521" s="140" t="s">
        <v>455</v>
      </c>
      <c r="C6521" s="140" t="s">
        <v>242</v>
      </c>
      <c r="D6521" s="140" t="s">
        <v>11</v>
      </c>
      <c r="E6521" s="140" t="s">
        <v>12</v>
      </c>
      <c r="F6521">
        <v>5414</v>
      </c>
      <c r="G6521" s="140" t="s">
        <v>456</v>
      </c>
      <c r="H6521">
        <v>0</v>
      </c>
      <c r="I6521" s="140" t="s">
        <v>62</v>
      </c>
    </row>
    <row r="6522" spans="1:9" hidden="1" x14ac:dyDescent="0.25">
      <c r="A6522">
        <v>2013</v>
      </c>
      <c r="B6522" s="140" t="s">
        <v>455</v>
      </c>
      <c r="C6522" s="140" t="s">
        <v>242</v>
      </c>
      <c r="D6522" s="140" t="s">
        <v>11</v>
      </c>
      <c r="E6522" s="140" t="s">
        <v>12</v>
      </c>
      <c r="F6522">
        <v>5439</v>
      </c>
      <c r="G6522" s="140" t="s">
        <v>456</v>
      </c>
      <c r="H6522">
        <v>0</v>
      </c>
      <c r="I6522" s="140" t="s">
        <v>62</v>
      </c>
    </row>
    <row r="6523" spans="1:9" hidden="1" x14ac:dyDescent="0.25">
      <c r="A6523">
        <v>2014</v>
      </c>
      <c r="B6523" s="140" t="s">
        <v>455</v>
      </c>
      <c r="C6523" s="140" t="s">
        <v>242</v>
      </c>
      <c r="D6523" s="140" t="s">
        <v>11</v>
      </c>
      <c r="E6523" s="140" t="s">
        <v>12</v>
      </c>
      <c r="F6523">
        <v>5462.5</v>
      </c>
      <c r="G6523" s="140" t="s">
        <v>456</v>
      </c>
      <c r="H6523">
        <v>0</v>
      </c>
      <c r="I6523" s="140" t="s">
        <v>62</v>
      </c>
    </row>
    <row r="6524" spans="1:9" hidden="1" x14ac:dyDescent="0.25">
      <c r="A6524">
        <v>2015</v>
      </c>
      <c r="B6524" s="140" t="s">
        <v>455</v>
      </c>
      <c r="C6524" s="140" t="s">
        <v>242</v>
      </c>
      <c r="D6524" s="140" t="s">
        <v>11</v>
      </c>
      <c r="E6524" s="140" t="s">
        <v>12</v>
      </c>
      <c r="F6524">
        <v>5480.5</v>
      </c>
      <c r="G6524" s="140" t="s">
        <v>456</v>
      </c>
      <c r="H6524">
        <v>0</v>
      </c>
      <c r="I6524" s="140" t="s">
        <v>62</v>
      </c>
    </row>
    <row r="6525" spans="1:9" hidden="1" x14ac:dyDescent="0.25">
      <c r="A6525">
        <v>2016</v>
      </c>
      <c r="B6525" s="140" t="s">
        <v>455</v>
      </c>
      <c r="C6525" s="140" t="s">
        <v>242</v>
      </c>
      <c r="D6525" s="140" t="s">
        <v>11</v>
      </c>
      <c r="E6525" s="140" t="s">
        <v>12</v>
      </c>
      <c r="F6525">
        <v>5495.3</v>
      </c>
      <c r="G6525" s="140" t="s">
        <v>456</v>
      </c>
      <c r="H6525">
        <v>0</v>
      </c>
      <c r="I6525" s="140" t="s">
        <v>62</v>
      </c>
    </row>
    <row r="6526" spans="1:9" hidden="1" x14ac:dyDescent="0.25">
      <c r="A6526">
        <v>2017</v>
      </c>
      <c r="B6526" s="140" t="s">
        <v>455</v>
      </c>
      <c r="C6526" s="140" t="s">
        <v>242</v>
      </c>
      <c r="D6526" s="140" t="s">
        <v>11</v>
      </c>
      <c r="E6526" s="140" t="s">
        <v>12</v>
      </c>
      <c r="F6526">
        <v>5508.2</v>
      </c>
      <c r="G6526" s="140" t="s">
        <v>456</v>
      </c>
      <c r="H6526">
        <v>0</v>
      </c>
      <c r="I6526" s="140" t="s">
        <v>62</v>
      </c>
    </row>
    <row r="6527" spans="1:9" hidden="1" x14ac:dyDescent="0.25">
      <c r="A6527">
        <v>2018</v>
      </c>
      <c r="B6527" s="140" t="s">
        <v>455</v>
      </c>
      <c r="C6527" s="140" t="s">
        <v>242</v>
      </c>
      <c r="D6527" s="140" t="s">
        <v>11</v>
      </c>
      <c r="E6527" s="140" t="s">
        <v>12</v>
      </c>
      <c r="F6527">
        <v>5516.2</v>
      </c>
      <c r="G6527" s="140" t="s">
        <v>456</v>
      </c>
      <c r="H6527">
        <v>0</v>
      </c>
      <c r="I6527" s="140" t="s">
        <v>62</v>
      </c>
    </row>
    <row r="6528" spans="1:9" hidden="1" x14ac:dyDescent="0.25">
      <c r="A6528">
        <v>2019</v>
      </c>
      <c r="B6528" s="140" t="s">
        <v>455</v>
      </c>
      <c r="C6528" s="140" t="s">
        <v>242</v>
      </c>
      <c r="D6528" s="140" t="s">
        <v>11</v>
      </c>
      <c r="E6528" s="140" t="s">
        <v>12</v>
      </c>
      <c r="F6528">
        <v>5521.6</v>
      </c>
      <c r="G6528" s="140" t="s">
        <v>456</v>
      </c>
      <c r="H6528">
        <v>0</v>
      </c>
      <c r="I6528" s="140" t="s">
        <v>62</v>
      </c>
    </row>
    <row r="6529" spans="1:9" hidden="1" x14ac:dyDescent="0.25">
      <c r="A6529">
        <v>2020</v>
      </c>
      <c r="B6529" s="140" t="s">
        <v>455</v>
      </c>
      <c r="C6529" s="140" t="s">
        <v>242</v>
      </c>
      <c r="D6529" s="140" t="s">
        <v>11</v>
      </c>
      <c r="E6529" s="140" t="s">
        <v>12</v>
      </c>
      <c r="F6529">
        <v>5530.7</v>
      </c>
      <c r="G6529" s="140" t="s">
        <v>456</v>
      </c>
      <c r="H6529">
        <v>0</v>
      </c>
      <c r="I6529" s="140" t="s">
        <v>62</v>
      </c>
    </row>
    <row r="6530" spans="1:9" hidden="1" x14ac:dyDescent="0.25">
      <c r="A6530">
        <v>2021</v>
      </c>
      <c r="B6530" s="140" t="s">
        <v>455</v>
      </c>
      <c r="C6530" s="140" t="s">
        <v>242</v>
      </c>
      <c r="D6530" s="140" t="s">
        <v>11</v>
      </c>
      <c r="E6530" s="140" t="s">
        <v>12</v>
      </c>
      <c r="F6530">
        <v>5541.5</v>
      </c>
      <c r="G6530" s="140" t="s">
        <v>456</v>
      </c>
      <c r="H6530">
        <v>0</v>
      </c>
      <c r="I6530" s="140" t="s">
        <v>62</v>
      </c>
    </row>
    <row r="6531" spans="1:9" hidden="1" x14ac:dyDescent="0.25">
      <c r="A6531">
        <v>2022</v>
      </c>
      <c r="B6531" s="140" t="s">
        <v>455</v>
      </c>
      <c r="C6531" s="140" t="s">
        <v>242</v>
      </c>
      <c r="D6531" s="140" t="s">
        <v>11</v>
      </c>
      <c r="E6531" s="140" t="s">
        <v>12</v>
      </c>
      <c r="F6531">
        <v>5556.9</v>
      </c>
      <c r="G6531" s="140" t="s">
        <v>456</v>
      </c>
      <c r="H6531">
        <v>0</v>
      </c>
      <c r="I6531" s="140" t="s">
        <v>62</v>
      </c>
    </row>
    <row r="6532" spans="1:9" hidden="1" x14ac:dyDescent="0.25">
      <c r="A6532">
        <v>2023</v>
      </c>
      <c r="B6532" s="140" t="s">
        <v>455</v>
      </c>
      <c r="C6532" s="140" t="s">
        <v>242</v>
      </c>
      <c r="D6532" s="140" t="s">
        <v>11</v>
      </c>
      <c r="E6532" s="140" t="s">
        <v>12</v>
      </c>
      <c r="F6532">
        <v>5577.4</v>
      </c>
      <c r="G6532" s="140" t="s">
        <v>456</v>
      </c>
      <c r="H6532">
        <v>0</v>
      </c>
      <c r="I6532" s="140" t="s">
        <v>62</v>
      </c>
    </row>
    <row r="6533" spans="1:9" hidden="1" x14ac:dyDescent="0.25">
      <c r="A6533">
        <v>2024</v>
      </c>
      <c r="B6533" s="140" t="s">
        <v>455</v>
      </c>
      <c r="C6533" s="140" t="s">
        <v>242</v>
      </c>
      <c r="D6533" s="140" t="s">
        <v>11</v>
      </c>
      <c r="E6533" s="140" t="s">
        <v>12</v>
      </c>
      <c r="F6533">
        <v>5620.9</v>
      </c>
      <c r="G6533" s="140" t="s">
        <v>456</v>
      </c>
      <c r="H6533">
        <v>0</v>
      </c>
      <c r="I6533" s="140" t="s">
        <v>62</v>
      </c>
    </row>
    <row r="6534" spans="1:9" hidden="1" x14ac:dyDescent="0.25">
      <c r="A6534">
        <v>2025</v>
      </c>
      <c r="B6534" s="140" t="s">
        <v>455</v>
      </c>
      <c r="C6534" s="140" t="s">
        <v>242</v>
      </c>
      <c r="D6534" s="140" t="s">
        <v>11</v>
      </c>
      <c r="E6534" s="140" t="s">
        <v>12</v>
      </c>
      <c r="F6534">
        <v>5650</v>
      </c>
      <c r="G6534" s="140" t="s">
        <v>456</v>
      </c>
      <c r="H6534">
        <v>0</v>
      </c>
      <c r="I6534" s="140" t="s">
        <v>62</v>
      </c>
    </row>
    <row r="6535" spans="1:9" hidden="1" x14ac:dyDescent="0.25">
      <c r="A6535">
        <v>2026</v>
      </c>
      <c r="B6535" s="140" t="s">
        <v>455</v>
      </c>
      <c r="C6535" s="140" t="s">
        <v>242</v>
      </c>
      <c r="D6535" s="140" t="s">
        <v>11</v>
      </c>
      <c r="E6535" s="140" t="s">
        <v>12</v>
      </c>
      <c r="F6535">
        <v>5653.8</v>
      </c>
      <c r="G6535" s="140" t="s">
        <v>456</v>
      </c>
      <c r="H6535">
        <v>0</v>
      </c>
      <c r="I6535" s="140" t="s">
        <v>62</v>
      </c>
    </row>
    <row r="6536" spans="1:9" hidden="1" x14ac:dyDescent="0.25">
      <c r="A6536">
        <v>2027</v>
      </c>
      <c r="B6536" s="140" t="s">
        <v>455</v>
      </c>
      <c r="C6536" s="140" t="s">
        <v>242</v>
      </c>
      <c r="D6536" s="140" t="s">
        <v>11</v>
      </c>
      <c r="E6536" s="140" t="s">
        <v>12</v>
      </c>
      <c r="F6536">
        <v>5663.0353590000004</v>
      </c>
      <c r="G6536" s="140" t="s">
        <v>456</v>
      </c>
      <c r="H6536">
        <v>0</v>
      </c>
      <c r="I6536" s="140" t="s">
        <v>62</v>
      </c>
    </row>
    <row r="6537" spans="1:9" hidden="1" x14ac:dyDescent="0.25">
      <c r="A6537">
        <v>2028</v>
      </c>
      <c r="B6537" s="140" t="s">
        <v>455</v>
      </c>
      <c r="C6537" s="140" t="s">
        <v>242</v>
      </c>
      <c r="D6537" s="140" t="s">
        <v>11</v>
      </c>
      <c r="E6537" s="140" t="s">
        <v>12</v>
      </c>
      <c r="F6537">
        <v>5671.7410540000001</v>
      </c>
      <c r="G6537" s="140" t="s">
        <v>456</v>
      </c>
      <c r="H6537">
        <v>0</v>
      </c>
      <c r="I6537" s="140" t="s">
        <v>62</v>
      </c>
    </row>
    <row r="6538" spans="1:9" hidden="1" x14ac:dyDescent="0.25">
      <c r="A6538">
        <v>1990</v>
      </c>
      <c r="B6538" s="140" t="s">
        <v>71</v>
      </c>
      <c r="C6538" s="140" t="s">
        <v>242</v>
      </c>
      <c r="D6538" s="140" t="s">
        <v>11</v>
      </c>
      <c r="E6538" s="140" t="s">
        <v>12</v>
      </c>
      <c r="F6538">
        <v>2127.5</v>
      </c>
      <c r="G6538" s="140" t="s">
        <v>457</v>
      </c>
      <c r="H6538">
        <v>0</v>
      </c>
      <c r="I6538" s="140" t="s">
        <v>62</v>
      </c>
    </row>
    <row r="6539" spans="1:9" hidden="1" x14ac:dyDescent="0.25">
      <c r="A6539">
        <v>1991</v>
      </c>
      <c r="B6539" s="140" t="s">
        <v>71</v>
      </c>
      <c r="C6539" s="140" t="s">
        <v>242</v>
      </c>
      <c r="D6539" s="140" t="s">
        <v>11</v>
      </c>
      <c r="E6539" s="140" t="s">
        <v>12</v>
      </c>
      <c r="F6539">
        <v>2005.2</v>
      </c>
      <c r="G6539" s="140" t="s">
        <v>457</v>
      </c>
      <c r="H6539">
        <v>0</v>
      </c>
      <c r="I6539" s="140" t="s">
        <v>62</v>
      </c>
    </row>
    <row r="6540" spans="1:9" hidden="1" x14ac:dyDescent="0.25">
      <c r="A6540">
        <v>1992</v>
      </c>
      <c r="B6540" s="140" t="s">
        <v>71</v>
      </c>
      <c r="C6540" s="140" t="s">
        <v>242</v>
      </c>
      <c r="D6540" s="140" t="s">
        <v>11</v>
      </c>
      <c r="E6540" s="140" t="s">
        <v>12</v>
      </c>
      <c r="F6540">
        <v>1859.2</v>
      </c>
      <c r="G6540" s="140" t="s">
        <v>457</v>
      </c>
      <c r="H6540">
        <v>0</v>
      </c>
      <c r="I6540" s="140" t="s">
        <v>62</v>
      </c>
    </row>
    <row r="6541" spans="1:9" hidden="1" x14ac:dyDescent="0.25">
      <c r="A6541">
        <v>1993</v>
      </c>
      <c r="B6541" s="140" t="s">
        <v>71</v>
      </c>
      <c r="C6541" s="140" t="s">
        <v>242</v>
      </c>
      <c r="D6541" s="140" t="s">
        <v>11</v>
      </c>
      <c r="E6541" s="140" t="s">
        <v>12</v>
      </c>
      <c r="F6541">
        <v>1748.1</v>
      </c>
      <c r="G6541" s="140" t="s">
        <v>457</v>
      </c>
      <c r="H6541">
        <v>0</v>
      </c>
      <c r="I6541" s="140" t="s">
        <v>62</v>
      </c>
    </row>
    <row r="6542" spans="1:9" hidden="1" x14ac:dyDescent="0.25">
      <c r="A6542">
        <v>1994</v>
      </c>
      <c r="B6542" s="140" t="s">
        <v>71</v>
      </c>
      <c r="C6542" s="140" t="s">
        <v>242</v>
      </c>
      <c r="D6542" s="140" t="s">
        <v>11</v>
      </c>
      <c r="E6542" s="140" t="s">
        <v>12</v>
      </c>
      <c r="F6542">
        <v>1723.6</v>
      </c>
      <c r="G6542" s="140" t="s">
        <v>457</v>
      </c>
      <c r="H6542">
        <v>0</v>
      </c>
      <c r="I6542" s="140" t="s">
        <v>62</v>
      </c>
    </row>
    <row r="6543" spans="1:9" hidden="1" x14ac:dyDescent="0.25">
      <c r="A6543">
        <v>1995</v>
      </c>
      <c r="B6543" s="140" t="s">
        <v>71</v>
      </c>
      <c r="C6543" s="140" t="s">
        <v>242</v>
      </c>
      <c r="D6543" s="140" t="s">
        <v>11</v>
      </c>
      <c r="E6543" s="140" t="s">
        <v>12</v>
      </c>
      <c r="F6543">
        <v>1763</v>
      </c>
      <c r="G6543" s="140" t="s">
        <v>457</v>
      </c>
      <c r="H6543">
        <v>0</v>
      </c>
      <c r="I6543" s="140" t="s">
        <v>62</v>
      </c>
    </row>
    <row r="6544" spans="1:9" hidden="1" x14ac:dyDescent="0.25">
      <c r="A6544">
        <v>1996</v>
      </c>
      <c r="B6544" s="140" t="s">
        <v>71</v>
      </c>
      <c r="C6544" s="140" t="s">
        <v>242</v>
      </c>
      <c r="D6544" s="140" t="s">
        <v>11</v>
      </c>
      <c r="E6544" s="140" t="s">
        <v>12</v>
      </c>
      <c r="F6544">
        <v>1794</v>
      </c>
      <c r="G6544" s="140" t="s">
        <v>457</v>
      </c>
      <c r="H6544">
        <v>0</v>
      </c>
      <c r="I6544" s="140" t="s">
        <v>62</v>
      </c>
    </row>
    <row r="6545" spans="1:9" hidden="1" x14ac:dyDescent="0.25">
      <c r="A6545">
        <v>1997</v>
      </c>
      <c r="B6545" s="140" t="s">
        <v>71</v>
      </c>
      <c r="C6545" s="140" t="s">
        <v>242</v>
      </c>
      <c r="D6545" s="140" t="s">
        <v>11</v>
      </c>
      <c r="E6545" s="140" t="s">
        <v>12</v>
      </c>
      <c r="F6545">
        <v>1862</v>
      </c>
      <c r="G6545" s="140" t="s">
        <v>457</v>
      </c>
      <c r="H6545">
        <v>0</v>
      </c>
      <c r="I6545" s="140" t="s">
        <v>62</v>
      </c>
    </row>
    <row r="6546" spans="1:9" hidden="1" x14ac:dyDescent="0.25">
      <c r="A6546">
        <v>1998</v>
      </c>
      <c r="B6546" s="140" t="s">
        <v>71</v>
      </c>
      <c r="C6546" s="140" t="s">
        <v>242</v>
      </c>
      <c r="D6546" s="140" t="s">
        <v>11</v>
      </c>
      <c r="E6546" s="140" t="s">
        <v>12</v>
      </c>
      <c r="F6546">
        <v>1918.6</v>
      </c>
      <c r="G6546" s="140" t="s">
        <v>457</v>
      </c>
      <c r="H6546">
        <v>0</v>
      </c>
      <c r="I6546" s="140" t="s">
        <v>62</v>
      </c>
    </row>
    <row r="6547" spans="1:9" hidden="1" x14ac:dyDescent="0.25">
      <c r="A6547">
        <v>1999</v>
      </c>
      <c r="B6547" s="140" t="s">
        <v>71</v>
      </c>
      <c r="C6547" s="140" t="s">
        <v>242</v>
      </c>
      <c r="D6547" s="140" t="s">
        <v>11</v>
      </c>
      <c r="E6547" s="140" t="s">
        <v>12</v>
      </c>
      <c r="F6547">
        <v>1966.9</v>
      </c>
      <c r="G6547" s="140" t="s">
        <v>457</v>
      </c>
      <c r="H6547">
        <v>0</v>
      </c>
      <c r="I6547" s="140" t="s">
        <v>62</v>
      </c>
    </row>
    <row r="6548" spans="1:9" hidden="1" x14ac:dyDescent="0.25">
      <c r="A6548">
        <v>2000</v>
      </c>
      <c r="B6548" s="140" t="s">
        <v>71</v>
      </c>
      <c r="C6548" s="140" t="s">
        <v>242</v>
      </c>
      <c r="D6548" s="140" t="s">
        <v>11</v>
      </c>
      <c r="E6548" s="140" t="s">
        <v>12</v>
      </c>
      <c r="F6548">
        <v>2017.5</v>
      </c>
      <c r="G6548" s="140" t="s">
        <v>457</v>
      </c>
      <c r="H6548">
        <v>0</v>
      </c>
      <c r="I6548" s="140" t="s">
        <v>62</v>
      </c>
    </row>
    <row r="6549" spans="1:9" hidden="1" x14ac:dyDescent="0.25">
      <c r="A6549">
        <v>2001</v>
      </c>
      <c r="B6549" s="140" t="s">
        <v>71</v>
      </c>
      <c r="C6549" s="140" t="s">
        <v>242</v>
      </c>
      <c r="D6549" s="140" t="s">
        <v>11</v>
      </c>
      <c r="E6549" s="140" t="s">
        <v>12</v>
      </c>
      <c r="F6549">
        <v>2056.9</v>
      </c>
      <c r="G6549" s="140" t="s">
        <v>457</v>
      </c>
      <c r="H6549">
        <v>0</v>
      </c>
      <c r="I6549" s="140" t="s">
        <v>62</v>
      </c>
    </row>
    <row r="6550" spans="1:9" hidden="1" x14ac:dyDescent="0.25">
      <c r="A6550">
        <v>2002</v>
      </c>
      <c r="B6550" s="140" t="s">
        <v>71</v>
      </c>
      <c r="C6550" s="140" t="s">
        <v>242</v>
      </c>
      <c r="D6550" s="140" t="s">
        <v>11</v>
      </c>
      <c r="E6550" s="140" t="s">
        <v>12</v>
      </c>
      <c r="F6550">
        <v>2087.5</v>
      </c>
      <c r="G6550" s="140" t="s">
        <v>457</v>
      </c>
      <c r="H6550">
        <v>0</v>
      </c>
      <c r="I6550" s="140" t="s">
        <v>62</v>
      </c>
    </row>
    <row r="6551" spans="1:9" hidden="1" x14ac:dyDescent="0.25">
      <c r="A6551">
        <v>2003</v>
      </c>
      <c r="B6551" s="140" t="s">
        <v>71</v>
      </c>
      <c r="C6551" s="140" t="s">
        <v>242</v>
      </c>
      <c r="D6551" s="140" t="s">
        <v>11</v>
      </c>
      <c r="E6551" s="140" t="s">
        <v>12</v>
      </c>
      <c r="F6551">
        <v>2093.8000000000002</v>
      </c>
      <c r="G6551" s="140" t="s">
        <v>457</v>
      </c>
      <c r="H6551">
        <v>0</v>
      </c>
      <c r="I6551" s="140" t="s">
        <v>62</v>
      </c>
    </row>
    <row r="6552" spans="1:9" hidden="1" x14ac:dyDescent="0.25">
      <c r="A6552">
        <v>2004</v>
      </c>
      <c r="B6552" s="140" t="s">
        <v>71</v>
      </c>
      <c r="C6552" s="140" t="s">
        <v>242</v>
      </c>
      <c r="D6552" s="140" t="s">
        <v>11</v>
      </c>
      <c r="E6552" s="140" t="s">
        <v>12</v>
      </c>
      <c r="F6552">
        <v>2107.4</v>
      </c>
      <c r="G6552" s="140" t="s">
        <v>457</v>
      </c>
      <c r="H6552">
        <v>0</v>
      </c>
      <c r="I6552" s="140" t="s">
        <v>62</v>
      </c>
    </row>
    <row r="6553" spans="1:9" hidden="1" x14ac:dyDescent="0.25">
      <c r="A6553">
        <v>2005</v>
      </c>
      <c r="B6553" s="140" t="s">
        <v>71</v>
      </c>
      <c r="C6553" s="140" t="s">
        <v>242</v>
      </c>
      <c r="D6553" s="140" t="s">
        <v>11</v>
      </c>
      <c r="E6553" s="140" t="s">
        <v>12</v>
      </c>
      <c r="F6553">
        <v>2142.9</v>
      </c>
      <c r="G6553" s="140" t="s">
        <v>457</v>
      </c>
      <c r="H6553">
        <v>0</v>
      </c>
      <c r="I6553" s="140" t="s">
        <v>62</v>
      </c>
    </row>
    <row r="6554" spans="1:9" hidden="1" x14ac:dyDescent="0.25">
      <c r="A6554">
        <v>2006</v>
      </c>
      <c r="B6554" s="140" t="s">
        <v>71</v>
      </c>
      <c r="C6554" s="140" t="s">
        <v>242</v>
      </c>
      <c r="D6554" s="140" t="s">
        <v>11</v>
      </c>
      <c r="E6554" s="140" t="s">
        <v>12</v>
      </c>
      <c r="F6554">
        <v>2180.4</v>
      </c>
      <c r="G6554" s="140" t="s">
        <v>457</v>
      </c>
      <c r="H6554">
        <v>0</v>
      </c>
      <c r="I6554" s="140" t="s">
        <v>62</v>
      </c>
    </row>
    <row r="6555" spans="1:9" hidden="1" x14ac:dyDescent="0.25">
      <c r="A6555">
        <v>2007</v>
      </c>
      <c r="B6555" s="140" t="s">
        <v>71</v>
      </c>
      <c r="C6555" s="140" t="s">
        <v>242</v>
      </c>
      <c r="D6555" s="140" t="s">
        <v>11</v>
      </c>
      <c r="E6555" s="140" t="s">
        <v>12</v>
      </c>
      <c r="F6555">
        <v>2231.1999999999998</v>
      </c>
      <c r="G6555" s="140" t="s">
        <v>457</v>
      </c>
      <c r="H6555">
        <v>0</v>
      </c>
      <c r="I6555" s="140" t="s">
        <v>62</v>
      </c>
    </row>
    <row r="6556" spans="1:9" hidden="1" x14ac:dyDescent="0.25">
      <c r="A6556">
        <v>2008</v>
      </c>
      <c r="B6556" s="140" t="s">
        <v>71</v>
      </c>
      <c r="C6556" s="140" t="s">
        <v>242</v>
      </c>
      <c r="D6556" s="140" t="s">
        <v>11</v>
      </c>
      <c r="E6556" s="140" t="s">
        <v>12</v>
      </c>
      <c r="F6556">
        <v>2281.9</v>
      </c>
      <c r="G6556" s="140" t="s">
        <v>457</v>
      </c>
      <c r="H6556">
        <v>0</v>
      </c>
      <c r="I6556" s="140" t="s">
        <v>62</v>
      </c>
    </row>
    <row r="6557" spans="1:9" hidden="1" x14ac:dyDescent="0.25">
      <c r="A6557">
        <v>2009</v>
      </c>
      <c r="B6557" s="140" t="s">
        <v>71</v>
      </c>
      <c r="C6557" s="140" t="s">
        <v>242</v>
      </c>
      <c r="D6557" s="140" t="s">
        <v>11</v>
      </c>
      <c r="E6557" s="140" t="s">
        <v>12</v>
      </c>
      <c r="F6557">
        <v>2208.8000000000002</v>
      </c>
      <c r="G6557" s="140" t="s">
        <v>457</v>
      </c>
      <c r="H6557">
        <v>0</v>
      </c>
      <c r="I6557" s="140" t="s">
        <v>62</v>
      </c>
    </row>
    <row r="6558" spans="1:9" hidden="1" x14ac:dyDescent="0.25">
      <c r="A6558">
        <v>2010</v>
      </c>
      <c r="B6558" s="140" t="s">
        <v>71</v>
      </c>
      <c r="C6558" s="140" t="s">
        <v>242</v>
      </c>
      <c r="D6558" s="140" t="s">
        <v>11</v>
      </c>
      <c r="E6558" s="140" t="s">
        <v>12</v>
      </c>
      <c r="F6558">
        <v>2195.6</v>
      </c>
      <c r="G6558" s="140" t="s">
        <v>457</v>
      </c>
      <c r="H6558">
        <v>0</v>
      </c>
      <c r="I6558" s="140" t="s">
        <v>62</v>
      </c>
    </row>
    <row r="6559" spans="1:9" hidden="1" x14ac:dyDescent="0.25">
      <c r="A6559">
        <v>2011</v>
      </c>
      <c r="B6559" s="140" t="s">
        <v>71</v>
      </c>
      <c r="C6559" s="140" t="s">
        <v>242</v>
      </c>
      <c r="D6559" s="140" t="s">
        <v>11</v>
      </c>
      <c r="E6559" s="140" t="s">
        <v>12</v>
      </c>
      <c r="F6559">
        <v>2224.6</v>
      </c>
      <c r="G6559" s="140" t="s">
        <v>457</v>
      </c>
      <c r="H6559">
        <v>0</v>
      </c>
      <c r="I6559" s="140" t="s">
        <v>62</v>
      </c>
    </row>
    <row r="6560" spans="1:9" hidden="1" x14ac:dyDescent="0.25">
      <c r="A6560">
        <v>2012</v>
      </c>
      <c r="B6560" s="140" t="s">
        <v>71</v>
      </c>
      <c r="C6560" s="140" t="s">
        <v>242</v>
      </c>
      <c r="D6560" s="140" t="s">
        <v>11</v>
      </c>
      <c r="E6560" s="140" t="s">
        <v>12</v>
      </c>
      <c r="F6560">
        <v>2240.5</v>
      </c>
      <c r="G6560" s="140" t="s">
        <v>457</v>
      </c>
      <c r="H6560">
        <v>0</v>
      </c>
      <c r="I6560" s="140" t="s">
        <v>62</v>
      </c>
    </row>
    <row r="6561" spans="1:9" hidden="1" x14ac:dyDescent="0.25">
      <c r="A6561">
        <v>2013</v>
      </c>
      <c r="B6561" s="140" t="s">
        <v>71</v>
      </c>
      <c r="C6561" s="140" t="s">
        <v>242</v>
      </c>
      <c r="D6561" s="140" t="s">
        <v>11</v>
      </c>
      <c r="E6561" s="140" t="s">
        <v>12</v>
      </c>
      <c r="F6561">
        <v>2226.6999999999998</v>
      </c>
      <c r="G6561" s="140" t="s">
        <v>457</v>
      </c>
      <c r="H6561">
        <v>0</v>
      </c>
      <c r="I6561" s="140" t="s">
        <v>62</v>
      </c>
    </row>
    <row r="6562" spans="1:9" hidden="1" x14ac:dyDescent="0.25">
      <c r="A6562">
        <v>2014</v>
      </c>
      <c r="B6562" s="140" t="s">
        <v>71</v>
      </c>
      <c r="C6562" s="140" t="s">
        <v>242</v>
      </c>
      <c r="D6562" s="140" t="s">
        <v>11</v>
      </c>
      <c r="E6562" s="140" t="s">
        <v>12</v>
      </c>
      <c r="F6562">
        <v>2211.3000000000002</v>
      </c>
      <c r="G6562" s="140" t="s">
        <v>457</v>
      </c>
      <c r="H6562">
        <v>0</v>
      </c>
      <c r="I6562" s="140" t="s">
        <v>62</v>
      </c>
    </row>
    <row r="6563" spans="1:9" hidden="1" x14ac:dyDescent="0.25">
      <c r="A6563">
        <v>2015</v>
      </c>
      <c r="B6563" s="140" t="s">
        <v>71</v>
      </c>
      <c r="C6563" s="140" t="s">
        <v>242</v>
      </c>
      <c r="D6563" s="140" t="s">
        <v>11</v>
      </c>
      <c r="E6563" s="140" t="s">
        <v>12</v>
      </c>
      <c r="F6563">
        <v>2214.8000000000002</v>
      </c>
      <c r="G6563" s="140" t="s">
        <v>457</v>
      </c>
      <c r="H6563">
        <v>0</v>
      </c>
      <c r="I6563" s="140" t="s">
        <v>62</v>
      </c>
    </row>
    <row r="6564" spans="1:9" hidden="1" x14ac:dyDescent="0.25">
      <c r="A6564">
        <v>2016</v>
      </c>
      <c r="B6564" s="140" t="s">
        <v>71</v>
      </c>
      <c r="C6564" s="140" t="s">
        <v>242</v>
      </c>
      <c r="D6564" s="140" t="s">
        <v>11</v>
      </c>
      <c r="E6564" s="140" t="s">
        <v>12</v>
      </c>
      <c r="F6564">
        <v>2229</v>
      </c>
      <c r="G6564" s="140" t="s">
        <v>457</v>
      </c>
      <c r="H6564">
        <v>0</v>
      </c>
      <c r="I6564" s="140" t="s">
        <v>62</v>
      </c>
    </row>
    <row r="6565" spans="1:9" hidden="1" x14ac:dyDescent="0.25">
      <c r="A6565">
        <v>2017</v>
      </c>
      <c r="B6565" s="140" t="s">
        <v>71</v>
      </c>
      <c r="C6565" s="140" t="s">
        <v>242</v>
      </c>
      <c r="D6565" s="140" t="s">
        <v>11</v>
      </c>
      <c r="E6565" s="140" t="s">
        <v>12</v>
      </c>
      <c r="F6565">
        <v>2257.5</v>
      </c>
      <c r="G6565" s="140" t="s">
        <v>457</v>
      </c>
      <c r="H6565">
        <v>0</v>
      </c>
      <c r="I6565" s="140" t="s">
        <v>62</v>
      </c>
    </row>
    <row r="6566" spans="1:9" hidden="1" x14ac:dyDescent="0.25">
      <c r="A6566">
        <v>2018</v>
      </c>
      <c r="B6566" s="140" t="s">
        <v>71</v>
      </c>
      <c r="C6566" s="140" t="s">
        <v>242</v>
      </c>
      <c r="D6566" s="140" t="s">
        <v>11</v>
      </c>
      <c r="E6566" s="140" t="s">
        <v>12</v>
      </c>
      <c r="F6566">
        <v>2316.6999999999998</v>
      </c>
      <c r="G6566" s="140" t="s">
        <v>457</v>
      </c>
      <c r="H6566">
        <v>0</v>
      </c>
      <c r="I6566" s="140" t="s">
        <v>62</v>
      </c>
    </row>
    <row r="6567" spans="1:9" hidden="1" x14ac:dyDescent="0.25">
      <c r="A6567">
        <v>2019</v>
      </c>
      <c r="B6567" s="140" t="s">
        <v>71</v>
      </c>
      <c r="C6567" s="140" t="s">
        <v>242</v>
      </c>
      <c r="D6567" s="140" t="s">
        <v>11</v>
      </c>
      <c r="E6567" s="140" t="s">
        <v>12</v>
      </c>
      <c r="F6567">
        <v>2348.9</v>
      </c>
      <c r="G6567" s="140" t="s">
        <v>457</v>
      </c>
      <c r="H6567">
        <v>0</v>
      </c>
      <c r="I6567" s="140" t="s">
        <v>62</v>
      </c>
    </row>
    <row r="6568" spans="1:9" hidden="1" x14ac:dyDescent="0.25">
      <c r="A6568">
        <v>2020</v>
      </c>
      <c r="B6568" s="140" t="s">
        <v>71</v>
      </c>
      <c r="C6568" s="140" t="s">
        <v>242</v>
      </c>
      <c r="D6568" s="140" t="s">
        <v>11</v>
      </c>
      <c r="E6568" s="140" t="s">
        <v>12</v>
      </c>
      <c r="F6568">
        <v>2298.4</v>
      </c>
      <c r="G6568" s="140" t="s">
        <v>457</v>
      </c>
      <c r="H6568">
        <v>0</v>
      </c>
      <c r="I6568" s="140" t="s">
        <v>62</v>
      </c>
    </row>
    <row r="6569" spans="1:9" hidden="1" x14ac:dyDescent="0.25">
      <c r="A6569">
        <v>2021</v>
      </c>
      <c r="B6569" s="140" t="s">
        <v>71</v>
      </c>
      <c r="C6569" s="140" t="s">
        <v>242</v>
      </c>
      <c r="D6569" s="140" t="s">
        <v>11</v>
      </c>
      <c r="E6569" s="140" t="s">
        <v>12</v>
      </c>
      <c r="F6569">
        <v>2352.4</v>
      </c>
      <c r="G6569" s="140" t="s">
        <v>457</v>
      </c>
      <c r="H6569">
        <v>0</v>
      </c>
      <c r="I6569" s="140" t="s">
        <v>62</v>
      </c>
    </row>
    <row r="6570" spans="1:9" hidden="1" x14ac:dyDescent="0.25">
      <c r="A6570">
        <v>2022</v>
      </c>
      <c r="B6570" s="140" t="s">
        <v>71</v>
      </c>
      <c r="C6570" s="140" t="s">
        <v>242</v>
      </c>
      <c r="D6570" s="140" t="s">
        <v>11</v>
      </c>
      <c r="E6570" s="140" t="s">
        <v>12</v>
      </c>
      <c r="F6570">
        <v>2450.5</v>
      </c>
      <c r="G6570" s="140" t="s">
        <v>457</v>
      </c>
      <c r="H6570">
        <v>0</v>
      </c>
      <c r="I6570" s="140" t="s">
        <v>62</v>
      </c>
    </row>
    <row r="6571" spans="1:9" hidden="1" x14ac:dyDescent="0.25">
      <c r="A6571">
        <v>2023</v>
      </c>
      <c r="B6571" s="140" t="s">
        <v>71</v>
      </c>
      <c r="C6571" s="140" t="s">
        <v>242</v>
      </c>
      <c r="D6571" s="140" t="s">
        <v>11</v>
      </c>
      <c r="E6571" s="140" t="s">
        <v>12</v>
      </c>
      <c r="F6571">
        <v>2490.4</v>
      </c>
      <c r="G6571" s="140" t="s">
        <v>457</v>
      </c>
      <c r="H6571">
        <v>0</v>
      </c>
      <c r="I6571" s="140" t="s">
        <v>62</v>
      </c>
    </row>
    <row r="6572" spans="1:9" hidden="1" x14ac:dyDescent="0.25">
      <c r="A6572">
        <v>2024</v>
      </c>
      <c r="B6572" s="140" t="s">
        <v>71</v>
      </c>
      <c r="C6572" s="140" t="s">
        <v>242</v>
      </c>
      <c r="D6572" s="140" t="s">
        <v>11</v>
      </c>
      <c r="E6572" s="140" t="s">
        <v>12</v>
      </c>
      <c r="F6572">
        <v>2474.6999999999998</v>
      </c>
      <c r="G6572" s="140" t="s">
        <v>457</v>
      </c>
      <c r="H6572">
        <v>0</v>
      </c>
      <c r="I6572" s="140" t="s">
        <v>62</v>
      </c>
    </row>
    <row r="6573" spans="1:9" hidden="1" x14ac:dyDescent="0.25">
      <c r="A6573">
        <v>2025</v>
      </c>
      <c r="B6573" s="140" t="s">
        <v>71</v>
      </c>
      <c r="C6573" s="140" t="s">
        <v>242</v>
      </c>
      <c r="D6573" s="140" t="s">
        <v>11</v>
      </c>
      <c r="E6573" s="140" t="s">
        <v>12</v>
      </c>
      <c r="F6573">
        <v>2454.4</v>
      </c>
      <c r="G6573" s="140" t="s">
        <v>457</v>
      </c>
      <c r="H6573">
        <v>0</v>
      </c>
      <c r="I6573" s="140" t="s">
        <v>62</v>
      </c>
    </row>
    <row r="6574" spans="1:9" hidden="1" x14ac:dyDescent="0.25">
      <c r="A6574">
        <v>2026</v>
      </c>
      <c r="B6574" s="140" t="s">
        <v>71</v>
      </c>
      <c r="C6574" s="140" t="s">
        <v>242</v>
      </c>
      <c r="D6574" s="140" t="s">
        <v>11</v>
      </c>
      <c r="E6574" s="140" t="s">
        <v>12</v>
      </c>
      <c r="F6574">
        <v>2443.1003249999999</v>
      </c>
      <c r="G6574" s="140" t="s">
        <v>457</v>
      </c>
      <c r="H6574">
        <v>0</v>
      </c>
      <c r="I6574" s="140" t="s">
        <v>62</v>
      </c>
    </row>
    <row r="6575" spans="1:9" hidden="1" x14ac:dyDescent="0.25">
      <c r="A6575">
        <v>2027</v>
      </c>
      <c r="B6575" s="140" t="s">
        <v>71</v>
      </c>
      <c r="C6575" s="140" t="s">
        <v>242</v>
      </c>
      <c r="D6575" s="140" t="s">
        <v>11</v>
      </c>
      <c r="E6575" s="140" t="s">
        <v>12</v>
      </c>
      <c r="F6575">
        <v>2469.3661430000002</v>
      </c>
      <c r="G6575" s="140" t="s">
        <v>457</v>
      </c>
      <c r="H6575">
        <v>0</v>
      </c>
      <c r="I6575" s="140" t="s">
        <v>62</v>
      </c>
    </row>
    <row r="6576" spans="1:9" hidden="1" x14ac:dyDescent="0.25">
      <c r="A6576">
        <v>2028</v>
      </c>
      <c r="B6576" s="140" t="s">
        <v>71</v>
      </c>
      <c r="C6576" s="140" t="s">
        <v>242</v>
      </c>
      <c r="D6576" s="140" t="s">
        <v>11</v>
      </c>
      <c r="E6576" s="140" t="s">
        <v>12</v>
      </c>
      <c r="F6576">
        <v>2489.5159130000002</v>
      </c>
      <c r="G6576" s="140" t="s">
        <v>457</v>
      </c>
      <c r="H6576">
        <v>0</v>
      </c>
      <c r="I6576" s="140" t="s">
        <v>62</v>
      </c>
    </row>
    <row r="6577" spans="1:9" hidden="1" x14ac:dyDescent="0.25">
      <c r="A6577">
        <v>1990</v>
      </c>
      <c r="B6577" s="140" t="s">
        <v>67</v>
      </c>
      <c r="C6577" s="140" t="s">
        <v>242</v>
      </c>
      <c r="D6577" s="140" t="s">
        <v>11</v>
      </c>
      <c r="E6577" s="140" t="s">
        <v>12</v>
      </c>
      <c r="F6577">
        <v>340.9</v>
      </c>
      <c r="G6577" s="140" t="s">
        <v>458</v>
      </c>
      <c r="H6577">
        <v>0</v>
      </c>
      <c r="I6577" s="140" t="s">
        <v>62</v>
      </c>
    </row>
    <row r="6578" spans="1:9" hidden="1" x14ac:dyDescent="0.25">
      <c r="A6578">
        <v>1991</v>
      </c>
      <c r="B6578" s="140" t="s">
        <v>67</v>
      </c>
      <c r="C6578" s="140" t="s">
        <v>242</v>
      </c>
      <c r="D6578" s="140" t="s">
        <v>11</v>
      </c>
      <c r="E6578" s="140" t="s">
        <v>12</v>
      </c>
      <c r="F6578">
        <v>326.5</v>
      </c>
      <c r="G6578" s="140" t="s">
        <v>458</v>
      </c>
      <c r="H6578">
        <v>0</v>
      </c>
      <c r="I6578" s="140" t="s">
        <v>62</v>
      </c>
    </row>
    <row r="6579" spans="1:9" hidden="1" x14ac:dyDescent="0.25">
      <c r="A6579">
        <v>1992</v>
      </c>
      <c r="B6579" s="140" t="s">
        <v>67</v>
      </c>
      <c r="C6579" s="140" t="s">
        <v>242</v>
      </c>
      <c r="D6579" s="140" t="s">
        <v>11</v>
      </c>
      <c r="E6579" s="140" t="s">
        <v>12</v>
      </c>
      <c r="F6579">
        <v>316.89999999999998</v>
      </c>
      <c r="G6579" s="140" t="s">
        <v>458</v>
      </c>
      <c r="H6579">
        <v>0</v>
      </c>
      <c r="I6579" s="140" t="s">
        <v>62</v>
      </c>
    </row>
    <row r="6580" spans="1:9" hidden="1" x14ac:dyDescent="0.25">
      <c r="A6580">
        <v>1993</v>
      </c>
      <c r="B6580" s="140" t="s">
        <v>67</v>
      </c>
      <c r="C6580" s="140" t="s">
        <v>242</v>
      </c>
      <c r="D6580" s="140" t="s">
        <v>11</v>
      </c>
      <c r="E6580" s="140" t="s">
        <v>12</v>
      </c>
      <c r="F6580">
        <v>303</v>
      </c>
      <c r="G6580" s="140" t="s">
        <v>458</v>
      </c>
      <c r="H6580">
        <v>0</v>
      </c>
      <c r="I6580" s="140" t="s">
        <v>62</v>
      </c>
    </row>
    <row r="6581" spans="1:9" hidden="1" x14ac:dyDescent="0.25">
      <c r="A6581">
        <v>1994</v>
      </c>
      <c r="B6581" s="140" t="s">
        <v>67</v>
      </c>
      <c r="C6581" s="140" t="s">
        <v>242</v>
      </c>
      <c r="D6581" s="140" t="s">
        <v>11</v>
      </c>
      <c r="E6581" s="140" t="s">
        <v>12</v>
      </c>
      <c r="F6581">
        <v>293.89999999999998</v>
      </c>
      <c r="G6581" s="140" t="s">
        <v>458</v>
      </c>
      <c r="H6581">
        <v>0</v>
      </c>
      <c r="I6581" s="140" t="s">
        <v>62</v>
      </c>
    </row>
    <row r="6582" spans="1:9" hidden="1" x14ac:dyDescent="0.25">
      <c r="A6582">
        <v>1995</v>
      </c>
      <c r="B6582" s="140" t="s">
        <v>67</v>
      </c>
      <c r="C6582" s="140" t="s">
        <v>242</v>
      </c>
      <c r="D6582" s="140" t="s">
        <v>11</v>
      </c>
      <c r="E6582" s="140" t="s">
        <v>12</v>
      </c>
      <c r="F6582">
        <v>295.7</v>
      </c>
      <c r="G6582" s="140" t="s">
        <v>458</v>
      </c>
      <c r="H6582">
        <v>0</v>
      </c>
      <c r="I6582" s="140" t="s">
        <v>62</v>
      </c>
    </row>
    <row r="6583" spans="1:9" hidden="1" x14ac:dyDescent="0.25">
      <c r="A6583">
        <v>1996</v>
      </c>
      <c r="B6583" s="140" t="s">
        <v>67</v>
      </c>
      <c r="C6583" s="140" t="s">
        <v>242</v>
      </c>
      <c r="D6583" s="140" t="s">
        <v>11</v>
      </c>
      <c r="E6583" s="140" t="s">
        <v>12</v>
      </c>
      <c r="F6583">
        <v>299.5</v>
      </c>
      <c r="G6583" s="140" t="s">
        <v>458</v>
      </c>
      <c r="H6583">
        <v>0</v>
      </c>
      <c r="I6583" s="140" t="s">
        <v>62</v>
      </c>
    </row>
    <row r="6584" spans="1:9" hidden="1" x14ac:dyDescent="0.25">
      <c r="A6584">
        <v>1997</v>
      </c>
      <c r="B6584" s="140" t="s">
        <v>67</v>
      </c>
      <c r="C6584" s="140" t="s">
        <v>242</v>
      </c>
      <c r="D6584" s="140" t="s">
        <v>11</v>
      </c>
      <c r="E6584" s="140" t="s">
        <v>12</v>
      </c>
      <c r="F6584">
        <v>302.60000000000002</v>
      </c>
      <c r="G6584" s="140" t="s">
        <v>458</v>
      </c>
      <c r="H6584">
        <v>0</v>
      </c>
      <c r="I6584" s="140" t="s">
        <v>62</v>
      </c>
    </row>
    <row r="6585" spans="1:9" hidden="1" x14ac:dyDescent="0.25">
      <c r="A6585">
        <v>1998</v>
      </c>
      <c r="B6585" s="140" t="s">
        <v>67</v>
      </c>
      <c r="C6585" s="140" t="s">
        <v>242</v>
      </c>
      <c r="D6585" s="140" t="s">
        <v>11</v>
      </c>
      <c r="E6585" s="140" t="s">
        <v>12</v>
      </c>
      <c r="F6585">
        <v>289.2</v>
      </c>
      <c r="G6585" s="140" t="s">
        <v>458</v>
      </c>
      <c r="H6585">
        <v>0</v>
      </c>
      <c r="I6585" s="140" t="s">
        <v>62</v>
      </c>
    </row>
    <row r="6586" spans="1:9" hidden="1" x14ac:dyDescent="0.25">
      <c r="A6586">
        <v>1999</v>
      </c>
      <c r="B6586" s="140" t="s">
        <v>67</v>
      </c>
      <c r="C6586" s="140" t="s">
        <v>242</v>
      </c>
      <c r="D6586" s="140" t="s">
        <v>11</v>
      </c>
      <c r="E6586" s="140" t="s">
        <v>12</v>
      </c>
      <c r="F6586">
        <v>286.39999999999998</v>
      </c>
      <c r="G6586" s="140" t="s">
        <v>458</v>
      </c>
      <c r="H6586">
        <v>0</v>
      </c>
      <c r="I6586" s="140" t="s">
        <v>62</v>
      </c>
    </row>
    <row r="6587" spans="1:9" hidden="1" x14ac:dyDescent="0.25">
      <c r="A6587">
        <v>2000</v>
      </c>
      <c r="B6587" s="140" t="s">
        <v>67</v>
      </c>
      <c r="C6587" s="140" t="s">
        <v>242</v>
      </c>
      <c r="D6587" s="140" t="s">
        <v>11</v>
      </c>
      <c r="E6587" s="140" t="s">
        <v>12</v>
      </c>
      <c r="F6587">
        <v>282.3</v>
      </c>
      <c r="G6587" s="140" t="s">
        <v>458</v>
      </c>
      <c r="H6587">
        <v>0</v>
      </c>
      <c r="I6587" s="140" t="s">
        <v>62</v>
      </c>
    </row>
    <row r="6588" spans="1:9" hidden="1" x14ac:dyDescent="0.25">
      <c r="A6588">
        <v>2001</v>
      </c>
      <c r="B6588" s="140" t="s">
        <v>67</v>
      </c>
      <c r="C6588" s="140" t="s">
        <v>242</v>
      </c>
      <c r="D6588" s="140" t="s">
        <v>11</v>
      </c>
      <c r="E6588" s="140" t="s">
        <v>12</v>
      </c>
      <c r="F6588">
        <v>278.60000000000002</v>
      </c>
      <c r="G6588" s="140" t="s">
        <v>458</v>
      </c>
      <c r="H6588">
        <v>0</v>
      </c>
      <c r="I6588" s="140" t="s">
        <v>62</v>
      </c>
    </row>
    <row r="6589" spans="1:9" hidden="1" x14ac:dyDescent="0.25">
      <c r="A6589">
        <v>2002</v>
      </c>
      <c r="B6589" s="140" t="s">
        <v>67</v>
      </c>
      <c r="C6589" s="140" t="s">
        <v>242</v>
      </c>
      <c r="D6589" s="140" t="s">
        <v>11</v>
      </c>
      <c r="E6589" s="140" t="s">
        <v>12</v>
      </c>
      <c r="F6589">
        <v>276.89999999999998</v>
      </c>
      <c r="G6589" s="140" t="s">
        <v>458</v>
      </c>
      <c r="H6589">
        <v>0</v>
      </c>
      <c r="I6589" s="140" t="s">
        <v>62</v>
      </c>
    </row>
    <row r="6590" spans="1:9" hidden="1" x14ac:dyDescent="0.25">
      <c r="A6590">
        <v>2003</v>
      </c>
      <c r="B6590" s="140" t="s">
        <v>67</v>
      </c>
      <c r="C6590" s="140" t="s">
        <v>242</v>
      </c>
      <c r="D6590" s="140" t="s">
        <v>11</v>
      </c>
      <c r="E6590" s="140" t="s">
        <v>12</v>
      </c>
      <c r="F6590">
        <v>276.2</v>
      </c>
      <c r="G6590" s="140" t="s">
        <v>458</v>
      </c>
      <c r="H6590">
        <v>0</v>
      </c>
      <c r="I6590" s="140" t="s">
        <v>62</v>
      </c>
    </row>
    <row r="6591" spans="1:9" hidden="1" x14ac:dyDescent="0.25">
      <c r="A6591">
        <v>2004</v>
      </c>
      <c r="B6591" s="140" t="s">
        <v>67</v>
      </c>
      <c r="C6591" s="140" t="s">
        <v>242</v>
      </c>
      <c r="D6591" s="140" t="s">
        <v>11</v>
      </c>
      <c r="E6591" s="140" t="s">
        <v>12</v>
      </c>
      <c r="F6591">
        <v>275.10000000000002</v>
      </c>
      <c r="G6591" s="140" t="s">
        <v>458</v>
      </c>
      <c r="H6591">
        <v>0</v>
      </c>
      <c r="I6591" s="140" t="s">
        <v>62</v>
      </c>
    </row>
    <row r="6592" spans="1:9" hidden="1" x14ac:dyDescent="0.25">
      <c r="A6592">
        <v>2005</v>
      </c>
      <c r="B6592" s="140" t="s">
        <v>67</v>
      </c>
      <c r="C6592" s="140" t="s">
        <v>242</v>
      </c>
      <c r="D6592" s="140" t="s">
        <v>11</v>
      </c>
      <c r="E6592" s="140" t="s">
        <v>12</v>
      </c>
      <c r="F6592">
        <v>276</v>
      </c>
      <c r="G6592" s="140" t="s">
        <v>458</v>
      </c>
      <c r="H6592">
        <v>0</v>
      </c>
      <c r="I6592" s="140" t="s">
        <v>62</v>
      </c>
    </row>
    <row r="6593" spans="1:9" hidden="1" x14ac:dyDescent="0.25">
      <c r="A6593">
        <v>2006</v>
      </c>
      <c r="B6593" s="140" t="s">
        <v>67</v>
      </c>
      <c r="C6593" s="140" t="s">
        <v>242</v>
      </c>
      <c r="D6593" s="140" t="s">
        <v>11</v>
      </c>
      <c r="E6593" s="140" t="s">
        <v>12</v>
      </c>
      <c r="F6593">
        <v>284</v>
      </c>
      <c r="G6593" s="140" t="s">
        <v>458</v>
      </c>
      <c r="H6593">
        <v>0</v>
      </c>
      <c r="I6593" s="140" t="s">
        <v>62</v>
      </c>
    </row>
    <row r="6594" spans="1:9" hidden="1" x14ac:dyDescent="0.25">
      <c r="A6594">
        <v>2007</v>
      </c>
      <c r="B6594" s="140" t="s">
        <v>67</v>
      </c>
      <c r="C6594" s="140" t="s">
        <v>242</v>
      </c>
      <c r="D6594" s="140" t="s">
        <v>11</v>
      </c>
      <c r="E6594" s="140" t="s">
        <v>12</v>
      </c>
      <c r="F6594">
        <v>287.7</v>
      </c>
      <c r="G6594" s="140" t="s">
        <v>458</v>
      </c>
      <c r="H6594">
        <v>0</v>
      </c>
      <c r="I6594" s="140" t="s">
        <v>62</v>
      </c>
    </row>
    <row r="6595" spans="1:9" hidden="1" x14ac:dyDescent="0.25">
      <c r="A6595">
        <v>2008</v>
      </c>
      <c r="B6595" s="140" t="s">
        <v>67</v>
      </c>
      <c r="C6595" s="140" t="s">
        <v>242</v>
      </c>
      <c r="D6595" s="140" t="s">
        <v>11</v>
      </c>
      <c r="E6595" s="140" t="s">
        <v>12</v>
      </c>
      <c r="F6595">
        <v>293.2</v>
      </c>
      <c r="G6595" s="140" t="s">
        <v>458</v>
      </c>
      <c r="H6595">
        <v>0</v>
      </c>
      <c r="I6595" s="140" t="s">
        <v>62</v>
      </c>
    </row>
    <row r="6596" spans="1:9" hidden="1" x14ac:dyDescent="0.25">
      <c r="A6596">
        <v>2009</v>
      </c>
      <c r="B6596" s="140" t="s">
        <v>67</v>
      </c>
      <c r="C6596" s="140" t="s">
        <v>242</v>
      </c>
      <c r="D6596" s="140" t="s">
        <v>11</v>
      </c>
      <c r="E6596" s="140" t="s">
        <v>12</v>
      </c>
      <c r="F6596">
        <v>301</v>
      </c>
      <c r="G6596" s="140" t="s">
        <v>458</v>
      </c>
      <c r="H6596">
        <v>0</v>
      </c>
      <c r="I6596" s="140" t="s">
        <v>62</v>
      </c>
    </row>
    <row r="6597" spans="1:9" hidden="1" x14ac:dyDescent="0.25">
      <c r="A6597">
        <v>2010</v>
      </c>
      <c r="B6597" s="140" t="s">
        <v>67</v>
      </c>
      <c r="C6597" s="140" t="s">
        <v>242</v>
      </c>
      <c r="D6597" s="140" t="s">
        <v>11</v>
      </c>
      <c r="E6597" s="140" t="s">
        <v>12</v>
      </c>
      <c r="F6597">
        <v>295.39999999999998</v>
      </c>
      <c r="G6597" s="140" t="s">
        <v>458</v>
      </c>
      <c r="H6597">
        <v>0</v>
      </c>
      <c r="I6597" s="140" t="s">
        <v>62</v>
      </c>
    </row>
    <row r="6598" spans="1:9" hidden="1" x14ac:dyDescent="0.25">
      <c r="A6598">
        <v>2011</v>
      </c>
      <c r="B6598" s="140" t="s">
        <v>67</v>
      </c>
      <c r="C6598" s="140" t="s">
        <v>242</v>
      </c>
      <c r="D6598" s="140" t="s">
        <v>11</v>
      </c>
      <c r="E6598" s="140" t="s">
        <v>12</v>
      </c>
      <c r="F6598">
        <v>304.10000000000002</v>
      </c>
      <c r="G6598" s="140" t="s">
        <v>458</v>
      </c>
      <c r="H6598">
        <v>0</v>
      </c>
      <c r="I6598" s="140" t="s">
        <v>62</v>
      </c>
    </row>
    <row r="6599" spans="1:9" hidden="1" x14ac:dyDescent="0.25">
      <c r="A6599">
        <v>2012</v>
      </c>
      <c r="B6599" s="140" t="s">
        <v>67</v>
      </c>
      <c r="C6599" s="140" t="s">
        <v>242</v>
      </c>
      <c r="D6599" s="140" t="s">
        <v>11</v>
      </c>
      <c r="E6599" s="140" t="s">
        <v>12</v>
      </c>
      <c r="F6599">
        <v>303.7</v>
      </c>
      <c r="G6599" s="140" t="s">
        <v>458</v>
      </c>
      <c r="H6599">
        <v>0</v>
      </c>
      <c r="I6599" s="140" t="s">
        <v>62</v>
      </c>
    </row>
    <row r="6600" spans="1:9" hidden="1" x14ac:dyDescent="0.25">
      <c r="A6600">
        <v>2013</v>
      </c>
      <c r="B6600" s="140" t="s">
        <v>67</v>
      </c>
      <c r="C6600" s="140" t="s">
        <v>242</v>
      </c>
      <c r="D6600" s="140" t="s">
        <v>11</v>
      </c>
      <c r="E6600" s="140" t="s">
        <v>12</v>
      </c>
      <c r="F6600">
        <v>297.10000000000002</v>
      </c>
      <c r="G6600" s="140" t="s">
        <v>458</v>
      </c>
      <c r="H6600">
        <v>0</v>
      </c>
      <c r="I6600" s="140" t="s">
        <v>62</v>
      </c>
    </row>
    <row r="6601" spans="1:9" hidden="1" x14ac:dyDescent="0.25">
      <c r="A6601">
        <v>2014</v>
      </c>
      <c r="B6601" s="140" t="s">
        <v>67</v>
      </c>
      <c r="C6601" s="140" t="s">
        <v>242</v>
      </c>
      <c r="D6601" s="140" t="s">
        <v>11</v>
      </c>
      <c r="E6601" s="140" t="s">
        <v>12</v>
      </c>
      <c r="F6601">
        <v>298.7</v>
      </c>
      <c r="G6601" s="140" t="s">
        <v>458</v>
      </c>
      <c r="H6601">
        <v>0</v>
      </c>
      <c r="I6601" s="140" t="s">
        <v>62</v>
      </c>
    </row>
    <row r="6602" spans="1:9" hidden="1" x14ac:dyDescent="0.25">
      <c r="A6602">
        <v>2015</v>
      </c>
      <c r="B6602" s="140" t="s">
        <v>67</v>
      </c>
      <c r="C6602" s="140" t="s">
        <v>242</v>
      </c>
      <c r="D6602" s="140" t="s">
        <v>11</v>
      </c>
      <c r="E6602" s="140" t="s">
        <v>12</v>
      </c>
      <c r="F6602">
        <v>303.2</v>
      </c>
      <c r="G6602" s="140" t="s">
        <v>458</v>
      </c>
      <c r="H6602">
        <v>0</v>
      </c>
      <c r="I6602" s="140" t="s">
        <v>62</v>
      </c>
    </row>
    <row r="6603" spans="1:9" hidden="1" x14ac:dyDescent="0.25">
      <c r="A6603">
        <v>2016</v>
      </c>
      <c r="B6603" s="140" t="s">
        <v>67</v>
      </c>
      <c r="C6603" s="140" t="s">
        <v>242</v>
      </c>
      <c r="D6603" s="140" t="s">
        <v>11</v>
      </c>
      <c r="E6603" s="140" t="s">
        <v>12</v>
      </c>
      <c r="F6603">
        <v>303</v>
      </c>
      <c r="G6603" s="140" t="s">
        <v>458</v>
      </c>
      <c r="H6603">
        <v>0</v>
      </c>
      <c r="I6603" s="140" t="s">
        <v>62</v>
      </c>
    </row>
    <row r="6604" spans="1:9" hidden="1" x14ac:dyDescent="0.25">
      <c r="A6604">
        <v>2017</v>
      </c>
      <c r="B6604" s="140" t="s">
        <v>67</v>
      </c>
      <c r="C6604" s="140" t="s">
        <v>242</v>
      </c>
      <c r="D6604" s="140" t="s">
        <v>11</v>
      </c>
      <c r="E6604" s="140" t="s">
        <v>12</v>
      </c>
      <c r="F6604">
        <v>289.8</v>
      </c>
      <c r="G6604" s="140" t="s">
        <v>458</v>
      </c>
      <c r="H6604">
        <v>0</v>
      </c>
      <c r="I6604" s="140" t="s">
        <v>62</v>
      </c>
    </row>
    <row r="6605" spans="1:9" hidden="1" x14ac:dyDescent="0.25">
      <c r="A6605">
        <v>2018</v>
      </c>
      <c r="B6605" s="140" t="s">
        <v>67</v>
      </c>
      <c r="C6605" s="140" t="s">
        <v>242</v>
      </c>
      <c r="D6605" s="140" t="s">
        <v>11</v>
      </c>
      <c r="E6605" s="140" t="s">
        <v>12</v>
      </c>
      <c r="F6605">
        <v>296.89999999999998</v>
      </c>
      <c r="G6605" s="140" t="s">
        <v>458</v>
      </c>
      <c r="H6605">
        <v>0</v>
      </c>
      <c r="I6605" s="140" t="s">
        <v>62</v>
      </c>
    </row>
    <row r="6606" spans="1:9" hidden="1" x14ac:dyDescent="0.25">
      <c r="A6606">
        <v>2019</v>
      </c>
      <c r="B6606" s="140" t="s">
        <v>67</v>
      </c>
      <c r="C6606" s="140" t="s">
        <v>242</v>
      </c>
      <c r="D6606" s="140" t="s">
        <v>11</v>
      </c>
      <c r="E6606" s="140" t="s">
        <v>12</v>
      </c>
      <c r="F6606">
        <v>303.2</v>
      </c>
      <c r="G6606" s="140" t="s">
        <v>458</v>
      </c>
      <c r="H6606">
        <v>0</v>
      </c>
      <c r="I6606" s="140" t="s">
        <v>62</v>
      </c>
    </row>
    <row r="6607" spans="1:9" hidden="1" x14ac:dyDescent="0.25">
      <c r="A6607">
        <v>2020</v>
      </c>
      <c r="B6607" s="140" t="s">
        <v>67</v>
      </c>
      <c r="C6607" s="140" t="s">
        <v>242</v>
      </c>
      <c r="D6607" s="140" t="s">
        <v>11</v>
      </c>
      <c r="E6607" s="140" t="s">
        <v>12</v>
      </c>
      <c r="F6607">
        <v>291.60000000000002</v>
      </c>
      <c r="G6607" s="140" t="s">
        <v>458</v>
      </c>
      <c r="H6607">
        <v>0</v>
      </c>
      <c r="I6607" s="140" t="s">
        <v>62</v>
      </c>
    </row>
    <row r="6608" spans="1:9" hidden="1" x14ac:dyDescent="0.25">
      <c r="A6608">
        <v>2021</v>
      </c>
      <c r="B6608" s="140" t="s">
        <v>67</v>
      </c>
      <c r="C6608" s="140" t="s">
        <v>242</v>
      </c>
      <c r="D6608" s="140" t="s">
        <v>11</v>
      </c>
      <c r="E6608" s="140" t="s">
        <v>12</v>
      </c>
      <c r="F6608">
        <v>297.3</v>
      </c>
      <c r="G6608" s="140" t="s">
        <v>458</v>
      </c>
      <c r="H6608">
        <v>0</v>
      </c>
      <c r="I6608" s="140" t="s">
        <v>62</v>
      </c>
    </row>
    <row r="6609" spans="1:9" hidden="1" x14ac:dyDescent="0.25">
      <c r="A6609">
        <v>2022</v>
      </c>
      <c r="B6609" s="140" t="s">
        <v>67</v>
      </c>
      <c r="C6609" s="140" t="s">
        <v>242</v>
      </c>
      <c r="D6609" s="140" t="s">
        <v>11</v>
      </c>
      <c r="E6609" s="140" t="s">
        <v>12</v>
      </c>
      <c r="F6609">
        <v>292.3</v>
      </c>
      <c r="G6609" s="140" t="s">
        <v>458</v>
      </c>
      <c r="H6609">
        <v>0</v>
      </c>
      <c r="I6609" s="140" t="s">
        <v>62</v>
      </c>
    </row>
    <row r="6610" spans="1:9" hidden="1" x14ac:dyDescent="0.25">
      <c r="A6610">
        <v>2023</v>
      </c>
      <c r="B6610" s="140" t="s">
        <v>67</v>
      </c>
      <c r="C6610" s="140" t="s">
        <v>242</v>
      </c>
      <c r="D6610" s="140" t="s">
        <v>11</v>
      </c>
      <c r="E6610" s="140" t="s">
        <v>12</v>
      </c>
      <c r="F6610">
        <v>279.60000000000002</v>
      </c>
      <c r="G6610" s="140" t="s">
        <v>458</v>
      </c>
      <c r="H6610">
        <v>0</v>
      </c>
      <c r="I6610" s="140" t="s">
        <v>62</v>
      </c>
    </row>
    <row r="6611" spans="1:9" hidden="1" x14ac:dyDescent="0.25">
      <c r="A6611">
        <v>2024</v>
      </c>
      <c r="B6611" s="140" t="s">
        <v>67</v>
      </c>
      <c r="C6611" s="140" t="s">
        <v>242</v>
      </c>
      <c r="D6611" s="140" t="s">
        <v>11</v>
      </c>
      <c r="E6611" s="140" t="s">
        <v>12</v>
      </c>
      <c r="F6611">
        <v>273.3</v>
      </c>
      <c r="G6611" s="140" t="s">
        <v>458</v>
      </c>
      <c r="H6611">
        <v>0</v>
      </c>
      <c r="I6611" s="140" t="s">
        <v>62</v>
      </c>
    </row>
    <row r="6612" spans="1:9" hidden="1" x14ac:dyDescent="0.25">
      <c r="A6612">
        <v>2025</v>
      </c>
      <c r="B6612" s="140" t="s">
        <v>67</v>
      </c>
      <c r="C6612" s="140" t="s">
        <v>242</v>
      </c>
      <c r="D6612" s="140" t="s">
        <v>11</v>
      </c>
      <c r="E6612" s="140" t="s">
        <v>12</v>
      </c>
      <c r="F6612">
        <v>277.7</v>
      </c>
      <c r="G6612" s="140" t="s">
        <v>458</v>
      </c>
      <c r="H6612">
        <v>0</v>
      </c>
      <c r="I6612" s="140" t="s">
        <v>62</v>
      </c>
    </row>
    <row r="6613" spans="1:9" hidden="1" x14ac:dyDescent="0.25">
      <c r="A6613">
        <v>2026</v>
      </c>
      <c r="B6613" s="140" t="s">
        <v>67</v>
      </c>
      <c r="C6613" s="140" t="s">
        <v>242</v>
      </c>
      <c r="D6613" s="140" t="s">
        <v>11</v>
      </c>
      <c r="E6613" s="140" t="s">
        <v>12</v>
      </c>
      <c r="F6613">
        <v>276.42151250000001</v>
      </c>
      <c r="G6613" s="140" t="s">
        <v>458</v>
      </c>
      <c r="H6613">
        <v>0</v>
      </c>
      <c r="I6613" s="140" t="s">
        <v>62</v>
      </c>
    </row>
    <row r="6614" spans="1:9" hidden="1" x14ac:dyDescent="0.25">
      <c r="A6614">
        <v>2027</v>
      </c>
      <c r="B6614" s="140" t="s">
        <v>67</v>
      </c>
      <c r="C6614" s="140" t="s">
        <v>242</v>
      </c>
      <c r="D6614" s="140" t="s">
        <v>11</v>
      </c>
      <c r="E6614" s="140" t="s">
        <v>12</v>
      </c>
      <c r="F6614">
        <v>279.39332539999998</v>
      </c>
      <c r="G6614" s="140" t="s">
        <v>458</v>
      </c>
      <c r="H6614">
        <v>0</v>
      </c>
      <c r="I6614" s="140" t="s">
        <v>62</v>
      </c>
    </row>
    <row r="6615" spans="1:9" hidden="1" x14ac:dyDescent="0.25">
      <c r="A6615">
        <v>2028</v>
      </c>
      <c r="B6615" s="140" t="s">
        <v>67</v>
      </c>
      <c r="C6615" s="140" t="s">
        <v>242</v>
      </c>
      <c r="D6615" s="140" t="s">
        <v>11</v>
      </c>
      <c r="E6615" s="140" t="s">
        <v>12</v>
      </c>
      <c r="F6615">
        <v>281.67314570000002</v>
      </c>
      <c r="G6615" s="140" t="s">
        <v>458</v>
      </c>
      <c r="H6615">
        <v>0</v>
      </c>
      <c r="I6615" s="140" t="s">
        <v>62</v>
      </c>
    </row>
    <row r="6616" spans="1:9" hidden="1" x14ac:dyDescent="0.25">
      <c r="A6616">
        <v>1990</v>
      </c>
      <c r="B6616" s="140" t="s">
        <v>72</v>
      </c>
      <c r="C6616" s="140" t="s">
        <v>242</v>
      </c>
      <c r="D6616" s="140" t="s">
        <v>11</v>
      </c>
      <c r="E6616" s="140" t="s">
        <v>12</v>
      </c>
      <c r="F6616">
        <v>4261.5</v>
      </c>
      <c r="G6616" s="140" t="s">
        <v>459</v>
      </c>
      <c r="H6616">
        <v>0</v>
      </c>
      <c r="I6616" s="140" t="s">
        <v>62</v>
      </c>
    </row>
    <row r="6617" spans="1:9" hidden="1" x14ac:dyDescent="0.25">
      <c r="A6617">
        <v>1991</v>
      </c>
      <c r="B6617" s="140" t="s">
        <v>72</v>
      </c>
      <c r="C6617" s="140" t="s">
        <v>242</v>
      </c>
      <c r="D6617" s="140" t="s">
        <v>11</v>
      </c>
      <c r="E6617" s="140" t="s">
        <v>12</v>
      </c>
      <c r="F6617">
        <v>3981</v>
      </c>
      <c r="G6617" s="140" t="s">
        <v>459</v>
      </c>
      <c r="H6617">
        <v>0</v>
      </c>
      <c r="I6617" s="140" t="s">
        <v>62</v>
      </c>
    </row>
    <row r="6618" spans="1:9" hidden="1" x14ac:dyDescent="0.25">
      <c r="A6618">
        <v>1992</v>
      </c>
      <c r="B6618" s="140" t="s">
        <v>72</v>
      </c>
      <c r="C6618" s="140" t="s">
        <v>242</v>
      </c>
      <c r="D6618" s="140" t="s">
        <v>11</v>
      </c>
      <c r="E6618" s="140" t="s">
        <v>12</v>
      </c>
      <c r="F6618">
        <v>3713.4</v>
      </c>
      <c r="G6618" s="140" t="s">
        <v>459</v>
      </c>
      <c r="H6618">
        <v>0</v>
      </c>
      <c r="I6618" s="140" t="s">
        <v>62</v>
      </c>
    </row>
    <row r="6619" spans="1:9" hidden="1" x14ac:dyDescent="0.25">
      <c r="A6619">
        <v>1993</v>
      </c>
      <c r="B6619" s="140" t="s">
        <v>72</v>
      </c>
      <c r="C6619" s="140" t="s">
        <v>242</v>
      </c>
      <c r="D6619" s="140" t="s">
        <v>11</v>
      </c>
      <c r="E6619" s="140" t="s">
        <v>12</v>
      </c>
      <c r="F6619">
        <v>3498.9</v>
      </c>
      <c r="G6619" s="140" t="s">
        <v>459</v>
      </c>
      <c r="H6619">
        <v>0</v>
      </c>
      <c r="I6619" s="140" t="s">
        <v>62</v>
      </c>
    </row>
    <row r="6620" spans="1:9" hidden="1" x14ac:dyDescent="0.25">
      <c r="A6620">
        <v>1994</v>
      </c>
      <c r="B6620" s="140" t="s">
        <v>72</v>
      </c>
      <c r="C6620" s="140" t="s">
        <v>242</v>
      </c>
      <c r="D6620" s="140" t="s">
        <v>11</v>
      </c>
      <c r="E6620" s="140" t="s">
        <v>12</v>
      </c>
      <c r="F6620">
        <v>3483.9</v>
      </c>
      <c r="G6620" s="140" t="s">
        <v>459</v>
      </c>
      <c r="H6620">
        <v>0</v>
      </c>
      <c r="I6620" s="140" t="s">
        <v>62</v>
      </c>
    </row>
    <row r="6621" spans="1:9" hidden="1" x14ac:dyDescent="0.25">
      <c r="A6621">
        <v>1995</v>
      </c>
      <c r="B6621" s="140" t="s">
        <v>72</v>
      </c>
      <c r="C6621" s="140" t="s">
        <v>242</v>
      </c>
      <c r="D6621" s="140" t="s">
        <v>11</v>
      </c>
      <c r="E6621" s="140" t="s">
        <v>12</v>
      </c>
      <c r="F6621">
        <v>3566.6</v>
      </c>
      <c r="G6621" s="140" t="s">
        <v>459</v>
      </c>
      <c r="H6621">
        <v>0</v>
      </c>
      <c r="I6621" s="140" t="s">
        <v>62</v>
      </c>
    </row>
    <row r="6622" spans="1:9" hidden="1" x14ac:dyDescent="0.25">
      <c r="A6622">
        <v>1996</v>
      </c>
      <c r="B6622" s="140" t="s">
        <v>72</v>
      </c>
      <c r="C6622" s="140" t="s">
        <v>242</v>
      </c>
      <c r="D6622" s="140" t="s">
        <v>11</v>
      </c>
      <c r="E6622" s="140" t="s">
        <v>12</v>
      </c>
      <c r="F6622">
        <v>3623.8</v>
      </c>
      <c r="G6622" s="140" t="s">
        <v>459</v>
      </c>
      <c r="H6622">
        <v>0</v>
      </c>
      <c r="I6622" s="140" t="s">
        <v>62</v>
      </c>
    </row>
    <row r="6623" spans="1:9" hidden="1" x14ac:dyDescent="0.25">
      <c r="A6623">
        <v>1997</v>
      </c>
      <c r="B6623" s="140" t="s">
        <v>72</v>
      </c>
      <c r="C6623" s="140" t="s">
        <v>242</v>
      </c>
      <c r="D6623" s="140" t="s">
        <v>11</v>
      </c>
      <c r="E6623" s="140" t="s">
        <v>12</v>
      </c>
      <c r="F6623">
        <v>3737.8</v>
      </c>
      <c r="G6623" s="140" t="s">
        <v>459</v>
      </c>
      <c r="H6623">
        <v>0</v>
      </c>
      <c r="I6623" s="140" t="s">
        <v>62</v>
      </c>
    </row>
    <row r="6624" spans="1:9" hidden="1" x14ac:dyDescent="0.25">
      <c r="A6624">
        <v>1998</v>
      </c>
      <c r="B6624" s="140" t="s">
        <v>72</v>
      </c>
      <c r="C6624" s="140" t="s">
        <v>242</v>
      </c>
      <c r="D6624" s="140" t="s">
        <v>11</v>
      </c>
      <c r="E6624" s="140" t="s">
        <v>12</v>
      </c>
      <c r="F6624">
        <v>3789.7</v>
      </c>
      <c r="G6624" s="140" t="s">
        <v>459</v>
      </c>
      <c r="H6624">
        <v>0</v>
      </c>
      <c r="I6624" s="140" t="s">
        <v>62</v>
      </c>
    </row>
    <row r="6625" spans="1:9" hidden="1" x14ac:dyDescent="0.25">
      <c r="A6625">
        <v>1999</v>
      </c>
      <c r="B6625" s="140" t="s">
        <v>72</v>
      </c>
      <c r="C6625" s="140" t="s">
        <v>242</v>
      </c>
      <c r="D6625" s="140" t="s">
        <v>11</v>
      </c>
      <c r="E6625" s="140" t="s">
        <v>12</v>
      </c>
      <c r="F6625">
        <v>3867</v>
      </c>
      <c r="G6625" s="140" t="s">
        <v>459</v>
      </c>
      <c r="H6625">
        <v>0</v>
      </c>
      <c r="I6625" s="140" t="s">
        <v>62</v>
      </c>
    </row>
    <row r="6626" spans="1:9" hidden="1" x14ac:dyDescent="0.25">
      <c r="A6626">
        <v>2000</v>
      </c>
      <c r="B6626" s="140" t="s">
        <v>72</v>
      </c>
      <c r="C6626" s="140" t="s">
        <v>242</v>
      </c>
      <c r="D6626" s="140" t="s">
        <v>11</v>
      </c>
      <c r="E6626" s="140" t="s">
        <v>12</v>
      </c>
      <c r="F6626">
        <v>3920.5</v>
      </c>
      <c r="G6626" s="140" t="s">
        <v>459</v>
      </c>
      <c r="H6626">
        <v>0</v>
      </c>
      <c r="I6626" s="140" t="s">
        <v>62</v>
      </c>
    </row>
    <row r="6627" spans="1:9" hidden="1" x14ac:dyDescent="0.25">
      <c r="A6627">
        <v>2001</v>
      </c>
      <c r="B6627" s="140" t="s">
        <v>72</v>
      </c>
      <c r="C6627" s="140" t="s">
        <v>242</v>
      </c>
      <c r="D6627" s="140" t="s">
        <v>11</v>
      </c>
      <c r="E6627" s="140" t="s">
        <v>12</v>
      </c>
      <c r="F6627">
        <v>3946.8</v>
      </c>
      <c r="G6627" s="140" t="s">
        <v>459</v>
      </c>
      <c r="H6627">
        <v>0</v>
      </c>
      <c r="I6627" s="140" t="s">
        <v>62</v>
      </c>
    </row>
    <row r="6628" spans="1:9" hidden="1" x14ac:dyDescent="0.25">
      <c r="A6628">
        <v>2002</v>
      </c>
      <c r="B6628" s="140" t="s">
        <v>72</v>
      </c>
      <c r="C6628" s="140" t="s">
        <v>242</v>
      </c>
      <c r="D6628" s="140" t="s">
        <v>11</v>
      </c>
      <c r="E6628" s="140" t="s">
        <v>12</v>
      </c>
      <c r="F6628">
        <v>3978.1</v>
      </c>
      <c r="G6628" s="140" t="s">
        <v>459</v>
      </c>
      <c r="H6628">
        <v>0</v>
      </c>
      <c r="I6628" s="140" t="s">
        <v>62</v>
      </c>
    </row>
    <row r="6629" spans="1:9" hidden="1" x14ac:dyDescent="0.25">
      <c r="A6629">
        <v>2003</v>
      </c>
      <c r="B6629" s="140" t="s">
        <v>72</v>
      </c>
      <c r="C6629" s="140" t="s">
        <v>242</v>
      </c>
      <c r="D6629" s="140" t="s">
        <v>11</v>
      </c>
      <c r="E6629" s="140" t="s">
        <v>12</v>
      </c>
      <c r="F6629">
        <v>3973.1</v>
      </c>
      <c r="G6629" s="140" t="s">
        <v>459</v>
      </c>
      <c r="H6629">
        <v>0</v>
      </c>
      <c r="I6629" s="140" t="s">
        <v>62</v>
      </c>
    </row>
    <row r="6630" spans="1:9" hidden="1" x14ac:dyDescent="0.25">
      <c r="A6630">
        <v>2004</v>
      </c>
      <c r="B6630" s="140" t="s">
        <v>72</v>
      </c>
      <c r="C6630" s="140" t="s">
        <v>242</v>
      </c>
      <c r="D6630" s="140" t="s">
        <v>11</v>
      </c>
      <c r="E6630" s="140" t="s">
        <v>12</v>
      </c>
      <c r="F6630">
        <v>3997.1</v>
      </c>
      <c r="G6630" s="140" t="s">
        <v>459</v>
      </c>
      <c r="H6630">
        <v>0</v>
      </c>
      <c r="I6630" s="140" t="s">
        <v>62</v>
      </c>
    </row>
    <row r="6631" spans="1:9" hidden="1" x14ac:dyDescent="0.25">
      <c r="A6631">
        <v>2005</v>
      </c>
      <c r="B6631" s="140" t="s">
        <v>72</v>
      </c>
      <c r="C6631" s="140" t="s">
        <v>242</v>
      </c>
      <c r="D6631" s="140" t="s">
        <v>11</v>
      </c>
      <c r="E6631" s="140" t="s">
        <v>12</v>
      </c>
      <c r="F6631">
        <v>4032.4</v>
      </c>
      <c r="G6631" s="140" t="s">
        <v>459</v>
      </c>
      <c r="H6631">
        <v>0</v>
      </c>
      <c r="I6631" s="140" t="s">
        <v>62</v>
      </c>
    </row>
    <row r="6632" spans="1:9" hidden="1" x14ac:dyDescent="0.25">
      <c r="A6632">
        <v>2006</v>
      </c>
      <c r="B6632" s="140" t="s">
        <v>72</v>
      </c>
      <c r="C6632" s="140" t="s">
        <v>242</v>
      </c>
      <c r="D6632" s="140" t="s">
        <v>11</v>
      </c>
      <c r="E6632" s="140" t="s">
        <v>12</v>
      </c>
      <c r="F6632">
        <v>4095.2</v>
      </c>
      <c r="G6632" s="140" t="s">
        <v>459</v>
      </c>
      <c r="H6632">
        <v>0</v>
      </c>
      <c r="I6632" s="140" t="s">
        <v>62</v>
      </c>
    </row>
    <row r="6633" spans="1:9" hidden="1" x14ac:dyDescent="0.25">
      <c r="A6633">
        <v>2007</v>
      </c>
      <c r="B6633" s="140" t="s">
        <v>72</v>
      </c>
      <c r="C6633" s="140" t="s">
        <v>242</v>
      </c>
      <c r="D6633" s="140" t="s">
        <v>11</v>
      </c>
      <c r="E6633" s="140" t="s">
        <v>12</v>
      </c>
      <c r="F6633">
        <v>4176.3999999999996</v>
      </c>
      <c r="G6633" s="140" t="s">
        <v>459</v>
      </c>
      <c r="H6633">
        <v>0</v>
      </c>
      <c r="I6633" s="140" t="s">
        <v>62</v>
      </c>
    </row>
    <row r="6634" spans="1:9" hidden="1" x14ac:dyDescent="0.25">
      <c r="A6634">
        <v>2008</v>
      </c>
      <c r="B6634" s="140" t="s">
        <v>72</v>
      </c>
      <c r="C6634" s="140" t="s">
        <v>242</v>
      </c>
      <c r="D6634" s="140" t="s">
        <v>11</v>
      </c>
      <c r="E6634" s="140" t="s">
        <v>12</v>
      </c>
      <c r="F6634">
        <v>4258.7</v>
      </c>
      <c r="G6634" s="140" t="s">
        <v>459</v>
      </c>
      <c r="H6634">
        <v>0</v>
      </c>
      <c r="I6634" s="140" t="s">
        <v>62</v>
      </c>
    </row>
    <row r="6635" spans="1:9" hidden="1" x14ac:dyDescent="0.25">
      <c r="A6635">
        <v>2009</v>
      </c>
      <c r="B6635" s="140" t="s">
        <v>72</v>
      </c>
      <c r="C6635" s="140" t="s">
        <v>242</v>
      </c>
      <c r="D6635" s="140" t="s">
        <v>11</v>
      </c>
      <c r="E6635" s="140" t="s">
        <v>12</v>
      </c>
      <c r="F6635">
        <v>4097.3</v>
      </c>
      <c r="G6635" s="140" t="s">
        <v>459</v>
      </c>
      <c r="H6635">
        <v>0</v>
      </c>
      <c r="I6635" s="140" t="s">
        <v>62</v>
      </c>
    </row>
    <row r="6636" spans="1:9" hidden="1" x14ac:dyDescent="0.25">
      <c r="A6636">
        <v>2010</v>
      </c>
      <c r="B6636" s="140" t="s">
        <v>72</v>
      </c>
      <c r="C6636" s="140" t="s">
        <v>242</v>
      </c>
      <c r="D6636" s="140" t="s">
        <v>11</v>
      </c>
      <c r="E6636" s="140" t="s">
        <v>12</v>
      </c>
      <c r="F6636">
        <v>4081.4</v>
      </c>
      <c r="G6636" s="140" t="s">
        <v>459</v>
      </c>
      <c r="H6636">
        <v>0</v>
      </c>
      <c r="I6636" s="140" t="s">
        <v>62</v>
      </c>
    </row>
    <row r="6637" spans="1:9" hidden="1" x14ac:dyDescent="0.25">
      <c r="A6637">
        <v>2011</v>
      </c>
      <c r="B6637" s="140" t="s">
        <v>72</v>
      </c>
      <c r="C6637" s="140" t="s">
        <v>242</v>
      </c>
      <c r="D6637" s="140" t="s">
        <v>11</v>
      </c>
      <c r="E6637" s="140" t="s">
        <v>12</v>
      </c>
      <c r="F6637">
        <v>4122.3</v>
      </c>
      <c r="G6637" s="140" t="s">
        <v>459</v>
      </c>
      <c r="H6637">
        <v>0</v>
      </c>
      <c r="I6637" s="140" t="s">
        <v>62</v>
      </c>
    </row>
    <row r="6638" spans="1:9" hidden="1" x14ac:dyDescent="0.25">
      <c r="A6638">
        <v>2012</v>
      </c>
      <c r="B6638" s="140" t="s">
        <v>72</v>
      </c>
      <c r="C6638" s="140" t="s">
        <v>242</v>
      </c>
      <c r="D6638" s="140" t="s">
        <v>11</v>
      </c>
      <c r="E6638" s="140" t="s">
        <v>12</v>
      </c>
      <c r="F6638">
        <v>4116.8</v>
      </c>
      <c r="G6638" s="140" t="s">
        <v>459</v>
      </c>
      <c r="H6638">
        <v>0</v>
      </c>
      <c r="I6638" s="140" t="s">
        <v>62</v>
      </c>
    </row>
    <row r="6639" spans="1:9" hidden="1" x14ac:dyDescent="0.25">
      <c r="A6639">
        <v>2013</v>
      </c>
      <c r="B6639" s="140" t="s">
        <v>72</v>
      </c>
      <c r="C6639" s="140" t="s">
        <v>242</v>
      </c>
      <c r="D6639" s="140" t="s">
        <v>11</v>
      </c>
      <c r="E6639" s="140" t="s">
        <v>12</v>
      </c>
      <c r="F6639">
        <v>4064.4</v>
      </c>
      <c r="G6639" s="140" t="s">
        <v>459</v>
      </c>
      <c r="H6639">
        <v>0</v>
      </c>
      <c r="I6639" s="140" t="s">
        <v>62</v>
      </c>
    </row>
    <row r="6640" spans="1:9" hidden="1" x14ac:dyDescent="0.25">
      <c r="A6640">
        <v>2014</v>
      </c>
      <c r="B6640" s="140" t="s">
        <v>72</v>
      </c>
      <c r="C6640" s="140" t="s">
        <v>242</v>
      </c>
      <c r="D6640" s="140" t="s">
        <v>11</v>
      </c>
      <c r="E6640" s="140" t="s">
        <v>12</v>
      </c>
      <c r="F6640">
        <v>4031.8</v>
      </c>
      <c r="G6640" s="140" t="s">
        <v>459</v>
      </c>
      <c r="H6640">
        <v>0</v>
      </c>
      <c r="I6640" s="140" t="s">
        <v>62</v>
      </c>
    </row>
    <row r="6641" spans="1:9" hidden="1" x14ac:dyDescent="0.25">
      <c r="A6641">
        <v>2015</v>
      </c>
      <c r="B6641" s="140" t="s">
        <v>72</v>
      </c>
      <c r="C6641" s="140" t="s">
        <v>242</v>
      </c>
      <c r="D6641" s="140" t="s">
        <v>11</v>
      </c>
      <c r="E6641" s="140" t="s">
        <v>12</v>
      </c>
      <c r="F6641">
        <v>4040.5</v>
      </c>
      <c r="G6641" s="140" t="s">
        <v>459</v>
      </c>
      <c r="H6641">
        <v>0</v>
      </c>
      <c r="I6641" s="140" t="s">
        <v>62</v>
      </c>
    </row>
    <row r="6642" spans="1:9" hidden="1" x14ac:dyDescent="0.25">
      <c r="A6642">
        <v>2016</v>
      </c>
      <c r="B6642" s="140" t="s">
        <v>72</v>
      </c>
      <c r="C6642" s="140" t="s">
        <v>242</v>
      </c>
      <c r="D6642" s="140" t="s">
        <v>11</v>
      </c>
      <c r="E6642" s="140" t="s">
        <v>12</v>
      </c>
      <c r="F6642">
        <v>4062.4</v>
      </c>
      <c r="G6642" s="140" t="s">
        <v>459</v>
      </c>
      <c r="H6642">
        <v>0</v>
      </c>
      <c r="I6642" s="140" t="s">
        <v>62</v>
      </c>
    </row>
    <row r="6643" spans="1:9" hidden="1" x14ac:dyDescent="0.25">
      <c r="A6643">
        <v>2017</v>
      </c>
      <c r="B6643" s="140" t="s">
        <v>72</v>
      </c>
      <c r="C6643" s="140" t="s">
        <v>242</v>
      </c>
      <c r="D6643" s="140" t="s">
        <v>11</v>
      </c>
      <c r="E6643" s="140" t="s">
        <v>12</v>
      </c>
      <c r="F6643">
        <v>4070.6</v>
      </c>
      <c r="G6643" s="140" t="s">
        <v>459</v>
      </c>
      <c r="H6643">
        <v>0</v>
      </c>
      <c r="I6643" s="140" t="s">
        <v>62</v>
      </c>
    </row>
    <row r="6644" spans="1:9" hidden="1" x14ac:dyDescent="0.25">
      <c r="A6644">
        <v>2018</v>
      </c>
      <c r="B6644" s="140" t="s">
        <v>72</v>
      </c>
      <c r="C6644" s="140" t="s">
        <v>242</v>
      </c>
      <c r="D6644" s="140" t="s">
        <v>11</v>
      </c>
      <c r="E6644" s="140" t="s">
        <v>12</v>
      </c>
      <c r="F6644">
        <v>4171.7</v>
      </c>
      <c r="G6644" s="140" t="s">
        <v>459</v>
      </c>
      <c r="H6644">
        <v>0</v>
      </c>
      <c r="I6644" s="140" t="s">
        <v>62</v>
      </c>
    </row>
    <row r="6645" spans="1:9" hidden="1" x14ac:dyDescent="0.25">
      <c r="A6645">
        <v>2019</v>
      </c>
      <c r="B6645" s="140" t="s">
        <v>72</v>
      </c>
      <c r="C6645" s="140" t="s">
        <v>242</v>
      </c>
      <c r="D6645" s="140" t="s">
        <v>11</v>
      </c>
      <c r="E6645" s="140" t="s">
        <v>12</v>
      </c>
      <c r="F6645">
        <v>4205.2</v>
      </c>
      <c r="G6645" s="140" t="s">
        <v>459</v>
      </c>
      <c r="H6645">
        <v>0</v>
      </c>
      <c r="I6645" s="140" t="s">
        <v>62</v>
      </c>
    </row>
    <row r="6646" spans="1:9" hidden="1" x14ac:dyDescent="0.25">
      <c r="A6646">
        <v>2020</v>
      </c>
      <c r="B6646" s="140" t="s">
        <v>72</v>
      </c>
      <c r="C6646" s="140" t="s">
        <v>242</v>
      </c>
      <c r="D6646" s="140" t="s">
        <v>11</v>
      </c>
      <c r="E6646" s="140" t="s">
        <v>12</v>
      </c>
      <c r="F6646">
        <v>4086.2</v>
      </c>
      <c r="G6646" s="140" t="s">
        <v>459</v>
      </c>
      <c r="H6646">
        <v>0</v>
      </c>
      <c r="I6646" s="140" t="s">
        <v>62</v>
      </c>
    </row>
    <row r="6647" spans="1:9" hidden="1" x14ac:dyDescent="0.25">
      <c r="A6647">
        <v>2021</v>
      </c>
      <c r="B6647" s="140" t="s">
        <v>72</v>
      </c>
      <c r="C6647" s="140" t="s">
        <v>242</v>
      </c>
      <c r="D6647" s="140" t="s">
        <v>11</v>
      </c>
      <c r="E6647" s="140" t="s">
        <v>12</v>
      </c>
      <c r="F6647">
        <v>4174.8999999999996</v>
      </c>
      <c r="G6647" s="140" t="s">
        <v>459</v>
      </c>
      <c r="H6647">
        <v>0</v>
      </c>
      <c r="I6647" s="140" t="s">
        <v>62</v>
      </c>
    </row>
    <row r="6648" spans="1:9" hidden="1" x14ac:dyDescent="0.25">
      <c r="A6648">
        <v>2022</v>
      </c>
      <c r="B6648" s="140" t="s">
        <v>72</v>
      </c>
      <c r="C6648" s="140" t="s">
        <v>242</v>
      </c>
      <c r="D6648" s="140" t="s">
        <v>11</v>
      </c>
      <c r="E6648" s="140" t="s">
        <v>12</v>
      </c>
      <c r="F6648">
        <v>4281.3999999999996</v>
      </c>
      <c r="G6648" s="140" t="s">
        <v>459</v>
      </c>
      <c r="H6648">
        <v>0</v>
      </c>
      <c r="I6648" s="140" t="s">
        <v>62</v>
      </c>
    </row>
    <row r="6649" spans="1:9" hidden="1" x14ac:dyDescent="0.25">
      <c r="A6649">
        <v>2023</v>
      </c>
      <c r="B6649" s="140" t="s">
        <v>72</v>
      </c>
      <c r="C6649" s="140" t="s">
        <v>242</v>
      </c>
      <c r="D6649" s="140" t="s">
        <v>11</v>
      </c>
      <c r="E6649" s="140" t="s">
        <v>12</v>
      </c>
      <c r="F6649">
        <v>4288</v>
      </c>
      <c r="G6649" s="140" t="s">
        <v>459</v>
      </c>
      <c r="H6649">
        <v>0</v>
      </c>
      <c r="I6649" s="140" t="s">
        <v>62</v>
      </c>
    </row>
    <row r="6650" spans="1:9" hidden="1" x14ac:dyDescent="0.25">
      <c r="A6650">
        <v>2024</v>
      </c>
      <c r="B6650" s="140" t="s">
        <v>72</v>
      </c>
      <c r="C6650" s="140" t="s">
        <v>242</v>
      </c>
      <c r="D6650" s="140" t="s">
        <v>11</v>
      </c>
      <c r="E6650" s="140" t="s">
        <v>12</v>
      </c>
      <c r="F6650">
        <v>4252</v>
      </c>
      <c r="G6650" s="140" t="s">
        <v>459</v>
      </c>
      <c r="H6650">
        <v>0</v>
      </c>
      <c r="I6650" s="140" t="s">
        <v>62</v>
      </c>
    </row>
    <row r="6651" spans="1:9" hidden="1" x14ac:dyDescent="0.25">
      <c r="A6651">
        <v>2025</v>
      </c>
      <c r="B6651" s="140" t="s">
        <v>72</v>
      </c>
      <c r="C6651" s="140" t="s">
        <v>242</v>
      </c>
      <c r="D6651" s="140" t="s">
        <v>11</v>
      </c>
      <c r="E6651" s="140" t="s">
        <v>12</v>
      </c>
      <c r="F6651">
        <v>4224</v>
      </c>
      <c r="G6651" s="140" t="s">
        <v>459</v>
      </c>
      <c r="H6651">
        <v>0</v>
      </c>
      <c r="I6651" s="140" t="s">
        <v>62</v>
      </c>
    </row>
    <row r="6652" spans="1:9" hidden="1" x14ac:dyDescent="0.25">
      <c r="A6652">
        <v>2026</v>
      </c>
      <c r="B6652" s="140" t="s">
        <v>72</v>
      </c>
      <c r="C6652" s="140" t="s">
        <v>242</v>
      </c>
      <c r="D6652" s="140" t="s">
        <v>11</v>
      </c>
      <c r="E6652" s="140" t="s">
        <v>12</v>
      </c>
      <c r="F6652">
        <v>4211.3280000000004</v>
      </c>
      <c r="G6652" s="140" t="s">
        <v>459</v>
      </c>
      <c r="H6652">
        <v>0</v>
      </c>
      <c r="I6652" s="140" t="s">
        <v>62</v>
      </c>
    </row>
    <row r="6653" spans="1:9" hidden="1" x14ac:dyDescent="0.25">
      <c r="A6653">
        <v>2027</v>
      </c>
      <c r="B6653" s="140" t="s">
        <v>72</v>
      </c>
      <c r="C6653" s="140" t="s">
        <v>242</v>
      </c>
      <c r="D6653" s="140" t="s">
        <v>11</v>
      </c>
      <c r="E6653" s="140" t="s">
        <v>12</v>
      </c>
      <c r="F6653">
        <v>4252.3927389999999</v>
      </c>
      <c r="G6653" s="140" t="s">
        <v>459</v>
      </c>
      <c r="H6653">
        <v>0</v>
      </c>
      <c r="I6653" s="140" t="s">
        <v>62</v>
      </c>
    </row>
    <row r="6654" spans="1:9" hidden="1" x14ac:dyDescent="0.25">
      <c r="A6654">
        <v>2028</v>
      </c>
      <c r="B6654" s="140" t="s">
        <v>72</v>
      </c>
      <c r="C6654" s="140" t="s">
        <v>242</v>
      </c>
      <c r="D6654" s="140" t="s">
        <v>11</v>
      </c>
      <c r="E6654" s="140" t="s">
        <v>12</v>
      </c>
      <c r="F6654">
        <v>4282.8394259999995</v>
      </c>
      <c r="G6654" s="140" t="s">
        <v>459</v>
      </c>
      <c r="H6654">
        <v>0</v>
      </c>
      <c r="I6654" s="140" t="s">
        <v>62</v>
      </c>
    </row>
    <row r="6655" spans="1:9" hidden="1" x14ac:dyDescent="0.25">
      <c r="A6655">
        <v>1990</v>
      </c>
      <c r="B6655" s="140" t="s">
        <v>72</v>
      </c>
      <c r="C6655" s="140" t="s">
        <v>242</v>
      </c>
      <c r="D6655" s="140" t="s">
        <v>24</v>
      </c>
      <c r="E6655" s="140" t="s">
        <v>12</v>
      </c>
      <c r="F6655">
        <v>402.2</v>
      </c>
      <c r="G6655" s="140" t="s">
        <v>460</v>
      </c>
      <c r="H6655">
        <v>0</v>
      </c>
      <c r="I6655" s="140" t="s">
        <v>62</v>
      </c>
    </row>
    <row r="6656" spans="1:9" hidden="1" x14ac:dyDescent="0.25">
      <c r="A6656">
        <v>1991</v>
      </c>
      <c r="B6656" s="140" t="s">
        <v>72</v>
      </c>
      <c r="C6656" s="140" t="s">
        <v>242</v>
      </c>
      <c r="D6656" s="140" t="s">
        <v>24</v>
      </c>
      <c r="E6656" s="140" t="s">
        <v>12</v>
      </c>
      <c r="F6656">
        <v>385.6</v>
      </c>
      <c r="G6656" s="140" t="s">
        <v>460</v>
      </c>
      <c r="H6656">
        <v>0</v>
      </c>
      <c r="I6656" s="140" t="s">
        <v>62</v>
      </c>
    </row>
    <row r="6657" spans="1:9" hidden="1" x14ac:dyDescent="0.25">
      <c r="A6657">
        <v>1992</v>
      </c>
      <c r="B6657" s="140" t="s">
        <v>72</v>
      </c>
      <c r="C6657" s="140" t="s">
        <v>242</v>
      </c>
      <c r="D6657" s="140" t="s">
        <v>24</v>
      </c>
      <c r="E6657" s="140" t="s">
        <v>12</v>
      </c>
      <c r="F6657">
        <v>375</v>
      </c>
      <c r="G6657" s="140" t="s">
        <v>460</v>
      </c>
      <c r="H6657">
        <v>0</v>
      </c>
      <c r="I6657" s="140" t="s">
        <v>62</v>
      </c>
    </row>
    <row r="6658" spans="1:9" hidden="1" x14ac:dyDescent="0.25">
      <c r="A6658">
        <v>1993</v>
      </c>
      <c r="B6658" s="140" t="s">
        <v>72</v>
      </c>
      <c r="C6658" s="140" t="s">
        <v>242</v>
      </c>
      <c r="D6658" s="140" t="s">
        <v>24</v>
      </c>
      <c r="E6658" s="140" t="s">
        <v>12</v>
      </c>
      <c r="F6658">
        <v>362.6</v>
      </c>
      <c r="G6658" s="140" t="s">
        <v>460</v>
      </c>
      <c r="H6658">
        <v>0</v>
      </c>
      <c r="I6658" s="140" t="s">
        <v>62</v>
      </c>
    </row>
    <row r="6659" spans="1:9" hidden="1" x14ac:dyDescent="0.25">
      <c r="A6659">
        <v>1994</v>
      </c>
      <c r="B6659" s="140" t="s">
        <v>72</v>
      </c>
      <c r="C6659" s="140" t="s">
        <v>242</v>
      </c>
      <c r="D6659" s="140" t="s">
        <v>24</v>
      </c>
      <c r="E6659" s="140" t="s">
        <v>12</v>
      </c>
      <c r="F6659">
        <v>342.4</v>
      </c>
      <c r="G6659" s="140" t="s">
        <v>460</v>
      </c>
      <c r="H6659">
        <v>0</v>
      </c>
      <c r="I6659" s="140" t="s">
        <v>62</v>
      </c>
    </row>
    <row r="6660" spans="1:9" hidden="1" x14ac:dyDescent="0.25">
      <c r="A6660">
        <v>1995</v>
      </c>
      <c r="B6660" s="140" t="s">
        <v>72</v>
      </c>
      <c r="C6660" s="140" t="s">
        <v>242</v>
      </c>
      <c r="D6660" s="140" t="s">
        <v>24</v>
      </c>
      <c r="E6660" s="140" t="s">
        <v>12</v>
      </c>
      <c r="F6660">
        <v>334.5</v>
      </c>
      <c r="G6660" s="140" t="s">
        <v>460</v>
      </c>
      <c r="H6660">
        <v>0</v>
      </c>
      <c r="I6660" s="140" t="s">
        <v>62</v>
      </c>
    </row>
    <row r="6661" spans="1:9" hidden="1" x14ac:dyDescent="0.25">
      <c r="A6661">
        <v>1996</v>
      </c>
      <c r="B6661" s="140" t="s">
        <v>72</v>
      </c>
      <c r="C6661" s="140" t="s">
        <v>242</v>
      </c>
      <c r="D6661" s="140" t="s">
        <v>24</v>
      </c>
      <c r="E6661" s="140" t="s">
        <v>12</v>
      </c>
      <c r="F6661">
        <v>324.10000000000002</v>
      </c>
      <c r="G6661" s="140" t="s">
        <v>460</v>
      </c>
      <c r="H6661">
        <v>0</v>
      </c>
      <c r="I6661" s="140" t="s">
        <v>62</v>
      </c>
    </row>
    <row r="6662" spans="1:9" hidden="1" x14ac:dyDescent="0.25">
      <c r="A6662">
        <v>1997</v>
      </c>
      <c r="B6662" s="140" t="s">
        <v>72</v>
      </c>
      <c r="C6662" s="140" t="s">
        <v>242</v>
      </c>
      <c r="D6662" s="140" t="s">
        <v>24</v>
      </c>
      <c r="E6662" s="140" t="s">
        <v>12</v>
      </c>
      <c r="F6662">
        <v>316</v>
      </c>
      <c r="G6662" s="140" t="s">
        <v>460</v>
      </c>
      <c r="H6662">
        <v>0</v>
      </c>
      <c r="I6662" s="140" t="s">
        <v>62</v>
      </c>
    </row>
    <row r="6663" spans="1:9" hidden="1" x14ac:dyDescent="0.25">
      <c r="A6663">
        <v>1998</v>
      </c>
      <c r="B6663" s="140" t="s">
        <v>72</v>
      </c>
      <c r="C6663" s="140" t="s">
        <v>242</v>
      </c>
      <c r="D6663" s="140" t="s">
        <v>24</v>
      </c>
      <c r="E6663" s="140" t="s">
        <v>12</v>
      </c>
      <c r="F6663">
        <v>296.60000000000002</v>
      </c>
      <c r="G6663" s="140" t="s">
        <v>460</v>
      </c>
      <c r="H6663">
        <v>0</v>
      </c>
      <c r="I6663" s="140" t="s">
        <v>62</v>
      </c>
    </row>
    <row r="6664" spans="1:9" hidden="1" x14ac:dyDescent="0.25">
      <c r="A6664">
        <v>1999</v>
      </c>
      <c r="B6664" s="140" t="s">
        <v>72</v>
      </c>
      <c r="C6664" s="140" t="s">
        <v>242</v>
      </c>
      <c r="D6664" s="140" t="s">
        <v>24</v>
      </c>
      <c r="E6664" s="140" t="s">
        <v>12</v>
      </c>
      <c r="F6664">
        <v>285.60000000000002</v>
      </c>
      <c r="G6664" s="140" t="s">
        <v>460</v>
      </c>
      <c r="H6664">
        <v>0</v>
      </c>
      <c r="I6664" s="140" t="s">
        <v>62</v>
      </c>
    </row>
    <row r="6665" spans="1:9" hidden="1" x14ac:dyDescent="0.25">
      <c r="A6665">
        <v>2000</v>
      </c>
      <c r="B6665" s="140" t="s">
        <v>72</v>
      </c>
      <c r="C6665" s="140" t="s">
        <v>242</v>
      </c>
      <c r="D6665" s="140" t="s">
        <v>24</v>
      </c>
      <c r="E6665" s="140" t="s">
        <v>12</v>
      </c>
      <c r="F6665">
        <v>276.60000000000002</v>
      </c>
      <c r="G6665" s="140" t="s">
        <v>460</v>
      </c>
      <c r="H6665">
        <v>0</v>
      </c>
      <c r="I6665" s="140" t="s">
        <v>62</v>
      </c>
    </row>
    <row r="6666" spans="1:9" hidden="1" x14ac:dyDescent="0.25">
      <c r="A6666">
        <v>2001</v>
      </c>
      <c r="B6666" s="140" t="s">
        <v>72</v>
      </c>
      <c r="C6666" s="140" t="s">
        <v>242</v>
      </c>
      <c r="D6666" s="140" t="s">
        <v>24</v>
      </c>
      <c r="E6666" s="140" t="s">
        <v>12</v>
      </c>
      <c r="F6666">
        <v>272.39999999999998</v>
      </c>
      <c r="G6666" s="140" t="s">
        <v>460</v>
      </c>
      <c r="H6666">
        <v>0</v>
      </c>
      <c r="I6666" s="140" t="s">
        <v>62</v>
      </c>
    </row>
    <row r="6667" spans="1:9" hidden="1" x14ac:dyDescent="0.25">
      <c r="A6667">
        <v>2002</v>
      </c>
      <c r="B6667" s="140" t="s">
        <v>72</v>
      </c>
      <c r="C6667" s="140" t="s">
        <v>242</v>
      </c>
      <c r="D6667" s="140" t="s">
        <v>24</v>
      </c>
      <c r="E6667" s="140" t="s">
        <v>12</v>
      </c>
      <c r="F6667">
        <v>268.2</v>
      </c>
      <c r="G6667" s="140" t="s">
        <v>460</v>
      </c>
      <c r="H6667">
        <v>0</v>
      </c>
      <c r="I6667" s="140" t="s">
        <v>62</v>
      </c>
    </row>
    <row r="6668" spans="1:9" hidden="1" x14ac:dyDescent="0.25">
      <c r="A6668">
        <v>2003</v>
      </c>
      <c r="B6668" s="140" t="s">
        <v>72</v>
      </c>
      <c r="C6668" s="140" t="s">
        <v>242</v>
      </c>
      <c r="D6668" s="140" t="s">
        <v>24</v>
      </c>
      <c r="E6668" s="140" t="s">
        <v>12</v>
      </c>
      <c r="F6668">
        <v>267.39999999999998</v>
      </c>
      <c r="G6668" s="140" t="s">
        <v>460</v>
      </c>
      <c r="H6668">
        <v>0</v>
      </c>
      <c r="I6668" s="140" t="s">
        <v>62</v>
      </c>
    </row>
    <row r="6669" spans="1:9" hidden="1" x14ac:dyDescent="0.25">
      <c r="A6669">
        <v>2004</v>
      </c>
      <c r="B6669" s="140" t="s">
        <v>72</v>
      </c>
      <c r="C6669" s="140" t="s">
        <v>242</v>
      </c>
      <c r="D6669" s="140" t="s">
        <v>24</v>
      </c>
      <c r="E6669" s="140" t="s">
        <v>12</v>
      </c>
      <c r="F6669">
        <v>259.39999999999998</v>
      </c>
      <c r="G6669" s="140" t="s">
        <v>460</v>
      </c>
      <c r="H6669">
        <v>0</v>
      </c>
      <c r="I6669" s="140" t="s">
        <v>62</v>
      </c>
    </row>
    <row r="6670" spans="1:9" hidden="1" x14ac:dyDescent="0.25">
      <c r="A6670">
        <v>2005</v>
      </c>
      <c r="B6670" s="140" t="s">
        <v>72</v>
      </c>
      <c r="C6670" s="140" t="s">
        <v>242</v>
      </c>
      <c r="D6670" s="140" t="s">
        <v>24</v>
      </c>
      <c r="E6670" s="140" t="s">
        <v>12</v>
      </c>
      <c r="F6670">
        <v>250.4</v>
      </c>
      <c r="G6670" s="140" t="s">
        <v>460</v>
      </c>
      <c r="H6670">
        <v>0</v>
      </c>
      <c r="I6670" s="140" t="s">
        <v>62</v>
      </c>
    </row>
    <row r="6671" spans="1:9" hidden="1" x14ac:dyDescent="0.25">
      <c r="A6671">
        <v>2006</v>
      </c>
      <c r="B6671" s="140" t="s">
        <v>72</v>
      </c>
      <c r="C6671" s="140" t="s">
        <v>242</v>
      </c>
      <c r="D6671" s="140" t="s">
        <v>24</v>
      </c>
      <c r="E6671" s="140" t="s">
        <v>12</v>
      </c>
      <c r="F6671">
        <v>246.4</v>
      </c>
      <c r="G6671" s="140" t="s">
        <v>460</v>
      </c>
      <c r="H6671">
        <v>0</v>
      </c>
      <c r="I6671" s="140" t="s">
        <v>62</v>
      </c>
    </row>
    <row r="6672" spans="1:9" hidden="1" x14ac:dyDescent="0.25">
      <c r="A6672">
        <v>2007</v>
      </c>
      <c r="B6672" s="140" t="s">
        <v>72</v>
      </c>
      <c r="C6672" s="140" t="s">
        <v>242</v>
      </c>
      <c r="D6672" s="140" t="s">
        <v>24</v>
      </c>
      <c r="E6672" s="140" t="s">
        <v>12</v>
      </c>
      <c r="F6672">
        <v>239.6</v>
      </c>
      <c r="G6672" s="140" t="s">
        <v>460</v>
      </c>
      <c r="H6672">
        <v>0</v>
      </c>
      <c r="I6672" s="140" t="s">
        <v>62</v>
      </c>
    </row>
    <row r="6673" spans="1:9" hidden="1" x14ac:dyDescent="0.25">
      <c r="A6673">
        <v>2008</v>
      </c>
      <c r="B6673" s="140" t="s">
        <v>72</v>
      </c>
      <c r="C6673" s="140" t="s">
        <v>242</v>
      </c>
      <c r="D6673" s="140" t="s">
        <v>24</v>
      </c>
      <c r="E6673" s="140" t="s">
        <v>12</v>
      </c>
      <c r="F6673">
        <v>234.6</v>
      </c>
      <c r="G6673" s="140" t="s">
        <v>460</v>
      </c>
      <c r="H6673">
        <v>0</v>
      </c>
      <c r="I6673" s="140" t="s">
        <v>62</v>
      </c>
    </row>
    <row r="6674" spans="1:9" hidden="1" x14ac:dyDescent="0.25">
      <c r="A6674">
        <v>2009</v>
      </c>
      <c r="B6674" s="140" t="s">
        <v>72</v>
      </c>
      <c r="C6674" s="140" t="s">
        <v>242</v>
      </c>
      <c r="D6674" s="140" t="s">
        <v>24</v>
      </c>
      <c r="E6674" s="140" t="s">
        <v>12</v>
      </c>
      <c r="F6674">
        <v>229.8</v>
      </c>
      <c r="G6674" s="140" t="s">
        <v>460</v>
      </c>
      <c r="H6674">
        <v>0</v>
      </c>
      <c r="I6674" s="140" t="s">
        <v>62</v>
      </c>
    </row>
    <row r="6675" spans="1:9" hidden="1" x14ac:dyDescent="0.25">
      <c r="A6675">
        <v>2010</v>
      </c>
      <c r="B6675" s="140" t="s">
        <v>72</v>
      </c>
      <c r="C6675" s="140" t="s">
        <v>242</v>
      </c>
      <c r="D6675" s="140" t="s">
        <v>24</v>
      </c>
      <c r="E6675" s="140" t="s">
        <v>12</v>
      </c>
      <c r="F6675">
        <v>225.4</v>
      </c>
      <c r="G6675" s="140" t="s">
        <v>460</v>
      </c>
      <c r="H6675">
        <v>0</v>
      </c>
      <c r="I6675" s="140" t="s">
        <v>62</v>
      </c>
    </row>
    <row r="6676" spans="1:9" hidden="1" x14ac:dyDescent="0.25">
      <c r="A6676">
        <v>2011</v>
      </c>
      <c r="B6676" s="140" t="s">
        <v>72</v>
      </c>
      <c r="C6676" s="140" t="s">
        <v>242</v>
      </c>
      <c r="D6676" s="140" t="s">
        <v>24</v>
      </c>
      <c r="E6676" s="140" t="s">
        <v>12</v>
      </c>
      <c r="F6676">
        <v>225.4</v>
      </c>
      <c r="G6676" s="140" t="s">
        <v>460</v>
      </c>
      <c r="H6676">
        <v>0</v>
      </c>
      <c r="I6676" s="140" t="s">
        <v>62</v>
      </c>
    </row>
    <row r="6677" spans="1:9" hidden="1" x14ac:dyDescent="0.25">
      <c r="A6677">
        <v>2012</v>
      </c>
      <c r="B6677" s="140" t="s">
        <v>72</v>
      </c>
      <c r="C6677" s="140" t="s">
        <v>242</v>
      </c>
      <c r="D6677" s="140" t="s">
        <v>24</v>
      </c>
      <c r="E6677" s="140" t="s">
        <v>12</v>
      </c>
      <c r="F6677">
        <v>213.5</v>
      </c>
      <c r="G6677" s="140" t="s">
        <v>460</v>
      </c>
      <c r="H6677">
        <v>0</v>
      </c>
      <c r="I6677" s="140" t="s">
        <v>62</v>
      </c>
    </row>
    <row r="6678" spans="1:9" hidden="1" x14ac:dyDescent="0.25">
      <c r="A6678">
        <v>2013</v>
      </c>
      <c r="B6678" s="140" t="s">
        <v>72</v>
      </c>
      <c r="C6678" s="140" t="s">
        <v>242</v>
      </c>
      <c r="D6678" s="140" t="s">
        <v>24</v>
      </c>
      <c r="E6678" s="140" t="s">
        <v>12</v>
      </c>
      <c r="F6678">
        <v>208</v>
      </c>
      <c r="G6678" s="140" t="s">
        <v>460</v>
      </c>
      <c r="H6678">
        <v>0</v>
      </c>
      <c r="I6678" s="140" t="s">
        <v>62</v>
      </c>
    </row>
    <row r="6679" spans="1:9" hidden="1" x14ac:dyDescent="0.25">
      <c r="A6679">
        <v>2014</v>
      </c>
      <c r="B6679" s="140" t="s">
        <v>72</v>
      </c>
      <c r="C6679" s="140" t="s">
        <v>242</v>
      </c>
      <c r="D6679" s="140" t="s">
        <v>24</v>
      </c>
      <c r="E6679" s="140" t="s">
        <v>12</v>
      </c>
      <c r="F6679">
        <v>204.4</v>
      </c>
      <c r="G6679" s="140" t="s">
        <v>460</v>
      </c>
      <c r="H6679">
        <v>0</v>
      </c>
      <c r="I6679" s="140" t="s">
        <v>62</v>
      </c>
    </row>
    <row r="6680" spans="1:9" hidden="1" x14ac:dyDescent="0.25">
      <c r="A6680">
        <v>2015</v>
      </c>
      <c r="B6680" s="140" t="s">
        <v>72</v>
      </c>
      <c r="C6680" s="140" t="s">
        <v>242</v>
      </c>
      <c r="D6680" s="140" t="s">
        <v>24</v>
      </c>
      <c r="E6680" s="140" t="s">
        <v>12</v>
      </c>
      <c r="F6680">
        <v>198.2</v>
      </c>
      <c r="G6680" s="140" t="s">
        <v>460</v>
      </c>
      <c r="H6680">
        <v>0</v>
      </c>
      <c r="I6680" s="140" t="s">
        <v>62</v>
      </c>
    </row>
    <row r="6681" spans="1:9" hidden="1" x14ac:dyDescent="0.25">
      <c r="A6681">
        <v>2016</v>
      </c>
      <c r="B6681" s="140" t="s">
        <v>72</v>
      </c>
      <c r="C6681" s="140" t="s">
        <v>242</v>
      </c>
      <c r="D6681" s="140" t="s">
        <v>24</v>
      </c>
      <c r="E6681" s="140" t="s">
        <v>12</v>
      </c>
      <c r="F6681">
        <v>195.8</v>
      </c>
      <c r="G6681" s="140" t="s">
        <v>460</v>
      </c>
      <c r="H6681">
        <v>0</v>
      </c>
      <c r="I6681" s="140" t="s">
        <v>62</v>
      </c>
    </row>
    <row r="6682" spans="1:9" hidden="1" x14ac:dyDescent="0.25">
      <c r="A6682">
        <v>2017</v>
      </c>
      <c r="B6682" s="140" t="s">
        <v>72</v>
      </c>
      <c r="C6682" s="140" t="s">
        <v>242</v>
      </c>
      <c r="D6682" s="140" t="s">
        <v>24</v>
      </c>
      <c r="E6682" s="140" t="s">
        <v>12</v>
      </c>
      <c r="F6682">
        <v>194.3</v>
      </c>
      <c r="G6682" s="140" t="s">
        <v>460</v>
      </c>
      <c r="H6682">
        <v>0</v>
      </c>
      <c r="I6682" s="140" t="s">
        <v>62</v>
      </c>
    </row>
    <row r="6683" spans="1:9" hidden="1" x14ac:dyDescent="0.25">
      <c r="A6683">
        <v>2018</v>
      </c>
      <c r="B6683" s="140" t="s">
        <v>72</v>
      </c>
      <c r="C6683" s="140" t="s">
        <v>242</v>
      </c>
      <c r="D6683" s="140" t="s">
        <v>24</v>
      </c>
      <c r="E6683" s="140" t="s">
        <v>12</v>
      </c>
      <c r="F6683">
        <v>194.4</v>
      </c>
      <c r="G6683" s="140" t="s">
        <v>460</v>
      </c>
      <c r="H6683">
        <v>0</v>
      </c>
      <c r="I6683" s="140" t="s">
        <v>62</v>
      </c>
    </row>
    <row r="6684" spans="1:9" hidden="1" x14ac:dyDescent="0.25">
      <c r="A6684">
        <v>2019</v>
      </c>
      <c r="B6684" s="140" t="s">
        <v>72</v>
      </c>
      <c r="C6684" s="140" t="s">
        <v>242</v>
      </c>
      <c r="D6684" s="140" t="s">
        <v>24</v>
      </c>
      <c r="E6684" s="140" t="s">
        <v>12</v>
      </c>
      <c r="F6684">
        <v>192.2</v>
      </c>
      <c r="G6684" s="140" t="s">
        <v>460</v>
      </c>
      <c r="H6684">
        <v>0</v>
      </c>
      <c r="I6684" s="140" t="s">
        <v>62</v>
      </c>
    </row>
    <row r="6685" spans="1:9" hidden="1" x14ac:dyDescent="0.25">
      <c r="A6685">
        <v>2020</v>
      </c>
      <c r="B6685" s="140" t="s">
        <v>72</v>
      </c>
      <c r="C6685" s="140" t="s">
        <v>242</v>
      </c>
      <c r="D6685" s="140" t="s">
        <v>24</v>
      </c>
      <c r="E6685" s="140" t="s">
        <v>12</v>
      </c>
      <c r="F6685">
        <v>184.8</v>
      </c>
      <c r="G6685" s="140" t="s">
        <v>460</v>
      </c>
      <c r="H6685">
        <v>0</v>
      </c>
      <c r="I6685" s="140" t="s">
        <v>62</v>
      </c>
    </row>
    <row r="6686" spans="1:9" hidden="1" x14ac:dyDescent="0.25">
      <c r="A6686">
        <v>2021</v>
      </c>
      <c r="B6686" s="140" t="s">
        <v>72</v>
      </c>
      <c r="C6686" s="140" t="s">
        <v>242</v>
      </c>
      <c r="D6686" s="140" t="s">
        <v>24</v>
      </c>
      <c r="E6686" s="140" t="s">
        <v>12</v>
      </c>
      <c r="F6686">
        <v>183.7</v>
      </c>
      <c r="G6686" s="140" t="s">
        <v>460</v>
      </c>
      <c r="H6686">
        <v>0</v>
      </c>
      <c r="I6686" s="140" t="s">
        <v>62</v>
      </c>
    </row>
    <row r="6687" spans="1:9" hidden="1" x14ac:dyDescent="0.25">
      <c r="A6687">
        <v>2022</v>
      </c>
      <c r="B6687" s="140" t="s">
        <v>72</v>
      </c>
      <c r="C6687" s="140" t="s">
        <v>242</v>
      </c>
      <c r="D6687" s="140" t="s">
        <v>24</v>
      </c>
      <c r="E6687" s="140" t="s">
        <v>12</v>
      </c>
      <c r="F6687">
        <v>183.3</v>
      </c>
      <c r="G6687" s="140" t="s">
        <v>460</v>
      </c>
      <c r="H6687">
        <v>0</v>
      </c>
      <c r="I6687" s="140" t="s">
        <v>62</v>
      </c>
    </row>
    <row r="6688" spans="1:9" hidden="1" x14ac:dyDescent="0.25">
      <c r="A6688">
        <v>2023</v>
      </c>
      <c r="B6688" s="140" t="s">
        <v>72</v>
      </c>
      <c r="C6688" s="140" t="s">
        <v>242</v>
      </c>
      <c r="D6688" s="140" t="s">
        <v>24</v>
      </c>
      <c r="E6688" s="140" t="s">
        <v>12</v>
      </c>
      <c r="F6688">
        <v>175.7</v>
      </c>
      <c r="G6688" s="140" t="s">
        <v>460</v>
      </c>
      <c r="H6688">
        <v>0</v>
      </c>
      <c r="I6688" s="140" t="s">
        <v>62</v>
      </c>
    </row>
    <row r="6689" spans="1:9" hidden="1" x14ac:dyDescent="0.25">
      <c r="A6689">
        <v>2024</v>
      </c>
      <c r="B6689" s="140" t="s">
        <v>72</v>
      </c>
      <c r="C6689" s="140" t="s">
        <v>242</v>
      </c>
      <c r="D6689" s="140" t="s">
        <v>24</v>
      </c>
      <c r="E6689" s="140" t="s">
        <v>12</v>
      </c>
      <c r="F6689">
        <v>170.3</v>
      </c>
      <c r="G6689" s="140" t="s">
        <v>460</v>
      </c>
      <c r="H6689">
        <v>0</v>
      </c>
      <c r="I6689" s="140" t="s">
        <v>62</v>
      </c>
    </row>
    <row r="6690" spans="1:9" hidden="1" x14ac:dyDescent="0.25">
      <c r="A6690">
        <v>2025</v>
      </c>
      <c r="B6690" s="140" t="s">
        <v>72</v>
      </c>
      <c r="C6690" s="140" t="s">
        <v>242</v>
      </c>
      <c r="D6690" s="140" t="s">
        <v>24</v>
      </c>
      <c r="E6690" s="140" t="s">
        <v>12</v>
      </c>
      <c r="F6690">
        <v>171.1</v>
      </c>
      <c r="G6690" s="140" t="s">
        <v>460</v>
      </c>
      <c r="H6690">
        <v>0</v>
      </c>
      <c r="I6690" s="140" t="s">
        <v>62</v>
      </c>
    </row>
    <row r="6691" spans="1:9" hidden="1" x14ac:dyDescent="0.25">
      <c r="A6691">
        <v>2026</v>
      </c>
      <c r="B6691" s="140" t="s">
        <v>72</v>
      </c>
      <c r="C6691" s="140" t="s">
        <v>242</v>
      </c>
      <c r="D6691" s="140" t="s">
        <v>24</v>
      </c>
      <c r="E6691" s="140" t="s">
        <v>12</v>
      </c>
      <c r="F6691">
        <v>170.24449999999999</v>
      </c>
      <c r="G6691" s="140" t="s">
        <v>460</v>
      </c>
      <c r="H6691">
        <v>0</v>
      </c>
      <c r="I6691" s="140" t="s">
        <v>62</v>
      </c>
    </row>
    <row r="6692" spans="1:9" hidden="1" x14ac:dyDescent="0.25">
      <c r="A6692">
        <v>2027</v>
      </c>
      <c r="B6692" s="140" t="s">
        <v>72</v>
      </c>
      <c r="C6692" s="140" t="s">
        <v>242</v>
      </c>
      <c r="D6692" s="140" t="s">
        <v>24</v>
      </c>
      <c r="E6692" s="140" t="s">
        <v>12</v>
      </c>
      <c r="F6692">
        <v>171.90455729999999</v>
      </c>
      <c r="G6692" s="140" t="s">
        <v>460</v>
      </c>
      <c r="H6692">
        <v>0</v>
      </c>
      <c r="I6692" s="140" t="s">
        <v>62</v>
      </c>
    </row>
    <row r="6693" spans="1:9" hidden="1" x14ac:dyDescent="0.25">
      <c r="A6693">
        <v>2028</v>
      </c>
      <c r="B6693" s="140" t="s">
        <v>72</v>
      </c>
      <c r="C6693" s="140" t="s">
        <v>242</v>
      </c>
      <c r="D6693" s="140" t="s">
        <v>24</v>
      </c>
      <c r="E6693" s="140" t="s">
        <v>12</v>
      </c>
      <c r="F6693">
        <v>173.13537600000001</v>
      </c>
      <c r="G6693" s="140" t="s">
        <v>460</v>
      </c>
      <c r="H6693">
        <v>0</v>
      </c>
      <c r="I6693" s="140" t="s">
        <v>62</v>
      </c>
    </row>
    <row r="6694" spans="1:9" hidden="1" x14ac:dyDescent="0.25">
      <c r="A6694">
        <v>1990</v>
      </c>
      <c r="B6694" s="140" t="s">
        <v>72</v>
      </c>
      <c r="C6694" s="140" t="s">
        <v>242</v>
      </c>
      <c r="D6694" s="140" t="s">
        <v>23</v>
      </c>
      <c r="E6694" s="140" t="s">
        <v>12</v>
      </c>
      <c r="F6694">
        <v>851.4</v>
      </c>
      <c r="G6694" s="140" t="s">
        <v>461</v>
      </c>
      <c r="H6694">
        <v>0</v>
      </c>
      <c r="I6694" s="140" t="s">
        <v>62</v>
      </c>
    </row>
    <row r="6695" spans="1:9" hidden="1" x14ac:dyDescent="0.25">
      <c r="A6695">
        <v>1991</v>
      </c>
      <c r="B6695" s="140" t="s">
        <v>72</v>
      </c>
      <c r="C6695" s="140" t="s">
        <v>242</v>
      </c>
      <c r="D6695" s="140" t="s">
        <v>23</v>
      </c>
      <c r="E6695" s="140" t="s">
        <v>12</v>
      </c>
      <c r="F6695">
        <v>751.8</v>
      </c>
      <c r="G6695" s="140" t="s">
        <v>461</v>
      </c>
      <c r="H6695">
        <v>0</v>
      </c>
      <c r="I6695" s="140" t="s">
        <v>62</v>
      </c>
    </row>
    <row r="6696" spans="1:9" hidden="1" x14ac:dyDescent="0.25">
      <c r="A6696">
        <v>1992</v>
      </c>
      <c r="B6696" s="140" t="s">
        <v>72</v>
      </c>
      <c r="C6696" s="140" t="s">
        <v>242</v>
      </c>
      <c r="D6696" s="140" t="s">
        <v>23</v>
      </c>
      <c r="E6696" s="140" t="s">
        <v>12</v>
      </c>
      <c r="F6696">
        <v>681.8</v>
      </c>
      <c r="G6696" s="140" t="s">
        <v>461</v>
      </c>
      <c r="H6696">
        <v>0</v>
      </c>
      <c r="I6696" s="140" t="s">
        <v>62</v>
      </c>
    </row>
    <row r="6697" spans="1:9" hidden="1" x14ac:dyDescent="0.25">
      <c r="A6697">
        <v>1993</v>
      </c>
      <c r="B6697" s="140" t="s">
        <v>72</v>
      </c>
      <c r="C6697" s="140" t="s">
        <v>242</v>
      </c>
      <c r="D6697" s="140" t="s">
        <v>23</v>
      </c>
      <c r="E6697" s="140" t="s">
        <v>12</v>
      </c>
      <c r="F6697">
        <v>646.6</v>
      </c>
      <c r="G6697" s="140" t="s">
        <v>461</v>
      </c>
      <c r="H6697">
        <v>0</v>
      </c>
      <c r="I6697" s="140" t="s">
        <v>62</v>
      </c>
    </row>
    <row r="6698" spans="1:9" hidden="1" x14ac:dyDescent="0.25">
      <c r="A6698">
        <v>1994</v>
      </c>
      <c r="B6698" s="140" t="s">
        <v>72</v>
      </c>
      <c r="C6698" s="140" t="s">
        <v>242</v>
      </c>
      <c r="D6698" s="140" t="s">
        <v>23</v>
      </c>
      <c r="E6698" s="140" t="s">
        <v>12</v>
      </c>
      <c r="F6698">
        <v>666.1</v>
      </c>
      <c r="G6698" s="140" t="s">
        <v>461</v>
      </c>
      <c r="H6698">
        <v>0</v>
      </c>
      <c r="I6698" s="140" t="s">
        <v>62</v>
      </c>
    </row>
    <row r="6699" spans="1:9" hidden="1" x14ac:dyDescent="0.25">
      <c r="A6699">
        <v>1995</v>
      </c>
      <c r="B6699" s="140" t="s">
        <v>72</v>
      </c>
      <c r="C6699" s="140" t="s">
        <v>242</v>
      </c>
      <c r="D6699" s="140" t="s">
        <v>23</v>
      </c>
      <c r="E6699" s="140" t="s">
        <v>12</v>
      </c>
      <c r="F6699">
        <v>696.5</v>
      </c>
      <c r="G6699" s="140" t="s">
        <v>461</v>
      </c>
      <c r="H6699">
        <v>0</v>
      </c>
      <c r="I6699" s="140" t="s">
        <v>62</v>
      </c>
    </row>
    <row r="6700" spans="1:9" hidden="1" x14ac:dyDescent="0.25">
      <c r="A6700">
        <v>1996</v>
      </c>
      <c r="B6700" s="140" t="s">
        <v>72</v>
      </c>
      <c r="C6700" s="140" t="s">
        <v>242</v>
      </c>
      <c r="D6700" s="140" t="s">
        <v>23</v>
      </c>
      <c r="E6700" s="140" t="s">
        <v>12</v>
      </c>
      <c r="F6700">
        <v>698</v>
      </c>
      <c r="G6700" s="140" t="s">
        <v>461</v>
      </c>
      <c r="H6700">
        <v>0</v>
      </c>
      <c r="I6700" s="140" t="s">
        <v>62</v>
      </c>
    </row>
    <row r="6701" spans="1:9" hidden="1" x14ac:dyDescent="0.25">
      <c r="A6701">
        <v>1997</v>
      </c>
      <c r="B6701" s="140" t="s">
        <v>72</v>
      </c>
      <c r="C6701" s="140" t="s">
        <v>242</v>
      </c>
      <c r="D6701" s="140" t="s">
        <v>23</v>
      </c>
      <c r="E6701" s="140" t="s">
        <v>12</v>
      </c>
      <c r="F6701">
        <v>726</v>
      </c>
      <c r="G6701" s="140" t="s">
        <v>461</v>
      </c>
      <c r="H6701">
        <v>0</v>
      </c>
      <c r="I6701" s="140" t="s">
        <v>62</v>
      </c>
    </row>
    <row r="6702" spans="1:9" hidden="1" x14ac:dyDescent="0.25">
      <c r="A6702">
        <v>1998</v>
      </c>
      <c r="B6702" s="140" t="s">
        <v>72</v>
      </c>
      <c r="C6702" s="140" t="s">
        <v>242</v>
      </c>
      <c r="D6702" s="140" t="s">
        <v>23</v>
      </c>
      <c r="E6702" s="140" t="s">
        <v>12</v>
      </c>
      <c r="F6702">
        <v>749.3</v>
      </c>
      <c r="G6702" s="140" t="s">
        <v>461</v>
      </c>
      <c r="H6702">
        <v>0</v>
      </c>
      <c r="I6702" s="140" t="s">
        <v>62</v>
      </c>
    </row>
    <row r="6703" spans="1:9" hidden="1" x14ac:dyDescent="0.25">
      <c r="A6703">
        <v>1999</v>
      </c>
      <c r="B6703" s="140" t="s">
        <v>72</v>
      </c>
      <c r="C6703" s="140" t="s">
        <v>242</v>
      </c>
      <c r="D6703" s="140" t="s">
        <v>23</v>
      </c>
      <c r="E6703" s="140" t="s">
        <v>12</v>
      </c>
      <c r="F6703">
        <v>755</v>
      </c>
      <c r="G6703" s="140" t="s">
        <v>461</v>
      </c>
      <c r="H6703">
        <v>0</v>
      </c>
      <c r="I6703" s="140" t="s">
        <v>62</v>
      </c>
    </row>
    <row r="6704" spans="1:9" hidden="1" x14ac:dyDescent="0.25">
      <c r="A6704">
        <v>2000</v>
      </c>
      <c r="B6704" s="140" t="s">
        <v>72</v>
      </c>
      <c r="C6704" s="140" t="s">
        <v>242</v>
      </c>
      <c r="D6704" s="140" t="s">
        <v>23</v>
      </c>
      <c r="E6704" s="140" t="s">
        <v>12</v>
      </c>
      <c r="F6704">
        <v>768.3</v>
      </c>
      <c r="G6704" s="140" t="s">
        <v>461</v>
      </c>
      <c r="H6704">
        <v>0</v>
      </c>
      <c r="I6704" s="140" t="s">
        <v>62</v>
      </c>
    </row>
    <row r="6705" spans="1:9" hidden="1" x14ac:dyDescent="0.25">
      <c r="A6705">
        <v>2001</v>
      </c>
      <c r="B6705" s="140" t="s">
        <v>72</v>
      </c>
      <c r="C6705" s="140" t="s">
        <v>242</v>
      </c>
      <c r="D6705" s="140" t="s">
        <v>23</v>
      </c>
      <c r="E6705" s="140" t="s">
        <v>12</v>
      </c>
      <c r="F6705">
        <v>772.2</v>
      </c>
      <c r="G6705" s="140" t="s">
        <v>461</v>
      </c>
      <c r="H6705">
        <v>0</v>
      </c>
      <c r="I6705" s="140" t="s">
        <v>62</v>
      </c>
    </row>
    <row r="6706" spans="1:9" hidden="1" x14ac:dyDescent="0.25">
      <c r="A6706">
        <v>2002</v>
      </c>
      <c r="B6706" s="140" t="s">
        <v>72</v>
      </c>
      <c r="C6706" s="140" t="s">
        <v>242</v>
      </c>
      <c r="D6706" s="140" t="s">
        <v>23</v>
      </c>
      <c r="E6706" s="140" t="s">
        <v>12</v>
      </c>
      <c r="F6706">
        <v>752.5</v>
      </c>
      <c r="G6706" s="140" t="s">
        <v>461</v>
      </c>
      <c r="H6706">
        <v>0</v>
      </c>
      <c r="I6706" s="140" t="s">
        <v>62</v>
      </c>
    </row>
    <row r="6707" spans="1:9" hidden="1" x14ac:dyDescent="0.25">
      <c r="A6707">
        <v>2003</v>
      </c>
      <c r="B6707" s="140" t="s">
        <v>72</v>
      </c>
      <c r="C6707" s="140" t="s">
        <v>242</v>
      </c>
      <c r="D6707" s="140" t="s">
        <v>23</v>
      </c>
      <c r="E6707" s="140" t="s">
        <v>12</v>
      </c>
      <c r="F6707">
        <v>729.1</v>
      </c>
      <c r="G6707" s="140" t="s">
        <v>461</v>
      </c>
      <c r="H6707">
        <v>0</v>
      </c>
      <c r="I6707" s="140" t="s">
        <v>62</v>
      </c>
    </row>
    <row r="6708" spans="1:9" hidden="1" x14ac:dyDescent="0.25">
      <c r="A6708">
        <v>2004</v>
      </c>
      <c r="B6708" s="140" t="s">
        <v>72</v>
      </c>
      <c r="C6708" s="140" t="s">
        <v>242</v>
      </c>
      <c r="D6708" s="140" t="s">
        <v>23</v>
      </c>
      <c r="E6708" s="140" t="s">
        <v>12</v>
      </c>
      <c r="F6708">
        <v>717</v>
      </c>
      <c r="G6708" s="140" t="s">
        <v>461</v>
      </c>
      <c r="H6708">
        <v>0</v>
      </c>
      <c r="I6708" s="140" t="s">
        <v>62</v>
      </c>
    </row>
    <row r="6709" spans="1:9" hidden="1" x14ac:dyDescent="0.25">
      <c r="A6709">
        <v>2005</v>
      </c>
      <c r="B6709" s="140" t="s">
        <v>72</v>
      </c>
      <c r="C6709" s="140" t="s">
        <v>242</v>
      </c>
      <c r="D6709" s="140" t="s">
        <v>23</v>
      </c>
      <c r="E6709" s="140" t="s">
        <v>12</v>
      </c>
      <c r="F6709">
        <v>714.2</v>
      </c>
      <c r="G6709" s="140" t="s">
        <v>461</v>
      </c>
      <c r="H6709">
        <v>0</v>
      </c>
      <c r="I6709" s="140" t="s">
        <v>62</v>
      </c>
    </row>
    <row r="6710" spans="1:9" hidden="1" x14ac:dyDescent="0.25">
      <c r="A6710">
        <v>2006</v>
      </c>
      <c r="B6710" s="140" t="s">
        <v>72</v>
      </c>
      <c r="C6710" s="140" t="s">
        <v>242</v>
      </c>
      <c r="D6710" s="140" t="s">
        <v>23</v>
      </c>
      <c r="E6710" s="140" t="s">
        <v>12</v>
      </c>
      <c r="F6710">
        <v>724.3</v>
      </c>
      <c r="G6710" s="140" t="s">
        <v>461</v>
      </c>
      <c r="H6710">
        <v>0</v>
      </c>
      <c r="I6710" s="140" t="s">
        <v>62</v>
      </c>
    </row>
    <row r="6711" spans="1:9" hidden="1" x14ac:dyDescent="0.25">
      <c r="A6711">
        <v>2007</v>
      </c>
      <c r="B6711" s="140" t="s">
        <v>72</v>
      </c>
      <c r="C6711" s="140" t="s">
        <v>242</v>
      </c>
      <c r="D6711" s="140" t="s">
        <v>23</v>
      </c>
      <c r="E6711" s="140" t="s">
        <v>12</v>
      </c>
      <c r="F6711">
        <v>732.5</v>
      </c>
      <c r="G6711" s="140" t="s">
        <v>461</v>
      </c>
      <c r="H6711">
        <v>0</v>
      </c>
      <c r="I6711" s="140" t="s">
        <v>62</v>
      </c>
    </row>
    <row r="6712" spans="1:9" hidden="1" x14ac:dyDescent="0.25">
      <c r="A6712">
        <v>2008</v>
      </c>
      <c r="B6712" s="140" t="s">
        <v>72</v>
      </c>
      <c r="C6712" s="140" t="s">
        <v>242</v>
      </c>
      <c r="D6712" s="140" t="s">
        <v>23</v>
      </c>
      <c r="E6712" s="140" t="s">
        <v>12</v>
      </c>
      <c r="F6712">
        <v>735</v>
      </c>
      <c r="G6712" s="140" t="s">
        <v>461</v>
      </c>
      <c r="H6712">
        <v>0</v>
      </c>
      <c r="I6712" s="140" t="s">
        <v>62</v>
      </c>
    </row>
    <row r="6713" spans="1:9" hidden="1" x14ac:dyDescent="0.25">
      <c r="A6713">
        <v>2009</v>
      </c>
      <c r="B6713" s="140" t="s">
        <v>72</v>
      </c>
      <c r="C6713" s="140" t="s">
        <v>242</v>
      </c>
      <c r="D6713" s="140" t="s">
        <v>23</v>
      </c>
      <c r="E6713" s="140" t="s">
        <v>12</v>
      </c>
      <c r="F6713">
        <v>648.5</v>
      </c>
      <c r="G6713" s="140" t="s">
        <v>461</v>
      </c>
      <c r="H6713">
        <v>0</v>
      </c>
      <c r="I6713" s="140" t="s">
        <v>62</v>
      </c>
    </row>
    <row r="6714" spans="1:9" hidden="1" x14ac:dyDescent="0.25">
      <c r="A6714">
        <v>2010</v>
      </c>
      <c r="B6714" s="140" t="s">
        <v>72</v>
      </c>
      <c r="C6714" s="140" t="s">
        <v>242</v>
      </c>
      <c r="D6714" s="140" t="s">
        <v>23</v>
      </c>
      <c r="E6714" s="140" t="s">
        <v>12</v>
      </c>
      <c r="F6714">
        <v>631.4</v>
      </c>
      <c r="G6714" s="140" t="s">
        <v>461</v>
      </c>
      <c r="H6714">
        <v>0</v>
      </c>
      <c r="I6714" s="140" t="s">
        <v>62</v>
      </c>
    </row>
    <row r="6715" spans="1:9" hidden="1" x14ac:dyDescent="0.25">
      <c r="A6715">
        <v>2011</v>
      </c>
      <c r="B6715" s="140" t="s">
        <v>72</v>
      </c>
      <c r="C6715" s="140" t="s">
        <v>242</v>
      </c>
      <c r="D6715" s="140" t="s">
        <v>23</v>
      </c>
      <c r="E6715" s="140" t="s">
        <v>12</v>
      </c>
      <c r="F6715">
        <v>641.1</v>
      </c>
      <c r="G6715" s="140" t="s">
        <v>461</v>
      </c>
      <c r="H6715">
        <v>0</v>
      </c>
      <c r="I6715" s="140" t="s">
        <v>62</v>
      </c>
    </row>
    <row r="6716" spans="1:9" hidden="1" x14ac:dyDescent="0.25">
      <c r="A6716">
        <v>2012</v>
      </c>
      <c r="B6716" s="140" t="s">
        <v>72</v>
      </c>
      <c r="C6716" s="140" t="s">
        <v>242</v>
      </c>
      <c r="D6716" s="140" t="s">
        <v>23</v>
      </c>
      <c r="E6716" s="140" t="s">
        <v>12</v>
      </c>
      <c r="F6716">
        <v>635.6</v>
      </c>
      <c r="G6716" s="140" t="s">
        <v>461</v>
      </c>
      <c r="H6716">
        <v>0</v>
      </c>
      <c r="I6716" s="140" t="s">
        <v>62</v>
      </c>
    </row>
    <row r="6717" spans="1:9" hidden="1" x14ac:dyDescent="0.25">
      <c r="A6717">
        <v>2013</v>
      </c>
      <c r="B6717" s="140" t="s">
        <v>72</v>
      </c>
      <c r="C6717" s="140" t="s">
        <v>242</v>
      </c>
      <c r="D6717" s="140" t="s">
        <v>23</v>
      </c>
      <c r="E6717" s="140" t="s">
        <v>12</v>
      </c>
      <c r="F6717">
        <v>605.20000000000005</v>
      </c>
      <c r="G6717" s="140" t="s">
        <v>461</v>
      </c>
      <c r="H6717">
        <v>0</v>
      </c>
      <c r="I6717" s="140" t="s">
        <v>62</v>
      </c>
    </row>
    <row r="6718" spans="1:9" hidden="1" x14ac:dyDescent="0.25">
      <c r="A6718">
        <v>2014</v>
      </c>
      <c r="B6718" s="140" t="s">
        <v>72</v>
      </c>
      <c r="C6718" s="140" t="s">
        <v>242</v>
      </c>
      <c r="D6718" s="140" t="s">
        <v>23</v>
      </c>
      <c r="E6718" s="140" t="s">
        <v>12</v>
      </c>
      <c r="F6718">
        <v>586.20000000000005</v>
      </c>
      <c r="G6718" s="140" t="s">
        <v>461</v>
      </c>
      <c r="H6718">
        <v>0</v>
      </c>
      <c r="I6718" s="140" t="s">
        <v>62</v>
      </c>
    </row>
    <row r="6719" spans="1:9" hidden="1" x14ac:dyDescent="0.25">
      <c r="A6719">
        <v>2015</v>
      </c>
      <c r="B6719" s="140" t="s">
        <v>72</v>
      </c>
      <c r="C6719" s="140" t="s">
        <v>242</v>
      </c>
      <c r="D6719" s="140" t="s">
        <v>23</v>
      </c>
      <c r="E6719" s="140" t="s">
        <v>12</v>
      </c>
      <c r="F6719">
        <v>577.70000000000005</v>
      </c>
      <c r="G6719" s="140" t="s">
        <v>461</v>
      </c>
      <c r="H6719">
        <v>0</v>
      </c>
      <c r="I6719" s="140" t="s">
        <v>62</v>
      </c>
    </row>
    <row r="6720" spans="1:9" hidden="1" x14ac:dyDescent="0.25">
      <c r="A6720">
        <v>2016</v>
      </c>
      <c r="B6720" s="140" t="s">
        <v>72</v>
      </c>
      <c r="C6720" s="140" t="s">
        <v>242</v>
      </c>
      <c r="D6720" s="140" t="s">
        <v>23</v>
      </c>
      <c r="E6720" s="140" t="s">
        <v>12</v>
      </c>
      <c r="F6720">
        <v>573.6</v>
      </c>
      <c r="G6720" s="140" t="s">
        <v>461</v>
      </c>
      <c r="H6720">
        <v>0</v>
      </c>
      <c r="I6720" s="140" t="s">
        <v>62</v>
      </c>
    </row>
    <row r="6721" spans="1:9" hidden="1" x14ac:dyDescent="0.25">
      <c r="A6721">
        <v>2017</v>
      </c>
      <c r="B6721" s="140" t="s">
        <v>72</v>
      </c>
      <c r="C6721" s="140" t="s">
        <v>242</v>
      </c>
      <c r="D6721" s="140" t="s">
        <v>23</v>
      </c>
      <c r="E6721" s="140" t="s">
        <v>12</v>
      </c>
      <c r="F6721">
        <v>574.9</v>
      </c>
      <c r="G6721" s="140" t="s">
        <v>461</v>
      </c>
      <c r="H6721">
        <v>0</v>
      </c>
      <c r="I6721" s="140" t="s">
        <v>62</v>
      </c>
    </row>
    <row r="6722" spans="1:9" hidden="1" x14ac:dyDescent="0.25">
      <c r="A6722">
        <v>2018</v>
      </c>
      <c r="B6722" s="140" t="s">
        <v>72</v>
      </c>
      <c r="C6722" s="140" t="s">
        <v>242</v>
      </c>
      <c r="D6722" s="140" t="s">
        <v>23</v>
      </c>
      <c r="E6722" s="140" t="s">
        <v>12</v>
      </c>
      <c r="F6722">
        <v>583.70000000000005</v>
      </c>
      <c r="G6722" s="140" t="s">
        <v>461</v>
      </c>
      <c r="H6722">
        <v>0</v>
      </c>
      <c r="I6722" s="140" t="s">
        <v>62</v>
      </c>
    </row>
    <row r="6723" spans="1:9" hidden="1" x14ac:dyDescent="0.25">
      <c r="A6723">
        <v>2019</v>
      </c>
      <c r="B6723" s="140" t="s">
        <v>72</v>
      </c>
      <c r="C6723" s="140" t="s">
        <v>242</v>
      </c>
      <c r="D6723" s="140" t="s">
        <v>23</v>
      </c>
      <c r="E6723" s="140" t="s">
        <v>12</v>
      </c>
      <c r="F6723">
        <v>586.4</v>
      </c>
      <c r="G6723" s="140" t="s">
        <v>461</v>
      </c>
      <c r="H6723">
        <v>0</v>
      </c>
      <c r="I6723" s="140" t="s">
        <v>62</v>
      </c>
    </row>
    <row r="6724" spans="1:9" hidden="1" x14ac:dyDescent="0.25">
      <c r="A6724">
        <v>2020</v>
      </c>
      <c r="B6724" s="140" t="s">
        <v>72</v>
      </c>
      <c r="C6724" s="140" t="s">
        <v>242</v>
      </c>
      <c r="D6724" s="140" t="s">
        <v>23</v>
      </c>
      <c r="E6724" s="140" t="s">
        <v>12</v>
      </c>
      <c r="F6724">
        <v>577.29999999999995</v>
      </c>
      <c r="G6724" s="140" t="s">
        <v>461</v>
      </c>
      <c r="H6724">
        <v>0</v>
      </c>
      <c r="I6724" s="140" t="s">
        <v>62</v>
      </c>
    </row>
    <row r="6725" spans="1:9" hidden="1" x14ac:dyDescent="0.25">
      <c r="A6725">
        <v>2021</v>
      </c>
      <c r="B6725" s="140" t="s">
        <v>72</v>
      </c>
      <c r="C6725" s="140" t="s">
        <v>242</v>
      </c>
      <c r="D6725" s="140" t="s">
        <v>23</v>
      </c>
      <c r="E6725" s="140" t="s">
        <v>12</v>
      </c>
      <c r="F6725">
        <v>582</v>
      </c>
      <c r="G6725" s="140" t="s">
        <v>461</v>
      </c>
      <c r="H6725">
        <v>0</v>
      </c>
      <c r="I6725" s="140" t="s">
        <v>62</v>
      </c>
    </row>
    <row r="6726" spans="1:9" hidden="1" x14ac:dyDescent="0.25">
      <c r="A6726">
        <v>2022</v>
      </c>
      <c r="B6726" s="140" t="s">
        <v>72</v>
      </c>
      <c r="C6726" s="140" t="s">
        <v>242</v>
      </c>
      <c r="D6726" s="140" t="s">
        <v>23</v>
      </c>
      <c r="E6726" s="140" t="s">
        <v>12</v>
      </c>
      <c r="F6726">
        <v>597.70000000000005</v>
      </c>
      <c r="G6726" s="140" t="s">
        <v>461</v>
      </c>
      <c r="H6726">
        <v>0</v>
      </c>
      <c r="I6726" s="140" t="s">
        <v>62</v>
      </c>
    </row>
    <row r="6727" spans="1:9" hidden="1" x14ac:dyDescent="0.25">
      <c r="A6727">
        <v>2023</v>
      </c>
      <c r="B6727" s="140" t="s">
        <v>72</v>
      </c>
      <c r="C6727" s="140" t="s">
        <v>242</v>
      </c>
      <c r="D6727" s="140" t="s">
        <v>23</v>
      </c>
      <c r="E6727" s="140" t="s">
        <v>12</v>
      </c>
      <c r="F6727">
        <v>598.5</v>
      </c>
      <c r="G6727" s="140" t="s">
        <v>461</v>
      </c>
      <c r="H6727">
        <v>0</v>
      </c>
      <c r="I6727" s="140" t="s">
        <v>62</v>
      </c>
    </row>
    <row r="6728" spans="1:9" hidden="1" x14ac:dyDescent="0.25">
      <c r="A6728">
        <v>2024</v>
      </c>
      <c r="B6728" s="140" t="s">
        <v>72</v>
      </c>
      <c r="C6728" s="140" t="s">
        <v>242</v>
      </c>
      <c r="D6728" s="140" t="s">
        <v>23</v>
      </c>
      <c r="E6728" s="140" t="s">
        <v>12</v>
      </c>
      <c r="F6728">
        <v>596.5</v>
      </c>
      <c r="G6728" s="140" t="s">
        <v>461</v>
      </c>
      <c r="H6728">
        <v>0</v>
      </c>
      <c r="I6728" s="140" t="s">
        <v>62</v>
      </c>
    </row>
    <row r="6729" spans="1:9" hidden="1" x14ac:dyDescent="0.25">
      <c r="A6729">
        <v>2025</v>
      </c>
      <c r="B6729" s="140" t="s">
        <v>72</v>
      </c>
      <c r="C6729" s="140" t="s">
        <v>242</v>
      </c>
      <c r="D6729" s="140" t="s">
        <v>23</v>
      </c>
      <c r="E6729" s="140" t="s">
        <v>12</v>
      </c>
      <c r="F6729">
        <v>594.29999999999995</v>
      </c>
      <c r="G6729" s="140" t="s">
        <v>461</v>
      </c>
      <c r="H6729">
        <v>0</v>
      </c>
      <c r="I6729" s="140" t="s">
        <v>62</v>
      </c>
    </row>
    <row r="6730" spans="1:9" hidden="1" x14ac:dyDescent="0.25">
      <c r="A6730">
        <v>2026</v>
      </c>
      <c r="B6730" s="140" t="s">
        <v>72</v>
      </c>
      <c r="C6730" s="140" t="s">
        <v>242</v>
      </c>
      <c r="D6730" s="140" t="s">
        <v>23</v>
      </c>
      <c r="E6730" s="140" t="s">
        <v>12</v>
      </c>
      <c r="F6730">
        <v>592.51710000000003</v>
      </c>
      <c r="G6730" s="140" t="s">
        <v>461</v>
      </c>
      <c r="H6730">
        <v>0</v>
      </c>
      <c r="I6730" s="140" t="s">
        <v>62</v>
      </c>
    </row>
    <row r="6731" spans="1:9" hidden="1" x14ac:dyDescent="0.25">
      <c r="A6731">
        <v>2027</v>
      </c>
      <c r="B6731" s="140" t="s">
        <v>72</v>
      </c>
      <c r="C6731" s="140" t="s">
        <v>242</v>
      </c>
      <c r="D6731" s="140" t="s">
        <v>23</v>
      </c>
      <c r="E6731" s="140" t="s">
        <v>12</v>
      </c>
      <c r="F6731">
        <v>595.47968549999996</v>
      </c>
      <c r="G6731" s="140" t="s">
        <v>461</v>
      </c>
      <c r="H6731">
        <v>0</v>
      </c>
      <c r="I6731" s="140" t="s">
        <v>62</v>
      </c>
    </row>
    <row r="6732" spans="1:9" hidden="1" x14ac:dyDescent="0.25">
      <c r="A6732">
        <v>2028</v>
      </c>
      <c r="B6732" s="140" t="s">
        <v>72</v>
      </c>
      <c r="C6732" s="140" t="s">
        <v>242</v>
      </c>
      <c r="D6732" s="140" t="s">
        <v>23</v>
      </c>
      <c r="E6732" s="140" t="s">
        <v>12</v>
      </c>
      <c r="F6732">
        <v>596.67064489999996</v>
      </c>
      <c r="G6732" s="140" t="s">
        <v>461</v>
      </c>
      <c r="H6732">
        <v>0</v>
      </c>
      <c r="I6732" s="140" t="s">
        <v>62</v>
      </c>
    </row>
    <row r="6733" spans="1:9" hidden="1" x14ac:dyDescent="0.25">
      <c r="A6733">
        <v>1990</v>
      </c>
      <c r="B6733" s="140" t="s">
        <v>72</v>
      </c>
      <c r="C6733" s="140" t="s">
        <v>242</v>
      </c>
      <c r="D6733" s="140" t="s">
        <v>34</v>
      </c>
      <c r="E6733" s="140" t="s">
        <v>12</v>
      </c>
      <c r="F6733">
        <v>448.6</v>
      </c>
      <c r="G6733" s="140" t="s">
        <v>462</v>
      </c>
      <c r="H6733">
        <v>0</v>
      </c>
      <c r="I6733" s="140" t="s">
        <v>62</v>
      </c>
    </row>
    <row r="6734" spans="1:9" hidden="1" x14ac:dyDescent="0.25">
      <c r="A6734">
        <v>1991</v>
      </c>
      <c r="B6734" s="140" t="s">
        <v>72</v>
      </c>
      <c r="C6734" s="140" t="s">
        <v>242</v>
      </c>
      <c r="D6734" s="140" t="s">
        <v>34</v>
      </c>
      <c r="E6734" s="140" t="s">
        <v>12</v>
      </c>
      <c r="F6734">
        <v>387.6</v>
      </c>
      <c r="G6734" s="140" t="s">
        <v>462</v>
      </c>
      <c r="H6734">
        <v>0</v>
      </c>
      <c r="I6734" s="140" t="s">
        <v>62</v>
      </c>
    </row>
    <row r="6735" spans="1:9" hidden="1" x14ac:dyDescent="0.25">
      <c r="A6735">
        <v>1992</v>
      </c>
      <c r="B6735" s="140" t="s">
        <v>72</v>
      </c>
      <c r="C6735" s="140" t="s">
        <v>242</v>
      </c>
      <c r="D6735" s="140" t="s">
        <v>34</v>
      </c>
      <c r="E6735" s="140" t="s">
        <v>12</v>
      </c>
      <c r="F6735">
        <v>327.8</v>
      </c>
      <c r="G6735" s="140" t="s">
        <v>462</v>
      </c>
      <c r="H6735">
        <v>0</v>
      </c>
      <c r="I6735" s="140" t="s">
        <v>62</v>
      </c>
    </row>
    <row r="6736" spans="1:9" hidden="1" x14ac:dyDescent="0.25">
      <c r="A6736">
        <v>1993</v>
      </c>
      <c r="B6736" s="140" t="s">
        <v>72</v>
      </c>
      <c r="C6736" s="140" t="s">
        <v>242</v>
      </c>
      <c r="D6736" s="140" t="s">
        <v>34</v>
      </c>
      <c r="E6736" s="140" t="s">
        <v>12</v>
      </c>
      <c r="F6736">
        <v>278.2</v>
      </c>
      <c r="G6736" s="140" t="s">
        <v>462</v>
      </c>
      <c r="H6736">
        <v>0</v>
      </c>
      <c r="I6736" s="140" t="s">
        <v>62</v>
      </c>
    </row>
    <row r="6737" spans="1:9" hidden="1" x14ac:dyDescent="0.25">
      <c r="A6737">
        <v>1994</v>
      </c>
      <c r="B6737" s="140" t="s">
        <v>72</v>
      </c>
      <c r="C6737" s="140" t="s">
        <v>242</v>
      </c>
      <c r="D6737" s="140" t="s">
        <v>34</v>
      </c>
      <c r="E6737" s="140" t="s">
        <v>12</v>
      </c>
      <c r="F6737">
        <v>259.5</v>
      </c>
      <c r="G6737" s="140" t="s">
        <v>462</v>
      </c>
      <c r="H6737">
        <v>0</v>
      </c>
      <c r="I6737" s="140" t="s">
        <v>62</v>
      </c>
    </row>
    <row r="6738" spans="1:9" hidden="1" x14ac:dyDescent="0.25">
      <c r="A6738">
        <v>1995</v>
      </c>
      <c r="B6738" s="140" t="s">
        <v>72</v>
      </c>
      <c r="C6738" s="140" t="s">
        <v>242</v>
      </c>
      <c r="D6738" s="140" t="s">
        <v>34</v>
      </c>
      <c r="E6738" s="140" t="s">
        <v>12</v>
      </c>
      <c r="F6738">
        <v>258.60000000000002</v>
      </c>
      <c r="G6738" s="140" t="s">
        <v>462</v>
      </c>
      <c r="H6738">
        <v>0</v>
      </c>
      <c r="I6738" s="140" t="s">
        <v>62</v>
      </c>
    </row>
    <row r="6739" spans="1:9" hidden="1" x14ac:dyDescent="0.25">
      <c r="A6739">
        <v>1996</v>
      </c>
      <c r="B6739" s="140" t="s">
        <v>72</v>
      </c>
      <c r="C6739" s="140" t="s">
        <v>242</v>
      </c>
      <c r="D6739" s="140" t="s">
        <v>34</v>
      </c>
      <c r="E6739" s="140" t="s">
        <v>12</v>
      </c>
      <c r="F6739">
        <v>271.39999999999998</v>
      </c>
      <c r="G6739" s="140" t="s">
        <v>462</v>
      </c>
      <c r="H6739">
        <v>0</v>
      </c>
      <c r="I6739" s="140" t="s">
        <v>62</v>
      </c>
    </row>
    <row r="6740" spans="1:9" hidden="1" x14ac:dyDescent="0.25">
      <c r="A6740">
        <v>1997</v>
      </c>
      <c r="B6740" s="140" t="s">
        <v>72</v>
      </c>
      <c r="C6740" s="140" t="s">
        <v>242</v>
      </c>
      <c r="D6740" s="140" t="s">
        <v>34</v>
      </c>
      <c r="E6740" s="140" t="s">
        <v>12</v>
      </c>
      <c r="F6740">
        <v>304.39999999999998</v>
      </c>
      <c r="G6740" s="140" t="s">
        <v>462</v>
      </c>
      <c r="H6740">
        <v>0</v>
      </c>
      <c r="I6740" s="140" t="s">
        <v>62</v>
      </c>
    </row>
    <row r="6741" spans="1:9" hidden="1" x14ac:dyDescent="0.25">
      <c r="A6741">
        <v>1998</v>
      </c>
      <c r="B6741" s="140" t="s">
        <v>72</v>
      </c>
      <c r="C6741" s="140" t="s">
        <v>242</v>
      </c>
      <c r="D6741" s="140" t="s">
        <v>34</v>
      </c>
      <c r="E6741" s="140" t="s">
        <v>12</v>
      </c>
      <c r="F6741">
        <v>317.7</v>
      </c>
      <c r="G6741" s="140" t="s">
        <v>462</v>
      </c>
      <c r="H6741">
        <v>0</v>
      </c>
      <c r="I6741" s="140" t="s">
        <v>62</v>
      </c>
    </row>
    <row r="6742" spans="1:9" hidden="1" x14ac:dyDescent="0.25">
      <c r="A6742">
        <v>1999</v>
      </c>
      <c r="B6742" s="140" t="s">
        <v>72</v>
      </c>
      <c r="C6742" s="140" t="s">
        <v>242</v>
      </c>
      <c r="D6742" s="140" t="s">
        <v>34</v>
      </c>
      <c r="E6742" s="140" t="s">
        <v>12</v>
      </c>
      <c r="F6742">
        <v>334.5</v>
      </c>
      <c r="G6742" s="140" t="s">
        <v>462</v>
      </c>
      <c r="H6742">
        <v>0</v>
      </c>
      <c r="I6742" s="140" t="s">
        <v>62</v>
      </c>
    </row>
    <row r="6743" spans="1:9" hidden="1" x14ac:dyDescent="0.25">
      <c r="A6743">
        <v>2000</v>
      </c>
      <c r="B6743" s="140" t="s">
        <v>72</v>
      </c>
      <c r="C6743" s="140" t="s">
        <v>242</v>
      </c>
      <c r="D6743" s="140" t="s">
        <v>34</v>
      </c>
      <c r="E6743" s="140" t="s">
        <v>12</v>
      </c>
      <c r="F6743">
        <v>343.6</v>
      </c>
      <c r="G6743" s="140" t="s">
        <v>462</v>
      </c>
      <c r="H6743">
        <v>0</v>
      </c>
      <c r="I6743" s="140" t="s">
        <v>62</v>
      </c>
    </row>
    <row r="6744" spans="1:9" hidden="1" x14ac:dyDescent="0.25">
      <c r="A6744">
        <v>2001</v>
      </c>
      <c r="B6744" s="140" t="s">
        <v>72</v>
      </c>
      <c r="C6744" s="140" t="s">
        <v>242</v>
      </c>
      <c r="D6744" s="140" t="s">
        <v>34</v>
      </c>
      <c r="E6744" s="140" t="s">
        <v>12</v>
      </c>
      <c r="F6744">
        <v>337.2</v>
      </c>
      <c r="G6744" s="140" t="s">
        <v>462</v>
      </c>
      <c r="H6744">
        <v>0</v>
      </c>
      <c r="I6744" s="140" t="s">
        <v>62</v>
      </c>
    </row>
    <row r="6745" spans="1:9" hidden="1" x14ac:dyDescent="0.25">
      <c r="A6745">
        <v>2002</v>
      </c>
      <c r="B6745" s="140" t="s">
        <v>72</v>
      </c>
      <c r="C6745" s="140" t="s">
        <v>242</v>
      </c>
      <c r="D6745" s="140" t="s">
        <v>34</v>
      </c>
      <c r="E6745" s="140" t="s">
        <v>12</v>
      </c>
      <c r="F6745">
        <v>339.2</v>
      </c>
      <c r="G6745" s="140" t="s">
        <v>462</v>
      </c>
      <c r="H6745">
        <v>0</v>
      </c>
      <c r="I6745" s="140" t="s">
        <v>62</v>
      </c>
    </row>
    <row r="6746" spans="1:9" hidden="1" x14ac:dyDescent="0.25">
      <c r="A6746">
        <v>2003</v>
      </c>
      <c r="B6746" s="140" t="s">
        <v>72</v>
      </c>
      <c r="C6746" s="140" t="s">
        <v>242</v>
      </c>
      <c r="D6746" s="140" t="s">
        <v>34</v>
      </c>
      <c r="E6746" s="140" t="s">
        <v>12</v>
      </c>
      <c r="F6746">
        <v>339.7</v>
      </c>
      <c r="G6746" s="140" t="s">
        <v>462</v>
      </c>
      <c r="H6746">
        <v>0</v>
      </c>
      <c r="I6746" s="140" t="s">
        <v>62</v>
      </c>
    </row>
    <row r="6747" spans="1:9" hidden="1" x14ac:dyDescent="0.25">
      <c r="A6747">
        <v>2004</v>
      </c>
      <c r="B6747" s="140" t="s">
        <v>72</v>
      </c>
      <c r="C6747" s="140" t="s">
        <v>242</v>
      </c>
      <c r="D6747" s="140" t="s">
        <v>34</v>
      </c>
      <c r="E6747" s="140" t="s">
        <v>12</v>
      </c>
      <c r="F6747">
        <v>348.1</v>
      </c>
      <c r="G6747" s="140" t="s">
        <v>462</v>
      </c>
      <c r="H6747">
        <v>0</v>
      </c>
      <c r="I6747" s="140" t="s">
        <v>62</v>
      </c>
    </row>
    <row r="6748" spans="1:9" hidden="1" x14ac:dyDescent="0.25">
      <c r="A6748">
        <v>2005</v>
      </c>
      <c r="B6748" s="140" t="s">
        <v>72</v>
      </c>
      <c r="C6748" s="140" t="s">
        <v>242</v>
      </c>
      <c r="D6748" s="140" t="s">
        <v>34</v>
      </c>
      <c r="E6748" s="140" t="s">
        <v>12</v>
      </c>
      <c r="F6748">
        <v>365.6</v>
      </c>
      <c r="G6748" s="140" t="s">
        <v>462</v>
      </c>
      <c r="H6748">
        <v>0</v>
      </c>
      <c r="I6748" s="140" t="s">
        <v>62</v>
      </c>
    </row>
    <row r="6749" spans="1:9" hidden="1" x14ac:dyDescent="0.25">
      <c r="A6749">
        <v>2006</v>
      </c>
      <c r="B6749" s="140" t="s">
        <v>72</v>
      </c>
      <c r="C6749" s="140" t="s">
        <v>242</v>
      </c>
      <c r="D6749" s="140" t="s">
        <v>34</v>
      </c>
      <c r="E6749" s="140" t="s">
        <v>12</v>
      </c>
      <c r="F6749">
        <v>381.3</v>
      </c>
      <c r="G6749" s="140" t="s">
        <v>462</v>
      </c>
      <c r="H6749">
        <v>0</v>
      </c>
      <c r="I6749" s="140" t="s">
        <v>62</v>
      </c>
    </row>
    <row r="6750" spans="1:9" hidden="1" x14ac:dyDescent="0.25">
      <c r="A6750">
        <v>2007</v>
      </c>
      <c r="B6750" s="140" t="s">
        <v>72</v>
      </c>
      <c r="C6750" s="140" t="s">
        <v>242</v>
      </c>
      <c r="D6750" s="140" t="s">
        <v>34</v>
      </c>
      <c r="E6750" s="140" t="s">
        <v>12</v>
      </c>
      <c r="F6750">
        <v>401.8</v>
      </c>
      <c r="G6750" s="140" t="s">
        <v>462</v>
      </c>
      <c r="H6750">
        <v>0</v>
      </c>
      <c r="I6750" s="140" t="s">
        <v>62</v>
      </c>
    </row>
    <row r="6751" spans="1:9" hidden="1" x14ac:dyDescent="0.25">
      <c r="A6751">
        <v>2008</v>
      </c>
      <c r="B6751" s="140" t="s">
        <v>72</v>
      </c>
      <c r="C6751" s="140" t="s">
        <v>242</v>
      </c>
      <c r="D6751" s="140" t="s">
        <v>34</v>
      </c>
      <c r="E6751" s="140" t="s">
        <v>12</v>
      </c>
      <c r="F6751">
        <v>407.9</v>
      </c>
      <c r="G6751" s="140" t="s">
        <v>462</v>
      </c>
      <c r="H6751">
        <v>0</v>
      </c>
      <c r="I6751" s="140" t="s">
        <v>62</v>
      </c>
    </row>
    <row r="6752" spans="1:9" hidden="1" x14ac:dyDescent="0.25">
      <c r="A6752">
        <v>2009</v>
      </c>
      <c r="B6752" s="140" t="s">
        <v>72</v>
      </c>
      <c r="C6752" s="140" t="s">
        <v>242</v>
      </c>
      <c r="D6752" s="140" t="s">
        <v>34</v>
      </c>
      <c r="E6752" s="140" t="s">
        <v>12</v>
      </c>
      <c r="F6752">
        <v>371.6</v>
      </c>
      <c r="G6752" s="140" t="s">
        <v>462</v>
      </c>
      <c r="H6752">
        <v>0</v>
      </c>
      <c r="I6752" s="140" t="s">
        <v>62</v>
      </c>
    </row>
    <row r="6753" spans="1:9" hidden="1" x14ac:dyDescent="0.25">
      <c r="A6753">
        <v>2010</v>
      </c>
      <c r="B6753" s="140" t="s">
        <v>72</v>
      </c>
      <c r="C6753" s="140" t="s">
        <v>242</v>
      </c>
      <c r="D6753" s="140" t="s">
        <v>34</v>
      </c>
      <c r="E6753" s="140" t="s">
        <v>12</v>
      </c>
      <c r="F6753">
        <v>383.7</v>
      </c>
      <c r="G6753" s="140" t="s">
        <v>462</v>
      </c>
      <c r="H6753">
        <v>0</v>
      </c>
      <c r="I6753" s="140" t="s">
        <v>62</v>
      </c>
    </row>
    <row r="6754" spans="1:9" hidden="1" x14ac:dyDescent="0.25">
      <c r="A6754">
        <v>2011</v>
      </c>
      <c r="B6754" s="140" t="s">
        <v>72</v>
      </c>
      <c r="C6754" s="140" t="s">
        <v>242</v>
      </c>
      <c r="D6754" s="140" t="s">
        <v>34</v>
      </c>
      <c r="E6754" s="140" t="s">
        <v>12</v>
      </c>
      <c r="F6754">
        <v>391.3</v>
      </c>
      <c r="G6754" s="140" t="s">
        <v>462</v>
      </c>
      <c r="H6754">
        <v>0</v>
      </c>
      <c r="I6754" s="140" t="s">
        <v>62</v>
      </c>
    </row>
    <row r="6755" spans="1:9" hidden="1" x14ac:dyDescent="0.25">
      <c r="A6755">
        <v>2012</v>
      </c>
      <c r="B6755" s="140" t="s">
        <v>72</v>
      </c>
      <c r="C6755" s="140" t="s">
        <v>242</v>
      </c>
      <c r="D6755" s="140" t="s">
        <v>34</v>
      </c>
      <c r="E6755" s="140" t="s">
        <v>12</v>
      </c>
      <c r="F6755">
        <v>386</v>
      </c>
      <c r="G6755" s="140" t="s">
        <v>462</v>
      </c>
      <c r="H6755">
        <v>0</v>
      </c>
      <c r="I6755" s="140" t="s">
        <v>62</v>
      </c>
    </row>
    <row r="6756" spans="1:9" hidden="1" x14ac:dyDescent="0.25">
      <c r="A6756">
        <v>2013</v>
      </c>
      <c r="B6756" s="140" t="s">
        <v>72</v>
      </c>
      <c r="C6756" s="140" t="s">
        <v>242</v>
      </c>
      <c r="D6756" s="140" t="s">
        <v>34</v>
      </c>
      <c r="E6756" s="140" t="s">
        <v>12</v>
      </c>
      <c r="F6756">
        <v>375.8</v>
      </c>
      <c r="G6756" s="140" t="s">
        <v>462</v>
      </c>
      <c r="H6756">
        <v>0</v>
      </c>
      <c r="I6756" s="140" t="s">
        <v>62</v>
      </c>
    </row>
    <row r="6757" spans="1:9" hidden="1" x14ac:dyDescent="0.25">
      <c r="A6757">
        <v>2014</v>
      </c>
      <c r="B6757" s="140" t="s">
        <v>72</v>
      </c>
      <c r="C6757" s="140" t="s">
        <v>242</v>
      </c>
      <c r="D6757" s="140" t="s">
        <v>34</v>
      </c>
      <c r="E6757" s="140" t="s">
        <v>12</v>
      </c>
      <c r="F6757">
        <v>368.6</v>
      </c>
      <c r="G6757" s="140" t="s">
        <v>462</v>
      </c>
      <c r="H6757">
        <v>0</v>
      </c>
      <c r="I6757" s="140" t="s">
        <v>62</v>
      </c>
    </row>
    <row r="6758" spans="1:9" hidden="1" x14ac:dyDescent="0.25">
      <c r="A6758">
        <v>2015</v>
      </c>
      <c r="B6758" s="140" t="s">
        <v>72</v>
      </c>
      <c r="C6758" s="140" t="s">
        <v>242</v>
      </c>
      <c r="D6758" s="140" t="s">
        <v>34</v>
      </c>
      <c r="E6758" s="140" t="s">
        <v>12</v>
      </c>
      <c r="F6758">
        <v>380.3</v>
      </c>
      <c r="G6758" s="140" t="s">
        <v>462</v>
      </c>
      <c r="H6758">
        <v>0</v>
      </c>
      <c r="I6758" s="140" t="s">
        <v>62</v>
      </c>
    </row>
    <row r="6759" spans="1:9" hidden="1" x14ac:dyDescent="0.25">
      <c r="A6759">
        <v>2016</v>
      </c>
      <c r="B6759" s="140" t="s">
        <v>72</v>
      </c>
      <c r="C6759" s="140" t="s">
        <v>242</v>
      </c>
      <c r="D6759" s="140" t="s">
        <v>34</v>
      </c>
      <c r="E6759" s="140" t="s">
        <v>12</v>
      </c>
      <c r="F6759">
        <v>395.3</v>
      </c>
      <c r="G6759" s="140" t="s">
        <v>462</v>
      </c>
      <c r="H6759">
        <v>0</v>
      </c>
      <c r="I6759" s="140" t="s">
        <v>62</v>
      </c>
    </row>
    <row r="6760" spans="1:9" hidden="1" x14ac:dyDescent="0.25">
      <c r="A6760">
        <v>2017</v>
      </c>
      <c r="B6760" s="140" t="s">
        <v>72</v>
      </c>
      <c r="C6760" s="140" t="s">
        <v>242</v>
      </c>
      <c r="D6760" s="140" t="s">
        <v>34</v>
      </c>
      <c r="E6760" s="140" t="s">
        <v>12</v>
      </c>
      <c r="F6760">
        <v>396.1</v>
      </c>
      <c r="G6760" s="140" t="s">
        <v>462</v>
      </c>
      <c r="H6760">
        <v>0</v>
      </c>
      <c r="I6760" s="140" t="s">
        <v>62</v>
      </c>
    </row>
    <row r="6761" spans="1:9" hidden="1" x14ac:dyDescent="0.25">
      <c r="A6761">
        <v>2018</v>
      </c>
      <c r="B6761" s="140" t="s">
        <v>72</v>
      </c>
      <c r="C6761" s="140" t="s">
        <v>242</v>
      </c>
      <c r="D6761" s="140" t="s">
        <v>34</v>
      </c>
      <c r="E6761" s="140" t="s">
        <v>12</v>
      </c>
      <c r="F6761">
        <v>410.3</v>
      </c>
      <c r="G6761" s="140" t="s">
        <v>462</v>
      </c>
      <c r="H6761">
        <v>0</v>
      </c>
      <c r="I6761" s="140" t="s">
        <v>62</v>
      </c>
    </row>
    <row r="6762" spans="1:9" hidden="1" x14ac:dyDescent="0.25">
      <c r="A6762">
        <v>2019</v>
      </c>
      <c r="B6762" s="140" t="s">
        <v>72</v>
      </c>
      <c r="C6762" s="140" t="s">
        <v>242</v>
      </c>
      <c r="D6762" s="140" t="s">
        <v>34</v>
      </c>
      <c r="E6762" s="140" t="s">
        <v>12</v>
      </c>
      <c r="F6762">
        <v>399.6</v>
      </c>
      <c r="G6762" s="140" t="s">
        <v>462</v>
      </c>
      <c r="H6762">
        <v>0</v>
      </c>
      <c r="I6762" s="140" t="s">
        <v>62</v>
      </c>
    </row>
    <row r="6763" spans="1:9" hidden="1" x14ac:dyDescent="0.25">
      <c r="A6763">
        <v>2020</v>
      </c>
      <c r="B6763" s="140" t="s">
        <v>72</v>
      </c>
      <c r="C6763" s="140" t="s">
        <v>242</v>
      </c>
      <c r="D6763" s="140" t="s">
        <v>34</v>
      </c>
      <c r="E6763" s="140" t="s">
        <v>12</v>
      </c>
      <c r="F6763">
        <v>390</v>
      </c>
      <c r="G6763" s="140" t="s">
        <v>462</v>
      </c>
      <c r="H6763">
        <v>0</v>
      </c>
      <c r="I6763" s="140" t="s">
        <v>62</v>
      </c>
    </row>
    <row r="6764" spans="1:9" hidden="1" x14ac:dyDescent="0.25">
      <c r="A6764">
        <v>2021</v>
      </c>
      <c r="B6764" s="140" t="s">
        <v>72</v>
      </c>
      <c r="C6764" s="140" t="s">
        <v>242</v>
      </c>
      <c r="D6764" s="140" t="s">
        <v>34</v>
      </c>
      <c r="E6764" s="140" t="s">
        <v>12</v>
      </c>
      <c r="F6764">
        <v>397.4</v>
      </c>
      <c r="G6764" s="140" t="s">
        <v>462</v>
      </c>
      <c r="H6764">
        <v>0</v>
      </c>
      <c r="I6764" s="140" t="s">
        <v>62</v>
      </c>
    </row>
    <row r="6765" spans="1:9" hidden="1" x14ac:dyDescent="0.25">
      <c r="A6765">
        <v>2022</v>
      </c>
      <c r="B6765" s="140" t="s">
        <v>72</v>
      </c>
      <c r="C6765" s="140" t="s">
        <v>242</v>
      </c>
      <c r="D6765" s="140" t="s">
        <v>34</v>
      </c>
      <c r="E6765" s="140" t="s">
        <v>12</v>
      </c>
      <c r="F6765">
        <v>397.5</v>
      </c>
      <c r="G6765" s="140" t="s">
        <v>462</v>
      </c>
      <c r="H6765">
        <v>0</v>
      </c>
      <c r="I6765" s="140" t="s">
        <v>62</v>
      </c>
    </row>
    <row r="6766" spans="1:9" hidden="1" x14ac:dyDescent="0.25">
      <c r="A6766">
        <v>2023</v>
      </c>
      <c r="B6766" s="140" t="s">
        <v>72</v>
      </c>
      <c r="C6766" s="140" t="s">
        <v>242</v>
      </c>
      <c r="D6766" s="140" t="s">
        <v>34</v>
      </c>
      <c r="E6766" s="140" t="s">
        <v>12</v>
      </c>
      <c r="F6766">
        <v>373.1</v>
      </c>
      <c r="G6766" s="140" t="s">
        <v>462</v>
      </c>
      <c r="H6766">
        <v>0</v>
      </c>
      <c r="I6766" s="140" t="s">
        <v>62</v>
      </c>
    </row>
    <row r="6767" spans="1:9" hidden="1" x14ac:dyDescent="0.25">
      <c r="A6767">
        <v>2024</v>
      </c>
      <c r="B6767" s="140" t="s">
        <v>72</v>
      </c>
      <c r="C6767" s="140" t="s">
        <v>242</v>
      </c>
      <c r="D6767" s="140" t="s">
        <v>34</v>
      </c>
      <c r="E6767" s="140" t="s">
        <v>12</v>
      </c>
      <c r="F6767">
        <v>346.3</v>
      </c>
      <c r="G6767" s="140" t="s">
        <v>462</v>
      </c>
      <c r="H6767">
        <v>0</v>
      </c>
      <c r="I6767" s="140" t="s">
        <v>62</v>
      </c>
    </row>
    <row r="6768" spans="1:9" hidden="1" x14ac:dyDescent="0.25">
      <c r="A6768">
        <v>2025</v>
      </c>
      <c r="B6768" s="140" t="s">
        <v>72</v>
      </c>
      <c r="C6768" s="140" t="s">
        <v>242</v>
      </c>
      <c r="D6768" s="140" t="s">
        <v>34</v>
      </c>
      <c r="E6768" s="140" t="s">
        <v>12</v>
      </c>
      <c r="F6768">
        <v>338.9</v>
      </c>
      <c r="G6768" s="140" t="s">
        <v>462</v>
      </c>
      <c r="H6768">
        <v>0</v>
      </c>
      <c r="I6768" s="140" t="s">
        <v>62</v>
      </c>
    </row>
    <row r="6769" spans="1:9" hidden="1" x14ac:dyDescent="0.25">
      <c r="A6769">
        <v>2026</v>
      </c>
      <c r="B6769" s="140" t="s">
        <v>72</v>
      </c>
      <c r="C6769" s="140" t="s">
        <v>242</v>
      </c>
      <c r="D6769" s="140" t="s">
        <v>34</v>
      </c>
      <c r="E6769" s="140" t="s">
        <v>12</v>
      </c>
      <c r="F6769">
        <v>332.12200000000001</v>
      </c>
      <c r="G6769" s="140" t="s">
        <v>462</v>
      </c>
      <c r="H6769">
        <v>0</v>
      </c>
      <c r="I6769" s="140" t="s">
        <v>62</v>
      </c>
    </row>
    <row r="6770" spans="1:9" hidden="1" x14ac:dyDescent="0.25">
      <c r="A6770">
        <v>2027</v>
      </c>
      <c r="B6770" s="140" t="s">
        <v>72</v>
      </c>
      <c r="C6770" s="140" t="s">
        <v>242</v>
      </c>
      <c r="D6770" s="140" t="s">
        <v>34</v>
      </c>
      <c r="E6770" s="140" t="s">
        <v>12</v>
      </c>
      <c r="F6770">
        <v>342.08566000000002</v>
      </c>
      <c r="G6770" s="140" t="s">
        <v>462</v>
      </c>
      <c r="H6770">
        <v>0</v>
      </c>
      <c r="I6770" s="140" t="s">
        <v>62</v>
      </c>
    </row>
    <row r="6771" spans="1:9" hidden="1" x14ac:dyDescent="0.25">
      <c r="A6771">
        <v>2028</v>
      </c>
      <c r="B6771" s="140" t="s">
        <v>72</v>
      </c>
      <c r="C6771" s="140" t="s">
        <v>242</v>
      </c>
      <c r="D6771" s="140" t="s">
        <v>34</v>
      </c>
      <c r="E6771" s="140" t="s">
        <v>12</v>
      </c>
      <c r="F6771">
        <v>348.92737319999998</v>
      </c>
      <c r="G6771" s="140" t="s">
        <v>462</v>
      </c>
      <c r="H6771">
        <v>0</v>
      </c>
      <c r="I6771" s="140" t="s">
        <v>62</v>
      </c>
    </row>
    <row r="6772" spans="1:9" hidden="1" x14ac:dyDescent="0.25">
      <c r="A6772">
        <v>1990</v>
      </c>
      <c r="B6772" s="140" t="s">
        <v>72</v>
      </c>
      <c r="C6772" s="140" t="s">
        <v>242</v>
      </c>
      <c r="D6772" s="140" t="s">
        <v>64</v>
      </c>
      <c r="E6772" s="140" t="s">
        <v>12</v>
      </c>
      <c r="F6772">
        <v>2559.3000000000002</v>
      </c>
      <c r="G6772" s="140" t="s">
        <v>463</v>
      </c>
      <c r="H6772">
        <v>0</v>
      </c>
      <c r="I6772" s="140" t="s">
        <v>62</v>
      </c>
    </row>
    <row r="6773" spans="1:9" hidden="1" x14ac:dyDescent="0.25">
      <c r="A6773">
        <v>1991</v>
      </c>
      <c r="B6773" s="140" t="s">
        <v>72</v>
      </c>
      <c r="C6773" s="140" t="s">
        <v>242</v>
      </c>
      <c r="D6773" s="140" t="s">
        <v>64</v>
      </c>
      <c r="E6773" s="140" t="s">
        <v>12</v>
      </c>
      <c r="F6773">
        <v>2456</v>
      </c>
      <c r="G6773" s="140" t="s">
        <v>463</v>
      </c>
      <c r="H6773">
        <v>0</v>
      </c>
      <c r="I6773" s="140" t="s">
        <v>62</v>
      </c>
    </row>
    <row r="6774" spans="1:9" hidden="1" x14ac:dyDescent="0.25">
      <c r="A6774">
        <v>1992</v>
      </c>
      <c r="B6774" s="140" t="s">
        <v>72</v>
      </c>
      <c r="C6774" s="140" t="s">
        <v>242</v>
      </c>
      <c r="D6774" s="140" t="s">
        <v>64</v>
      </c>
      <c r="E6774" s="140" t="s">
        <v>12</v>
      </c>
      <c r="F6774">
        <v>2328.8000000000002</v>
      </c>
      <c r="G6774" s="140" t="s">
        <v>463</v>
      </c>
      <c r="H6774">
        <v>0</v>
      </c>
      <c r="I6774" s="140" t="s">
        <v>62</v>
      </c>
    </row>
    <row r="6775" spans="1:9" hidden="1" x14ac:dyDescent="0.25">
      <c r="A6775">
        <v>1993</v>
      </c>
      <c r="B6775" s="140" t="s">
        <v>72</v>
      </c>
      <c r="C6775" s="140" t="s">
        <v>242</v>
      </c>
      <c r="D6775" s="140" t="s">
        <v>64</v>
      </c>
      <c r="E6775" s="140" t="s">
        <v>12</v>
      </c>
      <c r="F6775">
        <v>2211.5</v>
      </c>
      <c r="G6775" s="140" t="s">
        <v>463</v>
      </c>
      <c r="H6775">
        <v>0</v>
      </c>
      <c r="I6775" s="140" t="s">
        <v>62</v>
      </c>
    </row>
    <row r="6776" spans="1:9" hidden="1" x14ac:dyDescent="0.25">
      <c r="A6776">
        <v>1994</v>
      </c>
      <c r="B6776" s="140" t="s">
        <v>72</v>
      </c>
      <c r="C6776" s="140" t="s">
        <v>242</v>
      </c>
      <c r="D6776" s="140" t="s">
        <v>64</v>
      </c>
      <c r="E6776" s="140" t="s">
        <v>12</v>
      </c>
      <c r="F6776">
        <v>2215.9</v>
      </c>
      <c r="G6776" s="140" t="s">
        <v>463</v>
      </c>
      <c r="H6776">
        <v>0</v>
      </c>
      <c r="I6776" s="140" t="s">
        <v>62</v>
      </c>
    </row>
    <row r="6777" spans="1:9" hidden="1" x14ac:dyDescent="0.25">
      <c r="A6777">
        <v>1995</v>
      </c>
      <c r="B6777" s="140" t="s">
        <v>72</v>
      </c>
      <c r="C6777" s="140" t="s">
        <v>242</v>
      </c>
      <c r="D6777" s="140" t="s">
        <v>64</v>
      </c>
      <c r="E6777" s="140" t="s">
        <v>12</v>
      </c>
      <c r="F6777">
        <v>2277</v>
      </c>
      <c r="G6777" s="140" t="s">
        <v>463</v>
      </c>
      <c r="H6777">
        <v>0</v>
      </c>
      <c r="I6777" s="140" t="s">
        <v>62</v>
      </c>
    </row>
    <row r="6778" spans="1:9" hidden="1" x14ac:dyDescent="0.25">
      <c r="A6778">
        <v>1996</v>
      </c>
      <c r="B6778" s="140" t="s">
        <v>72</v>
      </c>
      <c r="C6778" s="140" t="s">
        <v>242</v>
      </c>
      <c r="D6778" s="140" t="s">
        <v>64</v>
      </c>
      <c r="E6778" s="140" t="s">
        <v>12</v>
      </c>
      <c r="F6778">
        <v>2330.3000000000002</v>
      </c>
      <c r="G6778" s="140" t="s">
        <v>463</v>
      </c>
      <c r="H6778">
        <v>0</v>
      </c>
      <c r="I6778" s="140" t="s">
        <v>62</v>
      </c>
    </row>
    <row r="6779" spans="1:9" hidden="1" x14ac:dyDescent="0.25">
      <c r="A6779">
        <v>1997</v>
      </c>
      <c r="B6779" s="140" t="s">
        <v>72</v>
      </c>
      <c r="C6779" s="140" t="s">
        <v>242</v>
      </c>
      <c r="D6779" s="140" t="s">
        <v>64</v>
      </c>
      <c r="E6779" s="140" t="s">
        <v>12</v>
      </c>
      <c r="F6779">
        <v>2391.4</v>
      </c>
      <c r="G6779" s="140" t="s">
        <v>463</v>
      </c>
      <c r="H6779">
        <v>0</v>
      </c>
      <c r="I6779" s="140" t="s">
        <v>62</v>
      </c>
    </row>
    <row r="6780" spans="1:9" hidden="1" x14ac:dyDescent="0.25">
      <c r="A6780">
        <v>1998</v>
      </c>
      <c r="B6780" s="140" t="s">
        <v>72</v>
      </c>
      <c r="C6780" s="140" t="s">
        <v>242</v>
      </c>
      <c r="D6780" s="140" t="s">
        <v>64</v>
      </c>
      <c r="E6780" s="140" t="s">
        <v>12</v>
      </c>
      <c r="F6780">
        <v>2426.1</v>
      </c>
      <c r="G6780" s="140" t="s">
        <v>463</v>
      </c>
      <c r="H6780">
        <v>0</v>
      </c>
      <c r="I6780" s="140" t="s">
        <v>62</v>
      </c>
    </row>
    <row r="6781" spans="1:9" hidden="1" x14ac:dyDescent="0.25">
      <c r="A6781">
        <v>1999</v>
      </c>
      <c r="B6781" s="140" t="s">
        <v>72</v>
      </c>
      <c r="C6781" s="140" t="s">
        <v>242</v>
      </c>
      <c r="D6781" s="140" t="s">
        <v>64</v>
      </c>
      <c r="E6781" s="140" t="s">
        <v>12</v>
      </c>
      <c r="F6781">
        <v>2491.9</v>
      </c>
      <c r="G6781" s="140" t="s">
        <v>463</v>
      </c>
      <c r="H6781">
        <v>0</v>
      </c>
      <c r="I6781" s="140" t="s">
        <v>62</v>
      </c>
    </row>
    <row r="6782" spans="1:9" hidden="1" x14ac:dyDescent="0.25">
      <c r="A6782">
        <v>2000</v>
      </c>
      <c r="B6782" s="140" t="s">
        <v>72</v>
      </c>
      <c r="C6782" s="140" t="s">
        <v>242</v>
      </c>
      <c r="D6782" s="140" t="s">
        <v>64</v>
      </c>
      <c r="E6782" s="140" t="s">
        <v>12</v>
      </c>
      <c r="F6782">
        <v>2532</v>
      </c>
      <c r="G6782" s="140" t="s">
        <v>463</v>
      </c>
      <c r="H6782">
        <v>0</v>
      </c>
      <c r="I6782" s="140" t="s">
        <v>62</v>
      </c>
    </row>
    <row r="6783" spans="1:9" hidden="1" x14ac:dyDescent="0.25">
      <c r="A6783">
        <v>2001</v>
      </c>
      <c r="B6783" s="140" t="s">
        <v>72</v>
      </c>
      <c r="C6783" s="140" t="s">
        <v>242</v>
      </c>
      <c r="D6783" s="140" t="s">
        <v>64</v>
      </c>
      <c r="E6783" s="140" t="s">
        <v>12</v>
      </c>
      <c r="F6783">
        <v>2565</v>
      </c>
      <c r="G6783" s="140" t="s">
        <v>463</v>
      </c>
      <c r="H6783">
        <v>0</v>
      </c>
      <c r="I6783" s="140" t="s">
        <v>62</v>
      </c>
    </row>
    <row r="6784" spans="1:9" hidden="1" x14ac:dyDescent="0.25">
      <c r="A6784">
        <v>2002</v>
      </c>
      <c r="B6784" s="140" t="s">
        <v>72</v>
      </c>
      <c r="C6784" s="140" t="s">
        <v>242</v>
      </c>
      <c r="D6784" s="140" t="s">
        <v>64</v>
      </c>
      <c r="E6784" s="140" t="s">
        <v>12</v>
      </c>
      <c r="F6784">
        <v>2618.1999999999998</v>
      </c>
      <c r="G6784" s="140" t="s">
        <v>463</v>
      </c>
      <c r="H6784">
        <v>0</v>
      </c>
      <c r="I6784" s="140" t="s">
        <v>62</v>
      </c>
    </row>
    <row r="6785" spans="1:9" hidden="1" x14ac:dyDescent="0.25">
      <c r="A6785">
        <v>2003</v>
      </c>
      <c r="B6785" s="140" t="s">
        <v>72</v>
      </c>
      <c r="C6785" s="140" t="s">
        <v>242</v>
      </c>
      <c r="D6785" s="140" t="s">
        <v>64</v>
      </c>
      <c r="E6785" s="140" t="s">
        <v>12</v>
      </c>
      <c r="F6785">
        <v>2636.9</v>
      </c>
      <c r="G6785" s="140" t="s">
        <v>463</v>
      </c>
      <c r="H6785">
        <v>0</v>
      </c>
      <c r="I6785" s="140" t="s">
        <v>62</v>
      </c>
    </row>
    <row r="6786" spans="1:9" hidden="1" x14ac:dyDescent="0.25">
      <c r="A6786">
        <v>2004</v>
      </c>
      <c r="B6786" s="140" t="s">
        <v>72</v>
      </c>
      <c r="C6786" s="140" t="s">
        <v>242</v>
      </c>
      <c r="D6786" s="140" t="s">
        <v>64</v>
      </c>
      <c r="E6786" s="140" t="s">
        <v>12</v>
      </c>
      <c r="F6786">
        <v>2672.6</v>
      </c>
      <c r="G6786" s="140" t="s">
        <v>463</v>
      </c>
      <c r="H6786">
        <v>0</v>
      </c>
      <c r="I6786" s="140" t="s">
        <v>62</v>
      </c>
    </row>
    <row r="6787" spans="1:9" hidden="1" x14ac:dyDescent="0.25">
      <c r="A6787">
        <v>2005</v>
      </c>
      <c r="B6787" s="140" t="s">
        <v>72</v>
      </c>
      <c r="C6787" s="140" t="s">
        <v>242</v>
      </c>
      <c r="D6787" s="140" t="s">
        <v>64</v>
      </c>
      <c r="E6787" s="140" t="s">
        <v>12</v>
      </c>
      <c r="F6787">
        <v>2702.2</v>
      </c>
      <c r="G6787" s="140" t="s">
        <v>463</v>
      </c>
      <c r="H6787">
        <v>0</v>
      </c>
      <c r="I6787" s="140" t="s">
        <v>62</v>
      </c>
    </row>
    <row r="6788" spans="1:9" hidden="1" x14ac:dyDescent="0.25">
      <c r="A6788">
        <v>2006</v>
      </c>
      <c r="B6788" s="140" t="s">
        <v>72</v>
      </c>
      <c r="C6788" s="140" t="s">
        <v>242</v>
      </c>
      <c r="D6788" s="140" t="s">
        <v>64</v>
      </c>
      <c r="E6788" s="140" t="s">
        <v>12</v>
      </c>
      <c r="F6788">
        <v>2743.2</v>
      </c>
      <c r="G6788" s="140" t="s">
        <v>463</v>
      </c>
      <c r="H6788">
        <v>0</v>
      </c>
      <c r="I6788" s="140" t="s">
        <v>62</v>
      </c>
    </row>
    <row r="6789" spans="1:9" hidden="1" x14ac:dyDescent="0.25">
      <c r="A6789">
        <v>2007</v>
      </c>
      <c r="B6789" s="140" t="s">
        <v>72</v>
      </c>
      <c r="C6789" s="140" t="s">
        <v>242</v>
      </c>
      <c r="D6789" s="140" t="s">
        <v>64</v>
      </c>
      <c r="E6789" s="140" t="s">
        <v>12</v>
      </c>
      <c r="F6789">
        <v>2802.5</v>
      </c>
      <c r="G6789" s="140" t="s">
        <v>463</v>
      </c>
      <c r="H6789">
        <v>0</v>
      </c>
      <c r="I6789" s="140" t="s">
        <v>62</v>
      </c>
    </row>
    <row r="6790" spans="1:9" hidden="1" x14ac:dyDescent="0.25">
      <c r="A6790">
        <v>2008</v>
      </c>
      <c r="B6790" s="140" t="s">
        <v>72</v>
      </c>
      <c r="C6790" s="140" t="s">
        <v>242</v>
      </c>
      <c r="D6790" s="140" t="s">
        <v>64</v>
      </c>
      <c r="E6790" s="140" t="s">
        <v>12</v>
      </c>
      <c r="F6790">
        <v>2881.2</v>
      </c>
      <c r="G6790" s="140" t="s">
        <v>463</v>
      </c>
      <c r="H6790">
        <v>0</v>
      </c>
      <c r="I6790" s="140" t="s">
        <v>62</v>
      </c>
    </row>
    <row r="6791" spans="1:9" hidden="1" x14ac:dyDescent="0.25">
      <c r="A6791">
        <v>2009</v>
      </c>
      <c r="B6791" s="140" t="s">
        <v>72</v>
      </c>
      <c r="C6791" s="140" t="s">
        <v>242</v>
      </c>
      <c r="D6791" s="140" t="s">
        <v>64</v>
      </c>
      <c r="E6791" s="140" t="s">
        <v>12</v>
      </c>
      <c r="F6791">
        <v>2847.4</v>
      </c>
      <c r="G6791" s="140" t="s">
        <v>463</v>
      </c>
      <c r="H6791">
        <v>0</v>
      </c>
      <c r="I6791" s="140" t="s">
        <v>62</v>
      </c>
    </row>
    <row r="6792" spans="1:9" hidden="1" x14ac:dyDescent="0.25">
      <c r="A6792">
        <v>2010</v>
      </c>
      <c r="B6792" s="140" t="s">
        <v>72</v>
      </c>
      <c r="C6792" s="140" t="s">
        <v>242</v>
      </c>
      <c r="D6792" s="140" t="s">
        <v>64</v>
      </c>
      <c r="E6792" s="140" t="s">
        <v>12</v>
      </c>
      <c r="F6792">
        <v>2840.9</v>
      </c>
      <c r="G6792" s="140" t="s">
        <v>463</v>
      </c>
      <c r="H6792">
        <v>0</v>
      </c>
      <c r="I6792" s="140" t="s">
        <v>62</v>
      </c>
    </row>
    <row r="6793" spans="1:9" hidden="1" x14ac:dyDescent="0.25">
      <c r="A6793">
        <v>2011</v>
      </c>
      <c r="B6793" s="140" t="s">
        <v>72</v>
      </c>
      <c r="C6793" s="140" t="s">
        <v>242</v>
      </c>
      <c r="D6793" s="140" t="s">
        <v>64</v>
      </c>
      <c r="E6793" s="140" t="s">
        <v>12</v>
      </c>
      <c r="F6793">
        <v>2864.5</v>
      </c>
      <c r="G6793" s="140" t="s">
        <v>463</v>
      </c>
      <c r="H6793">
        <v>0</v>
      </c>
      <c r="I6793" s="140" t="s">
        <v>62</v>
      </c>
    </row>
    <row r="6794" spans="1:9" hidden="1" x14ac:dyDescent="0.25">
      <c r="A6794">
        <v>2012</v>
      </c>
      <c r="B6794" s="140" t="s">
        <v>72</v>
      </c>
      <c r="C6794" s="140" t="s">
        <v>242</v>
      </c>
      <c r="D6794" s="140" t="s">
        <v>64</v>
      </c>
      <c r="E6794" s="140" t="s">
        <v>12</v>
      </c>
      <c r="F6794">
        <v>2881.7</v>
      </c>
      <c r="G6794" s="140" t="s">
        <v>463</v>
      </c>
      <c r="H6794">
        <v>0</v>
      </c>
      <c r="I6794" s="140" t="s">
        <v>62</v>
      </c>
    </row>
    <row r="6795" spans="1:9" hidden="1" x14ac:dyDescent="0.25">
      <c r="A6795">
        <v>2013</v>
      </c>
      <c r="B6795" s="140" t="s">
        <v>72</v>
      </c>
      <c r="C6795" s="140" t="s">
        <v>242</v>
      </c>
      <c r="D6795" s="140" t="s">
        <v>64</v>
      </c>
      <c r="E6795" s="140" t="s">
        <v>12</v>
      </c>
      <c r="F6795">
        <v>2875.4</v>
      </c>
      <c r="G6795" s="140" t="s">
        <v>463</v>
      </c>
      <c r="H6795">
        <v>0</v>
      </c>
      <c r="I6795" s="140" t="s">
        <v>62</v>
      </c>
    </row>
    <row r="6796" spans="1:9" hidden="1" x14ac:dyDescent="0.25">
      <c r="A6796">
        <v>2014</v>
      </c>
      <c r="B6796" s="140" t="s">
        <v>72</v>
      </c>
      <c r="C6796" s="140" t="s">
        <v>242</v>
      </c>
      <c r="D6796" s="140" t="s">
        <v>64</v>
      </c>
      <c r="E6796" s="140" t="s">
        <v>12</v>
      </c>
      <c r="F6796">
        <v>2872.6</v>
      </c>
      <c r="G6796" s="140" t="s">
        <v>463</v>
      </c>
      <c r="H6796">
        <v>0</v>
      </c>
      <c r="I6796" s="140" t="s">
        <v>62</v>
      </c>
    </row>
    <row r="6797" spans="1:9" hidden="1" x14ac:dyDescent="0.25">
      <c r="A6797">
        <v>2015</v>
      </c>
      <c r="B6797" s="140" t="s">
        <v>72</v>
      </c>
      <c r="C6797" s="140" t="s">
        <v>242</v>
      </c>
      <c r="D6797" s="140" t="s">
        <v>64</v>
      </c>
      <c r="E6797" s="140" t="s">
        <v>12</v>
      </c>
      <c r="F6797">
        <v>2884.3</v>
      </c>
      <c r="G6797" s="140" t="s">
        <v>463</v>
      </c>
      <c r="H6797">
        <v>0</v>
      </c>
      <c r="I6797" s="140" t="s">
        <v>62</v>
      </c>
    </row>
    <row r="6798" spans="1:9" hidden="1" x14ac:dyDescent="0.25">
      <c r="A6798">
        <v>2016</v>
      </c>
      <c r="B6798" s="140" t="s">
        <v>72</v>
      </c>
      <c r="C6798" s="140" t="s">
        <v>242</v>
      </c>
      <c r="D6798" s="140" t="s">
        <v>64</v>
      </c>
      <c r="E6798" s="140" t="s">
        <v>12</v>
      </c>
      <c r="F6798">
        <v>2897.7</v>
      </c>
      <c r="G6798" s="140" t="s">
        <v>463</v>
      </c>
      <c r="H6798">
        <v>0</v>
      </c>
      <c r="I6798" s="140" t="s">
        <v>62</v>
      </c>
    </row>
    <row r="6799" spans="1:9" hidden="1" x14ac:dyDescent="0.25">
      <c r="A6799">
        <v>2017</v>
      </c>
      <c r="B6799" s="140" t="s">
        <v>72</v>
      </c>
      <c r="C6799" s="140" t="s">
        <v>242</v>
      </c>
      <c r="D6799" s="140" t="s">
        <v>64</v>
      </c>
      <c r="E6799" s="140" t="s">
        <v>12</v>
      </c>
      <c r="F6799">
        <v>2905.3</v>
      </c>
      <c r="G6799" s="140" t="s">
        <v>463</v>
      </c>
      <c r="H6799">
        <v>0</v>
      </c>
      <c r="I6799" s="140" t="s">
        <v>62</v>
      </c>
    </row>
    <row r="6800" spans="1:9" hidden="1" x14ac:dyDescent="0.25">
      <c r="A6800">
        <v>2018</v>
      </c>
      <c r="B6800" s="140" t="s">
        <v>72</v>
      </c>
      <c r="C6800" s="140" t="s">
        <v>242</v>
      </c>
      <c r="D6800" s="140" t="s">
        <v>64</v>
      </c>
      <c r="E6800" s="140" t="s">
        <v>12</v>
      </c>
      <c r="F6800">
        <v>2983.3</v>
      </c>
      <c r="G6800" s="140" t="s">
        <v>463</v>
      </c>
      <c r="H6800">
        <v>0</v>
      </c>
      <c r="I6800" s="140" t="s">
        <v>62</v>
      </c>
    </row>
    <row r="6801" spans="1:9" hidden="1" x14ac:dyDescent="0.25">
      <c r="A6801">
        <v>2019</v>
      </c>
      <c r="B6801" s="140" t="s">
        <v>72</v>
      </c>
      <c r="C6801" s="140" t="s">
        <v>242</v>
      </c>
      <c r="D6801" s="140" t="s">
        <v>64</v>
      </c>
      <c r="E6801" s="140" t="s">
        <v>12</v>
      </c>
      <c r="F6801">
        <v>3027</v>
      </c>
      <c r="G6801" s="140" t="s">
        <v>463</v>
      </c>
      <c r="H6801">
        <v>0</v>
      </c>
      <c r="I6801" s="140" t="s">
        <v>62</v>
      </c>
    </row>
    <row r="6802" spans="1:9" hidden="1" x14ac:dyDescent="0.25">
      <c r="A6802">
        <v>2020</v>
      </c>
      <c r="B6802" s="140" t="s">
        <v>72</v>
      </c>
      <c r="C6802" s="140" t="s">
        <v>242</v>
      </c>
      <c r="D6802" s="140" t="s">
        <v>64</v>
      </c>
      <c r="E6802" s="140" t="s">
        <v>12</v>
      </c>
      <c r="F6802">
        <v>2934.1</v>
      </c>
      <c r="G6802" s="140" t="s">
        <v>463</v>
      </c>
      <c r="H6802">
        <v>0</v>
      </c>
      <c r="I6802" s="140" t="s">
        <v>62</v>
      </c>
    </row>
    <row r="6803" spans="1:9" hidden="1" x14ac:dyDescent="0.25">
      <c r="A6803">
        <v>2021</v>
      </c>
      <c r="B6803" s="140" t="s">
        <v>72</v>
      </c>
      <c r="C6803" s="140" t="s">
        <v>242</v>
      </c>
      <c r="D6803" s="140" t="s">
        <v>64</v>
      </c>
      <c r="E6803" s="140" t="s">
        <v>12</v>
      </c>
      <c r="F6803">
        <v>3011.8</v>
      </c>
      <c r="G6803" s="140" t="s">
        <v>463</v>
      </c>
      <c r="H6803">
        <v>0</v>
      </c>
      <c r="I6803" s="140" t="s">
        <v>62</v>
      </c>
    </row>
    <row r="6804" spans="1:9" hidden="1" x14ac:dyDescent="0.25">
      <c r="A6804">
        <v>2022</v>
      </c>
      <c r="B6804" s="140" t="s">
        <v>72</v>
      </c>
      <c r="C6804" s="140" t="s">
        <v>242</v>
      </c>
      <c r="D6804" s="140" t="s">
        <v>64</v>
      </c>
      <c r="E6804" s="140" t="s">
        <v>12</v>
      </c>
      <c r="F6804">
        <v>3102.9</v>
      </c>
      <c r="G6804" s="140" t="s">
        <v>463</v>
      </c>
      <c r="H6804">
        <v>0</v>
      </c>
      <c r="I6804" s="140" t="s">
        <v>62</v>
      </c>
    </row>
    <row r="6805" spans="1:9" hidden="1" x14ac:dyDescent="0.25">
      <c r="A6805">
        <v>2023</v>
      </c>
      <c r="B6805" s="140" t="s">
        <v>72</v>
      </c>
      <c r="C6805" s="140" t="s">
        <v>242</v>
      </c>
      <c r="D6805" s="140" t="s">
        <v>64</v>
      </c>
      <c r="E6805" s="140" t="s">
        <v>12</v>
      </c>
      <c r="F6805">
        <v>3140.7</v>
      </c>
      <c r="G6805" s="140" t="s">
        <v>463</v>
      </c>
      <c r="H6805">
        <v>0</v>
      </c>
      <c r="I6805" s="140" t="s">
        <v>62</v>
      </c>
    </row>
    <row r="6806" spans="1:9" hidden="1" x14ac:dyDescent="0.25">
      <c r="A6806">
        <v>2024</v>
      </c>
      <c r="B6806" s="140" t="s">
        <v>72</v>
      </c>
      <c r="C6806" s="140" t="s">
        <v>242</v>
      </c>
      <c r="D6806" s="140" t="s">
        <v>64</v>
      </c>
      <c r="E6806" s="140" t="s">
        <v>12</v>
      </c>
      <c r="F6806">
        <v>3138.9</v>
      </c>
      <c r="G6806" s="140" t="s">
        <v>463</v>
      </c>
      <c r="H6806">
        <v>0</v>
      </c>
      <c r="I6806" s="140" t="s">
        <v>62</v>
      </c>
    </row>
    <row r="6807" spans="1:9" hidden="1" x14ac:dyDescent="0.25">
      <c r="A6807">
        <v>2025</v>
      </c>
      <c r="B6807" s="140" t="s">
        <v>72</v>
      </c>
      <c r="C6807" s="140" t="s">
        <v>242</v>
      </c>
      <c r="D6807" s="140" t="s">
        <v>64</v>
      </c>
      <c r="E6807" s="140" t="s">
        <v>12</v>
      </c>
      <c r="F6807">
        <v>3119.7</v>
      </c>
      <c r="G6807" s="140" t="s">
        <v>463</v>
      </c>
      <c r="H6807">
        <v>0</v>
      </c>
      <c r="I6807" s="140" t="s">
        <v>62</v>
      </c>
    </row>
    <row r="6808" spans="1:9" hidden="1" x14ac:dyDescent="0.25">
      <c r="A6808">
        <v>2026</v>
      </c>
      <c r="B6808" s="140" t="s">
        <v>72</v>
      </c>
      <c r="C6808" s="140" t="s">
        <v>242</v>
      </c>
      <c r="D6808" s="140" t="s">
        <v>64</v>
      </c>
      <c r="E6808" s="140" t="s">
        <v>12</v>
      </c>
      <c r="F6808">
        <v>3116.4443999999999</v>
      </c>
      <c r="G6808" s="140" t="s">
        <v>463</v>
      </c>
      <c r="H6808">
        <v>0</v>
      </c>
      <c r="I6808" s="140" t="s">
        <v>62</v>
      </c>
    </row>
    <row r="6809" spans="1:9" hidden="1" x14ac:dyDescent="0.25">
      <c r="A6809">
        <v>2027</v>
      </c>
      <c r="B6809" s="140" t="s">
        <v>72</v>
      </c>
      <c r="C6809" s="140" t="s">
        <v>242</v>
      </c>
      <c r="D6809" s="140" t="s">
        <v>64</v>
      </c>
      <c r="E6809" s="140" t="s">
        <v>12</v>
      </c>
      <c r="F6809">
        <v>3142.9228360000002</v>
      </c>
      <c r="G6809" s="140" t="s">
        <v>463</v>
      </c>
      <c r="H6809">
        <v>0</v>
      </c>
      <c r="I6809" s="140" t="s">
        <v>62</v>
      </c>
    </row>
    <row r="6810" spans="1:9" hidden="1" x14ac:dyDescent="0.25">
      <c r="A6810">
        <v>2028</v>
      </c>
      <c r="B6810" s="140" t="s">
        <v>72</v>
      </c>
      <c r="C6810" s="140" t="s">
        <v>242</v>
      </c>
      <c r="D6810" s="140" t="s">
        <v>64</v>
      </c>
      <c r="E6810" s="140" t="s">
        <v>12</v>
      </c>
      <c r="F6810">
        <v>3164.1060320000001</v>
      </c>
      <c r="G6810" s="140" t="s">
        <v>463</v>
      </c>
      <c r="H6810">
        <v>0</v>
      </c>
      <c r="I6810" s="140" t="s">
        <v>62</v>
      </c>
    </row>
    <row r="6811" spans="1:9" hidden="1" x14ac:dyDescent="0.25">
      <c r="A6811">
        <v>1990</v>
      </c>
      <c r="B6811" s="140" t="s">
        <v>75</v>
      </c>
      <c r="C6811" s="140" t="s">
        <v>242</v>
      </c>
      <c r="D6811" s="140" t="s">
        <v>11</v>
      </c>
      <c r="E6811" s="140" t="s">
        <v>12</v>
      </c>
      <c r="F6811">
        <v>3491.6</v>
      </c>
      <c r="G6811" s="140" t="s">
        <v>464</v>
      </c>
      <c r="H6811">
        <v>0</v>
      </c>
      <c r="I6811" s="140" t="s">
        <v>62</v>
      </c>
    </row>
    <row r="6812" spans="1:9" hidden="1" x14ac:dyDescent="0.25">
      <c r="A6812">
        <v>1991</v>
      </c>
      <c r="B6812" s="140" t="s">
        <v>75</v>
      </c>
      <c r="C6812" s="140" t="s">
        <v>242</v>
      </c>
      <c r="D6812" s="140" t="s">
        <v>11</v>
      </c>
      <c r="E6812" s="140" t="s">
        <v>12</v>
      </c>
      <c r="F6812">
        <v>3251.2</v>
      </c>
      <c r="G6812" s="140" t="s">
        <v>464</v>
      </c>
      <c r="H6812">
        <v>0</v>
      </c>
      <c r="I6812" s="140" t="s">
        <v>62</v>
      </c>
    </row>
    <row r="6813" spans="1:9" hidden="1" x14ac:dyDescent="0.25">
      <c r="A6813">
        <v>1992</v>
      </c>
      <c r="B6813" s="140" t="s">
        <v>75</v>
      </c>
      <c r="C6813" s="140" t="s">
        <v>242</v>
      </c>
      <c r="D6813" s="140" t="s">
        <v>11</v>
      </c>
      <c r="E6813" s="140" t="s">
        <v>12</v>
      </c>
      <c r="F6813">
        <v>3008.1</v>
      </c>
      <c r="G6813" s="140" t="s">
        <v>464</v>
      </c>
      <c r="H6813">
        <v>0</v>
      </c>
      <c r="I6813" s="140" t="s">
        <v>62</v>
      </c>
    </row>
    <row r="6814" spans="1:9" hidden="1" x14ac:dyDescent="0.25">
      <c r="A6814">
        <v>1993</v>
      </c>
      <c r="B6814" s="140" t="s">
        <v>75</v>
      </c>
      <c r="C6814" s="140" t="s">
        <v>242</v>
      </c>
      <c r="D6814" s="140" t="s">
        <v>11</v>
      </c>
      <c r="E6814" s="140" t="s">
        <v>12</v>
      </c>
      <c r="F6814">
        <v>2824.4</v>
      </c>
      <c r="G6814" s="140" t="s">
        <v>464</v>
      </c>
      <c r="H6814">
        <v>0</v>
      </c>
      <c r="I6814" s="140" t="s">
        <v>62</v>
      </c>
    </row>
    <row r="6815" spans="1:9" hidden="1" x14ac:dyDescent="0.25">
      <c r="A6815">
        <v>1994</v>
      </c>
      <c r="B6815" s="140" t="s">
        <v>75</v>
      </c>
      <c r="C6815" s="140" t="s">
        <v>242</v>
      </c>
      <c r="D6815" s="140" t="s">
        <v>11</v>
      </c>
      <c r="E6815" s="140" t="s">
        <v>12</v>
      </c>
      <c r="F6815">
        <v>2815.8</v>
      </c>
      <c r="G6815" s="140" t="s">
        <v>464</v>
      </c>
      <c r="H6815">
        <v>0</v>
      </c>
      <c r="I6815" s="140" t="s">
        <v>62</v>
      </c>
    </row>
    <row r="6816" spans="1:9" hidden="1" x14ac:dyDescent="0.25">
      <c r="A6816">
        <v>1995</v>
      </c>
      <c r="B6816" s="140" t="s">
        <v>75</v>
      </c>
      <c r="C6816" s="140" t="s">
        <v>242</v>
      </c>
      <c r="D6816" s="140" t="s">
        <v>11</v>
      </c>
      <c r="E6816" s="140" t="s">
        <v>12</v>
      </c>
      <c r="F6816">
        <v>2897.3</v>
      </c>
      <c r="G6816" s="140" t="s">
        <v>464</v>
      </c>
      <c r="H6816">
        <v>0</v>
      </c>
      <c r="I6816" s="140" t="s">
        <v>62</v>
      </c>
    </row>
    <row r="6817" spans="1:9" hidden="1" x14ac:dyDescent="0.25">
      <c r="A6817">
        <v>1996</v>
      </c>
      <c r="B6817" s="140" t="s">
        <v>75</v>
      </c>
      <c r="C6817" s="140" t="s">
        <v>242</v>
      </c>
      <c r="D6817" s="140" t="s">
        <v>11</v>
      </c>
      <c r="E6817" s="140" t="s">
        <v>12</v>
      </c>
      <c r="F6817">
        <v>2936.2</v>
      </c>
      <c r="G6817" s="140" t="s">
        <v>464</v>
      </c>
      <c r="H6817">
        <v>0</v>
      </c>
      <c r="I6817" s="140" t="s">
        <v>62</v>
      </c>
    </row>
    <row r="6818" spans="1:9" hidden="1" x14ac:dyDescent="0.25">
      <c r="A6818">
        <v>1997</v>
      </c>
      <c r="B6818" s="140" t="s">
        <v>75</v>
      </c>
      <c r="C6818" s="140" t="s">
        <v>242</v>
      </c>
      <c r="D6818" s="140" t="s">
        <v>11</v>
      </c>
      <c r="E6818" s="140" t="s">
        <v>12</v>
      </c>
      <c r="F6818">
        <v>3045.3</v>
      </c>
      <c r="G6818" s="140" t="s">
        <v>464</v>
      </c>
      <c r="H6818">
        <v>0</v>
      </c>
      <c r="I6818" s="140" t="s">
        <v>62</v>
      </c>
    </row>
    <row r="6819" spans="1:9" hidden="1" x14ac:dyDescent="0.25">
      <c r="A6819">
        <v>1998</v>
      </c>
      <c r="B6819" s="140" t="s">
        <v>75</v>
      </c>
      <c r="C6819" s="140" t="s">
        <v>242</v>
      </c>
      <c r="D6819" s="140" t="s">
        <v>11</v>
      </c>
      <c r="E6819" s="140" t="s">
        <v>12</v>
      </c>
      <c r="F6819">
        <v>3128.9</v>
      </c>
      <c r="G6819" s="140" t="s">
        <v>464</v>
      </c>
      <c r="H6819">
        <v>0</v>
      </c>
      <c r="I6819" s="140" t="s">
        <v>62</v>
      </c>
    </row>
    <row r="6820" spans="1:9" hidden="1" x14ac:dyDescent="0.25">
      <c r="A6820">
        <v>1999</v>
      </c>
      <c r="B6820" s="140" t="s">
        <v>75</v>
      </c>
      <c r="C6820" s="140" t="s">
        <v>242</v>
      </c>
      <c r="D6820" s="140" t="s">
        <v>11</v>
      </c>
      <c r="E6820" s="140" t="s">
        <v>12</v>
      </c>
      <c r="F6820">
        <v>3199.9</v>
      </c>
      <c r="G6820" s="140" t="s">
        <v>464</v>
      </c>
      <c r="H6820">
        <v>0</v>
      </c>
      <c r="I6820" s="140" t="s">
        <v>62</v>
      </c>
    </row>
    <row r="6821" spans="1:9" hidden="1" x14ac:dyDescent="0.25">
      <c r="A6821">
        <v>2000</v>
      </c>
      <c r="B6821" s="140" t="s">
        <v>75</v>
      </c>
      <c r="C6821" s="140" t="s">
        <v>242</v>
      </c>
      <c r="D6821" s="140" t="s">
        <v>11</v>
      </c>
      <c r="E6821" s="140" t="s">
        <v>12</v>
      </c>
      <c r="F6821">
        <v>3263.9</v>
      </c>
      <c r="G6821" s="140" t="s">
        <v>464</v>
      </c>
      <c r="H6821">
        <v>0</v>
      </c>
      <c r="I6821" s="140" t="s">
        <v>62</v>
      </c>
    </row>
    <row r="6822" spans="1:9" hidden="1" x14ac:dyDescent="0.25">
      <c r="A6822">
        <v>2001</v>
      </c>
      <c r="B6822" s="140" t="s">
        <v>75</v>
      </c>
      <c r="C6822" s="140" t="s">
        <v>242</v>
      </c>
      <c r="D6822" s="140" t="s">
        <v>11</v>
      </c>
      <c r="E6822" s="140" t="s">
        <v>12</v>
      </c>
      <c r="F6822">
        <v>3306.9</v>
      </c>
      <c r="G6822" s="140" t="s">
        <v>464</v>
      </c>
      <c r="H6822">
        <v>0</v>
      </c>
      <c r="I6822" s="140" t="s">
        <v>62</v>
      </c>
    </row>
    <row r="6823" spans="1:9" hidden="1" x14ac:dyDescent="0.25">
      <c r="A6823">
        <v>2002</v>
      </c>
      <c r="B6823" s="140" t="s">
        <v>75</v>
      </c>
      <c r="C6823" s="140" t="s">
        <v>242</v>
      </c>
      <c r="D6823" s="140" t="s">
        <v>11</v>
      </c>
      <c r="E6823" s="140" t="s">
        <v>12</v>
      </c>
      <c r="F6823">
        <v>3344.7</v>
      </c>
      <c r="G6823" s="140" t="s">
        <v>464</v>
      </c>
      <c r="H6823">
        <v>0</v>
      </c>
      <c r="I6823" s="140" t="s">
        <v>62</v>
      </c>
    </row>
    <row r="6824" spans="1:9" hidden="1" x14ac:dyDescent="0.25">
      <c r="A6824">
        <v>2003</v>
      </c>
      <c r="B6824" s="140" t="s">
        <v>75</v>
      </c>
      <c r="C6824" s="140" t="s">
        <v>242</v>
      </c>
      <c r="D6824" s="140" t="s">
        <v>11</v>
      </c>
      <c r="E6824" s="140" t="s">
        <v>12</v>
      </c>
      <c r="F6824">
        <v>3347.7</v>
      </c>
      <c r="G6824" s="140" t="s">
        <v>464</v>
      </c>
      <c r="H6824">
        <v>0</v>
      </c>
      <c r="I6824" s="140" t="s">
        <v>62</v>
      </c>
    </row>
    <row r="6825" spans="1:9" hidden="1" x14ac:dyDescent="0.25">
      <c r="A6825">
        <v>2004</v>
      </c>
      <c r="B6825" s="140" t="s">
        <v>75</v>
      </c>
      <c r="C6825" s="140" t="s">
        <v>242</v>
      </c>
      <c r="D6825" s="140" t="s">
        <v>11</v>
      </c>
      <c r="E6825" s="140" t="s">
        <v>12</v>
      </c>
      <c r="F6825">
        <v>3372</v>
      </c>
      <c r="G6825" s="140" t="s">
        <v>464</v>
      </c>
      <c r="H6825">
        <v>0</v>
      </c>
      <c r="I6825" s="140" t="s">
        <v>62</v>
      </c>
    </row>
    <row r="6826" spans="1:9" hidden="1" x14ac:dyDescent="0.25">
      <c r="A6826">
        <v>2005</v>
      </c>
      <c r="B6826" s="140" t="s">
        <v>75</v>
      </c>
      <c r="C6826" s="140" t="s">
        <v>242</v>
      </c>
      <c r="D6826" s="140" t="s">
        <v>11</v>
      </c>
      <c r="E6826" s="140" t="s">
        <v>12</v>
      </c>
      <c r="F6826">
        <v>3405.2</v>
      </c>
      <c r="G6826" s="140" t="s">
        <v>464</v>
      </c>
      <c r="H6826">
        <v>0</v>
      </c>
      <c r="I6826" s="140" t="s">
        <v>62</v>
      </c>
    </row>
    <row r="6827" spans="1:9" hidden="1" x14ac:dyDescent="0.25">
      <c r="A6827">
        <v>2006</v>
      </c>
      <c r="B6827" s="140" t="s">
        <v>75</v>
      </c>
      <c r="C6827" s="140" t="s">
        <v>242</v>
      </c>
      <c r="D6827" s="140" t="s">
        <v>11</v>
      </c>
      <c r="E6827" s="140" t="s">
        <v>12</v>
      </c>
      <c r="F6827">
        <v>3458.9</v>
      </c>
      <c r="G6827" s="140" t="s">
        <v>464</v>
      </c>
      <c r="H6827">
        <v>0</v>
      </c>
      <c r="I6827" s="140" t="s">
        <v>62</v>
      </c>
    </row>
    <row r="6828" spans="1:9" hidden="1" x14ac:dyDescent="0.25">
      <c r="A6828">
        <v>2007</v>
      </c>
      <c r="B6828" s="140" t="s">
        <v>75</v>
      </c>
      <c r="C6828" s="140" t="s">
        <v>242</v>
      </c>
      <c r="D6828" s="140" t="s">
        <v>11</v>
      </c>
      <c r="E6828" s="140" t="s">
        <v>12</v>
      </c>
      <c r="F6828">
        <v>3536.5</v>
      </c>
      <c r="G6828" s="140" t="s">
        <v>464</v>
      </c>
      <c r="H6828">
        <v>0</v>
      </c>
      <c r="I6828" s="140" t="s">
        <v>62</v>
      </c>
    </row>
    <row r="6829" spans="1:9" hidden="1" x14ac:dyDescent="0.25">
      <c r="A6829">
        <v>2008</v>
      </c>
      <c r="B6829" s="140" t="s">
        <v>75</v>
      </c>
      <c r="C6829" s="140" t="s">
        <v>242</v>
      </c>
      <c r="D6829" s="140" t="s">
        <v>11</v>
      </c>
      <c r="E6829" s="140" t="s">
        <v>12</v>
      </c>
      <c r="F6829">
        <v>3611.1</v>
      </c>
      <c r="G6829" s="140" t="s">
        <v>464</v>
      </c>
      <c r="H6829">
        <v>0</v>
      </c>
      <c r="I6829" s="140" t="s">
        <v>62</v>
      </c>
    </row>
    <row r="6830" spans="1:9" hidden="1" x14ac:dyDescent="0.25">
      <c r="A6830">
        <v>2009</v>
      </c>
      <c r="B6830" s="140" t="s">
        <v>75</v>
      </c>
      <c r="C6830" s="140" t="s">
        <v>242</v>
      </c>
      <c r="D6830" s="140" t="s">
        <v>11</v>
      </c>
      <c r="E6830" s="140" t="s">
        <v>12</v>
      </c>
      <c r="F6830">
        <v>3444.4</v>
      </c>
      <c r="G6830" s="140" t="s">
        <v>464</v>
      </c>
      <c r="H6830">
        <v>0</v>
      </c>
      <c r="I6830" s="140" t="s">
        <v>62</v>
      </c>
    </row>
    <row r="6831" spans="1:9" hidden="1" x14ac:dyDescent="0.25">
      <c r="A6831">
        <v>2010</v>
      </c>
      <c r="B6831" s="140" t="s">
        <v>75</v>
      </c>
      <c r="C6831" s="140" t="s">
        <v>242</v>
      </c>
      <c r="D6831" s="140" t="s">
        <v>11</v>
      </c>
      <c r="E6831" s="140" t="s">
        <v>12</v>
      </c>
      <c r="F6831">
        <v>3441.5</v>
      </c>
      <c r="G6831" s="140" t="s">
        <v>464</v>
      </c>
      <c r="H6831">
        <v>0</v>
      </c>
      <c r="I6831" s="140" t="s">
        <v>62</v>
      </c>
    </row>
    <row r="6832" spans="1:9" hidden="1" x14ac:dyDescent="0.25">
      <c r="A6832">
        <v>2011</v>
      </c>
      <c r="B6832" s="140" t="s">
        <v>75</v>
      </c>
      <c r="C6832" s="140" t="s">
        <v>242</v>
      </c>
      <c r="D6832" s="140" t="s">
        <v>11</v>
      </c>
      <c r="E6832" s="140" t="s">
        <v>12</v>
      </c>
      <c r="F6832">
        <v>3485.1</v>
      </c>
      <c r="G6832" s="140" t="s">
        <v>464</v>
      </c>
      <c r="H6832">
        <v>0</v>
      </c>
      <c r="I6832" s="140" t="s">
        <v>62</v>
      </c>
    </row>
    <row r="6833" spans="1:9" hidden="1" x14ac:dyDescent="0.25">
      <c r="A6833">
        <v>2012</v>
      </c>
      <c r="B6833" s="140" t="s">
        <v>75</v>
      </c>
      <c r="C6833" s="140" t="s">
        <v>242</v>
      </c>
      <c r="D6833" s="140" t="s">
        <v>11</v>
      </c>
      <c r="E6833" s="140" t="s">
        <v>12</v>
      </c>
      <c r="F6833">
        <v>3487.1</v>
      </c>
      <c r="G6833" s="140" t="s">
        <v>464</v>
      </c>
      <c r="H6833">
        <v>0</v>
      </c>
      <c r="I6833" s="140" t="s">
        <v>62</v>
      </c>
    </row>
    <row r="6834" spans="1:9" hidden="1" x14ac:dyDescent="0.25">
      <c r="A6834">
        <v>2013</v>
      </c>
      <c r="B6834" s="140" t="s">
        <v>75</v>
      </c>
      <c r="C6834" s="140" t="s">
        <v>242</v>
      </c>
      <c r="D6834" s="140" t="s">
        <v>11</v>
      </c>
      <c r="E6834" s="140" t="s">
        <v>12</v>
      </c>
      <c r="F6834">
        <v>3456.7</v>
      </c>
      <c r="G6834" s="140" t="s">
        <v>464</v>
      </c>
      <c r="H6834">
        <v>0</v>
      </c>
      <c r="I6834" s="140" t="s">
        <v>62</v>
      </c>
    </row>
    <row r="6835" spans="1:9" hidden="1" x14ac:dyDescent="0.25">
      <c r="A6835">
        <v>2014</v>
      </c>
      <c r="B6835" s="140" t="s">
        <v>75</v>
      </c>
      <c r="C6835" s="140" t="s">
        <v>242</v>
      </c>
      <c r="D6835" s="140" t="s">
        <v>11</v>
      </c>
      <c r="E6835" s="140" t="s">
        <v>12</v>
      </c>
      <c r="F6835">
        <v>3423.3</v>
      </c>
      <c r="G6835" s="140" t="s">
        <v>464</v>
      </c>
      <c r="H6835">
        <v>0</v>
      </c>
      <c r="I6835" s="140" t="s">
        <v>62</v>
      </c>
    </row>
    <row r="6836" spans="1:9" hidden="1" x14ac:dyDescent="0.25">
      <c r="A6836">
        <v>2015</v>
      </c>
      <c r="B6836" s="140" t="s">
        <v>75</v>
      </c>
      <c r="C6836" s="140" t="s">
        <v>242</v>
      </c>
      <c r="D6836" s="140" t="s">
        <v>11</v>
      </c>
      <c r="E6836" s="140" t="s">
        <v>12</v>
      </c>
      <c r="F6836">
        <v>3428</v>
      </c>
      <c r="G6836" s="140" t="s">
        <v>464</v>
      </c>
      <c r="H6836">
        <v>0</v>
      </c>
      <c r="I6836" s="140" t="s">
        <v>62</v>
      </c>
    </row>
    <row r="6837" spans="1:9" hidden="1" x14ac:dyDescent="0.25">
      <c r="A6837">
        <v>2016</v>
      </c>
      <c r="B6837" s="140" t="s">
        <v>75</v>
      </c>
      <c r="C6837" s="140" t="s">
        <v>242</v>
      </c>
      <c r="D6837" s="140" t="s">
        <v>11</v>
      </c>
      <c r="E6837" s="140" t="s">
        <v>12</v>
      </c>
      <c r="F6837">
        <v>3451.3</v>
      </c>
      <c r="G6837" s="140" t="s">
        <v>464</v>
      </c>
      <c r="H6837">
        <v>0</v>
      </c>
      <c r="I6837" s="140" t="s">
        <v>62</v>
      </c>
    </row>
    <row r="6838" spans="1:9" hidden="1" x14ac:dyDescent="0.25">
      <c r="A6838">
        <v>2017</v>
      </c>
      <c r="B6838" s="140" t="s">
        <v>75</v>
      </c>
      <c r="C6838" s="140" t="s">
        <v>242</v>
      </c>
      <c r="D6838" s="140" t="s">
        <v>11</v>
      </c>
      <c r="E6838" s="140" t="s">
        <v>12</v>
      </c>
      <c r="F6838">
        <v>3485.8</v>
      </c>
      <c r="G6838" s="140" t="s">
        <v>464</v>
      </c>
      <c r="H6838">
        <v>0</v>
      </c>
      <c r="I6838" s="140" t="s">
        <v>62</v>
      </c>
    </row>
    <row r="6839" spans="1:9" hidden="1" x14ac:dyDescent="0.25">
      <c r="A6839">
        <v>2018</v>
      </c>
      <c r="B6839" s="140" t="s">
        <v>75</v>
      </c>
      <c r="C6839" s="140" t="s">
        <v>242</v>
      </c>
      <c r="D6839" s="140" t="s">
        <v>11</v>
      </c>
      <c r="E6839" s="140" t="s">
        <v>12</v>
      </c>
      <c r="F6839">
        <v>3572.2</v>
      </c>
      <c r="G6839" s="140" t="s">
        <v>464</v>
      </c>
      <c r="H6839">
        <v>0</v>
      </c>
      <c r="I6839" s="140" t="s">
        <v>62</v>
      </c>
    </row>
    <row r="6840" spans="1:9" hidden="1" x14ac:dyDescent="0.25">
      <c r="A6840">
        <v>2019</v>
      </c>
      <c r="B6840" s="140" t="s">
        <v>75</v>
      </c>
      <c r="C6840" s="140" t="s">
        <v>242</v>
      </c>
      <c r="D6840" s="140" t="s">
        <v>11</v>
      </c>
      <c r="E6840" s="140" t="s">
        <v>12</v>
      </c>
      <c r="F6840">
        <v>3602.7</v>
      </c>
      <c r="G6840" s="140" t="s">
        <v>464</v>
      </c>
      <c r="H6840">
        <v>0</v>
      </c>
      <c r="I6840" s="140" t="s">
        <v>62</v>
      </c>
    </row>
    <row r="6841" spans="1:9" hidden="1" x14ac:dyDescent="0.25">
      <c r="A6841">
        <v>2020</v>
      </c>
      <c r="B6841" s="140" t="s">
        <v>75</v>
      </c>
      <c r="C6841" s="140" t="s">
        <v>242</v>
      </c>
      <c r="D6841" s="140" t="s">
        <v>11</v>
      </c>
      <c r="E6841" s="140" t="s">
        <v>12</v>
      </c>
      <c r="F6841">
        <v>3514</v>
      </c>
      <c r="G6841" s="140" t="s">
        <v>464</v>
      </c>
      <c r="H6841">
        <v>0</v>
      </c>
      <c r="I6841" s="140" t="s">
        <v>62</v>
      </c>
    </row>
    <row r="6842" spans="1:9" hidden="1" x14ac:dyDescent="0.25">
      <c r="A6842">
        <v>2021</v>
      </c>
      <c r="B6842" s="140" t="s">
        <v>75</v>
      </c>
      <c r="C6842" s="140" t="s">
        <v>242</v>
      </c>
      <c r="D6842" s="140" t="s">
        <v>11</v>
      </c>
      <c r="E6842" s="140" t="s">
        <v>12</v>
      </c>
      <c r="F6842">
        <v>3587.7</v>
      </c>
      <c r="G6842" s="140" t="s">
        <v>464</v>
      </c>
      <c r="H6842">
        <v>0</v>
      </c>
      <c r="I6842" s="140" t="s">
        <v>62</v>
      </c>
    </row>
    <row r="6843" spans="1:9" hidden="1" x14ac:dyDescent="0.25">
      <c r="A6843">
        <v>2022</v>
      </c>
      <c r="B6843" s="140" t="s">
        <v>75</v>
      </c>
      <c r="C6843" s="140" t="s">
        <v>242</v>
      </c>
      <c r="D6843" s="140" t="s">
        <v>11</v>
      </c>
      <c r="E6843" s="140" t="s">
        <v>12</v>
      </c>
      <c r="F6843">
        <v>3708.9</v>
      </c>
      <c r="G6843" s="140" t="s">
        <v>464</v>
      </c>
      <c r="H6843">
        <v>0</v>
      </c>
      <c r="I6843" s="140" t="s">
        <v>62</v>
      </c>
    </row>
    <row r="6844" spans="1:9" hidden="1" x14ac:dyDescent="0.25">
      <c r="A6844">
        <v>2023</v>
      </c>
      <c r="B6844" s="140" t="s">
        <v>75</v>
      </c>
      <c r="C6844" s="140" t="s">
        <v>242</v>
      </c>
      <c r="D6844" s="140" t="s">
        <v>11</v>
      </c>
      <c r="E6844" s="140" t="s">
        <v>12</v>
      </c>
      <c r="F6844">
        <v>3749.7</v>
      </c>
      <c r="G6844" s="140" t="s">
        <v>464</v>
      </c>
      <c r="H6844">
        <v>0</v>
      </c>
      <c r="I6844" s="140" t="s">
        <v>62</v>
      </c>
    </row>
    <row r="6845" spans="1:9" hidden="1" x14ac:dyDescent="0.25">
      <c r="A6845">
        <v>2024</v>
      </c>
      <c r="B6845" s="140" t="s">
        <v>75</v>
      </c>
      <c r="C6845" s="140" t="s">
        <v>242</v>
      </c>
      <c r="D6845" s="140" t="s">
        <v>11</v>
      </c>
      <c r="E6845" s="140" t="s">
        <v>12</v>
      </c>
      <c r="F6845">
        <v>3729.5</v>
      </c>
      <c r="G6845" s="140" t="s">
        <v>464</v>
      </c>
      <c r="H6845">
        <v>0</v>
      </c>
      <c r="I6845" s="140" t="s">
        <v>62</v>
      </c>
    </row>
    <row r="6846" spans="1:9" hidden="1" x14ac:dyDescent="0.25">
      <c r="A6846">
        <v>2025</v>
      </c>
      <c r="B6846" s="140" t="s">
        <v>75</v>
      </c>
      <c r="C6846" s="140" t="s">
        <v>242</v>
      </c>
      <c r="D6846" s="140" t="s">
        <v>11</v>
      </c>
      <c r="E6846" s="140" t="s">
        <v>12</v>
      </c>
      <c r="F6846">
        <v>3694.3</v>
      </c>
      <c r="G6846" s="140" t="s">
        <v>464</v>
      </c>
      <c r="H6846">
        <v>0</v>
      </c>
      <c r="I6846" s="140" t="s">
        <v>62</v>
      </c>
    </row>
    <row r="6847" spans="1:9" hidden="1" x14ac:dyDescent="0.25">
      <c r="A6847">
        <v>2026</v>
      </c>
      <c r="B6847" s="140" t="s">
        <v>75</v>
      </c>
      <c r="C6847" s="140" t="s">
        <v>242</v>
      </c>
      <c r="D6847" s="140" t="s">
        <v>11</v>
      </c>
      <c r="E6847" s="140" t="s">
        <v>12</v>
      </c>
      <c r="F6847">
        <v>3683.2170999999998</v>
      </c>
      <c r="G6847" s="140" t="s">
        <v>464</v>
      </c>
      <c r="H6847">
        <v>0</v>
      </c>
      <c r="I6847" s="140" t="s">
        <v>62</v>
      </c>
    </row>
    <row r="6848" spans="1:9" hidden="1" x14ac:dyDescent="0.25">
      <c r="A6848">
        <v>2027</v>
      </c>
      <c r="B6848" s="140" t="s">
        <v>75</v>
      </c>
      <c r="C6848" s="140" t="s">
        <v>242</v>
      </c>
      <c r="D6848" s="140" t="s">
        <v>11</v>
      </c>
      <c r="E6848" s="140" t="s">
        <v>12</v>
      </c>
      <c r="F6848">
        <v>3719.1322190000001</v>
      </c>
      <c r="G6848" s="140" t="s">
        <v>464</v>
      </c>
      <c r="H6848">
        <v>0</v>
      </c>
      <c r="I6848" s="140" t="s">
        <v>62</v>
      </c>
    </row>
    <row r="6849" spans="1:9" hidden="1" x14ac:dyDescent="0.25">
      <c r="A6849">
        <v>2028</v>
      </c>
      <c r="B6849" s="140" t="s">
        <v>75</v>
      </c>
      <c r="C6849" s="140" t="s">
        <v>242</v>
      </c>
      <c r="D6849" s="140" t="s">
        <v>11</v>
      </c>
      <c r="E6849" s="140" t="s">
        <v>12</v>
      </c>
      <c r="F6849">
        <v>3745.7608180000002</v>
      </c>
      <c r="G6849" s="140" t="s">
        <v>464</v>
      </c>
      <c r="H6849">
        <v>0</v>
      </c>
      <c r="I6849" s="140" t="s">
        <v>62</v>
      </c>
    </row>
    <row r="6850" spans="1:9" hidden="1" x14ac:dyDescent="0.25">
      <c r="A6850">
        <v>2029</v>
      </c>
      <c r="B6850" s="140" t="s">
        <v>75</v>
      </c>
      <c r="C6850" s="140" t="s">
        <v>242</v>
      </c>
      <c r="D6850" s="140" t="s">
        <v>11</v>
      </c>
      <c r="E6850" s="140" t="s">
        <v>12</v>
      </c>
      <c r="F6850">
        <v>3770.3142200000002</v>
      </c>
      <c r="G6850" s="140" t="s">
        <v>464</v>
      </c>
      <c r="H6850">
        <v>0</v>
      </c>
      <c r="I6850" s="140" t="s">
        <v>62</v>
      </c>
    </row>
    <row r="6851" spans="1:9" hidden="1" x14ac:dyDescent="0.25">
      <c r="A6851">
        <v>2030</v>
      </c>
      <c r="B6851" s="140" t="s">
        <v>75</v>
      </c>
      <c r="C6851" s="140" t="s">
        <v>242</v>
      </c>
      <c r="D6851" s="140" t="s">
        <v>11</v>
      </c>
      <c r="E6851" s="140" t="s">
        <v>12</v>
      </c>
      <c r="F6851">
        <v>3789.7339769999999</v>
      </c>
      <c r="G6851" s="140" t="s">
        <v>464</v>
      </c>
      <c r="H6851">
        <v>0</v>
      </c>
      <c r="I6851" s="140" t="s">
        <v>62</v>
      </c>
    </row>
    <row r="6852" spans="1:9" hidden="1" x14ac:dyDescent="0.25">
      <c r="A6852">
        <v>1990</v>
      </c>
      <c r="B6852" s="140" t="s">
        <v>74</v>
      </c>
      <c r="C6852" s="140" t="s">
        <v>242</v>
      </c>
      <c r="D6852" s="140" t="s">
        <v>11</v>
      </c>
      <c r="E6852" s="140" t="s">
        <v>12</v>
      </c>
      <c r="F6852">
        <v>769.9</v>
      </c>
      <c r="G6852" s="140" t="s">
        <v>465</v>
      </c>
      <c r="H6852">
        <v>0</v>
      </c>
      <c r="I6852" s="140" t="s">
        <v>62</v>
      </c>
    </row>
    <row r="6853" spans="1:9" hidden="1" x14ac:dyDescent="0.25">
      <c r="A6853">
        <v>1991</v>
      </c>
      <c r="B6853" s="140" t="s">
        <v>74</v>
      </c>
      <c r="C6853" s="140" t="s">
        <v>242</v>
      </c>
      <c r="D6853" s="140" t="s">
        <v>11</v>
      </c>
      <c r="E6853" s="140" t="s">
        <v>12</v>
      </c>
      <c r="F6853">
        <v>729.8</v>
      </c>
      <c r="G6853" s="140" t="s">
        <v>465</v>
      </c>
      <c r="H6853">
        <v>0</v>
      </c>
      <c r="I6853" s="140" t="s">
        <v>62</v>
      </c>
    </row>
    <row r="6854" spans="1:9" hidden="1" x14ac:dyDescent="0.25">
      <c r="A6854">
        <v>1992</v>
      </c>
      <c r="B6854" s="140" t="s">
        <v>74</v>
      </c>
      <c r="C6854" s="140" t="s">
        <v>242</v>
      </c>
      <c r="D6854" s="140" t="s">
        <v>11</v>
      </c>
      <c r="E6854" s="140" t="s">
        <v>12</v>
      </c>
      <c r="F6854">
        <v>705.3</v>
      </c>
      <c r="G6854" s="140" t="s">
        <v>465</v>
      </c>
      <c r="H6854">
        <v>0</v>
      </c>
      <c r="I6854" s="140" t="s">
        <v>62</v>
      </c>
    </row>
    <row r="6855" spans="1:9" hidden="1" x14ac:dyDescent="0.25">
      <c r="A6855">
        <v>1993</v>
      </c>
      <c r="B6855" s="140" t="s">
        <v>74</v>
      </c>
      <c r="C6855" s="140" t="s">
        <v>242</v>
      </c>
      <c r="D6855" s="140" t="s">
        <v>11</v>
      </c>
      <c r="E6855" s="140" t="s">
        <v>12</v>
      </c>
      <c r="F6855">
        <v>674.5</v>
      </c>
      <c r="G6855" s="140" t="s">
        <v>465</v>
      </c>
      <c r="H6855">
        <v>0</v>
      </c>
      <c r="I6855" s="140" t="s">
        <v>62</v>
      </c>
    </row>
    <row r="6856" spans="1:9" hidden="1" x14ac:dyDescent="0.25">
      <c r="A6856">
        <v>1994</v>
      </c>
      <c r="B6856" s="140" t="s">
        <v>74</v>
      </c>
      <c r="C6856" s="140" t="s">
        <v>242</v>
      </c>
      <c r="D6856" s="140" t="s">
        <v>11</v>
      </c>
      <c r="E6856" s="140" t="s">
        <v>12</v>
      </c>
      <c r="F6856">
        <v>668.1</v>
      </c>
      <c r="G6856" s="140" t="s">
        <v>465</v>
      </c>
      <c r="H6856">
        <v>0</v>
      </c>
      <c r="I6856" s="140" t="s">
        <v>62</v>
      </c>
    </row>
    <row r="6857" spans="1:9" hidden="1" x14ac:dyDescent="0.25">
      <c r="A6857">
        <v>1995</v>
      </c>
      <c r="B6857" s="140" t="s">
        <v>74</v>
      </c>
      <c r="C6857" s="140" t="s">
        <v>242</v>
      </c>
      <c r="D6857" s="140" t="s">
        <v>11</v>
      </c>
      <c r="E6857" s="140" t="s">
        <v>12</v>
      </c>
      <c r="F6857">
        <v>669.3</v>
      </c>
      <c r="G6857" s="140" t="s">
        <v>465</v>
      </c>
      <c r="H6857">
        <v>0</v>
      </c>
      <c r="I6857" s="140" t="s">
        <v>62</v>
      </c>
    </row>
    <row r="6858" spans="1:9" hidden="1" x14ac:dyDescent="0.25">
      <c r="A6858">
        <v>1996</v>
      </c>
      <c r="B6858" s="140" t="s">
        <v>74</v>
      </c>
      <c r="C6858" s="140" t="s">
        <v>242</v>
      </c>
      <c r="D6858" s="140" t="s">
        <v>11</v>
      </c>
      <c r="E6858" s="140" t="s">
        <v>12</v>
      </c>
      <c r="F6858">
        <v>687.6</v>
      </c>
      <c r="G6858" s="140" t="s">
        <v>465</v>
      </c>
      <c r="H6858">
        <v>0</v>
      </c>
      <c r="I6858" s="140" t="s">
        <v>62</v>
      </c>
    </row>
    <row r="6859" spans="1:9" hidden="1" x14ac:dyDescent="0.25">
      <c r="A6859">
        <v>1997</v>
      </c>
      <c r="B6859" s="140" t="s">
        <v>74</v>
      </c>
      <c r="C6859" s="140" t="s">
        <v>242</v>
      </c>
      <c r="D6859" s="140" t="s">
        <v>11</v>
      </c>
      <c r="E6859" s="140" t="s">
        <v>12</v>
      </c>
      <c r="F6859">
        <v>692.5</v>
      </c>
      <c r="G6859" s="140" t="s">
        <v>465</v>
      </c>
      <c r="H6859">
        <v>0</v>
      </c>
      <c r="I6859" s="140" t="s">
        <v>62</v>
      </c>
    </row>
    <row r="6860" spans="1:9" hidden="1" x14ac:dyDescent="0.25">
      <c r="A6860">
        <v>1998</v>
      </c>
      <c r="B6860" s="140" t="s">
        <v>74</v>
      </c>
      <c r="C6860" s="140" t="s">
        <v>242</v>
      </c>
      <c r="D6860" s="140" t="s">
        <v>11</v>
      </c>
      <c r="E6860" s="140" t="s">
        <v>12</v>
      </c>
      <c r="F6860">
        <v>660.8</v>
      </c>
      <c r="G6860" s="140" t="s">
        <v>465</v>
      </c>
      <c r="H6860">
        <v>0</v>
      </c>
      <c r="I6860" s="140" t="s">
        <v>62</v>
      </c>
    </row>
    <row r="6861" spans="1:9" hidden="1" x14ac:dyDescent="0.25">
      <c r="A6861">
        <v>1999</v>
      </c>
      <c r="B6861" s="140" t="s">
        <v>74</v>
      </c>
      <c r="C6861" s="140" t="s">
        <v>242</v>
      </c>
      <c r="D6861" s="140" t="s">
        <v>11</v>
      </c>
      <c r="E6861" s="140" t="s">
        <v>12</v>
      </c>
      <c r="F6861">
        <v>667.1</v>
      </c>
      <c r="G6861" s="140" t="s">
        <v>465</v>
      </c>
      <c r="H6861">
        <v>0</v>
      </c>
      <c r="I6861" s="140" t="s">
        <v>62</v>
      </c>
    </row>
    <row r="6862" spans="1:9" hidden="1" x14ac:dyDescent="0.25">
      <c r="A6862">
        <v>2000</v>
      </c>
      <c r="B6862" s="140" t="s">
        <v>74</v>
      </c>
      <c r="C6862" s="140" t="s">
        <v>242</v>
      </c>
      <c r="D6862" s="140" t="s">
        <v>11</v>
      </c>
      <c r="E6862" s="140" t="s">
        <v>12</v>
      </c>
      <c r="F6862">
        <v>656.6</v>
      </c>
      <c r="G6862" s="140" t="s">
        <v>465</v>
      </c>
      <c r="H6862">
        <v>0</v>
      </c>
      <c r="I6862" s="140" t="s">
        <v>62</v>
      </c>
    </row>
    <row r="6863" spans="1:9" hidden="1" x14ac:dyDescent="0.25">
      <c r="A6863">
        <v>2001</v>
      </c>
      <c r="B6863" s="140" t="s">
        <v>74</v>
      </c>
      <c r="C6863" s="140" t="s">
        <v>242</v>
      </c>
      <c r="D6863" s="140" t="s">
        <v>11</v>
      </c>
      <c r="E6863" s="140" t="s">
        <v>12</v>
      </c>
      <c r="F6863">
        <v>639.9</v>
      </c>
      <c r="G6863" s="140" t="s">
        <v>465</v>
      </c>
      <c r="H6863">
        <v>0</v>
      </c>
      <c r="I6863" s="140" t="s">
        <v>62</v>
      </c>
    </row>
    <row r="6864" spans="1:9" hidden="1" x14ac:dyDescent="0.25">
      <c r="A6864">
        <v>2002</v>
      </c>
      <c r="B6864" s="140" t="s">
        <v>74</v>
      </c>
      <c r="C6864" s="140" t="s">
        <v>242</v>
      </c>
      <c r="D6864" s="140" t="s">
        <v>11</v>
      </c>
      <c r="E6864" s="140" t="s">
        <v>12</v>
      </c>
      <c r="F6864">
        <v>633.4</v>
      </c>
      <c r="G6864" s="140" t="s">
        <v>465</v>
      </c>
      <c r="H6864">
        <v>0</v>
      </c>
      <c r="I6864" s="140" t="s">
        <v>62</v>
      </c>
    </row>
    <row r="6865" spans="1:9" hidden="1" x14ac:dyDescent="0.25">
      <c r="A6865">
        <v>2003</v>
      </c>
      <c r="B6865" s="140" t="s">
        <v>74</v>
      </c>
      <c r="C6865" s="140" t="s">
        <v>242</v>
      </c>
      <c r="D6865" s="140" t="s">
        <v>11</v>
      </c>
      <c r="E6865" s="140" t="s">
        <v>12</v>
      </c>
      <c r="F6865">
        <v>625.4</v>
      </c>
      <c r="G6865" s="140" t="s">
        <v>465</v>
      </c>
      <c r="H6865">
        <v>0</v>
      </c>
      <c r="I6865" s="140" t="s">
        <v>62</v>
      </c>
    </row>
    <row r="6866" spans="1:9" hidden="1" x14ac:dyDescent="0.25">
      <c r="A6866">
        <v>2004</v>
      </c>
      <c r="B6866" s="140" t="s">
        <v>74</v>
      </c>
      <c r="C6866" s="140" t="s">
        <v>242</v>
      </c>
      <c r="D6866" s="140" t="s">
        <v>11</v>
      </c>
      <c r="E6866" s="140" t="s">
        <v>12</v>
      </c>
      <c r="F6866">
        <v>625.1</v>
      </c>
      <c r="G6866" s="140" t="s">
        <v>465</v>
      </c>
      <c r="H6866">
        <v>0</v>
      </c>
      <c r="I6866" s="140" t="s">
        <v>62</v>
      </c>
    </row>
    <row r="6867" spans="1:9" hidden="1" x14ac:dyDescent="0.25">
      <c r="A6867">
        <v>2005</v>
      </c>
      <c r="B6867" s="140" t="s">
        <v>74</v>
      </c>
      <c r="C6867" s="140" t="s">
        <v>242</v>
      </c>
      <c r="D6867" s="140" t="s">
        <v>11</v>
      </c>
      <c r="E6867" s="140" t="s">
        <v>12</v>
      </c>
      <c r="F6867">
        <v>627.20000000000005</v>
      </c>
      <c r="G6867" s="140" t="s">
        <v>465</v>
      </c>
      <c r="H6867">
        <v>0</v>
      </c>
      <c r="I6867" s="140" t="s">
        <v>62</v>
      </c>
    </row>
    <row r="6868" spans="1:9" hidden="1" x14ac:dyDescent="0.25">
      <c r="A6868">
        <v>2006</v>
      </c>
      <c r="B6868" s="140" t="s">
        <v>74</v>
      </c>
      <c r="C6868" s="140" t="s">
        <v>242</v>
      </c>
      <c r="D6868" s="140" t="s">
        <v>11</v>
      </c>
      <c r="E6868" s="140" t="s">
        <v>12</v>
      </c>
      <c r="F6868">
        <v>636.29999999999995</v>
      </c>
      <c r="G6868" s="140" t="s">
        <v>465</v>
      </c>
      <c r="H6868">
        <v>0</v>
      </c>
      <c r="I6868" s="140" t="s">
        <v>62</v>
      </c>
    </row>
    <row r="6869" spans="1:9" hidden="1" x14ac:dyDescent="0.25">
      <c r="A6869">
        <v>2007</v>
      </c>
      <c r="B6869" s="140" t="s">
        <v>74</v>
      </c>
      <c r="C6869" s="140" t="s">
        <v>242</v>
      </c>
      <c r="D6869" s="140" t="s">
        <v>11</v>
      </c>
      <c r="E6869" s="140" t="s">
        <v>12</v>
      </c>
      <c r="F6869">
        <v>639.9</v>
      </c>
      <c r="G6869" s="140" t="s">
        <v>465</v>
      </c>
      <c r="H6869">
        <v>0</v>
      </c>
      <c r="I6869" s="140" t="s">
        <v>62</v>
      </c>
    </row>
    <row r="6870" spans="1:9" hidden="1" x14ac:dyDescent="0.25">
      <c r="A6870">
        <v>2008</v>
      </c>
      <c r="B6870" s="140" t="s">
        <v>74</v>
      </c>
      <c r="C6870" s="140" t="s">
        <v>242</v>
      </c>
      <c r="D6870" s="140" t="s">
        <v>11</v>
      </c>
      <c r="E6870" s="140" t="s">
        <v>12</v>
      </c>
      <c r="F6870">
        <v>647.6</v>
      </c>
      <c r="G6870" s="140" t="s">
        <v>465</v>
      </c>
      <c r="H6870">
        <v>0</v>
      </c>
      <c r="I6870" s="140" t="s">
        <v>62</v>
      </c>
    </row>
    <row r="6871" spans="1:9" hidden="1" x14ac:dyDescent="0.25">
      <c r="A6871">
        <v>2009</v>
      </c>
      <c r="B6871" s="140" t="s">
        <v>74</v>
      </c>
      <c r="C6871" s="140" t="s">
        <v>242</v>
      </c>
      <c r="D6871" s="140" t="s">
        <v>11</v>
      </c>
      <c r="E6871" s="140" t="s">
        <v>12</v>
      </c>
      <c r="F6871">
        <v>652.9</v>
      </c>
      <c r="G6871" s="140" t="s">
        <v>465</v>
      </c>
      <c r="H6871">
        <v>0</v>
      </c>
      <c r="I6871" s="140" t="s">
        <v>62</v>
      </c>
    </row>
    <row r="6872" spans="1:9" hidden="1" x14ac:dyDescent="0.25">
      <c r="A6872">
        <v>2010</v>
      </c>
      <c r="B6872" s="140" t="s">
        <v>74</v>
      </c>
      <c r="C6872" s="140" t="s">
        <v>242</v>
      </c>
      <c r="D6872" s="140" t="s">
        <v>11</v>
      </c>
      <c r="E6872" s="140" t="s">
        <v>12</v>
      </c>
      <c r="F6872">
        <v>639.9</v>
      </c>
      <c r="G6872" s="140" t="s">
        <v>465</v>
      </c>
      <c r="H6872">
        <v>0</v>
      </c>
      <c r="I6872" s="140" t="s">
        <v>62</v>
      </c>
    </row>
    <row r="6873" spans="1:9" hidden="1" x14ac:dyDescent="0.25">
      <c r="A6873">
        <v>2011</v>
      </c>
      <c r="B6873" s="140" t="s">
        <v>74</v>
      </c>
      <c r="C6873" s="140" t="s">
        <v>242</v>
      </c>
      <c r="D6873" s="140" t="s">
        <v>11</v>
      </c>
      <c r="E6873" s="140" t="s">
        <v>12</v>
      </c>
      <c r="F6873">
        <v>637.20000000000005</v>
      </c>
      <c r="G6873" s="140" t="s">
        <v>465</v>
      </c>
      <c r="H6873">
        <v>0</v>
      </c>
      <c r="I6873" s="140" t="s">
        <v>62</v>
      </c>
    </row>
    <row r="6874" spans="1:9" hidden="1" x14ac:dyDescent="0.25">
      <c r="A6874">
        <v>2012</v>
      </c>
      <c r="B6874" s="140" t="s">
        <v>74</v>
      </c>
      <c r="C6874" s="140" t="s">
        <v>242</v>
      </c>
      <c r="D6874" s="140" t="s">
        <v>11</v>
      </c>
      <c r="E6874" s="140" t="s">
        <v>12</v>
      </c>
      <c r="F6874">
        <v>629.70000000000005</v>
      </c>
      <c r="G6874" s="140" t="s">
        <v>465</v>
      </c>
      <c r="H6874">
        <v>0</v>
      </c>
      <c r="I6874" s="140" t="s">
        <v>62</v>
      </c>
    </row>
    <row r="6875" spans="1:9" hidden="1" x14ac:dyDescent="0.25">
      <c r="A6875">
        <v>2013</v>
      </c>
      <c r="B6875" s="140" t="s">
        <v>74</v>
      </c>
      <c r="C6875" s="140" t="s">
        <v>242</v>
      </c>
      <c r="D6875" s="140" t="s">
        <v>11</v>
      </c>
      <c r="E6875" s="140" t="s">
        <v>12</v>
      </c>
      <c r="F6875">
        <v>607.70000000000005</v>
      </c>
      <c r="G6875" s="140" t="s">
        <v>465</v>
      </c>
      <c r="H6875">
        <v>0</v>
      </c>
      <c r="I6875" s="140" t="s">
        <v>62</v>
      </c>
    </row>
    <row r="6876" spans="1:9" hidden="1" x14ac:dyDescent="0.25">
      <c r="A6876">
        <v>2014</v>
      </c>
      <c r="B6876" s="140" t="s">
        <v>74</v>
      </c>
      <c r="C6876" s="140" t="s">
        <v>242</v>
      </c>
      <c r="D6876" s="140" t="s">
        <v>11</v>
      </c>
      <c r="E6876" s="140" t="s">
        <v>12</v>
      </c>
      <c r="F6876">
        <v>608.5</v>
      </c>
      <c r="G6876" s="140" t="s">
        <v>465</v>
      </c>
      <c r="H6876">
        <v>0</v>
      </c>
      <c r="I6876" s="140" t="s">
        <v>62</v>
      </c>
    </row>
    <row r="6877" spans="1:9" hidden="1" x14ac:dyDescent="0.25">
      <c r="A6877">
        <v>2015</v>
      </c>
      <c r="B6877" s="140" t="s">
        <v>74</v>
      </c>
      <c r="C6877" s="140" t="s">
        <v>242</v>
      </c>
      <c r="D6877" s="140" t="s">
        <v>11</v>
      </c>
      <c r="E6877" s="140" t="s">
        <v>12</v>
      </c>
      <c r="F6877">
        <v>612.5</v>
      </c>
      <c r="G6877" s="140" t="s">
        <v>465</v>
      </c>
      <c r="H6877">
        <v>0</v>
      </c>
      <c r="I6877" s="140" t="s">
        <v>62</v>
      </c>
    </row>
    <row r="6878" spans="1:9" hidden="1" x14ac:dyDescent="0.25">
      <c r="A6878">
        <v>2016</v>
      </c>
      <c r="B6878" s="140" t="s">
        <v>74</v>
      </c>
      <c r="C6878" s="140" t="s">
        <v>242</v>
      </c>
      <c r="D6878" s="140" t="s">
        <v>11</v>
      </c>
      <c r="E6878" s="140" t="s">
        <v>12</v>
      </c>
      <c r="F6878">
        <v>611.1</v>
      </c>
      <c r="G6878" s="140" t="s">
        <v>465</v>
      </c>
      <c r="H6878">
        <v>0</v>
      </c>
      <c r="I6878" s="140" t="s">
        <v>62</v>
      </c>
    </row>
    <row r="6879" spans="1:9" hidden="1" x14ac:dyDescent="0.25">
      <c r="A6879">
        <v>2017</v>
      </c>
      <c r="B6879" s="140" t="s">
        <v>74</v>
      </c>
      <c r="C6879" s="140" t="s">
        <v>242</v>
      </c>
      <c r="D6879" s="140" t="s">
        <v>11</v>
      </c>
      <c r="E6879" s="140" t="s">
        <v>12</v>
      </c>
      <c r="F6879">
        <v>584.79999999999995</v>
      </c>
      <c r="G6879" s="140" t="s">
        <v>465</v>
      </c>
      <c r="H6879">
        <v>0</v>
      </c>
      <c r="I6879" s="140" t="s">
        <v>62</v>
      </c>
    </row>
    <row r="6880" spans="1:9" hidden="1" x14ac:dyDescent="0.25">
      <c r="A6880">
        <v>2018</v>
      </c>
      <c r="B6880" s="140" t="s">
        <v>74</v>
      </c>
      <c r="C6880" s="140" t="s">
        <v>242</v>
      </c>
      <c r="D6880" s="140" t="s">
        <v>11</v>
      </c>
      <c r="E6880" s="140" t="s">
        <v>12</v>
      </c>
      <c r="F6880">
        <v>599.5</v>
      </c>
      <c r="G6880" s="140" t="s">
        <v>465</v>
      </c>
      <c r="H6880">
        <v>0</v>
      </c>
      <c r="I6880" s="140" t="s">
        <v>62</v>
      </c>
    </row>
    <row r="6881" spans="1:9" hidden="1" x14ac:dyDescent="0.25">
      <c r="A6881">
        <v>2019</v>
      </c>
      <c r="B6881" s="140" t="s">
        <v>74</v>
      </c>
      <c r="C6881" s="140" t="s">
        <v>242</v>
      </c>
      <c r="D6881" s="140" t="s">
        <v>11</v>
      </c>
      <c r="E6881" s="140" t="s">
        <v>12</v>
      </c>
      <c r="F6881">
        <v>602.5</v>
      </c>
      <c r="G6881" s="140" t="s">
        <v>465</v>
      </c>
      <c r="H6881">
        <v>0</v>
      </c>
      <c r="I6881" s="140" t="s">
        <v>62</v>
      </c>
    </row>
    <row r="6882" spans="1:9" hidden="1" x14ac:dyDescent="0.25">
      <c r="A6882">
        <v>2020</v>
      </c>
      <c r="B6882" s="140" t="s">
        <v>74</v>
      </c>
      <c r="C6882" s="140" t="s">
        <v>242</v>
      </c>
      <c r="D6882" s="140" t="s">
        <v>11</v>
      </c>
      <c r="E6882" s="140" t="s">
        <v>12</v>
      </c>
      <c r="F6882">
        <v>572.20000000000005</v>
      </c>
      <c r="G6882" s="140" t="s">
        <v>465</v>
      </c>
      <c r="H6882">
        <v>0</v>
      </c>
      <c r="I6882" s="140" t="s">
        <v>62</v>
      </c>
    </row>
    <row r="6883" spans="1:9" hidden="1" x14ac:dyDescent="0.25">
      <c r="A6883">
        <v>2021</v>
      </c>
      <c r="B6883" s="140" t="s">
        <v>74</v>
      </c>
      <c r="C6883" s="140" t="s">
        <v>242</v>
      </c>
      <c r="D6883" s="140" t="s">
        <v>11</v>
      </c>
      <c r="E6883" s="140" t="s">
        <v>12</v>
      </c>
      <c r="F6883">
        <v>587.20000000000005</v>
      </c>
      <c r="G6883" s="140" t="s">
        <v>465</v>
      </c>
      <c r="H6883">
        <v>0</v>
      </c>
      <c r="I6883" s="140" t="s">
        <v>62</v>
      </c>
    </row>
    <row r="6884" spans="1:9" hidden="1" x14ac:dyDescent="0.25">
      <c r="A6884">
        <v>2022</v>
      </c>
      <c r="B6884" s="140" t="s">
        <v>74</v>
      </c>
      <c r="C6884" s="140" t="s">
        <v>242</v>
      </c>
      <c r="D6884" s="140" t="s">
        <v>11</v>
      </c>
      <c r="E6884" s="140" t="s">
        <v>12</v>
      </c>
      <c r="F6884">
        <v>572.5</v>
      </c>
      <c r="G6884" s="140" t="s">
        <v>465</v>
      </c>
      <c r="H6884">
        <v>0</v>
      </c>
      <c r="I6884" s="140" t="s">
        <v>62</v>
      </c>
    </row>
    <row r="6885" spans="1:9" hidden="1" x14ac:dyDescent="0.25">
      <c r="A6885">
        <v>2023</v>
      </c>
      <c r="B6885" s="140" t="s">
        <v>74</v>
      </c>
      <c r="C6885" s="140" t="s">
        <v>242</v>
      </c>
      <c r="D6885" s="140" t="s">
        <v>11</v>
      </c>
      <c r="E6885" s="140" t="s">
        <v>12</v>
      </c>
      <c r="F6885">
        <v>538.29999999999995</v>
      </c>
      <c r="G6885" s="140" t="s">
        <v>465</v>
      </c>
      <c r="H6885">
        <v>0</v>
      </c>
      <c r="I6885" s="140" t="s">
        <v>62</v>
      </c>
    </row>
    <row r="6886" spans="1:9" hidden="1" x14ac:dyDescent="0.25">
      <c r="A6886">
        <v>2024</v>
      </c>
      <c r="B6886" s="140" t="s">
        <v>74</v>
      </c>
      <c r="C6886" s="140" t="s">
        <v>242</v>
      </c>
      <c r="D6886" s="140" t="s">
        <v>11</v>
      </c>
      <c r="E6886" s="140" t="s">
        <v>12</v>
      </c>
      <c r="F6886">
        <v>522.5</v>
      </c>
      <c r="G6886" s="140" t="s">
        <v>465</v>
      </c>
      <c r="H6886">
        <v>0</v>
      </c>
      <c r="I6886" s="140" t="s">
        <v>62</v>
      </c>
    </row>
    <row r="6887" spans="1:9" hidden="1" x14ac:dyDescent="0.25">
      <c r="A6887">
        <v>2025</v>
      </c>
      <c r="B6887" s="140" t="s">
        <v>74</v>
      </c>
      <c r="C6887" s="140" t="s">
        <v>242</v>
      </c>
      <c r="D6887" s="140" t="s">
        <v>11</v>
      </c>
      <c r="E6887" s="140" t="s">
        <v>12</v>
      </c>
      <c r="F6887">
        <v>529.70000000000005</v>
      </c>
      <c r="G6887" s="140" t="s">
        <v>465</v>
      </c>
      <c r="H6887">
        <v>0</v>
      </c>
      <c r="I6887" s="140" t="s">
        <v>62</v>
      </c>
    </row>
    <row r="6888" spans="1:9" hidden="1" x14ac:dyDescent="0.25">
      <c r="A6888">
        <v>2026</v>
      </c>
      <c r="B6888" s="140" t="s">
        <v>74</v>
      </c>
      <c r="C6888" s="140" t="s">
        <v>242</v>
      </c>
      <c r="D6888" s="140" t="s">
        <v>11</v>
      </c>
      <c r="E6888" s="140" t="s">
        <v>12</v>
      </c>
      <c r="F6888">
        <v>528.11090000000002</v>
      </c>
      <c r="G6888" s="140" t="s">
        <v>465</v>
      </c>
      <c r="H6888">
        <v>0</v>
      </c>
      <c r="I6888" s="140" t="s">
        <v>62</v>
      </c>
    </row>
    <row r="6889" spans="1:9" hidden="1" x14ac:dyDescent="0.25">
      <c r="A6889">
        <v>2027</v>
      </c>
      <c r="B6889" s="140" t="s">
        <v>74</v>
      </c>
      <c r="C6889" s="140" t="s">
        <v>242</v>
      </c>
      <c r="D6889" s="140" t="s">
        <v>11</v>
      </c>
      <c r="E6889" s="140" t="s">
        <v>12</v>
      </c>
      <c r="F6889">
        <v>533.26051930000006</v>
      </c>
      <c r="G6889" s="140" t="s">
        <v>465</v>
      </c>
      <c r="H6889">
        <v>0</v>
      </c>
      <c r="I6889" s="140" t="s">
        <v>62</v>
      </c>
    </row>
    <row r="6890" spans="1:9" hidden="1" x14ac:dyDescent="0.25">
      <c r="A6890">
        <v>2028</v>
      </c>
      <c r="B6890" s="140" t="s">
        <v>74</v>
      </c>
      <c r="C6890" s="140" t="s">
        <v>242</v>
      </c>
      <c r="D6890" s="140" t="s">
        <v>11</v>
      </c>
      <c r="E6890" s="140" t="s">
        <v>12</v>
      </c>
      <c r="F6890">
        <v>537.07860889999995</v>
      </c>
      <c r="G6890" s="140" t="s">
        <v>465</v>
      </c>
      <c r="H6890">
        <v>0</v>
      </c>
      <c r="I6890" s="140" t="s">
        <v>62</v>
      </c>
    </row>
    <row r="6891" spans="1:9" hidden="1" x14ac:dyDescent="0.25">
      <c r="A6891">
        <v>1990</v>
      </c>
      <c r="B6891" s="140" t="s">
        <v>466</v>
      </c>
      <c r="C6891" s="140" t="s">
        <v>467</v>
      </c>
      <c r="D6891" s="140" t="s">
        <v>11</v>
      </c>
      <c r="E6891" s="140" t="s">
        <v>12</v>
      </c>
      <c r="F6891">
        <v>7081</v>
      </c>
      <c r="G6891" s="140" t="s">
        <v>468</v>
      </c>
      <c r="H6891">
        <v>0</v>
      </c>
      <c r="I6891" s="140" t="s">
        <v>469</v>
      </c>
    </row>
    <row r="6892" spans="1:9" hidden="1" x14ac:dyDescent="0.25">
      <c r="A6892">
        <v>1991</v>
      </c>
      <c r="B6892" s="140" t="s">
        <v>466</v>
      </c>
      <c r="C6892" s="140" t="s">
        <v>467</v>
      </c>
      <c r="D6892" s="140" t="s">
        <v>11</v>
      </c>
      <c r="E6892" s="140" t="s">
        <v>12</v>
      </c>
      <c r="F6892">
        <v>13017</v>
      </c>
      <c r="G6892" s="140" t="s">
        <v>468</v>
      </c>
      <c r="H6892">
        <v>0</v>
      </c>
      <c r="I6892" s="140" t="s">
        <v>469</v>
      </c>
    </row>
    <row r="6893" spans="1:9" hidden="1" x14ac:dyDescent="0.25">
      <c r="A6893">
        <v>1992</v>
      </c>
      <c r="B6893" s="140" t="s">
        <v>466</v>
      </c>
      <c r="C6893" s="140" t="s">
        <v>467</v>
      </c>
      <c r="D6893" s="140" t="s">
        <v>11</v>
      </c>
      <c r="E6893" s="140" t="s">
        <v>12</v>
      </c>
      <c r="F6893">
        <v>8499</v>
      </c>
      <c r="G6893" s="140" t="s">
        <v>468</v>
      </c>
      <c r="H6893">
        <v>0</v>
      </c>
      <c r="I6893" s="140" t="s">
        <v>469</v>
      </c>
    </row>
    <row r="6894" spans="1:9" hidden="1" x14ac:dyDescent="0.25">
      <c r="A6894">
        <v>1993</v>
      </c>
      <c r="B6894" s="140" t="s">
        <v>466</v>
      </c>
      <c r="C6894" s="140" t="s">
        <v>467</v>
      </c>
      <c r="D6894" s="140" t="s">
        <v>11</v>
      </c>
      <c r="E6894" s="140" t="s">
        <v>12</v>
      </c>
      <c r="F6894">
        <v>8390</v>
      </c>
      <c r="G6894" s="140" t="s">
        <v>468</v>
      </c>
      <c r="H6894">
        <v>0</v>
      </c>
      <c r="I6894" s="140" t="s">
        <v>469</v>
      </c>
    </row>
    <row r="6895" spans="1:9" hidden="1" x14ac:dyDescent="0.25">
      <c r="A6895">
        <v>1994</v>
      </c>
      <c r="B6895" s="140" t="s">
        <v>466</v>
      </c>
      <c r="C6895" s="140" t="s">
        <v>467</v>
      </c>
      <c r="D6895" s="140" t="s">
        <v>11</v>
      </c>
      <c r="E6895" s="140" t="s">
        <v>12</v>
      </c>
      <c r="F6895">
        <v>2939</v>
      </c>
      <c r="G6895" s="140" t="s">
        <v>468</v>
      </c>
      <c r="H6895">
        <v>0</v>
      </c>
      <c r="I6895" s="140" t="s">
        <v>469</v>
      </c>
    </row>
    <row r="6896" spans="1:9" hidden="1" x14ac:dyDescent="0.25">
      <c r="A6896">
        <v>1995</v>
      </c>
      <c r="B6896" s="140" t="s">
        <v>466</v>
      </c>
      <c r="C6896" s="140" t="s">
        <v>467</v>
      </c>
      <c r="D6896" s="140" t="s">
        <v>11</v>
      </c>
      <c r="E6896" s="140" t="s">
        <v>12</v>
      </c>
      <c r="F6896">
        <v>3265</v>
      </c>
      <c r="G6896" s="140" t="s">
        <v>468</v>
      </c>
      <c r="H6896">
        <v>0</v>
      </c>
      <c r="I6896" s="140" t="s">
        <v>469</v>
      </c>
    </row>
    <row r="6897" spans="1:9" hidden="1" x14ac:dyDescent="0.25">
      <c r="A6897">
        <v>1996</v>
      </c>
      <c r="B6897" s="140" t="s">
        <v>466</v>
      </c>
      <c r="C6897" s="140" t="s">
        <v>467</v>
      </c>
      <c r="D6897" s="140" t="s">
        <v>11</v>
      </c>
      <c r="E6897" s="140" t="s">
        <v>12</v>
      </c>
      <c r="F6897">
        <v>2707</v>
      </c>
      <c r="G6897" s="140" t="s">
        <v>468</v>
      </c>
      <c r="H6897">
        <v>0</v>
      </c>
      <c r="I6897" s="140" t="s">
        <v>469</v>
      </c>
    </row>
    <row r="6898" spans="1:9" hidden="1" x14ac:dyDescent="0.25">
      <c r="A6898">
        <v>1997</v>
      </c>
      <c r="B6898" s="140" t="s">
        <v>466</v>
      </c>
      <c r="C6898" s="140" t="s">
        <v>467</v>
      </c>
      <c r="D6898" s="140" t="s">
        <v>11</v>
      </c>
      <c r="E6898" s="140" t="s">
        <v>12</v>
      </c>
      <c r="F6898">
        <v>3710</v>
      </c>
      <c r="G6898" s="140" t="s">
        <v>468</v>
      </c>
      <c r="H6898">
        <v>0</v>
      </c>
      <c r="I6898" s="140" t="s">
        <v>469</v>
      </c>
    </row>
    <row r="6899" spans="1:9" hidden="1" x14ac:dyDescent="0.25">
      <c r="A6899">
        <v>1998</v>
      </c>
      <c r="B6899" s="140" t="s">
        <v>466</v>
      </c>
      <c r="C6899" s="140" t="s">
        <v>467</v>
      </c>
      <c r="D6899" s="140" t="s">
        <v>11</v>
      </c>
      <c r="E6899" s="140" t="s">
        <v>12</v>
      </c>
      <c r="F6899">
        <v>3375</v>
      </c>
      <c r="G6899" s="140" t="s">
        <v>468</v>
      </c>
      <c r="H6899">
        <v>0</v>
      </c>
      <c r="I6899" s="140" t="s">
        <v>469</v>
      </c>
    </row>
    <row r="6900" spans="1:9" hidden="1" x14ac:dyDescent="0.25">
      <c r="A6900">
        <v>1999</v>
      </c>
      <c r="B6900" s="140" t="s">
        <v>466</v>
      </c>
      <c r="C6900" s="140" t="s">
        <v>467</v>
      </c>
      <c r="D6900" s="140" t="s">
        <v>11</v>
      </c>
      <c r="E6900" s="140" t="s">
        <v>12</v>
      </c>
      <c r="F6900">
        <v>2778</v>
      </c>
      <c r="G6900" s="140" t="s">
        <v>468</v>
      </c>
      <c r="H6900">
        <v>0</v>
      </c>
      <c r="I6900" s="140" t="s">
        <v>469</v>
      </c>
    </row>
    <row r="6901" spans="1:9" hidden="1" x14ac:dyDescent="0.25">
      <c r="A6901">
        <v>2000</v>
      </c>
      <c r="B6901" s="140" t="s">
        <v>466</v>
      </c>
      <c r="C6901" s="140" t="s">
        <v>467</v>
      </c>
      <c r="D6901" s="140" t="s">
        <v>11</v>
      </c>
      <c r="E6901" s="140" t="s">
        <v>12</v>
      </c>
      <c r="F6901">
        <v>2584</v>
      </c>
      <c r="G6901" s="140" t="s">
        <v>468</v>
      </c>
      <c r="H6901">
        <v>0</v>
      </c>
      <c r="I6901" s="140" t="s">
        <v>469</v>
      </c>
    </row>
    <row r="6902" spans="1:9" hidden="1" x14ac:dyDescent="0.25">
      <c r="A6902">
        <v>2001</v>
      </c>
      <c r="B6902" s="140" t="s">
        <v>466</v>
      </c>
      <c r="C6902" s="140" t="s">
        <v>467</v>
      </c>
      <c r="D6902" s="140" t="s">
        <v>11</v>
      </c>
      <c r="E6902" s="140" t="s">
        <v>12</v>
      </c>
      <c r="F6902">
        <v>5802</v>
      </c>
      <c r="G6902" s="140" t="s">
        <v>468</v>
      </c>
      <c r="H6902">
        <v>0</v>
      </c>
      <c r="I6902" s="140" t="s">
        <v>469</v>
      </c>
    </row>
    <row r="6903" spans="1:9" hidden="1" x14ac:dyDescent="0.25">
      <c r="A6903">
        <v>2002</v>
      </c>
      <c r="B6903" s="140" t="s">
        <v>466</v>
      </c>
      <c r="C6903" s="140" t="s">
        <v>467</v>
      </c>
      <c r="D6903" s="140" t="s">
        <v>11</v>
      </c>
      <c r="E6903" s="140" t="s">
        <v>12</v>
      </c>
      <c r="F6903">
        <v>5221</v>
      </c>
      <c r="G6903" s="140" t="s">
        <v>468</v>
      </c>
      <c r="H6903">
        <v>0</v>
      </c>
      <c r="I6903" s="140" t="s">
        <v>469</v>
      </c>
    </row>
    <row r="6904" spans="1:9" hidden="1" x14ac:dyDescent="0.25">
      <c r="A6904">
        <v>2003</v>
      </c>
      <c r="B6904" s="140" t="s">
        <v>466</v>
      </c>
      <c r="C6904" s="140" t="s">
        <v>467</v>
      </c>
      <c r="D6904" s="140" t="s">
        <v>11</v>
      </c>
      <c r="E6904" s="140" t="s">
        <v>12</v>
      </c>
      <c r="F6904">
        <v>5755</v>
      </c>
      <c r="G6904" s="140" t="s">
        <v>468</v>
      </c>
      <c r="H6904">
        <v>0</v>
      </c>
      <c r="I6904" s="140" t="s">
        <v>469</v>
      </c>
    </row>
    <row r="6905" spans="1:9" hidden="1" x14ac:dyDescent="0.25">
      <c r="A6905">
        <v>2004</v>
      </c>
      <c r="B6905" s="140" t="s">
        <v>466</v>
      </c>
      <c r="C6905" s="140" t="s">
        <v>467</v>
      </c>
      <c r="D6905" s="140" t="s">
        <v>11</v>
      </c>
      <c r="E6905" s="140" t="s">
        <v>12</v>
      </c>
      <c r="F6905">
        <v>6677</v>
      </c>
      <c r="G6905" s="140" t="s">
        <v>468</v>
      </c>
      <c r="H6905">
        <v>0</v>
      </c>
      <c r="I6905" s="140" t="s">
        <v>469</v>
      </c>
    </row>
    <row r="6906" spans="1:9" hidden="1" x14ac:dyDescent="0.25">
      <c r="A6906">
        <v>2005</v>
      </c>
      <c r="B6906" s="140" t="s">
        <v>466</v>
      </c>
      <c r="C6906" s="140" t="s">
        <v>467</v>
      </c>
      <c r="D6906" s="140" t="s">
        <v>11</v>
      </c>
      <c r="E6906" s="140" t="s">
        <v>12</v>
      </c>
      <c r="F6906">
        <v>8986</v>
      </c>
      <c r="G6906" s="140" t="s">
        <v>468</v>
      </c>
      <c r="H6906">
        <v>0</v>
      </c>
      <c r="I6906" s="140" t="s">
        <v>469</v>
      </c>
    </row>
    <row r="6907" spans="1:9" hidden="1" x14ac:dyDescent="0.25">
      <c r="A6907">
        <v>2006</v>
      </c>
      <c r="B6907" s="140" t="s">
        <v>466</v>
      </c>
      <c r="C6907" s="140" t="s">
        <v>467</v>
      </c>
      <c r="D6907" s="140" t="s">
        <v>11</v>
      </c>
      <c r="E6907" s="140" t="s">
        <v>12</v>
      </c>
      <c r="F6907">
        <v>10344</v>
      </c>
      <c r="G6907" s="140" t="s">
        <v>468</v>
      </c>
      <c r="H6907">
        <v>0</v>
      </c>
      <c r="I6907" s="140" t="s">
        <v>469</v>
      </c>
    </row>
    <row r="6908" spans="1:9" hidden="1" x14ac:dyDescent="0.25">
      <c r="A6908">
        <v>2007</v>
      </c>
      <c r="B6908" s="140" t="s">
        <v>466</v>
      </c>
      <c r="C6908" s="140" t="s">
        <v>467</v>
      </c>
      <c r="D6908" s="140" t="s">
        <v>11</v>
      </c>
      <c r="E6908" s="140" t="s">
        <v>12</v>
      </c>
      <c r="F6908">
        <v>13586</v>
      </c>
      <c r="G6908" s="140" t="s">
        <v>468</v>
      </c>
      <c r="H6908">
        <v>0</v>
      </c>
      <c r="I6908" s="140" t="s">
        <v>469</v>
      </c>
    </row>
    <row r="6909" spans="1:9" hidden="1" x14ac:dyDescent="0.25">
      <c r="A6909">
        <v>2008</v>
      </c>
      <c r="B6909" s="140" t="s">
        <v>466</v>
      </c>
      <c r="C6909" s="140" t="s">
        <v>467</v>
      </c>
      <c r="D6909" s="140" t="s">
        <v>11</v>
      </c>
      <c r="E6909" s="140" t="s">
        <v>12</v>
      </c>
      <c r="F6909">
        <v>15457</v>
      </c>
      <c r="G6909" s="140" t="s">
        <v>468</v>
      </c>
      <c r="H6909">
        <v>0</v>
      </c>
      <c r="I6909" s="140" t="s">
        <v>469</v>
      </c>
    </row>
    <row r="6910" spans="1:9" hidden="1" x14ac:dyDescent="0.25">
      <c r="A6910">
        <v>2009</v>
      </c>
      <c r="B6910" s="140" t="s">
        <v>466</v>
      </c>
      <c r="C6910" s="140" t="s">
        <v>467</v>
      </c>
      <c r="D6910" s="140" t="s">
        <v>11</v>
      </c>
      <c r="E6910" s="140" t="s">
        <v>12</v>
      </c>
      <c r="F6910">
        <v>14548</v>
      </c>
      <c r="G6910" s="140" t="s">
        <v>468</v>
      </c>
      <c r="H6910">
        <v>0</v>
      </c>
      <c r="I6910" s="140" t="s">
        <v>469</v>
      </c>
    </row>
    <row r="6911" spans="1:9" hidden="1" x14ac:dyDescent="0.25">
      <c r="A6911">
        <v>2010</v>
      </c>
      <c r="B6911" s="140" t="s">
        <v>466</v>
      </c>
      <c r="C6911" s="140" t="s">
        <v>467</v>
      </c>
      <c r="D6911" s="140" t="s">
        <v>11</v>
      </c>
      <c r="E6911" s="140" t="s">
        <v>12</v>
      </c>
      <c r="F6911">
        <v>13731</v>
      </c>
      <c r="G6911" s="140" t="s">
        <v>468</v>
      </c>
      <c r="H6911">
        <v>0</v>
      </c>
      <c r="I6911" s="140" t="s">
        <v>469</v>
      </c>
    </row>
    <row r="6912" spans="1:9" hidden="1" x14ac:dyDescent="0.25">
      <c r="A6912">
        <v>2011</v>
      </c>
      <c r="B6912" s="140" t="s">
        <v>466</v>
      </c>
      <c r="C6912" s="140" t="s">
        <v>467</v>
      </c>
      <c r="D6912" s="140" t="s">
        <v>11</v>
      </c>
      <c r="E6912" s="140" t="s">
        <v>12</v>
      </c>
      <c r="F6912">
        <v>16821</v>
      </c>
      <c r="G6912" s="140" t="s">
        <v>468</v>
      </c>
      <c r="H6912">
        <v>0</v>
      </c>
      <c r="I6912" s="140" t="s">
        <v>469</v>
      </c>
    </row>
    <row r="6913" spans="1:9" hidden="1" x14ac:dyDescent="0.25">
      <c r="A6913">
        <v>2012</v>
      </c>
      <c r="B6913" s="140" t="s">
        <v>466</v>
      </c>
      <c r="C6913" s="140" t="s">
        <v>467</v>
      </c>
      <c r="D6913" s="140" t="s">
        <v>11</v>
      </c>
      <c r="E6913" s="140" t="s">
        <v>12</v>
      </c>
      <c r="F6913">
        <v>17433</v>
      </c>
      <c r="G6913" s="140" t="s">
        <v>468</v>
      </c>
      <c r="H6913">
        <v>0</v>
      </c>
      <c r="I6913" s="140" t="s">
        <v>469</v>
      </c>
    </row>
    <row r="6914" spans="1:9" hidden="1" x14ac:dyDescent="0.25">
      <c r="A6914">
        <v>2013</v>
      </c>
      <c r="B6914" s="140" t="s">
        <v>466</v>
      </c>
      <c r="C6914" s="140" t="s">
        <v>467</v>
      </c>
      <c r="D6914" s="140" t="s">
        <v>11</v>
      </c>
      <c r="E6914" s="140" t="s">
        <v>12</v>
      </c>
      <c r="F6914">
        <v>18048</v>
      </c>
      <c r="G6914" s="140" t="s">
        <v>468</v>
      </c>
      <c r="H6914">
        <v>0</v>
      </c>
      <c r="I6914" s="140" t="s">
        <v>469</v>
      </c>
    </row>
    <row r="6915" spans="1:9" hidden="1" x14ac:dyDescent="0.25">
      <c r="A6915">
        <v>2014</v>
      </c>
      <c r="B6915" s="140" t="s">
        <v>466</v>
      </c>
      <c r="C6915" s="140" t="s">
        <v>467</v>
      </c>
      <c r="D6915" s="140" t="s">
        <v>11</v>
      </c>
      <c r="E6915" s="140" t="s">
        <v>12</v>
      </c>
      <c r="F6915">
        <v>16021</v>
      </c>
      <c r="G6915" s="140" t="s">
        <v>468</v>
      </c>
      <c r="H6915">
        <v>0</v>
      </c>
      <c r="I6915" s="140" t="s">
        <v>469</v>
      </c>
    </row>
    <row r="6916" spans="1:9" hidden="1" x14ac:dyDescent="0.25">
      <c r="A6916">
        <v>2015</v>
      </c>
      <c r="B6916" s="140" t="s">
        <v>466</v>
      </c>
      <c r="C6916" s="140" t="s">
        <v>467</v>
      </c>
      <c r="D6916" s="140" t="s">
        <v>11</v>
      </c>
      <c r="E6916" s="140" t="s">
        <v>12</v>
      </c>
      <c r="F6916">
        <v>12441</v>
      </c>
      <c r="G6916" s="140" t="s">
        <v>468</v>
      </c>
      <c r="H6916">
        <v>0</v>
      </c>
      <c r="I6916" s="140" t="s">
        <v>469</v>
      </c>
    </row>
    <row r="6917" spans="1:9" hidden="1" x14ac:dyDescent="0.25">
      <c r="A6917">
        <v>2016</v>
      </c>
      <c r="B6917" s="140" t="s">
        <v>466</v>
      </c>
      <c r="C6917" s="140" t="s">
        <v>467</v>
      </c>
      <c r="D6917" s="140" t="s">
        <v>11</v>
      </c>
      <c r="E6917" s="140" t="s">
        <v>12</v>
      </c>
      <c r="F6917">
        <v>16823</v>
      </c>
      <c r="G6917" s="140" t="s">
        <v>468</v>
      </c>
      <c r="H6917">
        <v>0</v>
      </c>
      <c r="I6917" s="140" t="s">
        <v>469</v>
      </c>
    </row>
    <row r="6918" spans="1:9" hidden="1" x14ac:dyDescent="0.25">
      <c r="A6918">
        <v>2017</v>
      </c>
      <c r="B6918" s="140" t="s">
        <v>466</v>
      </c>
      <c r="C6918" s="140" t="s">
        <v>467</v>
      </c>
      <c r="D6918" s="140" t="s">
        <v>11</v>
      </c>
      <c r="E6918" s="140" t="s">
        <v>12</v>
      </c>
      <c r="F6918">
        <v>14824</v>
      </c>
      <c r="G6918" s="140" t="s">
        <v>468</v>
      </c>
      <c r="H6918">
        <v>0</v>
      </c>
      <c r="I6918" s="140" t="s">
        <v>469</v>
      </c>
    </row>
    <row r="6919" spans="1:9" hidden="1" x14ac:dyDescent="0.25">
      <c r="A6919">
        <v>2018</v>
      </c>
      <c r="B6919" s="140" t="s">
        <v>466</v>
      </c>
      <c r="C6919" s="140" t="s">
        <v>467</v>
      </c>
      <c r="D6919" s="140" t="s">
        <v>11</v>
      </c>
      <c r="E6919" s="140" t="s">
        <v>12</v>
      </c>
      <c r="F6919">
        <v>11965</v>
      </c>
      <c r="G6919" s="140" t="s">
        <v>468</v>
      </c>
      <c r="H6919">
        <v>0</v>
      </c>
      <c r="I6919" s="140" t="s">
        <v>469</v>
      </c>
    </row>
    <row r="6920" spans="1:9" hidden="1" x14ac:dyDescent="0.25">
      <c r="A6920">
        <v>2019</v>
      </c>
      <c r="B6920" s="140" t="s">
        <v>466</v>
      </c>
      <c r="C6920" s="140" t="s">
        <v>467</v>
      </c>
      <c r="D6920" s="140" t="s">
        <v>11</v>
      </c>
      <c r="E6920" s="140" t="s">
        <v>12</v>
      </c>
      <c r="F6920">
        <v>15495</v>
      </c>
      <c r="G6920" s="140" t="s">
        <v>468</v>
      </c>
      <c r="H6920">
        <v>0</v>
      </c>
      <c r="I6920" s="140" t="s">
        <v>469</v>
      </c>
    </row>
    <row r="6921" spans="1:9" hidden="1" x14ac:dyDescent="0.25">
      <c r="A6921">
        <v>2020</v>
      </c>
      <c r="B6921" s="140" t="s">
        <v>466</v>
      </c>
      <c r="C6921" s="140" t="s">
        <v>467</v>
      </c>
      <c r="D6921" s="140" t="s">
        <v>11</v>
      </c>
      <c r="E6921" s="140" t="s">
        <v>12</v>
      </c>
      <c r="F6921">
        <v>17814</v>
      </c>
      <c r="G6921" s="140" t="s">
        <v>468</v>
      </c>
      <c r="H6921">
        <v>0</v>
      </c>
      <c r="I6921" s="140" t="s">
        <v>469</v>
      </c>
    </row>
    <row r="6922" spans="1:9" hidden="1" x14ac:dyDescent="0.25">
      <c r="A6922">
        <v>2021</v>
      </c>
      <c r="B6922" s="140" t="s">
        <v>466</v>
      </c>
      <c r="C6922" s="140" t="s">
        <v>467</v>
      </c>
      <c r="D6922" s="140" t="s">
        <v>11</v>
      </c>
      <c r="E6922" s="140" t="s">
        <v>12</v>
      </c>
      <c r="F6922">
        <v>22905</v>
      </c>
      <c r="G6922" s="140" t="s">
        <v>468</v>
      </c>
      <c r="H6922">
        <v>0</v>
      </c>
      <c r="I6922" s="140" t="s">
        <v>469</v>
      </c>
    </row>
    <row r="6923" spans="1:9" hidden="1" x14ac:dyDescent="0.25">
      <c r="A6923">
        <v>2022</v>
      </c>
      <c r="B6923" s="140" t="s">
        <v>466</v>
      </c>
      <c r="C6923" s="140" t="s">
        <v>467</v>
      </c>
      <c r="D6923" s="140" t="s">
        <v>11</v>
      </c>
      <c r="E6923" s="140" t="s">
        <v>12</v>
      </c>
      <c r="F6923">
        <v>34363</v>
      </c>
      <c r="G6923" s="140" t="s">
        <v>468</v>
      </c>
      <c r="H6923">
        <v>0</v>
      </c>
      <c r="I6923" s="140" t="s">
        <v>469</v>
      </c>
    </row>
    <row r="6924" spans="1:9" hidden="1" x14ac:dyDescent="0.25">
      <c r="A6924">
        <v>2023</v>
      </c>
      <c r="B6924" s="140" t="s">
        <v>466</v>
      </c>
      <c r="C6924" s="140" t="s">
        <v>467</v>
      </c>
      <c r="D6924" s="140" t="s">
        <v>11</v>
      </c>
      <c r="E6924" s="140" t="s">
        <v>12</v>
      </c>
      <c r="F6924">
        <v>57914</v>
      </c>
      <c r="G6924" s="140" t="s">
        <v>468</v>
      </c>
      <c r="H6924">
        <v>0</v>
      </c>
      <c r="I6924" s="140" t="s">
        <v>469</v>
      </c>
    </row>
    <row r="6925" spans="1:9" hidden="1" x14ac:dyDescent="0.25">
      <c r="A6925">
        <v>2024</v>
      </c>
      <c r="B6925" s="140" t="s">
        <v>466</v>
      </c>
      <c r="C6925" s="140" t="s">
        <v>467</v>
      </c>
      <c r="D6925" s="140" t="s">
        <v>11</v>
      </c>
      <c r="E6925" s="140" t="s">
        <v>12</v>
      </c>
      <c r="F6925">
        <v>47051</v>
      </c>
      <c r="G6925" s="140" t="s">
        <v>468</v>
      </c>
      <c r="H6925">
        <v>0</v>
      </c>
      <c r="I6925" s="140" t="s">
        <v>469</v>
      </c>
    </row>
    <row r="6926" spans="1:9" hidden="1" x14ac:dyDescent="0.25">
      <c r="A6926">
        <v>2025</v>
      </c>
      <c r="B6926" s="140" t="s">
        <v>466</v>
      </c>
      <c r="C6926" s="140" t="s">
        <v>467</v>
      </c>
      <c r="D6926" s="140" t="s">
        <v>11</v>
      </c>
      <c r="E6926" s="140" t="s">
        <v>12</v>
      </c>
      <c r="F6926">
        <v>31233</v>
      </c>
      <c r="G6926" s="140" t="s">
        <v>468</v>
      </c>
      <c r="H6926">
        <v>0</v>
      </c>
      <c r="I6926" s="140" t="s">
        <v>469</v>
      </c>
    </row>
    <row r="6927" spans="1:9" hidden="1" x14ac:dyDescent="0.25">
      <c r="A6927">
        <v>2026</v>
      </c>
      <c r="B6927" s="140" t="s">
        <v>466</v>
      </c>
      <c r="C6927" s="140" t="s">
        <v>467</v>
      </c>
      <c r="D6927" s="140" t="s">
        <v>11</v>
      </c>
      <c r="E6927" s="140" t="s">
        <v>12</v>
      </c>
      <c r="F6927">
        <v>23500</v>
      </c>
      <c r="G6927" s="140" t="s">
        <v>468</v>
      </c>
      <c r="H6927">
        <v>0</v>
      </c>
      <c r="I6927" s="140" t="s">
        <v>469</v>
      </c>
    </row>
    <row r="6928" spans="1:9" hidden="1" x14ac:dyDescent="0.25">
      <c r="A6928">
        <v>2027</v>
      </c>
      <c r="B6928" s="140" t="s">
        <v>466</v>
      </c>
      <c r="C6928" s="140" t="s">
        <v>467</v>
      </c>
      <c r="D6928" s="140" t="s">
        <v>11</v>
      </c>
      <c r="E6928" s="140" t="s">
        <v>12</v>
      </c>
      <c r="F6928">
        <v>25000</v>
      </c>
      <c r="G6928" s="140" t="s">
        <v>468</v>
      </c>
      <c r="H6928">
        <v>0</v>
      </c>
      <c r="I6928" s="140" t="s">
        <v>469</v>
      </c>
    </row>
    <row r="6929" spans="1:9" hidden="1" x14ac:dyDescent="0.25">
      <c r="A6929">
        <v>2028</v>
      </c>
      <c r="B6929" s="140" t="s">
        <v>466</v>
      </c>
      <c r="C6929" s="140" t="s">
        <v>467</v>
      </c>
      <c r="D6929" s="140" t="s">
        <v>11</v>
      </c>
      <c r="E6929" s="140" t="s">
        <v>12</v>
      </c>
      <c r="F6929">
        <v>25000</v>
      </c>
      <c r="G6929" s="140" t="s">
        <v>468</v>
      </c>
      <c r="H6929">
        <v>0</v>
      </c>
      <c r="I6929" s="140" t="s">
        <v>469</v>
      </c>
    </row>
    <row r="6930" spans="1:9" hidden="1" x14ac:dyDescent="0.25">
      <c r="A6930">
        <v>1990</v>
      </c>
      <c r="B6930" s="140" t="s">
        <v>122</v>
      </c>
      <c r="C6930" s="140" t="s">
        <v>243</v>
      </c>
      <c r="D6930" s="140" t="s">
        <v>11</v>
      </c>
      <c r="E6930" s="140" t="s">
        <v>12</v>
      </c>
      <c r="F6930">
        <v>6668</v>
      </c>
      <c r="G6930" s="140" t="s">
        <v>428</v>
      </c>
      <c r="H6930">
        <v>0</v>
      </c>
      <c r="I6930" s="140" t="s">
        <v>17</v>
      </c>
    </row>
    <row r="6931" spans="1:9" hidden="1" x14ac:dyDescent="0.25">
      <c r="A6931">
        <v>1991</v>
      </c>
      <c r="B6931" s="140" t="s">
        <v>122</v>
      </c>
      <c r="C6931" s="140" t="s">
        <v>243</v>
      </c>
      <c r="D6931" s="140" t="s">
        <v>11</v>
      </c>
      <c r="E6931" s="140" t="s">
        <v>12</v>
      </c>
      <c r="F6931">
        <v>5566</v>
      </c>
      <c r="G6931" s="140" t="s">
        <v>428</v>
      </c>
      <c r="H6931">
        <v>0</v>
      </c>
      <c r="I6931" s="140" t="s">
        <v>17</v>
      </c>
    </row>
    <row r="6932" spans="1:9" hidden="1" x14ac:dyDescent="0.25">
      <c r="A6932">
        <v>1992</v>
      </c>
      <c r="B6932" s="140" t="s">
        <v>122</v>
      </c>
      <c r="C6932" s="140" t="s">
        <v>243</v>
      </c>
      <c r="D6932" s="140" t="s">
        <v>11</v>
      </c>
      <c r="E6932" s="140" t="s">
        <v>12</v>
      </c>
      <c r="F6932">
        <v>4252</v>
      </c>
      <c r="G6932" s="140" t="s">
        <v>428</v>
      </c>
      <c r="H6932">
        <v>0</v>
      </c>
      <c r="I6932" s="140" t="s">
        <v>17</v>
      </c>
    </row>
    <row r="6933" spans="1:9" hidden="1" x14ac:dyDescent="0.25">
      <c r="A6933">
        <v>1993</v>
      </c>
      <c r="B6933" s="140" t="s">
        <v>122</v>
      </c>
      <c r="C6933" s="140" t="s">
        <v>243</v>
      </c>
      <c r="D6933" s="140" t="s">
        <v>11</v>
      </c>
      <c r="E6933" s="140" t="s">
        <v>12</v>
      </c>
      <c r="F6933">
        <v>3808</v>
      </c>
      <c r="G6933" s="140" t="s">
        <v>428</v>
      </c>
      <c r="H6933">
        <v>0</v>
      </c>
      <c r="I6933" s="140" t="s">
        <v>17</v>
      </c>
    </row>
    <row r="6934" spans="1:9" hidden="1" x14ac:dyDescent="0.25">
      <c r="A6934">
        <v>1994</v>
      </c>
      <c r="B6934" s="140" t="s">
        <v>122</v>
      </c>
      <c r="C6934" s="140" t="s">
        <v>243</v>
      </c>
      <c r="D6934" s="140" t="s">
        <v>11</v>
      </c>
      <c r="E6934" s="140" t="s">
        <v>12</v>
      </c>
      <c r="F6934">
        <v>4144</v>
      </c>
      <c r="G6934" s="140" t="s">
        <v>428</v>
      </c>
      <c r="H6934">
        <v>0</v>
      </c>
      <c r="I6934" s="140" t="s">
        <v>17</v>
      </c>
    </row>
    <row r="6935" spans="1:9" hidden="1" x14ac:dyDescent="0.25">
      <c r="A6935">
        <v>1995</v>
      </c>
      <c r="B6935" s="140" t="s">
        <v>122</v>
      </c>
      <c r="C6935" s="140" t="s">
        <v>243</v>
      </c>
      <c r="D6935" s="140" t="s">
        <v>11</v>
      </c>
      <c r="E6935" s="140" t="s">
        <v>12</v>
      </c>
      <c r="F6935">
        <v>4461</v>
      </c>
      <c r="G6935" s="140" t="s">
        <v>428</v>
      </c>
      <c r="H6935">
        <v>0</v>
      </c>
      <c r="I6935" s="140" t="s">
        <v>17</v>
      </c>
    </row>
    <row r="6936" spans="1:9" hidden="1" x14ac:dyDescent="0.25">
      <c r="A6936">
        <v>1996</v>
      </c>
      <c r="B6936" s="140" t="s">
        <v>122</v>
      </c>
      <c r="C6936" s="140" t="s">
        <v>243</v>
      </c>
      <c r="D6936" s="140" t="s">
        <v>11</v>
      </c>
      <c r="E6936" s="140" t="s">
        <v>12</v>
      </c>
      <c r="F6936">
        <v>4541</v>
      </c>
      <c r="G6936" s="140" t="s">
        <v>428</v>
      </c>
      <c r="H6936">
        <v>0</v>
      </c>
      <c r="I6936" s="140" t="s">
        <v>17</v>
      </c>
    </row>
    <row r="6937" spans="1:9" hidden="1" x14ac:dyDescent="0.25">
      <c r="A6937">
        <v>1997</v>
      </c>
      <c r="B6937" s="140" t="s">
        <v>122</v>
      </c>
      <c r="C6937" s="140" t="s">
        <v>243</v>
      </c>
      <c r="D6937" s="140" t="s">
        <v>11</v>
      </c>
      <c r="E6937" s="140" t="s">
        <v>12</v>
      </c>
      <c r="F6937">
        <v>5467</v>
      </c>
      <c r="G6937" s="140" t="s">
        <v>428</v>
      </c>
      <c r="H6937">
        <v>0</v>
      </c>
      <c r="I6937" s="140" t="s">
        <v>17</v>
      </c>
    </row>
    <row r="6938" spans="1:9" hidden="1" x14ac:dyDescent="0.25">
      <c r="A6938">
        <v>1998</v>
      </c>
      <c r="B6938" s="140" t="s">
        <v>122</v>
      </c>
      <c r="C6938" s="140" t="s">
        <v>243</v>
      </c>
      <c r="D6938" s="140" t="s">
        <v>11</v>
      </c>
      <c r="E6938" s="140" t="s">
        <v>12</v>
      </c>
      <c r="F6938">
        <v>6410</v>
      </c>
      <c r="G6938" s="140" t="s">
        <v>428</v>
      </c>
      <c r="H6938">
        <v>0</v>
      </c>
      <c r="I6938" s="140" t="s">
        <v>17</v>
      </c>
    </row>
    <row r="6939" spans="1:9" hidden="1" x14ac:dyDescent="0.25">
      <c r="A6939">
        <v>1999</v>
      </c>
      <c r="B6939" s="140" t="s">
        <v>122</v>
      </c>
      <c r="C6939" s="140" t="s">
        <v>243</v>
      </c>
      <c r="D6939" s="140" t="s">
        <v>11</v>
      </c>
      <c r="E6939" s="140" t="s">
        <v>12</v>
      </c>
      <c r="F6939">
        <v>7257</v>
      </c>
      <c r="G6939" s="140" t="s">
        <v>428</v>
      </c>
      <c r="H6939">
        <v>0</v>
      </c>
      <c r="I6939" s="140" t="s">
        <v>17</v>
      </c>
    </row>
    <row r="6940" spans="1:9" hidden="1" x14ac:dyDescent="0.25">
      <c r="A6940">
        <v>2000</v>
      </c>
      <c r="B6940" s="140" t="s">
        <v>122</v>
      </c>
      <c r="C6940" s="140" t="s">
        <v>243</v>
      </c>
      <c r="D6940" s="140" t="s">
        <v>11</v>
      </c>
      <c r="E6940" s="140" t="s">
        <v>12</v>
      </c>
      <c r="F6940">
        <v>8254</v>
      </c>
      <c r="G6940" s="140" t="s">
        <v>428</v>
      </c>
      <c r="H6940">
        <v>0</v>
      </c>
      <c r="I6940" s="140" t="s">
        <v>17</v>
      </c>
    </row>
    <row r="6941" spans="1:9" hidden="1" x14ac:dyDescent="0.25">
      <c r="A6941">
        <v>2001</v>
      </c>
      <c r="B6941" s="140" t="s">
        <v>122</v>
      </c>
      <c r="C6941" s="140" t="s">
        <v>243</v>
      </c>
      <c r="D6941" s="140" t="s">
        <v>11</v>
      </c>
      <c r="E6941" s="140" t="s">
        <v>12</v>
      </c>
      <c r="F6941">
        <v>7718</v>
      </c>
      <c r="G6941" s="140" t="s">
        <v>428</v>
      </c>
      <c r="H6941">
        <v>0</v>
      </c>
      <c r="I6941" s="140" t="s">
        <v>17</v>
      </c>
    </row>
    <row r="6942" spans="1:9" hidden="1" x14ac:dyDescent="0.25">
      <c r="A6942">
        <v>2002</v>
      </c>
      <c r="B6942" s="140" t="s">
        <v>122</v>
      </c>
      <c r="C6942" s="140" t="s">
        <v>243</v>
      </c>
      <c r="D6942" s="140" t="s">
        <v>11</v>
      </c>
      <c r="E6942" s="140" t="s">
        <v>12</v>
      </c>
      <c r="F6942">
        <v>7522</v>
      </c>
      <c r="G6942" s="140" t="s">
        <v>428</v>
      </c>
      <c r="H6942">
        <v>0</v>
      </c>
      <c r="I6942" s="140" t="s">
        <v>17</v>
      </c>
    </row>
    <row r="6943" spans="1:9" hidden="1" x14ac:dyDescent="0.25">
      <c r="A6943">
        <v>2003</v>
      </c>
      <c r="B6943" s="140" t="s">
        <v>122</v>
      </c>
      <c r="C6943" s="140" t="s">
        <v>243</v>
      </c>
      <c r="D6943" s="140" t="s">
        <v>11</v>
      </c>
      <c r="E6943" s="140" t="s">
        <v>12</v>
      </c>
      <c r="F6943">
        <v>8380</v>
      </c>
      <c r="G6943" s="140" t="s">
        <v>428</v>
      </c>
      <c r="H6943">
        <v>0</v>
      </c>
      <c r="I6943" s="140" t="s">
        <v>17</v>
      </c>
    </row>
    <row r="6944" spans="1:9" hidden="1" x14ac:dyDescent="0.25">
      <c r="A6944">
        <v>2004</v>
      </c>
      <c r="B6944" s="140" t="s">
        <v>122</v>
      </c>
      <c r="C6944" s="140" t="s">
        <v>243</v>
      </c>
      <c r="D6944" s="140" t="s">
        <v>11</v>
      </c>
      <c r="E6944" s="140" t="s">
        <v>12</v>
      </c>
      <c r="F6944">
        <v>9549</v>
      </c>
      <c r="G6944" s="140" t="s">
        <v>428</v>
      </c>
      <c r="H6944">
        <v>0</v>
      </c>
      <c r="I6944" s="140" t="s">
        <v>17</v>
      </c>
    </row>
    <row r="6945" spans="1:9" hidden="1" x14ac:dyDescent="0.25">
      <c r="A6945">
        <v>2005</v>
      </c>
      <c r="B6945" s="140" t="s">
        <v>122</v>
      </c>
      <c r="C6945" s="140" t="s">
        <v>243</v>
      </c>
      <c r="D6945" s="140" t="s">
        <v>11</v>
      </c>
      <c r="E6945" s="140" t="s">
        <v>12</v>
      </c>
      <c r="F6945">
        <v>10553</v>
      </c>
      <c r="G6945" s="140" t="s">
        <v>428</v>
      </c>
      <c r="H6945">
        <v>0</v>
      </c>
      <c r="I6945" s="140" t="s">
        <v>17</v>
      </c>
    </row>
    <row r="6946" spans="1:9" hidden="1" x14ac:dyDescent="0.25">
      <c r="A6946">
        <v>2006</v>
      </c>
      <c r="B6946" s="140" t="s">
        <v>122</v>
      </c>
      <c r="C6946" s="140" t="s">
        <v>243</v>
      </c>
      <c r="D6946" s="140" t="s">
        <v>11</v>
      </c>
      <c r="E6946" s="140" t="s">
        <v>12</v>
      </c>
      <c r="F6946">
        <v>11375</v>
      </c>
      <c r="G6946" s="140" t="s">
        <v>428</v>
      </c>
      <c r="H6946">
        <v>0</v>
      </c>
      <c r="I6946" s="140" t="s">
        <v>17</v>
      </c>
    </row>
    <row r="6947" spans="1:9" hidden="1" x14ac:dyDescent="0.25">
      <c r="A6947">
        <v>2007</v>
      </c>
      <c r="B6947" s="140" t="s">
        <v>122</v>
      </c>
      <c r="C6947" s="140" t="s">
        <v>243</v>
      </c>
      <c r="D6947" s="140" t="s">
        <v>11</v>
      </c>
      <c r="E6947" s="140" t="s">
        <v>12</v>
      </c>
      <c r="F6947">
        <v>12195</v>
      </c>
      <c r="G6947" s="140" t="s">
        <v>428</v>
      </c>
      <c r="H6947">
        <v>0</v>
      </c>
      <c r="I6947" s="140" t="s">
        <v>17</v>
      </c>
    </row>
    <row r="6948" spans="1:9" hidden="1" x14ac:dyDescent="0.25">
      <c r="A6948">
        <v>2008</v>
      </c>
      <c r="B6948" s="140" t="s">
        <v>122</v>
      </c>
      <c r="C6948" s="140" t="s">
        <v>243</v>
      </c>
      <c r="D6948" s="140" t="s">
        <v>11</v>
      </c>
      <c r="E6948" s="140" t="s">
        <v>12</v>
      </c>
      <c r="F6948">
        <v>11592</v>
      </c>
      <c r="G6948" s="140" t="s">
        <v>428</v>
      </c>
      <c r="H6948">
        <v>0</v>
      </c>
      <c r="I6948" s="140" t="s">
        <v>17</v>
      </c>
    </row>
    <row r="6949" spans="1:9" hidden="1" x14ac:dyDescent="0.25">
      <c r="A6949">
        <v>2009</v>
      </c>
      <c r="B6949" s="140" t="s">
        <v>122</v>
      </c>
      <c r="C6949" s="140" t="s">
        <v>243</v>
      </c>
      <c r="D6949" s="140" t="s">
        <v>11</v>
      </c>
      <c r="E6949" s="140" t="s">
        <v>12</v>
      </c>
      <c r="F6949">
        <v>9830</v>
      </c>
      <c r="G6949" s="140" t="s">
        <v>428</v>
      </c>
      <c r="H6949">
        <v>0</v>
      </c>
      <c r="I6949" s="140" t="s">
        <v>17</v>
      </c>
    </row>
    <row r="6950" spans="1:9" hidden="1" x14ac:dyDescent="0.25">
      <c r="A6950">
        <v>2010</v>
      </c>
      <c r="B6950" s="140" t="s">
        <v>122</v>
      </c>
      <c r="C6950" s="140" t="s">
        <v>243</v>
      </c>
      <c r="D6950" s="140" t="s">
        <v>11</v>
      </c>
      <c r="E6950" s="140" t="s">
        <v>12</v>
      </c>
      <c r="F6950">
        <v>11910</v>
      </c>
      <c r="G6950" s="140" t="s">
        <v>428</v>
      </c>
      <c r="H6950">
        <v>0</v>
      </c>
      <c r="I6950" s="140" t="s">
        <v>17</v>
      </c>
    </row>
    <row r="6951" spans="1:9" hidden="1" x14ac:dyDescent="0.25">
      <c r="A6951">
        <v>2011</v>
      </c>
      <c r="B6951" s="140" t="s">
        <v>122</v>
      </c>
      <c r="C6951" s="140" t="s">
        <v>243</v>
      </c>
      <c r="D6951" s="140" t="s">
        <v>11</v>
      </c>
      <c r="E6951" s="140" t="s">
        <v>12</v>
      </c>
      <c r="F6951">
        <v>13044</v>
      </c>
      <c r="G6951" s="140" t="s">
        <v>428</v>
      </c>
      <c r="H6951">
        <v>0</v>
      </c>
      <c r="I6951" s="140" t="s">
        <v>17</v>
      </c>
    </row>
    <row r="6952" spans="1:9" hidden="1" x14ac:dyDescent="0.25">
      <c r="A6952">
        <v>2012</v>
      </c>
      <c r="B6952" s="140" t="s">
        <v>122</v>
      </c>
      <c r="C6952" s="140" t="s">
        <v>243</v>
      </c>
      <c r="D6952" s="140" t="s">
        <v>11</v>
      </c>
      <c r="E6952" s="140" t="s">
        <v>12</v>
      </c>
      <c r="F6952">
        <v>13497</v>
      </c>
      <c r="G6952" s="140" t="s">
        <v>428</v>
      </c>
      <c r="H6952">
        <v>0</v>
      </c>
      <c r="I6952" s="140" t="s">
        <v>17</v>
      </c>
    </row>
    <row r="6953" spans="1:9" hidden="1" x14ac:dyDescent="0.25">
      <c r="A6953">
        <v>2013</v>
      </c>
      <c r="B6953" s="140" t="s">
        <v>122</v>
      </c>
      <c r="C6953" s="140" t="s">
        <v>243</v>
      </c>
      <c r="D6953" s="140" t="s">
        <v>11</v>
      </c>
      <c r="E6953" s="140" t="s">
        <v>12</v>
      </c>
      <c r="F6953">
        <v>12989</v>
      </c>
      <c r="G6953" s="140" t="s">
        <v>428</v>
      </c>
      <c r="H6953">
        <v>0</v>
      </c>
      <c r="I6953" s="140" t="s">
        <v>17</v>
      </c>
    </row>
    <row r="6954" spans="1:9" hidden="1" x14ac:dyDescent="0.25">
      <c r="A6954">
        <v>2014</v>
      </c>
      <c r="B6954" s="140" t="s">
        <v>122</v>
      </c>
      <c r="C6954" s="140" t="s">
        <v>243</v>
      </c>
      <c r="D6954" s="140" t="s">
        <v>11</v>
      </c>
      <c r="E6954" s="140" t="s">
        <v>12</v>
      </c>
      <c r="F6954">
        <v>12374</v>
      </c>
      <c r="G6954" s="140" t="s">
        <v>428</v>
      </c>
      <c r="H6954">
        <v>0</v>
      </c>
      <c r="I6954" s="140" t="s">
        <v>17</v>
      </c>
    </row>
    <row r="6955" spans="1:9" hidden="1" x14ac:dyDescent="0.25">
      <c r="A6955">
        <v>2015</v>
      </c>
      <c r="B6955" s="140" t="s">
        <v>122</v>
      </c>
      <c r="C6955" s="140" t="s">
        <v>243</v>
      </c>
      <c r="D6955" s="140" t="s">
        <v>11</v>
      </c>
      <c r="E6955" s="140" t="s">
        <v>12</v>
      </c>
      <c r="F6955">
        <v>12650</v>
      </c>
      <c r="G6955" s="140" t="s">
        <v>428</v>
      </c>
      <c r="H6955">
        <v>0</v>
      </c>
      <c r="I6955" s="140" t="s">
        <v>17</v>
      </c>
    </row>
    <row r="6956" spans="1:9" hidden="1" x14ac:dyDescent="0.25">
      <c r="A6956">
        <v>2016</v>
      </c>
      <c r="B6956" s="140" t="s">
        <v>122</v>
      </c>
      <c r="C6956" s="140" t="s">
        <v>243</v>
      </c>
      <c r="D6956" s="140" t="s">
        <v>11</v>
      </c>
      <c r="E6956" s="140" t="s">
        <v>12</v>
      </c>
      <c r="F6956">
        <v>14343</v>
      </c>
      <c r="G6956" s="140" t="s">
        <v>428</v>
      </c>
      <c r="H6956">
        <v>0</v>
      </c>
      <c r="I6956" s="140" t="s">
        <v>17</v>
      </c>
    </row>
    <row r="6957" spans="1:9" hidden="1" x14ac:dyDescent="0.25">
      <c r="A6957">
        <v>2017</v>
      </c>
      <c r="B6957" s="140" t="s">
        <v>122</v>
      </c>
      <c r="C6957" s="140" t="s">
        <v>243</v>
      </c>
      <c r="D6957" s="140" t="s">
        <v>11</v>
      </c>
      <c r="E6957" s="140" t="s">
        <v>12</v>
      </c>
      <c r="F6957">
        <v>15056</v>
      </c>
      <c r="G6957" s="140" t="s">
        <v>428</v>
      </c>
      <c r="H6957">
        <v>0</v>
      </c>
      <c r="I6957" s="140" t="s">
        <v>17</v>
      </c>
    </row>
    <row r="6958" spans="1:9" hidden="1" x14ac:dyDescent="0.25">
      <c r="A6958">
        <v>2018</v>
      </c>
      <c r="B6958" s="140" t="s">
        <v>122</v>
      </c>
      <c r="C6958" s="140" t="s">
        <v>243</v>
      </c>
      <c r="D6958" s="140" t="s">
        <v>11</v>
      </c>
      <c r="E6958" s="140" t="s">
        <v>12</v>
      </c>
      <c r="F6958">
        <v>16538</v>
      </c>
      <c r="G6958" s="140" t="s">
        <v>428</v>
      </c>
      <c r="H6958">
        <v>0</v>
      </c>
      <c r="I6958" s="140" t="s">
        <v>17</v>
      </c>
    </row>
    <row r="6959" spans="1:9" hidden="1" x14ac:dyDescent="0.25">
      <c r="A6959">
        <v>2019</v>
      </c>
      <c r="B6959" s="140" t="s">
        <v>122</v>
      </c>
      <c r="C6959" s="140" t="s">
        <v>243</v>
      </c>
      <c r="D6959" s="140" t="s">
        <v>11</v>
      </c>
      <c r="E6959" s="140" t="s">
        <v>12</v>
      </c>
      <c r="F6959">
        <v>16753</v>
      </c>
      <c r="G6959" s="140" t="s">
        <v>428</v>
      </c>
      <c r="H6959">
        <v>0</v>
      </c>
      <c r="I6959" s="140" t="s">
        <v>17</v>
      </c>
    </row>
    <row r="6960" spans="1:9" hidden="1" x14ac:dyDescent="0.25">
      <c r="A6960">
        <v>2020</v>
      </c>
      <c r="B6960" s="140" t="s">
        <v>122</v>
      </c>
      <c r="C6960" s="140" t="s">
        <v>243</v>
      </c>
      <c r="D6960" s="140" t="s">
        <v>11</v>
      </c>
      <c r="E6960" s="140" t="s">
        <v>12</v>
      </c>
      <c r="F6960">
        <v>16489</v>
      </c>
      <c r="G6960" s="140" t="s">
        <v>428</v>
      </c>
      <c r="H6960">
        <v>0</v>
      </c>
      <c r="I6960" s="140" t="s">
        <v>17</v>
      </c>
    </row>
    <row r="6961" spans="1:9" hidden="1" x14ac:dyDescent="0.25">
      <c r="A6961">
        <v>2021</v>
      </c>
      <c r="B6961" s="140" t="s">
        <v>122</v>
      </c>
      <c r="C6961" s="140" t="s">
        <v>243</v>
      </c>
      <c r="D6961" s="140" t="s">
        <v>11</v>
      </c>
      <c r="E6961" s="140" t="s">
        <v>12</v>
      </c>
      <c r="F6961">
        <v>17148</v>
      </c>
      <c r="G6961" s="140" t="s">
        <v>428</v>
      </c>
      <c r="H6961">
        <v>0</v>
      </c>
      <c r="I6961" s="140" t="s">
        <v>17</v>
      </c>
    </row>
    <row r="6962" spans="1:9" hidden="1" x14ac:dyDescent="0.25">
      <c r="A6962">
        <v>2022</v>
      </c>
      <c r="B6962" s="140" t="s">
        <v>122</v>
      </c>
      <c r="C6962" s="140" t="s">
        <v>243</v>
      </c>
      <c r="D6962" s="140" t="s">
        <v>11</v>
      </c>
      <c r="E6962" s="140" t="s">
        <v>12</v>
      </c>
      <c r="F6962">
        <v>18823</v>
      </c>
      <c r="G6962" s="140" t="s">
        <v>428</v>
      </c>
      <c r="H6962">
        <v>0</v>
      </c>
      <c r="I6962" s="140" t="s">
        <v>17</v>
      </c>
    </row>
    <row r="6963" spans="1:9" hidden="1" x14ac:dyDescent="0.25">
      <c r="A6963">
        <v>2023</v>
      </c>
      <c r="B6963" s="140" t="s">
        <v>122</v>
      </c>
      <c r="C6963" s="140" t="s">
        <v>243</v>
      </c>
      <c r="D6963" s="140" t="s">
        <v>11</v>
      </c>
      <c r="E6963" s="140" t="s">
        <v>12</v>
      </c>
      <c r="F6963">
        <v>16151</v>
      </c>
      <c r="G6963" s="140" t="s">
        <v>428</v>
      </c>
      <c r="H6963">
        <v>0</v>
      </c>
      <c r="I6963" s="140" t="s">
        <v>17</v>
      </c>
    </row>
    <row r="6964" spans="1:9" hidden="1" x14ac:dyDescent="0.25">
      <c r="A6964">
        <v>2024</v>
      </c>
      <c r="B6964" s="140" t="s">
        <v>122</v>
      </c>
      <c r="C6964" s="140" t="s">
        <v>243</v>
      </c>
      <c r="D6964" s="140" t="s">
        <v>11</v>
      </c>
      <c r="E6964" s="140" t="s">
        <v>12</v>
      </c>
      <c r="F6964">
        <v>12030</v>
      </c>
      <c r="G6964" s="140" t="s">
        <v>428</v>
      </c>
      <c r="H6964">
        <v>0</v>
      </c>
      <c r="I6964" s="140" t="s">
        <v>17</v>
      </c>
    </row>
    <row r="6965" spans="1:9" hidden="1" x14ac:dyDescent="0.25">
      <c r="A6965">
        <v>2025</v>
      </c>
      <c r="B6965" s="140" t="s">
        <v>122</v>
      </c>
      <c r="C6965" s="140" t="s">
        <v>243</v>
      </c>
      <c r="D6965" s="140" t="s">
        <v>11</v>
      </c>
      <c r="E6965" s="140" t="s">
        <v>12</v>
      </c>
      <c r="F6965">
        <v>11992</v>
      </c>
      <c r="G6965" s="140" t="s">
        <v>428</v>
      </c>
      <c r="H6965">
        <v>0</v>
      </c>
      <c r="I6965" s="140" t="s">
        <v>17</v>
      </c>
    </row>
    <row r="6966" spans="1:9" hidden="1" x14ac:dyDescent="0.25">
      <c r="A6966">
        <v>2026</v>
      </c>
      <c r="B6966" s="140" t="s">
        <v>122</v>
      </c>
      <c r="C6966" s="140" t="s">
        <v>243</v>
      </c>
      <c r="D6966" s="140" t="s">
        <v>11</v>
      </c>
      <c r="E6966" s="140" t="s">
        <v>12</v>
      </c>
      <c r="F6966">
        <v>11806.723599999999</v>
      </c>
      <c r="G6966" s="140" t="s">
        <v>428</v>
      </c>
      <c r="H6966">
        <v>0</v>
      </c>
      <c r="I6966" s="140" t="s">
        <v>17</v>
      </c>
    </row>
    <row r="6967" spans="1:9" hidden="1" x14ac:dyDescent="0.25">
      <c r="A6967">
        <v>2027</v>
      </c>
      <c r="B6967" s="140" t="s">
        <v>122</v>
      </c>
      <c r="C6967" s="140" t="s">
        <v>243</v>
      </c>
      <c r="D6967" s="140" t="s">
        <v>11</v>
      </c>
      <c r="E6967" s="140" t="s">
        <v>12</v>
      </c>
      <c r="F6967">
        <v>12404.14381</v>
      </c>
      <c r="G6967" s="140" t="s">
        <v>428</v>
      </c>
      <c r="H6967">
        <v>0</v>
      </c>
      <c r="I6967" s="140" t="s">
        <v>17</v>
      </c>
    </row>
    <row r="6968" spans="1:9" hidden="1" x14ac:dyDescent="0.25">
      <c r="A6968">
        <v>2028</v>
      </c>
      <c r="B6968" s="140" t="s">
        <v>122</v>
      </c>
      <c r="C6968" s="140" t="s">
        <v>243</v>
      </c>
      <c r="D6968" s="140" t="s">
        <v>11</v>
      </c>
      <c r="E6968" s="140" t="s">
        <v>12</v>
      </c>
      <c r="F6968">
        <v>13667.81597</v>
      </c>
      <c r="G6968" s="140" t="s">
        <v>428</v>
      </c>
      <c r="H6968">
        <v>0</v>
      </c>
      <c r="I6968" s="140" t="s">
        <v>17</v>
      </c>
    </row>
    <row r="6969" spans="1:9" hidden="1" x14ac:dyDescent="0.25">
      <c r="A6969">
        <v>1990</v>
      </c>
      <c r="B6969" s="140" t="s">
        <v>123</v>
      </c>
      <c r="C6969" s="140" t="s">
        <v>243</v>
      </c>
      <c r="D6969" s="140" t="s">
        <v>11</v>
      </c>
      <c r="E6969" s="140" t="s">
        <v>12</v>
      </c>
      <c r="F6969">
        <v>15218</v>
      </c>
      <c r="G6969" s="140" t="s">
        <v>429</v>
      </c>
      <c r="H6969">
        <v>0</v>
      </c>
      <c r="I6969" s="140" t="s">
        <v>17</v>
      </c>
    </row>
    <row r="6970" spans="1:9" hidden="1" x14ac:dyDescent="0.25">
      <c r="A6970">
        <v>1991</v>
      </c>
      <c r="B6970" s="140" t="s">
        <v>123</v>
      </c>
      <c r="C6970" s="140" t="s">
        <v>243</v>
      </c>
      <c r="D6970" s="140" t="s">
        <v>11</v>
      </c>
      <c r="E6970" s="140" t="s">
        <v>12</v>
      </c>
      <c r="F6970">
        <v>13077</v>
      </c>
      <c r="G6970" s="140" t="s">
        <v>429</v>
      </c>
      <c r="H6970">
        <v>0</v>
      </c>
      <c r="I6970" s="140" t="s">
        <v>17</v>
      </c>
    </row>
    <row r="6971" spans="1:9" hidden="1" x14ac:dyDescent="0.25">
      <c r="A6971">
        <v>1992</v>
      </c>
      <c r="B6971" s="140" t="s">
        <v>123</v>
      </c>
      <c r="C6971" s="140" t="s">
        <v>243</v>
      </c>
      <c r="D6971" s="140" t="s">
        <v>11</v>
      </c>
      <c r="E6971" s="140" t="s">
        <v>12</v>
      </c>
      <c r="F6971">
        <v>10013</v>
      </c>
      <c r="G6971" s="140" t="s">
        <v>429</v>
      </c>
      <c r="H6971">
        <v>0</v>
      </c>
      <c r="I6971" s="140" t="s">
        <v>17</v>
      </c>
    </row>
    <row r="6972" spans="1:9" hidden="1" x14ac:dyDescent="0.25">
      <c r="A6972">
        <v>1993</v>
      </c>
      <c r="B6972" s="140" t="s">
        <v>123</v>
      </c>
      <c r="C6972" s="140" t="s">
        <v>243</v>
      </c>
      <c r="D6972" s="140" t="s">
        <v>11</v>
      </c>
      <c r="E6972" s="140" t="s">
        <v>12</v>
      </c>
      <c r="F6972">
        <v>8264</v>
      </c>
      <c r="G6972" s="140" t="s">
        <v>429</v>
      </c>
      <c r="H6972">
        <v>0</v>
      </c>
      <c r="I6972" s="140" t="s">
        <v>17</v>
      </c>
    </row>
    <row r="6973" spans="1:9" hidden="1" x14ac:dyDescent="0.25">
      <c r="A6973">
        <v>1994</v>
      </c>
      <c r="B6973" s="140" t="s">
        <v>123</v>
      </c>
      <c r="C6973" s="140" t="s">
        <v>243</v>
      </c>
      <c r="D6973" s="140" t="s">
        <v>11</v>
      </c>
      <c r="E6973" s="140" t="s">
        <v>12</v>
      </c>
      <c r="F6973">
        <v>8435</v>
      </c>
      <c r="G6973" s="140" t="s">
        <v>429</v>
      </c>
      <c r="H6973">
        <v>0</v>
      </c>
      <c r="I6973" s="140" t="s">
        <v>17</v>
      </c>
    </row>
    <row r="6974" spans="1:9" hidden="1" x14ac:dyDescent="0.25">
      <c r="A6974">
        <v>1995</v>
      </c>
      <c r="B6974" s="140" t="s">
        <v>123</v>
      </c>
      <c r="C6974" s="140" t="s">
        <v>243</v>
      </c>
      <c r="D6974" s="140" t="s">
        <v>11</v>
      </c>
      <c r="E6974" s="140" t="s">
        <v>12</v>
      </c>
      <c r="F6974">
        <v>9204</v>
      </c>
      <c r="G6974" s="140" t="s">
        <v>429</v>
      </c>
      <c r="H6974">
        <v>0</v>
      </c>
      <c r="I6974" s="140" t="s">
        <v>17</v>
      </c>
    </row>
    <row r="6975" spans="1:9" hidden="1" x14ac:dyDescent="0.25">
      <c r="A6975">
        <v>1996</v>
      </c>
      <c r="B6975" s="140" t="s">
        <v>123</v>
      </c>
      <c r="C6975" s="140" t="s">
        <v>243</v>
      </c>
      <c r="D6975" s="140" t="s">
        <v>11</v>
      </c>
      <c r="E6975" s="140" t="s">
        <v>12</v>
      </c>
      <c r="F6975">
        <v>10109</v>
      </c>
      <c r="G6975" s="140" t="s">
        <v>429</v>
      </c>
      <c r="H6975">
        <v>0</v>
      </c>
      <c r="I6975" s="140" t="s">
        <v>17</v>
      </c>
    </row>
    <row r="6976" spans="1:9" hidden="1" x14ac:dyDescent="0.25">
      <c r="A6976">
        <v>1997</v>
      </c>
      <c r="B6976" s="140" t="s">
        <v>123</v>
      </c>
      <c r="C6976" s="140" t="s">
        <v>243</v>
      </c>
      <c r="D6976" s="140" t="s">
        <v>11</v>
      </c>
      <c r="E6976" s="140" t="s">
        <v>12</v>
      </c>
      <c r="F6976">
        <v>11285</v>
      </c>
      <c r="G6976" s="140" t="s">
        <v>429</v>
      </c>
      <c r="H6976">
        <v>0</v>
      </c>
      <c r="I6976" s="140" t="s">
        <v>17</v>
      </c>
    </row>
    <row r="6977" spans="1:9" hidden="1" x14ac:dyDescent="0.25">
      <c r="A6977">
        <v>1998</v>
      </c>
      <c r="B6977" s="140" t="s">
        <v>123</v>
      </c>
      <c r="C6977" s="140" t="s">
        <v>243</v>
      </c>
      <c r="D6977" s="140" t="s">
        <v>11</v>
      </c>
      <c r="E6977" s="140" t="s">
        <v>12</v>
      </c>
      <c r="F6977">
        <v>13249</v>
      </c>
      <c r="G6977" s="140" t="s">
        <v>429</v>
      </c>
      <c r="H6977">
        <v>0</v>
      </c>
      <c r="I6977" s="140" t="s">
        <v>17</v>
      </c>
    </row>
    <row r="6978" spans="1:9" hidden="1" x14ac:dyDescent="0.25">
      <c r="A6978">
        <v>1999</v>
      </c>
      <c r="B6978" s="140" t="s">
        <v>123</v>
      </c>
      <c r="C6978" s="140" t="s">
        <v>243</v>
      </c>
      <c r="D6978" s="140" t="s">
        <v>11</v>
      </c>
      <c r="E6978" s="140" t="s">
        <v>12</v>
      </c>
      <c r="F6978">
        <v>14562</v>
      </c>
      <c r="G6978" s="140" t="s">
        <v>429</v>
      </c>
      <c r="H6978">
        <v>0</v>
      </c>
      <c r="I6978" s="140" t="s">
        <v>17</v>
      </c>
    </row>
    <row r="6979" spans="1:9" hidden="1" x14ac:dyDescent="0.25">
      <c r="A6979">
        <v>2000</v>
      </c>
      <c r="B6979" s="140" t="s">
        <v>123</v>
      </c>
      <c r="C6979" s="140" t="s">
        <v>243</v>
      </c>
      <c r="D6979" s="140" t="s">
        <v>11</v>
      </c>
      <c r="E6979" s="140" t="s">
        <v>12</v>
      </c>
      <c r="F6979">
        <v>16663</v>
      </c>
      <c r="G6979" s="140" t="s">
        <v>429</v>
      </c>
      <c r="H6979">
        <v>0</v>
      </c>
      <c r="I6979" s="140" t="s">
        <v>17</v>
      </c>
    </row>
    <row r="6980" spans="1:9" hidden="1" x14ac:dyDescent="0.25">
      <c r="A6980">
        <v>2001</v>
      </c>
      <c r="B6980" s="140" t="s">
        <v>123</v>
      </c>
      <c r="C6980" s="140" t="s">
        <v>243</v>
      </c>
      <c r="D6980" s="140" t="s">
        <v>11</v>
      </c>
      <c r="E6980" s="140" t="s">
        <v>12</v>
      </c>
      <c r="F6980">
        <v>17185</v>
      </c>
      <c r="G6980" s="140" t="s">
        <v>429</v>
      </c>
      <c r="H6980">
        <v>0</v>
      </c>
      <c r="I6980" s="140" t="s">
        <v>17</v>
      </c>
    </row>
    <row r="6981" spans="1:9" hidden="1" x14ac:dyDescent="0.25">
      <c r="A6981">
        <v>2002</v>
      </c>
      <c r="B6981" s="140" t="s">
        <v>123</v>
      </c>
      <c r="C6981" s="140" t="s">
        <v>243</v>
      </c>
      <c r="D6981" s="140" t="s">
        <v>11</v>
      </c>
      <c r="E6981" s="140" t="s">
        <v>12</v>
      </c>
      <c r="F6981">
        <v>16825</v>
      </c>
      <c r="G6981" s="140" t="s">
        <v>429</v>
      </c>
      <c r="H6981">
        <v>0</v>
      </c>
      <c r="I6981" s="140" t="s">
        <v>17</v>
      </c>
    </row>
    <row r="6982" spans="1:9" hidden="1" x14ac:dyDescent="0.25">
      <c r="A6982">
        <v>2003</v>
      </c>
      <c r="B6982" s="140" t="s">
        <v>123</v>
      </c>
      <c r="C6982" s="140" t="s">
        <v>243</v>
      </c>
      <c r="D6982" s="140" t="s">
        <v>11</v>
      </c>
      <c r="E6982" s="140" t="s">
        <v>12</v>
      </c>
      <c r="F6982">
        <v>17303</v>
      </c>
      <c r="G6982" s="140" t="s">
        <v>429</v>
      </c>
      <c r="H6982">
        <v>0</v>
      </c>
      <c r="I6982" s="140" t="s">
        <v>17</v>
      </c>
    </row>
    <row r="6983" spans="1:9" hidden="1" x14ac:dyDescent="0.25">
      <c r="A6983">
        <v>2004</v>
      </c>
      <c r="B6983" s="140" t="s">
        <v>123</v>
      </c>
      <c r="C6983" s="140" t="s">
        <v>243</v>
      </c>
      <c r="D6983" s="140" t="s">
        <v>11</v>
      </c>
      <c r="E6983" s="140" t="s">
        <v>12</v>
      </c>
      <c r="F6983">
        <v>18920</v>
      </c>
      <c r="G6983" s="140" t="s">
        <v>429</v>
      </c>
      <c r="H6983">
        <v>0</v>
      </c>
      <c r="I6983" s="140" t="s">
        <v>17</v>
      </c>
    </row>
    <row r="6984" spans="1:9" hidden="1" x14ac:dyDescent="0.25">
      <c r="A6984">
        <v>2005</v>
      </c>
      <c r="B6984" s="140" t="s">
        <v>123</v>
      </c>
      <c r="C6984" s="140" t="s">
        <v>243</v>
      </c>
      <c r="D6984" s="140" t="s">
        <v>11</v>
      </c>
      <c r="E6984" s="140" t="s">
        <v>12</v>
      </c>
      <c r="F6984">
        <v>20602</v>
      </c>
      <c r="G6984" s="140" t="s">
        <v>429</v>
      </c>
      <c r="H6984">
        <v>0</v>
      </c>
      <c r="I6984" s="140" t="s">
        <v>17</v>
      </c>
    </row>
    <row r="6985" spans="1:9" hidden="1" x14ac:dyDescent="0.25">
      <c r="A6985">
        <v>2006</v>
      </c>
      <c r="B6985" s="140" t="s">
        <v>123</v>
      </c>
      <c r="C6985" s="140" t="s">
        <v>243</v>
      </c>
      <c r="D6985" s="140" t="s">
        <v>11</v>
      </c>
      <c r="E6985" s="140" t="s">
        <v>12</v>
      </c>
      <c r="F6985">
        <v>22100</v>
      </c>
      <c r="G6985" s="140" t="s">
        <v>429</v>
      </c>
      <c r="H6985">
        <v>0</v>
      </c>
      <c r="I6985" s="140" t="s">
        <v>17</v>
      </c>
    </row>
    <row r="6986" spans="1:9" hidden="1" x14ac:dyDescent="0.25">
      <c r="A6986">
        <v>2007</v>
      </c>
      <c r="B6986" s="140" t="s">
        <v>123</v>
      </c>
      <c r="C6986" s="140" t="s">
        <v>243</v>
      </c>
      <c r="D6986" s="140" t="s">
        <v>11</v>
      </c>
      <c r="E6986" s="140" t="s">
        <v>12</v>
      </c>
      <c r="F6986">
        <v>25791</v>
      </c>
      <c r="G6986" s="140" t="s">
        <v>429</v>
      </c>
      <c r="H6986">
        <v>0</v>
      </c>
      <c r="I6986" s="140" t="s">
        <v>17</v>
      </c>
    </row>
    <row r="6987" spans="1:9" hidden="1" x14ac:dyDescent="0.25">
      <c r="A6987">
        <v>2008</v>
      </c>
      <c r="B6987" s="140" t="s">
        <v>123</v>
      </c>
      <c r="C6987" s="140" t="s">
        <v>243</v>
      </c>
      <c r="D6987" s="140" t="s">
        <v>11</v>
      </c>
      <c r="E6987" s="140" t="s">
        <v>12</v>
      </c>
      <c r="F6987">
        <v>26931</v>
      </c>
      <c r="G6987" s="140" t="s">
        <v>429</v>
      </c>
      <c r="H6987">
        <v>0</v>
      </c>
      <c r="I6987" s="140" t="s">
        <v>17</v>
      </c>
    </row>
    <row r="6988" spans="1:9" hidden="1" x14ac:dyDescent="0.25">
      <c r="A6988">
        <v>2009</v>
      </c>
      <c r="B6988" s="140" t="s">
        <v>123</v>
      </c>
      <c r="C6988" s="140" t="s">
        <v>243</v>
      </c>
      <c r="D6988" s="140" t="s">
        <v>11</v>
      </c>
      <c r="E6988" s="140" t="s">
        <v>12</v>
      </c>
      <c r="F6988">
        <v>22551</v>
      </c>
      <c r="G6988" s="140" t="s">
        <v>429</v>
      </c>
      <c r="H6988">
        <v>0</v>
      </c>
      <c r="I6988" s="140" t="s">
        <v>17</v>
      </c>
    </row>
    <row r="6989" spans="1:9" hidden="1" x14ac:dyDescent="0.25">
      <c r="A6989">
        <v>2010</v>
      </c>
      <c r="B6989" s="140" t="s">
        <v>123</v>
      </c>
      <c r="C6989" s="140" t="s">
        <v>243</v>
      </c>
      <c r="D6989" s="140" t="s">
        <v>11</v>
      </c>
      <c r="E6989" s="140" t="s">
        <v>12</v>
      </c>
      <c r="F6989">
        <v>24590</v>
      </c>
      <c r="G6989" s="140" t="s">
        <v>429</v>
      </c>
      <c r="H6989">
        <v>0</v>
      </c>
      <c r="I6989" s="140" t="s">
        <v>17</v>
      </c>
    </row>
    <row r="6990" spans="1:9" hidden="1" x14ac:dyDescent="0.25">
      <c r="A6990">
        <v>2011</v>
      </c>
      <c r="B6990" s="140" t="s">
        <v>123</v>
      </c>
      <c r="C6990" s="140" t="s">
        <v>243</v>
      </c>
      <c r="D6990" s="140" t="s">
        <v>11</v>
      </c>
      <c r="E6990" s="140" t="s">
        <v>12</v>
      </c>
      <c r="F6990">
        <v>26166</v>
      </c>
      <c r="G6990" s="140" t="s">
        <v>429</v>
      </c>
      <c r="H6990">
        <v>0</v>
      </c>
      <c r="I6990" s="140" t="s">
        <v>17</v>
      </c>
    </row>
    <row r="6991" spans="1:9" hidden="1" x14ac:dyDescent="0.25">
      <c r="A6991">
        <v>2012</v>
      </c>
      <c r="B6991" s="140" t="s">
        <v>123</v>
      </c>
      <c r="C6991" s="140" t="s">
        <v>243</v>
      </c>
      <c r="D6991" s="140" t="s">
        <v>11</v>
      </c>
      <c r="E6991" s="140" t="s">
        <v>12</v>
      </c>
      <c r="F6991">
        <v>26886</v>
      </c>
      <c r="G6991" s="140" t="s">
        <v>429</v>
      </c>
      <c r="H6991">
        <v>0</v>
      </c>
      <c r="I6991" s="140" t="s">
        <v>17</v>
      </c>
    </row>
    <row r="6992" spans="1:9" hidden="1" x14ac:dyDescent="0.25">
      <c r="A6992">
        <v>2013</v>
      </c>
      <c r="B6992" s="140" t="s">
        <v>123</v>
      </c>
      <c r="C6992" s="140" t="s">
        <v>243</v>
      </c>
      <c r="D6992" s="140" t="s">
        <v>11</v>
      </c>
      <c r="E6992" s="140" t="s">
        <v>12</v>
      </c>
      <c r="F6992">
        <v>26493</v>
      </c>
      <c r="G6992" s="140" t="s">
        <v>429</v>
      </c>
      <c r="H6992">
        <v>0</v>
      </c>
      <c r="I6992" s="140" t="s">
        <v>17</v>
      </c>
    </row>
    <row r="6993" spans="1:9" hidden="1" x14ac:dyDescent="0.25">
      <c r="A6993">
        <v>2014</v>
      </c>
      <c r="B6993" s="140" t="s">
        <v>123</v>
      </c>
      <c r="C6993" s="140" t="s">
        <v>243</v>
      </c>
      <c r="D6993" s="140" t="s">
        <v>11</v>
      </c>
      <c r="E6993" s="140" t="s">
        <v>12</v>
      </c>
      <c r="F6993">
        <v>25791</v>
      </c>
      <c r="G6993" s="140" t="s">
        <v>429</v>
      </c>
      <c r="H6993">
        <v>0</v>
      </c>
      <c r="I6993" s="140" t="s">
        <v>17</v>
      </c>
    </row>
    <row r="6994" spans="1:9" hidden="1" x14ac:dyDescent="0.25">
      <c r="A6994">
        <v>2015</v>
      </c>
      <c r="B6994" s="140" t="s">
        <v>123</v>
      </c>
      <c r="C6994" s="140" t="s">
        <v>243</v>
      </c>
      <c r="D6994" s="140" t="s">
        <v>11</v>
      </c>
      <c r="E6994" s="140" t="s">
        <v>12</v>
      </c>
      <c r="F6994">
        <v>25984</v>
      </c>
      <c r="G6994" s="140" t="s">
        <v>429</v>
      </c>
      <c r="H6994">
        <v>0</v>
      </c>
      <c r="I6994" s="140" t="s">
        <v>17</v>
      </c>
    </row>
    <row r="6995" spans="1:9" hidden="1" x14ac:dyDescent="0.25">
      <c r="A6995">
        <v>2016</v>
      </c>
      <c r="B6995" s="140" t="s">
        <v>123</v>
      </c>
      <c r="C6995" s="140" t="s">
        <v>243</v>
      </c>
      <c r="D6995" s="140" t="s">
        <v>11</v>
      </c>
      <c r="E6995" s="140" t="s">
        <v>12</v>
      </c>
      <c r="F6995">
        <v>29255</v>
      </c>
      <c r="G6995" s="140" t="s">
        <v>429</v>
      </c>
      <c r="H6995">
        <v>0</v>
      </c>
      <c r="I6995" s="140" t="s">
        <v>17</v>
      </c>
    </row>
    <row r="6996" spans="1:9" hidden="1" x14ac:dyDescent="0.25">
      <c r="A6996">
        <v>2017</v>
      </c>
      <c r="B6996" s="140" t="s">
        <v>123</v>
      </c>
      <c r="C6996" s="140" t="s">
        <v>243</v>
      </c>
      <c r="D6996" s="140" t="s">
        <v>11</v>
      </c>
      <c r="E6996" s="140" t="s">
        <v>12</v>
      </c>
      <c r="F6996">
        <v>31356</v>
      </c>
      <c r="G6996" s="140" t="s">
        <v>429</v>
      </c>
      <c r="H6996">
        <v>0</v>
      </c>
      <c r="I6996" s="140" t="s">
        <v>17</v>
      </c>
    </row>
    <row r="6997" spans="1:9" hidden="1" x14ac:dyDescent="0.25">
      <c r="A6997">
        <v>2018</v>
      </c>
      <c r="B6997" s="140" t="s">
        <v>123</v>
      </c>
      <c r="C6997" s="140" t="s">
        <v>243</v>
      </c>
      <c r="D6997" s="140" t="s">
        <v>11</v>
      </c>
      <c r="E6997" s="140" t="s">
        <v>12</v>
      </c>
      <c r="F6997">
        <v>34165</v>
      </c>
      <c r="G6997" s="140" t="s">
        <v>429</v>
      </c>
      <c r="H6997">
        <v>0</v>
      </c>
      <c r="I6997" s="140" t="s">
        <v>17</v>
      </c>
    </row>
    <row r="6998" spans="1:9" hidden="1" x14ac:dyDescent="0.25">
      <c r="A6998">
        <v>2019</v>
      </c>
      <c r="B6998" s="140" t="s">
        <v>123</v>
      </c>
      <c r="C6998" s="140" t="s">
        <v>243</v>
      </c>
      <c r="D6998" s="140" t="s">
        <v>11</v>
      </c>
      <c r="E6998" s="140" t="s">
        <v>12</v>
      </c>
      <c r="F6998">
        <v>34557</v>
      </c>
      <c r="G6998" s="140" t="s">
        <v>429</v>
      </c>
      <c r="H6998">
        <v>0</v>
      </c>
      <c r="I6998" s="140" t="s">
        <v>17</v>
      </c>
    </row>
    <row r="6999" spans="1:9" hidden="1" x14ac:dyDescent="0.25">
      <c r="A6999">
        <v>2020</v>
      </c>
      <c r="B6999" s="140" t="s">
        <v>123</v>
      </c>
      <c r="C6999" s="140" t="s">
        <v>243</v>
      </c>
      <c r="D6999" s="140" t="s">
        <v>11</v>
      </c>
      <c r="E6999" s="140" t="s">
        <v>12</v>
      </c>
      <c r="F6999">
        <v>34637</v>
      </c>
      <c r="G6999" s="140" t="s">
        <v>429</v>
      </c>
      <c r="H6999">
        <v>0</v>
      </c>
      <c r="I6999" s="140" t="s">
        <v>17</v>
      </c>
    </row>
    <row r="7000" spans="1:9" hidden="1" x14ac:dyDescent="0.25">
      <c r="A7000">
        <v>2021</v>
      </c>
      <c r="B7000" s="140" t="s">
        <v>123</v>
      </c>
      <c r="C7000" s="140" t="s">
        <v>243</v>
      </c>
      <c r="D7000" s="140" t="s">
        <v>11</v>
      </c>
      <c r="E7000" s="140" t="s">
        <v>12</v>
      </c>
      <c r="F7000">
        <v>35243</v>
      </c>
      <c r="G7000" s="140" t="s">
        <v>429</v>
      </c>
      <c r="H7000">
        <v>0</v>
      </c>
      <c r="I7000" s="140" t="s">
        <v>17</v>
      </c>
    </row>
    <row r="7001" spans="1:9" hidden="1" x14ac:dyDescent="0.25">
      <c r="A7001">
        <v>2022</v>
      </c>
      <c r="B7001" s="140" t="s">
        <v>123</v>
      </c>
      <c r="C7001" s="140" t="s">
        <v>243</v>
      </c>
      <c r="D7001" s="140" t="s">
        <v>11</v>
      </c>
      <c r="E7001" s="140" t="s">
        <v>12</v>
      </c>
      <c r="F7001">
        <v>37841</v>
      </c>
      <c r="G7001" s="140" t="s">
        <v>429</v>
      </c>
      <c r="H7001">
        <v>0</v>
      </c>
      <c r="I7001" s="140" t="s">
        <v>17</v>
      </c>
    </row>
    <row r="7002" spans="1:9" hidden="1" x14ac:dyDescent="0.25">
      <c r="A7002">
        <v>2023</v>
      </c>
      <c r="B7002" s="140" t="s">
        <v>123</v>
      </c>
      <c r="C7002" s="140" t="s">
        <v>243</v>
      </c>
      <c r="D7002" s="140" t="s">
        <v>11</v>
      </c>
      <c r="E7002" s="140" t="s">
        <v>12</v>
      </c>
      <c r="F7002">
        <v>34992</v>
      </c>
      <c r="G7002" s="140" t="s">
        <v>429</v>
      </c>
      <c r="H7002">
        <v>0</v>
      </c>
      <c r="I7002" s="140" t="s">
        <v>17</v>
      </c>
    </row>
    <row r="7003" spans="1:9" hidden="1" x14ac:dyDescent="0.25">
      <c r="A7003">
        <v>2024</v>
      </c>
      <c r="B7003" s="140" t="s">
        <v>123</v>
      </c>
      <c r="C7003" s="140" t="s">
        <v>243</v>
      </c>
      <c r="D7003" s="140" t="s">
        <v>11</v>
      </c>
      <c r="E7003" s="140" t="s">
        <v>12</v>
      </c>
      <c r="F7003">
        <v>30440</v>
      </c>
      <c r="G7003" s="140" t="s">
        <v>429</v>
      </c>
      <c r="H7003">
        <v>0</v>
      </c>
      <c r="I7003" s="140" t="s">
        <v>17</v>
      </c>
    </row>
    <row r="7004" spans="1:9" hidden="1" x14ac:dyDescent="0.25">
      <c r="A7004">
        <v>2025</v>
      </c>
      <c r="B7004" s="140" t="s">
        <v>123</v>
      </c>
      <c r="C7004" s="140" t="s">
        <v>243</v>
      </c>
      <c r="D7004" s="140" t="s">
        <v>11</v>
      </c>
      <c r="E7004" s="140" t="s">
        <v>12</v>
      </c>
      <c r="F7004">
        <v>30829</v>
      </c>
      <c r="G7004" s="140" t="s">
        <v>429</v>
      </c>
      <c r="H7004">
        <v>0</v>
      </c>
      <c r="I7004" s="140" t="s">
        <v>17</v>
      </c>
    </row>
    <row r="7005" spans="1:9" hidden="1" x14ac:dyDescent="0.25">
      <c r="A7005">
        <v>2026</v>
      </c>
      <c r="B7005" s="140" t="s">
        <v>123</v>
      </c>
      <c r="C7005" s="140" t="s">
        <v>243</v>
      </c>
      <c r="D7005" s="140" t="s">
        <v>11</v>
      </c>
      <c r="E7005" s="140" t="s">
        <v>12</v>
      </c>
      <c r="F7005">
        <v>32222.732599999999</v>
      </c>
      <c r="G7005" s="140" t="s">
        <v>429</v>
      </c>
      <c r="H7005">
        <v>0</v>
      </c>
      <c r="I7005" s="140" t="s">
        <v>17</v>
      </c>
    </row>
    <row r="7006" spans="1:9" hidden="1" x14ac:dyDescent="0.25">
      <c r="A7006">
        <v>2027</v>
      </c>
      <c r="B7006" s="140" t="s">
        <v>123</v>
      </c>
      <c r="C7006" s="140" t="s">
        <v>243</v>
      </c>
      <c r="D7006" s="140" t="s">
        <v>11</v>
      </c>
      <c r="E7006" s="140" t="s">
        <v>12</v>
      </c>
      <c r="F7006">
        <v>34469.913050000003</v>
      </c>
      <c r="G7006" s="140" t="s">
        <v>429</v>
      </c>
      <c r="H7006">
        <v>0</v>
      </c>
      <c r="I7006" s="140" t="s">
        <v>17</v>
      </c>
    </row>
    <row r="7007" spans="1:9" hidden="1" x14ac:dyDescent="0.25">
      <c r="A7007">
        <v>2028</v>
      </c>
      <c r="B7007" s="140" t="s">
        <v>123</v>
      </c>
      <c r="C7007" s="140" t="s">
        <v>243</v>
      </c>
      <c r="D7007" s="140" t="s">
        <v>11</v>
      </c>
      <c r="E7007" s="140" t="s">
        <v>12</v>
      </c>
      <c r="F7007">
        <v>36833.099620000001</v>
      </c>
      <c r="G7007" s="140" t="s">
        <v>429</v>
      </c>
      <c r="H7007">
        <v>0</v>
      </c>
      <c r="I7007" s="140" t="s">
        <v>17</v>
      </c>
    </row>
    <row r="7008" spans="1:9" hidden="1" x14ac:dyDescent="0.25">
      <c r="A7008">
        <v>1990</v>
      </c>
      <c r="B7008" s="140" t="s">
        <v>555</v>
      </c>
      <c r="C7008" s="140" t="s">
        <v>243</v>
      </c>
      <c r="D7008" s="140" t="s">
        <v>11</v>
      </c>
      <c r="E7008" s="140" t="s">
        <v>12</v>
      </c>
      <c r="F7008">
        <v>12880</v>
      </c>
      <c r="G7008" s="140" t="s">
        <v>231</v>
      </c>
      <c r="H7008">
        <v>0</v>
      </c>
      <c r="I7008" s="140" t="s">
        <v>17</v>
      </c>
    </row>
    <row r="7009" spans="1:9" hidden="1" x14ac:dyDescent="0.25">
      <c r="A7009">
        <v>1991</v>
      </c>
      <c r="B7009" s="140" t="s">
        <v>555</v>
      </c>
      <c r="C7009" s="140" t="s">
        <v>243</v>
      </c>
      <c r="D7009" s="140" t="s">
        <v>11</v>
      </c>
      <c r="E7009" s="140" t="s">
        <v>12</v>
      </c>
      <c r="F7009">
        <v>10788</v>
      </c>
      <c r="G7009" s="140" t="s">
        <v>231</v>
      </c>
      <c r="H7009">
        <v>0</v>
      </c>
      <c r="I7009" s="140" t="s">
        <v>17</v>
      </c>
    </row>
    <row r="7010" spans="1:9" hidden="1" x14ac:dyDescent="0.25">
      <c r="A7010">
        <v>1992</v>
      </c>
      <c r="B7010" s="140" t="s">
        <v>555</v>
      </c>
      <c r="C7010" s="140" t="s">
        <v>243</v>
      </c>
      <c r="D7010" s="140" t="s">
        <v>11</v>
      </c>
      <c r="E7010" s="140" t="s">
        <v>12</v>
      </c>
      <c r="F7010">
        <v>7934</v>
      </c>
      <c r="G7010" s="140" t="s">
        <v>231</v>
      </c>
      <c r="H7010">
        <v>0</v>
      </c>
      <c r="I7010" s="140" t="s">
        <v>17</v>
      </c>
    </row>
    <row r="7011" spans="1:9" hidden="1" x14ac:dyDescent="0.25">
      <c r="A7011">
        <v>1993</v>
      </c>
      <c r="B7011" s="140" t="s">
        <v>555</v>
      </c>
      <c r="C7011" s="140" t="s">
        <v>243</v>
      </c>
      <c r="D7011" s="140" t="s">
        <v>11</v>
      </c>
      <c r="E7011" s="140" t="s">
        <v>12</v>
      </c>
      <c r="F7011">
        <v>6388</v>
      </c>
      <c r="G7011" s="140" t="s">
        <v>231</v>
      </c>
      <c r="H7011">
        <v>0</v>
      </c>
      <c r="I7011" s="140" t="s">
        <v>17</v>
      </c>
    </row>
    <row r="7012" spans="1:9" hidden="1" x14ac:dyDescent="0.25">
      <c r="A7012">
        <v>1994</v>
      </c>
      <c r="B7012" s="140" t="s">
        <v>555</v>
      </c>
      <c r="C7012" s="140" t="s">
        <v>243</v>
      </c>
      <c r="D7012" s="140" t="s">
        <v>11</v>
      </c>
      <c r="E7012" s="140" t="s">
        <v>12</v>
      </c>
      <c r="F7012">
        <v>6531</v>
      </c>
      <c r="G7012" s="140" t="s">
        <v>231</v>
      </c>
      <c r="H7012">
        <v>0</v>
      </c>
      <c r="I7012" s="140" t="s">
        <v>17</v>
      </c>
    </row>
    <row r="7013" spans="1:9" hidden="1" x14ac:dyDescent="0.25">
      <c r="A7013">
        <v>1995</v>
      </c>
      <c r="B7013" s="140" t="s">
        <v>555</v>
      </c>
      <c r="C7013" s="140" t="s">
        <v>243</v>
      </c>
      <c r="D7013" s="140" t="s">
        <v>11</v>
      </c>
      <c r="E7013" s="140" t="s">
        <v>12</v>
      </c>
      <c r="F7013">
        <v>7104</v>
      </c>
      <c r="G7013" s="140" t="s">
        <v>231</v>
      </c>
      <c r="H7013">
        <v>0</v>
      </c>
      <c r="I7013" s="140" t="s">
        <v>17</v>
      </c>
    </row>
    <row r="7014" spans="1:9" hidden="1" x14ac:dyDescent="0.25">
      <c r="A7014">
        <v>1996</v>
      </c>
      <c r="B7014" s="140" t="s">
        <v>555</v>
      </c>
      <c r="C7014" s="140" t="s">
        <v>243</v>
      </c>
      <c r="D7014" s="140" t="s">
        <v>11</v>
      </c>
      <c r="E7014" s="140" t="s">
        <v>12</v>
      </c>
      <c r="F7014">
        <v>7875</v>
      </c>
      <c r="G7014" s="140" t="s">
        <v>231</v>
      </c>
      <c r="H7014">
        <v>0</v>
      </c>
      <c r="I7014" s="140" t="s">
        <v>17</v>
      </c>
    </row>
    <row r="7015" spans="1:9" hidden="1" x14ac:dyDescent="0.25">
      <c r="A7015">
        <v>1997</v>
      </c>
      <c r="B7015" s="140" t="s">
        <v>555</v>
      </c>
      <c r="C7015" s="140" t="s">
        <v>243</v>
      </c>
      <c r="D7015" s="140" t="s">
        <v>11</v>
      </c>
      <c r="E7015" s="140" t="s">
        <v>12</v>
      </c>
      <c r="F7015">
        <v>8983</v>
      </c>
      <c r="G7015" s="140" t="s">
        <v>231</v>
      </c>
      <c r="H7015">
        <v>0</v>
      </c>
      <c r="I7015" s="140" t="s">
        <v>17</v>
      </c>
    </row>
    <row r="7016" spans="1:9" hidden="1" x14ac:dyDescent="0.25">
      <c r="A7016">
        <v>1998</v>
      </c>
      <c r="B7016" s="140" t="s">
        <v>555</v>
      </c>
      <c r="C7016" s="140" t="s">
        <v>243</v>
      </c>
      <c r="D7016" s="140" t="s">
        <v>11</v>
      </c>
      <c r="E7016" s="140" t="s">
        <v>12</v>
      </c>
      <c r="F7016">
        <v>10790</v>
      </c>
      <c r="G7016" s="140" t="s">
        <v>231</v>
      </c>
      <c r="H7016">
        <v>0</v>
      </c>
      <c r="I7016" s="140" t="s">
        <v>17</v>
      </c>
    </row>
    <row r="7017" spans="1:9" hidden="1" x14ac:dyDescent="0.25">
      <c r="A7017">
        <v>1999</v>
      </c>
      <c r="B7017" s="140" t="s">
        <v>555</v>
      </c>
      <c r="C7017" s="140" t="s">
        <v>243</v>
      </c>
      <c r="D7017" s="140" t="s">
        <v>11</v>
      </c>
      <c r="E7017" s="140" t="s">
        <v>12</v>
      </c>
      <c r="F7017">
        <v>12103</v>
      </c>
      <c r="G7017" s="140" t="s">
        <v>231</v>
      </c>
      <c r="H7017">
        <v>0</v>
      </c>
      <c r="I7017" s="140" t="s">
        <v>17</v>
      </c>
    </row>
    <row r="7018" spans="1:9" hidden="1" x14ac:dyDescent="0.25">
      <c r="A7018">
        <v>2000</v>
      </c>
      <c r="B7018" s="140" t="s">
        <v>555</v>
      </c>
      <c r="C7018" s="140" t="s">
        <v>243</v>
      </c>
      <c r="D7018" s="140" t="s">
        <v>11</v>
      </c>
      <c r="E7018" s="140" t="s">
        <v>12</v>
      </c>
      <c r="F7018">
        <v>14013</v>
      </c>
      <c r="G7018" s="140" t="s">
        <v>231</v>
      </c>
      <c r="H7018">
        <v>0</v>
      </c>
      <c r="I7018" s="140" t="s">
        <v>17</v>
      </c>
    </row>
    <row r="7019" spans="1:9" hidden="1" x14ac:dyDescent="0.25">
      <c r="A7019">
        <v>2001</v>
      </c>
      <c r="B7019" s="140" t="s">
        <v>555</v>
      </c>
      <c r="C7019" s="140" t="s">
        <v>243</v>
      </c>
      <c r="D7019" s="140" t="s">
        <v>11</v>
      </c>
      <c r="E7019" s="140" t="s">
        <v>12</v>
      </c>
      <c r="F7019">
        <v>14328</v>
      </c>
      <c r="G7019" s="140" t="s">
        <v>231</v>
      </c>
      <c r="H7019">
        <v>0</v>
      </c>
      <c r="I7019" s="140" t="s">
        <v>17</v>
      </c>
    </row>
    <row r="7020" spans="1:9" hidden="1" x14ac:dyDescent="0.25">
      <c r="A7020">
        <v>2002</v>
      </c>
      <c r="B7020" s="140" t="s">
        <v>555</v>
      </c>
      <c r="C7020" s="140" t="s">
        <v>243</v>
      </c>
      <c r="D7020" s="140" t="s">
        <v>11</v>
      </c>
      <c r="E7020" s="140" t="s">
        <v>12</v>
      </c>
      <c r="F7020">
        <v>13981</v>
      </c>
      <c r="G7020" s="140" t="s">
        <v>231</v>
      </c>
      <c r="H7020">
        <v>0</v>
      </c>
      <c r="I7020" s="140" t="s">
        <v>17</v>
      </c>
    </row>
    <row r="7021" spans="1:9" hidden="1" x14ac:dyDescent="0.25">
      <c r="A7021">
        <v>2003</v>
      </c>
      <c r="B7021" s="140" t="s">
        <v>555</v>
      </c>
      <c r="C7021" s="140" t="s">
        <v>243</v>
      </c>
      <c r="D7021" s="140" t="s">
        <v>11</v>
      </c>
      <c r="E7021" s="140" t="s">
        <v>12</v>
      </c>
      <c r="F7021">
        <v>14423</v>
      </c>
      <c r="G7021" s="140" t="s">
        <v>231</v>
      </c>
      <c r="H7021">
        <v>0</v>
      </c>
      <c r="I7021" s="140" t="s">
        <v>17</v>
      </c>
    </row>
    <row r="7022" spans="1:9" hidden="1" x14ac:dyDescent="0.25">
      <c r="A7022">
        <v>2004</v>
      </c>
      <c r="B7022" s="140" t="s">
        <v>555</v>
      </c>
      <c r="C7022" s="140" t="s">
        <v>243</v>
      </c>
      <c r="D7022" s="140" t="s">
        <v>11</v>
      </c>
      <c r="E7022" s="140" t="s">
        <v>12</v>
      </c>
      <c r="F7022">
        <v>15827</v>
      </c>
      <c r="G7022" s="140" t="s">
        <v>231</v>
      </c>
      <c r="H7022">
        <v>0</v>
      </c>
      <c r="I7022" s="140" t="s">
        <v>17</v>
      </c>
    </row>
    <row r="7023" spans="1:9" hidden="1" x14ac:dyDescent="0.25">
      <c r="A7023">
        <v>2005</v>
      </c>
      <c r="B7023" s="140" t="s">
        <v>555</v>
      </c>
      <c r="C7023" s="140" t="s">
        <v>243</v>
      </c>
      <c r="D7023" s="140" t="s">
        <v>11</v>
      </c>
      <c r="E7023" s="140" t="s">
        <v>12</v>
      </c>
      <c r="F7023">
        <v>17589</v>
      </c>
      <c r="G7023" s="140" t="s">
        <v>231</v>
      </c>
      <c r="H7023">
        <v>0</v>
      </c>
      <c r="I7023" s="140" t="s">
        <v>17</v>
      </c>
    </row>
    <row r="7024" spans="1:9" hidden="1" x14ac:dyDescent="0.25">
      <c r="A7024">
        <v>2006</v>
      </c>
      <c r="B7024" s="140" t="s">
        <v>555</v>
      </c>
      <c r="C7024" s="140" t="s">
        <v>243</v>
      </c>
      <c r="D7024" s="140" t="s">
        <v>11</v>
      </c>
      <c r="E7024" s="140" t="s">
        <v>12</v>
      </c>
      <c r="F7024">
        <v>18842</v>
      </c>
      <c r="G7024" s="140" t="s">
        <v>231</v>
      </c>
      <c r="H7024">
        <v>0</v>
      </c>
      <c r="I7024" s="140" t="s">
        <v>17</v>
      </c>
    </row>
    <row r="7025" spans="1:9" hidden="1" x14ac:dyDescent="0.25">
      <c r="A7025">
        <v>2007</v>
      </c>
      <c r="B7025" s="140" t="s">
        <v>555</v>
      </c>
      <c r="C7025" s="140" t="s">
        <v>243</v>
      </c>
      <c r="D7025" s="140" t="s">
        <v>11</v>
      </c>
      <c r="E7025" s="140" t="s">
        <v>12</v>
      </c>
      <c r="F7025">
        <v>21956</v>
      </c>
      <c r="G7025" s="140" t="s">
        <v>231</v>
      </c>
      <c r="H7025">
        <v>0</v>
      </c>
      <c r="I7025" s="140" t="s">
        <v>17</v>
      </c>
    </row>
    <row r="7026" spans="1:9" hidden="1" x14ac:dyDescent="0.25">
      <c r="A7026">
        <v>2008</v>
      </c>
      <c r="B7026" s="140" t="s">
        <v>555</v>
      </c>
      <c r="C7026" s="140" t="s">
        <v>243</v>
      </c>
      <c r="D7026" s="140" t="s">
        <v>11</v>
      </c>
      <c r="E7026" s="140" t="s">
        <v>12</v>
      </c>
      <c r="F7026">
        <v>22680</v>
      </c>
      <c r="G7026" s="140" t="s">
        <v>231</v>
      </c>
      <c r="H7026">
        <v>0</v>
      </c>
      <c r="I7026" s="140" t="s">
        <v>17</v>
      </c>
    </row>
    <row r="7027" spans="1:9" hidden="1" x14ac:dyDescent="0.25">
      <c r="A7027">
        <v>2009</v>
      </c>
      <c r="B7027" s="140" t="s">
        <v>555</v>
      </c>
      <c r="C7027" s="140" t="s">
        <v>243</v>
      </c>
      <c r="D7027" s="140" t="s">
        <v>11</v>
      </c>
      <c r="E7027" s="140" t="s">
        <v>12</v>
      </c>
      <c r="F7027">
        <v>18649</v>
      </c>
      <c r="G7027" s="140" t="s">
        <v>231</v>
      </c>
      <c r="H7027">
        <v>0</v>
      </c>
      <c r="I7027" s="140" t="s">
        <v>17</v>
      </c>
    </row>
    <row r="7028" spans="1:9" hidden="1" x14ac:dyDescent="0.25">
      <c r="A7028">
        <v>2010</v>
      </c>
      <c r="B7028" s="140" t="s">
        <v>555</v>
      </c>
      <c r="C7028" s="140" t="s">
        <v>243</v>
      </c>
      <c r="D7028" s="140" t="s">
        <v>11</v>
      </c>
      <c r="E7028" s="140" t="s">
        <v>12</v>
      </c>
      <c r="F7028">
        <v>19800</v>
      </c>
      <c r="G7028" s="140" t="s">
        <v>231</v>
      </c>
      <c r="H7028">
        <v>0</v>
      </c>
      <c r="I7028" s="140" t="s">
        <v>17</v>
      </c>
    </row>
    <row r="7029" spans="1:9" hidden="1" x14ac:dyDescent="0.25">
      <c r="A7029">
        <v>2011</v>
      </c>
      <c r="B7029" s="140" t="s">
        <v>555</v>
      </c>
      <c r="C7029" s="140" t="s">
        <v>243</v>
      </c>
      <c r="D7029" s="140" t="s">
        <v>11</v>
      </c>
      <c r="E7029" s="140" t="s">
        <v>12</v>
      </c>
      <c r="F7029">
        <v>21595</v>
      </c>
      <c r="G7029" s="140" t="s">
        <v>231</v>
      </c>
      <c r="H7029">
        <v>0</v>
      </c>
      <c r="I7029" s="140" t="s">
        <v>17</v>
      </c>
    </row>
    <row r="7030" spans="1:9" hidden="1" x14ac:dyDescent="0.25">
      <c r="A7030">
        <v>2012</v>
      </c>
      <c r="B7030" s="140" t="s">
        <v>555</v>
      </c>
      <c r="C7030" s="140" t="s">
        <v>243</v>
      </c>
      <c r="D7030" s="140" t="s">
        <v>11</v>
      </c>
      <c r="E7030" s="140" t="s">
        <v>12</v>
      </c>
      <c r="F7030">
        <v>22631</v>
      </c>
      <c r="G7030" s="140" t="s">
        <v>231</v>
      </c>
      <c r="H7030">
        <v>0</v>
      </c>
      <c r="I7030" s="140" t="s">
        <v>17</v>
      </c>
    </row>
    <row r="7031" spans="1:9" hidden="1" x14ac:dyDescent="0.25">
      <c r="A7031">
        <v>2013</v>
      </c>
      <c r="B7031" s="140" t="s">
        <v>555</v>
      </c>
      <c r="C7031" s="140" t="s">
        <v>243</v>
      </c>
      <c r="D7031" s="140" t="s">
        <v>11</v>
      </c>
      <c r="E7031" s="140" t="s">
        <v>12</v>
      </c>
      <c r="F7031">
        <v>21975</v>
      </c>
      <c r="G7031" s="140" t="s">
        <v>231</v>
      </c>
      <c r="H7031">
        <v>0</v>
      </c>
      <c r="I7031" s="140" t="s">
        <v>17</v>
      </c>
    </row>
    <row r="7032" spans="1:9" hidden="1" x14ac:dyDescent="0.25">
      <c r="A7032">
        <v>2014</v>
      </c>
      <c r="B7032" s="140" t="s">
        <v>555</v>
      </c>
      <c r="C7032" s="140" t="s">
        <v>243</v>
      </c>
      <c r="D7032" s="140" t="s">
        <v>11</v>
      </c>
      <c r="E7032" s="140" t="s">
        <v>12</v>
      </c>
      <c r="F7032">
        <v>20989</v>
      </c>
      <c r="G7032" s="140" t="s">
        <v>231</v>
      </c>
      <c r="H7032">
        <v>0</v>
      </c>
      <c r="I7032" s="140" t="s">
        <v>17</v>
      </c>
    </row>
    <row r="7033" spans="1:9" hidden="1" x14ac:dyDescent="0.25">
      <c r="A7033">
        <v>2015</v>
      </c>
      <c r="B7033" s="140" t="s">
        <v>555</v>
      </c>
      <c r="C7033" s="140" t="s">
        <v>243</v>
      </c>
      <c r="D7033" s="140" t="s">
        <v>11</v>
      </c>
      <c r="E7033" s="140" t="s">
        <v>12</v>
      </c>
      <c r="F7033">
        <v>21318</v>
      </c>
      <c r="G7033" s="140" t="s">
        <v>231</v>
      </c>
      <c r="H7033">
        <v>0</v>
      </c>
      <c r="I7033" s="140" t="s">
        <v>17</v>
      </c>
    </row>
    <row r="7034" spans="1:9" hidden="1" x14ac:dyDescent="0.25">
      <c r="A7034">
        <v>2016</v>
      </c>
      <c r="B7034" s="140" t="s">
        <v>555</v>
      </c>
      <c r="C7034" s="140" t="s">
        <v>243</v>
      </c>
      <c r="D7034" s="140" t="s">
        <v>11</v>
      </c>
      <c r="E7034" s="140" t="s">
        <v>12</v>
      </c>
      <c r="F7034">
        <v>23964</v>
      </c>
      <c r="G7034" s="140" t="s">
        <v>231</v>
      </c>
      <c r="H7034">
        <v>0</v>
      </c>
      <c r="I7034" s="140" t="s">
        <v>17</v>
      </c>
    </row>
    <row r="7035" spans="1:9" hidden="1" x14ac:dyDescent="0.25">
      <c r="A7035">
        <v>2017</v>
      </c>
      <c r="B7035" s="140" t="s">
        <v>555</v>
      </c>
      <c r="C7035" s="140" t="s">
        <v>243</v>
      </c>
      <c r="D7035" s="140" t="s">
        <v>11</v>
      </c>
      <c r="E7035" s="140" t="s">
        <v>12</v>
      </c>
      <c r="F7035">
        <v>25669</v>
      </c>
      <c r="G7035" s="140" t="s">
        <v>231</v>
      </c>
      <c r="H7035">
        <v>0</v>
      </c>
      <c r="I7035" s="140" t="s">
        <v>17</v>
      </c>
    </row>
    <row r="7036" spans="1:9" hidden="1" x14ac:dyDescent="0.25">
      <c r="A7036">
        <v>2018</v>
      </c>
      <c r="B7036" s="140" t="s">
        <v>555</v>
      </c>
      <c r="C7036" s="140" t="s">
        <v>243</v>
      </c>
      <c r="D7036" s="140" t="s">
        <v>11</v>
      </c>
      <c r="E7036" s="140" t="s">
        <v>12</v>
      </c>
      <c r="F7036">
        <v>28219</v>
      </c>
      <c r="G7036" s="140" t="s">
        <v>231</v>
      </c>
      <c r="H7036">
        <v>0</v>
      </c>
      <c r="I7036" s="140" t="s">
        <v>17</v>
      </c>
    </row>
    <row r="7037" spans="1:9" hidden="1" x14ac:dyDescent="0.25">
      <c r="A7037">
        <v>2019</v>
      </c>
      <c r="B7037" s="140" t="s">
        <v>555</v>
      </c>
      <c r="C7037" s="140" t="s">
        <v>243</v>
      </c>
      <c r="D7037" s="140" t="s">
        <v>11</v>
      </c>
      <c r="E7037" s="140" t="s">
        <v>12</v>
      </c>
      <c r="F7037">
        <v>29495</v>
      </c>
      <c r="G7037" s="140" t="s">
        <v>231</v>
      </c>
      <c r="H7037">
        <v>0</v>
      </c>
      <c r="I7037" s="140" t="s">
        <v>17</v>
      </c>
    </row>
    <row r="7038" spans="1:9" hidden="1" x14ac:dyDescent="0.25">
      <c r="A7038">
        <v>2020</v>
      </c>
      <c r="B7038" s="140" t="s">
        <v>555</v>
      </c>
      <c r="C7038" s="140" t="s">
        <v>243</v>
      </c>
      <c r="D7038" s="140" t="s">
        <v>11</v>
      </c>
      <c r="E7038" s="140" t="s">
        <v>12</v>
      </c>
      <c r="F7038">
        <v>29318</v>
      </c>
      <c r="G7038" s="140" t="s">
        <v>231</v>
      </c>
      <c r="H7038">
        <v>0</v>
      </c>
      <c r="I7038" s="140" t="s">
        <v>17</v>
      </c>
    </row>
    <row r="7039" spans="1:9" hidden="1" x14ac:dyDescent="0.25">
      <c r="A7039">
        <v>2021</v>
      </c>
      <c r="B7039" s="140" t="s">
        <v>555</v>
      </c>
      <c r="C7039" s="140" t="s">
        <v>243</v>
      </c>
      <c r="D7039" s="140" t="s">
        <v>11</v>
      </c>
      <c r="E7039" s="140" t="s">
        <v>12</v>
      </c>
      <c r="F7039">
        <v>29690</v>
      </c>
      <c r="G7039" s="140" t="s">
        <v>231</v>
      </c>
      <c r="H7039">
        <v>0</v>
      </c>
      <c r="I7039" s="140" t="s">
        <v>17</v>
      </c>
    </row>
    <row r="7040" spans="1:9" hidden="1" x14ac:dyDescent="0.25">
      <c r="A7040">
        <v>2022</v>
      </c>
      <c r="B7040" s="140" t="s">
        <v>555</v>
      </c>
      <c r="C7040" s="140" t="s">
        <v>243</v>
      </c>
      <c r="D7040" s="140" t="s">
        <v>11</v>
      </c>
      <c r="E7040" s="140" t="s">
        <v>12</v>
      </c>
      <c r="F7040">
        <v>31361</v>
      </c>
      <c r="G7040" s="140" t="s">
        <v>231</v>
      </c>
      <c r="H7040">
        <v>0</v>
      </c>
      <c r="I7040" s="140" t="s">
        <v>17</v>
      </c>
    </row>
    <row r="7041" spans="1:9" hidden="1" x14ac:dyDescent="0.25">
      <c r="A7041">
        <v>2023</v>
      </c>
      <c r="B7041" s="140" t="s">
        <v>555</v>
      </c>
      <c r="C7041" s="140" t="s">
        <v>243</v>
      </c>
      <c r="D7041" s="140" t="s">
        <v>11</v>
      </c>
      <c r="E7041" s="140" t="s">
        <v>12</v>
      </c>
      <c r="F7041">
        <v>28706</v>
      </c>
      <c r="G7041" s="140" t="s">
        <v>231</v>
      </c>
      <c r="H7041">
        <v>0</v>
      </c>
      <c r="I7041" s="140" t="s">
        <v>17</v>
      </c>
    </row>
    <row r="7042" spans="1:9" hidden="1" x14ac:dyDescent="0.25">
      <c r="A7042">
        <v>2024</v>
      </c>
      <c r="B7042" s="140" t="s">
        <v>555</v>
      </c>
      <c r="C7042" s="140" t="s">
        <v>243</v>
      </c>
      <c r="D7042" s="140" t="s">
        <v>11</v>
      </c>
      <c r="E7042" s="140" t="s">
        <v>12</v>
      </c>
      <c r="F7042">
        <v>24168</v>
      </c>
      <c r="G7042" s="140" t="s">
        <v>231</v>
      </c>
      <c r="H7042">
        <v>0</v>
      </c>
      <c r="I7042" s="140" t="s">
        <v>17</v>
      </c>
    </row>
    <row r="7043" spans="1:9" hidden="1" x14ac:dyDescent="0.25">
      <c r="A7043">
        <v>2025</v>
      </c>
      <c r="B7043" s="140" t="s">
        <v>555</v>
      </c>
      <c r="C7043" s="140" t="s">
        <v>243</v>
      </c>
      <c r="D7043" s="140" t="s">
        <v>11</v>
      </c>
      <c r="E7043" s="140" t="s">
        <v>12</v>
      </c>
      <c r="F7043">
        <v>23765</v>
      </c>
      <c r="G7043" s="140" t="s">
        <v>231</v>
      </c>
      <c r="H7043">
        <v>0</v>
      </c>
      <c r="I7043" s="140" t="s">
        <v>17</v>
      </c>
    </row>
    <row r="7044" spans="1:9" hidden="1" x14ac:dyDescent="0.25">
      <c r="A7044">
        <v>2026</v>
      </c>
      <c r="B7044" s="140" t="s">
        <v>555</v>
      </c>
      <c r="C7044" s="140" t="s">
        <v>243</v>
      </c>
      <c r="D7044" s="140" t="s">
        <v>11</v>
      </c>
      <c r="E7044" s="140" t="s">
        <v>12</v>
      </c>
      <c r="F7044">
        <v>24655.775799999999</v>
      </c>
      <c r="G7044" s="140" t="s">
        <v>231</v>
      </c>
      <c r="H7044">
        <v>0</v>
      </c>
      <c r="I7044" s="140" t="s">
        <v>17</v>
      </c>
    </row>
    <row r="7045" spans="1:9" hidden="1" x14ac:dyDescent="0.25">
      <c r="A7045">
        <v>2027</v>
      </c>
      <c r="B7045" s="140" t="s">
        <v>555</v>
      </c>
      <c r="C7045" s="140" t="s">
        <v>243</v>
      </c>
      <c r="D7045" s="140" t="s">
        <v>11</v>
      </c>
      <c r="E7045" s="140" t="s">
        <v>12</v>
      </c>
      <c r="F7045">
        <v>26558.65972</v>
      </c>
      <c r="G7045" s="140" t="s">
        <v>231</v>
      </c>
      <c r="H7045">
        <v>0</v>
      </c>
      <c r="I7045" s="140" t="s">
        <v>17</v>
      </c>
    </row>
    <row r="7046" spans="1:9" hidden="1" x14ac:dyDescent="0.25">
      <c r="A7046">
        <v>2028</v>
      </c>
      <c r="B7046" s="140" t="s">
        <v>555</v>
      </c>
      <c r="C7046" s="140" t="s">
        <v>243</v>
      </c>
      <c r="D7046" s="140" t="s">
        <v>11</v>
      </c>
      <c r="E7046" s="140" t="s">
        <v>12</v>
      </c>
      <c r="F7046">
        <v>28682.926439999999</v>
      </c>
      <c r="G7046" s="140" t="s">
        <v>231</v>
      </c>
      <c r="H7046">
        <v>0</v>
      </c>
      <c r="I7046" s="140" t="s">
        <v>17</v>
      </c>
    </row>
    <row r="7047" spans="1:9" hidden="1" x14ac:dyDescent="0.25">
      <c r="A7047">
        <v>1990</v>
      </c>
      <c r="B7047" s="140" t="s">
        <v>430</v>
      </c>
      <c r="C7047" s="140" t="s">
        <v>243</v>
      </c>
      <c r="D7047" s="140" t="s">
        <v>11</v>
      </c>
      <c r="E7047" s="140" t="s">
        <v>12</v>
      </c>
      <c r="F7047">
        <v>8550</v>
      </c>
      <c r="G7047" s="140" t="s">
        <v>431</v>
      </c>
      <c r="H7047">
        <v>0</v>
      </c>
      <c r="I7047" s="140" t="s">
        <v>17</v>
      </c>
    </row>
    <row r="7048" spans="1:9" hidden="1" x14ac:dyDescent="0.25">
      <c r="A7048">
        <v>1991</v>
      </c>
      <c r="B7048" s="140" t="s">
        <v>430</v>
      </c>
      <c r="C7048" s="140" t="s">
        <v>243</v>
      </c>
      <c r="D7048" s="140" t="s">
        <v>11</v>
      </c>
      <c r="E7048" s="140" t="s">
        <v>12</v>
      </c>
      <c r="F7048">
        <v>7511</v>
      </c>
      <c r="G7048" s="140" t="s">
        <v>431</v>
      </c>
      <c r="H7048">
        <v>0</v>
      </c>
      <c r="I7048" s="140" t="s">
        <v>17</v>
      </c>
    </row>
    <row r="7049" spans="1:9" hidden="1" x14ac:dyDescent="0.25">
      <c r="A7049">
        <v>1992</v>
      </c>
      <c r="B7049" s="140" t="s">
        <v>430</v>
      </c>
      <c r="C7049" s="140" t="s">
        <v>243</v>
      </c>
      <c r="D7049" s="140" t="s">
        <v>11</v>
      </c>
      <c r="E7049" s="140" t="s">
        <v>12</v>
      </c>
      <c r="F7049">
        <v>5761</v>
      </c>
      <c r="G7049" s="140" t="s">
        <v>431</v>
      </c>
      <c r="H7049">
        <v>0</v>
      </c>
      <c r="I7049" s="140" t="s">
        <v>17</v>
      </c>
    </row>
    <row r="7050" spans="1:9" hidden="1" x14ac:dyDescent="0.25">
      <c r="A7050">
        <v>1993</v>
      </c>
      <c r="B7050" s="140" t="s">
        <v>430</v>
      </c>
      <c r="C7050" s="140" t="s">
        <v>243</v>
      </c>
      <c r="D7050" s="140" t="s">
        <v>11</v>
      </c>
      <c r="E7050" s="140" t="s">
        <v>12</v>
      </c>
      <c r="F7050">
        <v>4456</v>
      </c>
      <c r="G7050" s="140" t="s">
        <v>431</v>
      </c>
      <c r="H7050">
        <v>0</v>
      </c>
      <c r="I7050" s="140" t="s">
        <v>17</v>
      </c>
    </row>
    <row r="7051" spans="1:9" hidden="1" x14ac:dyDescent="0.25">
      <c r="A7051">
        <v>1994</v>
      </c>
      <c r="B7051" s="140" t="s">
        <v>430</v>
      </c>
      <c r="C7051" s="140" t="s">
        <v>243</v>
      </c>
      <c r="D7051" s="140" t="s">
        <v>11</v>
      </c>
      <c r="E7051" s="140" t="s">
        <v>12</v>
      </c>
      <c r="F7051">
        <v>4291</v>
      </c>
      <c r="G7051" s="140" t="s">
        <v>431</v>
      </c>
      <c r="H7051">
        <v>0</v>
      </c>
      <c r="I7051" s="140" t="s">
        <v>17</v>
      </c>
    </row>
    <row r="7052" spans="1:9" hidden="1" x14ac:dyDescent="0.25">
      <c r="A7052">
        <v>1995</v>
      </c>
      <c r="B7052" s="140" t="s">
        <v>430</v>
      </c>
      <c r="C7052" s="140" t="s">
        <v>243</v>
      </c>
      <c r="D7052" s="140" t="s">
        <v>11</v>
      </c>
      <c r="E7052" s="140" t="s">
        <v>12</v>
      </c>
      <c r="F7052">
        <v>4743</v>
      </c>
      <c r="G7052" s="140" t="s">
        <v>431</v>
      </c>
      <c r="H7052">
        <v>0</v>
      </c>
      <c r="I7052" s="140" t="s">
        <v>17</v>
      </c>
    </row>
    <row r="7053" spans="1:9" hidden="1" x14ac:dyDescent="0.25">
      <c r="A7053">
        <v>1996</v>
      </c>
      <c r="B7053" s="140" t="s">
        <v>430</v>
      </c>
      <c r="C7053" s="140" t="s">
        <v>243</v>
      </c>
      <c r="D7053" s="140" t="s">
        <v>11</v>
      </c>
      <c r="E7053" s="140" t="s">
        <v>12</v>
      </c>
      <c r="F7053">
        <v>5568</v>
      </c>
      <c r="G7053" s="140" t="s">
        <v>431</v>
      </c>
      <c r="H7053">
        <v>0</v>
      </c>
      <c r="I7053" s="140" t="s">
        <v>17</v>
      </c>
    </row>
    <row r="7054" spans="1:9" hidden="1" x14ac:dyDescent="0.25">
      <c r="A7054">
        <v>1997</v>
      </c>
      <c r="B7054" s="140" t="s">
        <v>430</v>
      </c>
      <c r="C7054" s="140" t="s">
        <v>243</v>
      </c>
      <c r="D7054" s="140" t="s">
        <v>11</v>
      </c>
      <c r="E7054" s="140" t="s">
        <v>12</v>
      </c>
      <c r="F7054">
        <v>5818</v>
      </c>
      <c r="G7054" s="140" t="s">
        <v>431</v>
      </c>
      <c r="H7054">
        <v>0</v>
      </c>
      <c r="I7054" s="140" t="s">
        <v>17</v>
      </c>
    </row>
    <row r="7055" spans="1:9" hidden="1" x14ac:dyDescent="0.25">
      <c r="A7055">
        <v>1998</v>
      </c>
      <c r="B7055" s="140" t="s">
        <v>430</v>
      </c>
      <c r="C7055" s="140" t="s">
        <v>243</v>
      </c>
      <c r="D7055" s="140" t="s">
        <v>11</v>
      </c>
      <c r="E7055" s="140" t="s">
        <v>12</v>
      </c>
      <c r="F7055">
        <v>6839</v>
      </c>
      <c r="G7055" s="140" t="s">
        <v>431</v>
      </c>
      <c r="H7055">
        <v>0</v>
      </c>
      <c r="I7055" s="140" t="s">
        <v>17</v>
      </c>
    </row>
    <row r="7056" spans="1:9" hidden="1" x14ac:dyDescent="0.25">
      <c r="A7056">
        <v>1999</v>
      </c>
      <c r="B7056" s="140" t="s">
        <v>430</v>
      </c>
      <c r="C7056" s="140" t="s">
        <v>243</v>
      </c>
      <c r="D7056" s="140" t="s">
        <v>11</v>
      </c>
      <c r="E7056" s="140" t="s">
        <v>12</v>
      </c>
      <c r="F7056">
        <v>7305</v>
      </c>
      <c r="G7056" s="140" t="s">
        <v>431</v>
      </c>
      <c r="H7056">
        <v>0</v>
      </c>
      <c r="I7056" s="140" t="s">
        <v>17</v>
      </c>
    </row>
    <row r="7057" spans="1:9" hidden="1" x14ac:dyDescent="0.25">
      <c r="A7057">
        <v>2000</v>
      </c>
      <c r="B7057" s="140" t="s">
        <v>430</v>
      </c>
      <c r="C7057" s="140" t="s">
        <v>243</v>
      </c>
      <c r="D7057" s="140" t="s">
        <v>11</v>
      </c>
      <c r="E7057" s="140" t="s">
        <v>12</v>
      </c>
      <c r="F7057">
        <v>8409</v>
      </c>
      <c r="G7057" s="140" t="s">
        <v>431</v>
      </c>
      <c r="H7057">
        <v>0</v>
      </c>
      <c r="I7057" s="140" t="s">
        <v>17</v>
      </c>
    </row>
    <row r="7058" spans="1:9" hidden="1" x14ac:dyDescent="0.25">
      <c r="A7058">
        <v>2001</v>
      </c>
      <c r="B7058" s="140" t="s">
        <v>430</v>
      </c>
      <c r="C7058" s="140" t="s">
        <v>243</v>
      </c>
      <c r="D7058" s="140" t="s">
        <v>11</v>
      </c>
      <c r="E7058" s="140" t="s">
        <v>12</v>
      </c>
      <c r="F7058">
        <v>9467</v>
      </c>
      <c r="G7058" s="140" t="s">
        <v>431</v>
      </c>
      <c r="H7058">
        <v>0</v>
      </c>
      <c r="I7058" s="140" t="s">
        <v>17</v>
      </c>
    </row>
    <row r="7059" spans="1:9" hidden="1" x14ac:dyDescent="0.25">
      <c r="A7059">
        <v>2002</v>
      </c>
      <c r="B7059" s="140" t="s">
        <v>430</v>
      </c>
      <c r="C7059" s="140" t="s">
        <v>243</v>
      </c>
      <c r="D7059" s="140" t="s">
        <v>11</v>
      </c>
      <c r="E7059" s="140" t="s">
        <v>12</v>
      </c>
      <c r="F7059">
        <v>9303</v>
      </c>
      <c r="G7059" s="140" t="s">
        <v>431</v>
      </c>
      <c r="H7059">
        <v>0</v>
      </c>
      <c r="I7059" s="140" t="s">
        <v>17</v>
      </c>
    </row>
    <row r="7060" spans="1:9" hidden="1" x14ac:dyDescent="0.25">
      <c r="A7060">
        <v>2003</v>
      </c>
      <c r="B7060" s="140" t="s">
        <v>430</v>
      </c>
      <c r="C7060" s="140" t="s">
        <v>243</v>
      </c>
      <c r="D7060" s="140" t="s">
        <v>11</v>
      </c>
      <c r="E7060" s="140" t="s">
        <v>12</v>
      </c>
      <c r="F7060">
        <v>8923</v>
      </c>
      <c r="G7060" s="140" t="s">
        <v>431</v>
      </c>
      <c r="H7060">
        <v>0</v>
      </c>
      <c r="I7060" s="140" t="s">
        <v>17</v>
      </c>
    </row>
    <row r="7061" spans="1:9" hidden="1" x14ac:dyDescent="0.25">
      <c r="A7061">
        <v>2004</v>
      </c>
      <c r="B7061" s="140" t="s">
        <v>430</v>
      </c>
      <c r="C7061" s="140" t="s">
        <v>243</v>
      </c>
      <c r="D7061" s="140" t="s">
        <v>11</v>
      </c>
      <c r="E7061" s="140" t="s">
        <v>12</v>
      </c>
      <c r="F7061">
        <v>9371</v>
      </c>
      <c r="G7061" s="140" t="s">
        <v>431</v>
      </c>
      <c r="H7061">
        <v>0</v>
      </c>
      <c r="I7061" s="140" t="s">
        <v>17</v>
      </c>
    </row>
    <row r="7062" spans="1:9" hidden="1" x14ac:dyDescent="0.25">
      <c r="A7062">
        <v>2005</v>
      </c>
      <c r="B7062" s="140" t="s">
        <v>430</v>
      </c>
      <c r="C7062" s="140" t="s">
        <v>243</v>
      </c>
      <c r="D7062" s="140" t="s">
        <v>11</v>
      </c>
      <c r="E7062" s="140" t="s">
        <v>12</v>
      </c>
      <c r="F7062">
        <v>10049</v>
      </c>
      <c r="G7062" s="140" t="s">
        <v>431</v>
      </c>
      <c r="H7062">
        <v>0</v>
      </c>
      <c r="I7062" s="140" t="s">
        <v>17</v>
      </c>
    </row>
    <row r="7063" spans="1:9" hidden="1" x14ac:dyDescent="0.25">
      <c r="A7063">
        <v>2006</v>
      </c>
      <c r="B7063" s="140" t="s">
        <v>430</v>
      </c>
      <c r="C7063" s="140" t="s">
        <v>243</v>
      </c>
      <c r="D7063" s="140" t="s">
        <v>11</v>
      </c>
      <c r="E7063" s="140" t="s">
        <v>12</v>
      </c>
      <c r="F7063">
        <v>10725</v>
      </c>
      <c r="G7063" s="140" t="s">
        <v>431</v>
      </c>
      <c r="H7063">
        <v>0</v>
      </c>
      <c r="I7063" s="140" t="s">
        <v>17</v>
      </c>
    </row>
    <row r="7064" spans="1:9" hidden="1" x14ac:dyDescent="0.25">
      <c r="A7064">
        <v>2007</v>
      </c>
      <c r="B7064" s="140" t="s">
        <v>430</v>
      </c>
      <c r="C7064" s="140" t="s">
        <v>243</v>
      </c>
      <c r="D7064" s="140" t="s">
        <v>11</v>
      </c>
      <c r="E7064" s="140" t="s">
        <v>12</v>
      </c>
      <c r="F7064">
        <v>13596</v>
      </c>
      <c r="G7064" s="140" t="s">
        <v>431</v>
      </c>
      <c r="H7064">
        <v>0</v>
      </c>
      <c r="I7064" s="140" t="s">
        <v>17</v>
      </c>
    </row>
    <row r="7065" spans="1:9" hidden="1" x14ac:dyDescent="0.25">
      <c r="A7065">
        <v>2008</v>
      </c>
      <c r="B7065" s="140" t="s">
        <v>430</v>
      </c>
      <c r="C7065" s="140" t="s">
        <v>243</v>
      </c>
      <c r="D7065" s="140" t="s">
        <v>11</v>
      </c>
      <c r="E7065" s="140" t="s">
        <v>12</v>
      </c>
      <c r="F7065">
        <v>15339</v>
      </c>
      <c r="G7065" s="140" t="s">
        <v>431</v>
      </c>
      <c r="H7065">
        <v>0</v>
      </c>
      <c r="I7065" s="140" t="s">
        <v>17</v>
      </c>
    </row>
    <row r="7066" spans="1:9" hidden="1" x14ac:dyDescent="0.25">
      <c r="A7066">
        <v>2009</v>
      </c>
      <c r="B7066" s="140" t="s">
        <v>430</v>
      </c>
      <c r="C7066" s="140" t="s">
        <v>243</v>
      </c>
      <c r="D7066" s="140" t="s">
        <v>11</v>
      </c>
      <c r="E7066" s="140" t="s">
        <v>12</v>
      </c>
      <c r="F7066">
        <v>12721</v>
      </c>
      <c r="G7066" s="140" t="s">
        <v>431</v>
      </c>
      <c r="H7066">
        <v>0</v>
      </c>
      <c r="I7066" s="140" t="s">
        <v>17</v>
      </c>
    </row>
    <row r="7067" spans="1:9" hidden="1" x14ac:dyDescent="0.25">
      <c r="A7067">
        <v>2010</v>
      </c>
      <c r="B7067" s="140" t="s">
        <v>430</v>
      </c>
      <c r="C7067" s="140" t="s">
        <v>243</v>
      </c>
      <c r="D7067" s="140" t="s">
        <v>11</v>
      </c>
      <c r="E7067" s="140" t="s">
        <v>12</v>
      </c>
      <c r="F7067">
        <v>12680</v>
      </c>
      <c r="G7067" s="140" t="s">
        <v>431</v>
      </c>
      <c r="H7067">
        <v>0</v>
      </c>
      <c r="I7067" s="140" t="s">
        <v>17</v>
      </c>
    </row>
    <row r="7068" spans="1:9" hidden="1" x14ac:dyDescent="0.25">
      <c r="A7068">
        <v>2011</v>
      </c>
      <c r="B7068" s="140" t="s">
        <v>430</v>
      </c>
      <c r="C7068" s="140" t="s">
        <v>243</v>
      </c>
      <c r="D7068" s="140" t="s">
        <v>11</v>
      </c>
      <c r="E7068" s="140" t="s">
        <v>12</v>
      </c>
      <c r="F7068">
        <v>13122</v>
      </c>
      <c r="G7068" s="140" t="s">
        <v>431</v>
      </c>
      <c r="H7068">
        <v>0</v>
      </c>
      <c r="I7068" s="140" t="s">
        <v>17</v>
      </c>
    </row>
    <row r="7069" spans="1:9" hidden="1" x14ac:dyDescent="0.25">
      <c r="A7069">
        <v>2012</v>
      </c>
      <c r="B7069" s="140" t="s">
        <v>430</v>
      </c>
      <c r="C7069" s="140" t="s">
        <v>243</v>
      </c>
      <c r="D7069" s="140" t="s">
        <v>11</v>
      </c>
      <c r="E7069" s="140" t="s">
        <v>12</v>
      </c>
      <c r="F7069">
        <v>13389</v>
      </c>
      <c r="G7069" s="140" t="s">
        <v>431</v>
      </c>
      <c r="H7069">
        <v>0</v>
      </c>
      <c r="I7069" s="140" t="s">
        <v>17</v>
      </c>
    </row>
    <row r="7070" spans="1:9" hidden="1" x14ac:dyDescent="0.25">
      <c r="A7070">
        <v>2013</v>
      </c>
      <c r="B7070" s="140" t="s">
        <v>430</v>
      </c>
      <c r="C7070" s="140" t="s">
        <v>243</v>
      </c>
      <c r="D7070" s="140" t="s">
        <v>11</v>
      </c>
      <c r="E7070" s="140" t="s">
        <v>12</v>
      </c>
      <c r="F7070">
        <v>13504</v>
      </c>
      <c r="G7070" s="140" t="s">
        <v>431</v>
      </c>
      <c r="H7070">
        <v>0</v>
      </c>
      <c r="I7070" s="140" t="s">
        <v>17</v>
      </c>
    </row>
    <row r="7071" spans="1:9" hidden="1" x14ac:dyDescent="0.25">
      <c r="A7071">
        <v>2014</v>
      </c>
      <c r="B7071" s="140" t="s">
        <v>430</v>
      </c>
      <c r="C7071" s="140" t="s">
        <v>243</v>
      </c>
      <c r="D7071" s="140" t="s">
        <v>11</v>
      </c>
      <c r="E7071" s="140" t="s">
        <v>12</v>
      </c>
      <c r="F7071">
        <v>13417</v>
      </c>
      <c r="G7071" s="140" t="s">
        <v>431</v>
      </c>
      <c r="H7071">
        <v>0</v>
      </c>
      <c r="I7071" s="140" t="s">
        <v>17</v>
      </c>
    </row>
    <row r="7072" spans="1:9" hidden="1" x14ac:dyDescent="0.25">
      <c r="A7072">
        <v>2015</v>
      </c>
      <c r="B7072" s="140" t="s">
        <v>430</v>
      </c>
      <c r="C7072" s="140" t="s">
        <v>243</v>
      </c>
      <c r="D7072" s="140" t="s">
        <v>11</v>
      </c>
      <c r="E7072" s="140" t="s">
        <v>12</v>
      </c>
      <c r="F7072">
        <v>13334</v>
      </c>
      <c r="G7072" s="140" t="s">
        <v>431</v>
      </c>
      <c r="H7072">
        <v>0</v>
      </c>
      <c r="I7072" s="140" t="s">
        <v>17</v>
      </c>
    </row>
    <row r="7073" spans="1:9" hidden="1" x14ac:dyDescent="0.25">
      <c r="A7073">
        <v>2016</v>
      </c>
      <c r="B7073" s="140" t="s">
        <v>430</v>
      </c>
      <c r="C7073" s="140" t="s">
        <v>243</v>
      </c>
      <c r="D7073" s="140" t="s">
        <v>11</v>
      </c>
      <c r="E7073" s="140" t="s">
        <v>12</v>
      </c>
      <c r="F7073">
        <v>14912</v>
      </c>
      <c r="G7073" s="140" t="s">
        <v>431</v>
      </c>
      <c r="H7073">
        <v>0</v>
      </c>
      <c r="I7073" s="140" t="s">
        <v>17</v>
      </c>
    </row>
    <row r="7074" spans="1:9" hidden="1" x14ac:dyDescent="0.25">
      <c r="A7074">
        <v>2017</v>
      </c>
      <c r="B7074" s="140" t="s">
        <v>430</v>
      </c>
      <c r="C7074" s="140" t="s">
        <v>243</v>
      </c>
      <c r="D7074" s="140" t="s">
        <v>11</v>
      </c>
      <c r="E7074" s="140" t="s">
        <v>12</v>
      </c>
      <c r="F7074">
        <v>16300</v>
      </c>
      <c r="G7074" s="140" t="s">
        <v>431</v>
      </c>
      <c r="H7074">
        <v>0</v>
      </c>
      <c r="I7074" s="140" t="s">
        <v>17</v>
      </c>
    </row>
    <row r="7075" spans="1:9" hidden="1" x14ac:dyDescent="0.25">
      <c r="A7075">
        <v>2018</v>
      </c>
      <c r="B7075" s="140" t="s">
        <v>430</v>
      </c>
      <c r="C7075" s="140" t="s">
        <v>243</v>
      </c>
      <c r="D7075" s="140" t="s">
        <v>11</v>
      </c>
      <c r="E7075" s="140" t="s">
        <v>12</v>
      </c>
      <c r="F7075">
        <v>17627</v>
      </c>
      <c r="G7075" s="140" t="s">
        <v>431</v>
      </c>
      <c r="H7075">
        <v>0</v>
      </c>
      <c r="I7075" s="140" t="s">
        <v>17</v>
      </c>
    </row>
    <row r="7076" spans="1:9" hidden="1" x14ac:dyDescent="0.25">
      <c r="A7076">
        <v>2019</v>
      </c>
      <c r="B7076" s="140" t="s">
        <v>430</v>
      </c>
      <c r="C7076" s="140" t="s">
        <v>243</v>
      </c>
      <c r="D7076" s="140" t="s">
        <v>11</v>
      </c>
      <c r="E7076" s="140" t="s">
        <v>12</v>
      </c>
      <c r="F7076">
        <v>17804</v>
      </c>
      <c r="G7076" s="140" t="s">
        <v>431</v>
      </c>
      <c r="H7076">
        <v>0</v>
      </c>
      <c r="I7076" s="140" t="s">
        <v>17</v>
      </c>
    </row>
    <row r="7077" spans="1:9" hidden="1" x14ac:dyDescent="0.25">
      <c r="A7077">
        <v>2020</v>
      </c>
      <c r="B7077" s="140" t="s">
        <v>430</v>
      </c>
      <c r="C7077" s="140" t="s">
        <v>243</v>
      </c>
      <c r="D7077" s="140" t="s">
        <v>11</v>
      </c>
      <c r="E7077" s="140" t="s">
        <v>12</v>
      </c>
      <c r="F7077">
        <v>18148</v>
      </c>
      <c r="G7077" s="140" t="s">
        <v>431</v>
      </c>
      <c r="H7077">
        <v>0</v>
      </c>
      <c r="I7077" s="140" t="s">
        <v>17</v>
      </c>
    </row>
    <row r="7078" spans="1:9" hidden="1" x14ac:dyDescent="0.25">
      <c r="A7078">
        <v>2021</v>
      </c>
      <c r="B7078" s="140" t="s">
        <v>430</v>
      </c>
      <c r="C7078" s="140" t="s">
        <v>243</v>
      </c>
      <c r="D7078" s="140" t="s">
        <v>11</v>
      </c>
      <c r="E7078" s="140" t="s">
        <v>12</v>
      </c>
      <c r="F7078">
        <v>18095</v>
      </c>
      <c r="G7078" s="140" t="s">
        <v>431</v>
      </c>
      <c r="H7078">
        <v>0</v>
      </c>
      <c r="I7078" s="140" t="s">
        <v>17</v>
      </c>
    </row>
    <row r="7079" spans="1:9" hidden="1" x14ac:dyDescent="0.25">
      <c r="A7079">
        <v>2022</v>
      </c>
      <c r="B7079" s="140" t="s">
        <v>430</v>
      </c>
      <c r="C7079" s="140" t="s">
        <v>243</v>
      </c>
      <c r="D7079" s="140" t="s">
        <v>11</v>
      </c>
      <c r="E7079" s="140" t="s">
        <v>12</v>
      </c>
      <c r="F7079">
        <v>19018</v>
      </c>
      <c r="G7079" s="140" t="s">
        <v>431</v>
      </c>
      <c r="H7079">
        <v>0</v>
      </c>
      <c r="I7079" s="140" t="s">
        <v>17</v>
      </c>
    </row>
    <row r="7080" spans="1:9" hidden="1" x14ac:dyDescent="0.25">
      <c r="A7080">
        <v>2023</v>
      </c>
      <c r="B7080" s="140" t="s">
        <v>430</v>
      </c>
      <c r="C7080" s="140" t="s">
        <v>243</v>
      </c>
      <c r="D7080" s="140" t="s">
        <v>11</v>
      </c>
      <c r="E7080" s="140" t="s">
        <v>12</v>
      </c>
      <c r="F7080">
        <v>18841</v>
      </c>
      <c r="G7080" s="140" t="s">
        <v>431</v>
      </c>
      <c r="H7080">
        <v>0</v>
      </c>
      <c r="I7080" s="140" t="s">
        <v>17</v>
      </c>
    </row>
    <row r="7081" spans="1:9" hidden="1" x14ac:dyDescent="0.25">
      <c r="A7081">
        <v>2024</v>
      </c>
      <c r="B7081" s="140" t="s">
        <v>430</v>
      </c>
      <c r="C7081" s="140" t="s">
        <v>243</v>
      </c>
      <c r="D7081" s="140" t="s">
        <v>11</v>
      </c>
      <c r="E7081" s="140" t="s">
        <v>12</v>
      </c>
      <c r="F7081">
        <v>18410</v>
      </c>
      <c r="G7081" s="140" t="s">
        <v>431</v>
      </c>
      <c r="H7081">
        <v>0</v>
      </c>
      <c r="I7081" s="140" t="s">
        <v>17</v>
      </c>
    </row>
    <row r="7082" spans="1:9" hidden="1" x14ac:dyDescent="0.25">
      <c r="A7082">
        <v>2025</v>
      </c>
      <c r="B7082" s="140" t="s">
        <v>430</v>
      </c>
      <c r="C7082" s="140" t="s">
        <v>243</v>
      </c>
      <c r="D7082" s="140" t="s">
        <v>11</v>
      </c>
      <c r="E7082" s="140" t="s">
        <v>12</v>
      </c>
      <c r="F7082">
        <v>18837</v>
      </c>
      <c r="G7082" s="140" t="s">
        <v>431</v>
      </c>
      <c r="H7082">
        <v>0</v>
      </c>
      <c r="I7082" s="140" t="s">
        <v>17</v>
      </c>
    </row>
    <row r="7083" spans="1:9" hidden="1" x14ac:dyDescent="0.25">
      <c r="A7083">
        <v>2026</v>
      </c>
      <c r="B7083" s="140" t="s">
        <v>430</v>
      </c>
      <c r="C7083" s="140" t="s">
        <v>243</v>
      </c>
      <c r="D7083" s="140" t="s">
        <v>11</v>
      </c>
      <c r="E7083" s="140" t="s">
        <v>12</v>
      </c>
      <c r="F7083">
        <v>20416.008999999998</v>
      </c>
      <c r="G7083" s="140" t="s">
        <v>431</v>
      </c>
      <c r="H7083">
        <v>0</v>
      </c>
      <c r="I7083" s="140" t="s">
        <v>17</v>
      </c>
    </row>
    <row r="7084" spans="1:9" hidden="1" x14ac:dyDescent="0.25">
      <c r="A7084">
        <v>2027</v>
      </c>
      <c r="B7084" s="140" t="s">
        <v>430</v>
      </c>
      <c r="C7084" s="140" t="s">
        <v>243</v>
      </c>
      <c r="D7084" s="140" t="s">
        <v>11</v>
      </c>
      <c r="E7084" s="140" t="s">
        <v>12</v>
      </c>
      <c r="F7084">
        <v>22065.769240000001</v>
      </c>
      <c r="G7084" s="140" t="s">
        <v>431</v>
      </c>
      <c r="H7084">
        <v>0</v>
      </c>
      <c r="I7084" s="140" t="s">
        <v>17</v>
      </c>
    </row>
    <row r="7085" spans="1:9" hidden="1" x14ac:dyDescent="0.25">
      <c r="A7085">
        <v>2028</v>
      </c>
      <c r="B7085" s="140" t="s">
        <v>430</v>
      </c>
      <c r="C7085" s="140" t="s">
        <v>243</v>
      </c>
      <c r="D7085" s="140" t="s">
        <v>11</v>
      </c>
      <c r="E7085" s="140" t="s">
        <v>12</v>
      </c>
      <c r="F7085">
        <v>23165.283660000001</v>
      </c>
      <c r="G7085" s="140" t="s">
        <v>431</v>
      </c>
      <c r="H7085">
        <v>0</v>
      </c>
      <c r="I7085" s="140" t="s">
        <v>17</v>
      </c>
    </row>
    <row r="7086" spans="1:9" hidden="1" x14ac:dyDescent="0.25">
      <c r="A7086">
        <v>1991</v>
      </c>
      <c r="B7086" s="140" t="s">
        <v>125</v>
      </c>
      <c r="C7086" s="140" t="s">
        <v>243</v>
      </c>
      <c r="D7086" s="140" t="s">
        <v>11</v>
      </c>
      <c r="E7086" s="140" t="s">
        <v>12</v>
      </c>
      <c r="F7086">
        <v>5222</v>
      </c>
      <c r="G7086" s="140" t="s">
        <v>432</v>
      </c>
      <c r="H7086">
        <v>0</v>
      </c>
      <c r="I7086" s="140" t="s">
        <v>17</v>
      </c>
    </row>
    <row r="7087" spans="1:9" hidden="1" x14ac:dyDescent="0.25">
      <c r="A7087">
        <v>1992</v>
      </c>
      <c r="B7087" s="140" t="s">
        <v>125</v>
      </c>
      <c r="C7087" s="140" t="s">
        <v>243</v>
      </c>
      <c r="D7087" s="140" t="s">
        <v>11</v>
      </c>
      <c r="E7087" s="140" t="s">
        <v>12</v>
      </c>
      <c r="F7087">
        <v>3682</v>
      </c>
      <c r="G7087" s="140" t="s">
        <v>432</v>
      </c>
      <c r="H7087">
        <v>0</v>
      </c>
      <c r="I7087" s="140" t="s">
        <v>17</v>
      </c>
    </row>
    <row r="7088" spans="1:9" hidden="1" x14ac:dyDescent="0.25">
      <c r="A7088">
        <v>1993</v>
      </c>
      <c r="B7088" s="140" t="s">
        <v>125</v>
      </c>
      <c r="C7088" s="140" t="s">
        <v>243</v>
      </c>
      <c r="D7088" s="140" t="s">
        <v>11</v>
      </c>
      <c r="E7088" s="140" t="s">
        <v>12</v>
      </c>
      <c r="F7088">
        <v>2580</v>
      </c>
      <c r="G7088" s="140" t="s">
        <v>432</v>
      </c>
      <c r="H7088">
        <v>0</v>
      </c>
      <c r="I7088" s="140" t="s">
        <v>17</v>
      </c>
    </row>
    <row r="7089" spans="1:9" hidden="1" x14ac:dyDescent="0.25">
      <c r="A7089">
        <v>1994</v>
      </c>
      <c r="B7089" s="140" t="s">
        <v>125</v>
      </c>
      <c r="C7089" s="140" t="s">
        <v>243</v>
      </c>
      <c r="D7089" s="140" t="s">
        <v>11</v>
      </c>
      <c r="E7089" s="140" t="s">
        <v>12</v>
      </c>
      <c r="F7089">
        <v>2387</v>
      </c>
      <c r="G7089" s="140" t="s">
        <v>432</v>
      </c>
      <c r="H7089">
        <v>0</v>
      </c>
      <c r="I7089" s="140" t="s">
        <v>17</v>
      </c>
    </row>
    <row r="7090" spans="1:9" hidden="1" x14ac:dyDescent="0.25">
      <c r="A7090">
        <v>1995</v>
      </c>
      <c r="B7090" s="140" t="s">
        <v>125</v>
      </c>
      <c r="C7090" s="140" t="s">
        <v>243</v>
      </c>
      <c r="D7090" s="140" t="s">
        <v>11</v>
      </c>
      <c r="E7090" s="140" t="s">
        <v>12</v>
      </c>
      <c r="F7090">
        <v>2643</v>
      </c>
      <c r="G7090" s="140" t="s">
        <v>432</v>
      </c>
      <c r="H7090">
        <v>0</v>
      </c>
      <c r="I7090" s="140" t="s">
        <v>17</v>
      </c>
    </row>
    <row r="7091" spans="1:9" hidden="1" x14ac:dyDescent="0.25">
      <c r="A7091">
        <v>1996</v>
      </c>
      <c r="B7091" s="140" t="s">
        <v>125</v>
      </c>
      <c r="C7091" s="140" t="s">
        <v>243</v>
      </c>
      <c r="D7091" s="140" t="s">
        <v>11</v>
      </c>
      <c r="E7091" s="140" t="s">
        <v>12</v>
      </c>
      <c r="F7091">
        <v>3334</v>
      </c>
      <c r="G7091" s="140" t="s">
        <v>432</v>
      </c>
      <c r="H7091">
        <v>0</v>
      </c>
      <c r="I7091" s="140" t="s">
        <v>17</v>
      </c>
    </row>
    <row r="7092" spans="1:9" hidden="1" x14ac:dyDescent="0.25">
      <c r="A7092">
        <v>1997</v>
      </c>
      <c r="B7092" s="140" t="s">
        <v>125</v>
      </c>
      <c r="C7092" s="140" t="s">
        <v>243</v>
      </c>
      <c r="D7092" s="140" t="s">
        <v>11</v>
      </c>
      <c r="E7092" s="140" t="s">
        <v>12</v>
      </c>
      <c r="F7092">
        <v>3516</v>
      </c>
      <c r="G7092" s="140" t="s">
        <v>432</v>
      </c>
      <c r="H7092">
        <v>0</v>
      </c>
      <c r="I7092" s="140" t="s">
        <v>17</v>
      </c>
    </row>
    <row r="7093" spans="1:9" hidden="1" x14ac:dyDescent="0.25">
      <c r="A7093">
        <v>1998</v>
      </c>
      <c r="B7093" s="140" t="s">
        <v>125</v>
      </c>
      <c r="C7093" s="140" t="s">
        <v>243</v>
      </c>
      <c r="D7093" s="140" t="s">
        <v>11</v>
      </c>
      <c r="E7093" s="140" t="s">
        <v>12</v>
      </c>
      <c r="F7093">
        <v>4380</v>
      </c>
      <c r="G7093" s="140" t="s">
        <v>432</v>
      </c>
      <c r="H7093">
        <v>0</v>
      </c>
      <c r="I7093" s="140" t="s">
        <v>17</v>
      </c>
    </row>
    <row r="7094" spans="1:9" hidden="1" x14ac:dyDescent="0.25">
      <c r="A7094">
        <v>1999</v>
      </c>
      <c r="B7094" s="140" t="s">
        <v>125</v>
      </c>
      <c r="C7094" s="140" t="s">
        <v>243</v>
      </c>
      <c r="D7094" s="140" t="s">
        <v>11</v>
      </c>
      <c r="E7094" s="140" t="s">
        <v>12</v>
      </c>
      <c r="F7094">
        <v>4846</v>
      </c>
      <c r="G7094" s="140" t="s">
        <v>432</v>
      </c>
      <c r="H7094">
        <v>0</v>
      </c>
      <c r="I7094" s="140" t="s">
        <v>17</v>
      </c>
    </row>
    <row r="7095" spans="1:9" hidden="1" x14ac:dyDescent="0.25">
      <c r="A7095">
        <v>2000</v>
      </c>
      <c r="B7095" s="140" t="s">
        <v>125</v>
      </c>
      <c r="C7095" s="140" t="s">
        <v>243</v>
      </c>
      <c r="D7095" s="140" t="s">
        <v>11</v>
      </c>
      <c r="E7095" s="140" t="s">
        <v>12</v>
      </c>
      <c r="F7095">
        <v>5759</v>
      </c>
      <c r="G7095" s="140" t="s">
        <v>432</v>
      </c>
      <c r="H7095">
        <v>0</v>
      </c>
      <c r="I7095" s="140" t="s">
        <v>17</v>
      </c>
    </row>
    <row r="7096" spans="1:9" hidden="1" x14ac:dyDescent="0.25">
      <c r="A7096">
        <v>2001</v>
      </c>
      <c r="B7096" s="140" t="s">
        <v>125</v>
      </c>
      <c r="C7096" s="140" t="s">
        <v>243</v>
      </c>
      <c r="D7096" s="140" t="s">
        <v>11</v>
      </c>
      <c r="E7096" s="140" t="s">
        <v>12</v>
      </c>
      <c r="F7096">
        <v>6610</v>
      </c>
      <c r="G7096" s="140" t="s">
        <v>432</v>
      </c>
      <c r="H7096">
        <v>0</v>
      </c>
      <c r="I7096" s="140" t="s">
        <v>17</v>
      </c>
    </row>
    <row r="7097" spans="1:9" hidden="1" x14ac:dyDescent="0.25">
      <c r="A7097">
        <v>2002</v>
      </c>
      <c r="B7097" s="140" t="s">
        <v>125</v>
      </c>
      <c r="C7097" s="140" t="s">
        <v>243</v>
      </c>
      <c r="D7097" s="140" t="s">
        <v>11</v>
      </c>
      <c r="E7097" s="140" t="s">
        <v>12</v>
      </c>
      <c r="F7097">
        <v>6459</v>
      </c>
      <c r="G7097" s="140" t="s">
        <v>432</v>
      </c>
      <c r="H7097">
        <v>0</v>
      </c>
      <c r="I7097" s="140" t="s">
        <v>17</v>
      </c>
    </row>
    <row r="7098" spans="1:9" hidden="1" x14ac:dyDescent="0.25">
      <c r="A7098">
        <v>2003</v>
      </c>
      <c r="B7098" s="140" t="s">
        <v>125</v>
      </c>
      <c r="C7098" s="140" t="s">
        <v>243</v>
      </c>
      <c r="D7098" s="140" t="s">
        <v>11</v>
      </c>
      <c r="E7098" s="140" t="s">
        <v>12</v>
      </c>
      <c r="F7098">
        <v>6043</v>
      </c>
      <c r="G7098" s="140" t="s">
        <v>432</v>
      </c>
      <c r="H7098">
        <v>0</v>
      </c>
      <c r="I7098" s="140" t="s">
        <v>17</v>
      </c>
    </row>
    <row r="7099" spans="1:9" hidden="1" x14ac:dyDescent="0.25">
      <c r="A7099">
        <v>2004</v>
      </c>
      <c r="B7099" s="140" t="s">
        <v>125</v>
      </c>
      <c r="C7099" s="140" t="s">
        <v>243</v>
      </c>
      <c r="D7099" s="140" t="s">
        <v>11</v>
      </c>
      <c r="E7099" s="140" t="s">
        <v>12</v>
      </c>
      <c r="F7099">
        <v>6278</v>
      </c>
      <c r="G7099" s="140" t="s">
        <v>432</v>
      </c>
      <c r="H7099">
        <v>0</v>
      </c>
      <c r="I7099" s="140" t="s">
        <v>17</v>
      </c>
    </row>
    <row r="7100" spans="1:9" hidden="1" x14ac:dyDescent="0.25">
      <c r="A7100">
        <v>2005</v>
      </c>
      <c r="B7100" s="140" t="s">
        <v>125</v>
      </c>
      <c r="C7100" s="140" t="s">
        <v>243</v>
      </c>
      <c r="D7100" s="140" t="s">
        <v>11</v>
      </c>
      <c r="E7100" s="140" t="s">
        <v>12</v>
      </c>
      <c r="F7100">
        <v>7036</v>
      </c>
      <c r="G7100" s="140" t="s">
        <v>432</v>
      </c>
      <c r="H7100">
        <v>0</v>
      </c>
      <c r="I7100" s="140" t="s">
        <v>17</v>
      </c>
    </row>
    <row r="7101" spans="1:9" hidden="1" x14ac:dyDescent="0.25">
      <c r="A7101">
        <v>2006</v>
      </c>
      <c r="B7101" s="140" t="s">
        <v>125</v>
      </c>
      <c r="C7101" s="140" t="s">
        <v>243</v>
      </c>
      <c r="D7101" s="140" t="s">
        <v>11</v>
      </c>
      <c r="E7101" s="140" t="s">
        <v>12</v>
      </c>
      <c r="F7101">
        <v>7467</v>
      </c>
      <c r="G7101" s="140" t="s">
        <v>432</v>
      </c>
      <c r="H7101">
        <v>0</v>
      </c>
      <c r="I7101" s="140" t="s">
        <v>17</v>
      </c>
    </row>
    <row r="7102" spans="1:9" hidden="1" x14ac:dyDescent="0.25">
      <c r="A7102">
        <v>2007</v>
      </c>
      <c r="B7102" s="140" t="s">
        <v>125</v>
      </c>
      <c r="C7102" s="140" t="s">
        <v>243</v>
      </c>
      <c r="D7102" s="140" t="s">
        <v>11</v>
      </c>
      <c r="E7102" s="140" t="s">
        <v>12</v>
      </c>
      <c r="F7102">
        <v>9761</v>
      </c>
      <c r="G7102" s="140" t="s">
        <v>432</v>
      </c>
      <c r="H7102">
        <v>0</v>
      </c>
      <c r="I7102" s="140" t="s">
        <v>17</v>
      </c>
    </row>
    <row r="7103" spans="1:9" hidden="1" x14ac:dyDescent="0.25">
      <c r="A7103">
        <v>2008</v>
      </c>
      <c r="B7103" s="140" t="s">
        <v>125</v>
      </c>
      <c r="C7103" s="140" t="s">
        <v>243</v>
      </c>
      <c r="D7103" s="140" t="s">
        <v>11</v>
      </c>
      <c r="E7103" s="140" t="s">
        <v>12</v>
      </c>
      <c r="F7103">
        <v>11088</v>
      </c>
      <c r="G7103" s="140" t="s">
        <v>432</v>
      </c>
      <c r="H7103">
        <v>0</v>
      </c>
      <c r="I7103" s="140" t="s">
        <v>17</v>
      </c>
    </row>
    <row r="7104" spans="1:9" hidden="1" x14ac:dyDescent="0.25">
      <c r="A7104">
        <v>2009</v>
      </c>
      <c r="B7104" s="140" t="s">
        <v>125</v>
      </c>
      <c r="C7104" s="140" t="s">
        <v>243</v>
      </c>
      <c r="D7104" s="140" t="s">
        <v>11</v>
      </c>
      <c r="E7104" s="140" t="s">
        <v>12</v>
      </c>
      <c r="F7104">
        <v>8819</v>
      </c>
      <c r="G7104" s="140" t="s">
        <v>432</v>
      </c>
      <c r="H7104">
        <v>0</v>
      </c>
      <c r="I7104" s="140" t="s">
        <v>17</v>
      </c>
    </row>
    <row r="7105" spans="1:9" hidden="1" x14ac:dyDescent="0.25">
      <c r="A7105">
        <v>2010</v>
      </c>
      <c r="B7105" s="140" t="s">
        <v>125</v>
      </c>
      <c r="C7105" s="140" t="s">
        <v>243</v>
      </c>
      <c r="D7105" s="140" t="s">
        <v>11</v>
      </c>
      <c r="E7105" s="140" t="s">
        <v>12</v>
      </c>
      <c r="F7105">
        <v>7890</v>
      </c>
      <c r="G7105" s="140" t="s">
        <v>432</v>
      </c>
      <c r="H7105">
        <v>0</v>
      </c>
      <c r="I7105" s="140" t="s">
        <v>17</v>
      </c>
    </row>
    <row r="7106" spans="1:9" hidden="1" x14ac:dyDescent="0.25">
      <c r="A7106">
        <v>2011</v>
      </c>
      <c r="B7106" s="140" t="s">
        <v>125</v>
      </c>
      <c r="C7106" s="140" t="s">
        <v>243</v>
      </c>
      <c r="D7106" s="140" t="s">
        <v>11</v>
      </c>
      <c r="E7106" s="140" t="s">
        <v>12</v>
      </c>
      <c r="F7106">
        <v>8551</v>
      </c>
      <c r="G7106" s="140" t="s">
        <v>432</v>
      </c>
      <c r="H7106">
        <v>0</v>
      </c>
      <c r="I7106" s="140" t="s">
        <v>17</v>
      </c>
    </row>
    <row r="7107" spans="1:9" hidden="1" x14ac:dyDescent="0.25">
      <c r="A7107">
        <v>2012</v>
      </c>
      <c r="B7107" s="140" t="s">
        <v>125</v>
      </c>
      <c r="C7107" s="140" t="s">
        <v>243</v>
      </c>
      <c r="D7107" s="140" t="s">
        <v>11</v>
      </c>
      <c r="E7107" s="140" t="s">
        <v>12</v>
      </c>
      <c r="F7107">
        <v>9134</v>
      </c>
      <c r="G7107" s="140" t="s">
        <v>432</v>
      </c>
      <c r="H7107">
        <v>0</v>
      </c>
      <c r="I7107" s="140" t="s">
        <v>17</v>
      </c>
    </row>
    <row r="7108" spans="1:9" hidden="1" x14ac:dyDescent="0.25">
      <c r="A7108">
        <v>2013</v>
      </c>
      <c r="B7108" s="140" t="s">
        <v>125</v>
      </c>
      <c r="C7108" s="140" t="s">
        <v>243</v>
      </c>
      <c r="D7108" s="140" t="s">
        <v>11</v>
      </c>
      <c r="E7108" s="140" t="s">
        <v>12</v>
      </c>
      <c r="F7108">
        <v>8986</v>
      </c>
      <c r="G7108" s="140" t="s">
        <v>432</v>
      </c>
      <c r="H7108">
        <v>0</v>
      </c>
      <c r="I7108" s="140" t="s">
        <v>17</v>
      </c>
    </row>
    <row r="7109" spans="1:9" hidden="1" x14ac:dyDescent="0.25">
      <c r="A7109">
        <v>2014</v>
      </c>
      <c r="B7109" s="140" t="s">
        <v>125</v>
      </c>
      <c r="C7109" s="140" t="s">
        <v>243</v>
      </c>
      <c r="D7109" s="140" t="s">
        <v>11</v>
      </c>
      <c r="E7109" s="140" t="s">
        <v>12</v>
      </c>
      <c r="F7109">
        <v>8615</v>
      </c>
      <c r="G7109" s="140" t="s">
        <v>432</v>
      </c>
      <c r="H7109">
        <v>0</v>
      </c>
      <c r="I7109" s="140" t="s">
        <v>17</v>
      </c>
    </row>
    <row r="7110" spans="1:9" hidden="1" x14ac:dyDescent="0.25">
      <c r="A7110">
        <v>2015</v>
      </c>
      <c r="B7110" s="140" t="s">
        <v>125</v>
      </c>
      <c r="C7110" s="140" t="s">
        <v>243</v>
      </c>
      <c r="D7110" s="140" t="s">
        <v>11</v>
      </c>
      <c r="E7110" s="140" t="s">
        <v>12</v>
      </c>
      <c r="F7110">
        <v>8668</v>
      </c>
      <c r="G7110" s="140" t="s">
        <v>432</v>
      </c>
      <c r="H7110">
        <v>0</v>
      </c>
      <c r="I7110" s="140" t="s">
        <v>17</v>
      </c>
    </row>
    <row r="7111" spans="1:9" hidden="1" x14ac:dyDescent="0.25">
      <c r="A7111">
        <v>2016</v>
      </c>
      <c r="B7111" s="140" t="s">
        <v>125</v>
      </c>
      <c r="C7111" s="140" t="s">
        <v>243</v>
      </c>
      <c r="D7111" s="140" t="s">
        <v>11</v>
      </c>
      <c r="E7111" s="140" t="s">
        <v>12</v>
      </c>
      <c r="F7111">
        <v>9621</v>
      </c>
      <c r="G7111" s="140" t="s">
        <v>432</v>
      </c>
      <c r="H7111">
        <v>0</v>
      </c>
      <c r="I7111" s="140" t="s">
        <v>17</v>
      </c>
    </row>
    <row r="7112" spans="1:9" hidden="1" x14ac:dyDescent="0.25">
      <c r="A7112">
        <v>2017</v>
      </c>
      <c r="B7112" s="140" t="s">
        <v>125</v>
      </c>
      <c r="C7112" s="140" t="s">
        <v>243</v>
      </c>
      <c r="D7112" s="140" t="s">
        <v>11</v>
      </c>
      <c r="E7112" s="140" t="s">
        <v>12</v>
      </c>
      <c r="F7112">
        <v>10613</v>
      </c>
      <c r="G7112" s="140" t="s">
        <v>432</v>
      </c>
      <c r="H7112">
        <v>0</v>
      </c>
      <c r="I7112" s="140" t="s">
        <v>17</v>
      </c>
    </row>
    <row r="7113" spans="1:9" hidden="1" x14ac:dyDescent="0.25">
      <c r="A7113">
        <v>2018</v>
      </c>
      <c r="B7113" s="140" t="s">
        <v>125</v>
      </c>
      <c r="C7113" s="140" t="s">
        <v>243</v>
      </c>
      <c r="D7113" s="140" t="s">
        <v>11</v>
      </c>
      <c r="E7113" s="140" t="s">
        <v>12</v>
      </c>
      <c r="F7113">
        <v>11681</v>
      </c>
      <c r="G7113" s="140" t="s">
        <v>432</v>
      </c>
      <c r="H7113">
        <v>0</v>
      </c>
      <c r="I7113" s="140" t="s">
        <v>17</v>
      </c>
    </row>
    <row r="7114" spans="1:9" hidden="1" x14ac:dyDescent="0.25">
      <c r="A7114">
        <v>2019</v>
      </c>
      <c r="B7114" s="140" t="s">
        <v>125</v>
      </c>
      <c r="C7114" s="140" t="s">
        <v>243</v>
      </c>
      <c r="D7114" s="140" t="s">
        <v>11</v>
      </c>
      <c r="E7114" s="140" t="s">
        <v>12</v>
      </c>
      <c r="F7114">
        <v>12742</v>
      </c>
      <c r="G7114" s="140" t="s">
        <v>432</v>
      </c>
      <c r="H7114">
        <v>0</v>
      </c>
      <c r="I7114" s="140" t="s">
        <v>17</v>
      </c>
    </row>
    <row r="7115" spans="1:9" hidden="1" x14ac:dyDescent="0.25">
      <c r="A7115">
        <v>2020</v>
      </c>
      <c r="B7115" s="140" t="s">
        <v>125</v>
      </c>
      <c r="C7115" s="140" t="s">
        <v>243</v>
      </c>
      <c r="D7115" s="140" t="s">
        <v>11</v>
      </c>
      <c r="E7115" s="140" t="s">
        <v>12</v>
      </c>
      <c r="F7115">
        <v>12829</v>
      </c>
      <c r="G7115" s="140" t="s">
        <v>432</v>
      </c>
      <c r="H7115">
        <v>0</v>
      </c>
      <c r="I7115" s="140" t="s">
        <v>17</v>
      </c>
    </row>
    <row r="7116" spans="1:9" hidden="1" x14ac:dyDescent="0.25">
      <c r="A7116">
        <v>2021</v>
      </c>
      <c r="B7116" s="140" t="s">
        <v>125</v>
      </c>
      <c r="C7116" s="140" t="s">
        <v>243</v>
      </c>
      <c r="D7116" s="140" t="s">
        <v>11</v>
      </c>
      <c r="E7116" s="140" t="s">
        <v>12</v>
      </c>
      <c r="F7116">
        <v>12542</v>
      </c>
      <c r="G7116" s="140" t="s">
        <v>432</v>
      </c>
      <c r="H7116">
        <v>0</v>
      </c>
      <c r="I7116" s="140" t="s">
        <v>17</v>
      </c>
    </row>
    <row r="7117" spans="1:9" hidden="1" x14ac:dyDescent="0.25">
      <c r="A7117">
        <v>2022</v>
      </c>
      <c r="B7117" s="140" t="s">
        <v>125</v>
      </c>
      <c r="C7117" s="140" t="s">
        <v>243</v>
      </c>
      <c r="D7117" s="140" t="s">
        <v>11</v>
      </c>
      <c r="E7117" s="140" t="s">
        <v>12</v>
      </c>
      <c r="F7117">
        <v>12538</v>
      </c>
      <c r="G7117" s="140" t="s">
        <v>432</v>
      </c>
      <c r="H7117">
        <v>0</v>
      </c>
      <c r="I7117" s="140" t="s">
        <v>17</v>
      </c>
    </row>
    <row r="7118" spans="1:9" hidden="1" x14ac:dyDescent="0.25">
      <c r="A7118">
        <v>2023</v>
      </c>
      <c r="B7118" s="140" t="s">
        <v>125</v>
      </c>
      <c r="C7118" s="140" t="s">
        <v>243</v>
      </c>
      <c r="D7118" s="140" t="s">
        <v>11</v>
      </c>
      <c r="E7118" s="140" t="s">
        <v>12</v>
      </c>
      <c r="F7118">
        <v>12555</v>
      </c>
      <c r="G7118" s="140" t="s">
        <v>432</v>
      </c>
      <c r="H7118">
        <v>0</v>
      </c>
      <c r="I7118" s="140" t="s">
        <v>17</v>
      </c>
    </row>
    <row r="7119" spans="1:9" hidden="1" x14ac:dyDescent="0.25">
      <c r="A7119">
        <v>2024</v>
      </c>
      <c r="B7119" s="140" t="s">
        <v>125</v>
      </c>
      <c r="C7119" s="140" t="s">
        <v>243</v>
      </c>
      <c r="D7119" s="140" t="s">
        <v>11</v>
      </c>
      <c r="E7119" s="140" t="s">
        <v>12</v>
      </c>
      <c r="F7119">
        <v>12138</v>
      </c>
      <c r="G7119" s="140" t="s">
        <v>432</v>
      </c>
      <c r="H7119">
        <v>0</v>
      </c>
      <c r="I7119" s="140" t="s">
        <v>17</v>
      </c>
    </row>
    <row r="7120" spans="1:9" hidden="1" x14ac:dyDescent="0.25">
      <c r="A7120">
        <v>2025</v>
      </c>
      <c r="B7120" s="140" t="s">
        <v>125</v>
      </c>
      <c r="C7120" s="140" t="s">
        <v>243</v>
      </c>
      <c r="D7120" s="140" t="s">
        <v>11</v>
      </c>
      <c r="E7120" s="140" t="s">
        <v>12</v>
      </c>
      <c r="F7120">
        <v>11773</v>
      </c>
      <c r="G7120" s="140" t="s">
        <v>432</v>
      </c>
      <c r="H7120">
        <v>0</v>
      </c>
      <c r="I7120" s="140" t="s">
        <v>17</v>
      </c>
    </row>
    <row r="7121" spans="1:9" hidden="1" x14ac:dyDescent="0.25">
      <c r="A7121">
        <v>2026</v>
      </c>
      <c r="B7121" s="140" t="s">
        <v>125</v>
      </c>
      <c r="C7121" s="140" t="s">
        <v>243</v>
      </c>
      <c r="D7121" s="140" t="s">
        <v>11</v>
      </c>
      <c r="E7121" s="140" t="s">
        <v>12</v>
      </c>
      <c r="F7121">
        <v>12849.0522</v>
      </c>
      <c r="G7121" s="140" t="s">
        <v>432</v>
      </c>
      <c r="H7121">
        <v>0</v>
      </c>
      <c r="I7121" s="140" t="s">
        <v>17</v>
      </c>
    </row>
    <row r="7122" spans="1:9" hidden="1" x14ac:dyDescent="0.25">
      <c r="A7122">
        <v>2027</v>
      </c>
      <c r="B7122" s="140" t="s">
        <v>125</v>
      </c>
      <c r="C7122" s="140" t="s">
        <v>243</v>
      </c>
      <c r="D7122" s="140" t="s">
        <v>11</v>
      </c>
      <c r="E7122" s="140" t="s">
        <v>12</v>
      </c>
      <c r="F7122">
        <v>14154.5159</v>
      </c>
      <c r="G7122" s="140" t="s">
        <v>432</v>
      </c>
      <c r="H7122">
        <v>0</v>
      </c>
      <c r="I7122" s="140" t="s">
        <v>17</v>
      </c>
    </row>
    <row r="7123" spans="1:9" hidden="1" x14ac:dyDescent="0.25">
      <c r="A7123">
        <v>2028</v>
      </c>
      <c r="B7123" s="140" t="s">
        <v>125</v>
      </c>
      <c r="C7123" s="140" t="s">
        <v>243</v>
      </c>
      <c r="D7123" s="140" t="s">
        <v>11</v>
      </c>
      <c r="E7123" s="140" t="s">
        <v>12</v>
      </c>
      <c r="F7123">
        <v>15015.11047</v>
      </c>
      <c r="G7123" s="140" t="s">
        <v>432</v>
      </c>
      <c r="H7123">
        <v>0</v>
      </c>
      <c r="I7123" s="140" t="s">
        <v>17</v>
      </c>
    </row>
    <row r="7124" spans="1:9" hidden="1" x14ac:dyDescent="0.25">
      <c r="A7124">
        <v>1990</v>
      </c>
      <c r="B7124" s="140" t="s">
        <v>127</v>
      </c>
      <c r="C7124" s="140" t="s">
        <v>243</v>
      </c>
      <c r="D7124" s="140" t="s">
        <v>11</v>
      </c>
      <c r="E7124" s="140" t="s">
        <v>12</v>
      </c>
      <c r="F7124">
        <v>9275</v>
      </c>
      <c r="G7124" s="140" t="s">
        <v>433</v>
      </c>
      <c r="H7124">
        <v>0</v>
      </c>
      <c r="I7124" s="140" t="s">
        <v>17</v>
      </c>
    </row>
    <row r="7125" spans="1:9" hidden="1" x14ac:dyDescent="0.25">
      <c r="A7125">
        <v>1991</v>
      </c>
      <c r="B7125" s="140" t="s">
        <v>127</v>
      </c>
      <c r="C7125" s="140" t="s">
        <v>243</v>
      </c>
      <c r="D7125" s="140" t="s">
        <v>11</v>
      </c>
      <c r="E7125" s="140" t="s">
        <v>12</v>
      </c>
      <c r="F7125">
        <v>6782</v>
      </c>
      <c r="G7125" s="140" t="s">
        <v>433</v>
      </c>
      <c r="H7125">
        <v>0</v>
      </c>
      <c r="I7125" s="140" t="s">
        <v>17</v>
      </c>
    </row>
    <row r="7126" spans="1:9" hidden="1" x14ac:dyDescent="0.25">
      <c r="A7126">
        <v>1992</v>
      </c>
      <c r="B7126" s="140" t="s">
        <v>127</v>
      </c>
      <c r="C7126" s="140" t="s">
        <v>243</v>
      </c>
      <c r="D7126" s="140" t="s">
        <v>11</v>
      </c>
      <c r="E7126" s="140" t="s">
        <v>12</v>
      </c>
      <c r="F7126">
        <v>6113</v>
      </c>
      <c r="G7126" s="140" t="s">
        <v>433</v>
      </c>
      <c r="H7126">
        <v>0</v>
      </c>
      <c r="I7126" s="140" t="s">
        <v>17</v>
      </c>
    </row>
    <row r="7127" spans="1:9" hidden="1" x14ac:dyDescent="0.25">
      <c r="A7127">
        <v>1993</v>
      </c>
      <c r="B7127" s="140" t="s">
        <v>127</v>
      </c>
      <c r="C7127" s="140" t="s">
        <v>243</v>
      </c>
      <c r="D7127" s="140" t="s">
        <v>11</v>
      </c>
      <c r="E7127" s="140" t="s">
        <v>12</v>
      </c>
      <c r="F7127">
        <v>5453</v>
      </c>
      <c r="G7127" s="140" t="s">
        <v>433</v>
      </c>
      <c r="H7127">
        <v>0</v>
      </c>
      <c r="I7127" s="140" t="s">
        <v>17</v>
      </c>
    </row>
    <row r="7128" spans="1:9" hidden="1" x14ac:dyDescent="0.25">
      <c r="A7128">
        <v>1994</v>
      </c>
      <c r="B7128" s="140" t="s">
        <v>127</v>
      </c>
      <c r="C7128" s="140" t="s">
        <v>243</v>
      </c>
      <c r="D7128" s="140" t="s">
        <v>11</v>
      </c>
      <c r="E7128" s="140" t="s">
        <v>12</v>
      </c>
      <c r="F7128">
        <v>5587</v>
      </c>
      <c r="G7128" s="140" t="s">
        <v>433</v>
      </c>
      <c r="H7128">
        <v>0</v>
      </c>
      <c r="I7128" s="140" t="s">
        <v>17</v>
      </c>
    </row>
    <row r="7129" spans="1:9" hidden="1" x14ac:dyDescent="0.25">
      <c r="A7129">
        <v>1995</v>
      </c>
      <c r="B7129" s="140" t="s">
        <v>127</v>
      </c>
      <c r="C7129" s="140" t="s">
        <v>243</v>
      </c>
      <c r="D7129" s="140" t="s">
        <v>11</v>
      </c>
      <c r="E7129" s="140" t="s">
        <v>12</v>
      </c>
      <c r="F7129">
        <v>6539</v>
      </c>
      <c r="G7129" s="140" t="s">
        <v>433</v>
      </c>
      <c r="H7129">
        <v>0</v>
      </c>
      <c r="I7129" s="140" t="s">
        <v>17</v>
      </c>
    </row>
    <row r="7130" spans="1:9" hidden="1" x14ac:dyDescent="0.25">
      <c r="A7130">
        <v>1996</v>
      </c>
      <c r="B7130" s="140" t="s">
        <v>127</v>
      </c>
      <c r="C7130" s="140" t="s">
        <v>243</v>
      </c>
      <c r="D7130" s="140" t="s">
        <v>11</v>
      </c>
      <c r="E7130" s="140" t="s">
        <v>12</v>
      </c>
      <c r="F7130">
        <v>7234</v>
      </c>
      <c r="G7130" s="140" t="s">
        <v>433</v>
      </c>
      <c r="H7130">
        <v>0</v>
      </c>
      <c r="I7130" s="140" t="s">
        <v>17</v>
      </c>
    </row>
    <row r="7131" spans="1:9" hidden="1" x14ac:dyDescent="0.25">
      <c r="A7131">
        <v>1997</v>
      </c>
      <c r="B7131" s="140" t="s">
        <v>127</v>
      </c>
      <c r="C7131" s="140" t="s">
        <v>243</v>
      </c>
      <c r="D7131" s="140" t="s">
        <v>11</v>
      </c>
      <c r="E7131" s="140" t="s">
        <v>12</v>
      </c>
      <c r="F7131">
        <v>8254</v>
      </c>
      <c r="G7131" s="140" t="s">
        <v>433</v>
      </c>
      <c r="H7131">
        <v>0</v>
      </c>
      <c r="I7131" s="140" t="s">
        <v>17</v>
      </c>
    </row>
    <row r="7132" spans="1:9" hidden="1" x14ac:dyDescent="0.25">
      <c r="A7132">
        <v>1998</v>
      </c>
      <c r="B7132" s="140" t="s">
        <v>127</v>
      </c>
      <c r="C7132" s="140" t="s">
        <v>243</v>
      </c>
      <c r="D7132" s="140" t="s">
        <v>11</v>
      </c>
      <c r="E7132" s="140" t="s">
        <v>12</v>
      </c>
      <c r="F7132">
        <v>8862</v>
      </c>
      <c r="G7132" s="140" t="s">
        <v>433</v>
      </c>
      <c r="H7132">
        <v>0</v>
      </c>
      <c r="I7132" s="140" t="s">
        <v>17</v>
      </c>
    </row>
    <row r="7133" spans="1:9" hidden="1" x14ac:dyDescent="0.25">
      <c r="A7133">
        <v>1999</v>
      </c>
      <c r="B7133" s="140" t="s">
        <v>127</v>
      </c>
      <c r="C7133" s="140" t="s">
        <v>243</v>
      </c>
      <c r="D7133" s="140" t="s">
        <v>11</v>
      </c>
      <c r="E7133" s="140" t="s">
        <v>12</v>
      </c>
      <c r="F7133">
        <v>8441</v>
      </c>
      <c r="G7133" s="140" t="s">
        <v>433</v>
      </c>
      <c r="H7133">
        <v>0</v>
      </c>
      <c r="I7133" s="140" t="s">
        <v>17</v>
      </c>
    </row>
    <row r="7134" spans="1:9" hidden="1" x14ac:dyDescent="0.25">
      <c r="A7134">
        <v>2000</v>
      </c>
      <c r="B7134" s="140" t="s">
        <v>127</v>
      </c>
      <c r="C7134" s="140" t="s">
        <v>243</v>
      </c>
      <c r="D7134" s="140" t="s">
        <v>11</v>
      </c>
      <c r="E7134" s="140" t="s">
        <v>12</v>
      </c>
      <c r="F7134">
        <v>8632</v>
      </c>
      <c r="G7134" s="140" t="s">
        <v>433</v>
      </c>
      <c r="H7134">
        <v>0</v>
      </c>
      <c r="I7134" s="140" t="s">
        <v>17</v>
      </c>
    </row>
    <row r="7135" spans="1:9" hidden="1" x14ac:dyDescent="0.25">
      <c r="A7135">
        <v>2001</v>
      </c>
      <c r="B7135" s="140" t="s">
        <v>127</v>
      </c>
      <c r="C7135" s="140" t="s">
        <v>243</v>
      </c>
      <c r="D7135" s="140" t="s">
        <v>11</v>
      </c>
      <c r="E7135" s="140" t="s">
        <v>12</v>
      </c>
      <c r="F7135">
        <v>9210</v>
      </c>
      <c r="G7135" s="140" t="s">
        <v>433</v>
      </c>
      <c r="H7135">
        <v>0</v>
      </c>
      <c r="I7135" s="140" t="s">
        <v>17</v>
      </c>
    </row>
    <row r="7136" spans="1:9" hidden="1" x14ac:dyDescent="0.25">
      <c r="A7136">
        <v>2002</v>
      </c>
      <c r="B7136" s="140" t="s">
        <v>127</v>
      </c>
      <c r="C7136" s="140" t="s">
        <v>243</v>
      </c>
      <c r="D7136" s="140" t="s">
        <v>11</v>
      </c>
      <c r="E7136" s="140" t="s">
        <v>12</v>
      </c>
      <c r="F7136">
        <v>8483</v>
      </c>
      <c r="G7136" s="140" t="s">
        <v>433</v>
      </c>
      <c r="H7136">
        <v>0</v>
      </c>
      <c r="I7136" s="140" t="s">
        <v>17</v>
      </c>
    </row>
    <row r="7137" spans="1:9" hidden="1" x14ac:dyDescent="0.25">
      <c r="A7137">
        <v>2003</v>
      </c>
      <c r="B7137" s="140" t="s">
        <v>127</v>
      </c>
      <c r="C7137" s="140" t="s">
        <v>243</v>
      </c>
      <c r="D7137" s="140" t="s">
        <v>11</v>
      </c>
      <c r="E7137" s="140" t="s">
        <v>12</v>
      </c>
      <c r="F7137">
        <v>8450</v>
      </c>
      <c r="G7137" s="140" t="s">
        <v>433</v>
      </c>
      <c r="H7137">
        <v>0</v>
      </c>
      <c r="I7137" s="140" t="s">
        <v>17</v>
      </c>
    </row>
    <row r="7138" spans="1:9" hidden="1" x14ac:dyDescent="0.25">
      <c r="A7138">
        <v>2004</v>
      </c>
      <c r="B7138" s="140" t="s">
        <v>127</v>
      </c>
      <c r="C7138" s="140" t="s">
        <v>243</v>
      </c>
      <c r="D7138" s="140" t="s">
        <v>11</v>
      </c>
      <c r="E7138" s="140" t="s">
        <v>12</v>
      </c>
      <c r="F7138">
        <v>8811</v>
      </c>
      <c r="G7138" s="140" t="s">
        <v>433</v>
      </c>
      <c r="H7138">
        <v>0</v>
      </c>
      <c r="I7138" s="140" t="s">
        <v>17</v>
      </c>
    </row>
    <row r="7139" spans="1:9" hidden="1" x14ac:dyDescent="0.25">
      <c r="A7139">
        <v>2005</v>
      </c>
      <c r="B7139" s="140" t="s">
        <v>127</v>
      </c>
      <c r="C7139" s="140" t="s">
        <v>243</v>
      </c>
      <c r="D7139" s="140" t="s">
        <v>11</v>
      </c>
      <c r="E7139" s="140" t="s">
        <v>12</v>
      </c>
      <c r="F7139">
        <v>9013</v>
      </c>
      <c r="G7139" s="140" t="s">
        <v>433</v>
      </c>
      <c r="H7139">
        <v>0</v>
      </c>
      <c r="I7139" s="140" t="s">
        <v>17</v>
      </c>
    </row>
    <row r="7140" spans="1:9" hidden="1" x14ac:dyDescent="0.25">
      <c r="A7140">
        <v>2006</v>
      </c>
      <c r="B7140" s="140" t="s">
        <v>127</v>
      </c>
      <c r="C7140" s="140" t="s">
        <v>243</v>
      </c>
      <c r="D7140" s="140" t="s">
        <v>11</v>
      </c>
      <c r="E7140" s="140" t="s">
        <v>12</v>
      </c>
      <c r="F7140">
        <v>8805</v>
      </c>
      <c r="G7140" s="140" t="s">
        <v>433</v>
      </c>
      <c r="H7140">
        <v>0</v>
      </c>
      <c r="I7140" s="140" t="s">
        <v>17</v>
      </c>
    </row>
    <row r="7141" spans="1:9" hidden="1" x14ac:dyDescent="0.25">
      <c r="A7141">
        <v>2007</v>
      </c>
      <c r="B7141" s="140" t="s">
        <v>127</v>
      </c>
      <c r="C7141" s="140" t="s">
        <v>243</v>
      </c>
      <c r="D7141" s="140" t="s">
        <v>11</v>
      </c>
      <c r="E7141" s="140" t="s">
        <v>12</v>
      </c>
      <c r="F7141">
        <v>10277</v>
      </c>
      <c r="G7141" s="140" t="s">
        <v>433</v>
      </c>
      <c r="H7141">
        <v>0</v>
      </c>
      <c r="I7141" s="140" t="s">
        <v>17</v>
      </c>
    </row>
    <row r="7142" spans="1:9" hidden="1" x14ac:dyDescent="0.25">
      <c r="A7142">
        <v>2008</v>
      </c>
      <c r="B7142" s="140" t="s">
        <v>127</v>
      </c>
      <c r="C7142" s="140" t="s">
        <v>243</v>
      </c>
      <c r="D7142" s="140" t="s">
        <v>11</v>
      </c>
      <c r="E7142" s="140" t="s">
        <v>12</v>
      </c>
      <c r="F7142">
        <v>10638</v>
      </c>
      <c r="G7142" s="140" t="s">
        <v>433</v>
      </c>
      <c r="H7142">
        <v>0</v>
      </c>
      <c r="I7142" s="140" t="s">
        <v>17</v>
      </c>
    </row>
    <row r="7143" spans="1:9" hidden="1" x14ac:dyDescent="0.25">
      <c r="A7143">
        <v>2009</v>
      </c>
      <c r="B7143" s="140" t="s">
        <v>127</v>
      </c>
      <c r="C7143" s="140" t="s">
        <v>243</v>
      </c>
      <c r="D7143" s="140" t="s">
        <v>11</v>
      </c>
      <c r="E7143" s="140" t="s">
        <v>12</v>
      </c>
      <c r="F7143">
        <v>9351</v>
      </c>
      <c r="G7143" s="140" t="s">
        <v>433</v>
      </c>
      <c r="H7143">
        <v>0</v>
      </c>
      <c r="I7143" s="140" t="s">
        <v>17</v>
      </c>
    </row>
    <row r="7144" spans="1:9" hidden="1" x14ac:dyDescent="0.25">
      <c r="A7144">
        <v>2010</v>
      </c>
      <c r="B7144" s="140" t="s">
        <v>127</v>
      </c>
      <c r="C7144" s="140" t="s">
        <v>243</v>
      </c>
      <c r="D7144" s="140" t="s">
        <v>11</v>
      </c>
      <c r="E7144" s="140" t="s">
        <v>12</v>
      </c>
      <c r="F7144">
        <v>8199</v>
      </c>
      <c r="G7144" s="140" t="s">
        <v>433</v>
      </c>
      <c r="H7144">
        <v>0</v>
      </c>
      <c r="I7144" s="140" t="s">
        <v>17</v>
      </c>
    </row>
    <row r="7145" spans="1:9" hidden="1" x14ac:dyDescent="0.25">
      <c r="A7145">
        <v>2011</v>
      </c>
      <c r="B7145" s="140" t="s">
        <v>127</v>
      </c>
      <c r="C7145" s="140" t="s">
        <v>243</v>
      </c>
      <c r="D7145" s="140" t="s">
        <v>11</v>
      </c>
      <c r="E7145" s="140" t="s">
        <v>12</v>
      </c>
      <c r="F7145">
        <v>9158</v>
      </c>
      <c r="G7145" s="140" t="s">
        <v>433</v>
      </c>
      <c r="H7145">
        <v>0</v>
      </c>
      <c r="I7145" s="140" t="s">
        <v>17</v>
      </c>
    </row>
    <row r="7146" spans="1:9" hidden="1" x14ac:dyDescent="0.25">
      <c r="A7146">
        <v>2012</v>
      </c>
      <c r="B7146" s="140" t="s">
        <v>127</v>
      </c>
      <c r="C7146" s="140" t="s">
        <v>243</v>
      </c>
      <c r="D7146" s="140" t="s">
        <v>11</v>
      </c>
      <c r="E7146" s="140" t="s">
        <v>12</v>
      </c>
      <c r="F7146">
        <v>10216</v>
      </c>
      <c r="G7146" s="140" t="s">
        <v>433</v>
      </c>
      <c r="H7146">
        <v>0</v>
      </c>
      <c r="I7146" s="140" t="s">
        <v>17</v>
      </c>
    </row>
    <row r="7147" spans="1:9" hidden="1" x14ac:dyDescent="0.25">
      <c r="A7147">
        <v>2013</v>
      </c>
      <c r="B7147" s="140" t="s">
        <v>127</v>
      </c>
      <c r="C7147" s="140" t="s">
        <v>243</v>
      </c>
      <c r="D7147" s="140" t="s">
        <v>11</v>
      </c>
      <c r="E7147" s="140" t="s">
        <v>12</v>
      </c>
      <c r="F7147">
        <v>9443</v>
      </c>
      <c r="G7147" s="140" t="s">
        <v>433</v>
      </c>
      <c r="H7147">
        <v>0</v>
      </c>
      <c r="I7147" s="140" t="s">
        <v>17</v>
      </c>
    </row>
    <row r="7148" spans="1:9" hidden="1" x14ac:dyDescent="0.25">
      <c r="A7148">
        <v>2014</v>
      </c>
      <c r="B7148" s="140" t="s">
        <v>127</v>
      </c>
      <c r="C7148" s="140" t="s">
        <v>243</v>
      </c>
      <c r="D7148" s="140" t="s">
        <v>11</v>
      </c>
      <c r="E7148" s="140" t="s">
        <v>12</v>
      </c>
      <c r="F7148">
        <v>9379</v>
      </c>
      <c r="G7148" s="140" t="s">
        <v>433</v>
      </c>
      <c r="H7148">
        <v>0</v>
      </c>
      <c r="I7148" s="140" t="s">
        <v>17</v>
      </c>
    </row>
    <row r="7149" spans="1:9" hidden="1" x14ac:dyDescent="0.25">
      <c r="A7149">
        <v>2015</v>
      </c>
      <c r="B7149" s="140" t="s">
        <v>127</v>
      </c>
      <c r="C7149" s="140" t="s">
        <v>243</v>
      </c>
      <c r="D7149" s="140" t="s">
        <v>11</v>
      </c>
      <c r="E7149" s="140" t="s">
        <v>12</v>
      </c>
      <c r="F7149">
        <v>10029</v>
      </c>
      <c r="G7149" s="140" t="s">
        <v>433</v>
      </c>
      <c r="H7149">
        <v>0</v>
      </c>
      <c r="I7149" s="140" t="s">
        <v>17</v>
      </c>
    </row>
    <row r="7150" spans="1:9" hidden="1" x14ac:dyDescent="0.25">
      <c r="A7150">
        <v>2016</v>
      </c>
      <c r="B7150" s="140" t="s">
        <v>127</v>
      </c>
      <c r="C7150" s="140" t="s">
        <v>243</v>
      </c>
      <c r="D7150" s="140" t="s">
        <v>11</v>
      </c>
      <c r="E7150" s="140" t="s">
        <v>12</v>
      </c>
      <c r="F7150">
        <v>11383</v>
      </c>
      <c r="G7150" s="140" t="s">
        <v>433</v>
      </c>
      <c r="H7150">
        <v>0</v>
      </c>
      <c r="I7150" s="140" t="s">
        <v>17</v>
      </c>
    </row>
    <row r="7151" spans="1:9" hidden="1" x14ac:dyDescent="0.25">
      <c r="A7151">
        <v>2017</v>
      </c>
      <c r="B7151" s="140" t="s">
        <v>127</v>
      </c>
      <c r="C7151" s="140" t="s">
        <v>243</v>
      </c>
      <c r="D7151" s="140" t="s">
        <v>11</v>
      </c>
      <c r="E7151" s="140" t="s">
        <v>12</v>
      </c>
      <c r="F7151">
        <v>12622</v>
      </c>
      <c r="G7151" s="140" t="s">
        <v>433</v>
      </c>
      <c r="H7151">
        <v>0</v>
      </c>
      <c r="I7151" s="140" t="s">
        <v>17</v>
      </c>
    </row>
    <row r="7152" spans="1:9" hidden="1" x14ac:dyDescent="0.25">
      <c r="A7152">
        <v>2018</v>
      </c>
      <c r="B7152" s="140" t="s">
        <v>127</v>
      </c>
      <c r="C7152" s="140" t="s">
        <v>243</v>
      </c>
      <c r="D7152" s="140" t="s">
        <v>11</v>
      </c>
      <c r="E7152" s="140" t="s">
        <v>12</v>
      </c>
      <c r="F7152">
        <v>12539</v>
      </c>
      <c r="G7152" s="140" t="s">
        <v>433</v>
      </c>
      <c r="H7152">
        <v>0</v>
      </c>
      <c r="I7152" s="140" t="s">
        <v>17</v>
      </c>
    </row>
    <row r="7153" spans="1:9" hidden="1" x14ac:dyDescent="0.25">
      <c r="A7153">
        <v>2019</v>
      </c>
      <c r="B7153" s="140" t="s">
        <v>127</v>
      </c>
      <c r="C7153" s="140" t="s">
        <v>243</v>
      </c>
      <c r="D7153" s="140" t="s">
        <v>11</v>
      </c>
      <c r="E7153" s="140" t="s">
        <v>12</v>
      </c>
      <c r="F7153">
        <v>12226</v>
      </c>
      <c r="G7153" s="140" t="s">
        <v>433</v>
      </c>
      <c r="H7153">
        <v>0</v>
      </c>
      <c r="I7153" s="140" t="s">
        <v>17</v>
      </c>
    </row>
    <row r="7154" spans="1:9" hidden="1" x14ac:dyDescent="0.25">
      <c r="A7154">
        <v>2020</v>
      </c>
      <c r="B7154" s="140" t="s">
        <v>127</v>
      </c>
      <c r="C7154" s="140" t="s">
        <v>243</v>
      </c>
      <c r="D7154" s="140" t="s">
        <v>11</v>
      </c>
      <c r="E7154" s="140" t="s">
        <v>12</v>
      </c>
      <c r="F7154">
        <v>12453</v>
      </c>
      <c r="G7154" s="140" t="s">
        <v>433</v>
      </c>
      <c r="H7154">
        <v>0</v>
      </c>
      <c r="I7154" s="140" t="s">
        <v>17</v>
      </c>
    </row>
    <row r="7155" spans="1:9" hidden="1" x14ac:dyDescent="0.25">
      <c r="A7155">
        <v>2021</v>
      </c>
      <c r="B7155" s="140" t="s">
        <v>127</v>
      </c>
      <c r="C7155" s="140" t="s">
        <v>243</v>
      </c>
      <c r="D7155" s="140" t="s">
        <v>11</v>
      </c>
      <c r="E7155" s="140" t="s">
        <v>12</v>
      </c>
      <c r="F7155">
        <v>13443</v>
      </c>
      <c r="G7155" s="140" t="s">
        <v>433</v>
      </c>
      <c r="H7155">
        <v>0</v>
      </c>
      <c r="I7155" s="140" t="s">
        <v>17</v>
      </c>
    </row>
    <row r="7156" spans="1:9" hidden="1" x14ac:dyDescent="0.25">
      <c r="A7156">
        <v>2022</v>
      </c>
      <c r="B7156" s="140" t="s">
        <v>127</v>
      </c>
      <c r="C7156" s="140" t="s">
        <v>243</v>
      </c>
      <c r="D7156" s="140" t="s">
        <v>11</v>
      </c>
      <c r="E7156" s="140" t="s">
        <v>12</v>
      </c>
      <c r="F7156">
        <v>14956</v>
      </c>
      <c r="G7156" s="140" t="s">
        <v>433</v>
      </c>
      <c r="H7156">
        <v>0</v>
      </c>
      <c r="I7156" s="140" t="s">
        <v>17</v>
      </c>
    </row>
    <row r="7157" spans="1:9" hidden="1" x14ac:dyDescent="0.25">
      <c r="A7157">
        <v>2023</v>
      </c>
      <c r="B7157" s="140" t="s">
        <v>127</v>
      </c>
      <c r="C7157" s="140" t="s">
        <v>243</v>
      </c>
      <c r="D7157" s="140" t="s">
        <v>11</v>
      </c>
      <c r="E7157" s="140" t="s">
        <v>12</v>
      </c>
      <c r="F7157">
        <v>15052</v>
      </c>
      <c r="G7157" s="140" t="s">
        <v>433</v>
      </c>
      <c r="H7157">
        <v>0</v>
      </c>
      <c r="I7157" s="140" t="s">
        <v>17</v>
      </c>
    </row>
    <row r="7158" spans="1:9" hidden="1" x14ac:dyDescent="0.25">
      <c r="A7158">
        <v>2024</v>
      </c>
      <c r="B7158" s="140" t="s">
        <v>127</v>
      </c>
      <c r="C7158" s="140" t="s">
        <v>243</v>
      </c>
      <c r="D7158" s="140" t="s">
        <v>11</v>
      </c>
      <c r="E7158" s="140" t="s">
        <v>12</v>
      </c>
      <c r="F7158">
        <v>14997</v>
      </c>
      <c r="G7158" s="140" t="s">
        <v>433</v>
      </c>
      <c r="H7158">
        <v>0</v>
      </c>
      <c r="I7158" s="140" t="s">
        <v>17</v>
      </c>
    </row>
    <row r="7159" spans="1:9" hidden="1" x14ac:dyDescent="0.25">
      <c r="A7159">
        <v>2025</v>
      </c>
      <c r="B7159" s="140" t="s">
        <v>127</v>
      </c>
      <c r="C7159" s="140" t="s">
        <v>243</v>
      </c>
      <c r="D7159" s="140" t="s">
        <v>11</v>
      </c>
      <c r="E7159" s="140" t="s">
        <v>12</v>
      </c>
      <c r="F7159">
        <v>15653</v>
      </c>
      <c r="G7159" s="140" t="s">
        <v>433</v>
      </c>
      <c r="H7159">
        <v>0</v>
      </c>
      <c r="I7159" s="140" t="s">
        <v>17</v>
      </c>
    </row>
    <row r="7160" spans="1:9" x14ac:dyDescent="0.25">
      <c r="A7160">
        <v>2026</v>
      </c>
      <c r="B7160" s="140" t="s">
        <v>127</v>
      </c>
      <c r="C7160" s="140" t="s">
        <v>243</v>
      </c>
      <c r="D7160" s="140" t="s">
        <v>11</v>
      </c>
      <c r="E7160" s="140" t="s">
        <v>12</v>
      </c>
      <c r="F7160">
        <v>19224.231950000001</v>
      </c>
      <c r="G7160" s="140" t="s">
        <v>433</v>
      </c>
      <c r="H7160">
        <v>0</v>
      </c>
      <c r="I7160" s="140" t="s">
        <v>17</v>
      </c>
    </row>
    <row r="7161" spans="1:9" hidden="1" x14ac:dyDescent="0.25">
      <c r="A7161">
        <v>2027</v>
      </c>
      <c r="B7161" s="140" t="s">
        <v>127</v>
      </c>
      <c r="C7161" s="140" t="s">
        <v>243</v>
      </c>
      <c r="D7161" s="140" t="s">
        <v>11</v>
      </c>
      <c r="E7161" s="140" t="s">
        <v>12</v>
      </c>
      <c r="F7161">
        <v>20591.55545</v>
      </c>
      <c r="G7161" s="140" t="s">
        <v>433</v>
      </c>
      <c r="H7161">
        <v>0</v>
      </c>
      <c r="I7161" s="140" t="s">
        <v>17</v>
      </c>
    </row>
    <row r="7162" spans="1:9" hidden="1" x14ac:dyDescent="0.25">
      <c r="A7162">
        <v>2028</v>
      </c>
      <c r="B7162" s="140" t="s">
        <v>127</v>
      </c>
      <c r="C7162" s="140" t="s">
        <v>243</v>
      </c>
      <c r="D7162" s="140" t="s">
        <v>11</v>
      </c>
      <c r="E7162" s="140" t="s">
        <v>12</v>
      </c>
      <c r="F7162">
        <v>21528.471219999999</v>
      </c>
      <c r="G7162" s="140" t="s">
        <v>433</v>
      </c>
      <c r="H7162">
        <v>0</v>
      </c>
      <c r="I7162" s="140" t="s">
        <v>17</v>
      </c>
    </row>
    <row r="7163" spans="1:9" hidden="1" x14ac:dyDescent="0.25">
      <c r="A7163">
        <v>1990</v>
      </c>
      <c r="B7163" s="140" t="s">
        <v>128</v>
      </c>
      <c r="C7163" s="140" t="s">
        <v>50</v>
      </c>
      <c r="D7163" s="140" t="s">
        <v>11</v>
      </c>
      <c r="E7163" s="140" t="s">
        <v>12</v>
      </c>
      <c r="F7163">
        <v>2503</v>
      </c>
      <c r="G7163" s="140" t="s">
        <v>434</v>
      </c>
      <c r="H7163">
        <v>0</v>
      </c>
      <c r="I7163" s="140" t="s">
        <v>17</v>
      </c>
    </row>
    <row r="7164" spans="1:9" hidden="1" x14ac:dyDescent="0.25">
      <c r="A7164">
        <v>1991</v>
      </c>
      <c r="B7164" s="140" t="s">
        <v>128</v>
      </c>
      <c r="C7164" s="140" t="s">
        <v>50</v>
      </c>
      <c r="D7164" s="140" t="s">
        <v>11</v>
      </c>
      <c r="E7164" s="140" t="s">
        <v>12</v>
      </c>
      <c r="F7164">
        <v>2626</v>
      </c>
      <c r="G7164" s="140" t="s">
        <v>434</v>
      </c>
      <c r="H7164">
        <v>0</v>
      </c>
      <c r="I7164" s="140" t="s">
        <v>17</v>
      </c>
    </row>
    <row r="7165" spans="1:9" hidden="1" x14ac:dyDescent="0.25">
      <c r="A7165">
        <v>1992</v>
      </c>
      <c r="B7165" s="140" t="s">
        <v>128</v>
      </c>
      <c r="C7165" s="140" t="s">
        <v>50</v>
      </c>
      <c r="D7165" s="140" t="s">
        <v>11</v>
      </c>
      <c r="E7165" s="140" t="s">
        <v>12</v>
      </c>
      <c r="F7165">
        <v>2718</v>
      </c>
      <c r="G7165" s="140" t="s">
        <v>434</v>
      </c>
      <c r="H7165">
        <v>0</v>
      </c>
      <c r="I7165" s="140" t="s">
        <v>17</v>
      </c>
    </row>
    <row r="7166" spans="1:9" hidden="1" x14ac:dyDescent="0.25">
      <c r="A7166">
        <v>1993</v>
      </c>
      <c r="B7166" s="140" t="s">
        <v>128</v>
      </c>
      <c r="C7166" s="140" t="s">
        <v>50</v>
      </c>
      <c r="D7166" s="140" t="s">
        <v>11</v>
      </c>
      <c r="E7166" s="140" t="s">
        <v>12</v>
      </c>
      <c r="F7166">
        <v>2696</v>
      </c>
      <c r="G7166" s="140" t="s">
        <v>434</v>
      </c>
      <c r="H7166">
        <v>0</v>
      </c>
      <c r="I7166" s="140" t="s">
        <v>17</v>
      </c>
    </row>
    <row r="7167" spans="1:9" hidden="1" x14ac:dyDescent="0.25">
      <c r="A7167">
        <v>1994</v>
      </c>
      <c r="B7167" s="140" t="s">
        <v>128</v>
      </c>
      <c r="C7167" s="140" t="s">
        <v>50</v>
      </c>
      <c r="D7167" s="140" t="s">
        <v>11</v>
      </c>
      <c r="E7167" s="140" t="s">
        <v>12</v>
      </c>
      <c r="F7167">
        <v>2905</v>
      </c>
      <c r="G7167" s="140" t="s">
        <v>434</v>
      </c>
      <c r="H7167">
        <v>0</v>
      </c>
      <c r="I7167" s="140" t="s">
        <v>17</v>
      </c>
    </row>
    <row r="7168" spans="1:9" hidden="1" x14ac:dyDescent="0.25">
      <c r="A7168">
        <v>1995</v>
      </c>
      <c r="B7168" s="140" t="s">
        <v>128</v>
      </c>
      <c r="C7168" s="140" t="s">
        <v>50</v>
      </c>
      <c r="D7168" s="140" t="s">
        <v>11</v>
      </c>
      <c r="E7168" s="140" t="s">
        <v>12</v>
      </c>
      <c r="F7168">
        <v>3256</v>
      </c>
      <c r="G7168" s="140" t="s">
        <v>434</v>
      </c>
      <c r="H7168">
        <v>0</v>
      </c>
      <c r="I7168" s="140" t="s">
        <v>17</v>
      </c>
    </row>
    <row r="7169" spans="1:9" hidden="1" x14ac:dyDescent="0.25">
      <c r="A7169">
        <v>1996</v>
      </c>
      <c r="B7169" s="140" t="s">
        <v>128</v>
      </c>
      <c r="C7169" s="140" t="s">
        <v>50</v>
      </c>
      <c r="D7169" s="140" t="s">
        <v>11</v>
      </c>
      <c r="E7169" s="140" t="s">
        <v>12</v>
      </c>
      <c r="F7169">
        <v>3587</v>
      </c>
      <c r="G7169" s="140" t="s">
        <v>434</v>
      </c>
      <c r="H7169">
        <v>0</v>
      </c>
      <c r="I7169" s="140" t="s">
        <v>17</v>
      </c>
    </row>
    <row r="7170" spans="1:9" hidden="1" x14ac:dyDescent="0.25">
      <c r="A7170">
        <v>1997</v>
      </c>
      <c r="B7170" s="140" t="s">
        <v>128</v>
      </c>
      <c r="C7170" s="140" t="s">
        <v>50</v>
      </c>
      <c r="D7170" s="140" t="s">
        <v>11</v>
      </c>
      <c r="E7170" s="140" t="s">
        <v>12</v>
      </c>
      <c r="F7170">
        <v>4131</v>
      </c>
      <c r="G7170" s="140" t="s">
        <v>434</v>
      </c>
      <c r="H7170">
        <v>0</v>
      </c>
      <c r="I7170" s="140" t="s">
        <v>17</v>
      </c>
    </row>
    <row r="7171" spans="1:9" hidden="1" x14ac:dyDescent="0.25">
      <c r="A7171">
        <v>1998</v>
      </c>
      <c r="B7171" s="140" t="s">
        <v>128</v>
      </c>
      <c r="C7171" s="140" t="s">
        <v>50</v>
      </c>
      <c r="D7171" s="140" t="s">
        <v>11</v>
      </c>
      <c r="E7171" s="140" t="s">
        <v>12</v>
      </c>
      <c r="F7171">
        <v>4646</v>
      </c>
      <c r="G7171" s="140" t="s">
        <v>434</v>
      </c>
      <c r="H7171">
        <v>0</v>
      </c>
      <c r="I7171" s="140" t="s">
        <v>17</v>
      </c>
    </row>
    <row r="7172" spans="1:9" hidden="1" x14ac:dyDescent="0.25">
      <c r="A7172">
        <v>1999</v>
      </c>
      <c r="B7172" s="140" t="s">
        <v>128</v>
      </c>
      <c r="C7172" s="140" t="s">
        <v>50</v>
      </c>
      <c r="D7172" s="140" t="s">
        <v>11</v>
      </c>
      <c r="E7172" s="140" t="s">
        <v>12</v>
      </c>
      <c r="F7172">
        <v>5482</v>
      </c>
      <c r="G7172" s="140" t="s">
        <v>434</v>
      </c>
      <c r="H7172">
        <v>0</v>
      </c>
      <c r="I7172" s="140" t="s">
        <v>17</v>
      </c>
    </row>
    <row r="7173" spans="1:9" hidden="1" x14ac:dyDescent="0.25">
      <c r="A7173">
        <v>2000</v>
      </c>
      <c r="B7173" s="140" t="s">
        <v>128</v>
      </c>
      <c r="C7173" s="140" t="s">
        <v>50</v>
      </c>
      <c r="D7173" s="140" t="s">
        <v>11</v>
      </c>
      <c r="E7173" s="140" t="s">
        <v>12</v>
      </c>
      <c r="F7173">
        <v>6165</v>
      </c>
      <c r="G7173" s="140" t="s">
        <v>434</v>
      </c>
      <c r="H7173">
        <v>0</v>
      </c>
      <c r="I7173" s="140" t="s">
        <v>17</v>
      </c>
    </row>
    <row r="7174" spans="1:9" hidden="1" x14ac:dyDescent="0.25">
      <c r="A7174">
        <v>2001</v>
      </c>
      <c r="B7174" s="140" t="s">
        <v>128</v>
      </c>
      <c r="C7174" s="140" t="s">
        <v>50</v>
      </c>
      <c r="D7174" s="140" t="s">
        <v>11</v>
      </c>
      <c r="E7174" s="140" t="s">
        <v>12</v>
      </c>
      <c r="F7174">
        <v>6689</v>
      </c>
      <c r="G7174" s="140" t="s">
        <v>434</v>
      </c>
      <c r="H7174">
        <v>0</v>
      </c>
      <c r="I7174" s="140" t="s">
        <v>17</v>
      </c>
    </row>
    <row r="7175" spans="1:9" hidden="1" x14ac:dyDescent="0.25">
      <c r="A7175">
        <v>2002</v>
      </c>
      <c r="B7175" s="140" t="s">
        <v>128</v>
      </c>
      <c r="C7175" s="140" t="s">
        <v>50</v>
      </c>
      <c r="D7175" s="140" t="s">
        <v>11</v>
      </c>
      <c r="E7175" s="140" t="s">
        <v>12</v>
      </c>
      <c r="F7175">
        <v>6768</v>
      </c>
      <c r="G7175" s="140" t="s">
        <v>434</v>
      </c>
      <c r="H7175">
        <v>0</v>
      </c>
      <c r="I7175" s="140" t="s">
        <v>17</v>
      </c>
    </row>
    <row r="7176" spans="1:9" hidden="1" x14ac:dyDescent="0.25">
      <c r="A7176">
        <v>2003</v>
      </c>
      <c r="B7176" s="140" t="s">
        <v>128</v>
      </c>
      <c r="C7176" s="140" t="s">
        <v>50</v>
      </c>
      <c r="D7176" s="140" t="s">
        <v>11</v>
      </c>
      <c r="E7176" s="140" t="s">
        <v>12</v>
      </c>
      <c r="F7176">
        <v>7303</v>
      </c>
      <c r="G7176" s="140" t="s">
        <v>434</v>
      </c>
      <c r="H7176">
        <v>0</v>
      </c>
      <c r="I7176" s="140" t="s">
        <v>17</v>
      </c>
    </row>
    <row r="7177" spans="1:9" hidden="1" x14ac:dyDescent="0.25">
      <c r="A7177">
        <v>2004</v>
      </c>
      <c r="B7177" s="140" t="s">
        <v>128</v>
      </c>
      <c r="C7177" s="140" t="s">
        <v>50</v>
      </c>
      <c r="D7177" s="140" t="s">
        <v>11</v>
      </c>
      <c r="E7177" s="140" t="s">
        <v>12</v>
      </c>
      <c r="F7177">
        <v>7605</v>
      </c>
      <c r="G7177" s="140" t="s">
        <v>434</v>
      </c>
      <c r="H7177">
        <v>0</v>
      </c>
      <c r="I7177" s="140" t="s">
        <v>17</v>
      </c>
    </row>
    <row r="7178" spans="1:9" hidden="1" x14ac:dyDescent="0.25">
      <c r="A7178">
        <v>2005</v>
      </c>
      <c r="B7178" s="140" t="s">
        <v>128</v>
      </c>
      <c r="C7178" s="140" t="s">
        <v>50</v>
      </c>
      <c r="D7178" s="140" t="s">
        <v>11</v>
      </c>
      <c r="E7178" s="140" t="s">
        <v>12</v>
      </c>
      <c r="F7178">
        <v>8128</v>
      </c>
      <c r="G7178" s="140" t="s">
        <v>434</v>
      </c>
      <c r="H7178">
        <v>0</v>
      </c>
      <c r="I7178" s="140" t="s">
        <v>17</v>
      </c>
    </row>
    <row r="7179" spans="1:9" hidden="1" x14ac:dyDescent="0.25">
      <c r="A7179">
        <v>2006</v>
      </c>
      <c r="B7179" s="140" t="s">
        <v>128</v>
      </c>
      <c r="C7179" s="140" t="s">
        <v>50</v>
      </c>
      <c r="D7179" s="140" t="s">
        <v>11</v>
      </c>
      <c r="E7179" s="140" t="s">
        <v>12</v>
      </c>
      <c r="F7179">
        <v>8453</v>
      </c>
      <c r="G7179" s="140" t="s">
        <v>434</v>
      </c>
      <c r="H7179">
        <v>0</v>
      </c>
      <c r="I7179" s="140" t="s">
        <v>17</v>
      </c>
    </row>
    <row r="7180" spans="1:9" hidden="1" x14ac:dyDescent="0.25">
      <c r="A7180">
        <v>2007</v>
      </c>
      <c r="B7180" s="140" t="s">
        <v>128</v>
      </c>
      <c r="C7180" s="140" t="s">
        <v>50</v>
      </c>
      <c r="D7180" s="140" t="s">
        <v>11</v>
      </c>
      <c r="E7180" s="140" t="s">
        <v>12</v>
      </c>
      <c r="F7180">
        <v>9195</v>
      </c>
      <c r="G7180" s="140" t="s">
        <v>434</v>
      </c>
      <c r="H7180">
        <v>0</v>
      </c>
      <c r="I7180" s="140" t="s">
        <v>17</v>
      </c>
    </row>
    <row r="7181" spans="1:9" hidden="1" x14ac:dyDescent="0.25">
      <c r="A7181">
        <v>2008</v>
      </c>
      <c r="B7181" s="140" t="s">
        <v>128</v>
      </c>
      <c r="C7181" s="140" t="s">
        <v>50</v>
      </c>
      <c r="D7181" s="140" t="s">
        <v>11</v>
      </c>
      <c r="E7181" s="140" t="s">
        <v>12</v>
      </c>
      <c r="F7181">
        <v>10014</v>
      </c>
      <c r="G7181" s="140" t="s">
        <v>434</v>
      </c>
      <c r="H7181">
        <v>0</v>
      </c>
      <c r="I7181" s="140" t="s">
        <v>17</v>
      </c>
    </row>
    <row r="7182" spans="1:9" hidden="1" x14ac:dyDescent="0.25">
      <c r="A7182">
        <v>2009</v>
      </c>
      <c r="B7182" s="140" t="s">
        <v>128</v>
      </c>
      <c r="C7182" s="140" t="s">
        <v>50</v>
      </c>
      <c r="D7182" s="140" t="s">
        <v>11</v>
      </c>
      <c r="E7182" s="140" t="s">
        <v>12</v>
      </c>
      <c r="F7182">
        <v>9818</v>
      </c>
      <c r="G7182" s="140" t="s">
        <v>434</v>
      </c>
      <c r="H7182">
        <v>0</v>
      </c>
      <c r="I7182" s="140" t="s">
        <v>17</v>
      </c>
    </row>
    <row r="7183" spans="1:9" hidden="1" x14ac:dyDescent="0.25">
      <c r="A7183">
        <v>2010</v>
      </c>
      <c r="B7183" s="140" t="s">
        <v>128</v>
      </c>
      <c r="C7183" s="140" t="s">
        <v>50</v>
      </c>
      <c r="D7183" s="140" t="s">
        <v>11</v>
      </c>
      <c r="E7183" s="140" t="s">
        <v>12</v>
      </c>
      <c r="F7183">
        <v>10148</v>
      </c>
      <c r="G7183" s="140" t="s">
        <v>434</v>
      </c>
      <c r="H7183">
        <v>0</v>
      </c>
      <c r="I7183" s="140" t="s">
        <v>17</v>
      </c>
    </row>
    <row r="7184" spans="1:9" hidden="1" x14ac:dyDescent="0.25">
      <c r="A7184">
        <v>2011</v>
      </c>
      <c r="B7184" s="140" t="s">
        <v>128</v>
      </c>
      <c r="C7184" s="140" t="s">
        <v>50</v>
      </c>
      <c r="D7184" s="140" t="s">
        <v>11</v>
      </c>
      <c r="E7184" s="140" t="s">
        <v>12</v>
      </c>
      <c r="F7184">
        <v>9956</v>
      </c>
      <c r="G7184" s="140" t="s">
        <v>434</v>
      </c>
      <c r="H7184">
        <v>0</v>
      </c>
      <c r="I7184" s="140" t="s">
        <v>17</v>
      </c>
    </row>
    <row r="7185" spans="1:9" hidden="1" x14ac:dyDescent="0.25">
      <c r="A7185">
        <v>2012</v>
      </c>
      <c r="B7185" s="140" t="s">
        <v>128</v>
      </c>
      <c r="C7185" s="140" t="s">
        <v>50</v>
      </c>
      <c r="D7185" s="140" t="s">
        <v>11</v>
      </c>
      <c r="E7185" s="140" t="s">
        <v>12</v>
      </c>
      <c r="F7185">
        <v>9616</v>
      </c>
      <c r="G7185" s="140" t="s">
        <v>434</v>
      </c>
      <c r="H7185">
        <v>0</v>
      </c>
      <c r="I7185" s="140" t="s">
        <v>17</v>
      </c>
    </row>
    <row r="7186" spans="1:9" hidden="1" x14ac:dyDescent="0.25">
      <c r="A7186">
        <v>2013</v>
      </c>
      <c r="B7186" s="140" t="s">
        <v>128</v>
      </c>
      <c r="C7186" s="140" t="s">
        <v>50</v>
      </c>
      <c r="D7186" s="140" t="s">
        <v>11</v>
      </c>
      <c r="E7186" s="140" t="s">
        <v>12</v>
      </c>
      <c r="F7186">
        <v>9508</v>
      </c>
      <c r="G7186" s="140" t="s">
        <v>434</v>
      </c>
      <c r="H7186">
        <v>0</v>
      </c>
      <c r="I7186" s="140" t="s">
        <v>17</v>
      </c>
    </row>
    <row r="7187" spans="1:9" hidden="1" x14ac:dyDescent="0.25">
      <c r="A7187">
        <v>2014</v>
      </c>
      <c r="B7187" s="140" t="s">
        <v>128</v>
      </c>
      <c r="C7187" s="140" t="s">
        <v>50</v>
      </c>
      <c r="D7187" s="140" t="s">
        <v>11</v>
      </c>
      <c r="E7187" s="140" t="s">
        <v>12</v>
      </c>
      <c r="F7187">
        <v>9535</v>
      </c>
      <c r="G7187" s="140" t="s">
        <v>434</v>
      </c>
      <c r="H7187">
        <v>0</v>
      </c>
      <c r="I7187" s="140" t="s">
        <v>17</v>
      </c>
    </row>
    <row r="7188" spans="1:9" hidden="1" x14ac:dyDescent="0.25">
      <c r="A7188">
        <v>2015</v>
      </c>
      <c r="B7188" s="140" t="s">
        <v>128</v>
      </c>
      <c r="C7188" s="140" t="s">
        <v>50</v>
      </c>
      <c r="D7188" s="140" t="s">
        <v>11</v>
      </c>
      <c r="E7188" s="140" t="s">
        <v>12</v>
      </c>
      <c r="F7188">
        <v>9010</v>
      </c>
      <c r="G7188" s="140" t="s">
        <v>434</v>
      </c>
      <c r="H7188">
        <v>0</v>
      </c>
      <c r="I7188" s="140" t="s">
        <v>17</v>
      </c>
    </row>
    <row r="7189" spans="1:9" hidden="1" x14ac:dyDescent="0.25">
      <c r="A7189">
        <v>2016</v>
      </c>
      <c r="B7189" s="140" t="s">
        <v>128</v>
      </c>
      <c r="C7189" s="140" t="s">
        <v>50</v>
      </c>
      <c r="D7189" s="140" t="s">
        <v>11</v>
      </c>
      <c r="E7189" s="140" t="s">
        <v>12</v>
      </c>
      <c r="F7189">
        <v>9090</v>
      </c>
      <c r="G7189" s="140" t="s">
        <v>434</v>
      </c>
      <c r="H7189">
        <v>0</v>
      </c>
      <c r="I7189" s="140" t="s">
        <v>17</v>
      </c>
    </row>
    <row r="7190" spans="1:9" hidden="1" x14ac:dyDescent="0.25">
      <c r="A7190">
        <v>2017</v>
      </c>
      <c r="B7190" s="140" t="s">
        <v>128</v>
      </c>
      <c r="C7190" s="140" t="s">
        <v>50</v>
      </c>
      <c r="D7190" s="140" t="s">
        <v>11</v>
      </c>
      <c r="E7190" s="140" t="s">
        <v>12</v>
      </c>
      <c r="F7190">
        <v>9253</v>
      </c>
      <c r="G7190" s="140" t="s">
        <v>434</v>
      </c>
      <c r="H7190">
        <v>0</v>
      </c>
      <c r="I7190" s="140" t="s">
        <v>17</v>
      </c>
    </row>
    <row r="7191" spans="1:9" hidden="1" x14ac:dyDescent="0.25">
      <c r="A7191">
        <v>2018</v>
      </c>
      <c r="B7191" s="140" t="s">
        <v>128</v>
      </c>
      <c r="C7191" s="140" t="s">
        <v>50</v>
      </c>
      <c r="D7191" s="140" t="s">
        <v>11</v>
      </c>
      <c r="E7191" s="140" t="s">
        <v>12</v>
      </c>
      <c r="F7191">
        <v>10329</v>
      </c>
      <c r="G7191" s="140" t="s">
        <v>434</v>
      </c>
      <c r="H7191">
        <v>0</v>
      </c>
      <c r="I7191" s="140" t="s">
        <v>17</v>
      </c>
    </row>
    <row r="7192" spans="1:9" hidden="1" x14ac:dyDescent="0.25">
      <c r="A7192">
        <v>2019</v>
      </c>
      <c r="B7192" s="140" t="s">
        <v>128</v>
      </c>
      <c r="C7192" s="140" t="s">
        <v>50</v>
      </c>
      <c r="D7192" s="140" t="s">
        <v>11</v>
      </c>
      <c r="E7192" s="140" t="s">
        <v>12</v>
      </c>
      <c r="F7192">
        <v>11465</v>
      </c>
      <c r="G7192" s="140" t="s">
        <v>434</v>
      </c>
      <c r="H7192">
        <v>0</v>
      </c>
      <c r="I7192" s="140" t="s">
        <v>17</v>
      </c>
    </row>
    <row r="7193" spans="1:9" hidden="1" x14ac:dyDescent="0.25">
      <c r="A7193">
        <v>2020</v>
      </c>
      <c r="B7193" s="140" t="s">
        <v>128</v>
      </c>
      <c r="C7193" s="140" t="s">
        <v>50</v>
      </c>
      <c r="D7193" s="140" t="s">
        <v>11</v>
      </c>
      <c r="E7193" s="140" t="s">
        <v>12</v>
      </c>
      <c r="F7193">
        <v>11194</v>
      </c>
      <c r="G7193" s="140" t="s">
        <v>434</v>
      </c>
      <c r="H7193">
        <v>0</v>
      </c>
      <c r="I7193" s="140" t="s">
        <v>17</v>
      </c>
    </row>
    <row r="7194" spans="1:9" hidden="1" x14ac:dyDescent="0.25">
      <c r="A7194">
        <v>2021</v>
      </c>
      <c r="B7194" s="140" t="s">
        <v>128</v>
      </c>
      <c r="C7194" s="140" t="s">
        <v>50</v>
      </c>
      <c r="D7194" s="140" t="s">
        <v>11</v>
      </c>
      <c r="E7194" s="140" t="s">
        <v>12</v>
      </c>
      <c r="F7194">
        <v>12064</v>
      </c>
      <c r="G7194" s="140" t="s">
        <v>434</v>
      </c>
      <c r="H7194">
        <v>0</v>
      </c>
      <c r="I7194" s="140" t="s">
        <v>17</v>
      </c>
    </row>
    <row r="7195" spans="1:9" hidden="1" x14ac:dyDescent="0.25">
      <c r="A7195">
        <v>2022</v>
      </c>
      <c r="B7195" s="140" t="s">
        <v>128</v>
      </c>
      <c r="C7195" s="140" t="s">
        <v>50</v>
      </c>
      <c r="D7195" s="140" t="s">
        <v>11</v>
      </c>
      <c r="E7195" s="140" t="s">
        <v>12</v>
      </c>
      <c r="F7195">
        <v>12843</v>
      </c>
      <c r="G7195" s="140" t="s">
        <v>434</v>
      </c>
      <c r="H7195">
        <v>0</v>
      </c>
      <c r="I7195" s="140" t="s">
        <v>17</v>
      </c>
    </row>
    <row r="7196" spans="1:9" hidden="1" x14ac:dyDescent="0.25">
      <c r="A7196">
        <v>2023</v>
      </c>
      <c r="B7196" s="140" t="s">
        <v>128</v>
      </c>
      <c r="C7196" s="140" t="s">
        <v>50</v>
      </c>
      <c r="D7196" s="140" t="s">
        <v>11</v>
      </c>
      <c r="E7196" s="140" t="s">
        <v>12</v>
      </c>
      <c r="F7196">
        <v>13835</v>
      </c>
      <c r="G7196" s="140" t="s">
        <v>434</v>
      </c>
      <c r="H7196">
        <v>0</v>
      </c>
      <c r="I7196" s="140" t="s">
        <v>17</v>
      </c>
    </row>
    <row r="7197" spans="1:9" hidden="1" x14ac:dyDescent="0.25">
      <c r="A7197">
        <v>2024</v>
      </c>
      <c r="B7197" s="140" t="s">
        <v>128</v>
      </c>
      <c r="C7197" s="140" t="s">
        <v>50</v>
      </c>
      <c r="D7197" s="140" t="s">
        <v>11</v>
      </c>
      <c r="E7197" s="140" t="s">
        <v>12</v>
      </c>
      <c r="F7197">
        <v>15379</v>
      </c>
      <c r="G7197" s="140" t="s">
        <v>434</v>
      </c>
      <c r="H7197">
        <v>0</v>
      </c>
      <c r="I7197" s="140" t="s">
        <v>17</v>
      </c>
    </row>
    <row r="7198" spans="1:9" hidden="1" x14ac:dyDescent="0.25">
      <c r="A7198">
        <v>2025</v>
      </c>
      <c r="B7198" s="140" t="s">
        <v>128</v>
      </c>
      <c r="C7198" s="140" t="s">
        <v>50</v>
      </c>
      <c r="D7198" s="140" t="s">
        <v>11</v>
      </c>
      <c r="E7198" s="140" t="s">
        <v>12</v>
      </c>
      <c r="F7198">
        <v>15257</v>
      </c>
      <c r="G7198" s="140" t="s">
        <v>434</v>
      </c>
      <c r="H7198">
        <v>0</v>
      </c>
      <c r="I7198" s="140" t="s">
        <v>17</v>
      </c>
    </row>
    <row r="7199" spans="1:9" hidden="1" x14ac:dyDescent="0.25">
      <c r="A7199">
        <v>2026</v>
      </c>
      <c r="B7199" s="140" t="s">
        <v>128</v>
      </c>
      <c r="C7199" s="140" t="s">
        <v>50</v>
      </c>
      <c r="D7199" s="140" t="s">
        <v>11</v>
      </c>
      <c r="E7199" s="140" t="s">
        <v>12</v>
      </c>
      <c r="F7199">
        <v>16340.246999999999</v>
      </c>
      <c r="G7199" s="140" t="s">
        <v>434</v>
      </c>
      <c r="H7199">
        <v>0</v>
      </c>
      <c r="I7199" s="140" t="s">
        <v>17</v>
      </c>
    </row>
    <row r="7200" spans="1:9" hidden="1" x14ac:dyDescent="0.25">
      <c r="A7200">
        <v>2027</v>
      </c>
      <c r="B7200" s="140" t="s">
        <v>128</v>
      </c>
      <c r="C7200" s="140" t="s">
        <v>50</v>
      </c>
      <c r="D7200" s="140" t="s">
        <v>11</v>
      </c>
      <c r="E7200" s="140" t="s">
        <v>12</v>
      </c>
      <c r="F7200">
        <v>17250.39876</v>
      </c>
      <c r="G7200" s="140" t="s">
        <v>434</v>
      </c>
      <c r="H7200">
        <v>0</v>
      </c>
      <c r="I7200" s="140" t="s">
        <v>17</v>
      </c>
    </row>
    <row r="7201" spans="1:9" hidden="1" x14ac:dyDescent="0.25">
      <c r="A7201">
        <v>2028</v>
      </c>
      <c r="B7201" s="140" t="s">
        <v>128</v>
      </c>
      <c r="C7201" s="140" t="s">
        <v>50</v>
      </c>
      <c r="D7201" s="140" t="s">
        <v>11</v>
      </c>
      <c r="E7201" s="140" t="s">
        <v>12</v>
      </c>
      <c r="F7201">
        <v>18211.24597</v>
      </c>
      <c r="G7201" s="140" t="s">
        <v>434</v>
      </c>
      <c r="H7201">
        <v>0</v>
      </c>
      <c r="I7201" s="140" t="s">
        <v>17</v>
      </c>
    </row>
    <row r="7202" spans="1:9" hidden="1" x14ac:dyDescent="0.25">
      <c r="A7202">
        <v>1990</v>
      </c>
      <c r="B7202" s="140" t="s">
        <v>119</v>
      </c>
      <c r="C7202" s="140" t="s">
        <v>21</v>
      </c>
      <c r="D7202" s="140" t="s">
        <v>11</v>
      </c>
      <c r="E7202" s="140" t="s">
        <v>12</v>
      </c>
      <c r="F7202">
        <v>38924</v>
      </c>
      <c r="G7202" s="140" t="s">
        <v>435</v>
      </c>
      <c r="H7202">
        <v>0</v>
      </c>
      <c r="I7202" s="140" t="s">
        <v>17</v>
      </c>
    </row>
    <row r="7203" spans="1:9" hidden="1" x14ac:dyDescent="0.25">
      <c r="A7203">
        <v>1991</v>
      </c>
      <c r="B7203" s="140" t="s">
        <v>119</v>
      </c>
      <c r="C7203" s="140" t="s">
        <v>21</v>
      </c>
      <c r="D7203" s="140" t="s">
        <v>11</v>
      </c>
      <c r="E7203" s="140" t="s">
        <v>12</v>
      </c>
      <c r="F7203">
        <v>32341</v>
      </c>
      <c r="G7203" s="140" t="s">
        <v>435</v>
      </c>
      <c r="H7203">
        <v>0</v>
      </c>
      <c r="I7203" s="140" t="s">
        <v>17</v>
      </c>
    </row>
    <row r="7204" spans="1:9" hidden="1" x14ac:dyDescent="0.25">
      <c r="A7204">
        <v>1992</v>
      </c>
      <c r="B7204" s="140" t="s">
        <v>119</v>
      </c>
      <c r="C7204" s="140" t="s">
        <v>21</v>
      </c>
      <c r="D7204" s="140" t="s">
        <v>11</v>
      </c>
      <c r="E7204" s="140" t="s">
        <v>12</v>
      </c>
      <c r="F7204">
        <v>27893</v>
      </c>
      <c r="G7204" s="140" t="s">
        <v>435</v>
      </c>
      <c r="H7204">
        <v>0</v>
      </c>
      <c r="I7204" s="140" t="s">
        <v>17</v>
      </c>
    </row>
    <row r="7205" spans="1:9" hidden="1" x14ac:dyDescent="0.25">
      <c r="A7205">
        <v>1993</v>
      </c>
      <c r="B7205" s="140" t="s">
        <v>119</v>
      </c>
      <c r="C7205" s="140" t="s">
        <v>21</v>
      </c>
      <c r="D7205" s="140" t="s">
        <v>11</v>
      </c>
      <c r="E7205" s="140" t="s">
        <v>12</v>
      </c>
      <c r="F7205">
        <v>24402</v>
      </c>
      <c r="G7205" s="140" t="s">
        <v>435</v>
      </c>
      <c r="H7205">
        <v>0</v>
      </c>
      <c r="I7205" s="140" t="s">
        <v>17</v>
      </c>
    </row>
    <row r="7206" spans="1:9" hidden="1" x14ac:dyDescent="0.25">
      <c r="A7206">
        <v>1994</v>
      </c>
      <c r="B7206" s="140" t="s">
        <v>119</v>
      </c>
      <c r="C7206" s="140" t="s">
        <v>21</v>
      </c>
      <c r="D7206" s="140" t="s">
        <v>11</v>
      </c>
      <c r="E7206" s="140" t="s">
        <v>12</v>
      </c>
      <c r="F7206">
        <v>24608</v>
      </c>
      <c r="G7206" s="140" t="s">
        <v>435</v>
      </c>
      <c r="H7206">
        <v>0</v>
      </c>
      <c r="I7206" s="140" t="s">
        <v>17</v>
      </c>
    </row>
    <row r="7207" spans="1:9" hidden="1" x14ac:dyDescent="0.25">
      <c r="A7207">
        <v>1995</v>
      </c>
      <c r="B7207" s="140" t="s">
        <v>119</v>
      </c>
      <c r="C7207" s="140" t="s">
        <v>21</v>
      </c>
      <c r="D7207" s="140" t="s">
        <v>11</v>
      </c>
      <c r="E7207" s="140" t="s">
        <v>12</v>
      </c>
      <c r="F7207">
        <v>27693</v>
      </c>
      <c r="G7207" s="140" t="s">
        <v>435</v>
      </c>
      <c r="H7207">
        <v>0</v>
      </c>
      <c r="I7207" s="140" t="s">
        <v>17</v>
      </c>
    </row>
    <row r="7208" spans="1:9" hidden="1" x14ac:dyDescent="0.25">
      <c r="A7208">
        <v>1996</v>
      </c>
      <c r="B7208" s="140" t="s">
        <v>119</v>
      </c>
      <c r="C7208" s="140" t="s">
        <v>21</v>
      </c>
      <c r="D7208" s="140" t="s">
        <v>11</v>
      </c>
      <c r="E7208" s="140" t="s">
        <v>12</v>
      </c>
      <c r="F7208">
        <v>30464</v>
      </c>
      <c r="G7208" s="140" t="s">
        <v>435</v>
      </c>
      <c r="H7208">
        <v>0</v>
      </c>
      <c r="I7208" s="140" t="s">
        <v>17</v>
      </c>
    </row>
    <row r="7209" spans="1:9" hidden="1" x14ac:dyDescent="0.25">
      <c r="A7209">
        <v>1997</v>
      </c>
      <c r="B7209" s="140" t="s">
        <v>119</v>
      </c>
      <c r="C7209" s="140" t="s">
        <v>21</v>
      </c>
      <c r="D7209" s="140" t="s">
        <v>11</v>
      </c>
      <c r="E7209" s="140" t="s">
        <v>12</v>
      </c>
      <c r="F7209">
        <v>33780</v>
      </c>
      <c r="G7209" s="140" t="s">
        <v>435</v>
      </c>
      <c r="H7209">
        <v>0</v>
      </c>
      <c r="I7209" s="140" t="s">
        <v>17</v>
      </c>
    </row>
    <row r="7210" spans="1:9" hidden="1" x14ac:dyDescent="0.25">
      <c r="A7210">
        <v>1998</v>
      </c>
      <c r="B7210" s="140" t="s">
        <v>119</v>
      </c>
      <c r="C7210" s="140" t="s">
        <v>21</v>
      </c>
      <c r="D7210" s="140" t="s">
        <v>11</v>
      </c>
      <c r="E7210" s="140" t="s">
        <v>12</v>
      </c>
      <c r="F7210">
        <v>37385</v>
      </c>
      <c r="G7210" s="140" t="s">
        <v>435</v>
      </c>
      <c r="H7210">
        <v>0</v>
      </c>
      <c r="I7210" s="140" t="s">
        <v>17</v>
      </c>
    </row>
    <row r="7211" spans="1:9" hidden="1" x14ac:dyDescent="0.25">
      <c r="A7211">
        <v>1999</v>
      </c>
      <c r="B7211" s="140" t="s">
        <v>119</v>
      </c>
      <c r="C7211" s="140" t="s">
        <v>21</v>
      </c>
      <c r="D7211" s="140" t="s">
        <v>11</v>
      </c>
      <c r="E7211" s="140" t="s">
        <v>12</v>
      </c>
      <c r="F7211">
        <v>39079</v>
      </c>
      <c r="G7211" s="140" t="s">
        <v>435</v>
      </c>
      <c r="H7211">
        <v>0</v>
      </c>
      <c r="I7211" s="140" t="s">
        <v>17</v>
      </c>
    </row>
    <row r="7212" spans="1:9" hidden="1" x14ac:dyDescent="0.25">
      <c r="A7212">
        <v>2000</v>
      </c>
      <c r="B7212" s="140" t="s">
        <v>119</v>
      </c>
      <c r="C7212" s="140" t="s">
        <v>21</v>
      </c>
      <c r="D7212" s="140" t="s">
        <v>11</v>
      </c>
      <c r="E7212" s="140" t="s">
        <v>12</v>
      </c>
      <c r="F7212">
        <v>41509</v>
      </c>
      <c r="G7212" s="140" t="s">
        <v>435</v>
      </c>
      <c r="H7212">
        <v>0</v>
      </c>
      <c r="I7212" s="140" t="s">
        <v>17</v>
      </c>
    </row>
    <row r="7213" spans="1:9" hidden="1" x14ac:dyDescent="0.25">
      <c r="A7213">
        <v>2001</v>
      </c>
      <c r="B7213" s="140" t="s">
        <v>119</v>
      </c>
      <c r="C7213" s="140" t="s">
        <v>21</v>
      </c>
      <c r="D7213" s="140" t="s">
        <v>11</v>
      </c>
      <c r="E7213" s="140" t="s">
        <v>12</v>
      </c>
      <c r="F7213">
        <v>42241</v>
      </c>
      <c r="G7213" s="140" t="s">
        <v>435</v>
      </c>
      <c r="H7213">
        <v>0</v>
      </c>
      <c r="I7213" s="140" t="s">
        <v>17</v>
      </c>
    </row>
    <row r="7214" spans="1:9" hidden="1" x14ac:dyDescent="0.25">
      <c r="A7214">
        <v>2002</v>
      </c>
      <c r="B7214" s="140" t="s">
        <v>119</v>
      </c>
      <c r="C7214" s="140" t="s">
        <v>21</v>
      </c>
      <c r="D7214" s="140" t="s">
        <v>11</v>
      </c>
      <c r="E7214" s="140" t="s">
        <v>12</v>
      </c>
      <c r="F7214">
        <v>40994</v>
      </c>
      <c r="G7214" s="140" t="s">
        <v>435</v>
      </c>
      <c r="H7214">
        <v>0</v>
      </c>
      <c r="I7214" s="140" t="s">
        <v>17</v>
      </c>
    </row>
    <row r="7215" spans="1:9" hidden="1" x14ac:dyDescent="0.25">
      <c r="A7215">
        <v>2003</v>
      </c>
      <c r="B7215" s="140" t="s">
        <v>119</v>
      </c>
      <c r="C7215" s="140" t="s">
        <v>21</v>
      </c>
      <c r="D7215" s="140" t="s">
        <v>11</v>
      </c>
      <c r="E7215" s="140" t="s">
        <v>12</v>
      </c>
      <c r="F7215">
        <v>42140</v>
      </c>
      <c r="G7215" s="140" t="s">
        <v>435</v>
      </c>
      <c r="H7215">
        <v>0</v>
      </c>
      <c r="I7215" s="140" t="s">
        <v>17</v>
      </c>
    </row>
    <row r="7216" spans="1:9" hidden="1" x14ac:dyDescent="0.25">
      <c r="A7216">
        <v>2004</v>
      </c>
      <c r="B7216" s="140" t="s">
        <v>119</v>
      </c>
      <c r="C7216" s="140" t="s">
        <v>21</v>
      </c>
      <c r="D7216" s="140" t="s">
        <v>11</v>
      </c>
      <c r="E7216" s="140" t="s">
        <v>12</v>
      </c>
      <c r="F7216">
        <v>44105</v>
      </c>
      <c r="G7216" s="140" t="s">
        <v>435</v>
      </c>
      <c r="H7216">
        <v>0</v>
      </c>
      <c r="I7216" s="140" t="s">
        <v>17</v>
      </c>
    </row>
    <row r="7217" spans="1:9" hidden="1" x14ac:dyDescent="0.25">
      <c r="A7217">
        <v>2005</v>
      </c>
      <c r="B7217" s="140" t="s">
        <v>119</v>
      </c>
      <c r="C7217" s="140" t="s">
        <v>21</v>
      </c>
      <c r="D7217" s="140" t="s">
        <v>11</v>
      </c>
      <c r="E7217" s="140" t="s">
        <v>12</v>
      </c>
      <c r="F7217">
        <v>45539</v>
      </c>
      <c r="G7217" s="140" t="s">
        <v>435</v>
      </c>
      <c r="H7217">
        <v>0</v>
      </c>
      <c r="I7217" s="140" t="s">
        <v>17</v>
      </c>
    </row>
    <row r="7218" spans="1:9" hidden="1" x14ac:dyDescent="0.25">
      <c r="A7218">
        <v>2006</v>
      </c>
      <c r="B7218" s="140" t="s">
        <v>119</v>
      </c>
      <c r="C7218" s="140" t="s">
        <v>21</v>
      </c>
      <c r="D7218" s="140" t="s">
        <v>11</v>
      </c>
      <c r="E7218" s="140" t="s">
        <v>12</v>
      </c>
      <c r="F7218">
        <v>46157</v>
      </c>
      <c r="G7218" s="140" t="s">
        <v>435</v>
      </c>
      <c r="H7218">
        <v>0</v>
      </c>
      <c r="I7218" s="140" t="s">
        <v>17</v>
      </c>
    </row>
    <row r="7219" spans="1:9" hidden="1" x14ac:dyDescent="0.25">
      <c r="A7219">
        <v>2007</v>
      </c>
      <c r="B7219" s="140" t="s">
        <v>119</v>
      </c>
      <c r="C7219" s="140" t="s">
        <v>21</v>
      </c>
      <c r="D7219" s="140" t="s">
        <v>11</v>
      </c>
      <c r="E7219" s="140" t="s">
        <v>12</v>
      </c>
      <c r="F7219">
        <v>50910</v>
      </c>
      <c r="G7219" s="140" t="s">
        <v>435</v>
      </c>
      <c r="H7219">
        <v>0</v>
      </c>
      <c r="I7219" s="140" t="s">
        <v>17</v>
      </c>
    </row>
    <row r="7220" spans="1:9" hidden="1" x14ac:dyDescent="0.25">
      <c r="A7220">
        <v>2008</v>
      </c>
      <c r="B7220" s="140" t="s">
        <v>119</v>
      </c>
      <c r="C7220" s="140" t="s">
        <v>21</v>
      </c>
      <c r="D7220" s="140" t="s">
        <v>11</v>
      </c>
      <c r="E7220" s="140" t="s">
        <v>12</v>
      </c>
      <c r="F7220">
        <v>51233</v>
      </c>
      <c r="G7220" s="140" t="s">
        <v>435</v>
      </c>
      <c r="H7220">
        <v>0</v>
      </c>
      <c r="I7220" s="140" t="s">
        <v>17</v>
      </c>
    </row>
    <row r="7221" spans="1:9" hidden="1" x14ac:dyDescent="0.25">
      <c r="A7221">
        <v>2009</v>
      </c>
      <c r="B7221" s="140" t="s">
        <v>119</v>
      </c>
      <c r="C7221" s="140" t="s">
        <v>21</v>
      </c>
      <c r="D7221" s="140" t="s">
        <v>11</v>
      </c>
      <c r="E7221" s="140" t="s">
        <v>12</v>
      </c>
      <c r="F7221">
        <v>45070</v>
      </c>
      <c r="G7221" s="140" t="s">
        <v>435</v>
      </c>
      <c r="H7221">
        <v>0</v>
      </c>
      <c r="I7221" s="140" t="s">
        <v>17</v>
      </c>
    </row>
    <row r="7222" spans="1:9" hidden="1" x14ac:dyDescent="0.25">
      <c r="A7222">
        <v>2010</v>
      </c>
      <c r="B7222" s="140" t="s">
        <v>119</v>
      </c>
      <c r="C7222" s="140" t="s">
        <v>21</v>
      </c>
      <c r="D7222" s="140" t="s">
        <v>11</v>
      </c>
      <c r="E7222" s="140" t="s">
        <v>12</v>
      </c>
      <c r="F7222">
        <v>47151</v>
      </c>
      <c r="G7222" s="140" t="s">
        <v>435</v>
      </c>
      <c r="H7222">
        <v>0</v>
      </c>
      <c r="I7222" s="140" t="s">
        <v>17</v>
      </c>
    </row>
    <row r="7223" spans="1:9" hidden="1" x14ac:dyDescent="0.25">
      <c r="A7223">
        <v>2011</v>
      </c>
      <c r="B7223" s="140" t="s">
        <v>119</v>
      </c>
      <c r="C7223" s="140" t="s">
        <v>21</v>
      </c>
      <c r="D7223" s="140" t="s">
        <v>11</v>
      </c>
      <c r="E7223" s="140" t="s">
        <v>12</v>
      </c>
      <c r="F7223">
        <v>48376</v>
      </c>
      <c r="G7223" s="140" t="s">
        <v>435</v>
      </c>
      <c r="H7223">
        <v>0</v>
      </c>
      <c r="I7223" s="140" t="s">
        <v>17</v>
      </c>
    </row>
    <row r="7224" spans="1:9" hidden="1" x14ac:dyDescent="0.25">
      <c r="A7224">
        <v>2012</v>
      </c>
      <c r="B7224" s="140" t="s">
        <v>119</v>
      </c>
      <c r="C7224" s="140" t="s">
        <v>21</v>
      </c>
      <c r="D7224" s="140" t="s">
        <v>11</v>
      </c>
      <c r="E7224" s="140" t="s">
        <v>12</v>
      </c>
      <c r="F7224">
        <v>48031</v>
      </c>
      <c r="G7224" s="140" t="s">
        <v>435</v>
      </c>
      <c r="H7224">
        <v>0</v>
      </c>
      <c r="I7224" s="140" t="s">
        <v>17</v>
      </c>
    </row>
    <row r="7225" spans="1:9" hidden="1" x14ac:dyDescent="0.25">
      <c r="A7225">
        <v>2013</v>
      </c>
      <c r="B7225" s="140" t="s">
        <v>119</v>
      </c>
      <c r="C7225" s="140" t="s">
        <v>21</v>
      </c>
      <c r="D7225" s="140" t="s">
        <v>11</v>
      </c>
      <c r="E7225" s="140" t="s">
        <v>12</v>
      </c>
      <c r="F7225">
        <v>45983</v>
      </c>
      <c r="G7225" s="140" t="s">
        <v>435</v>
      </c>
      <c r="H7225">
        <v>0</v>
      </c>
      <c r="I7225" s="140" t="s">
        <v>17</v>
      </c>
    </row>
    <row r="7226" spans="1:9" hidden="1" x14ac:dyDescent="0.25">
      <c r="A7226">
        <v>2014</v>
      </c>
      <c r="B7226" s="140" t="s">
        <v>119</v>
      </c>
      <c r="C7226" s="140" t="s">
        <v>21</v>
      </c>
      <c r="D7226" s="140" t="s">
        <v>11</v>
      </c>
      <c r="E7226" s="140" t="s">
        <v>12</v>
      </c>
      <c r="F7226">
        <v>44946</v>
      </c>
      <c r="G7226" s="140" t="s">
        <v>435</v>
      </c>
      <c r="H7226">
        <v>0</v>
      </c>
      <c r="I7226" s="140" t="s">
        <v>17</v>
      </c>
    </row>
    <row r="7227" spans="1:9" hidden="1" x14ac:dyDescent="0.25">
      <c r="A7227">
        <v>2015</v>
      </c>
      <c r="B7227" s="140" t="s">
        <v>119</v>
      </c>
      <c r="C7227" s="140" t="s">
        <v>21</v>
      </c>
      <c r="D7227" s="140" t="s">
        <v>11</v>
      </c>
      <c r="E7227" s="140" t="s">
        <v>12</v>
      </c>
      <c r="F7227">
        <v>45023</v>
      </c>
      <c r="G7227" s="140" t="s">
        <v>435</v>
      </c>
      <c r="H7227">
        <v>0</v>
      </c>
      <c r="I7227" s="140" t="s">
        <v>17</v>
      </c>
    </row>
    <row r="7228" spans="1:9" hidden="1" x14ac:dyDescent="0.25">
      <c r="A7228">
        <v>2016</v>
      </c>
      <c r="B7228" s="140" t="s">
        <v>119</v>
      </c>
      <c r="C7228" s="140" t="s">
        <v>21</v>
      </c>
      <c r="D7228" s="140" t="s">
        <v>11</v>
      </c>
      <c r="E7228" s="140" t="s">
        <v>12</v>
      </c>
      <c r="F7228">
        <v>49163</v>
      </c>
      <c r="G7228" s="140" t="s">
        <v>435</v>
      </c>
      <c r="H7228">
        <v>0</v>
      </c>
      <c r="I7228" s="140" t="s">
        <v>17</v>
      </c>
    </row>
    <row r="7229" spans="1:9" hidden="1" x14ac:dyDescent="0.25">
      <c r="A7229">
        <v>2017</v>
      </c>
      <c r="B7229" s="140" t="s">
        <v>119</v>
      </c>
      <c r="C7229" s="140" t="s">
        <v>21</v>
      </c>
      <c r="D7229" s="140" t="s">
        <v>11</v>
      </c>
      <c r="E7229" s="140" t="s">
        <v>12</v>
      </c>
      <c r="F7229">
        <v>51617</v>
      </c>
      <c r="G7229" s="140" t="s">
        <v>435</v>
      </c>
      <c r="H7229">
        <v>0</v>
      </c>
      <c r="I7229" s="140" t="s">
        <v>17</v>
      </c>
    </row>
    <row r="7230" spans="1:9" hidden="1" x14ac:dyDescent="0.25">
      <c r="A7230">
        <v>2018</v>
      </c>
      <c r="B7230" s="140" t="s">
        <v>119</v>
      </c>
      <c r="C7230" s="140" t="s">
        <v>21</v>
      </c>
      <c r="D7230" s="140" t="s">
        <v>11</v>
      </c>
      <c r="E7230" s="140" t="s">
        <v>12</v>
      </c>
      <c r="F7230">
        <v>53885</v>
      </c>
      <c r="G7230" s="140" t="s">
        <v>435</v>
      </c>
      <c r="H7230">
        <v>0</v>
      </c>
      <c r="I7230" s="140" t="s">
        <v>17</v>
      </c>
    </row>
    <row r="7231" spans="1:9" hidden="1" x14ac:dyDescent="0.25">
      <c r="A7231">
        <v>2019</v>
      </c>
      <c r="B7231" s="140" t="s">
        <v>119</v>
      </c>
      <c r="C7231" s="140" t="s">
        <v>21</v>
      </c>
      <c r="D7231" s="140" t="s">
        <v>11</v>
      </c>
      <c r="E7231" s="140" t="s">
        <v>12</v>
      </c>
      <c r="F7231">
        <v>53325</v>
      </c>
      <c r="G7231" s="140" t="s">
        <v>435</v>
      </c>
      <c r="H7231">
        <v>0</v>
      </c>
      <c r="I7231" s="140" t="s">
        <v>17</v>
      </c>
    </row>
    <row r="7232" spans="1:9" hidden="1" x14ac:dyDescent="0.25">
      <c r="A7232">
        <v>2020</v>
      </c>
      <c r="B7232" s="140" t="s">
        <v>119</v>
      </c>
      <c r="C7232" s="140" t="s">
        <v>21</v>
      </c>
      <c r="D7232" s="140" t="s">
        <v>11</v>
      </c>
      <c r="E7232" s="140" t="s">
        <v>12</v>
      </c>
      <c r="F7232">
        <v>52720</v>
      </c>
      <c r="G7232" s="140" t="s">
        <v>435</v>
      </c>
      <c r="H7232">
        <v>0</v>
      </c>
      <c r="I7232" s="140" t="s">
        <v>17</v>
      </c>
    </row>
    <row r="7233" spans="1:9" hidden="1" x14ac:dyDescent="0.25">
      <c r="A7233">
        <v>2021</v>
      </c>
      <c r="B7233" s="140" t="s">
        <v>119</v>
      </c>
      <c r="C7233" s="140" t="s">
        <v>21</v>
      </c>
      <c r="D7233" s="140" t="s">
        <v>11</v>
      </c>
      <c r="E7233" s="140" t="s">
        <v>12</v>
      </c>
      <c r="F7233">
        <v>53678</v>
      </c>
      <c r="G7233" s="140" t="s">
        <v>435</v>
      </c>
      <c r="H7233">
        <v>0</v>
      </c>
      <c r="I7233" s="140" t="s">
        <v>17</v>
      </c>
    </row>
    <row r="7234" spans="1:9" hidden="1" x14ac:dyDescent="0.25">
      <c r="A7234">
        <v>2022</v>
      </c>
      <c r="B7234" s="140" t="s">
        <v>119</v>
      </c>
      <c r="C7234" s="140" t="s">
        <v>21</v>
      </c>
      <c r="D7234" s="140" t="s">
        <v>11</v>
      </c>
      <c r="E7234" s="140" t="s">
        <v>12</v>
      </c>
      <c r="F7234">
        <v>54506</v>
      </c>
      <c r="G7234" s="140" t="s">
        <v>435</v>
      </c>
      <c r="H7234">
        <v>0</v>
      </c>
      <c r="I7234" s="140" t="s">
        <v>17</v>
      </c>
    </row>
    <row r="7235" spans="1:9" hidden="1" x14ac:dyDescent="0.25">
      <c r="A7235">
        <v>2023</v>
      </c>
      <c r="B7235" s="140" t="s">
        <v>119</v>
      </c>
      <c r="C7235" s="140" t="s">
        <v>21</v>
      </c>
      <c r="D7235" s="140" t="s">
        <v>11</v>
      </c>
      <c r="E7235" s="140" t="s">
        <v>12</v>
      </c>
      <c r="F7235">
        <v>50621</v>
      </c>
      <c r="G7235" s="140" t="s">
        <v>435</v>
      </c>
      <c r="H7235">
        <v>0</v>
      </c>
      <c r="I7235" s="140" t="s">
        <v>17</v>
      </c>
    </row>
    <row r="7236" spans="1:9" hidden="1" x14ac:dyDescent="0.25">
      <c r="A7236">
        <v>2024</v>
      </c>
      <c r="B7236" s="140" t="s">
        <v>119</v>
      </c>
      <c r="C7236" s="140" t="s">
        <v>21</v>
      </c>
      <c r="D7236" s="140" t="s">
        <v>11</v>
      </c>
      <c r="E7236" s="140" t="s">
        <v>12</v>
      </c>
      <c r="F7236">
        <v>47969</v>
      </c>
      <c r="G7236" s="140" t="s">
        <v>435</v>
      </c>
      <c r="H7236">
        <v>0</v>
      </c>
      <c r="I7236" s="140" t="s">
        <v>17</v>
      </c>
    </row>
    <row r="7237" spans="1:9" hidden="1" x14ac:dyDescent="0.25">
      <c r="A7237">
        <v>2025</v>
      </c>
      <c r="B7237" s="140" t="s">
        <v>119</v>
      </c>
      <c r="C7237" s="140" t="s">
        <v>21</v>
      </c>
      <c r="D7237" s="140" t="s">
        <v>11</v>
      </c>
      <c r="E7237" s="140" t="s">
        <v>12</v>
      </c>
      <c r="F7237">
        <v>48650</v>
      </c>
      <c r="G7237" s="140" t="s">
        <v>435</v>
      </c>
      <c r="H7237">
        <v>0</v>
      </c>
      <c r="I7237" s="140" t="s">
        <v>17</v>
      </c>
    </row>
    <row r="7238" spans="1:9" hidden="1" x14ac:dyDescent="0.25">
      <c r="A7238">
        <v>2026</v>
      </c>
      <c r="B7238" s="140" t="s">
        <v>119</v>
      </c>
      <c r="C7238" s="140" t="s">
        <v>21</v>
      </c>
      <c r="D7238" s="140" t="s">
        <v>11</v>
      </c>
      <c r="E7238" s="140" t="s">
        <v>12</v>
      </c>
      <c r="F7238">
        <v>52429.923519999997</v>
      </c>
      <c r="G7238" s="140" t="s">
        <v>435</v>
      </c>
      <c r="H7238">
        <v>0</v>
      </c>
      <c r="I7238" s="140" t="s">
        <v>17</v>
      </c>
    </row>
    <row r="7239" spans="1:9" hidden="1" x14ac:dyDescent="0.25">
      <c r="A7239">
        <v>2027</v>
      </c>
      <c r="B7239" s="140" t="s">
        <v>119</v>
      </c>
      <c r="C7239" s="140" t="s">
        <v>21</v>
      </c>
      <c r="D7239" s="140" t="s">
        <v>11</v>
      </c>
      <c r="E7239" s="140" t="s">
        <v>12</v>
      </c>
      <c r="F7239">
        <v>54727.424809999997</v>
      </c>
      <c r="G7239" s="140" t="s">
        <v>435</v>
      </c>
      <c r="H7239">
        <v>0</v>
      </c>
      <c r="I7239" s="140" t="s">
        <v>17</v>
      </c>
    </row>
    <row r="7240" spans="1:9" hidden="1" x14ac:dyDescent="0.25">
      <c r="A7240">
        <v>2028</v>
      </c>
      <c r="B7240" s="140" t="s">
        <v>119</v>
      </c>
      <c r="C7240" s="140" t="s">
        <v>21</v>
      </c>
      <c r="D7240" s="140" t="s">
        <v>11</v>
      </c>
      <c r="E7240" s="140" t="s">
        <v>12</v>
      </c>
      <c r="F7240">
        <v>56688.508860000002</v>
      </c>
      <c r="G7240" s="140" t="s">
        <v>435</v>
      </c>
      <c r="H7240">
        <v>0</v>
      </c>
      <c r="I7240" s="140" t="s">
        <v>17</v>
      </c>
    </row>
    <row r="7241" spans="1:9" hidden="1" x14ac:dyDescent="0.25">
      <c r="A7241">
        <v>2029</v>
      </c>
      <c r="B7241" s="140" t="s">
        <v>119</v>
      </c>
      <c r="C7241" s="140" t="s">
        <v>21</v>
      </c>
      <c r="D7241" s="140" t="s">
        <v>11</v>
      </c>
      <c r="E7241" s="140" t="s">
        <v>12</v>
      </c>
      <c r="F7241">
        <v>58210.494299999998</v>
      </c>
      <c r="G7241" s="140" t="s">
        <v>435</v>
      </c>
      <c r="H7241">
        <v>0</v>
      </c>
      <c r="I7241" s="140" t="s">
        <v>17</v>
      </c>
    </row>
    <row r="7242" spans="1:9" hidden="1" x14ac:dyDescent="0.25">
      <c r="A7242">
        <v>2030</v>
      </c>
      <c r="B7242" s="140" t="s">
        <v>119</v>
      </c>
      <c r="C7242" s="140" t="s">
        <v>21</v>
      </c>
      <c r="D7242" s="140" t="s">
        <v>11</v>
      </c>
      <c r="E7242" s="140" t="s">
        <v>12</v>
      </c>
      <c r="F7242">
        <v>59421.272579999997</v>
      </c>
      <c r="G7242" s="140" t="s">
        <v>435</v>
      </c>
      <c r="H7242">
        <v>0</v>
      </c>
      <c r="I7242" s="140" t="s">
        <v>17</v>
      </c>
    </row>
    <row r="7243" spans="1:9" hidden="1" x14ac:dyDescent="0.25">
      <c r="A7243">
        <v>1990</v>
      </c>
      <c r="B7243" s="140" t="s">
        <v>122</v>
      </c>
      <c r="C7243" s="140" t="s">
        <v>21</v>
      </c>
      <c r="D7243" s="140" t="s">
        <v>11</v>
      </c>
      <c r="E7243" s="140" t="s">
        <v>12</v>
      </c>
      <c r="F7243">
        <v>10451</v>
      </c>
      <c r="G7243" s="140" t="s">
        <v>428</v>
      </c>
      <c r="H7243">
        <v>0</v>
      </c>
      <c r="I7243" s="140" t="s">
        <v>17</v>
      </c>
    </row>
    <row r="7244" spans="1:9" hidden="1" x14ac:dyDescent="0.25">
      <c r="A7244">
        <v>1991</v>
      </c>
      <c r="B7244" s="140" t="s">
        <v>122</v>
      </c>
      <c r="C7244" s="140" t="s">
        <v>21</v>
      </c>
      <c r="D7244" s="140" t="s">
        <v>11</v>
      </c>
      <c r="E7244" s="140" t="s">
        <v>12</v>
      </c>
      <c r="F7244">
        <v>8841</v>
      </c>
      <c r="G7244" s="140" t="s">
        <v>428</v>
      </c>
      <c r="H7244">
        <v>0</v>
      </c>
      <c r="I7244" s="140" t="s">
        <v>17</v>
      </c>
    </row>
    <row r="7245" spans="1:9" hidden="1" x14ac:dyDescent="0.25">
      <c r="A7245">
        <v>1992</v>
      </c>
      <c r="B7245" s="140" t="s">
        <v>122</v>
      </c>
      <c r="C7245" s="140" t="s">
        <v>21</v>
      </c>
      <c r="D7245" s="140" t="s">
        <v>11</v>
      </c>
      <c r="E7245" s="140" t="s">
        <v>12</v>
      </c>
      <c r="F7245">
        <v>7540</v>
      </c>
      <c r="G7245" s="140" t="s">
        <v>428</v>
      </c>
      <c r="H7245">
        <v>0</v>
      </c>
      <c r="I7245" s="140" t="s">
        <v>17</v>
      </c>
    </row>
    <row r="7246" spans="1:9" hidden="1" x14ac:dyDescent="0.25">
      <c r="A7246">
        <v>1993</v>
      </c>
      <c r="B7246" s="140" t="s">
        <v>122</v>
      </c>
      <c r="C7246" s="140" t="s">
        <v>21</v>
      </c>
      <c r="D7246" s="140" t="s">
        <v>11</v>
      </c>
      <c r="E7246" s="140" t="s">
        <v>12</v>
      </c>
      <c r="F7246">
        <v>7210</v>
      </c>
      <c r="G7246" s="140" t="s">
        <v>428</v>
      </c>
      <c r="H7246">
        <v>0</v>
      </c>
      <c r="I7246" s="140" t="s">
        <v>17</v>
      </c>
    </row>
    <row r="7247" spans="1:9" hidden="1" x14ac:dyDescent="0.25">
      <c r="A7247">
        <v>1994</v>
      </c>
      <c r="B7247" s="140" t="s">
        <v>122</v>
      </c>
      <c r="C7247" s="140" t="s">
        <v>21</v>
      </c>
      <c r="D7247" s="140" t="s">
        <v>11</v>
      </c>
      <c r="E7247" s="140" t="s">
        <v>12</v>
      </c>
      <c r="F7247">
        <v>7254</v>
      </c>
      <c r="G7247" s="140" t="s">
        <v>428</v>
      </c>
      <c r="H7247">
        <v>0</v>
      </c>
      <c r="I7247" s="140" t="s">
        <v>17</v>
      </c>
    </row>
    <row r="7248" spans="1:9" hidden="1" x14ac:dyDescent="0.25">
      <c r="A7248">
        <v>1995</v>
      </c>
      <c r="B7248" s="140" t="s">
        <v>122</v>
      </c>
      <c r="C7248" s="140" t="s">
        <v>21</v>
      </c>
      <c r="D7248" s="140" t="s">
        <v>11</v>
      </c>
      <c r="E7248" s="140" t="s">
        <v>12</v>
      </c>
      <c r="F7248">
        <v>7354</v>
      </c>
      <c r="G7248" s="140" t="s">
        <v>428</v>
      </c>
      <c r="H7248">
        <v>0</v>
      </c>
      <c r="I7248" s="140" t="s">
        <v>17</v>
      </c>
    </row>
    <row r="7249" spans="1:9" hidden="1" x14ac:dyDescent="0.25">
      <c r="A7249">
        <v>1996</v>
      </c>
      <c r="B7249" s="140" t="s">
        <v>122</v>
      </c>
      <c r="C7249" s="140" t="s">
        <v>21</v>
      </c>
      <c r="D7249" s="140" t="s">
        <v>11</v>
      </c>
      <c r="E7249" s="140" t="s">
        <v>12</v>
      </c>
      <c r="F7249">
        <v>7548</v>
      </c>
      <c r="G7249" s="140" t="s">
        <v>428</v>
      </c>
      <c r="H7249">
        <v>0</v>
      </c>
      <c r="I7249" s="140" t="s">
        <v>17</v>
      </c>
    </row>
    <row r="7250" spans="1:9" hidden="1" x14ac:dyDescent="0.25">
      <c r="A7250">
        <v>1997</v>
      </c>
      <c r="B7250" s="140" t="s">
        <v>122</v>
      </c>
      <c r="C7250" s="140" t="s">
        <v>21</v>
      </c>
      <c r="D7250" s="140" t="s">
        <v>11</v>
      </c>
      <c r="E7250" s="140" t="s">
        <v>12</v>
      </c>
      <c r="F7250">
        <v>8700</v>
      </c>
      <c r="G7250" s="140" t="s">
        <v>428</v>
      </c>
      <c r="H7250">
        <v>0</v>
      </c>
      <c r="I7250" s="140" t="s">
        <v>17</v>
      </c>
    </row>
    <row r="7251" spans="1:9" hidden="1" x14ac:dyDescent="0.25">
      <c r="A7251">
        <v>1998</v>
      </c>
      <c r="B7251" s="140" t="s">
        <v>122</v>
      </c>
      <c r="C7251" s="140" t="s">
        <v>21</v>
      </c>
      <c r="D7251" s="140" t="s">
        <v>11</v>
      </c>
      <c r="E7251" s="140" t="s">
        <v>12</v>
      </c>
      <c r="F7251">
        <v>9591</v>
      </c>
      <c r="G7251" s="140" t="s">
        <v>428</v>
      </c>
      <c r="H7251">
        <v>0</v>
      </c>
      <c r="I7251" s="140" t="s">
        <v>17</v>
      </c>
    </row>
    <row r="7252" spans="1:9" hidden="1" x14ac:dyDescent="0.25">
      <c r="A7252">
        <v>1999</v>
      </c>
      <c r="B7252" s="140" t="s">
        <v>122</v>
      </c>
      <c r="C7252" s="140" t="s">
        <v>21</v>
      </c>
      <c r="D7252" s="140" t="s">
        <v>11</v>
      </c>
      <c r="E7252" s="140" t="s">
        <v>12</v>
      </c>
      <c r="F7252">
        <v>10446</v>
      </c>
      <c r="G7252" s="140" t="s">
        <v>428</v>
      </c>
      <c r="H7252">
        <v>0</v>
      </c>
      <c r="I7252" s="140" t="s">
        <v>17</v>
      </c>
    </row>
    <row r="7253" spans="1:9" hidden="1" x14ac:dyDescent="0.25">
      <c r="A7253">
        <v>2000</v>
      </c>
      <c r="B7253" s="140" t="s">
        <v>122</v>
      </c>
      <c r="C7253" s="140" t="s">
        <v>21</v>
      </c>
      <c r="D7253" s="140" t="s">
        <v>11</v>
      </c>
      <c r="E7253" s="140" t="s">
        <v>12</v>
      </c>
      <c r="F7253">
        <v>11076</v>
      </c>
      <c r="G7253" s="140" t="s">
        <v>428</v>
      </c>
      <c r="H7253">
        <v>0</v>
      </c>
      <c r="I7253" s="140" t="s">
        <v>17</v>
      </c>
    </row>
    <row r="7254" spans="1:9" hidden="1" x14ac:dyDescent="0.25">
      <c r="A7254">
        <v>2001</v>
      </c>
      <c r="B7254" s="140" t="s">
        <v>122</v>
      </c>
      <c r="C7254" s="140" t="s">
        <v>21</v>
      </c>
      <c r="D7254" s="140" t="s">
        <v>11</v>
      </c>
      <c r="E7254" s="140" t="s">
        <v>12</v>
      </c>
      <c r="F7254">
        <v>9946</v>
      </c>
      <c r="G7254" s="140" t="s">
        <v>428</v>
      </c>
      <c r="H7254">
        <v>0</v>
      </c>
      <c r="I7254" s="140" t="s">
        <v>17</v>
      </c>
    </row>
    <row r="7255" spans="1:9" hidden="1" x14ac:dyDescent="0.25">
      <c r="A7255">
        <v>2002</v>
      </c>
      <c r="B7255" s="140" t="s">
        <v>122</v>
      </c>
      <c r="C7255" s="140" t="s">
        <v>21</v>
      </c>
      <c r="D7255" s="140" t="s">
        <v>11</v>
      </c>
      <c r="E7255" s="140" t="s">
        <v>12</v>
      </c>
      <c r="F7255">
        <v>9900</v>
      </c>
      <c r="G7255" s="140" t="s">
        <v>428</v>
      </c>
      <c r="H7255">
        <v>0</v>
      </c>
      <c r="I7255" s="140" t="s">
        <v>17</v>
      </c>
    </row>
    <row r="7256" spans="1:9" hidden="1" x14ac:dyDescent="0.25">
      <c r="A7256">
        <v>2003</v>
      </c>
      <c r="B7256" s="140" t="s">
        <v>122</v>
      </c>
      <c r="C7256" s="140" t="s">
        <v>21</v>
      </c>
      <c r="D7256" s="140" t="s">
        <v>11</v>
      </c>
      <c r="E7256" s="140" t="s">
        <v>12</v>
      </c>
      <c r="F7256">
        <v>11019</v>
      </c>
      <c r="G7256" s="140" t="s">
        <v>428</v>
      </c>
      <c r="H7256">
        <v>0</v>
      </c>
      <c r="I7256" s="140" t="s">
        <v>17</v>
      </c>
    </row>
    <row r="7257" spans="1:9" hidden="1" x14ac:dyDescent="0.25">
      <c r="A7257">
        <v>2004</v>
      </c>
      <c r="B7257" s="140" t="s">
        <v>122</v>
      </c>
      <c r="C7257" s="140" t="s">
        <v>21</v>
      </c>
      <c r="D7257" s="140" t="s">
        <v>11</v>
      </c>
      <c r="E7257" s="140" t="s">
        <v>12</v>
      </c>
      <c r="F7257">
        <v>12255</v>
      </c>
      <c r="G7257" s="140" t="s">
        <v>428</v>
      </c>
      <c r="H7257">
        <v>0</v>
      </c>
      <c r="I7257" s="140" t="s">
        <v>17</v>
      </c>
    </row>
    <row r="7258" spans="1:9" hidden="1" x14ac:dyDescent="0.25">
      <c r="A7258">
        <v>2005</v>
      </c>
      <c r="B7258" s="140" t="s">
        <v>122</v>
      </c>
      <c r="C7258" s="140" t="s">
        <v>21</v>
      </c>
      <c r="D7258" s="140" t="s">
        <v>11</v>
      </c>
      <c r="E7258" s="140" t="s">
        <v>12</v>
      </c>
      <c r="F7258">
        <v>12872</v>
      </c>
      <c r="G7258" s="140" t="s">
        <v>428</v>
      </c>
      <c r="H7258">
        <v>0</v>
      </c>
      <c r="I7258" s="140" t="s">
        <v>17</v>
      </c>
    </row>
    <row r="7259" spans="1:9" hidden="1" x14ac:dyDescent="0.25">
      <c r="A7259">
        <v>2006</v>
      </c>
      <c r="B7259" s="140" t="s">
        <v>122</v>
      </c>
      <c r="C7259" s="140" t="s">
        <v>21</v>
      </c>
      <c r="D7259" s="140" t="s">
        <v>11</v>
      </c>
      <c r="E7259" s="140" t="s">
        <v>12</v>
      </c>
      <c r="F7259">
        <v>13359</v>
      </c>
      <c r="G7259" s="140" t="s">
        <v>428</v>
      </c>
      <c r="H7259">
        <v>0</v>
      </c>
      <c r="I7259" s="140" t="s">
        <v>17</v>
      </c>
    </row>
    <row r="7260" spans="1:9" hidden="1" x14ac:dyDescent="0.25">
      <c r="A7260">
        <v>2007</v>
      </c>
      <c r="B7260" s="140" t="s">
        <v>122</v>
      </c>
      <c r="C7260" s="140" t="s">
        <v>21</v>
      </c>
      <c r="D7260" s="140" t="s">
        <v>11</v>
      </c>
      <c r="E7260" s="140" t="s">
        <v>12</v>
      </c>
      <c r="F7260">
        <v>13439</v>
      </c>
      <c r="G7260" s="140" t="s">
        <v>428</v>
      </c>
      <c r="H7260">
        <v>0</v>
      </c>
      <c r="I7260" s="140" t="s">
        <v>17</v>
      </c>
    </row>
    <row r="7261" spans="1:9" hidden="1" x14ac:dyDescent="0.25">
      <c r="A7261">
        <v>2008</v>
      </c>
      <c r="B7261" s="140" t="s">
        <v>122</v>
      </c>
      <c r="C7261" s="140" t="s">
        <v>21</v>
      </c>
      <c r="D7261" s="140" t="s">
        <v>11</v>
      </c>
      <c r="E7261" s="140" t="s">
        <v>12</v>
      </c>
      <c r="F7261">
        <v>12148</v>
      </c>
      <c r="G7261" s="140" t="s">
        <v>428</v>
      </c>
      <c r="H7261">
        <v>0</v>
      </c>
      <c r="I7261" s="140" t="s">
        <v>17</v>
      </c>
    </row>
    <row r="7262" spans="1:9" hidden="1" x14ac:dyDescent="0.25">
      <c r="A7262">
        <v>2009</v>
      </c>
      <c r="B7262" s="140" t="s">
        <v>122</v>
      </c>
      <c r="C7262" s="140" t="s">
        <v>21</v>
      </c>
      <c r="D7262" s="140" t="s">
        <v>11</v>
      </c>
      <c r="E7262" s="140" t="s">
        <v>12</v>
      </c>
      <c r="F7262">
        <v>10632</v>
      </c>
      <c r="G7262" s="140" t="s">
        <v>428</v>
      </c>
      <c r="H7262">
        <v>0</v>
      </c>
      <c r="I7262" s="140" t="s">
        <v>17</v>
      </c>
    </row>
    <row r="7263" spans="1:9" hidden="1" x14ac:dyDescent="0.25">
      <c r="A7263">
        <v>2010</v>
      </c>
      <c r="B7263" s="140" t="s">
        <v>122</v>
      </c>
      <c r="C7263" s="140" t="s">
        <v>21</v>
      </c>
      <c r="D7263" s="140" t="s">
        <v>11</v>
      </c>
      <c r="E7263" s="140" t="s">
        <v>12</v>
      </c>
      <c r="F7263">
        <v>13352</v>
      </c>
      <c r="G7263" s="140" t="s">
        <v>428</v>
      </c>
      <c r="H7263">
        <v>0</v>
      </c>
      <c r="I7263" s="140" t="s">
        <v>17</v>
      </c>
    </row>
    <row r="7264" spans="1:9" hidden="1" x14ac:dyDescent="0.25">
      <c r="A7264">
        <v>2011</v>
      </c>
      <c r="B7264" s="140" t="s">
        <v>122</v>
      </c>
      <c r="C7264" s="140" t="s">
        <v>21</v>
      </c>
      <c r="D7264" s="140" t="s">
        <v>11</v>
      </c>
      <c r="E7264" s="140" t="s">
        <v>12</v>
      </c>
      <c r="F7264">
        <v>14133</v>
      </c>
      <c r="G7264" s="140" t="s">
        <v>428</v>
      </c>
      <c r="H7264">
        <v>0</v>
      </c>
      <c r="I7264" s="140" t="s">
        <v>17</v>
      </c>
    </row>
    <row r="7265" spans="1:9" hidden="1" x14ac:dyDescent="0.25">
      <c r="A7265">
        <v>2012</v>
      </c>
      <c r="B7265" s="140" t="s">
        <v>122</v>
      </c>
      <c r="C7265" s="140" t="s">
        <v>21</v>
      </c>
      <c r="D7265" s="140" t="s">
        <v>11</v>
      </c>
      <c r="E7265" s="140" t="s">
        <v>12</v>
      </c>
      <c r="F7265">
        <v>13909</v>
      </c>
      <c r="G7265" s="140" t="s">
        <v>428</v>
      </c>
      <c r="H7265">
        <v>0</v>
      </c>
      <c r="I7265" s="140" t="s">
        <v>17</v>
      </c>
    </row>
    <row r="7266" spans="1:9" hidden="1" x14ac:dyDescent="0.25">
      <c r="A7266">
        <v>2013</v>
      </c>
      <c r="B7266" s="140" t="s">
        <v>122</v>
      </c>
      <c r="C7266" s="140" t="s">
        <v>21</v>
      </c>
      <c r="D7266" s="140" t="s">
        <v>11</v>
      </c>
      <c r="E7266" s="140" t="s">
        <v>12</v>
      </c>
      <c r="F7266">
        <v>13143</v>
      </c>
      <c r="G7266" s="140" t="s">
        <v>428</v>
      </c>
      <c r="H7266">
        <v>0</v>
      </c>
      <c r="I7266" s="140" t="s">
        <v>17</v>
      </c>
    </row>
    <row r="7267" spans="1:9" hidden="1" x14ac:dyDescent="0.25">
      <c r="A7267">
        <v>2014</v>
      </c>
      <c r="B7267" s="140" t="s">
        <v>122</v>
      </c>
      <c r="C7267" s="140" t="s">
        <v>21</v>
      </c>
      <c r="D7267" s="140" t="s">
        <v>11</v>
      </c>
      <c r="E7267" s="140" t="s">
        <v>12</v>
      </c>
      <c r="F7267">
        <v>12437</v>
      </c>
      <c r="G7267" s="140" t="s">
        <v>428</v>
      </c>
      <c r="H7267">
        <v>0</v>
      </c>
      <c r="I7267" s="140" t="s">
        <v>17</v>
      </c>
    </row>
    <row r="7268" spans="1:9" hidden="1" x14ac:dyDescent="0.25">
      <c r="A7268">
        <v>2015</v>
      </c>
      <c r="B7268" s="140" t="s">
        <v>122</v>
      </c>
      <c r="C7268" s="140" t="s">
        <v>21</v>
      </c>
      <c r="D7268" s="140" t="s">
        <v>11</v>
      </c>
      <c r="E7268" s="140" t="s">
        <v>12</v>
      </c>
      <c r="F7268">
        <v>12650</v>
      </c>
      <c r="G7268" s="140" t="s">
        <v>428</v>
      </c>
      <c r="H7268">
        <v>0</v>
      </c>
      <c r="I7268" s="140" t="s">
        <v>17</v>
      </c>
    </row>
    <row r="7269" spans="1:9" hidden="1" x14ac:dyDescent="0.25">
      <c r="A7269">
        <v>2016</v>
      </c>
      <c r="B7269" s="140" t="s">
        <v>122</v>
      </c>
      <c r="C7269" s="140" t="s">
        <v>21</v>
      </c>
      <c r="D7269" s="140" t="s">
        <v>11</v>
      </c>
      <c r="E7269" s="140" t="s">
        <v>12</v>
      </c>
      <c r="F7269">
        <v>13996</v>
      </c>
      <c r="G7269" s="140" t="s">
        <v>428</v>
      </c>
      <c r="H7269">
        <v>0</v>
      </c>
      <c r="I7269" s="140" t="s">
        <v>17</v>
      </c>
    </row>
    <row r="7270" spans="1:9" hidden="1" x14ac:dyDescent="0.25">
      <c r="A7270">
        <v>2017</v>
      </c>
      <c r="B7270" s="140" t="s">
        <v>122</v>
      </c>
      <c r="C7270" s="140" t="s">
        <v>21</v>
      </c>
      <c r="D7270" s="140" t="s">
        <v>11</v>
      </c>
      <c r="E7270" s="140" t="s">
        <v>12</v>
      </c>
      <c r="F7270">
        <v>14216</v>
      </c>
      <c r="G7270" s="140" t="s">
        <v>428</v>
      </c>
      <c r="H7270">
        <v>0</v>
      </c>
      <c r="I7270" s="140" t="s">
        <v>17</v>
      </c>
    </row>
    <row r="7271" spans="1:9" hidden="1" x14ac:dyDescent="0.25">
      <c r="A7271">
        <v>2018</v>
      </c>
      <c r="B7271" s="140" t="s">
        <v>122</v>
      </c>
      <c r="C7271" s="140" t="s">
        <v>21</v>
      </c>
      <c r="D7271" s="140" t="s">
        <v>11</v>
      </c>
      <c r="E7271" s="140" t="s">
        <v>12</v>
      </c>
      <c r="F7271">
        <v>14975</v>
      </c>
      <c r="G7271" s="140" t="s">
        <v>428</v>
      </c>
      <c r="H7271">
        <v>0</v>
      </c>
      <c r="I7271" s="140" t="s">
        <v>17</v>
      </c>
    </row>
    <row r="7272" spans="1:9" hidden="1" x14ac:dyDescent="0.25">
      <c r="A7272">
        <v>2019</v>
      </c>
      <c r="B7272" s="140" t="s">
        <v>122</v>
      </c>
      <c r="C7272" s="140" t="s">
        <v>21</v>
      </c>
      <c r="D7272" s="140" t="s">
        <v>11</v>
      </c>
      <c r="E7272" s="140" t="s">
        <v>12</v>
      </c>
      <c r="F7272">
        <v>14521</v>
      </c>
      <c r="G7272" s="140" t="s">
        <v>428</v>
      </c>
      <c r="H7272">
        <v>0</v>
      </c>
      <c r="I7272" s="140" t="s">
        <v>17</v>
      </c>
    </row>
    <row r="7273" spans="1:9" hidden="1" x14ac:dyDescent="0.25">
      <c r="A7273">
        <v>2020</v>
      </c>
      <c r="B7273" s="140" t="s">
        <v>122</v>
      </c>
      <c r="C7273" s="140" t="s">
        <v>21</v>
      </c>
      <c r="D7273" s="140" t="s">
        <v>11</v>
      </c>
      <c r="E7273" s="140" t="s">
        <v>12</v>
      </c>
      <c r="F7273">
        <v>14030</v>
      </c>
      <c r="G7273" s="140" t="s">
        <v>428</v>
      </c>
      <c r="H7273">
        <v>0</v>
      </c>
      <c r="I7273" s="140" t="s">
        <v>17</v>
      </c>
    </row>
    <row r="7274" spans="1:9" hidden="1" x14ac:dyDescent="0.25">
      <c r="A7274">
        <v>2021</v>
      </c>
      <c r="B7274" s="140" t="s">
        <v>122</v>
      </c>
      <c r="C7274" s="140" t="s">
        <v>21</v>
      </c>
      <c r="D7274" s="140" t="s">
        <v>11</v>
      </c>
      <c r="E7274" s="140" t="s">
        <v>12</v>
      </c>
      <c r="F7274">
        <v>14273</v>
      </c>
      <c r="G7274" s="140" t="s">
        <v>428</v>
      </c>
      <c r="H7274">
        <v>0</v>
      </c>
      <c r="I7274" s="140" t="s">
        <v>17</v>
      </c>
    </row>
    <row r="7275" spans="1:9" hidden="1" x14ac:dyDescent="0.25">
      <c r="A7275">
        <v>2022</v>
      </c>
      <c r="B7275" s="140" t="s">
        <v>122</v>
      </c>
      <c r="C7275" s="140" t="s">
        <v>21</v>
      </c>
      <c r="D7275" s="140" t="s">
        <v>11</v>
      </c>
      <c r="E7275" s="140" t="s">
        <v>12</v>
      </c>
      <c r="F7275">
        <v>14501</v>
      </c>
      <c r="G7275" s="140" t="s">
        <v>428</v>
      </c>
      <c r="H7275">
        <v>0</v>
      </c>
      <c r="I7275" s="140" t="s">
        <v>17</v>
      </c>
    </row>
    <row r="7276" spans="1:9" hidden="1" x14ac:dyDescent="0.25">
      <c r="A7276">
        <v>2023</v>
      </c>
      <c r="B7276" s="140" t="s">
        <v>122</v>
      </c>
      <c r="C7276" s="140" t="s">
        <v>21</v>
      </c>
      <c r="D7276" s="140" t="s">
        <v>11</v>
      </c>
      <c r="E7276" s="140" t="s">
        <v>12</v>
      </c>
      <c r="F7276">
        <v>11733</v>
      </c>
      <c r="G7276" s="140" t="s">
        <v>428</v>
      </c>
      <c r="H7276">
        <v>0</v>
      </c>
      <c r="I7276" s="140" t="s">
        <v>17</v>
      </c>
    </row>
    <row r="7277" spans="1:9" hidden="1" x14ac:dyDescent="0.25">
      <c r="A7277">
        <v>2024</v>
      </c>
      <c r="B7277" s="140" t="s">
        <v>122</v>
      </c>
      <c r="C7277" s="140" t="s">
        <v>21</v>
      </c>
      <c r="D7277" s="140" t="s">
        <v>11</v>
      </c>
      <c r="E7277" s="140" t="s">
        <v>12</v>
      </c>
      <c r="F7277">
        <v>8889</v>
      </c>
      <c r="G7277" s="140" t="s">
        <v>428</v>
      </c>
      <c r="H7277">
        <v>0</v>
      </c>
      <c r="I7277" s="140" t="s">
        <v>17</v>
      </c>
    </row>
    <row r="7278" spans="1:9" hidden="1" x14ac:dyDescent="0.25">
      <c r="A7278">
        <v>2025</v>
      </c>
      <c r="B7278" s="140" t="s">
        <v>122</v>
      </c>
      <c r="C7278" s="140" t="s">
        <v>21</v>
      </c>
      <c r="D7278" s="140" t="s">
        <v>11</v>
      </c>
      <c r="E7278" s="140" t="s">
        <v>12</v>
      </c>
      <c r="F7278">
        <v>8948</v>
      </c>
      <c r="G7278" s="140" t="s">
        <v>428</v>
      </c>
      <c r="H7278">
        <v>0</v>
      </c>
      <c r="I7278" s="140" t="s">
        <v>17</v>
      </c>
    </row>
    <row r="7279" spans="1:9" hidden="1" x14ac:dyDescent="0.25">
      <c r="A7279">
        <v>2026</v>
      </c>
      <c r="B7279" s="140" t="s">
        <v>122</v>
      </c>
      <c r="C7279" s="140" t="s">
        <v>21</v>
      </c>
      <c r="D7279" s="140" t="s">
        <v>11</v>
      </c>
      <c r="E7279" s="140" t="s">
        <v>12</v>
      </c>
      <c r="F7279">
        <v>8679.56</v>
      </c>
      <c r="G7279" s="140" t="s">
        <v>428</v>
      </c>
      <c r="H7279">
        <v>0</v>
      </c>
      <c r="I7279" s="140" t="s">
        <v>17</v>
      </c>
    </row>
    <row r="7280" spans="1:9" hidden="1" x14ac:dyDescent="0.25">
      <c r="A7280">
        <v>2027</v>
      </c>
      <c r="B7280" s="140" t="s">
        <v>122</v>
      </c>
      <c r="C7280" s="140" t="s">
        <v>21</v>
      </c>
      <c r="D7280" s="140" t="s">
        <v>11</v>
      </c>
      <c r="E7280" s="140" t="s">
        <v>12</v>
      </c>
      <c r="F7280">
        <v>8939.9467999999997</v>
      </c>
      <c r="G7280" s="140" t="s">
        <v>428</v>
      </c>
      <c r="H7280">
        <v>0</v>
      </c>
      <c r="I7280" s="140" t="s">
        <v>17</v>
      </c>
    </row>
    <row r="7281" spans="1:9" hidden="1" x14ac:dyDescent="0.25">
      <c r="A7281">
        <v>2028</v>
      </c>
      <c r="B7281" s="140" t="s">
        <v>122</v>
      </c>
      <c r="C7281" s="140" t="s">
        <v>21</v>
      </c>
      <c r="D7281" s="140" t="s">
        <v>11</v>
      </c>
      <c r="E7281" s="140" t="s">
        <v>12</v>
      </c>
      <c r="F7281">
        <v>9610.4428100000005</v>
      </c>
      <c r="G7281" s="140" t="s">
        <v>428</v>
      </c>
      <c r="H7281">
        <v>0</v>
      </c>
      <c r="I7281" s="140" t="s">
        <v>17</v>
      </c>
    </row>
    <row r="7282" spans="1:9" hidden="1" x14ac:dyDescent="0.25">
      <c r="A7282">
        <v>1990</v>
      </c>
      <c r="B7282" s="140" t="s">
        <v>123</v>
      </c>
      <c r="C7282" s="140" t="s">
        <v>21</v>
      </c>
      <c r="D7282" s="140" t="s">
        <v>11</v>
      </c>
      <c r="E7282" s="140" t="s">
        <v>12</v>
      </c>
      <c r="F7282">
        <v>23629</v>
      </c>
      <c r="G7282" s="140" t="s">
        <v>429</v>
      </c>
      <c r="H7282">
        <v>0</v>
      </c>
      <c r="I7282" s="140" t="s">
        <v>17</v>
      </c>
    </row>
    <row r="7283" spans="1:9" hidden="1" x14ac:dyDescent="0.25">
      <c r="A7283">
        <v>1991</v>
      </c>
      <c r="B7283" s="140" t="s">
        <v>123</v>
      </c>
      <c r="C7283" s="140" t="s">
        <v>21</v>
      </c>
      <c r="D7283" s="140" t="s">
        <v>11</v>
      </c>
      <c r="E7283" s="140" t="s">
        <v>12</v>
      </c>
      <c r="F7283">
        <v>20509</v>
      </c>
      <c r="G7283" s="140" t="s">
        <v>429</v>
      </c>
      <c r="H7283">
        <v>0</v>
      </c>
      <c r="I7283" s="140" t="s">
        <v>17</v>
      </c>
    </row>
    <row r="7284" spans="1:9" hidden="1" x14ac:dyDescent="0.25">
      <c r="A7284">
        <v>1992</v>
      </c>
      <c r="B7284" s="140" t="s">
        <v>123</v>
      </c>
      <c r="C7284" s="140" t="s">
        <v>21</v>
      </c>
      <c r="D7284" s="140" t="s">
        <v>11</v>
      </c>
      <c r="E7284" s="140" t="s">
        <v>12</v>
      </c>
      <c r="F7284">
        <v>17034</v>
      </c>
      <c r="G7284" s="140" t="s">
        <v>429</v>
      </c>
      <c r="H7284">
        <v>0</v>
      </c>
      <c r="I7284" s="140" t="s">
        <v>17</v>
      </c>
    </row>
    <row r="7285" spans="1:9" hidden="1" x14ac:dyDescent="0.25">
      <c r="A7285">
        <v>1993</v>
      </c>
      <c r="B7285" s="140" t="s">
        <v>123</v>
      </c>
      <c r="C7285" s="140" t="s">
        <v>21</v>
      </c>
      <c r="D7285" s="140" t="s">
        <v>11</v>
      </c>
      <c r="E7285" s="140" t="s">
        <v>12</v>
      </c>
      <c r="F7285">
        <v>14725</v>
      </c>
      <c r="G7285" s="140" t="s">
        <v>429</v>
      </c>
      <c r="H7285">
        <v>0</v>
      </c>
      <c r="I7285" s="140" t="s">
        <v>17</v>
      </c>
    </row>
    <row r="7286" spans="1:9" hidden="1" x14ac:dyDescent="0.25">
      <c r="A7286">
        <v>1994</v>
      </c>
      <c r="B7286" s="140" t="s">
        <v>123</v>
      </c>
      <c r="C7286" s="140" t="s">
        <v>21</v>
      </c>
      <c r="D7286" s="140" t="s">
        <v>11</v>
      </c>
      <c r="E7286" s="140" t="s">
        <v>12</v>
      </c>
      <c r="F7286">
        <v>14227</v>
      </c>
      <c r="G7286" s="140" t="s">
        <v>429</v>
      </c>
      <c r="H7286">
        <v>0</v>
      </c>
      <c r="I7286" s="140" t="s">
        <v>17</v>
      </c>
    </row>
    <row r="7287" spans="1:9" hidden="1" x14ac:dyDescent="0.25">
      <c r="A7287">
        <v>1995</v>
      </c>
      <c r="B7287" s="140" t="s">
        <v>123</v>
      </c>
      <c r="C7287" s="140" t="s">
        <v>21</v>
      </c>
      <c r="D7287" s="140" t="s">
        <v>11</v>
      </c>
      <c r="E7287" s="140" t="s">
        <v>12</v>
      </c>
      <c r="F7287">
        <v>14862</v>
      </c>
      <c r="G7287" s="140" t="s">
        <v>429</v>
      </c>
      <c r="H7287">
        <v>0</v>
      </c>
      <c r="I7287" s="140" t="s">
        <v>17</v>
      </c>
    </row>
    <row r="7288" spans="1:9" hidden="1" x14ac:dyDescent="0.25">
      <c r="A7288">
        <v>1996</v>
      </c>
      <c r="B7288" s="140" t="s">
        <v>123</v>
      </c>
      <c r="C7288" s="140" t="s">
        <v>21</v>
      </c>
      <c r="D7288" s="140" t="s">
        <v>11</v>
      </c>
      <c r="E7288" s="140" t="s">
        <v>12</v>
      </c>
      <c r="F7288">
        <v>16426</v>
      </c>
      <c r="G7288" s="140" t="s">
        <v>429</v>
      </c>
      <c r="H7288">
        <v>0</v>
      </c>
      <c r="I7288" s="140" t="s">
        <v>17</v>
      </c>
    </row>
    <row r="7289" spans="1:9" hidden="1" x14ac:dyDescent="0.25">
      <c r="A7289">
        <v>1997</v>
      </c>
      <c r="B7289" s="140" t="s">
        <v>123</v>
      </c>
      <c r="C7289" s="140" t="s">
        <v>21</v>
      </c>
      <c r="D7289" s="140" t="s">
        <v>11</v>
      </c>
      <c r="E7289" s="140" t="s">
        <v>12</v>
      </c>
      <c r="F7289">
        <v>17867</v>
      </c>
      <c r="G7289" s="140" t="s">
        <v>429</v>
      </c>
      <c r="H7289">
        <v>0</v>
      </c>
      <c r="I7289" s="140" t="s">
        <v>17</v>
      </c>
    </row>
    <row r="7290" spans="1:9" hidden="1" x14ac:dyDescent="0.25">
      <c r="A7290">
        <v>1998</v>
      </c>
      <c r="B7290" s="140" t="s">
        <v>123</v>
      </c>
      <c r="C7290" s="140" t="s">
        <v>21</v>
      </c>
      <c r="D7290" s="140" t="s">
        <v>11</v>
      </c>
      <c r="E7290" s="140" t="s">
        <v>12</v>
      </c>
      <c r="F7290">
        <v>20124</v>
      </c>
      <c r="G7290" s="140" t="s">
        <v>429</v>
      </c>
      <c r="H7290">
        <v>0</v>
      </c>
      <c r="I7290" s="140" t="s">
        <v>17</v>
      </c>
    </row>
    <row r="7291" spans="1:9" hidden="1" x14ac:dyDescent="0.25">
      <c r="A7291">
        <v>1999</v>
      </c>
      <c r="B7291" s="140" t="s">
        <v>123</v>
      </c>
      <c r="C7291" s="140" t="s">
        <v>21</v>
      </c>
      <c r="D7291" s="140" t="s">
        <v>11</v>
      </c>
      <c r="E7291" s="140" t="s">
        <v>12</v>
      </c>
      <c r="F7291">
        <v>21277</v>
      </c>
      <c r="G7291" s="140" t="s">
        <v>429</v>
      </c>
      <c r="H7291">
        <v>0</v>
      </c>
      <c r="I7291" s="140" t="s">
        <v>17</v>
      </c>
    </row>
    <row r="7292" spans="1:9" hidden="1" x14ac:dyDescent="0.25">
      <c r="A7292">
        <v>2000</v>
      </c>
      <c r="B7292" s="140" t="s">
        <v>123</v>
      </c>
      <c r="C7292" s="140" t="s">
        <v>21</v>
      </c>
      <c r="D7292" s="140" t="s">
        <v>11</v>
      </c>
      <c r="E7292" s="140" t="s">
        <v>12</v>
      </c>
      <c r="F7292">
        <v>23082</v>
      </c>
      <c r="G7292" s="140" t="s">
        <v>429</v>
      </c>
      <c r="H7292">
        <v>0</v>
      </c>
      <c r="I7292" s="140" t="s">
        <v>17</v>
      </c>
    </row>
    <row r="7293" spans="1:9" hidden="1" x14ac:dyDescent="0.25">
      <c r="A7293">
        <v>2001</v>
      </c>
      <c r="B7293" s="140" t="s">
        <v>123</v>
      </c>
      <c r="C7293" s="140" t="s">
        <v>21</v>
      </c>
      <c r="D7293" s="140" t="s">
        <v>11</v>
      </c>
      <c r="E7293" s="140" t="s">
        <v>12</v>
      </c>
      <c r="F7293">
        <v>22713</v>
      </c>
      <c r="G7293" s="140" t="s">
        <v>429</v>
      </c>
      <c r="H7293">
        <v>0</v>
      </c>
      <c r="I7293" s="140" t="s">
        <v>17</v>
      </c>
    </row>
    <row r="7294" spans="1:9" hidden="1" x14ac:dyDescent="0.25">
      <c r="A7294">
        <v>2002</v>
      </c>
      <c r="B7294" s="140" t="s">
        <v>123</v>
      </c>
      <c r="C7294" s="140" t="s">
        <v>21</v>
      </c>
      <c r="D7294" s="140" t="s">
        <v>11</v>
      </c>
      <c r="E7294" s="140" t="s">
        <v>12</v>
      </c>
      <c r="F7294">
        <v>22465</v>
      </c>
      <c r="G7294" s="140" t="s">
        <v>429</v>
      </c>
      <c r="H7294">
        <v>0</v>
      </c>
      <c r="I7294" s="140" t="s">
        <v>17</v>
      </c>
    </row>
    <row r="7295" spans="1:9" hidden="1" x14ac:dyDescent="0.25">
      <c r="A7295">
        <v>2003</v>
      </c>
      <c r="B7295" s="140" t="s">
        <v>123</v>
      </c>
      <c r="C7295" s="140" t="s">
        <v>21</v>
      </c>
      <c r="D7295" s="140" t="s">
        <v>11</v>
      </c>
      <c r="E7295" s="140" t="s">
        <v>12</v>
      </c>
      <c r="F7295">
        <v>23026</v>
      </c>
      <c r="G7295" s="140" t="s">
        <v>429</v>
      </c>
      <c r="H7295">
        <v>0</v>
      </c>
      <c r="I7295" s="140" t="s">
        <v>17</v>
      </c>
    </row>
    <row r="7296" spans="1:9" hidden="1" x14ac:dyDescent="0.25">
      <c r="A7296">
        <v>2004</v>
      </c>
      <c r="B7296" s="140" t="s">
        <v>123</v>
      </c>
      <c r="C7296" s="140" t="s">
        <v>21</v>
      </c>
      <c r="D7296" s="140" t="s">
        <v>11</v>
      </c>
      <c r="E7296" s="140" t="s">
        <v>12</v>
      </c>
      <c r="F7296">
        <v>24544</v>
      </c>
      <c r="G7296" s="140" t="s">
        <v>429</v>
      </c>
      <c r="H7296">
        <v>0</v>
      </c>
      <c r="I7296" s="140" t="s">
        <v>17</v>
      </c>
    </row>
    <row r="7297" spans="1:9" hidden="1" x14ac:dyDescent="0.25">
      <c r="A7297">
        <v>2005</v>
      </c>
      <c r="B7297" s="140" t="s">
        <v>123</v>
      </c>
      <c r="C7297" s="140" t="s">
        <v>21</v>
      </c>
      <c r="D7297" s="140" t="s">
        <v>11</v>
      </c>
      <c r="E7297" s="140" t="s">
        <v>12</v>
      </c>
      <c r="F7297">
        <v>25453</v>
      </c>
      <c r="G7297" s="140" t="s">
        <v>429</v>
      </c>
      <c r="H7297">
        <v>0</v>
      </c>
      <c r="I7297" s="140" t="s">
        <v>17</v>
      </c>
    </row>
    <row r="7298" spans="1:9" hidden="1" x14ac:dyDescent="0.25">
      <c r="A7298">
        <v>2006</v>
      </c>
      <c r="B7298" s="140" t="s">
        <v>123</v>
      </c>
      <c r="C7298" s="140" t="s">
        <v>21</v>
      </c>
      <c r="D7298" s="140" t="s">
        <v>11</v>
      </c>
      <c r="E7298" s="140" t="s">
        <v>12</v>
      </c>
      <c r="F7298">
        <v>26201</v>
      </c>
      <c r="G7298" s="140" t="s">
        <v>429</v>
      </c>
      <c r="H7298">
        <v>0</v>
      </c>
      <c r="I7298" s="140" t="s">
        <v>17</v>
      </c>
    </row>
    <row r="7299" spans="1:9" hidden="1" x14ac:dyDescent="0.25">
      <c r="A7299">
        <v>2007</v>
      </c>
      <c r="B7299" s="140" t="s">
        <v>123</v>
      </c>
      <c r="C7299" s="140" t="s">
        <v>21</v>
      </c>
      <c r="D7299" s="140" t="s">
        <v>11</v>
      </c>
      <c r="E7299" s="140" t="s">
        <v>12</v>
      </c>
      <c r="F7299">
        <v>28686</v>
      </c>
      <c r="G7299" s="140" t="s">
        <v>429</v>
      </c>
      <c r="H7299">
        <v>0</v>
      </c>
      <c r="I7299" s="140" t="s">
        <v>17</v>
      </c>
    </row>
    <row r="7300" spans="1:9" hidden="1" x14ac:dyDescent="0.25">
      <c r="A7300">
        <v>2008</v>
      </c>
      <c r="B7300" s="140" t="s">
        <v>123</v>
      </c>
      <c r="C7300" s="140" t="s">
        <v>21</v>
      </c>
      <c r="D7300" s="140" t="s">
        <v>11</v>
      </c>
      <c r="E7300" s="140" t="s">
        <v>12</v>
      </c>
      <c r="F7300">
        <v>28370</v>
      </c>
      <c r="G7300" s="140" t="s">
        <v>429</v>
      </c>
      <c r="H7300">
        <v>0</v>
      </c>
      <c r="I7300" s="140" t="s">
        <v>17</v>
      </c>
    </row>
    <row r="7301" spans="1:9" hidden="1" x14ac:dyDescent="0.25">
      <c r="A7301">
        <v>2009</v>
      </c>
      <c r="B7301" s="140" t="s">
        <v>123</v>
      </c>
      <c r="C7301" s="140" t="s">
        <v>21</v>
      </c>
      <c r="D7301" s="140" t="s">
        <v>11</v>
      </c>
      <c r="E7301" s="140" t="s">
        <v>12</v>
      </c>
      <c r="F7301">
        <v>24231</v>
      </c>
      <c r="G7301" s="140" t="s">
        <v>429</v>
      </c>
      <c r="H7301">
        <v>0</v>
      </c>
      <c r="I7301" s="140" t="s">
        <v>17</v>
      </c>
    </row>
    <row r="7302" spans="1:9" hidden="1" x14ac:dyDescent="0.25">
      <c r="A7302">
        <v>2010</v>
      </c>
      <c r="B7302" s="140" t="s">
        <v>123</v>
      </c>
      <c r="C7302" s="140" t="s">
        <v>21</v>
      </c>
      <c r="D7302" s="140" t="s">
        <v>11</v>
      </c>
      <c r="E7302" s="140" t="s">
        <v>12</v>
      </c>
      <c r="F7302">
        <v>27333</v>
      </c>
      <c r="G7302" s="140" t="s">
        <v>429</v>
      </c>
      <c r="H7302">
        <v>0</v>
      </c>
      <c r="I7302" s="140" t="s">
        <v>17</v>
      </c>
    </row>
    <row r="7303" spans="1:9" hidden="1" x14ac:dyDescent="0.25">
      <c r="A7303">
        <v>2011</v>
      </c>
      <c r="B7303" s="140" t="s">
        <v>123</v>
      </c>
      <c r="C7303" s="140" t="s">
        <v>21</v>
      </c>
      <c r="D7303" s="140" t="s">
        <v>11</v>
      </c>
      <c r="E7303" s="140" t="s">
        <v>12</v>
      </c>
      <c r="F7303">
        <v>28152</v>
      </c>
      <c r="G7303" s="140" t="s">
        <v>429</v>
      </c>
      <c r="H7303">
        <v>0</v>
      </c>
      <c r="I7303" s="140" t="s">
        <v>17</v>
      </c>
    </row>
    <row r="7304" spans="1:9" hidden="1" x14ac:dyDescent="0.25">
      <c r="A7304">
        <v>2012</v>
      </c>
      <c r="B7304" s="140" t="s">
        <v>123</v>
      </c>
      <c r="C7304" s="140" t="s">
        <v>21</v>
      </c>
      <c r="D7304" s="140" t="s">
        <v>11</v>
      </c>
      <c r="E7304" s="140" t="s">
        <v>12</v>
      </c>
      <c r="F7304">
        <v>27481</v>
      </c>
      <c r="G7304" s="140" t="s">
        <v>429</v>
      </c>
      <c r="H7304">
        <v>0</v>
      </c>
      <c r="I7304" s="140" t="s">
        <v>17</v>
      </c>
    </row>
    <row r="7305" spans="1:9" hidden="1" x14ac:dyDescent="0.25">
      <c r="A7305">
        <v>2013</v>
      </c>
      <c r="B7305" s="140" t="s">
        <v>123</v>
      </c>
      <c r="C7305" s="140" t="s">
        <v>21</v>
      </c>
      <c r="D7305" s="140" t="s">
        <v>11</v>
      </c>
      <c r="E7305" s="140" t="s">
        <v>12</v>
      </c>
      <c r="F7305">
        <v>26611</v>
      </c>
      <c r="G7305" s="140" t="s">
        <v>429</v>
      </c>
      <c r="H7305">
        <v>0</v>
      </c>
      <c r="I7305" s="140" t="s">
        <v>17</v>
      </c>
    </row>
    <row r="7306" spans="1:9" hidden="1" x14ac:dyDescent="0.25">
      <c r="A7306">
        <v>2014</v>
      </c>
      <c r="B7306" s="140" t="s">
        <v>123</v>
      </c>
      <c r="C7306" s="140" t="s">
        <v>21</v>
      </c>
      <c r="D7306" s="140" t="s">
        <v>11</v>
      </c>
      <c r="E7306" s="140" t="s">
        <v>12</v>
      </c>
      <c r="F7306">
        <v>25757</v>
      </c>
      <c r="G7306" s="140" t="s">
        <v>429</v>
      </c>
      <c r="H7306">
        <v>0</v>
      </c>
      <c r="I7306" s="140" t="s">
        <v>17</v>
      </c>
    </row>
    <row r="7307" spans="1:9" hidden="1" x14ac:dyDescent="0.25">
      <c r="A7307">
        <v>2015</v>
      </c>
      <c r="B7307" s="140" t="s">
        <v>123</v>
      </c>
      <c r="C7307" s="140" t="s">
        <v>21</v>
      </c>
      <c r="D7307" s="140" t="s">
        <v>11</v>
      </c>
      <c r="E7307" s="140" t="s">
        <v>12</v>
      </c>
      <c r="F7307">
        <v>25984</v>
      </c>
      <c r="G7307" s="140" t="s">
        <v>429</v>
      </c>
      <c r="H7307">
        <v>0</v>
      </c>
      <c r="I7307" s="140" t="s">
        <v>17</v>
      </c>
    </row>
    <row r="7308" spans="1:9" hidden="1" x14ac:dyDescent="0.25">
      <c r="A7308">
        <v>2016</v>
      </c>
      <c r="B7308" s="140" t="s">
        <v>123</v>
      </c>
      <c r="C7308" s="140" t="s">
        <v>21</v>
      </c>
      <c r="D7308" s="140" t="s">
        <v>11</v>
      </c>
      <c r="E7308" s="140" t="s">
        <v>12</v>
      </c>
      <c r="F7308">
        <v>28795</v>
      </c>
      <c r="G7308" s="140" t="s">
        <v>429</v>
      </c>
      <c r="H7308">
        <v>0</v>
      </c>
      <c r="I7308" s="140" t="s">
        <v>17</v>
      </c>
    </row>
    <row r="7309" spans="1:9" hidden="1" x14ac:dyDescent="0.25">
      <c r="A7309">
        <v>2017</v>
      </c>
      <c r="B7309" s="140" t="s">
        <v>123</v>
      </c>
      <c r="C7309" s="140" t="s">
        <v>21</v>
      </c>
      <c r="D7309" s="140" t="s">
        <v>11</v>
      </c>
      <c r="E7309" s="140" t="s">
        <v>12</v>
      </c>
      <c r="F7309">
        <v>29963</v>
      </c>
      <c r="G7309" s="140" t="s">
        <v>429</v>
      </c>
      <c r="H7309">
        <v>0</v>
      </c>
      <c r="I7309" s="140" t="s">
        <v>17</v>
      </c>
    </row>
    <row r="7310" spans="1:9" hidden="1" x14ac:dyDescent="0.25">
      <c r="A7310">
        <v>2018</v>
      </c>
      <c r="B7310" s="140" t="s">
        <v>123</v>
      </c>
      <c r="C7310" s="140" t="s">
        <v>21</v>
      </c>
      <c r="D7310" s="140" t="s">
        <v>11</v>
      </c>
      <c r="E7310" s="140" t="s">
        <v>12</v>
      </c>
      <c r="F7310">
        <v>31384</v>
      </c>
      <c r="G7310" s="140" t="s">
        <v>429</v>
      </c>
      <c r="H7310">
        <v>0</v>
      </c>
      <c r="I7310" s="140" t="s">
        <v>17</v>
      </c>
    </row>
    <row r="7311" spans="1:9" hidden="1" x14ac:dyDescent="0.25">
      <c r="A7311">
        <v>2019</v>
      </c>
      <c r="B7311" s="140" t="s">
        <v>123</v>
      </c>
      <c r="C7311" s="140" t="s">
        <v>21</v>
      </c>
      <c r="D7311" s="140" t="s">
        <v>11</v>
      </c>
      <c r="E7311" s="140" t="s">
        <v>12</v>
      </c>
      <c r="F7311">
        <v>30457</v>
      </c>
      <c r="G7311" s="140" t="s">
        <v>429</v>
      </c>
      <c r="H7311">
        <v>0</v>
      </c>
      <c r="I7311" s="140" t="s">
        <v>17</v>
      </c>
    </row>
    <row r="7312" spans="1:9" hidden="1" x14ac:dyDescent="0.25">
      <c r="A7312">
        <v>2020</v>
      </c>
      <c r="B7312" s="140" t="s">
        <v>123</v>
      </c>
      <c r="C7312" s="140" t="s">
        <v>21</v>
      </c>
      <c r="D7312" s="140" t="s">
        <v>11</v>
      </c>
      <c r="E7312" s="140" t="s">
        <v>12</v>
      </c>
      <c r="F7312">
        <v>30129</v>
      </c>
      <c r="G7312" s="140" t="s">
        <v>429</v>
      </c>
      <c r="H7312">
        <v>0</v>
      </c>
      <c r="I7312" s="140" t="s">
        <v>17</v>
      </c>
    </row>
    <row r="7313" spans="1:9" hidden="1" x14ac:dyDescent="0.25">
      <c r="A7313">
        <v>2021</v>
      </c>
      <c r="B7313" s="140" t="s">
        <v>123</v>
      </c>
      <c r="C7313" s="140" t="s">
        <v>21</v>
      </c>
      <c r="D7313" s="140" t="s">
        <v>11</v>
      </c>
      <c r="E7313" s="140" t="s">
        <v>12</v>
      </c>
      <c r="F7313">
        <v>29806</v>
      </c>
      <c r="G7313" s="140" t="s">
        <v>429</v>
      </c>
      <c r="H7313">
        <v>0</v>
      </c>
      <c r="I7313" s="140" t="s">
        <v>17</v>
      </c>
    </row>
    <row r="7314" spans="1:9" hidden="1" x14ac:dyDescent="0.25">
      <c r="A7314">
        <v>2022</v>
      </c>
      <c r="B7314" s="140" t="s">
        <v>123</v>
      </c>
      <c r="C7314" s="140" t="s">
        <v>21</v>
      </c>
      <c r="D7314" s="140" t="s">
        <v>11</v>
      </c>
      <c r="E7314" s="140" t="s">
        <v>12</v>
      </c>
      <c r="F7314">
        <v>29664</v>
      </c>
      <c r="G7314" s="140" t="s">
        <v>429</v>
      </c>
      <c r="H7314">
        <v>0</v>
      </c>
      <c r="I7314" s="140" t="s">
        <v>17</v>
      </c>
    </row>
    <row r="7315" spans="1:9" hidden="1" x14ac:dyDescent="0.25">
      <c r="A7315">
        <v>2023</v>
      </c>
      <c r="B7315" s="140" t="s">
        <v>123</v>
      </c>
      <c r="C7315" s="140" t="s">
        <v>21</v>
      </c>
      <c r="D7315" s="140" t="s">
        <v>11</v>
      </c>
      <c r="E7315" s="140" t="s">
        <v>12</v>
      </c>
      <c r="F7315">
        <v>26063</v>
      </c>
      <c r="G7315" s="140" t="s">
        <v>429</v>
      </c>
      <c r="H7315">
        <v>0</v>
      </c>
      <c r="I7315" s="140" t="s">
        <v>17</v>
      </c>
    </row>
    <row r="7316" spans="1:9" hidden="1" x14ac:dyDescent="0.25">
      <c r="A7316">
        <v>2024</v>
      </c>
      <c r="B7316" s="140" t="s">
        <v>123</v>
      </c>
      <c r="C7316" s="140" t="s">
        <v>21</v>
      </c>
      <c r="D7316" s="140" t="s">
        <v>11</v>
      </c>
      <c r="E7316" s="140" t="s">
        <v>12</v>
      </c>
      <c r="F7316">
        <v>22927</v>
      </c>
      <c r="G7316" s="140" t="s">
        <v>429</v>
      </c>
      <c r="H7316">
        <v>0</v>
      </c>
      <c r="I7316" s="140" t="s">
        <v>17</v>
      </c>
    </row>
    <row r="7317" spans="1:9" hidden="1" x14ac:dyDescent="0.25">
      <c r="A7317">
        <v>2025</v>
      </c>
      <c r="B7317" s="140" t="s">
        <v>123</v>
      </c>
      <c r="C7317" s="140" t="s">
        <v>21</v>
      </c>
      <c r="D7317" s="140" t="s">
        <v>11</v>
      </c>
      <c r="E7317" s="140" t="s">
        <v>12</v>
      </c>
      <c r="F7317">
        <v>23408</v>
      </c>
      <c r="G7317" s="140" t="s">
        <v>429</v>
      </c>
      <c r="H7317">
        <v>0</v>
      </c>
      <c r="I7317" s="140" t="s">
        <v>17</v>
      </c>
    </row>
    <row r="7318" spans="1:9" hidden="1" x14ac:dyDescent="0.25">
      <c r="A7318">
        <v>2026</v>
      </c>
      <c r="B7318" s="140" t="s">
        <v>123</v>
      </c>
      <c r="C7318" s="140" t="s">
        <v>21</v>
      </c>
      <c r="D7318" s="140" t="s">
        <v>11</v>
      </c>
      <c r="E7318" s="140" t="s">
        <v>12</v>
      </c>
      <c r="F7318">
        <v>23975.117630000001</v>
      </c>
      <c r="G7318" s="140" t="s">
        <v>429</v>
      </c>
      <c r="H7318">
        <v>0</v>
      </c>
      <c r="I7318" s="140" t="s">
        <v>17</v>
      </c>
    </row>
    <row r="7319" spans="1:9" hidden="1" x14ac:dyDescent="0.25">
      <c r="A7319">
        <v>2027</v>
      </c>
      <c r="B7319" s="140" t="s">
        <v>123</v>
      </c>
      <c r="C7319" s="140" t="s">
        <v>21</v>
      </c>
      <c r="D7319" s="140" t="s">
        <v>11</v>
      </c>
      <c r="E7319" s="140" t="s">
        <v>12</v>
      </c>
      <c r="F7319">
        <v>25116.082439999998</v>
      </c>
      <c r="G7319" s="140" t="s">
        <v>429</v>
      </c>
      <c r="H7319">
        <v>0</v>
      </c>
      <c r="I7319" s="140" t="s">
        <v>17</v>
      </c>
    </row>
    <row r="7320" spans="1:9" hidden="1" x14ac:dyDescent="0.25">
      <c r="A7320">
        <v>2028</v>
      </c>
      <c r="B7320" s="140" t="s">
        <v>123</v>
      </c>
      <c r="C7320" s="140" t="s">
        <v>21</v>
      </c>
      <c r="D7320" s="140" t="s">
        <v>11</v>
      </c>
      <c r="E7320" s="140" t="s">
        <v>12</v>
      </c>
      <c r="F7320">
        <v>26264.127079999998</v>
      </c>
      <c r="G7320" s="140" t="s">
        <v>429</v>
      </c>
      <c r="H7320">
        <v>0</v>
      </c>
      <c r="I7320" s="140" t="s">
        <v>17</v>
      </c>
    </row>
    <row r="7321" spans="1:9" hidden="1" x14ac:dyDescent="0.25">
      <c r="A7321">
        <v>1990</v>
      </c>
      <c r="B7321" s="140" t="s">
        <v>124</v>
      </c>
      <c r="C7321" s="140" t="s">
        <v>21</v>
      </c>
      <c r="D7321" s="140" t="s">
        <v>11</v>
      </c>
      <c r="E7321" s="140" t="s">
        <v>12</v>
      </c>
      <c r="F7321">
        <v>19406</v>
      </c>
      <c r="G7321" s="140" t="s">
        <v>231</v>
      </c>
      <c r="H7321">
        <v>0</v>
      </c>
      <c r="I7321" s="140" t="s">
        <v>17</v>
      </c>
    </row>
    <row r="7322" spans="1:9" hidden="1" x14ac:dyDescent="0.25">
      <c r="A7322">
        <v>1991</v>
      </c>
      <c r="B7322" s="140" t="s">
        <v>124</v>
      </c>
      <c r="C7322" s="140" t="s">
        <v>21</v>
      </c>
      <c r="D7322" s="140" t="s">
        <v>11</v>
      </c>
      <c r="E7322" s="140" t="s">
        <v>12</v>
      </c>
      <c r="F7322">
        <v>16587</v>
      </c>
      <c r="G7322" s="140" t="s">
        <v>231</v>
      </c>
      <c r="H7322">
        <v>0</v>
      </c>
      <c r="I7322" s="140" t="s">
        <v>17</v>
      </c>
    </row>
    <row r="7323" spans="1:9" hidden="1" x14ac:dyDescent="0.25">
      <c r="A7323">
        <v>1992</v>
      </c>
      <c r="B7323" s="140" t="s">
        <v>124</v>
      </c>
      <c r="C7323" s="140" t="s">
        <v>21</v>
      </c>
      <c r="D7323" s="140" t="s">
        <v>11</v>
      </c>
      <c r="E7323" s="140" t="s">
        <v>12</v>
      </c>
      <c r="F7323">
        <v>13419</v>
      </c>
      <c r="G7323" s="140" t="s">
        <v>231</v>
      </c>
      <c r="H7323">
        <v>0</v>
      </c>
      <c r="I7323" s="140" t="s">
        <v>17</v>
      </c>
    </row>
    <row r="7324" spans="1:9" hidden="1" x14ac:dyDescent="0.25">
      <c r="A7324">
        <v>1993</v>
      </c>
      <c r="B7324" s="140" t="s">
        <v>124</v>
      </c>
      <c r="C7324" s="140" t="s">
        <v>21</v>
      </c>
      <c r="D7324" s="140" t="s">
        <v>11</v>
      </c>
      <c r="E7324" s="140" t="s">
        <v>12</v>
      </c>
      <c r="F7324">
        <v>11449</v>
      </c>
      <c r="G7324" s="140" t="s">
        <v>231</v>
      </c>
      <c r="H7324">
        <v>0</v>
      </c>
      <c r="I7324" s="140" t="s">
        <v>17</v>
      </c>
    </row>
    <row r="7325" spans="1:9" hidden="1" x14ac:dyDescent="0.25">
      <c r="A7325">
        <v>1994</v>
      </c>
      <c r="B7325" s="140" t="s">
        <v>124</v>
      </c>
      <c r="C7325" s="140" t="s">
        <v>21</v>
      </c>
      <c r="D7325" s="140" t="s">
        <v>11</v>
      </c>
      <c r="E7325" s="140" t="s">
        <v>12</v>
      </c>
      <c r="F7325">
        <v>10938</v>
      </c>
      <c r="G7325" s="140" t="s">
        <v>231</v>
      </c>
      <c r="H7325">
        <v>0</v>
      </c>
      <c r="I7325" s="140" t="s">
        <v>17</v>
      </c>
    </row>
    <row r="7326" spans="1:9" hidden="1" x14ac:dyDescent="0.25">
      <c r="A7326">
        <v>1995</v>
      </c>
      <c r="B7326" s="140" t="s">
        <v>124</v>
      </c>
      <c r="C7326" s="140" t="s">
        <v>21</v>
      </c>
      <c r="D7326" s="140" t="s">
        <v>11</v>
      </c>
      <c r="E7326" s="140" t="s">
        <v>12</v>
      </c>
      <c r="F7326">
        <v>11312</v>
      </c>
      <c r="G7326" s="140" t="s">
        <v>231</v>
      </c>
      <c r="H7326">
        <v>0</v>
      </c>
      <c r="I7326" s="140" t="s">
        <v>17</v>
      </c>
    </row>
    <row r="7327" spans="1:9" hidden="1" x14ac:dyDescent="0.25">
      <c r="A7327">
        <v>1996</v>
      </c>
      <c r="B7327" s="140" t="s">
        <v>124</v>
      </c>
      <c r="C7327" s="140" t="s">
        <v>21</v>
      </c>
      <c r="D7327" s="140" t="s">
        <v>11</v>
      </c>
      <c r="E7327" s="140" t="s">
        <v>12</v>
      </c>
      <c r="F7327">
        <v>12635</v>
      </c>
      <c r="G7327" s="140" t="s">
        <v>231</v>
      </c>
      <c r="H7327">
        <v>0</v>
      </c>
      <c r="I7327" s="140" t="s">
        <v>17</v>
      </c>
    </row>
    <row r="7328" spans="1:9" hidden="1" x14ac:dyDescent="0.25">
      <c r="A7328">
        <v>1997</v>
      </c>
      <c r="B7328" s="140" t="s">
        <v>124</v>
      </c>
      <c r="C7328" s="140" t="s">
        <v>21</v>
      </c>
      <c r="D7328" s="140" t="s">
        <v>11</v>
      </c>
      <c r="E7328" s="140" t="s">
        <v>12</v>
      </c>
      <c r="F7328">
        <v>14063</v>
      </c>
      <c r="G7328" s="140" t="s">
        <v>231</v>
      </c>
      <c r="H7328">
        <v>0</v>
      </c>
      <c r="I7328" s="140" t="s">
        <v>17</v>
      </c>
    </row>
    <row r="7329" spans="1:9" hidden="1" x14ac:dyDescent="0.25">
      <c r="A7329">
        <v>1998</v>
      </c>
      <c r="B7329" s="140" t="s">
        <v>124</v>
      </c>
      <c r="C7329" s="140" t="s">
        <v>21</v>
      </c>
      <c r="D7329" s="140" t="s">
        <v>11</v>
      </c>
      <c r="E7329" s="140" t="s">
        <v>12</v>
      </c>
      <c r="F7329">
        <v>16064</v>
      </c>
      <c r="G7329" s="140" t="s">
        <v>231</v>
      </c>
      <c r="H7329">
        <v>0</v>
      </c>
      <c r="I7329" s="140" t="s">
        <v>17</v>
      </c>
    </row>
    <row r="7330" spans="1:9" hidden="1" x14ac:dyDescent="0.25">
      <c r="A7330">
        <v>1999</v>
      </c>
      <c r="B7330" s="140" t="s">
        <v>124</v>
      </c>
      <c r="C7330" s="140" t="s">
        <v>21</v>
      </c>
      <c r="D7330" s="140" t="s">
        <v>11</v>
      </c>
      <c r="E7330" s="140" t="s">
        <v>12</v>
      </c>
      <c r="F7330">
        <v>17256</v>
      </c>
      <c r="G7330" s="140" t="s">
        <v>231</v>
      </c>
      <c r="H7330">
        <v>0</v>
      </c>
      <c r="I7330" s="140" t="s">
        <v>17</v>
      </c>
    </row>
    <row r="7331" spans="1:9" hidden="1" x14ac:dyDescent="0.25">
      <c r="A7331">
        <v>2000</v>
      </c>
      <c r="B7331" s="140" t="s">
        <v>124</v>
      </c>
      <c r="C7331" s="140" t="s">
        <v>21</v>
      </c>
      <c r="D7331" s="140" t="s">
        <v>11</v>
      </c>
      <c r="E7331" s="140" t="s">
        <v>12</v>
      </c>
      <c r="F7331">
        <v>18938</v>
      </c>
      <c r="G7331" s="140" t="s">
        <v>231</v>
      </c>
      <c r="H7331">
        <v>0</v>
      </c>
      <c r="I7331" s="140" t="s">
        <v>17</v>
      </c>
    </row>
    <row r="7332" spans="1:9" hidden="1" x14ac:dyDescent="0.25">
      <c r="A7332">
        <v>2001</v>
      </c>
      <c r="B7332" s="140" t="s">
        <v>124</v>
      </c>
      <c r="C7332" s="140" t="s">
        <v>21</v>
      </c>
      <c r="D7332" s="140" t="s">
        <v>11</v>
      </c>
      <c r="E7332" s="140" t="s">
        <v>12</v>
      </c>
      <c r="F7332">
        <v>18421</v>
      </c>
      <c r="G7332" s="140" t="s">
        <v>231</v>
      </c>
      <c r="H7332">
        <v>0</v>
      </c>
      <c r="I7332" s="140" t="s">
        <v>17</v>
      </c>
    </row>
    <row r="7333" spans="1:9" hidden="1" x14ac:dyDescent="0.25">
      <c r="A7333">
        <v>2002</v>
      </c>
      <c r="B7333" s="140" t="s">
        <v>124</v>
      </c>
      <c r="C7333" s="140" t="s">
        <v>21</v>
      </c>
      <c r="D7333" s="140" t="s">
        <v>11</v>
      </c>
      <c r="E7333" s="140" t="s">
        <v>12</v>
      </c>
      <c r="F7333">
        <v>18245</v>
      </c>
      <c r="G7333" s="140" t="s">
        <v>231</v>
      </c>
      <c r="H7333">
        <v>0</v>
      </c>
      <c r="I7333" s="140" t="s">
        <v>17</v>
      </c>
    </row>
    <row r="7334" spans="1:9" hidden="1" x14ac:dyDescent="0.25">
      <c r="A7334">
        <v>2003</v>
      </c>
      <c r="B7334" s="140" t="s">
        <v>124</v>
      </c>
      <c r="C7334" s="140" t="s">
        <v>21</v>
      </c>
      <c r="D7334" s="140" t="s">
        <v>11</v>
      </c>
      <c r="E7334" s="140" t="s">
        <v>12</v>
      </c>
      <c r="F7334">
        <v>18842</v>
      </c>
      <c r="G7334" s="140" t="s">
        <v>231</v>
      </c>
      <c r="H7334">
        <v>0</v>
      </c>
      <c r="I7334" s="140" t="s">
        <v>17</v>
      </c>
    </row>
    <row r="7335" spans="1:9" hidden="1" x14ac:dyDescent="0.25">
      <c r="A7335">
        <v>2004</v>
      </c>
      <c r="B7335" s="140" t="s">
        <v>124</v>
      </c>
      <c r="C7335" s="140" t="s">
        <v>21</v>
      </c>
      <c r="D7335" s="140" t="s">
        <v>11</v>
      </c>
      <c r="E7335" s="140" t="s">
        <v>12</v>
      </c>
      <c r="F7335">
        <v>20191</v>
      </c>
      <c r="G7335" s="140" t="s">
        <v>231</v>
      </c>
      <c r="H7335">
        <v>0</v>
      </c>
      <c r="I7335" s="140" t="s">
        <v>17</v>
      </c>
    </row>
    <row r="7336" spans="1:9" hidden="1" x14ac:dyDescent="0.25">
      <c r="A7336">
        <v>2005</v>
      </c>
      <c r="B7336" s="140" t="s">
        <v>124</v>
      </c>
      <c r="C7336" s="140" t="s">
        <v>21</v>
      </c>
      <c r="D7336" s="140" t="s">
        <v>11</v>
      </c>
      <c r="E7336" s="140" t="s">
        <v>12</v>
      </c>
      <c r="F7336">
        <v>21357</v>
      </c>
      <c r="G7336" s="140" t="s">
        <v>231</v>
      </c>
      <c r="H7336">
        <v>0</v>
      </c>
      <c r="I7336" s="140" t="s">
        <v>17</v>
      </c>
    </row>
    <row r="7337" spans="1:9" hidden="1" x14ac:dyDescent="0.25">
      <c r="A7337">
        <v>2006</v>
      </c>
      <c r="B7337" s="140" t="s">
        <v>124</v>
      </c>
      <c r="C7337" s="140" t="s">
        <v>21</v>
      </c>
      <c r="D7337" s="140" t="s">
        <v>11</v>
      </c>
      <c r="E7337" s="140" t="s">
        <v>12</v>
      </c>
      <c r="F7337">
        <v>22018</v>
      </c>
      <c r="G7337" s="140" t="s">
        <v>231</v>
      </c>
      <c r="H7337">
        <v>0</v>
      </c>
      <c r="I7337" s="140" t="s">
        <v>17</v>
      </c>
    </row>
    <row r="7338" spans="1:9" hidden="1" x14ac:dyDescent="0.25">
      <c r="A7338">
        <v>2007</v>
      </c>
      <c r="B7338" s="140" t="s">
        <v>124</v>
      </c>
      <c r="C7338" s="140" t="s">
        <v>21</v>
      </c>
      <c r="D7338" s="140" t="s">
        <v>11</v>
      </c>
      <c r="E7338" s="140" t="s">
        <v>12</v>
      </c>
      <c r="F7338">
        <v>24070</v>
      </c>
      <c r="G7338" s="140" t="s">
        <v>231</v>
      </c>
      <c r="H7338">
        <v>0</v>
      </c>
      <c r="I7338" s="140" t="s">
        <v>17</v>
      </c>
    </row>
    <row r="7339" spans="1:9" hidden="1" x14ac:dyDescent="0.25">
      <c r="A7339">
        <v>2008</v>
      </c>
      <c r="B7339" s="140" t="s">
        <v>124</v>
      </c>
      <c r="C7339" s="140" t="s">
        <v>21</v>
      </c>
      <c r="D7339" s="140" t="s">
        <v>11</v>
      </c>
      <c r="E7339" s="140" t="s">
        <v>12</v>
      </c>
      <c r="F7339">
        <v>23608</v>
      </c>
      <c r="G7339" s="140" t="s">
        <v>231</v>
      </c>
      <c r="H7339">
        <v>0</v>
      </c>
      <c r="I7339" s="140" t="s">
        <v>17</v>
      </c>
    </row>
    <row r="7340" spans="1:9" hidden="1" x14ac:dyDescent="0.25">
      <c r="A7340">
        <v>2009</v>
      </c>
      <c r="B7340" s="140" t="s">
        <v>124</v>
      </c>
      <c r="C7340" s="140" t="s">
        <v>21</v>
      </c>
      <c r="D7340" s="140" t="s">
        <v>11</v>
      </c>
      <c r="E7340" s="140" t="s">
        <v>12</v>
      </c>
      <c r="F7340">
        <v>19864</v>
      </c>
      <c r="G7340" s="140" t="s">
        <v>231</v>
      </c>
      <c r="H7340">
        <v>0</v>
      </c>
      <c r="I7340" s="140" t="s">
        <v>17</v>
      </c>
    </row>
    <row r="7341" spans="1:9" hidden="1" x14ac:dyDescent="0.25">
      <c r="A7341">
        <v>2010</v>
      </c>
      <c r="B7341" s="140" t="s">
        <v>124</v>
      </c>
      <c r="C7341" s="140" t="s">
        <v>21</v>
      </c>
      <c r="D7341" s="140" t="s">
        <v>11</v>
      </c>
      <c r="E7341" s="140" t="s">
        <v>12</v>
      </c>
      <c r="F7341">
        <v>22125</v>
      </c>
      <c r="G7341" s="140" t="s">
        <v>231</v>
      </c>
      <c r="H7341">
        <v>0</v>
      </c>
      <c r="I7341" s="140" t="s">
        <v>17</v>
      </c>
    </row>
    <row r="7342" spans="1:9" hidden="1" x14ac:dyDescent="0.25">
      <c r="A7342">
        <v>2011</v>
      </c>
      <c r="B7342" s="140" t="s">
        <v>124</v>
      </c>
      <c r="C7342" s="140" t="s">
        <v>21</v>
      </c>
      <c r="D7342" s="140" t="s">
        <v>11</v>
      </c>
      <c r="E7342" s="140" t="s">
        <v>12</v>
      </c>
      <c r="F7342">
        <v>23452</v>
      </c>
      <c r="G7342" s="140" t="s">
        <v>231</v>
      </c>
      <c r="H7342">
        <v>0</v>
      </c>
      <c r="I7342" s="140" t="s">
        <v>17</v>
      </c>
    </row>
    <row r="7343" spans="1:9" hidden="1" x14ac:dyDescent="0.25">
      <c r="A7343">
        <v>2012</v>
      </c>
      <c r="B7343" s="140" t="s">
        <v>124</v>
      </c>
      <c r="C7343" s="140" t="s">
        <v>21</v>
      </c>
      <c r="D7343" s="140" t="s">
        <v>11</v>
      </c>
      <c r="E7343" s="140" t="s">
        <v>12</v>
      </c>
      <c r="F7343">
        <v>23297</v>
      </c>
      <c r="G7343" s="140" t="s">
        <v>231</v>
      </c>
      <c r="H7343">
        <v>0</v>
      </c>
      <c r="I7343" s="140" t="s">
        <v>17</v>
      </c>
    </row>
    <row r="7344" spans="1:9" hidden="1" x14ac:dyDescent="0.25">
      <c r="A7344">
        <v>2013</v>
      </c>
      <c r="B7344" s="140" t="s">
        <v>124</v>
      </c>
      <c r="C7344" s="140" t="s">
        <v>21</v>
      </c>
      <c r="D7344" s="140" t="s">
        <v>11</v>
      </c>
      <c r="E7344" s="140" t="s">
        <v>12</v>
      </c>
      <c r="F7344">
        <v>22197</v>
      </c>
      <c r="G7344" s="140" t="s">
        <v>231</v>
      </c>
      <c r="H7344">
        <v>0</v>
      </c>
      <c r="I7344" s="140" t="s">
        <v>17</v>
      </c>
    </row>
    <row r="7345" spans="1:9" hidden="1" x14ac:dyDescent="0.25">
      <c r="A7345">
        <v>2014</v>
      </c>
      <c r="B7345" s="140" t="s">
        <v>124</v>
      </c>
      <c r="C7345" s="140" t="s">
        <v>21</v>
      </c>
      <c r="D7345" s="140" t="s">
        <v>11</v>
      </c>
      <c r="E7345" s="140" t="s">
        <v>12</v>
      </c>
      <c r="F7345">
        <v>21057</v>
      </c>
      <c r="G7345" s="140" t="s">
        <v>231</v>
      </c>
      <c r="H7345">
        <v>0</v>
      </c>
      <c r="I7345" s="140" t="s">
        <v>17</v>
      </c>
    </row>
    <row r="7346" spans="1:9" hidden="1" x14ac:dyDescent="0.25">
      <c r="A7346">
        <v>2015</v>
      </c>
      <c r="B7346" s="140" t="s">
        <v>124</v>
      </c>
      <c r="C7346" s="140" t="s">
        <v>21</v>
      </c>
      <c r="D7346" s="140" t="s">
        <v>11</v>
      </c>
      <c r="E7346" s="140" t="s">
        <v>12</v>
      </c>
      <c r="F7346">
        <v>21318</v>
      </c>
      <c r="G7346" s="140" t="s">
        <v>231</v>
      </c>
      <c r="H7346">
        <v>0</v>
      </c>
      <c r="I7346" s="140" t="s">
        <v>17</v>
      </c>
    </row>
    <row r="7347" spans="1:9" hidden="1" x14ac:dyDescent="0.25">
      <c r="A7347">
        <v>2016</v>
      </c>
      <c r="B7347" s="140" t="s">
        <v>124</v>
      </c>
      <c r="C7347" s="140" t="s">
        <v>21</v>
      </c>
      <c r="D7347" s="140" t="s">
        <v>11</v>
      </c>
      <c r="E7347" s="140" t="s">
        <v>12</v>
      </c>
      <c r="F7347">
        <v>23395</v>
      </c>
      <c r="G7347" s="140" t="s">
        <v>231</v>
      </c>
      <c r="H7347">
        <v>0</v>
      </c>
      <c r="I7347" s="140" t="s">
        <v>17</v>
      </c>
    </row>
    <row r="7348" spans="1:9" hidden="1" x14ac:dyDescent="0.25">
      <c r="A7348">
        <v>2017</v>
      </c>
      <c r="B7348" s="140" t="s">
        <v>124</v>
      </c>
      <c r="C7348" s="140" t="s">
        <v>21</v>
      </c>
      <c r="D7348" s="140" t="s">
        <v>11</v>
      </c>
      <c r="E7348" s="140" t="s">
        <v>12</v>
      </c>
      <c r="F7348">
        <v>24320</v>
      </c>
      <c r="G7348" s="140" t="s">
        <v>231</v>
      </c>
      <c r="H7348">
        <v>0</v>
      </c>
      <c r="I7348" s="140" t="s">
        <v>17</v>
      </c>
    </row>
    <row r="7349" spans="1:9" hidden="1" x14ac:dyDescent="0.25">
      <c r="A7349">
        <v>2018</v>
      </c>
      <c r="B7349" s="140" t="s">
        <v>124</v>
      </c>
      <c r="C7349" s="140" t="s">
        <v>21</v>
      </c>
      <c r="D7349" s="140" t="s">
        <v>11</v>
      </c>
      <c r="E7349" s="140" t="s">
        <v>12</v>
      </c>
      <c r="F7349">
        <v>25654</v>
      </c>
      <c r="G7349" s="140" t="s">
        <v>231</v>
      </c>
      <c r="H7349">
        <v>0</v>
      </c>
      <c r="I7349" s="140" t="s">
        <v>17</v>
      </c>
    </row>
    <row r="7350" spans="1:9" hidden="1" x14ac:dyDescent="0.25">
      <c r="A7350">
        <v>2019</v>
      </c>
      <c r="B7350" s="140" t="s">
        <v>124</v>
      </c>
      <c r="C7350" s="140" t="s">
        <v>21</v>
      </c>
      <c r="D7350" s="140" t="s">
        <v>11</v>
      </c>
      <c r="E7350" s="140" t="s">
        <v>12</v>
      </c>
      <c r="F7350">
        <v>25595</v>
      </c>
      <c r="G7350" s="140" t="s">
        <v>231</v>
      </c>
      <c r="H7350">
        <v>0</v>
      </c>
      <c r="I7350" s="140" t="s">
        <v>17</v>
      </c>
    </row>
    <row r="7351" spans="1:9" hidden="1" x14ac:dyDescent="0.25">
      <c r="A7351">
        <v>2020</v>
      </c>
      <c r="B7351" s="140" t="s">
        <v>124</v>
      </c>
      <c r="C7351" s="140" t="s">
        <v>21</v>
      </c>
      <c r="D7351" s="140" t="s">
        <v>11</v>
      </c>
      <c r="E7351" s="140" t="s">
        <v>12</v>
      </c>
      <c r="F7351">
        <v>24927</v>
      </c>
      <c r="G7351" s="140" t="s">
        <v>231</v>
      </c>
      <c r="H7351">
        <v>0</v>
      </c>
      <c r="I7351" s="140" t="s">
        <v>17</v>
      </c>
    </row>
    <row r="7352" spans="1:9" hidden="1" x14ac:dyDescent="0.25">
      <c r="A7352">
        <v>2021</v>
      </c>
      <c r="B7352" s="140" t="s">
        <v>124</v>
      </c>
      <c r="C7352" s="140" t="s">
        <v>21</v>
      </c>
      <c r="D7352" s="140" t="s">
        <v>11</v>
      </c>
      <c r="E7352" s="140" t="s">
        <v>12</v>
      </c>
      <c r="F7352">
        <v>24720</v>
      </c>
      <c r="G7352" s="140" t="s">
        <v>231</v>
      </c>
      <c r="H7352">
        <v>0</v>
      </c>
      <c r="I7352" s="140" t="s">
        <v>17</v>
      </c>
    </row>
    <row r="7353" spans="1:9" hidden="1" x14ac:dyDescent="0.25">
      <c r="A7353">
        <v>2022</v>
      </c>
      <c r="B7353" s="140" t="s">
        <v>124</v>
      </c>
      <c r="C7353" s="140" t="s">
        <v>21</v>
      </c>
      <c r="D7353" s="140" t="s">
        <v>11</v>
      </c>
      <c r="E7353" s="140" t="s">
        <v>12</v>
      </c>
      <c r="F7353">
        <v>24254</v>
      </c>
      <c r="G7353" s="140" t="s">
        <v>231</v>
      </c>
      <c r="H7353">
        <v>0</v>
      </c>
      <c r="I7353" s="140" t="s">
        <v>17</v>
      </c>
    </row>
    <row r="7354" spans="1:9" hidden="1" x14ac:dyDescent="0.25">
      <c r="A7354">
        <v>2023</v>
      </c>
      <c r="B7354" s="140" t="s">
        <v>124</v>
      </c>
      <c r="C7354" s="140" t="s">
        <v>21</v>
      </c>
      <c r="D7354" s="140" t="s">
        <v>11</v>
      </c>
      <c r="E7354" s="140" t="s">
        <v>12</v>
      </c>
      <c r="F7354">
        <v>21083</v>
      </c>
      <c r="G7354" s="140" t="s">
        <v>231</v>
      </c>
      <c r="H7354">
        <v>0</v>
      </c>
      <c r="I7354" s="140" t="s">
        <v>17</v>
      </c>
    </row>
    <row r="7355" spans="1:9" hidden="1" x14ac:dyDescent="0.25">
      <c r="A7355">
        <v>2024</v>
      </c>
      <c r="B7355" s="140" t="s">
        <v>124</v>
      </c>
      <c r="C7355" s="140" t="s">
        <v>21</v>
      </c>
      <c r="D7355" s="140" t="s">
        <v>11</v>
      </c>
      <c r="E7355" s="140" t="s">
        <v>12</v>
      </c>
      <c r="F7355">
        <v>18056</v>
      </c>
      <c r="G7355" s="140" t="s">
        <v>231</v>
      </c>
      <c r="H7355">
        <v>0</v>
      </c>
      <c r="I7355" s="140" t="s">
        <v>17</v>
      </c>
    </row>
    <row r="7356" spans="1:9" hidden="1" x14ac:dyDescent="0.25">
      <c r="A7356">
        <v>2025</v>
      </c>
      <c r="B7356" s="140" t="s">
        <v>124</v>
      </c>
      <c r="C7356" s="140" t="s">
        <v>21</v>
      </c>
      <c r="D7356" s="140" t="s">
        <v>11</v>
      </c>
      <c r="E7356" s="140" t="s">
        <v>12</v>
      </c>
      <c r="F7356">
        <v>18015</v>
      </c>
      <c r="G7356" s="140" t="s">
        <v>231</v>
      </c>
      <c r="H7356">
        <v>0</v>
      </c>
      <c r="I7356" s="140" t="s">
        <v>17</v>
      </c>
    </row>
    <row r="7357" spans="1:9" hidden="1" x14ac:dyDescent="0.25">
      <c r="A7357">
        <v>2026</v>
      </c>
      <c r="B7357" s="140" t="s">
        <v>124</v>
      </c>
      <c r="C7357" s="140" t="s">
        <v>21</v>
      </c>
      <c r="D7357" s="140" t="s">
        <v>11</v>
      </c>
      <c r="E7357" s="140" t="s">
        <v>12</v>
      </c>
      <c r="F7357">
        <v>18366.999380000001</v>
      </c>
      <c r="G7357" s="140" t="s">
        <v>231</v>
      </c>
      <c r="H7357">
        <v>0</v>
      </c>
      <c r="I7357" s="140" t="s">
        <v>17</v>
      </c>
    </row>
    <row r="7358" spans="1:9" hidden="1" x14ac:dyDescent="0.25">
      <c r="A7358">
        <v>2027</v>
      </c>
      <c r="B7358" s="140" t="s">
        <v>124</v>
      </c>
      <c r="C7358" s="140" t="s">
        <v>21</v>
      </c>
      <c r="D7358" s="140" t="s">
        <v>11</v>
      </c>
      <c r="E7358" s="140" t="s">
        <v>12</v>
      </c>
      <c r="F7358">
        <v>19396.59607</v>
      </c>
      <c r="G7358" s="140" t="s">
        <v>231</v>
      </c>
      <c r="H7358">
        <v>0</v>
      </c>
      <c r="I7358" s="140" t="s">
        <v>17</v>
      </c>
    </row>
    <row r="7359" spans="1:9" hidden="1" x14ac:dyDescent="0.25">
      <c r="A7359">
        <v>2028</v>
      </c>
      <c r="B7359" s="140" t="s">
        <v>124</v>
      </c>
      <c r="C7359" s="140" t="s">
        <v>21</v>
      </c>
      <c r="D7359" s="140" t="s">
        <v>11</v>
      </c>
      <c r="E7359" s="140" t="s">
        <v>12</v>
      </c>
      <c r="F7359">
        <v>20489.52922</v>
      </c>
      <c r="G7359" s="140" t="s">
        <v>231</v>
      </c>
      <c r="H7359">
        <v>0</v>
      </c>
      <c r="I7359" s="140" t="s">
        <v>17</v>
      </c>
    </row>
    <row r="7360" spans="1:9" hidden="1" x14ac:dyDescent="0.25">
      <c r="A7360">
        <v>1990</v>
      </c>
      <c r="B7360" s="140" t="s">
        <v>430</v>
      </c>
      <c r="C7360" s="140" t="s">
        <v>436</v>
      </c>
      <c r="D7360" s="140" t="s">
        <v>11</v>
      </c>
      <c r="E7360" s="140" t="s">
        <v>12</v>
      </c>
      <c r="F7360">
        <v>13007.61665</v>
      </c>
      <c r="G7360" s="140" t="s">
        <v>431</v>
      </c>
      <c r="H7360">
        <v>0</v>
      </c>
      <c r="I7360" s="140" t="s">
        <v>17</v>
      </c>
    </row>
    <row r="7361" spans="1:9" hidden="1" x14ac:dyDescent="0.25">
      <c r="A7361">
        <v>1991</v>
      </c>
      <c r="B7361" s="140" t="s">
        <v>430</v>
      </c>
      <c r="C7361" s="140" t="s">
        <v>436</v>
      </c>
      <c r="D7361" s="140" t="s">
        <v>11</v>
      </c>
      <c r="E7361" s="140" t="s">
        <v>12</v>
      </c>
      <c r="F7361">
        <v>11513.64243</v>
      </c>
      <c r="G7361" s="140" t="s">
        <v>431</v>
      </c>
      <c r="H7361">
        <v>0</v>
      </c>
      <c r="I7361" s="140" t="s">
        <v>17</v>
      </c>
    </row>
    <row r="7362" spans="1:9" hidden="1" x14ac:dyDescent="0.25">
      <c r="A7362">
        <v>1992</v>
      </c>
      <c r="B7362" s="140" t="s">
        <v>430</v>
      </c>
      <c r="C7362" s="140" t="s">
        <v>436</v>
      </c>
      <c r="D7362" s="140" t="s">
        <v>11</v>
      </c>
      <c r="E7362" s="140" t="s">
        <v>12</v>
      </c>
      <c r="F7362">
        <v>9372.1754500000006</v>
      </c>
      <c r="G7362" s="140" t="s">
        <v>431</v>
      </c>
      <c r="H7362">
        <v>0</v>
      </c>
      <c r="I7362" s="140" t="s">
        <v>17</v>
      </c>
    </row>
    <row r="7363" spans="1:9" hidden="1" x14ac:dyDescent="0.25">
      <c r="A7363">
        <v>1993</v>
      </c>
      <c r="B7363" s="140" t="s">
        <v>430</v>
      </c>
      <c r="C7363" s="140" t="s">
        <v>436</v>
      </c>
      <c r="D7363" s="140" t="s">
        <v>11</v>
      </c>
      <c r="E7363" s="140" t="s">
        <v>12</v>
      </c>
      <c r="F7363">
        <v>7467.1559299999999</v>
      </c>
      <c r="G7363" s="140" t="s">
        <v>431</v>
      </c>
      <c r="H7363">
        <v>0</v>
      </c>
      <c r="I7363" s="140" t="s">
        <v>17</v>
      </c>
    </row>
    <row r="7364" spans="1:9" hidden="1" x14ac:dyDescent="0.25">
      <c r="A7364">
        <v>1994</v>
      </c>
      <c r="B7364" s="140" t="s">
        <v>430</v>
      </c>
      <c r="C7364" s="140" t="s">
        <v>436</v>
      </c>
      <c r="D7364" s="140" t="s">
        <v>11</v>
      </c>
      <c r="E7364" s="140" t="s">
        <v>12</v>
      </c>
      <c r="F7364">
        <v>6959.4027400000004</v>
      </c>
      <c r="G7364" s="140" t="s">
        <v>431</v>
      </c>
      <c r="H7364">
        <v>0</v>
      </c>
      <c r="I7364" s="140" t="s">
        <v>17</v>
      </c>
    </row>
    <row r="7365" spans="1:9" hidden="1" x14ac:dyDescent="0.25">
      <c r="A7365">
        <v>1995</v>
      </c>
      <c r="B7365" s="140" t="s">
        <v>430</v>
      </c>
      <c r="C7365" s="140" t="s">
        <v>436</v>
      </c>
      <c r="D7365" s="140" t="s">
        <v>11</v>
      </c>
      <c r="E7365" s="140" t="s">
        <v>12</v>
      </c>
      <c r="F7365">
        <v>7478.3980499999998</v>
      </c>
      <c r="G7365" s="140" t="s">
        <v>431</v>
      </c>
      <c r="H7365">
        <v>0</v>
      </c>
      <c r="I7365" s="140" t="s">
        <v>17</v>
      </c>
    </row>
    <row r="7366" spans="1:9" hidden="1" x14ac:dyDescent="0.25">
      <c r="A7366">
        <v>1996</v>
      </c>
      <c r="B7366" s="140" t="s">
        <v>430</v>
      </c>
      <c r="C7366" s="140" t="s">
        <v>436</v>
      </c>
      <c r="D7366" s="140" t="s">
        <v>11</v>
      </c>
      <c r="E7366" s="140" t="s">
        <v>12</v>
      </c>
      <c r="F7366">
        <v>8818.6127500000002</v>
      </c>
      <c r="G7366" s="140" t="s">
        <v>431</v>
      </c>
      <c r="H7366">
        <v>0</v>
      </c>
      <c r="I7366" s="140" t="s">
        <v>17</v>
      </c>
    </row>
    <row r="7367" spans="1:9" hidden="1" x14ac:dyDescent="0.25">
      <c r="A7367">
        <v>1997</v>
      </c>
      <c r="B7367" s="140" t="s">
        <v>430</v>
      </c>
      <c r="C7367" s="140" t="s">
        <v>436</v>
      </c>
      <c r="D7367" s="140" t="s">
        <v>11</v>
      </c>
      <c r="E7367" s="140" t="s">
        <v>12</v>
      </c>
      <c r="F7367">
        <v>9125.8704500000003</v>
      </c>
      <c r="G7367" s="140" t="s">
        <v>431</v>
      </c>
      <c r="H7367">
        <v>0</v>
      </c>
      <c r="I7367" s="140" t="s">
        <v>17</v>
      </c>
    </row>
    <row r="7368" spans="1:9" hidden="1" x14ac:dyDescent="0.25">
      <c r="A7368">
        <v>1998</v>
      </c>
      <c r="B7368" s="140" t="s">
        <v>430</v>
      </c>
      <c r="C7368" s="140" t="s">
        <v>436</v>
      </c>
      <c r="D7368" s="140" t="s">
        <v>11</v>
      </c>
      <c r="E7368" s="140" t="s">
        <v>12</v>
      </c>
      <c r="F7368">
        <v>10484.241679999999</v>
      </c>
      <c r="G7368" s="140" t="s">
        <v>431</v>
      </c>
      <c r="H7368">
        <v>0</v>
      </c>
      <c r="I7368" s="140" t="s">
        <v>17</v>
      </c>
    </row>
    <row r="7369" spans="1:9" hidden="1" x14ac:dyDescent="0.25">
      <c r="A7369">
        <v>1999</v>
      </c>
      <c r="B7369" s="140" t="s">
        <v>430</v>
      </c>
      <c r="C7369" s="140" t="s">
        <v>436</v>
      </c>
      <c r="D7369" s="140" t="s">
        <v>11</v>
      </c>
      <c r="E7369" s="140" t="s">
        <v>12</v>
      </c>
      <c r="F7369">
        <v>10772.447179999999</v>
      </c>
      <c r="G7369" s="140" t="s">
        <v>431</v>
      </c>
      <c r="H7369">
        <v>0</v>
      </c>
      <c r="I7369" s="140" t="s">
        <v>17</v>
      </c>
    </row>
    <row r="7370" spans="1:9" hidden="1" x14ac:dyDescent="0.25">
      <c r="A7370">
        <v>2000</v>
      </c>
      <c r="B7370" s="140" t="s">
        <v>430</v>
      </c>
      <c r="C7370" s="140" t="s">
        <v>436</v>
      </c>
      <c r="D7370" s="140" t="s">
        <v>11</v>
      </c>
      <c r="E7370" s="140" t="s">
        <v>12</v>
      </c>
      <c r="F7370">
        <v>11947.757299999999</v>
      </c>
      <c r="G7370" s="140" t="s">
        <v>431</v>
      </c>
      <c r="H7370">
        <v>0</v>
      </c>
      <c r="I7370" s="140" t="s">
        <v>17</v>
      </c>
    </row>
    <row r="7371" spans="1:9" hidden="1" x14ac:dyDescent="0.25">
      <c r="A7371">
        <v>2001</v>
      </c>
      <c r="B7371" s="140" t="s">
        <v>430</v>
      </c>
      <c r="C7371" s="140" t="s">
        <v>436</v>
      </c>
      <c r="D7371" s="140" t="s">
        <v>11</v>
      </c>
      <c r="E7371" s="140" t="s">
        <v>12</v>
      </c>
      <c r="F7371">
        <v>12766.15523</v>
      </c>
      <c r="G7371" s="140" t="s">
        <v>431</v>
      </c>
      <c r="H7371">
        <v>0</v>
      </c>
      <c r="I7371" s="140" t="s">
        <v>17</v>
      </c>
    </row>
    <row r="7372" spans="1:9" hidden="1" x14ac:dyDescent="0.25">
      <c r="A7372">
        <v>2002</v>
      </c>
      <c r="B7372" s="140" t="s">
        <v>430</v>
      </c>
      <c r="C7372" s="140" t="s">
        <v>436</v>
      </c>
      <c r="D7372" s="140" t="s">
        <v>11</v>
      </c>
      <c r="E7372" s="140" t="s">
        <v>12</v>
      </c>
      <c r="F7372">
        <v>12561.184740000001</v>
      </c>
      <c r="G7372" s="140" t="s">
        <v>431</v>
      </c>
      <c r="H7372">
        <v>0</v>
      </c>
      <c r="I7372" s="140" t="s">
        <v>17</v>
      </c>
    </row>
    <row r="7373" spans="1:9" hidden="1" x14ac:dyDescent="0.25">
      <c r="A7373">
        <v>2003</v>
      </c>
      <c r="B7373" s="140" t="s">
        <v>430</v>
      </c>
      <c r="C7373" s="140" t="s">
        <v>436</v>
      </c>
      <c r="D7373" s="140" t="s">
        <v>11</v>
      </c>
      <c r="E7373" s="140" t="s">
        <v>12</v>
      </c>
      <c r="F7373">
        <v>11980.586069999999</v>
      </c>
      <c r="G7373" s="140" t="s">
        <v>431</v>
      </c>
      <c r="H7373">
        <v>0</v>
      </c>
      <c r="I7373" s="140" t="s">
        <v>17</v>
      </c>
    </row>
    <row r="7374" spans="1:9" hidden="1" x14ac:dyDescent="0.25">
      <c r="A7374">
        <v>2004</v>
      </c>
      <c r="B7374" s="140" t="s">
        <v>430</v>
      </c>
      <c r="C7374" s="140" t="s">
        <v>436</v>
      </c>
      <c r="D7374" s="140" t="s">
        <v>11</v>
      </c>
      <c r="E7374" s="140" t="s">
        <v>12</v>
      </c>
      <c r="F7374">
        <v>12250.461429999999</v>
      </c>
      <c r="G7374" s="140" t="s">
        <v>431</v>
      </c>
      <c r="H7374">
        <v>0</v>
      </c>
      <c r="I7374" s="140" t="s">
        <v>17</v>
      </c>
    </row>
    <row r="7375" spans="1:9" hidden="1" x14ac:dyDescent="0.25">
      <c r="A7375">
        <v>2005</v>
      </c>
      <c r="B7375" s="140" t="s">
        <v>430</v>
      </c>
      <c r="C7375" s="140" t="s">
        <v>436</v>
      </c>
      <c r="D7375" s="140" t="s">
        <v>11</v>
      </c>
      <c r="E7375" s="140" t="s">
        <v>12</v>
      </c>
      <c r="F7375">
        <v>12538.06163</v>
      </c>
      <c r="G7375" s="140" t="s">
        <v>431</v>
      </c>
      <c r="H7375">
        <v>0</v>
      </c>
      <c r="I7375" s="140" t="s">
        <v>17</v>
      </c>
    </row>
    <row r="7376" spans="1:9" hidden="1" x14ac:dyDescent="0.25">
      <c r="A7376">
        <v>2006</v>
      </c>
      <c r="B7376" s="140" t="s">
        <v>430</v>
      </c>
      <c r="C7376" s="140" t="s">
        <v>436</v>
      </c>
      <c r="D7376" s="140" t="s">
        <v>11</v>
      </c>
      <c r="E7376" s="140" t="s">
        <v>12</v>
      </c>
      <c r="F7376">
        <v>12795.08628</v>
      </c>
      <c r="G7376" s="140" t="s">
        <v>431</v>
      </c>
      <c r="H7376">
        <v>0</v>
      </c>
      <c r="I7376" s="140" t="s">
        <v>17</v>
      </c>
    </row>
    <row r="7377" spans="1:9" hidden="1" x14ac:dyDescent="0.25">
      <c r="A7377">
        <v>2007</v>
      </c>
      <c r="B7377" s="140" t="s">
        <v>430</v>
      </c>
      <c r="C7377" s="140" t="s">
        <v>436</v>
      </c>
      <c r="D7377" s="140" t="s">
        <v>11</v>
      </c>
      <c r="E7377" s="140" t="s">
        <v>12</v>
      </c>
      <c r="F7377">
        <v>15214.520780000001</v>
      </c>
      <c r="G7377" s="140" t="s">
        <v>431</v>
      </c>
      <c r="H7377">
        <v>0</v>
      </c>
      <c r="I7377" s="140" t="s">
        <v>17</v>
      </c>
    </row>
    <row r="7378" spans="1:9" hidden="1" x14ac:dyDescent="0.25">
      <c r="A7378">
        <v>2008</v>
      </c>
      <c r="B7378" s="140" t="s">
        <v>430</v>
      </c>
      <c r="C7378" s="140" t="s">
        <v>436</v>
      </c>
      <c r="D7378" s="140" t="s">
        <v>11</v>
      </c>
      <c r="E7378" s="140" t="s">
        <v>12</v>
      </c>
      <c r="F7378">
        <v>16207.112709999999</v>
      </c>
      <c r="G7378" s="140" t="s">
        <v>431</v>
      </c>
      <c r="H7378">
        <v>0</v>
      </c>
      <c r="I7378" s="140" t="s">
        <v>17</v>
      </c>
    </row>
    <row r="7379" spans="1:9" hidden="1" x14ac:dyDescent="0.25">
      <c r="A7379">
        <v>2009</v>
      </c>
      <c r="B7379" s="140" t="s">
        <v>430</v>
      </c>
      <c r="C7379" s="140" t="s">
        <v>436</v>
      </c>
      <c r="D7379" s="140" t="s">
        <v>11</v>
      </c>
      <c r="E7379" s="140" t="s">
        <v>12</v>
      </c>
      <c r="F7379">
        <v>13584.643599999999</v>
      </c>
      <c r="G7379" s="140" t="s">
        <v>431</v>
      </c>
      <c r="H7379">
        <v>0</v>
      </c>
      <c r="I7379" s="140" t="s">
        <v>17</v>
      </c>
    </row>
    <row r="7380" spans="1:9" hidden="1" x14ac:dyDescent="0.25">
      <c r="A7380">
        <v>2010</v>
      </c>
      <c r="B7380" s="140" t="s">
        <v>430</v>
      </c>
      <c r="C7380" s="140" t="s">
        <v>436</v>
      </c>
      <c r="D7380" s="140" t="s">
        <v>11</v>
      </c>
      <c r="E7380" s="140" t="s">
        <v>12</v>
      </c>
      <c r="F7380">
        <v>13981.89911</v>
      </c>
      <c r="G7380" s="140" t="s">
        <v>431</v>
      </c>
      <c r="H7380">
        <v>0</v>
      </c>
      <c r="I7380" s="140" t="s">
        <v>17</v>
      </c>
    </row>
    <row r="7381" spans="1:9" hidden="1" x14ac:dyDescent="0.25">
      <c r="A7381">
        <v>2011</v>
      </c>
      <c r="B7381" s="140" t="s">
        <v>430</v>
      </c>
      <c r="C7381" s="140" t="s">
        <v>436</v>
      </c>
      <c r="D7381" s="140" t="s">
        <v>11</v>
      </c>
      <c r="E7381" s="140" t="s">
        <v>12</v>
      </c>
      <c r="F7381">
        <v>14026.00605</v>
      </c>
      <c r="G7381" s="140" t="s">
        <v>431</v>
      </c>
      <c r="H7381">
        <v>0</v>
      </c>
      <c r="I7381" s="140" t="s">
        <v>17</v>
      </c>
    </row>
    <row r="7382" spans="1:9" hidden="1" x14ac:dyDescent="0.25">
      <c r="A7382">
        <v>2012</v>
      </c>
      <c r="B7382" s="140" t="s">
        <v>430</v>
      </c>
      <c r="C7382" s="140" t="s">
        <v>436</v>
      </c>
      <c r="D7382" s="140" t="s">
        <v>11</v>
      </c>
      <c r="E7382" s="140" t="s">
        <v>12</v>
      </c>
      <c r="F7382">
        <v>13580.27792</v>
      </c>
      <c r="G7382" s="140" t="s">
        <v>431</v>
      </c>
      <c r="H7382">
        <v>0</v>
      </c>
      <c r="I7382" s="140" t="s">
        <v>17</v>
      </c>
    </row>
    <row r="7383" spans="1:9" hidden="1" x14ac:dyDescent="0.25">
      <c r="A7383">
        <v>2013</v>
      </c>
      <c r="B7383" s="140" t="s">
        <v>430</v>
      </c>
      <c r="C7383" s="140" t="s">
        <v>436</v>
      </c>
      <c r="D7383" s="140" t="s">
        <v>11</v>
      </c>
      <c r="E7383" s="140" t="s">
        <v>12</v>
      </c>
      <c r="F7383">
        <v>13470.73501</v>
      </c>
      <c r="G7383" s="140" t="s">
        <v>431</v>
      </c>
      <c r="H7383">
        <v>0</v>
      </c>
      <c r="I7383" s="140" t="s">
        <v>17</v>
      </c>
    </row>
    <row r="7384" spans="1:9" hidden="1" x14ac:dyDescent="0.25">
      <c r="A7384">
        <v>2014</v>
      </c>
      <c r="B7384" s="140" t="s">
        <v>430</v>
      </c>
      <c r="C7384" s="140" t="s">
        <v>436</v>
      </c>
      <c r="D7384" s="140" t="s">
        <v>11</v>
      </c>
      <c r="E7384" s="140" t="s">
        <v>12</v>
      </c>
      <c r="F7384">
        <v>13319.10944</v>
      </c>
      <c r="G7384" s="140" t="s">
        <v>431</v>
      </c>
      <c r="H7384">
        <v>0</v>
      </c>
      <c r="I7384" s="140" t="s">
        <v>17</v>
      </c>
    </row>
    <row r="7385" spans="1:9" hidden="1" x14ac:dyDescent="0.25">
      <c r="A7385">
        <v>2015</v>
      </c>
      <c r="B7385" s="140" t="s">
        <v>430</v>
      </c>
      <c r="C7385" s="140" t="s">
        <v>436</v>
      </c>
      <c r="D7385" s="140" t="s">
        <v>11</v>
      </c>
      <c r="E7385" s="140" t="s">
        <v>12</v>
      </c>
      <c r="F7385">
        <v>13334</v>
      </c>
      <c r="G7385" s="140" t="s">
        <v>431</v>
      </c>
      <c r="H7385">
        <v>0</v>
      </c>
      <c r="I7385" s="140" t="s">
        <v>17</v>
      </c>
    </row>
    <row r="7386" spans="1:9" hidden="1" x14ac:dyDescent="0.25">
      <c r="A7386">
        <v>2016</v>
      </c>
      <c r="B7386" s="140" t="s">
        <v>430</v>
      </c>
      <c r="C7386" s="140" t="s">
        <v>436</v>
      </c>
      <c r="D7386" s="140" t="s">
        <v>11</v>
      </c>
      <c r="E7386" s="140" t="s">
        <v>12</v>
      </c>
      <c r="F7386">
        <v>14799</v>
      </c>
      <c r="G7386" s="140" t="s">
        <v>431</v>
      </c>
      <c r="H7386">
        <v>0</v>
      </c>
      <c r="I7386" s="140" t="s">
        <v>17</v>
      </c>
    </row>
    <row r="7387" spans="1:9" hidden="1" x14ac:dyDescent="0.25">
      <c r="A7387">
        <v>2017</v>
      </c>
      <c r="B7387" s="140" t="s">
        <v>430</v>
      </c>
      <c r="C7387" s="140" t="s">
        <v>436</v>
      </c>
      <c r="D7387" s="140" t="s">
        <v>11</v>
      </c>
      <c r="E7387" s="140" t="s">
        <v>12</v>
      </c>
      <c r="F7387">
        <v>15753.71017</v>
      </c>
      <c r="G7387" s="140" t="s">
        <v>431</v>
      </c>
      <c r="H7387">
        <v>0</v>
      </c>
      <c r="I7387" s="140" t="s">
        <v>17</v>
      </c>
    </row>
    <row r="7388" spans="1:9" hidden="1" x14ac:dyDescent="0.25">
      <c r="A7388">
        <v>2018</v>
      </c>
      <c r="B7388" s="140" t="s">
        <v>430</v>
      </c>
      <c r="C7388" s="140" t="s">
        <v>436</v>
      </c>
      <c r="D7388" s="140" t="s">
        <v>11</v>
      </c>
      <c r="E7388" s="140" t="s">
        <v>12</v>
      </c>
      <c r="F7388">
        <v>16413.819619999998</v>
      </c>
      <c r="G7388" s="140" t="s">
        <v>431</v>
      </c>
      <c r="H7388">
        <v>0</v>
      </c>
      <c r="I7388" s="140" t="s">
        <v>17</v>
      </c>
    </row>
    <row r="7389" spans="1:9" hidden="1" x14ac:dyDescent="0.25">
      <c r="A7389">
        <v>2019</v>
      </c>
      <c r="B7389" s="140" t="s">
        <v>430</v>
      </c>
      <c r="C7389" s="140" t="s">
        <v>436</v>
      </c>
      <c r="D7389" s="140" t="s">
        <v>11</v>
      </c>
      <c r="E7389" s="140" t="s">
        <v>12</v>
      </c>
      <c r="F7389">
        <v>15940.78278</v>
      </c>
      <c r="G7389" s="140" t="s">
        <v>431</v>
      </c>
      <c r="H7389">
        <v>0</v>
      </c>
      <c r="I7389" s="140" t="s">
        <v>17</v>
      </c>
    </row>
    <row r="7390" spans="1:9" hidden="1" x14ac:dyDescent="0.25">
      <c r="A7390">
        <v>2020</v>
      </c>
      <c r="B7390" s="140" t="s">
        <v>430</v>
      </c>
      <c r="C7390" s="140" t="s">
        <v>436</v>
      </c>
      <c r="D7390" s="140" t="s">
        <v>11</v>
      </c>
      <c r="E7390" s="140" t="s">
        <v>12</v>
      </c>
      <c r="F7390">
        <v>16114.480369999999</v>
      </c>
      <c r="G7390" s="140" t="s">
        <v>431</v>
      </c>
      <c r="H7390">
        <v>0</v>
      </c>
      <c r="I7390" s="140" t="s">
        <v>17</v>
      </c>
    </row>
    <row r="7391" spans="1:9" hidden="1" x14ac:dyDescent="0.25">
      <c r="A7391">
        <v>2021</v>
      </c>
      <c r="B7391" s="140" t="s">
        <v>430</v>
      </c>
      <c r="C7391" s="140" t="s">
        <v>436</v>
      </c>
      <c r="D7391" s="140" t="s">
        <v>11</v>
      </c>
      <c r="E7391" s="140" t="s">
        <v>12</v>
      </c>
      <c r="F7391">
        <v>15531.098529999999</v>
      </c>
      <c r="G7391" s="140" t="s">
        <v>431</v>
      </c>
      <c r="H7391">
        <v>0</v>
      </c>
      <c r="I7391" s="140" t="s">
        <v>17</v>
      </c>
    </row>
    <row r="7392" spans="1:9" hidden="1" x14ac:dyDescent="0.25">
      <c r="A7392">
        <v>2022</v>
      </c>
      <c r="B7392" s="140" t="s">
        <v>430</v>
      </c>
      <c r="C7392" s="140" t="s">
        <v>436</v>
      </c>
      <c r="D7392" s="140" t="s">
        <v>11</v>
      </c>
      <c r="E7392" s="140" t="s">
        <v>12</v>
      </c>
      <c r="F7392">
        <v>15151.72602</v>
      </c>
      <c r="G7392" s="140" t="s">
        <v>431</v>
      </c>
      <c r="H7392">
        <v>0</v>
      </c>
      <c r="I7392" s="140" t="s">
        <v>17</v>
      </c>
    </row>
    <row r="7393" spans="1:9" hidden="1" x14ac:dyDescent="0.25">
      <c r="A7393">
        <v>2023</v>
      </c>
      <c r="B7393" s="140" t="s">
        <v>430</v>
      </c>
      <c r="C7393" s="140" t="s">
        <v>436</v>
      </c>
      <c r="D7393" s="140" t="s">
        <v>11</v>
      </c>
      <c r="E7393" s="140" t="s">
        <v>12</v>
      </c>
      <c r="F7393">
        <v>14355.02153</v>
      </c>
      <c r="G7393" s="140" t="s">
        <v>431</v>
      </c>
      <c r="H7393">
        <v>0</v>
      </c>
      <c r="I7393" s="140" t="s">
        <v>17</v>
      </c>
    </row>
    <row r="7394" spans="1:9" hidden="1" x14ac:dyDescent="0.25">
      <c r="A7394">
        <v>2024</v>
      </c>
      <c r="B7394" s="140" t="s">
        <v>430</v>
      </c>
      <c r="C7394" s="140" t="s">
        <v>436</v>
      </c>
      <c r="D7394" s="140" t="s">
        <v>11</v>
      </c>
      <c r="E7394" s="140" t="s">
        <v>12</v>
      </c>
      <c r="F7394">
        <v>14131.021930000001</v>
      </c>
      <c r="G7394" s="140" t="s">
        <v>431</v>
      </c>
      <c r="H7394">
        <v>0</v>
      </c>
      <c r="I7394" s="140" t="s">
        <v>17</v>
      </c>
    </row>
    <row r="7395" spans="1:9" hidden="1" x14ac:dyDescent="0.25">
      <c r="A7395">
        <v>2025</v>
      </c>
      <c r="B7395" s="140" t="s">
        <v>430</v>
      </c>
      <c r="C7395" s="140" t="s">
        <v>436</v>
      </c>
      <c r="D7395" s="140" t="s">
        <v>11</v>
      </c>
      <c r="E7395" s="140" t="s">
        <v>12</v>
      </c>
      <c r="F7395">
        <v>14560.09533</v>
      </c>
      <c r="G7395" s="140" t="s">
        <v>431</v>
      </c>
      <c r="H7395">
        <v>0</v>
      </c>
      <c r="I7395" s="140" t="s">
        <v>17</v>
      </c>
    </row>
    <row r="7396" spans="1:9" hidden="1" x14ac:dyDescent="0.25">
      <c r="A7396">
        <v>2026</v>
      </c>
      <c r="B7396" s="140" t="s">
        <v>430</v>
      </c>
      <c r="C7396" s="140" t="s">
        <v>436</v>
      </c>
      <c r="D7396" s="140" t="s">
        <v>11</v>
      </c>
      <c r="E7396" s="140" t="s">
        <v>12</v>
      </c>
      <c r="F7396">
        <v>9687.4393789999995</v>
      </c>
      <c r="G7396" s="140" t="s">
        <v>431</v>
      </c>
      <c r="H7396">
        <v>0</v>
      </c>
      <c r="I7396" s="140" t="s">
        <v>17</v>
      </c>
    </row>
    <row r="7397" spans="1:9" hidden="1" x14ac:dyDescent="0.25">
      <c r="A7397">
        <v>2027</v>
      </c>
      <c r="B7397" s="140" t="s">
        <v>430</v>
      </c>
      <c r="C7397" s="140" t="s">
        <v>436</v>
      </c>
      <c r="D7397" s="140" t="s">
        <v>11</v>
      </c>
      <c r="E7397" s="140" t="s">
        <v>12</v>
      </c>
      <c r="F7397">
        <v>10456.64927</v>
      </c>
      <c r="G7397" s="140" t="s">
        <v>431</v>
      </c>
      <c r="H7397">
        <v>0</v>
      </c>
      <c r="I7397" s="140" t="s">
        <v>17</v>
      </c>
    </row>
    <row r="7398" spans="1:9" hidden="1" x14ac:dyDescent="0.25">
      <c r="A7398">
        <v>2028</v>
      </c>
      <c r="B7398" s="140" t="s">
        <v>430</v>
      </c>
      <c r="C7398" s="140" t="s">
        <v>436</v>
      </c>
      <c r="D7398" s="140" t="s">
        <v>11</v>
      </c>
      <c r="E7398" s="140" t="s">
        <v>12</v>
      </c>
      <c r="F7398">
        <v>10879.08641</v>
      </c>
      <c r="G7398" s="140" t="s">
        <v>431</v>
      </c>
      <c r="H7398">
        <v>0</v>
      </c>
      <c r="I7398" s="140" t="s">
        <v>17</v>
      </c>
    </row>
    <row r="7399" spans="1:9" hidden="1" x14ac:dyDescent="0.25">
      <c r="A7399">
        <v>1990</v>
      </c>
      <c r="B7399" s="140" t="s">
        <v>125</v>
      </c>
      <c r="C7399" s="140" t="s">
        <v>21</v>
      </c>
      <c r="D7399" s="140" t="s">
        <v>11</v>
      </c>
      <c r="E7399" s="140" t="s">
        <v>12</v>
      </c>
      <c r="F7399">
        <v>8711</v>
      </c>
      <c r="G7399" s="140" t="s">
        <v>432</v>
      </c>
      <c r="H7399">
        <v>0</v>
      </c>
      <c r="I7399" s="140" t="s">
        <v>17</v>
      </c>
    </row>
    <row r="7400" spans="1:9" hidden="1" x14ac:dyDescent="0.25">
      <c r="A7400">
        <v>1991</v>
      </c>
      <c r="B7400" s="140" t="s">
        <v>125</v>
      </c>
      <c r="C7400" s="140" t="s">
        <v>21</v>
      </c>
      <c r="D7400" s="140" t="s">
        <v>11</v>
      </c>
      <c r="E7400" s="140" t="s">
        <v>12</v>
      </c>
      <c r="F7400">
        <v>7527</v>
      </c>
      <c r="G7400" s="140" t="s">
        <v>432</v>
      </c>
      <c r="H7400">
        <v>0</v>
      </c>
      <c r="I7400" s="140" t="s">
        <v>17</v>
      </c>
    </row>
    <row r="7401" spans="1:9" hidden="1" x14ac:dyDescent="0.25">
      <c r="A7401">
        <v>1992</v>
      </c>
      <c r="B7401" s="140" t="s">
        <v>125</v>
      </c>
      <c r="C7401" s="140" t="s">
        <v>21</v>
      </c>
      <c r="D7401" s="140" t="s">
        <v>11</v>
      </c>
      <c r="E7401" s="140" t="s">
        <v>12</v>
      </c>
      <c r="F7401">
        <v>5738</v>
      </c>
      <c r="G7401" s="140" t="s">
        <v>432</v>
      </c>
      <c r="H7401">
        <v>0</v>
      </c>
      <c r="I7401" s="140" t="s">
        <v>17</v>
      </c>
    </row>
    <row r="7402" spans="1:9" hidden="1" x14ac:dyDescent="0.25">
      <c r="A7402">
        <v>1993</v>
      </c>
      <c r="B7402" s="140" t="s">
        <v>125</v>
      </c>
      <c r="C7402" s="140" t="s">
        <v>21</v>
      </c>
      <c r="D7402" s="140" t="s">
        <v>11</v>
      </c>
      <c r="E7402" s="140" t="s">
        <v>12</v>
      </c>
      <c r="F7402">
        <v>4213</v>
      </c>
      <c r="G7402" s="140" t="s">
        <v>432</v>
      </c>
      <c r="H7402">
        <v>0</v>
      </c>
      <c r="I7402" s="140" t="s">
        <v>17</v>
      </c>
    </row>
    <row r="7403" spans="1:9" hidden="1" x14ac:dyDescent="0.25">
      <c r="A7403">
        <v>1994</v>
      </c>
      <c r="B7403" s="140" t="s">
        <v>125</v>
      </c>
      <c r="C7403" s="140" t="s">
        <v>21</v>
      </c>
      <c r="D7403" s="140" t="s">
        <v>11</v>
      </c>
      <c r="E7403" s="140" t="s">
        <v>12</v>
      </c>
      <c r="F7403">
        <v>3710</v>
      </c>
      <c r="G7403" s="140" t="s">
        <v>432</v>
      </c>
      <c r="H7403">
        <v>0</v>
      </c>
      <c r="I7403" s="140" t="s">
        <v>17</v>
      </c>
    </row>
    <row r="7404" spans="1:9" hidden="1" x14ac:dyDescent="0.25">
      <c r="A7404">
        <v>1995</v>
      </c>
      <c r="B7404" s="140" t="s">
        <v>125</v>
      </c>
      <c r="C7404" s="140" t="s">
        <v>21</v>
      </c>
      <c r="D7404" s="140" t="s">
        <v>11</v>
      </c>
      <c r="E7404" s="140" t="s">
        <v>12</v>
      </c>
      <c r="F7404">
        <v>3968</v>
      </c>
      <c r="G7404" s="140" t="s">
        <v>432</v>
      </c>
      <c r="H7404">
        <v>0</v>
      </c>
      <c r="I7404" s="140" t="s">
        <v>17</v>
      </c>
    </row>
    <row r="7405" spans="1:9" hidden="1" x14ac:dyDescent="0.25">
      <c r="A7405">
        <v>1996</v>
      </c>
      <c r="B7405" s="140" t="s">
        <v>125</v>
      </c>
      <c r="C7405" s="140" t="s">
        <v>21</v>
      </c>
      <c r="D7405" s="140" t="s">
        <v>11</v>
      </c>
      <c r="E7405" s="140" t="s">
        <v>12</v>
      </c>
      <c r="F7405">
        <v>5038</v>
      </c>
      <c r="G7405" s="140" t="s">
        <v>432</v>
      </c>
      <c r="H7405">
        <v>0</v>
      </c>
      <c r="I7405" s="140" t="s">
        <v>17</v>
      </c>
    </row>
    <row r="7406" spans="1:9" hidden="1" x14ac:dyDescent="0.25">
      <c r="A7406">
        <v>1997</v>
      </c>
      <c r="B7406" s="140" t="s">
        <v>125</v>
      </c>
      <c r="C7406" s="140" t="s">
        <v>21</v>
      </c>
      <c r="D7406" s="140" t="s">
        <v>11</v>
      </c>
      <c r="E7406" s="140" t="s">
        <v>12</v>
      </c>
      <c r="F7406">
        <v>5336</v>
      </c>
      <c r="G7406" s="140" t="s">
        <v>432</v>
      </c>
      <c r="H7406">
        <v>0</v>
      </c>
      <c r="I7406" s="140" t="s">
        <v>17</v>
      </c>
    </row>
    <row r="7407" spans="1:9" hidden="1" x14ac:dyDescent="0.25">
      <c r="A7407">
        <v>1998</v>
      </c>
      <c r="B7407" s="140" t="s">
        <v>125</v>
      </c>
      <c r="C7407" s="140" t="s">
        <v>21</v>
      </c>
      <c r="D7407" s="140" t="s">
        <v>11</v>
      </c>
      <c r="E7407" s="140" t="s">
        <v>12</v>
      </c>
      <c r="F7407">
        <v>6425</v>
      </c>
      <c r="G7407" s="140" t="s">
        <v>432</v>
      </c>
      <c r="H7407">
        <v>0</v>
      </c>
      <c r="I7407" s="140" t="s">
        <v>17</v>
      </c>
    </row>
    <row r="7408" spans="1:9" hidden="1" x14ac:dyDescent="0.25">
      <c r="A7408">
        <v>1999</v>
      </c>
      <c r="B7408" s="140" t="s">
        <v>125</v>
      </c>
      <c r="C7408" s="140" t="s">
        <v>21</v>
      </c>
      <c r="D7408" s="140" t="s">
        <v>11</v>
      </c>
      <c r="E7408" s="140" t="s">
        <v>12</v>
      </c>
      <c r="F7408">
        <v>6763</v>
      </c>
      <c r="G7408" s="140" t="s">
        <v>432</v>
      </c>
      <c r="H7408">
        <v>0</v>
      </c>
      <c r="I7408" s="140" t="s">
        <v>17</v>
      </c>
    </row>
    <row r="7409" spans="1:9" hidden="1" x14ac:dyDescent="0.25">
      <c r="A7409">
        <v>2000</v>
      </c>
      <c r="B7409" s="140" t="s">
        <v>125</v>
      </c>
      <c r="C7409" s="140" t="s">
        <v>21</v>
      </c>
      <c r="D7409" s="140" t="s">
        <v>11</v>
      </c>
      <c r="E7409" s="140" t="s">
        <v>12</v>
      </c>
      <c r="F7409">
        <v>7798</v>
      </c>
      <c r="G7409" s="140" t="s">
        <v>432</v>
      </c>
      <c r="H7409">
        <v>0</v>
      </c>
      <c r="I7409" s="140" t="s">
        <v>17</v>
      </c>
    </row>
    <row r="7410" spans="1:9" hidden="1" x14ac:dyDescent="0.25">
      <c r="A7410">
        <v>2001</v>
      </c>
      <c r="B7410" s="140" t="s">
        <v>125</v>
      </c>
      <c r="C7410" s="140" t="s">
        <v>21</v>
      </c>
      <c r="D7410" s="140" t="s">
        <v>11</v>
      </c>
      <c r="E7410" s="140" t="s">
        <v>12</v>
      </c>
      <c r="F7410">
        <v>8420</v>
      </c>
      <c r="G7410" s="140" t="s">
        <v>432</v>
      </c>
      <c r="H7410">
        <v>0</v>
      </c>
      <c r="I7410" s="140" t="s">
        <v>17</v>
      </c>
    </row>
    <row r="7411" spans="1:9" hidden="1" x14ac:dyDescent="0.25">
      <c r="A7411">
        <v>2002</v>
      </c>
      <c r="B7411" s="140" t="s">
        <v>125</v>
      </c>
      <c r="C7411" s="140" t="s">
        <v>21</v>
      </c>
      <c r="D7411" s="140" t="s">
        <v>11</v>
      </c>
      <c r="E7411" s="140" t="s">
        <v>12</v>
      </c>
      <c r="F7411">
        <v>8291</v>
      </c>
      <c r="G7411" s="140" t="s">
        <v>432</v>
      </c>
      <c r="H7411">
        <v>0</v>
      </c>
      <c r="I7411" s="140" t="s">
        <v>17</v>
      </c>
    </row>
    <row r="7412" spans="1:9" hidden="1" x14ac:dyDescent="0.25">
      <c r="A7412">
        <v>2003</v>
      </c>
      <c r="B7412" s="140" t="s">
        <v>125</v>
      </c>
      <c r="C7412" s="140" t="s">
        <v>21</v>
      </c>
      <c r="D7412" s="140" t="s">
        <v>11</v>
      </c>
      <c r="E7412" s="140" t="s">
        <v>12</v>
      </c>
      <c r="F7412">
        <v>7788</v>
      </c>
      <c r="G7412" s="140" t="s">
        <v>432</v>
      </c>
      <c r="H7412">
        <v>0</v>
      </c>
      <c r="I7412" s="140" t="s">
        <v>17</v>
      </c>
    </row>
    <row r="7413" spans="1:9" hidden="1" x14ac:dyDescent="0.25">
      <c r="A7413">
        <v>2004</v>
      </c>
      <c r="B7413" s="140" t="s">
        <v>125</v>
      </c>
      <c r="C7413" s="140" t="s">
        <v>21</v>
      </c>
      <c r="D7413" s="140" t="s">
        <v>11</v>
      </c>
      <c r="E7413" s="140" t="s">
        <v>12</v>
      </c>
      <c r="F7413">
        <v>7906</v>
      </c>
      <c r="G7413" s="140" t="s">
        <v>432</v>
      </c>
      <c r="H7413">
        <v>0</v>
      </c>
      <c r="I7413" s="140" t="s">
        <v>17</v>
      </c>
    </row>
    <row r="7414" spans="1:9" hidden="1" x14ac:dyDescent="0.25">
      <c r="A7414">
        <v>2005</v>
      </c>
      <c r="B7414" s="140" t="s">
        <v>125</v>
      </c>
      <c r="C7414" s="140" t="s">
        <v>21</v>
      </c>
      <c r="D7414" s="140" t="s">
        <v>11</v>
      </c>
      <c r="E7414" s="140" t="s">
        <v>12</v>
      </c>
      <c r="F7414">
        <v>8452</v>
      </c>
      <c r="G7414" s="140" t="s">
        <v>432</v>
      </c>
      <c r="H7414">
        <v>0</v>
      </c>
      <c r="I7414" s="140" t="s">
        <v>17</v>
      </c>
    </row>
    <row r="7415" spans="1:9" hidden="1" x14ac:dyDescent="0.25">
      <c r="A7415">
        <v>2006</v>
      </c>
      <c r="B7415" s="140" t="s">
        <v>125</v>
      </c>
      <c r="C7415" s="140" t="s">
        <v>21</v>
      </c>
      <c r="D7415" s="140" t="s">
        <v>11</v>
      </c>
      <c r="E7415" s="140" t="s">
        <v>12</v>
      </c>
      <c r="F7415">
        <v>8627</v>
      </c>
      <c r="G7415" s="140" t="s">
        <v>432</v>
      </c>
      <c r="H7415">
        <v>0</v>
      </c>
      <c r="I7415" s="140" t="s">
        <v>17</v>
      </c>
    </row>
    <row r="7416" spans="1:9" hidden="1" x14ac:dyDescent="0.25">
      <c r="A7416">
        <v>2007</v>
      </c>
      <c r="B7416" s="140" t="s">
        <v>125</v>
      </c>
      <c r="C7416" s="140" t="s">
        <v>21</v>
      </c>
      <c r="D7416" s="140" t="s">
        <v>11</v>
      </c>
      <c r="E7416" s="140" t="s">
        <v>12</v>
      </c>
      <c r="F7416">
        <v>10577</v>
      </c>
      <c r="G7416" s="140" t="s">
        <v>432</v>
      </c>
      <c r="H7416">
        <v>0</v>
      </c>
      <c r="I7416" s="140" t="s">
        <v>17</v>
      </c>
    </row>
    <row r="7417" spans="1:9" hidden="1" x14ac:dyDescent="0.25">
      <c r="A7417">
        <v>2008</v>
      </c>
      <c r="B7417" s="140" t="s">
        <v>125</v>
      </c>
      <c r="C7417" s="140" t="s">
        <v>21</v>
      </c>
      <c r="D7417" s="140" t="s">
        <v>11</v>
      </c>
      <c r="E7417" s="140" t="s">
        <v>12</v>
      </c>
      <c r="F7417">
        <v>11389</v>
      </c>
      <c r="G7417" s="140" t="s">
        <v>432</v>
      </c>
      <c r="H7417">
        <v>0</v>
      </c>
      <c r="I7417" s="140" t="s">
        <v>17</v>
      </c>
    </row>
    <row r="7418" spans="1:9" hidden="1" x14ac:dyDescent="0.25">
      <c r="A7418">
        <v>2009</v>
      </c>
      <c r="B7418" s="140" t="s">
        <v>125</v>
      </c>
      <c r="C7418" s="140" t="s">
        <v>21</v>
      </c>
      <c r="D7418" s="140" t="s">
        <v>11</v>
      </c>
      <c r="E7418" s="140" t="s">
        <v>12</v>
      </c>
      <c r="F7418">
        <v>9181</v>
      </c>
      <c r="G7418" s="140" t="s">
        <v>432</v>
      </c>
      <c r="H7418">
        <v>0</v>
      </c>
      <c r="I7418" s="140" t="s">
        <v>17</v>
      </c>
    </row>
    <row r="7419" spans="1:9" hidden="1" x14ac:dyDescent="0.25">
      <c r="A7419">
        <v>2010</v>
      </c>
      <c r="B7419" s="140" t="s">
        <v>125</v>
      </c>
      <c r="C7419" s="140" t="s">
        <v>21</v>
      </c>
      <c r="D7419" s="140" t="s">
        <v>11</v>
      </c>
      <c r="E7419" s="140" t="s">
        <v>12</v>
      </c>
      <c r="F7419">
        <v>8773</v>
      </c>
      <c r="G7419" s="140" t="s">
        <v>432</v>
      </c>
      <c r="H7419">
        <v>0</v>
      </c>
      <c r="I7419" s="140" t="s">
        <v>17</v>
      </c>
    </row>
    <row r="7420" spans="1:9" hidden="1" x14ac:dyDescent="0.25">
      <c r="A7420">
        <v>2011</v>
      </c>
      <c r="B7420" s="140" t="s">
        <v>125</v>
      </c>
      <c r="C7420" s="140" t="s">
        <v>21</v>
      </c>
      <c r="D7420" s="140" t="s">
        <v>11</v>
      </c>
      <c r="E7420" s="140" t="s">
        <v>12</v>
      </c>
      <c r="F7420">
        <v>9319</v>
      </c>
      <c r="G7420" s="140" t="s">
        <v>432</v>
      </c>
      <c r="H7420">
        <v>0</v>
      </c>
      <c r="I7420" s="140" t="s">
        <v>17</v>
      </c>
    </row>
    <row r="7421" spans="1:9" hidden="1" x14ac:dyDescent="0.25">
      <c r="A7421">
        <v>2012</v>
      </c>
      <c r="B7421" s="140" t="s">
        <v>125</v>
      </c>
      <c r="C7421" s="140" t="s">
        <v>21</v>
      </c>
      <c r="D7421" s="140" t="s">
        <v>11</v>
      </c>
      <c r="E7421" s="140" t="s">
        <v>12</v>
      </c>
      <c r="F7421">
        <v>9388</v>
      </c>
      <c r="G7421" s="140" t="s">
        <v>432</v>
      </c>
      <c r="H7421">
        <v>0</v>
      </c>
      <c r="I7421" s="140" t="s">
        <v>17</v>
      </c>
    </row>
    <row r="7422" spans="1:9" hidden="1" x14ac:dyDescent="0.25">
      <c r="A7422">
        <v>2013</v>
      </c>
      <c r="B7422" s="140" t="s">
        <v>125</v>
      </c>
      <c r="C7422" s="140" t="s">
        <v>21</v>
      </c>
      <c r="D7422" s="140" t="s">
        <v>11</v>
      </c>
      <c r="E7422" s="140" t="s">
        <v>12</v>
      </c>
      <c r="F7422">
        <v>9053</v>
      </c>
      <c r="G7422" s="140" t="s">
        <v>432</v>
      </c>
      <c r="H7422">
        <v>0</v>
      </c>
      <c r="I7422" s="140" t="s">
        <v>17</v>
      </c>
    </row>
    <row r="7423" spans="1:9" hidden="1" x14ac:dyDescent="0.25">
      <c r="A7423">
        <v>2014</v>
      </c>
      <c r="B7423" s="140" t="s">
        <v>125</v>
      </c>
      <c r="C7423" s="140" t="s">
        <v>21</v>
      </c>
      <c r="D7423" s="140" t="s">
        <v>11</v>
      </c>
      <c r="E7423" s="140" t="s">
        <v>12</v>
      </c>
      <c r="F7423">
        <v>8620</v>
      </c>
      <c r="G7423" s="140" t="s">
        <v>432</v>
      </c>
      <c r="H7423">
        <v>0</v>
      </c>
      <c r="I7423" s="140" t="s">
        <v>17</v>
      </c>
    </row>
    <row r="7424" spans="1:9" hidden="1" x14ac:dyDescent="0.25">
      <c r="A7424">
        <v>2015</v>
      </c>
      <c r="B7424" s="140" t="s">
        <v>125</v>
      </c>
      <c r="C7424" s="140" t="s">
        <v>21</v>
      </c>
      <c r="D7424" s="140" t="s">
        <v>11</v>
      </c>
      <c r="E7424" s="140" t="s">
        <v>12</v>
      </c>
      <c r="F7424">
        <v>8668</v>
      </c>
      <c r="G7424" s="140" t="s">
        <v>432</v>
      </c>
      <c r="H7424">
        <v>0</v>
      </c>
      <c r="I7424" s="140" t="s">
        <v>17</v>
      </c>
    </row>
    <row r="7425" spans="1:9" hidden="1" x14ac:dyDescent="0.25">
      <c r="A7425">
        <v>2016</v>
      </c>
      <c r="B7425" s="140" t="s">
        <v>125</v>
      </c>
      <c r="C7425" s="140" t="s">
        <v>21</v>
      </c>
      <c r="D7425" s="140" t="s">
        <v>11</v>
      </c>
      <c r="E7425" s="140" t="s">
        <v>12</v>
      </c>
      <c r="F7425">
        <v>9399</v>
      </c>
      <c r="G7425" s="140" t="s">
        <v>432</v>
      </c>
      <c r="H7425">
        <v>0</v>
      </c>
      <c r="I7425" s="140" t="s">
        <v>17</v>
      </c>
    </row>
    <row r="7426" spans="1:9" hidden="1" x14ac:dyDescent="0.25">
      <c r="A7426">
        <v>2017</v>
      </c>
      <c r="B7426" s="140" t="s">
        <v>125</v>
      </c>
      <c r="C7426" s="140" t="s">
        <v>21</v>
      </c>
      <c r="D7426" s="140" t="s">
        <v>11</v>
      </c>
      <c r="E7426" s="140" t="s">
        <v>12</v>
      </c>
      <c r="F7426">
        <v>10105</v>
      </c>
      <c r="G7426" s="140" t="s">
        <v>432</v>
      </c>
      <c r="H7426">
        <v>0</v>
      </c>
      <c r="I7426" s="140" t="s">
        <v>17</v>
      </c>
    </row>
    <row r="7427" spans="1:9" hidden="1" x14ac:dyDescent="0.25">
      <c r="A7427">
        <v>2018</v>
      </c>
      <c r="B7427" s="140" t="s">
        <v>125</v>
      </c>
      <c r="C7427" s="140" t="s">
        <v>21</v>
      </c>
      <c r="D7427" s="140" t="s">
        <v>11</v>
      </c>
      <c r="E7427" s="140" t="s">
        <v>12</v>
      </c>
      <c r="F7427">
        <v>10679</v>
      </c>
      <c r="G7427" s="140" t="s">
        <v>432</v>
      </c>
      <c r="H7427">
        <v>0</v>
      </c>
      <c r="I7427" s="140" t="s">
        <v>17</v>
      </c>
    </row>
    <row r="7428" spans="1:9" hidden="1" x14ac:dyDescent="0.25">
      <c r="A7428">
        <v>2019</v>
      </c>
      <c r="B7428" s="140" t="s">
        <v>125</v>
      </c>
      <c r="C7428" s="140" t="s">
        <v>21</v>
      </c>
      <c r="D7428" s="140" t="s">
        <v>11</v>
      </c>
      <c r="E7428" s="140" t="s">
        <v>12</v>
      </c>
      <c r="F7428">
        <v>11079</v>
      </c>
      <c r="G7428" s="140" t="s">
        <v>432</v>
      </c>
      <c r="H7428">
        <v>0</v>
      </c>
      <c r="I7428" s="140" t="s">
        <v>17</v>
      </c>
    </row>
    <row r="7429" spans="1:9" hidden="1" x14ac:dyDescent="0.25">
      <c r="A7429">
        <v>2020</v>
      </c>
      <c r="B7429" s="140" t="s">
        <v>125</v>
      </c>
      <c r="C7429" s="140" t="s">
        <v>21</v>
      </c>
      <c r="D7429" s="140" t="s">
        <v>11</v>
      </c>
      <c r="E7429" s="140" t="s">
        <v>12</v>
      </c>
      <c r="F7429">
        <v>10902</v>
      </c>
      <c r="G7429" s="140" t="s">
        <v>432</v>
      </c>
      <c r="H7429">
        <v>0</v>
      </c>
      <c r="I7429" s="140" t="s">
        <v>17</v>
      </c>
    </row>
    <row r="7430" spans="1:9" hidden="1" x14ac:dyDescent="0.25">
      <c r="A7430">
        <v>2021</v>
      </c>
      <c r="B7430" s="140" t="s">
        <v>125</v>
      </c>
      <c r="C7430" s="140" t="s">
        <v>21</v>
      </c>
      <c r="D7430" s="140" t="s">
        <v>11</v>
      </c>
      <c r="E7430" s="140" t="s">
        <v>12</v>
      </c>
      <c r="F7430">
        <v>10452</v>
      </c>
      <c r="G7430" s="140" t="s">
        <v>432</v>
      </c>
      <c r="H7430">
        <v>0</v>
      </c>
      <c r="I7430" s="140" t="s">
        <v>17</v>
      </c>
    </row>
    <row r="7431" spans="1:9" hidden="1" x14ac:dyDescent="0.25">
      <c r="A7431">
        <v>2022</v>
      </c>
      <c r="B7431" s="140" t="s">
        <v>125</v>
      </c>
      <c r="C7431" s="140" t="s">
        <v>21</v>
      </c>
      <c r="D7431" s="140" t="s">
        <v>11</v>
      </c>
      <c r="E7431" s="140" t="s">
        <v>12</v>
      </c>
      <c r="F7431">
        <v>9758</v>
      </c>
      <c r="G7431" s="140" t="s">
        <v>432</v>
      </c>
      <c r="H7431">
        <v>0</v>
      </c>
      <c r="I7431" s="140" t="s">
        <v>17</v>
      </c>
    </row>
    <row r="7432" spans="1:9" hidden="1" x14ac:dyDescent="0.25">
      <c r="A7432">
        <v>2023</v>
      </c>
      <c r="B7432" s="140" t="s">
        <v>125</v>
      </c>
      <c r="C7432" s="140" t="s">
        <v>21</v>
      </c>
      <c r="D7432" s="140" t="s">
        <v>11</v>
      </c>
      <c r="E7432" s="140" t="s">
        <v>12</v>
      </c>
      <c r="F7432">
        <v>9363</v>
      </c>
      <c r="G7432" s="140" t="s">
        <v>432</v>
      </c>
      <c r="H7432">
        <v>0</v>
      </c>
      <c r="I7432" s="140" t="s">
        <v>17</v>
      </c>
    </row>
    <row r="7433" spans="1:9" hidden="1" x14ac:dyDescent="0.25">
      <c r="A7433">
        <v>2024</v>
      </c>
      <c r="B7433" s="140" t="s">
        <v>125</v>
      </c>
      <c r="C7433" s="140" t="s">
        <v>21</v>
      </c>
      <c r="D7433" s="140" t="s">
        <v>11</v>
      </c>
      <c r="E7433" s="140" t="s">
        <v>12</v>
      </c>
      <c r="F7433">
        <v>9210</v>
      </c>
      <c r="G7433" s="140" t="s">
        <v>432</v>
      </c>
      <c r="H7433">
        <v>0</v>
      </c>
      <c r="I7433" s="140" t="s">
        <v>17</v>
      </c>
    </row>
    <row r="7434" spans="1:9" hidden="1" x14ac:dyDescent="0.25">
      <c r="A7434">
        <v>2025</v>
      </c>
      <c r="B7434" s="140" t="s">
        <v>125</v>
      </c>
      <c r="C7434" s="140" t="s">
        <v>21</v>
      </c>
      <c r="D7434" s="140" t="s">
        <v>11</v>
      </c>
      <c r="E7434" s="140" t="s">
        <v>12</v>
      </c>
      <c r="F7434">
        <v>9108</v>
      </c>
      <c r="G7434" s="140" t="s">
        <v>432</v>
      </c>
      <c r="H7434">
        <v>0</v>
      </c>
      <c r="I7434" s="140" t="s">
        <v>17</v>
      </c>
    </row>
    <row r="7435" spans="1:9" hidden="1" x14ac:dyDescent="0.25">
      <c r="A7435">
        <v>2026</v>
      </c>
      <c r="B7435" s="140" t="s">
        <v>125</v>
      </c>
      <c r="C7435" s="140" t="s">
        <v>21</v>
      </c>
      <c r="D7435" s="140" t="s">
        <v>11</v>
      </c>
      <c r="E7435" s="140" t="s">
        <v>12</v>
      </c>
      <c r="F7435">
        <v>9745.56</v>
      </c>
      <c r="G7435" s="140" t="s">
        <v>432</v>
      </c>
      <c r="H7435">
        <v>0</v>
      </c>
      <c r="I7435" s="140" t="s">
        <v>17</v>
      </c>
    </row>
    <row r="7436" spans="1:9" hidden="1" x14ac:dyDescent="0.25">
      <c r="A7436">
        <v>2027</v>
      </c>
      <c r="B7436" s="140" t="s">
        <v>125</v>
      </c>
      <c r="C7436" s="140" t="s">
        <v>21</v>
      </c>
      <c r="D7436" s="140" t="s">
        <v>11</v>
      </c>
      <c r="E7436" s="140" t="s">
        <v>12</v>
      </c>
      <c r="F7436">
        <v>10525.2048</v>
      </c>
      <c r="G7436" s="140" t="s">
        <v>432</v>
      </c>
      <c r="H7436">
        <v>0</v>
      </c>
      <c r="I7436" s="140" t="s">
        <v>17</v>
      </c>
    </row>
    <row r="7437" spans="1:9" hidden="1" x14ac:dyDescent="0.25">
      <c r="A7437">
        <v>2028</v>
      </c>
      <c r="B7437" s="140" t="s">
        <v>125</v>
      </c>
      <c r="C7437" s="140" t="s">
        <v>21</v>
      </c>
      <c r="D7437" s="140" t="s">
        <v>11</v>
      </c>
      <c r="E7437" s="140" t="s">
        <v>12</v>
      </c>
      <c r="F7437">
        <v>10946.21299</v>
      </c>
      <c r="G7437" s="140" t="s">
        <v>432</v>
      </c>
      <c r="H7437">
        <v>0</v>
      </c>
      <c r="I7437" s="140" t="s">
        <v>17</v>
      </c>
    </row>
    <row r="7438" spans="1:9" hidden="1" x14ac:dyDescent="0.25">
      <c r="A7438">
        <v>1990</v>
      </c>
      <c r="B7438" s="140" t="s">
        <v>127</v>
      </c>
      <c r="C7438" s="140" t="s">
        <v>21</v>
      </c>
      <c r="D7438" s="140" t="s">
        <v>11</v>
      </c>
      <c r="E7438" s="140" t="s">
        <v>12</v>
      </c>
      <c r="F7438">
        <v>9954</v>
      </c>
      <c r="G7438" s="140" t="s">
        <v>437</v>
      </c>
      <c r="H7438">
        <v>0</v>
      </c>
      <c r="I7438" s="140" t="s">
        <v>17</v>
      </c>
    </row>
    <row r="7439" spans="1:9" hidden="1" x14ac:dyDescent="0.25">
      <c r="A7439">
        <v>1991</v>
      </c>
      <c r="B7439" s="140" t="s">
        <v>127</v>
      </c>
      <c r="C7439" s="140" t="s">
        <v>21</v>
      </c>
      <c r="D7439" s="140" t="s">
        <v>11</v>
      </c>
      <c r="E7439" s="140" t="s">
        <v>12</v>
      </c>
      <c r="F7439">
        <v>7182</v>
      </c>
      <c r="G7439" s="140" t="s">
        <v>437</v>
      </c>
      <c r="H7439">
        <v>0</v>
      </c>
      <c r="I7439" s="140" t="s">
        <v>17</v>
      </c>
    </row>
    <row r="7440" spans="1:9" hidden="1" x14ac:dyDescent="0.25">
      <c r="A7440">
        <v>1992</v>
      </c>
      <c r="B7440" s="140" t="s">
        <v>127</v>
      </c>
      <c r="C7440" s="140" t="s">
        <v>21</v>
      </c>
      <c r="D7440" s="140" t="s">
        <v>11</v>
      </c>
      <c r="E7440" s="140" t="s">
        <v>12</v>
      </c>
      <c r="F7440">
        <v>6190</v>
      </c>
      <c r="G7440" s="140" t="s">
        <v>437</v>
      </c>
      <c r="H7440">
        <v>0</v>
      </c>
      <c r="I7440" s="140" t="s">
        <v>17</v>
      </c>
    </row>
    <row r="7441" spans="1:9" hidden="1" x14ac:dyDescent="0.25">
      <c r="A7441">
        <v>1993</v>
      </c>
      <c r="B7441" s="140" t="s">
        <v>127</v>
      </c>
      <c r="C7441" s="140" t="s">
        <v>21</v>
      </c>
      <c r="D7441" s="140" t="s">
        <v>11</v>
      </c>
      <c r="E7441" s="140" t="s">
        <v>12</v>
      </c>
      <c r="F7441">
        <v>5215</v>
      </c>
      <c r="G7441" s="140" t="s">
        <v>437</v>
      </c>
      <c r="H7441">
        <v>0</v>
      </c>
      <c r="I7441" s="140" t="s">
        <v>17</v>
      </c>
    </row>
    <row r="7442" spans="1:9" hidden="1" x14ac:dyDescent="0.25">
      <c r="A7442">
        <v>1994</v>
      </c>
      <c r="B7442" s="140" t="s">
        <v>127</v>
      </c>
      <c r="C7442" s="140" t="s">
        <v>21</v>
      </c>
      <c r="D7442" s="140" t="s">
        <v>11</v>
      </c>
      <c r="E7442" s="140" t="s">
        <v>12</v>
      </c>
      <c r="F7442">
        <v>5436</v>
      </c>
      <c r="G7442" s="140" t="s">
        <v>437</v>
      </c>
      <c r="H7442">
        <v>0</v>
      </c>
      <c r="I7442" s="140" t="s">
        <v>17</v>
      </c>
    </row>
    <row r="7443" spans="1:9" hidden="1" x14ac:dyDescent="0.25">
      <c r="A7443">
        <v>1995</v>
      </c>
      <c r="B7443" s="140" t="s">
        <v>127</v>
      </c>
      <c r="C7443" s="140" t="s">
        <v>21</v>
      </c>
      <c r="D7443" s="140" t="s">
        <v>11</v>
      </c>
      <c r="E7443" s="140" t="s">
        <v>12</v>
      </c>
      <c r="F7443">
        <v>6850</v>
      </c>
      <c r="G7443" s="140" t="s">
        <v>437</v>
      </c>
      <c r="H7443">
        <v>0</v>
      </c>
      <c r="I7443" s="140" t="s">
        <v>17</v>
      </c>
    </row>
    <row r="7444" spans="1:9" hidden="1" x14ac:dyDescent="0.25">
      <c r="A7444">
        <v>1996</v>
      </c>
      <c r="B7444" s="140" t="s">
        <v>127</v>
      </c>
      <c r="C7444" s="140" t="s">
        <v>21</v>
      </c>
      <c r="D7444" s="140" t="s">
        <v>11</v>
      </c>
      <c r="E7444" s="140" t="s">
        <v>12</v>
      </c>
      <c r="F7444">
        <v>7552</v>
      </c>
      <c r="G7444" s="140" t="s">
        <v>437</v>
      </c>
      <c r="H7444">
        <v>0</v>
      </c>
      <c r="I7444" s="140" t="s">
        <v>17</v>
      </c>
    </row>
    <row r="7445" spans="1:9" hidden="1" x14ac:dyDescent="0.25">
      <c r="A7445">
        <v>1997</v>
      </c>
      <c r="B7445" s="140" t="s">
        <v>127</v>
      </c>
      <c r="C7445" s="140" t="s">
        <v>21</v>
      </c>
      <c r="D7445" s="140" t="s">
        <v>11</v>
      </c>
      <c r="E7445" s="140" t="s">
        <v>12</v>
      </c>
      <c r="F7445">
        <v>8518</v>
      </c>
      <c r="G7445" s="140" t="s">
        <v>437</v>
      </c>
      <c r="H7445">
        <v>0</v>
      </c>
      <c r="I7445" s="140" t="s">
        <v>17</v>
      </c>
    </row>
    <row r="7446" spans="1:9" hidden="1" x14ac:dyDescent="0.25">
      <c r="A7446">
        <v>1998</v>
      </c>
      <c r="B7446" s="140" t="s">
        <v>127</v>
      </c>
      <c r="C7446" s="140" t="s">
        <v>21</v>
      </c>
      <c r="D7446" s="140" t="s">
        <v>11</v>
      </c>
      <c r="E7446" s="140" t="s">
        <v>12</v>
      </c>
      <c r="F7446">
        <v>9230</v>
      </c>
      <c r="G7446" s="140" t="s">
        <v>437</v>
      </c>
      <c r="H7446">
        <v>0</v>
      </c>
      <c r="I7446" s="140" t="s">
        <v>17</v>
      </c>
    </row>
    <row r="7447" spans="1:9" hidden="1" x14ac:dyDescent="0.25">
      <c r="A7447">
        <v>1999</v>
      </c>
      <c r="B7447" s="140" t="s">
        <v>127</v>
      </c>
      <c r="C7447" s="140" t="s">
        <v>21</v>
      </c>
      <c r="D7447" s="140" t="s">
        <v>11</v>
      </c>
      <c r="E7447" s="140" t="s">
        <v>12</v>
      </c>
      <c r="F7447">
        <v>8895</v>
      </c>
      <c r="G7447" s="140" t="s">
        <v>437</v>
      </c>
      <c r="H7447">
        <v>0</v>
      </c>
      <c r="I7447" s="140" t="s">
        <v>17</v>
      </c>
    </row>
    <row r="7448" spans="1:9" hidden="1" x14ac:dyDescent="0.25">
      <c r="A7448">
        <v>2000</v>
      </c>
      <c r="B7448" s="140" t="s">
        <v>127</v>
      </c>
      <c r="C7448" s="140" t="s">
        <v>21</v>
      </c>
      <c r="D7448" s="140" t="s">
        <v>11</v>
      </c>
      <c r="E7448" s="140" t="s">
        <v>12</v>
      </c>
      <c r="F7448">
        <v>9000</v>
      </c>
      <c r="G7448" s="140" t="s">
        <v>437</v>
      </c>
      <c r="H7448">
        <v>0</v>
      </c>
      <c r="I7448" s="140" t="s">
        <v>17</v>
      </c>
    </row>
    <row r="7449" spans="1:9" hidden="1" x14ac:dyDescent="0.25">
      <c r="A7449">
        <v>2001</v>
      </c>
      <c r="B7449" s="140" t="s">
        <v>127</v>
      </c>
      <c r="C7449" s="140" t="s">
        <v>21</v>
      </c>
      <c r="D7449" s="140" t="s">
        <v>11</v>
      </c>
      <c r="E7449" s="140" t="s">
        <v>12</v>
      </c>
      <c r="F7449">
        <v>9559</v>
      </c>
      <c r="G7449" s="140" t="s">
        <v>437</v>
      </c>
      <c r="H7449">
        <v>0</v>
      </c>
      <c r="I7449" s="140" t="s">
        <v>17</v>
      </c>
    </row>
    <row r="7450" spans="1:9" hidden="1" x14ac:dyDescent="0.25">
      <c r="A7450">
        <v>2002</v>
      </c>
      <c r="B7450" s="140" t="s">
        <v>127</v>
      </c>
      <c r="C7450" s="140" t="s">
        <v>21</v>
      </c>
      <c r="D7450" s="140" t="s">
        <v>11</v>
      </c>
      <c r="E7450" s="140" t="s">
        <v>12</v>
      </c>
      <c r="F7450">
        <v>8864</v>
      </c>
      <c r="G7450" s="140" t="s">
        <v>437</v>
      </c>
      <c r="H7450">
        <v>0</v>
      </c>
      <c r="I7450" s="140" t="s">
        <v>17</v>
      </c>
    </row>
    <row r="7451" spans="1:9" hidden="1" x14ac:dyDescent="0.25">
      <c r="A7451">
        <v>2003</v>
      </c>
      <c r="B7451" s="140" t="s">
        <v>127</v>
      </c>
      <c r="C7451" s="140" t="s">
        <v>21</v>
      </c>
      <c r="D7451" s="140" t="s">
        <v>11</v>
      </c>
      <c r="E7451" s="140" t="s">
        <v>12</v>
      </c>
      <c r="F7451">
        <v>8908</v>
      </c>
      <c r="G7451" s="140" t="s">
        <v>437</v>
      </c>
      <c r="H7451">
        <v>0</v>
      </c>
      <c r="I7451" s="140" t="s">
        <v>17</v>
      </c>
    </row>
    <row r="7452" spans="1:9" hidden="1" x14ac:dyDescent="0.25">
      <c r="A7452">
        <v>2004</v>
      </c>
      <c r="B7452" s="140" t="s">
        <v>127</v>
      </c>
      <c r="C7452" s="140" t="s">
        <v>21</v>
      </c>
      <c r="D7452" s="140" t="s">
        <v>11</v>
      </c>
      <c r="E7452" s="140" t="s">
        <v>12</v>
      </c>
      <c r="F7452">
        <v>9297</v>
      </c>
      <c r="G7452" s="140" t="s">
        <v>437</v>
      </c>
      <c r="H7452">
        <v>0</v>
      </c>
      <c r="I7452" s="140" t="s">
        <v>17</v>
      </c>
    </row>
    <row r="7453" spans="1:9" hidden="1" x14ac:dyDescent="0.25">
      <c r="A7453">
        <v>2005</v>
      </c>
      <c r="B7453" s="140" t="s">
        <v>127</v>
      </c>
      <c r="C7453" s="140" t="s">
        <v>21</v>
      </c>
      <c r="D7453" s="140" t="s">
        <v>11</v>
      </c>
      <c r="E7453" s="140" t="s">
        <v>12</v>
      </c>
      <c r="F7453">
        <v>9494</v>
      </c>
      <c r="G7453" s="140" t="s">
        <v>437</v>
      </c>
      <c r="H7453">
        <v>0</v>
      </c>
      <c r="I7453" s="140" t="s">
        <v>17</v>
      </c>
    </row>
    <row r="7454" spans="1:9" hidden="1" x14ac:dyDescent="0.25">
      <c r="A7454">
        <v>2006</v>
      </c>
      <c r="B7454" s="140" t="s">
        <v>127</v>
      </c>
      <c r="C7454" s="140" t="s">
        <v>21</v>
      </c>
      <c r="D7454" s="140" t="s">
        <v>11</v>
      </c>
      <c r="E7454" s="140" t="s">
        <v>12</v>
      </c>
      <c r="F7454">
        <v>9283</v>
      </c>
      <c r="G7454" s="140" t="s">
        <v>437</v>
      </c>
      <c r="H7454">
        <v>0</v>
      </c>
      <c r="I7454" s="140" t="s">
        <v>17</v>
      </c>
    </row>
    <row r="7455" spans="1:9" hidden="1" x14ac:dyDescent="0.25">
      <c r="A7455">
        <v>2007</v>
      </c>
      <c r="B7455" s="140" t="s">
        <v>127</v>
      </c>
      <c r="C7455" s="140" t="s">
        <v>21</v>
      </c>
      <c r="D7455" s="140" t="s">
        <v>11</v>
      </c>
      <c r="E7455" s="140" t="s">
        <v>12</v>
      </c>
      <c r="F7455">
        <v>10812</v>
      </c>
      <c r="G7455" s="140" t="s">
        <v>437</v>
      </c>
      <c r="H7455">
        <v>0</v>
      </c>
      <c r="I7455" s="140" t="s">
        <v>17</v>
      </c>
    </row>
    <row r="7456" spans="1:9" hidden="1" x14ac:dyDescent="0.25">
      <c r="A7456">
        <v>2008</v>
      </c>
      <c r="B7456" s="140" t="s">
        <v>127</v>
      </c>
      <c r="C7456" s="140" t="s">
        <v>21</v>
      </c>
      <c r="D7456" s="140" t="s">
        <v>11</v>
      </c>
      <c r="E7456" s="140" t="s">
        <v>12</v>
      </c>
      <c r="F7456">
        <v>11139</v>
      </c>
      <c r="G7456" s="140" t="s">
        <v>437</v>
      </c>
      <c r="H7456">
        <v>0</v>
      </c>
      <c r="I7456" s="140" t="s">
        <v>17</v>
      </c>
    </row>
    <row r="7457" spans="1:9" hidden="1" x14ac:dyDescent="0.25">
      <c r="A7457">
        <v>2009</v>
      </c>
      <c r="B7457" s="140" t="s">
        <v>127</v>
      </c>
      <c r="C7457" s="140" t="s">
        <v>21</v>
      </c>
      <c r="D7457" s="140" t="s">
        <v>11</v>
      </c>
      <c r="E7457" s="140" t="s">
        <v>12</v>
      </c>
      <c r="F7457">
        <v>9812</v>
      </c>
      <c r="G7457" s="140" t="s">
        <v>437</v>
      </c>
      <c r="H7457">
        <v>0</v>
      </c>
      <c r="I7457" s="140" t="s">
        <v>17</v>
      </c>
    </row>
    <row r="7458" spans="1:9" hidden="1" x14ac:dyDescent="0.25">
      <c r="A7458">
        <v>2010</v>
      </c>
      <c r="B7458" s="140" t="s">
        <v>127</v>
      </c>
      <c r="C7458" s="140" t="s">
        <v>21</v>
      </c>
      <c r="D7458" s="140" t="s">
        <v>11</v>
      </c>
      <c r="E7458" s="140" t="s">
        <v>12</v>
      </c>
      <c r="F7458">
        <v>8656</v>
      </c>
      <c r="G7458" s="140" t="s">
        <v>437</v>
      </c>
      <c r="H7458">
        <v>0</v>
      </c>
      <c r="I7458" s="140" t="s">
        <v>17</v>
      </c>
    </row>
    <row r="7459" spans="1:9" hidden="1" x14ac:dyDescent="0.25">
      <c r="A7459">
        <v>2011</v>
      </c>
      <c r="B7459" s="140" t="s">
        <v>127</v>
      </c>
      <c r="C7459" s="140" t="s">
        <v>21</v>
      </c>
      <c r="D7459" s="140" t="s">
        <v>11</v>
      </c>
      <c r="E7459" s="140" t="s">
        <v>12</v>
      </c>
      <c r="F7459">
        <v>9547</v>
      </c>
      <c r="G7459" s="140" t="s">
        <v>437</v>
      </c>
      <c r="H7459">
        <v>0</v>
      </c>
      <c r="I7459" s="140" t="s">
        <v>17</v>
      </c>
    </row>
    <row r="7460" spans="1:9" hidden="1" x14ac:dyDescent="0.25">
      <c r="A7460">
        <v>2012</v>
      </c>
      <c r="B7460" s="140" t="s">
        <v>127</v>
      </c>
      <c r="C7460" s="140" t="s">
        <v>21</v>
      </c>
      <c r="D7460" s="140" t="s">
        <v>11</v>
      </c>
      <c r="E7460" s="140" t="s">
        <v>12</v>
      </c>
      <c r="F7460">
        <v>10485</v>
      </c>
      <c r="G7460" s="140" t="s">
        <v>437</v>
      </c>
      <c r="H7460">
        <v>0</v>
      </c>
      <c r="I7460" s="140" t="s">
        <v>17</v>
      </c>
    </row>
    <row r="7461" spans="1:9" hidden="1" x14ac:dyDescent="0.25">
      <c r="A7461">
        <v>2013</v>
      </c>
      <c r="B7461" s="140" t="s">
        <v>127</v>
      </c>
      <c r="C7461" s="140" t="s">
        <v>21</v>
      </c>
      <c r="D7461" s="140" t="s">
        <v>11</v>
      </c>
      <c r="E7461" s="140" t="s">
        <v>12</v>
      </c>
      <c r="F7461">
        <v>9635</v>
      </c>
      <c r="G7461" s="140" t="s">
        <v>437</v>
      </c>
      <c r="H7461">
        <v>0</v>
      </c>
      <c r="I7461" s="140" t="s">
        <v>17</v>
      </c>
    </row>
    <row r="7462" spans="1:9" hidden="1" x14ac:dyDescent="0.25">
      <c r="A7462">
        <v>2014</v>
      </c>
      <c r="B7462" s="140" t="s">
        <v>127</v>
      </c>
      <c r="C7462" s="140" t="s">
        <v>21</v>
      </c>
      <c r="D7462" s="140" t="s">
        <v>11</v>
      </c>
      <c r="E7462" s="140" t="s">
        <v>12</v>
      </c>
      <c r="F7462">
        <v>9547</v>
      </c>
      <c r="G7462" s="140" t="s">
        <v>437</v>
      </c>
      <c r="H7462">
        <v>0</v>
      </c>
      <c r="I7462" s="140" t="s">
        <v>17</v>
      </c>
    </row>
    <row r="7463" spans="1:9" hidden="1" x14ac:dyDescent="0.25">
      <c r="A7463">
        <v>2015</v>
      </c>
      <c r="B7463" s="140" t="s">
        <v>127</v>
      </c>
      <c r="C7463" s="140" t="s">
        <v>21</v>
      </c>
      <c r="D7463" s="140" t="s">
        <v>11</v>
      </c>
      <c r="E7463" s="140" t="s">
        <v>12</v>
      </c>
      <c r="F7463">
        <v>10029</v>
      </c>
      <c r="G7463" s="140" t="s">
        <v>437</v>
      </c>
      <c r="H7463">
        <v>0</v>
      </c>
      <c r="I7463" s="140" t="s">
        <v>17</v>
      </c>
    </row>
    <row r="7464" spans="1:9" hidden="1" x14ac:dyDescent="0.25">
      <c r="A7464">
        <v>2016</v>
      </c>
      <c r="B7464" s="140" t="s">
        <v>127</v>
      </c>
      <c r="C7464" s="140" t="s">
        <v>21</v>
      </c>
      <c r="D7464" s="140" t="s">
        <v>11</v>
      </c>
      <c r="E7464" s="140" t="s">
        <v>12</v>
      </c>
      <c r="F7464">
        <v>11396</v>
      </c>
      <c r="G7464" s="140" t="s">
        <v>437</v>
      </c>
      <c r="H7464">
        <v>0</v>
      </c>
      <c r="I7464" s="140" t="s">
        <v>17</v>
      </c>
    </row>
    <row r="7465" spans="1:9" hidden="1" x14ac:dyDescent="0.25">
      <c r="A7465">
        <v>2017</v>
      </c>
      <c r="B7465" s="140" t="s">
        <v>127</v>
      </c>
      <c r="C7465" s="140" t="s">
        <v>21</v>
      </c>
      <c r="D7465" s="140" t="s">
        <v>11</v>
      </c>
      <c r="E7465" s="140" t="s">
        <v>12</v>
      </c>
      <c r="F7465">
        <v>12585</v>
      </c>
      <c r="G7465" s="140" t="s">
        <v>437</v>
      </c>
      <c r="H7465">
        <v>0</v>
      </c>
      <c r="I7465" s="140" t="s">
        <v>17</v>
      </c>
    </row>
    <row r="7466" spans="1:9" hidden="1" x14ac:dyDescent="0.25">
      <c r="A7466">
        <v>2018</v>
      </c>
      <c r="B7466" s="140" t="s">
        <v>127</v>
      </c>
      <c r="C7466" s="140" t="s">
        <v>21</v>
      </c>
      <c r="D7466" s="140" t="s">
        <v>11</v>
      </c>
      <c r="E7466" s="140" t="s">
        <v>12</v>
      </c>
      <c r="F7466">
        <v>12409</v>
      </c>
      <c r="G7466" s="140" t="s">
        <v>437</v>
      </c>
      <c r="H7466">
        <v>0</v>
      </c>
      <c r="I7466" s="140" t="s">
        <v>17</v>
      </c>
    </row>
    <row r="7467" spans="1:9" hidden="1" x14ac:dyDescent="0.25">
      <c r="A7467">
        <v>2019</v>
      </c>
      <c r="B7467" s="140" t="s">
        <v>127</v>
      </c>
      <c r="C7467" s="140" t="s">
        <v>21</v>
      </c>
      <c r="D7467" s="140" t="s">
        <v>11</v>
      </c>
      <c r="E7467" s="140" t="s">
        <v>12</v>
      </c>
      <c r="F7467">
        <v>11995</v>
      </c>
      <c r="G7467" s="140" t="s">
        <v>437</v>
      </c>
      <c r="H7467">
        <v>0</v>
      </c>
      <c r="I7467" s="140" t="s">
        <v>17</v>
      </c>
    </row>
    <row r="7468" spans="1:9" hidden="1" x14ac:dyDescent="0.25">
      <c r="A7468">
        <v>2020</v>
      </c>
      <c r="B7468" s="140" t="s">
        <v>127</v>
      </c>
      <c r="C7468" s="140" t="s">
        <v>21</v>
      </c>
      <c r="D7468" s="140" t="s">
        <v>11</v>
      </c>
      <c r="E7468" s="140" t="s">
        <v>12</v>
      </c>
      <c r="F7468">
        <v>12138</v>
      </c>
      <c r="G7468" s="140" t="s">
        <v>437</v>
      </c>
      <c r="H7468">
        <v>0</v>
      </c>
      <c r="I7468" s="140" t="s">
        <v>17</v>
      </c>
    </row>
    <row r="7469" spans="1:9" hidden="1" x14ac:dyDescent="0.25">
      <c r="A7469">
        <v>2021</v>
      </c>
      <c r="B7469" s="140" t="s">
        <v>127</v>
      </c>
      <c r="C7469" s="140" t="s">
        <v>21</v>
      </c>
      <c r="D7469" s="140" t="s">
        <v>11</v>
      </c>
      <c r="E7469" s="140" t="s">
        <v>12</v>
      </c>
      <c r="F7469">
        <v>12872</v>
      </c>
      <c r="G7469" s="140" t="s">
        <v>437</v>
      </c>
      <c r="H7469">
        <v>0</v>
      </c>
      <c r="I7469" s="140" t="s">
        <v>17</v>
      </c>
    </row>
    <row r="7470" spans="1:9" hidden="1" x14ac:dyDescent="0.25">
      <c r="A7470">
        <v>2022</v>
      </c>
      <c r="B7470" s="140" t="s">
        <v>127</v>
      </c>
      <c r="C7470" s="140" t="s">
        <v>21</v>
      </c>
      <c r="D7470" s="140" t="s">
        <v>11</v>
      </c>
      <c r="E7470" s="140" t="s">
        <v>12</v>
      </c>
      <c r="F7470">
        <v>13378</v>
      </c>
      <c r="G7470" s="140" t="s">
        <v>437</v>
      </c>
      <c r="H7470">
        <v>0</v>
      </c>
      <c r="I7470" s="140" t="s">
        <v>17</v>
      </c>
    </row>
    <row r="7471" spans="1:9" hidden="1" x14ac:dyDescent="0.25">
      <c r="A7471">
        <v>2023</v>
      </c>
      <c r="B7471" s="140" t="s">
        <v>127</v>
      </c>
      <c r="C7471" s="140" t="s">
        <v>21</v>
      </c>
      <c r="D7471" s="140" t="s">
        <v>11</v>
      </c>
      <c r="E7471" s="140" t="s">
        <v>12</v>
      </c>
      <c r="F7471">
        <v>12867</v>
      </c>
      <c r="G7471" s="140" t="s">
        <v>437</v>
      </c>
      <c r="H7471">
        <v>0</v>
      </c>
      <c r="I7471" s="140" t="s">
        <v>17</v>
      </c>
    </row>
    <row r="7472" spans="1:9" hidden="1" x14ac:dyDescent="0.25">
      <c r="A7472">
        <v>2024</v>
      </c>
      <c r="B7472" s="140" t="s">
        <v>127</v>
      </c>
      <c r="C7472" s="140" t="s">
        <v>21</v>
      </c>
      <c r="D7472" s="140" t="s">
        <v>11</v>
      </c>
      <c r="E7472" s="140" t="s">
        <v>12</v>
      </c>
      <c r="F7472">
        <v>12714</v>
      </c>
      <c r="G7472" s="140" t="s">
        <v>437</v>
      </c>
      <c r="H7472">
        <v>0</v>
      </c>
      <c r="I7472" s="140" t="s">
        <v>17</v>
      </c>
    </row>
    <row r="7473" spans="1:9" hidden="1" x14ac:dyDescent="0.25">
      <c r="A7473">
        <v>2025</v>
      </c>
      <c r="B7473" s="140" t="s">
        <v>127</v>
      </c>
      <c r="C7473" s="140" t="s">
        <v>21</v>
      </c>
      <c r="D7473" s="140" t="s">
        <v>11</v>
      </c>
      <c r="E7473" s="140" t="s">
        <v>12</v>
      </c>
      <c r="F7473">
        <v>13204</v>
      </c>
      <c r="G7473" s="140" t="s">
        <v>437</v>
      </c>
      <c r="H7473">
        <v>0</v>
      </c>
      <c r="I7473" s="140" t="s">
        <v>17</v>
      </c>
    </row>
    <row r="7474" spans="1:9" x14ac:dyDescent="0.25">
      <c r="A7474">
        <v>2026</v>
      </c>
      <c r="B7474" s="140" t="s">
        <v>127</v>
      </c>
      <c r="C7474" s="140" t="s">
        <v>21</v>
      </c>
      <c r="D7474" s="140" t="s">
        <v>11</v>
      </c>
      <c r="E7474" s="140" t="s">
        <v>12</v>
      </c>
      <c r="F7474">
        <v>15976.84</v>
      </c>
      <c r="G7474" s="140" t="s">
        <v>437</v>
      </c>
      <c r="H7474">
        <v>0</v>
      </c>
      <c r="I7474" s="140" t="s">
        <v>17</v>
      </c>
    </row>
    <row r="7475" spans="1:9" hidden="1" x14ac:dyDescent="0.25">
      <c r="A7475">
        <v>2027</v>
      </c>
      <c r="B7475" s="140" t="s">
        <v>127</v>
      </c>
      <c r="C7475" s="140" t="s">
        <v>21</v>
      </c>
      <c r="D7475" s="140" t="s">
        <v>11</v>
      </c>
      <c r="E7475" s="140" t="s">
        <v>12</v>
      </c>
      <c r="F7475">
        <v>16695.7978</v>
      </c>
      <c r="G7475" s="140" t="s">
        <v>437</v>
      </c>
      <c r="H7475">
        <v>0</v>
      </c>
      <c r="I7475" s="140" t="s">
        <v>17</v>
      </c>
    </row>
    <row r="7476" spans="1:9" hidden="1" x14ac:dyDescent="0.25">
      <c r="A7476">
        <v>2028</v>
      </c>
      <c r="B7476" s="140" t="s">
        <v>127</v>
      </c>
      <c r="C7476" s="140" t="s">
        <v>21</v>
      </c>
      <c r="D7476" s="140" t="s">
        <v>11</v>
      </c>
      <c r="E7476" s="140" t="s">
        <v>12</v>
      </c>
      <c r="F7476">
        <v>17029.713759999999</v>
      </c>
      <c r="G7476" s="140" t="s">
        <v>437</v>
      </c>
      <c r="H7476">
        <v>0</v>
      </c>
      <c r="I7476" s="140" t="s">
        <v>17</v>
      </c>
    </row>
    <row r="7477" spans="1:9" hidden="1" x14ac:dyDescent="0.25">
      <c r="A7477">
        <v>1990</v>
      </c>
      <c r="B7477" s="140" t="s">
        <v>128</v>
      </c>
      <c r="C7477" s="140" t="s">
        <v>21</v>
      </c>
      <c r="D7477" s="140" t="s">
        <v>11</v>
      </c>
      <c r="E7477" s="140" t="s">
        <v>12</v>
      </c>
      <c r="F7477">
        <v>4588</v>
      </c>
      <c r="G7477" s="140" t="s">
        <v>434</v>
      </c>
      <c r="H7477">
        <v>0</v>
      </c>
      <c r="I7477" s="140" t="s">
        <v>17</v>
      </c>
    </row>
    <row r="7478" spans="1:9" hidden="1" x14ac:dyDescent="0.25">
      <c r="A7478">
        <v>1991</v>
      </c>
      <c r="B7478" s="140" t="s">
        <v>128</v>
      </c>
      <c r="C7478" s="140" t="s">
        <v>21</v>
      </c>
      <c r="D7478" s="140" t="s">
        <v>11</v>
      </c>
      <c r="E7478" s="140" t="s">
        <v>12</v>
      </c>
      <c r="F7478">
        <v>4636</v>
      </c>
      <c r="G7478" s="140" t="s">
        <v>434</v>
      </c>
      <c r="H7478">
        <v>0</v>
      </c>
      <c r="I7478" s="140" t="s">
        <v>17</v>
      </c>
    </row>
    <row r="7479" spans="1:9" hidden="1" x14ac:dyDescent="0.25">
      <c r="A7479">
        <v>1992</v>
      </c>
      <c r="B7479" s="140" t="s">
        <v>128</v>
      </c>
      <c r="C7479" s="140" t="s">
        <v>21</v>
      </c>
      <c r="D7479" s="140" t="s">
        <v>11</v>
      </c>
      <c r="E7479" s="140" t="s">
        <v>12</v>
      </c>
      <c r="F7479">
        <v>4743</v>
      </c>
      <c r="G7479" s="140" t="s">
        <v>434</v>
      </c>
      <c r="H7479">
        <v>0</v>
      </c>
      <c r="I7479" s="140" t="s">
        <v>17</v>
      </c>
    </row>
    <row r="7480" spans="1:9" hidden="1" x14ac:dyDescent="0.25">
      <c r="A7480">
        <v>1993</v>
      </c>
      <c r="B7480" s="140" t="s">
        <v>128</v>
      </c>
      <c r="C7480" s="140" t="s">
        <v>21</v>
      </c>
      <c r="D7480" s="140" t="s">
        <v>11</v>
      </c>
      <c r="E7480" s="140" t="s">
        <v>12</v>
      </c>
      <c r="F7480">
        <v>4675</v>
      </c>
      <c r="G7480" s="140" t="s">
        <v>434</v>
      </c>
      <c r="H7480">
        <v>0</v>
      </c>
      <c r="I7480" s="140" t="s">
        <v>17</v>
      </c>
    </row>
    <row r="7481" spans="1:9" hidden="1" x14ac:dyDescent="0.25">
      <c r="A7481">
        <v>1994</v>
      </c>
      <c r="B7481" s="140" t="s">
        <v>128</v>
      </c>
      <c r="C7481" s="140" t="s">
        <v>21</v>
      </c>
      <c r="D7481" s="140" t="s">
        <v>11</v>
      </c>
      <c r="E7481" s="140" t="s">
        <v>12</v>
      </c>
      <c r="F7481">
        <v>5000</v>
      </c>
      <c r="G7481" s="140" t="s">
        <v>434</v>
      </c>
      <c r="H7481">
        <v>0</v>
      </c>
      <c r="I7481" s="140" t="s">
        <v>17</v>
      </c>
    </row>
    <row r="7482" spans="1:9" hidden="1" x14ac:dyDescent="0.25">
      <c r="A7482">
        <v>1995</v>
      </c>
      <c r="B7482" s="140" t="s">
        <v>128</v>
      </c>
      <c r="C7482" s="140" t="s">
        <v>21</v>
      </c>
      <c r="D7482" s="140" t="s">
        <v>11</v>
      </c>
      <c r="E7482" s="140" t="s">
        <v>12</v>
      </c>
      <c r="F7482">
        <v>5502</v>
      </c>
      <c r="G7482" s="140" t="s">
        <v>434</v>
      </c>
      <c r="H7482">
        <v>0</v>
      </c>
      <c r="I7482" s="140" t="s">
        <v>17</v>
      </c>
    </row>
    <row r="7483" spans="1:9" hidden="1" x14ac:dyDescent="0.25">
      <c r="A7483">
        <v>1996</v>
      </c>
      <c r="B7483" s="140" t="s">
        <v>128</v>
      </c>
      <c r="C7483" s="140" t="s">
        <v>21</v>
      </c>
      <c r="D7483" s="140" t="s">
        <v>11</v>
      </c>
      <c r="E7483" s="140" t="s">
        <v>12</v>
      </c>
      <c r="F7483">
        <v>5947</v>
      </c>
      <c r="G7483" s="140" t="s">
        <v>434</v>
      </c>
      <c r="H7483">
        <v>0</v>
      </c>
      <c r="I7483" s="140" t="s">
        <v>17</v>
      </c>
    </row>
    <row r="7484" spans="1:9" hidden="1" x14ac:dyDescent="0.25">
      <c r="A7484">
        <v>1997</v>
      </c>
      <c r="B7484" s="140" t="s">
        <v>128</v>
      </c>
      <c r="C7484" s="140" t="s">
        <v>21</v>
      </c>
      <c r="D7484" s="140" t="s">
        <v>11</v>
      </c>
      <c r="E7484" s="140" t="s">
        <v>12</v>
      </c>
      <c r="F7484">
        <v>6719</v>
      </c>
      <c r="G7484" s="140" t="s">
        <v>434</v>
      </c>
      <c r="H7484">
        <v>0</v>
      </c>
      <c r="I7484" s="140" t="s">
        <v>17</v>
      </c>
    </row>
    <row r="7485" spans="1:9" hidden="1" x14ac:dyDescent="0.25">
      <c r="A7485">
        <v>1998</v>
      </c>
      <c r="B7485" s="140" t="s">
        <v>128</v>
      </c>
      <c r="C7485" s="140" t="s">
        <v>21</v>
      </c>
      <c r="D7485" s="140" t="s">
        <v>11</v>
      </c>
      <c r="E7485" s="140" t="s">
        <v>12</v>
      </c>
      <c r="F7485">
        <v>7386</v>
      </c>
      <c r="G7485" s="140" t="s">
        <v>434</v>
      </c>
      <c r="H7485">
        <v>0</v>
      </c>
      <c r="I7485" s="140" t="s">
        <v>17</v>
      </c>
    </row>
    <row r="7486" spans="1:9" hidden="1" x14ac:dyDescent="0.25">
      <c r="A7486">
        <v>1999</v>
      </c>
      <c r="B7486" s="140" t="s">
        <v>128</v>
      </c>
      <c r="C7486" s="140" t="s">
        <v>21</v>
      </c>
      <c r="D7486" s="140" t="s">
        <v>11</v>
      </c>
      <c r="E7486" s="140" t="s">
        <v>12</v>
      </c>
      <c r="F7486">
        <v>8620</v>
      </c>
      <c r="G7486" s="140" t="s">
        <v>434</v>
      </c>
      <c r="H7486">
        <v>0</v>
      </c>
      <c r="I7486" s="140" t="s">
        <v>17</v>
      </c>
    </row>
    <row r="7487" spans="1:9" hidden="1" x14ac:dyDescent="0.25">
      <c r="A7487">
        <v>2000</v>
      </c>
      <c r="B7487" s="140" t="s">
        <v>128</v>
      </c>
      <c r="C7487" s="140" t="s">
        <v>21</v>
      </c>
      <c r="D7487" s="140" t="s">
        <v>11</v>
      </c>
      <c r="E7487" s="140" t="s">
        <v>12</v>
      </c>
      <c r="F7487">
        <v>9305</v>
      </c>
      <c r="G7487" s="140" t="s">
        <v>434</v>
      </c>
      <c r="H7487">
        <v>0</v>
      </c>
      <c r="I7487" s="140" t="s">
        <v>17</v>
      </c>
    </row>
    <row r="7488" spans="1:9" hidden="1" x14ac:dyDescent="0.25">
      <c r="A7488">
        <v>2001</v>
      </c>
      <c r="B7488" s="140" t="s">
        <v>128</v>
      </c>
      <c r="C7488" s="140" t="s">
        <v>21</v>
      </c>
      <c r="D7488" s="140" t="s">
        <v>11</v>
      </c>
      <c r="E7488" s="140" t="s">
        <v>12</v>
      </c>
      <c r="F7488">
        <v>9735</v>
      </c>
      <c r="G7488" s="140" t="s">
        <v>434</v>
      </c>
      <c r="H7488">
        <v>0</v>
      </c>
      <c r="I7488" s="140" t="s">
        <v>17</v>
      </c>
    </row>
    <row r="7489" spans="1:9" hidden="1" x14ac:dyDescent="0.25">
      <c r="A7489">
        <v>2002</v>
      </c>
      <c r="B7489" s="140" t="s">
        <v>128</v>
      </c>
      <c r="C7489" s="140" t="s">
        <v>21</v>
      </c>
      <c r="D7489" s="140" t="s">
        <v>11</v>
      </c>
      <c r="E7489" s="140" t="s">
        <v>12</v>
      </c>
      <c r="F7489">
        <v>9561</v>
      </c>
      <c r="G7489" s="140" t="s">
        <v>434</v>
      </c>
      <c r="H7489">
        <v>0</v>
      </c>
      <c r="I7489" s="140" t="s">
        <v>17</v>
      </c>
    </row>
    <row r="7490" spans="1:9" hidden="1" x14ac:dyDescent="0.25">
      <c r="A7490">
        <v>2003</v>
      </c>
      <c r="B7490" s="140" t="s">
        <v>128</v>
      </c>
      <c r="C7490" s="140" t="s">
        <v>21</v>
      </c>
      <c r="D7490" s="140" t="s">
        <v>11</v>
      </c>
      <c r="E7490" s="140" t="s">
        <v>12</v>
      </c>
      <c r="F7490">
        <v>10175</v>
      </c>
      <c r="G7490" s="140" t="s">
        <v>434</v>
      </c>
      <c r="H7490">
        <v>0</v>
      </c>
      <c r="I7490" s="140" t="s">
        <v>17</v>
      </c>
    </row>
    <row r="7491" spans="1:9" hidden="1" x14ac:dyDescent="0.25">
      <c r="A7491">
        <v>2004</v>
      </c>
      <c r="B7491" s="140" t="s">
        <v>128</v>
      </c>
      <c r="C7491" s="140" t="s">
        <v>21</v>
      </c>
      <c r="D7491" s="140" t="s">
        <v>11</v>
      </c>
      <c r="E7491" s="140" t="s">
        <v>12</v>
      </c>
      <c r="F7491">
        <v>10218</v>
      </c>
      <c r="G7491" s="140" t="s">
        <v>434</v>
      </c>
      <c r="H7491">
        <v>0</v>
      </c>
      <c r="I7491" s="140" t="s">
        <v>17</v>
      </c>
    </row>
    <row r="7492" spans="1:9" hidden="1" x14ac:dyDescent="0.25">
      <c r="A7492">
        <v>2005</v>
      </c>
      <c r="B7492" s="140" t="s">
        <v>128</v>
      </c>
      <c r="C7492" s="140" t="s">
        <v>21</v>
      </c>
      <c r="D7492" s="140" t="s">
        <v>11</v>
      </c>
      <c r="E7492" s="140" t="s">
        <v>12</v>
      </c>
      <c r="F7492">
        <v>10570</v>
      </c>
      <c r="G7492" s="140" t="s">
        <v>434</v>
      </c>
      <c r="H7492">
        <v>0</v>
      </c>
      <c r="I7492" s="140" t="s">
        <v>17</v>
      </c>
    </row>
    <row r="7493" spans="1:9" hidden="1" x14ac:dyDescent="0.25">
      <c r="A7493">
        <v>2006</v>
      </c>
      <c r="B7493" s="140" t="s">
        <v>128</v>
      </c>
      <c r="C7493" s="140" t="s">
        <v>21</v>
      </c>
      <c r="D7493" s="140" t="s">
        <v>11</v>
      </c>
      <c r="E7493" s="140" t="s">
        <v>12</v>
      </c>
      <c r="F7493">
        <v>10710</v>
      </c>
      <c r="G7493" s="140" t="s">
        <v>434</v>
      </c>
      <c r="H7493">
        <v>0</v>
      </c>
      <c r="I7493" s="140" t="s">
        <v>17</v>
      </c>
    </row>
    <row r="7494" spans="1:9" hidden="1" x14ac:dyDescent="0.25">
      <c r="A7494">
        <v>2007</v>
      </c>
      <c r="B7494" s="140" t="s">
        <v>128</v>
      </c>
      <c r="C7494" s="140" t="s">
        <v>21</v>
      </c>
      <c r="D7494" s="140" t="s">
        <v>11</v>
      </c>
      <c r="E7494" s="140" t="s">
        <v>12</v>
      </c>
      <c r="F7494">
        <v>11352</v>
      </c>
      <c r="G7494" s="140" t="s">
        <v>434</v>
      </c>
      <c r="H7494">
        <v>0</v>
      </c>
      <c r="I7494" s="140" t="s">
        <v>17</v>
      </c>
    </row>
    <row r="7495" spans="1:9" hidden="1" x14ac:dyDescent="0.25">
      <c r="A7495">
        <v>2008</v>
      </c>
      <c r="B7495" s="140" t="s">
        <v>128</v>
      </c>
      <c r="C7495" s="140" t="s">
        <v>21</v>
      </c>
      <c r="D7495" s="140" t="s">
        <v>11</v>
      </c>
      <c r="E7495" s="140" t="s">
        <v>12</v>
      </c>
      <c r="F7495">
        <v>11673</v>
      </c>
      <c r="G7495" s="140" t="s">
        <v>434</v>
      </c>
      <c r="H7495">
        <v>0</v>
      </c>
      <c r="I7495" s="140" t="s">
        <v>17</v>
      </c>
    </row>
    <row r="7496" spans="1:9" hidden="1" x14ac:dyDescent="0.25">
      <c r="A7496">
        <v>2009</v>
      </c>
      <c r="B7496" s="140" t="s">
        <v>128</v>
      </c>
      <c r="C7496" s="140" t="s">
        <v>21</v>
      </c>
      <c r="D7496" s="140" t="s">
        <v>11</v>
      </c>
      <c r="E7496" s="140" t="s">
        <v>12</v>
      </c>
      <c r="F7496">
        <v>11057</v>
      </c>
      <c r="G7496" s="140" t="s">
        <v>434</v>
      </c>
      <c r="H7496">
        <v>0</v>
      </c>
      <c r="I7496" s="140" t="s">
        <v>17</v>
      </c>
    </row>
    <row r="7497" spans="1:9" hidden="1" x14ac:dyDescent="0.25">
      <c r="A7497">
        <v>2010</v>
      </c>
      <c r="B7497" s="140" t="s">
        <v>128</v>
      </c>
      <c r="C7497" s="140" t="s">
        <v>21</v>
      </c>
      <c r="D7497" s="140" t="s">
        <v>11</v>
      </c>
      <c r="E7497" s="140" t="s">
        <v>12</v>
      </c>
      <c r="F7497">
        <v>11217</v>
      </c>
      <c r="G7497" s="140" t="s">
        <v>434</v>
      </c>
      <c r="H7497">
        <v>0</v>
      </c>
      <c r="I7497" s="140" t="s">
        <v>17</v>
      </c>
    </row>
    <row r="7498" spans="1:9" hidden="1" x14ac:dyDescent="0.25">
      <c r="A7498">
        <v>2011</v>
      </c>
      <c r="B7498" s="140" t="s">
        <v>128</v>
      </c>
      <c r="C7498" s="140" t="s">
        <v>21</v>
      </c>
      <c r="D7498" s="140" t="s">
        <v>11</v>
      </c>
      <c r="E7498" s="140" t="s">
        <v>12</v>
      </c>
      <c r="F7498">
        <v>10702</v>
      </c>
      <c r="G7498" s="140" t="s">
        <v>434</v>
      </c>
      <c r="H7498">
        <v>0</v>
      </c>
      <c r="I7498" s="140" t="s">
        <v>17</v>
      </c>
    </row>
    <row r="7499" spans="1:9" hidden="1" x14ac:dyDescent="0.25">
      <c r="A7499">
        <v>2012</v>
      </c>
      <c r="B7499" s="140" t="s">
        <v>128</v>
      </c>
      <c r="C7499" s="140" t="s">
        <v>21</v>
      </c>
      <c r="D7499" s="140" t="s">
        <v>11</v>
      </c>
      <c r="E7499" s="140" t="s">
        <v>12</v>
      </c>
      <c r="F7499">
        <v>10058</v>
      </c>
      <c r="G7499" s="140" t="s">
        <v>434</v>
      </c>
      <c r="H7499">
        <v>0</v>
      </c>
      <c r="I7499" s="140" t="s">
        <v>17</v>
      </c>
    </row>
    <row r="7500" spans="1:9" hidden="1" x14ac:dyDescent="0.25">
      <c r="A7500">
        <v>2013</v>
      </c>
      <c r="B7500" s="140" t="s">
        <v>128</v>
      </c>
      <c r="C7500" s="140" t="s">
        <v>21</v>
      </c>
      <c r="D7500" s="140" t="s">
        <v>11</v>
      </c>
      <c r="E7500" s="140" t="s">
        <v>12</v>
      </c>
      <c r="F7500">
        <v>9731</v>
      </c>
      <c r="G7500" s="140" t="s">
        <v>434</v>
      </c>
      <c r="H7500">
        <v>0</v>
      </c>
      <c r="I7500" s="140" t="s">
        <v>17</v>
      </c>
    </row>
    <row r="7501" spans="1:9" hidden="1" x14ac:dyDescent="0.25">
      <c r="A7501">
        <v>2014</v>
      </c>
      <c r="B7501" s="140" t="s">
        <v>128</v>
      </c>
      <c r="C7501" s="140" t="s">
        <v>21</v>
      </c>
      <c r="D7501" s="140" t="s">
        <v>11</v>
      </c>
      <c r="E7501" s="140" t="s">
        <v>12</v>
      </c>
      <c r="F7501">
        <v>9641</v>
      </c>
      <c r="G7501" s="140" t="s">
        <v>434</v>
      </c>
      <c r="H7501">
        <v>0</v>
      </c>
      <c r="I7501" s="140" t="s">
        <v>17</v>
      </c>
    </row>
    <row r="7502" spans="1:9" hidden="1" x14ac:dyDescent="0.25">
      <c r="A7502">
        <v>2015</v>
      </c>
      <c r="B7502" s="140" t="s">
        <v>128</v>
      </c>
      <c r="C7502" s="140" t="s">
        <v>21</v>
      </c>
      <c r="D7502" s="140" t="s">
        <v>11</v>
      </c>
      <c r="E7502" s="140" t="s">
        <v>12</v>
      </c>
      <c r="F7502">
        <v>9010</v>
      </c>
      <c r="G7502" s="140" t="s">
        <v>434</v>
      </c>
      <c r="H7502">
        <v>0</v>
      </c>
      <c r="I7502" s="140" t="s">
        <v>17</v>
      </c>
    </row>
    <row r="7503" spans="1:9" hidden="1" x14ac:dyDescent="0.25">
      <c r="A7503">
        <v>2016</v>
      </c>
      <c r="B7503" s="140" t="s">
        <v>128</v>
      </c>
      <c r="C7503" s="140" t="s">
        <v>21</v>
      </c>
      <c r="D7503" s="140" t="s">
        <v>11</v>
      </c>
      <c r="E7503" s="140" t="s">
        <v>12</v>
      </c>
      <c r="F7503">
        <v>8972</v>
      </c>
      <c r="G7503" s="140" t="s">
        <v>434</v>
      </c>
      <c r="H7503">
        <v>0</v>
      </c>
      <c r="I7503" s="140" t="s">
        <v>17</v>
      </c>
    </row>
    <row r="7504" spans="1:9" hidden="1" x14ac:dyDescent="0.25">
      <c r="A7504">
        <v>2017</v>
      </c>
      <c r="B7504" s="140" t="s">
        <v>128</v>
      </c>
      <c r="C7504" s="140" t="s">
        <v>21</v>
      </c>
      <c r="D7504" s="140" t="s">
        <v>11</v>
      </c>
      <c r="E7504" s="140" t="s">
        <v>12</v>
      </c>
      <c r="F7504">
        <v>9078</v>
      </c>
      <c r="G7504" s="140" t="s">
        <v>434</v>
      </c>
      <c r="H7504">
        <v>0</v>
      </c>
      <c r="I7504" s="140" t="s">
        <v>17</v>
      </c>
    </row>
    <row r="7505" spans="1:9" hidden="1" x14ac:dyDescent="0.25">
      <c r="A7505">
        <v>2018</v>
      </c>
      <c r="B7505" s="140" t="s">
        <v>128</v>
      </c>
      <c r="C7505" s="140" t="s">
        <v>21</v>
      </c>
      <c r="D7505" s="140" t="s">
        <v>11</v>
      </c>
      <c r="E7505" s="140" t="s">
        <v>12</v>
      </c>
      <c r="F7505">
        <v>10087</v>
      </c>
      <c r="G7505" s="140" t="s">
        <v>434</v>
      </c>
      <c r="H7505">
        <v>0</v>
      </c>
      <c r="I7505" s="140" t="s">
        <v>17</v>
      </c>
    </row>
    <row r="7506" spans="1:9" hidden="1" x14ac:dyDescent="0.25">
      <c r="A7506">
        <v>2019</v>
      </c>
      <c r="B7506" s="140" t="s">
        <v>128</v>
      </c>
      <c r="C7506" s="140" t="s">
        <v>21</v>
      </c>
      <c r="D7506" s="140" t="s">
        <v>11</v>
      </c>
      <c r="E7506" s="140" t="s">
        <v>12</v>
      </c>
      <c r="F7506">
        <v>10902</v>
      </c>
      <c r="G7506" s="140" t="s">
        <v>434</v>
      </c>
      <c r="H7506">
        <v>0</v>
      </c>
      <c r="I7506" s="140" t="s">
        <v>17</v>
      </c>
    </row>
    <row r="7507" spans="1:9" hidden="1" x14ac:dyDescent="0.25">
      <c r="A7507">
        <v>2020</v>
      </c>
      <c r="B7507" s="140" t="s">
        <v>128</v>
      </c>
      <c r="C7507" s="140" t="s">
        <v>21</v>
      </c>
      <c r="D7507" s="140" t="s">
        <v>11</v>
      </c>
      <c r="E7507" s="140" t="s">
        <v>12</v>
      </c>
      <c r="F7507">
        <v>10490</v>
      </c>
      <c r="G7507" s="140" t="s">
        <v>434</v>
      </c>
      <c r="H7507">
        <v>0</v>
      </c>
      <c r="I7507" s="140" t="s">
        <v>17</v>
      </c>
    </row>
    <row r="7508" spans="1:9" hidden="1" x14ac:dyDescent="0.25">
      <c r="A7508">
        <v>2021</v>
      </c>
      <c r="B7508" s="140" t="s">
        <v>128</v>
      </c>
      <c r="C7508" s="140" t="s">
        <v>21</v>
      </c>
      <c r="D7508" s="140" t="s">
        <v>11</v>
      </c>
      <c r="E7508" s="140" t="s">
        <v>12</v>
      </c>
      <c r="F7508">
        <v>11124</v>
      </c>
      <c r="G7508" s="140" t="s">
        <v>434</v>
      </c>
      <c r="H7508">
        <v>0</v>
      </c>
      <c r="I7508" s="140" t="s">
        <v>17</v>
      </c>
    </row>
    <row r="7509" spans="1:9" hidden="1" x14ac:dyDescent="0.25">
      <c r="A7509">
        <v>2022</v>
      </c>
      <c r="B7509" s="140" t="s">
        <v>128</v>
      </c>
      <c r="C7509" s="140" t="s">
        <v>21</v>
      </c>
      <c r="D7509" s="140" t="s">
        <v>11</v>
      </c>
      <c r="E7509" s="140" t="s">
        <v>12</v>
      </c>
      <c r="F7509">
        <v>11656</v>
      </c>
      <c r="G7509" s="140" t="s">
        <v>434</v>
      </c>
      <c r="H7509">
        <v>0</v>
      </c>
      <c r="I7509" s="140" t="s">
        <v>17</v>
      </c>
    </row>
    <row r="7510" spans="1:9" hidden="1" x14ac:dyDescent="0.25">
      <c r="A7510">
        <v>2023</v>
      </c>
      <c r="B7510" s="140" t="s">
        <v>128</v>
      </c>
      <c r="C7510" s="140" t="s">
        <v>21</v>
      </c>
      <c r="D7510" s="140" t="s">
        <v>11</v>
      </c>
      <c r="E7510" s="140" t="s">
        <v>12</v>
      </c>
      <c r="F7510">
        <v>12097</v>
      </c>
      <c r="G7510" s="140" t="s">
        <v>434</v>
      </c>
      <c r="H7510">
        <v>0</v>
      </c>
      <c r="I7510" s="140" t="s">
        <v>17</v>
      </c>
    </row>
    <row r="7511" spans="1:9" hidden="1" x14ac:dyDescent="0.25">
      <c r="A7511">
        <v>2024</v>
      </c>
      <c r="B7511" s="140" t="s">
        <v>128</v>
      </c>
      <c r="C7511" s="140" t="s">
        <v>21</v>
      </c>
      <c r="D7511" s="140" t="s">
        <v>11</v>
      </c>
      <c r="E7511" s="140" t="s">
        <v>12</v>
      </c>
      <c r="F7511">
        <v>13014</v>
      </c>
      <c r="G7511" s="140" t="s">
        <v>434</v>
      </c>
      <c r="H7511">
        <v>0</v>
      </c>
      <c r="I7511" s="140" t="s">
        <v>17</v>
      </c>
    </row>
    <row r="7512" spans="1:9" hidden="1" x14ac:dyDescent="0.25">
      <c r="A7512">
        <v>2025</v>
      </c>
      <c r="B7512" s="140" t="s">
        <v>128</v>
      </c>
      <c r="C7512" s="140" t="s">
        <v>21</v>
      </c>
      <c r="D7512" s="140" t="s">
        <v>11</v>
      </c>
      <c r="E7512" s="140" t="s">
        <v>12</v>
      </c>
      <c r="F7512">
        <v>12714</v>
      </c>
      <c r="G7512" s="140" t="s">
        <v>434</v>
      </c>
      <c r="H7512">
        <v>0</v>
      </c>
      <c r="I7512" s="140" t="s">
        <v>17</v>
      </c>
    </row>
    <row r="7513" spans="1:9" hidden="1" x14ac:dyDescent="0.25">
      <c r="A7513">
        <v>2026</v>
      </c>
      <c r="B7513" s="140" t="s">
        <v>128</v>
      </c>
      <c r="C7513" s="140" t="s">
        <v>21</v>
      </c>
      <c r="D7513" s="140" t="s">
        <v>11</v>
      </c>
      <c r="E7513" s="140" t="s">
        <v>12</v>
      </c>
      <c r="F7513">
        <v>13349.7</v>
      </c>
      <c r="G7513" s="140" t="s">
        <v>434</v>
      </c>
      <c r="H7513">
        <v>0</v>
      </c>
      <c r="I7513" s="140" t="s">
        <v>17</v>
      </c>
    </row>
    <row r="7514" spans="1:9" hidden="1" x14ac:dyDescent="0.25">
      <c r="A7514">
        <v>2027</v>
      </c>
      <c r="B7514" s="140" t="s">
        <v>128</v>
      </c>
      <c r="C7514" s="140" t="s">
        <v>21</v>
      </c>
      <c r="D7514" s="140" t="s">
        <v>11</v>
      </c>
      <c r="E7514" s="140" t="s">
        <v>12</v>
      </c>
      <c r="F7514">
        <v>13816.9395</v>
      </c>
      <c r="G7514" s="140" t="s">
        <v>434</v>
      </c>
      <c r="H7514">
        <v>0</v>
      </c>
      <c r="I7514" s="140" t="s">
        <v>17</v>
      </c>
    </row>
    <row r="7515" spans="1:9" hidden="1" x14ac:dyDescent="0.25">
      <c r="A7515">
        <v>2028</v>
      </c>
      <c r="B7515" s="140" t="s">
        <v>128</v>
      </c>
      <c r="C7515" s="140" t="s">
        <v>21</v>
      </c>
      <c r="D7515" s="140" t="s">
        <v>11</v>
      </c>
      <c r="E7515" s="140" t="s">
        <v>12</v>
      </c>
      <c r="F7515">
        <v>14300.532380000001</v>
      </c>
      <c r="G7515" s="140" t="s">
        <v>434</v>
      </c>
      <c r="H7515">
        <v>0</v>
      </c>
      <c r="I7515" s="140" t="s">
        <v>17</v>
      </c>
    </row>
    <row r="7516" spans="1:9" hidden="1" x14ac:dyDescent="0.25">
      <c r="A7516">
        <v>1990</v>
      </c>
      <c r="B7516" s="140" t="s">
        <v>126</v>
      </c>
      <c r="C7516" s="140" t="s">
        <v>50</v>
      </c>
      <c r="D7516" s="140" t="s">
        <v>11</v>
      </c>
      <c r="E7516" s="140" t="s">
        <v>12</v>
      </c>
      <c r="F7516">
        <v>2338</v>
      </c>
      <c r="G7516" s="140" t="s">
        <v>438</v>
      </c>
      <c r="H7516">
        <v>0</v>
      </c>
      <c r="I7516" s="140" t="s">
        <v>17</v>
      </c>
    </row>
    <row r="7517" spans="1:9" hidden="1" x14ac:dyDescent="0.25">
      <c r="A7517">
        <v>1991</v>
      </c>
      <c r="B7517" s="140" t="s">
        <v>126</v>
      </c>
      <c r="C7517" s="140" t="s">
        <v>50</v>
      </c>
      <c r="D7517" s="140" t="s">
        <v>11</v>
      </c>
      <c r="E7517" s="140" t="s">
        <v>12</v>
      </c>
      <c r="F7517">
        <v>2289</v>
      </c>
      <c r="G7517" s="140" t="s">
        <v>438</v>
      </c>
      <c r="H7517">
        <v>0</v>
      </c>
      <c r="I7517" s="140" t="s">
        <v>17</v>
      </c>
    </row>
    <row r="7518" spans="1:9" hidden="1" x14ac:dyDescent="0.25">
      <c r="A7518">
        <v>1992</v>
      </c>
      <c r="B7518" s="140" t="s">
        <v>126</v>
      </c>
      <c r="C7518" s="140" t="s">
        <v>50</v>
      </c>
      <c r="D7518" s="140" t="s">
        <v>11</v>
      </c>
      <c r="E7518" s="140" t="s">
        <v>12</v>
      </c>
      <c r="F7518">
        <v>2079</v>
      </c>
      <c r="G7518" s="140" t="s">
        <v>438</v>
      </c>
      <c r="H7518">
        <v>0</v>
      </c>
      <c r="I7518" s="140" t="s">
        <v>17</v>
      </c>
    </row>
    <row r="7519" spans="1:9" hidden="1" x14ac:dyDescent="0.25">
      <c r="A7519">
        <v>1993</v>
      </c>
      <c r="B7519" s="140" t="s">
        <v>126</v>
      </c>
      <c r="C7519" s="140" t="s">
        <v>50</v>
      </c>
      <c r="D7519" s="140" t="s">
        <v>11</v>
      </c>
      <c r="E7519" s="140" t="s">
        <v>12</v>
      </c>
      <c r="F7519">
        <v>1876</v>
      </c>
      <c r="G7519" s="140" t="s">
        <v>438</v>
      </c>
      <c r="H7519">
        <v>0</v>
      </c>
      <c r="I7519" s="140" t="s">
        <v>17</v>
      </c>
    </row>
    <row r="7520" spans="1:9" hidden="1" x14ac:dyDescent="0.25">
      <c r="A7520">
        <v>1994</v>
      </c>
      <c r="B7520" s="140" t="s">
        <v>126</v>
      </c>
      <c r="C7520" s="140" t="s">
        <v>50</v>
      </c>
      <c r="D7520" s="140" t="s">
        <v>11</v>
      </c>
      <c r="E7520" s="140" t="s">
        <v>12</v>
      </c>
      <c r="F7520">
        <v>1904</v>
      </c>
      <c r="G7520" s="140" t="s">
        <v>438</v>
      </c>
      <c r="H7520">
        <v>0</v>
      </c>
      <c r="I7520" s="140" t="s">
        <v>17</v>
      </c>
    </row>
    <row r="7521" spans="1:9" hidden="1" x14ac:dyDescent="0.25">
      <c r="A7521">
        <v>1995</v>
      </c>
      <c r="B7521" s="140" t="s">
        <v>126</v>
      </c>
      <c r="C7521" s="140" t="s">
        <v>50</v>
      </c>
      <c r="D7521" s="140" t="s">
        <v>11</v>
      </c>
      <c r="E7521" s="140" t="s">
        <v>12</v>
      </c>
      <c r="F7521">
        <v>2100</v>
      </c>
      <c r="G7521" s="140" t="s">
        <v>438</v>
      </c>
      <c r="H7521">
        <v>0</v>
      </c>
      <c r="I7521" s="140" t="s">
        <v>17</v>
      </c>
    </row>
    <row r="7522" spans="1:9" hidden="1" x14ac:dyDescent="0.25">
      <c r="A7522">
        <v>1996</v>
      </c>
      <c r="B7522" s="140" t="s">
        <v>126</v>
      </c>
      <c r="C7522" s="140" t="s">
        <v>50</v>
      </c>
      <c r="D7522" s="140" t="s">
        <v>11</v>
      </c>
      <c r="E7522" s="140" t="s">
        <v>12</v>
      </c>
      <c r="F7522">
        <v>2234</v>
      </c>
      <c r="G7522" s="140" t="s">
        <v>438</v>
      </c>
      <c r="H7522">
        <v>0</v>
      </c>
      <c r="I7522" s="140" t="s">
        <v>17</v>
      </c>
    </row>
    <row r="7523" spans="1:9" hidden="1" x14ac:dyDescent="0.25">
      <c r="A7523">
        <v>1997</v>
      </c>
      <c r="B7523" s="140" t="s">
        <v>126</v>
      </c>
      <c r="C7523" s="140" t="s">
        <v>50</v>
      </c>
      <c r="D7523" s="140" t="s">
        <v>11</v>
      </c>
      <c r="E7523" s="140" t="s">
        <v>12</v>
      </c>
      <c r="F7523">
        <v>2302</v>
      </c>
      <c r="G7523" s="140" t="s">
        <v>438</v>
      </c>
      <c r="H7523">
        <v>0</v>
      </c>
      <c r="I7523" s="140" t="s">
        <v>17</v>
      </c>
    </row>
    <row r="7524" spans="1:9" hidden="1" x14ac:dyDescent="0.25">
      <c r="A7524">
        <v>1998</v>
      </c>
      <c r="B7524" s="140" t="s">
        <v>126</v>
      </c>
      <c r="C7524" s="140" t="s">
        <v>50</v>
      </c>
      <c r="D7524" s="140" t="s">
        <v>11</v>
      </c>
      <c r="E7524" s="140" t="s">
        <v>12</v>
      </c>
      <c r="F7524">
        <v>2459</v>
      </c>
      <c r="G7524" s="140" t="s">
        <v>438</v>
      </c>
      <c r="H7524">
        <v>0</v>
      </c>
      <c r="I7524" s="140" t="s">
        <v>17</v>
      </c>
    </row>
    <row r="7525" spans="1:9" hidden="1" x14ac:dyDescent="0.25">
      <c r="A7525">
        <v>1999</v>
      </c>
      <c r="B7525" s="140" t="s">
        <v>126</v>
      </c>
      <c r="C7525" s="140" t="s">
        <v>50</v>
      </c>
      <c r="D7525" s="140" t="s">
        <v>11</v>
      </c>
      <c r="E7525" s="140" t="s">
        <v>12</v>
      </c>
      <c r="F7525">
        <v>2459</v>
      </c>
      <c r="G7525" s="140" t="s">
        <v>438</v>
      </c>
      <c r="H7525">
        <v>0</v>
      </c>
      <c r="I7525" s="140" t="s">
        <v>17</v>
      </c>
    </row>
    <row r="7526" spans="1:9" hidden="1" x14ac:dyDescent="0.25">
      <c r="A7526">
        <v>2000</v>
      </c>
      <c r="B7526" s="140" t="s">
        <v>126</v>
      </c>
      <c r="C7526" s="140" t="s">
        <v>50</v>
      </c>
      <c r="D7526" s="140" t="s">
        <v>11</v>
      </c>
      <c r="E7526" s="140" t="s">
        <v>12</v>
      </c>
      <c r="F7526">
        <v>2650</v>
      </c>
      <c r="G7526" s="140" t="s">
        <v>438</v>
      </c>
      <c r="H7526">
        <v>0</v>
      </c>
      <c r="I7526" s="140" t="s">
        <v>17</v>
      </c>
    </row>
    <row r="7527" spans="1:9" hidden="1" x14ac:dyDescent="0.25">
      <c r="A7527">
        <v>2001</v>
      </c>
      <c r="B7527" s="140" t="s">
        <v>126</v>
      </c>
      <c r="C7527" s="140" t="s">
        <v>50</v>
      </c>
      <c r="D7527" s="140" t="s">
        <v>11</v>
      </c>
      <c r="E7527" s="140" t="s">
        <v>12</v>
      </c>
      <c r="F7527">
        <v>2857</v>
      </c>
      <c r="G7527" s="140" t="s">
        <v>438</v>
      </c>
      <c r="H7527">
        <v>0</v>
      </c>
      <c r="I7527" s="140" t="s">
        <v>17</v>
      </c>
    </row>
    <row r="7528" spans="1:9" hidden="1" x14ac:dyDescent="0.25">
      <c r="A7528">
        <v>2002</v>
      </c>
      <c r="B7528" s="140" t="s">
        <v>126</v>
      </c>
      <c r="C7528" s="140" t="s">
        <v>50</v>
      </c>
      <c r="D7528" s="140" t="s">
        <v>11</v>
      </c>
      <c r="E7528" s="140" t="s">
        <v>12</v>
      </c>
      <c r="F7528">
        <v>2844</v>
      </c>
      <c r="G7528" s="140" t="s">
        <v>438</v>
      </c>
      <c r="H7528">
        <v>0</v>
      </c>
      <c r="I7528" s="140" t="s">
        <v>17</v>
      </c>
    </row>
    <row r="7529" spans="1:9" hidden="1" x14ac:dyDescent="0.25">
      <c r="A7529">
        <v>2003</v>
      </c>
      <c r="B7529" s="140" t="s">
        <v>126</v>
      </c>
      <c r="C7529" s="140" t="s">
        <v>50</v>
      </c>
      <c r="D7529" s="140" t="s">
        <v>11</v>
      </c>
      <c r="E7529" s="140" t="s">
        <v>12</v>
      </c>
      <c r="F7529">
        <v>2880</v>
      </c>
      <c r="G7529" s="140" t="s">
        <v>438</v>
      </c>
      <c r="H7529">
        <v>0</v>
      </c>
      <c r="I7529" s="140" t="s">
        <v>17</v>
      </c>
    </row>
    <row r="7530" spans="1:9" hidden="1" x14ac:dyDescent="0.25">
      <c r="A7530">
        <v>2004</v>
      </c>
      <c r="B7530" s="140" t="s">
        <v>126</v>
      </c>
      <c r="C7530" s="140" t="s">
        <v>50</v>
      </c>
      <c r="D7530" s="140" t="s">
        <v>11</v>
      </c>
      <c r="E7530" s="140" t="s">
        <v>12</v>
      </c>
      <c r="F7530">
        <v>3093</v>
      </c>
      <c r="G7530" s="140" t="s">
        <v>438</v>
      </c>
      <c r="H7530">
        <v>0</v>
      </c>
      <c r="I7530" s="140" t="s">
        <v>17</v>
      </c>
    </row>
    <row r="7531" spans="1:9" hidden="1" x14ac:dyDescent="0.25">
      <c r="A7531">
        <v>2005</v>
      </c>
      <c r="B7531" s="140" t="s">
        <v>126</v>
      </c>
      <c r="C7531" s="140" t="s">
        <v>50</v>
      </c>
      <c r="D7531" s="140" t="s">
        <v>11</v>
      </c>
      <c r="E7531" s="140" t="s">
        <v>12</v>
      </c>
      <c r="F7531">
        <v>3013</v>
      </c>
      <c r="G7531" s="140" t="s">
        <v>438</v>
      </c>
      <c r="H7531">
        <v>0</v>
      </c>
      <c r="I7531" s="140" t="s">
        <v>17</v>
      </c>
    </row>
    <row r="7532" spans="1:9" hidden="1" x14ac:dyDescent="0.25">
      <c r="A7532">
        <v>2006</v>
      </c>
      <c r="B7532" s="140" t="s">
        <v>126</v>
      </c>
      <c r="C7532" s="140" t="s">
        <v>50</v>
      </c>
      <c r="D7532" s="140" t="s">
        <v>11</v>
      </c>
      <c r="E7532" s="140" t="s">
        <v>12</v>
      </c>
      <c r="F7532">
        <v>3258</v>
      </c>
      <c r="G7532" s="140" t="s">
        <v>438</v>
      </c>
      <c r="H7532">
        <v>0</v>
      </c>
      <c r="I7532" s="140" t="s">
        <v>17</v>
      </c>
    </row>
    <row r="7533" spans="1:9" hidden="1" x14ac:dyDescent="0.25">
      <c r="A7533">
        <v>2007</v>
      </c>
      <c r="B7533" s="140" t="s">
        <v>126</v>
      </c>
      <c r="C7533" s="140" t="s">
        <v>50</v>
      </c>
      <c r="D7533" s="140" t="s">
        <v>11</v>
      </c>
      <c r="E7533" s="140" t="s">
        <v>12</v>
      </c>
      <c r="F7533">
        <v>3835</v>
      </c>
      <c r="G7533" s="140" t="s">
        <v>438</v>
      </c>
      <c r="H7533">
        <v>0</v>
      </c>
      <c r="I7533" s="140" t="s">
        <v>17</v>
      </c>
    </row>
    <row r="7534" spans="1:9" hidden="1" x14ac:dyDescent="0.25">
      <c r="A7534">
        <v>2008</v>
      </c>
      <c r="B7534" s="140" t="s">
        <v>126</v>
      </c>
      <c r="C7534" s="140" t="s">
        <v>50</v>
      </c>
      <c r="D7534" s="140" t="s">
        <v>11</v>
      </c>
      <c r="E7534" s="140" t="s">
        <v>12</v>
      </c>
      <c r="F7534">
        <v>4251</v>
      </c>
      <c r="G7534" s="140" t="s">
        <v>438</v>
      </c>
      <c r="H7534">
        <v>0</v>
      </c>
      <c r="I7534" s="140" t="s">
        <v>17</v>
      </c>
    </row>
    <row r="7535" spans="1:9" hidden="1" x14ac:dyDescent="0.25">
      <c r="A7535">
        <v>2009</v>
      </c>
      <c r="B7535" s="140" t="s">
        <v>126</v>
      </c>
      <c r="C7535" s="140" t="s">
        <v>50</v>
      </c>
      <c r="D7535" s="140" t="s">
        <v>11</v>
      </c>
      <c r="E7535" s="140" t="s">
        <v>12</v>
      </c>
      <c r="F7535">
        <v>3902</v>
      </c>
      <c r="G7535" s="140" t="s">
        <v>438</v>
      </c>
      <c r="H7535">
        <v>0</v>
      </c>
      <c r="I7535" s="140" t="s">
        <v>17</v>
      </c>
    </row>
    <row r="7536" spans="1:9" hidden="1" x14ac:dyDescent="0.25">
      <c r="A7536">
        <v>2010</v>
      </c>
      <c r="B7536" s="140" t="s">
        <v>126</v>
      </c>
      <c r="C7536" s="140" t="s">
        <v>50</v>
      </c>
      <c r="D7536" s="140" t="s">
        <v>11</v>
      </c>
      <c r="E7536" s="140" t="s">
        <v>12</v>
      </c>
      <c r="F7536">
        <v>4790</v>
      </c>
      <c r="G7536" s="140" t="s">
        <v>438</v>
      </c>
      <c r="H7536">
        <v>0</v>
      </c>
      <c r="I7536" s="140" t="s">
        <v>17</v>
      </c>
    </row>
    <row r="7537" spans="1:9" hidden="1" x14ac:dyDescent="0.25">
      <c r="A7537">
        <v>2011</v>
      </c>
      <c r="B7537" s="140" t="s">
        <v>126</v>
      </c>
      <c r="C7537" s="140" t="s">
        <v>50</v>
      </c>
      <c r="D7537" s="140" t="s">
        <v>11</v>
      </c>
      <c r="E7537" s="140" t="s">
        <v>12</v>
      </c>
      <c r="F7537">
        <v>4571</v>
      </c>
      <c r="G7537" s="140" t="s">
        <v>438</v>
      </c>
      <c r="H7537">
        <v>0</v>
      </c>
      <c r="I7537" s="140" t="s">
        <v>17</v>
      </c>
    </row>
    <row r="7538" spans="1:9" hidden="1" x14ac:dyDescent="0.25">
      <c r="A7538">
        <v>2012</v>
      </c>
      <c r="B7538" s="140" t="s">
        <v>126</v>
      </c>
      <c r="C7538" s="140" t="s">
        <v>50</v>
      </c>
      <c r="D7538" s="140" t="s">
        <v>11</v>
      </c>
      <c r="E7538" s="140" t="s">
        <v>12</v>
      </c>
      <c r="F7538">
        <v>4255</v>
      </c>
      <c r="G7538" s="140" t="s">
        <v>438</v>
      </c>
      <c r="H7538">
        <v>0</v>
      </c>
      <c r="I7538" s="140" t="s">
        <v>17</v>
      </c>
    </row>
    <row r="7539" spans="1:9" hidden="1" x14ac:dyDescent="0.25">
      <c r="A7539">
        <v>2013</v>
      </c>
      <c r="B7539" s="140" t="s">
        <v>126</v>
      </c>
      <c r="C7539" s="140" t="s">
        <v>50</v>
      </c>
      <c r="D7539" s="140" t="s">
        <v>11</v>
      </c>
      <c r="E7539" s="140" t="s">
        <v>12</v>
      </c>
      <c r="F7539">
        <v>4518</v>
      </c>
      <c r="G7539" s="140" t="s">
        <v>438</v>
      </c>
      <c r="H7539">
        <v>0</v>
      </c>
      <c r="I7539" s="140" t="s">
        <v>17</v>
      </c>
    </row>
    <row r="7540" spans="1:9" hidden="1" x14ac:dyDescent="0.25">
      <c r="A7540">
        <v>2014</v>
      </c>
      <c r="B7540" s="140" t="s">
        <v>126</v>
      </c>
      <c r="C7540" s="140" t="s">
        <v>50</v>
      </c>
      <c r="D7540" s="140" t="s">
        <v>11</v>
      </c>
      <c r="E7540" s="140" t="s">
        <v>12</v>
      </c>
      <c r="F7540">
        <v>4802</v>
      </c>
      <c r="G7540" s="140" t="s">
        <v>438</v>
      </c>
      <c r="H7540">
        <v>0</v>
      </c>
      <c r="I7540" s="140" t="s">
        <v>17</v>
      </c>
    </row>
    <row r="7541" spans="1:9" hidden="1" x14ac:dyDescent="0.25">
      <c r="A7541">
        <v>2015</v>
      </c>
      <c r="B7541" s="140" t="s">
        <v>126</v>
      </c>
      <c r="C7541" s="140" t="s">
        <v>50</v>
      </c>
      <c r="D7541" s="140" t="s">
        <v>11</v>
      </c>
      <c r="E7541" s="140" t="s">
        <v>12</v>
      </c>
      <c r="F7541">
        <v>4666</v>
      </c>
      <c r="G7541" s="140" t="s">
        <v>438</v>
      </c>
      <c r="H7541">
        <v>0</v>
      </c>
      <c r="I7541" s="140" t="s">
        <v>17</v>
      </c>
    </row>
    <row r="7542" spans="1:9" hidden="1" x14ac:dyDescent="0.25">
      <c r="A7542">
        <v>2016</v>
      </c>
      <c r="B7542" s="140" t="s">
        <v>126</v>
      </c>
      <c r="C7542" s="140" t="s">
        <v>50</v>
      </c>
      <c r="D7542" s="140" t="s">
        <v>11</v>
      </c>
      <c r="E7542" s="140" t="s">
        <v>12</v>
      </c>
      <c r="F7542">
        <v>5291</v>
      </c>
      <c r="G7542" s="140" t="s">
        <v>438</v>
      </c>
      <c r="H7542">
        <v>0</v>
      </c>
      <c r="I7542" s="140" t="s">
        <v>17</v>
      </c>
    </row>
    <row r="7543" spans="1:9" hidden="1" x14ac:dyDescent="0.25">
      <c r="A7543">
        <v>2017</v>
      </c>
      <c r="B7543" s="140" t="s">
        <v>126</v>
      </c>
      <c r="C7543" s="140" t="s">
        <v>50</v>
      </c>
      <c r="D7543" s="140" t="s">
        <v>11</v>
      </c>
      <c r="E7543" s="140" t="s">
        <v>12</v>
      </c>
      <c r="F7543">
        <v>5687</v>
      </c>
      <c r="G7543" s="140" t="s">
        <v>438</v>
      </c>
      <c r="H7543">
        <v>0</v>
      </c>
      <c r="I7543" s="140" t="s">
        <v>17</v>
      </c>
    </row>
    <row r="7544" spans="1:9" hidden="1" x14ac:dyDescent="0.25">
      <c r="A7544">
        <v>2018</v>
      </c>
      <c r="B7544" s="140" t="s">
        <v>126</v>
      </c>
      <c r="C7544" s="140" t="s">
        <v>50</v>
      </c>
      <c r="D7544" s="140" t="s">
        <v>11</v>
      </c>
      <c r="E7544" s="140" t="s">
        <v>12</v>
      </c>
      <c r="F7544">
        <v>5946</v>
      </c>
      <c r="G7544" s="140" t="s">
        <v>438</v>
      </c>
      <c r="H7544">
        <v>0</v>
      </c>
      <c r="I7544" s="140" t="s">
        <v>17</v>
      </c>
    </row>
    <row r="7545" spans="1:9" hidden="1" x14ac:dyDescent="0.25">
      <c r="A7545">
        <v>2019</v>
      </c>
      <c r="B7545" s="140" t="s">
        <v>126</v>
      </c>
      <c r="C7545" s="140" t="s">
        <v>50</v>
      </c>
      <c r="D7545" s="140" t="s">
        <v>11</v>
      </c>
      <c r="E7545" s="140" t="s">
        <v>12</v>
      </c>
      <c r="F7545">
        <v>5062</v>
      </c>
      <c r="G7545" s="140" t="s">
        <v>438</v>
      </c>
      <c r="H7545">
        <v>0</v>
      </c>
      <c r="I7545" s="140" t="s">
        <v>17</v>
      </c>
    </row>
    <row r="7546" spans="1:9" hidden="1" x14ac:dyDescent="0.25">
      <c r="A7546">
        <v>2020</v>
      </c>
      <c r="B7546" s="140" t="s">
        <v>126</v>
      </c>
      <c r="C7546" s="140" t="s">
        <v>50</v>
      </c>
      <c r="D7546" s="140" t="s">
        <v>11</v>
      </c>
      <c r="E7546" s="140" t="s">
        <v>12</v>
      </c>
      <c r="F7546">
        <v>5319</v>
      </c>
      <c r="G7546" s="140" t="s">
        <v>438</v>
      </c>
      <c r="H7546">
        <v>0</v>
      </c>
      <c r="I7546" s="140" t="s">
        <v>17</v>
      </c>
    </row>
    <row r="7547" spans="1:9" hidden="1" x14ac:dyDescent="0.25">
      <c r="A7547">
        <v>2021</v>
      </c>
      <c r="B7547" s="140" t="s">
        <v>126</v>
      </c>
      <c r="C7547" s="140" t="s">
        <v>50</v>
      </c>
      <c r="D7547" s="140" t="s">
        <v>11</v>
      </c>
      <c r="E7547" s="140" t="s">
        <v>12</v>
      </c>
      <c r="F7547">
        <v>5553</v>
      </c>
      <c r="G7547" s="140" t="s">
        <v>438</v>
      </c>
      <c r="H7547">
        <v>0</v>
      </c>
      <c r="I7547" s="140" t="s">
        <v>17</v>
      </c>
    </row>
    <row r="7548" spans="1:9" hidden="1" x14ac:dyDescent="0.25">
      <c r="A7548">
        <v>2022</v>
      </c>
      <c r="B7548" s="140" t="s">
        <v>126</v>
      </c>
      <c r="C7548" s="140" t="s">
        <v>50</v>
      </c>
      <c r="D7548" s="140" t="s">
        <v>11</v>
      </c>
      <c r="E7548" s="140" t="s">
        <v>12</v>
      </c>
      <c r="F7548">
        <v>6480</v>
      </c>
      <c r="G7548" s="140" t="s">
        <v>438</v>
      </c>
      <c r="H7548">
        <v>0</v>
      </c>
      <c r="I7548" s="140" t="s">
        <v>17</v>
      </c>
    </row>
    <row r="7549" spans="1:9" hidden="1" x14ac:dyDescent="0.25">
      <c r="A7549">
        <v>2023</v>
      </c>
      <c r="B7549" s="140" t="s">
        <v>126</v>
      </c>
      <c r="C7549" s="140" t="s">
        <v>50</v>
      </c>
      <c r="D7549" s="140" t="s">
        <v>11</v>
      </c>
      <c r="E7549" s="140" t="s">
        <v>12</v>
      </c>
      <c r="F7549">
        <v>6286</v>
      </c>
      <c r="G7549" s="140" t="s">
        <v>438</v>
      </c>
      <c r="H7549">
        <v>0</v>
      </c>
      <c r="I7549" s="140" t="s">
        <v>17</v>
      </c>
    </row>
    <row r="7550" spans="1:9" hidden="1" x14ac:dyDescent="0.25">
      <c r="A7550">
        <v>2024</v>
      </c>
      <c r="B7550" s="140" t="s">
        <v>126</v>
      </c>
      <c r="C7550" s="140" t="s">
        <v>50</v>
      </c>
      <c r="D7550" s="140" t="s">
        <v>11</v>
      </c>
      <c r="E7550" s="140" t="s">
        <v>12</v>
      </c>
      <c r="F7550">
        <v>6272</v>
      </c>
      <c r="G7550" s="140" t="s">
        <v>438</v>
      </c>
      <c r="H7550">
        <v>0</v>
      </c>
      <c r="I7550" s="140" t="s">
        <v>17</v>
      </c>
    </row>
    <row r="7551" spans="1:9" hidden="1" x14ac:dyDescent="0.25">
      <c r="A7551">
        <v>2025</v>
      </c>
      <c r="B7551" s="140" t="s">
        <v>126</v>
      </c>
      <c r="C7551" s="140" t="s">
        <v>50</v>
      </c>
      <c r="D7551" s="140" t="s">
        <v>11</v>
      </c>
      <c r="E7551" s="140" t="s">
        <v>12</v>
      </c>
      <c r="F7551">
        <v>7064</v>
      </c>
      <c r="G7551" s="140" t="s">
        <v>438</v>
      </c>
      <c r="H7551">
        <v>0</v>
      </c>
      <c r="I7551" s="140" t="s">
        <v>17</v>
      </c>
    </row>
    <row r="7552" spans="1:9" hidden="1" x14ac:dyDescent="0.25">
      <c r="A7552">
        <v>2026</v>
      </c>
      <c r="B7552" s="140" t="s">
        <v>126</v>
      </c>
      <c r="C7552" s="140" t="s">
        <v>50</v>
      </c>
      <c r="D7552" s="140" t="s">
        <v>11</v>
      </c>
      <c r="E7552" s="140" t="s">
        <v>12</v>
      </c>
      <c r="F7552">
        <v>7566.9567999999999</v>
      </c>
      <c r="G7552" s="140" t="s">
        <v>438</v>
      </c>
      <c r="H7552">
        <v>0</v>
      </c>
      <c r="I7552" s="140" t="s">
        <v>17</v>
      </c>
    </row>
    <row r="7553" spans="1:9" hidden="1" x14ac:dyDescent="0.25">
      <c r="A7553">
        <v>2027</v>
      </c>
      <c r="B7553" s="140" t="s">
        <v>126</v>
      </c>
      <c r="C7553" s="140" t="s">
        <v>50</v>
      </c>
      <c r="D7553" s="140" t="s">
        <v>11</v>
      </c>
      <c r="E7553" s="140" t="s">
        <v>12</v>
      </c>
      <c r="F7553">
        <v>7911.253334</v>
      </c>
      <c r="G7553" s="140" t="s">
        <v>438</v>
      </c>
      <c r="H7553">
        <v>0</v>
      </c>
      <c r="I7553" s="140" t="s">
        <v>17</v>
      </c>
    </row>
    <row r="7554" spans="1:9" hidden="1" x14ac:dyDescent="0.25">
      <c r="A7554">
        <v>2028</v>
      </c>
      <c r="B7554" s="140" t="s">
        <v>126</v>
      </c>
      <c r="C7554" s="140" t="s">
        <v>50</v>
      </c>
      <c r="D7554" s="140" t="s">
        <v>11</v>
      </c>
      <c r="E7554" s="140" t="s">
        <v>12</v>
      </c>
      <c r="F7554">
        <v>8150.1731849999996</v>
      </c>
      <c r="G7554" s="140" t="s">
        <v>438</v>
      </c>
      <c r="H7554">
        <v>0</v>
      </c>
      <c r="I7554" s="140" t="s">
        <v>17</v>
      </c>
    </row>
    <row r="7555" spans="1:9" hidden="1" x14ac:dyDescent="0.25">
      <c r="A7555">
        <v>1990</v>
      </c>
      <c r="B7555" s="140" t="s">
        <v>126</v>
      </c>
      <c r="C7555" s="140" t="s">
        <v>21</v>
      </c>
      <c r="D7555" s="140" t="s">
        <v>11</v>
      </c>
      <c r="E7555" s="140" t="s">
        <v>12</v>
      </c>
      <c r="F7555">
        <v>4208</v>
      </c>
      <c r="G7555" s="140" t="s">
        <v>438</v>
      </c>
      <c r="H7555">
        <v>0</v>
      </c>
      <c r="I7555" s="140" t="s">
        <v>17</v>
      </c>
    </row>
    <row r="7556" spans="1:9" hidden="1" x14ac:dyDescent="0.25">
      <c r="A7556">
        <v>1991</v>
      </c>
      <c r="B7556" s="140" t="s">
        <v>126</v>
      </c>
      <c r="C7556" s="140" t="s">
        <v>21</v>
      </c>
      <c r="D7556" s="140" t="s">
        <v>11</v>
      </c>
      <c r="E7556" s="140" t="s">
        <v>12</v>
      </c>
      <c r="F7556">
        <v>3960</v>
      </c>
      <c r="G7556" s="140" t="s">
        <v>438</v>
      </c>
      <c r="H7556">
        <v>0</v>
      </c>
      <c r="I7556" s="140" t="s">
        <v>17</v>
      </c>
    </row>
    <row r="7557" spans="1:9" hidden="1" x14ac:dyDescent="0.25">
      <c r="A7557">
        <v>1992</v>
      </c>
      <c r="B7557" s="140" t="s">
        <v>126</v>
      </c>
      <c r="C7557" s="140" t="s">
        <v>21</v>
      </c>
      <c r="D7557" s="140" t="s">
        <v>11</v>
      </c>
      <c r="E7557" s="140" t="s">
        <v>12</v>
      </c>
      <c r="F7557">
        <v>3690</v>
      </c>
      <c r="G7557" s="140" t="s">
        <v>438</v>
      </c>
      <c r="H7557">
        <v>0</v>
      </c>
      <c r="I7557" s="140" t="s">
        <v>17</v>
      </c>
    </row>
    <row r="7558" spans="1:9" hidden="1" x14ac:dyDescent="0.25">
      <c r="A7558">
        <v>1993</v>
      </c>
      <c r="B7558" s="140" t="s">
        <v>126</v>
      </c>
      <c r="C7558" s="140" t="s">
        <v>21</v>
      </c>
      <c r="D7558" s="140" t="s">
        <v>11</v>
      </c>
      <c r="E7558" s="140" t="s">
        <v>12</v>
      </c>
      <c r="F7558">
        <v>3349</v>
      </c>
      <c r="G7558" s="140" t="s">
        <v>438</v>
      </c>
      <c r="H7558">
        <v>0</v>
      </c>
      <c r="I7558" s="140" t="s">
        <v>17</v>
      </c>
    </row>
    <row r="7559" spans="1:9" hidden="1" x14ac:dyDescent="0.25">
      <c r="A7559">
        <v>1994</v>
      </c>
      <c r="B7559" s="140" t="s">
        <v>126</v>
      </c>
      <c r="C7559" s="140" t="s">
        <v>21</v>
      </c>
      <c r="D7559" s="140" t="s">
        <v>11</v>
      </c>
      <c r="E7559" s="140" t="s">
        <v>12</v>
      </c>
      <c r="F7559">
        <v>3358</v>
      </c>
      <c r="G7559" s="140" t="s">
        <v>438</v>
      </c>
      <c r="H7559">
        <v>0</v>
      </c>
      <c r="I7559" s="140" t="s">
        <v>17</v>
      </c>
    </row>
    <row r="7560" spans="1:9" hidden="1" x14ac:dyDescent="0.25">
      <c r="A7560">
        <v>1995</v>
      </c>
      <c r="B7560" s="140" t="s">
        <v>126</v>
      </c>
      <c r="C7560" s="140" t="s">
        <v>21</v>
      </c>
      <c r="D7560" s="140" t="s">
        <v>11</v>
      </c>
      <c r="E7560" s="140" t="s">
        <v>12</v>
      </c>
      <c r="F7560">
        <v>3630</v>
      </c>
      <c r="G7560" s="140" t="s">
        <v>438</v>
      </c>
      <c r="H7560">
        <v>0</v>
      </c>
      <c r="I7560" s="140" t="s">
        <v>17</v>
      </c>
    </row>
    <row r="7561" spans="1:9" hidden="1" x14ac:dyDescent="0.25">
      <c r="A7561">
        <v>1996</v>
      </c>
      <c r="B7561" s="140" t="s">
        <v>126</v>
      </c>
      <c r="C7561" s="140" t="s">
        <v>21</v>
      </c>
      <c r="D7561" s="140" t="s">
        <v>11</v>
      </c>
      <c r="E7561" s="140" t="s">
        <v>12</v>
      </c>
      <c r="F7561">
        <v>3867</v>
      </c>
      <c r="G7561" s="140" t="s">
        <v>438</v>
      </c>
      <c r="H7561">
        <v>0</v>
      </c>
      <c r="I7561" s="140" t="s">
        <v>17</v>
      </c>
    </row>
    <row r="7562" spans="1:9" hidden="1" x14ac:dyDescent="0.25">
      <c r="A7562">
        <v>1997</v>
      </c>
      <c r="B7562" s="140" t="s">
        <v>126</v>
      </c>
      <c r="C7562" s="140" t="s">
        <v>21</v>
      </c>
      <c r="D7562" s="140" t="s">
        <v>11</v>
      </c>
      <c r="E7562" s="140" t="s">
        <v>12</v>
      </c>
      <c r="F7562">
        <v>3861</v>
      </c>
      <c r="G7562" s="140" t="s">
        <v>438</v>
      </c>
      <c r="H7562">
        <v>0</v>
      </c>
      <c r="I7562" s="140" t="s">
        <v>17</v>
      </c>
    </row>
    <row r="7563" spans="1:9" hidden="1" x14ac:dyDescent="0.25">
      <c r="A7563">
        <v>1998</v>
      </c>
      <c r="B7563" s="140" t="s">
        <v>126</v>
      </c>
      <c r="C7563" s="140" t="s">
        <v>21</v>
      </c>
      <c r="D7563" s="140" t="s">
        <v>11</v>
      </c>
      <c r="E7563" s="140" t="s">
        <v>12</v>
      </c>
      <c r="F7563">
        <v>4110</v>
      </c>
      <c r="G7563" s="140" t="s">
        <v>438</v>
      </c>
      <c r="H7563">
        <v>0</v>
      </c>
      <c r="I7563" s="140" t="s">
        <v>17</v>
      </c>
    </row>
    <row r="7564" spans="1:9" hidden="1" x14ac:dyDescent="0.25">
      <c r="A7564">
        <v>1999</v>
      </c>
      <c r="B7564" s="140" t="s">
        <v>126</v>
      </c>
      <c r="C7564" s="140" t="s">
        <v>21</v>
      </c>
      <c r="D7564" s="140" t="s">
        <v>11</v>
      </c>
      <c r="E7564" s="140" t="s">
        <v>12</v>
      </c>
      <c r="F7564">
        <v>4039</v>
      </c>
      <c r="G7564" s="140" t="s">
        <v>438</v>
      </c>
      <c r="H7564">
        <v>0</v>
      </c>
      <c r="I7564" s="140" t="s">
        <v>17</v>
      </c>
    </row>
    <row r="7565" spans="1:9" hidden="1" x14ac:dyDescent="0.25">
      <c r="A7565">
        <v>2000</v>
      </c>
      <c r="B7565" s="140" t="s">
        <v>126</v>
      </c>
      <c r="C7565" s="140" t="s">
        <v>21</v>
      </c>
      <c r="D7565" s="140" t="s">
        <v>11</v>
      </c>
      <c r="E7565" s="140" t="s">
        <v>12</v>
      </c>
      <c r="F7565">
        <v>4130</v>
      </c>
      <c r="G7565" s="140" t="s">
        <v>438</v>
      </c>
      <c r="H7565">
        <v>0</v>
      </c>
      <c r="I7565" s="140" t="s">
        <v>17</v>
      </c>
    </row>
    <row r="7566" spans="1:9" hidden="1" x14ac:dyDescent="0.25">
      <c r="A7566">
        <v>2001</v>
      </c>
      <c r="B7566" s="140" t="s">
        <v>126</v>
      </c>
      <c r="C7566" s="140" t="s">
        <v>21</v>
      </c>
      <c r="D7566" s="140" t="s">
        <v>11</v>
      </c>
      <c r="E7566" s="140" t="s">
        <v>12</v>
      </c>
      <c r="F7566">
        <v>4312</v>
      </c>
      <c r="G7566" s="140" t="s">
        <v>438</v>
      </c>
      <c r="H7566">
        <v>0</v>
      </c>
      <c r="I7566" s="140" t="s">
        <v>17</v>
      </c>
    </row>
    <row r="7567" spans="1:9" hidden="1" x14ac:dyDescent="0.25">
      <c r="A7567">
        <v>2002</v>
      </c>
      <c r="B7567" s="140" t="s">
        <v>126</v>
      </c>
      <c r="C7567" s="140" t="s">
        <v>21</v>
      </c>
      <c r="D7567" s="140" t="s">
        <v>11</v>
      </c>
      <c r="E7567" s="140" t="s">
        <v>12</v>
      </c>
      <c r="F7567">
        <v>4235</v>
      </c>
      <c r="G7567" s="140" t="s">
        <v>438</v>
      </c>
      <c r="H7567">
        <v>0</v>
      </c>
      <c r="I7567" s="140" t="s">
        <v>17</v>
      </c>
    </row>
    <row r="7568" spans="1:9" hidden="1" x14ac:dyDescent="0.25">
      <c r="A7568">
        <v>2003</v>
      </c>
      <c r="B7568" s="140" t="s">
        <v>126</v>
      </c>
      <c r="C7568" s="140" t="s">
        <v>21</v>
      </c>
      <c r="D7568" s="140" t="s">
        <v>11</v>
      </c>
      <c r="E7568" s="140" t="s">
        <v>12</v>
      </c>
      <c r="F7568">
        <v>4179</v>
      </c>
      <c r="G7568" s="140" t="s">
        <v>438</v>
      </c>
      <c r="H7568">
        <v>0</v>
      </c>
      <c r="I7568" s="140" t="s">
        <v>17</v>
      </c>
    </row>
    <row r="7569" spans="1:9" hidden="1" x14ac:dyDescent="0.25">
      <c r="A7569">
        <v>2004</v>
      </c>
      <c r="B7569" s="140" t="s">
        <v>126</v>
      </c>
      <c r="C7569" s="140" t="s">
        <v>21</v>
      </c>
      <c r="D7569" s="140" t="s">
        <v>11</v>
      </c>
      <c r="E7569" s="140" t="s">
        <v>12</v>
      </c>
      <c r="F7569">
        <v>4337</v>
      </c>
      <c r="G7569" s="140" t="s">
        <v>438</v>
      </c>
      <c r="H7569">
        <v>0</v>
      </c>
      <c r="I7569" s="140" t="s">
        <v>17</v>
      </c>
    </row>
    <row r="7570" spans="1:9" hidden="1" x14ac:dyDescent="0.25">
      <c r="A7570">
        <v>2005</v>
      </c>
      <c r="B7570" s="140" t="s">
        <v>126</v>
      </c>
      <c r="C7570" s="140" t="s">
        <v>21</v>
      </c>
      <c r="D7570" s="140" t="s">
        <v>11</v>
      </c>
      <c r="E7570" s="140" t="s">
        <v>12</v>
      </c>
      <c r="F7570">
        <v>4038</v>
      </c>
      <c r="G7570" s="140" t="s">
        <v>438</v>
      </c>
      <c r="H7570">
        <v>0</v>
      </c>
      <c r="I7570" s="140" t="s">
        <v>17</v>
      </c>
    </row>
    <row r="7571" spans="1:9" hidden="1" x14ac:dyDescent="0.25">
      <c r="A7571">
        <v>2006</v>
      </c>
      <c r="B7571" s="140" t="s">
        <v>126</v>
      </c>
      <c r="C7571" s="140" t="s">
        <v>21</v>
      </c>
      <c r="D7571" s="140" t="s">
        <v>11</v>
      </c>
      <c r="E7571" s="140" t="s">
        <v>12</v>
      </c>
      <c r="F7571">
        <v>4118</v>
      </c>
      <c r="G7571" s="140" t="s">
        <v>438</v>
      </c>
      <c r="H7571">
        <v>0</v>
      </c>
      <c r="I7571" s="140" t="s">
        <v>17</v>
      </c>
    </row>
    <row r="7572" spans="1:9" hidden="1" x14ac:dyDescent="0.25">
      <c r="A7572">
        <v>2007</v>
      </c>
      <c r="B7572" s="140" t="s">
        <v>126</v>
      </c>
      <c r="C7572" s="140" t="s">
        <v>21</v>
      </c>
      <c r="D7572" s="140" t="s">
        <v>11</v>
      </c>
      <c r="E7572" s="140" t="s">
        <v>12</v>
      </c>
      <c r="F7572">
        <v>4548</v>
      </c>
      <c r="G7572" s="140" t="s">
        <v>438</v>
      </c>
      <c r="H7572">
        <v>0</v>
      </c>
      <c r="I7572" s="140" t="s">
        <v>17</v>
      </c>
    </row>
    <row r="7573" spans="1:9" hidden="1" x14ac:dyDescent="0.25">
      <c r="A7573">
        <v>2008</v>
      </c>
      <c r="B7573" s="140" t="s">
        <v>126</v>
      </c>
      <c r="C7573" s="140" t="s">
        <v>21</v>
      </c>
      <c r="D7573" s="140" t="s">
        <v>11</v>
      </c>
      <c r="E7573" s="140" t="s">
        <v>12</v>
      </c>
      <c r="F7573">
        <v>4712</v>
      </c>
      <c r="G7573" s="140" t="s">
        <v>438</v>
      </c>
      <c r="H7573">
        <v>0</v>
      </c>
      <c r="I7573" s="140" t="s">
        <v>17</v>
      </c>
    </row>
    <row r="7574" spans="1:9" hidden="1" x14ac:dyDescent="0.25">
      <c r="A7574">
        <v>2009</v>
      </c>
      <c r="B7574" s="140" t="s">
        <v>126</v>
      </c>
      <c r="C7574" s="140" t="s">
        <v>21</v>
      </c>
      <c r="D7574" s="140" t="s">
        <v>11</v>
      </c>
      <c r="E7574" s="140" t="s">
        <v>12</v>
      </c>
      <c r="F7574">
        <v>4344</v>
      </c>
      <c r="G7574" s="140" t="s">
        <v>438</v>
      </c>
      <c r="H7574">
        <v>0</v>
      </c>
      <c r="I7574" s="140" t="s">
        <v>17</v>
      </c>
    </row>
    <row r="7575" spans="1:9" hidden="1" x14ac:dyDescent="0.25">
      <c r="A7575">
        <v>2010</v>
      </c>
      <c r="B7575" s="140" t="s">
        <v>126</v>
      </c>
      <c r="C7575" s="140" t="s">
        <v>21</v>
      </c>
      <c r="D7575" s="140" t="s">
        <v>11</v>
      </c>
      <c r="E7575" s="140" t="s">
        <v>12</v>
      </c>
      <c r="F7575">
        <v>5194</v>
      </c>
      <c r="G7575" s="140" t="s">
        <v>438</v>
      </c>
      <c r="H7575">
        <v>0</v>
      </c>
      <c r="I7575" s="140" t="s">
        <v>17</v>
      </c>
    </row>
    <row r="7576" spans="1:9" hidden="1" x14ac:dyDescent="0.25">
      <c r="A7576">
        <v>2011</v>
      </c>
      <c r="B7576" s="140" t="s">
        <v>126</v>
      </c>
      <c r="C7576" s="140" t="s">
        <v>21</v>
      </c>
      <c r="D7576" s="140" t="s">
        <v>11</v>
      </c>
      <c r="E7576" s="140" t="s">
        <v>12</v>
      </c>
      <c r="F7576">
        <v>4705</v>
      </c>
      <c r="G7576" s="140" t="s">
        <v>438</v>
      </c>
      <c r="H7576">
        <v>0</v>
      </c>
      <c r="I7576" s="140" t="s">
        <v>17</v>
      </c>
    </row>
    <row r="7577" spans="1:9" hidden="1" x14ac:dyDescent="0.25">
      <c r="A7577">
        <v>2012</v>
      </c>
      <c r="B7577" s="140" t="s">
        <v>126</v>
      </c>
      <c r="C7577" s="140" t="s">
        <v>21</v>
      </c>
      <c r="D7577" s="140" t="s">
        <v>11</v>
      </c>
      <c r="E7577" s="140" t="s">
        <v>12</v>
      </c>
      <c r="F7577">
        <v>4210</v>
      </c>
      <c r="G7577" s="140" t="s">
        <v>438</v>
      </c>
      <c r="H7577">
        <v>0</v>
      </c>
      <c r="I7577" s="140" t="s">
        <v>17</v>
      </c>
    </row>
    <row r="7578" spans="1:9" hidden="1" x14ac:dyDescent="0.25">
      <c r="A7578">
        <v>2013</v>
      </c>
      <c r="B7578" s="140" t="s">
        <v>126</v>
      </c>
      <c r="C7578" s="140" t="s">
        <v>21</v>
      </c>
      <c r="D7578" s="140" t="s">
        <v>11</v>
      </c>
      <c r="E7578" s="140" t="s">
        <v>12</v>
      </c>
      <c r="F7578">
        <v>4426</v>
      </c>
      <c r="G7578" s="140" t="s">
        <v>438</v>
      </c>
      <c r="H7578">
        <v>0</v>
      </c>
      <c r="I7578" s="140" t="s">
        <v>17</v>
      </c>
    </row>
    <row r="7579" spans="1:9" hidden="1" x14ac:dyDescent="0.25">
      <c r="A7579">
        <v>2014</v>
      </c>
      <c r="B7579" s="140" t="s">
        <v>126</v>
      </c>
      <c r="C7579" s="140" t="s">
        <v>21</v>
      </c>
      <c r="D7579" s="140" t="s">
        <v>11</v>
      </c>
      <c r="E7579" s="140" t="s">
        <v>12</v>
      </c>
      <c r="F7579">
        <v>4698</v>
      </c>
      <c r="G7579" s="140" t="s">
        <v>438</v>
      </c>
      <c r="H7579">
        <v>0</v>
      </c>
      <c r="I7579" s="140" t="s">
        <v>17</v>
      </c>
    </row>
    <row r="7580" spans="1:9" hidden="1" x14ac:dyDescent="0.25">
      <c r="A7580">
        <v>2015</v>
      </c>
      <c r="B7580" s="140" t="s">
        <v>126</v>
      </c>
      <c r="C7580" s="140" t="s">
        <v>21</v>
      </c>
      <c r="D7580" s="140" t="s">
        <v>11</v>
      </c>
      <c r="E7580" s="140" t="s">
        <v>12</v>
      </c>
      <c r="F7580">
        <v>4666</v>
      </c>
      <c r="G7580" s="140" t="s">
        <v>438</v>
      </c>
      <c r="H7580">
        <v>0</v>
      </c>
      <c r="I7580" s="140" t="s">
        <v>17</v>
      </c>
    </row>
    <row r="7581" spans="1:9" hidden="1" x14ac:dyDescent="0.25">
      <c r="A7581">
        <v>2016</v>
      </c>
      <c r="B7581" s="140" t="s">
        <v>126</v>
      </c>
      <c r="C7581" s="140" t="s">
        <v>21</v>
      </c>
      <c r="D7581" s="140" t="s">
        <v>11</v>
      </c>
      <c r="E7581" s="140" t="s">
        <v>12</v>
      </c>
      <c r="F7581">
        <v>5400</v>
      </c>
      <c r="G7581" s="140" t="s">
        <v>438</v>
      </c>
      <c r="H7581">
        <v>0</v>
      </c>
      <c r="I7581" s="140" t="s">
        <v>17</v>
      </c>
    </row>
    <row r="7582" spans="1:9" hidden="1" x14ac:dyDescent="0.25">
      <c r="A7582">
        <v>2017</v>
      </c>
      <c r="B7582" s="140" t="s">
        <v>126</v>
      </c>
      <c r="C7582" s="140" t="s">
        <v>21</v>
      </c>
      <c r="D7582" s="140" t="s">
        <v>11</v>
      </c>
      <c r="E7582" s="140" t="s">
        <v>12</v>
      </c>
      <c r="F7582">
        <v>5644</v>
      </c>
      <c r="G7582" s="140" t="s">
        <v>438</v>
      </c>
      <c r="H7582">
        <v>0</v>
      </c>
      <c r="I7582" s="140" t="s">
        <v>17</v>
      </c>
    </row>
    <row r="7583" spans="1:9" hidden="1" x14ac:dyDescent="0.25">
      <c r="A7583">
        <v>2018</v>
      </c>
      <c r="B7583" s="140" t="s">
        <v>126</v>
      </c>
      <c r="C7583" s="140" t="s">
        <v>21</v>
      </c>
      <c r="D7583" s="140" t="s">
        <v>11</v>
      </c>
      <c r="E7583" s="140" t="s">
        <v>12</v>
      </c>
      <c r="F7583">
        <v>5723</v>
      </c>
      <c r="G7583" s="140" t="s">
        <v>438</v>
      </c>
      <c r="H7583">
        <v>0</v>
      </c>
      <c r="I7583" s="140" t="s">
        <v>17</v>
      </c>
    </row>
    <row r="7584" spans="1:9" hidden="1" x14ac:dyDescent="0.25">
      <c r="A7584">
        <v>2019</v>
      </c>
      <c r="B7584" s="140" t="s">
        <v>126</v>
      </c>
      <c r="C7584" s="140" t="s">
        <v>21</v>
      </c>
      <c r="D7584" s="140" t="s">
        <v>11</v>
      </c>
      <c r="E7584" s="140" t="s">
        <v>12</v>
      </c>
      <c r="F7584">
        <v>4814</v>
      </c>
      <c r="G7584" s="140" t="s">
        <v>438</v>
      </c>
      <c r="H7584">
        <v>0</v>
      </c>
      <c r="I7584" s="140" t="s">
        <v>17</v>
      </c>
    </row>
    <row r="7585" spans="1:9" hidden="1" x14ac:dyDescent="0.25">
      <c r="A7585">
        <v>2020</v>
      </c>
      <c r="B7585" s="140" t="s">
        <v>126</v>
      </c>
      <c r="C7585" s="140" t="s">
        <v>21</v>
      </c>
      <c r="D7585" s="140" t="s">
        <v>11</v>
      </c>
      <c r="E7585" s="140" t="s">
        <v>12</v>
      </c>
      <c r="F7585">
        <v>5191</v>
      </c>
      <c r="G7585" s="140" t="s">
        <v>438</v>
      </c>
      <c r="H7585">
        <v>0</v>
      </c>
      <c r="I7585" s="140" t="s">
        <v>17</v>
      </c>
    </row>
    <row r="7586" spans="1:9" hidden="1" x14ac:dyDescent="0.25">
      <c r="A7586">
        <v>2021</v>
      </c>
      <c r="B7586" s="140" t="s">
        <v>126</v>
      </c>
      <c r="C7586" s="140" t="s">
        <v>21</v>
      </c>
      <c r="D7586" s="140" t="s">
        <v>11</v>
      </c>
      <c r="E7586" s="140" t="s">
        <v>12</v>
      </c>
      <c r="F7586">
        <v>5067</v>
      </c>
      <c r="G7586" s="140" t="s">
        <v>438</v>
      </c>
      <c r="H7586">
        <v>0</v>
      </c>
      <c r="I7586" s="140" t="s">
        <v>17</v>
      </c>
    </row>
    <row r="7587" spans="1:9" hidden="1" x14ac:dyDescent="0.25">
      <c r="A7587">
        <v>2022</v>
      </c>
      <c r="B7587" s="140" t="s">
        <v>126</v>
      </c>
      <c r="C7587" s="140" t="s">
        <v>21</v>
      </c>
      <c r="D7587" s="140" t="s">
        <v>11</v>
      </c>
      <c r="E7587" s="140" t="s">
        <v>12</v>
      </c>
      <c r="F7587">
        <v>5424</v>
      </c>
      <c r="G7587" s="140" t="s">
        <v>438</v>
      </c>
      <c r="H7587">
        <v>0</v>
      </c>
      <c r="I7587" s="140" t="s">
        <v>17</v>
      </c>
    </row>
    <row r="7588" spans="1:9" hidden="1" x14ac:dyDescent="0.25">
      <c r="A7588">
        <v>2023</v>
      </c>
      <c r="B7588" s="140" t="s">
        <v>126</v>
      </c>
      <c r="C7588" s="140" t="s">
        <v>21</v>
      </c>
      <c r="D7588" s="140" t="s">
        <v>11</v>
      </c>
      <c r="E7588" s="140" t="s">
        <v>12</v>
      </c>
      <c r="F7588">
        <v>5011</v>
      </c>
      <c r="G7588" s="140" t="s">
        <v>438</v>
      </c>
      <c r="H7588">
        <v>0</v>
      </c>
      <c r="I7588" s="140" t="s">
        <v>17</v>
      </c>
    </row>
    <row r="7589" spans="1:9" hidden="1" x14ac:dyDescent="0.25">
      <c r="A7589">
        <v>2024</v>
      </c>
      <c r="B7589" s="140" t="s">
        <v>126</v>
      </c>
      <c r="C7589" s="140" t="s">
        <v>21</v>
      </c>
      <c r="D7589" s="140" t="s">
        <v>11</v>
      </c>
      <c r="E7589" s="140" t="s">
        <v>12</v>
      </c>
      <c r="F7589">
        <v>4941</v>
      </c>
      <c r="G7589" s="140" t="s">
        <v>438</v>
      </c>
      <c r="H7589">
        <v>0</v>
      </c>
      <c r="I7589" s="140" t="s">
        <v>17</v>
      </c>
    </row>
    <row r="7590" spans="1:9" hidden="1" x14ac:dyDescent="0.25">
      <c r="A7590">
        <v>2025</v>
      </c>
      <c r="B7590" s="140" t="s">
        <v>126</v>
      </c>
      <c r="C7590" s="140" t="s">
        <v>21</v>
      </c>
      <c r="D7590" s="140" t="s">
        <v>11</v>
      </c>
      <c r="E7590" s="140" t="s">
        <v>12</v>
      </c>
      <c r="F7590">
        <v>5488</v>
      </c>
      <c r="G7590" s="140" t="s">
        <v>438</v>
      </c>
      <c r="H7590">
        <v>0</v>
      </c>
      <c r="I7590" s="140" t="s">
        <v>17</v>
      </c>
    </row>
    <row r="7591" spans="1:9" hidden="1" x14ac:dyDescent="0.25">
      <c r="A7591">
        <v>2026</v>
      </c>
      <c r="B7591" s="140" t="s">
        <v>126</v>
      </c>
      <c r="C7591" s="140" t="s">
        <v>21</v>
      </c>
      <c r="D7591" s="140" t="s">
        <v>11</v>
      </c>
      <c r="E7591" s="140" t="s">
        <v>12</v>
      </c>
      <c r="F7591">
        <v>5707.52</v>
      </c>
      <c r="G7591" s="140" t="s">
        <v>438</v>
      </c>
      <c r="H7591">
        <v>0</v>
      </c>
      <c r="I7591" s="140" t="s">
        <v>17</v>
      </c>
    </row>
    <row r="7592" spans="1:9" hidden="1" x14ac:dyDescent="0.25">
      <c r="A7592">
        <v>2027</v>
      </c>
      <c r="B7592" s="140" t="s">
        <v>126</v>
      </c>
      <c r="C7592" s="140" t="s">
        <v>21</v>
      </c>
      <c r="D7592" s="140" t="s">
        <v>11</v>
      </c>
      <c r="E7592" s="140" t="s">
        <v>12</v>
      </c>
      <c r="F7592">
        <v>5821.6704</v>
      </c>
      <c r="G7592" s="140" t="s">
        <v>438</v>
      </c>
      <c r="H7592">
        <v>0</v>
      </c>
      <c r="I7592" s="140" t="s">
        <v>17</v>
      </c>
    </row>
    <row r="7593" spans="1:9" hidden="1" x14ac:dyDescent="0.25">
      <c r="A7593">
        <v>2028</v>
      </c>
      <c r="B7593" s="140" t="s">
        <v>126</v>
      </c>
      <c r="C7593" s="140" t="s">
        <v>21</v>
      </c>
      <c r="D7593" s="140" t="s">
        <v>11</v>
      </c>
      <c r="E7593" s="140" t="s">
        <v>12</v>
      </c>
      <c r="F7593">
        <v>5879.8871040000004</v>
      </c>
      <c r="G7593" s="140" t="s">
        <v>438</v>
      </c>
      <c r="H7593">
        <v>0</v>
      </c>
      <c r="I7593" s="140" t="s">
        <v>17</v>
      </c>
    </row>
    <row r="7594" spans="1:9" hidden="1" x14ac:dyDescent="0.25">
      <c r="A7594">
        <v>1990</v>
      </c>
      <c r="B7594" s="140" t="s">
        <v>119</v>
      </c>
      <c r="C7594" s="140" t="s">
        <v>19</v>
      </c>
      <c r="D7594" s="140" t="s">
        <v>11</v>
      </c>
      <c r="E7594" s="140" t="s">
        <v>12</v>
      </c>
      <c r="F7594">
        <v>26996</v>
      </c>
      <c r="G7594" s="140" t="s">
        <v>210</v>
      </c>
      <c r="H7594">
        <v>0</v>
      </c>
      <c r="I7594" s="140" t="s">
        <v>17</v>
      </c>
    </row>
    <row r="7595" spans="1:9" hidden="1" x14ac:dyDescent="0.25">
      <c r="A7595">
        <v>1991</v>
      </c>
      <c r="B7595" s="140" t="s">
        <v>119</v>
      </c>
      <c r="C7595" s="140" t="s">
        <v>19</v>
      </c>
      <c r="D7595" s="140" t="s">
        <v>11</v>
      </c>
      <c r="E7595" s="140" t="s">
        <v>12</v>
      </c>
      <c r="F7595">
        <v>22485</v>
      </c>
      <c r="G7595" s="140" t="s">
        <v>210</v>
      </c>
      <c r="H7595">
        <v>0</v>
      </c>
      <c r="I7595" s="140" t="s">
        <v>17</v>
      </c>
    </row>
    <row r="7596" spans="1:9" hidden="1" x14ac:dyDescent="0.25">
      <c r="A7596">
        <v>1992</v>
      </c>
      <c r="B7596" s="140" t="s">
        <v>119</v>
      </c>
      <c r="C7596" s="140" t="s">
        <v>19</v>
      </c>
      <c r="D7596" s="140" t="s">
        <v>11</v>
      </c>
      <c r="E7596" s="140" t="s">
        <v>12</v>
      </c>
      <c r="F7596">
        <v>18844</v>
      </c>
      <c r="G7596" s="140" t="s">
        <v>210</v>
      </c>
      <c r="H7596">
        <v>0</v>
      </c>
      <c r="I7596" s="140" t="s">
        <v>17</v>
      </c>
    </row>
    <row r="7597" spans="1:9" hidden="1" x14ac:dyDescent="0.25">
      <c r="A7597">
        <v>1993</v>
      </c>
      <c r="B7597" s="140" t="s">
        <v>119</v>
      </c>
      <c r="C7597" s="140" t="s">
        <v>19</v>
      </c>
      <c r="D7597" s="140" t="s">
        <v>11</v>
      </c>
      <c r="E7597" s="140" t="s">
        <v>12</v>
      </c>
      <c r="F7597">
        <v>16413</v>
      </c>
      <c r="G7597" s="140" t="s">
        <v>210</v>
      </c>
      <c r="H7597">
        <v>0</v>
      </c>
      <c r="I7597" s="140" t="s">
        <v>17</v>
      </c>
    </row>
    <row r="7598" spans="1:9" hidden="1" x14ac:dyDescent="0.25">
      <c r="A7598">
        <v>1994</v>
      </c>
      <c r="B7598" s="140" t="s">
        <v>119</v>
      </c>
      <c r="C7598" s="140" t="s">
        <v>19</v>
      </c>
      <c r="D7598" s="140" t="s">
        <v>11</v>
      </c>
      <c r="E7598" s="140" t="s">
        <v>12</v>
      </c>
      <c r="F7598">
        <v>16927</v>
      </c>
      <c r="G7598" s="140" t="s">
        <v>210</v>
      </c>
      <c r="H7598">
        <v>0</v>
      </c>
      <c r="I7598" s="140" t="s">
        <v>17</v>
      </c>
    </row>
    <row r="7599" spans="1:9" hidden="1" x14ac:dyDescent="0.25">
      <c r="A7599">
        <v>1995</v>
      </c>
      <c r="B7599" s="140" t="s">
        <v>119</v>
      </c>
      <c r="C7599" s="140" t="s">
        <v>19</v>
      </c>
      <c r="D7599" s="140" t="s">
        <v>11</v>
      </c>
      <c r="E7599" s="140" t="s">
        <v>12</v>
      </c>
      <c r="F7599">
        <v>18999</v>
      </c>
      <c r="G7599" s="140" t="s">
        <v>210</v>
      </c>
      <c r="H7599">
        <v>0</v>
      </c>
      <c r="I7599" s="140" t="s">
        <v>17</v>
      </c>
    </row>
    <row r="7600" spans="1:9" hidden="1" x14ac:dyDescent="0.25">
      <c r="A7600">
        <v>1996</v>
      </c>
      <c r="B7600" s="140" t="s">
        <v>119</v>
      </c>
      <c r="C7600" s="140" t="s">
        <v>19</v>
      </c>
      <c r="D7600" s="140" t="s">
        <v>11</v>
      </c>
      <c r="E7600" s="140" t="s">
        <v>12</v>
      </c>
      <c r="F7600">
        <v>20930</v>
      </c>
      <c r="G7600" s="140" t="s">
        <v>210</v>
      </c>
      <c r="H7600">
        <v>0</v>
      </c>
      <c r="I7600" s="140" t="s">
        <v>17</v>
      </c>
    </row>
    <row r="7601" spans="1:9" hidden="1" x14ac:dyDescent="0.25">
      <c r="A7601">
        <v>1997</v>
      </c>
      <c r="B7601" s="140" t="s">
        <v>119</v>
      </c>
      <c r="C7601" s="140" t="s">
        <v>19</v>
      </c>
      <c r="D7601" s="140" t="s">
        <v>11</v>
      </c>
      <c r="E7601" s="140" t="s">
        <v>12</v>
      </c>
      <c r="F7601">
        <v>23670</v>
      </c>
      <c r="G7601" s="140" t="s">
        <v>210</v>
      </c>
      <c r="H7601">
        <v>0</v>
      </c>
      <c r="I7601" s="140" t="s">
        <v>17</v>
      </c>
    </row>
    <row r="7602" spans="1:9" hidden="1" x14ac:dyDescent="0.25">
      <c r="A7602">
        <v>1998</v>
      </c>
      <c r="B7602" s="140" t="s">
        <v>119</v>
      </c>
      <c r="C7602" s="140" t="s">
        <v>19</v>
      </c>
      <c r="D7602" s="140" t="s">
        <v>11</v>
      </c>
      <c r="E7602" s="140" t="s">
        <v>12</v>
      </c>
      <c r="F7602">
        <v>26757</v>
      </c>
      <c r="G7602" s="140" t="s">
        <v>210</v>
      </c>
      <c r="H7602">
        <v>0</v>
      </c>
      <c r="I7602" s="140" t="s">
        <v>17</v>
      </c>
    </row>
    <row r="7603" spans="1:9" hidden="1" x14ac:dyDescent="0.25">
      <c r="A7603">
        <v>1999</v>
      </c>
      <c r="B7603" s="140" t="s">
        <v>119</v>
      </c>
      <c r="C7603" s="140" t="s">
        <v>19</v>
      </c>
      <c r="D7603" s="140" t="s">
        <v>11</v>
      </c>
      <c r="E7603" s="140" t="s">
        <v>12</v>
      </c>
      <c r="F7603">
        <v>28485</v>
      </c>
      <c r="G7603" s="140" t="s">
        <v>210</v>
      </c>
      <c r="H7603">
        <v>0</v>
      </c>
      <c r="I7603" s="140" t="s">
        <v>17</v>
      </c>
    </row>
    <row r="7604" spans="1:9" hidden="1" x14ac:dyDescent="0.25">
      <c r="A7604">
        <v>2000</v>
      </c>
      <c r="B7604" s="140" t="s">
        <v>119</v>
      </c>
      <c r="C7604" s="140" t="s">
        <v>19</v>
      </c>
      <c r="D7604" s="140" t="s">
        <v>11</v>
      </c>
      <c r="E7604" s="140" t="s">
        <v>12</v>
      </c>
      <c r="F7604">
        <v>31460</v>
      </c>
      <c r="G7604" s="140" t="s">
        <v>210</v>
      </c>
      <c r="H7604">
        <v>0</v>
      </c>
      <c r="I7604" s="140" t="s">
        <v>17</v>
      </c>
    </row>
    <row r="7605" spans="1:9" hidden="1" x14ac:dyDescent="0.25">
      <c r="A7605">
        <v>2001</v>
      </c>
      <c r="B7605" s="140" t="s">
        <v>119</v>
      </c>
      <c r="C7605" s="140" t="s">
        <v>19</v>
      </c>
      <c r="D7605" s="140" t="s">
        <v>11</v>
      </c>
      <c r="E7605" s="140" t="s">
        <v>12</v>
      </c>
      <c r="F7605">
        <v>33084</v>
      </c>
      <c r="G7605" s="140" t="s">
        <v>210</v>
      </c>
      <c r="H7605">
        <v>0</v>
      </c>
      <c r="I7605" s="140" t="s">
        <v>17</v>
      </c>
    </row>
    <row r="7606" spans="1:9" hidden="1" x14ac:dyDescent="0.25">
      <c r="A7606">
        <v>2002</v>
      </c>
      <c r="B7606" s="140" t="s">
        <v>119</v>
      </c>
      <c r="C7606" s="140" t="s">
        <v>19</v>
      </c>
      <c r="D7606" s="140" t="s">
        <v>11</v>
      </c>
      <c r="E7606" s="140" t="s">
        <v>12</v>
      </c>
      <c r="F7606">
        <v>32076</v>
      </c>
      <c r="G7606" s="140" t="s">
        <v>210</v>
      </c>
      <c r="H7606">
        <v>0</v>
      </c>
      <c r="I7606" s="140" t="s">
        <v>17</v>
      </c>
    </row>
    <row r="7607" spans="1:9" hidden="1" x14ac:dyDescent="0.25">
      <c r="A7607">
        <v>2003</v>
      </c>
      <c r="B7607" s="140" t="s">
        <v>119</v>
      </c>
      <c r="C7607" s="140" t="s">
        <v>19</v>
      </c>
      <c r="D7607" s="140" t="s">
        <v>11</v>
      </c>
      <c r="E7607" s="140" t="s">
        <v>12</v>
      </c>
      <c r="F7607">
        <v>33056</v>
      </c>
      <c r="G7607" s="140" t="s">
        <v>210</v>
      </c>
      <c r="H7607">
        <v>0</v>
      </c>
      <c r="I7607" s="140" t="s">
        <v>17</v>
      </c>
    </row>
    <row r="7608" spans="1:9" hidden="1" x14ac:dyDescent="0.25">
      <c r="A7608">
        <v>2004</v>
      </c>
      <c r="B7608" s="140" t="s">
        <v>119</v>
      </c>
      <c r="C7608" s="140" t="s">
        <v>19</v>
      </c>
      <c r="D7608" s="140" t="s">
        <v>11</v>
      </c>
      <c r="E7608" s="140" t="s">
        <v>12</v>
      </c>
      <c r="F7608">
        <v>35336</v>
      </c>
      <c r="G7608" s="140" t="s">
        <v>210</v>
      </c>
      <c r="H7608">
        <v>0</v>
      </c>
      <c r="I7608" s="140" t="s">
        <v>17</v>
      </c>
    </row>
    <row r="7609" spans="1:9" hidden="1" x14ac:dyDescent="0.25">
      <c r="A7609">
        <v>2005</v>
      </c>
      <c r="B7609" s="140" t="s">
        <v>119</v>
      </c>
      <c r="C7609" s="140" t="s">
        <v>19</v>
      </c>
      <c r="D7609" s="140" t="s">
        <v>11</v>
      </c>
      <c r="E7609" s="140" t="s">
        <v>12</v>
      </c>
      <c r="F7609">
        <v>37743</v>
      </c>
      <c r="G7609" s="140" t="s">
        <v>210</v>
      </c>
      <c r="H7609">
        <v>0</v>
      </c>
      <c r="I7609" s="140" t="s">
        <v>17</v>
      </c>
    </row>
    <row r="7610" spans="1:9" hidden="1" x14ac:dyDescent="0.25">
      <c r="A7610">
        <v>2006</v>
      </c>
      <c r="B7610" s="140" t="s">
        <v>119</v>
      </c>
      <c r="C7610" s="140" t="s">
        <v>19</v>
      </c>
      <c r="D7610" s="140" t="s">
        <v>11</v>
      </c>
      <c r="E7610" s="140" t="s">
        <v>12</v>
      </c>
      <c r="F7610">
        <v>39358</v>
      </c>
      <c r="G7610" s="140" t="s">
        <v>210</v>
      </c>
      <c r="H7610">
        <v>0</v>
      </c>
      <c r="I7610" s="140" t="s">
        <v>17</v>
      </c>
    </row>
    <row r="7611" spans="1:9" hidden="1" x14ac:dyDescent="0.25">
      <c r="A7611">
        <v>2007</v>
      </c>
      <c r="B7611" s="140" t="s">
        <v>119</v>
      </c>
      <c r="C7611" s="140" t="s">
        <v>19</v>
      </c>
      <c r="D7611" s="140" t="s">
        <v>11</v>
      </c>
      <c r="E7611" s="140" t="s">
        <v>12</v>
      </c>
      <c r="F7611">
        <v>45263</v>
      </c>
      <c r="G7611" s="140" t="s">
        <v>210</v>
      </c>
      <c r="H7611">
        <v>0</v>
      </c>
      <c r="I7611" s="140" t="s">
        <v>17</v>
      </c>
    </row>
    <row r="7612" spans="1:9" hidden="1" x14ac:dyDescent="0.25">
      <c r="A7612">
        <v>2008</v>
      </c>
      <c r="B7612" s="140" t="s">
        <v>119</v>
      </c>
      <c r="C7612" s="140" t="s">
        <v>19</v>
      </c>
      <c r="D7612" s="140" t="s">
        <v>11</v>
      </c>
      <c r="E7612" s="140" t="s">
        <v>12</v>
      </c>
      <c r="F7612">
        <v>47583</v>
      </c>
      <c r="G7612" s="140" t="s">
        <v>210</v>
      </c>
      <c r="H7612">
        <v>0</v>
      </c>
      <c r="I7612" s="140" t="s">
        <v>17</v>
      </c>
    </row>
    <row r="7613" spans="1:9" hidden="1" x14ac:dyDescent="0.25">
      <c r="A7613">
        <v>2009</v>
      </c>
      <c r="B7613" s="140" t="s">
        <v>119</v>
      </c>
      <c r="C7613" s="140" t="s">
        <v>19</v>
      </c>
      <c r="D7613" s="140" t="s">
        <v>11</v>
      </c>
      <c r="E7613" s="140" t="s">
        <v>12</v>
      </c>
      <c r="F7613">
        <v>41720</v>
      </c>
      <c r="G7613" s="140" t="s">
        <v>210</v>
      </c>
      <c r="H7613">
        <v>0</v>
      </c>
      <c r="I7613" s="140" t="s">
        <v>17</v>
      </c>
    </row>
    <row r="7614" spans="1:9" hidden="1" x14ac:dyDescent="0.25">
      <c r="A7614">
        <v>2010</v>
      </c>
      <c r="B7614" s="140" t="s">
        <v>119</v>
      </c>
      <c r="C7614" s="140" t="s">
        <v>19</v>
      </c>
      <c r="D7614" s="140" t="s">
        <v>11</v>
      </c>
      <c r="E7614" s="140" t="s">
        <v>12</v>
      </c>
      <c r="F7614">
        <v>42937</v>
      </c>
      <c r="G7614" s="140" t="s">
        <v>210</v>
      </c>
      <c r="H7614">
        <v>0</v>
      </c>
      <c r="I7614" s="140" t="s">
        <v>17</v>
      </c>
    </row>
    <row r="7615" spans="1:9" hidden="1" x14ac:dyDescent="0.25">
      <c r="A7615">
        <v>2011</v>
      </c>
      <c r="B7615" s="140" t="s">
        <v>119</v>
      </c>
      <c r="C7615" s="140" t="s">
        <v>19</v>
      </c>
      <c r="D7615" s="140" t="s">
        <v>11</v>
      </c>
      <c r="E7615" s="140" t="s">
        <v>12</v>
      </c>
      <c r="F7615">
        <v>45280</v>
      </c>
      <c r="G7615" s="140" t="s">
        <v>210</v>
      </c>
      <c r="H7615">
        <v>0</v>
      </c>
      <c r="I7615" s="140" t="s">
        <v>17</v>
      </c>
    </row>
    <row r="7616" spans="1:9" hidden="1" x14ac:dyDescent="0.25">
      <c r="A7616">
        <v>2012</v>
      </c>
      <c r="B7616" s="140" t="s">
        <v>119</v>
      </c>
      <c r="C7616" s="140" t="s">
        <v>19</v>
      </c>
      <c r="D7616" s="140" t="s">
        <v>11</v>
      </c>
      <c r="E7616" s="140" t="s">
        <v>12</v>
      </c>
      <c r="F7616">
        <v>46718</v>
      </c>
      <c r="G7616" s="140" t="s">
        <v>210</v>
      </c>
      <c r="H7616">
        <v>0</v>
      </c>
      <c r="I7616" s="140" t="s">
        <v>17</v>
      </c>
    </row>
    <row r="7617" spans="1:9" hidden="1" x14ac:dyDescent="0.25">
      <c r="A7617">
        <v>2013</v>
      </c>
      <c r="B7617" s="140" t="s">
        <v>119</v>
      </c>
      <c r="C7617" s="140" t="s">
        <v>19</v>
      </c>
      <c r="D7617" s="140" t="s">
        <v>11</v>
      </c>
      <c r="E7617" s="140" t="s">
        <v>12</v>
      </c>
      <c r="F7617">
        <v>45444</v>
      </c>
      <c r="G7617" s="140" t="s">
        <v>210</v>
      </c>
      <c r="H7617">
        <v>0</v>
      </c>
      <c r="I7617" s="140" t="s">
        <v>17</v>
      </c>
    </row>
    <row r="7618" spans="1:9" hidden="1" x14ac:dyDescent="0.25">
      <c r="A7618">
        <v>2014</v>
      </c>
      <c r="B7618" s="140" t="s">
        <v>119</v>
      </c>
      <c r="C7618" s="140" t="s">
        <v>19</v>
      </c>
      <c r="D7618" s="140" t="s">
        <v>11</v>
      </c>
      <c r="E7618" s="140" t="s">
        <v>12</v>
      </c>
      <c r="F7618">
        <v>44705</v>
      </c>
      <c r="G7618" s="140" t="s">
        <v>210</v>
      </c>
      <c r="H7618">
        <v>0</v>
      </c>
      <c r="I7618" s="140" t="s">
        <v>17</v>
      </c>
    </row>
    <row r="7619" spans="1:9" hidden="1" x14ac:dyDescent="0.25">
      <c r="A7619">
        <v>2015</v>
      </c>
      <c r="B7619" s="140" t="s">
        <v>119</v>
      </c>
      <c r="C7619" s="140" t="s">
        <v>19</v>
      </c>
      <c r="D7619" s="140" t="s">
        <v>11</v>
      </c>
      <c r="E7619" s="140" t="s">
        <v>12</v>
      </c>
      <c r="F7619">
        <v>45023</v>
      </c>
      <c r="G7619" s="140" t="s">
        <v>210</v>
      </c>
      <c r="H7619">
        <v>0</v>
      </c>
      <c r="I7619" s="140" t="s">
        <v>17</v>
      </c>
    </row>
    <row r="7620" spans="1:9" hidden="1" x14ac:dyDescent="0.25">
      <c r="A7620">
        <v>2016</v>
      </c>
      <c r="B7620" s="140" t="s">
        <v>119</v>
      </c>
      <c r="C7620" s="140" t="s">
        <v>19</v>
      </c>
      <c r="D7620" s="140" t="s">
        <v>11</v>
      </c>
      <c r="E7620" s="140" t="s">
        <v>12</v>
      </c>
      <c r="F7620">
        <v>49728</v>
      </c>
      <c r="G7620" s="140" t="s">
        <v>210</v>
      </c>
      <c r="H7620">
        <v>0</v>
      </c>
      <c r="I7620" s="140" t="s">
        <v>17</v>
      </c>
    </row>
    <row r="7621" spans="1:9" hidden="1" x14ac:dyDescent="0.25">
      <c r="A7621">
        <v>2017</v>
      </c>
      <c r="B7621" s="140" t="s">
        <v>119</v>
      </c>
      <c r="C7621" s="140" t="s">
        <v>19</v>
      </c>
      <c r="D7621" s="140" t="s">
        <v>11</v>
      </c>
      <c r="E7621" s="140" t="s">
        <v>12</v>
      </c>
      <c r="F7621">
        <v>53231</v>
      </c>
      <c r="G7621" s="140" t="s">
        <v>210</v>
      </c>
      <c r="H7621">
        <v>0</v>
      </c>
      <c r="I7621" s="140" t="s">
        <v>17</v>
      </c>
    </row>
    <row r="7622" spans="1:9" hidden="1" x14ac:dyDescent="0.25">
      <c r="A7622">
        <v>2018</v>
      </c>
      <c r="B7622" s="140" t="s">
        <v>119</v>
      </c>
      <c r="C7622" s="140" t="s">
        <v>19</v>
      </c>
      <c r="D7622" s="140" t="s">
        <v>11</v>
      </c>
      <c r="E7622" s="140" t="s">
        <v>12</v>
      </c>
      <c r="F7622">
        <v>57033</v>
      </c>
      <c r="G7622" s="140" t="s">
        <v>210</v>
      </c>
      <c r="H7622">
        <v>0</v>
      </c>
      <c r="I7622" s="140" t="s">
        <v>17</v>
      </c>
    </row>
    <row r="7623" spans="1:9" hidden="1" x14ac:dyDescent="0.25">
      <c r="A7623">
        <v>2019</v>
      </c>
      <c r="B7623" s="140" t="s">
        <v>119</v>
      </c>
      <c r="C7623" s="140" t="s">
        <v>19</v>
      </c>
      <c r="D7623" s="140" t="s">
        <v>11</v>
      </c>
      <c r="E7623" s="140" t="s">
        <v>12</v>
      </c>
      <c r="F7623">
        <v>58248</v>
      </c>
      <c r="G7623" s="140" t="s">
        <v>210</v>
      </c>
      <c r="H7623">
        <v>0</v>
      </c>
      <c r="I7623" s="140" t="s">
        <v>17</v>
      </c>
    </row>
    <row r="7624" spans="1:9" hidden="1" x14ac:dyDescent="0.25">
      <c r="A7624">
        <v>2020</v>
      </c>
      <c r="B7624" s="140" t="s">
        <v>119</v>
      </c>
      <c r="C7624" s="140" t="s">
        <v>19</v>
      </c>
      <c r="D7624" s="140" t="s">
        <v>11</v>
      </c>
      <c r="E7624" s="140" t="s">
        <v>12</v>
      </c>
      <c r="F7624">
        <v>58284</v>
      </c>
      <c r="G7624" s="140" t="s">
        <v>210</v>
      </c>
      <c r="H7624">
        <v>0</v>
      </c>
      <c r="I7624" s="140" t="s">
        <v>17</v>
      </c>
    </row>
    <row r="7625" spans="1:9" hidden="1" x14ac:dyDescent="0.25">
      <c r="A7625">
        <v>2021</v>
      </c>
      <c r="B7625" s="140" t="s">
        <v>119</v>
      </c>
      <c r="C7625" s="140" t="s">
        <v>19</v>
      </c>
      <c r="D7625" s="140" t="s">
        <v>11</v>
      </c>
      <c r="E7625" s="140" t="s">
        <v>12</v>
      </c>
      <c r="F7625">
        <v>60750</v>
      </c>
      <c r="G7625" s="140" t="s">
        <v>210</v>
      </c>
      <c r="H7625">
        <v>0</v>
      </c>
      <c r="I7625" s="140" t="s">
        <v>17</v>
      </c>
    </row>
    <row r="7626" spans="1:9" hidden="1" x14ac:dyDescent="0.25">
      <c r="A7626">
        <v>2022</v>
      </c>
      <c r="B7626" s="140" t="s">
        <v>119</v>
      </c>
      <c r="C7626" s="140" t="s">
        <v>19</v>
      </c>
      <c r="D7626" s="140" t="s">
        <v>11</v>
      </c>
      <c r="E7626" s="140" t="s">
        <v>12</v>
      </c>
      <c r="F7626">
        <v>65640</v>
      </c>
      <c r="G7626" s="140" t="s">
        <v>210</v>
      </c>
      <c r="H7626">
        <v>0</v>
      </c>
      <c r="I7626" s="140" t="s">
        <v>17</v>
      </c>
    </row>
    <row r="7627" spans="1:9" hidden="1" x14ac:dyDescent="0.25">
      <c r="A7627">
        <v>2023</v>
      </c>
      <c r="B7627" s="140" t="s">
        <v>119</v>
      </c>
      <c r="C7627" s="140" t="s">
        <v>19</v>
      </c>
      <c r="D7627" s="140" t="s">
        <v>11</v>
      </c>
      <c r="E7627" s="140" t="s">
        <v>12</v>
      </c>
      <c r="F7627">
        <v>63879</v>
      </c>
      <c r="G7627" s="140" t="s">
        <v>210</v>
      </c>
      <c r="H7627">
        <v>0</v>
      </c>
      <c r="I7627" s="140" t="s">
        <v>17</v>
      </c>
    </row>
    <row r="7628" spans="1:9" hidden="1" x14ac:dyDescent="0.25">
      <c r="A7628">
        <v>2024</v>
      </c>
      <c r="B7628" s="140" t="s">
        <v>119</v>
      </c>
      <c r="C7628" s="140" t="s">
        <v>19</v>
      </c>
      <c r="D7628" s="140" t="s">
        <v>11</v>
      </c>
      <c r="E7628" s="140" t="s">
        <v>12</v>
      </c>
      <c r="F7628">
        <v>60816</v>
      </c>
      <c r="G7628" s="140" t="s">
        <v>210</v>
      </c>
      <c r="H7628">
        <v>0</v>
      </c>
      <c r="I7628" s="140" t="s">
        <v>17</v>
      </c>
    </row>
    <row r="7629" spans="1:9" hidden="1" x14ac:dyDescent="0.25">
      <c r="A7629">
        <v>2025</v>
      </c>
      <c r="B7629" s="140" t="s">
        <v>119</v>
      </c>
      <c r="C7629" s="140" t="s">
        <v>19</v>
      </c>
      <c r="D7629" s="140" t="s">
        <v>11</v>
      </c>
      <c r="E7629" s="140" t="s">
        <v>12</v>
      </c>
      <c r="F7629">
        <v>61739</v>
      </c>
      <c r="G7629" s="140" t="s">
        <v>210</v>
      </c>
      <c r="H7629">
        <v>0</v>
      </c>
      <c r="I7629" s="140" t="s">
        <v>17</v>
      </c>
    </row>
    <row r="7630" spans="1:9" hidden="1" x14ac:dyDescent="0.25">
      <c r="A7630">
        <v>2026</v>
      </c>
      <c r="B7630" s="140" t="s">
        <v>119</v>
      </c>
      <c r="C7630" s="140" t="s">
        <v>19</v>
      </c>
      <c r="D7630" s="140" t="s">
        <v>11</v>
      </c>
      <c r="E7630" s="140" t="s">
        <v>12</v>
      </c>
      <c r="F7630">
        <v>67787.211550000007</v>
      </c>
      <c r="G7630" s="140" t="s">
        <v>210</v>
      </c>
      <c r="H7630">
        <v>0</v>
      </c>
      <c r="I7630" s="140" t="s">
        <v>17</v>
      </c>
    </row>
    <row r="7631" spans="1:9" hidden="1" x14ac:dyDescent="0.25">
      <c r="A7631">
        <v>2027</v>
      </c>
      <c r="B7631" s="140" t="s">
        <v>119</v>
      </c>
      <c r="C7631" s="140" t="s">
        <v>19</v>
      </c>
      <c r="D7631" s="140" t="s">
        <v>11</v>
      </c>
      <c r="E7631" s="140" t="s">
        <v>12</v>
      </c>
      <c r="F7631">
        <v>72311.867259999999</v>
      </c>
      <c r="G7631" s="140" t="s">
        <v>210</v>
      </c>
      <c r="H7631">
        <v>0</v>
      </c>
      <c r="I7631" s="140" t="s">
        <v>17</v>
      </c>
    </row>
    <row r="7632" spans="1:9" hidden="1" x14ac:dyDescent="0.25">
      <c r="A7632">
        <v>2028</v>
      </c>
      <c r="B7632" s="140" t="s">
        <v>119</v>
      </c>
      <c r="C7632" s="140" t="s">
        <v>19</v>
      </c>
      <c r="D7632" s="140" t="s">
        <v>11</v>
      </c>
      <c r="E7632" s="140" t="s">
        <v>12</v>
      </c>
      <c r="F7632">
        <v>76572.816810000004</v>
      </c>
      <c r="G7632" s="140" t="s">
        <v>210</v>
      </c>
      <c r="H7632">
        <v>0</v>
      </c>
      <c r="I7632" s="140" t="s">
        <v>17</v>
      </c>
    </row>
    <row r="7633" spans="1:9" hidden="1" x14ac:dyDescent="0.25">
      <c r="A7633">
        <v>2029</v>
      </c>
      <c r="B7633" s="140" t="s">
        <v>119</v>
      </c>
      <c r="C7633" s="140" t="s">
        <v>19</v>
      </c>
      <c r="D7633" s="140" t="s">
        <v>11</v>
      </c>
      <c r="E7633" s="140" t="s">
        <v>12</v>
      </c>
      <c r="F7633">
        <v>80366.159750000006</v>
      </c>
      <c r="G7633" s="140" t="s">
        <v>210</v>
      </c>
      <c r="H7633">
        <v>0</v>
      </c>
      <c r="I7633" s="140" t="s">
        <v>17</v>
      </c>
    </row>
    <row r="7634" spans="1:9" hidden="1" x14ac:dyDescent="0.25">
      <c r="A7634">
        <v>2030</v>
      </c>
      <c r="B7634" s="140" t="s">
        <v>119</v>
      </c>
      <c r="C7634" s="140" t="s">
        <v>19</v>
      </c>
      <c r="D7634" s="140" t="s">
        <v>11</v>
      </c>
      <c r="E7634" s="140" t="s">
        <v>12</v>
      </c>
      <c r="F7634">
        <v>83678.531390000004</v>
      </c>
      <c r="G7634" s="140" t="s">
        <v>210</v>
      </c>
      <c r="H7634">
        <v>0</v>
      </c>
      <c r="I7634" s="140" t="s">
        <v>17</v>
      </c>
    </row>
    <row r="7635" spans="1:9" hidden="1" x14ac:dyDescent="0.25">
      <c r="A7635">
        <v>1991</v>
      </c>
      <c r="B7635" s="140" t="s">
        <v>119</v>
      </c>
      <c r="C7635" s="140" t="s">
        <v>132</v>
      </c>
      <c r="D7635" s="140" t="s">
        <v>11</v>
      </c>
      <c r="E7635" s="140" t="s">
        <v>12</v>
      </c>
      <c r="F7635">
        <v>22430.316409999999</v>
      </c>
      <c r="G7635" s="140" t="s">
        <v>210</v>
      </c>
      <c r="H7635">
        <v>0</v>
      </c>
      <c r="I7635" s="140" t="s">
        <v>17</v>
      </c>
    </row>
    <row r="7636" spans="1:9" hidden="1" x14ac:dyDescent="0.25">
      <c r="A7636">
        <v>1992</v>
      </c>
      <c r="B7636" s="140" t="s">
        <v>119</v>
      </c>
      <c r="C7636" s="140" t="s">
        <v>132</v>
      </c>
      <c r="D7636" s="140" t="s">
        <v>11</v>
      </c>
      <c r="E7636" s="140" t="s">
        <v>12</v>
      </c>
      <c r="F7636">
        <v>19392.53904</v>
      </c>
      <c r="G7636" s="140" t="s">
        <v>210</v>
      </c>
      <c r="H7636">
        <v>0</v>
      </c>
      <c r="I7636" s="140" t="s">
        <v>17</v>
      </c>
    </row>
    <row r="7637" spans="1:9" hidden="1" x14ac:dyDescent="0.25">
      <c r="A7637">
        <v>1993</v>
      </c>
      <c r="B7637" s="140" t="s">
        <v>119</v>
      </c>
      <c r="C7637" s="140" t="s">
        <v>132</v>
      </c>
      <c r="D7637" s="140" t="s">
        <v>11</v>
      </c>
      <c r="E7637" s="140" t="s">
        <v>12</v>
      </c>
      <c r="F7637">
        <v>16485.544330000001</v>
      </c>
      <c r="G7637" s="140" t="s">
        <v>210</v>
      </c>
      <c r="H7637">
        <v>0</v>
      </c>
      <c r="I7637" s="140" t="s">
        <v>17</v>
      </c>
    </row>
    <row r="7638" spans="1:9" hidden="1" x14ac:dyDescent="0.25">
      <c r="A7638">
        <v>1994</v>
      </c>
      <c r="B7638" s="140" t="s">
        <v>119</v>
      </c>
      <c r="C7638" s="140" t="s">
        <v>132</v>
      </c>
      <c r="D7638" s="140" t="s">
        <v>11</v>
      </c>
      <c r="E7638" s="140" t="s">
        <v>12</v>
      </c>
      <c r="F7638">
        <v>16551.557410000001</v>
      </c>
      <c r="G7638" s="140" t="s">
        <v>210</v>
      </c>
      <c r="H7638">
        <v>0</v>
      </c>
      <c r="I7638" s="140" t="s">
        <v>17</v>
      </c>
    </row>
    <row r="7639" spans="1:9" hidden="1" x14ac:dyDescent="0.25">
      <c r="A7639">
        <v>1995</v>
      </c>
      <c r="B7639" s="140" t="s">
        <v>119</v>
      </c>
      <c r="C7639" s="140" t="s">
        <v>132</v>
      </c>
      <c r="D7639" s="140" t="s">
        <v>11</v>
      </c>
      <c r="E7639" s="140" t="s">
        <v>12</v>
      </c>
      <c r="F7639">
        <v>19049.065790000001</v>
      </c>
      <c r="G7639" s="140" t="s">
        <v>210</v>
      </c>
      <c r="H7639">
        <v>0</v>
      </c>
      <c r="I7639" s="140" t="s">
        <v>17</v>
      </c>
    </row>
    <row r="7640" spans="1:9" hidden="1" x14ac:dyDescent="0.25">
      <c r="A7640">
        <v>1996</v>
      </c>
      <c r="B7640" s="140" t="s">
        <v>119</v>
      </c>
      <c r="C7640" s="140" t="s">
        <v>132</v>
      </c>
      <c r="D7640" s="140" t="s">
        <v>11</v>
      </c>
      <c r="E7640" s="140" t="s">
        <v>12</v>
      </c>
      <c r="F7640">
        <v>20900.066299999999</v>
      </c>
      <c r="G7640" s="140" t="s">
        <v>210</v>
      </c>
      <c r="H7640">
        <v>0</v>
      </c>
      <c r="I7640" s="140" t="s">
        <v>17</v>
      </c>
    </row>
    <row r="7641" spans="1:9" hidden="1" x14ac:dyDescent="0.25">
      <c r="A7641">
        <v>1997</v>
      </c>
      <c r="B7641" s="140" t="s">
        <v>119</v>
      </c>
      <c r="C7641" s="140" t="s">
        <v>132</v>
      </c>
      <c r="D7641" s="140" t="s">
        <v>11</v>
      </c>
      <c r="E7641" s="140" t="s">
        <v>12</v>
      </c>
      <c r="F7641">
        <v>23208.2261</v>
      </c>
      <c r="G7641" s="140" t="s">
        <v>210</v>
      </c>
      <c r="H7641">
        <v>0</v>
      </c>
      <c r="I7641" s="140" t="s">
        <v>17</v>
      </c>
    </row>
    <row r="7642" spans="1:9" hidden="1" x14ac:dyDescent="0.25">
      <c r="A7642">
        <v>1998</v>
      </c>
      <c r="B7642" s="140" t="s">
        <v>119</v>
      </c>
      <c r="C7642" s="140" t="s">
        <v>132</v>
      </c>
      <c r="D7642" s="140" t="s">
        <v>11</v>
      </c>
      <c r="E7642" s="140" t="s">
        <v>12</v>
      </c>
      <c r="F7642">
        <v>26196.061280000002</v>
      </c>
      <c r="G7642" s="140" t="s">
        <v>210</v>
      </c>
      <c r="H7642">
        <v>0</v>
      </c>
      <c r="I7642" s="140" t="s">
        <v>17</v>
      </c>
    </row>
    <row r="7643" spans="1:9" hidden="1" x14ac:dyDescent="0.25">
      <c r="A7643">
        <v>1999</v>
      </c>
      <c r="B7643" s="140" t="s">
        <v>119</v>
      </c>
      <c r="C7643" s="140" t="s">
        <v>132</v>
      </c>
      <c r="D7643" s="140" t="s">
        <v>11</v>
      </c>
      <c r="E7643" s="140" t="s">
        <v>12</v>
      </c>
      <c r="F7643">
        <v>27969.420969999999</v>
      </c>
      <c r="G7643" s="140" t="s">
        <v>210</v>
      </c>
      <c r="H7643">
        <v>0</v>
      </c>
      <c r="I7643" s="140" t="s">
        <v>17</v>
      </c>
    </row>
    <row r="7644" spans="1:9" hidden="1" x14ac:dyDescent="0.25">
      <c r="A7644">
        <v>2000</v>
      </c>
      <c r="B7644" s="140" t="s">
        <v>119</v>
      </c>
      <c r="C7644" s="140" t="s">
        <v>132</v>
      </c>
      <c r="D7644" s="140" t="s">
        <v>11</v>
      </c>
      <c r="E7644" s="140" t="s">
        <v>12</v>
      </c>
      <c r="F7644">
        <v>30256.246709999999</v>
      </c>
      <c r="G7644" s="140" t="s">
        <v>210</v>
      </c>
      <c r="H7644">
        <v>0</v>
      </c>
      <c r="I7644" s="140" t="s">
        <v>17</v>
      </c>
    </row>
    <row r="7645" spans="1:9" hidden="1" x14ac:dyDescent="0.25">
      <c r="A7645">
        <v>2001</v>
      </c>
      <c r="B7645" s="140" t="s">
        <v>119</v>
      </c>
      <c r="C7645" s="140" t="s">
        <v>132</v>
      </c>
      <c r="D7645" s="140" t="s">
        <v>11</v>
      </c>
      <c r="E7645" s="140" t="s">
        <v>12</v>
      </c>
      <c r="F7645">
        <v>32014.7886</v>
      </c>
      <c r="G7645" s="140" t="s">
        <v>210</v>
      </c>
      <c r="H7645">
        <v>0</v>
      </c>
      <c r="I7645" s="140" t="s">
        <v>17</v>
      </c>
    </row>
    <row r="7646" spans="1:9" hidden="1" x14ac:dyDescent="0.25">
      <c r="A7646">
        <v>2002</v>
      </c>
      <c r="B7646" s="140" t="s">
        <v>119</v>
      </c>
      <c r="C7646" s="140" t="s">
        <v>132</v>
      </c>
      <c r="D7646" s="140" t="s">
        <v>11</v>
      </c>
      <c r="E7646" s="140" t="s">
        <v>12</v>
      </c>
      <c r="F7646">
        <v>32107.324540000001</v>
      </c>
      <c r="G7646" s="140" t="s">
        <v>210</v>
      </c>
      <c r="H7646">
        <v>0</v>
      </c>
      <c r="I7646" s="140" t="s">
        <v>17</v>
      </c>
    </row>
    <row r="7647" spans="1:9" hidden="1" x14ac:dyDescent="0.25">
      <c r="A7647">
        <v>2003</v>
      </c>
      <c r="B7647" s="140" t="s">
        <v>119</v>
      </c>
      <c r="C7647" s="140" t="s">
        <v>132</v>
      </c>
      <c r="D7647" s="140" t="s">
        <v>11</v>
      </c>
      <c r="E7647" s="140" t="s">
        <v>12</v>
      </c>
      <c r="F7647">
        <v>32972.694539999997</v>
      </c>
      <c r="G7647" s="140" t="s">
        <v>210</v>
      </c>
      <c r="H7647">
        <v>0</v>
      </c>
      <c r="I7647" s="140" t="s">
        <v>17</v>
      </c>
    </row>
    <row r="7648" spans="1:9" hidden="1" x14ac:dyDescent="0.25">
      <c r="A7648">
        <v>2004</v>
      </c>
      <c r="B7648" s="140" t="s">
        <v>119</v>
      </c>
      <c r="C7648" s="140" t="s">
        <v>132</v>
      </c>
      <c r="D7648" s="140" t="s">
        <v>11</v>
      </c>
      <c r="E7648" s="140" t="s">
        <v>12</v>
      </c>
      <c r="F7648">
        <v>34597.410539999997</v>
      </c>
      <c r="G7648" s="140" t="s">
        <v>210</v>
      </c>
      <c r="H7648">
        <v>0</v>
      </c>
      <c r="I7648" s="140" t="s">
        <v>17</v>
      </c>
    </row>
    <row r="7649" spans="1:9" hidden="1" x14ac:dyDescent="0.25">
      <c r="A7649">
        <v>2005</v>
      </c>
      <c r="B7649" s="140" t="s">
        <v>119</v>
      </c>
      <c r="C7649" s="140" t="s">
        <v>132</v>
      </c>
      <c r="D7649" s="140" t="s">
        <v>11</v>
      </c>
      <c r="E7649" s="140" t="s">
        <v>12</v>
      </c>
      <c r="F7649">
        <v>36484.89069</v>
      </c>
      <c r="G7649" s="140" t="s">
        <v>210</v>
      </c>
      <c r="H7649">
        <v>0</v>
      </c>
      <c r="I7649" s="140" t="s">
        <v>17</v>
      </c>
    </row>
    <row r="7650" spans="1:9" hidden="1" x14ac:dyDescent="0.25">
      <c r="A7650">
        <v>2006</v>
      </c>
      <c r="B7650" s="140" t="s">
        <v>119</v>
      </c>
      <c r="C7650" s="140" t="s">
        <v>132</v>
      </c>
      <c r="D7650" s="140" t="s">
        <v>11</v>
      </c>
      <c r="E7650" s="140" t="s">
        <v>12</v>
      </c>
      <c r="F7650">
        <v>38255.202160000001</v>
      </c>
      <c r="G7650" s="140" t="s">
        <v>210</v>
      </c>
      <c r="H7650">
        <v>0</v>
      </c>
      <c r="I7650" s="140" t="s">
        <v>17</v>
      </c>
    </row>
    <row r="7651" spans="1:9" hidden="1" x14ac:dyDescent="0.25">
      <c r="A7651">
        <v>2007</v>
      </c>
      <c r="B7651" s="140" t="s">
        <v>119</v>
      </c>
      <c r="C7651" s="140" t="s">
        <v>132</v>
      </c>
      <c r="D7651" s="140" t="s">
        <v>11</v>
      </c>
      <c r="E7651" s="140" t="s">
        <v>12</v>
      </c>
      <c r="F7651">
        <v>43410.875489999999</v>
      </c>
      <c r="G7651" s="140" t="s">
        <v>210</v>
      </c>
      <c r="H7651">
        <v>0</v>
      </c>
      <c r="I7651" s="140" t="s">
        <v>17</v>
      </c>
    </row>
    <row r="7652" spans="1:9" hidden="1" x14ac:dyDescent="0.25">
      <c r="A7652">
        <v>2008</v>
      </c>
      <c r="B7652" s="140" t="s">
        <v>119</v>
      </c>
      <c r="C7652" s="140" t="s">
        <v>132</v>
      </c>
      <c r="D7652" s="140" t="s">
        <v>11</v>
      </c>
      <c r="E7652" s="140" t="s">
        <v>12</v>
      </c>
      <c r="F7652">
        <v>45550.172440000002</v>
      </c>
      <c r="G7652" s="140" t="s">
        <v>210</v>
      </c>
      <c r="H7652">
        <v>0</v>
      </c>
      <c r="I7652" s="140" t="s">
        <v>17</v>
      </c>
    </row>
    <row r="7653" spans="1:9" hidden="1" x14ac:dyDescent="0.25">
      <c r="A7653">
        <v>2009</v>
      </c>
      <c r="B7653" s="140" t="s">
        <v>119</v>
      </c>
      <c r="C7653" s="140" t="s">
        <v>132</v>
      </c>
      <c r="D7653" s="140" t="s">
        <v>11</v>
      </c>
      <c r="E7653" s="140" t="s">
        <v>12</v>
      </c>
      <c r="F7653">
        <v>41859.071499999998</v>
      </c>
      <c r="G7653" s="140" t="s">
        <v>210</v>
      </c>
      <c r="H7653">
        <v>0</v>
      </c>
      <c r="I7653" s="140" t="s">
        <v>17</v>
      </c>
    </row>
    <row r="7654" spans="1:9" hidden="1" x14ac:dyDescent="0.25">
      <c r="A7654">
        <v>2010</v>
      </c>
      <c r="B7654" s="140" t="s">
        <v>119</v>
      </c>
      <c r="C7654" s="140" t="s">
        <v>132</v>
      </c>
      <c r="D7654" s="140" t="s">
        <v>11</v>
      </c>
      <c r="E7654" s="140" t="s">
        <v>12</v>
      </c>
      <c r="F7654">
        <v>43646.32172</v>
      </c>
      <c r="G7654" s="140" t="s">
        <v>210</v>
      </c>
      <c r="H7654">
        <v>0</v>
      </c>
      <c r="I7654" s="140" t="s">
        <v>17</v>
      </c>
    </row>
    <row r="7655" spans="1:9" hidden="1" x14ac:dyDescent="0.25">
      <c r="A7655">
        <v>2011</v>
      </c>
      <c r="B7655" s="140" t="s">
        <v>119</v>
      </c>
      <c r="C7655" s="140" t="s">
        <v>132</v>
      </c>
      <c r="D7655" s="140" t="s">
        <v>11</v>
      </c>
      <c r="E7655" s="140" t="s">
        <v>12</v>
      </c>
      <c r="F7655">
        <v>44052.518759999999</v>
      </c>
      <c r="G7655" s="140" t="s">
        <v>210</v>
      </c>
      <c r="H7655">
        <v>0</v>
      </c>
      <c r="I7655" s="140" t="s">
        <v>17</v>
      </c>
    </row>
    <row r="7656" spans="1:9" hidden="1" x14ac:dyDescent="0.25">
      <c r="A7656">
        <v>2012</v>
      </c>
      <c r="B7656" s="140" t="s">
        <v>119</v>
      </c>
      <c r="C7656" s="140" t="s">
        <v>132</v>
      </c>
      <c r="D7656" s="140" t="s">
        <v>11</v>
      </c>
      <c r="E7656" s="140" t="s">
        <v>12</v>
      </c>
      <c r="F7656">
        <v>44957.079539999999</v>
      </c>
      <c r="G7656" s="140" t="s">
        <v>210</v>
      </c>
      <c r="H7656">
        <v>0</v>
      </c>
      <c r="I7656" s="140" t="s">
        <v>17</v>
      </c>
    </row>
    <row r="7657" spans="1:9" hidden="1" x14ac:dyDescent="0.25">
      <c r="A7657">
        <v>2013</v>
      </c>
      <c r="B7657" s="140" t="s">
        <v>119</v>
      </c>
      <c r="C7657" s="140" t="s">
        <v>132</v>
      </c>
      <c r="D7657" s="140" t="s">
        <v>11</v>
      </c>
      <c r="E7657" s="140" t="s">
        <v>12</v>
      </c>
      <c r="F7657">
        <v>44725.985180000003</v>
      </c>
      <c r="G7657" s="140" t="s">
        <v>210</v>
      </c>
      <c r="H7657">
        <v>0</v>
      </c>
      <c r="I7657" s="140" t="s">
        <v>17</v>
      </c>
    </row>
    <row r="7658" spans="1:9" hidden="1" x14ac:dyDescent="0.25">
      <c r="A7658">
        <v>2014</v>
      </c>
      <c r="B7658" s="140" t="s">
        <v>119</v>
      </c>
      <c r="C7658" s="140" t="s">
        <v>132</v>
      </c>
      <c r="D7658" s="140" t="s">
        <v>11</v>
      </c>
      <c r="E7658" s="140" t="s">
        <v>12</v>
      </c>
      <c r="F7658">
        <v>44419.155429999999</v>
      </c>
      <c r="G7658" s="140" t="s">
        <v>210</v>
      </c>
      <c r="H7658">
        <v>0</v>
      </c>
      <c r="I7658" s="140" t="s">
        <v>17</v>
      </c>
    </row>
    <row r="7659" spans="1:9" hidden="1" x14ac:dyDescent="0.25">
      <c r="A7659">
        <v>2015</v>
      </c>
      <c r="B7659" s="140" t="s">
        <v>119</v>
      </c>
      <c r="C7659" s="140" t="s">
        <v>132</v>
      </c>
      <c r="D7659" s="140" t="s">
        <v>11</v>
      </c>
      <c r="E7659" s="140" t="s">
        <v>12</v>
      </c>
      <c r="F7659">
        <v>44781.58713</v>
      </c>
      <c r="G7659" s="140" t="s">
        <v>210</v>
      </c>
      <c r="H7659">
        <v>0</v>
      </c>
      <c r="I7659" s="140" t="s">
        <v>17</v>
      </c>
    </row>
    <row r="7660" spans="1:9" hidden="1" x14ac:dyDescent="0.25">
      <c r="A7660">
        <v>2016</v>
      </c>
      <c r="B7660" s="140" t="s">
        <v>119</v>
      </c>
      <c r="C7660" s="140" t="s">
        <v>132</v>
      </c>
      <c r="D7660" s="140" t="s">
        <v>11</v>
      </c>
      <c r="E7660" s="140" t="s">
        <v>12</v>
      </c>
      <c r="F7660">
        <v>49163</v>
      </c>
      <c r="G7660" s="140" t="s">
        <v>210</v>
      </c>
      <c r="H7660">
        <v>0</v>
      </c>
      <c r="I7660" s="140" t="s">
        <v>17</v>
      </c>
    </row>
    <row r="7661" spans="1:9" hidden="1" x14ac:dyDescent="0.25">
      <c r="A7661">
        <v>2017</v>
      </c>
      <c r="B7661" s="140" t="s">
        <v>119</v>
      </c>
      <c r="C7661" s="140" t="s">
        <v>132</v>
      </c>
      <c r="D7661" s="140" t="s">
        <v>11</v>
      </c>
      <c r="E7661" s="140" t="s">
        <v>12</v>
      </c>
      <c r="F7661">
        <v>52210.202310000001</v>
      </c>
      <c r="G7661" s="140" t="s">
        <v>210</v>
      </c>
      <c r="H7661">
        <v>0</v>
      </c>
      <c r="I7661" s="140" t="s">
        <v>17</v>
      </c>
    </row>
    <row r="7662" spans="1:9" hidden="1" x14ac:dyDescent="0.25">
      <c r="A7662">
        <v>2018</v>
      </c>
      <c r="B7662" s="140" t="s">
        <v>119</v>
      </c>
      <c r="C7662" s="140" t="s">
        <v>132</v>
      </c>
      <c r="D7662" s="140" t="s">
        <v>11</v>
      </c>
      <c r="E7662" s="140" t="s">
        <v>12</v>
      </c>
      <c r="F7662">
        <v>55569.917569999998</v>
      </c>
      <c r="G7662" s="140" t="s">
        <v>210</v>
      </c>
      <c r="H7662">
        <v>0</v>
      </c>
      <c r="I7662" s="140" t="s">
        <v>17</v>
      </c>
    </row>
    <row r="7663" spans="1:9" hidden="1" x14ac:dyDescent="0.25">
      <c r="A7663">
        <v>2019</v>
      </c>
      <c r="B7663" s="140" t="s">
        <v>119</v>
      </c>
      <c r="C7663" s="140" t="s">
        <v>132</v>
      </c>
      <c r="D7663" s="140" t="s">
        <v>11</v>
      </c>
      <c r="E7663" s="140" t="s">
        <v>12</v>
      </c>
      <c r="F7663">
        <v>56440.284399999997</v>
      </c>
      <c r="G7663" s="140" t="s">
        <v>210</v>
      </c>
      <c r="H7663">
        <v>0</v>
      </c>
      <c r="I7663" s="140" t="s">
        <v>17</v>
      </c>
    </row>
    <row r="7664" spans="1:9" hidden="1" x14ac:dyDescent="0.25">
      <c r="A7664">
        <v>2020</v>
      </c>
      <c r="B7664" s="140" t="s">
        <v>119</v>
      </c>
      <c r="C7664" s="140" t="s">
        <v>132</v>
      </c>
      <c r="D7664" s="140" t="s">
        <v>11</v>
      </c>
      <c r="E7664" s="140" t="s">
        <v>12</v>
      </c>
      <c r="F7664">
        <v>57587.145989999997</v>
      </c>
      <c r="G7664" s="140" t="s">
        <v>210</v>
      </c>
      <c r="H7664">
        <v>0</v>
      </c>
      <c r="I7664" s="140" t="s">
        <v>17</v>
      </c>
    </row>
    <row r="7665" spans="1:9" hidden="1" x14ac:dyDescent="0.25">
      <c r="A7665">
        <v>2021</v>
      </c>
      <c r="B7665" s="140" t="s">
        <v>119</v>
      </c>
      <c r="C7665" s="140" t="s">
        <v>132</v>
      </c>
      <c r="D7665" s="140" t="s">
        <v>11</v>
      </c>
      <c r="E7665" s="140" t="s">
        <v>12</v>
      </c>
      <c r="F7665">
        <v>59343.106070000002</v>
      </c>
      <c r="G7665" s="140" t="s">
        <v>210</v>
      </c>
      <c r="H7665">
        <v>0</v>
      </c>
      <c r="I7665" s="140" t="s">
        <v>17</v>
      </c>
    </row>
    <row r="7666" spans="1:9" hidden="1" x14ac:dyDescent="0.25">
      <c r="A7666">
        <v>2022</v>
      </c>
      <c r="B7666" s="140" t="s">
        <v>119</v>
      </c>
      <c r="C7666" s="140" t="s">
        <v>132</v>
      </c>
      <c r="D7666" s="140" t="s">
        <v>11</v>
      </c>
      <c r="E7666" s="140" t="s">
        <v>12</v>
      </c>
      <c r="F7666">
        <v>61687.087820000001</v>
      </c>
      <c r="G7666" s="140" t="s">
        <v>210</v>
      </c>
      <c r="H7666">
        <v>0</v>
      </c>
      <c r="I7666" s="140" t="s">
        <v>17</v>
      </c>
    </row>
    <row r="7667" spans="1:9" hidden="1" x14ac:dyDescent="0.25">
      <c r="A7667">
        <v>2023</v>
      </c>
      <c r="B7667" s="140" t="s">
        <v>119</v>
      </c>
      <c r="C7667" s="140" t="s">
        <v>132</v>
      </c>
      <c r="D7667" s="140" t="s">
        <v>11</v>
      </c>
      <c r="E7667" s="140" t="s">
        <v>12</v>
      </c>
      <c r="F7667">
        <v>60961.406819999997</v>
      </c>
      <c r="G7667" s="140" t="s">
        <v>210</v>
      </c>
      <c r="H7667">
        <v>0</v>
      </c>
      <c r="I7667" s="140" t="s">
        <v>17</v>
      </c>
    </row>
    <row r="7668" spans="1:9" hidden="1" x14ac:dyDescent="0.25">
      <c r="A7668">
        <v>2024</v>
      </c>
      <c r="B7668" s="140" t="s">
        <v>119</v>
      </c>
      <c r="C7668" s="140" t="s">
        <v>132</v>
      </c>
      <c r="D7668" s="140" t="s">
        <v>11</v>
      </c>
      <c r="E7668" s="140" t="s">
        <v>12</v>
      </c>
      <c r="F7668">
        <v>60532.422330000001</v>
      </c>
      <c r="G7668" s="140" t="s">
        <v>210</v>
      </c>
      <c r="H7668">
        <v>0</v>
      </c>
      <c r="I7668" s="140" t="s">
        <v>17</v>
      </c>
    </row>
    <row r="7669" spans="1:9" hidden="1" x14ac:dyDescent="0.25">
      <c r="A7669">
        <v>2025</v>
      </c>
      <c r="B7669" s="140" t="s">
        <v>119</v>
      </c>
      <c r="C7669" s="140" t="s">
        <v>132</v>
      </c>
      <c r="D7669" s="140" t="s">
        <v>11</v>
      </c>
      <c r="E7669" s="140" t="s">
        <v>12</v>
      </c>
      <c r="F7669">
        <v>61679.384599999998</v>
      </c>
      <c r="G7669" s="140" t="s">
        <v>210</v>
      </c>
      <c r="H7669">
        <v>0</v>
      </c>
      <c r="I7669" s="140" t="s">
        <v>17</v>
      </c>
    </row>
    <row r="7670" spans="1:9" hidden="1" x14ac:dyDescent="0.25">
      <c r="A7670">
        <v>2026</v>
      </c>
      <c r="B7670" s="140" t="s">
        <v>119</v>
      </c>
      <c r="C7670" s="140" t="s">
        <v>132</v>
      </c>
      <c r="D7670" s="140" t="s">
        <v>11</v>
      </c>
      <c r="E7670" s="140" t="s">
        <v>12</v>
      </c>
      <c r="F7670">
        <v>66535.89</v>
      </c>
      <c r="G7670" s="140" t="s">
        <v>210</v>
      </c>
      <c r="H7670">
        <v>0</v>
      </c>
      <c r="I7670" s="140" t="s">
        <v>17</v>
      </c>
    </row>
    <row r="7671" spans="1:9" hidden="1" x14ac:dyDescent="0.25">
      <c r="A7671">
        <v>2027</v>
      </c>
      <c r="B7671" s="140" t="s">
        <v>119</v>
      </c>
      <c r="C7671" s="140" t="s">
        <v>132</v>
      </c>
      <c r="D7671" s="140" t="s">
        <v>11</v>
      </c>
      <c r="E7671" s="140" t="s">
        <v>12</v>
      </c>
      <c r="F7671">
        <v>70757.675650000005</v>
      </c>
      <c r="G7671" s="140" t="s">
        <v>210</v>
      </c>
      <c r="H7671">
        <v>0</v>
      </c>
      <c r="I7671" s="140" t="s">
        <v>17</v>
      </c>
    </row>
    <row r="7672" spans="1:9" hidden="1" x14ac:dyDescent="0.25">
      <c r="A7672">
        <v>2028</v>
      </c>
      <c r="B7672" s="140" t="s">
        <v>119</v>
      </c>
      <c r="C7672" s="140" t="s">
        <v>132</v>
      </c>
      <c r="D7672" s="140" t="s">
        <v>11</v>
      </c>
      <c r="E7672" s="140" t="s">
        <v>12</v>
      </c>
      <c r="F7672">
        <v>74903.066279999999</v>
      </c>
      <c r="G7672" s="140" t="s">
        <v>210</v>
      </c>
      <c r="H7672">
        <v>0</v>
      </c>
      <c r="I7672" s="140" t="s">
        <v>17</v>
      </c>
    </row>
    <row r="7673" spans="1:9" hidden="1" x14ac:dyDescent="0.25">
      <c r="A7673">
        <v>2029</v>
      </c>
      <c r="B7673" s="140" t="s">
        <v>119</v>
      </c>
      <c r="C7673" s="140" t="s">
        <v>132</v>
      </c>
      <c r="D7673" s="140" t="s">
        <v>11</v>
      </c>
      <c r="E7673" s="140" t="s">
        <v>12</v>
      </c>
      <c r="F7673">
        <v>78628.660470000003</v>
      </c>
      <c r="G7673" s="140" t="s">
        <v>210</v>
      </c>
      <c r="H7673">
        <v>0</v>
      </c>
      <c r="I7673" s="140" t="s">
        <v>17</v>
      </c>
    </row>
    <row r="7674" spans="1:9" hidden="1" x14ac:dyDescent="0.25">
      <c r="A7674">
        <v>2030</v>
      </c>
      <c r="B7674" s="140" t="s">
        <v>119</v>
      </c>
      <c r="C7674" s="140" t="s">
        <v>132</v>
      </c>
      <c r="D7674" s="140" t="s">
        <v>11</v>
      </c>
      <c r="E7674" s="140" t="s">
        <v>12</v>
      </c>
      <c r="F7674">
        <v>82037.775869999998</v>
      </c>
      <c r="G7674" s="140" t="s">
        <v>210</v>
      </c>
      <c r="H7674">
        <v>0</v>
      </c>
      <c r="I7674" s="140" t="s">
        <v>17</v>
      </c>
    </row>
    <row r="7675" spans="1:9" hidden="1" x14ac:dyDescent="0.25">
      <c r="A7675">
        <v>1990</v>
      </c>
      <c r="B7675" s="140" t="s">
        <v>276</v>
      </c>
      <c r="C7675" s="140" t="s">
        <v>50</v>
      </c>
      <c r="D7675" s="140" t="s">
        <v>11</v>
      </c>
      <c r="E7675" s="140" t="s">
        <v>12</v>
      </c>
      <c r="F7675">
        <v>22901</v>
      </c>
      <c r="G7675" s="140" t="s">
        <v>277</v>
      </c>
      <c r="H7675">
        <v>0</v>
      </c>
      <c r="I7675" s="140" t="s">
        <v>17</v>
      </c>
    </row>
    <row r="7676" spans="1:9" hidden="1" x14ac:dyDescent="0.25">
      <c r="A7676">
        <v>1991</v>
      </c>
      <c r="B7676" s="140" t="s">
        <v>276</v>
      </c>
      <c r="C7676" s="140" t="s">
        <v>50</v>
      </c>
      <c r="D7676" s="140" t="s">
        <v>11</v>
      </c>
      <c r="E7676" s="140" t="s">
        <v>12</v>
      </c>
      <c r="F7676">
        <v>18363</v>
      </c>
      <c r="G7676" s="140" t="s">
        <v>277</v>
      </c>
      <c r="H7676">
        <v>0</v>
      </c>
      <c r="I7676" s="140" t="s">
        <v>17</v>
      </c>
    </row>
    <row r="7677" spans="1:9" hidden="1" x14ac:dyDescent="0.25">
      <c r="A7677">
        <v>1992</v>
      </c>
      <c r="B7677" s="140" t="s">
        <v>276</v>
      </c>
      <c r="C7677" s="140" t="s">
        <v>50</v>
      </c>
      <c r="D7677" s="140" t="s">
        <v>11</v>
      </c>
      <c r="E7677" s="140" t="s">
        <v>12</v>
      </c>
      <c r="F7677">
        <v>14782</v>
      </c>
      <c r="G7677" s="140" t="s">
        <v>277</v>
      </c>
      <c r="H7677">
        <v>0</v>
      </c>
      <c r="I7677" s="140" t="s">
        <v>17</v>
      </c>
    </row>
    <row r="7678" spans="1:9" hidden="1" x14ac:dyDescent="0.25">
      <c r="A7678">
        <v>1993</v>
      </c>
      <c r="B7678" s="140" t="s">
        <v>276</v>
      </c>
      <c r="C7678" s="140" t="s">
        <v>50</v>
      </c>
      <c r="D7678" s="140" t="s">
        <v>11</v>
      </c>
      <c r="E7678" s="140" t="s">
        <v>12</v>
      </c>
      <c r="F7678">
        <v>12967</v>
      </c>
      <c r="G7678" s="140" t="s">
        <v>277</v>
      </c>
      <c r="H7678">
        <v>0</v>
      </c>
      <c r="I7678" s="140" t="s">
        <v>17</v>
      </c>
    </row>
    <row r="7679" spans="1:9" hidden="1" x14ac:dyDescent="0.25">
      <c r="A7679">
        <v>1994</v>
      </c>
      <c r="B7679" s="140" t="s">
        <v>276</v>
      </c>
      <c r="C7679" s="140" t="s">
        <v>50</v>
      </c>
      <c r="D7679" s="140" t="s">
        <v>11</v>
      </c>
      <c r="E7679" s="140" t="s">
        <v>12</v>
      </c>
      <c r="F7679">
        <v>13139</v>
      </c>
      <c r="G7679" s="140" t="s">
        <v>277</v>
      </c>
      <c r="H7679">
        <v>0</v>
      </c>
      <c r="I7679" s="140" t="s">
        <v>17</v>
      </c>
    </row>
    <row r="7680" spans="1:9" hidden="1" x14ac:dyDescent="0.25">
      <c r="A7680">
        <v>1995</v>
      </c>
      <c r="B7680" s="140" t="s">
        <v>276</v>
      </c>
      <c r="C7680" s="140" t="s">
        <v>50</v>
      </c>
      <c r="D7680" s="140" t="s">
        <v>11</v>
      </c>
      <c r="E7680" s="140" t="s">
        <v>12</v>
      </c>
      <c r="F7680">
        <v>15348</v>
      </c>
      <c r="G7680" s="140" t="s">
        <v>277</v>
      </c>
      <c r="H7680">
        <v>0</v>
      </c>
      <c r="I7680" s="140" t="s">
        <v>17</v>
      </c>
    </row>
    <row r="7681" spans="1:9" hidden="1" x14ac:dyDescent="0.25">
      <c r="A7681">
        <v>1996</v>
      </c>
      <c r="B7681" s="140" t="s">
        <v>276</v>
      </c>
      <c r="C7681" s="140" t="s">
        <v>50</v>
      </c>
      <c r="D7681" s="140" t="s">
        <v>11</v>
      </c>
      <c r="E7681" s="140" t="s">
        <v>12</v>
      </c>
      <c r="F7681">
        <v>16842</v>
      </c>
      <c r="G7681" s="140" t="s">
        <v>277</v>
      </c>
      <c r="H7681">
        <v>0</v>
      </c>
      <c r="I7681" s="140" t="s">
        <v>17</v>
      </c>
    </row>
    <row r="7682" spans="1:9" hidden="1" x14ac:dyDescent="0.25">
      <c r="A7682">
        <v>1997</v>
      </c>
      <c r="B7682" s="140" t="s">
        <v>276</v>
      </c>
      <c r="C7682" s="140" t="s">
        <v>50</v>
      </c>
      <c r="D7682" s="140" t="s">
        <v>11</v>
      </c>
      <c r="E7682" s="140" t="s">
        <v>12</v>
      </c>
      <c r="F7682">
        <v>18808</v>
      </c>
      <c r="G7682" s="140" t="s">
        <v>277</v>
      </c>
      <c r="H7682">
        <v>0</v>
      </c>
      <c r="I7682" s="140" t="s">
        <v>17</v>
      </c>
    </row>
    <row r="7683" spans="1:9" hidden="1" x14ac:dyDescent="0.25">
      <c r="A7683">
        <v>1998</v>
      </c>
      <c r="B7683" s="140" t="s">
        <v>276</v>
      </c>
      <c r="C7683" s="140" t="s">
        <v>50</v>
      </c>
      <c r="D7683" s="140" t="s">
        <v>11</v>
      </c>
      <c r="E7683" s="140" t="s">
        <v>12</v>
      </c>
      <c r="F7683">
        <v>21797</v>
      </c>
      <c r="G7683" s="140" t="s">
        <v>277</v>
      </c>
      <c r="H7683">
        <v>0</v>
      </c>
      <c r="I7683" s="140" t="s">
        <v>17</v>
      </c>
    </row>
    <row r="7684" spans="1:9" hidden="1" x14ac:dyDescent="0.25">
      <c r="A7684">
        <v>1999</v>
      </c>
      <c r="B7684" s="140" t="s">
        <v>276</v>
      </c>
      <c r="C7684" s="140" t="s">
        <v>50</v>
      </c>
      <c r="D7684" s="140" t="s">
        <v>11</v>
      </c>
      <c r="E7684" s="140" t="s">
        <v>12</v>
      </c>
      <c r="F7684">
        <v>23489</v>
      </c>
      <c r="G7684" s="140" t="s">
        <v>277</v>
      </c>
      <c r="H7684">
        <v>0</v>
      </c>
      <c r="I7684" s="140" t="s">
        <v>17</v>
      </c>
    </row>
    <row r="7685" spans="1:9" hidden="1" x14ac:dyDescent="0.25">
      <c r="A7685">
        <v>2000</v>
      </c>
      <c r="B7685" s="140" t="s">
        <v>276</v>
      </c>
      <c r="C7685" s="140" t="s">
        <v>50</v>
      </c>
      <c r="D7685" s="140" t="s">
        <v>11</v>
      </c>
      <c r="E7685" s="140" t="s">
        <v>12</v>
      </c>
      <c r="F7685">
        <v>26651</v>
      </c>
      <c r="G7685" s="140" t="s">
        <v>277</v>
      </c>
      <c r="H7685">
        <v>0</v>
      </c>
      <c r="I7685" s="140" t="s">
        <v>17</v>
      </c>
    </row>
    <row r="7686" spans="1:9" hidden="1" x14ac:dyDescent="0.25">
      <c r="A7686">
        <v>2001</v>
      </c>
      <c r="B7686" s="140" t="s">
        <v>276</v>
      </c>
      <c r="C7686" s="140" t="s">
        <v>50</v>
      </c>
      <c r="D7686" s="140" t="s">
        <v>11</v>
      </c>
      <c r="E7686" s="140" t="s">
        <v>12</v>
      </c>
      <c r="F7686">
        <v>28163</v>
      </c>
      <c r="G7686" s="140" t="s">
        <v>277</v>
      </c>
      <c r="H7686">
        <v>0</v>
      </c>
      <c r="I7686" s="140" t="s">
        <v>17</v>
      </c>
    </row>
    <row r="7687" spans="1:9" hidden="1" x14ac:dyDescent="0.25">
      <c r="A7687">
        <v>2002</v>
      </c>
      <c r="B7687" s="140" t="s">
        <v>276</v>
      </c>
      <c r="C7687" s="140" t="s">
        <v>50</v>
      </c>
      <c r="D7687" s="140" t="s">
        <v>11</v>
      </c>
      <c r="E7687" s="140" t="s">
        <v>12</v>
      </c>
      <c r="F7687">
        <v>26589</v>
      </c>
      <c r="G7687" s="140" t="s">
        <v>277</v>
      </c>
      <c r="H7687">
        <v>0</v>
      </c>
      <c r="I7687" s="140" t="s">
        <v>17</v>
      </c>
    </row>
    <row r="7688" spans="1:9" hidden="1" x14ac:dyDescent="0.25">
      <c r="A7688">
        <v>2003</v>
      </c>
      <c r="B7688" s="140" t="s">
        <v>276</v>
      </c>
      <c r="C7688" s="140" t="s">
        <v>50</v>
      </c>
      <c r="D7688" s="140" t="s">
        <v>11</v>
      </c>
      <c r="E7688" s="140" t="s">
        <v>12</v>
      </c>
      <c r="F7688">
        <v>27189</v>
      </c>
      <c r="G7688" s="140" t="s">
        <v>277</v>
      </c>
      <c r="H7688">
        <v>0</v>
      </c>
      <c r="I7688" s="140" t="s">
        <v>17</v>
      </c>
    </row>
    <row r="7689" spans="1:9" hidden="1" x14ac:dyDescent="0.25">
      <c r="A7689">
        <v>2004</v>
      </c>
      <c r="B7689" s="140" t="s">
        <v>276</v>
      </c>
      <c r="C7689" s="140" t="s">
        <v>50</v>
      </c>
      <c r="D7689" s="140" t="s">
        <v>11</v>
      </c>
      <c r="E7689" s="140" t="s">
        <v>12</v>
      </c>
      <c r="F7689">
        <v>29131</v>
      </c>
      <c r="G7689" s="140" t="s">
        <v>277</v>
      </c>
      <c r="H7689">
        <v>0</v>
      </c>
      <c r="I7689" s="140" t="s">
        <v>17</v>
      </c>
    </row>
    <row r="7690" spans="1:9" hidden="1" x14ac:dyDescent="0.25">
      <c r="A7690">
        <v>2005</v>
      </c>
      <c r="B7690" s="140" t="s">
        <v>276</v>
      </c>
      <c r="C7690" s="140" t="s">
        <v>50</v>
      </c>
      <c r="D7690" s="140" t="s">
        <v>11</v>
      </c>
      <c r="E7690" s="140" t="s">
        <v>12</v>
      </c>
      <c r="F7690">
        <v>31824</v>
      </c>
      <c r="G7690" s="140" t="s">
        <v>277</v>
      </c>
      <c r="H7690">
        <v>0</v>
      </c>
      <c r="I7690" s="140" t="s">
        <v>17</v>
      </c>
    </row>
    <row r="7691" spans="1:9" hidden="1" x14ac:dyDescent="0.25">
      <c r="A7691">
        <v>2006</v>
      </c>
      <c r="B7691" s="140" t="s">
        <v>276</v>
      </c>
      <c r="C7691" s="140" t="s">
        <v>50</v>
      </c>
      <c r="D7691" s="140" t="s">
        <v>11</v>
      </c>
      <c r="E7691" s="140" t="s">
        <v>12</v>
      </c>
      <c r="F7691">
        <v>33581</v>
      </c>
      <c r="G7691" s="140" t="s">
        <v>277</v>
      </c>
      <c r="H7691">
        <v>0</v>
      </c>
      <c r="I7691" s="140" t="s">
        <v>17</v>
      </c>
    </row>
    <row r="7692" spans="1:9" hidden="1" x14ac:dyDescent="0.25">
      <c r="A7692">
        <v>2007</v>
      </c>
      <c r="B7692" s="140" t="s">
        <v>276</v>
      </c>
      <c r="C7692" s="140" t="s">
        <v>50</v>
      </c>
      <c r="D7692" s="140" t="s">
        <v>11</v>
      </c>
      <c r="E7692" s="140" t="s">
        <v>12</v>
      </c>
      <c r="F7692">
        <v>38745</v>
      </c>
      <c r="G7692" s="140" t="s">
        <v>277</v>
      </c>
      <c r="H7692">
        <v>0</v>
      </c>
      <c r="I7692" s="140" t="s">
        <v>17</v>
      </c>
    </row>
    <row r="7693" spans="1:9" hidden="1" x14ac:dyDescent="0.25">
      <c r="A7693">
        <v>2008</v>
      </c>
      <c r="B7693" s="140" t="s">
        <v>276</v>
      </c>
      <c r="C7693" s="140" t="s">
        <v>50</v>
      </c>
      <c r="D7693" s="140" t="s">
        <v>11</v>
      </c>
      <c r="E7693" s="140" t="s">
        <v>12</v>
      </c>
      <c r="F7693">
        <v>40618</v>
      </c>
      <c r="G7693" s="140" t="s">
        <v>277</v>
      </c>
      <c r="H7693">
        <v>0</v>
      </c>
      <c r="I7693" s="140" t="s">
        <v>17</v>
      </c>
    </row>
    <row r="7694" spans="1:9" hidden="1" x14ac:dyDescent="0.25">
      <c r="A7694">
        <v>2009</v>
      </c>
      <c r="B7694" s="140" t="s">
        <v>276</v>
      </c>
      <c r="C7694" s="140" t="s">
        <v>50</v>
      </c>
      <c r="D7694" s="140" t="s">
        <v>11</v>
      </c>
      <c r="E7694" s="140" t="s">
        <v>12</v>
      </c>
      <c r="F7694">
        <v>34598</v>
      </c>
      <c r="G7694" s="140" t="s">
        <v>277</v>
      </c>
      <c r="H7694">
        <v>0</v>
      </c>
      <c r="I7694" s="140" t="s">
        <v>17</v>
      </c>
    </row>
    <row r="7695" spans="1:9" hidden="1" x14ac:dyDescent="0.25">
      <c r="A7695">
        <v>2010</v>
      </c>
      <c r="B7695" s="140" t="s">
        <v>276</v>
      </c>
      <c r="C7695" s="140" t="s">
        <v>50</v>
      </c>
      <c r="D7695" s="140" t="s">
        <v>11</v>
      </c>
      <c r="E7695" s="140" t="s">
        <v>12</v>
      </c>
      <c r="F7695">
        <v>36052</v>
      </c>
      <c r="G7695" s="140" t="s">
        <v>277</v>
      </c>
      <c r="H7695">
        <v>0</v>
      </c>
      <c r="I7695" s="140" t="s">
        <v>17</v>
      </c>
    </row>
    <row r="7696" spans="1:9" hidden="1" x14ac:dyDescent="0.25">
      <c r="A7696">
        <v>2011</v>
      </c>
      <c r="B7696" s="140" t="s">
        <v>276</v>
      </c>
      <c r="C7696" s="140" t="s">
        <v>50</v>
      </c>
      <c r="D7696" s="140" t="s">
        <v>11</v>
      </c>
      <c r="E7696" s="140" t="s">
        <v>12</v>
      </c>
      <c r="F7696">
        <v>37792</v>
      </c>
      <c r="G7696" s="140" t="s">
        <v>277</v>
      </c>
      <c r="H7696">
        <v>0</v>
      </c>
      <c r="I7696" s="140" t="s">
        <v>17</v>
      </c>
    </row>
    <row r="7697" spans="1:9" hidden="1" x14ac:dyDescent="0.25">
      <c r="A7697">
        <v>2012</v>
      </c>
      <c r="B7697" s="140" t="s">
        <v>276</v>
      </c>
      <c r="C7697" s="140" t="s">
        <v>50</v>
      </c>
      <c r="D7697" s="140" t="s">
        <v>11</v>
      </c>
      <c r="E7697" s="140" t="s">
        <v>12</v>
      </c>
      <c r="F7697">
        <v>38620</v>
      </c>
      <c r="G7697" s="140" t="s">
        <v>277</v>
      </c>
      <c r="H7697">
        <v>0</v>
      </c>
      <c r="I7697" s="140" t="s">
        <v>17</v>
      </c>
    </row>
    <row r="7698" spans="1:9" hidden="1" x14ac:dyDescent="0.25">
      <c r="A7698">
        <v>2013</v>
      </c>
      <c r="B7698" s="140" t="s">
        <v>276</v>
      </c>
      <c r="C7698" s="140" t="s">
        <v>50</v>
      </c>
      <c r="D7698" s="140" t="s">
        <v>11</v>
      </c>
      <c r="E7698" s="140" t="s">
        <v>12</v>
      </c>
      <c r="F7698">
        <v>36944</v>
      </c>
      <c r="G7698" s="140" t="s">
        <v>277</v>
      </c>
      <c r="H7698">
        <v>0</v>
      </c>
      <c r="I7698" s="140" t="s">
        <v>17</v>
      </c>
    </row>
    <row r="7699" spans="1:9" hidden="1" x14ac:dyDescent="0.25">
      <c r="A7699">
        <v>2014</v>
      </c>
      <c r="B7699" s="140" t="s">
        <v>276</v>
      </c>
      <c r="C7699" s="140" t="s">
        <v>50</v>
      </c>
      <c r="D7699" s="140" t="s">
        <v>11</v>
      </c>
      <c r="E7699" s="140" t="s">
        <v>12</v>
      </c>
      <c r="F7699">
        <v>36038</v>
      </c>
      <c r="G7699" s="140" t="s">
        <v>277</v>
      </c>
      <c r="H7699">
        <v>0</v>
      </c>
      <c r="I7699" s="140" t="s">
        <v>17</v>
      </c>
    </row>
    <row r="7700" spans="1:9" hidden="1" x14ac:dyDescent="0.25">
      <c r="A7700">
        <v>2015</v>
      </c>
      <c r="B7700" s="140" t="s">
        <v>276</v>
      </c>
      <c r="C7700" s="140" t="s">
        <v>50</v>
      </c>
      <c r="D7700" s="140" t="s">
        <v>11</v>
      </c>
      <c r="E7700" s="140" t="s">
        <v>12</v>
      </c>
      <c r="F7700">
        <v>37115</v>
      </c>
      <c r="G7700" s="140" t="s">
        <v>277</v>
      </c>
      <c r="H7700">
        <v>0</v>
      </c>
      <c r="I7700" s="140" t="s">
        <v>17</v>
      </c>
    </row>
    <row r="7701" spans="1:9" hidden="1" x14ac:dyDescent="0.25">
      <c r="A7701">
        <v>2016</v>
      </c>
      <c r="B7701" s="140" t="s">
        <v>276</v>
      </c>
      <c r="C7701" s="140" t="s">
        <v>50</v>
      </c>
      <c r="D7701" s="140" t="s">
        <v>11</v>
      </c>
      <c r="E7701" s="140" t="s">
        <v>12</v>
      </c>
      <c r="F7701">
        <v>40711</v>
      </c>
      <c r="G7701" s="140" t="s">
        <v>277</v>
      </c>
      <c r="H7701">
        <v>0</v>
      </c>
      <c r="I7701" s="140" t="s">
        <v>17</v>
      </c>
    </row>
    <row r="7702" spans="1:9" hidden="1" x14ac:dyDescent="0.25">
      <c r="A7702">
        <v>2017</v>
      </c>
      <c r="B7702" s="140" t="s">
        <v>276</v>
      </c>
      <c r="C7702" s="140" t="s">
        <v>50</v>
      </c>
      <c r="D7702" s="140" t="s">
        <v>11</v>
      </c>
      <c r="E7702" s="140" t="s">
        <v>12</v>
      </c>
      <c r="F7702">
        <v>44017</v>
      </c>
      <c r="G7702" s="140" t="s">
        <v>277</v>
      </c>
      <c r="H7702">
        <v>0</v>
      </c>
      <c r="I7702" s="140" t="s">
        <v>17</v>
      </c>
    </row>
    <row r="7703" spans="1:9" hidden="1" x14ac:dyDescent="0.25">
      <c r="A7703">
        <v>2018</v>
      </c>
      <c r="B7703" s="140" t="s">
        <v>276</v>
      </c>
      <c r="C7703" s="140" t="s">
        <v>50</v>
      </c>
      <c r="D7703" s="140" t="s">
        <v>11</v>
      </c>
      <c r="E7703" s="140" t="s">
        <v>12</v>
      </c>
      <c r="F7703">
        <v>47051</v>
      </c>
      <c r="G7703" s="140" t="s">
        <v>277</v>
      </c>
      <c r="H7703">
        <v>0</v>
      </c>
      <c r="I7703" s="140" t="s">
        <v>17</v>
      </c>
    </row>
    <row r="7704" spans="1:9" hidden="1" x14ac:dyDescent="0.25">
      <c r="A7704">
        <v>2019</v>
      </c>
      <c r="B7704" s="140" t="s">
        <v>276</v>
      </c>
      <c r="C7704" s="140" t="s">
        <v>50</v>
      </c>
      <c r="D7704" s="140" t="s">
        <v>11</v>
      </c>
      <c r="E7704" s="140" t="s">
        <v>12</v>
      </c>
      <c r="F7704">
        <v>47735</v>
      </c>
      <c r="G7704" s="140" t="s">
        <v>277</v>
      </c>
      <c r="H7704">
        <v>0</v>
      </c>
      <c r="I7704" s="140" t="s">
        <v>17</v>
      </c>
    </row>
    <row r="7705" spans="1:9" hidden="1" x14ac:dyDescent="0.25">
      <c r="A7705">
        <v>2020</v>
      </c>
      <c r="B7705" s="140" t="s">
        <v>276</v>
      </c>
      <c r="C7705" s="140" t="s">
        <v>50</v>
      </c>
      <c r="D7705" s="140" t="s">
        <v>11</v>
      </c>
      <c r="E7705" s="140" t="s">
        <v>12</v>
      </c>
      <c r="F7705">
        <v>46773</v>
      </c>
      <c r="G7705" s="140" t="s">
        <v>277</v>
      </c>
      <c r="H7705">
        <v>0</v>
      </c>
      <c r="I7705" s="140" t="s">
        <v>17</v>
      </c>
    </row>
    <row r="7706" spans="1:9" hidden="1" x14ac:dyDescent="0.25">
      <c r="A7706">
        <v>2021</v>
      </c>
      <c r="B7706" s="140" t="s">
        <v>276</v>
      </c>
      <c r="C7706" s="140" t="s">
        <v>50</v>
      </c>
      <c r="D7706" s="140" t="s">
        <v>11</v>
      </c>
      <c r="E7706" s="140" t="s">
        <v>12</v>
      </c>
      <c r="F7706">
        <v>50247</v>
      </c>
      <c r="G7706" s="140" t="s">
        <v>277</v>
      </c>
      <c r="H7706">
        <v>0</v>
      </c>
      <c r="I7706" s="140" t="s">
        <v>17</v>
      </c>
    </row>
    <row r="7707" spans="1:9" hidden="1" x14ac:dyDescent="0.25">
      <c r="A7707">
        <v>2022</v>
      </c>
      <c r="B7707" s="140" t="s">
        <v>276</v>
      </c>
      <c r="C7707" s="140" t="s">
        <v>50</v>
      </c>
      <c r="D7707" s="140" t="s">
        <v>11</v>
      </c>
      <c r="E7707" s="140" t="s">
        <v>12</v>
      </c>
      <c r="F7707">
        <v>54615</v>
      </c>
      <c r="G7707" s="140" t="s">
        <v>277</v>
      </c>
      <c r="H7707">
        <v>0</v>
      </c>
      <c r="I7707" s="140" t="s">
        <v>17</v>
      </c>
    </row>
    <row r="7708" spans="1:9" hidden="1" x14ac:dyDescent="0.25">
      <c r="A7708">
        <v>2023</v>
      </c>
      <c r="B7708" s="140" t="s">
        <v>276</v>
      </c>
      <c r="C7708" s="140" t="s">
        <v>50</v>
      </c>
      <c r="D7708" s="140" t="s">
        <v>11</v>
      </c>
      <c r="E7708" s="140" t="s">
        <v>12</v>
      </c>
      <c r="F7708">
        <v>52833</v>
      </c>
      <c r="G7708" s="140" t="s">
        <v>277</v>
      </c>
      <c r="H7708">
        <v>0</v>
      </c>
      <c r="I7708" s="140" t="s">
        <v>17</v>
      </c>
    </row>
    <row r="7709" spans="1:9" hidden="1" x14ac:dyDescent="0.25">
      <c r="A7709">
        <v>2024</v>
      </c>
      <c r="B7709" s="140" t="s">
        <v>276</v>
      </c>
      <c r="C7709" s="140" t="s">
        <v>50</v>
      </c>
      <c r="D7709" s="140" t="s">
        <v>11</v>
      </c>
      <c r="E7709" s="140" t="s">
        <v>12</v>
      </c>
      <c r="F7709">
        <v>48480</v>
      </c>
      <c r="G7709" s="140" t="s">
        <v>277</v>
      </c>
      <c r="H7709">
        <v>0</v>
      </c>
      <c r="I7709" s="140" t="s">
        <v>17</v>
      </c>
    </row>
    <row r="7710" spans="1:9" hidden="1" x14ac:dyDescent="0.25">
      <c r="A7710">
        <v>2025</v>
      </c>
      <c r="B7710" s="140" t="s">
        <v>276</v>
      </c>
      <c r="C7710" s="140" t="s">
        <v>50</v>
      </c>
      <c r="D7710" s="140" t="s">
        <v>11</v>
      </c>
      <c r="E7710" s="140" t="s">
        <v>12</v>
      </c>
      <c r="F7710">
        <v>48979</v>
      </c>
      <c r="G7710" s="140" t="s">
        <v>277</v>
      </c>
      <c r="H7710">
        <v>0</v>
      </c>
      <c r="I7710" s="140" t="s">
        <v>17</v>
      </c>
    </row>
    <row r="7711" spans="1:9" hidden="1" x14ac:dyDescent="0.25">
      <c r="A7711">
        <v>2026</v>
      </c>
      <c r="B7711" s="140" t="s">
        <v>276</v>
      </c>
      <c r="C7711" s="140" t="s">
        <v>50</v>
      </c>
      <c r="D7711" s="140" t="s">
        <v>11</v>
      </c>
      <c r="E7711" s="140" t="s">
        <v>12</v>
      </c>
      <c r="F7711">
        <v>52206.959369999997</v>
      </c>
      <c r="G7711" s="140" t="s">
        <v>277</v>
      </c>
      <c r="H7711">
        <v>0</v>
      </c>
      <c r="I7711" s="140" t="s">
        <v>17</v>
      </c>
    </row>
    <row r="7712" spans="1:9" hidden="1" x14ac:dyDescent="0.25">
      <c r="A7712">
        <v>2027</v>
      </c>
      <c r="B7712" s="140" t="s">
        <v>276</v>
      </c>
      <c r="C7712" s="140" t="s">
        <v>50</v>
      </c>
      <c r="D7712" s="140" t="s">
        <v>11</v>
      </c>
      <c r="E7712" s="140" t="s">
        <v>12</v>
      </c>
      <c r="F7712">
        <v>56247.21819</v>
      </c>
      <c r="G7712" s="140" t="s">
        <v>277</v>
      </c>
      <c r="H7712">
        <v>0</v>
      </c>
      <c r="I7712" s="140" t="s">
        <v>17</v>
      </c>
    </row>
    <row r="7713" spans="1:9" hidden="1" x14ac:dyDescent="0.25">
      <c r="A7713">
        <v>2028</v>
      </c>
      <c r="B7713" s="140" t="s">
        <v>276</v>
      </c>
      <c r="C7713" s="140" t="s">
        <v>50</v>
      </c>
      <c r="D7713" s="140" t="s">
        <v>11</v>
      </c>
      <c r="E7713" s="140" t="s">
        <v>12</v>
      </c>
      <c r="F7713">
        <v>60022.14385</v>
      </c>
      <c r="G7713" s="140" t="s">
        <v>277</v>
      </c>
      <c r="H7713">
        <v>0</v>
      </c>
      <c r="I7713" s="140" t="s">
        <v>17</v>
      </c>
    </row>
    <row r="7714" spans="1:9" hidden="1" x14ac:dyDescent="0.25">
      <c r="A7714">
        <v>2029</v>
      </c>
      <c r="B7714" s="140" t="s">
        <v>276</v>
      </c>
      <c r="C7714" s="140" t="s">
        <v>50</v>
      </c>
      <c r="D7714" s="140" t="s">
        <v>11</v>
      </c>
      <c r="E7714" s="140" t="s">
        <v>12</v>
      </c>
      <c r="F7714">
        <v>62952.357230000001</v>
      </c>
      <c r="G7714" s="140" t="s">
        <v>277</v>
      </c>
      <c r="H7714">
        <v>0</v>
      </c>
      <c r="I7714" s="140" t="s">
        <v>17</v>
      </c>
    </row>
    <row r="7715" spans="1:9" hidden="1" x14ac:dyDescent="0.25">
      <c r="A7715">
        <v>2030</v>
      </c>
      <c r="B7715" s="140" t="s">
        <v>276</v>
      </c>
      <c r="C7715" s="140" t="s">
        <v>50</v>
      </c>
      <c r="D7715" s="140" t="s">
        <v>11</v>
      </c>
      <c r="E7715" s="140" t="s">
        <v>12</v>
      </c>
      <c r="F7715">
        <v>65955.398300000001</v>
      </c>
      <c r="G7715" s="140" t="s">
        <v>277</v>
      </c>
      <c r="H7715">
        <v>0</v>
      </c>
      <c r="I7715" s="140" t="s">
        <v>17</v>
      </c>
    </row>
    <row r="7716" spans="1:9" hidden="1" x14ac:dyDescent="0.25">
      <c r="A7716">
        <v>1990</v>
      </c>
      <c r="B7716" s="140" t="s">
        <v>129</v>
      </c>
      <c r="C7716" s="140" t="s">
        <v>19</v>
      </c>
      <c r="D7716" s="140" t="s">
        <v>11</v>
      </c>
      <c r="E7716" s="140" t="s">
        <v>12</v>
      </c>
      <c r="F7716">
        <v>4095</v>
      </c>
      <c r="G7716" s="140" t="s">
        <v>278</v>
      </c>
      <c r="H7716">
        <v>0</v>
      </c>
      <c r="I7716" s="140" t="s">
        <v>17</v>
      </c>
    </row>
    <row r="7717" spans="1:9" hidden="1" x14ac:dyDescent="0.25">
      <c r="A7717">
        <v>1991</v>
      </c>
      <c r="B7717" s="140" t="s">
        <v>129</v>
      </c>
      <c r="C7717" s="140" t="s">
        <v>19</v>
      </c>
      <c r="D7717" s="140" t="s">
        <v>11</v>
      </c>
      <c r="E7717" s="140" t="s">
        <v>12</v>
      </c>
      <c r="F7717">
        <v>4122</v>
      </c>
      <c r="G7717" s="140" t="s">
        <v>278</v>
      </c>
      <c r="H7717">
        <v>0</v>
      </c>
      <c r="I7717" s="140" t="s">
        <v>17</v>
      </c>
    </row>
    <row r="7718" spans="1:9" hidden="1" x14ac:dyDescent="0.25">
      <c r="A7718">
        <v>1992</v>
      </c>
      <c r="B7718" s="140" t="s">
        <v>129</v>
      </c>
      <c r="C7718" s="140" t="s">
        <v>19</v>
      </c>
      <c r="D7718" s="140" t="s">
        <v>11</v>
      </c>
      <c r="E7718" s="140" t="s">
        <v>12</v>
      </c>
      <c r="F7718">
        <v>4062</v>
      </c>
      <c r="G7718" s="140" t="s">
        <v>278</v>
      </c>
      <c r="H7718">
        <v>0</v>
      </c>
      <c r="I7718" s="140" t="s">
        <v>17</v>
      </c>
    </row>
    <row r="7719" spans="1:9" hidden="1" x14ac:dyDescent="0.25">
      <c r="A7719">
        <v>1993</v>
      </c>
      <c r="B7719" s="140" t="s">
        <v>129</v>
      </c>
      <c r="C7719" s="140" t="s">
        <v>19</v>
      </c>
      <c r="D7719" s="140" t="s">
        <v>11</v>
      </c>
      <c r="E7719" s="140" t="s">
        <v>12</v>
      </c>
      <c r="F7719">
        <v>3446</v>
      </c>
      <c r="G7719" s="140" t="s">
        <v>278</v>
      </c>
      <c r="H7719">
        <v>0</v>
      </c>
      <c r="I7719" s="140" t="s">
        <v>17</v>
      </c>
    </row>
    <row r="7720" spans="1:9" hidden="1" x14ac:dyDescent="0.25">
      <c r="A7720">
        <v>1994</v>
      </c>
      <c r="B7720" s="140" t="s">
        <v>129</v>
      </c>
      <c r="C7720" s="140" t="s">
        <v>19</v>
      </c>
      <c r="D7720" s="140" t="s">
        <v>11</v>
      </c>
      <c r="E7720" s="140" t="s">
        <v>12</v>
      </c>
      <c r="F7720">
        <v>3788</v>
      </c>
      <c r="G7720" s="140" t="s">
        <v>278</v>
      </c>
      <c r="H7720">
        <v>0</v>
      </c>
      <c r="I7720" s="140" t="s">
        <v>17</v>
      </c>
    </row>
    <row r="7721" spans="1:9" hidden="1" x14ac:dyDescent="0.25">
      <c r="A7721">
        <v>1995</v>
      </c>
      <c r="B7721" s="140" t="s">
        <v>129</v>
      </c>
      <c r="C7721" s="140" t="s">
        <v>19</v>
      </c>
      <c r="D7721" s="140" t="s">
        <v>11</v>
      </c>
      <c r="E7721" s="140" t="s">
        <v>12</v>
      </c>
      <c r="F7721">
        <v>3651</v>
      </c>
      <c r="G7721" s="140" t="s">
        <v>278</v>
      </c>
      <c r="H7721">
        <v>0</v>
      </c>
      <c r="I7721" s="140" t="s">
        <v>17</v>
      </c>
    </row>
    <row r="7722" spans="1:9" hidden="1" x14ac:dyDescent="0.25">
      <c r="A7722">
        <v>1996</v>
      </c>
      <c r="B7722" s="140" t="s">
        <v>129</v>
      </c>
      <c r="C7722" s="140" t="s">
        <v>19</v>
      </c>
      <c r="D7722" s="140" t="s">
        <v>11</v>
      </c>
      <c r="E7722" s="140" t="s">
        <v>12</v>
      </c>
      <c r="F7722">
        <v>4088</v>
      </c>
      <c r="G7722" s="140" t="s">
        <v>278</v>
      </c>
      <c r="H7722">
        <v>0</v>
      </c>
      <c r="I7722" s="140" t="s">
        <v>17</v>
      </c>
    </row>
    <row r="7723" spans="1:9" hidden="1" x14ac:dyDescent="0.25">
      <c r="A7723">
        <v>1997</v>
      </c>
      <c r="B7723" s="140" t="s">
        <v>129</v>
      </c>
      <c r="C7723" s="140" t="s">
        <v>19</v>
      </c>
      <c r="D7723" s="140" t="s">
        <v>11</v>
      </c>
      <c r="E7723" s="140" t="s">
        <v>12</v>
      </c>
      <c r="F7723">
        <v>4862</v>
      </c>
      <c r="G7723" s="140" t="s">
        <v>278</v>
      </c>
      <c r="H7723">
        <v>0</v>
      </c>
      <c r="I7723" s="140" t="s">
        <v>17</v>
      </c>
    </row>
    <row r="7724" spans="1:9" hidden="1" x14ac:dyDescent="0.25">
      <c r="A7724">
        <v>1998</v>
      </c>
      <c r="B7724" s="140" t="s">
        <v>129</v>
      </c>
      <c r="C7724" s="140" t="s">
        <v>19</v>
      </c>
      <c r="D7724" s="140" t="s">
        <v>11</v>
      </c>
      <c r="E7724" s="140" t="s">
        <v>12</v>
      </c>
      <c r="F7724">
        <v>4960</v>
      </c>
      <c r="G7724" s="140" t="s">
        <v>278</v>
      </c>
      <c r="H7724">
        <v>0</v>
      </c>
      <c r="I7724" s="140" t="s">
        <v>17</v>
      </c>
    </row>
    <row r="7725" spans="1:9" hidden="1" x14ac:dyDescent="0.25">
      <c r="A7725">
        <v>1999</v>
      </c>
      <c r="B7725" s="140" t="s">
        <v>129</v>
      </c>
      <c r="C7725" s="140" t="s">
        <v>19</v>
      </c>
      <c r="D7725" s="140" t="s">
        <v>11</v>
      </c>
      <c r="E7725" s="140" t="s">
        <v>12</v>
      </c>
      <c r="F7725">
        <v>4996</v>
      </c>
      <c r="G7725" s="140" t="s">
        <v>278</v>
      </c>
      <c r="H7725">
        <v>0</v>
      </c>
      <c r="I7725" s="140" t="s">
        <v>17</v>
      </c>
    </row>
    <row r="7726" spans="1:9" hidden="1" x14ac:dyDescent="0.25">
      <c r="A7726">
        <v>2000</v>
      </c>
      <c r="B7726" s="140" t="s">
        <v>129</v>
      </c>
      <c r="C7726" s="140" t="s">
        <v>19</v>
      </c>
      <c r="D7726" s="140" t="s">
        <v>11</v>
      </c>
      <c r="E7726" s="140" t="s">
        <v>12</v>
      </c>
      <c r="F7726">
        <v>4809</v>
      </c>
      <c r="G7726" s="140" t="s">
        <v>278</v>
      </c>
      <c r="H7726">
        <v>0</v>
      </c>
      <c r="I7726" s="140" t="s">
        <v>17</v>
      </c>
    </row>
    <row r="7727" spans="1:9" hidden="1" x14ac:dyDescent="0.25">
      <c r="A7727">
        <v>2001</v>
      </c>
      <c r="B7727" s="140" t="s">
        <v>129</v>
      </c>
      <c r="C7727" s="140" t="s">
        <v>19</v>
      </c>
      <c r="D7727" s="140" t="s">
        <v>11</v>
      </c>
      <c r="E7727" s="140" t="s">
        <v>12</v>
      </c>
      <c r="F7727">
        <v>4921</v>
      </c>
      <c r="G7727" s="140" t="s">
        <v>278</v>
      </c>
      <c r="H7727">
        <v>0</v>
      </c>
      <c r="I7727" s="140" t="s">
        <v>17</v>
      </c>
    </row>
    <row r="7728" spans="1:9" hidden="1" x14ac:dyDescent="0.25">
      <c r="A7728">
        <v>2002</v>
      </c>
      <c r="B7728" s="140" t="s">
        <v>129</v>
      </c>
      <c r="C7728" s="140" t="s">
        <v>19</v>
      </c>
      <c r="D7728" s="140" t="s">
        <v>11</v>
      </c>
      <c r="E7728" s="140" t="s">
        <v>12</v>
      </c>
      <c r="F7728">
        <v>5487</v>
      </c>
      <c r="G7728" s="140" t="s">
        <v>278</v>
      </c>
      <c r="H7728">
        <v>0</v>
      </c>
      <c r="I7728" s="140" t="s">
        <v>17</v>
      </c>
    </row>
    <row r="7729" spans="1:9" hidden="1" x14ac:dyDescent="0.25">
      <c r="A7729">
        <v>2003</v>
      </c>
      <c r="B7729" s="140" t="s">
        <v>129</v>
      </c>
      <c r="C7729" s="140" t="s">
        <v>19</v>
      </c>
      <c r="D7729" s="140" t="s">
        <v>11</v>
      </c>
      <c r="E7729" s="140" t="s">
        <v>12</v>
      </c>
      <c r="F7729">
        <v>5867</v>
      </c>
      <c r="G7729" s="140" t="s">
        <v>278</v>
      </c>
      <c r="H7729">
        <v>0</v>
      </c>
      <c r="I7729" s="140" t="s">
        <v>17</v>
      </c>
    </row>
    <row r="7730" spans="1:9" hidden="1" x14ac:dyDescent="0.25">
      <c r="A7730">
        <v>2004</v>
      </c>
      <c r="B7730" s="140" t="s">
        <v>129</v>
      </c>
      <c r="C7730" s="140" t="s">
        <v>19</v>
      </c>
      <c r="D7730" s="140" t="s">
        <v>11</v>
      </c>
      <c r="E7730" s="140" t="s">
        <v>12</v>
      </c>
      <c r="F7730">
        <v>6205</v>
      </c>
      <c r="G7730" s="140" t="s">
        <v>278</v>
      </c>
      <c r="H7730">
        <v>0</v>
      </c>
      <c r="I7730" s="140" t="s">
        <v>17</v>
      </c>
    </row>
    <row r="7731" spans="1:9" hidden="1" x14ac:dyDescent="0.25">
      <c r="A7731">
        <v>2005</v>
      </c>
      <c r="B7731" s="140" t="s">
        <v>129</v>
      </c>
      <c r="C7731" s="140" t="s">
        <v>19</v>
      </c>
      <c r="D7731" s="140" t="s">
        <v>11</v>
      </c>
      <c r="E7731" s="140" t="s">
        <v>12</v>
      </c>
      <c r="F7731">
        <v>5919</v>
      </c>
      <c r="G7731" s="140" t="s">
        <v>278</v>
      </c>
      <c r="H7731">
        <v>0</v>
      </c>
      <c r="I7731" s="140" t="s">
        <v>17</v>
      </c>
    </row>
    <row r="7732" spans="1:9" hidden="1" x14ac:dyDescent="0.25">
      <c r="A7732">
        <v>2006</v>
      </c>
      <c r="B7732" s="140" t="s">
        <v>129</v>
      </c>
      <c r="C7732" s="140" t="s">
        <v>19</v>
      </c>
      <c r="D7732" s="140" t="s">
        <v>11</v>
      </c>
      <c r="E7732" s="140" t="s">
        <v>12</v>
      </c>
      <c r="F7732">
        <v>5777</v>
      </c>
      <c r="G7732" s="140" t="s">
        <v>278</v>
      </c>
      <c r="H7732">
        <v>0</v>
      </c>
      <c r="I7732" s="140" t="s">
        <v>17</v>
      </c>
    </row>
    <row r="7733" spans="1:9" hidden="1" x14ac:dyDescent="0.25">
      <c r="A7733">
        <v>2007</v>
      </c>
      <c r="B7733" s="140" t="s">
        <v>129</v>
      </c>
      <c r="C7733" s="140" t="s">
        <v>19</v>
      </c>
      <c r="D7733" s="140" t="s">
        <v>11</v>
      </c>
      <c r="E7733" s="140" t="s">
        <v>12</v>
      </c>
      <c r="F7733">
        <v>6518</v>
      </c>
      <c r="G7733" s="140" t="s">
        <v>278</v>
      </c>
      <c r="H7733">
        <v>0</v>
      </c>
      <c r="I7733" s="140" t="s">
        <v>17</v>
      </c>
    </row>
    <row r="7734" spans="1:9" hidden="1" x14ac:dyDescent="0.25">
      <c r="A7734">
        <v>2008</v>
      </c>
      <c r="B7734" s="140" t="s">
        <v>129</v>
      </c>
      <c r="C7734" s="140" t="s">
        <v>19</v>
      </c>
      <c r="D7734" s="140" t="s">
        <v>11</v>
      </c>
      <c r="E7734" s="140" t="s">
        <v>12</v>
      </c>
      <c r="F7734">
        <v>6965</v>
      </c>
      <c r="G7734" s="140" t="s">
        <v>278</v>
      </c>
      <c r="H7734">
        <v>0</v>
      </c>
      <c r="I7734" s="140" t="s">
        <v>17</v>
      </c>
    </row>
    <row r="7735" spans="1:9" hidden="1" x14ac:dyDescent="0.25">
      <c r="A7735">
        <v>2009</v>
      </c>
      <c r="B7735" s="140" t="s">
        <v>129</v>
      </c>
      <c r="C7735" s="140" t="s">
        <v>19</v>
      </c>
      <c r="D7735" s="140" t="s">
        <v>11</v>
      </c>
      <c r="E7735" s="140" t="s">
        <v>12</v>
      </c>
      <c r="F7735">
        <v>7122</v>
      </c>
      <c r="G7735" s="140" t="s">
        <v>278</v>
      </c>
      <c r="H7735">
        <v>0</v>
      </c>
      <c r="I7735" s="140" t="s">
        <v>17</v>
      </c>
    </row>
    <row r="7736" spans="1:9" hidden="1" x14ac:dyDescent="0.25">
      <c r="A7736">
        <v>2010</v>
      </c>
      <c r="B7736" s="140" t="s">
        <v>129</v>
      </c>
      <c r="C7736" s="140" t="s">
        <v>19</v>
      </c>
      <c r="D7736" s="140" t="s">
        <v>11</v>
      </c>
      <c r="E7736" s="140" t="s">
        <v>12</v>
      </c>
      <c r="F7736">
        <v>6885</v>
      </c>
      <c r="G7736" s="140" t="s">
        <v>278</v>
      </c>
      <c r="H7736">
        <v>0</v>
      </c>
      <c r="I7736" s="140" t="s">
        <v>17</v>
      </c>
    </row>
    <row r="7737" spans="1:9" hidden="1" x14ac:dyDescent="0.25">
      <c r="A7737">
        <v>2011</v>
      </c>
      <c r="B7737" s="140" t="s">
        <v>129</v>
      </c>
      <c r="C7737" s="140" t="s">
        <v>19</v>
      </c>
      <c r="D7737" s="140" t="s">
        <v>11</v>
      </c>
      <c r="E7737" s="140" t="s">
        <v>12</v>
      </c>
      <c r="F7737">
        <v>7488</v>
      </c>
      <c r="G7737" s="140" t="s">
        <v>278</v>
      </c>
      <c r="H7737">
        <v>0</v>
      </c>
      <c r="I7737" s="140" t="s">
        <v>17</v>
      </c>
    </row>
    <row r="7738" spans="1:9" hidden="1" x14ac:dyDescent="0.25">
      <c r="A7738">
        <v>2012</v>
      </c>
      <c r="B7738" s="140" t="s">
        <v>129</v>
      </c>
      <c r="C7738" s="140" t="s">
        <v>19</v>
      </c>
      <c r="D7738" s="140" t="s">
        <v>11</v>
      </c>
      <c r="E7738" s="140" t="s">
        <v>12</v>
      </c>
      <c r="F7738">
        <v>8098</v>
      </c>
      <c r="G7738" s="140" t="s">
        <v>278</v>
      </c>
      <c r="H7738">
        <v>0</v>
      </c>
      <c r="I7738" s="140" t="s">
        <v>17</v>
      </c>
    </row>
    <row r="7739" spans="1:9" hidden="1" x14ac:dyDescent="0.25">
      <c r="A7739">
        <v>2013</v>
      </c>
      <c r="B7739" s="140" t="s">
        <v>129</v>
      </c>
      <c r="C7739" s="140" t="s">
        <v>19</v>
      </c>
      <c r="D7739" s="140" t="s">
        <v>11</v>
      </c>
      <c r="E7739" s="140" t="s">
        <v>12</v>
      </c>
      <c r="F7739">
        <v>8500</v>
      </c>
      <c r="G7739" s="140" t="s">
        <v>278</v>
      </c>
      <c r="H7739">
        <v>0</v>
      </c>
      <c r="I7739" s="140" t="s">
        <v>17</v>
      </c>
    </row>
    <row r="7740" spans="1:9" hidden="1" x14ac:dyDescent="0.25">
      <c r="A7740">
        <v>2014</v>
      </c>
      <c r="B7740" s="140" t="s">
        <v>129</v>
      </c>
      <c r="C7740" s="140" t="s">
        <v>19</v>
      </c>
      <c r="D7740" s="140" t="s">
        <v>11</v>
      </c>
      <c r="E7740" s="140" t="s">
        <v>12</v>
      </c>
      <c r="F7740">
        <v>8667</v>
      </c>
      <c r="G7740" s="140" t="s">
        <v>278</v>
      </c>
      <c r="H7740">
        <v>0</v>
      </c>
      <c r="I7740" s="140" t="s">
        <v>17</v>
      </c>
    </row>
    <row r="7741" spans="1:9" hidden="1" x14ac:dyDescent="0.25">
      <c r="A7741">
        <v>2015</v>
      </c>
      <c r="B7741" s="140" t="s">
        <v>129</v>
      </c>
      <c r="C7741" s="140" t="s">
        <v>19</v>
      </c>
      <c r="D7741" s="140" t="s">
        <v>11</v>
      </c>
      <c r="E7741" s="140" t="s">
        <v>12</v>
      </c>
      <c r="F7741">
        <v>7908</v>
      </c>
      <c r="G7741" s="140" t="s">
        <v>278</v>
      </c>
      <c r="H7741">
        <v>0</v>
      </c>
      <c r="I7741" s="140" t="s">
        <v>17</v>
      </c>
    </row>
    <row r="7742" spans="1:9" hidden="1" x14ac:dyDescent="0.25">
      <c r="A7742">
        <v>2016</v>
      </c>
      <c r="B7742" s="140" t="s">
        <v>129</v>
      </c>
      <c r="C7742" s="140" t="s">
        <v>19</v>
      </c>
      <c r="D7742" s="140" t="s">
        <v>11</v>
      </c>
      <c r="E7742" s="140" t="s">
        <v>12</v>
      </c>
      <c r="F7742">
        <v>9017</v>
      </c>
      <c r="G7742" s="140" t="s">
        <v>278</v>
      </c>
      <c r="H7742">
        <v>0</v>
      </c>
      <c r="I7742" s="140" t="s">
        <v>17</v>
      </c>
    </row>
    <row r="7743" spans="1:9" hidden="1" x14ac:dyDescent="0.25">
      <c r="A7743">
        <v>2017</v>
      </c>
      <c r="B7743" s="140" t="s">
        <v>129</v>
      </c>
      <c r="C7743" s="140" t="s">
        <v>19</v>
      </c>
      <c r="D7743" s="140" t="s">
        <v>11</v>
      </c>
      <c r="E7743" s="140" t="s">
        <v>12</v>
      </c>
      <c r="F7743">
        <v>9214</v>
      </c>
      <c r="G7743" s="140" t="s">
        <v>278</v>
      </c>
      <c r="H7743">
        <v>0</v>
      </c>
      <c r="I7743" s="140" t="s">
        <v>17</v>
      </c>
    </row>
    <row r="7744" spans="1:9" hidden="1" x14ac:dyDescent="0.25">
      <c r="A7744">
        <v>2018</v>
      </c>
      <c r="B7744" s="140" t="s">
        <v>129</v>
      </c>
      <c r="C7744" s="140" t="s">
        <v>19</v>
      </c>
      <c r="D7744" s="140" t="s">
        <v>11</v>
      </c>
      <c r="E7744" s="140" t="s">
        <v>12</v>
      </c>
      <c r="F7744">
        <v>9982</v>
      </c>
      <c r="G7744" s="140" t="s">
        <v>278</v>
      </c>
      <c r="H7744">
        <v>0</v>
      </c>
      <c r="I7744" s="140" t="s">
        <v>17</v>
      </c>
    </row>
    <row r="7745" spans="1:9" hidden="1" x14ac:dyDescent="0.25">
      <c r="A7745">
        <v>2019</v>
      </c>
      <c r="B7745" s="140" t="s">
        <v>129</v>
      </c>
      <c r="C7745" s="140" t="s">
        <v>19</v>
      </c>
      <c r="D7745" s="140" t="s">
        <v>11</v>
      </c>
      <c r="E7745" s="140" t="s">
        <v>12</v>
      </c>
      <c r="F7745">
        <v>10513</v>
      </c>
      <c r="G7745" s="140" t="s">
        <v>278</v>
      </c>
      <c r="H7745">
        <v>0</v>
      </c>
      <c r="I7745" s="140" t="s">
        <v>17</v>
      </c>
    </row>
    <row r="7746" spans="1:9" hidden="1" x14ac:dyDescent="0.25">
      <c r="A7746">
        <v>2020</v>
      </c>
      <c r="B7746" s="140" t="s">
        <v>129</v>
      </c>
      <c r="C7746" s="140" t="s">
        <v>19</v>
      </c>
      <c r="D7746" s="140" t="s">
        <v>11</v>
      </c>
      <c r="E7746" s="140" t="s">
        <v>12</v>
      </c>
      <c r="F7746">
        <v>11511</v>
      </c>
      <c r="G7746" s="140" t="s">
        <v>278</v>
      </c>
      <c r="H7746">
        <v>0</v>
      </c>
      <c r="I7746" s="140" t="s">
        <v>17</v>
      </c>
    </row>
    <row r="7747" spans="1:9" hidden="1" x14ac:dyDescent="0.25">
      <c r="A7747">
        <v>2021</v>
      </c>
      <c r="B7747" s="140" t="s">
        <v>129</v>
      </c>
      <c r="C7747" s="140" t="s">
        <v>19</v>
      </c>
      <c r="D7747" s="140" t="s">
        <v>11</v>
      </c>
      <c r="E7747" s="140" t="s">
        <v>12</v>
      </c>
      <c r="F7747">
        <v>10503</v>
      </c>
      <c r="G7747" s="140" t="s">
        <v>278</v>
      </c>
      <c r="H7747">
        <v>0</v>
      </c>
      <c r="I7747" s="140" t="s">
        <v>17</v>
      </c>
    </row>
    <row r="7748" spans="1:9" hidden="1" x14ac:dyDescent="0.25">
      <c r="A7748">
        <v>2022</v>
      </c>
      <c r="B7748" s="140" t="s">
        <v>129</v>
      </c>
      <c r="C7748" s="140" t="s">
        <v>19</v>
      </c>
      <c r="D7748" s="140" t="s">
        <v>11</v>
      </c>
      <c r="E7748" s="140" t="s">
        <v>12</v>
      </c>
      <c r="F7748">
        <v>11025</v>
      </c>
      <c r="G7748" s="140" t="s">
        <v>278</v>
      </c>
      <c r="H7748">
        <v>0</v>
      </c>
      <c r="I7748" s="140" t="s">
        <v>17</v>
      </c>
    </row>
    <row r="7749" spans="1:9" hidden="1" x14ac:dyDescent="0.25">
      <c r="A7749">
        <v>2023</v>
      </c>
      <c r="B7749" s="140" t="s">
        <v>129</v>
      </c>
      <c r="C7749" s="140" t="s">
        <v>19</v>
      </c>
      <c r="D7749" s="140" t="s">
        <v>11</v>
      </c>
      <c r="E7749" s="140" t="s">
        <v>12</v>
      </c>
      <c r="F7749">
        <v>11046</v>
      </c>
      <c r="G7749" s="140" t="s">
        <v>278</v>
      </c>
      <c r="H7749">
        <v>0</v>
      </c>
      <c r="I7749" s="140" t="s">
        <v>17</v>
      </c>
    </row>
    <row r="7750" spans="1:9" hidden="1" x14ac:dyDescent="0.25">
      <c r="A7750">
        <v>2024</v>
      </c>
      <c r="B7750" s="140" t="s">
        <v>129</v>
      </c>
      <c r="C7750" s="140" t="s">
        <v>19</v>
      </c>
      <c r="D7750" s="140" t="s">
        <v>11</v>
      </c>
      <c r="E7750" s="140" t="s">
        <v>12</v>
      </c>
      <c r="F7750">
        <v>12336</v>
      </c>
      <c r="G7750" s="140" t="s">
        <v>278</v>
      </c>
      <c r="H7750">
        <v>0</v>
      </c>
      <c r="I7750" s="140" t="s">
        <v>17</v>
      </c>
    </row>
    <row r="7751" spans="1:9" hidden="1" x14ac:dyDescent="0.25">
      <c r="A7751">
        <v>2025</v>
      </c>
      <c r="B7751" s="140" t="s">
        <v>129</v>
      </c>
      <c r="C7751" s="140" t="s">
        <v>19</v>
      </c>
      <c r="D7751" s="140" t="s">
        <v>11</v>
      </c>
      <c r="E7751" s="140" t="s">
        <v>12</v>
      </c>
      <c r="F7751">
        <v>12760</v>
      </c>
      <c r="G7751" s="140" t="s">
        <v>278</v>
      </c>
      <c r="H7751">
        <v>0</v>
      </c>
      <c r="I7751" s="140" t="s">
        <v>17</v>
      </c>
    </row>
    <row r="7752" spans="1:9" hidden="1" x14ac:dyDescent="0.25">
      <c r="A7752">
        <v>2026</v>
      </c>
      <c r="B7752" s="140" t="s">
        <v>129</v>
      </c>
      <c r="C7752" s="140" t="s">
        <v>19</v>
      </c>
      <c r="D7752" s="140" t="s">
        <v>11</v>
      </c>
      <c r="E7752" s="140" t="s">
        <v>12</v>
      </c>
      <c r="F7752">
        <v>15580.252179999999</v>
      </c>
      <c r="G7752" s="140" t="s">
        <v>278</v>
      </c>
      <c r="H7752">
        <v>0</v>
      </c>
      <c r="I7752" s="140" t="s">
        <v>17</v>
      </c>
    </row>
    <row r="7753" spans="1:9" hidden="1" x14ac:dyDescent="0.25">
      <c r="A7753">
        <v>2027</v>
      </c>
      <c r="B7753" s="140" t="s">
        <v>129</v>
      </c>
      <c r="C7753" s="140" t="s">
        <v>19</v>
      </c>
      <c r="D7753" s="140" t="s">
        <v>11</v>
      </c>
      <c r="E7753" s="140" t="s">
        <v>12</v>
      </c>
      <c r="F7753">
        <v>16064.649069999999</v>
      </c>
      <c r="G7753" s="140" t="s">
        <v>278</v>
      </c>
      <c r="H7753">
        <v>0</v>
      </c>
      <c r="I7753" s="140" t="s">
        <v>17</v>
      </c>
    </row>
    <row r="7754" spans="1:9" hidden="1" x14ac:dyDescent="0.25">
      <c r="A7754">
        <v>2028</v>
      </c>
      <c r="B7754" s="140" t="s">
        <v>129</v>
      </c>
      <c r="C7754" s="140" t="s">
        <v>19</v>
      </c>
      <c r="D7754" s="140" t="s">
        <v>11</v>
      </c>
      <c r="E7754" s="140" t="s">
        <v>12</v>
      </c>
      <c r="F7754">
        <v>16550.67296</v>
      </c>
      <c r="G7754" s="140" t="s">
        <v>278</v>
      </c>
      <c r="H7754">
        <v>0</v>
      </c>
      <c r="I7754" s="140" t="s">
        <v>17</v>
      </c>
    </row>
    <row r="7755" spans="1:9" hidden="1" x14ac:dyDescent="0.25">
      <c r="A7755">
        <v>2029</v>
      </c>
      <c r="B7755" s="140" t="s">
        <v>129</v>
      </c>
      <c r="C7755" s="140" t="s">
        <v>19</v>
      </c>
      <c r="D7755" s="140" t="s">
        <v>11</v>
      </c>
      <c r="E7755" s="140" t="s">
        <v>12</v>
      </c>
      <c r="F7755">
        <v>17413.802520000001</v>
      </c>
      <c r="G7755" s="140" t="s">
        <v>278</v>
      </c>
      <c r="H7755">
        <v>0</v>
      </c>
      <c r="I7755" s="140" t="s">
        <v>17</v>
      </c>
    </row>
    <row r="7756" spans="1:9" hidden="1" x14ac:dyDescent="0.25">
      <c r="A7756">
        <v>2030</v>
      </c>
      <c r="B7756" s="140" t="s">
        <v>129</v>
      </c>
      <c r="C7756" s="140" t="s">
        <v>19</v>
      </c>
      <c r="D7756" s="140" t="s">
        <v>11</v>
      </c>
      <c r="E7756" s="140" t="s">
        <v>12</v>
      </c>
      <c r="F7756">
        <v>17723.13308</v>
      </c>
      <c r="G7756" s="140" t="s">
        <v>278</v>
      </c>
      <c r="H7756">
        <v>0</v>
      </c>
      <c r="I7756" s="140" t="s">
        <v>17</v>
      </c>
    </row>
    <row r="7757" spans="1:9" hidden="1" x14ac:dyDescent="0.25">
      <c r="A7757">
        <v>1990</v>
      </c>
      <c r="B7757" s="140" t="s">
        <v>119</v>
      </c>
      <c r="C7757" s="140" t="s">
        <v>556</v>
      </c>
      <c r="D7757" s="140" t="s">
        <v>11</v>
      </c>
      <c r="E7757" s="140" t="s">
        <v>279</v>
      </c>
      <c r="F7757">
        <v>2112</v>
      </c>
      <c r="G7757" s="140" t="s">
        <v>280</v>
      </c>
      <c r="H7757">
        <v>0</v>
      </c>
      <c r="I7757" s="140" t="s">
        <v>17</v>
      </c>
    </row>
    <row r="7758" spans="1:9" hidden="1" x14ac:dyDescent="0.25">
      <c r="A7758">
        <v>1991</v>
      </c>
      <c r="B7758" s="140" t="s">
        <v>119</v>
      </c>
      <c r="C7758" s="140" t="s">
        <v>556</v>
      </c>
      <c r="D7758" s="140" t="s">
        <v>11</v>
      </c>
      <c r="E7758" s="140" t="s">
        <v>279</v>
      </c>
      <c r="F7758">
        <v>2320</v>
      </c>
      <c r="G7758" s="140" t="s">
        <v>280</v>
      </c>
      <c r="H7758">
        <v>0</v>
      </c>
      <c r="I7758" s="140" t="s">
        <v>17</v>
      </c>
    </row>
    <row r="7759" spans="1:9" hidden="1" x14ac:dyDescent="0.25">
      <c r="A7759">
        <v>1992</v>
      </c>
      <c r="B7759" s="140" t="s">
        <v>119</v>
      </c>
      <c r="C7759" s="140" t="s">
        <v>556</v>
      </c>
      <c r="D7759" s="140" t="s">
        <v>11</v>
      </c>
      <c r="E7759" s="140" t="s">
        <v>279</v>
      </c>
      <c r="F7759">
        <v>2533</v>
      </c>
      <c r="G7759" s="140" t="s">
        <v>280</v>
      </c>
      <c r="H7759">
        <v>0</v>
      </c>
      <c r="I7759" s="140" t="s">
        <v>17</v>
      </c>
    </row>
    <row r="7760" spans="1:9" hidden="1" x14ac:dyDescent="0.25">
      <c r="A7760">
        <v>1993</v>
      </c>
      <c r="B7760" s="140" t="s">
        <v>119</v>
      </c>
      <c r="C7760" s="140" t="s">
        <v>556</v>
      </c>
      <c r="D7760" s="140" t="s">
        <v>11</v>
      </c>
      <c r="E7760" s="140" t="s">
        <v>279</v>
      </c>
      <c r="F7760">
        <v>2268</v>
      </c>
      <c r="G7760" s="140" t="s">
        <v>280</v>
      </c>
      <c r="H7760">
        <v>0</v>
      </c>
      <c r="I7760" s="140" t="s">
        <v>17</v>
      </c>
    </row>
    <row r="7761" spans="1:9" hidden="1" x14ac:dyDescent="0.25">
      <c r="A7761">
        <v>1994</v>
      </c>
      <c r="B7761" s="140" t="s">
        <v>119</v>
      </c>
      <c r="C7761" s="140" t="s">
        <v>556</v>
      </c>
      <c r="D7761" s="140" t="s">
        <v>11</v>
      </c>
      <c r="E7761" s="140" t="s">
        <v>279</v>
      </c>
      <c r="F7761">
        <v>2430</v>
      </c>
      <c r="G7761" s="140" t="s">
        <v>280</v>
      </c>
      <c r="H7761">
        <v>0</v>
      </c>
      <c r="I7761" s="140" t="s">
        <v>17</v>
      </c>
    </row>
    <row r="7762" spans="1:9" hidden="1" x14ac:dyDescent="0.25">
      <c r="A7762">
        <v>1995</v>
      </c>
      <c r="B7762" s="140" t="s">
        <v>119</v>
      </c>
      <c r="C7762" s="140" t="s">
        <v>556</v>
      </c>
      <c r="D7762" s="140" t="s">
        <v>11</v>
      </c>
      <c r="E7762" s="140" t="s">
        <v>279</v>
      </c>
      <c r="F7762">
        <v>2355</v>
      </c>
      <c r="G7762" s="140" t="s">
        <v>280</v>
      </c>
      <c r="H7762">
        <v>0</v>
      </c>
      <c r="I7762" s="140" t="s">
        <v>17</v>
      </c>
    </row>
    <row r="7763" spans="1:9" hidden="1" x14ac:dyDescent="0.25">
      <c r="A7763">
        <v>1996</v>
      </c>
      <c r="B7763" s="140" t="s">
        <v>119</v>
      </c>
      <c r="C7763" s="140" t="s">
        <v>556</v>
      </c>
      <c r="D7763" s="140" t="s">
        <v>11</v>
      </c>
      <c r="E7763" s="140" t="s">
        <v>279</v>
      </c>
      <c r="F7763">
        <v>2582</v>
      </c>
      <c r="G7763" s="140" t="s">
        <v>280</v>
      </c>
      <c r="H7763">
        <v>0</v>
      </c>
      <c r="I7763" s="140" t="s">
        <v>17</v>
      </c>
    </row>
    <row r="7764" spans="1:9" hidden="1" x14ac:dyDescent="0.25">
      <c r="A7764">
        <v>1997</v>
      </c>
      <c r="B7764" s="140" t="s">
        <v>119</v>
      </c>
      <c r="C7764" s="140" t="s">
        <v>556</v>
      </c>
      <c r="D7764" s="140" t="s">
        <v>11</v>
      </c>
      <c r="E7764" s="140" t="s">
        <v>279</v>
      </c>
      <c r="F7764">
        <v>2944</v>
      </c>
      <c r="G7764" s="140" t="s">
        <v>280</v>
      </c>
      <c r="H7764">
        <v>0</v>
      </c>
      <c r="I7764" s="140" t="s">
        <v>17</v>
      </c>
    </row>
    <row r="7765" spans="1:9" hidden="1" x14ac:dyDescent="0.25">
      <c r="A7765">
        <v>1998</v>
      </c>
      <c r="B7765" s="140" t="s">
        <v>119</v>
      </c>
      <c r="C7765" s="140" t="s">
        <v>556</v>
      </c>
      <c r="D7765" s="140" t="s">
        <v>11</v>
      </c>
      <c r="E7765" s="140" t="s">
        <v>279</v>
      </c>
      <c r="F7765">
        <v>3036</v>
      </c>
      <c r="G7765" s="140" t="s">
        <v>280</v>
      </c>
      <c r="H7765">
        <v>0</v>
      </c>
      <c r="I7765" s="140" t="s">
        <v>17</v>
      </c>
    </row>
    <row r="7766" spans="1:9" hidden="1" x14ac:dyDescent="0.25">
      <c r="A7766">
        <v>1999</v>
      </c>
      <c r="B7766" s="140" t="s">
        <v>119</v>
      </c>
      <c r="C7766" s="140" t="s">
        <v>556</v>
      </c>
      <c r="D7766" s="140" t="s">
        <v>11</v>
      </c>
      <c r="E7766" s="140" t="s">
        <v>279</v>
      </c>
      <c r="F7766">
        <v>2857</v>
      </c>
      <c r="G7766" s="140" t="s">
        <v>280</v>
      </c>
      <c r="H7766">
        <v>0</v>
      </c>
      <c r="I7766" s="140" t="s">
        <v>17</v>
      </c>
    </row>
    <row r="7767" spans="1:9" hidden="1" x14ac:dyDescent="0.25">
      <c r="A7767">
        <v>2000</v>
      </c>
      <c r="B7767" s="140" t="s">
        <v>119</v>
      </c>
      <c r="C7767" s="140" t="s">
        <v>556</v>
      </c>
      <c r="D7767" s="140" t="s">
        <v>11</v>
      </c>
      <c r="E7767" s="140" t="s">
        <v>279</v>
      </c>
      <c r="F7767">
        <v>2791</v>
      </c>
      <c r="G7767" s="140" t="s">
        <v>280</v>
      </c>
      <c r="H7767">
        <v>0</v>
      </c>
      <c r="I7767" s="140" t="s">
        <v>17</v>
      </c>
    </row>
    <row r="7768" spans="1:9" hidden="1" x14ac:dyDescent="0.25">
      <c r="A7768">
        <v>2001</v>
      </c>
      <c r="B7768" s="140" t="s">
        <v>119</v>
      </c>
      <c r="C7768" s="140" t="s">
        <v>556</v>
      </c>
      <c r="D7768" s="140" t="s">
        <v>11</v>
      </c>
      <c r="E7768" s="140" t="s">
        <v>279</v>
      </c>
      <c r="F7768">
        <v>2415</v>
      </c>
      <c r="G7768" s="140" t="s">
        <v>280</v>
      </c>
      <c r="H7768">
        <v>0</v>
      </c>
      <c r="I7768" s="140" t="s">
        <v>17</v>
      </c>
    </row>
    <row r="7769" spans="1:9" hidden="1" x14ac:dyDescent="0.25">
      <c r="A7769">
        <v>2002</v>
      </c>
      <c r="B7769" s="140" t="s">
        <v>119</v>
      </c>
      <c r="C7769" s="140" t="s">
        <v>556</v>
      </c>
      <c r="D7769" s="140" t="s">
        <v>11</v>
      </c>
      <c r="E7769" s="140" t="s">
        <v>279</v>
      </c>
      <c r="F7769">
        <v>2735</v>
      </c>
      <c r="G7769" s="140" t="s">
        <v>280</v>
      </c>
      <c r="H7769">
        <v>0</v>
      </c>
      <c r="I7769" s="140" t="s">
        <v>17</v>
      </c>
    </row>
    <row r="7770" spans="1:9" hidden="1" x14ac:dyDescent="0.25">
      <c r="A7770">
        <v>2003</v>
      </c>
      <c r="B7770" s="140" t="s">
        <v>119</v>
      </c>
      <c r="C7770" s="140" t="s">
        <v>556</v>
      </c>
      <c r="D7770" s="140" t="s">
        <v>11</v>
      </c>
      <c r="E7770" s="140" t="s">
        <v>279</v>
      </c>
      <c r="F7770">
        <v>2874</v>
      </c>
      <c r="G7770" s="140" t="s">
        <v>280</v>
      </c>
      <c r="H7770">
        <v>0</v>
      </c>
      <c r="I7770" s="140" t="s">
        <v>17</v>
      </c>
    </row>
    <row r="7771" spans="1:9" hidden="1" x14ac:dyDescent="0.25">
      <c r="A7771">
        <v>2004</v>
      </c>
      <c r="B7771" s="140" t="s">
        <v>119</v>
      </c>
      <c r="C7771" s="140" t="s">
        <v>556</v>
      </c>
      <c r="D7771" s="140" t="s">
        <v>11</v>
      </c>
      <c r="E7771" s="140" t="s">
        <v>279</v>
      </c>
      <c r="F7771">
        <v>3107</v>
      </c>
      <c r="G7771" s="140" t="s">
        <v>280</v>
      </c>
      <c r="H7771">
        <v>0</v>
      </c>
      <c r="I7771" s="140" t="s">
        <v>17</v>
      </c>
    </row>
    <row r="7772" spans="1:9" hidden="1" x14ac:dyDescent="0.25">
      <c r="A7772">
        <v>2005</v>
      </c>
      <c r="B7772" s="140" t="s">
        <v>119</v>
      </c>
      <c r="C7772" s="140" t="s">
        <v>556</v>
      </c>
      <c r="D7772" s="140" t="s">
        <v>11</v>
      </c>
      <c r="E7772" s="140" t="s">
        <v>279</v>
      </c>
      <c r="F7772">
        <v>3193</v>
      </c>
      <c r="G7772" s="140" t="s">
        <v>280</v>
      </c>
      <c r="H7772">
        <v>0</v>
      </c>
      <c r="I7772" s="140" t="s">
        <v>17</v>
      </c>
    </row>
    <row r="7773" spans="1:9" hidden="1" x14ac:dyDescent="0.25">
      <c r="A7773">
        <v>2006</v>
      </c>
      <c r="B7773" s="140" t="s">
        <v>119</v>
      </c>
      <c r="C7773" s="140" t="s">
        <v>556</v>
      </c>
      <c r="D7773" s="140" t="s">
        <v>11</v>
      </c>
      <c r="E7773" s="140" t="s">
        <v>279</v>
      </c>
      <c r="F7773">
        <v>2990</v>
      </c>
      <c r="G7773" s="140" t="s">
        <v>280</v>
      </c>
      <c r="H7773">
        <v>0</v>
      </c>
      <c r="I7773" s="140" t="s">
        <v>17</v>
      </c>
    </row>
    <row r="7774" spans="1:9" hidden="1" x14ac:dyDescent="0.25">
      <c r="A7774">
        <v>2007</v>
      </c>
      <c r="B7774" s="140" t="s">
        <v>119</v>
      </c>
      <c r="C7774" s="140" t="s">
        <v>556</v>
      </c>
      <c r="D7774" s="140" t="s">
        <v>11</v>
      </c>
      <c r="E7774" s="140" t="s">
        <v>279</v>
      </c>
      <c r="F7774">
        <v>3050</v>
      </c>
      <c r="G7774" s="140" t="s">
        <v>280</v>
      </c>
      <c r="H7774">
        <v>0</v>
      </c>
      <c r="I7774" s="140" t="s">
        <v>17</v>
      </c>
    </row>
    <row r="7775" spans="1:9" hidden="1" x14ac:dyDescent="0.25">
      <c r="A7775">
        <v>2008</v>
      </c>
      <c r="B7775" s="140" t="s">
        <v>119</v>
      </c>
      <c r="C7775" s="140" t="s">
        <v>556</v>
      </c>
      <c r="D7775" s="140" t="s">
        <v>11</v>
      </c>
      <c r="E7775" s="140" t="s">
        <v>279</v>
      </c>
      <c r="F7775">
        <v>3415</v>
      </c>
      <c r="G7775" s="140" t="s">
        <v>280</v>
      </c>
      <c r="H7775">
        <v>0</v>
      </c>
      <c r="I7775" s="140" t="s">
        <v>17</v>
      </c>
    </row>
    <row r="7776" spans="1:9" hidden="1" x14ac:dyDescent="0.25">
      <c r="A7776">
        <v>2009</v>
      </c>
      <c r="B7776" s="140" t="s">
        <v>119</v>
      </c>
      <c r="C7776" s="140" t="s">
        <v>556</v>
      </c>
      <c r="D7776" s="140" t="s">
        <v>11</v>
      </c>
      <c r="E7776" s="140" t="s">
        <v>279</v>
      </c>
      <c r="F7776">
        <v>3442</v>
      </c>
      <c r="G7776" s="140" t="s">
        <v>280</v>
      </c>
      <c r="H7776">
        <v>0</v>
      </c>
      <c r="I7776" s="140" t="s">
        <v>17</v>
      </c>
    </row>
    <row r="7777" spans="1:9" hidden="1" x14ac:dyDescent="0.25">
      <c r="A7777">
        <v>2010</v>
      </c>
      <c r="B7777" s="140" t="s">
        <v>119</v>
      </c>
      <c r="C7777" s="140" t="s">
        <v>556</v>
      </c>
      <c r="D7777" s="140" t="s">
        <v>11</v>
      </c>
      <c r="E7777" s="140" t="s">
        <v>279</v>
      </c>
      <c r="F7777">
        <v>3514</v>
      </c>
      <c r="G7777" s="140" t="s">
        <v>280</v>
      </c>
      <c r="H7777">
        <v>0</v>
      </c>
      <c r="I7777" s="140" t="s">
        <v>17</v>
      </c>
    </row>
    <row r="7778" spans="1:9" hidden="1" x14ac:dyDescent="0.25">
      <c r="A7778">
        <v>2011</v>
      </c>
      <c r="B7778" s="140" t="s">
        <v>119</v>
      </c>
      <c r="C7778" s="140" t="s">
        <v>556</v>
      </c>
      <c r="D7778" s="140" t="s">
        <v>11</v>
      </c>
      <c r="E7778" s="140" t="s">
        <v>279</v>
      </c>
      <c r="F7778">
        <v>3527</v>
      </c>
      <c r="G7778" s="140" t="s">
        <v>280</v>
      </c>
      <c r="H7778">
        <v>0</v>
      </c>
      <c r="I7778" s="140" t="s">
        <v>17</v>
      </c>
    </row>
    <row r="7779" spans="1:9" hidden="1" x14ac:dyDescent="0.25">
      <c r="A7779">
        <v>2012</v>
      </c>
      <c r="B7779" s="140" t="s">
        <v>119</v>
      </c>
      <c r="C7779" s="140" t="s">
        <v>556</v>
      </c>
      <c r="D7779" s="140" t="s">
        <v>11</v>
      </c>
      <c r="E7779" s="140" t="s">
        <v>279</v>
      </c>
      <c r="F7779">
        <v>3863</v>
      </c>
      <c r="G7779" s="140" t="s">
        <v>280</v>
      </c>
      <c r="H7779">
        <v>0</v>
      </c>
      <c r="I7779" s="140" t="s">
        <v>17</v>
      </c>
    </row>
    <row r="7780" spans="1:9" hidden="1" x14ac:dyDescent="0.25">
      <c r="A7780">
        <v>2013</v>
      </c>
      <c r="B7780" s="140" t="s">
        <v>119</v>
      </c>
      <c r="C7780" s="140" t="s">
        <v>556</v>
      </c>
      <c r="D7780" s="140" t="s">
        <v>11</v>
      </c>
      <c r="E7780" s="140" t="s">
        <v>279</v>
      </c>
      <c r="F7780">
        <v>4023</v>
      </c>
      <c r="G7780" s="140" t="s">
        <v>280</v>
      </c>
      <c r="H7780">
        <v>0</v>
      </c>
      <c r="I7780" s="140" t="s">
        <v>17</v>
      </c>
    </row>
    <row r="7781" spans="1:9" hidden="1" x14ac:dyDescent="0.25">
      <c r="A7781">
        <v>2014</v>
      </c>
      <c r="B7781" s="140" t="s">
        <v>119</v>
      </c>
      <c r="C7781" s="140" t="s">
        <v>556</v>
      </c>
      <c r="D7781" s="140" t="s">
        <v>11</v>
      </c>
      <c r="E7781" s="140" t="s">
        <v>279</v>
      </c>
      <c r="F7781">
        <v>4035</v>
      </c>
      <c r="G7781" s="140" t="s">
        <v>280</v>
      </c>
      <c r="H7781">
        <v>0</v>
      </c>
      <c r="I7781" s="140" t="s">
        <v>17</v>
      </c>
    </row>
    <row r="7782" spans="1:9" hidden="1" x14ac:dyDescent="0.25">
      <c r="A7782">
        <v>2015</v>
      </c>
      <c r="B7782" s="140" t="s">
        <v>119</v>
      </c>
      <c r="C7782" s="140" t="s">
        <v>556</v>
      </c>
      <c r="D7782" s="140" t="s">
        <v>11</v>
      </c>
      <c r="E7782" s="140" t="s">
        <v>279</v>
      </c>
      <c r="F7782">
        <v>3528</v>
      </c>
      <c r="G7782" s="140" t="s">
        <v>280</v>
      </c>
      <c r="H7782">
        <v>0</v>
      </c>
      <c r="I7782" s="140" t="s">
        <v>17</v>
      </c>
    </row>
    <row r="7783" spans="1:9" hidden="1" x14ac:dyDescent="0.25">
      <c r="A7783">
        <v>2016</v>
      </c>
      <c r="B7783" s="140" t="s">
        <v>119</v>
      </c>
      <c r="C7783" s="140" t="s">
        <v>556</v>
      </c>
      <c r="D7783" s="140" t="s">
        <v>11</v>
      </c>
      <c r="E7783" s="140" t="s">
        <v>279</v>
      </c>
      <c r="F7783">
        <v>3906</v>
      </c>
      <c r="G7783" s="140" t="s">
        <v>280</v>
      </c>
      <c r="H7783">
        <v>0</v>
      </c>
      <c r="I7783" s="140" t="s">
        <v>17</v>
      </c>
    </row>
    <row r="7784" spans="1:9" hidden="1" x14ac:dyDescent="0.25">
      <c r="A7784">
        <v>2017</v>
      </c>
      <c r="B7784" s="140" t="s">
        <v>119</v>
      </c>
      <c r="C7784" s="140" t="s">
        <v>556</v>
      </c>
      <c r="D7784" s="140" t="s">
        <v>11</v>
      </c>
      <c r="E7784" s="140" t="s">
        <v>279</v>
      </c>
      <c r="F7784">
        <v>4030</v>
      </c>
      <c r="G7784" s="140" t="s">
        <v>280</v>
      </c>
      <c r="H7784">
        <v>0</v>
      </c>
      <c r="I7784" s="140" t="s">
        <v>17</v>
      </c>
    </row>
    <row r="7785" spans="1:9" hidden="1" x14ac:dyDescent="0.25">
      <c r="A7785">
        <v>2018</v>
      </c>
      <c r="B7785" s="140" t="s">
        <v>119</v>
      </c>
      <c r="C7785" s="140" t="s">
        <v>556</v>
      </c>
      <c r="D7785" s="140" t="s">
        <v>11</v>
      </c>
      <c r="E7785" s="140" t="s">
        <v>279</v>
      </c>
      <c r="F7785">
        <v>4061</v>
      </c>
      <c r="G7785" s="140" t="s">
        <v>280</v>
      </c>
      <c r="H7785">
        <v>0</v>
      </c>
      <c r="I7785" s="140" t="s">
        <v>17</v>
      </c>
    </row>
    <row r="7786" spans="1:9" hidden="1" x14ac:dyDescent="0.25">
      <c r="A7786">
        <v>2019</v>
      </c>
      <c r="B7786" s="140" t="s">
        <v>119</v>
      </c>
      <c r="C7786" s="140" t="s">
        <v>556</v>
      </c>
      <c r="D7786" s="140" t="s">
        <v>11</v>
      </c>
      <c r="E7786" s="140" t="s">
        <v>279</v>
      </c>
      <c r="F7786">
        <v>4149</v>
      </c>
      <c r="G7786" s="140" t="s">
        <v>280</v>
      </c>
      <c r="H7786">
        <v>0</v>
      </c>
      <c r="I7786" s="140" t="s">
        <v>17</v>
      </c>
    </row>
    <row r="7787" spans="1:9" hidden="1" x14ac:dyDescent="0.25">
      <c r="A7787">
        <v>2020</v>
      </c>
      <c r="B7787" s="140" t="s">
        <v>119</v>
      </c>
      <c r="C7787" s="140" t="s">
        <v>556</v>
      </c>
      <c r="D7787" s="140" t="s">
        <v>11</v>
      </c>
      <c r="E7787" s="140" t="s">
        <v>279</v>
      </c>
      <c r="F7787">
        <v>4597</v>
      </c>
      <c r="G7787" s="140" t="s">
        <v>280</v>
      </c>
      <c r="H7787">
        <v>0</v>
      </c>
      <c r="I7787" s="140" t="s">
        <v>17</v>
      </c>
    </row>
    <row r="7788" spans="1:9" hidden="1" x14ac:dyDescent="0.25">
      <c r="A7788">
        <v>2021</v>
      </c>
      <c r="B7788" s="140" t="s">
        <v>119</v>
      </c>
      <c r="C7788" s="140" t="s">
        <v>556</v>
      </c>
      <c r="D7788" s="140" t="s">
        <v>11</v>
      </c>
      <c r="E7788" s="140" t="s">
        <v>279</v>
      </c>
      <c r="F7788">
        <v>4080</v>
      </c>
      <c r="G7788" s="140" t="s">
        <v>280</v>
      </c>
      <c r="H7788">
        <v>0</v>
      </c>
      <c r="I7788" s="140" t="s">
        <v>17</v>
      </c>
    </row>
    <row r="7789" spans="1:9" hidden="1" x14ac:dyDescent="0.25">
      <c r="A7789">
        <v>2022</v>
      </c>
      <c r="B7789" s="140" t="s">
        <v>119</v>
      </c>
      <c r="C7789" s="140" t="s">
        <v>556</v>
      </c>
      <c r="D7789" s="140" t="s">
        <v>11</v>
      </c>
      <c r="E7789" s="140" t="s">
        <v>279</v>
      </c>
      <c r="F7789">
        <v>4414</v>
      </c>
      <c r="G7789" s="140" t="s">
        <v>280</v>
      </c>
      <c r="H7789">
        <v>0</v>
      </c>
      <c r="I7789" s="140" t="s">
        <v>17</v>
      </c>
    </row>
    <row r="7790" spans="1:9" hidden="1" x14ac:dyDescent="0.25">
      <c r="A7790">
        <v>2023</v>
      </c>
      <c r="B7790" s="140" t="s">
        <v>119</v>
      </c>
      <c r="C7790" s="140" t="s">
        <v>556</v>
      </c>
      <c r="D7790" s="140" t="s">
        <v>11</v>
      </c>
      <c r="E7790" s="140" t="s">
        <v>279</v>
      </c>
      <c r="F7790">
        <v>4330</v>
      </c>
      <c r="G7790" s="140" t="s">
        <v>280</v>
      </c>
      <c r="H7790">
        <v>0</v>
      </c>
      <c r="I7790" s="140" t="s">
        <v>17</v>
      </c>
    </row>
    <row r="7791" spans="1:9" hidden="1" x14ac:dyDescent="0.25">
      <c r="A7791">
        <v>2024</v>
      </c>
      <c r="B7791" s="140" t="s">
        <v>119</v>
      </c>
      <c r="C7791" s="140" t="s">
        <v>556</v>
      </c>
      <c r="D7791" s="140" t="s">
        <v>11</v>
      </c>
      <c r="E7791" s="140" t="s">
        <v>279</v>
      </c>
      <c r="F7791">
        <v>5244</v>
      </c>
      <c r="G7791" s="140" t="s">
        <v>280</v>
      </c>
      <c r="H7791">
        <v>0</v>
      </c>
      <c r="I7791" s="140" t="s">
        <v>17</v>
      </c>
    </row>
    <row r="7792" spans="1:9" hidden="1" x14ac:dyDescent="0.25">
      <c r="A7792">
        <v>2025</v>
      </c>
      <c r="B7792" s="140" t="s">
        <v>119</v>
      </c>
      <c r="C7792" s="140" t="s">
        <v>556</v>
      </c>
      <c r="D7792" s="140" t="s">
        <v>11</v>
      </c>
      <c r="E7792" s="140" t="s">
        <v>279</v>
      </c>
      <c r="F7792">
        <v>5869</v>
      </c>
      <c r="G7792" s="140" t="s">
        <v>280</v>
      </c>
      <c r="H7792">
        <v>0</v>
      </c>
      <c r="I7792" s="140" t="s">
        <v>17</v>
      </c>
    </row>
    <row r="7793" spans="1:9" hidden="1" x14ac:dyDescent="0.25">
      <c r="A7793">
        <v>2026</v>
      </c>
      <c r="B7793" s="140" t="s">
        <v>119</v>
      </c>
      <c r="C7793" s="140" t="s">
        <v>556</v>
      </c>
      <c r="D7793" s="140" t="s">
        <v>11</v>
      </c>
      <c r="E7793" s="140" t="s">
        <v>279</v>
      </c>
      <c r="F7793">
        <v>8687.8799080000008</v>
      </c>
      <c r="G7793" s="140" t="s">
        <v>280</v>
      </c>
      <c r="H7793">
        <v>0</v>
      </c>
      <c r="I7793" s="140" t="s">
        <v>17</v>
      </c>
    </row>
    <row r="7794" spans="1:9" hidden="1" x14ac:dyDescent="0.25">
      <c r="A7794">
        <v>2027</v>
      </c>
      <c r="B7794" s="140" t="s">
        <v>119</v>
      </c>
      <c r="C7794" s="140" t="s">
        <v>556</v>
      </c>
      <c r="D7794" s="140" t="s">
        <v>11</v>
      </c>
      <c r="E7794" s="140" t="s">
        <v>279</v>
      </c>
      <c r="F7794">
        <v>8691.9680219999991</v>
      </c>
      <c r="G7794" s="140" t="s">
        <v>280</v>
      </c>
      <c r="H7794">
        <v>0</v>
      </c>
      <c r="I7794" s="140" t="s">
        <v>17</v>
      </c>
    </row>
    <row r="7795" spans="1:9" hidden="1" x14ac:dyDescent="0.25">
      <c r="A7795">
        <v>2028</v>
      </c>
      <c r="B7795" s="140" t="s">
        <v>119</v>
      </c>
      <c r="C7795" s="140" t="s">
        <v>556</v>
      </c>
      <c r="D7795" s="140" t="s">
        <v>11</v>
      </c>
      <c r="E7795" s="140" t="s">
        <v>279</v>
      </c>
      <c r="F7795">
        <v>9134.7185279999994</v>
      </c>
      <c r="G7795" s="140" t="s">
        <v>280</v>
      </c>
      <c r="H7795">
        <v>0</v>
      </c>
      <c r="I7795" s="140" t="s">
        <v>17</v>
      </c>
    </row>
    <row r="7796" spans="1:9" hidden="1" x14ac:dyDescent="0.25">
      <c r="A7796">
        <v>1990</v>
      </c>
      <c r="B7796" s="140" t="s">
        <v>119</v>
      </c>
      <c r="C7796" s="140" t="s">
        <v>556</v>
      </c>
      <c r="D7796" s="140" t="s">
        <v>11</v>
      </c>
      <c r="E7796" s="140" t="s">
        <v>281</v>
      </c>
      <c r="F7796">
        <v>1941</v>
      </c>
      <c r="G7796" s="140" t="s">
        <v>282</v>
      </c>
      <c r="H7796">
        <v>0</v>
      </c>
      <c r="I7796" s="140" t="s">
        <v>17</v>
      </c>
    </row>
    <row r="7797" spans="1:9" hidden="1" x14ac:dyDescent="0.25">
      <c r="A7797">
        <v>1991</v>
      </c>
      <c r="B7797" s="140" t="s">
        <v>119</v>
      </c>
      <c r="C7797" s="140" t="s">
        <v>556</v>
      </c>
      <c r="D7797" s="140" t="s">
        <v>11</v>
      </c>
      <c r="E7797" s="140" t="s">
        <v>281</v>
      </c>
      <c r="F7797">
        <v>1771</v>
      </c>
      <c r="G7797" s="140" t="s">
        <v>282</v>
      </c>
      <c r="H7797">
        <v>0</v>
      </c>
      <c r="I7797" s="140" t="s">
        <v>17</v>
      </c>
    </row>
    <row r="7798" spans="1:9" hidden="1" x14ac:dyDescent="0.25">
      <c r="A7798">
        <v>1992</v>
      </c>
      <c r="B7798" s="140" t="s">
        <v>119</v>
      </c>
      <c r="C7798" s="140" t="s">
        <v>556</v>
      </c>
      <c r="D7798" s="140" t="s">
        <v>11</v>
      </c>
      <c r="E7798" s="140" t="s">
        <v>281</v>
      </c>
      <c r="F7798">
        <v>1424</v>
      </c>
      <c r="G7798" s="140" t="s">
        <v>282</v>
      </c>
      <c r="H7798">
        <v>0</v>
      </c>
      <c r="I7798" s="140" t="s">
        <v>17</v>
      </c>
    </row>
    <row r="7799" spans="1:9" hidden="1" x14ac:dyDescent="0.25">
      <c r="A7799">
        <v>1993</v>
      </c>
      <c r="B7799" s="140" t="s">
        <v>119</v>
      </c>
      <c r="C7799" s="140" t="s">
        <v>556</v>
      </c>
      <c r="D7799" s="140" t="s">
        <v>11</v>
      </c>
      <c r="E7799" s="140" t="s">
        <v>281</v>
      </c>
      <c r="F7799">
        <v>1079</v>
      </c>
      <c r="G7799" s="140" t="s">
        <v>282</v>
      </c>
      <c r="H7799">
        <v>0</v>
      </c>
      <c r="I7799" s="140" t="s">
        <v>17</v>
      </c>
    </row>
    <row r="7800" spans="1:9" hidden="1" x14ac:dyDescent="0.25">
      <c r="A7800">
        <v>1994</v>
      </c>
      <c r="B7800" s="140" t="s">
        <v>119</v>
      </c>
      <c r="C7800" s="140" t="s">
        <v>556</v>
      </c>
      <c r="D7800" s="140" t="s">
        <v>11</v>
      </c>
      <c r="E7800" s="140" t="s">
        <v>281</v>
      </c>
      <c r="F7800">
        <v>1207</v>
      </c>
      <c r="G7800" s="140" t="s">
        <v>282</v>
      </c>
      <c r="H7800">
        <v>0</v>
      </c>
      <c r="I7800" s="140" t="s">
        <v>17</v>
      </c>
    </row>
    <row r="7801" spans="1:9" hidden="1" x14ac:dyDescent="0.25">
      <c r="A7801">
        <v>1995</v>
      </c>
      <c r="B7801" s="140" t="s">
        <v>119</v>
      </c>
      <c r="C7801" s="140" t="s">
        <v>556</v>
      </c>
      <c r="D7801" s="140" t="s">
        <v>11</v>
      </c>
      <c r="E7801" s="140" t="s">
        <v>281</v>
      </c>
      <c r="F7801">
        <v>1279</v>
      </c>
      <c r="G7801" s="140" t="s">
        <v>282</v>
      </c>
      <c r="H7801">
        <v>0</v>
      </c>
      <c r="I7801" s="140" t="s">
        <v>17</v>
      </c>
    </row>
    <row r="7802" spans="1:9" hidden="1" x14ac:dyDescent="0.25">
      <c r="A7802">
        <v>1996</v>
      </c>
      <c r="B7802" s="140" t="s">
        <v>119</v>
      </c>
      <c r="C7802" s="140" t="s">
        <v>556</v>
      </c>
      <c r="D7802" s="140" t="s">
        <v>11</v>
      </c>
      <c r="E7802" s="140" t="s">
        <v>281</v>
      </c>
      <c r="F7802">
        <v>1459</v>
      </c>
      <c r="G7802" s="140" t="s">
        <v>282</v>
      </c>
      <c r="H7802">
        <v>0</v>
      </c>
      <c r="I7802" s="140" t="s">
        <v>17</v>
      </c>
    </row>
    <row r="7803" spans="1:9" hidden="1" x14ac:dyDescent="0.25">
      <c r="A7803">
        <v>1997</v>
      </c>
      <c r="B7803" s="140" t="s">
        <v>119</v>
      </c>
      <c r="C7803" s="140" t="s">
        <v>556</v>
      </c>
      <c r="D7803" s="140" t="s">
        <v>11</v>
      </c>
      <c r="E7803" s="140" t="s">
        <v>281</v>
      </c>
      <c r="F7803">
        <v>1827</v>
      </c>
      <c r="G7803" s="140" t="s">
        <v>282</v>
      </c>
      <c r="H7803">
        <v>0</v>
      </c>
      <c r="I7803" s="140" t="s">
        <v>17</v>
      </c>
    </row>
    <row r="7804" spans="1:9" hidden="1" x14ac:dyDescent="0.25">
      <c r="A7804">
        <v>1998</v>
      </c>
      <c r="B7804" s="140" t="s">
        <v>119</v>
      </c>
      <c r="C7804" s="140" t="s">
        <v>556</v>
      </c>
      <c r="D7804" s="140" t="s">
        <v>11</v>
      </c>
      <c r="E7804" s="140" t="s">
        <v>281</v>
      </c>
      <c r="F7804">
        <v>1872</v>
      </c>
      <c r="G7804" s="140" t="s">
        <v>282</v>
      </c>
      <c r="H7804">
        <v>0</v>
      </c>
      <c r="I7804" s="140" t="s">
        <v>17</v>
      </c>
    </row>
    <row r="7805" spans="1:9" hidden="1" x14ac:dyDescent="0.25">
      <c r="A7805">
        <v>1999</v>
      </c>
      <c r="B7805" s="140" t="s">
        <v>119</v>
      </c>
      <c r="C7805" s="140" t="s">
        <v>556</v>
      </c>
      <c r="D7805" s="140" t="s">
        <v>11</v>
      </c>
      <c r="E7805" s="140" t="s">
        <v>281</v>
      </c>
      <c r="F7805">
        <v>1965</v>
      </c>
      <c r="G7805" s="140" t="s">
        <v>282</v>
      </c>
      <c r="H7805">
        <v>0</v>
      </c>
      <c r="I7805" s="140" t="s">
        <v>17</v>
      </c>
    </row>
    <row r="7806" spans="1:9" hidden="1" x14ac:dyDescent="0.25">
      <c r="A7806">
        <v>2000</v>
      </c>
      <c r="B7806" s="140" t="s">
        <v>119</v>
      </c>
      <c r="C7806" s="140" t="s">
        <v>556</v>
      </c>
      <c r="D7806" s="140" t="s">
        <v>11</v>
      </c>
      <c r="E7806" s="140" t="s">
        <v>281</v>
      </c>
      <c r="F7806">
        <v>1968</v>
      </c>
      <c r="G7806" s="140" t="s">
        <v>282</v>
      </c>
      <c r="H7806">
        <v>0</v>
      </c>
      <c r="I7806" s="140" t="s">
        <v>17</v>
      </c>
    </row>
    <row r="7807" spans="1:9" hidden="1" x14ac:dyDescent="0.25">
      <c r="A7807">
        <v>2001</v>
      </c>
      <c r="B7807" s="140" t="s">
        <v>119</v>
      </c>
      <c r="C7807" s="140" t="s">
        <v>556</v>
      </c>
      <c r="D7807" s="140" t="s">
        <v>11</v>
      </c>
      <c r="E7807" s="140" t="s">
        <v>281</v>
      </c>
      <c r="F7807">
        <v>2405</v>
      </c>
      <c r="G7807" s="140" t="s">
        <v>282</v>
      </c>
      <c r="H7807">
        <v>0</v>
      </c>
      <c r="I7807" s="140" t="s">
        <v>17</v>
      </c>
    </row>
    <row r="7808" spans="1:9" hidden="1" x14ac:dyDescent="0.25">
      <c r="A7808">
        <v>2002</v>
      </c>
      <c r="B7808" s="140" t="s">
        <v>119</v>
      </c>
      <c r="C7808" s="140" t="s">
        <v>556</v>
      </c>
      <c r="D7808" s="140" t="s">
        <v>11</v>
      </c>
      <c r="E7808" s="140" t="s">
        <v>281</v>
      </c>
      <c r="F7808">
        <v>2585</v>
      </c>
      <c r="G7808" s="140" t="s">
        <v>282</v>
      </c>
      <c r="H7808">
        <v>0</v>
      </c>
      <c r="I7808" s="140" t="s">
        <v>17</v>
      </c>
    </row>
    <row r="7809" spans="1:9" hidden="1" x14ac:dyDescent="0.25">
      <c r="A7809">
        <v>2003</v>
      </c>
      <c r="B7809" s="140" t="s">
        <v>119</v>
      </c>
      <c r="C7809" s="140" t="s">
        <v>556</v>
      </c>
      <c r="D7809" s="140" t="s">
        <v>11</v>
      </c>
      <c r="E7809" s="140" t="s">
        <v>281</v>
      </c>
      <c r="F7809">
        <v>2765</v>
      </c>
      <c r="G7809" s="140" t="s">
        <v>282</v>
      </c>
      <c r="H7809">
        <v>0</v>
      </c>
      <c r="I7809" s="140" t="s">
        <v>17</v>
      </c>
    </row>
    <row r="7810" spans="1:9" hidden="1" x14ac:dyDescent="0.25">
      <c r="A7810">
        <v>2004</v>
      </c>
      <c r="B7810" s="140" t="s">
        <v>119</v>
      </c>
      <c r="C7810" s="140" t="s">
        <v>556</v>
      </c>
      <c r="D7810" s="140" t="s">
        <v>11</v>
      </c>
      <c r="E7810" s="140" t="s">
        <v>281</v>
      </c>
      <c r="F7810">
        <v>2820</v>
      </c>
      <c r="G7810" s="140" t="s">
        <v>282</v>
      </c>
      <c r="H7810">
        <v>0</v>
      </c>
      <c r="I7810" s="140" t="s">
        <v>17</v>
      </c>
    </row>
    <row r="7811" spans="1:9" hidden="1" x14ac:dyDescent="0.25">
      <c r="A7811">
        <v>2005</v>
      </c>
      <c r="B7811" s="140" t="s">
        <v>119</v>
      </c>
      <c r="C7811" s="140" t="s">
        <v>556</v>
      </c>
      <c r="D7811" s="140" t="s">
        <v>11</v>
      </c>
      <c r="E7811" s="140" t="s">
        <v>281</v>
      </c>
      <c r="F7811">
        <v>2791</v>
      </c>
      <c r="G7811" s="140" t="s">
        <v>282</v>
      </c>
      <c r="H7811">
        <v>0</v>
      </c>
      <c r="I7811" s="140" t="s">
        <v>17</v>
      </c>
    </row>
    <row r="7812" spans="1:9" hidden="1" x14ac:dyDescent="0.25">
      <c r="A7812">
        <v>2006</v>
      </c>
      <c r="B7812" s="140" t="s">
        <v>119</v>
      </c>
      <c r="C7812" s="140" t="s">
        <v>556</v>
      </c>
      <c r="D7812" s="140" t="s">
        <v>11</v>
      </c>
      <c r="E7812" s="140" t="s">
        <v>281</v>
      </c>
      <c r="F7812">
        <v>2931</v>
      </c>
      <c r="G7812" s="140" t="s">
        <v>282</v>
      </c>
      <c r="H7812">
        <v>0</v>
      </c>
      <c r="I7812" s="140" t="s">
        <v>17</v>
      </c>
    </row>
    <row r="7813" spans="1:9" hidden="1" x14ac:dyDescent="0.25">
      <c r="A7813">
        <v>2007</v>
      </c>
      <c r="B7813" s="140" t="s">
        <v>119</v>
      </c>
      <c r="C7813" s="140" t="s">
        <v>556</v>
      </c>
      <c r="D7813" s="140" t="s">
        <v>11</v>
      </c>
      <c r="E7813" s="140" t="s">
        <v>281</v>
      </c>
      <c r="F7813">
        <v>3133</v>
      </c>
      <c r="G7813" s="140" t="s">
        <v>282</v>
      </c>
      <c r="H7813">
        <v>0</v>
      </c>
      <c r="I7813" s="140" t="s">
        <v>17</v>
      </c>
    </row>
    <row r="7814" spans="1:9" hidden="1" x14ac:dyDescent="0.25">
      <c r="A7814">
        <v>2008</v>
      </c>
      <c r="B7814" s="140" t="s">
        <v>119</v>
      </c>
      <c r="C7814" s="140" t="s">
        <v>556</v>
      </c>
      <c r="D7814" s="140" t="s">
        <v>11</v>
      </c>
      <c r="E7814" s="140" t="s">
        <v>281</v>
      </c>
      <c r="F7814">
        <v>3476</v>
      </c>
      <c r="G7814" s="140" t="s">
        <v>282</v>
      </c>
      <c r="H7814">
        <v>0</v>
      </c>
      <c r="I7814" s="140" t="s">
        <v>17</v>
      </c>
    </row>
    <row r="7815" spans="1:9" hidden="1" x14ac:dyDescent="0.25">
      <c r="A7815">
        <v>2009</v>
      </c>
      <c r="B7815" s="140" t="s">
        <v>119</v>
      </c>
      <c r="C7815" s="140" t="s">
        <v>556</v>
      </c>
      <c r="D7815" s="140" t="s">
        <v>11</v>
      </c>
      <c r="E7815" s="140" t="s">
        <v>281</v>
      </c>
      <c r="F7815">
        <v>3521</v>
      </c>
      <c r="G7815" s="140" t="s">
        <v>282</v>
      </c>
      <c r="H7815">
        <v>0</v>
      </c>
      <c r="I7815" s="140" t="s">
        <v>17</v>
      </c>
    </row>
    <row r="7816" spans="1:9" hidden="1" x14ac:dyDescent="0.25">
      <c r="A7816">
        <v>2010</v>
      </c>
      <c r="B7816" s="140" t="s">
        <v>119</v>
      </c>
      <c r="C7816" s="140" t="s">
        <v>556</v>
      </c>
      <c r="D7816" s="140" t="s">
        <v>11</v>
      </c>
      <c r="E7816" s="140" t="s">
        <v>281</v>
      </c>
      <c r="F7816">
        <v>3612</v>
      </c>
      <c r="G7816" s="140" t="s">
        <v>282</v>
      </c>
      <c r="H7816">
        <v>0</v>
      </c>
      <c r="I7816" s="140" t="s">
        <v>17</v>
      </c>
    </row>
    <row r="7817" spans="1:9" hidden="1" x14ac:dyDescent="0.25">
      <c r="A7817">
        <v>2011</v>
      </c>
      <c r="B7817" s="140" t="s">
        <v>119</v>
      </c>
      <c r="C7817" s="140" t="s">
        <v>556</v>
      </c>
      <c r="D7817" s="140" t="s">
        <v>11</v>
      </c>
      <c r="E7817" s="140" t="s">
        <v>281</v>
      </c>
      <c r="F7817">
        <v>3936</v>
      </c>
      <c r="G7817" s="140" t="s">
        <v>282</v>
      </c>
      <c r="H7817">
        <v>0</v>
      </c>
      <c r="I7817" s="140" t="s">
        <v>17</v>
      </c>
    </row>
    <row r="7818" spans="1:9" hidden="1" x14ac:dyDescent="0.25">
      <c r="A7818">
        <v>2012</v>
      </c>
      <c r="B7818" s="140" t="s">
        <v>119</v>
      </c>
      <c r="C7818" s="140" t="s">
        <v>556</v>
      </c>
      <c r="D7818" s="140" t="s">
        <v>11</v>
      </c>
      <c r="E7818" s="140" t="s">
        <v>281</v>
      </c>
      <c r="F7818">
        <v>4169</v>
      </c>
      <c r="G7818" s="140" t="s">
        <v>282</v>
      </c>
      <c r="H7818">
        <v>0</v>
      </c>
      <c r="I7818" s="140" t="s">
        <v>17</v>
      </c>
    </row>
    <row r="7819" spans="1:9" hidden="1" x14ac:dyDescent="0.25">
      <c r="A7819">
        <v>2013</v>
      </c>
      <c r="B7819" s="140" t="s">
        <v>119</v>
      </c>
      <c r="C7819" s="140" t="s">
        <v>556</v>
      </c>
      <c r="D7819" s="140" t="s">
        <v>11</v>
      </c>
      <c r="E7819" s="140" t="s">
        <v>281</v>
      </c>
      <c r="F7819">
        <v>4425</v>
      </c>
      <c r="G7819" s="140" t="s">
        <v>282</v>
      </c>
      <c r="H7819">
        <v>0</v>
      </c>
      <c r="I7819" s="140" t="s">
        <v>17</v>
      </c>
    </row>
    <row r="7820" spans="1:9" hidden="1" x14ac:dyDescent="0.25">
      <c r="A7820">
        <v>2014</v>
      </c>
      <c r="B7820" s="140" t="s">
        <v>119</v>
      </c>
      <c r="C7820" s="140" t="s">
        <v>556</v>
      </c>
      <c r="D7820" s="140" t="s">
        <v>11</v>
      </c>
      <c r="E7820" s="140" t="s">
        <v>281</v>
      </c>
      <c r="F7820">
        <v>4641</v>
      </c>
      <c r="G7820" s="140" t="s">
        <v>282</v>
      </c>
      <c r="H7820">
        <v>0</v>
      </c>
      <c r="I7820" s="140" t="s">
        <v>17</v>
      </c>
    </row>
    <row r="7821" spans="1:9" hidden="1" x14ac:dyDescent="0.25">
      <c r="A7821">
        <v>2015</v>
      </c>
      <c r="B7821" s="140" t="s">
        <v>119</v>
      </c>
      <c r="C7821" s="140" t="s">
        <v>556</v>
      </c>
      <c r="D7821" s="140" t="s">
        <v>11</v>
      </c>
      <c r="E7821" s="140" t="s">
        <v>281</v>
      </c>
      <c r="F7821">
        <v>4673</v>
      </c>
      <c r="G7821" s="140" t="s">
        <v>282</v>
      </c>
      <c r="H7821">
        <v>0</v>
      </c>
      <c r="I7821" s="140" t="s">
        <v>17</v>
      </c>
    </row>
    <row r="7822" spans="1:9" hidden="1" x14ac:dyDescent="0.25">
      <c r="A7822">
        <v>2016</v>
      </c>
      <c r="B7822" s="140" t="s">
        <v>119</v>
      </c>
      <c r="C7822" s="140" t="s">
        <v>556</v>
      </c>
      <c r="D7822" s="140" t="s">
        <v>11</v>
      </c>
      <c r="E7822" s="140" t="s">
        <v>281</v>
      </c>
      <c r="F7822">
        <v>4856</v>
      </c>
      <c r="G7822" s="140" t="s">
        <v>282</v>
      </c>
      <c r="H7822">
        <v>0</v>
      </c>
      <c r="I7822" s="140" t="s">
        <v>17</v>
      </c>
    </row>
    <row r="7823" spans="1:9" hidden="1" x14ac:dyDescent="0.25">
      <c r="A7823">
        <v>2017</v>
      </c>
      <c r="B7823" s="140" t="s">
        <v>119</v>
      </c>
      <c r="C7823" s="140" t="s">
        <v>556</v>
      </c>
      <c r="D7823" s="140" t="s">
        <v>11</v>
      </c>
      <c r="E7823" s="140" t="s">
        <v>281</v>
      </c>
      <c r="F7823">
        <v>5159</v>
      </c>
      <c r="G7823" s="140" t="s">
        <v>282</v>
      </c>
      <c r="H7823">
        <v>0</v>
      </c>
      <c r="I7823" s="140" t="s">
        <v>17</v>
      </c>
    </row>
    <row r="7824" spans="1:9" hidden="1" x14ac:dyDescent="0.25">
      <c r="A7824">
        <v>2018</v>
      </c>
      <c r="B7824" s="140" t="s">
        <v>119</v>
      </c>
      <c r="C7824" s="140" t="s">
        <v>556</v>
      </c>
      <c r="D7824" s="140" t="s">
        <v>11</v>
      </c>
      <c r="E7824" s="140" t="s">
        <v>281</v>
      </c>
      <c r="F7824">
        <v>5876</v>
      </c>
      <c r="G7824" s="140" t="s">
        <v>282</v>
      </c>
      <c r="H7824">
        <v>0</v>
      </c>
      <c r="I7824" s="140" t="s">
        <v>17</v>
      </c>
    </row>
    <row r="7825" spans="1:9" hidden="1" x14ac:dyDescent="0.25">
      <c r="A7825">
        <v>2019</v>
      </c>
      <c r="B7825" s="140" t="s">
        <v>119</v>
      </c>
      <c r="C7825" s="140" t="s">
        <v>556</v>
      </c>
      <c r="D7825" s="140" t="s">
        <v>11</v>
      </c>
      <c r="E7825" s="140" t="s">
        <v>281</v>
      </c>
      <c r="F7825">
        <v>6432</v>
      </c>
      <c r="G7825" s="140" t="s">
        <v>282</v>
      </c>
      <c r="H7825">
        <v>0</v>
      </c>
      <c r="I7825" s="140" t="s">
        <v>17</v>
      </c>
    </row>
    <row r="7826" spans="1:9" hidden="1" x14ac:dyDescent="0.25">
      <c r="A7826">
        <v>2020</v>
      </c>
      <c r="B7826" s="140" t="s">
        <v>119</v>
      </c>
      <c r="C7826" s="140" t="s">
        <v>556</v>
      </c>
      <c r="D7826" s="140" t="s">
        <v>11</v>
      </c>
      <c r="E7826" s="140" t="s">
        <v>281</v>
      </c>
      <c r="F7826">
        <v>6945</v>
      </c>
      <c r="G7826" s="140" t="s">
        <v>282</v>
      </c>
      <c r="H7826">
        <v>0</v>
      </c>
      <c r="I7826" s="140" t="s">
        <v>17</v>
      </c>
    </row>
    <row r="7827" spans="1:9" hidden="1" x14ac:dyDescent="0.25">
      <c r="A7827">
        <v>2021</v>
      </c>
      <c r="B7827" s="140" t="s">
        <v>119</v>
      </c>
      <c r="C7827" s="140" t="s">
        <v>556</v>
      </c>
      <c r="D7827" s="140" t="s">
        <v>11</v>
      </c>
      <c r="E7827" s="140" t="s">
        <v>281</v>
      </c>
      <c r="F7827">
        <v>6433</v>
      </c>
      <c r="G7827" s="140" t="s">
        <v>282</v>
      </c>
      <c r="H7827">
        <v>0</v>
      </c>
      <c r="I7827" s="140" t="s">
        <v>17</v>
      </c>
    </row>
    <row r="7828" spans="1:9" hidden="1" x14ac:dyDescent="0.25">
      <c r="A7828">
        <v>2022</v>
      </c>
      <c r="B7828" s="140" t="s">
        <v>119</v>
      </c>
      <c r="C7828" s="140" t="s">
        <v>556</v>
      </c>
      <c r="D7828" s="140" t="s">
        <v>11</v>
      </c>
      <c r="E7828" s="140" t="s">
        <v>281</v>
      </c>
      <c r="F7828">
        <v>6511</v>
      </c>
      <c r="G7828" s="140" t="s">
        <v>282</v>
      </c>
      <c r="H7828">
        <v>0</v>
      </c>
      <c r="I7828" s="140" t="s">
        <v>17</v>
      </c>
    </row>
    <row r="7829" spans="1:9" hidden="1" x14ac:dyDescent="0.25">
      <c r="A7829">
        <v>2023</v>
      </c>
      <c r="B7829" s="140" t="s">
        <v>119</v>
      </c>
      <c r="C7829" s="140" t="s">
        <v>556</v>
      </c>
      <c r="D7829" s="140" t="s">
        <v>11</v>
      </c>
      <c r="E7829" s="140" t="s">
        <v>281</v>
      </c>
      <c r="F7829">
        <v>6701</v>
      </c>
      <c r="G7829" s="140" t="s">
        <v>282</v>
      </c>
      <c r="H7829">
        <v>0</v>
      </c>
      <c r="I7829" s="140" t="s">
        <v>17</v>
      </c>
    </row>
    <row r="7830" spans="1:9" hidden="1" x14ac:dyDescent="0.25">
      <c r="A7830">
        <v>2024</v>
      </c>
      <c r="B7830" s="140" t="s">
        <v>119</v>
      </c>
      <c r="C7830" s="140" t="s">
        <v>556</v>
      </c>
      <c r="D7830" s="140" t="s">
        <v>11</v>
      </c>
      <c r="E7830" s="140" t="s">
        <v>281</v>
      </c>
      <c r="F7830">
        <v>7043</v>
      </c>
      <c r="G7830" s="140" t="s">
        <v>282</v>
      </c>
      <c r="H7830">
        <v>0</v>
      </c>
      <c r="I7830" s="140" t="s">
        <v>17</v>
      </c>
    </row>
    <row r="7831" spans="1:9" hidden="1" x14ac:dyDescent="0.25">
      <c r="A7831">
        <v>2025</v>
      </c>
      <c r="B7831" s="140" t="s">
        <v>119</v>
      </c>
      <c r="C7831" s="140" t="s">
        <v>556</v>
      </c>
      <c r="D7831" s="140" t="s">
        <v>11</v>
      </c>
      <c r="E7831" s="140" t="s">
        <v>281</v>
      </c>
      <c r="F7831">
        <v>6912</v>
      </c>
      <c r="G7831" s="140" t="s">
        <v>282</v>
      </c>
      <c r="H7831">
        <v>0</v>
      </c>
      <c r="I7831" s="140" t="s">
        <v>17</v>
      </c>
    </row>
    <row r="7832" spans="1:9" hidden="1" x14ac:dyDescent="0.25">
      <c r="A7832">
        <v>2026</v>
      </c>
      <c r="B7832" s="140" t="s">
        <v>119</v>
      </c>
      <c r="C7832" s="140" t="s">
        <v>556</v>
      </c>
      <c r="D7832" s="140" t="s">
        <v>11</v>
      </c>
      <c r="E7832" s="140" t="s">
        <v>281</v>
      </c>
      <c r="F7832">
        <v>7325.372273</v>
      </c>
      <c r="G7832" s="140" t="s">
        <v>282</v>
      </c>
      <c r="H7832">
        <v>0</v>
      </c>
      <c r="I7832" s="140" t="s">
        <v>17</v>
      </c>
    </row>
    <row r="7833" spans="1:9" hidden="1" x14ac:dyDescent="0.25">
      <c r="A7833">
        <v>2027</v>
      </c>
      <c r="B7833" s="140" t="s">
        <v>119</v>
      </c>
      <c r="C7833" s="140" t="s">
        <v>556</v>
      </c>
      <c r="D7833" s="140" t="s">
        <v>11</v>
      </c>
      <c r="E7833" s="140" t="s">
        <v>281</v>
      </c>
      <c r="F7833">
        <v>7352.6810429999996</v>
      </c>
      <c r="G7833" s="140" t="s">
        <v>282</v>
      </c>
      <c r="H7833">
        <v>0</v>
      </c>
      <c r="I7833" s="140" t="s">
        <v>17</v>
      </c>
    </row>
    <row r="7834" spans="1:9" hidden="1" x14ac:dyDescent="0.25">
      <c r="A7834">
        <v>2028</v>
      </c>
      <c r="B7834" s="140" t="s">
        <v>119</v>
      </c>
      <c r="C7834" s="140" t="s">
        <v>556</v>
      </c>
      <c r="D7834" s="140" t="s">
        <v>11</v>
      </c>
      <c r="E7834" s="140" t="s">
        <v>281</v>
      </c>
      <c r="F7834">
        <v>7395.9544349999996</v>
      </c>
      <c r="G7834" s="140" t="s">
        <v>282</v>
      </c>
      <c r="H7834">
        <v>0</v>
      </c>
      <c r="I7834" s="140" t="s">
        <v>17</v>
      </c>
    </row>
    <row r="7835" spans="1:9" hidden="1" x14ac:dyDescent="0.25">
      <c r="A7835">
        <v>1990</v>
      </c>
      <c r="B7835" s="140" t="s">
        <v>119</v>
      </c>
      <c r="C7835" s="140" t="s">
        <v>556</v>
      </c>
      <c r="D7835" s="140" t="s">
        <v>11</v>
      </c>
      <c r="E7835" s="140" t="s">
        <v>283</v>
      </c>
      <c r="F7835">
        <v>42</v>
      </c>
      <c r="G7835" s="140" t="s">
        <v>284</v>
      </c>
      <c r="H7835">
        <v>0</v>
      </c>
      <c r="I7835" s="140" t="s">
        <v>17</v>
      </c>
    </row>
    <row r="7836" spans="1:9" hidden="1" x14ac:dyDescent="0.25">
      <c r="A7836">
        <v>1991</v>
      </c>
      <c r="B7836" s="140" t="s">
        <v>119</v>
      </c>
      <c r="C7836" s="140" t="s">
        <v>556</v>
      </c>
      <c r="D7836" s="140" t="s">
        <v>11</v>
      </c>
      <c r="E7836" s="140" t="s">
        <v>283</v>
      </c>
      <c r="F7836">
        <v>31</v>
      </c>
      <c r="G7836" s="140" t="s">
        <v>284</v>
      </c>
      <c r="H7836">
        <v>0</v>
      </c>
      <c r="I7836" s="140" t="s">
        <v>17</v>
      </c>
    </row>
    <row r="7837" spans="1:9" hidden="1" x14ac:dyDescent="0.25">
      <c r="A7837">
        <v>1992</v>
      </c>
      <c r="B7837" s="140" t="s">
        <v>119</v>
      </c>
      <c r="C7837" s="140" t="s">
        <v>556</v>
      </c>
      <c r="D7837" s="140" t="s">
        <v>11</v>
      </c>
      <c r="E7837" s="140" t="s">
        <v>283</v>
      </c>
      <c r="F7837">
        <v>105</v>
      </c>
      <c r="G7837" s="140" t="s">
        <v>284</v>
      </c>
      <c r="H7837">
        <v>0</v>
      </c>
      <c r="I7837" s="140" t="s">
        <v>17</v>
      </c>
    </row>
    <row r="7838" spans="1:9" hidden="1" x14ac:dyDescent="0.25">
      <c r="A7838">
        <v>1993</v>
      </c>
      <c r="B7838" s="140" t="s">
        <v>119</v>
      </c>
      <c r="C7838" s="140" t="s">
        <v>556</v>
      </c>
      <c r="D7838" s="140" t="s">
        <v>11</v>
      </c>
      <c r="E7838" s="140" t="s">
        <v>283</v>
      </c>
      <c r="F7838">
        <v>99</v>
      </c>
      <c r="G7838" s="140" t="s">
        <v>284</v>
      </c>
      <c r="H7838">
        <v>0</v>
      </c>
      <c r="I7838" s="140" t="s">
        <v>17</v>
      </c>
    </row>
    <row r="7839" spans="1:9" hidden="1" x14ac:dyDescent="0.25">
      <c r="A7839">
        <v>1994</v>
      </c>
      <c r="B7839" s="140" t="s">
        <v>119</v>
      </c>
      <c r="C7839" s="140" t="s">
        <v>556</v>
      </c>
      <c r="D7839" s="140" t="s">
        <v>11</v>
      </c>
      <c r="E7839" s="140" t="s">
        <v>283</v>
      </c>
      <c r="F7839">
        <v>151</v>
      </c>
      <c r="G7839" s="140" t="s">
        <v>284</v>
      </c>
      <c r="H7839">
        <v>0</v>
      </c>
      <c r="I7839" s="140" t="s">
        <v>17</v>
      </c>
    </row>
    <row r="7840" spans="1:9" hidden="1" x14ac:dyDescent="0.25">
      <c r="A7840">
        <v>1995</v>
      </c>
      <c r="B7840" s="140" t="s">
        <v>119</v>
      </c>
      <c r="C7840" s="140" t="s">
        <v>556</v>
      </c>
      <c r="D7840" s="140" t="s">
        <v>11</v>
      </c>
      <c r="E7840" s="140" t="s">
        <v>283</v>
      </c>
      <c r="F7840">
        <v>17</v>
      </c>
      <c r="G7840" s="140" t="s">
        <v>284</v>
      </c>
      <c r="H7840">
        <v>0</v>
      </c>
      <c r="I7840" s="140" t="s">
        <v>17</v>
      </c>
    </row>
    <row r="7841" spans="1:9" hidden="1" x14ac:dyDescent="0.25">
      <c r="A7841">
        <v>1996</v>
      </c>
      <c r="B7841" s="140" t="s">
        <v>119</v>
      </c>
      <c r="C7841" s="140" t="s">
        <v>556</v>
      </c>
      <c r="D7841" s="140" t="s">
        <v>11</v>
      </c>
      <c r="E7841" s="140" t="s">
        <v>283</v>
      </c>
      <c r="F7841">
        <v>47</v>
      </c>
      <c r="G7841" s="140" t="s">
        <v>284</v>
      </c>
      <c r="H7841">
        <v>0</v>
      </c>
      <c r="I7841" s="140" t="s">
        <v>17</v>
      </c>
    </row>
    <row r="7842" spans="1:9" hidden="1" x14ac:dyDescent="0.25">
      <c r="A7842">
        <v>1997</v>
      </c>
      <c r="B7842" s="140" t="s">
        <v>119</v>
      </c>
      <c r="C7842" s="140" t="s">
        <v>556</v>
      </c>
      <c r="D7842" s="140" t="s">
        <v>11</v>
      </c>
      <c r="E7842" s="140" t="s">
        <v>283</v>
      </c>
      <c r="F7842">
        <v>91</v>
      </c>
      <c r="G7842" s="140" t="s">
        <v>284</v>
      </c>
      <c r="H7842">
        <v>0</v>
      </c>
      <c r="I7842" s="140" t="s">
        <v>17</v>
      </c>
    </row>
    <row r="7843" spans="1:9" hidden="1" x14ac:dyDescent="0.25">
      <c r="A7843">
        <v>1998</v>
      </c>
      <c r="B7843" s="140" t="s">
        <v>119</v>
      </c>
      <c r="C7843" s="140" t="s">
        <v>556</v>
      </c>
      <c r="D7843" s="140" t="s">
        <v>11</v>
      </c>
      <c r="E7843" s="140" t="s">
        <v>283</v>
      </c>
      <c r="F7843">
        <v>52</v>
      </c>
      <c r="G7843" s="140" t="s">
        <v>284</v>
      </c>
      <c r="H7843">
        <v>0</v>
      </c>
      <c r="I7843" s="140" t="s">
        <v>17</v>
      </c>
    </row>
    <row r="7844" spans="1:9" hidden="1" x14ac:dyDescent="0.25">
      <c r="A7844">
        <v>1999</v>
      </c>
      <c r="B7844" s="140" t="s">
        <v>119</v>
      </c>
      <c r="C7844" s="140" t="s">
        <v>556</v>
      </c>
      <c r="D7844" s="140" t="s">
        <v>11</v>
      </c>
      <c r="E7844" s="140" t="s">
        <v>283</v>
      </c>
      <c r="F7844">
        <v>174</v>
      </c>
      <c r="G7844" s="140" t="s">
        <v>284</v>
      </c>
      <c r="H7844">
        <v>0</v>
      </c>
      <c r="I7844" s="140" t="s">
        <v>17</v>
      </c>
    </row>
    <row r="7845" spans="1:9" hidden="1" x14ac:dyDescent="0.25">
      <c r="A7845">
        <v>2000</v>
      </c>
      <c r="B7845" s="140" t="s">
        <v>119</v>
      </c>
      <c r="C7845" s="140" t="s">
        <v>556</v>
      </c>
      <c r="D7845" s="140" t="s">
        <v>11</v>
      </c>
      <c r="E7845" s="140" t="s">
        <v>283</v>
      </c>
      <c r="F7845">
        <v>50</v>
      </c>
      <c r="G7845" s="140" t="s">
        <v>284</v>
      </c>
      <c r="H7845">
        <v>0</v>
      </c>
      <c r="I7845" s="140" t="s">
        <v>17</v>
      </c>
    </row>
    <row r="7846" spans="1:9" hidden="1" x14ac:dyDescent="0.25">
      <c r="A7846">
        <v>2001</v>
      </c>
      <c r="B7846" s="140" t="s">
        <v>119</v>
      </c>
      <c r="C7846" s="140" t="s">
        <v>556</v>
      </c>
      <c r="D7846" s="140" t="s">
        <v>11</v>
      </c>
      <c r="E7846" s="140" t="s">
        <v>283</v>
      </c>
      <c r="F7846">
        <v>101</v>
      </c>
      <c r="G7846" s="140" t="s">
        <v>284</v>
      </c>
      <c r="H7846">
        <v>0</v>
      </c>
      <c r="I7846" s="140" t="s">
        <v>17</v>
      </c>
    </row>
    <row r="7847" spans="1:9" hidden="1" x14ac:dyDescent="0.25">
      <c r="A7847">
        <v>2002</v>
      </c>
      <c r="B7847" s="140" t="s">
        <v>119</v>
      </c>
      <c r="C7847" s="140" t="s">
        <v>556</v>
      </c>
      <c r="D7847" s="140" t="s">
        <v>11</v>
      </c>
      <c r="E7847" s="140" t="s">
        <v>283</v>
      </c>
      <c r="F7847">
        <v>167</v>
      </c>
      <c r="G7847" s="140" t="s">
        <v>284</v>
      </c>
      <c r="H7847">
        <v>0</v>
      </c>
      <c r="I7847" s="140" t="s">
        <v>17</v>
      </c>
    </row>
    <row r="7848" spans="1:9" hidden="1" x14ac:dyDescent="0.25">
      <c r="A7848">
        <v>2003</v>
      </c>
      <c r="B7848" s="140" t="s">
        <v>119</v>
      </c>
      <c r="C7848" s="140" t="s">
        <v>556</v>
      </c>
      <c r="D7848" s="140" t="s">
        <v>11</v>
      </c>
      <c r="E7848" s="140" t="s">
        <v>283</v>
      </c>
      <c r="F7848">
        <v>228</v>
      </c>
      <c r="G7848" s="140" t="s">
        <v>284</v>
      </c>
      <c r="H7848">
        <v>0</v>
      </c>
      <c r="I7848" s="140" t="s">
        <v>17</v>
      </c>
    </row>
    <row r="7849" spans="1:9" hidden="1" x14ac:dyDescent="0.25">
      <c r="A7849">
        <v>2004</v>
      </c>
      <c r="B7849" s="140" t="s">
        <v>119</v>
      </c>
      <c r="C7849" s="140" t="s">
        <v>556</v>
      </c>
      <c r="D7849" s="140" t="s">
        <v>11</v>
      </c>
      <c r="E7849" s="140" t="s">
        <v>283</v>
      </c>
      <c r="F7849">
        <v>278</v>
      </c>
      <c r="G7849" s="140" t="s">
        <v>284</v>
      </c>
      <c r="H7849">
        <v>0</v>
      </c>
      <c r="I7849" s="140" t="s">
        <v>17</v>
      </c>
    </row>
    <row r="7850" spans="1:9" hidden="1" x14ac:dyDescent="0.25">
      <c r="A7850">
        <v>2005</v>
      </c>
      <c r="B7850" s="140" t="s">
        <v>119</v>
      </c>
      <c r="C7850" s="140" t="s">
        <v>556</v>
      </c>
      <c r="D7850" s="140" t="s">
        <v>11</v>
      </c>
      <c r="E7850" s="140" t="s">
        <v>283</v>
      </c>
      <c r="F7850">
        <v>-65</v>
      </c>
      <c r="G7850" s="140" t="s">
        <v>284</v>
      </c>
      <c r="H7850">
        <v>0</v>
      </c>
      <c r="I7850" s="140" t="s">
        <v>17</v>
      </c>
    </row>
    <row r="7851" spans="1:9" hidden="1" x14ac:dyDescent="0.25">
      <c r="A7851">
        <v>2006</v>
      </c>
      <c r="B7851" s="140" t="s">
        <v>119</v>
      </c>
      <c r="C7851" s="140" t="s">
        <v>556</v>
      </c>
      <c r="D7851" s="140" t="s">
        <v>11</v>
      </c>
      <c r="E7851" s="140" t="s">
        <v>283</v>
      </c>
      <c r="F7851">
        <v>-144</v>
      </c>
      <c r="G7851" s="140" t="s">
        <v>284</v>
      </c>
      <c r="H7851">
        <v>0</v>
      </c>
      <c r="I7851" s="140" t="s">
        <v>17</v>
      </c>
    </row>
    <row r="7852" spans="1:9" hidden="1" x14ac:dyDescent="0.25">
      <c r="A7852">
        <v>2007</v>
      </c>
      <c r="B7852" s="140" t="s">
        <v>119</v>
      </c>
      <c r="C7852" s="140" t="s">
        <v>556</v>
      </c>
      <c r="D7852" s="140" t="s">
        <v>11</v>
      </c>
      <c r="E7852" s="140" t="s">
        <v>283</v>
      </c>
      <c r="F7852">
        <v>335</v>
      </c>
      <c r="G7852" s="140" t="s">
        <v>284</v>
      </c>
      <c r="H7852">
        <v>0</v>
      </c>
      <c r="I7852" s="140" t="s">
        <v>17</v>
      </c>
    </row>
    <row r="7853" spans="1:9" hidden="1" x14ac:dyDescent="0.25">
      <c r="A7853">
        <v>2008</v>
      </c>
      <c r="B7853" s="140" t="s">
        <v>119</v>
      </c>
      <c r="C7853" s="140" t="s">
        <v>556</v>
      </c>
      <c r="D7853" s="140" t="s">
        <v>11</v>
      </c>
      <c r="E7853" s="140" t="s">
        <v>283</v>
      </c>
      <c r="F7853">
        <v>74</v>
      </c>
      <c r="G7853" s="140" t="s">
        <v>284</v>
      </c>
      <c r="H7853">
        <v>0</v>
      </c>
      <c r="I7853" s="140" t="s">
        <v>17</v>
      </c>
    </row>
    <row r="7854" spans="1:9" hidden="1" x14ac:dyDescent="0.25">
      <c r="A7854">
        <v>2009</v>
      </c>
      <c r="B7854" s="140" t="s">
        <v>119</v>
      </c>
      <c r="C7854" s="140" t="s">
        <v>556</v>
      </c>
      <c r="D7854" s="140" t="s">
        <v>11</v>
      </c>
      <c r="E7854" s="140" t="s">
        <v>283</v>
      </c>
      <c r="F7854">
        <v>159</v>
      </c>
      <c r="G7854" s="140" t="s">
        <v>284</v>
      </c>
      <c r="H7854">
        <v>0</v>
      </c>
      <c r="I7854" s="140" t="s">
        <v>17</v>
      </c>
    </row>
    <row r="7855" spans="1:9" hidden="1" x14ac:dyDescent="0.25">
      <c r="A7855">
        <v>2010</v>
      </c>
      <c r="B7855" s="140" t="s">
        <v>119</v>
      </c>
      <c r="C7855" s="140" t="s">
        <v>556</v>
      </c>
      <c r="D7855" s="140" t="s">
        <v>11</v>
      </c>
      <c r="E7855" s="140" t="s">
        <v>283</v>
      </c>
      <c r="F7855">
        <v>-241</v>
      </c>
      <c r="G7855" s="140" t="s">
        <v>284</v>
      </c>
      <c r="H7855">
        <v>0</v>
      </c>
      <c r="I7855" s="140" t="s">
        <v>17</v>
      </c>
    </row>
    <row r="7856" spans="1:9" hidden="1" x14ac:dyDescent="0.25">
      <c r="A7856">
        <v>2011</v>
      </c>
      <c r="B7856" s="140" t="s">
        <v>119</v>
      </c>
      <c r="C7856" s="140" t="s">
        <v>556</v>
      </c>
      <c r="D7856" s="140" t="s">
        <v>11</v>
      </c>
      <c r="E7856" s="140" t="s">
        <v>283</v>
      </c>
      <c r="F7856">
        <v>25</v>
      </c>
      <c r="G7856" s="140" t="s">
        <v>284</v>
      </c>
      <c r="H7856">
        <v>0</v>
      </c>
      <c r="I7856" s="140" t="s">
        <v>17</v>
      </c>
    </row>
    <row r="7857" spans="1:9" hidden="1" x14ac:dyDescent="0.25">
      <c r="A7857">
        <v>2012</v>
      </c>
      <c r="B7857" s="140" t="s">
        <v>119</v>
      </c>
      <c r="C7857" s="140" t="s">
        <v>556</v>
      </c>
      <c r="D7857" s="140" t="s">
        <v>11</v>
      </c>
      <c r="E7857" s="140" t="s">
        <v>283</v>
      </c>
      <c r="F7857">
        <v>66</v>
      </c>
      <c r="G7857" s="140" t="s">
        <v>284</v>
      </c>
      <c r="H7857">
        <v>0</v>
      </c>
      <c r="I7857" s="140" t="s">
        <v>17</v>
      </c>
    </row>
    <row r="7858" spans="1:9" hidden="1" x14ac:dyDescent="0.25">
      <c r="A7858">
        <v>2013</v>
      </c>
      <c r="B7858" s="140" t="s">
        <v>119</v>
      </c>
      <c r="C7858" s="140" t="s">
        <v>556</v>
      </c>
      <c r="D7858" s="140" t="s">
        <v>11</v>
      </c>
      <c r="E7858" s="140" t="s">
        <v>283</v>
      </c>
      <c r="F7858">
        <v>52</v>
      </c>
      <c r="G7858" s="140" t="s">
        <v>284</v>
      </c>
      <c r="H7858">
        <v>0</v>
      </c>
      <c r="I7858" s="140" t="s">
        <v>17</v>
      </c>
    </row>
    <row r="7859" spans="1:9" hidden="1" x14ac:dyDescent="0.25">
      <c r="A7859">
        <v>2014</v>
      </c>
      <c r="B7859" s="140" t="s">
        <v>119</v>
      </c>
      <c r="C7859" s="140" t="s">
        <v>556</v>
      </c>
      <c r="D7859" s="140" t="s">
        <v>11</v>
      </c>
      <c r="E7859" s="140" t="s">
        <v>283</v>
      </c>
      <c r="F7859">
        <v>-9</v>
      </c>
      <c r="G7859" s="140" t="s">
        <v>284</v>
      </c>
      <c r="H7859">
        <v>0</v>
      </c>
      <c r="I7859" s="140" t="s">
        <v>17</v>
      </c>
    </row>
    <row r="7860" spans="1:9" hidden="1" x14ac:dyDescent="0.25">
      <c r="A7860">
        <v>2015</v>
      </c>
      <c r="B7860" s="140" t="s">
        <v>119</v>
      </c>
      <c r="C7860" s="140" t="s">
        <v>556</v>
      </c>
      <c r="D7860" s="140" t="s">
        <v>11</v>
      </c>
      <c r="E7860" s="140" t="s">
        <v>283</v>
      </c>
      <c r="F7860">
        <v>-293</v>
      </c>
      <c r="G7860" s="140" t="s">
        <v>284</v>
      </c>
      <c r="H7860">
        <v>0</v>
      </c>
      <c r="I7860" s="140" t="s">
        <v>17</v>
      </c>
    </row>
    <row r="7861" spans="1:9" hidden="1" x14ac:dyDescent="0.25">
      <c r="A7861">
        <v>2016</v>
      </c>
      <c r="B7861" s="140" t="s">
        <v>119</v>
      </c>
      <c r="C7861" s="140" t="s">
        <v>556</v>
      </c>
      <c r="D7861" s="140" t="s">
        <v>11</v>
      </c>
      <c r="E7861" s="140" t="s">
        <v>283</v>
      </c>
      <c r="F7861">
        <v>255</v>
      </c>
      <c r="G7861" s="140" t="s">
        <v>284</v>
      </c>
      <c r="H7861">
        <v>0</v>
      </c>
      <c r="I7861" s="140" t="s">
        <v>17</v>
      </c>
    </row>
    <row r="7862" spans="1:9" hidden="1" x14ac:dyDescent="0.25">
      <c r="A7862">
        <v>2017</v>
      </c>
      <c r="B7862" s="140" t="s">
        <v>119</v>
      </c>
      <c r="C7862" s="140" t="s">
        <v>556</v>
      </c>
      <c r="D7862" s="140" t="s">
        <v>11</v>
      </c>
      <c r="E7862" s="140" t="s">
        <v>283</v>
      </c>
      <c r="F7862">
        <v>25</v>
      </c>
      <c r="G7862" s="140" t="s">
        <v>284</v>
      </c>
      <c r="H7862">
        <v>0</v>
      </c>
      <c r="I7862" s="140" t="s">
        <v>17</v>
      </c>
    </row>
    <row r="7863" spans="1:9" hidden="1" x14ac:dyDescent="0.25">
      <c r="A7863">
        <v>2018</v>
      </c>
      <c r="B7863" s="140" t="s">
        <v>119</v>
      </c>
      <c r="C7863" s="140" t="s">
        <v>556</v>
      </c>
      <c r="D7863" s="140" t="s">
        <v>11</v>
      </c>
      <c r="E7863" s="140" t="s">
        <v>283</v>
      </c>
      <c r="F7863">
        <v>45</v>
      </c>
      <c r="G7863" s="140" t="s">
        <v>284</v>
      </c>
      <c r="H7863">
        <v>0</v>
      </c>
      <c r="I7863" s="140" t="s">
        <v>17</v>
      </c>
    </row>
    <row r="7864" spans="1:9" hidden="1" x14ac:dyDescent="0.25">
      <c r="A7864">
        <v>2019</v>
      </c>
      <c r="B7864" s="140" t="s">
        <v>119</v>
      </c>
      <c r="C7864" s="140" t="s">
        <v>556</v>
      </c>
      <c r="D7864" s="140" t="s">
        <v>11</v>
      </c>
      <c r="E7864" s="140" t="s">
        <v>283</v>
      </c>
      <c r="F7864">
        <v>-68</v>
      </c>
      <c r="G7864" s="140" t="s">
        <v>284</v>
      </c>
      <c r="H7864">
        <v>0</v>
      </c>
      <c r="I7864" s="140" t="s">
        <v>17</v>
      </c>
    </row>
    <row r="7865" spans="1:9" hidden="1" x14ac:dyDescent="0.25">
      <c r="A7865">
        <v>2020</v>
      </c>
      <c r="B7865" s="140" t="s">
        <v>119</v>
      </c>
      <c r="C7865" s="140" t="s">
        <v>556</v>
      </c>
      <c r="D7865" s="140" t="s">
        <v>11</v>
      </c>
      <c r="E7865" s="140" t="s">
        <v>283</v>
      </c>
      <c r="F7865">
        <v>-31</v>
      </c>
      <c r="G7865" s="140" t="s">
        <v>284</v>
      </c>
      <c r="H7865">
        <v>0</v>
      </c>
      <c r="I7865" s="140" t="s">
        <v>17</v>
      </c>
    </row>
    <row r="7866" spans="1:9" hidden="1" x14ac:dyDescent="0.25">
      <c r="A7866">
        <v>2021</v>
      </c>
      <c r="B7866" s="140" t="s">
        <v>119</v>
      </c>
      <c r="C7866" s="140" t="s">
        <v>556</v>
      </c>
      <c r="D7866" s="140" t="s">
        <v>11</v>
      </c>
      <c r="E7866" s="140" t="s">
        <v>283</v>
      </c>
      <c r="F7866">
        <v>-10</v>
      </c>
      <c r="G7866" s="140" t="s">
        <v>284</v>
      </c>
      <c r="H7866">
        <v>0</v>
      </c>
      <c r="I7866" s="140" t="s">
        <v>17</v>
      </c>
    </row>
    <row r="7867" spans="1:9" hidden="1" x14ac:dyDescent="0.25">
      <c r="A7867">
        <v>2022</v>
      </c>
      <c r="B7867" s="140" t="s">
        <v>119</v>
      </c>
      <c r="C7867" s="140" t="s">
        <v>556</v>
      </c>
      <c r="D7867" s="140" t="s">
        <v>11</v>
      </c>
      <c r="E7867" s="140" t="s">
        <v>283</v>
      </c>
      <c r="F7867">
        <v>100</v>
      </c>
      <c r="G7867" s="140" t="s">
        <v>284</v>
      </c>
      <c r="H7867">
        <v>0</v>
      </c>
      <c r="I7867" s="140" t="s">
        <v>17</v>
      </c>
    </row>
    <row r="7868" spans="1:9" hidden="1" x14ac:dyDescent="0.25">
      <c r="A7868">
        <v>2023</v>
      </c>
      <c r="B7868" s="140" t="s">
        <v>119</v>
      </c>
      <c r="C7868" s="140" t="s">
        <v>556</v>
      </c>
      <c r="D7868" s="140" t="s">
        <v>11</v>
      </c>
      <c r="E7868" s="140" t="s">
        <v>283</v>
      </c>
      <c r="F7868">
        <v>15</v>
      </c>
      <c r="G7868" s="140" t="s">
        <v>284</v>
      </c>
      <c r="H7868">
        <v>0</v>
      </c>
      <c r="I7868" s="140" t="s">
        <v>17</v>
      </c>
    </row>
    <row r="7869" spans="1:9" hidden="1" x14ac:dyDescent="0.25">
      <c r="A7869">
        <v>2024</v>
      </c>
      <c r="B7869" s="140" t="s">
        <v>119</v>
      </c>
      <c r="C7869" s="140" t="s">
        <v>556</v>
      </c>
      <c r="D7869" s="140" t="s">
        <v>11</v>
      </c>
      <c r="E7869" s="140" t="s">
        <v>283</v>
      </c>
      <c r="F7869">
        <v>49</v>
      </c>
      <c r="G7869" s="140" t="s">
        <v>284</v>
      </c>
      <c r="H7869">
        <v>0</v>
      </c>
      <c r="I7869" s="140" t="s">
        <v>17</v>
      </c>
    </row>
    <row r="7870" spans="1:9" hidden="1" x14ac:dyDescent="0.25">
      <c r="A7870">
        <v>2025</v>
      </c>
      <c r="B7870" s="140" t="s">
        <v>119</v>
      </c>
      <c r="C7870" s="140" t="s">
        <v>556</v>
      </c>
      <c r="D7870" s="140" t="s">
        <v>11</v>
      </c>
      <c r="E7870" s="140" t="s">
        <v>283</v>
      </c>
      <c r="F7870">
        <v>-21</v>
      </c>
      <c r="G7870" s="140" t="s">
        <v>284</v>
      </c>
      <c r="H7870">
        <v>0</v>
      </c>
      <c r="I7870" s="140" t="s">
        <v>17</v>
      </c>
    </row>
    <row r="7871" spans="1:9" hidden="1" x14ac:dyDescent="0.25">
      <c r="A7871">
        <v>2026</v>
      </c>
      <c r="B7871" s="140" t="s">
        <v>119</v>
      </c>
      <c r="C7871" s="140" t="s">
        <v>556</v>
      </c>
      <c r="D7871" s="140" t="s">
        <v>11</v>
      </c>
      <c r="E7871" s="140" t="s">
        <v>283</v>
      </c>
      <c r="F7871">
        <v>-433</v>
      </c>
      <c r="G7871" s="140" t="s">
        <v>284</v>
      </c>
      <c r="H7871">
        <v>0</v>
      </c>
      <c r="I7871" s="140" t="s">
        <v>17</v>
      </c>
    </row>
    <row r="7872" spans="1:9" hidden="1" x14ac:dyDescent="0.25">
      <c r="A7872">
        <v>2027</v>
      </c>
      <c r="B7872" s="140" t="s">
        <v>119</v>
      </c>
      <c r="C7872" s="140" t="s">
        <v>556</v>
      </c>
      <c r="D7872" s="140" t="s">
        <v>11</v>
      </c>
      <c r="E7872" s="140" t="s">
        <v>283</v>
      </c>
      <c r="F7872">
        <v>20</v>
      </c>
      <c r="G7872" s="140" t="s">
        <v>284</v>
      </c>
      <c r="H7872">
        <v>0</v>
      </c>
      <c r="I7872" s="140" t="s">
        <v>17</v>
      </c>
    </row>
    <row r="7873" spans="1:9" hidden="1" x14ac:dyDescent="0.25">
      <c r="A7873">
        <v>2028</v>
      </c>
      <c r="B7873" s="140" t="s">
        <v>119</v>
      </c>
      <c r="C7873" s="140" t="s">
        <v>556</v>
      </c>
      <c r="D7873" s="140" t="s">
        <v>11</v>
      </c>
      <c r="E7873" s="140" t="s">
        <v>283</v>
      </c>
      <c r="F7873">
        <v>20</v>
      </c>
      <c r="G7873" s="140" t="s">
        <v>284</v>
      </c>
      <c r="H7873">
        <v>0</v>
      </c>
      <c r="I7873" s="140" t="s">
        <v>17</v>
      </c>
    </row>
    <row r="7874" spans="1:9" hidden="1" x14ac:dyDescent="0.25">
      <c r="A7874">
        <v>1990</v>
      </c>
      <c r="B7874" s="140" t="s">
        <v>130</v>
      </c>
      <c r="C7874" s="140" t="s">
        <v>19</v>
      </c>
      <c r="D7874" s="140" t="s">
        <v>11</v>
      </c>
      <c r="E7874" s="140" t="s">
        <v>12</v>
      </c>
      <c r="F7874">
        <v>22901</v>
      </c>
      <c r="G7874" s="140" t="s">
        <v>277</v>
      </c>
      <c r="H7874">
        <v>0</v>
      </c>
      <c r="I7874" s="140" t="s">
        <v>17</v>
      </c>
    </row>
    <row r="7875" spans="1:9" hidden="1" x14ac:dyDescent="0.25">
      <c r="A7875">
        <v>1991</v>
      </c>
      <c r="B7875" s="140" t="s">
        <v>130</v>
      </c>
      <c r="C7875" s="140" t="s">
        <v>19</v>
      </c>
      <c r="D7875" s="140" t="s">
        <v>11</v>
      </c>
      <c r="E7875" s="140" t="s">
        <v>12</v>
      </c>
      <c r="F7875">
        <v>18363</v>
      </c>
      <c r="G7875" s="140" t="s">
        <v>277</v>
      </c>
      <c r="H7875">
        <v>0</v>
      </c>
      <c r="I7875" s="140" t="s">
        <v>17</v>
      </c>
    </row>
    <row r="7876" spans="1:9" hidden="1" x14ac:dyDescent="0.25">
      <c r="A7876">
        <v>1992</v>
      </c>
      <c r="B7876" s="140" t="s">
        <v>130</v>
      </c>
      <c r="C7876" s="140" t="s">
        <v>19</v>
      </c>
      <c r="D7876" s="140" t="s">
        <v>11</v>
      </c>
      <c r="E7876" s="140" t="s">
        <v>12</v>
      </c>
      <c r="F7876">
        <v>14782</v>
      </c>
      <c r="G7876" s="140" t="s">
        <v>277</v>
      </c>
      <c r="H7876">
        <v>0</v>
      </c>
      <c r="I7876" s="140" t="s">
        <v>17</v>
      </c>
    </row>
    <row r="7877" spans="1:9" hidden="1" x14ac:dyDescent="0.25">
      <c r="A7877">
        <v>1993</v>
      </c>
      <c r="B7877" s="140" t="s">
        <v>130</v>
      </c>
      <c r="C7877" s="140" t="s">
        <v>19</v>
      </c>
      <c r="D7877" s="140" t="s">
        <v>11</v>
      </c>
      <c r="E7877" s="140" t="s">
        <v>12</v>
      </c>
      <c r="F7877">
        <v>12967</v>
      </c>
      <c r="G7877" s="140" t="s">
        <v>277</v>
      </c>
      <c r="H7877">
        <v>0</v>
      </c>
      <c r="I7877" s="140" t="s">
        <v>17</v>
      </c>
    </row>
    <row r="7878" spans="1:9" hidden="1" x14ac:dyDescent="0.25">
      <c r="A7878">
        <v>1994</v>
      </c>
      <c r="B7878" s="140" t="s">
        <v>130</v>
      </c>
      <c r="C7878" s="140" t="s">
        <v>19</v>
      </c>
      <c r="D7878" s="140" t="s">
        <v>11</v>
      </c>
      <c r="E7878" s="140" t="s">
        <v>12</v>
      </c>
      <c r="F7878">
        <v>13139</v>
      </c>
      <c r="G7878" s="140" t="s">
        <v>277</v>
      </c>
      <c r="H7878">
        <v>0</v>
      </c>
      <c r="I7878" s="140" t="s">
        <v>17</v>
      </c>
    </row>
    <row r="7879" spans="1:9" hidden="1" x14ac:dyDescent="0.25">
      <c r="A7879">
        <v>1995</v>
      </c>
      <c r="B7879" s="140" t="s">
        <v>130</v>
      </c>
      <c r="C7879" s="140" t="s">
        <v>19</v>
      </c>
      <c r="D7879" s="140" t="s">
        <v>11</v>
      </c>
      <c r="E7879" s="140" t="s">
        <v>12</v>
      </c>
      <c r="F7879">
        <v>15348</v>
      </c>
      <c r="G7879" s="140" t="s">
        <v>277</v>
      </c>
      <c r="H7879">
        <v>0</v>
      </c>
      <c r="I7879" s="140" t="s">
        <v>17</v>
      </c>
    </row>
    <row r="7880" spans="1:9" hidden="1" x14ac:dyDescent="0.25">
      <c r="A7880">
        <v>1996</v>
      </c>
      <c r="B7880" s="140" t="s">
        <v>130</v>
      </c>
      <c r="C7880" s="140" t="s">
        <v>19</v>
      </c>
      <c r="D7880" s="140" t="s">
        <v>11</v>
      </c>
      <c r="E7880" s="140" t="s">
        <v>12</v>
      </c>
      <c r="F7880">
        <v>16842</v>
      </c>
      <c r="G7880" s="140" t="s">
        <v>277</v>
      </c>
      <c r="H7880">
        <v>0</v>
      </c>
      <c r="I7880" s="140" t="s">
        <v>17</v>
      </c>
    </row>
    <row r="7881" spans="1:9" hidden="1" x14ac:dyDescent="0.25">
      <c r="A7881">
        <v>1997</v>
      </c>
      <c r="B7881" s="140" t="s">
        <v>130</v>
      </c>
      <c r="C7881" s="140" t="s">
        <v>19</v>
      </c>
      <c r="D7881" s="140" t="s">
        <v>11</v>
      </c>
      <c r="E7881" s="140" t="s">
        <v>12</v>
      </c>
      <c r="F7881">
        <v>18808</v>
      </c>
      <c r="G7881" s="140" t="s">
        <v>277</v>
      </c>
      <c r="H7881">
        <v>0</v>
      </c>
      <c r="I7881" s="140" t="s">
        <v>17</v>
      </c>
    </row>
    <row r="7882" spans="1:9" hidden="1" x14ac:dyDescent="0.25">
      <c r="A7882">
        <v>1998</v>
      </c>
      <c r="B7882" s="140" t="s">
        <v>130</v>
      </c>
      <c r="C7882" s="140" t="s">
        <v>19</v>
      </c>
      <c r="D7882" s="140" t="s">
        <v>11</v>
      </c>
      <c r="E7882" s="140" t="s">
        <v>12</v>
      </c>
      <c r="F7882">
        <v>21797</v>
      </c>
      <c r="G7882" s="140" t="s">
        <v>277</v>
      </c>
      <c r="H7882">
        <v>0</v>
      </c>
      <c r="I7882" s="140" t="s">
        <v>17</v>
      </c>
    </row>
    <row r="7883" spans="1:9" hidden="1" x14ac:dyDescent="0.25">
      <c r="A7883">
        <v>1999</v>
      </c>
      <c r="B7883" s="140" t="s">
        <v>130</v>
      </c>
      <c r="C7883" s="140" t="s">
        <v>19</v>
      </c>
      <c r="D7883" s="140" t="s">
        <v>11</v>
      </c>
      <c r="E7883" s="140" t="s">
        <v>12</v>
      </c>
      <c r="F7883">
        <v>23489</v>
      </c>
      <c r="G7883" s="140" t="s">
        <v>277</v>
      </c>
      <c r="H7883">
        <v>0</v>
      </c>
      <c r="I7883" s="140" t="s">
        <v>17</v>
      </c>
    </row>
    <row r="7884" spans="1:9" hidden="1" x14ac:dyDescent="0.25">
      <c r="A7884">
        <v>2000</v>
      </c>
      <c r="B7884" s="140" t="s">
        <v>130</v>
      </c>
      <c r="C7884" s="140" t="s">
        <v>19</v>
      </c>
      <c r="D7884" s="140" t="s">
        <v>11</v>
      </c>
      <c r="E7884" s="140" t="s">
        <v>12</v>
      </c>
      <c r="F7884">
        <v>26651</v>
      </c>
      <c r="G7884" s="140" t="s">
        <v>277</v>
      </c>
      <c r="H7884">
        <v>0</v>
      </c>
      <c r="I7884" s="140" t="s">
        <v>17</v>
      </c>
    </row>
    <row r="7885" spans="1:9" hidden="1" x14ac:dyDescent="0.25">
      <c r="A7885">
        <v>2001</v>
      </c>
      <c r="B7885" s="140" t="s">
        <v>130</v>
      </c>
      <c r="C7885" s="140" t="s">
        <v>19</v>
      </c>
      <c r="D7885" s="140" t="s">
        <v>11</v>
      </c>
      <c r="E7885" s="140" t="s">
        <v>12</v>
      </c>
      <c r="F7885">
        <v>28163</v>
      </c>
      <c r="G7885" s="140" t="s">
        <v>277</v>
      </c>
      <c r="H7885">
        <v>0</v>
      </c>
      <c r="I7885" s="140" t="s">
        <v>17</v>
      </c>
    </row>
    <row r="7886" spans="1:9" hidden="1" x14ac:dyDescent="0.25">
      <c r="A7886">
        <v>2002</v>
      </c>
      <c r="B7886" s="140" t="s">
        <v>130</v>
      </c>
      <c r="C7886" s="140" t="s">
        <v>19</v>
      </c>
      <c r="D7886" s="140" t="s">
        <v>11</v>
      </c>
      <c r="E7886" s="140" t="s">
        <v>12</v>
      </c>
      <c r="F7886">
        <v>26589</v>
      </c>
      <c r="G7886" s="140" t="s">
        <v>277</v>
      </c>
      <c r="H7886">
        <v>0</v>
      </c>
      <c r="I7886" s="140" t="s">
        <v>17</v>
      </c>
    </row>
    <row r="7887" spans="1:9" hidden="1" x14ac:dyDescent="0.25">
      <c r="A7887">
        <v>2003</v>
      </c>
      <c r="B7887" s="140" t="s">
        <v>130</v>
      </c>
      <c r="C7887" s="140" t="s">
        <v>19</v>
      </c>
      <c r="D7887" s="140" t="s">
        <v>11</v>
      </c>
      <c r="E7887" s="140" t="s">
        <v>12</v>
      </c>
      <c r="F7887">
        <v>27189</v>
      </c>
      <c r="G7887" s="140" t="s">
        <v>277</v>
      </c>
      <c r="H7887">
        <v>0</v>
      </c>
      <c r="I7887" s="140" t="s">
        <v>17</v>
      </c>
    </row>
    <row r="7888" spans="1:9" hidden="1" x14ac:dyDescent="0.25">
      <c r="A7888">
        <v>2004</v>
      </c>
      <c r="B7888" s="140" t="s">
        <v>130</v>
      </c>
      <c r="C7888" s="140" t="s">
        <v>19</v>
      </c>
      <c r="D7888" s="140" t="s">
        <v>11</v>
      </c>
      <c r="E7888" s="140" t="s">
        <v>12</v>
      </c>
      <c r="F7888">
        <v>29131</v>
      </c>
      <c r="G7888" s="140" t="s">
        <v>277</v>
      </c>
      <c r="H7888">
        <v>0</v>
      </c>
      <c r="I7888" s="140" t="s">
        <v>17</v>
      </c>
    </row>
    <row r="7889" spans="1:9" hidden="1" x14ac:dyDescent="0.25">
      <c r="A7889">
        <v>2005</v>
      </c>
      <c r="B7889" s="140" t="s">
        <v>130</v>
      </c>
      <c r="C7889" s="140" t="s">
        <v>19</v>
      </c>
      <c r="D7889" s="140" t="s">
        <v>11</v>
      </c>
      <c r="E7889" s="140" t="s">
        <v>12</v>
      </c>
      <c r="F7889">
        <v>31824</v>
      </c>
      <c r="G7889" s="140" t="s">
        <v>277</v>
      </c>
      <c r="H7889">
        <v>0</v>
      </c>
      <c r="I7889" s="140" t="s">
        <v>17</v>
      </c>
    </row>
    <row r="7890" spans="1:9" hidden="1" x14ac:dyDescent="0.25">
      <c r="A7890">
        <v>2006</v>
      </c>
      <c r="B7890" s="140" t="s">
        <v>130</v>
      </c>
      <c r="C7890" s="140" t="s">
        <v>19</v>
      </c>
      <c r="D7890" s="140" t="s">
        <v>11</v>
      </c>
      <c r="E7890" s="140" t="s">
        <v>12</v>
      </c>
      <c r="F7890">
        <v>33581</v>
      </c>
      <c r="G7890" s="140" t="s">
        <v>277</v>
      </c>
      <c r="H7890">
        <v>0</v>
      </c>
      <c r="I7890" s="140" t="s">
        <v>17</v>
      </c>
    </row>
    <row r="7891" spans="1:9" hidden="1" x14ac:dyDescent="0.25">
      <c r="A7891">
        <v>2007</v>
      </c>
      <c r="B7891" s="140" t="s">
        <v>130</v>
      </c>
      <c r="C7891" s="140" t="s">
        <v>19</v>
      </c>
      <c r="D7891" s="140" t="s">
        <v>11</v>
      </c>
      <c r="E7891" s="140" t="s">
        <v>12</v>
      </c>
      <c r="F7891">
        <v>38745</v>
      </c>
      <c r="G7891" s="140" t="s">
        <v>277</v>
      </c>
      <c r="H7891">
        <v>0</v>
      </c>
      <c r="I7891" s="140" t="s">
        <v>17</v>
      </c>
    </row>
    <row r="7892" spans="1:9" hidden="1" x14ac:dyDescent="0.25">
      <c r="A7892">
        <v>2008</v>
      </c>
      <c r="B7892" s="140" t="s">
        <v>130</v>
      </c>
      <c r="C7892" s="140" t="s">
        <v>19</v>
      </c>
      <c r="D7892" s="140" t="s">
        <v>11</v>
      </c>
      <c r="E7892" s="140" t="s">
        <v>12</v>
      </c>
      <c r="F7892">
        <v>40618</v>
      </c>
      <c r="G7892" s="140" t="s">
        <v>277</v>
      </c>
      <c r="H7892">
        <v>0</v>
      </c>
      <c r="I7892" s="140" t="s">
        <v>17</v>
      </c>
    </row>
    <row r="7893" spans="1:9" hidden="1" x14ac:dyDescent="0.25">
      <c r="A7893">
        <v>2009</v>
      </c>
      <c r="B7893" s="140" t="s">
        <v>130</v>
      </c>
      <c r="C7893" s="140" t="s">
        <v>19</v>
      </c>
      <c r="D7893" s="140" t="s">
        <v>11</v>
      </c>
      <c r="E7893" s="140" t="s">
        <v>12</v>
      </c>
      <c r="F7893">
        <v>34598</v>
      </c>
      <c r="G7893" s="140" t="s">
        <v>277</v>
      </c>
      <c r="H7893">
        <v>0</v>
      </c>
      <c r="I7893" s="140" t="s">
        <v>17</v>
      </c>
    </row>
    <row r="7894" spans="1:9" hidden="1" x14ac:dyDescent="0.25">
      <c r="A7894">
        <v>2010</v>
      </c>
      <c r="B7894" s="140" t="s">
        <v>130</v>
      </c>
      <c r="C7894" s="140" t="s">
        <v>19</v>
      </c>
      <c r="D7894" s="140" t="s">
        <v>11</v>
      </c>
      <c r="E7894" s="140" t="s">
        <v>12</v>
      </c>
      <c r="F7894">
        <v>36052</v>
      </c>
      <c r="G7894" s="140" t="s">
        <v>277</v>
      </c>
      <c r="H7894">
        <v>0</v>
      </c>
      <c r="I7894" s="140" t="s">
        <v>17</v>
      </c>
    </row>
    <row r="7895" spans="1:9" hidden="1" x14ac:dyDescent="0.25">
      <c r="A7895">
        <v>2011</v>
      </c>
      <c r="B7895" s="140" t="s">
        <v>130</v>
      </c>
      <c r="C7895" s="140" t="s">
        <v>19</v>
      </c>
      <c r="D7895" s="140" t="s">
        <v>11</v>
      </c>
      <c r="E7895" s="140" t="s">
        <v>12</v>
      </c>
      <c r="F7895">
        <v>37792</v>
      </c>
      <c r="G7895" s="140" t="s">
        <v>277</v>
      </c>
      <c r="H7895">
        <v>0</v>
      </c>
      <c r="I7895" s="140" t="s">
        <v>17</v>
      </c>
    </row>
    <row r="7896" spans="1:9" hidden="1" x14ac:dyDescent="0.25">
      <c r="A7896">
        <v>2012</v>
      </c>
      <c r="B7896" s="140" t="s">
        <v>130</v>
      </c>
      <c r="C7896" s="140" t="s">
        <v>19</v>
      </c>
      <c r="D7896" s="140" t="s">
        <v>11</v>
      </c>
      <c r="E7896" s="140" t="s">
        <v>12</v>
      </c>
      <c r="F7896">
        <v>38620</v>
      </c>
      <c r="G7896" s="140" t="s">
        <v>277</v>
      </c>
      <c r="H7896">
        <v>0</v>
      </c>
      <c r="I7896" s="140" t="s">
        <v>17</v>
      </c>
    </row>
    <row r="7897" spans="1:9" hidden="1" x14ac:dyDescent="0.25">
      <c r="A7897">
        <v>2013</v>
      </c>
      <c r="B7897" s="140" t="s">
        <v>130</v>
      </c>
      <c r="C7897" s="140" t="s">
        <v>19</v>
      </c>
      <c r="D7897" s="140" t="s">
        <v>11</v>
      </c>
      <c r="E7897" s="140" t="s">
        <v>12</v>
      </c>
      <c r="F7897">
        <v>36944</v>
      </c>
      <c r="G7897" s="140" t="s">
        <v>277</v>
      </c>
      <c r="H7897">
        <v>0</v>
      </c>
      <c r="I7897" s="140" t="s">
        <v>17</v>
      </c>
    </row>
    <row r="7898" spans="1:9" hidden="1" x14ac:dyDescent="0.25">
      <c r="A7898">
        <v>2014</v>
      </c>
      <c r="B7898" s="140" t="s">
        <v>130</v>
      </c>
      <c r="C7898" s="140" t="s">
        <v>19</v>
      </c>
      <c r="D7898" s="140" t="s">
        <v>11</v>
      </c>
      <c r="E7898" s="140" t="s">
        <v>12</v>
      </c>
      <c r="F7898">
        <v>36038</v>
      </c>
      <c r="G7898" s="140" t="s">
        <v>277</v>
      </c>
      <c r="H7898">
        <v>0</v>
      </c>
      <c r="I7898" s="140" t="s">
        <v>17</v>
      </c>
    </row>
    <row r="7899" spans="1:9" hidden="1" x14ac:dyDescent="0.25">
      <c r="A7899">
        <v>2015</v>
      </c>
      <c r="B7899" s="140" t="s">
        <v>130</v>
      </c>
      <c r="C7899" s="140" t="s">
        <v>19</v>
      </c>
      <c r="D7899" s="140" t="s">
        <v>11</v>
      </c>
      <c r="E7899" s="140" t="s">
        <v>12</v>
      </c>
      <c r="F7899">
        <v>37115</v>
      </c>
      <c r="G7899" s="140" t="s">
        <v>277</v>
      </c>
      <c r="H7899">
        <v>0</v>
      </c>
      <c r="I7899" s="140" t="s">
        <v>17</v>
      </c>
    </row>
    <row r="7900" spans="1:9" hidden="1" x14ac:dyDescent="0.25">
      <c r="A7900">
        <v>2016</v>
      </c>
      <c r="B7900" s="140" t="s">
        <v>130</v>
      </c>
      <c r="C7900" s="140" t="s">
        <v>19</v>
      </c>
      <c r="D7900" s="140" t="s">
        <v>11</v>
      </c>
      <c r="E7900" s="140" t="s">
        <v>12</v>
      </c>
      <c r="F7900">
        <v>40711</v>
      </c>
      <c r="G7900" s="140" t="s">
        <v>277</v>
      </c>
      <c r="H7900">
        <v>0</v>
      </c>
      <c r="I7900" s="140" t="s">
        <v>17</v>
      </c>
    </row>
    <row r="7901" spans="1:9" hidden="1" x14ac:dyDescent="0.25">
      <c r="A7901">
        <v>2017</v>
      </c>
      <c r="B7901" s="140" t="s">
        <v>130</v>
      </c>
      <c r="C7901" s="140" t="s">
        <v>19</v>
      </c>
      <c r="D7901" s="140" t="s">
        <v>11</v>
      </c>
      <c r="E7901" s="140" t="s">
        <v>12</v>
      </c>
      <c r="F7901">
        <v>44017</v>
      </c>
      <c r="G7901" s="140" t="s">
        <v>277</v>
      </c>
      <c r="H7901">
        <v>0</v>
      </c>
      <c r="I7901" s="140" t="s">
        <v>17</v>
      </c>
    </row>
    <row r="7902" spans="1:9" hidden="1" x14ac:dyDescent="0.25">
      <c r="A7902">
        <v>2018</v>
      </c>
      <c r="B7902" s="140" t="s">
        <v>130</v>
      </c>
      <c r="C7902" s="140" t="s">
        <v>19</v>
      </c>
      <c r="D7902" s="140" t="s">
        <v>11</v>
      </c>
      <c r="E7902" s="140" t="s">
        <v>12</v>
      </c>
      <c r="F7902">
        <v>47051</v>
      </c>
      <c r="G7902" s="140" t="s">
        <v>277</v>
      </c>
      <c r="H7902">
        <v>0</v>
      </c>
      <c r="I7902" s="140" t="s">
        <v>17</v>
      </c>
    </row>
    <row r="7903" spans="1:9" hidden="1" x14ac:dyDescent="0.25">
      <c r="A7903">
        <v>2019</v>
      </c>
      <c r="B7903" s="140" t="s">
        <v>130</v>
      </c>
      <c r="C7903" s="140" t="s">
        <v>19</v>
      </c>
      <c r="D7903" s="140" t="s">
        <v>11</v>
      </c>
      <c r="E7903" s="140" t="s">
        <v>12</v>
      </c>
      <c r="F7903">
        <v>47735</v>
      </c>
      <c r="G7903" s="140" t="s">
        <v>277</v>
      </c>
      <c r="H7903">
        <v>0</v>
      </c>
      <c r="I7903" s="140" t="s">
        <v>17</v>
      </c>
    </row>
    <row r="7904" spans="1:9" hidden="1" x14ac:dyDescent="0.25">
      <c r="A7904">
        <v>2020</v>
      </c>
      <c r="B7904" s="140" t="s">
        <v>130</v>
      </c>
      <c r="C7904" s="140" t="s">
        <v>19</v>
      </c>
      <c r="D7904" s="140" t="s">
        <v>11</v>
      </c>
      <c r="E7904" s="140" t="s">
        <v>12</v>
      </c>
      <c r="F7904">
        <v>46773</v>
      </c>
      <c r="G7904" s="140" t="s">
        <v>277</v>
      </c>
      <c r="H7904">
        <v>0</v>
      </c>
      <c r="I7904" s="140" t="s">
        <v>17</v>
      </c>
    </row>
    <row r="7905" spans="1:9" hidden="1" x14ac:dyDescent="0.25">
      <c r="A7905">
        <v>2021</v>
      </c>
      <c r="B7905" s="140" t="s">
        <v>130</v>
      </c>
      <c r="C7905" s="140" t="s">
        <v>19</v>
      </c>
      <c r="D7905" s="140" t="s">
        <v>11</v>
      </c>
      <c r="E7905" s="140" t="s">
        <v>12</v>
      </c>
      <c r="F7905">
        <v>50247</v>
      </c>
      <c r="G7905" s="140" t="s">
        <v>277</v>
      </c>
      <c r="H7905">
        <v>0</v>
      </c>
      <c r="I7905" s="140" t="s">
        <v>17</v>
      </c>
    </row>
    <row r="7906" spans="1:9" hidden="1" x14ac:dyDescent="0.25">
      <c r="A7906">
        <v>2022</v>
      </c>
      <c r="B7906" s="140" t="s">
        <v>130</v>
      </c>
      <c r="C7906" s="140" t="s">
        <v>19</v>
      </c>
      <c r="D7906" s="140" t="s">
        <v>11</v>
      </c>
      <c r="E7906" s="140" t="s">
        <v>12</v>
      </c>
      <c r="F7906">
        <v>54615</v>
      </c>
      <c r="G7906" s="140" t="s">
        <v>277</v>
      </c>
      <c r="H7906">
        <v>0</v>
      </c>
      <c r="I7906" s="140" t="s">
        <v>17</v>
      </c>
    </row>
    <row r="7907" spans="1:9" hidden="1" x14ac:dyDescent="0.25">
      <c r="A7907">
        <v>2023</v>
      </c>
      <c r="B7907" s="140" t="s">
        <v>130</v>
      </c>
      <c r="C7907" s="140" t="s">
        <v>19</v>
      </c>
      <c r="D7907" s="140" t="s">
        <v>11</v>
      </c>
      <c r="E7907" s="140" t="s">
        <v>12</v>
      </c>
      <c r="F7907">
        <v>52833</v>
      </c>
      <c r="G7907" s="140" t="s">
        <v>277</v>
      </c>
      <c r="H7907">
        <v>0</v>
      </c>
      <c r="I7907" s="140" t="s">
        <v>17</v>
      </c>
    </row>
    <row r="7908" spans="1:9" hidden="1" x14ac:dyDescent="0.25">
      <c r="A7908">
        <v>2024</v>
      </c>
      <c r="B7908" s="140" t="s">
        <v>130</v>
      </c>
      <c r="C7908" s="140" t="s">
        <v>19</v>
      </c>
      <c r="D7908" s="140" t="s">
        <v>11</v>
      </c>
      <c r="E7908" s="140" t="s">
        <v>12</v>
      </c>
      <c r="F7908">
        <v>48480</v>
      </c>
      <c r="G7908" s="140" t="s">
        <v>277</v>
      </c>
      <c r="H7908">
        <v>0</v>
      </c>
      <c r="I7908" s="140" t="s">
        <v>17</v>
      </c>
    </row>
    <row r="7909" spans="1:9" hidden="1" x14ac:dyDescent="0.25">
      <c r="A7909">
        <v>2025</v>
      </c>
      <c r="B7909" s="140" t="s">
        <v>130</v>
      </c>
      <c r="C7909" s="140" t="s">
        <v>19</v>
      </c>
      <c r="D7909" s="140" t="s">
        <v>11</v>
      </c>
      <c r="E7909" s="140" t="s">
        <v>12</v>
      </c>
      <c r="F7909">
        <v>48979</v>
      </c>
      <c r="G7909" s="140" t="s">
        <v>277</v>
      </c>
      <c r="H7909">
        <v>0</v>
      </c>
      <c r="I7909" s="140" t="s">
        <v>17</v>
      </c>
    </row>
    <row r="7910" spans="1:9" hidden="1" x14ac:dyDescent="0.25">
      <c r="A7910">
        <v>2026</v>
      </c>
      <c r="B7910" s="140" t="s">
        <v>130</v>
      </c>
      <c r="C7910" s="140" t="s">
        <v>19</v>
      </c>
      <c r="D7910" s="140" t="s">
        <v>11</v>
      </c>
      <c r="E7910" s="140" t="s">
        <v>12</v>
      </c>
      <c r="F7910">
        <v>52206.959369999997</v>
      </c>
      <c r="G7910" s="140" t="s">
        <v>277</v>
      </c>
      <c r="H7910">
        <v>0</v>
      </c>
      <c r="I7910" s="140" t="s">
        <v>17</v>
      </c>
    </row>
    <row r="7911" spans="1:9" hidden="1" x14ac:dyDescent="0.25">
      <c r="A7911">
        <v>2027</v>
      </c>
      <c r="B7911" s="140" t="s">
        <v>130</v>
      </c>
      <c r="C7911" s="140" t="s">
        <v>19</v>
      </c>
      <c r="D7911" s="140" t="s">
        <v>11</v>
      </c>
      <c r="E7911" s="140" t="s">
        <v>12</v>
      </c>
      <c r="F7911">
        <v>56247.21819</v>
      </c>
      <c r="G7911" s="140" t="s">
        <v>277</v>
      </c>
      <c r="H7911">
        <v>0</v>
      </c>
      <c r="I7911" s="140" t="s">
        <v>17</v>
      </c>
    </row>
    <row r="7912" spans="1:9" hidden="1" x14ac:dyDescent="0.25">
      <c r="A7912">
        <v>2028</v>
      </c>
      <c r="B7912" s="140" t="s">
        <v>130</v>
      </c>
      <c r="C7912" s="140" t="s">
        <v>19</v>
      </c>
      <c r="D7912" s="140" t="s">
        <v>11</v>
      </c>
      <c r="E7912" s="140" t="s">
        <v>12</v>
      </c>
      <c r="F7912">
        <v>60022.14385</v>
      </c>
      <c r="G7912" s="140" t="s">
        <v>277</v>
      </c>
      <c r="H7912">
        <v>0</v>
      </c>
      <c r="I7912" s="140" t="s">
        <v>17</v>
      </c>
    </row>
    <row r="7913" spans="1:9" hidden="1" x14ac:dyDescent="0.25">
      <c r="A7913">
        <v>2029</v>
      </c>
      <c r="B7913" s="140" t="s">
        <v>130</v>
      </c>
      <c r="C7913" s="140" t="s">
        <v>19</v>
      </c>
      <c r="D7913" s="140" t="s">
        <v>11</v>
      </c>
      <c r="E7913" s="140" t="s">
        <v>12</v>
      </c>
      <c r="F7913">
        <v>62952.357230000001</v>
      </c>
      <c r="G7913" s="140" t="s">
        <v>277</v>
      </c>
      <c r="H7913">
        <v>0</v>
      </c>
      <c r="I7913" s="140" t="s">
        <v>17</v>
      </c>
    </row>
    <row r="7914" spans="1:9" hidden="1" x14ac:dyDescent="0.25">
      <c r="A7914">
        <v>2030</v>
      </c>
      <c r="B7914" s="140" t="s">
        <v>130</v>
      </c>
      <c r="C7914" s="140" t="s">
        <v>19</v>
      </c>
      <c r="D7914" s="140" t="s">
        <v>11</v>
      </c>
      <c r="E7914" s="140" t="s">
        <v>12</v>
      </c>
      <c r="F7914">
        <v>65955.398300000001</v>
      </c>
      <c r="G7914" s="140" t="s">
        <v>277</v>
      </c>
      <c r="H7914">
        <v>0</v>
      </c>
      <c r="I7914" s="140" t="s">
        <v>17</v>
      </c>
    </row>
    <row r="7915" spans="1:9" hidden="1" x14ac:dyDescent="0.25">
      <c r="A7915">
        <v>1990</v>
      </c>
      <c r="B7915" s="140" t="s">
        <v>133</v>
      </c>
      <c r="C7915" s="140" t="s">
        <v>244</v>
      </c>
      <c r="D7915" s="140" t="s">
        <v>11</v>
      </c>
      <c r="E7915" s="140" t="s">
        <v>12</v>
      </c>
      <c r="F7915">
        <v>0</v>
      </c>
      <c r="G7915" s="140" t="s">
        <v>230</v>
      </c>
      <c r="H7915">
        <v>0</v>
      </c>
      <c r="I7915" s="140" t="s">
        <v>17</v>
      </c>
    </row>
    <row r="7916" spans="1:9" hidden="1" x14ac:dyDescent="0.25">
      <c r="A7916">
        <v>1991</v>
      </c>
      <c r="B7916" s="140" t="s">
        <v>133</v>
      </c>
      <c r="C7916" s="140" t="s">
        <v>244</v>
      </c>
      <c r="D7916" s="140" t="s">
        <v>11</v>
      </c>
      <c r="E7916" s="140" t="s">
        <v>12</v>
      </c>
      <c r="F7916">
        <v>0</v>
      </c>
      <c r="G7916" s="140" t="s">
        <v>230</v>
      </c>
      <c r="H7916">
        <v>0</v>
      </c>
      <c r="I7916" s="140" t="s">
        <v>17</v>
      </c>
    </row>
    <row r="7917" spans="1:9" hidden="1" x14ac:dyDescent="0.25">
      <c r="A7917">
        <v>1992</v>
      </c>
      <c r="B7917" s="140" t="s">
        <v>133</v>
      </c>
      <c r="C7917" s="140" t="s">
        <v>244</v>
      </c>
      <c r="D7917" s="140" t="s">
        <v>11</v>
      </c>
      <c r="E7917" s="140" t="s">
        <v>12</v>
      </c>
      <c r="F7917">
        <v>0</v>
      </c>
      <c r="G7917" s="140" t="s">
        <v>230</v>
      </c>
      <c r="H7917">
        <v>0</v>
      </c>
      <c r="I7917" s="140" t="s">
        <v>17</v>
      </c>
    </row>
    <row r="7918" spans="1:9" hidden="1" x14ac:dyDescent="0.25">
      <c r="A7918">
        <v>1993</v>
      </c>
      <c r="B7918" s="140" t="s">
        <v>133</v>
      </c>
      <c r="C7918" s="140" t="s">
        <v>244</v>
      </c>
      <c r="D7918" s="140" t="s">
        <v>11</v>
      </c>
      <c r="E7918" s="140" t="s">
        <v>12</v>
      </c>
      <c r="F7918">
        <v>0</v>
      </c>
      <c r="G7918" s="140" t="s">
        <v>230</v>
      </c>
      <c r="H7918">
        <v>0</v>
      </c>
      <c r="I7918" s="140" t="s">
        <v>17</v>
      </c>
    </row>
    <row r="7919" spans="1:9" hidden="1" x14ac:dyDescent="0.25">
      <c r="A7919">
        <v>1994</v>
      </c>
      <c r="B7919" s="140" t="s">
        <v>133</v>
      </c>
      <c r="C7919" s="140" t="s">
        <v>244</v>
      </c>
      <c r="D7919" s="140" t="s">
        <v>11</v>
      </c>
      <c r="E7919" s="140" t="s">
        <v>12</v>
      </c>
      <c r="F7919">
        <v>0</v>
      </c>
      <c r="G7919" s="140" t="s">
        <v>230</v>
      </c>
      <c r="H7919">
        <v>0</v>
      </c>
      <c r="I7919" s="140" t="s">
        <v>17</v>
      </c>
    </row>
    <row r="7920" spans="1:9" hidden="1" x14ac:dyDescent="0.25">
      <c r="A7920">
        <v>1995</v>
      </c>
      <c r="B7920" s="140" t="s">
        <v>133</v>
      </c>
      <c r="C7920" s="140" t="s">
        <v>244</v>
      </c>
      <c r="D7920" s="140" t="s">
        <v>11</v>
      </c>
      <c r="E7920" s="140" t="s">
        <v>12</v>
      </c>
      <c r="F7920">
        <v>60</v>
      </c>
      <c r="G7920" s="140" t="s">
        <v>230</v>
      </c>
      <c r="H7920">
        <v>0</v>
      </c>
      <c r="I7920" s="140" t="s">
        <v>17</v>
      </c>
    </row>
    <row r="7921" spans="1:9" hidden="1" x14ac:dyDescent="0.25">
      <c r="A7921">
        <v>1996</v>
      </c>
      <c r="B7921" s="140" t="s">
        <v>133</v>
      </c>
      <c r="C7921" s="140" t="s">
        <v>244</v>
      </c>
      <c r="D7921" s="140" t="s">
        <v>11</v>
      </c>
      <c r="E7921" s="140" t="s">
        <v>12</v>
      </c>
      <c r="F7921">
        <v>57</v>
      </c>
      <c r="G7921" s="140" t="s">
        <v>230</v>
      </c>
      <c r="H7921">
        <v>0</v>
      </c>
      <c r="I7921" s="140" t="s">
        <v>17</v>
      </c>
    </row>
    <row r="7922" spans="1:9" hidden="1" x14ac:dyDescent="0.25">
      <c r="A7922">
        <v>1997</v>
      </c>
      <c r="B7922" s="140" t="s">
        <v>133</v>
      </c>
      <c r="C7922" s="140" t="s">
        <v>244</v>
      </c>
      <c r="D7922" s="140" t="s">
        <v>11</v>
      </c>
      <c r="E7922" s="140" t="s">
        <v>12</v>
      </c>
      <c r="F7922">
        <v>58</v>
      </c>
      <c r="G7922" s="140" t="s">
        <v>230</v>
      </c>
      <c r="H7922">
        <v>0</v>
      </c>
      <c r="I7922" s="140" t="s">
        <v>17</v>
      </c>
    </row>
    <row r="7923" spans="1:9" hidden="1" x14ac:dyDescent="0.25">
      <c r="A7923">
        <v>1998</v>
      </c>
      <c r="B7923" s="140" t="s">
        <v>133</v>
      </c>
      <c r="C7923" s="140" t="s">
        <v>244</v>
      </c>
      <c r="D7923" s="140" t="s">
        <v>11</v>
      </c>
      <c r="E7923" s="140" t="s">
        <v>12</v>
      </c>
      <c r="F7923">
        <v>58</v>
      </c>
      <c r="G7923" s="140" t="s">
        <v>230</v>
      </c>
      <c r="H7923">
        <v>0</v>
      </c>
      <c r="I7923" s="140" t="s">
        <v>17</v>
      </c>
    </row>
    <row r="7924" spans="1:9" hidden="1" x14ac:dyDescent="0.25">
      <c r="A7924">
        <v>1999</v>
      </c>
      <c r="B7924" s="140" t="s">
        <v>133</v>
      </c>
      <c r="C7924" s="140" t="s">
        <v>244</v>
      </c>
      <c r="D7924" s="140" t="s">
        <v>11</v>
      </c>
      <c r="E7924" s="140" t="s">
        <v>12</v>
      </c>
      <c r="F7924">
        <v>58</v>
      </c>
      <c r="G7924" s="140" t="s">
        <v>230</v>
      </c>
      <c r="H7924">
        <v>0</v>
      </c>
      <c r="I7924" s="140" t="s">
        <v>17</v>
      </c>
    </row>
    <row r="7925" spans="1:9" hidden="1" x14ac:dyDescent="0.25">
      <c r="A7925">
        <v>2000</v>
      </c>
      <c r="B7925" s="140" t="s">
        <v>133</v>
      </c>
      <c r="C7925" s="140" t="s">
        <v>244</v>
      </c>
      <c r="D7925" s="140" t="s">
        <v>11</v>
      </c>
      <c r="E7925" s="140" t="s">
        <v>12</v>
      </c>
      <c r="F7925">
        <v>61</v>
      </c>
      <c r="G7925" s="140" t="s">
        <v>230</v>
      </c>
      <c r="H7925">
        <v>0</v>
      </c>
      <c r="I7925" s="140" t="s">
        <v>17</v>
      </c>
    </row>
    <row r="7926" spans="1:9" hidden="1" x14ac:dyDescent="0.25">
      <c r="A7926">
        <v>2001</v>
      </c>
      <c r="B7926" s="140" t="s">
        <v>133</v>
      </c>
      <c r="C7926" s="140" t="s">
        <v>244</v>
      </c>
      <c r="D7926" s="140" t="s">
        <v>11</v>
      </c>
      <c r="E7926" s="140" t="s">
        <v>12</v>
      </c>
      <c r="F7926">
        <v>60</v>
      </c>
      <c r="G7926" s="140" t="s">
        <v>230</v>
      </c>
      <c r="H7926">
        <v>0</v>
      </c>
      <c r="I7926" s="140" t="s">
        <v>17</v>
      </c>
    </row>
    <row r="7927" spans="1:9" hidden="1" x14ac:dyDescent="0.25">
      <c r="A7927">
        <v>2002</v>
      </c>
      <c r="B7927" s="140" t="s">
        <v>133</v>
      </c>
      <c r="C7927" s="140" t="s">
        <v>244</v>
      </c>
      <c r="D7927" s="140" t="s">
        <v>11</v>
      </c>
      <c r="E7927" s="140" t="s">
        <v>12</v>
      </c>
      <c r="F7927">
        <v>61</v>
      </c>
      <c r="G7927" s="140" t="s">
        <v>230</v>
      </c>
      <c r="H7927">
        <v>0</v>
      </c>
      <c r="I7927" s="140" t="s">
        <v>17</v>
      </c>
    </row>
    <row r="7928" spans="1:9" hidden="1" x14ac:dyDescent="0.25">
      <c r="A7928">
        <v>2003</v>
      </c>
      <c r="B7928" s="140" t="s">
        <v>133</v>
      </c>
      <c r="C7928" s="140" t="s">
        <v>244</v>
      </c>
      <c r="D7928" s="140" t="s">
        <v>11</v>
      </c>
      <c r="E7928" s="140" t="s">
        <v>12</v>
      </c>
      <c r="F7928">
        <v>61</v>
      </c>
      <c r="G7928" s="140" t="s">
        <v>230</v>
      </c>
      <c r="H7928">
        <v>0</v>
      </c>
      <c r="I7928" s="140" t="s">
        <v>17</v>
      </c>
    </row>
    <row r="7929" spans="1:9" hidden="1" x14ac:dyDescent="0.25">
      <c r="A7929">
        <v>2004</v>
      </c>
      <c r="B7929" s="140" t="s">
        <v>133</v>
      </c>
      <c r="C7929" s="140" t="s">
        <v>244</v>
      </c>
      <c r="D7929" s="140" t="s">
        <v>11</v>
      </c>
      <c r="E7929" s="140" t="s">
        <v>12</v>
      </c>
      <c r="F7929">
        <v>62</v>
      </c>
      <c r="G7929" s="140" t="s">
        <v>230</v>
      </c>
      <c r="H7929">
        <v>0</v>
      </c>
      <c r="I7929" s="140" t="s">
        <v>17</v>
      </c>
    </row>
    <row r="7930" spans="1:9" hidden="1" x14ac:dyDescent="0.25">
      <c r="A7930">
        <v>2005</v>
      </c>
      <c r="B7930" s="140" t="s">
        <v>133</v>
      </c>
      <c r="C7930" s="140" t="s">
        <v>244</v>
      </c>
      <c r="D7930" s="140" t="s">
        <v>11</v>
      </c>
      <c r="E7930" s="140" t="s">
        <v>12</v>
      </c>
      <c r="F7930">
        <v>60</v>
      </c>
      <c r="G7930" s="140" t="s">
        <v>230</v>
      </c>
      <c r="H7930">
        <v>0</v>
      </c>
      <c r="I7930" s="140" t="s">
        <v>17</v>
      </c>
    </row>
    <row r="7931" spans="1:9" hidden="1" x14ac:dyDescent="0.25">
      <c r="A7931">
        <v>2006</v>
      </c>
      <c r="B7931" s="140" t="s">
        <v>133</v>
      </c>
      <c r="C7931" s="140" t="s">
        <v>244</v>
      </c>
      <c r="D7931" s="140" t="s">
        <v>11</v>
      </c>
      <c r="E7931" s="140" t="s">
        <v>12</v>
      </c>
      <c r="F7931">
        <v>60</v>
      </c>
      <c r="G7931" s="140" t="s">
        <v>230</v>
      </c>
      <c r="H7931">
        <v>0</v>
      </c>
      <c r="I7931" s="140" t="s">
        <v>17</v>
      </c>
    </row>
    <row r="7932" spans="1:9" hidden="1" x14ac:dyDescent="0.25">
      <c r="A7932">
        <v>2007</v>
      </c>
      <c r="B7932" s="140" t="s">
        <v>133</v>
      </c>
      <c r="C7932" s="140" t="s">
        <v>244</v>
      </c>
      <c r="D7932" s="140" t="s">
        <v>11</v>
      </c>
      <c r="E7932" s="140" t="s">
        <v>12</v>
      </c>
      <c r="F7932">
        <v>61</v>
      </c>
      <c r="G7932" s="140" t="s">
        <v>230</v>
      </c>
      <c r="H7932">
        <v>0</v>
      </c>
      <c r="I7932" s="140" t="s">
        <v>17</v>
      </c>
    </row>
    <row r="7933" spans="1:9" hidden="1" x14ac:dyDescent="0.25">
      <c r="A7933">
        <v>2008</v>
      </c>
      <c r="B7933" s="140" t="s">
        <v>133</v>
      </c>
      <c r="C7933" s="140" t="s">
        <v>244</v>
      </c>
      <c r="D7933" s="140" t="s">
        <v>11</v>
      </c>
      <c r="E7933" s="140" t="s">
        <v>12</v>
      </c>
      <c r="F7933">
        <v>61</v>
      </c>
      <c r="G7933" s="140" t="s">
        <v>230</v>
      </c>
      <c r="H7933">
        <v>0</v>
      </c>
      <c r="I7933" s="140" t="s">
        <v>17</v>
      </c>
    </row>
    <row r="7934" spans="1:9" hidden="1" x14ac:dyDescent="0.25">
      <c r="A7934">
        <v>2009</v>
      </c>
      <c r="B7934" s="140" t="s">
        <v>133</v>
      </c>
      <c r="C7934" s="140" t="s">
        <v>244</v>
      </c>
      <c r="D7934" s="140" t="s">
        <v>11</v>
      </c>
      <c r="E7934" s="140" t="s">
        <v>12</v>
      </c>
      <c r="F7934">
        <v>65</v>
      </c>
      <c r="G7934" s="140" t="s">
        <v>230</v>
      </c>
      <c r="H7934">
        <v>0</v>
      </c>
      <c r="I7934" s="140" t="s">
        <v>17</v>
      </c>
    </row>
    <row r="7935" spans="1:9" hidden="1" x14ac:dyDescent="0.25">
      <c r="A7935">
        <v>2010</v>
      </c>
      <c r="B7935" s="140" t="s">
        <v>133</v>
      </c>
      <c r="C7935" s="140" t="s">
        <v>244</v>
      </c>
      <c r="D7935" s="140" t="s">
        <v>11</v>
      </c>
      <c r="E7935" s="140" t="s">
        <v>12</v>
      </c>
      <c r="F7935">
        <v>63</v>
      </c>
      <c r="G7935" s="140" t="s">
        <v>230</v>
      </c>
      <c r="H7935">
        <v>0</v>
      </c>
      <c r="I7935" s="140" t="s">
        <v>17</v>
      </c>
    </row>
    <row r="7936" spans="1:9" hidden="1" x14ac:dyDescent="0.25">
      <c r="A7936">
        <v>2011</v>
      </c>
      <c r="B7936" s="140" t="s">
        <v>133</v>
      </c>
      <c r="C7936" s="140" t="s">
        <v>244</v>
      </c>
      <c r="D7936" s="140" t="s">
        <v>11</v>
      </c>
      <c r="E7936" s="140" t="s">
        <v>12</v>
      </c>
      <c r="F7936">
        <v>70</v>
      </c>
      <c r="G7936" s="140" t="s">
        <v>230</v>
      </c>
      <c r="H7936">
        <v>0</v>
      </c>
      <c r="I7936" s="140" t="s">
        <v>17</v>
      </c>
    </row>
    <row r="7937" spans="1:9" hidden="1" x14ac:dyDescent="0.25">
      <c r="A7937">
        <v>2012</v>
      </c>
      <c r="B7937" s="140" t="s">
        <v>133</v>
      </c>
      <c r="C7937" s="140" t="s">
        <v>244</v>
      </c>
      <c r="D7937" s="140" t="s">
        <v>11</v>
      </c>
      <c r="E7937" s="140" t="s">
        <v>12</v>
      </c>
      <c r="F7937">
        <v>71</v>
      </c>
      <c r="G7937" s="140" t="s">
        <v>230</v>
      </c>
      <c r="H7937">
        <v>0</v>
      </c>
      <c r="I7937" s="140" t="s">
        <v>17</v>
      </c>
    </row>
    <row r="7938" spans="1:9" hidden="1" x14ac:dyDescent="0.25">
      <c r="A7938">
        <v>2013</v>
      </c>
      <c r="B7938" s="140" t="s">
        <v>133</v>
      </c>
      <c r="C7938" s="140" t="s">
        <v>244</v>
      </c>
      <c r="D7938" s="140" t="s">
        <v>11</v>
      </c>
      <c r="E7938" s="140" t="s">
        <v>12</v>
      </c>
      <c r="F7938">
        <v>64</v>
      </c>
      <c r="G7938" s="140" t="s">
        <v>230</v>
      </c>
      <c r="H7938">
        <v>0</v>
      </c>
      <c r="I7938" s="140" t="s">
        <v>17</v>
      </c>
    </row>
    <row r="7939" spans="1:9" hidden="1" x14ac:dyDescent="0.25">
      <c r="A7939">
        <v>2014</v>
      </c>
      <c r="B7939" s="140" t="s">
        <v>133</v>
      </c>
      <c r="C7939" s="140" t="s">
        <v>244</v>
      </c>
      <c r="D7939" s="140" t="s">
        <v>11</v>
      </c>
      <c r="E7939" s="140" t="s">
        <v>12</v>
      </c>
      <c r="F7939">
        <v>56</v>
      </c>
      <c r="G7939" s="140" t="s">
        <v>230</v>
      </c>
      <c r="H7939">
        <v>0</v>
      </c>
      <c r="I7939" s="140" t="s">
        <v>17</v>
      </c>
    </row>
    <row r="7940" spans="1:9" hidden="1" x14ac:dyDescent="0.25">
      <c r="A7940">
        <v>2015</v>
      </c>
      <c r="B7940" s="140" t="s">
        <v>133</v>
      </c>
      <c r="C7940" s="140" t="s">
        <v>244</v>
      </c>
      <c r="D7940" s="140" t="s">
        <v>11</v>
      </c>
      <c r="E7940" s="140" t="s">
        <v>12</v>
      </c>
      <c r="F7940">
        <v>57</v>
      </c>
      <c r="G7940" s="140" t="s">
        <v>230</v>
      </c>
      <c r="H7940">
        <v>0</v>
      </c>
      <c r="I7940" s="140" t="s">
        <v>17</v>
      </c>
    </row>
    <row r="7941" spans="1:9" hidden="1" x14ac:dyDescent="0.25">
      <c r="A7941">
        <v>2016</v>
      </c>
      <c r="B7941" s="140" t="s">
        <v>133</v>
      </c>
      <c r="C7941" s="140" t="s">
        <v>244</v>
      </c>
      <c r="D7941" s="140" t="s">
        <v>11</v>
      </c>
      <c r="E7941" s="140" t="s">
        <v>12</v>
      </c>
      <c r="F7941">
        <v>75</v>
      </c>
      <c r="G7941" s="140" t="s">
        <v>230</v>
      </c>
      <c r="H7941">
        <v>0</v>
      </c>
      <c r="I7941" s="140" t="s">
        <v>17</v>
      </c>
    </row>
    <row r="7942" spans="1:9" hidden="1" x14ac:dyDescent="0.25">
      <c r="A7942">
        <v>2017</v>
      </c>
      <c r="B7942" s="140" t="s">
        <v>133</v>
      </c>
      <c r="C7942" s="140" t="s">
        <v>244</v>
      </c>
      <c r="D7942" s="140" t="s">
        <v>11</v>
      </c>
      <c r="E7942" s="140" t="s">
        <v>12</v>
      </c>
      <c r="F7942">
        <v>65</v>
      </c>
      <c r="G7942" s="140" t="s">
        <v>230</v>
      </c>
      <c r="H7942">
        <v>0</v>
      </c>
      <c r="I7942" s="140" t="s">
        <v>17</v>
      </c>
    </row>
    <row r="7943" spans="1:9" hidden="1" x14ac:dyDescent="0.25">
      <c r="A7943">
        <v>2018</v>
      </c>
      <c r="B7943" s="140" t="s">
        <v>133</v>
      </c>
      <c r="C7943" s="140" t="s">
        <v>244</v>
      </c>
      <c r="D7943" s="140" t="s">
        <v>11</v>
      </c>
      <c r="E7943" s="140" t="s">
        <v>12</v>
      </c>
      <c r="F7943">
        <v>70</v>
      </c>
      <c r="G7943" s="140" t="s">
        <v>230</v>
      </c>
      <c r="H7943">
        <v>0</v>
      </c>
      <c r="I7943" s="140" t="s">
        <v>17</v>
      </c>
    </row>
    <row r="7944" spans="1:9" hidden="1" x14ac:dyDescent="0.25">
      <c r="A7944">
        <v>2019</v>
      </c>
      <c r="B7944" s="140" t="s">
        <v>133</v>
      </c>
      <c r="C7944" s="140" t="s">
        <v>244</v>
      </c>
      <c r="D7944" s="140" t="s">
        <v>11</v>
      </c>
      <c r="E7944" s="140" t="s">
        <v>12</v>
      </c>
      <c r="F7944">
        <v>64</v>
      </c>
      <c r="G7944" s="140" t="s">
        <v>230</v>
      </c>
      <c r="H7944">
        <v>0</v>
      </c>
      <c r="I7944" s="140" t="s">
        <v>17</v>
      </c>
    </row>
    <row r="7945" spans="1:9" hidden="1" x14ac:dyDescent="0.25">
      <c r="A7945">
        <v>2020</v>
      </c>
      <c r="B7945" s="140" t="s">
        <v>133</v>
      </c>
      <c r="C7945" s="140" t="s">
        <v>244</v>
      </c>
      <c r="D7945" s="140" t="s">
        <v>11</v>
      </c>
      <c r="E7945" s="140" t="s">
        <v>12</v>
      </c>
      <c r="F7945">
        <v>72</v>
      </c>
      <c r="G7945" s="140" t="s">
        <v>230</v>
      </c>
      <c r="H7945">
        <v>0</v>
      </c>
      <c r="I7945" s="140" t="s">
        <v>17</v>
      </c>
    </row>
    <row r="7946" spans="1:9" hidden="1" x14ac:dyDescent="0.25">
      <c r="A7946">
        <v>2021</v>
      </c>
      <c r="B7946" s="140" t="s">
        <v>133</v>
      </c>
      <c r="C7946" s="140" t="s">
        <v>244</v>
      </c>
      <c r="D7946" s="140" t="s">
        <v>11</v>
      </c>
      <c r="E7946" s="140" t="s">
        <v>12</v>
      </c>
      <c r="F7946">
        <v>60</v>
      </c>
      <c r="G7946" s="140" t="s">
        <v>230</v>
      </c>
      <c r="H7946">
        <v>0</v>
      </c>
      <c r="I7946" s="140" t="s">
        <v>17</v>
      </c>
    </row>
    <row r="7947" spans="1:9" hidden="1" x14ac:dyDescent="0.25">
      <c r="A7947">
        <v>2022</v>
      </c>
      <c r="B7947" s="140" t="s">
        <v>133</v>
      </c>
      <c r="C7947" s="140" t="s">
        <v>244</v>
      </c>
      <c r="D7947" s="140" t="s">
        <v>11</v>
      </c>
      <c r="E7947" s="140" t="s">
        <v>12</v>
      </c>
      <c r="F7947">
        <v>61</v>
      </c>
      <c r="G7947" s="140" t="s">
        <v>230</v>
      </c>
      <c r="H7947">
        <v>0</v>
      </c>
      <c r="I7947" s="140" t="s">
        <v>17</v>
      </c>
    </row>
    <row r="7948" spans="1:9" hidden="1" x14ac:dyDescent="0.25">
      <c r="A7948">
        <v>2023</v>
      </c>
      <c r="B7948" s="140" t="s">
        <v>133</v>
      </c>
      <c r="C7948" s="140" t="s">
        <v>244</v>
      </c>
      <c r="D7948" s="140" t="s">
        <v>11</v>
      </c>
      <c r="E7948" s="140" t="s">
        <v>12</v>
      </c>
      <c r="F7948">
        <v>67</v>
      </c>
      <c r="G7948" s="140" t="s">
        <v>230</v>
      </c>
      <c r="H7948">
        <v>0</v>
      </c>
      <c r="I7948" s="140" t="s">
        <v>17</v>
      </c>
    </row>
    <row r="7949" spans="1:9" hidden="1" x14ac:dyDescent="0.25">
      <c r="A7949">
        <v>2024</v>
      </c>
      <c r="B7949" s="140" t="s">
        <v>133</v>
      </c>
      <c r="C7949" s="140" t="s">
        <v>244</v>
      </c>
      <c r="D7949" s="140" t="s">
        <v>11</v>
      </c>
      <c r="E7949" s="140" t="s">
        <v>12</v>
      </c>
      <c r="F7949">
        <v>67</v>
      </c>
      <c r="G7949" s="140" t="s">
        <v>230</v>
      </c>
      <c r="H7949">
        <v>0</v>
      </c>
      <c r="I7949" s="140" t="s">
        <v>17</v>
      </c>
    </row>
    <row r="7950" spans="1:9" hidden="1" x14ac:dyDescent="0.25">
      <c r="A7950">
        <v>2025</v>
      </c>
      <c r="B7950" s="140" t="s">
        <v>133</v>
      </c>
      <c r="C7950" s="140" t="s">
        <v>244</v>
      </c>
      <c r="D7950" s="140" t="s">
        <v>11</v>
      </c>
      <c r="E7950" s="140" t="s">
        <v>12</v>
      </c>
      <c r="F7950">
        <v>64</v>
      </c>
      <c r="G7950" s="140" t="s">
        <v>230</v>
      </c>
      <c r="H7950">
        <v>0</v>
      </c>
      <c r="I7950" s="140" t="s">
        <v>17</v>
      </c>
    </row>
    <row r="7951" spans="1:9" hidden="1" x14ac:dyDescent="0.25">
      <c r="A7951">
        <v>2026</v>
      </c>
      <c r="B7951" s="140" t="s">
        <v>133</v>
      </c>
      <c r="C7951" s="140" t="s">
        <v>244</v>
      </c>
      <c r="D7951" s="140" t="s">
        <v>11</v>
      </c>
      <c r="E7951" s="140" t="s">
        <v>12</v>
      </c>
      <c r="F7951">
        <v>64</v>
      </c>
      <c r="G7951" s="140" t="s">
        <v>230</v>
      </c>
      <c r="H7951">
        <v>0</v>
      </c>
      <c r="I7951" s="140" t="s">
        <v>17</v>
      </c>
    </row>
    <row r="7952" spans="1:9" hidden="1" x14ac:dyDescent="0.25">
      <c r="A7952">
        <v>2027</v>
      </c>
      <c r="B7952" s="140" t="s">
        <v>133</v>
      </c>
      <c r="C7952" s="140" t="s">
        <v>244</v>
      </c>
      <c r="D7952" s="140" t="s">
        <v>11</v>
      </c>
      <c r="E7952" s="140" t="s">
        <v>12</v>
      </c>
      <c r="F7952">
        <v>64</v>
      </c>
      <c r="G7952" s="140" t="s">
        <v>230</v>
      </c>
      <c r="H7952">
        <v>0</v>
      </c>
      <c r="I7952" s="140" t="s">
        <v>17</v>
      </c>
    </row>
    <row r="7953" spans="1:9" hidden="1" x14ac:dyDescent="0.25">
      <c r="A7953">
        <v>2028</v>
      </c>
      <c r="B7953" s="140" t="s">
        <v>133</v>
      </c>
      <c r="C7953" s="140" t="s">
        <v>244</v>
      </c>
      <c r="D7953" s="140" t="s">
        <v>11</v>
      </c>
      <c r="E7953" s="140" t="s">
        <v>12</v>
      </c>
      <c r="F7953">
        <v>64</v>
      </c>
      <c r="G7953" s="140" t="s">
        <v>230</v>
      </c>
      <c r="H7953">
        <v>0</v>
      </c>
      <c r="I7953" s="140" t="s">
        <v>17</v>
      </c>
    </row>
    <row r="7954" spans="1:9" hidden="1" x14ac:dyDescent="0.25">
      <c r="A7954">
        <v>2020</v>
      </c>
      <c r="B7954" s="140" t="s">
        <v>660</v>
      </c>
      <c r="C7954" s="140" t="s">
        <v>661</v>
      </c>
      <c r="D7954" s="140" t="s">
        <v>11</v>
      </c>
      <c r="E7954" s="140" t="s">
        <v>12</v>
      </c>
      <c r="F7954">
        <v>-0.23155429</v>
      </c>
      <c r="G7954" s="140" t="s">
        <v>662</v>
      </c>
      <c r="H7954">
        <v>0</v>
      </c>
      <c r="I7954" s="140" t="s">
        <v>14</v>
      </c>
    </row>
    <row r="7955" spans="1:9" hidden="1" x14ac:dyDescent="0.25">
      <c r="A7955">
        <v>2021</v>
      </c>
      <c r="B7955" s="140" t="s">
        <v>660</v>
      </c>
      <c r="C7955" s="140" t="s">
        <v>661</v>
      </c>
      <c r="D7955" s="140" t="s">
        <v>11</v>
      </c>
      <c r="E7955" s="140" t="s">
        <v>12</v>
      </c>
      <c r="F7955">
        <v>0.88405977199999997</v>
      </c>
      <c r="G7955" s="140" t="s">
        <v>662</v>
      </c>
      <c r="H7955">
        <v>0</v>
      </c>
      <c r="I7955" s="140" t="s">
        <v>14</v>
      </c>
    </row>
    <row r="7956" spans="1:9" hidden="1" x14ac:dyDescent="0.25">
      <c r="A7956">
        <v>2022</v>
      </c>
      <c r="B7956" s="140" t="s">
        <v>660</v>
      </c>
      <c r="C7956" s="140" t="s">
        <v>661</v>
      </c>
      <c r="D7956" s="140" t="s">
        <v>11</v>
      </c>
      <c r="E7956" s="140" t="s">
        <v>12</v>
      </c>
      <c r="F7956">
        <v>-1.1711655030000001</v>
      </c>
      <c r="G7956" s="140" t="s">
        <v>662</v>
      </c>
      <c r="H7956">
        <v>0</v>
      </c>
      <c r="I7956" s="140" t="s">
        <v>14</v>
      </c>
    </row>
    <row r="7957" spans="1:9" hidden="1" x14ac:dyDescent="0.25">
      <c r="A7957">
        <v>2023</v>
      </c>
      <c r="B7957" s="140" t="s">
        <v>660</v>
      </c>
      <c r="C7957" s="140" t="s">
        <v>661</v>
      </c>
      <c r="D7957" s="140" t="s">
        <v>11</v>
      </c>
      <c r="E7957" s="140" t="s">
        <v>12</v>
      </c>
      <c r="F7957">
        <v>-3.9237951369999999</v>
      </c>
      <c r="G7957" s="140" t="s">
        <v>662</v>
      </c>
      <c r="H7957">
        <v>0</v>
      </c>
      <c r="I7957" s="140" t="s">
        <v>14</v>
      </c>
    </row>
    <row r="7958" spans="1:9" hidden="1" x14ac:dyDescent="0.25">
      <c r="A7958">
        <v>2024</v>
      </c>
      <c r="B7958" s="140" t="s">
        <v>660</v>
      </c>
      <c r="C7958" s="140" t="s">
        <v>661</v>
      </c>
      <c r="D7958" s="140" t="s">
        <v>11</v>
      </c>
      <c r="E7958" s="140" t="s">
        <v>12</v>
      </c>
      <c r="F7958">
        <v>-1.3914651570000001</v>
      </c>
      <c r="G7958" s="140" t="s">
        <v>662</v>
      </c>
      <c r="H7958">
        <v>0</v>
      </c>
      <c r="I7958" s="140" t="s">
        <v>14</v>
      </c>
    </row>
    <row r="7959" spans="1:9" hidden="1" x14ac:dyDescent="0.25">
      <c r="A7959">
        <v>2025</v>
      </c>
      <c r="B7959" s="140" t="s">
        <v>660</v>
      </c>
      <c r="C7959" s="140" t="s">
        <v>661</v>
      </c>
      <c r="D7959" s="140" t="s">
        <v>11</v>
      </c>
      <c r="E7959" s="140" t="s">
        <v>12</v>
      </c>
      <c r="F7959">
        <v>1.6346412260000001</v>
      </c>
      <c r="G7959" s="140" t="s">
        <v>662</v>
      </c>
      <c r="H7959">
        <v>0</v>
      </c>
      <c r="I7959" s="140" t="s">
        <v>14</v>
      </c>
    </row>
    <row r="7960" spans="1:9" hidden="1" x14ac:dyDescent="0.25">
      <c r="A7960">
        <v>2026</v>
      </c>
      <c r="B7960" s="140" t="s">
        <v>660</v>
      </c>
      <c r="C7960" s="140" t="s">
        <v>661</v>
      </c>
      <c r="D7960" s="140" t="s">
        <v>11</v>
      </c>
      <c r="E7960" s="140" t="s">
        <v>12</v>
      </c>
      <c r="F7960">
        <v>14.99030117</v>
      </c>
      <c r="G7960" s="140" t="s">
        <v>662</v>
      </c>
      <c r="H7960">
        <v>0</v>
      </c>
      <c r="I7960" s="140" t="s">
        <v>14</v>
      </c>
    </row>
    <row r="7961" spans="1:9" hidden="1" x14ac:dyDescent="0.25">
      <c r="A7961">
        <v>2027</v>
      </c>
      <c r="B7961" s="140" t="s">
        <v>660</v>
      </c>
      <c r="C7961" s="140" t="s">
        <v>661</v>
      </c>
      <c r="D7961" s="140" t="s">
        <v>11</v>
      </c>
      <c r="E7961" s="140" t="s">
        <v>12</v>
      </c>
      <c r="F7961">
        <v>5.9021539699999996</v>
      </c>
      <c r="G7961" s="140" t="s">
        <v>662</v>
      </c>
      <c r="H7961">
        <v>0</v>
      </c>
      <c r="I7961" s="140" t="s">
        <v>14</v>
      </c>
    </row>
    <row r="7962" spans="1:9" hidden="1" x14ac:dyDescent="0.25">
      <c r="A7962">
        <v>2028</v>
      </c>
      <c r="B7962" s="140" t="s">
        <v>660</v>
      </c>
      <c r="C7962" s="140" t="s">
        <v>661</v>
      </c>
      <c r="D7962" s="140" t="s">
        <v>11</v>
      </c>
      <c r="E7962" s="140" t="s">
        <v>12</v>
      </c>
      <c r="F7962">
        <v>2.8147405079999999</v>
      </c>
      <c r="G7962" s="140" t="s">
        <v>662</v>
      </c>
      <c r="H7962">
        <v>0</v>
      </c>
      <c r="I7962" s="140" t="s">
        <v>14</v>
      </c>
    </row>
    <row r="7963" spans="1:9" hidden="1" x14ac:dyDescent="0.25">
      <c r="A7963">
        <v>2029</v>
      </c>
      <c r="B7963" s="140" t="s">
        <v>660</v>
      </c>
      <c r="C7963" s="140" t="s">
        <v>661</v>
      </c>
      <c r="D7963" s="140" t="s">
        <v>11</v>
      </c>
      <c r="E7963" s="140" t="s">
        <v>12</v>
      </c>
      <c r="F7963">
        <v>3.5</v>
      </c>
      <c r="G7963" s="140" t="s">
        <v>662</v>
      </c>
      <c r="H7963">
        <v>0</v>
      </c>
      <c r="I7963" s="140" t="s">
        <v>14</v>
      </c>
    </row>
    <row r="7964" spans="1:9" hidden="1" x14ac:dyDescent="0.25">
      <c r="A7964">
        <v>2030</v>
      </c>
      <c r="B7964" s="140" t="s">
        <v>660</v>
      </c>
      <c r="C7964" s="140" t="s">
        <v>661</v>
      </c>
      <c r="D7964" s="140" t="s">
        <v>11</v>
      </c>
      <c r="E7964" s="140" t="s">
        <v>12</v>
      </c>
      <c r="F7964">
        <v>2.08</v>
      </c>
      <c r="G7964" s="140" t="s">
        <v>662</v>
      </c>
      <c r="H7964">
        <v>0</v>
      </c>
      <c r="I7964" s="140" t="s">
        <v>14</v>
      </c>
    </row>
    <row r="7965" spans="1:9" hidden="1" x14ac:dyDescent="0.25">
      <c r="A7965">
        <v>1990</v>
      </c>
      <c r="B7965" s="140" t="s">
        <v>48</v>
      </c>
      <c r="C7965" s="140" t="s">
        <v>243</v>
      </c>
      <c r="D7965" s="140" t="s">
        <v>11</v>
      </c>
      <c r="E7965" s="140" t="s">
        <v>320</v>
      </c>
      <c r="F7965">
        <v>25</v>
      </c>
      <c r="G7965" s="140" t="s">
        <v>474</v>
      </c>
      <c r="H7965">
        <v>0</v>
      </c>
      <c r="I7965" s="140" t="s">
        <v>17</v>
      </c>
    </row>
    <row r="7966" spans="1:9" hidden="1" x14ac:dyDescent="0.25">
      <c r="A7966">
        <v>1991</v>
      </c>
      <c r="B7966" s="140" t="s">
        <v>48</v>
      </c>
      <c r="C7966" s="140" t="s">
        <v>243</v>
      </c>
      <c r="D7966" s="140" t="s">
        <v>11</v>
      </c>
      <c r="E7966" s="140" t="s">
        <v>320</v>
      </c>
      <c r="F7966">
        <v>27</v>
      </c>
      <c r="G7966" s="140" t="s">
        <v>474</v>
      </c>
      <c r="H7966">
        <v>0</v>
      </c>
      <c r="I7966" s="140" t="s">
        <v>17</v>
      </c>
    </row>
    <row r="7967" spans="1:9" hidden="1" x14ac:dyDescent="0.25">
      <c r="A7967">
        <v>1992</v>
      </c>
      <c r="B7967" s="140" t="s">
        <v>48</v>
      </c>
      <c r="C7967" s="140" t="s">
        <v>243</v>
      </c>
      <c r="D7967" s="140" t="s">
        <v>11</v>
      </c>
      <c r="E7967" s="140" t="s">
        <v>320</v>
      </c>
      <c r="F7967">
        <v>-10</v>
      </c>
      <c r="G7967" s="140" t="s">
        <v>474</v>
      </c>
      <c r="H7967">
        <v>0</v>
      </c>
      <c r="I7967" s="140" t="s">
        <v>17</v>
      </c>
    </row>
    <row r="7968" spans="1:9" hidden="1" x14ac:dyDescent="0.25">
      <c r="A7968">
        <v>1993</v>
      </c>
      <c r="B7968" s="140" t="s">
        <v>48</v>
      </c>
      <c r="C7968" s="140" t="s">
        <v>243</v>
      </c>
      <c r="D7968" s="140" t="s">
        <v>11</v>
      </c>
      <c r="E7968" s="140" t="s">
        <v>320</v>
      </c>
      <c r="F7968">
        <v>28</v>
      </c>
      <c r="G7968" s="140" t="s">
        <v>474</v>
      </c>
      <c r="H7968">
        <v>0</v>
      </c>
      <c r="I7968" s="140" t="s">
        <v>17</v>
      </c>
    </row>
    <row r="7969" spans="1:9" hidden="1" x14ac:dyDescent="0.25">
      <c r="A7969">
        <v>1994</v>
      </c>
      <c r="B7969" s="140" t="s">
        <v>48</v>
      </c>
      <c r="C7969" s="140" t="s">
        <v>243</v>
      </c>
      <c r="D7969" s="140" t="s">
        <v>11</v>
      </c>
      <c r="E7969" s="140" t="s">
        <v>320</v>
      </c>
      <c r="F7969">
        <v>27</v>
      </c>
      <c r="G7969" s="140" t="s">
        <v>474</v>
      </c>
      <c r="H7969">
        <v>0</v>
      </c>
      <c r="I7969" s="140" t="s">
        <v>17</v>
      </c>
    </row>
    <row r="7970" spans="1:9" hidden="1" x14ac:dyDescent="0.25">
      <c r="A7970">
        <v>1995</v>
      </c>
      <c r="B7970" s="140" t="s">
        <v>48</v>
      </c>
      <c r="C7970" s="140" t="s">
        <v>243</v>
      </c>
      <c r="D7970" s="140" t="s">
        <v>11</v>
      </c>
      <c r="E7970" s="140" t="s">
        <v>320</v>
      </c>
      <c r="F7970">
        <v>117</v>
      </c>
      <c r="G7970" s="140" t="s">
        <v>474</v>
      </c>
      <c r="H7970">
        <v>0</v>
      </c>
      <c r="I7970" s="140" t="s">
        <v>17</v>
      </c>
    </row>
    <row r="7971" spans="1:9" hidden="1" x14ac:dyDescent="0.25">
      <c r="A7971">
        <v>1996</v>
      </c>
      <c r="B7971" s="140" t="s">
        <v>48</v>
      </c>
      <c r="C7971" s="140" t="s">
        <v>243</v>
      </c>
      <c r="D7971" s="140" t="s">
        <v>11</v>
      </c>
      <c r="E7971" s="140" t="s">
        <v>320</v>
      </c>
      <c r="F7971">
        <v>137</v>
      </c>
      <c r="G7971" s="140" t="s">
        <v>474</v>
      </c>
      <c r="H7971">
        <v>0</v>
      </c>
      <c r="I7971" s="140" t="s">
        <v>17</v>
      </c>
    </row>
    <row r="7972" spans="1:9" hidden="1" x14ac:dyDescent="0.25">
      <c r="A7972">
        <v>1997</v>
      </c>
      <c r="B7972" s="140" t="s">
        <v>48</v>
      </c>
      <c r="C7972" s="140" t="s">
        <v>243</v>
      </c>
      <c r="D7972" s="140" t="s">
        <v>11</v>
      </c>
      <c r="E7972" s="140" t="s">
        <v>320</v>
      </c>
      <c r="F7972">
        <v>172</v>
      </c>
      <c r="G7972" s="140" t="s">
        <v>474</v>
      </c>
      <c r="H7972">
        <v>0</v>
      </c>
      <c r="I7972" s="140" t="s">
        <v>17</v>
      </c>
    </row>
    <row r="7973" spans="1:9" hidden="1" x14ac:dyDescent="0.25">
      <c r="A7973">
        <v>1998</v>
      </c>
      <c r="B7973" s="140" t="s">
        <v>48</v>
      </c>
      <c r="C7973" s="140" t="s">
        <v>243</v>
      </c>
      <c r="D7973" s="140" t="s">
        <v>11</v>
      </c>
      <c r="E7973" s="140" t="s">
        <v>320</v>
      </c>
      <c r="F7973">
        <v>211</v>
      </c>
      <c r="G7973" s="140" t="s">
        <v>474</v>
      </c>
      <c r="H7973">
        <v>0</v>
      </c>
      <c r="I7973" s="140" t="s">
        <v>17</v>
      </c>
    </row>
    <row r="7974" spans="1:9" hidden="1" x14ac:dyDescent="0.25">
      <c r="A7974">
        <v>1999</v>
      </c>
      <c r="B7974" s="140" t="s">
        <v>48</v>
      </c>
      <c r="C7974" s="140" t="s">
        <v>243</v>
      </c>
      <c r="D7974" s="140" t="s">
        <v>11</v>
      </c>
      <c r="E7974" s="140" t="s">
        <v>320</v>
      </c>
      <c r="F7974">
        <v>433</v>
      </c>
      <c r="G7974" s="140" t="s">
        <v>474</v>
      </c>
      <c r="H7974">
        <v>0</v>
      </c>
      <c r="I7974" s="140" t="s">
        <v>17</v>
      </c>
    </row>
    <row r="7975" spans="1:9" hidden="1" x14ac:dyDescent="0.25">
      <c r="A7975">
        <v>2000</v>
      </c>
      <c r="B7975" s="140" t="s">
        <v>48</v>
      </c>
      <c r="C7975" s="140" t="s">
        <v>243</v>
      </c>
      <c r="D7975" s="140" t="s">
        <v>11</v>
      </c>
      <c r="E7975" s="140" t="s">
        <v>320</v>
      </c>
      <c r="F7975">
        <v>1080</v>
      </c>
      <c r="G7975" s="140" t="s">
        <v>474</v>
      </c>
      <c r="H7975">
        <v>0</v>
      </c>
      <c r="I7975" s="140" t="s">
        <v>17</v>
      </c>
    </row>
    <row r="7976" spans="1:9" hidden="1" x14ac:dyDescent="0.25">
      <c r="A7976">
        <v>2001</v>
      </c>
      <c r="B7976" s="140" t="s">
        <v>48</v>
      </c>
      <c r="C7976" s="140" t="s">
        <v>243</v>
      </c>
      <c r="D7976" s="140" t="s">
        <v>11</v>
      </c>
      <c r="E7976" s="140" t="s">
        <v>320</v>
      </c>
      <c r="F7976">
        <v>549</v>
      </c>
      <c r="G7976" s="140" t="s">
        <v>474</v>
      </c>
      <c r="H7976">
        <v>0</v>
      </c>
      <c r="I7976" s="140" t="s">
        <v>17</v>
      </c>
    </row>
    <row r="7977" spans="1:9" hidden="1" x14ac:dyDescent="0.25">
      <c r="A7977">
        <v>2002</v>
      </c>
      <c r="B7977" s="140" t="s">
        <v>48</v>
      </c>
      <c r="C7977" s="140" t="s">
        <v>243</v>
      </c>
      <c r="D7977" s="140" t="s">
        <v>11</v>
      </c>
      <c r="E7977" s="140" t="s">
        <v>320</v>
      </c>
      <c r="F7977">
        <v>398</v>
      </c>
      <c r="G7977" s="140" t="s">
        <v>474</v>
      </c>
      <c r="H7977">
        <v>0</v>
      </c>
      <c r="I7977" s="140" t="s">
        <v>17</v>
      </c>
    </row>
    <row r="7978" spans="1:9" hidden="1" x14ac:dyDescent="0.25">
      <c r="A7978">
        <v>2003</v>
      </c>
      <c r="B7978" s="140" t="s">
        <v>48</v>
      </c>
      <c r="C7978" s="140" t="s">
        <v>243</v>
      </c>
      <c r="D7978" s="140" t="s">
        <v>11</v>
      </c>
      <c r="E7978" s="140" t="s">
        <v>320</v>
      </c>
      <c r="F7978">
        <v>358</v>
      </c>
      <c r="G7978" s="140" t="s">
        <v>474</v>
      </c>
      <c r="H7978">
        <v>0</v>
      </c>
      <c r="I7978" s="140" t="s">
        <v>17</v>
      </c>
    </row>
    <row r="7979" spans="1:9" hidden="1" x14ac:dyDescent="0.25">
      <c r="A7979">
        <v>2004</v>
      </c>
      <c r="B7979" s="140" t="s">
        <v>48</v>
      </c>
      <c r="C7979" s="140" t="s">
        <v>243</v>
      </c>
      <c r="D7979" s="140" t="s">
        <v>11</v>
      </c>
      <c r="E7979" s="140" t="s">
        <v>320</v>
      </c>
      <c r="F7979">
        <v>464</v>
      </c>
      <c r="G7979" s="140" t="s">
        <v>474</v>
      </c>
      <c r="H7979">
        <v>0</v>
      </c>
      <c r="I7979" s="140" t="s">
        <v>17</v>
      </c>
    </row>
    <row r="7980" spans="1:9" hidden="1" x14ac:dyDescent="0.25">
      <c r="A7980">
        <v>2005</v>
      </c>
      <c r="B7980" s="140" t="s">
        <v>48</v>
      </c>
      <c r="C7980" s="140" t="s">
        <v>243</v>
      </c>
      <c r="D7980" s="140" t="s">
        <v>11</v>
      </c>
      <c r="E7980" s="140" t="s">
        <v>320</v>
      </c>
      <c r="F7980">
        <v>461</v>
      </c>
      <c r="G7980" s="140" t="s">
        <v>474</v>
      </c>
      <c r="H7980">
        <v>0</v>
      </c>
      <c r="I7980" s="140" t="s">
        <v>17</v>
      </c>
    </row>
    <row r="7981" spans="1:9" hidden="1" x14ac:dyDescent="0.25">
      <c r="A7981">
        <v>2006</v>
      </c>
      <c r="B7981" s="140" t="s">
        <v>48</v>
      </c>
      <c r="C7981" s="140" t="s">
        <v>243</v>
      </c>
      <c r="D7981" s="140" t="s">
        <v>11</v>
      </c>
      <c r="E7981" s="140" t="s">
        <v>320</v>
      </c>
      <c r="F7981">
        <v>505</v>
      </c>
      <c r="G7981" s="140" t="s">
        <v>474</v>
      </c>
      <c r="H7981">
        <v>0</v>
      </c>
      <c r="I7981" s="140" t="s">
        <v>17</v>
      </c>
    </row>
    <row r="7982" spans="1:9" hidden="1" x14ac:dyDescent="0.25">
      <c r="A7982">
        <v>2007</v>
      </c>
      <c r="B7982" s="140" t="s">
        <v>48</v>
      </c>
      <c r="C7982" s="140" t="s">
        <v>243</v>
      </c>
      <c r="D7982" s="140" t="s">
        <v>11</v>
      </c>
      <c r="E7982" s="140" t="s">
        <v>320</v>
      </c>
      <c r="F7982">
        <v>522</v>
      </c>
      <c r="G7982" s="140" t="s">
        <v>474</v>
      </c>
      <c r="H7982">
        <v>0</v>
      </c>
      <c r="I7982" s="140" t="s">
        <v>17</v>
      </c>
    </row>
    <row r="7983" spans="1:9" hidden="1" x14ac:dyDescent="0.25">
      <c r="A7983">
        <v>2008</v>
      </c>
      <c r="B7983" s="140" t="s">
        <v>48</v>
      </c>
      <c r="C7983" s="140" t="s">
        <v>243</v>
      </c>
      <c r="D7983" s="140" t="s">
        <v>11</v>
      </c>
      <c r="E7983" s="140" t="s">
        <v>320</v>
      </c>
      <c r="F7983">
        <v>597</v>
      </c>
      <c r="G7983" s="140" t="s">
        <v>474</v>
      </c>
      <c r="H7983">
        <v>0</v>
      </c>
      <c r="I7983" s="140" t="s">
        <v>17</v>
      </c>
    </row>
    <row r="7984" spans="1:9" hidden="1" x14ac:dyDescent="0.25">
      <c r="A7984">
        <v>2009</v>
      </c>
      <c r="B7984" s="140" t="s">
        <v>48</v>
      </c>
      <c r="C7984" s="140" t="s">
        <v>243</v>
      </c>
      <c r="D7984" s="140" t="s">
        <v>11</v>
      </c>
      <c r="E7984" s="140" t="s">
        <v>320</v>
      </c>
      <c r="F7984">
        <v>426</v>
      </c>
      <c r="G7984" s="140" t="s">
        <v>474</v>
      </c>
      <c r="H7984">
        <v>0</v>
      </c>
      <c r="I7984" s="140" t="s">
        <v>17</v>
      </c>
    </row>
    <row r="7985" spans="1:9" hidden="1" x14ac:dyDescent="0.25">
      <c r="A7985">
        <v>2010</v>
      </c>
      <c r="B7985" s="140" t="s">
        <v>48</v>
      </c>
      <c r="C7985" s="140" t="s">
        <v>243</v>
      </c>
      <c r="D7985" s="140" t="s">
        <v>11</v>
      </c>
      <c r="E7985" s="140" t="s">
        <v>320</v>
      </c>
      <c r="F7985">
        <v>451</v>
      </c>
      <c r="G7985" s="140" t="s">
        <v>474</v>
      </c>
      <c r="H7985">
        <v>0</v>
      </c>
      <c r="I7985" s="140" t="s">
        <v>17</v>
      </c>
    </row>
    <row r="7986" spans="1:9" hidden="1" x14ac:dyDescent="0.25">
      <c r="A7986">
        <v>2011</v>
      </c>
      <c r="B7986" s="140" t="s">
        <v>48</v>
      </c>
      <c r="C7986" s="140" t="s">
        <v>243</v>
      </c>
      <c r="D7986" s="140" t="s">
        <v>11</v>
      </c>
      <c r="E7986" s="140" t="s">
        <v>320</v>
      </c>
      <c r="F7986">
        <v>505</v>
      </c>
      <c r="G7986" s="140" t="s">
        <v>474</v>
      </c>
      <c r="H7986">
        <v>0</v>
      </c>
      <c r="I7986" s="140" t="s">
        <v>17</v>
      </c>
    </row>
    <row r="7987" spans="1:9" hidden="1" x14ac:dyDescent="0.25">
      <c r="A7987">
        <v>2012</v>
      </c>
      <c r="B7987" s="140" t="s">
        <v>48</v>
      </c>
      <c r="C7987" s="140" t="s">
        <v>243</v>
      </c>
      <c r="D7987" s="140" t="s">
        <v>11</v>
      </c>
      <c r="E7987" s="140" t="s">
        <v>320</v>
      </c>
      <c r="F7987">
        <v>536</v>
      </c>
      <c r="G7987" s="140" t="s">
        <v>474</v>
      </c>
      <c r="H7987">
        <v>0</v>
      </c>
      <c r="I7987" s="140" t="s">
        <v>17</v>
      </c>
    </row>
    <row r="7988" spans="1:9" hidden="1" x14ac:dyDescent="0.25">
      <c r="A7988">
        <v>2013</v>
      </c>
      <c r="B7988" s="140" t="s">
        <v>48</v>
      </c>
      <c r="C7988" s="140" t="s">
        <v>243</v>
      </c>
      <c r="D7988" s="140" t="s">
        <v>11</v>
      </c>
      <c r="E7988" s="140" t="s">
        <v>320</v>
      </c>
      <c r="F7988">
        <v>587</v>
      </c>
      <c r="G7988" s="140" t="s">
        <v>474</v>
      </c>
      <c r="H7988">
        <v>0</v>
      </c>
      <c r="I7988" s="140" t="s">
        <v>17</v>
      </c>
    </row>
    <row r="7989" spans="1:9" hidden="1" x14ac:dyDescent="0.25">
      <c r="A7989">
        <v>2014</v>
      </c>
      <c r="B7989" s="140" t="s">
        <v>48</v>
      </c>
      <c r="C7989" s="140" t="s">
        <v>243</v>
      </c>
      <c r="D7989" s="140" t="s">
        <v>11</v>
      </c>
      <c r="E7989" s="140" t="s">
        <v>320</v>
      </c>
      <c r="F7989">
        <v>612</v>
      </c>
      <c r="G7989" s="140" t="s">
        <v>474</v>
      </c>
      <c r="H7989">
        <v>0</v>
      </c>
      <c r="I7989" s="140" t="s">
        <v>17</v>
      </c>
    </row>
    <row r="7990" spans="1:9" hidden="1" x14ac:dyDescent="0.25">
      <c r="A7990">
        <v>2015</v>
      </c>
      <c r="B7990" s="140" t="s">
        <v>48</v>
      </c>
      <c r="C7990" s="140" t="s">
        <v>243</v>
      </c>
      <c r="D7990" s="140" t="s">
        <v>11</v>
      </c>
      <c r="E7990" s="140" t="s">
        <v>320</v>
      </c>
      <c r="F7990">
        <v>631</v>
      </c>
      <c r="G7990" s="140" t="s">
        <v>474</v>
      </c>
      <c r="H7990">
        <v>0</v>
      </c>
      <c r="I7990" s="140" t="s">
        <v>17</v>
      </c>
    </row>
    <row r="7991" spans="1:9" hidden="1" x14ac:dyDescent="0.25">
      <c r="A7991">
        <v>2016</v>
      </c>
      <c r="B7991" s="140" t="s">
        <v>48</v>
      </c>
      <c r="C7991" s="140" t="s">
        <v>243</v>
      </c>
      <c r="D7991" s="140" t="s">
        <v>11</v>
      </c>
      <c r="E7991" s="140" t="s">
        <v>320</v>
      </c>
      <c r="F7991">
        <v>844</v>
      </c>
      <c r="G7991" s="140" t="s">
        <v>474</v>
      </c>
      <c r="H7991">
        <v>0</v>
      </c>
      <c r="I7991" s="140" t="s">
        <v>17</v>
      </c>
    </row>
    <row r="7992" spans="1:9" hidden="1" x14ac:dyDescent="0.25">
      <c r="A7992">
        <v>2017</v>
      </c>
      <c r="B7992" s="140" t="s">
        <v>48</v>
      </c>
      <c r="C7992" s="140" t="s">
        <v>243</v>
      </c>
      <c r="D7992" s="140" t="s">
        <v>11</v>
      </c>
      <c r="E7992" s="140" t="s">
        <v>320</v>
      </c>
      <c r="F7992">
        <v>948</v>
      </c>
      <c r="G7992" s="140" t="s">
        <v>474</v>
      </c>
      <c r="H7992">
        <v>0</v>
      </c>
      <c r="I7992" s="140" t="s">
        <v>17</v>
      </c>
    </row>
    <row r="7993" spans="1:9" hidden="1" x14ac:dyDescent="0.25">
      <c r="A7993">
        <v>2018</v>
      </c>
      <c r="B7993" s="140" t="s">
        <v>48</v>
      </c>
      <c r="C7993" s="140" t="s">
        <v>243</v>
      </c>
      <c r="D7993" s="140" t="s">
        <v>11</v>
      </c>
      <c r="E7993" s="140" t="s">
        <v>320</v>
      </c>
      <c r="F7993">
        <v>934</v>
      </c>
      <c r="G7993" s="140" t="s">
        <v>474</v>
      </c>
      <c r="H7993">
        <v>0</v>
      </c>
      <c r="I7993" s="140" t="s">
        <v>17</v>
      </c>
    </row>
    <row r="7994" spans="1:9" hidden="1" x14ac:dyDescent="0.25">
      <c r="A7994">
        <v>2019</v>
      </c>
      <c r="B7994" s="140" t="s">
        <v>48</v>
      </c>
      <c r="C7994" s="140" t="s">
        <v>243</v>
      </c>
      <c r="D7994" s="140" t="s">
        <v>11</v>
      </c>
      <c r="E7994" s="140" t="s">
        <v>320</v>
      </c>
      <c r="F7994">
        <v>990</v>
      </c>
      <c r="G7994" s="140" t="s">
        <v>474</v>
      </c>
      <c r="H7994">
        <v>0</v>
      </c>
      <c r="I7994" s="140" t="s">
        <v>17</v>
      </c>
    </row>
    <row r="7995" spans="1:9" hidden="1" x14ac:dyDescent="0.25">
      <c r="A7995">
        <v>2020</v>
      </c>
      <c r="B7995" s="140" t="s">
        <v>48</v>
      </c>
      <c r="C7995" s="140" t="s">
        <v>243</v>
      </c>
      <c r="D7995" s="140" t="s">
        <v>11</v>
      </c>
      <c r="E7995" s="140" t="s">
        <v>320</v>
      </c>
      <c r="F7995">
        <v>807</v>
      </c>
      <c r="G7995" s="140" t="s">
        <v>474</v>
      </c>
      <c r="H7995">
        <v>0</v>
      </c>
      <c r="I7995" s="140" t="s">
        <v>17</v>
      </c>
    </row>
    <row r="7996" spans="1:9" hidden="1" x14ac:dyDescent="0.25">
      <c r="A7996">
        <v>2021</v>
      </c>
      <c r="B7996" s="140" t="s">
        <v>48</v>
      </c>
      <c r="C7996" s="140" t="s">
        <v>243</v>
      </c>
      <c r="D7996" s="140" t="s">
        <v>11</v>
      </c>
      <c r="E7996" s="140" t="s">
        <v>320</v>
      </c>
      <c r="F7996">
        <v>907</v>
      </c>
      <c r="G7996" s="140" t="s">
        <v>474</v>
      </c>
      <c r="H7996">
        <v>0</v>
      </c>
      <c r="I7996" s="140" t="s">
        <v>17</v>
      </c>
    </row>
    <row r="7997" spans="1:9" hidden="1" x14ac:dyDescent="0.25">
      <c r="A7997">
        <v>2022</v>
      </c>
      <c r="B7997" s="140" t="s">
        <v>48</v>
      </c>
      <c r="C7997" s="140" t="s">
        <v>243</v>
      </c>
      <c r="D7997" s="140" t="s">
        <v>11</v>
      </c>
      <c r="E7997" s="140" t="s">
        <v>320</v>
      </c>
      <c r="F7997">
        <v>929</v>
      </c>
      <c r="G7997" s="140" t="s">
        <v>474</v>
      </c>
      <c r="H7997">
        <v>0</v>
      </c>
      <c r="I7997" s="140" t="s">
        <v>17</v>
      </c>
    </row>
    <row r="7998" spans="1:9" hidden="1" x14ac:dyDescent="0.25">
      <c r="A7998">
        <v>2023</v>
      </c>
      <c r="B7998" s="140" t="s">
        <v>48</v>
      </c>
      <c r="C7998" s="140" t="s">
        <v>243</v>
      </c>
      <c r="D7998" s="140" t="s">
        <v>11</v>
      </c>
      <c r="E7998" s="140" t="s">
        <v>320</v>
      </c>
      <c r="F7998">
        <v>1022</v>
      </c>
      <c r="G7998" s="140" t="s">
        <v>474</v>
      </c>
      <c r="H7998">
        <v>0</v>
      </c>
      <c r="I7998" s="140" t="s">
        <v>17</v>
      </c>
    </row>
    <row r="7999" spans="1:9" hidden="1" x14ac:dyDescent="0.25">
      <c r="A7999">
        <v>2024</v>
      </c>
      <c r="B7999" s="140" t="s">
        <v>48</v>
      </c>
      <c r="C7999" s="140" t="s">
        <v>243</v>
      </c>
      <c r="D7999" s="140" t="s">
        <v>11</v>
      </c>
      <c r="E7999" s="140" t="s">
        <v>320</v>
      </c>
      <c r="F7999">
        <v>1097</v>
      </c>
      <c r="G7999" s="140" t="s">
        <v>474</v>
      </c>
      <c r="H7999">
        <v>0</v>
      </c>
      <c r="I7999" s="140" t="s">
        <v>17</v>
      </c>
    </row>
    <row r="8000" spans="1:9" hidden="1" x14ac:dyDescent="0.25">
      <c r="A8000">
        <v>2025</v>
      </c>
      <c r="B8000" s="140" t="s">
        <v>48</v>
      </c>
      <c r="C8000" s="140" t="s">
        <v>243</v>
      </c>
      <c r="D8000" s="140" t="s">
        <v>11</v>
      </c>
      <c r="E8000" s="140" t="s">
        <v>320</v>
      </c>
      <c r="F8000">
        <v>1109</v>
      </c>
      <c r="G8000" s="140" t="s">
        <v>474</v>
      </c>
      <c r="H8000">
        <v>0</v>
      </c>
      <c r="I8000" s="140" t="s">
        <v>17</v>
      </c>
    </row>
    <row r="8001" spans="1:9" hidden="1" x14ac:dyDescent="0.25">
      <c r="A8001">
        <v>2026</v>
      </c>
      <c r="B8001" s="140" t="s">
        <v>48</v>
      </c>
      <c r="C8001" s="140" t="s">
        <v>243</v>
      </c>
      <c r="D8001" s="140" t="s">
        <v>11</v>
      </c>
      <c r="E8001" s="140" t="s">
        <v>320</v>
      </c>
      <c r="F8001">
        <v>1109</v>
      </c>
      <c r="G8001" s="140" t="s">
        <v>474</v>
      </c>
      <c r="H8001">
        <v>0</v>
      </c>
      <c r="I8001" s="140" t="s">
        <v>17</v>
      </c>
    </row>
    <row r="8002" spans="1:9" hidden="1" x14ac:dyDescent="0.25">
      <c r="A8002">
        <v>2027</v>
      </c>
      <c r="B8002" s="140" t="s">
        <v>48</v>
      </c>
      <c r="C8002" s="140" t="s">
        <v>243</v>
      </c>
      <c r="D8002" s="140" t="s">
        <v>11</v>
      </c>
      <c r="E8002" s="140" t="s">
        <v>320</v>
      </c>
      <c r="F8002">
        <v>1109</v>
      </c>
      <c r="G8002" s="140" t="s">
        <v>474</v>
      </c>
      <c r="H8002">
        <v>0</v>
      </c>
      <c r="I8002" s="140" t="s">
        <v>17</v>
      </c>
    </row>
    <row r="8003" spans="1:9" hidden="1" x14ac:dyDescent="0.25">
      <c r="A8003">
        <v>2028</v>
      </c>
      <c r="B8003" s="140" t="s">
        <v>48</v>
      </c>
      <c r="C8003" s="140" t="s">
        <v>243</v>
      </c>
      <c r="D8003" s="140" t="s">
        <v>11</v>
      </c>
      <c r="E8003" s="140" t="s">
        <v>320</v>
      </c>
      <c r="F8003">
        <v>1109</v>
      </c>
      <c r="G8003" s="140" t="s">
        <v>474</v>
      </c>
      <c r="H8003">
        <v>0</v>
      </c>
      <c r="I8003" s="140" t="s">
        <v>17</v>
      </c>
    </row>
    <row r="8004" spans="1:9" hidden="1" x14ac:dyDescent="0.25">
      <c r="A8004">
        <v>1990</v>
      </c>
      <c r="B8004" s="140" t="s">
        <v>475</v>
      </c>
      <c r="C8004" s="140" t="s">
        <v>243</v>
      </c>
      <c r="D8004" s="140" t="s">
        <v>11</v>
      </c>
      <c r="E8004" s="140" t="s">
        <v>320</v>
      </c>
      <c r="F8004">
        <v>1914</v>
      </c>
      <c r="G8004" s="140" t="s">
        <v>476</v>
      </c>
      <c r="H8004">
        <v>0</v>
      </c>
      <c r="I8004" s="140" t="s">
        <v>17</v>
      </c>
    </row>
    <row r="8005" spans="1:9" hidden="1" x14ac:dyDescent="0.25">
      <c r="A8005">
        <v>1991</v>
      </c>
      <c r="B8005" s="140" t="s">
        <v>475</v>
      </c>
      <c r="C8005" s="140" t="s">
        <v>243</v>
      </c>
      <c r="D8005" s="140" t="s">
        <v>11</v>
      </c>
      <c r="E8005" s="140" t="s">
        <v>320</v>
      </c>
      <c r="F8005">
        <v>1914</v>
      </c>
      <c r="G8005" s="140" t="s">
        <v>476</v>
      </c>
      <c r="H8005">
        <v>0</v>
      </c>
      <c r="I8005" s="140" t="s">
        <v>17</v>
      </c>
    </row>
    <row r="8006" spans="1:9" hidden="1" x14ac:dyDescent="0.25">
      <c r="A8006">
        <v>1992</v>
      </c>
      <c r="B8006" s="140" t="s">
        <v>475</v>
      </c>
      <c r="C8006" s="140" t="s">
        <v>243</v>
      </c>
      <c r="D8006" s="140" t="s">
        <v>11</v>
      </c>
      <c r="E8006" s="140" t="s">
        <v>320</v>
      </c>
      <c r="F8006">
        <v>1923</v>
      </c>
      <c r="G8006" s="140" t="s">
        <v>476</v>
      </c>
      <c r="H8006">
        <v>0</v>
      </c>
      <c r="I8006" s="140" t="s">
        <v>17</v>
      </c>
    </row>
    <row r="8007" spans="1:9" hidden="1" x14ac:dyDescent="0.25">
      <c r="A8007">
        <v>1993</v>
      </c>
      <c r="B8007" s="140" t="s">
        <v>475</v>
      </c>
      <c r="C8007" s="140" t="s">
        <v>243</v>
      </c>
      <c r="D8007" s="140" t="s">
        <v>11</v>
      </c>
      <c r="E8007" s="140" t="s">
        <v>320</v>
      </c>
      <c r="F8007">
        <v>2034</v>
      </c>
      <c r="G8007" s="140" t="s">
        <v>476</v>
      </c>
      <c r="H8007">
        <v>0</v>
      </c>
      <c r="I8007" s="140" t="s">
        <v>17</v>
      </c>
    </row>
    <row r="8008" spans="1:9" hidden="1" x14ac:dyDescent="0.25">
      <c r="A8008">
        <v>1994</v>
      </c>
      <c r="B8008" s="140" t="s">
        <v>475</v>
      </c>
      <c r="C8008" s="140" t="s">
        <v>243</v>
      </c>
      <c r="D8008" s="140" t="s">
        <v>11</v>
      </c>
      <c r="E8008" s="140" t="s">
        <v>320</v>
      </c>
      <c r="F8008">
        <v>2045</v>
      </c>
      <c r="G8008" s="140" t="s">
        <v>476</v>
      </c>
      <c r="H8008">
        <v>0</v>
      </c>
      <c r="I8008" s="140" t="s">
        <v>17</v>
      </c>
    </row>
    <row r="8009" spans="1:9" hidden="1" x14ac:dyDescent="0.25">
      <c r="A8009">
        <v>1995</v>
      </c>
      <c r="B8009" s="140" t="s">
        <v>475</v>
      </c>
      <c r="C8009" s="140" t="s">
        <v>243</v>
      </c>
      <c r="D8009" s="140" t="s">
        <v>11</v>
      </c>
      <c r="E8009" s="140" t="s">
        <v>320</v>
      </c>
      <c r="F8009">
        <v>2164</v>
      </c>
      <c r="G8009" s="140" t="s">
        <v>476</v>
      </c>
      <c r="H8009">
        <v>0</v>
      </c>
      <c r="I8009" s="140" t="s">
        <v>17</v>
      </c>
    </row>
    <row r="8010" spans="1:9" hidden="1" x14ac:dyDescent="0.25">
      <c r="A8010">
        <v>1996</v>
      </c>
      <c r="B8010" s="140" t="s">
        <v>475</v>
      </c>
      <c r="C8010" s="140" t="s">
        <v>243</v>
      </c>
      <c r="D8010" s="140" t="s">
        <v>11</v>
      </c>
      <c r="E8010" s="140" t="s">
        <v>320</v>
      </c>
      <c r="F8010">
        <v>2347</v>
      </c>
      <c r="G8010" s="140" t="s">
        <v>476</v>
      </c>
      <c r="H8010">
        <v>0</v>
      </c>
      <c r="I8010" s="140" t="s">
        <v>17</v>
      </c>
    </row>
    <row r="8011" spans="1:9" hidden="1" x14ac:dyDescent="0.25">
      <c r="A8011">
        <v>1997</v>
      </c>
      <c r="B8011" s="140" t="s">
        <v>475</v>
      </c>
      <c r="C8011" s="140" t="s">
        <v>243</v>
      </c>
      <c r="D8011" s="140" t="s">
        <v>11</v>
      </c>
      <c r="E8011" s="140" t="s">
        <v>320</v>
      </c>
      <c r="F8011">
        <v>2667</v>
      </c>
      <c r="G8011" s="140" t="s">
        <v>476</v>
      </c>
      <c r="H8011">
        <v>0</v>
      </c>
      <c r="I8011" s="140" t="s">
        <v>17</v>
      </c>
    </row>
    <row r="8012" spans="1:9" hidden="1" x14ac:dyDescent="0.25">
      <c r="A8012">
        <v>1998</v>
      </c>
      <c r="B8012" s="140" t="s">
        <v>475</v>
      </c>
      <c r="C8012" s="140" t="s">
        <v>243</v>
      </c>
      <c r="D8012" s="140" t="s">
        <v>11</v>
      </c>
      <c r="E8012" s="140" t="s">
        <v>320</v>
      </c>
      <c r="F8012">
        <v>2646</v>
      </c>
      <c r="G8012" s="140" t="s">
        <v>476</v>
      </c>
      <c r="H8012">
        <v>0</v>
      </c>
      <c r="I8012" s="140" t="s">
        <v>17</v>
      </c>
    </row>
    <row r="8013" spans="1:9" hidden="1" x14ac:dyDescent="0.25">
      <c r="A8013">
        <v>1999</v>
      </c>
      <c r="B8013" s="140" t="s">
        <v>475</v>
      </c>
      <c r="C8013" s="140" t="s">
        <v>243</v>
      </c>
      <c r="D8013" s="140" t="s">
        <v>11</v>
      </c>
      <c r="E8013" s="140" t="s">
        <v>320</v>
      </c>
      <c r="F8013">
        <v>2821</v>
      </c>
      <c r="G8013" s="140" t="s">
        <v>476</v>
      </c>
      <c r="H8013">
        <v>0</v>
      </c>
      <c r="I8013" s="140" t="s">
        <v>17</v>
      </c>
    </row>
    <row r="8014" spans="1:9" hidden="1" x14ac:dyDescent="0.25">
      <c r="A8014">
        <v>2000</v>
      </c>
      <c r="B8014" s="140" t="s">
        <v>475</v>
      </c>
      <c r="C8014" s="140" t="s">
        <v>243</v>
      </c>
      <c r="D8014" s="140" t="s">
        <v>11</v>
      </c>
      <c r="E8014" s="140" t="s">
        <v>320</v>
      </c>
      <c r="F8014">
        <v>2933</v>
      </c>
      <c r="G8014" s="140" t="s">
        <v>476</v>
      </c>
      <c r="H8014">
        <v>0</v>
      </c>
      <c r="I8014" s="140" t="s">
        <v>17</v>
      </c>
    </row>
    <row r="8015" spans="1:9" hidden="1" x14ac:dyDescent="0.25">
      <c r="A8015">
        <v>2001</v>
      </c>
      <c r="B8015" s="140" t="s">
        <v>475</v>
      </c>
      <c r="C8015" s="140" t="s">
        <v>243</v>
      </c>
      <c r="D8015" s="140" t="s">
        <v>11</v>
      </c>
      <c r="E8015" s="140" t="s">
        <v>320</v>
      </c>
      <c r="F8015">
        <v>3070</v>
      </c>
      <c r="G8015" s="140" t="s">
        <v>476</v>
      </c>
      <c r="H8015">
        <v>0</v>
      </c>
      <c r="I8015" s="140" t="s">
        <v>17</v>
      </c>
    </row>
    <row r="8016" spans="1:9" hidden="1" x14ac:dyDescent="0.25">
      <c r="A8016">
        <v>2002</v>
      </c>
      <c r="B8016" s="140" t="s">
        <v>475</v>
      </c>
      <c r="C8016" s="140" t="s">
        <v>243</v>
      </c>
      <c r="D8016" s="140" t="s">
        <v>11</v>
      </c>
      <c r="E8016" s="140" t="s">
        <v>320</v>
      </c>
      <c r="F8016">
        <v>3183</v>
      </c>
      <c r="G8016" s="140" t="s">
        <v>476</v>
      </c>
      <c r="H8016">
        <v>0</v>
      </c>
      <c r="I8016" s="140" t="s">
        <v>17</v>
      </c>
    </row>
    <row r="8017" spans="1:9" hidden="1" x14ac:dyDescent="0.25">
      <c r="A8017">
        <v>2003</v>
      </c>
      <c r="B8017" s="140" t="s">
        <v>475</v>
      </c>
      <c r="C8017" s="140" t="s">
        <v>243</v>
      </c>
      <c r="D8017" s="140" t="s">
        <v>11</v>
      </c>
      <c r="E8017" s="140" t="s">
        <v>320</v>
      </c>
      <c r="F8017">
        <v>3328</v>
      </c>
      <c r="G8017" s="140" t="s">
        <v>476</v>
      </c>
      <c r="H8017">
        <v>0</v>
      </c>
      <c r="I8017" s="140" t="s">
        <v>17</v>
      </c>
    </row>
    <row r="8018" spans="1:9" hidden="1" x14ac:dyDescent="0.25">
      <c r="A8018">
        <v>2004</v>
      </c>
      <c r="B8018" s="140" t="s">
        <v>475</v>
      </c>
      <c r="C8018" s="140" t="s">
        <v>243</v>
      </c>
      <c r="D8018" s="140" t="s">
        <v>11</v>
      </c>
      <c r="E8018" s="140" t="s">
        <v>320</v>
      </c>
      <c r="F8018">
        <v>3441</v>
      </c>
      <c r="G8018" s="140" t="s">
        <v>476</v>
      </c>
      <c r="H8018">
        <v>0</v>
      </c>
      <c r="I8018" s="140" t="s">
        <v>17</v>
      </c>
    </row>
    <row r="8019" spans="1:9" hidden="1" x14ac:dyDescent="0.25">
      <c r="A8019">
        <v>2005</v>
      </c>
      <c r="B8019" s="140" t="s">
        <v>475</v>
      </c>
      <c r="C8019" s="140" t="s">
        <v>243</v>
      </c>
      <c r="D8019" s="140" t="s">
        <v>11</v>
      </c>
      <c r="E8019" s="140" t="s">
        <v>320</v>
      </c>
      <c r="F8019">
        <v>3558</v>
      </c>
      <c r="G8019" s="140" t="s">
        <v>476</v>
      </c>
      <c r="H8019">
        <v>0</v>
      </c>
      <c r="I8019" s="140" t="s">
        <v>17</v>
      </c>
    </row>
    <row r="8020" spans="1:9" hidden="1" x14ac:dyDescent="0.25">
      <c r="A8020">
        <v>2006</v>
      </c>
      <c r="B8020" s="140" t="s">
        <v>475</v>
      </c>
      <c r="C8020" s="140" t="s">
        <v>243</v>
      </c>
      <c r="D8020" s="140" t="s">
        <v>11</v>
      </c>
      <c r="E8020" s="140" t="s">
        <v>320</v>
      </c>
      <c r="F8020">
        <v>3712</v>
      </c>
      <c r="G8020" s="140" t="s">
        <v>476</v>
      </c>
      <c r="H8020">
        <v>0</v>
      </c>
      <c r="I8020" s="140" t="s">
        <v>17</v>
      </c>
    </row>
    <row r="8021" spans="1:9" hidden="1" x14ac:dyDescent="0.25">
      <c r="A8021">
        <v>2007</v>
      </c>
      <c r="B8021" s="140" t="s">
        <v>475</v>
      </c>
      <c r="C8021" s="140" t="s">
        <v>243</v>
      </c>
      <c r="D8021" s="140" t="s">
        <v>11</v>
      </c>
      <c r="E8021" s="140" t="s">
        <v>320</v>
      </c>
      <c r="F8021">
        <v>3858</v>
      </c>
      <c r="G8021" s="140" t="s">
        <v>476</v>
      </c>
      <c r="H8021">
        <v>0</v>
      </c>
      <c r="I8021" s="140" t="s">
        <v>17</v>
      </c>
    </row>
    <row r="8022" spans="1:9" hidden="1" x14ac:dyDescent="0.25">
      <c r="A8022">
        <v>2008</v>
      </c>
      <c r="B8022" s="140" t="s">
        <v>475</v>
      </c>
      <c r="C8022" s="140" t="s">
        <v>243</v>
      </c>
      <c r="D8022" s="140" t="s">
        <v>11</v>
      </c>
      <c r="E8022" s="140" t="s">
        <v>320</v>
      </c>
      <c r="F8022">
        <v>4062</v>
      </c>
      <c r="G8022" s="140" t="s">
        <v>476</v>
      </c>
      <c r="H8022">
        <v>0</v>
      </c>
      <c r="I8022" s="140" t="s">
        <v>17</v>
      </c>
    </row>
    <row r="8023" spans="1:9" hidden="1" x14ac:dyDescent="0.25">
      <c r="A8023">
        <v>2009</v>
      </c>
      <c r="B8023" s="140" t="s">
        <v>475</v>
      </c>
      <c r="C8023" s="140" t="s">
        <v>243</v>
      </c>
      <c r="D8023" s="140" t="s">
        <v>11</v>
      </c>
      <c r="E8023" s="140" t="s">
        <v>320</v>
      </c>
      <c r="F8023">
        <v>4230</v>
      </c>
      <c r="G8023" s="140" t="s">
        <v>476</v>
      </c>
      <c r="H8023">
        <v>0</v>
      </c>
      <c r="I8023" s="140" t="s">
        <v>17</v>
      </c>
    </row>
    <row r="8024" spans="1:9" hidden="1" x14ac:dyDescent="0.25">
      <c r="A8024">
        <v>2010</v>
      </c>
      <c r="B8024" s="140" t="s">
        <v>475</v>
      </c>
      <c r="C8024" s="140" t="s">
        <v>243</v>
      </c>
      <c r="D8024" s="140" t="s">
        <v>11</v>
      </c>
      <c r="E8024" s="140" t="s">
        <v>320</v>
      </c>
      <c r="F8024">
        <v>4492</v>
      </c>
      <c r="G8024" s="140" t="s">
        <v>476</v>
      </c>
      <c r="H8024">
        <v>0</v>
      </c>
      <c r="I8024" s="140" t="s">
        <v>17</v>
      </c>
    </row>
    <row r="8025" spans="1:9" hidden="1" x14ac:dyDescent="0.25">
      <c r="A8025">
        <v>2011</v>
      </c>
      <c r="B8025" s="140" t="s">
        <v>475</v>
      </c>
      <c r="C8025" s="140" t="s">
        <v>243</v>
      </c>
      <c r="D8025" s="140" t="s">
        <v>11</v>
      </c>
      <c r="E8025" s="140" t="s">
        <v>320</v>
      </c>
      <c r="F8025">
        <v>4439</v>
      </c>
      <c r="G8025" s="140" t="s">
        <v>476</v>
      </c>
      <c r="H8025">
        <v>0</v>
      </c>
      <c r="I8025" s="140" t="s">
        <v>17</v>
      </c>
    </row>
    <row r="8026" spans="1:9" hidden="1" x14ac:dyDescent="0.25">
      <c r="A8026">
        <v>2012</v>
      </c>
      <c r="B8026" s="140" t="s">
        <v>475</v>
      </c>
      <c r="C8026" s="140" t="s">
        <v>243</v>
      </c>
      <c r="D8026" s="140" t="s">
        <v>11</v>
      </c>
      <c r="E8026" s="140" t="s">
        <v>320</v>
      </c>
      <c r="F8026">
        <v>4596</v>
      </c>
      <c r="G8026" s="140" t="s">
        <v>476</v>
      </c>
      <c r="H8026">
        <v>0</v>
      </c>
      <c r="I8026" s="140" t="s">
        <v>17</v>
      </c>
    </row>
    <row r="8027" spans="1:9" hidden="1" x14ac:dyDescent="0.25">
      <c r="A8027">
        <v>2013</v>
      </c>
      <c r="B8027" s="140" t="s">
        <v>475</v>
      </c>
      <c r="C8027" s="140" t="s">
        <v>243</v>
      </c>
      <c r="D8027" s="140" t="s">
        <v>11</v>
      </c>
      <c r="E8027" s="140" t="s">
        <v>320</v>
      </c>
      <c r="F8027">
        <v>4809</v>
      </c>
      <c r="G8027" s="140" t="s">
        <v>476</v>
      </c>
      <c r="H8027">
        <v>0</v>
      </c>
      <c r="I8027" s="140" t="s">
        <v>17</v>
      </c>
    </row>
    <row r="8028" spans="1:9" hidden="1" x14ac:dyDescent="0.25">
      <c r="A8028">
        <v>2014</v>
      </c>
      <c r="B8028" s="140" t="s">
        <v>475</v>
      </c>
      <c r="C8028" s="140" t="s">
        <v>243</v>
      </c>
      <c r="D8028" s="140" t="s">
        <v>11</v>
      </c>
      <c r="E8028" s="140" t="s">
        <v>320</v>
      </c>
      <c r="F8028">
        <v>4697</v>
      </c>
      <c r="G8028" s="140" t="s">
        <v>476</v>
      </c>
      <c r="H8028">
        <v>0</v>
      </c>
      <c r="I8028" s="140" t="s">
        <v>17</v>
      </c>
    </row>
    <row r="8029" spans="1:9" hidden="1" x14ac:dyDescent="0.25">
      <c r="A8029">
        <v>2015</v>
      </c>
      <c r="B8029" s="140" t="s">
        <v>475</v>
      </c>
      <c r="C8029" s="140" t="s">
        <v>243</v>
      </c>
      <c r="D8029" s="140" t="s">
        <v>11</v>
      </c>
      <c r="E8029" s="140" t="s">
        <v>320</v>
      </c>
      <c r="F8029">
        <v>4703</v>
      </c>
      <c r="G8029" s="140" t="s">
        <v>476</v>
      </c>
      <c r="H8029">
        <v>0</v>
      </c>
      <c r="I8029" s="140" t="s">
        <v>17</v>
      </c>
    </row>
    <row r="8030" spans="1:9" hidden="1" x14ac:dyDescent="0.25">
      <c r="A8030">
        <v>2016</v>
      </c>
      <c r="B8030" s="140" t="s">
        <v>475</v>
      </c>
      <c r="C8030" s="140" t="s">
        <v>243</v>
      </c>
      <c r="D8030" s="140" t="s">
        <v>11</v>
      </c>
      <c r="E8030" s="140" t="s">
        <v>320</v>
      </c>
      <c r="F8030">
        <v>4516</v>
      </c>
      <c r="G8030" s="140" t="s">
        <v>476</v>
      </c>
      <c r="H8030">
        <v>0</v>
      </c>
      <c r="I8030" s="140" t="s">
        <v>17</v>
      </c>
    </row>
    <row r="8031" spans="1:9" hidden="1" x14ac:dyDescent="0.25">
      <c r="A8031">
        <v>2017</v>
      </c>
      <c r="B8031" s="140" t="s">
        <v>475</v>
      </c>
      <c r="C8031" s="140" t="s">
        <v>243</v>
      </c>
      <c r="D8031" s="140" t="s">
        <v>11</v>
      </c>
      <c r="E8031" s="140" t="s">
        <v>320</v>
      </c>
      <c r="F8031">
        <v>4528</v>
      </c>
      <c r="G8031" s="140" t="s">
        <v>476</v>
      </c>
      <c r="H8031">
        <v>0</v>
      </c>
      <c r="I8031" s="140" t="s">
        <v>17</v>
      </c>
    </row>
    <row r="8032" spans="1:9" hidden="1" x14ac:dyDescent="0.25">
      <c r="A8032">
        <v>2018</v>
      </c>
      <c r="B8032" s="140" t="s">
        <v>475</v>
      </c>
      <c r="C8032" s="140" t="s">
        <v>243</v>
      </c>
      <c r="D8032" s="140" t="s">
        <v>11</v>
      </c>
      <c r="E8032" s="140" t="s">
        <v>320</v>
      </c>
      <c r="F8032">
        <v>4540</v>
      </c>
      <c r="G8032" s="140" t="s">
        <v>476</v>
      </c>
      <c r="H8032">
        <v>0</v>
      </c>
      <c r="I8032" s="140" t="s">
        <v>17</v>
      </c>
    </row>
    <row r="8033" spans="1:9" hidden="1" x14ac:dyDescent="0.25">
      <c r="A8033">
        <v>2019</v>
      </c>
      <c r="B8033" s="140" t="s">
        <v>475</v>
      </c>
      <c r="C8033" s="140" t="s">
        <v>243</v>
      </c>
      <c r="D8033" s="140" t="s">
        <v>11</v>
      </c>
      <c r="E8033" s="140" t="s">
        <v>320</v>
      </c>
      <c r="F8033">
        <v>4677</v>
      </c>
      <c r="G8033" s="140" t="s">
        <v>476</v>
      </c>
      <c r="H8033">
        <v>0</v>
      </c>
      <c r="I8033" s="140" t="s">
        <v>17</v>
      </c>
    </row>
    <row r="8034" spans="1:9" hidden="1" x14ac:dyDescent="0.25">
      <c r="A8034">
        <v>2020</v>
      </c>
      <c r="B8034" s="140" t="s">
        <v>475</v>
      </c>
      <c r="C8034" s="140" t="s">
        <v>243</v>
      </c>
      <c r="D8034" s="140" t="s">
        <v>11</v>
      </c>
      <c r="E8034" s="140" t="s">
        <v>320</v>
      </c>
      <c r="F8034">
        <v>5053</v>
      </c>
      <c r="G8034" s="140" t="s">
        <v>476</v>
      </c>
      <c r="H8034">
        <v>0</v>
      </c>
      <c r="I8034" s="140" t="s">
        <v>17</v>
      </c>
    </row>
    <row r="8035" spans="1:9" hidden="1" x14ac:dyDescent="0.25">
      <c r="A8035">
        <v>2021</v>
      </c>
      <c r="B8035" s="140" t="s">
        <v>475</v>
      </c>
      <c r="C8035" s="140" t="s">
        <v>243</v>
      </c>
      <c r="D8035" s="140" t="s">
        <v>11</v>
      </c>
      <c r="E8035" s="140" t="s">
        <v>320</v>
      </c>
      <c r="F8035">
        <v>5038</v>
      </c>
      <c r="G8035" s="140" t="s">
        <v>476</v>
      </c>
      <c r="H8035">
        <v>0</v>
      </c>
      <c r="I8035" s="140" t="s">
        <v>17</v>
      </c>
    </row>
    <row r="8036" spans="1:9" hidden="1" x14ac:dyDescent="0.25">
      <c r="A8036">
        <v>2022</v>
      </c>
      <c r="B8036" s="140" t="s">
        <v>475</v>
      </c>
      <c r="C8036" s="140" t="s">
        <v>243</v>
      </c>
      <c r="D8036" s="140" t="s">
        <v>11</v>
      </c>
      <c r="E8036" s="140" t="s">
        <v>320</v>
      </c>
      <c r="F8036">
        <v>5171</v>
      </c>
      <c r="G8036" s="140" t="s">
        <v>476</v>
      </c>
      <c r="H8036">
        <v>0</v>
      </c>
      <c r="I8036" s="140" t="s">
        <v>17</v>
      </c>
    </row>
    <row r="8037" spans="1:9" hidden="1" x14ac:dyDescent="0.25">
      <c r="A8037">
        <v>2023</v>
      </c>
      <c r="B8037" s="140" t="s">
        <v>475</v>
      </c>
      <c r="C8037" s="140" t="s">
        <v>243</v>
      </c>
      <c r="D8037" s="140" t="s">
        <v>11</v>
      </c>
      <c r="E8037" s="140" t="s">
        <v>320</v>
      </c>
      <c r="F8037">
        <v>5461</v>
      </c>
      <c r="G8037" s="140" t="s">
        <v>476</v>
      </c>
      <c r="H8037">
        <v>0</v>
      </c>
      <c r="I8037" s="140" t="s">
        <v>17</v>
      </c>
    </row>
    <row r="8038" spans="1:9" hidden="1" x14ac:dyDescent="0.25">
      <c r="A8038">
        <v>2024</v>
      </c>
      <c r="B8038" s="140" t="s">
        <v>475</v>
      </c>
      <c r="C8038" s="140" t="s">
        <v>243</v>
      </c>
      <c r="D8038" s="140" t="s">
        <v>11</v>
      </c>
      <c r="E8038" s="140" t="s">
        <v>320</v>
      </c>
      <c r="F8038">
        <v>5516</v>
      </c>
      <c r="G8038" s="140" t="s">
        <v>476</v>
      </c>
      <c r="H8038">
        <v>0</v>
      </c>
      <c r="I8038" s="140" t="s">
        <v>17</v>
      </c>
    </row>
    <row r="8039" spans="1:9" hidden="1" x14ac:dyDescent="0.25">
      <c r="A8039">
        <v>2025</v>
      </c>
      <c r="B8039" s="140" t="s">
        <v>475</v>
      </c>
      <c r="C8039" s="140" t="s">
        <v>243</v>
      </c>
      <c r="D8039" s="140" t="s">
        <v>11</v>
      </c>
      <c r="E8039" s="140" t="s">
        <v>320</v>
      </c>
      <c r="F8039">
        <v>5480</v>
      </c>
      <c r="G8039" s="140" t="s">
        <v>476</v>
      </c>
      <c r="H8039">
        <v>0</v>
      </c>
      <c r="I8039" s="140" t="s">
        <v>17</v>
      </c>
    </row>
    <row r="8040" spans="1:9" hidden="1" x14ac:dyDescent="0.25">
      <c r="A8040">
        <v>2026</v>
      </c>
      <c r="B8040" s="140" t="s">
        <v>475</v>
      </c>
      <c r="C8040" s="140" t="s">
        <v>243</v>
      </c>
      <c r="D8040" s="140" t="s">
        <v>11</v>
      </c>
      <c r="E8040" s="140" t="s">
        <v>320</v>
      </c>
      <c r="F8040">
        <v>5589.6</v>
      </c>
      <c r="G8040" s="140" t="s">
        <v>476</v>
      </c>
      <c r="H8040">
        <v>0</v>
      </c>
      <c r="I8040" s="140" t="s">
        <v>17</v>
      </c>
    </row>
    <row r="8041" spans="1:9" hidden="1" x14ac:dyDescent="0.25">
      <c r="A8041">
        <v>2027</v>
      </c>
      <c r="B8041" s="140" t="s">
        <v>475</v>
      </c>
      <c r="C8041" s="140" t="s">
        <v>243</v>
      </c>
      <c r="D8041" s="140" t="s">
        <v>11</v>
      </c>
      <c r="E8041" s="140" t="s">
        <v>320</v>
      </c>
      <c r="F8041">
        <v>5701.3919999999998</v>
      </c>
      <c r="G8041" s="140" t="s">
        <v>476</v>
      </c>
      <c r="H8041">
        <v>0</v>
      </c>
      <c r="I8041" s="140" t="s">
        <v>17</v>
      </c>
    </row>
    <row r="8042" spans="1:9" hidden="1" x14ac:dyDescent="0.25">
      <c r="A8042">
        <v>2028</v>
      </c>
      <c r="B8042" s="140" t="s">
        <v>475</v>
      </c>
      <c r="C8042" s="140" t="s">
        <v>243</v>
      </c>
      <c r="D8042" s="140" t="s">
        <v>11</v>
      </c>
      <c r="E8042" s="140" t="s">
        <v>320</v>
      </c>
      <c r="F8042">
        <v>5815.4198399999996</v>
      </c>
      <c r="G8042" s="140" t="s">
        <v>476</v>
      </c>
      <c r="H8042">
        <v>0</v>
      </c>
      <c r="I8042" s="140" t="s">
        <v>17</v>
      </c>
    </row>
    <row r="8043" spans="1:9" hidden="1" x14ac:dyDescent="0.25">
      <c r="A8043">
        <v>1990</v>
      </c>
      <c r="B8043" s="140" t="s">
        <v>409</v>
      </c>
      <c r="C8043" s="140" t="s">
        <v>243</v>
      </c>
      <c r="D8043" s="140" t="s">
        <v>11</v>
      </c>
      <c r="E8043" s="140" t="s">
        <v>320</v>
      </c>
      <c r="F8043">
        <v>10</v>
      </c>
      <c r="G8043" s="140" t="s">
        <v>477</v>
      </c>
      <c r="H8043">
        <v>0</v>
      </c>
      <c r="I8043" s="140" t="s">
        <v>17</v>
      </c>
    </row>
    <row r="8044" spans="1:9" hidden="1" x14ac:dyDescent="0.25">
      <c r="A8044">
        <v>1991</v>
      </c>
      <c r="B8044" s="140" t="s">
        <v>409</v>
      </c>
      <c r="C8044" s="140" t="s">
        <v>243</v>
      </c>
      <c r="D8044" s="140" t="s">
        <v>11</v>
      </c>
      <c r="E8044" s="140" t="s">
        <v>320</v>
      </c>
      <c r="F8044">
        <v>11</v>
      </c>
      <c r="G8044" s="140" t="s">
        <v>477</v>
      </c>
      <c r="H8044">
        <v>0</v>
      </c>
      <c r="I8044" s="140" t="s">
        <v>17</v>
      </c>
    </row>
    <row r="8045" spans="1:9" hidden="1" x14ac:dyDescent="0.25">
      <c r="A8045">
        <v>1992</v>
      </c>
      <c r="B8045" s="140" t="s">
        <v>409</v>
      </c>
      <c r="C8045" s="140" t="s">
        <v>243</v>
      </c>
      <c r="D8045" s="140" t="s">
        <v>11</v>
      </c>
      <c r="E8045" s="140" t="s">
        <v>320</v>
      </c>
      <c r="F8045">
        <v>10</v>
      </c>
      <c r="G8045" s="140" t="s">
        <v>477</v>
      </c>
      <c r="H8045">
        <v>0</v>
      </c>
      <c r="I8045" s="140" t="s">
        <v>17</v>
      </c>
    </row>
    <row r="8046" spans="1:9" hidden="1" x14ac:dyDescent="0.25">
      <c r="A8046">
        <v>1993</v>
      </c>
      <c r="B8046" s="140" t="s">
        <v>409</v>
      </c>
      <c r="C8046" s="140" t="s">
        <v>243</v>
      </c>
      <c r="D8046" s="140" t="s">
        <v>11</v>
      </c>
      <c r="E8046" s="140" t="s">
        <v>320</v>
      </c>
      <c r="F8046">
        <v>12</v>
      </c>
      <c r="G8046" s="140" t="s">
        <v>477</v>
      </c>
      <c r="H8046">
        <v>0</v>
      </c>
      <c r="I8046" s="140" t="s">
        <v>17</v>
      </c>
    </row>
    <row r="8047" spans="1:9" hidden="1" x14ac:dyDescent="0.25">
      <c r="A8047">
        <v>1994</v>
      </c>
      <c r="B8047" s="140" t="s">
        <v>409</v>
      </c>
      <c r="C8047" s="140" t="s">
        <v>243</v>
      </c>
      <c r="D8047" s="140" t="s">
        <v>11</v>
      </c>
      <c r="E8047" s="140" t="s">
        <v>320</v>
      </c>
      <c r="F8047">
        <v>14</v>
      </c>
      <c r="G8047" s="140" t="s">
        <v>477</v>
      </c>
      <c r="H8047">
        <v>0</v>
      </c>
      <c r="I8047" s="140" t="s">
        <v>17</v>
      </c>
    </row>
    <row r="8048" spans="1:9" hidden="1" x14ac:dyDescent="0.25">
      <c r="A8048">
        <v>1995</v>
      </c>
      <c r="B8048" s="140" t="s">
        <v>409</v>
      </c>
      <c r="C8048" s="140" t="s">
        <v>243</v>
      </c>
      <c r="D8048" s="140" t="s">
        <v>11</v>
      </c>
      <c r="E8048" s="140" t="s">
        <v>320</v>
      </c>
      <c r="F8048">
        <v>16</v>
      </c>
      <c r="G8048" s="140" t="s">
        <v>477</v>
      </c>
      <c r="H8048">
        <v>0</v>
      </c>
      <c r="I8048" s="140" t="s">
        <v>17</v>
      </c>
    </row>
    <row r="8049" spans="1:9" hidden="1" x14ac:dyDescent="0.25">
      <c r="A8049">
        <v>1996</v>
      </c>
      <c r="B8049" s="140" t="s">
        <v>409</v>
      </c>
      <c r="C8049" s="140" t="s">
        <v>243</v>
      </c>
      <c r="D8049" s="140" t="s">
        <v>11</v>
      </c>
      <c r="E8049" s="140" t="s">
        <v>320</v>
      </c>
      <c r="F8049">
        <v>18</v>
      </c>
      <c r="G8049" s="140" t="s">
        <v>477</v>
      </c>
      <c r="H8049">
        <v>0</v>
      </c>
      <c r="I8049" s="140" t="s">
        <v>17</v>
      </c>
    </row>
    <row r="8050" spans="1:9" hidden="1" x14ac:dyDescent="0.25">
      <c r="A8050">
        <v>1997</v>
      </c>
      <c r="B8050" s="140" t="s">
        <v>409</v>
      </c>
      <c r="C8050" s="140" t="s">
        <v>243</v>
      </c>
      <c r="D8050" s="140" t="s">
        <v>11</v>
      </c>
      <c r="E8050" s="140" t="s">
        <v>320</v>
      </c>
      <c r="F8050">
        <v>18</v>
      </c>
      <c r="G8050" s="140" t="s">
        <v>477</v>
      </c>
      <c r="H8050">
        <v>0</v>
      </c>
      <c r="I8050" s="140" t="s">
        <v>17</v>
      </c>
    </row>
    <row r="8051" spans="1:9" hidden="1" x14ac:dyDescent="0.25">
      <c r="A8051">
        <v>1998</v>
      </c>
      <c r="B8051" s="140" t="s">
        <v>409</v>
      </c>
      <c r="C8051" s="140" t="s">
        <v>243</v>
      </c>
      <c r="D8051" s="140" t="s">
        <v>11</v>
      </c>
      <c r="E8051" s="140" t="s">
        <v>320</v>
      </c>
      <c r="F8051">
        <v>22</v>
      </c>
      <c r="G8051" s="140" t="s">
        <v>477</v>
      </c>
      <c r="H8051">
        <v>0</v>
      </c>
      <c r="I8051" s="140" t="s">
        <v>17</v>
      </c>
    </row>
    <row r="8052" spans="1:9" hidden="1" x14ac:dyDescent="0.25">
      <c r="A8052">
        <v>1999</v>
      </c>
      <c r="B8052" s="140" t="s">
        <v>409</v>
      </c>
      <c r="C8052" s="140" t="s">
        <v>243</v>
      </c>
      <c r="D8052" s="140" t="s">
        <v>11</v>
      </c>
      <c r="E8052" s="140" t="s">
        <v>320</v>
      </c>
      <c r="F8052">
        <v>23</v>
      </c>
      <c r="G8052" s="140" t="s">
        <v>477</v>
      </c>
      <c r="H8052">
        <v>0</v>
      </c>
      <c r="I8052" s="140" t="s">
        <v>17</v>
      </c>
    </row>
    <row r="8053" spans="1:9" hidden="1" x14ac:dyDescent="0.25">
      <c r="A8053">
        <v>2000</v>
      </c>
      <c r="B8053" s="140" t="s">
        <v>409</v>
      </c>
      <c r="C8053" s="140" t="s">
        <v>243</v>
      </c>
      <c r="D8053" s="140" t="s">
        <v>11</v>
      </c>
      <c r="E8053" s="140" t="s">
        <v>320</v>
      </c>
      <c r="F8053">
        <v>28</v>
      </c>
      <c r="G8053" s="140" t="s">
        <v>477</v>
      </c>
      <c r="H8053">
        <v>0</v>
      </c>
      <c r="I8053" s="140" t="s">
        <v>17</v>
      </c>
    </row>
    <row r="8054" spans="1:9" hidden="1" x14ac:dyDescent="0.25">
      <c r="A8054">
        <v>2001</v>
      </c>
      <c r="B8054" s="140" t="s">
        <v>409</v>
      </c>
      <c r="C8054" s="140" t="s">
        <v>243</v>
      </c>
      <c r="D8054" s="140" t="s">
        <v>11</v>
      </c>
      <c r="E8054" s="140" t="s">
        <v>320</v>
      </c>
      <c r="F8054">
        <v>37</v>
      </c>
      <c r="G8054" s="140" t="s">
        <v>477</v>
      </c>
      <c r="H8054">
        <v>0</v>
      </c>
      <c r="I8054" s="140" t="s">
        <v>17</v>
      </c>
    </row>
    <row r="8055" spans="1:9" hidden="1" x14ac:dyDescent="0.25">
      <c r="A8055">
        <v>2002</v>
      </c>
      <c r="B8055" s="140" t="s">
        <v>409</v>
      </c>
      <c r="C8055" s="140" t="s">
        <v>243</v>
      </c>
      <c r="D8055" s="140" t="s">
        <v>11</v>
      </c>
      <c r="E8055" s="140" t="s">
        <v>320</v>
      </c>
      <c r="F8055">
        <v>49</v>
      </c>
      <c r="G8055" s="140" t="s">
        <v>477</v>
      </c>
      <c r="H8055">
        <v>0</v>
      </c>
      <c r="I8055" s="140" t="s">
        <v>17</v>
      </c>
    </row>
    <row r="8056" spans="1:9" hidden="1" x14ac:dyDescent="0.25">
      <c r="A8056">
        <v>2003</v>
      </c>
      <c r="B8056" s="140" t="s">
        <v>409</v>
      </c>
      <c r="C8056" s="140" t="s">
        <v>243</v>
      </c>
      <c r="D8056" s="140" t="s">
        <v>11</v>
      </c>
      <c r="E8056" s="140" t="s">
        <v>320</v>
      </c>
      <c r="F8056">
        <v>103</v>
      </c>
      <c r="G8056" s="140" t="s">
        <v>477</v>
      </c>
      <c r="H8056">
        <v>0</v>
      </c>
      <c r="I8056" s="140" t="s">
        <v>17</v>
      </c>
    </row>
    <row r="8057" spans="1:9" hidden="1" x14ac:dyDescent="0.25">
      <c r="A8057">
        <v>2004</v>
      </c>
      <c r="B8057" s="140" t="s">
        <v>409</v>
      </c>
      <c r="C8057" s="140" t="s">
        <v>243</v>
      </c>
      <c r="D8057" s="140" t="s">
        <v>11</v>
      </c>
      <c r="E8057" s="140" t="s">
        <v>320</v>
      </c>
      <c r="F8057">
        <v>68</v>
      </c>
      <c r="G8057" s="140" t="s">
        <v>477</v>
      </c>
      <c r="H8057">
        <v>0</v>
      </c>
      <c r="I8057" s="140" t="s">
        <v>17</v>
      </c>
    </row>
    <row r="8058" spans="1:9" hidden="1" x14ac:dyDescent="0.25">
      <c r="A8058">
        <v>2005</v>
      </c>
      <c r="B8058" s="140" t="s">
        <v>409</v>
      </c>
      <c r="C8058" s="140" t="s">
        <v>243</v>
      </c>
      <c r="D8058" s="140" t="s">
        <v>11</v>
      </c>
      <c r="E8058" s="140" t="s">
        <v>320</v>
      </c>
      <c r="F8058">
        <v>87</v>
      </c>
      <c r="G8058" s="140" t="s">
        <v>477</v>
      </c>
      <c r="H8058">
        <v>0</v>
      </c>
      <c r="I8058" s="140" t="s">
        <v>17</v>
      </c>
    </row>
    <row r="8059" spans="1:9" hidden="1" x14ac:dyDescent="0.25">
      <c r="A8059">
        <v>2006</v>
      </c>
      <c r="B8059" s="140" t="s">
        <v>409</v>
      </c>
      <c r="C8059" s="140" t="s">
        <v>243</v>
      </c>
      <c r="D8059" s="140" t="s">
        <v>11</v>
      </c>
      <c r="E8059" s="140" t="s">
        <v>320</v>
      </c>
      <c r="F8059">
        <v>96</v>
      </c>
      <c r="G8059" s="140" t="s">
        <v>477</v>
      </c>
      <c r="H8059">
        <v>0</v>
      </c>
      <c r="I8059" s="140" t="s">
        <v>17</v>
      </c>
    </row>
    <row r="8060" spans="1:9" hidden="1" x14ac:dyDescent="0.25">
      <c r="A8060">
        <v>2007</v>
      </c>
      <c r="B8060" s="140" t="s">
        <v>409</v>
      </c>
      <c r="C8060" s="140" t="s">
        <v>243</v>
      </c>
      <c r="D8060" s="140" t="s">
        <v>11</v>
      </c>
      <c r="E8060" s="140" t="s">
        <v>320</v>
      </c>
      <c r="F8060">
        <v>124</v>
      </c>
      <c r="G8060" s="140" t="s">
        <v>477</v>
      </c>
      <c r="H8060">
        <v>0</v>
      </c>
      <c r="I8060" s="140" t="s">
        <v>17</v>
      </c>
    </row>
    <row r="8061" spans="1:9" hidden="1" x14ac:dyDescent="0.25">
      <c r="A8061">
        <v>2008</v>
      </c>
      <c r="B8061" s="140" t="s">
        <v>409</v>
      </c>
      <c r="C8061" s="140" t="s">
        <v>243</v>
      </c>
      <c r="D8061" s="140" t="s">
        <v>11</v>
      </c>
      <c r="E8061" s="140" t="s">
        <v>320</v>
      </c>
      <c r="F8061">
        <v>62</v>
      </c>
      <c r="G8061" s="140" t="s">
        <v>477</v>
      </c>
      <c r="H8061">
        <v>0</v>
      </c>
      <c r="I8061" s="140" t="s">
        <v>17</v>
      </c>
    </row>
    <row r="8062" spans="1:9" hidden="1" x14ac:dyDescent="0.25">
      <c r="A8062">
        <v>2009</v>
      </c>
      <c r="B8062" s="140" t="s">
        <v>409</v>
      </c>
      <c r="C8062" s="140" t="s">
        <v>243</v>
      </c>
      <c r="D8062" s="140" t="s">
        <v>11</v>
      </c>
      <c r="E8062" s="140" t="s">
        <v>320</v>
      </c>
      <c r="F8062">
        <v>75</v>
      </c>
      <c r="G8062" s="140" t="s">
        <v>477</v>
      </c>
      <c r="H8062">
        <v>0</v>
      </c>
      <c r="I8062" s="140" t="s">
        <v>17</v>
      </c>
    </row>
    <row r="8063" spans="1:9" hidden="1" x14ac:dyDescent="0.25">
      <c r="A8063">
        <v>2010</v>
      </c>
      <c r="B8063" s="140" t="s">
        <v>409</v>
      </c>
      <c r="C8063" s="140" t="s">
        <v>243</v>
      </c>
      <c r="D8063" s="140" t="s">
        <v>11</v>
      </c>
      <c r="E8063" s="140" t="s">
        <v>320</v>
      </c>
      <c r="F8063">
        <v>71</v>
      </c>
      <c r="G8063" s="140" t="s">
        <v>477</v>
      </c>
      <c r="H8063">
        <v>0</v>
      </c>
      <c r="I8063" s="140" t="s">
        <v>17</v>
      </c>
    </row>
    <row r="8064" spans="1:9" hidden="1" x14ac:dyDescent="0.25">
      <c r="A8064">
        <v>2011</v>
      </c>
      <c r="B8064" s="140" t="s">
        <v>409</v>
      </c>
      <c r="C8064" s="140" t="s">
        <v>243</v>
      </c>
      <c r="D8064" s="140" t="s">
        <v>11</v>
      </c>
      <c r="E8064" s="140" t="s">
        <v>320</v>
      </c>
      <c r="F8064">
        <v>44</v>
      </c>
      <c r="G8064" s="140" t="s">
        <v>477</v>
      </c>
      <c r="H8064">
        <v>0</v>
      </c>
      <c r="I8064" s="140" t="s">
        <v>17</v>
      </c>
    </row>
    <row r="8065" spans="1:9" hidden="1" x14ac:dyDescent="0.25">
      <c r="A8065">
        <v>2012</v>
      </c>
      <c r="B8065" s="140" t="s">
        <v>409</v>
      </c>
      <c r="C8065" s="140" t="s">
        <v>243</v>
      </c>
      <c r="D8065" s="140" t="s">
        <v>11</v>
      </c>
      <c r="E8065" s="140" t="s">
        <v>320</v>
      </c>
      <c r="F8065">
        <v>62</v>
      </c>
      <c r="G8065" s="140" t="s">
        <v>477</v>
      </c>
      <c r="H8065">
        <v>0</v>
      </c>
      <c r="I8065" s="140" t="s">
        <v>17</v>
      </c>
    </row>
    <row r="8066" spans="1:9" hidden="1" x14ac:dyDescent="0.25">
      <c r="A8066">
        <v>2013</v>
      </c>
      <c r="B8066" s="140" t="s">
        <v>409</v>
      </c>
      <c r="C8066" s="140" t="s">
        <v>243</v>
      </c>
      <c r="D8066" s="140" t="s">
        <v>11</v>
      </c>
      <c r="E8066" s="140" t="s">
        <v>320</v>
      </c>
      <c r="F8066">
        <v>77</v>
      </c>
      <c r="G8066" s="140" t="s">
        <v>477</v>
      </c>
      <c r="H8066">
        <v>0</v>
      </c>
      <c r="I8066" s="140" t="s">
        <v>17</v>
      </c>
    </row>
    <row r="8067" spans="1:9" hidden="1" x14ac:dyDescent="0.25">
      <c r="A8067">
        <v>2014</v>
      </c>
      <c r="B8067" s="140" t="s">
        <v>409</v>
      </c>
      <c r="C8067" s="140" t="s">
        <v>243</v>
      </c>
      <c r="D8067" s="140" t="s">
        <v>11</v>
      </c>
      <c r="E8067" s="140" t="s">
        <v>320</v>
      </c>
      <c r="F8067">
        <v>77</v>
      </c>
      <c r="G8067" s="140" t="s">
        <v>477</v>
      </c>
      <c r="H8067">
        <v>0</v>
      </c>
      <c r="I8067" s="140" t="s">
        <v>17</v>
      </c>
    </row>
    <row r="8068" spans="1:9" hidden="1" x14ac:dyDescent="0.25">
      <c r="A8068">
        <v>2015</v>
      </c>
      <c r="B8068" s="140" t="s">
        <v>409</v>
      </c>
      <c r="C8068" s="140" t="s">
        <v>243</v>
      </c>
      <c r="D8068" s="140" t="s">
        <v>11</v>
      </c>
      <c r="E8068" s="140" t="s">
        <v>320</v>
      </c>
      <c r="F8068">
        <v>77</v>
      </c>
      <c r="G8068" s="140" t="s">
        <v>477</v>
      </c>
      <c r="H8068">
        <v>0</v>
      </c>
      <c r="I8068" s="140" t="s">
        <v>17</v>
      </c>
    </row>
    <row r="8069" spans="1:9" hidden="1" x14ac:dyDescent="0.25">
      <c r="A8069">
        <v>2016</v>
      </c>
      <c r="B8069" s="140" t="s">
        <v>409</v>
      </c>
      <c r="C8069" s="140" t="s">
        <v>243</v>
      </c>
      <c r="D8069" s="140" t="s">
        <v>11</v>
      </c>
      <c r="E8069" s="140" t="s">
        <v>320</v>
      </c>
      <c r="F8069">
        <v>85</v>
      </c>
      <c r="G8069" s="140" t="s">
        <v>477</v>
      </c>
      <c r="H8069">
        <v>0</v>
      </c>
      <c r="I8069" s="140" t="s">
        <v>17</v>
      </c>
    </row>
    <row r="8070" spans="1:9" hidden="1" x14ac:dyDescent="0.25">
      <c r="A8070">
        <v>2017</v>
      </c>
      <c r="B8070" s="140" t="s">
        <v>409</v>
      </c>
      <c r="C8070" s="140" t="s">
        <v>243</v>
      </c>
      <c r="D8070" s="140" t="s">
        <v>11</v>
      </c>
      <c r="E8070" s="140" t="s">
        <v>320</v>
      </c>
      <c r="F8070">
        <v>105</v>
      </c>
      <c r="G8070" s="140" t="s">
        <v>477</v>
      </c>
      <c r="H8070">
        <v>0</v>
      </c>
      <c r="I8070" s="140" t="s">
        <v>17</v>
      </c>
    </row>
    <row r="8071" spans="1:9" hidden="1" x14ac:dyDescent="0.25">
      <c r="A8071">
        <v>2018</v>
      </c>
      <c r="B8071" s="140" t="s">
        <v>409</v>
      </c>
      <c r="C8071" s="140" t="s">
        <v>243</v>
      </c>
      <c r="D8071" s="140" t="s">
        <v>11</v>
      </c>
      <c r="E8071" s="140" t="s">
        <v>320</v>
      </c>
      <c r="F8071">
        <v>96</v>
      </c>
      <c r="G8071" s="140" t="s">
        <v>477</v>
      </c>
      <c r="H8071">
        <v>0</v>
      </c>
      <c r="I8071" s="140" t="s">
        <v>17</v>
      </c>
    </row>
    <row r="8072" spans="1:9" hidden="1" x14ac:dyDescent="0.25">
      <c r="A8072">
        <v>2019</v>
      </c>
      <c r="B8072" s="140" t="s">
        <v>409</v>
      </c>
      <c r="C8072" s="140" t="s">
        <v>243</v>
      </c>
      <c r="D8072" s="140" t="s">
        <v>11</v>
      </c>
      <c r="E8072" s="140" t="s">
        <v>320</v>
      </c>
      <c r="F8072">
        <v>87</v>
      </c>
      <c r="G8072" s="140" t="s">
        <v>477</v>
      </c>
      <c r="H8072">
        <v>0</v>
      </c>
      <c r="I8072" s="140" t="s">
        <v>17</v>
      </c>
    </row>
    <row r="8073" spans="1:9" hidden="1" x14ac:dyDescent="0.25">
      <c r="A8073">
        <v>2020</v>
      </c>
      <c r="B8073" s="140" t="s">
        <v>409</v>
      </c>
      <c r="C8073" s="140" t="s">
        <v>243</v>
      </c>
      <c r="D8073" s="140" t="s">
        <v>11</v>
      </c>
      <c r="E8073" s="140" t="s">
        <v>320</v>
      </c>
      <c r="F8073">
        <v>73</v>
      </c>
      <c r="G8073" s="140" t="s">
        <v>477</v>
      </c>
      <c r="H8073">
        <v>0</v>
      </c>
      <c r="I8073" s="140" t="s">
        <v>17</v>
      </c>
    </row>
    <row r="8074" spans="1:9" hidden="1" x14ac:dyDescent="0.25">
      <c r="A8074">
        <v>2021</v>
      </c>
      <c r="B8074" s="140" t="s">
        <v>409</v>
      </c>
      <c r="C8074" s="140" t="s">
        <v>243</v>
      </c>
      <c r="D8074" s="140" t="s">
        <v>11</v>
      </c>
      <c r="E8074" s="140" t="s">
        <v>320</v>
      </c>
      <c r="F8074">
        <v>124</v>
      </c>
      <c r="G8074" s="140" t="s">
        <v>477</v>
      </c>
      <c r="H8074">
        <v>0</v>
      </c>
      <c r="I8074" s="140" t="s">
        <v>17</v>
      </c>
    </row>
    <row r="8075" spans="1:9" hidden="1" x14ac:dyDescent="0.25">
      <c r="A8075">
        <v>2022</v>
      </c>
      <c r="B8075" s="140" t="s">
        <v>409</v>
      </c>
      <c r="C8075" s="140" t="s">
        <v>243</v>
      </c>
      <c r="D8075" s="140" t="s">
        <v>11</v>
      </c>
      <c r="E8075" s="140" t="s">
        <v>320</v>
      </c>
      <c r="F8075">
        <v>80</v>
      </c>
      <c r="G8075" s="140" t="s">
        <v>477</v>
      </c>
      <c r="H8075">
        <v>0</v>
      </c>
      <c r="I8075" s="140" t="s">
        <v>17</v>
      </c>
    </row>
    <row r="8076" spans="1:9" hidden="1" x14ac:dyDescent="0.25">
      <c r="A8076">
        <v>2023</v>
      </c>
      <c r="B8076" s="140" t="s">
        <v>409</v>
      </c>
      <c r="C8076" s="140" t="s">
        <v>243</v>
      </c>
      <c r="D8076" s="140" t="s">
        <v>11</v>
      </c>
      <c r="E8076" s="140" t="s">
        <v>320</v>
      </c>
      <c r="F8076">
        <v>119</v>
      </c>
      <c r="G8076" s="140" t="s">
        <v>477</v>
      </c>
      <c r="H8076">
        <v>0</v>
      </c>
      <c r="I8076" s="140" t="s">
        <v>17</v>
      </c>
    </row>
    <row r="8077" spans="1:9" hidden="1" x14ac:dyDescent="0.25">
      <c r="A8077">
        <v>2024</v>
      </c>
      <c r="B8077" s="140" t="s">
        <v>409</v>
      </c>
      <c r="C8077" s="140" t="s">
        <v>243</v>
      </c>
      <c r="D8077" s="140" t="s">
        <v>11</v>
      </c>
      <c r="E8077" s="140" t="s">
        <v>320</v>
      </c>
      <c r="F8077">
        <v>128</v>
      </c>
      <c r="G8077" s="140" t="s">
        <v>477</v>
      </c>
      <c r="H8077">
        <v>0</v>
      </c>
      <c r="I8077" s="140" t="s">
        <v>17</v>
      </c>
    </row>
    <row r="8078" spans="1:9" hidden="1" x14ac:dyDescent="0.25">
      <c r="A8078">
        <v>2025</v>
      </c>
      <c r="B8078" s="140" t="s">
        <v>409</v>
      </c>
      <c r="C8078" s="140" t="s">
        <v>243</v>
      </c>
      <c r="D8078" s="140" t="s">
        <v>11</v>
      </c>
      <c r="E8078" s="140" t="s">
        <v>320</v>
      </c>
      <c r="F8078">
        <v>128</v>
      </c>
      <c r="G8078" s="140" t="s">
        <v>477</v>
      </c>
      <c r="H8078">
        <v>0</v>
      </c>
      <c r="I8078" s="140" t="s">
        <v>17</v>
      </c>
    </row>
    <row r="8079" spans="1:9" hidden="1" x14ac:dyDescent="0.25">
      <c r="A8079">
        <v>2026</v>
      </c>
      <c r="B8079" s="140" t="s">
        <v>409</v>
      </c>
      <c r="C8079" s="140" t="s">
        <v>243</v>
      </c>
      <c r="D8079" s="140" t="s">
        <v>11</v>
      </c>
      <c r="E8079" s="140" t="s">
        <v>320</v>
      </c>
      <c r="F8079">
        <v>128</v>
      </c>
      <c r="G8079" s="140" t="s">
        <v>477</v>
      </c>
      <c r="H8079">
        <v>0</v>
      </c>
      <c r="I8079" s="140" t="s">
        <v>17</v>
      </c>
    </row>
    <row r="8080" spans="1:9" hidden="1" x14ac:dyDescent="0.25">
      <c r="A8080">
        <v>2027</v>
      </c>
      <c r="B8080" s="140" t="s">
        <v>409</v>
      </c>
      <c r="C8080" s="140" t="s">
        <v>243</v>
      </c>
      <c r="D8080" s="140" t="s">
        <v>11</v>
      </c>
      <c r="E8080" s="140" t="s">
        <v>320</v>
      </c>
      <c r="F8080">
        <v>128</v>
      </c>
      <c r="G8080" s="140" t="s">
        <v>477</v>
      </c>
      <c r="H8080">
        <v>0</v>
      </c>
      <c r="I8080" s="140" t="s">
        <v>17</v>
      </c>
    </row>
    <row r="8081" spans="1:9" hidden="1" x14ac:dyDescent="0.25">
      <c r="A8081">
        <v>2028</v>
      </c>
      <c r="B8081" s="140" t="s">
        <v>409</v>
      </c>
      <c r="C8081" s="140" t="s">
        <v>243</v>
      </c>
      <c r="D8081" s="140" t="s">
        <v>11</v>
      </c>
      <c r="E8081" s="140" t="s">
        <v>320</v>
      </c>
      <c r="F8081">
        <v>128</v>
      </c>
      <c r="G8081" s="140" t="s">
        <v>477</v>
      </c>
      <c r="H8081">
        <v>0</v>
      </c>
      <c r="I8081" s="140" t="s">
        <v>17</v>
      </c>
    </row>
    <row r="8082" spans="1:9" hidden="1" x14ac:dyDescent="0.25">
      <c r="A8082">
        <v>1990</v>
      </c>
      <c r="B8082" s="140" t="s">
        <v>478</v>
      </c>
      <c r="C8082" s="140" t="s">
        <v>243</v>
      </c>
      <c r="D8082" s="140" t="s">
        <v>11</v>
      </c>
      <c r="E8082" s="140" t="s">
        <v>320</v>
      </c>
      <c r="F8082">
        <v>55</v>
      </c>
      <c r="G8082" s="140" t="s">
        <v>479</v>
      </c>
      <c r="H8082">
        <v>0</v>
      </c>
      <c r="I8082" s="140" t="s">
        <v>17</v>
      </c>
    </row>
    <row r="8083" spans="1:9" hidden="1" x14ac:dyDescent="0.25">
      <c r="A8083">
        <v>1991</v>
      </c>
      <c r="B8083" s="140" t="s">
        <v>478</v>
      </c>
      <c r="C8083" s="140" t="s">
        <v>243</v>
      </c>
      <c r="D8083" s="140" t="s">
        <v>11</v>
      </c>
      <c r="E8083" s="140" t="s">
        <v>320</v>
      </c>
      <c r="F8083">
        <v>7</v>
      </c>
      <c r="G8083" s="140" t="s">
        <v>479</v>
      </c>
      <c r="H8083">
        <v>0</v>
      </c>
      <c r="I8083" s="140" t="s">
        <v>17</v>
      </c>
    </row>
    <row r="8084" spans="1:9" hidden="1" x14ac:dyDescent="0.25">
      <c r="A8084">
        <v>1992</v>
      </c>
      <c r="B8084" s="140" t="s">
        <v>478</v>
      </c>
      <c r="C8084" s="140" t="s">
        <v>243</v>
      </c>
      <c r="D8084" s="140" t="s">
        <v>11</v>
      </c>
      <c r="E8084" s="140" t="s">
        <v>320</v>
      </c>
      <c r="F8084">
        <v>3</v>
      </c>
      <c r="G8084" s="140" t="s">
        <v>479</v>
      </c>
      <c r="H8084">
        <v>0</v>
      </c>
      <c r="I8084" s="140" t="s">
        <v>17</v>
      </c>
    </row>
    <row r="8085" spans="1:9" hidden="1" x14ac:dyDescent="0.25">
      <c r="A8085">
        <v>1993</v>
      </c>
      <c r="B8085" s="140" t="s">
        <v>478</v>
      </c>
      <c r="C8085" s="140" t="s">
        <v>243</v>
      </c>
      <c r="D8085" s="140" t="s">
        <v>11</v>
      </c>
      <c r="E8085" s="140" t="s">
        <v>320</v>
      </c>
      <c r="F8085">
        <v>3</v>
      </c>
      <c r="G8085" s="140" t="s">
        <v>479</v>
      </c>
      <c r="H8085">
        <v>0</v>
      </c>
      <c r="I8085" s="140" t="s">
        <v>17</v>
      </c>
    </row>
    <row r="8086" spans="1:9" hidden="1" x14ac:dyDescent="0.25">
      <c r="A8086">
        <v>1994</v>
      </c>
      <c r="B8086" s="140" t="s">
        <v>478</v>
      </c>
      <c r="C8086" s="140" t="s">
        <v>243</v>
      </c>
      <c r="D8086" s="140" t="s">
        <v>11</v>
      </c>
      <c r="E8086" s="140" t="s">
        <v>320</v>
      </c>
      <c r="F8086">
        <v>7</v>
      </c>
      <c r="G8086" s="140" t="s">
        <v>479</v>
      </c>
      <c r="H8086">
        <v>0</v>
      </c>
      <c r="I8086" s="140" t="s">
        <v>17</v>
      </c>
    </row>
    <row r="8087" spans="1:9" hidden="1" x14ac:dyDescent="0.25">
      <c r="A8087">
        <v>1995</v>
      </c>
      <c r="B8087" s="140" t="s">
        <v>478</v>
      </c>
      <c r="C8087" s="140" t="s">
        <v>243</v>
      </c>
      <c r="D8087" s="140" t="s">
        <v>11</v>
      </c>
      <c r="E8087" s="140" t="s">
        <v>320</v>
      </c>
      <c r="F8087">
        <v>10</v>
      </c>
      <c r="G8087" s="140" t="s">
        <v>479</v>
      </c>
      <c r="H8087">
        <v>0</v>
      </c>
      <c r="I8087" s="140" t="s">
        <v>17</v>
      </c>
    </row>
    <row r="8088" spans="1:9" hidden="1" x14ac:dyDescent="0.25">
      <c r="A8088">
        <v>1996</v>
      </c>
      <c r="B8088" s="140" t="s">
        <v>478</v>
      </c>
      <c r="C8088" s="140" t="s">
        <v>243</v>
      </c>
      <c r="D8088" s="140" t="s">
        <v>11</v>
      </c>
      <c r="E8088" s="140" t="s">
        <v>320</v>
      </c>
      <c r="F8088">
        <v>4</v>
      </c>
      <c r="G8088" s="140" t="s">
        <v>479</v>
      </c>
      <c r="H8088">
        <v>0</v>
      </c>
      <c r="I8088" s="140" t="s">
        <v>17</v>
      </c>
    </row>
    <row r="8089" spans="1:9" hidden="1" x14ac:dyDescent="0.25">
      <c r="A8089">
        <v>1997</v>
      </c>
      <c r="B8089" s="140" t="s">
        <v>478</v>
      </c>
      <c r="C8089" s="140" t="s">
        <v>243</v>
      </c>
      <c r="D8089" s="140" t="s">
        <v>11</v>
      </c>
      <c r="E8089" s="140" t="s">
        <v>320</v>
      </c>
      <c r="F8089">
        <v>5</v>
      </c>
      <c r="G8089" s="140" t="s">
        <v>479</v>
      </c>
      <c r="H8089">
        <v>0</v>
      </c>
      <c r="I8089" s="140" t="s">
        <v>17</v>
      </c>
    </row>
    <row r="8090" spans="1:9" hidden="1" x14ac:dyDescent="0.25">
      <c r="A8090">
        <v>1998</v>
      </c>
      <c r="B8090" s="140" t="s">
        <v>478</v>
      </c>
      <c r="C8090" s="140" t="s">
        <v>243</v>
      </c>
      <c r="D8090" s="140" t="s">
        <v>11</v>
      </c>
      <c r="E8090" s="140" t="s">
        <v>320</v>
      </c>
      <c r="F8090">
        <v>5</v>
      </c>
      <c r="G8090" s="140" t="s">
        <v>479</v>
      </c>
      <c r="H8090">
        <v>0</v>
      </c>
      <c r="I8090" s="140" t="s">
        <v>17</v>
      </c>
    </row>
    <row r="8091" spans="1:9" hidden="1" x14ac:dyDescent="0.25">
      <c r="A8091">
        <v>1999</v>
      </c>
      <c r="B8091" s="140" t="s">
        <v>478</v>
      </c>
      <c r="C8091" s="140" t="s">
        <v>243</v>
      </c>
      <c r="D8091" s="140" t="s">
        <v>11</v>
      </c>
      <c r="E8091" s="140" t="s">
        <v>320</v>
      </c>
      <c r="F8091">
        <v>7</v>
      </c>
      <c r="G8091" s="140" t="s">
        <v>479</v>
      </c>
      <c r="H8091">
        <v>0</v>
      </c>
      <c r="I8091" s="140" t="s">
        <v>17</v>
      </c>
    </row>
    <row r="8092" spans="1:9" hidden="1" x14ac:dyDescent="0.25">
      <c r="A8092">
        <v>2000</v>
      </c>
      <c r="B8092" s="140" t="s">
        <v>478</v>
      </c>
      <c r="C8092" s="140" t="s">
        <v>243</v>
      </c>
      <c r="D8092" s="140" t="s">
        <v>11</v>
      </c>
      <c r="E8092" s="140" t="s">
        <v>320</v>
      </c>
      <c r="F8092">
        <v>8</v>
      </c>
      <c r="G8092" s="140" t="s">
        <v>479</v>
      </c>
      <c r="H8092">
        <v>0</v>
      </c>
      <c r="I8092" s="140" t="s">
        <v>17</v>
      </c>
    </row>
    <row r="8093" spans="1:9" hidden="1" x14ac:dyDescent="0.25">
      <c r="A8093">
        <v>2001</v>
      </c>
      <c r="B8093" s="140" t="s">
        <v>478</v>
      </c>
      <c r="C8093" s="140" t="s">
        <v>243</v>
      </c>
      <c r="D8093" s="140" t="s">
        <v>11</v>
      </c>
      <c r="E8093" s="140" t="s">
        <v>320</v>
      </c>
      <c r="F8093">
        <v>9</v>
      </c>
      <c r="G8093" s="140" t="s">
        <v>479</v>
      </c>
      <c r="H8093">
        <v>0</v>
      </c>
      <c r="I8093" s="140" t="s">
        <v>17</v>
      </c>
    </row>
    <row r="8094" spans="1:9" hidden="1" x14ac:dyDescent="0.25">
      <c r="A8094">
        <v>2002</v>
      </c>
      <c r="B8094" s="140" t="s">
        <v>478</v>
      </c>
      <c r="C8094" s="140" t="s">
        <v>243</v>
      </c>
      <c r="D8094" s="140" t="s">
        <v>11</v>
      </c>
      <c r="E8094" s="140" t="s">
        <v>320</v>
      </c>
      <c r="F8094">
        <v>10</v>
      </c>
      <c r="G8094" s="140" t="s">
        <v>479</v>
      </c>
      <c r="H8094">
        <v>0</v>
      </c>
      <c r="I8094" s="140" t="s">
        <v>17</v>
      </c>
    </row>
    <row r="8095" spans="1:9" hidden="1" x14ac:dyDescent="0.25">
      <c r="A8095">
        <v>2003</v>
      </c>
      <c r="B8095" s="140" t="s">
        <v>478</v>
      </c>
      <c r="C8095" s="140" t="s">
        <v>243</v>
      </c>
      <c r="D8095" s="140" t="s">
        <v>11</v>
      </c>
      <c r="E8095" s="140" t="s">
        <v>320</v>
      </c>
      <c r="F8095">
        <v>8</v>
      </c>
      <c r="G8095" s="140" t="s">
        <v>479</v>
      </c>
      <c r="H8095">
        <v>0</v>
      </c>
      <c r="I8095" s="140" t="s">
        <v>17</v>
      </c>
    </row>
    <row r="8096" spans="1:9" hidden="1" x14ac:dyDescent="0.25">
      <c r="A8096">
        <v>2004</v>
      </c>
      <c r="B8096" s="140" t="s">
        <v>478</v>
      </c>
      <c r="C8096" s="140" t="s">
        <v>243</v>
      </c>
      <c r="D8096" s="140" t="s">
        <v>11</v>
      </c>
      <c r="E8096" s="140" t="s">
        <v>320</v>
      </c>
      <c r="F8096">
        <v>9</v>
      </c>
      <c r="G8096" s="140" t="s">
        <v>479</v>
      </c>
      <c r="H8096">
        <v>0</v>
      </c>
      <c r="I8096" s="140" t="s">
        <v>17</v>
      </c>
    </row>
    <row r="8097" spans="1:9" hidden="1" x14ac:dyDescent="0.25">
      <c r="A8097">
        <v>2005</v>
      </c>
      <c r="B8097" s="140" t="s">
        <v>478</v>
      </c>
      <c r="C8097" s="140" t="s">
        <v>243</v>
      </c>
      <c r="D8097" s="140" t="s">
        <v>11</v>
      </c>
      <c r="E8097" s="140" t="s">
        <v>320</v>
      </c>
      <c r="F8097">
        <v>9</v>
      </c>
      <c r="G8097" s="140" t="s">
        <v>479</v>
      </c>
      <c r="H8097">
        <v>0</v>
      </c>
      <c r="I8097" s="140" t="s">
        <v>17</v>
      </c>
    </row>
    <row r="8098" spans="1:9" hidden="1" x14ac:dyDescent="0.25">
      <c r="A8098">
        <v>2006</v>
      </c>
      <c r="B8098" s="140" t="s">
        <v>478</v>
      </c>
      <c r="C8098" s="140" t="s">
        <v>243</v>
      </c>
      <c r="D8098" s="140" t="s">
        <v>11</v>
      </c>
      <c r="E8098" s="140" t="s">
        <v>320</v>
      </c>
      <c r="F8098">
        <v>9</v>
      </c>
      <c r="G8098" s="140" t="s">
        <v>479</v>
      </c>
      <c r="H8098">
        <v>0</v>
      </c>
      <c r="I8098" s="140" t="s">
        <v>17</v>
      </c>
    </row>
    <row r="8099" spans="1:9" hidden="1" x14ac:dyDescent="0.25">
      <c r="A8099">
        <v>2007</v>
      </c>
      <c r="B8099" s="140" t="s">
        <v>478</v>
      </c>
      <c r="C8099" s="140" t="s">
        <v>243</v>
      </c>
      <c r="D8099" s="140" t="s">
        <v>11</v>
      </c>
      <c r="E8099" s="140" t="s">
        <v>320</v>
      </c>
      <c r="F8099">
        <v>9</v>
      </c>
      <c r="G8099" s="140" t="s">
        <v>479</v>
      </c>
      <c r="H8099">
        <v>0</v>
      </c>
      <c r="I8099" s="140" t="s">
        <v>17</v>
      </c>
    </row>
    <row r="8100" spans="1:9" hidden="1" x14ac:dyDescent="0.25">
      <c r="A8100">
        <v>2008</v>
      </c>
      <c r="B8100" s="140" t="s">
        <v>478</v>
      </c>
      <c r="C8100" s="140" t="s">
        <v>243</v>
      </c>
      <c r="D8100" s="140" t="s">
        <v>11</v>
      </c>
      <c r="E8100" s="140" t="s">
        <v>320</v>
      </c>
      <c r="F8100">
        <v>10</v>
      </c>
      <c r="G8100" s="140" t="s">
        <v>479</v>
      </c>
      <c r="H8100">
        <v>0</v>
      </c>
      <c r="I8100" s="140" t="s">
        <v>17</v>
      </c>
    </row>
    <row r="8101" spans="1:9" hidden="1" x14ac:dyDescent="0.25">
      <c r="A8101">
        <v>2009</v>
      </c>
      <c r="B8101" s="140" t="s">
        <v>478</v>
      </c>
      <c r="C8101" s="140" t="s">
        <v>243</v>
      </c>
      <c r="D8101" s="140" t="s">
        <v>11</v>
      </c>
      <c r="E8101" s="140" t="s">
        <v>320</v>
      </c>
      <c r="F8101">
        <v>10</v>
      </c>
      <c r="G8101" s="140" t="s">
        <v>479</v>
      </c>
      <c r="H8101">
        <v>0</v>
      </c>
      <c r="I8101" s="140" t="s">
        <v>17</v>
      </c>
    </row>
    <row r="8102" spans="1:9" hidden="1" x14ac:dyDescent="0.25">
      <c r="A8102">
        <v>2010</v>
      </c>
      <c r="B8102" s="140" t="s">
        <v>478</v>
      </c>
      <c r="C8102" s="140" t="s">
        <v>243</v>
      </c>
      <c r="D8102" s="140" t="s">
        <v>11</v>
      </c>
      <c r="E8102" s="140" t="s">
        <v>320</v>
      </c>
      <c r="F8102">
        <v>10</v>
      </c>
      <c r="G8102" s="140" t="s">
        <v>479</v>
      </c>
      <c r="H8102">
        <v>0</v>
      </c>
      <c r="I8102" s="140" t="s">
        <v>17</v>
      </c>
    </row>
    <row r="8103" spans="1:9" hidden="1" x14ac:dyDescent="0.25">
      <c r="A8103">
        <v>2011</v>
      </c>
      <c r="B8103" s="140" t="s">
        <v>478</v>
      </c>
      <c r="C8103" s="140" t="s">
        <v>243</v>
      </c>
      <c r="D8103" s="140" t="s">
        <v>11</v>
      </c>
      <c r="E8103" s="140" t="s">
        <v>320</v>
      </c>
      <c r="F8103">
        <v>12</v>
      </c>
      <c r="G8103" s="140" t="s">
        <v>479</v>
      </c>
      <c r="H8103">
        <v>0</v>
      </c>
      <c r="I8103" s="140" t="s">
        <v>17</v>
      </c>
    </row>
    <row r="8104" spans="1:9" hidden="1" x14ac:dyDescent="0.25">
      <c r="A8104">
        <v>2012</v>
      </c>
      <c r="B8104" s="140" t="s">
        <v>478</v>
      </c>
      <c r="C8104" s="140" t="s">
        <v>243</v>
      </c>
      <c r="D8104" s="140" t="s">
        <v>11</v>
      </c>
      <c r="E8104" s="140" t="s">
        <v>320</v>
      </c>
      <c r="F8104">
        <v>12</v>
      </c>
      <c r="G8104" s="140" t="s">
        <v>479</v>
      </c>
      <c r="H8104">
        <v>0</v>
      </c>
      <c r="I8104" s="140" t="s">
        <v>17</v>
      </c>
    </row>
    <row r="8105" spans="1:9" hidden="1" x14ac:dyDescent="0.25">
      <c r="A8105">
        <v>2013</v>
      </c>
      <c r="B8105" s="140" t="s">
        <v>478</v>
      </c>
      <c r="C8105" s="140" t="s">
        <v>243</v>
      </c>
      <c r="D8105" s="140" t="s">
        <v>11</v>
      </c>
      <c r="E8105" s="140" t="s">
        <v>320</v>
      </c>
      <c r="F8105">
        <v>15</v>
      </c>
      <c r="G8105" s="140" t="s">
        <v>479</v>
      </c>
      <c r="H8105">
        <v>0</v>
      </c>
      <c r="I8105" s="140" t="s">
        <v>17</v>
      </c>
    </row>
    <row r="8106" spans="1:9" hidden="1" x14ac:dyDescent="0.25">
      <c r="A8106">
        <v>2014</v>
      </c>
      <c r="B8106" s="140" t="s">
        <v>478</v>
      </c>
      <c r="C8106" s="140" t="s">
        <v>243</v>
      </c>
      <c r="D8106" s="140" t="s">
        <v>11</v>
      </c>
      <c r="E8106" s="140" t="s">
        <v>320</v>
      </c>
      <c r="F8106">
        <v>13</v>
      </c>
      <c r="G8106" s="140" t="s">
        <v>479</v>
      </c>
      <c r="H8106">
        <v>0</v>
      </c>
      <c r="I8106" s="140" t="s">
        <v>17</v>
      </c>
    </row>
    <row r="8107" spans="1:9" hidden="1" x14ac:dyDescent="0.25">
      <c r="A8107">
        <v>2015</v>
      </c>
      <c r="B8107" s="140" t="s">
        <v>478</v>
      </c>
      <c r="C8107" s="140" t="s">
        <v>243</v>
      </c>
      <c r="D8107" s="140" t="s">
        <v>11</v>
      </c>
      <c r="E8107" s="140" t="s">
        <v>320</v>
      </c>
      <c r="F8107">
        <v>13</v>
      </c>
      <c r="G8107" s="140" t="s">
        <v>479</v>
      </c>
      <c r="H8107">
        <v>0</v>
      </c>
      <c r="I8107" s="140" t="s">
        <v>17</v>
      </c>
    </row>
    <row r="8108" spans="1:9" hidden="1" x14ac:dyDescent="0.25">
      <c r="A8108">
        <v>2016</v>
      </c>
      <c r="B8108" s="140" t="s">
        <v>478</v>
      </c>
      <c r="C8108" s="140" t="s">
        <v>243</v>
      </c>
      <c r="D8108" s="140" t="s">
        <v>11</v>
      </c>
      <c r="E8108" s="140" t="s">
        <v>320</v>
      </c>
      <c r="F8108">
        <v>13</v>
      </c>
      <c r="G8108" s="140" t="s">
        <v>479</v>
      </c>
      <c r="H8108">
        <v>0</v>
      </c>
      <c r="I8108" s="140" t="s">
        <v>17</v>
      </c>
    </row>
    <row r="8109" spans="1:9" hidden="1" x14ac:dyDescent="0.25">
      <c r="A8109">
        <v>2017</v>
      </c>
      <c r="B8109" s="140" t="s">
        <v>478</v>
      </c>
      <c r="C8109" s="140" t="s">
        <v>243</v>
      </c>
      <c r="D8109" s="140" t="s">
        <v>11</v>
      </c>
      <c r="E8109" s="140" t="s">
        <v>320</v>
      </c>
      <c r="F8109">
        <v>13</v>
      </c>
      <c r="G8109" s="140" t="s">
        <v>479</v>
      </c>
      <c r="H8109">
        <v>0</v>
      </c>
      <c r="I8109" s="140" t="s">
        <v>17</v>
      </c>
    </row>
    <row r="8110" spans="1:9" hidden="1" x14ac:dyDescent="0.25">
      <c r="A8110">
        <v>2018</v>
      </c>
      <c r="B8110" s="140" t="s">
        <v>478</v>
      </c>
      <c r="C8110" s="140" t="s">
        <v>243</v>
      </c>
      <c r="D8110" s="140" t="s">
        <v>11</v>
      </c>
      <c r="E8110" s="140" t="s">
        <v>320</v>
      </c>
      <c r="F8110">
        <v>13</v>
      </c>
      <c r="G8110" s="140" t="s">
        <v>479</v>
      </c>
      <c r="H8110">
        <v>0</v>
      </c>
      <c r="I8110" s="140" t="s">
        <v>17</v>
      </c>
    </row>
    <row r="8111" spans="1:9" hidden="1" x14ac:dyDescent="0.25">
      <c r="A8111">
        <v>2019</v>
      </c>
      <c r="B8111" s="140" t="s">
        <v>478</v>
      </c>
      <c r="C8111" s="140" t="s">
        <v>243</v>
      </c>
      <c r="D8111" s="140" t="s">
        <v>11</v>
      </c>
      <c r="E8111" s="140" t="s">
        <v>320</v>
      </c>
      <c r="F8111">
        <v>13</v>
      </c>
      <c r="G8111" s="140" t="s">
        <v>479</v>
      </c>
      <c r="H8111">
        <v>0</v>
      </c>
      <c r="I8111" s="140" t="s">
        <v>17</v>
      </c>
    </row>
    <row r="8112" spans="1:9" hidden="1" x14ac:dyDescent="0.25">
      <c r="A8112">
        <v>2020</v>
      </c>
      <c r="B8112" s="140" t="s">
        <v>478</v>
      </c>
      <c r="C8112" s="140" t="s">
        <v>243</v>
      </c>
      <c r="D8112" s="140" t="s">
        <v>11</v>
      </c>
      <c r="E8112" s="140" t="s">
        <v>320</v>
      </c>
      <c r="F8112">
        <v>13</v>
      </c>
      <c r="G8112" s="140" t="s">
        <v>479</v>
      </c>
      <c r="H8112">
        <v>0</v>
      </c>
      <c r="I8112" s="140" t="s">
        <v>17</v>
      </c>
    </row>
    <row r="8113" spans="1:9" hidden="1" x14ac:dyDescent="0.25">
      <c r="A8113">
        <v>2021</v>
      </c>
      <c r="B8113" s="140" t="s">
        <v>478</v>
      </c>
      <c r="C8113" s="140" t="s">
        <v>243</v>
      </c>
      <c r="D8113" s="140" t="s">
        <v>11</v>
      </c>
      <c r="E8113" s="140" t="s">
        <v>320</v>
      </c>
      <c r="F8113">
        <v>13</v>
      </c>
      <c r="G8113" s="140" t="s">
        <v>479</v>
      </c>
      <c r="H8113">
        <v>0</v>
      </c>
      <c r="I8113" s="140" t="s">
        <v>17</v>
      </c>
    </row>
    <row r="8114" spans="1:9" hidden="1" x14ac:dyDescent="0.25">
      <c r="A8114">
        <v>2022</v>
      </c>
      <c r="B8114" s="140" t="s">
        <v>478</v>
      </c>
      <c r="C8114" s="140" t="s">
        <v>243</v>
      </c>
      <c r="D8114" s="140" t="s">
        <v>11</v>
      </c>
      <c r="E8114" s="140" t="s">
        <v>320</v>
      </c>
      <c r="F8114">
        <v>13</v>
      </c>
      <c r="G8114" s="140" t="s">
        <v>479</v>
      </c>
      <c r="H8114">
        <v>0</v>
      </c>
      <c r="I8114" s="140" t="s">
        <v>17</v>
      </c>
    </row>
    <row r="8115" spans="1:9" hidden="1" x14ac:dyDescent="0.25">
      <c r="A8115">
        <v>2023</v>
      </c>
      <c r="B8115" s="140" t="s">
        <v>478</v>
      </c>
      <c r="C8115" s="140" t="s">
        <v>243</v>
      </c>
      <c r="D8115" s="140" t="s">
        <v>11</v>
      </c>
      <c r="E8115" s="140" t="s">
        <v>320</v>
      </c>
      <c r="F8115">
        <v>13</v>
      </c>
      <c r="G8115" s="140" t="s">
        <v>479</v>
      </c>
      <c r="H8115">
        <v>0</v>
      </c>
      <c r="I8115" s="140" t="s">
        <v>17</v>
      </c>
    </row>
    <row r="8116" spans="1:9" hidden="1" x14ac:dyDescent="0.25">
      <c r="A8116">
        <v>2024</v>
      </c>
      <c r="B8116" s="140" t="s">
        <v>478</v>
      </c>
      <c r="C8116" s="140" t="s">
        <v>243</v>
      </c>
      <c r="D8116" s="140" t="s">
        <v>11</v>
      </c>
      <c r="E8116" s="140" t="s">
        <v>320</v>
      </c>
      <c r="F8116">
        <v>13</v>
      </c>
      <c r="G8116" s="140" t="s">
        <v>479</v>
      </c>
      <c r="H8116">
        <v>0</v>
      </c>
      <c r="I8116" s="140" t="s">
        <v>17</v>
      </c>
    </row>
    <row r="8117" spans="1:9" hidden="1" x14ac:dyDescent="0.25">
      <c r="A8117">
        <v>2025</v>
      </c>
      <c r="B8117" s="140" t="s">
        <v>478</v>
      </c>
      <c r="C8117" s="140" t="s">
        <v>243</v>
      </c>
      <c r="D8117" s="140" t="s">
        <v>11</v>
      </c>
      <c r="E8117" s="140" t="s">
        <v>320</v>
      </c>
      <c r="F8117">
        <v>14</v>
      </c>
      <c r="G8117" s="140" t="s">
        <v>479</v>
      </c>
      <c r="H8117">
        <v>0</v>
      </c>
      <c r="I8117" s="140" t="s">
        <v>17</v>
      </c>
    </row>
    <row r="8118" spans="1:9" hidden="1" x14ac:dyDescent="0.25">
      <c r="A8118">
        <v>2026</v>
      </c>
      <c r="B8118" s="140" t="s">
        <v>478</v>
      </c>
      <c r="C8118" s="140" t="s">
        <v>243</v>
      </c>
      <c r="D8118" s="140" t="s">
        <v>11</v>
      </c>
      <c r="E8118" s="140" t="s">
        <v>320</v>
      </c>
      <c r="F8118">
        <v>14</v>
      </c>
      <c r="G8118" s="140" t="s">
        <v>479</v>
      </c>
      <c r="H8118">
        <v>0</v>
      </c>
      <c r="I8118" s="140" t="s">
        <v>17</v>
      </c>
    </row>
    <row r="8119" spans="1:9" hidden="1" x14ac:dyDescent="0.25">
      <c r="A8119">
        <v>2027</v>
      </c>
      <c r="B8119" s="140" t="s">
        <v>478</v>
      </c>
      <c r="C8119" s="140" t="s">
        <v>243</v>
      </c>
      <c r="D8119" s="140" t="s">
        <v>11</v>
      </c>
      <c r="E8119" s="140" t="s">
        <v>320</v>
      </c>
      <c r="F8119">
        <v>14</v>
      </c>
      <c r="G8119" s="140" t="s">
        <v>479</v>
      </c>
      <c r="H8119">
        <v>0</v>
      </c>
      <c r="I8119" s="140" t="s">
        <v>17</v>
      </c>
    </row>
    <row r="8120" spans="1:9" hidden="1" x14ac:dyDescent="0.25">
      <c r="A8120">
        <v>2028</v>
      </c>
      <c r="B8120" s="140" t="s">
        <v>478</v>
      </c>
      <c r="C8120" s="140" t="s">
        <v>243</v>
      </c>
      <c r="D8120" s="140" t="s">
        <v>11</v>
      </c>
      <c r="E8120" s="140" t="s">
        <v>320</v>
      </c>
      <c r="F8120">
        <v>14</v>
      </c>
      <c r="G8120" s="140" t="s">
        <v>479</v>
      </c>
      <c r="H8120">
        <v>0</v>
      </c>
      <c r="I8120" s="140" t="s">
        <v>17</v>
      </c>
    </row>
    <row r="8121" spans="1:9" hidden="1" x14ac:dyDescent="0.25">
      <c r="A8121">
        <v>1990</v>
      </c>
      <c r="B8121" s="140" t="s">
        <v>480</v>
      </c>
      <c r="C8121" s="140" t="s">
        <v>243</v>
      </c>
      <c r="D8121" s="140" t="s">
        <v>11</v>
      </c>
      <c r="E8121" s="140" t="s">
        <v>320</v>
      </c>
      <c r="F8121">
        <v>157</v>
      </c>
      <c r="G8121" s="140" t="s">
        <v>481</v>
      </c>
      <c r="H8121">
        <v>0</v>
      </c>
      <c r="I8121" s="140" t="s">
        <v>17</v>
      </c>
    </row>
    <row r="8122" spans="1:9" hidden="1" x14ac:dyDescent="0.25">
      <c r="A8122">
        <v>1991</v>
      </c>
      <c r="B8122" s="140" t="s">
        <v>480</v>
      </c>
      <c r="C8122" s="140" t="s">
        <v>243</v>
      </c>
      <c r="D8122" s="140" t="s">
        <v>11</v>
      </c>
      <c r="E8122" s="140" t="s">
        <v>320</v>
      </c>
      <c r="F8122">
        <v>167</v>
      </c>
      <c r="G8122" s="140" t="s">
        <v>481</v>
      </c>
      <c r="H8122">
        <v>0</v>
      </c>
      <c r="I8122" s="140" t="s">
        <v>17</v>
      </c>
    </row>
    <row r="8123" spans="1:9" hidden="1" x14ac:dyDescent="0.25">
      <c r="A8123">
        <v>1992</v>
      </c>
      <c r="B8123" s="140" t="s">
        <v>480</v>
      </c>
      <c r="C8123" s="140" t="s">
        <v>243</v>
      </c>
      <c r="D8123" s="140" t="s">
        <v>11</v>
      </c>
      <c r="E8123" s="140" t="s">
        <v>320</v>
      </c>
      <c r="F8123">
        <v>193</v>
      </c>
      <c r="G8123" s="140" t="s">
        <v>481</v>
      </c>
      <c r="H8123">
        <v>0</v>
      </c>
      <c r="I8123" s="140" t="s">
        <v>17</v>
      </c>
    </row>
    <row r="8124" spans="1:9" hidden="1" x14ac:dyDescent="0.25">
      <c r="A8124">
        <v>1993</v>
      </c>
      <c r="B8124" s="140" t="s">
        <v>480</v>
      </c>
      <c r="C8124" s="140" t="s">
        <v>243</v>
      </c>
      <c r="D8124" s="140" t="s">
        <v>11</v>
      </c>
      <c r="E8124" s="140" t="s">
        <v>320</v>
      </c>
      <c r="F8124">
        <v>175</v>
      </c>
      <c r="G8124" s="140" t="s">
        <v>481</v>
      </c>
      <c r="H8124">
        <v>0</v>
      </c>
      <c r="I8124" s="140" t="s">
        <v>17</v>
      </c>
    </row>
    <row r="8125" spans="1:9" hidden="1" x14ac:dyDescent="0.25">
      <c r="A8125">
        <v>1994</v>
      </c>
      <c r="B8125" s="140" t="s">
        <v>480</v>
      </c>
      <c r="C8125" s="140" t="s">
        <v>243</v>
      </c>
      <c r="D8125" s="140" t="s">
        <v>11</v>
      </c>
      <c r="E8125" s="140" t="s">
        <v>320</v>
      </c>
      <c r="F8125">
        <v>146</v>
      </c>
      <c r="G8125" s="140" t="s">
        <v>481</v>
      </c>
      <c r="H8125">
        <v>0</v>
      </c>
      <c r="I8125" s="140" t="s">
        <v>17</v>
      </c>
    </row>
    <row r="8126" spans="1:9" hidden="1" x14ac:dyDescent="0.25">
      <c r="A8126">
        <v>1995</v>
      </c>
      <c r="B8126" s="140" t="s">
        <v>480</v>
      </c>
      <c r="C8126" s="140" t="s">
        <v>243</v>
      </c>
      <c r="D8126" s="140" t="s">
        <v>11</v>
      </c>
      <c r="E8126" s="140" t="s">
        <v>320</v>
      </c>
      <c r="F8126">
        <v>159</v>
      </c>
      <c r="G8126" s="140" t="s">
        <v>481</v>
      </c>
      <c r="H8126">
        <v>0</v>
      </c>
      <c r="I8126" s="140" t="s">
        <v>17</v>
      </c>
    </row>
    <row r="8127" spans="1:9" hidden="1" x14ac:dyDescent="0.25">
      <c r="A8127">
        <v>1996</v>
      </c>
      <c r="B8127" s="140" t="s">
        <v>480</v>
      </c>
      <c r="C8127" s="140" t="s">
        <v>243</v>
      </c>
      <c r="D8127" s="140" t="s">
        <v>11</v>
      </c>
      <c r="E8127" s="140" t="s">
        <v>320</v>
      </c>
      <c r="F8127">
        <v>172</v>
      </c>
      <c r="G8127" s="140" t="s">
        <v>481</v>
      </c>
      <c r="H8127">
        <v>0</v>
      </c>
      <c r="I8127" s="140" t="s">
        <v>17</v>
      </c>
    </row>
    <row r="8128" spans="1:9" hidden="1" x14ac:dyDescent="0.25">
      <c r="A8128">
        <v>1997</v>
      </c>
      <c r="B8128" s="140" t="s">
        <v>480</v>
      </c>
      <c r="C8128" s="140" t="s">
        <v>243</v>
      </c>
      <c r="D8128" s="140" t="s">
        <v>11</v>
      </c>
      <c r="E8128" s="140" t="s">
        <v>320</v>
      </c>
      <c r="F8128">
        <v>188</v>
      </c>
      <c r="G8128" s="140" t="s">
        <v>481</v>
      </c>
      <c r="H8128">
        <v>0</v>
      </c>
      <c r="I8128" s="140" t="s">
        <v>17</v>
      </c>
    </row>
    <row r="8129" spans="1:9" hidden="1" x14ac:dyDescent="0.25">
      <c r="A8129">
        <v>1998</v>
      </c>
      <c r="B8129" s="140" t="s">
        <v>480</v>
      </c>
      <c r="C8129" s="140" t="s">
        <v>243</v>
      </c>
      <c r="D8129" s="140" t="s">
        <v>11</v>
      </c>
      <c r="E8129" s="140" t="s">
        <v>320</v>
      </c>
      <c r="F8129">
        <v>209</v>
      </c>
      <c r="G8129" s="140" t="s">
        <v>481</v>
      </c>
      <c r="H8129">
        <v>0</v>
      </c>
      <c r="I8129" s="140" t="s">
        <v>17</v>
      </c>
    </row>
    <row r="8130" spans="1:9" hidden="1" x14ac:dyDescent="0.25">
      <c r="A8130">
        <v>1999</v>
      </c>
      <c r="B8130" s="140" t="s">
        <v>480</v>
      </c>
      <c r="C8130" s="140" t="s">
        <v>243</v>
      </c>
      <c r="D8130" s="140" t="s">
        <v>11</v>
      </c>
      <c r="E8130" s="140" t="s">
        <v>320</v>
      </c>
      <c r="F8130">
        <v>219</v>
      </c>
      <c r="G8130" s="140" t="s">
        <v>481</v>
      </c>
      <c r="H8130">
        <v>0</v>
      </c>
      <c r="I8130" s="140" t="s">
        <v>17</v>
      </c>
    </row>
    <row r="8131" spans="1:9" hidden="1" x14ac:dyDescent="0.25">
      <c r="A8131">
        <v>2000</v>
      </c>
      <c r="B8131" s="140" t="s">
        <v>480</v>
      </c>
      <c r="C8131" s="140" t="s">
        <v>243</v>
      </c>
      <c r="D8131" s="140" t="s">
        <v>11</v>
      </c>
      <c r="E8131" s="140" t="s">
        <v>320</v>
      </c>
      <c r="F8131">
        <v>221</v>
      </c>
      <c r="G8131" s="140" t="s">
        <v>481</v>
      </c>
      <c r="H8131">
        <v>0</v>
      </c>
      <c r="I8131" s="140" t="s">
        <v>17</v>
      </c>
    </row>
    <row r="8132" spans="1:9" hidden="1" x14ac:dyDescent="0.25">
      <c r="A8132">
        <v>2001</v>
      </c>
      <c r="B8132" s="140" t="s">
        <v>480</v>
      </c>
      <c r="C8132" s="140" t="s">
        <v>243</v>
      </c>
      <c r="D8132" s="140" t="s">
        <v>11</v>
      </c>
      <c r="E8132" s="140" t="s">
        <v>320</v>
      </c>
      <c r="F8132">
        <v>240</v>
      </c>
      <c r="G8132" s="140" t="s">
        <v>481</v>
      </c>
      <c r="H8132">
        <v>0</v>
      </c>
      <c r="I8132" s="140" t="s">
        <v>17</v>
      </c>
    </row>
    <row r="8133" spans="1:9" hidden="1" x14ac:dyDescent="0.25">
      <c r="A8133">
        <v>2002</v>
      </c>
      <c r="B8133" s="140" t="s">
        <v>480</v>
      </c>
      <c r="C8133" s="140" t="s">
        <v>243</v>
      </c>
      <c r="D8133" s="140" t="s">
        <v>11</v>
      </c>
      <c r="E8133" s="140" t="s">
        <v>320</v>
      </c>
      <c r="F8133">
        <v>265</v>
      </c>
      <c r="G8133" s="140" t="s">
        <v>481</v>
      </c>
      <c r="H8133">
        <v>0</v>
      </c>
      <c r="I8133" s="140" t="s">
        <v>17</v>
      </c>
    </row>
    <row r="8134" spans="1:9" hidden="1" x14ac:dyDescent="0.25">
      <c r="A8134">
        <v>2003</v>
      </c>
      <c r="B8134" s="140" t="s">
        <v>480</v>
      </c>
      <c r="C8134" s="140" t="s">
        <v>243</v>
      </c>
      <c r="D8134" s="140" t="s">
        <v>11</v>
      </c>
      <c r="E8134" s="140" t="s">
        <v>320</v>
      </c>
      <c r="F8134">
        <v>283</v>
      </c>
      <c r="G8134" s="140" t="s">
        <v>481</v>
      </c>
      <c r="H8134">
        <v>0</v>
      </c>
      <c r="I8134" s="140" t="s">
        <v>17</v>
      </c>
    </row>
    <row r="8135" spans="1:9" hidden="1" x14ac:dyDescent="0.25">
      <c r="A8135">
        <v>2004</v>
      </c>
      <c r="B8135" s="140" t="s">
        <v>480</v>
      </c>
      <c r="C8135" s="140" t="s">
        <v>243</v>
      </c>
      <c r="D8135" s="140" t="s">
        <v>11</v>
      </c>
      <c r="E8135" s="140" t="s">
        <v>320</v>
      </c>
      <c r="F8135">
        <v>306</v>
      </c>
      <c r="G8135" s="140" t="s">
        <v>481</v>
      </c>
      <c r="H8135">
        <v>0</v>
      </c>
      <c r="I8135" s="140" t="s">
        <v>17</v>
      </c>
    </row>
    <row r="8136" spans="1:9" hidden="1" x14ac:dyDescent="0.25">
      <c r="A8136">
        <v>2005</v>
      </c>
      <c r="B8136" s="140" t="s">
        <v>480</v>
      </c>
      <c r="C8136" s="140" t="s">
        <v>243</v>
      </c>
      <c r="D8136" s="140" t="s">
        <v>11</v>
      </c>
      <c r="E8136" s="140" t="s">
        <v>320</v>
      </c>
      <c r="F8136">
        <v>305</v>
      </c>
      <c r="G8136" s="140" t="s">
        <v>481</v>
      </c>
      <c r="H8136">
        <v>0</v>
      </c>
      <c r="I8136" s="140" t="s">
        <v>17</v>
      </c>
    </row>
    <row r="8137" spans="1:9" hidden="1" x14ac:dyDescent="0.25">
      <c r="A8137">
        <v>2006</v>
      </c>
      <c r="B8137" s="140" t="s">
        <v>480</v>
      </c>
      <c r="C8137" s="140" t="s">
        <v>243</v>
      </c>
      <c r="D8137" s="140" t="s">
        <v>11</v>
      </c>
      <c r="E8137" s="140" t="s">
        <v>320</v>
      </c>
      <c r="F8137">
        <v>319</v>
      </c>
      <c r="G8137" s="140" t="s">
        <v>481</v>
      </c>
      <c r="H8137">
        <v>0</v>
      </c>
      <c r="I8137" s="140" t="s">
        <v>17</v>
      </c>
    </row>
    <row r="8138" spans="1:9" hidden="1" x14ac:dyDescent="0.25">
      <c r="A8138">
        <v>2007</v>
      </c>
      <c r="B8138" s="140" t="s">
        <v>480</v>
      </c>
      <c r="C8138" s="140" t="s">
        <v>243</v>
      </c>
      <c r="D8138" s="140" t="s">
        <v>11</v>
      </c>
      <c r="E8138" s="140" t="s">
        <v>320</v>
      </c>
      <c r="F8138">
        <v>335</v>
      </c>
      <c r="G8138" s="140" t="s">
        <v>481</v>
      </c>
      <c r="H8138">
        <v>0</v>
      </c>
      <c r="I8138" s="140" t="s">
        <v>17</v>
      </c>
    </row>
    <row r="8139" spans="1:9" hidden="1" x14ac:dyDescent="0.25">
      <c r="A8139">
        <v>2008</v>
      </c>
      <c r="B8139" s="140" t="s">
        <v>480</v>
      </c>
      <c r="C8139" s="140" t="s">
        <v>243</v>
      </c>
      <c r="D8139" s="140" t="s">
        <v>11</v>
      </c>
      <c r="E8139" s="140" t="s">
        <v>320</v>
      </c>
      <c r="F8139">
        <v>350</v>
      </c>
      <c r="G8139" s="140" t="s">
        <v>481</v>
      </c>
      <c r="H8139">
        <v>0</v>
      </c>
      <c r="I8139" s="140" t="s">
        <v>17</v>
      </c>
    </row>
    <row r="8140" spans="1:9" hidden="1" x14ac:dyDescent="0.25">
      <c r="A8140">
        <v>2009</v>
      </c>
      <c r="B8140" s="140" t="s">
        <v>480</v>
      </c>
      <c r="C8140" s="140" t="s">
        <v>243</v>
      </c>
      <c r="D8140" s="140" t="s">
        <v>11</v>
      </c>
      <c r="E8140" s="140" t="s">
        <v>320</v>
      </c>
      <c r="F8140">
        <v>396</v>
      </c>
      <c r="G8140" s="140" t="s">
        <v>481</v>
      </c>
      <c r="H8140">
        <v>0</v>
      </c>
      <c r="I8140" s="140" t="s">
        <v>17</v>
      </c>
    </row>
    <row r="8141" spans="1:9" hidden="1" x14ac:dyDescent="0.25">
      <c r="A8141">
        <v>2010</v>
      </c>
      <c r="B8141" s="140" t="s">
        <v>480</v>
      </c>
      <c r="C8141" s="140" t="s">
        <v>243</v>
      </c>
      <c r="D8141" s="140" t="s">
        <v>11</v>
      </c>
      <c r="E8141" s="140" t="s">
        <v>320</v>
      </c>
      <c r="F8141">
        <v>364</v>
      </c>
      <c r="G8141" s="140" t="s">
        <v>481</v>
      </c>
      <c r="H8141">
        <v>0</v>
      </c>
      <c r="I8141" s="140" t="s">
        <v>17</v>
      </c>
    </row>
    <row r="8142" spans="1:9" hidden="1" x14ac:dyDescent="0.25">
      <c r="A8142">
        <v>2011</v>
      </c>
      <c r="B8142" s="140" t="s">
        <v>480</v>
      </c>
      <c r="C8142" s="140" t="s">
        <v>243</v>
      </c>
      <c r="D8142" s="140" t="s">
        <v>11</v>
      </c>
      <c r="E8142" s="140" t="s">
        <v>320</v>
      </c>
      <c r="F8142">
        <v>389</v>
      </c>
      <c r="G8142" s="140" t="s">
        <v>481</v>
      </c>
      <c r="H8142">
        <v>0</v>
      </c>
      <c r="I8142" s="140" t="s">
        <v>17</v>
      </c>
    </row>
    <row r="8143" spans="1:9" hidden="1" x14ac:dyDescent="0.25">
      <c r="A8143">
        <v>2012</v>
      </c>
      <c r="B8143" s="140" t="s">
        <v>480</v>
      </c>
      <c r="C8143" s="140" t="s">
        <v>243</v>
      </c>
      <c r="D8143" s="140" t="s">
        <v>11</v>
      </c>
      <c r="E8143" s="140" t="s">
        <v>320</v>
      </c>
      <c r="F8143">
        <v>432</v>
      </c>
      <c r="G8143" s="140" t="s">
        <v>481</v>
      </c>
      <c r="H8143">
        <v>0</v>
      </c>
      <c r="I8143" s="140" t="s">
        <v>17</v>
      </c>
    </row>
    <row r="8144" spans="1:9" hidden="1" x14ac:dyDescent="0.25">
      <c r="A8144">
        <v>2013</v>
      </c>
      <c r="B8144" s="140" t="s">
        <v>480</v>
      </c>
      <c r="C8144" s="140" t="s">
        <v>243</v>
      </c>
      <c r="D8144" s="140" t="s">
        <v>11</v>
      </c>
      <c r="E8144" s="140" t="s">
        <v>320</v>
      </c>
      <c r="F8144">
        <v>539</v>
      </c>
      <c r="G8144" s="140" t="s">
        <v>481</v>
      </c>
      <c r="H8144">
        <v>0</v>
      </c>
      <c r="I8144" s="140" t="s">
        <v>17</v>
      </c>
    </row>
    <row r="8145" spans="1:9" hidden="1" x14ac:dyDescent="0.25">
      <c r="A8145">
        <v>2014</v>
      </c>
      <c r="B8145" s="140" t="s">
        <v>480</v>
      </c>
      <c r="C8145" s="140" t="s">
        <v>243</v>
      </c>
      <c r="D8145" s="140" t="s">
        <v>11</v>
      </c>
      <c r="E8145" s="140" t="s">
        <v>320</v>
      </c>
      <c r="F8145">
        <v>499</v>
      </c>
      <c r="G8145" s="140" t="s">
        <v>481</v>
      </c>
      <c r="H8145">
        <v>0</v>
      </c>
      <c r="I8145" s="140" t="s">
        <v>17</v>
      </c>
    </row>
    <row r="8146" spans="1:9" hidden="1" x14ac:dyDescent="0.25">
      <c r="A8146">
        <v>2015</v>
      </c>
      <c r="B8146" s="140" t="s">
        <v>480</v>
      </c>
      <c r="C8146" s="140" t="s">
        <v>243</v>
      </c>
      <c r="D8146" s="140" t="s">
        <v>11</v>
      </c>
      <c r="E8146" s="140" t="s">
        <v>320</v>
      </c>
      <c r="F8146">
        <v>545</v>
      </c>
      <c r="G8146" s="140" t="s">
        <v>481</v>
      </c>
      <c r="H8146">
        <v>0</v>
      </c>
      <c r="I8146" s="140" t="s">
        <v>17</v>
      </c>
    </row>
    <row r="8147" spans="1:9" hidden="1" x14ac:dyDescent="0.25">
      <c r="A8147">
        <v>2016</v>
      </c>
      <c r="B8147" s="140" t="s">
        <v>480</v>
      </c>
      <c r="C8147" s="140" t="s">
        <v>243</v>
      </c>
      <c r="D8147" s="140" t="s">
        <v>11</v>
      </c>
      <c r="E8147" s="140" t="s">
        <v>320</v>
      </c>
      <c r="F8147">
        <v>661</v>
      </c>
      <c r="G8147" s="140" t="s">
        <v>481</v>
      </c>
      <c r="H8147">
        <v>0</v>
      </c>
      <c r="I8147" s="140" t="s">
        <v>17</v>
      </c>
    </row>
    <row r="8148" spans="1:9" hidden="1" x14ac:dyDescent="0.25">
      <c r="A8148">
        <v>2017</v>
      </c>
      <c r="B8148" s="140" t="s">
        <v>480</v>
      </c>
      <c r="C8148" s="140" t="s">
        <v>243</v>
      </c>
      <c r="D8148" s="140" t="s">
        <v>11</v>
      </c>
      <c r="E8148" s="140" t="s">
        <v>320</v>
      </c>
      <c r="F8148">
        <v>582</v>
      </c>
      <c r="G8148" s="140" t="s">
        <v>481</v>
      </c>
      <c r="H8148">
        <v>0</v>
      </c>
      <c r="I8148" s="140" t="s">
        <v>17</v>
      </c>
    </row>
    <row r="8149" spans="1:9" hidden="1" x14ac:dyDescent="0.25">
      <c r="A8149">
        <v>2018</v>
      </c>
      <c r="B8149" s="140" t="s">
        <v>480</v>
      </c>
      <c r="C8149" s="140" t="s">
        <v>243</v>
      </c>
      <c r="D8149" s="140" t="s">
        <v>11</v>
      </c>
      <c r="E8149" s="140" t="s">
        <v>320</v>
      </c>
      <c r="F8149">
        <v>563</v>
      </c>
      <c r="G8149" s="140" t="s">
        <v>481</v>
      </c>
      <c r="H8149">
        <v>0</v>
      </c>
      <c r="I8149" s="140" t="s">
        <v>17</v>
      </c>
    </row>
    <row r="8150" spans="1:9" hidden="1" x14ac:dyDescent="0.25">
      <c r="A8150">
        <v>2019</v>
      </c>
      <c r="B8150" s="140" t="s">
        <v>480</v>
      </c>
      <c r="C8150" s="140" t="s">
        <v>243</v>
      </c>
      <c r="D8150" s="140" t="s">
        <v>11</v>
      </c>
      <c r="E8150" s="140" t="s">
        <v>320</v>
      </c>
      <c r="F8150">
        <v>587</v>
      </c>
      <c r="G8150" s="140" t="s">
        <v>481</v>
      </c>
      <c r="H8150">
        <v>0</v>
      </c>
      <c r="I8150" s="140" t="s">
        <v>17</v>
      </c>
    </row>
    <row r="8151" spans="1:9" hidden="1" x14ac:dyDescent="0.25">
      <c r="A8151">
        <v>2020</v>
      </c>
      <c r="B8151" s="140" t="s">
        <v>480</v>
      </c>
      <c r="C8151" s="140" t="s">
        <v>243</v>
      </c>
      <c r="D8151" s="140" t="s">
        <v>11</v>
      </c>
      <c r="E8151" s="140" t="s">
        <v>320</v>
      </c>
      <c r="F8151">
        <v>619</v>
      </c>
      <c r="G8151" s="140" t="s">
        <v>481</v>
      </c>
      <c r="H8151">
        <v>0</v>
      </c>
      <c r="I8151" s="140" t="s">
        <v>17</v>
      </c>
    </row>
    <row r="8152" spans="1:9" hidden="1" x14ac:dyDescent="0.25">
      <c r="A8152">
        <v>2021</v>
      </c>
      <c r="B8152" s="140" t="s">
        <v>480</v>
      </c>
      <c r="C8152" s="140" t="s">
        <v>243</v>
      </c>
      <c r="D8152" s="140" t="s">
        <v>11</v>
      </c>
      <c r="E8152" s="140" t="s">
        <v>320</v>
      </c>
      <c r="F8152">
        <v>656</v>
      </c>
      <c r="G8152" s="140" t="s">
        <v>481</v>
      </c>
      <c r="H8152">
        <v>0</v>
      </c>
      <c r="I8152" s="140" t="s">
        <v>17</v>
      </c>
    </row>
    <row r="8153" spans="1:9" hidden="1" x14ac:dyDescent="0.25">
      <c r="A8153">
        <v>2022</v>
      </c>
      <c r="B8153" s="140" t="s">
        <v>480</v>
      </c>
      <c r="C8153" s="140" t="s">
        <v>243</v>
      </c>
      <c r="D8153" s="140" t="s">
        <v>11</v>
      </c>
      <c r="E8153" s="140" t="s">
        <v>320</v>
      </c>
      <c r="F8153">
        <v>733</v>
      </c>
      <c r="G8153" s="140" t="s">
        <v>481</v>
      </c>
      <c r="H8153">
        <v>0</v>
      </c>
      <c r="I8153" s="140" t="s">
        <v>17</v>
      </c>
    </row>
    <row r="8154" spans="1:9" hidden="1" x14ac:dyDescent="0.25">
      <c r="A8154">
        <v>2023</v>
      </c>
      <c r="B8154" s="140" t="s">
        <v>480</v>
      </c>
      <c r="C8154" s="140" t="s">
        <v>243</v>
      </c>
      <c r="D8154" s="140" t="s">
        <v>11</v>
      </c>
      <c r="E8154" s="140" t="s">
        <v>320</v>
      </c>
      <c r="F8154">
        <v>778</v>
      </c>
      <c r="G8154" s="140" t="s">
        <v>481</v>
      </c>
      <c r="H8154">
        <v>0</v>
      </c>
      <c r="I8154" s="140" t="s">
        <v>17</v>
      </c>
    </row>
    <row r="8155" spans="1:9" hidden="1" x14ac:dyDescent="0.25">
      <c r="A8155">
        <v>2024</v>
      </c>
      <c r="B8155" s="140" t="s">
        <v>480</v>
      </c>
      <c r="C8155" s="140" t="s">
        <v>243</v>
      </c>
      <c r="D8155" s="140" t="s">
        <v>11</v>
      </c>
      <c r="E8155" s="140" t="s">
        <v>320</v>
      </c>
      <c r="F8155">
        <v>797</v>
      </c>
      <c r="G8155" s="140" t="s">
        <v>481</v>
      </c>
      <c r="H8155">
        <v>0</v>
      </c>
      <c r="I8155" s="140" t="s">
        <v>17</v>
      </c>
    </row>
    <row r="8156" spans="1:9" hidden="1" x14ac:dyDescent="0.25">
      <c r="A8156">
        <v>2025</v>
      </c>
      <c r="B8156" s="140" t="s">
        <v>480</v>
      </c>
      <c r="C8156" s="140" t="s">
        <v>243</v>
      </c>
      <c r="D8156" s="140" t="s">
        <v>11</v>
      </c>
      <c r="E8156" s="140" t="s">
        <v>320</v>
      </c>
      <c r="F8156">
        <v>801</v>
      </c>
      <c r="G8156" s="140" t="s">
        <v>481</v>
      </c>
      <c r="H8156">
        <v>0</v>
      </c>
      <c r="I8156" s="140" t="s">
        <v>17</v>
      </c>
    </row>
    <row r="8157" spans="1:9" hidden="1" x14ac:dyDescent="0.25">
      <c r="A8157">
        <v>2026</v>
      </c>
      <c r="B8157" s="140" t="s">
        <v>480</v>
      </c>
      <c r="C8157" s="140" t="s">
        <v>243</v>
      </c>
      <c r="D8157" s="140" t="s">
        <v>11</v>
      </c>
      <c r="E8157" s="140" t="s">
        <v>320</v>
      </c>
      <c r="F8157">
        <v>817.02</v>
      </c>
      <c r="G8157" s="140" t="s">
        <v>481</v>
      </c>
      <c r="H8157">
        <v>0</v>
      </c>
      <c r="I8157" s="140" t="s">
        <v>17</v>
      </c>
    </row>
    <row r="8158" spans="1:9" hidden="1" x14ac:dyDescent="0.25">
      <c r="A8158">
        <v>2027</v>
      </c>
      <c r="B8158" s="140" t="s">
        <v>480</v>
      </c>
      <c r="C8158" s="140" t="s">
        <v>243</v>
      </c>
      <c r="D8158" s="140" t="s">
        <v>11</v>
      </c>
      <c r="E8158" s="140" t="s">
        <v>320</v>
      </c>
      <c r="F8158">
        <v>833.36040000000003</v>
      </c>
      <c r="G8158" s="140" t="s">
        <v>481</v>
      </c>
      <c r="H8158">
        <v>0</v>
      </c>
      <c r="I8158" s="140" t="s">
        <v>17</v>
      </c>
    </row>
    <row r="8159" spans="1:9" hidden="1" x14ac:dyDescent="0.25">
      <c r="A8159">
        <v>2028</v>
      </c>
      <c r="B8159" s="140" t="s">
        <v>480</v>
      </c>
      <c r="C8159" s="140" t="s">
        <v>243</v>
      </c>
      <c r="D8159" s="140" t="s">
        <v>11</v>
      </c>
      <c r="E8159" s="140" t="s">
        <v>320</v>
      </c>
      <c r="F8159">
        <v>850.02760799999999</v>
      </c>
      <c r="G8159" s="140" t="s">
        <v>481</v>
      </c>
      <c r="H8159">
        <v>0</v>
      </c>
      <c r="I8159" s="140" t="s">
        <v>17</v>
      </c>
    </row>
    <row r="8160" spans="1:9" hidden="1" x14ac:dyDescent="0.25">
      <c r="A8160">
        <v>1990</v>
      </c>
      <c r="B8160" s="140" t="s">
        <v>51</v>
      </c>
      <c r="C8160" s="140" t="s">
        <v>243</v>
      </c>
      <c r="D8160" s="140" t="s">
        <v>11</v>
      </c>
      <c r="E8160" s="140" t="s">
        <v>320</v>
      </c>
      <c r="F8160">
        <v>1808</v>
      </c>
      <c r="G8160" s="140" t="s">
        <v>482</v>
      </c>
      <c r="H8160">
        <v>0</v>
      </c>
      <c r="I8160" s="140" t="s">
        <v>17</v>
      </c>
    </row>
    <row r="8161" spans="1:9" hidden="1" x14ac:dyDescent="0.25">
      <c r="A8161">
        <v>1991</v>
      </c>
      <c r="B8161" s="140" t="s">
        <v>51</v>
      </c>
      <c r="C8161" s="140" t="s">
        <v>243</v>
      </c>
      <c r="D8161" s="140" t="s">
        <v>11</v>
      </c>
      <c r="E8161" s="140" t="s">
        <v>320</v>
      </c>
      <c r="F8161">
        <v>1826</v>
      </c>
      <c r="G8161" s="140" t="s">
        <v>482</v>
      </c>
      <c r="H8161">
        <v>0</v>
      </c>
      <c r="I8161" s="140" t="s">
        <v>17</v>
      </c>
    </row>
    <row r="8162" spans="1:9" hidden="1" x14ac:dyDescent="0.25">
      <c r="A8162">
        <v>1992</v>
      </c>
      <c r="B8162" s="140" t="s">
        <v>51</v>
      </c>
      <c r="C8162" s="140" t="s">
        <v>243</v>
      </c>
      <c r="D8162" s="140" t="s">
        <v>11</v>
      </c>
      <c r="E8162" s="140" t="s">
        <v>320</v>
      </c>
      <c r="F8162">
        <v>1771</v>
      </c>
      <c r="G8162" s="140" t="s">
        <v>482</v>
      </c>
      <c r="H8162">
        <v>0</v>
      </c>
      <c r="I8162" s="140" t="s">
        <v>17</v>
      </c>
    </row>
    <row r="8163" spans="1:9" hidden="1" x14ac:dyDescent="0.25">
      <c r="A8163">
        <v>1993</v>
      </c>
      <c r="B8163" s="140" t="s">
        <v>51</v>
      </c>
      <c r="C8163" s="140" t="s">
        <v>243</v>
      </c>
      <c r="D8163" s="140" t="s">
        <v>11</v>
      </c>
      <c r="E8163" s="140" t="s">
        <v>320</v>
      </c>
      <c r="F8163">
        <v>1897</v>
      </c>
      <c r="G8163" s="140" t="s">
        <v>482</v>
      </c>
      <c r="H8163">
        <v>0</v>
      </c>
      <c r="I8163" s="140" t="s">
        <v>17</v>
      </c>
    </row>
    <row r="8164" spans="1:9" hidden="1" x14ac:dyDescent="0.25">
      <c r="A8164">
        <v>1994</v>
      </c>
      <c r="B8164" s="140" t="s">
        <v>51</v>
      </c>
      <c r="C8164" s="140" t="s">
        <v>243</v>
      </c>
      <c r="D8164" s="140" t="s">
        <v>11</v>
      </c>
      <c r="E8164" s="140" t="s">
        <v>320</v>
      </c>
      <c r="F8164">
        <v>1905</v>
      </c>
      <c r="G8164" s="140" t="s">
        <v>482</v>
      </c>
      <c r="H8164">
        <v>0</v>
      </c>
      <c r="I8164" s="140" t="s">
        <v>17</v>
      </c>
    </row>
    <row r="8165" spans="1:9" hidden="1" x14ac:dyDescent="0.25">
      <c r="A8165">
        <v>1995</v>
      </c>
      <c r="B8165" s="140" t="s">
        <v>51</v>
      </c>
      <c r="C8165" s="140" t="s">
        <v>243</v>
      </c>
      <c r="D8165" s="140" t="s">
        <v>11</v>
      </c>
      <c r="E8165" s="140" t="s">
        <v>320</v>
      </c>
      <c r="F8165">
        <v>2096</v>
      </c>
      <c r="G8165" s="140" t="s">
        <v>482</v>
      </c>
      <c r="H8165">
        <v>0</v>
      </c>
      <c r="I8165" s="140" t="s">
        <v>17</v>
      </c>
    </row>
    <row r="8166" spans="1:9" hidden="1" x14ac:dyDescent="0.25">
      <c r="A8166">
        <v>1996</v>
      </c>
      <c r="B8166" s="140" t="s">
        <v>51</v>
      </c>
      <c r="C8166" s="140" t="s">
        <v>243</v>
      </c>
      <c r="D8166" s="140" t="s">
        <v>11</v>
      </c>
      <c r="E8166" s="140" t="s">
        <v>320</v>
      </c>
      <c r="F8166">
        <v>2290</v>
      </c>
      <c r="G8166" s="140" t="s">
        <v>482</v>
      </c>
      <c r="H8166">
        <v>0</v>
      </c>
      <c r="I8166" s="140" t="s">
        <v>17</v>
      </c>
    </row>
    <row r="8167" spans="1:9" hidden="1" x14ac:dyDescent="0.25">
      <c r="A8167">
        <v>1997</v>
      </c>
      <c r="B8167" s="140" t="s">
        <v>51</v>
      </c>
      <c r="C8167" s="140" t="s">
        <v>243</v>
      </c>
      <c r="D8167" s="140" t="s">
        <v>11</v>
      </c>
      <c r="E8167" s="140" t="s">
        <v>320</v>
      </c>
      <c r="F8167">
        <v>2628</v>
      </c>
      <c r="G8167" s="140" t="s">
        <v>482</v>
      </c>
      <c r="H8167">
        <v>0</v>
      </c>
      <c r="I8167" s="140" t="s">
        <v>17</v>
      </c>
    </row>
    <row r="8168" spans="1:9" hidden="1" x14ac:dyDescent="0.25">
      <c r="A8168">
        <v>1998</v>
      </c>
      <c r="B8168" s="140" t="s">
        <v>51</v>
      </c>
      <c r="C8168" s="140" t="s">
        <v>243</v>
      </c>
      <c r="D8168" s="140" t="s">
        <v>11</v>
      </c>
      <c r="E8168" s="140" t="s">
        <v>320</v>
      </c>
      <c r="F8168">
        <v>2621</v>
      </c>
      <c r="G8168" s="140" t="s">
        <v>482</v>
      </c>
      <c r="H8168">
        <v>0</v>
      </c>
      <c r="I8168" s="140" t="s">
        <v>17</v>
      </c>
    </row>
    <row r="8169" spans="1:9" hidden="1" x14ac:dyDescent="0.25">
      <c r="A8169">
        <v>1999</v>
      </c>
      <c r="B8169" s="140" t="s">
        <v>51</v>
      </c>
      <c r="C8169" s="140" t="s">
        <v>243</v>
      </c>
      <c r="D8169" s="140" t="s">
        <v>11</v>
      </c>
      <c r="E8169" s="140" t="s">
        <v>320</v>
      </c>
      <c r="F8169">
        <v>3005</v>
      </c>
      <c r="G8169" s="140" t="s">
        <v>482</v>
      </c>
      <c r="H8169">
        <v>0</v>
      </c>
      <c r="I8169" s="140" t="s">
        <v>17</v>
      </c>
    </row>
    <row r="8170" spans="1:9" hidden="1" x14ac:dyDescent="0.25">
      <c r="A8170">
        <v>2000</v>
      </c>
      <c r="B8170" s="140" t="s">
        <v>51</v>
      </c>
      <c r="C8170" s="140" t="s">
        <v>243</v>
      </c>
      <c r="D8170" s="140" t="s">
        <v>11</v>
      </c>
      <c r="E8170" s="140" t="s">
        <v>320</v>
      </c>
      <c r="F8170">
        <v>3756</v>
      </c>
      <c r="G8170" s="140" t="s">
        <v>482</v>
      </c>
      <c r="H8170">
        <v>0</v>
      </c>
      <c r="I8170" s="140" t="s">
        <v>17</v>
      </c>
    </row>
    <row r="8171" spans="1:9" hidden="1" x14ac:dyDescent="0.25">
      <c r="A8171">
        <v>2001</v>
      </c>
      <c r="B8171" s="140" t="s">
        <v>51</v>
      </c>
      <c r="C8171" s="140" t="s">
        <v>243</v>
      </c>
      <c r="D8171" s="140" t="s">
        <v>11</v>
      </c>
      <c r="E8171" s="140" t="s">
        <v>320</v>
      </c>
      <c r="F8171">
        <v>3333</v>
      </c>
      <c r="G8171" s="140" t="s">
        <v>482</v>
      </c>
      <c r="H8171">
        <v>0</v>
      </c>
      <c r="I8171" s="140" t="s">
        <v>17</v>
      </c>
    </row>
    <row r="8172" spans="1:9" hidden="1" x14ac:dyDescent="0.25">
      <c r="A8172">
        <v>2002</v>
      </c>
      <c r="B8172" s="140" t="s">
        <v>51</v>
      </c>
      <c r="C8172" s="140" t="s">
        <v>243</v>
      </c>
      <c r="D8172" s="140" t="s">
        <v>11</v>
      </c>
      <c r="E8172" s="140" t="s">
        <v>320</v>
      </c>
      <c r="F8172">
        <v>3257</v>
      </c>
      <c r="G8172" s="140" t="s">
        <v>482</v>
      </c>
      <c r="H8172">
        <v>0</v>
      </c>
      <c r="I8172" s="140" t="s">
        <v>17</v>
      </c>
    </row>
    <row r="8173" spans="1:9" hidden="1" x14ac:dyDescent="0.25">
      <c r="A8173">
        <v>2003</v>
      </c>
      <c r="B8173" s="140" t="s">
        <v>51</v>
      </c>
      <c r="C8173" s="140" t="s">
        <v>243</v>
      </c>
      <c r="D8173" s="140" t="s">
        <v>11</v>
      </c>
      <c r="E8173" s="140" t="s">
        <v>320</v>
      </c>
      <c r="F8173">
        <v>3292</v>
      </c>
      <c r="G8173" s="140" t="s">
        <v>482</v>
      </c>
      <c r="H8173">
        <v>0</v>
      </c>
      <c r="I8173" s="140" t="s">
        <v>17</v>
      </c>
    </row>
    <row r="8174" spans="1:9" hidden="1" x14ac:dyDescent="0.25">
      <c r="A8174">
        <v>2004</v>
      </c>
      <c r="B8174" s="140" t="s">
        <v>51</v>
      </c>
      <c r="C8174" s="140" t="s">
        <v>243</v>
      </c>
      <c r="D8174" s="140" t="s">
        <v>11</v>
      </c>
      <c r="E8174" s="140" t="s">
        <v>320</v>
      </c>
      <c r="F8174">
        <v>3522</v>
      </c>
      <c r="G8174" s="140" t="s">
        <v>482</v>
      </c>
      <c r="H8174">
        <v>0</v>
      </c>
      <c r="I8174" s="140" t="s">
        <v>17</v>
      </c>
    </row>
    <row r="8175" spans="1:9" hidden="1" x14ac:dyDescent="0.25">
      <c r="A8175">
        <v>2005</v>
      </c>
      <c r="B8175" s="140" t="s">
        <v>51</v>
      </c>
      <c r="C8175" s="140" t="s">
        <v>243</v>
      </c>
      <c r="D8175" s="140" t="s">
        <v>11</v>
      </c>
      <c r="E8175" s="140" t="s">
        <v>320</v>
      </c>
      <c r="F8175">
        <v>3618</v>
      </c>
      <c r="G8175" s="140" t="s">
        <v>482</v>
      </c>
      <c r="H8175">
        <v>0</v>
      </c>
      <c r="I8175" s="140" t="s">
        <v>17</v>
      </c>
    </row>
    <row r="8176" spans="1:9" hidden="1" x14ac:dyDescent="0.25">
      <c r="A8176">
        <v>2006</v>
      </c>
      <c r="B8176" s="140" t="s">
        <v>51</v>
      </c>
      <c r="C8176" s="140" t="s">
        <v>243</v>
      </c>
      <c r="D8176" s="140" t="s">
        <v>11</v>
      </c>
      <c r="E8176" s="140" t="s">
        <v>320</v>
      </c>
      <c r="F8176">
        <v>3793</v>
      </c>
      <c r="G8176" s="140" t="s">
        <v>482</v>
      </c>
      <c r="H8176">
        <v>0</v>
      </c>
      <c r="I8176" s="140" t="s">
        <v>17</v>
      </c>
    </row>
    <row r="8177" spans="1:9" hidden="1" x14ac:dyDescent="0.25">
      <c r="A8177">
        <v>2007</v>
      </c>
      <c r="B8177" s="140" t="s">
        <v>51</v>
      </c>
      <c r="C8177" s="140" t="s">
        <v>243</v>
      </c>
      <c r="D8177" s="140" t="s">
        <v>11</v>
      </c>
      <c r="E8177" s="140" t="s">
        <v>320</v>
      </c>
      <c r="F8177">
        <v>3912</v>
      </c>
      <c r="G8177" s="140" t="s">
        <v>482</v>
      </c>
      <c r="H8177">
        <v>0</v>
      </c>
      <c r="I8177" s="140" t="s">
        <v>17</v>
      </c>
    </row>
    <row r="8178" spans="1:9" hidden="1" x14ac:dyDescent="0.25">
      <c r="A8178">
        <v>2008</v>
      </c>
      <c r="B8178" s="140" t="s">
        <v>51</v>
      </c>
      <c r="C8178" s="140" t="s">
        <v>243</v>
      </c>
      <c r="D8178" s="140" t="s">
        <v>11</v>
      </c>
      <c r="E8178" s="140" t="s">
        <v>320</v>
      </c>
      <c r="F8178">
        <v>4237</v>
      </c>
      <c r="G8178" s="140" t="s">
        <v>482</v>
      </c>
      <c r="H8178">
        <v>0</v>
      </c>
      <c r="I8178" s="140" t="s">
        <v>17</v>
      </c>
    </row>
    <row r="8179" spans="1:9" hidden="1" x14ac:dyDescent="0.25">
      <c r="A8179">
        <v>2009</v>
      </c>
      <c r="B8179" s="140" t="s">
        <v>51</v>
      </c>
      <c r="C8179" s="140" t="s">
        <v>243</v>
      </c>
      <c r="D8179" s="140" t="s">
        <v>11</v>
      </c>
      <c r="E8179" s="140" t="s">
        <v>320</v>
      </c>
      <c r="F8179">
        <v>4175</v>
      </c>
      <c r="G8179" s="140" t="s">
        <v>482</v>
      </c>
      <c r="H8179">
        <v>0</v>
      </c>
      <c r="I8179" s="140" t="s">
        <v>17</v>
      </c>
    </row>
    <row r="8180" spans="1:9" hidden="1" x14ac:dyDescent="0.25">
      <c r="A8180">
        <v>2010</v>
      </c>
      <c r="B8180" s="140" t="s">
        <v>51</v>
      </c>
      <c r="C8180" s="140" t="s">
        <v>243</v>
      </c>
      <c r="D8180" s="140" t="s">
        <v>11</v>
      </c>
      <c r="E8180" s="140" t="s">
        <v>320</v>
      </c>
      <c r="F8180">
        <v>4498</v>
      </c>
      <c r="G8180" s="140" t="s">
        <v>482</v>
      </c>
      <c r="H8180">
        <v>0</v>
      </c>
      <c r="I8180" s="140" t="s">
        <v>17</v>
      </c>
    </row>
    <row r="8181" spans="1:9" hidden="1" x14ac:dyDescent="0.25">
      <c r="A8181">
        <v>2011</v>
      </c>
      <c r="B8181" s="140" t="s">
        <v>51</v>
      </c>
      <c r="C8181" s="140" t="s">
        <v>243</v>
      </c>
      <c r="D8181" s="140" t="s">
        <v>11</v>
      </c>
      <c r="E8181" s="140" t="s">
        <v>320</v>
      </c>
      <c r="F8181">
        <v>4499</v>
      </c>
      <c r="G8181" s="140" t="s">
        <v>482</v>
      </c>
      <c r="H8181">
        <v>0</v>
      </c>
      <c r="I8181" s="140" t="s">
        <v>17</v>
      </c>
    </row>
    <row r="8182" spans="1:9" hidden="1" x14ac:dyDescent="0.25">
      <c r="A8182">
        <v>2012</v>
      </c>
      <c r="B8182" s="140" t="s">
        <v>51</v>
      </c>
      <c r="C8182" s="140" t="s">
        <v>243</v>
      </c>
      <c r="D8182" s="140" t="s">
        <v>11</v>
      </c>
      <c r="E8182" s="140" t="s">
        <v>320</v>
      </c>
      <c r="F8182">
        <v>4626</v>
      </c>
      <c r="G8182" s="140" t="s">
        <v>482</v>
      </c>
      <c r="H8182">
        <v>0</v>
      </c>
      <c r="I8182" s="140" t="s">
        <v>17</v>
      </c>
    </row>
    <row r="8183" spans="1:9" hidden="1" x14ac:dyDescent="0.25">
      <c r="A8183">
        <v>2013</v>
      </c>
      <c r="B8183" s="140" t="s">
        <v>51</v>
      </c>
      <c r="C8183" s="140" t="s">
        <v>243</v>
      </c>
      <c r="D8183" s="140" t="s">
        <v>11</v>
      </c>
      <c r="E8183" s="140" t="s">
        <v>320</v>
      </c>
      <c r="F8183">
        <v>4765</v>
      </c>
      <c r="G8183" s="140" t="s">
        <v>482</v>
      </c>
      <c r="H8183">
        <v>0</v>
      </c>
      <c r="I8183" s="140" t="s">
        <v>17</v>
      </c>
    </row>
    <row r="8184" spans="1:9" hidden="1" x14ac:dyDescent="0.25">
      <c r="A8184">
        <v>2014</v>
      </c>
      <c r="B8184" s="140" t="s">
        <v>51</v>
      </c>
      <c r="C8184" s="140" t="s">
        <v>243</v>
      </c>
      <c r="D8184" s="140" t="s">
        <v>11</v>
      </c>
      <c r="E8184" s="140" t="s">
        <v>320</v>
      </c>
      <c r="F8184">
        <v>4720</v>
      </c>
      <c r="G8184" s="140" t="s">
        <v>482</v>
      </c>
      <c r="H8184">
        <v>0</v>
      </c>
      <c r="I8184" s="140" t="s">
        <v>17</v>
      </c>
    </row>
    <row r="8185" spans="1:9" hidden="1" x14ac:dyDescent="0.25">
      <c r="A8185">
        <v>2015</v>
      </c>
      <c r="B8185" s="140" t="s">
        <v>51</v>
      </c>
      <c r="C8185" s="140" t="s">
        <v>243</v>
      </c>
      <c r="D8185" s="140" t="s">
        <v>11</v>
      </c>
      <c r="E8185" s="140" t="s">
        <v>320</v>
      </c>
      <c r="F8185">
        <v>4699</v>
      </c>
      <c r="G8185" s="140" t="s">
        <v>482</v>
      </c>
      <c r="H8185">
        <v>0</v>
      </c>
      <c r="I8185" s="140" t="s">
        <v>17</v>
      </c>
    </row>
    <row r="8186" spans="1:9" hidden="1" x14ac:dyDescent="0.25">
      <c r="A8186">
        <v>2016</v>
      </c>
      <c r="B8186" s="140" t="s">
        <v>51</v>
      </c>
      <c r="C8186" s="140" t="s">
        <v>243</v>
      </c>
      <c r="D8186" s="140" t="s">
        <v>11</v>
      </c>
      <c r="E8186" s="140" t="s">
        <v>320</v>
      </c>
      <c r="F8186">
        <v>4601</v>
      </c>
      <c r="G8186" s="140" t="s">
        <v>482</v>
      </c>
      <c r="H8186">
        <v>0</v>
      </c>
      <c r="I8186" s="140" t="s">
        <v>17</v>
      </c>
    </row>
    <row r="8187" spans="1:9" hidden="1" x14ac:dyDescent="0.25">
      <c r="A8187">
        <v>2017</v>
      </c>
      <c r="B8187" s="140" t="s">
        <v>51</v>
      </c>
      <c r="C8187" s="140" t="s">
        <v>243</v>
      </c>
      <c r="D8187" s="140" t="s">
        <v>11</v>
      </c>
      <c r="E8187" s="140" t="s">
        <v>320</v>
      </c>
      <c r="F8187">
        <v>4776</v>
      </c>
      <c r="G8187" s="140" t="s">
        <v>482</v>
      </c>
      <c r="H8187">
        <v>0</v>
      </c>
      <c r="I8187" s="140" t="s">
        <v>17</v>
      </c>
    </row>
    <row r="8188" spans="1:9" hidden="1" x14ac:dyDescent="0.25">
      <c r="A8188">
        <v>2018</v>
      </c>
      <c r="B8188" s="140" t="s">
        <v>51</v>
      </c>
      <c r="C8188" s="140" t="s">
        <v>243</v>
      </c>
      <c r="D8188" s="140" t="s">
        <v>11</v>
      </c>
      <c r="E8188" s="140" t="s">
        <v>320</v>
      </c>
      <c r="F8188">
        <v>4802</v>
      </c>
      <c r="G8188" s="140" t="s">
        <v>482</v>
      </c>
      <c r="H8188">
        <v>0</v>
      </c>
      <c r="I8188" s="140" t="s">
        <v>17</v>
      </c>
    </row>
    <row r="8189" spans="1:9" hidden="1" x14ac:dyDescent="0.25">
      <c r="A8189">
        <v>2019</v>
      </c>
      <c r="B8189" s="140" t="s">
        <v>51</v>
      </c>
      <c r="C8189" s="140" t="s">
        <v>243</v>
      </c>
      <c r="D8189" s="140" t="s">
        <v>11</v>
      </c>
      <c r="E8189" s="140" t="s">
        <v>320</v>
      </c>
      <c r="F8189">
        <v>4980</v>
      </c>
      <c r="G8189" s="140" t="s">
        <v>482</v>
      </c>
      <c r="H8189">
        <v>0</v>
      </c>
      <c r="I8189" s="140" t="s">
        <v>17</v>
      </c>
    </row>
    <row r="8190" spans="1:9" hidden="1" x14ac:dyDescent="0.25">
      <c r="A8190">
        <v>2020</v>
      </c>
      <c r="B8190" s="140" t="s">
        <v>51</v>
      </c>
      <c r="C8190" s="140" t="s">
        <v>243</v>
      </c>
      <c r="D8190" s="140" t="s">
        <v>11</v>
      </c>
      <c r="E8190" s="140" t="s">
        <v>320</v>
      </c>
      <c r="F8190">
        <v>5155</v>
      </c>
      <c r="G8190" s="140" t="s">
        <v>482</v>
      </c>
      <c r="H8190">
        <v>0</v>
      </c>
      <c r="I8190" s="140" t="s">
        <v>17</v>
      </c>
    </row>
    <row r="8191" spans="1:9" hidden="1" x14ac:dyDescent="0.25">
      <c r="A8191">
        <v>2021</v>
      </c>
      <c r="B8191" s="140" t="s">
        <v>51</v>
      </c>
      <c r="C8191" s="140" t="s">
        <v>243</v>
      </c>
      <c r="D8191" s="140" t="s">
        <v>11</v>
      </c>
      <c r="E8191" s="140" t="s">
        <v>320</v>
      </c>
      <c r="F8191">
        <v>5152</v>
      </c>
      <c r="G8191" s="140" t="s">
        <v>482</v>
      </c>
      <c r="H8191">
        <v>0</v>
      </c>
      <c r="I8191" s="140" t="s">
        <v>17</v>
      </c>
    </row>
    <row r="8192" spans="1:9" hidden="1" x14ac:dyDescent="0.25">
      <c r="A8192">
        <v>2022</v>
      </c>
      <c r="B8192" s="140" t="s">
        <v>51</v>
      </c>
      <c r="C8192" s="140" t="s">
        <v>243</v>
      </c>
      <c r="D8192" s="140" t="s">
        <v>11</v>
      </c>
      <c r="E8192" s="140" t="s">
        <v>320</v>
      </c>
      <c r="F8192">
        <v>5274</v>
      </c>
      <c r="G8192" s="140" t="s">
        <v>482</v>
      </c>
      <c r="H8192">
        <v>0</v>
      </c>
      <c r="I8192" s="140" t="s">
        <v>17</v>
      </c>
    </row>
    <row r="8193" spans="1:9" hidden="1" x14ac:dyDescent="0.25">
      <c r="A8193">
        <v>2023</v>
      </c>
      <c r="B8193" s="140" t="s">
        <v>51</v>
      </c>
      <c r="C8193" s="140" t="s">
        <v>243</v>
      </c>
      <c r="D8193" s="140" t="s">
        <v>11</v>
      </c>
      <c r="E8193" s="140" t="s">
        <v>320</v>
      </c>
      <c r="F8193">
        <v>5573</v>
      </c>
      <c r="G8193" s="140" t="s">
        <v>482</v>
      </c>
      <c r="H8193">
        <v>0</v>
      </c>
      <c r="I8193" s="140" t="s">
        <v>17</v>
      </c>
    </row>
    <row r="8194" spans="1:9" hidden="1" x14ac:dyDescent="0.25">
      <c r="A8194">
        <v>2024</v>
      </c>
      <c r="B8194" s="140" t="s">
        <v>51</v>
      </c>
      <c r="C8194" s="140" t="s">
        <v>243</v>
      </c>
      <c r="D8194" s="140" t="s">
        <v>11</v>
      </c>
      <c r="E8194" s="140" t="s">
        <v>320</v>
      </c>
      <c r="F8194">
        <v>5675</v>
      </c>
      <c r="G8194" s="140" t="s">
        <v>482</v>
      </c>
      <c r="H8194">
        <v>0</v>
      </c>
      <c r="I8194" s="140" t="s">
        <v>17</v>
      </c>
    </row>
    <row r="8195" spans="1:9" hidden="1" x14ac:dyDescent="0.25">
      <c r="A8195">
        <v>2025</v>
      </c>
      <c r="B8195" s="140" t="s">
        <v>51</v>
      </c>
      <c r="C8195" s="140" t="s">
        <v>243</v>
      </c>
      <c r="D8195" s="140" t="s">
        <v>11</v>
      </c>
      <c r="E8195" s="140" t="s">
        <v>320</v>
      </c>
      <c r="F8195">
        <v>5646</v>
      </c>
      <c r="G8195" s="140" t="s">
        <v>482</v>
      </c>
      <c r="H8195">
        <v>0</v>
      </c>
      <c r="I8195" s="140" t="s">
        <v>17</v>
      </c>
    </row>
    <row r="8196" spans="1:9" hidden="1" x14ac:dyDescent="0.25">
      <c r="A8196">
        <v>2026</v>
      </c>
      <c r="B8196" s="140" t="s">
        <v>51</v>
      </c>
      <c r="C8196" s="140" t="s">
        <v>243</v>
      </c>
      <c r="D8196" s="140" t="s">
        <v>11</v>
      </c>
      <c r="E8196" s="140" t="s">
        <v>320</v>
      </c>
      <c r="F8196">
        <v>5739.58</v>
      </c>
      <c r="G8196" s="140" t="s">
        <v>482</v>
      </c>
      <c r="H8196">
        <v>0</v>
      </c>
      <c r="I8196" s="140" t="s">
        <v>17</v>
      </c>
    </row>
    <row r="8197" spans="1:9" hidden="1" x14ac:dyDescent="0.25">
      <c r="A8197">
        <v>2027</v>
      </c>
      <c r="B8197" s="140" t="s">
        <v>51</v>
      </c>
      <c r="C8197" s="140" t="s">
        <v>243</v>
      </c>
      <c r="D8197" s="140" t="s">
        <v>11</v>
      </c>
      <c r="E8197" s="140" t="s">
        <v>320</v>
      </c>
      <c r="F8197">
        <v>5835.0316000000003</v>
      </c>
      <c r="G8197" s="140" t="s">
        <v>482</v>
      </c>
      <c r="H8197">
        <v>0</v>
      </c>
      <c r="I8197" s="140" t="s">
        <v>17</v>
      </c>
    </row>
    <row r="8198" spans="1:9" hidden="1" x14ac:dyDescent="0.25">
      <c r="A8198">
        <v>2028</v>
      </c>
      <c r="B8198" s="140" t="s">
        <v>51</v>
      </c>
      <c r="C8198" s="140" t="s">
        <v>243</v>
      </c>
      <c r="D8198" s="140" t="s">
        <v>11</v>
      </c>
      <c r="E8198" s="140" t="s">
        <v>320</v>
      </c>
      <c r="F8198">
        <v>5932.3922320000001</v>
      </c>
      <c r="G8198" s="140" t="s">
        <v>482</v>
      </c>
      <c r="H8198">
        <v>0</v>
      </c>
      <c r="I8198" s="140" t="s">
        <v>17</v>
      </c>
    </row>
    <row r="8199" spans="1:9" hidden="1" x14ac:dyDescent="0.25">
      <c r="A8199">
        <v>1990</v>
      </c>
      <c r="B8199" s="140" t="s">
        <v>113</v>
      </c>
      <c r="C8199" s="140" t="s">
        <v>243</v>
      </c>
      <c r="D8199" s="140" t="s">
        <v>11</v>
      </c>
      <c r="E8199" s="140" t="s">
        <v>320</v>
      </c>
      <c r="F8199">
        <v>1709</v>
      </c>
      <c r="G8199" s="140" t="s">
        <v>114</v>
      </c>
      <c r="H8199">
        <v>0</v>
      </c>
      <c r="I8199" s="140" t="s">
        <v>17</v>
      </c>
    </row>
    <row r="8200" spans="1:9" hidden="1" x14ac:dyDescent="0.25">
      <c r="A8200">
        <v>1991</v>
      </c>
      <c r="B8200" s="140" t="s">
        <v>113</v>
      </c>
      <c r="C8200" s="140" t="s">
        <v>243</v>
      </c>
      <c r="D8200" s="140" t="s">
        <v>11</v>
      </c>
      <c r="E8200" s="140" t="s">
        <v>320</v>
      </c>
      <c r="F8200">
        <v>1763</v>
      </c>
      <c r="G8200" s="140" t="s">
        <v>114</v>
      </c>
      <c r="H8200">
        <v>0</v>
      </c>
      <c r="I8200" s="140" t="s">
        <v>17</v>
      </c>
    </row>
    <row r="8201" spans="1:9" hidden="1" x14ac:dyDescent="0.25">
      <c r="A8201">
        <v>1992</v>
      </c>
      <c r="B8201" s="140" t="s">
        <v>113</v>
      </c>
      <c r="C8201" s="140" t="s">
        <v>243</v>
      </c>
      <c r="D8201" s="140" t="s">
        <v>11</v>
      </c>
      <c r="E8201" s="140" t="s">
        <v>320</v>
      </c>
      <c r="F8201">
        <v>1800</v>
      </c>
      <c r="G8201" s="140" t="s">
        <v>114</v>
      </c>
      <c r="H8201">
        <v>0</v>
      </c>
      <c r="I8201" s="140" t="s">
        <v>17</v>
      </c>
    </row>
    <row r="8202" spans="1:9" hidden="1" x14ac:dyDescent="0.25">
      <c r="A8202">
        <v>1993</v>
      </c>
      <c r="B8202" s="140" t="s">
        <v>113</v>
      </c>
      <c r="C8202" s="140" t="s">
        <v>243</v>
      </c>
      <c r="D8202" s="140" t="s">
        <v>11</v>
      </c>
      <c r="E8202" s="140" t="s">
        <v>320</v>
      </c>
      <c r="F8202">
        <v>1807</v>
      </c>
      <c r="G8202" s="140" t="s">
        <v>114</v>
      </c>
      <c r="H8202">
        <v>0</v>
      </c>
      <c r="I8202" s="140" t="s">
        <v>17</v>
      </c>
    </row>
    <row r="8203" spans="1:9" hidden="1" x14ac:dyDescent="0.25">
      <c r="A8203">
        <v>1994</v>
      </c>
      <c r="B8203" s="140" t="s">
        <v>113</v>
      </c>
      <c r="C8203" s="140" t="s">
        <v>243</v>
      </c>
      <c r="D8203" s="140" t="s">
        <v>11</v>
      </c>
      <c r="E8203" s="140" t="s">
        <v>320</v>
      </c>
      <c r="F8203">
        <v>1850</v>
      </c>
      <c r="G8203" s="140" t="s">
        <v>114</v>
      </c>
      <c r="H8203">
        <v>0</v>
      </c>
      <c r="I8203" s="140" t="s">
        <v>17</v>
      </c>
    </row>
    <row r="8204" spans="1:9" hidden="1" x14ac:dyDescent="0.25">
      <c r="A8204">
        <v>1995</v>
      </c>
      <c r="B8204" s="140" t="s">
        <v>113</v>
      </c>
      <c r="C8204" s="140" t="s">
        <v>243</v>
      </c>
      <c r="D8204" s="140" t="s">
        <v>11</v>
      </c>
      <c r="E8204" s="140" t="s">
        <v>320</v>
      </c>
      <c r="F8204">
        <v>1976</v>
      </c>
      <c r="G8204" s="140" t="s">
        <v>114</v>
      </c>
      <c r="H8204">
        <v>0</v>
      </c>
      <c r="I8204" s="140" t="s">
        <v>17</v>
      </c>
    </row>
    <row r="8205" spans="1:9" hidden="1" x14ac:dyDescent="0.25">
      <c r="A8205">
        <v>1996</v>
      </c>
      <c r="B8205" s="140" t="s">
        <v>113</v>
      </c>
      <c r="C8205" s="140" t="s">
        <v>243</v>
      </c>
      <c r="D8205" s="140" t="s">
        <v>11</v>
      </c>
      <c r="E8205" s="140" t="s">
        <v>320</v>
      </c>
      <c r="F8205">
        <v>2047</v>
      </c>
      <c r="G8205" s="140" t="s">
        <v>114</v>
      </c>
      <c r="H8205">
        <v>0</v>
      </c>
      <c r="I8205" s="140" t="s">
        <v>17</v>
      </c>
    </row>
    <row r="8206" spans="1:9" hidden="1" x14ac:dyDescent="0.25">
      <c r="A8206">
        <v>1997</v>
      </c>
      <c r="B8206" s="140" t="s">
        <v>113</v>
      </c>
      <c r="C8206" s="140" t="s">
        <v>243</v>
      </c>
      <c r="D8206" s="140" t="s">
        <v>11</v>
      </c>
      <c r="E8206" s="140" t="s">
        <v>320</v>
      </c>
      <c r="F8206">
        <v>2175</v>
      </c>
      <c r="G8206" s="140" t="s">
        <v>114</v>
      </c>
      <c r="H8206">
        <v>0</v>
      </c>
      <c r="I8206" s="140" t="s">
        <v>17</v>
      </c>
    </row>
    <row r="8207" spans="1:9" hidden="1" x14ac:dyDescent="0.25">
      <c r="A8207">
        <v>1998</v>
      </c>
      <c r="B8207" s="140" t="s">
        <v>113</v>
      </c>
      <c r="C8207" s="140" t="s">
        <v>243</v>
      </c>
      <c r="D8207" s="140" t="s">
        <v>11</v>
      </c>
      <c r="E8207" s="140" t="s">
        <v>320</v>
      </c>
      <c r="F8207">
        <v>2361</v>
      </c>
      <c r="G8207" s="140" t="s">
        <v>114</v>
      </c>
      <c r="H8207">
        <v>0</v>
      </c>
      <c r="I8207" s="140" t="s">
        <v>17</v>
      </c>
    </row>
    <row r="8208" spans="1:9" hidden="1" x14ac:dyDescent="0.25">
      <c r="A8208">
        <v>1999</v>
      </c>
      <c r="B8208" s="140" t="s">
        <v>113</v>
      </c>
      <c r="C8208" s="140" t="s">
        <v>243</v>
      </c>
      <c r="D8208" s="140" t="s">
        <v>11</v>
      </c>
      <c r="E8208" s="140" t="s">
        <v>320</v>
      </c>
      <c r="F8208">
        <v>2530</v>
      </c>
      <c r="G8208" s="140" t="s">
        <v>114</v>
      </c>
      <c r="H8208">
        <v>0</v>
      </c>
      <c r="I8208" s="140" t="s">
        <v>17</v>
      </c>
    </row>
    <row r="8209" spans="1:9" hidden="1" x14ac:dyDescent="0.25">
      <c r="A8209">
        <v>2000</v>
      </c>
      <c r="B8209" s="140" t="s">
        <v>113</v>
      </c>
      <c r="C8209" s="140" t="s">
        <v>243</v>
      </c>
      <c r="D8209" s="140" t="s">
        <v>11</v>
      </c>
      <c r="E8209" s="140" t="s">
        <v>320</v>
      </c>
      <c r="F8209">
        <v>2697</v>
      </c>
      <c r="G8209" s="140" t="s">
        <v>114</v>
      </c>
      <c r="H8209">
        <v>0</v>
      </c>
      <c r="I8209" s="140" t="s">
        <v>17</v>
      </c>
    </row>
    <row r="8210" spans="1:9" hidden="1" x14ac:dyDescent="0.25">
      <c r="A8210">
        <v>2001</v>
      </c>
      <c r="B8210" s="140" t="s">
        <v>113</v>
      </c>
      <c r="C8210" s="140" t="s">
        <v>243</v>
      </c>
      <c r="D8210" s="140" t="s">
        <v>11</v>
      </c>
      <c r="E8210" s="140" t="s">
        <v>320</v>
      </c>
      <c r="F8210">
        <v>2914</v>
      </c>
      <c r="G8210" s="140" t="s">
        <v>114</v>
      </c>
      <c r="H8210">
        <v>0</v>
      </c>
      <c r="I8210" s="140" t="s">
        <v>17</v>
      </c>
    </row>
    <row r="8211" spans="1:9" hidden="1" x14ac:dyDescent="0.25">
      <c r="A8211">
        <v>2002</v>
      </c>
      <c r="B8211" s="140" t="s">
        <v>113</v>
      </c>
      <c r="C8211" s="140" t="s">
        <v>243</v>
      </c>
      <c r="D8211" s="140" t="s">
        <v>11</v>
      </c>
      <c r="E8211" s="140" t="s">
        <v>320</v>
      </c>
      <c r="F8211">
        <v>3054</v>
      </c>
      <c r="G8211" s="140" t="s">
        <v>114</v>
      </c>
      <c r="H8211">
        <v>0</v>
      </c>
      <c r="I8211" s="140" t="s">
        <v>17</v>
      </c>
    </row>
    <row r="8212" spans="1:9" hidden="1" x14ac:dyDescent="0.25">
      <c r="A8212">
        <v>2003</v>
      </c>
      <c r="B8212" s="140" t="s">
        <v>113</v>
      </c>
      <c r="C8212" s="140" t="s">
        <v>243</v>
      </c>
      <c r="D8212" s="140" t="s">
        <v>11</v>
      </c>
      <c r="E8212" s="140" t="s">
        <v>320</v>
      </c>
      <c r="F8212">
        <v>3291</v>
      </c>
      <c r="G8212" s="140" t="s">
        <v>114</v>
      </c>
      <c r="H8212">
        <v>0</v>
      </c>
      <c r="I8212" s="140" t="s">
        <v>17</v>
      </c>
    </row>
    <row r="8213" spans="1:9" hidden="1" x14ac:dyDescent="0.25">
      <c r="A8213">
        <v>2004</v>
      </c>
      <c r="B8213" s="140" t="s">
        <v>113</v>
      </c>
      <c r="C8213" s="140" t="s">
        <v>243</v>
      </c>
      <c r="D8213" s="140" t="s">
        <v>11</v>
      </c>
      <c r="E8213" s="140" t="s">
        <v>320</v>
      </c>
      <c r="F8213">
        <v>3536</v>
      </c>
      <c r="G8213" s="140" t="s">
        <v>114</v>
      </c>
      <c r="H8213">
        <v>0</v>
      </c>
      <c r="I8213" s="140" t="s">
        <v>17</v>
      </c>
    </row>
    <row r="8214" spans="1:9" hidden="1" x14ac:dyDescent="0.25">
      <c r="A8214">
        <v>2005</v>
      </c>
      <c r="B8214" s="140" t="s">
        <v>113</v>
      </c>
      <c r="C8214" s="140" t="s">
        <v>243</v>
      </c>
      <c r="D8214" s="140" t="s">
        <v>11</v>
      </c>
      <c r="E8214" s="140" t="s">
        <v>320</v>
      </c>
      <c r="F8214">
        <v>3758</v>
      </c>
      <c r="G8214" s="140" t="s">
        <v>114</v>
      </c>
      <c r="H8214">
        <v>0</v>
      </c>
      <c r="I8214" s="140" t="s">
        <v>17</v>
      </c>
    </row>
    <row r="8215" spans="1:9" hidden="1" x14ac:dyDescent="0.25">
      <c r="A8215">
        <v>2006</v>
      </c>
      <c r="B8215" s="140" t="s">
        <v>113</v>
      </c>
      <c r="C8215" s="140" t="s">
        <v>243</v>
      </c>
      <c r="D8215" s="140" t="s">
        <v>11</v>
      </c>
      <c r="E8215" s="140" t="s">
        <v>320</v>
      </c>
      <c r="F8215">
        <v>3972</v>
      </c>
      <c r="G8215" s="140" t="s">
        <v>114</v>
      </c>
      <c r="H8215">
        <v>0</v>
      </c>
      <c r="I8215" s="140" t="s">
        <v>17</v>
      </c>
    </row>
    <row r="8216" spans="1:9" hidden="1" x14ac:dyDescent="0.25">
      <c r="A8216">
        <v>2007</v>
      </c>
      <c r="B8216" s="140" t="s">
        <v>113</v>
      </c>
      <c r="C8216" s="140" t="s">
        <v>243</v>
      </c>
      <c r="D8216" s="140" t="s">
        <v>11</v>
      </c>
      <c r="E8216" s="140" t="s">
        <v>320</v>
      </c>
      <c r="F8216">
        <v>4256</v>
      </c>
      <c r="G8216" s="140" t="s">
        <v>114</v>
      </c>
      <c r="H8216">
        <v>0</v>
      </c>
      <c r="I8216" s="140" t="s">
        <v>17</v>
      </c>
    </row>
    <row r="8217" spans="1:9" hidden="1" x14ac:dyDescent="0.25">
      <c r="A8217">
        <v>2008</v>
      </c>
      <c r="B8217" s="140" t="s">
        <v>113</v>
      </c>
      <c r="C8217" s="140" t="s">
        <v>243</v>
      </c>
      <c r="D8217" s="140" t="s">
        <v>11</v>
      </c>
      <c r="E8217" s="140" t="s">
        <v>320</v>
      </c>
      <c r="F8217">
        <v>4485</v>
      </c>
      <c r="G8217" s="140" t="s">
        <v>114</v>
      </c>
      <c r="H8217">
        <v>0</v>
      </c>
      <c r="I8217" s="140" t="s">
        <v>17</v>
      </c>
    </row>
    <row r="8218" spans="1:9" hidden="1" x14ac:dyDescent="0.25">
      <c r="A8218">
        <v>2009</v>
      </c>
      <c r="B8218" s="140" t="s">
        <v>113</v>
      </c>
      <c r="C8218" s="140" t="s">
        <v>243</v>
      </c>
      <c r="D8218" s="140" t="s">
        <v>11</v>
      </c>
      <c r="E8218" s="140" t="s">
        <v>320</v>
      </c>
      <c r="F8218">
        <v>4703</v>
      </c>
      <c r="G8218" s="140" t="s">
        <v>114</v>
      </c>
      <c r="H8218">
        <v>0</v>
      </c>
      <c r="I8218" s="140" t="s">
        <v>17</v>
      </c>
    </row>
    <row r="8219" spans="1:9" hidden="1" x14ac:dyDescent="0.25">
      <c r="A8219">
        <v>2010</v>
      </c>
      <c r="B8219" s="140" t="s">
        <v>113</v>
      </c>
      <c r="C8219" s="140" t="s">
        <v>243</v>
      </c>
      <c r="D8219" s="140" t="s">
        <v>11</v>
      </c>
      <c r="E8219" s="140" t="s">
        <v>320</v>
      </c>
      <c r="F8219">
        <v>4170</v>
      </c>
      <c r="G8219" s="140" t="s">
        <v>114</v>
      </c>
      <c r="H8219">
        <v>0</v>
      </c>
      <c r="I8219" s="140" t="s">
        <v>17</v>
      </c>
    </row>
    <row r="8220" spans="1:9" hidden="1" x14ac:dyDescent="0.25">
      <c r="A8220">
        <v>2011</v>
      </c>
      <c r="B8220" s="140" t="s">
        <v>113</v>
      </c>
      <c r="C8220" s="140" t="s">
        <v>243</v>
      </c>
      <c r="D8220" s="140" t="s">
        <v>11</v>
      </c>
      <c r="E8220" s="140" t="s">
        <v>320</v>
      </c>
      <c r="F8220">
        <v>4288</v>
      </c>
      <c r="G8220" s="140" t="s">
        <v>114</v>
      </c>
      <c r="H8220">
        <v>0</v>
      </c>
      <c r="I8220" s="140" t="s">
        <v>17</v>
      </c>
    </row>
    <row r="8221" spans="1:9" hidden="1" x14ac:dyDescent="0.25">
      <c r="A8221">
        <v>2012</v>
      </c>
      <c r="B8221" s="140" t="s">
        <v>113</v>
      </c>
      <c r="C8221" s="140" t="s">
        <v>243</v>
      </c>
      <c r="D8221" s="140" t="s">
        <v>11</v>
      </c>
      <c r="E8221" s="140" t="s">
        <v>320</v>
      </c>
      <c r="F8221">
        <v>4351</v>
      </c>
      <c r="G8221" s="140" t="s">
        <v>114</v>
      </c>
      <c r="H8221">
        <v>0</v>
      </c>
      <c r="I8221" s="140" t="s">
        <v>17</v>
      </c>
    </row>
    <row r="8222" spans="1:9" hidden="1" x14ac:dyDescent="0.25">
      <c r="A8222">
        <v>2013</v>
      </c>
      <c r="B8222" s="140" t="s">
        <v>113</v>
      </c>
      <c r="C8222" s="140" t="s">
        <v>243</v>
      </c>
      <c r="D8222" s="140" t="s">
        <v>11</v>
      </c>
      <c r="E8222" s="140" t="s">
        <v>320</v>
      </c>
      <c r="F8222">
        <v>4319</v>
      </c>
      <c r="G8222" s="140" t="s">
        <v>114</v>
      </c>
      <c r="H8222">
        <v>0</v>
      </c>
      <c r="I8222" s="140" t="s">
        <v>17</v>
      </c>
    </row>
    <row r="8223" spans="1:9" hidden="1" x14ac:dyDescent="0.25">
      <c r="A8223">
        <v>2014</v>
      </c>
      <c r="B8223" s="140" t="s">
        <v>113</v>
      </c>
      <c r="C8223" s="140" t="s">
        <v>243</v>
      </c>
      <c r="D8223" s="140" t="s">
        <v>11</v>
      </c>
      <c r="E8223" s="140" t="s">
        <v>320</v>
      </c>
      <c r="F8223">
        <v>4338</v>
      </c>
      <c r="G8223" s="140" t="s">
        <v>114</v>
      </c>
      <c r="H8223">
        <v>0</v>
      </c>
      <c r="I8223" s="140" t="s">
        <v>17</v>
      </c>
    </row>
    <row r="8224" spans="1:9" hidden="1" x14ac:dyDescent="0.25">
      <c r="A8224">
        <v>2015</v>
      </c>
      <c r="B8224" s="140" t="s">
        <v>113</v>
      </c>
      <c r="C8224" s="140" t="s">
        <v>243</v>
      </c>
      <c r="D8224" s="140" t="s">
        <v>11</v>
      </c>
      <c r="E8224" s="140" t="s">
        <v>320</v>
      </c>
      <c r="F8224">
        <v>4244</v>
      </c>
      <c r="G8224" s="140" t="s">
        <v>114</v>
      </c>
      <c r="H8224">
        <v>0</v>
      </c>
      <c r="I8224" s="140" t="s">
        <v>17</v>
      </c>
    </row>
    <row r="8225" spans="1:9" hidden="1" x14ac:dyDescent="0.25">
      <c r="A8225">
        <v>2016</v>
      </c>
      <c r="B8225" s="140" t="s">
        <v>113</v>
      </c>
      <c r="C8225" s="140" t="s">
        <v>243</v>
      </c>
      <c r="D8225" s="140" t="s">
        <v>11</v>
      </c>
      <c r="E8225" s="140" t="s">
        <v>320</v>
      </c>
      <c r="F8225">
        <v>4294</v>
      </c>
      <c r="G8225" s="140" t="s">
        <v>114</v>
      </c>
      <c r="H8225">
        <v>0</v>
      </c>
      <c r="I8225" s="140" t="s">
        <v>17</v>
      </c>
    </row>
    <row r="8226" spans="1:9" hidden="1" x14ac:dyDescent="0.25">
      <c r="A8226">
        <v>2017</v>
      </c>
      <c r="B8226" s="140" t="s">
        <v>113</v>
      </c>
      <c r="C8226" s="140" t="s">
        <v>243</v>
      </c>
      <c r="D8226" s="140" t="s">
        <v>11</v>
      </c>
      <c r="E8226" s="140" t="s">
        <v>320</v>
      </c>
      <c r="F8226">
        <v>4409</v>
      </c>
      <c r="G8226" s="140" t="s">
        <v>114</v>
      </c>
      <c r="H8226">
        <v>0</v>
      </c>
      <c r="I8226" s="140" t="s">
        <v>17</v>
      </c>
    </row>
    <row r="8227" spans="1:9" hidden="1" x14ac:dyDescent="0.25">
      <c r="A8227">
        <v>2018</v>
      </c>
      <c r="B8227" s="140" t="s">
        <v>113</v>
      </c>
      <c r="C8227" s="140" t="s">
        <v>243</v>
      </c>
      <c r="D8227" s="140" t="s">
        <v>11</v>
      </c>
      <c r="E8227" s="140" t="s">
        <v>320</v>
      </c>
      <c r="F8227">
        <v>4277</v>
      </c>
      <c r="G8227" s="140" t="s">
        <v>114</v>
      </c>
      <c r="H8227">
        <v>0</v>
      </c>
      <c r="I8227" s="140" t="s">
        <v>17</v>
      </c>
    </row>
    <row r="8228" spans="1:9" hidden="1" x14ac:dyDescent="0.25">
      <c r="A8228">
        <v>2019</v>
      </c>
      <c r="B8228" s="140" t="s">
        <v>113</v>
      </c>
      <c r="C8228" s="140" t="s">
        <v>243</v>
      </c>
      <c r="D8228" s="140" t="s">
        <v>11</v>
      </c>
      <c r="E8228" s="140" t="s">
        <v>320</v>
      </c>
      <c r="F8228">
        <v>4406</v>
      </c>
      <c r="G8228" s="140" t="s">
        <v>114</v>
      </c>
      <c r="H8228">
        <v>0</v>
      </c>
      <c r="I8228" s="140" t="s">
        <v>17</v>
      </c>
    </row>
    <row r="8229" spans="1:9" hidden="1" x14ac:dyDescent="0.25">
      <c r="A8229">
        <v>2020</v>
      </c>
      <c r="B8229" s="140" t="s">
        <v>113</v>
      </c>
      <c r="C8229" s="140" t="s">
        <v>243</v>
      </c>
      <c r="D8229" s="140" t="s">
        <v>11</v>
      </c>
      <c r="E8229" s="140" t="s">
        <v>320</v>
      </c>
      <c r="F8229">
        <v>4422</v>
      </c>
      <c r="G8229" s="140" t="s">
        <v>114</v>
      </c>
      <c r="H8229">
        <v>0</v>
      </c>
      <c r="I8229" s="140" t="s">
        <v>17</v>
      </c>
    </row>
    <row r="8230" spans="1:9" hidden="1" x14ac:dyDescent="0.25">
      <c r="A8230">
        <v>2021</v>
      </c>
      <c r="B8230" s="140" t="s">
        <v>113</v>
      </c>
      <c r="C8230" s="140" t="s">
        <v>243</v>
      </c>
      <c r="D8230" s="140" t="s">
        <v>11</v>
      </c>
      <c r="E8230" s="140" t="s">
        <v>320</v>
      </c>
      <c r="F8230">
        <v>4522</v>
      </c>
      <c r="G8230" s="140" t="s">
        <v>114</v>
      </c>
      <c r="H8230">
        <v>0</v>
      </c>
      <c r="I8230" s="140" t="s">
        <v>17</v>
      </c>
    </row>
    <row r="8231" spans="1:9" hidden="1" x14ac:dyDescent="0.25">
      <c r="A8231">
        <v>2022</v>
      </c>
      <c r="B8231" s="140" t="s">
        <v>113</v>
      </c>
      <c r="C8231" s="140" t="s">
        <v>243</v>
      </c>
      <c r="D8231" s="140" t="s">
        <v>11</v>
      </c>
      <c r="E8231" s="140" t="s">
        <v>320</v>
      </c>
      <c r="F8231">
        <v>5210</v>
      </c>
      <c r="G8231" s="140" t="s">
        <v>114</v>
      </c>
      <c r="H8231">
        <v>0</v>
      </c>
      <c r="I8231" s="140" t="s">
        <v>17</v>
      </c>
    </row>
    <row r="8232" spans="1:9" hidden="1" x14ac:dyDescent="0.25">
      <c r="A8232">
        <v>2023</v>
      </c>
      <c r="B8232" s="140" t="s">
        <v>113</v>
      </c>
      <c r="C8232" s="140" t="s">
        <v>243</v>
      </c>
      <c r="D8232" s="140" t="s">
        <v>11</v>
      </c>
      <c r="E8232" s="140" t="s">
        <v>320</v>
      </c>
      <c r="F8232">
        <v>5042</v>
      </c>
      <c r="G8232" s="140" t="s">
        <v>114</v>
      </c>
      <c r="H8232">
        <v>0</v>
      </c>
      <c r="I8232" s="140" t="s">
        <v>17</v>
      </c>
    </row>
    <row r="8233" spans="1:9" hidden="1" x14ac:dyDescent="0.25">
      <c r="A8233">
        <v>2024</v>
      </c>
      <c r="B8233" s="140" t="s">
        <v>113</v>
      </c>
      <c r="C8233" s="140" t="s">
        <v>243</v>
      </c>
      <c r="D8233" s="140" t="s">
        <v>11</v>
      </c>
      <c r="E8233" s="140" t="s">
        <v>320</v>
      </c>
      <c r="F8233">
        <v>5114</v>
      </c>
      <c r="G8233" s="140" t="s">
        <v>114</v>
      </c>
      <c r="H8233">
        <v>0</v>
      </c>
      <c r="I8233" s="140" t="s">
        <v>17</v>
      </c>
    </row>
    <row r="8234" spans="1:9" hidden="1" x14ac:dyDescent="0.25">
      <c r="A8234">
        <v>2025</v>
      </c>
      <c r="B8234" s="140" t="s">
        <v>113</v>
      </c>
      <c r="C8234" s="140" t="s">
        <v>243</v>
      </c>
      <c r="D8234" s="140" t="s">
        <v>11</v>
      </c>
      <c r="E8234" s="140" t="s">
        <v>320</v>
      </c>
      <c r="F8234">
        <v>5140</v>
      </c>
      <c r="G8234" s="140" t="s">
        <v>114</v>
      </c>
      <c r="H8234">
        <v>0</v>
      </c>
      <c r="I8234" s="140" t="s">
        <v>17</v>
      </c>
    </row>
    <row r="8235" spans="1:9" hidden="1" x14ac:dyDescent="0.25">
      <c r="A8235">
        <v>2026</v>
      </c>
      <c r="B8235" s="140" t="s">
        <v>113</v>
      </c>
      <c r="C8235" s="140" t="s">
        <v>243</v>
      </c>
      <c r="D8235" s="140" t="s">
        <v>11</v>
      </c>
      <c r="E8235" s="140" t="s">
        <v>320</v>
      </c>
      <c r="F8235">
        <v>5166.1321859999998</v>
      </c>
      <c r="G8235" s="140" t="s">
        <v>114</v>
      </c>
      <c r="H8235">
        <v>0</v>
      </c>
      <c r="I8235" s="140" t="s">
        <v>17</v>
      </c>
    </row>
    <row r="8236" spans="1:9" hidden="1" x14ac:dyDescent="0.25">
      <c r="A8236">
        <v>2027</v>
      </c>
      <c r="B8236" s="140" t="s">
        <v>113</v>
      </c>
      <c r="C8236" s="140" t="s">
        <v>243</v>
      </c>
      <c r="D8236" s="140" t="s">
        <v>11</v>
      </c>
      <c r="E8236" s="140" t="s">
        <v>320</v>
      </c>
      <c r="F8236">
        <v>5343.020552</v>
      </c>
      <c r="G8236" s="140" t="s">
        <v>114</v>
      </c>
      <c r="H8236">
        <v>0</v>
      </c>
      <c r="I8236" s="140" t="s">
        <v>17</v>
      </c>
    </row>
    <row r="8237" spans="1:9" hidden="1" x14ac:dyDescent="0.25">
      <c r="A8237">
        <v>2028</v>
      </c>
      <c r="B8237" s="140" t="s">
        <v>113</v>
      </c>
      <c r="C8237" s="140" t="s">
        <v>243</v>
      </c>
      <c r="D8237" s="140" t="s">
        <v>11</v>
      </c>
      <c r="E8237" s="140" t="s">
        <v>320</v>
      </c>
      <c r="F8237">
        <v>5482.7939699999997</v>
      </c>
      <c r="G8237" s="140" t="s">
        <v>114</v>
      </c>
      <c r="H8237">
        <v>0</v>
      </c>
      <c r="I8237" s="140" t="s">
        <v>17</v>
      </c>
    </row>
    <row r="8238" spans="1:9" hidden="1" x14ac:dyDescent="0.25">
      <c r="A8238">
        <v>1990</v>
      </c>
      <c r="B8238" s="140" t="s">
        <v>419</v>
      </c>
      <c r="C8238" s="140" t="s">
        <v>243</v>
      </c>
      <c r="D8238" s="140" t="s">
        <v>11</v>
      </c>
      <c r="E8238" s="140" t="s">
        <v>320</v>
      </c>
      <c r="F8238">
        <v>102</v>
      </c>
      <c r="G8238" s="140" t="s">
        <v>483</v>
      </c>
      <c r="H8238">
        <v>0</v>
      </c>
      <c r="I8238" s="140" t="s">
        <v>17</v>
      </c>
    </row>
    <row r="8239" spans="1:9" hidden="1" x14ac:dyDescent="0.25">
      <c r="A8239">
        <v>1991</v>
      </c>
      <c r="B8239" s="140" t="s">
        <v>419</v>
      </c>
      <c r="C8239" s="140" t="s">
        <v>243</v>
      </c>
      <c r="D8239" s="140" t="s">
        <v>11</v>
      </c>
      <c r="E8239" s="140" t="s">
        <v>320</v>
      </c>
      <c r="F8239">
        <v>127</v>
      </c>
      <c r="G8239" s="140" t="s">
        <v>483</v>
      </c>
      <c r="H8239">
        <v>0</v>
      </c>
      <c r="I8239" s="140" t="s">
        <v>17</v>
      </c>
    </row>
    <row r="8240" spans="1:9" hidden="1" x14ac:dyDescent="0.25">
      <c r="A8240">
        <v>1992</v>
      </c>
      <c r="B8240" s="140" t="s">
        <v>419</v>
      </c>
      <c r="C8240" s="140" t="s">
        <v>243</v>
      </c>
      <c r="D8240" s="140" t="s">
        <v>11</v>
      </c>
      <c r="E8240" s="140" t="s">
        <v>320</v>
      </c>
      <c r="F8240">
        <v>152</v>
      </c>
      <c r="G8240" s="140" t="s">
        <v>483</v>
      </c>
      <c r="H8240">
        <v>0</v>
      </c>
      <c r="I8240" s="140" t="s">
        <v>17</v>
      </c>
    </row>
    <row r="8241" spans="1:9" hidden="1" x14ac:dyDescent="0.25">
      <c r="A8241">
        <v>1993</v>
      </c>
      <c r="B8241" s="140" t="s">
        <v>419</v>
      </c>
      <c r="C8241" s="140" t="s">
        <v>243</v>
      </c>
      <c r="D8241" s="140" t="s">
        <v>11</v>
      </c>
      <c r="E8241" s="140" t="s">
        <v>320</v>
      </c>
      <c r="F8241">
        <v>60</v>
      </c>
      <c r="G8241" s="140" t="s">
        <v>483</v>
      </c>
      <c r="H8241">
        <v>0</v>
      </c>
      <c r="I8241" s="140" t="s">
        <v>17</v>
      </c>
    </row>
    <row r="8242" spans="1:9" hidden="1" x14ac:dyDescent="0.25">
      <c r="A8242">
        <v>1994</v>
      </c>
      <c r="B8242" s="140" t="s">
        <v>419</v>
      </c>
      <c r="C8242" s="140" t="s">
        <v>243</v>
      </c>
      <c r="D8242" s="140" t="s">
        <v>11</v>
      </c>
      <c r="E8242" s="140" t="s">
        <v>320</v>
      </c>
      <c r="F8242">
        <v>24</v>
      </c>
      <c r="G8242" s="140" t="s">
        <v>483</v>
      </c>
      <c r="H8242">
        <v>0</v>
      </c>
      <c r="I8242" s="140" t="s">
        <v>17</v>
      </c>
    </row>
    <row r="8243" spans="1:9" hidden="1" x14ac:dyDescent="0.25">
      <c r="A8243">
        <v>1995</v>
      </c>
      <c r="B8243" s="140" t="s">
        <v>419</v>
      </c>
      <c r="C8243" s="140" t="s">
        <v>243</v>
      </c>
      <c r="D8243" s="140" t="s">
        <v>11</v>
      </c>
      <c r="E8243" s="140" t="s">
        <v>320</v>
      </c>
      <c r="F8243">
        <v>30</v>
      </c>
      <c r="G8243" s="140" t="s">
        <v>483</v>
      </c>
      <c r="H8243">
        <v>0</v>
      </c>
      <c r="I8243" s="140" t="s">
        <v>17</v>
      </c>
    </row>
    <row r="8244" spans="1:9" hidden="1" x14ac:dyDescent="0.25">
      <c r="A8244">
        <v>1996</v>
      </c>
      <c r="B8244" s="140" t="s">
        <v>419</v>
      </c>
      <c r="C8244" s="140" t="s">
        <v>243</v>
      </c>
      <c r="D8244" s="140" t="s">
        <v>11</v>
      </c>
      <c r="E8244" s="140" t="s">
        <v>320</v>
      </c>
      <c r="F8244">
        <v>27</v>
      </c>
      <c r="G8244" s="140" t="s">
        <v>483</v>
      </c>
      <c r="H8244">
        <v>0</v>
      </c>
      <c r="I8244" s="140" t="s">
        <v>17</v>
      </c>
    </row>
    <row r="8245" spans="1:9" hidden="1" x14ac:dyDescent="0.25">
      <c r="A8245">
        <v>1997</v>
      </c>
      <c r="B8245" s="140" t="s">
        <v>419</v>
      </c>
      <c r="C8245" s="140" t="s">
        <v>243</v>
      </c>
      <c r="D8245" s="140" t="s">
        <v>11</v>
      </c>
      <c r="E8245" s="140" t="s">
        <v>320</v>
      </c>
      <c r="F8245">
        <v>29</v>
      </c>
      <c r="G8245" s="140" t="s">
        <v>483</v>
      </c>
      <c r="H8245">
        <v>0</v>
      </c>
      <c r="I8245" s="140" t="s">
        <v>17</v>
      </c>
    </row>
    <row r="8246" spans="1:9" hidden="1" x14ac:dyDescent="0.25">
      <c r="A8246">
        <v>1998</v>
      </c>
      <c r="B8246" s="140" t="s">
        <v>419</v>
      </c>
      <c r="C8246" s="140" t="s">
        <v>243</v>
      </c>
      <c r="D8246" s="140" t="s">
        <v>11</v>
      </c>
      <c r="E8246" s="140" t="s">
        <v>320</v>
      </c>
      <c r="F8246">
        <v>116</v>
      </c>
      <c r="G8246" s="140" t="s">
        <v>483</v>
      </c>
      <c r="H8246">
        <v>0</v>
      </c>
      <c r="I8246" s="140" t="s">
        <v>17</v>
      </c>
    </row>
    <row r="8247" spans="1:9" hidden="1" x14ac:dyDescent="0.25">
      <c r="A8247">
        <v>1999</v>
      </c>
      <c r="B8247" s="140" t="s">
        <v>419</v>
      </c>
      <c r="C8247" s="140" t="s">
        <v>243</v>
      </c>
      <c r="D8247" s="140" t="s">
        <v>11</v>
      </c>
      <c r="E8247" s="140" t="s">
        <v>320</v>
      </c>
      <c r="F8247">
        <v>103</v>
      </c>
      <c r="G8247" s="140" t="s">
        <v>483</v>
      </c>
      <c r="H8247">
        <v>0</v>
      </c>
      <c r="I8247" s="140" t="s">
        <v>17</v>
      </c>
    </row>
    <row r="8248" spans="1:9" hidden="1" x14ac:dyDescent="0.25">
      <c r="A8248">
        <v>2000</v>
      </c>
      <c r="B8248" s="140" t="s">
        <v>419</v>
      </c>
      <c r="C8248" s="140" t="s">
        <v>243</v>
      </c>
      <c r="D8248" s="140" t="s">
        <v>11</v>
      </c>
      <c r="E8248" s="140" t="s">
        <v>320</v>
      </c>
      <c r="F8248">
        <v>87</v>
      </c>
      <c r="G8248" s="140" t="s">
        <v>483</v>
      </c>
      <c r="H8248">
        <v>0</v>
      </c>
      <c r="I8248" s="140" t="s">
        <v>17</v>
      </c>
    </row>
    <row r="8249" spans="1:9" hidden="1" x14ac:dyDescent="0.25">
      <c r="A8249">
        <v>2001</v>
      </c>
      <c r="B8249" s="140" t="s">
        <v>419</v>
      </c>
      <c r="C8249" s="140" t="s">
        <v>243</v>
      </c>
      <c r="D8249" s="140" t="s">
        <v>11</v>
      </c>
      <c r="E8249" s="140" t="s">
        <v>320</v>
      </c>
      <c r="F8249">
        <v>91</v>
      </c>
      <c r="G8249" s="140" t="s">
        <v>483</v>
      </c>
      <c r="H8249">
        <v>0</v>
      </c>
      <c r="I8249" s="140" t="s">
        <v>17</v>
      </c>
    </row>
    <row r="8250" spans="1:9" hidden="1" x14ac:dyDescent="0.25">
      <c r="A8250">
        <v>2002</v>
      </c>
      <c r="B8250" s="140" t="s">
        <v>419</v>
      </c>
      <c r="C8250" s="140" t="s">
        <v>243</v>
      </c>
      <c r="D8250" s="140" t="s">
        <v>11</v>
      </c>
      <c r="E8250" s="140" t="s">
        <v>320</v>
      </c>
      <c r="F8250">
        <v>106</v>
      </c>
      <c r="G8250" s="140" t="s">
        <v>483</v>
      </c>
      <c r="H8250">
        <v>0</v>
      </c>
      <c r="I8250" s="140" t="s">
        <v>17</v>
      </c>
    </row>
    <row r="8251" spans="1:9" hidden="1" x14ac:dyDescent="0.25">
      <c r="A8251">
        <v>2003</v>
      </c>
      <c r="B8251" s="140" t="s">
        <v>419</v>
      </c>
      <c r="C8251" s="140" t="s">
        <v>243</v>
      </c>
      <c r="D8251" s="140" t="s">
        <v>11</v>
      </c>
      <c r="E8251" s="140" t="s">
        <v>320</v>
      </c>
      <c r="F8251">
        <v>109</v>
      </c>
      <c r="G8251" s="140" t="s">
        <v>483</v>
      </c>
      <c r="H8251">
        <v>0</v>
      </c>
      <c r="I8251" s="140" t="s">
        <v>17</v>
      </c>
    </row>
    <row r="8252" spans="1:9" hidden="1" x14ac:dyDescent="0.25">
      <c r="A8252">
        <v>2004</v>
      </c>
      <c r="B8252" s="140" t="s">
        <v>419</v>
      </c>
      <c r="C8252" s="140" t="s">
        <v>243</v>
      </c>
      <c r="D8252" s="140" t="s">
        <v>11</v>
      </c>
      <c r="E8252" s="140" t="s">
        <v>320</v>
      </c>
      <c r="F8252">
        <v>110</v>
      </c>
      <c r="G8252" s="140" t="s">
        <v>483</v>
      </c>
      <c r="H8252">
        <v>0</v>
      </c>
      <c r="I8252" s="140" t="s">
        <v>17</v>
      </c>
    </row>
    <row r="8253" spans="1:9" hidden="1" x14ac:dyDescent="0.25">
      <c r="A8253">
        <v>2005</v>
      </c>
      <c r="B8253" s="140" t="s">
        <v>419</v>
      </c>
      <c r="C8253" s="140" t="s">
        <v>243</v>
      </c>
      <c r="D8253" s="140" t="s">
        <v>11</v>
      </c>
      <c r="E8253" s="140" t="s">
        <v>320</v>
      </c>
      <c r="F8253">
        <v>94</v>
      </c>
      <c r="G8253" s="140" t="s">
        <v>483</v>
      </c>
      <c r="H8253">
        <v>0</v>
      </c>
      <c r="I8253" s="140" t="s">
        <v>17</v>
      </c>
    </row>
    <row r="8254" spans="1:9" hidden="1" x14ac:dyDescent="0.25">
      <c r="A8254">
        <v>2006</v>
      </c>
      <c r="B8254" s="140" t="s">
        <v>419</v>
      </c>
      <c r="C8254" s="140" t="s">
        <v>243</v>
      </c>
      <c r="D8254" s="140" t="s">
        <v>11</v>
      </c>
      <c r="E8254" s="140" t="s">
        <v>320</v>
      </c>
      <c r="F8254">
        <v>88</v>
      </c>
      <c r="G8254" s="140" t="s">
        <v>483</v>
      </c>
      <c r="H8254">
        <v>0</v>
      </c>
      <c r="I8254" s="140" t="s">
        <v>17</v>
      </c>
    </row>
    <row r="8255" spans="1:9" hidden="1" x14ac:dyDescent="0.25">
      <c r="A8255">
        <v>2007</v>
      </c>
      <c r="B8255" s="140" t="s">
        <v>419</v>
      </c>
      <c r="C8255" s="140" t="s">
        <v>243</v>
      </c>
      <c r="D8255" s="140" t="s">
        <v>11</v>
      </c>
      <c r="E8255" s="140" t="s">
        <v>320</v>
      </c>
      <c r="F8255">
        <v>165</v>
      </c>
      <c r="G8255" s="140" t="s">
        <v>483</v>
      </c>
      <c r="H8255">
        <v>0</v>
      </c>
      <c r="I8255" s="140" t="s">
        <v>17</v>
      </c>
    </row>
    <row r="8256" spans="1:9" hidden="1" x14ac:dyDescent="0.25">
      <c r="A8256">
        <v>2008</v>
      </c>
      <c r="B8256" s="140" t="s">
        <v>419</v>
      </c>
      <c r="C8256" s="140" t="s">
        <v>243</v>
      </c>
      <c r="D8256" s="140" t="s">
        <v>11</v>
      </c>
      <c r="E8256" s="140" t="s">
        <v>320</v>
      </c>
      <c r="F8256">
        <v>236</v>
      </c>
      <c r="G8256" s="140" t="s">
        <v>483</v>
      </c>
      <c r="H8256">
        <v>0</v>
      </c>
      <c r="I8256" s="140" t="s">
        <v>17</v>
      </c>
    </row>
    <row r="8257" spans="1:9" hidden="1" x14ac:dyDescent="0.25">
      <c r="A8257">
        <v>2009</v>
      </c>
      <c r="B8257" s="140" t="s">
        <v>419</v>
      </c>
      <c r="C8257" s="140" t="s">
        <v>243</v>
      </c>
      <c r="D8257" s="140" t="s">
        <v>11</v>
      </c>
      <c r="E8257" s="140" t="s">
        <v>320</v>
      </c>
      <c r="F8257">
        <v>165</v>
      </c>
      <c r="G8257" s="140" t="s">
        <v>483</v>
      </c>
      <c r="H8257">
        <v>0</v>
      </c>
      <c r="I8257" s="140" t="s">
        <v>17</v>
      </c>
    </row>
    <row r="8258" spans="1:9" hidden="1" x14ac:dyDescent="0.25">
      <c r="A8258">
        <v>2010</v>
      </c>
      <c r="B8258" s="140" t="s">
        <v>419</v>
      </c>
      <c r="C8258" s="140" t="s">
        <v>243</v>
      </c>
      <c r="D8258" s="140" t="s">
        <v>11</v>
      </c>
      <c r="E8258" s="140" t="s">
        <v>320</v>
      </c>
      <c r="F8258">
        <v>306</v>
      </c>
      <c r="G8258" s="140" t="s">
        <v>483</v>
      </c>
      <c r="H8258">
        <v>0</v>
      </c>
      <c r="I8258" s="140" t="s">
        <v>17</v>
      </c>
    </row>
    <row r="8259" spans="1:9" hidden="1" x14ac:dyDescent="0.25">
      <c r="A8259">
        <v>2011</v>
      </c>
      <c r="B8259" s="140" t="s">
        <v>419</v>
      </c>
      <c r="C8259" s="140" t="s">
        <v>243</v>
      </c>
      <c r="D8259" s="140" t="s">
        <v>11</v>
      </c>
      <c r="E8259" s="140" t="s">
        <v>320</v>
      </c>
      <c r="F8259">
        <v>230</v>
      </c>
      <c r="G8259" s="140" t="s">
        <v>483</v>
      </c>
      <c r="H8259">
        <v>0</v>
      </c>
      <c r="I8259" s="140" t="s">
        <v>17</v>
      </c>
    </row>
    <row r="8260" spans="1:9" hidden="1" x14ac:dyDescent="0.25">
      <c r="A8260">
        <v>2012</v>
      </c>
      <c r="B8260" s="140" t="s">
        <v>419</v>
      </c>
      <c r="C8260" s="140" t="s">
        <v>243</v>
      </c>
      <c r="D8260" s="140" t="s">
        <v>11</v>
      </c>
      <c r="E8260" s="140" t="s">
        <v>320</v>
      </c>
      <c r="F8260">
        <v>739</v>
      </c>
      <c r="G8260" s="140" t="s">
        <v>483</v>
      </c>
      <c r="H8260">
        <v>0</v>
      </c>
      <c r="I8260" s="140" t="s">
        <v>17</v>
      </c>
    </row>
    <row r="8261" spans="1:9" hidden="1" x14ac:dyDescent="0.25">
      <c r="A8261">
        <v>2013</v>
      </c>
      <c r="B8261" s="140" t="s">
        <v>419</v>
      </c>
      <c r="C8261" s="140" t="s">
        <v>243</v>
      </c>
      <c r="D8261" s="140" t="s">
        <v>11</v>
      </c>
      <c r="E8261" s="140" t="s">
        <v>320</v>
      </c>
      <c r="F8261">
        <v>183</v>
      </c>
      <c r="G8261" s="140" t="s">
        <v>483</v>
      </c>
      <c r="H8261">
        <v>0</v>
      </c>
      <c r="I8261" s="140" t="s">
        <v>17</v>
      </c>
    </row>
    <row r="8262" spans="1:9" hidden="1" x14ac:dyDescent="0.25">
      <c r="A8262">
        <v>2014</v>
      </c>
      <c r="B8262" s="140" t="s">
        <v>419</v>
      </c>
      <c r="C8262" s="140" t="s">
        <v>243</v>
      </c>
      <c r="D8262" s="140" t="s">
        <v>11</v>
      </c>
      <c r="E8262" s="140" t="s">
        <v>320</v>
      </c>
      <c r="F8262">
        <v>168</v>
      </c>
      <c r="G8262" s="140" t="s">
        <v>483</v>
      </c>
      <c r="H8262">
        <v>0</v>
      </c>
      <c r="I8262" s="140" t="s">
        <v>17</v>
      </c>
    </row>
    <row r="8263" spans="1:9" hidden="1" x14ac:dyDescent="0.25">
      <c r="A8263">
        <v>2015</v>
      </c>
      <c r="B8263" s="140" t="s">
        <v>419</v>
      </c>
      <c r="C8263" s="140" t="s">
        <v>243</v>
      </c>
      <c r="D8263" s="140" t="s">
        <v>11</v>
      </c>
      <c r="E8263" s="140" t="s">
        <v>320</v>
      </c>
      <c r="F8263">
        <v>157</v>
      </c>
      <c r="G8263" s="140" t="s">
        <v>483</v>
      </c>
      <c r="H8263">
        <v>0</v>
      </c>
      <c r="I8263" s="140" t="s">
        <v>17</v>
      </c>
    </row>
    <row r="8264" spans="1:9" hidden="1" x14ac:dyDescent="0.25">
      <c r="A8264">
        <v>2016</v>
      </c>
      <c r="B8264" s="140" t="s">
        <v>419</v>
      </c>
      <c r="C8264" s="140" t="s">
        <v>243</v>
      </c>
      <c r="D8264" s="140" t="s">
        <v>11</v>
      </c>
      <c r="E8264" s="140" t="s">
        <v>320</v>
      </c>
      <c r="F8264">
        <v>104</v>
      </c>
      <c r="G8264" s="140" t="s">
        <v>483</v>
      </c>
      <c r="H8264">
        <v>0</v>
      </c>
      <c r="I8264" s="140" t="s">
        <v>17</v>
      </c>
    </row>
    <row r="8265" spans="1:9" hidden="1" x14ac:dyDescent="0.25">
      <c r="A8265">
        <v>2017</v>
      </c>
      <c r="B8265" s="140" t="s">
        <v>419</v>
      </c>
      <c r="C8265" s="140" t="s">
        <v>243</v>
      </c>
      <c r="D8265" s="140" t="s">
        <v>11</v>
      </c>
      <c r="E8265" s="140" t="s">
        <v>320</v>
      </c>
      <c r="F8265">
        <v>81</v>
      </c>
      <c r="G8265" s="140" t="s">
        <v>483</v>
      </c>
      <c r="H8265">
        <v>0</v>
      </c>
      <c r="I8265" s="140" t="s">
        <v>17</v>
      </c>
    </row>
    <row r="8266" spans="1:9" hidden="1" x14ac:dyDescent="0.25">
      <c r="A8266">
        <v>2018</v>
      </c>
      <c r="B8266" s="140" t="s">
        <v>419</v>
      </c>
      <c r="C8266" s="140" t="s">
        <v>243</v>
      </c>
      <c r="D8266" s="140" t="s">
        <v>11</v>
      </c>
      <c r="E8266" s="140" t="s">
        <v>320</v>
      </c>
      <c r="F8266">
        <v>86</v>
      </c>
      <c r="G8266" s="140" t="s">
        <v>483</v>
      </c>
      <c r="H8266">
        <v>0</v>
      </c>
      <c r="I8266" s="140" t="s">
        <v>17</v>
      </c>
    </row>
    <row r="8267" spans="1:9" hidden="1" x14ac:dyDescent="0.25">
      <c r="A8267">
        <v>2019</v>
      </c>
      <c r="B8267" s="140" t="s">
        <v>419</v>
      </c>
      <c r="C8267" s="140" t="s">
        <v>243</v>
      </c>
      <c r="D8267" s="140" t="s">
        <v>11</v>
      </c>
      <c r="E8267" s="140" t="s">
        <v>320</v>
      </c>
      <c r="F8267">
        <v>119</v>
      </c>
      <c r="G8267" s="140" t="s">
        <v>483</v>
      </c>
      <c r="H8267">
        <v>0</v>
      </c>
      <c r="I8267" s="140" t="s">
        <v>17</v>
      </c>
    </row>
    <row r="8268" spans="1:9" hidden="1" x14ac:dyDescent="0.25">
      <c r="A8268">
        <v>2020</v>
      </c>
      <c r="B8268" s="140" t="s">
        <v>419</v>
      </c>
      <c r="C8268" s="140" t="s">
        <v>243</v>
      </c>
      <c r="D8268" s="140" t="s">
        <v>11</v>
      </c>
      <c r="E8268" s="140" t="s">
        <v>320</v>
      </c>
      <c r="F8268">
        <v>64</v>
      </c>
      <c r="G8268" s="140" t="s">
        <v>483</v>
      </c>
      <c r="H8268">
        <v>0</v>
      </c>
      <c r="I8268" s="140" t="s">
        <v>17</v>
      </c>
    </row>
    <row r="8269" spans="1:9" hidden="1" x14ac:dyDescent="0.25">
      <c r="A8269">
        <v>2021</v>
      </c>
      <c r="B8269" s="140" t="s">
        <v>419</v>
      </c>
      <c r="C8269" s="140" t="s">
        <v>243</v>
      </c>
      <c r="D8269" s="140" t="s">
        <v>11</v>
      </c>
      <c r="E8269" s="140" t="s">
        <v>320</v>
      </c>
      <c r="F8269">
        <v>59</v>
      </c>
      <c r="G8269" s="140" t="s">
        <v>483</v>
      </c>
      <c r="H8269">
        <v>0</v>
      </c>
      <c r="I8269" s="140" t="s">
        <v>17</v>
      </c>
    </row>
    <row r="8270" spans="1:9" hidden="1" x14ac:dyDescent="0.25">
      <c r="A8270">
        <v>2022</v>
      </c>
      <c r="B8270" s="140" t="s">
        <v>419</v>
      </c>
      <c r="C8270" s="140" t="s">
        <v>243</v>
      </c>
      <c r="D8270" s="140" t="s">
        <v>11</v>
      </c>
      <c r="E8270" s="140" t="s">
        <v>320</v>
      </c>
      <c r="F8270">
        <v>73</v>
      </c>
      <c r="G8270" s="140" t="s">
        <v>483</v>
      </c>
      <c r="H8270">
        <v>0</v>
      </c>
      <c r="I8270" s="140" t="s">
        <v>17</v>
      </c>
    </row>
    <row r="8271" spans="1:9" hidden="1" x14ac:dyDescent="0.25">
      <c r="A8271">
        <v>2023</v>
      </c>
      <c r="B8271" s="140" t="s">
        <v>419</v>
      </c>
      <c r="C8271" s="140" t="s">
        <v>243</v>
      </c>
      <c r="D8271" s="140" t="s">
        <v>11</v>
      </c>
      <c r="E8271" s="140" t="s">
        <v>320</v>
      </c>
      <c r="F8271">
        <v>28</v>
      </c>
      <c r="G8271" s="140" t="s">
        <v>483</v>
      </c>
      <c r="H8271">
        <v>0</v>
      </c>
      <c r="I8271" s="140" t="s">
        <v>17</v>
      </c>
    </row>
    <row r="8272" spans="1:9" hidden="1" x14ac:dyDescent="0.25">
      <c r="A8272">
        <v>2024</v>
      </c>
      <c r="B8272" s="140" t="s">
        <v>419</v>
      </c>
      <c r="C8272" s="140" t="s">
        <v>243</v>
      </c>
      <c r="D8272" s="140" t="s">
        <v>11</v>
      </c>
      <c r="E8272" s="140" t="s">
        <v>320</v>
      </c>
      <c r="F8272">
        <v>65</v>
      </c>
      <c r="G8272" s="140" t="s">
        <v>483</v>
      </c>
      <c r="H8272">
        <v>0</v>
      </c>
      <c r="I8272" s="140" t="s">
        <v>17</v>
      </c>
    </row>
    <row r="8273" spans="1:9" hidden="1" x14ac:dyDescent="0.25">
      <c r="A8273">
        <v>2025</v>
      </c>
      <c r="B8273" s="140" t="s">
        <v>419</v>
      </c>
      <c r="C8273" s="140" t="s">
        <v>243</v>
      </c>
      <c r="D8273" s="140" t="s">
        <v>11</v>
      </c>
      <c r="E8273" s="140" t="s">
        <v>320</v>
      </c>
      <c r="F8273">
        <v>47</v>
      </c>
      <c r="G8273" s="140" t="s">
        <v>483</v>
      </c>
      <c r="H8273">
        <v>0</v>
      </c>
      <c r="I8273" s="140" t="s">
        <v>17</v>
      </c>
    </row>
    <row r="8274" spans="1:9" hidden="1" x14ac:dyDescent="0.25">
      <c r="A8274">
        <v>2026</v>
      </c>
      <c r="B8274" s="140" t="s">
        <v>419</v>
      </c>
      <c r="C8274" s="140" t="s">
        <v>243</v>
      </c>
      <c r="D8274" s="140" t="s">
        <v>11</v>
      </c>
      <c r="E8274" s="140" t="s">
        <v>320</v>
      </c>
      <c r="F8274">
        <v>47</v>
      </c>
      <c r="G8274" s="140" t="s">
        <v>483</v>
      </c>
      <c r="H8274">
        <v>0</v>
      </c>
      <c r="I8274" s="140" t="s">
        <v>17</v>
      </c>
    </row>
    <row r="8275" spans="1:9" hidden="1" x14ac:dyDescent="0.25">
      <c r="A8275">
        <v>2027</v>
      </c>
      <c r="B8275" s="140" t="s">
        <v>419</v>
      </c>
      <c r="C8275" s="140" t="s">
        <v>243</v>
      </c>
      <c r="D8275" s="140" t="s">
        <v>11</v>
      </c>
      <c r="E8275" s="140" t="s">
        <v>320</v>
      </c>
      <c r="F8275">
        <v>47</v>
      </c>
      <c r="G8275" s="140" t="s">
        <v>483</v>
      </c>
      <c r="H8275">
        <v>0</v>
      </c>
      <c r="I8275" s="140" t="s">
        <v>17</v>
      </c>
    </row>
    <row r="8276" spans="1:9" hidden="1" x14ac:dyDescent="0.25">
      <c r="A8276">
        <v>2028</v>
      </c>
      <c r="B8276" s="140" t="s">
        <v>419</v>
      </c>
      <c r="C8276" s="140" t="s">
        <v>243</v>
      </c>
      <c r="D8276" s="140" t="s">
        <v>11</v>
      </c>
      <c r="E8276" s="140" t="s">
        <v>320</v>
      </c>
      <c r="F8276">
        <v>47</v>
      </c>
      <c r="G8276" s="140" t="s">
        <v>483</v>
      </c>
      <c r="H8276">
        <v>0</v>
      </c>
      <c r="I8276" s="140" t="s">
        <v>17</v>
      </c>
    </row>
    <row r="8277" spans="1:9" hidden="1" x14ac:dyDescent="0.25">
      <c r="A8277">
        <v>1990</v>
      </c>
      <c r="B8277" s="140" t="s">
        <v>421</v>
      </c>
      <c r="C8277" s="140" t="s">
        <v>243</v>
      </c>
      <c r="D8277" s="140" t="s">
        <v>11</v>
      </c>
      <c r="E8277" s="140" t="s">
        <v>320</v>
      </c>
      <c r="F8277">
        <v>0</v>
      </c>
      <c r="G8277" s="140" t="s">
        <v>484</v>
      </c>
      <c r="H8277">
        <v>0</v>
      </c>
      <c r="I8277" s="140" t="s">
        <v>17</v>
      </c>
    </row>
    <row r="8278" spans="1:9" hidden="1" x14ac:dyDescent="0.25">
      <c r="A8278">
        <v>1991</v>
      </c>
      <c r="B8278" s="140" t="s">
        <v>421</v>
      </c>
      <c r="C8278" s="140" t="s">
        <v>243</v>
      </c>
      <c r="D8278" s="140" t="s">
        <v>11</v>
      </c>
      <c r="E8278" s="140" t="s">
        <v>320</v>
      </c>
      <c r="F8278">
        <v>0</v>
      </c>
      <c r="G8278" s="140" t="s">
        <v>484</v>
      </c>
      <c r="H8278">
        <v>0</v>
      </c>
      <c r="I8278" s="140" t="s">
        <v>17</v>
      </c>
    </row>
    <row r="8279" spans="1:9" hidden="1" x14ac:dyDescent="0.25">
      <c r="A8279">
        <v>1992</v>
      </c>
      <c r="B8279" s="140" t="s">
        <v>421</v>
      </c>
      <c r="C8279" s="140" t="s">
        <v>243</v>
      </c>
      <c r="D8279" s="140" t="s">
        <v>11</v>
      </c>
      <c r="E8279" s="140" t="s">
        <v>320</v>
      </c>
      <c r="F8279">
        <v>0</v>
      </c>
      <c r="G8279" s="140" t="s">
        <v>484</v>
      </c>
      <c r="H8279">
        <v>0</v>
      </c>
      <c r="I8279" s="140" t="s">
        <v>17</v>
      </c>
    </row>
    <row r="8280" spans="1:9" hidden="1" x14ac:dyDescent="0.25">
      <c r="A8280">
        <v>1993</v>
      </c>
      <c r="B8280" s="140" t="s">
        <v>421</v>
      </c>
      <c r="C8280" s="140" t="s">
        <v>243</v>
      </c>
      <c r="D8280" s="140" t="s">
        <v>11</v>
      </c>
      <c r="E8280" s="140" t="s">
        <v>320</v>
      </c>
      <c r="F8280">
        <v>0</v>
      </c>
      <c r="G8280" s="140" t="s">
        <v>484</v>
      </c>
      <c r="H8280">
        <v>0</v>
      </c>
      <c r="I8280" s="140" t="s">
        <v>17</v>
      </c>
    </row>
    <row r="8281" spans="1:9" hidden="1" x14ac:dyDescent="0.25">
      <c r="A8281">
        <v>1994</v>
      </c>
      <c r="B8281" s="140" t="s">
        <v>421</v>
      </c>
      <c r="C8281" s="140" t="s">
        <v>243</v>
      </c>
      <c r="D8281" s="140" t="s">
        <v>11</v>
      </c>
      <c r="E8281" s="140" t="s">
        <v>320</v>
      </c>
      <c r="F8281">
        <v>0</v>
      </c>
      <c r="G8281" s="140" t="s">
        <v>484</v>
      </c>
      <c r="H8281">
        <v>0</v>
      </c>
      <c r="I8281" s="140" t="s">
        <v>17</v>
      </c>
    </row>
    <row r="8282" spans="1:9" hidden="1" x14ac:dyDescent="0.25">
      <c r="A8282">
        <v>1995</v>
      </c>
      <c r="B8282" s="140" t="s">
        <v>421</v>
      </c>
      <c r="C8282" s="140" t="s">
        <v>243</v>
      </c>
      <c r="D8282" s="140" t="s">
        <v>11</v>
      </c>
      <c r="E8282" s="140" t="s">
        <v>320</v>
      </c>
      <c r="F8282">
        <v>0</v>
      </c>
      <c r="G8282" s="140" t="s">
        <v>484</v>
      </c>
      <c r="H8282">
        <v>0</v>
      </c>
      <c r="I8282" s="140" t="s">
        <v>17</v>
      </c>
    </row>
    <row r="8283" spans="1:9" hidden="1" x14ac:dyDescent="0.25">
      <c r="A8283">
        <v>1996</v>
      </c>
      <c r="B8283" s="140" t="s">
        <v>421</v>
      </c>
      <c r="C8283" s="140" t="s">
        <v>243</v>
      </c>
      <c r="D8283" s="140" t="s">
        <v>11</v>
      </c>
      <c r="E8283" s="140" t="s">
        <v>320</v>
      </c>
      <c r="F8283">
        <v>0</v>
      </c>
      <c r="G8283" s="140" t="s">
        <v>484</v>
      </c>
      <c r="H8283">
        <v>0</v>
      </c>
      <c r="I8283" s="140" t="s">
        <v>17</v>
      </c>
    </row>
    <row r="8284" spans="1:9" hidden="1" x14ac:dyDescent="0.25">
      <c r="A8284">
        <v>1997</v>
      </c>
      <c r="B8284" s="140" t="s">
        <v>421</v>
      </c>
      <c r="C8284" s="140" t="s">
        <v>243</v>
      </c>
      <c r="D8284" s="140" t="s">
        <v>11</v>
      </c>
      <c r="E8284" s="140" t="s">
        <v>320</v>
      </c>
      <c r="F8284">
        <v>0</v>
      </c>
      <c r="G8284" s="140" t="s">
        <v>484</v>
      </c>
      <c r="H8284">
        <v>0</v>
      </c>
      <c r="I8284" s="140" t="s">
        <v>17</v>
      </c>
    </row>
    <row r="8285" spans="1:9" hidden="1" x14ac:dyDescent="0.25">
      <c r="A8285">
        <v>1998</v>
      </c>
      <c r="B8285" s="140" t="s">
        <v>421</v>
      </c>
      <c r="C8285" s="140" t="s">
        <v>243</v>
      </c>
      <c r="D8285" s="140" t="s">
        <v>11</v>
      </c>
      <c r="E8285" s="140" t="s">
        <v>320</v>
      </c>
      <c r="F8285">
        <v>0</v>
      </c>
      <c r="G8285" s="140" t="s">
        <v>484</v>
      </c>
      <c r="H8285">
        <v>0</v>
      </c>
      <c r="I8285" s="140" t="s">
        <v>17</v>
      </c>
    </row>
    <row r="8286" spans="1:9" hidden="1" x14ac:dyDescent="0.25">
      <c r="A8286">
        <v>1999</v>
      </c>
      <c r="B8286" s="140" t="s">
        <v>421</v>
      </c>
      <c r="C8286" s="140" t="s">
        <v>243</v>
      </c>
      <c r="D8286" s="140" t="s">
        <v>11</v>
      </c>
      <c r="E8286" s="140" t="s">
        <v>320</v>
      </c>
      <c r="F8286">
        <v>0</v>
      </c>
      <c r="G8286" s="140" t="s">
        <v>484</v>
      </c>
      <c r="H8286">
        <v>0</v>
      </c>
      <c r="I8286" s="140" t="s">
        <v>17</v>
      </c>
    </row>
    <row r="8287" spans="1:9" hidden="1" x14ac:dyDescent="0.25">
      <c r="A8287">
        <v>2000</v>
      </c>
      <c r="B8287" s="140" t="s">
        <v>421</v>
      </c>
      <c r="C8287" s="140" t="s">
        <v>243</v>
      </c>
      <c r="D8287" s="140" t="s">
        <v>11</v>
      </c>
      <c r="E8287" s="140" t="s">
        <v>320</v>
      </c>
      <c r="F8287">
        <v>0</v>
      </c>
      <c r="G8287" s="140" t="s">
        <v>484</v>
      </c>
      <c r="H8287">
        <v>0</v>
      </c>
      <c r="I8287" s="140" t="s">
        <v>17</v>
      </c>
    </row>
    <row r="8288" spans="1:9" hidden="1" x14ac:dyDescent="0.25">
      <c r="A8288">
        <v>2001</v>
      </c>
      <c r="B8288" s="140" t="s">
        <v>421</v>
      </c>
      <c r="C8288" s="140" t="s">
        <v>243</v>
      </c>
      <c r="D8288" s="140" t="s">
        <v>11</v>
      </c>
      <c r="E8288" s="140" t="s">
        <v>320</v>
      </c>
      <c r="F8288">
        <v>0</v>
      </c>
      <c r="G8288" s="140" t="s">
        <v>484</v>
      </c>
      <c r="H8288">
        <v>0</v>
      </c>
      <c r="I8288" s="140" t="s">
        <v>17</v>
      </c>
    </row>
    <row r="8289" spans="1:9" hidden="1" x14ac:dyDescent="0.25">
      <c r="A8289">
        <v>2002</v>
      </c>
      <c r="B8289" s="140" t="s">
        <v>421</v>
      </c>
      <c r="C8289" s="140" t="s">
        <v>243</v>
      </c>
      <c r="D8289" s="140" t="s">
        <v>11</v>
      </c>
      <c r="E8289" s="140" t="s">
        <v>320</v>
      </c>
      <c r="F8289">
        <v>0</v>
      </c>
      <c r="G8289" s="140" t="s">
        <v>484</v>
      </c>
      <c r="H8289">
        <v>0</v>
      </c>
      <c r="I8289" s="140" t="s">
        <v>17</v>
      </c>
    </row>
    <row r="8290" spans="1:9" hidden="1" x14ac:dyDescent="0.25">
      <c r="A8290">
        <v>2003</v>
      </c>
      <c r="B8290" s="140" t="s">
        <v>421</v>
      </c>
      <c r="C8290" s="140" t="s">
        <v>243</v>
      </c>
      <c r="D8290" s="140" t="s">
        <v>11</v>
      </c>
      <c r="E8290" s="140" t="s">
        <v>320</v>
      </c>
      <c r="F8290">
        <v>0</v>
      </c>
      <c r="G8290" s="140" t="s">
        <v>484</v>
      </c>
      <c r="H8290">
        <v>0</v>
      </c>
      <c r="I8290" s="140" t="s">
        <v>17</v>
      </c>
    </row>
    <row r="8291" spans="1:9" hidden="1" x14ac:dyDescent="0.25">
      <c r="A8291">
        <v>2004</v>
      </c>
      <c r="B8291" s="140" t="s">
        <v>421</v>
      </c>
      <c r="C8291" s="140" t="s">
        <v>243</v>
      </c>
      <c r="D8291" s="140" t="s">
        <v>11</v>
      </c>
      <c r="E8291" s="140" t="s">
        <v>320</v>
      </c>
      <c r="F8291">
        <v>0</v>
      </c>
      <c r="G8291" s="140" t="s">
        <v>484</v>
      </c>
      <c r="H8291">
        <v>0</v>
      </c>
      <c r="I8291" s="140" t="s">
        <v>17</v>
      </c>
    </row>
    <row r="8292" spans="1:9" hidden="1" x14ac:dyDescent="0.25">
      <c r="A8292">
        <v>2005</v>
      </c>
      <c r="B8292" s="140" t="s">
        <v>421</v>
      </c>
      <c r="C8292" s="140" t="s">
        <v>243</v>
      </c>
      <c r="D8292" s="140" t="s">
        <v>11</v>
      </c>
      <c r="E8292" s="140" t="s">
        <v>320</v>
      </c>
      <c r="F8292">
        <v>0</v>
      </c>
      <c r="G8292" s="140" t="s">
        <v>484</v>
      </c>
      <c r="H8292">
        <v>0</v>
      </c>
      <c r="I8292" s="140" t="s">
        <v>17</v>
      </c>
    </row>
    <row r="8293" spans="1:9" hidden="1" x14ac:dyDescent="0.25">
      <c r="A8293">
        <v>2006</v>
      </c>
      <c r="B8293" s="140" t="s">
        <v>421</v>
      </c>
      <c r="C8293" s="140" t="s">
        <v>243</v>
      </c>
      <c r="D8293" s="140" t="s">
        <v>11</v>
      </c>
      <c r="E8293" s="140" t="s">
        <v>320</v>
      </c>
      <c r="F8293">
        <v>0</v>
      </c>
      <c r="G8293" s="140" t="s">
        <v>484</v>
      </c>
      <c r="H8293">
        <v>0</v>
      </c>
      <c r="I8293" s="140" t="s">
        <v>17</v>
      </c>
    </row>
    <row r="8294" spans="1:9" hidden="1" x14ac:dyDescent="0.25">
      <c r="A8294">
        <v>2007</v>
      </c>
      <c r="B8294" s="140" t="s">
        <v>421</v>
      </c>
      <c r="C8294" s="140" t="s">
        <v>243</v>
      </c>
      <c r="D8294" s="140" t="s">
        <v>11</v>
      </c>
      <c r="E8294" s="140" t="s">
        <v>320</v>
      </c>
      <c r="F8294">
        <v>0</v>
      </c>
      <c r="G8294" s="140" t="s">
        <v>484</v>
      </c>
      <c r="H8294">
        <v>0</v>
      </c>
      <c r="I8294" s="140" t="s">
        <v>17</v>
      </c>
    </row>
    <row r="8295" spans="1:9" hidden="1" x14ac:dyDescent="0.25">
      <c r="A8295">
        <v>2008</v>
      </c>
      <c r="B8295" s="140" t="s">
        <v>421</v>
      </c>
      <c r="C8295" s="140" t="s">
        <v>243</v>
      </c>
      <c r="D8295" s="140" t="s">
        <v>11</v>
      </c>
      <c r="E8295" s="140" t="s">
        <v>320</v>
      </c>
      <c r="F8295">
        <v>43</v>
      </c>
      <c r="G8295" s="140" t="s">
        <v>484</v>
      </c>
      <c r="H8295">
        <v>0</v>
      </c>
      <c r="I8295" s="140" t="s">
        <v>17</v>
      </c>
    </row>
    <row r="8296" spans="1:9" hidden="1" x14ac:dyDescent="0.25">
      <c r="A8296">
        <v>2009</v>
      </c>
      <c r="B8296" s="140" t="s">
        <v>421</v>
      </c>
      <c r="C8296" s="140" t="s">
        <v>243</v>
      </c>
      <c r="D8296" s="140" t="s">
        <v>11</v>
      </c>
      <c r="E8296" s="140" t="s">
        <v>320</v>
      </c>
      <c r="F8296">
        <v>33</v>
      </c>
      <c r="G8296" s="140" t="s">
        <v>484</v>
      </c>
      <c r="H8296">
        <v>0</v>
      </c>
      <c r="I8296" s="140" t="s">
        <v>17</v>
      </c>
    </row>
    <row r="8297" spans="1:9" hidden="1" x14ac:dyDescent="0.25">
      <c r="A8297">
        <v>2010</v>
      </c>
      <c r="B8297" s="140" t="s">
        <v>421</v>
      </c>
      <c r="C8297" s="140" t="s">
        <v>243</v>
      </c>
      <c r="D8297" s="140" t="s">
        <v>11</v>
      </c>
      <c r="E8297" s="140" t="s">
        <v>320</v>
      </c>
      <c r="F8297">
        <v>128</v>
      </c>
      <c r="G8297" s="140" t="s">
        <v>484</v>
      </c>
      <c r="H8297">
        <v>0</v>
      </c>
      <c r="I8297" s="140" t="s">
        <v>17</v>
      </c>
    </row>
    <row r="8298" spans="1:9" hidden="1" x14ac:dyDescent="0.25">
      <c r="A8298">
        <v>2011</v>
      </c>
      <c r="B8298" s="140" t="s">
        <v>421</v>
      </c>
      <c r="C8298" s="140" t="s">
        <v>243</v>
      </c>
      <c r="D8298" s="140" t="s">
        <v>11</v>
      </c>
      <c r="E8298" s="140" t="s">
        <v>320</v>
      </c>
      <c r="F8298">
        <v>56</v>
      </c>
      <c r="G8298" s="140" t="s">
        <v>484</v>
      </c>
      <c r="H8298">
        <v>0</v>
      </c>
      <c r="I8298" s="140" t="s">
        <v>17</v>
      </c>
    </row>
    <row r="8299" spans="1:9" hidden="1" x14ac:dyDescent="0.25">
      <c r="A8299">
        <v>2012</v>
      </c>
      <c r="B8299" s="140" t="s">
        <v>421</v>
      </c>
      <c r="C8299" s="140" t="s">
        <v>243</v>
      </c>
      <c r="D8299" s="140" t="s">
        <v>11</v>
      </c>
      <c r="E8299" s="140" t="s">
        <v>320</v>
      </c>
      <c r="F8299">
        <v>3</v>
      </c>
      <c r="G8299" s="140" t="s">
        <v>484</v>
      </c>
      <c r="H8299">
        <v>0</v>
      </c>
      <c r="I8299" s="140" t="s">
        <v>17</v>
      </c>
    </row>
    <row r="8300" spans="1:9" hidden="1" x14ac:dyDescent="0.25">
      <c r="A8300">
        <v>2013</v>
      </c>
      <c r="B8300" s="140" t="s">
        <v>421</v>
      </c>
      <c r="C8300" s="140" t="s">
        <v>243</v>
      </c>
      <c r="D8300" s="140" t="s">
        <v>11</v>
      </c>
      <c r="E8300" s="140" t="s">
        <v>320</v>
      </c>
      <c r="F8300">
        <v>2</v>
      </c>
      <c r="G8300" s="140" t="s">
        <v>484</v>
      </c>
      <c r="H8300">
        <v>0</v>
      </c>
      <c r="I8300" s="140" t="s">
        <v>17</v>
      </c>
    </row>
    <row r="8301" spans="1:9" hidden="1" x14ac:dyDescent="0.25">
      <c r="A8301">
        <v>2014</v>
      </c>
      <c r="B8301" s="140" t="s">
        <v>421</v>
      </c>
      <c r="C8301" s="140" t="s">
        <v>243</v>
      </c>
      <c r="D8301" s="140" t="s">
        <v>11</v>
      </c>
      <c r="E8301" s="140" t="s">
        <v>320</v>
      </c>
      <c r="F8301">
        <v>2</v>
      </c>
      <c r="G8301" s="140" t="s">
        <v>484</v>
      </c>
      <c r="H8301">
        <v>0</v>
      </c>
      <c r="I8301" s="140" t="s">
        <v>17</v>
      </c>
    </row>
    <row r="8302" spans="1:9" hidden="1" x14ac:dyDescent="0.25">
      <c r="A8302">
        <v>2015</v>
      </c>
      <c r="B8302" s="140" t="s">
        <v>421</v>
      </c>
      <c r="C8302" s="140" t="s">
        <v>243</v>
      </c>
      <c r="D8302" s="140" t="s">
        <v>11</v>
      </c>
      <c r="E8302" s="140" t="s">
        <v>320</v>
      </c>
      <c r="F8302">
        <v>2</v>
      </c>
      <c r="G8302" s="140" t="s">
        <v>484</v>
      </c>
      <c r="H8302">
        <v>0</v>
      </c>
      <c r="I8302" s="140" t="s">
        <v>17</v>
      </c>
    </row>
    <row r="8303" spans="1:9" hidden="1" x14ac:dyDescent="0.25">
      <c r="A8303">
        <v>2016</v>
      </c>
      <c r="B8303" s="140" t="s">
        <v>421</v>
      </c>
      <c r="C8303" s="140" t="s">
        <v>243</v>
      </c>
      <c r="D8303" s="140" t="s">
        <v>11</v>
      </c>
      <c r="E8303" s="140" t="s">
        <v>320</v>
      </c>
      <c r="F8303">
        <v>2</v>
      </c>
      <c r="G8303" s="140" t="s">
        <v>484</v>
      </c>
      <c r="H8303">
        <v>0</v>
      </c>
      <c r="I8303" s="140" t="s">
        <v>17</v>
      </c>
    </row>
    <row r="8304" spans="1:9" hidden="1" x14ac:dyDescent="0.25">
      <c r="A8304">
        <v>2017</v>
      </c>
      <c r="B8304" s="140" t="s">
        <v>421</v>
      </c>
      <c r="C8304" s="140" t="s">
        <v>243</v>
      </c>
      <c r="D8304" s="140" t="s">
        <v>11</v>
      </c>
      <c r="E8304" s="140" t="s">
        <v>320</v>
      </c>
      <c r="F8304">
        <v>1</v>
      </c>
      <c r="G8304" s="140" t="s">
        <v>484</v>
      </c>
      <c r="H8304">
        <v>0</v>
      </c>
      <c r="I8304" s="140" t="s">
        <v>17</v>
      </c>
    </row>
    <row r="8305" spans="1:9" hidden="1" x14ac:dyDescent="0.25">
      <c r="A8305">
        <v>2018</v>
      </c>
      <c r="B8305" s="140" t="s">
        <v>421</v>
      </c>
      <c r="C8305" s="140" t="s">
        <v>243</v>
      </c>
      <c r="D8305" s="140" t="s">
        <v>11</v>
      </c>
      <c r="E8305" s="140" t="s">
        <v>320</v>
      </c>
      <c r="F8305">
        <v>1</v>
      </c>
      <c r="G8305" s="140" t="s">
        <v>484</v>
      </c>
      <c r="H8305">
        <v>0</v>
      </c>
      <c r="I8305" s="140" t="s">
        <v>17</v>
      </c>
    </row>
    <row r="8306" spans="1:9" hidden="1" x14ac:dyDescent="0.25">
      <c r="A8306">
        <v>2019</v>
      </c>
      <c r="B8306" s="140" t="s">
        <v>421</v>
      </c>
      <c r="C8306" s="140" t="s">
        <v>243</v>
      </c>
      <c r="D8306" s="140" t="s">
        <v>11</v>
      </c>
      <c r="E8306" s="140" t="s">
        <v>320</v>
      </c>
      <c r="F8306">
        <v>5</v>
      </c>
      <c r="G8306" s="140" t="s">
        <v>484</v>
      </c>
      <c r="H8306">
        <v>0</v>
      </c>
      <c r="I8306" s="140" t="s">
        <v>17</v>
      </c>
    </row>
    <row r="8307" spans="1:9" hidden="1" x14ac:dyDescent="0.25">
      <c r="A8307">
        <v>2020</v>
      </c>
      <c r="B8307" s="140" t="s">
        <v>421</v>
      </c>
      <c r="C8307" s="140" t="s">
        <v>243</v>
      </c>
      <c r="D8307" s="140" t="s">
        <v>11</v>
      </c>
      <c r="E8307" s="140" t="s">
        <v>320</v>
      </c>
      <c r="F8307">
        <v>5</v>
      </c>
      <c r="G8307" s="140" t="s">
        <v>484</v>
      </c>
      <c r="H8307">
        <v>0</v>
      </c>
      <c r="I8307" s="140" t="s">
        <v>17</v>
      </c>
    </row>
    <row r="8308" spans="1:9" hidden="1" x14ac:dyDescent="0.25">
      <c r="A8308">
        <v>2021</v>
      </c>
      <c r="B8308" s="140" t="s">
        <v>421</v>
      </c>
      <c r="C8308" s="140" t="s">
        <v>243</v>
      </c>
      <c r="D8308" s="140" t="s">
        <v>11</v>
      </c>
      <c r="E8308" s="140" t="s">
        <v>320</v>
      </c>
      <c r="F8308">
        <v>19</v>
      </c>
      <c r="G8308" s="140" t="s">
        <v>484</v>
      </c>
      <c r="H8308">
        <v>0</v>
      </c>
      <c r="I8308" s="140" t="s">
        <v>17</v>
      </c>
    </row>
    <row r="8309" spans="1:9" hidden="1" x14ac:dyDescent="0.25">
      <c r="A8309">
        <v>2022</v>
      </c>
      <c r="B8309" s="140" t="s">
        <v>421</v>
      </c>
      <c r="C8309" s="140" t="s">
        <v>243</v>
      </c>
      <c r="D8309" s="140" t="s">
        <v>11</v>
      </c>
      <c r="E8309" s="140" t="s">
        <v>320</v>
      </c>
      <c r="F8309">
        <v>27</v>
      </c>
      <c r="G8309" s="140" t="s">
        <v>484</v>
      </c>
      <c r="H8309">
        <v>0</v>
      </c>
      <c r="I8309" s="140" t="s">
        <v>17</v>
      </c>
    </row>
    <row r="8310" spans="1:9" hidden="1" x14ac:dyDescent="0.25">
      <c r="A8310">
        <v>2023</v>
      </c>
      <c r="B8310" s="140" t="s">
        <v>421</v>
      </c>
      <c r="C8310" s="140" t="s">
        <v>243</v>
      </c>
      <c r="D8310" s="140" t="s">
        <v>11</v>
      </c>
      <c r="E8310" s="140" t="s">
        <v>320</v>
      </c>
      <c r="F8310">
        <v>6</v>
      </c>
      <c r="G8310" s="140" t="s">
        <v>484</v>
      </c>
      <c r="H8310">
        <v>0</v>
      </c>
      <c r="I8310" s="140" t="s">
        <v>17</v>
      </c>
    </row>
    <row r="8311" spans="1:9" hidden="1" x14ac:dyDescent="0.25">
      <c r="A8311">
        <v>2024</v>
      </c>
      <c r="B8311" s="140" t="s">
        <v>421</v>
      </c>
      <c r="C8311" s="140" t="s">
        <v>243</v>
      </c>
      <c r="D8311" s="140" t="s">
        <v>11</v>
      </c>
      <c r="E8311" s="140" t="s">
        <v>320</v>
      </c>
      <c r="F8311">
        <v>7</v>
      </c>
      <c r="G8311" s="140" t="s">
        <v>484</v>
      </c>
      <c r="H8311">
        <v>0</v>
      </c>
      <c r="I8311" s="140" t="s">
        <v>17</v>
      </c>
    </row>
    <row r="8312" spans="1:9" hidden="1" x14ac:dyDescent="0.25">
      <c r="A8312">
        <v>2025</v>
      </c>
      <c r="B8312" s="140" t="s">
        <v>421</v>
      </c>
      <c r="C8312" s="140" t="s">
        <v>243</v>
      </c>
      <c r="D8312" s="140" t="s">
        <v>11</v>
      </c>
      <c r="E8312" s="140" t="s">
        <v>320</v>
      </c>
      <c r="F8312">
        <v>8</v>
      </c>
      <c r="G8312" s="140" t="s">
        <v>484</v>
      </c>
      <c r="H8312">
        <v>0</v>
      </c>
      <c r="I8312" s="140" t="s">
        <v>17</v>
      </c>
    </row>
    <row r="8313" spans="1:9" hidden="1" x14ac:dyDescent="0.25">
      <c r="A8313">
        <v>2026</v>
      </c>
      <c r="B8313" s="140" t="s">
        <v>421</v>
      </c>
      <c r="C8313" s="140" t="s">
        <v>243</v>
      </c>
      <c r="D8313" s="140" t="s">
        <v>11</v>
      </c>
      <c r="E8313" s="140" t="s">
        <v>320</v>
      </c>
      <c r="F8313">
        <v>8</v>
      </c>
      <c r="G8313" s="140" t="s">
        <v>484</v>
      </c>
      <c r="H8313">
        <v>0</v>
      </c>
      <c r="I8313" s="140" t="s">
        <v>17</v>
      </c>
    </row>
    <row r="8314" spans="1:9" hidden="1" x14ac:dyDescent="0.25">
      <c r="A8314">
        <v>2027</v>
      </c>
      <c r="B8314" s="140" t="s">
        <v>421</v>
      </c>
      <c r="C8314" s="140" t="s">
        <v>243</v>
      </c>
      <c r="D8314" s="140" t="s">
        <v>11</v>
      </c>
      <c r="E8314" s="140" t="s">
        <v>320</v>
      </c>
      <c r="F8314">
        <v>8</v>
      </c>
      <c r="G8314" s="140" t="s">
        <v>484</v>
      </c>
      <c r="H8314">
        <v>0</v>
      </c>
      <c r="I8314" s="140" t="s">
        <v>17</v>
      </c>
    </row>
    <row r="8315" spans="1:9" hidden="1" x14ac:dyDescent="0.25">
      <c r="A8315">
        <v>2028</v>
      </c>
      <c r="B8315" s="140" t="s">
        <v>421</v>
      </c>
      <c r="C8315" s="140" t="s">
        <v>243</v>
      </c>
      <c r="D8315" s="140" t="s">
        <v>11</v>
      </c>
      <c r="E8315" s="140" t="s">
        <v>320</v>
      </c>
      <c r="F8315">
        <v>8</v>
      </c>
      <c r="G8315" s="140" t="s">
        <v>484</v>
      </c>
      <c r="H8315">
        <v>0</v>
      </c>
      <c r="I8315" s="140" t="s">
        <v>17</v>
      </c>
    </row>
    <row r="8316" spans="1:9" hidden="1" x14ac:dyDescent="0.25">
      <c r="A8316">
        <v>1990</v>
      </c>
      <c r="B8316" s="140" t="s">
        <v>423</v>
      </c>
      <c r="C8316" s="140" t="s">
        <v>243</v>
      </c>
      <c r="D8316" s="140" t="s">
        <v>11</v>
      </c>
      <c r="E8316" s="140" t="s">
        <v>320</v>
      </c>
      <c r="F8316">
        <v>230</v>
      </c>
      <c r="G8316" s="140" t="s">
        <v>424</v>
      </c>
      <c r="H8316">
        <v>0</v>
      </c>
      <c r="I8316" s="140" t="s">
        <v>17</v>
      </c>
    </row>
    <row r="8317" spans="1:9" hidden="1" x14ac:dyDescent="0.25">
      <c r="A8317">
        <v>1991</v>
      </c>
      <c r="B8317" s="140" t="s">
        <v>423</v>
      </c>
      <c r="C8317" s="140" t="s">
        <v>243</v>
      </c>
      <c r="D8317" s="140" t="s">
        <v>11</v>
      </c>
      <c r="E8317" s="140" t="s">
        <v>320</v>
      </c>
      <c r="F8317">
        <v>234</v>
      </c>
      <c r="G8317" s="140" t="s">
        <v>424</v>
      </c>
      <c r="H8317">
        <v>0</v>
      </c>
      <c r="I8317" s="140" t="s">
        <v>17</v>
      </c>
    </row>
    <row r="8318" spans="1:9" hidden="1" x14ac:dyDescent="0.25">
      <c r="A8318">
        <v>1992</v>
      </c>
      <c r="B8318" s="140" t="s">
        <v>423</v>
      </c>
      <c r="C8318" s="140" t="s">
        <v>243</v>
      </c>
      <c r="D8318" s="140" t="s">
        <v>11</v>
      </c>
      <c r="E8318" s="140" t="s">
        <v>320</v>
      </c>
      <c r="F8318">
        <v>226</v>
      </c>
      <c r="G8318" s="140" t="s">
        <v>424</v>
      </c>
      <c r="H8318">
        <v>0</v>
      </c>
      <c r="I8318" s="140" t="s">
        <v>17</v>
      </c>
    </row>
    <row r="8319" spans="1:9" hidden="1" x14ac:dyDescent="0.25">
      <c r="A8319">
        <v>1993</v>
      </c>
      <c r="B8319" s="140" t="s">
        <v>423</v>
      </c>
      <c r="C8319" s="140" t="s">
        <v>243</v>
      </c>
      <c r="D8319" s="140" t="s">
        <v>11</v>
      </c>
      <c r="E8319" s="140" t="s">
        <v>320</v>
      </c>
      <c r="F8319">
        <v>230</v>
      </c>
      <c r="G8319" s="140" t="s">
        <v>424</v>
      </c>
      <c r="H8319">
        <v>0</v>
      </c>
      <c r="I8319" s="140" t="s">
        <v>17</v>
      </c>
    </row>
    <row r="8320" spans="1:9" hidden="1" x14ac:dyDescent="0.25">
      <c r="A8320">
        <v>1994</v>
      </c>
      <c r="B8320" s="140" t="s">
        <v>423</v>
      </c>
      <c r="C8320" s="140" t="s">
        <v>243</v>
      </c>
      <c r="D8320" s="140" t="s">
        <v>11</v>
      </c>
      <c r="E8320" s="140" t="s">
        <v>320</v>
      </c>
      <c r="F8320">
        <v>246</v>
      </c>
      <c r="G8320" s="140" t="s">
        <v>424</v>
      </c>
      <c r="H8320">
        <v>0</v>
      </c>
      <c r="I8320" s="140" t="s">
        <v>17</v>
      </c>
    </row>
    <row r="8321" spans="1:9" hidden="1" x14ac:dyDescent="0.25">
      <c r="A8321">
        <v>1995</v>
      </c>
      <c r="B8321" s="140" t="s">
        <v>423</v>
      </c>
      <c r="C8321" s="140" t="s">
        <v>243</v>
      </c>
      <c r="D8321" s="140" t="s">
        <v>11</v>
      </c>
      <c r="E8321" s="140" t="s">
        <v>320</v>
      </c>
      <c r="F8321">
        <v>253</v>
      </c>
      <c r="G8321" s="140" t="s">
        <v>424</v>
      </c>
      <c r="H8321">
        <v>0</v>
      </c>
      <c r="I8321" s="140" t="s">
        <v>17</v>
      </c>
    </row>
    <row r="8322" spans="1:9" hidden="1" x14ac:dyDescent="0.25">
      <c r="A8322">
        <v>1996</v>
      </c>
      <c r="B8322" s="140" t="s">
        <v>423</v>
      </c>
      <c r="C8322" s="140" t="s">
        <v>243</v>
      </c>
      <c r="D8322" s="140" t="s">
        <v>11</v>
      </c>
      <c r="E8322" s="140" t="s">
        <v>320</v>
      </c>
      <c r="F8322">
        <v>260</v>
      </c>
      <c r="G8322" s="140" t="s">
        <v>424</v>
      </c>
      <c r="H8322">
        <v>0</v>
      </c>
      <c r="I8322" s="140" t="s">
        <v>17</v>
      </c>
    </row>
    <row r="8323" spans="1:9" hidden="1" x14ac:dyDescent="0.25">
      <c r="A8323">
        <v>1997</v>
      </c>
      <c r="B8323" s="140" t="s">
        <v>423</v>
      </c>
      <c r="C8323" s="140" t="s">
        <v>243</v>
      </c>
      <c r="D8323" s="140" t="s">
        <v>11</v>
      </c>
      <c r="E8323" s="140" t="s">
        <v>320</v>
      </c>
      <c r="F8323">
        <v>271</v>
      </c>
      <c r="G8323" s="140" t="s">
        <v>424</v>
      </c>
      <c r="H8323">
        <v>0</v>
      </c>
      <c r="I8323" s="140" t="s">
        <v>17</v>
      </c>
    </row>
    <row r="8324" spans="1:9" hidden="1" x14ac:dyDescent="0.25">
      <c r="A8324">
        <v>1998</v>
      </c>
      <c r="B8324" s="140" t="s">
        <v>423</v>
      </c>
      <c r="C8324" s="140" t="s">
        <v>243</v>
      </c>
      <c r="D8324" s="140" t="s">
        <v>11</v>
      </c>
      <c r="E8324" s="140" t="s">
        <v>320</v>
      </c>
      <c r="F8324">
        <v>293</v>
      </c>
      <c r="G8324" s="140" t="s">
        <v>424</v>
      </c>
      <c r="H8324">
        <v>0</v>
      </c>
      <c r="I8324" s="140" t="s">
        <v>17</v>
      </c>
    </row>
    <row r="8325" spans="1:9" hidden="1" x14ac:dyDescent="0.25">
      <c r="A8325">
        <v>1999</v>
      </c>
      <c r="B8325" s="140" t="s">
        <v>423</v>
      </c>
      <c r="C8325" s="140" t="s">
        <v>243</v>
      </c>
      <c r="D8325" s="140" t="s">
        <v>11</v>
      </c>
      <c r="E8325" s="140" t="s">
        <v>320</v>
      </c>
      <c r="F8325">
        <v>314</v>
      </c>
      <c r="G8325" s="140" t="s">
        <v>424</v>
      </c>
      <c r="H8325">
        <v>0</v>
      </c>
      <c r="I8325" s="140" t="s">
        <v>17</v>
      </c>
    </row>
    <row r="8326" spans="1:9" hidden="1" x14ac:dyDescent="0.25">
      <c r="A8326">
        <v>2000</v>
      </c>
      <c r="B8326" s="140" t="s">
        <v>423</v>
      </c>
      <c r="C8326" s="140" t="s">
        <v>243</v>
      </c>
      <c r="D8326" s="140" t="s">
        <v>11</v>
      </c>
      <c r="E8326" s="140" t="s">
        <v>320</v>
      </c>
      <c r="F8326">
        <v>334</v>
      </c>
      <c r="G8326" s="140" t="s">
        <v>424</v>
      </c>
      <c r="H8326">
        <v>0</v>
      </c>
      <c r="I8326" s="140" t="s">
        <v>17</v>
      </c>
    </row>
    <row r="8327" spans="1:9" hidden="1" x14ac:dyDescent="0.25">
      <c r="A8327">
        <v>2001</v>
      </c>
      <c r="B8327" s="140" t="s">
        <v>423</v>
      </c>
      <c r="C8327" s="140" t="s">
        <v>243</v>
      </c>
      <c r="D8327" s="140" t="s">
        <v>11</v>
      </c>
      <c r="E8327" s="140" t="s">
        <v>320</v>
      </c>
      <c r="F8327">
        <v>360</v>
      </c>
      <c r="G8327" s="140" t="s">
        <v>424</v>
      </c>
      <c r="H8327">
        <v>0</v>
      </c>
      <c r="I8327" s="140" t="s">
        <v>17</v>
      </c>
    </row>
    <row r="8328" spans="1:9" hidden="1" x14ac:dyDescent="0.25">
      <c r="A8328">
        <v>2002</v>
      </c>
      <c r="B8328" s="140" t="s">
        <v>423</v>
      </c>
      <c r="C8328" s="140" t="s">
        <v>243</v>
      </c>
      <c r="D8328" s="140" t="s">
        <v>11</v>
      </c>
      <c r="E8328" s="140" t="s">
        <v>320</v>
      </c>
      <c r="F8328">
        <v>364</v>
      </c>
      <c r="G8328" s="140" t="s">
        <v>424</v>
      </c>
      <c r="H8328">
        <v>0</v>
      </c>
      <c r="I8328" s="140" t="s">
        <v>17</v>
      </c>
    </row>
    <row r="8329" spans="1:9" hidden="1" x14ac:dyDescent="0.25">
      <c r="A8329">
        <v>2003</v>
      </c>
      <c r="B8329" s="140" t="s">
        <v>423</v>
      </c>
      <c r="C8329" s="140" t="s">
        <v>243</v>
      </c>
      <c r="D8329" s="140" t="s">
        <v>11</v>
      </c>
      <c r="E8329" s="140" t="s">
        <v>320</v>
      </c>
      <c r="F8329">
        <v>372</v>
      </c>
      <c r="G8329" s="140" t="s">
        <v>424</v>
      </c>
      <c r="H8329">
        <v>0</v>
      </c>
      <c r="I8329" s="140" t="s">
        <v>17</v>
      </c>
    </row>
    <row r="8330" spans="1:9" hidden="1" x14ac:dyDescent="0.25">
      <c r="A8330">
        <v>2004</v>
      </c>
      <c r="B8330" s="140" t="s">
        <v>423</v>
      </c>
      <c r="C8330" s="140" t="s">
        <v>243</v>
      </c>
      <c r="D8330" s="140" t="s">
        <v>11</v>
      </c>
      <c r="E8330" s="140" t="s">
        <v>320</v>
      </c>
      <c r="F8330">
        <v>389</v>
      </c>
      <c r="G8330" s="140" t="s">
        <v>424</v>
      </c>
      <c r="H8330">
        <v>0</v>
      </c>
      <c r="I8330" s="140" t="s">
        <v>17</v>
      </c>
    </row>
    <row r="8331" spans="1:9" hidden="1" x14ac:dyDescent="0.25">
      <c r="A8331">
        <v>2005</v>
      </c>
      <c r="B8331" s="140" t="s">
        <v>423</v>
      </c>
      <c r="C8331" s="140" t="s">
        <v>243</v>
      </c>
      <c r="D8331" s="140" t="s">
        <v>11</v>
      </c>
      <c r="E8331" s="140" t="s">
        <v>320</v>
      </c>
      <c r="F8331">
        <v>415</v>
      </c>
      <c r="G8331" s="140" t="s">
        <v>424</v>
      </c>
      <c r="H8331">
        <v>0</v>
      </c>
      <c r="I8331" s="140" t="s">
        <v>17</v>
      </c>
    </row>
    <row r="8332" spans="1:9" hidden="1" x14ac:dyDescent="0.25">
      <c r="A8332">
        <v>2006</v>
      </c>
      <c r="B8332" s="140" t="s">
        <v>423</v>
      </c>
      <c r="C8332" s="140" t="s">
        <v>243</v>
      </c>
      <c r="D8332" s="140" t="s">
        <v>11</v>
      </c>
      <c r="E8332" s="140" t="s">
        <v>320</v>
      </c>
      <c r="F8332">
        <v>435</v>
      </c>
      <c r="G8332" s="140" t="s">
        <v>424</v>
      </c>
      <c r="H8332">
        <v>0</v>
      </c>
      <c r="I8332" s="140" t="s">
        <v>17</v>
      </c>
    </row>
    <row r="8333" spans="1:9" hidden="1" x14ac:dyDescent="0.25">
      <c r="A8333">
        <v>2007</v>
      </c>
      <c r="B8333" s="140" t="s">
        <v>423</v>
      </c>
      <c r="C8333" s="140" t="s">
        <v>243</v>
      </c>
      <c r="D8333" s="140" t="s">
        <v>11</v>
      </c>
      <c r="E8333" s="140" t="s">
        <v>320</v>
      </c>
      <c r="F8333">
        <v>471</v>
      </c>
      <c r="G8333" s="140" t="s">
        <v>424</v>
      </c>
      <c r="H8333">
        <v>0</v>
      </c>
      <c r="I8333" s="140" t="s">
        <v>17</v>
      </c>
    </row>
    <row r="8334" spans="1:9" hidden="1" x14ac:dyDescent="0.25">
      <c r="A8334">
        <v>2008</v>
      </c>
      <c r="B8334" s="140" t="s">
        <v>423</v>
      </c>
      <c r="C8334" s="140" t="s">
        <v>243</v>
      </c>
      <c r="D8334" s="140" t="s">
        <v>11</v>
      </c>
      <c r="E8334" s="140" t="s">
        <v>320</v>
      </c>
      <c r="F8334">
        <v>503</v>
      </c>
      <c r="G8334" s="140" t="s">
        <v>424</v>
      </c>
      <c r="H8334">
        <v>0</v>
      </c>
      <c r="I8334" s="140" t="s">
        <v>17</v>
      </c>
    </row>
    <row r="8335" spans="1:9" hidden="1" x14ac:dyDescent="0.25">
      <c r="A8335">
        <v>2009</v>
      </c>
      <c r="B8335" s="140" t="s">
        <v>423</v>
      </c>
      <c r="C8335" s="140" t="s">
        <v>243</v>
      </c>
      <c r="D8335" s="140" t="s">
        <v>11</v>
      </c>
      <c r="E8335" s="140" t="s">
        <v>320</v>
      </c>
      <c r="F8335">
        <v>507</v>
      </c>
      <c r="G8335" s="140" t="s">
        <v>424</v>
      </c>
      <c r="H8335">
        <v>0</v>
      </c>
      <c r="I8335" s="140" t="s">
        <v>17</v>
      </c>
    </row>
    <row r="8336" spans="1:9" hidden="1" x14ac:dyDescent="0.25">
      <c r="A8336">
        <v>2010</v>
      </c>
      <c r="B8336" s="140" t="s">
        <v>423</v>
      </c>
      <c r="C8336" s="140" t="s">
        <v>243</v>
      </c>
      <c r="D8336" s="140" t="s">
        <v>11</v>
      </c>
      <c r="E8336" s="140" t="s">
        <v>320</v>
      </c>
      <c r="F8336">
        <v>500</v>
      </c>
      <c r="G8336" s="140" t="s">
        <v>424</v>
      </c>
      <c r="H8336">
        <v>0</v>
      </c>
      <c r="I8336" s="140" t="s">
        <v>17</v>
      </c>
    </row>
    <row r="8337" spans="1:9" hidden="1" x14ac:dyDescent="0.25">
      <c r="A8337">
        <v>2011</v>
      </c>
      <c r="B8337" s="140" t="s">
        <v>423</v>
      </c>
      <c r="C8337" s="140" t="s">
        <v>243</v>
      </c>
      <c r="D8337" s="140" t="s">
        <v>11</v>
      </c>
      <c r="E8337" s="140" t="s">
        <v>320</v>
      </c>
      <c r="F8337">
        <v>520</v>
      </c>
      <c r="G8337" s="140" t="s">
        <v>424</v>
      </c>
      <c r="H8337">
        <v>0</v>
      </c>
      <c r="I8337" s="140" t="s">
        <v>17</v>
      </c>
    </row>
    <row r="8338" spans="1:9" hidden="1" x14ac:dyDescent="0.25">
      <c r="A8338">
        <v>2012</v>
      </c>
      <c r="B8338" s="140" t="s">
        <v>423</v>
      </c>
      <c r="C8338" s="140" t="s">
        <v>243</v>
      </c>
      <c r="D8338" s="140" t="s">
        <v>11</v>
      </c>
      <c r="E8338" s="140" t="s">
        <v>320</v>
      </c>
      <c r="F8338">
        <v>549</v>
      </c>
      <c r="G8338" s="140" t="s">
        <v>424</v>
      </c>
      <c r="H8338">
        <v>0</v>
      </c>
      <c r="I8338" s="140" t="s">
        <v>17</v>
      </c>
    </row>
    <row r="8339" spans="1:9" hidden="1" x14ac:dyDescent="0.25">
      <c r="A8339">
        <v>2013</v>
      </c>
      <c r="B8339" s="140" t="s">
        <v>423</v>
      </c>
      <c r="C8339" s="140" t="s">
        <v>243</v>
      </c>
      <c r="D8339" s="140" t="s">
        <v>11</v>
      </c>
      <c r="E8339" s="140" t="s">
        <v>320</v>
      </c>
      <c r="F8339">
        <v>560</v>
      </c>
      <c r="G8339" s="140" t="s">
        <v>424</v>
      </c>
      <c r="H8339">
        <v>0</v>
      </c>
      <c r="I8339" s="140" t="s">
        <v>17</v>
      </c>
    </row>
    <row r="8340" spans="1:9" hidden="1" x14ac:dyDescent="0.25">
      <c r="A8340">
        <v>2014</v>
      </c>
      <c r="B8340" s="140" t="s">
        <v>423</v>
      </c>
      <c r="C8340" s="140" t="s">
        <v>243</v>
      </c>
      <c r="D8340" s="140" t="s">
        <v>11</v>
      </c>
      <c r="E8340" s="140" t="s">
        <v>320</v>
      </c>
      <c r="F8340">
        <v>572</v>
      </c>
      <c r="G8340" s="140" t="s">
        <v>424</v>
      </c>
      <c r="H8340">
        <v>0</v>
      </c>
      <c r="I8340" s="140" t="s">
        <v>17</v>
      </c>
    </row>
    <row r="8341" spans="1:9" hidden="1" x14ac:dyDescent="0.25">
      <c r="A8341">
        <v>2015</v>
      </c>
      <c r="B8341" s="140" t="s">
        <v>423</v>
      </c>
      <c r="C8341" s="140" t="s">
        <v>243</v>
      </c>
      <c r="D8341" s="140" t="s">
        <v>11</v>
      </c>
      <c r="E8341" s="140" t="s">
        <v>320</v>
      </c>
      <c r="F8341">
        <v>568</v>
      </c>
      <c r="G8341" s="140" t="s">
        <v>424</v>
      </c>
      <c r="H8341">
        <v>0</v>
      </c>
      <c r="I8341" s="140" t="s">
        <v>17</v>
      </c>
    </row>
    <row r="8342" spans="1:9" hidden="1" x14ac:dyDescent="0.25">
      <c r="A8342">
        <v>2016</v>
      </c>
      <c r="B8342" s="140" t="s">
        <v>423</v>
      </c>
      <c r="C8342" s="140" t="s">
        <v>243</v>
      </c>
      <c r="D8342" s="140" t="s">
        <v>11</v>
      </c>
      <c r="E8342" s="140" t="s">
        <v>320</v>
      </c>
      <c r="F8342">
        <v>573</v>
      </c>
      <c r="G8342" s="140" t="s">
        <v>424</v>
      </c>
      <c r="H8342">
        <v>0</v>
      </c>
      <c r="I8342" s="140" t="s">
        <v>17</v>
      </c>
    </row>
    <row r="8343" spans="1:9" hidden="1" x14ac:dyDescent="0.25">
      <c r="A8343">
        <v>2017</v>
      </c>
      <c r="B8343" s="140" t="s">
        <v>423</v>
      </c>
      <c r="C8343" s="140" t="s">
        <v>243</v>
      </c>
      <c r="D8343" s="140" t="s">
        <v>11</v>
      </c>
      <c r="E8343" s="140" t="s">
        <v>320</v>
      </c>
      <c r="F8343">
        <v>590</v>
      </c>
      <c r="G8343" s="140" t="s">
        <v>424</v>
      </c>
      <c r="H8343">
        <v>0</v>
      </c>
      <c r="I8343" s="140" t="s">
        <v>17</v>
      </c>
    </row>
    <row r="8344" spans="1:9" hidden="1" x14ac:dyDescent="0.25">
      <c r="A8344">
        <v>2018</v>
      </c>
      <c r="B8344" s="140" t="s">
        <v>423</v>
      </c>
      <c r="C8344" s="140" t="s">
        <v>243</v>
      </c>
      <c r="D8344" s="140" t="s">
        <v>11</v>
      </c>
      <c r="E8344" s="140" t="s">
        <v>320</v>
      </c>
      <c r="F8344">
        <v>612</v>
      </c>
      <c r="G8344" s="140" t="s">
        <v>424</v>
      </c>
      <c r="H8344">
        <v>0</v>
      </c>
      <c r="I8344" s="140" t="s">
        <v>17</v>
      </c>
    </row>
    <row r="8345" spans="1:9" hidden="1" x14ac:dyDescent="0.25">
      <c r="A8345">
        <v>2019</v>
      </c>
      <c r="B8345" s="140" t="s">
        <v>423</v>
      </c>
      <c r="C8345" s="140" t="s">
        <v>243</v>
      </c>
      <c r="D8345" s="140" t="s">
        <v>11</v>
      </c>
      <c r="E8345" s="140" t="s">
        <v>320</v>
      </c>
      <c r="F8345">
        <v>638</v>
      </c>
      <c r="G8345" s="140" t="s">
        <v>424</v>
      </c>
      <c r="H8345">
        <v>0</v>
      </c>
      <c r="I8345" s="140" t="s">
        <v>17</v>
      </c>
    </row>
    <row r="8346" spans="1:9" hidden="1" x14ac:dyDescent="0.25">
      <c r="A8346">
        <v>2020</v>
      </c>
      <c r="B8346" s="140" t="s">
        <v>423</v>
      </c>
      <c r="C8346" s="140" t="s">
        <v>243</v>
      </c>
      <c r="D8346" s="140" t="s">
        <v>11</v>
      </c>
      <c r="E8346" s="140" t="s">
        <v>320</v>
      </c>
      <c r="F8346">
        <v>653</v>
      </c>
      <c r="G8346" s="140" t="s">
        <v>424</v>
      </c>
      <c r="H8346">
        <v>0</v>
      </c>
      <c r="I8346" s="140" t="s">
        <v>17</v>
      </c>
    </row>
    <row r="8347" spans="1:9" hidden="1" x14ac:dyDescent="0.25">
      <c r="A8347">
        <v>2021</v>
      </c>
      <c r="B8347" s="140" t="s">
        <v>423</v>
      </c>
      <c r="C8347" s="140" t="s">
        <v>243</v>
      </c>
      <c r="D8347" s="140" t="s">
        <v>11</v>
      </c>
      <c r="E8347" s="140" t="s">
        <v>320</v>
      </c>
      <c r="F8347">
        <v>668</v>
      </c>
      <c r="G8347" s="140" t="s">
        <v>424</v>
      </c>
      <c r="H8347">
        <v>0</v>
      </c>
      <c r="I8347" s="140" t="s">
        <v>17</v>
      </c>
    </row>
    <row r="8348" spans="1:9" hidden="1" x14ac:dyDescent="0.25">
      <c r="A8348">
        <v>2022</v>
      </c>
      <c r="B8348" s="140" t="s">
        <v>423</v>
      </c>
      <c r="C8348" s="140" t="s">
        <v>243</v>
      </c>
      <c r="D8348" s="140" t="s">
        <v>11</v>
      </c>
      <c r="E8348" s="140" t="s">
        <v>320</v>
      </c>
      <c r="F8348">
        <v>719</v>
      </c>
      <c r="G8348" s="140" t="s">
        <v>424</v>
      </c>
      <c r="H8348">
        <v>0</v>
      </c>
      <c r="I8348" s="140" t="s">
        <v>17</v>
      </c>
    </row>
    <row r="8349" spans="1:9" hidden="1" x14ac:dyDescent="0.25">
      <c r="A8349">
        <v>2023</v>
      </c>
      <c r="B8349" s="140" t="s">
        <v>423</v>
      </c>
      <c r="C8349" s="140" t="s">
        <v>243</v>
      </c>
      <c r="D8349" s="140" t="s">
        <v>11</v>
      </c>
      <c r="E8349" s="140" t="s">
        <v>320</v>
      </c>
      <c r="F8349">
        <v>755</v>
      </c>
      <c r="G8349" s="140" t="s">
        <v>424</v>
      </c>
      <c r="H8349">
        <v>0</v>
      </c>
      <c r="I8349" s="140" t="s">
        <v>17</v>
      </c>
    </row>
    <row r="8350" spans="1:9" hidden="1" x14ac:dyDescent="0.25">
      <c r="A8350">
        <v>2024</v>
      </c>
      <c r="B8350" s="140" t="s">
        <v>423</v>
      </c>
      <c r="C8350" s="140" t="s">
        <v>243</v>
      </c>
      <c r="D8350" s="140" t="s">
        <v>11</v>
      </c>
      <c r="E8350" s="140" t="s">
        <v>320</v>
      </c>
      <c r="F8350">
        <v>740</v>
      </c>
      <c r="G8350" s="140" t="s">
        <v>424</v>
      </c>
      <c r="H8350">
        <v>0</v>
      </c>
      <c r="I8350" s="140" t="s">
        <v>17</v>
      </c>
    </row>
    <row r="8351" spans="1:9" hidden="1" x14ac:dyDescent="0.25">
      <c r="A8351">
        <v>2025</v>
      </c>
      <c r="B8351" s="140" t="s">
        <v>423</v>
      </c>
      <c r="C8351" s="140" t="s">
        <v>243</v>
      </c>
      <c r="D8351" s="140" t="s">
        <v>11</v>
      </c>
      <c r="E8351" s="140" t="s">
        <v>320</v>
      </c>
      <c r="F8351">
        <v>733</v>
      </c>
      <c r="G8351" s="140" t="s">
        <v>424</v>
      </c>
      <c r="H8351">
        <v>0</v>
      </c>
      <c r="I8351" s="140" t="s">
        <v>17</v>
      </c>
    </row>
    <row r="8352" spans="1:9" hidden="1" x14ac:dyDescent="0.25">
      <c r="A8352">
        <v>2026</v>
      </c>
      <c r="B8352" s="140" t="s">
        <v>423</v>
      </c>
      <c r="C8352" s="140" t="s">
        <v>243</v>
      </c>
      <c r="D8352" s="140" t="s">
        <v>11</v>
      </c>
      <c r="E8352" s="140" t="s">
        <v>320</v>
      </c>
      <c r="F8352">
        <v>747.66</v>
      </c>
      <c r="G8352" s="140" t="s">
        <v>424</v>
      </c>
      <c r="H8352">
        <v>0</v>
      </c>
      <c r="I8352" s="140" t="s">
        <v>17</v>
      </c>
    </row>
    <row r="8353" spans="1:9" hidden="1" x14ac:dyDescent="0.25">
      <c r="A8353">
        <v>2027</v>
      </c>
      <c r="B8353" s="140" t="s">
        <v>423</v>
      </c>
      <c r="C8353" s="140" t="s">
        <v>243</v>
      </c>
      <c r="D8353" s="140" t="s">
        <v>11</v>
      </c>
      <c r="E8353" s="140" t="s">
        <v>320</v>
      </c>
      <c r="F8353">
        <v>762.61320000000001</v>
      </c>
      <c r="G8353" s="140" t="s">
        <v>424</v>
      </c>
      <c r="H8353">
        <v>0</v>
      </c>
      <c r="I8353" s="140" t="s">
        <v>17</v>
      </c>
    </row>
    <row r="8354" spans="1:9" hidden="1" x14ac:dyDescent="0.25">
      <c r="A8354">
        <v>2028</v>
      </c>
      <c r="B8354" s="140" t="s">
        <v>423</v>
      </c>
      <c r="C8354" s="140" t="s">
        <v>243</v>
      </c>
      <c r="D8354" s="140" t="s">
        <v>11</v>
      </c>
      <c r="E8354" s="140" t="s">
        <v>320</v>
      </c>
      <c r="F8354">
        <v>777.86546399999997</v>
      </c>
      <c r="G8354" s="140" t="s">
        <v>424</v>
      </c>
      <c r="H8354">
        <v>0</v>
      </c>
      <c r="I8354" s="140" t="s">
        <v>17</v>
      </c>
    </row>
    <row r="8355" spans="1:9" hidden="1" x14ac:dyDescent="0.25">
      <c r="A8355">
        <v>1990</v>
      </c>
      <c r="B8355" s="140" t="s">
        <v>485</v>
      </c>
      <c r="C8355" s="140" t="s">
        <v>243</v>
      </c>
      <c r="D8355" s="140" t="s">
        <v>11</v>
      </c>
      <c r="E8355" s="140" t="s">
        <v>320</v>
      </c>
      <c r="F8355">
        <v>436</v>
      </c>
      <c r="G8355" s="140" t="s">
        <v>486</v>
      </c>
      <c r="H8355">
        <v>0</v>
      </c>
      <c r="I8355" s="140" t="s">
        <v>17</v>
      </c>
    </row>
    <row r="8356" spans="1:9" hidden="1" x14ac:dyDescent="0.25">
      <c r="A8356">
        <v>1991</v>
      </c>
      <c r="B8356" s="140" t="s">
        <v>485</v>
      </c>
      <c r="C8356" s="140" t="s">
        <v>243</v>
      </c>
      <c r="D8356" s="140" t="s">
        <v>11</v>
      </c>
      <c r="E8356" s="140" t="s">
        <v>320</v>
      </c>
      <c r="F8356">
        <v>463</v>
      </c>
      <c r="G8356" s="140" t="s">
        <v>486</v>
      </c>
      <c r="H8356">
        <v>0</v>
      </c>
      <c r="I8356" s="140" t="s">
        <v>17</v>
      </c>
    </row>
    <row r="8357" spans="1:9" hidden="1" x14ac:dyDescent="0.25">
      <c r="A8357">
        <v>1992</v>
      </c>
      <c r="B8357" s="140" t="s">
        <v>485</v>
      </c>
      <c r="C8357" s="140" t="s">
        <v>243</v>
      </c>
      <c r="D8357" s="140" t="s">
        <v>11</v>
      </c>
      <c r="E8357" s="140" t="s">
        <v>320</v>
      </c>
      <c r="F8357">
        <v>414</v>
      </c>
      <c r="G8357" s="140" t="s">
        <v>486</v>
      </c>
      <c r="H8357">
        <v>0</v>
      </c>
      <c r="I8357" s="140" t="s">
        <v>17</v>
      </c>
    </row>
    <row r="8358" spans="1:9" hidden="1" x14ac:dyDescent="0.25">
      <c r="A8358">
        <v>1993</v>
      </c>
      <c r="B8358" s="140" t="s">
        <v>485</v>
      </c>
      <c r="C8358" s="140" t="s">
        <v>243</v>
      </c>
      <c r="D8358" s="140" t="s">
        <v>11</v>
      </c>
      <c r="E8358" s="140" t="s">
        <v>320</v>
      </c>
      <c r="F8358">
        <v>372</v>
      </c>
      <c r="G8358" s="140" t="s">
        <v>486</v>
      </c>
      <c r="H8358">
        <v>0</v>
      </c>
      <c r="I8358" s="140" t="s">
        <v>17</v>
      </c>
    </row>
    <row r="8359" spans="1:9" hidden="1" x14ac:dyDescent="0.25">
      <c r="A8359">
        <v>1994</v>
      </c>
      <c r="B8359" s="140" t="s">
        <v>485</v>
      </c>
      <c r="C8359" s="140" t="s">
        <v>243</v>
      </c>
      <c r="D8359" s="140" t="s">
        <v>11</v>
      </c>
      <c r="E8359" s="140" t="s">
        <v>320</v>
      </c>
      <c r="F8359">
        <v>288</v>
      </c>
      <c r="G8359" s="140" t="s">
        <v>486</v>
      </c>
      <c r="H8359">
        <v>0</v>
      </c>
      <c r="I8359" s="140" t="s">
        <v>17</v>
      </c>
    </row>
    <row r="8360" spans="1:9" hidden="1" x14ac:dyDescent="0.25">
      <c r="A8360">
        <v>1995</v>
      </c>
      <c r="B8360" s="140" t="s">
        <v>485</v>
      </c>
      <c r="C8360" s="140" t="s">
        <v>243</v>
      </c>
      <c r="D8360" s="140" t="s">
        <v>11</v>
      </c>
      <c r="E8360" s="140" t="s">
        <v>320</v>
      </c>
      <c r="F8360">
        <v>308</v>
      </c>
      <c r="G8360" s="140" t="s">
        <v>486</v>
      </c>
      <c r="H8360">
        <v>0</v>
      </c>
      <c r="I8360" s="140" t="s">
        <v>17</v>
      </c>
    </row>
    <row r="8361" spans="1:9" hidden="1" x14ac:dyDescent="0.25">
      <c r="A8361">
        <v>1996</v>
      </c>
      <c r="B8361" s="140" t="s">
        <v>485</v>
      </c>
      <c r="C8361" s="140" t="s">
        <v>243</v>
      </c>
      <c r="D8361" s="140" t="s">
        <v>11</v>
      </c>
      <c r="E8361" s="140" t="s">
        <v>320</v>
      </c>
      <c r="F8361">
        <v>334</v>
      </c>
      <c r="G8361" s="140" t="s">
        <v>486</v>
      </c>
      <c r="H8361">
        <v>0</v>
      </c>
      <c r="I8361" s="140" t="s">
        <v>17</v>
      </c>
    </row>
    <row r="8362" spans="1:9" hidden="1" x14ac:dyDescent="0.25">
      <c r="A8362">
        <v>1997</v>
      </c>
      <c r="B8362" s="140" t="s">
        <v>485</v>
      </c>
      <c r="C8362" s="140" t="s">
        <v>243</v>
      </c>
      <c r="D8362" s="140" t="s">
        <v>11</v>
      </c>
      <c r="E8362" s="140" t="s">
        <v>320</v>
      </c>
      <c r="F8362">
        <v>427</v>
      </c>
      <c r="G8362" s="140" t="s">
        <v>486</v>
      </c>
      <c r="H8362">
        <v>0</v>
      </c>
      <c r="I8362" s="140" t="s">
        <v>17</v>
      </c>
    </row>
    <row r="8363" spans="1:9" hidden="1" x14ac:dyDescent="0.25">
      <c r="A8363">
        <v>1998</v>
      </c>
      <c r="B8363" s="140" t="s">
        <v>485</v>
      </c>
      <c r="C8363" s="140" t="s">
        <v>243</v>
      </c>
      <c r="D8363" s="140" t="s">
        <v>11</v>
      </c>
      <c r="E8363" s="140" t="s">
        <v>320</v>
      </c>
      <c r="F8363">
        <v>442</v>
      </c>
      <c r="G8363" s="140" t="s">
        <v>486</v>
      </c>
      <c r="H8363">
        <v>0</v>
      </c>
      <c r="I8363" s="140" t="s">
        <v>17</v>
      </c>
    </row>
    <row r="8364" spans="1:9" hidden="1" x14ac:dyDescent="0.25">
      <c r="A8364">
        <v>1999</v>
      </c>
      <c r="B8364" s="140" t="s">
        <v>485</v>
      </c>
      <c r="C8364" s="140" t="s">
        <v>243</v>
      </c>
      <c r="D8364" s="140" t="s">
        <v>11</v>
      </c>
      <c r="E8364" s="140" t="s">
        <v>320</v>
      </c>
      <c r="F8364">
        <v>505</v>
      </c>
      <c r="G8364" s="140" t="s">
        <v>486</v>
      </c>
      <c r="H8364">
        <v>0</v>
      </c>
      <c r="I8364" s="140" t="s">
        <v>17</v>
      </c>
    </row>
    <row r="8365" spans="1:9" hidden="1" x14ac:dyDescent="0.25">
      <c r="A8365">
        <v>2000</v>
      </c>
      <c r="B8365" s="140" t="s">
        <v>485</v>
      </c>
      <c r="C8365" s="140" t="s">
        <v>243</v>
      </c>
      <c r="D8365" s="140" t="s">
        <v>11</v>
      </c>
      <c r="E8365" s="140" t="s">
        <v>320</v>
      </c>
      <c r="F8365">
        <v>493</v>
      </c>
      <c r="G8365" s="140" t="s">
        <v>486</v>
      </c>
      <c r="H8365">
        <v>0</v>
      </c>
      <c r="I8365" s="140" t="s">
        <v>17</v>
      </c>
    </row>
    <row r="8366" spans="1:9" hidden="1" x14ac:dyDescent="0.25">
      <c r="A8366">
        <v>2001</v>
      </c>
      <c r="B8366" s="140" t="s">
        <v>485</v>
      </c>
      <c r="C8366" s="140" t="s">
        <v>243</v>
      </c>
      <c r="D8366" s="140" t="s">
        <v>11</v>
      </c>
      <c r="E8366" s="140" t="s">
        <v>320</v>
      </c>
      <c r="F8366">
        <v>509</v>
      </c>
      <c r="G8366" s="140" t="s">
        <v>486</v>
      </c>
      <c r="H8366">
        <v>0</v>
      </c>
      <c r="I8366" s="140" t="s">
        <v>17</v>
      </c>
    </row>
    <row r="8367" spans="1:9" hidden="1" x14ac:dyDescent="0.25">
      <c r="A8367">
        <v>2002</v>
      </c>
      <c r="B8367" s="140" t="s">
        <v>485</v>
      </c>
      <c r="C8367" s="140" t="s">
        <v>243</v>
      </c>
      <c r="D8367" s="140" t="s">
        <v>11</v>
      </c>
      <c r="E8367" s="140" t="s">
        <v>320</v>
      </c>
      <c r="F8367">
        <v>512</v>
      </c>
      <c r="G8367" s="140" t="s">
        <v>486</v>
      </c>
      <c r="H8367">
        <v>0</v>
      </c>
      <c r="I8367" s="140" t="s">
        <v>17</v>
      </c>
    </row>
    <row r="8368" spans="1:9" hidden="1" x14ac:dyDescent="0.25">
      <c r="A8368">
        <v>2003</v>
      </c>
      <c r="B8368" s="140" t="s">
        <v>485</v>
      </c>
      <c r="C8368" s="140" t="s">
        <v>243</v>
      </c>
      <c r="D8368" s="140" t="s">
        <v>11</v>
      </c>
      <c r="E8368" s="140" t="s">
        <v>320</v>
      </c>
      <c r="F8368">
        <v>483</v>
      </c>
      <c r="G8368" s="140" t="s">
        <v>486</v>
      </c>
      <c r="H8368">
        <v>0</v>
      </c>
      <c r="I8368" s="140" t="s">
        <v>17</v>
      </c>
    </row>
    <row r="8369" spans="1:9" hidden="1" x14ac:dyDescent="0.25">
      <c r="A8369">
        <v>2004</v>
      </c>
      <c r="B8369" s="140" t="s">
        <v>485</v>
      </c>
      <c r="C8369" s="140" t="s">
        <v>243</v>
      </c>
      <c r="D8369" s="140" t="s">
        <v>11</v>
      </c>
      <c r="E8369" s="140" t="s">
        <v>320</v>
      </c>
      <c r="F8369">
        <v>531</v>
      </c>
      <c r="G8369" s="140" t="s">
        <v>486</v>
      </c>
      <c r="H8369">
        <v>0</v>
      </c>
      <c r="I8369" s="140" t="s">
        <v>17</v>
      </c>
    </row>
    <row r="8370" spans="1:9" hidden="1" x14ac:dyDescent="0.25">
      <c r="A8370">
        <v>2005</v>
      </c>
      <c r="B8370" s="140" t="s">
        <v>485</v>
      </c>
      <c r="C8370" s="140" t="s">
        <v>243</v>
      </c>
      <c r="D8370" s="140" t="s">
        <v>11</v>
      </c>
      <c r="E8370" s="140" t="s">
        <v>320</v>
      </c>
      <c r="F8370">
        <v>456</v>
      </c>
      <c r="G8370" s="140" t="s">
        <v>486</v>
      </c>
      <c r="H8370">
        <v>0</v>
      </c>
      <c r="I8370" s="140" t="s">
        <v>17</v>
      </c>
    </row>
    <row r="8371" spans="1:9" hidden="1" x14ac:dyDescent="0.25">
      <c r="A8371">
        <v>2006</v>
      </c>
      <c r="B8371" s="140" t="s">
        <v>485</v>
      </c>
      <c r="C8371" s="140" t="s">
        <v>243</v>
      </c>
      <c r="D8371" s="140" t="s">
        <v>11</v>
      </c>
      <c r="E8371" s="140" t="s">
        <v>320</v>
      </c>
      <c r="F8371">
        <v>486</v>
      </c>
      <c r="G8371" s="140" t="s">
        <v>486</v>
      </c>
      <c r="H8371">
        <v>0</v>
      </c>
      <c r="I8371" s="140" t="s">
        <v>17</v>
      </c>
    </row>
    <row r="8372" spans="1:9" hidden="1" x14ac:dyDescent="0.25">
      <c r="A8372">
        <v>2007</v>
      </c>
      <c r="B8372" s="140" t="s">
        <v>485</v>
      </c>
      <c r="C8372" s="140" t="s">
        <v>243</v>
      </c>
      <c r="D8372" s="140" t="s">
        <v>11</v>
      </c>
      <c r="E8372" s="140" t="s">
        <v>320</v>
      </c>
      <c r="F8372">
        <v>532</v>
      </c>
      <c r="G8372" s="140" t="s">
        <v>486</v>
      </c>
      <c r="H8372">
        <v>0</v>
      </c>
      <c r="I8372" s="140" t="s">
        <v>17</v>
      </c>
    </row>
    <row r="8373" spans="1:9" hidden="1" x14ac:dyDescent="0.25">
      <c r="A8373">
        <v>2008</v>
      </c>
      <c r="B8373" s="140" t="s">
        <v>485</v>
      </c>
      <c r="C8373" s="140" t="s">
        <v>243</v>
      </c>
      <c r="D8373" s="140" t="s">
        <v>11</v>
      </c>
      <c r="E8373" s="140" t="s">
        <v>320</v>
      </c>
      <c r="F8373">
        <v>516</v>
      </c>
      <c r="G8373" s="140" t="s">
        <v>486</v>
      </c>
      <c r="H8373">
        <v>0</v>
      </c>
      <c r="I8373" s="140" t="s">
        <v>17</v>
      </c>
    </row>
    <row r="8374" spans="1:9" hidden="1" x14ac:dyDescent="0.25">
      <c r="A8374">
        <v>2009</v>
      </c>
      <c r="B8374" s="140" t="s">
        <v>485</v>
      </c>
      <c r="C8374" s="140" t="s">
        <v>243</v>
      </c>
      <c r="D8374" s="140" t="s">
        <v>11</v>
      </c>
      <c r="E8374" s="140" t="s">
        <v>320</v>
      </c>
      <c r="F8374">
        <v>511</v>
      </c>
      <c r="G8374" s="140" t="s">
        <v>486</v>
      </c>
      <c r="H8374">
        <v>0</v>
      </c>
      <c r="I8374" s="140" t="s">
        <v>17</v>
      </c>
    </row>
    <row r="8375" spans="1:9" hidden="1" x14ac:dyDescent="0.25">
      <c r="A8375">
        <v>2010</v>
      </c>
      <c r="B8375" s="140" t="s">
        <v>485</v>
      </c>
      <c r="C8375" s="140" t="s">
        <v>243</v>
      </c>
      <c r="D8375" s="140" t="s">
        <v>11</v>
      </c>
      <c r="E8375" s="140" t="s">
        <v>320</v>
      </c>
      <c r="F8375">
        <v>547</v>
      </c>
      <c r="G8375" s="140" t="s">
        <v>486</v>
      </c>
      <c r="H8375">
        <v>0</v>
      </c>
      <c r="I8375" s="140" t="s">
        <v>17</v>
      </c>
    </row>
    <row r="8376" spans="1:9" hidden="1" x14ac:dyDescent="0.25">
      <c r="A8376">
        <v>2011</v>
      </c>
      <c r="B8376" s="140" t="s">
        <v>485</v>
      </c>
      <c r="C8376" s="140" t="s">
        <v>243</v>
      </c>
      <c r="D8376" s="140" t="s">
        <v>11</v>
      </c>
      <c r="E8376" s="140" t="s">
        <v>320</v>
      </c>
      <c r="F8376">
        <v>529</v>
      </c>
      <c r="G8376" s="140" t="s">
        <v>486</v>
      </c>
      <c r="H8376">
        <v>0</v>
      </c>
      <c r="I8376" s="140" t="s">
        <v>17</v>
      </c>
    </row>
    <row r="8377" spans="1:9" hidden="1" x14ac:dyDescent="0.25">
      <c r="A8377">
        <v>2012</v>
      </c>
      <c r="B8377" s="140" t="s">
        <v>485</v>
      </c>
      <c r="C8377" s="140" t="s">
        <v>243</v>
      </c>
      <c r="D8377" s="140" t="s">
        <v>11</v>
      </c>
      <c r="E8377" s="140" t="s">
        <v>320</v>
      </c>
      <c r="F8377">
        <v>545</v>
      </c>
      <c r="G8377" s="140" t="s">
        <v>486</v>
      </c>
      <c r="H8377">
        <v>0</v>
      </c>
      <c r="I8377" s="140" t="s">
        <v>17</v>
      </c>
    </row>
    <row r="8378" spans="1:9" hidden="1" x14ac:dyDescent="0.25">
      <c r="A8378">
        <v>2013</v>
      </c>
      <c r="B8378" s="140" t="s">
        <v>485</v>
      </c>
      <c r="C8378" s="140" t="s">
        <v>243</v>
      </c>
      <c r="D8378" s="140" t="s">
        <v>11</v>
      </c>
      <c r="E8378" s="140" t="s">
        <v>320</v>
      </c>
      <c r="F8378">
        <v>561</v>
      </c>
      <c r="G8378" s="140" t="s">
        <v>486</v>
      </c>
      <c r="H8378">
        <v>0</v>
      </c>
      <c r="I8378" s="140" t="s">
        <v>17</v>
      </c>
    </row>
    <row r="8379" spans="1:9" hidden="1" x14ac:dyDescent="0.25">
      <c r="A8379">
        <v>2014</v>
      </c>
      <c r="B8379" s="140" t="s">
        <v>485</v>
      </c>
      <c r="C8379" s="140" t="s">
        <v>243</v>
      </c>
      <c r="D8379" s="140" t="s">
        <v>11</v>
      </c>
      <c r="E8379" s="140" t="s">
        <v>320</v>
      </c>
      <c r="F8379">
        <v>532</v>
      </c>
      <c r="G8379" s="140" t="s">
        <v>486</v>
      </c>
      <c r="H8379">
        <v>0</v>
      </c>
      <c r="I8379" s="140" t="s">
        <v>17</v>
      </c>
    </row>
    <row r="8380" spans="1:9" hidden="1" x14ac:dyDescent="0.25">
      <c r="A8380">
        <v>2015</v>
      </c>
      <c r="B8380" s="140" t="s">
        <v>485</v>
      </c>
      <c r="C8380" s="140" t="s">
        <v>243</v>
      </c>
      <c r="D8380" s="140" t="s">
        <v>11</v>
      </c>
      <c r="E8380" s="140" t="s">
        <v>320</v>
      </c>
      <c r="F8380">
        <v>483</v>
      </c>
      <c r="G8380" s="140" t="s">
        <v>486</v>
      </c>
      <c r="H8380">
        <v>0</v>
      </c>
      <c r="I8380" s="140" t="s">
        <v>17</v>
      </c>
    </row>
    <row r="8381" spans="1:9" hidden="1" x14ac:dyDescent="0.25">
      <c r="A8381">
        <v>2016</v>
      </c>
      <c r="B8381" s="140" t="s">
        <v>485</v>
      </c>
      <c r="C8381" s="140" t="s">
        <v>243</v>
      </c>
      <c r="D8381" s="140" t="s">
        <v>11</v>
      </c>
      <c r="E8381" s="140" t="s">
        <v>320</v>
      </c>
      <c r="F8381">
        <v>532</v>
      </c>
      <c r="G8381" s="140" t="s">
        <v>486</v>
      </c>
      <c r="H8381">
        <v>0</v>
      </c>
      <c r="I8381" s="140" t="s">
        <v>17</v>
      </c>
    </row>
    <row r="8382" spans="1:9" hidden="1" x14ac:dyDescent="0.25">
      <c r="A8382">
        <v>2017</v>
      </c>
      <c r="B8382" s="140" t="s">
        <v>485</v>
      </c>
      <c r="C8382" s="140" t="s">
        <v>243</v>
      </c>
      <c r="D8382" s="140" t="s">
        <v>11</v>
      </c>
      <c r="E8382" s="140" t="s">
        <v>320</v>
      </c>
      <c r="F8382">
        <v>527</v>
      </c>
      <c r="G8382" s="140" t="s">
        <v>486</v>
      </c>
      <c r="H8382">
        <v>0</v>
      </c>
      <c r="I8382" s="140" t="s">
        <v>17</v>
      </c>
    </row>
    <row r="8383" spans="1:9" hidden="1" x14ac:dyDescent="0.25">
      <c r="A8383">
        <v>2018</v>
      </c>
      <c r="B8383" s="140" t="s">
        <v>485</v>
      </c>
      <c r="C8383" s="140" t="s">
        <v>243</v>
      </c>
      <c r="D8383" s="140" t="s">
        <v>11</v>
      </c>
      <c r="E8383" s="140" t="s">
        <v>320</v>
      </c>
      <c r="F8383">
        <v>522</v>
      </c>
      <c r="G8383" s="140" t="s">
        <v>486</v>
      </c>
      <c r="H8383">
        <v>0</v>
      </c>
      <c r="I8383" s="140" t="s">
        <v>17</v>
      </c>
    </row>
    <row r="8384" spans="1:9" hidden="1" x14ac:dyDescent="0.25">
      <c r="A8384">
        <v>2019</v>
      </c>
      <c r="B8384" s="140" t="s">
        <v>485</v>
      </c>
      <c r="C8384" s="140" t="s">
        <v>243</v>
      </c>
      <c r="D8384" s="140" t="s">
        <v>11</v>
      </c>
      <c r="E8384" s="140" t="s">
        <v>320</v>
      </c>
      <c r="F8384">
        <v>546</v>
      </c>
      <c r="G8384" s="140" t="s">
        <v>486</v>
      </c>
      <c r="H8384">
        <v>0</v>
      </c>
      <c r="I8384" s="140" t="s">
        <v>17</v>
      </c>
    </row>
    <row r="8385" spans="1:9" hidden="1" x14ac:dyDescent="0.25">
      <c r="A8385">
        <v>2020</v>
      </c>
      <c r="B8385" s="140" t="s">
        <v>485</v>
      </c>
      <c r="C8385" s="140" t="s">
        <v>243</v>
      </c>
      <c r="D8385" s="140" t="s">
        <v>11</v>
      </c>
      <c r="E8385" s="140" t="s">
        <v>320</v>
      </c>
      <c r="F8385">
        <v>536</v>
      </c>
      <c r="G8385" s="140" t="s">
        <v>486</v>
      </c>
      <c r="H8385">
        <v>0</v>
      </c>
      <c r="I8385" s="140" t="s">
        <v>17</v>
      </c>
    </row>
    <row r="8386" spans="1:9" hidden="1" x14ac:dyDescent="0.25">
      <c r="A8386">
        <v>2021</v>
      </c>
      <c r="B8386" s="140" t="s">
        <v>485</v>
      </c>
      <c r="C8386" s="140" t="s">
        <v>243</v>
      </c>
      <c r="D8386" s="140" t="s">
        <v>11</v>
      </c>
      <c r="E8386" s="140" t="s">
        <v>320</v>
      </c>
      <c r="F8386">
        <v>593</v>
      </c>
      <c r="G8386" s="140" t="s">
        <v>486</v>
      </c>
      <c r="H8386">
        <v>0</v>
      </c>
      <c r="I8386" s="140" t="s">
        <v>17</v>
      </c>
    </row>
    <row r="8387" spans="1:9" hidden="1" x14ac:dyDescent="0.25">
      <c r="A8387">
        <v>2022</v>
      </c>
      <c r="B8387" s="140" t="s">
        <v>485</v>
      </c>
      <c r="C8387" s="140" t="s">
        <v>243</v>
      </c>
      <c r="D8387" s="140" t="s">
        <v>11</v>
      </c>
      <c r="E8387" s="140" t="s">
        <v>320</v>
      </c>
      <c r="F8387">
        <v>603</v>
      </c>
      <c r="G8387" s="140" t="s">
        <v>486</v>
      </c>
      <c r="H8387">
        <v>0</v>
      </c>
      <c r="I8387" s="140" t="s">
        <v>17</v>
      </c>
    </row>
    <row r="8388" spans="1:9" hidden="1" x14ac:dyDescent="0.25">
      <c r="A8388">
        <v>2023</v>
      </c>
      <c r="B8388" s="140" t="s">
        <v>485</v>
      </c>
      <c r="C8388" s="140" t="s">
        <v>243</v>
      </c>
      <c r="D8388" s="140" t="s">
        <v>11</v>
      </c>
      <c r="E8388" s="140" t="s">
        <v>320</v>
      </c>
      <c r="F8388">
        <v>579</v>
      </c>
      <c r="G8388" s="140" t="s">
        <v>486</v>
      </c>
      <c r="H8388">
        <v>0</v>
      </c>
      <c r="I8388" s="140" t="s">
        <v>17</v>
      </c>
    </row>
    <row r="8389" spans="1:9" hidden="1" x14ac:dyDescent="0.25">
      <c r="A8389">
        <v>2024</v>
      </c>
      <c r="B8389" s="140" t="s">
        <v>485</v>
      </c>
      <c r="C8389" s="140" t="s">
        <v>243</v>
      </c>
      <c r="D8389" s="140" t="s">
        <v>11</v>
      </c>
      <c r="E8389" s="140" t="s">
        <v>320</v>
      </c>
      <c r="F8389">
        <v>549</v>
      </c>
      <c r="G8389" s="140" t="s">
        <v>486</v>
      </c>
      <c r="H8389">
        <v>0</v>
      </c>
      <c r="I8389" s="140" t="s">
        <v>17</v>
      </c>
    </row>
    <row r="8390" spans="1:9" hidden="1" x14ac:dyDescent="0.25">
      <c r="A8390">
        <v>2025</v>
      </c>
      <c r="B8390" s="140" t="s">
        <v>485</v>
      </c>
      <c r="C8390" s="140" t="s">
        <v>243</v>
      </c>
      <c r="D8390" s="140" t="s">
        <v>11</v>
      </c>
      <c r="E8390" s="140" t="s">
        <v>320</v>
      </c>
      <c r="F8390">
        <v>595</v>
      </c>
      <c r="G8390" s="140" t="s">
        <v>486</v>
      </c>
      <c r="H8390">
        <v>0</v>
      </c>
      <c r="I8390" s="140" t="s">
        <v>17</v>
      </c>
    </row>
    <row r="8391" spans="1:9" hidden="1" x14ac:dyDescent="0.25">
      <c r="A8391">
        <v>2026</v>
      </c>
      <c r="B8391" s="140" t="s">
        <v>485</v>
      </c>
      <c r="C8391" s="140" t="s">
        <v>243</v>
      </c>
      <c r="D8391" s="140" t="s">
        <v>11</v>
      </c>
      <c r="E8391" s="140" t="s">
        <v>320</v>
      </c>
      <c r="F8391">
        <v>606.9</v>
      </c>
      <c r="G8391" s="140" t="s">
        <v>486</v>
      </c>
      <c r="H8391">
        <v>0</v>
      </c>
      <c r="I8391" s="140" t="s">
        <v>17</v>
      </c>
    </row>
    <row r="8392" spans="1:9" hidden="1" x14ac:dyDescent="0.25">
      <c r="A8392">
        <v>2027</v>
      </c>
      <c r="B8392" s="140" t="s">
        <v>485</v>
      </c>
      <c r="C8392" s="140" t="s">
        <v>243</v>
      </c>
      <c r="D8392" s="140" t="s">
        <v>11</v>
      </c>
      <c r="E8392" s="140" t="s">
        <v>320</v>
      </c>
      <c r="F8392">
        <v>619.03800000000001</v>
      </c>
      <c r="G8392" s="140" t="s">
        <v>486</v>
      </c>
      <c r="H8392">
        <v>0</v>
      </c>
      <c r="I8392" s="140" t="s">
        <v>17</v>
      </c>
    </row>
    <row r="8393" spans="1:9" hidden="1" x14ac:dyDescent="0.25">
      <c r="A8393">
        <v>2028</v>
      </c>
      <c r="B8393" s="140" t="s">
        <v>485</v>
      </c>
      <c r="C8393" s="140" t="s">
        <v>243</v>
      </c>
      <c r="D8393" s="140" t="s">
        <v>11</v>
      </c>
      <c r="E8393" s="140" t="s">
        <v>320</v>
      </c>
      <c r="F8393">
        <v>631.41876000000002</v>
      </c>
      <c r="G8393" s="140" t="s">
        <v>486</v>
      </c>
      <c r="H8393">
        <v>0</v>
      </c>
      <c r="I8393" s="140" t="s">
        <v>17</v>
      </c>
    </row>
    <row r="8394" spans="1:9" hidden="1" x14ac:dyDescent="0.25">
      <c r="A8394">
        <v>1990</v>
      </c>
      <c r="B8394" s="140" t="s">
        <v>425</v>
      </c>
      <c r="C8394" s="140" t="s">
        <v>243</v>
      </c>
      <c r="D8394" s="140" t="s">
        <v>11</v>
      </c>
      <c r="E8394" s="140" t="s">
        <v>320</v>
      </c>
      <c r="F8394">
        <v>-4</v>
      </c>
      <c r="G8394" s="140" t="s">
        <v>487</v>
      </c>
      <c r="H8394">
        <v>0</v>
      </c>
      <c r="I8394" s="140" t="s">
        <v>17</v>
      </c>
    </row>
    <row r="8395" spans="1:9" hidden="1" x14ac:dyDescent="0.25">
      <c r="A8395">
        <v>1991</v>
      </c>
      <c r="B8395" s="140" t="s">
        <v>425</v>
      </c>
      <c r="C8395" s="140" t="s">
        <v>243</v>
      </c>
      <c r="D8395" s="140" t="s">
        <v>11</v>
      </c>
      <c r="E8395" s="140" t="s">
        <v>320</v>
      </c>
      <c r="F8395">
        <v>-12</v>
      </c>
      <c r="G8395" s="140" t="s">
        <v>487</v>
      </c>
      <c r="H8395">
        <v>0</v>
      </c>
      <c r="I8395" s="140" t="s">
        <v>17</v>
      </c>
    </row>
    <row r="8396" spans="1:9" hidden="1" x14ac:dyDescent="0.25">
      <c r="A8396">
        <v>1992</v>
      </c>
      <c r="B8396" s="140" t="s">
        <v>425</v>
      </c>
      <c r="C8396" s="140" t="s">
        <v>243</v>
      </c>
      <c r="D8396" s="140" t="s">
        <v>11</v>
      </c>
      <c r="E8396" s="140" t="s">
        <v>320</v>
      </c>
      <c r="F8396">
        <v>1</v>
      </c>
      <c r="G8396" s="140" t="s">
        <v>487</v>
      </c>
      <c r="H8396">
        <v>0</v>
      </c>
      <c r="I8396" s="140" t="s">
        <v>17</v>
      </c>
    </row>
    <row r="8397" spans="1:9" hidden="1" x14ac:dyDescent="0.25">
      <c r="A8397">
        <v>1993</v>
      </c>
      <c r="B8397" s="140" t="s">
        <v>425</v>
      </c>
      <c r="C8397" s="140" t="s">
        <v>243</v>
      </c>
      <c r="D8397" s="140" t="s">
        <v>11</v>
      </c>
      <c r="E8397" s="140" t="s">
        <v>320</v>
      </c>
      <c r="F8397">
        <v>0</v>
      </c>
      <c r="G8397" s="140" t="s">
        <v>487</v>
      </c>
      <c r="H8397">
        <v>0</v>
      </c>
      <c r="I8397" s="140" t="s">
        <v>17</v>
      </c>
    </row>
    <row r="8398" spans="1:9" hidden="1" x14ac:dyDescent="0.25">
      <c r="A8398">
        <v>1994</v>
      </c>
      <c r="B8398" s="140" t="s">
        <v>425</v>
      </c>
      <c r="C8398" s="140" t="s">
        <v>243</v>
      </c>
      <c r="D8398" s="140" t="s">
        <v>11</v>
      </c>
      <c r="E8398" s="140" t="s">
        <v>320</v>
      </c>
      <c r="F8398">
        <v>0</v>
      </c>
      <c r="G8398" s="140" t="s">
        <v>487</v>
      </c>
      <c r="H8398">
        <v>0</v>
      </c>
      <c r="I8398" s="140" t="s">
        <v>17</v>
      </c>
    </row>
    <row r="8399" spans="1:9" hidden="1" x14ac:dyDescent="0.25">
      <c r="A8399">
        <v>1995</v>
      </c>
      <c r="B8399" s="140" t="s">
        <v>425</v>
      </c>
      <c r="C8399" s="140" t="s">
        <v>243</v>
      </c>
      <c r="D8399" s="140" t="s">
        <v>11</v>
      </c>
      <c r="E8399" s="140" t="s">
        <v>320</v>
      </c>
      <c r="F8399">
        <v>1</v>
      </c>
      <c r="G8399" s="140" t="s">
        <v>487</v>
      </c>
      <c r="H8399">
        <v>0</v>
      </c>
      <c r="I8399" s="140" t="s">
        <v>17</v>
      </c>
    </row>
    <row r="8400" spans="1:9" hidden="1" x14ac:dyDescent="0.25">
      <c r="A8400">
        <v>1996</v>
      </c>
      <c r="B8400" s="140" t="s">
        <v>425</v>
      </c>
      <c r="C8400" s="140" t="s">
        <v>243</v>
      </c>
      <c r="D8400" s="140" t="s">
        <v>11</v>
      </c>
      <c r="E8400" s="140" t="s">
        <v>320</v>
      </c>
      <c r="F8400">
        <v>2</v>
      </c>
      <c r="G8400" s="140" t="s">
        <v>487</v>
      </c>
      <c r="H8400">
        <v>0</v>
      </c>
      <c r="I8400" s="140" t="s">
        <v>17</v>
      </c>
    </row>
    <row r="8401" spans="1:9" hidden="1" x14ac:dyDescent="0.25">
      <c r="A8401">
        <v>1997</v>
      </c>
      <c r="B8401" s="140" t="s">
        <v>425</v>
      </c>
      <c r="C8401" s="140" t="s">
        <v>243</v>
      </c>
      <c r="D8401" s="140" t="s">
        <v>11</v>
      </c>
      <c r="E8401" s="140" t="s">
        <v>320</v>
      </c>
      <c r="F8401">
        <v>-6</v>
      </c>
      <c r="G8401" s="140" t="s">
        <v>487</v>
      </c>
      <c r="H8401">
        <v>0</v>
      </c>
      <c r="I8401" s="140" t="s">
        <v>17</v>
      </c>
    </row>
    <row r="8402" spans="1:9" hidden="1" x14ac:dyDescent="0.25">
      <c r="A8402">
        <v>1998</v>
      </c>
      <c r="B8402" s="140" t="s">
        <v>425</v>
      </c>
      <c r="C8402" s="140" t="s">
        <v>243</v>
      </c>
      <c r="D8402" s="140" t="s">
        <v>11</v>
      </c>
      <c r="E8402" s="140" t="s">
        <v>320</v>
      </c>
      <c r="F8402">
        <v>-8</v>
      </c>
      <c r="G8402" s="140" t="s">
        <v>487</v>
      </c>
      <c r="H8402">
        <v>0</v>
      </c>
      <c r="I8402" s="140" t="s">
        <v>17</v>
      </c>
    </row>
    <row r="8403" spans="1:9" hidden="1" x14ac:dyDescent="0.25">
      <c r="A8403">
        <v>1999</v>
      </c>
      <c r="B8403" s="140" t="s">
        <v>425</v>
      </c>
      <c r="C8403" s="140" t="s">
        <v>243</v>
      </c>
      <c r="D8403" s="140" t="s">
        <v>11</v>
      </c>
      <c r="E8403" s="140" t="s">
        <v>320</v>
      </c>
      <c r="F8403">
        <v>11</v>
      </c>
      <c r="G8403" s="140" t="s">
        <v>487</v>
      </c>
      <c r="H8403">
        <v>0</v>
      </c>
      <c r="I8403" s="140" t="s">
        <v>17</v>
      </c>
    </row>
    <row r="8404" spans="1:9" hidden="1" x14ac:dyDescent="0.25">
      <c r="A8404">
        <v>2000</v>
      </c>
      <c r="B8404" s="140" t="s">
        <v>425</v>
      </c>
      <c r="C8404" s="140" t="s">
        <v>243</v>
      </c>
      <c r="D8404" s="140" t="s">
        <v>11</v>
      </c>
      <c r="E8404" s="140" t="s">
        <v>320</v>
      </c>
      <c r="F8404">
        <v>-10</v>
      </c>
      <c r="G8404" s="140" t="s">
        <v>487</v>
      </c>
      <c r="H8404">
        <v>0</v>
      </c>
      <c r="I8404" s="140" t="s">
        <v>17</v>
      </c>
    </row>
    <row r="8405" spans="1:9" hidden="1" x14ac:dyDescent="0.25">
      <c r="A8405">
        <v>2001</v>
      </c>
      <c r="B8405" s="140" t="s">
        <v>425</v>
      </c>
      <c r="C8405" s="140" t="s">
        <v>243</v>
      </c>
      <c r="D8405" s="140" t="s">
        <v>11</v>
      </c>
      <c r="E8405" s="140" t="s">
        <v>320</v>
      </c>
      <c r="F8405">
        <v>-2</v>
      </c>
      <c r="G8405" s="140" t="s">
        <v>487</v>
      </c>
      <c r="H8405">
        <v>0</v>
      </c>
      <c r="I8405" s="140" t="s">
        <v>17</v>
      </c>
    </row>
    <row r="8406" spans="1:9" hidden="1" x14ac:dyDescent="0.25">
      <c r="A8406">
        <v>2002</v>
      </c>
      <c r="B8406" s="140" t="s">
        <v>425</v>
      </c>
      <c r="C8406" s="140" t="s">
        <v>243</v>
      </c>
      <c r="D8406" s="140" t="s">
        <v>11</v>
      </c>
      <c r="E8406" s="140" t="s">
        <v>320</v>
      </c>
      <c r="F8406">
        <v>-4</v>
      </c>
      <c r="G8406" s="140" t="s">
        <v>487</v>
      </c>
      <c r="H8406">
        <v>0</v>
      </c>
      <c r="I8406" s="140" t="s">
        <v>17</v>
      </c>
    </row>
    <row r="8407" spans="1:9" hidden="1" x14ac:dyDescent="0.25">
      <c r="A8407">
        <v>2003</v>
      </c>
      <c r="B8407" s="140" t="s">
        <v>425</v>
      </c>
      <c r="C8407" s="140" t="s">
        <v>243</v>
      </c>
      <c r="D8407" s="140" t="s">
        <v>11</v>
      </c>
      <c r="E8407" s="140" t="s">
        <v>320</v>
      </c>
      <c r="F8407">
        <v>-2</v>
      </c>
      <c r="G8407" s="140" t="s">
        <v>487</v>
      </c>
      <c r="H8407">
        <v>0</v>
      </c>
      <c r="I8407" s="140" t="s">
        <v>17</v>
      </c>
    </row>
    <row r="8408" spans="1:9" hidden="1" x14ac:dyDescent="0.25">
      <c r="A8408">
        <v>2004</v>
      </c>
      <c r="B8408" s="140" t="s">
        <v>425</v>
      </c>
      <c r="C8408" s="140" t="s">
        <v>243</v>
      </c>
      <c r="D8408" s="140" t="s">
        <v>11</v>
      </c>
      <c r="E8408" s="140" t="s">
        <v>320</v>
      </c>
      <c r="F8408">
        <v>-5</v>
      </c>
      <c r="G8408" s="140" t="s">
        <v>487</v>
      </c>
      <c r="H8408">
        <v>0</v>
      </c>
      <c r="I8408" s="140" t="s">
        <v>17</v>
      </c>
    </row>
    <row r="8409" spans="1:9" hidden="1" x14ac:dyDescent="0.25">
      <c r="A8409">
        <v>2005</v>
      </c>
      <c r="B8409" s="140" t="s">
        <v>425</v>
      </c>
      <c r="C8409" s="140" t="s">
        <v>243</v>
      </c>
      <c r="D8409" s="140" t="s">
        <v>11</v>
      </c>
      <c r="E8409" s="140" t="s">
        <v>320</v>
      </c>
      <c r="F8409">
        <v>-10</v>
      </c>
      <c r="G8409" s="140" t="s">
        <v>487</v>
      </c>
      <c r="H8409">
        <v>0</v>
      </c>
      <c r="I8409" s="140" t="s">
        <v>17</v>
      </c>
    </row>
    <row r="8410" spans="1:9" hidden="1" x14ac:dyDescent="0.25">
      <c r="A8410">
        <v>2006</v>
      </c>
      <c r="B8410" s="140" t="s">
        <v>425</v>
      </c>
      <c r="C8410" s="140" t="s">
        <v>243</v>
      </c>
      <c r="D8410" s="140" t="s">
        <v>11</v>
      </c>
      <c r="E8410" s="140" t="s">
        <v>320</v>
      </c>
      <c r="F8410">
        <v>-24</v>
      </c>
      <c r="G8410" s="140" t="s">
        <v>487</v>
      </c>
      <c r="H8410">
        <v>0</v>
      </c>
      <c r="I8410" s="140" t="s">
        <v>17</v>
      </c>
    </row>
    <row r="8411" spans="1:9" hidden="1" x14ac:dyDescent="0.25">
      <c r="A8411">
        <v>2007</v>
      </c>
      <c r="B8411" s="140" t="s">
        <v>425</v>
      </c>
      <c r="C8411" s="140" t="s">
        <v>243</v>
      </c>
      <c r="D8411" s="140" t="s">
        <v>11</v>
      </c>
      <c r="E8411" s="140" t="s">
        <v>320</v>
      </c>
      <c r="F8411">
        <v>-22</v>
      </c>
      <c r="G8411" s="140" t="s">
        <v>487</v>
      </c>
      <c r="H8411">
        <v>0</v>
      </c>
      <c r="I8411" s="140" t="s">
        <v>17</v>
      </c>
    </row>
    <row r="8412" spans="1:9" hidden="1" x14ac:dyDescent="0.25">
      <c r="A8412">
        <v>2008</v>
      </c>
      <c r="B8412" s="140" t="s">
        <v>425</v>
      </c>
      <c r="C8412" s="140" t="s">
        <v>243</v>
      </c>
      <c r="D8412" s="140" t="s">
        <v>11</v>
      </c>
      <c r="E8412" s="140" t="s">
        <v>320</v>
      </c>
      <c r="F8412">
        <v>-25</v>
      </c>
      <c r="G8412" s="140" t="s">
        <v>487</v>
      </c>
      <c r="H8412">
        <v>0</v>
      </c>
      <c r="I8412" s="140" t="s">
        <v>17</v>
      </c>
    </row>
    <row r="8413" spans="1:9" hidden="1" x14ac:dyDescent="0.25">
      <c r="A8413">
        <v>2009</v>
      </c>
      <c r="B8413" s="140" t="s">
        <v>425</v>
      </c>
      <c r="C8413" s="140" t="s">
        <v>243</v>
      </c>
      <c r="D8413" s="140" t="s">
        <v>11</v>
      </c>
      <c r="E8413" s="140" t="s">
        <v>320</v>
      </c>
      <c r="F8413">
        <v>-7</v>
      </c>
      <c r="G8413" s="140" t="s">
        <v>487</v>
      </c>
      <c r="H8413">
        <v>0</v>
      </c>
      <c r="I8413" s="140" t="s">
        <v>17</v>
      </c>
    </row>
    <row r="8414" spans="1:9" hidden="1" x14ac:dyDescent="0.25">
      <c r="A8414">
        <v>2010</v>
      </c>
      <c r="B8414" s="140" t="s">
        <v>425</v>
      </c>
      <c r="C8414" s="140" t="s">
        <v>243</v>
      </c>
      <c r="D8414" s="140" t="s">
        <v>11</v>
      </c>
      <c r="E8414" s="140" t="s">
        <v>320</v>
      </c>
      <c r="F8414">
        <v>-12</v>
      </c>
      <c r="G8414" s="140" t="s">
        <v>487</v>
      </c>
      <c r="H8414">
        <v>0</v>
      </c>
      <c r="I8414" s="140" t="s">
        <v>17</v>
      </c>
    </row>
    <row r="8415" spans="1:9" hidden="1" x14ac:dyDescent="0.25">
      <c r="A8415">
        <v>2011</v>
      </c>
      <c r="B8415" s="140" t="s">
        <v>425</v>
      </c>
      <c r="C8415" s="140" t="s">
        <v>243</v>
      </c>
      <c r="D8415" s="140" t="s">
        <v>11</v>
      </c>
      <c r="E8415" s="140" t="s">
        <v>320</v>
      </c>
      <c r="F8415">
        <v>-33</v>
      </c>
      <c r="G8415" s="140" t="s">
        <v>487</v>
      </c>
      <c r="H8415">
        <v>0</v>
      </c>
      <c r="I8415" s="140" t="s">
        <v>17</v>
      </c>
    </row>
    <row r="8416" spans="1:9" hidden="1" x14ac:dyDescent="0.25">
      <c r="A8416">
        <v>2012</v>
      </c>
      <c r="B8416" s="140" t="s">
        <v>425</v>
      </c>
      <c r="C8416" s="140" t="s">
        <v>243</v>
      </c>
      <c r="D8416" s="140" t="s">
        <v>11</v>
      </c>
      <c r="E8416" s="140" t="s">
        <v>320</v>
      </c>
      <c r="F8416">
        <v>-11</v>
      </c>
      <c r="G8416" s="140" t="s">
        <v>487</v>
      </c>
      <c r="H8416">
        <v>0</v>
      </c>
      <c r="I8416" s="140" t="s">
        <v>17</v>
      </c>
    </row>
    <row r="8417" spans="1:9" hidden="1" x14ac:dyDescent="0.25">
      <c r="A8417">
        <v>2013</v>
      </c>
      <c r="B8417" s="140" t="s">
        <v>425</v>
      </c>
      <c r="C8417" s="140" t="s">
        <v>243</v>
      </c>
      <c r="D8417" s="140" t="s">
        <v>11</v>
      </c>
      <c r="E8417" s="140" t="s">
        <v>320</v>
      </c>
      <c r="F8417">
        <v>-20</v>
      </c>
      <c r="G8417" s="140" t="s">
        <v>487</v>
      </c>
      <c r="H8417">
        <v>0</v>
      </c>
      <c r="I8417" s="140" t="s">
        <v>17</v>
      </c>
    </row>
    <row r="8418" spans="1:9" hidden="1" x14ac:dyDescent="0.25">
      <c r="A8418">
        <v>2014</v>
      </c>
      <c r="B8418" s="140" t="s">
        <v>425</v>
      </c>
      <c r="C8418" s="140" t="s">
        <v>243</v>
      </c>
      <c r="D8418" s="140" t="s">
        <v>11</v>
      </c>
      <c r="E8418" s="140" t="s">
        <v>320</v>
      </c>
      <c r="F8418">
        <v>-29</v>
      </c>
      <c r="G8418" s="140" t="s">
        <v>487</v>
      </c>
      <c r="H8418">
        <v>0</v>
      </c>
      <c r="I8418" s="140" t="s">
        <v>17</v>
      </c>
    </row>
    <row r="8419" spans="1:9" hidden="1" x14ac:dyDescent="0.25">
      <c r="A8419">
        <v>2015</v>
      </c>
      <c r="B8419" s="140" t="s">
        <v>425</v>
      </c>
      <c r="C8419" s="140" t="s">
        <v>243</v>
      </c>
      <c r="D8419" s="140" t="s">
        <v>11</v>
      </c>
      <c r="E8419" s="140" t="s">
        <v>320</v>
      </c>
      <c r="F8419">
        <v>6</v>
      </c>
      <c r="G8419" s="140" t="s">
        <v>487</v>
      </c>
      <c r="H8419">
        <v>0</v>
      </c>
      <c r="I8419" s="140" t="s">
        <v>17</v>
      </c>
    </row>
    <row r="8420" spans="1:9" hidden="1" x14ac:dyDescent="0.25">
      <c r="A8420">
        <v>2016</v>
      </c>
      <c r="B8420" s="140" t="s">
        <v>425</v>
      </c>
      <c r="C8420" s="140" t="s">
        <v>243</v>
      </c>
      <c r="D8420" s="140" t="s">
        <v>11</v>
      </c>
      <c r="E8420" s="140" t="s">
        <v>320</v>
      </c>
      <c r="F8420">
        <v>116</v>
      </c>
      <c r="G8420" s="140" t="s">
        <v>487</v>
      </c>
      <c r="H8420">
        <v>0</v>
      </c>
      <c r="I8420" s="140" t="s">
        <v>17</v>
      </c>
    </row>
    <row r="8421" spans="1:9" hidden="1" x14ac:dyDescent="0.25">
      <c r="A8421">
        <v>2017</v>
      </c>
      <c r="B8421" s="140" t="s">
        <v>425</v>
      </c>
      <c r="C8421" s="140" t="s">
        <v>243</v>
      </c>
      <c r="D8421" s="140" t="s">
        <v>11</v>
      </c>
      <c r="E8421" s="140" t="s">
        <v>320</v>
      </c>
      <c r="F8421">
        <v>66</v>
      </c>
      <c r="G8421" s="140" t="s">
        <v>487</v>
      </c>
      <c r="H8421">
        <v>0</v>
      </c>
      <c r="I8421" s="140" t="s">
        <v>17</v>
      </c>
    </row>
    <row r="8422" spans="1:9" hidden="1" x14ac:dyDescent="0.25">
      <c r="A8422">
        <v>2018</v>
      </c>
      <c r="B8422" s="140" t="s">
        <v>425</v>
      </c>
      <c r="C8422" s="140" t="s">
        <v>243</v>
      </c>
      <c r="D8422" s="140" t="s">
        <v>11</v>
      </c>
      <c r="E8422" s="140" t="s">
        <v>320</v>
      </c>
      <c r="F8422">
        <v>25</v>
      </c>
      <c r="G8422" s="140" t="s">
        <v>487</v>
      </c>
      <c r="H8422">
        <v>0</v>
      </c>
      <c r="I8422" s="140" t="s">
        <v>17</v>
      </c>
    </row>
    <row r="8423" spans="1:9" hidden="1" x14ac:dyDescent="0.25">
      <c r="A8423">
        <v>2019</v>
      </c>
      <c r="B8423" s="140" t="s">
        <v>425</v>
      </c>
      <c r="C8423" s="140" t="s">
        <v>243</v>
      </c>
      <c r="D8423" s="140" t="s">
        <v>11</v>
      </c>
      <c r="E8423" s="140" t="s">
        <v>320</v>
      </c>
      <c r="F8423">
        <v>21</v>
      </c>
      <c r="G8423" s="140" t="s">
        <v>487</v>
      </c>
      <c r="H8423">
        <v>0</v>
      </c>
      <c r="I8423" s="140" t="s">
        <v>17</v>
      </c>
    </row>
    <row r="8424" spans="1:9" hidden="1" x14ac:dyDescent="0.25">
      <c r="A8424">
        <v>2020</v>
      </c>
      <c r="B8424" s="140" t="s">
        <v>425</v>
      </c>
      <c r="C8424" s="140" t="s">
        <v>243</v>
      </c>
      <c r="D8424" s="140" t="s">
        <v>11</v>
      </c>
      <c r="E8424" s="140" t="s">
        <v>320</v>
      </c>
      <c r="F8424">
        <v>40</v>
      </c>
      <c r="G8424" s="140" t="s">
        <v>487</v>
      </c>
      <c r="H8424">
        <v>0</v>
      </c>
      <c r="I8424" s="140" t="s">
        <v>17</v>
      </c>
    </row>
    <row r="8425" spans="1:9" hidden="1" x14ac:dyDescent="0.25">
      <c r="A8425">
        <v>2021</v>
      </c>
      <c r="B8425" s="140" t="s">
        <v>425</v>
      </c>
      <c r="C8425" s="140" t="s">
        <v>243</v>
      </c>
      <c r="D8425" s="140" t="s">
        <v>11</v>
      </c>
      <c r="E8425" s="140" t="s">
        <v>320</v>
      </c>
      <c r="F8425">
        <v>78</v>
      </c>
      <c r="G8425" s="140" t="s">
        <v>487</v>
      </c>
      <c r="H8425">
        <v>0</v>
      </c>
      <c r="I8425" s="140" t="s">
        <v>17</v>
      </c>
    </row>
    <row r="8426" spans="1:9" hidden="1" x14ac:dyDescent="0.25">
      <c r="A8426">
        <v>2022</v>
      </c>
      <c r="B8426" s="140" t="s">
        <v>425</v>
      </c>
      <c r="C8426" s="140" t="s">
        <v>243</v>
      </c>
      <c r="D8426" s="140" t="s">
        <v>11</v>
      </c>
      <c r="E8426" s="140" t="s">
        <v>320</v>
      </c>
      <c r="F8426">
        <v>36</v>
      </c>
      <c r="G8426" s="140" t="s">
        <v>487</v>
      </c>
      <c r="H8426">
        <v>0</v>
      </c>
      <c r="I8426" s="140" t="s">
        <v>17</v>
      </c>
    </row>
    <row r="8427" spans="1:9" hidden="1" x14ac:dyDescent="0.25">
      <c r="A8427">
        <v>2023</v>
      </c>
      <c r="B8427" s="140" t="s">
        <v>425</v>
      </c>
      <c r="C8427" s="140" t="s">
        <v>243</v>
      </c>
      <c r="D8427" s="140" t="s">
        <v>11</v>
      </c>
      <c r="E8427" s="140" t="s">
        <v>320</v>
      </c>
      <c r="F8427">
        <v>-36</v>
      </c>
      <c r="G8427" s="140" t="s">
        <v>487</v>
      </c>
      <c r="H8427">
        <v>0</v>
      </c>
      <c r="I8427" s="140" t="s">
        <v>17</v>
      </c>
    </row>
    <row r="8428" spans="1:9" hidden="1" x14ac:dyDescent="0.25">
      <c r="A8428">
        <v>2024</v>
      </c>
      <c r="B8428" s="140" t="s">
        <v>425</v>
      </c>
      <c r="C8428" s="140" t="s">
        <v>243</v>
      </c>
      <c r="D8428" s="140" t="s">
        <v>11</v>
      </c>
      <c r="E8428" s="140" t="s">
        <v>320</v>
      </c>
      <c r="F8428">
        <v>11</v>
      </c>
      <c r="G8428" s="140" t="s">
        <v>487</v>
      </c>
      <c r="H8428">
        <v>0</v>
      </c>
      <c r="I8428" s="140" t="s">
        <v>17</v>
      </c>
    </row>
    <row r="8429" spans="1:9" hidden="1" x14ac:dyDescent="0.25">
      <c r="A8429">
        <v>2025</v>
      </c>
      <c r="B8429" s="140" t="s">
        <v>425</v>
      </c>
      <c r="C8429" s="140" t="s">
        <v>243</v>
      </c>
      <c r="D8429" s="140" t="s">
        <v>11</v>
      </c>
      <c r="E8429" s="140" t="s">
        <v>320</v>
      </c>
      <c r="F8429">
        <v>-43</v>
      </c>
      <c r="G8429" s="140" t="s">
        <v>487</v>
      </c>
      <c r="H8429">
        <v>0</v>
      </c>
      <c r="I8429" s="140" t="s">
        <v>17</v>
      </c>
    </row>
    <row r="8430" spans="1:9" hidden="1" x14ac:dyDescent="0.25">
      <c r="A8430">
        <v>2026</v>
      </c>
      <c r="B8430" s="140" t="s">
        <v>425</v>
      </c>
      <c r="C8430" s="140" t="s">
        <v>243</v>
      </c>
      <c r="D8430" s="140" t="s">
        <v>11</v>
      </c>
      <c r="E8430" s="140" t="s">
        <v>320</v>
      </c>
      <c r="F8430">
        <v>-43</v>
      </c>
      <c r="G8430" s="140" t="s">
        <v>487</v>
      </c>
      <c r="H8430">
        <v>0</v>
      </c>
      <c r="I8430" s="140" t="s">
        <v>17</v>
      </c>
    </row>
    <row r="8431" spans="1:9" hidden="1" x14ac:dyDescent="0.25">
      <c r="A8431">
        <v>2027</v>
      </c>
      <c r="B8431" s="140" t="s">
        <v>425</v>
      </c>
      <c r="C8431" s="140" t="s">
        <v>243</v>
      </c>
      <c r="D8431" s="140" t="s">
        <v>11</v>
      </c>
      <c r="E8431" s="140" t="s">
        <v>320</v>
      </c>
      <c r="F8431">
        <v>-43</v>
      </c>
      <c r="G8431" s="140" t="s">
        <v>487</v>
      </c>
      <c r="H8431">
        <v>0</v>
      </c>
      <c r="I8431" s="140" t="s">
        <v>17</v>
      </c>
    </row>
    <row r="8432" spans="1:9" hidden="1" x14ac:dyDescent="0.25">
      <c r="A8432">
        <v>2028</v>
      </c>
      <c r="B8432" s="140" t="s">
        <v>425</v>
      </c>
      <c r="C8432" s="140" t="s">
        <v>243</v>
      </c>
      <c r="D8432" s="140" t="s">
        <v>11</v>
      </c>
      <c r="E8432" s="140" t="s">
        <v>320</v>
      </c>
      <c r="F8432">
        <v>-43</v>
      </c>
      <c r="G8432" s="140" t="s">
        <v>487</v>
      </c>
      <c r="H8432">
        <v>0</v>
      </c>
      <c r="I8432" s="140" t="s">
        <v>17</v>
      </c>
    </row>
    <row r="8433" spans="1:9" hidden="1" x14ac:dyDescent="0.25">
      <c r="A8433">
        <v>1990</v>
      </c>
      <c r="B8433" s="140" t="s">
        <v>316</v>
      </c>
      <c r="C8433" s="140" t="s">
        <v>243</v>
      </c>
      <c r="D8433" s="140" t="s">
        <v>11</v>
      </c>
      <c r="E8433" s="140" t="s">
        <v>320</v>
      </c>
      <c r="F8433">
        <v>-1</v>
      </c>
      <c r="G8433" s="140" t="s">
        <v>318</v>
      </c>
      <c r="H8433">
        <v>0</v>
      </c>
      <c r="I8433" s="140" t="s">
        <v>17</v>
      </c>
    </row>
    <row r="8434" spans="1:9" hidden="1" x14ac:dyDescent="0.25">
      <c r="A8434">
        <v>1991</v>
      </c>
      <c r="B8434" s="140" t="s">
        <v>316</v>
      </c>
      <c r="C8434" s="140" t="s">
        <v>243</v>
      </c>
      <c r="D8434" s="140" t="s">
        <v>11</v>
      </c>
      <c r="E8434" s="140" t="s">
        <v>320</v>
      </c>
      <c r="F8434">
        <v>-27</v>
      </c>
      <c r="G8434" s="140" t="s">
        <v>318</v>
      </c>
      <c r="H8434">
        <v>0</v>
      </c>
      <c r="I8434" s="140" t="s">
        <v>17</v>
      </c>
    </row>
    <row r="8435" spans="1:9" hidden="1" x14ac:dyDescent="0.25">
      <c r="A8435">
        <v>1992</v>
      </c>
      <c r="B8435" s="140" t="s">
        <v>316</v>
      </c>
      <c r="C8435" s="140" t="s">
        <v>243</v>
      </c>
      <c r="D8435" s="140" t="s">
        <v>11</v>
      </c>
      <c r="E8435" s="140" t="s">
        <v>320</v>
      </c>
      <c r="F8435">
        <v>-66</v>
      </c>
      <c r="G8435" s="140" t="s">
        <v>318</v>
      </c>
      <c r="H8435">
        <v>0</v>
      </c>
      <c r="I8435" s="140" t="s">
        <v>17</v>
      </c>
    </row>
    <row r="8436" spans="1:9" hidden="1" x14ac:dyDescent="0.25">
      <c r="A8436">
        <v>1993</v>
      </c>
      <c r="B8436" s="140" t="s">
        <v>316</v>
      </c>
      <c r="C8436" s="140" t="s">
        <v>243</v>
      </c>
      <c r="D8436" s="140" t="s">
        <v>11</v>
      </c>
      <c r="E8436" s="140" t="s">
        <v>320</v>
      </c>
      <c r="F8436">
        <v>8</v>
      </c>
      <c r="G8436" s="140" t="s">
        <v>318</v>
      </c>
      <c r="H8436">
        <v>0</v>
      </c>
      <c r="I8436" s="140" t="s">
        <v>17</v>
      </c>
    </row>
    <row r="8437" spans="1:9" hidden="1" x14ac:dyDescent="0.25">
      <c r="A8437">
        <v>1994</v>
      </c>
      <c r="B8437" s="140" t="s">
        <v>316</v>
      </c>
      <c r="C8437" s="140" t="s">
        <v>243</v>
      </c>
      <c r="D8437" s="140" t="s">
        <v>11</v>
      </c>
      <c r="E8437" s="140" t="s">
        <v>320</v>
      </c>
      <c r="F8437">
        <v>37</v>
      </c>
      <c r="G8437" s="140" t="s">
        <v>318</v>
      </c>
      <c r="H8437">
        <v>0</v>
      </c>
      <c r="I8437" s="140" t="s">
        <v>17</v>
      </c>
    </row>
    <row r="8438" spans="1:9" hidden="1" x14ac:dyDescent="0.25">
      <c r="A8438">
        <v>1995</v>
      </c>
      <c r="B8438" s="140" t="s">
        <v>316</v>
      </c>
      <c r="C8438" s="140" t="s">
        <v>243</v>
      </c>
      <c r="D8438" s="140" t="s">
        <v>11</v>
      </c>
      <c r="E8438" s="140" t="s">
        <v>320</v>
      </c>
      <c r="F8438">
        <v>94</v>
      </c>
      <c r="G8438" s="140" t="s">
        <v>318</v>
      </c>
      <c r="H8438">
        <v>0</v>
      </c>
      <c r="I8438" s="140" t="s">
        <v>17</v>
      </c>
    </row>
    <row r="8439" spans="1:9" hidden="1" x14ac:dyDescent="0.25">
      <c r="A8439">
        <v>1996</v>
      </c>
      <c r="B8439" s="140" t="s">
        <v>316</v>
      </c>
      <c r="C8439" s="140" t="s">
        <v>243</v>
      </c>
      <c r="D8439" s="140" t="s">
        <v>11</v>
      </c>
      <c r="E8439" s="140" t="s">
        <v>320</v>
      </c>
      <c r="F8439">
        <v>194</v>
      </c>
      <c r="G8439" s="140" t="s">
        <v>318</v>
      </c>
      <c r="H8439">
        <v>0</v>
      </c>
      <c r="I8439" s="140" t="s">
        <v>17</v>
      </c>
    </row>
    <row r="8440" spans="1:9" hidden="1" x14ac:dyDescent="0.25">
      <c r="A8440">
        <v>1997</v>
      </c>
      <c r="B8440" s="140" t="s">
        <v>316</v>
      </c>
      <c r="C8440" s="140" t="s">
        <v>243</v>
      </c>
      <c r="D8440" s="140" t="s">
        <v>11</v>
      </c>
      <c r="E8440" s="140" t="s">
        <v>320</v>
      </c>
      <c r="F8440">
        <v>332</v>
      </c>
      <c r="G8440" s="140" t="s">
        <v>318</v>
      </c>
      <c r="H8440">
        <v>0</v>
      </c>
      <c r="I8440" s="140" t="s">
        <v>17</v>
      </c>
    </row>
    <row r="8441" spans="1:9" hidden="1" x14ac:dyDescent="0.25">
      <c r="A8441">
        <v>1998</v>
      </c>
      <c r="B8441" s="140" t="s">
        <v>316</v>
      </c>
      <c r="C8441" s="140" t="s">
        <v>243</v>
      </c>
      <c r="D8441" s="140" t="s">
        <v>11</v>
      </c>
      <c r="E8441" s="140" t="s">
        <v>320</v>
      </c>
      <c r="F8441">
        <v>235</v>
      </c>
      <c r="G8441" s="140" t="s">
        <v>318</v>
      </c>
      <c r="H8441">
        <v>0</v>
      </c>
      <c r="I8441" s="140" t="s">
        <v>17</v>
      </c>
    </row>
    <row r="8442" spans="1:9" hidden="1" x14ac:dyDescent="0.25">
      <c r="A8442">
        <v>1999</v>
      </c>
      <c r="B8442" s="140" t="s">
        <v>316</v>
      </c>
      <c r="C8442" s="140" t="s">
        <v>243</v>
      </c>
      <c r="D8442" s="140" t="s">
        <v>11</v>
      </c>
      <c r="E8442" s="140" t="s">
        <v>320</v>
      </c>
      <c r="F8442">
        <v>376</v>
      </c>
      <c r="G8442" s="140" t="s">
        <v>318</v>
      </c>
      <c r="H8442">
        <v>0</v>
      </c>
      <c r="I8442" s="140" t="s">
        <v>17</v>
      </c>
    </row>
    <row r="8443" spans="1:9" hidden="1" x14ac:dyDescent="0.25">
      <c r="A8443">
        <v>2000</v>
      </c>
      <c r="B8443" s="140" t="s">
        <v>316</v>
      </c>
      <c r="C8443" s="140" t="s">
        <v>243</v>
      </c>
      <c r="D8443" s="140" t="s">
        <v>11</v>
      </c>
      <c r="E8443" s="140" t="s">
        <v>320</v>
      </c>
      <c r="F8443">
        <v>997</v>
      </c>
      <c r="G8443" s="140" t="s">
        <v>318</v>
      </c>
      <c r="H8443">
        <v>0</v>
      </c>
      <c r="I8443" s="140" t="s">
        <v>17</v>
      </c>
    </row>
    <row r="8444" spans="1:9" hidden="1" x14ac:dyDescent="0.25">
      <c r="A8444">
        <v>2001</v>
      </c>
      <c r="B8444" s="140" t="s">
        <v>316</v>
      </c>
      <c r="C8444" s="140" t="s">
        <v>243</v>
      </c>
      <c r="D8444" s="140" t="s">
        <v>11</v>
      </c>
      <c r="E8444" s="140" t="s">
        <v>320</v>
      </c>
      <c r="F8444">
        <v>363</v>
      </c>
      <c r="G8444" s="140" t="s">
        <v>318</v>
      </c>
      <c r="H8444">
        <v>0</v>
      </c>
      <c r="I8444" s="140" t="s">
        <v>17</v>
      </c>
    </row>
    <row r="8445" spans="1:9" hidden="1" x14ac:dyDescent="0.25">
      <c r="A8445">
        <v>2002</v>
      </c>
      <c r="B8445" s="140" t="s">
        <v>316</v>
      </c>
      <c r="C8445" s="140" t="s">
        <v>243</v>
      </c>
      <c r="D8445" s="140" t="s">
        <v>11</v>
      </c>
      <c r="E8445" s="140" t="s">
        <v>320</v>
      </c>
      <c r="F8445">
        <v>165</v>
      </c>
      <c r="G8445" s="140" t="s">
        <v>318</v>
      </c>
      <c r="H8445">
        <v>0</v>
      </c>
      <c r="I8445" s="140" t="s">
        <v>17</v>
      </c>
    </row>
    <row r="8446" spans="1:9" hidden="1" x14ac:dyDescent="0.25">
      <c r="A8446">
        <v>2003</v>
      </c>
      <c r="B8446" s="140" t="s">
        <v>316</v>
      </c>
      <c r="C8446" s="140" t="s">
        <v>243</v>
      </c>
      <c r="D8446" s="140" t="s">
        <v>11</v>
      </c>
      <c r="E8446" s="140" t="s">
        <v>320</v>
      </c>
      <c r="F8446">
        <v>1</v>
      </c>
      <c r="G8446" s="140" t="s">
        <v>318</v>
      </c>
      <c r="H8446">
        <v>0</v>
      </c>
      <c r="I8446" s="140" t="s">
        <v>17</v>
      </c>
    </row>
    <row r="8447" spans="1:9" hidden="1" x14ac:dyDescent="0.25">
      <c r="A8447">
        <v>2004</v>
      </c>
      <c r="B8447" s="140" t="s">
        <v>316</v>
      </c>
      <c r="C8447" s="140" t="s">
        <v>243</v>
      </c>
      <c r="D8447" s="140" t="s">
        <v>11</v>
      </c>
      <c r="E8447" s="140" t="s">
        <v>320</v>
      </c>
      <c r="F8447">
        <v>-41</v>
      </c>
      <c r="G8447" s="140" t="s">
        <v>318</v>
      </c>
      <c r="H8447">
        <v>0</v>
      </c>
      <c r="I8447" s="140" t="s">
        <v>17</v>
      </c>
    </row>
    <row r="8448" spans="1:9" hidden="1" x14ac:dyDescent="0.25">
      <c r="A8448">
        <v>2005</v>
      </c>
      <c r="B8448" s="140" t="s">
        <v>316</v>
      </c>
      <c r="C8448" s="140" t="s">
        <v>243</v>
      </c>
      <c r="D8448" s="140" t="s">
        <v>11</v>
      </c>
      <c r="E8448" s="140" t="s">
        <v>320</v>
      </c>
      <c r="F8448">
        <v>-77</v>
      </c>
      <c r="G8448" s="140" t="s">
        <v>318</v>
      </c>
      <c r="H8448">
        <v>0</v>
      </c>
      <c r="I8448" s="140" t="s">
        <v>17</v>
      </c>
    </row>
    <row r="8449" spans="1:9" hidden="1" x14ac:dyDescent="0.25">
      <c r="A8449">
        <v>2006</v>
      </c>
      <c r="B8449" s="140" t="s">
        <v>316</v>
      </c>
      <c r="C8449" s="140" t="s">
        <v>243</v>
      </c>
      <c r="D8449" s="140" t="s">
        <v>11</v>
      </c>
      <c r="E8449" s="140" t="s">
        <v>320</v>
      </c>
      <c r="F8449">
        <v>-118</v>
      </c>
      <c r="G8449" s="140" t="s">
        <v>318</v>
      </c>
      <c r="H8449">
        <v>0</v>
      </c>
      <c r="I8449" s="140" t="s">
        <v>17</v>
      </c>
    </row>
    <row r="8450" spans="1:9" hidden="1" x14ac:dyDescent="0.25">
      <c r="A8450">
        <v>2007</v>
      </c>
      <c r="B8450" s="140" t="s">
        <v>316</v>
      </c>
      <c r="C8450" s="140" t="s">
        <v>243</v>
      </c>
      <c r="D8450" s="140" t="s">
        <v>11</v>
      </c>
      <c r="E8450" s="140" t="s">
        <v>320</v>
      </c>
      <c r="F8450">
        <v>-218</v>
      </c>
      <c r="G8450" s="140" t="s">
        <v>318</v>
      </c>
      <c r="H8450">
        <v>0</v>
      </c>
      <c r="I8450" s="140" t="s">
        <v>17</v>
      </c>
    </row>
    <row r="8451" spans="1:9" hidden="1" x14ac:dyDescent="0.25">
      <c r="A8451">
        <v>2008</v>
      </c>
      <c r="B8451" s="140" t="s">
        <v>316</v>
      </c>
      <c r="C8451" s="140" t="s">
        <v>243</v>
      </c>
      <c r="D8451" s="140" t="s">
        <v>11</v>
      </c>
      <c r="E8451" s="140" t="s">
        <v>320</v>
      </c>
      <c r="F8451">
        <v>-43</v>
      </c>
      <c r="G8451" s="140" t="s">
        <v>318</v>
      </c>
      <c r="H8451">
        <v>0</v>
      </c>
      <c r="I8451" s="140" t="s">
        <v>17</v>
      </c>
    </row>
    <row r="8452" spans="1:9" hidden="1" x14ac:dyDescent="0.25">
      <c r="A8452">
        <v>2009</v>
      </c>
      <c r="B8452" s="140" t="s">
        <v>316</v>
      </c>
      <c r="C8452" s="140" t="s">
        <v>243</v>
      </c>
      <c r="D8452" s="140" t="s">
        <v>11</v>
      </c>
      <c r="E8452" s="140" t="s">
        <v>320</v>
      </c>
      <c r="F8452">
        <v>-393</v>
      </c>
      <c r="G8452" s="140" t="s">
        <v>318</v>
      </c>
      <c r="H8452">
        <v>0</v>
      </c>
      <c r="I8452" s="140" t="s">
        <v>17</v>
      </c>
    </row>
    <row r="8453" spans="1:9" hidden="1" x14ac:dyDescent="0.25">
      <c r="A8453">
        <v>2010</v>
      </c>
      <c r="B8453" s="140" t="s">
        <v>316</v>
      </c>
      <c r="C8453" s="140" t="s">
        <v>243</v>
      </c>
      <c r="D8453" s="140" t="s">
        <v>11</v>
      </c>
      <c r="E8453" s="140" t="s">
        <v>320</v>
      </c>
      <c r="F8453">
        <v>471</v>
      </c>
      <c r="G8453" s="140" t="s">
        <v>318</v>
      </c>
      <c r="H8453">
        <v>0</v>
      </c>
      <c r="I8453" s="140" t="s">
        <v>17</v>
      </c>
    </row>
    <row r="8454" spans="1:9" hidden="1" x14ac:dyDescent="0.25">
      <c r="A8454">
        <v>2011</v>
      </c>
      <c r="B8454" s="140" t="s">
        <v>316</v>
      </c>
      <c r="C8454" s="140" t="s">
        <v>243</v>
      </c>
      <c r="D8454" s="140" t="s">
        <v>11</v>
      </c>
      <c r="E8454" s="140" t="s">
        <v>320</v>
      </c>
      <c r="F8454">
        <v>409</v>
      </c>
      <c r="G8454" s="140" t="s">
        <v>318</v>
      </c>
      <c r="H8454">
        <v>0</v>
      </c>
      <c r="I8454" s="140" t="s">
        <v>17</v>
      </c>
    </row>
    <row r="8455" spans="1:9" hidden="1" x14ac:dyDescent="0.25">
      <c r="A8455">
        <v>2012</v>
      </c>
      <c r="B8455" s="140" t="s">
        <v>316</v>
      </c>
      <c r="C8455" s="140" t="s">
        <v>243</v>
      </c>
      <c r="D8455" s="140" t="s">
        <v>11</v>
      </c>
      <c r="E8455" s="140" t="s">
        <v>320</v>
      </c>
      <c r="F8455">
        <v>1026</v>
      </c>
      <c r="G8455" s="140" t="s">
        <v>318</v>
      </c>
      <c r="H8455">
        <v>0</v>
      </c>
      <c r="I8455" s="140" t="s">
        <v>17</v>
      </c>
    </row>
    <row r="8456" spans="1:9" hidden="1" x14ac:dyDescent="0.25">
      <c r="A8456">
        <v>2013</v>
      </c>
      <c r="B8456" s="140" t="s">
        <v>316</v>
      </c>
      <c r="C8456" s="140" t="s">
        <v>243</v>
      </c>
      <c r="D8456" s="140" t="s">
        <v>11</v>
      </c>
      <c r="E8456" s="140" t="s">
        <v>320</v>
      </c>
      <c r="F8456">
        <v>646</v>
      </c>
      <c r="G8456" s="140" t="s">
        <v>318</v>
      </c>
      <c r="H8456">
        <v>0</v>
      </c>
      <c r="I8456" s="140" t="s">
        <v>17</v>
      </c>
    </row>
    <row r="8457" spans="1:9" hidden="1" x14ac:dyDescent="0.25">
      <c r="A8457">
        <v>2014</v>
      </c>
      <c r="B8457" s="140" t="s">
        <v>316</v>
      </c>
      <c r="C8457" s="140" t="s">
        <v>243</v>
      </c>
      <c r="D8457" s="140" t="s">
        <v>11</v>
      </c>
      <c r="E8457" s="140" t="s">
        <v>320</v>
      </c>
      <c r="F8457">
        <v>617</v>
      </c>
      <c r="G8457" s="140" t="s">
        <v>318</v>
      </c>
      <c r="H8457">
        <v>0</v>
      </c>
      <c r="I8457" s="140" t="s">
        <v>17</v>
      </c>
    </row>
    <row r="8458" spans="1:9" hidden="1" x14ac:dyDescent="0.25">
      <c r="A8458">
        <v>2015</v>
      </c>
      <c r="B8458" s="140" t="s">
        <v>316</v>
      </c>
      <c r="C8458" s="140" t="s">
        <v>243</v>
      </c>
      <c r="D8458" s="140" t="s">
        <v>11</v>
      </c>
      <c r="E8458" s="140" t="s">
        <v>320</v>
      </c>
      <c r="F8458">
        <v>689</v>
      </c>
      <c r="G8458" s="140" t="s">
        <v>318</v>
      </c>
      <c r="H8458">
        <v>0</v>
      </c>
      <c r="I8458" s="140" t="s">
        <v>17</v>
      </c>
    </row>
    <row r="8459" spans="1:9" hidden="1" x14ac:dyDescent="0.25">
      <c r="A8459">
        <v>2016</v>
      </c>
      <c r="B8459" s="140" t="s">
        <v>316</v>
      </c>
      <c r="C8459" s="140" t="s">
        <v>243</v>
      </c>
      <c r="D8459" s="140" t="s">
        <v>11</v>
      </c>
      <c r="E8459" s="140" t="s">
        <v>320</v>
      </c>
      <c r="F8459">
        <v>334</v>
      </c>
      <c r="G8459" s="140" t="s">
        <v>318</v>
      </c>
      <c r="H8459">
        <v>0</v>
      </c>
      <c r="I8459" s="140" t="s">
        <v>17</v>
      </c>
    </row>
    <row r="8460" spans="1:9" hidden="1" x14ac:dyDescent="0.25">
      <c r="A8460">
        <v>2017</v>
      </c>
      <c r="B8460" s="140" t="s">
        <v>316</v>
      </c>
      <c r="C8460" s="140" t="s">
        <v>243</v>
      </c>
      <c r="D8460" s="140" t="s">
        <v>11</v>
      </c>
      <c r="E8460" s="140" t="s">
        <v>320</v>
      </c>
      <c r="F8460">
        <v>444</v>
      </c>
      <c r="G8460" s="140" t="s">
        <v>318</v>
      </c>
      <c r="H8460">
        <v>0</v>
      </c>
      <c r="I8460" s="140" t="s">
        <v>17</v>
      </c>
    </row>
    <row r="8461" spans="1:9" hidden="1" x14ac:dyDescent="0.25">
      <c r="A8461">
        <v>2018</v>
      </c>
      <c r="B8461" s="140" t="s">
        <v>316</v>
      </c>
      <c r="C8461" s="140" t="s">
        <v>243</v>
      </c>
      <c r="D8461" s="140" t="s">
        <v>11</v>
      </c>
      <c r="E8461" s="140" t="s">
        <v>320</v>
      </c>
      <c r="F8461">
        <v>675</v>
      </c>
      <c r="G8461" s="140" t="s">
        <v>318</v>
      </c>
      <c r="H8461">
        <v>0</v>
      </c>
      <c r="I8461" s="140" t="s">
        <v>17</v>
      </c>
    </row>
    <row r="8462" spans="1:9" hidden="1" x14ac:dyDescent="0.25">
      <c r="A8462">
        <v>2019</v>
      </c>
      <c r="B8462" s="140" t="s">
        <v>316</v>
      </c>
      <c r="C8462" s="140" t="s">
        <v>243</v>
      </c>
      <c r="D8462" s="140" t="s">
        <v>11</v>
      </c>
      <c r="E8462" s="140" t="s">
        <v>320</v>
      </c>
      <c r="F8462">
        <v>759</v>
      </c>
      <c r="G8462" s="140" t="s">
        <v>318</v>
      </c>
      <c r="H8462">
        <v>0</v>
      </c>
      <c r="I8462" s="140" t="s">
        <v>17</v>
      </c>
    </row>
    <row r="8463" spans="1:9" hidden="1" x14ac:dyDescent="0.25">
      <c r="A8463">
        <v>2020</v>
      </c>
      <c r="B8463" s="140" t="s">
        <v>316</v>
      </c>
      <c r="C8463" s="140" t="s">
        <v>243</v>
      </c>
      <c r="D8463" s="140" t="s">
        <v>11</v>
      </c>
      <c r="E8463" s="140" t="s">
        <v>320</v>
      </c>
      <c r="F8463">
        <v>869</v>
      </c>
      <c r="G8463" s="140" t="s">
        <v>318</v>
      </c>
      <c r="H8463">
        <v>0</v>
      </c>
      <c r="I8463" s="140" t="s">
        <v>17</v>
      </c>
    </row>
    <row r="8464" spans="1:9" hidden="1" x14ac:dyDescent="0.25">
      <c r="A8464">
        <v>2021</v>
      </c>
      <c r="B8464" s="140" t="s">
        <v>316</v>
      </c>
      <c r="C8464" s="140" t="s">
        <v>243</v>
      </c>
      <c r="D8464" s="140" t="s">
        <v>11</v>
      </c>
      <c r="E8464" s="140" t="s">
        <v>320</v>
      </c>
      <c r="F8464">
        <v>667</v>
      </c>
      <c r="G8464" s="140" t="s">
        <v>318</v>
      </c>
      <c r="H8464">
        <v>0</v>
      </c>
      <c r="I8464" s="140" t="s">
        <v>17</v>
      </c>
    </row>
    <row r="8465" spans="1:9" hidden="1" x14ac:dyDescent="0.25">
      <c r="A8465">
        <v>2022</v>
      </c>
      <c r="B8465" s="140" t="s">
        <v>316</v>
      </c>
      <c r="C8465" s="140" t="s">
        <v>243</v>
      </c>
      <c r="D8465" s="140" t="s">
        <v>11</v>
      </c>
      <c r="E8465" s="140" t="s">
        <v>320</v>
      </c>
      <c r="F8465">
        <v>190</v>
      </c>
      <c r="G8465" s="140" t="s">
        <v>318</v>
      </c>
      <c r="H8465">
        <v>0</v>
      </c>
      <c r="I8465" s="140" t="s">
        <v>17</v>
      </c>
    </row>
    <row r="8466" spans="1:9" hidden="1" x14ac:dyDescent="0.25">
      <c r="A8466">
        <v>2023</v>
      </c>
      <c r="B8466" s="140" t="s">
        <v>316</v>
      </c>
      <c r="C8466" s="140" t="s">
        <v>243</v>
      </c>
      <c r="D8466" s="140" t="s">
        <v>11</v>
      </c>
      <c r="E8466" s="140" t="s">
        <v>320</v>
      </c>
      <c r="F8466">
        <v>765</v>
      </c>
      <c r="G8466" s="140" t="s">
        <v>318</v>
      </c>
      <c r="H8466">
        <v>0</v>
      </c>
      <c r="I8466" s="140" t="s">
        <v>17</v>
      </c>
    </row>
    <row r="8467" spans="1:9" hidden="1" x14ac:dyDescent="0.25">
      <c r="A8467">
        <v>2024</v>
      </c>
      <c r="B8467" s="140" t="s">
        <v>316</v>
      </c>
      <c r="C8467" s="140" t="s">
        <v>243</v>
      </c>
      <c r="D8467" s="140" t="s">
        <v>11</v>
      </c>
      <c r="E8467" s="140" t="s">
        <v>320</v>
      </c>
      <c r="F8467">
        <v>799</v>
      </c>
      <c r="G8467" s="140" t="s">
        <v>318</v>
      </c>
      <c r="H8467">
        <v>0</v>
      </c>
      <c r="I8467" s="140" t="s">
        <v>17</v>
      </c>
    </row>
    <row r="8468" spans="1:9" hidden="1" x14ac:dyDescent="0.25">
      <c r="A8468">
        <v>2025</v>
      </c>
      <c r="B8468" s="140" t="s">
        <v>316</v>
      </c>
      <c r="C8468" s="140" t="s">
        <v>243</v>
      </c>
      <c r="D8468" s="140" t="s">
        <v>11</v>
      </c>
      <c r="E8468" s="140" t="s">
        <v>320</v>
      </c>
      <c r="F8468">
        <v>726</v>
      </c>
      <c r="G8468" s="140" t="s">
        <v>318</v>
      </c>
      <c r="H8468">
        <v>0</v>
      </c>
      <c r="I8468" s="140" t="s">
        <v>17</v>
      </c>
    </row>
    <row r="8469" spans="1:9" hidden="1" x14ac:dyDescent="0.25">
      <c r="A8469">
        <v>2026</v>
      </c>
      <c r="B8469" s="140" t="s">
        <v>316</v>
      </c>
      <c r="C8469" s="140" t="s">
        <v>243</v>
      </c>
      <c r="D8469" s="140" t="s">
        <v>11</v>
      </c>
      <c r="E8469" s="140" t="s">
        <v>320</v>
      </c>
      <c r="F8469">
        <v>702.62781380000001</v>
      </c>
      <c r="G8469" s="140" t="s">
        <v>318</v>
      </c>
      <c r="H8469">
        <v>0</v>
      </c>
      <c r="I8469" s="140" t="s">
        <v>17</v>
      </c>
    </row>
    <row r="8470" spans="1:9" hidden="1" x14ac:dyDescent="0.25">
      <c r="A8470">
        <v>2027</v>
      </c>
      <c r="B8470" s="140" t="s">
        <v>316</v>
      </c>
      <c r="C8470" s="140" t="s">
        <v>243</v>
      </c>
      <c r="D8470" s="140" t="s">
        <v>11</v>
      </c>
      <c r="E8470" s="140" t="s">
        <v>320</v>
      </c>
      <c r="F8470">
        <v>622.13464780000004</v>
      </c>
      <c r="G8470" s="140" t="s">
        <v>318</v>
      </c>
      <c r="H8470">
        <v>0</v>
      </c>
      <c r="I8470" s="140" t="s">
        <v>17</v>
      </c>
    </row>
    <row r="8471" spans="1:9" hidden="1" x14ac:dyDescent="0.25">
      <c r="A8471">
        <v>2028</v>
      </c>
      <c r="B8471" s="140" t="s">
        <v>316</v>
      </c>
      <c r="C8471" s="140" t="s">
        <v>243</v>
      </c>
      <c r="D8471" s="140" t="s">
        <v>11</v>
      </c>
      <c r="E8471" s="140" t="s">
        <v>320</v>
      </c>
      <c r="F8471">
        <v>580.6843341</v>
      </c>
      <c r="G8471" s="140" t="s">
        <v>318</v>
      </c>
      <c r="H8471">
        <v>0</v>
      </c>
      <c r="I8471" s="140" t="s">
        <v>17</v>
      </c>
    </row>
    <row r="8472" spans="1:9" hidden="1" x14ac:dyDescent="0.25">
      <c r="A8472">
        <v>1990</v>
      </c>
      <c r="B8472" s="140" t="s">
        <v>22</v>
      </c>
      <c r="C8472" s="140" t="s">
        <v>19</v>
      </c>
      <c r="D8472" s="140" t="s">
        <v>11</v>
      </c>
      <c r="E8472" s="140" t="s">
        <v>12</v>
      </c>
      <c r="F8472">
        <v>79038</v>
      </c>
      <c r="G8472" s="140" t="s">
        <v>239</v>
      </c>
      <c r="H8472">
        <v>0</v>
      </c>
      <c r="I8472" s="140" t="s">
        <v>17</v>
      </c>
    </row>
    <row r="8473" spans="1:9" hidden="1" x14ac:dyDescent="0.25">
      <c r="A8473">
        <v>1991</v>
      </c>
      <c r="B8473" s="140" t="s">
        <v>22</v>
      </c>
      <c r="C8473" s="140" t="s">
        <v>19</v>
      </c>
      <c r="D8473" s="140" t="s">
        <v>11</v>
      </c>
      <c r="E8473" s="140" t="s">
        <v>12</v>
      </c>
      <c r="F8473">
        <v>75610</v>
      </c>
      <c r="G8473" s="140" t="s">
        <v>239</v>
      </c>
      <c r="H8473">
        <v>0</v>
      </c>
      <c r="I8473" s="140" t="s">
        <v>17</v>
      </c>
    </row>
    <row r="8474" spans="1:9" hidden="1" x14ac:dyDescent="0.25">
      <c r="A8474">
        <v>1992</v>
      </c>
      <c r="B8474" s="140" t="s">
        <v>22</v>
      </c>
      <c r="C8474" s="140" t="s">
        <v>19</v>
      </c>
      <c r="D8474" s="140" t="s">
        <v>11</v>
      </c>
      <c r="E8474" s="140" t="s">
        <v>12</v>
      </c>
      <c r="F8474">
        <v>73929</v>
      </c>
      <c r="G8474" s="140" t="s">
        <v>239</v>
      </c>
      <c r="H8474">
        <v>0</v>
      </c>
      <c r="I8474" s="140" t="s">
        <v>17</v>
      </c>
    </row>
    <row r="8475" spans="1:9" hidden="1" x14ac:dyDescent="0.25">
      <c r="A8475">
        <v>1993</v>
      </c>
      <c r="B8475" s="140" t="s">
        <v>22</v>
      </c>
      <c r="C8475" s="140" t="s">
        <v>19</v>
      </c>
      <c r="D8475" s="140" t="s">
        <v>11</v>
      </c>
      <c r="E8475" s="140" t="s">
        <v>12</v>
      </c>
      <c r="F8475">
        <v>74835</v>
      </c>
      <c r="G8475" s="140" t="s">
        <v>239</v>
      </c>
      <c r="H8475">
        <v>0</v>
      </c>
      <c r="I8475" s="140" t="s">
        <v>17</v>
      </c>
    </row>
    <row r="8476" spans="1:9" hidden="1" x14ac:dyDescent="0.25">
      <c r="A8476">
        <v>1994</v>
      </c>
      <c r="B8476" s="140" t="s">
        <v>22</v>
      </c>
      <c r="C8476" s="140" t="s">
        <v>19</v>
      </c>
      <c r="D8476" s="140" t="s">
        <v>11</v>
      </c>
      <c r="E8476" s="140" t="s">
        <v>12</v>
      </c>
      <c r="F8476">
        <v>79320</v>
      </c>
      <c r="G8476" s="140" t="s">
        <v>239</v>
      </c>
      <c r="H8476">
        <v>0</v>
      </c>
      <c r="I8476" s="140" t="s">
        <v>17</v>
      </c>
    </row>
    <row r="8477" spans="1:9" hidden="1" x14ac:dyDescent="0.25">
      <c r="A8477">
        <v>1995</v>
      </c>
      <c r="B8477" s="140" t="s">
        <v>22</v>
      </c>
      <c r="C8477" s="140" t="s">
        <v>19</v>
      </c>
      <c r="D8477" s="140" t="s">
        <v>11</v>
      </c>
      <c r="E8477" s="140" t="s">
        <v>12</v>
      </c>
      <c r="F8477">
        <v>86250</v>
      </c>
      <c r="G8477" s="140" t="s">
        <v>239</v>
      </c>
      <c r="H8477">
        <v>0</v>
      </c>
      <c r="I8477" s="140" t="s">
        <v>17</v>
      </c>
    </row>
    <row r="8478" spans="1:9" hidden="1" x14ac:dyDescent="0.25">
      <c r="A8478">
        <v>1996</v>
      </c>
      <c r="B8478" s="140" t="s">
        <v>22</v>
      </c>
      <c r="C8478" s="140" t="s">
        <v>19</v>
      </c>
      <c r="D8478" s="140" t="s">
        <v>11</v>
      </c>
      <c r="E8478" s="140" t="s">
        <v>12</v>
      </c>
      <c r="F8478">
        <v>89088</v>
      </c>
      <c r="G8478" s="140" t="s">
        <v>239</v>
      </c>
      <c r="H8478">
        <v>0</v>
      </c>
      <c r="I8478" s="140" t="s">
        <v>17</v>
      </c>
    </row>
    <row r="8479" spans="1:9" hidden="1" x14ac:dyDescent="0.25">
      <c r="A8479">
        <v>1997</v>
      </c>
      <c r="B8479" s="140" t="s">
        <v>22</v>
      </c>
      <c r="C8479" s="140" t="s">
        <v>19</v>
      </c>
      <c r="D8479" s="140" t="s">
        <v>11</v>
      </c>
      <c r="E8479" s="140" t="s">
        <v>12</v>
      </c>
      <c r="F8479">
        <v>96090</v>
      </c>
      <c r="G8479" s="140" t="s">
        <v>239</v>
      </c>
      <c r="H8479">
        <v>0</v>
      </c>
      <c r="I8479" s="140" t="s">
        <v>17</v>
      </c>
    </row>
    <row r="8480" spans="1:9" hidden="1" x14ac:dyDescent="0.25">
      <c r="A8480">
        <v>1998</v>
      </c>
      <c r="B8480" s="140" t="s">
        <v>22</v>
      </c>
      <c r="C8480" s="140" t="s">
        <v>19</v>
      </c>
      <c r="D8480" s="140" t="s">
        <v>11</v>
      </c>
      <c r="E8480" s="140" t="s">
        <v>12</v>
      </c>
      <c r="F8480">
        <v>104728</v>
      </c>
      <c r="G8480" s="140" t="s">
        <v>239</v>
      </c>
      <c r="H8480">
        <v>0</v>
      </c>
      <c r="I8480" s="140" t="s">
        <v>17</v>
      </c>
    </row>
    <row r="8481" spans="1:9" hidden="1" x14ac:dyDescent="0.25">
      <c r="A8481">
        <v>1999</v>
      </c>
      <c r="B8481" s="140" t="s">
        <v>22</v>
      </c>
      <c r="C8481" s="140" t="s">
        <v>19</v>
      </c>
      <c r="D8481" s="140" t="s">
        <v>11</v>
      </c>
      <c r="E8481" s="140" t="s">
        <v>12</v>
      </c>
      <c r="F8481">
        <v>110400</v>
      </c>
      <c r="G8481" s="140" t="s">
        <v>239</v>
      </c>
      <c r="H8481">
        <v>0</v>
      </c>
      <c r="I8481" s="140" t="s">
        <v>17</v>
      </c>
    </row>
    <row r="8482" spans="1:9" hidden="1" x14ac:dyDescent="0.25">
      <c r="A8482">
        <v>2000</v>
      </c>
      <c r="B8482" s="140" t="s">
        <v>22</v>
      </c>
      <c r="C8482" s="140" t="s">
        <v>19</v>
      </c>
      <c r="D8482" s="140" t="s">
        <v>11</v>
      </c>
      <c r="E8482" s="140" t="s">
        <v>12</v>
      </c>
      <c r="F8482">
        <v>119325</v>
      </c>
      <c r="G8482" s="140" t="s">
        <v>239</v>
      </c>
      <c r="H8482">
        <v>0</v>
      </c>
      <c r="I8482" s="140" t="s">
        <v>17</v>
      </c>
    </row>
    <row r="8483" spans="1:9" hidden="1" x14ac:dyDescent="0.25">
      <c r="A8483">
        <v>2001</v>
      </c>
      <c r="B8483" s="140" t="s">
        <v>22</v>
      </c>
      <c r="C8483" s="140" t="s">
        <v>19</v>
      </c>
      <c r="D8483" s="140" t="s">
        <v>11</v>
      </c>
      <c r="E8483" s="140" t="s">
        <v>12</v>
      </c>
      <c r="F8483">
        <v>127287</v>
      </c>
      <c r="G8483" s="140" t="s">
        <v>239</v>
      </c>
      <c r="H8483">
        <v>0</v>
      </c>
      <c r="I8483" s="140" t="s">
        <v>17</v>
      </c>
    </row>
    <row r="8484" spans="1:9" hidden="1" x14ac:dyDescent="0.25">
      <c r="A8484">
        <v>2002</v>
      </c>
      <c r="B8484" s="140" t="s">
        <v>22</v>
      </c>
      <c r="C8484" s="140" t="s">
        <v>19</v>
      </c>
      <c r="D8484" s="140" t="s">
        <v>11</v>
      </c>
      <c r="E8484" s="140" t="s">
        <v>12</v>
      </c>
      <c r="F8484">
        <v>130172</v>
      </c>
      <c r="G8484" s="140" t="s">
        <v>239</v>
      </c>
      <c r="H8484">
        <v>0</v>
      </c>
      <c r="I8484" s="140" t="s">
        <v>17</v>
      </c>
    </row>
    <row r="8485" spans="1:9" hidden="1" x14ac:dyDescent="0.25">
      <c r="A8485">
        <v>2003</v>
      </c>
      <c r="B8485" s="140" t="s">
        <v>22</v>
      </c>
      <c r="C8485" s="140" t="s">
        <v>19</v>
      </c>
      <c r="D8485" s="140" t="s">
        <v>11</v>
      </c>
      <c r="E8485" s="140" t="s">
        <v>12</v>
      </c>
      <c r="F8485">
        <v>132388</v>
      </c>
      <c r="G8485" s="140" t="s">
        <v>239</v>
      </c>
      <c r="H8485">
        <v>0</v>
      </c>
      <c r="I8485" s="140" t="s">
        <v>17</v>
      </c>
    </row>
    <row r="8486" spans="1:9" hidden="1" x14ac:dyDescent="0.25">
      <c r="A8486">
        <v>2004</v>
      </c>
      <c r="B8486" s="140" t="s">
        <v>22</v>
      </c>
      <c r="C8486" s="140" t="s">
        <v>19</v>
      </c>
      <c r="D8486" s="140" t="s">
        <v>11</v>
      </c>
      <c r="E8486" s="140" t="s">
        <v>12</v>
      </c>
      <c r="F8486">
        <v>139016</v>
      </c>
      <c r="G8486" s="140" t="s">
        <v>239</v>
      </c>
      <c r="H8486">
        <v>0</v>
      </c>
      <c r="I8486" s="140" t="s">
        <v>17</v>
      </c>
    </row>
    <row r="8487" spans="1:9" hidden="1" x14ac:dyDescent="0.25">
      <c r="A8487">
        <v>2005</v>
      </c>
      <c r="B8487" s="140" t="s">
        <v>22</v>
      </c>
      <c r="C8487" s="140" t="s">
        <v>19</v>
      </c>
      <c r="D8487" s="140" t="s">
        <v>11</v>
      </c>
      <c r="E8487" s="140" t="s">
        <v>12</v>
      </c>
      <c r="F8487">
        <v>143900</v>
      </c>
      <c r="G8487" s="140" t="s">
        <v>239</v>
      </c>
      <c r="H8487">
        <v>0</v>
      </c>
      <c r="I8487" s="140" t="s">
        <v>17</v>
      </c>
    </row>
    <row r="8488" spans="1:9" hidden="1" x14ac:dyDescent="0.25">
      <c r="A8488">
        <v>2006</v>
      </c>
      <c r="B8488" s="140" t="s">
        <v>22</v>
      </c>
      <c r="C8488" s="140" t="s">
        <v>19</v>
      </c>
      <c r="D8488" s="140" t="s">
        <v>11</v>
      </c>
      <c r="E8488" s="140" t="s">
        <v>12</v>
      </c>
      <c r="F8488">
        <v>150722</v>
      </c>
      <c r="G8488" s="140" t="s">
        <v>239</v>
      </c>
      <c r="H8488">
        <v>0</v>
      </c>
      <c r="I8488" s="140" t="s">
        <v>17</v>
      </c>
    </row>
    <row r="8489" spans="1:9" hidden="1" x14ac:dyDescent="0.25">
      <c r="A8489">
        <v>2007</v>
      </c>
      <c r="B8489" s="140" t="s">
        <v>22</v>
      </c>
      <c r="C8489" s="140" t="s">
        <v>19</v>
      </c>
      <c r="D8489" s="140" t="s">
        <v>11</v>
      </c>
      <c r="E8489" s="140" t="s">
        <v>12</v>
      </c>
      <c r="F8489">
        <v>164129</v>
      </c>
      <c r="G8489" s="140" t="s">
        <v>239</v>
      </c>
      <c r="H8489">
        <v>0</v>
      </c>
      <c r="I8489" s="140" t="s">
        <v>17</v>
      </c>
    </row>
    <row r="8490" spans="1:9" hidden="1" x14ac:dyDescent="0.25">
      <c r="A8490">
        <v>2008</v>
      </c>
      <c r="B8490" s="140" t="s">
        <v>22</v>
      </c>
      <c r="C8490" s="140" t="s">
        <v>19</v>
      </c>
      <c r="D8490" s="140" t="s">
        <v>11</v>
      </c>
      <c r="E8490" s="140" t="s">
        <v>12</v>
      </c>
      <c r="F8490">
        <v>170928</v>
      </c>
      <c r="G8490" s="140" t="s">
        <v>239</v>
      </c>
      <c r="H8490">
        <v>0</v>
      </c>
      <c r="I8490" s="140" t="s">
        <v>17</v>
      </c>
    </row>
    <row r="8491" spans="1:9" hidden="1" x14ac:dyDescent="0.25">
      <c r="A8491">
        <v>2009</v>
      </c>
      <c r="B8491" s="140" t="s">
        <v>22</v>
      </c>
      <c r="C8491" s="140" t="s">
        <v>19</v>
      </c>
      <c r="D8491" s="140" t="s">
        <v>11</v>
      </c>
      <c r="E8491" s="140" t="s">
        <v>12</v>
      </c>
      <c r="F8491">
        <v>159054</v>
      </c>
      <c r="G8491" s="140" t="s">
        <v>239</v>
      </c>
      <c r="H8491">
        <v>0</v>
      </c>
      <c r="I8491" s="140" t="s">
        <v>17</v>
      </c>
    </row>
    <row r="8492" spans="1:9" hidden="1" x14ac:dyDescent="0.25">
      <c r="A8492">
        <v>2010</v>
      </c>
      <c r="B8492" s="140" t="s">
        <v>22</v>
      </c>
      <c r="C8492" s="140" t="s">
        <v>19</v>
      </c>
      <c r="D8492" s="140" t="s">
        <v>11</v>
      </c>
      <c r="E8492" s="140" t="s">
        <v>12</v>
      </c>
      <c r="F8492">
        <v>164666</v>
      </c>
      <c r="G8492" s="140" t="s">
        <v>239</v>
      </c>
      <c r="H8492">
        <v>0</v>
      </c>
      <c r="I8492" s="140" t="s">
        <v>17</v>
      </c>
    </row>
    <row r="8493" spans="1:9" hidden="1" x14ac:dyDescent="0.25">
      <c r="A8493">
        <v>2011</v>
      </c>
      <c r="B8493" s="140" t="s">
        <v>22</v>
      </c>
      <c r="C8493" s="140" t="s">
        <v>19</v>
      </c>
      <c r="D8493" s="140" t="s">
        <v>11</v>
      </c>
      <c r="E8493" s="140" t="s">
        <v>12</v>
      </c>
      <c r="F8493">
        <v>171239</v>
      </c>
      <c r="G8493" s="140" t="s">
        <v>239</v>
      </c>
      <c r="H8493">
        <v>0</v>
      </c>
      <c r="I8493" s="140" t="s">
        <v>17</v>
      </c>
    </row>
    <row r="8494" spans="1:9" hidden="1" x14ac:dyDescent="0.25">
      <c r="A8494">
        <v>2012</v>
      </c>
      <c r="B8494" s="140" t="s">
        <v>22</v>
      </c>
      <c r="C8494" s="140" t="s">
        <v>19</v>
      </c>
      <c r="D8494" s="140" t="s">
        <v>11</v>
      </c>
      <c r="E8494" s="140" t="s">
        <v>12</v>
      </c>
      <c r="F8494">
        <v>173004</v>
      </c>
      <c r="G8494" s="140" t="s">
        <v>239</v>
      </c>
      <c r="H8494">
        <v>0</v>
      </c>
      <c r="I8494" s="140" t="s">
        <v>17</v>
      </c>
    </row>
    <row r="8495" spans="1:9" hidden="1" x14ac:dyDescent="0.25">
      <c r="A8495">
        <v>2013</v>
      </c>
      <c r="B8495" s="140" t="s">
        <v>22</v>
      </c>
      <c r="C8495" s="140" t="s">
        <v>19</v>
      </c>
      <c r="D8495" s="140" t="s">
        <v>11</v>
      </c>
      <c r="E8495" s="140" t="s">
        <v>12</v>
      </c>
      <c r="F8495">
        <v>175160</v>
      </c>
      <c r="G8495" s="140" t="s">
        <v>239</v>
      </c>
      <c r="H8495">
        <v>0</v>
      </c>
      <c r="I8495" s="140" t="s">
        <v>17</v>
      </c>
    </row>
    <row r="8496" spans="1:9" hidden="1" x14ac:dyDescent="0.25">
      <c r="A8496">
        <v>2014</v>
      </c>
      <c r="B8496" s="140" t="s">
        <v>22</v>
      </c>
      <c r="C8496" s="140" t="s">
        <v>19</v>
      </c>
      <c r="D8496" s="140" t="s">
        <v>11</v>
      </c>
      <c r="E8496" s="140" t="s">
        <v>12</v>
      </c>
      <c r="F8496">
        <v>177368</v>
      </c>
      <c r="G8496" s="140" t="s">
        <v>239</v>
      </c>
      <c r="H8496">
        <v>0</v>
      </c>
      <c r="I8496" s="140" t="s">
        <v>17</v>
      </c>
    </row>
    <row r="8497" spans="1:9" hidden="1" x14ac:dyDescent="0.25">
      <c r="A8497">
        <v>2015</v>
      </c>
      <c r="B8497" s="140" t="s">
        <v>22</v>
      </c>
      <c r="C8497" s="140" t="s">
        <v>19</v>
      </c>
      <c r="D8497" s="140" t="s">
        <v>11</v>
      </c>
      <c r="E8497" s="140" t="s">
        <v>12</v>
      </c>
      <c r="F8497">
        <v>181406</v>
      </c>
      <c r="G8497" s="140" t="s">
        <v>239</v>
      </c>
      <c r="H8497">
        <v>0</v>
      </c>
      <c r="I8497" s="140" t="s">
        <v>17</v>
      </c>
    </row>
    <row r="8498" spans="1:9" hidden="1" x14ac:dyDescent="0.25">
      <c r="A8498">
        <v>2016</v>
      </c>
      <c r="B8498" s="140" t="s">
        <v>22</v>
      </c>
      <c r="C8498" s="140" t="s">
        <v>19</v>
      </c>
      <c r="D8498" s="140" t="s">
        <v>11</v>
      </c>
      <c r="E8498" s="140" t="s">
        <v>12</v>
      </c>
      <c r="F8498">
        <v>185593</v>
      </c>
      <c r="G8498" s="140" t="s">
        <v>239</v>
      </c>
      <c r="H8498">
        <v>0</v>
      </c>
      <c r="I8498" s="140" t="s">
        <v>17</v>
      </c>
    </row>
    <row r="8499" spans="1:9" hidden="1" x14ac:dyDescent="0.25">
      <c r="A8499">
        <v>2017</v>
      </c>
      <c r="B8499" s="140" t="s">
        <v>22</v>
      </c>
      <c r="C8499" s="140" t="s">
        <v>19</v>
      </c>
      <c r="D8499" s="140" t="s">
        <v>11</v>
      </c>
      <c r="E8499" s="140" t="s">
        <v>12</v>
      </c>
      <c r="F8499">
        <v>194113</v>
      </c>
      <c r="G8499" s="140" t="s">
        <v>239</v>
      </c>
      <c r="H8499">
        <v>0</v>
      </c>
      <c r="I8499" s="140" t="s">
        <v>17</v>
      </c>
    </row>
    <row r="8500" spans="1:9" hidden="1" x14ac:dyDescent="0.25">
      <c r="A8500">
        <v>2018</v>
      </c>
      <c r="B8500" s="140" t="s">
        <v>22</v>
      </c>
      <c r="C8500" s="140" t="s">
        <v>19</v>
      </c>
      <c r="D8500" s="140" t="s">
        <v>11</v>
      </c>
      <c r="E8500" s="140" t="s">
        <v>12</v>
      </c>
      <c r="F8500">
        <v>199751</v>
      </c>
      <c r="G8500" s="140" t="s">
        <v>239</v>
      </c>
      <c r="H8500">
        <v>0</v>
      </c>
      <c r="I8500" s="140" t="s">
        <v>17</v>
      </c>
    </row>
    <row r="8501" spans="1:9" hidden="1" x14ac:dyDescent="0.25">
      <c r="A8501">
        <v>2019</v>
      </c>
      <c r="B8501" s="140" t="s">
        <v>22</v>
      </c>
      <c r="C8501" s="140" t="s">
        <v>19</v>
      </c>
      <c r="D8501" s="140" t="s">
        <v>11</v>
      </c>
      <c r="E8501" s="140" t="s">
        <v>12</v>
      </c>
      <c r="F8501">
        <v>205950</v>
      </c>
      <c r="G8501" s="140" t="s">
        <v>239</v>
      </c>
      <c r="H8501">
        <v>0</v>
      </c>
      <c r="I8501" s="140" t="s">
        <v>17</v>
      </c>
    </row>
    <row r="8502" spans="1:9" hidden="1" x14ac:dyDescent="0.25">
      <c r="A8502">
        <v>2020</v>
      </c>
      <c r="B8502" s="140" t="s">
        <v>22</v>
      </c>
      <c r="C8502" s="140" t="s">
        <v>19</v>
      </c>
      <c r="D8502" s="140" t="s">
        <v>11</v>
      </c>
      <c r="E8502" s="140" t="s">
        <v>12</v>
      </c>
      <c r="F8502">
        <v>204507</v>
      </c>
      <c r="G8502" s="140" t="s">
        <v>239</v>
      </c>
      <c r="H8502">
        <v>0</v>
      </c>
      <c r="I8502" s="140" t="s">
        <v>17</v>
      </c>
    </row>
    <row r="8503" spans="1:9" hidden="1" x14ac:dyDescent="0.25">
      <c r="A8503">
        <v>2021</v>
      </c>
      <c r="B8503" s="140" t="s">
        <v>22</v>
      </c>
      <c r="C8503" s="140" t="s">
        <v>19</v>
      </c>
      <c r="D8503" s="140" t="s">
        <v>11</v>
      </c>
      <c r="E8503" s="140" t="s">
        <v>12</v>
      </c>
      <c r="F8503">
        <v>215307</v>
      </c>
      <c r="G8503" s="140" t="s">
        <v>239</v>
      </c>
      <c r="H8503">
        <v>0</v>
      </c>
      <c r="I8503" s="140" t="s">
        <v>17</v>
      </c>
    </row>
    <row r="8504" spans="1:9" hidden="1" x14ac:dyDescent="0.25">
      <c r="A8504">
        <v>2022</v>
      </c>
      <c r="B8504" s="140" t="s">
        <v>22</v>
      </c>
      <c r="C8504" s="140" t="s">
        <v>19</v>
      </c>
      <c r="D8504" s="140" t="s">
        <v>11</v>
      </c>
      <c r="E8504" s="140" t="s">
        <v>12</v>
      </c>
      <c r="F8504">
        <v>230673</v>
      </c>
      <c r="G8504" s="140" t="s">
        <v>239</v>
      </c>
      <c r="H8504">
        <v>0</v>
      </c>
      <c r="I8504" s="140" t="s">
        <v>17</v>
      </c>
    </row>
    <row r="8505" spans="1:9" hidden="1" x14ac:dyDescent="0.25">
      <c r="A8505">
        <v>2023</v>
      </c>
      <c r="B8505" s="140" t="s">
        <v>22</v>
      </c>
      <c r="C8505" s="140" t="s">
        <v>19</v>
      </c>
      <c r="D8505" s="140" t="s">
        <v>11</v>
      </c>
      <c r="E8505" s="140" t="s">
        <v>12</v>
      </c>
      <c r="F8505">
        <v>238851</v>
      </c>
      <c r="G8505" s="140" t="s">
        <v>239</v>
      </c>
      <c r="H8505">
        <v>0</v>
      </c>
      <c r="I8505" s="140" t="s">
        <v>17</v>
      </c>
    </row>
    <row r="8506" spans="1:9" hidden="1" x14ac:dyDescent="0.25">
      <c r="A8506">
        <v>2024</v>
      </c>
      <c r="B8506" s="140" t="s">
        <v>22</v>
      </c>
      <c r="C8506" s="140" t="s">
        <v>19</v>
      </c>
      <c r="D8506" s="140" t="s">
        <v>11</v>
      </c>
      <c r="E8506" s="140" t="s">
        <v>12</v>
      </c>
      <c r="F8506">
        <v>241766</v>
      </c>
      <c r="G8506" s="140" t="s">
        <v>239</v>
      </c>
      <c r="H8506">
        <v>0</v>
      </c>
      <c r="I8506" s="140" t="s">
        <v>17</v>
      </c>
    </row>
    <row r="8507" spans="1:9" hidden="1" x14ac:dyDescent="0.25">
      <c r="A8507">
        <v>2025</v>
      </c>
      <c r="B8507" s="140" t="s">
        <v>22</v>
      </c>
      <c r="C8507" s="140" t="s">
        <v>19</v>
      </c>
      <c r="D8507" s="140" t="s">
        <v>11</v>
      </c>
      <c r="E8507" s="140" t="s">
        <v>12</v>
      </c>
      <c r="F8507">
        <v>246163</v>
      </c>
      <c r="G8507" s="140" t="s">
        <v>239</v>
      </c>
      <c r="H8507">
        <v>0</v>
      </c>
      <c r="I8507" s="140" t="s">
        <v>17</v>
      </c>
    </row>
    <row r="8508" spans="1:9" hidden="1" x14ac:dyDescent="0.25">
      <c r="A8508">
        <v>2026</v>
      </c>
      <c r="B8508" s="140" t="s">
        <v>22</v>
      </c>
      <c r="C8508" s="140" t="s">
        <v>19</v>
      </c>
      <c r="D8508" s="140" t="s">
        <v>11</v>
      </c>
      <c r="E8508" s="140" t="s">
        <v>12</v>
      </c>
      <c r="F8508">
        <v>255513.32939999999</v>
      </c>
      <c r="G8508" s="140" t="s">
        <v>239</v>
      </c>
      <c r="H8508">
        <v>0</v>
      </c>
      <c r="I8508" s="140" t="s">
        <v>17</v>
      </c>
    </row>
    <row r="8509" spans="1:9" hidden="1" x14ac:dyDescent="0.25">
      <c r="A8509">
        <v>2027</v>
      </c>
      <c r="B8509" s="140" t="s">
        <v>22</v>
      </c>
      <c r="C8509" s="140" t="s">
        <v>19</v>
      </c>
      <c r="D8509" s="140" t="s">
        <v>11</v>
      </c>
      <c r="E8509" s="140" t="s">
        <v>12</v>
      </c>
      <c r="F8509">
        <v>265952.22259999998</v>
      </c>
      <c r="G8509" s="140" t="s">
        <v>239</v>
      </c>
      <c r="H8509">
        <v>0</v>
      </c>
      <c r="I8509" s="140" t="s">
        <v>17</v>
      </c>
    </row>
    <row r="8510" spans="1:9" hidden="1" x14ac:dyDescent="0.25">
      <c r="A8510">
        <v>2028</v>
      </c>
      <c r="B8510" s="140" t="s">
        <v>22</v>
      </c>
      <c r="C8510" s="140" t="s">
        <v>19</v>
      </c>
      <c r="D8510" s="140" t="s">
        <v>11</v>
      </c>
      <c r="E8510" s="140" t="s">
        <v>12</v>
      </c>
      <c r="F8510">
        <v>276667.79800000001</v>
      </c>
      <c r="G8510" s="140" t="s">
        <v>239</v>
      </c>
      <c r="H8510">
        <v>0</v>
      </c>
      <c r="I8510" s="140" t="s">
        <v>17</v>
      </c>
    </row>
    <row r="8511" spans="1:9" hidden="1" x14ac:dyDescent="0.25">
      <c r="A8511">
        <v>1990</v>
      </c>
      <c r="B8511" s="140" t="s">
        <v>22</v>
      </c>
      <c r="C8511" s="140" t="s">
        <v>19</v>
      </c>
      <c r="D8511" s="140" t="s">
        <v>24</v>
      </c>
      <c r="E8511" s="140" t="s">
        <v>12</v>
      </c>
      <c r="F8511">
        <v>4909</v>
      </c>
      <c r="G8511" s="140" t="s">
        <v>488</v>
      </c>
      <c r="H8511">
        <v>0</v>
      </c>
      <c r="I8511" s="140" t="s">
        <v>17</v>
      </c>
    </row>
    <row r="8512" spans="1:9" hidden="1" x14ac:dyDescent="0.25">
      <c r="A8512">
        <v>1991</v>
      </c>
      <c r="B8512" s="140" t="s">
        <v>22</v>
      </c>
      <c r="C8512" s="140" t="s">
        <v>19</v>
      </c>
      <c r="D8512" s="140" t="s">
        <v>24</v>
      </c>
      <c r="E8512" s="140" t="s">
        <v>12</v>
      </c>
      <c r="F8512">
        <v>4193</v>
      </c>
      <c r="G8512" s="140" t="s">
        <v>488</v>
      </c>
      <c r="H8512">
        <v>0</v>
      </c>
      <c r="I8512" s="140" t="s">
        <v>17</v>
      </c>
    </row>
    <row r="8513" spans="1:9" hidden="1" x14ac:dyDescent="0.25">
      <c r="A8513">
        <v>1992</v>
      </c>
      <c r="B8513" s="140" t="s">
        <v>22</v>
      </c>
      <c r="C8513" s="140" t="s">
        <v>19</v>
      </c>
      <c r="D8513" s="140" t="s">
        <v>24</v>
      </c>
      <c r="E8513" s="140" t="s">
        <v>12</v>
      </c>
      <c r="F8513">
        <v>3627</v>
      </c>
      <c r="G8513" s="140" t="s">
        <v>488</v>
      </c>
      <c r="H8513">
        <v>0</v>
      </c>
      <c r="I8513" s="140" t="s">
        <v>17</v>
      </c>
    </row>
    <row r="8514" spans="1:9" hidden="1" x14ac:dyDescent="0.25">
      <c r="A8514">
        <v>1993</v>
      </c>
      <c r="B8514" s="140" t="s">
        <v>22</v>
      </c>
      <c r="C8514" s="140" t="s">
        <v>19</v>
      </c>
      <c r="D8514" s="140" t="s">
        <v>24</v>
      </c>
      <c r="E8514" s="140" t="s">
        <v>12</v>
      </c>
      <c r="F8514">
        <v>3748</v>
      </c>
      <c r="G8514" s="140" t="s">
        <v>488</v>
      </c>
      <c r="H8514">
        <v>0</v>
      </c>
      <c r="I8514" s="140" t="s">
        <v>17</v>
      </c>
    </row>
    <row r="8515" spans="1:9" hidden="1" x14ac:dyDescent="0.25">
      <c r="A8515">
        <v>1994</v>
      </c>
      <c r="B8515" s="140" t="s">
        <v>22</v>
      </c>
      <c r="C8515" s="140" t="s">
        <v>19</v>
      </c>
      <c r="D8515" s="140" t="s">
        <v>24</v>
      </c>
      <c r="E8515" s="140" t="s">
        <v>12</v>
      </c>
      <c r="F8515">
        <v>3799</v>
      </c>
      <c r="G8515" s="140" t="s">
        <v>488</v>
      </c>
      <c r="H8515">
        <v>0</v>
      </c>
      <c r="I8515" s="140" t="s">
        <v>17</v>
      </c>
    </row>
    <row r="8516" spans="1:9" hidden="1" x14ac:dyDescent="0.25">
      <c r="A8516">
        <v>1995</v>
      </c>
      <c r="B8516" s="140" t="s">
        <v>22</v>
      </c>
      <c r="C8516" s="140" t="s">
        <v>19</v>
      </c>
      <c r="D8516" s="140" t="s">
        <v>24</v>
      </c>
      <c r="E8516" s="140" t="s">
        <v>12</v>
      </c>
      <c r="F8516">
        <v>3742</v>
      </c>
      <c r="G8516" s="140" t="s">
        <v>488</v>
      </c>
      <c r="H8516">
        <v>0</v>
      </c>
      <c r="I8516" s="140" t="s">
        <v>17</v>
      </c>
    </row>
    <row r="8517" spans="1:9" hidden="1" x14ac:dyDescent="0.25">
      <c r="A8517">
        <v>1996</v>
      </c>
      <c r="B8517" s="140" t="s">
        <v>22</v>
      </c>
      <c r="C8517" s="140" t="s">
        <v>19</v>
      </c>
      <c r="D8517" s="140" t="s">
        <v>24</v>
      </c>
      <c r="E8517" s="140" t="s">
        <v>12</v>
      </c>
      <c r="F8517">
        <v>3521</v>
      </c>
      <c r="G8517" s="140" t="s">
        <v>488</v>
      </c>
      <c r="H8517">
        <v>0</v>
      </c>
      <c r="I8517" s="140" t="s">
        <v>17</v>
      </c>
    </row>
    <row r="8518" spans="1:9" hidden="1" x14ac:dyDescent="0.25">
      <c r="A8518">
        <v>1997</v>
      </c>
      <c r="B8518" s="140" t="s">
        <v>22</v>
      </c>
      <c r="C8518" s="140" t="s">
        <v>19</v>
      </c>
      <c r="D8518" s="140" t="s">
        <v>24</v>
      </c>
      <c r="E8518" s="140" t="s">
        <v>12</v>
      </c>
      <c r="F8518">
        <v>3793</v>
      </c>
      <c r="G8518" s="140" t="s">
        <v>488</v>
      </c>
      <c r="H8518">
        <v>0</v>
      </c>
      <c r="I8518" s="140" t="s">
        <v>17</v>
      </c>
    </row>
    <row r="8519" spans="1:9" hidden="1" x14ac:dyDescent="0.25">
      <c r="A8519">
        <v>1998</v>
      </c>
      <c r="B8519" s="140" t="s">
        <v>22</v>
      </c>
      <c r="C8519" s="140" t="s">
        <v>19</v>
      </c>
      <c r="D8519" s="140" t="s">
        <v>24</v>
      </c>
      <c r="E8519" s="140" t="s">
        <v>12</v>
      </c>
      <c r="F8519">
        <v>3493</v>
      </c>
      <c r="G8519" s="140" t="s">
        <v>488</v>
      </c>
      <c r="H8519">
        <v>0</v>
      </c>
      <c r="I8519" s="140" t="s">
        <v>17</v>
      </c>
    </row>
    <row r="8520" spans="1:9" hidden="1" x14ac:dyDescent="0.25">
      <c r="A8520">
        <v>1999</v>
      </c>
      <c r="B8520" s="140" t="s">
        <v>22</v>
      </c>
      <c r="C8520" s="140" t="s">
        <v>19</v>
      </c>
      <c r="D8520" s="140" t="s">
        <v>24</v>
      </c>
      <c r="E8520" s="140" t="s">
        <v>12</v>
      </c>
      <c r="F8520">
        <v>3663</v>
      </c>
      <c r="G8520" s="140" t="s">
        <v>488</v>
      </c>
      <c r="H8520">
        <v>0</v>
      </c>
      <c r="I8520" s="140" t="s">
        <v>17</v>
      </c>
    </row>
    <row r="8521" spans="1:9" hidden="1" x14ac:dyDescent="0.25">
      <c r="A8521">
        <v>2000</v>
      </c>
      <c r="B8521" s="140" t="s">
        <v>22</v>
      </c>
      <c r="C8521" s="140" t="s">
        <v>19</v>
      </c>
      <c r="D8521" s="140" t="s">
        <v>24</v>
      </c>
      <c r="E8521" s="140" t="s">
        <v>12</v>
      </c>
      <c r="F8521">
        <v>4030</v>
      </c>
      <c r="G8521" s="140" t="s">
        <v>488</v>
      </c>
      <c r="H8521">
        <v>0</v>
      </c>
      <c r="I8521" s="140" t="s">
        <v>17</v>
      </c>
    </row>
    <row r="8522" spans="1:9" hidden="1" x14ac:dyDescent="0.25">
      <c r="A8522">
        <v>2001</v>
      </c>
      <c r="B8522" s="140" t="s">
        <v>22</v>
      </c>
      <c r="C8522" s="140" t="s">
        <v>19</v>
      </c>
      <c r="D8522" s="140" t="s">
        <v>24</v>
      </c>
      <c r="E8522" s="140" t="s">
        <v>12</v>
      </c>
      <c r="F8522">
        <v>3998</v>
      </c>
      <c r="G8522" s="140" t="s">
        <v>488</v>
      </c>
      <c r="H8522">
        <v>0</v>
      </c>
      <c r="I8522" s="140" t="s">
        <v>17</v>
      </c>
    </row>
    <row r="8523" spans="1:9" hidden="1" x14ac:dyDescent="0.25">
      <c r="A8523">
        <v>2002</v>
      </c>
      <c r="B8523" s="140" t="s">
        <v>22</v>
      </c>
      <c r="C8523" s="140" t="s">
        <v>19</v>
      </c>
      <c r="D8523" s="140" t="s">
        <v>24</v>
      </c>
      <c r="E8523" s="140" t="s">
        <v>12</v>
      </c>
      <c r="F8523">
        <v>3968</v>
      </c>
      <c r="G8523" s="140" t="s">
        <v>488</v>
      </c>
      <c r="H8523">
        <v>0</v>
      </c>
      <c r="I8523" s="140" t="s">
        <v>17</v>
      </c>
    </row>
    <row r="8524" spans="1:9" hidden="1" x14ac:dyDescent="0.25">
      <c r="A8524">
        <v>2003</v>
      </c>
      <c r="B8524" s="140" t="s">
        <v>22</v>
      </c>
      <c r="C8524" s="140" t="s">
        <v>19</v>
      </c>
      <c r="D8524" s="140" t="s">
        <v>24</v>
      </c>
      <c r="E8524" s="140" t="s">
        <v>12</v>
      </c>
      <c r="F8524">
        <v>3848</v>
      </c>
      <c r="G8524" s="140" t="s">
        <v>488</v>
      </c>
      <c r="H8524">
        <v>0</v>
      </c>
      <c r="I8524" s="140" t="s">
        <v>17</v>
      </c>
    </row>
    <row r="8525" spans="1:9" hidden="1" x14ac:dyDescent="0.25">
      <c r="A8525">
        <v>2004</v>
      </c>
      <c r="B8525" s="140" t="s">
        <v>22</v>
      </c>
      <c r="C8525" s="140" t="s">
        <v>19</v>
      </c>
      <c r="D8525" s="140" t="s">
        <v>24</v>
      </c>
      <c r="E8525" s="140" t="s">
        <v>12</v>
      </c>
      <c r="F8525">
        <v>3778</v>
      </c>
      <c r="G8525" s="140" t="s">
        <v>488</v>
      </c>
      <c r="H8525">
        <v>0</v>
      </c>
      <c r="I8525" s="140" t="s">
        <v>17</v>
      </c>
    </row>
    <row r="8526" spans="1:9" hidden="1" x14ac:dyDescent="0.25">
      <c r="A8526">
        <v>2005</v>
      </c>
      <c r="B8526" s="140" t="s">
        <v>22</v>
      </c>
      <c r="C8526" s="140" t="s">
        <v>19</v>
      </c>
      <c r="D8526" s="140" t="s">
        <v>24</v>
      </c>
      <c r="E8526" s="140" t="s">
        <v>12</v>
      </c>
      <c r="F8526">
        <v>3752</v>
      </c>
      <c r="G8526" s="140" t="s">
        <v>488</v>
      </c>
      <c r="H8526">
        <v>0</v>
      </c>
      <c r="I8526" s="140" t="s">
        <v>17</v>
      </c>
    </row>
    <row r="8527" spans="1:9" hidden="1" x14ac:dyDescent="0.25">
      <c r="A8527">
        <v>2006</v>
      </c>
      <c r="B8527" s="140" t="s">
        <v>22</v>
      </c>
      <c r="C8527" s="140" t="s">
        <v>19</v>
      </c>
      <c r="D8527" s="140" t="s">
        <v>24</v>
      </c>
      <c r="E8527" s="140" t="s">
        <v>12</v>
      </c>
      <c r="F8527">
        <v>3460</v>
      </c>
      <c r="G8527" s="140" t="s">
        <v>488</v>
      </c>
      <c r="H8527">
        <v>0</v>
      </c>
      <c r="I8527" s="140" t="s">
        <v>17</v>
      </c>
    </row>
    <row r="8528" spans="1:9" hidden="1" x14ac:dyDescent="0.25">
      <c r="A8528">
        <v>2007</v>
      </c>
      <c r="B8528" s="140" t="s">
        <v>22</v>
      </c>
      <c r="C8528" s="140" t="s">
        <v>19</v>
      </c>
      <c r="D8528" s="140" t="s">
        <v>24</v>
      </c>
      <c r="E8528" s="140" t="s">
        <v>12</v>
      </c>
      <c r="F8528">
        <v>4453</v>
      </c>
      <c r="G8528" s="140" t="s">
        <v>488</v>
      </c>
      <c r="H8528">
        <v>0</v>
      </c>
      <c r="I8528" s="140" t="s">
        <v>17</v>
      </c>
    </row>
    <row r="8529" spans="1:9" hidden="1" x14ac:dyDescent="0.25">
      <c r="A8529">
        <v>2008</v>
      </c>
      <c r="B8529" s="140" t="s">
        <v>22</v>
      </c>
      <c r="C8529" s="140" t="s">
        <v>19</v>
      </c>
      <c r="D8529" s="140" t="s">
        <v>24</v>
      </c>
      <c r="E8529" s="140" t="s">
        <v>12</v>
      </c>
      <c r="F8529">
        <v>4284</v>
      </c>
      <c r="G8529" s="140" t="s">
        <v>488</v>
      </c>
      <c r="H8529">
        <v>0</v>
      </c>
      <c r="I8529" s="140" t="s">
        <v>17</v>
      </c>
    </row>
    <row r="8530" spans="1:9" hidden="1" x14ac:dyDescent="0.25">
      <c r="A8530">
        <v>2009</v>
      </c>
      <c r="B8530" s="140" t="s">
        <v>22</v>
      </c>
      <c r="C8530" s="140" t="s">
        <v>19</v>
      </c>
      <c r="D8530" s="140" t="s">
        <v>24</v>
      </c>
      <c r="E8530" s="140" t="s">
        <v>12</v>
      </c>
      <c r="F8530">
        <v>4096</v>
      </c>
      <c r="G8530" s="140" t="s">
        <v>488</v>
      </c>
      <c r="H8530">
        <v>0</v>
      </c>
      <c r="I8530" s="140" t="s">
        <v>17</v>
      </c>
    </row>
    <row r="8531" spans="1:9" hidden="1" x14ac:dyDescent="0.25">
      <c r="A8531">
        <v>2010</v>
      </c>
      <c r="B8531" s="140" t="s">
        <v>22</v>
      </c>
      <c r="C8531" s="140" t="s">
        <v>19</v>
      </c>
      <c r="D8531" s="140" t="s">
        <v>24</v>
      </c>
      <c r="E8531" s="140" t="s">
        <v>12</v>
      </c>
      <c r="F8531">
        <v>4453</v>
      </c>
      <c r="G8531" s="140" t="s">
        <v>488</v>
      </c>
      <c r="H8531">
        <v>0</v>
      </c>
      <c r="I8531" s="140" t="s">
        <v>17</v>
      </c>
    </row>
    <row r="8532" spans="1:9" hidden="1" x14ac:dyDescent="0.25">
      <c r="A8532">
        <v>2011</v>
      </c>
      <c r="B8532" s="140" t="s">
        <v>22</v>
      </c>
      <c r="C8532" s="140" t="s">
        <v>19</v>
      </c>
      <c r="D8532" s="140" t="s">
        <v>24</v>
      </c>
      <c r="E8532" s="140" t="s">
        <v>12</v>
      </c>
      <c r="F8532">
        <v>4465</v>
      </c>
      <c r="G8532" s="140" t="s">
        <v>488</v>
      </c>
      <c r="H8532">
        <v>0</v>
      </c>
      <c r="I8532" s="140" t="s">
        <v>17</v>
      </c>
    </row>
    <row r="8533" spans="1:9" hidden="1" x14ac:dyDescent="0.25">
      <c r="A8533">
        <v>2012</v>
      </c>
      <c r="B8533" s="140" t="s">
        <v>22</v>
      </c>
      <c r="C8533" s="140" t="s">
        <v>19</v>
      </c>
      <c r="D8533" s="140" t="s">
        <v>24</v>
      </c>
      <c r="E8533" s="140" t="s">
        <v>12</v>
      </c>
      <c r="F8533">
        <v>4385</v>
      </c>
      <c r="G8533" s="140" t="s">
        <v>488</v>
      </c>
      <c r="H8533">
        <v>0</v>
      </c>
      <c r="I8533" s="140" t="s">
        <v>17</v>
      </c>
    </row>
    <row r="8534" spans="1:9" hidden="1" x14ac:dyDescent="0.25">
      <c r="A8534">
        <v>2013</v>
      </c>
      <c r="B8534" s="140" t="s">
        <v>22</v>
      </c>
      <c r="C8534" s="140" t="s">
        <v>19</v>
      </c>
      <c r="D8534" s="140" t="s">
        <v>24</v>
      </c>
      <c r="E8534" s="140" t="s">
        <v>12</v>
      </c>
      <c r="F8534">
        <v>4501</v>
      </c>
      <c r="G8534" s="140" t="s">
        <v>488</v>
      </c>
      <c r="H8534">
        <v>0</v>
      </c>
      <c r="I8534" s="140" t="s">
        <v>17</v>
      </c>
    </row>
    <row r="8535" spans="1:9" hidden="1" x14ac:dyDescent="0.25">
      <c r="A8535">
        <v>2014</v>
      </c>
      <c r="B8535" s="140" t="s">
        <v>22</v>
      </c>
      <c r="C8535" s="140" t="s">
        <v>19</v>
      </c>
      <c r="D8535" s="140" t="s">
        <v>24</v>
      </c>
      <c r="E8535" s="140" t="s">
        <v>12</v>
      </c>
      <c r="F8535">
        <v>4565</v>
      </c>
      <c r="G8535" s="140" t="s">
        <v>488</v>
      </c>
      <c r="H8535">
        <v>0</v>
      </c>
      <c r="I8535" s="140" t="s">
        <v>17</v>
      </c>
    </row>
    <row r="8536" spans="1:9" hidden="1" x14ac:dyDescent="0.25">
      <c r="A8536">
        <v>2015</v>
      </c>
      <c r="B8536" s="140" t="s">
        <v>22</v>
      </c>
      <c r="C8536" s="140" t="s">
        <v>19</v>
      </c>
      <c r="D8536" s="140" t="s">
        <v>24</v>
      </c>
      <c r="E8536" s="140" t="s">
        <v>12</v>
      </c>
      <c r="F8536">
        <v>4331</v>
      </c>
      <c r="G8536" s="140" t="s">
        <v>488</v>
      </c>
      <c r="H8536">
        <v>0</v>
      </c>
      <c r="I8536" s="140" t="s">
        <v>17</v>
      </c>
    </row>
    <row r="8537" spans="1:9" hidden="1" x14ac:dyDescent="0.25">
      <c r="A8537">
        <v>2016</v>
      </c>
      <c r="B8537" s="140" t="s">
        <v>22</v>
      </c>
      <c r="C8537" s="140" t="s">
        <v>19</v>
      </c>
      <c r="D8537" s="140" t="s">
        <v>24</v>
      </c>
      <c r="E8537" s="140" t="s">
        <v>12</v>
      </c>
      <c r="F8537">
        <v>4508</v>
      </c>
      <c r="G8537" s="140" t="s">
        <v>488</v>
      </c>
      <c r="H8537">
        <v>0</v>
      </c>
      <c r="I8537" s="140" t="s">
        <v>17</v>
      </c>
    </row>
    <row r="8538" spans="1:9" hidden="1" x14ac:dyDescent="0.25">
      <c r="A8538">
        <v>2017</v>
      </c>
      <c r="B8538" s="140" t="s">
        <v>22</v>
      </c>
      <c r="C8538" s="140" t="s">
        <v>19</v>
      </c>
      <c r="D8538" s="140" t="s">
        <v>24</v>
      </c>
      <c r="E8538" s="140" t="s">
        <v>12</v>
      </c>
      <c r="F8538">
        <v>4647</v>
      </c>
      <c r="G8538" s="140" t="s">
        <v>488</v>
      </c>
      <c r="H8538">
        <v>0</v>
      </c>
      <c r="I8538" s="140" t="s">
        <v>17</v>
      </c>
    </row>
    <row r="8539" spans="1:9" hidden="1" x14ac:dyDescent="0.25">
      <c r="A8539">
        <v>2018</v>
      </c>
      <c r="B8539" s="140" t="s">
        <v>22</v>
      </c>
      <c r="C8539" s="140" t="s">
        <v>19</v>
      </c>
      <c r="D8539" s="140" t="s">
        <v>24</v>
      </c>
      <c r="E8539" s="140" t="s">
        <v>12</v>
      </c>
      <c r="F8539">
        <v>4903</v>
      </c>
      <c r="G8539" s="140" t="s">
        <v>488</v>
      </c>
      <c r="H8539">
        <v>0</v>
      </c>
      <c r="I8539" s="140" t="s">
        <v>17</v>
      </c>
    </row>
    <row r="8540" spans="1:9" hidden="1" x14ac:dyDescent="0.25">
      <c r="A8540">
        <v>2019</v>
      </c>
      <c r="B8540" s="140" t="s">
        <v>22</v>
      </c>
      <c r="C8540" s="140" t="s">
        <v>19</v>
      </c>
      <c r="D8540" s="140" t="s">
        <v>24</v>
      </c>
      <c r="E8540" s="140" t="s">
        <v>12</v>
      </c>
      <c r="F8540">
        <v>5223</v>
      </c>
      <c r="G8540" s="140" t="s">
        <v>488</v>
      </c>
      <c r="H8540">
        <v>0</v>
      </c>
      <c r="I8540" s="140" t="s">
        <v>17</v>
      </c>
    </row>
    <row r="8541" spans="1:9" hidden="1" x14ac:dyDescent="0.25">
      <c r="A8541">
        <v>2020</v>
      </c>
      <c r="B8541" s="140" t="s">
        <v>22</v>
      </c>
      <c r="C8541" s="140" t="s">
        <v>19</v>
      </c>
      <c r="D8541" s="140" t="s">
        <v>24</v>
      </c>
      <c r="E8541" s="140" t="s">
        <v>12</v>
      </c>
      <c r="F8541">
        <v>5296</v>
      </c>
      <c r="G8541" s="140" t="s">
        <v>488</v>
      </c>
      <c r="H8541">
        <v>0</v>
      </c>
      <c r="I8541" s="140" t="s">
        <v>17</v>
      </c>
    </row>
    <row r="8542" spans="1:9" hidden="1" x14ac:dyDescent="0.25">
      <c r="A8542">
        <v>2021</v>
      </c>
      <c r="B8542" s="140" t="s">
        <v>22</v>
      </c>
      <c r="C8542" s="140" t="s">
        <v>19</v>
      </c>
      <c r="D8542" s="140" t="s">
        <v>24</v>
      </c>
      <c r="E8542" s="140" t="s">
        <v>12</v>
      </c>
      <c r="F8542">
        <v>5371</v>
      </c>
      <c r="G8542" s="140" t="s">
        <v>488</v>
      </c>
      <c r="H8542">
        <v>0</v>
      </c>
      <c r="I8542" s="140" t="s">
        <v>17</v>
      </c>
    </row>
    <row r="8543" spans="1:9" hidden="1" x14ac:dyDescent="0.25">
      <c r="A8543">
        <v>2022</v>
      </c>
      <c r="B8543" s="140" t="s">
        <v>22</v>
      </c>
      <c r="C8543" s="140" t="s">
        <v>19</v>
      </c>
      <c r="D8543" s="140" t="s">
        <v>24</v>
      </c>
      <c r="E8543" s="140" t="s">
        <v>12</v>
      </c>
      <c r="F8543">
        <v>5965</v>
      </c>
      <c r="G8543" s="140" t="s">
        <v>488</v>
      </c>
      <c r="H8543">
        <v>0</v>
      </c>
      <c r="I8543" s="140" t="s">
        <v>17</v>
      </c>
    </row>
    <row r="8544" spans="1:9" hidden="1" x14ac:dyDescent="0.25">
      <c r="A8544">
        <v>2023</v>
      </c>
      <c r="B8544" s="140" t="s">
        <v>22</v>
      </c>
      <c r="C8544" s="140" t="s">
        <v>19</v>
      </c>
      <c r="D8544" s="140" t="s">
        <v>24</v>
      </c>
      <c r="E8544" s="140" t="s">
        <v>12</v>
      </c>
      <c r="F8544">
        <v>6364</v>
      </c>
      <c r="G8544" s="140" t="s">
        <v>488</v>
      </c>
      <c r="H8544">
        <v>0</v>
      </c>
      <c r="I8544" s="140" t="s">
        <v>17</v>
      </c>
    </row>
    <row r="8545" spans="1:9" hidden="1" x14ac:dyDescent="0.25">
      <c r="A8545">
        <v>2024</v>
      </c>
      <c r="B8545" s="140" t="s">
        <v>22</v>
      </c>
      <c r="C8545" s="140" t="s">
        <v>19</v>
      </c>
      <c r="D8545" s="140" t="s">
        <v>24</v>
      </c>
      <c r="E8545" s="140" t="s">
        <v>12</v>
      </c>
      <c r="F8545">
        <v>7151</v>
      </c>
      <c r="G8545" s="140" t="s">
        <v>488</v>
      </c>
      <c r="H8545">
        <v>0</v>
      </c>
      <c r="I8545" s="140" t="s">
        <v>17</v>
      </c>
    </row>
    <row r="8546" spans="1:9" hidden="1" x14ac:dyDescent="0.25">
      <c r="A8546">
        <v>2025</v>
      </c>
      <c r="B8546" s="140" t="s">
        <v>22</v>
      </c>
      <c r="C8546" s="140" t="s">
        <v>19</v>
      </c>
      <c r="D8546" s="140" t="s">
        <v>24</v>
      </c>
      <c r="E8546" s="140" t="s">
        <v>12</v>
      </c>
      <c r="F8546">
        <v>7701</v>
      </c>
      <c r="G8546" s="140" t="s">
        <v>488</v>
      </c>
      <c r="H8546">
        <v>0</v>
      </c>
      <c r="I8546" s="140" t="s">
        <v>17</v>
      </c>
    </row>
    <row r="8547" spans="1:9" hidden="1" x14ac:dyDescent="0.25">
      <c r="A8547">
        <v>2026</v>
      </c>
      <c r="B8547" s="140" t="s">
        <v>22</v>
      </c>
      <c r="C8547" s="140" t="s">
        <v>19</v>
      </c>
      <c r="D8547" s="140" t="s">
        <v>24</v>
      </c>
      <c r="E8547" s="140" t="s">
        <v>12</v>
      </c>
      <c r="F8547">
        <v>7622.4498000000003</v>
      </c>
      <c r="G8547" s="140" t="s">
        <v>488</v>
      </c>
      <c r="H8547">
        <v>0</v>
      </c>
      <c r="I8547" s="140" t="s">
        <v>17</v>
      </c>
    </row>
    <row r="8548" spans="1:9" hidden="1" x14ac:dyDescent="0.25">
      <c r="A8548">
        <v>2027</v>
      </c>
      <c r="B8548" s="140" t="s">
        <v>22</v>
      </c>
      <c r="C8548" s="140" t="s">
        <v>19</v>
      </c>
      <c r="D8548" s="140" t="s">
        <v>24</v>
      </c>
      <c r="E8548" s="140" t="s">
        <v>12</v>
      </c>
      <c r="F8548">
        <v>7814.1544119999999</v>
      </c>
      <c r="G8548" s="140" t="s">
        <v>488</v>
      </c>
      <c r="H8548">
        <v>0</v>
      </c>
      <c r="I8548" s="140" t="s">
        <v>17</v>
      </c>
    </row>
    <row r="8549" spans="1:9" hidden="1" x14ac:dyDescent="0.25">
      <c r="A8549">
        <v>2028</v>
      </c>
      <c r="B8549" s="140" t="s">
        <v>22</v>
      </c>
      <c r="C8549" s="140" t="s">
        <v>19</v>
      </c>
      <c r="D8549" s="140" t="s">
        <v>24</v>
      </c>
      <c r="E8549" s="140" t="s">
        <v>12</v>
      </c>
      <c r="F8549">
        <v>8010.2896879999998</v>
      </c>
      <c r="G8549" s="140" t="s">
        <v>488</v>
      </c>
      <c r="H8549">
        <v>0</v>
      </c>
      <c r="I8549" s="140" t="s">
        <v>17</v>
      </c>
    </row>
    <row r="8550" spans="1:9" hidden="1" x14ac:dyDescent="0.25">
      <c r="A8550">
        <v>1990</v>
      </c>
      <c r="B8550" s="140" t="s">
        <v>22</v>
      </c>
      <c r="C8550" s="140" t="s">
        <v>19</v>
      </c>
      <c r="D8550" s="140" t="s">
        <v>23</v>
      </c>
      <c r="E8550" s="140" t="s">
        <v>12</v>
      </c>
      <c r="F8550">
        <v>19967</v>
      </c>
      <c r="G8550" s="140" t="s">
        <v>240</v>
      </c>
      <c r="H8550">
        <v>0</v>
      </c>
      <c r="I8550" s="140" t="s">
        <v>17</v>
      </c>
    </row>
    <row r="8551" spans="1:9" hidden="1" x14ac:dyDescent="0.25">
      <c r="A8551">
        <v>1991</v>
      </c>
      <c r="B8551" s="140" t="s">
        <v>22</v>
      </c>
      <c r="C8551" s="140" t="s">
        <v>19</v>
      </c>
      <c r="D8551" s="140" t="s">
        <v>23</v>
      </c>
      <c r="E8551" s="140" t="s">
        <v>12</v>
      </c>
      <c r="F8551">
        <v>17232</v>
      </c>
      <c r="G8551" s="140" t="s">
        <v>240</v>
      </c>
      <c r="H8551">
        <v>0</v>
      </c>
      <c r="I8551" s="140" t="s">
        <v>17</v>
      </c>
    </row>
    <row r="8552" spans="1:9" hidden="1" x14ac:dyDescent="0.25">
      <c r="A8552">
        <v>1992</v>
      </c>
      <c r="B8552" s="140" t="s">
        <v>22</v>
      </c>
      <c r="C8552" s="140" t="s">
        <v>19</v>
      </c>
      <c r="D8552" s="140" t="s">
        <v>23</v>
      </c>
      <c r="E8552" s="140" t="s">
        <v>12</v>
      </c>
      <c r="F8552">
        <v>17848</v>
      </c>
      <c r="G8552" s="140" t="s">
        <v>240</v>
      </c>
      <c r="H8552">
        <v>0</v>
      </c>
      <c r="I8552" s="140" t="s">
        <v>17</v>
      </c>
    </row>
    <row r="8553" spans="1:9" hidden="1" x14ac:dyDescent="0.25">
      <c r="A8553">
        <v>1993</v>
      </c>
      <c r="B8553" s="140" t="s">
        <v>22</v>
      </c>
      <c r="C8553" s="140" t="s">
        <v>19</v>
      </c>
      <c r="D8553" s="140" t="s">
        <v>23</v>
      </c>
      <c r="E8553" s="140" t="s">
        <v>12</v>
      </c>
      <c r="F8553">
        <v>19459</v>
      </c>
      <c r="G8553" s="140" t="s">
        <v>240</v>
      </c>
      <c r="H8553">
        <v>0</v>
      </c>
      <c r="I8553" s="140" t="s">
        <v>17</v>
      </c>
    </row>
    <row r="8554" spans="1:9" hidden="1" x14ac:dyDescent="0.25">
      <c r="A8554">
        <v>1994</v>
      </c>
      <c r="B8554" s="140" t="s">
        <v>22</v>
      </c>
      <c r="C8554" s="140" t="s">
        <v>19</v>
      </c>
      <c r="D8554" s="140" t="s">
        <v>23</v>
      </c>
      <c r="E8554" s="140" t="s">
        <v>12</v>
      </c>
      <c r="F8554">
        <v>21767</v>
      </c>
      <c r="G8554" s="140" t="s">
        <v>240</v>
      </c>
      <c r="H8554">
        <v>0</v>
      </c>
      <c r="I8554" s="140" t="s">
        <v>17</v>
      </c>
    </row>
    <row r="8555" spans="1:9" hidden="1" x14ac:dyDescent="0.25">
      <c r="A8555">
        <v>1995</v>
      </c>
      <c r="B8555" s="140" t="s">
        <v>22</v>
      </c>
      <c r="C8555" s="140" t="s">
        <v>19</v>
      </c>
      <c r="D8555" s="140" t="s">
        <v>23</v>
      </c>
      <c r="E8555" s="140" t="s">
        <v>12</v>
      </c>
      <c r="F8555">
        <v>24908</v>
      </c>
      <c r="G8555" s="140" t="s">
        <v>240</v>
      </c>
      <c r="H8555">
        <v>0</v>
      </c>
      <c r="I8555" s="140" t="s">
        <v>17</v>
      </c>
    </row>
    <row r="8556" spans="1:9" hidden="1" x14ac:dyDescent="0.25">
      <c r="A8556">
        <v>1996</v>
      </c>
      <c r="B8556" s="140" t="s">
        <v>22</v>
      </c>
      <c r="C8556" s="140" t="s">
        <v>19</v>
      </c>
      <c r="D8556" s="140" t="s">
        <v>23</v>
      </c>
      <c r="E8556" s="140" t="s">
        <v>12</v>
      </c>
      <c r="F8556">
        <v>24783</v>
      </c>
      <c r="G8556" s="140" t="s">
        <v>240</v>
      </c>
      <c r="H8556">
        <v>0</v>
      </c>
      <c r="I8556" s="140" t="s">
        <v>17</v>
      </c>
    </row>
    <row r="8557" spans="1:9" hidden="1" x14ac:dyDescent="0.25">
      <c r="A8557">
        <v>1997</v>
      </c>
      <c r="B8557" s="140" t="s">
        <v>22</v>
      </c>
      <c r="C8557" s="140" t="s">
        <v>19</v>
      </c>
      <c r="D8557" s="140" t="s">
        <v>23</v>
      </c>
      <c r="E8557" s="140" t="s">
        <v>12</v>
      </c>
      <c r="F8557">
        <v>27018</v>
      </c>
      <c r="G8557" s="140" t="s">
        <v>240</v>
      </c>
      <c r="H8557">
        <v>0</v>
      </c>
      <c r="I8557" s="140" t="s">
        <v>17</v>
      </c>
    </row>
    <row r="8558" spans="1:9" hidden="1" x14ac:dyDescent="0.25">
      <c r="A8558">
        <v>1998</v>
      </c>
      <c r="B8558" s="140" t="s">
        <v>22</v>
      </c>
      <c r="C8558" s="140" t="s">
        <v>19</v>
      </c>
      <c r="D8558" s="140" t="s">
        <v>23</v>
      </c>
      <c r="E8558" s="140" t="s">
        <v>12</v>
      </c>
      <c r="F8558">
        <v>30784</v>
      </c>
      <c r="G8558" s="140" t="s">
        <v>240</v>
      </c>
      <c r="H8558">
        <v>0</v>
      </c>
      <c r="I8558" s="140" t="s">
        <v>17</v>
      </c>
    </row>
    <row r="8559" spans="1:9" hidden="1" x14ac:dyDescent="0.25">
      <c r="A8559">
        <v>1999</v>
      </c>
      <c r="B8559" s="140" t="s">
        <v>22</v>
      </c>
      <c r="C8559" s="140" t="s">
        <v>19</v>
      </c>
      <c r="D8559" s="140" t="s">
        <v>23</v>
      </c>
      <c r="E8559" s="140" t="s">
        <v>12</v>
      </c>
      <c r="F8559">
        <v>32026</v>
      </c>
      <c r="G8559" s="140" t="s">
        <v>240</v>
      </c>
      <c r="H8559">
        <v>0</v>
      </c>
      <c r="I8559" s="140" t="s">
        <v>17</v>
      </c>
    </row>
    <row r="8560" spans="1:9" hidden="1" x14ac:dyDescent="0.25">
      <c r="A8560">
        <v>2000</v>
      </c>
      <c r="B8560" s="140" t="s">
        <v>22</v>
      </c>
      <c r="C8560" s="140" t="s">
        <v>19</v>
      </c>
      <c r="D8560" s="140" t="s">
        <v>23</v>
      </c>
      <c r="E8560" s="140" t="s">
        <v>12</v>
      </c>
      <c r="F8560">
        <v>35758</v>
      </c>
      <c r="G8560" s="140" t="s">
        <v>240</v>
      </c>
      <c r="H8560">
        <v>0</v>
      </c>
      <c r="I8560" s="140" t="s">
        <v>17</v>
      </c>
    </row>
    <row r="8561" spans="1:9" hidden="1" x14ac:dyDescent="0.25">
      <c r="A8561">
        <v>2001</v>
      </c>
      <c r="B8561" s="140" t="s">
        <v>22</v>
      </c>
      <c r="C8561" s="140" t="s">
        <v>19</v>
      </c>
      <c r="D8561" s="140" t="s">
        <v>23</v>
      </c>
      <c r="E8561" s="140" t="s">
        <v>12</v>
      </c>
      <c r="F8561">
        <v>37293</v>
      </c>
      <c r="G8561" s="140" t="s">
        <v>240</v>
      </c>
      <c r="H8561">
        <v>0</v>
      </c>
      <c r="I8561" s="140" t="s">
        <v>17</v>
      </c>
    </row>
    <row r="8562" spans="1:9" hidden="1" x14ac:dyDescent="0.25">
      <c r="A8562">
        <v>2002</v>
      </c>
      <c r="B8562" s="140" t="s">
        <v>22</v>
      </c>
      <c r="C8562" s="140" t="s">
        <v>19</v>
      </c>
      <c r="D8562" s="140" t="s">
        <v>23</v>
      </c>
      <c r="E8562" s="140" t="s">
        <v>12</v>
      </c>
      <c r="F8562">
        <v>37455</v>
      </c>
      <c r="G8562" s="140" t="s">
        <v>240</v>
      </c>
      <c r="H8562">
        <v>0</v>
      </c>
      <c r="I8562" s="140" t="s">
        <v>17</v>
      </c>
    </row>
    <row r="8563" spans="1:9" hidden="1" x14ac:dyDescent="0.25">
      <c r="A8563">
        <v>2003</v>
      </c>
      <c r="B8563" s="140" t="s">
        <v>22</v>
      </c>
      <c r="C8563" s="140" t="s">
        <v>19</v>
      </c>
      <c r="D8563" s="140" t="s">
        <v>23</v>
      </c>
      <c r="E8563" s="140" t="s">
        <v>12</v>
      </c>
      <c r="F8563">
        <v>37158</v>
      </c>
      <c r="G8563" s="140" t="s">
        <v>240</v>
      </c>
      <c r="H8563">
        <v>0</v>
      </c>
      <c r="I8563" s="140" t="s">
        <v>17</v>
      </c>
    </row>
    <row r="8564" spans="1:9" hidden="1" x14ac:dyDescent="0.25">
      <c r="A8564">
        <v>2004</v>
      </c>
      <c r="B8564" s="140" t="s">
        <v>22</v>
      </c>
      <c r="C8564" s="140" t="s">
        <v>19</v>
      </c>
      <c r="D8564" s="140" t="s">
        <v>23</v>
      </c>
      <c r="E8564" s="140" t="s">
        <v>12</v>
      </c>
      <c r="F8564">
        <v>38303</v>
      </c>
      <c r="G8564" s="140" t="s">
        <v>240</v>
      </c>
      <c r="H8564">
        <v>0</v>
      </c>
      <c r="I8564" s="140" t="s">
        <v>17</v>
      </c>
    </row>
    <row r="8565" spans="1:9" hidden="1" x14ac:dyDescent="0.25">
      <c r="A8565">
        <v>2005</v>
      </c>
      <c r="B8565" s="140" t="s">
        <v>22</v>
      </c>
      <c r="C8565" s="140" t="s">
        <v>19</v>
      </c>
      <c r="D8565" s="140" t="s">
        <v>23</v>
      </c>
      <c r="E8565" s="140" t="s">
        <v>12</v>
      </c>
      <c r="F8565">
        <v>38918</v>
      </c>
      <c r="G8565" s="140" t="s">
        <v>240</v>
      </c>
      <c r="H8565">
        <v>0</v>
      </c>
      <c r="I8565" s="140" t="s">
        <v>17</v>
      </c>
    </row>
    <row r="8566" spans="1:9" hidden="1" x14ac:dyDescent="0.25">
      <c r="A8566">
        <v>2006</v>
      </c>
      <c r="B8566" s="140" t="s">
        <v>22</v>
      </c>
      <c r="C8566" s="140" t="s">
        <v>19</v>
      </c>
      <c r="D8566" s="140" t="s">
        <v>23</v>
      </c>
      <c r="E8566" s="140" t="s">
        <v>12</v>
      </c>
      <c r="F8566">
        <v>42382</v>
      </c>
      <c r="G8566" s="140" t="s">
        <v>240</v>
      </c>
      <c r="H8566">
        <v>0</v>
      </c>
      <c r="I8566" s="140" t="s">
        <v>17</v>
      </c>
    </row>
    <row r="8567" spans="1:9" hidden="1" x14ac:dyDescent="0.25">
      <c r="A8567">
        <v>2007</v>
      </c>
      <c r="B8567" s="140" t="s">
        <v>22</v>
      </c>
      <c r="C8567" s="140" t="s">
        <v>19</v>
      </c>
      <c r="D8567" s="140" t="s">
        <v>23</v>
      </c>
      <c r="E8567" s="140" t="s">
        <v>12</v>
      </c>
      <c r="F8567">
        <v>46335</v>
      </c>
      <c r="G8567" s="140" t="s">
        <v>240</v>
      </c>
      <c r="H8567">
        <v>0</v>
      </c>
      <c r="I8567" s="140" t="s">
        <v>17</v>
      </c>
    </row>
    <row r="8568" spans="1:9" hidden="1" x14ac:dyDescent="0.25">
      <c r="A8568">
        <v>2008</v>
      </c>
      <c r="B8568" s="140" t="s">
        <v>22</v>
      </c>
      <c r="C8568" s="140" t="s">
        <v>19</v>
      </c>
      <c r="D8568" s="140" t="s">
        <v>23</v>
      </c>
      <c r="E8568" s="140" t="s">
        <v>12</v>
      </c>
      <c r="F8568">
        <v>45607</v>
      </c>
      <c r="G8568" s="140" t="s">
        <v>240</v>
      </c>
      <c r="H8568">
        <v>0</v>
      </c>
      <c r="I8568" s="140" t="s">
        <v>17</v>
      </c>
    </row>
    <row r="8569" spans="1:9" hidden="1" x14ac:dyDescent="0.25">
      <c r="A8569">
        <v>2009</v>
      </c>
      <c r="B8569" s="140" t="s">
        <v>22</v>
      </c>
      <c r="C8569" s="140" t="s">
        <v>19</v>
      </c>
      <c r="D8569" s="140" t="s">
        <v>23</v>
      </c>
      <c r="E8569" s="140" t="s">
        <v>12</v>
      </c>
      <c r="F8569">
        <v>35904</v>
      </c>
      <c r="G8569" s="140" t="s">
        <v>240</v>
      </c>
      <c r="H8569">
        <v>0</v>
      </c>
      <c r="I8569" s="140" t="s">
        <v>17</v>
      </c>
    </row>
    <row r="8570" spans="1:9" hidden="1" x14ac:dyDescent="0.25">
      <c r="A8570">
        <v>2010</v>
      </c>
      <c r="B8570" s="140" t="s">
        <v>22</v>
      </c>
      <c r="C8570" s="140" t="s">
        <v>19</v>
      </c>
      <c r="D8570" s="140" t="s">
        <v>23</v>
      </c>
      <c r="E8570" s="140" t="s">
        <v>12</v>
      </c>
      <c r="F8570">
        <v>38543</v>
      </c>
      <c r="G8570" s="140" t="s">
        <v>240</v>
      </c>
      <c r="H8570">
        <v>0</v>
      </c>
      <c r="I8570" s="140" t="s">
        <v>17</v>
      </c>
    </row>
    <row r="8571" spans="1:9" hidden="1" x14ac:dyDescent="0.25">
      <c r="A8571">
        <v>2011</v>
      </c>
      <c r="B8571" s="140" t="s">
        <v>22</v>
      </c>
      <c r="C8571" s="140" t="s">
        <v>19</v>
      </c>
      <c r="D8571" s="140" t="s">
        <v>23</v>
      </c>
      <c r="E8571" s="140" t="s">
        <v>12</v>
      </c>
      <c r="F8571">
        <v>38423</v>
      </c>
      <c r="G8571" s="140" t="s">
        <v>240</v>
      </c>
      <c r="H8571">
        <v>0</v>
      </c>
      <c r="I8571" s="140" t="s">
        <v>17</v>
      </c>
    </row>
    <row r="8572" spans="1:9" hidden="1" x14ac:dyDescent="0.25">
      <c r="A8572">
        <v>2012</v>
      </c>
      <c r="B8572" s="140" t="s">
        <v>22</v>
      </c>
      <c r="C8572" s="140" t="s">
        <v>19</v>
      </c>
      <c r="D8572" s="140" t="s">
        <v>23</v>
      </c>
      <c r="E8572" s="140" t="s">
        <v>12</v>
      </c>
      <c r="F8572">
        <v>35400</v>
      </c>
      <c r="G8572" s="140" t="s">
        <v>240</v>
      </c>
      <c r="H8572">
        <v>0</v>
      </c>
      <c r="I8572" s="140" t="s">
        <v>17</v>
      </c>
    </row>
    <row r="8573" spans="1:9" hidden="1" x14ac:dyDescent="0.25">
      <c r="A8573">
        <v>2013</v>
      </c>
      <c r="B8573" s="140" t="s">
        <v>22</v>
      </c>
      <c r="C8573" s="140" t="s">
        <v>19</v>
      </c>
      <c r="D8573" s="140" t="s">
        <v>23</v>
      </c>
      <c r="E8573" s="140" t="s">
        <v>12</v>
      </c>
      <c r="F8573">
        <v>36084</v>
      </c>
      <c r="G8573" s="140" t="s">
        <v>240</v>
      </c>
      <c r="H8573">
        <v>0</v>
      </c>
      <c r="I8573" s="140" t="s">
        <v>17</v>
      </c>
    </row>
    <row r="8574" spans="1:9" hidden="1" x14ac:dyDescent="0.25">
      <c r="A8574">
        <v>2014</v>
      </c>
      <c r="B8574" s="140" t="s">
        <v>22</v>
      </c>
      <c r="C8574" s="140" t="s">
        <v>19</v>
      </c>
      <c r="D8574" s="140" t="s">
        <v>23</v>
      </c>
      <c r="E8574" s="140" t="s">
        <v>12</v>
      </c>
      <c r="F8574">
        <v>36389</v>
      </c>
      <c r="G8574" s="140" t="s">
        <v>240</v>
      </c>
      <c r="H8574">
        <v>0</v>
      </c>
      <c r="I8574" s="140" t="s">
        <v>17</v>
      </c>
    </row>
    <row r="8575" spans="1:9" hidden="1" x14ac:dyDescent="0.25">
      <c r="A8575">
        <v>2015</v>
      </c>
      <c r="B8575" s="140" t="s">
        <v>22</v>
      </c>
      <c r="C8575" s="140" t="s">
        <v>19</v>
      </c>
      <c r="D8575" s="140" t="s">
        <v>23</v>
      </c>
      <c r="E8575" s="140" t="s">
        <v>12</v>
      </c>
      <c r="F8575">
        <v>37511</v>
      </c>
      <c r="G8575" s="140" t="s">
        <v>240</v>
      </c>
      <c r="H8575">
        <v>0</v>
      </c>
      <c r="I8575" s="140" t="s">
        <v>17</v>
      </c>
    </row>
    <row r="8576" spans="1:9" hidden="1" x14ac:dyDescent="0.25">
      <c r="A8576">
        <v>2016</v>
      </c>
      <c r="B8576" s="140" t="s">
        <v>22</v>
      </c>
      <c r="C8576" s="140" t="s">
        <v>19</v>
      </c>
      <c r="D8576" s="140" t="s">
        <v>23</v>
      </c>
      <c r="E8576" s="140" t="s">
        <v>12</v>
      </c>
      <c r="F8576">
        <v>38109</v>
      </c>
      <c r="G8576" s="140" t="s">
        <v>240</v>
      </c>
      <c r="H8576">
        <v>0</v>
      </c>
      <c r="I8576" s="140" t="s">
        <v>17</v>
      </c>
    </row>
    <row r="8577" spans="1:9" hidden="1" x14ac:dyDescent="0.25">
      <c r="A8577">
        <v>2017</v>
      </c>
      <c r="B8577" s="140" t="s">
        <v>22</v>
      </c>
      <c r="C8577" s="140" t="s">
        <v>19</v>
      </c>
      <c r="D8577" s="140" t="s">
        <v>23</v>
      </c>
      <c r="E8577" s="140" t="s">
        <v>12</v>
      </c>
      <c r="F8577">
        <v>41350</v>
      </c>
      <c r="G8577" s="140" t="s">
        <v>240</v>
      </c>
      <c r="H8577">
        <v>0</v>
      </c>
      <c r="I8577" s="140" t="s">
        <v>17</v>
      </c>
    </row>
    <row r="8578" spans="1:9" hidden="1" x14ac:dyDescent="0.25">
      <c r="A8578">
        <v>2018</v>
      </c>
      <c r="B8578" s="140" t="s">
        <v>22</v>
      </c>
      <c r="C8578" s="140" t="s">
        <v>19</v>
      </c>
      <c r="D8578" s="140" t="s">
        <v>23</v>
      </c>
      <c r="E8578" s="140" t="s">
        <v>12</v>
      </c>
      <c r="F8578">
        <v>41368</v>
      </c>
      <c r="G8578" s="140" t="s">
        <v>240</v>
      </c>
      <c r="H8578">
        <v>0</v>
      </c>
      <c r="I8578" s="140" t="s">
        <v>17</v>
      </c>
    </row>
    <row r="8579" spans="1:9" hidden="1" x14ac:dyDescent="0.25">
      <c r="A8579">
        <v>2019</v>
      </c>
      <c r="B8579" s="140" t="s">
        <v>22</v>
      </c>
      <c r="C8579" s="140" t="s">
        <v>19</v>
      </c>
      <c r="D8579" s="140" t="s">
        <v>23</v>
      </c>
      <c r="E8579" s="140" t="s">
        <v>12</v>
      </c>
      <c r="F8579">
        <v>42628</v>
      </c>
      <c r="G8579" s="140" t="s">
        <v>240</v>
      </c>
      <c r="H8579">
        <v>0</v>
      </c>
      <c r="I8579" s="140" t="s">
        <v>17</v>
      </c>
    </row>
    <row r="8580" spans="1:9" hidden="1" x14ac:dyDescent="0.25">
      <c r="A8580">
        <v>2020</v>
      </c>
      <c r="B8580" s="140" t="s">
        <v>22</v>
      </c>
      <c r="C8580" s="140" t="s">
        <v>19</v>
      </c>
      <c r="D8580" s="140" t="s">
        <v>23</v>
      </c>
      <c r="E8580" s="140" t="s">
        <v>12</v>
      </c>
      <c r="F8580">
        <v>41902</v>
      </c>
      <c r="G8580" s="140" t="s">
        <v>240</v>
      </c>
      <c r="H8580">
        <v>0</v>
      </c>
      <c r="I8580" s="140" t="s">
        <v>17</v>
      </c>
    </row>
    <row r="8581" spans="1:9" hidden="1" x14ac:dyDescent="0.25">
      <c r="A8581">
        <v>2021</v>
      </c>
      <c r="B8581" s="140" t="s">
        <v>22</v>
      </c>
      <c r="C8581" s="140" t="s">
        <v>19</v>
      </c>
      <c r="D8581" s="140" t="s">
        <v>23</v>
      </c>
      <c r="E8581" s="140" t="s">
        <v>12</v>
      </c>
      <c r="F8581">
        <v>45358</v>
      </c>
      <c r="G8581" s="140" t="s">
        <v>240</v>
      </c>
      <c r="H8581">
        <v>0</v>
      </c>
      <c r="I8581" s="140" t="s">
        <v>17</v>
      </c>
    </row>
    <row r="8582" spans="1:9" hidden="1" x14ac:dyDescent="0.25">
      <c r="A8582">
        <v>2022</v>
      </c>
      <c r="B8582" s="140" t="s">
        <v>22</v>
      </c>
      <c r="C8582" s="140" t="s">
        <v>19</v>
      </c>
      <c r="D8582" s="140" t="s">
        <v>23</v>
      </c>
      <c r="E8582" s="140" t="s">
        <v>12</v>
      </c>
      <c r="F8582">
        <v>51523</v>
      </c>
      <c r="G8582" s="140" t="s">
        <v>240</v>
      </c>
      <c r="H8582">
        <v>0</v>
      </c>
      <c r="I8582" s="140" t="s">
        <v>17</v>
      </c>
    </row>
    <row r="8583" spans="1:9" hidden="1" x14ac:dyDescent="0.25">
      <c r="A8583">
        <v>2023</v>
      </c>
      <c r="B8583" s="140" t="s">
        <v>22</v>
      </c>
      <c r="C8583" s="140" t="s">
        <v>19</v>
      </c>
      <c r="D8583" s="140" t="s">
        <v>23</v>
      </c>
      <c r="E8583" s="140" t="s">
        <v>12</v>
      </c>
      <c r="F8583">
        <v>49089</v>
      </c>
      <c r="G8583" s="140" t="s">
        <v>240</v>
      </c>
      <c r="H8583">
        <v>0</v>
      </c>
      <c r="I8583" s="140" t="s">
        <v>17</v>
      </c>
    </row>
    <row r="8584" spans="1:9" hidden="1" x14ac:dyDescent="0.25">
      <c r="A8584">
        <v>2024</v>
      </c>
      <c r="B8584" s="140" t="s">
        <v>22</v>
      </c>
      <c r="C8584" s="140" t="s">
        <v>19</v>
      </c>
      <c r="D8584" s="140" t="s">
        <v>23</v>
      </c>
      <c r="E8584" s="140" t="s">
        <v>12</v>
      </c>
      <c r="F8584">
        <v>48535</v>
      </c>
      <c r="G8584" s="140" t="s">
        <v>240</v>
      </c>
      <c r="H8584">
        <v>0</v>
      </c>
      <c r="I8584" s="140" t="s">
        <v>17</v>
      </c>
    </row>
    <row r="8585" spans="1:9" hidden="1" x14ac:dyDescent="0.25">
      <c r="A8585">
        <v>2025</v>
      </c>
      <c r="B8585" s="140" t="s">
        <v>22</v>
      </c>
      <c r="C8585" s="140" t="s">
        <v>19</v>
      </c>
      <c r="D8585" s="140" t="s">
        <v>23</v>
      </c>
      <c r="E8585" s="140" t="s">
        <v>12</v>
      </c>
      <c r="F8585">
        <v>49036</v>
      </c>
      <c r="G8585" s="140" t="s">
        <v>240</v>
      </c>
      <c r="H8585">
        <v>0</v>
      </c>
      <c r="I8585" s="140" t="s">
        <v>17</v>
      </c>
    </row>
    <row r="8586" spans="1:9" hidden="1" x14ac:dyDescent="0.25">
      <c r="A8586">
        <v>2026</v>
      </c>
      <c r="B8586" s="140" t="s">
        <v>22</v>
      </c>
      <c r="C8586" s="140" t="s">
        <v>19</v>
      </c>
      <c r="D8586" s="140" t="s">
        <v>23</v>
      </c>
      <c r="E8586" s="140" t="s">
        <v>12</v>
      </c>
      <c r="F8586">
        <v>51719.4951</v>
      </c>
      <c r="G8586" s="140" t="s">
        <v>240</v>
      </c>
      <c r="H8586">
        <v>0</v>
      </c>
      <c r="I8586" s="140" t="s">
        <v>17</v>
      </c>
    </row>
    <row r="8587" spans="1:9" hidden="1" x14ac:dyDescent="0.25">
      <c r="A8587">
        <v>2027</v>
      </c>
      <c r="B8587" s="140" t="s">
        <v>22</v>
      </c>
      <c r="C8587" s="140" t="s">
        <v>19</v>
      </c>
      <c r="D8587" s="140" t="s">
        <v>23</v>
      </c>
      <c r="E8587" s="140" t="s">
        <v>12</v>
      </c>
      <c r="F8587">
        <v>54019.719640000003</v>
      </c>
      <c r="G8587" s="140" t="s">
        <v>240</v>
      </c>
      <c r="H8587">
        <v>0</v>
      </c>
      <c r="I8587" s="140" t="s">
        <v>17</v>
      </c>
    </row>
    <row r="8588" spans="1:9" hidden="1" x14ac:dyDescent="0.25">
      <c r="A8588">
        <v>2028</v>
      </c>
      <c r="B8588" s="140" t="s">
        <v>22</v>
      </c>
      <c r="C8588" s="140" t="s">
        <v>19</v>
      </c>
      <c r="D8588" s="140" t="s">
        <v>23</v>
      </c>
      <c r="E8588" s="140" t="s">
        <v>12</v>
      </c>
      <c r="F8588">
        <v>56146.610939999999</v>
      </c>
      <c r="G8588" s="140" t="s">
        <v>240</v>
      </c>
      <c r="H8588">
        <v>0</v>
      </c>
      <c r="I8588" s="140" t="s">
        <v>17</v>
      </c>
    </row>
    <row r="8589" spans="1:9" hidden="1" x14ac:dyDescent="0.25">
      <c r="A8589">
        <v>1990</v>
      </c>
      <c r="B8589" s="140" t="s">
        <v>22</v>
      </c>
      <c r="C8589" s="140" t="s">
        <v>19</v>
      </c>
      <c r="D8589" s="140" t="s">
        <v>34</v>
      </c>
      <c r="E8589" s="140" t="s">
        <v>12</v>
      </c>
      <c r="F8589">
        <v>6615</v>
      </c>
      <c r="G8589" s="140" t="s">
        <v>489</v>
      </c>
      <c r="H8589">
        <v>0</v>
      </c>
      <c r="I8589" s="140" t="s">
        <v>17</v>
      </c>
    </row>
    <row r="8590" spans="1:9" hidden="1" x14ac:dyDescent="0.25">
      <c r="A8590">
        <v>1991</v>
      </c>
      <c r="B8590" s="140" t="s">
        <v>22</v>
      </c>
      <c r="C8590" s="140" t="s">
        <v>19</v>
      </c>
      <c r="D8590" s="140" t="s">
        <v>34</v>
      </c>
      <c r="E8590" s="140" t="s">
        <v>12</v>
      </c>
      <c r="F8590">
        <v>5808</v>
      </c>
      <c r="G8590" s="140" t="s">
        <v>489</v>
      </c>
      <c r="H8590">
        <v>0</v>
      </c>
      <c r="I8590" s="140" t="s">
        <v>17</v>
      </c>
    </row>
    <row r="8591" spans="1:9" hidden="1" x14ac:dyDescent="0.25">
      <c r="A8591">
        <v>1992</v>
      </c>
      <c r="B8591" s="140" t="s">
        <v>22</v>
      </c>
      <c r="C8591" s="140" t="s">
        <v>19</v>
      </c>
      <c r="D8591" s="140" t="s">
        <v>34</v>
      </c>
      <c r="E8591" s="140" t="s">
        <v>12</v>
      </c>
      <c r="F8591">
        <v>4414</v>
      </c>
      <c r="G8591" s="140" t="s">
        <v>489</v>
      </c>
      <c r="H8591">
        <v>0</v>
      </c>
      <c r="I8591" s="140" t="s">
        <v>17</v>
      </c>
    </row>
    <row r="8592" spans="1:9" hidden="1" x14ac:dyDescent="0.25">
      <c r="A8592">
        <v>1993</v>
      </c>
      <c r="B8592" s="140" t="s">
        <v>22</v>
      </c>
      <c r="C8592" s="140" t="s">
        <v>19</v>
      </c>
      <c r="D8592" s="140" t="s">
        <v>34</v>
      </c>
      <c r="E8592" s="140" t="s">
        <v>12</v>
      </c>
      <c r="F8592">
        <v>3647</v>
      </c>
      <c r="G8592" s="140" t="s">
        <v>489</v>
      </c>
      <c r="H8592">
        <v>0</v>
      </c>
      <c r="I8592" s="140" t="s">
        <v>17</v>
      </c>
    </row>
    <row r="8593" spans="1:9" hidden="1" x14ac:dyDescent="0.25">
      <c r="A8593">
        <v>1994</v>
      </c>
      <c r="B8593" s="140" t="s">
        <v>22</v>
      </c>
      <c r="C8593" s="140" t="s">
        <v>19</v>
      </c>
      <c r="D8593" s="140" t="s">
        <v>34</v>
      </c>
      <c r="E8593" s="140" t="s">
        <v>12</v>
      </c>
      <c r="F8593">
        <v>3843</v>
      </c>
      <c r="G8593" s="140" t="s">
        <v>489</v>
      </c>
      <c r="H8593">
        <v>0</v>
      </c>
      <c r="I8593" s="140" t="s">
        <v>17</v>
      </c>
    </row>
    <row r="8594" spans="1:9" hidden="1" x14ac:dyDescent="0.25">
      <c r="A8594">
        <v>1995</v>
      </c>
      <c r="B8594" s="140" t="s">
        <v>22</v>
      </c>
      <c r="C8594" s="140" t="s">
        <v>19</v>
      </c>
      <c r="D8594" s="140" t="s">
        <v>34</v>
      </c>
      <c r="E8594" s="140" t="s">
        <v>12</v>
      </c>
      <c r="F8594">
        <v>4155</v>
      </c>
      <c r="G8594" s="140" t="s">
        <v>489</v>
      </c>
      <c r="H8594">
        <v>0</v>
      </c>
      <c r="I8594" s="140" t="s">
        <v>17</v>
      </c>
    </row>
    <row r="8595" spans="1:9" hidden="1" x14ac:dyDescent="0.25">
      <c r="A8595">
        <v>1996</v>
      </c>
      <c r="B8595" s="140" t="s">
        <v>22</v>
      </c>
      <c r="C8595" s="140" t="s">
        <v>19</v>
      </c>
      <c r="D8595" s="140" t="s">
        <v>34</v>
      </c>
      <c r="E8595" s="140" t="s">
        <v>12</v>
      </c>
      <c r="F8595">
        <v>4658</v>
      </c>
      <c r="G8595" s="140" t="s">
        <v>489</v>
      </c>
      <c r="H8595">
        <v>0</v>
      </c>
      <c r="I8595" s="140" t="s">
        <v>17</v>
      </c>
    </row>
    <row r="8596" spans="1:9" hidden="1" x14ac:dyDescent="0.25">
      <c r="A8596">
        <v>1997</v>
      </c>
      <c r="B8596" s="140" t="s">
        <v>22</v>
      </c>
      <c r="C8596" s="140" t="s">
        <v>19</v>
      </c>
      <c r="D8596" s="140" t="s">
        <v>34</v>
      </c>
      <c r="E8596" s="140" t="s">
        <v>12</v>
      </c>
      <c r="F8596">
        <v>5146</v>
      </c>
      <c r="G8596" s="140" t="s">
        <v>489</v>
      </c>
      <c r="H8596">
        <v>0</v>
      </c>
      <c r="I8596" s="140" t="s">
        <v>17</v>
      </c>
    </row>
    <row r="8597" spans="1:9" hidden="1" x14ac:dyDescent="0.25">
      <c r="A8597">
        <v>1998</v>
      </c>
      <c r="B8597" s="140" t="s">
        <v>22</v>
      </c>
      <c r="C8597" s="140" t="s">
        <v>19</v>
      </c>
      <c r="D8597" s="140" t="s">
        <v>34</v>
      </c>
      <c r="E8597" s="140" t="s">
        <v>12</v>
      </c>
      <c r="F8597">
        <v>5996</v>
      </c>
      <c r="G8597" s="140" t="s">
        <v>489</v>
      </c>
      <c r="H8597">
        <v>0</v>
      </c>
      <c r="I8597" s="140" t="s">
        <v>17</v>
      </c>
    </row>
    <row r="8598" spans="1:9" hidden="1" x14ac:dyDescent="0.25">
      <c r="A8598">
        <v>1999</v>
      </c>
      <c r="B8598" s="140" t="s">
        <v>22</v>
      </c>
      <c r="C8598" s="140" t="s">
        <v>19</v>
      </c>
      <c r="D8598" s="140" t="s">
        <v>34</v>
      </c>
      <c r="E8598" s="140" t="s">
        <v>12</v>
      </c>
      <c r="F8598">
        <v>6602</v>
      </c>
      <c r="G8598" s="140" t="s">
        <v>489</v>
      </c>
      <c r="H8598">
        <v>0</v>
      </c>
      <c r="I8598" s="140" t="s">
        <v>17</v>
      </c>
    </row>
    <row r="8599" spans="1:9" hidden="1" x14ac:dyDescent="0.25">
      <c r="A8599">
        <v>2000</v>
      </c>
      <c r="B8599" s="140" t="s">
        <v>22</v>
      </c>
      <c r="C8599" s="140" t="s">
        <v>19</v>
      </c>
      <c r="D8599" s="140" t="s">
        <v>34</v>
      </c>
      <c r="E8599" s="140" t="s">
        <v>12</v>
      </c>
      <c r="F8599">
        <v>7344</v>
      </c>
      <c r="G8599" s="140" t="s">
        <v>489</v>
      </c>
      <c r="H8599">
        <v>0</v>
      </c>
      <c r="I8599" s="140" t="s">
        <v>17</v>
      </c>
    </row>
    <row r="8600" spans="1:9" hidden="1" x14ac:dyDescent="0.25">
      <c r="A8600">
        <v>2001</v>
      </c>
      <c r="B8600" s="140" t="s">
        <v>22</v>
      </c>
      <c r="C8600" s="140" t="s">
        <v>19</v>
      </c>
      <c r="D8600" s="140" t="s">
        <v>34</v>
      </c>
      <c r="E8600" s="140" t="s">
        <v>12</v>
      </c>
      <c r="F8600">
        <v>7464</v>
      </c>
      <c r="G8600" s="140" t="s">
        <v>489</v>
      </c>
      <c r="H8600">
        <v>0</v>
      </c>
      <c r="I8600" s="140" t="s">
        <v>17</v>
      </c>
    </row>
    <row r="8601" spans="1:9" hidden="1" x14ac:dyDescent="0.25">
      <c r="A8601">
        <v>2002</v>
      </c>
      <c r="B8601" s="140" t="s">
        <v>22</v>
      </c>
      <c r="C8601" s="140" t="s">
        <v>19</v>
      </c>
      <c r="D8601" s="140" t="s">
        <v>34</v>
      </c>
      <c r="E8601" s="140" t="s">
        <v>12</v>
      </c>
      <c r="F8601">
        <v>7254</v>
      </c>
      <c r="G8601" s="140" t="s">
        <v>489</v>
      </c>
      <c r="H8601">
        <v>0</v>
      </c>
      <c r="I8601" s="140" t="s">
        <v>17</v>
      </c>
    </row>
    <row r="8602" spans="1:9" hidden="1" x14ac:dyDescent="0.25">
      <c r="A8602">
        <v>2003</v>
      </c>
      <c r="B8602" s="140" t="s">
        <v>22</v>
      </c>
      <c r="C8602" s="140" t="s">
        <v>19</v>
      </c>
      <c r="D8602" s="140" t="s">
        <v>34</v>
      </c>
      <c r="E8602" s="140" t="s">
        <v>12</v>
      </c>
      <c r="F8602">
        <v>7652</v>
      </c>
      <c r="G8602" s="140" t="s">
        <v>489</v>
      </c>
      <c r="H8602">
        <v>0</v>
      </c>
      <c r="I8602" s="140" t="s">
        <v>17</v>
      </c>
    </row>
    <row r="8603" spans="1:9" hidden="1" x14ac:dyDescent="0.25">
      <c r="A8603">
        <v>2004</v>
      </c>
      <c r="B8603" s="140" t="s">
        <v>22</v>
      </c>
      <c r="C8603" s="140" t="s">
        <v>19</v>
      </c>
      <c r="D8603" s="140" t="s">
        <v>34</v>
      </c>
      <c r="E8603" s="140" t="s">
        <v>12</v>
      </c>
      <c r="F8603">
        <v>8329</v>
      </c>
      <c r="G8603" s="140" t="s">
        <v>489</v>
      </c>
      <c r="H8603">
        <v>0</v>
      </c>
      <c r="I8603" s="140" t="s">
        <v>17</v>
      </c>
    </row>
    <row r="8604" spans="1:9" hidden="1" x14ac:dyDescent="0.25">
      <c r="A8604">
        <v>2005</v>
      </c>
      <c r="B8604" s="140" t="s">
        <v>22</v>
      </c>
      <c r="C8604" s="140" t="s">
        <v>19</v>
      </c>
      <c r="D8604" s="140" t="s">
        <v>34</v>
      </c>
      <c r="E8604" s="140" t="s">
        <v>12</v>
      </c>
      <c r="F8604">
        <v>9256</v>
      </c>
      <c r="G8604" s="140" t="s">
        <v>489</v>
      </c>
      <c r="H8604">
        <v>0</v>
      </c>
      <c r="I8604" s="140" t="s">
        <v>17</v>
      </c>
    </row>
    <row r="8605" spans="1:9" hidden="1" x14ac:dyDescent="0.25">
      <c r="A8605">
        <v>2006</v>
      </c>
      <c r="B8605" s="140" t="s">
        <v>22</v>
      </c>
      <c r="C8605" s="140" t="s">
        <v>19</v>
      </c>
      <c r="D8605" s="140" t="s">
        <v>34</v>
      </c>
      <c r="E8605" s="140" t="s">
        <v>12</v>
      </c>
      <c r="F8605">
        <v>9904</v>
      </c>
      <c r="G8605" s="140" t="s">
        <v>489</v>
      </c>
      <c r="H8605">
        <v>0</v>
      </c>
      <c r="I8605" s="140" t="s">
        <v>17</v>
      </c>
    </row>
    <row r="8606" spans="1:9" hidden="1" x14ac:dyDescent="0.25">
      <c r="A8606">
        <v>2007</v>
      </c>
      <c r="B8606" s="140" t="s">
        <v>22</v>
      </c>
      <c r="C8606" s="140" t="s">
        <v>19</v>
      </c>
      <c r="D8606" s="140" t="s">
        <v>34</v>
      </c>
      <c r="E8606" s="140" t="s">
        <v>12</v>
      </c>
      <c r="F8606">
        <v>11040</v>
      </c>
      <c r="G8606" s="140" t="s">
        <v>489</v>
      </c>
      <c r="H8606">
        <v>0</v>
      </c>
      <c r="I8606" s="140" t="s">
        <v>17</v>
      </c>
    </row>
    <row r="8607" spans="1:9" hidden="1" x14ac:dyDescent="0.25">
      <c r="A8607">
        <v>2008</v>
      </c>
      <c r="B8607" s="140" t="s">
        <v>22</v>
      </c>
      <c r="C8607" s="140" t="s">
        <v>19</v>
      </c>
      <c r="D8607" s="140" t="s">
        <v>34</v>
      </c>
      <c r="E8607" s="140" t="s">
        <v>12</v>
      </c>
      <c r="F8607">
        <v>11824</v>
      </c>
      <c r="G8607" s="140" t="s">
        <v>489</v>
      </c>
      <c r="H8607">
        <v>0</v>
      </c>
      <c r="I8607" s="140" t="s">
        <v>17</v>
      </c>
    </row>
    <row r="8608" spans="1:9" hidden="1" x14ac:dyDescent="0.25">
      <c r="A8608">
        <v>2009</v>
      </c>
      <c r="B8608" s="140" t="s">
        <v>22</v>
      </c>
      <c r="C8608" s="140" t="s">
        <v>19</v>
      </c>
      <c r="D8608" s="140" t="s">
        <v>34</v>
      </c>
      <c r="E8608" s="140" t="s">
        <v>12</v>
      </c>
      <c r="F8608">
        <v>10733</v>
      </c>
      <c r="G8608" s="140" t="s">
        <v>489</v>
      </c>
      <c r="H8608">
        <v>0</v>
      </c>
      <c r="I8608" s="140" t="s">
        <v>17</v>
      </c>
    </row>
    <row r="8609" spans="1:9" hidden="1" x14ac:dyDescent="0.25">
      <c r="A8609">
        <v>2010</v>
      </c>
      <c r="B8609" s="140" t="s">
        <v>22</v>
      </c>
      <c r="C8609" s="140" t="s">
        <v>19</v>
      </c>
      <c r="D8609" s="140" t="s">
        <v>34</v>
      </c>
      <c r="E8609" s="140" t="s">
        <v>12</v>
      </c>
      <c r="F8609">
        <v>10724</v>
      </c>
      <c r="G8609" s="140" t="s">
        <v>489</v>
      </c>
      <c r="H8609">
        <v>0</v>
      </c>
      <c r="I8609" s="140" t="s">
        <v>17</v>
      </c>
    </row>
    <row r="8610" spans="1:9" hidden="1" x14ac:dyDescent="0.25">
      <c r="A8610">
        <v>2011</v>
      </c>
      <c r="B8610" s="140" t="s">
        <v>22</v>
      </c>
      <c r="C8610" s="140" t="s">
        <v>19</v>
      </c>
      <c r="D8610" s="140" t="s">
        <v>34</v>
      </c>
      <c r="E8610" s="140" t="s">
        <v>12</v>
      </c>
      <c r="F8610">
        <v>11068</v>
      </c>
      <c r="G8610" s="140" t="s">
        <v>489</v>
      </c>
      <c r="H8610">
        <v>0</v>
      </c>
      <c r="I8610" s="140" t="s">
        <v>17</v>
      </c>
    </row>
    <row r="8611" spans="1:9" hidden="1" x14ac:dyDescent="0.25">
      <c r="A8611">
        <v>2012</v>
      </c>
      <c r="B8611" s="140" t="s">
        <v>22</v>
      </c>
      <c r="C8611" s="140" t="s">
        <v>19</v>
      </c>
      <c r="D8611" s="140" t="s">
        <v>34</v>
      </c>
      <c r="E8611" s="140" t="s">
        <v>12</v>
      </c>
      <c r="F8611">
        <v>11406</v>
      </c>
      <c r="G8611" s="140" t="s">
        <v>489</v>
      </c>
      <c r="H8611">
        <v>0</v>
      </c>
      <c r="I8611" s="140" t="s">
        <v>17</v>
      </c>
    </row>
    <row r="8612" spans="1:9" hidden="1" x14ac:dyDescent="0.25">
      <c r="A8612">
        <v>2013</v>
      </c>
      <c r="B8612" s="140" t="s">
        <v>22</v>
      </c>
      <c r="C8612" s="140" t="s">
        <v>19</v>
      </c>
      <c r="D8612" s="140" t="s">
        <v>34</v>
      </c>
      <c r="E8612" s="140" t="s">
        <v>12</v>
      </c>
      <c r="F8612">
        <v>11327</v>
      </c>
      <c r="G8612" s="140" t="s">
        <v>489</v>
      </c>
      <c r="H8612">
        <v>0</v>
      </c>
      <c r="I8612" s="140" t="s">
        <v>17</v>
      </c>
    </row>
    <row r="8613" spans="1:9" hidden="1" x14ac:dyDescent="0.25">
      <c r="A8613">
        <v>2014</v>
      </c>
      <c r="B8613" s="140" t="s">
        <v>22</v>
      </c>
      <c r="C8613" s="140" t="s">
        <v>19</v>
      </c>
      <c r="D8613" s="140" t="s">
        <v>34</v>
      </c>
      <c r="E8613" s="140" t="s">
        <v>12</v>
      </c>
      <c r="F8613">
        <v>11085</v>
      </c>
      <c r="G8613" s="140" t="s">
        <v>489</v>
      </c>
      <c r="H8613">
        <v>0</v>
      </c>
      <c r="I8613" s="140" t="s">
        <v>17</v>
      </c>
    </row>
    <row r="8614" spans="1:9" hidden="1" x14ac:dyDescent="0.25">
      <c r="A8614">
        <v>2015</v>
      </c>
      <c r="B8614" s="140" t="s">
        <v>22</v>
      </c>
      <c r="C8614" s="140" t="s">
        <v>19</v>
      </c>
      <c r="D8614" s="140" t="s">
        <v>34</v>
      </c>
      <c r="E8614" s="140" t="s">
        <v>12</v>
      </c>
      <c r="F8614">
        <v>11472</v>
      </c>
      <c r="G8614" s="140" t="s">
        <v>489</v>
      </c>
      <c r="H8614">
        <v>0</v>
      </c>
      <c r="I8614" s="140" t="s">
        <v>17</v>
      </c>
    </row>
    <row r="8615" spans="1:9" hidden="1" x14ac:dyDescent="0.25">
      <c r="A8615">
        <v>2016</v>
      </c>
      <c r="B8615" s="140" t="s">
        <v>22</v>
      </c>
      <c r="C8615" s="140" t="s">
        <v>19</v>
      </c>
      <c r="D8615" s="140" t="s">
        <v>34</v>
      </c>
      <c r="E8615" s="140" t="s">
        <v>12</v>
      </c>
      <c r="F8615">
        <v>12534</v>
      </c>
      <c r="G8615" s="140" t="s">
        <v>489</v>
      </c>
      <c r="H8615">
        <v>0</v>
      </c>
      <c r="I8615" s="140" t="s">
        <v>17</v>
      </c>
    </row>
    <row r="8616" spans="1:9" hidden="1" x14ac:dyDescent="0.25">
      <c r="A8616">
        <v>2017</v>
      </c>
      <c r="B8616" s="140" t="s">
        <v>22</v>
      </c>
      <c r="C8616" s="140" t="s">
        <v>19</v>
      </c>
      <c r="D8616" s="140" t="s">
        <v>34</v>
      </c>
      <c r="E8616" s="140" t="s">
        <v>12</v>
      </c>
      <c r="F8616">
        <v>13637</v>
      </c>
      <c r="G8616" s="140" t="s">
        <v>489</v>
      </c>
      <c r="H8616">
        <v>0</v>
      </c>
      <c r="I8616" s="140" t="s">
        <v>17</v>
      </c>
    </row>
    <row r="8617" spans="1:9" hidden="1" x14ac:dyDescent="0.25">
      <c r="A8617">
        <v>2018</v>
      </c>
      <c r="B8617" s="140" t="s">
        <v>22</v>
      </c>
      <c r="C8617" s="140" t="s">
        <v>19</v>
      </c>
      <c r="D8617" s="140" t="s">
        <v>34</v>
      </c>
      <c r="E8617" s="140" t="s">
        <v>12</v>
      </c>
      <c r="F8617">
        <v>14546</v>
      </c>
      <c r="G8617" s="140" t="s">
        <v>489</v>
      </c>
      <c r="H8617">
        <v>0</v>
      </c>
      <c r="I8617" s="140" t="s">
        <v>17</v>
      </c>
    </row>
    <row r="8618" spans="1:9" hidden="1" x14ac:dyDescent="0.25">
      <c r="A8618">
        <v>2019</v>
      </c>
      <c r="B8618" s="140" t="s">
        <v>22</v>
      </c>
      <c r="C8618" s="140" t="s">
        <v>19</v>
      </c>
      <c r="D8618" s="140" t="s">
        <v>34</v>
      </c>
      <c r="E8618" s="140" t="s">
        <v>12</v>
      </c>
      <c r="F8618">
        <v>14966</v>
      </c>
      <c r="G8618" s="140" t="s">
        <v>489</v>
      </c>
      <c r="H8618">
        <v>0</v>
      </c>
      <c r="I8618" s="140" t="s">
        <v>17</v>
      </c>
    </row>
    <row r="8619" spans="1:9" hidden="1" x14ac:dyDescent="0.25">
      <c r="A8619">
        <v>2020</v>
      </c>
      <c r="B8619" s="140" t="s">
        <v>22</v>
      </c>
      <c r="C8619" s="140" t="s">
        <v>19</v>
      </c>
      <c r="D8619" s="140" t="s">
        <v>34</v>
      </c>
      <c r="E8619" s="140" t="s">
        <v>12</v>
      </c>
      <c r="F8619">
        <v>15368</v>
      </c>
      <c r="G8619" s="140" t="s">
        <v>489</v>
      </c>
      <c r="H8619">
        <v>0</v>
      </c>
      <c r="I8619" s="140" t="s">
        <v>17</v>
      </c>
    </row>
    <row r="8620" spans="1:9" hidden="1" x14ac:dyDescent="0.25">
      <c r="A8620">
        <v>2021</v>
      </c>
      <c r="B8620" s="140" t="s">
        <v>22</v>
      </c>
      <c r="C8620" s="140" t="s">
        <v>19</v>
      </c>
      <c r="D8620" s="140" t="s">
        <v>34</v>
      </c>
      <c r="E8620" s="140" t="s">
        <v>12</v>
      </c>
      <c r="F8620">
        <v>14924</v>
      </c>
      <c r="G8620" s="140" t="s">
        <v>489</v>
      </c>
      <c r="H8620">
        <v>0</v>
      </c>
      <c r="I8620" s="140" t="s">
        <v>17</v>
      </c>
    </row>
    <row r="8621" spans="1:9" hidden="1" x14ac:dyDescent="0.25">
      <c r="A8621">
        <v>2022</v>
      </c>
      <c r="B8621" s="140" t="s">
        <v>22</v>
      </c>
      <c r="C8621" s="140" t="s">
        <v>19</v>
      </c>
      <c r="D8621" s="140" t="s">
        <v>34</v>
      </c>
      <c r="E8621" s="140" t="s">
        <v>12</v>
      </c>
      <c r="F8621">
        <v>15211</v>
      </c>
      <c r="G8621" s="140" t="s">
        <v>489</v>
      </c>
      <c r="H8621">
        <v>0</v>
      </c>
      <c r="I8621" s="140" t="s">
        <v>17</v>
      </c>
    </row>
    <row r="8622" spans="1:9" hidden="1" x14ac:dyDescent="0.25">
      <c r="A8622">
        <v>2023</v>
      </c>
      <c r="B8622" s="140" t="s">
        <v>22</v>
      </c>
      <c r="C8622" s="140" t="s">
        <v>19</v>
      </c>
      <c r="D8622" s="140" t="s">
        <v>34</v>
      </c>
      <c r="E8622" s="140" t="s">
        <v>12</v>
      </c>
      <c r="F8622">
        <v>14921</v>
      </c>
      <c r="G8622" s="140" t="s">
        <v>489</v>
      </c>
      <c r="H8622">
        <v>0</v>
      </c>
      <c r="I8622" s="140" t="s">
        <v>17</v>
      </c>
    </row>
    <row r="8623" spans="1:9" hidden="1" x14ac:dyDescent="0.25">
      <c r="A8623">
        <v>2024</v>
      </c>
      <c r="B8623" s="140" t="s">
        <v>22</v>
      </c>
      <c r="C8623" s="140" t="s">
        <v>19</v>
      </c>
      <c r="D8623" s="140" t="s">
        <v>34</v>
      </c>
      <c r="E8623" s="140" t="s">
        <v>12</v>
      </c>
      <c r="F8623">
        <v>13900</v>
      </c>
      <c r="G8623" s="140" t="s">
        <v>489</v>
      </c>
      <c r="H8623">
        <v>0</v>
      </c>
      <c r="I8623" s="140" t="s">
        <v>17</v>
      </c>
    </row>
    <row r="8624" spans="1:9" hidden="1" x14ac:dyDescent="0.25">
      <c r="A8624">
        <v>2025</v>
      </c>
      <c r="B8624" s="140" t="s">
        <v>22</v>
      </c>
      <c r="C8624" s="140" t="s">
        <v>19</v>
      </c>
      <c r="D8624" s="140" t="s">
        <v>34</v>
      </c>
      <c r="E8624" s="140" t="s">
        <v>12</v>
      </c>
      <c r="F8624">
        <v>13899</v>
      </c>
      <c r="G8624" s="140" t="s">
        <v>489</v>
      </c>
      <c r="H8624">
        <v>0</v>
      </c>
      <c r="I8624" s="140" t="s">
        <v>17</v>
      </c>
    </row>
    <row r="8625" spans="1:9" hidden="1" x14ac:dyDescent="0.25">
      <c r="A8625">
        <v>2026</v>
      </c>
      <c r="B8625" s="140" t="s">
        <v>22</v>
      </c>
      <c r="C8625" s="140" t="s">
        <v>19</v>
      </c>
      <c r="D8625" s="140" t="s">
        <v>34</v>
      </c>
      <c r="E8625" s="140" t="s">
        <v>12</v>
      </c>
      <c r="F8625">
        <v>14095.12104</v>
      </c>
      <c r="G8625" s="140" t="s">
        <v>489</v>
      </c>
      <c r="H8625">
        <v>0</v>
      </c>
      <c r="I8625" s="140" t="s">
        <v>17</v>
      </c>
    </row>
    <row r="8626" spans="1:9" hidden="1" x14ac:dyDescent="0.25">
      <c r="A8626">
        <v>2027</v>
      </c>
      <c r="B8626" s="140" t="s">
        <v>22</v>
      </c>
      <c r="C8626" s="140" t="s">
        <v>19</v>
      </c>
      <c r="D8626" s="140" t="s">
        <v>34</v>
      </c>
      <c r="E8626" s="140" t="s">
        <v>12</v>
      </c>
      <c r="F8626">
        <v>14873.876480000001</v>
      </c>
      <c r="G8626" s="140" t="s">
        <v>489</v>
      </c>
      <c r="H8626">
        <v>0</v>
      </c>
      <c r="I8626" s="140" t="s">
        <v>17</v>
      </c>
    </row>
    <row r="8627" spans="1:9" hidden="1" x14ac:dyDescent="0.25">
      <c r="A8627">
        <v>2028</v>
      </c>
      <c r="B8627" s="140" t="s">
        <v>22</v>
      </c>
      <c r="C8627" s="140" t="s">
        <v>19</v>
      </c>
      <c r="D8627" s="140" t="s">
        <v>34</v>
      </c>
      <c r="E8627" s="140" t="s">
        <v>12</v>
      </c>
      <c r="F8627">
        <v>16008.00956</v>
      </c>
      <c r="G8627" s="140" t="s">
        <v>489</v>
      </c>
      <c r="H8627">
        <v>0</v>
      </c>
      <c r="I8627" s="140" t="s">
        <v>17</v>
      </c>
    </row>
    <row r="8628" spans="1:9" hidden="1" x14ac:dyDescent="0.25">
      <c r="A8628">
        <v>1990</v>
      </c>
      <c r="B8628" s="140" t="s">
        <v>22</v>
      </c>
      <c r="C8628" s="140" t="s">
        <v>19</v>
      </c>
      <c r="D8628" s="140" t="s">
        <v>27</v>
      </c>
      <c r="E8628" s="140" t="s">
        <v>12</v>
      </c>
      <c r="F8628">
        <v>26582</v>
      </c>
      <c r="G8628" s="140" t="s">
        <v>490</v>
      </c>
      <c r="H8628">
        <v>0</v>
      </c>
      <c r="I8628" s="140" t="s">
        <v>17</v>
      </c>
    </row>
    <row r="8629" spans="1:9" hidden="1" x14ac:dyDescent="0.25">
      <c r="A8629">
        <v>1991</v>
      </c>
      <c r="B8629" s="140" t="s">
        <v>22</v>
      </c>
      <c r="C8629" s="140" t="s">
        <v>19</v>
      </c>
      <c r="D8629" s="140" t="s">
        <v>27</v>
      </c>
      <c r="E8629" s="140" t="s">
        <v>12</v>
      </c>
      <c r="F8629">
        <v>23040</v>
      </c>
      <c r="G8629" s="140" t="s">
        <v>490</v>
      </c>
      <c r="H8629">
        <v>0</v>
      </c>
      <c r="I8629" s="140" t="s">
        <v>17</v>
      </c>
    </row>
    <row r="8630" spans="1:9" hidden="1" x14ac:dyDescent="0.25">
      <c r="A8630">
        <v>1992</v>
      </c>
      <c r="B8630" s="140" t="s">
        <v>22</v>
      </c>
      <c r="C8630" s="140" t="s">
        <v>19</v>
      </c>
      <c r="D8630" s="140" t="s">
        <v>27</v>
      </c>
      <c r="E8630" s="140" t="s">
        <v>12</v>
      </c>
      <c r="F8630">
        <v>22262</v>
      </c>
      <c r="G8630" s="140" t="s">
        <v>490</v>
      </c>
      <c r="H8630">
        <v>0</v>
      </c>
      <c r="I8630" s="140" t="s">
        <v>17</v>
      </c>
    </row>
    <row r="8631" spans="1:9" hidden="1" x14ac:dyDescent="0.25">
      <c r="A8631">
        <v>1993</v>
      </c>
      <c r="B8631" s="140" t="s">
        <v>22</v>
      </c>
      <c r="C8631" s="140" t="s">
        <v>19</v>
      </c>
      <c r="D8631" s="140" t="s">
        <v>27</v>
      </c>
      <c r="E8631" s="140" t="s">
        <v>12</v>
      </c>
      <c r="F8631">
        <v>23106</v>
      </c>
      <c r="G8631" s="140" t="s">
        <v>490</v>
      </c>
      <c r="H8631">
        <v>0</v>
      </c>
      <c r="I8631" s="140" t="s">
        <v>17</v>
      </c>
    </row>
    <row r="8632" spans="1:9" hidden="1" x14ac:dyDescent="0.25">
      <c r="A8632">
        <v>1994</v>
      </c>
      <c r="B8632" s="140" t="s">
        <v>22</v>
      </c>
      <c r="C8632" s="140" t="s">
        <v>19</v>
      </c>
      <c r="D8632" s="140" t="s">
        <v>27</v>
      </c>
      <c r="E8632" s="140" t="s">
        <v>12</v>
      </c>
      <c r="F8632">
        <v>25610</v>
      </c>
      <c r="G8632" s="140" t="s">
        <v>490</v>
      </c>
      <c r="H8632">
        <v>0</v>
      </c>
      <c r="I8632" s="140" t="s">
        <v>17</v>
      </c>
    </row>
    <row r="8633" spans="1:9" hidden="1" x14ac:dyDescent="0.25">
      <c r="A8633">
        <v>1995</v>
      </c>
      <c r="B8633" s="140" t="s">
        <v>22</v>
      </c>
      <c r="C8633" s="140" t="s">
        <v>19</v>
      </c>
      <c r="D8633" s="140" t="s">
        <v>27</v>
      </c>
      <c r="E8633" s="140" t="s">
        <v>12</v>
      </c>
      <c r="F8633">
        <v>29063</v>
      </c>
      <c r="G8633" s="140" t="s">
        <v>490</v>
      </c>
      <c r="H8633">
        <v>0</v>
      </c>
      <c r="I8633" s="140" t="s">
        <v>17</v>
      </c>
    </row>
    <row r="8634" spans="1:9" hidden="1" x14ac:dyDescent="0.25">
      <c r="A8634">
        <v>1996</v>
      </c>
      <c r="B8634" s="140" t="s">
        <v>22</v>
      </c>
      <c r="C8634" s="140" t="s">
        <v>19</v>
      </c>
      <c r="D8634" s="140" t="s">
        <v>27</v>
      </c>
      <c r="E8634" s="140" t="s">
        <v>12</v>
      </c>
      <c r="F8634">
        <v>29441</v>
      </c>
      <c r="G8634" s="140" t="s">
        <v>490</v>
      </c>
      <c r="H8634">
        <v>0</v>
      </c>
      <c r="I8634" s="140" t="s">
        <v>17</v>
      </c>
    </row>
    <row r="8635" spans="1:9" hidden="1" x14ac:dyDescent="0.25">
      <c r="A8635">
        <v>1997</v>
      </c>
      <c r="B8635" s="140" t="s">
        <v>22</v>
      </c>
      <c r="C8635" s="140" t="s">
        <v>19</v>
      </c>
      <c r="D8635" s="140" t="s">
        <v>27</v>
      </c>
      <c r="E8635" s="140" t="s">
        <v>12</v>
      </c>
      <c r="F8635">
        <v>32164</v>
      </c>
      <c r="G8635" s="140" t="s">
        <v>490</v>
      </c>
      <c r="H8635">
        <v>0</v>
      </c>
      <c r="I8635" s="140" t="s">
        <v>17</v>
      </c>
    </row>
    <row r="8636" spans="1:9" hidden="1" x14ac:dyDescent="0.25">
      <c r="A8636">
        <v>1998</v>
      </c>
      <c r="B8636" s="140" t="s">
        <v>22</v>
      </c>
      <c r="C8636" s="140" t="s">
        <v>19</v>
      </c>
      <c r="D8636" s="140" t="s">
        <v>27</v>
      </c>
      <c r="E8636" s="140" t="s">
        <v>12</v>
      </c>
      <c r="F8636">
        <v>36780</v>
      </c>
      <c r="G8636" s="140" t="s">
        <v>490</v>
      </c>
      <c r="H8636">
        <v>0</v>
      </c>
      <c r="I8636" s="140" t="s">
        <v>17</v>
      </c>
    </row>
    <row r="8637" spans="1:9" hidden="1" x14ac:dyDescent="0.25">
      <c r="A8637">
        <v>1999</v>
      </c>
      <c r="B8637" s="140" t="s">
        <v>22</v>
      </c>
      <c r="C8637" s="140" t="s">
        <v>19</v>
      </c>
      <c r="D8637" s="140" t="s">
        <v>27</v>
      </c>
      <c r="E8637" s="140" t="s">
        <v>12</v>
      </c>
      <c r="F8637">
        <v>38628</v>
      </c>
      <c r="G8637" s="140" t="s">
        <v>490</v>
      </c>
      <c r="H8637">
        <v>0</v>
      </c>
      <c r="I8637" s="140" t="s">
        <v>17</v>
      </c>
    </row>
    <row r="8638" spans="1:9" hidden="1" x14ac:dyDescent="0.25">
      <c r="A8638">
        <v>2000</v>
      </c>
      <c r="B8638" s="140" t="s">
        <v>22</v>
      </c>
      <c r="C8638" s="140" t="s">
        <v>19</v>
      </c>
      <c r="D8638" s="140" t="s">
        <v>27</v>
      </c>
      <c r="E8638" s="140" t="s">
        <v>12</v>
      </c>
      <c r="F8638">
        <v>43102</v>
      </c>
      <c r="G8638" s="140" t="s">
        <v>490</v>
      </c>
      <c r="H8638">
        <v>0</v>
      </c>
      <c r="I8638" s="140" t="s">
        <v>17</v>
      </c>
    </row>
    <row r="8639" spans="1:9" hidden="1" x14ac:dyDescent="0.25">
      <c r="A8639">
        <v>2001</v>
      </c>
      <c r="B8639" s="140" t="s">
        <v>22</v>
      </c>
      <c r="C8639" s="140" t="s">
        <v>19</v>
      </c>
      <c r="D8639" s="140" t="s">
        <v>27</v>
      </c>
      <c r="E8639" s="140" t="s">
        <v>12</v>
      </c>
      <c r="F8639">
        <v>44757</v>
      </c>
      <c r="G8639" s="140" t="s">
        <v>490</v>
      </c>
      <c r="H8639">
        <v>0</v>
      </c>
      <c r="I8639" s="140" t="s">
        <v>17</v>
      </c>
    </row>
    <row r="8640" spans="1:9" hidden="1" x14ac:dyDescent="0.25">
      <c r="A8640">
        <v>2002</v>
      </c>
      <c r="B8640" s="140" t="s">
        <v>22</v>
      </c>
      <c r="C8640" s="140" t="s">
        <v>19</v>
      </c>
      <c r="D8640" s="140" t="s">
        <v>27</v>
      </c>
      <c r="E8640" s="140" t="s">
        <v>12</v>
      </c>
      <c r="F8640">
        <v>44709</v>
      </c>
      <c r="G8640" s="140" t="s">
        <v>490</v>
      </c>
      <c r="H8640">
        <v>0</v>
      </c>
      <c r="I8640" s="140" t="s">
        <v>17</v>
      </c>
    </row>
    <row r="8641" spans="1:9" hidden="1" x14ac:dyDescent="0.25">
      <c r="A8641">
        <v>2003</v>
      </c>
      <c r="B8641" s="140" t="s">
        <v>22</v>
      </c>
      <c r="C8641" s="140" t="s">
        <v>19</v>
      </c>
      <c r="D8641" s="140" t="s">
        <v>27</v>
      </c>
      <c r="E8641" s="140" t="s">
        <v>12</v>
      </c>
      <c r="F8641">
        <v>44810</v>
      </c>
      <c r="G8641" s="140" t="s">
        <v>490</v>
      </c>
      <c r="H8641">
        <v>0</v>
      </c>
      <c r="I8641" s="140" t="s">
        <v>17</v>
      </c>
    </row>
    <row r="8642" spans="1:9" hidden="1" x14ac:dyDescent="0.25">
      <c r="A8642">
        <v>2004</v>
      </c>
      <c r="B8642" s="140" t="s">
        <v>22</v>
      </c>
      <c r="C8642" s="140" t="s">
        <v>19</v>
      </c>
      <c r="D8642" s="140" t="s">
        <v>27</v>
      </c>
      <c r="E8642" s="140" t="s">
        <v>12</v>
      </c>
      <c r="F8642">
        <v>46632</v>
      </c>
      <c r="G8642" s="140" t="s">
        <v>490</v>
      </c>
      <c r="H8642">
        <v>0</v>
      </c>
      <c r="I8642" s="140" t="s">
        <v>17</v>
      </c>
    </row>
    <row r="8643" spans="1:9" hidden="1" x14ac:dyDescent="0.25">
      <c r="A8643">
        <v>2005</v>
      </c>
      <c r="B8643" s="140" t="s">
        <v>22</v>
      </c>
      <c r="C8643" s="140" t="s">
        <v>19</v>
      </c>
      <c r="D8643" s="140" t="s">
        <v>27</v>
      </c>
      <c r="E8643" s="140" t="s">
        <v>12</v>
      </c>
      <c r="F8643">
        <v>48174</v>
      </c>
      <c r="G8643" s="140" t="s">
        <v>490</v>
      </c>
      <c r="H8643">
        <v>0</v>
      </c>
      <c r="I8643" s="140" t="s">
        <v>17</v>
      </c>
    </row>
    <row r="8644" spans="1:9" hidden="1" x14ac:dyDescent="0.25">
      <c r="A8644">
        <v>2006</v>
      </c>
      <c r="B8644" s="140" t="s">
        <v>22</v>
      </c>
      <c r="C8644" s="140" t="s">
        <v>19</v>
      </c>
      <c r="D8644" s="140" t="s">
        <v>27</v>
      </c>
      <c r="E8644" s="140" t="s">
        <v>12</v>
      </c>
      <c r="F8644">
        <v>52286</v>
      </c>
      <c r="G8644" s="140" t="s">
        <v>490</v>
      </c>
      <c r="H8644">
        <v>0</v>
      </c>
      <c r="I8644" s="140" t="s">
        <v>17</v>
      </c>
    </row>
    <row r="8645" spans="1:9" hidden="1" x14ac:dyDescent="0.25">
      <c r="A8645">
        <v>2007</v>
      </c>
      <c r="B8645" s="140" t="s">
        <v>22</v>
      </c>
      <c r="C8645" s="140" t="s">
        <v>19</v>
      </c>
      <c r="D8645" s="140" t="s">
        <v>27</v>
      </c>
      <c r="E8645" s="140" t="s">
        <v>12</v>
      </c>
      <c r="F8645">
        <v>57375</v>
      </c>
      <c r="G8645" s="140" t="s">
        <v>490</v>
      </c>
      <c r="H8645">
        <v>0</v>
      </c>
      <c r="I8645" s="140" t="s">
        <v>17</v>
      </c>
    </row>
    <row r="8646" spans="1:9" hidden="1" x14ac:dyDescent="0.25">
      <c r="A8646">
        <v>2008</v>
      </c>
      <c r="B8646" s="140" t="s">
        <v>22</v>
      </c>
      <c r="C8646" s="140" t="s">
        <v>19</v>
      </c>
      <c r="D8646" s="140" t="s">
        <v>27</v>
      </c>
      <c r="E8646" s="140" t="s">
        <v>12</v>
      </c>
      <c r="F8646">
        <v>57431</v>
      </c>
      <c r="G8646" s="140" t="s">
        <v>490</v>
      </c>
      <c r="H8646">
        <v>0</v>
      </c>
      <c r="I8646" s="140" t="s">
        <v>17</v>
      </c>
    </row>
    <row r="8647" spans="1:9" hidden="1" x14ac:dyDescent="0.25">
      <c r="A8647">
        <v>2009</v>
      </c>
      <c r="B8647" s="140" t="s">
        <v>22</v>
      </c>
      <c r="C8647" s="140" t="s">
        <v>19</v>
      </c>
      <c r="D8647" s="140" t="s">
        <v>27</v>
      </c>
      <c r="E8647" s="140" t="s">
        <v>12</v>
      </c>
      <c r="F8647">
        <v>46637</v>
      </c>
      <c r="G8647" s="140" t="s">
        <v>490</v>
      </c>
      <c r="H8647">
        <v>0</v>
      </c>
      <c r="I8647" s="140" t="s">
        <v>17</v>
      </c>
    </row>
    <row r="8648" spans="1:9" hidden="1" x14ac:dyDescent="0.25">
      <c r="A8648">
        <v>2010</v>
      </c>
      <c r="B8648" s="140" t="s">
        <v>22</v>
      </c>
      <c r="C8648" s="140" t="s">
        <v>19</v>
      </c>
      <c r="D8648" s="140" t="s">
        <v>27</v>
      </c>
      <c r="E8648" s="140" t="s">
        <v>12</v>
      </c>
      <c r="F8648">
        <v>49267</v>
      </c>
      <c r="G8648" s="140" t="s">
        <v>490</v>
      </c>
      <c r="H8648">
        <v>0</v>
      </c>
      <c r="I8648" s="140" t="s">
        <v>17</v>
      </c>
    </row>
    <row r="8649" spans="1:9" hidden="1" x14ac:dyDescent="0.25">
      <c r="A8649">
        <v>2011</v>
      </c>
      <c r="B8649" s="140" t="s">
        <v>22</v>
      </c>
      <c r="C8649" s="140" t="s">
        <v>19</v>
      </c>
      <c r="D8649" s="140" t="s">
        <v>27</v>
      </c>
      <c r="E8649" s="140" t="s">
        <v>12</v>
      </c>
      <c r="F8649">
        <v>49491</v>
      </c>
      <c r="G8649" s="140" t="s">
        <v>490</v>
      </c>
      <c r="H8649">
        <v>0</v>
      </c>
      <c r="I8649" s="140" t="s">
        <v>17</v>
      </c>
    </row>
    <row r="8650" spans="1:9" hidden="1" x14ac:dyDescent="0.25">
      <c r="A8650">
        <v>2012</v>
      </c>
      <c r="B8650" s="140" t="s">
        <v>22</v>
      </c>
      <c r="C8650" s="140" t="s">
        <v>19</v>
      </c>
      <c r="D8650" s="140" t="s">
        <v>27</v>
      </c>
      <c r="E8650" s="140" t="s">
        <v>12</v>
      </c>
      <c r="F8650">
        <v>46806</v>
      </c>
      <c r="G8650" s="140" t="s">
        <v>490</v>
      </c>
      <c r="H8650">
        <v>0</v>
      </c>
      <c r="I8650" s="140" t="s">
        <v>17</v>
      </c>
    </row>
    <row r="8651" spans="1:9" hidden="1" x14ac:dyDescent="0.25">
      <c r="A8651">
        <v>2013</v>
      </c>
      <c r="B8651" s="140" t="s">
        <v>22</v>
      </c>
      <c r="C8651" s="140" t="s">
        <v>19</v>
      </c>
      <c r="D8651" s="140" t="s">
        <v>27</v>
      </c>
      <c r="E8651" s="140" t="s">
        <v>12</v>
      </c>
      <c r="F8651">
        <v>47411</v>
      </c>
      <c r="G8651" s="140" t="s">
        <v>490</v>
      </c>
      <c r="H8651">
        <v>0</v>
      </c>
      <c r="I8651" s="140" t="s">
        <v>17</v>
      </c>
    </row>
    <row r="8652" spans="1:9" hidden="1" x14ac:dyDescent="0.25">
      <c r="A8652">
        <v>2014</v>
      </c>
      <c r="B8652" s="140" t="s">
        <v>22</v>
      </c>
      <c r="C8652" s="140" t="s">
        <v>19</v>
      </c>
      <c r="D8652" s="140" t="s">
        <v>27</v>
      </c>
      <c r="E8652" s="140" t="s">
        <v>12</v>
      </c>
      <c r="F8652">
        <v>47474</v>
      </c>
      <c r="G8652" s="140" t="s">
        <v>490</v>
      </c>
      <c r="H8652">
        <v>0</v>
      </c>
      <c r="I8652" s="140" t="s">
        <v>17</v>
      </c>
    </row>
    <row r="8653" spans="1:9" hidden="1" x14ac:dyDescent="0.25">
      <c r="A8653">
        <v>2015</v>
      </c>
      <c r="B8653" s="140" t="s">
        <v>22</v>
      </c>
      <c r="C8653" s="140" t="s">
        <v>19</v>
      </c>
      <c r="D8653" s="140" t="s">
        <v>27</v>
      </c>
      <c r="E8653" s="140" t="s">
        <v>12</v>
      </c>
      <c r="F8653">
        <v>48983</v>
      </c>
      <c r="G8653" s="140" t="s">
        <v>490</v>
      </c>
      <c r="H8653">
        <v>0</v>
      </c>
      <c r="I8653" s="140" t="s">
        <v>17</v>
      </c>
    </row>
    <row r="8654" spans="1:9" hidden="1" x14ac:dyDescent="0.25">
      <c r="A8654">
        <v>2016</v>
      </c>
      <c r="B8654" s="140" t="s">
        <v>22</v>
      </c>
      <c r="C8654" s="140" t="s">
        <v>19</v>
      </c>
      <c r="D8654" s="140" t="s">
        <v>27</v>
      </c>
      <c r="E8654" s="140" t="s">
        <v>12</v>
      </c>
      <c r="F8654">
        <v>50643</v>
      </c>
      <c r="G8654" s="140" t="s">
        <v>490</v>
      </c>
      <c r="H8654">
        <v>0</v>
      </c>
      <c r="I8654" s="140" t="s">
        <v>17</v>
      </c>
    </row>
    <row r="8655" spans="1:9" hidden="1" x14ac:dyDescent="0.25">
      <c r="A8655">
        <v>2017</v>
      </c>
      <c r="B8655" s="140" t="s">
        <v>22</v>
      </c>
      <c r="C8655" s="140" t="s">
        <v>19</v>
      </c>
      <c r="D8655" s="140" t="s">
        <v>27</v>
      </c>
      <c r="E8655" s="140" t="s">
        <v>12</v>
      </c>
      <c r="F8655">
        <v>54987</v>
      </c>
      <c r="G8655" s="140" t="s">
        <v>490</v>
      </c>
      <c r="H8655">
        <v>0</v>
      </c>
      <c r="I8655" s="140" t="s">
        <v>17</v>
      </c>
    </row>
    <row r="8656" spans="1:9" hidden="1" x14ac:dyDescent="0.25">
      <c r="A8656">
        <v>2018</v>
      </c>
      <c r="B8656" s="140" t="s">
        <v>22</v>
      </c>
      <c r="C8656" s="140" t="s">
        <v>19</v>
      </c>
      <c r="D8656" s="140" t="s">
        <v>27</v>
      </c>
      <c r="E8656" s="140" t="s">
        <v>12</v>
      </c>
      <c r="F8656">
        <v>55914</v>
      </c>
      <c r="G8656" s="140" t="s">
        <v>490</v>
      </c>
      <c r="H8656">
        <v>0</v>
      </c>
      <c r="I8656" s="140" t="s">
        <v>17</v>
      </c>
    </row>
    <row r="8657" spans="1:9" hidden="1" x14ac:dyDescent="0.25">
      <c r="A8657">
        <v>2019</v>
      </c>
      <c r="B8657" s="140" t="s">
        <v>22</v>
      </c>
      <c r="C8657" s="140" t="s">
        <v>19</v>
      </c>
      <c r="D8657" s="140" t="s">
        <v>27</v>
      </c>
      <c r="E8657" s="140" t="s">
        <v>12</v>
      </c>
      <c r="F8657">
        <v>57594</v>
      </c>
      <c r="G8657" s="140" t="s">
        <v>490</v>
      </c>
      <c r="H8657">
        <v>0</v>
      </c>
      <c r="I8657" s="140" t="s">
        <v>17</v>
      </c>
    </row>
    <row r="8658" spans="1:9" hidden="1" x14ac:dyDescent="0.25">
      <c r="A8658">
        <v>2020</v>
      </c>
      <c r="B8658" s="140" t="s">
        <v>22</v>
      </c>
      <c r="C8658" s="140" t="s">
        <v>19</v>
      </c>
      <c r="D8658" s="140" t="s">
        <v>27</v>
      </c>
      <c r="E8658" s="140" t="s">
        <v>12</v>
      </c>
      <c r="F8658">
        <v>57270</v>
      </c>
      <c r="G8658" s="140" t="s">
        <v>490</v>
      </c>
      <c r="H8658">
        <v>0</v>
      </c>
      <c r="I8658" s="140" t="s">
        <v>17</v>
      </c>
    </row>
    <row r="8659" spans="1:9" hidden="1" x14ac:dyDescent="0.25">
      <c r="A8659">
        <v>2021</v>
      </c>
      <c r="B8659" s="140" t="s">
        <v>22</v>
      </c>
      <c r="C8659" s="140" t="s">
        <v>19</v>
      </c>
      <c r="D8659" s="140" t="s">
        <v>27</v>
      </c>
      <c r="E8659" s="140" t="s">
        <v>12</v>
      </c>
      <c r="F8659">
        <v>60282</v>
      </c>
      <c r="G8659" s="140" t="s">
        <v>490</v>
      </c>
      <c r="H8659">
        <v>0</v>
      </c>
      <c r="I8659" s="140" t="s">
        <v>17</v>
      </c>
    </row>
    <row r="8660" spans="1:9" hidden="1" x14ac:dyDescent="0.25">
      <c r="A8660">
        <v>2022</v>
      </c>
      <c r="B8660" s="140" t="s">
        <v>22</v>
      </c>
      <c r="C8660" s="140" t="s">
        <v>19</v>
      </c>
      <c r="D8660" s="140" t="s">
        <v>27</v>
      </c>
      <c r="E8660" s="140" t="s">
        <v>12</v>
      </c>
      <c r="F8660">
        <v>66734</v>
      </c>
      <c r="G8660" s="140" t="s">
        <v>490</v>
      </c>
      <c r="H8660">
        <v>0</v>
      </c>
      <c r="I8660" s="140" t="s">
        <v>17</v>
      </c>
    </row>
    <row r="8661" spans="1:9" hidden="1" x14ac:dyDescent="0.25">
      <c r="A8661">
        <v>2023</v>
      </c>
      <c r="B8661" s="140" t="s">
        <v>22</v>
      </c>
      <c r="C8661" s="140" t="s">
        <v>19</v>
      </c>
      <c r="D8661" s="140" t="s">
        <v>27</v>
      </c>
      <c r="E8661" s="140" t="s">
        <v>12</v>
      </c>
      <c r="F8661">
        <v>64010</v>
      </c>
      <c r="G8661" s="140" t="s">
        <v>490</v>
      </c>
      <c r="H8661">
        <v>0</v>
      </c>
      <c r="I8661" s="140" t="s">
        <v>17</v>
      </c>
    </row>
    <row r="8662" spans="1:9" hidden="1" x14ac:dyDescent="0.25">
      <c r="A8662">
        <v>2024</v>
      </c>
      <c r="B8662" s="140" t="s">
        <v>22</v>
      </c>
      <c r="C8662" s="140" t="s">
        <v>19</v>
      </c>
      <c r="D8662" s="140" t="s">
        <v>27</v>
      </c>
      <c r="E8662" s="140" t="s">
        <v>12</v>
      </c>
      <c r="F8662">
        <v>62435</v>
      </c>
      <c r="G8662" s="140" t="s">
        <v>490</v>
      </c>
      <c r="H8662">
        <v>0</v>
      </c>
      <c r="I8662" s="140" t="s">
        <v>17</v>
      </c>
    </row>
    <row r="8663" spans="1:9" hidden="1" x14ac:dyDescent="0.25">
      <c r="A8663">
        <v>2025</v>
      </c>
      <c r="B8663" s="140" t="s">
        <v>22</v>
      </c>
      <c r="C8663" s="140" t="s">
        <v>19</v>
      </c>
      <c r="D8663" s="140" t="s">
        <v>27</v>
      </c>
      <c r="E8663" s="140" t="s">
        <v>12</v>
      </c>
      <c r="F8663">
        <v>62935</v>
      </c>
      <c r="G8663" s="140" t="s">
        <v>490</v>
      </c>
      <c r="H8663">
        <v>0</v>
      </c>
      <c r="I8663" s="140" t="s">
        <v>17</v>
      </c>
    </row>
    <row r="8664" spans="1:9" hidden="1" x14ac:dyDescent="0.25">
      <c r="A8664">
        <v>2026</v>
      </c>
      <c r="B8664" s="140" t="s">
        <v>22</v>
      </c>
      <c r="C8664" s="140" t="s">
        <v>19</v>
      </c>
      <c r="D8664" s="140" t="s">
        <v>27</v>
      </c>
      <c r="E8664" s="140" t="s">
        <v>12</v>
      </c>
      <c r="F8664">
        <v>65814.616139999998</v>
      </c>
      <c r="G8664" s="140" t="s">
        <v>490</v>
      </c>
      <c r="H8664">
        <v>0</v>
      </c>
      <c r="I8664" s="140" t="s">
        <v>17</v>
      </c>
    </row>
    <row r="8665" spans="1:9" hidden="1" x14ac:dyDescent="0.25">
      <c r="A8665">
        <v>2027</v>
      </c>
      <c r="B8665" s="140" t="s">
        <v>22</v>
      </c>
      <c r="C8665" s="140" t="s">
        <v>19</v>
      </c>
      <c r="D8665" s="140" t="s">
        <v>27</v>
      </c>
      <c r="E8665" s="140" t="s">
        <v>12</v>
      </c>
      <c r="F8665">
        <v>68893.596120000002</v>
      </c>
      <c r="G8665" s="140" t="s">
        <v>490</v>
      </c>
      <c r="H8665">
        <v>0</v>
      </c>
      <c r="I8665" s="140" t="s">
        <v>17</v>
      </c>
    </row>
    <row r="8666" spans="1:9" hidden="1" x14ac:dyDescent="0.25">
      <c r="A8666">
        <v>2028</v>
      </c>
      <c r="B8666" s="140" t="s">
        <v>22</v>
      </c>
      <c r="C8666" s="140" t="s">
        <v>19</v>
      </c>
      <c r="D8666" s="140" t="s">
        <v>27</v>
      </c>
      <c r="E8666" s="140" t="s">
        <v>12</v>
      </c>
      <c r="F8666">
        <v>72154.620500000005</v>
      </c>
      <c r="G8666" s="140" t="s">
        <v>490</v>
      </c>
      <c r="H8666">
        <v>0</v>
      </c>
      <c r="I8666" s="140" t="s">
        <v>17</v>
      </c>
    </row>
    <row r="8667" spans="1:9" hidden="1" x14ac:dyDescent="0.25">
      <c r="A8667">
        <v>1990</v>
      </c>
      <c r="B8667" s="140" t="s">
        <v>22</v>
      </c>
      <c r="C8667" s="140" t="s">
        <v>19</v>
      </c>
      <c r="D8667" s="140" t="s">
        <v>37</v>
      </c>
      <c r="E8667" s="140" t="s">
        <v>12</v>
      </c>
      <c r="F8667">
        <v>47547</v>
      </c>
      <c r="G8667" s="140" t="s">
        <v>491</v>
      </c>
      <c r="H8667">
        <v>0</v>
      </c>
      <c r="I8667" s="140" t="s">
        <v>17</v>
      </c>
    </row>
    <row r="8668" spans="1:9" hidden="1" x14ac:dyDescent="0.25">
      <c r="A8668">
        <v>1991</v>
      </c>
      <c r="B8668" s="140" t="s">
        <v>22</v>
      </c>
      <c r="C8668" s="140" t="s">
        <v>19</v>
      </c>
      <c r="D8668" s="140" t="s">
        <v>37</v>
      </c>
      <c r="E8668" s="140" t="s">
        <v>12</v>
      </c>
      <c r="F8668">
        <v>48377</v>
      </c>
      <c r="G8668" s="140" t="s">
        <v>491</v>
      </c>
      <c r="H8668">
        <v>0</v>
      </c>
      <c r="I8668" s="140" t="s">
        <v>17</v>
      </c>
    </row>
    <row r="8669" spans="1:9" hidden="1" x14ac:dyDescent="0.25">
      <c r="A8669">
        <v>1992</v>
      </c>
      <c r="B8669" s="140" t="s">
        <v>22</v>
      </c>
      <c r="C8669" s="140" t="s">
        <v>19</v>
      </c>
      <c r="D8669" s="140" t="s">
        <v>37</v>
      </c>
      <c r="E8669" s="140" t="s">
        <v>12</v>
      </c>
      <c r="F8669">
        <v>48040</v>
      </c>
      <c r="G8669" s="140" t="s">
        <v>491</v>
      </c>
      <c r="H8669">
        <v>0</v>
      </c>
      <c r="I8669" s="140" t="s">
        <v>17</v>
      </c>
    </row>
    <row r="8670" spans="1:9" hidden="1" x14ac:dyDescent="0.25">
      <c r="A8670">
        <v>1993</v>
      </c>
      <c r="B8670" s="140" t="s">
        <v>22</v>
      </c>
      <c r="C8670" s="140" t="s">
        <v>19</v>
      </c>
      <c r="D8670" s="140" t="s">
        <v>37</v>
      </c>
      <c r="E8670" s="140" t="s">
        <v>12</v>
      </c>
      <c r="F8670">
        <v>47981</v>
      </c>
      <c r="G8670" s="140" t="s">
        <v>491</v>
      </c>
      <c r="H8670">
        <v>0</v>
      </c>
      <c r="I8670" s="140" t="s">
        <v>17</v>
      </c>
    </row>
    <row r="8671" spans="1:9" hidden="1" x14ac:dyDescent="0.25">
      <c r="A8671">
        <v>1994</v>
      </c>
      <c r="B8671" s="140" t="s">
        <v>22</v>
      </c>
      <c r="C8671" s="140" t="s">
        <v>19</v>
      </c>
      <c r="D8671" s="140" t="s">
        <v>37</v>
      </c>
      <c r="E8671" s="140" t="s">
        <v>12</v>
      </c>
      <c r="F8671">
        <v>49911</v>
      </c>
      <c r="G8671" s="140" t="s">
        <v>491</v>
      </c>
      <c r="H8671">
        <v>0</v>
      </c>
      <c r="I8671" s="140" t="s">
        <v>17</v>
      </c>
    </row>
    <row r="8672" spans="1:9" hidden="1" x14ac:dyDescent="0.25">
      <c r="A8672">
        <v>1995</v>
      </c>
      <c r="B8672" s="140" t="s">
        <v>22</v>
      </c>
      <c r="C8672" s="140" t="s">
        <v>19</v>
      </c>
      <c r="D8672" s="140" t="s">
        <v>37</v>
      </c>
      <c r="E8672" s="140" t="s">
        <v>12</v>
      </c>
      <c r="F8672">
        <v>53445</v>
      </c>
      <c r="G8672" s="140" t="s">
        <v>491</v>
      </c>
      <c r="H8672">
        <v>0</v>
      </c>
      <c r="I8672" s="140" t="s">
        <v>17</v>
      </c>
    </row>
    <row r="8673" spans="1:9" hidden="1" x14ac:dyDescent="0.25">
      <c r="A8673">
        <v>1996</v>
      </c>
      <c r="B8673" s="140" t="s">
        <v>22</v>
      </c>
      <c r="C8673" s="140" t="s">
        <v>19</v>
      </c>
      <c r="D8673" s="140" t="s">
        <v>37</v>
      </c>
      <c r="E8673" s="140" t="s">
        <v>12</v>
      </c>
      <c r="F8673">
        <v>56126</v>
      </c>
      <c r="G8673" s="140" t="s">
        <v>491</v>
      </c>
      <c r="H8673">
        <v>0</v>
      </c>
      <c r="I8673" s="140" t="s">
        <v>17</v>
      </c>
    </row>
    <row r="8674" spans="1:9" hidden="1" x14ac:dyDescent="0.25">
      <c r="A8674">
        <v>1997</v>
      </c>
      <c r="B8674" s="140" t="s">
        <v>22</v>
      </c>
      <c r="C8674" s="140" t="s">
        <v>19</v>
      </c>
      <c r="D8674" s="140" t="s">
        <v>37</v>
      </c>
      <c r="E8674" s="140" t="s">
        <v>12</v>
      </c>
      <c r="F8674">
        <v>60133</v>
      </c>
      <c r="G8674" s="140" t="s">
        <v>491</v>
      </c>
      <c r="H8674">
        <v>0</v>
      </c>
      <c r="I8674" s="140" t="s">
        <v>17</v>
      </c>
    </row>
    <row r="8675" spans="1:9" hidden="1" x14ac:dyDescent="0.25">
      <c r="A8675">
        <v>1998</v>
      </c>
      <c r="B8675" s="140" t="s">
        <v>22</v>
      </c>
      <c r="C8675" s="140" t="s">
        <v>19</v>
      </c>
      <c r="D8675" s="140" t="s">
        <v>37</v>
      </c>
      <c r="E8675" s="140" t="s">
        <v>12</v>
      </c>
      <c r="F8675">
        <v>64455</v>
      </c>
      <c r="G8675" s="140" t="s">
        <v>491</v>
      </c>
      <c r="H8675">
        <v>0</v>
      </c>
      <c r="I8675" s="140" t="s">
        <v>17</v>
      </c>
    </row>
    <row r="8676" spans="1:9" hidden="1" x14ac:dyDescent="0.25">
      <c r="A8676">
        <v>1999</v>
      </c>
      <c r="B8676" s="140" t="s">
        <v>22</v>
      </c>
      <c r="C8676" s="140" t="s">
        <v>19</v>
      </c>
      <c r="D8676" s="140" t="s">
        <v>37</v>
      </c>
      <c r="E8676" s="140" t="s">
        <v>12</v>
      </c>
      <c r="F8676">
        <v>68109</v>
      </c>
      <c r="G8676" s="140" t="s">
        <v>491</v>
      </c>
      <c r="H8676">
        <v>0</v>
      </c>
      <c r="I8676" s="140" t="s">
        <v>17</v>
      </c>
    </row>
    <row r="8677" spans="1:9" hidden="1" x14ac:dyDescent="0.25">
      <c r="A8677">
        <v>2000</v>
      </c>
      <c r="B8677" s="140" t="s">
        <v>22</v>
      </c>
      <c r="C8677" s="140" t="s">
        <v>19</v>
      </c>
      <c r="D8677" s="140" t="s">
        <v>37</v>
      </c>
      <c r="E8677" s="140" t="s">
        <v>12</v>
      </c>
      <c r="F8677">
        <v>72193</v>
      </c>
      <c r="G8677" s="140" t="s">
        <v>491</v>
      </c>
      <c r="H8677">
        <v>0</v>
      </c>
      <c r="I8677" s="140" t="s">
        <v>17</v>
      </c>
    </row>
    <row r="8678" spans="1:9" hidden="1" x14ac:dyDescent="0.25">
      <c r="A8678">
        <v>2001</v>
      </c>
      <c r="B8678" s="140" t="s">
        <v>22</v>
      </c>
      <c r="C8678" s="140" t="s">
        <v>19</v>
      </c>
      <c r="D8678" s="140" t="s">
        <v>37</v>
      </c>
      <c r="E8678" s="140" t="s">
        <v>12</v>
      </c>
      <c r="F8678">
        <v>78532</v>
      </c>
      <c r="G8678" s="140" t="s">
        <v>491</v>
      </c>
      <c r="H8678">
        <v>0</v>
      </c>
      <c r="I8678" s="140" t="s">
        <v>17</v>
      </c>
    </row>
    <row r="8679" spans="1:9" hidden="1" x14ac:dyDescent="0.25">
      <c r="A8679">
        <v>2002</v>
      </c>
      <c r="B8679" s="140" t="s">
        <v>22</v>
      </c>
      <c r="C8679" s="140" t="s">
        <v>19</v>
      </c>
      <c r="D8679" s="140" t="s">
        <v>37</v>
      </c>
      <c r="E8679" s="140" t="s">
        <v>12</v>
      </c>
      <c r="F8679">
        <v>81495</v>
      </c>
      <c r="G8679" s="140" t="s">
        <v>491</v>
      </c>
      <c r="H8679">
        <v>0</v>
      </c>
      <c r="I8679" s="140" t="s">
        <v>17</v>
      </c>
    </row>
    <row r="8680" spans="1:9" hidden="1" x14ac:dyDescent="0.25">
      <c r="A8680">
        <v>2003</v>
      </c>
      <c r="B8680" s="140" t="s">
        <v>22</v>
      </c>
      <c r="C8680" s="140" t="s">
        <v>19</v>
      </c>
      <c r="D8680" s="140" t="s">
        <v>37</v>
      </c>
      <c r="E8680" s="140" t="s">
        <v>12</v>
      </c>
      <c r="F8680">
        <v>83730</v>
      </c>
      <c r="G8680" s="140" t="s">
        <v>491</v>
      </c>
      <c r="H8680">
        <v>0</v>
      </c>
      <c r="I8680" s="140" t="s">
        <v>17</v>
      </c>
    </row>
    <row r="8681" spans="1:9" hidden="1" x14ac:dyDescent="0.25">
      <c r="A8681">
        <v>2004</v>
      </c>
      <c r="B8681" s="140" t="s">
        <v>22</v>
      </c>
      <c r="C8681" s="140" t="s">
        <v>19</v>
      </c>
      <c r="D8681" s="140" t="s">
        <v>37</v>
      </c>
      <c r="E8681" s="140" t="s">
        <v>12</v>
      </c>
      <c r="F8681">
        <v>88606</v>
      </c>
      <c r="G8681" s="140" t="s">
        <v>491</v>
      </c>
      <c r="H8681">
        <v>0</v>
      </c>
      <c r="I8681" s="140" t="s">
        <v>17</v>
      </c>
    </row>
    <row r="8682" spans="1:9" hidden="1" x14ac:dyDescent="0.25">
      <c r="A8682">
        <v>2005</v>
      </c>
      <c r="B8682" s="140" t="s">
        <v>22</v>
      </c>
      <c r="C8682" s="140" t="s">
        <v>19</v>
      </c>
      <c r="D8682" s="140" t="s">
        <v>37</v>
      </c>
      <c r="E8682" s="140" t="s">
        <v>12</v>
      </c>
      <c r="F8682">
        <v>91974</v>
      </c>
      <c r="G8682" s="140" t="s">
        <v>491</v>
      </c>
      <c r="H8682">
        <v>0</v>
      </c>
      <c r="I8682" s="140" t="s">
        <v>17</v>
      </c>
    </row>
    <row r="8683" spans="1:9" hidden="1" x14ac:dyDescent="0.25">
      <c r="A8683">
        <v>2006</v>
      </c>
      <c r="B8683" s="140" t="s">
        <v>22</v>
      </c>
      <c r="C8683" s="140" t="s">
        <v>19</v>
      </c>
      <c r="D8683" s="140" t="s">
        <v>37</v>
      </c>
      <c r="E8683" s="140" t="s">
        <v>12</v>
      </c>
      <c r="F8683">
        <v>94976</v>
      </c>
      <c r="G8683" s="140" t="s">
        <v>491</v>
      </c>
      <c r="H8683">
        <v>0</v>
      </c>
      <c r="I8683" s="140" t="s">
        <v>17</v>
      </c>
    </row>
    <row r="8684" spans="1:9" hidden="1" x14ac:dyDescent="0.25">
      <c r="A8684">
        <v>2007</v>
      </c>
      <c r="B8684" s="140" t="s">
        <v>22</v>
      </c>
      <c r="C8684" s="140" t="s">
        <v>19</v>
      </c>
      <c r="D8684" s="140" t="s">
        <v>37</v>
      </c>
      <c r="E8684" s="140" t="s">
        <v>12</v>
      </c>
      <c r="F8684">
        <v>102301</v>
      </c>
      <c r="G8684" s="140" t="s">
        <v>491</v>
      </c>
      <c r="H8684">
        <v>0</v>
      </c>
      <c r="I8684" s="140" t="s">
        <v>17</v>
      </c>
    </row>
    <row r="8685" spans="1:9" hidden="1" x14ac:dyDescent="0.25">
      <c r="A8685">
        <v>2008</v>
      </c>
      <c r="B8685" s="140" t="s">
        <v>22</v>
      </c>
      <c r="C8685" s="140" t="s">
        <v>19</v>
      </c>
      <c r="D8685" s="140" t="s">
        <v>37</v>
      </c>
      <c r="E8685" s="140" t="s">
        <v>12</v>
      </c>
      <c r="F8685">
        <v>109213</v>
      </c>
      <c r="G8685" s="140" t="s">
        <v>491</v>
      </c>
      <c r="H8685">
        <v>0</v>
      </c>
      <c r="I8685" s="140" t="s">
        <v>17</v>
      </c>
    </row>
    <row r="8686" spans="1:9" hidden="1" x14ac:dyDescent="0.25">
      <c r="A8686">
        <v>2009</v>
      </c>
      <c r="B8686" s="140" t="s">
        <v>22</v>
      </c>
      <c r="C8686" s="140" t="s">
        <v>19</v>
      </c>
      <c r="D8686" s="140" t="s">
        <v>37</v>
      </c>
      <c r="E8686" s="140" t="s">
        <v>12</v>
      </c>
      <c r="F8686">
        <v>108321</v>
      </c>
      <c r="G8686" s="140" t="s">
        <v>491</v>
      </c>
      <c r="H8686">
        <v>0</v>
      </c>
      <c r="I8686" s="140" t="s">
        <v>17</v>
      </c>
    </row>
    <row r="8687" spans="1:9" hidden="1" x14ac:dyDescent="0.25">
      <c r="A8687">
        <v>2010</v>
      </c>
      <c r="B8687" s="140" t="s">
        <v>22</v>
      </c>
      <c r="C8687" s="140" t="s">
        <v>19</v>
      </c>
      <c r="D8687" s="140" t="s">
        <v>37</v>
      </c>
      <c r="E8687" s="140" t="s">
        <v>12</v>
      </c>
      <c r="F8687">
        <v>110946</v>
      </c>
      <c r="G8687" s="140" t="s">
        <v>491</v>
      </c>
      <c r="H8687">
        <v>0</v>
      </c>
      <c r="I8687" s="140" t="s">
        <v>17</v>
      </c>
    </row>
    <row r="8688" spans="1:9" hidden="1" x14ac:dyDescent="0.25">
      <c r="A8688">
        <v>2011</v>
      </c>
      <c r="B8688" s="140" t="s">
        <v>22</v>
      </c>
      <c r="C8688" s="140" t="s">
        <v>19</v>
      </c>
      <c r="D8688" s="140" t="s">
        <v>37</v>
      </c>
      <c r="E8688" s="140" t="s">
        <v>12</v>
      </c>
      <c r="F8688">
        <v>117283</v>
      </c>
      <c r="G8688" s="140" t="s">
        <v>491</v>
      </c>
      <c r="H8688">
        <v>0</v>
      </c>
      <c r="I8688" s="140" t="s">
        <v>17</v>
      </c>
    </row>
    <row r="8689" spans="1:9" hidden="1" x14ac:dyDescent="0.25">
      <c r="A8689">
        <v>2012</v>
      </c>
      <c r="B8689" s="140" t="s">
        <v>22</v>
      </c>
      <c r="C8689" s="140" t="s">
        <v>19</v>
      </c>
      <c r="D8689" s="140" t="s">
        <v>37</v>
      </c>
      <c r="E8689" s="140" t="s">
        <v>12</v>
      </c>
      <c r="F8689">
        <v>121813</v>
      </c>
      <c r="G8689" s="140" t="s">
        <v>491</v>
      </c>
      <c r="H8689">
        <v>0</v>
      </c>
      <c r="I8689" s="140" t="s">
        <v>17</v>
      </c>
    </row>
    <row r="8690" spans="1:9" hidden="1" x14ac:dyDescent="0.25">
      <c r="A8690">
        <v>2013</v>
      </c>
      <c r="B8690" s="140" t="s">
        <v>22</v>
      </c>
      <c r="C8690" s="140" t="s">
        <v>19</v>
      </c>
      <c r="D8690" s="140" t="s">
        <v>37</v>
      </c>
      <c r="E8690" s="140" t="s">
        <v>12</v>
      </c>
      <c r="F8690">
        <v>123248</v>
      </c>
      <c r="G8690" s="140" t="s">
        <v>491</v>
      </c>
      <c r="H8690">
        <v>0</v>
      </c>
      <c r="I8690" s="140" t="s">
        <v>17</v>
      </c>
    </row>
    <row r="8691" spans="1:9" hidden="1" x14ac:dyDescent="0.25">
      <c r="A8691">
        <v>2014</v>
      </c>
      <c r="B8691" s="140" t="s">
        <v>22</v>
      </c>
      <c r="C8691" s="140" t="s">
        <v>19</v>
      </c>
      <c r="D8691" s="140" t="s">
        <v>37</v>
      </c>
      <c r="E8691" s="140" t="s">
        <v>12</v>
      </c>
      <c r="F8691">
        <v>125329</v>
      </c>
      <c r="G8691" s="140" t="s">
        <v>491</v>
      </c>
      <c r="H8691">
        <v>0</v>
      </c>
      <c r="I8691" s="140" t="s">
        <v>17</v>
      </c>
    </row>
    <row r="8692" spans="1:9" hidden="1" x14ac:dyDescent="0.25">
      <c r="A8692">
        <v>2015</v>
      </c>
      <c r="B8692" s="140" t="s">
        <v>22</v>
      </c>
      <c r="C8692" s="140" t="s">
        <v>19</v>
      </c>
      <c r="D8692" s="140" t="s">
        <v>37</v>
      </c>
      <c r="E8692" s="140" t="s">
        <v>12</v>
      </c>
      <c r="F8692">
        <v>128092</v>
      </c>
      <c r="G8692" s="140" t="s">
        <v>491</v>
      </c>
      <c r="H8692">
        <v>0</v>
      </c>
      <c r="I8692" s="140" t="s">
        <v>17</v>
      </c>
    </row>
    <row r="8693" spans="1:9" hidden="1" x14ac:dyDescent="0.25">
      <c r="A8693">
        <v>2016</v>
      </c>
      <c r="B8693" s="140" t="s">
        <v>22</v>
      </c>
      <c r="C8693" s="140" t="s">
        <v>19</v>
      </c>
      <c r="D8693" s="140" t="s">
        <v>37</v>
      </c>
      <c r="E8693" s="140" t="s">
        <v>12</v>
      </c>
      <c r="F8693">
        <v>130442</v>
      </c>
      <c r="G8693" s="140" t="s">
        <v>491</v>
      </c>
      <c r="H8693">
        <v>0</v>
      </c>
      <c r="I8693" s="140" t="s">
        <v>17</v>
      </c>
    </row>
    <row r="8694" spans="1:9" hidden="1" x14ac:dyDescent="0.25">
      <c r="A8694">
        <v>2017</v>
      </c>
      <c r="B8694" s="140" t="s">
        <v>22</v>
      </c>
      <c r="C8694" s="140" t="s">
        <v>19</v>
      </c>
      <c r="D8694" s="140" t="s">
        <v>37</v>
      </c>
      <c r="E8694" s="140" t="s">
        <v>12</v>
      </c>
      <c r="F8694">
        <v>134479</v>
      </c>
      <c r="G8694" s="140" t="s">
        <v>491</v>
      </c>
      <c r="H8694">
        <v>0</v>
      </c>
      <c r="I8694" s="140" t="s">
        <v>17</v>
      </c>
    </row>
    <row r="8695" spans="1:9" hidden="1" x14ac:dyDescent="0.25">
      <c r="A8695">
        <v>2018</v>
      </c>
      <c r="B8695" s="140" t="s">
        <v>22</v>
      </c>
      <c r="C8695" s="140" t="s">
        <v>19</v>
      </c>
      <c r="D8695" s="140" t="s">
        <v>37</v>
      </c>
      <c r="E8695" s="140" t="s">
        <v>12</v>
      </c>
      <c r="F8695">
        <v>138934</v>
      </c>
      <c r="G8695" s="140" t="s">
        <v>491</v>
      </c>
      <c r="H8695">
        <v>0</v>
      </c>
      <c r="I8695" s="140" t="s">
        <v>17</v>
      </c>
    </row>
    <row r="8696" spans="1:9" hidden="1" x14ac:dyDescent="0.25">
      <c r="A8696">
        <v>2019</v>
      </c>
      <c r="B8696" s="140" t="s">
        <v>22</v>
      </c>
      <c r="C8696" s="140" t="s">
        <v>19</v>
      </c>
      <c r="D8696" s="140" t="s">
        <v>37</v>
      </c>
      <c r="E8696" s="140" t="s">
        <v>12</v>
      </c>
      <c r="F8696">
        <v>143133</v>
      </c>
      <c r="G8696" s="140" t="s">
        <v>491</v>
      </c>
      <c r="H8696">
        <v>0</v>
      </c>
      <c r="I8696" s="140" t="s">
        <v>17</v>
      </c>
    </row>
    <row r="8697" spans="1:9" hidden="1" x14ac:dyDescent="0.25">
      <c r="A8697">
        <v>2020</v>
      </c>
      <c r="B8697" s="140" t="s">
        <v>22</v>
      </c>
      <c r="C8697" s="140" t="s">
        <v>19</v>
      </c>
      <c r="D8697" s="140" t="s">
        <v>37</v>
      </c>
      <c r="E8697" s="140" t="s">
        <v>12</v>
      </c>
      <c r="F8697">
        <v>141941</v>
      </c>
      <c r="G8697" s="140" t="s">
        <v>491</v>
      </c>
      <c r="H8697">
        <v>0</v>
      </c>
      <c r="I8697" s="140" t="s">
        <v>17</v>
      </c>
    </row>
    <row r="8698" spans="1:9" hidden="1" x14ac:dyDescent="0.25">
      <c r="A8698">
        <v>2021</v>
      </c>
      <c r="B8698" s="140" t="s">
        <v>22</v>
      </c>
      <c r="C8698" s="140" t="s">
        <v>19</v>
      </c>
      <c r="D8698" s="140" t="s">
        <v>37</v>
      </c>
      <c r="E8698" s="140" t="s">
        <v>12</v>
      </c>
      <c r="F8698">
        <v>149654</v>
      </c>
      <c r="G8698" s="140" t="s">
        <v>491</v>
      </c>
      <c r="H8698">
        <v>0</v>
      </c>
      <c r="I8698" s="140" t="s">
        <v>17</v>
      </c>
    </row>
    <row r="8699" spans="1:9" hidden="1" x14ac:dyDescent="0.25">
      <c r="A8699">
        <v>2022</v>
      </c>
      <c r="B8699" s="140" t="s">
        <v>22</v>
      </c>
      <c r="C8699" s="140" t="s">
        <v>19</v>
      </c>
      <c r="D8699" s="140" t="s">
        <v>37</v>
      </c>
      <c r="E8699" s="140" t="s">
        <v>12</v>
      </c>
      <c r="F8699">
        <v>157974</v>
      </c>
      <c r="G8699" s="140" t="s">
        <v>491</v>
      </c>
      <c r="H8699">
        <v>0</v>
      </c>
      <c r="I8699" s="140" t="s">
        <v>17</v>
      </c>
    </row>
    <row r="8700" spans="1:9" hidden="1" x14ac:dyDescent="0.25">
      <c r="A8700">
        <v>2023</v>
      </c>
      <c r="B8700" s="140" t="s">
        <v>22</v>
      </c>
      <c r="C8700" s="140" t="s">
        <v>19</v>
      </c>
      <c r="D8700" s="140" t="s">
        <v>37</v>
      </c>
      <c r="E8700" s="140" t="s">
        <v>12</v>
      </c>
      <c r="F8700">
        <v>168477</v>
      </c>
      <c r="G8700" s="140" t="s">
        <v>491</v>
      </c>
      <c r="H8700">
        <v>0</v>
      </c>
      <c r="I8700" s="140" t="s">
        <v>17</v>
      </c>
    </row>
    <row r="8701" spans="1:9" hidden="1" x14ac:dyDescent="0.25">
      <c r="A8701">
        <v>2024</v>
      </c>
      <c r="B8701" s="140" t="s">
        <v>22</v>
      </c>
      <c r="C8701" s="140" t="s">
        <v>19</v>
      </c>
      <c r="D8701" s="140" t="s">
        <v>37</v>
      </c>
      <c r="E8701" s="140" t="s">
        <v>12</v>
      </c>
      <c r="F8701">
        <v>172180</v>
      </c>
      <c r="G8701" s="140" t="s">
        <v>491</v>
      </c>
      <c r="H8701">
        <v>0</v>
      </c>
      <c r="I8701" s="140" t="s">
        <v>17</v>
      </c>
    </row>
    <row r="8702" spans="1:9" hidden="1" x14ac:dyDescent="0.25">
      <c r="A8702">
        <v>2025</v>
      </c>
      <c r="B8702" s="140" t="s">
        <v>22</v>
      </c>
      <c r="C8702" s="140" t="s">
        <v>19</v>
      </c>
      <c r="D8702" s="140" t="s">
        <v>37</v>
      </c>
      <c r="E8702" s="140" t="s">
        <v>12</v>
      </c>
      <c r="F8702">
        <v>175527</v>
      </c>
      <c r="G8702" s="140" t="s">
        <v>491</v>
      </c>
      <c r="H8702">
        <v>0</v>
      </c>
      <c r="I8702" s="140" t="s">
        <v>17</v>
      </c>
    </row>
    <row r="8703" spans="1:9" hidden="1" x14ac:dyDescent="0.25">
      <c r="A8703">
        <v>2026</v>
      </c>
      <c r="B8703" s="140" t="s">
        <v>22</v>
      </c>
      <c r="C8703" s="140" t="s">
        <v>19</v>
      </c>
      <c r="D8703" s="140" t="s">
        <v>37</v>
      </c>
      <c r="E8703" s="140" t="s">
        <v>12</v>
      </c>
      <c r="F8703">
        <v>182076.2634</v>
      </c>
      <c r="G8703" s="140" t="s">
        <v>491</v>
      </c>
      <c r="H8703">
        <v>0</v>
      </c>
      <c r="I8703" s="140" t="s">
        <v>17</v>
      </c>
    </row>
    <row r="8704" spans="1:9" hidden="1" x14ac:dyDescent="0.25">
      <c r="A8704">
        <v>2027</v>
      </c>
      <c r="B8704" s="140" t="s">
        <v>22</v>
      </c>
      <c r="C8704" s="140" t="s">
        <v>19</v>
      </c>
      <c r="D8704" s="140" t="s">
        <v>37</v>
      </c>
      <c r="E8704" s="140" t="s">
        <v>12</v>
      </c>
      <c r="F8704">
        <v>189244.47200000001</v>
      </c>
      <c r="G8704" s="140" t="s">
        <v>491</v>
      </c>
      <c r="H8704">
        <v>0</v>
      </c>
      <c r="I8704" s="140" t="s">
        <v>17</v>
      </c>
    </row>
    <row r="8705" spans="1:9" hidden="1" x14ac:dyDescent="0.25">
      <c r="A8705">
        <v>2028</v>
      </c>
      <c r="B8705" s="140" t="s">
        <v>22</v>
      </c>
      <c r="C8705" s="140" t="s">
        <v>19</v>
      </c>
      <c r="D8705" s="140" t="s">
        <v>37</v>
      </c>
      <c r="E8705" s="140" t="s">
        <v>12</v>
      </c>
      <c r="F8705">
        <v>196502.8879</v>
      </c>
      <c r="G8705" s="140" t="s">
        <v>491</v>
      </c>
      <c r="H8705">
        <v>0</v>
      </c>
      <c r="I8705" s="140" t="s">
        <v>17</v>
      </c>
    </row>
    <row r="8706" spans="1:9" hidden="1" x14ac:dyDescent="0.25">
      <c r="A8706">
        <v>1990</v>
      </c>
      <c r="B8706" s="140" t="s">
        <v>22</v>
      </c>
      <c r="C8706" s="140" t="s">
        <v>20</v>
      </c>
      <c r="D8706" s="140" t="s">
        <v>11</v>
      </c>
      <c r="E8706" s="140" t="s">
        <v>12</v>
      </c>
      <c r="F8706">
        <v>122287</v>
      </c>
      <c r="G8706" s="140" t="s">
        <v>239</v>
      </c>
      <c r="H8706">
        <v>0</v>
      </c>
      <c r="I8706" s="140" t="s">
        <v>17</v>
      </c>
    </row>
    <row r="8707" spans="1:9" hidden="1" x14ac:dyDescent="0.25">
      <c r="A8707">
        <v>1991</v>
      </c>
      <c r="B8707" s="140" t="s">
        <v>22</v>
      </c>
      <c r="C8707" s="140" t="s">
        <v>20</v>
      </c>
      <c r="D8707" s="140" t="s">
        <v>11</v>
      </c>
      <c r="E8707" s="140" t="s">
        <v>12</v>
      </c>
      <c r="F8707">
        <v>114929</v>
      </c>
      <c r="G8707" s="140" t="s">
        <v>239</v>
      </c>
      <c r="H8707">
        <v>0</v>
      </c>
      <c r="I8707" s="140" t="s">
        <v>17</v>
      </c>
    </row>
    <row r="8708" spans="1:9" hidden="1" x14ac:dyDescent="0.25">
      <c r="A8708">
        <v>1992</v>
      </c>
      <c r="B8708" s="140" t="s">
        <v>22</v>
      </c>
      <c r="C8708" s="140" t="s">
        <v>20</v>
      </c>
      <c r="D8708" s="140" t="s">
        <v>11</v>
      </c>
      <c r="E8708" s="140" t="s">
        <v>12</v>
      </c>
      <c r="F8708">
        <v>111442</v>
      </c>
      <c r="G8708" s="140" t="s">
        <v>239</v>
      </c>
      <c r="H8708">
        <v>0</v>
      </c>
      <c r="I8708" s="140" t="s">
        <v>17</v>
      </c>
    </row>
    <row r="8709" spans="1:9" hidden="1" x14ac:dyDescent="0.25">
      <c r="A8709">
        <v>1993</v>
      </c>
      <c r="B8709" s="140" t="s">
        <v>22</v>
      </c>
      <c r="C8709" s="140" t="s">
        <v>20</v>
      </c>
      <c r="D8709" s="140" t="s">
        <v>11</v>
      </c>
      <c r="E8709" s="140" t="s">
        <v>12</v>
      </c>
      <c r="F8709">
        <v>111215</v>
      </c>
      <c r="G8709" s="140" t="s">
        <v>239</v>
      </c>
      <c r="H8709">
        <v>0</v>
      </c>
      <c r="I8709" s="140" t="s">
        <v>17</v>
      </c>
    </row>
    <row r="8710" spans="1:9" hidden="1" x14ac:dyDescent="0.25">
      <c r="A8710">
        <v>1994</v>
      </c>
      <c r="B8710" s="140" t="s">
        <v>22</v>
      </c>
      <c r="C8710" s="140" t="s">
        <v>20</v>
      </c>
      <c r="D8710" s="140" t="s">
        <v>11</v>
      </c>
      <c r="E8710" s="140" t="s">
        <v>12</v>
      </c>
      <c r="F8710">
        <v>116334</v>
      </c>
      <c r="G8710" s="140" t="s">
        <v>239</v>
      </c>
      <c r="H8710">
        <v>0</v>
      </c>
      <c r="I8710" s="140" t="s">
        <v>17</v>
      </c>
    </row>
    <row r="8711" spans="1:9" hidden="1" x14ac:dyDescent="0.25">
      <c r="A8711">
        <v>1995</v>
      </c>
      <c r="B8711" s="140" t="s">
        <v>22</v>
      </c>
      <c r="C8711" s="140" t="s">
        <v>20</v>
      </c>
      <c r="D8711" s="140" t="s">
        <v>11</v>
      </c>
      <c r="E8711" s="140" t="s">
        <v>12</v>
      </c>
      <c r="F8711">
        <v>121276</v>
      </c>
      <c r="G8711" s="140" t="s">
        <v>239</v>
      </c>
      <c r="H8711">
        <v>0</v>
      </c>
      <c r="I8711" s="140" t="s">
        <v>17</v>
      </c>
    </row>
    <row r="8712" spans="1:9" hidden="1" x14ac:dyDescent="0.25">
      <c r="A8712">
        <v>1996</v>
      </c>
      <c r="B8712" s="140" t="s">
        <v>22</v>
      </c>
      <c r="C8712" s="140" t="s">
        <v>20</v>
      </c>
      <c r="D8712" s="140" t="s">
        <v>11</v>
      </c>
      <c r="E8712" s="140" t="s">
        <v>12</v>
      </c>
      <c r="F8712">
        <v>125824</v>
      </c>
      <c r="G8712" s="140" t="s">
        <v>239</v>
      </c>
      <c r="H8712">
        <v>0</v>
      </c>
      <c r="I8712" s="140" t="s">
        <v>17</v>
      </c>
    </row>
    <row r="8713" spans="1:9" hidden="1" x14ac:dyDescent="0.25">
      <c r="A8713">
        <v>1997</v>
      </c>
      <c r="B8713" s="140" t="s">
        <v>22</v>
      </c>
      <c r="C8713" s="140" t="s">
        <v>20</v>
      </c>
      <c r="D8713" s="140" t="s">
        <v>11</v>
      </c>
      <c r="E8713" s="140" t="s">
        <v>12</v>
      </c>
      <c r="F8713">
        <v>133705</v>
      </c>
      <c r="G8713" s="140" t="s">
        <v>239</v>
      </c>
      <c r="H8713">
        <v>0</v>
      </c>
      <c r="I8713" s="140" t="s">
        <v>17</v>
      </c>
    </row>
    <row r="8714" spans="1:9" hidden="1" x14ac:dyDescent="0.25">
      <c r="A8714">
        <v>1998</v>
      </c>
      <c r="B8714" s="140" t="s">
        <v>22</v>
      </c>
      <c r="C8714" s="140" t="s">
        <v>20</v>
      </c>
      <c r="D8714" s="140" t="s">
        <v>11</v>
      </c>
      <c r="E8714" s="140" t="s">
        <v>12</v>
      </c>
      <c r="F8714">
        <v>140793</v>
      </c>
      <c r="G8714" s="140" t="s">
        <v>239</v>
      </c>
      <c r="H8714">
        <v>0</v>
      </c>
      <c r="I8714" s="140" t="s">
        <v>17</v>
      </c>
    </row>
    <row r="8715" spans="1:9" hidden="1" x14ac:dyDescent="0.25">
      <c r="A8715">
        <v>1999</v>
      </c>
      <c r="B8715" s="140" t="s">
        <v>22</v>
      </c>
      <c r="C8715" s="140" t="s">
        <v>20</v>
      </c>
      <c r="D8715" s="140" t="s">
        <v>11</v>
      </c>
      <c r="E8715" s="140" t="s">
        <v>12</v>
      </c>
      <c r="F8715">
        <v>147353</v>
      </c>
      <c r="G8715" s="140" t="s">
        <v>239</v>
      </c>
      <c r="H8715">
        <v>0</v>
      </c>
      <c r="I8715" s="140" t="s">
        <v>17</v>
      </c>
    </row>
    <row r="8716" spans="1:9" hidden="1" x14ac:dyDescent="0.25">
      <c r="A8716">
        <v>2000</v>
      </c>
      <c r="B8716" s="140" t="s">
        <v>22</v>
      </c>
      <c r="C8716" s="140" t="s">
        <v>20</v>
      </c>
      <c r="D8716" s="140" t="s">
        <v>11</v>
      </c>
      <c r="E8716" s="140" t="s">
        <v>12</v>
      </c>
      <c r="F8716">
        <v>156836</v>
      </c>
      <c r="G8716" s="140" t="s">
        <v>239</v>
      </c>
      <c r="H8716">
        <v>0</v>
      </c>
      <c r="I8716" s="140" t="s">
        <v>17</v>
      </c>
    </row>
    <row r="8717" spans="1:9" hidden="1" x14ac:dyDescent="0.25">
      <c r="A8717">
        <v>2001</v>
      </c>
      <c r="B8717" s="140" t="s">
        <v>22</v>
      </c>
      <c r="C8717" s="140" t="s">
        <v>20</v>
      </c>
      <c r="D8717" s="140" t="s">
        <v>11</v>
      </c>
      <c r="E8717" s="140" t="s">
        <v>12</v>
      </c>
      <c r="F8717">
        <v>161196</v>
      </c>
      <c r="G8717" s="140" t="s">
        <v>239</v>
      </c>
      <c r="H8717">
        <v>0</v>
      </c>
      <c r="I8717" s="140" t="s">
        <v>17</v>
      </c>
    </row>
    <row r="8718" spans="1:9" hidden="1" x14ac:dyDescent="0.25">
      <c r="A8718">
        <v>2002</v>
      </c>
      <c r="B8718" s="140" t="s">
        <v>22</v>
      </c>
      <c r="C8718" s="140" t="s">
        <v>20</v>
      </c>
      <c r="D8718" s="140" t="s">
        <v>11</v>
      </c>
      <c r="E8718" s="140" t="s">
        <v>12</v>
      </c>
      <c r="F8718">
        <v>163315</v>
      </c>
      <c r="G8718" s="140" t="s">
        <v>239</v>
      </c>
      <c r="H8718">
        <v>0</v>
      </c>
      <c r="I8718" s="140" t="s">
        <v>17</v>
      </c>
    </row>
    <row r="8719" spans="1:9" hidden="1" x14ac:dyDescent="0.25">
      <c r="A8719">
        <v>2003</v>
      </c>
      <c r="B8719" s="140" t="s">
        <v>22</v>
      </c>
      <c r="C8719" s="140" t="s">
        <v>20</v>
      </c>
      <c r="D8719" s="140" t="s">
        <v>11</v>
      </c>
      <c r="E8719" s="140" t="s">
        <v>12</v>
      </c>
      <c r="F8719">
        <v>165242</v>
      </c>
      <c r="G8719" s="140" t="s">
        <v>239</v>
      </c>
      <c r="H8719">
        <v>0</v>
      </c>
      <c r="I8719" s="140" t="s">
        <v>17</v>
      </c>
    </row>
    <row r="8720" spans="1:9" hidden="1" x14ac:dyDescent="0.25">
      <c r="A8720">
        <v>2004</v>
      </c>
      <c r="B8720" s="140" t="s">
        <v>22</v>
      </c>
      <c r="C8720" s="140" t="s">
        <v>20</v>
      </c>
      <c r="D8720" s="140" t="s">
        <v>11</v>
      </c>
      <c r="E8720" s="140" t="s">
        <v>12</v>
      </c>
      <c r="F8720">
        <v>171650</v>
      </c>
      <c r="G8720" s="140" t="s">
        <v>239</v>
      </c>
      <c r="H8720">
        <v>0</v>
      </c>
      <c r="I8720" s="140" t="s">
        <v>17</v>
      </c>
    </row>
    <row r="8721" spans="1:9" hidden="1" x14ac:dyDescent="0.25">
      <c r="A8721">
        <v>2005</v>
      </c>
      <c r="B8721" s="140" t="s">
        <v>22</v>
      </c>
      <c r="C8721" s="140" t="s">
        <v>20</v>
      </c>
      <c r="D8721" s="140" t="s">
        <v>11</v>
      </c>
      <c r="E8721" s="140" t="s">
        <v>12</v>
      </c>
      <c r="F8721">
        <v>176079</v>
      </c>
      <c r="G8721" s="140" t="s">
        <v>239</v>
      </c>
      <c r="H8721">
        <v>0</v>
      </c>
      <c r="I8721" s="140" t="s">
        <v>17</v>
      </c>
    </row>
    <row r="8722" spans="1:9" hidden="1" x14ac:dyDescent="0.25">
      <c r="A8722">
        <v>2006</v>
      </c>
      <c r="B8722" s="140" t="s">
        <v>22</v>
      </c>
      <c r="C8722" s="140" t="s">
        <v>20</v>
      </c>
      <c r="D8722" s="140" t="s">
        <v>11</v>
      </c>
      <c r="E8722" s="140" t="s">
        <v>12</v>
      </c>
      <c r="F8722">
        <v>182751</v>
      </c>
      <c r="G8722" s="140" t="s">
        <v>239</v>
      </c>
      <c r="H8722">
        <v>0</v>
      </c>
      <c r="I8722" s="140" t="s">
        <v>17</v>
      </c>
    </row>
    <row r="8723" spans="1:9" hidden="1" x14ac:dyDescent="0.25">
      <c r="A8723">
        <v>2007</v>
      </c>
      <c r="B8723" s="140" t="s">
        <v>22</v>
      </c>
      <c r="C8723" s="140" t="s">
        <v>20</v>
      </c>
      <c r="D8723" s="140" t="s">
        <v>11</v>
      </c>
      <c r="E8723" s="140" t="s">
        <v>12</v>
      </c>
      <c r="F8723">
        <v>193751</v>
      </c>
      <c r="G8723" s="140" t="s">
        <v>239</v>
      </c>
      <c r="H8723">
        <v>0</v>
      </c>
      <c r="I8723" s="140" t="s">
        <v>17</v>
      </c>
    </row>
    <row r="8724" spans="1:9" hidden="1" x14ac:dyDescent="0.25">
      <c r="A8724">
        <v>2008</v>
      </c>
      <c r="B8724" s="140" t="s">
        <v>22</v>
      </c>
      <c r="C8724" s="140" t="s">
        <v>20</v>
      </c>
      <c r="D8724" s="140" t="s">
        <v>11</v>
      </c>
      <c r="E8724" s="140" t="s">
        <v>12</v>
      </c>
      <c r="F8724">
        <v>195526</v>
      </c>
      <c r="G8724" s="140" t="s">
        <v>239</v>
      </c>
      <c r="H8724">
        <v>0</v>
      </c>
      <c r="I8724" s="140" t="s">
        <v>17</v>
      </c>
    </row>
    <row r="8725" spans="1:9" hidden="1" x14ac:dyDescent="0.25">
      <c r="A8725">
        <v>2009</v>
      </c>
      <c r="B8725" s="140" t="s">
        <v>22</v>
      </c>
      <c r="C8725" s="140" t="s">
        <v>20</v>
      </c>
      <c r="D8725" s="140" t="s">
        <v>11</v>
      </c>
      <c r="E8725" s="140" t="s">
        <v>12</v>
      </c>
      <c r="F8725">
        <v>178663</v>
      </c>
      <c r="G8725" s="140" t="s">
        <v>239</v>
      </c>
      <c r="H8725">
        <v>0</v>
      </c>
      <c r="I8725" s="140" t="s">
        <v>17</v>
      </c>
    </row>
    <row r="8726" spans="1:9" hidden="1" x14ac:dyDescent="0.25">
      <c r="A8726">
        <v>2010</v>
      </c>
      <c r="B8726" s="140" t="s">
        <v>22</v>
      </c>
      <c r="C8726" s="140" t="s">
        <v>20</v>
      </c>
      <c r="D8726" s="140" t="s">
        <v>11</v>
      </c>
      <c r="E8726" s="140" t="s">
        <v>12</v>
      </c>
      <c r="F8726">
        <v>184405</v>
      </c>
      <c r="G8726" s="140" t="s">
        <v>239</v>
      </c>
      <c r="H8726">
        <v>0</v>
      </c>
      <c r="I8726" s="140" t="s">
        <v>17</v>
      </c>
    </row>
    <row r="8727" spans="1:9" hidden="1" x14ac:dyDescent="0.25">
      <c r="A8727">
        <v>2011</v>
      </c>
      <c r="B8727" s="140" t="s">
        <v>22</v>
      </c>
      <c r="C8727" s="140" t="s">
        <v>20</v>
      </c>
      <c r="D8727" s="140" t="s">
        <v>11</v>
      </c>
      <c r="E8727" s="140" t="s">
        <v>12</v>
      </c>
      <c r="F8727">
        <v>187594</v>
      </c>
      <c r="G8727" s="140" t="s">
        <v>239</v>
      </c>
      <c r="H8727">
        <v>0</v>
      </c>
      <c r="I8727" s="140" t="s">
        <v>17</v>
      </c>
    </row>
    <row r="8728" spans="1:9" hidden="1" x14ac:dyDescent="0.25">
      <c r="A8728">
        <v>2012</v>
      </c>
      <c r="B8728" s="140" t="s">
        <v>22</v>
      </c>
      <c r="C8728" s="140" t="s">
        <v>20</v>
      </c>
      <c r="D8728" s="140" t="s">
        <v>11</v>
      </c>
      <c r="E8728" s="140" t="s">
        <v>12</v>
      </c>
      <c r="F8728">
        <v>183754</v>
      </c>
      <c r="G8728" s="140" t="s">
        <v>239</v>
      </c>
      <c r="H8728">
        <v>0</v>
      </c>
      <c r="I8728" s="140" t="s">
        <v>17</v>
      </c>
    </row>
    <row r="8729" spans="1:9" hidden="1" x14ac:dyDescent="0.25">
      <c r="A8729">
        <v>2013</v>
      </c>
      <c r="B8729" s="140" t="s">
        <v>22</v>
      </c>
      <c r="C8729" s="140" t="s">
        <v>20</v>
      </c>
      <c r="D8729" s="140" t="s">
        <v>11</v>
      </c>
      <c r="E8729" s="140" t="s">
        <v>12</v>
      </c>
      <c r="F8729">
        <v>181648</v>
      </c>
      <c r="G8729" s="140" t="s">
        <v>239</v>
      </c>
      <c r="H8729">
        <v>0</v>
      </c>
      <c r="I8729" s="140" t="s">
        <v>17</v>
      </c>
    </row>
    <row r="8730" spans="1:9" hidden="1" x14ac:dyDescent="0.25">
      <c r="A8730">
        <v>2014</v>
      </c>
      <c r="B8730" s="140" t="s">
        <v>22</v>
      </c>
      <c r="C8730" s="140" t="s">
        <v>20</v>
      </c>
      <c r="D8730" s="140" t="s">
        <v>11</v>
      </c>
      <c r="E8730" s="140" t="s">
        <v>12</v>
      </c>
      <c r="F8730">
        <v>180852</v>
      </c>
      <c r="G8730" s="140" t="s">
        <v>239</v>
      </c>
      <c r="H8730">
        <v>0</v>
      </c>
      <c r="I8730" s="140" t="s">
        <v>17</v>
      </c>
    </row>
    <row r="8731" spans="1:9" hidden="1" x14ac:dyDescent="0.25">
      <c r="A8731">
        <v>2015</v>
      </c>
      <c r="B8731" s="140" t="s">
        <v>22</v>
      </c>
      <c r="C8731" s="140" t="s">
        <v>20</v>
      </c>
      <c r="D8731" s="140" t="s">
        <v>11</v>
      </c>
      <c r="E8731" s="140" t="s">
        <v>12</v>
      </c>
      <c r="F8731">
        <v>181406</v>
      </c>
      <c r="G8731" s="140" t="s">
        <v>239</v>
      </c>
      <c r="H8731">
        <v>0</v>
      </c>
      <c r="I8731" s="140" t="s">
        <v>17</v>
      </c>
    </row>
    <row r="8732" spans="1:9" hidden="1" x14ac:dyDescent="0.25">
      <c r="A8732">
        <v>2016</v>
      </c>
      <c r="B8732" s="140" t="s">
        <v>22</v>
      </c>
      <c r="C8732" s="140" t="s">
        <v>20</v>
      </c>
      <c r="D8732" s="140" t="s">
        <v>11</v>
      </c>
      <c r="E8732" s="140" t="s">
        <v>12</v>
      </c>
      <c r="F8732">
        <v>185632</v>
      </c>
      <c r="G8732" s="140" t="s">
        <v>239</v>
      </c>
      <c r="H8732">
        <v>0</v>
      </c>
      <c r="I8732" s="140" t="s">
        <v>17</v>
      </c>
    </row>
    <row r="8733" spans="1:9" hidden="1" x14ac:dyDescent="0.25">
      <c r="A8733">
        <v>2017</v>
      </c>
      <c r="B8733" s="140" t="s">
        <v>22</v>
      </c>
      <c r="C8733" s="140" t="s">
        <v>20</v>
      </c>
      <c r="D8733" s="140" t="s">
        <v>11</v>
      </c>
      <c r="E8733" s="140" t="s">
        <v>12</v>
      </c>
      <c r="F8733">
        <v>192599</v>
      </c>
      <c r="G8733" s="140" t="s">
        <v>239</v>
      </c>
      <c r="H8733">
        <v>0</v>
      </c>
      <c r="I8733" s="140" t="s">
        <v>17</v>
      </c>
    </row>
    <row r="8734" spans="1:9" hidden="1" x14ac:dyDescent="0.25">
      <c r="A8734">
        <v>2018</v>
      </c>
      <c r="B8734" s="140" t="s">
        <v>22</v>
      </c>
      <c r="C8734" s="140" t="s">
        <v>20</v>
      </c>
      <c r="D8734" s="140" t="s">
        <v>11</v>
      </c>
      <c r="E8734" s="140" t="s">
        <v>12</v>
      </c>
      <c r="F8734">
        <v>194132</v>
      </c>
      <c r="G8734" s="140" t="s">
        <v>239</v>
      </c>
      <c r="H8734">
        <v>0</v>
      </c>
      <c r="I8734" s="140" t="s">
        <v>17</v>
      </c>
    </row>
    <row r="8735" spans="1:9" hidden="1" x14ac:dyDescent="0.25">
      <c r="A8735">
        <v>2019</v>
      </c>
      <c r="B8735" s="140" t="s">
        <v>22</v>
      </c>
      <c r="C8735" s="140" t="s">
        <v>20</v>
      </c>
      <c r="D8735" s="140" t="s">
        <v>11</v>
      </c>
      <c r="E8735" s="140" t="s">
        <v>12</v>
      </c>
      <c r="F8735">
        <v>197280</v>
      </c>
      <c r="G8735" s="140" t="s">
        <v>239</v>
      </c>
      <c r="H8735">
        <v>0</v>
      </c>
      <c r="I8735" s="140" t="s">
        <v>17</v>
      </c>
    </row>
    <row r="8736" spans="1:9" hidden="1" x14ac:dyDescent="0.25">
      <c r="A8736">
        <v>2020</v>
      </c>
      <c r="B8736" s="140" t="s">
        <v>22</v>
      </c>
      <c r="C8736" s="140" t="s">
        <v>20</v>
      </c>
      <c r="D8736" s="140" t="s">
        <v>11</v>
      </c>
      <c r="E8736" s="140" t="s">
        <v>12</v>
      </c>
      <c r="F8736">
        <v>192491</v>
      </c>
      <c r="G8736" s="140" t="s">
        <v>239</v>
      </c>
      <c r="H8736">
        <v>0</v>
      </c>
      <c r="I8736" s="140" t="s">
        <v>17</v>
      </c>
    </row>
    <row r="8737" spans="1:9" hidden="1" x14ac:dyDescent="0.25">
      <c r="A8737">
        <v>2021</v>
      </c>
      <c r="B8737" s="140" t="s">
        <v>22</v>
      </c>
      <c r="C8737" s="140" t="s">
        <v>20</v>
      </c>
      <c r="D8737" s="140" t="s">
        <v>11</v>
      </c>
      <c r="E8737" s="140" t="s">
        <v>12</v>
      </c>
      <c r="F8737">
        <v>197789</v>
      </c>
      <c r="G8737" s="140" t="s">
        <v>239</v>
      </c>
      <c r="H8737">
        <v>0</v>
      </c>
      <c r="I8737" s="140" t="s">
        <v>17</v>
      </c>
    </row>
    <row r="8738" spans="1:9" hidden="1" x14ac:dyDescent="0.25">
      <c r="A8738">
        <v>2022</v>
      </c>
      <c r="B8738" s="140" t="s">
        <v>22</v>
      </c>
      <c r="C8738" s="140" t="s">
        <v>20</v>
      </c>
      <c r="D8738" s="140" t="s">
        <v>11</v>
      </c>
      <c r="E8738" s="140" t="s">
        <v>12</v>
      </c>
      <c r="F8738">
        <v>199488</v>
      </c>
      <c r="G8738" s="140" t="s">
        <v>239</v>
      </c>
      <c r="H8738">
        <v>0</v>
      </c>
      <c r="I8738" s="140" t="s">
        <v>17</v>
      </c>
    </row>
    <row r="8739" spans="1:9" hidden="1" x14ac:dyDescent="0.25">
      <c r="A8739">
        <v>2023</v>
      </c>
      <c r="B8739" s="140" t="s">
        <v>22</v>
      </c>
      <c r="C8739" s="140" t="s">
        <v>20</v>
      </c>
      <c r="D8739" s="140" t="s">
        <v>11</v>
      </c>
      <c r="E8739" s="140" t="s">
        <v>12</v>
      </c>
      <c r="F8739">
        <v>199015</v>
      </c>
      <c r="G8739" s="140" t="s">
        <v>239</v>
      </c>
      <c r="H8739">
        <v>0</v>
      </c>
      <c r="I8739" s="140" t="s">
        <v>17</v>
      </c>
    </row>
    <row r="8740" spans="1:9" hidden="1" x14ac:dyDescent="0.25">
      <c r="A8740">
        <v>2024</v>
      </c>
      <c r="B8740" s="140" t="s">
        <v>22</v>
      </c>
      <c r="C8740" s="140" t="s">
        <v>20</v>
      </c>
      <c r="D8740" s="140" t="s">
        <v>11</v>
      </c>
      <c r="E8740" s="140" t="s">
        <v>12</v>
      </c>
      <c r="F8740">
        <v>200975</v>
      </c>
      <c r="G8740" s="140" t="s">
        <v>239</v>
      </c>
      <c r="H8740">
        <v>0</v>
      </c>
      <c r="I8740" s="140" t="s">
        <v>17</v>
      </c>
    </row>
    <row r="8741" spans="1:9" hidden="1" x14ac:dyDescent="0.25">
      <c r="A8741">
        <v>2025</v>
      </c>
      <c r="B8741" s="140" t="s">
        <v>22</v>
      </c>
      <c r="C8741" s="140" t="s">
        <v>20</v>
      </c>
      <c r="D8741" s="140" t="s">
        <v>11</v>
      </c>
      <c r="E8741" s="140" t="s">
        <v>12</v>
      </c>
      <c r="F8741">
        <v>202277</v>
      </c>
      <c r="G8741" s="140" t="s">
        <v>239</v>
      </c>
      <c r="H8741">
        <v>0</v>
      </c>
      <c r="I8741" s="140" t="s">
        <v>17</v>
      </c>
    </row>
    <row r="8742" spans="1:9" hidden="1" x14ac:dyDescent="0.25">
      <c r="A8742">
        <v>2026</v>
      </c>
      <c r="B8742" s="140" t="s">
        <v>22</v>
      </c>
      <c r="C8742" s="140" t="s">
        <v>20</v>
      </c>
      <c r="D8742" s="140" t="s">
        <v>11</v>
      </c>
      <c r="E8742" s="140" t="s">
        <v>12</v>
      </c>
      <c r="F8742">
        <v>205472.1513</v>
      </c>
      <c r="G8742" s="140" t="s">
        <v>239</v>
      </c>
      <c r="H8742">
        <v>0</v>
      </c>
      <c r="I8742" s="140" t="s">
        <v>17</v>
      </c>
    </row>
    <row r="8743" spans="1:9" hidden="1" x14ac:dyDescent="0.25">
      <c r="A8743">
        <v>2027</v>
      </c>
      <c r="B8743" s="140" t="s">
        <v>22</v>
      </c>
      <c r="C8743" s="140" t="s">
        <v>20</v>
      </c>
      <c r="D8743" s="140" t="s">
        <v>11</v>
      </c>
      <c r="E8743" s="140" t="s">
        <v>12</v>
      </c>
      <c r="F8743">
        <v>209189.78539999999</v>
      </c>
      <c r="G8743" s="140" t="s">
        <v>239</v>
      </c>
      <c r="H8743">
        <v>0</v>
      </c>
      <c r="I8743" s="140" t="s">
        <v>17</v>
      </c>
    </row>
    <row r="8744" spans="1:9" hidden="1" x14ac:dyDescent="0.25">
      <c r="A8744">
        <v>2028</v>
      </c>
      <c r="B8744" s="140" t="s">
        <v>22</v>
      </c>
      <c r="C8744" s="140" t="s">
        <v>20</v>
      </c>
      <c r="D8744" s="140" t="s">
        <v>11</v>
      </c>
      <c r="E8744" s="140" t="s">
        <v>12</v>
      </c>
      <c r="F8744">
        <v>212405.2401</v>
      </c>
      <c r="G8744" s="140" t="s">
        <v>239</v>
      </c>
      <c r="H8744">
        <v>0</v>
      </c>
      <c r="I8744" s="140" t="s">
        <v>17</v>
      </c>
    </row>
    <row r="8745" spans="1:9" hidden="1" x14ac:dyDescent="0.25">
      <c r="A8745">
        <v>1990</v>
      </c>
      <c r="B8745" s="140" t="s">
        <v>22</v>
      </c>
      <c r="C8745" s="140" t="s">
        <v>20</v>
      </c>
      <c r="D8745" s="140" t="s">
        <v>24</v>
      </c>
      <c r="E8745" s="140" t="s">
        <v>12</v>
      </c>
      <c r="F8745">
        <v>3788</v>
      </c>
      <c r="G8745" s="140" t="s">
        <v>488</v>
      </c>
      <c r="H8745">
        <v>0</v>
      </c>
      <c r="I8745" s="140" t="s">
        <v>17</v>
      </c>
    </row>
    <row r="8746" spans="1:9" hidden="1" x14ac:dyDescent="0.25">
      <c r="A8746">
        <v>1991</v>
      </c>
      <c r="B8746" s="140" t="s">
        <v>22</v>
      </c>
      <c r="C8746" s="140" t="s">
        <v>20</v>
      </c>
      <c r="D8746" s="140" t="s">
        <v>24</v>
      </c>
      <c r="E8746" s="140" t="s">
        <v>12</v>
      </c>
      <c r="F8746">
        <v>3624</v>
      </c>
      <c r="G8746" s="140" t="s">
        <v>488</v>
      </c>
      <c r="H8746">
        <v>0</v>
      </c>
      <c r="I8746" s="140" t="s">
        <v>17</v>
      </c>
    </row>
    <row r="8747" spans="1:9" hidden="1" x14ac:dyDescent="0.25">
      <c r="A8747">
        <v>1992</v>
      </c>
      <c r="B8747" s="140" t="s">
        <v>22</v>
      </c>
      <c r="C8747" s="140" t="s">
        <v>20</v>
      </c>
      <c r="D8747" s="140" t="s">
        <v>24</v>
      </c>
      <c r="E8747" s="140" t="s">
        <v>12</v>
      </c>
      <c r="F8747">
        <v>3489</v>
      </c>
      <c r="G8747" s="140" t="s">
        <v>488</v>
      </c>
      <c r="H8747">
        <v>0</v>
      </c>
      <c r="I8747" s="140" t="s">
        <v>17</v>
      </c>
    </row>
    <row r="8748" spans="1:9" hidden="1" x14ac:dyDescent="0.25">
      <c r="A8748">
        <v>1993</v>
      </c>
      <c r="B8748" s="140" t="s">
        <v>22</v>
      </c>
      <c r="C8748" s="140" t="s">
        <v>20</v>
      </c>
      <c r="D8748" s="140" t="s">
        <v>24</v>
      </c>
      <c r="E8748" s="140" t="s">
        <v>12</v>
      </c>
      <c r="F8748">
        <v>3783</v>
      </c>
      <c r="G8748" s="140" t="s">
        <v>488</v>
      </c>
      <c r="H8748">
        <v>0</v>
      </c>
      <c r="I8748" s="140" t="s">
        <v>17</v>
      </c>
    </row>
    <row r="8749" spans="1:9" hidden="1" x14ac:dyDescent="0.25">
      <c r="A8749">
        <v>1994</v>
      </c>
      <c r="B8749" s="140" t="s">
        <v>22</v>
      </c>
      <c r="C8749" s="140" t="s">
        <v>20</v>
      </c>
      <c r="D8749" s="140" t="s">
        <v>24</v>
      </c>
      <c r="E8749" s="140" t="s">
        <v>12</v>
      </c>
      <c r="F8749">
        <v>3831</v>
      </c>
      <c r="G8749" s="140" t="s">
        <v>488</v>
      </c>
      <c r="H8749">
        <v>0</v>
      </c>
      <c r="I8749" s="140" t="s">
        <v>17</v>
      </c>
    </row>
    <row r="8750" spans="1:9" hidden="1" x14ac:dyDescent="0.25">
      <c r="A8750">
        <v>1995</v>
      </c>
      <c r="B8750" s="140" t="s">
        <v>22</v>
      </c>
      <c r="C8750" s="140" t="s">
        <v>20</v>
      </c>
      <c r="D8750" s="140" t="s">
        <v>24</v>
      </c>
      <c r="E8750" s="140" t="s">
        <v>12</v>
      </c>
      <c r="F8750">
        <v>3768</v>
      </c>
      <c r="G8750" s="140" t="s">
        <v>488</v>
      </c>
      <c r="H8750">
        <v>0</v>
      </c>
      <c r="I8750" s="140" t="s">
        <v>17</v>
      </c>
    </row>
    <row r="8751" spans="1:9" hidden="1" x14ac:dyDescent="0.25">
      <c r="A8751">
        <v>1996</v>
      </c>
      <c r="B8751" s="140" t="s">
        <v>22</v>
      </c>
      <c r="C8751" s="140" t="s">
        <v>20</v>
      </c>
      <c r="D8751" s="140" t="s">
        <v>24</v>
      </c>
      <c r="E8751" s="140" t="s">
        <v>12</v>
      </c>
      <c r="F8751">
        <v>3575</v>
      </c>
      <c r="G8751" s="140" t="s">
        <v>488</v>
      </c>
      <c r="H8751">
        <v>0</v>
      </c>
      <c r="I8751" s="140" t="s">
        <v>17</v>
      </c>
    </row>
    <row r="8752" spans="1:9" hidden="1" x14ac:dyDescent="0.25">
      <c r="A8752">
        <v>1997</v>
      </c>
      <c r="B8752" s="140" t="s">
        <v>22</v>
      </c>
      <c r="C8752" s="140" t="s">
        <v>20</v>
      </c>
      <c r="D8752" s="140" t="s">
        <v>24</v>
      </c>
      <c r="E8752" s="140" t="s">
        <v>12</v>
      </c>
      <c r="F8752">
        <v>3842</v>
      </c>
      <c r="G8752" s="140" t="s">
        <v>488</v>
      </c>
      <c r="H8752">
        <v>0</v>
      </c>
      <c r="I8752" s="140" t="s">
        <v>17</v>
      </c>
    </row>
    <row r="8753" spans="1:9" hidden="1" x14ac:dyDescent="0.25">
      <c r="A8753">
        <v>1998</v>
      </c>
      <c r="B8753" s="140" t="s">
        <v>22</v>
      </c>
      <c r="C8753" s="140" t="s">
        <v>20</v>
      </c>
      <c r="D8753" s="140" t="s">
        <v>24</v>
      </c>
      <c r="E8753" s="140" t="s">
        <v>12</v>
      </c>
      <c r="F8753">
        <v>3455</v>
      </c>
      <c r="G8753" s="140" t="s">
        <v>488</v>
      </c>
      <c r="H8753">
        <v>0</v>
      </c>
      <c r="I8753" s="140" t="s">
        <v>17</v>
      </c>
    </row>
    <row r="8754" spans="1:9" hidden="1" x14ac:dyDescent="0.25">
      <c r="A8754">
        <v>1999</v>
      </c>
      <c r="B8754" s="140" t="s">
        <v>22</v>
      </c>
      <c r="C8754" s="140" t="s">
        <v>20</v>
      </c>
      <c r="D8754" s="140" t="s">
        <v>24</v>
      </c>
      <c r="E8754" s="140" t="s">
        <v>12</v>
      </c>
      <c r="F8754">
        <v>3462</v>
      </c>
      <c r="G8754" s="140" t="s">
        <v>488</v>
      </c>
      <c r="H8754">
        <v>0</v>
      </c>
      <c r="I8754" s="140" t="s">
        <v>17</v>
      </c>
    </row>
    <row r="8755" spans="1:9" hidden="1" x14ac:dyDescent="0.25">
      <c r="A8755">
        <v>2000</v>
      </c>
      <c r="B8755" s="140" t="s">
        <v>22</v>
      </c>
      <c r="C8755" s="140" t="s">
        <v>20</v>
      </c>
      <c r="D8755" s="140" t="s">
        <v>24</v>
      </c>
      <c r="E8755" s="140" t="s">
        <v>12</v>
      </c>
      <c r="F8755">
        <v>3755</v>
      </c>
      <c r="G8755" s="140" t="s">
        <v>488</v>
      </c>
      <c r="H8755">
        <v>0</v>
      </c>
      <c r="I8755" s="140" t="s">
        <v>17</v>
      </c>
    </row>
    <row r="8756" spans="1:9" hidden="1" x14ac:dyDescent="0.25">
      <c r="A8756">
        <v>2001</v>
      </c>
      <c r="B8756" s="140" t="s">
        <v>22</v>
      </c>
      <c r="C8756" s="140" t="s">
        <v>20</v>
      </c>
      <c r="D8756" s="140" t="s">
        <v>24</v>
      </c>
      <c r="E8756" s="140" t="s">
        <v>12</v>
      </c>
      <c r="F8756">
        <v>3683</v>
      </c>
      <c r="G8756" s="140" t="s">
        <v>488</v>
      </c>
      <c r="H8756">
        <v>0</v>
      </c>
      <c r="I8756" s="140" t="s">
        <v>17</v>
      </c>
    </row>
    <row r="8757" spans="1:9" hidden="1" x14ac:dyDescent="0.25">
      <c r="A8757">
        <v>2002</v>
      </c>
      <c r="B8757" s="140" t="s">
        <v>22</v>
      </c>
      <c r="C8757" s="140" t="s">
        <v>20</v>
      </c>
      <c r="D8757" s="140" t="s">
        <v>24</v>
      </c>
      <c r="E8757" s="140" t="s">
        <v>12</v>
      </c>
      <c r="F8757">
        <v>3680</v>
      </c>
      <c r="G8757" s="140" t="s">
        <v>488</v>
      </c>
      <c r="H8757">
        <v>0</v>
      </c>
      <c r="I8757" s="140" t="s">
        <v>17</v>
      </c>
    </row>
    <row r="8758" spans="1:9" hidden="1" x14ac:dyDescent="0.25">
      <c r="A8758">
        <v>2003</v>
      </c>
      <c r="B8758" s="140" t="s">
        <v>22</v>
      </c>
      <c r="C8758" s="140" t="s">
        <v>20</v>
      </c>
      <c r="D8758" s="140" t="s">
        <v>24</v>
      </c>
      <c r="E8758" s="140" t="s">
        <v>12</v>
      </c>
      <c r="F8758">
        <v>3556</v>
      </c>
      <c r="G8758" s="140" t="s">
        <v>488</v>
      </c>
      <c r="H8758">
        <v>0</v>
      </c>
      <c r="I8758" s="140" t="s">
        <v>17</v>
      </c>
    </row>
    <row r="8759" spans="1:9" hidden="1" x14ac:dyDescent="0.25">
      <c r="A8759">
        <v>2004</v>
      </c>
      <c r="B8759" s="140" t="s">
        <v>22</v>
      </c>
      <c r="C8759" s="140" t="s">
        <v>20</v>
      </c>
      <c r="D8759" s="140" t="s">
        <v>24</v>
      </c>
      <c r="E8759" s="140" t="s">
        <v>12</v>
      </c>
      <c r="F8759">
        <v>3526</v>
      </c>
      <c r="G8759" s="140" t="s">
        <v>488</v>
      </c>
      <c r="H8759">
        <v>0</v>
      </c>
      <c r="I8759" s="140" t="s">
        <v>17</v>
      </c>
    </row>
    <row r="8760" spans="1:9" hidden="1" x14ac:dyDescent="0.25">
      <c r="A8760">
        <v>2005</v>
      </c>
      <c r="B8760" s="140" t="s">
        <v>22</v>
      </c>
      <c r="C8760" s="140" t="s">
        <v>20</v>
      </c>
      <c r="D8760" s="140" t="s">
        <v>24</v>
      </c>
      <c r="E8760" s="140" t="s">
        <v>12</v>
      </c>
      <c r="F8760">
        <v>3684</v>
      </c>
      <c r="G8760" s="140" t="s">
        <v>488</v>
      </c>
      <c r="H8760">
        <v>0</v>
      </c>
      <c r="I8760" s="140" t="s">
        <v>17</v>
      </c>
    </row>
    <row r="8761" spans="1:9" hidden="1" x14ac:dyDescent="0.25">
      <c r="A8761">
        <v>2006</v>
      </c>
      <c r="B8761" s="140" t="s">
        <v>22</v>
      </c>
      <c r="C8761" s="140" t="s">
        <v>20</v>
      </c>
      <c r="D8761" s="140" t="s">
        <v>24</v>
      </c>
      <c r="E8761" s="140" t="s">
        <v>12</v>
      </c>
      <c r="F8761">
        <v>3760</v>
      </c>
      <c r="G8761" s="140" t="s">
        <v>488</v>
      </c>
      <c r="H8761">
        <v>0</v>
      </c>
      <c r="I8761" s="140" t="s">
        <v>17</v>
      </c>
    </row>
    <row r="8762" spans="1:9" hidden="1" x14ac:dyDescent="0.25">
      <c r="A8762">
        <v>2007</v>
      </c>
      <c r="B8762" s="140" t="s">
        <v>22</v>
      </c>
      <c r="C8762" s="140" t="s">
        <v>20</v>
      </c>
      <c r="D8762" s="140" t="s">
        <v>24</v>
      </c>
      <c r="E8762" s="140" t="s">
        <v>12</v>
      </c>
      <c r="F8762">
        <v>4018</v>
      </c>
      <c r="G8762" s="140" t="s">
        <v>488</v>
      </c>
      <c r="H8762">
        <v>0</v>
      </c>
      <c r="I8762" s="140" t="s">
        <v>17</v>
      </c>
    </row>
    <row r="8763" spans="1:9" hidden="1" x14ac:dyDescent="0.25">
      <c r="A8763">
        <v>2008</v>
      </c>
      <c r="B8763" s="140" t="s">
        <v>22</v>
      </c>
      <c r="C8763" s="140" t="s">
        <v>20</v>
      </c>
      <c r="D8763" s="140" t="s">
        <v>24</v>
      </c>
      <c r="E8763" s="140" t="s">
        <v>12</v>
      </c>
      <c r="F8763">
        <v>4025</v>
      </c>
      <c r="G8763" s="140" t="s">
        <v>488</v>
      </c>
      <c r="H8763">
        <v>0</v>
      </c>
      <c r="I8763" s="140" t="s">
        <v>17</v>
      </c>
    </row>
    <row r="8764" spans="1:9" hidden="1" x14ac:dyDescent="0.25">
      <c r="A8764">
        <v>2009</v>
      </c>
      <c r="B8764" s="140" t="s">
        <v>22</v>
      </c>
      <c r="C8764" s="140" t="s">
        <v>20</v>
      </c>
      <c r="D8764" s="140" t="s">
        <v>24</v>
      </c>
      <c r="E8764" s="140" t="s">
        <v>12</v>
      </c>
      <c r="F8764">
        <v>4313</v>
      </c>
      <c r="G8764" s="140" t="s">
        <v>488</v>
      </c>
      <c r="H8764">
        <v>0</v>
      </c>
      <c r="I8764" s="140" t="s">
        <v>17</v>
      </c>
    </row>
    <row r="8765" spans="1:9" hidden="1" x14ac:dyDescent="0.25">
      <c r="A8765">
        <v>2010</v>
      </c>
      <c r="B8765" s="140" t="s">
        <v>22</v>
      </c>
      <c r="C8765" s="140" t="s">
        <v>20</v>
      </c>
      <c r="D8765" s="140" t="s">
        <v>24</v>
      </c>
      <c r="E8765" s="140" t="s">
        <v>12</v>
      </c>
      <c r="F8765">
        <v>4246</v>
      </c>
      <c r="G8765" s="140" t="s">
        <v>488</v>
      </c>
      <c r="H8765">
        <v>0</v>
      </c>
      <c r="I8765" s="140" t="s">
        <v>17</v>
      </c>
    </row>
    <row r="8766" spans="1:9" hidden="1" x14ac:dyDescent="0.25">
      <c r="A8766">
        <v>2011</v>
      </c>
      <c r="B8766" s="140" t="s">
        <v>22</v>
      </c>
      <c r="C8766" s="140" t="s">
        <v>20</v>
      </c>
      <c r="D8766" s="140" t="s">
        <v>24</v>
      </c>
      <c r="E8766" s="140" t="s">
        <v>12</v>
      </c>
      <c r="F8766">
        <v>4184</v>
      </c>
      <c r="G8766" s="140" t="s">
        <v>488</v>
      </c>
      <c r="H8766">
        <v>0</v>
      </c>
      <c r="I8766" s="140" t="s">
        <v>17</v>
      </c>
    </row>
    <row r="8767" spans="1:9" hidden="1" x14ac:dyDescent="0.25">
      <c r="A8767">
        <v>2012</v>
      </c>
      <c r="B8767" s="140" t="s">
        <v>22</v>
      </c>
      <c r="C8767" s="140" t="s">
        <v>20</v>
      </c>
      <c r="D8767" s="140" t="s">
        <v>24</v>
      </c>
      <c r="E8767" s="140" t="s">
        <v>12</v>
      </c>
      <c r="F8767">
        <v>3970</v>
      </c>
      <c r="G8767" s="140" t="s">
        <v>488</v>
      </c>
      <c r="H8767">
        <v>0</v>
      </c>
      <c r="I8767" s="140" t="s">
        <v>17</v>
      </c>
    </row>
    <row r="8768" spans="1:9" hidden="1" x14ac:dyDescent="0.25">
      <c r="A8768">
        <v>2013</v>
      </c>
      <c r="B8768" s="140" t="s">
        <v>22</v>
      </c>
      <c r="C8768" s="140" t="s">
        <v>20</v>
      </c>
      <c r="D8768" s="140" t="s">
        <v>24</v>
      </c>
      <c r="E8768" s="140" t="s">
        <v>12</v>
      </c>
      <c r="F8768">
        <v>3981</v>
      </c>
      <c r="G8768" s="140" t="s">
        <v>488</v>
      </c>
      <c r="H8768">
        <v>0</v>
      </c>
      <c r="I8768" s="140" t="s">
        <v>17</v>
      </c>
    </row>
    <row r="8769" spans="1:9" hidden="1" x14ac:dyDescent="0.25">
      <c r="A8769">
        <v>2014</v>
      </c>
      <c r="B8769" s="140" t="s">
        <v>22</v>
      </c>
      <c r="C8769" s="140" t="s">
        <v>20</v>
      </c>
      <c r="D8769" s="140" t="s">
        <v>24</v>
      </c>
      <c r="E8769" s="140" t="s">
        <v>12</v>
      </c>
      <c r="F8769">
        <v>4207</v>
      </c>
      <c r="G8769" s="140" t="s">
        <v>488</v>
      </c>
      <c r="H8769">
        <v>0</v>
      </c>
      <c r="I8769" s="140" t="s">
        <v>17</v>
      </c>
    </row>
    <row r="8770" spans="1:9" hidden="1" x14ac:dyDescent="0.25">
      <c r="A8770">
        <v>2015</v>
      </c>
      <c r="B8770" s="140" t="s">
        <v>22</v>
      </c>
      <c r="C8770" s="140" t="s">
        <v>20</v>
      </c>
      <c r="D8770" s="140" t="s">
        <v>24</v>
      </c>
      <c r="E8770" s="140" t="s">
        <v>12</v>
      </c>
      <c r="F8770">
        <v>4331</v>
      </c>
      <c r="G8770" s="140" t="s">
        <v>488</v>
      </c>
      <c r="H8770">
        <v>0</v>
      </c>
      <c r="I8770" s="140" t="s">
        <v>17</v>
      </c>
    </row>
    <row r="8771" spans="1:9" hidden="1" x14ac:dyDescent="0.25">
      <c r="A8771">
        <v>2016</v>
      </c>
      <c r="B8771" s="140" t="s">
        <v>22</v>
      </c>
      <c r="C8771" s="140" t="s">
        <v>20</v>
      </c>
      <c r="D8771" s="140" t="s">
        <v>24</v>
      </c>
      <c r="E8771" s="140" t="s">
        <v>12</v>
      </c>
      <c r="F8771">
        <v>4333</v>
      </c>
      <c r="G8771" s="140" t="s">
        <v>488</v>
      </c>
      <c r="H8771">
        <v>0</v>
      </c>
      <c r="I8771" s="140" t="s">
        <v>17</v>
      </c>
    </row>
    <row r="8772" spans="1:9" hidden="1" x14ac:dyDescent="0.25">
      <c r="A8772">
        <v>2017</v>
      </c>
      <c r="B8772" s="140" t="s">
        <v>22</v>
      </c>
      <c r="C8772" s="140" t="s">
        <v>20</v>
      </c>
      <c r="D8772" s="140" t="s">
        <v>24</v>
      </c>
      <c r="E8772" s="140" t="s">
        <v>12</v>
      </c>
      <c r="F8772">
        <v>4377</v>
      </c>
      <c r="G8772" s="140" t="s">
        <v>488</v>
      </c>
      <c r="H8772">
        <v>0</v>
      </c>
      <c r="I8772" s="140" t="s">
        <v>17</v>
      </c>
    </row>
    <row r="8773" spans="1:9" hidden="1" x14ac:dyDescent="0.25">
      <c r="A8773">
        <v>2018</v>
      </c>
      <c r="B8773" s="140" t="s">
        <v>22</v>
      </c>
      <c r="C8773" s="140" t="s">
        <v>20</v>
      </c>
      <c r="D8773" s="140" t="s">
        <v>24</v>
      </c>
      <c r="E8773" s="140" t="s">
        <v>12</v>
      </c>
      <c r="F8773">
        <v>4315</v>
      </c>
      <c r="G8773" s="140" t="s">
        <v>488</v>
      </c>
      <c r="H8773">
        <v>0</v>
      </c>
      <c r="I8773" s="140" t="s">
        <v>17</v>
      </c>
    </row>
    <row r="8774" spans="1:9" hidden="1" x14ac:dyDescent="0.25">
      <c r="A8774">
        <v>2019</v>
      </c>
      <c r="B8774" s="140" t="s">
        <v>22</v>
      </c>
      <c r="C8774" s="140" t="s">
        <v>20</v>
      </c>
      <c r="D8774" s="140" t="s">
        <v>24</v>
      </c>
      <c r="E8774" s="140" t="s">
        <v>12</v>
      </c>
      <c r="F8774">
        <v>4812</v>
      </c>
      <c r="G8774" s="140" t="s">
        <v>488</v>
      </c>
      <c r="H8774">
        <v>0</v>
      </c>
      <c r="I8774" s="140" t="s">
        <v>17</v>
      </c>
    </row>
    <row r="8775" spans="1:9" hidden="1" x14ac:dyDescent="0.25">
      <c r="A8775">
        <v>2020</v>
      </c>
      <c r="B8775" s="140" t="s">
        <v>22</v>
      </c>
      <c r="C8775" s="140" t="s">
        <v>20</v>
      </c>
      <c r="D8775" s="140" t="s">
        <v>24</v>
      </c>
      <c r="E8775" s="140" t="s">
        <v>12</v>
      </c>
      <c r="F8775">
        <v>4780</v>
      </c>
      <c r="G8775" s="140" t="s">
        <v>488</v>
      </c>
      <c r="H8775">
        <v>0</v>
      </c>
      <c r="I8775" s="140" t="s">
        <v>17</v>
      </c>
    </row>
    <row r="8776" spans="1:9" hidden="1" x14ac:dyDescent="0.25">
      <c r="A8776">
        <v>2021</v>
      </c>
      <c r="B8776" s="140" t="s">
        <v>22</v>
      </c>
      <c r="C8776" s="140" t="s">
        <v>20</v>
      </c>
      <c r="D8776" s="140" t="s">
        <v>24</v>
      </c>
      <c r="E8776" s="140" t="s">
        <v>12</v>
      </c>
      <c r="F8776">
        <v>4720</v>
      </c>
      <c r="G8776" s="140" t="s">
        <v>488</v>
      </c>
      <c r="H8776">
        <v>0</v>
      </c>
      <c r="I8776" s="140" t="s">
        <v>17</v>
      </c>
    </row>
    <row r="8777" spans="1:9" hidden="1" x14ac:dyDescent="0.25">
      <c r="A8777">
        <v>2022</v>
      </c>
      <c r="B8777" s="140" t="s">
        <v>22</v>
      </c>
      <c r="C8777" s="140" t="s">
        <v>20</v>
      </c>
      <c r="D8777" s="140" t="s">
        <v>24</v>
      </c>
      <c r="E8777" s="140" t="s">
        <v>12</v>
      </c>
      <c r="F8777">
        <v>4912</v>
      </c>
      <c r="G8777" s="140" t="s">
        <v>488</v>
      </c>
      <c r="H8777">
        <v>0</v>
      </c>
      <c r="I8777" s="140" t="s">
        <v>17</v>
      </c>
    </row>
    <row r="8778" spans="1:9" hidden="1" x14ac:dyDescent="0.25">
      <c r="A8778">
        <v>2023</v>
      </c>
      <c r="B8778" s="140" t="s">
        <v>22</v>
      </c>
      <c r="C8778" s="140" t="s">
        <v>20</v>
      </c>
      <c r="D8778" s="140" t="s">
        <v>24</v>
      </c>
      <c r="E8778" s="140" t="s">
        <v>12</v>
      </c>
      <c r="F8778">
        <v>4616</v>
      </c>
      <c r="G8778" s="140" t="s">
        <v>488</v>
      </c>
      <c r="H8778">
        <v>0</v>
      </c>
      <c r="I8778" s="140" t="s">
        <v>17</v>
      </c>
    </row>
    <row r="8779" spans="1:9" hidden="1" x14ac:dyDescent="0.25">
      <c r="A8779">
        <v>2024</v>
      </c>
      <c r="B8779" s="140" t="s">
        <v>22</v>
      </c>
      <c r="C8779" s="140" t="s">
        <v>20</v>
      </c>
      <c r="D8779" s="140" t="s">
        <v>24</v>
      </c>
      <c r="E8779" s="140" t="s">
        <v>12</v>
      </c>
      <c r="F8779">
        <v>4801</v>
      </c>
      <c r="G8779" s="140" t="s">
        <v>488</v>
      </c>
      <c r="H8779">
        <v>0</v>
      </c>
      <c r="I8779" s="140" t="s">
        <v>17</v>
      </c>
    </row>
    <row r="8780" spans="1:9" hidden="1" x14ac:dyDescent="0.25">
      <c r="A8780">
        <v>2025</v>
      </c>
      <c r="B8780" s="140" t="s">
        <v>22</v>
      </c>
      <c r="C8780" s="140" t="s">
        <v>20</v>
      </c>
      <c r="D8780" s="140" t="s">
        <v>24</v>
      </c>
      <c r="E8780" s="140" t="s">
        <v>12</v>
      </c>
      <c r="F8780">
        <v>4923</v>
      </c>
      <c r="G8780" s="140" t="s">
        <v>488</v>
      </c>
      <c r="H8780">
        <v>0</v>
      </c>
      <c r="I8780" s="140" t="s">
        <v>17</v>
      </c>
    </row>
    <row r="8781" spans="1:9" hidden="1" x14ac:dyDescent="0.25">
      <c r="A8781">
        <v>2026</v>
      </c>
      <c r="B8781" s="140" t="s">
        <v>22</v>
      </c>
      <c r="C8781" s="140" t="s">
        <v>20</v>
      </c>
      <c r="D8781" s="140" t="s">
        <v>24</v>
      </c>
      <c r="E8781" s="140" t="s">
        <v>12</v>
      </c>
      <c r="F8781">
        <v>4824.54</v>
      </c>
      <c r="G8781" s="140" t="s">
        <v>488</v>
      </c>
      <c r="H8781">
        <v>0</v>
      </c>
      <c r="I8781" s="140" t="s">
        <v>17</v>
      </c>
    </row>
    <row r="8782" spans="1:9" hidden="1" x14ac:dyDescent="0.25">
      <c r="A8782">
        <v>2027</v>
      </c>
      <c r="B8782" s="140" t="s">
        <v>22</v>
      </c>
      <c r="C8782" s="140" t="s">
        <v>20</v>
      </c>
      <c r="D8782" s="140" t="s">
        <v>24</v>
      </c>
      <c r="E8782" s="140" t="s">
        <v>12</v>
      </c>
      <c r="F8782">
        <v>4872.7853999999998</v>
      </c>
      <c r="G8782" s="140" t="s">
        <v>488</v>
      </c>
      <c r="H8782">
        <v>0</v>
      </c>
      <c r="I8782" s="140" t="s">
        <v>17</v>
      </c>
    </row>
    <row r="8783" spans="1:9" hidden="1" x14ac:dyDescent="0.25">
      <c r="A8783">
        <v>2028</v>
      </c>
      <c r="B8783" s="140" t="s">
        <v>22</v>
      </c>
      <c r="C8783" s="140" t="s">
        <v>20</v>
      </c>
      <c r="D8783" s="140" t="s">
        <v>24</v>
      </c>
      <c r="E8783" s="140" t="s">
        <v>12</v>
      </c>
      <c r="F8783">
        <v>4897.1493270000001</v>
      </c>
      <c r="G8783" s="140" t="s">
        <v>488</v>
      </c>
      <c r="H8783">
        <v>0</v>
      </c>
      <c r="I8783" s="140" t="s">
        <v>17</v>
      </c>
    </row>
    <row r="8784" spans="1:9" hidden="1" x14ac:dyDescent="0.25">
      <c r="A8784">
        <v>1990</v>
      </c>
      <c r="B8784" s="140" t="s">
        <v>22</v>
      </c>
      <c r="C8784" s="140" t="s">
        <v>20</v>
      </c>
      <c r="D8784" s="140" t="s">
        <v>25</v>
      </c>
      <c r="E8784" s="140" t="s">
        <v>12</v>
      </c>
      <c r="F8784">
        <v>1207</v>
      </c>
      <c r="G8784" s="140" t="s">
        <v>492</v>
      </c>
      <c r="H8784">
        <v>0</v>
      </c>
      <c r="I8784" s="140" t="s">
        <v>17</v>
      </c>
    </row>
    <row r="8785" spans="1:9" hidden="1" x14ac:dyDescent="0.25">
      <c r="A8785">
        <v>1991</v>
      </c>
      <c r="B8785" s="140" t="s">
        <v>22</v>
      </c>
      <c r="C8785" s="140" t="s">
        <v>20</v>
      </c>
      <c r="D8785" s="140" t="s">
        <v>25</v>
      </c>
      <c r="E8785" s="140" t="s">
        <v>12</v>
      </c>
      <c r="F8785">
        <v>1179</v>
      </c>
      <c r="G8785" s="140" t="s">
        <v>492</v>
      </c>
      <c r="H8785">
        <v>0</v>
      </c>
      <c r="I8785" s="140" t="s">
        <v>17</v>
      </c>
    </row>
    <row r="8786" spans="1:9" hidden="1" x14ac:dyDescent="0.25">
      <c r="A8786">
        <v>1992</v>
      </c>
      <c r="B8786" s="140" t="s">
        <v>22</v>
      </c>
      <c r="C8786" s="140" t="s">
        <v>20</v>
      </c>
      <c r="D8786" s="140" t="s">
        <v>25</v>
      </c>
      <c r="E8786" s="140" t="s">
        <v>12</v>
      </c>
      <c r="F8786">
        <v>1096</v>
      </c>
      <c r="G8786" s="140" t="s">
        <v>492</v>
      </c>
      <c r="H8786">
        <v>0</v>
      </c>
      <c r="I8786" s="140" t="s">
        <v>17</v>
      </c>
    </row>
    <row r="8787" spans="1:9" hidden="1" x14ac:dyDescent="0.25">
      <c r="A8787">
        <v>1993</v>
      </c>
      <c r="B8787" s="140" t="s">
        <v>22</v>
      </c>
      <c r="C8787" s="140" t="s">
        <v>20</v>
      </c>
      <c r="D8787" s="140" t="s">
        <v>25</v>
      </c>
      <c r="E8787" s="140" t="s">
        <v>12</v>
      </c>
      <c r="F8787">
        <v>1268</v>
      </c>
      <c r="G8787" s="140" t="s">
        <v>492</v>
      </c>
      <c r="H8787">
        <v>0</v>
      </c>
      <c r="I8787" s="140" t="s">
        <v>17</v>
      </c>
    </row>
    <row r="8788" spans="1:9" hidden="1" x14ac:dyDescent="0.25">
      <c r="A8788">
        <v>1994</v>
      </c>
      <c r="B8788" s="140" t="s">
        <v>22</v>
      </c>
      <c r="C8788" s="140" t="s">
        <v>20</v>
      </c>
      <c r="D8788" s="140" t="s">
        <v>25</v>
      </c>
      <c r="E8788" s="140" t="s">
        <v>12</v>
      </c>
      <c r="F8788">
        <v>1288</v>
      </c>
      <c r="G8788" s="140" t="s">
        <v>492</v>
      </c>
      <c r="H8788">
        <v>0</v>
      </c>
      <c r="I8788" s="140" t="s">
        <v>17</v>
      </c>
    </row>
    <row r="8789" spans="1:9" hidden="1" x14ac:dyDescent="0.25">
      <c r="A8789">
        <v>1995</v>
      </c>
      <c r="B8789" s="140" t="s">
        <v>22</v>
      </c>
      <c r="C8789" s="140" t="s">
        <v>20</v>
      </c>
      <c r="D8789" s="140" t="s">
        <v>25</v>
      </c>
      <c r="E8789" s="140" t="s">
        <v>12</v>
      </c>
      <c r="F8789">
        <v>1290</v>
      </c>
      <c r="G8789" s="140" t="s">
        <v>492</v>
      </c>
      <c r="H8789">
        <v>0</v>
      </c>
      <c r="I8789" s="140" t="s">
        <v>17</v>
      </c>
    </row>
    <row r="8790" spans="1:9" hidden="1" x14ac:dyDescent="0.25">
      <c r="A8790">
        <v>1996</v>
      </c>
      <c r="B8790" s="140" t="s">
        <v>22</v>
      </c>
      <c r="C8790" s="140" t="s">
        <v>20</v>
      </c>
      <c r="D8790" s="140" t="s">
        <v>25</v>
      </c>
      <c r="E8790" s="140" t="s">
        <v>12</v>
      </c>
      <c r="F8790">
        <v>1171</v>
      </c>
      <c r="G8790" s="140" t="s">
        <v>492</v>
      </c>
      <c r="H8790">
        <v>0</v>
      </c>
      <c r="I8790" s="140" t="s">
        <v>17</v>
      </c>
    </row>
    <row r="8791" spans="1:9" hidden="1" x14ac:dyDescent="0.25">
      <c r="A8791">
        <v>1997</v>
      </c>
      <c r="B8791" s="140" t="s">
        <v>22</v>
      </c>
      <c r="C8791" s="140" t="s">
        <v>20</v>
      </c>
      <c r="D8791" s="140" t="s">
        <v>25</v>
      </c>
      <c r="E8791" s="140" t="s">
        <v>12</v>
      </c>
      <c r="F8791">
        <v>1212</v>
      </c>
      <c r="G8791" s="140" t="s">
        <v>492</v>
      </c>
      <c r="H8791">
        <v>0</v>
      </c>
      <c r="I8791" s="140" t="s">
        <v>17</v>
      </c>
    </row>
    <row r="8792" spans="1:9" hidden="1" x14ac:dyDescent="0.25">
      <c r="A8792">
        <v>1998</v>
      </c>
      <c r="B8792" s="140" t="s">
        <v>22</v>
      </c>
      <c r="C8792" s="140" t="s">
        <v>20</v>
      </c>
      <c r="D8792" s="140" t="s">
        <v>25</v>
      </c>
      <c r="E8792" s="140" t="s">
        <v>12</v>
      </c>
      <c r="F8792">
        <v>930</v>
      </c>
      <c r="G8792" s="140" t="s">
        <v>492</v>
      </c>
      <c r="H8792">
        <v>0</v>
      </c>
      <c r="I8792" s="140" t="s">
        <v>17</v>
      </c>
    </row>
    <row r="8793" spans="1:9" hidden="1" x14ac:dyDescent="0.25">
      <c r="A8793">
        <v>1999</v>
      </c>
      <c r="B8793" s="140" t="s">
        <v>22</v>
      </c>
      <c r="C8793" s="140" t="s">
        <v>20</v>
      </c>
      <c r="D8793" s="140" t="s">
        <v>25</v>
      </c>
      <c r="E8793" s="140" t="s">
        <v>12</v>
      </c>
      <c r="F8793">
        <v>1016</v>
      </c>
      <c r="G8793" s="140" t="s">
        <v>492</v>
      </c>
      <c r="H8793">
        <v>0</v>
      </c>
      <c r="I8793" s="140" t="s">
        <v>17</v>
      </c>
    </row>
    <row r="8794" spans="1:9" hidden="1" x14ac:dyDescent="0.25">
      <c r="A8794">
        <v>2000</v>
      </c>
      <c r="B8794" s="140" t="s">
        <v>22</v>
      </c>
      <c r="C8794" s="140" t="s">
        <v>20</v>
      </c>
      <c r="D8794" s="140" t="s">
        <v>25</v>
      </c>
      <c r="E8794" s="140" t="s">
        <v>12</v>
      </c>
      <c r="F8794">
        <v>1105</v>
      </c>
      <c r="G8794" s="140" t="s">
        <v>492</v>
      </c>
      <c r="H8794">
        <v>0</v>
      </c>
      <c r="I8794" s="140" t="s">
        <v>17</v>
      </c>
    </row>
    <row r="8795" spans="1:9" hidden="1" x14ac:dyDescent="0.25">
      <c r="A8795">
        <v>2001</v>
      </c>
      <c r="B8795" s="140" t="s">
        <v>22</v>
      </c>
      <c r="C8795" s="140" t="s">
        <v>20</v>
      </c>
      <c r="D8795" s="140" t="s">
        <v>25</v>
      </c>
      <c r="E8795" s="140" t="s">
        <v>12</v>
      </c>
      <c r="F8795">
        <v>1107</v>
      </c>
      <c r="G8795" s="140" t="s">
        <v>492</v>
      </c>
      <c r="H8795">
        <v>0</v>
      </c>
      <c r="I8795" s="140" t="s">
        <v>17</v>
      </c>
    </row>
    <row r="8796" spans="1:9" hidden="1" x14ac:dyDescent="0.25">
      <c r="A8796">
        <v>2002</v>
      </c>
      <c r="B8796" s="140" t="s">
        <v>22</v>
      </c>
      <c r="C8796" s="140" t="s">
        <v>20</v>
      </c>
      <c r="D8796" s="140" t="s">
        <v>25</v>
      </c>
      <c r="E8796" s="140" t="s">
        <v>12</v>
      </c>
      <c r="F8796">
        <v>1140</v>
      </c>
      <c r="G8796" s="140" t="s">
        <v>492</v>
      </c>
      <c r="H8796">
        <v>0</v>
      </c>
      <c r="I8796" s="140" t="s">
        <v>17</v>
      </c>
    </row>
    <row r="8797" spans="1:9" hidden="1" x14ac:dyDescent="0.25">
      <c r="A8797">
        <v>2003</v>
      </c>
      <c r="B8797" s="140" t="s">
        <v>22</v>
      </c>
      <c r="C8797" s="140" t="s">
        <v>20</v>
      </c>
      <c r="D8797" s="140" t="s">
        <v>25</v>
      </c>
      <c r="E8797" s="140" t="s">
        <v>12</v>
      </c>
      <c r="F8797">
        <v>1078</v>
      </c>
      <c r="G8797" s="140" t="s">
        <v>492</v>
      </c>
      <c r="H8797">
        <v>0</v>
      </c>
      <c r="I8797" s="140" t="s">
        <v>17</v>
      </c>
    </row>
    <row r="8798" spans="1:9" hidden="1" x14ac:dyDescent="0.25">
      <c r="A8798">
        <v>2004</v>
      </c>
      <c r="B8798" s="140" t="s">
        <v>22</v>
      </c>
      <c r="C8798" s="140" t="s">
        <v>20</v>
      </c>
      <c r="D8798" s="140" t="s">
        <v>25</v>
      </c>
      <c r="E8798" s="140" t="s">
        <v>12</v>
      </c>
      <c r="F8798">
        <v>1045</v>
      </c>
      <c r="G8798" s="140" t="s">
        <v>492</v>
      </c>
      <c r="H8798">
        <v>0</v>
      </c>
      <c r="I8798" s="140" t="s">
        <v>17</v>
      </c>
    </row>
    <row r="8799" spans="1:9" hidden="1" x14ac:dyDescent="0.25">
      <c r="A8799">
        <v>2005</v>
      </c>
      <c r="B8799" s="140" t="s">
        <v>22</v>
      </c>
      <c r="C8799" s="140" t="s">
        <v>20</v>
      </c>
      <c r="D8799" s="140" t="s">
        <v>25</v>
      </c>
      <c r="E8799" s="140" t="s">
        <v>12</v>
      </c>
      <c r="F8799">
        <v>1122</v>
      </c>
      <c r="G8799" s="140" t="s">
        <v>492</v>
      </c>
      <c r="H8799">
        <v>0</v>
      </c>
      <c r="I8799" s="140" t="s">
        <v>17</v>
      </c>
    </row>
    <row r="8800" spans="1:9" hidden="1" x14ac:dyDescent="0.25">
      <c r="A8800">
        <v>2006</v>
      </c>
      <c r="B8800" s="140" t="s">
        <v>22</v>
      </c>
      <c r="C8800" s="140" t="s">
        <v>20</v>
      </c>
      <c r="D8800" s="140" t="s">
        <v>25</v>
      </c>
      <c r="E8800" s="140" t="s">
        <v>12</v>
      </c>
      <c r="F8800">
        <v>1135</v>
      </c>
      <c r="G8800" s="140" t="s">
        <v>492</v>
      </c>
      <c r="H8800">
        <v>0</v>
      </c>
      <c r="I8800" s="140" t="s">
        <v>17</v>
      </c>
    </row>
    <row r="8801" spans="1:9" hidden="1" x14ac:dyDescent="0.25">
      <c r="A8801">
        <v>2007</v>
      </c>
      <c r="B8801" s="140" t="s">
        <v>22</v>
      </c>
      <c r="C8801" s="140" t="s">
        <v>20</v>
      </c>
      <c r="D8801" s="140" t="s">
        <v>25</v>
      </c>
      <c r="E8801" s="140" t="s">
        <v>12</v>
      </c>
      <c r="F8801">
        <v>1244</v>
      </c>
      <c r="G8801" s="140" t="s">
        <v>492</v>
      </c>
      <c r="H8801">
        <v>0</v>
      </c>
      <c r="I8801" s="140" t="s">
        <v>17</v>
      </c>
    </row>
    <row r="8802" spans="1:9" hidden="1" x14ac:dyDescent="0.25">
      <c r="A8802">
        <v>2008</v>
      </c>
      <c r="B8802" s="140" t="s">
        <v>22</v>
      </c>
      <c r="C8802" s="140" t="s">
        <v>20</v>
      </c>
      <c r="D8802" s="140" t="s">
        <v>25</v>
      </c>
      <c r="E8802" s="140" t="s">
        <v>12</v>
      </c>
      <c r="F8802">
        <v>1134</v>
      </c>
      <c r="G8802" s="140" t="s">
        <v>492</v>
      </c>
      <c r="H8802">
        <v>0</v>
      </c>
      <c r="I8802" s="140" t="s">
        <v>17</v>
      </c>
    </row>
    <row r="8803" spans="1:9" hidden="1" x14ac:dyDescent="0.25">
      <c r="A8803">
        <v>2009</v>
      </c>
      <c r="B8803" s="140" t="s">
        <v>22</v>
      </c>
      <c r="C8803" s="140" t="s">
        <v>20</v>
      </c>
      <c r="D8803" s="140" t="s">
        <v>25</v>
      </c>
      <c r="E8803" s="140" t="s">
        <v>12</v>
      </c>
      <c r="F8803">
        <v>1345</v>
      </c>
      <c r="G8803" s="140" t="s">
        <v>492</v>
      </c>
      <c r="H8803">
        <v>0</v>
      </c>
      <c r="I8803" s="140" t="s">
        <v>17</v>
      </c>
    </row>
    <row r="8804" spans="1:9" hidden="1" x14ac:dyDescent="0.25">
      <c r="A8804">
        <v>2010</v>
      </c>
      <c r="B8804" s="140" t="s">
        <v>22</v>
      </c>
      <c r="C8804" s="140" t="s">
        <v>20</v>
      </c>
      <c r="D8804" s="140" t="s">
        <v>25</v>
      </c>
      <c r="E8804" s="140" t="s">
        <v>12</v>
      </c>
      <c r="F8804">
        <v>1312</v>
      </c>
      <c r="G8804" s="140" t="s">
        <v>492</v>
      </c>
      <c r="H8804">
        <v>0</v>
      </c>
      <c r="I8804" s="140" t="s">
        <v>17</v>
      </c>
    </row>
    <row r="8805" spans="1:9" hidden="1" x14ac:dyDescent="0.25">
      <c r="A8805">
        <v>2011</v>
      </c>
      <c r="B8805" s="140" t="s">
        <v>22</v>
      </c>
      <c r="C8805" s="140" t="s">
        <v>20</v>
      </c>
      <c r="D8805" s="140" t="s">
        <v>25</v>
      </c>
      <c r="E8805" s="140" t="s">
        <v>12</v>
      </c>
      <c r="F8805">
        <v>1152</v>
      </c>
      <c r="G8805" s="140" t="s">
        <v>492</v>
      </c>
      <c r="H8805">
        <v>0</v>
      </c>
      <c r="I8805" s="140" t="s">
        <v>17</v>
      </c>
    </row>
    <row r="8806" spans="1:9" hidden="1" x14ac:dyDescent="0.25">
      <c r="A8806">
        <v>2012</v>
      </c>
      <c r="B8806" s="140" t="s">
        <v>22</v>
      </c>
      <c r="C8806" s="140" t="s">
        <v>20</v>
      </c>
      <c r="D8806" s="140" t="s">
        <v>25</v>
      </c>
      <c r="E8806" s="140" t="s">
        <v>12</v>
      </c>
      <c r="F8806">
        <v>985</v>
      </c>
      <c r="G8806" s="140" t="s">
        <v>492</v>
      </c>
      <c r="H8806">
        <v>0</v>
      </c>
      <c r="I8806" s="140" t="s">
        <v>17</v>
      </c>
    </row>
    <row r="8807" spans="1:9" hidden="1" x14ac:dyDescent="0.25">
      <c r="A8807">
        <v>2013</v>
      </c>
      <c r="B8807" s="140" t="s">
        <v>22</v>
      </c>
      <c r="C8807" s="140" t="s">
        <v>20</v>
      </c>
      <c r="D8807" s="140" t="s">
        <v>25</v>
      </c>
      <c r="E8807" s="140" t="s">
        <v>12</v>
      </c>
      <c r="F8807">
        <v>904</v>
      </c>
      <c r="G8807" s="140" t="s">
        <v>492</v>
      </c>
      <c r="H8807">
        <v>0</v>
      </c>
      <c r="I8807" s="140" t="s">
        <v>17</v>
      </c>
    </row>
    <row r="8808" spans="1:9" hidden="1" x14ac:dyDescent="0.25">
      <c r="A8808">
        <v>2014</v>
      </c>
      <c r="B8808" s="140" t="s">
        <v>22</v>
      </c>
      <c r="C8808" s="140" t="s">
        <v>20</v>
      </c>
      <c r="D8808" s="140" t="s">
        <v>25</v>
      </c>
      <c r="E8808" s="140" t="s">
        <v>12</v>
      </c>
      <c r="F8808">
        <v>1019</v>
      </c>
      <c r="G8808" s="140" t="s">
        <v>492</v>
      </c>
      <c r="H8808">
        <v>0</v>
      </c>
      <c r="I8808" s="140" t="s">
        <v>17</v>
      </c>
    </row>
    <row r="8809" spans="1:9" hidden="1" x14ac:dyDescent="0.25">
      <c r="A8809">
        <v>2015</v>
      </c>
      <c r="B8809" s="140" t="s">
        <v>22</v>
      </c>
      <c r="C8809" s="140" t="s">
        <v>20</v>
      </c>
      <c r="D8809" s="140" t="s">
        <v>25</v>
      </c>
      <c r="E8809" s="140" t="s">
        <v>12</v>
      </c>
      <c r="F8809">
        <v>1151</v>
      </c>
      <c r="G8809" s="140" t="s">
        <v>492</v>
      </c>
      <c r="H8809">
        <v>0</v>
      </c>
      <c r="I8809" s="140" t="s">
        <v>17</v>
      </c>
    </row>
    <row r="8810" spans="1:9" hidden="1" x14ac:dyDescent="0.25">
      <c r="A8810">
        <v>2016</v>
      </c>
      <c r="B8810" s="140" t="s">
        <v>22</v>
      </c>
      <c r="C8810" s="140" t="s">
        <v>20</v>
      </c>
      <c r="D8810" s="140" t="s">
        <v>25</v>
      </c>
      <c r="E8810" s="140" t="s">
        <v>12</v>
      </c>
      <c r="F8810">
        <v>1097</v>
      </c>
      <c r="G8810" s="140" t="s">
        <v>492</v>
      </c>
      <c r="H8810">
        <v>0</v>
      </c>
      <c r="I8810" s="140" t="s">
        <v>17</v>
      </c>
    </row>
    <row r="8811" spans="1:9" hidden="1" x14ac:dyDescent="0.25">
      <c r="A8811">
        <v>2017</v>
      </c>
      <c r="B8811" s="140" t="s">
        <v>22</v>
      </c>
      <c r="C8811" s="140" t="s">
        <v>20</v>
      </c>
      <c r="D8811" s="140" t="s">
        <v>25</v>
      </c>
      <c r="E8811" s="140" t="s">
        <v>12</v>
      </c>
      <c r="F8811">
        <v>1139</v>
      </c>
      <c r="G8811" s="140" t="s">
        <v>492</v>
      </c>
      <c r="H8811">
        <v>0</v>
      </c>
      <c r="I8811" s="140" t="s">
        <v>17</v>
      </c>
    </row>
    <row r="8812" spans="1:9" hidden="1" x14ac:dyDescent="0.25">
      <c r="A8812">
        <v>2018</v>
      </c>
      <c r="B8812" s="140" t="s">
        <v>22</v>
      </c>
      <c r="C8812" s="140" t="s">
        <v>20</v>
      </c>
      <c r="D8812" s="140" t="s">
        <v>25</v>
      </c>
      <c r="E8812" s="140" t="s">
        <v>12</v>
      </c>
      <c r="F8812">
        <v>1082</v>
      </c>
      <c r="G8812" s="140" t="s">
        <v>492</v>
      </c>
      <c r="H8812">
        <v>0</v>
      </c>
      <c r="I8812" s="140" t="s">
        <v>17</v>
      </c>
    </row>
    <row r="8813" spans="1:9" hidden="1" x14ac:dyDescent="0.25">
      <c r="A8813">
        <v>2019</v>
      </c>
      <c r="B8813" s="140" t="s">
        <v>22</v>
      </c>
      <c r="C8813" s="140" t="s">
        <v>20</v>
      </c>
      <c r="D8813" s="140" t="s">
        <v>25</v>
      </c>
      <c r="E8813" s="140" t="s">
        <v>12</v>
      </c>
      <c r="F8813">
        <v>1389</v>
      </c>
      <c r="G8813" s="140" t="s">
        <v>492</v>
      </c>
      <c r="H8813">
        <v>0</v>
      </c>
      <c r="I8813" s="140" t="s">
        <v>17</v>
      </c>
    </row>
    <row r="8814" spans="1:9" hidden="1" x14ac:dyDescent="0.25">
      <c r="A8814">
        <v>2020</v>
      </c>
      <c r="B8814" s="140" t="s">
        <v>22</v>
      </c>
      <c r="C8814" s="140" t="s">
        <v>20</v>
      </c>
      <c r="D8814" s="140" t="s">
        <v>25</v>
      </c>
      <c r="E8814" s="140" t="s">
        <v>12</v>
      </c>
      <c r="F8814">
        <v>1435</v>
      </c>
      <c r="G8814" s="140" t="s">
        <v>492</v>
      </c>
      <c r="H8814">
        <v>0</v>
      </c>
      <c r="I8814" s="140" t="s">
        <v>17</v>
      </c>
    </row>
    <row r="8815" spans="1:9" hidden="1" x14ac:dyDescent="0.25">
      <c r="A8815">
        <v>2021</v>
      </c>
      <c r="B8815" s="140" t="s">
        <v>22</v>
      </c>
      <c r="C8815" s="140" t="s">
        <v>20</v>
      </c>
      <c r="D8815" s="140" t="s">
        <v>25</v>
      </c>
      <c r="E8815" s="140" t="s">
        <v>12</v>
      </c>
      <c r="F8815">
        <v>1440</v>
      </c>
      <c r="G8815" s="140" t="s">
        <v>492</v>
      </c>
      <c r="H8815">
        <v>0</v>
      </c>
      <c r="I8815" s="140" t="s">
        <v>17</v>
      </c>
    </row>
    <row r="8816" spans="1:9" hidden="1" x14ac:dyDescent="0.25">
      <c r="A8816">
        <v>2022</v>
      </c>
      <c r="B8816" s="140" t="s">
        <v>22</v>
      </c>
      <c r="C8816" s="140" t="s">
        <v>20</v>
      </c>
      <c r="D8816" s="140" t="s">
        <v>25</v>
      </c>
      <c r="E8816" s="140" t="s">
        <v>12</v>
      </c>
      <c r="F8816">
        <v>1421</v>
      </c>
      <c r="G8816" s="140" t="s">
        <v>492</v>
      </c>
      <c r="H8816">
        <v>0</v>
      </c>
      <c r="I8816" s="140" t="s">
        <v>17</v>
      </c>
    </row>
    <row r="8817" spans="1:9" hidden="1" x14ac:dyDescent="0.25">
      <c r="A8817">
        <v>2023</v>
      </c>
      <c r="B8817" s="140" t="s">
        <v>22</v>
      </c>
      <c r="C8817" s="140" t="s">
        <v>20</v>
      </c>
      <c r="D8817" s="140" t="s">
        <v>25</v>
      </c>
      <c r="E8817" s="140" t="s">
        <v>12</v>
      </c>
      <c r="F8817">
        <v>1308</v>
      </c>
      <c r="G8817" s="140" t="s">
        <v>492</v>
      </c>
      <c r="H8817">
        <v>0</v>
      </c>
      <c r="I8817" s="140" t="s">
        <v>17</v>
      </c>
    </row>
    <row r="8818" spans="1:9" hidden="1" x14ac:dyDescent="0.25">
      <c r="A8818">
        <v>2024</v>
      </c>
      <c r="B8818" s="140" t="s">
        <v>22</v>
      </c>
      <c r="C8818" s="140" t="s">
        <v>20</v>
      </c>
      <c r="D8818" s="140" t="s">
        <v>25</v>
      </c>
      <c r="E8818" s="140" t="s">
        <v>12</v>
      </c>
      <c r="F8818">
        <v>1436</v>
      </c>
      <c r="G8818" s="140" t="s">
        <v>492</v>
      </c>
      <c r="H8818">
        <v>0</v>
      </c>
      <c r="I8818" s="140" t="s">
        <v>17</v>
      </c>
    </row>
    <row r="8819" spans="1:9" hidden="1" x14ac:dyDescent="0.25">
      <c r="A8819">
        <v>2025</v>
      </c>
      <c r="B8819" s="140" t="s">
        <v>22</v>
      </c>
      <c r="C8819" s="140" t="s">
        <v>20</v>
      </c>
      <c r="D8819" s="140" t="s">
        <v>25</v>
      </c>
      <c r="E8819" s="140" t="s">
        <v>12</v>
      </c>
      <c r="F8819">
        <v>1437</v>
      </c>
      <c r="G8819" s="140" t="s">
        <v>492</v>
      </c>
      <c r="H8819">
        <v>0</v>
      </c>
      <c r="I8819" s="140" t="s">
        <v>17</v>
      </c>
    </row>
    <row r="8820" spans="1:9" hidden="1" x14ac:dyDescent="0.25">
      <c r="A8820">
        <v>1990</v>
      </c>
      <c r="B8820" s="140" t="s">
        <v>22</v>
      </c>
      <c r="C8820" s="140" t="s">
        <v>20</v>
      </c>
      <c r="D8820" s="140" t="s">
        <v>26</v>
      </c>
      <c r="E8820" s="140" t="s">
        <v>12</v>
      </c>
      <c r="F8820">
        <v>2508</v>
      </c>
      <c r="G8820" s="140" t="s">
        <v>493</v>
      </c>
      <c r="H8820">
        <v>0</v>
      </c>
      <c r="I8820" s="140" t="s">
        <v>17</v>
      </c>
    </row>
    <row r="8821" spans="1:9" hidden="1" x14ac:dyDescent="0.25">
      <c r="A8821">
        <v>1991</v>
      </c>
      <c r="B8821" s="140" t="s">
        <v>22</v>
      </c>
      <c r="C8821" s="140" t="s">
        <v>20</v>
      </c>
      <c r="D8821" s="140" t="s">
        <v>26</v>
      </c>
      <c r="E8821" s="140" t="s">
        <v>12</v>
      </c>
      <c r="F8821">
        <v>2336</v>
      </c>
      <c r="G8821" s="140" t="s">
        <v>493</v>
      </c>
      <c r="H8821">
        <v>0</v>
      </c>
      <c r="I8821" s="140" t="s">
        <v>17</v>
      </c>
    </row>
    <row r="8822" spans="1:9" hidden="1" x14ac:dyDescent="0.25">
      <c r="A8822">
        <v>1992</v>
      </c>
      <c r="B8822" s="140" t="s">
        <v>22</v>
      </c>
      <c r="C8822" s="140" t="s">
        <v>20</v>
      </c>
      <c r="D8822" s="140" t="s">
        <v>26</v>
      </c>
      <c r="E8822" s="140" t="s">
        <v>12</v>
      </c>
      <c r="F8822">
        <v>2309</v>
      </c>
      <c r="G8822" s="140" t="s">
        <v>493</v>
      </c>
      <c r="H8822">
        <v>0</v>
      </c>
      <c r="I8822" s="140" t="s">
        <v>17</v>
      </c>
    </row>
    <row r="8823" spans="1:9" hidden="1" x14ac:dyDescent="0.25">
      <c r="A8823">
        <v>1993</v>
      </c>
      <c r="B8823" s="140" t="s">
        <v>22</v>
      </c>
      <c r="C8823" s="140" t="s">
        <v>20</v>
      </c>
      <c r="D8823" s="140" t="s">
        <v>26</v>
      </c>
      <c r="E8823" s="140" t="s">
        <v>12</v>
      </c>
      <c r="F8823">
        <v>2303</v>
      </c>
      <c r="G8823" s="140" t="s">
        <v>493</v>
      </c>
      <c r="H8823">
        <v>0</v>
      </c>
      <c r="I8823" s="140" t="s">
        <v>17</v>
      </c>
    </row>
    <row r="8824" spans="1:9" hidden="1" x14ac:dyDescent="0.25">
      <c r="A8824">
        <v>1994</v>
      </c>
      <c r="B8824" s="140" t="s">
        <v>22</v>
      </c>
      <c r="C8824" s="140" t="s">
        <v>20</v>
      </c>
      <c r="D8824" s="140" t="s">
        <v>26</v>
      </c>
      <c r="E8824" s="140" t="s">
        <v>12</v>
      </c>
      <c r="F8824">
        <v>2331</v>
      </c>
      <c r="G8824" s="140" t="s">
        <v>493</v>
      </c>
      <c r="H8824">
        <v>0</v>
      </c>
      <c r="I8824" s="140" t="s">
        <v>17</v>
      </c>
    </row>
    <row r="8825" spans="1:9" hidden="1" x14ac:dyDescent="0.25">
      <c r="A8825">
        <v>1995</v>
      </c>
      <c r="B8825" s="140" t="s">
        <v>22</v>
      </c>
      <c r="C8825" s="140" t="s">
        <v>20</v>
      </c>
      <c r="D8825" s="140" t="s">
        <v>26</v>
      </c>
      <c r="E8825" s="140" t="s">
        <v>12</v>
      </c>
      <c r="F8825">
        <v>2197</v>
      </c>
      <c r="G8825" s="140" t="s">
        <v>493</v>
      </c>
      <c r="H8825">
        <v>0</v>
      </c>
      <c r="I8825" s="140" t="s">
        <v>17</v>
      </c>
    </row>
    <row r="8826" spans="1:9" hidden="1" x14ac:dyDescent="0.25">
      <c r="A8826">
        <v>1996</v>
      </c>
      <c r="B8826" s="140" t="s">
        <v>22</v>
      </c>
      <c r="C8826" s="140" t="s">
        <v>20</v>
      </c>
      <c r="D8826" s="140" t="s">
        <v>26</v>
      </c>
      <c r="E8826" s="140" t="s">
        <v>12</v>
      </c>
      <c r="F8826">
        <v>2168</v>
      </c>
      <c r="G8826" s="140" t="s">
        <v>493</v>
      </c>
      <c r="H8826">
        <v>0</v>
      </c>
      <c r="I8826" s="140" t="s">
        <v>17</v>
      </c>
    </row>
    <row r="8827" spans="1:9" hidden="1" x14ac:dyDescent="0.25">
      <c r="A8827">
        <v>1997</v>
      </c>
      <c r="B8827" s="140" t="s">
        <v>22</v>
      </c>
      <c r="C8827" s="140" t="s">
        <v>20</v>
      </c>
      <c r="D8827" s="140" t="s">
        <v>26</v>
      </c>
      <c r="E8827" s="140" t="s">
        <v>12</v>
      </c>
      <c r="F8827">
        <v>2423</v>
      </c>
      <c r="G8827" s="140" t="s">
        <v>493</v>
      </c>
      <c r="H8827">
        <v>0</v>
      </c>
      <c r="I8827" s="140" t="s">
        <v>17</v>
      </c>
    </row>
    <row r="8828" spans="1:9" hidden="1" x14ac:dyDescent="0.25">
      <c r="A8828">
        <v>1998</v>
      </c>
      <c r="B8828" s="140" t="s">
        <v>22</v>
      </c>
      <c r="C8828" s="140" t="s">
        <v>20</v>
      </c>
      <c r="D8828" s="140" t="s">
        <v>26</v>
      </c>
      <c r="E8828" s="140" t="s">
        <v>12</v>
      </c>
      <c r="F8828">
        <v>2459</v>
      </c>
      <c r="G8828" s="140" t="s">
        <v>493</v>
      </c>
      <c r="H8828">
        <v>0</v>
      </c>
      <c r="I8828" s="140" t="s">
        <v>17</v>
      </c>
    </row>
    <row r="8829" spans="1:9" hidden="1" x14ac:dyDescent="0.25">
      <c r="A8829">
        <v>1999</v>
      </c>
      <c r="B8829" s="140" t="s">
        <v>22</v>
      </c>
      <c r="C8829" s="140" t="s">
        <v>20</v>
      </c>
      <c r="D8829" s="140" t="s">
        <v>26</v>
      </c>
      <c r="E8829" s="140" t="s">
        <v>12</v>
      </c>
      <c r="F8829">
        <v>2332</v>
      </c>
      <c r="G8829" s="140" t="s">
        <v>493</v>
      </c>
      <c r="H8829">
        <v>0</v>
      </c>
      <c r="I8829" s="140" t="s">
        <v>17</v>
      </c>
    </row>
    <row r="8830" spans="1:9" hidden="1" x14ac:dyDescent="0.25">
      <c r="A8830">
        <v>2000</v>
      </c>
      <c r="B8830" s="140" t="s">
        <v>22</v>
      </c>
      <c r="C8830" s="140" t="s">
        <v>20</v>
      </c>
      <c r="D8830" s="140" t="s">
        <v>26</v>
      </c>
      <c r="E8830" s="140" t="s">
        <v>12</v>
      </c>
      <c r="F8830">
        <v>2543</v>
      </c>
      <c r="G8830" s="140" t="s">
        <v>493</v>
      </c>
      <c r="H8830">
        <v>0</v>
      </c>
      <c r="I8830" s="140" t="s">
        <v>17</v>
      </c>
    </row>
    <row r="8831" spans="1:9" hidden="1" x14ac:dyDescent="0.25">
      <c r="A8831">
        <v>2001</v>
      </c>
      <c r="B8831" s="140" t="s">
        <v>22</v>
      </c>
      <c r="C8831" s="140" t="s">
        <v>20</v>
      </c>
      <c r="D8831" s="140" t="s">
        <v>26</v>
      </c>
      <c r="E8831" s="140" t="s">
        <v>12</v>
      </c>
      <c r="F8831">
        <v>2450</v>
      </c>
      <c r="G8831" s="140" t="s">
        <v>493</v>
      </c>
      <c r="H8831">
        <v>0</v>
      </c>
      <c r="I8831" s="140" t="s">
        <v>17</v>
      </c>
    </row>
    <row r="8832" spans="1:9" hidden="1" x14ac:dyDescent="0.25">
      <c r="A8832">
        <v>2002</v>
      </c>
      <c r="B8832" s="140" t="s">
        <v>22</v>
      </c>
      <c r="C8832" s="140" t="s">
        <v>20</v>
      </c>
      <c r="D8832" s="140" t="s">
        <v>26</v>
      </c>
      <c r="E8832" s="140" t="s">
        <v>12</v>
      </c>
      <c r="F8832">
        <v>2392</v>
      </c>
      <c r="G8832" s="140" t="s">
        <v>493</v>
      </c>
      <c r="H8832">
        <v>0</v>
      </c>
      <c r="I8832" s="140" t="s">
        <v>17</v>
      </c>
    </row>
    <row r="8833" spans="1:9" hidden="1" x14ac:dyDescent="0.25">
      <c r="A8833">
        <v>2003</v>
      </c>
      <c r="B8833" s="140" t="s">
        <v>22</v>
      </c>
      <c r="C8833" s="140" t="s">
        <v>20</v>
      </c>
      <c r="D8833" s="140" t="s">
        <v>26</v>
      </c>
      <c r="E8833" s="140" t="s">
        <v>12</v>
      </c>
      <c r="F8833">
        <v>2353</v>
      </c>
      <c r="G8833" s="140" t="s">
        <v>493</v>
      </c>
      <c r="H8833">
        <v>0</v>
      </c>
      <c r="I8833" s="140" t="s">
        <v>17</v>
      </c>
    </row>
    <row r="8834" spans="1:9" hidden="1" x14ac:dyDescent="0.25">
      <c r="A8834">
        <v>2004</v>
      </c>
      <c r="B8834" s="140" t="s">
        <v>22</v>
      </c>
      <c r="C8834" s="140" t="s">
        <v>20</v>
      </c>
      <c r="D8834" s="140" t="s">
        <v>26</v>
      </c>
      <c r="E8834" s="140" t="s">
        <v>12</v>
      </c>
      <c r="F8834">
        <v>2374</v>
      </c>
      <c r="G8834" s="140" t="s">
        <v>493</v>
      </c>
      <c r="H8834">
        <v>0</v>
      </c>
      <c r="I8834" s="140" t="s">
        <v>17</v>
      </c>
    </row>
    <row r="8835" spans="1:9" hidden="1" x14ac:dyDescent="0.25">
      <c r="A8835">
        <v>2005</v>
      </c>
      <c r="B8835" s="140" t="s">
        <v>22</v>
      </c>
      <c r="C8835" s="140" t="s">
        <v>20</v>
      </c>
      <c r="D8835" s="140" t="s">
        <v>26</v>
      </c>
      <c r="E8835" s="140" t="s">
        <v>12</v>
      </c>
      <c r="F8835">
        <v>2427</v>
      </c>
      <c r="G8835" s="140" t="s">
        <v>493</v>
      </c>
      <c r="H8835">
        <v>0</v>
      </c>
      <c r="I8835" s="140" t="s">
        <v>17</v>
      </c>
    </row>
    <row r="8836" spans="1:9" hidden="1" x14ac:dyDescent="0.25">
      <c r="A8836">
        <v>2006</v>
      </c>
      <c r="B8836" s="140" t="s">
        <v>22</v>
      </c>
      <c r="C8836" s="140" t="s">
        <v>20</v>
      </c>
      <c r="D8836" s="140" t="s">
        <v>26</v>
      </c>
      <c r="E8836" s="140" t="s">
        <v>12</v>
      </c>
      <c r="F8836">
        <v>2470</v>
      </c>
      <c r="G8836" s="140" t="s">
        <v>493</v>
      </c>
      <c r="H8836">
        <v>0</v>
      </c>
      <c r="I8836" s="140" t="s">
        <v>17</v>
      </c>
    </row>
    <row r="8837" spans="1:9" hidden="1" x14ac:dyDescent="0.25">
      <c r="A8837">
        <v>2007</v>
      </c>
      <c r="B8837" s="140" t="s">
        <v>22</v>
      </c>
      <c r="C8837" s="140" t="s">
        <v>20</v>
      </c>
      <c r="D8837" s="140" t="s">
        <v>26</v>
      </c>
      <c r="E8837" s="140" t="s">
        <v>12</v>
      </c>
      <c r="F8837">
        <v>2606</v>
      </c>
      <c r="G8837" s="140" t="s">
        <v>493</v>
      </c>
      <c r="H8837">
        <v>0</v>
      </c>
      <c r="I8837" s="140" t="s">
        <v>17</v>
      </c>
    </row>
    <row r="8838" spans="1:9" hidden="1" x14ac:dyDescent="0.25">
      <c r="A8838">
        <v>2008</v>
      </c>
      <c r="B8838" s="140" t="s">
        <v>22</v>
      </c>
      <c r="C8838" s="140" t="s">
        <v>20</v>
      </c>
      <c r="D8838" s="140" t="s">
        <v>26</v>
      </c>
      <c r="E8838" s="140" t="s">
        <v>12</v>
      </c>
      <c r="F8838">
        <v>2731</v>
      </c>
      <c r="G8838" s="140" t="s">
        <v>493</v>
      </c>
      <c r="H8838">
        <v>0</v>
      </c>
      <c r="I8838" s="140" t="s">
        <v>17</v>
      </c>
    </row>
    <row r="8839" spans="1:9" hidden="1" x14ac:dyDescent="0.25">
      <c r="A8839">
        <v>2009</v>
      </c>
      <c r="B8839" s="140" t="s">
        <v>22</v>
      </c>
      <c r="C8839" s="140" t="s">
        <v>20</v>
      </c>
      <c r="D8839" s="140" t="s">
        <v>26</v>
      </c>
      <c r="E8839" s="140" t="s">
        <v>12</v>
      </c>
      <c r="F8839">
        <v>2787</v>
      </c>
      <c r="G8839" s="140" t="s">
        <v>493</v>
      </c>
      <c r="H8839">
        <v>0</v>
      </c>
      <c r="I8839" s="140" t="s">
        <v>17</v>
      </c>
    </row>
    <row r="8840" spans="1:9" hidden="1" x14ac:dyDescent="0.25">
      <c r="A8840">
        <v>2010</v>
      </c>
      <c r="B8840" s="140" t="s">
        <v>22</v>
      </c>
      <c r="C8840" s="140" t="s">
        <v>20</v>
      </c>
      <c r="D8840" s="140" t="s">
        <v>26</v>
      </c>
      <c r="E8840" s="140" t="s">
        <v>12</v>
      </c>
      <c r="F8840">
        <v>2754</v>
      </c>
      <c r="G8840" s="140" t="s">
        <v>493</v>
      </c>
      <c r="H8840">
        <v>0</v>
      </c>
      <c r="I8840" s="140" t="s">
        <v>17</v>
      </c>
    </row>
    <row r="8841" spans="1:9" hidden="1" x14ac:dyDescent="0.25">
      <c r="A8841">
        <v>2011</v>
      </c>
      <c r="B8841" s="140" t="s">
        <v>22</v>
      </c>
      <c r="C8841" s="140" t="s">
        <v>20</v>
      </c>
      <c r="D8841" s="140" t="s">
        <v>26</v>
      </c>
      <c r="E8841" s="140" t="s">
        <v>12</v>
      </c>
      <c r="F8841">
        <v>2892</v>
      </c>
      <c r="G8841" s="140" t="s">
        <v>493</v>
      </c>
      <c r="H8841">
        <v>0</v>
      </c>
      <c r="I8841" s="140" t="s">
        <v>17</v>
      </c>
    </row>
    <row r="8842" spans="1:9" hidden="1" x14ac:dyDescent="0.25">
      <c r="A8842">
        <v>2012</v>
      </c>
      <c r="B8842" s="140" t="s">
        <v>22</v>
      </c>
      <c r="C8842" s="140" t="s">
        <v>20</v>
      </c>
      <c r="D8842" s="140" t="s">
        <v>26</v>
      </c>
      <c r="E8842" s="140" t="s">
        <v>12</v>
      </c>
      <c r="F8842">
        <v>2877</v>
      </c>
      <c r="G8842" s="140" t="s">
        <v>493</v>
      </c>
      <c r="H8842">
        <v>0</v>
      </c>
      <c r="I8842" s="140" t="s">
        <v>17</v>
      </c>
    </row>
    <row r="8843" spans="1:9" hidden="1" x14ac:dyDescent="0.25">
      <c r="A8843">
        <v>2013</v>
      </c>
      <c r="B8843" s="140" t="s">
        <v>22</v>
      </c>
      <c r="C8843" s="140" t="s">
        <v>20</v>
      </c>
      <c r="D8843" s="140" t="s">
        <v>26</v>
      </c>
      <c r="E8843" s="140" t="s">
        <v>12</v>
      </c>
      <c r="F8843">
        <v>3015</v>
      </c>
      <c r="G8843" s="140" t="s">
        <v>493</v>
      </c>
      <c r="H8843">
        <v>0</v>
      </c>
      <c r="I8843" s="140" t="s">
        <v>17</v>
      </c>
    </row>
    <row r="8844" spans="1:9" hidden="1" x14ac:dyDescent="0.25">
      <c r="A8844">
        <v>2014</v>
      </c>
      <c r="B8844" s="140" t="s">
        <v>22</v>
      </c>
      <c r="C8844" s="140" t="s">
        <v>20</v>
      </c>
      <c r="D8844" s="140" t="s">
        <v>26</v>
      </c>
      <c r="E8844" s="140" t="s">
        <v>12</v>
      </c>
      <c r="F8844">
        <v>3098</v>
      </c>
      <c r="G8844" s="140" t="s">
        <v>493</v>
      </c>
      <c r="H8844">
        <v>0</v>
      </c>
      <c r="I8844" s="140" t="s">
        <v>17</v>
      </c>
    </row>
    <row r="8845" spans="1:9" hidden="1" x14ac:dyDescent="0.25">
      <c r="A8845">
        <v>2015</v>
      </c>
      <c r="B8845" s="140" t="s">
        <v>22</v>
      </c>
      <c r="C8845" s="140" t="s">
        <v>20</v>
      </c>
      <c r="D8845" s="140" t="s">
        <v>26</v>
      </c>
      <c r="E8845" s="140" t="s">
        <v>12</v>
      </c>
      <c r="F8845">
        <v>3069</v>
      </c>
      <c r="G8845" s="140" t="s">
        <v>493</v>
      </c>
      <c r="H8845">
        <v>0</v>
      </c>
      <c r="I8845" s="140" t="s">
        <v>17</v>
      </c>
    </row>
    <row r="8846" spans="1:9" hidden="1" x14ac:dyDescent="0.25">
      <c r="A8846">
        <v>2016</v>
      </c>
      <c r="B8846" s="140" t="s">
        <v>22</v>
      </c>
      <c r="C8846" s="140" t="s">
        <v>20</v>
      </c>
      <c r="D8846" s="140" t="s">
        <v>26</v>
      </c>
      <c r="E8846" s="140" t="s">
        <v>12</v>
      </c>
      <c r="F8846">
        <v>3138</v>
      </c>
      <c r="G8846" s="140" t="s">
        <v>493</v>
      </c>
      <c r="H8846">
        <v>0</v>
      </c>
      <c r="I8846" s="140" t="s">
        <v>17</v>
      </c>
    </row>
    <row r="8847" spans="1:9" hidden="1" x14ac:dyDescent="0.25">
      <c r="A8847">
        <v>2017</v>
      </c>
      <c r="B8847" s="140" t="s">
        <v>22</v>
      </c>
      <c r="C8847" s="140" t="s">
        <v>20</v>
      </c>
      <c r="D8847" s="140" t="s">
        <v>26</v>
      </c>
      <c r="E8847" s="140" t="s">
        <v>12</v>
      </c>
      <c r="F8847">
        <v>3136</v>
      </c>
      <c r="G8847" s="140" t="s">
        <v>493</v>
      </c>
      <c r="H8847">
        <v>0</v>
      </c>
      <c r="I8847" s="140" t="s">
        <v>17</v>
      </c>
    </row>
    <row r="8848" spans="1:9" hidden="1" x14ac:dyDescent="0.25">
      <c r="A8848">
        <v>2018</v>
      </c>
      <c r="B8848" s="140" t="s">
        <v>22</v>
      </c>
      <c r="C8848" s="140" t="s">
        <v>20</v>
      </c>
      <c r="D8848" s="140" t="s">
        <v>26</v>
      </c>
      <c r="E8848" s="140" t="s">
        <v>12</v>
      </c>
      <c r="F8848">
        <v>3142</v>
      </c>
      <c r="G8848" s="140" t="s">
        <v>493</v>
      </c>
      <c r="H8848">
        <v>0</v>
      </c>
      <c r="I8848" s="140" t="s">
        <v>17</v>
      </c>
    </row>
    <row r="8849" spans="1:9" hidden="1" x14ac:dyDescent="0.25">
      <c r="A8849">
        <v>2019</v>
      </c>
      <c r="B8849" s="140" t="s">
        <v>22</v>
      </c>
      <c r="C8849" s="140" t="s">
        <v>20</v>
      </c>
      <c r="D8849" s="140" t="s">
        <v>26</v>
      </c>
      <c r="E8849" s="140" t="s">
        <v>12</v>
      </c>
      <c r="F8849">
        <v>3327</v>
      </c>
      <c r="G8849" s="140" t="s">
        <v>493</v>
      </c>
      <c r="H8849">
        <v>0</v>
      </c>
      <c r="I8849" s="140" t="s">
        <v>17</v>
      </c>
    </row>
    <row r="8850" spans="1:9" hidden="1" x14ac:dyDescent="0.25">
      <c r="A8850">
        <v>2020</v>
      </c>
      <c r="B8850" s="140" t="s">
        <v>22</v>
      </c>
      <c r="C8850" s="140" t="s">
        <v>20</v>
      </c>
      <c r="D8850" s="140" t="s">
        <v>26</v>
      </c>
      <c r="E8850" s="140" t="s">
        <v>12</v>
      </c>
      <c r="F8850">
        <v>3239</v>
      </c>
      <c r="G8850" s="140" t="s">
        <v>493</v>
      </c>
      <c r="H8850">
        <v>0</v>
      </c>
      <c r="I8850" s="140" t="s">
        <v>17</v>
      </c>
    </row>
    <row r="8851" spans="1:9" hidden="1" x14ac:dyDescent="0.25">
      <c r="A8851">
        <v>2021</v>
      </c>
      <c r="B8851" s="140" t="s">
        <v>22</v>
      </c>
      <c r="C8851" s="140" t="s">
        <v>20</v>
      </c>
      <c r="D8851" s="140" t="s">
        <v>26</v>
      </c>
      <c r="E8851" s="140" t="s">
        <v>12</v>
      </c>
      <c r="F8851">
        <v>3169</v>
      </c>
      <c r="G8851" s="140" t="s">
        <v>493</v>
      </c>
      <c r="H8851">
        <v>0</v>
      </c>
      <c r="I8851" s="140" t="s">
        <v>17</v>
      </c>
    </row>
    <row r="8852" spans="1:9" hidden="1" x14ac:dyDescent="0.25">
      <c r="A8852">
        <v>2022</v>
      </c>
      <c r="B8852" s="140" t="s">
        <v>22</v>
      </c>
      <c r="C8852" s="140" t="s">
        <v>20</v>
      </c>
      <c r="D8852" s="140" t="s">
        <v>26</v>
      </c>
      <c r="E8852" s="140" t="s">
        <v>12</v>
      </c>
      <c r="F8852">
        <v>3365</v>
      </c>
      <c r="G8852" s="140" t="s">
        <v>493</v>
      </c>
      <c r="H8852">
        <v>0</v>
      </c>
      <c r="I8852" s="140" t="s">
        <v>17</v>
      </c>
    </row>
    <row r="8853" spans="1:9" hidden="1" x14ac:dyDescent="0.25">
      <c r="A8853">
        <v>2023</v>
      </c>
      <c r="B8853" s="140" t="s">
        <v>22</v>
      </c>
      <c r="C8853" s="140" t="s">
        <v>20</v>
      </c>
      <c r="D8853" s="140" t="s">
        <v>26</v>
      </c>
      <c r="E8853" s="140" t="s">
        <v>12</v>
      </c>
      <c r="F8853">
        <v>3173</v>
      </c>
      <c r="G8853" s="140" t="s">
        <v>493</v>
      </c>
      <c r="H8853">
        <v>0</v>
      </c>
      <c r="I8853" s="140" t="s">
        <v>17</v>
      </c>
    </row>
    <row r="8854" spans="1:9" hidden="1" x14ac:dyDescent="0.25">
      <c r="A8854">
        <v>2024</v>
      </c>
      <c r="B8854" s="140" t="s">
        <v>22</v>
      </c>
      <c r="C8854" s="140" t="s">
        <v>20</v>
      </c>
      <c r="D8854" s="140" t="s">
        <v>26</v>
      </c>
      <c r="E8854" s="140" t="s">
        <v>12</v>
      </c>
      <c r="F8854">
        <v>3230</v>
      </c>
      <c r="G8854" s="140" t="s">
        <v>493</v>
      </c>
      <c r="H8854">
        <v>0</v>
      </c>
      <c r="I8854" s="140" t="s">
        <v>17</v>
      </c>
    </row>
    <row r="8855" spans="1:9" hidden="1" x14ac:dyDescent="0.25">
      <c r="A8855">
        <v>2025</v>
      </c>
      <c r="B8855" s="140" t="s">
        <v>22</v>
      </c>
      <c r="C8855" s="140" t="s">
        <v>20</v>
      </c>
      <c r="D8855" s="140" t="s">
        <v>26</v>
      </c>
      <c r="E8855" s="140" t="s">
        <v>12</v>
      </c>
      <c r="F8855">
        <v>3305</v>
      </c>
      <c r="G8855" s="140" t="s">
        <v>493</v>
      </c>
      <c r="H8855">
        <v>0</v>
      </c>
      <c r="I8855" s="140" t="s">
        <v>17</v>
      </c>
    </row>
    <row r="8856" spans="1:9" hidden="1" x14ac:dyDescent="0.25">
      <c r="A8856">
        <v>1990</v>
      </c>
      <c r="B8856" s="140" t="s">
        <v>22</v>
      </c>
      <c r="C8856" s="140" t="s">
        <v>20</v>
      </c>
      <c r="D8856" s="140" t="s">
        <v>23</v>
      </c>
      <c r="E8856" s="140" t="s">
        <v>12</v>
      </c>
      <c r="F8856">
        <v>20123</v>
      </c>
      <c r="G8856" s="140" t="s">
        <v>240</v>
      </c>
      <c r="H8856">
        <v>0</v>
      </c>
      <c r="I8856" s="140" t="s">
        <v>17</v>
      </c>
    </row>
    <row r="8857" spans="1:9" hidden="1" x14ac:dyDescent="0.25">
      <c r="A8857">
        <v>1991</v>
      </c>
      <c r="B8857" s="140" t="s">
        <v>22</v>
      </c>
      <c r="C8857" s="140" t="s">
        <v>20</v>
      </c>
      <c r="D8857" s="140" t="s">
        <v>23</v>
      </c>
      <c r="E8857" s="140" t="s">
        <v>12</v>
      </c>
      <c r="F8857">
        <v>17990</v>
      </c>
      <c r="G8857" s="140" t="s">
        <v>240</v>
      </c>
      <c r="H8857">
        <v>0</v>
      </c>
      <c r="I8857" s="140" t="s">
        <v>17</v>
      </c>
    </row>
    <row r="8858" spans="1:9" hidden="1" x14ac:dyDescent="0.25">
      <c r="A8858">
        <v>1992</v>
      </c>
      <c r="B8858" s="140" t="s">
        <v>22</v>
      </c>
      <c r="C8858" s="140" t="s">
        <v>20</v>
      </c>
      <c r="D8858" s="140" t="s">
        <v>23</v>
      </c>
      <c r="E8858" s="140" t="s">
        <v>12</v>
      </c>
      <c r="F8858">
        <v>18164</v>
      </c>
      <c r="G8858" s="140" t="s">
        <v>240</v>
      </c>
      <c r="H8858">
        <v>0</v>
      </c>
      <c r="I8858" s="140" t="s">
        <v>17</v>
      </c>
    </row>
    <row r="8859" spans="1:9" hidden="1" x14ac:dyDescent="0.25">
      <c r="A8859">
        <v>1993</v>
      </c>
      <c r="B8859" s="140" t="s">
        <v>22</v>
      </c>
      <c r="C8859" s="140" t="s">
        <v>20</v>
      </c>
      <c r="D8859" s="140" t="s">
        <v>23</v>
      </c>
      <c r="E8859" s="140" t="s">
        <v>12</v>
      </c>
      <c r="F8859">
        <v>19084</v>
      </c>
      <c r="G8859" s="140" t="s">
        <v>240</v>
      </c>
      <c r="H8859">
        <v>0</v>
      </c>
      <c r="I8859" s="140" t="s">
        <v>17</v>
      </c>
    </row>
    <row r="8860" spans="1:9" hidden="1" x14ac:dyDescent="0.25">
      <c r="A8860">
        <v>1994</v>
      </c>
      <c r="B8860" s="140" t="s">
        <v>22</v>
      </c>
      <c r="C8860" s="140" t="s">
        <v>20</v>
      </c>
      <c r="D8860" s="140" t="s">
        <v>23</v>
      </c>
      <c r="E8860" s="140" t="s">
        <v>12</v>
      </c>
      <c r="F8860">
        <v>21366</v>
      </c>
      <c r="G8860" s="140" t="s">
        <v>240</v>
      </c>
      <c r="H8860">
        <v>0</v>
      </c>
      <c r="I8860" s="140" t="s">
        <v>17</v>
      </c>
    </row>
    <row r="8861" spans="1:9" hidden="1" x14ac:dyDescent="0.25">
      <c r="A8861">
        <v>1995</v>
      </c>
      <c r="B8861" s="140" t="s">
        <v>22</v>
      </c>
      <c r="C8861" s="140" t="s">
        <v>20</v>
      </c>
      <c r="D8861" s="140" t="s">
        <v>23</v>
      </c>
      <c r="E8861" s="140" t="s">
        <v>12</v>
      </c>
      <c r="F8861">
        <v>22636</v>
      </c>
      <c r="G8861" s="140" t="s">
        <v>240</v>
      </c>
      <c r="H8861">
        <v>0</v>
      </c>
      <c r="I8861" s="140" t="s">
        <v>17</v>
      </c>
    </row>
    <row r="8862" spans="1:9" hidden="1" x14ac:dyDescent="0.25">
      <c r="A8862">
        <v>1996</v>
      </c>
      <c r="B8862" s="140" t="s">
        <v>22</v>
      </c>
      <c r="C8862" s="140" t="s">
        <v>20</v>
      </c>
      <c r="D8862" s="140" t="s">
        <v>23</v>
      </c>
      <c r="E8862" s="140" t="s">
        <v>12</v>
      </c>
      <c r="F8862">
        <v>23551</v>
      </c>
      <c r="G8862" s="140" t="s">
        <v>240</v>
      </c>
      <c r="H8862">
        <v>0</v>
      </c>
      <c r="I8862" s="140" t="s">
        <v>17</v>
      </c>
    </row>
    <row r="8863" spans="1:9" hidden="1" x14ac:dyDescent="0.25">
      <c r="A8863">
        <v>1997</v>
      </c>
      <c r="B8863" s="140" t="s">
        <v>22</v>
      </c>
      <c r="C8863" s="140" t="s">
        <v>20</v>
      </c>
      <c r="D8863" s="140" t="s">
        <v>23</v>
      </c>
      <c r="E8863" s="140" t="s">
        <v>12</v>
      </c>
      <c r="F8863">
        <v>25730</v>
      </c>
      <c r="G8863" s="140" t="s">
        <v>240</v>
      </c>
      <c r="H8863">
        <v>0</v>
      </c>
      <c r="I8863" s="140" t="s">
        <v>17</v>
      </c>
    </row>
    <row r="8864" spans="1:9" hidden="1" x14ac:dyDescent="0.25">
      <c r="A8864">
        <v>1998</v>
      </c>
      <c r="B8864" s="140" t="s">
        <v>22</v>
      </c>
      <c r="C8864" s="140" t="s">
        <v>20</v>
      </c>
      <c r="D8864" s="140" t="s">
        <v>23</v>
      </c>
      <c r="E8864" s="140" t="s">
        <v>12</v>
      </c>
      <c r="F8864">
        <v>28110</v>
      </c>
      <c r="G8864" s="140" t="s">
        <v>240</v>
      </c>
      <c r="H8864">
        <v>0</v>
      </c>
      <c r="I8864" s="140" t="s">
        <v>17</v>
      </c>
    </row>
    <row r="8865" spans="1:9" hidden="1" x14ac:dyDescent="0.25">
      <c r="A8865">
        <v>1999</v>
      </c>
      <c r="B8865" s="140" t="s">
        <v>22</v>
      </c>
      <c r="C8865" s="140" t="s">
        <v>20</v>
      </c>
      <c r="D8865" s="140" t="s">
        <v>23</v>
      </c>
      <c r="E8865" s="140" t="s">
        <v>12</v>
      </c>
      <c r="F8865">
        <v>30573</v>
      </c>
      <c r="G8865" s="140" t="s">
        <v>240</v>
      </c>
      <c r="H8865">
        <v>0</v>
      </c>
      <c r="I8865" s="140" t="s">
        <v>17</v>
      </c>
    </row>
    <row r="8866" spans="1:9" hidden="1" x14ac:dyDescent="0.25">
      <c r="A8866">
        <v>2000</v>
      </c>
      <c r="B8866" s="140" t="s">
        <v>22</v>
      </c>
      <c r="C8866" s="140" t="s">
        <v>20</v>
      </c>
      <c r="D8866" s="140" t="s">
        <v>23</v>
      </c>
      <c r="E8866" s="140" t="s">
        <v>12</v>
      </c>
      <c r="F8866">
        <v>34471</v>
      </c>
      <c r="G8866" s="140" t="s">
        <v>240</v>
      </c>
      <c r="H8866">
        <v>0</v>
      </c>
      <c r="I8866" s="140" t="s">
        <v>17</v>
      </c>
    </row>
    <row r="8867" spans="1:9" hidden="1" x14ac:dyDescent="0.25">
      <c r="A8867">
        <v>2001</v>
      </c>
      <c r="B8867" s="140" t="s">
        <v>22</v>
      </c>
      <c r="C8867" s="140" t="s">
        <v>20</v>
      </c>
      <c r="D8867" s="140" t="s">
        <v>23</v>
      </c>
      <c r="E8867" s="140" t="s">
        <v>12</v>
      </c>
      <c r="F8867">
        <v>35841</v>
      </c>
      <c r="G8867" s="140" t="s">
        <v>240</v>
      </c>
      <c r="H8867">
        <v>0</v>
      </c>
      <c r="I8867" s="140" t="s">
        <v>17</v>
      </c>
    </row>
    <row r="8868" spans="1:9" hidden="1" x14ac:dyDescent="0.25">
      <c r="A8868">
        <v>2002</v>
      </c>
      <c r="B8868" s="140" t="s">
        <v>22</v>
      </c>
      <c r="C8868" s="140" t="s">
        <v>20</v>
      </c>
      <c r="D8868" s="140" t="s">
        <v>23</v>
      </c>
      <c r="E8868" s="140" t="s">
        <v>12</v>
      </c>
      <c r="F8868">
        <v>36987</v>
      </c>
      <c r="G8868" s="140" t="s">
        <v>240</v>
      </c>
      <c r="H8868">
        <v>0</v>
      </c>
      <c r="I8868" s="140" t="s">
        <v>17</v>
      </c>
    </row>
    <row r="8869" spans="1:9" hidden="1" x14ac:dyDescent="0.25">
      <c r="A8869">
        <v>2003</v>
      </c>
      <c r="B8869" s="140" t="s">
        <v>22</v>
      </c>
      <c r="C8869" s="140" t="s">
        <v>20</v>
      </c>
      <c r="D8869" s="140" t="s">
        <v>23</v>
      </c>
      <c r="E8869" s="140" t="s">
        <v>12</v>
      </c>
      <c r="F8869">
        <v>37978</v>
      </c>
      <c r="G8869" s="140" t="s">
        <v>240</v>
      </c>
      <c r="H8869">
        <v>0</v>
      </c>
      <c r="I8869" s="140" t="s">
        <v>17</v>
      </c>
    </row>
    <row r="8870" spans="1:9" hidden="1" x14ac:dyDescent="0.25">
      <c r="A8870">
        <v>2004</v>
      </c>
      <c r="B8870" s="140" t="s">
        <v>22</v>
      </c>
      <c r="C8870" s="140" t="s">
        <v>20</v>
      </c>
      <c r="D8870" s="140" t="s">
        <v>23</v>
      </c>
      <c r="E8870" s="140" t="s">
        <v>12</v>
      </c>
      <c r="F8870">
        <v>39757</v>
      </c>
      <c r="G8870" s="140" t="s">
        <v>240</v>
      </c>
      <c r="H8870">
        <v>0</v>
      </c>
      <c r="I8870" s="140" t="s">
        <v>17</v>
      </c>
    </row>
    <row r="8871" spans="1:9" hidden="1" x14ac:dyDescent="0.25">
      <c r="A8871">
        <v>2005</v>
      </c>
      <c r="B8871" s="140" t="s">
        <v>22</v>
      </c>
      <c r="C8871" s="140" t="s">
        <v>20</v>
      </c>
      <c r="D8871" s="140" t="s">
        <v>23</v>
      </c>
      <c r="E8871" s="140" t="s">
        <v>12</v>
      </c>
      <c r="F8871">
        <v>41123</v>
      </c>
      <c r="G8871" s="140" t="s">
        <v>240</v>
      </c>
      <c r="H8871">
        <v>0</v>
      </c>
      <c r="I8871" s="140" t="s">
        <v>17</v>
      </c>
    </row>
    <row r="8872" spans="1:9" hidden="1" x14ac:dyDescent="0.25">
      <c r="A8872">
        <v>2006</v>
      </c>
      <c r="B8872" s="140" t="s">
        <v>22</v>
      </c>
      <c r="C8872" s="140" t="s">
        <v>20</v>
      </c>
      <c r="D8872" s="140" t="s">
        <v>23</v>
      </c>
      <c r="E8872" s="140" t="s">
        <v>12</v>
      </c>
      <c r="F8872">
        <v>45354</v>
      </c>
      <c r="G8872" s="140" t="s">
        <v>240</v>
      </c>
      <c r="H8872">
        <v>0</v>
      </c>
      <c r="I8872" s="140" t="s">
        <v>17</v>
      </c>
    </row>
    <row r="8873" spans="1:9" hidden="1" x14ac:dyDescent="0.25">
      <c r="A8873">
        <v>2007</v>
      </c>
      <c r="B8873" s="140" t="s">
        <v>22</v>
      </c>
      <c r="C8873" s="140" t="s">
        <v>20</v>
      </c>
      <c r="D8873" s="140" t="s">
        <v>23</v>
      </c>
      <c r="E8873" s="140" t="s">
        <v>12</v>
      </c>
      <c r="F8873">
        <v>49687</v>
      </c>
      <c r="G8873" s="140" t="s">
        <v>240</v>
      </c>
      <c r="H8873">
        <v>0</v>
      </c>
      <c r="I8873" s="140" t="s">
        <v>17</v>
      </c>
    </row>
    <row r="8874" spans="1:9" hidden="1" x14ac:dyDescent="0.25">
      <c r="A8874">
        <v>2008</v>
      </c>
      <c r="B8874" s="140" t="s">
        <v>22</v>
      </c>
      <c r="C8874" s="140" t="s">
        <v>20</v>
      </c>
      <c r="D8874" s="140" t="s">
        <v>23</v>
      </c>
      <c r="E8874" s="140" t="s">
        <v>12</v>
      </c>
      <c r="F8874">
        <v>48406</v>
      </c>
      <c r="G8874" s="140" t="s">
        <v>240</v>
      </c>
      <c r="H8874">
        <v>0</v>
      </c>
      <c r="I8874" s="140" t="s">
        <v>17</v>
      </c>
    </row>
    <row r="8875" spans="1:9" hidden="1" x14ac:dyDescent="0.25">
      <c r="A8875">
        <v>2009</v>
      </c>
      <c r="B8875" s="140" t="s">
        <v>22</v>
      </c>
      <c r="C8875" s="140" t="s">
        <v>20</v>
      </c>
      <c r="D8875" s="140" t="s">
        <v>23</v>
      </c>
      <c r="E8875" s="140" t="s">
        <v>12</v>
      </c>
      <c r="F8875">
        <v>38501</v>
      </c>
      <c r="G8875" s="140" t="s">
        <v>240</v>
      </c>
      <c r="H8875">
        <v>0</v>
      </c>
      <c r="I8875" s="140" t="s">
        <v>17</v>
      </c>
    </row>
    <row r="8876" spans="1:9" hidden="1" x14ac:dyDescent="0.25">
      <c r="A8876">
        <v>2010</v>
      </c>
      <c r="B8876" s="140" t="s">
        <v>22</v>
      </c>
      <c r="C8876" s="140" t="s">
        <v>20</v>
      </c>
      <c r="D8876" s="140" t="s">
        <v>23</v>
      </c>
      <c r="E8876" s="140" t="s">
        <v>12</v>
      </c>
      <c r="F8876">
        <v>41307</v>
      </c>
      <c r="G8876" s="140" t="s">
        <v>240</v>
      </c>
      <c r="H8876">
        <v>0</v>
      </c>
      <c r="I8876" s="140" t="s">
        <v>17</v>
      </c>
    </row>
    <row r="8877" spans="1:9" hidden="1" x14ac:dyDescent="0.25">
      <c r="A8877">
        <v>2011</v>
      </c>
      <c r="B8877" s="140" t="s">
        <v>22</v>
      </c>
      <c r="C8877" s="140" t="s">
        <v>20</v>
      </c>
      <c r="D8877" s="140" t="s">
        <v>23</v>
      </c>
      <c r="E8877" s="140" t="s">
        <v>12</v>
      </c>
      <c r="F8877">
        <v>41105</v>
      </c>
      <c r="G8877" s="140" t="s">
        <v>240</v>
      </c>
      <c r="H8877">
        <v>0</v>
      </c>
      <c r="I8877" s="140" t="s">
        <v>17</v>
      </c>
    </row>
    <row r="8878" spans="1:9" hidden="1" x14ac:dyDescent="0.25">
      <c r="A8878">
        <v>2012</v>
      </c>
      <c r="B8878" s="140" t="s">
        <v>22</v>
      </c>
      <c r="C8878" s="140" t="s">
        <v>20</v>
      </c>
      <c r="D8878" s="140" t="s">
        <v>23</v>
      </c>
      <c r="E8878" s="140" t="s">
        <v>12</v>
      </c>
      <c r="F8878">
        <v>37643</v>
      </c>
      <c r="G8878" s="140" t="s">
        <v>240</v>
      </c>
      <c r="H8878">
        <v>0</v>
      </c>
      <c r="I8878" s="140" t="s">
        <v>17</v>
      </c>
    </row>
    <row r="8879" spans="1:9" hidden="1" x14ac:dyDescent="0.25">
      <c r="A8879">
        <v>2013</v>
      </c>
      <c r="B8879" s="140" t="s">
        <v>22</v>
      </c>
      <c r="C8879" s="140" t="s">
        <v>20</v>
      </c>
      <c r="D8879" s="140" t="s">
        <v>23</v>
      </c>
      <c r="E8879" s="140" t="s">
        <v>12</v>
      </c>
      <c r="F8879">
        <v>37625</v>
      </c>
      <c r="G8879" s="140" t="s">
        <v>240</v>
      </c>
      <c r="H8879">
        <v>0</v>
      </c>
      <c r="I8879" s="140" t="s">
        <v>17</v>
      </c>
    </row>
    <row r="8880" spans="1:9" hidden="1" x14ac:dyDescent="0.25">
      <c r="A8880">
        <v>2014</v>
      </c>
      <c r="B8880" s="140" t="s">
        <v>22</v>
      </c>
      <c r="C8880" s="140" t="s">
        <v>20</v>
      </c>
      <c r="D8880" s="140" t="s">
        <v>23</v>
      </c>
      <c r="E8880" s="140" t="s">
        <v>12</v>
      </c>
      <c r="F8880">
        <v>37508</v>
      </c>
      <c r="G8880" s="140" t="s">
        <v>240</v>
      </c>
      <c r="H8880">
        <v>0</v>
      </c>
      <c r="I8880" s="140" t="s">
        <v>17</v>
      </c>
    </row>
    <row r="8881" spans="1:9" hidden="1" x14ac:dyDescent="0.25">
      <c r="A8881">
        <v>2015</v>
      </c>
      <c r="B8881" s="140" t="s">
        <v>22</v>
      </c>
      <c r="C8881" s="140" t="s">
        <v>20</v>
      </c>
      <c r="D8881" s="140" t="s">
        <v>23</v>
      </c>
      <c r="E8881" s="140" t="s">
        <v>12</v>
      </c>
      <c r="F8881">
        <v>37511</v>
      </c>
      <c r="G8881" s="140" t="s">
        <v>240</v>
      </c>
      <c r="H8881">
        <v>0</v>
      </c>
      <c r="I8881" s="140" t="s">
        <v>17</v>
      </c>
    </row>
    <row r="8882" spans="1:9" hidden="1" x14ac:dyDescent="0.25">
      <c r="A8882">
        <v>2016</v>
      </c>
      <c r="B8882" s="140" t="s">
        <v>22</v>
      </c>
      <c r="C8882" s="140" t="s">
        <v>20</v>
      </c>
      <c r="D8882" s="140" t="s">
        <v>23</v>
      </c>
      <c r="E8882" s="140" t="s">
        <v>12</v>
      </c>
      <c r="F8882">
        <v>38820</v>
      </c>
      <c r="G8882" s="140" t="s">
        <v>240</v>
      </c>
      <c r="H8882">
        <v>0</v>
      </c>
      <c r="I8882" s="140" t="s">
        <v>17</v>
      </c>
    </row>
    <row r="8883" spans="1:9" hidden="1" x14ac:dyDescent="0.25">
      <c r="A8883">
        <v>2017</v>
      </c>
      <c r="B8883" s="140" t="s">
        <v>22</v>
      </c>
      <c r="C8883" s="140" t="s">
        <v>20</v>
      </c>
      <c r="D8883" s="140" t="s">
        <v>23</v>
      </c>
      <c r="E8883" s="140" t="s">
        <v>12</v>
      </c>
      <c r="F8883">
        <v>41723</v>
      </c>
      <c r="G8883" s="140" t="s">
        <v>240</v>
      </c>
      <c r="H8883">
        <v>0</v>
      </c>
      <c r="I8883" s="140" t="s">
        <v>17</v>
      </c>
    </row>
    <row r="8884" spans="1:9" hidden="1" x14ac:dyDescent="0.25">
      <c r="A8884">
        <v>2018</v>
      </c>
      <c r="B8884" s="140" t="s">
        <v>22</v>
      </c>
      <c r="C8884" s="140" t="s">
        <v>20</v>
      </c>
      <c r="D8884" s="140" t="s">
        <v>23</v>
      </c>
      <c r="E8884" s="140" t="s">
        <v>12</v>
      </c>
      <c r="F8884">
        <v>40385</v>
      </c>
      <c r="G8884" s="140" t="s">
        <v>240</v>
      </c>
      <c r="H8884">
        <v>0</v>
      </c>
      <c r="I8884" s="140" t="s">
        <v>17</v>
      </c>
    </row>
    <row r="8885" spans="1:9" hidden="1" x14ac:dyDescent="0.25">
      <c r="A8885">
        <v>2019</v>
      </c>
      <c r="B8885" s="140" t="s">
        <v>22</v>
      </c>
      <c r="C8885" s="140" t="s">
        <v>20</v>
      </c>
      <c r="D8885" s="140" t="s">
        <v>23</v>
      </c>
      <c r="E8885" s="140" t="s">
        <v>12</v>
      </c>
      <c r="F8885">
        <v>41816</v>
      </c>
      <c r="G8885" s="140" t="s">
        <v>240</v>
      </c>
      <c r="H8885">
        <v>0</v>
      </c>
      <c r="I8885" s="140" t="s">
        <v>17</v>
      </c>
    </row>
    <row r="8886" spans="1:9" hidden="1" x14ac:dyDescent="0.25">
      <c r="A8886">
        <v>2020</v>
      </c>
      <c r="B8886" s="140" t="s">
        <v>22</v>
      </c>
      <c r="C8886" s="140" t="s">
        <v>20</v>
      </c>
      <c r="D8886" s="140" t="s">
        <v>23</v>
      </c>
      <c r="E8886" s="140" t="s">
        <v>12</v>
      </c>
      <c r="F8886">
        <v>41077</v>
      </c>
      <c r="G8886" s="140" t="s">
        <v>240</v>
      </c>
      <c r="H8886">
        <v>0</v>
      </c>
      <c r="I8886" s="140" t="s">
        <v>17</v>
      </c>
    </row>
    <row r="8887" spans="1:9" hidden="1" x14ac:dyDescent="0.25">
      <c r="A8887">
        <v>2021</v>
      </c>
      <c r="B8887" s="140" t="s">
        <v>22</v>
      </c>
      <c r="C8887" s="140" t="s">
        <v>20</v>
      </c>
      <c r="D8887" s="140" t="s">
        <v>23</v>
      </c>
      <c r="E8887" s="140" t="s">
        <v>12</v>
      </c>
      <c r="F8887">
        <v>40714</v>
      </c>
      <c r="G8887" s="140" t="s">
        <v>240</v>
      </c>
      <c r="H8887">
        <v>0</v>
      </c>
      <c r="I8887" s="140" t="s">
        <v>17</v>
      </c>
    </row>
    <row r="8888" spans="1:9" hidden="1" x14ac:dyDescent="0.25">
      <c r="A8888">
        <v>2022</v>
      </c>
      <c r="B8888" s="140" t="s">
        <v>22</v>
      </c>
      <c r="C8888" s="140" t="s">
        <v>20</v>
      </c>
      <c r="D8888" s="140" t="s">
        <v>23</v>
      </c>
      <c r="E8888" s="140" t="s">
        <v>12</v>
      </c>
      <c r="F8888">
        <v>38243</v>
      </c>
      <c r="G8888" s="140" t="s">
        <v>240</v>
      </c>
      <c r="H8888">
        <v>0</v>
      </c>
      <c r="I8888" s="140" t="s">
        <v>17</v>
      </c>
    </row>
    <row r="8889" spans="1:9" hidden="1" x14ac:dyDescent="0.25">
      <c r="A8889">
        <v>2023</v>
      </c>
      <c r="B8889" s="140" t="s">
        <v>22</v>
      </c>
      <c r="C8889" s="140" t="s">
        <v>20</v>
      </c>
      <c r="D8889" s="140" t="s">
        <v>23</v>
      </c>
      <c r="E8889" s="140" t="s">
        <v>12</v>
      </c>
      <c r="F8889">
        <v>38302</v>
      </c>
      <c r="G8889" s="140" t="s">
        <v>240</v>
      </c>
      <c r="H8889">
        <v>0</v>
      </c>
      <c r="I8889" s="140" t="s">
        <v>17</v>
      </c>
    </row>
    <row r="8890" spans="1:9" hidden="1" x14ac:dyDescent="0.25">
      <c r="A8890">
        <v>2024</v>
      </c>
      <c r="B8890" s="140" t="s">
        <v>22</v>
      </c>
      <c r="C8890" s="140" t="s">
        <v>20</v>
      </c>
      <c r="D8890" s="140" t="s">
        <v>23</v>
      </c>
      <c r="E8890" s="140" t="s">
        <v>12</v>
      </c>
      <c r="F8890">
        <v>40251</v>
      </c>
      <c r="G8890" s="140" t="s">
        <v>240</v>
      </c>
      <c r="H8890">
        <v>0</v>
      </c>
      <c r="I8890" s="140" t="s">
        <v>17</v>
      </c>
    </row>
    <row r="8891" spans="1:9" hidden="1" x14ac:dyDescent="0.25">
      <c r="A8891">
        <v>2025</v>
      </c>
      <c r="B8891" s="140" t="s">
        <v>22</v>
      </c>
      <c r="C8891" s="140" t="s">
        <v>20</v>
      </c>
      <c r="D8891" s="140" t="s">
        <v>23</v>
      </c>
      <c r="E8891" s="140" t="s">
        <v>12</v>
      </c>
      <c r="F8891">
        <v>40151</v>
      </c>
      <c r="G8891" s="140" t="s">
        <v>240</v>
      </c>
      <c r="H8891">
        <v>0</v>
      </c>
      <c r="I8891" s="140" t="s">
        <v>17</v>
      </c>
    </row>
    <row r="8892" spans="1:9" hidden="1" x14ac:dyDescent="0.25">
      <c r="A8892">
        <v>2026</v>
      </c>
      <c r="B8892" s="140" t="s">
        <v>22</v>
      </c>
      <c r="C8892" s="140" t="s">
        <v>20</v>
      </c>
      <c r="D8892" s="140" t="s">
        <v>23</v>
      </c>
      <c r="E8892" s="140" t="s">
        <v>12</v>
      </c>
      <c r="F8892">
        <v>41315.379000000001</v>
      </c>
      <c r="G8892" s="140" t="s">
        <v>240</v>
      </c>
      <c r="H8892">
        <v>0</v>
      </c>
      <c r="I8892" s="140" t="s">
        <v>17</v>
      </c>
    </row>
    <row r="8893" spans="1:9" hidden="1" x14ac:dyDescent="0.25">
      <c r="A8893">
        <v>2027</v>
      </c>
      <c r="B8893" s="140" t="s">
        <v>22</v>
      </c>
      <c r="C8893" s="140" t="s">
        <v>20</v>
      </c>
      <c r="D8893" s="140" t="s">
        <v>23</v>
      </c>
      <c r="E8893" s="140" t="s">
        <v>12</v>
      </c>
      <c r="F8893">
        <v>42348.263480000001</v>
      </c>
      <c r="G8893" s="140" t="s">
        <v>240</v>
      </c>
      <c r="H8893">
        <v>0</v>
      </c>
      <c r="I8893" s="140" t="s">
        <v>17</v>
      </c>
    </row>
    <row r="8894" spans="1:9" hidden="1" x14ac:dyDescent="0.25">
      <c r="A8894">
        <v>2028</v>
      </c>
      <c r="B8894" s="140" t="s">
        <v>22</v>
      </c>
      <c r="C8894" s="140" t="s">
        <v>20</v>
      </c>
      <c r="D8894" s="140" t="s">
        <v>23</v>
      </c>
      <c r="E8894" s="140" t="s">
        <v>12</v>
      </c>
      <c r="F8894">
        <v>43152.88048</v>
      </c>
      <c r="G8894" s="140" t="s">
        <v>240</v>
      </c>
      <c r="H8894">
        <v>0</v>
      </c>
      <c r="I8894" s="140" t="s">
        <v>17</v>
      </c>
    </row>
    <row r="8895" spans="1:9" hidden="1" x14ac:dyDescent="0.25">
      <c r="A8895">
        <v>1990</v>
      </c>
      <c r="B8895" s="140" t="s">
        <v>22</v>
      </c>
      <c r="C8895" s="140" t="s">
        <v>20</v>
      </c>
      <c r="D8895" s="140" t="s">
        <v>28</v>
      </c>
      <c r="E8895" s="140" t="s">
        <v>12</v>
      </c>
      <c r="F8895">
        <v>16570</v>
      </c>
      <c r="G8895" s="140" t="s">
        <v>494</v>
      </c>
      <c r="H8895">
        <v>0</v>
      </c>
      <c r="I8895" s="140" t="s">
        <v>17</v>
      </c>
    </row>
    <row r="8896" spans="1:9" hidden="1" x14ac:dyDescent="0.25">
      <c r="A8896">
        <v>1991</v>
      </c>
      <c r="B8896" s="140" t="s">
        <v>22</v>
      </c>
      <c r="C8896" s="140" t="s">
        <v>20</v>
      </c>
      <c r="D8896" s="140" t="s">
        <v>28</v>
      </c>
      <c r="E8896" s="140" t="s">
        <v>12</v>
      </c>
      <c r="F8896">
        <v>14564</v>
      </c>
      <c r="G8896" s="140" t="s">
        <v>494</v>
      </c>
      <c r="H8896">
        <v>0</v>
      </c>
      <c r="I8896" s="140" t="s">
        <v>17</v>
      </c>
    </row>
    <row r="8897" spans="1:9" hidden="1" x14ac:dyDescent="0.25">
      <c r="A8897">
        <v>1992</v>
      </c>
      <c r="B8897" s="140" t="s">
        <v>22</v>
      </c>
      <c r="C8897" s="140" t="s">
        <v>20</v>
      </c>
      <c r="D8897" s="140" t="s">
        <v>28</v>
      </c>
      <c r="E8897" s="140" t="s">
        <v>12</v>
      </c>
      <c r="F8897">
        <v>14743</v>
      </c>
      <c r="G8897" s="140" t="s">
        <v>494</v>
      </c>
      <c r="H8897">
        <v>0</v>
      </c>
      <c r="I8897" s="140" t="s">
        <v>17</v>
      </c>
    </row>
    <row r="8898" spans="1:9" hidden="1" x14ac:dyDescent="0.25">
      <c r="A8898">
        <v>1993</v>
      </c>
      <c r="B8898" s="140" t="s">
        <v>22</v>
      </c>
      <c r="C8898" s="140" t="s">
        <v>20</v>
      </c>
      <c r="D8898" s="140" t="s">
        <v>28</v>
      </c>
      <c r="E8898" s="140" t="s">
        <v>12</v>
      </c>
      <c r="F8898">
        <v>15546</v>
      </c>
      <c r="G8898" s="140" t="s">
        <v>494</v>
      </c>
      <c r="H8898">
        <v>0</v>
      </c>
      <c r="I8898" s="140" t="s">
        <v>17</v>
      </c>
    </row>
    <row r="8899" spans="1:9" hidden="1" x14ac:dyDescent="0.25">
      <c r="A8899">
        <v>1994</v>
      </c>
      <c r="B8899" s="140" t="s">
        <v>22</v>
      </c>
      <c r="C8899" s="140" t="s">
        <v>20</v>
      </c>
      <c r="D8899" s="140" t="s">
        <v>28</v>
      </c>
      <c r="E8899" s="140" t="s">
        <v>12</v>
      </c>
      <c r="F8899">
        <v>17533</v>
      </c>
      <c r="G8899" s="140" t="s">
        <v>494</v>
      </c>
      <c r="H8899">
        <v>0</v>
      </c>
      <c r="I8899" s="140" t="s">
        <v>17</v>
      </c>
    </row>
    <row r="8900" spans="1:9" hidden="1" x14ac:dyDescent="0.25">
      <c r="A8900">
        <v>1995</v>
      </c>
      <c r="B8900" s="140" t="s">
        <v>22</v>
      </c>
      <c r="C8900" s="140" t="s">
        <v>20</v>
      </c>
      <c r="D8900" s="140" t="s">
        <v>28</v>
      </c>
      <c r="E8900" s="140" t="s">
        <v>12</v>
      </c>
      <c r="F8900">
        <v>18780</v>
      </c>
      <c r="G8900" s="140" t="s">
        <v>494</v>
      </c>
      <c r="H8900">
        <v>0</v>
      </c>
      <c r="I8900" s="140" t="s">
        <v>17</v>
      </c>
    </row>
    <row r="8901" spans="1:9" hidden="1" x14ac:dyDescent="0.25">
      <c r="A8901">
        <v>1996</v>
      </c>
      <c r="B8901" s="140" t="s">
        <v>22</v>
      </c>
      <c r="C8901" s="140" t="s">
        <v>20</v>
      </c>
      <c r="D8901" s="140" t="s">
        <v>28</v>
      </c>
      <c r="E8901" s="140" t="s">
        <v>12</v>
      </c>
      <c r="F8901">
        <v>19453</v>
      </c>
      <c r="G8901" s="140" t="s">
        <v>494</v>
      </c>
      <c r="H8901">
        <v>0</v>
      </c>
      <c r="I8901" s="140" t="s">
        <v>17</v>
      </c>
    </row>
    <row r="8902" spans="1:9" hidden="1" x14ac:dyDescent="0.25">
      <c r="A8902">
        <v>1997</v>
      </c>
      <c r="B8902" s="140" t="s">
        <v>22</v>
      </c>
      <c r="C8902" s="140" t="s">
        <v>20</v>
      </c>
      <c r="D8902" s="140" t="s">
        <v>28</v>
      </c>
      <c r="E8902" s="140" t="s">
        <v>12</v>
      </c>
      <c r="F8902">
        <v>21393</v>
      </c>
      <c r="G8902" s="140" t="s">
        <v>494</v>
      </c>
      <c r="H8902">
        <v>0</v>
      </c>
      <c r="I8902" s="140" t="s">
        <v>17</v>
      </c>
    </row>
    <row r="8903" spans="1:9" hidden="1" x14ac:dyDescent="0.25">
      <c r="A8903">
        <v>1998</v>
      </c>
      <c r="B8903" s="140" t="s">
        <v>22</v>
      </c>
      <c r="C8903" s="140" t="s">
        <v>20</v>
      </c>
      <c r="D8903" s="140" t="s">
        <v>28</v>
      </c>
      <c r="E8903" s="140" t="s">
        <v>12</v>
      </c>
      <c r="F8903">
        <v>23646</v>
      </c>
      <c r="G8903" s="140" t="s">
        <v>494</v>
      </c>
      <c r="H8903">
        <v>0</v>
      </c>
      <c r="I8903" s="140" t="s">
        <v>17</v>
      </c>
    </row>
    <row r="8904" spans="1:9" hidden="1" x14ac:dyDescent="0.25">
      <c r="A8904">
        <v>1999</v>
      </c>
      <c r="B8904" s="140" t="s">
        <v>22</v>
      </c>
      <c r="C8904" s="140" t="s">
        <v>20</v>
      </c>
      <c r="D8904" s="140" t="s">
        <v>28</v>
      </c>
      <c r="E8904" s="140" t="s">
        <v>12</v>
      </c>
      <c r="F8904">
        <v>25872</v>
      </c>
      <c r="G8904" s="140" t="s">
        <v>494</v>
      </c>
      <c r="H8904">
        <v>0</v>
      </c>
      <c r="I8904" s="140" t="s">
        <v>17</v>
      </c>
    </row>
    <row r="8905" spans="1:9" hidden="1" x14ac:dyDescent="0.25">
      <c r="A8905">
        <v>2000</v>
      </c>
      <c r="B8905" s="140" t="s">
        <v>22</v>
      </c>
      <c r="C8905" s="140" t="s">
        <v>20</v>
      </c>
      <c r="D8905" s="140" t="s">
        <v>28</v>
      </c>
      <c r="E8905" s="140" t="s">
        <v>12</v>
      </c>
      <c r="F8905">
        <v>29547</v>
      </c>
      <c r="G8905" s="140" t="s">
        <v>494</v>
      </c>
      <c r="H8905">
        <v>0</v>
      </c>
      <c r="I8905" s="140" t="s">
        <v>17</v>
      </c>
    </row>
    <row r="8906" spans="1:9" hidden="1" x14ac:dyDescent="0.25">
      <c r="A8906">
        <v>2001</v>
      </c>
      <c r="B8906" s="140" t="s">
        <v>22</v>
      </c>
      <c r="C8906" s="140" t="s">
        <v>20</v>
      </c>
      <c r="D8906" s="140" t="s">
        <v>28</v>
      </c>
      <c r="E8906" s="140" t="s">
        <v>12</v>
      </c>
      <c r="F8906">
        <v>30616</v>
      </c>
      <c r="G8906" s="140" t="s">
        <v>494</v>
      </c>
      <c r="H8906">
        <v>0</v>
      </c>
      <c r="I8906" s="140" t="s">
        <v>17</v>
      </c>
    </row>
    <row r="8907" spans="1:9" hidden="1" x14ac:dyDescent="0.25">
      <c r="A8907">
        <v>2002</v>
      </c>
      <c r="B8907" s="140" t="s">
        <v>22</v>
      </c>
      <c r="C8907" s="140" t="s">
        <v>20</v>
      </c>
      <c r="D8907" s="140" t="s">
        <v>28</v>
      </c>
      <c r="E8907" s="140" t="s">
        <v>12</v>
      </c>
      <c r="F8907">
        <v>31633</v>
      </c>
      <c r="G8907" s="140" t="s">
        <v>494</v>
      </c>
      <c r="H8907">
        <v>0</v>
      </c>
      <c r="I8907" s="140" t="s">
        <v>17</v>
      </c>
    </row>
    <row r="8908" spans="1:9" hidden="1" x14ac:dyDescent="0.25">
      <c r="A8908">
        <v>2003</v>
      </c>
      <c r="B8908" s="140" t="s">
        <v>22</v>
      </c>
      <c r="C8908" s="140" t="s">
        <v>20</v>
      </c>
      <c r="D8908" s="140" t="s">
        <v>28</v>
      </c>
      <c r="E8908" s="140" t="s">
        <v>12</v>
      </c>
      <c r="F8908">
        <v>32544</v>
      </c>
      <c r="G8908" s="140" t="s">
        <v>494</v>
      </c>
      <c r="H8908">
        <v>0</v>
      </c>
      <c r="I8908" s="140" t="s">
        <v>17</v>
      </c>
    </row>
    <row r="8909" spans="1:9" hidden="1" x14ac:dyDescent="0.25">
      <c r="A8909">
        <v>2004</v>
      </c>
      <c r="B8909" s="140" t="s">
        <v>22</v>
      </c>
      <c r="C8909" s="140" t="s">
        <v>20</v>
      </c>
      <c r="D8909" s="140" t="s">
        <v>28</v>
      </c>
      <c r="E8909" s="140" t="s">
        <v>12</v>
      </c>
      <c r="F8909">
        <v>34136</v>
      </c>
      <c r="G8909" s="140" t="s">
        <v>494</v>
      </c>
      <c r="H8909">
        <v>0</v>
      </c>
      <c r="I8909" s="140" t="s">
        <v>17</v>
      </c>
    </row>
    <row r="8910" spans="1:9" hidden="1" x14ac:dyDescent="0.25">
      <c r="A8910">
        <v>2005</v>
      </c>
      <c r="B8910" s="140" t="s">
        <v>22</v>
      </c>
      <c r="C8910" s="140" t="s">
        <v>20</v>
      </c>
      <c r="D8910" s="140" t="s">
        <v>28</v>
      </c>
      <c r="E8910" s="140" t="s">
        <v>12</v>
      </c>
      <c r="F8910">
        <v>35439</v>
      </c>
      <c r="G8910" s="140" t="s">
        <v>494</v>
      </c>
      <c r="H8910">
        <v>0</v>
      </c>
      <c r="I8910" s="140" t="s">
        <v>17</v>
      </c>
    </row>
    <row r="8911" spans="1:9" hidden="1" x14ac:dyDescent="0.25">
      <c r="A8911">
        <v>2006</v>
      </c>
      <c r="B8911" s="140" t="s">
        <v>22</v>
      </c>
      <c r="C8911" s="140" t="s">
        <v>20</v>
      </c>
      <c r="D8911" s="140" t="s">
        <v>28</v>
      </c>
      <c r="E8911" s="140" t="s">
        <v>12</v>
      </c>
      <c r="F8911">
        <v>39489</v>
      </c>
      <c r="G8911" s="140" t="s">
        <v>494</v>
      </c>
      <c r="H8911">
        <v>0</v>
      </c>
      <c r="I8911" s="140" t="s">
        <v>17</v>
      </c>
    </row>
    <row r="8912" spans="1:9" hidden="1" x14ac:dyDescent="0.25">
      <c r="A8912">
        <v>2007</v>
      </c>
      <c r="B8912" s="140" t="s">
        <v>22</v>
      </c>
      <c r="C8912" s="140" t="s">
        <v>20</v>
      </c>
      <c r="D8912" s="140" t="s">
        <v>28</v>
      </c>
      <c r="E8912" s="140" t="s">
        <v>12</v>
      </c>
      <c r="F8912">
        <v>43472</v>
      </c>
      <c r="G8912" s="140" t="s">
        <v>494</v>
      </c>
      <c r="H8912">
        <v>0</v>
      </c>
      <c r="I8912" s="140" t="s">
        <v>17</v>
      </c>
    </row>
    <row r="8913" spans="1:9" hidden="1" x14ac:dyDescent="0.25">
      <c r="A8913">
        <v>2008</v>
      </c>
      <c r="B8913" s="140" t="s">
        <v>22</v>
      </c>
      <c r="C8913" s="140" t="s">
        <v>20</v>
      </c>
      <c r="D8913" s="140" t="s">
        <v>28</v>
      </c>
      <c r="E8913" s="140" t="s">
        <v>12</v>
      </c>
      <c r="F8913">
        <v>42337</v>
      </c>
      <c r="G8913" s="140" t="s">
        <v>494</v>
      </c>
      <c r="H8913">
        <v>0</v>
      </c>
      <c r="I8913" s="140" t="s">
        <v>17</v>
      </c>
    </row>
    <row r="8914" spans="1:9" hidden="1" x14ac:dyDescent="0.25">
      <c r="A8914">
        <v>2009</v>
      </c>
      <c r="B8914" s="140" t="s">
        <v>22</v>
      </c>
      <c r="C8914" s="140" t="s">
        <v>20</v>
      </c>
      <c r="D8914" s="140" t="s">
        <v>28</v>
      </c>
      <c r="E8914" s="140" t="s">
        <v>12</v>
      </c>
      <c r="F8914">
        <v>32509</v>
      </c>
      <c r="G8914" s="140" t="s">
        <v>494</v>
      </c>
      <c r="H8914">
        <v>0</v>
      </c>
      <c r="I8914" s="140" t="s">
        <v>17</v>
      </c>
    </row>
    <row r="8915" spans="1:9" hidden="1" x14ac:dyDescent="0.25">
      <c r="A8915">
        <v>2010</v>
      </c>
      <c r="B8915" s="140" t="s">
        <v>22</v>
      </c>
      <c r="C8915" s="140" t="s">
        <v>20</v>
      </c>
      <c r="D8915" s="140" t="s">
        <v>28</v>
      </c>
      <c r="E8915" s="140" t="s">
        <v>12</v>
      </c>
      <c r="F8915">
        <v>35115</v>
      </c>
      <c r="G8915" s="140" t="s">
        <v>494</v>
      </c>
      <c r="H8915">
        <v>0</v>
      </c>
      <c r="I8915" s="140" t="s">
        <v>17</v>
      </c>
    </row>
    <row r="8916" spans="1:9" hidden="1" x14ac:dyDescent="0.25">
      <c r="A8916">
        <v>2011</v>
      </c>
      <c r="B8916" s="140" t="s">
        <v>22</v>
      </c>
      <c r="C8916" s="140" t="s">
        <v>20</v>
      </c>
      <c r="D8916" s="140" t="s">
        <v>28</v>
      </c>
      <c r="E8916" s="140" t="s">
        <v>12</v>
      </c>
      <c r="F8916">
        <v>35123</v>
      </c>
      <c r="G8916" s="140" t="s">
        <v>494</v>
      </c>
      <c r="H8916">
        <v>0</v>
      </c>
      <c r="I8916" s="140" t="s">
        <v>17</v>
      </c>
    </row>
    <row r="8917" spans="1:9" hidden="1" x14ac:dyDescent="0.25">
      <c r="A8917">
        <v>2012</v>
      </c>
      <c r="B8917" s="140" t="s">
        <v>22</v>
      </c>
      <c r="C8917" s="140" t="s">
        <v>20</v>
      </c>
      <c r="D8917" s="140" t="s">
        <v>28</v>
      </c>
      <c r="E8917" s="140" t="s">
        <v>12</v>
      </c>
      <c r="F8917">
        <v>31121</v>
      </c>
      <c r="G8917" s="140" t="s">
        <v>494</v>
      </c>
      <c r="H8917">
        <v>0</v>
      </c>
      <c r="I8917" s="140" t="s">
        <v>17</v>
      </c>
    </row>
    <row r="8918" spans="1:9" hidden="1" x14ac:dyDescent="0.25">
      <c r="A8918">
        <v>2013</v>
      </c>
      <c r="B8918" s="140" t="s">
        <v>22</v>
      </c>
      <c r="C8918" s="140" t="s">
        <v>20</v>
      </c>
      <c r="D8918" s="140" t="s">
        <v>28</v>
      </c>
      <c r="E8918" s="140" t="s">
        <v>12</v>
      </c>
      <c r="F8918">
        <v>31366</v>
      </c>
      <c r="G8918" s="140" t="s">
        <v>494</v>
      </c>
      <c r="H8918">
        <v>0</v>
      </c>
      <c r="I8918" s="140" t="s">
        <v>17</v>
      </c>
    </row>
    <row r="8919" spans="1:9" hidden="1" x14ac:dyDescent="0.25">
      <c r="A8919">
        <v>2014</v>
      </c>
      <c r="B8919" s="140" t="s">
        <v>22</v>
      </c>
      <c r="C8919" s="140" t="s">
        <v>20</v>
      </c>
      <c r="D8919" s="140" t="s">
        <v>28</v>
      </c>
      <c r="E8919" s="140" t="s">
        <v>12</v>
      </c>
      <c r="F8919">
        <v>31077</v>
      </c>
      <c r="G8919" s="140" t="s">
        <v>494</v>
      </c>
      <c r="H8919">
        <v>0</v>
      </c>
      <c r="I8919" s="140" t="s">
        <v>17</v>
      </c>
    </row>
    <row r="8920" spans="1:9" hidden="1" x14ac:dyDescent="0.25">
      <c r="A8920">
        <v>2015</v>
      </c>
      <c r="B8920" s="140" t="s">
        <v>22</v>
      </c>
      <c r="C8920" s="140" t="s">
        <v>20</v>
      </c>
      <c r="D8920" s="140" t="s">
        <v>28</v>
      </c>
      <c r="E8920" s="140" t="s">
        <v>12</v>
      </c>
      <c r="F8920">
        <v>31195</v>
      </c>
      <c r="G8920" s="140" t="s">
        <v>494</v>
      </c>
      <c r="H8920">
        <v>0</v>
      </c>
      <c r="I8920" s="140" t="s">
        <v>17</v>
      </c>
    </row>
    <row r="8921" spans="1:9" hidden="1" x14ac:dyDescent="0.25">
      <c r="A8921">
        <v>2016</v>
      </c>
      <c r="B8921" s="140" t="s">
        <v>22</v>
      </c>
      <c r="C8921" s="140" t="s">
        <v>20</v>
      </c>
      <c r="D8921" s="140" t="s">
        <v>28</v>
      </c>
      <c r="E8921" s="140" t="s">
        <v>12</v>
      </c>
      <c r="F8921">
        <v>32699</v>
      </c>
      <c r="G8921" s="140" t="s">
        <v>494</v>
      </c>
      <c r="H8921">
        <v>0</v>
      </c>
      <c r="I8921" s="140" t="s">
        <v>17</v>
      </c>
    </row>
    <row r="8922" spans="1:9" hidden="1" x14ac:dyDescent="0.25">
      <c r="A8922">
        <v>2017</v>
      </c>
      <c r="B8922" s="140" t="s">
        <v>22</v>
      </c>
      <c r="C8922" s="140" t="s">
        <v>20</v>
      </c>
      <c r="D8922" s="140" t="s">
        <v>28</v>
      </c>
      <c r="E8922" s="140" t="s">
        <v>12</v>
      </c>
      <c r="F8922">
        <v>35131</v>
      </c>
      <c r="G8922" s="140" t="s">
        <v>494</v>
      </c>
      <c r="H8922">
        <v>0</v>
      </c>
      <c r="I8922" s="140" t="s">
        <v>17</v>
      </c>
    </row>
    <row r="8923" spans="1:9" hidden="1" x14ac:dyDescent="0.25">
      <c r="A8923">
        <v>2018</v>
      </c>
      <c r="B8923" s="140" t="s">
        <v>22</v>
      </c>
      <c r="C8923" s="140" t="s">
        <v>20</v>
      </c>
      <c r="D8923" s="140" t="s">
        <v>28</v>
      </c>
      <c r="E8923" s="140" t="s">
        <v>12</v>
      </c>
      <c r="F8923">
        <v>33699</v>
      </c>
      <c r="G8923" s="140" t="s">
        <v>494</v>
      </c>
      <c r="H8923">
        <v>0</v>
      </c>
      <c r="I8923" s="140" t="s">
        <v>17</v>
      </c>
    </row>
    <row r="8924" spans="1:9" hidden="1" x14ac:dyDescent="0.25">
      <c r="A8924">
        <v>2019</v>
      </c>
      <c r="B8924" s="140" t="s">
        <v>22</v>
      </c>
      <c r="C8924" s="140" t="s">
        <v>20</v>
      </c>
      <c r="D8924" s="140" t="s">
        <v>28</v>
      </c>
      <c r="E8924" s="140" t="s">
        <v>12</v>
      </c>
      <c r="F8924">
        <v>35052</v>
      </c>
      <c r="G8924" s="140" t="s">
        <v>494</v>
      </c>
      <c r="H8924">
        <v>0</v>
      </c>
      <c r="I8924" s="140" t="s">
        <v>17</v>
      </c>
    </row>
    <row r="8925" spans="1:9" hidden="1" x14ac:dyDescent="0.25">
      <c r="A8925">
        <v>2020</v>
      </c>
      <c r="B8925" s="140" t="s">
        <v>22</v>
      </c>
      <c r="C8925" s="140" t="s">
        <v>20</v>
      </c>
      <c r="D8925" s="140" t="s">
        <v>28</v>
      </c>
      <c r="E8925" s="140" t="s">
        <v>12</v>
      </c>
      <c r="F8925">
        <v>34078</v>
      </c>
      <c r="G8925" s="140" t="s">
        <v>494</v>
      </c>
      <c r="H8925">
        <v>0</v>
      </c>
      <c r="I8925" s="140" t="s">
        <v>17</v>
      </c>
    </row>
    <row r="8926" spans="1:9" hidden="1" x14ac:dyDescent="0.25">
      <c r="A8926">
        <v>2021</v>
      </c>
      <c r="B8926" s="140" t="s">
        <v>22</v>
      </c>
      <c r="C8926" s="140" t="s">
        <v>20</v>
      </c>
      <c r="D8926" s="140" t="s">
        <v>28</v>
      </c>
      <c r="E8926" s="140" t="s">
        <v>12</v>
      </c>
      <c r="F8926">
        <v>33829</v>
      </c>
      <c r="G8926" s="140" t="s">
        <v>494</v>
      </c>
      <c r="H8926">
        <v>0</v>
      </c>
      <c r="I8926" s="140" t="s">
        <v>17</v>
      </c>
    </row>
    <row r="8927" spans="1:9" hidden="1" x14ac:dyDescent="0.25">
      <c r="A8927">
        <v>2022</v>
      </c>
      <c r="B8927" s="140" t="s">
        <v>22</v>
      </c>
      <c r="C8927" s="140" t="s">
        <v>20</v>
      </c>
      <c r="D8927" s="140" t="s">
        <v>28</v>
      </c>
      <c r="E8927" s="140" t="s">
        <v>12</v>
      </c>
      <c r="F8927">
        <v>31462</v>
      </c>
      <c r="G8927" s="140" t="s">
        <v>494</v>
      </c>
      <c r="H8927">
        <v>0</v>
      </c>
      <c r="I8927" s="140" t="s">
        <v>17</v>
      </c>
    </row>
    <row r="8928" spans="1:9" hidden="1" x14ac:dyDescent="0.25">
      <c r="A8928">
        <v>2023</v>
      </c>
      <c r="B8928" s="140" t="s">
        <v>22</v>
      </c>
      <c r="C8928" s="140" t="s">
        <v>20</v>
      </c>
      <c r="D8928" s="140" t="s">
        <v>28</v>
      </c>
      <c r="E8928" s="140" t="s">
        <v>12</v>
      </c>
      <c r="F8928">
        <v>30330</v>
      </c>
      <c r="G8928" s="140" t="s">
        <v>494</v>
      </c>
      <c r="H8928">
        <v>0</v>
      </c>
      <c r="I8928" s="140" t="s">
        <v>17</v>
      </c>
    </row>
    <row r="8929" spans="1:9" hidden="1" x14ac:dyDescent="0.25">
      <c r="A8929">
        <v>2024</v>
      </c>
      <c r="B8929" s="140" t="s">
        <v>22</v>
      </c>
      <c r="C8929" s="140" t="s">
        <v>20</v>
      </c>
      <c r="D8929" s="140" t="s">
        <v>28</v>
      </c>
      <c r="E8929" s="140" t="s">
        <v>12</v>
      </c>
      <c r="F8929">
        <v>31874</v>
      </c>
      <c r="G8929" s="140" t="s">
        <v>494</v>
      </c>
      <c r="H8929">
        <v>0</v>
      </c>
      <c r="I8929" s="140" t="s">
        <v>17</v>
      </c>
    </row>
    <row r="8930" spans="1:9" hidden="1" x14ac:dyDescent="0.25">
      <c r="A8930">
        <v>2025</v>
      </c>
      <c r="B8930" s="140" t="s">
        <v>22</v>
      </c>
      <c r="C8930" s="140" t="s">
        <v>20</v>
      </c>
      <c r="D8930" s="140" t="s">
        <v>28</v>
      </c>
      <c r="E8930" s="140" t="s">
        <v>12</v>
      </c>
      <c r="F8930">
        <v>31956</v>
      </c>
      <c r="G8930" s="140" t="s">
        <v>494</v>
      </c>
      <c r="H8930">
        <v>0</v>
      </c>
      <c r="I8930" s="140" t="s">
        <v>17</v>
      </c>
    </row>
    <row r="8931" spans="1:9" hidden="1" x14ac:dyDescent="0.25">
      <c r="A8931">
        <v>1990</v>
      </c>
      <c r="B8931" s="140" t="s">
        <v>22</v>
      </c>
      <c r="C8931" s="140" t="s">
        <v>20</v>
      </c>
      <c r="D8931" s="140" t="s">
        <v>29</v>
      </c>
      <c r="E8931" s="140" t="s">
        <v>12</v>
      </c>
      <c r="F8931">
        <v>3343</v>
      </c>
      <c r="G8931" s="140" t="s">
        <v>495</v>
      </c>
      <c r="H8931">
        <v>0</v>
      </c>
      <c r="I8931" s="140" t="s">
        <v>17</v>
      </c>
    </row>
    <row r="8932" spans="1:9" hidden="1" x14ac:dyDescent="0.25">
      <c r="A8932">
        <v>1991</v>
      </c>
      <c r="B8932" s="140" t="s">
        <v>22</v>
      </c>
      <c r="C8932" s="140" t="s">
        <v>20</v>
      </c>
      <c r="D8932" s="140" t="s">
        <v>29</v>
      </c>
      <c r="E8932" s="140" t="s">
        <v>12</v>
      </c>
      <c r="F8932">
        <v>3047</v>
      </c>
      <c r="G8932" s="140" t="s">
        <v>495</v>
      </c>
      <c r="H8932">
        <v>0</v>
      </c>
      <c r="I8932" s="140" t="s">
        <v>17</v>
      </c>
    </row>
    <row r="8933" spans="1:9" hidden="1" x14ac:dyDescent="0.25">
      <c r="A8933">
        <v>1992</v>
      </c>
      <c r="B8933" s="140" t="s">
        <v>22</v>
      </c>
      <c r="C8933" s="140" t="s">
        <v>20</v>
      </c>
      <c r="D8933" s="140" t="s">
        <v>29</v>
      </c>
      <c r="E8933" s="140" t="s">
        <v>12</v>
      </c>
      <c r="F8933">
        <v>3169</v>
      </c>
      <c r="G8933" s="140" t="s">
        <v>495</v>
      </c>
      <c r="H8933">
        <v>0</v>
      </c>
      <c r="I8933" s="140" t="s">
        <v>17</v>
      </c>
    </row>
    <row r="8934" spans="1:9" hidden="1" x14ac:dyDescent="0.25">
      <c r="A8934">
        <v>1993</v>
      </c>
      <c r="B8934" s="140" t="s">
        <v>22</v>
      </c>
      <c r="C8934" s="140" t="s">
        <v>20</v>
      </c>
      <c r="D8934" s="140" t="s">
        <v>29</v>
      </c>
      <c r="E8934" s="140" t="s">
        <v>12</v>
      </c>
      <c r="F8934">
        <v>3519</v>
      </c>
      <c r="G8934" s="140" t="s">
        <v>495</v>
      </c>
      <c r="H8934">
        <v>0</v>
      </c>
      <c r="I8934" s="140" t="s">
        <v>17</v>
      </c>
    </row>
    <row r="8935" spans="1:9" hidden="1" x14ac:dyDescent="0.25">
      <c r="A8935">
        <v>1994</v>
      </c>
      <c r="B8935" s="140" t="s">
        <v>22</v>
      </c>
      <c r="C8935" s="140" t="s">
        <v>20</v>
      </c>
      <c r="D8935" s="140" t="s">
        <v>29</v>
      </c>
      <c r="E8935" s="140" t="s">
        <v>12</v>
      </c>
      <c r="F8935">
        <v>3968</v>
      </c>
      <c r="G8935" s="140" t="s">
        <v>495</v>
      </c>
      <c r="H8935">
        <v>0</v>
      </c>
      <c r="I8935" s="140" t="s">
        <v>17</v>
      </c>
    </row>
    <row r="8936" spans="1:9" hidden="1" x14ac:dyDescent="0.25">
      <c r="A8936">
        <v>1995</v>
      </c>
      <c r="B8936" s="140" t="s">
        <v>22</v>
      </c>
      <c r="C8936" s="140" t="s">
        <v>20</v>
      </c>
      <c r="D8936" s="140" t="s">
        <v>29</v>
      </c>
      <c r="E8936" s="140" t="s">
        <v>12</v>
      </c>
      <c r="F8936">
        <v>3951</v>
      </c>
      <c r="G8936" s="140" t="s">
        <v>495</v>
      </c>
      <c r="H8936">
        <v>0</v>
      </c>
      <c r="I8936" s="140" t="s">
        <v>17</v>
      </c>
    </row>
    <row r="8937" spans="1:9" hidden="1" x14ac:dyDescent="0.25">
      <c r="A8937">
        <v>1996</v>
      </c>
      <c r="B8937" s="140" t="s">
        <v>22</v>
      </c>
      <c r="C8937" s="140" t="s">
        <v>20</v>
      </c>
      <c r="D8937" s="140" t="s">
        <v>29</v>
      </c>
      <c r="E8937" s="140" t="s">
        <v>12</v>
      </c>
      <c r="F8937">
        <v>3819</v>
      </c>
      <c r="G8937" s="140" t="s">
        <v>495</v>
      </c>
      <c r="H8937">
        <v>0</v>
      </c>
      <c r="I8937" s="140" t="s">
        <v>17</v>
      </c>
    </row>
    <row r="8938" spans="1:9" hidden="1" x14ac:dyDescent="0.25">
      <c r="A8938">
        <v>1997</v>
      </c>
      <c r="B8938" s="140" t="s">
        <v>22</v>
      </c>
      <c r="C8938" s="140" t="s">
        <v>20</v>
      </c>
      <c r="D8938" s="140" t="s">
        <v>29</v>
      </c>
      <c r="E8938" s="140" t="s">
        <v>12</v>
      </c>
      <c r="F8938">
        <v>4396</v>
      </c>
      <c r="G8938" s="140" t="s">
        <v>495</v>
      </c>
      <c r="H8938">
        <v>0</v>
      </c>
      <c r="I8938" s="140" t="s">
        <v>17</v>
      </c>
    </row>
    <row r="8939" spans="1:9" hidden="1" x14ac:dyDescent="0.25">
      <c r="A8939">
        <v>1998</v>
      </c>
      <c r="B8939" s="140" t="s">
        <v>22</v>
      </c>
      <c r="C8939" s="140" t="s">
        <v>20</v>
      </c>
      <c r="D8939" s="140" t="s">
        <v>29</v>
      </c>
      <c r="E8939" s="140" t="s">
        <v>12</v>
      </c>
      <c r="F8939">
        <v>4604</v>
      </c>
      <c r="G8939" s="140" t="s">
        <v>495</v>
      </c>
      <c r="H8939">
        <v>0</v>
      </c>
      <c r="I8939" s="140" t="s">
        <v>17</v>
      </c>
    </row>
    <row r="8940" spans="1:9" hidden="1" x14ac:dyDescent="0.25">
      <c r="A8940">
        <v>1999</v>
      </c>
      <c r="B8940" s="140" t="s">
        <v>22</v>
      </c>
      <c r="C8940" s="140" t="s">
        <v>20</v>
      </c>
      <c r="D8940" s="140" t="s">
        <v>29</v>
      </c>
      <c r="E8940" s="140" t="s">
        <v>12</v>
      </c>
      <c r="F8940">
        <v>4815</v>
      </c>
      <c r="G8940" s="140" t="s">
        <v>495</v>
      </c>
      <c r="H8940">
        <v>0</v>
      </c>
      <c r="I8940" s="140" t="s">
        <v>17</v>
      </c>
    </row>
    <row r="8941" spans="1:9" hidden="1" x14ac:dyDescent="0.25">
      <c r="A8941">
        <v>2000</v>
      </c>
      <c r="B8941" s="140" t="s">
        <v>22</v>
      </c>
      <c r="C8941" s="140" t="s">
        <v>20</v>
      </c>
      <c r="D8941" s="140" t="s">
        <v>29</v>
      </c>
      <c r="E8941" s="140" t="s">
        <v>12</v>
      </c>
      <c r="F8941">
        <v>5032</v>
      </c>
      <c r="G8941" s="140" t="s">
        <v>495</v>
      </c>
      <c r="H8941">
        <v>0</v>
      </c>
      <c r="I8941" s="140" t="s">
        <v>17</v>
      </c>
    </row>
    <row r="8942" spans="1:9" hidden="1" x14ac:dyDescent="0.25">
      <c r="A8942">
        <v>2001</v>
      </c>
      <c r="B8942" s="140" t="s">
        <v>22</v>
      </c>
      <c r="C8942" s="140" t="s">
        <v>20</v>
      </c>
      <c r="D8942" s="140" t="s">
        <v>29</v>
      </c>
      <c r="E8942" s="140" t="s">
        <v>12</v>
      </c>
      <c r="F8942">
        <v>5043</v>
      </c>
      <c r="G8942" s="140" t="s">
        <v>495</v>
      </c>
      <c r="H8942">
        <v>0</v>
      </c>
      <c r="I8942" s="140" t="s">
        <v>17</v>
      </c>
    </row>
    <row r="8943" spans="1:9" hidden="1" x14ac:dyDescent="0.25">
      <c r="A8943">
        <v>2002</v>
      </c>
      <c r="B8943" s="140" t="s">
        <v>22</v>
      </c>
      <c r="C8943" s="140" t="s">
        <v>20</v>
      </c>
      <c r="D8943" s="140" t="s">
        <v>29</v>
      </c>
      <c r="E8943" s="140" t="s">
        <v>12</v>
      </c>
      <c r="F8943">
        <v>5211</v>
      </c>
      <c r="G8943" s="140" t="s">
        <v>495</v>
      </c>
      <c r="H8943">
        <v>0</v>
      </c>
      <c r="I8943" s="140" t="s">
        <v>17</v>
      </c>
    </row>
    <row r="8944" spans="1:9" hidden="1" x14ac:dyDescent="0.25">
      <c r="A8944">
        <v>2003</v>
      </c>
      <c r="B8944" s="140" t="s">
        <v>22</v>
      </c>
      <c r="C8944" s="140" t="s">
        <v>20</v>
      </c>
      <c r="D8944" s="140" t="s">
        <v>29</v>
      </c>
      <c r="E8944" s="140" t="s">
        <v>12</v>
      </c>
      <c r="F8944">
        <v>5266</v>
      </c>
      <c r="G8944" s="140" t="s">
        <v>495</v>
      </c>
      <c r="H8944">
        <v>0</v>
      </c>
      <c r="I8944" s="140" t="s">
        <v>17</v>
      </c>
    </row>
    <row r="8945" spans="1:9" hidden="1" x14ac:dyDescent="0.25">
      <c r="A8945">
        <v>2004</v>
      </c>
      <c r="B8945" s="140" t="s">
        <v>22</v>
      </c>
      <c r="C8945" s="140" t="s">
        <v>20</v>
      </c>
      <c r="D8945" s="140" t="s">
        <v>29</v>
      </c>
      <c r="E8945" s="140" t="s">
        <v>12</v>
      </c>
      <c r="F8945">
        <v>5504</v>
      </c>
      <c r="G8945" s="140" t="s">
        <v>495</v>
      </c>
      <c r="H8945">
        <v>0</v>
      </c>
      <c r="I8945" s="140" t="s">
        <v>17</v>
      </c>
    </row>
    <row r="8946" spans="1:9" hidden="1" x14ac:dyDescent="0.25">
      <c r="A8946">
        <v>2005</v>
      </c>
      <c r="B8946" s="140" t="s">
        <v>22</v>
      </c>
      <c r="C8946" s="140" t="s">
        <v>20</v>
      </c>
      <c r="D8946" s="140" t="s">
        <v>29</v>
      </c>
      <c r="E8946" s="140" t="s">
        <v>12</v>
      </c>
      <c r="F8946">
        <v>4930</v>
      </c>
      <c r="G8946" s="140" t="s">
        <v>495</v>
      </c>
      <c r="H8946">
        <v>0</v>
      </c>
      <c r="I8946" s="140" t="s">
        <v>17</v>
      </c>
    </row>
    <row r="8947" spans="1:9" hidden="1" x14ac:dyDescent="0.25">
      <c r="A8947">
        <v>2006</v>
      </c>
      <c r="B8947" s="140" t="s">
        <v>22</v>
      </c>
      <c r="C8947" s="140" t="s">
        <v>20</v>
      </c>
      <c r="D8947" s="140" t="s">
        <v>29</v>
      </c>
      <c r="E8947" s="140" t="s">
        <v>12</v>
      </c>
      <c r="F8947">
        <v>5670</v>
      </c>
      <c r="G8947" s="140" t="s">
        <v>495</v>
      </c>
      <c r="H8947">
        <v>0</v>
      </c>
      <c r="I8947" s="140" t="s">
        <v>17</v>
      </c>
    </row>
    <row r="8948" spans="1:9" hidden="1" x14ac:dyDescent="0.25">
      <c r="A8948">
        <v>2007</v>
      </c>
      <c r="B8948" s="140" t="s">
        <v>22</v>
      </c>
      <c r="C8948" s="140" t="s">
        <v>20</v>
      </c>
      <c r="D8948" s="140" t="s">
        <v>29</v>
      </c>
      <c r="E8948" s="140" t="s">
        <v>12</v>
      </c>
      <c r="F8948">
        <v>5778</v>
      </c>
      <c r="G8948" s="140" t="s">
        <v>495</v>
      </c>
      <c r="H8948">
        <v>0</v>
      </c>
      <c r="I8948" s="140" t="s">
        <v>17</v>
      </c>
    </row>
    <row r="8949" spans="1:9" hidden="1" x14ac:dyDescent="0.25">
      <c r="A8949">
        <v>2008</v>
      </c>
      <c r="B8949" s="140" t="s">
        <v>22</v>
      </c>
      <c r="C8949" s="140" t="s">
        <v>20</v>
      </c>
      <c r="D8949" s="140" t="s">
        <v>29</v>
      </c>
      <c r="E8949" s="140" t="s">
        <v>12</v>
      </c>
      <c r="F8949">
        <v>5214</v>
      </c>
      <c r="G8949" s="140" t="s">
        <v>495</v>
      </c>
      <c r="H8949">
        <v>0</v>
      </c>
      <c r="I8949" s="140" t="s">
        <v>17</v>
      </c>
    </row>
    <row r="8950" spans="1:9" hidden="1" x14ac:dyDescent="0.25">
      <c r="A8950">
        <v>2009</v>
      </c>
      <c r="B8950" s="140" t="s">
        <v>22</v>
      </c>
      <c r="C8950" s="140" t="s">
        <v>20</v>
      </c>
      <c r="D8950" s="140" t="s">
        <v>29</v>
      </c>
      <c r="E8950" s="140" t="s">
        <v>12</v>
      </c>
      <c r="F8950">
        <v>3212</v>
      </c>
      <c r="G8950" s="140" t="s">
        <v>495</v>
      </c>
      <c r="H8950">
        <v>0</v>
      </c>
      <c r="I8950" s="140" t="s">
        <v>17</v>
      </c>
    </row>
    <row r="8951" spans="1:9" hidden="1" x14ac:dyDescent="0.25">
      <c r="A8951">
        <v>2010</v>
      </c>
      <c r="B8951" s="140" t="s">
        <v>22</v>
      </c>
      <c r="C8951" s="140" t="s">
        <v>20</v>
      </c>
      <c r="D8951" s="140" t="s">
        <v>29</v>
      </c>
      <c r="E8951" s="140" t="s">
        <v>12</v>
      </c>
      <c r="F8951">
        <v>4547</v>
      </c>
      <c r="G8951" s="140" t="s">
        <v>495</v>
      </c>
      <c r="H8951">
        <v>0</v>
      </c>
      <c r="I8951" s="140" t="s">
        <v>17</v>
      </c>
    </row>
    <row r="8952" spans="1:9" hidden="1" x14ac:dyDescent="0.25">
      <c r="A8952">
        <v>2011</v>
      </c>
      <c r="B8952" s="140" t="s">
        <v>22</v>
      </c>
      <c r="C8952" s="140" t="s">
        <v>20</v>
      </c>
      <c r="D8952" s="140" t="s">
        <v>29</v>
      </c>
      <c r="E8952" s="140" t="s">
        <v>12</v>
      </c>
      <c r="F8952">
        <v>4347</v>
      </c>
      <c r="G8952" s="140" t="s">
        <v>495</v>
      </c>
      <c r="H8952">
        <v>0</v>
      </c>
      <c r="I8952" s="140" t="s">
        <v>17</v>
      </c>
    </row>
    <row r="8953" spans="1:9" hidden="1" x14ac:dyDescent="0.25">
      <c r="A8953">
        <v>2012</v>
      </c>
      <c r="B8953" s="140" t="s">
        <v>22</v>
      </c>
      <c r="C8953" s="140" t="s">
        <v>20</v>
      </c>
      <c r="D8953" s="140" t="s">
        <v>29</v>
      </c>
      <c r="E8953" s="140" t="s">
        <v>12</v>
      </c>
      <c r="F8953">
        <v>4341</v>
      </c>
      <c r="G8953" s="140" t="s">
        <v>495</v>
      </c>
      <c r="H8953">
        <v>0</v>
      </c>
      <c r="I8953" s="140" t="s">
        <v>17</v>
      </c>
    </row>
    <row r="8954" spans="1:9" hidden="1" x14ac:dyDescent="0.25">
      <c r="A8954">
        <v>2013</v>
      </c>
      <c r="B8954" s="140" t="s">
        <v>22</v>
      </c>
      <c r="C8954" s="140" t="s">
        <v>20</v>
      </c>
      <c r="D8954" s="140" t="s">
        <v>29</v>
      </c>
      <c r="E8954" s="140" t="s">
        <v>12</v>
      </c>
      <c r="F8954">
        <v>4541</v>
      </c>
      <c r="G8954" s="140" t="s">
        <v>495</v>
      </c>
      <c r="H8954">
        <v>0</v>
      </c>
      <c r="I8954" s="140" t="s">
        <v>17</v>
      </c>
    </row>
    <row r="8955" spans="1:9" hidden="1" x14ac:dyDescent="0.25">
      <c r="A8955">
        <v>2014</v>
      </c>
      <c r="B8955" s="140" t="s">
        <v>22</v>
      </c>
      <c r="C8955" s="140" t="s">
        <v>20</v>
      </c>
      <c r="D8955" s="140" t="s">
        <v>29</v>
      </c>
      <c r="E8955" s="140" t="s">
        <v>12</v>
      </c>
      <c r="F8955">
        <v>4501</v>
      </c>
      <c r="G8955" s="140" t="s">
        <v>495</v>
      </c>
      <c r="H8955">
        <v>0</v>
      </c>
      <c r="I8955" s="140" t="s">
        <v>17</v>
      </c>
    </row>
    <row r="8956" spans="1:9" hidden="1" x14ac:dyDescent="0.25">
      <c r="A8956">
        <v>2015</v>
      </c>
      <c r="B8956" s="140" t="s">
        <v>22</v>
      </c>
      <c r="C8956" s="140" t="s">
        <v>20</v>
      </c>
      <c r="D8956" s="140" t="s">
        <v>29</v>
      </c>
      <c r="E8956" s="140" t="s">
        <v>12</v>
      </c>
      <c r="F8956">
        <v>4338</v>
      </c>
      <c r="G8956" s="140" t="s">
        <v>495</v>
      </c>
      <c r="H8956">
        <v>0</v>
      </c>
      <c r="I8956" s="140" t="s">
        <v>17</v>
      </c>
    </row>
    <row r="8957" spans="1:9" hidden="1" x14ac:dyDescent="0.25">
      <c r="A8957">
        <v>2016</v>
      </c>
      <c r="B8957" s="140" t="s">
        <v>22</v>
      </c>
      <c r="C8957" s="140" t="s">
        <v>20</v>
      </c>
      <c r="D8957" s="140" t="s">
        <v>29</v>
      </c>
      <c r="E8957" s="140" t="s">
        <v>12</v>
      </c>
      <c r="F8957">
        <v>4416</v>
      </c>
      <c r="G8957" s="140" t="s">
        <v>495</v>
      </c>
      <c r="H8957">
        <v>0</v>
      </c>
      <c r="I8957" s="140" t="s">
        <v>17</v>
      </c>
    </row>
    <row r="8958" spans="1:9" hidden="1" x14ac:dyDescent="0.25">
      <c r="A8958">
        <v>2017</v>
      </c>
      <c r="B8958" s="140" t="s">
        <v>22</v>
      </c>
      <c r="C8958" s="140" t="s">
        <v>20</v>
      </c>
      <c r="D8958" s="140" t="s">
        <v>29</v>
      </c>
      <c r="E8958" s="140" t="s">
        <v>12</v>
      </c>
      <c r="F8958">
        <v>4918</v>
      </c>
      <c r="G8958" s="140" t="s">
        <v>495</v>
      </c>
      <c r="H8958">
        <v>0</v>
      </c>
      <c r="I8958" s="140" t="s">
        <v>17</v>
      </c>
    </row>
    <row r="8959" spans="1:9" hidden="1" x14ac:dyDescent="0.25">
      <c r="A8959">
        <v>2018</v>
      </c>
      <c r="B8959" s="140" t="s">
        <v>22</v>
      </c>
      <c r="C8959" s="140" t="s">
        <v>20</v>
      </c>
      <c r="D8959" s="140" t="s">
        <v>29</v>
      </c>
      <c r="E8959" s="140" t="s">
        <v>12</v>
      </c>
      <c r="F8959">
        <v>4507</v>
      </c>
      <c r="G8959" s="140" t="s">
        <v>495</v>
      </c>
      <c r="H8959">
        <v>0</v>
      </c>
      <c r="I8959" s="140" t="s">
        <v>17</v>
      </c>
    </row>
    <row r="8960" spans="1:9" hidden="1" x14ac:dyDescent="0.25">
      <c r="A8960">
        <v>2019</v>
      </c>
      <c r="B8960" s="140" t="s">
        <v>22</v>
      </c>
      <c r="C8960" s="140" t="s">
        <v>20</v>
      </c>
      <c r="D8960" s="140" t="s">
        <v>29</v>
      </c>
      <c r="E8960" s="140" t="s">
        <v>12</v>
      </c>
      <c r="F8960">
        <v>4291</v>
      </c>
      <c r="G8960" s="140" t="s">
        <v>495</v>
      </c>
      <c r="H8960">
        <v>0</v>
      </c>
      <c r="I8960" s="140" t="s">
        <v>17</v>
      </c>
    </row>
    <row r="8961" spans="1:9" hidden="1" x14ac:dyDescent="0.25">
      <c r="A8961">
        <v>2020</v>
      </c>
      <c r="B8961" s="140" t="s">
        <v>22</v>
      </c>
      <c r="C8961" s="140" t="s">
        <v>20</v>
      </c>
      <c r="D8961" s="140" t="s">
        <v>29</v>
      </c>
      <c r="E8961" s="140" t="s">
        <v>12</v>
      </c>
      <c r="F8961">
        <v>4206</v>
      </c>
      <c r="G8961" s="140" t="s">
        <v>495</v>
      </c>
      <c r="H8961">
        <v>0</v>
      </c>
      <c r="I8961" s="140" t="s">
        <v>17</v>
      </c>
    </row>
    <row r="8962" spans="1:9" hidden="1" x14ac:dyDescent="0.25">
      <c r="A8962">
        <v>2021</v>
      </c>
      <c r="B8962" s="140" t="s">
        <v>22</v>
      </c>
      <c r="C8962" s="140" t="s">
        <v>20</v>
      </c>
      <c r="D8962" s="140" t="s">
        <v>29</v>
      </c>
      <c r="E8962" s="140" t="s">
        <v>12</v>
      </c>
      <c r="F8962">
        <v>4339</v>
      </c>
      <c r="G8962" s="140" t="s">
        <v>495</v>
      </c>
      <c r="H8962">
        <v>0</v>
      </c>
      <c r="I8962" s="140" t="s">
        <v>17</v>
      </c>
    </row>
    <row r="8963" spans="1:9" hidden="1" x14ac:dyDescent="0.25">
      <c r="A8963">
        <v>2022</v>
      </c>
      <c r="B8963" s="140" t="s">
        <v>22</v>
      </c>
      <c r="C8963" s="140" t="s">
        <v>20</v>
      </c>
      <c r="D8963" s="140" t="s">
        <v>29</v>
      </c>
      <c r="E8963" s="140" t="s">
        <v>12</v>
      </c>
      <c r="F8963">
        <v>3292</v>
      </c>
      <c r="G8963" s="140" t="s">
        <v>495</v>
      </c>
      <c r="H8963">
        <v>0</v>
      </c>
      <c r="I8963" s="140" t="s">
        <v>17</v>
      </c>
    </row>
    <row r="8964" spans="1:9" hidden="1" x14ac:dyDescent="0.25">
      <c r="A8964">
        <v>2023</v>
      </c>
      <c r="B8964" s="140" t="s">
        <v>22</v>
      </c>
      <c r="C8964" s="140" t="s">
        <v>20</v>
      </c>
      <c r="D8964" s="140" t="s">
        <v>29</v>
      </c>
      <c r="E8964" s="140" t="s">
        <v>12</v>
      </c>
      <c r="F8964">
        <v>3135</v>
      </c>
      <c r="G8964" s="140" t="s">
        <v>495</v>
      </c>
      <c r="H8964">
        <v>0</v>
      </c>
      <c r="I8964" s="140" t="s">
        <v>17</v>
      </c>
    </row>
    <row r="8965" spans="1:9" hidden="1" x14ac:dyDescent="0.25">
      <c r="A8965">
        <v>2024</v>
      </c>
      <c r="B8965" s="140" t="s">
        <v>22</v>
      </c>
      <c r="C8965" s="140" t="s">
        <v>20</v>
      </c>
      <c r="D8965" s="140" t="s">
        <v>29</v>
      </c>
      <c r="E8965" s="140" t="s">
        <v>12</v>
      </c>
      <c r="F8965">
        <v>3112</v>
      </c>
      <c r="G8965" s="140" t="s">
        <v>495</v>
      </c>
      <c r="H8965">
        <v>0</v>
      </c>
      <c r="I8965" s="140" t="s">
        <v>17</v>
      </c>
    </row>
    <row r="8966" spans="1:9" hidden="1" x14ac:dyDescent="0.25">
      <c r="A8966">
        <v>2025</v>
      </c>
      <c r="B8966" s="140" t="s">
        <v>22</v>
      </c>
      <c r="C8966" s="140" t="s">
        <v>20</v>
      </c>
      <c r="D8966" s="140" t="s">
        <v>29</v>
      </c>
      <c r="E8966" s="140" t="s">
        <v>12</v>
      </c>
      <c r="F8966">
        <v>2841</v>
      </c>
      <c r="G8966" s="140" t="s">
        <v>495</v>
      </c>
      <c r="H8966">
        <v>0</v>
      </c>
      <c r="I8966" s="140" t="s">
        <v>17</v>
      </c>
    </row>
    <row r="8967" spans="1:9" hidden="1" x14ac:dyDescent="0.25">
      <c r="A8967">
        <v>1990</v>
      </c>
      <c r="B8967" s="140" t="s">
        <v>22</v>
      </c>
      <c r="C8967" s="140" t="s">
        <v>20</v>
      </c>
      <c r="D8967" s="140" t="s">
        <v>30</v>
      </c>
      <c r="E8967" s="140" t="s">
        <v>12</v>
      </c>
      <c r="F8967">
        <v>2667</v>
      </c>
      <c r="G8967" s="140" t="s">
        <v>496</v>
      </c>
      <c r="H8967">
        <v>0</v>
      </c>
      <c r="I8967" s="140" t="s">
        <v>17</v>
      </c>
    </row>
    <row r="8968" spans="1:9" hidden="1" x14ac:dyDescent="0.25">
      <c r="A8968">
        <v>1991</v>
      </c>
      <c r="B8968" s="140" t="s">
        <v>22</v>
      </c>
      <c r="C8968" s="140" t="s">
        <v>20</v>
      </c>
      <c r="D8968" s="140" t="s">
        <v>30</v>
      </c>
      <c r="E8968" s="140" t="s">
        <v>12</v>
      </c>
      <c r="F8968">
        <v>2462</v>
      </c>
      <c r="G8968" s="140" t="s">
        <v>496</v>
      </c>
      <c r="H8968">
        <v>0</v>
      </c>
      <c r="I8968" s="140" t="s">
        <v>17</v>
      </c>
    </row>
    <row r="8969" spans="1:9" hidden="1" x14ac:dyDescent="0.25">
      <c r="A8969">
        <v>1992</v>
      </c>
      <c r="B8969" s="140" t="s">
        <v>22</v>
      </c>
      <c r="C8969" s="140" t="s">
        <v>20</v>
      </c>
      <c r="D8969" s="140" t="s">
        <v>30</v>
      </c>
      <c r="E8969" s="140" t="s">
        <v>12</v>
      </c>
      <c r="F8969">
        <v>2531</v>
      </c>
      <c r="G8969" s="140" t="s">
        <v>496</v>
      </c>
      <c r="H8969">
        <v>0</v>
      </c>
      <c r="I8969" s="140" t="s">
        <v>17</v>
      </c>
    </row>
    <row r="8970" spans="1:9" hidden="1" x14ac:dyDescent="0.25">
      <c r="A8970">
        <v>1993</v>
      </c>
      <c r="B8970" s="140" t="s">
        <v>22</v>
      </c>
      <c r="C8970" s="140" t="s">
        <v>20</v>
      </c>
      <c r="D8970" s="140" t="s">
        <v>30</v>
      </c>
      <c r="E8970" s="140" t="s">
        <v>12</v>
      </c>
      <c r="F8970">
        <v>2625</v>
      </c>
      <c r="G8970" s="140" t="s">
        <v>496</v>
      </c>
      <c r="H8970">
        <v>0</v>
      </c>
      <c r="I8970" s="140" t="s">
        <v>17</v>
      </c>
    </row>
    <row r="8971" spans="1:9" hidden="1" x14ac:dyDescent="0.25">
      <c r="A8971">
        <v>1994</v>
      </c>
      <c r="B8971" s="140" t="s">
        <v>22</v>
      </c>
      <c r="C8971" s="140" t="s">
        <v>20</v>
      </c>
      <c r="D8971" s="140" t="s">
        <v>30</v>
      </c>
      <c r="E8971" s="140" t="s">
        <v>12</v>
      </c>
      <c r="F8971">
        <v>2970</v>
      </c>
      <c r="G8971" s="140" t="s">
        <v>496</v>
      </c>
      <c r="H8971">
        <v>0</v>
      </c>
      <c r="I8971" s="140" t="s">
        <v>17</v>
      </c>
    </row>
    <row r="8972" spans="1:9" hidden="1" x14ac:dyDescent="0.25">
      <c r="A8972">
        <v>1995</v>
      </c>
      <c r="B8972" s="140" t="s">
        <v>22</v>
      </c>
      <c r="C8972" s="140" t="s">
        <v>20</v>
      </c>
      <c r="D8972" s="140" t="s">
        <v>30</v>
      </c>
      <c r="E8972" s="140" t="s">
        <v>12</v>
      </c>
      <c r="F8972">
        <v>3014</v>
      </c>
      <c r="G8972" s="140" t="s">
        <v>496</v>
      </c>
      <c r="H8972">
        <v>0</v>
      </c>
      <c r="I8972" s="140" t="s">
        <v>17</v>
      </c>
    </row>
    <row r="8973" spans="1:9" hidden="1" x14ac:dyDescent="0.25">
      <c r="A8973">
        <v>1996</v>
      </c>
      <c r="B8973" s="140" t="s">
        <v>22</v>
      </c>
      <c r="C8973" s="140" t="s">
        <v>20</v>
      </c>
      <c r="D8973" s="140" t="s">
        <v>30</v>
      </c>
      <c r="E8973" s="140" t="s">
        <v>12</v>
      </c>
      <c r="F8973">
        <v>3081</v>
      </c>
      <c r="G8973" s="140" t="s">
        <v>496</v>
      </c>
      <c r="H8973">
        <v>0</v>
      </c>
      <c r="I8973" s="140" t="s">
        <v>17</v>
      </c>
    </row>
    <row r="8974" spans="1:9" hidden="1" x14ac:dyDescent="0.25">
      <c r="A8974">
        <v>1997</v>
      </c>
      <c r="B8974" s="140" t="s">
        <v>22</v>
      </c>
      <c r="C8974" s="140" t="s">
        <v>20</v>
      </c>
      <c r="D8974" s="140" t="s">
        <v>30</v>
      </c>
      <c r="E8974" s="140" t="s">
        <v>12</v>
      </c>
      <c r="F8974">
        <v>3221</v>
      </c>
      <c r="G8974" s="140" t="s">
        <v>496</v>
      </c>
      <c r="H8974">
        <v>0</v>
      </c>
      <c r="I8974" s="140" t="s">
        <v>17</v>
      </c>
    </row>
    <row r="8975" spans="1:9" hidden="1" x14ac:dyDescent="0.25">
      <c r="A8975">
        <v>1998</v>
      </c>
      <c r="B8975" s="140" t="s">
        <v>22</v>
      </c>
      <c r="C8975" s="140" t="s">
        <v>20</v>
      </c>
      <c r="D8975" s="140" t="s">
        <v>30</v>
      </c>
      <c r="E8975" s="140" t="s">
        <v>12</v>
      </c>
      <c r="F8975">
        <v>3404</v>
      </c>
      <c r="G8975" s="140" t="s">
        <v>496</v>
      </c>
      <c r="H8975">
        <v>0</v>
      </c>
      <c r="I8975" s="140" t="s">
        <v>17</v>
      </c>
    </row>
    <row r="8976" spans="1:9" hidden="1" x14ac:dyDescent="0.25">
      <c r="A8976">
        <v>1999</v>
      </c>
      <c r="B8976" s="140" t="s">
        <v>22</v>
      </c>
      <c r="C8976" s="140" t="s">
        <v>20</v>
      </c>
      <c r="D8976" s="140" t="s">
        <v>30</v>
      </c>
      <c r="E8976" s="140" t="s">
        <v>12</v>
      </c>
      <c r="F8976">
        <v>3489</v>
      </c>
      <c r="G8976" s="140" t="s">
        <v>496</v>
      </c>
      <c r="H8976">
        <v>0</v>
      </c>
      <c r="I8976" s="140" t="s">
        <v>17</v>
      </c>
    </row>
    <row r="8977" spans="1:9" hidden="1" x14ac:dyDescent="0.25">
      <c r="A8977">
        <v>2000</v>
      </c>
      <c r="B8977" s="140" t="s">
        <v>22</v>
      </c>
      <c r="C8977" s="140" t="s">
        <v>20</v>
      </c>
      <c r="D8977" s="140" t="s">
        <v>30</v>
      </c>
      <c r="E8977" s="140" t="s">
        <v>12</v>
      </c>
      <c r="F8977">
        <v>3804</v>
      </c>
      <c r="G8977" s="140" t="s">
        <v>496</v>
      </c>
      <c r="H8977">
        <v>0</v>
      </c>
      <c r="I8977" s="140" t="s">
        <v>17</v>
      </c>
    </row>
    <row r="8978" spans="1:9" hidden="1" x14ac:dyDescent="0.25">
      <c r="A8978">
        <v>2001</v>
      </c>
      <c r="B8978" s="140" t="s">
        <v>22</v>
      </c>
      <c r="C8978" s="140" t="s">
        <v>20</v>
      </c>
      <c r="D8978" s="140" t="s">
        <v>30</v>
      </c>
      <c r="E8978" s="140" t="s">
        <v>12</v>
      </c>
      <c r="F8978">
        <v>4295</v>
      </c>
      <c r="G8978" s="140" t="s">
        <v>496</v>
      </c>
      <c r="H8978">
        <v>0</v>
      </c>
      <c r="I8978" s="140" t="s">
        <v>17</v>
      </c>
    </row>
    <row r="8979" spans="1:9" hidden="1" x14ac:dyDescent="0.25">
      <c r="A8979">
        <v>2002</v>
      </c>
      <c r="B8979" s="140" t="s">
        <v>22</v>
      </c>
      <c r="C8979" s="140" t="s">
        <v>20</v>
      </c>
      <c r="D8979" s="140" t="s">
        <v>30</v>
      </c>
      <c r="E8979" s="140" t="s">
        <v>12</v>
      </c>
      <c r="F8979">
        <v>4627</v>
      </c>
      <c r="G8979" s="140" t="s">
        <v>496</v>
      </c>
      <c r="H8979">
        <v>0</v>
      </c>
      <c r="I8979" s="140" t="s">
        <v>17</v>
      </c>
    </row>
    <row r="8980" spans="1:9" hidden="1" x14ac:dyDescent="0.25">
      <c r="A8980">
        <v>2003</v>
      </c>
      <c r="B8980" s="140" t="s">
        <v>22</v>
      </c>
      <c r="C8980" s="140" t="s">
        <v>20</v>
      </c>
      <c r="D8980" s="140" t="s">
        <v>30</v>
      </c>
      <c r="E8980" s="140" t="s">
        <v>12</v>
      </c>
      <c r="F8980">
        <v>4230</v>
      </c>
      <c r="G8980" s="140" t="s">
        <v>496</v>
      </c>
      <c r="H8980">
        <v>0</v>
      </c>
      <c r="I8980" s="140" t="s">
        <v>17</v>
      </c>
    </row>
    <row r="8981" spans="1:9" hidden="1" x14ac:dyDescent="0.25">
      <c r="A8981">
        <v>2004</v>
      </c>
      <c r="B8981" s="140" t="s">
        <v>22</v>
      </c>
      <c r="C8981" s="140" t="s">
        <v>20</v>
      </c>
      <c r="D8981" s="140" t="s">
        <v>30</v>
      </c>
      <c r="E8981" s="140" t="s">
        <v>12</v>
      </c>
      <c r="F8981">
        <v>4573</v>
      </c>
      <c r="G8981" s="140" t="s">
        <v>496</v>
      </c>
      <c r="H8981">
        <v>0</v>
      </c>
      <c r="I8981" s="140" t="s">
        <v>17</v>
      </c>
    </row>
    <row r="8982" spans="1:9" hidden="1" x14ac:dyDescent="0.25">
      <c r="A8982">
        <v>2005</v>
      </c>
      <c r="B8982" s="140" t="s">
        <v>22</v>
      </c>
      <c r="C8982" s="140" t="s">
        <v>20</v>
      </c>
      <c r="D8982" s="140" t="s">
        <v>30</v>
      </c>
      <c r="E8982" s="140" t="s">
        <v>12</v>
      </c>
      <c r="F8982">
        <v>4037</v>
      </c>
      <c r="G8982" s="140" t="s">
        <v>496</v>
      </c>
      <c r="H8982">
        <v>0</v>
      </c>
      <c r="I8982" s="140" t="s">
        <v>17</v>
      </c>
    </row>
    <row r="8983" spans="1:9" hidden="1" x14ac:dyDescent="0.25">
      <c r="A8983">
        <v>2006</v>
      </c>
      <c r="B8983" s="140" t="s">
        <v>22</v>
      </c>
      <c r="C8983" s="140" t="s">
        <v>20</v>
      </c>
      <c r="D8983" s="140" t="s">
        <v>30</v>
      </c>
      <c r="E8983" s="140" t="s">
        <v>12</v>
      </c>
      <c r="F8983">
        <v>4204</v>
      </c>
      <c r="G8983" s="140" t="s">
        <v>496</v>
      </c>
      <c r="H8983">
        <v>0</v>
      </c>
      <c r="I8983" s="140" t="s">
        <v>17</v>
      </c>
    </row>
    <row r="8984" spans="1:9" hidden="1" x14ac:dyDescent="0.25">
      <c r="A8984">
        <v>2007</v>
      </c>
      <c r="B8984" s="140" t="s">
        <v>22</v>
      </c>
      <c r="C8984" s="140" t="s">
        <v>20</v>
      </c>
      <c r="D8984" s="140" t="s">
        <v>30</v>
      </c>
      <c r="E8984" s="140" t="s">
        <v>12</v>
      </c>
      <c r="F8984">
        <v>4512</v>
      </c>
      <c r="G8984" s="140" t="s">
        <v>496</v>
      </c>
      <c r="H8984">
        <v>0</v>
      </c>
      <c r="I8984" s="140" t="s">
        <v>17</v>
      </c>
    </row>
    <row r="8985" spans="1:9" hidden="1" x14ac:dyDescent="0.25">
      <c r="A8985">
        <v>2008</v>
      </c>
      <c r="B8985" s="140" t="s">
        <v>22</v>
      </c>
      <c r="C8985" s="140" t="s">
        <v>20</v>
      </c>
      <c r="D8985" s="140" t="s">
        <v>30</v>
      </c>
      <c r="E8985" s="140" t="s">
        <v>12</v>
      </c>
      <c r="F8985">
        <v>4221</v>
      </c>
      <c r="G8985" s="140" t="s">
        <v>496</v>
      </c>
      <c r="H8985">
        <v>0</v>
      </c>
      <c r="I8985" s="140" t="s">
        <v>17</v>
      </c>
    </row>
    <row r="8986" spans="1:9" hidden="1" x14ac:dyDescent="0.25">
      <c r="A8986">
        <v>2009</v>
      </c>
      <c r="B8986" s="140" t="s">
        <v>22</v>
      </c>
      <c r="C8986" s="140" t="s">
        <v>20</v>
      </c>
      <c r="D8986" s="140" t="s">
        <v>30</v>
      </c>
      <c r="E8986" s="140" t="s">
        <v>12</v>
      </c>
      <c r="F8986">
        <v>4447</v>
      </c>
      <c r="G8986" s="140" t="s">
        <v>496</v>
      </c>
      <c r="H8986">
        <v>0</v>
      </c>
      <c r="I8986" s="140" t="s">
        <v>17</v>
      </c>
    </row>
    <row r="8987" spans="1:9" hidden="1" x14ac:dyDescent="0.25">
      <c r="A8987">
        <v>2010</v>
      </c>
      <c r="B8987" s="140" t="s">
        <v>22</v>
      </c>
      <c r="C8987" s="140" t="s">
        <v>20</v>
      </c>
      <c r="D8987" s="140" t="s">
        <v>30</v>
      </c>
      <c r="E8987" s="140" t="s">
        <v>12</v>
      </c>
      <c r="F8987">
        <v>4581</v>
      </c>
      <c r="G8987" s="140" t="s">
        <v>496</v>
      </c>
      <c r="H8987">
        <v>0</v>
      </c>
      <c r="I8987" s="140" t="s">
        <v>17</v>
      </c>
    </row>
    <row r="8988" spans="1:9" hidden="1" x14ac:dyDescent="0.25">
      <c r="A8988">
        <v>2011</v>
      </c>
      <c r="B8988" s="140" t="s">
        <v>22</v>
      </c>
      <c r="C8988" s="140" t="s">
        <v>20</v>
      </c>
      <c r="D8988" s="140" t="s">
        <v>30</v>
      </c>
      <c r="E8988" s="140" t="s">
        <v>12</v>
      </c>
      <c r="F8988">
        <v>5428</v>
      </c>
      <c r="G8988" s="140" t="s">
        <v>496</v>
      </c>
      <c r="H8988">
        <v>0</v>
      </c>
      <c r="I8988" s="140" t="s">
        <v>17</v>
      </c>
    </row>
    <row r="8989" spans="1:9" hidden="1" x14ac:dyDescent="0.25">
      <c r="A8989">
        <v>2012</v>
      </c>
      <c r="B8989" s="140" t="s">
        <v>22</v>
      </c>
      <c r="C8989" s="140" t="s">
        <v>20</v>
      </c>
      <c r="D8989" s="140" t="s">
        <v>30</v>
      </c>
      <c r="E8989" s="140" t="s">
        <v>12</v>
      </c>
      <c r="F8989">
        <v>4879</v>
      </c>
      <c r="G8989" s="140" t="s">
        <v>496</v>
      </c>
      <c r="H8989">
        <v>0</v>
      </c>
      <c r="I8989" s="140" t="s">
        <v>17</v>
      </c>
    </row>
    <row r="8990" spans="1:9" hidden="1" x14ac:dyDescent="0.25">
      <c r="A8990">
        <v>2013</v>
      </c>
      <c r="B8990" s="140" t="s">
        <v>22</v>
      </c>
      <c r="C8990" s="140" t="s">
        <v>20</v>
      </c>
      <c r="D8990" s="140" t="s">
        <v>30</v>
      </c>
      <c r="E8990" s="140" t="s">
        <v>12</v>
      </c>
      <c r="F8990">
        <v>5133</v>
      </c>
      <c r="G8990" s="140" t="s">
        <v>496</v>
      </c>
      <c r="H8990">
        <v>0</v>
      </c>
      <c r="I8990" s="140" t="s">
        <v>17</v>
      </c>
    </row>
    <row r="8991" spans="1:9" hidden="1" x14ac:dyDescent="0.25">
      <c r="A8991">
        <v>2014</v>
      </c>
      <c r="B8991" s="140" t="s">
        <v>22</v>
      </c>
      <c r="C8991" s="140" t="s">
        <v>20</v>
      </c>
      <c r="D8991" s="140" t="s">
        <v>30</v>
      </c>
      <c r="E8991" s="140" t="s">
        <v>12</v>
      </c>
      <c r="F8991">
        <v>4943</v>
      </c>
      <c r="G8991" s="140" t="s">
        <v>496</v>
      </c>
      <c r="H8991">
        <v>0</v>
      </c>
      <c r="I8991" s="140" t="s">
        <v>17</v>
      </c>
    </row>
    <row r="8992" spans="1:9" hidden="1" x14ac:dyDescent="0.25">
      <c r="A8992">
        <v>2015</v>
      </c>
      <c r="B8992" s="140" t="s">
        <v>22</v>
      </c>
      <c r="C8992" s="140" t="s">
        <v>20</v>
      </c>
      <c r="D8992" s="140" t="s">
        <v>30</v>
      </c>
      <c r="E8992" s="140" t="s">
        <v>12</v>
      </c>
      <c r="F8992">
        <v>4966</v>
      </c>
      <c r="G8992" s="140" t="s">
        <v>496</v>
      </c>
      <c r="H8992">
        <v>0</v>
      </c>
      <c r="I8992" s="140" t="s">
        <v>17</v>
      </c>
    </row>
    <row r="8993" spans="1:9" hidden="1" x14ac:dyDescent="0.25">
      <c r="A8993">
        <v>2016</v>
      </c>
      <c r="B8993" s="140" t="s">
        <v>22</v>
      </c>
      <c r="C8993" s="140" t="s">
        <v>20</v>
      </c>
      <c r="D8993" s="140" t="s">
        <v>30</v>
      </c>
      <c r="E8993" s="140" t="s">
        <v>12</v>
      </c>
      <c r="F8993">
        <v>5605</v>
      </c>
      <c r="G8993" s="140" t="s">
        <v>496</v>
      </c>
      <c r="H8993">
        <v>0</v>
      </c>
      <c r="I8993" s="140" t="s">
        <v>17</v>
      </c>
    </row>
    <row r="8994" spans="1:9" hidden="1" x14ac:dyDescent="0.25">
      <c r="A8994">
        <v>2017</v>
      </c>
      <c r="B8994" s="140" t="s">
        <v>22</v>
      </c>
      <c r="C8994" s="140" t="s">
        <v>20</v>
      </c>
      <c r="D8994" s="140" t="s">
        <v>30</v>
      </c>
      <c r="E8994" s="140" t="s">
        <v>12</v>
      </c>
      <c r="F8994">
        <v>6036</v>
      </c>
      <c r="G8994" s="140" t="s">
        <v>496</v>
      </c>
      <c r="H8994">
        <v>0</v>
      </c>
      <c r="I8994" s="140" t="s">
        <v>17</v>
      </c>
    </row>
    <row r="8995" spans="1:9" hidden="1" x14ac:dyDescent="0.25">
      <c r="A8995">
        <v>2018</v>
      </c>
      <c r="B8995" s="140" t="s">
        <v>22</v>
      </c>
      <c r="C8995" s="140" t="s">
        <v>20</v>
      </c>
      <c r="D8995" s="140" t="s">
        <v>30</v>
      </c>
      <c r="E8995" s="140" t="s">
        <v>12</v>
      </c>
      <c r="F8995">
        <v>5807</v>
      </c>
      <c r="G8995" s="140" t="s">
        <v>496</v>
      </c>
      <c r="H8995">
        <v>0</v>
      </c>
      <c r="I8995" s="140" t="s">
        <v>17</v>
      </c>
    </row>
    <row r="8996" spans="1:9" hidden="1" x14ac:dyDescent="0.25">
      <c r="A8996">
        <v>2019</v>
      </c>
      <c r="B8996" s="140" t="s">
        <v>22</v>
      </c>
      <c r="C8996" s="140" t="s">
        <v>20</v>
      </c>
      <c r="D8996" s="140" t="s">
        <v>30</v>
      </c>
      <c r="E8996" s="140" t="s">
        <v>12</v>
      </c>
      <c r="F8996">
        <v>6703</v>
      </c>
      <c r="G8996" s="140" t="s">
        <v>496</v>
      </c>
      <c r="H8996">
        <v>0</v>
      </c>
      <c r="I8996" s="140" t="s">
        <v>17</v>
      </c>
    </row>
    <row r="8997" spans="1:9" hidden="1" x14ac:dyDescent="0.25">
      <c r="A8997">
        <v>2020</v>
      </c>
      <c r="B8997" s="140" t="s">
        <v>22</v>
      </c>
      <c r="C8997" s="140" t="s">
        <v>20</v>
      </c>
      <c r="D8997" s="140" t="s">
        <v>30</v>
      </c>
      <c r="E8997" s="140" t="s">
        <v>12</v>
      </c>
      <c r="F8997">
        <v>5733</v>
      </c>
      <c r="G8997" s="140" t="s">
        <v>496</v>
      </c>
      <c r="H8997">
        <v>0</v>
      </c>
      <c r="I8997" s="140" t="s">
        <v>17</v>
      </c>
    </row>
    <row r="8998" spans="1:9" hidden="1" x14ac:dyDescent="0.25">
      <c r="A8998">
        <v>2021</v>
      </c>
      <c r="B8998" s="140" t="s">
        <v>22</v>
      </c>
      <c r="C8998" s="140" t="s">
        <v>20</v>
      </c>
      <c r="D8998" s="140" t="s">
        <v>30</v>
      </c>
      <c r="E8998" s="140" t="s">
        <v>12</v>
      </c>
      <c r="F8998">
        <v>4698</v>
      </c>
      <c r="G8998" s="140" t="s">
        <v>496</v>
      </c>
      <c r="H8998">
        <v>0</v>
      </c>
      <c r="I8998" s="140" t="s">
        <v>17</v>
      </c>
    </row>
    <row r="8999" spans="1:9" hidden="1" x14ac:dyDescent="0.25">
      <c r="A8999">
        <v>2022</v>
      </c>
      <c r="B8999" s="140" t="s">
        <v>22</v>
      </c>
      <c r="C8999" s="140" t="s">
        <v>20</v>
      </c>
      <c r="D8999" s="140" t="s">
        <v>30</v>
      </c>
      <c r="E8999" s="140" t="s">
        <v>12</v>
      </c>
      <c r="F8999">
        <v>4001</v>
      </c>
      <c r="G8999" s="140" t="s">
        <v>496</v>
      </c>
      <c r="H8999">
        <v>0</v>
      </c>
      <c r="I8999" s="140" t="s">
        <v>17</v>
      </c>
    </row>
    <row r="9000" spans="1:9" hidden="1" x14ac:dyDescent="0.25">
      <c r="A9000">
        <v>2023</v>
      </c>
      <c r="B9000" s="140" t="s">
        <v>22</v>
      </c>
      <c r="C9000" s="140" t="s">
        <v>20</v>
      </c>
      <c r="D9000" s="140" t="s">
        <v>30</v>
      </c>
      <c r="E9000" s="140" t="s">
        <v>12</v>
      </c>
      <c r="F9000">
        <v>4250</v>
      </c>
      <c r="G9000" s="140" t="s">
        <v>496</v>
      </c>
      <c r="H9000">
        <v>0</v>
      </c>
      <c r="I9000" s="140" t="s">
        <v>17</v>
      </c>
    </row>
    <row r="9001" spans="1:9" hidden="1" x14ac:dyDescent="0.25">
      <c r="A9001">
        <v>2024</v>
      </c>
      <c r="B9001" s="140" t="s">
        <v>22</v>
      </c>
      <c r="C9001" s="140" t="s">
        <v>20</v>
      </c>
      <c r="D9001" s="140" t="s">
        <v>30</v>
      </c>
      <c r="E9001" s="140" t="s">
        <v>12</v>
      </c>
      <c r="F9001">
        <v>4642</v>
      </c>
      <c r="G9001" s="140" t="s">
        <v>496</v>
      </c>
      <c r="H9001">
        <v>0</v>
      </c>
      <c r="I9001" s="140" t="s">
        <v>17</v>
      </c>
    </row>
    <row r="9002" spans="1:9" hidden="1" x14ac:dyDescent="0.25">
      <c r="A9002">
        <v>2025</v>
      </c>
      <c r="B9002" s="140" t="s">
        <v>22</v>
      </c>
      <c r="C9002" s="140" t="s">
        <v>20</v>
      </c>
      <c r="D9002" s="140" t="s">
        <v>30</v>
      </c>
      <c r="E9002" s="140" t="s">
        <v>12</v>
      </c>
      <c r="F9002">
        <v>5151</v>
      </c>
      <c r="G9002" s="140" t="s">
        <v>496</v>
      </c>
      <c r="H9002">
        <v>0</v>
      </c>
      <c r="I9002" s="140" t="s">
        <v>17</v>
      </c>
    </row>
    <row r="9003" spans="1:9" hidden="1" x14ac:dyDescent="0.25">
      <c r="A9003">
        <v>1990</v>
      </c>
      <c r="B9003" s="140" t="s">
        <v>22</v>
      </c>
      <c r="C9003" s="140" t="s">
        <v>20</v>
      </c>
      <c r="D9003" s="140" t="s">
        <v>31</v>
      </c>
      <c r="E9003" s="140" t="s">
        <v>12</v>
      </c>
      <c r="F9003">
        <v>7510</v>
      </c>
      <c r="G9003" s="140" t="s">
        <v>497</v>
      </c>
      <c r="H9003">
        <v>0</v>
      </c>
      <c r="I9003" s="140" t="s">
        <v>17</v>
      </c>
    </row>
    <row r="9004" spans="1:9" hidden="1" x14ac:dyDescent="0.25">
      <c r="A9004">
        <v>1991</v>
      </c>
      <c r="B9004" s="140" t="s">
        <v>22</v>
      </c>
      <c r="C9004" s="140" t="s">
        <v>20</v>
      </c>
      <c r="D9004" s="140" t="s">
        <v>31</v>
      </c>
      <c r="E9004" s="140" t="s">
        <v>12</v>
      </c>
      <c r="F9004">
        <v>6156</v>
      </c>
      <c r="G9004" s="140" t="s">
        <v>497</v>
      </c>
      <c r="H9004">
        <v>0</v>
      </c>
      <c r="I9004" s="140" t="s">
        <v>17</v>
      </c>
    </row>
    <row r="9005" spans="1:9" hidden="1" x14ac:dyDescent="0.25">
      <c r="A9005">
        <v>1992</v>
      </c>
      <c r="B9005" s="140" t="s">
        <v>22</v>
      </c>
      <c r="C9005" s="140" t="s">
        <v>20</v>
      </c>
      <c r="D9005" s="140" t="s">
        <v>31</v>
      </c>
      <c r="E9005" s="140" t="s">
        <v>12</v>
      </c>
      <c r="F9005">
        <v>6144</v>
      </c>
      <c r="G9005" s="140" t="s">
        <v>497</v>
      </c>
      <c r="H9005">
        <v>0</v>
      </c>
      <c r="I9005" s="140" t="s">
        <v>17</v>
      </c>
    </row>
    <row r="9006" spans="1:9" hidden="1" x14ac:dyDescent="0.25">
      <c r="A9006">
        <v>1993</v>
      </c>
      <c r="B9006" s="140" t="s">
        <v>22</v>
      </c>
      <c r="C9006" s="140" t="s">
        <v>20</v>
      </c>
      <c r="D9006" s="140" t="s">
        <v>31</v>
      </c>
      <c r="E9006" s="140" t="s">
        <v>12</v>
      </c>
      <c r="F9006">
        <v>6245</v>
      </c>
      <c r="G9006" s="140" t="s">
        <v>497</v>
      </c>
      <c r="H9006">
        <v>0</v>
      </c>
      <c r="I9006" s="140" t="s">
        <v>17</v>
      </c>
    </row>
    <row r="9007" spans="1:9" hidden="1" x14ac:dyDescent="0.25">
      <c r="A9007">
        <v>1994</v>
      </c>
      <c r="B9007" s="140" t="s">
        <v>22</v>
      </c>
      <c r="C9007" s="140" t="s">
        <v>20</v>
      </c>
      <c r="D9007" s="140" t="s">
        <v>31</v>
      </c>
      <c r="E9007" s="140" t="s">
        <v>12</v>
      </c>
      <c r="F9007">
        <v>7145</v>
      </c>
      <c r="G9007" s="140" t="s">
        <v>497</v>
      </c>
      <c r="H9007">
        <v>0</v>
      </c>
      <c r="I9007" s="140" t="s">
        <v>17</v>
      </c>
    </row>
    <row r="9008" spans="1:9" hidden="1" x14ac:dyDescent="0.25">
      <c r="A9008">
        <v>1995</v>
      </c>
      <c r="B9008" s="140" t="s">
        <v>22</v>
      </c>
      <c r="C9008" s="140" t="s">
        <v>20</v>
      </c>
      <c r="D9008" s="140" t="s">
        <v>31</v>
      </c>
      <c r="E9008" s="140" t="s">
        <v>12</v>
      </c>
      <c r="F9008">
        <v>8103</v>
      </c>
      <c r="G9008" s="140" t="s">
        <v>497</v>
      </c>
      <c r="H9008">
        <v>0</v>
      </c>
      <c r="I9008" s="140" t="s">
        <v>17</v>
      </c>
    </row>
    <row r="9009" spans="1:9" hidden="1" x14ac:dyDescent="0.25">
      <c r="A9009">
        <v>1996</v>
      </c>
      <c r="B9009" s="140" t="s">
        <v>22</v>
      </c>
      <c r="C9009" s="140" t="s">
        <v>20</v>
      </c>
      <c r="D9009" s="140" t="s">
        <v>31</v>
      </c>
      <c r="E9009" s="140" t="s">
        <v>12</v>
      </c>
      <c r="F9009">
        <v>8436</v>
      </c>
      <c r="G9009" s="140" t="s">
        <v>497</v>
      </c>
      <c r="H9009">
        <v>0</v>
      </c>
      <c r="I9009" s="140" t="s">
        <v>17</v>
      </c>
    </row>
    <row r="9010" spans="1:9" hidden="1" x14ac:dyDescent="0.25">
      <c r="A9010">
        <v>1997</v>
      </c>
      <c r="B9010" s="140" t="s">
        <v>22</v>
      </c>
      <c r="C9010" s="140" t="s">
        <v>20</v>
      </c>
      <c r="D9010" s="140" t="s">
        <v>31</v>
      </c>
      <c r="E9010" s="140" t="s">
        <v>12</v>
      </c>
      <c r="F9010">
        <v>9081</v>
      </c>
      <c r="G9010" s="140" t="s">
        <v>497</v>
      </c>
      <c r="H9010">
        <v>0</v>
      </c>
      <c r="I9010" s="140" t="s">
        <v>17</v>
      </c>
    </row>
    <row r="9011" spans="1:9" hidden="1" x14ac:dyDescent="0.25">
      <c r="A9011">
        <v>1998</v>
      </c>
      <c r="B9011" s="140" t="s">
        <v>22</v>
      </c>
      <c r="C9011" s="140" t="s">
        <v>20</v>
      </c>
      <c r="D9011" s="140" t="s">
        <v>31</v>
      </c>
      <c r="E9011" s="140" t="s">
        <v>12</v>
      </c>
      <c r="F9011">
        <v>9366</v>
      </c>
      <c r="G9011" s="140" t="s">
        <v>497</v>
      </c>
      <c r="H9011">
        <v>0</v>
      </c>
      <c r="I9011" s="140" t="s">
        <v>17</v>
      </c>
    </row>
    <row r="9012" spans="1:9" hidden="1" x14ac:dyDescent="0.25">
      <c r="A9012">
        <v>1999</v>
      </c>
      <c r="B9012" s="140" t="s">
        <v>22</v>
      </c>
      <c r="C9012" s="140" t="s">
        <v>20</v>
      </c>
      <c r="D9012" s="140" t="s">
        <v>31</v>
      </c>
      <c r="E9012" s="140" t="s">
        <v>12</v>
      </c>
      <c r="F9012">
        <v>9410</v>
      </c>
      <c r="G9012" s="140" t="s">
        <v>497</v>
      </c>
      <c r="H9012">
        <v>0</v>
      </c>
      <c r="I9012" s="140" t="s">
        <v>17</v>
      </c>
    </row>
    <row r="9013" spans="1:9" hidden="1" x14ac:dyDescent="0.25">
      <c r="A9013">
        <v>2000</v>
      </c>
      <c r="B9013" s="140" t="s">
        <v>22</v>
      </c>
      <c r="C9013" s="140" t="s">
        <v>20</v>
      </c>
      <c r="D9013" s="140" t="s">
        <v>31</v>
      </c>
      <c r="E9013" s="140" t="s">
        <v>12</v>
      </c>
      <c r="F9013">
        <v>10014</v>
      </c>
      <c r="G9013" s="140" t="s">
        <v>497</v>
      </c>
      <c r="H9013">
        <v>0</v>
      </c>
      <c r="I9013" s="140" t="s">
        <v>17</v>
      </c>
    </row>
    <row r="9014" spans="1:9" hidden="1" x14ac:dyDescent="0.25">
      <c r="A9014">
        <v>2001</v>
      </c>
      <c r="B9014" s="140" t="s">
        <v>22</v>
      </c>
      <c r="C9014" s="140" t="s">
        <v>20</v>
      </c>
      <c r="D9014" s="140" t="s">
        <v>31</v>
      </c>
      <c r="E9014" s="140" t="s">
        <v>12</v>
      </c>
      <c r="F9014">
        <v>10683</v>
      </c>
      <c r="G9014" s="140" t="s">
        <v>497</v>
      </c>
      <c r="H9014">
        <v>0</v>
      </c>
      <c r="I9014" s="140" t="s">
        <v>17</v>
      </c>
    </row>
    <row r="9015" spans="1:9" hidden="1" x14ac:dyDescent="0.25">
      <c r="A9015">
        <v>2002</v>
      </c>
      <c r="B9015" s="140" t="s">
        <v>22</v>
      </c>
      <c r="C9015" s="140" t="s">
        <v>20</v>
      </c>
      <c r="D9015" s="140" t="s">
        <v>31</v>
      </c>
      <c r="E9015" s="140" t="s">
        <v>12</v>
      </c>
      <c r="F9015">
        <v>10258</v>
      </c>
      <c r="G9015" s="140" t="s">
        <v>497</v>
      </c>
      <c r="H9015">
        <v>0</v>
      </c>
      <c r="I9015" s="140" t="s">
        <v>17</v>
      </c>
    </row>
    <row r="9016" spans="1:9" hidden="1" x14ac:dyDescent="0.25">
      <c r="A9016">
        <v>2003</v>
      </c>
      <c r="B9016" s="140" t="s">
        <v>22</v>
      </c>
      <c r="C9016" s="140" t="s">
        <v>20</v>
      </c>
      <c r="D9016" s="140" t="s">
        <v>31</v>
      </c>
      <c r="E9016" s="140" t="s">
        <v>12</v>
      </c>
      <c r="F9016">
        <v>10355</v>
      </c>
      <c r="G9016" s="140" t="s">
        <v>497</v>
      </c>
      <c r="H9016">
        <v>0</v>
      </c>
      <c r="I9016" s="140" t="s">
        <v>17</v>
      </c>
    </row>
    <row r="9017" spans="1:9" hidden="1" x14ac:dyDescent="0.25">
      <c r="A9017">
        <v>2004</v>
      </c>
      <c r="B9017" s="140" t="s">
        <v>22</v>
      </c>
      <c r="C9017" s="140" t="s">
        <v>20</v>
      </c>
      <c r="D9017" s="140" t="s">
        <v>31</v>
      </c>
      <c r="E9017" s="140" t="s">
        <v>12</v>
      </c>
      <c r="F9017">
        <v>10857</v>
      </c>
      <c r="G9017" s="140" t="s">
        <v>497</v>
      </c>
      <c r="H9017">
        <v>0</v>
      </c>
      <c r="I9017" s="140" t="s">
        <v>17</v>
      </c>
    </row>
    <row r="9018" spans="1:9" hidden="1" x14ac:dyDescent="0.25">
      <c r="A9018">
        <v>2005</v>
      </c>
      <c r="B9018" s="140" t="s">
        <v>22</v>
      </c>
      <c r="C9018" s="140" t="s">
        <v>20</v>
      </c>
      <c r="D9018" s="140" t="s">
        <v>31</v>
      </c>
      <c r="E9018" s="140" t="s">
        <v>12</v>
      </c>
      <c r="F9018">
        <v>11855</v>
      </c>
      <c r="G9018" s="140" t="s">
        <v>497</v>
      </c>
      <c r="H9018">
        <v>0</v>
      </c>
      <c r="I9018" s="140" t="s">
        <v>17</v>
      </c>
    </row>
    <row r="9019" spans="1:9" hidden="1" x14ac:dyDescent="0.25">
      <c r="A9019">
        <v>2006</v>
      </c>
      <c r="B9019" s="140" t="s">
        <v>22</v>
      </c>
      <c r="C9019" s="140" t="s">
        <v>20</v>
      </c>
      <c r="D9019" s="140" t="s">
        <v>31</v>
      </c>
      <c r="E9019" s="140" t="s">
        <v>12</v>
      </c>
      <c r="F9019">
        <v>13482</v>
      </c>
      <c r="G9019" s="140" t="s">
        <v>497</v>
      </c>
      <c r="H9019">
        <v>0</v>
      </c>
      <c r="I9019" s="140" t="s">
        <v>17</v>
      </c>
    </row>
    <row r="9020" spans="1:9" hidden="1" x14ac:dyDescent="0.25">
      <c r="A9020">
        <v>2007</v>
      </c>
      <c r="B9020" s="140" t="s">
        <v>22</v>
      </c>
      <c r="C9020" s="140" t="s">
        <v>20</v>
      </c>
      <c r="D9020" s="140" t="s">
        <v>31</v>
      </c>
      <c r="E9020" s="140" t="s">
        <v>12</v>
      </c>
      <c r="F9020">
        <v>14639</v>
      </c>
      <c r="G9020" s="140" t="s">
        <v>497</v>
      </c>
      <c r="H9020">
        <v>0</v>
      </c>
      <c r="I9020" s="140" t="s">
        <v>17</v>
      </c>
    </row>
    <row r="9021" spans="1:9" hidden="1" x14ac:dyDescent="0.25">
      <c r="A9021">
        <v>2008</v>
      </c>
      <c r="B9021" s="140" t="s">
        <v>22</v>
      </c>
      <c r="C9021" s="140" t="s">
        <v>20</v>
      </c>
      <c r="D9021" s="140" t="s">
        <v>31</v>
      </c>
      <c r="E9021" s="140" t="s">
        <v>12</v>
      </c>
      <c r="F9021">
        <v>13556</v>
      </c>
      <c r="G9021" s="140" t="s">
        <v>497</v>
      </c>
      <c r="H9021">
        <v>0</v>
      </c>
      <c r="I9021" s="140" t="s">
        <v>17</v>
      </c>
    </row>
    <row r="9022" spans="1:9" hidden="1" x14ac:dyDescent="0.25">
      <c r="A9022">
        <v>2009</v>
      </c>
      <c r="B9022" s="140" t="s">
        <v>22</v>
      </c>
      <c r="C9022" s="140" t="s">
        <v>20</v>
      </c>
      <c r="D9022" s="140" t="s">
        <v>31</v>
      </c>
      <c r="E9022" s="140" t="s">
        <v>12</v>
      </c>
      <c r="F9022">
        <v>10127</v>
      </c>
      <c r="G9022" s="140" t="s">
        <v>497</v>
      </c>
      <c r="H9022">
        <v>0</v>
      </c>
      <c r="I9022" s="140" t="s">
        <v>17</v>
      </c>
    </row>
    <row r="9023" spans="1:9" hidden="1" x14ac:dyDescent="0.25">
      <c r="A9023">
        <v>2010</v>
      </c>
      <c r="B9023" s="140" t="s">
        <v>22</v>
      </c>
      <c r="C9023" s="140" t="s">
        <v>20</v>
      </c>
      <c r="D9023" s="140" t="s">
        <v>31</v>
      </c>
      <c r="E9023" s="140" t="s">
        <v>12</v>
      </c>
      <c r="F9023">
        <v>10749</v>
      </c>
      <c r="G9023" s="140" t="s">
        <v>497</v>
      </c>
      <c r="H9023">
        <v>0</v>
      </c>
      <c r="I9023" s="140" t="s">
        <v>17</v>
      </c>
    </row>
    <row r="9024" spans="1:9" hidden="1" x14ac:dyDescent="0.25">
      <c r="A9024">
        <v>2011</v>
      </c>
      <c r="B9024" s="140" t="s">
        <v>22</v>
      </c>
      <c r="C9024" s="140" t="s">
        <v>20</v>
      </c>
      <c r="D9024" s="140" t="s">
        <v>31</v>
      </c>
      <c r="E9024" s="140" t="s">
        <v>12</v>
      </c>
      <c r="F9024">
        <v>11542</v>
      </c>
      <c r="G9024" s="140" t="s">
        <v>497</v>
      </c>
      <c r="H9024">
        <v>0</v>
      </c>
      <c r="I9024" s="140" t="s">
        <v>17</v>
      </c>
    </row>
    <row r="9025" spans="1:9" hidden="1" x14ac:dyDescent="0.25">
      <c r="A9025">
        <v>2012</v>
      </c>
      <c r="B9025" s="140" t="s">
        <v>22</v>
      </c>
      <c r="C9025" s="140" t="s">
        <v>20</v>
      </c>
      <c r="D9025" s="140" t="s">
        <v>31</v>
      </c>
      <c r="E9025" s="140" t="s">
        <v>12</v>
      </c>
      <c r="F9025">
        <v>11254</v>
      </c>
      <c r="G9025" s="140" t="s">
        <v>497</v>
      </c>
      <c r="H9025">
        <v>0</v>
      </c>
      <c r="I9025" s="140" t="s">
        <v>17</v>
      </c>
    </row>
    <row r="9026" spans="1:9" hidden="1" x14ac:dyDescent="0.25">
      <c r="A9026">
        <v>2013</v>
      </c>
      <c r="B9026" s="140" t="s">
        <v>22</v>
      </c>
      <c r="C9026" s="140" t="s">
        <v>20</v>
      </c>
      <c r="D9026" s="140" t="s">
        <v>31</v>
      </c>
      <c r="E9026" s="140" t="s">
        <v>12</v>
      </c>
      <c r="F9026">
        <v>10494</v>
      </c>
      <c r="G9026" s="140" t="s">
        <v>497</v>
      </c>
      <c r="H9026">
        <v>0</v>
      </c>
      <c r="I9026" s="140" t="s">
        <v>17</v>
      </c>
    </row>
    <row r="9027" spans="1:9" hidden="1" x14ac:dyDescent="0.25">
      <c r="A9027">
        <v>2014</v>
      </c>
      <c r="B9027" s="140" t="s">
        <v>22</v>
      </c>
      <c r="C9027" s="140" t="s">
        <v>20</v>
      </c>
      <c r="D9027" s="140" t="s">
        <v>31</v>
      </c>
      <c r="E9027" s="140" t="s">
        <v>12</v>
      </c>
      <c r="F9027">
        <v>10367</v>
      </c>
      <c r="G9027" s="140" t="s">
        <v>497</v>
      </c>
      <c r="H9027">
        <v>0</v>
      </c>
      <c r="I9027" s="140" t="s">
        <v>17</v>
      </c>
    </row>
    <row r="9028" spans="1:9" hidden="1" x14ac:dyDescent="0.25">
      <c r="A9028">
        <v>2015</v>
      </c>
      <c r="B9028" s="140" t="s">
        <v>22</v>
      </c>
      <c r="C9028" s="140" t="s">
        <v>20</v>
      </c>
      <c r="D9028" s="140" t="s">
        <v>31</v>
      </c>
      <c r="E9028" s="140" t="s">
        <v>12</v>
      </c>
      <c r="F9028">
        <v>11038</v>
      </c>
      <c r="G9028" s="140" t="s">
        <v>497</v>
      </c>
      <c r="H9028">
        <v>0</v>
      </c>
      <c r="I9028" s="140" t="s">
        <v>17</v>
      </c>
    </row>
    <row r="9029" spans="1:9" hidden="1" x14ac:dyDescent="0.25">
      <c r="A9029">
        <v>2016</v>
      </c>
      <c r="B9029" s="140" t="s">
        <v>22</v>
      </c>
      <c r="C9029" s="140" t="s">
        <v>20</v>
      </c>
      <c r="D9029" s="140" t="s">
        <v>31</v>
      </c>
      <c r="E9029" s="140" t="s">
        <v>12</v>
      </c>
      <c r="F9029">
        <v>11362</v>
      </c>
      <c r="G9029" s="140" t="s">
        <v>497</v>
      </c>
      <c r="H9029">
        <v>0</v>
      </c>
      <c r="I9029" s="140" t="s">
        <v>17</v>
      </c>
    </row>
    <row r="9030" spans="1:9" hidden="1" x14ac:dyDescent="0.25">
      <c r="A9030">
        <v>2017</v>
      </c>
      <c r="B9030" s="140" t="s">
        <v>22</v>
      </c>
      <c r="C9030" s="140" t="s">
        <v>20</v>
      </c>
      <c r="D9030" s="140" t="s">
        <v>31</v>
      </c>
      <c r="E9030" s="140" t="s">
        <v>12</v>
      </c>
      <c r="F9030">
        <v>12318</v>
      </c>
      <c r="G9030" s="140" t="s">
        <v>497</v>
      </c>
      <c r="H9030">
        <v>0</v>
      </c>
      <c r="I9030" s="140" t="s">
        <v>17</v>
      </c>
    </row>
    <row r="9031" spans="1:9" hidden="1" x14ac:dyDescent="0.25">
      <c r="A9031">
        <v>2018</v>
      </c>
      <c r="B9031" s="140" t="s">
        <v>22</v>
      </c>
      <c r="C9031" s="140" t="s">
        <v>20</v>
      </c>
      <c r="D9031" s="140" t="s">
        <v>31</v>
      </c>
      <c r="E9031" s="140" t="s">
        <v>12</v>
      </c>
      <c r="F9031">
        <v>12721</v>
      </c>
      <c r="G9031" s="140" t="s">
        <v>497</v>
      </c>
      <c r="H9031">
        <v>0</v>
      </c>
      <c r="I9031" s="140" t="s">
        <v>17</v>
      </c>
    </row>
    <row r="9032" spans="1:9" hidden="1" x14ac:dyDescent="0.25">
      <c r="A9032">
        <v>2019</v>
      </c>
      <c r="B9032" s="140" t="s">
        <v>22</v>
      </c>
      <c r="C9032" s="140" t="s">
        <v>20</v>
      </c>
      <c r="D9032" s="140" t="s">
        <v>31</v>
      </c>
      <c r="E9032" s="140" t="s">
        <v>12</v>
      </c>
      <c r="F9032">
        <v>12721</v>
      </c>
      <c r="G9032" s="140" t="s">
        <v>497</v>
      </c>
      <c r="H9032">
        <v>0</v>
      </c>
      <c r="I9032" s="140" t="s">
        <v>17</v>
      </c>
    </row>
    <row r="9033" spans="1:9" hidden="1" x14ac:dyDescent="0.25">
      <c r="A9033">
        <v>2020</v>
      </c>
      <c r="B9033" s="140" t="s">
        <v>22</v>
      </c>
      <c r="C9033" s="140" t="s">
        <v>20</v>
      </c>
      <c r="D9033" s="140" t="s">
        <v>31</v>
      </c>
      <c r="E9033" s="140" t="s">
        <v>12</v>
      </c>
      <c r="F9033">
        <v>12190</v>
      </c>
      <c r="G9033" s="140" t="s">
        <v>497</v>
      </c>
      <c r="H9033">
        <v>0</v>
      </c>
      <c r="I9033" s="140" t="s">
        <v>17</v>
      </c>
    </row>
    <row r="9034" spans="1:9" hidden="1" x14ac:dyDescent="0.25">
      <c r="A9034">
        <v>2021</v>
      </c>
      <c r="B9034" s="140" t="s">
        <v>22</v>
      </c>
      <c r="C9034" s="140" t="s">
        <v>20</v>
      </c>
      <c r="D9034" s="140" t="s">
        <v>31</v>
      </c>
      <c r="E9034" s="140" t="s">
        <v>12</v>
      </c>
      <c r="F9034">
        <v>12484</v>
      </c>
      <c r="G9034" s="140" t="s">
        <v>497</v>
      </c>
      <c r="H9034">
        <v>0</v>
      </c>
      <c r="I9034" s="140" t="s">
        <v>17</v>
      </c>
    </row>
    <row r="9035" spans="1:9" hidden="1" x14ac:dyDescent="0.25">
      <c r="A9035">
        <v>2022</v>
      </c>
      <c r="B9035" s="140" t="s">
        <v>22</v>
      </c>
      <c r="C9035" s="140" t="s">
        <v>20</v>
      </c>
      <c r="D9035" s="140" t="s">
        <v>31</v>
      </c>
      <c r="E9035" s="140" t="s">
        <v>12</v>
      </c>
      <c r="F9035">
        <v>12299</v>
      </c>
      <c r="G9035" s="140" t="s">
        <v>497</v>
      </c>
      <c r="H9035">
        <v>0</v>
      </c>
      <c r="I9035" s="140" t="s">
        <v>17</v>
      </c>
    </row>
    <row r="9036" spans="1:9" hidden="1" x14ac:dyDescent="0.25">
      <c r="A9036">
        <v>2023</v>
      </c>
      <c r="B9036" s="140" t="s">
        <v>22</v>
      </c>
      <c r="C9036" s="140" t="s">
        <v>20</v>
      </c>
      <c r="D9036" s="140" t="s">
        <v>31</v>
      </c>
      <c r="E9036" s="140" t="s">
        <v>12</v>
      </c>
      <c r="F9036">
        <v>12259</v>
      </c>
      <c r="G9036" s="140" t="s">
        <v>497</v>
      </c>
      <c r="H9036">
        <v>0</v>
      </c>
      <c r="I9036" s="140" t="s">
        <v>17</v>
      </c>
    </row>
    <row r="9037" spans="1:9" hidden="1" x14ac:dyDescent="0.25">
      <c r="A9037">
        <v>2024</v>
      </c>
      <c r="B9037" s="140" t="s">
        <v>22</v>
      </c>
      <c r="C9037" s="140" t="s">
        <v>20</v>
      </c>
      <c r="D9037" s="140" t="s">
        <v>31</v>
      </c>
      <c r="E9037" s="140" t="s">
        <v>12</v>
      </c>
      <c r="F9037">
        <v>12312</v>
      </c>
      <c r="G9037" s="140" t="s">
        <v>497</v>
      </c>
      <c r="H9037">
        <v>0</v>
      </c>
      <c r="I9037" s="140" t="s">
        <v>17</v>
      </c>
    </row>
    <row r="9038" spans="1:9" hidden="1" x14ac:dyDescent="0.25">
      <c r="A9038">
        <v>2025</v>
      </c>
      <c r="B9038" s="140" t="s">
        <v>22</v>
      </c>
      <c r="C9038" s="140" t="s">
        <v>20</v>
      </c>
      <c r="D9038" s="140" t="s">
        <v>31</v>
      </c>
      <c r="E9038" s="140" t="s">
        <v>12</v>
      </c>
      <c r="F9038">
        <v>12402</v>
      </c>
      <c r="G9038" s="140" t="s">
        <v>497</v>
      </c>
      <c r="H9038">
        <v>0</v>
      </c>
      <c r="I9038" s="140" t="s">
        <v>17</v>
      </c>
    </row>
    <row r="9039" spans="1:9" hidden="1" x14ac:dyDescent="0.25">
      <c r="A9039">
        <v>1990</v>
      </c>
      <c r="B9039" s="140" t="s">
        <v>22</v>
      </c>
      <c r="C9039" s="140" t="s">
        <v>20</v>
      </c>
      <c r="D9039" s="140" t="s">
        <v>32</v>
      </c>
      <c r="E9039" s="140" t="s">
        <v>12</v>
      </c>
      <c r="F9039">
        <v>733</v>
      </c>
      <c r="G9039" s="140" t="s">
        <v>498</v>
      </c>
      <c r="H9039">
        <v>0</v>
      </c>
      <c r="I9039" s="140" t="s">
        <v>17</v>
      </c>
    </row>
    <row r="9040" spans="1:9" hidden="1" x14ac:dyDescent="0.25">
      <c r="A9040">
        <v>1991</v>
      </c>
      <c r="B9040" s="140" t="s">
        <v>22</v>
      </c>
      <c r="C9040" s="140" t="s">
        <v>20</v>
      </c>
      <c r="D9040" s="140" t="s">
        <v>32</v>
      </c>
      <c r="E9040" s="140" t="s">
        <v>12</v>
      </c>
      <c r="F9040">
        <v>658</v>
      </c>
      <c r="G9040" s="140" t="s">
        <v>498</v>
      </c>
      <c r="H9040">
        <v>0</v>
      </c>
      <c r="I9040" s="140" t="s">
        <v>17</v>
      </c>
    </row>
    <row r="9041" spans="1:9" hidden="1" x14ac:dyDescent="0.25">
      <c r="A9041">
        <v>1992</v>
      </c>
      <c r="B9041" s="140" t="s">
        <v>22</v>
      </c>
      <c r="C9041" s="140" t="s">
        <v>20</v>
      </c>
      <c r="D9041" s="140" t="s">
        <v>32</v>
      </c>
      <c r="E9041" s="140" t="s">
        <v>12</v>
      </c>
      <c r="F9041">
        <v>769</v>
      </c>
      <c r="G9041" s="140" t="s">
        <v>498</v>
      </c>
      <c r="H9041">
        <v>0</v>
      </c>
      <c r="I9041" s="140" t="s">
        <v>17</v>
      </c>
    </row>
    <row r="9042" spans="1:9" hidden="1" x14ac:dyDescent="0.25">
      <c r="A9042">
        <v>1993</v>
      </c>
      <c r="B9042" s="140" t="s">
        <v>22</v>
      </c>
      <c r="C9042" s="140" t="s">
        <v>20</v>
      </c>
      <c r="D9042" s="140" t="s">
        <v>32</v>
      </c>
      <c r="E9042" s="140" t="s">
        <v>12</v>
      </c>
      <c r="F9042">
        <v>932</v>
      </c>
      <c r="G9042" s="140" t="s">
        <v>498</v>
      </c>
      <c r="H9042">
        <v>0</v>
      </c>
      <c r="I9042" s="140" t="s">
        <v>17</v>
      </c>
    </row>
    <row r="9043" spans="1:9" hidden="1" x14ac:dyDescent="0.25">
      <c r="A9043">
        <v>1994</v>
      </c>
      <c r="B9043" s="140" t="s">
        <v>22</v>
      </c>
      <c r="C9043" s="140" t="s">
        <v>20</v>
      </c>
      <c r="D9043" s="140" t="s">
        <v>32</v>
      </c>
      <c r="E9043" s="140" t="s">
        <v>12</v>
      </c>
      <c r="F9043">
        <v>1189</v>
      </c>
      <c r="G9043" s="140" t="s">
        <v>498</v>
      </c>
      <c r="H9043">
        <v>0</v>
      </c>
      <c r="I9043" s="140" t="s">
        <v>17</v>
      </c>
    </row>
    <row r="9044" spans="1:9" hidden="1" x14ac:dyDescent="0.25">
      <c r="A9044">
        <v>1995</v>
      </c>
      <c r="B9044" s="140" t="s">
        <v>22</v>
      </c>
      <c r="C9044" s="140" t="s">
        <v>20</v>
      </c>
      <c r="D9044" s="140" t="s">
        <v>32</v>
      </c>
      <c r="E9044" s="140" t="s">
        <v>12</v>
      </c>
      <c r="F9044">
        <v>1465</v>
      </c>
      <c r="G9044" s="140" t="s">
        <v>498</v>
      </c>
      <c r="H9044">
        <v>0</v>
      </c>
      <c r="I9044" s="140" t="s">
        <v>17</v>
      </c>
    </row>
    <row r="9045" spans="1:9" hidden="1" x14ac:dyDescent="0.25">
      <c r="A9045">
        <v>1996</v>
      </c>
      <c r="B9045" s="140" t="s">
        <v>22</v>
      </c>
      <c r="C9045" s="140" t="s">
        <v>20</v>
      </c>
      <c r="D9045" s="140" t="s">
        <v>32</v>
      </c>
      <c r="E9045" s="140" t="s">
        <v>12</v>
      </c>
      <c r="F9045">
        <v>1691</v>
      </c>
      <c r="G9045" s="140" t="s">
        <v>498</v>
      </c>
      <c r="H9045">
        <v>0</v>
      </c>
      <c r="I9045" s="140" t="s">
        <v>17</v>
      </c>
    </row>
    <row r="9046" spans="1:9" hidden="1" x14ac:dyDescent="0.25">
      <c r="A9046">
        <v>1997</v>
      </c>
      <c r="B9046" s="140" t="s">
        <v>22</v>
      </c>
      <c r="C9046" s="140" t="s">
        <v>20</v>
      </c>
      <c r="D9046" s="140" t="s">
        <v>32</v>
      </c>
      <c r="E9046" s="140" t="s">
        <v>12</v>
      </c>
      <c r="F9046">
        <v>2055</v>
      </c>
      <c r="G9046" s="140" t="s">
        <v>498</v>
      </c>
      <c r="H9046">
        <v>0</v>
      </c>
      <c r="I9046" s="140" t="s">
        <v>17</v>
      </c>
    </row>
    <row r="9047" spans="1:9" hidden="1" x14ac:dyDescent="0.25">
      <c r="A9047">
        <v>1998</v>
      </c>
      <c r="B9047" s="140" t="s">
        <v>22</v>
      </c>
      <c r="C9047" s="140" t="s">
        <v>20</v>
      </c>
      <c r="D9047" s="140" t="s">
        <v>32</v>
      </c>
      <c r="E9047" s="140" t="s">
        <v>12</v>
      </c>
      <c r="F9047">
        <v>2848</v>
      </c>
      <c r="G9047" s="140" t="s">
        <v>498</v>
      </c>
      <c r="H9047">
        <v>0</v>
      </c>
      <c r="I9047" s="140" t="s">
        <v>17</v>
      </c>
    </row>
    <row r="9048" spans="1:9" hidden="1" x14ac:dyDescent="0.25">
      <c r="A9048">
        <v>1999</v>
      </c>
      <c r="B9048" s="140" t="s">
        <v>22</v>
      </c>
      <c r="C9048" s="140" t="s">
        <v>20</v>
      </c>
      <c r="D9048" s="140" t="s">
        <v>32</v>
      </c>
      <c r="E9048" s="140" t="s">
        <v>12</v>
      </c>
      <c r="F9048">
        <v>3811</v>
      </c>
      <c r="G9048" s="140" t="s">
        <v>498</v>
      </c>
      <c r="H9048">
        <v>0</v>
      </c>
      <c r="I9048" s="140" t="s">
        <v>17</v>
      </c>
    </row>
    <row r="9049" spans="1:9" hidden="1" x14ac:dyDescent="0.25">
      <c r="A9049">
        <v>2000</v>
      </c>
      <c r="B9049" s="140" t="s">
        <v>22</v>
      </c>
      <c r="C9049" s="140" t="s">
        <v>20</v>
      </c>
      <c r="D9049" s="140" t="s">
        <v>32</v>
      </c>
      <c r="E9049" s="140" t="s">
        <v>12</v>
      </c>
      <c r="F9049">
        <v>5281</v>
      </c>
      <c r="G9049" s="140" t="s">
        <v>498</v>
      </c>
      <c r="H9049">
        <v>0</v>
      </c>
      <c r="I9049" s="140" t="s">
        <v>17</v>
      </c>
    </row>
    <row r="9050" spans="1:9" hidden="1" x14ac:dyDescent="0.25">
      <c r="A9050">
        <v>2001</v>
      </c>
      <c r="B9050" s="140" t="s">
        <v>22</v>
      </c>
      <c r="C9050" s="140" t="s">
        <v>20</v>
      </c>
      <c r="D9050" s="140" t="s">
        <v>32</v>
      </c>
      <c r="E9050" s="140" t="s">
        <v>12</v>
      </c>
      <c r="F9050">
        <v>5185</v>
      </c>
      <c r="G9050" s="140" t="s">
        <v>498</v>
      </c>
      <c r="H9050">
        <v>0</v>
      </c>
      <c r="I9050" s="140" t="s">
        <v>17</v>
      </c>
    </row>
    <row r="9051" spans="1:9" hidden="1" x14ac:dyDescent="0.25">
      <c r="A9051">
        <v>2002</v>
      </c>
      <c r="B9051" s="140" t="s">
        <v>22</v>
      </c>
      <c r="C9051" s="140" t="s">
        <v>20</v>
      </c>
      <c r="D9051" s="140" t="s">
        <v>32</v>
      </c>
      <c r="E9051" s="140" t="s">
        <v>12</v>
      </c>
      <c r="F9051">
        <v>5786</v>
      </c>
      <c r="G9051" s="140" t="s">
        <v>498</v>
      </c>
      <c r="H9051">
        <v>0</v>
      </c>
      <c r="I9051" s="140" t="s">
        <v>17</v>
      </c>
    </row>
    <row r="9052" spans="1:9" hidden="1" x14ac:dyDescent="0.25">
      <c r="A9052">
        <v>2003</v>
      </c>
      <c r="B9052" s="140" t="s">
        <v>22</v>
      </c>
      <c r="C9052" s="140" t="s">
        <v>20</v>
      </c>
      <c r="D9052" s="140" t="s">
        <v>32</v>
      </c>
      <c r="E9052" s="140" t="s">
        <v>12</v>
      </c>
      <c r="F9052">
        <v>6524</v>
      </c>
      <c r="G9052" s="140" t="s">
        <v>498</v>
      </c>
      <c r="H9052">
        <v>0</v>
      </c>
      <c r="I9052" s="140" t="s">
        <v>17</v>
      </c>
    </row>
    <row r="9053" spans="1:9" hidden="1" x14ac:dyDescent="0.25">
      <c r="A9053">
        <v>2004</v>
      </c>
      <c r="B9053" s="140" t="s">
        <v>22</v>
      </c>
      <c r="C9053" s="140" t="s">
        <v>20</v>
      </c>
      <c r="D9053" s="140" t="s">
        <v>32</v>
      </c>
      <c r="E9053" s="140" t="s">
        <v>12</v>
      </c>
      <c r="F9053">
        <v>6962</v>
      </c>
      <c r="G9053" s="140" t="s">
        <v>498</v>
      </c>
      <c r="H9053">
        <v>0</v>
      </c>
      <c r="I9053" s="140" t="s">
        <v>17</v>
      </c>
    </row>
    <row r="9054" spans="1:9" hidden="1" x14ac:dyDescent="0.25">
      <c r="A9054">
        <v>2005</v>
      </c>
      <c r="B9054" s="140" t="s">
        <v>22</v>
      </c>
      <c r="C9054" s="140" t="s">
        <v>20</v>
      </c>
      <c r="D9054" s="140" t="s">
        <v>32</v>
      </c>
      <c r="E9054" s="140" t="s">
        <v>12</v>
      </c>
      <c r="F9054">
        <v>8022</v>
      </c>
      <c r="G9054" s="140" t="s">
        <v>498</v>
      </c>
      <c r="H9054">
        <v>0</v>
      </c>
      <c r="I9054" s="140" t="s">
        <v>17</v>
      </c>
    </row>
    <row r="9055" spans="1:9" hidden="1" x14ac:dyDescent="0.25">
      <c r="A9055">
        <v>2006</v>
      </c>
      <c r="B9055" s="140" t="s">
        <v>22</v>
      </c>
      <c r="C9055" s="140" t="s">
        <v>20</v>
      </c>
      <c r="D9055" s="140" t="s">
        <v>32</v>
      </c>
      <c r="E9055" s="140" t="s">
        <v>12</v>
      </c>
      <c r="F9055">
        <v>9303</v>
      </c>
      <c r="G9055" s="140" t="s">
        <v>498</v>
      </c>
      <c r="H9055">
        <v>0</v>
      </c>
      <c r="I9055" s="140" t="s">
        <v>17</v>
      </c>
    </row>
    <row r="9056" spans="1:9" hidden="1" x14ac:dyDescent="0.25">
      <c r="A9056">
        <v>2007</v>
      </c>
      <c r="B9056" s="140" t="s">
        <v>22</v>
      </c>
      <c r="C9056" s="140" t="s">
        <v>20</v>
      </c>
      <c r="D9056" s="140" t="s">
        <v>32</v>
      </c>
      <c r="E9056" s="140" t="s">
        <v>12</v>
      </c>
      <c r="F9056">
        <v>11163</v>
      </c>
      <c r="G9056" s="140" t="s">
        <v>498</v>
      </c>
      <c r="H9056">
        <v>0</v>
      </c>
      <c r="I9056" s="140" t="s">
        <v>17</v>
      </c>
    </row>
    <row r="9057" spans="1:9" hidden="1" x14ac:dyDescent="0.25">
      <c r="A9057">
        <v>2008</v>
      </c>
      <c r="B9057" s="140" t="s">
        <v>22</v>
      </c>
      <c r="C9057" s="140" t="s">
        <v>20</v>
      </c>
      <c r="D9057" s="140" t="s">
        <v>32</v>
      </c>
      <c r="E9057" s="140" t="s">
        <v>12</v>
      </c>
      <c r="F9057">
        <v>12140</v>
      </c>
      <c r="G9057" s="140" t="s">
        <v>498</v>
      </c>
      <c r="H9057">
        <v>0</v>
      </c>
      <c r="I9057" s="140" t="s">
        <v>17</v>
      </c>
    </row>
    <row r="9058" spans="1:9" hidden="1" x14ac:dyDescent="0.25">
      <c r="A9058">
        <v>2009</v>
      </c>
      <c r="B9058" s="140" t="s">
        <v>22</v>
      </c>
      <c r="C9058" s="140" t="s">
        <v>20</v>
      </c>
      <c r="D9058" s="140" t="s">
        <v>32</v>
      </c>
      <c r="E9058" s="140" t="s">
        <v>12</v>
      </c>
      <c r="F9058">
        <v>8528</v>
      </c>
      <c r="G9058" s="140" t="s">
        <v>498</v>
      </c>
      <c r="H9058">
        <v>0</v>
      </c>
      <c r="I9058" s="140" t="s">
        <v>17</v>
      </c>
    </row>
    <row r="9059" spans="1:9" hidden="1" x14ac:dyDescent="0.25">
      <c r="A9059">
        <v>2010</v>
      </c>
      <c r="B9059" s="140" t="s">
        <v>22</v>
      </c>
      <c r="C9059" s="140" t="s">
        <v>20</v>
      </c>
      <c r="D9059" s="140" t="s">
        <v>32</v>
      </c>
      <c r="E9059" s="140" t="s">
        <v>12</v>
      </c>
      <c r="F9059">
        <v>8945</v>
      </c>
      <c r="G9059" s="140" t="s">
        <v>498</v>
      </c>
      <c r="H9059">
        <v>0</v>
      </c>
      <c r="I9059" s="140" t="s">
        <v>17</v>
      </c>
    </row>
    <row r="9060" spans="1:9" hidden="1" x14ac:dyDescent="0.25">
      <c r="A9060">
        <v>2011</v>
      </c>
      <c r="B9060" s="140" t="s">
        <v>22</v>
      </c>
      <c r="C9060" s="140" t="s">
        <v>20</v>
      </c>
      <c r="D9060" s="140" t="s">
        <v>32</v>
      </c>
      <c r="E9060" s="140" t="s">
        <v>12</v>
      </c>
      <c r="F9060">
        <v>7380</v>
      </c>
      <c r="G9060" s="140" t="s">
        <v>498</v>
      </c>
      <c r="H9060">
        <v>0</v>
      </c>
      <c r="I9060" s="140" t="s">
        <v>17</v>
      </c>
    </row>
    <row r="9061" spans="1:9" hidden="1" x14ac:dyDescent="0.25">
      <c r="A9061">
        <v>2012</v>
      </c>
      <c r="B9061" s="140" t="s">
        <v>22</v>
      </c>
      <c r="C9061" s="140" t="s">
        <v>20</v>
      </c>
      <c r="D9061" s="140" t="s">
        <v>32</v>
      </c>
      <c r="E9061" s="140" t="s">
        <v>12</v>
      </c>
      <c r="F9061">
        <v>4557</v>
      </c>
      <c r="G9061" s="140" t="s">
        <v>498</v>
      </c>
      <c r="H9061">
        <v>0</v>
      </c>
      <c r="I9061" s="140" t="s">
        <v>17</v>
      </c>
    </row>
    <row r="9062" spans="1:9" hidden="1" x14ac:dyDescent="0.25">
      <c r="A9062">
        <v>2013</v>
      </c>
      <c r="B9062" s="140" t="s">
        <v>22</v>
      </c>
      <c r="C9062" s="140" t="s">
        <v>20</v>
      </c>
      <c r="D9062" s="140" t="s">
        <v>32</v>
      </c>
      <c r="E9062" s="140" t="s">
        <v>12</v>
      </c>
      <c r="F9062">
        <v>5614</v>
      </c>
      <c r="G9062" s="140" t="s">
        <v>498</v>
      </c>
      <c r="H9062">
        <v>0</v>
      </c>
      <c r="I9062" s="140" t="s">
        <v>17</v>
      </c>
    </row>
    <row r="9063" spans="1:9" hidden="1" x14ac:dyDescent="0.25">
      <c r="A9063">
        <v>2014</v>
      </c>
      <c r="B9063" s="140" t="s">
        <v>22</v>
      </c>
      <c r="C9063" s="140" t="s">
        <v>20</v>
      </c>
      <c r="D9063" s="140" t="s">
        <v>32</v>
      </c>
      <c r="E9063" s="140" t="s">
        <v>12</v>
      </c>
      <c r="F9063">
        <v>5986</v>
      </c>
      <c r="G9063" s="140" t="s">
        <v>498</v>
      </c>
      <c r="H9063">
        <v>0</v>
      </c>
      <c r="I9063" s="140" t="s">
        <v>17</v>
      </c>
    </row>
    <row r="9064" spans="1:9" hidden="1" x14ac:dyDescent="0.25">
      <c r="A9064">
        <v>2015</v>
      </c>
      <c r="B9064" s="140" t="s">
        <v>22</v>
      </c>
      <c r="C9064" s="140" t="s">
        <v>20</v>
      </c>
      <c r="D9064" s="140" t="s">
        <v>32</v>
      </c>
      <c r="E9064" s="140" t="s">
        <v>12</v>
      </c>
      <c r="F9064">
        <v>5714</v>
      </c>
      <c r="G9064" s="140" t="s">
        <v>498</v>
      </c>
      <c r="H9064">
        <v>0</v>
      </c>
      <c r="I9064" s="140" t="s">
        <v>17</v>
      </c>
    </row>
    <row r="9065" spans="1:9" hidden="1" x14ac:dyDescent="0.25">
      <c r="A9065">
        <v>2016</v>
      </c>
      <c r="B9065" s="140" t="s">
        <v>22</v>
      </c>
      <c r="C9065" s="140" t="s">
        <v>20</v>
      </c>
      <c r="D9065" s="140" t="s">
        <v>32</v>
      </c>
      <c r="E9065" s="140" t="s">
        <v>12</v>
      </c>
      <c r="F9065">
        <v>6128</v>
      </c>
      <c r="G9065" s="140" t="s">
        <v>498</v>
      </c>
      <c r="H9065">
        <v>0</v>
      </c>
      <c r="I9065" s="140" t="s">
        <v>17</v>
      </c>
    </row>
    <row r="9066" spans="1:9" hidden="1" x14ac:dyDescent="0.25">
      <c r="A9066">
        <v>2017</v>
      </c>
      <c r="B9066" s="140" t="s">
        <v>22</v>
      </c>
      <c r="C9066" s="140" t="s">
        <v>20</v>
      </c>
      <c r="D9066" s="140" t="s">
        <v>32</v>
      </c>
      <c r="E9066" s="140" t="s">
        <v>12</v>
      </c>
      <c r="F9066">
        <v>6439</v>
      </c>
      <c r="G9066" s="140" t="s">
        <v>498</v>
      </c>
      <c r="H9066">
        <v>0</v>
      </c>
      <c r="I9066" s="140" t="s">
        <v>17</v>
      </c>
    </row>
    <row r="9067" spans="1:9" hidden="1" x14ac:dyDescent="0.25">
      <c r="A9067">
        <v>2018</v>
      </c>
      <c r="B9067" s="140" t="s">
        <v>22</v>
      </c>
      <c r="C9067" s="140" t="s">
        <v>20</v>
      </c>
      <c r="D9067" s="140" t="s">
        <v>32</v>
      </c>
      <c r="E9067" s="140" t="s">
        <v>12</v>
      </c>
      <c r="F9067">
        <v>5106</v>
      </c>
      <c r="G9067" s="140" t="s">
        <v>498</v>
      </c>
      <c r="H9067">
        <v>0</v>
      </c>
      <c r="I9067" s="140" t="s">
        <v>17</v>
      </c>
    </row>
    <row r="9068" spans="1:9" hidden="1" x14ac:dyDescent="0.25">
      <c r="A9068">
        <v>2019</v>
      </c>
      <c r="B9068" s="140" t="s">
        <v>22</v>
      </c>
      <c r="C9068" s="140" t="s">
        <v>20</v>
      </c>
      <c r="D9068" s="140" t="s">
        <v>32</v>
      </c>
      <c r="E9068" s="140" t="s">
        <v>12</v>
      </c>
      <c r="F9068">
        <v>5766</v>
      </c>
      <c r="G9068" s="140" t="s">
        <v>498</v>
      </c>
      <c r="H9068">
        <v>0</v>
      </c>
      <c r="I9068" s="140" t="s">
        <v>17</v>
      </c>
    </row>
    <row r="9069" spans="1:9" hidden="1" x14ac:dyDescent="0.25">
      <c r="A9069">
        <v>2020</v>
      </c>
      <c r="B9069" s="140" t="s">
        <v>22</v>
      </c>
      <c r="C9069" s="140" t="s">
        <v>20</v>
      </c>
      <c r="D9069" s="140" t="s">
        <v>32</v>
      </c>
      <c r="E9069" s="140" t="s">
        <v>12</v>
      </c>
      <c r="F9069">
        <v>6440</v>
      </c>
      <c r="G9069" s="140" t="s">
        <v>498</v>
      </c>
      <c r="H9069">
        <v>0</v>
      </c>
      <c r="I9069" s="140" t="s">
        <v>17</v>
      </c>
    </row>
    <row r="9070" spans="1:9" hidden="1" x14ac:dyDescent="0.25">
      <c r="A9070">
        <v>2021</v>
      </c>
      <c r="B9070" s="140" t="s">
        <v>22</v>
      </c>
      <c r="C9070" s="140" t="s">
        <v>20</v>
      </c>
      <c r="D9070" s="140" t="s">
        <v>32</v>
      </c>
      <c r="E9070" s="140" t="s">
        <v>12</v>
      </c>
      <c r="F9070">
        <v>6564</v>
      </c>
      <c r="G9070" s="140" t="s">
        <v>498</v>
      </c>
      <c r="H9070">
        <v>0</v>
      </c>
      <c r="I9070" s="140" t="s">
        <v>17</v>
      </c>
    </row>
    <row r="9071" spans="1:9" hidden="1" x14ac:dyDescent="0.25">
      <c r="A9071">
        <v>2022</v>
      </c>
      <c r="B9071" s="140" t="s">
        <v>22</v>
      </c>
      <c r="C9071" s="140" t="s">
        <v>20</v>
      </c>
      <c r="D9071" s="140" t="s">
        <v>32</v>
      </c>
      <c r="E9071" s="140" t="s">
        <v>12</v>
      </c>
      <c r="F9071">
        <v>6326</v>
      </c>
      <c r="G9071" s="140" t="s">
        <v>498</v>
      </c>
      <c r="H9071">
        <v>0</v>
      </c>
      <c r="I9071" s="140" t="s">
        <v>17</v>
      </c>
    </row>
    <row r="9072" spans="1:9" hidden="1" x14ac:dyDescent="0.25">
      <c r="A9072">
        <v>2023</v>
      </c>
      <c r="B9072" s="140" t="s">
        <v>22</v>
      </c>
      <c r="C9072" s="140" t="s">
        <v>20</v>
      </c>
      <c r="D9072" s="140" t="s">
        <v>32</v>
      </c>
      <c r="E9072" s="140" t="s">
        <v>12</v>
      </c>
      <c r="F9072">
        <v>5630</v>
      </c>
      <c r="G9072" s="140" t="s">
        <v>498</v>
      </c>
      <c r="H9072">
        <v>0</v>
      </c>
      <c r="I9072" s="140" t="s">
        <v>17</v>
      </c>
    </row>
    <row r="9073" spans="1:9" hidden="1" x14ac:dyDescent="0.25">
      <c r="A9073">
        <v>2024</v>
      </c>
      <c r="B9073" s="140" t="s">
        <v>22</v>
      </c>
      <c r="C9073" s="140" t="s">
        <v>20</v>
      </c>
      <c r="D9073" s="140" t="s">
        <v>32</v>
      </c>
      <c r="E9073" s="140" t="s">
        <v>12</v>
      </c>
      <c r="F9073">
        <v>6915</v>
      </c>
      <c r="G9073" s="140" t="s">
        <v>498</v>
      </c>
      <c r="H9073">
        <v>0</v>
      </c>
      <c r="I9073" s="140" t="s">
        <v>17</v>
      </c>
    </row>
    <row r="9074" spans="1:9" hidden="1" x14ac:dyDescent="0.25">
      <c r="A9074">
        <v>2025</v>
      </c>
      <c r="B9074" s="140" t="s">
        <v>22</v>
      </c>
      <c r="C9074" s="140" t="s">
        <v>20</v>
      </c>
      <c r="D9074" s="140" t="s">
        <v>32</v>
      </c>
      <c r="E9074" s="140" t="s">
        <v>12</v>
      </c>
      <c r="F9074">
        <v>6686</v>
      </c>
      <c r="G9074" s="140" t="s">
        <v>498</v>
      </c>
      <c r="H9074">
        <v>0</v>
      </c>
      <c r="I9074" s="140" t="s">
        <v>17</v>
      </c>
    </row>
    <row r="9075" spans="1:9" hidden="1" x14ac:dyDescent="0.25">
      <c r="A9075">
        <v>1990</v>
      </c>
      <c r="B9075" s="140" t="s">
        <v>22</v>
      </c>
      <c r="C9075" s="140" t="s">
        <v>20</v>
      </c>
      <c r="D9075" s="140" t="s">
        <v>33</v>
      </c>
      <c r="E9075" s="140" t="s">
        <v>12</v>
      </c>
      <c r="F9075">
        <v>3912</v>
      </c>
      <c r="G9075" s="140" t="s">
        <v>499</v>
      </c>
      <c r="H9075">
        <v>0</v>
      </c>
      <c r="I9075" s="140" t="s">
        <v>17</v>
      </c>
    </row>
    <row r="9076" spans="1:9" hidden="1" x14ac:dyDescent="0.25">
      <c r="A9076">
        <v>1991</v>
      </c>
      <c r="B9076" s="140" t="s">
        <v>22</v>
      </c>
      <c r="C9076" s="140" t="s">
        <v>20</v>
      </c>
      <c r="D9076" s="140" t="s">
        <v>33</v>
      </c>
      <c r="E9076" s="140" t="s">
        <v>12</v>
      </c>
      <c r="F9076">
        <v>4014</v>
      </c>
      <c r="G9076" s="140" t="s">
        <v>499</v>
      </c>
      <c r="H9076">
        <v>0</v>
      </c>
      <c r="I9076" s="140" t="s">
        <v>17</v>
      </c>
    </row>
    <row r="9077" spans="1:9" hidden="1" x14ac:dyDescent="0.25">
      <c r="A9077">
        <v>1992</v>
      </c>
      <c r="B9077" s="140" t="s">
        <v>22</v>
      </c>
      <c r="C9077" s="140" t="s">
        <v>20</v>
      </c>
      <c r="D9077" s="140" t="s">
        <v>33</v>
      </c>
      <c r="E9077" s="140" t="s">
        <v>12</v>
      </c>
      <c r="F9077">
        <v>3990</v>
      </c>
      <c r="G9077" s="140" t="s">
        <v>499</v>
      </c>
      <c r="H9077">
        <v>0</v>
      </c>
      <c r="I9077" s="140" t="s">
        <v>17</v>
      </c>
    </row>
    <row r="9078" spans="1:9" hidden="1" x14ac:dyDescent="0.25">
      <c r="A9078">
        <v>1993</v>
      </c>
      <c r="B9078" s="140" t="s">
        <v>22</v>
      </c>
      <c r="C9078" s="140" t="s">
        <v>20</v>
      </c>
      <c r="D9078" s="140" t="s">
        <v>33</v>
      </c>
      <c r="E9078" s="140" t="s">
        <v>12</v>
      </c>
      <c r="F9078">
        <v>4116</v>
      </c>
      <c r="G9078" s="140" t="s">
        <v>499</v>
      </c>
      <c r="H9078">
        <v>0</v>
      </c>
      <c r="I9078" s="140" t="s">
        <v>17</v>
      </c>
    </row>
    <row r="9079" spans="1:9" hidden="1" x14ac:dyDescent="0.25">
      <c r="A9079">
        <v>1994</v>
      </c>
      <c r="B9079" s="140" t="s">
        <v>22</v>
      </c>
      <c r="C9079" s="140" t="s">
        <v>20</v>
      </c>
      <c r="D9079" s="140" t="s">
        <v>33</v>
      </c>
      <c r="E9079" s="140" t="s">
        <v>12</v>
      </c>
      <c r="F9079">
        <v>4339</v>
      </c>
      <c r="G9079" s="140" t="s">
        <v>499</v>
      </c>
      <c r="H9079">
        <v>0</v>
      </c>
      <c r="I9079" s="140" t="s">
        <v>17</v>
      </c>
    </row>
    <row r="9080" spans="1:9" hidden="1" x14ac:dyDescent="0.25">
      <c r="A9080">
        <v>1995</v>
      </c>
      <c r="B9080" s="140" t="s">
        <v>22</v>
      </c>
      <c r="C9080" s="140" t="s">
        <v>20</v>
      </c>
      <c r="D9080" s="140" t="s">
        <v>33</v>
      </c>
      <c r="E9080" s="140" t="s">
        <v>12</v>
      </c>
      <c r="F9080">
        <v>4211</v>
      </c>
      <c r="G9080" s="140" t="s">
        <v>499</v>
      </c>
      <c r="H9080">
        <v>0</v>
      </c>
      <c r="I9080" s="140" t="s">
        <v>17</v>
      </c>
    </row>
    <row r="9081" spans="1:9" hidden="1" x14ac:dyDescent="0.25">
      <c r="A9081">
        <v>1996</v>
      </c>
      <c r="B9081" s="140" t="s">
        <v>22</v>
      </c>
      <c r="C9081" s="140" t="s">
        <v>20</v>
      </c>
      <c r="D9081" s="140" t="s">
        <v>33</v>
      </c>
      <c r="E9081" s="140" t="s">
        <v>12</v>
      </c>
      <c r="F9081">
        <v>4542</v>
      </c>
      <c r="G9081" s="140" t="s">
        <v>499</v>
      </c>
      <c r="H9081">
        <v>0</v>
      </c>
      <c r="I9081" s="140" t="s">
        <v>17</v>
      </c>
    </row>
    <row r="9082" spans="1:9" hidden="1" x14ac:dyDescent="0.25">
      <c r="A9082">
        <v>1997</v>
      </c>
      <c r="B9082" s="140" t="s">
        <v>22</v>
      </c>
      <c r="C9082" s="140" t="s">
        <v>20</v>
      </c>
      <c r="D9082" s="140" t="s">
        <v>33</v>
      </c>
      <c r="E9082" s="140" t="s">
        <v>12</v>
      </c>
      <c r="F9082">
        <v>4673</v>
      </c>
      <c r="G9082" s="140" t="s">
        <v>499</v>
      </c>
      <c r="H9082">
        <v>0</v>
      </c>
      <c r="I9082" s="140" t="s">
        <v>17</v>
      </c>
    </row>
    <row r="9083" spans="1:9" hidden="1" x14ac:dyDescent="0.25">
      <c r="A9083">
        <v>1998</v>
      </c>
      <c r="B9083" s="140" t="s">
        <v>22</v>
      </c>
      <c r="C9083" s="140" t="s">
        <v>20</v>
      </c>
      <c r="D9083" s="140" t="s">
        <v>33</v>
      </c>
      <c r="E9083" s="140" t="s">
        <v>12</v>
      </c>
      <c r="F9083">
        <v>4722</v>
      </c>
      <c r="G9083" s="140" t="s">
        <v>499</v>
      </c>
      <c r="H9083">
        <v>0</v>
      </c>
      <c r="I9083" s="140" t="s">
        <v>17</v>
      </c>
    </row>
    <row r="9084" spans="1:9" hidden="1" x14ac:dyDescent="0.25">
      <c r="A9084">
        <v>1999</v>
      </c>
      <c r="B9084" s="140" t="s">
        <v>22</v>
      </c>
      <c r="C9084" s="140" t="s">
        <v>20</v>
      </c>
      <c r="D9084" s="140" t="s">
        <v>33</v>
      </c>
      <c r="E9084" s="140" t="s">
        <v>12</v>
      </c>
      <c r="F9084">
        <v>4749</v>
      </c>
      <c r="G9084" s="140" t="s">
        <v>499</v>
      </c>
      <c r="H9084">
        <v>0</v>
      </c>
      <c r="I9084" s="140" t="s">
        <v>17</v>
      </c>
    </row>
    <row r="9085" spans="1:9" hidden="1" x14ac:dyDescent="0.25">
      <c r="A9085">
        <v>2000</v>
      </c>
      <c r="B9085" s="140" t="s">
        <v>22</v>
      </c>
      <c r="C9085" s="140" t="s">
        <v>20</v>
      </c>
      <c r="D9085" s="140" t="s">
        <v>33</v>
      </c>
      <c r="E9085" s="140" t="s">
        <v>12</v>
      </c>
      <c r="F9085">
        <v>4808</v>
      </c>
      <c r="G9085" s="140" t="s">
        <v>499</v>
      </c>
      <c r="H9085">
        <v>0</v>
      </c>
      <c r="I9085" s="140" t="s">
        <v>17</v>
      </c>
    </row>
    <row r="9086" spans="1:9" hidden="1" x14ac:dyDescent="0.25">
      <c r="A9086">
        <v>2001</v>
      </c>
      <c r="B9086" s="140" t="s">
        <v>22</v>
      </c>
      <c r="C9086" s="140" t="s">
        <v>20</v>
      </c>
      <c r="D9086" s="140" t="s">
        <v>33</v>
      </c>
      <c r="E9086" s="140" t="s">
        <v>12</v>
      </c>
      <c r="F9086">
        <v>5170</v>
      </c>
      <c r="G9086" s="140" t="s">
        <v>499</v>
      </c>
      <c r="H9086">
        <v>0</v>
      </c>
      <c r="I9086" s="140" t="s">
        <v>17</v>
      </c>
    </row>
    <row r="9087" spans="1:9" hidden="1" x14ac:dyDescent="0.25">
      <c r="A9087">
        <v>2002</v>
      </c>
      <c r="B9087" s="140" t="s">
        <v>22</v>
      </c>
      <c r="C9087" s="140" t="s">
        <v>20</v>
      </c>
      <c r="D9087" s="140" t="s">
        <v>33</v>
      </c>
      <c r="E9087" s="140" t="s">
        <v>12</v>
      </c>
      <c r="F9087">
        <v>5234</v>
      </c>
      <c r="G9087" s="140" t="s">
        <v>499</v>
      </c>
      <c r="H9087">
        <v>0</v>
      </c>
      <c r="I9087" s="140" t="s">
        <v>17</v>
      </c>
    </row>
    <row r="9088" spans="1:9" hidden="1" x14ac:dyDescent="0.25">
      <c r="A9088">
        <v>2003</v>
      </c>
      <c r="B9088" s="140" t="s">
        <v>22</v>
      </c>
      <c r="C9088" s="140" t="s">
        <v>20</v>
      </c>
      <c r="D9088" s="140" t="s">
        <v>33</v>
      </c>
      <c r="E9088" s="140" t="s">
        <v>12</v>
      </c>
      <c r="F9088">
        <v>5234</v>
      </c>
      <c r="G9088" s="140" t="s">
        <v>499</v>
      </c>
      <c r="H9088">
        <v>0</v>
      </c>
      <c r="I9088" s="140" t="s">
        <v>17</v>
      </c>
    </row>
    <row r="9089" spans="1:9" hidden="1" x14ac:dyDescent="0.25">
      <c r="A9089">
        <v>2004</v>
      </c>
      <c r="B9089" s="140" t="s">
        <v>22</v>
      </c>
      <c r="C9089" s="140" t="s">
        <v>20</v>
      </c>
      <c r="D9089" s="140" t="s">
        <v>33</v>
      </c>
      <c r="E9089" s="140" t="s">
        <v>12</v>
      </c>
      <c r="F9089">
        <v>5421</v>
      </c>
      <c r="G9089" s="140" t="s">
        <v>499</v>
      </c>
      <c r="H9089">
        <v>0</v>
      </c>
      <c r="I9089" s="140" t="s">
        <v>17</v>
      </c>
    </row>
    <row r="9090" spans="1:9" hidden="1" x14ac:dyDescent="0.25">
      <c r="A9090">
        <v>2005</v>
      </c>
      <c r="B9090" s="140" t="s">
        <v>22</v>
      </c>
      <c r="C9090" s="140" t="s">
        <v>20</v>
      </c>
      <c r="D9090" s="140" t="s">
        <v>33</v>
      </c>
      <c r="E9090" s="140" t="s">
        <v>12</v>
      </c>
      <c r="F9090">
        <v>5495</v>
      </c>
      <c r="G9090" s="140" t="s">
        <v>499</v>
      </c>
      <c r="H9090">
        <v>0</v>
      </c>
      <c r="I9090" s="140" t="s">
        <v>17</v>
      </c>
    </row>
    <row r="9091" spans="1:9" hidden="1" x14ac:dyDescent="0.25">
      <c r="A9091">
        <v>2006</v>
      </c>
      <c r="B9091" s="140" t="s">
        <v>22</v>
      </c>
      <c r="C9091" s="140" t="s">
        <v>20</v>
      </c>
      <c r="D9091" s="140" t="s">
        <v>33</v>
      </c>
      <c r="E9091" s="140" t="s">
        <v>12</v>
      </c>
      <c r="F9091">
        <v>5457</v>
      </c>
      <c r="G9091" s="140" t="s">
        <v>499</v>
      </c>
      <c r="H9091">
        <v>0</v>
      </c>
      <c r="I9091" s="140" t="s">
        <v>17</v>
      </c>
    </row>
    <row r="9092" spans="1:9" hidden="1" x14ac:dyDescent="0.25">
      <c r="A9092">
        <v>2007</v>
      </c>
      <c r="B9092" s="140" t="s">
        <v>22</v>
      </c>
      <c r="C9092" s="140" t="s">
        <v>20</v>
      </c>
      <c r="D9092" s="140" t="s">
        <v>33</v>
      </c>
      <c r="E9092" s="140" t="s">
        <v>12</v>
      </c>
      <c r="F9092">
        <v>5734</v>
      </c>
      <c r="G9092" s="140" t="s">
        <v>499</v>
      </c>
      <c r="H9092">
        <v>0</v>
      </c>
      <c r="I9092" s="140" t="s">
        <v>17</v>
      </c>
    </row>
    <row r="9093" spans="1:9" hidden="1" x14ac:dyDescent="0.25">
      <c r="A9093">
        <v>2008</v>
      </c>
      <c r="B9093" s="140" t="s">
        <v>22</v>
      </c>
      <c r="C9093" s="140" t="s">
        <v>20</v>
      </c>
      <c r="D9093" s="140" t="s">
        <v>33</v>
      </c>
      <c r="E9093" s="140" t="s">
        <v>12</v>
      </c>
      <c r="F9093">
        <v>5456</v>
      </c>
      <c r="G9093" s="140" t="s">
        <v>499</v>
      </c>
      <c r="H9093">
        <v>0</v>
      </c>
      <c r="I9093" s="140" t="s">
        <v>17</v>
      </c>
    </row>
    <row r="9094" spans="1:9" hidden="1" x14ac:dyDescent="0.25">
      <c r="A9094">
        <v>2009</v>
      </c>
      <c r="B9094" s="140" t="s">
        <v>22</v>
      </c>
      <c r="C9094" s="140" t="s">
        <v>20</v>
      </c>
      <c r="D9094" s="140" t="s">
        <v>33</v>
      </c>
      <c r="E9094" s="140" t="s">
        <v>12</v>
      </c>
      <c r="F9094">
        <v>5477</v>
      </c>
      <c r="G9094" s="140" t="s">
        <v>499</v>
      </c>
      <c r="H9094">
        <v>0</v>
      </c>
      <c r="I9094" s="140" t="s">
        <v>17</v>
      </c>
    </row>
    <row r="9095" spans="1:9" hidden="1" x14ac:dyDescent="0.25">
      <c r="A9095">
        <v>2010</v>
      </c>
      <c r="B9095" s="140" t="s">
        <v>22</v>
      </c>
      <c r="C9095" s="140" t="s">
        <v>20</v>
      </c>
      <c r="D9095" s="140" t="s">
        <v>33</v>
      </c>
      <c r="E9095" s="140" t="s">
        <v>12</v>
      </c>
      <c r="F9095">
        <v>5593</v>
      </c>
      <c r="G9095" s="140" t="s">
        <v>499</v>
      </c>
      <c r="H9095">
        <v>0</v>
      </c>
      <c r="I9095" s="140" t="s">
        <v>17</v>
      </c>
    </row>
    <row r="9096" spans="1:9" hidden="1" x14ac:dyDescent="0.25">
      <c r="A9096">
        <v>2011</v>
      </c>
      <c r="B9096" s="140" t="s">
        <v>22</v>
      </c>
      <c r="C9096" s="140" t="s">
        <v>20</v>
      </c>
      <c r="D9096" s="140" t="s">
        <v>33</v>
      </c>
      <c r="E9096" s="140" t="s">
        <v>12</v>
      </c>
      <c r="F9096">
        <v>5412</v>
      </c>
      <c r="G9096" s="140" t="s">
        <v>499</v>
      </c>
      <c r="H9096">
        <v>0</v>
      </c>
      <c r="I9096" s="140" t="s">
        <v>17</v>
      </c>
    </row>
    <row r="9097" spans="1:9" hidden="1" x14ac:dyDescent="0.25">
      <c r="A9097">
        <v>2012</v>
      </c>
      <c r="B9097" s="140" t="s">
        <v>22</v>
      </c>
      <c r="C9097" s="140" t="s">
        <v>20</v>
      </c>
      <c r="D9097" s="140" t="s">
        <v>33</v>
      </c>
      <c r="E9097" s="140" t="s">
        <v>12</v>
      </c>
      <c r="F9097">
        <v>5805</v>
      </c>
      <c r="G9097" s="140" t="s">
        <v>499</v>
      </c>
      <c r="H9097">
        <v>0</v>
      </c>
      <c r="I9097" s="140" t="s">
        <v>17</v>
      </c>
    </row>
    <row r="9098" spans="1:9" hidden="1" x14ac:dyDescent="0.25">
      <c r="A9098">
        <v>2013</v>
      </c>
      <c r="B9098" s="140" t="s">
        <v>22</v>
      </c>
      <c r="C9098" s="140" t="s">
        <v>20</v>
      </c>
      <c r="D9098" s="140" t="s">
        <v>33</v>
      </c>
      <c r="E9098" s="140" t="s">
        <v>12</v>
      </c>
      <c r="F9098">
        <v>5701</v>
      </c>
      <c r="G9098" s="140" t="s">
        <v>499</v>
      </c>
      <c r="H9098">
        <v>0</v>
      </c>
      <c r="I9098" s="140" t="s">
        <v>17</v>
      </c>
    </row>
    <row r="9099" spans="1:9" hidden="1" x14ac:dyDescent="0.25">
      <c r="A9099">
        <v>2014</v>
      </c>
      <c r="B9099" s="140" t="s">
        <v>22</v>
      </c>
      <c r="C9099" s="140" t="s">
        <v>20</v>
      </c>
      <c r="D9099" s="140" t="s">
        <v>33</v>
      </c>
      <c r="E9099" s="140" t="s">
        <v>12</v>
      </c>
      <c r="F9099">
        <v>5972</v>
      </c>
      <c r="G9099" s="140" t="s">
        <v>499</v>
      </c>
      <c r="H9099">
        <v>0</v>
      </c>
      <c r="I9099" s="140" t="s">
        <v>17</v>
      </c>
    </row>
    <row r="9100" spans="1:9" hidden="1" x14ac:dyDescent="0.25">
      <c r="A9100">
        <v>2015</v>
      </c>
      <c r="B9100" s="140" t="s">
        <v>22</v>
      </c>
      <c r="C9100" s="140" t="s">
        <v>20</v>
      </c>
      <c r="D9100" s="140" t="s">
        <v>33</v>
      </c>
      <c r="E9100" s="140" t="s">
        <v>12</v>
      </c>
      <c r="F9100">
        <v>5714</v>
      </c>
      <c r="G9100" s="140" t="s">
        <v>499</v>
      </c>
      <c r="H9100">
        <v>0</v>
      </c>
      <c r="I9100" s="140" t="s">
        <v>17</v>
      </c>
    </row>
    <row r="9101" spans="1:9" hidden="1" x14ac:dyDescent="0.25">
      <c r="A9101">
        <v>2016</v>
      </c>
      <c r="B9101" s="140" t="s">
        <v>22</v>
      </c>
      <c r="C9101" s="140" t="s">
        <v>20</v>
      </c>
      <c r="D9101" s="140" t="s">
        <v>33</v>
      </c>
      <c r="E9101" s="140" t="s">
        <v>12</v>
      </c>
      <c r="F9101">
        <v>5415</v>
      </c>
      <c r="G9101" s="140" t="s">
        <v>499</v>
      </c>
      <c r="H9101">
        <v>0</v>
      </c>
      <c r="I9101" s="140" t="s">
        <v>17</v>
      </c>
    </row>
    <row r="9102" spans="1:9" hidden="1" x14ac:dyDescent="0.25">
      <c r="A9102">
        <v>2017</v>
      </c>
      <c r="B9102" s="140" t="s">
        <v>22</v>
      </c>
      <c r="C9102" s="140" t="s">
        <v>20</v>
      </c>
      <c r="D9102" s="140" t="s">
        <v>33</v>
      </c>
      <c r="E9102" s="140" t="s">
        <v>12</v>
      </c>
      <c r="F9102">
        <v>5680</v>
      </c>
      <c r="G9102" s="140" t="s">
        <v>499</v>
      </c>
      <c r="H9102">
        <v>0</v>
      </c>
      <c r="I9102" s="140" t="s">
        <v>17</v>
      </c>
    </row>
    <row r="9103" spans="1:9" hidden="1" x14ac:dyDescent="0.25">
      <c r="A9103">
        <v>2018</v>
      </c>
      <c r="B9103" s="140" t="s">
        <v>22</v>
      </c>
      <c r="C9103" s="140" t="s">
        <v>20</v>
      </c>
      <c r="D9103" s="140" t="s">
        <v>33</v>
      </c>
      <c r="E9103" s="140" t="s">
        <v>12</v>
      </c>
      <c r="F9103">
        <v>5732</v>
      </c>
      <c r="G9103" s="140" t="s">
        <v>499</v>
      </c>
      <c r="H9103">
        <v>0</v>
      </c>
      <c r="I9103" s="140" t="s">
        <v>17</v>
      </c>
    </row>
    <row r="9104" spans="1:9" hidden="1" x14ac:dyDescent="0.25">
      <c r="A9104">
        <v>2019</v>
      </c>
      <c r="B9104" s="140" t="s">
        <v>22</v>
      </c>
      <c r="C9104" s="140" t="s">
        <v>20</v>
      </c>
      <c r="D9104" s="140" t="s">
        <v>33</v>
      </c>
      <c r="E9104" s="140" t="s">
        <v>12</v>
      </c>
      <c r="F9104">
        <v>5992</v>
      </c>
      <c r="G9104" s="140" t="s">
        <v>499</v>
      </c>
      <c r="H9104">
        <v>0</v>
      </c>
      <c r="I9104" s="140" t="s">
        <v>17</v>
      </c>
    </row>
    <row r="9105" spans="1:9" hidden="1" x14ac:dyDescent="0.25">
      <c r="A9105">
        <v>2020</v>
      </c>
      <c r="B9105" s="140" t="s">
        <v>22</v>
      </c>
      <c r="C9105" s="140" t="s">
        <v>20</v>
      </c>
      <c r="D9105" s="140" t="s">
        <v>33</v>
      </c>
      <c r="E9105" s="140" t="s">
        <v>12</v>
      </c>
      <c r="F9105">
        <v>6195</v>
      </c>
      <c r="G9105" s="140" t="s">
        <v>499</v>
      </c>
      <c r="H9105">
        <v>0</v>
      </c>
      <c r="I9105" s="140" t="s">
        <v>17</v>
      </c>
    </row>
    <row r="9106" spans="1:9" hidden="1" x14ac:dyDescent="0.25">
      <c r="A9106">
        <v>2021</v>
      </c>
      <c r="B9106" s="140" t="s">
        <v>22</v>
      </c>
      <c r="C9106" s="140" t="s">
        <v>20</v>
      </c>
      <c r="D9106" s="140" t="s">
        <v>33</v>
      </c>
      <c r="E9106" s="140" t="s">
        <v>12</v>
      </c>
      <c r="F9106">
        <v>6066</v>
      </c>
      <c r="G9106" s="140" t="s">
        <v>499</v>
      </c>
      <c r="H9106">
        <v>0</v>
      </c>
      <c r="I9106" s="140" t="s">
        <v>17</v>
      </c>
    </row>
    <row r="9107" spans="1:9" hidden="1" x14ac:dyDescent="0.25">
      <c r="A9107">
        <v>2022</v>
      </c>
      <c r="B9107" s="140" t="s">
        <v>22</v>
      </c>
      <c r="C9107" s="140" t="s">
        <v>20</v>
      </c>
      <c r="D9107" s="140" t="s">
        <v>33</v>
      </c>
      <c r="E9107" s="140" t="s">
        <v>12</v>
      </c>
      <c r="F9107">
        <v>6100</v>
      </c>
      <c r="G9107" s="140" t="s">
        <v>499</v>
      </c>
      <c r="H9107">
        <v>0</v>
      </c>
      <c r="I9107" s="140" t="s">
        <v>17</v>
      </c>
    </row>
    <row r="9108" spans="1:9" hidden="1" x14ac:dyDescent="0.25">
      <c r="A9108">
        <v>2023</v>
      </c>
      <c r="B9108" s="140" t="s">
        <v>22</v>
      </c>
      <c r="C9108" s="140" t="s">
        <v>20</v>
      </c>
      <c r="D9108" s="140" t="s">
        <v>33</v>
      </c>
      <c r="E9108" s="140" t="s">
        <v>12</v>
      </c>
      <c r="F9108">
        <v>7227</v>
      </c>
      <c r="G9108" s="140" t="s">
        <v>499</v>
      </c>
      <c r="H9108">
        <v>0</v>
      </c>
      <c r="I9108" s="140" t="s">
        <v>17</v>
      </c>
    </row>
    <row r="9109" spans="1:9" hidden="1" x14ac:dyDescent="0.25">
      <c r="A9109">
        <v>2024</v>
      </c>
      <c r="B9109" s="140" t="s">
        <v>22</v>
      </c>
      <c r="C9109" s="140" t="s">
        <v>20</v>
      </c>
      <c r="D9109" s="140" t="s">
        <v>33</v>
      </c>
      <c r="E9109" s="140" t="s">
        <v>12</v>
      </c>
      <c r="F9109">
        <v>7525</v>
      </c>
      <c r="G9109" s="140" t="s">
        <v>499</v>
      </c>
      <c r="H9109">
        <v>0</v>
      </c>
      <c r="I9109" s="140" t="s">
        <v>17</v>
      </c>
    </row>
    <row r="9110" spans="1:9" hidden="1" x14ac:dyDescent="0.25">
      <c r="A9110">
        <v>2025</v>
      </c>
      <c r="B9110" s="140" t="s">
        <v>22</v>
      </c>
      <c r="C9110" s="140" t="s">
        <v>20</v>
      </c>
      <c r="D9110" s="140" t="s">
        <v>33</v>
      </c>
      <c r="E9110" s="140" t="s">
        <v>12</v>
      </c>
      <c r="F9110">
        <v>7214</v>
      </c>
      <c r="G9110" s="140" t="s">
        <v>499</v>
      </c>
      <c r="H9110">
        <v>0</v>
      </c>
      <c r="I9110" s="140" t="s">
        <v>17</v>
      </c>
    </row>
    <row r="9111" spans="1:9" hidden="1" x14ac:dyDescent="0.25">
      <c r="A9111">
        <v>1990</v>
      </c>
      <c r="B9111" s="140" t="s">
        <v>22</v>
      </c>
      <c r="C9111" s="140" t="s">
        <v>20</v>
      </c>
      <c r="D9111" s="140" t="s">
        <v>34</v>
      </c>
      <c r="E9111" s="140" t="s">
        <v>12</v>
      </c>
      <c r="F9111">
        <v>14309</v>
      </c>
      <c r="G9111" s="140" t="s">
        <v>489</v>
      </c>
      <c r="H9111">
        <v>0</v>
      </c>
      <c r="I9111" s="140" t="s">
        <v>17</v>
      </c>
    </row>
    <row r="9112" spans="1:9" hidden="1" x14ac:dyDescent="0.25">
      <c r="A9112">
        <v>1991</v>
      </c>
      <c r="B9112" s="140" t="s">
        <v>22</v>
      </c>
      <c r="C9112" s="140" t="s">
        <v>20</v>
      </c>
      <c r="D9112" s="140" t="s">
        <v>34</v>
      </c>
      <c r="E9112" s="140" t="s">
        <v>12</v>
      </c>
      <c r="F9112">
        <v>12855</v>
      </c>
      <c r="G9112" s="140" t="s">
        <v>489</v>
      </c>
      <c r="H9112">
        <v>0</v>
      </c>
      <c r="I9112" s="140" t="s">
        <v>17</v>
      </c>
    </row>
    <row r="9113" spans="1:9" hidden="1" x14ac:dyDescent="0.25">
      <c r="A9113">
        <v>1992</v>
      </c>
      <c r="B9113" s="140" t="s">
        <v>22</v>
      </c>
      <c r="C9113" s="140" t="s">
        <v>20</v>
      </c>
      <c r="D9113" s="140" t="s">
        <v>34</v>
      </c>
      <c r="E9113" s="140" t="s">
        <v>12</v>
      </c>
      <c r="F9113">
        <v>11790</v>
      </c>
      <c r="G9113" s="140" t="s">
        <v>489</v>
      </c>
      <c r="H9113">
        <v>0</v>
      </c>
      <c r="I9113" s="140" t="s">
        <v>17</v>
      </c>
    </row>
    <row r="9114" spans="1:9" hidden="1" x14ac:dyDescent="0.25">
      <c r="A9114">
        <v>1993</v>
      </c>
      <c r="B9114" s="140" t="s">
        <v>22</v>
      </c>
      <c r="C9114" s="140" t="s">
        <v>20</v>
      </c>
      <c r="D9114" s="140" t="s">
        <v>34</v>
      </c>
      <c r="E9114" s="140" t="s">
        <v>12</v>
      </c>
      <c r="F9114">
        <v>10511</v>
      </c>
      <c r="G9114" s="140" t="s">
        <v>489</v>
      </c>
      <c r="H9114">
        <v>0</v>
      </c>
      <c r="I9114" s="140" t="s">
        <v>17</v>
      </c>
    </row>
    <row r="9115" spans="1:9" hidden="1" x14ac:dyDescent="0.25">
      <c r="A9115">
        <v>1994</v>
      </c>
      <c r="B9115" s="140" t="s">
        <v>22</v>
      </c>
      <c r="C9115" s="140" t="s">
        <v>20</v>
      </c>
      <c r="D9115" s="140" t="s">
        <v>34</v>
      </c>
      <c r="E9115" s="140" t="s">
        <v>12</v>
      </c>
      <c r="F9115">
        <v>9491</v>
      </c>
      <c r="G9115" s="140" t="s">
        <v>489</v>
      </c>
      <c r="H9115">
        <v>0</v>
      </c>
      <c r="I9115" s="140" t="s">
        <v>17</v>
      </c>
    </row>
    <row r="9116" spans="1:9" hidden="1" x14ac:dyDescent="0.25">
      <c r="A9116">
        <v>1995</v>
      </c>
      <c r="B9116" s="140" t="s">
        <v>22</v>
      </c>
      <c r="C9116" s="140" t="s">
        <v>20</v>
      </c>
      <c r="D9116" s="140" t="s">
        <v>34</v>
      </c>
      <c r="E9116" s="140" t="s">
        <v>12</v>
      </c>
      <c r="F9116">
        <v>8510</v>
      </c>
      <c r="G9116" s="140" t="s">
        <v>489</v>
      </c>
      <c r="H9116">
        <v>0</v>
      </c>
      <c r="I9116" s="140" t="s">
        <v>17</v>
      </c>
    </row>
    <row r="9117" spans="1:9" hidden="1" x14ac:dyDescent="0.25">
      <c r="A9117">
        <v>1996</v>
      </c>
      <c r="B9117" s="140" t="s">
        <v>22</v>
      </c>
      <c r="C9117" s="140" t="s">
        <v>20</v>
      </c>
      <c r="D9117" s="140" t="s">
        <v>34</v>
      </c>
      <c r="E9117" s="140" t="s">
        <v>12</v>
      </c>
      <c r="F9117">
        <v>9518</v>
      </c>
      <c r="G9117" s="140" t="s">
        <v>489</v>
      </c>
      <c r="H9117">
        <v>0</v>
      </c>
      <c r="I9117" s="140" t="s">
        <v>17</v>
      </c>
    </row>
    <row r="9118" spans="1:9" hidden="1" x14ac:dyDescent="0.25">
      <c r="A9118">
        <v>1997</v>
      </c>
      <c r="B9118" s="140" t="s">
        <v>22</v>
      </c>
      <c r="C9118" s="140" t="s">
        <v>20</v>
      </c>
      <c r="D9118" s="140" t="s">
        <v>34</v>
      </c>
      <c r="E9118" s="140" t="s">
        <v>12</v>
      </c>
      <c r="F9118">
        <v>10464</v>
      </c>
      <c r="G9118" s="140" t="s">
        <v>489</v>
      </c>
      <c r="H9118">
        <v>0</v>
      </c>
      <c r="I9118" s="140" t="s">
        <v>17</v>
      </c>
    </row>
    <row r="9119" spans="1:9" hidden="1" x14ac:dyDescent="0.25">
      <c r="A9119">
        <v>1998</v>
      </c>
      <c r="B9119" s="140" t="s">
        <v>22</v>
      </c>
      <c r="C9119" s="140" t="s">
        <v>20</v>
      </c>
      <c r="D9119" s="140" t="s">
        <v>34</v>
      </c>
      <c r="E9119" s="140" t="s">
        <v>12</v>
      </c>
      <c r="F9119">
        <v>11021</v>
      </c>
      <c r="G9119" s="140" t="s">
        <v>489</v>
      </c>
      <c r="H9119">
        <v>0</v>
      </c>
      <c r="I9119" s="140" t="s">
        <v>17</v>
      </c>
    </row>
    <row r="9120" spans="1:9" hidden="1" x14ac:dyDescent="0.25">
      <c r="A9120">
        <v>1999</v>
      </c>
      <c r="B9120" s="140" t="s">
        <v>22</v>
      </c>
      <c r="C9120" s="140" t="s">
        <v>20</v>
      </c>
      <c r="D9120" s="140" t="s">
        <v>34</v>
      </c>
      <c r="E9120" s="140" t="s">
        <v>12</v>
      </c>
      <c r="F9120">
        <v>10657</v>
      </c>
      <c r="G9120" s="140" t="s">
        <v>489</v>
      </c>
      <c r="H9120">
        <v>0</v>
      </c>
      <c r="I9120" s="140" t="s">
        <v>17</v>
      </c>
    </row>
    <row r="9121" spans="1:9" hidden="1" x14ac:dyDescent="0.25">
      <c r="A9121">
        <v>2000</v>
      </c>
      <c r="B9121" s="140" t="s">
        <v>22</v>
      </c>
      <c r="C9121" s="140" t="s">
        <v>20</v>
      </c>
      <c r="D9121" s="140" t="s">
        <v>34</v>
      </c>
      <c r="E9121" s="140" t="s">
        <v>12</v>
      </c>
      <c r="F9121">
        <v>10715</v>
      </c>
      <c r="G9121" s="140" t="s">
        <v>489</v>
      </c>
      <c r="H9121">
        <v>0</v>
      </c>
      <c r="I9121" s="140" t="s">
        <v>17</v>
      </c>
    </row>
    <row r="9122" spans="1:9" hidden="1" x14ac:dyDescent="0.25">
      <c r="A9122">
        <v>2001</v>
      </c>
      <c r="B9122" s="140" t="s">
        <v>22</v>
      </c>
      <c r="C9122" s="140" t="s">
        <v>20</v>
      </c>
      <c r="D9122" s="140" t="s">
        <v>34</v>
      </c>
      <c r="E9122" s="140" t="s">
        <v>12</v>
      </c>
      <c r="F9122">
        <v>9836</v>
      </c>
      <c r="G9122" s="140" t="s">
        <v>489</v>
      </c>
      <c r="H9122">
        <v>0</v>
      </c>
      <c r="I9122" s="140" t="s">
        <v>17</v>
      </c>
    </row>
    <row r="9123" spans="1:9" hidden="1" x14ac:dyDescent="0.25">
      <c r="A9123">
        <v>2002</v>
      </c>
      <c r="B9123" s="140" t="s">
        <v>22</v>
      </c>
      <c r="C9123" s="140" t="s">
        <v>20</v>
      </c>
      <c r="D9123" s="140" t="s">
        <v>34</v>
      </c>
      <c r="E9123" s="140" t="s">
        <v>12</v>
      </c>
      <c r="F9123">
        <v>9974</v>
      </c>
      <c r="G9123" s="140" t="s">
        <v>489</v>
      </c>
      <c r="H9123">
        <v>0</v>
      </c>
      <c r="I9123" s="140" t="s">
        <v>17</v>
      </c>
    </row>
    <row r="9124" spans="1:9" hidden="1" x14ac:dyDescent="0.25">
      <c r="A9124">
        <v>2003</v>
      </c>
      <c r="B9124" s="140" t="s">
        <v>22</v>
      </c>
      <c r="C9124" s="140" t="s">
        <v>20</v>
      </c>
      <c r="D9124" s="140" t="s">
        <v>34</v>
      </c>
      <c r="E9124" s="140" t="s">
        <v>12</v>
      </c>
      <c r="F9124">
        <v>10544</v>
      </c>
      <c r="G9124" s="140" t="s">
        <v>489</v>
      </c>
      <c r="H9124">
        <v>0</v>
      </c>
      <c r="I9124" s="140" t="s">
        <v>17</v>
      </c>
    </row>
    <row r="9125" spans="1:9" hidden="1" x14ac:dyDescent="0.25">
      <c r="A9125">
        <v>2004</v>
      </c>
      <c r="B9125" s="140" t="s">
        <v>22</v>
      </c>
      <c r="C9125" s="140" t="s">
        <v>20</v>
      </c>
      <c r="D9125" s="140" t="s">
        <v>34</v>
      </c>
      <c r="E9125" s="140" t="s">
        <v>12</v>
      </c>
      <c r="F9125">
        <v>11166</v>
      </c>
      <c r="G9125" s="140" t="s">
        <v>489</v>
      </c>
      <c r="H9125">
        <v>0</v>
      </c>
      <c r="I9125" s="140" t="s">
        <v>17</v>
      </c>
    </row>
    <row r="9126" spans="1:9" hidden="1" x14ac:dyDescent="0.25">
      <c r="A9126">
        <v>2005</v>
      </c>
      <c r="B9126" s="140" t="s">
        <v>22</v>
      </c>
      <c r="C9126" s="140" t="s">
        <v>20</v>
      </c>
      <c r="D9126" s="140" t="s">
        <v>34</v>
      </c>
      <c r="E9126" s="140" t="s">
        <v>12</v>
      </c>
      <c r="F9126">
        <v>11718</v>
      </c>
      <c r="G9126" s="140" t="s">
        <v>489</v>
      </c>
      <c r="H9126">
        <v>0</v>
      </c>
      <c r="I9126" s="140" t="s">
        <v>17</v>
      </c>
    </row>
    <row r="9127" spans="1:9" hidden="1" x14ac:dyDescent="0.25">
      <c r="A9127">
        <v>2006</v>
      </c>
      <c r="B9127" s="140" t="s">
        <v>22</v>
      </c>
      <c r="C9127" s="140" t="s">
        <v>20</v>
      </c>
      <c r="D9127" s="140" t="s">
        <v>34</v>
      </c>
      <c r="E9127" s="140" t="s">
        <v>12</v>
      </c>
      <c r="F9127">
        <v>12078</v>
      </c>
      <c r="G9127" s="140" t="s">
        <v>489</v>
      </c>
      <c r="H9127">
        <v>0</v>
      </c>
      <c r="I9127" s="140" t="s">
        <v>17</v>
      </c>
    </row>
    <row r="9128" spans="1:9" hidden="1" x14ac:dyDescent="0.25">
      <c r="A9128">
        <v>2007</v>
      </c>
      <c r="B9128" s="140" t="s">
        <v>22</v>
      </c>
      <c r="C9128" s="140" t="s">
        <v>20</v>
      </c>
      <c r="D9128" s="140" t="s">
        <v>34</v>
      </c>
      <c r="E9128" s="140" t="s">
        <v>12</v>
      </c>
      <c r="F9128">
        <v>12522</v>
      </c>
      <c r="G9128" s="140" t="s">
        <v>489</v>
      </c>
      <c r="H9128">
        <v>0</v>
      </c>
      <c r="I9128" s="140" t="s">
        <v>17</v>
      </c>
    </row>
    <row r="9129" spans="1:9" hidden="1" x14ac:dyDescent="0.25">
      <c r="A9129">
        <v>2008</v>
      </c>
      <c r="B9129" s="140" t="s">
        <v>22</v>
      </c>
      <c r="C9129" s="140" t="s">
        <v>20</v>
      </c>
      <c r="D9129" s="140" t="s">
        <v>34</v>
      </c>
      <c r="E9129" s="140" t="s">
        <v>12</v>
      </c>
      <c r="F9129">
        <v>12222</v>
      </c>
      <c r="G9129" s="140" t="s">
        <v>489</v>
      </c>
      <c r="H9129">
        <v>0</v>
      </c>
      <c r="I9129" s="140" t="s">
        <v>17</v>
      </c>
    </row>
    <row r="9130" spans="1:9" hidden="1" x14ac:dyDescent="0.25">
      <c r="A9130">
        <v>2009</v>
      </c>
      <c r="B9130" s="140" t="s">
        <v>22</v>
      </c>
      <c r="C9130" s="140" t="s">
        <v>20</v>
      </c>
      <c r="D9130" s="140" t="s">
        <v>34</v>
      </c>
      <c r="E9130" s="140" t="s">
        <v>12</v>
      </c>
      <c r="F9130">
        <v>11269</v>
      </c>
      <c r="G9130" s="140" t="s">
        <v>489</v>
      </c>
      <c r="H9130">
        <v>0</v>
      </c>
      <c r="I9130" s="140" t="s">
        <v>17</v>
      </c>
    </row>
    <row r="9131" spans="1:9" hidden="1" x14ac:dyDescent="0.25">
      <c r="A9131">
        <v>2010</v>
      </c>
      <c r="B9131" s="140" t="s">
        <v>22</v>
      </c>
      <c r="C9131" s="140" t="s">
        <v>20</v>
      </c>
      <c r="D9131" s="140" t="s">
        <v>34</v>
      </c>
      <c r="E9131" s="140" t="s">
        <v>12</v>
      </c>
      <c r="F9131">
        <v>12562</v>
      </c>
      <c r="G9131" s="140" t="s">
        <v>489</v>
      </c>
      <c r="H9131">
        <v>0</v>
      </c>
      <c r="I9131" s="140" t="s">
        <v>17</v>
      </c>
    </row>
    <row r="9132" spans="1:9" hidden="1" x14ac:dyDescent="0.25">
      <c r="A9132">
        <v>2011</v>
      </c>
      <c r="B9132" s="140" t="s">
        <v>22</v>
      </c>
      <c r="C9132" s="140" t="s">
        <v>20</v>
      </c>
      <c r="D9132" s="140" t="s">
        <v>34</v>
      </c>
      <c r="E9132" s="140" t="s">
        <v>12</v>
      </c>
      <c r="F9132">
        <v>12685</v>
      </c>
      <c r="G9132" s="140" t="s">
        <v>489</v>
      </c>
      <c r="H9132">
        <v>0</v>
      </c>
      <c r="I9132" s="140" t="s">
        <v>17</v>
      </c>
    </row>
    <row r="9133" spans="1:9" hidden="1" x14ac:dyDescent="0.25">
      <c r="A9133">
        <v>2012</v>
      </c>
      <c r="B9133" s="140" t="s">
        <v>22</v>
      </c>
      <c r="C9133" s="140" t="s">
        <v>20</v>
      </c>
      <c r="D9133" s="140" t="s">
        <v>34</v>
      </c>
      <c r="E9133" s="140" t="s">
        <v>12</v>
      </c>
      <c r="F9133">
        <v>11895</v>
      </c>
      <c r="G9133" s="140" t="s">
        <v>489</v>
      </c>
      <c r="H9133">
        <v>0</v>
      </c>
      <c r="I9133" s="140" t="s">
        <v>17</v>
      </c>
    </row>
    <row r="9134" spans="1:9" hidden="1" x14ac:dyDescent="0.25">
      <c r="A9134">
        <v>2013</v>
      </c>
      <c r="B9134" s="140" t="s">
        <v>22</v>
      </c>
      <c r="C9134" s="140" t="s">
        <v>20</v>
      </c>
      <c r="D9134" s="140" t="s">
        <v>34</v>
      </c>
      <c r="E9134" s="140" t="s">
        <v>12</v>
      </c>
      <c r="F9134">
        <v>11609</v>
      </c>
      <c r="G9134" s="140" t="s">
        <v>489</v>
      </c>
      <c r="H9134">
        <v>0</v>
      </c>
      <c r="I9134" s="140" t="s">
        <v>17</v>
      </c>
    </row>
    <row r="9135" spans="1:9" hidden="1" x14ac:dyDescent="0.25">
      <c r="A9135">
        <v>2014</v>
      </c>
      <c r="B9135" s="140" t="s">
        <v>22</v>
      </c>
      <c r="C9135" s="140" t="s">
        <v>20</v>
      </c>
      <c r="D9135" s="140" t="s">
        <v>34</v>
      </c>
      <c r="E9135" s="140" t="s">
        <v>12</v>
      </c>
      <c r="F9135">
        <v>11171</v>
      </c>
      <c r="G9135" s="140" t="s">
        <v>489</v>
      </c>
      <c r="H9135">
        <v>0</v>
      </c>
      <c r="I9135" s="140" t="s">
        <v>17</v>
      </c>
    </row>
    <row r="9136" spans="1:9" hidden="1" x14ac:dyDescent="0.25">
      <c r="A9136">
        <v>2015</v>
      </c>
      <c r="B9136" s="140" t="s">
        <v>22</v>
      </c>
      <c r="C9136" s="140" t="s">
        <v>20</v>
      </c>
      <c r="D9136" s="140" t="s">
        <v>34</v>
      </c>
      <c r="E9136" s="140" t="s">
        <v>12</v>
      </c>
      <c r="F9136">
        <v>11472</v>
      </c>
      <c r="G9136" s="140" t="s">
        <v>489</v>
      </c>
      <c r="H9136">
        <v>0</v>
      </c>
      <c r="I9136" s="140" t="s">
        <v>17</v>
      </c>
    </row>
    <row r="9137" spans="1:9" hidden="1" x14ac:dyDescent="0.25">
      <c r="A9137">
        <v>2016</v>
      </c>
      <c r="B9137" s="140" t="s">
        <v>22</v>
      </c>
      <c r="C9137" s="140" t="s">
        <v>20</v>
      </c>
      <c r="D9137" s="140" t="s">
        <v>34</v>
      </c>
      <c r="E9137" s="140" t="s">
        <v>12</v>
      </c>
      <c r="F9137">
        <v>11895</v>
      </c>
      <c r="G9137" s="140" t="s">
        <v>489</v>
      </c>
      <c r="H9137">
        <v>0</v>
      </c>
      <c r="I9137" s="140" t="s">
        <v>17</v>
      </c>
    </row>
    <row r="9138" spans="1:9" hidden="1" x14ac:dyDescent="0.25">
      <c r="A9138">
        <v>2017</v>
      </c>
      <c r="B9138" s="140" t="s">
        <v>22</v>
      </c>
      <c r="C9138" s="140" t="s">
        <v>20</v>
      </c>
      <c r="D9138" s="140" t="s">
        <v>34</v>
      </c>
      <c r="E9138" s="140" t="s">
        <v>12</v>
      </c>
      <c r="F9138">
        <v>12386</v>
      </c>
      <c r="G9138" s="140" t="s">
        <v>489</v>
      </c>
      <c r="H9138">
        <v>0</v>
      </c>
      <c r="I9138" s="140" t="s">
        <v>17</v>
      </c>
    </row>
    <row r="9139" spans="1:9" hidden="1" x14ac:dyDescent="0.25">
      <c r="A9139">
        <v>2018</v>
      </c>
      <c r="B9139" s="140" t="s">
        <v>22</v>
      </c>
      <c r="C9139" s="140" t="s">
        <v>20</v>
      </c>
      <c r="D9139" s="140" t="s">
        <v>34</v>
      </c>
      <c r="E9139" s="140" t="s">
        <v>12</v>
      </c>
      <c r="F9139">
        <v>12568</v>
      </c>
      <c r="G9139" s="140" t="s">
        <v>489</v>
      </c>
      <c r="H9139">
        <v>0</v>
      </c>
      <c r="I9139" s="140" t="s">
        <v>17</v>
      </c>
    </row>
    <row r="9140" spans="1:9" hidden="1" x14ac:dyDescent="0.25">
      <c r="A9140">
        <v>2019</v>
      </c>
      <c r="B9140" s="140" t="s">
        <v>22</v>
      </c>
      <c r="C9140" s="140" t="s">
        <v>20</v>
      </c>
      <c r="D9140" s="140" t="s">
        <v>34</v>
      </c>
      <c r="E9140" s="140" t="s">
        <v>12</v>
      </c>
      <c r="F9140">
        <v>11950</v>
      </c>
      <c r="G9140" s="140" t="s">
        <v>489</v>
      </c>
      <c r="H9140">
        <v>0</v>
      </c>
      <c r="I9140" s="140" t="s">
        <v>17</v>
      </c>
    </row>
    <row r="9141" spans="1:9" hidden="1" x14ac:dyDescent="0.25">
      <c r="A9141">
        <v>2020</v>
      </c>
      <c r="B9141" s="140" t="s">
        <v>22</v>
      </c>
      <c r="C9141" s="140" t="s">
        <v>20</v>
      </c>
      <c r="D9141" s="140" t="s">
        <v>34</v>
      </c>
      <c r="E9141" s="140" t="s">
        <v>12</v>
      </c>
      <c r="F9141">
        <v>11796</v>
      </c>
      <c r="G9141" s="140" t="s">
        <v>489</v>
      </c>
      <c r="H9141">
        <v>0</v>
      </c>
      <c r="I9141" s="140" t="s">
        <v>17</v>
      </c>
    </row>
    <row r="9142" spans="1:9" hidden="1" x14ac:dyDescent="0.25">
      <c r="A9142">
        <v>2021</v>
      </c>
      <c r="B9142" s="140" t="s">
        <v>22</v>
      </c>
      <c r="C9142" s="140" t="s">
        <v>20</v>
      </c>
      <c r="D9142" s="140" t="s">
        <v>34</v>
      </c>
      <c r="E9142" s="140" t="s">
        <v>12</v>
      </c>
      <c r="F9142">
        <v>11785</v>
      </c>
      <c r="G9142" s="140" t="s">
        <v>489</v>
      </c>
      <c r="H9142">
        <v>0</v>
      </c>
      <c r="I9142" s="140" t="s">
        <v>17</v>
      </c>
    </row>
    <row r="9143" spans="1:9" hidden="1" x14ac:dyDescent="0.25">
      <c r="A9143">
        <v>2022</v>
      </c>
      <c r="B9143" s="140" t="s">
        <v>22</v>
      </c>
      <c r="C9143" s="140" t="s">
        <v>20</v>
      </c>
      <c r="D9143" s="140" t="s">
        <v>34</v>
      </c>
      <c r="E9143" s="140" t="s">
        <v>12</v>
      </c>
      <c r="F9143">
        <v>11749</v>
      </c>
      <c r="G9143" s="140" t="s">
        <v>489</v>
      </c>
      <c r="H9143">
        <v>0</v>
      </c>
      <c r="I9143" s="140" t="s">
        <v>17</v>
      </c>
    </row>
    <row r="9144" spans="1:9" hidden="1" x14ac:dyDescent="0.25">
      <c r="A9144">
        <v>2023</v>
      </c>
      <c r="B9144" s="140" t="s">
        <v>22</v>
      </c>
      <c r="C9144" s="140" t="s">
        <v>20</v>
      </c>
      <c r="D9144" s="140" t="s">
        <v>34</v>
      </c>
      <c r="E9144" s="140" t="s">
        <v>12</v>
      </c>
      <c r="F9144">
        <v>10429</v>
      </c>
      <c r="G9144" s="140" t="s">
        <v>489</v>
      </c>
      <c r="H9144">
        <v>0</v>
      </c>
      <c r="I9144" s="140" t="s">
        <v>17</v>
      </c>
    </row>
    <row r="9145" spans="1:9" hidden="1" x14ac:dyDescent="0.25">
      <c r="A9145">
        <v>2024</v>
      </c>
      <c r="B9145" s="140" t="s">
        <v>22</v>
      </c>
      <c r="C9145" s="140" t="s">
        <v>20</v>
      </c>
      <c r="D9145" s="140" t="s">
        <v>34</v>
      </c>
      <c r="E9145" s="140" t="s">
        <v>12</v>
      </c>
      <c r="F9145">
        <v>9822</v>
      </c>
      <c r="G9145" s="140" t="s">
        <v>489</v>
      </c>
      <c r="H9145">
        <v>0</v>
      </c>
      <c r="I9145" s="140" t="s">
        <v>17</v>
      </c>
    </row>
    <row r="9146" spans="1:9" hidden="1" x14ac:dyDescent="0.25">
      <c r="A9146">
        <v>2025</v>
      </c>
      <c r="B9146" s="140" t="s">
        <v>22</v>
      </c>
      <c r="C9146" s="140" t="s">
        <v>20</v>
      </c>
      <c r="D9146" s="140" t="s">
        <v>34</v>
      </c>
      <c r="E9146" s="140" t="s">
        <v>12</v>
      </c>
      <c r="F9146">
        <v>10034</v>
      </c>
      <c r="G9146" s="140" t="s">
        <v>489</v>
      </c>
      <c r="H9146">
        <v>0</v>
      </c>
      <c r="I9146" s="140" t="s">
        <v>17</v>
      </c>
    </row>
    <row r="9147" spans="1:9" hidden="1" x14ac:dyDescent="0.25">
      <c r="A9147">
        <v>2026</v>
      </c>
      <c r="B9147" s="140" t="s">
        <v>22</v>
      </c>
      <c r="C9147" s="140" t="s">
        <v>20</v>
      </c>
      <c r="D9147" s="140" t="s">
        <v>34</v>
      </c>
      <c r="E9147" s="140" t="s">
        <v>12</v>
      </c>
      <c r="F9147">
        <v>10278.36786</v>
      </c>
      <c r="G9147" s="140" t="s">
        <v>489</v>
      </c>
      <c r="H9147">
        <v>0</v>
      </c>
      <c r="I9147" s="140" t="s">
        <v>17</v>
      </c>
    </row>
    <row r="9148" spans="1:9" hidden="1" x14ac:dyDescent="0.25">
      <c r="A9148">
        <v>2027</v>
      </c>
      <c r="B9148" s="140" t="s">
        <v>22</v>
      </c>
      <c r="C9148" s="140" t="s">
        <v>20</v>
      </c>
      <c r="D9148" s="140" t="s">
        <v>34</v>
      </c>
      <c r="E9148" s="140" t="s">
        <v>12</v>
      </c>
      <c r="F9148">
        <v>10792.286249999999</v>
      </c>
      <c r="G9148" s="140" t="s">
        <v>489</v>
      </c>
      <c r="H9148">
        <v>0</v>
      </c>
      <c r="I9148" s="140" t="s">
        <v>17</v>
      </c>
    </row>
    <row r="9149" spans="1:9" hidden="1" x14ac:dyDescent="0.25">
      <c r="A9149">
        <v>2028</v>
      </c>
      <c r="B9149" s="140" t="s">
        <v>22</v>
      </c>
      <c r="C9149" s="140" t="s">
        <v>20</v>
      </c>
      <c r="D9149" s="140" t="s">
        <v>34</v>
      </c>
      <c r="E9149" s="140" t="s">
        <v>12</v>
      </c>
      <c r="F9149">
        <v>11331.90056</v>
      </c>
      <c r="G9149" s="140" t="s">
        <v>489</v>
      </c>
      <c r="H9149">
        <v>0</v>
      </c>
      <c r="I9149" s="140" t="s">
        <v>17</v>
      </c>
    </row>
    <row r="9150" spans="1:9" hidden="1" x14ac:dyDescent="0.25">
      <c r="A9150">
        <v>1990</v>
      </c>
      <c r="B9150" s="140" t="s">
        <v>22</v>
      </c>
      <c r="C9150" s="140" t="s">
        <v>20</v>
      </c>
      <c r="D9150" s="140" t="s">
        <v>36</v>
      </c>
      <c r="E9150" s="140" t="s">
        <v>12</v>
      </c>
      <c r="F9150">
        <v>22593</v>
      </c>
      <c r="G9150" s="140" t="s">
        <v>500</v>
      </c>
      <c r="H9150">
        <v>0</v>
      </c>
      <c r="I9150" s="140" t="s">
        <v>17</v>
      </c>
    </row>
    <row r="9151" spans="1:9" hidden="1" x14ac:dyDescent="0.25">
      <c r="A9151">
        <v>1991</v>
      </c>
      <c r="B9151" s="140" t="s">
        <v>22</v>
      </c>
      <c r="C9151" s="140" t="s">
        <v>20</v>
      </c>
      <c r="D9151" s="140" t="s">
        <v>36</v>
      </c>
      <c r="E9151" s="140" t="s">
        <v>12</v>
      </c>
      <c r="F9151">
        <v>20378</v>
      </c>
      <c r="G9151" s="140" t="s">
        <v>500</v>
      </c>
      <c r="H9151">
        <v>0</v>
      </c>
      <c r="I9151" s="140" t="s">
        <v>17</v>
      </c>
    </row>
    <row r="9152" spans="1:9" hidden="1" x14ac:dyDescent="0.25">
      <c r="A9152">
        <v>1992</v>
      </c>
      <c r="B9152" s="140" t="s">
        <v>22</v>
      </c>
      <c r="C9152" s="140" t="s">
        <v>20</v>
      </c>
      <c r="D9152" s="140" t="s">
        <v>36</v>
      </c>
      <c r="E9152" s="140" t="s">
        <v>12</v>
      </c>
      <c r="F9152">
        <v>18363</v>
      </c>
      <c r="G9152" s="140" t="s">
        <v>500</v>
      </c>
      <c r="H9152">
        <v>0</v>
      </c>
      <c r="I9152" s="140" t="s">
        <v>17</v>
      </c>
    </row>
    <row r="9153" spans="1:9" hidden="1" x14ac:dyDescent="0.25">
      <c r="A9153">
        <v>1993</v>
      </c>
      <c r="B9153" s="140" t="s">
        <v>22</v>
      </c>
      <c r="C9153" s="140" t="s">
        <v>20</v>
      </c>
      <c r="D9153" s="140" t="s">
        <v>36</v>
      </c>
      <c r="E9153" s="140" t="s">
        <v>12</v>
      </c>
      <c r="F9153">
        <v>18102</v>
      </c>
      <c r="G9153" s="140" t="s">
        <v>500</v>
      </c>
      <c r="H9153">
        <v>0</v>
      </c>
      <c r="I9153" s="140" t="s">
        <v>17</v>
      </c>
    </row>
    <row r="9154" spans="1:9" hidden="1" x14ac:dyDescent="0.25">
      <c r="A9154">
        <v>1994</v>
      </c>
      <c r="B9154" s="140" t="s">
        <v>22</v>
      </c>
      <c r="C9154" s="140" t="s">
        <v>20</v>
      </c>
      <c r="D9154" s="140" t="s">
        <v>36</v>
      </c>
      <c r="E9154" s="140" t="s">
        <v>12</v>
      </c>
      <c r="F9154">
        <v>19078</v>
      </c>
      <c r="G9154" s="140" t="s">
        <v>500</v>
      </c>
      <c r="H9154">
        <v>0</v>
      </c>
      <c r="I9154" s="140" t="s">
        <v>17</v>
      </c>
    </row>
    <row r="9155" spans="1:9" hidden="1" x14ac:dyDescent="0.25">
      <c r="A9155">
        <v>1995</v>
      </c>
      <c r="B9155" s="140" t="s">
        <v>22</v>
      </c>
      <c r="C9155" s="140" t="s">
        <v>20</v>
      </c>
      <c r="D9155" s="140" t="s">
        <v>36</v>
      </c>
      <c r="E9155" s="140" t="s">
        <v>12</v>
      </c>
      <c r="F9155">
        <v>20117</v>
      </c>
      <c r="G9155" s="140" t="s">
        <v>500</v>
      </c>
      <c r="H9155">
        <v>0</v>
      </c>
      <c r="I9155" s="140" t="s">
        <v>17</v>
      </c>
    </row>
    <row r="9156" spans="1:9" hidden="1" x14ac:dyDescent="0.25">
      <c r="A9156">
        <v>1996</v>
      </c>
      <c r="B9156" s="140" t="s">
        <v>22</v>
      </c>
      <c r="C9156" s="140" t="s">
        <v>20</v>
      </c>
      <c r="D9156" s="140" t="s">
        <v>36</v>
      </c>
      <c r="E9156" s="140" t="s">
        <v>12</v>
      </c>
      <c r="F9156">
        <v>20779</v>
      </c>
      <c r="G9156" s="140" t="s">
        <v>500</v>
      </c>
      <c r="H9156">
        <v>0</v>
      </c>
      <c r="I9156" s="140" t="s">
        <v>17</v>
      </c>
    </row>
    <row r="9157" spans="1:9" hidden="1" x14ac:dyDescent="0.25">
      <c r="A9157">
        <v>1997</v>
      </c>
      <c r="B9157" s="140" t="s">
        <v>22</v>
      </c>
      <c r="C9157" s="140" t="s">
        <v>20</v>
      </c>
      <c r="D9157" s="140" t="s">
        <v>36</v>
      </c>
      <c r="E9157" s="140" t="s">
        <v>12</v>
      </c>
      <c r="F9157">
        <v>21910</v>
      </c>
      <c r="G9157" s="140" t="s">
        <v>500</v>
      </c>
      <c r="H9157">
        <v>0</v>
      </c>
      <c r="I9157" s="140" t="s">
        <v>17</v>
      </c>
    </row>
    <row r="9158" spans="1:9" hidden="1" x14ac:dyDescent="0.25">
      <c r="A9158">
        <v>1998</v>
      </c>
      <c r="B9158" s="140" t="s">
        <v>22</v>
      </c>
      <c r="C9158" s="140" t="s">
        <v>20</v>
      </c>
      <c r="D9158" s="140" t="s">
        <v>36</v>
      </c>
      <c r="E9158" s="140" t="s">
        <v>12</v>
      </c>
      <c r="F9158">
        <v>23368</v>
      </c>
      <c r="G9158" s="140" t="s">
        <v>500</v>
      </c>
      <c r="H9158">
        <v>0</v>
      </c>
      <c r="I9158" s="140" t="s">
        <v>17</v>
      </c>
    </row>
    <row r="9159" spans="1:9" hidden="1" x14ac:dyDescent="0.25">
      <c r="A9159">
        <v>1999</v>
      </c>
      <c r="B9159" s="140" t="s">
        <v>22</v>
      </c>
      <c r="C9159" s="140" t="s">
        <v>20</v>
      </c>
      <c r="D9159" s="140" t="s">
        <v>36</v>
      </c>
      <c r="E9159" s="140" t="s">
        <v>12</v>
      </c>
      <c r="F9159">
        <v>24068</v>
      </c>
      <c r="G9159" s="140" t="s">
        <v>500</v>
      </c>
      <c r="H9159">
        <v>0</v>
      </c>
      <c r="I9159" s="140" t="s">
        <v>17</v>
      </c>
    </row>
    <row r="9160" spans="1:9" hidden="1" x14ac:dyDescent="0.25">
      <c r="A9160">
        <v>2000</v>
      </c>
      <c r="B9160" s="140" t="s">
        <v>22</v>
      </c>
      <c r="C9160" s="140" t="s">
        <v>20</v>
      </c>
      <c r="D9160" s="140" t="s">
        <v>36</v>
      </c>
      <c r="E9160" s="140" t="s">
        <v>12</v>
      </c>
      <c r="F9160">
        <v>24904</v>
      </c>
      <c r="G9160" s="140" t="s">
        <v>500</v>
      </c>
      <c r="H9160">
        <v>0</v>
      </c>
      <c r="I9160" s="140" t="s">
        <v>17</v>
      </c>
    </row>
    <row r="9161" spans="1:9" hidden="1" x14ac:dyDescent="0.25">
      <c r="A9161">
        <v>2001</v>
      </c>
      <c r="B9161" s="140" t="s">
        <v>22</v>
      </c>
      <c r="C9161" s="140" t="s">
        <v>20</v>
      </c>
      <c r="D9161" s="140" t="s">
        <v>36</v>
      </c>
      <c r="E9161" s="140" t="s">
        <v>12</v>
      </c>
      <c r="F9161">
        <v>26262</v>
      </c>
      <c r="G9161" s="140" t="s">
        <v>500</v>
      </c>
      <c r="H9161">
        <v>0</v>
      </c>
      <c r="I9161" s="140" t="s">
        <v>17</v>
      </c>
    </row>
    <row r="9162" spans="1:9" hidden="1" x14ac:dyDescent="0.25">
      <c r="A9162">
        <v>2002</v>
      </c>
      <c r="B9162" s="140" t="s">
        <v>22</v>
      </c>
      <c r="C9162" s="140" t="s">
        <v>20</v>
      </c>
      <c r="D9162" s="140" t="s">
        <v>36</v>
      </c>
      <c r="E9162" s="140" t="s">
        <v>12</v>
      </c>
      <c r="F9162">
        <v>26351</v>
      </c>
      <c r="G9162" s="140" t="s">
        <v>500</v>
      </c>
      <c r="H9162">
        <v>0</v>
      </c>
      <c r="I9162" s="140" t="s">
        <v>17</v>
      </c>
    </row>
    <row r="9163" spans="1:9" hidden="1" x14ac:dyDescent="0.25">
      <c r="A9163">
        <v>2003</v>
      </c>
      <c r="B9163" s="140" t="s">
        <v>22</v>
      </c>
      <c r="C9163" s="140" t="s">
        <v>20</v>
      </c>
      <c r="D9163" s="140" t="s">
        <v>36</v>
      </c>
      <c r="E9163" s="140" t="s">
        <v>12</v>
      </c>
      <c r="F9163">
        <v>26601</v>
      </c>
      <c r="G9163" s="140" t="s">
        <v>500</v>
      </c>
      <c r="H9163">
        <v>0</v>
      </c>
      <c r="I9163" s="140" t="s">
        <v>17</v>
      </c>
    </row>
    <row r="9164" spans="1:9" hidden="1" x14ac:dyDescent="0.25">
      <c r="A9164">
        <v>2004</v>
      </c>
      <c r="B9164" s="140" t="s">
        <v>22</v>
      </c>
      <c r="C9164" s="140" t="s">
        <v>20</v>
      </c>
      <c r="D9164" s="140" t="s">
        <v>36</v>
      </c>
      <c r="E9164" s="140" t="s">
        <v>12</v>
      </c>
      <c r="F9164">
        <v>27888</v>
      </c>
      <c r="G9164" s="140" t="s">
        <v>500</v>
      </c>
      <c r="H9164">
        <v>0</v>
      </c>
      <c r="I9164" s="140" t="s">
        <v>17</v>
      </c>
    </row>
    <row r="9165" spans="1:9" hidden="1" x14ac:dyDescent="0.25">
      <c r="A9165">
        <v>2005</v>
      </c>
      <c r="B9165" s="140" t="s">
        <v>22</v>
      </c>
      <c r="C9165" s="140" t="s">
        <v>20</v>
      </c>
      <c r="D9165" s="140" t="s">
        <v>36</v>
      </c>
      <c r="E9165" s="140" t="s">
        <v>12</v>
      </c>
      <c r="F9165">
        <v>28688</v>
      </c>
      <c r="G9165" s="140" t="s">
        <v>500</v>
      </c>
      <c r="H9165">
        <v>0</v>
      </c>
      <c r="I9165" s="140" t="s">
        <v>17</v>
      </c>
    </row>
    <row r="9166" spans="1:9" hidden="1" x14ac:dyDescent="0.25">
      <c r="A9166">
        <v>2006</v>
      </c>
      <c r="B9166" s="140" t="s">
        <v>22</v>
      </c>
      <c r="C9166" s="140" t="s">
        <v>20</v>
      </c>
      <c r="D9166" s="140" t="s">
        <v>36</v>
      </c>
      <c r="E9166" s="140" t="s">
        <v>12</v>
      </c>
      <c r="F9166">
        <v>28453</v>
      </c>
      <c r="G9166" s="140" t="s">
        <v>500</v>
      </c>
      <c r="H9166">
        <v>0</v>
      </c>
      <c r="I9166" s="140" t="s">
        <v>17</v>
      </c>
    </row>
    <row r="9167" spans="1:9" hidden="1" x14ac:dyDescent="0.25">
      <c r="A9167">
        <v>2007</v>
      </c>
      <c r="B9167" s="140" t="s">
        <v>22</v>
      </c>
      <c r="C9167" s="140" t="s">
        <v>20</v>
      </c>
      <c r="D9167" s="140" t="s">
        <v>36</v>
      </c>
      <c r="E9167" s="140" t="s">
        <v>12</v>
      </c>
      <c r="F9167">
        <v>30920</v>
      </c>
      <c r="G9167" s="140" t="s">
        <v>500</v>
      </c>
      <c r="H9167">
        <v>0</v>
      </c>
      <c r="I9167" s="140" t="s">
        <v>17</v>
      </c>
    </row>
    <row r="9168" spans="1:9" hidden="1" x14ac:dyDescent="0.25">
      <c r="A9168">
        <v>2008</v>
      </c>
      <c r="B9168" s="140" t="s">
        <v>22</v>
      </c>
      <c r="C9168" s="140" t="s">
        <v>20</v>
      </c>
      <c r="D9168" s="140" t="s">
        <v>36</v>
      </c>
      <c r="E9168" s="140" t="s">
        <v>12</v>
      </c>
      <c r="F9168">
        <v>32540</v>
      </c>
      <c r="G9168" s="140" t="s">
        <v>500</v>
      </c>
      <c r="H9168">
        <v>0</v>
      </c>
      <c r="I9168" s="140" t="s">
        <v>17</v>
      </c>
    </row>
    <row r="9169" spans="1:9" hidden="1" x14ac:dyDescent="0.25">
      <c r="A9169">
        <v>2009</v>
      </c>
      <c r="B9169" s="140" t="s">
        <v>22</v>
      </c>
      <c r="C9169" s="140" t="s">
        <v>20</v>
      </c>
      <c r="D9169" s="140" t="s">
        <v>36</v>
      </c>
      <c r="E9169" s="140" t="s">
        <v>12</v>
      </c>
      <c r="F9169">
        <v>28795</v>
      </c>
      <c r="G9169" s="140" t="s">
        <v>500</v>
      </c>
      <c r="H9169">
        <v>0</v>
      </c>
      <c r="I9169" s="140" t="s">
        <v>17</v>
      </c>
    </row>
    <row r="9170" spans="1:9" hidden="1" x14ac:dyDescent="0.25">
      <c r="A9170">
        <v>2010</v>
      </c>
      <c r="B9170" s="140" t="s">
        <v>22</v>
      </c>
      <c r="C9170" s="140" t="s">
        <v>20</v>
      </c>
      <c r="D9170" s="140" t="s">
        <v>36</v>
      </c>
      <c r="E9170" s="140" t="s">
        <v>12</v>
      </c>
      <c r="F9170">
        <v>29728</v>
      </c>
      <c r="G9170" s="140" t="s">
        <v>500</v>
      </c>
      <c r="H9170">
        <v>0</v>
      </c>
      <c r="I9170" s="140" t="s">
        <v>17</v>
      </c>
    </row>
    <row r="9171" spans="1:9" hidden="1" x14ac:dyDescent="0.25">
      <c r="A9171">
        <v>2011</v>
      </c>
      <c r="B9171" s="140" t="s">
        <v>22</v>
      </c>
      <c r="C9171" s="140" t="s">
        <v>20</v>
      </c>
      <c r="D9171" s="140" t="s">
        <v>36</v>
      </c>
      <c r="E9171" s="140" t="s">
        <v>12</v>
      </c>
      <c r="F9171">
        <v>30806</v>
      </c>
      <c r="G9171" s="140" t="s">
        <v>500</v>
      </c>
      <c r="H9171">
        <v>0</v>
      </c>
      <c r="I9171" s="140" t="s">
        <v>17</v>
      </c>
    </row>
    <row r="9172" spans="1:9" hidden="1" x14ac:dyDescent="0.25">
      <c r="A9172">
        <v>2012</v>
      </c>
      <c r="B9172" s="140" t="s">
        <v>22</v>
      </c>
      <c r="C9172" s="140" t="s">
        <v>20</v>
      </c>
      <c r="D9172" s="140" t="s">
        <v>36</v>
      </c>
      <c r="E9172" s="140" t="s">
        <v>12</v>
      </c>
      <c r="F9172">
        <v>31477</v>
      </c>
      <c r="G9172" s="140" t="s">
        <v>500</v>
      </c>
      <c r="H9172">
        <v>0</v>
      </c>
      <c r="I9172" s="140" t="s">
        <v>17</v>
      </c>
    </row>
    <row r="9173" spans="1:9" hidden="1" x14ac:dyDescent="0.25">
      <c r="A9173">
        <v>2013</v>
      </c>
      <c r="B9173" s="140" t="s">
        <v>22</v>
      </c>
      <c r="C9173" s="140" t="s">
        <v>20</v>
      </c>
      <c r="D9173" s="140" t="s">
        <v>36</v>
      </c>
      <c r="E9173" s="140" t="s">
        <v>12</v>
      </c>
      <c r="F9173">
        <v>30296</v>
      </c>
      <c r="G9173" s="140" t="s">
        <v>500</v>
      </c>
      <c r="H9173">
        <v>0</v>
      </c>
      <c r="I9173" s="140" t="s">
        <v>17</v>
      </c>
    </row>
    <row r="9174" spans="1:9" hidden="1" x14ac:dyDescent="0.25">
      <c r="A9174">
        <v>2014</v>
      </c>
      <c r="B9174" s="140" t="s">
        <v>22</v>
      </c>
      <c r="C9174" s="140" t="s">
        <v>20</v>
      </c>
      <c r="D9174" s="140" t="s">
        <v>36</v>
      </c>
      <c r="E9174" s="140" t="s">
        <v>12</v>
      </c>
      <c r="F9174">
        <v>29540</v>
      </c>
      <c r="G9174" s="140" t="s">
        <v>500</v>
      </c>
      <c r="H9174">
        <v>0</v>
      </c>
      <c r="I9174" s="140" t="s">
        <v>17</v>
      </c>
    </row>
    <row r="9175" spans="1:9" hidden="1" x14ac:dyDescent="0.25">
      <c r="A9175">
        <v>2015</v>
      </c>
      <c r="B9175" s="140" t="s">
        <v>22</v>
      </c>
      <c r="C9175" s="140" t="s">
        <v>20</v>
      </c>
      <c r="D9175" s="140" t="s">
        <v>36</v>
      </c>
      <c r="E9175" s="140" t="s">
        <v>12</v>
      </c>
      <c r="F9175">
        <v>28755</v>
      </c>
      <c r="G9175" s="140" t="s">
        <v>500</v>
      </c>
      <c r="H9175">
        <v>0</v>
      </c>
      <c r="I9175" s="140" t="s">
        <v>17</v>
      </c>
    </row>
    <row r="9176" spans="1:9" hidden="1" x14ac:dyDescent="0.25">
      <c r="A9176">
        <v>2016</v>
      </c>
      <c r="B9176" s="140" t="s">
        <v>22</v>
      </c>
      <c r="C9176" s="140" t="s">
        <v>20</v>
      </c>
      <c r="D9176" s="140" t="s">
        <v>36</v>
      </c>
      <c r="E9176" s="140" t="s">
        <v>12</v>
      </c>
      <c r="F9176">
        <v>29607</v>
      </c>
      <c r="G9176" s="140" t="s">
        <v>500</v>
      </c>
      <c r="H9176">
        <v>0</v>
      </c>
      <c r="I9176" s="140" t="s">
        <v>17</v>
      </c>
    </row>
    <row r="9177" spans="1:9" hidden="1" x14ac:dyDescent="0.25">
      <c r="A9177">
        <v>2017</v>
      </c>
      <c r="B9177" s="140" t="s">
        <v>22</v>
      </c>
      <c r="C9177" s="140" t="s">
        <v>20</v>
      </c>
      <c r="D9177" s="140" t="s">
        <v>36</v>
      </c>
      <c r="E9177" s="140" t="s">
        <v>12</v>
      </c>
      <c r="F9177">
        <v>30813</v>
      </c>
      <c r="G9177" s="140" t="s">
        <v>500</v>
      </c>
      <c r="H9177">
        <v>0</v>
      </c>
      <c r="I9177" s="140" t="s">
        <v>17</v>
      </c>
    </row>
    <row r="9178" spans="1:9" hidden="1" x14ac:dyDescent="0.25">
      <c r="A9178">
        <v>2018</v>
      </c>
      <c r="B9178" s="140" t="s">
        <v>22</v>
      </c>
      <c r="C9178" s="140" t="s">
        <v>20</v>
      </c>
      <c r="D9178" s="140" t="s">
        <v>36</v>
      </c>
      <c r="E9178" s="140" t="s">
        <v>12</v>
      </c>
      <c r="F9178">
        <v>30780</v>
      </c>
      <c r="G9178" s="140" t="s">
        <v>500</v>
      </c>
      <c r="H9178">
        <v>0</v>
      </c>
      <c r="I9178" s="140" t="s">
        <v>17</v>
      </c>
    </row>
    <row r="9179" spans="1:9" hidden="1" x14ac:dyDescent="0.25">
      <c r="A9179">
        <v>2019</v>
      </c>
      <c r="B9179" s="140" t="s">
        <v>22</v>
      </c>
      <c r="C9179" s="140" t="s">
        <v>20</v>
      </c>
      <c r="D9179" s="140" t="s">
        <v>36</v>
      </c>
      <c r="E9179" s="140" t="s">
        <v>12</v>
      </c>
      <c r="F9179">
        <v>31121</v>
      </c>
      <c r="G9179" s="140" t="s">
        <v>500</v>
      </c>
      <c r="H9179">
        <v>0</v>
      </c>
      <c r="I9179" s="140" t="s">
        <v>17</v>
      </c>
    </row>
    <row r="9180" spans="1:9" hidden="1" x14ac:dyDescent="0.25">
      <c r="A9180">
        <v>2020</v>
      </c>
      <c r="B9180" s="140" t="s">
        <v>22</v>
      </c>
      <c r="C9180" s="140" t="s">
        <v>20</v>
      </c>
      <c r="D9180" s="140" t="s">
        <v>36</v>
      </c>
      <c r="E9180" s="140" t="s">
        <v>12</v>
      </c>
      <c r="F9180">
        <v>28525</v>
      </c>
      <c r="G9180" s="140" t="s">
        <v>500</v>
      </c>
      <c r="H9180">
        <v>0</v>
      </c>
      <c r="I9180" s="140" t="s">
        <v>17</v>
      </c>
    </row>
    <row r="9181" spans="1:9" hidden="1" x14ac:dyDescent="0.25">
      <c r="A9181">
        <v>2021</v>
      </c>
      <c r="B9181" s="140" t="s">
        <v>22</v>
      </c>
      <c r="C9181" s="140" t="s">
        <v>20</v>
      </c>
      <c r="D9181" s="140" t="s">
        <v>36</v>
      </c>
      <c r="E9181" s="140" t="s">
        <v>12</v>
      </c>
      <c r="F9181">
        <v>29154</v>
      </c>
      <c r="G9181" s="140" t="s">
        <v>500</v>
      </c>
      <c r="H9181">
        <v>0</v>
      </c>
      <c r="I9181" s="140" t="s">
        <v>17</v>
      </c>
    </row>
    <row r="9182" spans="1:9" hidden="1" x14ac:dyDescent="0.25">
      <c r="A9182">
        <v>2022</v>
      </c>
      <c r="B9182" s="140" t="s">
        <v>22</v>
      </c>
      <c r="C9182" s="140" t="s">
        <v>20</v>
      </c>
      <c r="D9182" s="140" t="s">
        <v>36</v>
      </c>
      <c r="E9182" s="140" t="s">
        <v>12</v>
      </c>
      <c r="F9182">
        <v>29584</v>
      </c>
      <c r="G9182" s="140" t="s">
        <v>500</v>
      </c>
      <c r="H9182">
        <v>0</v>
      </c>
      <c r="I9182" s="140" t="s">
        <v>17</v>
      </c>
    </row>
    <row r="9183" spans="1:9" hidden="1" x14ac:dyDescent="0.25">
      <c r="A9183">
        <v>2023</v>
      </c>
      <c r="B9183" s="140" t="s">
        <v>22</v>
      </c>
      <c r="C9183" s="140" t="s">
        <v>20</v>
      </c>
      <c r="D9183" s="140" t="s">
        <v>36</v>
      </c>
      <c r="E9183" s="140" t="s">
        <v>12</v>
      </c>
      <c r="F9183">
        <v>28021</v>
      </c>
      <c r="G9183" s="140" t="s">
        <v>500</v>
      </c>
      <c r="H9183">
        <v>0</v>
      </c>
      <c r="I9183" s="140" t="s">
        <v>17</v>
      </c>
    </row>
    <row r="9184" spans="1:9" hidden="1" x14ac:dyDescent="0.25">
      <c r="A9184">
        <v>2024</v>
      </c>
      <c r="B9184" s="140" t="s">
        <v>22</v>
      </c>
      <c r="C9184" s="140" t="s">
        <v>20</v>
      </c>
      <c r="D9184" s="140" t="s">
        <v>36</v>
      </c>
      <c r="E9184" s="140" t="s">
        <v>12</v>
      </c>
      <c r="F9184">
        <v>27677</v>
      </c>
      <c r="G9184" s="140" t="s">
        <v>500</v>
      </c>
      <c r="H9184">
        <v>0</v>
      </c>
      <c r="I9184" s="140" t="s">
        <v>17</v>
      </c>
    </row>
    <row r="9185" spans="1:9" hidden="1" x14ac:dyDescent="0.25">
      <c r="A9185">
        <v>2025</v>
      </c>
      <c r="B9185" s="140" t="s">
        <v>22</v>
      </c>
      <c r="C9185" s="140" t="s">
        <v>20</v>
      </c>
      <c r="D9185" s="140" t="s">
        <v>36</v>
      </c>
      <c r="E9185" s="140" t="s">
        <v>12</v>
      </c>
      <c r="F9185">
        <v>27992</v>
      </c>
      <c r="G9185" s="140" t="s">
        <v>500</v>
      </c>
      <c r="H9185">
        <v>0</v>
      </c>
      <c r="I9185" s="140" t="s">
        <v>17</v>
      </c>
    </row>
    <row r="9186" spans="1:9" hidden="1" x14ac:dyDescent="0.25">
      <c r="A9186">
        <v>1990</v>
      </c>
      <c r="B9186" s="140" t="s">
        <v>22</v>
      </c>
      <c r="C9186" s="140" t="s">
        <v>20</v>
      </c>
      <c r="D9186" s="140" t="s">
        <v>35</v>
      </c>
      <c r="E9186" s="140" t="s">
        <v>12</v>
      </c>
      <c r="F9186">
        <v>12475</v>
      </c>
      <c r="G9186" s="140" t="s">
        <v>501</v>
      </c>
      <c r="H9186">
        <v>0</v>
      </c>
      <c r="I9186" s="140" t="s">
        <v>17</v>
      </c>
    </row>
    <row r="9187" spans="1:9" hidden="1" x14ac:dyDescent="0.25">
      <c r="A9187">
        <v>1991</v>
      </c>
      <c r="B9187" s="140" t="s">
        <v>22</v>
      </c>
      <c r="C9187" s="140" t="s">
        <v>20</v>
      </c>
      <c r="D9187" s="140" t="s">
        <v>35</v>
      </c>
      <c r="E9187" s="140" t="s">
        <v>12</v>
      </c>
      <c r="F9187">
        <v>10948</v>
      </c>
      <c r="G9187" s="140" t="s">
        <v>501</v>
      </c>
      <c r="H9187">
        <v>0</v>
      </c>
      <c r="I9187" s="140" t="s">
        <v>17</v>
      </c>
    </row>
    <row r="9188" spans="1:9" hidden="1" x14ac:dyDescent="0.25">
      <c r="A9188">
        <v>1992</v>
      </c>
      <c r="B9188" s="140" t="s">
        <v>22</v>
      </c>
      <c r="C9188" s="140" t="s">
        <v>20</v>
      </c>
      <c r="D9188" s="140" t="s">
        <v>35</v>
      </c>
      <c r="E9188" s="140" t="s">
        <v>12</v>
      </c>
      <c r="F9188">
        <v>9202</v>
      </c>
      <c r="G9188" s="140" t="s">
        <v>501</v>
      </c>
      <c r="H9188">
        <v>0</v>
      </c>
      <c r="I9188" s="140" t="s">
        <v>17</v>
      </c>
    </row>
    <row r="9189" spans="1:9" hidden="1" x14ac:dyDescent="0.25">
      <c r="A9189">
        <v>1993</v>
      </c>
      <c r="B9189" s="140" t="s">
        <v>22</v>
      </c>
      <c r="C9189" s="140" t="s">
        <v>20</v>
      </c>
      <c r="D9189" s="140" t="s">
        <v>35</v>
      </c>
      <c r="E9189" s="140" t="s">
        <v>12</v>
      </c>
      <c r="F9189">
        <v>8807</v>
      </c>
      <c r="G9189" s="140" t="s">
        <v>501</v>
      </c>
      <c r="H9189">
        <v>0</v>
      </c>
      <c r="I9189" s="140" t="s">
        <v>17</v>
      </c>
    </row>
    <row r="9190" spans="1:9" hidden="1" x14ac:dyDescent="0.25">
      <c r="A9190">
        <v>1994</v>
      </c>
      <c r="B9190" s="140" t="s">
        <v>22</v>
      </c>
      <c r="C9190" s="140" t="s">
        <v>20</v>
      </c>
      <c r="D9190" s="140" t="s">
        <v>35</v>
      </c>
      <c r="E9190" s="140" t="s">
        <v>12</v>
      </c>
      <c r="F9190">
        <v>9418</v>
      </c>
      <c r="G9190" s="140" t="s">
        <v>501</v>
      </c>
      <c r="H9190">
        <v>0</v>
      </c>
      <c r="I9190" s="140" t="s">
        <v>17</v>
      </c>
    </row>
    <row r="9191" spans="1:9" hidden="1" x14ac:dyDescent="0.25">
      <c r="A9191">
        <v>1995</v>
      </c>
      <c r="B9191" s="140" t="s">
        <v>22</v>
      </c>
      <c r="C9191" s="140" t="s">
        <v>20</v>
      </c>
      <c r="D9191" s="140" t="s">
        <v>35</v>
      </c>
      <c r="E9191" s="140" t="s">
        <v>12</v>
      </c>
      <c r="F9191">
        <v>10002</v>
      </c>
      <c r="G9191" s="140" t="s">
        <v>501</v>
      </c>
      <c r="H9191">
        <v>0</v>
      </c>
      <c r="I9191" s="140" t="s">
        <v>17</v>
      </c>
    </row>
    <row r="9192" spans="1:9" hidden="1" x14ac:dyDescent="0.25">
      <c r="A9192">
        <v>1996</v>
      </c>
      <c r="B9192" s="140" t="s">
        <v>22</v>
      </c>
      <c r="C9192" s="140" t="s">
        <v>20</v>
      </c>
      <c r="D9192" s="140" t="s">
        <v>35</v>
      </c>
      <c r="E9192" s="140" t="s">
        <v>12</v>
      </c>
      <c r="F9192">
        <v>10373</v>
      </c>
      <c r="G9192" s="140" t="s">
        <v>501</v>
      </c>
      <c r="H9192">
        <v>0</v>
      </c>
      <c r="I9192" s="140" t="s">
        <v>17</v>
      </c>
    </row>
    <row r="9193" spans="1:9" hidden="1" x14ac:dyDescent="0.25">
      <c r="A9193">
        <v>1997</v>
      </c>
      <c r="B9193" s="140" t="s">
        <v>22</v>
      </c>
      <c r="C9193" s="140" t="s">
        <v>20</v>
      </c>
      <c r="D9193" s="140" t="s">
        <v>35</v>
      </c>
      <c r="E9193" s="140" t="s">
        <v>12</v>
      </c>
      <c r="F9193">
        <v>10975</v>
      </c>
      <c r="G9193" s="140" t="s">
        <v>501</v>
      </c>
      <c r="H9193">
        <v>0</v>
      </c>
      <c r="I9193" s="140" t="s">
        <v>17</v>
      </c>
    </row>
    <row r="9194" spans="1:9" hidden="1" x14ac:dyDescent="0.25">
      <c r="A9194">
        <v>1998</v>
      </c>
      <c r="B9194" s="140" t="s">
        <v>22</v>
      </c>
      <c r="C9194" s="140" t="s">
        <v>20</v>
      </c>
      <c r="D9194" s="140" t="s">
        <v>35</v>
      </c>
      <c r="E9194" s="140" t="s">
        <v>12</v>
      </c>
      <c r="F9194">
        <v>11737</v>
      </c>
      <c r="G9194" s="140" t="s">
        <v>501</v>
      </c>
      <c r="H9194">
        <v>0</v>
      </c>
      <c r="I9194" s="140" t="s">
        <v>17</v>
      </c>
    </row>
    <row r="9195" spans="1:9" hidden="1" x14ac:dyDescent="0.25">
      <c r="A9195">
        <v>1999</v>
      </c>
      <c r="B9195" s="140" t="s">
        <v>22</v>
      </c>
      <c r="C9195" s="140" t="s">
        <v>20</v>
      </c>
      <c r="D9195" s="140" t="s">
        <v>35</v>
      </c>
      <c r="E9195" s="140" t="s">
        <v>12</v>
      </c>
      <c r="F9195">
        <v>12254</v>
      </c>
      <c r="G9195" s="140" t="s">
        <v>501</v>
      </c>
      <c r="H9195">
        <v>0</v>
      </c>
      <c r="I9195" s="140" t="s">
        <v>17</v>
      </c>
    </row>
    <row r="9196" spans="1:9" hidden="1" x14ac:dyDescent="0.25">
      <c r="A9196">
        <v>2000</v>
      </c>
      <c r="B9196" s="140" t="s">
        <v>22</v>
      </c>
      <c r="C9196" s="140" t="s">
        <v>20</v>
      </c>
      <c r="D9196" s="140" t="s">
        <v>35</v>
      </c>
      <c r="E9196" s="140" t="s">
        <v>12</v>
      </c>
      <c r="F9196">
        <v>12715</v>
      </c>
      <c r="G9196" s="140" t="s">
        <v>501</v>
      </c>
      <c r="H9196">
        <v>0</v>
      </c>
      <c r="I9196" s="140" t="s">
        <v>17</v>
      </c>
    </row>
    <row r="9197" spans="1:9" hidden="1" x14ac:dyDescent="0.25">
      <c r="A9197">
        <v>2001</v>
      </c>
      <c r="B9197" s="140" t="s">
        <v>22</v>
      </c>
      <c r="C9197" s="140" t="s">
        <v>20</v>
      </c>
      <c r="D9197" s="140" t="s">
        <v>35</v>
      </c>
      <c r="E9197" s="140" t="s">
        <v>12</v>
      </c>
      <c r="F9197">
        <v>13558</v>
      </c>
      <c r="G9197" s="140" t="s">
        <v>501</v>
      </c>
      <c r="H9197">
        <v>0</v>
      </c>
      <c r="I9197" s="140" t="s">
        <v>17</v>
      </c>
    </row>
    <row r="9198" spans="1:9" hidden="1" x14ac:dyDescent="0.25">
      <c r="A9198">
        <v>2002</v>
      </c>
      <c r="B9198" s="140" t="s">
        <v>22</v>
      </c>
      <c r="C9198" s="140" t="s">
        <v>20</v>
      </c>
      <c r="D9198" s="140" t="s">
        <v>35</v>
      </c>
      <c r="E9198" s="140" t="s">
        <v>12</v>
      </c>
      <c r="F9198">
        <v>13888</v>
      </c>
      <c r="G9198" s="140" t="s">
        <v>501</v>
      </c>
      <c r="H9198">
        <v>0</v>
      </c>
      <c r="I9198" s="140" t="s">
        <v>17</v>
      </c>
    </row>
    <row r="9199" spans="1:9" hidden="1" x14ac:dyDescent="0.25">
      <c r="A9199">
        <v>2003</v>
      </c>
      <c r="B9199" s="140" t="s">
        <v>22</v>
      </c>
      <c r="C9199" s="140" t="s">
        <v>20</v>
      </c>
      <c r="D9199" s="140" t="s">
        <v>35</v>
      </c>
      <c r="E9199" s="140" t="s">
        <v>12</v>
      </c>
      <c r="F9199">
        <v>14393</v>
      </c>
      <c r="G9199" s="140" t="s">
        <v>501</v>
      </c>
      <c r="H9199">
        <v>0</v>
      </c>
      <c r="I9199" s="140" t="s">
        <v>17</v>
      </c>
    </row>
    <row r="9200" spans="1:9" hidden="1" x14ac:dyDescent="0.25">
      <c r="A9200">
        <v>2004</v>
      </c>
      <c r="B9200" s="140" t="s">
        <v>22</v>
      </c>
      <c r="C9200" s="140" t="s">
        <v>20</v>
      </c>
      <c r="D9200" s="140" t="s">
        <v>35</v>
      </c>
      <c r="E9200" s="140" t="s">
        <v>12</v>
      </c>
      <c r="F9200">
        <v>15263</v>
      </c>
      <c r="G9200" s="140" t="s">
        <v>501</v>
      </c>
      <c r="H9200">
        <v>0</v>
      </c>
      <c r="I9200" s="140" t="s">
        <v>17</v>
      </c>
    </row>
    <row r="9201" spans="1:9" hidden="1" x14ac:dyDescent="0.25">
      <c r="A9201">
        <v>2005</v>
      </c>
      <c r="B9201" s="140" t="s">
        <v>22</v>
      </c>
      <c r="C9201" s="140" t="s">
        <v>20</v>
      </c>
      <c r="D9201" s="140" t="s">
        <v>35</v>
      </c>
      <c r="E9201" s="140" t="s">
        <v>12</v>
      </c>
      <c r="F9201">
        <v>15583</v>
      </c>
      <c r="G9201" s="140" t="s">
        <v>501</v>
      </c>
      <c r="H9201">
        <v>0</v>
      </c>
      <c r="I9201" s="140" t="s">
        <v>17</v>
      </c>
    </row>
    <row r="9202" spans="1:9" hidden="1" x14ac:dyDescent="0.25">
      <c r="A9202">
        <v>2006</v>
      </c>
      <c r="B9202" s="140" t="s">
        <v>22</v>
      </c>
      <c r="C9202" s="140" t="s">
        <v>20</v>
      </c>
      <c r="D9202" s="140" t="s">
        <v>35</v>
      </c>
      <c r="E9202" s="140" t="s">
        <v>12</v>
      </c>
      <c r="F9202">
        <v>15633</v>
      </c>
      <c r="G9202" s="140" t="s">
        <v>501</v>
      </c>
      <c r="H9202">
        <v>0</v>
      </c>
      <c r="I9202" s="140" t="s">
        <v>17</v>
      </c>
    </row>
    <row r="9203" spans="1:9" hidden="1" x14ac:dyDescent="0.25">
      <c r="A9203">
        <v>2007</v>
      </c>
      <c r="B9203" s="140" t="s">
        <v>22</v>
      </c>
      <c r="C9203" s="140" t="s">
        <v>20</v>
      </c>
      <c r="D9203" s="140" t="s">
        <v>35</v>
      </c>
      <c r="E9203" s="140" t="s">
        <v>12</v>
      </c>
      <c r="F9203">
        <v>17548</v>
      </c>
      <c r="G9203" s="140" t="s">
        <v>501</v>
      </c>
      <c r="H9203">
        <v>0</v>
      </c>
      <c r="I9203" s="140" t="s">
        <v>17</v>
      </c>
    </row>
    <row r="9204" spans="1:9" hidden="1" x14ac:dyDescent="0.25">
      <c r="A9204">
        <v>2008</v>
      </c>
      <c r="B9204" s="140" t="s">
        <v>22</v>
      </c>
      <c r="C9204" s="140" t="s">
        <v>20</v>
      </c>
      <c r="D9204" s="140" t="s">
        <v>35</v>
      </c>
      <c r="E9204" s="140" t="s">
        <v>12</v>
      </c>
      <c r="F9204">
        <v>19132</v>
      </c>
      <c r="G9204" s="140" t="s">
        <v>501</v>
      </c>
      <c r="H9204">
        <v>0</v>
      </c>
      <c r="I9204" s="140" t="s">
        <v>17</v>
      </c>
    </row>
    <row r="9205" spans="1:9" hidden="1" x14ac:dyDescent="0.25">
      <c r="A9205">
        <v>2009</v>
      </c>
      <c r="B9205" s="140" t="s">
        <v>22</v>
      </c>
      <c r="C9205" s="140" t="s">
        <v>20</v>
      </c>
      <c r="D9205" s="140" t="s">
        <v>35</v>
      </c>
      <c r="E9205" s="140" t="s">
        <v>12</v>
      </c>
      <c r="F9205">
        <v>17018</v>
      </c>
      <c r="G9205" s="140" t="s">
        <v>501</v>
      </c>
      <c r="H9205">
        <v>0</v>
      </c>
      <c r="I9205" s="140" t="s">
        <v>17</v>
      </c>
    </row>
    <row r="9206" spans="1:9" hidden="1" x14ac:dyDescent="0.25">
      <c r="A9206">
        <v>2010</v>
      </c>
      <c r="B9206" s="140" t="s">
        <v>22</v>
      </c>
      <c r="C9206" s="140" t="s">
        <v>20</v>
      </c>
      <c r="D9206" s="140" t="s">
        <v>35</v>
      </c>
      <c r="E9206" s="140" t="s">
        <v>12</v>
      </c>
      <c r="F9206">
        <v>17443</v>
      </c>
      <c r="G9206" s="140" t="s">
        <v>501</v>
      </c>
      <c r="H9206">
        <v>0</v>
      </c>
      <c r="I9206" s="140" t="s">
        <v>17</v>
      </c>
    </row>
    <row r="9207" spans="1:9" hidden="1" x14ac:dyDescent="0.25">
      <c r="A9207">
        <v>2011</v>
      </c>
      <c r="B9207" s="140" t="s">
        <v>22</v>
      </c>
      <c r="C9207" s="140" t="s">
        <v>20</v>
      </c>
      <c r="D9207" s="140" t="s">
        <v>35</v>
      </c>
      <c r="E9207" s="140" t="s">
        <v>12</v>
      </c>
      <c r="F9207">
        <v>17865</v>
      </c>
      <c r="G9207" s="140" t="s">
        <v>501</v>
      </c>
      <c r="H9207">
        <v>0</v>
      </c>
      <c r="I9207" s="140" t="s">
        <v>17</v>
      </c>
    </row>
    <row r="9208" spans="1:9" hidden="1" x14ac:dyDescent="0.25">
      <c r="A9208">
        <v>2012</v>
      </c>
      <c r="B9208" s="140" t="s">
        <v>22</v>
      </c>
      <c r="C9208" s="140" t="s">
        <v>20</v>
      </c>
      <c r="D9208" s="140" t="s">
        <v>35</v>
      </c>
      <c r="E9208" s="140" t="s">
        <v>12</v>
      </c>
      <c r="F9208">
        <v>18284</v>
      </c>
      <c r="G9208" s="140" t="s">
        <v>501</v>
      </c>
      <c r="H9208">
        <v>0</v>
      </c>
      <c r="I9208" s="140" t="s">
        <v>17</v>
      </c>
    </row>
    <row r="9209" spans="1:9" hidden="1" x14ac:dyDescent="0.25">
      <c r="A9209">
        <v>2013</v>
      </c>
      <c r="B9209" s="140" t="s">
        <v>22</v>
      </c>
      <c r="C9209" s="140" t="s">
        <v>20</v>
      </c>
      <c r="D9209" s="140" t="s">
        <v>35</v>
      </c>
      <c r="E9209" s="140" t="s">
        <v>12</v>
      </c>
      <c r="F9209">
        <v>17538</v>
      </c>
      <c r="G9209" s="140" t="s">
        <v>501</v>
      </c>
      <c r="H9209">
        <v>0</v>
      </c>
      <c r="I9209" s="140" t="s">
        <v>17</v>
      </c>
    </row>
    <row r="9210" spans="1:9" hidden="1" x14ac:dyDescent="0.25">
      <c r="A9210">
        <v>2014</v>
      </c>
      <c r="B9210" s="140" t="s">
        <v>22</v>
      </c>
      <c r="C9210" s="140" t="s">
        <v>20</v>
      </c>
      <c r="D9210" s="140" t="s">
        <v>35</v>
      </c>
      <c r="E9210" s="140" t="s">
        <v>12</v>
      </c>
      <c r="F9210">
        <v>17238</v>
      </c>
      <c r="G9210" s="140" t="s">
        <v>501</v>
      </c>
      <c r="H9210">
        <v>0</v>
      </c>
      <c r="I9210" s="140" t="s">
        <v>17</v>
      </c>
    </row>
    <row r="9211" spans="1:9" hidden="1" x14ac:dyDescent="0.25">
      <c r="A9211">
        <v>2015</v>
      </c>
      <c r="B9211" s="140" t="s">
        <v>22</v>
      </c>
      <c r="C9211" s="140" t="s">
        <v>20</v>
      </c>
      <c r="D9211" s="140" t="s">
        <v>35</v>
      </c>
      <c r="E9211" s="140" t="s">
        <v>12</v>
      </c>
      <c r="F9211">
        <v>16857</v>
      </c>
      <c r="G9211" s="140" t="s">
        <v>501</v>
      </c>
      <c r="H9211">
        <v>0</v>
      </c>
      <c r="I9211" s="140" t="s">
        <v>17</v>
      </c>
    </row>
    <row r="9212" spans="1:9" hidden="1" x14ac:dyDescent="0.25">
      <c r="A9212">
        <v>2016</v>
      </c>
      <c r="B9212" s="140" t="s">
        <v>22</v>
      </c>
      <c r="C9212" s="140" t="s">
        <v>20</v>
      </c>
      <c r="D9212" s="140" t="s">
        <v>35</v>
      </c>
      <c r="E9212" s="140" t="s">
        <v>12</v>
      </c>
      <c r="F9212">
        <v>17687</v>
      </c>
      <c r="G9212" s="140" t="s">
        <v>501</v>
      </c>
      <c r="H9212">
        <v>0</v>
      </c>
      <c r="I9212" s="140" t="s">
        <v>17</v>
      </c>
    </row>
    <row r="9213" spans="1:9" hidden="1" x14ac:dyDescent="0.25">
      <c r="A9213">
        <v>2017</v>
      </c>
      <c r="B9213" s="140" t="s">
        <v>22</v>
      </c>
      <c r="C9213" s="140" t="s">
        <v>20</v>
      </c>
      <c r="D9213" s="140" t="s">
        <v>35</v>
      </c>
      <c r="E9213" s="140" t="s">
        <v>12</v>
      </c>
      <c r="F9213">
        <v>18512</v>
      </c>
      <c r="G9213" s="140" t="s">
        <v>501</v>
      </c>
      <c r="H9213">
        <v>0</v>
      </c>
      <c r="I9213" s="140" t="s">
        <v>17</v>
      </c>
    </row>
    <row r="9214" spans="1:9" hidden="1" x14ac:dyDescent="0.25">
      <c r="A9214">
        <v>2018</v>
      </c>
      <c r="B9214" s="140" t="s">
        <v>22</v>
      </c>
      <c r="C9214" s="140" t="s">
        <v>20</v>
      </c>
      <c r="D9214" s="140" t="s">
        <v>35</v>
      </c>
      <c r="E9214" s="140" t="s">
        <v>12</v>
      </c>
      <c r="F9214">
        <v>18499</v>
      </c>
      <c r="G9214" s="140" t="s">
        <v>501</v>
      </c>
      <c r="H9214">
        <v>0</v>
      </c>
      <c r="I9214" s="140" t="s">
        <v>17</v>
      </c>
    </row>
    <row r="9215" spans="1:9" hidden="1" x14ac:dyDescent="0.25">
      <c r="A9215">
        <v>2019</v>
      </c>
      <c r="B9215" s="140" t="s">
        <v>22</v>
      </c>
      <c r="C9215" s="140" t="s">
        <v>20</v>
      </c>
      <c r="D9215" s="140" t="s">
        <v>35</v>
      </c>
      <c r="E9215" s="140" t="s">
        <v>12</v>
      </c>
      <c r="F9215">
        <v>18675</v>
      </c>
      <c r="G9215" s="140" t="s">
        <v>501</v>
      </c>
      <c r="H9215">
        <v>0</v>
      </c>
      <c r="I9215" s="140" t="s">
        <v>17</v>
      </c>
    </row>
    <row r="9216" spans="1:9" hidden="1" x14ac:dyDescent="0.25">
      <c r="A9216">
        <v>2020</v>
      </c>
      <c r="B9216" s="140" t="s">
        <v>22</v>
      </c>
      <c r="C9216" s="140" t="s">
        <v>20</v>
      </c>
      <c r="D9216" s="140" t="s">
        <v>35</v>
      </c>
      <c r="E9216" s="140" t="s">
        <v>12</v>
      </c>
      <c r="F9216">
        <v>19415</v>
      </c>
      <c r="G9216" s="140" t="s">
        <v>501</v>
      </c>
      <c r="H9216">
        <v>0</v>
      </c>
      <c r="I9216" s="140" t="s">
        <v>17</v>
      </c>
    </row>
    <row r="9217" spans="1:9" hidden="1" x14ac:dyDescent="0.25">
      <c r="A9217">
        <v>2021</v>
      </c>
      <c r="B9217" s="140" t="s">
        <v>22</v>
      </c>
      <c r="C9217" s="140" t="s">
        <v>20</v>
      </c>
      <c r="D9217" s="140" t="s">
        <v>35</v>
      </c>
      <c r="E9217" s="140" t="s">
        <v>12</v>
      </c>
      <c r="F9217">
        <v>19848</v>
      </c>
      <c r="G9217" s="140" t="s">
        <v>501</v>
      </c>
      <c r="H9217">
        <v>0</v>
      </c>
      <c r="I9217" s="140" t="s">
        <v>17</v>
      </c>
    </row>
    <row r="9218" spans="1:9" hidden="1" x14ac:dyDescent="0.25">
      <c r="A9218">
        <v>2022</v>
      </c>
      <c r="B9218" s="140" t="s">
        <v>22</v>
      </c>
      <c r="C9218" s="140" t="s">
        <v>20</v>
      </c>
      <c r="D9218" s="140" t="s">
        <v>35</v>
      </c>
      <c r="E9218" s="140" t="s">
        <v>12</v>
      </c>
      <c r="F9218">
        <v>19176</v>
      </c>
      <c r="G9218" s="140" t="s">
        <v>501</v>
      </c>
      <c r="H9218">
        <v>0</v>
      </c>
      <c r="I9218" s="140" t="s">
        <v>17</v>
      </c>
    </row>
    <row r="9219" spans="1:9" hidden="1" x14ac:dyDescent="0.25">
      <c r="A9219">
        <v>2023</v>
      </c>
      <c r="B9219" s="140" t="s">
        <v>22</v>
      </c>
      <c r="C9219" s="140" t="s">
        <v>20</v>
      </c>
      <c r="D9219" s="140" t="s">
        <v>35</v>
      </c>
      <c r="E9219" s="140" t="s">
        <v>12</v>
      </c>
      <c r="F9219">
        <v>17497</v>
      </c>
      <c r="G9219" s="140" t="s">
        <v>501</v>
      </c>
      <c r="H9219">
        <v>0</v>
      </c>
      <c r="I9219" s="140" t="s">
        <v>17</v>
      </c>
    </row>
    <row r="9220" spans="1:9" hidden="1" x14ac:dyDescent="0.25">
      <c r="A9220">
        <v>2024</v>
      </c>
      <c r="B9220" s="140" t="s">
        <v>22</v>
      </c>
      <c r="C9220" s="140" t="s">
        <v>20</v>
      </c>
      <c r="D9220" s="140" t="s">
        <v>35</v>
      </c>
      <c r="E9220" s="140" t="s">
        <v>12</v>
      </c>
      <c r="F9220">
        <v>17233</v>
      </c>
      <c r="G9220" s="140" t="s">
        <v>501</v>
      </c>
      <c r="H9220">
        <v>0</v>
      </c>
      <c r="I9220" s="140" t="s">
        <v>17</v>
      </c>
    </row>
    <row r="9221" spans="1:9" hidden="1" x14ac:dyDescent="0.25">
      <c r="A9221">
        <v>2025</v>
      </c>
      <c r="B9221" s="140" t="s">
        <v>22</v>
      </c>
      <c r="C9221" s="140" t="s">
        <v>20</v>
      </c>
      <c r="D9221" s="140" t="s">
        <v>35</v>
      </c>
      <c r="E9221" s="140" t="s">
        <v>12</v>
      </c>
      <c r="F9221">
        <v>17198</v>
      </c>
      <c r="G9221" s="140" t="s">
        <v>501</v>
      </c>
      <c r="H9221">
        <v>0</v>
      </c>
      <c r="I9221" s="140" t="s">
        <v>17</v>
      </c>
    </row>
    <row r="9222" spans="1:9" hidden="1" x14ac:dyDescent="0.25">
      <c r="A9222">
        <v>1990</v>
      </c>
      <c r="B9222" s="140" t="s">
        <v>22</v>
      </c>
      <c r="C9222" s="140" t="s">
        <v>20</v>
      </c>
      <c r="D9222" s="140" t="s">
        <v>40</v>
      </c>
      <c r="E9222" s="140" t="s">
        <v>12</v>
      </c>
      <c r="F9222">
        <v>7594</v>
      </c>
      <c r="G9222" s="140" t="s">
        <v>502</v>
      </c>
      <c r="H9222">
        <v>0</v>
      </c>
      <c r="I9222" s="140" t="s">
        <v>17</v>
      </c>
    </row>
    <row r="9223" spans="1:9" hidden="1" x14ac:dyDescent="0.25">
      <c r="A9223">
        <v>1991</v>
      </c>
      <c r="B9223" s="140" t="s">
        <v>22</v>
      </c>
      <c r="C9223" s="140" t="s">
        <v>20</v>
      </c>
      <c r="D9223" s="140" t="s">
        <v>40</v>
      </c>
      <c r="E9223" s="140" t="s">
        <v>12</v>
      </c>
      <c r="F9223">
        <v>7121</v>
      </c>
      <c r="G9223" s="140" t="s">
        <v>502</v>
      </c>
      <c r="H9223">
        <v>0</v>
      </c>
      <c r="I9223" s="140" t="s">
        <v>17</v>
      </c>
    </row>
    <row r="9224" spans="1:9" hidden="1" x14ac:dyDescent="0.25">
      <c r="A9224">
        <v>1992</v>
      </c>
      <c r="B9224" s="140" t="s">
        <v>22</v>
      </c>
      <c r="C9224" s="140" t="s">
        <v>20</v>
      </c>
      <c r="D9224" s="140" t="s">
        <v>40</v>
      </c>
      <c r="E9224" s="140" t="s">
        <v>12</v>
      </c>
      <c r="F9224">
        <v>7053</v>
      </c>
      <c r="G9224" s="140" t="s">
        <v>502</v>
      </c>
      <c r="H9224">
        <v>0</v>
      </c>
      <c r="I9224" s="140" t="s">
        <v>17</v>
      </c>
    </row>
    <row r="9225" spans="1:9" hidden="1" x14ac:dyDescent="0.25">
      <c r="A9225">
        <v>1993</v>
      </c>
      <c r="B9225" s="140" t="s">
        <v>22</v>
      </c>
      <c r="C9225" s="140" t="s">
        <v>20</v>
      </c>
      <c r="D9225" s="140" t="s">
        <v>40</v>
      </c>
      <c r="E9225" s="140" t="s">
        <v>12</v>
      </c>
      <c r="F9225">
        <v>7291</v>
      </c>
      <c r="G9225" s="140" t="s">
        <v>502</v>
      </c>
      <c r="H9225">
        <v>0</v>
      </c>
      <c r="I9225" s="140" t="s">
        <v>17</v>
      </c>
    </row>
    <row r="9226" spans="1:9" hidden="1" x14ac:dyDescent="0.25">
      <c r="A9226">
        <v>1994</v>
      </c>
      <c r="B9226" s="140" t="s">
        <v>22</v>
      </c>
      <c r="C9226" s="140" t="s">
        <v>20</v>
      </c>
      <c r="D9226" s="140" t="s">
        <v>40</v>
      </c>
      <c r="E9226" s="140" t="s">
        <v>12</v>
      </c>
      <c r="F9226">
        <v>7558</v>
      </c>
      <c r="G9226" s="140" t="s">
        <v>502</v>
      </c>
      <c r="H9226">
        <v>0</v>
      </c>
      <c r="I9226" s="140" t="s">
        <v>17</v>
      </c>
    </row>
    <row r="9227" spans="1:9" hidden="1" x14ac:dyDescent="0.25">
      <c r="A9227">
        <v>1995</v>
      </c>
      <c r="B9227" s="140" t="s">
        <v>22</v>
      </c>
      <c r="C9227" s="140" t="s">
        <v>20</v>
      </c>
      <c r="D9227" s="140" t="s">
        <v>40</v>
      </c>
      <c r="E9227" s="140" t="s">
        <v>12</v>
      </c>
      <c r="F9227">
        <v>7856</v>
      </c>
      <c r="G9227" s="140" t="s">
        <v>502</v>
      </c>
      <c r="H9227">
        <v>0</v>
      </c>
      <c r="I9227" s="140" t="s">
        <v>17</v>
      </c>
    </row>
    <row r="9228" spans="1:9" hidden="1" x14ac:dyDescent="0.25">
      <c r="A9228">
        <v>1996</v>
      </c>
      <c r="B9228" s="140" t="s">
        <v>22</v>
      </c>
      <c r="C9228" s="140" t="s">
        <v>20</v>
      </c>
      <c r="D9228" s="140" t="s">
        <v>40</v>
      </c>
      <c r="E9228" s="140" t="s">
        <v>12</v>
      </c>
      <c r="F9228">
        <v>8140</v>
      </c>
      <c r="G9228" s="140" t="s">
        <v>502</v>
      </c>
      <c r="H9228">
        <v>0</v>
      </c>
      <c r="I9228" s="140" t="s">
        <v>17</v>
      </c>
    </row>
    <row r="9229" spans="1:9" hidden="1" x14ac:dyDescent="0.25">
      <c r="A9229">
        <v>1997</v>
      </c>
      <c r="B9229" s="140" t="s">
        <v>22</v>
      </c>
      <c r="C9229" s="140" t="s">
        <v>20</v>
      </c>
      <c r="D9229" s="140" t="s">
        <v>40</v>
      </c>
      <c r="E9229" s="140" t="s">
        <v>12</v>
      </c>
      <c r="F9229">
        <v>8601</v>
      </c>
      <c r="G9229" s="140" t="s">
        <v>502</v>
      </c>
      <c r="H9229">
        <v>0</v>
      </c>
      <c r="I9229" s="140" t="s">
        <v>17</v>
      </c>
    </row>
    <row r="9230" spans="1:9" hidden="1" x14ac:dyDescent="0.25">
      <c r="A9230">
        <v>1998</v>
      </c>
      <c r="B9230" s="140" t="s">
        <v>22</v>
      </c>
      <c r="C9230" s="140" t="s">
        <v>20</v>
      </c>
      <c r="D9230" s="140" t="s">
        <v>40</v>
      </c>
      <c r="E9230" s="140" t="s">
        <v>12</v>
      </c>
      <c r="F9230">
        <v>8986</v>
      </c>
      <c r="G9230" s="140" t="s">
        <v>502</v>
      </c>
      <c r="H9230">
        <v>0</v>
      </c>
      <c r="I9230" s="140" t="s">
        <v>17</v>
      </c>
    </row>
    <row r="9231" spans="1:9" hidden="1" x14ac:dyDescent="0.25">
      <c r="A9231">
        <v>1999</v>
      </c>
      <c r="B9231" s="140" t="s">
        <v>22</v>
      </c>
      <c r="C9231" s="140" t="s">
        <v>20</v>
      </c>
      <c r="D9231" s="140" t="s">
        <v>40</v>
      </c>
      <c r="E9231" s="140" t="s">
        <v>12</v>
      </c>
      <c r="F9231">
        <v>9096</v>
      </c>
      <c r="G9231" s="140" t="s">
        <v>502</v>
      </c>
      <c r="H9231">
        <v>0</v>
      </c>
      <c r="I9231" s="140" t="s">
        <v>17</v>
      </c>
    </row>
    <row r="9232" spans="1:9" hidden="1" x14ac:dyDescent="0.25">
      <c r="A9232">
        <v>2000</v>
      </c>
      <c r="B9232" s="140" t="s">
        <v>22</v>
      </c>
      <c r="C9232" s="140" t="s">
        <v>20</v>
      </c>
      <c r="D9232" s="140" t="s">
        <v>40</v>
      </c>
      <c r="E9232" s="140" t="s">
        <v>12</v>
      </c>
      <c r="F9232">
        <v>9402</v>
      </c>
      <c r="G9232" s="140" t="s">
        <v>502</v>
      </c>
      <c r="H9232">
        <v>0</v>
      </c>
      <c r="I9232" s="140" t="s">
        <v>17</v>
      </c>
    </row>
    <row r="9233" spans="1:9" hidden="1" x14ac:dyDescent="0.25">
      <c r="A9233">
        <v>2001</v>
      </c>
      <c r="B9233" s="140" t="s">
        <v>22</v>
      </c>
      <c r="C9233" s="140" t="s">
        <v>20</v>
      </c>
      <c r="D9233" s="140" t="s">
        <v>40</v>
      </c>
      <c r="E9233" s="140" t="s">
        <v>12</v>
      </c>
      <c r="F9233">
        <v>9552</v>
      </c>
      <c r="G9233" s="140" t="s">
        <v>502</v>
      </c>
      <c r="H9233">
        <v>0</v>
      </c>
      <c r="I9233" s="140" t="s">
        <v>17</v>
      </c>
    </row>
    <row r="9234" spans="1:9" hidden="1" x14ac:dyDescent="0.25">
      <c r="A9234">
        <v>2002</v>
      </c>
      <c r="B9234" s="140" t="s">
        <v>22</v>
      </c>
      <c r="C9234" s="140" t="s">
        <v>20</v>
      </c>
      <c r="D9234" s="140" t="s">
        <v>40</v>
      </c>
      <c r="E9234" s="140" t="s">
        <v>12</v>
      </c>
      <c r="F9234">
        <v>9305</v>
      </c>
      <c r="G9234" s="140" t="s">
        <v>502</v>
      </c>
      <c r="H9234">
        <v>0</v>
      </c>
      <c r="I9234" s="140" t="s">
        <v>17</v>
      </c>
    </row>
    <row r="9235" spans="1:9" hidden="1" x14ac:dyDescent="0.25">
      <c r="A9235">
        <v>2003</v>
      </c>
      <c r="B9235" s="140" t="s">
        <v>22</v>
      </c>
      <c r="C9235" s="140" t="s">
        <v>20</v>
      </c>
      <c r="D9235" s="140" t="s">
        <v>40</v>
      </c>
      <c r="E9235" s="140" t="s">
        <v>12</v>
      </c>
      <c r="F9235">
        <v>9088</v>
      </c>
      <c r="G9235" s="140" t="s">
        <v>502</v>
      </c>
      <c r="H9235">
        <v>0</v>
      </c>
      <c r="I9235" s="140" t="s">
        <v>17</v>
      </c>
    </row>
    <row r="9236" spans="1:9" hidden="1" x14ac:dyDescent="0.25">
      <c r="A9236">
        <v>2004</v>
      </c>
      <c r="B9236" s="140" t="s">
        <v>22</v>
      </c>
      <c r="C9236" s="140" t="s">
        <v>20</v>
      </c>
      <c r="D9236" s="140" t="s">
        <v>40</v>
      </c>
      <c r="E9236" s="140" t="s">
        <v>12</v>
      </c>
      <c r="F9236">
        <v>9319</v>
      </c>
      <c r="G9236" s="140" t="s">
        <v>502</v>
      </c>
      <c r="H9236">
        <v>0</v>
      </c>
      <c r="I9236" s="140" t="s">
        <v>17</v>
      </c>
    </row>
    <row r="9237" spans="1:9" hidden="1" x14ac:dyDescent="0.25">
      <c r="A9237">
        <v>2005</v>
      </c>
      <c r="B9237" s="140" t="s">
        <v>22</v>
      </c>
      <c r="C9237" s="140" t="s">
        <v>20</v>
      </c>
      <c r="D9237" s="140" t="s">
        <v>40</v>
      </c>
      <c r="E9237" s="140" t="s">
        <v>12</v>
      </c>
      <c r="F9237">
        <v>9716</v>
      </c>
      <c r="G9237" s="140" t="s">
        <v>502</v>
      </c>
      <c r="H9237">
        <v>0</v>
      </c>
      <c r="I9237" s="140" t="s">
        <v>17</v>
      </c>
    </row>
    <row r="9238" spans="1:9" hidden="1" x14ac:dyDescent="0.25">
      <c r="A9238">
        <v>2006</v>
      </c>
      <c r="B9238" s="140" t="s">
        <v>22</v>
      </c>
      <c r="C9238" s="140" t="s">
        <v>20</v>
      </c>
      <c r="D9238" s="140" t="s">
        <v>40</v>
      </c>
      <c r="E9238" s="140" t="s">
        <v>12</v>
      </c>
      <c r="F9238">
        <v>9347</v>
      </c>
      <c r="G9238" s="140" t="s">
        <v>502</v>
      </c>
      <c r="H9238">
        <v>0</v>
      </c>
      <c r="I9238" s="140" t="s">
        <v>17</v>
      </c>
    </row>
    <row r="9239" spans="1:9" hidden="1" x14ac:dyDescent="0.25">
      <c r="A9239">
        <v>2007</v>
      </c>
      <c r="B9239" s="140" t="s">
        <v>22</v>
      </c>
      <c r="C9239" s="140" t="s">
        <v>20</v>
      </c>
      <c r="D9239" s="140" t="s">
        <v>40</v>
      </c>
      <c r="E9239" s="140" t="s">
        <v>12</v>
      </c>
      <c r="F9239">
        <v>9674</v>
      </c>
      <c r="G9239" s="140" t="s">
        <v>502</v>
      </c>
      <c r="H9239">
        <v>0</v>
      </c>
      <c r="I9239" s="140" t="s">
        <v>17</v>
      </c>
    </row>
    <row r="9240" spans="1:9" hidden="1" x14ac:dyDescent="0.25">
      <c r="A9240">
        <v>2008</v>
      </c>
      <c r="B9240" s="140" t="s">
        <v>22</v>
      </c>
      <c r="C9240" s="140" t="s">
        <v>20</v>
      </c>
      <c r="D9240" s="140" t="s">
        <v>40</v>
      </c>
      <c r="E9240" s="140" t="s">
        <v>12</v>
      </c>
      <c r="F9240">
        <v>9730</v>
      </c>
      <c r="G9240" s="140" t="s">
        <v>502</v>
      </c>
      <c r="H9240">
        <v>0</v>
      </c>
      <c r="I9240" s="140" t="s">
        <v>17</v>
      </c>
    </row>
    <row r="9241" spans="1:9" hidden="1" x14ac:dyDescent="0.25">
      <c r="A9241">
        <v>2009</v>
      </c>
      <c r="B9241" s="140" t="s">
        <v>22</v>
      </c>
      <c r="C9241" s="140" t="s">
        <v>20</v>
      </c>
      <c r="D9241" s="140" t="s">
        <v>40</v>
      </c>
      <c r="E9241" s="140" t="s">
        <v>12</v>
      </c>
      <c r="F9241">
        <v>8446</v>
      </c>
      <c r="G9241" s="140" t="s">
        <v>502</v>
      </c>
      <c r="H9241">
        <v>0</v>
      </c>
      <c r="I9241" s="140" t="s">
        <v>17</v>
      </c>
    </row>
    <row r="9242" spans="1:9" hidden="1" x14ac:dyDescent="0.25">
      <c r="A9242">
        <v>2010</v>
      </c>
      <c r="B9242" s="140" t="s">
        <v>22</v>
      </c>
      <c r="C9242" s="140" t="s">
        <v>20</v>
      </c>
      <c r="D9242" s="140" t="s">
        <v>40</v>
      </c>
      <c r="E9242" s="140" t="s">
        <v>12</v>
      </c>
      <c r="F9242">
        <v>9057</v>
      </c>
      <c r="G9242" s="140" t="s">
        <v>502</v>
      </c>
      <c r="H9242">
        <v>0</v>
      </c>
      <c r="I9242" s="140" t="s">
        <v>17</v>
      </c>
    </row>
    <row r="9243" spans="1:9" hidden="1" x14ac:dyDescent="0.25">
      <c r="A9243">
        <v>2011</v>
      </c>
      <c r="B9243" s="140" t="s">
        <v>22</v>
      </c>
      <c r="C9243" s="140" t="s">
        <v>20</v>
      </c>
      <c r="D9243" s="140" t="s">
        <v>40</v>
      </c>
      <c r="E9243" s="140" t="s">
        <v>12</v>
      </c>
      <c r="F9243">
        <v>9637</v>
      </c>
      <c r="G9243" s="140" t="s">
        <v>502</v>
      </c>
      <c r="H9243">
        <v>0</v>
      </c>
      <c r="I9243" s="140" t="s">
        <v>17</v>
      </c>
    </row>
    <row r="9244" spans="1:9" hidden="1" x14ac:dyDescent="0.25">
      <c r="A9244">
        <v>2012</v>
      </c>
      <c r="B9244" s="140" t="s">
        <v>22</v>
      </c>
      <c r="C9244" s="140" t="s">
        <v>20</v>
      </c>
      <c r="D9244" s="140" t="s">
        <v>40</v>
      </c>
      <c r="E9244" s="140" t="s">
        <v>12</v>
      </c>
      <c r="F9244">
        <v>9835</v>
      </c>
      <c r="G9244" s="140" t="s">
        <v>502</v>
      </c>
      <c r="H9244">
        <v>0</v>
      </c>
      <c r="I9244" s="140" t="s">
        <v>17</v>
      </c>
    </row>
    <row r="9245" spans="1:9" hidden="1" x14ac:dyDescent="0.25">
      <c r="A9245">
        <v>2013</v>
      </c>
      <c r="B9245" s="140" t="s">
        <v>22</v>
      </c>
      <c r="C9245" s="140" t="s">
        <v>20</v>
      </c>
      <c r="D9245" s="140" t="s">
        <v>40</v>
      </c>
      <c r="E9245" s="140" t="s">
        <v>12</v>
      </c>
      <c r="F9245">
        <v>9808</v>
      </c>
      <c r="G9245" s="140" t="s">
        <v>502</v>
      </c>
      <c r="H9245">
        <v>0</v>
      </c>
      <c r="I9245" s="140" t="s">
        <v>17</v>
      </c>
    </row>
    <row r="9246" spans="1:9" hidden="1" x14ac:dyDescent="0.25">
      <c r="A9246">
        <v>2014</v>
      </c>
      <c r="B9246" s="140" t="s">
        <v>22</v>
      </c>
      <c r="C9246" s="140" t="s">
        <v>20</v>
      </c>
      <c r="D9246" s="140" t="s">
        <v>40</v>
      </c>
      <c r="E9246" s="140" t="s">
        <v>12</v>
      </c>
      <c r="F9246">
        <v>9426</v>
      </c>
      <c r="G9246" s="140" t="s">
        <v>502</v>
      </c>
      <c r="H9246">
        <v>0</v>
      </c>
      <c r="I9246" s="140" t="s">
        <v>17</v>
      </c>
    </row>
    <row r="9247" spans="1:9" hidden="1" x14ac:dyDescent="0.25">
      <c r="A9247">
        <v>2015</v>
      </c>
      <c r="B9247" s="140" t="s">
        <v>22</v>
      </c>
      <c r="C9247" s="140" t="s">
        <v>20</v>
      </c>
      <c r="D9247" s="140" t="s">
        <v>40</v>
      </c>
      <c r="E9247" s="140" t="s">
        <v>12</v>
      </c>
      <c r="F9247">
        <v>8983</v>
      </c>
      <c r="G9247" s="140" t="s">
        <v>502</v>
      </c>
      <c r="H9247">
        <v>0</v>
      </c>
      <c r="I9247" s="140" t="s">
        <v>17</v>
      </c>
    </row>
    <row r="9248" spans="1:9" hidden="1" x14ac:dyDescent="0.25">
      <c r="A9248">
        <v>2016</v>
      </c>
      <c r="B9248" s="140" t="s">
        <v>22</v>
      </c>
      <c r="C9248" s="140" t="s">
        <v>20</v>
      </c>
      <c r="D9248" s="140" t="s">
        <v>40</v>
      </c>
      <c r="E9248" s="140" t="s">
        <v>12</v>
      </c>
      <c r="F9248">
        <v>9009</v>
      </c>
      <c r="G9248" s="140" t="s">
        <v>502</v>
      </c>
      <c r="H9248">
        <v>0</v>
      </c>
      <c r="I9248" s="140" t="s">
        <v>17</v>
      </c>
    </row>
    <row r="9249" spans="1:9" hidden="1" x14ac:dyDescent="0.25">
      <c r="A9249">
        <v>2017</v>
      </c>
      <c r="B9249" s="140" t="s">
        <v>22</v>
      </c>
      <c r="C9249" s="140" t="s">
        <v>20</v>
      </c>
      <c r="D9249" s="140" t="s">
        <v>40</v>
      </c>
      <c r="E9249" s="140" t="s">
        <v>12</v>
      </c>
      <c r="F9249">
        <v>9224</v>
      </c>
      <c r="G9249" s="140" t="s">
        <v>502</v>
      </c>
      <c r="H9249">
        <v>0</v>
      </c>
      <c r="I9249" s="140" t="s">
        <v>17</v>
      </c>
    </row>
    <row r="9250" spans="1:9" hidden="1" x14ac:dyDescent="0.25">
      <c r="A9250">
        <v>2018</v>
      </c>
      <c r="B9250" s="140" t="s">
        <v>22</v>
      </c>
      <c r="C9250" s="140" t="s">
        <v>20</v>
      </c>
      <c r="D9250" s="140" t="s">
        <v>40</v>
      </c>
      <c r="E9250" s="140" t="s">
        <v>12</v>
      </c>
      <c r="F9250">
        <v>9191</v>
      </c>
      <c r="G9250" s="140" t="s">
        <v>502</v>
      </c>
      <c r="H9250">
        <v>0</v>
      </c>
      <c r="I9250" s="140" t="s">
        <v>17</v>
      </c>
    </row>
    <row r="9251" spans="1:9" hidden="1" x14ac:dyDescent="0.25">
      <c r="A9251">
        <v>2019</v>
      </c>
      <c r="B9251" s="140" t="s">
        <v>22</v>
      </c>
      <c r="C9251" s="140" t="s">
        <v>20</v>
      </c>
      <c r="D9251" s="140" t="s">
        <v>40</v>
      </c>
      <c r="E9251" s="140" t="s">
        <v>12</v>
      </c>
      <c r="F9251">
        <v>9300</v>
      </c>
      <c r="G9251" s="140" t="s">
        <v>502</v>
      </c>
      <c r="H9251">
        <v>0</v>
      </c>
      <c r="I9251" s="140" t="s">
        <v>17</v>
      </c>
    </row>
    <row r="9252" spans="1:9" hidden="1" x14ac:dyDescent="0.25">
      <c r="A9252">
        <v>2020</v>
      </c>
      <c r="B9252" s="140" t="s">
        <v>22</v>
      </c>
      <c r="C9252" s="140" t="s">
        <v>20</v>
      </c>
      <c r="D9252" s="140" t="s">
        <v>40</v>
      </c>
      <c r="E9252" s="140" t="s">
        <v>12</v>
      </c>
      <c r="F9252">
        <v>7142</v>
      </c>
      <c r="G9252" s="140" t="s">
        <v>502</v>
      </c>
      <c r="H9252">
        <v>0</v>
      </c>
      <c r="I9252" s="140" t="s">
        <v>17</v>
      </c>
    </row>
    <row r="9253" spans="1:9" hidden="1" x14ac:dyDescent="0.25">
      <c r="A9253">
        <v>2021</v>
      </c>
      <c r="B9253" s="140" t="s">
        <v>22</v>
      </c>
      <c r="C9253" s="140" t="s">
        <v>20</v>
      </c>
      <c r="D9253" s="140" t="s">
        <v>40</v>
      </c>
      <c r="E9253" s="140" t="s">
        <v>12</v>
      </c>
      <c r="F9253">
        <v>7368</v>
      </c>
      <c r="G9253" s="140" t="s">
        <v>502</v>
      </c>
      <c r="H9253">
        <v>0</v>
      </c>
      <c r="I9253" s="140" t="s">
        <v>17</v>
      </c>
    </row>
    <row r="9254" spans="1:9" hidden="1" x14ac:dyDescent="0.25">
      <c r="A9254">
        <v>2022</v>
      </c>
      <c r="B9254" s="140" t="s">
        <v>22</v>
      </c>
      <c r="C9254" s="140" t="s">
        <v>20</v>
      </c>
      <c r="D9254" s="140" t="s">
        <v>40</v>
      </c>
      <c r="E9254" s="140" t="s">
        <v>12</v>
      </c>
      <c r="F9254">
        <v>7517</v>
      </c>
      <c r="G9254" s="140" t="s">
        <v>502</v>
      </c>
      <c r="H9254">
        <v>0</v>
      </c>
      <c r="I9254" s="140" t="s">
        <v>17</v>
      </c>
    </row>
    <row r="9255" spans="1:9" hidden="1" x14ac:dyDescent="0.25">
      <c r="A9255">
        <v>2023</v>
      </c>
      <c r="B9255" s="140" t="s">
        <v>22</v>
      </c>
      <c r="C9255" s="140" t="s">
        <v>20</v>
      </c>
      <c r="D9255" s="140" t="s">
        <v>40</v>
      </c>
      <c r="E9255" s="140" t="s">
        <v>12</v>
      </c>
      <c r="F9255">
        <v>7284</v>
      </c>
      <c r="G9255" s="140" t="s">
        <v>502</v>
      </c>
      <c r="H9255">
        <v>0</v>
      </c>
      <c r="I9255" s="140" t="s">
        <v>17</v>
      </c>
    </row>
    <row r="9256" spans="1:9" hidden="1" x14ac:dyDescent="0.25">
      <c r="A9256">
        <v>2024</v>
      </c>
      <c r="B9256" s="140" t="s">
        <v>22</v>
      </c>
      <c r="C9256" s="140" t="s">
        <v>20</v>
      </c>
      <c r="D9256" s="140" t="s">
        <v>40</v>
      </c>
      <c r="E9256" s="140" t="s">
        <v>12</v>
      </c>
      <c r="F9256">
        <v>7236</v>
      </c>
      <c r="G9256" s="140" t="s">
        <v>502</v>
      </c>
      <c r="H9256">
        <v>0</v>
      </c>
      <c r="I9256" s="140" t="s">
        <v>17</v>
      </c>
    </row>
    <row r="9257" spans="1:9" hidden="1" x14ac:dyDescent="0.25">
      <c r="A9257">
        <v>2025</v>
      </c>
      <c r="B9257" s="140" t="s">
        <v>22</v>
      </c>
      <c r="C9257" s="140" t="s">
        <v>20</v>
      </c>
      <c r="D9257" s="140" t="s">
        <v>40</v>
      </c>
      <c r="E9257" s="140" t="s">
        <v>12</v>
      </c>
      <c r="F9257">
        <v>7533</v>
      </c>
      <c r="G9257" s="140" t="s">
        <v>502</v>
      </c>
      <c r="H9257">
        <v>0</v>
      </c>
      <c r="I9257" s="140" t="s">
        <v>17</v>
      </c>
    </row>
    <row r="9258" spans="1:9" hidden="1" x14ac:dyDescent="0.25">
      <c r="A9258">
        <v>1990</v>
      </c>
      <c r="B9258" s="140" t="s">
        <v>22</v>
      </c>
      <c r="C9258" s="140" t="s">
        <v>20</v>
      </c>
      <c r="D9258" s="140" t="s">
        <v>41</v>
      </c>
      <c r="E9258" s="140" t="s">
        <v>12</v>
      </c>
      <c r="F9258">
        <v>2511</v>
      </c>
      <c r="G9258" s="140" t="s">
        <v>503</v>
      </c>
      <c r="H9258">
        <v>0</v>
      </c>
      <c r="I9258" s="140" t="s">
        <v>17</v>
      </c>
    </row>
    <row r="9259" spans="1:9" hidden="1" x14ac:dyDescent="0.25">
      <c r="A9259">
        <v>1991</v>
      </c>
      <c r="B9259" s="140" t="s">
        <v>22</v>
      </c>
      <c r="C9259" s="140" t="s">
        <v>20</v>
      </c>
      <c r="D9259" s="140" t="s">
        <v>41</v>
      </c>
      <c r="E9259" s="140" t="s">
        <v>12</v>
      </c>
      <c r="F9259">
        <v>2429</v>
      </c>
      <c r="G9259" s="140" t="s">
        <v>503</v>
      </c>
      <c r="H9259">
        <v>0</v>
      </c>
      <c r="I9259" s="140" t="s">
        <v>17</v>
      </c>
    </row>
    <row r="9260" spans="1:9" hidden="1" x14ac:dyDescent="0.25">
      <c r="A9260">
        <v>1992</v>
      </c>
      <c r="B9260" s="140" t="s">
        <v>22</v>
      </c>
      <c r="C9260" s="140" t="s">
        <v>20</v>
      </c>
      <c r="D9260" s="140" t="s">
        <v>41</v>
      </c>
      <c r="E9260" s="140" t="s">
        <v>12</v>
      </c>
      <c r="F9260">
        <v>2452</v>
      </c>
      <c r="G9260" s="140" t="s">
        <v>503</v>
      </c>
      <c r="H9260">
        <v>0</v>
      </c>
      <c r="I9260" s="140" t="s">
        <v>17</v>
      </c>
    </row>
    <row r="9261" spans="1:9" hidden="1" x14ac:dyDescent="0.25">
      <c r="A9261">
        <v>1993</v>
      </c>
      <c r="B9261" s="140" t="s">
        <v>22</v>
      </c>
      <c r="C9261" s="140" t="s">
        <v>20</v>
      </c>
      <c r="D9261" s="140" t="s">
        <v>41</v>
      </c>
      <c r="E9261" s="140" t="s">
        <v>12</v>
      </c>
      <c r="F9261">
        <v>2494</v>
      </c>
      <c r="G9261" s="140" t="s">
        <v>503</v>
      </c>
      <c r="H9261">
        <v>0</v>
      </c>
      <c r="I9261" s="140" t="s">
        <v>17</v>
      </c>
    </row>
    <row r="9262" spans="1:9" hidden="1" x14ac:dyDescent="0.25">
      <c r="A9262">
        <v>1994</v>
      </c>
      <c r="B9262" s="140" t="s">
        <v>22</v>
      </c>
      <c r="C9262" s="140" t="s">
        <v>20</v>
      </c>
      <c r="D9262" s="140" t="s">
        <v>41</v>
      </c>
      <c r="E9262" s="140" t="s">
        <v>12</v>
      </c>
      <c r="F9262">
        <v>2585</v>
      </c>
      <c r="G9262" s="140" t="s">
        <v>503</v>
      </c>
      <c r="H9262">
        <v>0</v>
      </c>
      <c r="I9262" s="140" t="s">
        <v>17</v>
      </c>
    </row>
    <row r="9263" spans="1:9" hidden="1" x14ac:dyDescent="0.25">
      <c r="A9263">
        <v>1995</v>
      </c>
      <c r="B9263" s="140" t="s">
        <v>22</v>
      </c>
      <c r="C9263" s="140" t="s">
        <v>20</v>
      </c>
      <c r="D9263" s="140" t="s">
        <v>41</v>
      </c>
      <c r="E9263" s="140" t="s">
        <v>12</v>
      </c>
      <c r="F9263">
        <v>2770</v>
      </c>
      <c r="G9263" s="140" t="s">
        <v>503</v>
      </c>
      <c r="H9263">
        <v>0</v>
      </c>
      <c r="I9263" s="140" t="s">
        <v>17</v>
      </c>
    </row>
    <row r="9264" spans="1:9" hidden="1" x14ac:dyDescent="0.25">
      <c r="A9264">
        <v>1996</v>
      </c>
      <c r="B9264" s="140" t="s">
        <v>22</v>
      </c>
      <c r="C9264" s="140" t="s">
        <v>20</v>
      </c>
      <c r="D9264" s="140" t="s">
        <v>41</v>
      </c>
      <c r="E9264" s="140" t="s">
        <v>12</v>
      </c>
      <c r="F9264">
        <v>3008</v>
      </c>
      <c r="G9264" s="140" t="s">
        <v>503</v>
      </c>
      <c r="H9264">
        <v>0</v>
      </c>
      <c r="I9264" s="140" t="s">
        <v>17</v>
      </c>
    </row>
    <row r="9265" spans="1:9" hidden="1" x14ac:dyDescent="0.25">
      <c r="A9265">
        <v>1997</v>
      </c>
      <c r="B9265" s="140" t="s">
        <v>22</v>
      </c>
      <c r="C9265" s="140" t="s">
        <v>20</v>
      </c>
      <c r="D9265" s="140" t="s">
        <v>41</v>
      </c>
      <c r="E9265" s="140" t="s">
        <v>12</v>
      </c>
      <c r="F9265">
        <v>3383</v>
      </c>
      <c r="G9265" s="140" t="s">
        <v>503</v>
      </c>
      <c r="H9265">
        <v>0</v>
      </c>
      <c r="I9265" s="140" t="s">
        <v>17</v>
      </c>
    </row>
    <row r="9266" spans="1:9" hidden="1" x14ac:dyDescent="0.25">
      <c r="A9266">
        <v>1998</v>
      </c>
      <c r="B9266" s="140" t="s">
        <v>22</v>
      </c>
      <c r="C9266" s="140" t="s">
        <v>20</v>
      </c>
      <c r="D9266" s="140" t="s">
        <v>41</v>
      </c>
      <c r="E9266" s="140" t="s">
        <v>12</v>
      </c>
      <c r="F9266">
        <v>4065</v>
      </c>
      <c r="G9266" s="140" t="s">
        <v>503</v>
      </c>
      <c r="H9266">
        <v>0</v>
      </c>
      <c r="I9266" s="140" t="s">
        <v>17</v>
      </c>
    </row>
    <row r="9267" spans="1:9" hidden="1" x14ac:dyDescent="0.25">
      <c r="A9267">
        <v>1999</v>
      </c>
      <c r="B9267" s="140" t="s">
        <v>22</v>
      </c>
      <c r="C9267" s="140" t="s">
        <v>20</v>
      </c>
      <c r="D9267" s="140" t="s">
        <v>41</v>
      </c>
      <c r="E9267" s="140" t="s">
        <v>12</v>
      </c>
      <c r="F9267">
        <v>4612</v>
      </c>
      <c r="G9267" s="140" t="s">
        <v>503</v>
      </c>
      <c r="H9267">
        <v>0</v>
      </c>
      <c r="I9267" s="140" t="s">
        <v>17</v>
      </c>
    </row>
    <row r="9268" spans="1:9" hidden="1" x14ac:dyDescent="0.25">
      <c r="A9268">
        <v>2000</v>
      </c>
      <c r="B9268" s="140" t="s">
        <v>22</v>
      </c>
      <c r="C9268" s="140" t="s">
        <v>20</v>
      </c>
      <c r="D9268" s="140" t="s">
        <v>41</v>
      </c>
      <c r="E9268" s="140" t="s">
        <v>12</v>
      </c>
      <c r="F9268">
        <v>5287</v>
      </c>
      <c r="G9268" s="140" t="s">
        <v>503</v>
      </c>
      <c r="H9268">
        <v>0</v>
      </c>
      <c r="I9268" s="140" t="s">
        <v>17</v>
      </c>
    </row>
    <row r="9269" spans="1:9" hidden="1" x14ac:dyDescent="0.25">
      <c r="A9269">
        <v>2001</v>
      </c>
      <c r="B9269" s="140" t="s">
        <v>22</v>
      </c>
      <c r="C9269" s="140" t="s">
        <v>20</v>
      </c>
      <c r="D9269" s="140" t="s">
        <v>41</v>
      </c>
      <c r="E9269" s="140" t="s">
        <v>12</v>
      </c>
      <c r="F9269">
        <v>5997</v>
      </c>
      <c r="G9269" s="140" t="s">
        <v>503</v>
      </c>
      <c r="H9269">
        <v>0</v>
      </c>
      <c r="I9269" s="140" t="s">
        <v>17</v>
      </c>
    </row>
    <row r="9270" spans="1:9" hidden="1" x14ac:dyDescent="0.25">
      <c r="A9270">
        <v>2002</v>
      </c>
      <c r="B9270" s="140" t="s">
        <v>22</v>
      </c>
      <c r="C9270" s="140" t="s">
        <v>20</v>
      </c>
      <c r="D9270" s="140" t="s">
        <v>41</v>
      </c>
      <c r="E9270" s="140" t="s">
        <v>12</v>
      </c>
      <c r="F9270">
        <v>6141</v>
      </c>
      <c r="G9270" s="140" t="s">
        <v>503</v>
      </c>
      <c r="H9270">
        <v>0</v>
      </c>
      <c r="I9270" s="140" t="s">
        <v>17</v>
      </c>
    </row>
    <row r="9271" spans="1:9" hidden="1" x14ac:dyDescent="0.25">
      <c r="A9271">
        <v>2003</v>
      </c>
      <c r="B9271" s="140" t="s">
        <v>22</v>
      </c>
      <c r="C9271" s="140" t="s">
        <v>20</v>
      </c>
      <c r="D9271" s="140" t="s">
        <v>41</v>
      </c>
      <c r="E9271" s="140" t="s">
        <v>12</v>
      </c>
      <c r="F9271">
        <v>6093</v>
      </c>
      <c r="G9271" s="140" t="s">
        <v>503</v>
      </c>
      <c r="H9271">
        <v>0</v>
      </c>
      <c r="I9271" s="140" t="s">
        <v>17</v>
      </c>
    </row>
    <row r="9272" spans="1:9" hidden="1" x14ac:dyDescent="0.25">
      <c r="A9272">
        <v>2004</v>
      </c>
      <c r="B9272" s="140" t="s">
        <v>22</v>
      </c>
      <c r="C9272" s="140" t="s">
        <v>20</v>
      </c>
      <c r="D9272" s="140" t="s">
        <v>41</v>
      </c>
      <c r="E9272" s="140" t="s">
        <v>12</v>
      </c>
      <c r="F9272">
        <v>6885</v>
      </c>
      <c r="G9272" s="140" t="s">
        <v>503</v>
      </c>
      <c r="H9272">
        <v>0</v>
      </c>
      <c r="I9272" s="140" t="s">
        <v>17</v>
      </c>
    </row>
    <row r="9273" spans="1:9" hidden="1" x14ac:dyDescent="0.25">
      <c r="A9273">
        <v>2005</v>
      </c>
      <c r="B9273" s="140" t="s">
        <v>22</v>
      </c>
      <c r="C9273" s="140" t="s">
        <v>20</v>
      </c>
      <c r="D9273" s="140" t="s">
        <v>41</v>
      </c>
      <c r="E9273" s="140" t="s">
        <v>12</v>
      </c>
      <c r="F9273">
        <v>6872</v>
      </c>
      <c r="G9273" s="140" t="s">
        <v>503</v>
      </c>
      <c r="H9273">
        <v>0</v>
      </c>
      <c r="I9273" s="140" t="s">
        <v>17</v>
      </c>
    </row>
    <row r="9274" spans="1:9" hidden="1" x14ac:dyDescent="0.25">
      <c r="A9274">
        <v>2006</v>
      </c>
      <c r="B9274" s="140" t="s">
        <v>22</v>
      </c>
      <c r="C9274" s="140" t="s">
        <v>20</v>
      </c>
      <c r="D9274" s="140" t="s">
        <v>41</v>
      </c>
      <c r="E9274" s="140" t="s">
        <v>12</v>
      </c>
      <c r="F9274">
        <v>7107</v>
      </c>
      <c r="G9274" s="140" t="s">
        <v>503</v>
      </c>
      <c r="H9274">
        <v>0</v>
      </c>
      <c r="I9274" s="140" t="s">
        <v>17</v>
      </c>
    </row>
    <row r="9275" spans="1:9" hidden="1" x14ac:dyDescent="0.25">
      <c r="A9275">
        <v>2007</v>
      </c>
      <c r="B9275" s="140" t="s">
        <v>22</v>
      </c>
      <c r="C9275" s="140" t="s">
        <v>20</v>
      </c>
      <c r="D9275" s="140" t="s">
        <v>41</v>
      </c>
      <c r="E9275" s="140" t="s">
        <v>12</v>
      </c>
      <c r="F9275">
        <v>7826</v>
      </c>
      <c r="G9275" s="140" t="s">
        <v>503</v>
      </c>
      <c r="H9275">
        <v>0</v>
      </c>
      <c r="I9275" s="140" t="s">
        <v>17</v>
      </c>
    </row>
    <row r="9276" spans="1:9" hidden="1" x14ac:dyDescent="0.25">
      <c r="A9276">
        <v>2008</v>
      </c>
      <c r="B9276" s="140" t="s">
        <v>22</v>
      </c>
      <c r="C9276" s="140" t="s">
        <v>20</v>
      </c>
      <c r="D9276" s="140" t="s">
        <v>41</v>
      </c>
      <c r="E9276" s="140" t="s">
        <v>12</v>
      </c>
      <c r="F9276">
        <v>7982</v>
      </c>
      <c r="G9276" s="140" t="s">
        <v>503</v>
      </c>
      <c r="H9276">
        <v>0</v>
      </c>
      <c r="I9276" s="140" t="s">
        <v>17</v>
      </c>
    </row>
    <row r="9277" spans="1:9" hidden="1" x14ac:dyDescent="0.25">
      <c r="A9277">
        <v>2009</v>
      </c>
      <c r="B9277" s="140" t="s">
        <v>22</v>
      </c>
      <c r="C9277" s="140" t="s">
        <v>20</v>
      </c>
      <c r="D9277" s="140" t="s">
        <v>41</v>
      </c>
      <c r="E9277" s="140" t="s">
        <v>12</v>
      </c>
      <c r="F9277">
        <v>7914</v>
      </c>
      <c r="G9277" s="140" t="s">
        <v>503</v>
      </c>
      <c r="H9277">
        <v>0</v>
      </c>
      <c r="I9277" s="140" t="s">
        <v>17</v>
      </c>
    </row>
    <row r="9278" spans="1:9" hidden="1" x14ac:dyDescent="0.25">
      <c r="A9278">
        <v>2010</v>
      </c>
      <c r="B9278" s="140" t="s">
        <v>22</v>
      </c>
      <c r="C9278" s="140" t="s">
        <v>20</v>
      </c>
      <c r="D9278" s="140" t="s">
        <v>41</v>
      </c>
      <c r="E9278" s="140" t="s">
        <v>12</v>
      </c>
      <c r="F9278">
        <v>8225</v>
      </c>
      <c r="G9278" s="140" t="s">
        <v>503</v>
      </c>
      <c r="H9278">
        <v>0</v>
      </c>
      <c r="I9278" s="140" t="s">
        <v>17</v>
      </c>
    </row>
    <row r="9279" spans="1:9" hidden="1" x14ac:dyDescent="0.25">
      <c r="A9279">
        <v>2011</v>
      </c>
      <c r="B9279" s="140" t="s">
        <v>22</v>
      </c>
      <c r="C9279" s="140" t="s">
        <v>20</v>
      </c>
      <c r="D9279" s="140" t="s">
        <v>41</v>
      </c>
      <c r="E9279" s="140" t="s">
        <v>12</v>
      </c>
      <c r="F9279">
        <v>8742</v>
      </c>
      <c r="G9279" s="140" t="s">
        <v>503</v>
      </c>
      <c r="H9279">
        <v>0</v>
      </c>
      <c r="I9279" s="140" t="s">
        <v>17</v>
      </c>
    </row>
    <row r="9280" spans="1:9" hidden="1" x14ac:dyDescent="0.25">
      <c r="A9280">
        <v>2012</v>
      </c>
      <c r="B9280" s="140" t="s">
        <v>22</v>
      </c>
      <c r="C9280" s="140" t="s">
        <v>20</v>
      </c>
      <c r="D9280" s="140" t="s">
        <v>41</v>
      </c>
      <c r="E9280" s="140" t="s">
        <v>12</v>
      </c>
      <c r="F9280">
        <v>9266</v>
      </c>
      <c r="G9280" s="140" t="s">
        <v>503</v>
      </c>
      <c r="H9280">
        <v>0</v>
      </c>
      <c r="I9280" s="140" t="s">
        <v>17</v>
      </c>
    </row>
    <row r="9281" spans="1:9" hidden="1" x14ac:dyDescent="0.25">
      <c r="A9281">
        <v>2013</v>
      </c>
      <c r="B9281" s="140" t="s">
        <v>22</v>
      </c>
      <c r="C9281" s="140" t="s">
        <v>20</v>
      </c>
      <c r="D9281" s="140" t="s">
        <v>41</v>
      </c>
      <c r="E9281" s="140" t="s">
        <v>12</v>
      </c>
      <c r="F9281">
        <v>9578</v>
      </c>
      <c r="G9281" s="140" t="s">
        <v>503</v>
      </c>
      <c r="H9281">
        <v>0</v>
      </c>
      <c r="I9281" s="140" t="s">
        <v>17</v>
      </c>
    </row>
    <row r="9282" spans="1:9" hidden="1" x14ac:dyDescent="0.25">
      <c r="A9282">
        <v>2014</v>
      </c>
      <c r="B9282" s="140" t="s">
        <v>22</v>
      </c>
      <c r="C9282" s="140" t="s">
        <v>20</v>
      </c>
      <c r="D9282" s="140" t="s">
        <v>41</v>
      </c>
      <c r="E9282" s="140" t="s">
        <v>12</v>
      </c>
      <c r="F9282">
        <v>9975</v>
      </c>
      <c r="G9282" s="140" t="s">
        <v>503</v>
      </c>
      <c r="H9282">
        <v>0</v>
      </c>
      <c r="I9282" s="140" t="s">
        <v>17</v>
      </c>
    </row>
    <row r="9283" spans="1:9" hidden="1" x14ac:dyDescent="0.25">
      <c r="A9283">
        <v>2015</v>
      </c>
      <c r="B9283" s="140" t="s">
        <v>22</v>
      </c>
      <c r="C9283" s="140" t="s">
        <v>20</v>
      </c>
      <c r="D9283" s="140" t="s">
        <v>41</v>
      </c>
      <c r="E9283" s="140" t="s">
        <v>12</v>
      </c>
      <c r="F9283">
        <v>10285</v>
      </c>
      <c r="G9283" s="140" t="s">
        <v>503</v>
      </c>
      <c r="H9283">
        <v>0</v>
      </c>
      <c r="I9283" s="140" t="s">
        <v>17</v>
      </c>
    </row>
    <row r="9284" spans="1:9" hidden="1" x14ac:dyDescent="0.25">
      <c r="A9284">
        <v>2016</v>
      </c>
      <c r="B9284" s="140" t="s">
        <v>22</v>
      </c>
      <c r="C9284" s="140" t="s">
        <v>20</v>
      </c>
      <c r="D9284" s="140" t="s">
        <v>41</v>
      </c>
      <c r="E9284" s="140" t="s">
        <v>12</v>
      </c>
      <c r="F9284">
        <v>10476</v>
      </c>
      <c r="G9284" s="140" t="s">
        <v>503</v>
      </c>
      <c r="H9284">
        <v>0</v>
      </c>
      <c r="I9284" s="140" t="s">
        <v>17</v>
      </c>
    </row>
    <row r="9285" spans="1:9" hidden="1" x14ac:dyDescent="0.25">
      <c r="A9285">
        <v>2017</v>
      </c>
      <c r="B9285" s="140" t="s">
        <v>22</v>
      </c>
      <c r="C9285" s="140" t="s">
        <v>20</v>
      </c>
      <c r="D9285" s="140" t="s">
        <v>41</v>
      </c>
      <c r="E9285" s="140" t="s">
        <v>12</v>
      </c>
      <c r="F9285">
        <v>10941</v>
      </c>
      <c r="G9285" s="140" t="s">
        <v>503</v>
      </c>
      <c r="H9285">
        <v>0</v>
      </c>
      <c r="I9285" s="140" t="s">
        <v>17</v>
      </c>
    </row>
    <row r="9286" spans="1:9" hidden="1" x14ac:dyDescent="0.25">
      <c r="A9286">
        <v>2018</v>
      </c>
      <c r="B9286" s="140" t="s">
        <v>22</v>
      </c>
      <c r="C9286" s="140" t="s">
        <v>20</v>
      </c>
      <c r="D9286" s="140" t="s">
        <v>41</v>
      </c>
      <c r="E9286" s="140" t="s">
        <v>12</v>
      </c>
      <c r="F9286">
        <v>11236</v>
      </c>
      <c r="G9286" s="140" t="s">
        <v>503</v>
      </c>
      <c r="H9286">
        <v>0</v>
      </c>
      <c r="I9286" s="140" t="s">
        <v>17</v>
      </c>
    </row>
    <row r="9287" spans="1:9" hidden="1" x14ac:dyDescent="0.25">
      <c r="A9287">
        <v>2019</v>
      </c>
      <c r="B9287" s="140" t="s">
        <v>22</v>
      </c>
      <c r="C9287" s="140" t="s">
        <v>20</v>
      </c>
      <c r="D9287" s="140" t="s">
        <v>41</v>
      </c>
      <c r="E9287" s="140" t="s">
        <v>12</v>
      </c>
      <c r="F9287">
        <v>11612</v>
      </c>
      <c r="G9287" s="140" t="s">
        <v>503</v>
      </c>
      <c r="H9287">
        <v>0</v>
      </c>
      <c r="I9287" s="140" t="s">
        <v>17</v>
      </c>
    </row>
    <row r="9288" spans="1:9" hidden="1" x14ac:dyDescent="0.25">
      <c r="A9288">
        <v>2020</v>
      </c>
      <c r="B9288" s="140" t="s">
        <v>22</v>
      </c>
      <c r="C9288" s="140" t="s">
        <v>20</v>
      </c>
      <c r="D9288" s="140" t="s">
        <v>41</v>
      </c>
      <c r="E9288" s="140" t="s">
        <v>12</v>
      </c>
      <c r="F9288">
        <v>12111</v>
      </c>
      <c r="G9288" s="140" t="s">
        <v>503</v>
      </c>
      <c r="H9288">
        <v>0</v>
      </c>
      <c r="I9288" s="140" t="s">
        <v>17</v>
      </c>
    </row>
    <row r="9289" spans="1:9" hidden="1" x14ac:dyDescent="0.25">
      <c r="A9289">
        <v>2021</v>
      </c>
      <c r="B9289" s="140" t="s">
        <v>22</v>
      </c>
      <c r="C9289" s="140" t="s">
        <v>20</v>
      </c>
      <c r="D9289" s="140" t="s">
        <v>41</v>
      </c>
      <c r="E9289" s="140" t="s">
        <v>12</v>
      </c>
      <c r="F9289">
        <v>13375</v>
      </c>
      <c r="G9289" s="140" t="s">
        <v>503</v>
      </c>
      <c r="H9289">
        <v>0</v>
      </c>
      <c r="I9289" s="140" t="s">
        <v>17</v>
      </c>
    </row>
    <row r="9290" spans="1:9" hidden="1" x14ac:dyDescent="0.25">
      <c r="A9290">
        <v>2022</v>
      </c>
      <c r="B9290" s="140" t="s">
        <v>22</v>
      </c>
      <c r="C9290" s="140" t="s">
        <v>20</v>
      </c>
      <c r="D9290" s="140" t="s">
        <v>41</v>
      </c>
      <c r="E9290" s="140" t="s">
        <v>12</v>
      </c>
      <c r="F9290">
        <v>13624</v>
      </c>
      <c r="G9290" s="140" t="s">
        <v>503</v>
      </c>
      <c r="H9290">
        <v>0</v>
      </c>
      <c r="I9290" s="140" t="s">
        <v>17</v>
      </c>
    </row>
    <row r="9291" spans="1:9" hidden="1" x14ac:dyDescent="0.25">
      <c r="A9291">
        <v>2023</v>
      </c>
      <c r="B9291" s="140" t="s">
        <v>22</v>
      </c>
      <c r="C9291" s="140" t="s">
        <v>20</v>
      </c>
      <c r="D9291" s="140" t="s">
        <v>41</v>
      </c>
      <c r="E9291" s="140" t="s">
        <v>12</v>
      </c>
      <c r="F9291">
        <v>14327</v>
      </c>
      <c r="G9291" s="140" t="s">
        <v>503</v>
      </c>
      <c r="H9291">
        <v>0</v>
      </c>
      <c r="I9291" s="140" t="s">
        <v>17</v>
      </c>
    </row>
    <row r="9292" spans="1:9" hidden="1" x14ac:dyDescent="0.25">
      <c r="A9292">
        <v>2024</v>
      </c>
      <c r="B9292" s="140" t="s">
        <v>22</v>
      </c>
      <c r="C9292" s="140" t="s">
        <v>20</v>
      </c>
      <c r="D9292" s="140" t="s">
        <v>41</v>
      </c>
      <c r="E9292" s="140" t="s">
        <v>12</v>
      </c>
      <c r="F9292">
        <v>14865</v>
      </c>
      <c r="G9292" s="140" t="s">
        <v>503</v>
      </c>
      <c r="H9292">
        <v>0</v>
      </c>
      <c r="I9292" s="140" t="s">
        <v>17</v>
      </c>
    </row>
    <row r="9293" spans="1:9" hidden="1" x14ac:dyDescent="0.25">
      <c r="A9293">
        <v>2025</v>
      </c>
      <c r="B9293" s="140" t="s">
        <v>22</v>
      </c>
      <c r="C9293" s="140" t="s">
        <v>20</v>
      </c>
      <c r="D9293" s="140" t="s">
        <v>41</v>
      </c>
      <c r="E9293" s="140" t="s">
        <v>12</v>
      </c>
      <c r="F9293">
        <v>16377</v>
      </c>
      <c r="G9293" s="140" t="s">
        <v>503</v>
      </c>
      <c r="H9293">
        <v>0</v>
      </c>
      <c r="I9293" s="140" t="s">
        <v>17</v>
      </c>
    </row>
    <row r="9294" spans="1:9" hidden="1" x14ac:dyDescent="0.25">
      <c r="A9294">
        <v>1990</v>
      </c>
      <c r="B9294" s="140" t="s">
        <v>22</v>
      </c>
      <c r="C9294" s="140" t="s">
        <v>20</v>
      </c>
      <c r="D9294" s="140" t="s">
        <v>42</v>
      </c>
      <c r="E9294" s="140" t="s">
        <v>12</v>
      </c>
      <c r="F9294">
        <v>5088</v>
      </c>
      <c r="G9294" s="140" t="s">
        <v>504</v>
      </c>
      <c r="H9294">
        <v>0</v>
      </c>
      <c r="I9294" s="140" t="s">
        <v>17</v>
      </c>
    </row>
    <row r="9295" spans="1:9" hidden="1" x14ac:dyDescent="0.25">
      <c r="A9295">
        <v>1991</v>
      </c>
      <c r="B9295" s="140" t="s">
        <v>22</v>
      </c>
      <c r="C9295" s="140" t="s">
        <v>20</v>
      </c>
      <c r="D9295" s="140" t="s">
        <v>42</v>
      </c>
      <c r="E9295" s="140" t="s">
        <v>12</v>
      </c>
      <c r="F9295">
        <v>4588</v>
      </c>
      <c r="G9295" s="140" t="s">
        <v>504</v>
      </c>
      <c r="H9295">
        <v>0</v>
      </c>
      <c r="I9295" s="140" t="s">
        <v>17</v>
      </c>
    </row>
    <row r="9296" spans="1:9" hidden="1" x14ac:dyDescent="0.25">
      <c r="A9296">
        <v>1992</v>
      </c>
      <c r="B9296" s="140" t="s">
        <v>22</v>
      </c>
      <c r="C9296" s="140" t="s">
        <v>20</v>
      </c>
      <c r="D9296" s="140" t="s">
        <v>42</v>
      </c>
      <c r="E9296" s="140" t="s">
        <v>12</v>
      </c>
      <c r="F9296">
        <v>4269</v>
      </c>
      <c r="G9296" s="140" t="s">
        <v>504</v>
      </c>
      <c r="H9296">
        <v>0</v>
      </c>
      <c r="I9296" s="140" t="s">
        <v>17</v>
      </c>
    </row>
    <row r="9297" spans="1:9" hidden="1" x14ac:dyDescent="0.25">
      <c r="A9297">
        <v>1993</v>
      </c>
      <c r="B9297" s="140" t="s">
        <v>22</v>
      </c>
      <c r="C9297" s="140" t="s">
        <v>20</v>
      </c>
      <c r="D9297" s="140" t="s">
        <v>42</v>
      </c>
      <c r="E9297" s="140" t="s">
        <v>12</v>
      </c>
      <c r="F9297">
        <v>3904</v>
      </c>
      <c r="G9297" s="140" t="s">
        <v>504</v>
      </c>
      <c r="H9297">
        <v>0</v>
      </c>
      <c r="I9297" s="140" t="s">
        <v>17</v>
      </c>
    </row>
    <row r="9298" spans="1:9" hidden="1" x14ac:dyDescent="0.25">
      <c r="A9298">
        <v>1994</v>
      </c>
      <c r="B9298" s="140" t="s">
        <v>22</v>
      </c>
      <c r="C9298" s="140" t="s">
        <v>20</v>
      </c>
      <c r="D9298" s="140" t="s">
        <v>42</v>
      </c>
      <c r="E9298" s="140" t="s">
        <v>12</v>
      </c>
      <c r="F9298">
        <v>3935</v>
      </c>
      <c r="G9298" s="140" t="s">
        <v>504</v>
      </c>
      <c r="H9298">
        <v>0</v>
      </c>
      <c r="I9298" s="140" t="s">
        <v>17</v>
      </c>
    </row>
    <row r="9299" spans="1:9" hidden="1" x14ac:dyDescent="0.25">
      <c r="A9299">
        <v>1995</v>
      </c>
      <c r="B9299" s="140" t="s">
        <v>22</v>
      </c>
      <c r="C9299" s="140" t="s">
        <v>20</v>
      </c>
      <c r="D9299" s="140" t="s">
        <v>42</v>
      </c>
      <c r="E9299" s="140" t="s">
        <v>12</v>
      </c>
      <c r="F9299">
        <v>4630</v>
      </c>
      <c r="G9299" s="140" t="s">
        <v>504</v>
      </c>
      <c r="H9299">
        <v>0</v>
      </c>
      <c r="I9299" s="140" t="s">
        <v>17</v>
      </c>
    </row>
    <row r="9300" spans="1:9" hidden="1" x14ac:dyDescent="0.25">
      <c r="A9300">
        <v>1996</v>
      </c>
      <c r="B9300" s="140" t="s">
        <v>22</v>
      </c>
      <c r="C9300" s="140" t="s">
        <v>20</v>
      </c>
      <c r="D9300" s="140" t="s">
        <v>42</v>
      </c>
      <c r="E9300" s="140" t="s">
        <v>12</v>
      </c>
      <c r="F9300">
        <v>4672</v>
      </c>
      <c r="G9300" s="140" t="s">
        <v>504</v>
      </c>
      <c r="H9300">
        <v>0</v>
      </c>
      <c r="I9300" s="140" t="s">
        <v>17</v>
      </c>
    </row>
    <row r="9301" spans="1:9" hidden="1" x14ac:dyDescent="0.25">
      <c r="A9301">
        <v>1997</v>
      </c>
      <c r="B9301" s="140" t="s">
        <v>22</v>
      </c>
      <c r="C9301" s="140" t="s">
        <v>20</v>
      </c>
      <c r="D9301" s="140" t="s">
        <v>42</v>
      </c>
      <c r="E9301" s="140" t="s">
        <v>12</v>
      </c>
      <c r="F9301">
        <v>4785</v>
      </c>
      <c r="G9301" s="140" t="s">
        <v>504</v>
      </c>
      <c r="H9301">
        <v>0</v>
      </c>
      <c r="I9301" s="140" t="s">
        <v>17</v>
      </c>
    </row>
    <row r="9302" spans="1:9" hidden="1" x14ac:dyDescent="0.25">
      <c r="A9302">
        <v>1998</v>
      </c>
      <c r="B9302" s="140" t="s">
        <v>22</v>
      </c>
      <c r="C9302" s="140" t="s">
        <v>20</v>
      </c>
      <c r="D9302" s="140" t="s">
        <v>42</v>
      </c>
      <c r="E9302" s="140" t="s">
        <v>12</v>
      </c>
      <c r="F9302">
        <v>4995</v>
      </c>
      <c r="G9302" s="140" t="s">
        <v>504</v>
      </c>
      <c r="H9302">
        <v>0</v>
      </c>
      <c r="I9302" s="140" t="s">
        <v>17</v>
      </c>
    </row>
    <row r="9303" spans="1:9" hidden="1" x14ac:dyDescent="0.25">
      <c r="A9303">
        <v>1999</v>
      </c>
      <c r="B9303" s="140" t="s">
        <v>22</v>
      </c>
      <c r="C9303" s="140" t="s">
        <v>20</v>
      </c>
      <c r="D9303" s="140" t="s">
        <v>42</v>
      </c>
      <c r="E9303" s="140" t="s">
        <v>12</v>
      </c>
      <c r="F9303">
        <v>5193</v>
      </c>
      <c r="G9303" s="140" t="s">
        <v>504</v>
      </c>
      <c r="H9303">
        <v>0</v>
      </c>
      <c r="I9303" s="140" t="s">
        <v>17</v>
      </c>
    </row>
    <row r="9304" spans="1:9" hidden="1" x14ac:dyDescent="0.25">
      <c r="A9304">
        <v>2000</v>
      </c>
      <c r="B9304" s="140" t="s">
        <v>22</v>
      </c>
      <c r="C9304" s="140" t="s">
        <v>20</v>
      </c>
      <c r="D9304" s="140" t="s">
        <v>42</v>
      </c>
      <c r="E9304" s="140" t="s">
        <v>12</v>
      </c>
      <c r="F9304">
        <v>5322</v>
      </c>
      <c r="G9304" s="140" t="s">
        <v>504</v>
      </c>
      <c r="H9304">
        <v>0</v>
      </c>
      <c r="I9304" s="140" t="s">
        <v>17</v>
      </c>
    </row>
    <row r="9305" spans="1:9" hidden="1" x14ac:dyDescent="0.25">
      <c r="A9305">
        <v>2001</v>
      </c>
      <c r="B9305" s="140" t="s">
        <v>22</v>
      </c>
      <c r="C9305" s="140" t="s">
        <v>20</v>
      </c>
      <c r="D9305" s="140" t="s">
        <v>42</v>
      </c>
      <c r="E9305" s="140" t="s">
        <v>12</v>
      </c>
      <c r="F9305">
        <v>5257</v>
      </c>
      <c r="G9305" s="140" t="s">
        <v>504</v>
      </c>
      <c r="H9305">
        <v>0</v>
      </c>
      <c r="I9305" s="140" t="s">
        <v>17</v>
      </c>
    </row>
    <row r="9306" spans="1:9" hidden="1" x14ac:dyDescent="0.25">
      <c r="A9306">
        <v>2002</v>
      </c>
      <c r="B9306" s="140" t="s">
        <v>22</v>
      </c>
      <c r="C9306" s="140" t="s">
        <v>20</v>
      </c>
      <c r="D9306" s="140" t="s">
        <v>42</v>
      </c>
      <c r="E9306" s="140" t="s">
        <v>12</v>
      </c>
      <c r="F9306">
        <v>4785</v>
      </c>
      <c r="G9306" s="140" t="s">
        <v>504</v>
      </c>
      <c r="H9306">
        <v>0</v>
      </c>
      <c r="I9306" s="140" t="s">
        <v>17</v>
      </c>
    </row>
    <row r="9307" spans="1:9" hidden="1" x14ac:dyDescent="0.25">
      <c r="A9307">
        <v>2003</v>
      </c>
      <c r="B9307" s="140" t="s">
        <v>22</v>
      </c>
      <c r="C9307" s="140" t="s">
        <v>20</v>
      </c>
      <c r="D9307" s="140" t="s">
        <v>42</v>
      </c>
      <c r="E9307" s="140" t="s">
        <v>12</v>
      </c>
      <c r="F9307">
        <v>4602</v>
      </c>
      <c r="G9307" s="140" t="s">
        <v>504</v>
      </c>
      <c r="H9307">
        <v>0</v>
      </c>
      <c r="I9307" s="140" t="s">
        <v>17</v>
      </c>
    </row>
    <row r="9308" spans="1:9" hidden="1" x14ac:dyDescent="0.25">
      <c r="A9308">
        <v>2004</v>
      </c>
      <c r="B9308" s="140" t="s">
        <v>22</v>
      </c>
      <c r="C9308" s="140" t="s">
        <v>20</v>
      </c>
      <c r="D9308" s="140" t="s">
        <v>42</v>
      </c>
      <c r="E9308" s="140" t="s">
        <v>12</v>
      </c>
      <c r="F9308">
        <v>4960</v>
      </c>
      <c r="G9308" s="140" t="s">
        <v>504</v>
      </c>
      <c r="H9308">
        <v>0</v>
      </c>
      <c r="I9308" s="140" t="s">
        <v>17</v>
      </c>
    </row>
    <row r="9309" spans="1:9" hidden="1" x14ac:dyDescent="0.25">
      <c r="A9309">
        <v>2005</v>
      </c>
      <c r="B9309" s="140" t="s">
        <v>22</v>
      </c>
      <c r="C9309" s="140" t="s">
        <v>20</v>
      </c>
      <c r="D9309" s="140" t="s">
        <v>42</v>
      </c>
      <c r="E9309" s="140" t="s">
        <v>12</v>
      </c>
      <c r="F9309">
        <v>5415</v>
      </c>
      <c r="G9309" s="140" t="s">
        <v>504</v>
      </c>
      <c r="H9309">
        <v>0</v>
      </c>
      <c r="I9309" s="140" t="s">
        <v>17</v>
      </c>
    </row>
    <row r="9310" spans="1:9" hidden="1" x14ac:dyDescent="0.25">
      <c r="A9310">
        <v>2006</v>
      </c>
      <c r="B9310" s="140" t="s">
        <v>22</v>
      </c>
      <c r="C9310" s="140" t="s">
        <v>20</v>
      </c>
      <c r="D9310" s="140" t="s">
        <v>42</v>
      </c>
      <c r="E9310" s="140" t="s">
        <v>12</v>
      </c>
      <c r="F9310">
        <v>5666</v>
      </c>
      <c r="G9310" s="140" t="s">
        <v>504</v>
      </c>
      <c r="H9310">
        <v>0</v>
      </c>
      <c r="I9310" s="140" t="s">
        <v>17</v>
      </c>
    </row>
    <row r="9311" spans="1:9" hidden="1" x14ac:dyDescent="0.25">
      <c r="A9311">
        <v>2007</v>
      </c>
      <c r="B9311" s="140" t="s">
        <v>22</v>
      </c>
      <c r="C9311" s="140" t="s">
        <v>20</v>
      </c>
      <c r="D9311" s="140" t="s">
        <v>42</v>
      </c>
      <c r="E9311" s="140" t="s">
        <v>12</v>
      </c>
      <c r="F9311">
        <v>6089</v>
      </c>
      <c r="G9311" s="140" t="s">
        <v>504</v>
      </c>
      <c r="H9311">
        <v>0</v>
      </c>
      <c r="I9311" s="140" t="s">
        <v>17</v>
      </c>
    </row>
    <row r="9312" spans="1:9" hidden="1" x14ac:dyDescent="0.25">
      <c r="A9312">
        <v>2008</v>
      </c>
      <c r="B9312" s="140" t="s">
        <v>22</v>
      </c>
      <c r="C9312" s="140" t="s">
        <v>20</v>
      </c>
      <c r="D9312" s="140" t="s">
        <v>42</v>
      </c>
      <c r="E9312" s="140" t="s">
        <v>12</v>
      </c>
      <c r="F9312">
        <v>6111</v>
      </c>
      <c r="G9312" s="140" t="s">
        <v>504</v>
      </c>
      <c r="H9312">
        <v>0</v>
      </c>
      <c r="I9312" s="140" t="s">
        <v>17</v>
      </c>
    </row>
    <row r="9313" spans="1:9" hidden="1" x14ac:dyDescent="0.25">
      <c r="A9313">
        <v>2009</v>
      </c>
      <c r="B9313" s="140" t="s">
        <v>22</v>
      </c>
      <c r="C9313" s="140" t="s">
        <v>20</v>
      </c>
      <c r="D9313" s="140" t="s">
        <v>42</v>
      </c>
      <c r="E9313" s="140" t="s">
        <v>12</v>
      </c>
      <c r="F9313">
        <v>5866</v>
      </c>
      <c r="G9313" s="140" t="s">
        <v>504</v>
      </c>
      <c r="H9313">
        <v>0</v>
      </c>
      <c r="I9313" s="140" t="s">
        <v>17</v>
      </c>
    </row>
    <row r="9314" spans="1:9" hidden="1" x14ac:dyDescent="0.25">
      <c r="A9314">
        <v>2010</v>
      </c>
      <c r="B9314" s="140" t="s">
        <v>22</v>
      </c>
      <c r="C9314" s="140" t="s">
        <v>20</v>
      </c>
      <c r="D9314" s="140" t="s">
        <v>42</v>
      </c>
      <c r="E9314" s="140" t="s">
        <v>12</v>
      </c>
      <c r="F9314">
        <v>6019</v>
      </c>
      <c r="G9314" s="140" t="s">
        <v>504</v>
      </c>
      <c r="H9314">
        <v>0</v>
      </c>
      <c r="I9314" s="140" t="s">
        <v>17</v>
      </c>
    </row>
    <row r="9315" spans="1:9" hidden="1" x14ac:dyDescent="0.25">
      <c r="A9315">
        <v>2011</v>
      </c>
      <c r="B9315" s="140" t="s">
        <v>22</v>
      </c>
      <c r="C9315" s="140" t="s">
        <v>20</v>
      </c>
      <c r="D9315" s="140" t="s">
        <v>42</v>
      </c>
      <c r="E9315" s="140" t="s">
        <v>12</v>
      </c>
      <c r="F9315">
        <v>5870</v>
      </c>
      <c r="G9315" s="140" t="s">
        <v>504</v>
      </c>
      <c r="H9315">
        <v>0</v>
      </c>
      <c r="I9315" s="140" t="s">
        <v>17</v>
      </c>
    </row>
    <row r="9316" spans="1:9" hidden="1" x14ac:dyDescent="0.25">
      <c r="A9316">
        <v>2012</v>
      </c>
      <c r="B9316" s="140" t="s">
        <v>22</v>
      </c>
      <c r="C9316" s="140" t="s">
        <v>20</v>
      </c>
      <c r="D9316" s="140" t="s">
        <v>42</v>
      </c>
      <c r="E9316" s="140" t="s">
        <v>12</v>
      </c>
      <c r="F9316">
        <v>5751</v>
      </c>
      <c r="G9316" s="140" t="s">
        <v>504</v>
      </c>
      <c r="H9316">
        <v>0</v>
      </c>
      <c r="I9316" s="140" t="s">
        <v>17</v>
      </c>
    </row>
    <row r="9317" spans="1:9" hidden="1" x14ac:dyDescent="0.25">
      <c r="A9317">
        <v>2013</v>
      </c>
      <c r="B9317" s="140" t="s">
        <v>22</v>
      </c>
      <c r="C9317" s="140" t="s">
        <v>20</v>
      </c>
      <c r="D9317" s="140" t="s">
        <v>42</v>
      </c>
      <c r="E9317" s="140" t="s">
        <v>12</v>
      </c>
      <c r="F9317">
        <v>5417</v>
      </c>
      <c r="G9317" s="140" t="s">
        <v>504</v>
      </c>
      <c r="H9317">
        <v>0</v>
      </c>
      <c r="I9317" s="140" t="s">
        <v>17</v>
      </c>
    </row>
    <row r="9318" spans="1:9" hidden="1" x14ac:dyDescent="0.25">
      <c r="A9318">
        <v>2014</v>
      </c>
      <c r="B9318" s="140" t="s">
        <v>22</v>
      </c>
      <c r="C9318" s="140" t="s">
        <v>20</v>
      </c>
      <c r="D9318" s="140" t="s">
        <v>42</v>
      </c>
      <c r="E9318" s="140" t="s">
        <v>12</v>
      </c>
      <c r="F9318">
        <v>5897</v>
      </c>
      <c r="G9318" s="140" t="s">
        <v>504</v>
      </c>
      <c r="H9318">
        <v>0</v>
      </c>
      <c r="I9318" s="140" t="s">
        <v>17</v>
      </c>
    </row>
    <row r="9319" spans="1:9" hidden="1" x14ac:dyDescent="0.25">
      <c r="A9319">
        <v>2015</v>
      </c>
      <c r="B9319" s="140" t="s">
        <v>22</v>
      </c>
      <c r="C9319" s="140" t="s">
        <v>20</v>
      </c>
      <c r="D9319" s="140" t="s">
        <v>42</v>
      </c>
      <c r="E9319" s="140" t="s">
        <v>12</v>
      </c>
      <c r="F9319">
        <v>5832</v>
      </c>
      <c r="G9319" s="140" t="s">
        <v>504</v>
      </c>
      <c r="H9319">
        <v>0</v>
      </c>
      <c r="I9319" s="140" t="s">
        <v>17</v>
      </c>
    </row>
    <row r="9320" spans="1:9" hidden="1" x14ac:dyDescent="0.25">
      <c r="A9320">
        <v>2016</v>
      </c>
      <c r="B9320" s="140" t="s">
        <v>22</v>
      </c>
      <c r="C9320" s="140" t="s">
        <v>20</v>
      </c>
      <c r="D9320" s="140" t="s">
        <v>42</v>
      </c>
      <c r="E9320" s="140" t="s">
        <v>12</v>
      </c>
      <c r="F9320">
        <v>6141</v>
      </c>
      <c r="G9320" s="140" t="s">
        <v>504</v>
      </c>
      <c r="H9320">
        <v>0</v>
      </c>
      <c r="I9320" s="140" t="s">
        <v>17</v>
      </c>
    </row>
    <row r="9321" spans="1:9" hidden="1" x14ac:dyDescent="0.25">
      <c r="A9321">
        <v>2017</v>
      </c>
      <c r="B9321" s="140" t="s">
        <v>22</v>
      </c>
      <c r="C9321" s="140" t="s">
        <v>20</v>
      </c>
      <c r="D9321" s="140" t="s">
        <v>42</v>
      </c>
      <c r="E9321" s="140" t="s">
        <v>12</v>
      </c>
      <c r="F9321">
        <v>6514</v>
      </c>
      <c r="G9321" s="140" t="s">
        <v>504</v>
      </c>
      <c r="H9321">
        <v>0</v>
      </c>
      <c r="I9321" s="140" t="s">
        <v>17</v>
      </c>
    </row>
    <row r="9322" spans="1:9" hidden="1" x14ac:dyDescent="0.25">
      <c r="A9322">
        <v>2018</v>
      </c>
      <c r="B9322" s="140" t="s">
        <v>22</v>
      </c>
      <c r="C9322" s="140" t="s">
        <v>20</v>
      </c>
      <c r="D9322" s="140" t="s">
        <v>42</v>
      </c>
      <c r="E9322" s="140" t="s">
        <v>12</v>
      </c>
      <c r="F9322">
        <v>6492</v>
      </c>
      <c r="G9322" s="140" t="s">
        <v>504</v>
      </c>
      <c r="H9322">
        <v>0</v>
      </c>
      <c r="I9322" s="140" t="s">
        <v>17</v>
      </c>
    </row>
    <row r="9323" spans="1:9" hidden="1" x14ac:dyDescent="0.25">
      <c r="A9323">
        <v>2019</v>
      </c>
      <c r="B9323" s="140" t="s">
        <v>22</v>
      </c>
      <c r="C9323" s="140" t="s">
        <v>20</v>
      </c>
      <c r="D9323" s="140" t="s">
        <v>42</v>
      </c>
      <c r="E9323" s="140" t="s">
        <v>12</v>
      </c>
      <c r="F9323">
        <v>5891</v>
      </c>
      <c r="G9323" s="140" t="s">
        <v>504</v>
      </c>
      <c r="H9323">
        <v>0</v>
      </c>
      <c r="I9323" s="140" t="s">
        <v>17</v>
      </c>
    </row>
    <row r="9324" spans="1:9" hidden="1" x14ac:dyDescent="0.25">
      <c r="A9324">
        <v>2020</v>
      </c>
      <c r="B9324" s="140" t="s">
        <v>22</v>
      </c>
      <c r="C9324" s="140" t="s">
        <v>20</v>
      </c>
      <c r="D9324" s="140" t="s">
        <v>42</v>
      </c>
      <c r="E9324" s="140" t="s">
        <v>12</v>
      </c>
      <c r="F9324">
        <v>5843</v>
      </c>
      <c r="G9324" s="140" t="s">
        <v>504</v>
      </c>
      <c r="H9324">
        <v>0</v>
      </c>
      <c r="I9324" s="140" t="s">
        <v>17</v>
      </c>
    </row>
    <row r="9325" spans="1:9" hidden="1" x14ac:dyDescent="0.25">
      <c r="A9325">
        <v>2021</v>
      </c>
      <c r="B9325" s="140" t="s">
        <v>22</v>
      </c>
      <c r="C9325" s="140" t="s">
        <v>20</v>
      </c>
      <c r="D9325" s="140" t="s">
        <v>42</v>
      </c>
      <c r="E9325" s="140" t="s">
        <v>12</v>
      </c>
      <c r="F9325">
        <v>6564</v>
      </c>
      <c r="G9325" s="140" t="s">
        <v>504</v>
      </c>
      <c r="H9325">
        <v>0</v>
      </c>
      <c r="I9325" s="140" t="s">
        <v>17</v>
      </c>
    </row>
    <row r="9326" spans="1:9" hidden="1" x14ac:dyDescent="0.25">
      <c r="A9326">
        <v>2022</v>
      </c>
      <c r="B9326" s="140" t="s">
        <v>22</v>
      </c>
      <c r="C9326" s="140" t="s">
        <v>20</v>
      </c>
      <c r="D9326" s="140" t="s">
        <v>42</v>
      </c>
      <c r="E9326" s="140" t="s">
        <v>12</v>
      </c>
      <c r="F9326">
        <v>7373</v>
      </c>
      <c r="G9326" s="140" t="s">
        <v>504</v>
      </c>
      <c r="H9326">
        <v>0</v>
      </c>
      <c r="I9326" s="140" t="s">
        <v>17</v>
      </c>
    </row>
    <row r="9327" spans="1:9" hidden="1" x14ac:dyDescent="0.25">
      <c r="A9327">
        <v>2023</v>
      </c>
      <c r="B9327" s="140" t="s">
        <v>22</v>
      </c>
      <c r="C9327" s="140" t="s">
        <v>20</v>
      </c>
      <c r="D9327" s="140" t="s">
        <v>42</v>
      </c>
      <c r="E9327" s="140" t="s">
        <v>12</v>
      </c>
      <c r="F9327">
        <v>7524</v>
      </c>
      <c r="G9327" s="140" t="s">
        <v>504</v>
      </c>
      <c r="H9327">
        <v>0</v>
      </c>
      <c r="I9327" s="140" t="s">
        <v>17</v>
      </c>
    </row>
    <row r="9328" spans="1:9" hidden="1" x14ac:dyDescent="0.25">
      <c r="A9328">
        <v>2024</v>
      </c>
      <c r="B9328" s="140" t="s">
        <v>22</v>
      </c>
      <c r="C9328" s="140" t="s">
        <v>20</v>
      </c>
      <c r="D9328" s="140" t="s">
        <v>42</v>
      </c>
      <c r="E9328" s="140" t="s">
        <v>12</v>
      </c>
      <c r="F9328">
        <v>6569</v>
      </c>
      <c r="G9328" s="140" t="s">
        <v>504</v>
      </c>
      <c r="H9328">
        <v>0</v>
      </c>
      <c r="I9328" s="140" t="s">
        <v>17</v>
      </c>
    </row>
    <row r="9329" spans="1:9" hidden="1" x14ac:dyDescent="0.25">
      <c r="A9329">
        <v>2025</v>
      </c>
      <c r="B9329" s="140" t="s">
        <v>22</v>
      </c>
      <c r="C9329" s="140" t="s">
        <v>20</v>
      </c>
      <c r="D9329" s="140" t="s">
        <v>42</v>
      </c>
      <c r="E9329" s="140" t="s">
        <v>12</v>
      </c>
      <c r="F9329">
        <v>6450</v>
      </c>
      <c r="G9329" s="140" t="s">
        <v>504</v>
      </c>
      <c r="H9329">
        <v>0</v>
      </c>
      <c r="I9329" s="140" t="s">
        <v>17</v>
      </c>
    </row>
    <row r="9330" spans="1:9" hidden="1" x14ac:dyDescent="0.25">
      <c r="A9330">
        <v>1990</v>
      </c>
      <c r="B9330" s="140" t="s">
        <v>22</v>
      </c>
      <c r="C9330" s="140" t="s">
        <v>20</v>
      </c>
      <c r="D9330" s="140" t="s">
        <v>43</v>
      </c>
      <c r="E9330" s="140" t="s">
        <v>12</v>
      </c>
      <c r="F9330">
        <v>12634</v>
      </c>
      <c r="G9330" s="140" t="s">
        <v>505</v>
      </c>
      <c r="H9330">
        <v>0</v>
      </c>
      <c r="I9330" s="140" t="s">
        <v>17</v>
      </c>
    </row>
    <row r="9331" spans="1:9" hidden="1" x14ac:dyDescent="0.25">
      <c r="A9331">
        <v>1991</v>
      </c>
      <c r="B9331" s="140" t="s">
        <v>22</v>
      </c>
      <c r="C9331" s="140" t="s">
        <v>20</v>
      </c>
      <c r="D9331" s="140" t="s">
        <v>43</v>
      </c>
      <c r="E9331" s="140" t="s">
        <v>12</v>
      </c>
      <c r="F9331">
        <v>13477</v>
      </c>
      <c r="G9331" s="140" t="s">
        <v>505</v>
      </c>
      <c r="H9331">
        <v>0</v>
      </c>
      <c r="I9331" s="140" t="s">
        <v>17</v>
      </c>
    </row>
    <row r="9332" spans="1:9" hidden="1" x14ac:dyDescent="0.25">
      <c r="A9332">
        <v>1992</v>
      </c>
      <c r="B9332" s="140" t="s">
        <v>22</v>
      </c>
      <c r="C9332" s="140" t="s">
        <v>20</v>
      </c>
      <c r="D9332" s="140" t="s">
        <v>43</v>
      </c>
      <c r="E9332" s="140" t="s">
        <v>12</v>
      </c>
      <c r="F9332">
        <v>14039</v>
      </c>
      <c r="G9332" s="140" t="s">
        <v>505</v>
      </c>
      <c r="H9332">
        <v>0</v>
      </c>
      <c r="I9332" s="140" t="s">
        <v>17</v>
      </c>
    </row>
    <row r="9333" spans="1:9" hidden="1" x14ac:dyDescent="0.25">
      <c r="A9333">
        <v>1993</v>
      </c>
      <c r="B9333" s="140" t="s">
        <v>22</v>
      </c>
      <c r="C9333" s="140" t="s">
        <v>20</v>
      </c>
      <c r="D9333" s="140" t="s">
        <v>43</v>
      </c>
      <c r="E9333" s="140" t="s">
        <v>12</v>
      </c>
      <c r="F9333">
        <v>14563</v>
      </c>
      <c r="G9333" s="140" t="s">
        <v>505</v>
      </c>
      <c r="H9333">
        <v>0</v>
      </c>
      <c r="I9333" s="140" t="s">
        <v>17</v>
      </c>
    </row>
    <row r="9334" spans="1:9" hidden="1" x14ac:dyDescent="0.25">
      <c r="A9334">
        <v>1994</v>
      </c>
      <c r="B9334" s="140" t="s">
        <v>22</v>
      </c>
      <c r="C9334" s="140" t="s">
        <v>20</v>
      </c>
      <c r="D9334" s="140" t="s">
        <v>43</v>
      </c>
      <c r="E9334" s="140" t="s">
        <v>12</v>
      </c>
      <c r="F9334">
        <v>15122</v>
      </c>
      <c r="G9334" s="140" t="s">
        <v>505</v>
      </c>
      <c r="H9334">
        <v>0</v>
      </c>
      <c r="I9334" s="140" t="s">
        <v>17</v>
      </c>
    </row>
    <row r="9335" spans="1:9" hidden="1" x14ac:dyDescent="0.25">
      <c r="A9335">
        <v>1995</v>
      </c>
      <c r="B9335" s="140" t="s">
        <v>22</v>
      </c>
      <c r="C9335" s="140" t="s">
        <v>20</v>
      </c>
      <c r="D9335" s="140" t="s">
        <v>43</v>
      </c>
      <c r="E9335" s="140" t="s">
        <v>12</v>
      </c>
      <c r="F9335">
        <v>15900</v>
      </c>
      <c r="G9335" s="140" t="s">
        <v>505</v>
      </c>
      <c r="H9335">
        <v>0</v>
      </c>
      <c r="I9335" s="140" t="s">
        <v>17</v>
      </c>
    </row>
    <row r="9336" spans="1:9" hidden="1" x14ac:dyDescent="0.25">
      <c r="A9336">
        <v>1996</v>
      </c>
      <c r="B9336" s="140" t="s">
        <v>22</v>
      </c>
      <c r="C9336" s="140" t="s">
        <v>20</v>
      </c>
      <c r="D9336" s="140" t="s">
        <v>43</v>
      </c>
      <c r="E9336" s="140" t="s">
        <v>12</v>
      </c>
      <c r="F9336">
        <v>16441</v>
      </c>
      <c r="G9336" s="140" t="s">
        <v>505</v>
      </c>
      <c r="H9336">
        <v>0</v>
      </c>
      <c r="I9336" s="140" t="s">
        <v>17</v>
      </c>
    </row>
    <row r="9337" spans="1:9" hidden="1" x14ac:dyDescent="0.25">
      <c r="A9337">
        <v>1997</v>
      </c>
      <c r="B9337" s="140" t="s">
        <v>22</v>
      </c>
      <c r="C9337" s="140" t="s">
        <v>20</v>
      </c>
      <c r="D9337" s="140" t="s">
        <v>43</v>
      </c>
      <c r="E9337" s="140" t="s">
        <v>12</v>
      </c>
      <c r="F9337">
        <v>16950</v>
      </c>
      <c r="G9337" s="140" t="s">
        <v>505</v>
      </c>
      <c r="H9337">
        <v>0</v>
      </c>
      <c r="I9337" s="140" t="s">
        <v>17</v>
      </c>
    </row>
    <row r="9338" spans="1:9" hidden="1" x14ac:dyDescent="0.25">
      <c r="A9338">
        <v>1998</v>
      </c>
      <c r="B9338" s="140" t="s">
        <v>22</v>
      </c>
      <c r="C9338" s="140" t="s">
        <v>20</v>
      </c>
      <c r="D9338" s="140" t="s">
        <v>43</v>
      </c>
      <c r="E9338" s="140" t="s">
        <v>12</v>
      </c>
      <c r="F9338">
        <v>17247</v>
      </c>
      <c r="G9338" s="140" t="s">
        <v>505</v>
      </c>
      <c r="H9338">
        <v>0</v>
      </c>
      <c r="I9338" s="140" t="s">
        <v>17</v>
      </c>
    </row>
    <row r="9339" spans="1:9" hidden="1" x14ac:dyDescent="0.25">
      <c r="A9339">
        <v>1999</v>
      </c>
      <c r="B9339" s="140" t="s">
        <v>22</v>
      </c>
      <c r="C9339" s="140" t="s">
        <v>20</v>
      </c>
      <c r="D9339" s="140" t="s">
        <v>43</v>
      </c>
      <c r="E9339" s="140" t="s">
        <v>12</v>
      </c>
      <c r="F9339">
        <v>17866</v>
      </c>
      <c r="G9339" s="140" t="s">
        <v>505</v>
      </c>
      <c r="H9339">
        <v>0</v>
      </c>
      <c r="I9339" s="140" t="s">
        <v>17</v>
      </c>
    </row>
    <row r="9340" spans="1:9" hidden="1" x14ac:dyDescent="0.25">
      <c r="A9340">
        <v>2000</v>
      </c>
      <c r="B9340" s="140" t="s">
        <v>22</v>
      </c>
      <c r="C9340" s="140" t="s">
        <v>20</v>
      </c>
      <c r="D9340" s="140" t="s">
        <v>43</v>
      </c>
      <c r="E9340" s="140" t="s">
        <v>12</v>
      </c>
      <c r="F9340">
        <v>18465</v>
      </c>
      <c r="G9340" s="140" t="s">
        <v>505</v>
      </c>
      <c r="H9340">
        <v>0</v>
      </c>
      <c r="I9340" s="140" t="s">
        <v>17</v>
      </c>
    </row>
    <row r="9341" spans="1:9" hidden="1" x14ac:dyDescent="0.25">
      <c r="A9341">
        <v>2001</v>
      </c>
      <c r="B9341" s="140" t="s">
        <v>22</v>
      </c>
      <c r="C9341" s="140" t="s">
        <v>20</v>
      </c>
      <c r="D9341" s="140" t="s">
        <v>43</v>
      </c>
      <c r="E9341" s="140" t="s">
        <v>12</v>
      </c>
      <c r="F9341">
        <v>18864</v>
      </c>
      <c r="G9341" s="140" t="s">
        <v>505</v>
      </c>
      <c r="H9341">
        <v>0</v>
      </c>
      <c r="I9341" s="140" t="s">
        <v>17</v>
      </c>
    </row>
    <row r="9342" spans="1:9" hidden="1" x14ac:dyDescent="0.25">
      <c r="A9342">
        <v>2002</v>
      </c>
      <c r="B9342" s="140" t="s">
        <v>22</v>
      </c>
      <c r="C9342" s="140" t="s">
        <v>20</v>
      </c>
      <c r="D9342" s="140" t="s">
        <v>43</v>
      </c>
      <c r="E9342" s="140" t="s">
        <v>12</v>
      </c>
      <c r="F9342">
        <v>19284</v>
      </c>
      <c r="G9342" s="140" t="s">
        <v>505</v>
      </c>
      <c r="H9342">
        <v>0</v>
      </c>
      <c r="I9342" s="140" t="s">
        <v>17</v>
      </c>
    </row>
    <row r="9343" spans="1:9" hidden="1" x14ac:dyDescent="0.25">
      <c r="A9343">
        <v>2003</v>
      </c>
      <c r="B9343" s="140" t="s">
        <v>22</v>
      </c>
      <c r="C9343" s="140" t="s">
        <v>20</v>
      </c>
      <c r="D9343" s="140" t="s">
        <v>43</v>
      </c>
      <c r="E9343" s="140" t="s">
        <v>12</v>
      </c>
      <c r="F9343">
        <v>19515</v>
      </c>
      <c r="G9343" s="140" t="s">
        <v>505</v>
      </c>
      <c r="H9343">
        <v>0</v>
      </c>
      <c r="I9343" s="140" t="s">
        <v>17</v>
      </c>
    </row>
    <row r="9344" spans="1:9" hidden="1" x14ac:dyDescent="0.25">
      <c r="A9344">
        <v>2004</v>
      </c>
      <c r="B9344" s="140" t="s">
        <v>22</v>
      </c>
      <c r="C9344" s="140" t="s">
        <v>20</v>
      </c>
      <c r="D9344" s="140" t="s">
        <v>43</v>
      </c>
      <c r="E9344" s="140" t="s">
        <v>12</v>
      </c>
      <c r="F9344">
        <v>19867</v>
      </c>
      <c r="G9344" s="140" t="s">
        <v>505</v>
      </c>
      <c r="H9344">
        <v>0</v>
      </c>
      <c r="I9344" s="140" t="s">
        <v>17</v>
      </c>
    </row>
    <row r="9345" spans="1:9" hidden="1" x14ac:dyDescent="0.25">
      <c r="A9345">
        <v>2005</v>
      </c>
      <c r="B9345" s="140" t="s">
        <v>22</v>
      </c>
      <c r="C9345" s="140" t="s">
        <v>20</v>
      </c>
      <c r="D9345" s="140" t="s">
        <v>43</v>
      </c>
      <c r="E9345" s="140" t="s">
        <v>12</v>
      </c>
      <c r="F9345">
        <v>20146</v>
      </c>
      <c r="G9345" s="140" t="s">
        <v>505</v>
      </c>
      <c r="H9345">
        <v>0</v>
      </c>
      <c r="I9345" s="140" t="s">
        <v>17</v>
      </c>
    </row>
    <row r="9346" spans="1:9" hidden="1" x14ac:dyDescent="0.25">
      <c r="A9346">
        <v>2006</v>
      </c>
      <c r="B9346" s="140" t="s">
        <v>22</v>
      </c>
      <c r="C9346" s="140" t="s">
        <v>20</v>
      </c>
      <c r="D9346" s="140" t="s">
        <v>43</v>
      </c>
      <c r="E9346" s="140" t="s">
        <v>12</v>
      </c>
      <c r="F9346">
        <v>20610</v>
      </c>
      <c r="G9346" s="140" t="s">
        <v>505</v>
      </c>
      <c r="H9346">
        <v>0</v>
      </c>
      <c r="I9346" s="140" t="s">
        <v>17</v>
      </c>
    </row>
    <row r="9347" spans="1:9" hidden="1" x14ac:dyDescent="0.25">
      <c r="A9347">
        <v>2007</v>
      </c>
      <c r="B9347" s="140" t="s">
        <v>22</v>
      </c>
      <c r="C9347" s="140" t="s">
        <v>20</v>
      </c>
      <c r="D9347" s="140" t="s">
        <v>43</v>
      </c>
      <c r="E9347" s="140" t="s">
        <v>12</v>
      </c>
      <c r="F9347">
        <v>21128</v>
      </c>
      <c r="G9347" s="140" t="s">
        <v>505</v>
      </c>
      <c r="H9347">
        <v>0</v>
      </c>
      <c r="I9347" s="140" t="s">
        <v>17</v>
      </c>
    </row>
    <row r="9348" spans="1:9" hidden="1" x14ac:dyDescent="0.25">
      <c r="A9348">
        <v>2008</v>
      </c>
      <c r="B9348" s="140" t="s">
        <v>22</v>
      </c>
      <c r="C9348" s="140" t="s">
        <v>20</v>
      </c>
      <c r="D9348" s="140" t="s">
        <v>43</v>
      </c>
      <c r="E9348" s="140" t="s">
        <v>12</v>
      </c>
      <c r="F9348">
        <v>22203</v>
      </c>
      <c r="G9348" s="140" t="s">
        <v>505</v>
      </c>
      <c r="H9348">
        <v>0</v>
      </c>
      <c r="I9348" s="140" t="s">
        <v>17</v>
      </c>
    </row>
    <row r="9349" spans="1:9" hidden="1" x14ac:dyDescent="0.25">
      <c r="A9349">
        <v>2009</v>
      </c>
      <c r="B9349" s="140" t="s">
        <v>22</v>
      </c>
      <c r="C9349" s="140" t="s">
        <v>20</v>
      </c>
      <c r="D9349" s="140" t="s">
        <v>43</v>
      </c>
      <c r="E9349" s="140" t="s">
        <v>12</v>
      </c>
      <c r="F9349">
        <v>21783</v>
      </c>
      <c r="G9349" s="140" t="s">
        <v>505</v>
      </c>
      <c r="H9349">
        <v>0</v>
      </c>
      <c r="I9349" s="140" t="s">
        <v>17</v>
      </c>
    </row>
    <row r="9350" spans="1:9" hidden="1" x14ac:dyDescent="0.25">
      <c r="A9350">
        <v>2010</v>
      </c>
      <c r="B9350" s="140" t="s">
        <v>22</v>
      </c>
      <c r="C9350" s="140" t="s">
        <v>20</v>
      </c>
      <c r="D9350" s="140" t="s">
        <v>43</v>
      </c>
      <c r="E9350" s="140" t="s">
        <v>12</v>
      </c>
      <c r="F9350">
        <v>21467</v>
      </c>
      <c r="G9350" s="140" t="s">
        <v>505</v>
      </c>
      <c r="H9350">
        <v>0</v>
      </c>
      <c r="I9350" s="140" t="s">
        <v>17</v>
      </c>
    </row>
    <row r="9351" spans="1:9" hidden="1" x14ac:dyDescent="0.25">
      <c r="A9351">
        <v>2011</v>
      </c>
      <c r="B9351" s="140" t="s">
        <v>22</v>
      </c>
      <c r="C9351" s="140" t="s">
        <v>20</v>
      </c>
      <c r="D9351" s="140" t="s">
        <v>43</v>
      </c>
      <c r="E9351" s="140" t="s">
        <v>12</v>
      </c>
      <c r="F9351">
        <v>22497</v>
      </c>
      <c r="G9351" s="140" t="s">
        <v>505</v>
      </c>
      <c r="H9351">
        <v>0</v>
      </c>
      <c r="I9351" s="140" t="s">
        <v>17</v>
      </c>
    </row>
    <row r="9352" spans="1:9" hidden="1" x14ac:dyDescent="0.25">
      <c r="A9352">
        <v>2012</v>
      </c>
      <c r="B9352" s="140" t="s">
        <v>22</v>
      </c>
      <c r="C9352" s="140" t="s">
        <v>20</v>
      </c>
      <c r="D9352" s="140" t="s">
        <v>43</v>
      </c>
      <c r="E9352" s="140" t="s">
        <v>12</v>
      </c>
      <c r="F9352">
        <v>22282</v>
      </c>
      <c r="G9352" s="140" t="s">
        <v>505</v>
      </c>
      <c r="H9352">
        <v>0</v>
      </c>
      <c r="I9352" s="140" t="s">
        <v>17</v>
      </c>
    </row>
    <row r="9353" spans="1:9" hidden="1" x14ac:dyDescent="0.25">
      <c r="A9353">
        <v>2013</v>
      </c>
      <c r="B9353" s="140" t="s">
        <v>22</v>
      </c>
      <c r="C9353" s="140" t="s">
        <v>20</v>
      </c>
      <c r="D9353" s="140" t="s">
        <v>43</v>
      </c>
      <c r="E9353" s="140" t="s">
        <v>12</v>
      </c>
      <c r="F9353">
        <v>22248</v>
      </c>
      <c r="G9353" s="140" t="s">
        <v>505</v>
      </c>
      <c r="H9353">
        <v>0</v>
      </c>
      <c r="I9353" s="140" t="s">
        <v>17</v>
      </c>
    </row>
    <row r="9354" spans="1:9" hidden="1" x14ac:dyDescent="0.25">
      <c r="A9354">
        <v>2014</v>
      </c>
      <c r="B9354" s="140" t="s">
        <v>22</v>
      </c>
      <c r="C9354" s="140" t="s">
        <v>20</v>
      </c>
      <c r="D9354" s="140" t="s">
        <v>43</v>
      </c>
      <c r="E9354" s="140" t="s">
        <v>12</v>
      </c>
      <c r="F9354">
        <v>22469</v>
      </c>
      <c r="G9354" s="140" t="s">
        <v>505</v>
      </c>
      <c r="H9354">
        <v>0</v>
      </c>
      <c r="I9354" s="140" t="s">
        <v>17</v>
      </c>
    </row>
    <row r="9355" spans="1:9" hidden="1" x14ac:dyDescent="0.25">
      <c r="A9355">
        <v>2015</v>
      </c>
      <c r="B9355" s="140" t="s">
        <v>22</v>
      </c>
      <c r="C9355" s="140" t="s">
        <v>20</v>
      </c>
      <c r="D9355" s="140" t="s">
        <v>43</v>
      </c>
      <c r="E9355" s="140" t="s">
        <v>12</v>
      </c>
      <c r="F9355">
        <v>22961</v>
      </c>
      <c r="G9355" s="140" t="s">
        <v>505</v>
      </c>
      <c r="H9355">
        <v>0</v>
      </c>
      <c r="I9355" s="140" t="s">
        <v>17</v>
      </c>
    </row>
    <row r="9356" spans="1:9" hidden="1" x14ac:dyDescent="0.25">
      <c r="A9356">
        <v>2016</v>
      </c>
      <c r="B9356" s="140" t="s">
        <v>22</v>
      </c>
      <c r="C9356" s="140" t="s">
        <v>20</v>
      </c>
      <c r="D9356" s="140" t="s">
        <v>43</v>
      </c>
      <c r="E9356" s="140" t="s">
        <v>12</v>
      </c>
      <c r="F9356">
        <v>23383</v>
      </c>
      <c r="G9356" s="140" t="s">
        <v>505</v>
      </c>
      <c r="H9356">
        <v>0</v>
      </c>
      <c r="I9356" s="140" t="s">
        <v>17</v>
      </c>
    </row>
    <row r="9357" spans="1:9" hidden="1" x14ac:dyDescent="0.25">
      <c r="A9357">
        <v>2017</v>
      </c>
      <c r="B9357" s="140" t="s">
        <v>22</v>
      </c>
      <c r="C9357" s="140" t="s">
        <v>20</v>
      </c>
      <c r="D9357" s="140" t="s">
        <v>43</v>
      </c>
      <c r="E9357" s="140" t="s">
        <v>12</v>
      </c>
      <c r="F9357">
        <v>23838</v>
      </c>
      <c r="G9357" s="140" t="s">
        <v>505</v>
      </c>
      <c r="H9357">
        <v>0</v>
      </c>
      <c r="I9357" s="140" t="s">
        <v>17</v>
      </c>
    </row>
    <row r="9358" spans="1:9" hidden="1" x14ac:dyDescent="0.25">
      <c r="A9358">
        <v>2018</v>
      </c>
      <c r="B9358" s="140" t="s">
        <v>22</v>
      </c>
      <c r="C9358" s="140" t="s">
        <v>20</v>
      </c>
      <c r="D9358" s="140" t="s">
        <v>43</v>
      </c>
      <c r="E9358" s="140" t="s">
        <v>12</v>
      </c>
      <c r="F9358">
        <v>24698</v>
      </c>
      <c r="G9358" s="140" t="s">
        <v>505</v>
      </c>
      <c r="H9358">
        <v>0</v>
      </c>
      <c r="I9358" s="140" t="s">
        <v>17</v>
      </c>
    </row>
    <row r="9359" spans="1:9" hidden="1" x14ac:dyDescent="0.25">
      <c r="A9359">
        <v>2019</v>
      </c>
      <c r="B9359" s="140" t="s">
        <v>22</v>
      </c>
      <c r="C9359" s="140" t="s">
        <v>20</v>
      </c>
      <c r="D9359" s="140" t="s">
        <v>43</v>
      </c>
      <c r="E9359" s="140" t="s">
        <v>12</v>
      </c>
      <c r="F9359">
        <v>25222</v>
      </c>
      <c r="G9359" s="140" t="s">
        <v>505</v>
      </c>
      <c r="H9359">
        <v>0</v>
      </c>
      <c r="I9359" s="140" t="s">
        <v>17</v>
      </c>
    </row>
    <row r="9360" spans="1:9" hidden="1" x14ac:dyDescent="0.25">
      <c r="A9360">
        <v>2020</v>
      </c>
      <c r="B9360" s="140" t="s">
        <v>22</v>
      </c>
      <c r="C9360" s="140" t="s">
        <v>20</v>
      </c>
      <c r="D9360" s="140" t="s">
        <v>43</v>
      </c>
      <c r="E9360" s="140" t="s">
        <v>12</v>
      </c>
      <c r="F9360">
        <v>25535</v>
      </c>
      <c r="G9360" s="140" t="s">
        <v>505</v>
      </c>
      <c r="H9360">
        <v>0</v>
      </c>
      <c r="I9360" s="140" t="s">
        <v>17</v>
      </c>
    </row>
    <row r="9361" spans="1:9" hidden="1" x14ac:dyDescent="0.25">
      <c r="A9361">
        <v>2021</v>
      </c>
      <c r="B9361" s="140" t="s">
        <v>22</v>
      </c>
      <c r="C9361" s="140" t="s">
        <v>20</v>
      </c>
      <c r="D9361" s="140" t="s">
        <v>43</v>
      </c>
      <c r="E9361" s="140" t="s">
        <v>12</v>
      </c>
      <c r="F9361">
        <v>26398</v>
      </c>
      <c r="G9361" s="140" t="s">
        <v>505</v>
      </c>
      <c r="H9361">
        <v>0</v>
      </c>
      <c r="I9361" s="140" t="s">
        <v>17</v>
      </c>
    </row>
    <row r="9362" spans="1:9" hidden="1" x14ac:dyDescent="0.25">
      <c r="A9362">
        <v>2022</v>
      </c>
      <c r="B9362" s="140" t="s">
        <v>22</v>
      </c>
      <c r="C9362" s="140" t="s">
        <v>20</v>
      </c>
      <c r="D9362" s="140" t="s">
        <v>43</v>
      </c>
      <c r="E9362" s="140" t="s">
        <v>12</v>
      </c>
      <c r="F9362">
        <v>27293</v>
      </c>
      <c r="G9362" s="140" t="s">
        <v>505</v>
      </c>
      <c r="H9362">
        <v>0</v>
      </c>
      <c r="I9362" s="140" t="s">
        <v>17</v>
      </c>
    </row>
    <row r="9363" spans="1:9" hidden="1" x14ac:dyDescent="0.25">
      <c r="A9363">
        <v>2023</v>
      </c>
      <c r="B9363" s="140" t="s">
        <v>22</v>
      </c>
      <c r="C9363" s="140" t="s">
        <v>20</v>
      </c>
      <c r="D9363" s="140" t="s">
        <v>43</v>
      </c>
      <c r="E9363" s="140" t="s">
        <v>12</v>
      </c>
      <c r="F9363">
        <v>28033</v>
      </c>
      <c r="G9363" s="140" t="s">
        <v>505</v>
      </c>
      <c r="H9363">
        <v>0</v>
      </c>
      <c r="I9363" s="140" t="s">
        <v>17</v>
      </c>
    </row>
    <row r="9364" spans="1:9" hidden="1" x14ac:dyDescent="0.25">
      <c r="A9364">
        <v>2024</v>
      </c>
      <c r="B9364" s="140" t="s">
        <v>22</v>
      </c>
      <c r="C9364" s="140" t="s">
        <v>20</v>
      </c>
      <c r="D9364" s="140" t="s">
        <v>43</v>
      </c>
      <c r="E9364" s="140" t="s">
        <v>12</v>
      </c>
      <c r="F9364">
        <v>27856</v>
      </c>
      <c r="G9364" s="140" t="s">
        <v>505</v>
      </c>
      <c r="H9364">
        <v>0</v>
      </c>
      <c r="I9364" s="140" t="s">
        <v>17</v>
      </c>
    </row>
    <row r="9365" spans="1:9" hidden="1" x14ac:dyDescent="0.25">
      <c r="A9365">
        <v>2025</v>
      </c>
      <c r="B9365" s="140" t="s">
        <v>22</v>
      </c>
      <c r="C9365" s="140" t="s">
        <v>20</v>
      </c>
      <c r="D9365" s="140" t="s">
        <v>43</v>
      </c>
      <c r="E9365" s="140" t="s">
        <v>12</v>
      </c>
      <c r="F9365">
        <v>27421</v>
      </c>
      <c r="G9365" s="140" t="s">
        <v>505</v>
      </c>
      <c r="H9365">
        <v>0</v>
      </c>
      <c r="I9365" s="140" t="s">
        <v>17</v>
      </c>
    </row>
    <row r="9366" spans="1:9" hidden="1" x14ac:dyDescent="0.25">
      <c r="A9366">
        <v>1990</v>
      </c>
      <c r="B9366" s="140" t="s">
        <v>22</v>
      </c>
      <c r="C9366" s="140" t="s">
        <v>20</v>
      </c>
      <c r="D9366" s="140" t="s">
        <v>44</v>
      </c>
      <c r="E9366" s="140" t="s">
        <v>12</v>
      </c>
      <c r="F9366">
        <v>8913</v>
      </c>
      <c r="G9366" s="140" t="s">
        <v>506</v>
      </c>
      <c r="H9366">
        <v>0</v>
      </c>
      <c r="I9366" s="140" t="s">
        <v>17</v>
      </c>
    </row>
    <row r="9367" spans="1:9" hidden="1" x14ac:dyDescent="0.25">
      <c r="A9367">
        <v>1991</v>
      </c>
      <c r="B9367" s="140" t="s">
        <v>22</v>
      </c>
      <c r="C9367" s="140" t="s">
        <v>20</v>
      </c>
      <c r="D9367" s="140" t="s">
        <v>44</v>
      </c>
      <c r="E9367" s="140" t="s">
        <v>12</v>
      </c>
      <c r="F9367">
        <v>8017</v>
      </c>
      <c r="G9367" s="140" t="s">
        <v>506</v>
      </c>
      <c r="H9367">
        <v>0</v>
      </c>
      <c r="I9367" s="140" t="s">
        <v>17</v>
      </c>
    </row>
    <row r="9368" spans="1:9" hidden="1" x14ac:dyDescent="0.25">
      <c r="A9368">
        <v>1992</v>
      </c>
      <c r="B9368" s="140" t="s">
        <v>22</v>
      </c>
      <c r="C9368" s="140" t="s">
        <v>20</v>
      </c>
      <c r="D9368" s="140" t="s">
        <v>44</v>
      </c>
      <c r="E9368" s="140" t="s">
        <v>12</v>
      </c>
      <c r="F9368">
        <v>7460</v>
      </c>
      <c r="G9368" s="140" t="s">
        <v>506</v>
      </c>
      <c r="H9368">
        <v>0</v>
      </c>
      <c r="I9368" s="140" t="s">
        <v>17</v>
      </c>
    </row>
    <row r="9369" spans="1:9" hidden="1" x14ac:dyDescent="0.25">
      <c r="A9369">
        <v>1993</v>
      </c>
      <c r="B9369" s="140" t="s">
        <v>22</v>
      </c>
      <c r="C9369" s="140" t="s">
        <v>20</v>
      </c>
      <c r="D9369" s="140" t="s">
        <v>44</v>
      </c>
      <c r="E9369" s="140" t="s">
        <v>12</v>
      </c>
      <c r="F9369">
        <v>7642</v>
      </c>
      <c r="G9369" s="140" t="s">
        <v>506</v>
      </c>
      <c r="H9369">
        <v>0</v>
      </c>
      <c r="I9369" s="140" t="s">
        <v>17</v>
      </c>
    </row>
    <row r="9370" spans="1:9" hidden="1" x14ac:dyDescent="0.25">
      <c r="A9370">
        <v>1994</v>
      </c>
      <c r="B9370" s="140" t="s">
        <v>22</v>
      </c>
      <c r="C9370" s="140" t="s">
        <v>20</v>
      </c>
      <c r="D9370" s="140" t="s">
        <v>44</v>
      </c>
      <c r="E9370" s="140" t="s">
        <v>12</v>
      </c>
      <c r="F9370">
        <v>8315</v>
      </c>
      <c r="G9370" s="140" t="s">
        <v>506</v>
      </c>
      <c r="H9370">
        <v>0</v>
      </c>
      <c r="I9370" s="140" t="s">
        <v>17</v>
      </c>
    </row>
    <row r="9371" spans="1:9" hidden="1" x14ac:dyDescent="0.25">
      <c r="A9371">
        <v>1995</v>
      </c>
      <c r="B9371" s="140" t="s">
        <v>22</v>
      </c>
      <c r="C9371" s="140" t="s">
        <v>20</v>
      </c>
      <c r="D9371" s="140" t="s">
        <v>44</v>
      </c>
      <c r="E9371" s="140" t="s">
        <v>12</v>
      </c>
      <c r="F9371">
        <v>8737</v>
      </c>
      <c r="G9371" s="140" t="s">
        <v>506</v>
      </c>
      <c r="H9371">
        <v>0</v>
      </c>
      <c r="I9371" s="140" t="s">
        <v>17</v>
      </c>
    </row>
    <row r="9372" spans="1:9" hidden="1" x14ac:dyDescent="0.25">
      <c r="A9372">
        <v>1996</v>
      </c>
      <c r="B9372" s="140" t="s">
        <v>22</v>
      </c>
      <c r="C9372" s="140" t="s">
        <v>20</v>
      </c>
      <c r="D9372" s="140" t="s">
        <v>44</v>
      </c>
      <c r="E9372" s="140" t="s">
        <v>12</v>
      </c>
      <c r="F9372">
        <v>9332</v>
      </c>
      <c r="G9372" s="140" t="s">
        <v>506</v>
      </c>
      <c r="H9372">
        <v>0</v>
      </c>
      <c r="I9372" s="140" t="s">
        <v>17</v>
      </c>
    </row>
    <row r="9373" spans="1:9" hidden="1" x14ac:dyDescent="0.25">
      <c r="A9373">
        <v>1997</v>
      </c>
      <c r="B9373" s="140" t="s">
        <v>22</v>
      </c>
      <c r="C9373" s="140" t="s">
        <v>20</v>
      </c>
      <c r="D9373" s="140" t="s">
        <v>44</v>
      </c>
      <c r="E9373" s="140" t="s">
        <v>12</v>
      </c>
      <c r="F9373">
        <v>9988</v>
      </c>
      <c r="G9373" s="140" t="s">
        <v>506</v>
      </c>
      <c r="H9373">
        <v>0</v>
      </c>
      <c r="I9373" s="140" t="s">
        <v>17</v>
      </c>
    </row>
    <row r="9374" spans="1:9" hidden="1" x14ac:dyDescent="0.25">
      <c r="A9374">
        <v>1998</v>
      </c>
      <c r="B9374" s="140" t="s">
        <v>22</v>
      </c>
      <c r="C9374" s="140" t="s">
        <v>20</v>
      </c>
      <c r="D9374" s="140" t="s">
        <v>44</v>
      </c>
      <c r="E9374" s="140" t="s">
        <v>12</v>
      </c>
      <c r="F9374">
        <v>10417</v>
      </c>
      <c r="G9374" s="140" t="s">
        <v>506</v>
      </c>
      <c r="H9374">
        <v>0</v>
      </c>
      <c r="I9374" s="140" t="s">
        <v>17</v>
      </c>
    </row>
    <row r="9375" spans="1:9" hidden="1" x14ac:dyDescent="0.25">
      <c r="A9375">
        <v>1999</v>
      </c>
      <c r="B9375" s="140" t="s">
        <v>22</v>
      </c>
      <c r="C9375" s="140" t="s">
        <v>20</v>
      </c>
      <c r="D9375" s="140" t="s">
        <v>44</v>
      </c>
      <c r="E9375" s="140" t="s">
        <v>12</v>
      </c>
      <c r="F9375">
        <v>11061</v>
      </c>
      <c r="G9375" s="140" t="s">
        <v>506</v>
      </c>
      <c r="H9375">
        <v>0</v>
      </c>
      <c r="I9375" s="140" t="s">
        <v>17</v>
      </c>
    </row>
    <row r="9376" spans="1:9" hidden="1" x14ac:dyDescent="0.25">
      <c r="A9376">
        <v>2000</v>
      </c>
      <c r="B9376" s="140" t="s">
        <v>22</v>
      </c>
      <c r="C9376" s="140" t="s">
        <v>20</v>
      </c>
      <c r="D9376" s="140" t="s">
        <v>44</v>
      </c>
      <c r="E9376" s="140" t="s">
        <v>12</v>
      </c>
      <c r="F9376">
        <v>11679</v>
      </c>
      <c r="G9376" s="140" t="s">
        <v>506</v>
      </c>
      <c r="H9376">
        <v>0</v>
      </c>
      <c r="I9376" s="140" t="s">
        <v>17</v>
      </c>
    </row>
    <row r="9377" spans="1:9" hidden="1" x14ac:dyDescent="0.25">
      <c r="A9377">
        <v>2001</v>
      </c>
      <c r="B9377" s="140" t="s">
        <v>22</v>
      </c>
      <c r="C9377" s="140" t="s">
        <v>20</v>
      </c>
      <c r="D9377" s="140" t="s">
        <v>44</v>
      </c>
      <c r="E9377" s="140" t="s">
        <v>12</v>
      </c>
      <c r="F9377">
        <v>12326</v>
      </c>
      <c r="G9377" s="140" t="s">
        <v>506</v>
      </c>
      <c r="H9377">
        <v>0</v>
      </c>
      <c r="I9377" s="140" t="s">
        <v>17</v>
      </c>
    </row>
    <row r="9378" spans="1:9" hidden="1" x14ac:dyDescent="0.25">
      <c r="A9378">
        <v>2002</v>
      </c>
      <c r="B9378" s="140" t="s">
        <v>22</v>
      </c>
      <c r="C9378" s="140" t="s">
        <v>20</v>
      </c>
      <c r="D9378" s="140" t="s">
        <v>44</v>
      </c>
      <c r="E9378" s="140" t="s">
        <v>12</v>
      </c>
      <c r="F9378">
        <v>12510</v>
      </c>
      <c r="G9378" s="140" t="s">
        <v>506</v>
      </c>
      <c r="H9378">
        <v>0</v>
      </c>
      <c r="I9378" s="140" t="s">
        <v>17</v>
      </c>
    </row>
    <row r="9379" spans="1:9" hidden="1" x14ac:dyDescent="0.25">
      <c r="A9379">
        <v>2003</v>
      </c>
      <c r="B9379" s="140" t="s">
        <v>22</v>
      </c>
      <c r="C9379" s="140" t="s">
        <v>20</v>
      </c>
      <c r="D9379" s="140" t="s">
        <v>44</v>
      </c>
      <c r="E9379" s="140" t="s">
        <v>12</v>
      </c>
      <c r="F9379">
        <v>12470</v>
      </c>
      <c r="G9379" s="140" t="s">
        <v>506</v>
      </c>
      <c r="H9379">
        <v>0</v>
      </c>
      <c r="I9379" s="140" t="s">
        <v>17</v>
      </c>
    </row>
    <row r="9380" spans="1:9" hidden="1" x14ac:dyDescent="0.25">
      <c r="A9380">
        <v>2004</v>
      </c>
      <c r="B9380" s="140" t="s">
        <v>22</v>
      </c>
      <c r="C9380" s="140" t="s">
        <v>20</v>
      </c>
      <c r="D9380" s="140" t="s">
        <v>44</v>
      </c>
      <c r="E9380" s="140" t="s">
        <v>12</v>
      </c>
      <c r="F9380">
        <v>13021</v>
      </c>
      <c r="G9380" s="140" t="s">
        <v>506</v>
      </c>
      <c r="H9380">
        <v>0</v>
      </c>
      <c r="I9380" s="140" t="s">
        <v>17</v>
      </c>
    </row>
    <row r="9381" spans="1:9" hidden="1" x14ac:dyDescent="0.25">
      <c r="A9381">
        <v>2005</v>
      </c>
      <c r="B9381" s="140" t="s">
        <v>22</v>
      </c>
      <c r="C9381" s="140" t="s">
        <v>20</v>
      </c>
      <c r="D9381" s="140" t="s">
        <v>44</v>
      </c>
      <c r="E9381" s="140" t="s">
        <v>12</v>
      </c>
      <c r="F9381">
        <v>13336</v>
      </c>
      <c r="G9381" s="140" t="s">
        <v>506</v>
      </c>
      <c r="H9381">
        <v>0</v>
      </c>
      <c r="I9381" s="140" t="s">
        <v>17</v>
      </c>
    </row>
    <row r="9382" spans="1:9" hidden="1" x14ac:dyDescent="0.25">
      <c r="A9382">
        <v>2006</v>
      </c>
      <c r="B9382" s="140" t="s">
        <v>22</v>
      </c>
      <c r="C9382" s="140" t="s">
        <v>20</v>
      </c>
      <c r="D9382" s="140" t="s">
        <v>44</v>
      </c>
      <c r="E9382" s="140" t="s">
        <v>12</v>
      </c>
      <c r="F9382">
        <v>13900</v>
      </c>
      <c r="G9382" s="140" t="s">
        <v>506</v>
      </c>
      <c r="H9382">
        <v>0</v>
      </c>
      <c r="I9382" s="140" t="s">
        <v>17</v>
      </c>
    </row>
    <row r="9383" spans="1:9" hidden="1" x14ac:dyDescent="0.25">
      <c r="A9383">
        <v>2007</v>
      </c>
      <c r="B9383" s="140" t="s">
        <v>22</v>
      </c>
      <c r="C9383" s="140" t="s">
        <v>20</v>
      </c>
      <c r="D9383" s="140" t="s">
        <v>44</v>
      </c>
      <c r="E9383" s="140" t="s">
        <v>12</v>
      </c>
      <c r="F9383">
        <v>14836</v>
      </c>
      <c r="G9383" s="140" t="s">
        <v>506</v>
      </c>
      <c r="H9383">
        <v>0</v>
      </c>
      <c r="I9383" s="140" t="s">
        <v>17</v>
      </c>
    </row>
    <row r="9384" spans="1:9" hidden="1" x14ac:dyDescent="0.25">
      <c r="A9384">
        <v>2008</v>
      </c>
      <c r="B9384" s="140" t="s">
        <v>22</v>
      </c>
      <c r="C9384" s="140" t="s">
        <v>20</v>
      </c>
      <c r="D9384" s="140" t="s">
        <v>44</v>
      </c>
      <c r="E9384" s="140" t="s">
        <v>12</v>
      </c>
      <c r="F9384">
        <v>15471</v>
      </c>
      <c r="G9384" s="140" t="s">
        <v>506</v>
      </c>
      <c r="H9384">
        <v>0</v>
      </c>
      <c r="I9384" s="140" t="s">
        <v>17</v>
      </c>
    </row>
    <row r="9385" spans="1:9" hidden="1" x14ac:dyDescent="0.25">
      <c r="A9385">
        <v>2009</v>
      </c>
      <c r="B9385" s="140" t="s">
        <v>22</v>
      </c>
      <c r="C9385" s="140" t="s">
        <v>20</v>
      </c>
      <c r="D9385" s="140" t="s">
        <v>44</v>
      </c>
      <c r="E9385" s="140" t="s">
        <v>12</v>
      </c>
      <c r="F9385">
        <v>14438</v>
      </c>
      <c r="G9385" s="140" t="s">
        <v>506</v>
      </c>
      <c r="H9385">
        <v>0</v>
      </c>
      <c r="I9385" s="140" t="s">
        <v>17</v>
      </c>
    </row>
    <row r="9386" spans="1:9" hidden="1" x14ac:dyDescent="0.25">
      <c r="A9386">
        <v>2010</v>
      </c>
      <c r="B9386" s="140" t="s">
        <v>22</v>
      </c>
      <c r="C9386" s="140" t="s">
        <v>20</v>
      </c>
      <c r="D9386" s="140" t="s">
        <v>44</v>
      </c>
      <c r="E9386" s="140" t="s">
        <v>12</v>
      </c>
      <c r="F9386">
        <v>14677</v>
      </c>
      <c r="G9386" s="140" t="s">
        <v>506</v>
      </c>
      <c r="H9386">
        <v>0</v>
      </c>
      <c r="I9386" s="140" t="s">
        <v>17</v>
      </c>
    </row>
    <row r="9387" spans="1:9" hidden="1" x14ac:dyDescent="0.25">
      <c r="A9387">
        <v>2011</v>
      </c>
      <c r="B9387" s="140" t="s">
        <v>22</v>
      </c>
      <c r="C9387" s="140" t="s">
        <v>20</v>
      </c>
      <c r="D9387" s="140" t="s">
        <v>44</v>
      </c>
      <c r="E9387" s="140" t="s">
        <v>12</v>
      </c>
      <c r="F9387">
        <v>15408</v>
      </c>
      <c r="G9387" s="140" t="s">
        <v>506</v>
      </c>
      <c r="H9387">
        <v>0</v>
      </c>
      <c r="I9387" s="140" t="s">
        <v>17</v>
      </c>
    </row>
    <row r="9388" spans="1:9" hidden="1" x14ac:dyDescent="0.25">
      <c r="A9388">
        <v>2012</v>
      </c>
      <c r="B9388" s="140" t="s">
        <v>22</v>
      </c>
      <c r="C9388" s="140" t="s">
        <v>20</v>
      </c>
      <c r="D9388" s="140" t="s">
        <v>44</v>
      </c>
      <c r="E9388" s="140" t="s">
        <v>12</v>
      </c>
      <c r="F9388">
        <v>15537</v>
      </c>
      <c r="G9388" s="140" t="s">
        <v>506</v>
      </c>
      <c r="H9388">
        <v>0</v>
      </c>
      <c r="I9388" s="140" t="s">
        <v>17</v>
      </c>
    </row>
    <row r="9389" spans="1:9" hidden="1" x14ac:dyDescent="0.25">
      <c r="A9389">
        <v>2013</v>
      </c>
      <c r="B9389" s="140" t="s">
        <v>22</v>
      </c>
      <c r="C9389" s="140" t="s">
        <v>20</v>
      </c>
      <c r="D9389" s="140" t="s">
        <v>44</v>
      </c>
      <c r="E9389" s="140" t="s">
        <v>12</v>
      </c>
      <c r="F9389">
        <v>15284</v>
      </c>
      <c r="G9389" s="140" t="s">
        <v>506</v>
      </c>
      <c r="H9389">
        <v>0</v>
      </c>
      <c r="I9389" s="140" t="s">
        <v>17</v>
      </c>
    </row>
    <row r="9390" spans="1:9" hidden="1" x14ac:dyDescent="0.25">
      <c r="A9390">
        <v>2014</v>
      </c>
      <c r="B9390" s="140" t="s">
        <v>22</v>
      </c>
      <c r="C9390" s="140" t="s">
        <v>20</v>
      </c>
      <c r="D9390" s="140" t="s">
        <v>44</v>
      </c>
      <c r="E9390" s="140" t="s">
        <v>12</v>
      </c>
      <c r="F9390">
        <v>15022</v>
      </c>
      <c r="G9390" s="140" t="s">
        <v>506</v>
      </c>
      <c r="H9390">
        <v>0</v>
      </c>
      <c r="I9390" s="140" t="s">
        <v>17</v>
      </c>
    </row>
    <row r="9391" spans="1:9" hidden="1" x14ac:dyDescent="0.25">
      <c r="A9391">
        <v>2015</v>
      </c>
      <c r="B9391" s="140" t="s">
        <v>22</v>
      </c>
      <c r="C9391" s="140" t="s">
        <v>20</v>
      </c>
      <c r="D9391" s="140" t="s">
        <v>44</v>
      </c>
      <c r="E9391" s="140" t="s">
        <v>12</v>
      </c>
      <c r="F9391">
        <v>15091</v>
      </c>
      <c r="G9391" s="140" t="s">
        <v>506</v>
      </c>
      <c r="H9391">
        <v>0</v>
      </c>
      <c r="I9391" s="140" t="s">
        <v>17</v>
      </c>
    </row>
    <row r="9392" spans="1:9" hidden="1" x14ac:dyDescent="0.25">
      <c r="A9392">
        <v>2016</v>
      </c>
      <c r="B9392" s="140" t="s">
        <v>22</v>
      </c>
      <c r="C9392" s="140" t="s">
        <v>20</v>
      </c>
      <c r="D9392" s="140" t="s">
        <v>44</v>
      </c>
      <c r="E9392" s="140" t="s">
        <v>12</v>
      </c>
      <c r="F9392">
        <v>15425</v>
      </c>
      <c r="G9392" s="140" t="s">
        <v>506</v>
      </c>
      <c r="H9392">
        <v>0</v>
      </c>
      <c r="I9392" s="140" t="s">
        <v>17</v>
      </c>
    </row>
    <row r="9393" spans="1:9" hidden="1" x14ac:dyDescent="0.25">
      <c r="A9393">
        <v>2017</v>
      </c>
      <c r="B9393" s="140" t="s">
        <v>22</v>
      </c>
      <c r="C9393" s="140" t="s">
        <v>20</v>
      </c>
      <c r="D9393" s="140" t="s">
        <v>44</v>
      </c>
      <c r="E9393" s="140" t="s">
        <v>12</v>
      </c>
      <c r="F9393">
        <v>16531</v>
      </c>
      <c r="G9393" s="140" t="s">
        <v>506</v>
      </c>
      <c r="H9393">
        <v>0</v>
      </c>
      <c r="I9393" s="140" t="s">
        <v>17</v>
      </c>
    </row>
    <row r="9394" spans="1:9" hidden="1" x14ac:dyDescent="0.25">
      <c r="A9394">
        <v>2018</v>
      </c>
      <c r="B9394" s="140" t="s">
        <v>22</v>
      </c>
      <c r="C9394" s="140" t="s">
        <v>20</v>
      </c>
      <c r="D9394" s="140" t="s">
        <v>44</v>
      </c>
      <c r="E9394" s="140" t="s">
        <v>12</v>
      </c>
      <c r="F9394">
        <v>17484</v>
      </c>
      <c r="G9394" s="140" t="s">
        <v>506</v>
      </c>
      <c r="H9394">
        <v>0</v>
      </c>
      <c r="I9394" s="140" t="s">
        <v>17</v>
      </c>
    </row>
    <row r="9395" spans="1:9" hidden="1" x14ac:dyDescent="0.25">
      <c r="A9395">
        <v>2019</v>
      </c>
      <c r="B9395" s="140" t="s">
        <v>22</v>
      </c>
      <c r="C9395" s="140" t="s">
        <v>20</v>
      </c>
      <c r="D9395" s="140" t="s">
        <v>44</v>
      </c>
      <c r="E9395" s="140" t="s">
        <v>12</v>
      </c>
      <c r="F9395">
        <v>18183</v>
      </c>
      <c r="G9395" s="140" t="s">
        <v>506</v>
      </c>
      <c r="H9395">
        <v>0</v>
      </c>
      <c r="I9395" s="140" t="s">
        <v>17</v>
      </c>
    </row>
    <row r="9396" spans="1:9" hidden="1" x14ac:dyDescent="0.25">
      <c r="A9396">
        <v>2020</v>
      </c>
      <c r="B9396" s="140" t="s">
        <v>22</v>
      </c>
      <c r="C9396" s="140" t="s">
        <v>20</v>
      </c>
      <c r="D9396" s="140" t="s">
        <v>44</v>
      </c>
      <c r="E9396" s="140" t="s">
        <v>12</v>
      </c>
      <c r="F9396">
        <v>17530</v>
      </c>
      <c r="G9396" s="140" t="s">
        <v>506</v>
      </c>
      <c r="H9396">
        <v>0</v>
      </c>
      <c r="I9396" s="140" t="s">
        <v>17</v>
      </c>
    </row>
    <row r="9397" spans="1:9" hidden="1" x14ac:dyDescent="0.25">
      <c r="A9397">
        <v>2021</v>
      </c>
      <c r="B9397" s="140" t="s">
        <v>22</v>
      </c>
      <c r="C9397" s="140" t="s">
        <v>20</v>
      </c>
      <c r="D9397" s="140" t="s">
        <v>44</v>
      </c>
      <c r="E9397" s="140" t="s">
        <v>12</v>
      </c>
      <c r="F9397">
        <v>18192</v>
      </c>
      <c r="G9397" s="140" t="s">
        <v>506</v>
      </c>
      <c r="H9397">
        <v>0</v>
      </c>
      <c r="I9397" s="140" t="s">
        <v>17</v>
      </c>
    </row>
    <row r="9398" spans="1:9" hidden="1" x14ac:dyDescent="0.25">
      <c r="A9398">
        <v>2022</v>
      </c>
      <c r="B9398" s="140" t="s">
        <v>22</v>
      </c>
      <c r="C9398" s="140" t="s">
        <v>20</v>
      </c>
      <c r="D9398" s="140" t="s">
        <v>44</v>
      </c>
      <c r="E9398" s="140" t="s">
        <v>12</v>
      </c>
      <c r="F9398">
        <v>19023</v>
      </c>
      <c r="G9398" s="140" t="s">
        <v>506</v>
      </c>
      <c r="H9398">
        <v>0</v>
      </c>
      <c r="I9398" s="140" t="s">
        <v>17</v>
      </c>
    </row>
    <row r="9399" spans="1:9" hidden="1" x14ac:dyDescent="0.25">
      <c r="A9399">
        <v>2023</v>
      </c>
      <c r="B9399" s="140" t="s">
        <v>22</v>
      </c>
      <c r="C9399" s="140" t="s">
        <v>20</v>
      </c>
      <c r="D9399" s="140" t="s">
        <v>44</v>
      </c>
      <c r="E9399" s="140" t="s">
        <v>12</v>
      </c>
      <c r="F9399">
        <v>19137</v>
      </c>
      <c r="G9399" s="140" t="s">
        <v>506</v>
      </c>
      <c r="H9399">
        <v>0</v>
      </c>
      <c r="I9399" s="140" t="s">
        <v>17</v>
      </c>
    </row>
    <row r="9400" spans="1:9" hidden="1" x14ac:dyDescent="0.25">
      <c r="A9400">
        <v>2024</v>
      </c>
      <c r="B9400" s="140" t="s">
        <v>22</v>
      </c>
      <c r="C9400" s="140" t="s">
        <v>20</v>
      </c>
      <c r="D9400" s="140" t="s">
        <v>44</v>
      </c>
      <c r="E9400" s="140" t="s">
        <v>12</v>
      </c>
      <c r="F9400">
        <v>19224</v>
      </c>
      <c r="G9400" s="140" t="s">
        <v>506</v>
      </c>
      <c r="H9400">
        <v>0</v>
      </c>
      <c r="I9400" s="140" t="s">
        <v>17</v>
      </c>
    </row>
    <row r="9401" spans="1:9" hidden="1" x14ac:dyDescent="0.25">
      <c r="A9401">
        <v>2025</v>
      </c>
      <c r="B9401" s="140" t="s">
        <v>22</v>
      </c>
      <c r="C9401" s="140" t="s">
        <v>20</v>
      </c>
      <c r="D9401" s="140" t="s">
        <v>44</v>
      </c>
      <c r="E9401" s="140" t="s">
        <v>12</v>
      </c>
      <c r="F9401">
        <v>18888</v>
      </c>
      <c r="G9401" s="140" t="s">
        <v>506</v>
      </c>
      <c r="H9401">
        <v>0</v>
      </c>
      <c r="I9401" s="140" t="s">
        <v>17</v>
      </c>
    </row>
    <row r="9402" spans="1:9" hidden="1" x14ac:dyDescent="0.25">
      <c r="A9402">
        <v>1990</v>
      </c>
      <c r="B9402" s="140" t="s">
        <v>22</v>
      </c>
      <c r="C9402" s="140" t="s">
        <v>20</v>
      </c>
      <c r="D9402" s="140" t="s">
        <v>45</v>
      </c>
      <c r="E9402" s="140" t="s">
        <v>12</v>
      </c>
      <c r="F9402">
        <v>36910</v>
      </c>
      <c r="G9402" s="140" t="s">
        <v>507</v>
      </c>
      <c r="H9402">
        <v>0</v>
      </c>
      <c r="I9402" s="140" t="s">
        <v>17</v>
      </c>
    </row>
    <row r="9403" spans="1:9" hidden="1" x14ac:dyDescent="0.25">
      <c r="A9403">
        <v>1991</v>
      </c>
      <c r="B9403" s="140" t="s">
        <v>22</v>
      </c>
      <c r="C9403" s="140" t="s">
        <v>20</v>
      </c>
      <c r="D9403" s="140" t="s">
        <v>45</v>
      </c>
      <c r="E9403" s="140" t="s">
        <v>12</v>
      </c>
      <c r="F9403">
        <v>37299</v>
      </c>
      <c r="G9403" s="140" t="s">
        <v>507</v>
      </c>
      <c r="H9403">
        <v>0</v>
      </c>
      <c r="I9403" s="140" t="s">
        <v>17</v>
      </c>
    </row>
    <row r="9404" spans="1:9" hidden="1" x14ac:dyDescent="0.25">
      <c r="A9404">
        <v>1992</v>
      </c>
      <c r="B9404" s="140" t="s">
        <v>22</v>
      </c>
      <c r="C9404" s="140" t="s">
        <v>20</v>
      </c>
      <c r="D9404" s="140" t="s">
        <v>45</v>
      </c>
      <c r="E9404" s="140" t="s">
        <v>12</v>
      </c>
      <c r="F9404">
        <v>36672</v>
      </c>
      <c r="G9404" s="140" t="s">
        <v>507</v>
      </c>
      <c r="H9404">
        <v>0</v>
      </c>
      <c r="I9404" s="140" t="s">
        <v>17</v>
      </c>
    </row>
    <row r="9405" spans="1:9" hidden="1" x14ac:dyDescent="0.25">
      <c r="A9405">
        <v>1993</v>
      </c>
      <c r="B9405" s="140" t="s">
        <v>22</v>
      </c>
      <c r="C9405" s="140" t="s">
        <v>20</v>
      </c>
      <c r="D9405" s="140" t="s">
        <v>45</v>
      </c>
      <c r="E9405" s="140" t="s">
        <v>12</v>
      </c>
      <c r="F9405">
        <v>35140</v>
      </c>
      <c r="G9405" s="140" t="s">
        <v>507</v>
      </c>
      <c r="H9405">
        <v>0</v>
      </c>
      <c r="I9405" s="140" t="s">
        <v>17</v>
      </c>
    </row>
    <row r="9406" spans="1:9" hidden="1" x14ac:dyDescent="0.25">
      <c r="A9406">
        <v>1994</v>
      </c>
      <c r="B9406" s="140" t="s">
        <v>22</v>
      </c>
      <c r="C9406" s="140" t="s">
        <v>20</v>
      </c>
      <c r="D9406" s="140" t="s">
        <v>45</v>
      </c>
      <c r="E9406" s="140" t="s">
        <v>12</v>
      </c>
      <c r="F9406">
        <v>35148</v>
      </c>
      <c r="G9406" s="140" t="s">
        <v>507</v>
      </c>
      <c r="H9406">
        <v>0</v>
      </c>
      <c r="I9406" s="140" t="s">
        <v>17</v>
      </c>
    </row>
    <row r="9407" spans="1:9" hidden="1" x14ac:dyDescent="0.25">
      <c r="A9407">
        <v>1995</v>
      </c>
      <c r="B9407" s="140" t="s">
        <v>22</v>
      </c>
      <c r="C9407" s="140" t="s">
        <v>20</v>
      </c>
      <c r="D9407" s="140" t="s">
        <v>45</v>
      </c>
      <c r="E9407" s="140" t="s">
        <v>12</v>
      </c>
      <c r="F9407">
        <v>35906</v>
      </c>
      <c r="G9407" s="140" t="s">
        <v>507</v>
      </c>
      <c r="H9407">
        <v>0</v>
      </c>
      <c r="I9407" s="140" t="s">
        <v>17</v>
      </c>
    </row>
    <row r="9408" spans="1:9" hidden="1" x14ac:dyDescent="0.25">
      <c r="A9408">
        <v>1996</v>
      </c>
      <c r="B9408" s="140" t="s">
        <v>22</v>
      </c>
      <c r="C9408" s="140" t="s">
        <v>20</v>
      </c>
      <c r="D9408" s="140" t="s">
        <v>45</v>
      </c>
      <c r="E9408" s="140" t="s">
        <v>12</v>
      </c>
      <c r="F9408">
        <v>36871</v>
      </c>
      <c r="G9408" s="140" t="s">
        <v>507</v>
      </c>
      <c r="H9408">
        <v>0</v>
      </c>
      <c r="I9408" s="140" t="s">
        <v>17</v>
      </c>
    </row>
    <row r="9409" spans="1:9" hidden="1" x14ac:dyDescent="0.25">
      <c r="A9409">
        <v>1997</v>
      </c>
      <c r="B9409" s="140" t="s">
        <v>22</v>
      </c>
      <c r="C9409" s="140" t="s">
        <v>20</v>
      </c>
      <c r="D9409" s="140" t="s">
        <v>45</v>
      </c>
      <c r="E9409" s="140" t="s">
        <v>12</v>
      </c>
      <c r="F9409">
        <v>38020</v>
      </c>
      <c r="G9409" s="140" t="s">
        <v>507</v>
      </c>
      <c r="H9409">
        <v>0</v>
      </c>
      <c r="I9409" s="140" t="s">
        <v>17</v>
      </c>
    </row>
    <row r="9410" spans="1:9" hidden="1" x14ac:dyDescent="0.25">
      <c r="A9410">
        <v>1998</v>
      </c>
      <c r="B9410" s="140" t="s">
        <v>22</v>
      </c>
      <c r="C9410" s="140" t="s">
        <v>20</v>
      </c>
      <c r="D9410" s="140" t="s">
        <v>45</v>
      </c>
      <c r="E9410" s="140" t="s">
        <v>12</v>
      </c>
      <c r="F9410">
        <v>38529</v>
      </c>
      <c r="G9410" s="140" t="s">
        <v>507</v>
      </c>
      <c r="H9410">
        <v>0</v>
      </c>
      <c r="I9410" s="140" t="s">
        <v>17</v>
      </c>
    </row>
    <row r="9411" spans="1:9" hidden="1" x14ac:dyDescent="0.25">
      <c r="A9411">
        <v>1999</v>
      </c>
      <c r="B9411" s="140" t="s">
        <v>22</v>
      </c>
      <c r="C9411" s="140" t="s">
        <v>20</v>
      </c>
      <c r="D9411" s="140" t="s">
        <v>45</v>
      </c>
      <c r="E9411" s="140" t="s">
        <v>12</v>
      </c>
      <c r="F9411">
        <v>39041</v>
      </c>
      <c r="G9411" s="140" t="s">
        <v>507</v>
      </c>
      <c r="H9411">
        <v>0</v>
      </c>
      <c r="I9411" s="140" t="s">
        <v>17</v>
      </c>
    </row>
    <row r="9412" spans="1:9" hidden="1" x14ac:dyDescent="0.25">
      <c r="A9412">
        <v>2000</v>
      </c>
      <c r="B9412" s="140" t="s">
        <v>22</v>
      </c>
      <c r="C9412" s="140" t="s">
        <v>20</v>
      </c>
      <c r="D9412" s="140" t="s">
        <v>45</v>
      </c>
      <c r="E9412" s="140" t="s">
        <v>12</v>
      </c>
      <c r="F9412">
        <v>39780</v>
      </c>
      <c r="G9412" s="140" t="s">
        <v>507</v>
      </c>
      <c r="H9412">
        <v>0</v>
      </c>
      <c r="I9412" s="140" t="s">
        <v>17</v>
      </c>
    </row>
    <row r="9413" spans="1:9" hidden="1" x14ac:dyDescent="0.25">
      <c r="A9413">
        <v>2001</v>
      </c>
      <c r="B9413" s="140" t="s">
        <v>22</v>
      </c>
      <c r="C9413" s="140" t="s">
        <v>20</v>
      </c>
      <c r="D9413" s="140" t="s">
        <v>45</v>
      </c>
      <c r="E9413" s="140" t="s">
        <v>12</v>
      </c>
      <c r="F9413">
        <v>39940</v>
      </c>
      <c r="G9413" s="140" t="s">
        <v>507</v>
      </c>
      <c r="H9413">
        <v>0</v>
      </c>
      <c r="I9413" s="140" t="s">
        <v>17</v>
      </c>
    </row>
    <row r="9414" spans="1:9" hidden="1" x14ac:dyDescent="0.25">
      <c r="A9414">
        <v>2002</v>
      </c>
      <c r="B9414" s="140" t="s">
        <v>22</v>
      </c>
      <c r="C9414" s="140" t="s">
        <v>20</v>
      </c>
      <c r="D9414" s="140" t="s">
        <v>45</v>
      </c>
      <c r="E9414" s="140" t="s">
        <v>12</v>
      </c>
      <c r="F9414">
        <v>40108</v>
      </c>
      <c r="G9414" s="140" t="s">
        <v>507</v>
      </c>
      <c r="H9414">
        <v>0</v>
      </c>
      <c r="I9414" s="140" t="s">
        <v>17</v>
      </c>
    </row>
    <row r="9415" spans="1:9" hidden="1" x14ac:dyDescent="0.25">
      <c r="A9415">
        <v>2003</v>
      </c>
      <c r="B9415" s="140" t="s">
        <v>22</v>
      </c>
      <c r="C9415" s="140" t="s">
        <v>20</v>
      </c>
      <c r="D9415" s="140" t="s">
        <v>45</v>
      </c>
      <c r="E9415" s="140" t="s">
        <v>12</v>
      </c>
      <c r="F9415">
        <v>40245</v>
      </c>
      <c r="G9415" s="140" t="s">
        <v>507</v>
      </c>
      <c r="H9415">
        <v>0</v>
      </c>
      <c r="I9415" s="140" t="s">
        <v>17</v>
      </c>
    </row>
    <row r="9416" spans="1:9" hidden="1" x14ac:dyDescent="0.25">
      <c r="A9416">
        <v>2004</v>
      </c>
      <c r="B9416" s="140" t="s">
        <v>22</v>
      </c>
      <c r="C9416" s="140" t="s">
        <v>20</v>
      </c>
      <c r="D9416" s="140" t="s">
        <v>45</v>
      </c>
      <c r="E9416" s="140" t="s">
        <v>12</v>
      </c>
      <c r="F9416">
        <v>40265</v>
      </c>
      <c r="G9416" s="140" t="s">
        <v>507</v>
      </c>
      <c r="H9416">
        <v>0</v>
      </c>
      <c r="I9416" s="140" t="s">
        <v>17</v>
      </c>
    </row>
    <row r="9417" spans="1:9" hidden="1" x14ac:dyDescent="0.25">
      <c r="A9417">
        <v>2005</v>
      </c>
      <c r="B9417" s="140" t="s">
        <v>22</v>
      </c>
      <c r="C9417" s="140" t="s">
        <v>20</v>
      </c>
      <c r="D9417" s="140" t="s">
        <v>45</v>
      </c>
      <c r="E9417" s="140" t="s">
        <v>12</v>
      </c>
      <c r="F9417">
        <v>40582</v>
      </c>
      <c r="G9417" s="140" t="s">
        <v>507</v>
      </c>
      <c r="H9417">
        <v>0</v>
      </c>
      <c r="I9417" s="140" t="s">
        <v>17</v>
      </c>
    </row>
    <row r="9418" spans="1:9" hidden="1" x14ac:dyDescent="0.25">
      <c r="A9418">
        <v>2006</v>
      </c>
      <c r="B9418" s="140" t="s">
        <v>22</v>
      </c>
      <c r="C9418" s="140" t="s">
        <v>20</v>
      </c>
      <c r="D9418" s="140" t="s">
        <v>45</v>
      </c>
      <c r="E9418" s="140" t="s">
        <v>12</v>
      </c>
      <c r="F9418">
        <v>40527</v>
      </c>
      <c r="G9418" s="140" t="s">
        <v>507</v>
      </c>
      <c r="H9418">
        <v>0</v>
      </c>
      <c r="I9418" s="140" t="s">
        <v>17</v>
      </c>
    </row>
    <row r="9419" spans="1:9" hidden="1" x14ac:dyDescent="0.25">
      <c r="A9419">
        <v>2007</v>
      </c>
      <c r="B9419" s="140" t="s">
        <v>22</v>
      </c>
      <c r="C9419" s="140" t="s">
        <v>20</v>
      </c>
      <c r="D9419" s="140" t="s">
        <v>45</v>
      </c>
      <c r="E9419" s="140" t="s">
        <v>12</v>
      </c>
      <c r="F9419">
        <v>40552</v>
      </c>
      <c r="G9419" s="140" t="s">
        <v>507</v>
      </c>
      <c r="H9419">
        <v>0</v>
      </c>
      <c r="I9419" s="140" t="s">
        <v>17</v>
      </c>
    </row>
    <row r="9420" spans="1:9" hidden="1" x14ac:dyDescent="0.25">
      <c r="A9420">
        <v>2008</v>
      </c>
      <c r="B9420" s="140" t="s">
        <v>22</v>
      </c>
      <c r="C9420" s="140" t="s">
        <v>20</v>
      </c>
      <c r="D9420" s="140" t="s">
        <v>45</v>
      </c>
      <c r="E9420" s="140" t="s">
        <v>12</v>
      </c>
      <c r="F9420">
        <v>40550</v>
      </c>
      <c r="G9420" s="140" t="s">
        <v>507</v>
      </c>
      <c r="H9420">
        <v>0</v>
      </c>
      <c r="I9420" s="140" t="s">
        <v>17</v>
      </c>
    </row>
    <row r="9421" spans="1:9" hidden="1" x14ac:dyDescent="0.25">
      <c r="A9421">
        <v>2009</v>
      </c>
      <c r="B9421" s="140" t="s">
        <v>22</v>
      </c>
      <c r="C9421" s="140" t="s">
        <v>20</v>
      </c>
      <c r="D9421" s="140" t="s">
        <v>45</v>
      </c>
      <c r="E9421" s="140" t="s">
        <v>12</v>
      </c>
      <c r="F9421">
        <v>40314</v>
      </c>
      <c r="G9421" s="140" t="s">
        <v>507</v>
      </c>
      <c r="H9421">
        <v>0</v>
      </c>
      <c r="I9421" s="140" t="s">
        <v>17</v>
      </c>
    </row>
    <row r="9422" spans="1:9" hidden="1" x14ac:dyDescent="0.25">
      <c r="A9422">
        <v>2010</v>
      </c>
      <c r="B9422" s="140" t="s">
        <v>22</v>
      </c>
      <c r="C9422" s="140" t="s">
        <v>20</v>
      </c>
      <c r="D9422" s="140" t="s">
        <v>45</v>
      </c>
      <c r="E9422" s="140" t="s">
        <v>12</v>
      </c>
      <c r="F9422">
        <v>40333</v>
      </c>
      <c r="G9422" s="140" t="s">
        <v>507</v>
      </c>
      <c r="H9422">
        <v>0</v>
      </c>
      <c r="I9422" s="140" t="s">
        <v>17</v>
      </c>
    </row>
    <row r="9423" spans="1:9" hidden="1" x14ac:dyDescent="0.25">
      <c r="A9423">
        <v>2011</v>
      </c>
      <c r="B9423" s="140" t="s">
        <v>22</v>
      </c>
      <c r="C9423" s="140" t="s">
        <v>20</v>
      </c>
      <c r="D9423" s="140" t="s">
        <v>45</v>
      </c>
      <c r="E9423" s="140" t="s">
        <v>12</v>
      </c>
      <c r="F9423">
        <v>40366</v>
      </c>
      <c r="G9423" s="140" t="s">
        <v>507</v>
      </c>
      <c r="H9423">
        <v>0</v>
      </c>
      <c r="I9423" s="140" t="s">
        <v>17</v>
      </c>
    </row>
    <row r="9424" spans="1:9" hidden="1" x14ac:dyDescent="0.25">
      <c r="A9424">
        <v>2012</v>
      </c>
      <c r="B9424" s="140" t="s">
        <v>22</v>
      </c>
      <c r="C9424" s="140" t="s">
        <v>20</v>
      </c>
      <c r="D9424" s="140" t="s">
        <v>45</v>
      </c>
      <c r="E9424" s="140" t="s">
        <v>12</v>
      </c>
      <c r="F9424">
        <v>40158</v>
      </c>
      <c r="G9424" s="140" t="s">
        <v>507</v>
      </c>
      <c r="H9424">
        <v>0</v>
      </c>
      <c r="I9424" s="140" t="s">
        <v>17</v>
      </c>
    </row>
    <row r="9425" spans="1:9" hidden="1" x14ac:dyDescent="0.25">
      <c r="A9425">
        <v>2013</v>
      </c>
      <c r="B9425" s="140" t="s">
        <v>22</v>
      </c>
      <c r="C9425" s="140" t="s">
        <v>20</v>
      </c>
      <c r="D9425" s="140" t="s">
        <v>45</v>
      </c>
      <c r="E9425" s="140" t="s">
        <v>12</v>
      </c>
      <c r="F9425">
        <v>39913</v>
      </c>
      <c r="G9425" s="140" t="s">
        <v>507</v>
      </c>
      <c r="H9425">
        <v>0</v>
      </c>
      <c r="I9425" s="140" t="s">
        <v>17</v>
      </c>
    </row>
    <row r="9426" spans="1:9" hidden="1" x14ac:dyDescent="0.25">
      <c r="A9426">
        <v>2014</v>
      </c>
      <c r="B9426" s="140" t="s">
        <v>22</v>
      </c>
      <c r="C9426" s="140" t="s">
        <v>20</v>
      </c>
      <c r="D9426" s="140" t="s">
        <v>45</v>
      </c>
      <c r="E9426" s="140" t="s">
        <v>12</v>
      </c>
      <c r="F9426">
        <v>39455</v>
      </c>
      <c r="G9426" s="140" t="s">
        <v>507</v>
      </c>
      <c r="H9426">
        <v>0</v>
      </c>
      <c r="I9426" s="140" t="s">
        <v>17</v>
      </c>
    </row>
    <row r="9427" spans="1:9" hidden="1" x14ac:dyDescent="0.25">
      <c r="A9427">
        <v>2015</v>
      </c>
      <c r="B9427" s="140" t="s">
        <v>22</v>
      </c>
      <c r="C9427" s="140" t="s">
        <v>20</v>
      </c>
      <c r="D9427" s="140" t="s">
        <v>45</v>
      </c>
      <c r="E9427" s="140" t="s">
        <v>12</v>
      </c>
      <c r="F9427">
        <v>39471</v>
      </c>
      <c r="G9427" s="140" t="s">
        <v>507</v>
      </c>
      <c r="H9427">
        <v>0</v>
      </c>
      <c r="I9427" s="140" t="s">
        <v>17</v>
      </c>
    </row>
    <row r="9428" spans="1:9" hidden="1" x14ac:dyDescent="0.25">
      <c r="A9428">
        <v>2016</v>
      </c>
      <c r="B9428" s="140" t="s">
        <v>22</v>
      </c>
      <c r="C9428" s="140" t="s">
        <v>20</v>
      </c>
      <c r="D9428" s="140" t="s">
        <v>45</v>
      </c>
      <c r="E9428" s="140" t="s">
        <v>12</v>
      </c>
      <c r="F9428">
        <v>39802</v>
      </c>
      <c r="G9428" s="140" t="s">
        <v>507</v>
      </c>
      <c r="H9428">
        <v>0</v>
      </c>
      <c r="I9428" s="140" t="s">
        <v>17</v>
      </c>
    </row>
    <row r="9429" spans="1:9" hidden="1" x14ac:dyDescent="0.25">
      <c r="A9429">
        <v>2017</v>
      </c>
      <c r="B9429" s="140" t="s">
        <v>22</v>
      </c>
      <c r="C9429" s="140" t="s">
        <v>20</v>
      </c>
      <c r="D9429" s="140" t="s">
        <v>45</v>
      </c>
      <c r="E9429" s="140" t="s">
        <v>12</v>
      </c>
      <c r="F9429">
        <v>39605</v>
      </c>
      <c r="G9429" s="140" t="s">
        <v>507</v>
      </c>
      <c r="H9429">
        <v>0</v>
      </c>
      <c r="I9429" s="140" t="s">
        <v>17</v>
      </c>
    </row>
    <row r="9430" spans="1:9" hidden="1" x14ac:dyDescent="0.25">
      <c r="A9430">
        <v>2018</v>
      </c>
      <c r="B9430" s="140" t="s">
        <v>22</v>
      </c>
      <c r="C9430" s="140" t="s">
        <v>20</v>
      </c>
      <c r="D9430" s="140" t="s">
        <v>45</v>
      </c>
      <c r="E9430" s="140" t="s">
        <v>12</v>
      </c>
      <c r="F9430">
        <v>40121</v>
      </c>
      <c r="G9430" s="140" t="s">
        <v>507</v>
      </c>
      <c r="H9430">
        <v>0</v>
      </c>
      <c r="I9430" s="140" t="s">
        <v>17</v>
      </c>
    </row>
    <row r="9431" spans="1:9" hidden="1" x14ac:dyDescent="0.25">
      <c r="A9431">
        <v>2019</v>
      </c>
      <c r="B9431" s="140" t="s">
        <v>22</v>
      </c>
      <c r="C9431" s="140" t="s">
        <v>20</v>
      </c>
      <c r="D9431" s="140" t="s">
        <v>45</v>
      </c>
      <c r="E9431" s="140" t="s">
        <v>12</v>
      </c>
      <c r="F9431">
        <v>40464</v>
      </c>
      <c r="G9431" s="140" t="s">
        <v>507</v>
      </c>
      <c r="H9431">
        <v>0</v>
      </c>
      <c r="I9431" s="140" t="s">
        <v>17</v>
      </c>
    </row>
    <row r="9432" spans="1:9" hidden="1" x14ac:dyDescent="0.25">
      <c r="A9432">
        <v>2020</v>
      </c>
      <c r="B9432" s="140" t="s">
        <v>22</v>
      </c>
      <c r="C9432" s="140" t="s">
        <v>20</v>
      </c>
      <c r="D9432" s="140" t="s">
        <v>45</v>
      </c>
      <c r="E9432" s="140" t="s">
        <v>12</v>
      </c>
      <c r="F9432">
        <v>39419</v>
      </c>
      <c r="G9432" s="140" t="s">
        <v>507</v>
      </c>
      <c r="H9432">
        <v>0</v>
      </c>
      <c r="I9432" s="140" t="s">
        <v>17</v>
      </c>
    </row>
    <row r="9433" spans="1:9" hidden="1" x14ac:dyDescent="0.25">
      <c r="A9433">
        <v>2021</v>
      </c>
      <c r="B9433" s="140" t="s">
        <v>22</v>
      </c>
      <c r="C9433" s="140" t="s">
        <v>20</v>
      </c>
      <c r="D9433" s="140" t="s">
        <v>45</v>
      </c>
      <c r="E9433" s="140" t="s">
        <v>12</v>
      </c>
      <c r="F9433">
        <v>40878</v>
      </c>
      <c r="G9433" s="140" t="s">
        <v>507</v>
      </c>
      <c r="H9433">
        <v>0</v>
      </c>
      <c r="I9433" s="140" t="s">
        <v>17</v>
      </c>
    </row>
    <row r="9434" spans="1:9" hidden="1" x14ac:dyDescent="0.25">
      <c r="A9434">
        <v>2022</v>
      </c>
      <c r="B9434" s="140" t="s">
        <v>22</v>
      </c>
      <c r="C9434" s="140" t="s">
        <v>20</v>
      </c>
      <c r="D9434" s="140" t="s">
        <v>45</v>
      </c>
      <c r="E9434" s="140" t="s">
        <v>12</v>
      </c>
      <c r="F9434">
        <v>41545</v>
      </c>
      <c r="G9434" s="140" t="s">
        <v>507</v>
      </c>
      <c r="H9434">
        <v>0</v>
      </c>
      <c r="I9434" s="140" t="s">
        <v>17</v>
      </c>
    </row>
    <row r="9435" spans="1:9" hidden="1" x14ac:dyDescent="0.25">
      <c r="A9435">
        <v>2023</v>
      </c>
      <c r="B9435" s="140" t="s">
        <v>22</v>
      </c>
      <c r="C9435" s="140" t="s">
        <v>20</v>
      </c>
      <c r="D9435" s="140" t="s">
        <v>45</v>
      </c>
      <c r="E9435" s="140" t="s">
        <v>12</v>
      </c>
      <c r="F9435">
        <v>42623</v>
      </c>
      <c r="G9435" s="140" t="s">
        <v>507</v>
      </c>
      <c r="H9435">
        <v>0</v>
      </c>
      <c r="I9435" s="140" t="s">
        <v>17</v>
      </c>
    </row>
    <row r="9436" spans="1:9" hidden="1" x14ac:dyDescent="0.25">
      <c r="A9436">
        <v>2024</v>
      </c>
      <c r="B9436" s="140" t="s">
        <v>22</v>
      </c>
      <c r="C9436" s="140" t="s">
        <v>20</v>
      </c>
      <c r="D9436" s="140" t="s">
        <v>45</v>
      </c>
      <c r="E9436" s="140" t="s">
        <v>12</v>
      </c>
      <c r="F9436">
        <v>44113</v>
      </c>
      <c r="G9436" s="140" t="s">
        <v>507</v>
      </c>
      <c r="H9436">
        <v>0</v>
      </c>
      <c r="I9436" s="140" t="s">
        <v>17</v>
      </c>
    </row>
    <row r="9437" spans="1:9" hidden="1" x14ac:dyDescent="0.25">
      <c r="A9437">
        <v>2025</v>
      </c>
      <c r="B9437" s="140" t="s">
        <v>22</v>
      </c>
      <c r="C9437" s="140" t="s">
        <v>20</v>
      </c>
      <c r="D9437" s="140" t="s">
        <v>45</v>
      </c>
      <c r="E9437" s="140" t="s">
        <v>12</v>
      </c>
      <c r="F9437">
        <v>44579</v>
      </c>
      <c r="G9437" s="140" t="s">
        <v>507</v>
      </c>
      <c r="H9437">
        <v>0</v>
      </c>
      <c r="I9437" s="140" t="s">
        <v>17</v>
      </c>
    </row>
    <row r="9438" spans="1:9" hidden="1" x14ac:dyDescent="0.25">
      <c r="A9438">
        <v>1990</v>
      </c>
      <c r="B9438" s="140" t="s">
        <v>22</v>
      </c>
      <c r="C9438" s="140" t="s">
        <v>20</v>
      </c>
      <c r="D9438" s="140" t="s">
        <v>46</v>
      </c>
      <c r="E9438" s="140" t="s">
        <v>12</v>
      </c>
      <c r="F9438">
        <v>4261</v>
      </c>
      <c r="G9438" s="140" t="s">
        <v>508</v>
      </c>
      <c r="H9438">
        <v>0</v>
      </c>
      <c r="I9438" s="140" t="s">
        <v>17</v>
      </c>
    </row>
    <row r="9439" spans="1:9" hidden="1" x14ac:dyDescent="0.25">
      <c r="A9439">
        <v>1991</v>
      </c>
      <c r="B9439" s="140" t="s">
        <v>22</v>
      </c>
      <c r="C9439" s="140" t="s">
        <v>20</v>
      </c>
      <c r="D9439" s="140" t="s">
        <v>46</v>
      </c>
      <c r="E9439" s="140" t="s">
        <v>12</v>
      </c>
      <c r="F9439">
        <v>4150</v>
      </c>
      <c r="G9439" s="140" t="s">
        <v>508</v>
      </c>
      <c r="H9439">
        <v>0</v>
      </c>
      <c r="I9439" s="140" t="s">
        <v>17</v>
      </c>
    </row>
    <row r="9440" spans="1:9" hidden="1" x14ac:dyDescent="0.25">
      <c r="A9440">
        <v>1992</v>
      </c>
      <c r="B9440" s="140" t="s">
        <v>22</v>
      </c>
      <c r="C9440" s="140" t="s">
        <v>20</v>
      </c>
      <c r="D9440" s="140" t="s">
        <v>46</v>
      </c>
      <c r="E9440" s="140" t="s">
        <v>12</v>
      </c>
      <c r="F9440">
        <v>4104</v>
      </c>
      <c r="G9440" s="140" t="s">
        <v>508</v>
      </c>
      <c r="H9440">
        <v>0</v>
      </c>
      <c r="I9440" s="140" t="s">
        <v>17</v>
      </c>
    </row>
    <row r="9441" spans="1:9" hidden="1" x14ac:dyDescent="0.25">
      <c r="A9441">
        <v>1993</v>
      </c>
      <c r="B9441" s="140" t="s">
        <v>22</v>
      </c>
      <c r="C9441" s="140" t="s">
        <v>20</v>
      </c>
      <c r="D9441" s="140" t="s">
        <v>46</v>
      </c>
      <c r="E9441" s="140" t="s">
        <v>12</v>
      </c>
      <c r="F9441">
        <v>3895</v>
      </c>
      <c r="G9441" s="140" t="s">
        <v>508</v>
      </c>
      <c r="H9441">
        <v>0</v>
      </c>
      <c r="I9441" s="140" t="s">
        <v>17</v>
      </c>
    </row>
    <row r="9442" spans="1:9" hidden="1" x14ac:dyDescent="0.25">
      <c r="A9442">
        <v>1994</v>
      </c>
      <c r="B9442" s="140" t="s">
        <v>22</v>
      </c>
      <c r="C9442" s="140" t="s">
        <v>20</v>
      </c>
      <c r="D9442" s="140" t="s">
        <v>46</v>
      </c>
      <c r="E9442" s="140" t="s">
        <v>12</v>
      </c>
      <c r="F9442">
        <v>3946</v>
      </c>
      <c r="G9442" s="140" t="s">
        <v>508</v>
      </c>
      <c r="H9442">
        <v>0</v>
      </c>
      <c r="I9442" s="140" t="s">
        <v>17</v>
      </c>
    </row>
    <row r="9443" spans="1:9" hidden="1" x14ac:dyDescent="0.25">
      <c r="A9443">
        <v>1995</v>
      </c>
      <c r="B9443" s="140" t="s">
        <v>22</v>
      </c>
      <c r="C9443" s="140" t="s">
        <v>20</v>
      </c>
      <c r="D9443" s="140" t="s">
        <v>46</v>
      </c>
      <c r="E9443" s="140" t="s">
        <v>12</v>
      </c>
      <c r="F9443">
        <v>4081</v>
      </c>
      <c r="G9443" s="140" t="s">
        <v>508</v>
      </c>
      <c r="H9443">
        <v>0</v>
      </c>
      <c r="I9443" s="140" t="s">
        <v>17</v>
      </c>
    </row>
    <row r="9444" spans="1:9" hidden="1" x14ac:dyDescent="0.25">
      <c r="A9444">
        <v>1996</v>
      </c>
      <c r="B9444" s="140" t="s">
        <v>22</v>
      </c>
      <c r="C9444" s="140" t="s">
        <v>20</v>
      </c>
      <c r="D9444" s="140" t="s">
        <v>46</v>
      </c>
      <c r="E9444" s="140" t="s">
        <v>12</v>
      </c>
      <c r="F9444">
        <v>4294</v>
      </c>
      <c r="G9444" s="140" t="s">
        <v>508</v>
      </c>
      <c r="H9444">
        <v>0</v>
      </c>
      <c r="I9444" s="140" t="s">
        <v>17</v>
      </c>
    </row>
    <row r="9445" spans="1:9" hidden="1" x14ac:dyDescent="0.25">
      <c r="A9445">
        <v>1997</v>
      </c>
      <c r="B9445" s="140" t="s">
        <v>22</v>
      </c>
      <c r="C9445" s="140" t="s">
        <v>20</v>
      </c>
      <c r="D9445" s="140" t="s">
        <v>46</v>
      </c>
      <c r="E9445" s="140" t="s">
        <v>12</v>
      </c>
      <c r="F9445">
        <v>4400</v>
      </c>
      <c r="G9445" s="140" t="s">
        <v>508</v>
      </c>
      <c r="H9445">
        <v>0</v>
      </c>
      <c r="I9445" s="140" t="s">
        <v>17</v>
      </c>
    </row>
    <row r="9446" spans="1:9" hidden="1" x14ac:dyDescent="0.25">
      <c r="A9446">
        <v>1998</v>
      </c>
      <c r="B9446" s="140" t="s">
        <v>22</v>
      </c>
      <c r="C9446" s="140" t="s">
        <v>20</v>
      </c>
      <c r="D9446" s="140" t="s">
        <v>46</v>
      </c>
      <c r="E9446" s="140" t="s">
        <v>12</v>
      </c>
      <c r="F9446">
        <v>4477</v>
      </c>
      <c r="G9446" s="140" t="s">
        <v>508</v>
      </c>
      <c r="H9446">
        <v>0</v>
      </c>
      <c r="I9446" s="140" t="s">
        <v>17</v>
      </c>
    </row>
    <row r="9447" spans="1:9" hidden="1" x14ac:dyDescent="0.25">
      <c r="A9447">
        <v>1999</v>
      </c>
      <c r="B9447" s="140" t="s">
        <v>22</v>
      </c>
      <c r="C9447" s="140" t="s">
        <v>20</v>
      </c>
      <c r="D9447" s="140" t="s">
        <v>46</v>
      </c>
      <c r="E9447" s="140" t="s">
        <v>12</v>
      </c>
      <c r="F9447">
        <v>4673</v>
      </c>
      <c r="G9447" s="140" t="s">
        <v>508</v>
      </c>
      <c r="H9447">
        <v>0</v>
      </c>
      <c r="I9447" s="140" t="s">
        <v>17</v>
      </c>
    </row>
    <row r="9448" spans="1:9" hidden="1" x14ac:dyDescent="0.25">
      <c r="A9448">
        <v>2000</v>
      </c>
      <c r="B9448" s="140" t="s">
        <v>22</v>
      </c>
      <c r="C9448" s="140" t="s">
        <v>20</v>
      </c>
      <c r="D9448" s="140" t="s">
        <v>46</v>
      </c>
      <c r="E9448" s="140" t="s">
        <v>12</v>
      </c>
      <c r="F9448">
        <v>4797</v>
      </c>
      <c r="G9448" s="140" t="s">
        <v>508</v>
      </c>
      <c r="H9448">
        <v>0</v>
      </c>
      <c r="I9448" s="140" t="s">
        <v>17</v>
      </c>
    </row>
    <row r="9449" spans="1:9" hidden="1" x14ac:dyDescent="0.25">
      <c r="A9449">
        <v>2001</v>
      </c>
      <c r="B9449" s="140" t="s">
        <v>22</v>
      </c>
      <c r="C9449" s="140" t="s">
        <v>20</v>
      </c>
      <c r="D9449" s="140" t="s">
        <v>46</v>
      </c>
      <c r="E9449" s="140" t="s">
        <v>12</v>
      </c>
      <c r="F9449">
        <v>4912</v>
      </c>
      <c r="G9449" s="140" t="s">
        <v>508</v>
      </c>
      <c r="H9449">
        <v>0</v>
      </c>
      <c r="I9449" s="140" t="s">
        <v>17</v>
      </c>
    </row>
    <row r="9450" spans="1:9" hidden="1" x14ac:dyDescent="0.25">
      <c r="A9450">
        <v>2002</v>
      </c>
      <c r="B9450" s="140" t="s">
        <v>22</v>
      </c>
      <c r="C9450" s="140" t="s">
        <v>20</v>
      </c>
      <c r="D9450" s="140" t="s">
        <v>46</v>
      </c>
      <c r="E9450" s="140" t="s">
        <v>12</v>
      </c>
      <c r="F9450">
        <v>4981</v>
      </c>
      <c r="G9450" s="140" t="s">
        <v>508</v>
      </c>
      <c r="H9450">
        <v>0</v>
      </c>
      <c r="I9450" s="140" t="s">
        <v>17</v>
      </c>
    </row>
    <row r="9451" spans="1:9" hidden="1" x14ac:dyDescent="0.25">
      <c r="A9451">
        <v>2003</v>
      </c>
      <c r="B9451" s="140" t="s">
        <v>22</v>
      </c>
      <c r="C9451" s="140" t="s">
        <v>20</v>
      </c>
      <c r="D9451" s="140" t="s">
        <v>46</v>
      </c>
      <c r="E9451" s="140" t="s">
        <v>12</v>
      </c>
      <c r="F9451">
        <v>5020</v>
      </c>
      <c r="G9451" s="140" t="s">
        <v>508</v>
      </c>
      <c r="H9451">
        <v>0</v>
      </c>
      <c r="I9451" s="140" t="s">
        <v>17</v>
      </c>
    </row>
    <row r="9452" spans="1:9" hidden="1" x14ac:dyDescent="0.25">
      <c r="A9452">
        <v>2004</v>
      </c>
      <c r="B9452" s="140" t="s">
        <v>22</v>
      </c>
      <c r="C9452" s="140" t="s">
        <v>20</v>
      </c>
      <c r="D9452" s="140" t="s">
        <v>46</v>
      </c>
      <c r="E9452" s="140" t="s">
        <v>12</v>
      </c>
      <c r="F9452">
        <v>5112</v>
      </c>
      <c r="G9452" s="140" t="s">
        <v>508</v>
      </c>
      <c r="H9452">
        <v>0</v>
      </c>
      <c r="I9452" s="140" t="s">
        <v>17</v>
      </c>
    </row>
    <row r="9453" spans="1:9" hidden="1" x14ac:dyDescent="0.25">
      <c r="A9453">
        <v>2005</v>
      </c>
      <c r="B9453" s="140" t="s">
        <v>22</v>
      </c>
      <c r="C9453" s="140" t="s">
        <v>20</v>
      </c>
      <c r="D9453" s="140" t="s">
        <v>46</v>
      </c>
      <c r="E9453" s="140" t="s">
        <v>12</v>
      </c>
      <c r="F9453">
        <v>5188</v>
      </c>
      <c r="G9453" s="140" t="s">
        <v>508</v>
      </c>
      <c r="H9453">
        <v>0</v>
      </c>
      <c r="I9453" s="140" t="s">
        <v>17</v>
      </c>
    </row>
    <row r="9454" spans="1:9" hidden="1" x14ac:dyDescent="0.25">
      <c r="A9454">
        <v>2006</v>
      </c>
      <c r="B9454" s="140" t="s">
        <v>22</v>
      </c>
      <c r="C9454" s="140" t="s">
        <v>20</v>
      </c>
      <c r="D9454" s="140" t="s">
        <v>46</v>
      </c>
      <c r="E9454" s="140" t="s">
        <v>12</v>
      </c>
      <c r="F9454">
        <v>5395</v>
      </c>
      <c r="G9454" s="140" t="s">
        <v>508</v>
      </c>
      <c r="H9454">
        <v>0</v>
      </c>
      <c r="I9454" s="140" t="s">
        <v>17</v>
      </c>
    </row>
    <row r="9455" spans="1:9" hidden="1" x14ac:dyDescent="0.25">
      <c r="A9455">
        <v>2007</v>
      </c>
      <c r="B9455" s="140" t="s">
        <v>22</v>
      </c>
      <c r="C9455" s="140" t="s">
        <v>20</v>
      </c>
      <c r="D9455" s="140" t="s">
        <v>46</v>
      </c>
      <c r="E9455" s="140" t="s">
        <v>12</v>
      </c>
      <c r="F9455">
        <v>5578</v>
      </c>
      <c r="G9455" s="140" t="s">
        <v>508</v>
      </c>
      <c r="H9455">
        <v>0</v>
      </c>
      <c r="I9455" s="140" t="s">
        <v>17</v>
      </c>
    </row>
    <row r="9456" spans="1:9" hidden="1" x14ac:dyDescent="0.25">
      <c r="A9456">
        <v>2008</v>
      </c>
      <c r="B9456" s="140" t="s">
        <v>22</v>
      </c>
      <c r="C9456" s="140" t="s">
        <v>20</v>
      </c>
      <c r="D9456" s="140" t="s">
        <v>46</v>
      </c>
      <c r="E9456" s="140" t="s">
        <v>12</v>
      </c>
      <c r="F9456">
        <v>5674</v>
      </c>
      <c r="G9456" s="140" t="s">
        <v>508</v>
      </c>
      <c r="H9456">
        <v>0</v>
      </c>
      <c r="I9456" s="140" t="s">
        <v>17</v>
      </c>
    </row>
    <row r="9457" spans="1:9" hidden="1" x14ac:dyDescent="0.25">
      <c r="A9457">
        <v>2009</v>
      </c>
      <c r="B9457" s="140" t="s">
        <v>22</v>
      </c>
      <c r="C9457" s="140" t="s">
        <v>20</v>
      </c>
      <c r="D9457" s="140" t="s">
        <v>46</v>
      </c>
      <c r="E9457" s="140" t="s">
        <v>12</v>
      </c>
      <c r="F9457">
        <v>5802</v>
      </c>
      <c r="G9457" s="140" t="s">
        <v>508</v>
      </c>
      <c r="H9457">
        <v>0</v>
      </c>
      <c r="I9457" s="140" t="s">
        <v>17</v>
      </c>
    </row>
    <row r="9458" spans="1:9" hidden="1" x14ac:dyDescent="0.25">
      <c r="A9458">
        <v>2010</v>
      </c>
      <c r="B9458" s="140" t="s">
        <v>22</v>
      </c>
      <c r="C9458" s="140" t="s">
        <v>20</v>
      </c>
      <c r="D9458" s="140" t="s">
        <v>46</v>
      </c>
      <c r="E9458" s="140" t="s">
        <v>12</v>
      </c>
      <c r="F9458">
        <v>5892</v>
      </c>
      <c r="G9458" s="140" t="s">
        <v>508</v>
      </c>
      <c r="H9458">
        <v>0</v>
      </c>
      <c r="I9458" s="140" t="s">
        <v>17</v>
      </c>
    </row>
    <row r="9459" spans="1:9" hidden="1" x14ac:dyDescent="0.25">
      <c r="A9459">
        <v>2011</v>
      </c>
      <c r="B9459" s="140" t="s">
        <v>22</v>
      </c>
      <c r="C9459" s="140" t="s">
        <v>20</v>
      </c>
      <c r="D9459" s="140" t="s">
        <v>46</v>
      </c>
      <c r="E9459" s="140" t="s">
        <v>12</v>
      </c>
      <c r="F9459">
        <v>5975</v>
      </c>
      <c r="G9459" s="140" t="s">
        <v>508</v>
      </c>
      <c r="H9459">
        <v>0</v>
      </c>
      <c r="I9459" s="140" t="s">
        <v>17</v>
      </c>
    </row>
    <row r="9460" spans="1:9" hidden="1" x14ac:dyDescent="0.25">
      <c r="A9460">
        <v>2012</v>
      </c>
      <c r="B9460" s="140" t="s">
        <v>22</v>
      </c>
      <c r="C9460" s="140" t="s">
        <v>20</v>
      </c>
      <c r="D9460" s="140" t="s">
        <v>46</v>
      </c>
      <c r="E9460" s="140" t="s">
        <v>12</v>
      </c>
      <c r="F9460">
        <v>5834</v>
      </c>
      <c r="G9460" s="140" t="s">
        <v>508</v>
      </c>
      <c r="H9460">
        <v>0</v>
      </c>
      <c r="I9460" s="140" t="s">
        <v>17</v>
      </c>
    </row>
    <row r="9461" spans="1:9" hidden="1" x14ac:dyDescent="0.25">
      <c r="A9461">
        <v>2013</v>
      </c>
      <c r="B9461" s="140" t="s">
        <v>22</v>
      </c>
      <c r="C9461" s="140" t="s">
        <v>20</v>
      </c>
      <c r="D9461" s="140" t="s">
        <v>46</v>
      </c>
      <c r="E9461" s="140" t="s">
        <v>12</v>
      </c>
      <c r="F9461">
        <v>5719</v>
      </c>
      <c r="G9461" s="140" t="s">
        <v>508</v>
      </c>
      <c r="H9461">
        <v>0</v>
      </c>
      <c r="I9461" s="140" t="s">
        <v>17</v>
      </c>
    </row>
    <row r="9462" spans="1:9" hidden="1" x14ac:dyDescent="0.25">
      <c r="A9462">
        <v>2014</v>
      </c>
      <c r="B9462" s="140" t="s">
        <v>22</v>
      </c>
      <c r="C9462" s="140" t="s">
        <v>20</v>
      </c>
      <c r="D9462" s="140" t="s">
        <v>46</v>
      </c>
      <c r="E9462" s="140" t="s">
        <v>12</v>
      </c>
      <c r="F9462">
        <v>5634</v>
      </c>
      <c r="G9462" s="140" t="s">
        <v>508</v>
      </c>
      <c r="H9462">
        <v>0</v>
      </c>
      <c r="I9462" s="140" t="s">
        <v>17</v>
      </c>
    </row>
    <row r="9463" spans="1:9" hidden="1" x14ac:dyDescent="0.25">
      <c r="A9463">
        <v>2015</v>
      </c>
      <c r="B9463" s="140" t="s">
        <v>22</v>
      </c>
      <c r="C9463" s="140" t="s">
        <v>20</v>
      </c>
      <c r="D9463" s="140" t="s">
        <v>46</v>
      </c>
      <c r="E9463" s="140" t="s">
        <v>12</v>
      </c>
      <c r="F9463">
        <v>5697</v>
      </c>
      <c r="G9463" s="140" t="s">
        <v>508</v>
      </c>
      <c r="H9463">
        <v>0</v>
      </c>
      <c r="I9463" s="140" t="s">
        <v>17</v>
      </c>
    </row>
    <row r="9464" spans="1:9" hidden="1" x14ac:dyDescent="0.25">
      <c r="A9464">
        <v>2016</v>
      </c>
      <c r="B9464" s="140" t="s">
        <v>22</v>
      </c>
      <c r="C9464" s="140" t="s">
        <v>20</v>
      </c>
      <c r="D9464" s="140" t="s">
        <v>46</v>
      </c>
      <c r="E9464" s="140" t="s">
        <v>12</v>
      </c>
      <c r="F9464">
        <v>5750</v>
      </c>
      <c r="G9464" s="140" t="s">
        <v>508</v>
      </c>
      <c r="H9464">
        <v>0</v>
      </c>
      <c r="I9464" s="140" t="s">
        <v>17</v>
      </c>
    </row>
    <row r="9465" spans="1:9" hidden="1" x14ac:dyDescent="0.25">
      <c r="A9465">
        <v>2017</v>
      </c>
      <c r="B9465" s="140" t="s">
        <v>22</v>
      </c>
      <c r="C9465" s="140" t="s">
        <v>20</v>
      </c>
      <c r="D9465" s="140" t="s">
        <v>46</v>
      </c>
      <c r="E9465" s="140" t="s">
        <v>12</v>
      </c>
      <c r="F9465">
        <v>5893</v>
      </c>
      <c r="G9465" s="140" t="s">
        <v>508</v>
      </c>
      <c r="H9465">
        <v>0</v>
      </c>
      <c r="I9465" s="140" t="s">
        <v>17</v>
      </c>
    </row>
    <row r="9466" spans="1:9" hidden="1" x14ac:dyDescent="0.25">
      <c r="A9466">
        <v>2018</v>
      </c>
      <c r="B9466" s="140" t="s">
        <v>22</v>
      </c>
      <c r="C9466" s="140" t="s">
        <v>20</v>
      </c>
      <c r="D9466" s="140" t="s">
        <v>46</v>
      </c>
      <c r="E9466" s="140" t="s">
        <v>12</v>
      </c>
      <c r="F9466">
        <v>6011</v>
      </c>
      <c r="G9466" s="140" t="s">
        <v>508</v>
      </c>
      <c r="H9466">
        <v>0</v>
      </c>
      <c r="I9466" s="140" t="s">
        <v>17</v>
      </c>
    </row>
    <row r="9467" spans="1:9" hidden="1" x14ac:dyDescent="0.25">
      <c r="A9467">
        <v>2019</v>
      </c>
      <c r="B9467" s="140" t="s">
        <v>22</v>
      </c>
      <c r="C9467" s="140" t="s">
        <v>20</v>
      </c>
      <c r="D9467" s="140" t="s">
        <v>46</v>
      </c>
      <c r="E9467" s="140" t="s">
        <v>12</v>
      </c>
      <c r="F9467">
        <v>6198</v>
      </c>
      <c r="G9467" s="140" t="s">
        <v>508</v>
      </c>
      <c r="H9467">
        <v>0</v>
      </c>
      <c r="I9467" s="140" t="s">
        <v>17</v>
      </c>
    </row>
    <row r="9468" spans="1:9" hidden="1" x14ac:dyDescent="0.25">
      <c r="A9468">
        <v>2020</v>
      </c>
      <c r="B9468" s="140" t="s">
        <v>22</v>
      </c>
      <c r="C9468" s="140" t="s">
        <v>20</v>
      </c>
      <c r="D9468" s="140" t="s">
        <v>46</v>
      </c>
      <c r="E9468" s="140" t="s">
        <v>12</v>
      </c>
      <c r="F9468">
        <v>5749</v>
      </c>
      <c r="G9468" s="140" t="s">
        <v>508</v>
      </c>
      <c r="H9468">
        <v>0</v>
      </c>
      <c r="I9468" s="140" t="s">
        <v>17</v>
      </c>
    </row>
    <row r="9469" spans="1:9" hidden="1" x14ac:dyDescent="0.25">
      <c r="A9469">
        <v>2021</v>
      </c>
      <c r="B9469" s="140" t="s">
        <v>22</v>
      </c>
      <c r="C9469" s="140" t="s">
        <v>20</v>
      </c>
      <c r="D9469" s="140" t="s">
        <v>46</v>
      </c>
      <c r="E9469" s="140" t="s">
        <v>12</v>
      </c>
      <c r="F9469">
        <v>5909</v>
      </c>
      <c r="G9469" s="140" t="s">
        <v>508</v>
      </c>
      <c r="H9469">
        <v>0</v>
      </c>
      <c r="I9469" s="140" t="s">
        <v>17</v>
      </c>
    </row>
    <row r="9470" spans="1:9" hidden="1" x14ac:dyDescent="0.25">
      <c r="A9470">
        <v>2022</v>
      </c>
      <c r="B9470" s="140" t="s">
        <v>22</v>
      </c>
      <c r="C9470" s="140" t="s">
        <v>20</v>
      </c>
      <c r="D9470" s="140" t="s">
        <v>46</v>
      </c>
      <c r="E9470" s="140" t="s">
        <v>12</v>
      </c>
      <c r="F9470">
        <v>6173</v>
      </c>
      <c r="G9470" s="140" t="s">
        <v>508</v>
      </c>
      <c r="H9470">
        <v>0</v>
      </c>
      <c r="I9470" s="140" t="s">
        <v>17</v>
      </c>
    </row>
    <row r="9471" spans="1:9" hidden="1" x14ac:dyDescent="0.25">
      <c r="A9471">
        <v>2023</v>
      </c>
      <c r="B9471" s="140" t="s">
        <v>22</v>
      </c>
      <c r="C9471" s="140" t="s">
        <v>20</v>
      </c>
      <c r="D9471" s="140" t="s">
        <v>46</v>
      </c>
      <c r="E9471" s="140" t="s">
        <v>12</v>
      </c>
      <c r="F9471">
        <v>6309</v>
      </c>
      <c r="G9471" s="140" t="s">
        <v>508</v>
      </c>
      <c r="H9471">
        <v>0</v>
      </c>
      <c r="I9471" s="140" t="s">
        <v>17</v>
      </c>
    </row>
    <row r="9472" spans="1:9" hidden="1" x14ac:dyDescent="0.25">
      <c r="A9472">
        <v>2024</v>
      </c>
      <c r="B9472" s="140" t="s">
        <v>22</v>
      </c>
      <c r="C9472" s="140" t="s">
        <v>20</v>
      </c>
      <c r="D9472" s="140" t="s">
        <v>46</v>
      </c>
      <c r="E9472" s="140" t="s">
        <v>12</v>
      </c>
      <c r="F9472">
        <v>6253</v>
      </c>
      <c r="G9472" s="140" t="s">
        <v>508</v>
      </c>
      <c r="H9472">
        <v>0</v>
      </c>
      <c r="I9472" s="140" t="s">
        <v>17</v>
      </c>
    </row>
    <row r="9473" spans="1:9" hidden="1" x14ac:dyDescent="0.25">
      <c r="A9473">
        <v>2025</v>
      </c>
      <c r="B9473" s="140" t="s">
        <v>22</v>
      </c>
      <c r="C9473" s="140" t="s">
        <v>20</v>
      </c>
      <c r="D9473" s="140" t="s">
        <v>46</v>
      </c>
      <c r="E9473" s="140" t="s">
        <v>12</v>
      </c>
      <c r="F9473">
        <v>5972</v>
      </c>
      <c r="G9473" s="140" t="s">
        <v>508</v>
      </c>
      <c r="H9473">
        <v>0</v>
      </c>
      <c r="I9473" s="140" t="s">
        <v>17</v>
      </c>
    </row>
    <row r="9474" spans="1:9" hidden="1" x14ac:dyDescent="0.25">
      <c r="A9474">
        <v>1990</v>
      </c>
      <c r="B9474" s="140" t="s">
        <v>22</v>
      </c>
      <c r="C9474" s="140" t="s">
        <v>20</v>
      </c>
      <c r="D9474" s="140" t="s">
        <v>27</v>
      </c>
      <c r="E9474" s="140" t="s">
        <v>12</v>
      </c>
      <c r="F9474">
        <v>29995</v>
      </c>
      <c r="G9474" s="140" t="s">
        <v>490</v>
      </c>
      <c r="H9474">
        <v>0</v>
      </c>
      <c r="I9474" s="140" t="s">
        <v>17</v>
      </c>
    </row>
    <row r="9475" spans="1:9" hidden="1" x14ac:dyDescent="0.25">
      <c r="A9475">
        <v>1991</v>
      </c>
      <c r="B9475" s="140" t="s">
        <v>22</v>
      </c>
      <c r="C9475" s="140" t="s">
        <v>20</v>
      </c>
      <c r="D9475" s="140" t="s">
        <v>27</v>
      </c>
      <c r="E9475" s="140" t="s">
        <v>12</v>
      </c>
      <c r="F9475">
        <v>26848</v>
      </c>
      <c r="G9475" s="140" t="s">
        <v>490</v>
      </c>
      <c r="H9475">
        <v>0</v>
      </c>
      <c r="I9475" s="140" t="s">
        <v>17</v>
      </c>
    </row>
    <row r="9476" spans="1:9" hidden="1" x14ac:dyDescent="0.25">
      <c r="A9476">
        <v>1992</v>
      </c>
      <c r="B9476" s="140" t="s">
        <v>22</v>
      </c>
      <c r="C9476" s="140" t="s">
        <v>20</v>
      </c>
      <c r="D9476" s="140" t="s">
        <v>27</v>
      </c>
      <c r="E9476" s="140" t="s">
        <v>12</v>
      </c>
      <c r="F9476">
        <v>26482</v>
      </c>
      <c r="G9476" s="140" t="s">
        <v>490</v>
      </c>
      <c r="H9476">
        <v>0</v>
      </c>
      <c r="I9476" s="140" t="s">
        <v>17</v>
      </c>
    </row>
    <row r="9477" spans="1:9" hidden="1" x14ac:dyDescent="0.25">
      <c r="A9477">
        <v>1993</v>
      </c>
      <c r="B9477" s="140" t="s">
        <v>22</v>
      </c>
      <c r="C9477" s="140" t="s">
        <v>20</v>
      </c>
      <c r="D9477" s="140" t="s">
        <v>27</v>
      </c>
      <c r="E9477" s="140" t="s">
        <v>12</v>
      </c>
      <c r="F9477">
        <v>26987</v>
      </c>
      <c r="G9477" s="140" t="s">
        <v>490</v>
      </c>
      <c r="H9477">
        <v>0</v>
      </c>
      <c r="I9477" s="140" t="s">
        <v>17</v>
      </c>
    </row>
    <row r="9478" spans="1:9" hidden="1" x14ac:dyDescent="0.25">
      <c r="A9478">
        <v>1994</v>
      </c>
      <c r="B9478" s="140" t="s">
        <v>22</v>
      </c>
      <c r="C9478" s="140" t="s">
        <v>20</v>
      </c>
      <c r="D9478" s="140" t="s">
        <v>27</v>
      </c>
      <c r="E9478" s="140" t="s">
        <v>12</v>
      </c>
      <c r="F9478">
        <v>29292</v>
      </c>
      <c r="G9478" s="140" t="s">
        <v>490</v>
      </c>
      <c r="H9478">
        <v>0</v>
      </c>
      <c r="I9478" s="140" t="s">
        <v>17</v>
      </c>
    </row>
    <row r="9479" spans="1:9" hidden="1" x14ac:dyDescent="0.25">
      <c r="A9479">
        <v>1995</v>
      </c>
      <c r="B9479" s="140" t="s">
        <v>22</v>
      </c>
      <c r="C9479" s="140" t="s">
        <v>20</v>
      </c>
      <c r="D9479" s="140" t="s">
        <v>27</v>
      </c>
      <c r="E9479" s="140" t="s">
        <v>12</v>
      </c>
      <c r="F9479">
        <v>30318</v>
      </c>
      <c r="G9479" s="140" t="s">
        <v>490</v>
      </c>
      <c r="H9479">
        <v>0</v>
      </c>
      <c r="I9479" s="140" t="s">
        <v>17</v>
      </c>
    </row>
    <row r="9480" spans="1:9" hidden="1" x14ac:dyDescent="0.25">
      <c r="A9480">
        <v>1996</v>
      </c>
      <c r="B9480" s="140" t="s">
        <v>22</v>
      </c>
      <c r="C9480" s="140" t="s">
        <v>20</v>
      </c>
      <c r="D9480" s="140" t="s">
        <v>27</v>
      </c>
      <c r="E9480" s="140" t="s">
        <v>12</v>
      </c>
      <c r="F9480">
        <v>31880</v>
      </c>
      <c r="G9480" s="140" t="s">
        <v>490</v>
      </c>
      <c r="H9480">
        <v>0</v>
      </c>
      <c r="I9480" s="140" t="s">
        <v>17</v>
      </c>
    </row>
    <row r="9481" spans="1:9" hidden="1" x14ac:dyDescent="0.25">
      <c r="A9481">
        <v>1997</v>
      </c>
      <c r="B9481" s="140" t="s">
        <v>22</v>
      </c>
      <c r="C9481" s="140" t="s">
        <v>20</v>
      </c>
      <c r="D9481" s="140" t="s">
        <v>27</v>
      </c>
      <c r="E9481" s="140" t="s">
        <v>12</v>
      </c>
      <c r="F9481">
        <v>34865</v>
      </c>
      <c r="G9481" s="140" t="s">
        <v>490</v>
      </c>
      <c r="H9481">
        <v>0</v>
      </c>
      <c r="I9481" s="140" t="s">
        <v>17</v>
      </c>
    </row>
    <row r="9482" spans="1:9" hidden="1" x14ac:dyDescent="0.25">
      <c r="A9482">
        <v>1998</v>
      </c>
      <c r="B9482" s="140" t="s">
        <v>22</v>
      </c>
      <c r="C9482" s="140" t="s">
        <v>20</v>
      </c>
      <c r="D9482" s="140" t="s">
        <v>27</v>
      </c>
      <c r="E9482" s="140" t="s">
        <v>12</v>
      </c>
      <c r="F9482">
        <v>37871</v>
      </c>
      <c r="G9482" s="140" t="s">
        <v>490</v>
      </c>
      <c r="H9482">
        <v>0</v>
      </c>
      <c r="I9482" s="140" t="s">
        <v>17</v>
      </c>
    </row>
    <row r="9483" spans="1:9" hidden="1" x14ac:dyDescent="0.25">
      <c r="A9483">
        <v>1999</v>
      </c>
      <c r="B9483" s="140" t="s">
        <v>22</v>
      </c>
      <c r="C9483" s="140" t="s">
        <v>20</v>
      </c>
      <c r="D9483" s="140" t="s">
        <v>27</v>
      </c>
      <c r="E9483" s="140" t="s">
        <v>12</v>
      </c>
      <c r="F9483">
        <v>40445</v>
      </c>
      <c r="G9483" s="140" t="s">
        <v>490</v>
      </c>
      <c r="H9483">
        <v>0</v>
      </c>
      <c r="I9483" s="140" t="s">
        <v>17</v>
      </c>
    </row>
    <row r="9484" spans="1:9" hidden="1" x14ac:dyDescent="0.25">
      <c r="A9484">
        <v>2000</v>
      </c>
      <c r="B9484" s="140" t="s">
        <v>22</v>
      </c>
      <c r="C9484" s="140" t="s">
        <v>20</v>
      </c>
      <c r="D9484" s="140" t="s">
        <v>27</v>
      </c>
      <c r="E9484" s="140" t="s">
        <v>12</v>
      </c>
      <c r="F9484">
        <v>44757</v>
      </c>
      <c r="G9484" s="140" t="s">
        <v>490</v>
      </c>
      <c r="H9484">
        <v>0</v>
      </c>
      <c r="I9484" s="140" t="s">
        <v>17</v>
      </c>
    </row>
    <row r="9485" spans="1:9" hidden="1" x14ac:dyDescent="0.25">
      <c r="A9485">
        <v>2001</v>
      </c>
      <c r="B9485" s="140" t="s">
        <v>22</v>
      </c>
      <c r="C9485" s="140" t="s">
        <v>20</v>
      </c>
      <c r="D9485" s="140" t="s">
        <v>27</v>
      </c>
      <c r="E9485" s="140" t="s">
        <v>12</v>
      </c>
      <c r="F9485">
        <v>45607</v>
      </c>
      <c r="G9485" s="140" t="s">
        <v>490</v>
      </c>
      <c r="H9485">
        <v>0</v>
      </c>
      <c r="I9485" s="140" t="s">
        <v>17</v>
      </c>
    </row>
    <row r="9486" spans="1:9" hidden="1" x14ac:dyDescent="0.25">
      <c r="A9486">
        <v>2002</v>
      </c>
      <c r="B9486" s="140" t="s">
        <v>22</v>
      </c>
      <c r="C9486" s="140" t="s">
        <v>20</v>
      </c>
      <c r="D9486" s="140" t="s">
        <v>27</v>
      </c>
      <c r="E9486" s="140" t="s">
        <v>12</v>
      </c>
      <c r="F9486">
        <v>46930</v>
      </c>
      <c r="G9486" s="140" t="s">
        <v>490</v>
      </c>
      <c r="H9486">
        <v>0</v>
      </c>
      <c r="I9486" s="140" t="s">
        <v>17</v>
      </c>
    </row>
    <row r="9487" spans="1:9" hidden="1" x14ac:dyDescent="0.25">
      <c r="A9487">
        <v>2003</v>
      </c>
      <c r="B9487" s="140" t="s">
        <v>22</v>
      </c>
      <c r="C9487" s="140" t="s">
        <v>20</v>
      </c>
      <c r="D9487" s="140" t="s">
        <v>27</v>
      </c>
      <c r="E9487" s="140" t="s">
        <v>12</v>
      </c>
      <c r="F9487">
        <v>48418</v>
      </c>
      <c r="G9487" s="140" t="s">
        <v>490</v>
      </c>
      <c r="H9487">
        <v>0</v>
      </c>
      <c r="I9487" s="140" t="s">
        <v>17</v>
      </c>
    </row>
    <row r="9488" spans="1:9" hidden="1" x14ac:dyDescent="0.25">
      <c r="A9488">
        <v>2004</v>
      </c>
      <c r="B9488" s="140" t="s">
        <v>22</v>
      </c>
      <c r="C9488" s="140" t="s">
        <v>20</v>
      </c>
      <c r="D9488" s="140" t="s">
        <v>27</v>
      </c>
      <c r="E9488" s="140" t="s">
        <v>12</v>
      </c>
      <c r="F9488">
        <v>50786</v>
      </c>
      <c r="G9488" s="140" t="s">
        <v>490</v>
      </c>
      <c r="H9488">
        <v>0</v>
      </c>
      <c r="I9488" s="140" t="s">
        <v>17</v>
      </c>
    </row>
    <row r="9489" spans="1:9" hidden="1" x14ac:dyDescent="0.25">
      <c r="A9489">
        <v>2005</v>
      </c>
      <c r="B9489" s="140" t="s">
        <v>22</v>
      </c>
      <c r="C9489" s="140" t="s">
        <v>20</v>
      </c>
      <c r="D9489" s="140" t="s">
        <v>27</v>
      </c>
      <c r="E9489" s="140" t="s">
        <v>12</v>
      </c>
      <c r="F9489">
        <v>52668</v>
      </c>
      <c r="G9489" s="140" t="s">
        <v>490</v>
      </c>
      <c r="H9489">
        <v>0</v>
      </c>
      <c r="I9489" s="140" t="s">
        <v>17</v>
      </c>
    </row>
    <row r="9490" spans="1:9" hidden="1" x14ac:dyDescent="0.25">
      <c r="A9490">
        <v>2006</v>
      </c>
      <c r="B9490" s="140" t="s">
        <v>22</v>
      </c>
      <c r="C9490" s="140" t="s">
        <v>20</v>
      </c>
      <c r="D9490" s="140" t="s">
        <v>27</v>
      </c>
      <c r="E9490" s="140" t="s">
        <v>12</v>
      </c>
      <c r="F9490">
        <v>57356</v>
      </c>
      <c r="G9490" s="140" t="s">
        <v>490</v>
      </c>
      <c r="H9490">
        <v>0</v>
      </c>
      <c r="I9490" s="140" t="s">
        <v>17</v>
      </c>
    </row>
    <row r="9491" spans="1:9" hidden="1" x14ac:dyDescent="0.25">
      <c r="A9491">
        <v>2007</v>
      </c>
      <c r="B9491" s="140" t="s">
        <v>22</v>
      </c>
      <c r="C9491" s="140" t="s">
        <v>20</v>
      </c>
      <c r="D9491" s="140" t="s">
        <v>27</v>
      </c>
      <c r="E9491" s="140" t="s">
        <v>12</v>
      </c>
      <c r="F9491">
        <v>62197</v>
      </c>
      <c r="G9491" s="140" t="s">
        <v>490</v>
      </c>
      <c r="H9491">
        <v>0</v>
      </c>
      <c r="I9491" s="140" t="s">
        <v>17</v>
      </c>
    </row>
    <row r="9492" spans="1:9" hidden="1" x14ac:dyDescent="0.25">
      <c r="A9492">
        <v>2008</v>
      </c>
      <c r="B9492" s="140" t="s">
        <v>22</v>
      </c>
      <c r="C9492" s="140" t="s">
        <v>20</v>
      </c>
      <c r="D9492" s="140" t="s">
        <v>27</v>
      </c>
      <c r="E9492" s="140" t="s">
        <v>12</v>
      </c>
      <c r="F9492">
        <v>60616</v>
      </c>
      <c r="G9492" s="140" t="s">
        <v>490</v>
      </c>
      <c r="H9492">
        <v>0</v>
      </c>
      <c r="I9492" s="140" t="s">
        <v>17</v>
      </c>
    </row>
    <row r="9493" spans="1:9" hidden="1" x14ac:dyDescent="0.25">
      <c r="A9493">
        <v>2009</v>
      </c>
      <c r="B9493" s="140" t="s">
        <v>22</v>
      </c>
      <c r="C9493" s="140" t="s">
        <v>20</v>
      </c>
      <c r="D9493" s="140" t="s">
        <v>27</v>
      </c>
      <c r="E9493" s="140" t="s">
        <v>12</v>
      </c>
      <c r="F9493">
        <v>49793</v>
      </c>
      <c r="G9493" s="140" t="s">
        <v>490</v>
      </c>
      <c r="H9493">
        <v>0</v>
      </c>
      <c r="I9493" s="140" t="s">
        <v>17</v>
      </c>
    </row>
    <row r="9494" spans="1:9" hidden="1" x14ac:dyDescent="0.25">
      <c r="A9494">
        <v>2010</v>
      </c>
      <c r="B9494" s="140" t="s">
        <v>22</v>
      </c>
      <c r="C9494" s="140" t="s">
        <v>20</v>
      </c>
      <c r="D9494" s="140" t="s">
        <v>27</v>
      </c>
      <c r="E9494" s="140" t="s">
        <v>12</v>
      </c>
      <c r="F9494">
        <v>53902</v>
      </c>
      <c r="G9494" s="140" t="s">
        <v>490</v>
      </c>
      <c r="H9494">
        <v>0</v>
      </c>
      <c r="I9494" s="140" t="s">
        <v>17</v>
      </c>
    </row>
    <row r="9495" spans="1:9" hidden="1" x14ac:dyDescent="0.25">
      <c r="A9495">
        <v>2011</v>
      </c>
      <c r="B9495" s="140" t="s">
        <v>22</v>
      </c>
      <c r="C9495" s="140" t="s">
        <v>20</v>
      </c>
      <c r="D9495" s="140" t="s">
        <v>27</v>
      </c>
      <c r="E9495" s="140" t="s">
        <v>12</v>
      </c>
      <c r="F9495">
        <v>53810</v>
      </c>
      <c r="G9495" s="140" t="s">
        <v>490</v>
      </c>
      <c r="H9495">
        <v>0</v>
      </c>
      <c r="I9495" s="140" t="s">
        <v>17</v>
      </c>
    </row>
    <row r="9496" spans="1:9" hidden="1" x14ac:dyDescent="0.25">
      <c r="A9496">
        <v>2012</v>
      </c>
      <c r="B9496" s="140" t="s">
        <v>22</v>
      </c>
      <c r="C9496" s="140" t="s">
        <v>20</v>
      </c>
      <c r="D9496" s="140" t="s">
        <v>27</v>
      </c>
      <c r="E9496" s="140" t="s">
        <v>12</v>
      </c>
      <c r="F9496">
        <v>49542</v>
      </c>
      <c r="G9496" s="140" t="s">
        <v>490</v>
      </c>
      <c r="H9496">
        <v>0</v>
      </c>
      <c r="I9496" s="140" t="s">
        <v>17</v>
      </c>
    </row>
    <row r="9497" spans="1:9" hidden="1" x14ac:dyDescent="0.25">
      <c r="A9497">
        <v>2013</v>
      </c>
      <c r="B9497" s="140" t="s">
        <v>22</v>
      </c>
      <c r="C9497" s="140" t="s">
        <v>20</v>
      </c>
      <c r="D9497" s="140" t="s">
        <v>27</v>
      </c>
      <c r="E9497" s="140" t="s">
        <v>12</v>
      </c>
      <c r="F9497">
        <v>49234</v>
      </c>
      <c r="G9497" s="140" t="s">
        <v>490</v>
      </c>
      <c r="H9497">
        <v>0</v>
      </c>
      <c r="I9497" s="140" t="s">
        <v>17</v>
      </c>
    </row>
    <row r="9498" spans="1:9" hidden="1" x14ac:dyDescent="0.25">
      <c r="A9498">
        <v>2014</v>
      </c>
      <c r="B9498" s="140" t="s">
        <v>22</v>
      </c>
      <c r="C9498" s="140" t="s">
        <v>20</v>
      </c>
      <c r="D9498" s="140" t="s">
        <v>27</v>
      </c>
      <c r="E9498" s="140" t="s">
        <v>12</v>
      </c>
      <c r="F9498">
        <v>48673</v>
      </c>
      <c r="G9498" s="140" t="s">
        <v>490</v>
      </c>
      <c r="H9498">
        <v>0</v>
      </c>
      <c r="I9498" s="140" t="s">
        <v>17</v>
      </c>
    </row>
    <row r="9499" spans="1:9" hidden="1" x14ac:dyDescent="0.25">
      <c r="A9499">
        <v>2015</v>
      </c>
      <c r="B9499" s="140" t="s">
        <v>22</v>
      </c>
      <c r="C9499" s="140" t="s">
        <v>20</v>
      </c>
      <c r="D9499" s="140" t="s">
        <v>27</v>
      </c>
      <c r="E9499" s="140" t="s">
        <v>12</v>
      </c>
      <c r="F9499">
        <v>48983</v>
      </c>
      <c r="G9499" s="140" t="s">
        <v>490</v>
      </c>
      <c r="H9499">
        <v>0</v>
      </c>
      <c r="I9499" s="140" t="s">
        <v>17</v>
      </c>
    </row>
    <row r="9500" spans="1:9" hidden="1" x14ac:dyDescent="0.25">
      <c r="A9500">
        <v>2016</v>
      </c>
      <c r="B9500" s="140" t="s">
        <v>22</v>
      </c>
      <c r="C9500" s="140" t="s">
        <v>20</v>
      </c>
      <c r="D9500" s="140" t="s">
        <v>27</v>
      </c>
      <c r="E9500" s="140" t="s">
        <v>12</v>
      </c>
      <c r="F9500">
        <v>50715</v>
      </c>
      <c r="G9500" s="140" t="s">
        <v>490</v>
      </c>
      <c r="H9500">
        <v>0</v>
      </c>
      <c r="I9500" s="140" t="s">
        <v>17</v>
      </c>
    </row>
    <row r="9501" spans="1:9" hidden="1" x14ac:dyDescent="0.25">
      <c r="A9501">
        <v>2017</v>
      </c>
      <c r="B9501" s="140" t="s">
        <v>22</v>
      </c>
      <c r="C9501" s="140" t="s">
        <v>20</v>
      </c>
      <c r="D9501" s="140" t="s">
        <v>27</v>
      </c>
      <c r="E9501" s="140" t="s">
        <v>12</v>
      </c>
      <c r="F9501">
        <v>54087</v>
      </c>
      <c r="G9501" s="140" t="s">
        <v>490</v>
      </c>
      <c r="H9501">
        <v>0</v>
      </c>
      <c r="I9501" s="140" t="s">
        <v>17</v>
      </c>
    </row>
    <row r="9502" spans="1:9" hidden="1" x14ac:dyDescent="0.25">
      <c r="A9502">
        <v>2018</v>
      </c>
      <c r="B9502" s="140" t="s">
        <v>22</v>
      </c>
      <c r="C9502" s="140" t="s">
        <v>20</v>
      </c>
      <c r="D9502" s="140" t="s">
        <v>27</v>
      </c>
      <c r="E9502" s="140" t="s">
        <v>12</v>
      </c>
      <c r="F9502">
        <v>52980</v>
      </c>
      <c r="G9502" s="140" t="s">
        <v>490</v>
      </c>
      <c r="H9502">
        <v>0</v>
      </c>
      <c r="I9502" s="140" t="s">
        <v>17</v>
      </c>
    </row>
    <row r="9503" spans="1:9" hidden="1" x14ac:dyDescent="0.25">
      <c r="A9503">
        <v>2019</v>
      </c>
      <c r="B9503" s="140" t="s">
        <v>22</v>
      </c>
      <c r="C9503" s="140" t="s">
        <v>20</v>
      </c>
      <c r="D9503" s="140" t="s">
        <v>27</v>
      </c>
      <c r="E9503" s="140" t="s">
        <v>12</v>
      </c>
      <c r="F9503">
        <v>53691</v>
      </c>
      <c r="G9503" s="140" t="s">
        <v>490</v>
      </c>
      <c r="H9503">
        <v>0</v>
      </c>
      <c r="I9503" s="140" t="s">
        <v>17</v>
      </c>
    </row>
    <row r="9504" spans="1:9" hidden="1" x14ac:dyDescent="0.25">
      <c r="A9504">
        <v>2020</v>
      </c>
      <c r="B9504" s="140" t="s">
        <v>22</v>
      </c>
      <c r="C9504" s="140" t="s">
        <v>20</v>
      </c>
      <c r="D9504" s="140" t="s">
        <v>27</v>
      </c>
      <c r="E9504" s="140" t="s">
        <v>12</v>
      </c>
      <c r="F9504">
        <v>52809</v>
      </c>
      <c r="G9504" s="140" t="s">
        <v>490</v>
      </c>
      <c r="H9504">
        <v>0</v>
      </c>
      <c r="I9504" s="140" t="s">
        <v>17</v>
      </c>
    </row>
    <row r="9505" spans="1:9" hidden="1" x14ac:dyDescent="0.25">
      <c r="A9505">
        <v>2021</v>
      </c>
      <c r="B9505" s="140" t="s">
        <v>22</v>
      </c>
      <c r="C9505" s="140" t="s">
        <v>20</v>
      </c>
      <c r="D9505" s="140" t="s">
        <v>27</v>
      </c>
      <c r="E9505" s="140" t="s">
        <v>12</v>
      </c>
      <c r="F9505">
        <v>52454</v>
      </c>
      <c r="G9505" s="140" t="s">
        <v>490</v>
      </c>
      <c r="H9505">
        <v>0</v>
      </c>
      <c r="I9505" s="140" t="s">
        <v>17</v>
      </c>
    </row>
    <row r="9506" spans="1:9" hidden="1" x14ac:dyDescent="0.25">
      <c r="A9506">
        <v>2022</v>
      </c>
      <c r="B9506" s="140" t="s">
        <v>22</v>
      </c>
      <c r="C9506" s="140" t="s">
        <v>20</v>
      </c>
      <c r="D9506" s="140" t="s">
        <v>27</v>
      </c>
      <c r="E9506" s="140" t="s">
        <v>12</v>
      </c>
      <c r="F9506">
        <v>50019</v>
      </c>
      <c r="G9506" s="140" t="s">
        <v>490</v>
      </c>
      <c r="H9506">
        <v>0</v>
      </c>
      <c r="I9506" s="140" t="s">
        <v>17</v>
      </c>
    </row>
    <row r="9507" spans="1:9" hidden="1" x14ac:dyDescent="0.25">
      <c r="A9507">
        <v>2023</v>
      </c>
      <c r="B9507" s="140" t="s">
        <v>22</v>
      </c>
      <c r="C9507" s="140" t="s">
        <v>20</v>
      </c>
      <c r="D9507" s="140" t="s">
        <v>27</v>
      </c>
      <c r="E9507" s="140" t="s">
        <v>12</v>
      </c>
      <c r="F9507">
        <v>48798</v>
      </c>
      <c r="G9507" s="140" t="s">
        <v>490</v>
      </c>
      <c r="H9507">
        <v>0</v>
      </c>
      <c r="I9507" s="140" t="s">
        <v>17</v>
      </c>
    </row>
    <row r="9508" spans="1:9" hidden="1" x14ac:dyDescent="0.25">
      <c r="A9508">
        <v>2024</v>
      </c>
      <c r="B9508" s="140" t="s">
        <v>22</v>
      </c>
      <c r="C9508" s="140" t="s">
        <v>20</v>
      </c>
      <c r="D9508" s="140" t="s">
        <v>27</v>
      </c>
      <c r="E9508" s="140" t="s">
        <v>12</v>
      </c>
      <c r="F9508">
        <v>50040</v>
      </c>
      <c r="G9508" s="140" t="s">
        <v>490</v>
      </c>
      <c r="H9508">
        <v>0</v>
      </c>
      <c r="I9508" s="140" t="s">
        <v>17</v>
      </c>
    </row>
    <row r="9509" spans="1:9" hidden="1" x14ac:dyDescent="0.25">
      <c r="A9509">
        <v>2025</v>
      </c>
      <c r="B9509" s="140" t="s">
        <v>22</v>
      </c>
      <c r="C9509" s="140" t="s">
        <v>20</v>
      </c>
      <c r="D9509" s="140" t="s">
        <v>27</v>
      </c>
      <c r="E9509" s="140" t="s">
        <v>12</v>
      </c>
      <c r="F9509">
        <v>50184</v>
      </c>
      <c r="G9509" s="140" t="s">
        <v>490</v>
      </c>
      <c r="H9509">
        <v>0</v>
      </c>
      <c r="I9509" s="140" t="s">
        <v>17</v>
      </c>
    </row>
    <row r="9510" spans="1:9" hidden="1" x14ac:dyDescent="0.25">
      <c r="A9510">
        <v>2026</v>
      </c>
      <c r="B9510" s="140" t="s">
        <v>22</v>
      </c>
      <c r="C9510" s="140" t="s">
        <v>20</v>
      </c>
      <c r="D9510" s="140" t="s">
        <v>27</v>
      </c>
      <c r="E9510" s="140" t="s">
        <v>12</v>
      </c>
      <c r="F9510">
        <v>51587.844270000001</v>
      </c>
      <c r="G9510" s="140" t="s">
        <v>490</v>
      </c>
      <c r="H9510">
        <v>0</v>
      </c>
      <c r="I9510" s="140" t="s">
        <v>17</v>
      </c>
    </row>
    <row r="9511" spans="1:9" hidden="1" x14ac:dyDescent="0.25">
      <c r="A9511">
        <v>2027</v>
      </c>
      <c r="B9511" s="140" t="s">
        <v>22</v>
      </c>
      <c r="C9511" s="140" t="s">
        <v>20</v>
      </c>
      <c r="D9511" s="140" t="s">
        <v>27</v>
      </c>
      <c r="E9511" s="140" t="s">
        <v>12</v>
      </c>
      <c r="F9511">
        <v>53153.746850000003</v>
      </c>
      <c r="G9511" s="140" t="s">
        <v>490</v>
      </c>
      <c r="H9511">
        <v>0</v>
      </c>
      <c r="I9511" s="140" t="s">
        <v>17</v>
      </c>
    </row>
    <row r="9512" spans="1:9" hidden="1" x14ac:dyDescent="0.25">
      <c r="A9512">
        <v>2028</v>
      </c>
      <c r="B9512" s="140" t="s">
        <v>22</v>
      </c>
      <c r="C9512" s="140" t="s">
        <v>20</v>
      </c>
      <c r="D9512" s="140" t="s">
        <v>27</v>
      </c>
      <c r="E9512" s="140" t="s">
        <v>12</v>
      </c>
      <c r="F9512">
        <v>54519.414750000004</v>
      </c>
      <c r="G9512" s="140" t="s">
        <v>490</v>
      </c>
      <c r="H9512">
        <v>0</v>
      </c>
      <c r="I9512" s="140" t="s">
        <v>17</v>
      </c>
    </row>
    <row r="9513" spans="1:9" hidden="1" x14ac:dyDescent="0.25">
      <c r="A9513">
        <v>1990</v>
      </c>
      <c r="B9513" s="140" t="s">
        <v>22</v>
      </c>
      <c r="C9513" s="140" t="s">
        <v>20</v>
      </c>
      <c r="D9513" s="140" t="s">
        <v>37</v>
      </c>
      <c r="E9513" s="140" t="s">
        <v>12</v>
      </c>
      <c r="F9513">
        <v>90468</v>
      </c>
      <c r="G9513" s="140" t="s">
        <v>491</v>
      </c>
      <c r="H9513">
        <v>0</v>
      </c>
      <c r="I9513" s="140" t="s">
        <v>17</v>
      </c>
    </row>
    <row r="9514" spans="1:9" hidden="1" x14ac:dyDescent="0.25">
      <c r="A9514">
        <v>1991</v>
      </c>
      <c r="B9514" s="140" t="s">
        <v>22</v>
      </c>
      <c r="C9514" s="140" t="s">
        <v>20</v>
      </c>
      <c r="D9514" s="140" t="s">
        <v>37</v>
      </c>
      <c r="E9514" s="140" t="s">
        <v>12</v>
      </c>
      <c r="F9514">
        <v>87131</v>
      </c>
      <c r="G9514" s="140" t="s">
        <v>491</v>
      </c>
      <c r="H9514">
        <v>0</v>
      </c>
      <c r="I9514" s="140" t="s">
        <v>17</v>
      </c>
    </row>
    <row r="9515" spans="1:9" hidden="1" x14ac:dyDescent="0.25">
      <c r="A9515">
        <v>1992</v>
      </c>
      <c r="B9515" s="140" t="s">
        <v>22</v>
      </c>
      <c r="C9515" s="140" t="s">
        <v>20</v>
      </c>
      <c r="D9515" s="140" t="s">
        <v>37</v>
      </c>
      <c r="E9515" s="140" t="s">
        <v>12</v>
      </c>
      <c r="F9515">
        <v>83846</v>
      </c>
      <c r="G9515" s="140" t="s">
        <v>491</v>
      </c>
      <c r="H9515">
        <v>0</v>
      </c>
      <c r="I9515" s="140" t="s">
        <v>17</v>
      </c>
    </row>
    <row r="9516" spans="1:9" hidden="1" x14ac:dyDescent="0.25">
      <c r="A9516">
        <v>1993</v>
      </c>
      <c r="B9516" s="140" t="s">
        <v>22</v>
      </c>
      <c r="C9516" s="140" t="s">
        <v>20</v>
      </c>
      <c r="D9516" s="140" t="s">
        <v>37</v>
      </c>
      <c r="E9516" s="140" t="s">
        <v>12</v>
      </c>
      <c r="F9516">
        <v>82308</v>
      </c>
      <c r="G9516" s="140" t="s">
        <v>491</v>
      </c>
      <c r="H9516">
        <v>0</v>
      </c>
      <c r="I9516" s="140" t="s">
        <v>17</v>
      </c>
    </row>
    <row r="9517" spans="1:9" hidden="1" x14ac:dyDescent="0.25">
      <c r="A9517">
        <v>1994</v>
      </c>
      <c r="B9517" s="140" t="s">
        <v>22</v>
      </c>
      <c r="C9517" s="140" t="s">
        <v>20</v>
      </c>
      <c r="D9517" s="140" t="s">
        <v>37</v>
      </c>
      <c r="E9517" s="140" t="s">
        <v>12</v>
      </c>
      <c r="F9517">
        <v>84751</v>
      </c>
      <c r="G9517" s="140" t="s">
        <v>491</v>
      </c>
      <c r="H9517">
        <v>0</v>
      </c>
      <c r="I9517" s="140" t="s">
        <v>17</v>
      </c>
    </row>
    <row r="9518" spans="1:9" hidden="1" x14ac:dyDescent="0.25">
      <c r="A9518">
        <v>1995</v>
      </c>
      <c r="B9518" s="140" t="s">
        <v>22</v>
      </c>
      <c r="C9518" s="140" t="s">
        <v>20</v>
      </c>
      <c r="D9518" s="140" t="s">
        <v>37</v>
      </c>
      <c r="E9518" s="140" t="s">
        <v>12</v>
      </c>
      <c r="F9518">
        <v>89055</v>
      </c>
      <c r="G9518" s="140" t="s">
        <v>491</v>
      </c>
      <c r="H9518">
        <v>0</v>
      </c>
      <c r="I9518" s="140" t="s">
        <v>17</v>
      </c>
    </row>
    <row r="9519" spans="1:9" hidden="1" x14ac:dyDescent="0.25">
      <c r="A9519">
        <v>1996</v>
      </c>
      <c r="B9519" s="140" t="s">
        <v>22</v>
      </c>
      <c r="C9519" s="140" t="s">
        <v>20</v>
      </c>
      <c r="D9519" s="140" t="s">
        <v>37</v>
      </c>
      <c r="E9519" s="140" t="s">
        <v>12</v>
      </c>
      <c r="F9519">
        <v>92268</v>
      </c>
      <c r="G9519" s="140" t="s">
        <v>491</v>
      </c>
      <c r="H9519">
        <v>0</v>
      </c>
      <c r="I9519" s="140" t="s">
        <v>17</v>
      </c>
    </row>
    <row r="9520" spans="1:9" hidden="1" x14ac:dyDescent="0.25">
      <c r="A9520">
        <v>1997</v>
      </c>
      <c r="B9520" s="140" t="s">
        <v>22</v>
      </c>
      <c r="C9520" s="140" t="s">
        <v>20</v>
      </c>
      <c r="D9520" s="140" t="s">
        <v>37</v>
      </c>
      <c r="E9520" s="140" t="s">
        <v>12</v>
      </c>
      <c r="F9520">
        <v>96478</v>
      </c>
      <c r="G9520" s="140" t="s">
        <v>491</v>
      </c>
      <c r="H9520">
        <v>0</v>
      </c>
      <c r="I9520" s="140" t="s">
        <v>17</v>
      </c>
    </row>
    <row r="9521" spans="1:9" hidden="1" x14ac:dyDescent="0.25">
      <c r="A9521">
        <v>1998</v>
      </c>
      <c r="B9521" s="140" t="s">
        <v>22</v>
      </c>
      <c r="C9521" s="140" t="s">
        <v>20</v>
      </c>
      <c r="D9521" s="140" t="s">
        <v>37</v>
      </c>
      <c r="E9521" s="140" t="s">
        <v>12</v>
      </c>
      <c r="F9521">
        <v>100815</v>
      </c>
      <c r="G9521" s="140" t="s">
        <v>491</v>
      </c>
      <c r="H9521">
        <v>0</v>
      </c>
      <c r="I9521" s="140" t="s">
        <v>17</v>
      </c>
    </row>
    <row r="9522" spans="1:9" hidden="1" x14ac:dyDescent="0.25">
      <c r="A9522">
        <v>1999</v>
      </c>
      <c r="B9522" s="140" t="s">
        <v>22</v>
      </c>
      <c r="C9522" s="140" t="s">
        <v>20</v>
      </c>
      <c r="D9522" s="140" t="s">
        <v>37</v>
      </c>
      <c r="E9522" s="140" t="s">
        <v>12</v>
      </c>
      <c r="F9522">
        <v>104526</v>
      </c>
      <c r="G9522" s="140" t="s">
        <v>491</v>
      </c>
      <c r="H9522">
        <v>0</v>
      </c>
      <c r="I9522" s="140" t="s">
        <v>17</v>
      </c>
    </row>
    <row r="9523" spans="1:9" hidden="1" x14ac:dyDescent="0.25">
      <c r="A9523">
        <v>2000</v>
      </c>
      <c r="B9523" s="140" t="s">
        <v>22</v>
      </c>
      <c r="C9523" s="140" t="s">
        <v>20</v>
      </c>
      <c r="D9523" s="140" t="s">
        <v>37</v>
      </c>
      <c r="E9523" s="140" t="s">
        <v>12</v>
      </c>
      <c r="F9523">
        <v>108633</v>
      </c>
      <c r="G9523" s="140" t="s">
        <v>491</v>
      </c>
      <c r="H9523">
        <v>0</v>
      </c>
      <c r="I9523" s="140" t="s">
        <v>17</v>
      </c>
    </row>
    <row r="9524" spans="1:9" hidden="1" x14ac:dyDescent="0.25">
      <c r="A9524">
        <v>2001</v>
      </c>
      <c r="B9524" s="140" t="s">
        <v>22</v>
      </c>
      <c r="C9524" s="140" t="s">
        <v>20</v>
      </c>
      <c r="D9524" s="140" t="s">
        <v>37</v>
      </c>
      <c r="E9524" s="140" t="s">
        <v>12</v>
      </c>
      <c r="F9524">
        <v>112509</v>
      </c>
      <c r="G9524" s="140" t="s">
        <v>491</v>
      </c>
      <c r="H9524">
        <v>0</v>
      </c>
      <c r="I9524" s="140" t="s">
        <v>17</v>
      </c>
    </row>
    <row r="9525" spans="1:9" hidden="1" x14ac:dyDescent="0.25">
      <c r="A9525">
        <v>2002</v>
      </c>
      <c r="B9525" s="140" t="s">
        <v>22</v>
      </c>
      <c r="C9525" s="140" t="s">
        <v>20</v>
      </c>
      <c r="D9525" s="140" t="s">
        <v>37</v>
      </c>
      <c r="E9525" s="140" t="s">
        <v>12</v>
      </c>
      <c r="F9525">
        <v>113051</v>
      </c>
      <c r="G9525" s="140" t="s">
        <v>491</v>
      </c>
      <c r="H9525">
        <v>0</v>
      </c>
      <c r="I9525" s="140" t="s">
        <v>17</v>
      </c>
    </row>
    <row r="9526" spans="1:9" hidden="1" x14ac:dyDescent="0.25">
      <c r="A9526">
        <v>2003</v>
      </c>
      <c r="B9526" s="140" t="s">
        <v>22</v>
      </c>
      <c r="C9526" s="140" t="s">
        <v>20</v>
      </c>
      <c r="D9526" s="140" t="s">
        <v>37</v>
      </c>
      <c r="E9526" s="140" t="s">
        <v>12</v>
      </c>
      <c r="F9526">
        <v>113401</v>
      </c>
      <c r="G9526" s="140" t="s">
        <v>491</v>
      </c>
      <c r="H9526">
        <v>0</v>
      </c>
      <c r="I9526" s="140" t="s">
        <v>17</v>
      </c>
    </row>
    <row r="9527" spans="1:9" hidden="1" x14ac:dyDescent="0.25">
      <c r="A9527">
        <v>2004</v>
      </c>
      <c r="B9527" s="140" t="s">
        <v>22</v>
      </c>
      <c r="C9527" s="140" t="s">
        <v>20</v>
      </c>
      <c r="D9527" s="140" t="s">
        <v>37</v>
      </c>
      <c r="E9527" s="140" t="s">
        <v>12</v>
      </c>
      <c r="F9527">
        <v>117430</v>
      </c>
      <c r="G9527" s="140" t="s">
        <v>491</v>
      </c>
      <c r="H9527">
        <v>0</v>
      </c>
      <c r="I9527" s="140" t="s">
        <v>17</v>
      </c>
    </row>
    <row r="9528" spans="1:9" hidden="1" x14ac:dyDescent="0.25">
      <c r="A9528">
        <v>2005</v>
      </c>
      <c r="B9528" s="140" t="s">
        <v>22</v>
      </c>
      <c r="C9528" s="140" t="s">
        <v>20</v>
      </c>
      <c r="D9528" s="140" t="s">
        <v>37</v>
      </c>
      <c r="E9528" s="140" t="s">
        <v>12</v>
      </c>
      <c r="F9528">
        <v>119668</v>
      </c>
      <c r="G9528" s="140" t="s">
        <v>491</v>
      </c>
      <c r="H9528">
        <v>0</v>
      </c>
      <c r="I9528" s="140" t="s">
        <v>17</v>
      </c>
    </row>
    <row r="9529" spans="1:9" hidden="1" x14ac:dyDescent="0.25">
      <c r="A9529">
        <v>2006</v>
      </c>
      <c r="B9529" s="140" t="s">
        <v>22</v>
      </c>
      <c r="C9529" s="140" t="s">
        <v>20</v>
      </c>
      <c r="D9529" s="140" t="s">
        <v>37</v>
      </c>
      <c r="E9529" s="140" t="s">
        <v>12</v>
      </c>
      <c r="F9529">
        <v>121084</v>
      </c>
      <c r="G9529" s="140" t="s">
        <v>491</v>
      </c>
      <c r="H9529">
        <v>0</v>
      </c>
      <c r="I9529" s="140" t="s">
        <v>17</v>
      </c>
    </row>
    <row r="9530" spans="1:9" hidden="1" x14ac:dyDescent="0.25">
      <c r="A9530">
        <v>2007</v>
      </c>
      <c r="B9530" s="140" t="s">
        <v>22</v>
      </c>
      <c r="C9530" s="140" t="s">
        <v>20</v>
      </c>
      <c r="D9530" s="140" t="s">
        <v>37</v>
      </c>
      <c r="E9530" s="140" t="s">
        <v>12</v>
      </c>
      <c r="F9530">
        <v>126720</v>
      </c>
      <c r="G9530" s="140" t="s">
        <v>491</v>
      </c>
      <c r="H9530">
        <v>0</v>
      </c>
      <c r="I9530" s="140" t="s">
        <v>17</v>
      </c>
    </row>
    <row r="9531" spans="1:9" hidden="1" x14ac:dyDescent="0.25">
      <c r="A9531">
        <v>2008</v>
      </c>
      <c r="B9531" s="140" t="s">
        <v>22</v>
      </c>
      <c r="C9531" s="140" t="s">
        <v>20</v>
      </c>
      <c r="D9531" s="140" t="s">
        <v>37</v>
      </c>
      <c r="E9531" s="140" t="s">
        <v>12</v>
      </c>
      <c r="F9531">
        <v>130380</v>
      </c>
      <c r="G9531" s="140" t="s">
        <v>491</v>
      </c>
      <c r="H9531">
        <v>0</v>
      </c>
      <c r="I9531" s="140" t="s">
        <v>17</v>
      </c>
    </row>
    <row r="9532" spans="1:9" hidden="1" x14ac:dyDescent="0.25">
      <c r="A9532">
        <v>2009</v>
      </c>
      <c r="B9532" s="140" t="s">
        <v>22</v>
      </c>
      <c r="C9532" s="140" t="s">
        <v>20</v>
      </c>
      <c r="D9532" s="140" t="s">
        <v>37</v>
      </c>
      <c r="E9532" s="140" t="s">
        <v>12</v>
      </c>
      <c r="F9532">
        <v>124657</v>
      </c>
      <c r="G9532" s="140" t="s">
        <v>491</v>
      </c>
      <c r="H9532">
        <v>0</v>
      </c>
      <c r="I9532" s="140" t="s">
        <v>17</v>
      </c>
    </row>
    <row r="9533" spans="1:9" hidden="1" x14ac:dyDescent="0.25">
      <c r="A9533">
        <v>2010</v>
      </c>
      <c r="B9533" s="140" t="s">
        <v>22</v>
      </c>
      <c r="C9533" s="140" t="s">
        <v>20</v>
      </c>
      <c r="D9533" s="140" t="s">
        <v>37</v>
      </c>
      <c r="E9533" s="140" t="s">
        <v>12</v>
      </c>
      <c r="F9533">
        <v>126186</v>
      </c>
      <c r="G9533" s="140" t="s">
        <v>491</v>
      </c>
      <c r="H9533">
        <v>0</v>
      </c>
      <c r="I9533" s="140" t="s">
        <v>17</v>
      </c>
    </row>
    <row r="9534" spans="1:9" hidden="1" x14ac:dyDescent="0.25">
      <c r="A9534">
        <v>2011</v>
      </c>
      <c r="B9534" s="140" t="s">
        <v>22</v>
      </c>
      <c r="C9534" s="140" t="s">
        <v>20</v>
      </c>
      <c r="D9534" s="140" t="s">
        <v>37</v>
      </c>
      <c r="E9534" s="140" t="s">
        <v>12</v>
      </c>
      <c r="F9534">
        <v>129593</v>
      </c>
      <c r="G9534" s="140" t="s">
        <v>491</v>
      </c>
      <c r="H9534">
        <v>0</v>
      </c>
      <c r="I9534" s="140" t="s">
        <v>17</v>
      </c>
    </row>
    <row r="9535" spans="1:9" hidden="1" x14ac:dyDescent="0.25">
      <c r="A9535">
        <v>2012</v>
      </c>
      <c r="B9535" s="140" t="s">
        <v>22</v>
      </c>
      <c r="C9535" s="140" t="s">
        <v>20</v>
      </c>
      <c r="D9535" s="140" t="s">
        <v>37</v>
      </c>
      <c r="E9535" s="140" t="s">
        <v>12</v>
      </c>
      <c r="F9535">
        <v>130309</v>
      </c>
      <c r="G9535" s="140" t="s">
        <v>491</v>
      </c>
      <c r="H9535">
        <v>0</v>
      </c>
      <c r="I9535" s="140" t="s">
        <v>17</v>
      </c>
    </row>
    <row r="9536" spans="1:9" hidden="1" x14ac:dyDescent="0.25">
      <c r="A9536">
        <v>2013</v>
      </c>
      <c r="B9536" s="140" t="s">
        <v>22</v>
      </c>
      <c r="C9536" s="140" t="s">
        <v>20</v>
      </c>
      <c r="D9536" s="140" t="s">
        <v>37</v>
      </c>
      <c r="E9536" s="140" t="s">
        <v>12</v>
      </c>
      <c r="F9536">
        <v>128486</v>
      </c>
      <c r="G9536" s="140" t="s">
        <v>491</v>
      </c>
      <c r="H9536">
        <v>0</v>
      </c>
      <c r="I9536" s="140" t="s">
        <v>17</v>
      </c>
    </row>
    <row r="9537" spans="1:9" hidden="1" x14ac:dyDescent="0.25">
      <c r="A9537">
        <v>2014</v>
      </c>
      <c r="B9537" s="140" t="s">
        <v>22</v>
      </c>
      <c r="C9537" s="140" t="s">
        <v>20</v>
      </c>
      <c r="D9537" s="140" t="s">
        <v>37</v>
      </c>
      <c r="E9537" s="140" t="s">
        <v>12</v>
      </c>
      <c r="F9537">
        <v>127983</v>
      </c>
      <c r="G9537" s="140" t="s">
        <v>491</v>
      </c>
      <c r="H9537">
        <v>0</v>
      </c>
      <c r="I9537" s="140" t="s">
        <v>17</v>
      </c>
    </row>
    <row r="9538" spans="1:9" hidden="1" x14ac:dyDescent="0.25">
      <c r="A9538">
        <v>2015</v>
      </c>
      <c r="B9538" s="140" t="s">
        <v>22</v>
      </c>
      <c r="C9538" s="140" t="s">
        <v>20</v>
      </c>
      <c r="D9538" s="140" t="s">
        <v>37</v>
      </c>
      <c r="E9538" s="140" t="s">
        <v>12</v>
      </c>
      <c r="F9538">
        <v>128092</v>
      </c>
      <c r="G9538" s="140" t="s">
        <v>491</v>
      </c>
      <c r="H9538">
        <v>0</v>
      </c>
      <c r="I9538" s="140" t="s">
        <v>17</v>
      </c>
    </row>
    <row r="9539" spans="1:9" hidden="1" x14ac:dyDescent="0.25">
      <c r="A9539">
        <v>2016</v>
      </c>
      <c r="B9539" s="140" t="s">
        <v>22</v>
      </c>
      <c r="C9539" s="140" t="s">
        <v>20</v>
      </c>
      <c r="D9539" s="140" t="s">
        <v>37</v>
      </c>
      <c r="E9539" s="140" t="s">
        <v>12</v>
      </c>
      <c r="F9539">
        <v>130584</v>
      </c>
      <c r="G9539" s="140" t="s">
        <v>491</v>
      </c>
      <c r="H9539">
        <v>0</v>
      </c>
      <c r="I9539" s="140" t="s">
        <v>17</v>
      </c>
    </row>
    <row r="9540" spans="1:9" hidden="1" x14ac:dyDescent="0.25">
      <c r="A9540">
        <v>2017</v>
      </c>
      <c r="B9540" s="140" t="s">
        <v>22</v>
      </c>
      <c r="C9540" s="140" t="s">
        <v>20</v>
      </c>
      <c r="D9540" s="140" t="s">
        <v>37</v>
      </c>
      <c r="E9540" s="140" t="s">
        <v>12</v>
      </c>
      <c r="F9540">
        <v>134141</v>
      </c>
      <c r="G9540" s="140" t="s">
        <v>491</v>
      </c>
      <c r="H9540">
        <v>0</v>
      </c>
      <c r="I9540" s="140" t="s">
        <v>17</v>
      </c>
    </row>
    <row r="9541" spans="1:9" hidden="1" x14ac:dyDescent="0.25">
      <c r="A9541">
        <v>2018</v>
      </c>
      <c r="B9541" s="140" t="s">
        <v>22</v>
      </c>
      <c r="C9541" s="140" t="s">
        <v>20</v>
      </c>
      <c r="D9541" s="140" t="s">
        <v>37</v>
      </c>
      <c r="E9541" s="140" t="s">
        <v>12</v>
      </c>
      <c r="F9541">
        <v>136870</v>
      </c>
      <c r="G9541" s="140" t="s">
        <v>491</v>
      </c>
      <c r="H9541">
        <v>0</v>
      </c>
      <c r="I9541" s="140" t="s">
        <v>17</v>
      </c>
    </row>
    <row r="9542" spans="1:9" hidden="1" x14ac:dyDescent="0.25">
      <c r="A9542">
        <v>2019</v>
      </c>
      <c r="B9542" s="140" t="s">
        <v>22</v>
      </c>
      <c r="C9542" s="140" t="s">
        <v>20</v>
      </c>
      <c r="D9542" s="140" t="s">
        <v>37</v>
      </c>
      <c r="E9542" s="140" t="s">
        <v>12</v>
      </c>
      <c r="F9542">
        <v>138765</v>
      </c>
      <c r="G9542" s="140" t="s">
        <v>491</v>
      </c>
      <c r="H9542">
        <v>0</v>
      </c>
      <c r="I9542" s="140" t="s">
        <v>17</v>
      </c>
    </row>
    <row r="9543" spans="1:9" hidden="1" x14ac:dyDescent="0.25">
      <c r="A9543">
        <v>2020</v>
      </c>
      <c r="B9543" s="140" t="s">
        <v>22</v>
      </c>
      <c r="C9543" s="140" t="s">
        <v>20</v>
      </c>
      <c r="D9543" s="140" t="s">
        <v>37</v>
      </c>
      <c r="E9543" s="140" t="s">
        <v>12</v>
      </c>
      <c r="F9543">
        <v>134869</v>
      </c>
      <c r="G9543" s="140" t="s">
        <v>491</v>
      </c>
      <c r="H9543">
        <v>0</v>
      </c>
      <c r="I9543" s="140" t="s">
        <v>17</v>
      </c>
    </row>
    <row r="9544" spans="1:9" hidden="1" x14ac:dyDescent="0.25">
      <c r="A9544">
        <v>2021</v>
      </c>
      <c r="B9544" s="140" t="s">
        <v>22</v>
      </c>
      <c r="C9544" s="140" t="s">
        <v>20</v>
      </c>
      <c r="D9544" s="140" t="s">
        <v>37</v>
      </c>
      <c r="E9544" s="140" t="s">
        <v>12</v>
      </c>
      <c r="F9544">
        <v>140647</v>
      </c>
      <c r="G9544" s="140" t="s">
        <v>491</v>
      </c>
      <c r="H9544">
        <v>0</v>
      </c>
      <c r="I9544" s="140" t="s">
        <v>17</v>
      </c>
    </row>
    <row r="9545" spans="1:9" hidden="1" x14ac:dyDescent="0.25">
      <c r="A9545">
        <v>2022</v>
      </c>
      <c r="B9545" s="140" t="s">
        <v>22</v>
      </c>
      <c r="C9545" s="140" t="s">
        <v>20</v>
      </c>
      <c r="D9545" s="140" t="s">
        <v>37</v>
      </c>
      <c r="E9545" s="140" t="s">
        <v>12</v>
      </c>
      <c r="F9545">
        <v>144809</v>
      </c>
      <c r="G9545" s="140" t="s">
        <v>491</v>
      </c>
      <c r="H9545">
        <v>0</v>
      </c>
      <c r="I9545" s="140" t="s">
        <v>17</v>
      </c>
    </row>
    <row r="9546" spans="1:9" hidden="1" x14ac:dyDescent="0.25">
      <c r="A9546">
        <v>2023</v>
      </c>
      <c r="B9546" s="140" t="s">
        <v>22</v>
      </c>
      <c r="C9546" s="140" t="s">
        <v>20</v>
      </c>
      <c r="D9546" s="140" t="s">
        <v>37</v>
      </c>
      <c r="E9546" s="140" t="s">
        <v>12</v>
      </c>
      <c r="F9546">
        <v>146131</v>
      </c>
      <c r="G9546" s="140" t="s">
        <v>491</v>
      </c>
      <c r="H9546">
        <v>0</v>
      </c>
      <c r="I9546" s="140" t="s">
        <v>17</v>
      </c>
    </row>
    <row r="9547" spans="1:9" hidden="1" x14ac:dyDescent="0.25">
      <c r="A9547">
        <v>2024</v>
      </c>
      <c r="B9547" s="140" t="s">
        <v>22</v>
      </c>
      <c r="C9547" s="140" t="s">
        <v>20</v>
      </c>
      <c r="D9547" s="140" t="s">
        <v>37</v>
      </c>
      <c r="E9547" s="140" t="s">
        <v>12</v>
      </c>
      <c r="F9547">
        <v>146536</v>
      </c>
      <c r="G9547" s="140" t="s">
        <v>491</v>
      </c>
      <c r="H9547">
        <v>0</v>
      </c>
      <c r="I9547" s="140" t="s">
        <v>17</v>
      </c>
    </row>
    <row r="9548" spans="1:9" hidden="1" x14ac:dyDescent="0.25">
      <c r="A9548">
        <v>2025</v>
      </c>
      <c r="B9548" s="140" t="s">
        <v>22</v>
      </c>
      <c r="C9548" s="140" t="s">
        <v>20</v>
      </c>
      <c r="D9548" s="140" t="s">
        <v>37</v>
      </c>
      <c r="E9548" s="140" t="s">
        <v>12</v>
      </c>
      <c r="F9548">
        <v>147562</v>
      </c>
      <c r="G9548" s="140" t="s">
        <v>491</v>
      </c>
      <c r="H9548">
        <v>0</v>
      </c>
      <c r="I9548" s="140" t="s">
        <v>17</v>
      </c>
    </row>
    <row r="9549" spans="1:9" hidden="1" x14ac:dyDescent="0.25">
      <c r="A9549">
        <v>2026</v>
      </c>
      <c r="B9549" s="140" t="s">
        <v>22</v>
      </c>
      <c r="C9549" s="140" t="s">
        <v>20</v>
      </c>
      <c r="D9549" s="140" t="s">
        <v>37</v>
      </c>
      <c r="E9549" s="140" t="s">
        <v>12</v>
      </c>
      <c r="F9549">
        <v>149480.30600000001</v>
      </c>
      <c r="G9549" s="140" t="s">
        <v>491</v>
      </c>
      <c r="H9549">
        <v>0</v>
      </c>
      <c r="I9549" s="140" t="s">
        <v>17</v>
      </c>
    </row>
    <row r="9550" spans="1:9" hidden="1" x14ac:dyDescent="0.25">
      <c r="A9550">
        <v>2027</v>
      </c>
      <c r="B9550" s="140" t="s">
        <v>22</v>
      </c>
      <c r="C9550" s="140" t="s">
        <v>20</v>
      </c>
      <c r="D9550" s="140" t="s">
        <v>37</v>
      </c>
      <c r="E9550" s="140" t="s">
        <v>12</v>
      </c>
      <c r="F9550">
        <v>151573.03030000001</v>
      </c>
      <c r="G9550" s="140" t="s">
        <v>491</v>
      </c>
      <c r="H9550">
        <v>0</v>
      </c>
      <c r="I9550" s="140" t="s">
        <v>17</v>
      </c>
    </row>
    <row r="9551" spans="1:9" hidden="1" x14ac:dyDescent="0.25">
      <c r="A9551">
        <v>2028</v>
      </c>
      <c r="B9551" s="140" t="s">
        <v>22</v>
      </c>
      <c r="C9551" s="140" t="s">
        <v>20</v>
      </c>
      <c r="D9551" s="140" t="s">
        <v>37</v>
      </c>
      <c r="E9551" s="140" t="s">
        <v>12</v>
      </c>
      <c r="F9551">
        <v>153398.21549999999</v>
      </c>
      <c r="G9551" s="140" t="s">
        <v>491</v>
      </c>
      <c r="H9551">
        <v>0</v>
      </c>
      <c r="I9551" s="140" t="s">
        <v>17</v>
      </c>
    </row>
    <row r="9552" spans="1:9" hidden="1" x14ac:dyDescent="0.25">
      <c r="A9552">
        <v>1990</v>
      </c>
      <c r="B9552" s="140" t="s">
        <v>22</v>
      </c>
      <c r="C9552" s="140" t="s">
        <v>20</v>
      </c>
      <c r="D9552" s="140" t="s">
        <v>38</v>
      </c>
      <c r="E9552" s="140" t="s">
        <v>12</v>
      </c>
      <c r="F9552">
        <v>36273</v>
      </c>
      <c r="G9552" s="140" t="s">
        <v>509</v>
      </c>
      <c r="H9552">
        <v>0</v>
      </c>
      <c r="I9552" s="140" t="s">
        <v>17</v>
      </c>
    </row>
    <row r="9553" spans="1:9" hidden="1" x14ac:dyDescent="0.25">
      <c r="A9553">
        <v>1991</v>
      </c>
      <c r="B9553" s="140" t="s">
        <v>22</v>
      </c>
      <c r="C9553" s="140" t="s">
        <v>20</v>
      </c>
      <c r="D9553" s="140" t="s">
        <v>38</v>
      </c>
      <c r="E9553" s="140" t="s">
        <v>12</v>
      </c>
      <c r="F9553">
        <v>36923</v>
      </c>
      <c r="G9553" s="140" t="s">
        <v>509</v>
      </c>
      <c r="H9553">
        <v>0</v>
      </c>
      <c r="I9553" s="140" t="s">
        <v>17</v>
      </c>
    </row>
    <row r="9554" spans="1:9" hidden="1" x14ac:dyDescent="0.25">
      <c r="A9554">
        <v>1992</v>
      </c>
      <c r="B9554" s="140" t="s">
        <v>22</v>
      </c>
      <c r="C9554" s="140" t="s">
        <v>20</v>
      </c>
      <c r="D9554" s="140" t="s">
        <v>38</v>
      </c>
      <c r="E9554" s="140" t="s">
        <v>12</v>
      </c>
      <c r="F9554">
        <v>36346</v>
      </c>
      <c r="G9554" s="140" t="s">
        <v>509</v>
      </c>
      <c r="H9554">
        <v>0</v>
      </c>
      <c r="I9554" s="140" t="s">
        <v>17</v>
      </c>
    </row>
    <row r="9555" spans="1:9" hidden="1" x14ac:dyDescent="0.25">
      <c r="A9555">
        <v>1993</v>
      </c>
      <c r="B9555" s="140" t="s">
        <v>22</v>
      </c>
      <c r="C9555" s="140" t="s">
        <v>20</v>
      </c>
      <c r="D9555" s="140" t="s">
        <v>38</v>
      </c>
      <c r="E9555" s="140" t="s">
        <v>12</v>
      </c>
      <c r="F9555">
        <v>34735</v>
      </c>
      <c r="G9555" s="140" t="s">
        <v>509</v>
      </c>
      <c r="H9555">
        <v>0</v>
      </c>
      <c r="I9555" s="140" t="s">
        <v>17</v>
      </c>
    </row>
    <row r="9556" spans="1:9" hidden="1" x14ac:dyDescent="0.25">
      <c r="A9556">
        <v>1994</v>
      </c>
      <c r="B9556" s="140" t="s">
        <v>22</v>
      </c>
      <c r="C9556" s="140" t="s">
        <v>20</v>
      </c>
      <c r="D9556" s="140" t="s">
        <v>38</v>
      </c>
      <c r="E9556" s="140" t="s">
        <v>12</v>
      </c>
      <c r="F9556">
        <v>34820</v>
      </c>
      <c r="G9556" s="140" t="s">
        <v>509</v>
      </c>
      <c r="H9556">
        <v>0</v>
      </c>
      <c r="I9556" s="140" t="s">
        <v>17</v>
      </c>
    </row>
    <row r="9557" spans="1:9" hidden="1" x14ac:dyDescent="0.25">
      <c r="A9557">
        <v>1995</v>
      </c>
      <c r="B9557" s="140" t="s">
        <v>22</v>
      </c>
      <c r="C9557" s="140" t="s">
        <v>20</v>
      </c>
      <c r="D9557" s="140" t="s">
        <v>38</v>
      </c>
      <c r="E9557" s="140" t="s">
        <v>12</v>
      </c>
      <c r="F9557">
        <v>35758</v>
      </c>
      <c r="G9557" s="140" t="s">
        <v>509</v>
      </c>
      <c r="H9557">
        <v>0</v>
      </c>
      <c r="I9557" s="140" t="s">
        <v>17</v>
      </c>
    </row>
    <row r="9558" spans="1:9" hidden="1" x14ac:dyDescent="0.25">
      <c r="A9558">
        <v>1996</v>
      </c>
      <c r="B9558" s="140" t="s">
        <v>22</v>
      </c>
      <c r="C9558" s="140" t="s">
        <v>20</v>
      </c>
      <c r="D9558" s="140" t="s">
        <v>38</v>
      </c>
      <c r="E9558" s="140" t="s">
        <v>12</v>
      </c>
      <c r="F9558">
        <v>36737</v>
      </c>
      <c r="G9558" s="140" t="s">
        <v>509</v>
      </c>
      <c r="H9558">
        <v>0</v>
      </c>
      <c r="I9558" s="140" t="s">
        <v>17</v>
      </c>
    </row>
    <row r="9559" spans="1:9" hidden="1" x14ac:dyDescent="0.25">
      <c r="A9559">
        <v>1997</v>
      </c>
      <c r="B9559" s="140" t="s">
        <v>22</v>
      </c>
      <c r="C9559" s="140" t="s">
        <v>20</v>
      </c>
      <c r="D9559" s="140" t="s">
        <v>38</v>
      </c>
      <c r="E9559" s="140" t="s">
        <v>12</v>
      </c>
      <c r="F9559">
        <v>37656</v>
      </c>
      <c r="G9559" s="140" t="s">
        <v>509</v>
      </c>
      <c r="H9559">
        <v>0</v>
      </c>
      <c r="I9559" s="140" t="s">
        <v>17</v>
      </c>
    </row>
    <row r="9560" spans="1:9" hidden="1" x14ac:dyDescent="0.25">
      <c r="A9560">
        <v>1998</v>
      </c>
      <c r="B9560" s="140" t="s">
        <v>22</v>
      </c>
      <c r="C9560" s="140" t="s">
        <v>20</v>
      </c>
      <c r="D9560" s="140" t="s">
        <v>38</v>
      </c>
      <c r="E9560" s="140" t="s">
        <v>12</v>
      </c>
      <c r="F9560">
        <v>37926</v>
      </c>
      <c r="G9560" s="140" t="s">
        <v>509</v>
      </c>
      <c r="H9560">
        <v>0</v>
      </c>
      <c r="I9560" s="140" t="s">
        <v>17</v>
      </c>
    </row>
    <row r="9561" spans="1:9" hidden="1" x14ac:dyDescent="0.25">
      <c r="A9561">
        <v>1999</v>
      </c>
      <c r="B9561" s="140" t="s">
        <v>22</v>
      </c>
      <c r="C9561" s="140" t="s">
        <v>20</v>
      </c>
      <c r="D9561" s="140" t="s">
        <v>38</v>
      </c>
      <c r="E9561" s="140" t="s">
        <v>12</v>
      </c>
      <c r="F9561">
        <v>37841</v>
      </c>
      <c r="G9561" s="140" t="s">
        <v>509</v>
      </c>
      <c r="H9561">
        <v>0</v>
      </c>
      <c r="I9561" s="140" t="s">
        <v>17</v>
      </c>
    </row>
    <row r="9562" spans="1:9" hidden="1" x14ac:dyDescent="0.25">
      <c r="A9562">
        <v>2000</v>
      </c>
      <c r="B9562" s="140" t="s">
        <v>22</v>
      </c>
      <c r="C9562" s="140" t="s">
        <v>20</v>
      </c>
      <c r="D9562" s="140" t="s">
        <v>38</v>
      </c>
      <c r="E9562" s="140" t="s">
        <v>12</v>
      </c>
      <c r="F9562">
        <v>38470</v>
      </c>
      <c r="G9562" s="140" t="s">
        <v>509</v>
      </c>
      <c r="H9562">
        <v>0</v>
      </c>
      <c r="I9562" s="140" t="s">
        <v>17</v>
      </c>
    </row>
    <row r="9563" spans="1:9" hidden="1" x14ac:dyDescent="0.25">
      <c r="A9563">
        <v>2001</v>
      </c>
      <c r="B9563" s="140" t="s">
        <v>22</v>
      </c>
      <c r="C9563" s="140" t="s">
        <v>20</v>
      </c>
      <c r="D9563" s="140" t="s">
        <v>38</v>
      </c>
      <c r="E9563" s="140" t="s">
        <v>12</v>
      </c>
      <c r="F9563">
        <v>38406</v>
      </c>
      <c r="G9563" s="140" t="s">
        <v>509</v>
      </c>
      <c r="H9563">
        <v>0</v>
      </c>
      <c r="I9563" s="140" t="s">
        <v>17</v>
      </c>
    </row>
    <row r="9564" spans="1:9" hidden="1" x14ac:dyDescent="0.25">
      <c r="A9564">
        <v>2002</v>
      </c>
      <c r="B9564" s="140" t="s">
        <v>22</v>
      </c>
      <c r="C9564" s="140" t="s">
        <v>20</v>
      </c>
      <c r="D9564" s="140" t="s">
        <v>38</v>
      </c>
      <c r="E9564" s="140" t="s">
        <v>12</v>
      </c>
      <c r="F9564">
        <v>38644</v>
      </c>
      <c r="G9564" s="140" t="s">
        <v>509</v>
      </c>
      <c r="H9564">
        <v>0</v>
      </c>
      <c r="I9564" s="140" t="s">
        <v>17</v>
      </c>
    </row>
    <row r="9565" spans="1:9" hidden="1" x14ac:dyDescent="0.25">
      <c r="A9565">
        <v>2003</v>
      </c>
      <c r="B9565" s="140" t="s">
        <v>22</v>
      </c>
      <c r="C9565" s="140" t="s">
        <v>20</v>
      </c>
      <c r="D9565" s="140" t="s">
        <v>38</v>
      </c>
      <c r="E9565" s="140" t="s">
        <v>12</v>
      </c>
      <c r="F9565">
        <v>38698</v>
      </c>
      <c r="G9565" s="140" t="s">
        <v>509</v>
      </c>
      <c r="H9565">
        <v>0</v>
      </c>
      <c r="I9565" s="140" t="s">
        <v>17</v>
      </c>
    </row>
    <row r="9566" spans="1:9" hidden="1" x14ac:dyDescent="0.25">
      <c r="A9566">
        <v>2004</v>
      </c>
      <c r="B9566" s="140" t="s">
        <v>22</v>
      </c>
      <c r="C9566" s="140" t="s">
        <v>20</v>
      </c>
      <c r="D9566" s="140" t="s">
        <v>38</v>
      </c>
      <c r="E9566" s="140" t="s">
        <v>12</v>
      </c>
      <c r="F9566">
        <v>38443</v>
      </c>
      <c r="G9566" s="140" t="s">
        <v>509</v>
      </c>
      <c r="H9566">
        <v>0</v>
      </c>
      <c r="I9566" s="140" t="s">
        <v>17</v>
      </c>
    </row>
    <row r="9567" spans="1:9" hidden="1" x14ac:dyDescent="0.25">
      <c r="A9567">
        <v>2005</v>
      </c>
      <c r="B9567" s="140" t="s">
        <v>22</v>
      </c>
      <c r="C9567" s="140" t="s">
        <v>20</v>
      </c>
      <c r="D9567" s="140" t="s">
        <v>38</v>
      </c>
      <c r="E9567" s="140" t="s">
        <v>12</v>
      </c>
      <c r="F9567">
        <v>38509</v>
      </c>
      <c r="G9567" s="140" t="s">
        <v>509</v>
      </c>
      <c r="H9567">
        <v>0</v>
      </c>
      <c r="I9567" s="140" t="s">
        <v>17</v>
      </c>
    </row>
    <row r="9568" spans="1:9" hidden="1" x14ac:dyDescent="0.25">
      <c r="A9568">
        <v>2006</v>
      </c>
      <c r="B9568" s="140" t="s">
        <v>22</v>
      </c>
      <c r="C9568" s="140" t="s">
        <v>20</v>
      </c>
      <c r="D9568" s="140" t="s">
        <v>38</v>
      </c>
      <c r="E9568" s="140" t="s">
        <v>12</v>
      </c>
      <c r="F9568">
        <v>38441</v>
      </c>
      <c r="G9568" s="140" t="s">
        <v>509</v>
      </c>
      <c r="H9568">
        <v>0</v>
      </c>
      <c r="I9568" s="140" t="s">
        <v>17</v>
      </c>
    </row>
    <row r="9569" spans="1:9" hidden="1" x14ac:dyDescent="0.25">
      <c r="A9569">
        <v>2007</v>
      </c>
      <c r="B9569" s="140" t="s">
        <v>22</v>
      </c>
      <c r="C9569" s="140" t="s">
        <v>20</v>
      </c>
      <c r="D9569" s="140" t="s">
        <v>38</v>
      </c>
      <c r="E9569" s="140" t="s">
        <v>12</v>
      </c>
      <c r="F9569">
        <v>38287</v>
      </c>
      <c r="G9569" s="140" t="s">
        <v>509</v>
      </c>
      <c r="H9569">
        <v>0</v>
      </c>
      <c r="I9569" s="140" t="s">
        <v>17</v>
      </c>
    </row>
    <row r="9570" spans="1:9" hidden="1" x14ac:dyDescent="0.25">
      <c r="A9570">
        <v>2008</v>
      </c>
      <c r="B9570" s="140" t="s">
        <v>22</v>
      </c>
      <c r="C9570" s="140" t="s">
        <v>20</v>
      </c>
      <c r="D9570" s="140" t="s">
        <v>38</v>
      </c>
      <c r="E9570" s="140" t="s">
        <v>12</v>
      </c>
      <c r="F9570">
        <v>38169</v>
      </c>
      <c r="G9570" s="140" t="s">
        <v>509</v>
      </c>
      <c r="H9570">
        <v>0</v>
      </c>
      <c r="I9570" s="140" t="s">
        <v>17</v>
      </c>
    </row>
    <row r="9571" spans="1:9" hidden="1" x14ac:dyDescent="0.25">
      <c r="A9571">
        <v>2009</v>
      </c>
      <c r="B9571" s="140" t="s">
        <v>22</v>
      </c>
      <c r="C9571" s="140" t="s">
        <v>20</v>
      </c>
      <c r="D9571" s="140" t="s">
        <v>38</v>
      </c>
      <c r="E9571" s="140" t="s">
        <v>12</v>
      </c>
      <c r="F9571">
        <v>37818</v>
      </c>
      <c r="G9571" s="140" t="s">
        <v>509</v>
      </c>
      <c r="H9571">
        <v>0</v>
      </c>
      <c r="I9571" s="140" t="s">
        <v>17</v>
      </c>
    </row>
    <row r="9572" spans="1:9" hidden="1" x14ac:dyDescent="0.25">
      <c r="A9572">
        <v>2010</v>
      </c>
      <c r="B9572" s="140" t="s">
        <v>22</v>
      </c>
      <c r="C9572" s="140" t="s">
        <v>20</v>
      </c>
      <c r="D9572" s="140" t="s">
        <v>38</v>
      </c>
      <c r="E9572" s="140" t="s">
        <v>12</v>
      </c>
      <c r="F9572">
        <v>37747</v>
      </c>
      <c r="G9572" s="140" t="s">
        <v>509</v>
      </c>
      <c r="H9572">
        <v>0</v>
      </c>
      <c r="I9572" s="140" t="s">
        <v>17</v>
      </c>
    </row>
    <row r="9573" spans="1:9" hidden="1" x14ac:dyDescent="0.25">
      <c r="A9573">
        <v>2011</v>
      </c>
      <c r="B9573" s="140" t="s">
        <v>22</v>
      </c>
      <c r="C9573" s="140" t="s">
        <v>20</v>
      </c>
      <c r="D9573" s="140" t="s">
        <v>38</v>
      </c>
      <c r="E9573" s="140" t="s">
        <v>12</v>
      </c>
      <c r="F9573">
        <v>37699</v>
      </c>
      <c r="G9573" s="140" t="s">
        <v>509</v>
      </c>
      <c r="H9573">
        <v>0</v>
      </c>
      <c r="I9573" s="140" t="s">
        <v>17</v>
      </c>
    </row>
    <row r="9574" spans="1:9" hidden="1" x14ac:dyDescent="0.25">
      <c r="A9574">
        <v>2012</v>
      </c>
      <c r="B9574" s="140" t="s">
        <v>22</v>
      </c>
      <c r="C9574" s="140" t="s">
        <v>20</v>
      </c>
      <c r="D9574" s="140" t="s">
        <v>38</v>
      </c>
      <c r="E9574" s="140" t="s">
        <v>12</v>
      </c>
      <c r="F9574">
        <v>37344</v>
      </c>
      <c r="G9574" s="140" t="s">
        <v>509</v>
      </c>
      <c r="H9574">
        <v>0</v>
      </c>
      <c r="I9574" s="140" t="s">
        <v>17</v>
      </c>
    </row>
    <row r="9575" spans="1:9" hidden="1" x14ac:dyDescent="0.25">
      <c r="A9575">
        <v>2013</v>
      </c>
      <c r="B9575" s="140" t="s">
        <v>22</v>
      </c>
      <c r="C9575" s="140" t="s">
        <v>20</v>
      </c>
      <c r="D9575" s="140" t="s">
        <v>38</v>
      </c>
      <c r="E9575" s="140" t="s">
        <v>12</v>
      </c>
      <c r="F9575">
        <v>37441</v>
      </c>
      <c r="G9575" s="140" t="s">
        <v>509</v>
      </c>
      <c r="H9575">
        <v>0</v>
      </c>
      <c r="I9575" s="140" t="s">
        <v>17</v>
      </c>
    </row>
    <row r="9576" spans="1:9" hidden="1" x14ac:dyDescent="0.25">
      <c r="A9576">
        <v>2014</v>
      </c>
      <c r="B9576" s="140" t="s">
        <v>22</v>
      </c>
      <c r="C9576" s="140" t="s">
        <v>20</v>
      </c>
      <c r="D9576" s="140" t="s">
        <v>38</v>
      </c>
      <c r="E9576" s="140" t="s">
        <v>12</v>
      </c>
      <c r="F9576">
        <v>37146</v>
      </c>
      <c r="G9576" s="140" t="s">
        <v>509</v>
      </c>
      <c r="H9576">
        <v>0</v>
      </c>
      <c r="I9576" s="140" t="s">
        <v>17</v>
      </c>
    </row>
    <row r="9577" spans="1:9" hidden="1" x14ac:dyDescent="0.25">
      <c r="A9577">
        <v>2015</v>
      </c>
      <c r="B9577" s="140" t="s">
        <v>22</v>
      </c>
      <c r="C9577" s="140" t="s">
        <v>20</v>
      </c>
      <c r="D9577" s="140" t="s">
        <v>38</v>
      </c>
      <c r="E9577" s="140" t="s">
        <v>12</v>
      </c>
      <c r="F9577">
        <v>36791</v>
      </c>
      <c r="G9577" s="140" t="s">
        <v>509</v>
      </c>
      <c r="H9577">
        <v>0</v>
      </c>
      <c r="I9577" s="140" t="s">
        <v>17</v>
      </c>
    </row>
    <row r="9578" spans="1:9" hidden="1" x14ac:dyDescent="0.25">
      <c r="A9578">
        <v>2016</v>
      </c>
      <c r="B9578" s="140" t="s">
        <v>22</v>
      </c>
      <c r="C9578" s="140" t="s">
        <v>20</v>
      </c>
      <c r="D9578" s="140" t="s">
        <v>38</v>
      </c>
      <c r="E9578" s="140" t="s">
        <v>12</v>
      </c>
      <c r="F9578">
        <v>36917</v>
      </c>
      <c r="G9578" s="140" t="s">
        <v>509</v>
      </c>
      <c r="H9578">
        <v>0</v>
      </c>
      <c r="I9578" s="140" t="s">
        <v>17</v>
      </c>
    </row>
    <row r="9579" spans="1:9" hidden="1" x14ac:dyDescent="0.25">
      <c r="A9579">
        <v>2017</v>
      </c>
      <c r="B9579" s="140" t="s">
        <v>22</v>
      </c>
      <c r="C9579" s="140" t="s">
        <v>20</v>
      </c>
      <c r="D9579" s="140" t="s">
        <v>38</v>
      </c>
      <c r="E9579" s="140" t="s">
        <v>12</v>
      </c>
      <c r="F9579">
        <v>36690</v>
      </c>
      <c r="G9579" s="140" t="s">
        <v>509</v>
      </c>
      <c r="H9579">
        <v>0</v>
      </c>
      <c r="I9579" s="140" t="s">
        <v>17</v>
      </c>
    </row>
    <row r="9580" spans="1:9" hidden="1" x14ac:dyDescent="0.25">
      <c r="A9580">
        <v>2018</v>
      </c>
      <c r="B9580" s="140" t="s">
        <v>22</v>
      </c>
      <c r="C9580" s="140" t="s">
        <v>20</v>
      </c>
      <c r="D9580" s="140" t="s">
        <v>38</v>
      </c>
      <c r="E9580" s="140" t="s">
        <v>12</v>
      </c>
      <c r="F9580">
        <v>37237</v>
      </c>
      <c r="G9580" s="140" t="s">
        <v>509</v>
      </c>
      <c r="H9580">
        <v>0</v>
      </c>
      <c r="I9580" s="140" t="s">
        <v>17</v>
      </c>
    </row>
    <row r="9581" spans="1:9" hidden="1" x14ac:dyDescent="0.25">
      <c r="A9581">
        <v>2019</v>
      </c>
      <c r="B9581" s="140" t="s">
        <v>22</v>
      </c>
      <c r="C9581" s="140" t="s">
        <v>20</v>
      </c>
      <c r="D9581" s="140" t="s">
        <v>38</v>
      </c>
      <c r="E9581" s="140" t="s">
        <v>12</v>
      </c>
      <c r="F9581">
        <v>37858</v>
      </c>
      <c r="G9581" s="140" t="s">
        <v>509</v>
      </c>
      <c r="H9581">
        <v>0</v>
      </c>
      <c r="I9581" s="140" t="s">
        <v>17</v>
      </c>
    </row>
    <row r="9582" spans="1:9" hidden="1" x14ac:dyDescent="0.25">
      <c r="A9582">
        <v>2020</v>
      </c>
      <c r="B9582" s="140" t="s">
        <v>22</v>
      </c>
      <c r="C9582" s="140" t="s">
        <v>20</v>
      </c>
      <c r="D9582" s="140" t="s">
        <v>38</v>
      </c>
      <c r="E9582" s="140" t="s">
        <v>12</v>
      </c>
      <c r="F9582">
        <v>36910</v>
      </c>
      <c r="G9582" s="140" t="s">
        <v>509</v>
      </c>
      <c r="H9582">
        <v>0</v>
      </c>
      <c r="I9582" s="140" t="s">
        <v>17</v>
      </c>
    </row>
    <row r="9583" spans="1:9" hidden="1" x14ac:dyDescent="0.25">
      <c r="A9583">
        <v>2021</v>
      </c>
      <c r="B9583" s="140" t="s">
        <v>22</v>
      </c>
      <c r="C9583" s="140" t="s">
        <v>20</v>
      </c>
      <c r="D9583" s="140" t="s">
        <v>38</v>
      </c>
      <c r="E9583" s="140" t="s">
        <v>12</v>
      </c>
      <c r="F9583">
        <v>37888</v>
      </c>
      <c r="G9583" s="140" t="s">
        <v>509</v>
      </c>
      <c r="H9583">
        <v>0</v>
      </c>
      <c r="I9583" s="140" t="s">
        <v>17</v>
      </c>
    </row>
    <row r="9584" spans="1:9" hidden="1" x14ac:dyDescent="0.25">
      <c r="A9584">
        <v>2022</v>
      </c>
      <c r="B9584" s="140" t="s">
        <v>22</v>
      </c>
      <c r="C9584" s="140" t="s">
        <v>20</v>
      </c>
      <c r="D9584" s="140" t="s">
        <v>38</v>
      </c>
      <c r="E9584" s="140" t="s">
        <v>12</v>
      </c>
      <c r="F9584">
        <v>38524</v>
      </c>
      <c r="G9584" s="140" t="s">
        <v>509</v>
      </c>
      <c r="H9584">
        <v>0</v>
      </c>
      <c r="I9584" s="140" t="s">
        <v>17</v>
      </c>
    </row>
    <row r="9585" spans="1:9" hidden="1" x14ac:dyDescent="0.25">
      <c r="A9585">
        <v>2023</v>
      </c>
      <c r="B9585" s="140" t="s">
        <v>22</v>
      </c>
      <c r="C9585" s="140" t="s">
        <v>20</v>
      </c>
      <c r="D9585" s="140" t="s">
        <v>38</v>
      </c>
      <c r="E9585" s="140" t="s">
        <v>12</v>
      </c>
      <c r="F9585">
        <v>39171</v>
      </c>
      <c r="G9585" s="140" t="s">
        <v>509</v>
      </c>
      <c r="H9585">
        <v>0</v>
      </c>
      <c r="I9585" s="140" t="s">
        <v>17</v>
      </c>
    </row>
    <row r="9586" spans="1:9" hidden="1" x14ac:dyDescent="0.25">
      <c r="A9586">
        <v>2024</v>
      </c>
      <c r="B9586" s="140" t="s">
        <v>22</v>
      </c>
      <c r="C9586" s="140" t="s">
        <v>20</v>
      </c>
      <c r="D9586" s="140" t="s">
        <v>38</v>
      </c>
      <c r="E9586" s="140" t="s">
        <v>12</v>
      </c>
      <c r="F9586">
        <v>40264</v>
      </c>
      <c r="G9586" s="140" t="s">
        <v>509</v>
      </c>
      <c r="H9586">
        <v>0</v>
      </c>
      <c r="I9586" s="140" t="s">
        <v>17</v>
      </c>
    </row>
    <row r="9587" spans="1:9" hidden="1" x14ac:dyDescent="0.25">
      <c r="A9587">
        <v>2025</v>
      </c>
      <c r="B9587" s="140" t="s">
        <v>22</v>
      </c>
      <c r="C9587" s="140" t="s">
        <v>20</v>
      </c>
      <c r="D9587" s="140" t="s">
        <v>38</v>
      </c>
      <c r="E9587" s="140" t="s">
        <v>12</v>
      </c>
      <c r="F9587">
        <v>40914</v>
      </c>
      <c r="G9587" s="140" t="s">
        <v>509</v>
      </c>
      <c r="H9587">
        <v>0</v>
      </c>
      <c r="I9587" s="140" t="s">
        <v>17</v>
      </c>
    </row>
    <row r="9588" spans="1:9" hidden="1" x14ac:dyDescent="0.25">
      <c r="A9588">
        <v>1990</v>
      </c>
      <c r="B9588" s="140" t="s">
        <v>22</v>
      </c>
      <c r="C9588" s="140" t="s">
        <v>20</v>
      </c>
      <c r="D9588" s="140" t="s">
        <v>39</v>
      </c>
      <c r="E9588" s="140" t="s">
        <v>12</v>
      </c>
      <c r="F9588">
        <v>56076</v>
      </c>
      <c r="G9588" s="140" t="s">
        <v>510</v>
      </c>
      <c r="H9588">
        <v>0</v>
      </c>
      <c r="I9588" s="140" t="s">
        <v>17</v>
      </c>
    </row>
    <row r="9589" spans="1:9" hidden="1" x14ac:dyDescent="0.25">
      <c r="A9589">
        <v>1991</v>
      </c>
      <c r="B9589" s="140" t="s">
        <v>22</v>
      </c>
      <c r="C9589" s="140" t="s">
        <v>20</v>
      </c>
      <c r="D9589" s="140" t="s">
        <v>39</v>
      </c>
      <c r="E9589" s="140" t="s">
        <v>12</v>
      </c>
      <c r="F9589">
        <v>52519</v>
      </c>
      <c r="G9589" s="140" t="s">
        <v>510</v>
      </c>
      <c r="H9589">
        <v>0</v>
      </c>
      <c r="I9589" s="140" t="s">
        <v>17</v>
      </c>
    </row>
    <row r="9590" spans="1:9" hidden="1" x14ac:dyDescent="0.25">
      <c r="A9590">
        <v>1992</v>
      </c>
      <c r="B9590" s="140" t="s">
        <v>22</v>
      </c>
      <c r="C9590" s="140" t="s">
        <v>20</v>
      </c>
      <c r="D9590" s="140" t="s">
        <v>39</v>
      </c>
      <c r="E9590" s="140" t="s">
        <v>12</v>
      </c>
      <c r="F9590">
        <v>49902</v>
      </c>
      <c r="G9590" s="140" t="s">
        <v>510</v>
      </c>
      <c r="H9590">
        <v>0</v>
      </c>
      <c r="I9590" s="140" t="s">
        <v>17</v>
      </c>
    </row>
    <row r="9591" spans="1:9" hidden="1" x14ac:dyDescent="0.25">
      <c r="A9591">
        <v>1993</v>
      </c>
      <c r="B9591" s="140" t="s">
        <v>22</v>
      </c>
      <c r="C9591" s="140" t="s">
        <v>20</v>
      </c>
      <c r="D9591" s="140" t="s">
        <v>39</v>
      </c>
      <c r="E9591" s="140" t="s">
        <v>12</v>
      </c>
      <c r="F9591">
        <v>49711</v>
      </c>
      <c r="G9591" s="140" t="s">
        <v>510</v>
      </c>
      <c r="H9591">
        <v>0</v>
      </c>
      <c r="I9591" s="140" t="s">
        <v>17</v>
      </c>
    </row>
    <row r="9592" spans="1:9" hidden="1" x14ac:dyDescent="0.25">
      <c r="A9592">
        <v>1994</v>
      </c>
      <c r="B9592" s="140" t="s">
        <v>22</v>
      </c>
      <c r="C9592" s="140" t="s">
        <v>20</v>
      </c>
      <c r="D9592" s="140" t="s">
        <v>39</v>
      </c>
      <c r="E9592" s="140" t="s">
        <v>12</v>
      </c>
      <c r="F9592">
        <v>51889</v>
      </c>
      <c r="G9592" s="140" t="s">
        <v>510</v>
      </c>
      <c r="H9592">
        <v>0</v>
      </c>
      <c r="I9592" s="140" t="s">
        <v>17</v>
      </c>
    </row>
    <row r="9593" spans="1:9" hidden="1" x14ac:dyDescent="0.25">
      <c r="A9593">
        <v>1995</v>
      </c>
      <c r="B9593" s="140" t="s">
        <v>22</v>
      </c>
      <c r="C9593" s="140" t="s">
        <v>20</v>
      </c>
      <c r="D9593" s="140" t="s">
        <v>39</v>
      </c>
      <c r="E9593" s="140" t="s">
        <v>12</v>
      </c>
      <c r="F9593">
        <v>55141</v>
      </c>
      <c r="G9593" s="140" t="s">
        <v>510</v>
      </c>
      <c r="H9593">
        <v>0</v>
      </c>
      <c r="I9593" s="140" t="s">
        <v>17</v>
      </c>
    </row>
    <row r="9594" spans="1:9" hidden="1" x14ac:dyDescent="0.25">
      <c r="A9594">
        <v>1996</v>
      </c>
      <c r="B9594" s="140" t="s">
        <v>22</v>
      </c>
      <c r="C9594" s="140" t="s">
        <v>20</v>
      </c>
      <c r="D9594" s="140" t="s">
        <v>39</v>
      </c>
      <c r="E9594" s="140" t="s">
        <v>12</v>
      </c>
      <c r="F9594">
        <v>57364</v>
      </c>
      <c r="G9594" s="140" t="s">
        <v>510</v>
      </c>
      <c r="H9594">
        <v>0</v>
      </c>
      <c r="I9594" s="140" t="s">
        <v>17</v>
      </c>
    </row>
    <row r="9595" spans="1:9" hidden="1" x14ac:dyDescent="0.25">
      <c r="A9595">
        <v>1997</v>
      </c>
      <c r="B9595" s="140" t="s">
        <v>22</v>
      </c>
      <c r="C9595" s="140" t="s">
        <v>20</v>
      </c>
      <c r="D9595" s="140" t="s">
        <v>39</v>
      </c>
      <c r="E9595" s="140" t="s">
        <v>12</v>
      </c>
      <c r="F9595">
        <v>60564</v>
      </c>
      <c r="G9595" s="140" t="s">
        <v>510</v>
      </c>
      <c r="H9595">
        <v>0</v>
      </c>
      <c r="I9595" s="140" t="s">
        <v>17</v>
      </c>
    </row>
    <row r="9596" spans="1:9" hidden="1" x14ac:dyDescent="0.25">
      <c r="A9596">
        <v>1998</v>
      </c>
      <c r="B9596" s="140" t="s">
        <v>22</v>
      </c>
      <c r="C9596" s="140" t="s">
        <v>20</v>
      </c>
      <c r="D9596" s="140" t="s">
        <v>39</v>
      </c>
      <c r="E9596" s="140" t="s">
        <v>12</v>
      </c>
      <c r="F9596">
        <v>64349</v>
      </c>
      <c r="G9596" s="140" t="s">
        <v>510</v>
      </c>
      <c r="H9596">
        <v>0</v>
      </c>
      <c r="I9596" s="140" t="s">
        <v>17</v>
      </c>
    </row>
    <row r="9597" spans="1:9" hidden="1" x14ac:dyDescent="0.25">
      <c r="A9597">
        <v>1999</v>
      </c>
      <c r="B9597" s="140" t="s">
        <v>22</v>
      </c>
      <c r="C9597" s="140" t="s">
        <v>20</v>
      </c>
      <c r="D9597" s="140" t="s">
        <v>39</v>
      </c>
      <c r="E9597" s="140" t="s">
        <v>12</v>
      </c>
      <c r="F9597">
        <v>67839</v>
      </c>
      <c r="G9597" s="140" t="s">
        <v>510</v>
      </c>
      <c r="H9597">
        <v>0</v>
      </c>
      <c r="I9597" s="140" t="s">
        <v>17</v>
      </c>
    </row>
    <row r="9598" spans="1:9" hidden="1" x14ac:dyDescent="0.25">
      <c r="A9598">
        <v>2000</v>
      </c>
      <c r="B9598" s="140" t="s">
        <v>22</v>
      </c>
      <c r="C9598" s="140" t="s">
        <v>20</v>
      </c>
      <c r="D9598" s="140" t="s">
        <v>39</v>
      </c>
      <c r="E9598" s="140" t="s">
        <v>12</v>
      </c>
      <c r="F9598">
        <v>71156</v>
      </c>
      <c r="G9598" s="140" t="s">
        <v>510</v>
      </c>
      <c r="H9598">
        <v>0</v>
      </c>
      <c r="I9598" s="140" t="s">
        <v>17</v>
      </c>
    </row>
    <row r="9599" spans="1:9" hidden="1" x14ac:dyDescent="0.25">
      <c r="A9599">
        <v>2001</v>
      </c>
      <c r="B9599" s="140" t="s">
        <v>22</v>
      </c>
      <c r="C9599" s="140" t="s">
        <v>20</v>
      </c>
      <c r="D9599" s="140" t="s">
        <v>39</v>
      </c>
      <c r="E9599" s="140" t="s">
        <v>12</v>
      </c>
      <c r="F9599">
        <v>74806</v>
      </c>
      <c r="G9599" s="140" t="s">
        <v>510</v>
      </c>
      <c r="H9599">
        <v>0</v>
      </c>
      <c r="I9599" s="140" t="s">
        <v>17</v>
      </c>
    </row>
    <row r="9600" spans="1:9" hidden="1" x14ac:dyDescent="0.25">
      <c r="A9600">
        <v>2002</v>
      </c>
      <c r="B9600" s="140" t="s">
        <v>22</v>
      </c>
      <c r="C9600" s="140" t="s">
        <v>20</v>
      </c>
      <c r="D9600" s="140" t="s">
        <v>39</v>
      </c>
      <c r="E9600" s="140" t="s">
        <v>12</v>
      </c>
      <c r="F9600">
        <v>75126</v>
      </c>
      <c r="G9600" s="140" t="s">
        <v>510</v>
      </c>
      <c r="H9600">
        <v>0</v>
      </c>
      <c r="I9600" s="140" t="s">
        <v>17</v>
      </c>
    </row>
    <row r="9601" spans="1:9" hidden="1" x14ac:dyDescent="0.25">
      <c r="A9601">
        <v>2003</v>
      </c>
      <c r="B9601" s="140" t="s">
        <v>22</v>
      </c>
      <c r="C9601" s="140" t="s">
        <v>20</v>
      </c>
      <c r="D9601" s="140" t="s">
        <v>39</v>
      </c>
      <c r="E9601" s="140" t="s">
        <v>12</v>
      </c>
      <c r="F9601">
        <v>75410</v>
      </c>
      <c r="G9601" s="140" t="s">
        <v>510</v>
      </c>
      <c r="H9601">
        <v>0</v>
      </c>
      <c r="I9601" s="140" t="s">
        <v>17</v>
      </c>
    </row>
    <row r="9602" spans="1:9" hidden="1" x14ac:dyDescent="0.25">
      <c r="A9602">
        <v>2004</v>
      </c>
      <c r="B9602" s="140" t="s">
        <v>22</v>
      </c>
      <c r="C9602" s="140" t="s">
        <v>20</v>
      </c>
      <c r="D9602" s="140" t="s">
        <v>39</v>
      </c>
      <c r="E9602" s="140" t="s">
        <v>12</v>
      </c>
      <c r="F9602">
        <v>79415</v>
      </c>
      <c r="G9602" s="140" t="s">
        <v>510</v>
      </c>
      <c r="H9602">
        <v>0</v>
      </c>
      <c r="I9602" s="140" t="s">
        <v>17</v>
      </c>
    </row>
    <row r="9603" spans="1:9" hidden="1" x14ac:dyDescent="0.25">
      <c r="A9603">
        <v>2005</v>
      </c>
      <c r="B9603" s="140" t="s">
        <v>22</v>
      </c>
      <c r="C9603" s="140" t="s">
        <v>20</v>
      </c>
      <c r="D9603" s="140" t="s">
        <v>39</v>
      </c>
      <c r="E9603" s="140" t="s">
        <v>12</v>
      </c>
      <c r="F9603">
        <v>81491</v>
      </c>
      <c r="G9603" s="140" t="s">
        <v>510</v>
      </c>
      <c r="H9603">
        <v>0</v>
      </c>
      <c r="I9603" s="140" t="s">
        <v>17</v>
      </c>
    </row>
    <row r="9604" spans="1:9" hidden="1" x14ac:dyDescent="0.25">
      <c r="A9604">
        <v>2006</v>
      </c>
      <c r="B9604" s="140" t="s">
        <v>22</v>
      </c>
      <c r="C9604" s="140" t="s">
        <v>20</v>
      </c>
      <c r="D9604" s="140" t="s">
        <v>39</v>
      </c>
      <c r="E9604" s="140" t="s">
        <v>12</v>
      </c>
      <c r="F9604">
        <v>82915</v>
      </c>
      <c r="G9604" s="140" t="s">
        <v>510</v>
      </c>
      <c r="H9604">
        <v>0</v>
      </c>
      <c r="I9604" s="140" t="s">
        <v>17</v>
      </c>
    </row>
    <row r="9605" spans="1:9" hidden="1" x14ac:dyDescent="0.25">
      <c r="A9605">
        <v>2007</v>
      </c>
      <c r="B9605" s="140" t="s">
        <v>22</v>
      </c>
      <c r="C9605" s="140" t="s">
        <v>20</v>
      </c>
      <c r="D9605" s="140" t="s">
        <v>39</v>
      </c>
      <c r="E9605" s="140" t="s">
        <v>12</v>
      </c>
      <c r="F9605">
        <v>88513</v>
      </c>
      <c r="G9605" s="140" t="s">
        <v>510</v>
      </c>
      <c r="H9605">
        <v>0</v>
      </c>
      <c r="I9605" s="140" t="s">
        <v>17</v>
      </c>
    </row>
    <row r="9606" spans="1:9" hidden="1" x14ac:dyDescent="0.25">
      <c r="A9606">
        <v>2008</v>
      </c>
      <c r="B9606" s="140" t="s">
        <v>22</v>
      </c>
      <c r="C9606" s="140" t="s">
        <v>20</v>
      </c>
      <c r="D9606" s="140" t="s">
        <v>39</v>
      </c>
      <c r="E9606" s="140" t="s">
        <v>12</v>
      </c>
      <c r="F9606">
        <v>92197</v>
      </c>
      <c r="G9606" s="140" t="s">
        <v>510</v>
      </c>
      <c r="H9606">
        <v>0</v>
      </c>
      <c r="I9606" s="140" t="s">
        <v>17</v>
      </c>
    </row>
    <row r="9607" spans="1:9" hidden="1" x14ac:dyDescent="0.25">
      <c r="A9607">
        <v>2009</v>
      </c>
      <c r="B9607" s="140" t="s">
        <v>22</v>
      </c>
      <c r="C9607" s="140" t="s">
        <v>20</v>
      </c>
      <c r="D9607" s="140" t="s">
        <v>39</v>
      </c>
      <c r="E9607" s="140" t="s">
        <v>12</v>
      </c>
      <c r="F9607">
        <v>86878</v>
      </c>
      <c r="G9607" s="140" t="s">
        <v>510</v>
      </c>
      <c r="H9607">
        <v>0</v>
      </c>
      <c r="I9607" s="140" t="s">
        <v>17</v>
      </c>
    </row>
    <row r="9608" spans="1:9" hidden="1" x14ac:dyDescent="0.25">
      <c r="A9608">
        <v>2010</v>
      </c>
      <c r="B9608" s="140" t="s">
        <v>22</v>
      </c>
      <c r="C9608" s="140" t="s">
        <v>20</v>
      </c>
      <c r="D9608" s="140" t="s">
        <v>39</v>
      </c>
      <c r="E9608" s="140" t="s">
        <v>12</v>
      </c>
      <c r="F9608">
        <v>88458</v>
      </c>
      <c r="G9608" s="140" t="s">
        <v>510</v>
      </c>
      <c r="H9608">
        <v>0</v>
      </c>
      <c r="I9608" s="140" t="s">
        <v>17</v>
      </c>
    </row>
    <row r="9609" spans="1:9" hidden="1" x14ac:dyDescent="0.25">
      <c r="A9609">
        <v>2011</v>
      </c>
      <c r="B9609" s="140" t="s">
        <v>22</v>
      </c>
      <c r="C9609" s="140" t="s">
        <v>20</v>
      </c>
      <c r="D9609" s="140" t="s">
        <v>39</v>
      </c>
      <c r="E9609" s="140" t="s">
        <v>12</v>
      </c>
      <c r="F9609">
        <v>91899</v>
      </c>
      <c r="G9609" s="140" t="s">
        <v>510</v>
      </c>
      <c r="H9609">
        <v>0</v>
      </c>
      <c r="I9609" s="140" t="s">
        <v>17</v>
      </c>
    </row>
    <row r="9610" spans="1:9" hidden="1" x14ac:dyDescent="0.25">
      <c r="A9610">
        <v>2012</v>
      </c>
      <c r="B9610" s="140" t="s">
        <v>22</v>
      </c>
      <c r="C9610" s="140" t="s">
        <v>20</v>
      </c>
      <c r="D9610" s="140" t="s">
        <v>39</v>
      </c>
      <c r="E9610" s="140" t="s">
        <v>12</v>
      </c>
      <c r="F9610">
        <v>92973</v>
      </c>
      <c r="G9610" s="140" t="s">
        <v>510</v>
      </c>
      <c r="H9610">
        <v>0</v>
      </c>
      <c r="I9610" s="140" t="s">
        <v>17</v>
      </c>
    </row>
    <row r="9611" spans="1:9" hidden="1" x14ac:dyDescent="0.25">
      <c r="A9611">
        <v>2013</v>
      </c>
      <c r="B9611" s="140" t="s">
        <v>22</v>
      </c>
      <c r="C9611" s="140" t="s">
        <v>20</v>
      </c>
      <c r="D9611" s="140" t="s">
        <v>39</v>
      </c>
      <c r="E9611" s="140" t="s">
        <v>12</v>
      </c>
      <c r="F9611">
        <v>91035</v>
      </c>
      <c r="G9611" s="140" t="s">
        <v>510</v>
      </c>
      <c r="H9611">
        <v>0</v>
      </c>
      <c r="I9611" s="140" t="s">
        <v>17</v>
      </c>
    </row>
    <row r="9612" spans="1:9" hidden="1" x14ac:dyDescent="0.25">
      <c r="A9612">
        <v>2014</v>
      </c>
      <c r="B9612" s="140" t="s">
        <v>22</v>
      </c>
      <c r="C9612" s="140" t="s">
        <v>20</v>
      </c>
      <c r="D9612" s="140" t="s">
        <v>39</v>
      </c>
      <c r="E9612" s="140" t="s">
        <v>12</v>
      </c>
      <c r="F9612">
        <v>90830</v>
      </c>
      <c r="G9612" s="140" t="s">
        <v>510</v>
      </c>
      <c r="H9612">
        <v>0</v>
      </c>
      <c r="I9612" s="140" t="s">
        <v>17</v>
      </c>
    </row>
    <row r="9613" spans="1:9" hidden="1" x14ac:dyDescent="0.25">
      <c r="A9613">
        <v>2015</v>
      </c>
      <c r="B9613" s="140" t="s">
        <v>22</v>
      </c>
      <c r="C9613" s="140" t="s">
        <v>20</v>
      </c>
      <c r="D9613" s="140" t="s">
        <v>39</v>
      </c>
      <c r="E9613" s="140" t="s">
        <v>12</v>
      </c>
      <c r="F9613">
        <v>91301</v>
      </c>
      <c r="G9613" s="140" t="s">
        <v>510</v>
      </c>
      <c r="H9613">
        <v>0</v>
      </c>
      <c r="I9613" s="140" t="s">
        <v>17</v>
      </c>
    </row>
    <row r="9614" spans="1:9" hidden="1" x14ac:dyDescent="0.25">
      <c r="A9614">
        <v>2016</v>
      </c>
      <c r="B9614" s="140" t="s">
        <v>22</v>
      </c>
      <c r="C9614" s="140" t="s">
        <v>20</v>
      </c>
      <c r="D9614" s="140" t="s">
        <v>39</v>
      </c>
      <c r="E9614" s="140" t="s">
        <v>12</v>
      </c>
      <c r="F9614">
        <v>93667</v>
      </c>
      <c r="G9614" s="140" t="s">
        <v>510</v>
      </c>
      <c r="H9614">
        <v>0</v>
      </c>
      <c r="I9614" s="140" t="s">
        <v>17</v>
      </c>
    </row>
    <row r="9615" spans="1:9" hidden="1" x14ac:dyDescent="0.25">
      <c r="A9615">
        <v>2017</v>
      </c>
      <c r="B9615" s="140" t="s">
        <v>22</v>
      </c>
      <c r="C9615" s="140" t="s">
        <v>20</v>
      </c>
      <c r="D9615" s="140" t="s">
        <v>39</v>
      </c>
      <c r="E9615" s="140" t="s">
        <v>12</v>
      </c>
      <c r="F9615">
        <v>97431</v>
      </c>
      <c r="G9615" s="140" t="s">
        <v>510</v>
      </c>
      <c r="H9615">
        <v>0</v>
      </c>
      <c r="I9615" s="140" t="s">
        <v>17</v>
      </c>
    </row>
    <row r="9616" spans="1:9" hidden="1" x14ac:dyDescent="0.25">
      <c r="A9616">
        <v>2018</v>
      </c>
      <c r="B9616" s="140" t="s">
        <v>22</v>
      </c>
      <c r="C9616" s="140" t="s">
        <v>20</v>
      </c>
      <c r="D9616" s="140" t="s">
        <v>39</v>
      </c>
      <c r="E9616" s="140" t="s">
        <v>12</v>
      </c>
      <c r="F9616">
        <v>99607</v>
      </c>
      <c r="G9616" s="140" t="s">
        <v>510</v>
      </c>
      <c r="H9616">
        <v>0</v>
      </c>
      <c r="I9616" s="140" t="s">
        <v>17</v>
      </c>
    </row>
    <row r="9617" spans="1:9" hidden="1" x14ac:dyDescent="0.25">
      <c r="A9617">
        <v>2019</v>
      </c>
      <c r="B9617" s="140" t="s">
        <v>22</v>
      </c>
      <c r="C9617" s="140" t="s">
        <v>20</v>
      </c>
      <c r="D9617" s="140" t="s">
        <v>39</v>
      </c>
      <c r="E9617" s="140" t="s">
        <v>12</v>
      </c>
      <c r="F9617">
        <v>100884</v>
      </c>
      <c r="G9617" s="140" t="s">
        <v>510</v>
      </c>
      <c r="H9617">
        <v>0</v>
      </c>
      <c r="I9617" s="140" t="s">
        <v>17</v>
      </c>
    </row>
    <row r="9618" spans="1:9" hidden="1" x14ac:dyDescent="0.25">
      <c r="A9618">
        <v>2020</v>
      </c>
      <c r="B9618" s="140" t="s">
        <v>22</v>
      </c>
      <c r="C9618" s="140" t="s">
        <v>20</v>
      </c>
      <c r="D9618" s="140" t="s">
        <v>39</v>
      </c>
      <c r="E9618" s="140" t="s">
        <v>12</v>
      </c>
      <c r="F9618">
        <v>97938</v>
      </c>
      <c r="G9618" s="140" t="s">
        <v>510</v>
      </c>
      <c r="H9618">
        <v>0</v>
      </c>
      <c r="I9618" s="140" t="s">
        <v>17</v>
      </c>
    </row>
    <row r="9619" spans="1:9" hidden="1" x14ac:dyDescent="0.25">
      <c r="A9619">
        <v>2021</v>
      </c>
      <c r="B9619" s="140" t="s">
        <v>22</v>
      </c>
      <c r="C9619" s="140" t="s">
        <v>20</v>
      </c>
      <c r="D9619" s="140" t="s">
        <v>39</v>
      </c>
      <c r="E9619" s="140" t="s">
        <v>12</v>
      </c>
      <c r="F9619">
        <v>102744</v>
      </c>
      <c r="G9619" s="140" t="s">
        <v>510</v>
      </c>
      <c r="H9619">
        <v>0</v>
      </c>
      <c r="I9619" s="140" t="s">
        <v>17</v>
      </c>
    </row>
    <row r="9620" spans="1:9" hidden="1" x14ac:dyDescent="0.25">
      <c r="A9620">
        <v>2022</v>
      </c>
      <c r="B9620" s="140" t="s">
        <v>22</v>
      </c>
      <c r="C9620" s="140" t="s">
        <v>20</v>
      </c>
      <c r="D9620" s="140" t="s">
        <v>39</v>
      </c>
      <c r="E9620" s="140" t="s">
        <v>12</v>
      </c>
      <c r="F9620">
        <v>106281</v>
      </c>
      <c r="G9620" s="140" t="s">
        <v>510</v>
      </c>
      <c r="H9620">
        <v>0</v>
      </c>
      <c r="I9620" s="140" t="s">
        <v>17</v>
      </c>
    </row>
    <row r="9621" spans="1:9" hidden="1" x14ac:dyDescent="0.25">
      <c r="A9621">
        <v>2023</v>
      </c>
      <c r="B9621" s="140" t="s">
        <v>22</v>
      </c>
      <c r="C9621" s="140" t="s">
        <v>20</v>
      </c>
      <c r="D9621" s="140" t="s">
        <v>39</v>
      </c>
      <c r="E9621" s="140" t="s">
        <v>12</v>
      </c>
      <c r="F9621">
        <v>106948</v>
      </c>
      <c r="G9621" s="140" t="s">
        <v>510</v>
      </c>
      <c r="H9621">
        <v>0</v>
      </c>
      <c r="I9621" s="140" t="s">
        <v>17</v>
      </c>
    </row>
    <row r="9622" spans="1:9" hidden="1" x14ac:dyDescent="0.25">
      <c r="A9622">
        <v>2024</v>
      </c>
      <c r="B9622" s="140" t="s">
        <v>22</v>
      </c>
      <c r="C9622" s="140" t="s">
        <v>20</v>
      </c>
      <c r="D9622" s="140" t="s">
        <v>39</v>
      </c>
      <c r="E9622" s="140" t="s">
        <v>12</v>
      </c>
      <c r="F9622">
        <v>106233</v>
      </c>
      <c r="G9622" s="140" t="s">
        <v>510</v>
      </c>
      <c r="H9622">
        <v>0</v>
      </c>
      <c r="I9622" s="140" t="s">
        <v>17</v>
      </c>
    </row>
    <row r="9623" spans="1:9" hidden="1" x14ac:dyDescent="0.25">
      <c r="A9623">
        <v>2025</v>
      </c>
      <c r="B9623" s="140" t="s">
        <v>22</v>
      </c>
      <c r="C9623" s="140" t="s">
        <v>20</v>
      </c>
      <c r="D9623" s="140" t="s">
        <v>39</v>
      </c>
      <c r="E9623" s="140" t="s">
        <v>12</v>
      </c>
      <c r="F9623">
        <v>106609</v>
      </c>
      <c r="G9623" s="140" t="s">
        <v>510</v>
      </c>
      <c r="H9623">
        <v>0</v>
      </c>
      <c r="I9623" s="140" t="s">
        <v>17</v>
      </c>
    </row>
    <row r="9624" spans="1:9" hidden="1" x14ac:dyDescent="0.25">
      <c r="A9624">
        <v>1990</v>
      </c>
      <c r="B9624" s="140" t="s">
        <v>232</v>
      </c>
      <c r="C9624" s="140" t="s">
        <v>19</v>
      </c>
      <c r="D9624" s="140" t="s">
        <v>11</v>
      </c>
      <c r="E9624" s="140" t="s">
        <v>12</v>
      </c>
      <c r="F9624">
        <v>13264</v>
      </c>
      <c r="G9624" s="140" t="s">
        <v>233</v>
      </c>
      <c r="H9624">
        <v>0</v>
      </c>
      <c r="I9624" s="140" t="s">
        <v>17</v>
      </c>
    </row>
    <row r="9625" spans="1:9" hidden="1" x14ac:dyDescent="0.25">
      <c r="A9625">
        <v>1991</v>
      </c>
      <c r="B9625" s="140" t="s">
        <v>232</v>
      </c>
      <c r="C9625" s="140" t="s">
        <v>19</v>
      </c>
      <c r="D9625" s="140" t="s">
        <v>11</v>
      </c>
      <c r="E9625" s="140" t="s">
        <v>12</v>
      </c>
      <c r="F9625">
        <v>12721</v>
      </c>
      <c r="G9625" s="140" t="s">
        <v>233</v>
      </c>
      <c r="H9625">
        <v>0</v>
      </c>
      <c r="I9625" s="140" t="s">
        <v>17</v>
      </c>
    </row>
    <row r="9626" spans="1:9" hidden="1" x14ac:dyDescent="0.25">
      <c r="A9626">
        <v>1992</v>
      </c>
      <c r="B9626" s="140" t="s">
        <v>232</v>
      </c>
      <c r="C9626" s="140" t="s">
        <v>19</v>
      </c>
      <c r="D9626" s="140" t="s">
        <v>11</v>
      </c>
      <c r="E9626" s="140" t="s">
        <v>12</v>
      </c>
      <c r="F9626">
        <v>12163</v>
      </c>
      <c r="G9626" s="140" t="s">
        <v>233</v>
      </c>
      <c r="H9626">
        <v>0</v>
      </c>
      <c r="I9626" s="140" t="s">
        <v>17</v>
      </c>
    </row>
    <row r="9627" spans="1:9" hidden="1" x14ac:dyDescent="0.25">
      <c r="A9627">
        <v>1993</v>
      </c>
      <c r="B9627" s="140" t="s">
        <v>232</v>
      </c>
      <c r="C9627" s="140" t="s">
        <v>19</v>
      </c>
      <c r="D9627" s="140" t="s">
        <v>11</v>
      </c>
      <c r="E9627" s="140" t="s">
        <v>12</v>
      </c>
      <c r="F9627">
        <v>12017</v>
      </c>
      <c r="G9627" s="140" t="s">
        <v>233</v>
      </c>
      <c r="H9627">
        <v>0</v>
      </c>
      <c r="I9627" s="140" t="s">
        <v>17</v>
      </c>
    </row>
    <row r="9628" spans="1:9" hidden="1" x14ac:dyDescent="0.25">
      <c r="A9628">
        <v>1994</v>
      </c>
      <c r="B9628" s="140" t="s">
        <v>232</v>
      </c>
      <c r="C9628" s="140" t="s">
        <v>19</v>
      </c>
      <c r="D9628" s="140" t="s">
        <v>11</v>
      </c>
      <c r="E9628" s="140" t="s">
        <v>12</v>
      </c>
      <c r="F9628">
        <v>12727</v>
      </c>
      <c r="G9628" s="140" t="s">
        <v>233</v>
      </c>
      <c r="H9628">
        <v>0</v>
      </c>
      <c r="I9628" s="140" t="s">
        <v>17</v>
      </c>
    </row>
    <row r="9629" spans="1:9" hidden="1" x14ac:dyDescent="0.25">
      <c r="A9629">
        <v>1995</v>
      </c>
      <c r="B9629" s="140" t="s">
        <v>232</v>
      </c>
      <c r="C9629" s="140" t="s">
        <v>19</v>
      </c>
      <c r="D9629" s="140" t="s">
        <v>11</v>
      </c>
      <c r="E9629" s="140" t="s">
        <v>12</v>
      </c>
      <c r="F9629">
        <v>13453</v>
      </c>
      <c r="G9629" s="140" t="s">
        <v>233</v>
      </c>
      <c r="H9629">
        <v>0</v>
      </c>
      <c r="I9629" s="140" t="s">
        <v>17</v>
      </c>
    </row>
    <row r="9630" spans="1:9" hidden="1" x14ac:dyDescent="0.25">
      <c r="A9630">
        <v>1996</v>
      </c>
      <c r="B9630" s="140" t="s">
        <v>232</v>
      </c>
      <c r="C9630" s="140" t="s">
        <v>19</v>
      </c>
      <c r="D9630" s="140" t="s">
        <v>11</v>
      </c>
      <c r="E9630" s="140" t="s">
        <v>12</v>
      </c>
      <c r="F9630">
        <v>13976</v>
      </c>
      <c r="G9630" s="140" t="s">
        <v>233</v>
      </c>
      <c r="H9630">
        <v>0</v>
      </c>
      <c r="I9630" s="140" t="s">
        <v>17</v>
      </c>
    </row>
    <row r="9631" spans="1:9" hidden="1" x14ac:dyDescent="0.25">
      <c r="A9631">
        <v>1997</v>
      </c>
      <c r="B9631" s="140" t="s">
        <v>232</v>
      </c>
      <c r="C9631" s="140" t="s">
        <v>19</v>
      </c>
      <c r="D9631" s="140" t="s">
        <v>11</v>
      </c>
      <c r="E9631" s="140" t="s">
        <v>12</v>
      </c>
      <c r="F9631">
        <v>15780</v>
      </c>
      <c r="G9631" s="140" t="s">
        <v>233</v>
      </c>
      <c r="H9631">
        <v>0</v>
      </c>
      <c r="I9631" s="140" t="s">
        <v>17</v>
      </c>
    </row>
    <row r="9632" spans="1:9" hidden="1" x14ac:dyDescent="0.25">
      <c r="A9632">
        <v>1998</v>
      </c>
      <c r="B9632" s="140" t="s">
        <v>232</v>
      </c>
      <c r="C9632" s="140" t="s">
        <v>19</v>
      </c>
      <c r="D9632" s="140" t="s">
        <v>11</v>
      </c>
      <c r="E9632" s="140" t="s">
        <v>12</v>
      </c>
      <c r="F9632">
        <v>16729</v>
      </c>
      <c r="G9632" s="140" t="s">
        <v>233</v>
      </c>
      <c r="H9632">
        <v>0</v>
      </c>
      <c r="I9632" s="140" t="s">
        <v>17</v>
      </c>
    </row>
    <row r="9633" spans="1:9" hidden="1" x14ac:dyDescent="0.25">
      <c r="A9633">
        <v>1999</v>
      </c>
      <c r="B9633" s="140" t="s">
        <v>232</v>
      </c>
      <c r="C9633" s="140" t="s">
        <v>19</v>
      </c>
      <c r="D9633" s="140" t="s">
        <v>11</v>
      </c>
      <c r="E9633" s="140" t="s">
        <v>12</v>
      </c>
      <c r="F9633">
        <v>17495</v>
      </c>
      <c r="G9633" s="140" t="s">
        <v>233</v>
      </c>
      <c r="H9633">
        <v>0</v>
      </c>
      <c r="I9633" s="140" t="s">
        <v>17</v>
      </c>
    </row>
    <row r="9634" spans="1:9" hidden="1" x14ac:dyDescent="0.25">
      <c r="A9634">
        <v>2000</v>
      </c>
      <c r="B9634" s="140" t="s">
        <v>232</v>
      </c>
      <c r="C9634" s="140" t="s">
        <v>19</v>
      </c>
      <c r="D9634" s="140" t="s">
        <v>11</v>
      </c>
      <c r="E9634" s="140" t="s">
        <v>12</v>
      </c>
      <c r="F9634">
        <v>18154</v>
      </c>
      <c r="G9634" s="140" t="s">
        <v>233</v>
      </c>
      <c r="H9634">
        <v>0</v>
      </c>
      <c r="I9634" s="140" t="s">
        <v>17</v>
      </c>
    </row>
    <row r="9635" spans="1:9" hidden="1" x14ac:dyDescent="0.25">
      <c r="A9635">
        <v>2001</v>
      </c>
      <c r="B9635" s="140" t="s">
        <v>232</v>
      </c>
      <c r="C9635" s="140" t="s">
        <v>19</v>
      </c>
      <c r="D9635" s="140" t="s">
        <v>11</v>
      </c>
      <c r="E9635" s="140" t="s">
        <v>12</v>
      </c>
      <c r="F9635">
        <v>18444</v>
      </c>
      <c r="G9635" s="140" t="s">
        <v>233</v>
      </c>
      <c r="H9635">
        <v>0</v>
      </c>
      <c r="I9635" s="140" t="s">
        <v>17</v>
      </c>
    </row>
    <row r="9636" spans="1:9" hidden="1" x14ac:dyDescent="0.25">
      <c r="A9636">
        <v>2002</v>
      </c>
      <c r="B9636" s="140" t="s">
        <v>232</v>
      </c>
      <c r="C9636" s="140" t="s">
        <v>19</v>
      </c>
      <c r="D9636" s="140" t="s">
        <v>11</v>
      </c>
      <c r="E9636" s="140" t="s">
        <v>12</v>
      </c>
      <c r="F9636">
        <v>19404</v>
      </c>
      <c r="G9636" s="140" t="s">
        <v>233</v>
      </c>
      <c r="H9636">
        <v>0</v>
      </c>
      <c r="I9636" s="140" t="s">
        <v>17</v>
      </c>
    </row>
    <row r="9637" spans="1:9" hidden="1" x14ac:dyDescent="0.25">
      <c r="A9637">
        <v>2003</v>
      </c>
      <c r="B9637" s="140" t="s">
        <v>232</v>
      </c>
      <c r="C9637" s="140" t="s">
        <v>19</v>
      </c>
      <c r="D9637" s="140" t="s">
        <v>11</v>
      </c>
      <c r="E9637" s="140" t="s">
        <v>12</v>
      </c>
      <c r="F9637">
        <v>20465</v>
      </c>
      <c r="G9637" s="140" t="s">
        <v>233</v>
      </c>
      <c r="H9637">
        <v>0</v>
      </c>
      <c r="I9637" s="140" t="s">
        <v>17</v>
      </c>
    </row>
    <row r="9638" spans="1:9" hidden="1" x14ac:dyDescent="0.25">
      <c r="A9638">
        <v>2004</v>
      </c>
      <c r="B9638" s="140" t="s">
        <v>232</v>
      </c>
      <c r="C9638" s="140" t="s">
        <v>19</v>
      </c>
      <c r="D9638" s="140" t="s">
        <v>11</v>
      </c>
      <c r="E9638" s="140" t="s">
        <v>12</v>
      </c>
      <c r="F9638">
        <v>20936</v>
      </c>
      <c r="G9638" s="140" t="s">
        <v>233</v>
      </c>
      <c r="H9638">
        <v>0</v>
      </c>
      <c r="I9638" s="140" t="s">
        <v>17</v>
      </c>
    </row>
    <row r="9639" spans="1:9" hidden="1" x14ac:dyDescent="0.25">
      <c r="A9639">
        <v>2005</v>
      </c>
      <c r="B9639" s="140" t="s">
        <v>232</v>
      </c>
      <c r="C9639" s="140" t="s">
        <v>19</v>
      </c>
      <c r="D9639" s="140" t="s">
        <v>11</v>
      </c>
      <c r="E9639" s="140" t="s">
        <v>12</v>
      </c>
      <c r="F9639">
        <v>21871</v>
      </c>
      <c r="G9639" s="140" t="s">
        <v>233</v>
      </c>
      <c r="H9639">
        <v>0</v>
      </c>
      <c r="I9639" s="140" t="s">
        <v>17</v>
      </c>
    </row>
    <row r="9640" spans="1:9" hidden="1" x14ac:dyDescent="0.25">
      <c r="A9640">
        <v>2006</v>
      </c>
      <c r="B9640" s="140" t="s">
        <v>232</v>
      </c>
      <c r="C9640" s="140" t="s">
        <v>19</v>
      </c>
      <c r="D9640" s="140" t="s">
        <v>11</v>
      </c>
      <c r="E9640" s="140" t="s">
        <v>12</v>
      </c>
      <c r="F9640">
        <v>22837</v>
      </c>
      <c r="G9640" s="140" t="s">
        <v>233</v>
      </c>
      <c r="H9640">
        <v>0</v>
      </c>
      <c r="I9640" s="140" t="s">
        <v>17</v>
      </c>
    </row>
    <row r="9641" spans="1:9" hidden="1" x14ac:dyDescent="0.25">
      <c r="A9641">
        <v>2007</v>
      </c>
      <c r="B9641" s="140" t="s">
        <v>232</v>
      </c>
      <c r="C9641" s="140" t="s">
        <v>19</v>
      </c>
      <c r="D9641" s="140" t="s">
        <v>11</v>
      </c>
      <c r="E9641" s="140" t="s">
        <v>12</v>
      </c>
      <c r="F9641">
        <v>23635</v>
      </c>
      <c r="G9641" s="140" t="s">
        <v>233</v>
      </c>
      <c r="H9641">
        <v>0</v>
      </c>
      <c r="I9641" s="140" t="s">
        <v>17</v>
      </c>
    </row>
    <row r="9642" spans="1:9" hidden="1" x14ac:dyDescent="0.25">
      <c r="A9642">
        <v>2008</v>
      </c>
      <c r="B9642" s="140" t="s">
        <v>232</v>
      </c>
      <c r="C9642" s="140" t="s">
        <v>19</v>
      </c>
      <c r="D9642" s="140" t="s">
        <v>11</v>
      </c>
      <c r="E9642" s="140" t="s">
        <v>12</v>
      </c>
      <c r="F9642">
        <v>24071</v>
      </c>
      <c r="G9642" s="140" t="s">
        <v>233</v>
      </c>
      <c r="H9642">
        <v>0</v>
      </c>
      <c r="I9642" s="140" t="s">
        <v>17</v>
      </c>
    </row>
    <row r="9643" spans="1:9" hidden="1" x14ac:dyDescent="0.25">
      <c r="A9643">
        <v>2009</v>
      </c>
      <c r="B9643" s="140" t="s">
        <v>232</v>
      </c>
      <c r="C9643" s="140" t="s">
        <v>19</v>
      </c>
      <c r="D9643" s="140" t="s">
        <v>11</v>
      </c>
      <c r="E9643" s="140" t="s">
        <v>12</v>
      </c>
      <c r="F9643">
        <v>23334</v>
      </c>
      <c r="G9643" s="140" t="s">
        <v>233</v>
      </c>
      <c r="H9643">
        <v>0</v>
      </c>
      <c r="I9643" s="140" t="s">
        <v>17</v>
      </c>
    </row>
    <row r="9644" spans="1:9" hidden="1" x14ac:dyDescent="0.25">
      <c r="A9644">
        <v>2010</v>
      </c>
      <c r="B9644" s="140" t="s">
        <v>232</v>
      </c>
      <c r="C9644" s="140" t="s">
        <v>19</v>
      </c>
      <c r="D9644" s="140" t="s">
        <v>11</v>
      </c>
      <c r="E9644" s="140" t="s">
        <v>12</v>
      </c>
      <c r="F9644">
        <v>24176</v>
      </c>
      <c r="G9644" s="140" t="s">
        <v>233</v>
      </c>
      <c r="H9644">
        <v>0</v>
      </c>
      <c r="I9644" s="140" t="s">
        <v>17</v>
      </c>
    </row>
    <row r="9645" spans="1:9" hidden="1" x14ac:dyDescent="0.25">
      <c r="A9645">
        <v>2011</v>
      </c>
      <c r="B9645" s="140" t="s">
        <v>232</v>
      </c>
      <c r="C9645" s="140" t="s">
        <v>19</v>
      </c>
      <c r="D9645" s="140" t="s">
        <v>11</v>
      </c>
      <c r="E9645" s="140" t="s">
        <v>12</v>
      </c>
      <c r="F9645">
        <v>27123</v>
      </c>
      <c r="G9645" s="140" t="s">
        <v>233</v>
      </c>
      <c r="H9645">
        <v>0</v>
      </c>
      <c r="I9645" s="140" t="s">
        <v>17</v>
      </c>
    </row>
    <row r="9646" spans="1:9" hidden="1" x14ac:dyDescent="0.25">
      <c r="A9646">
        <v>2012</v>
      </c>
      <c r="B9646" s="140" t="s">
        <v>232</v>
      </c>
      <c r="C9646" s="140" t="s">
        <v>19</v>
      </c>
      <c r="D9646" s="140" t="s">
        <v>11</v>
      </c>
      <c r="E9646" s="140" t="s">
        <v>12</v>
      </c>
      <c r="F9646">
        <v>28111</v>
      </c>
      <c r="G9646" s="140" t="s">
        <v>233</v>
      </c>
      <c r="H9646">
        <v>0</v>
      </c>
      <c r="I9646" s="140" t="s">
        <v>17</v>
      </c>
    </row>
    <row r="9647" spans="1:9" hidden="1" x14ac:dyDescent="0.25">
      <c r="A9647">
        <v>2013</v>
      </c>
      <c r="B9647" s="140" t="s">
        <v>232</v>
      </c>
      <c r="C9647" s="140" t="s">
        <v>19</v>
      </c>
      <c r="D9647" s="140" t="s">
        <v>11</v>
      </c>
      <c r="E9647" s="140" t="s">
        <v>12</v>
      </c>
      <c r="F9647">
        <v>29104</v>
      </c>
      <c r="G9647" s="140" t="s">
        <v>233</v>
      </c>
      <c r="H9647">
        <v>0</v>
      </c>
      <c r="I9647" s="140" t="s">
        <v>17</v>
      </c>
    </row>
    <row r="9648" spans="1:9" hidden="1" x14ac:dyDescent="0.25">
      <c r="A9648">
        <v>2014</v>
      </c>
      <c r="B9648" s="140" t="s">
        <v>232</v>
      </c>
      <c r="C9648" s="140" t="s">
        <v>19</v>
      </c>
      <c r="D9648" s="140" t="s">
        <v>11</v>
      </c>
      <c r="E9648" s="140" t="s">
        <v>12</v>
      </c>
      <c r="F9648">
        <v>29259</v>
      </c>
      <c r="G9648" s="140" t="s">
        <v>233</v>
      </c>
      <c r="H9648">
        <v>0</v>
      </c>
      <c r="I9648" s="140" t="s">
        <v>17</v>
      </c>
    </row>
    <row r="9649" spans="1:9" hidden="1" x14ac:dyDescent="0.25">
      <c r="A9649">
        <v>2015</v>
      </c>
      <c r="B9649" s="140" t="s">
        <v>232</v>
      </c>
      <c r="C9649" s="140" t="s">
        <v>19</v>
      </c>
      <c r="D9649" s="140" t="s">
        <v>11</v>
      </c>
      <c r="E9649" s="140" t="s">
        <v>12</v>
      </c>
      <c r="F9649">
        <v>29625</v>
      </c>
      <c r="G9649" s="140" t="s">
        <v>233</v>
      </c>
      <c r="H9649">
        <v>0</v>
      </c>
      <c r="I9649" s="140" t="s">
        <v>17</v>
      </c>
    </row>
    <row r="9650" spans="1:9" hidden="1" x14ac:dyDescent="0.25">
      <c r="A9650">
        <v>2016</v>
      </c>
      <c r="B9650" s="140" t="s">
        <v>232</v>
      </c>
      <c r="C9650" s="140" t="s">
        <v>19</v>
      </c>
      <c r="D9650" s="140" t="s">
        <v>11</v>
      </c>
      <c r="E9650" s="140" t="s">
        <v>12</v>
      </c>
      <c r="F9650">
        <v>30970</v>
      </c>
      <c r="G9650" s="140" t="s">
        <v>233</v>
      </c>
      <c r="H9650">
        <v>0</v>
      </c>
      <c r="I9650" s="140" t="s">
        <v>17</v>
      </c>
    </row>
    <row r="9651" spans="1:9" hidden="1" x14ac:dyDescent="0.25">
      <c r="A9651">
        <v>2017</v>
      </c>
      <c r="B9651" s="140" t="s">
        <v>232</v>
      </c>
      <c r="C9651" s="140" t="s">
        <v>19</v>
      </c>
      <c r="D9651" s="140" t="s">
        <v>11</v>
      </c>
      <c r="E9651" s="140" t="s">
        <v>12</v>
      </c>
      <c r="F9651">
        <v>31465</v>
      </c>
      <c r="G9651" s="140" t="s">
        <v>233</v>
      </c>
      <c r="H9651">
        <v>0</v>
      </c>
      <c r="I9651" s="140" t="s">
        <v>17</v>
      </c>
    </row>
    <row r="9652" spans="1:9" hidden="1" x14ac:dyDescent="0.25">
      <c r="A9652">
        <v>2018</v>
      </c>
      <c r="B9652" s="140" t="s">
        <v>232</v>
      </c>
      <c r="C9652" s="140" t="s">
        <v>19</v>
      </c>
      <c r="D9652" s="140" t="s">
        <v>11</v>
      </c>
      <c r="E9652" s="140" t="s">
        <v>12</v>
      </c>
      <c r="F9652">
        <v>32855</v>
      </c>
      <c r="G9652" s="140" t="s">
        <v>233</v>
      </c>
      <c r="H9652">
        <v>0</v>
      </c>
      <c r="I9652" s="140" t="s">
        <v>17</v>
      </c>
    </row>
    <row r="9653" spans="1:9" hidden="1" x14ac:dyDescent="0.25">
      <c r="A9653">
        <v>2019</v>
      </c>
      <c r="B9653" s="140" t="s">
        <v>232</v>
      </c>
      <c r="C9653" s="140" t="s">
        <v>19</v>
      </c>
      <c r="D9653" s="140" t="s">
        <v>11</v>
      </c>
      <c r="E9653" s="140" t="s">
        <v>12</v>
      </c>
      <c r="F9653">
        <v>33286</v>
      </c>
      <c r="G9653" s="140" t="s">
        <v>233</v>
      </c>
      <c r="H9653">
        <v>0</v>
      </c>
      <c r="I9653" s="140" t="s">
        <v>17</v>
      </c>
    </row>
    <row r="9654" spans="1:9" hidden="1" x14ac:dyDescent="0.25">
      <c r="A9654">
        <v>2020</v>
      </c>
      <c r="B9654" s="140" t="s">
        <v>232</v>
      </c>
      <c r="C9654" s="140" t="s">
        <v>19</v>
      </c>
      <c r="D9654" s="140" t="s">
        <v>11</v>
      </c>
      <c r="E9654" s="140" t="s">
        <v>12</v>
      </c>
      <c r="F9654">
        <v>32783</v>
      </c>
      <c r="G9654" s="140" t="s">
        <v>233</v>
      </c>
      <c r="H9654">
        <v>0</v>
      </c>
      <c r="I9654" s="140" t="s">
        <v>17</v>
      </c>
    </row>
    <row r="9655" spans="1:9" hidden="1" x14ac:dyDescent="0.25">
      <c r="A9655">
        <v>2021</v>
      </c>
      <c r="B9655" s="140" t="s">
        <v>232</v>
      </c>
      <c r="C9655" s="140" t="s">
        <v>19</v>
      </c>
      <c r="D9655" s="140" t="s">
        <v>11</v>
      </c>
      <c r="E9655" s="140" t="s">
        <v>12</v>
      </c>
      <c r="F9655">
        <v>34375</v>
      </c>
      <c r="G9655" s="140" t="s">
        <v>233</v>
      </c>
      <c r="H9655">
        <v>0</v>
      </c>
      <c r="I9655" s="140" t="s">
        <v>17</v>
      </c>
    </row>
    <row r="9656" spans="1:9" hidden="1" x14ac:dyDescent="0.25">
      <c r="A9656">
        <v>2022</v>
      </c>
      <c r="B9656" s="140" t="s">
        <v>232</v>
      </c>
      <c r="C9656" s="140" t="s">
        <v>19</v>
      </c>
      <c r="D9656" s="140" t="s">
        <v>11</v>
      </c>
      <c r="E9656" s="140" t="s">
        <v>12</v>
      </c>
      <c r="F9656">
        <v>35885</v>
      </c>
      <c r="G9656" s="140" t="s">
        <v>233</v>
      </c>
      <c r="H9656">
        <v>0</v>
      </c>
      <c r="I9656" s="140" t="s">
        <v>17</v>
      </c>
    </row>
    <row r="9657" spans="1:9" hidden="1" x14ac:dyDescent="0.25">
      <c r="A9657">
        <v>2023</v>
      </c>
      <c r="B9657" s="140" t="s">
        <v>232</v>
      </c>
      <c r="C9657" s="140" t="s">
        <v>19</v>
      </c>
      <c r="D9657" s="140" t="s">
        <v>11</v>
      </c>
      <c r="E9657" s="140" t="s">
        <v>12</v>
      </c>
      <c r="F9657">
        <v>34900</v>
      </c>
      <c r="G9657" s="140" t="s">
        <v>233</v>
      </c>
      <c r="H9657">
        <v>0</v>
      </c>
      <c r="I9657" s="140" t="s">
        <v>17</v>
      </c>
    </row>
    <row r="9658" spans="1:9" hidden="1" x14ac:dyDescent="0.25">
      <c r="A9658">
        <v>2024</v>
      </c>
      <c r="B9658" s="140" t="s">
        <v>232</v>
      </c>
      <c r="C9658" s="140" t="s">
        <v>19</v>
      </c>
      <c r="D9658" s="140" t="s">
        <v>11</v>
      </c>
      <c r="E9658" s="140" t="s">
        <v>12</v>
      </c>
      <c r="F9658">
        <v>35552</v>
      </c>
      <c r="G9658" s="140" t="s">
        <v>233</v>
      </c>
      <c r="H9658">
        <v>0</v>
      </c>
      <c r="I9658" s="140" t="s">
        <v>17</v>
      </c>
    </row>
    <row r="9659" spans="1:9" hidden="1" x14ac:dyDescent="0.25">
      <c r="A9659">
        <v>2025</v>
      </c>
      <c r="B9659" s="140" t="s">
        <v>232</v>
      </c>
      <c r="C9659" s="140" t="s">
        <v>19</v>
      </c>
      <c r="D9659" s="140" t="s">
        <v>11</v>
      </c>
      <c r="E9659" s="140" t="s">
        <v>12</v>
      </c>
      <c r="F9659">
        <v>36778</v>
      </c>
      <c r="G9659" s="140" t="s">
        <v>233</v>
      </c>
      <c r="H9659">
        <v>0</v>
      </c>
      <c r="I9659" s="140" t="s">
        <v>17</v>
      </c>
    </row>
    <row r="9660" spans="1:9" hidden="1" x14ac:dyDescent="0.25">
      <c r="A9660">
        <v>2026</v>
      </c>
      <c r="B9660" s="140" t="s">
        <v>232</v>
      </c>
      <c r="C9660" s="140" t="s">
        <v>19</v>
      </c>
      <c r="D9660" s="140" t="s">
        <v>11</v>
      </c>
      <c r="E9660" s="140" t="s">
        <v>12</v>
      </c>
      <c r="F9660">
        <v>38984.68</v>
      </c>
      <c r="G9660" s="140" t="s">
        <v>233</v>
      </c>
      <c r="H9660">
        <v>0</v>
      </c>
      <c r="I9660" s="140" t="s">
        <v>17</v>
      </c>
    </row>
    <row r="9661" spans="1:9" hidden="1" x14ac:dyDescent="0.25">
      <c r="A9661">
        <v>2027</v>
      </c>
      <c r="B9661" s="140" t="s">
        <v>232</v>
      </c>
      <c r="C9661" s="140" t="s">
        <v>19</v>
      </c>
      <c r="D9661" s="140" t="s">
        <v>11</v>
      </c>
      <c r="E9661" s="140" t="s">
        <v>12</v>
      </c>
      <c r="F9661">
        <v>40349.143799999998</v>
      </c>
      <c r="G9661" s="140" t="s">
        <v>233</v>
      </c>
      <c r="H9661">
        <v>0</v>
      </c>
      <c r="I9661" s="140" t="s">
        <v>17</v>
      </c>
    </row>
    <row r="9662" spans="1:9" hidden="1" x14ac:dyDescent="0.25">
      <c r="A9662">
        <v>2028</v>
      </c>
      <c r="B9662" s="140" t="s">
        <v>232</v>
      </c>
      <c r="C9662" s="140" t="s">
        <v>19</v>
      </c>
      <c r="D9662" s="140" t="s">
        <v>11</v>
      </c>
      <c r="E9662" s="140" t="s">
        <v>12</v>
      </c>
      <c r="F9662">
        <v>42043.807840000001</v>
      </c>
      <c r="G9662" s="140" t="s">
        <v>233</v>
      </c>
      <c r="H9662">
        <v>0</v>
      </c>
      <c r="I9662" s="140" t="s">
        <v>17</v>
      </c>
    </row>
    <row r="9663" spans="1:9" hidden="1" x14ac:dyDescent="0.25">
      <c r="A9663">
        <v>1990</v>
      </c>
      <c r="B9663" s="140" t="s">
        <v>536</v>
      </c>
      <c r="C9663" s="140" t="s">
        <v>243</v>
      </c>
      <c r="D9663" s="140" t="s">
        <v>11</v>
      </c>
      <c r="E9663" s="140" t="s">
        <v>12</v>
      </c>
      <c r="F9663">
        <v>31218</v>
      </c>
      <c r="G9663" s="140" t="s">
        <v>537</v>
      </c>
      <c r="H9663">
        <v>0</v>
      </c>
      <c r="I9663" s="140" t="s">
        <v>17</v>
      </c>
    </row>
    <row r="9664" spans="1:9" hidden="1" x14ac:dyDescent="0.25">
      <c r="A9664">
        <v>1991</v>
      </c>
      <c r="B9664" s="140" t="s">
        <v>536</v>
      </c>
      <c r="C9664" s="140" t="s">
        <v>243</v>
      </c>
      <c r="D9664" s="140" t="s">
        <v>11</v>
      </c>
      <c r="E9664" s="140" t="s">
        <v>12</v>
      </c>
      <c r="F9664">
        <v>27904</v>
      </c>
      <c r="G9664" s="140" t="s">
        <v>537</v>
      </c>
      <c r="H9664">
        <v>0</v>
      </c>
      <c r="I9664" s="140" t="s">
        <v>17</v>
      </c>
    </row>
    <row r="9665" spans="1:9" hidden="1" x14ac:dyDescent="0.25">
      <c r="A9665">
        <v>1992</v>
      </c>
      <c r="B9665" s="140" t="s">
        <v>536</v>
      </c>
      <c r="C9665" s="140" t="s">
        <v>243</v>
      </c>
      <c r="D9665" s="140" t="s">
        <v>11</v>
      </c>
      <c r="E9665" s="140" t="s">
        <v>12</v>
      </c>
      <c r="F9665">
        <v>29024</v>
      </c>
      <c r="G9665" s="140" t="s">
        <v>537</v>
      </c>
      <c r="H9665">
        <v>0</v>
      </c>
      <c r="I9665" s="140" t="s">
        <v>17</v>
      </c>
    </row>
    <row r="9666" spans="1:9" hidden="1" x14ac:dyDescent="0.25">
      <c r="A9666">
        <v>1993</v>
      </c>
      <c r="B9666" s="140" t="s">
        <v>536</v>
      </c>
      <c r="C9666" s="140" t="s">
        <v>243</v>
      </c>
      <c r="D9666" s="140" t="s">
        <v>11</v>
      </c>
      <c r="E9666" s="140" t="s">
        <v>12</v>
      </c>
      <c r="F9666">
        <v>32358</v>
      </c>
      <c r="G9666" s="140" t="s">
        <v>537</v>
      </c>
      <c r="H9666">
        <v>0</v>
      </c>
      <c r="I9666" s="140" t="s">
        <v>17</v>
      </c>
    </row>
    <row r="9667" spans="1:9" hidden="1" x14ac:dyDescent="0.25">
      <c r="A9667">
        <v>1994</v>
      </c>
      <c r="B9667" s="140" t="s">
        <v>536</v>
      </c>
      <c r="C9667" s="140" t="s">
        <v>243</v>
      </c>
      <c r="D9667" s="140" t="s">
        <v>11</v>
      </c>
      <c r="E9667" s="140" t="s">
        <v>12</v>
      </c>
      <c r="F9667">
        <v>35868</v>
      </c>
      <c r="G9667" s="140" t="s">
        <v>537</v>
      </c>
      <c r="H9667">
        <v>0</v>
      </c>
      <c r="I9667" s="140" t="s">
        <v>17</v>
      </c>
    </row>
    <row r="9668" spans="1:9" hidden="1" x14ac:dyDescent="0.25">
      <c r="A9668">
        <v>1995</v>
      </c>
      <c r="B9668" s="140" t="s">
        <v>536</v>
      </c>
      <c r="C9668" s="140" t="s">
        <v>243</v>
      </c>
      <c r="D9668" s="140" t="s">
        <v>11</v>
      </c>
      <c r="E9668" s="140" t="s">
        <v>12</v>
      </c>
      <c r="F9668">
        <v>40608</v>
      </c>
      <c r="G9668" s="140" t="s">
        <v>537</v>
      </c>
      <c r="H9668">
        <v>0</v>
      </c>
      <c r="I9668" s="140" t="s">
        <v>17</v>
      </c>
    </row>
    <row r="9669" spans="1:9" hidden="1" x14ac:dyDescent="0.25">
      <c r="A9669">
        <v>1996</v>
      </c>
      <c r="B9669" s="140" t="s">
        <v>536</v>
      </c>
      <c r="C9669" s="140" t="s">
        <v>243</v>
      </c>
      <c r="D9669" s="140" t="s">
        <v>11</v>
      </c>
      <c r="E9669" s="140" t="s">
        <v>12</v>
      </c>
      <c r="F9669">
        <v>41031</v>
      </c>
      <c r="G9669" s="140" t="s">
        <v>537</v>
      </c>
      <c r="H9669">
        <v>0</v>
      </c>
      <c r="I9669" s="140" t="s">
        <v>17</v>
      </c>
    </row>
    <row r="9670" spans="1:9" hidden="1" x14ac:dyDescent="0.25">
      <c r="A9670">
        <v>1997</v>
      </c>
      <c r="B9670" s="140" t="s">
        <v>536</v>
      </c>
      <c r="C9670" s="140" t="s">
        <v>243</v>
      </c>
      <c r="D9670" s="140" t="s">
        <v>11</v>
      </c>
      <c r="E9670" s="140" t="s">
        <v>12</v>
      </c>
      <c r="F9670">
        <v>45350</v>
      </c>
      <c r="G9670" s="140" t="s">
        <v>537</v>
      </c>
      <c r="H9670">
        <v>0</v>
      </c>
      <c r="I9670" s="140" t="s">
        <v>17</v>
      </c>
    </row>
    <row r="9671" spans="1:9" hidden="1" x14ac:dyDescent="0.25">
      <c r="A9671">
        <v>1998</v>
      </c>
      <c r="B9671" s="140" t="s">
        <v>536</v>
      </c>
      <c r="C9671" s="140" t="s">
        <v>243</v>
      </c>
      <c r="D9671" s="140" t="s">
        <v>11</v>
      </c>
      <c r="E9671" s="140" t="s">
        <v>12</v>
      </c>
      <c r="F9671">
        <v>49947</v>
      </c>
      <c r="G9671" s="140" t="s">
        <v>537</v>
      </c>
      <c r="H9671">
        <v>0</v>
      </c>
      <c r="I9671" s="140" t="s">
        <v>17</v>
      </c>
    </row>
    <row r="9672" spans="1:9" hidden="1" x14ac:dyDescent="0.25">
      <c r="A9672">
        <v>1999</v>
      </c>
      <c r="B9672" s="140" t="s">
        <v>536</v>
      </c>
      <c r="C9672" s="140" t="s">
        <v>243</v>
      </c>
      <c r="D9672" s="140" t="s">
        <v>11</v>
      </c>
      <c r="E9672" s="140" t="s">
        <v>12</v>
      </c>
      <c r="F9672">
        <v>52270</v>
      </c>
      <c r="G9672" s="140" t="s">
        <v>537</v>
      </c>
      <c r="H9672">
        <v>0</v>
      </c>
      <c r="I9672" s="140" t="s">
        <v>17</v>
      </c>
    </row>
    <row r="9673" spans="1:9" hidden="1" x14ac:dyDescent="0.25">
      <c r="A9673">
        <v>2000</v>
      </c>
      <c r="B9673" s="140" t="s">
        <v>536</v>
      </c>
      <c r="C9673" s="140" t="s">
        <v>243</v>
      </c>
      <c r="D9673" s="140" t="s">
        <v>11</v>
      </c>
      <c r="E9673" s="140" t="s">
        <v>12</v>
      </c>
      <c r="F9673">
        <v>57470</v>
      </c>
      <c r="G9673" s="140" t="s">
        <v>537</v>
      </c>
      <c r="H9673">
        <v>0</v>
      </c>
      <c r="I9673" s="140" t="s">
        <v>17</v>
      </c>
    </row>
    <row r="9674" spans="1:9" hidden="1" x14ac:dyDescent="0.25">
      <c r="A9674">
        <v>2001</v>
      </c>
      <c r="B9674" s="140" t="s">
        <v>536</v>
      </c>
      <c r="C9674" s="140" t="s">
        <v>243</v>
      </c>
      <c r="D9674" s="140" t="s">
        <v>11</v>
      </c>
      <c r="E9674" s="140" t="s">
        <v>12</v>
      </c>
      <c r="F9674">
        <v>61795</v>
      </c>
      <c r="G9674" s="140" t="s">
        <v>537</v>
      </c>
      <c r="H9674">
        <v>0</v>
      </c>
      <c r="I9674" s="140" t="s">
        <v>17</v>
      </c>
    </row>
    <row r="9675" spans="1:9" hidden="1" x14ac:dyDescent="0.25">
      <c r="A9675">
        <v>2002</v>
      </c>
      <c r="B9675" s="140" t="s">
        <v>536</v>
      </c>
      <c r="C9675" s="140" t="s">
        <v>243</v>
      </c>
      <c r="D9675" s="140" t="s">
        <v>11</v>
      </c>
      <c r="E9675" s="140" t="s">
        <v>12</v>
      </c>
      <c r="F9675">
        <v>62549</v>
      </c>
      <c r="G9675" s="140" t="s">
        <v>537</v>
      </c>
      <c r="H9675">
        <v>0</v>
      </c>
      <c r="I9675" s="140" t="s">
        <v>17</v>
      </c>
    </row>
    <row r="9676" spans="1:9" hidden="1" x14ac:dyDescent="0.25">
      <c r="A9676">
        <v>2003</v>
      </c>
      <c r="B9676" s="140" t="s">
        <v>536</v>
      </c>
      <c r="C9676" s="140" t="s">
        <v>243</v>
      </c>
      <c r="D9676" s="140" t="s">
        <v>11</v>
      </c>
      <c r="E9676" s="140" t="s">
        <v>12</v>
      </c>
      <c r="F9676">
        <v>63080</v>
      </c>
      <c r="G9676" s="140" t="s">
        <v>537</v>
      </c>
      <c r="H9676">
        <v>0</v>
      </c>
      <c r="I9676" s="140" t="s">
        <v>17</v>
      </c>
    </row>
    <row r="9677" spans="1:9" hidden="1" x14ac:dyDescent="0.25">
      <c r="A9677">
        <v>2004</v>
      </c>
      <c r="B9677" s="140" t="s">
        <v>536</v>
      </c>
      <c r="C9677" s="140" t="s">
        <v>243</v>
      </c>
      <c r="D9677" s="140" t="s">
        <v>11</v>
      </c>
      <c r="E9677" s="140" t="s">
        <v>12</v>
      </c>
      <c r="F9677">
        <v>66905</v>
      </c>
      <c r="G9677" s="140" t="s">
        <v>537</v>
      </c>
      <c r="H9677">
        <v>0</v>
      </c>
      <c r="I9677" s="140" t="s">
        <v>17</v>
      </c>
    </row>
    <row r="9678" spans="1:9" hidden="1" x14ac:dyDescent="0.25">
      <c r="A9678">
        <v>2005</v>
      </c>
      <c r="B9678" s="140" t="s">
        <v>536</v>
      </c>
      <c r="C9678" s="140" t="s">
        <v>243</v>
      </c>
      <c r="D9678" s="140" t="s">
        <v>11</v>
      </c>
      <c r="E9678" s="140" t="s">
        <v>12</v>
      </c>
      <c r="F9678">
        <v>68160</v>
      </c>
      <c r="G9678" s="140" t="s">
        <v>537</v>
      </c>
      <c r="H9678">
        <v>0</v>
      </c>
      <c r="I9678" s="140" t="s">
        <v>17</v>
      </c>
    </row>
    <row r="9679" spans="1:9" hidden="1" x14ac:dyDescent="0.25">
      <c r="A9679">
        <v>2006</v>
      </c>
      <c r="B9679" s="140" t="s">
        <v>536</v>
      </c>
      <c r="C9679" s="140" t="s">
        <v>243</v>
      </c>
      <c r="D9679" s="140" t="s">
        <v>11</v>
      </c>
      <c r="E9679" s="140" t="s">
        <v>12</v>
      </c>
      <c r="F9679">
        <v>71571</v>
      </c>
      <c r="G9679" s="140" t="s">
        <v>537</v>
      </c>
      <c r="H9679">
        <v>0</v>
      </c>
      <c r="I9679" s="140" t="s">
        <v>17</v>
      </c>
    </row>
    <row r="9680" spans="1:9" hidden="1" x14ac:dyDescent="0.25">
      <c r="A9680">
        <v>2007</v>
      </c>
      <c r="B9680" s="140" t="s">
        <v>536</v>
      </c>
      <c r="C9680" s="140" t="s">
        <v>243</v>
      </c>
      <c r="D9680" s="140" t="s">
        <v>11</v>
      </c>
      <c r="E9680" s="140" t="s">
        <v>12</v>
      </c>
      <c r="F9680">
        <v>80457</v>
      </c>
      <c r="G9680" s="140" t="s">
        <v>537</v>
      </c>
      <c r="H9680">
        <v>0</v>
      </c>
      <c r="I9680" s="140" t="s">
        <v>17</v>
      </c>
    </row>
    <row r="9681" spans="1:9" hidden="1" x14ac:dyDescent="0.25">
      <c r="A9681">
        <v>2008</v>
      </c>
      <c r="B9681" s="140" t="s">
        <v>536</v>
      </c>
      <c r="C9681" s="140" t="s">
        <v>243</v>
      </c>
      <c r="D9681" s="140" t="s">
        <v>11</v>
      </c>
      <c r="E9681" s="140" t="s">
        <v>12</v>
      </c>
      <c r="F9681">
        <v>81714</v>
      </c>
      <c r="G9681" s="140" t="s">
        <v>537</v>
      </c>
      <c r="H9681">
        <v>0</v>
      </c>
      <c r="I9681" s="140" t="s">
        <v>17</v>
      </c>
    </row>
    <row r="9682" spans="1:9" hidden="1" x14ac:dyDescent="0.25">
      <c r="A9682">
        <v>2009</v>
      </c>
      <c r="B9682" s="140" t="s">
        <v>536</v>
      </c>
      <c r="C9682" s="140" t="s">
        <v>243</v>
      </c>
      <c r="D9682" s="140" t="s">
        <v>11</v>
      </c>
      <c r="E9682" s="140" t="s">
        <v>12</v>
      </c>
      <c r="F9682">
        <v>71005</v>
      </c>
      <c r="G9682" s="140" t="s">
        <v>537</v>
      </c>
      <c r="H9682">
        <v>0</v>
      </c>
      <c r="I9682" s="140" t="s">
        <v>17</v>
      </c>
    </row>
    <row r="9683" spans="1:9" hidden="1" x14ac:dyDescent="0.25">
      <c r="A9683">
        <v>2010</v>
      </c>
      <c r="B9683" s="140" t="s">
        <v>536</v>
      </c>
      <c r="C9683" s="140" t="s">
        <v>243</v>
      </c>
      <c r="D9683" s="140" t="s">
        <v>11</v>
      </c>
      <c r="E9683" s="140" t="s">
        <v>12</v>
      </c>
      <c r="F9683">
        <v>73437</v>
      </c>
      <c r="G9683" s="140" t="s">
        <v>537</v>
      </c>
      <c r="H9683">
        <v>0</v>
      </c>
      <c r="I9683" s="140" t="s">
        <v>17</v>
      </c>
    </row>
    <row r="9684" spans="1:9" hidden="1" x14ac:dyDescent="0.25">
      <c r="A9684">
        <v>2011</v>
      </c>
      <c r="B9684" s="140" t="s">
        <v>536</v>
      </c>
      <c r="C9684" s="140" t="s">
        <v>243</v>
      </c>
      <c r="D9684" s="140" t="s">
        <v>11</v>
      </c>
      <c r="E9684" s="140" t="s">
        <v>12</v>
      </c>
      <c r="F9684">
        <v>75504</v>
      </c>
      <c r="G9684" s="140" t="s">
        <v>537</v>
      </c>
      <c r="H9684">
        <v>0</v>
      </c>
      <c r="I9684" s="140" t="s">
        <v>17</v>
      </c>
    </row>
    <row r="9685" spans="1:9" hidden="1" x14ac:dyDescent="0.25">
      <c r="A9685">
        <v>2012</v>
      </c>
      <c r="B9685" s="140" t="s">
        <v>536</v>
      </c>
      <c r="C9685" s="140" t="s">
        <v>243</v>
      </c>
      <c r="D9685" s="140" t="s">
        <v>11</v>
      </c>
      <c r="E9685" s="140" t="s">
        <v>12</v>
      </c>
      <c r="F9685">
        <v>74046</v>
      </c>
      <c r="G9685" s="140" t="s">
        <v>537</v>
      </c>
      <c r="H9685">
        <v>0</v>
      </c>
      <c r="I9685" s="140" t="s">
        <v>17</v>
      </c>
    </row>
    <row r="9686" spans="1:9" hidden="1" x14ac:dyDescent="0.25">
      <c r="A9686">
        <v>2013</v>
      </c>
      <c r="B9686" s="140" t="s">
        <v>536</v>
      </c>
      <c r="C9686" s="140" t="s">
        <v>243</v>
      </c>
      <c r="D9686" s="140" t="s">
        <v>11</v>
      </c>
      <c r="E9686" s="140" t="s">
        <v>12</v>
      </c>
      <c r="F9686">
        <v>75046</v>
      </c>
      <c r="G9686" s="140" t="s">
        <v>537</v>
      </c>
      <c r="H9686">
        <v>0</v>
      </c>
      <c r="I9686" s="140" t="s">
        <v>17</v>
      </c>
    </row>
    <row r="9687" spans="1:9" hidden="1" x14ac:dyDescent="0.25">
      <c r="A9687">
        <v>2014</v>
      </c>
      <c r="B9687" s="140" t="s">
        <v>536</v>
      </c>
      <c r="C9687" s="140" t="s">
        <v>243</v>
      </c>
      <c r="D9687" s="140" t="s">
        <v>11</v>
      </c>
      <c r="E9687" s="140" t="s">
        <v>12</v>
      </c>
      <c r="F9687">
        <v>76787</v>
      </c>
      <c r="G9687" s="140" t="s">
        <v>537</v>
      </c>
      <c r="H9687">
        <v>0</v>
      </c>
      <c r="I9687" s="140" t="s">
        <v>17</v>
      </c>
    </row>
    <row r="9688" spans="1:9" hidden="1" x14ac:dyDescent="0.25">
      <c r="A9688">
        <v>2015</v>
      </c>
      <c r="B9688" s="140" t="s">
        <v>536</v>
      </c>
      <c r="C9688" s="140" t="s">
        <v>243</v>
      </c>
      <c r="D9688" s="140" t="s">
        <v>11</v>
      </c>
      <c r="E9688" s="140" t="s">
        <v>12</v>
      </c>
      <c r="F9688">
        <v>79685</v>
      </c>
      <c r="G9688" s="140" t="s">
        <v>537</v>
      </c>
      <c r="H9688">
        <v>0</v>
      </c>
      <c r="I9688" s="140" t="s">
        <v>17</v>
      </c>
    </row>
    <row r="9689" spans="1:9" hidden="1" x14ac:dyDescent="0.25">
      <c r="A9689">
        <v>2016</v>
      </c>
      <c r="B9689" s="140" t="s">
        <v>536</v>
      </c>
      <c r="C9689" s="140" t="s">
        <v>243</v>
      </c>
      <c r="D9689" s="140" t="s">
        <v>11</v>
      </c>
      <c r="E9689" s="140" t="s">
        <v>12</v>
      </c>
      <c r="F9689">
        <v>81909</v>
      </c>
      <c r="G9689" s="140" t="s">
        <v>537</v>
      </c>
      <c r="H9689">
        <v>0</v>
      </c>
      <c r="I9689" s="140" t="s">
        <v>17</v>
      </c>
    </row>
    <row r="9690" spans="1:9" hidden="1" x14ac:dyDescent="0.25">
      <c r="A9690">
        <v>2017</v>
      </c>
      <c r="B9690" s="140" t="s">
        <v>536</v>
      </c>
      <c r="C9690" s="140" t="s">
        <v>243</v>
      </c>
      <c r="D9690" s="140" t="s">
        <v>11</v>
      </c>
      <c r="E9690" s="140" t="s">
        <v>12</v>
      </c>
      <c r="F9690">
        <v>89477</v>
      </c>
      <c r="G9690" s="140" t="s">
        <v>537</v>
      </c>
      <c r="H9690">
        <v>0</v>
      </c>
      <c r="I9690" s="140" t="s">
        <v>17</v>
      </c>
    </row>
    <row r="9691" spans="1:9" hidden="1" x14ac:dyDescent="0.25">
      <c r="A9691">
        <v>2018</v>
      </c>
      <c r="B9691" s="140" t="s">
        <v>536</v>
      </c>
      <c r="C9691" s="140" t="s">
        <v>243</v>
      </c>
      <c r="D9691" s="140" t="s">
        <v>11</v>
      </c>
      <c r="E9691" s="140" t="s">
        <v>12</v>
      </c>
      <c r="F9691">
        <v>91049</v>
      </c>
      <c r="G9691" s="140" t="s">
        <v>537</v>
      </c>
      <c r="H9691">
        <v>0</v>
      </c>
      <c r="I9691" s="140" t="s">
        <v>17</v>
      </c>
    </row>
    <row r="9692" spans="1:9" hidden="1" x14ac:dyDescent="0.25">
      <c r="A9692">
        <v>2019</v>
      </c>
      <c r="B9692" s="140" t="s">
        <v>536</v>
      </c>
      <c r="C9692" s="140" t="s">
        <v>243</v>
      </c>
      <c r="D9692" s="140" t="s">
        <v>11</v>
      </c>
      <c r="E9692" s="140" t="s">
        <v>12</v>
      </c>
      <c r="F9692">
        <v>93349</v>
      </c>
      <c r="G9692" s="140" t="s">
        <v>537</v>
      </c>
      <c r="H9692">
        <v>0</v>
      </c>
      <c r="I9692" s="140" t="s">
        <v>17</v>
      </c>
    </row>
    <row r="9693" spans="1:9" hidden="1" x14ac:dyDescent="0.25">
      <c r="A9693">
        <v>2020</v>
      </c>
      <c r="B9693" s="140" t="s">
        <v>536</v>
      </c>
      <c r="C9693" s="140" t="s">
        <v>243</v>
      </c>
      <c r="D9693" s="140" t="s">
        <v>11</v>
      </c>
      <c r="E9693" s="140" t="s">
        <v>12</v>
      </c>
      <c r="F9693">
        <v>95130</v>
      </c>
      <c r="G9693" s="140" t="s">
        <v>537</v>
      </c>
      <c r="H9693">
        <v>0</v>
      </c>
      <c r="I9693" s="140" t="s">
        <v>17</v>
      </c>
    </row>
    <row r="9694" spans="1:9" hidden="1" x14ac:dyDescent="0.25">
      <c r="A9694">
        <v>2021</v>
      </c>
      <c r="B9694" s="140" t="s">
        <v>536</v>
      </c>
      <c r="C9694" s="140" t="s">
        <v>243</v>
      </c>
      <c r="D9694" s="140" t="s">
        <v>11</v>
      </c>
      <c r="E9694" s="140" t="s">
        <v>12</v>
      </c>
      <c r="F9694">
        <v>98335</v>
      </c>
      <c r="G9694" s="140" t="s">
        <v>537</v>
      </c>
      <c r="H9694">
        <v>0</v>
      </c>
      <c r="I9694" s="140" t="s">
        <v>17</v>
      </c>
    </row>
    <row r="9695" spans="1:9" hidden="1" x14ac:dyDescent="0.25">
      <c r="A9695">
        <v>2022</v>
      </c>
      <c r="B9695" s="140" t="s">
        <v>536</v>
      </c>
      <c r="C9695" s="140" t="s">
        <v>243</v>
      </c>
      <c r="D9695" s="140" t="s">
        <v>11</v>
      </c>
      <c r="E9695" s="140" t="s">
        <v>12</v>
      </c>
      <c r="F9695">
        <v>104316</v>
      </c>
      <c r="G9695" s="140" t="s">
        <v>537</v>
      </c>
      <c r="H9695">
        <v>0</v>
      </c>
      <c r="I9695" s="140" t="s">
        <v>17</v>
      </c>
    </row>
    <row r="9696" spans="1:9" hidden="1" x14ac:dyDescent="0.25">
      <c r="A9696">
        <v>2023</v>
      </c>
      <c r="B9696" s="140" t="s">
        <v>536</v>
      </c>
      <c r="C9696" s="140" t="s">
        <v>243</v>
      </c>
      <c r="D9696" s="140" t="s">
        <v>11</v>
      </c>
      <c r="E9696" s="140" t="s">
        <v>12</v>
      </c>
      <c r="F9696">
        <v>105997</v>
      </c>
      <c r="G9696" s="140" t="s">
        <v>537</v>
      </c>
      <c r="H9696">
        <v>0</v>
      </c>
      <c r="I9696" s="140" t="s">
        <v>17</v>
      </c>
    </row>
    <row r="9697" spans="1:9" hidden="1" x14ac:dyDescent="0.25">
      <c r="A9697">
        <v>2024</v>
      </c>
      <c r="B9697" s="140" t="s">
        <v>536</v>
      </c>
      <c r="C9697" s="140" t="s">
        <v>243</v>
      </c>
      <c r="D9697" s="140" t="s">
        <v>11</v>
      </c>
      <c r="E9697" s="140" t="s">
        <v>12</v>
      </c>
      <c r="F9697">
        <v>107971</v>
      </c>
      <c r="G9697" s="140" t="s">
        <v>537</v>
      </c>
      <c r="H9697">
        <v>0</v>
      </c>
      <c r="I9697" s="140" t="s">
        <v>17</v>
      </c>
    </row>
    <row r="9698" spans="1:9" hidden="1" x14ac:dyDescent="0.25">
      <c r="A9698">
        <v>2025</v>
      </c>
      <c r="B9698" s="140" t="s">
        <v>536</v>
      </c>
      <c r="C9698" s="140" t="s">
        <v>243</v>
      </c>
      <c r="D9698" s="140" t="s">
        <v>11</v>
      </c>
      <c r="E9698" s="140" t="s">
        <v>12</v>
      </c>
      <c r="F9698">
        <v>108939</v>
      </c>
      <c r="G9698" s="140" t="s">
        <v>537</v>
      </c>
      <c r="H9698">
        <v>0</v>
      </c>
      <c r="I9698" s="140" t="s">
        <v>17</v>
      </c>
    </row>
    <row r="9699" spans="1:9" hidden="1" x14ac:dyDescent="0.25">
      <c r="A9699">
        <v>2026</v>
      </c>
      <c r="B9699" s="140" t="s">
        <v>536</v>
      </c>
      <c r="C9699" s="140" t="s">
        <v>243</v>
      </c>
      <c r="D9699" s="140" t="s">
        <v>11</v>
      </c>
      <c r="E9699" s="140" t="s">
        <v>12</v>
      </c>
      <c r="F9699">
        <v>113127.7184</v>
      </c>
      <c r="G9699" s="140" t="s">
        <v>537</v>
      </c>
      <c r="H9699">
        <v>0</v>
      </c>
      <c r="I9699" s="140" t="s">
        <v>17</v>
      </c>
    </row>
    <row r="9700" spans="1:9" hidden="1" x14ac:dyDescent="0.25">
      <c r="A9700">
        <v>2027</v>
      </c>
      <c r="B9700" s="140" t="s">
        <v>536</v>
      </c>
      <c r="C9700" s="140" t="s">
        <v>243</v>
      </c>
      <c r="D9700" s="140" t="s">
        <v>11</v>
      </c>
      <c r="E9700" s="140" t="s">
        <v>12</v>
      </c>
      <c r="F9700">
        <v>117457.5564</v>
      </c>
      <c r="G9700" s="140" t="s">
        <v>537</v>
      </c>
      <c r="H9700">
        <v>0</v>
      </c>
      <c r="I9700" s="140" t="s">
        <v>17</v>
      </c>
    </row>
    <row r="9701" spans="1:9" hidden="1" x14ac:dyDescent="0.25">
      <c r="A9701">
        <v>2028</v>
      </c>
      <c r="B9701" s="140" t="s">
        <v>536</v>
      </c>
      <c r="C9701" s="140" t="s">
        <v>243</v>
      </c>
      <c r="D9701" s="140" t="s">
        <v>11</v>
      </c>
      <c r="E9701" s="140" t="s">
        <v>12</v>
      </c>
      <c r="F9701">
        <v>122006.73149999999</v>
      </c>
      <c r="G9701" s="140" t="s">
        <v>537</v>
      </c>
      <c r="H9701">
        <v>0</v>
      </c>
      <c r="I9701" s="140" t="s">
        <v>17</v>
      </c>
    </row>
    <row r="9702" spans="1:9" hidden="1" x14ac:dyDescent="0.25">
      <c r="A9702">
        <v>2029</v>
      </c>
      <c r="B9702" s="140" t="s">
        <v>536</v>
      </c>
      <c r="C9702" s="140" t="s">
        <v>243</v>
      </c>
      <c r="D9702" s="140" t="s">
        <v>11</v>
      </c>
      <c r="E9702" s="140" t="s">
        <v>12</v>
      </c>
      <c r="F9702">
        <v>126485.9666</v>
      </c>
      <c r="G9702" s="140" t="s">
        <v>537</v>
      </c>
      <c r="H9702">
        <v>0</v>
      </c>
      <c r="I9702" s="140" t="s">
        <v>17</v>
      </c>
    </row>
    <row r="9703" spans="1:9" hidden="1" x14ac:dyDescent="0.25">
      <c r="A9703">
        <v>2030</v>
      </c>
      <c r="B9703" s="140" t="s">
        <v>536</v>
      </c>
      <c r="C9703" s="140" t="s">
        <v>243</v>
      </c>
      <c r="D9703" s="140" t="s">
        <v>11</v>
      </c>
      <c r="E9703" s="140" t="s">
        <v>12</v>
      </c>
      <c r="F9703">
        <v>130547.02280000001</v>
      </c>
      <c r="G9703" s="140" t="s">
        <v>537</v>
      </c>
      <c r="H9703">
        <v>0</v>
      </c>
      <c r="I9703" s="140" t="s">
        <v>17</v>
      </c>
    </row>
    <row r="9704" spans="1:9" hidden="1" x14ac:dyDescent="0.25">
      <c r="A9704">
        <v>2019</v>
      </c>
      <c r="B9704" s="140" t="s">
        <v>511</v>
      </c>
      <c r="C9704" s="140" t="s">
        <v>512</v>
      </c>
      <c r="D9704" s="140" t="s">
        <v>11</v>
      </c>
      <c r="E9704" s="140" t="s">
        <v>12</v>
      </c>
      <c r="F9704">
        <v>1.4391025639999999</v>
      </c>
      <c r="G9704" s="140" t="s">
        <v>513</v>
      </c>
      <c r="H9704">
        <v>0</v>
      </c>
      <c r="I9704" s="140" t="s">
        <v>14</v>
      </c>
    </row>
    <row r="9705" spans="1:9" hidden="1" x14ac:dyDescent="0.25">
      <c r="A9705">
        <v>2020</v>
      </c>
      <c r="B9705" s="140" t="s">
        <v>511</v>
      </c>
      <c r="C9705" s="140" t="s">
        <v>512</v>
      </c>
      <c r="D9705" s="140" t="s">
        <v>11</v>
      </c>
      <c r="E9705" s="140" t="s">
        <v>12</v>
      </c>
      <c r="F9705">
        <v>12.7444785</v>
      </c>
      <c r="G9705" s="140" t="s">
        <v>513</v>
      </c>
      <c r="H9705">
        <v>0</v>
      </c>
      <c r="I9705" s="140" t="s">
        <v>14</v>
      </c>
    </row>
    <row r="9706" spans="1:9" hidden="1" x14ac:dyDescent="0.25">
      <c r="A9706">
        <v>2021</v>
      </c>
      <c r="B9706" s="140" t="s">
        <v>511</v>
      </c>
      <c r="C9706" s="140" t="s">
        <v>512</v>
      </c>
      <c r="D9706" s="140" t="s">
        <v>11</v>
      </c>
      <c r="E9706" s="140" t="s">
        <v>12</v>
      </c>
      <c r="F9706">
        <v>16.114341759999999</v>
      </c>
      <c r="G9706" s="140" t="s">
        <v>513</v>
      </c>
      <c r="H9706">
        <v>0</v>
      </c>
      <c r="I9706" s="140" t="s">
        <v>14</v>
      </c>
    </row>
    <row r="9707" spans="1:9" hidden="1" x14ac:dyDescent="0.25">
      <c r="A9707">
        <v>2022</v>
      </c>
      <c r="B9707" s="140" t="s">
        <v>511</v>
      </c>
      <c r="C9707" s="140" t="s">
        <v>512</v>
      </c>
      <c r="D9707" s="140" t="s">
        <v>11</v>
      </c>
      <c r="E9707" s="140" t="s">
        <v>12</v>
      </c>
      <c r="F9707">
        <v>-14.764979179999999</v>
      </c>
      <c r="G9707" s="140" t="s">
        <v>513</v>
      </c>
      <c r="H9707">
        <v>0</v>
      </c>
      <c r="I9707" s="140" t="s">
        <v>14</v>
      </c>
    </row>
    <row r="9708" spans="1:9" hidden="1" x14ac:dyDescent="0.25">
      <c r="A9708">
        <v>2023</v>
      </c>
      <c r="B9708" s="140" t="s">
        <v>511</v>
      </c>
      <c r="C9708" s="140" t="s">
        <v>512</v>
      </c>
      <c r="D9708" s="140" t="s">
        <v>11</v>
      </c>
      <c r="E9708" s="140" t="s">
        <v>12</v>
      </c>
      <c r="F9708">
        <v>-21.44131389</v>
      </c>
      <c r="G9708" s="140" t="s">
        <v>513</v>
      </c>
      <c r="H9708">
        <v>0</v>
      </c>
      <c r="I9708" s="140" t="s">
        <v>14</v>
      </c>
    </row>
    <row r="9709" spans="1:9" hidden="1" x14ac:dyDescent="0.25">
      <c r="A9709">
        <v>2024</v>
      </c>
      <c r="B9709" s="140" t="s">
        <v>511</v>
      </c>
      <c r="C9709" s="140" t="s">
        <v>512</v>
      </c>
      <c r="D9709" s="140" t="s">
        <v>11</v>
      </c>
      <c r="E9709" s="140" t="s">
        <v>12</v>
      </c>
      <c r="F9709">
        <v>0.81461990399999995</v>
      </c>
      <c r="G9709" s="140" t="s">
        <v>513</v>
      </c>
      <c r="H9709">
        <v>0</v>
      </c>
      <c r="I9709" s="140" t="s">
        <v>14</v>
      </c>
    </row>
    <row r="9710" spans="1:9" hidden="1" x14ac:dyDescent="0.25">
      <c r="A9710">
        <v>2025</v>
      </c>
      <c r="B9710" s="140" t="s">
        <v>511</v>
      </c>
      <c r="C9710" s="140" t="s">
        <v>512</v>
      </c>
      <c r="D9710" s="140" t="s">
        <v>11</v>
      </c>
      <c r="E9710" s="140" t="s">
        <v>12</v>
      </c>
      <c r="F9710">
        <v>23.618581859999999</v>
      </c>
      <c r="G9710" s="140" t="s">
        <v>513</v>
      </c>
      <c r="H9710">
        <v>0</v>
      </c>
      <c r="I9710" s="140" t="s">
        <v>14</v>
      </c>
    </row>
    <row r="9711" spans="1:9" hidden="1" x14ac:dyDescent="0.25">
      <c r="A9711">
        <v>2026</v>
      </c>
      <c r="B9711" s="140" t="s">
        <v>511</v>
      </c>
      <c r="C9711" s="140" t="s">
        <v>512</v>
      </c>
      <c r="D9711" s="140" t="s">
        <v>11</v>
      </c>
      <c r="E9711" s="140" t="s">
        <v>12</v>
      </c>
      <c r="F9711">
        <v>-4.7968320599999998</v>
      </c>
      <c r="G9711" s="140" t="s">
        <v>513</v>
      </c>
      <c r="H9711">
        <v>0</v>
      </c>
      <c r="I9711" s="140" t="s">
        <v>14</v>
      </c>
    </row>
    <row r="9712" spans="1:9" hidden="1" x14ac:dyDescent="0.25">
      <c r="A9712">
        <v>2027</v>
      </c>
      <c r="B9712" s="140" t="s">
        <v>511</v>
      </c>
      <c r="C9712" s="140" t="s">
        <v>512</v>
      </c>
      <c r="D9712" s="140" t="s">
        <v>11</v>
      </c>
      <c r="E9712" s="140" t="s">
        <v>12</v>
      </c>
      <c r="F9712">
        <v>2.5669168189999998</v>
      </c>
      <c r="G9712" s="140" t="s">
        <v>513</v>
      </c>
      <c r="H9712">
        <v>0</v>
      </c>
      <c r="I9712" s="140" t="s">
        <v>14</v>
      </c>
    </row>
    <row r="9713" spans="1:9" hidden="1" x14ac:dyDescent="0.25">
      <c r="A9713">
        <v>2028</v>
      </c>
      <c r="B9713" s="140" t="s">
        <v>511</v>
      </c>
      <c r="C9713" s="140" t="s">
        <v>512</v>
      </c>
      <c r="D9713" s="140" t="s">
        <v>11</v>
      </c>
      <c r="E9713" s="140" t="s">
        <v>12</v>
      </c>
      <c r="F9713">
        <v>1.5</v>
      </c>
      <c r="G9713" s="140" t="s">
        <v>513</v>
      </c>
      <c r="H9713">
        <v>0</v>
      </c>
      <c r="I9713" s="140" t="s">
        <v>14</v>
      </c>
    </row>
    <row r="9714" spans="1:9" hidden="1" x14ac:dyDescent="0.25">
      <c r="A9714">
        <v>2019</v>
      </c>
      <c r="B9714" s="140" t="s">
        <v>511</v>
      </c>
      <c r="C9714" s="140" t="s">
        <v>514</v>
      </c>
      <c r="D9714" s="140" t="s">
        <v>11</v>
      </c>
      <c r="E9714" s="140" t="s">
        <v>12</v>
      </c>
      <c r="F9714">
        <v>0.657400451</v>
      </c>
      <c r="G9714" s="140" t="s">
        <v>513</v>
      </c>
      <c r="H9714">
        <v>0</v>
      </c>
      <c r="I9714" s="140" t="s">
        <v>14</v>
      </c>
    </row>
    <row r="9715" spans="1:9" hidden="1" x14ac:dyDescent="0.25">
      <c r="A9715">
        <v>2020</v>
      </c>
      <c r="B9715" s="140" t="s">
        <v>511</v>
      </c>
      <c r="C9715" s="140" t="s">
        <v>514</v>
      </c>
      <c r="D9715" s="140" t="s">
        <v>11</v>
      </c>
      <c r="E9715" s="140" t="s">
        <v>12</v>
      </c>
      <c r="F9715">
        <v>1.4741556259999999</v>
      </c>
      <c r="G9715" s="140" t="s">
        <v>513</v>
      </c>
      <c r="H9715">
        <v>0</v>
      </c>
      <c r="I9715" s="140" t="s">
        <v>14</v>
      </c>
    </row>
    <row r="9716" spans="1:9" hidden="1" x14ac:dyDescent="0.25">
      <c r="A9716">
        <v>2021</v>
      </c>
      <c r="B9716" s="140" t="s">
        <v>511</v>
      </c>
      <c r="C9716" s="140" t="s">
        <v>514</v>
      </c>
      <c r="D9716" s="140" t="s">
        <v>11</v>
      </c>
      <c r="E9716" s="140" t="s">
        <v>12</v>
      </c>
      <c r="F9716">
        <v>3.7881574109999998</v>
      </c>
      <c r="G9716" s="140" t="s">
        <v>513</v>
      </c>
      <c r="H9716">
        <v>0</v>
      </c>
      <c r="I9716" s="140" t="s">
        <v>14</v>
      </c>
    </row>
    <row r="9717" spans="1:9" hidden="1" x14ac:dyDescent="0.25">
      <c r="A9717">
        <v>2022</v>
      </c>
      <c r="B9717" s="140" t="s">
        <v>511</v>
      </c>
      <c r="C9717" s="140" t="s">
        <v>514</v>
      </c>
      <c r="D9717" s="140" t="s">
        <v>11</v>
      </c>
      <c r="E9717" s="140" t="s">
        <v>12</v>
      </c>
      <c r="F9717">
        <v>0.28348688900000002</v>
      </c>
      <c r="G9717" s="140" t="s">
        <v>513</v>
      </c>
      <c r="H9717">
        <v>0</v>
      </c>
      <c r="I9717" s="140" t="s">
        <v>14</v>
      </c>
    </row>
    <row r="9718" spans="1:9" hidden="1" x14ac:dyDescent="0.25">
      <c r="A9718">
        <v>2023</v>
      </c>
      <c r="B9718" s="140" t="s">
        <v>511</v>
      </c>
      <c r="C9718" s="140" t="s">
        <v>514</v>
      </c>
      <c r="D9718" s="140" t="s">
        <v>11</v>
      </c>
      <c r="E9718" s="140" t="s">
        <v>12</v>
      </c>
      <c r="F9718">
        <v>-6.4664310949999999</v>
      </c>
      <c r="G9718" s="140" t="s">
        <v>513</v>
      </c>
      <c r="H9718">
        <v>0</v>
      </c>
      <c r="I9718" s="140" t="s">
        <v>14</v>
      </c>
    </row>
    <row r="9719" spans="1:9" hidden="1" x14ac:dyDescent="0.25">
      <c r="A9719">
        <v>2024</v>
      </c>
      <c r="B9719" s="140" t="s">
        <v>511</v>
      </c>
      <c r="C9719" s="140" t="s">
        <v>514</v>
      </c>
      <c r="D9719" s="140" t="s">
        <v>11</v>
      </c>
      <c r="E9719" s="140" t="s">
        <v>12</v>
      </c>
      <c r="F9719">
        <v>-3.5134114090000002</v>
      </c>
      <c r="G9719" s="140" t="s">
        <v>513</v>
      </c>
      <c r="H9719">
        <v>0</v>
      </c>
      <c r="I9719" s="140" t="s">
        <v>14</v>
      </c>
    </row>
    <row r="9720" spans="1:9" hidden="1" x14ac:dyDescent="0.25">
      <c r="A9720">
        <v>2025</v>
      </c>
      <c r="B9720" s="140" t="s">
        <v>511</v>
      </c>
      <c r="C9720" s="140" t="s">
        <v>514</v>
      </c>
      <c r="D9720" s="140" t="s">
        <v>11</v>
      </c>
      <c r="E9720" s="140" t="s">
        <v>12</v>
      </c>
      <c r="F9720">
        <v>-2.8191072830000001</v>
      </c>
      <c r="G9720" s="140" t="s">
        <v>513</v>
      </c>
      <c r="H9720">
        <v>0</v>
      </c>
      <c r="I9720" s="140" t="s">
        <v>14</v>
      </c>
    </row>
    <row r="9721" spans="1:9" hidden="1" x14ac:dyDescent="0.25">
      <c r="A9721">
        <v>2026</v>
      </c>
      <c r="B9721" s="140" t="s">
        <v>511</v>
      </c>
      <c r="C9721" s="140" t="s">
        <v>514</v>
      </c>
      <c r="D9721" s="140" t="s">
        <v>11</v>
      </c>
      <c r="E9721" s="140" t="s">
        <v>12</v>
      </c>
      <c r="F9721">
        <v>-2.4356467369999999</v>
      </c>
      <c r="G9721" s="140" t="s">
        <v>513</v>
      </c>
      <c r="H9721">
        <v>0</v>
      </c>
      <c r="I9721" s="140" t="s">
        <v>14</v>
      </c>
    </row>
    <row r="9722" spans="1:9" hidden="1" x14ac:dyDescent="0.25">
      <c r="A9722">
        <v>2027</v>
      </c>
      <c r="B9722" s="140" t="s">
        <v>511</v>
      </c>
      <c r="C9722" s="140" t="s">
        <v>514</v>
      </c>
      <c r="D9722" s="140" t="s">
        <v>11</v>
      </c>
      <c r="E9722" s="140" t="s">
        <v>12</v>
      </c>
      <c r="F9722">
        <v>2.0599130140000002</v>
      </c>
      <c r="G9722" s="140" t="s">
        <v>513</v>
      </c>
      <c r="H9722">
        <v>0</v>
      </c>
      <c r="I9722" s="140" t="s">
        <v>14</v>
      </c>
    </row>
    <row r="9723" spans="1:9" hidden="1" x14ac:dyDescent="0.25">
      <c r="A9723">
        <v>2028</v>
      </c>
      <c r="B9723" s="140" t="s">
        <v>511</v>
      </c>
      <c r="C9723" s="140" t="s">
        <v>514</v>
      </c>
      <c r="D9723" s="140" t="s">
        <v>11</v>
      </c>
      <c r="E9723" s="140" t="s">
        <v>12</v>
      </c>
      <c r="F9723">
        <v>2.8749901119999999</v>
      </c>
      <c r="G9723" s="140" t="s">
        <v>513</v>
      </c>
      <c r="H9723">
        <v>0</v>
      </c>
      <c r="I9723" s="140" t="s">
        <v>14</v>
      </c>
    </row>
    <row r="9724" spans="1:9" hidden="1" x14ac:dyDescent="0.25">
      <c r="A9724">
        <v>2019</v>
      </c>
      <c r="B9724" s="140" t="s">
        <v>511</v>
      </c>
      <c r="C9724" s="140" t="s">
        <v>515</v>
      </c>
      <c r="D9724" s="140" t="s">
        <v>11</v>
      </c>
      <c r="E9724" s="140" t="s">
        <v>12</v>
      </c>
      <c r="F9724">
        <v>2.1191704059999998</v>
      </c>
      <c r="G9724" s="140" t="s">
        <v>513</v>
      </c>
      <c r="H9724">
        <v>0</v>
      </c>
      <c r="I9724" s="140" t="s">
        <v>14</v>
      </c>
    </row>
    <row r="9725" spans="1:9" hidden="1" x14ac:dyDescent="0.25">
      <c r="A9725">
        <v>2020</v>
      </c>
      <c r="B9725" s="140" t="s">
        <v>511</v>
      </c>
      <c r="C9725" s="140" t="s">
        <v>515</v>
      </c>
      <c r="D9725" s="140" t="s">
        <v>11</v>
      </c>
      <c r="E9725" s="140" t="s">
        <v>12</v>
      </c>
      <c r="F9725">
        <v>14.44965215</v>
      </c>
      <c r="G9725" s="140" t="s">
        <v>513</v>
      </c>
      <c r="H9725">
        <v>0</v>
      </c>
      <c r="I9725" s="140" t="s">
        <v>14</v>
      </c>
    </row>
    <row r="9726" spans="1:9" hidden="1" x14ac:dyDescent="0.25">
      <c r="A9726">
        <v>2021</v>
      </c>
      <c r="B9726" s="140" t="s">
        <v>511</v>
      </c>
      <c r="C9726" s="140" t="s">
        <v>515</v>
      </c>
      <c r="D9726" s="140" t="s">
        <v>11</v>
      </c>
      <c r="E9726" s="140" t="s">
        <v>12</v>
      </c>
      <c r="F9726">
        <v>20.455114980000001</v>
      </c>
      <c r="G9726" s="140" t="s">
        <v>513</v>
      </c>
      <c r="H9726">
        <v>0</v>
      </c>
      <c r="I9726" s="140" t="s">
        <v>14</v>
      </c>
    </row>
    <row r="9727" spans="1:9" hidden="1" x14ac:dyDescent="0.25">
      <c r="A9727">
        <v>2022</v>
      </c>
      <c r="B9727" s="140" t="s">
        <v>511</v>
      </c>
      <c r="C9727" s="140" t="s">
        <v>515</v>
      </c>
      <c r="D9727" s="140" t="s">
        <v>11</v>
      </c>
      <c r="E9727" s="140" t="s">
        <v>12</v>
      </c>
      <c r="F9727">
        <v>-14.306224589999999</v>
      </c>
      <c r="G9727" s="140" t="s">
        <v>513</v>
      </c>
      <c r="H9727">
        <v>0</v>
      </c>
      <c r="I9727" s="140" t="s">
        <v>14</v>
      </c>
    </row>
    <row r="9728" spans="1:9" hidden="1" x14ac:dyDescent="0.25">
      <c r="A9728">
        <v>2023</v>
      </c>
      <c r="B9728" s="140" t="s">
        <v>511</v>
      </c>
      <c r="C9728" s="140" t="s">
        <v>515</v>
      </c>
      <c r="D9728" s="140" t="s">
        <v>11</v>
      </c>
      <c r="E9728" s="140" t="s">
        <v>12</v>
      </c>
      <c r="F9728">
        <v>-26.74907971</v>
      </c>
      <c r="G9728" s="140" t="s">
        <v>513</v>
      </c>
      <c r="H9728">
        <v>0</v>
      </c>
      <c r="I9728" s="140" t="s">
        <v>14</v>
      </c>
    </row>
    <row r="9729" spans="1:9" hidden="1" x14ac:dyDescent="0.25">
      <c r="A9729">
        <v>2024</v>
      </c>
      <c r="B9729" s="140" t="s">
        <v>511</v>
      </c>
      <c r="C9729" s="140" t="s">
        <v>515</v>
      </c>
      <c r="D9729" s="140" t="s">
        <v>11</v>
      </c>
      <c r="E9729" s="140" t="s">
        <v>12</v>
      </c>
      <c r="F9729">
        <v>-2.6764301320000001</v>
      </c>
      <c r="G9729" s="140" t="s">
        <v>513</v>
      </c>
      <c r="H9729">
        <v>0</v>
      </c>
      <c r="I9729" s="140" t="s">
        <v>14</v>
      </c>
    </row>
    <row r="9730" spans="1:9" hidden="1" x14ac:dyDescent="0.25">
      <c r="A9730">
        <v>2025</v>
      </c>
      <c r="B9730" s="140" t="s">
        <v>511</v>
      </c>
      <c r="C9730" s="140" t="s">
        <v>515</v>
      </c>
      <c r="D9730" s="140" t="s">
        <v>11</v>
      </c>
      <c r="E9730" s="140" t="s">
        <v>12</v>
      </c>
      <c r="F9730">
        <v>20.093132109999999</v>
      </c>
      <c r="G9730" s="140" t="s">
        <v>513</v>
      </c>
      <c r="H9730">
        <v>0</v>
      </c>
      <c r="I9730" s="140" t="s">
        <v>14</v>
      </c>
    </row>
    <row r="9731" spans="1:9" hidden="1" x14ac:dyDescent="0.25">
      <c r="A9731">
        <v>2026</v>
      </c>
      <c r="B9731" s="140" t="s">
        <v>511</v>
      </c>
      <c r="C9731" s="140" t="s">
        <v>515</v>
      </c>
      <c r="D9731" s="140" t="s">
        <v>11</v>
      </c>
      <c r="E9731" s="140" t="s">
        <v>12</v>
      </c>
      <c r="F9731">
        <v>-7.0660905649999997</v>
      </c>
      <c r="G9731" s="140" t="s">
        <v>513</v>
      </c>
      <c r="H9731">
        <v>0</v>
      </c>
      <c r="I9731" s="140" t="s">
        <v>14</v>
      </c>
    </row>
    <row r="9732" spans="1:9" hidden="1" x14ac:dyDescent="0.25">
      <c r="A9732">
        <v>2027</v>
      </c>
      <c r="B9732" s="140" t="s">
        <v>511</v>
      </c>
      <c r="C9732" s="140" t="s">
        <v>515</v>
      </c>
      <c r="D9732" s="140" t="s">
        <v>11</v>
      </c>
      <c r="E9732" s="140" t="s">
        <v>12</v>
      </c>
      <c r="F9732">
        <v>4.6806003020000002</v>
      </c>
      <c r="G9732" s="140" t="s">
        <v>513</v>
      </c>
      <c r="H9732">
        <v>0</v>
      </c>
      <c r="I9732" s="140" t="s">
        <v>14</v>
      </c>
    </row>
    <row r="9733" spans="1:9" hidden="1" x14ac:dyDescent="0.25">
      <c r="A9733">
        <v>2028</v>
      </c>
      <c r="B9733" s="140" t="s">
        <v>511</v>
      </c>
      <c r="C9733" s="140" t="s">
        <v>515</v>
      </c>
      <c r="D9733" s="140" t="s">
        <v>11</v>
      </c>
      <c r="E9733" s="140" t="s">
        <v>12</v>
      </c>
      <c r="F9733">
        <v>4.4587510479999999</v>
      </c>
      <c r="G9733" s="140" t="s">
        <v>513</v>
      </c>
      <c r="H9733">
        <v>0</v>
      </c>
      <c r="I9733" s="140" t="s">
        <v>14</v>
      </c>
    </row>
    <row r="9734" spans="1:9" hidden="1" x14ac:dyDescent="0.25">
      <c r="A9734">
        <v>2019</v>
      </c>
      <c r="B9734" s="140" t="s">
        <v>516</v>
      </c>
      <c r="C9734" s="140" t="s">
        <v>512</v>
      </c>
      <c r="D9734" s="140" t="s">
        <v>11</v>
      </c>
      <c r="E9734" s="140" t="s">
        <v>12</v>
      </c>
      <c r="F9734">
        <v>7.4709501029999998</v>
      </c>
      <c r="G9734" s="140" t="s">
        <v>517</v>
      </c>
      <c r="H9734">
        <v>0</v>
      </c>
      <c r="I9734" s="140" t="s">
        <v>14</v>
      </c>
    </row>
    <row r="9735" spans="1:9" hidden="1" x14ac:dyDescent="0.25">
      <c r="A9735">
        <v>2020</v>
      </c>
      <c r="B9735" s="140" t="s">
        <v>516</v>
      </c>
      <c r="C9735" s="140" t="s">
        <v>512</v>
      </c>
      <c r="D9735" s="140" t="s">
        <v>11</v>
      </c>
      <c r="E9735" s="140" t="s">
        <v>12</v>
      </c>
      <c r="F9735">
        <v>4.4139159189999999</v>
      </c>
      <c r="G9735" s="140" t="s">
        <v>517</v>
      </c>
      <c r="H9735">
        <v>0</v>
      </c>
      <c r="I9735" s="140" t="s">
        <v>14</v>
      </c>
    </row>
    <row r="9736" spans="1:9" hidden="1" x14ac:dyDescent="0.25">
      <c r="A9736">
        <v>2021</v>
      </c>
      <c r="B9736" s="140" t="s">
        <v>516</v>
      </c>
      <c r="C9736" s="140" t="s">
        <v>512</v>
      </c>
      <c r="D9736" s="140" t="s">
        <v>11</v>
      </c>
      <c r="E9736" s="140" t="s">
        <v>12</v>
      </c>
      <c r="F9736">
        <v>11.36017543</v>
      </c>
      <c r="G9736" s="140" t="s">
        <v>517</v>
      </c>
      <c r="H9736">
        <v>0</v>
      </c>
      <c r="I9736" s="140" t="s">
        <v>14</v>
      </c>
    </row>
    <row r="9737" spans="1:9" hidden="1" x14ac:dyDescent="0.25">
      <c r="A9737">
        <v>2022</v>
      </c>
      <c r="B9737" s="140" t="s">
        <v>516</v>
      </c>
      <c r="C9737" s="140" t="s">
        <v>512</v>
      </c>
      <c r="D9737" s="140" t="s">
        <v>11</v>
      </c>
      <c r="E9737" s="140" t="s">
        <v>12</v>
      </c>
      <c r="F9737">
        <v>-17.667651240000001</v>
      </c>
      <c r="G9737" s="140" t="s">
        <v>517</v>
      </c>
      <c r="H9737">
        <v>0</v>
      </c>
      <c r="I9737" s="140" t="s">
        <v>14</v>
      </c>
    </row>
    <row r="9738" spans="1:9" hidden="1" x14ac:dyDescent="0.25">
      <c r="A9738">
        <v>2023</v>
      </c>
      <c r="B9738" s="140" t="s">
        <v>516</v>
      </c>
      <c r="C9738" s="140" t="s">
        <v>512</v>
      </c>
      <c r="D9738" s="140" t="s">
        <v>11</v>
      </c>
      <c r="E9738" s="140" t="s">
        <v>12</v>
      </c>
      <c r="F9738">
        <v>-12.79564178</v>
      </c>
      <c r="G9738" s="140" t="s">
        <v>517</v>
      </c>
      <c r="H9738">
        <v>0</v>
      </c>
      <c r="I9738" s="140" t="s">
        <v>14</v>
      </c>
    </row>
    <row r="9739" spans="1:9" hidden="1" x14ac:dyDescent="0.25">
      <c r="A9739">
        <v>2024</v>
      </c>
      <c r="B9739" s="140" t="s">
        <v>516</v>
      </c>
      <c r="C9739" s="140" t="s">
        <v>512</v>
      </c>
      <c r="D9739" s="140" t="s">
        <v>11</v>
      </c>
      <c r="E9739" s="140" t="s">
        <v>12</v>
      </c>
      <c r="F9739">
        <v>-1.7979582510000001</v>
      </c>
      <c r="G9739" s="140" t="s">
        <v>517</v>
      </c>
      <c r="H9739">
        <v>0</v>
      </c>
      <c r="I9739" s="140" t="s">
        <v>14</v>
      </c>
    </row>
    <row r="9740" spans="1:9" hidden="1" x14ac:dyDescent="0.25">
      <c r="A9740">
        <v>2025</v>
      </c>
      <c r="B9740" s="140" t="s">
        <v>516</v>
      </c>
      <c r="C9740" s="140" t="s">
        <v>512</v>
      </c>
      <c r="D9740" s="140" t="s">
        <v>11</v>
      </c>
      <c r="E9740" s="140" t="s">
        <v>12</v>
      </c>
      <c r="F9740">
        <v>10.364623740000001</v>
      </c>
      <c r="G9740" s="140" t="s">
        <v>517</v>
      </c>
      <c r="H9740">
        <v>0</v>
      </c>
      <c r="I9740" s="140" t="s">
        <v>14</v>
      </c>
    </row>
    <row r="9741" spans="1:9" hidden="1" x14ac:dyDescent="0.25">
      <c r="A9741">
        <v>2026</v>
      </c>
      <c r="B9741" s="140" t="s">
        <v>516</v>
      </c>
      <c r="C9741" s="140" t="s">
        <v>512</v>
      </c>
      <c r="D9741" s="140" t="s">
        <v>11</v>
      </c>
      <c r="E9741" s="140" t="s">
        <v>12</v>
      </c>
      <c r="F9741">
        <v>0.57296499400000001</v>
      </c>
      <c r="G9741" s="140" t="s">
        <v>517</v>
      </c>
      <c r="H9741">
        <v>0</v>
      </c>
      <c r="I9741" s="140" t="s">
        <v>14</v>
      </c>
    </row>
    <row r="9742" spans="1:9" hidden="1" x14ac:dyDescent="0.25">
      <c r="A9742">
        <v>2027</v>
      </c>
      <c r="B9742" s="140" t="s">
        <v>516</v>
      </c>
      <c r="C9742" s="140" t="s">
        <v>512</v>
      </c>
      <c r="D9742" s="140" t="s">
        <v>11</v>
      </c>
      <c r="E9742" s="140" t="s">
        <v>12</v>
      </c>
      <c r="F9742">
        <v>2.4728754340000001</v>
      </c>
      <c r="G9742" s="140" t="s">
        <v>517</v>
      </c>
      <c r="H9742">
        <v>0</v>
      </c>
      <c r="I9742" s="140" t="s">
        <v>14</v>
      </c>
    </row>
    <row r="9743" spans="1:9" hidden="1" x14ac:dyDescent="0.25">
      <c r="A9743">
        <v>2028</v>
      </c>
      <c r="B9743" s="140" t="s">
        <v>516</v>
      </c>
      <c r="C9743" s="140" t="s">
        <v>512</v>
      </c>
      <c r="D9743" s="140" t="s">
        <v>11</v>
      </c>
      <c r="E9743" s="140" t="s">
        <v>12</v>
      </c>
      <c r="F9743">
        <v>1.888096062</v>
      </c>
      <c r="G9743" s="140" t="s">
        <v>517</v>
      </c>
      <c r="H9743">
        <v>0</v>
      </c>
      <c r="I9743" s="140" t="s">
        <v>14</v>
      </c>
    </row>
    <row r="9744" spans="1:9" hidden="1" x14ac:dyDescent="0.25">
      <c r="A9744">
        <v>2019</v>
      </c>
      <c r="B9744" s="140" t="s">
        <v>516</v>
      </c>
      <c r="C9744" s="140" t="s">
        <v>514</v>
      </c>
      <c r="D9744" s="140" t="s">
        <v>11</v>
      </c>
      <c r="E9744" s="140" t="s">
        <v>12</v>
      </c>
      <c r="F9744">
        <v>-0.92855300500000004</v>
      </c>
      <c r="G9744" s="140" t="s">
        <v>517</v>
      </c>
      <c r="H9744">
        <v>0</v>
      </c>
      <c r="I9744" s="140" t="s">
        <v>14</v>
      </c>
    </row>
    <row r="9745" spans="1:9" hidden="1" x14ac:dyDescent="0.25">
      <c r="A9745">
        <v>2020</v>
      </c>
      <c r="B9745" s="140" t="s">
        <v>516</v>
      </c>
      <c r="C9745" s="140" t="s">
        <v>514</v>
      </c>
      <c r="D9745" s="140" t="s">
        <v>11</v>
      </c>
      <c r="E9745" s="140" t="s">
        <v>12</v>
      </c>
      <c r="F9745">
        <v>1.4058838840000001</v>
      </c>
      <c r="G9745" s="140" t="s">
        <v>517</v>
      </c>
      <c r="H9745">
        <v>0</v>
      </c>
      <c r="I9745" s="140" t="s">
        <v>14</v>
      </c>
    </row>
    <row r="9746" spans="1:9" hidden="1" x14ac:dyDescent="0.25">
      <c r="A9746">
        <v>2021</v>
      </c>
      <c r="B9746" s="140" t="s">
        <v>516</v>
      </c>
      <c r="C9746" s="140" t="s">
        <v>514</v>
      </c>
      <c r="D9746" s="140" t="s">
        <v>11</v>
      </c>
      <c r="E9746" s="140" t="s">
        <v>12</v>
      </c>
      <c r="F9746">
        <v>6.2387676509999999</v>
      </c>
      <c r="G9746" s="140" t="s">
        <v>517</v>
      </c>
      <c r="H9746">
        <v>0</v>
      </c>
      <c r="I9746" s="140" t="s">
        <v>14</v>
      </c>
    </row>
    <row r="9747" spans="1:9" hidden="1" x14ac:dyDescent="0.25">
      <c r="A9747">
        <v>2022</v>
      </c>
      <c r="B9747" s="140" t="s">
        <v>516</v>
      </c>
      <c r="C9747" s="140" t="s">
        <v>514</v>
      </c>
      <c r="D9747" s="140" t="s">
        <v>11</v>
      </c>
      <c r="E9747" s="140" t="s">
        <v>12</v>
      </c>
      <c r="F9747">
        <v>-0.74915418099999997</v>
      </c>
      <c r="G9747" s="140" t="s">
        <v>517</v>
      </c>
      <c r="H9747">
        <v>0</v>
      </c>
      <c r="I9747" s="140" t="s">
        <v>14</v>
      </c>
    </row>
    <row r="9748" spans="1:9" hidden="1" x14ac:dyDescent="0.25">
      <c r="A9748">
        <v>2023</v>
      </c>
      <c r="B9748" s="140" t="s">
        <v>516</v>
      </c>
      <c r="C9748" s="140" t="s">
        <v>514</v>
      </c>
      <c r="D9748" s="140" t="s">
        <v>11</v>
      </c>
      <c r="E9748" s="140" t="s">
        <v>12</v>
      </c>
      <c r="F9748">
        <v>-11.34648162</v>
      </c>
      <c r="G9748" s="140" t="s">
        <v>517</v>
      </c>
      <c r="H9748">
        <v>0</v>
      </c>
      <c r="I9748" s="140" t="s">
        <v>14</v>
      </c>
    </row>
    <row r="9749" spans="1:9" hidden="1" x14ac:dyDescent="0.25">
      <c r="A9749">
        <v>2024</v>
      </c>
      <c r="B9749" s="140" t="s">
        <v>516</v>
      </c>
      <c r="C9749" s="140" t="s">
        <v>514</v>
      </c>
      <c r="D9749" s="140" t="s">
        <v>11</v>
      </c>
      <c r="E9749" s="140" t="s">
        <v>12</v>
      </c>
      <c r="F9749">
        <v>-2.197198572</v>
      </c>
      <c r="G9749" s="140" t="s">
        <v>517</v>
      </c>
      <c r="H9749">
        <v>0</v>
      </c>
      <c r="I9749" s="140" t="s">
        <v>14</v>
      </c>
    </row>
    <row r="9750" spans="1:9" hidden="1" x14ac:dyDescent="0.25">
      <c r="A9750">
        <v>2025</v>
      </c>
      <c r="B9750" s="140" t="s">
        <v>516</v>
      </c>
      <c r="C9750" s="140" t="s">
        <v>514</v>
      </c>
      <c r="D9750" s="140" t="s">
        <v>11</v>
      </c>
      <c r="E9750" s="140" t="s">
        <v>12</v>
      </c>
      <c r="F9750">
        <v>-2.2746419549999999</v>
      </c>
      <c r="G9750" s="140" t="s">
        <v>517</v>
      </c>
      <c r="H9750">
        <v>0</v>
      </c>
      <c r="I9750" s="140" t="s">
        <v>14</v>
      </c>
    </row>
    <row r="9751" spans="1:9" hidden="1" x14ac:dyDescent="0.25">
      <c r="A9751">
        <v>2026</v>
      </c>
      <c r="B9751" s="140" t="s">
        <v>516</v>
      </c>
      <c r="C9751" s="140" t="s">
        <v>514</v>
      </c>
      <c r="D9751" s="140" t="s">
        <v>11</v>
      </c>
      <c r="E9751" s="140" t="s">
        <v>12</v>
      </c>
      <c r="F9751">
        <v>-1.710256379</v>
      </c>
      <c r="G9751" s="140" t="s">
        <v>517</v>
      </c>
      <c r="H9751">
        <v>0</v>
      </c>
      <c r="I9751" s="140" t="s">
        <v>14</v>
      </c>
    </row>
    <row r="9752" spans="1:9" hidden="1" x14ac:dyDescent="0.25">
      <c r="A9752">
        <v>2027</v>
      </c>
      <c r="B9752" s="140" t="s">
        <v>516</v>
      </c>
      <c r="C9752" s="140" t="s">
        <v>514</v>
      </c>
      <c r="D9752" s="140" t="s">
        <v>11</v>
      </c>
      <c r="E9752" s="140" t="s">
        <v>12</v>
      </c>
      <c r="F9752">
        <v>0.44914306999999998</v>
      </c>
      <c r="G9752" s="140" t="s">
        <v>517</v>
      </c>
      <c r="H9752">
        <v>0</v>
      </c>
      <c r="I9752" s="140" t="s">
        <v>14</v>
      </c>
    </row>
    <row r="9753" spans="1:9" hidden="1" x14ac:dyDescent="0.25">
      <c r="A9753">
        <v>2028</v>
      </c>
      <c r="B9753" s="140" t="s">
        <v>516</v>
      </c>
      <c r="C9753" s="140" t="s">
        <v>514</v>
      </c>
      <c r="D9753" s="140" t="s">
        <v>11</v>
      </c>
      <c r="E9753" s="140" t="s">
        <v>12</v>
      </c>
      <c r="F9753">
        <v>0.69699775399999997</v>
      </c>
      <c r="G9753" s="140" t="s">
        <v>517</v>
      </c>
      <c r="H9753">
        <v>0</v>
      </c>
      <c r="I9753" s="140" t="s">
        <v>14</v>
      </c>
    </row>
    <row r="9754" spans="1:9" hidden="1" x14ac:dyDescent="0.25">
      <c r="A9754">
        <v>2019</v>
      </c>
      <c r="B9754" s="140" t="s">
        <v>516</v>
      </c>
      <c r="C9754" s="140" t="s">
        <v>515</v>
      </c>
      <c r="D9754" s="140" t="s">
        <v>11</v>
      </c>
      <c r="E9754" s="140" t="s">
        <v>12</v>
      </c>
      <c r="F9754">
        <v>6.6278477100000002</v>
      </c>
      <c r="G9754" s="140" t="s">
        <v>517</v>
      </c>
      <c r="H9754">
        <v>0</v>
      </c>
      <c r="I9754" s="140" t="s">
        <v>14</v>
      </c>
    </row>
    <row r="9755" spans="1:9" hidden="1" x14ac:dyDescent="0.25">
      <c r="A9755">
        <v>2020</v>
      </c>
      <c r="B9755" s="140" t="s">
        <v>516</v>
      </c>
      <c r="C9755" s="140" t="s">
        <v>515</v>
      </c>
      <c r="D9755" s="140" t="s">
        <v>11</v>
      </c>
      <c r="E9755" s="140" t="s">
        <v>12</v>
      </c>
      <c r="F9755">
        <v>6.1374300149999996</v>
      </c>
      <c r="G9755" s="140" t="s">
        <v>517</v>
      </c>
      <c r="H9755">
        <v>0</v>
      </c>
      <c r="I9755" s="140" t="s">
        <v>14</v>
      </c>
    </row>
    <row r="9756" spans="1:9" hidden="1" x14ac:dyDescent="0.25">
      <c r="A9756">
        <v>2021</v>
      </c>
      <c r="B9756" s="140" t="s">
        <v>516</v>
      </c>
      <c r="C9756" s="140" t="s">
        <v>515</v>
      </c>
      <c r="D9756" s="140" t="s">
        <v>11</v>
      </c>
      <c r="E9756" s="140" t="s">
        <v>12</v>
      </c>
      <c r="F9756">
        <v>18.11767236</v>
      </c>
      <c r="G9756" s="140" t="s">
        <v>517</v>
      </c>
      <c r="H9756">
        <v>0</v>
      </c>
      <c r="I9756" s="140" t="s">
        <v>14</v>
      </c>
    </row>
    <row r="9757" spans="1:9" hidden="1" x14ac:dyDescent="0.25">
      <c r="A9757">
        <v>2022</v>
      </c>
      <c r="B9757" s="140" t="s">
        <v>516</v>
      </c>
      <c r="C9757" s="140" t="s">
        <v>515</v>
      </c>
      <c r="D9757" s="140" t="s">
        <v>11</v>
      </c>
      <c r="E9757" s="140" t="s">
        <v>12</v>
      </c>
      <c r="F9757">
        <v>-18.149032760000001</v>
      </c>
      <c r="G9757" s="140" t="s">
        <v>517</v>
      </c>
      <c r="H9757">
        <v>0</v>
      </c>
      <c r="I9757" s="140" t="s">
        <v>14</v>
      </c>
    </row>
    <row r="9758" spans="1:9" hidden="1" x14ac:dyDescent="0.25">
      <c r="A9758">
        <v>2023</v>
      </c>
      <c r="B9758" s="140" t="s">
        <v>516</v>
      </c>
      <c r="C9758" s="140" t="s">
        <v>515</v>
      </c>
      <c r="D9758" s="140" t="s">
        <v>11</v>
      </c>
      <c r="E9758" s="140" t="s">
        <v>12</v>
      </c>
      <c r="F9758">
        <v>-23.061584549999999</v>
      </c>
      <c r="G9758" s="140" t="s">
        <v>517</v>
      </c>
      <c r="H9758">
        <v>0</v>
      </c>
      <c r="I9758" s="140" t="s">
        <v>14</v>
      </c>
    </row>
    <row r="9759" spans="1:9" hidden="1" x14ac:dyDescent="0.25">
      <c r="A9759">
        <v>2024</v>
      </c>
      <c r="B9759" s="140" t="s">
        <v>516</v>
      </c>
      <c r="C9759" s="140" t="s">
        <v>515</v>
      </c>
      <c r="D9759" s="140" t="s">
        <v>11</v>
      </c>
      <c r="E9759" s="140" t="s">
        <v>12</v>
      </c>
      <c r="F9759">
        <v>-3.6926895700000002</v>
      </c>
      <c r="G9759" s="140" t="s">
        <v>517</v>
      </c>
      <c r="H9759">
        <v>0</v>
      </c>
      <c r="I9759" s="140" t="s">
        <v>14</v>
      </c>
    </row>
    <row r="9760" spans="1:9" hidden="1" x14ac:dyDescent="0.25">
      <c r="A9760">
        <v>2025</v>
      </c>
      <c r="B9760" s="140" t="s">
        <v>516</v>
      </c>
      <c r="C9760" s="140" t="s">
        <v>515</v>
      </c>
      <c r="D9760" s="140" t="s">
        <v>11</v>
      </c>
      <c r="E9760" s="140" t="s">
        <v>12</v>
      </c>
      <c r="F9760">
        <v>7.9074466120000002</v>
      </c>
      <c r="G9760" s="140" t="s">
        <v>517</v>
      </c>
      <c r="H9760">
        <v>0</v>
      </c>
      <c r="I9760" s="140" t="s">
        <v>14</v>
      </c>
    </row>
    <row r="9761" spans="1:9" hidden="1" x14ac:dyDescent="0.25">
      <c r="A9761">
        <v>2026</v>
      </c>
      <c r="B9761" s="140" t="s">
        <v>516</v>
      </c>
      <c r="C9761" s="140" t="s">
        <v>515</v>
      </c>
      <c r="D9761" s="140" t="s">
        <v>11</v>
      </c>
      <c r="E9761" s="140" t="s">
        <v>12</v>
      </c>
      <c r="F9761">
        <v>-1.2756892740000001</v>
      </c>
      <c r="G9761" s="140" t="s">
        <v>517</v>
      </c>
      <c r="H9761">
        <v>0</v>
      </c>
      <c r="I9761" s="140" t="s">
        <v>14</v>
      </c>
    </row>
    <row r="9762" spans="1:9" hidden="1" x14ac:dyDescent="0.25">
      <c r="A9762">
        <v>2027</v>
      </c>
      <c r="B9762" s="140" t="s">
        <v>516</v>
      </c>
      <c r="C9762" s="140" t="s">
        <v>515</v>
      </c>
      <c r="D9762" s="140" t="s">
        <v>11</v>
      </c>
      <c r="E9762" s="140" t="s">
        <v>12</v>
      </c>
      <c r="F9762">
        <v>2.9553974589999998</v>
      </c>
      <c r="G9762" s="140" t="s">
        <v>517</v>
      </c>
      <c r="H9762">
        <v>0</v>
      </c>
      <c r="I9762" s="140" t="s">
        <v>14</v>
      </c>
    </row>
    <row r="9763" spans="1:9" hidden="1" x14ac:dyDescent="0.25">
      <c r="A9763">
        <v>2028</v>
      </c>
      <c r="B9763" s="140" t="s">
        <v>516</v>
      </c>
      <c r="C9763" s="140" t="s">
        <v>515</v>
      </c>
      <c r="D9763" s="140" t="s">
        <v>11</v>
      </c>
      <c r="E9763" s="140" t="s">
        <v>12</v>
      </c>
      <c r="F9763">
        <v>2.5805520139999998</v>
      </c>
      <c r="G9763" s="140" t="s">
        <v>517</v>
      </c>
      <c r="H9763">
        <v>0</v>
      </c>
      <c r="I9763" s="140" t="s">
        <v>14</v>
      </c>
    </row>
    <row r="9764" spans="1:9" hidden="1" x14ac:dyDescent="0.25">
      <c r="A9764">
        <v>2019</v>
      </c>
      <c r="B9764" s="140" t="s">
        <v>518</v>
      </c>
      <c r="C9764" s="140" t="s">
        <v>512</v>
      </c>
      <c r="D9764" s="140" t="s">
        <v>11</v>
      </c>
      <c r="E9764" s="140" t="s">
        <v>12</v>
      </c>
      <c r="F9764">
        <v>5.1921691369999996</v>
      </c>
      <c r="G9764" s="140" t="s">
        <v>519</v>
      </c>
      <c r="H9764">
        <v>0</v>
      </c>
      <c r="I9764" s="140" t="s">
        <v>14</v>
      </c>
    </row>
    <row r="9765" spans="1:9" hidden="1" x14ac:dyDescent="0.25">
      <c r="A9765">
        <v>2020</v>
      </c>
      <c r="B9765" s="140" t="s">
        <v>518</v>
      </c>
      <c r="C9765" s="140" t="s">
        <v>512</v>
      </c>
      <c r="D9765" s="140" t="s">
        <v>11</v>
      </c>
      <c r="E9765" s="140" t="s">
        <v>12</v>
      </c>
      <c r="F9765">
        <v>8.7805162780000003</v>
      </c>
      <c r="G9765" s="140" t="s">
        <v>519</v>
      </c>
      <c r="H9765">
        <v>0</v>
      </c>
      <c r="I9765" s="140" t="s">
        <v>14</v>
      </c>
    </row>
    <row r="9766" spans="1:9" hidden="1" x14ac:dyDescent="0.25">
      <c r="A9766">
        <v>2021</v>
      </c>
      <c r="B9766" s="140" t="s">
        <v>518</v>
      </c>
      <c r="C9766" s="140" t="s">
        <v>512</v>
      </c>
      <c r="D9766" s="140" t="s">
        <v>11</v>
      </c>
      <c r="E9766" s="140" t="s">
        <v>12</v>
      </c>
      <c r="F9766">
        <v>18.85758431</v>
      </c>
      <c r="G9766" s="140" t="s">
        <v>519</v>
      </c>
      <c r="H9766">
        <v>0</v>
      </c>
      <c r="I9766" s="140" t="s">
        <v>14</v>
      </c>
    </row>
    <row r="9767" spans="1:9" hidden="1" x14ac:dyDescent="0.25">
      <c r="A9767">
        <v>2022</v>
      </c>
      <c r="B9767" s="140" t="s">
        <v>518</v>
      </c>
      <c r="C9767" s="140" t="s">
        <v>512</v>
      </c>
      <c r="D9767" s="140" t="s">
        <v>11</v>
      </c>
      <c r="E9767" s="140" t="s">
        <v>12</v>
      </c>
      <c r="F9767">
        <v>-16.922838179999999</v>
      </c>
      <c r="G9767" s="140" t="s">
        <v>519</v>
      </c>
      <c r="H9767">
        <v>0</v>
      </c>
      <c r="I9767" s="140" t="s">
        <v>14</v>
      </c>
    </row>
    <row r="9768" spans="1:9" hidden="1" x14ac:dyDescent="0.25">
      <c r="A9768">
        <v>2023</v>
      </c>
      <c r="B9768" s="140" t="s">
        <v>518</v>
      </c>
      <c r="C9768" s="140" t="s">
        <v>512</v>
      </c>
      <c r="D9768" s="140" t="s">
        <v>11</v>
      </c>
      <c r="E9768" s="140" t="s">
        <v>12</v>
      </c>
      <c r="F9768">
        <v>-24.682597529999999</v>
      </c>
      <c r="G9768" s="140" t="s">
        <v>519</v>
      </c>
      <c r="H9768">
        <v>0</v>
      </c>
      <c r="I9768" s="140" t="s">
        <v>14</v>
      </c>
    </row>
    <row r="9769" spans="1:9" hidden="1" x14ac:dyDescent="0.25">
      <c r="A9769">
        <v>2024</v>
      </c>
      <c r="B9769" s="140" t="s">
        <v>518</v>
      </c>
      <c r="C9769" s="140" t="s">
        <v>512</v>
      </c>
      <c r="D9769" s="140" t="s">
        <v>11</v>
      </c>
      <c r="E9769" s="140" t="s">
        <v>12</v>
      </c>
      <c r="F9769">
        <v>-3.2459446490000001</v>
      </c>
      <c r="G9769" s="140" t="s">
        <v>519</v>
      </c>
      <c r="H9769">
        <v>0</v>
      </c>
      <c r="I9769" s="140" t="s">
        <v>14</v>
      </c>
    </row>
    <row r="9770" spans="1:9" hidden="1" x14ac:dyDescent="0.25">
      <c r="A9770">
        <v>2025</v>
      </c>
      <c r="B9770" s="140" t="s">
        <v>518</v>
      </c>
      <c r="C9770" s="140" t="s">
        <v>512</v>
      </c>
      <c r="D9770" s="140" t="s">
        <v>11</v>
      </c>
      <c r="E9770" s="140" t="s">
        <v>12</v>
      </c>
      <c r="F9770">
        <v>13.641886850000001</v>
      </c>
      <c r="G9770" s="140" t="s">
        <v>519</v>
      </c>
      <c r="H9770">
        <v>0</v>
      </c>
      <c r="I9770" s="140" t="s">
        <v>14</v>
      </c>
    </row>
    <row r="9771" spans="1:9" hidden="1" x14ac:dyDescent="0.25">
      <c r="A9771">
        <v>2026</v>
      </c>
      <c r="B9771" s="140" t="s">
        <v>518</v>
      </c>
      <c r="C9771" s="140" t="s">
        <v>512</v>
      </c>
      <c r="D9771" s="140" t="s">
        <v>11</v>
      </c>
      <c r="E9771" s="140" t="s">
        <v>12</v>
      </c>
      <c r="F9771">
        <v>-4.0005839989999998</v>
      </c>
      <c r="G9771" s="140" t="s">
        <v>519</v>
      </c>
      <c r="H9771">
        <v>0</v>
      </c>
      <c r="I9771" s="140" t="s">
        <v>14</v>
      </c>
    </row>
    <row r="9772" spans="1:9" hidden="1" x14ac:dyDescent="0.25">
      <c r="A9772">
        <v>2027</v>
      </c>
      <c r="B9772" s="140" t="s">
        <v>518</v>
      </c>
      <c r="C9772" s="140" t="s">
        <v>512</v>
      </c>
      <c r="D9772" s="140" t="s">
        <v>11</v>
      </c>
      <c r="E9772" s="140" t="s">
        <v>12</v>
      </c>
      <c r="F9772">
        <v>3.7672576200000001</v>
      </c>
      <c r="G9772" s="140" t="s">
        <v>519</v>
      </c>
      <c r="H9772">
        <v>0</v>
      </c>
      <c r="I9772" s="140" t="s">
        <v>14</v>
      </c>
    </row>
    <row r="9773" spans="1:9" hidden="1" x14ac:dyDescent="0.25">
      <c r="A9773">
        <v>2028</v>
      </c>
      <c r="B9773" s="140" t="s">
        <v>518</v>
      </c>
      <c r="C9773" s="140" t="s">
        <v>512</v>
      </c>
      <c r="D9773" s="140" t="s">
        <v>11</v>
      </c>
      <c r="E9773" s="140" t="s">
        <v>12</v>
      </c>
      <c r="F9773">
        <v>3.4644103830000001</v>
      </c>
      <c r="G9773" s="140" t="s">
        <v>519</v>
      </c>
      <c r="H9773">
        <v>0</v>
      </c>
      <c r="I9773" s="140" t="s">
        <v>14</v>
      </c>
    </row>
    <row r="9774" spans="1:9" hidden="1" x14ac:dyDescent="0.25">
      <c r="A9774">
        <v>2021</v>
      </c>
      <c r="B9774" s="140" t="s">
        <v>520</v>
      </c>
      <c r="C9774" s="140" t="s">
        <v>82</v>
      </c>
      <c r="D9774" s="140" t="s">
        <v>11</v>
      </c>
      <c r="E9774" s="140" t="s">
        <v>12</v>
      </c>
      <c r="F9774">
        <v>4.3462961460000002</v>
      </c>
      <c r="G9774" s="140" t="s">
        <v>521</v>
      </c>
      <c r="H9774">
        <v>0</v>
      </c>
      <c r="I9774" s="140" t="s">
        <v>14</v>
      </c>
    </row>
    <row r="9775" spans="1:9" hidden="1" x14ac:dyDescent="0.25">
      <c r="A9775">
        <v>2022</v>
      </c>
      <c r="B9775" s="140" t="s">
        <v>520</v>
      </c>
      <c r="C9775" s="140" t="s">
        <v>82</v>
      </c>
      <c r="D9775" s="140" t="s">
        <v>11</v>
      </c>
      <c r="E9775" s="140" t="s">
        <v>12</v>
      </c>
      <c r="F9775">
        <v>-1.95919741</v>
      </c>
      <c r="G9775" s="140" t="s">
        <v>521</v>
      </c>
      <c r="H9775">
        <v>0</v>
      </c>
      <c r="I9775" s="140" t="s">
        <v>14</v>
      </c>
    </row>
    <row r="9776" spans="1:9" hidden="1" x14ac:dyDescent="0.25">
      <c r="A9776">
        <v>2023</v>
      </c>
      <c r="B9776" s="140" t="s">
        <v>520</v>
      </c>
      <c r="C9776" s="140" t="s">
        <v>82</v>
      </c>
      <c r="D9776" s="140" t="s">
        <v>11</v>
      </c>
      <c r="E9776" s="140" t="s">
        <v>12</v>
      </c>
      <c r="F9776">
        <v>2.2220740000000001E-3</v>
      </c>
      <c r="G9776" s="140" t="s">
        <v>521</v>
      </c>
      <c r="H9776">
        <v>0</v>
      </c>
      <c r="I9776" s="140" t="s">
        <v>14</v>
      </c>
    </row>
    <row r="9777" spans="1:9" hidden="1" x14ac:dyDescent="0.25">
      <c r="A9777">
        <v>2024</v>
      </c>
      <c r="B9777" s="140" t="s">
        <v>520</v>
      </c>
      <c r="C9777" s="140" t="s">
        <v>82</v>
      </c>
      <c r="D9777" s="140" t="s">
        <v>11</v>
      </c>
      <c r="E9777" s="140" t="s">
        <v>12</v>
      </c>
      <c r="F9777">
        <v>3.9170091409999999</v>
      </c>
      <c r="G9777" s="140" t="s">
        <v>521</v>
      </c>
      <c r="H9777">
        <v>0</v>
      </c>
      <c r="I9777" s="140" t="s">
        <v>14</v>
      </c>
    </row>
    <row r="9778" spans="1:9" hidden="1" x14ac:dyDescent="0.25">
      <c r="A9778">
        <v>2025</v>
      </c>
      <c r="B9778" s="140" t="s">
        <v>520</v>
      </c>
      <c r="C9778" s="140" t="s">
        <v>82</v>
      </c>
      <c r="D9778" s="140" t="s">
        <v>11</v>
      </c>
      <c r="E9778" s="140" t="s">
        <v>12</v>
      </c>
      <c r="F9778">
        <v>3.7683727070000002</v>
      </c>
      <c r="G9778" s="140" t="s">
        <v>521</v>
      </c>
      <c r="H9778">
        <v>0</v>
      </c>
      <c r="I9778" s="140" t="s">
        <v>14</v>
      </c>
    </row>
    <row r="9779" spans="1:9" hidden="1" x14ac:dyDescent="0.25">
      <c r="A9779">
        <v>2026</v>
      </c>
      <c r="B9779" s="140" t="s">
        <v>520</v>
      </c>
      <c r="C9779" s="140" t="s">
        <v>82</v>
      </c>
      <c r="D9779" s="140" t="s">
        <v>11</v>
      </c>
      <c r="E9779" s="140" t="s">
        <v>12</v>
      </c>
      <c r="F9779">
        <v>4.3184597150000004</v>
      </c>
      <c r="G9779" s="140" t="s">
        <v>521</v>
      </c>
      <c r="H9779">
        <v>0</v>
      </c>
      <c r="I9779" s="140" t="s">
        <v>14</v>
      </c>
    </row>
    <row r="9780" spans="1:9" hidden="1" x14ac:dyDescent="0.25">
      <c r="A9780">
        <v>2027</v>
      </c>
      <c r="B9780" s="140" t="s">
        <v>520</v>
      </c>
      <c r="C9780" s="140" t="s">
        <v>82</v>
      </c>
      <c r="D9780" s="140" t="s">
        <v>11</v>
      </c>
      <c r="E9780" s="140" t="s">
        <v>12</v>
      </c>
      <c r="F9780">
        <v>4.2610809859999996</v>
      </c>
      <c r="G9780" s="140" t="s">
        <v>521</v>
      </c>
      <c r="H9780">
        <v>0</v>
      </c>
      <c r="I9780" s="140" t="s">
        <v>14</v>
      </c>
    </row>
    <row r="9781" spans="1:9" hidden="1" x14ac:dyDescent="0.25">
      <c r="A9781">
        <v>2028</v>
      </c>
      <c r="B9781" s="140" t="s">
        <v>520</v>
      </c>
      <c r="C9781" s="140" t="s">
        <v>82</v>
      </c>
      <c r="D9781" s="140" t="s">
        <v>11</v>
      </c>
      <c r="E9781" s="140" t="s">
        <v>12</v>
      </c>
      <c r="F9781">
        <v>4.2610809859999996</v>
      </c>
      <c r="G9781" s="140" t="s">
        <v>521</v>
      </c>
      <c r="H9781">
        <v>0</v>
      </c>
      <c r="I9781" s="140" t="s">
        <v>14</v>
      </c>
    </row>
    <row r="9782" spans="1:9" hidden="1" x14ac:dyDescent="0.25">
      <c r="A9782">
        <v>2029</v>
      </c>
      <c r="B9782" s="140" t="s">
        <v>520</v>
      </c>
      <c r="C9782" s="140" t="s">
        <v>82</v>
      </c>
      <c r="D9782" s="140" t="s">
        <v>11</v>
      </c>
      <c r="E9782" s="140" t="s">
        <v>12</v>
      </c>
      <c r="F9782">
        <v>4.2610809859999996</v>
      </c>
      <c r="G9782" s="140" t="s">
        <v>521</v>
      </c>
      <c r="H9782">
        <v>0</v>
      </c>
      <c r="I9782" s="140" t="s">
        <v>14</v>
      </c>
    </row>
    <row r="9783" spans="1:9" hidden="1" x14ac:dyDescent="0.25">
      <c r="A9783">
        <v>2030</v>
      </c>
      <c r="B9783" s="140" t="s">
        <v>520</v>
      </c>
      <c r="C9783" s="140" t="s">
        <v>82</v>
      </c>
      <c r="D9783" s="140" t="s">
        <v>11</v>
      </c>
      <c r="E9783" s="140" t="s">
        <v>12</v>
      </c>
      <c r="F9783">
        <v>4.2610809859999996</v>
      </c>
      <c r="G9783" s="140" t="s">
        <v>521</v>
      </c>
      <c r="H9783">
        <v>0</v>
      </c>
      <c r="I9783" s="140" t="s">
        <v>14</v>
      </c>
    </row>
    <row r="9784" spans="1:9" hidden="1" x14ac:dyDescent="0.25">
      <c r="A9784">
        <v>2021</v>
      </c>
      <c r="B9784" s="140" t="s">
        <v>520</v>
      </c>
      <c r="C9784" s="140" t="s">
        <v>50</v>
      </c>
      <c r="D9784" s="140" t="s">
        <v>11</v>
      </c>
      <c r="E9784" s="140" t="s">
        <v>12</v>
      </c>
      <c r="F9784">
        <v>111392.97</v>
      </c>
      <c r="G9784" s="140" t="s">
        <v>522</v>
      </c>
      <c r="H9784">
        <v>0</v>
      </c>
      <c r="I9784" s="140" t="s">
        <v>17</v>
      </c>
    </row>
    <row r="9785" spans="1:9" hidden="1" x14ac:dyDescent="0.25">
      <c r="A9785">
        <v>2022</v>
      </c>
      <c r="B9785" s="140" t="s">
        <v>520</v>
      </c>
      <c r="C9785" s="140" t="s">
        <v>50</v>
      </c>
      <c r="D9785" s="140" t="s">
        <v>11</v>
      </c>
      <c r="E9785" s="140" t="s">
        <v>12</v>
      </c>
      <c r="F9785">
        <v>108374.01</v>
      </c>
      <c r="G9785" s="140" t="s">
        <v>522</v>
      </c>
      <c r="H9785">
        <v>0</v>
      </c>
      <c r="I9785" s="140" t="s">
        <v>17</v>
      </c>
    </row>
    <row r="9786" spans="1:9" hidden="1" x14ac:dyDescent="0.25">
      <c r="A9786">
        <v>2023</v>
      </c>
      <c r="B9786" s="140" t="s">
        <v>520</v>
      </c>
      <c r="C9786" s="140" t="s">
        <v>50</v>
      </c>
      <c r="D9786" s="140" t="s">
        <v>11</v>
      </c>
      <c r="E9786" s="140" t="s">
        <v>12</v>
      </c>
      <c r="F9786">
        <v>109870.97</v>
      </c>
      <c r="G9786" s="140" t="s">
        <v>522</v>
      </c>
      <c r="H9786">
        <v>0</v>
      </c>
      <c r="I9786" s="140" t="s">
        <v>17</v>
      </c>
    </row>
    <row r="9787" spans="1:9" hidden="1" x14ac:dyDescent="0.25">
      <c r="A9787">
        <v>2024</v>
      </c>
      <c r="B9787" s="140" t="s">
        <v>520</v>
      </c>
      <c r="C9787" s="140" t="s">
        <v>50</v>
      </c>
      <c r="D9787" s="140" t="s">
        <v>11</v>
      </c>
      <c r="E9787" s="140" t="s">
        <v>12</v>
      </c>
      <c r="F9787">
        <v>115001.55</v>
      </c>
      <c r="G9787" s="140" t="s">
        <v>522</v>
      </c>
      <c r="H9787">
        <v>0</v>
      </c>
      <c r="I9787" s="140" t="s">
        <v>17</v>
      </c>
    </row>
    <row r="9788" spans="1:9" hidden="1" x14ac:dyDescent="0.25">
      <c r="A9788">
        <v>2025</v>
      </c>
      <c r="B9788" s="140" t="s">
        <v>520</v>
      </c>
      <c r="C9788" s="140" t="s">
        <v>50</v>
      </c>
      <c r="D9788" s="140" t="s">
        <v>11</v>
      </c>
      <c r="E9788" s="140" t="s">
        <v>12</v>
      </c>
      <c r="F9788">
        <v>120384.1724</v>
      </c>
      <c r="G9788" s="140" t="s">
        <v>522</v>
      </c>
      <c r="H9788">
        <v>0</v>
      </c>
      <c r="I9788" s="140" t="s">
        <v>17</v>
      </c>
    </row>
    <row r="9789" spans="1:9" hidden="1" x14ac:dyDescent="0.25">
      <c r="A9789">
        <v>2026</v>
      </c>
      <c r="B9789" s="140" t="s">
        <v>520</v>
      </c>
      <c r="C9789" s="140" t="s">
        <v>50</v>
      </c>
      <c r="D9789" s="140" t="s">
        <v>11</v>
      </c>
      <c r="E9789" s="140" t="s">
        <v>12</v>
      </c>
      <c r="F9789">
        <v>125513.8395</v>
      </c>
      <c r="G9789" s="140" t="s">
        <v>522</v>
      </c>
      <c r="H9789">
        <v>0</v>
      </c>
      <c r="I9789" s="140" t="s">
        <v>17</v>
      </c>
    </row>
    <row r="9790" spans="1:9" hidden="1" x14ac:dyDescent="0.25">
      <c r="A9790">
        <v>2027</v>
      </c>
      <c r="B9790" s="140" t="s">
        <v>520</v>
      </c>
      <c r="C9790" s="140" t="s">
        <v>50</v>
      </c>
      <c r="D9790" s="140" t="s">
        <v>11</v>
      </c>
      <c r="E9790" s="140" t="s">
        <v>12</v>
      </c>
      <c r="F9790">
        <v>130862.0858</v>
      </c>
      <c r="G9790" s="140" t="s">
        <v>522</v>
      </c>
      <c r="H9790">
        <v>0</v>
      </c>
      <c r="I9790" s="140" t="s">
        <v>17</v>
      </c>
    </row>
    <row r="9791" spans="1:9" hidden="1" x14ac:dyDescent="0.25">
      <c r="A9791">
        <v>2028</v>
      </c>
      <c r="B9791" s="140" t="s">
        <v>520</v>
      </c>
      <c r="C9791" s="140" t="s">
        <v>50</v>
      </c>
      <c r="D9791" s="140" t="s">
        <v>11</v>
      </c>
      <c r="E9791" s="140" t="s">
        <v>12</v>
      </c>
      <c r="F9791">
        <v>136438.22529999999</v>
      </c>
      <c r="G9791" s="140" t="s">
        <v>522</v>
      </c>
      <c r="H9791">
        <v>0</v>
      </c>
      <c r="I9791" s="140" t="s">
        <v>17</v>
      </c>
    </row>
    <row r="9792" spans="1:9" hidden="1" x14ac:dyDescent="0.25">
      <c r="A9792">
        <v>2029</v>
      </c>
      <c r="B9792" s="140" t="s">
        <v>520</v>
      </c>
      <c r="C9792" s="140" t="s">
        <v>50</v>
      </c>
      <c r="D9792" s="140" t="s">
        <v>11</v>
      </c>
      <c r="E9792" s="140" t="s">
        <v>12</v>
      </c>
      <c r="F9792">
        <v>142251.96849999999</v>
      </c>
      <c r="G9792" s="140" t="s">
        <v>522</v>
      </c>
      <c r="H9792">
        <v>0</v>
      </c>
      <c r="I9792" s="140" t="s">
        <v>17</v>
      </c>
    </row>
    <row r="9793" spans="1:9" hidden="1" x14ac:dyDescent="0.25">
      <c r="A9793">
        <v>2030</v>
      </c>
      <c r="B9793" s="140" t="s">
        <v>520</v>
      </c>
      <c r="C9793" s="140" t="s">
        <v>50</v>
      </c>
      <c r="D9793" s="140" t="s">
        <v>11</v>
      </c>
      <c r="E9793" s="140" t="s">
        <v>12</v>
      </c>
      <c r="F9793">
        <v>142251.96849999999</v>
      </c>
      <c r="G9793" s="140" t="s">
        <v>522</v>
      </c>
      <c r="H9793">
        <v>0</v>
      </c>
      <c r="I9793" s="140" t="s">
        <v>17</v>
      </c>
    </row>
    <row r="9794" spans="1:9" hidden="1" x14ac:dyDescent="0.25">
      <c r="A9794">
        <v>2021</v>
      </c>
      <c r="B9794" s="140" t="s">
        <v>523</v>
      </c>
      <c r="C9794" s="140" t="s">
        <v>524</v>
      </c>
      <c r="D9794" s="140" t="s">
        <v>11</v>
      </c>
      <c r="E9794" s="140" t="s">
        <v>12</v>
      </c>
      <c r="F9794">
        <v>6.1666667000000001E-2</v>
      </c>
      <c r="G9794" s="140" t="s">
        <v>525</v>
      </c>
      <c r="H9794">
        <v>0</v>
      </c>
      <c r="I9794" s="140" t="s">
        <v>14</v>
      </c>
    </row>
    <row r="9795" spans="1:9" hidden="1" x14ac:dyDescent="0.25">
      <c r="A9795">
        <v>2022</v>
      </c>
      <c r="B9795" s="140" t="s">
        <v>523</v>
      </c>
      <c r="C9795" s="140" t="s">
        <v>524</v>
      </c>
      <c r="D9795" s="140" t="s">
        <v>11</v>
      </c>
      <c r="E9795" s="140" t="s">
        <v>12</v>
      </c>
      <c r="F9795">
        <v>0.73499999999999999</v>
      </c>
      <c r="G9795" s="140" t="s">
        <v>525</v>
      </c>
      <c r="H9795">
        <v>0</v>
      </c>
      <c r="I9795" s="140" t="s">
        <v>14</v>
      </c>
    </row>
    <row r="9796" spans="1:9" hidden="1" x14ac:dyDescent="0.25">
      <c r="A9796">
        <v>2023</v>
      </c>
      <c r="B9796" s="140" t="s">
        <v>523</v>
      </c>
      <c r="C9796" s="140" t="s">
        <v>524</v>
      </c>
      <c r="D9796" s="140" t="s">
        <v>11</v>
      </c>
      <c r="E9796" s="140" t="s">
        <v>12</v>
      </c>
      <c r="F9796">
        <v>1.3075000000000001</v>
      </c>
      <c r="G9796" s="140" t="s">
        <v>525</v>
      </c>
      <c r="H9796">
        <v>0</v>
      </c>
      <c r="I9796" s="140" t="s">
        <v>14</v>
      </c>
    </row>
    <row r="9797" spans="1:9" hidden="1" x14ac:dyDescent="0.25">
      <c r="A9797">
        <v>2024</v>
      </c>
      <c r="B9797" s="140" t="s">
        <v>523</v>
      </c>
      <c r="C9797" s="140" t="s">
        <v>524</v>
      </c>
      <c r="D9797" s="140" t="s">
        <v>11</v>
      </c>
      <c r="E9797" s="140" t="s">
        <v>12</v>
      </c>
      <c r="F9797">
        <v>0.90333333299999996</v>
      </c>
      <c r="G9797" s="140" t="s">
        <v>525</v>
      </c>
      <c r="H9797">
        <v>0</v>
      </c>
      <c r="I9797" s="140" t="s">
        <v>14</v>
      </c>
    </row>
    <row r="9798" spans="1:9" hidden="1" x14ac:dyDescent="0.25">
      <c r="A9798">
        <v>2025</v>
      </c>
      <c r="B9798" s="140" t="s">
        <v>523</v>
      </c>
      <c r="C9798" s="140" t="s">
        <v>524</v>
      </c>
      <c r="D9798" s="140" t="s">
        <v>11</v>
      </c>
      <c r="E9798" s="140" t="s">
        <v>12</v>
      </c>
      <c r="F9798">
        <v>0.81265262100000002</v>
      </c>
      <c r="G9798" s="140" t="s">
        <v>525</v>
      </c>
      <c r="H9798">
        <v>0</v>
      </c>
      <c r="I9798" s="140" t="s">
        <v>14</v>
      </c>
    </row>
    <row r="9799" spans="1:9" hidden="1" x14ac:dyDescent="0.25">
      <c r="A9799">
        <v>2026</v>
      </c>
      <c r="B9799" s="140" t="s">
        <v>523</v>
      </c>
      <c r="C9799" s="140" t="s">
        <v>524</v>
      </c>
      <c r="D9799" s="140" t="s">
        <v>11</v>
      </c>
      <c r="E9799" s="140" t="s">
        <v>12</v>
      </c>
      <c r="F9799">
        <v>0.90419369100000002</v>
      </c>
      <c r="G9799" s="140" t="s">
        <v>525</v>
      </c>
      <c r="H9799">
        <v>0</v>
      </c>
      <c r="I9799" s="140" t="s">
        <v>14</v>
      </c>
    </row>
    <row r="9800" spans="1:9" hidden="1" x14ac:dyDescent="0.25">
      <c r="A9800">
        <v>2027</v>
      </c>
      <c r="B9800" s="140" t="s">
        <v>523</v>
      </c>
      <c r="C9800" s="140" t="s">
        <v>524</v>
      </c>
      <c r="D9800" s="140" t="s">
        <v>11</v>
      </c>
      <c r="E9800" s="140" t="s">
        <v>12</v>
      </c>
      <c r="F9800">
        <v>0.80595665299999997</v>
      </c>
      <c r="G9800" s="140" t="s">
        <v>525</v>
      </c>
      <c r="H9800">
        <v>0</v>
      </c>
      <c r="I9800" s="140" t="s">
        <v>14</v>
      </c>
    </row>
    <row r="9801" spans="1:9" hidden="1" x14ac:dyDescent="0.25">
      <c r="A9801">
        <v>2028</v>
      </c>
      <c r="B9801" s="140" t="s">
        <v>523</v>
      </c>
      <c r="C9801" s="140" t="s">
        <v>524</v>
      </c>
      <c r="D9801" s="140" t="s">
        <v>11</v>
      </c>
      <c r="E9801" s="140" t="s">
        <v>12</v>
      </c>
      <c r="F9801">
        <v>0.77762332000000001</v>
      </c>
      <c r="G9801" s="140" t="s">
        <v>525</v>
      </c>
      <c r="H9801">
        <v>0</v>
      </c>
      <c r="I9801" s="140" t="s">
        <v>14</v>
      </c>
    </row>
    <row r="9802" spans="1:9" hidden="1" x14ac:dyDescent="0.25">
      <c r="A9802">
        <v>2029</v>
      </c>
      <c r="B9802" s="140" t="s">
        <v>523</v>
      </c>
      <c r="C9802" s="140" t="s">
        <v>524</v>
      </c>
      <c r="D9802" s="140" t="s">
        <v>11</v>
      </c>
      <c r="E9802" s="140" t="s">
        <v>12</v>
      </c>
      <c r="F9802">
        <v>0.77762332000000001</v>
      </c>
      <c r="G9802" s="140" t="s">
        <v>525</v>
      </c>
      <c r="H9802">
        <v>0</v>
      </c>
      <c r="I9802" s="140" t="s">
        <v>14</v>
      </c>
    </row>
    <row r="9803" spans="1:9" hidden="1" x14ac:dyDescent="0.25">
      <c r="A9803">
        <v>2030</v>
      </c>
      <c r="B9803" s="140" t="s">
        <v>523</v>
      </c>
      <c r="C9803" s="140" t="s">
        <v>524</v>
      </c>
      <c r="D9803" s="140" t="s">
        <v>11</v>
      </c>
      <c r="E9803" s="140" t="s">
        <v>12</v>
      </c>
      <c r="F9803">
        <v>0.77762332000000001</v>
      </c>
      <c r="G9803" s="140" t="s">
        <v>525</v>
      </c>
      <c r="H9803">
        <v>0</v>
      </c>
      <c r="I9803" s="140" t="s">
        <v>14</v>
      </c>
    </row>
    <row r="9804" spans="1:9" hidden="1" x14ac:dyDescent="0.25">
      <c r="A9804">
        <v>2021</v>
      </c>
      <c r="B9804" s="140" t="s">
        <v>526</v>
      </c>
      <c r="C9804" s="140" t="s">
        <v>524</v>
      </c>
      <c r="D9804" s="140" t="s">
        <v>11</v>
      </c>
      <c r="E9804" s="140" t="s">
        <v>12</v>
      </c>
      <c r="F9804">
        <v>0.22</v>
      </c>
      <c r="G9804" s="140" t="s">
        <v>527</v>
      </c>
      <c r="H9804">
        <v>0</v>
      </c>
      <c r="I9804" s="140" t="s">
        <v>14</v>
      </c>
    </row>
    <row r="9805" spans="1:9" hidden="1" x14ac:dyDescent="0.25">
      <c r="A9805">
        <v>2022</v>
      </c>
      <c r="B9805" s="140" t="s">
        <v>526</v>
      </c>
      <c r="C9805" s="140" t="s">
        <v>524</v>
      </c>
      <c r="D9805" s="140" t="s">
        <v>11</v>
      </c>
      <c r="E9805" s="140" t="s">
        <v>12</v>
      </c>
      <c r="F9805">
        <v>1.18</v>
      </c>
      <c r="G9805" s="140" t="s">
        <v>527</v>
      </c>
      <c r="H9805">
        <v>0</v>
      </c>
      <c r="I9805" s="140" t="s">
        <v>14</v>
      </c>
    </row>
    <row r="9806" spans="1:9" hidden="1" x14ac:dyDescent="0.25">
      <c r="A9806">
        <v>2023</v>
      </c>
      <c r="B9806" s="140" t="s">
        <v>526</v>
      </c>
      <c r="C9806" s="140" t="s">
        <v>524</v>
      </c>
      <c r="D9806" s="140" t="s">
        <v>11</v>
      </c>
      <c r="E9806" s="140" t="s">
        <v>12</v>
      </c>
      <c r="F9806">
        <v>1.22</v>
      </c>
      <c r="G9806" s="140" t="s">
        <v>527</v>
      </c>
      <c r="H9806">
        <v>0</v>
      </c>
      <c r="I9806" s="140" t="s">
        <v>14</v>
      </c>
    </row>
    <row r="9807" spans="1:9" hidden="1" x14ac:dyDescent="0.25">
      <c r="A9807">
        <v>2024</v>
      </c>
      <c r="B9807" s="140" t="s">
        <v>526</v>
      </c>
      <c r="C9807" s="140" t="s">
        <v>524</v>
      </c>
      <c r="D9807" s="140" t="s">
        <v>11</v>
      </c>
      <c r="E9807" s="140" t="s">
        <v>12</v>
      </c>
      <c r="F9807">
        <v>0.79</v>
      </c>
      <c r="G9807" s="140" t="s">
        <v>527</v>
      </c>
      <c r="H9807">
        <v>0</v>
      </c>
      <c r="I9807" s="140" t="s">
        <v>14</v>
      </c>
    </row>
    <row r="9808" spans="1:9" hidden="1" x14ac:dyDescent="0.25">
      <c r="A9808">
        <v>2025</v>
      </c>
      <c r="B9808" s="140" t="s">
        <v>526</v>
      </c>
      <c r="C9808" s="140" t="s">
        <v>524</v>
      </c>
      <c r="D9808" s="140" t="s">
        <v>11</v>
      </c>
      <c r="E9808" s="140" t="s">
        <v>12</v>
      </c>
      <c r="F9808">
        <v>0.85566068799999995</v>
      </c>
      <c r="G9808" s="140" t="s">
        <v>527</v>
      </c>
      <c r="H9808">
        <v>0</v>
      </c>
      <c r="I9808" s="140" t="s">
        <v>14</v>
      </c>
    </row>
    <row r="9809" spans="1:9" hidden="1" x14ac:dyDescent="0.25">
      <c r="A9809">
        <v>2026</v>
      </c>
      <c r="B9809" s="140" t="s">
        <v>526</v>
      </c>
      <c r="C9809" s="140" t="s">
        <v>524</v>
      </c>
      <c r="D9809" s="140" t="s">
        <v>11</v>
      </c>
      <c r="E9809" s="140" t="s">
        <v>12</v>
      </c>
      <c r="F9809">
        <v>0.87136069299999996</v>
      </c>
      <c r="G9809" s="140" t="s">
        <v>527</v>
      </c>
      <c r="H9809">
        <v>0</v>
      </c>
      <c r="I9809" s="140" t="s">
        <v>14</v>
      </c>
    </row>
    <row r="9810" spans="1:9" hidden="1" x14ac:dyDescent="0.25">
      <c r="A9810">
        <v>2027</v>
      </c>
      <c r="B9810" s="140" t="s">
        <v>526</v>
      </c>
      <c r="C9810" s="140" t="s">
        <v>524</v>
      </c>
      <c r="D9810" s="140" t="s">
        <v>11</v>
      </c>
      <c r="E9810" s="140" t="s">
        <v>12</v>
      </c>
      <c r="F9810">
        <v>0.80595665299999997</v>
      </c>
      <c r="G9810" s="140" t="s">
        <v>527</v>
      </c>
      <c r="H9810">
        <v>0</v>
      </c>
      <c r="I9810" s="140" t="s">
        <v>14</v>
      </c>
    </row>
    <row r="9811" spans="1:9" hidden="1" x14ac:dyDescent="0.25">
      <c r="A9811">
        <v>2028</v>
      </c>
      <c r="B9811" s="140" t="s">
        <v>526</v>
      </c>
      <c r="C9811" s="140" t="s">
        <v>524</v>
      </c>
      <c r="D9811" s="140" t="s">
        <v>11</v>
      </c>
      <c r="E9811" s="140" t="s">
        <v>12</v>
      </c>
      <c r="F9811">
        <v>0.77762332000000001</v>
      </c>
      <c r="G9811" s="140" t="s">
        <v>527</v>
      </c>
      <c r="H9811">
        <v>0</v>
      </c>
      <c r="I9811" s="140" t="s">
        <v>14</v>
      </c>
    </row>
    <row r="9812" spans="1:9" hidden="1" x14ac:dyDescent="0.25">
      <c r="A9812">
        <v>2029</v>
      </c>
      <c r="B9812" s="140" t="s">
        <v>526</v>
      </c>
      <c r="C9812" s="140" t="s">
        <v>524</v>
      </c>
      <c r="D9812" s="140" t="s">
        <v>11</v>
      </c>
      <c r="E9812" s="140" t="s">
        <v>12</v>
      </c>
      <c r="F9812">
        <v>0.77762332000000001</v>
      </c>
      <c r="G9812" s="140" t="s">
        <v>527</v>
      </c>
      <c r="H9812">
        <v>0</v>
      </c>
      <c r="I9812" s="140" t="s">
        <v>14</v>
      </c>
    </row>
    <row r="9813" spans="1:9" hidden="1" x14ac:dyDescent="0.25">
      <c r="A9813">
        <v>2030</v>
      </c>
      <c r="B9813" s="140" t="s">
        <v>526</v>
      </c>
      <c r="C9813" s="140" t="s">
        <v>524</v>
      </c>
      <c r="D9813" s="140" t="s">
        <v>11</v>
      </c>
      <c r="E9813" s="140" t="s">
        <v>12</v>
      </c>
      <c r="F9813">
        <v>0.77762332000000001</v>
      </c>
      <c r="G9813" s="140" t="s">
        <v>527</v>
      </c>
      <c r="H9813">
        <v>0</v>
      </c>
      <c r="I9813" s="140" t="s">
        <v>14</v>
      </c>
    </row>
    <row r="9814" spans="1:9" hidden="1" x14ac:dyDescent="0.25">
      <c r="A9814">
        <v>2022</v>
      </c>
      <c r="B9814" s="140" t="s">
        <v>529</v>
      </c>
      <c r="C9814" s="140" t="s">
        <v>50</v>
      </c>
      <c r="D9814" s="140" t="s">
        <v>11</v>
      </c>
      <c r="E9814" s="140" t="s">
        <v>104</v>
      </c>
      <c r="F9814">
        <v>27797</v>
      </c>
      <c r="G9814" s="140" t="s">
        <v>530</v>
      </c>
      <c r="H9814">
        <v>0</v>
      </c>
      <c r="I9814" s="140" t="s">
        <v>17</v>
      </c>
    </row>
    <row r="9815" spans="1:9" hidden="1" x14ac:dyDescent="0.25">
      <c r="A9815">
        <v>2023</v>
      </c>
      <c r="B9815" s="140" t="s">
        <v>529</v>
      </c>
      <c r="C9815" s="140" t="s">
        <v>50</v>
      </c>
      <c r="D9815" s="140" t="s">
        <v>11</v>
      </c>
      <c r="E9815" s="140" t="s">
        <v>104</v>
      </c>
      <c r="F9815">
        <v>31471</v>
      </c>
      <c r="G9815" s="140" t="s">
        <v>530</v>
      </c>
      <c r="H9815">
        <v>0</v>
      </c>
      <c r="I9815" s="140" t="s">
        <v>17</v>
      </c>
    </row>
    <row r="9816" spans="1:9" hidden="1" x14ac:dyDescent="0.25">
      <c r="A9816">
        <v>2024</v>
      </c>
      <c r="B9816" s="140" t="s">
        <v>529</v>
      </c>
      <c r="C9816" s="140" t="s">
        <v>50</v>
      </c>
      <c r="D9816" s="140" t="s">
        <v>11</v>
      </c>
      <c r="E9816" s="140" t="s">
        <v>104</v>
      </c>
      <c r="F9816">
        <v>32101</v>
      </c>
      <c r="G9816" s="140" t="s">
        <v>530</v>
      </c>
      <c r="H9816">
        <v>0</v>
      </c>
      <c r="I9816" s="140" t="s">
        <v>17</v>
      </c>
    </row>
    <row r="9817" spans="1:9" hidden="1" x14ac:dyDescent="0.25">
      <c r="A9817">
        <v>2025</v>
      </c>
      <c r="B9817" s="140" t="s">
        <v>529</v>
      </c>
      <c r="C9817" s="140" t="s">
        <v>50</v>
      </c>
      <c r="D9817" s="140" t="s">
        <v>11</v>
      </c>
      <c r="E9817" s="140" t="s">
        <v>104</v>
      </c>
      <c r="F9817">
        <v>32211</v>
      </c>
      <c r="G9817" s="140" t="s">
        <v>530</v>
      </c>
      <c r="H9817">
        <v>0</v>
      </c>
      <c r="I9817" s="140" t="s">
        <v>17</v>
      </c>
    </row>
    <row r="9818" spans="1:9" hidden="1" x14ac:dyDescent="0.25">
      <c r="A9818">
        <v>2026</v>
      </c>
      <c r="B9818" s="140" t="s">
        <v>529</v>
      </c>
      <c r="C9818" s="140" t="s">
        <v>50</v>
      </c>
      <c r="D9818" s="140" t="s">
        <v>11</v>
      </c>
      <c r="E9818" s="140" t="s">
        <v>104</v>
      </c>
      <c r="F9818">
        <v>32177.141909999998</v>
      </c>
      <c r="G9818" s="140" t="s">
        <v>530</v>
      </c>
      <c r="H9818">
        <v>0</v>
      </c>
      <c r="I9818" s="140" t="s">
        <v>17</v>
      </c>
    </row>
    <row r="9819" spans="1:9" hidden="1" x14ac:dyDescent="0.25">
      <c r="A9819">
        <v>2027</v>
      </c>
      <c r="B9819" s="140" t="s">
        <v>529</v>
      </c>
      <c r="C9819" s="140" t="s">
        <v>50</v>
      </c>
      <c r="D9819" s="140" t="s">
        <v>11</v>
      </c>
      <c r="E9819" s="140" t="s">
        <v>104</v>
      </c>
      <c r="F9819">
        <v>32721.720819999999</v>
      </c>
      <c r="G9819" s="140" t="s">
        <v>530</v>
      </c>
      <c r="H9819">
        <v>0</v>
      </c>
      <c r="I9819" s="140" t="s">
        <v>17</v>
      </c>
    </row>
    <row r="9820" spans="1:9" hidden="1" x14ac:dyDescent="0.25">
      <c r="A9820">
        <v>2028</v>
      </c>
      <c r="B9820" s="140" t="s">
        <v>529</v>
      </c>
      <c r="C9820" s="140" t="s">
        <v>50</v>
      </c>
      <c r="D9820" s="140" t="s">
        <v>11</v>
      </c>
      <c r="E9820" s="140" t="s">
        <v>104</v>
      </c>
      <c r="F9820">
        <v>34022.795619999997</v>
      </c>
      <c r="G9820" s="140" t="s">
        <v>530</v>
      </c>
      <c r="H9820">
        <v>0</v>
      </c>
      <c r="I9820" s="140" t="s">
        <v>17</v>
      </c>
    </row>
    <row r="9821" spans="1:9" hidden="1" x14ac:dyDescent="0.25">
      <c r="A9821">
        <v>2029</v>
      </c>
      <c r="B9821" s="140" t="s">
        <v>529</v>
      </c>
      <c r="C9821" s="140" t="s">
        <v>50</v>
      </c>
      <c r="D9821" s="140" t="s">
        <v>11</v>
      </c>
      <c r="E9821" s="140" t="s">
        <v>104</v>
      </c>
      <c r="F9821">
        <v>36021.99785</v>
      </c>
      <c r="G9821" s="140" t="s">
        <v>530</v>
      </c>
      <c r="H9821">
        <v>0</v>
      </c>
      <c r="I9821" s="140" t="s">
        <v>17</v>
      </c>
    </row>
    <row r="9822" spans="1:9" hidden="1" x14ac:dyDescent="0.25">
      <c r="A9822">
        <v>2030</v>
      </c>
      <c r="B9822" s="140" t="s">
        <v>529</v>
      </c>
      <c r="C9822" s="140" t="s">
        <v>50</v>
      </c>
      <c r="D9822" s="140" t="s">
        <v>11</v>
      </c>
      <c r="E9822" s="140" t="s">
        <v>104</v>
      </c>
      <c r="F9822">
        <v>37359.80904</v>
      </c>
      <c r="G9822" s="140" t="s">
        <v>530</v>
      </c>
      <c r="H9822">
        <v>0</v>
      </c>
      <c r="I9822" s="140" t="s">
        <v>17</v>
      </c>
    </row>
    <row r="9823" spans="1:9" hidden="1" x14ac:dyDescent="0.25">
      <c r="A9823">
        <v>2022</v>
      </c>
      <c r="B9823" s="140" t="s">
        <v>529</v>
      </c>
      <c r="C9823" s="140" t="s">
        <v>50</v>
      </c>
      <c r="D9823" s="140" t="s">
        <v>11</v>
      </c>
      <c r="E9823" s="140" t="s">
        <v>279</v>
      </c>
      <c r="F9823">
        <v>8468</v>
      </c>
      <c r="G9823" s="140" t="s">
        <v>531</v>
      </c>
      <c r="H9823">
        <v>0</v>
      </c>
      <c r="I9823" s="140" t="s">
        <v>17</v>
      </c>
    </row>
    <row r="9824" spans="1:9" hidden="1" x14ac:dyDescent="0.25">
      <c r="A9824">
        <v>2023</v>
      </c>
      <c r="B9824" s="140" t="s">
        <v>529</v>
      </c>
      <c r="C9824" s="140" t="s">
        <v>50</v>
      </c>
      <c r="D9824" s="140" t="s">
        <v>11</v>
      </c>
      <c r="E9824" s="140" t="s">
        <v>279</v>
      </c>
      <c r="F9824">
        <v>9066</v>
      </c>
      <c r="G9824" s="140" t="s">
        <v>531</v>
      </c>
      <c r="H9824">
        <v>0</v>
      </c>
      <c r="I9824" s="140" t="s">
        <v>17</v>
      </c>
    </row>
    <row r="9825" spans="1:9" hidden="1" x14ac:dyDescent="0.25">
      <c r="A9825">
        <v>2024</v>
      </c>
      <c r="B9825" s="140" t="s">
        <v>529</v>
      </c>
      <c r="C9825" s="140" t="s">
        <v>50</v>
      </c>
      <c r="D9825" s="140" t="s">
        <v>11</v>
      </c>
      <c r="E9825" s="140" t="s">
        <v>279</v>
      </c>
      <c r="F9825">
        <v>9468</v>
      </c>
      <c r="G9825" s="140" t="s">
        <v>531</v>
      </c>
      <c r="H9825">
        <v>0</v>
      </c>
      <c r="I9825" s="140" t="s">
        <v>17</v>
      </c>
    </row>
    <row r="9826" spans="1:9" hidden="1" x14ac:dyDescent="0.25">
      <c r="A9826">
        <v>2025</v>
      </c>
      <c r="B9826" s="140" t="s">
        <v>529</v>
      </c>
      <c r="C9826" s="140" t="s">
        <v>50</v>
      </c>
      <c r="D9826" s="140" t="s">
        <v>11</v>
      </c>
      <c r="E9826" s="140" t="s">
        <v>279</v>
      </c>
      <c r="F9826">
        <v>9446</v>
      </c>
      <c r="G9826" s="140" t="s">
        <v>531</v>
      </c>
      <c r="H9826">
        <v>0</v>
      </c>
      <c r="I9826" s="140" t="s">
        <v>17</v>
      </c>
    </row>
    <row r="9827" spans="1:9" hidden="1" x14ac:dyDescent="0.25">
      <c r="A9827">
        <v>2026</v>
      </c>
      <c r="B9827" s="140" t="s">
        <v>529</v>
      </c>
      <c r="C9827" s="140" t="s">
        <v>50</v>
      </c>
      <c r="D9827" s="140" t="s">
        <v>11</v>
      </c>
      <c r="E9827" s="140" t="s">
        <v>279</v>
      </c>
      <c r="F9827">
        <v>9471.2378339999996</v>
      </c>
      <c r="G9827" s="140" t="s">
        <v>531</v>
      </c>
      <c r="H9827">
        <v>0</v>
      </c>
      <c r="I9827" s="140" t="s">
        <v>17</v>
      </c>
    </row>
    <row r="9828" spans="1:9" hidden="1" x14ac:dyDescent="0.25">
      <c r="A9828">
        <v>2027</v>
      </c>
      <c r="B9828" s="140" t="s">
        <v>529</v>
      </c>
      <c r="C9828" s="140" t="s">
        <v>50</v>
      </c>
      <c r="D9828" s="140" t="s">
        <v>11</v>
      </c>
      <c r="E9828" s="140" t="s">
        <v>279</v>
      </c>
      <c r="F9828">
        <v>9611.3472440000005</v>
      </c>
      <c r="G9828" s="140" t="s">
        <v>531</v>
      </c>
      <c r="H9828">
        <v>0</v>
      </c>
      <c r="I9828" s="140" t="s">
        <v>17</v>
      </c>
    </row>
    <row r="9829" spans="1:9" hidden="1" x14ac:dyDescent="0.25">
      <c r="A9829">
        <v>2028</v>
      </c>
      <c r="B9829" s="140" t="s">
        <v>529</v>
      </c>
      <c r="C9829" s="140" t="s">
        <v>50</v>
      </c>
      <c r="D9829" s="140" t="s">
        <v>11</v>
      </c>
      <c r="E9829" s="140" t="s">
        <v>279</v>
      </c>
      <c r="F9829">
        <v>10204.4998</v>
      </c>
      <c r="G9829" s="140" t="s">
        <v>531</v>
      </c>
      <c r="H9829">
        <v>0</v>
      </c>
      <c r="I9829" s="140" t="s">
        <v>17</v>
      </c>
    </row>
    <row r="9830" spans="1:9" hidden="1" x14ac:dyDescent="0.25">
      <c r="A9830">
        <v>2029</v>
      </c>
      <c r="B9830" s="140" t="s">
        <v>529</v>
      </c>
      <c r="C9830" s="140" t="s">
        <v>50</v>
      </c>
      <c r="D9830" s="140" t="s">
        <v>11</v>
      </c>
      <c r="E9830" s="140" t="s">
        <v>279</v>
      </c>
      <c r="F9830">
        <v>11615.864680000001</v>
      </c>
      <c r="G9830" s="140" t="s">
        <v>531</v>
      </c>
      <c r="H9830">
        <v>0</v>
      </c>
      <c r="I9830" s="140" t="s">
        <v>17</v>
      </c>
    </row>
    <row r="9831" spans="1:9" hidden="1" x14ac:dyDescent="0.25">
      <c r="A9831">
        <v>2030</v>
      </c>
      <c r="B9831" s="140" t="s">
        <v>529</v>
      </c>
      <c r="C9831" s="140" t="s">
        <v>50</v>
      </c>
      <c r="D9831" s="140" t="s">
        <v>11</v>
      </c>
      <c r="E9831" s="140" t="s">
        <v>279</v>
      </c>
      <c r="F9831">
        <v>12262.13623</v>
      </c>
      <c r="G9831" s="140" t="s">
        <v>531</v>
      </c>
      <c r="H9831">
        <v>0</v>
      </c>
      <c r="I9831" s="140" t="s">
        <v>17</v>
      </c>
    </row>
    <row r="9832" spans="1:9" hidden="1" x14ac:dyDescent="0.25">
      <c r="A9832">
        <v>2022</v>
      </c>
      <c r="B9832" s="140" t="s">
        <v>529</v>
      </c>
      <c r="C9832" s="140" t="s">
        <v>50</v>
      </c>
      <c r="D9832" s="140" t="s">
        <v>11</v>
      </c>
      <c r="E9832" s="140" t="s">
        <v>281</v>
      </c>
      <c r="F9832">
        <v>18143</v>
      </c>
      <c r="G9832" s="140" t="s">
        <v>532</v>
      </c>
      <c r="H9832">
        <v>0</v>
      </c>
      <c r="I9832" s="140" t="s">
        <v>17</v>
      </c>
    </row>
    <row r="9833" spans="1:9" hidden="1" x14ac:dyDescent="0.25">
      <c r="A9833">
        <v>2023</v>
      </c>
      <c r="B9833" s="140" t="s">
        <v>529</v>
      </c>
      <c r="C9833" s="140" t="s">
        <v>50</v>
      </c>
      <c r="D9833" s="140" t="s">
        <v>11</v>
      </c>
      <c r="E9833" s="140" t="s">
        <v>281</v>
      </c>
      <c r="F9833">
        <v>9650</v>
      </c>
      <c r="G9833" s="140" t="s">
        <v>532</v>
      </c>
      <c r="H9833">
        <v>0</v>
      </c>
      <c r="I9833" s="140" t="s">
        <v>17</v>
      </c>
    </row>
    <row r="9834" spans="1:9" hidden="1" x14ac:dyDescent="0.25">
      <c r="A9834">
        <v>2024</v>
      </c>
      <c r="B9834" s="140" t="s">
        <v>529</v>
      </c>
      <c r="C9834" s="140" t="s">
        <v>50</v>
      </c>
      <c r="D9834" s="140" t="s">
        <v>11</v>
      </c>
      <c r="E9834" s="140" t="s">
        <v>281</v>
      </c>
      <c r="F9834">
        <v>9622</v>
      </c>
      <c r="G9834" s="140" t="s">
        <v>532</v>
      </c>
      <c r="H9834">
        <v>0</v>
      </c>
      <c r="I9834" s="140" t="s">
        <v>17</v>
      </c>
    </row>
    <row r="9835" spans="1:9" hidden="1" x14ac:dyDescent="0.25">
      <c r="A9835">
        <v>2025</v>
      </c>
      <c r="B9835" s="140" t="s">
        <v>529</v>
      </c>
      <c r="C9835" s="140" t="s">
        <v>50</v>
      </c>
      <c r="D9835" s="140" t="s">
        <v>11</v>
      </c>
      <c r="E9835" s="140" t="s">
        <v>281</v>
      </c>
      <c r="F9835">
        <v>10050</v>
      </c>
      <c r="G9835" s="140" t="s">
        <v>532</v>
      </c>
      <c r="H9835">
        <v>0</v>
      </c>
      <c r="I9835" s="140" t="s">
        <v>17</v>
      </c>
    </row>
    <row r="9836" spans="1:9" hidden="1" x14ac:dyDescent="0.25">
      <c r="A9836">
        <v>2026</v>
      </c>
      <c r="B9836" s="140" t="s">
        <v>529</v>
      </c>
      <c r="C9836" s="140" t="s">
        <v>50</v>
      </c>
      <c r="D9836" s="140" t="s">
        <v>11</v>
      </c>
      <c r="E9836" s="140" t="s">
        <v>281</v>
      </c>
      <c r="F9836">
        <v>10214.9625</v>
      </c>
      <c r="G9836" s="140" t="s">
        <v>532</v>
      </c>
      <c r="H9836">
        <v>0</v>
      </c>
      <c r="I9836" s="140" t="s">
        <v>17</v>
      </c>
    </row>
    <row r="9837" spans="1:9" hidden="1" x14ac:dyDescent="0.25">
      <c r="A9837">
        <v>2027</v>
      </c>
      <c r="B9837" s="140" t="s">
        <v>529</v>
      </c>
      <c r="C9837" s="140" t="s">
        <v>50</v>
      </c>
      <c r="D9837" s="140" t="s">
        <v>11</v>
      </c>
      <c r="E9837" s="140" t="s">
        <v>281</v>
      </c>
      <c r="F9837">
        <v>10437.63271</v>
      </c>
      <c r="G9837" s="140" t="s">
        <v>532</v>
      </c>
      <c r="H9837">
        <v>0</v>
      </c>
      <c r="I9837" s="140" t="s">
        <v>17</v>
      </c>
    </row>
    <row r="9838" spans="1:9" hidden="1" x14ac:dyDescent="0.25">
      <c r="A9838">
        <v>2028</v>
      </c>
      <c r="B9838" s="140" t="s">
        <v>529</v>
      </c>
      <c r="C9838" s="140" t="s">
        <v>50</v>
      </c>
      <c r="D9838" s="140" t="s">
        <v>11</v>
      </c>
      <c r="E9838" s="140" t="s">
        <v>281</v>
      </c>
      <c r="F9838">
        <v>10693.21754</v>
      </c>
      <c r="G9838" s="140" t="s">
        <v>532</v>
      </c>
      <c r="H9838">
        <v>0</v>
      </c>
      <c r="I9838" s="140" t="s">
        <v>17</v>
      </c>
    </row>
    <row r="9839" spans="1:9" hidden="1" x14ac:dyDescent="0.25">
      <c r="A9839">
        <v>2029</v>
      </c>
      <c r="B9839" s="140" t="s">
        <v>529</v>
      </c>
      <c r="C9839" s="140" t="s">
        <v>50</v>
      </c>
      <c r="D9839" s="140" t="s">
        <v>11</v>
      </c>
      <c r="E9839" s="140" t="s">
        <v>281</v>
      </c>
      <c r="F9839">
        <v>10893.61838</v>
      </c>
      <c r="G9839" s="140" t="s">
        <v>532</v>
      </c>
      <c r="H9839">
        <v>0</v>
      </c>
      <c r="I9839" s="140" t="s">
        <v>17</v>
      </c>
    </row>
    <row r="9840" spans="1:9" hidden="1" x14ac:dyDescent="0.25">
      <c r="A9840">
        <v>2030</v>
      </c>
      <c r="B9840" s="140" t="s">
        <v>529</v>
      </c>
      <c r="C9840" s="140" t="s">
        <v>50</v>
      </c>
      <c r="D9840" s="140" t="s">
        <v>11</v>
      </c>
      <c r="E9840" s="140" t="s">
        <v>281</v>
      </c>
      <c r="F9840">
        <v>11176.687529999999</v>
      </c>
      <c r="G9840" s="140" t="s">
        <v>532</v>
      </c>
      <c r="H9840">
        <v>0</v>
      </c>
      <c r="I9840" s="140" t="s">
        <v>17</v>
      </c>
    </row>
    <row r="9841" spans="1:9" hidden="1" x14ac:dyDescent="0.25">
      <c r="A9841">
        <v>2023</v>
      </c>
      <c r="B9841" s="140" t="s">
        <v>529</v>
      </c>
      <c r="C9841" s="140" t="s">
        <v>50</v>
      </c>
      <c r="D9841" s="140" t="s">
        <v>11</v>
      </c>
      <c r="E9841" s="140" t="s">
        <v>533</v>
      </c>
      <c r="F9841">
        <v>11349</v>
      </c>
      <c r="G9841" s="140" t="s">
        <v>534</v>
      </c>
      <c r="H9841">
        <v>0</v>
      </c>
      <c r="I9841" s="140" t="s">
        <v>17</v>
      </c>
    </row>
    <row r="9842" spans="1:9" hidden="1" x14ac:dyDescent="0.25">
      <c r="A9842">
        <v>2024</v>
      </c>
      <c r="B9842" s="140" t="s">
        <v>529</v>
      </c>
      <c r="C9842" s="140" t="s">
        <v>50</v>
      </c>
      <c r="D9842" s="140" t="s">
        <v>11</v>
      </c>
      <c r="E9842" s="140" t="s">
        <v>533</v>
      </c>
      <c r="F9842">
        <v>11578</v>
      </c>
      <c r="G9842" s="140" t="s">
        <v>534</v>
      </c>
      <c r="H9842">
        <v>0</v>
      </c>
      <c r="I9842" s="140" t="s">
        <v>17</v>
      </c>
    </row>
    <row r="9843" spans="1:9" hidden="1" x14ac:dyDescent="0.25">
      <c r="A9843">
        <v>2025</v>
      </c>
      <c r="B9843" s="140" t="s">
        <v>529</v>
      </c>
      <c r="C9843" s="140" t="s">
        <v>50</v>
      </c>
      <c r="D9843" s="140" t="s">
        <v>11</v>
      </c>
      <c r="E9843" s="140" t="s">
        <v>533</v>
      </c>
      <c r="F9843">
        <v>11341</v>
      </c>
      <c r="G9843" s="140" t="s">
        <v>534</v>
      </c>
      <c r="H9843">
        <v>0</v>
      </c>
      <c r="I9843" s="140" t="s">
        <v>17</v>
      </c>
    </row>
    <row r="9844" spans="1:9" hidden="1" x14ac:dyDescent="0.25">
      <c r="A9844">
        <v>2026</v>
      </c>
      <c r="B9844" s="140" t="s">
        <v>529</v>
      </c>
      <c r="C9844" s="140" t="s">
        <v>50</v>
      </c>
      <c r="D9844" s="140" t="s">
        <v>11</v>
      </c>
      <c r="E9844" s="140" t="s">
        <v>533</v>
      </c>
      <c r="F9844">
        <v>11135</v>
      </c>
      <c r="G9844" s="140" t="s">
        <v>534</v>
      </c>
      <c r="H9844">
        <v>0</v>
      </c>
      <c r="I9844" s="140" t="s">
        <v>17</v>
      </c>
    </row>
    <row r="9845" spans="1:9" hidden="1" x14ac:dyDescent="0.25">
      <c r="A9845">
        <v>2027</v>
      </c>
      <c r="B9845" s="140" t="s">
        <v>529</v>
      </c>
      <c r="C9845" s="140" t="s">
        <v>50</v>
      </c>
      <c r="D9845" s="140" t="s">
        <v>11</v>
      </c>
      <c r="E9845" s="140" t="s">
        <v>533</v>
      </c>
      <c r="F9845">
        <v>11244</v>
      </c>
      <c r="G9845" s="140" t="s">
        <v>534</v>
      </c>
      <c r="H9845">
        <v>0</v>
      </c>
      <c r="I9845" s="140" t="s">
        <v>17</v>
      </c>
    </row>
    <row r="9846" spans="1:9" hidden="1" x14ac:dyDescent="0.25">
      <c r="A9846">
        <v>2028</v>
      </c>
      <c r="B9846" s="140" t="s">
        <v>529</v>
      </c>
      <c r="C9846" s="140" t="s">
        <v>50</v>
      </c>
      <c r="D9846" s="140" t="s">
        <v>11</v>
      </c>
      <c r="E9846" s="140" t="s">
        <v>533</v>
      </c>
      <c r="F9846">
        <v>11670</v>
      </c>
      <c r="G9846" s="140" t="s">
        <v>534</v>
      </c>
      <c r="H9846">
        <v>0</v>
      </c>
      <c r="I9846" s="140" t="s">
        <v>17</v>
      </c>
    </row>
    <row r="9847" spans="1:9" hidden="1" x14ac:dyDescent="0.25">
      <c r="A9847">
        <v>2029</v>
      </c>
      <c r="B9847" s="140" t="s">
        <v>529</v>
      </c>
      <c r="C9847" s="140" t="s">
        <v>50</v>
      </c>
      <c r="D9847" s="140" t="s">
        <v>11</v>
      </c>
      <c r="E9847" s="140" t="s">
        <v>533</v>
      </c>
      <c r="F9847">
        <v>12030</v>
      </c>
      <c r="G9847" s="140" t="s">
        <v>534</v>
      </c>
      <c r="H9847">
        <v>0</v>
      </c>
      <c r="I9847" s="140" t="s">
        <v>17</v>
      </c>
    </row>
    <row r="9848" spans="1:9" hidden="1" x14ac:dyDescent="0.25">
      <c r="A9848">
        <v>2030</v>
      </c>
      <c r="B9848" s="140" t="s">
        <v>529</v>
      </c>
      <c r="C9848" s="140" t="s">
        <v>50</v>
      </c>
      <c r="D9848" s="140" t="s">
        <v>11</v>
      </c>
      <c r="E9848" s="140" t="s">
        <v>533</v>
      </c>
      <c r="F9848">
        <v>12411</v>
      </c>
      <c r="G9848" s="140" t="s">
        <v>534</v>
      </c>
      <c r="H9848">
        <v>0</v>
      </c>
      <c r="I9848" s="140" t="s">
        <v>17</v>
      </c>
    </row>
    <row r="9849" spans="1:9" hidden="1" x14ac:dyDescent="0.25">
      <c r="A9849">
        <v>2022</v>
      </c>
      <c r="B9849" s="140" t="s">
        <v>529</v>
      </c>
      <c r="C9849" s="140" t="s">
        <v>50</v>
      </c>
      <c r="D9849" s="140" t="s">
        <v>11</v>
      </c>
      <c r="E9849" s="140" t="s">
        <v>283</v>
      </c>
      <c r="F9849">
        <v>1186</v>
      </c>
      <c r="G9849" s="140" t="s">
        <v>535</v>
      </c>
      <c r="H9849">
        <v>0</v>
      </c>
      <c r="I9849" s="140" t="s">
        <v>17</v>
      </c>
    </row>
    <row r="9850" spans="1:9" hidden="1" x14ac:dyDescent="0.25">
      <c r="A9850">
        <v>2023</v>
      </c>
      <c r="B9850" s="140" t="s">
        <v>529</v>
      </c>
      <c r="C9850" s="140" t="s">
        <v>50</v>
      </c>
      <c r="D9850" s="140" t="s">
        <v>11</v>
      </c>
      <c r="E9850" s="140" t="s">
        <v>283</v>
      </c>
      <c r="F9850">
        <v>1406</v>
      </c>
      <c r="G9850" s="140" t="s">
        <v>535</v>
      </c>
      <c r="H9850">
        <v>0</v>
      </c>
      <c r="I9850" s="140" t="s">
        <v>17</v>
      </c>
    </row>
    <row r="9851" spans="1:9" hidden="1" x14ac:dyDescent="0.25">
      <c r="A9851">
        <v>2024</v>
      </c>
      <c r="B9851" s="140" t="s">
        <v>529</v>
      </c>
      <c r="C9851" s="140" t="s">
        <v>50</v>
      </c>
      <c r="D9851" s="140" t="s">
        <v>11</v>
      </c>
      <c r="E9851" s="140" t="s">
        <v>283</v>
      </c>
      <c r="F9851">
        <v>1433</v>
      </c>
      <c r="G9851" s="140" t="s">
        <v>535</v>
      </c>
      <c r="H9851">
        <v>0</v>
      </c>
      <c r="I9851" s="140" t="s">
        <v>17</v>
      </c>
    </row>
    <row r="9852" spans="1:9" hidden="1" x14ac:dyDescent="0.25">
      <c r="A9852">
        <v>2025</v>
      </c>
      <c r="B9852" s="140" t="s">
        <v>529</v>
      </c>
      <c r="C9852" s="140" t="s">
        <v>50</v>
      </c>
      <c r="D9852" s="140" t="s">
        <v>11</v>
      </c>
      <c r="E9852" s="140" t="s">
        <v>283</v>
      </c>
      <c r="F9852">
        <v>1374</v>
      </c>
      <c r="G9852" s="140" t="s">
        <v>535</v>
      </c>
      <c r="H9852">
        <v>0</v>
      </c>
      <c r="I9852" s="140" t="s">
        <v>17</v>
      </c>
    </row>
    <row r="9853" spans="1:9" hidden="1" x14ac:dyDescent="0.25">
      <c r="A9853">
        <v>2026</v>
      </c>
      <c r="B9853" s="140" t="s">
        <v>529</v>
      </c>
      <c r="C9853" s="140" t="s">
        <v>50</v>
      </c>
      <c r="D9853" s="140" t="s">
        <v>11</v>
      </c>
      <c r="E9853" s="140" t="s">
        <v>283</v>
      </c>
      <c r="F9853">
        <v>1355.9415730000001</v>
      </c>
      <c r="G9853" s="140" t="s">
        <v>535</v>
      </c>
      <c r="H9853">
        <v>0</v>
      </c>
      <c r="I9853" s="140" t="s">
        <v>17</v>
      </c>
    </row>
    <row r="9854" spans="1:9" hidden="1" x14ac:dyDescent="0.25">
      <c r="A9854">
        <v>2027</v>
      </c>
      <c r="B9854" s="140" t="s">
        <v>529</v>
      </c>
      <c r="C9854" s="140" t="s">
        <v>50</v>
      </c>
      <c r="D9854" s="140" t="s">
        <v>11</v>
      </c>
      <c r="E9854" s="140" t="s">
        <v>283</v>
      </c>
      <c r="F9854">
        <v>1428.740861</v>
      </c>
      <c r="G9854" s="140" t="s">
        <v>535</v>
      </c>
      <c r="H9854">
        <v>0</v>
      </c>
      <c r="I9854" s="140" t="s">
        <v>17</v>
      </c>
    </row>
    <row r="9855" spans="1:9" hidden="1" x14ac:dyDescent="0.25">
      <c r="A9855">
        <v>2028</v>
      </c>
      <c r="B9855" s="140" t="s">
        <v>529</v>
      </c>
      <c r="C9855" s="140" t="s">
        <v>50</v>
      </c>
      <c r="D9855" s="140" t="s">
        <v>11</v>
      </c>
      <c r="E9855" s="140" t="s">
        <v>283</v>
      </c>
      <c r="F9855">
        <v>1455.0782830000001</v>
      </c>
      <c r="G9855" s="140" t="s">
        <v>535</v>
      </c>
      <c r="H9855">
        <v>0</v>
      </c>
      <c r="I9855" s="140" t="s">
        <v>17</v>
      </c>
    </row>
    <row r="9856" spans="1:9" hidden="1" x14ac:dyDescent="0.25">
      <c r="A9856">
        <v>2029</v>
      </c>
      <c r="B9856" s="140" t="s">
        <v>529</v>
      </c>
      <c r="C9856" s="140" t="s">
        <v>50</v>
      </c>
      <c r="D9856" s="140" t="s">
        <v>11</v>
      </c>
      <c r="E9856" s="140" t="s">
        <v>283</v>
      </c>
      <c r="F9856">
        <v>1482.5147890000001</v>
      </c>
      <c r="G9856" s="140" t="s">
        <v>535</v>
      </c>
      <c r="H9856">
        <v>0</v>
      </c>
      <c r="I9856" s="140" t="s">
        <v>17</v>
      </c>
    </row>
    <row r="9857" spans="1:9" hidden="1" x14ac:dyDescent="0.25">
      <c r="A9857">
        <v>2030</v>
      </c>
      <c r="B9857" s="140" t="s">
        <v>529</v>
      </c>
      <c r="C9857" s="140" t="s">
        <v>50</v>
      </c>
      <c r="D9857" s="140" t="s">
        <v>11</v>
      </c>
      <c r="E9857" s="140" t="s">
        <v>283</v>
      </c>
      <c r="F9857">
        <v>1509.985285</v>
      </c>
      <c r="G9857" s="140" t="s">
        <v>535</v>
      </c>
      <c r="H9857">
        <v>0</v>
      </c>
      <c r="I9857" s="140" t="s">
        <v>17</v>
      </c>
    </row>
    <row r="9858" spans="1:9" hidden="1" x14ac:dyDescent="0.25">
      <c r="A9858">
        <v>1990</v>
      </c>
      <c r="B9858" s="140" t="s">
        <v>301</v>
      </c>
      <c r="C9858" s="140" t="s">
        <v>132</v>
      </c>
      <c r="D9858" s="140" t="s">
        <v>11</v>
      </c>
      <c r="E9858" s="140" t="s">
        <v>12</v>
      </c>
      <c r="F9858">
        <v>1.5502366350000001</v>
      </c>
      <c r="G9858" s="140" t="s">
        <v>557</v>
      </c>
      <c r="H9858">
        <v>0</v>
      </c>
      <c r="I9858" s="140" t="s">
        <v>14</v>
      </c>
    </row>
    <row r="9859" spans="1:9" hidden="1" x14ac:dyDescent="0.25">
      <c r="A9859">
        <v>1991</v>
      </c>
      <c r="B9859" s="140" t="s">
        <v>301</v>
      </c>
      <c r="C9859" s="140" t="s">
        <v>132</v>
      </c>
      <c r="D9859" s="140" t="s">
        <v>11</v>
      </c>
      <c r="E9859" s="140" t="s">
        <v>12</v>
      </c>
      <c r="F9859">
        <v>0.59996890000000003</v>
      </c>
      <c r="G9859" s="140" t="s">
        <v>557</v>
      </c>
      <c r="H9859">
        <v>0</v>
      </c>
      <c r="I9859" s="140" t="s">
        <v>14</v>
      </c>
    </row>
    <row r="9860" spans="1:9" hidden="1" x14ac:dyDescent="0.25">
      <c r="A9860">
        <v>1992</v>
      </c>
      <c r="B9860" s="140" t="s">
        <v>301</v>
      </c>
      <c r="C9860" s="140" t="s">
        <v>132</v>
      </c>
      <c r="D9860" s="140" t="s">
        <v>11</v>
      </c>
      <c r="E9860" s="140" t="s">
        <v>12</v>
      </c>
      <c r="F9860">
        <v>0.41219317700000002</v>
      </c>
      <c r="G9860" s="140" t="s">
        <v>557</v>
      </c>
      <c r="H9860">
        <v>0</v>
      </c>
      <c r="I9860" s="140" t="s">
        <v>14</v>
      </c>
    </row>
    <row r="9861" spans="1:9" hidden="1" x14ac:dyDescent="0.25">
      <c r="A9861">
        <v>1993</v>
      </c>
      <c r="B9861" s="140" t="s">
        <v>301</v>
      </c>
      <c r="C9861" s="140" t="s">
        <v>132</v>
      </c>
      <c r="D9861" s="140" t="s">
        <v>11</v>
      </c>
      <c r="E9861" s="140" t="s">
        <v>12</v>
      </c>
      <c r="F9861">
        <v>0.48333737500000001</v>
      </c>
      <c r="G9861" s="140" t="s">
        <v>557</v>
      </c>
      <c r="H9861">
        <v>0</v>
      </c>
      <c r="I9861" s="140" t="s">
        <v>14</v>
      </c>
    </row>
    <row r="9862" spans="1:9" hidden="1" x14ac:dyDescent="0.25">
      <c r="A9862">
        <v>1994</v>
      </c>
      <c r="B9862" s="140" t="s">
        <v>301</v>
      </c>
      <c r="C9862" s="140" t="s">
        <v>132</v>
      </c>
      <c r="D9862" s="140" t="s">
        <v>11</v>
      </c>
      <c r="E9862" s="140" t="s">
        <v>12</v>
      </c>
      <c r="F9862">
        <v>1.4322835460000001</v>
      </c>
      <c r="G9862" s="140" t="s">
        <v>557</v>
      </c>
      <c r="H9862">
        <v>0</v>
      </c>
      <c r="I9862" s="140" t="s">
        <v>14</v>
      </c>
    </row>
    <row r="9863" spans="1:9" hidden="1" x14ac:dyDescent="0.25">
      <c r="A9863">
        <v>1995</v>
      </c>
      <c r="B9863" s="140" t="s">
        <v>301</v>
      </c>
      <c r="C9863" s="140" t="s">
        <v>132</v>
      </c>
      <c r="D9863" s="140" t="s">
        <v>11</v>
      </c>
      <c r="E9863" s="140" t="s">
        <v>12</v>
      </c>
      <c r="F9863">
        <v>2.2268595919999998</v>
      </c>
      <c r="G9863" s="140" t="s">
        <v>557</v>
      </c>
      <c r="H9863">
        <v>0</v>
      </c>
      <c r="I9863" s="140" t="s">
        <v>14</v>
      </c>
    </row>
    <row r="9864" spans="1:9" hidden="1" x14ac:dyDescent="0.25">
      <c r="A9864">
        <v>1996</v>
      </c>
      <c r="B9864" s="140" t="s">
        <v>301</v>
      </c>
      <c r="C9864" s="140" t="s">
        <v>132</v>
      </c>
      <c r="D9864" s="140" t="s">
        <v>11</v>
      </c>
      <c r="E9864" s="140" t="s">
        <v>12</v>
      </c>
      <c r="F9864">
        <v>2.9417589309999999</v>
      </c>
      <c r="G9864" s="140" t="s">
        <v>557</v>
      </c>
      <c r="H9864">
        <v>0</v>
      </c>
      <c r="I9864" s="140" t="s">
        <v>14</v>
      </c>
    </row>
    <row r="9865" spans="1:9" hidden="1" x14ac:dyDescent="0.25">
      <c r="A9865">
        <v>1997</v>
      </c>
      <c r="B9865" s="140" t="s">
        <v>301</v>
      </c>
      <c r="C9865" s="140" t="s">
        <v>132</v>
      </c>
      <c r="D9865" s="140" t="s">
        <v>11</v>
      </c>
      <c r="E9865" s="140" t="s">
        <v>12</v>
      </c>
      <c r="F9865">
        <v>3.6081296819999999</v>
      </c>
      <c r="G9865" s="140" t="s">
        <v>557</v>
      </c>
      <c r="H9865">
        <v>0</v>
      </c>
      <c r="I9865" s="140" t="s">
        <v>14</v>
      </c>
    </row>
    <row r="9866" spans="1:9" hidden="1" x14ac:dyDescent="0.25">
      <c r="A9866">
        <v>1998</v>
      </c>
      <c r="B9866" s="140" t="s">
        <v>301</v>
      </c>
      <c r="C9866" s="140" t="s">
        <v>132</v>
      </c>
      <c r="D9866" s="140" t="s">
        <v>11</v>
      </c>
      <c r="E9866" s="140" t="s">
        <v>12</v>
      </c>
      <c r="F9866">
        <v>4.3055703669999996</v>
      </c>
      <c r="G9866" s="140" t="s">
        <v>557</v>
      </c>
      <c r="H9866">
        <v>0</v>
      </c>
      <c r="I9866" s="140" t="s">
        <v>14</v>
      </c>
    </row>
    <row r="9867" spans="1:9" hidden="1" x14ac:dyDescent="0.25">
      <c r="A9867">
        <v>1999</v>
      </c>
      <c r="B9867" s="140" t="s">
        <v>301</v>
      </c>
      <c r="C9867" s="140" t="s">
        <v>132</v>
      </c>
      <c r="D9867" s="140" t="s">
        <v>11</v>
      </c>
      <c r="E9867" s="140" t="s">
        <v>12</v>
      </c>
      <c r="F9867">
        <v>4.448653234</v>
      </c>
      <c r="G9867" s="140" t="s">
        <v>557</v>
      </c>
      <c r="H9867">
        <v>0</v>
      </c>
      <c r="I9867" s="140" t="s">
        <v>14</v>
      </c>
    </row>
    <row r="9868" spans="1:9" hidden="1" x14ac:dyDescent="0.25">
      <c r="A9868">
        <v>2000</v>
      </c>
      <c r="B9868" s="140" t="s">
        <v>301</v>
      </c>
      <c r="C9868" s="140" t="s">
        <v>132</v>
      </c>
      <c r="D9868" s="140" t="s">
        <v>11</v>
      </c>
      <c r="E9868" s="140" t="s">
        <v>12</v>
      </c>
      <c r="F9868">
        <v>4.4232102510000004</v>
      </c>
      <c r="G9868" s="140" t="s">
        <v>557</v>
      </c>
      <c r="H9868">
        <v>0</v>
      </c>
      <c r="I9868" s="140" t="s">
        <v>14</v>
      </c>
    </row>
    <row r="9869" spans="1:9" hidden="1" x14ac:dyDescent="0.25">
      <c r="A9869">
        <v>2001</v>
      </c>
      <c r="B9869" s="140" t="s">
        <v>301</v>
      </c>
      <c r="C9869" s="140" t="s">
        <v>132</v>
      </c>
      <c r="D9869" s="140" t="s">
        <v>11</v>
      </c>
      <c r="E9869" s="140" t="s">
        <v>12</v>
      </c>
      <c r="F9869">
        <v>4.1538077080000004</v>
      </c>
      <c r="G9869" s="140" t="s">
        <v>557</v>
      </c>
      <c r="H9869">
        <v>0</v>
      </c>
      <c r="I9869" s="140" t="s">
        <v>14</v>
      </c>
    </row>
    <row r="9870" spans="1:9" hidden="1" x14ac:dyDescent="0.25">
      <c r="A9870">
        <v>2002</v>
      </c>
      <c r="B9870" s="140" t="s">
        <v>301</v>
      </c>
      <c r="C9870" s="140" t="s">
        <v>132</v>
      </c>
      <c r="D9870" s="140" t="s">
        <v>11</v>
      </c>
      <c r="E9870" s="140" t="s">
        <v>12</v>
      </c>
      <c r="F9870">
        <v>3.517996948</v>
      </c>
      <c r="G9870" s="140" t="s">
        <v>557</v>
      </c>
      <c r="H9870">
        <v>0</v>
      </c>
      <c r="I9870" s="140" t="s">
        <v>14</v>
      </c>
    </row>
    <row r="9871" spans="1:9" hidden="1" x14ac:dyDescent="0.25">
      <c r="A9871">
        <v>2003</v>
      </c>
      <c r="B9871" s="140" t="s">
        <v>301</v>
      </c>
      <c r="C9871" s="140" t="s">
        <v>132</v>
      </c>
      <c r="D9871" s="140" t="s">
        <v>11</v>
      </c>
      <c r="E9871" s="140" t="s">
        <v>12</v>
      </c>
      <c r="F9871">
        <v>3.1978754390000002</v>
      </c>
      <c r="G9871" s="140" t="s">
        <v>557</v>
      </c>
      <c r="H9871">
        <v>0</v>
      </c>
      <c r="I9871" s="140" t="s">
        <v>14</v>
      </c>
    </row>
    <row r="9872" spans="1:9" hidden="1" x14ac:dyDescent="0.25">
      <c r="A9872">
        <v>2004</v>
      </c>
      <c r="B9872" s="140" t="s">
        <v>301</v>
      </c>
      <c r="C9872" s="140" t="s">
        <v>132</v>
      </c>
      <c r="D9872" s="140" t="s">
        <v>11</v>
      </c>
      <c r="E9872" s="140" t="s">
        <v>12</v>
      </c>
      <c r="F9872">
        <v>2.9311959480000001</v>
      </c>
      <c r="G9872" s="140" t="s">
        <v>557</v>
      </c>
      <c r="H9872">
        <v>0</v>
      </c>
      <c r="I9872" s="140" t="s">
        <v>14</v>
      </c>
    </row>
    <row r="9873" spans="1:9" hidden="1" x14ac:dyDescent="0.25">
      <c r="A9873">
        <v>2005</v>
      </c>
      <c r="B9873" s="140" t="s">
        <v>301</v>
      </c>
      <c r="C9873" s="140" t="s">
        <v>132</v>
      </c>
      <c r="D9873" s="140" t="s">
        <v>11</v>
      </c>
      <c r="E9873" s="140" t="s">
        <v>12</v>
      </c>
      <c r="F9873">
        <v>2.613936201</v>
      </c>
      <c r="G9873" s="140" t="s">
        <v>557</v>
      </c>
      <c r="H9873">
        <v>0</v>
      </c>
      <c r="I9873" s="140" t="s">
        <v>14</v>
      </c>
    </row>
    <row r="9874" spans="1:9" hidden="1" x14ac:dyDescent="0.25">
      <c r="A9874">
        <v>2006</v>
      </c>
      <c r="B9874" s="140" t="s">
        <v>301</v>
      </c>
      <c r="C9874" s="140" t="s">
        <v>132</v>
      </c>
      <c r="D9874" s="140" t="s">
        <v>11</v>
      </c>
      <c r="E9874" s="140" t="s">
        <v>12</v>
      </c>
      <c r="F9874">
        <v>2.3434251270000002</v>
      </c>
      <c r="G9874" s="140" t="s">
        <v>557</v>
      </c>
      <c r="H9874">
        <v>0</v>
      </c>
      <c r="I9874" s="140" t="s">
        <v>14</v>
      </c>
    </row>
    <row r="9875" spans="1:9" hidden="1" x14ac:dyDescent="0.25">
      <c r="A9875">
        <v>2007</v>
      </c>
      <c r="B9875" s="140" t="s">
        <v>301</v>
      </c>
      <c r="C9875" s="140" t="s">
        <v>132</v>
      </c>
      <c r="D9875" s="140" t="s">
        <v>11</v>
      </c>
      <c r="E9875" s="140" t="s">
        <v>12</v>
      </c>
      <c r="F9875">
        <v>2.211753898</v>
      </c>
      <c r="G9875" s="140" t="s">
        <v>557</v>
      </c>
      <c r="H9875">
        <v>0</v>
      </c>
      <c r="I9875" s="140" t="s">
        <v>14</v>
      </c>
    </row>
    <row r="9876" spans="1:9" hidden="1" x14ac:dyDescent="0.25">
      <c r="A9876">
        <v>2008</v>
      </c>
      <c r="B9876" s="140" t="s">
        <v>301</v>
      </c>
      <c r="C9876" s="140" t="s">
        <v>132</v>
      </c>
      <c r="D9876" s="140" t="s">
        <v>11</v>
      </c>
      <c r="E9876" s="140" t="s">
        <v>12</v>
      </c>
      <c r="F9876">
        <v>1.5284836879999999</v>
      </c>
      <c r="G9876" s="140" t="s">
        <v>557</v>
      </c>
      <c r="H9876">
        <v>0</v>
      </c>
      <c r="I9876" s="140" t="s">
        <v>14</v>
      </c>
    </row>
    <row r="9877" spans="1:9" hidden="1" x14ac:dyDescent="0.25">
      <c r="A9877">
        <v>2009</v>
      </c>
      <c r="B9877" s="140" t="s">
        <v>301</v>
      </c>
      <c r="C9877" s="140" t="s">
        <v>132</v>
      </c>
      <c r="D9877" s="140" t="s">
        <v>11</v>
      </c>
      <c r="E9877" s="140" t="s">
        <v>12</v>
      </c>
      <c r="F9877">
        <v>0.258102673</v>
      </c>
      <c r="G9877" s="140" t="s">
        <v>557</v>
      </c>
      <c r="H9877">
        <v>0</v>
      </c>
      <c r="I9877" s="140" t="s">
        <v>14</v>
      </c>
    </row>
    <row r="9878" spans="1:9" hidden="1" x14ac:dyDescent="0.25">
      <c r="A9878">
        <v>2010</v>
      </c>
      <c r="B9878" s="140" t="s">
        <v>301</v>
      </c>
      <c r="C9878" s="140" t="s">
        <v>132</v>
      </c>
      <c r="D9878" s="140" t="s">
        <v>11</v>
      </c>
      <c r="E9878" s="140" t="s">
        <v>12</v>
      </c>
      <c r="F9878">
        <v>0.303836569</v>
      </c>
      <c r="G9878" s="140" t="s">
        <v>557</v>
      </c>
      <c r="H9878">
        <v>0</v>
      </c>
      <c r="I9878" s="140" t="s">
        <v>14</v>
      </c>
    </row>
    <row r="9879" spans="1:9" hidden="1" x14ac:dyDescent="0.25">
      <c r="A9879">
        <v>2011</v>
      </c>
      <c r="B9879" s="140" t="s">
        <v>301</v>
      </c>
      <c r="C9879" s="140" t="s">
        <v>132</v>
      </c>
      <c r="D9879" s="140" t="s">
        <v>11</v>
      </c>
      <c r="E9879" s="140" t="s">
        <v>12</v>
      </c>
      <c r="F9879">
        <v>0.29885024199999999</v>
      </c>
      <c r="G9879" s="140" t="s">
        <v>557</v>
      </c>
      <c r="H9879">
        <v>0</v>
      </c>
      <c r="I9879" s="140" t="s">
        <v>14</v>
      </c>
    </row>
    <row r="9880" spans="1:9" hidden="1" x14ac:dyDescent="0.25">
      <c r="A9880">
        <v>2012</v>
      </c>
      <c r="B9880" s="140" t="s">
        <v>301</v>
      </c>
      <c r="C9880" s="140" t="s">
        <v>132</v>
      </c>
      <c r="D9880" s="140" t="s">
        <v>11</v>
      </c>
      <c r="E9880" s="140" t="s">
        <v>12</v>
      </c>
      <c r="F9880">
        <v>0.119212252</v>
      </c>
      <c r="G9880" s="140" t="s">
        <v>557</v>
      </c>
      <c r="H9880">
        <v>0</v>
      </c>
      <c r="I9880" s="140" t="s">
        <v>14</v>
      </c>
    </row>
    <row r="9881" spans="1:9" hidden="1" x14ac:dyDescent="0.25">
      <c r="A9881">
        <v>2013</v>
      </c>
      <c r="B9881" s="140" t="s">
        <v>301</v>
      </c>
      <c r="C9881" s="140" t="s">
        <v>132</v>
      </c>
      <c r="D9881" s="140" t="s">
        <v>11</v>
      </c>
      <c r="E9881" s="140" t="s">
        <v>12</v>
      </c>
      <c r="F9881">
        <v>6.0165884000000003E-2</v>
      </c>
      <c r="G9881" s="140" t="s">
        <v>557</v>
      </c>
      <c r="H9881">
        <v>0</v>
      </c>
      <c r="I9881" s="140" t="s">
        <v>14</v>
      </c>
    </row>
    <row r="9882" spans="1:9" hidden="1" x14ac:dyDescent="0.25">
      <c r="A9882">
        <v>2014</v>
      </c>
      <c r="B9882" s="140" t="s">
        <v>301</v>
      </c>
      <c r="C9882" s="140" t="s">
        <v>132</v>
      </c>
      <c r="D9882" s="140" t="s">
        <v>11</v>
      </c>
      <c r="E9882" s="140" t="s">
        <v>12</v>
      </c>
      <c r="F9882">
        <v>0.161645489</v>
      </c>
      <c r="G9882" s="140" t="s">
        <v>557</v>
      </c>
      <c r="H9882">
        <v>0</v>
      </c>
      <c r="I9882" s="140" t="s">
        <v>14</v>
      </c>
    </row>
    <row r="9883" spans="1:9" hidden="1" x14ac:dyDescent="0.25">
      <c r="A9883">
        <v>2015</v>
      </c>
      <c r="B9883" s="140" t="s">
        <v>301</v>
      </c>
      <c r="C9883" s="140" t="s">
        <v>132</v>
      </c>
      <c r="D9883" s="140" t="s">
        <v>11</v>
      </c>
      <c r="E9883" s="140" t="s">
        <v>12</v>
      </c>
      <c r="F9883">
        <v>0.29285406800000002</v>
      </c>
      <c r="G9883" s="140" t="s">
        <v>557</v>
      </c>
      <c r="H9883">
        <v>0</v>
      </c>
      <c r="I9883" s="140" t="s">
        <v>14</v>
      </c>
    </row>
    <row r="9884" spans="1:9" hidden="1" x14ac:dyDescent="0.25">
      <c r="A9884">
        <v>2016</v>
      </c>
      <c r="B9884" s="140" t="s">
        <v>301</v>
      </c>
      <c r="C9884" s="140" t="s">
        <v>132</v>
      </c>
      <c r="D9884" s="140" t="s">
        <v>11</v>
      </c>
      <c r="E9884" s="140" t="s">
        <v>12</v>
      </c>
      <c r="F9884">
        <v>0.87881552699999999</v>
      </c>
      <c r="G9884" s="140" t="s">
        <v>557</v>
      </c>
      <c r="H9884">
        <v>0</v>
      </c>
      <c r="I9884" s="140" t="s">
        <v>14</v>
      </c>
    </row>
    <row r="9885" spans="1:9" hidden="1" x14ac:dyDescent="0.25">
      <c r="A9885">
        <v>2017</v>
      </c>
      <c r="B9885" s="140" t="s">
        <v>301</v>
      </c>
      <c r="C9885" s="140" t="s">
        <v>132</v>
      </c>
      <c r="D9885" s="140" t="s">
        <v>11</v>
      </c>
      <c r="E9885" s="140" t="s">
        <v>12</v>
      </c>
      <c r="F9885">
        <v>1.034230319</v>
      </c>
      <c r="G9885" s="140" t="s">
        <v>557</v>
      </c>
      <c r="H9885">
        <v>0</v>
      </c>
      <c r="I9885" s="140" t="s">
        <v>14</v>
      </c>
    </row>
    <row r="9886" spans="1:9" hidden="1" x14ac:dyDescent="0.25">
      <c r="A9886">
        <v>2018</v>
      </c>
      <c r="B9886" s="140" t="s">
        <v>301</v>
      </c>
      <c r="C9886" s="140" t="s">
        <v>132</v>
      </c>
      <c r="D9886" s="140" t="s">
        <v>11</v>
      </c>
      <c r="E9886" s="140" t="s">
        <v>12</v>
      </c>
      <c r="F9886">
        <v>1.244149454</v>
      </c>
      <c r="G9886" s="140" t="s">
        <v>557</v>
      </c>
      <c r="H9886">
        <v>0</v>
      </c>
      <c r="I9886" s="140" t="s">
        <v>14</v>
      </c>
    </row>
    <row r="9887" spans="1:9" hidden="1" x14ac:dyDescent="0.25">
      <c r="A9887">
        <v>2019</v>
      </c>
      <c r="B9887" s="140" t="s">
        <v>301</v>
      </c>
      <c r="C9887" s="140" t="s">
        <v>132</v>
      </c>
      <c r="D9887" s="140" t="s">
        <v>11</v>
      </c>
      <c r="E9887" s="140" t="s">
        <v>12</v>
      </c>
      <c r="F9887">
        <v>1.056198043</v>
      </c>
      <c r="G9887" s="140" t="s">
        <v>557</v>
      </c>
      <c r="H9887">
        <v>0</v>
      </c>
      <c r="I9887" s="140" t="s">
        <v>14</v>
      </c>
    </row>
    <row r="9888" spans="1:9" hidden="1" x14ac:dyDescent="0.25">
      <c r="A9888">
        <v>2020</v>
      </c>
      <c r="B9888" s="140" t="s">
        <v>301</v>
      </c>
      <c r="C9888" s="140" t="s">
        <v>132</v>
      </c>
      <c r="D9888" s="140" t="s">
        <v>11</v>
      </c>
      <c r="E9888" s="140" t="s">
        <v>12</v>
      </c>
      <c r="F9888">
        <v>0.83234759400000002</v>
      </c>
      <c r="G9888" s="140" t="s">
        <v>557</v>
      </c>
      <c r="H9888">
        <v>0</v>
      </c>
      <c r="I9888" s="140" t="s">
        <v>14</v>
      </c>
    </row>
    <row r="9889" spans="1:9" hidden="1" x14ac:dyDescent="0.25">
      <c r="A9889">
        <v>2021</v>
      </c>
      <c r="B9889" s="140" t="s">
        <v>301</v>
      </c>
      <c r="C9889" s="140" t="s">
        <v>132</v>
      </c>
      <c r="D9889" s="140" t="s">
        <v>11</v>
      </c>
      <c r="E9889" s="140" t="s">
        <v>12</v>
      </c>
      <c r="F9889">
        <v>0.70278167599999997</v>
      </c>
      <c r="G9889" s="140" t="s">
        <v>557</v>
      </c>
      <c r="H9889">
        <v>0</v>
      </c>
      <c r="I9889" s="140" t="s">
        <v>14</v>
      </c>
    </row>
    <row r="9890" spans="1:9" hidden="1" x14ac:dyDescent="0.25">
      <c r="A9890">
        <v>2022</v>
      </c>
      <c r="B9890" s="140" t="s">
        <v>301</v>
      </c>
      <c r="C9890" s="140" t="s">
        <v>132</v>
      </c>
      <c r="D9890" s="140" t="s">
        <v>11</v>
      </c>
      <c r="E9890" s="140" t="s">
        <v>12</v>
      </c>
      <c r="F9890">
        <v>0.91882311800000005</v>
      </c>
      <c r="G9890" s="140" t="s">
        <v>557</v>
      </c>
      <c r="H9890">
        <v>0</v>
      </c>
      <c r="I9890" s="140" t="s">
        <v>14</v>
      </c>
    </row>
    <row r="9891" spans="1:9" hidden="1" x14ac:dyDescent="0.25">
      <c r="A9891">
        <v>2023</v>
      </c>
      <c r="B9891" s="140" t="s">
        <v>301</v>
      </c>
      <c r="C9891" s="140" t="s">
        <v>132</v>
      </c>
      <c r="D9891" s="140" t="s">
        <v>11</v>
      </c>
      <c r="E9891" s="140" t="s">
        <v>12</v>
      </c>
      <c r="F9891">
        <v>0.79004968499999995</v>
      </c>
      <c r="G9891" s="140" t="s">
        <v>557</v>
      </c>
      <c r="H9891">
        <v>0</v>
      </c>
      <c r="I9891" s="140" t="s">
        <v>14</v>
      </c>
    </row>
    <row r="9892" spans="1:9" hidden="1" x14ac:dyDescent="0.25">
      <c r="A9892">
        <v>2024</v>
      </c>
      <c r="B9892" s="140" t="s">
        <v>301</v>
      </c>
      <c r="C9892" s="140" t="s">
        <v>132</v>
      </c>
      <c r="D9892" s="140" t="s">
        <v>11</v>
      </c>
      <c r="E9892" s="140" t="s">
        <v>12</v>
      </c>
      <c r="F9892">
        <v>0.83832623299999998</v>
      </c>
      <c r="G9892" s="140" t="s">
        <v>557</v>
      </c>
      <c r="H9892">
        <v>0</v>
      </c>
      <c r="I9892" s="140" t="s">
        <v>14</v>
      </c>
    </row>
    <row r="9893" spans="1:9" hidden="1" x14ac:dyDescent="0.25">
      <c r="A9893">
        <v>2025</v>
      </c>
      <c r="B9893" s="140" t="s">
        <v>301</v>
      </c>
      <c r="C9893" s="140" t="s">
        <v>132</v>
      </c>
      <c r="D9893" s="140" t="s">
        <v>11</v>
      </c>
      <c r="E9893" s="140" t="s">
        <v>12</v>
      </c>
      <c r="F9893">
        <v>0.71794404999999994</v>
      </c>
      <c r="G9893" s="140" t="s">
        <v>557</v>
      </c>
      <c r="H9893">
        <v>0</v>
      </c>
      <c r="I9893" s="140" t="s">
        <v>14</v>
      </c>
    </row>
    <row r="9894" spans="1:9" hidden="1" x14ac:dyDescent="0.25">
      <c r="A9894">
        <v>2026</v>
      </c>
      <c r="B9894" s="140" t="s">
        <v>301</v>
      </c>
      <c r="C9894" s="140" t="s">
        <v>132</v>
      </c>
      <c r="D9894" s="140" t="s">
        <v>11</v>
      </c>
      <c r="E9894" s="140" t="s">
        <v>12</v>
      </c>
      <c r="F9894">
        <v>0.88096729799999995</v>
      </c>
      <c r="G9894" s="140" t="s">
        <v>557</v>
      </c>
      <c r="H9894">
        <v>0</v>
      </c>
      <c r="I9894" s="140" t="s">
        <v>14</v>
      </c>
    </row>
    <row r="9895" spans="1:9" hidden="1" x14ac:dyDescent="0.25">
      <c r="A9895">
        <v>2027</v>
      </c>
      <c r="B9895" s="140" t="s">
        <v>301</v>
      </c>
      <c r="C9895" s="140" t="s">
        <v>132</v>
      </c>
      <c r="D9895" s="140" t="s">
        <v>11</v>
      </c>
      <c r="E9895" s="140" t="s">
        <v>12</v>
      </c>
      <c r="F9895">
        <v>1.050604241</v>
      </c>
      <c r="G9895" s="140" t="s">
        <v>557</v>
      </c>
      <c r="H9895">
        <v>0</v>
      </c>
      <c r="I9895" s="140" t="s">
        <v>14</v>
      </c>
    </row>
    <row r="9896" spans="1:9" hidden="1" x14ac:dyDescent="0.25">
      <c r="A9896">
        <v>2028</v>
      </c>
      <c r="B9896" s="140" t="s">
        <v>301</v>
      </c>
      <c r="C9896" s="140" t="s">
        <v>132</v>
      </c>
      <c r="D9896" s="140" t="s">
        <v>11</v>
      </c>
      <c r="E9896" s="140" t="s">
        <v>12</v>
      </c>
      <c r="F9896">
        <v>1.1611760250000001</v>
      </c>
      <c r="G9896" s="140" t="s">
        <v>557</v>
      </c>
      <c r="H9896">
        <v>0</v>
      </c>
      <c r="I9896" s="140" t="s">
        <v>14</v>
      </c>
    </row>
    <row r="9897" spans="1:9" hidden="1" x14ac:dyDescent="0.25">
      <c r="A9897">
        <v>2029</v>
      </c>
      <c r="B9897" s="140" t="s">
        <v>301</v>
      </c>
      <c r="C9897" s="140" t="s">
        <v>132</v>
      </c>
      <c r="D9897" s="140" t="s">
        <v>11</v>
      </c>
      <c r="E9897" s="140" t="s">
        <v>12</v>
      </c>
      <c r="F9897">
        <v>1.13191251</v>
      </c>
      <c r="G9897" s="140" t="s">
        <v>557</v>
      </c>
      <c r="H9897">
        <v>0</v>
      </c>
      <c r="I9897" s="140" t="s">
        <v>14</v>
      </c>
    </row>
    <row r="9898" spans="1:9" hidden="1" x14ac:dyDescent="0.25">
      <c r="A9898">
        <v>2030</v>
      </c>
      <c r="B9898" s="140" t="s">
        <v>301</v>
      </c>
      <c r="C9898" s="140" t="s">
        <v>132</v>
      </c>
      <c r="D9898" s="140" t="s">
        <v>11</v>
      </c>
      <c r="E9898" s="140" t="s">
        <v>12</v>
      </c>
      <c r="F9898">
        <v>1.1024737920000001</v>
      </c>
      <c r="G9898" s="140" t="s">
        <v>557</v>
      </c>
      <c r="H9898">
        <v>0</v>
      </c>
      <c r="I9898" s="140" t="s">
        <v>14</v>
      </c>
    </row>
    <row r="9899" spans="1:9" hidden="1" x14ac:dyDescent="0.25">
      <c r="A9899">
        <v>1990</v>
      </c>
      <c r="B9899" s="140" t="s">
        <v>302</v>
      </c>
      <c r="C9899" s="140" t="s">
        <v>132</v>
      </c>
      <c r="D9899" s="140" t="s">
        <v>11</v>
      </c>
      <c r="E9899" s="140" t="s">
        <v>12</v>
      </c>
      <c r="F9899">
        <v>133.9729724</v>
      </c>
      <c r="G9899" s="140" t="s">
        <v>558</v>
      </c>
      <c r="H9899">
        <v>0</v>
      </c>
      <c r="I9899" s="140" t="s">
        <v>14</v>
      </c>
    </row>
    <row r="9900" spans="1:9" hidden="1" x14ac:dyDescent="0.25">
      <c r="A9900">
        <v>1991</v>
      </c>
      <c r="B9900" s="140" t="s">
        <v>302</v>
      </c>
      <c r="C9900" s="140" t="s">
        <v>132</v>
      </c>
      <c r="D9900" s="140" t="s">
        <v>11</v>
      </c>
      <c r="E9900" s="140" t="s">
        <v>12</v>
      </c>
      <c r="F9900">
        <v>134.7767686</v>
      </c>
      <c r="G9900" s="140" t="s">
        <v>558</v>
      </c>
      <c r="H9900">
        <v>0</v>
      </c>
      <c r="I9900" s="140" t="s">
        <v>14</v>
      </c>
    </row>
    <row r="9901" spans="1:9" hidden="1" x14ac:dyDescent="0.25">
      <c r="A9901">
        <v>1992</v>
      </c>
      <c r="B9901" s="140" t="s">
        <v>302</v>
      </c>
      <c r="C9901" s="140" t="s">
        <v>132</v>
      </c>
      <c r="D9901" s="140" t="s">
        <v>11</v>
      </c>
      <c r="E9901" s="140" t="s">
        <v>12</v>
      </c>
      <c r="F9901">
        <v>135.3323092</v>
      </c>
      <c r="G9901" s="140" t="s">
        <v>558</v>
      </c>
      <c r="H9901">
        <v>0</v>
      </c>
      <c r="I9901" s="140" t="s">
        <v>14</v>
      </c>
    </row>
    <row r="9902" spans="1:9" hidden="1" x14ac:dyDescent="0.25">
      <c r="A9902">
        <v>1993</v>
      </c>
      <c r="B9902" s="140" t="s">
        <v>302</v>
      </c>
      <c r="C9902" s="140" t="s">
        <v>132</v>
      </c>
      <c r="D9902" s="140" t="s">
        <v>11</v>
      </c>
      <c r="E9902" s="140" t="s">
        <v>12</v>
      </c>
      <c r="F9902">
        <v>135.98642090000001</v>
      </c>
      <c r="G9902" s="140" t="s">
        <v>558</v>
      </c>
      <c r="H9902">
        <v>0</v>
      </c>
      <c r="I9902" s="140" t="s">
        <v>14</v>
      </c>
    </row>
    <row r="9903" spans="1:9" hidden="1" x14ac:dyDescent="0.25">
      <c r="A9903">
        <v>1994</v>
      </c>
      <c r="B9903" s="140" t="s">
        <v>302</v>
      </c>
      <c r="C9903" s="140" t="s">
        <v>132</v>
      </c>
      <c r="D9903" s="140" t="s">
        <v>11</v>
      </c>
      <c r="E9903" s="140" t="s">
        <v>12</v>
      </c>
      <c r="F9903">
        <v>137.93413200000001</v>
      </c>
      <c r="G9903" s="140" t="s">
        <v>558</v>
      </c>
      <c r="H9903">
        <v>0</v>
      </c>
      <c r="I9903" s="140" t="s">
        <v>14</v>
      </c>
    </row>
    <row r="9904" spans="1:9" hidden="1" x14ac:dyDescent="0.25">
      <c r="A9904">
        <v>1995</v>
      </c>
      <c r="B9904" s="140" t="s">
        <v>302</v>
      </c>
      <c r="C9904" s="140" t="s">
        <v>132</v>
      </c>
      <c r="D9904" s="140" t="s">
        <v>11</v>
      </c>
      <c r="E9904" s="140" t="s">
        <v>12</v>
      </c>
      <c r="F9904">
        <v>141.0057314</v>
      </c>
      <c r="G9904" s="140" t="s">
        <v>558</v>
      </c>
      <c r="H9904">
        <v>0</v>
      </c>
      <c r="I9904" s="140" t="s">
        <v>14</v>
      </c>
    </row>
    <row r="9905" spans="1:9" hidden="1" x14ac:dyDescent="0.25">
      <c r="A9905">
        <v>1996</v>
      </c>
      <c r="B9905" s="140" t="s">
        <v>302</v>
      </c>
      <c r="C9905" s="140" t="s">
        <v>132</v>
      </c>
      <c r="D9905" s="140" t="s">
        <v>11</v>
      </c>
      <c r="E9905" s="140" t="s">
        <v>12</v>
      </c>
      <c r="F9905">
        <v>145.15378010000001</v>
      </c>
      <c r="G9905" s="140" t="s">
        <v>558</v>
      </c>
      <c r="H9905">
        <v>0</v>
      </c>
      <c r="I9905" s="140" t="s">
        <v>14</v>
      </c>
    </row>
    <row r="9906" spans="1:9" hidden="1" x14ac:dyDescent="0.25">
      <c r="A9906">
        <v>1997</v>
      </c>
      <c r="B9906" s="140" t="s">
        <v>302</v>
      </c>
      <c r="C9906" s="140" t="s">
        <v>132</v>
      </c>
      <c r="D9906" s="140" t="s">
        <v>11</v>
      </c>
      <c r="E9906" s="140" t="s">
        <v>12</v>
      </c>
      <c r="F9906">
        <v>150.39111679999999</v>
      </c>
      <c r="G9906" s="140" t="s">
        <v>558</v>
      </c>
      <c r="H9906">
        <v>0</v>
      </c>
      <c r="I9906" s="140" t="s">
        <v>14</v>
      </c>
    </row>
    <row r="9907" spans="1:9" hidden="1" x14ac:dyDescent="0.25">
      <c r="A9907">
        <v>1998</v>
      </c>
      <c r="B9907" s="140" t="s">
        <v>302</v>
      </c>
      <c r="C9907" s="140" t="s">
        <v>132</v>
      </c>
      <c r="D9907" s="140" t="s">
        <v>11</v>
      </c>
      <c r="E9907" s="140" t="s">
        <v>12</v>
      </c>
      <c r="F9907">
        <v>156.86631209999999</v>
      </c>
      <c r="G9907" s="140" t="s">
        <v>558</v>
      </c>
      <c r="H9907">
        <v>0</v>
      </c>
      <c r="I9907" s="140" t="s">
        <v>14</v>
      </c>
    </row>
    <row r="9908" spans="1:9" hidden="1" x14ac:dyDescent="0.25">
      <c r="A9908">
        <v>1999</v>
      </c>
      <c r="B9908" s="140" t="s">
        <v>302</v>
      </c>
      <c r="C9908" s="140" t="s">
        <v>132</v>
      </c>
      <c r="D9908" s="140" t="s">
        <v>11</v>
      </c>
      <c r="E9908" s="140" t="s">
        <v>12</v>
      </c>
      <c r="F9908">
        <v>163.84475040000001</v>
      </c>
      <c r="G9908" s="140" t="s">
        <v>558</v>
      </c>
      <c r="H9908">
        <v>0</v>
      </c>
      <c r="I9908" s="140" t="s">
        <v>14</v>
      </c>
    </row>
    <row r="9909" spans="1:9" hidden="1" x14ac:dyDescent="0.25">
      <c r="A9909">
        <v>2000</v>
      </c>
      <c r="B9909" s="140" t="s">
        <v>302</v>
      </c>
      <c r="C9909" s="140" t="s">
        <v>132</v>
      </c>
      <c r="D9909" s="140" t="s">
        <v>11</v>
      </c>
      <c r="E9909" s="140" t="s">
        <v>12</v>
      </c>
      <c r="F9909">
        <v>171.09194819999999</v>
      </c>
      <c r="G9909" s="140" t="s">
        <v>558</v>
      </c>
      <c r="H9909">
        <v>0</v>
      </c>
      <c r="I9909" s="140" t="s">
        <v>14</v>
      </c>
    </row>
    <row r="9910" spans="1:9" hidden="1" x14ac:dyDescent="0.25">
      <c r="A9910">
        <v>2001</v>
      </c>
      <c r="B9910" s="140" t="s">
        <v>302</v>
      </c>
      <c r="C9910" s="140" t="s">
        <v>132</v>
      </c>
      <c r="D9910" s="140" t="s">
        <v>11</v>
      </c>
      <c r="E9910" s="140" t="s">
        <v>12</v>
      </c>
      <c r="F9910">
        <v>178.19877869999999</v>
      </c>
      <c r="G9910" s="140" t="s">
        <v>558</v>
      </c>
      <c r="H9910">
        <v>0</v>
      </c>
      <c r="I9910" s="140" t="s">
        <v>14</v>
      </c>
    </row>
    <row r="9911" spans="1:9" hidden="1" x14ac:dyDescent="0.25">
      <c r="A9911">
        <v>2002</v>
      </c>
      <c r="B9911" s="140" t="s">
        <v>302</v>
      </c>
      <c r="C9911" s="140" t="s">
        <v>132</v>
      </c>
      <c r="D9911" s="140" t="s">
        <v>11</v>
      </c>
      <c r="E9911" s="140" t="s">
        <v>12</v>
      </c>
      <c r="F9911">
        <v>184.46780630000001</v>
      </c>
      <c r="G9911" s="140" t="s">
        <v>558</v>
      </c>
      <c r="H9911">
        <v>0</v>
      </c>
      <c r="I9911" s="140" t="s">
        <v>14</v>
      </c>
    </row>
    <row r="9912" spans="1:9" hidden="1" x14ac:dyDescent="0.25">
      <c r="A9912">
        <v>2003</v>
      </c>
      <c r="B9912" s="140" t="s">
        <v>302</v>
      </c>
      <c r="C9912" s="140" t="s">
        <v>132</v>
      </c>
      <c r="D9912" s="140" t="s">
        <v>11</v>
      </c>
      <c r="E9912" s="140" t="s">
        <v>12</v>
      </c>
      <c r="F9912">
        <v>190.36685700000001</v>
      </c>
      <c r="G9912" s="140" t="s">
        <v>558</v>
      </c>
      <c r="H9912">
        <v>0</v>
      </c>
      <c r="I9912" s="140" t="s">
        <v>14</v>
      </c>
    </row>
    <row r="9913" spans="1:9" hidden="1" x14ac:dyDescent="0.25">
      <c r="A9913">
        <v>2004</v>
      </c>
      <c r="B9913" s="140" t="s">
        <v>302</v>
      </c>
      <c r="C9913" s="140" t="s">
        <v>132</v>
      </c>
      <c r="D9913" s="140" t="s">
        <v>11</v>
      </c>
      <c r="E9913" s="140" t="s">
        <v>12</v>
      </c>
      <c r="F9913">
        <v>195.94688260000001</v>
      </c>
      <c r="G9913" s="140" t="s">
        <v>558</v>
      </c>
      <c r="H9913">
        <v>0</v>
      </c>
      <c r="I9913" s="140" t="s">
        <v>14</v>
      </c>
    </row>
    <row r="9914" spans="1:9" hidden="1" x14ac:dyDescent="0.25">
      <c r="A9914">
        <v>2005</v>
      </c>
      <c r="B9914" s="140" t="s">
        <v>302</v>
      </c>
      <c r="C9914" s="140" t="s">
        <v>132</v>
      </c>
      <c r="D9914" s="140" t="s">
        <v>11</v>
      </c>
      <c r="E9914" s="140" t="s">
        <v>12</v>
      </c>
      <c r="F9914">
        <v>201.06880910000001</v>
      </c>
      <c r="G9914" s="140" t="s">
        <v>558</v>
      </c>
      <c r="H9914">
        <v>0</v>
      </c>
      <c r="I9914" s="140" t="s">
        <v>14</v>
      </c>
    </row>
    <row r="9915" spans="1:9" hidden="1" x14ac:dyDescent="0.25">
      <c r="A9915">
        <v>2006</v>
      </c>
      <c r="B9915" s="140" t="s">
        <v>302</v>
      </c>
      <c r="C9915" s="140" t="s">
        <v>132</v>
      </c>
      <c r="D9915" s="140" t="s">
        <v>11</v>
      </c>
      <c r="E9915" s="140" t="s">
        <v>12</v>
      </c>
      <c r="F9915">
        <v>205.7807061</v>
      </c>
      <c r="G9915" s="140" t="s">
        <v>558</v>
      </c>
      <c r="H9915">
        <v>0</v>
      </c>
      <c r="I9915" s="140" t="s">
        <v>14</v>
      </c>
    </row>
    <row r="9916" spans="1:9" hidden="1" x14ac:dyDescent="0.25">
      <c r="A9916">
        <v>2007</v>
      </c>
      <c r="B9916" s="140" t="s">
        <v>302</v>
      </c>
      <c r="C9916" s="140" t="s">
        <v>132</v>
      </c>
      <c r="D9916" s="140" t="s">
        <v>11</v>
      </c>
      <c r="E9916" s="140" t="s">
        <v>12</v>
      </c>
      <c r="F9916">
        <v>210.3320689</v>
      </c>
      <c r="G9916" s="140" t="s">
        <v>558</v>
      </c>
      <c r="H9916">
        <v>0</v>
      </c>
      <c r="I9916" s="140" t="s">
        <v>14</v>
      </c>
    </row>
    <row r="9917" spans="1:9" hidden="1" x14ac:dyDescent="0.25">
      <c r="A9917">
        <v>2008</v>
      </c>
      <c r="B9917" s="140" t="s">
        <v>302</v>
      </c>
      <c r="C9917" s="140" t="s">
        <v>132</v>
      </c>
      <c r="D9917" s="140" t="s">
        <v>11</v>
      </c>
      <c r="E9917" s="140" t="s">
        <v>12</v>
      </c>
      <c r="F9917">
        <v>213.5469602</v>
      </c>
      <c r="G9917" s="140" t="s">
        <v>558</v>
      </c>
      <c r="H9917">
        <v>0</v>
      </c>
      <c r="I9917" s="140" t="s">
        <v>14</v>
      </c>
    </row>
    <row r="9918" spans="1:9" hidden="1" x14ac:dyDescent="0.25">
      <c r="A9918">
        <v>2009</v>
      </c>
      <c r="B9918" s="140" t="s">
        <v>302</v>
      </c>
      <c r="C9918" s="140" t="s">
        <v>132</v>
      </c>
      <c r="D9918" s="140" t="s">
        <v>11</v>
      </c>
      <c r="E9918" s="140" t="s">
        <v>12</v>
      </c>
      <c r="F9918">
        <v>214.09813059999999</v>
      </c>
      <c r="G9918" s="140" t="s">
        <v>558</v>
      </c>
      <c r="H9918">
        <v>0</v>
      </c>
      <c r="I9918" s="140" t="s">
        <v>14</v>
      </c>
    </row>
    <row r="9919" spans="1:9" hidden="1" x14ac:dyDescent="0.25">
      <c r="A9919">
        <v>2010</v>
      </c>
      <c r="B9919" s="140" t="s">
        <v>302</v>
      </c>
      <c r="C9919" s="140" t="s">
        <v>132</v>
      </c>
      <c r="D9919" s="140" t="s">
        <v>11</v>
      </c>
      <c r="E9919" s="140" t="s">
        <v>12</v>
      </c>
      <c r="F9919">
        <v>214.748639</v>
      </c>
      <c r="G9919" s="140" t="s">
        <v>558</v>
      </c>
      <c r="H9919">
        <v>0</v>
      </c>
      <c r="I9919" s="140" t="s">
        <v>14</v>
      </c>
    </row>
    <row r="9920" spans="1:9" hidden="1" x14ac:dyDescent="0.25">
      <c r="A9920">
        <v>2011</v>
      </c>
      <c r="B9920" s="140" t="s">
        <v>302</v>
      </c>
      <c r="C9920" s="140" t="s">
        <v>132</v>
      </c>
      <c r="D9920" s="140" t="s">
        <v>11</v>
      </c>
      <c r="E9920" s="140" t="s">
        <v>12</v>
      </c>
      <c r="F9920">
        <v>215.39041589999999</v>
      </c>
      <c r="G9920" s="140" t="s">
        <v>558</v>
      </c>
      <c r="H9920">
        <v>0</v>
      </c>
      <c r="I9920" s="140" t="s">
        <v>14</v>
      </c>
    </row>
    <row r="9921" spans="1:9" hidden="1" x14ac:dyDescent="0.25">
      <c r="A9921">
        <v>2012</v>
      </c>
      <c r="B9921" s="140" t="s">
        <v>302</v>
      </c>
      <c r="C9921" s="140" t="s">
        <v>132</v>
      </c>
      <c r="D9921" s="140" t="s">
        <v>11</v>
      </c>
      <c r="E9921" s="140" t="s">
        <v>12</v>
      </c>
      <c r="F9921">
        <v>215.6471876</v>
      </c>
      <c r="G9921" s="140" t="s">
        <v>558</v>
      </c>
      <c r="H9921">
        <v>0</v>
      </c>
      <c r="I9921" s="140" t="s">
        <v>14</v>
      </c>
    </row>
    <row r="9922" spans="1:9" hidden="1" x14ac:dyDescent="0.25">
      <c r="A9922">
        <v>2013</v>
      </c>
      <c r="B9922" s="140" t="s">
        <v>302</v>
      </c>
      <c r="C9922" s="140" t="s">
        <v>132</v>
      </c>
      <c r="D9922" s="140" t="s">
        <v>11</v>
      </c>
      <c r="E9922" s="140" t="s">
        <v>12</v>
      </c>
      <c r="F9922">
        <v>215.7769337</v>
      </c>
      <c r="G9922" s="140" t="s">
        <v>558</v>
      </c>
      <c r="H9922">
        <v>0</v>
      </c>
      <c r="I9922" s="140" t="s">
        <v>14</v>
      </c>
    </row>
    <row r="9923" spans="1:9" hidden="1" x14ac:dyDescent="0.25">
      <c r="A9923">
        <v>2014</v>
      </c>
      <c r="B9923" s="140" t="s">
        <v>302</v>
      </c>
      <c r="C9923" s="140" t="s">
        <v>132</v>
      </c>
      <c r="D9923" s="140" t="s">
        <v>11</v>
      </c>
      <c r="E9923" s="140" t="s">
        <v>12</v>
      </c>
      <c r="F9923">
        <v>216.12572739999999</v>
      </c>
      <c r="G9923" s="140" t="s">
        <v>558</v>
      </c>
      <c r="H9923">
        <v>0</v>
      </c>
      <c r="I9923" s="140" t="s">
        <v>14</v>
      </c>
    </row>
    <row r="9924" spans="1:9" hidden="1" x14ac:dyDescent="0.25">
      <c r="A9924">
        <v>2015</v>
      </c>
      <c r="B9924" s="140" t="s">
        <v>302</v>
      </c>
      <c r="C9924" s="140" t="s">
        <v>132</v>
      </c>
      <c r="D9924" s="140" t="s">
        <v>11</v>
      </c>
      <c r="E9924" s="140" t="s">
        <v>12</v>
      </c>
      <c r="F9924">
        <v>216.7586603</v>
      </c>
      <c r="G9924" s="140" t="s">
        <v>558</v>
      </c>
      <c r="H9924">
        <v>0</v>
      </c>
      <c r="I9924" s="140" t="s">
        <v>14</v>
      </c>
    </row>
    <row r="9925" spans="1:9" hidden="1" x14ac:dyDescent="0.25">
      <c r="A9925">
        <v>2016</v>
      </c>
      <c r="B9925" s="140" t="s">
        <v>302</v>
      </c>
      <c r="C9925" s="140" t="s">
        <v>132</v>
      </c>
      <c r="D9925" s="140" t="s">
        <v>11</v>
      </c>
      <c r="E9925" s="140" t="s">
        <v>12</v>
      </c>
      <c r="F9925">
        <v>218.66356909999999</v>
      </c>
      <c r="G9925" s="140" t="s">
        <v>558</v>
      </c>
      <c r="H9925">
        <v>0</v>
      </c>
      <c r="I9925" s="140" t="s">
        <v>14</v>
      </c>
    </row>
    <row r="9926" spans="1:9" hidden="1" x14ac:dyDescent="0.25">
      <c r="A9926">
        <v>2017</v>
      </c>
      <c r="B9926" s="140" t="s">
        <v>302</v>
      </c>
      <c r="C9926" s="140" t="s">
        <v>132</v>
      </c>
      <c r="D9926" s="140" t="s">
        <v>11</v>
      </c>
      <c r="E9926" s="140" t="s">
        <v>12</v>
      </c>
      <c r="F9926">
        <v>220.92505399999999</v>
      </c>
      <c r="G9926" s="140" t="s">
        <v>558</v>
      </c>
      <c r="H9926">
        <v>0</v>
      </c>
      <c r="I9926" s="140" t="s">
        <v>14</v>
      </c>
    </row>
    <row r="9927" spans="1:9" hidden="1" x14ac:dyDescent="0.25">
      <c r="A9927">
        <v>2018</v>
      </c>
      <c r="B9927" s="140" t="s">
        <v>302</v>
      </c>
      <c r="C9927" s="140" t="s">
        <v>132</v>
      </c>
      <c r="D9927" s="140" t="s">
        <v>11</v>
      </c>
      <c r="E9927" s="140" t="s">
        <v>12</v>
      </c>
      <c r="F9927">
        <v>223.67369189999999</v>
      </c>
      <c r="G9927" s="140" t="s">
        <v>558</v>
      </c>
      <c r="H9927">
        <v>0</v>
      </c>
      <c r="I9927" s="140" t="s">
        <v>14</v>
      </c>
    </row>
    <row r="9928" spans="1:9" hidden="1" x14ac:dyDescent="0.25">
      <c r="A9928">
        <v>2019</v>
      </c>
      <c r="B9928" s="140" t="s">
        <v>302</v>
      </c>
      <c r="C9928" s="140" t="s">
        <v>132</v>
      </c>
      <c r="D9928" s="140" t="s">
        <v>11</v>
      </c>
      <c r="E9928" s="140" t="s">
        <v>12</v>
      </c>
      <c r="F9928">
        <v>226.03612899999999</v>
      </c>
      <c r="G9928" s="140" t="s">
        <v>558</v>
      </c>
      <c r="H9928">
        <v>0</v>
      </c>
      <c r="I9928" s="140" t="s">
        <v>14</v>
      </c>
    </row>
    <row r="9929" spans="1:9" hidden="1" x14ac:dyDescent="0.25">
      <c r="A9929">
        <v>2020</v>
      </c>
      <c r="B9929" s="140" t="s">
        <v>302</v>
      </c>
      <c r="C9929" s="140" t="s">
        <v>132</v>
      </c>
      <c r="D9929" s="140" t="s">
        <v>11</v>
      </c>
      <c r="E9929" s="140" t="s">
        <v>12</v>
      </c>
      <c r="F9929">
        <v>227.9175353</v>
      </c>
      <c r="G9929" s="140" t="s">
        <v>558</v>
      </c>
      <c r="H9929">
        <v>0</v>
      </c>
      <c r="I9929" s="140" t="s">
        <v>14</v>
      </c>
    </row>
    <row r="9930" spans="1:9" hidden="1" x14ac:dyDescent="0.25">
      <c r="A9930">
        <v>2021</v>
      </c>
      <c r="B9930" s="140" t="s">
        <v>302</v>
      </c>
      <c r="C9930" s="140" t="s">
        <v>132</v>
      </c>
      <c r="D9930" s="140" t="s">
        <v>11</v>
      </c>
      <c r="E9930" s="140" t="s">
        <v>12</v>
      </c>
      <c r="F9930">
        <v>229.51929799999999</v>
      </c>
      <c r="G9930" s="140" t="s">
        <v>558</v>
      </c>
      <c r="H9930">
        <v>0</v>
      </c>
      <c r="I9930" s="140" t="s">
        <v>14</v>
      </c>
    </row>
    <row r="9931" spans="1:9" hidden="1" x14ac:dyDescent="0.25">
      <c r="A9931">
        <v>2022</v>
      </c>
      <c r="B9931" s="140" t="s">
        <v>302</v>
      </c>
      <c r="C9931" s="140" t="s">
        <v>132</v>
      </c>
      <c r="D9931" s="140" t="s">
        <v>11</v>
      </c>
      <c r="E9931" s="140" t="s">
        <v>12</v>
      </c>
      <c r="F9931">
        <v>231.62817440000001</v>
      </c>
      <c r="G9931" s="140" t="s">
        <v>558</v>
      </c>
      <c r="H9931">
        <v>0</v>
      </c>
      <c r="I9931" s="140" t="s">
        <v>14</v>
      </c>
    </row>
    <row r="9932" spans="1:9" hidden="1" x14ac:dyDescent="0.25">
      <c r="A9932">
        <v>2023</v>
      </c>
      <c r="B9932" s="140" t="s">
        <v>302</v>
      </c>
      <c r="C9932" s="140" t="s">
        <v>132</v>
      </c>
      <c r="D9932" s="140" t="s">
        <v>11</v>
      </c>
      <c r="E9932" s="140" t="s">
        <v>12</v>
      </c>
      <c r="F9932">
        <v>233.45815200000001</v>
      </c>
      <c r="G9932" s="140" t="s">
        <v>558</v>
      </c>
      <c r="H9932">
        <v>0</v>
      </c>
      <c r="I9932" s="140" t="s">
        <v>14</v>
      </c>
    </row>
    <row r="9933" spans="1:9" hidden="1" x14ac:dyDescent="0.25">
      <c r="A9933">
        <v>2024</v>
      </c>
      <c r="B9933" s="140" t="s">
        <v>302</v>
      </c>
      <c r="C9933" s="140" t="s">
        <v>132</v>
      </c>
      <c r="D9933" s="140" t="s">
        <v>11</v>
      </c>
      <c r="E9933" s="140" t="s">
        <v>12</v>
      </c>
      <c r="F9933">
        <v>235.41529299999999</v>
      </c>
      <c r="G9933" s="140" t="s">
        <v>558</v>
      </c>
      <c r="H9933">
        <v>0</v>
      </c>
      <c r="I9933" s="140" t="s">
        <v>14</v>
      </c>
    </row>
    <row r="9934" spans="1:9" hidden="1" x14ac:dyDescent="0.25">
      <c r="A9934">
        <v>2025</v>
      </c>
      <c r="B9934" s="140" t="s">
        <v>302</v>
      </c>
      <c r="C9934" s="140" t="s">
        <v>132</v>
      </c>
      <c r="D9934" s="140" t="s">
        <v>11</v>
      </c>
      <c r="E9934" s="140" t="s">
        <v>12</v>
      </c>
      <c r="F9934">
        <v>237.1054431</v>
      </c>
      <c r="G9934" s="140" t="s">
        <v>558</v>
      </c>
      <c r="H9934">
        <v>0</v>
      </c>
      <c r="I9934" s="140" t="s">
        <v>14</v>
      </c>
    </row>
    <row r="9935" spans="1:9" hidden="1" x14ac:dyDescent="0.25">
      <c r="A9935">
        <v>2026</v>
      </c>
      <c r="B9935" s="140" t="s">
        <v>302</v>
      </c>
      <c r="C9935" s="140" t="s">
        <v>132</v>
      </c>
      <c r="D9935" s="140" t="s">
        <v>11</v>
      </c>
      <c r="E9935" s="140" t="s">
        <v>12</v>
      </c>
      <c r="F9935">
        <v>239.1942645</v>
      </c>
      <c r="G9935" s="140" t="s">
        <v>558</v>
      </c>
      <c r="H9935">
        <v>0</v>
      </c>
      <c r="I9935" s="140" t="s">
        <v>14</v>
      </c>
    </row>
    <row r="9936" spans="1:9" hidden="1" x14ac:dyDescent="0.25">
      <c r="A9936">
        <v>2027</v>
      </c>
      <c r="B9936" s="140" t="s">
        <v>302</v>
      </c>
      <c r="C9936" s="140" t="s">
        <v>132</v>
      </c>
      <c r="D9936" s="140" t="s">
        <v>11</v>
      </c>
      <c r="E9936" s="140" t="s">
        <v>12</v>
      </c>
      <c r="F9936">
        <v>241.70724960000001</v>
      </c>
      <c r="G9936" s="140" t="s">
        <v>558</v>
      </c>
      <c r="H9936">
        <v>0</v>
      </c>
      <c r="I9936" s="140" t="s">
        <v>14</v>
      </c>
    </row>
    <row r="9937" spans="1:9" hidden="1" x14ac:dyDescent="0.25">
      <c r="A9937">
        <v>2028</v>
      </c>
      <c r="B9937" s="140" t="s">
        <v>302</v>
      </c>
      <c r="C9937" s="140" t="s">
        <v>132</v>
      </c>
      <c r="D9937" s="140" t="s">
        <v>11</v>
      </c>
      <c r="E9937" s="140" t="s">
        <v>12</v>
      </c>
      <c r="F9937">
        <v>244.5138962</v>
      </c>
      <c r="G9937" s="140" t="s">
        <v>558</v>
      </c>
      <c r="H9937">
        <v>0</v>
      </c>
      <c r="I9937" s="140" t="s">
        <v>14</v>
      </c>
    </row>
    <row r="9938" spans="1:9" hidden="1" x14ac:dyDescent="0.25">
      <c r="A9938">
        <v>2029</v>
      </c>
      <c r="B9938" s="140" t="s">
        <v>302</v>
      </c>
      <c r="C9938" s="140" t="s">
        <v>132</v>
      </c>
      <c r="D9938" s="140" t="s">
        <v>11</v>
      </c>
      <c r="E9938" s="140" t="s">
        <v>12</v>
      </c>
      <c r="F9938">
        <v>247.28157959999999</v>
      </c>
      <c r="G9938" s="140" t="s">
        <v>558</v>
      </c>
      <c r="H9938">
        <v>0</v>
      </c>
      <c r="I9938" s="140" t="s">
        <v>14</v>
      </c>
    </row>
    <row r="9939" spans="1:9" hidden="1" x14ac:dyDescent="0.25">
      <c r="A9939">
        <v>2030</v>
      </c>
      <c r="B9939" s="140" t="s">
        <v>302</v>
      </c>
      <c r="C9939" s="140" t="s">
        <v>132</v>
      </c>
      <c r="D9939" s="140" t="s">
        <v>11</v>
      </c>
      <c r="E9939" s="140" t="s">
        <v>12</v>
      </c>
      <c r="F9939">
        <v>250.00779420000001</v>
      </c>
      <c r="G9939" s="140" t="s">
        <v>558</v>
      </c>
      <c r="H9939">
        <v>0</v>
      </c>
      <c r="I9939" s="140" t="s">
        <v>14</v>
      </c>
    </row>
    <row r="9940" spans="1:9" hidden="1" x14ac:dyDescent="0.25">
      <c r="A9940">
        <v>1990</v>
      </c>
      <c r="B9940" s="140" t="s">
        <v>303</v>
      </c>
      <c r="C9940" s="140" t="s">
        <v>132</v>
      </c>
      <c r="D9940" s="140" t="s">
        <v>11</v>
      </c>
      <c r="E9940" s="140" t="s">
        <v>12</v>
      </c>
      <c r="F9940">
        <v>1.742473301</v>
      </c>
      <c r="G9940" s="140" t="s">
        <v>559</v>
      </c>
      <c r="H9940">
        <v>0</v>
      </c>
      <c r="I9940" s="140" t="s">
        <v>14</v>
      </c>
    </row>
    <row r="9941" spans="1:9" hidden="1" x14ac:dyDescent="0.25">
      <c r="A9941">
        <v>1991</v>
      </c>
      <c r="B9941" s="140" t="s">
        <v>303</v>
      </c>
      <c r="C9941" s="140" t="s">
        <v>132</v>
      </c>
      <c r="D9941" s="140" t="s">
        <v>11</v>
      </c>
      <c r="E9941" s="140" t="s">
        <v>12</v>
      </c>
      <c r="F9941">
        <v>1.7222448370000001</v>
      </c>
      <c r="G9941" s="140" t="s">
        <v>559</v>
      </c>
      <c r="H9941">
        <v>0</v>
      </c>
      <c r="I9941" s="140" t="s">
        <v>14</v>
      </c>
    </row>
    <row r="9942" spans="1:9" hidden="1" x14ac:dyDescent="0.25">
      <c r="A9942">
        <v>1992</v>
      </c>
      <c r="B9942" s="140" t="s">
        <v>303</v>
      </c>
      <c r="C9942" s="140" t="s">
        <v>132</v>
      </c>
      <c r="D9942" s="140" t="s">
        <v>11</v>
      </c>
      <c r="E9942" s="140" t="s">
        <v>12</v>
      </c>
      <c r="F9942">
        <v>1.8857720440000001</v>
      </c>
      <c r="G9942" s="140" t="s">
        <v>559</v>
      </c>
      <c r="H9942">
        <v>0</v>
      </c>
      <c r="I9942" s="140" t="s">
        <v>14</v>
      </c>
    </row>
    <row r="9943" spans="1:9" hidden="1" x14ac:dyDescent="0.25">
      <c r="A9943">
        <v>1993</v>
      </c>
      <c r="B9943" s="140" t="s">
        <v>303</v>
      </c>
      <c r="C9943" s="140" t="s">
        <v>132</v>
      </c>
      <c r="D9943" s="140" t="s">
        <v>11</v>
      </c>
      <c r="E9943" s="140" t="s">
        <v>12</v>
      </c>
      <c r="F9943">
        <v>2.0691866600000002</v>
      </c>
      <c r="G9943" s="140" t="s">
        <v>559</v>
      </c>
      <c r="H9943">
        <v>0</v>
      </c>
      <c r="I9943" s="140" t="s">
        <v>14</v>
      </c>
    </row>
    <row r="9944" spans="1:9" hidden="1" x14ac:dyDescent="0.25">
      <c r="A9944">
        <v>1994</v>
      </c>
      <c r="B9944" s="140" t="s">
        <v>303</v>
      </c>
      <c r="C9944" s="140" t="s">
        <v>132</v>
      </c>
      <c r="D9944" s="140" t="s">
        <v>11</v>
      </c>
      <c r="E9944" s="140" t="s">
        <v>12</v>
      </c>
      <c r="F9944">
        <v>2.2627110460000002</v>
      </c>
      <c r="G9944" s="140" t="s">
        <v>559</v>
      </c>
      <c r="H9944">
        <v>0</v>
      </c>
      <c r="I9944" s="140" t="s">
        <v>14</v>
      </c>
    </row>
    <row r="9945" spans="1:9" hidden="1" x14ac:dyDescent="0.25">
      <c r="A9945">
        <v>1995</v>
      </c>
      <c r="B9945" s="140" t="s">
        <v>303</v>
      </c>
      <c r="C9945" s="140" t="s">
        <v>132</v>
      </c>
      <c r="D9945" s="140" t="s">
        <v>11</v>
      </c>
      <c r="E9945" s="140" t="s">
        <v>12</v>
      </c>
      <c r="F9945">
        <v>2.377021198</v>
      </c>
      <c r="G9945" s="140" t="s">
        <v>559</v>
      </c>
      <c r="H9945">
        <v>0</v>
      </c>
      <c r="I9945" s="140" t="s">
        <v>14</v>
      </c>
    </row>
    <row r="9946" spans="1:9" hidden="1" x14ac:dyDescent="0.25">
      <c r="A9946">
        <v>1996</v>
      </c>
      <c r="B9946" s="140" t="s">
        <v>303</v>
      </c>
      <c r="C9946" s="140" t="s">
        <v>132</v>
      </c>
      <c r="D9946" s="140" t="s">
        <v>11</v>
      </c>
      <c r="E9946" s="140" t="s">
        <v>12</v>
      </c>
      <c r="F9946">
        <v>2.4888878820000002</v>
      </c>
      <c r="G9946" s="140" t="s">
        <v>559</v>
      </c>
      <c r="H9946">
        <v>0</v>
      </c>
      <c r="I9946" s="140" t="s">
        <v>14</v>
      </c>
    </row>
    <row r="9947" spans="1:9" hidden="1" x14ac:dyDescent="0.25">
      <c r="A9947">
        <v>1997</v>
      </c>
      <c r="B9947" s="140" t="s">
        <v>303</v>
      </c>
      <c r="C9947" s="140" t="s">
        <v>132</v>
      </c>
      <c r="D9947" s="140" t="s">
        <v>11</v>
      </c>
      <c r="E9947" s="140" t="s">
        <v>12</v>
      </c>
      <c r="F9947">
        <v>2.5924260499999998</v>
      </c>
      <c r="G9947" s="140" t="s">
        <v>559</v>
      </c>
      <c r="H9947">
        <v>0</v>
      </c>
      <c r="I9947" s="140" t="s">
        <v>14</v>
      </c>
    </row>
    <row r="9948" spans="1:9" hidden="1" x14ac:dyDescent="0.25">
      <c r="A9948">
        <v>1998</v>
      </c>
      <c r="B9948" s="140" t="s">
        <v>303</v>
      </c>
      <c r="C9948" s="140" t="s">
        <v>132</v>
      </c>
      <c r="D9948" s="140" t="s">
        <v>11</v>
      </c>
      <c r="E9948" s="140" t="s">
        <v>12</v>
      </c>
      <c r="F9948">
        <v>2.7248105460000001</v>
      </c>
      <c r="G9948" s="140" t="s">
        <v>559</v>
      </c>
      <c r="H9948">
        <v>0</v>
      </c>
      <c r="I9948" s="140" t="s">
        <v>14</v>
      </c>
    </row>
    <row r="9949" spans="1:9" hidden="1" x14ac:dyDescent="0.25">
      <c r="A9949">
        <v>1999</v>
      </c>
      <c r="B9949" s="140" t="s">
        <v>303</v>
      </c>
      <c r="C9949" s="140" t="s">
        <v>132</v>
      </c>
      <c r="D9949" s="140" t="s">
        <v>11</v>
      </c>
      <c r="E9949" s="140" t="s">
        <v>12</v>
      </c>
      <c r="F9949">
        <v>2.783439225</v>
      </c>
      <c r="G9949" s="140" t="s">
        <v>559</v>
      </c>
      <c r="H9949">
        <v>0</v>
      </c>
      <c r="I9949" s="140" t="s">
        <v>14</v>
      </c>
    </row>
    <row r="9950" spans="1:9" hidden="1" x14ac:dyDescent="0.25">
      <c r="A9950">
        <v>2000</v>
      </c>
      <c r="B9950" s="140" t="s">
        <v>303</v>
      </c>
      <c r="C9950" s="140" t="s">
        <v>132</v>
      </c>
      <c r="D9950" s="140" t="s">
        <v>11</v>
      </c>
      <c r="E9950" s="140" t="s">
        <v>12</v>
      </c>
      <c r="F9950">
        <v>2.7713200750000002</v>
      </c>
      <c r="G9950" s="140" t="s">
        <v>559</v>
      </c>
      <c r="H9950">
        <v>0</v>
      </c>
      <c r="I9950" s="140" t="s">
        <v>14</v>
      </c>
    </row>
    <row r="9951" spans="1:9" hidden="1" x14ac:dyDescent="0.25">
      <c r="A9951">
        <v>2001</v>
      </c>
      <c r="B9951" s="140" t="s">
        <v>303</v>
      </c>
      <c r="C9951" s="140" t="s">
        <v>132</v>
      </c>
      <c r="D9951" s="140" t="s">
        <v>11</v>
      </c>
      <c r="E9951" s="140" t="s">
        <v>12</v>
      </c>
      <c r="F9951">
        <v>2.578813926</v>
      </c>
      <c r="G9951" s="140" t="s">
        <v>559</v>
      </c>
      <c r="H9951">
        <v>0</v>
      </c>
      <c r="I9951" s="140" t="s">
        <v>14</v>
      </c>
    </row>
    <row r="9952" spans="1:9" hidden="1" x14ac:dyDescent="0.25">
      <c r="A9952">
        <v>2002</v>
      </c>
      <c r="B9952" s="140" t="s">
        <v>303</v>
      </c>
      <c r="C9952" s="140" t="s">
        <v>132</v>
      </c>
      <c r="D9952" s="140" t="s">
        <v>11</v>
      </c>
      <c r="E9952" s="140" t="s">
        <v>12</v>
      </c>
      <c r="F9952">
        <v>2.2573570900000002</v>
      </c>
      <c r="G9952" s="140" t="s">
        <v>559</v>
      </c>
      <c r="H9952">
        <v>0</v>
      </c>
      <c r="I9952" s="140" t="s">
        <v>14</v>
      </c>
    </row>
    <row r="9953" spans="1:9" hidden="1" x14ac:dyDescent="0.25">
      <c r="A9953">
        <v>2003</v>
      </c>
      <c r="B9953" s="140" t="s">
        <v>303</v>
      </c>
      <c r="C9953" s="140" t="s">
        <v>132</v>
      </c>
      <c r="D9953" s="140" t="s">
        <v>11</v>
      </c>
      <c r="E9953" s="140" t="s">
        <v>12</v>
      </c>
      <c r="F9953">
        <v>2.0098500920000002</v>
      </c>
      <c r="G9953" s="140" t="s">
        <v>559</v>
      </c>
      <c r="H9953">
        <v>0</v>
      </c>
      <c r="I9953" s="140" t="s">
        <v>14</v>
      </c>
    </row>
    <row r="9954" spans="1:9" hidden="1" x14ac:dyDescent="0.25">
      <c r="A9954">
        <v>2004</v>
      </c>
      <c r="B9954" s="140" t="s">
        <v>303</v>
      </c>
      <c r="C9954" s="140" t="s">
        <v>132</v>
      </c>
      <c r="D9954" s="140" t="s">
        <v>11</v>
      </c>
      <c r="E9954" s="140" t="s">
        <v>12</v>
      </c>
      <c r="F9954">
        <v>1.7642096839999999</v>
      </c>
      <c r="G9954" s="140" t="s">
        <v>559</v>
      </c>
      <c r="H9954">
        <v>0</v>
      </c>
      <c r="I9954" s="140" t="s">
        <v>14</v>
      </c>
    </row>
    <row r="9955" spans="1:9" hidden="1" x14ac:dyDescent="0.25">
      <c r="A9955">
        <v>2005</v>
      </c>
      <c r="B9955" s="140" t="s">
        <v>303</v>
      </c>
      <c r="C9955" s="140" t="s">
        <v>132</v>
      </c>
      <c r="D9955" s="140" t="s">
        <v>11</v>
      </c>
      <c r="E9955" s="140" t="s">
        <v>12</v>
      </c>
      <c r="F9955">
        <v>1.488260344</v>
      </c>
      <c r="G9955" s="140" t="s">
        <v>559</v>
      </c>
      <c r="H9955">
        <v>0</v>
      </c>
      <c r="I9955" s="140" t="s">
        <v>14</v>
      </c>
    </row>
    <row r="9956" spans="1:9" hidden="1" x14ac:dyDescent="0.25">
      <c r="A9956">
        <v>2006</v>
      </c>
      <c r="B9956" s="140" t="s">
        <v>303</v>
      </c>
      <c r="C9956" s="140" t="s">
        <v>132</v>
      </c>
      <c r="D9956" s="140" t="s">
        <v>11</v>
      </c>
      <c r="E9956" s="140" t="s">
        <v>12</v>
      </c>
      <c r="F9956">
        <v>1.248607308</v>
      </c>
      <c r="G9956" s="140" t="s">
        <v>559</v>
      </c>
      <c r="H9956">
        <v>0</v>
      </c>
      <c r="I9956" s="140" t="s">
        <v>14</v>
      </c>
    </row>
    <row r="9957" spans="1:9" hidden="1" x14ac:dyDescent="0.25">
      <c r="A9957">
        <v>2007</v>
      </c>
      <c r="B9957" s="140" t="s">
        <v>303</v>
      </c>
      <c r="C9957" s="140" t="s">
        <v>132</v>
      </c>
      <c r="D9957" s="140" t="s">
        <v>11</v>
      </c>
      <c r="E9957" s="140" t="s">
        <v>12</v>
      </c>
      <c r="F9957">
        <v>0.98510740100000005</v>
      </c>
      <c r="G9957" s="140" t="s">
        <v>559</v>
      </c>
      <c r="H9957">
        <v>0</v>
      </c>
      <c r="I9957" s="140" t="s">
        <v>14</v>
      </c>
    </row>
    <row r="9958" spans="1:9" hidden="1" x14ac:dyDescent="0.25">
      <c r="A9958">
        <v>2008</v>
      </c>
      <c r="B9958" s="140" t="s">
        <v>303</v>
      </c>
      <c r="C9958" s="140" t="s">
        <v>132</v>
      </c>
      <c r="D9958" s="140" t="s">
        <v>11</v>
      </c>
      <c r="E9958" s="140" t="s">
        <v>12</v>
      </c>
      <c r="F9958">
        <v>0.55535763800000004</v>
      </c>
      <c r="G9958" s="140" t="s">
        <v>559</v>
      </c>
      <c r="H9958">
        <v>0</v>
      </c>
      <c r="I9958" s="140" t="s">
        <v>14</v>
      </c>
    </row>
    <row r="9959" spans="1:9" hidden="1" x14ac:dyDescent="0.25">
      <c r="A9959">
        <v>2009</v>
      </c>
      <c r="B9959" s="140" t="s">
        <v>303</v>
      </c>
      <c r="C9959" s="140" t="s">
        <v>132</v>
      </c>
      <c r="D9959" s="140" t="s">
        <v>11</v>
      </c>
      <c r="E9959" s="140" t="s">
        <v>12</v>
      </c>
      <c r="F9959">
        <v>0.150236173</v>
      </c>
      <c r="G9959" s="140" t="s">
        <v>559</v>
      </c>
      <c r="H9959">
        <v>0</v>
      </c>
      <c r="I9959" s="140" t="s">
        <v>14</v>
      </c>
    </row>
    <row r="9960" spans="1:9" hidden="1" x14ac:dyDescent="0.25">
      <c r="A9960">
        <v>2010</v>
      </c>
      <c r="B9960" s="140" t="s">
        <v>303</v>
      </c>
      <c r="C9960" s="140" t="s">
        <v>132</v>
      </c>
      <c r="D9960" s="140" t="s">
        <v>11</v>
      </c>
      <c r="E9960" s="140" t="s">
        <v>12</v>
      </c>
      <c r="F9960">
        <v>3.3653628999999997E-2</v>
      </c>
      <c r="G9960" s="140" t="s">
        <v>559</v>
      </c>
      <c r="H9960">
        <v>0</v>
      </c>
      <c r="I9960" s="140" t="s">
        <v>14</v>
      </c>
    </row>
    <row r="9961" spans="1:9" hidden="1" x14ac:dyDescent="0.25">
      <c r="A9961">
        <v>2011</v>
      </c>
      <c r="B9961" s="140" t="s">
        <v>303</v>
      </c>
      <c r="C9961" s="140" t="s">
        <v>132</v>
      </c>
      <c r="D9961" s="140" t="s">
        <v>11</v>
      </c>
      <c r="E9961" s="140" t="s">
        <v>12</v>
      </c>
      <c r="F9961">
        <v>-9.0409179000000006E-2</v>
      </c>
      <c r="G9961" s="140" t="s">
        <v>559</v>
      </c>
      <c r="H9961">
        <v>0</v>
      </c>
      <c r="I9961" s="140" t="s">
        <v>14</v>
      </c>
    </row>
    <row r="9962" spans="1:9" hidden="1" x14ac:dyDescent="0.25">
      <c r="A9962">
        <v>2012</v>
      </c>
      <c r="B9962" s="140" t="s">
        <v>303</v>
      </c>
      <c r="C9962" s="140" t="s">
        <v>132</v>
      </c>
      <c r="D9962" s="140" t="s">
        <v>11</v>
      </c>
      <c r="E9962" s="140" t="s">
        <v>12</v>
      </c>
      <c r="F9962">
        <v>-0.146227207</v>
      </c>
      <c r="G9962" s="140" t="s">
        <v>559</v>
      </c>
      <c r="H9962">
        <v>0</v>
      </c>
      <c r="I9962" s="140" t="s">
        <v>14</v>
      </c>
    </row>
    <row r="9963" spans="1:9" hidden="1" x14ac:dyDescent="0.25">
      <c r="A9963">
        <v>2013</v>
      </c>
      <c r="B9963" s="140" t="s">
        <v>303</v>
      </c>
      <c r="C9963" s="140" t="s">
        <v>132</v>
      </c>
      <c r="D9963" s="140" t="s">
        <v>11</v>
      </c>
      <c r="E9963" s="140" t="s">
        <v>12</v>
      </c>
      <c r="F9963">
        <v>-9.3643559000000001E-2</v>
      </c>
      <c r="G9963" s="140" t="s">
        <v>559</v>
      </c>
      <c r="H9963">
        <v>0</v>
      </c>
      <c r="I9963" s="140" t="s">
        <v>14</v>
      </c>
    </row>
    <row r="9964" spans="1:9" hidden="1" x14ac:dyDescent="0.25">
      <c r="A9964">
        <v>2014</v>
      </c>
      <c r="B9964" s="140" t="s">
        <v>303</v>
      </c>
      <c r="C9964" s="140" t="s">
        <v>132</v>
      </c>
      <c r="D9964" s="140" t="s">
        <v>11</v>
      </c>
      <c r="E9964" s="140" t="s">
        <v>12</v>
      </c>
      <c r="F9964">
        <v>-4.6813486000000001E-2</v>
      </c>
      <c r="G9964" s="140" t="s">
        <v>559</v>
      </c>
      <c r="H9964">
        <v>0</v>
      </c>
      <c r="I9964" s="140" t="s">
        <v>14</v>
      </c>
    </row>
    <row r="9965" spans="1:9" hidden="1" x14ac:dyDescent="0.25">
      <c r="A9965">
        <v>2015</v>
      </c>
      <c r="B9965" s="140" t="s">
        <v>303</v>
      </c>
      <c r="C9965" s="140" t="s">
        <v>132</v>
      </c>
      <c r="D9965" s="140" t="s">
        <v>11</v>
      </c>
      <c r="E9965" s="140" t="s">
        <v>12</v>
      </c>
      <c r="F9965">
        <v>2.1911257E-2</v>
      </c>
      <c r="G9965" s="140" t="s">
        <v>559</v>
      </c>
      <c r="H9965">
        <v>0</v>
      </c>
      <c r="I9965" s="140" t="s">
        <v>14</v>
      </c>
    </row>
    <row r="9966" spans="1:9" hidden="1" x14ac:dyDescent="0.25">
      <c r="A9966">
        <v>2016</v>
      </c>
      <c r="B9966" s="140" t="s">
        <v>303</v>
      </c>
      <c r="C9966" s="140" t="s">
        <v>132</v>
      </c>
      <c r="D9966" s="140" t="s">
        <v>11</v>
      </c>
      <c r="E9966" s="140" t="s">
        <v>12</v>
      </c>
      <c r="F9966">
        <v>0.13580642200000001</v>
      </c>
      <c r="G9966" s="140" t="s">
        <v>559</v>
      </c>
      <c r="H9966">
        <v>0</v>
      </c>
      <c r="I9966" s="140" t="s">
        <v>14</v>
      </c>
    </row>
    <row r="9967" spans="1:9" hidden="1" x14ac:dyDescent="0.25">
      <c r="A9967">
        <v>2017</v>
      </c>
      <c r="B9967" s="140" t="s">
        <v>303</v>
      </c>
      <c r="C9967" s="140" t="s">
        <v>132</v>
      </c>
      <c r="D9967" s="140" t="s">
        <v>11</v>
      </c>
      <c r="E9967" s="140" t="s">
        <v>12</v>
      </c>
      <c r="F9967">
        <v>0.20147090600000001</v>
      </c>
      <c r="G9967" s="140" t="s">
        <v>559</v>
      </c>
      <c r="H9967">
        <v>0</v>
      </c>
      <c r="I9967" s="140" t="s">
        <v>14</v>
      </c>
    </row>
    <row r="9968" spans="1:9" hidden="1" x14ac:dyDescent="0.25">
      <c r="A9968">
        <v>2018</v>
      </c>
      <c r="B9968" s="140" t="s">
        <v>303</v>
      </c>
      <c r="C9968" s="140" t="s">
        <v>132</v>
      </c>
      <c r="D9968" s="140" t="s">
        <v>11</v>
      </c>
      <c r="E9968" s="140" t="s">
        <v>12</v>
      </c>
      <c r="F9968">
        <v>0.15818668999999999</v>
      </c>
      <c r="G9968" s="140" t="s">
        <v>559</v>
      </c>
      <c r="H9968">
        <v>0</v>
      </c>
      <c r="I9968" s="140" t="s">
        <v>14</v>
      </c>
    </row>
    <row r="9969" spans="1:9" hidden="1" x14ac:dyDescent="0.25">
      <c r="A9969">
        <v>2019</v>
      </c>
      <c r="B9969" s="140" t="s">
        <v>303</v>
      </c>
      <c r="C9969" s="140" t="s">
        <v>132</v>
      </c>
      <c r="D9969" s="140" t="s">
        <v>11</v>
      </c>
      <c r="E9969" s="140" t="s">
        <v>12</v>
      </c>
      <c r="F9969">
        <v>0.21755769</v>
      </c>
      <c r="G9969" s="140" t="s">
        <v>559</v>
      </c>
      <c r="H9969">
        <v>0</v>
      </c>
      <c r="I9969" s="140" t="s">
        <v>14</v>
      </c>
    </row>
    <row r="9970" spans="1:9" hidden="1" x14ac:dyDescent="0.25">
      <c r="A9970">
        <v>2020</v>
      </c>
      <c r="B9970" s="140" t="s">
        <v>303</v>
      </c>
      <c r="C9970" s="140" t="s">
        <v>132</v>
      </c>
      <c r="D9970" s="140" t="s">
        <v>11</v>
      </c>
      <c r="E9970" s="140" t="s">
        <v>12</v>
      </c>
      <c r="F9970">
        <v>0.156087279</v>
      </c>
      <c r="G9970" s="140" t="s">
        <v>559</v>
      </c>
      <c r="H9970">
        <v>0</v>
      </c>
      <c r="I9970" s="140" t="s">
        <v>14</v>
      </c>
    </row>
    <row r="9971" spans="1:9" hidden="1" x14ac:dyDescent="0.25">
      <c r="A9971">
        <v>2021</v>
      </c>
      <c r="B9971" s="140" t="s">
        <v>303</v>
      </c>
      <c r="C9971" s="140" t="s">
        <v>132</v>
      </c>
      <c r="D9971" s="140" t="s">
        <v>11</v>
      </c>
      <c r="E9971" s="140" t="s">
        <v>12</v>
      </c>
      <c r="F9971">
        <v>6.2908039999999998E-2</v>
      </c>
      <c r="G9971" s="140" t="s">
        <v>559</v>
      </c>
      <c r="H9971">
        <v>0</v>
      </c>
      <c r="I9971" s="140" t="s">
        <v>14</v>
      </c>
    </row>
    <row r="9972" spans="1:9" hidden="1" x14ac:dyDescent="0.25">
      <c r="A9972">
        <v>2022</v>
      </c>
      <c r="B9972" s="140" t="s">
        <v>303</v>
      </c>
      <c r="C9972" s="140" t="s">
        <v>132</v>
      </c>
      <c r="D9972" s="140" t="s">
        <v>11</v>
      </c>
      <c r="E9972" s="140" t="s">
        <v>12</v>
      </c>
      <c r="F9972">
        <v>4.2673473000000003E-2</v>
      </c>
      <c r="G9972" s="140" t="s">
        <v>559</v>
      </c>
      <c r="H9972">
        <v>0</v>
      </c>
      <c r="I9972" s="140" t="s">
        <v>14</v>
      </c>
    </row>
    <row r="9973" spans="1:9" hidden="1" x14ac:dyDescent="0.25">
      <c r="A9973">
        <v>2023</v>
      </c>
      <c r="B9973" s="140" t="s">
        <v>303</v>
      </c>
      <c r="C9973" s="140" t="s">
        <v>132</v>
      </c>
      <c r="D9973" s="140" t="s">
        <v>11</v>
      </c>
      <c r="E9973" s="140" t="s">
        <v>12</v>
      </c>
      <c r="F9973">
        <v>0.146186921</v>
      </c>
      <c r="G9973" s="140" t="s">
        <v>559</v>
      </c>
      <c r="H9973">
        <v>0</v>
      </c>
      <c r="I9973" s="140" t="s">
        <v>14</v>
      </c>
    </row>
    <row r="9974" spans="1:9" hidden="1" x14ac:dyDescent="0.25">
      <c r="A9974">
        <v>2024</v>
      </c>
      <c r="B9974" s="140" t="s">
        <v>303</v>
      </c>
      <c r="C9974" s="140" t="s">
        <v>132</v>
      </c>
      <c r="D9974" s="140" t="s">
        <v>11</v>
      </c>
      <c r="E9974" s="140" t="s">
        <v>12</v>
      </c>
      <c r="F9974">
        <v>0.30764297099999999</v>
      </c>
      <c r="G9974" s="140" t="s">
        <v>559</v>
      </c>
      <c r="H9974">
        <v>0</v>
      </c>
      <c r="I9974" s="140" t="s">
        <v>14</v>
      </c>
    </row>
    <row r="9975" spans="1:9" hidden="1" x14ac:dyDescent="0.25">
      <c r="A9975">
        <v>2025</v>
      </c>
      <c r="B9975" s="140" t="s">
        <v>303</v>
      </c>
      <c r="C9975" s="140" t="s">
        <v>132</v>
      </c>
      <c r="D9975" s="140" t="s">
        <v>11</v>
      </c>
      <c r="E9975" s="140" t="s">
        <v>12</v>
      </c>
      <c r="F9975">
        <v>0.36765286800000002</v>
      </c>
      <c r="G9975" s="140" t="s">
        <v>559</v>
      </c>
      <c r="H9975">
        <v>0</v>
      </c>
      <c r="I9975" s="140" t="s">
        <v>14</v>
      </c>
    </row>
    <row r="9976" spans="1:9" hidden="1" x14ac:dyDescent="0.25">
      <c r="A9976">
        <v>2026</v>
      </c>
      <c r="B9976" s="140" t="s">
        <v>303</v>
      </c>
      <c r="C9976" s="140" t="s">
        <v>132</v>
      </c>
      <c r="D9976" s="140" t="s">
        <v>11</v>
      </c>
      <c r="E9976" s="140" t="s">
        <v>12</v>
      </c>
      <c r="F9976">
        <v>0.42118955299999999</v>
      </c>
      <c r="G9976" s="140" t="s">
        <v>559</v>
      </c>
      <c r="H9976">
        <v>0</v>
      </c>
      <c r="I9976" s="140" t="s">
        <v>14</v>
      </c>
    </row>
    <row r="9977" spans="1:9" hidden="1" x14ac:dyDescent="0.25">
      <c r="A9977">
        <v>2027</v>
      </c>
      <c r="B9977" s="140" t="s">
        <v>303</v>
      </c>
      <c r="C9977" s="140" t="s">
        <v>132</v>
      </c>
      <c r="D9977" s="140" t="s">
        <v>11</v>
      </c>
      <c r="E9977" s="140" t="s">
        <v>12</v>
      </c>
      <c r="F9977">
        <v>0.46885666799999998</v>
      </c>
      <c r="G9977" s="140" t="s">
        <v>559</v>
      </c>
      <c r="H9977">
        <v>0</v>
      </c>
      <c r="I9977" s="140" t="s">
        <v>14</v>
      </c>
    </row>
    <row r="9978" spans="1:9" hidden="1" x14ac:dyDescent="0.25">
      <c r="A9978">
        <v>2028</v>
      </c>
      <c r="B9978" s="140" t="s">
        <v>303</v>
      </c>
      <c r="C9978" s="140" t="s">
        <v>132</v>
      </c>
      <c r="D9978" s="140" t="s">
        <v>11</v>
      </c>
      <c r="E9978" s="140" t="s">
        <v>12</v>
      </c>
      <c r="F9978">
        <v>0.51653805799999997</v>
      </c>
      <c r="G9978" s="140" t="s">
        <v>559</v>
      </c>
      <c r="H9978">
        <v>0</v>
      </c>
      <c r="I9978" s="140" t="s">
        <v>14</v>
      </c>
    </row>
    <row r="9979" spans="1:9" hidden="1" x14ac:dyDescent="0.25">
      <c r="A9979">
        <v>2029</v>
      </c>
      <c r="B9979" s="140" t="s">
        <v>303</v>
      </c>
      <c r="C9979" s="140" t="s">
        <v>132</v>
      </c>
      <c r="D9979" s="140" t="s">
        <v>11</v>
      </c>
      <c r="E9979" s="140" t="s">
        <v>12</v>
      </c>
      <c r="F9979">
        <v>0.55753865499999999</v>
      </c>
      <c r="G9979" s="140" t="s">
        <v>559</v>
      </c>
      <c r="H9979">
        <v>0</v>
      </c>
      <c r="I9979" s="140" t="s">
        <v>14</v>
      </c>
    </row>
    <row r="9980" spans="1:9" hidden="1" x14ac:dyDescent="0.25">
      <c r="A9980">
        <v>2030</v>
      </c>
      <c r="B9980" s="140" t="s">
        <v>303</v>
      </c>
      <c r="C9980" s="140" t="s">
        <v>132</v>
      </c>
      <c r="D9980" s="140" t="s">
        <v>11</v>
      </c>
      <c r="E9980" s="140" t="s">
        <v>12</v>
      </c>
      <c r="F9980">
        <v>0.60260475700000005</v>
      </c>
      <c r="G9980" s="140" t="s">
        <v>559</v>
      </c>
      <c r="H9980">
        <v>0</v>
      </c>
      <c r="I9980" s="140" t="s">
        <v>14</v>
      </c>
    </row>
    <row r="9981" spans="1:9" hidden="1" x14ac:dyDescent="0.25">
      <c r="A9981">
        <v>1990</v>
      </c>
      <c r="B9981" s="140" t="s">
        <v>304</v>
      </c>
      <c r="C9981" s="140" t="s">
        <v>132</v>
      </c>
      <c r="D9981" s="140" t="s">
        <v>11</v>
      </c>
      <c r="E9981" s="140" t="s">
        <v>12</v>
      </c>
      <c r="F9981">
        <v>1.1856571060000001</v>
      </c>
      <c r="G9981" s="140" t="s">
        <v>560</v>
      </c>
      <c r="H9981">
        <v>0</v>
      </c>
      <c r="I9981" s="140" t="s">
        <v>14</v>
      </c>
    </row>
    <row r="9982" spans="1:9" hidden="1" x14ac:dyDescent="0.25">
      <c r="A9982">
        <v>1991</v>
      </c>
      <c r="B9982" s="140" t="s">
        <v>304</v>
      </c>
      <c r="C9982" s="140" t="s">
        <v>132</v>
      </c>
      <c r="D9982" s="140" t="s">
        <v>11</v>
      </c>
      <c r="E9982" s="140" t="s">
        <v>12</v>
      </c>
      <c r="F9982">
        <v>0.59077768799999997</v>
      </c>
      <c r="G9982" s="140" t="s">
        <v>560</v>
      </c>
      <c r="H9982">
        <v>0</v>
      </c>
      <c r="I9982" s="140" t="s">
        <v>14</v>
      </c>
    </row>
    <row r="9983" spans="1:9" hidden="1" x14ac:dyDescent="0.25">
      <c r="A9983">
        <v>1992</v>
      </c>
      <c r="B9983" s="140" t="s">
        <v>304</v>
      </c>
      <c r="C9983" s="140" t="s">
        <v>132</v>
      </c>
      <c r="D9983" s="140" t="s">
        <v>11</v>
      </c>
      <c r="E9983" s="140" t="s">
        <v>12</v>
      </c>
      <c r="F9983">
        <v>0.21629748500000001</v>
      </c>
      <c r="G9983" s="140" t="s">
        <v>560</v>
      </c>
      <c r="H9983">
        <v>0</v>
      </c>
      <c r="I9983" s="140" t="s">
        <v>14</v>
      </c>
    </row>
    <row r="9984" spans="1:9" hidden="1" x14ac:dyDescent="0.25">
      <c r="A9984">
        <v>1993</v>
      </c>
      <c r="B9984" s="140" t="s">
        <v>304</v>
      </c>
      <c r="C9984" s="140" t="s">
        <v>132</v>
      </c>
      <c r="D9984" s="140" t="s">
        <v>11</v>
      </c>
      <c r="E9984" s="140" t="s">
        <v>12</v>
      </c>
      <c r="F9984">
        <v>-7.9265031E-2</v>
      </c>
      <c r="G9984" s="140" t="s">
        <v>560</v>
      </c>
      <c r="H9984">
        <v>0</v>
      </c>
      <c r="I9984" s="140" t="s">
        <v>14</v>
      </c>
    </row>
    <row r="9985" spans="1:9" hidden="1" x14ac:dyDescent="0.25">
      <c r="A9985">
        <v>1994</v>
      </c>
      <c r="B9985" s="140" t="s">
        <v>304</v>
      </c>
      <c r="C9985" s="140" t="s">
        <v>132</v>
      </c>
      <c r="D9985" s="140" t="s">
        <v>11</v>
      </c>
      <c r="E9985" s="140" t="s">
        <v>12</v>
      </c>
      <c r="F9985">
        <v>-8.9767913000000005E-2</v>
      </c>
      <c r="G9985" s="140" t="s">
        <v>560</v>
      </c>
      <c r="H9985">
        <v>0</v>
      </c>
      <c r="I9985" s="140" t="s">
        <v>14</v>
      </c>
    </row>
    <row r="9986" spans="1:9" hidden="1" x14ac:dyDescent="0.25">
      <c r="A9986">
        <v>1995</v>
      </c>
      <c r="B9986" s="140" t="s">
        <v>304</v>
      </c>
      <c r="C9986" s="140" t="s">
        <v>132</v>
      </c>
      <c r="D9986" s="140" t="s">
        <v>11</v>
      </c>
      <c r="E9986" s="140" t="s">
        <v>12</v>
      </c>
      <c r="F9986">
        <v>0.14356442599999999</v>
      </c>
      <c r="G9986" s="140" t="s">
        <v>560</v>
      </c>
      <c r="H9986">
        <v>0</v>
      </c>
      <c r="I9986" s="140" t="s">
        <v>14</v>
      </c>
    </row>
    <row r="9987" spans="1:9" hidden="1" x14ac:dyDescent="0.25">
      <c r="A9987">
        <v>1996</v>
      </c>
      <c r="B9987" s="140" t="s">
        <v>304</v>
      </c>
      <c r="C9987" s="140" t="s">
        <v>132</v>
      </c>
      <c r="D9987" s="140" t="s">
        <v>11</v>
      </c>
      <c r="E9987" s="140" t="s">
        <v>12</v>
      </c>
      <c r="F9987">
        <v>0.30455070000000001</v>
      </c>
      <c r="G9987" s="140" t="s">
        <v>560</v>
      </c>
      <c r="H9987">
        <v>0</v>
      </c>
      <c r="I9987" s="140" t="s">
        <v>14</v>
      </c>
    </row>
    <row r="9988" spans="1:9" hidden="1" x14ac:dyDescent="0.25">
      <c r="A9988">
        <v>1997</v>
      </c>
      <c r="B9988" s="140" t="s">
        <v>304</v>
      </c>
      <c r="C9988" s="140" t="s">
        <v>132</v>
      </c>
      <c r="D9988" s="140" t="s">
        <v>11</v>
      </c>
      <c r="E9988" s="140" t="s">
        <v>12</v>
      </c>
      <c r="F9988">
        <v>0.496623814</v>
      </c>
      <c r="G9988" s="140" t="s">
        <v>560</v>
      </c>
      <c r="H9988">
        <v>0</v>
      </c>
      <c r="I9988" s="140" t="s">
        <v>14</v>
      </c>
    </row>
    <row r="9989" spans="1:9" hidden="1" x14ac:dyDescent="0.25">
      <c r="A9989">
        <v>1998</v>
      </c>
      <c r="B9989" s="140" t="s">
        <v>304</v>
      </c>
      <c r="C9989" s="140" t="s">
        <v>132</v>
      </c>
      <c r="D9989" s="140" t="s">
        <v>11</v>
      </c>
      <c r="E9989" s="140" t="s">
        <v>12</v>
      </c>
      <c r="F9989">
        <v>0.66470087099999997</v>
      </c>
      <c r="G9989" s="140" t="s">
        <v>560</v>
      </c>
      <c r="H9989">
        <v>0</v>
      </c>
      <c r="I9989" s="140" t="s">
        <v>14</v>
      </c>
    </row>
    <row r="9990" spans="1:9" hidden="1" x14ac:dyDescent="0.25">
      <c r="A9990">
        <v>1999</v>
      </c>
      <c r="B9990" s="140" t="s">
        <v>304</v>
      </c>
      <c r="C9990" s="140" t="s">
        <v>132</v>
      </c>
      <c r="D9990" s="140" t="s">
        <v>11</v>
      </c>
      <c r="E9990" s="140" t="s">
        <v>12</v>
      </c>
      <c r="F9990">
        <v>0.68250968700000003</v>
      </c>
      <c r="G9990" s="140" t="s">
        <v>560</v>
      </c>
      <c r="H9990">
        <v>0</v>
      </c>
      <c r="I9990" s="140" t="s">
        <v>14</v>
      </c>
    </row>
    <row r="9991" spans="1:9" hidden="1" x14ac:dyDescent="0.25">
      <c r="A9991">
        <v>2000</v>
      </c>
      <c r="B9991" s="140" t="s">
        <v>304</v>
      </c>
      <c r="C9991" s="140" t="s">
        <v>132</v>
      </c>
      <c r="D9991" s="140" t="s">
        <v>11</v>
      </c>
      <c r="E9991" s="140" t="s">
        <v>12</v>
      </c>
      <c r="F9991">
        <v>0.74291432800000001</v>
      </c>
      <c r="G9991" s="140" t="s">
        <v>560</v>
      </c>
      <c r="H9991">
        <v>0</v>
      </c>
      <c r="I9991" s="140" t="s">
        <v>14</v>
      </c>
    </row>
    <row r="9992" spans="1:9" hidden="1" x14ac:dyDescent="0.25">
      <c r="A9992">
        <v>2001</v>
      </c>
      <c r="B9992" s="140" t="s">
        <v>304</v>
      </c>
      <c r="C9992" s="140" t="s">
        <v>132</v>
      </c>
      <c r="D9992" s="140" t="s">
        <v>11</v>
      </c>
      <c r="E9992" s="140" t="s">
        <v>12</v>
      </c>
      <c r="F9992">
        <v>0.69859728700000001</v>
      </c>
      <c r="G9992" s="140" t="s">
        <v>560</v>
      </c>
      <c r="H9992">
        <v>0</v>
      </c>
      <c r="I9992" s="140" t="s">
        <v>14</v>
      </c>
    </row>
    <row r="9993" spans="1:9" hidden="1" x14ac:dyDescent="0.25">
      <c r="A9993">
        <v>2002</v>
      </c>
      <c r="B9993" s="140" t="s">
        <v>304</v>
      </c>
      <c r="C9993" s="140" t="s">
        <v>132</v>
      </c>
      <c r="D9993" s="140" t="s">
        <v>11</v>
      </c>
      <c r="E9993" s="140" t="s">
        <v>12</v>
      </c>
      <c r="F9993">
        <v>0.55205543499999998</v>
      </c>
      <c r="G9993" s="140" t="s">
        <v>560</v>
      </c>
      <c r="H9993">
        <v>0</v>
      </c>
      <c r="I9993" s="140" t="s">
        <v>14</v>
      </c>
    </row>
    <row r="9994" spans="1:9" hidden="1" x14ac:dyDescent="0.25">
      <c r="A9994">
        <v>2003</v>
      </c>
      <c r="B9994" s="140" t="s">
        <v>304</v>
      </c>
      <c r="C9994" s="140" t="s">
        <v>132</v>
      </c>
      <c r="D9994" s="140" t="s">
        <v>11</v>
      </c>
      <c r="E9994" s="140" t="s">
        <v>12</v>
      </c>
      <c r="F9994">
        <v>0.56206368699999998</v>
      </c>
      <c r="G9994" s="140" t="s">
        <v>560</v>
      </c>
      <c r="H9994">
        <v>0</v>
      </c>
      <c r="I9994" s="140" t="s">
        <v>14</v>
      </c>
    </row>
    <row r="9995" spans="1:9" hidden="1" x14ac:dyDescent="0.25">
      <c r="A9995">
        <v>2004</v>
      </c>
      <c r="B9995" s="140" t="s">
        <v>304</v>
      </c>
      <c r="C9995" s="140" t="s">
        <v>132</v>
      </c>
      <c r="D9995" s="140" t="s">
        <v>11</v>
      </c>
      <c r="E9995" s="140" t="s">
        <v>12</v>
      </c>
      <c r="F9995">
        <v>0.61968372299999996</v>
      </c>
      <c r="G9995" s="140" t="s">
        <v>560</v>
      </c>
      <c r="H9995">
        <v>0</v>
      </c>
      <c r="I9995" s="140" t="s">
        <v>14</v>
      </c>
    </row>
    <row r="9996" spans="1:9" hidden="1" x14ac:dyDescent="0.25">
      <c r="A9996">
        <v>2005</v>
      </c>
      <c r="B9996" s="140" t="s">
        <v>304</v>
      </c>
      <c r="C9996" s="140" t="s">
        <v>132</v>
      </c>
      <c r="D9996" s="140" t="s">
        <v>11</v>
      </c>
      <c r="E9996" s="140" t="s">
        <v>12</v>
      </c>
      <c r="F9996">
        <v>0.63471812900000002</v>
      </c>
      <c r="G9996" s="140" t="s">
        <v>560</v>
      </c>
      <c r="H9996">
        <v>0</v>
      </c>
      <c r="I9996" s="140" t="s">
        <v>14</v>
      </c>
    </row>
    <row r="9997" spans="1:9" hidden="1" x14ac:dyDescent="0.25">
      <c r="A9997">
        <v>2006</v>
      </c>
      <c r="B9997" s="140" t="s">
        <v>304</v>
      </c>
      <c r="C9997" s="140" t="s">
        <v>132</v>
      </c>
      <c r="D9997" s="140" t="s">
        <v>11</v>
      </c>
      <c r="E9997" s="140" t="s">
        <v>12</v>
      </c>
      <c r="F9997">
        <v>0.62288320100000005</v>
      </c>
      <c r="G9997" s="140" t="s">
        <v>560</v>
      </c>
      <c r="H9997">
        <v>0</v>
      </c>
      <c r="I9997" s="140" t="s">
        <v>14</v>
      </c>
    </row>
    <row r="9998" spans="1:9" hidden="1" x14ac:dyDescent="0.25">
      <c r="A9998">
        <v>2007</v>
      </c>
      <c r="B9998" s="140" t="s">
        <v>304</v>
      </c>
      <c r="C9998" s="140" t="s">
        <v>132</v>
      </c>
      <c r="D9998" s="140" t="s">
        <v>11</v>
      </c>
      <c r="E9998" s="140" t="s">
        <v>12</v>
      </c>
      <c r="F9998">
        <v>0.83666236699999996</v>
      </c>
      <c r="G9998" s="140" t="s">
        <v>560</v>
      </c>
      <c r="H9998">
        <v>0</v>
      </c>
      <c r="I9998" s="140" t="s">
        <v>14</v>
      </c>
    </row>
    <row r="9999" spans="1:9" hidden="1" x14ac:dyDescent="0.25">
      <c r="A9999">
        <v>2008</v>
      </c>
      <c r="B9999" s="140" t="s">
        <v>304</v>
      </c>
      <c r="C9999" s="140" t="s">
        <v>132</v>
      </c>
      <c r="D9999" s="140" t="s">
        <v>11</v>
      </c>
      <c r="E9999" s="140" t="s">
        <v>12</v>
      </c>
      <c r="F9999">
        <v>0.77027480400000004</v>
      </c>
      <c r="G9999" s="140" t="s">
        <v>560</v>
      </c>
      <c r="H9999">
        <v>0</v>
      </c>
      <c r="I9999" s="140" t="s">
        <v>14</v>
      </c>
    </row>
    <row r="10000" spans="1:9" hidden="1" x14ac:dyDescent="0.25">
      <c r="A10000">
        <v>2009</v>
      </c>
      <c r="B10000" s="140" t="s">
        <v>304</v>
      </c>
      <c r="C10000" s="140" t="s">
        <v>132</v>
      </c>
      <c r="D10000" s="140" t="s">
        <v>11</v>
      </c>
      <c r="E10000" s="140" t="s">
        <v>12</v>
      </c>
      <c r="F10000">
        <v>0.37598772800000002</v>
      </c>
      <c r="G10000" s="140" t="s">
        <v>560</v>
      </c>
      <c r="H10000">
        <v>0</v>
      </c>
      <c r="I10000" s="140" t="s">
        <v>14</v>
      </c>
    </row>
    <row r="10001" spans="1:9" hidden="1" x14ac:dyDescent="0.25">
      <c r="A10001">
        <v>2010</v>
      </c>
      <c r="B10001" s="140" t="s">
        <v>304</v>
      </c>
      <c r="C10001" s="140" t="s">
        <v>132</v>
      </c>
      <c r="D10001" s="140" t="s">
        <v>11</v>
      </c>
      <c r="E10001" s="140" t="s">
        <v>12</v>
      </c>
      <c r="F10001">
        <v>0.39811353700000002</v>
      </c>
      <c r="G10001" s="140" t="s">
        <v>560</v>
      </c>
      <c r="H10001">
        <v>0</v>
      </c>
      <c r="I10001" s="140" t="s">
        <v>14</v>
      </c>
    </row>
    <row r="10002" spans="1:9" hidden="1" x14ac:dyDescent="0.25">
      <c r="A10002">
        <v>2011</v>
      </c>
      <c r="B10002" s="140" t="s">
        <v>304</v>
      </c>
      <c r="C10002" s="140" t="s">
        <v>132</v>
      </c>
      <c r="D10002" s="140" t="s">
        <v>11</v>
      </c>
      <c r="E10002" s="140" t="s">
        <v>12</v>
      </c>
      <c r="F10002">
        <v>0.49673250000000002</v>
      </c>
      <c r="G10002" s="140" t="s">
        <v>560</v>
      </c>
      <c r="H10002">
        <v>0</v>
      </c>
      <c r="I10002" s="140" t="s">
        <v>14</v>
      </c>
    </row>
    <row r="10003" spans="1:9" hidden="1" x14ac:dyDescent="0.25">
      <c r="A10003">
        <v>2012</v>
      </c>
      <c r="B10003" s="140" t="s">
        <v>304</v>
      </c>
      <c r="C10003" s="140" t="s">
        <v>132</v>
      </c>
      <c r="D10003" s="140" t="s">
        <v>11</v>
      </c>
      <c r="E10003" s="140" t="s">
        <v>12</v>
      </c>
      <c r="F10003">
        <v>0.45898687199999999</v>
      </c>
      <c r="G10003" s="140" t="s">
        <v>560</v>
      </c>
      <c r="H10003">
        <v>0</v>
      </c>
      <c r="I10003" s="140" t="s">
        <v>14</v>
      </c>
    </row>
    <row r="10004" spans="1:9" hidden="1" x14ac:dyDescent="0.25">
      <c r="A10004">
        <v>2013</v>
      </c>
      <c r="B10004" s="140" t="s">
        <v>304</v>
      </c>
      <c r="C10004" s="140" t="s">
        <v>132</v>
      </c>
      <c r="D10004" s="140" t="s">
        <v>11</v>
      </c>
      <c r="E10004" s="140" t="s">
        <v>12</v>
      </c>
      <c r="F10004">
        <v>0.33735205899999998</v>
      </c>
      <c r="G10004" s="140" t="s">
        <v>560</v>
      </c>
      <c r="H10004">
        <v>0</v>
      </c>
      <c r="I10004" s="140" t="s">
        <v>14</v>
      </c>
    </row>
    <row r="10005" spans="1:9" hidden="1" x14ac:dyDescent="0.25">
      <c r="A10005">
        <v>2014</v>
      </c>
      <c r="B10005" s="140" t="s">
        <v>304</v>
      </c>
      <c r="C10005" s="140" t="s">
        <v>132</v>
      </c>
      <c r="D10005" s="140" t="s">
        <v>11</v>
      </c>
      <c r="E10005" s="140" t="s">
        <v>12</v>
      </c>
      <c r="F10005">
        <v>0.28001416699999998</v>
      </c>
      <c r="G10005" s="140" t="s">
        <v>560</v>
      </c>
      <c r="H10005">
        <v>0</v>
      </c>
      <c r="I10005" s="140" t="s">
        <v>14</v>
      </c>
    </row>
    <row r="10006" spans="1:9" hidden="1" x14ac:dyDescent="0.25">
      <c r="A10006">
        <v>2015</v>
      </c>
      <c r="B10006" s="140" t="s">
        <v>304</v>
      </c>
      <c r="C10006" s="140" t="s">
        <v>132</v>
      </c>
      <c r="D10006" s="140" t="s">
        <v>11</v>
      </c>
      <c r="E10006" s="140" t="s">
        <v>12</v>
      </c>
      <c r="F10006">
        <v>0.27582816399999999</v>
      </c>
      <c r="G10006" s="140" t="s">
        <v>560</v>
      </c>
      <c r="H10006">
        <v>0</v>
      </c>
      <c r="I10006" s="140" t="s">
        <v>14</v>
      </c>
    </row>
    <row r="10007" spans="1:9" hidden="1" x14ac:dyDescent="0.25">
      <c r="A10007">
        <v>2016</v>
      </c>
      <c r="B10007" s="140" t="s">
        <v>304</v>
      </c>
      <c r="C10007" s="140" t="s">
        <v>132</v>
      </c>
      <c r="D10007" s="140" t="s">
        <v>11</v>
      </c>
      <c r="E10007" s="140" t="s">
        <v>12</v>
      </c>
      <c r="F10007">
        <v>0.46854309500000002</v>
      </c>
      <c r="G10007" s="140" t="s">
        <v>560</v>
      </c>
      <c r="H10007">
        <v>0</v>
      </c>
      <c r="I10007" s="140" t="s">
        <v>14</v>
      </c>
    </row>
    <row r="10008" spans="1:9" hidden="1" x14ac:dyDescent="0.25">
      <c r="A10008">
        <v>2017</v>
      </c>
      <c r="B10008" s="140" t="s">
        <v>304</v>
      </c>
      <c r="C10008" s="140" t="s">
        <v>132</v>
      </c>
      <c r="D10008" s="140" t="s">
        <v>11</v>
      </c>
      <c r="E10008" s="140" t="s">
        <v>12</v>
      </c>
      <c r="F10008">
        <v>0.585442146</v>
      </c>
      <c r="G10008" s="140" t="s">
        <v>560</v>
      </c>
      <c r="H10008">
        <v>0</v>
      </c>
      <c r="I10008" s="140" t="s">
        <v>14</v>
      </c>
    </row>
    <row r="10009" spans="1:9" hidden="1" x14ac:dyDescent="0.25">
      <c r="A10009">
        <v>2018</v>
      </c>
      <c r="B10009" s="140" t="s">
        <v>304</v>
      </c>
      <c r="C10009" s="140" t="s">
        <v>132</v>
      </c>
      <c r="D10009" s="140" t="s">
        <v>11</v>
      </c>
      <c r="E10009" s="140" t="s">
        <v>12</v>
      </c>
      <c r="F10009">
        <v>0.64199001700000002</v>
      </c>
      <c r="G10009" s="140" t="s">
        <v>560</v>
      </c>
      <c r="H10009">
        <v>0</v>
      </c>
      <c r="I10009" s="140" t="s">
        <v>14</v>
      </c>
    </row>
    <row r="10010" spans="1:9" hidden="1" x14ac:dyDescent="0.25">
      <c r="A10010">
        <v>2019</v>
      </c>
      <c r="B10010" s="140" t="s">
        <v>304</v>
      </c>
      <c r="C10010" s="140" t="s">
        <v>132</v>
      </c>
      <c r="D10010" s="140" t="s">
        <v>11</v>
      </c>
      <c r="E10010" s="140" t="s">
        <v>12</v>
      </c>
      <c r="F10010">
        <v>0.54066562100000004</v>
      </c>
      <c r="G10010" s="140" t="s">
        <v>560</v>
      </c>
      <c r="H10010">
        <v>0</v>
      </c>
      <c r="I10010" s="140" t="s">
        <v>14</v>
      </c>
    </row>
    <row r="10011" spans="1:9" hidden="1" x14ac:dyDescent="0.25">
      <c r="A10011">
        <v>2020</v>
      </c>
      <c r="B10011" s="140" t="s">
        <v>304</v>
      </c>
      <c r="C10011" s="140" t="s">
        <v>132</v>
      </c>
      <c r="D10011" s="140" t="s">
        <v>11</v>
      </c>
      <c r="E10011" s="140" t="s">
        <v>12</v>
      </c>
      <c r="F10011">
        <v>0.49904586200000001</v>
      </c>
      <c r="G10011" s="140" t="s">
        <v>560</v>
      </c>
      <c r="H10011">
        <v>0</v>
      </c>
      <c r="I10011" s="140" t="s">
        <v>14</v>
      </c>
    </row>
    <row r="10012" spans="1:9" hidden="1" x14ac:dyDescent="0.25">
      <c r="A10012">
        <v>2021</v>
      </c>
      <c r="B10012" s="140" t="s">
        <v>304</v>
      </c>
      <c r="C10012" s="140" t="s">
        <v>132</v>
      </c>
      <c r="D10012" s="140" t="s">
        <v>11</v>
      </c>
      <c r="E10012" s="140" t="s">
        <v>12</v>
      </c>
      <c r="F10012">
        <v>0.50882505600000005</v>
      </c>
      <c r="G10012" s="140" t="s">
        <v>560</v>
      </c>
      <c r="H10012">
        <v>0</v>
      </c>
      <c r="I10012" s="140" t="s">
        <v>14</v>
      </c>
    </row>
    <row r="10013" spans="1:9" hidden="1" x14ac:dyDescent="0.25">
      <c r="A10013">
        <v>2022</v>
      </c>
      <c r="B10013" s="140" t="s">
        <v>304</v>
      </c>
      <c r="C10013" s="140" t="s">
        <v>132</v>
      </c>
      <c r="D10013" s="140" t="s">
        <v>11</v>
      </c>
      <c r="E10013" s="140" t="s">
        <v>12</v>
      </c>
      <c r="F10013">
        <v>0.50466695299999997</v>
      </c>
      <c r="G10013" s="140" t="s">
        <v>560</v>
      </c>
      <c r="H10013">
        <v>0</v>
      </c>
      <c r="I10013" s="140" t="s">
        <v>14</v>
      </c>
    </row>
    <row r="10014" spans="1:9" hidden="1" x14ac:dyDescent="0.25">
      <c r="A10014">
        <v>2023</v>
      </c>
      <c r="B10014" s="140" t="s">
        <v>304</v>
      </c>
      <c r="C10014" s="140" t="s">
        <v>132</v>
      </c>
      <c r="D10014" s="140" t="s">
        <v>11</v>
      </c>
      <c r="E10014" s="140" t="s">
        <v>12</v>
      </c>
      <c r="F10014">
        <v>0.29604370699999999</v>
      </c>
      <c r="G10014" s="140" t="s">
        <v>560</v>
      </c>
      <c r="H10014">
        <v>0</v>
      </c>
      <c r="I10014" s="140" t="s">
        <v>14</v>
      </c>
    </row>
    <row r="10015" spans="1:9" hidden="1" x14ac:dyDescent="0.25">
      <c r="A10015">
        <v>2024</v>
      </c>
      <c r="B10015" s="140" t="s">
        <v>304</v>
      </c>
      <c r="C10015" s="140" t="s">
        <v>132</v>
      </c>
      <c r="D10015" s="140" t="s">
        <v>11</v>
      </c>
      <c r="E10015" s="140" t="s">
        <v>12</v>
      </c>
      <c r="F10015">
        <v>0.138826489</v>
      </c>
      <c r="G10015" s="140" t="s">
        <v>560</v>
      </c>
      <c r="H10015">
        <v>0</v>
      </c>
      <c r="I10015" s="140" t="s">
        <v>14</v>
      </c>
    </row>
    <row r="10016" spans="1:9" hidden="1" x14ac:dyDescent="0.25">
      <c r="A10016">
        <v>2025</v>
      </c>
      <c r="B10016" s="140" t="s">
        <v>304</v>
      </c>
      <c r="C10016" s="140" t="s">
        <v>132</v>
      </c>
      <c r="D10016" s="140" t="s">
        <v>11</v>
      </c>
      <c r="E10016" s="140" t="s">
        <v>12</v>
      </c>
      <c r="F10016">
        <v>0.17390449799999999</v>
      </c>
      <c r="G10016" s="140" t="s">
        <v>560</v>
      </c>
      <c r="H10016">
        <v>0</v>
      </c>
      <c r="I10016" s="140" t="s">
        <v>14</v>
      </c>
    </row>
    <row r="10017" spans="1:9" hidden="1" x14ac:dyDescent="0.25">
      <c r="A10017">
        <v>2026</v>
      </c>
      <c r="B10017" s="140" t="s">
        <v>304</v>
      </c>
      <c r="C10017" s="140" t="s">
        <v>132</v>
      </c>
      <c r="D10017" s="140" t="s">
        <v>11</v>
      </c>
      <c r="E10017" s="140" t="s">
        <v>12</v>
      </c>
      <c r="F10017">
        <v>0.33352467299999999</v>
      </c>
      <c r="G10017" s="140" t="s">
        <v>560</v>
      </c>
      <c r="H10017">
        <v>0</v>
      </c>
      <c r="I10017" s="140" t="s">
        <v>14</v>
      </c>
    </row>
    <row r="10018" spans="1:9" hidden="1" x14ac:dyDescent="0.25">
      <c r="A10018">
        <v>2027</v>
      </c>
      <c r="B10018" s="140" t="s">
        <v>304</v>
      </c>
      <c r="C10018" s="140" t="s">
        <v>132</v>
      </c>
      <c r="D10018" s="140" t="s">
        <v>11</v>
      </c>
      <c r="E10018" s="140" t="s">
        <v>12</v>
      </c>
      <c r="F10018">
        <v>0.41339230799999999</v>
      </c>
      <c r="G10018" s="140" t="s">
        <v>560</v>
      </c>
      <c r="H10018">
        <v>0</v>
      </c>
      <c r="I10018" s="140" t="s">
        <v>14</v>
      </c>
    </row>
    <row r="10019" spans="1:9" hidden="1" x14ac:dyDescent="0.25">
      <c r="A10019">
        <v>2028</v>
      </c>
      <c r="B10019" s="140" t="s">
        <v>304</v>
      </c>
      <c r="C10019" s="140" t="s">
        <v>132</v>
      </c>
      <c r="D10019" s="140" t="s">
        <v>11</v>
      </c>
      <c r="E10019" s="140" t="s">
        <v>12</v>
      </c>
      <c r="F10019">
        <v>0.47138908899999998</v>
      </c>
      <c r="G10019" s="140" t="s">
        <v>560</v>
      </c>
      <c r="H10019">
        <v>0</v>
      </c>
      <c r="I10019" s="140" t="s">
        <v>14</v>
      </c>
    </row>
    <row r="10020" spans="1:9" hidden="1" x14ac:dyDescent="0.25">
      <c r="A10020">
        <v>2029</v>
      </c>
      <c r="B10020" s="140" t="s">
        <v>304</v>
      </c>
      <c r="C10020" s="140" t="s">
        <v>132</v>
      </c>
      <c r="D10020" s="140" t="s">
        <v>11</v>
      </c>
      <c r="E10020" s="140" t="s">
        <v>12</v>
      </c>
      <c r="F10020">
        <v>0.50028187800000001</v>
      </c>
      <c r="G10020" s="140" t="s">
        <v>560</v>
      </c>
      <c r="H10020">
        <v>0</v>
      </c>
      <c r="I10020" s="140" t="s">
        <v>14</v>
      </c>
    </row>
    <row r="10021" spans="1:9" hidden="1" x14ac:dyDescent="0.25">
      <c r="A10021">
        <v>2030</v>
      </c>
      <c r="B10021" s="140" t="s">
        <v>304</v>
      </c>
      <c r="C10021" s="140" t="s">
        <v>132</v>
      </c>
      <c r="D10021" s="140" t="s">
        <v>11</v>
      </c>
      <c r="E10021" s="140" t="s">
        <v>12</v>
      </c>
      <c r="F10021">
        <v>0.50462719899999997</v>
      </c>
      <c r="G10021" s="140" t="s">
        <v>560</v>
      </c>
      <c r="H10021">
        <v>0</v>
      </c>
      <c r="I10021" s="140" t="s">
        <v>14</v>
      </c>
    </row>
    <row r="10022" spans="1:9" hidden="1" x14ac:dyDescent="0.25">
      <c r="A10022">
        <v>1990</v>
      </c>
      <c r="B10022" s="140" t="s">
        <v>305</v>
      </c>
      <c r="C10022" s="140" t="s">
        <v>132</v>
      </c>
      <c r="D10022" s="140" t="s">
        <v>11</v>
      </c>
      <c r="E10022" s="140" t="s">
        <v>12</v>
      </c>
      <c r="F10022">
        <v>-1.377893773</v>
      </c>
      <c r="G10022" s="140" t="s">
        <v>561</v>
      </c>
      <c r="H10022">
        <v>0</v>
      </c>
      <c r="I10022" s="140" t="s">
        <v>14</v>
      </c>
    </row>
    <row r="10023" spans="1:9" hidden="1" x14ac:dyDescent="0.25">
      <c r="A10023">
        <v>1991</v>
      </c>
      <c r="B10023" s="140" t="s">
        <v>305</v>
      </c>
      <c r="C10023" s="140" t="s">
        <v>132</v>
      </c>
      <c r="D10023" s="140" t="s">
        <v>11</v>
      </c>
      <c r="E10023" s="140" t="s">
        <v>12</v>
      </c>
      <c r="F10023">
        <v>-1.7130536240000001</v>
      </c>
      <c r="G10023" s="140" t="s">
        <v>561</v>
      </c>
      <c r="H10023">
        <v>0</v>
      </c>
      <c r="I10023" s="140" t="s">
        <v>14</v>
      </c>
    </row>
    <row r="10024" spans="1:9" hidden="1" x14ac:dyDescent="0.25">
      <c r="A10024">
        <v>1992</v>
      </c>
      <c r="B10024" s="140" t="s">
        <v>305</v>
      </c>
      <c r="C10024" s="140" t="s">
        <v>132</v>
      </c>
      <c r="D10024" s="140" t="s">
        <v>11</v>
      </c>
      <c r="E10024" s="140" t="s">
        <v>12</v>
      </c>
      <c r="F10024">
        <v>-1.689876352</v>
      </c>
      <c r="G10024" s="140" t="s">
        <v>561</v>
      </c>
      <c r="H10024">
        <v>0</v>
      </c>
      <c r="I10024" s="140" t="s">
        <v>14</v>
      </c>
    </row>
    <row r="10025" spans="1:9" hidden="1" x14ac:dyDescent="0.25">
      <c r="A10025">
        <v>1993</v>
      </c>
      <c r="B10025" s="140" t="s">
        <v>305</v>
      </c>
      <c r="C10025" s="140" t="s">
        <v>132</v>
      </c>
      <c r="D10025" s="140" t="s">
        <v>11</v>
      </c>
      <c r="E10025" s="140" t="s">
        <v>12</v>
      </c>
      <c r="F10025">
        <v>-1.5065842540000001</v>
      </c>
      <c r="G10025" s="140" t="s">
        <v>561</v>
      </c>
      <c r="H10025">
        <v>0</v>
      </c>
      <c r="I10025" s="140" t="s">
        <v>14</v>
      </c>
    </row>
    <row r="10026" spans="1:9" hidden="1" x14ac:dyDescent="0.25">
      <c r="A10026">
        <v>1994</v>
      </c>
      <c r="B10026" s="140" t="s">
        <v>305</v>
      </c>
      <c r="C10026" s="140" t="s">
        <v>132</v>
      </c>
      <c r="D10026" s="140" t="s">
        <v>11</v>
      </c>
      <c r="E10026" s="140" t="s">
        <v>12</v>
      </c>
      <c r="F10026">
        <v>-0.74065958700000001</v>
      </c>
      <c r="G10026" s="140" t="s">
        <v>561</v>
      </c>
      <c r="H10026">
        <v>0</v>
      </c>
      <c r="I10026" s="140" t="s">
        <v>14</v>
      </c>
    </row>
    <row r="10027" spans="1:9" hidden="1" x14ac:dyDescent="0.25">
      <c r="A10027">
        <v>1995</v>
      </c>
      <c r="B10027" s="140" t="s">
        <v>305</v>
      </c>
      <c r="C10027" s="140" t="s">
        <v>132</v>
      </c>
      <c r="D10027" s="140" t="s">
        <v>11</v>
      </c>
      <c r="E10027" s="140" t="s">
        <v>12</v>
      </c>
      <c r="F10027">
        <v>-0.293726031</v>
      </c>
      <c r="G10027" s="140" t="s">
        <v>561</v>
      </c>
      <c r="H10027">
        <v>0</v>
      </c>
      <c r="I10027" s="140" t="s">
        <v>14</v>
      </c>
    </row>
    <row r="10028" spans="1:9" hidden="1" x14ac:dyDescent="0.25">
      <c r="A10028">
        <v>1996</v>
      </c>
      <c r="B10028" s="140" t="s">
        <v>305</v>
      </c>
      <c r="C10028" s="140" t="s">
        <v>132</v>
      </c>
      <c r="D10028" s="140" t="s">
        <v>11</v>
      </c>
      <c r="E10028" s="140" t="s">
        <v>12</v>
      </c>
      <c r="F10028">
        <v>0.14832034799999999</v>
      </c>
      <c r="G10028" s="140" t="s">
        <v>561</v>
      </c>
      <c r="H10028">
        <v>0</v>
      </c>
      <c r="I10028" s="140" t="s">
        <v>14</v>
      </c>
    </row>
    <row r="10029" spans="1:9" hidden="1" x14ac:dyDescent="0.25">
      <c r="A10029">
        <v>1997</v>
      </c>
      <c r="B10029" s="140" t="s">
        <v>305</v>
      </c>
      <c r="C10029" s="140" t="s">
        <v>132</v>
      </c>
      <c r="D10029" s="140" t="s">
        <v>11</v>
      </c>
      <c r="E10029" s="140" t="s">
        <v>12</v>
      </c>
      <c r="F10029">
        <v>0.51907981700000005</v>
      </c>
      <c r="G10029" s="140" t="s">
        <v>561</v>
      </c>
      <c r="H10029">
        <v>0</v>
      </c>
      <c r="I10029" s="140" t="s">
        <v>14</v>
      </c>
    </row>
    <row r="10030" spans="1:9" hidden="1" x14ac:dyDescent="0.25">
      <c r="A10030">
        <v>1998</v>
      </c>
      <c r="B10030" s="140" t="s">
        <v>305</v>
      </c>
      <c r="C10030" s="140" t="s">
        <v>132</v>
      </c>
      <c r="D10030" s="140" t="s">
        <v>11</v>
      </c>
      <c r="E10030" s="140" t="s">
        <v>12</v>
      </c>
      <c r="F10030">
        <v>0.91605895000000004</v>
      </c>
      <c r="G10030" s="140" t="s">
        <v>561</v>
      </c>
      <c r="H10030">
        <v>0</v>
      </c>
      <c r="I10030" s="140" t="s">
        <v>14</v>
      </c>
    </row>
    <row r="10031" spans="1:9" hidden="1" x14ac:dyDescent="0.25">
      <c r="A10031">
        <v>1999</v>
      </c>
      <c r="B10031" s="140" t="s">
        <v>305</v>
      </c>
      <c r="C10031" s="140" t="s">
        <v>132</v>
      </c>
      <c r="D10031" s="140" t="s">
        <v>11</v>
      </c>
      <c r="E10031" s="140" t="s">
        <v>12</v>
      </c>
      <c r="F10031">
        <v>0.98270432200000002</v>
      </c>
      <c r="G10031" s="140" t="s">
        <v>561</v>
      </c>
      <c r="H10031">
        <v>0</v>
      </c>
      <c r="I10031" s="140" t="s">
        <v>14</v>
      </c>
    </row>
    <row r="10032" spans="1:9" hidden="1" x14ac:dyDescent="0.25">
      <c r="A10032">
        <v>2000</v>
      </c>
      <c r="B10032" s="140" t="s">
        <v>305</v>
      </c>
      <c r="C10032" s="140" t="s">
        <v>132</v>
      </c>
      <c r="D10032" s="140" t="s">
        <v>11</v>
      </c>
      <c r="E10032" s="140" t="s">
        <v>12</v>
      </c>
      <c r="F10032">
        <v>0.908975847</v>
      </c>
      <c r="G10032" s="140" t="s">
        <v>561</v>
      </c>
      <c r="H10032">
        <v>0</v>
      </c>
      <c r="I10032" s="140" t="s">
        <v>14</v>
      </c>
    </row>
    <row r="10033" spans="1:9" hidden="1" x14ac:dyDescent="0.25">
      <c r="A10033">
        <v>2001</v>
      </c>
      <c r="B10033" s="140" t="s">
        <v>305</v>
      </c>
      <c r="C10033" s="140" t="s">
        <v>132</v>
      </c>
      <c r="D10033" s="140" t="s">
        <v>11</v>
      </c>
      <c r="E10033" s="140" t="s">
        <v>12</v>
      </c>
      <c r="F10033">
        <v>0.87639649500000005</v>
      </c>
      <c r="G10033" s="140" t="s">
        <v>561</v>
      </c>
      <c r="H10033">
        <v>0</v>
      </c>
      <c r="I10033" s="140" t="s">
        <v>14</v>
      </c>
    </row>
    <row r="10034" spans="1:9" hidden="1" x14ac:dyDescent="0.25">
      <c r="A10034">
        <v>2002</v>
      </c>
      <c r="B10034" s="140" t="s">
        <v>305</v>
      </c>
      <c r="C10034" s="140" t="s">
        <v>132</v>
      </c>
      <c r="D10034" s="140" t="s">
        <v>11</v>
      </c>
      <c r="E10034" s="140" t="s">
        <v>12</v>
      </c>
      <c r="F10034">
        <v>0.70858442399999999</v>
      </c>
      <c r="G10034" s="140" t="s">
        <v>561</v>
      </c>
      <c r="H10034">
        <v>0</v>
      </c>
      <c r="I10034" s="140" t="s">
        <v>14</v>
      </c>
    </row>
    <row r="10035" spans="1:9" hidden="1" x14ac:dyDescent="0.25">
      <c r="A10035">
        <v>2003</v>
      </c>
      <c r="B10035" s="140" t="s">
        <v>305</v>
      </c>
      <c r="C10035" s="140" t="s">
        <v>132</v>
      </c>
      <c r="D10035" s="140" t="s">
        <v>11</v>
      </c>
      <c r="E10035" s="140" t="s">
        <v>12</v>
      </c>
      <c r="F10035">
        <v>0.625961659</v>
      </c>
      <c r="G10035" s="140" t="s">
        <v>561</v>
      </c>
      <c r="H10035">
        <v>0</v>
      </c>
      <c r="I10035" s="140" t="s">
        <v>14</v>
      </c>
    </row>
    <row r="10036" spans="1:9" hidden="1" x14ac:dyDescent="0.25">
      <c r="A10036">
        <v>2004</v>
      </c>
      <c r="B10036" s="140" t="s">
        <v>305</v>
      </c>
      <c r="C10036" s="140" t="s">
        <v>132</v>
      </c>
      <c r="D10036" s="140" t="s">
        <v>11</v>
      </c>
      <c r="E10036" s="140" t="s">
        <v>12</v>
      </c>
      <c r="F10036">
        <v>0.54730254099999998</v>
      </c>
      <c r="G10036" s="140" t="s">
        <v>561</v>
      </c>
      <c r="H10036">
        <v>0</v>
      </c>
      <c r="I10036" s="140" t="s">
        <v>14</v>
      </c>
    </row>
    <row r="10037" spans="1:9" hidden="1" x14ac:dyDescent="0.25">
      <c r="A10037">
        <v>2005</v>
      </c>
      <c r="B10037" s="140" t="s">
        <v>305</v>
      </c>
      <c r="C10037" s="140" t="s">
        <v>132</v>
      </c>
      <c r="D10037" s="140" t="s">
        <v>11</v>
      </c>
      <c r="E10037" s="140" t="s">
        <v>12</v>
      </c>
      <c r="F10037">
        <v>0.49095772799999998</v>
      </c>
      <c r="G10037" s="140" t="s">
        <v>561</v>
      </c>
      <c r="H10037">
        <v>0</v>
      </c>
      <c r="I10037" s="140" t="s">
        <v>14</v>
      </c>
    </row>
    <row r="10038" spans="1:9" hidden="1" x14ac:dyDescent="0.25">
      <c r="A10038">
        <v>2006</v>
      </c>
      <c r="B10038" s="140" t="s">
        <v>305</v>
      </c>
      <c r="C10038" s="140" t="s">
        <v>132</v>
      </c>
      <c r="D10038" s="140" t="s">
        <v>11</v>
      </c>
      <c r="E10038" s="140" t="s">
        <v>12</v>
      </c>
      <c r="F10038">
        <v>0.47193461799999997</v>
      </c>
      <c r="G10038" s="140" t="s">
        <v>561</v>
      </c>
      <c r="H10038">
        <v>0</v>
      </c>
      <c r="I10038" s="140" t="s">
        <v>14</v>
      </c>
    </row>
    <row r="10039" spans="1:9" hidden="1" x14ac:dyDescent="0.25">
      <c r="A10039">
        <v>2007</v>
      </c>
      <c r="B10039" s="140" t="s">
        <v>305</v>
      </c>
      <c r="C10039" s="140" t="s">
        <v>132</v>
      </c>
      <c r="D10039" s="140" t="s">
        <v>11</v>
      </c>
      <c r="E10039" s="140" t="s">
        <v>12</v>
      </c>
      <c r="F10039">
        <v>0.38998412900000001</v>
      </c>
      <c r="G10039" s="140" t="s">
        <v>561</v>
      </c>
      <c r="H10039">
        <v>0</v>
      </c>
      <c r="I10039" s="140" t="s">
        <v>14</v>
      </c>
    </row>
    <row r="10040" spans="1:9" hidden="1" x14ac:dyDescent="0.25">
      <c r="A10040">
        <v>2008</v>
      </c>
      <c r="B10040" s="140" t="s">
        <v>305</v>
      </c>
      <c r="C10040" s="140" t="s">
        <v>132</v>
      </c>
      <c r="D10040" s="140" t="s">
        <v>11</v>
      </c>
      <c r="E10040" s="140" t="s">
        <v>12</v>
      </c>
      <c r="F10040">
        <v>0.20285124700000001</v>
      </c>
      <c r="G10040" s="140" t="s">
        <v>561</v>
      </c>
      <c r="H10040">
        <v>0</v>
      </c>
      <c r="I10040" s="140" t="s">
        <v>14</v>
      </c>
    </row>
    <row r="10041" spans="1:9" hidden="1" x14ac:dyDescent="0.25">
      <c r="A10041">
        <v>2009</v>
      </c>
      <c r="B10041" s="140" t="s">
        <v>305</v>
      </c>
      <c r="C10041" s="140" t="s">
        <v>132</v>
      </c>
      <c r="D10041" s="140" t="s">
        <v>11</v>
      </c>
      <c r="E10041" s="140" t="s">
        <v>12</v>
      </c>
      <c r="F10041">
        <v>-0.26812122900000002</v>
      </c>
      <c r="G10041" s="140" t="s">
        <v>561</v>
      </c>
      <c r="H10041">
        <v>0</v>
      </c>
      <c r="I10041" s="140" t="s">
        <v>14</v>
      </c>
    </row>
    <row r="10042" spans="1:9" hidden="1" x14ac:dyDescent="0.25">
      <c r="A10042">
        <v>2010</v>
      </c>
      <c r="B10042" s="140" t="s">
        <v>305</v>
      </c>
      <c r="C10042" s="140" t="s">
        <v>132</v>
      </c>
      <c r="D10042" s="140" t="s">
        <v>11</v>
      </c>
      <c r="E10042" s="140" t="s">
        <v>12</v>
      </c>
      <c r="F10042">
        <v>-0.12793059800000001</v>
      </c>
      <c r="G10042" s="140" t="s">
        <v>561</v>
      </c>
      <c r="H10042">
        <v>0</v>
      </c>
      <c r="I10042" s="140" t="s">
        <v>14</v>
      </c>
    </row>
    <row r="10043" spans="1:9" hidden="1" x14ac:dyDescent="0.25">
      <c r="A10043">
        <v>2011</v>
      </c>
      <c r="B10043" s="140" t="s">
        <v>305</v>
      </c>
      <c r="C10043" s="140" t="s">
        <v>132</v>
      </c>
      <c r="D10043" s="140" t="s">
        <v>11</v>
      </c>
      <c r="E10043" s="140" t="s">
        <v>12</v>
      </c>
      <c r="F10043">
        <v>-0.10747308</v>
      </c>
      <c r="G10043" s="140" t="s">
        <v>561</v>
      </c>
      <c r="H10043">
        <v>0</v>
      </c>
      <c r="I10043" s="140" t="s">
        <v>14</v>
      </c>
    </row>
    <row r="10044" spans="1:9" hidden="1" x14ac:dyDescent="0.25">
      <c r="A10044">
        <v>2012</v>
      </c>
      <c r="B10044" s="140" t="s">
        <v>305</v>
      </c>
      <c r="C10044" s="140" t="s">
        <v>132</v>
      </c>
      <c r="D10044" s="140" t="s">
        <v>11</v>
      </c>
      <c r="E10044" s="140" t="s">
        <v>12</v>
      </c>
      <c r="F10044">
        <v>-0.193547413</v>
      </c>
      <c r="G10044" s="140" t="s">
        <v>561</v>
      </c>
      <c r="H10044">
        <v>0</v>
      </c>
      <c r="I10044" s="140" t="s">
        <v>14</v>
      </c>
    </row>
    <row r="10045" spans="1:9" hidden="1" x14ac:dyDescent="0.25">
      <c r="A10045">
        <v>2013</v>
      </c>
      <c r="B10045" s="140" t="s">
        <v>305</v>
      </c>
      <c r="C10045" s="140" t="s">
        <v>132</v>
      </c>
      <c r="D10045" s="140" t="s">
        <v>11</v>
      </c>
      <c r="E10045" s="140" t="s">
        <v>12</v>
      </c>
      <c r="F10045">
        <v>-0.18354261599999999</v>
      </c>
      <c r="G10045" s="140" t="s">
        <v>561</v>
      </c>
      <c r="H10045">
        <v>0</v>
      </c>
      <c r="I10045" s="140" t="s">
        <v>14</v>
      </c>
    </row>
    <row r="10046" spans="1:9" hidden="1" x14ac:dyDescent="0.25">
      <c r="A10046">
        <v>2014</v>
      </c>
      <c r="B10046" s="140" t="s">
        <v>305</v>
      </c>
      <c r="C10046" s="140" t="s">
        <v>132</v>
      </c>
      <c r="D10046" s="140" t="s">
        <v>11</v>
      </c>
      <c r="E10046" s="140" t="s">
        <v>12</v>
      </c>
      <c r="F10046">
        <v>-7.1555192000000004E-2</v>
      </c>
      <c r="G10046" s="140" t="s">
        <v>561</v>
      </c>
      <c r="H10046">
        <v>0</v>
      </c>
      <c r="I10046" s="140" t="s">
        <v>14</v>
      </c>
    </row>
    <row r="10047" spans="1:9" hidden="1" x14ac:dyDescent="0.25">
      <c r="A10047">
        <v>2015</v>
      </c>
      <c r="B10047" s="140" t="s">
        <v>305</v>
      </c>
      <c r="C10047" s="140" t="s">
        <v>132</v>
      </c>
      <c r="D10047" s="140" t="s">
        <v>11</v>
      </c>
      <c r="E10047" s="140" t="s">
        <v>12</v>
      </c>
      <c r="F10047">
        <v>-4.8853519999999999E-3</v>
      </c>
      <c r="G10047" s="140" t="s">
        <v>561</v>
      </c>
      <c r="H10047">
        <v>0</v>
      </c>
      <c r="I10047" s="140" t="s">
        <v>14</v>
      </c>
    </row>
    <row r="10048" spans="1:9" hidden="1" x14ac:dyDescent="0.25">
      <c r="A10048">
        <v>2016</v>
      </c>
      <c r="B10048" s="140" t="s">
        <v>305</v>
      </c>
      <c r="C10048" s="140" t="s">
        <v>132</v>
      </c>
      <c r="D10048" s="140" t="s">
        <v>11</v>
      </c>
      <c r="E10048" s="140" t="s">
        <v>12</v>
      </c>
      <c r="F10048">
        <v>0.27446600999999998</v>
      </c>
      <c r="G10048" s="140" t="s">
        <v>561</v>
      </c>
      <c r="H10048">
        <v>0</v>
      </c>
      <c r="I10048" s="140" t="s">
        <v>14</v>
      </c>
    </row>
    <row r="10049" spans="1:9" hidden="1" x14ac:dyDescent="0.25">
      <c r="A10049">
        <v>2017</v>
      </c>
      <c r="B10049" s="140" t="s">
        <v>305</v>
      </c>
      <c r="C10049" s="140" t="s">
        <v>132</v>
      </c>
      <c r="D10049" s="140" t="s">
        <v>11</v>
      </c>
      <c r="E10049" s="140" t="s">
        <v>12</v>
      </c>
      <c r="F10049">
        <v>0.24731726700000001</v>
      </c>
      <c r="G10049" s="140" t="s">
        <v>561</v>
      </c>
      <c r="H10049">
        <v>0</v>
      </c>
      <c r="I10049" s="140" t="s">
        <v>14</v>
      </c>
    </row>
    <row r="10050" spans="1:9" hidden="1" x14ac:dyDescent="0.25">
      <c r="A10050">
        <v>2018</v>
      </c>
      <c r="B10050" s="140" t="s">
        <v>305</v>
      </c>
      <c r="C10050" s="140" t="s">
        <v>132</v>
      </c>
      <c r="D10050" s="140" t="s">
        <v>11</v>
      </c>
      <c r="E10050" s="140" t="s">
        <v>12</v>
      </c>
      <c r="F10050">
        <v>0.44397274599999997</v>
      </c>
      <c r="G10050" s="140" t="s">
        <v>561</v>
      </c>
      <c r="H10050">
        <v>0</v>
      </c>
      <c r="I10050" s="140" t="s">
        <v>14</v>
      </c>
    </row>
    <row r="10051" spans="1:9" hidden="1" x14ac:dyDescent="0.25">
      <c r="A10051">
        <v>2019</v>
      </c>
      <c r="B10051" s="140" t="s">
        <v>305</v>
      </c>
      <c r="C10051" s="140" t="s">
        <v>132</v>
      </c>
      <c r="D10051" s="140" t="s">
        <v>11</v>
      </c>
      <c r="E10051" s="140" t="s">
        <v>12</v>
      </c>
      <c r="F10051">
        <v>0.29797473200000002</v>
      </c>
      <c r="G10051" s="140" t="s">
        <v>561</v>
      </c>
      <c r="H10051">
        <v>0</v>
      </c>
      <c r="I10051" s="140" t="s">
        <v>14</v>
      </c>
    </row>
    <row r="10052" spans="1:9" hidden="1" x14ac:dyDescent="0.25">
      <c r="A10052">
        <v>2020</v>
      </c>
      <c r="B10052" s="140" t="s">
        <v>305</v>
      </c>
      <c r="C10052" s="140" t="s">
        <v>132</v>
      </c>
      <c r="D10052" s="140" t="s">
        <v>11</v>
      </c>
      <c r="E10052" s="140" t="s">
        <v>12</v>
      </c>
      <c r="F10052">
        <v>0.17721445299999999</v>
      </c>
      <c r="G10052" s="140" t="s">
        <v>561</v>
      </c>
      <c r="H10052">
        <v>0</v>
      </c>
      <c r="I10052" s="140" t="s">
        <v>14</v>
      </c>
    </row>
    <row r="10053" spans="1:9" hidden="1" x14ac:dyDescent="0.25">
      <c r="A10053">
        <v>2021</v>
      </c>
      <c r="B10053" s="140" t="s">
        <v>305</v>
      </c>
      <c r="C10053" s="140" t="s">
        <v>132</v>
      </c>
      <c r="D10053" s="140" t="s">
        <v>11</v>
      </c>
      <c r="E10053" s="140" t="s">
        <v>12</v>
      </c>
      <c r="F10053">
        <v>0.131048579</v>
      </c>
      <c r="G10053" s="140" t="s">
        <v>561</v>
      </c>
      <c r="H10053">
        <v>0</v>
      </c>
      <c r="I10053" s="140" t="s">
        <v>14</v>
      </c>
    </row>
    <row r="10054" spans="1:9" hidden="1" x14ac:dyDescent="0.25">
      <c r="A10054">
        <v>2022</v>
      </c>
      <c r="B10054" s="140" t="s">
        <v>305</v>
      </c>
      <c r="C10054" s="140" t="s">
        <v>132</v>
      </c>
      <c r="D10054" s="140" t="s">
        <v>11</v>
      </c>
      <c r="E10054" s="140" t="s">
        <v>12</v>
      </c>
      <c r="F10054">
        <v>0.371482692</v>
      </c>
      <c r="G10054" s="140" t="s">
        <v>561</v>
      </c>
      <c r="H10054">
        <v>0</v>
      </c>
      <c r="I10054" s="140" t="s">
        <v>14</v>
      </c>
    </row>
    <row r="10055" spans="1:9" hidden="1" x14ac:dyDescent="0.25">
      <c r="A10055">
        <v>2023</v>
      </c>
      <c r="B10055" s="140" t="s">
        <v>305</v>
      </c>
      <c r="C10055" s="140" t="s">
        <v>132</v>
      </c>
      <c r="D10055" s="140" t="s">
        <v>11</v>
      </c>
      <c r="E10055" s="140" t="s">
        <v>12</v>
      </c>
      <c r="F10055">
        <v>0.34781905800000001</v>
      </c>
      <c r="G10055" s="140" t="s">
        <v>561</v>
      </c>
      <c r="H10055">
        <v>0</v>
      </c>
      <c r="I10055" s="140" t="s">
        <v>14</v>
      </c>
    </row>
    <row r="10056" spans="1:9" hidden="1" x14ac:dyDescent="0.25">
      <c r="A10056">
        <v>2024</v>
      </c>
      <c r="B10056" s="140" t="s">
        <v>305</v>
      </c>
      <c r="C10056" s="140" t="s">
        <v>132</v>
      </c>
      <c r="D10056" s="140" t="s">
        <v>11</v>
      </c>
      <c r="E10056" s="140" t="s">
        <v>12</v>
      </c>
      <c r="F10056">
        <v>0.39185677299999999</v>
      </c>
      <c r="G10056" s="140" t="s">
        <v>561</v>
      </c>
      <c r="H10056">
        <v>0</v>
      </c>
      <c r="I10056" s="140" t="s">
        <v>14</v>
      </c>
    </row>
    <row r="10057" spans="1:9" hidden="1" x14ac:dyDescent="0.25">
      <c r="A10057">
        <v>2025</v>
      </c>
      <c r="B10057" s="140" t="s">
        <v>305</v>
      </c>
      <c r="C10057" s="140" t="s">
        <v>132</v>
      </c>
      <c r="D10057" s="140" t="s">
        <v>11</v>
      </c>
      <c r="E10057" s="140" t="s">
        <v>12</v>
      </c>
      <c r="F10057">
        <v>0.17638668399999999</v>
      </c>
      <c r="G10057" s="140" t="s">
        <v>561</v>
      </c>
      <c r="H10057">
        <v>0</v>
      </c>
      <c r="I10057" s="140" t="s">
        <v>14</v>
      </c>
    </row>
    <row r="10058" spans="1:9" hidden="1" x14ac:dyDescent="0.25">
      <c r="A10058">
        <v>2026</v>
      </c>
      <c r="B10058" s="140" t="s">
        <v>305</v>
      </c>
      <c r="C10058" s="140" t="s">
        <v>132</v>
      </c>
      <c r="D10058" s="140" t="s">
        <v>11</v>
      </c>
      <c r="E10058" s="140" t="s">
        <v>12</v>
      </c>
      <c r="F10058">
        <v>0.12625307199999999</v>
      </c>
      <c r="G10058" s="140" t="s">
        <v>561</v>
      </c>
      <c r="H10058">
        <v>0</v>
      </c>
      <c r="I10058" s="140" t="s">
        <v>14</v>
      </c>
    </row>
    <row r="10059" spans="1:9" hidden="1" x14ac:dyDescent="0.25">
      <c r="A10059">
        <v>2027</v>
      </c>
      <c r="B10059" s="140" t="s">
        <v>305</v>
      </c>
      <c r="C10059" s="140" t="s">
        <v>132</v>
      </c>
      <c r="D10059" s="140" t="s">
        <v>11</v>
      </c>
      <c r="E10059" s="140" t="s">
        <v>12</v>
      </c>
      <c r="F10059">
        <v>0.168355265</v>
      </c>
      <c r="G10059" s="140" t="s">
        <v>561</v>
      </c>
      <c r="H10059">
        <v>0</v>
      </c>
      <c r="I10059" s="140" t="s">
        <v>14</v>
      </c>
    </row>
    <row r="10060" spans="1:9" hidden="1" x14ac:dyDescent="0.25">
      <c r="A10060">
        <v>2028</v>
      </c>
      <c r="B10060" s="140" t="s">
        <v>305</v>
      </c>
      <c r="C10060" s="140" t="s">
        <v>132</v>
      </c>
      <c r="D10060" s="140" t="s">
        <v>11</v>
      </c>
      <c r="E10060" s="140" t="s">
        <v>12</v>
      </c>
      <c r="F10060">
        <v>0.17324887899999999</v>
      </c>
      <c r="G10060" s="140" t="s">
        <v>561</v>
      </c>
      <c r="H10060">
        <v>0</v>
      </c>
      <c r="I10060" s="140" t="s">
        <v>14</v>
      </c>
    </row>
    <row r="10061" spans="1:9" hidden="1" x14ac:dyDescent="0.25">
      <c r="A10061">
        <v>2029</v>
      </c>
      <c r="B10061" s="140" t="s">
        <v>305</v>
      </c>
      <c r="C10061" s="140" t="s">
        <v>132</v>
      </c>
      <c r="D10061" s="140" t="s">
        <v>11</v>
      </c>
      <c r="E10061" s="140" t="s">
        <v>12</v>
      </c>
      <c r="F10061">
        <v>7.4091978000000003E-2</v>
      </c>
      <c r="G10061" s="140" t="s">
        <v>561</v>
      </c>
      <c r="H10061">
        <v>0</v>
      </c>
      <c r="I10061" s="140" t="s">
        <v>14</v>
      </c>
    </row>
    <row r="10062" spans="1:9" hidden="1" x14ac:dyDescent="0.25">
      <c r="A10062">
        <v>2030</v>
      </c>
      <c r="B10062" s="140" t="s">
        <v>305</v>
      </c>
      <c r="C10062" s="140" t="s">
        <v>132</v>
      </c>
      <c r="D10062" s="140" t="s">
        <v>11</v>
      </c>
      <c r="E10062" s="140" t="s">
        <v>12</v>
      </c>
      <c r="F10062">
        <v>-4.758165E-3</v>
      </c>
      <c r="G10062" s="140" t="s">
        <v>561</v>
      </c>
      <c r="H10062">
        <v>0</v>
      </c>
      <c r="I10062" s="140" t="s">
        <v>14</v>
      </c>
    </row>
    <row r="10063" spans="1:9" hidden="1" x14ac:dyDescent="0.25">
      <c r="A10063">
        <v>1990</v>
      </c>
      <c r="B10063" s="140" t="s">
        <v>306</v>
      </c>
      <c r="C10063" s="140" t="s">
        <v>132</v>
      </c>
      <c r="D10063" s="140" t="s">
        <v>11</v>
      </c>
      <c r="E10063" s="140" t="s">
        <v>12</v>
      </c>
      <c r="F10063">
        <v>4.9704260969999998</v>
      </c>
      <c r="G10063" s="140" t="s">
        <v>562</v>
      </c>
      <c r="H10063">
        <v>0</v>
      </c>
      <c r="I10063" s="140" t="s">
        <v>14</v>
      </c>
    </row>
    <row r="10064" spans="1:9" hidden="1" x14ac:dyDescent="0.25">
      <c r="A10064">
        <v>1991</v>
      </c>
      <c r="B10064" s="140" t="s">
        <v>306</v>
      </c>
      <c r="C10064" s="140" t="s">
        <v>132</v>
      </c>
      <c r="D10064" s="140" t="s">
        <v>11</v>
      </c>
      <c r="E10064" s="140" t="s">
        <v>12</v>
      </c>
      <c r="F10064">
        <v>-1.7909381639999999</v>
      </c>
      <c r="G10064" s="140" t="s">
        <v>562</v>
      </c>
      <c r="H10064">
        <v>0</v>
      </c>
      <c r="I10064" s="140" t="s">
        <v>14</v>
      </c>
    </row>
    <row r="10065" spans="1:9" hidden="1" x14ac:dyDescent="0.25">
      <c r="A10065">
        <v>1992</v>
      </c>
      <c r="B10065" s="140" t="s">
        <v>306</v>
      </c>
      <c r="C10065" s="140" t="s">
        <v>132</v>
      </c>
      <c r="D10065" s="140" t="s">
        <v>11</v>
      </c>
      <c r="E10065" s="140" t="s">
        <v>12</v>
      </c>
      <c r="F10065">
        <v>-5.4327819210000001</v>
      </c>
      <c r="G10065" s="140" t="s">
        <v>562</v>
      </c>
      <c r="H10065">
        <v>0</v>
      </c>
      <c r="I10065" s="140" t="s">
        <v>14</v>
      </c>
    </row>
    <row r="10066" spans="1:9" hidden="1" x14ac:dyDescent="0.25">
      <c r="A10066">
        <v>1993</v>
      </c>
      <c r="B10066" s="140" t="s">
        <v>306</v>
      </c>
      <c r="C10066" s="140" t="s">
        <v>132</v>
      </c>
      <c r="D10066" s="140" t="s">
        <v>11</v>
      </c>
      <c r="E10066" s="140" t="s">
        <v>12</v>
      </c>
      <c r="F10066">
        <v>-6.6215588309999998</v>
      </c>
      <c r="G10066" s="140" t="s">
        <v>562</v>
      </c>
      <c r="H10066">
        <v>0</v>
      </c>
      <c r="I10066" s="140" t="s">
        <v>14</v>
      </c>
    </row>
    <row r="10067" spans="1:9" hidden="1" x14ac:dyDescent="0.25">
      <c r="A10067">
        <v>1994</v>
      </c>
      <c r="B10067" s="140" t="s">
        <v>306</v>
      </c>
      <c r="C10067" s="140" t="s">
        <v>132</v>
      </c>
      <c r="D10067" s="140" t="s">
        <v>11</v>
      </c>
      <c r="E10067" s="140" t="s">
        <v>12</v>
      </c>
      <c r="F10067">
        <v>-4.2905493410000002</v>
      </c>
      <c r="G10067" s="140" t="s">
        <v>562</v>
      </c>
      <c r="H10067">
        <v>0</v>
      </c>
      <c r="I10067" s="140" t="s">
        <v>14</v>
      </c>
    </row>
    <row r="10068" spans="1:9" hidden="1" x14ac:dyDescent="0.25">
      <c r="A10068">
        <v>1995</v>
      </c>
      <c r="B10068" s="140" t="s">
        <v>306</v>
      </c>
      <c r="C10068" s="140" t="s">
        <v>132</v>
      </c>
      <c r="D10068" s="140" t="s">
        <v>11</v>
      </c>
      <c r="E10068" s="140" t="s">
        <v>12</v>
      </c>
      <c r="F10068">
        <v>-2.4110590429999998</v>
      </c>
      <c r="G10068" s="140" t="s">
        <v>562</v>
      </c>
      <c r="H10068">
        <v>0</v>
      </c>
      <c r="I10068" s="140" t="s">
        <v>14</v>
      </c>
    </row>
    <row r="10069" spans="1:9" hidden="1" x14ac:dyDescent="0.25">
      <c r="A10069">
        <v>1996</v>
      </c>
      <c r="B10069" s="140" t="s">
        <v>306</v>
      </c>
      <c r="C10069" s="140" t="s">
        <v>132</v>
      </c>
      <c r="D10069" s="140" t="s">
        <v>11</v>
      </c>
      <c r="E10069" s="140" t="s">
        <v>12</v>
      </c>
      <c r="F10069">
        <v>-1.727671256</v>
      </c>
      <c r="G10069" s="140" t="s">
        <v>562</v>
      </c>
      <c r="H10069">
        <v>0</v>
      </c>
      <c r="I10069" s="140" t="s">
        <v>14</v>
      </c>
    </row>
    <row r="10070" spans="1:9" hidden="1" x14ac:dyDescent="0.25">
      <c r="A10070">
        <v>1997</v>
      </c>
      <c r="B10070" s="140" t="s">
        <v>306</v>
      </c>
      <c r="C10070" s="140" t="s">
        <v>132</v>
      </c>
      <c r="D10070" s="140" t="s">
        <v>11</v>
      </c>
      <c r="E10070" s="140" t="s">
        <v>12</v>
      </c>
      <c r="F10070">
        <v>0.91819468299999996</v>
      </c>
      <c r="G10070" s="140" t="s">
        <v>562</v>
      </c>
      <c r="H10070">
        <v>0</v>
      </c>
      <c r="I10070" s="140" t="s">
        <v>14</v>
      </c>
    </row>
    <row r="10071" spans="1:9" hidden="1" x14ac:dyDescent="0.25">
      <c r="A10071">
        <v>1998</v>
      </c>
      <c r="B10071" s="140" t="s">
        <v>306</v>
      </c>
      <c r="C10071" s="140" t="s">
        <v>132</v>
      </c>
      <c r="D10071" s="140" t="s">
        <v>11</v>
      </c>
      <c r="E10071" s="140" t="s">
        <v>12</v>
      </c>
      <c r="F10071">
        <v>2.0289173869999999</v>
      </c>
      <c r="G10071" s="140" t="s">
        <v>562</v>
      </c>
      <c r="H10071">
        <v>0</v>
      </c>
      <c r="I10071" s="140" t="s">
        <v>14</v>
      </c>
    </row>
    <row r="10072" spans="1:9" hidden="1" x14ac:dyDescent="0.25">
      <c r="A10072">
        <v>1999</v>
      </c>
      <c r="B10072" s="140" t="s">
        <v>306</v>
      </c>
      <c r="C10072" s="140" t="s">
        <v>132</v>
      </c>
      <c r="D10072" s="140" t="s">
        <v>11</v>
      </c>
      <c r="E10072" s="140" t="s">
        <v>12</v>
      </c>
      <c r="F10072">
        <v>1.970920402</v>
      </c>
      <c r="G10072" s="140" t="s">
        <v>562</v>
      </c>
      <c r="H10072">
        <v>0</v>
      </c>
      <c r="I10072" s="140" t="s">
        <v>14</v>
      </c>
    </row>
    <row r="10073" spans="1:9" hidden="1" x14ac:dyDescent="0.25">
      <c r="A10073">
        <v>2000</v>
      </c>
      <c r="B10073" s="140" t="s">
        <v>306</v>
      </c>
      <c r="C10073" s="140" t="s">
        <v>132</v>
      </c>
      <c r="D10073" s="140" t="s">
        <v>11</v>
      </c>
      <c r="E10073" s="140" t="s">
        <v>12</v>
      </c>
      <c r="F10073">
        <v>3.270201712</v>
      </c>
      <c r="G10073" s="140" t="s">
        <v>562</v>
      </c>
      <c r="H10073">
        <v>0</v>
      </c>
      <c r="I10073" s="140" t="s">
        <v>14</v>
      </c>
    </row>
    <row r="10074" spans="1:9" hidden="1" x14ac:dyDescent="0.25">
      <c r="A10074">
        <v>2001</v>
      </c>
      <c r="B10074" s="140" t="s">
        <v>306</v>
      </c>
      <c r="C10074" s="140" t="s">
        <v>132</v>
      </c>
      <c r="D10074" s="140" t="s">
        <v>11</v>
      </c>
      <c r="E10074" s="140" t="s">
        <v>12</v>
      </c>
      <c r="F10074">
        <v>1.7694965760000001</v>
      </c>
      <c r="G10074" s="140" t="s">
        <v>562</v>
      </c>
      <c r="H10074">
        <v>0</v>
      </c>
      <c r="I10074" s="140" t="s">
        <v>14</v>
      </c>
    </row>
    <row r="10075" spans="1:9" hidden="1" x14ac:dyDescent="0.25">
      <c r="A10075">
        <v>2002</v>
      </c>
      <c r="B10075" s="140" t="s">
        <v>306</v>
      </c>
      <c r="C10075" s="140" t="s">
        <v>132</v>
      </c>
      <c r="D10075" s="140" t="s">
        <v>11</v>
      </c>
      <c r="E10075" s="140" t="s">
        <v>12</v>
      </c>
      <c r="F10075">
        <v>-3.0252601E-2</v>
      </c>
      <c r="G10075" s="140" t="s">
        <v>562</v>
      </c>
      <c r="H10075">
        <v>0</v>
      </c>
      <c r="I10075" s="140" t="s">
        <v>14</v>
      </c>
    </row>
    <row r="10076" spans="1:9" hidden="1" x14ac:dyDescent="0.25">
      <c r="A10076">
        <v>2003</v>
      </c>
      <c r="B10076" s="140" t="s">
        <v>306</v>
      </c>
      <c r="C10076" s="140" t="s">
        <v>132</v>
      </c>
      <c r="D10076" s="140" t="s">
        <v>11</v>
      </c>
      <c r="E10076" s="140" t="s">
        <v>12</v>
      </c>
      <c r="F10076">
        <v>-1.1792267919999999</v>
      </c>
      <c r="G10076" s="140" t="s">
        <v>562</v>
      </c>
      <c r="H10076">
        <v>0</v>
      </c>
      <c r="I10076" s="140" t="s">
        <v>14</v>
      </c>
    </row>
    <row r="10077" spans="1:9" hidden="1" x14ac:dyDescent="0.25">
      <c r="A10077">
        <v>2004</v>
      </c>
      <c r="B10077" s="140" t="s">
        <v>306</v>
      </c>
      <c r="C10077" s="140" t="s">
        <v>132</v>
      </c>
      <c r="D10077" s="140" t="s">
        <v>11</v>
      </c>
      <c r="E10077" s="140" t="s">
        <v>12</v>
      </c>
      <c r="F10077">
        <v>-0.14793936699999999</v>
      </c>
      <c r="G10077" s="140" t="s">
        <v>562</v>
      </c>
      <c r="H10077">
        <v>0</v>
      </c>
      <c r="I10077" s="140" t="s">
        <v>14</v>
      </c>
    </row>
    <row r="10078" spans="1:9" hidden="1" x14ac:dyDescent="0.25">
      <c r="A10078">
        <v>2005</v>
      </c>
      <c r="B10078" s="140" t="s">
        <v>306</v>
      </c>
      <c r="C10078" s="140" t="s">
        <v>132</v>
      </c>
      <c r="D10078" s="140" t="s">
        <v>11</v>
      </c>
      <c r="E10078" s="140" t="s">
        <v>12</v>
      </c>
      <c r="F10078">
        <v>1.1533824999999999E-2</v>
      </c>
      <c r="G10078" s="140" t="s">
        <v>562</v>
      </c>
      <c r="H10078">
        <v>0</v>
      </c>
      <c r="I10078" s="140" t="s">
        <v>14</v>
      </c>
    </row>
    <row r="10079" spans="1:9" hidden="1" x14ac:dyDescent="0.25">
      <c r="A10079">
        <v>2006</v>
      </c>
      <c r="B10079" s="140" t="s">
        <v>306</v>
      </c>
      <c r="C10079" s="140" t="s">
        <v>132</v>
      </c>
      <c r="D10079" s="140" t="s">
        <v>11</v>
      </c>
      <c r="E10079" s="140" t="s">
        <v>12</v>
      </c>
      <c r="F10079">
        <v>1.6494714180000001</v>
      </c>
      <c r="G10079" s="140" t="s">
        <v>562</v>
      </c>
      <c r="H10079">
        <v>0</v>
      </c>
      <c r="I10079" s="140" t="s">
        <v>14</v>
      </c>
    </row>
    <row r="10080" spans="1:9" hidden="1" x14ac:dyDescent="0.25">
      <c r="A10080">
        <v>2007</v>
      </c>
      <c r="B10080" s="140" t="s">
        <v>306</v>
      </c>
      <c r="C10080" s="140" t="s">
        <v>132</v>
      </c>
      <c r="D10080" s="140" t="s">
        <v>11</v>
      </c>
      <c r="E10080" s="140" t="s">
        <v>12</v>
      </c>
      <c r="F10080">
        <v>4.7334347049999996</v>
      </c>
      <c r="G10080" s="140" t="s">
        <v>562</v>
      </c>
      <c r="H10080">
        <v>0</v>
      </c>
      <c r="I10080" s="140" t="s">
        <v>14</v>
      </c>
    </row>
    <row r="10081" spans="1:9" hidden="1" x14ac:dyDescent="0.25">
      <c r="A10081">
        <v>2008</v>
      </c>
      <c r="B10081" s="140" t="s">
        <v>306</v>
      </c>
      <c r="C10081" s="140" t="s">
        <v>132</v>
      </c>
      <c r="D10081" s="140" t="s">
        <v>11</v>
      </c>
      <c r="E10081" s="140" t="s">
        <v>12</v>
      </c>
      <c r="F10081">
        <v>3.965891048</v>
      </c>
      <c r="G10081" s="140" t="s">
        <v>562</v>
      </c>
      <c r="H10081">
        <v>0</v>
      </c>
      <c r="I10081" s="140" t="s">
        <v>14</v>
      </c>
    </row>
    <row r="10082" spans="1:9" hidden="1" x14ac:dyDescent="0.25">
      <c r="A10082">
        <v>2009</v>
      </c>
      <c r="B10082" s="140" t="s">
        <v>306</v>
      </c>
      <c r="C10082" s="140" t="s">
        <v>132</v>
      </c>
      <c r="D10082" s="140" t="s">
        <v>11</v>
      </c>
      <c r="E10082" s="140" t="s">
        <v>12</v>
      </c>
      <c r="F10082">
        <v>-4.6764213229999996</v>
      </c>
      <c r="G10082" s="140" t="s">
        <v>562</v>
      </c>
      <c r="H10082">
        <v>0</v>
      </c>
      <c r="I10082" s="140" t="s">
        <v>14</v>
      </c>
    </row>
    <row r="10083" spans="1:9" hidden="1" x14ac:dyDescent="0.25">
      <c r="A10083">
        <v>2010</v>
      </c>
      <c r="B10083" s="140" t="s">
        <v>306</v>
      </c>
      <c r="C10083" s="140" t="s">
        <v>132</v>
      </c>
      <c r="D10083" s="140" t="s">
        <v>11</v>
      </c>
      <c r="E10083" s="140" t="s">
        <v>12</v>
      </c>
      <c r="F10083">
        <v>-1.9542098459999999</v>
      </c>
      <c r="G10083" s="140" t="s">
        <v>562</v>
      </c>
      <c r="H10083">
        <v>0</v>
      </c>
      <c r="I10083" s="140" t="s">
        <v>14</v>
      </c>
    </row>
    <row r="10084" spans="1:9" hidden="1" x14ac:dyDescent="0.25">
      <c r="A10084">
        <v>2011</v>
      </c>
      <c r="B10084" s="140" t="s">
        <v>306</v>
      </c>
      <c r="C10084" s="140" t="s">
        <v>132</v>
      </c>
      <c r="D10084" s="140" t="s">
        <v>11</v>
      </c>
      <c r="E10084" s="140" t="s">
        <v>12</v>
      </c>
      <c r="F10084">
        <v>8.9875923999999996E-2</v>
      </c>
      <c r="G10084" s="140" t="s">
        <v>562</v>
      </c>
      <c r="H10084">
        <v>0</v>
      </c>
      <c r="I10084" s="140" t="s">
        <v>14</v>
      </c>
    </row>
    <row r="10085" spans="1:9" hidden="1" x14ac:dyDescent="0.25">
      <c r="A10085">
        <v>2012</v>
      </c>
      <c r="B10085" s="140" t="s">
        <v>306</v>
      </c>
      <c r="C10085" s="140" t="s">
        <v>132</v>
      </c>
      <c r="D10085" s="140" t="s">
        <v>11</v>
      </c>
      <c r="E10085" s="140" t="s">
        <v>12</v>
      </c>
      <c r="F10085">
        <v>-1.551695469</v>
      </c>
      <c r="G10085" s="140" t="s">
        <v>562</v>
      </c>
      <c r="H10085">
        <v>0</v>
      </c>
      <c r="I10085" s="140" t="s">
        <v>14</v>
      </c>
    </row>
    <row r="10086" spans="1:9" hidden="1" x14ac:dyDescent="0.25">
      <c r="A10086">
        <v>2013</v>
      </c>
      <c r="B10086" s="140" t="s">
        <v>306</v>
      </c>
      <c r="C10086" s="140" t="s">
        <v>132</v>
      </c>
      <c r="D10086" s="140" t="s">
        <v>11</v>
      </c>
      <c r="E10086" s="140" t="s">
        <v>12</v>
      </c>
      <c r="F10086">
        <v>-2.5748506020000002</v>
      </c>
      <c r="G10086" s="140" t="s">
        <v>562</v>
      </c>
      <c r="H10086">
        <v>0</v>
      </c>
      <c r="I10086" s="140" t="s">
        <v>14</v>
      </c>
    </row>
    <row r="10087" spans="1:9" hidden="1" x14ac:dyDescent="0.25">
      <c r="A10087">
        <v>2014</v>
      </c>
      <c r="B10087" s="140" t="s">
        <v>306</v>
      </c>
      <c r="C10087" s="140" t="s">
        <v>132</v>
      </c>
      <c r="D10087" s="140" t="s">
        <v>11</v>
      </c>
      <c r="E10087" s="140" t="s">
        <v>12</v>
      </c>
      <c r="F10087">
        <v>-3.197086917</v>
      </c>
      <c r="G10087" s="140" t="s">
        <v>562</v>
      </c>
      <c r="H10087">
        <v>0</v>
      </c>
      <c r="I10087" s="140" t="s">
        <v>14</v>
      </c>
    </row>
    <row r="10088" spans="1:9" hidden="1" x14ac:dyDescent="0.25">
      <c r="A10088">
        <v>2015</v>
      </c>
      <c r="B10088" s="140" t="s">
        <v>306</v>
      </c>
      <c r="C10088" s="140" t="s">
        <v>132</v>
      </c>
      <c r="D10088" s="140" t="s">
        <v>11</v>
      </c>
      <c r="E10088" s="140" t="s">
        <v>12</v>
      </c>
      <c r="F10088">
        <v>-3.0294800350000002</v>
      </c>
      <c r="G10088" s="140" t="s">
        <v>562</v>
      </c>
      <c r="H10088">
        <v>0</v>
      </c>
      <c r="I10088" s="140" t="s">
        <v>14</v>
      </c>
    </row>
    <row r="10089" spans="1:9" hidden="1" x14ac:dyDescent="0.25">
      <c r="A10089">
        <v>2016</v>
      </c>
      <c r="B10089" s="140" t="s">
        <v>306</v>
      </c>
      <c r="C10089" s="140" t="s">
        <v>132</v>
      </c>
      <c r="D10089" s="140" t="s">
        <v>11</v>
      </c>
      <c r="E10089" s="140" t="s">
        <v>12</v>
      </c>
      <c r="F10089">
        <v>-1.40195695</v>
      </c>
      <c r="G10089" s="140" t="s">
        <v>562</v>
      </c>
      <c r="H10089">
        <v>0</v>
      </c>
      <c r="I10089" s="140" t="s">
        <v>14</v>
      </c>
    </row>
    <row r="10090" spans="1:9" hidden="1" x14ac:dyDescent="0.25">
      <c r="A10090">
        <v>2017</v>
      </c>
      <c r="B10090" s="140" t="s">
        <v>306</v>
      </c>
      <c r="C10090" s="140" t="s">
        <v>132</v>
      </c>
      <c r="D10090" s="140" t="s">
        <v>11</v>
      </c>
      <c r="E10090" s="140" t="s">
        <v>12</v>
      </c>
      <c r="F10090">
        <v>0.81246827200000005</v>
      </c>
      <c r="G10090" s="140" t="s">
        <v>562</v>
      </c>
      <c r="H10090">
        <v>0</v>
      </c>
      <c r="I10090" s="140" t="s">
        <v>14</v>
      </c>
    </row>
    <row r="10091" spans="1:9" hidden="1" x14ac:dyDescent="0.25">
      <c r="A10091">
        <v>2018</v>
      </c>
      <c r="B10091" s="140" t="s">
        <v>306</v>
      </c>
      <c r="C10091" s="140" t="s">
        <v>132</v>
      </c>
      <c r="D10091" s="140" t="s">
        <v>11</v>
      </c>
      <c r="E10091" s="140" t="s">
        <v>12</v>
      </c>
      <c r="F10091">
        <v>0.76151473199999997</v>
      </c>
      <c r="G10091" s="140" t="s">
        <v>562</v>
      </c>
      <c r="H10091">
        <v>0</v>
      </c>
      <c r="I10091" s="140" t="s">
        <v>14</v>
      </c>
    </row>
    <row r="10092" spans="1:9" hidden="1" x14ac:dyDescent="0.25">
      <c r="A10092">
        <v>2019</v>
      </c>
      <c r="B10092" s="140" t="s">
        <v>306</v>
      </c>
      <c r="C10092" s="140" t="s">
        <v>132</v>
      </c>
      <c r="D10092" s="140" t="s">
        <v>11</v>
      </c>
      <c r="E10092" s="140" t="s">
        <v>12</v>
      </c>
      <c r="F10092">
        <v>1.054199154</v>
      </c>
      <c r="G10092" s="140" t="s">
        <v>562</v>
      </c>
      <c r="H10092">
        <v>0</v>
      </c>
      <c r="I10092" s="140" t="s">
        <v>14</v>
      </c>
    </row>
    <row r="10093" spans="1:9" hidden="1" x14ac:dyDescent="0.25">
      <c r="A10093">
        <v>2020</v>
      </c>
      <c r="B10093" s="140" t="s">
        <v>306</v>
      </c>
      <c r="C10093" s="140" t="s">
        <v>132</v>
      </c>
      <c r="D10093" s="140" t="s">
        <v>11</v>
      </c>
      <c r="E10093" s="140" t="s">
        <v>12</v>
      </c>
      <c r="F10093">
        <v>-2.2764967669999998</v>
      </c>
      <c r="G10093" s="140" t="s">
        <v>562</v>
      </c>
      <c r="H10093">
        <v>0</v>
      </c>
      <c r="I10093" s="140" t="s">
        <v>14</v>
      </c>
    </row>
    <row r="10094" spans="1:9" hidden="1" x14ac:dyDescent="0.25">
      <c r="A10094">
        <v>2021</v>
      </c>
      <c r="B10094" s="140" t="s">
        <v>306</v>
      </c>
      <c r="C10094" s="140" t="s">
        <v>132</v>
      </c>
      <c r="D10094" s="140" t="s">
        <v>11</v>
      </c>
      <c r="E10094" s="140" t="s">
        <v>12</v>
      </c>
      <c r="F10094">
        <v>-0.36131950699999998</v>
      </c>
      <c r="G10094" s="140" t="s">
        <v>562</v>
      </c>
      <c r="H10094">
        <v>0</v>
      </c>
      <c r="I10094" s="140" t="s">
        <v>14</v>
      </c>
    </row>
    <row r="10095" spans="1:9" hidden="1" x14ac:dyDescent="0.25">
      <c r="A10095">
        <v>2022</v>
      </c>
      <c r="B10095" s="140" t="s">
        <v>306</v>
      </c>
      <c r="C10095" s="140" t="s">
        <v>132</v>
      </c>
      <c r="D10095" s="140" t="s">
        <v>11</v>
      </c>
      <c r="E10095" s="140" t="s">
        <v>12</v>
      </c>
      <c r="F10095">
        <v>-0.51512488599999995</v>
      </c>
      <c r="G10095" s="140" t="s">
        <v>562</v>
      </c>
      <c r="H10095">
        <v>0</v>
      </c>
      <c r="I10095" s="140" t="s">
        <v>14</v>
      </c>
    </row>
    <row r="10096" spans="1:9" hidden="1" x14ac:dyDescent="0.25">
      <c r="A10096">
        <v>2023</v>
      </c>
      <c r="B10096" s="140" t="s">
        <v>306</v>
      </c>
      <c r="C10096" s="140" t="s">
        <v>132</v>
      </c>
      <c r="D10096" s="140" t="s">
        <v>11</v>
      </c>
      <c r="E10096" s="140" t="s">
        <v>12</v>
      </c>
      <c r="F10096">
        <v>-2.5675488209999999</v>
      </c>
      <c r="G10096" s="140" t="s">
        <v>562</v>
      </c>
      <c r="H10096">
        <v>0</v>
      </c>
      <c r="I10096" s="140" t="s">
        <v>14</v>
      </c>
    </row>
    <row r="10097" spans="1:9" hidden="1" x14ac:dyDescent="0.25">
      <c r="A10097">
        <v>2024</v>
      </c>
      <c r="B10097" s="140" t="s">
        <v>306</v>
      </c>
      <c r="C10097" s="140" t="s">
        <v>132</v>
      </c>
      <c r="D10097" s="140" t="s">
        <v>11</v>
      </c>
      <c r="E10097" s="140" t="s">
        <v>12</v>
      </c>
      <c r="F10097">
        <v>-2.520776321</v>
      </c>
      <c r="G10097" s="140" t="s">
        <v>562</v>
      </c>
      <c r="H10097">
        <v>0</v>
      </c>
      <c r="I10097" s="140" t="s">
        <v>14</v>
      </c>
    </row>
    <row r="10098" spans="1:9" hidden="1" x14ac:dyDescent="0.25">
      <c r="A10098">
        <v>2025</v>
      </c>
      <c r="B10098" s="140" t="s">
        <v>306</v>
      </c>
      <c r="C10098" s="140" t="s">
        <v>132</v>
      </c>
      <c r="D10098" s="140" t="s">
        <v>11</v>
      </c>
      <c r="E10098" s="140" t="s">
        <v>12</v>
      </c>
      <c r="F10098">
        <v>-2.437920858</v>
      </c>
      <c r="G10098" s="140" t="s">
        <v>562</v>
      </c>
      <c r="H10098">
        <v>0</v>
      </c>
      <c r="I10098" s="140" t="s">
        <v>14</v>
      </c>
    </row>
    <row r="10099" spans="1:9" hidden="1" x14ac:dyDescent="0.25">
      <c r="A10099">
        <v>2026</v>
      </c>
      <c r="B10099" s="140" t="s">
        <v>306</v>
      </c>
      <c r="C10099" s="140" t="s">
        <v>132</v>
      </c>
      <c r="D10099" s="140" t="s">
        <v>11</v>
      </c>
      <c r="E10099" s="140" t="s">
        <v>12</v>
      </c>
      <c r="F10099">
        <v>-1.764648486</v>
      </c>
      <c r="G10099" s="140" t="s">
        <v>562</v>
      </c>
      <c r="H10099">
        <v>0</v>
      </c>
      <c r="I10099" s="140" t="s">
        <v>14</v>
      </c>
    </row>
    <row r="10100" spans="1:9" hidden="1" x14ac:dyDescent="0.25">
      <c r="A10100">
        <v>2027</v>
      </c>
      <c r="B10100" s="140" t="s">
        <v>306</v>
      </c>
      <c r="C10100" s="140" t="s">
        <v>132</v>
      </c>
      <c r="D10100" s="140" t="s">
        <v>11</v>
      </c>
      <c r="E10100" s="140" t="s">
        <v>12</v>
      </c>
      <c r="F10100">
        <v>-1.056321906</v>
      </c>
      <c r="G10100" s="140" t="s">
        <v>562</v>
      </c>
      <c r="H10100">
        <v>0</v>
      </c>
      <c r="I10100" s="140" t="s">
        <v>14</v>
      </c>
    </row>
    <row r="10101" spans="1:9" hidden="1" x14ac:dyDescent="0.25">
      <c r="A10101">
        <v>2028</v>
      </c>
      <c r="B10101" s="140" t="s">
        <v>306</v>
      </c>
      <c r="C10101" s="140" t="s">
        <v>132</v>
      </c>
      <c r="D10101" s="140" t="s">
        <v>11</v>
      </c>
      <c r="E10101" s="140" t="s">
        <v>12</v>
      </c>
      <c r="F10101">
        <v>-0.67958343600000004</v>
      </c>
      <c r="G10101" s="140" t="s">
        <v>562</v>
      </c>
      <c r="H10101">
        <v>0</v>
      </c>
      <c r="I10101" s="140" t="s">
        <v>14</v>
      </c>
    </row>
    <row r="10102" spans="1:9" hidden="1" x14ac:dyDescent="0.25">
      <c r="A10102">
        <v>2029</v>
      </c>
      <c r="B10102" s="140" t="s">
        <v>306</v>
      </c>
      <c r="C10102" s="140" t="s">
        <v>132</v>
      </c>
      <c r="D10102" s="140" t="s">
        <v>11</v>
      </c>
      <c r="E10102" s="140" t="s">
        <v>12</v>
      </c>
      <c r="F10102">
        <v>-0.26996690499999998</v>
      </c>
      <c r="G10102" s="140" t="s">
        <v>562</v>
      </c>
      <c r="H10102">
        <v>0</v>
      </c>
      <c r="I10102" s="140" t="s">
        <v>14</v>
      </c>
    </row>
    <row r="10103" spans="1:9" hidden="1" x14ac:dyDescent="0.25">
      <c r="A10103">
        <v>2030</v>
      </c>
      <c r="B10103" s="140" t="s">
        <v>306</v>
      </c>
      <c r="C10103" s="140" t="s">
        <v>132</v>
      </c>
      <c r="D10103" s="140" t="s">
        <v>11</v>
      </c>
      <c r="E10103" s="140" t="s">
        <v>12</v>
      </c>
      <c r="F10103">
        <v>-2.6787228E-2</v>
      </c>
      <c r="G10103" s="140" t="s">
        <v>562</v>
      </c>
      <c r="H10103">
        <v>0</v>
      </c>
      <c r="I10103" s="140" t="s">
        <v>14</v>
      </c>
    </row>
    <row r="10104" spans="1:9" hidden="1" x14ac:dyDescent="0.25">
      <c r="A10104">
        <v>1990</v>
      </c>
      <c r="B10104" s="140" t="s">
        <v>307</v>
      </c>
      <c r="C10104" s="140" t="s">
        <v>132</v>
      </c>
      <c r="D10104" s="140" t="s">
        <v>11</v>
      </c>
      <c r="E10104" s="140" t="s">
        <v>12</v>
      </c>
      <c r="F10104">
        <v>6.6837160000000004</v>
      </c>
      <c r="G10104" s="140" t="s">
        <v>307</v>
      </c>
      <c r="H10104">
        <v>0</v>
      </c>
      <c r="I10104" s="140" t="s">
        <v>14</v>
      </c>
    </row>
    <row r="10105" spans="1:9" hidden="1" x14ac:dyDescent="0.25">
      <c r="A10105">
        <v>1991</v>
      </c>
      <c r="B10105" s="140" t="s">
        <v>307</v>
      </c>
      <c r="C10105" s="140" t="s">
        <v>132</v>
      </c>
      <c r="D10105" s="140" t="s">
        <v>11</v>
      </c>
      <c r="E10105" s="140" t="s">
        <v>12</v>
      </c>
      <c r="F10105">
        <v>8.1929280000000002</v>
      </c>
      <c r="G10105" s="140" t="s">
        <v>307</v>
      </c>
      <c r="H10105">
        <v>0</v>
      </c>
      <c r="I10105" s="140" t="s">
        <v>14</v>
      </c>
    </row>
    <row r="10106" spans="1:9" hidden="1" x14ac:dyDescent="0.25">
      <c r="A10106">
        <v>1992</v>
      </c>
      <c r="B10106" s="140" t="s">
        <v>307</v>
      </c>
      <c r="C10106" s="140" t="s">
        <v>132</v>
      </c>
      <c r="D10106" s="140" t="s">
        <v>11</v>
      </c>
      <c r="E10106" s="140" t="s">
        <v>12</v>
      </c>
      <c r="F10106">
        <v>9.7629990000000006</v>
      </c>
      <c r="G10106" s="140" t="s">
        <v>307</v>
      </c>
      <c r="H10106">
        <v>0</v>
      </c>
      <c r="I10106" s="140" t="s">
        <v>14</v>
      </c>
    </row>
    <row r="10107" spans="1:9" hidden="1" x14ac:dyDescent="0.25">
      <c r="A10107">
        <v>1993</v>
      </c>
      <c r="B10107" s="140" t="s">
        <v>307</v>
      </c>
      <c r="C10107" s="140" t="s">
        <v>132</v>
      </c>
      <c r="D10107" s="140" t="s">
        <v>11</v>
      </c>
      <c r="E10107" s="140" t="s">
        <v>12</v>
      </c>
      <c r="F10107">
        <v>11.247374000000001</v>
      </c>
      <c r="G10107" s="140" t="s">
        <v>307</v>
      </c>
      <c r="H10107">
        <v>0</v>
      </c>
      <c r="I10107" s="140" t="s">
        <v>14</v>
      </c>
    </row>
    <row r="10108" spans="1:9" hidden="1" x14ac:dyDescent="0.25">
      <c r="A10108">
        <v>1994</v>
      </c>
      <c r="B10108" s="140" t="s">
        <v>307</v>
      </c>
      <c r="C10108" s="140" t="s">
        <v>132</v>
      </c>
      <c r="D10108" s="140" t="s">
        <v>11</v>
      </c>
      <c r="E10108" s="140" t="s">
        <v>12</v>
      </c>
      <c r="F10108">
        <v>12.023521000000001</v>
      </c>
      <c r="G10108" s="140" t="s">
        <v>307</v>
      </c>
      <c r="H10108">
        <v>0</v>
      </c>
      <c r="I10108" s="140" t="s">
        <v>14</v>
      </c>
    </row>
    <row r="10109" spans="1:9" hidden="1" x14ac:dyDescent="0.25">
      <c r="A10109">
        <v>1995</v>
      </c>
      <c r="B10109" s="140" t="s">
        <v>307</v>
      </c>
      <c r="C10109" s="140" t="s">
        <v>132</v>
      </c>
      <c r="D10109" s="140" t="s">
        <v>11</v>
      </c>
      <c r="E10109" s="140" t="s">
        <v>12</v>
      </c>
      <c r="F10109">
        <v>12.460708</v>
      </c>
      <c r="G10109" s="140" t="s">
        <v>307</v>
      </c>
      <c r="H10109">
        <v>0</v>
      </c>
      <c r="I10109" s="140" t="s">
        <v>14</v>
      </c>
    </row>
    <row r="10110" spans="1:9" hidden="1" x14ac:dyDescent="0.25">
      <c r="A10110">
        <v>1996</v>
      </c>
      <c r="B10110" s="140" t="s">
        <v>307</v>
      </c>
      <c r="C10110" s="140" t="s">
        <v>132</v>
      </c>
      <c r="D10110" s="140" t="s">
        <v>11</v>
      </c>
      <c r="E10110" s="140" t="s">
        <v>12</v>
      </c>
      <c r="F10110">
        <v>12.482286</v>
      </c>
      <c r="G10110" s="140" t="s">
        <v>307</v>
      </c>
      <c r="H10110">
        <v>0</v>
      </c>
      <c r="I10110" s="140" t="s">
        <v>14</v>
      </c>
    </row>
    <row r="10111" spans="1:9" hidden="1" x14ac:dyDescent="0.25">
      <c r="A10111">
        <v>1997</v>
      </c>
      <c r="B10111" s="140" t="s">
        <v>307</v>
      </c>
      <c r="C10111" s="140" t="s">
        <v>132</v>
      </c>
      <c r="D10111" s="140" t="s">
        <v>11</v>
      </c>
      <c r="E10111" s="140" t="s">
        <v>12</v>
      </c>
      <c r="F10111">
        <v>12.245673</v>
      </c>
      <c r="G10111" s="140" t="s">
        <v>307</v>
      </c>
      <c r="H10111">
        <v>0</v>
      </c>
      <c r="I10111" s="140" t="s">
        <v>14</v>
      </c>
    </row>
    <row r="10112" spans="1:9" hidden="1" x14ac:dyDescent="0.25">
      <c r="A10112">
        <v>1998</v>
      </c>
      <c r="B10112" s="140" t="s">
        <v>307</v>
      </c>
      <c r="C10112" s="140" t="s">
        <v>132</v>
      </c>
      <c r="D10112" s="140" t="s">
        <v>11</v>
      </c>
      <c r="E10112" s="140" t="s">
        <v>12</v>
      </c>
      <c r="F10112">
        <v>11.551026</v>
      </c>
      <c r="G10112" s="140" t="s">
        <v>307</v>
      </c>
      <c r="H10112">
        <v>0</v>
      </c>
      <c r="I10112" s="140" t="s">
        <v>14</v>
      </c>
    </row>
    <row r="10113" spans="1:9" hidden="1" x14ac:dyDescent="0.25">
      <c r="A10113">
        <v>1999</v>
      </c>
      <c r="B10113" s="140" t="s">
        <v>307</v>
      </c>
      <c r="C10113" s="140" t="s">
        <v>132</v>
      </c>
      <c r="D10113" s="140" t="s">
        <v>11</v>
      </c>
      <c r="E10113" s="140" t="s">
        <v>12</v>
      </c>
      <c r="F10113">
        <v>10.74413</v>
      </c>
      <c r="G10113" s="140" t="s">
        <v>307</v>
      </c>
      <c r="H10113">
        <v>0</v>
      </c>
      <c r="I10113" s="140" t="s">
        <v>14</v>
      </c>
    </row>
    <row r="10114" spans="1:9" hidden="1" x14ac:dyDescent="0.25">
      <c r="A10114">
        <v>2000</v>
      </c>
      <c r="B10114" s="140" t="s">
        <v>307</v>
      </c>
      <c r="C10114" s="140" t="s">
        <v>132</v>
      </c>
      <c r="D10114" s="140" t="s">
        <v>11</v>
      </c>
      <c r="E10114" s="140" t="s">
        <v>12</v>
      </c>
      <c r="F10114">
        <v>9.9519149999999996</v>
      </c>
      <c r="G10114" s="140" t="s">
        <v>307</v>
      </c>
      <c r="H10114">
        <v>0</v>
      </c>
      <c r="I10114" s="140" t="s">
        <v>14</v>
      </c>
    </row>
    <row r="10115" spans="1:9" hidden="1" x14ac:dyDescent="0.25">
      <c r="A10115">
        <v>2001</v>
      </c>
      <c r="B10115" s="140" t="s">
        <v>307</v>
      </c>
      <c r="C10115" s="140" t="s">
        <v>132</v>
      </c>
      <c r="D10115" s="140" t="s">
        <v>11</v>
      </c>
      <c r="E10115" s="140" t="s">
        <v>12</v>
      </c>
      <c r="F10115">
        <v>9.1281180000000006</v>
      </c>
      <c r="G10115" s="140" t="s">
        <v>307</v>
      </c>
      <c r="H10115">
        <v>0</v>
      </c>
      <c r="I10115" s="140" t="s">
        <v>14</v>
      </c>
    </row>
    <row r="10116" spans="1:9" hidden="1" x14ac:dyDescent="0.25">
      <c r="A10116">
        <v>2002</v>
      </c>
      <c r="B10116" s="140" t="s">
        <v>307</v>
      </c>
      <c r="C10116" s="140" t="s">
        <v>132</v>
      </c>
      <c r="D10116" s="140" t="s">
        <v>11</v>
      </c>
      <c r="E10116" s="140" t="s">
        <v>12</v>
      </c>
      <c r="F10116">
        <v>8.5043810000000004</v>
      </c>
      <c r="G10116" s="140" t="s">
        <v>307</v>
      </c>
      <c r="H10116">
        <v>0</v>
      </c>
      <c r="I10116" s="140" t="s">
        <v>14</v>
      </c>
    </row>
    <row r="10117" spans="1:9" hidden="1" x14ac:dyDescent="0.25">
      <c r="A10117">
        <v>2003</v>
      </c>
      <c r="B10117" s="140" t="s">
        <v>307</v>
      </c>
      <c r="C10117" s="140" t="s">
        <v>132</v>
      </c>
      <c r="D10117" s="140" t="s">
        <v>11</v>
      </c>
      <c r="E10117" s="140" t="s">
        <v>12</v>
      </c>
      <c r="F10117">
        <v>7.9745569999999999</v>
      </c>
      <c r="G10117" s="140" t="s">
        <v>307</v>
      </c>
      <c r="H10117">
        <v>0</v>
      </c>
      <c r="I10117" s="140" t="s">
        <v>14</v>
      </c>
    </row>
    <row r="10118" spans="1:9" hidden="1" x14ac:dyDescent="0.25">
      <c r="A10118">
        <v>2004</v>
      </c>
      <c r="B10118" s="140" t="s">
        <v>307</v>
      </c>
      <c r="C10118" s="140" t="s">
        <v>132</v>
      </c>
      <c r="D10118" s="140" t="s">
        <v>11</v>
      </c>
      <c r="E10118" s="140" t="s">
        <v>12</v>
      </c>
      <c r="F10118">
        <v>7.5834159999999997</v>
      </c>
      <c r="G10118" s="140" t="s">
        <v>307</v>
      </c>
      <c r="H10118">
        <v>0</v>
      </c>
      <c r="I10118" s="140" t="s">
        <v>14</v>
      </c>
    </row>
    <row r="10119" spans="1:9" hidden="1" x14ac:dyDescent="0.25">
      <c r="A10119">
        <v>2005</v>
      </c>
      <c r="B10119" s="140" t="s">
        <v>307</v>
      </c>
      <c r="C10119" s="140" t="s">
        <v>132</v>
      </c>
      <c r="D10119" s="140" t="s">
        <v>11</v>
      </c>
      <c r="E10119" s="140" t="s">
        <v>12</v>
      </c>
      <c r="F10119">
        <v>7.3166549999999999</v>
      </c>
      <c r="G10119" s="140" t="s">
        <v>307</v>
      </c>
      <c r="H10119">
        <v>0</v>
      </c>
      <c r="I10119" s="140" t="s">
        <v>14</v>
      </c>
    </row>
    <row r="10120" spans="1:9" hidden="1" x14ac:dyDescent="0.25">
      <c r="A10120">
        <v>2006</v>
      </c>
      <c r="B10120" s="140" t="s">
        <v>307</v>
      </c>
      <c r="C10120" s="140" t="s">
        <v>132</v>
      </c>
      <c r="D10120" s="140" t="s">
        <v>11</v>
      </c>
      <c r="E10120" s="140" t="s">
        <v>12</v>
      </c>
      <c r="F10120">
        <v>7.1108909999999996</v>
      </c>
      <c r="G10120" s="140" t="s">
        <v>307</v>
      </c>
      <c r="H10120">
        <v>0</v>
      </c>
      <c r="I10120" s="140" t="s">
        <v>14</v>
      </c>
    </row>
    <row r="10121" spans="1:9" hidden="1" x14ac:dyDescent="0.25">
      <c r="A10121">
        <v>2007</v>
      </c>
      <c r="B10121" s="140" t="s">
        <v>307</v>
      </c>
      <c r="C10121" s="140" t="s">
        <v>132</v>
      </c>
      <c r="D10121" s="140" t="s">
        <v>11</v>
      </c>
      <c r="E10121" s="140" t="s">
        <v>12</v>
      </c>
      <c r="F10121">
        <v>6.9947720000000002</v>
      </c>
      <c r="G10121" s="140" t="s">
        <v>307</v>
      </c>
      <c r="H10121">
        <v>0</v>
      </c>
      <c r="I10121" s="140" t="s">
        <v>14</v>
      </c>
    </row>
    <row r="10122" spans="1:9" hidden="1" x14ac:dyDescent="0.25">
      <c r="A10122">
        <v>2008</v>
      </c>
      <c r="B10122" s="140" t="s">
        <v>307</v>
      </c>
      <c r="C10122" s="140" t="s">
        <v>132</v>
      </c>
      <c r="D10122" s="140" t="s">
        <v>11</v>
      </c>
      <c r="E10122" s="140" t="s">
        <v>12</v>
      </c>
      <c r="F10122">
        <v>7.0261959999999997</v>
      </c>
      <c r="G10122" s="140" t="s">
        <v>307</v>
      </c>
      <c r="H10122">
        <v>0</v>
      </c>
      <c r="I10122" s="140" t="s">
        <v>14</v>
      </c>
    </row>
    <row r="10123" spans="1:9" hidden="1" x14ac:dyDescent="0.25">
      <c r="A10123">
        <v>2009</v>
      </c>
      <c r="B10123" s="140" t="s">
        <v>307</v>
      </c>
      <c r="C10123" s="140" t="s">
        <v>132</v>
      </c>
      <c r="D10123" s="140" t="s">
        <v>11</v>
      </c>
      <c r="E10123" s="140" t="s">
        <v>12</v>
      </c>
      <c r="F10123">
        <v>7.4925680000000003</v>
      </c>
      <c r="G10123" s="140" t="s">
        <v>307</v>
      </c>
      <c r="H10123">
        <v>0</v>
      </c>
      <c r="I10123" s="140" t="s">
        <v>14</v>
      </c>
    </row>
    <row r="10124" spans="1:9" hidden="1" x14ac:dyDescent="0.25">
      <c r="A10124">
        <v>2010</v>
      </c>
      <c r="B10124" s="140" t="s">
        <v>307</v>
      </c>
      <c r="C10124" s="140" t="s">
        <v>132</v>
      </c>
      <c r="D10124" s="140" t="s">
        <v>11</v>
      </c>
      <c r="E10124" s="140" t="s">
        <v>12</v>
      </c>
      <c r="F10124">
        <v>7.5734579999999996</v>
      </c>
      <c r="G10124" s="140" t="s">
        <v>307</v>
      </c>
      <c r="H10124">
        <v>0</v>
      </c>
      <c r="I10124" s="140" t="s">
        <v>14</v>
      </c>
    </row>
    <row r="10125" spans="1:9" hidden="1" x14ac:dyDescent="0.25">
      <c r="A10125">
        <v>2011</v>
      </c>
      <c r="B10125" s="140" t="s">
        <v>307</v>
      </c>
      <c r="C10125" s="140" t="s">
        <v>132</v>
      </c>
      <c r="D10125" s="140" t="s">
        <v>11</v>
      </c>
      <c r="E10125" s="140" t="s">
        <v>12</v>
      </c>
      <c r="F10125">
        <v>7.5526970000000002</v>
      </c>
      <c r="G10125" s="140" t="s">
        <v>307</v>
      </c>
      <c r="H10125">
        <v>0</v>
      </c>
      <c r="I10125" s="140" t="s">
        <v>14</v>
      </c>
    </row>
    <row r="10126" spans="1:9" hidden="1" x14ac:dyDescent="0.25">
      <c r="A10126">
        <v>2012</v>
      </c>
      <c r="B10126" s="140" t="s">
        <v>307</v>
      </c>
      <c r="C10126" s="140" t="s">
        <v>132</v>
      </c>
      <c r="D10126" s="140" t="s">
        <v>11</v>
      </c>
      <c r="E10126" s="140" t="s">
        <v>12</v>
      </c>
      <c r="F10126">
        <v>7.630363</v>
      </c>
      <c r="G10126" s="140" t="s">
        <v>307</v>
      </c>
      <c r="H10126">
        <v>0</v>
      </c>
      <c r="I10126" s="140" t="s">
        <v>14</v>
      </c>
    </row>
    <row r="10127" spans="1:9" hidden="1" x14ac:dyDescent="0.25">
      <c r="A10127">
        <v>2013</v>
      </c>
      <c r="B10127" s="140" t="s">
        <v>307</v>
      </c>
      <c r="C10127" s="140" t="s">
        <v>132</v>
      </c>
      <c r="D10127" s="140" t="s">
        <v>11</v>
      </c>
      <c r="E10127" s="140" t="s">
        <v>12</v>
      </c>
      <c r="F10127">
        <v>7.6907949999999996</v>
      </c>
      <c r="G10127" s="140" t="s">
        <v>307</v>
      </c>
      <c r="H10127">
        <v>0</v>
      </c>
      <c r="I10127" s="140" t="s">
        <v>14</v>
      </c>
    </row>
    <row r="10128" spans="1:9" hidden="1" x14ac:dyDescent="0.25">
      <c r="A10128">
        <v>2014</v>
      </c>
      <c r="B10128" s="140" t="s">
        <v>307</v>
      </c>
      <c r="C10128" s="140" t="s">
        <v>132</v>
      </c>
      <c r="D10128" s="140" t="s">
        <v>11</v>
      </c>
      <c r="E10128" s="140" t="s">
        <v>12</v>
      </c>
      <c r="F10128">
        <v>7.6759079999999997</v>
      </c>
      <c r="G10128" s="140" t="s">
        <v>307</v>
      </c>
      <c r="H10128">
        <v>0</v>
      </c>
      <c r="I10128" s="140" t="s">
        <v>14</v>
      </c>
    </row>
    <row r="10129" spans="1:9" hidden="1" x14ac:dyDescent="0.25">
      <c r="A10129">
        <v>2015</v>
      </c>
      <c r="B10129" s="140" t="s">
        <v>307</v>
      </c>
      <c r="C10129" s="140" t="s">
        <v>132</v>
      </c>
      <c r="D10129" s="140" t="s">
        <v>11</v>
      </c>
      <c r="E10129" s="140" t="s">
        <v>12</v>
      </c>
      <c r="F10129">
        <v>7.6736370000000003</v>
      </c>
      <c r="G10129" s="140" t="s">
        <v>307</v>
      </c>
      <c r="H10129">
        <v>0</v>
      </c>
      <c r="I10129" s="140" t="s">
        <v>14</v>
      </c>
    </row>
    <row r="10130" spans="1:9" hidden="1" x14ac:dyDescent="0.25">
      <c r="A10130">
        <v>2016</v>
      </c>
      <c r="B10130" s="140" t="s">
        <v>307</v>
      </c>
      <c r="C10130" s="140" t="s">
        <v>132</v>
      </c>
      <c r="D10130" s="140" t="s">
        <v>11</v>
      </c>
      <c r="E10130" s="140" t="s">
        <v>12</v>
      </c>
      <c r="F10130">
        <v>7.4062900000000003</v>
      </c>
      <c r="G10130" s="140" t="s">
        <v>307</v>
      </c>
      <c r="H10130">
        <v>0</v>
      </c>
      <c r="I10130" s="140" t="s">
        <v>14</v>
      </c>
    </row>
    <row r="10131" spans="1:9" hidden="1" x14ac:dyDescent="0.25">
      <c r="A10131">
        <v>2017</v>
      </c>
      <c r="B10131" s="140" t="s">
        <v>307</v>
      </c>
      <c r="C10131" s="140" t="s">
        <v>132</v>
      </c>
      <c r="D10131" s="140" t="s">
        <v>11</v>
      </c>
      <c r="E10131" s="140" t="s">
        <v>12</v>
      </c>
      <c r="F10131">
        <v>7.231414</v>
      </c>
      <c r="G10131" s="140" t="s">
        <v>307</v>
      </c>
      <c r="H10131">
        <v>0</v>
      </c>
      <c r="I10131" s="140" t="s">
        <v>14</v>
      </c>
    </row>
    <row r="10132" spans="1:9" hidden="1" x14ac:dyDescent="0.25">
      <c r="A10132">
        <v>2018</v>
      </c>
      <c r="B10132" s="140" t="s">
        <v>307</v>
      </c>
      <c r="C10132" s="140" t="s">
        <v>132</v>
      </c>
      <c r="D10132" s="140" t="s">
        <v>11</v>
      </c>
      <c r="E10132" s="140" t="s">
        <v>12</v>
      </c>
      <c r="F10132">
        <v>7.0006940000000002</v>
      </c>
      <c r="G10132" s="140" t="s">
        <v>307</v>
      </c>
      <c r="H10132">
        <v>0</v>
      </c>
      <c r="I10132" s="140" t="s">
        <v>14</v>
      </c>
    </row>
    <row r="10133" spans="1:9" hidden="1" x14ac:dyDescent="0.25">
      <c r="A10133">
        <v>2019</v>
      </c>
      <c r="B10133" s="140" t="s">
        <v>307</v>
      </c>
      <c r="C10133" s="140" t="s">
        <v>132</v>
      </c>
      <c r="D10133" s="140" t="s">
        <v>11</v>
      </c>
      <c r="E10133" s="140" t="s">
        <v>12</v>
      </c>
      <c r="F10133">
        <v>6.8838439999999999</v>
      </c>
      <c r="G10133" s="140" t="s">
        <v>307</v>
      </c>
      <c r="H10133">
        <v>0</v>
      </c>
      <c r="I10133" s="140" t="s">
        <v>14</v>
      </c>
    </row>
    <row r="10134" spans="1:9" hidden="1" x14ac:dyDescent="0.25">
      <c r="A10134">
        <v>2020</v>
      </c>
      <c r="B10134" s="140" t="s">
        <v>307</v>
      </c>
      <c r="C10134" s="140" t="s">
        <v>132</v>
      </c>
      <c r="D10134" s="140" t="s">
        <v>11</v>
      </c>
      <c r="E10134" s="140" t="s">
        <v>12</v>
      </c>
      <c r="F10134">
        <v>7.0853809999999999</v>
      </c>
      <c r="G10134" s="140" t="s">
        <v>307</v>
      </c>
      <c r="H10134">
        <v>0</v>
      </c>
      <c r="I10134" s="140" t="s">
        <v>14</v>
      </c>
    </row>
    <row r="10135" spans="1:9" hidden="1" x14ac:dyDescent="0.25">
      <c r="A10135">
        <v>2021</v>
      </c>
      <c r="B10135" s="140" t="s">
        <v>307</v>
      </c>
      <c r="C10135" s="140" t="s">
        <v>132</v>
      </c>
      <c r="D10135" s="140" t="s">
        <v>11</v>
      </c>
      <c r="E10135" s="140" t="s">
        <v>12</v>
      </c>
      <c r="F10135">
        <v>7.1950099999999999</v>
      </c>
      <c r="G10135" s="140" t="s">
        <v>307</v>
      </c>
      <c r="H10135">
        <v>0</v>
      </c>
      <c r="I10135" s="140" t="s">
        <v>14</v>
      </c>
    </row>
    <row r="10136" spans="1:9" hidden="1" x14ac:dyDescent="0.25">
      <c r="A10136">
        <v>2022</v>
      </c>
      <c r="B10136" s="140" t="s">
        <v>307</v>
      </c>
      <c r="C10136" s="140" t="s">
        <v>132</v>
      </c>
      <c r="D10136" s="140" t="s">
        <v>11</v>
      </c>
      <c r="E10136" s="140" t="s">
        <v>12</v>
      </c>
      <c r="F10136">
        <v>7.1709889999999996</v>
      </c>
      <c r="G10136" s="140" t="s">
        <v>307</v>
      </c>
      <c r="H10136">
        <v>0</v>
      </c>
      <c r="I10136" s="140" t="s">
        <v>14</v>
      </c>
    </row>
    <row r="10137" spans="1:9" hidden="1" x14ac:dyDescent="0.25">
      <c r="A10137">
        <v>2023</v>
      </c>
      <c r="B10137" s="140" t="s">
        <v>307</v>
      </c>
      <c r="C10137" s="140" t="s">
        <v>132</v>
      </c>
      <c r="D10137" s="140" t="s">
        <v>11</v>
      </c>
      <c r="E10137" s="140" t="s">
        <v>12</v>
      </c>
      <c r="F10137">
        <v>7.4507820000000002</v>
      </c>
      <c r="G10137" s="140" t="s">
        <v>307</v>
      </c>
      <c r="H10137">
        <v>0</v>
      </c>
      <c r="I10137" s="140" t="s">
        <v>14</v>
      </c>
    </row>
    <row r="10138" spans="1:9" hidden="1" x14ac:dyDescent="0.25">
      <c r="A10138">
        <v>2024</v>
      </c>
      <c r="B10138" s="140" t="s">
        <v>307</v>
      </c>
      <c r="C10138" s="140" t="s">
        <v>132</v>
      </c>
      <c r="D10138" s="140" t="s">
        <v>11</v>
      </c>
      <c r="E10138" s="140" t="s">
        <v>12</v>
      </c>
      <c r="F10138">
        <v>7.8192320000000004</v>
      </c>
      <c r="G10138" s="140" t="s">
        <v>307</v>
      </c>
      <c r="H10138">
        <v>0</v>
      </c>
      <c r="I10138" s="140" t="s">
        <v>14</v>
      </c>
    </row>
    <row r="10139" spans="1:9" hidden="1" x14ac:dyDescent="0.25">
      <c r="A10139">
        <v>2025</v>
      </c>
      <c r="B10139" s="140" t="s">
        <v>307</v>
      </c>
      <c r="C10139" s="140" t="s">
        <v>132</v>
      </c>
      <c r="D10139" s="140" t="s">
        <v>11</v>
      </c>
      <c r="E10139" s="140" t="s">
        <v>12</v>
      </c>
      <c r="F10139">
        <v>8.2264590000000002</v>
      </c>
      <c r="G10139" s="140" t="s">
        <v>307</v>
      </c>
      <c r="H10139">
        <v>0</v>
      </c>
      <c r="I10139" s="140" t="s">
        <v>14</v>
      </c>
    </row>
    <row r="10140" spans="1:9" hidden="1" x14ac:dyDescent="0.25">
      <c r="A10140">
        <v>2026</v>
      </c>
      <c r="B10140" s="140" t="s">
        <v>307</v>
      </c>
      <c r="C10140" s="140" t="s">
        <v>132</v>
      </c>
      <c r="D10140" s="140" t="s">
        <v>11</v>
      </c>
      <c r="E10140" s="140" t="s">
        <v>12</v>
      </c>
      <c r="F10140">
        <v>8.4828550000000007</v>
      </c>
      <c r="G10140" s="140" t="s">
        <v>307</v>
      </c>
      <c r="H10140">
        <v>0</v>
      </c>
      <c r="I10140" s="140" t="s">
        <v>14</v>
      </c>
    </row>
    <row r="10141" spans="1:9" hidden="1" x14ac:dyDescent="0.25">
      <c r="A10141">
        <v>2027</v>
      </c>
      <c r="B10141" s="140" t="s">
        <v>307</v>
      </c>
      <c r="C10141" s="140" t="s">
        <v>132</v>
      </c>
      <c r="D10141" s="140" t="s">
        <v>11</v>
      </c>
      <c r="E10141" s="140" t="s">
        <v>12</v>
      </c>
      <c r="F10141">
        <v>8.53627</v>
      </c>
      <c r="G10141" s="140" t="s">
        <v>307</v>
      </c>
      <c r="H10141">
        <v>0</v>
      </c>
      <c r="I10141" s="140" t="s">
        <v>14</v>
      </c>
    </row>
    <row r="10142" spans="1:9" hidden="1" x14ac:dyDescent="0.25">
      <c r="A10142">
        <v>2028</v>
      </c>
      <c r="B10142" s="140" t="s">
        <v>307</v>
      </c>
      <c r="C10142" s="140" t="s">
        <v>132</v>
      </c>
      <c r="D10142" s="140" t="s">
        <v>11</v>
      </c>
      <c r="E10142" s="140" t="s">
        <v>12</v>
      </c>
      <c r="F10142">
        <v>8.5227789999999999</v>
      </c>
      <c r="G10142" s="140" t="s">
        <v>307</v>
      </c>
      <c r="H10142">
        <v>0</v>
      </c>
      <c r="I10142" s="140" t="s">
        <v>14</v>
      </c>
    </row>
    <row r="10143" spans="1:9" hidden="1" x14ac:dyDescent="0.25">
      <c r="A10143">
        <v>2029</v>
      </c>
      <c r="B10143" s="140" t="s">
        <v>307</v>
      </c>
      <c r="C10143" s="140" t="s">
        <v>132</v>
      </c>
      <c r="D10143" s="140" t="s">
        <v>11</v>
      </c>
      <c r="E10143" s="140" t="s">
        <v>12</v>
      </c>
      <c r="F10143">
        <v>8.5160335000000007</v>
      </c>
      <c r="G10143" s="140" t="s">
        <v>307</v>
      </c>
      <c r="H10143">
        <v>0</v>
      </c>
      <c r="I10143" s="140" t="s">
        <v>14</v>
      </c>
    </row>
    <row r="10144" spans="1:9" hidden="1" x14ac:dyDescent="0.25">
      <c r="A10144">
        <v>2030</v>
      </c>
      <c r="B10144" s="140" t="s">
        <v>307</v>
      </c>
      <c r="C10144" s="140" t="s">
        <v>132</v>
      </c>
      <c r="D10144" s="140" t="s">
        <v>11</v>
      </c>
      <c r="E10144" s="140" t="s">
        <v>12</v>
      </c>
      <c r="F10144">
        <v>8.5160335000000007</v>
      </c>
      <c r="G10144" s="140" t="s">
        <v>307</v>
      </c>
      <c r="H10144">
        <v>0</v>
      </c>
      <c r="I10144" s="140" t="s">
        <v>14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A522B-9B57-45A1-B8EB-52E4F6BA506E}">
  <sheetPr codeName="Taul23">
    <tabColor theme="0" tint="-0.14999847407452621"/>
  </sheetPr>
  <dimension ref="A1:T56"/>
  <sheetViews>
    <sheetView showGridLines="0" tabSelected="1" topLeftCell="A6" zoomScale="85" zoomScaleNormal="85" workbookViewId="0">
      <selection activeCell="D18" sqref="D18"/>
    </sheetView>
  </sheetViews>
  <sheetFormatPr defaultColWidth="10.42578125" defaultRowHeight="15" customHeight="1" x14ac:dyDescent="0.25"/>
  <cols>
    <col min="6" max="6" width="6.5703125" customWidth="1"/>
    <col min="7" max="7" width="4.42578125" customWidth="1"/>
    <col min="8" max="8" width="53.5703125" customWidth="1"/>
    <col min="9" max="9" width="12.7109375" bestFit="1" customWidth="1"/>
    <col min="10" max="17" width="8.5703125" customWidth="1"/>
    <col min="18" max="18" width="1.42578125" bestFit="1" customWidth="1"/>
    <col min="19" max="19" width="43.42578125" bestFit="1" customWidth="1"/>
    <col min="20" max="20" width="19" bestFit="1" customWidth="1"/>
    <col min="21" max="57" width="10.42578125" customWidth="1"/>
    <col min="264" max="313" width="10.42578125" customWidth="1"/>
    <col min="520" max="569" width="10.42578125" customWidth="1"/>
    <col min="776" max="825" width="10.42578125" customWidth="1"/>
    <col min="1032" max="1081" width="10.42578125" customWidth="1"/>
    <col min="1288" max="1337" width="10.42578125" customWidth="1"/>
    <col min="1544" max="1593" width="10.42578125" customWidth="1"/>
    <col min="1800" max="1849" width="10.42578125" customWidth="1"/>
    <col min="2056" max="2105" width="10.42578125" customWidth="1"/>
    <col min="2312" max="2361" width="10.42578125" customWidth="1"/>
    <col min="2568" max="2617" width="10.42578125" customWidth="1"/>
    <col min="2824" max="2873" width="10.42578125" customWidth="1"/>
    <col min="3080" max="3129" width="10.42578125" customWidth="1"/>
    <col min="3336" max="3385" width="10.42578125" customWidth="1"/>
    <col min="3592" max="3641" width="10.42578125" customWidth="1"/>
    <col min="3848" max="3897" width="10.42578125" customWidth="1"/>
    <col min="4104" max="4153" width="10.42578125" customWidth="1"/>
    <col min="4360" max="4409" width="10.42578125" customWidth="1"/>
    <col min="4616" max="4665" width="10.42578125" customWidth="1"/>
    <col min="4872" max="4921" width="10.42578125" customWidth="1"/>
    <col min="5128" max="5177" width="10.42578125" customWidth="1"/>
    <col min="5384" max="5433" width="10.42578125" customWidth="1"/>
    <col min="5640" max="5689" width="10.42578125" customWidth="1"/>
    <col min="5896" max="5945" width="10.42578125" customWidth="1"/>
    <col min="6152" max="6201" width="10.42578125" customWidth="1"/>
    <col min="6408" max="6457" width="10.42578125" customWidth="1"/>
    <col min="6664" max="6713" width="10.42578125" customWidth="1"/>
    <col min="6920" max="6969" width="10.42578125" customWidth="1"/>
    <col min="7176" max="7225" width="10.42578125" customWidth="1"/>
    <col min="7432" max="7481" width="10.42578125" customWidth="1"/>
    <col min="7688" max="7737" width="10.42578125" customWidth="1"/>
    <col min="7944" max="7993" width="10.42578125" customWidth="1"/>
    <col min="8200" max="8249" width="10.42578125" customWidth="1"/>
    <col min="8456" max="8505" width="10.42578125" customWidth="1"/>
    <col min="8712" max="8761" width="10.42578125" customWidth="1"/>
    <col min="8968" max="9017" width="10.42578125" customWidth="1"/>
    <col min="9224" max="9273" width="10.42578125" customWidth="1"/>
    <col min="9480" max="9529" width="10.42578125" customWidth="1"/>
    <col min="9736" max="9785" width="10.42578125" customWidth="1"/>
    <col min="9992" max="10041" width="10.42578125" customWidth="1"/>
    <col min="10248" max="10297" width="10.42578125" customWidth="1"/>
    <col min="10504" max="10553" width="10.42578125" customWidth="1"/>
    <col min="10760" max="10809" width="10.42578125" customWidth="1"/>
    <col min="11016" max="11065" width="10.42578125" customWidth="1"/>
    <col min="11272" max="11321" width="10.42578125" customWidth="1"/>
    <col min="11528" max="11577" width="10.42578125" customWidth="1"/>
    <col min="11784" max="11833" width="10.42578125" customWidth="1"/>
    <col min="12040" max="12089" width="10.42578125" customWidth="1"/>
    <col min="12296" max="12345" width="10.42578125" customWidth="1"/>
    <col min="12552" max="12601" width="10.42578125" customWidth="1"/>
    <col min="12808" max="12857" width="10.42578125" customWidth="1"/>
    <col min="13064" max="13113" width="10.42578125" customWidth="1"/>
    <col min="13320" max="13369" width="10.42578125" customWidth="1"/>
    <col min="13576" max="13625" width="10.42578125" customWidth="1"/>
    <col min="13832" max="13881" width="10.42578125" customWidth="1"/>
    <col min="14088" max="14137" width="10.42578125" customWidth="1"/>
    <col min="14344" max="14393" width="10.42578125" customWidth="1"/>
    <col min="14600" max="14649" width="10.42578125" customWidth="1"/>
    <col min="14856" max="14905" width="10.42578125" customWidth="1"/>
    <col min="15112" max="15161" width="10.42578125" customWidth="1"/>
    <col min="15368" max="15417" width="10.42578125" customWidth="1"/>
    <col min="15624" max="15673" width="10.42578125" customWidth="1"/>
    <col min="15880" max="15929" width="10.42578125" customWidth="1"/>
    <col min="16136" max="16185" width="10.42578125" customWidth="1"/>
  </cols>
  <sheetData>
    <row r="1" spans="1:20" ht="15" customHeight="1" x14ac:dyDescent="0.25">
      <c r="H1" s="3" t="s">
        <v>655</v>
      </c>
      <c r="I1" s="3">
        <v>2023</v>
      </c>
    </row>
    <row r="2" spans="1:20" x14ac:dyDescent="0.25">
      <c r="F2" s="6"/>
      <c r="G2" s="7" t="s">
        <v>563</v>
      </c>
      <c r="H2" s="8"/>
      <c r="I2" s="8"/>
      <c r="J2" s="8"/>
      <c r="K2" s="9"/>
      <c r="L2" s="9"/>
      <c r="M2" s="9"/>
      <c r="N2" s="9"/>
      <c r="O2" s="8"/>
      <c r="P2" s="8"/>
      <c r="Q2" s="8"/>
      <c r="R2" s="10"/>
      <c r="S2" s="6"/>
      <c r="T2" s="6"/>
    </row>
    <row r="3" spans="1:20" x14ac:dyDescent="0.25">
      <c r="F3" s="6"/>
      <c r="G3" s="11" t="s">
        <v>564</v>
      </c>
      <c r="H3" s="11"/>
      <c r="I3" s="11"/>
      <c r="J3" s="11"/>
      <c r="K3" s="12"/>
      <c r="L3" s="12"/>
      <c r="M3" s="12"/>
      <c r="N3" s="12"/>
      <c r="O3" s="11"/>
      <c r="P3" s="11"/>
      <c r="Q3" s="11"/>
      <c r="R3" s="13"/>
      <c r="S3" s="6"/>
      <c r="T3" s="6"/>
    </row>
    <row r="4" spans="1:20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F4" s="6"/>
      <c r="G4" s="13"/>
      <c r="H4" s="13"/>
      <c r="I4" s="13"/>
      <c r="J4" s="13"/>
      <c r="K4" s="14"/>
      <c r="L4" s="14"/>
      <c r="M4" s="14"/>
      <c r="N4" s="14"/>
      <c r="O4" s="13"/>
      <c r="P4" s="13"/>
      <c r="Q4" s="13"/>
      <c r="R4" s="13"/>
      <c r="S4" s="6"/>
      <c r="T4" s="6" t="s">
        <v>201</v>
      </c>
    </row>
    <row r="5" spans="1:20" ht="15.75" thickBot="1" x14ac:dyDescent="0.3">
      <c r="F5" s="6"/>
      <c r="G5" s="15"/>
      <c r="H5" s="16" t="s">
        <v>565</v>
      </c>
      <c r="I5" s="16"/>
      <c r="J5" s="17"/>
      <c r="K5" s="18" t="s">
        <v>664</v>
      </c>
      <c r="L5" s="15"/>
      <c r="M5" s="19"/>
      <c r="N5" s="19"/>
      <c r="O5" s="19"/>
      <c r="P5" s="19"/>
      <c r="Q5" s="19"/>
      <c r="R5" s="20"/>
      <c r="S5" s="21"/>
      <c r="T5" s="6"/>
    </row>
    <row r="6" spans="1:20" ht="15" customHeight="1" x14ac:dyDescent="0.25">
      <c r="F6" s="6"/>
      <c r="G6" s="22"/>
      <c r="H6" s="23"/>
      <c r="I6" s="24"/>
      <c r="J6" s="25"/>
      <c r="K6" s="26" t="s">
        <v>566</v>
      </c>
      <c r="L6" s="26"/>
      <c r="M6" s="27"/>
      <c r="N6" s="26"/>
      <c r="O6" s="26" t="s">
        <v>567</v>
      </c>
      <c r="P6" s="26"/>
      <c r="Q6" s="28"/>
      <c r="R6" s="13"/>
      <c r="S6" s="6"/>
      <c r="T6" s="6"/>
    </row>
    <row r="7" spans="1:20" ht="15.75" thickBot="1" x14ac:dyDescent="0.3">
      <c r="F7" s="6"/>
      <c r="G7" s="29"/>
      <c r="H7" s="30"/>
      <c r="I7" s="31">
        <f>I1</f>
        <v>2023</v>
      </c>
      <c r="J7" s="32">
        <f>I7+1</f>
        <v>2024</v>
      </c>
      <c r="K7" s="32">
        <f t="shared" ref="K7:N7" si="0">J7+1</f>
        <v>2025</v>
      </c>
      <c r="L7" s="32">
        <f t="shared" si="0"/>
        <v>2026</v>
      </c>
      <c r="M7" s="32">
        <f t="shared" si="0"/>
        <v>2027</v>
      </c>
      <c r="N7" s="32">
        <f t="shared" si="0"/>
        <v>2028</v>
      </c>
      <c r="O7" s="31">
        <f>K7</f>
        <v>2025</v>
      </c>
      <c r="P7" s="31">
        <f>L7</f>
        <v>2026</v>
      </c>
      <c r="Q7" s="31">
        <f>M7</f>
        <v>2027</v>
      </c>
      <c r="R7" s="13"/>
      <c r="S7" s="6"/>
      <c r="T7" s="6"/>
    </row>
    <row r="8" spans="1:20" x14ac:dyDescent="0.25">
      <c r="F8" s="6"/>
      <c r="G8" s="33" t="s">
        <v>568</v>
      </c>
      <c r="H8" s="23"/>
      <c r="I8" s="34" t="s">
        <v>236</v>
      </c>
      <c r="J8" s="34" t="s">
        <v>236</v>
      </c>
      <c r="K8" s="34"/>
      <c r="L8" s="34"/>
      <c r="M8" s="34"/>
      <c r="N8" s="34"/>
      <c r="O8" s="35"/>
      <c r="P8" s="25"/>
      <c r="Q8" s="36"/>
      <c r="R8" s="13"/>
      <c r="S8" s="6"/>
      <c r="T8" s="6"/>
    </row>
    <row r="9" spans="1:20" x14ac:dyDescent="0.25">
      <c r="F9" s="6"/>
      <c r="G9" s="37"/>
      <c r="H9" s="38" t="s">
        <v>657</v>
      </c>
      <c r="I9" s="39"/>
      <c r="J9" s="39"/>
      <c r="K9" s="39"/>
      <c r="L9" s="39"/>
      <c r="M9" s="40"/>
      <c r="N9" s="41"/>
      <c r="O9" s="41"/>
      <c r="P9" s="39"/>
      <c r="Q9" s="42"/>
      <c r="R9" s="13"/>
      <c r="S9" s="6"/>
      <c r="T9" s="6"/>
    </row>
    <row r="10" spans="1:20" x14ac:dyDescent="0.25">
      <c r="A10" t="s">
        <v>18</v>
      </c>
      <c r="B10" t="s">
        <v>20</v>
      </c>
      <c r="C10" t="s">
        <v>11</v>
      </c>
      <c r="D10" t="s">
        <v>12</v>
      </c>
      <c r="F10" s="6"/>
      <c r="G10" s="37"/>
      <c r="H10" s="43" t="s">
        <v>569</v>
      </c>
      <c r="I10" s="44" cm="1">
        <f t="array" ref="I10">(INDEX(OraakkelinDatat[#Data],MATCH((I$7)&amp;$A10&amp;$B10&amp;$C10&amp;$D10,Data!$A$2:$A$10149&amp;Data!$B$2:$B$10149&amp;Data!$C$2:$C$10149&amp;Data!$D$2:$D$10149&amp;Data!$E$2:$E$10149,0),MATCH("Arvo",OraakkelinDatat[#Headers],0)+0)/INDEX(OraakkelinDatat[#Data],MATCH((I$7-1)&amp;$A10&amp;$B10&amp;$C10&amp;$D10,Data!$A$2:$A$10149&amp;Data!$B$2:$B$10149&amp;Data!$C$2:$C$10149&amp;Data!$D$2:$D$10149&amp;Data!$E$2:$E$10149,0),MATCH("Arvo",OraakkelinDatat[#Headers],0)+0)-1)*100</f>
        <v>-1.2182237931888995</v>
      </c>
      <c r="J10" s="44" cm="1">
        <f t="array" ref="J10">(INDEX(OraakkelinDatat[#Data],MATCH((J$7)&amp;$A10&amp;$B10&amp;$C10&amp;$D10,Data!$A$2:$A$10149&amp;Data!$B$2:$B$10149&amp;Data!$C$2:$C$10149&amp;Data!$D$2:$D$10149&amp;Data!$E$2:$E$10149,0),MATCH("Arvo",OraakkelinDatat[#Headers],0)+0)/INDEX(OraakkelinDatat[#Data],MATCH((J$7-1)&amp;$A10&amp;$B10&amp;$C10&amp;$D10,Data!$A$2:$A$10149&amp;Data!$B$2:$B$10149&amp;Data!$C$2:$C$10149&amp;Data!$D$2:$D$10149&amp;Data!$E$2:$E$10149,0),MATCH("Arvo",OraakkelinDatat[#Headers],0)+0)-1)*100</f>
        <v>0.99381615721485517</v>
      </c>
      <c r="K10" s="44" cm="1">
        <f t="array" ref="K10">(INDEX(OraakkelinDatat[#Data],MATCH((K$7)&amp;$A10&amp;$B10&amp;$C10&amp;$D10,Data!$A$2:$A$10149&amp;Data!$B$2:$B$10149&amp;Data!$C$2:$C$10149&amp;Data!$D$2:$D$10149&amp;Data!$E$2:$E$10149,0),MATCH("Arvo",OraakkelinDatat[#Headers],0)+0)/INDEX(OraakkelinDatat[#Data],MATCH((K$7-1)&amp;$A10&amp;$B10&amp;$C10&amp;$D10,Data!$A$2:$A$10149&amp;Data!$B$2:$B$10149&amp;Data!$C$2:$C$10149&amp;Data!$D$2:$D$10149&amp;Data!$E$2:$E$10149,0),MATCH("Arvo",OraakkelinDatat[#Headers],0)+0)-1)*100</f>
        <v>0.84283740733799295</v>
      </c>
      <c r="L10" s="141" cm="1">
        <f t="array" ref="L10">(INDEX(OraakkelinDatat[#Data],MATCH((L$7)&amp;$A10&amp;$B10&amp;$C10&amp;$D10,Data!$A$2:$A$10149&amp;Data!$B$2:$B$10149&amp;Data!$C$2:$C$10149&amp;Data!$D$2:$D$10149&amp;Data!$E$2:$E$10149,0),MATCH("Arvo",OraakkelinDatat[#Headers],0)+0)/INDEX(OraakkelinDatat[#Data],MATCH((L$7-1)&amp;$A10&amp;$B10&amp;$C10&amp;$D10,Data!$A$2:$A$10149&amp;Data!$B$2:$B$10149&amp;Data!$C$2:$C$10149&amp;Data!$D$2:$D$10149&amp;Data!$E$2:$E$10149,0),MATCH("Arvo",OraakkelinDatat[#Headers],0)+0)-1)*100</f>
        <v>1.536971395480502</v>
      </c>
      <c r="M10" s="44" cm="1">
        <f t="array" ref="M10">(INDEX(OraakkelinDatat[#Data],MATCH((M$7)&amp;$A10&amp;$B10&amp;$C10&amp;$D10,Data!$A$2:$A$10149&amp;Data!$B$2:$B$10149&amp;Data!$C$2:$C$10149&amp;Data!$D$2:$D$10149&amp;Data!$E$2:$E$10149,0),MATCH("Arvo",OraakkelinDatat[#Headers],0)+0)/INDEX(OraakkelinDatat[#Data],MATCH((M$7-1)&amp;$A10&amp;$B10&amp;$C10&amp;$D10,Data!$A$2:$A$10149&amp;Data!$B$2:$B$10149&amp;Data!$C$2:$C$10149&amp;Data!$D$2:$D$10149&amp;Data!$E$2:$E$10149,0),MATCH("Arvo",OraakkelinDatat[#Headers],0)+0)-1)*100</f>
        <v>1.7785693759069465</v>
      </c>
      <c r="N10" s="44" cm="1">
        <f t="array" ref="N10">(INDEX(OraakkelinDatat[#Data],MATCH((N$7)&amp;$A10&amp;$B10&amp;$C10&amp;$D10,Data!$A$2:$A$10149&amp;Data!$B$2:$B$10149&amp;Data!$C$2:$C$10149&amp;Data!$D$2:$D$10149&amp;Data!$E$2:$E$10149,0),MATCH("Arvo",OraakkelinDatat[#Headers],0)+0)/INDEX(OraakkelinDatat[#Data],MATCH((N$7-1)&amp;$A10&amp;$B10&amp;$C10&amp;$D10,Data!$A$2:$A$10149&amp;Data!$B$2:$B$10149&amp;Data!$C$2:$C$10149&amp;Data!$D$2:$D$10149&amp;Data!$E$2:$E$10149,0),MATCH("Arvo",OraakkelinDatat[#Headers],0)+0)-1)*100</f>
        <v>1.5454099426849055</v>
      </c>
      <c r="O10" s="45"/>
      <c r="P10" s="46"/>
      <c r="Q10" s="47"/>
      <c r="R10" s="13" t="s">
        <v>201</v>
      </c>
      <c r="S10" s="6"/>
      <c r="T10" s="6"/>
    </row>
    <row r="11" spans="1:20" x14ac:dyDescent="0.25">
      <c r="A11" t="s">
        <v>116</v>
      </c>
      <c r="B11" t="s">
        <v>20</v>
      </c>
      <c r="C11" t="s">
        <v>11</v>
      </c>
      <c r="D11" t="s">
        <v>12</v>
      </c>
      <c r="F11" s="6"/>
      <c r="G11" s="37"/>
      <c r="H11" s="43" t="s">
        <v>571</v>
      </c>
      <c r="I11" s="44" cm="1">
        <f t="array" ref="I11">(INDEX(OraakkelinDatat[#Data],MATCH((I$7)&amp;$A11&amp;$B11&amp;$C11&amp;$D11,Data!$A$2:$A$10149&amp;Data!$B$2:$B$10149&amp;Data!$C$2:$C$10149&amp;Data!$D$2:$D$10149&amp;Data!$E$2:$E$10149,0),MATCH("Arvo",OraakkelinDatat[#Headers],0)+0)/INDEX(OraakkelinDatat[#Data],MATCH((I$7-1)&amp;$A11&amp;$B11&amp;$C11&amp;$D11,Data!$A$2:$A$10149&amp;Data!$B$2:$B$10149&amp;Data!$C$2:$C$10149&amp;Data!$D$2:$D$10149&amp;Data!$E$2:$E$10149,0),MATCH("Arvo",OraakkelinDatat[#Headers],0)+0)-1)*100</f>
        <v>-0.25555882476566705</v>
      </c>
      <c r="J11" s="44" cm="1">
        <f t="array" ref="J11">(INDEX(OraakkelinDatat[#Data],MATCH((J$7)&amp;$A11&amp;$B11&amp;$C11&amp;$D11,Data!$A$2:$A$10149&amp;Data!$B$2:$B$10149&amp;Data!$C$2:$C$10149&amp;Data!$D$2:$D$10149&amp;Data!$E$2:$E$10149,0),MATCH("Arvo",OraakkelinDatat[#Headers],0)+0)/INDEX(OraakkelinDatat[#Data],MATCH((J$7-1)&amp;$A11&amp;$B11&amp;$C11&amp;$D11,Data!$A$2:$A$10149&amp;Data!$B$2:$B$10149&amp;Data!$C$2:$C$10149&amp;Data!$D$2:$D$10149&amp;Data!$E$2:$E$10149,0),MATCH("Arvo",OraakkelinDatat[#Headers],0)+0)-1)*100</f>
        <v>0.28908310928690284</v>
      </c>
      <c r="K11" s="44" cm="1">
        <f t="array" ref="K11">(INDEX(OraakkelinDatat[#Data],MATCH((K$7)&amp;$A11&amp;$B11&amp;$C11&amp;$D11,Data!$A$2:$A$10149&amp;Data!$B$2:$B$10149&amp;Data!$C$2:$C$10149&amp;Data!$D$2:$D$10149&amp;Data!$E$2:$E$10149,0),MATCH("Arvo",OraakkelinDatat[#Headers],0)+0)/INDEX(OraakkelinDatat[#Data],MATCH((K$7-1)&amp;$A11&amp;$B11&amp;$C11&amp;$D11,Data!$A$2:$A$10149&amp;Data!$B$2:$B$10149&amp;Data!$C$2:$C$10149&amp;Data!$D$2:$D$10149&amp;Data!$E$2:$E$10149,0),MATCH("Arvo",OraakkelinDatat[#Headers],0)+0)-1)*100</f>
        <v>-1.1462762828377882</v>
      </c>
      <c r="L11" s="141" cm="1">
        <f t="array" ref="L11">(INDEX(OraakkelinDatat[#Data],MATCH((L$7)&amp;$A11&amp;$B11&amp;$C11&amp;$D11,Data!$A$2:$A$10149&amp;Data!$B$2:$B$10149&amp;Data!$C$2:$C$10149&amp;Data!$D$2:$D$10149&amp;Data!$E$2:$E$10149,0),MATCH("Arvo",OraakkelinDatat[#Headers],0)+0)/INDEX(OraakkelinDatat[#Data],MATCH((L$7-1)&amp;$A11&amp;$B11&amp;$C11&amp;$D11,Data!$A$2:$A$10149&amp;Data!$B$2:$B$10149&amp;Data!$C$2:$C$10149&amp;Data!$D$2:$D$10149&amp;Data!$E$2:$E$10149,0),MATCH("Arvo",OraakkelinDatat[#Headers],0)+0)-1)*100</f>
        <v>1.0851443509308778</v>
      </c>
      <c r="M11" s="44" cm="1">
        <f t="array" ref="M11">(INDEX(OraakkelinDatat[#Data],MATCH((M$7)&amp;$A11&amp;$B11&amp;$C11&amp;$D11,Data!$A$2:$A$10149&amp;Data!$B$2:$B$10149&amp;Data!$C$2:$C$10149&amp;Data!$D$2:$D$10149&amp;Data!$E$2:$E$10149,0),MATCH("Arvo",OraakkelinDatat[#Headers],0)+0)/INDEX(OraakkelinDatat[#Data],MATCH((M$7-1)&amp;$A11&amp;$B11&amp;$C11&amp;$D11,Data!$A$2:$A$10149&amp;Data!$B$2:$B$10149&amp;Data!$C$2:$C$10149&amp;Data!$D$2:$D$10149&amp;Data!$E$2:$E$10149,0),MATCH("Arvo",OraakkelinDatat[#Headers],0)+0)-1)*100</f>
        <v>1.5676973090291035</v>
      </c>
      <c r="N11" s="44" cm="1">
        <f t="array" ref="N11">(INDEX(OraakkelinDatat[#Data],MATCH((N$7)&amp;$A11&amp;$B11&amp;$C11&amp;$D11,Data!$A$2:$A$10149&amp;Data!$B$2:$B$10149&amp;Data!$C$2:$C$10149&amp;Data!$D$2:$D$10149&amp;Data!$E$2:$E$10149,0),MATCH("Arvo",OraakkelinDatat[#Headers],0)+0)/INDEX(OraakkelinDatat[#Data],MATCH((N$7-1)&amp;$A11&amp;$B11&amp;$C11&amp;$D11,Data!$A$2:$A$10149&amp;Data!$B$2:$B$10149&amp;Data!$C$2:$C$10149&amp;Data!$D$2:$D$10149&amp;Data!$E$2:$E$10149,0),MATCH("Arvo",OraakkelinDatat[#Headers],0)+0)-1)*100</f>
        <v>1.573142063213262</v>
      </c>
      <c r="O11" s="48"/>
      <c r="P11" s="46"/>
      <c r="Q11" s="47"/>
      <c r="R11" s="13"/>
      <c r="S11" s="6"/>
      <c r="T11" s="6"/>
    </row>
    <row r="12" spans="1:20" x14ac:dyDescent="0.25">
      <c r="A12" t="s">
        <v>115</v>
      </c>
      <c r="B12" t="s">
        <v>20</v>
      </c>
      <c r="C12" t="s">
        <v>11</v>
      </c>
      <c r="D12" t="s">
        <v>12</v>
      </c>
      <c r="F12" s="6"/>
      <c r="G12" s="37"/>
      <c r="H12" s="43" t="s">
        <v>572</v>
      </c>
      <c r="I12" s="44" cm="1">
        <f t="array" ref="I12">(INDEX(OraakkelinDatat[#Data],MATCH((I$7)&amp;$A12&amp;$B12&amp;$C12&amp;$D12,Data!$A$2:$A$10149&amp;Data!$B$2:$B$10149&amp;Data!$C$2:$C$10149&amp;Data!$D$2:$D$10149&amp;Data!$E$2:$E$10149,0),MATCH("Arvo",OraakkelinDatat[#Headers],0)+0)/INDEX(OraakkelinDatat[#Data],MATCH((I$7-1)&amp;$A12&amp;$B12&amp;$C12&amp;$D12,Data!$A$2:$A$10149&amp;Data!$B$2:$B$10149&amp;Data!$C$2:$C$10149&amp;Data!$D$2:$D$10149&amp;Data!$E$2:$E$10149,0),MATCH("Arvo",OraakkelinDatat[#Headers],0)+0)-1)*100</f>
        <v>4.1683543189222405</v>
      </c>
      <c r="J12" s="44" cm="1">
        <f t="array" ref="J12">(INDEX(OraakkelinDatat[#Data],MATCH((J$7)&amp;$A12&amp;$B12&amp;$C12&amp;$D12,Data!$A$2:$A$10149&amp;Data!$B$2:$B$10149&amp;Data!$C$2:$C$10149&amp;Data!$D$2:$D$10149&amp;Data!$E$2:$E$10149,0),MATCH("Arvo",OraakkelinDatat[#Headers],0)+0)/INDEX(OraakkelinDatat[#Data],MATCH((J$7-1)&amp;$A12&amp;$B12&amp;$C12&amp;$D12,Data!$A$2:$A$10149&amp;Data!$B$2:$B$10149&amp;Data!$C$2:$C$10149&amp;Data!$D$2:$D$10149&amp;Data!$E$2:$E$10149,0),MATCH("Arvo",OraakkelinDatat[#Headers],0)+0)-1)*100</f>
        <v>1.7750879091154914</v>
      </c>
      <c r="K12" s="44" cm="1">
        <f t="array" ref="K12">(INDEX(OraakkelinDatat[#Data],MATCH((K$7)&amp;$A12&amp;$B12&amp;$C12&amp;$D12,Data!$A$2:$A$10149&amp;Data!$B$2:$B$10149&amp;Data!$C$2:$C$10149&amp;Data!$D$2:$D$10149&amp;Data!$E$2:$E$10149,0),MATCH("Arvo",OraakkelinDatat[#Headers],0)+0)/INDEX(OraakkelinDatat[#Data],MATCH((K$7-1)&amp;$A12&amp;$B12&amp;$C12&amp;$D12,Data!$A$2:$A$10149&amp;Data!$B$2:$B$10149&amp;Data!$C$2:$C$10149&amp;Data!$D$2:$D$10149&amp;Data!$E$2:$E$10149,0),MATCH("Arvo",OraakkelinDatat[#Headers],0)+0)-1)*100</f>
        <v>0.2906880170093995</v>
      </c>
      <c r="L12" s="141" cm="1">
        <f t="array" ref="L12">(INDEX(OraakkelinDatat[#Data],MATCH((L$7)&amp;$A12&amp;$B12&amp;$C12&amp;$D12,Data!$A$2:$A$10149&amp;Data!$B$2:$B$10149&amp;Data!$C$2:$C$10149&amp;Data!$D$2:$D$10149&amp;Data!$E$2:$E$10149,0),MATCH("Arvo",OraakkelinDatat[#Headers],0)+0)/INDEX(OraakkelinDatat[#Data],MATCH((L$7-1)&amp;$A12&amp;$B12&amp;$C12&amp;$D12,Data!$A$2:$A$10149&amp;Data!$B$2:$B$10149&amp;Data!$C$2:$C$10149&amp;Data!$D$2:$D$10149&amp;Data!$E$2:$E$10149,0),MATCH("Arvo",OraakkelinDatat[#Headers],0)+0)-1)*100</f>
        <v>-0.52546607151728875</v>
      </c>
      <c r="M12" s="44" cm="1">
        <f t="array" ref="M12">(INDEX(OraakkelinDatat[#Data],MATCH((M$7)&amp;$A12&amp;$B12&amp;$C12&amp;$D12,Data!$A$2:$A$10149&amp;Data!$B$2:$B$10149&amp;Data!$C$2:$C$10149&amp;Data!$D$2:$D$10149&amp;Data!$E$2:$E$10149,0),MATCH("Arvo",OraakkelinDatat[#Headers],0)+0)/INDEX(OraakkelinDatat[#Data],MATCH((M$7-1)&amp;$A12&amp;$B12&amp;$C12&amp;$D12,Data!$A$2:$A$10149&amp;Data!$B$2:$B$10149&amp;Data!$C$2:$C$10149&amp;Data!$D$2:$D$10149&amp;Data!$E$2:$E$10149,0),MATCH("Arvo",OraakkelinDatat[#Headers],0)+0)-1)*100</f>
        <v>0.10833220507473484</v>
      </c>
      <c r="N12" s="44" cm="1">
        <f t="array" ref="N12">(INDEX(OraakkelinDatat[#Data],MATCH((N$7)&amp;$A12&amp;$B12&amp;$C12&amp;$D12,Data!$A$2:$A$10149&amp;Data!$B$2:$B$10149&amp;Data!$C$2:$C$10149&amp;Data!$D$2:$D$10149&amp;Data!$E$2:$E$10149,0),MATCH("Arvo",OraakkelinDatat[#Headers],0)+0)/INDEX(OraakkelinDatat[#Data],MATCH((N$7-1)&amp;$A12&amp;$B12&amp;$C12&amp;$D12,Data!$A$2:$A$10149&amp;Data!$B$2:$B$10149&amp;Data!$C$2:$C$10149&amp;Data!$D$2:$D$10149&amp;Data!$E$2:$E$10149,0),MATCH("Arvo",OraakkelinDatat[#Headers],0)+0)-1)*100</f>
        <v>0.49972060291172404</v>
      </c>
      <c r="O12" s="48"/>
      <c r="P12" s="46"/>
      <c r="Q12" s="47"/>
      <c r="R12" s="13"/>
      <c r="S12" s="6"/>
      <c r="T12" s="6"/>
    </row>
    <row r="13" spans="1:20" x14ac:dyDescent="0.25">
      <c r="A13" t="s">
        <v>119</v>
      </c>
      <c r="B13" t="s">
        <v>21</v>
      </c>
      <c r="C13" t="s">
        <v>11</v>
      </c>
      <c r="D13" t="s">
        <v>12</v>
      </c>
      <c r="F13" s="6"/>
      <c r="G13" s="37"/>
      <c r="H13" s="43" t="s">
        <v>573</v>
      </c>
      <c r="I13" s="44" cm="1">
        <f t="array" ref="I13">(INDEX(OraakkelinDatat[#Data],MATCH((I$7)&amp;$A13&amp;$B13&amp;$C13&amp;$D13,Data!$A$2:$A$10149&amp;Data!$B$2:$B$10149&amp;Data!$C$2:$C$10149&amp;Data!$D$2:$D$10149&amp;Data!$E$2:$E$10149,0),MATCH("Arvo",OraakkelinDatat[#Headers],0)+0)/INDEX(OraakkelinDatat[#Data],MATCH((I$7-1)&amp;$A13&amp;$B13&amp;$C13&amp;$D13,Data!$A$2:$A$10149&amp;Data!$B$2:$B$10149&amp;Data!$C$2:$C$10149&amp;Data!$D$2:$D$10149&amp;Data!$E$2:$E$10149,0),MATCH("Arvo",OraakkelinDatat[#Headers],0)+0)-1)*100</f>
        <v>-7.1276556709353063</v>
      </c>
      <c r="J13" s="44" cm="1">
        <f t="array" ref="J13">(INDEX(OraakkelinDatat[#Data],MATCH((J$7)&amp;$A13&amp;$B13&amp;$C13&amp;$D13,Data!$A$2:$A$10149&amp;Data!$B$2:$B$10149&amp;Data!$C$2:$C$10149&amp;Data!$D$2:$D$10149&amp;Data!$E$2:$E$10149,0),MATCH("Arvo",OraakkelinDatat[#Headers],0)+0)/INDEX(OraakkelinDatat[#Data],MATCH((J$7-1)&amp;$A13&amp;$B13&amp;$C13&amp;$D13,Data!$A$2:$A$10149&amp;Data!$B$2:$B$10149&amp;Data!$C$2:$C$10149&amp;Data!$D$2:$D$10149&amp;Data!$E$2:$E$10149,0),MATCH("Arvo",OraakkelinDatat[#Headers],0)+0)-1)*100</f>
        <v>-5.2389324588609458</v>
      </c>
      <c r="K13" s="44" cm="1">
        <f t="array" ref="K13">(INDEX(OraakkelinDatat[#Data],MATCH((K$7)&amp;$A13&amp;$B13&amp;$C13&amp;$D13,Data!$A$2:$A$10149&amp;Data!$B$2:$B$10149&amp;Data!$C$2:$C$10149&amp;Data!$D$2:$D$10149&amp;Data!$E$2:$E$10149,0),MATCH("Arvo",OraakkelinDatat[#Headers],0)+0)/INDEX(OraakkelinDatat[#Data],MATCH((K$7-1)&amp;$A13&amp;$B13&amp;$C13&amp;$D13,Data!$A$2:$A$10149&amp;Data!$B$2:$B$10149&amp;Data!$C$2:$C$10149&amp;Data!$D$2:$D$10149&amp;Data!$E$2:$E$10149,0),MATCH("Arvo",OraakkelinDatat[#Headers],0)+0)-1)*100</f>
        <v>1.4196668681857094</v>
      </c>
      <c r="L13" s="141" cm="1">
        <f t="array" ref="L13">(INDEX(OraakkelinDatat[#Data],MATCH((L$7)&amp;$A13&amp;$B13&amp;$C13&amp;$D13,Data!$A$2:$A$10149&amp;Data!$B$2:$B$10149&amp;Data!$C$2:$C$10149&amp;Data!$D$2:$D$10149&amp;Data!$E$2:$E$10149,0),MATCH("Arvo",OraakkelinDatat[#Headers],0)+0)/INDEX(OraakkelinDatat[#Data],MATCH((L$7-1)&amp;$A13&amp;$B13&amp;$C13&amp;$D13,Data!$A$2:$A$10149&amp;Data!$B$2:$B$10149&amp;Data!$C$2:$C$10149&amp;Data!$D$2:$D$10149&amp;Data!$E$2:$E$10149,0),MATCH("Arvo",OraakkelinDatat[#Headers],0)+0)-1)*100</f>
        <v>7.7696269681397645</v>
      </c>
      <c r="M13" s="44" cm="1">
        <f t="array" ref="M13">(INDEX(OraakkelinDatat[#Data],MATCH((M$7)&amp;$A13&amp;$B13&amp;$C13&amp;$D13,Data!$A$2:$A$10149&amp;Data!$B$2:$B$10149&amp;Data!$C$2:$C$10149&amp;Data!$D$2:$D$10149&amp;Data!$E$2:$E$10149,0),MATCH("Arvo",OraakkelinDatat[#Headers],0)+0)/INDEX(OraakkelinDatat[#Data],MATCH((M$7-1)&amp;$A13&amp;$B13&amp;$C13&amp;$D13,Data!$A$2:$A$10149&amp;Data!$B$2:$B$10149&amp;Data!$C$2:$C$10149&amp;Data!$D$2:$D$10149&amp;Data!$E$2:$E$10149,0),MATCH("Arvo",OraakkelinDatat[#Headers],0)+0)-1)*100</f>
        <v>4.3820420396447624</v>
      </c>
      <c r="N13" s="44" cm="1">
        <f t="array" ref="N13">(INDEX(OraakkelinDatat[#Data],MATCH((N$7)&amp;$A13&amp;$B13&amp;$C13&amp;$D13,Data!$A$2:$A$10149&amp;Data!$B$2:$B$10149&amp;Data!$C$2:$C$10149&amp;Data!$D$2:$D$10149&amp;Data!$E$2:$E$10149,0),MATCH("Arvo",OraakkelinDatat[#Headers],0)+0)/INDEX(OraakkelinDatat[#Data],MATCH((N$7-1)&amp;$A13&amp;$B13&amp;$C13&amp;$D13,Data!$A$2:$A$10149&amp;Data!$B$2:$B$10149&amp;Data!$C$2:$C$10149&amp;Data!$D$2:$D$10149&amp;Data!$E$2:$E$10149,0),MATCH("Arvo",OraakkelinDatat[#Headers],0)+0)-1)*100</f>
        <v>3.5833662132073618</v>
      </c>
      <c r="O13" s="45"/>
      <c r="P13" s="46"/>
      <c r="Q13" s="47"/>
      <c r="R13" s="13"/>
      <c r="S13" s="6"/>
      <c r="T13" s="6"/>
    </row>
    <row r="14" spans="1:20" x14ac:dyDescent="0.25">
      <c r="A14" s="2" t="s">
        <v>660</v>
      </c>
      <c r="B14" t="s">
        <v>661</v>
      </c>
      <c r="C14" s="2" t="s">
        <v>11</v>
      </c>
      <c r="D14" t="s">
        <v>12</v>
      </c>
      <c r="E14" s="2"/>
      <c r="F14" s="6"/>
      <c r="G14" s="37"/>
      <c r="H14" s="49" t="s">
        <v>574</v>
      </c>
      <c r="I14" s="44" cm="1">
        <f t="array" ref="I14">INDEX(OraakkelinDatat[#Data],MATCH((I$7)&amp;$A14&amp;$B14&amp;$C14&amp;$D14,Data!$A$2:$A$10149&amp;Data!$B$2:$B$10149&amp;Data!$C$2:$C$10149&amp;Data!$D$2:$D$10149&amp;Data!$E$2:$E$10149,0),MATCH("Arvo",OraakkelinDatat[#Headers],0)+0)</f>
        <v>-3.9237951369999999</v>
      </c>
      <c r="J14" s="44" cm="1">
        <f t="array" ref="J14">INDEX(OraakkelinDatat[#Data],MATCH((J$7)&amp;$A14&amp;$B14&amp;$C14&amp;$D14,Data!$A$2:$A$10149&amp;Data!$B$2:$B$10149&amp;Data!$C$2:$C$10149&amp;Data!$D$2:$D$10149&amp;Data!$E$2:$E$10149,0),MATCH("Arvo",OraakkelinDatat[#Headers],0)+0)</f>
        <v>-1.3914651570000001</v>
      </c>
      <c r="K14" s="44" cm="1">
        <f t="array" ref="K14">INDEX(OraakkelinDatat[#Data],MATCH((K$7)&amp;$A14&amp;$B14&amp;$C14&amp;$D14,Data!$A$2:$A$10149&amp;Data!$B$2:$B$10149&amp;Data!$C$2:$C$10149&amp;Data!$D$2:$D$10149&amp;Data!$E$2:$E$10149,0),MATCH("Arvo",OraakkelinDatat[#Headers],0)+0)</f>
        <v>1.6346412260000001</v>
      </c>
      <c r="L14" s="141" cm="1">
        <f t="array" ref="L14">INDEX(OraakkelinDatat[#Data],MATCH((L$7)&amp;$A14&amp;$B14&amp;$C14&amp;$D14,Data!$A$2:$A$10149&amp;Data!$B$2:$B$10149&amp;Data!$C$2:$C$10149&amp;Data!$D$2:$D$10149&amp;Data!$E$2:$E$10149,0),MATCH("Arvo",OraakkelinDatat[#Headers],0)+0)</f>
        <v>14.99030117</v>
      </c>
      <c r="M14" s="44" cm="1">
        <f t="array" ref="M14">INDEX(OraakkelinDatat[#Data],MATCH((M$7)&amp;$A14&amp;$B14&amp;$C14&amp;$D14,Data!$A$2:$A$10149&amp;Data!$B$2:$B$10149&amp;Data!$C$2:$C$10149&amp;Data!$D$2:$D$10149&amp;Data!$E$2:$E$10149,0),MATCH("Arvo",OraakkelinDatat[#Headers],0)+0)</f>
        <v>5.9021539699999996</v>
      </c>
      <c r="N14" s="44" cm="1">
        <f t="array" ref="N14">INDEX(OraakkelinDatat[#Data],MATCH((N$7)&amp;$A14&amp;$B14&amp;$C14&amp;$D14,Data!$A$2:$A$10149&amp;Data!$B$2:$B$10149&amp;Data!$C$2:$C$10149&amp;Data!$D$2:$D$10149&amp;Data!$E$2:$E$10149,0),MATCH("Arvo",OraakkelinDatat[#Headers],0)+0)</f>
        <v>2.8147405079999999</v>
      </c>
      <c r="O14" s="45"/>
      <c r="P14" s="46"/>
      <c r="Q14" s="47"/>
      <c r="R14" s="13"/>
      <c r="S14" s="6"/>
      <c r="T14" s="6"/>
    </row>
    <row r="15" spans="1:20" x14ac:dyDescent="0.25">
      <c r="A15" t="s">
        <v>129</v>
      </c>
      <c r="B15" t="s">
        <v>20</v>
      </c>
      <c r="C15" t="s">
        <v>11</v>
      </c>
      <c r="D15" t="s">
        <v>12</v>
      </c>
      <c r="F15" s="6"/>
      <c r="G15" s="37"/>
      <c r="H15" s="49" t="s">
        <v>575</v>
      </c>
      <c r="I15" s="44" cm="1">
        <f t="array" ref="I15">(INDEX(OraakkelinDatat[#Data],MATCH((I$7)&amp;$A15&amp;$B15&amp;$C15&amp;$D15,Data!$A$2:$A$10149&amp;Data!$B$2:$B$10149&amp;Data!$C$2:$C$10149&amp;Data!$D$2:$D$10149&amp;Data!$E$2:$E$10149,0),MATCH("Arvo",OraakkelinDatat[#Headers],0)+0)/INDEX(OraakkelinDatat[#Data],MATCH((I$7-1)&amp;$A15&amp;$B15&amp;$C15&amp;$D15,Data!$A$2:$A$10149&amp;Data!$B$2:$B$10149&amp;Data!$C$2:$C$10149&amp;Data!$D$2:$D$10149&amp;Data!$E$2:$E$10149,0),MATCH("Arvo",OraakkelinDatat[#Headers],0)+0)-1)*100</f>
        <v>-3.9906103286384997</v>
      </c>
      <c r="J15" s="44" cm="1">
        <f t="array" ref="J15">(INDEX(OraakkelinDatat[#Data],MATCH((J$7)&amp;$A15&amp;$B15&amp;$C15&amp;$D15,Data!$A$2:$A$10149&amp;Data!$B$2:$B$10149&amp;Data!$C$2:$C$10149&amp;Data!$D$2:$D$10149&amp;Data!$E$2:$E$10149,0),MATCH("Arvo",OraakkelinDatat[#Headers],0)+0)/INDEX(OraakkelinDatat[#Data],MATCH((J$7-1)&amp;$A15&amp;$B15&amp;$C15&amp;$D15,Data!$A$2:$A$10149&amp;Data!$B$2:$B$10149&amp;Data!$C$2:$C$10149&amp;Data!$D$2:$D$10149&amp;Data!$E$2:$E$10149,0),MATCH("Arvo",OraakkelinDatat[#Headers],0)+0)-1)*100</f>
        <v>11.202489442098251</v>
      </c>
      <c r="K15" s="44" cm="1">
        <f t="array" ref="K15">(INDEX(OraakkelinDatat[#Data],MATCH((K$7)&amp;$A15&amp;$B15&amp;$C15&amp;$D15,Data!$A$2:$A$10149&amp;Data!$B$2:$B$10149&amp;Data!$C$2:$C$10149&amp;Data!$D$2:$D$10149&amp;Data!$E$2:$E$10149,0),MATCH("Arvo",OraakkelinDatat[#Headers],0)+0)/INDEX(OraakkelinDatat[#Data],MATCH((K$7-1)&amp;$A15&amp;$B15&amp;$C15&amp;$D15,Data!$A$2:$A$10149&amp;Data!$B$2:$B$10149&amp;Data!$C$2:$C$10149&amp;Data!$D$2:$D$10149&amp;Data!$E$2:$E$10149,0),MATCH("Arvo",OraakkelinDatat[#Headers],0)+0)-1)*100</f>
        <v>3.0281830901459195</v>
      </c>
      <c r="L15" s="141" cm="1">
        <f t="array" ref="L15">(INDEX(OraakkelinDatat[#Data],MATCH((L$7)&amp;$A15&amp;$B15&amp;$C15&amp;$D15,Data!$A$2:$A$10149&amp;Data!$B$2:$B$10149&amp;Data!$C$2:$C$10149&amp;Data!$D$2:$D$10149&amp;Data!$E$2:$E$10149,0),MATCH("Arvo",OraakkelinDatat[#Headers],0)+0)/INDEX(OraakkelinDatat[#Data],MATCH((L$7-1)&amp;$A15&amp;$B15&amp;$C15&amp;$D15,Data!$A$2:$A$10149&amp;Data!$B$2:$B$10149&amp;Data!$C$2:$C$10149&amp;Data!$D$2:$D$10149&amp;Data!$E$2:$E$10149,0),MATCH("Arvo",OraakkelinDatat[#Headers],0)+0)-1)*100</f>
        <v>19.687167814530994</v>
      </c>
      <c r="M15" s="44" cm="1">
        <f t="array" ref="M15">(INDEX(OraakkelinDatat[#Data],MATCH((M$7)&amp;$A15&amp;$B15&amp;$C15&amp;$D15,Data!$A$2:$A$10149&amp;Data!$B$2:$B$10149&amp;Data!$C$2:$C$10149&amp;Data!$D$2:$D$10149&amp;Data!$E$2:$E$10149,0),MATCH("Arvo",OraakkelinDatat[#Headers],0)+0)/INDEX(OraakkelinDatat[#Data],MATCH((M$7-1)&amp;$A15&amp;$B15&amp;$C15&amp;$D15,Data!$A$2:$A$10149&amp;Data!$B$2:$B$10149&amp;Data!$C$2:$C$10149&amp;Data!$D$2:$D$10149&amp;Data!$E$2:$E$10149,0),MATCH("Arvo",OraakkelinDatat[#Headers],0)+0)-1)*100</f>
        <v>0.9192237240600365</v>
      </c>
      <c r="N15" s="44" cm="1">
        <f t="array" ref="N15">(INDEX(OraakkelinDatat[#Data],MATCH((N$7)&amp;$A15&amp;$B15&amp;$C15&amp;$D15,Data!$A$2:$A$10149&amp;Data!$B$2:$B$10149&amp;Data!$C$2:$C$10149&amp;Data!$D$2:$D$10149&amp;Data!$E$2:$E$10149,0),MATCH("Arvo",OraakkelinDatat[#Headers],0)+0)/INDEX(OraakkelinDatat[#Data],MATCH((N$7-1)&amp;$A15&amp;$B15&amp;$C15&amp;$D15,Data!$A$2:$A$10149&amp;Data!$B$2:$B$10149&amp;Data!$C$2:$C$10149&amp;Data!$D$2:$D$10149&amp;Data!$E$2:$E$10149,0),MATCH("Arvo",OraakkelinDatat[#Headers],0)+0)-1)*100</f>
        <v>1.019980212751892</v>
      </c>
      <c r="O15" s="45"/>
      <c r="P15" s="46"/>
      <c r="Q15" s="47"/>
      <c r="R15" s="13"/>
      <c r="S15" s="6"/>
      <c r="T15" s="6"/>
    </row>
    <row r="16" spans="1:20" x14ac:dyDescent="0.25">
      <c r="A16" t="s">
        <v>113</v>
      </c>
      <c r="B16" t="s">
        <v>132</v>
      </c>
      <c r="C16" t="s">
        <v>11</v>
      </c>
      <c r="D16" t="s">
        <v>12</v>
      </c>
      <c r="E16" t="s">
        <v>19</v>
      </c>
      <c r="F16" s="6"/>
      <c r="G16" s="37"/>
      <c r="H16" s="43" t="s">
        <v>577</v>
      </c>
      <c r="I16" s="44" cm="1">
        <f t="array" ref="I16">(
  (
    INDEX(
      OraakkelinDatat[#Data],
      MATCH(
        (I$7)&amp;$A16&amp;$B16&amp;$C16&amp;$D16,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(I$7)&amp;$A13&amp;$B16&amp;$C16&amp;$D16,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(I$7-1)&amp;$A16&amp;$E16&amp;$C16&amp;$D16,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(I$7-1)&amp;$A13&amp;$E16&amp;$C16&amp;$D16,
        Data!$A$2:$A$10149&amp;Data!$B$2:$B$10149&amp;Data!$C$2:$C$10149&amp;Data!$D$2:$D$10149&amp;Data!$E$2:$E$10149,
        0
      ),
      MATCH("Arvo",OraakkelinDatat[#Headers],0)+0
    )
  )
  -1
)*100</f>
        <v>-0.88531495142988303</v>
      </c>
      <c r="J16" s="44" cm="1">
        <f t="array" ref="J16">(
  (
    INDEX(
      OraakkelinDatat[#Data],
      MATCH(
        (J$7)&amp;$A16&amp;$B16&amp;$C16&amp;$D16,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(J$7)&amp;$A13&amp;$B16&amp;$C16&amp;$D16,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(J$7-1)&amp;$A16&amp;$E16&amp;$C16&amp;$D16,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(J$7-1)&amp;$A13&amp;$E16&amp;$C16&amp;$D16,
        Data!$A$2:$A$10149&amp;Data!$B$2:$B$10149&amp;Data!$C$2:$C$10149&amp;Data!$D$2:$D$10149&amp;Data!$E$2:$E$10149,
        0
      ),
      MATCH("Arvo",OraakkelinDatat[#Headers],0)+0
    )
  )
  -1
)*100</f>
        <v>-0.61945248185013568</v>
      </c>
      <c r="K16" s="44" cm="1">
        <f t="array" ref="K16">(
  (
    INDEX(
      OraakkelinDatat[#Data],
      MATCH(
        (K$7)&amp;$A16&amp;$B16&amp;$C16&amp;$D16,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(K$7)&amp;$A13&amp;$B16&amp;$C16&amp;$D16,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(K$7-1)&amp;$A16&amp;$E16&amp;$C16&amp;$D16,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(K$7-1)&amp;$A13&amp;$E16&amp;$C16&amp;$D16,
        Data!$A$2:$A$10149&amp;Data!$B$2:$B$10149&amp;Data!$C$2:$C$10149&amp;Data!$D$2:$D$10149&amp;Data!$E$2:$E$10149,
        0
      ),
      MATCH("Arvo",OraakkelinDatat[#Headers],0)+0
    )
  )
  -1
)*100</f>
        <v>-0.20254528108135661</v>
      </c>
      <c r="L16" s="141" cm="1">
        <f t="array" ref="L16">(
  (
    INDEX(
      OraakkelinDatat[#Data],
      MATCH(
        (L$7)&amp;$A16&amp;$B16&amp;$C16&amp;$D16,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(L$7)&amp;$A13&amp;$B16&amp;$C16&amp;$D16,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(L$7-1)&amp;$A16&amp;$E16&amp;$C16&amp;$D16,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(L$7-1)&amp;$A13&amp;$E16&amp;$C16&amp;$D16,
        Data!$A$2:$A$10149&amp;Data!$B$2:$B$10149&amp;Data!$C$2:$C$10149&amp;Data!$D$2:$D$10149&amp;Data!$E$2:$E$10149,
        0
      ),
      MATCH("Arvo",OraakkelinDatat[#Headers],0)+0
    )
  )
  -1
)*100</f>
        <v>2.1524568787981702</v>
      </c>
      <c r="M16" s="44" cm="1">
        <f t="array" ref="M16">(
  (
    INDEX(
      OraakkelinDatat[#Data],
      MATCH(
        (M$7)&amp;$A16&amp;$B16&amp;$C16&amp;$D16,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(M$7)&amp;$A13&amp;$B16&amp;$C16&amp;$D16,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(M$7-1)&amp;$A16&amp;$E16&amp;$C16&amp;$D16,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(M$7-1)&amp;$A13&amp;$E16&amp;$C16&amp;$D16,
        Data!$A$2:$A$10149&amp;Data!$B$2:$B$10149&amp;Data!$C$2:$C$10149&amp;Data!$D$2:$D$10149&amp;Data!$E$2:$E$10149,
        0
      ),
      MATCH("Arvo",OraakkelinDatat[#Headers],0)+0
    )
  )
  -1
)*100</f>
        <v>1.8511539382376041</v>
      </c>
      <c r="N16" s="44" cm="1">
        <f t="array" ref="N16">(
  (
    INDEX(
      OraakkelinDatat[#Data],
      MATCH(
        (N$7)&amp;$A16&amp;$B16&amp;$C16&amp;$D16,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(N$7)&amp;$A13&amp;$B16&amp;$C16&amp;$D16,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(N$7-1)&amp;$A16&amp;$E16&amp;$C16&amp;$D16,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(N$7-1)&amp;$A13&amp;$E16&amp;$C16&amp;$D16,
        Data!$A$2:$A$10149&amp;Data!$B$2:$B$10149&amp;Data!$C$2:$C$10149&amp;Data!$D$2:$D$10149&amp;Data!$E$2:$E$10149,
        0
      ),
      MATCH("Arvo",OraakkelinDatat[#Headers],0)+0
    )
  )
  -1
)*100</f>
        <v>1.7811606599737129</v>
      </c>
      <c r="O16" s="45"/>
      <c r="P16" s="46"/>
      <c r="Q16" s="47"/>
      <c r="R16" s="13"/>
      <c r="S16" s="6"/>
      <c r="T16" s="6"/>
    </row>
    <row r="17" spans="1:20" x14ac:dyDescent="0.25">
      <c r="F17" s="6"/>
      <c r="G17" s="37"/>
      <c r="H17" s="43" t="s">
        <v>578</v>
      </c>
      <c r="I17" s="44">
        <f t="shared" ref="I17:K17" si="1">I10-(I16+I21)</f>
        <v>-3.0816933784343967</v>
      </c>
      <c r="J17" s="44">
        <f t="shared" si="1"/>
        <v>0.61949387689005675</v>
      </c>
      <c r="K17" s="44">
        <f t="shared" si="1"/>
        <v>6.8899739679066707E-2</v>
      </c>
      <c r="L17" s="141">
        <f>L10-(L16+L21)</f>
        <v>0.12501449563355171</v>
      </c>
      <c r="M17" s="44">
        <f t="shared" ref="M17:N17" si="2">M10-(M16+M21)</f>
        <v>-2.2093278266831273E-2</v>
      </c>
      <c r="N17" s="44">
        <f t="shared" si="2"/>
        <v>-1.973971137008057E-2</v>
      </c>
      <c r="O17" s="45"/>
      <c r="P17" s="46"/>
      <c r="Q17" s="47"/>
      <c r="R17" s="13"/>
      <c r="S17" s="6"/>
      <c r="T17" s="6"/>
    </row>
    <row r="18" spans="1:20" x14ac:dyDescent="0.25">
      <c r="A18" t="s">
        <v>190</v>
      </c>
      <c r="B18" t="s">
        <v>20</v>
      </c>
      <c r="C18" t="s">
        <v>11</v>
      </c>
      <c r="D18" t="s">
        <v>12</v>
      </c>
      <c r="F18" s="6"/>
      <c r="G18" s="37"/>
      <c r="H18" s="43" t="s">
        <v>579</v>
      </c>
      <c r="I18" s="44" cm="1">
        <f t="array" ref="I18">(INDEX(OraakkelinDatat[#Data],MATCH((I$7)&amp;$A18&amp;$B18&amp;$C18&amp;$D18,Data!$A$2:$A$10149&amp;Data!$B$2:$B$10149&amp;Data!$C$2:$C$10149&amp;Data!$D$2:$D$10149&amp;Data!$E$2:$E$10149,0),MATCH("Arvo",OraakkelinDatat[#Headers],0)+0)/INDEX(OraakkelinDatat[#Data],MATCH((I$7-1)&amp;$A18&amp;$B18&amp;$C18&amp;$D18,Data!$A$2:$A$10149&amp;Data!$B$2:$B$10149&amp;Data!$C$2:$C$10149&amp;Data!$D$2:$D$10149&amp;Data!$E$2:$E$10149,0),MATCH("Arvo",OraakkelinDatat[#Headers],0)+0)-1)*100</f>
        <v>-2.9952805135286864</v>
      </c>
      <c r="J18" s="44" cm="1">
        <f t="array" ref="J18">(INDEX(OraakkelinDatat[#Data],MATCH((J$7)&amp;$A18&amp;$B18&amp;$C18&amp;$D18,Data!$A$2:$A$10149&amp;Data!$B$2:$B$10149&amp;Data!$C$2:$C$10149&amp;Data!$D$2:$D$10149&amp;Data!$E$2:$E$10149,0),MATCH("Arvo",OraakkelinDatat[#Headers],0)+0)/INDEX(OraakkelinDatat[#Data],MATCH((J$7-1)&amp;$A18&amp;$B18&amp;$C18&amp;$D18,Data!$A$2:$A$10149&amp;Data!$B$2:$B$10149&amp;Data!$C$2:$C$10149&amp;Data!$D$2:$D$10149&amp;Data!$E$2:$E$10149,0),MATCH("Arvo",OraakkelinDatat[#Headers],0)+0)-1)*100</f>
        <v>0.50216509811773502</v>
      </c>
      <c r="K18" s="44" cm="1">
        <f t="array" ref="K18">(INDEX(OraakkelinDatat[#Data],MATCH((K$7)&amp;$A18&amp;$B18&amp;$C18&amp;$D18,Data!$A$2:$A$10149&amp;Data!$B$2:$B$10149&amp;Data!$C$2:$C$10149&amp;Data!$D$2:$D$10149&amp;Data!$E$2:$E$10149,0),MATCH("Arvo",OraakkelinDatat[#Headers],0)+0)/INDEX(OraakkelinDatat[#Data],MATCH((K$7-1)&amp;$A18&amp;$B18&amp;$C18&amp;$D18,Data!$A$2:$A$10149&amp;Data!$B$2:$B$10149&amp;Data!$C$2:$C$10149&amp;Data!$D$2:$D$10149&amp;Data!$E$2:$E$10149,0),MATCH("Arvo",OraakkelinDatat[#Headers],0)+0)-1)*100</f>
        <v>1.3900087478714074</v>
      </c>
      <c r="L18" s="44" cm="1">
        <f t="array" ref="L18">(INDEX(OraakkelinDatat[#Data],MATCH((L$7)&amp;$A18&amp;$B18&amp;$C18&amp;$D18,Data!$A$2:$A$10149&amp;Data!$B$2:$B$10149&amp;Data!$C$2:$C$10149&amp;Data!$D$2:$D$10149&amp;Data!$E$2:$E$10149,0),MATCH("Arvo",OraakkelinDatat[#Headers],0)+0)/INDEX(OraakkelinDatat[#Data],MATCH((L$7-1)&amp;$A18&amp;$B18&amp;$C18&amp;$D18,Data!$A$2:$A$10149&amp;Data!$B$2:$B$10149&amp;Data!$C$2:$C$10149&amp;Data!$D$2:$D$10149&amp;Data!$E$2:$E$10149,0),MATCH("Arvo",OraakkelinDatat[#Headers],0)+0)-1)*100</f>
        <v>2.2549596543910422</v>
      </c>
      <c r="M18" s="44" cm="1">
        <f t="array" ref="M18">(INDEX(OraakkelinDatat[#Data],MATCH((M$7)&amp;$A18&amp;$B18&amp;$C18&amp;$D18,Data!$A$2:$A$10149&amp;Data!$B$2:$B$10149&amp;Data!$C$2:$C$10149&amp;Data!$D$2:$D$10149&amp;Data!$E$2:$E$10149,0),MATCH("Arvo",OraakkelinDatat[#Headers],0)+0)/INDEX(OraakkelinDatat[#Data],MATCH((M$7-1)&amp;$A18&amp;$B18&amp;$C18&amp;$D18,Data!$A$2:$A$10149&amp;Data!$B$2:$B$10149&amp;Data!$C$2:$C$10149&amp;Data!$D$2:$D$10149&amp;Data!$E$2:$E$10149,0),MATCH("Arvo",OraakkelinDatat[#Headers],0)+0)-1)*100</f>
        <v>1.7653551476602303</v>
      </c>
      <c r="N18" s="44" cm="1">
        <f t="array" ref="N18">(INDEX(OraakkelinDatat[#Data],MATCH((N$7)&amp;$A18&amp;$B18&amp;$C18&amp;$D18,Data!$A$2:$A$10149&amp;Data!$B$2:$B$10149&amp;Data!$C$2:$C$10149&amp;Data!$D$2:$D$10149&amp;Data!$E$2:$E$10149,0),MATCH("Arvo",OraakkelinDatat[#Headers],0)+0)/INDEX(OraakkelinDatat[#Data],MATCH((N$7-1)&amp;$A18&amp;$B18&amp;$C18&amp;$D18,Data!$A$2:$A$10149&amp;Data!$B$2:$B$10149&amp;Data!$C$2:$C$10149&amp;Data!$D$2:$D$10149&amp;Data!$E$2:$E$10149,0),MATCH("Arvo",OraakkelinDatat[#Headers],0)+0)-1)*100</f>
        <v>1.8379105228775838</v>
      </c>
      <c r="O18" s="45"/>
      <c r="P18" s="46"/>
      <c r="Q18" s="47"/>
      <c r="R18" s="13"/>
      <c r="S18" s="6"/>
      <c r="T18" s="6"/>
    </row>
    <row r="19" spans="1:20" x14ac:dyDescent="0.25">
      <c r="A19" t="s">
        <v>136</v>
      </c>
      <c r="B19" t="s">
        <v>20</v>
      </c>
      <c r="C19" t="s">
        <v>11</v>
      </c>
      <c r="D19" t="s">
        <v>55</v>
      </c>
      <c r="F19" s="6"/>
      <c r="G19" s="37"/>
      <c r="H19" s="43" t="s">
        <v>580</v>
      </c>
      <c r="I19" s="44" cm="1">
        <f t="array" ref="I19">(INDEX(OraakkelinDatat[#Data],MATCH((I$7)&amp;$A19&amp;$B19&amp;$C19&amp;$D19,Data!$A$2:$A$10149&amp;Data!$B$2:$B$10149&amp;Data!$C$2:$C$10149&amp;Data!$D$2:$D$10149&amp;Data!$E$2:$E$10149,0),MATCH("Arvo",OraakkelinDatat[#Headers],0)+0)/INDEX(OraakkelinDatat[#Data],MATCH((I$7-1)&amp;$A19&amp;$B19&amp;$C19&amp;$D19,Data!$A$2:$A$10149&amp;Data!$B$2:$B$10149&amp;Data!$C$2:$C$10149&amp;Data!$D$2:$D$10149&amp;Data!$E$2:$E$10149,0),MATCH("Arvo",OraakkelinDatat[#Headers],0)+0)-1)*100</f>
        <v>-1.035512424016205</v>
      </c>
      <c r="J19" s="44" cm="1">
        <f t="array" ref="J19">(INDEX(OraakkelinDatat[#Data],MATCH((J$7)&amp;$A19&amp;$B19&amp;$C19&amp;$D19,Data!$A$2:$A$10149&amp;Data!$B$2:$B$10149&amp;Data!$C$2:$C$10149&amp;Data!$D$2:$D$10149&amp;Data!$E$2:$E$10149,0),MATCH("Arvo",OraakkelinDatat[#Headers],0)+0)/INDEX(OraakkelinDatat[#Data],MATCH((J$7-1)&amp;$A19&amp;$B19&amp;$C19&amp;$D19,Data!$A$2:$A$10149&amp;Data!$B$2:$B$10149&amp;Data!$C$2:$C$10149&amp;Data!$D$2:$D$10149&amp;Data!$E$2:$E$10149,0),MATCH("Arvo",OraakkelinDatat[#Headers],0)+0)-1)*100</f>
        <v>1.0118643519865467</v>
      </c>
      <c r="K19" s="44" cm="1">
        <f t="array" ref="K19">(INDEX(OraakkelinDatat[#Data],MATCH((K$7)&amp;$A19&amp;$B19&amp;$C19&amp;$D19,Data!$A$2:$A$10149&amp;Data!$B$2:$B$10149&amp;Data!$C$2:$C$10149&amp;Data!$D$2:$D$10149&amp;Data!$E$2:$E$10149,0),MATCH("Arvo",OraakkelinDatat[#Headers],0)+0)/INDEX(OraakkelinDatat[#Data],MATCH((K$7-1)&amp;$A19&amp;$B19&amp;$C19&amp;$D19,Data!$A$2:$A$10149&amp;Data!$B$2:$B$10149&amp;Data!$C$2:$C$10149&amp;Data!$D$2:$D$10149&amp;Data!$E$2:$E$10149,0),MATCH("Arvo",OraakkelinDatat[#Headers],0)+0)-1)*100</f>
        <v>5.2113337173824936</v>
      </c>
      <c r="L19" s="141" cm="1">
        <f t="array" ref="L19">(INDEX(OraakkelinDatat[#Data],MATCH((L$7)&amp;$A19&amp;$B19&amp;$C19&amp;$D19,Data!$A$2:$A$10149&amp;Data!$B$2:$B$10149&amp;Data!$C$2:$C$10149&amp;Data!$D$2:$D$10149&amp;Data!$E$2:$E$10149,0),MATCH("Arvo",OraakkelinDatat[#Headers],0)+0)/INDEX(OraakkelinDatat[#Data],MATCH((L$7-1)&amp;$A19&amp;$B19&amp;$C19&amp;$D19,Data!$A$2:$A$10149&amp;Data!$B$2:$B$10149&amp;Data!$C$2:$C$10149&amp;Data!$D$2:$D$10149&amp;Data!$E$2:$E$10149,0),MATCH("Arvo",OraakkelinDatat[#Headers],0)+0)-1)*100</f>
        <v>2.1389042109852596</v>
      </c>
      <c r="M19" s="44" cm="1">
        <f t="array" ref="M19">(INDEX(OraakkelinDatat[#Data],MATCH((M$7)&amp;$A19&amp;$B19&amp;$C19&amp;$D19,Data!$A$2:$A$10149&amp;Data!$B$2:$B$10149&amp;Data!$C$2:$C$10149&amp;Data!$D$2:$D$10149&amp;Data!$E$2:$E$10149,0),MATCH("Arvo",OraakkelinDatat[#Headers],0)+0)/INDEX(OraakkelinDatat[#Data],MATCH((M$7-1)&amp;$A19&amp;$B19&amp;$C19&amp;$D19,Data!$A$2:$A$10149&amp;Data!$B$2:$B$10149&amp;Data!$C$2:$C$10149&amp;Data!$D$2:$D$10149&amp;Data!$E$2:$E$10149,0),MATCH("Arvo",OraakkelinDatat[#Headers],0)+0)-1)*100</f>
        <v>1.6000000754474053</v>
      </c>
      <c r="N19" s="44" cm="1">
        <f t="array" ref="N19">(INDEX(OraakkelinDatat[#Data],MATCH((N$7)&amp;$A19&amp;$B19&amp;$C19&amp;$D19,Data!$A$2:$A$10149&amp;Data!$B$2:$B$10149&amp;Data!$C$2:$C$10149&amp;Data!$D$2:$D$10149&amp;Data!$E$2:$E$10149,0),MATCH("Arvo",OraakkelinDatat[#Headers],0)+0)/INDEX(OraakkelinDatat[#Data],MATCH((N$7-1)&amp;$A19&amp;$B19&amp;$C19&amp;$D19,Data!$A$2:$A$10149&amp;Data!$B$2:$B$10149&amp;Data!$C$2:$C$10149&amp;Data!$D$2:$D$10149&amp;Data!$E$2:$E$10149,0),MATCH("Arvo",OraakkelinDatat[#Headers],0)+0)-1)*100</f>
        <v>1.9906147893671511</v>
      </c>
      <c r="O19" s="45"/>
      <c r="P19" s="46"/>
      <c r="Q19" s="47"/>
      <c r="R19" s="13"/>
      <c r="S19" s="6"/>
      <c r="T19" s="6"/>
    </row>
    <row r="20" spans="1:20" x14ac:dyDescent="0.25">
      <c r="A20" t="s">
        <v>141</v>
      </c>
      <c r="B20" t="s">
        <v>20</v>
      </c>
      <c r="C20" t="s">
        <v>11</v>
      </c>
      <c r="D20" t="s">
        <v>55</v>
      </c>
      <c r="F20" s="6"/>
      <c r="G20" s="37"/>
      <c r="H20" s="43" t="s">
        <v>581</v>
      </c>
      <c r="I20" s="44" cm="1">
        <f t="array" ref="I20">(INDEX(OraakkelinDatat[#Data],MATCH((I$7)&amp;$A20&amp;$B20&amp;$C20&amp;$D20,Data!$A$2:$A$10149&amp;Data!$B$2:$B$10149&amp;Data!$C$2:$C$10149&amp;Data!$D$2:$D$10149&amp;Data!$E$2:$E$10149,0),MATCH("Arvo",OraakkelinDatat[#Headers],0)+0)/INDEX(OraakkelinDatat[#Data],MATCH((I$7-1)&amp;$A20&amp;$B20&amp;$C20&amp;$D20,Data!$A$2:$A$10149&amp;Data!$B$2:$B$10149&amp;Data!$C$2:$C$10149&amp;Data!$D$2:$D$10149&amp;Data!$E$2:$E$10149,0),MATCH("Arvo",OraakkelinDatat[#Headers],0)+0)-1)*100</f>
        <v>-6.664797251960386</v>
      </c>
      <c r="J20" s="44" cm="1">
        <f t="array" ref="J20">(INDEX(OraakkelinDatat[#Data],MATCH((J$7)&amp;$A20&amp;$B20&amp;$C20&amp;$D20,Data!$A$2:$A$10149&amp;Data!$B$2:$B$10149&amp;Data!$C$2:$C$10149&amp;Data!$D$2:$D$10149&amp;Data!$E$2:$E$10149,0),MATCH("Arvo",OraakkelinDatat[#Headers],0)+0)/INDEX(OraakkelinDatat[#Data],MATCH((J$7-1)&amp;$A20&amp;$B20&amp;$C20&amp;$D20,Data!$A$2:$A$10149&amp;Data!$B$2:$B$10149&amp;Data!$C$2:$C$10149&amp;Data!$D$2:$D$10149&amp;Data!$E$2:$E$10149,0),MATCH("Arvo",OraakkelinDatat[#Headers],0)+0)-1)*100</f>
        <v>-1.3047490289491148</v>
      </c>
      <c r="K20" s="44" cm="1">
        <f t="array" ref="K20">(INDEX(OraakkelinDatat[#Data],MATCH((K$7)&amp;$A20&amp;$B20&amp;$C20&amp;$D20,Data!$A$2:$A$10149&amp;Data!$B$2:$B$10149&amp;Data!$C$2:$C$10149&amp;Data!$D$2:$D$10149&amp;Data!$E$2:$E$10149,0),MATCH("Arvo",OraakkelinDatat[#Headers],0)+0)/INDEX(OraakkelinDatat[#Data],MATCH((K$7-1)&amp;$A20&amp;$B20&amp;$C20&amp;$D20,Data!$A$2:$A$10149&amp;Data!$B$2:$B$10149&amp;Data!$C$2:$C$10149&amp;Data!$D$2:$D$10149&amp;Data!$E$2:$E$10149,0),MATCH("Arvo",OraakkelinDatat[#Headers],0)+0)-1)*100</f>
        <v>2.8701267639320793</v>
      </c>
      <c r="L20" s="141" cm="1">
        <f t="array" ref="L20">(INDEX(OraakkelinDatat[#Data],MATCH((L$7)&amp;$A20&amp;$B20&amp;$C20&amp;$D20,Data!$A$2:$A$10149&amp;Data!$B$2:$B$10149&amp;Data!$C$2:$C$10149&amp;Data!$D$2:$D$10149&amp;Data!$E$2:$E$10149,0),MATCH("Arvo",OraakkelinDatat[#Headers],0)+0)/INDEX(OraakkelinDatat[#Data],MATCH((L$7-1)&amp;$A20&amp;$B20&amp;$C20&amp;$D20,Data!$A$2:$A$10149&amp;Data!$B$2:$B$10149&amp;Data!$C$2:$C$10149&amp;Data!$D$2:$D$10149&amp;Data!$E$2:$E$10149,0),MATCH("Arvo",OraakkelinDatat[#Headers],0)+0)-1)*100</f>
        <v>4.0078248927310822</v>
      </c>
      <c r="M20" s="44" cm="1">
        <f t="array" ref="M20">(INDEX(OraakkelinDatat[#Data],MATCH((M$7)&amp;$A20&amp;$B20&amp;$C20&amp;$D20,Data!$A$2:$A$10149&amp;Data!$B$2:$B$10149&amp;Data!$C$2:$C$10149&amp;Data!$D$2:$D$10149&amp;Data!$E$2:$E$10149,0),MATCH("Arvo",OraakkelinDatat[#Headers],0)+0)/INDEX(OraakkelinDatat[#Data],MATCH((M$7-1)&amp;$A20&amp;$B20&amp;$C20&amp;$D20,Data!$A$2:$A$10149&amp;Data!$B$2:$B$10149&amp;Data!$C$2:$C$10149&amp;Data!$D$2:$D$10149&amp;Data!$E$2:$E$10149,0),MATCH("Arvo",OraakkelinDatat[#Headers],0)+0)-1)*100</f>
        <v>1.7463649166797435</v>
      </c>
      <c r="N20" s="44" cm="1">
        <f t="array" ref="N20">(INDEX(OraakkelinDatat[#Data],MATCH((N$7)&amp;$A20&amp;$B20&amp;$C20&amp;$D20,Data!$A$2:$A$10149&amp;Data!$B$2:$B$10149&amp;Data!$C$2:$C$10149&amp;Data!$D$2:$D$10149&amp;Data!$E$2:$E$10149,0),MATCH("Arvo",OraakkelinDatat[#Headers],0)+0)/INDEX(OraakkelinDatat[#Data],MATCH((N$7-1)&amp;$A20&amp;$B20&amp;$C20&amp;$D20,Data!$A$2:$A$10149&amp;Data!$B$2:$B$10149&amp;Data!$C$2:$C$10149&amp;Data!$D$2:$D$10149&amp;Data!$E$2:$E$10149,0),MATCH("Arvo",OraakkelinDatat[#Headers],0)+0)-1)*100</f>
        <v>2.5367512218249955</v>
      </c>
      <c r="O20" s="45"/>
      <c r="P20" s="46"/>
      <c r="Q20" s="47"/>
      <c r="R20" s="13"/>
      <c r="S20" s="6"/>
      <c r="T20" s="6"/>
    </row>
    <row r="21" spans="1:20" x14ac:dyDescent="0.25">
      <c r="A21" t="s">
        <v>211</v>
      </c>
      <c r="B21" t="s">
        <v>19</v>
      </c>
      <c r="C21" t="s">
        <v>11</v>
      </c>
      <c r="D21" t="s">
        <v>55</v>
      </c>
      <c r="E21" t="s">
        <v>141</v>
      </c>
      <c r="F21" s="6"/>
      <c r="G21" s="37"/>
      <c r="H21" s="43" t="s">
        <v>582</v>
      </c>
      <c r="I21" s="44" cm="1">
        <f t="array" ref="I21">100*(((INDEX(OraakkelinDatat[#Data],MATCH((I$7-1)&amp;$A21&amp;$B21&amp;$C21&amp;$D21,Data!$A$2:$A$10149&amp;Data!$B$2:$B$10149&amp;Data!$C$2:$C$10149&amp;Data!$D$2:$D$10149&amp;Data!$E$2:$E$10149,0),MATCH("Arvo",OraakkelinDatat[#Headers],0)+0))*((INDEX(OraakkelinDatat[#Data],MATCH((I$7)&amp;$A21&amp;$B10&amp;$C21&amp;$D21,Data!$A$2:$A$10149&amp;Data!$B$2:$B$10149&amp;Data!$C$2:$C$10149&amp;Data!$D$2:$D$10149&amp;Data!$E$2:$E$10149,0),MATCH("Arvo",OraakkelinDatat[#Headers],0)+0))/(INDEX(OraakkelinDatat[#Data],MATCH((I$7-1)&amp;$A21&amp;$B10&amp;$C21&amp;$D21,Data!$A$2:$A$10149&amp;Data!$B$2:$B$10149&amp;Data!$C$2:$C$10149&amp;Data!$D$2:$D$10149&amp;Data!$E$2:$E$10149,0),MATCH("Arvo",OraakkelinDatat[#Headers],0)+0))))-((INDEX(OraakkelinDatat[#Data],MATCH((I$7-1)&amp;$A21&amp;$B21&amp;$C21&amp;$D21,Data!$A$2:$A$10149&amp;Data!$B$2:$B$10149&amp;Data!$C$2:$C$10149&amp;Data!$D$2:$D$10149&amp;Data!$E$2:$E$10149,0),MATCH("Arvo",OraakkelinDatat[#Headers],0)+0))))/((INDEX(OraakkelinDatat[#Data],MATCH((I$7-1)&amp;$A10&amp;$B21&amp;$C10&amp;$D10,Data!$A$2:$A$10149&amp;Data!$B$2:$B$10149&amp;Data!$C$2:$C$10149&amp;Data!$D$2:$D$10149&amp;Data!$E$2:$E$10149,0),MATCH("Arvo",OraakkelinDatat[#Headers],0)+0)))-100*(((INDEX(OraakkelinDatat[#Data],MATCH((I$7-1)&amp;$E21&amp;$B21&amp;$C21&amp;$D21,Data!$A$2:$A$10149&amp;Data!$B$2:$B$10149&amp;Data!$C$2:$C$10149&amp;Data!$D$2:$D$10149&amp;Data!$E$2:$E$10149,0),MATCH("Arvo",OraakkelinDatat[#Headers],0)+0))*((INDEX(OraakkelinDatat[#Data],MATCH((I$7)&amp;$E21&amp;$B10&amp;$C21&amp;$D21,Data!$A$2:$A$10149&amp;Data!$B$2:$B$10149&amp;Data!$C$2:$C$10149&amp;Data!$D$2:$D$10149&amp;Data!$E$2:$E$10149,0),MATCH("Arvo",OraakkelinDatat[#Headers],0)+0))/(INDEX(OraakkelinDatat[#Data],MATCH((I$7-1)&amp;$E21&amp;$B10&amp;$C21&amp;$D21,Data!$A$2:$A$10149&amp;Data!$B$2:$B$10149&amp;Data!$C$2:$C$10149&amp;Data!$D$2:$D$10149&amp;Data!$E$2:$E$10149,0),MATCH("Arvo",OraakkelinDatat[#Headers],0)+0))))-((INDEX(OraakkelinDatat[#Data],MATCH((I$7-1)&amp;$E21&amp;$B21&amp;$C21&amp;$D21,Data!$A$2:$A$10149&amp;Data!$B$2:$B$10149&amp;Data!$C$2:$C$10149&amp;Data!$D$2:$D$10149&amp;Data!$E$2:$E$10149,0),MATCH("Arvo",OraakkelinDatat[#Headers],0)+0))))/((INDEX(OraakkelinDatat[#Data],MATCH((I$7-1)&amp;$A10&amp;$B21&amp;$C10&amp;$D10,Data!$A$2:$A$10149&amp;Data!$B$2:$B$10149&amp;Data!$C$2:$C$10149&amp;Data!$D$2:$D$10149&amp;Data!$E$2:$E$10149,0),MATCH("Arvo",OraakkelinDatat[#Headers],0)+0)))</f>
        <v>2.7487845366753803</v>
      </c>
      <c r="J21" s="44" cm="1">
        <f t="array" ref="J21">100*(((INDEX(OraakkelinDatat[#Data],MATCH((J$7-1)&amp;$A21&amp;$B21&amp;$C21&amp;$D21,Data!$A$2:$A$10149&amp;Data!$B$2:$B$10149&amp;Data!$C$2:$C$10149&amp;Data!$D$2:$D$10149&amp;Data!$E$2:$E$10149,0),MATCH("Arvo",OraakkelinDatat[#Headers],0)+0))*((INDEX(OraakkelinDatat[#Data],MATCH((J$7)&amp;$A21&amp;$B10&amp;$C21&amp;$D21,Data!$A$2:$A$10149&amp;Data!$B$2:$B$10149&amp;Data!$C$2:$C$10149&amp;Data!$D$2:$D$10149&amp;Data!$E$2:$E$10149,0),MATCH("Arvo",OraakkelinDatat[#Headers],0)+0))/(INDEX(OraakkelinDatat[#Data],MATCH((J$7-1)&amp;$A21&amp;$B10&amp;$C21&amp;$D21,Data!$A$2:$A$10149&amp;Data!$B$2:$B$10149&amp;Data!$C$2:$C$10149&amp;Data!$D$2:$D$10149&amp;Data!$E$2:$E$10149,0),MATCH("Arvo",OraakkelinDatat[#Headers],0)+0))))-((INDEX(OraakkelinDatat[#Data],MATCH((J$7-1)&amp;$A21&amp;$B21&amp;$C21&amp;$D21,Data!$A$2:$A$10149&amp;Data!$B$2:$B$10149&amp;Data!$C$2:$C$10149&amp;Data!$D$2:$D$10149&amp;Data!$E$2:$E$10149,0),MATCH("Arvo",OraakkelinDatat[#Headers],0)+0))))/((INDEX(OraakkelinDatat[#Data],MATCH((J$7-1)&amp;$A10&amp;$B21&amp;$C10&amp;$D10,Data!$A$2:$A$10149&amp;Data!$B$2:$B$10149&amp;Data!$C$2:$C$10149&amp;Data!$D$2:$D$10149&amp;Data!$E$2:$E$10149,0),MATCH("Arvo",OraakkelinDatat[#Headers],0)+0)))-100*(((INDEX(OraakkelinDatat[#Data],MATCH((J$7-1)&amp;$E21&amp;$B21&amp;$C21&amp;$D21,Data!$A$2:$A$10149&amp;Data!$B$2:$B$10149&amp;Data!$C$2:$C$10149&amp;Data!$D$2:$D$10149&amp;Data!$E$2:$E$10149,0),MATCH("Arvo",OraakkelinDatat[#Headers],0)+0))*((INDEX(OraakkelinDatat[#Data],MATCH((J$7)&amp;$E21&amp;$B10&amp;$C21&amp;$D21,Data!$A$2:$A$10149&amp;Data!$B$2:$B$10149&amp;Data!$C$2:$C$10149&amp;Data!$D$2:$D$10149&amp;Data!$E$2:$E$10149,0),MATCH("Arvo",OraakkelinDatat[#Headers],0)+0))/(INDEX(OraakkelinDatat[#Data],MATCH((J$7-1)&amp;$E21&amp;$B10&amp;$C21&amp;$D21,Data!$A$2:$A$10149&amp;Data!$B$2:$B$10149&amp;Data!$C$2:$C$10149&amp;Data!$D$2:$D$10149&amp;Data!$E$2:$E$10149,0),MATCH("Arvo",OraakkelinDatat[#Headers],0)+0))))-((INDEX(OraakkelinDatat[#Data],MATCH((J$7-1)&amp;$E21&amp;$B21&amp;$C21&amp;$D21,Data!$A$2:$A$10149&amp;Data!$B$2:$B$10149&amp;Data!$C$2:$C$10149&amp;Data!$D$2:$D$10149&amp;Data!$E$2:$E$10149,0),MATCH("Arvo",OraakkelinDatat[#Headers],0)+0))))/((INDEX(OraakkelinDatat[#Data],MATCH((J$7-1)&amp;$A10&amp;$B21&amp;$C10&amp;$D10,Data!$A$2:$A$10149&amp;Data!$B$2:$B$10149&amp;Data!$C$2:$C$10149&amp;Data!$D$2:$D$10149&amp;Data!$E$2:$E$10149,0),MATCH("Arvo",OraakkelinDatat[#Headers],0)+0)))</f>
        <v>0.9937747621749341</v>
      </c>
      <c r="K21" s="44" cm="1">
        <f t="array" ref="K21">100*(((INDEX(OraakkelinDatat[#Data],MATCH((K$7-1)&amp;$A21&amp;$B21&amp;$C21&amp;$D21,Data!$A$2:$A$10149&amp;Data!$B$2:$B$10149&amp;Data!$C$2:$C$10149&amp;Data!$D$2:$D$10149&amp;Data!$E$2:$E$10149,0),MATCH("Arvo",OraakkelinDatat[#Headers],0)+0))*((INDEX(OraakkelinDatat[#Data],MATCH((K$7)&amp;$A21&amp;$B10&amp;$C21&amp;$D21,Data!$A$2:$A$10149&amp;Data!$B$2:$B$10149&amp;Data!$C$2:$C$10149&amp;Data!$D$2:$D$10149&amp;Data!$E$2:$E$10149,0),MATCH("Arvo",OraakkelinDatat[#Headers],0)+0))/(INDEX(OraakkelinDatat[#Data],MATCH((K$7-1)&amp;$A21&amp;$B10&amp;$C21&amp;$D21,Data!$A$2:$A$10149&amp;Data!$B$2:$B$10149&amp;Data!$C$2:$C$10149&amp;Data!$D$2:$D$10149&amp;Data!$E$2:$E$10149,0),MATCH("Arvo",OraakkelinDatat[#Headers],0)+0))))-((INDEX(OraakkelinDatat[#Data],MATCH((K$7-1)&amp;$A21&amp;$B21&amp;$C21&amp;$D21,Data!$A$2:$A$10149&amp;Data!$B$2:$B$10149&amp;Data!$C$2:$C$10149&amp;Data!$D$2:$D$10149&amp;Data!$E$2:$E$10149,0),MATCH("Arvo",OraakkelinDatat[#Headers],0)+0))))/((INDEX(OraakkelinDatat[#Data],MATCH((K$7-1)&amp;$A10&amp;$B21&amp;$C10&amp;$D10,Data!$A$2:$A$10149&amp;Data!$B$2:$B$10149&amp;Data!$C$2:$C$10149&amp;Data!$D$2:$D$10149&amp;Data!$E$2:$E$10149,0),MATCH("Arvo",OraakkelinDatat[#Headers],0)+0)))-100*(((INDEX(OraakkelinDatat[#Data],MATCH((K$7-1)&amp;$E21&amp;$B21&amp;$C21&amp;$D21,Data!$A$2:$A$10149&amp;Data!$B$2:$B$10149&amp;Data!$C$2:$C$10149&amp;Data!$D$2:$D$10149&amp;Data!$E$2:$E$10149,0),MATCH("Arvo",OraakkelinDatat[#Headers],0)+0))*((INDEX(OraakkelinDatat[#Data],MATCH((K$7)&amp;$E21&amp;$B10&amp;$C21&amp;$D21,Data!$A$2:$A$10149&amp;Data!$B$2:$B$10149&amp;Data!$C$2:$C$10149&amp;Data!$D$2:$D$10149&amp;Data!$E$2:$E$10149,0),MATCH("Arvo",OraakkelinDatat[#Headers],0)+0))/(INDEX(OraakkelinDatat[#Data],MATCH((K$7-1)&amp;$E21&amp;$B10&amp;$C21&amp;$D21,Data!$A$2:$A$10149&amp;Data!$B$2:$B$10149&amp;Data!$C$2:$C$10149&amp;Data!$D$2:$D$10149&amp;Data!$E$2:$E$10149,0),MATCH("Arvo",OraakkelinDatat[#Headers],0)+0))))-((INDEX(OraakkelinDatat[#Data],MATCH((K$7-1)&amp;$E21&amp;$B21&amp;$C21&amp;$D21,Data!$A$2:$A$10149&amp;Data!$B$2:$B$10149&amp;Data!$C$2:$C$10149&amp;Data!$D$2:$D$10149&amp;Data!$E$2:$E$10149,0),MATCH("Arvo",OraakkelinDatat[#Headers],0)+0))))/((INDEX(OraakkelinDatat[#Data],MATCH((K$7-1)&amp;$A10&amp;$B21&amp;$C10&amp;$D10,Data!$A$2:$A$10149&amp;Data!$B$2:$B$10149&amp;Data!$C$2:$C$10149&amp;Data!$D$2:$D$10149&amp;Data!$E$2:$E$10149,0),MATCH("Arvo",OraakkelinDatat[#Headers],0)+0)))</f>
        <v>0.97648294874028285</v>
      </c>
      <c r="L21" s="141" cm="1">
        <f t="array" ref="L21">100*(((INDEX(OraakkelinDatat[#Data],MATCH((L$7-1)&amp;$A21&amp;$B21&amp;$C21&amp;$D21,Data!$A$2:$A$10149&amp;Data!$B$2:$B$10149&amp;Data!$C$2:$C$10149&amp;Data!$D$2:$D$10149&amp;Data!$E$2:$E$10149,0),MATCH("Arvo",OraakkelinDatat[#Headers],0)+0))*((INDEX(OraakkelinDatat[#Data],MATCH((L$7)&amp;$A21&amp;$B10&amp;$C21&amp;$D21,Data!$A$2:$A$10149&amp;Data!$B$2:$B$10149&amp;Data!$C$2:$C$10149&amp;Data!$D$2:$D$10149&amp;Data!$E$2:$E$10149,0),MATCH("Arvo",OraakkelinDatat[#Headers],0)+0))/(INDEX(OraakkelinDatat[#Data],MATCH((L$7-1)&amp;$A21&amp;$B10&amp;$C21&amp;$D21,Data!$A$2:$A$10149&amp;Data!$B$2:$B$10149&amp;Data!$C$2:$C$10149&amp;Data!$D$2:$D$10149&amp;Data!$E$2:$E$10149,0),MATCH("Arvo",OraakkelinDatat[#Headers],0)+0))))-((INDEX(OraakkelinDatat[#Data],MATCH((L$7-1)&amp;$A21&amp;$B21&amp;$C21&amp;$D21,Data!$A$2:$A$10149&amp;Data!$B$2:$B$10149&amp;Data!$C$2:$C$10149&amp;Data!$D$2:$D$10149&amp;Data!$E$2:$E$10149,0),MATCH("Arvo",OraakkelinDatat[#Headers],0)+0))))/((INDEX(OraakkelinDatat[#Data],MATCH((L$7-1)&amp;$A10&amp;$B21&amp;$C10&amp;$D10,Data!$A$2:$A$10149&amp;Data!$B$2:$B$10149&amp;Data!$C$2:$C$10149&amp;Data!$D$2:$D$10149&amp;Data!$E$2:$E$10149,0),MATCH("Arvo",OraakkelinDatat[#Headers],0)+0)))-100*(((INDEX(OraakkelinDatat[#Data],MATCH((L$7-1)&amp;$E21&amp;$B21&amp;$C21&amp;$D21,Data!$A$2:$A$10149&amp;Data!$B$2:$B$10149&amp;Data!$C$2:$C$10149&amp;Data!$D$2:$D$10149&amp;Data!$E$2:$E$10149,0),MATCH("Arvo",OraakkelinDatat[#Headers],0)+0))*((INDEX(OraakkelinDatat[#Data],MATCH((L$7)&amp;$E21&amp;$B10&amp;$C21&amp;$D21,Data!$A$2:$A$10149&amp;Data!$B$2:$B$10149&amp;Data!$C$2:$C$10149&amp;Data!$D$2:$D$10149&amp;Data!$E$2:$E$10149,0),MATCH("Arvo",OraakkelinDatat[#Headers],0)+0))/(INDEX(OraakkelinDatat[#Data],MATCH((L$7-1)&amp;$E21&amp;$B10&amp;$C21&amp;$D21,Data!$A$2:$A$10149&amp;Data!$B$2:$B$10149&amp;Data!$C$2:$C$10149&amp;Data!$D$2:$D$10149&amp;Data!$E$2:$E$10149,0),MATCH("Arvo",OraakkelinDatat[#Headers],0)+0))))-((INDEX(OraakkelinDatat[#Data],MATCH((L$7-1)&amp;$E21&amp;$B21&amp;$C21&amp;$D21,Data!$A$2:$A$10149&amp;Data!$B$2:$B$10149&amp;Data!$C$2:$C$10149&amp;Data!$D$2:$D$10149&amp;Data!$E$2:$E$10149,0),MATCH("Arvo",OraakkelinDatat[#Headers],0)+0))))/((INDEX(OraakkelinDatat[#Data],MATCH((L$7-1)&amp;$A10&amp;$B21&amp;$C10&amp;$D10,Data!$A$2:$A$10149&amp;Data!$B$2:$B$10149&amp;Data!$C$2:$C$10149&amp;Data!$D$2:$D$10149&amp;Data!$E$2:$E$10149,0),MATCH("Arvo",OraakkelinDatat[#Headers],0)+0)))</f>
        <v>-0.74049997895121999</v>
      </c>
      <c r="M21" s="44" cm="1">
        <f t="array" ref="M21">100*(((INDEX(OraakkelinDatat[#Data],MATCH((M$7-1)&amp;$A21&amp;$B21&amp;$C21&amp;$D21,Data!$A$2:$A$10149&amp;Data!$B$2:$B$10149&amp;Data!$C$2:$C$10149&amp;Data!$D$2:$D$10149&amp;Data!$E$2:$E$10149,0),MATCH("Arvo",OraakkelinDatat[#Headers],0)+0))*((INDEX(OraakkelinDatat[#Data],MATCH((M$7)&amp;$A21&amp;$B10&amp;$C21&amp;$D21,Data!$A$2:$A$10149&amp;Data!$B$2:$B$10149&amp;Data!$C$2:$C$10149&amp;Data!$D$2:$D$10149&amp;Data!$E$2:$E$10149,0),MATCH("Arvo",OraakkelinDatat[#Headers],0)+0))/(INDEX(OraakkelinDatat[#Data],MATCH((M$7-1)&amp;$A21&amp;$B10&amp;$C21&amp;$D21,Data!$A$2:$A$10149&amp;Data!$B$2:$B$10149&amp;Data!$C$2:$C$10149&amp;Data!$D$2:$D$10149&amp;Data!$E$2:$E$10149,0),MATCH("Arvo",OraakkelinDatat[#Headers],0)+0))))-((INDEX(OraakkelinDatat[#Data],MATCH((M$7-1)&amp;$A21&amp;$B21&amp;$C21&amp;$D21,Data!$A$2:$A$10149&amp;Data!$B$2:$B$10149&amp;Data!$C$2:$C$10149&amp;Data!$D$2:$D$10149&amp;Data!$E$2:$E$10149,0),MATCH("Arvo",OraakkelinDatat[#Headers],0)+0))))/((INDEX(OraakkelinDatat[#Data],MATCH((M$7-1)&amp;$A10&amp;$B21&amp;$C10&amp;$D10,Data!$A$2:$A$10149&amp;Data!$B$2:$B$10149&amp;Data!$C$2:$C$10149&amp;Data!$D$2:$D$10149&amp;Data!$E$2:$E$10149,0),MATCH("Arvo",OraakkelinDatat[#Headers],0)+0)))-100*(((INDEX(OraakkelinDatat[#Data],MATCH((M$7-1)&amp;$E21&amp;$B21&amp;$C21&amp;$D21,Data!$A$2:$A$10149&amp;Data!$B$2:$B$10149&amp;Data!$C$2:$C$10149&amp;Data!$D$2:$D$10149&amp;Data!$E$2:$E$10149,0),MATCH("Arvo",OraakkelinDatat[#Headers],0)+0))*((INDEX(OraakkelinDatat[#Data],MATCH((M$7)&amp;$E21&amp;$B10&amp;$C21&amp;$D21,Data!$A$2:$A$10149&amp;Data!$B$2:$B$10149&amp;Data!$C$2:$C$10149&amp;Data!$D$2:$D$10149&amp;Data!$E$2:$E$10149,0),MATCH("Arvo",OraakkelinDatat[#Headers],0)+0))/(INDEX(OraakkelinDatat[#Data],MATCH((M$7-1)&amp;$E21&amp;$B10&amp;$C21&amp;$D21,Data!$A$2:$A$10149&amp;Data!$B$2:$B$10149&amp;Data!$C$2:$C$10149&amp;Data!$D$2:$D$10149&amp;Data!$E$2:$E$10149,0),MATCH("Arvo",OraakkelinDatat[#Headers],0)+0))))-((INDEX(OraakkelinDatat[#Data],MATCH((M$7-1)&amp;$E21&amp;$B21&amp;$C21&amp;$D21,Data!$A$2:$A$10149&amp;Data!$B$2:$B$10149&amp;Data!$C$2:$C$10149&amp;Data!$D$2:$D$10149&amp;Data!$E$2:$E$10149,0),MATCH("Arvo",OraakkelinDatat[#Headers],0)+0))))/((INDEX(OraakkelinDatat[#Data],MATCH((M$7-1)&amp;$A10&amp;$B21&amp;$C10&amp;$D10,Data!$A$2:$A$10149&amp;Data!$B$2:$B$10149&amp;Data!$C$2:$C$10149&amp;Data!$D$2:$D$10149&amp;Data!$E$2:$E$10149,0),MATCH("Arvo",OraakkelinDatat[#Headers],0)+0)))</f>
        <v>-5.0491284063826303E-2</v>
      </c>
      <c r="N21" s="44" cm="1">
        <f t="array" ref="N21">100*(((INDEX(OraakkelinDatat[#Data],MATCH((N$7-1)&amp;$A21&amp;$B21&amp;$C21&amp;$D21,Data!$A$2:$A$10149&amp;Data!$B$2:$B$10149&amp;Data!$C$2:$C$10149&amp;Data!$D$2:$D$10149&amp;Data!$E$2:$E$10149,0),MATCH("Arvo",OraakkelinDatat[#Headers],0)+0))*((INDEX(OraakkelinDatat[#Data],MATCH((N$7)&amp;$A21&amp;$B10&amp;$C21&amp;$D21,Data!$A$2:$A$10149&amp;Data!$B$2:$B$10149&amp;Data!$C$2:$C$10149&amp;Data!$D$2:$D$10149&amp;Data!$E$2:$E$10149,0),MATCH("Arvo",OraakkelinDatat[#Headers],0)+0))/(INDEX(OraakkelinDatat[#Data],MATCH((N$7-1)&amp;$A21&amp;$B10&amp;$C21&amp;$D21,Data!$A$2:$A$10149&amp;Data!$B$2:$B$10149&amp;Data!$C$2:$C$10149&amp;Data!$D$2:$D$10149&amp;Data!$E$2:$E$10149,0),MATCH("Arvo",OraakkelinDatat[#Headers],0)+0))))-((INDEX(OraakkelinDatat[#Data],MATCH((N$7-1)&amp;$A21&amp;$B21&amp;$C21&amp;$D21,Data!$A$2:$A$10149&amp;Data!$B$2:$B$10149&amp;Data!$C$2:$C$10149&amp;Data!$D$2:$D$10149&amp;Data!$E$2:$E$10149,0),MATCH("Arvo",OraakkelinDatat[#Headers],0)+0))))/((INDEX(OraakkelinDatat[#Data],MATCH((N$7-1)&amp;$A10&amp;$B21&amp;$C10&amp;$D10,Data!$A$2:$A$10149&amp;Data!$B$2:$B$10149&amp;Data!$C$2:$C$10149&amp;Data!$D$2:$D$10149&amp;Data!$E$2:$E$10149,0),MATCH("Arvo",OraakkelinDatat[#Headers],0)+0)))-100*(((INDEX(OraakkelinDatat[#Data],MATCH((N$7-1)&amp;$E21&amp;$B21&amp;$C21&amp;$D21,Data!$A$2:$A$10149&amp;Data!$B$2:$B$10149&amp;Data!$C$2:$C$10149&amp;Data!$D$2:$D$10149&amp;Data!$E$2:$E$10149,0),MATCH("Arvo",OraakkelinDatat[#Headers],0)+0))*((INDEX(OraakkelinDatat[#Data],MATCH((N$7)&amp;$E21&amp;$B10&amp;$C21&amp;$D21,Data!$A$2:$A$10149&amp;Data!$B$2:$B$10149&amp;Data!$C$2:$C$10149&amp;Data!$D$2:$D$10149&amp;Data!$E$2:$E$10149,0),MATCH("Arvo",OraakkelinDatat[#Headers],0)+0))/(INDEX(OraakkelinDatat[#Data],MATCH((N$7-1)&amp;$E21&amp;$B10&amp;$C21&amp;$D21,Data!$A$2:$A$10149&amp;Data!$B$2:$B$10149&amp;Data!$C$2:$C$10149&amp;Data!$D$2:$D$10149&amp;Data!$E$2:$E$10149,0),MATCH("Arvo",OraakkelinDatat[#Headers],0)+0))))-((INDEX(OraakkelinDatat[#Data],MATCH((N$7-1)&amp;$E21&amp;$B21&amp;$C21&amp;$D21,Data!$A$2:$A$10149&amp;Data!$B$2:$B$10149&amp;Data!$C$2:$C$10149&amp;Data!$D$2:$D$10149&amp;Data!$E$2:$E$10149,0),MATCH("Arvo",OraakkelinDatat[#Headers],0)+0))))/((INDEX(OraakkelinDatat[#Data],MATCH((N$7-1)&amp;$A10&amp;$B21&amp;$C10&amp;$D10,Data!$A$2:$A$10149&amp;Data!$B$2:$B$10149&amp;Data!$C$2:$C$10149&amp;Data!$D$2:$D$10149&amp;Data!$E$2:$E$10149,0),MATCH("Arvo",OraakkelinDatat[#Headers],0)+0)))</f>
        <v>-0.21601100591872691</v>
      </c>
      <c r="O21" s="45"/>
      <c r="P21" s="46"/>
      <c r="Q21" s="47"/>
      <c r="R21" s="13"/>
      <c r="S21" s="6"/>
      <c r="T21" s="6"/>
    </row>
    <row r="22" spans="1:20" x14ac:dyDescent="0.25">
      <c r="F22" s="6"/>
      <c r="G22" s="50" t="s">
        <v>584</v>
      </c>
      <c r="H22" s="17"/>
      <c r="I22" s="51"/>
      <c r="J22" s="51"/>
      <c r="K22" s="52"/>
      <c r="L22" s="52"/>
      <c r="M22" s="52"/>
      <c r="N22" s="53"/>
      <c r="O22" s="54"/>
      <c r="P22" s="55"/>
      <c r="Q22" s="56"/>
      <c r="R22" s="13"/>
      <c r="S22" s="6"/>
      <c r="T22" s="6"/>
    </row>
    <row r="23" spans="1:20" x14ac:dyDescent="0.25">
      <c r="A23" t="s">
        <v>18</v>
      </c>
      <c r="B23" t="s">
        <v>308</v>
      </c>
      <c r="C23" t="s">
        <v>11</v>
      </c>
      <c r="D23" t="s">
        <v>12</v>
      </c>
      <c r="F23" s="6"/>
      <c r="G23" s="37"/>
      <c r="H23" s="57" t="s">
        <v>585</v>
      </c>
      <c r="I23" s="58" cm="1">
        <f t="array" ref="I23">INDEX(OraakkelinDatat[#Data],MATCH((I$7)&amp;$A23&amp;$B23&amp;$C23&amp;$D23,Data!$A$2:$A$10149&amp;Data!$B$2:$B$10149&amp;Data!$C$2:$C$10149&amp;Data!$D$2:$D$10149&amp;Data!$E$2:$E$10149,0),MATCH("Arvo",OraakkelinDatat[#Headers],0)+0)</f>
        <v>3.9257488039999999</v>
      </c>
      <c r="J23" s="58" cm="1">
        <f t="array" ref="J23">INDEX(OraakkelinDatat[#Data],MATCH((J$7)&amp;$A23&amp;$B23&amp;$C23&amp;$D23,Data!$A$2:$A$10149&amp;Data!$B$2:$B$10149&amp;Data!$C$2:$C$10149&amp;Data!$D$2:$D$10149&amp;Data!$E$2:$E$10149,0),MATCH("Arvo",OraakkelinDatat[#Headers],0)+0)</f>
        <v>0.256136166</v>
      </c>
      <c r="K23" s="58" cm="1">
        <f t="array" ref="K23">INDEX(OraakkelinDatat[#Data],MATCH((K$7)&amp;$A23&amp;$B23&amp;$C23&amp;$D23,Data!$A$2:$A$10149&amp;Data!$B$2:$B$10149&amp;Data!$C$2:$C$10149&amp;Data!$D$2:$D$10149&amp;Data!$E$2:$E$10149,0),MATCH("Arvo",OraakkelinDatat[#Headers],0)+0)</f>
        <v>1.1866251880000001</v>
      </c>
      <c r="L23" s="58" cm="1">
        <f t="array" ref="L23">INDEX(OraakkelinDatat[#Data],MATCH((L$7)&amp;$A23&amp;$B23&amp;$C23&amp;$D23,Data!$A$2:$A$10149&amp;Data!$B$2:$B$10149&amp;Data!$C$2:$C$10149&amp;Data!$D$2:$D$10149&amp;Data!$E$2:$E$10149,0),MATCH("Arvo",OraakkelinDatat[#Headers],0)+0)</f>
        <v>2.370842401</v>
      </c>
      <c r="M23" s="58" cm="1">
        <f t="array" ref="M23">INDEX(OraakkelinDatat[#Data],MATCH((M$7)&amp;$A23&amp;$B23&amp;$C23&amp;$D23,Data!$A$2:$A$10149&amp;Data!$B$2:$B$10149&amp;Data!$C$2:$C$10149&amp;Data!$D$2:$D$10149&amp;Data!$E$2:$E$10149,0),MATCH("Arvo",OraakkelinDatat[#Headers],0)+0)</f>
        <v>2.1726696460000001</v>
      </c>
      <c r="N23" s="145" cm="1">
        <f t="array" ref="N23">INDEX(OraakkelinDatat[#Data],MATCH((N$7)&amp;$A23&amp;$B23&amp;$C23&amp;$D23,Data!$A$2:$A$10149&amp;Data!$B$2:$B$10149&amp;Data!$C$2:$C$10149&amp;Data!$D$2:$D$10149&amp;Data!$E$2:$E$10149,0),MATCH("Arvo",OraakkelinDatat[#Headers],0)+0)</f>
        <v>2.4478606510000001</v>
      </c>
      <c r="O23" s="59"/>
      <c r="P23" s="60"/>
      <c r="Q23" s="61"/>
      <c r="R23" s="13"/>
      <c r="S23" s="6"/>
      <c r="T23" s="6"/>
    </row>
    <row r="24" spans="1:20" x14ac:dyDescent="0.25">
      <c r="A24" t="s">
        <v>195</v>
      </c>
      <c r="B24" t="s">
        <v>82</v>
      </c>
      <c r="C24" t="s">
        <v>11</v>
      </c>
      <c r="D24" t="s">
        <v>12</v>
      </c>
      <c r="F24" s="62"/>
      <c r="G24" s="37"/>
      <c r="H24" s="43" t="s">
        <v>586</v>
      </c>
      <c r="I24" s="58" cm="1">
        <f t="array" ref="I24">INDEX(OraakkelinDatat[#Data],MATCH((I$7)&amp;$A24&amp;$B24&amp;$C24&amp;$D24,Data!$A$2:$A$10149&amp;Data!$B$2:$B$10149&amp;Data!$C$2:$C$10149&amp;Data!$D$2:$D$10149&amp;Data!$E$2:$E$10149,0),MATCH("Arvo",OraakkelinDatat[#Headers],0)+0)</f>
        <v>4.3</v>
      </c>
      <c r="J24" s="58" cm="1">
        <f t="array" ref="J24">INDEX(OraakkelinDatat[#Data],MATCH((J$7)&amp;$A24&amp;$B24&amp;$C24&amp;$D24,Data!$A$2:$A$10149&amp;Data!$B$2:$B$10149&amp;Data!$C$2:$C$10149&amp;Data!$D$2:$D$10149&amp;Data!$E$2:$E$10149,0),MATCH("Arvo",OraakkelinDatat[#Headers],0)+0)</f>
        <v>1</v>
      </c>
      <c r="K24" s="58" cm="1">
        <f t="array" ref="K24">INDEX(OraakkelinDatat[#Data],MATCH((K$7)&amp;$A24&amp;$B24&amp;$C24&amp;$D24,Data!$A$2:$A$10149&amp;Data!$B$2:$B$10149&amp;Data!$C$2:$C$10149&amp;Data!$D$2:$D$10149&amp;Data!$E$2:$E$10149,0),MATCH("Arvo",OraakkelinDatat[#Headers],0)+0)</f>
        <v>1.8</v>
      </c>
      <c r="L24" s="58" cm="1">
        <f t="array" ref="L24">INDEX(OraakkelinDatat[#Data],MATCH((L$7)&amp;$A24&amp;$B24&amp;$C24&amp;$D24,Data!$A$2:$A$10149&amp;Data!$B$2:$B$10149&amp;Data!$C$2:$C$10149&amp;Data!$D$2:$D$10149&amp;Data!$E$2:$E$10149,0),MATCH("Arvo",OraakkelinDatat[#Headers],0)+0)</f>
        <v>2.5365139289999998</v>
      </c>
      <c r="M24" s="58" cm="1">
        <f t="array" ref="M24">INDEX(OraakkelinDatat[#Data],MATCH((M$7)&amp;$A24&amp;$B24&amp;$C24&amp;$D24,Data!$A$2:$A$10149&amp;Data!$B$2:$B$10149&amp;Data!$C$2:$C$10149&amp;Data!$D$2:$D$10149&amp;Data!$E$2:$E$10149,0),MATCH("Arvo",OraakkelinDatat[#Headers],0)+0)</f>
        <v>1.438715698</v>
      </c>
      <c r="N24" s="58" cm="1">
        <f t="array" ref="N24">INDEX(OraakkelinDatat[#Data],MATCH((N$7)&amp;$A24&amp;$B24&amp;$C24&amp;$D24,Data!$A$2:$A$10149&amp;Data!$B$2:$B$10149&amp;Data!$C$2:$C$10149&amp;Data!$D$2:$D$10149&amp;Data!$E$2:$E$10149,0),MATCH("Arvo",OraakkelinDatat[#Headers],0)+0)</f>
        <v>2.0919850100000001</v>
      </c>
      <c r="O24" s="45"/>
      <c r="P24" s="46"/>
      <c r="Q24" s="47"/>
      <c r="R24" s="13"/>
      <c r="S24" s="6"/>
      <c r="T24" s="6"/>
    </row>
    <row r="25" spans="1:20" x14ac:dyDescent="0.25">
      <c r="A25" t="s">
        <v>136</v>
      </c>
      <c r="B25" t="s">
        <v>19</v>
      </c>
      <c r="C25" t="s">
        <v>11</v>
      </c>
      <c r="D25" t="s">
        <v>55</v>
      </c>
      <c r="E25" t="s">
        <v>20</v>
      </c>
      <c r="F25" s="6"/>
      <c r="G25" s="37"/>
      <c r="H25" s="43" t="s">
        <v>588</v>
      </c>
      <c r="I25" s="58" cm="1">
        <f t="array" ref="I25">((INDEX(OraakkelinDatat[#Data],MATCH((I$7)&amp;$A25&amp;$B25&amp;$C25&amp;$D25,Data!$A$2:$A$10149&amp;Data!$B$2:$B$10149&amp;Data!$C$2:$C$10149&amp;Data!$D$2:$D$10149&amp;Data!$E$2:$E$10149,0),MATCH("Arvo",OraakkelinDatat[#Headers],0)+0)/INDEX(OraakkelinDatat[#Data],MATCH((I$7-1)&amp;$A25&amp;$B25&amp;$C25&amp;$D25,Data!$A$2:$A$10149&amp;Data!$B$2:$B$10149&amp;Data!$C$2:$C$10149&amp;Data!$D$2:$D$10149&amp;Data!$E$2:$E$10149,0),MATCH("Arvo",OraakkelinDatat[#Headers],0)+0))/(INDEX(OraakkelinDatat[#Data],MATCH((I$7)&amp;$A25&amp;$E25&amp;$C25&amp;$D25,Data!$A$2:$A$10149&amp;Data!$B$2:$B$10149&amp;Data!$C$2:$C$10149&amp;Data!$D$2:$D$10149&amp;Data!$E$2:$E$10149,0),MATCH("Arvo",OraakkelinDatat[#Headers],0)+0)/INDEX(OraakkelinDatat[#Data],MATCH((I$7-1)&amp;$A25&amp;$E25&amp;$C25&amp;$D25,Data!$A$2:$A$10149&amp;Data!$B$2:$B$10149&amp;Data!$C$2:$C$10149&amp;Data!$D$2:$D$10149&amp;Data!$E$2:$E$10149,0),MATCH("Arvo",OraakkelinDatat[#Headers],0)+0))-1)*100</f>
        <v>-3.8992872474984175</v>
      </c>
      <c r="J25" s="58" cm="1">
        <f t="array" ref="J25">((INDEX(OraakkelinDatat[#Data],MATCH((J$7)&amp;$A25&amp;$B25&amp;$C25&amp;$D25,Data!$A$2:$A$10149&amp;Data!$B$2:$B$10149&amp;Data!$C$2:$C$10149&amp;Data!$D$2:$D$10149&amp;Data!$E$2:$E$10149,0),MATCH("Arvo",OraakkelinDatat[#Headers],0)+0)/INDEX(OraakkelinDatat[#Data],MATCH((J$7-1)&amp;$A25&amp;$B25&amp;$C25&amp;$D25,Data!$A$2:$A$10149&amp;Data!$B$2:$B$10149&amp;Data!$C$2:$C$10149&amp;Data!$D$2:$D$10149&amp;Data!$E$2:$E$10149,0),MATCH("Arvo",OraakkelinDatat[#Headers],0)+0))/(INDEX(OraakkelinDatat[#Data],MATCH((J$7)&amp;$A25&amp;$E25&amp;$C25&amp;$D25,Data!$A$2:$A$10149&amp;Data!$B$2:$B$10149&amp;Data!$C$2:$C$10149&amp;Data!$D$2:$D$10149&amp;Data!$E$2:$E$10149,0),MATCH("Arvo",OraakkelinDatat[#Headers],0)+0)/INDEX(OraakkelinDatat[#Data],MATCH((J$7-1)&amp;$A25&amp;$E25&amp;$C25&amp;$D25,Data!$A$2:$A$10149&amp;Data!$B$2:$B$10149&amp;Data!$C$2:$C$10149&amp;Data!$D$2:$D$10149&amp;Data!$E$2:$E$10149,0),MATCH("Arvo",OraakkelinDatat[#Headers],0)+0))-1)*100</f>
        <v>-2.744023267832485</v>
      </c>
      <c r="K25" s="58" cm="1">
        <f t="array" ref="K25">((INDEX(OraakkelinDatat[#Data],MATCH((K$7)&amp;$A25&amp;$B25&amp;$C25&amp;$D25,Data!$A$2:$A$10149&amp;Data!$B$2:$B$10149&amp;Data!$C$2:$C$10149&amp;Data!$D$2:$D$10149&amp;Data!$E$2:$E$10149,0),MATCH("Arvo",OraakkelinDatat[#Headers],0)+0)/INDEX(OraakkelinDatat[#Data],MATCH((K$7-1)&amp;$A25&amp;$B25&amp;$C25&amp;$D25,Data!$A$2:$A$10149&amp;Data!$B$2:$B$10149&amp;Data!$C$2:$C$10149&amp;Data!$D$2:$D$10149&amp;Data!$E$2:$E$10149,0),MATCH("Arvo",OraakkelinDatat[#Headers],0)+0))/(INDEX(OraakkelinDatat[#Data],MATCH((K$7)&amp;$A25&amp;$E25&amp;$C25&amp;$D25,Data!$A$2:$A$10149&amp;Data!$B$2:$B$10149&amp;Data!$C$2:$C$10149&amp;Data!$D$2:$D$10149&amp;Data!$E$2:$E$10149,0),MATCH("Arvo",OraakkelinDatat[#Headers],0)+0)/INDEX(OraakkelinDatat[#Data],MATCH((K$7-1)&amp;$A25&amp;$E25&amp;$C25&amp;$D25,Data!$A$2:$A$10149&amp;Data!$B$2:$B$10149&amp;Data!$C$2:$C$10149&amp;Data!$D$2:$D$10149&amp;Data!$E$2:$E$10149,0),MATCH("Arvo",OraakkelinDatat[#Headers],0)+0))-1)*100</f>
        <v>-5.530293736594194E-2</v>
      </c>
      <c r="L25" s="58" cm="1">
        <f t="array" ref="L25">((INDEX(OraakkelinDatat[#Data],MATCH((L$7)&amp;$A25&amp;$B25&amp;$C25&amp;$D25,Data!$A$2:$A$10149&amp;Data!$B$2:$B$10149&amp;Data!$C$2:$C$10149&amp;Data!$D$2:$D$10149&amp;Data!$E$2:$E$10149,0),MATCH("Arvo",OraakkelinDatat[#Headers],0)+0)/INDEX(OraakkelinDatat[#Data],MATCH((L$7-1)&amp;$A25&amp;$B25&amp;$C25&amp;$D25,Data!$A$2:$A$10149&amp;Data!$B$2:$B$10149&amp;Data!$C$2:$C$10149&amp;Data!$D$2:$D$10149&amp;Data!$E$2:$E$10149,0),MATCH("Arvo",OraakkelinDatat[#Headers],0)+0))/(INDEX(OraakkelinDatat[#Data],MATCH((L$7)&amp;$A25&amp;$E25&amp;$C25&amp;$D25,Data!$A$2:$A$10149&amp;Data!$B$2:$B$10149&amp;Data!$C$2:$C$10149&amp;Data!$D$2:$D$10149&amp;Data!$E$2:$E$10149,0),MATCH("Arvo",OraakkelinDatat[#Headers],0)+0)/INDEX(OraakkelinDatat[#Data],MATCH((L$7-1)&amp;$A25&amp;$E25&amp;$C25&amp;$D25,Data!$A$2:$A$10149&amp;Data!$B$2:$B$10149&amp;Data!$C$2:$C$10149&amp;Data!$D$2:$D$10149&amp;Data!$E$2:$E$10149,0),MATCH("Arvo",OraakkelinDatat[#Headers],0)+0))-1)*100</f>
        <v>3.8597712145264307</v>
      </c>
      <c r="M25" s="58" cm="1">
        <f t="array" ref="M25">((INDEX(OraakkelinDatat[#Data],MATCH((M$7)&amp;$A25&amp;$B25&amp;$C25&amp;$D25,Data!$A$2:$A$10149&amp;Data!$B$2:$B$10149&amp;Data!$C$2:$C$10149&amp;Data!$D$2:$D$10149&amp;Data!$E$2:$E$10149,0),MATCH("Arvo",OraakkelinDatat[#Headers],0)+0)/INDEX(OraakkelinDatat[#Data],MATCH((M$7-1)&amp;$A25&amp;$B25&amp;$C25&amp;$D25,Data!$A$2:$A$10149&amp;Data!$B$2:$B$10149&amp;Data!$C$2:$C$10149&amp;Data!$D$2:$D$10149&amp;Data!$E$2:$E$10149,0),MATCH("Arvo",OraakkelinDatat[#Headers],0)+0))/(INDEX(OraakkelinDatat[#Data],MATCH((M$7)&amp;$A25&amp;$E25&amp;$C25&amp;$D25,Data!$A$2:$A$10149&amp;Data!$B$2:$B$10149&amp;Data!$C$2:$C$10149&amp;Data!$D$2:$D$10149&amp;Data!$E$2:$E$10149,0),MATCH("Arvo",OraakkelinDatat[#Headers],0)+0)/INDEX(OraakkelinDatat[#Data],MATCH((M$7-1)&amp;$A25&amp;$E25&amp;$C25&amp;$D25,Data!$A$2:$A$10149&amp;Data!$B$2:$B$10149&amp;Data!$C$2:$C$10149&amp;Data!$D$2:$D$10149&amp;Data!$E$2:$E$10149,0),MATCH("Arvo",OraakkelinDatat[#Headers],0)+0))-1)*100</f>
        <v>1.6045003092321375</v>
      </c>
      <c r="N25" s="58" cm="1">
        <f t="array" ref="N25">((INDEX(OraakkelinDatat[#Data],MATCH((N$7)&amp;$A25&amp;$B25&amp;$C25&amp;$D25,Data!$A$2:$A$10149&amp;Data!$B$2:$B$10149&amp;Data!$C$2:$C$10149&amp;Data!$D$2:$D$10149&amp;Data!$E$2:$E$10149,0),MATCH("Arvo",OraakkelinDatat[#Headers],0)+0)/INDEX(OraakkelinDatat[#Data],MATCH((N$7-1)&amp;$A25&amp;$B25&amp;$C25&amp;$D25,Data!$A$2:$A$10149&amp;Data!$B$2:$B$10149&amp;Data!$C$2:$C$10149&amp;Data!$D$2:$D$10149&amp;Data!$E$2:$E$10149,0),MATCH("Arvo",OraakkelinDatat[#Headers],0)+0))/(INDEX(OraakkelinDatat[#Data],MATCH((N$7)&amp;$A25&amp;$E25&amp;$C25&amp;$D25,Data!$A$2:$A$10149&amp;Data!$B$2:$B$10149&amp;Data!$C$2:$C$10149&amp;Data!$D$2:$D$10149&amp;Data!$E$2:$E$10149,0),MATCH("Arvo",OraakkelinDatat[#Headers],0)+0)/INDEX(OraakkelinDatat[#Data],MATCH((N$7-1)&amp;$A25&amp;$E25&amp;$C25&amp;$D25,Data!$A$2:$A$10149&amp;Data!$B$2:$B$10149&amp;Data!$C$2:$C$10149&amp;Data!$D$2:$D$10149&amp;Data!$E$2:$E$10149,0),MATCH("Arvo",OraakkelinDatat[#Headers],0)+0))-1)*100</f>
        <v>1.5681033397416666</v>
      </c>
      <c r="O25" s="45"/>
      <c r="P25" s="46"/>
      <c r="Q25" s="47"/>
      <c r="R25" s="6"/>
      <c r="S25" s="6"/>
      <c r="T25" s="6"/>
    </row>
    <row r="26" spans="1:20" x14ac:dyDescent="0.25">
      <c r="A26" t="s">
        <v>141</v>
      </c>
      <c r="B26" t="s">
        <v>19</v>
      </c>
      <c r="C26" t="s">
        <v>11</v>
      </c>
      <c r="D26" t="s">
        <v>55</v>
      </c>
      <c r="E26" t="s">
        <v>20</v>
      </c>
      <c r="F26" s="6"/>
      <c r="G26" s="37"/>
      <c r="H26" s="43" t="s">
        <v>589</v>
      </c>
      <c r="I26" s="58" cm="1">
        <f t="array" ref="I26">((INDEX(OraakkelinDatat[#Data],MATCH((I$7)&amp;$A26&amp;$B26&amp;$C26&amp;$D26,Data!$A$2:$A$10149&amp;Data!$B$2:$B$10149&amp;Data!$C$2:$C$10149&amp;Data!$D$2:$D$10149&amp;Data!$E$2:$E$10149,0),MATCH("Arvo",OraakkelinDatat[#Headers],0)+0)/INDEX(OraakkelinDatat[#Data],MATCH((I$7-1)&amp;$A26&amp;$B26&amp;$C26&amp;$D26,Data!$A$2:$A$10149&amp;Data!$B$2:$B$10149&amp;Data!$C$2:$C$10149&amp;Data!$D$2:$D$10149&amp;Data!$E$2:$E$10149,0),MATCH("Arvo",OraakkelinDatat[#Headers],0)+0))/(INDEX(OraakkelinDatat[#Data],MATCH((I$7)&amp;$A26&amp;$E26&amp;$C26&amp;$D26,Data!$A$2:$A$10149&amp;Data!$B$2:$B$10149&amp;Data!$C$2:$C$10149&amp;Data!$D$2:$D$10149&amp;Data!$E$2:$E$10149,0),MATCH("Arvo",OraakkelinDatat[#Headers],0)+0)/INDEX(OraakkelinDatat[#Data],MATCH((I$7-1)&amp;$A26&amp;$E26&amp;$C26&amp;$D26,Data!$A$2:$A$10149&amp;Data!$B$2:$B$10149&amp;Data!$C$2:$C$10149&amp;Data!$D$2:$D$10149&amp;Data!$E$2:$E$10149,0),MATCH("Arvo",OraakkelinDatat[#Headers],0)+0))-1)*100</f>
        <v>-2.4995796063553954</v>
      </c>
      <c r="J26" s="58" cm="1">
        <f t="array" ref="J26">((INDEX(OraakkelinDatat[#Data],MATCH((J$7)&amp;$A26&amp;$B26&amp;$C26&amp;$D26,Data!$A$2:$A$10149&amp;Data!$B$2:$B$10149&amp;Data!$C$2:$C$10149&amp;Data!$D$2:$D$10149&amp;Data!$E$2:$E$10149,0),MATCH("Arvo",OraakkelinDatat[#Headers],0)+0)/INDEX(OraakkelinDatat[#Data],MATCH((J$7-1)&amp;$A26&amp;$B26&amp;$C26&amp;$D26,Data!$A$2:$A$10149&amp;Data!$B$2:$B$10149&amp;Data!$C$2:$C$10149&amp;Data!$D$2:$D$10149&amp;Data!$E$2:$E$10149,0),MATCH("Arvo",OraakkelinDatat[#Headers],0)+0))/(INDEX(OraakkelinDatat[#Data],MATCH((J$7)&amp;$A26&amp;$E26&amp;$C26&amp;$D26,Data!$A$2:$A$10149&amp;Data!$B$2:$B$10149&amp;Data!$C$2:$C$10149&amp;Data!$D$2:$D$10149&amp;Data!$E$2:$E$10149,0),MATCH("Arvo",OraakkelinDatat[#Headers],0)+0)/INDEX(OraakkelinDatat[#Data],MATCH((J$7-1)&amp;$A26&amp;$E26&amp;$C26&amp;$D26,Data!$A$2:$A$10149&amp;Data!$B$2:$B$10149&amp;Data!$C$2:$C$10149&amp;Data!$D$2:$D$10149&amp;Data!$E$2:$E$10149,0),MATCH("Arvo",OraakkelinDatat[#Headers],0)+0))-1)*100</f>
        <v>-0.88896921985325283</v>
      </c>
      <c r="K26" s="58" cm="1">
        <f t="array" ref="K26">((INDEX(OraakkelinDatat[#Data],MATCH((K$7)&amp;$A26&amp;$B26&amp;$C26&amp;$D26,Data!$A$2:$A$10149&amp;Data!$B$2:$B$10149&amp;Data!$C$2:$C$10149&amp;Data!$D$2:$D$10149&amp;Data!$E$2:$E$10149,0),MATCH("Arvo",OraakkelinDatat[#Headers],0)+0)/INDEX(OraakkelinDatat[#Data],MATCH((K$7-1)&amp;$A26&amp;$B26&amp;$C26&amp;$D26,Data!$A$2:$A$10149&amp;Data!$B$2:$B$10149&amp;Data!$C$2:$C$10149&amp;Data!$D$2:$D$10149&amp;Data!$E$2:$E$10149,0),MATCH("Arvo",OraakkelinDatat[#Headers],0)+0))/(INDEX(OraakkelinDatat[#Data],MATCH((K$7)&amp;$A26&amp;$E26&amp;$C26&amp;$D26,Data!$A$2:$A$10149&amp;Data!$B$2:$B$10149&amp;Data!$C$2:$C$10149&amp;Data!$D$2:$D$10149&amp;Data!$E$2:$E$10149,0),MATCH("Arvo",OraakkelinDatat[#Headers],0)+0)/INDEX(OraakkelinDatat[#Data],MATCH((K$7-1)&amp;$A26&amp;$E26&amp;$C26&amp;$D26,Data!$A$2:$A$10149&amp;Data!$B$2:$B$10149&amp;Data!$C$2:$C$10149&amp;Data!$D$2:$D$10149&amp;Data!$E$2:$E$10149,0),MATCH("Arvo",OraakkelinDatat[#Headers],0)+0))-1)*100</f>
        <v>-1.1205564179061489</v>
      </c>
      <c r="L26" s="58" cm="1">
        <f t="array" ref="L26">((INDEX(OraakkelinDatat[#Data],MATCH((L$7)&amp;$A26&amp;$B26&amp;$C26&amp;$D26,Data!$A$2:$A$10149&amp;Data!$B$2:$B$10149&amp;Data!$C$2:$C$10149&amp;Data!$D$2:$D$10149&amp;Data!$E$2:$E$10149,0),MATCH("Arvo",OraakkelinDatat[#Headers],0)+0)/INDEX(OraakkelinDatat[#Data],MATCH((L$7-1)&amp;$A26&amp;$B26&amp;$C26&amp;$D26,Data!$A$2:$A$10149&amp;Data!$B$2:$B$10149&amp;Data!$C$2:$C$10149&amp;Data!$D$2:$D$10149&amp;Data!$E$2:$E$10149,0),MATCH("Arvo",OraakkelinDatat[#Headers],0)+0))/(INDEX(OraakkelinDatat[#Data],MATCH((L$7)&amp;$A26&amp;$E26&amp;$C26&amp;$D26,Data!$A$2:$A$10149&amp;Data!$B$2:$B$10149&amp;Data!$C$2:$C$10149&amp;Data!$D$2:$D$10149&amp;Data!$E$2:$E$10149,0),MATCH("Arvo",OraakkelinDatat[#Headers],0)+0)/INDEX(OraakkelinDatat[#Data],MATCH((L$7-1)&amp;$A26&amp;$E26&amp;$C26&amp;$D26,Data!$A$2:$A$10149&amp;Data!$B$2:$B$10149&amp;Data!$C$2:$C$10149&amp;Data!$D$2:$D$10149&amp;Data!$E$2:$E$10149,0),MATCH("Arvo",OraakkelinDatat[#Headers],0)+0))-1)*100</f>
        <v>3.8350807972941547</v>
      </c>
      <c r="M26" s="58" cm="1">
        <f t="array" ref="M26">((INDEX(OraakkelinDatat[#Data],MATCH((M$7)&amp;$A26&amp;$B26&amp;$C26&amp;$D26,Data!$A$2:$A$10149&amp;Data!$B$2:$B$10149&amp;Data!$C$2:$C$10149&amp;Data!$D$2:$D$10149&amp;Data!$E$2:$E$10149,0),MATCH("Arvo",OraakkelinDatat[#Headers],0)+0)/INDEX(OraakkelinDatat[#Data],MATCH((M$7-1)&amp;$A26&amp;$B26&amp;$C26&amp;$D26,Data!$A$2:$A$10149&amp;Data!$B$2:$B$10149&amp;Data!$C$2:$C$10149&amp;Data!$D$2:$D$10149&amp;Data!$E$2:$E$10149,0),MATCH("Arvo",OraakkelinDatat[#Headers],0)+0))/(INDEX(OraakkelinDatat[#Data],MATCH((M$7)&amp;$A26&amp;$E26&amp;$C26&amp;$D26,Data!$A$2:$A$10149&amp;Data!$B$2:$B$10149&amp;Data!$C$2:$C$10149&amp;Data!$D$2:$D$10149&amp;Data!$E$2:$E$10149,0),MATCH("Arvo",OraakkelinDatat[#Headers],0)+0)/INDEX(OraakkelinDatat[#Data],MATCH((M$7-1)&amp;$A26&amp;$E26&amp;$C26&amp;$D26,Data!$A$2:$A$10149&amp;Data!$B$2:$B$10149&amp;Data!$C$2:$C$10149&amp;Data!$D$2:$D$10149&amp;Data!$E$2:$E$10149,0),MATCH("Arvo",OraakkelinDatat[#Headers],0)+0))-1)*100</f>
        <v>1.3100473289032744</v>
      </c>
      <c r="N26" s="58" cm="1">
        <f t="array" ref="N26">((INDEX(OraakkelinDatat[#Data],MATCH((N$7)&amp;$A26&amp;$B26&amp;$C26&amp;$D26,Data!$A$2:$A$10149&amp;Data!$B$2:$B$10149&amp;Data!$C$2:$C$10149&amp;Data!$D$2:$D$10149&amp;Data!$E$2:$E$10149,0),MATCH("Arvo",OraakkelinDatat[#Headers],0)+0)/INDEX(OraakkelinDatat[#Data],MATCH((N$7-1)&amp;$A26&amp;$B26&amp;$C26&amp;$D26,Data!$A$2:$A$10149&amp;Data!$B$2:$B$10149&amp;Data!$C$2:$C$10149&amp;Data!$D$2:$D$10149&amp;Data!$E$2:$E$10149,0),MATCH("Arvo",OraakkelinDatat[#Headers],0)+0))/(INDEX(OraakkelinDatat[#Data],MATCH((N$7)&amp;$A26&amp;$E26&amp;$C26&amp;$D26,Data!$A$2:$A$10149&amp;Data!$B$2:$B$10149&amp;Data!$C$2:$C$10149&amp;Data!$D$2:$D$10149&amp;Data!$E$2:$E$10149,0),MATCH("Arvo",OraakkelinDatat[#Headers],0)+0)/INDEX(OraakkelinDatat[#Data],MATCH((N$7-1)&amp;$A26&amp;$E26&amp;$C26&amp;$D26,Data!$A$2:$A$10149&amp;Data!$B$2:$B$10149&amp;Data!$C$2:$C$10149&amp;Data!$D$2:$D$10149&amp;Data!$E$2:$E$10149,0),MATCH("Arvo",OraakkelinDatat[#Headers],0)+0))-1)*100</f>
        <v>1.6264521896338202</v>
      </c>
      <c r="O26" s="45"/>
      <c r="P26" s="46"/>
      <c r="Q26" s="47"/>
      <c r="R26" s="6"/>
      <c r="S26" s="6"/>
      <c r="T26" s="6"/>
    </row>
    <row r="27" spans="1:20" x14ac:dyDescent="0.25">
      <c r="A27" t="s">
        <v>71</v>
      </c>
      <c r="B27" t="s">
        <v>656</v>
      </c>
      <c r="C27" t="s">
        <v>11</v>
      </c>
      <c r="D27" t="s">
        <v>12</v>
      </c>
      <c r="E27" t="s">
        <v>67</v>
      </c>
      <c r="F27" s="6"/>
      <c r="G27" s="50" t="s">
        <v>590</v>
      </c>
      <c r="H27" s="17"/>
      <c r="I27" s="63"/>
      <c r="J27" s="63"/>
      <c r="K27" s="64"/>
      <c r="L27" s="64"/>
      <c r="M27" s="64"/>
      <c r="N27" s="65"/>
      <c r="O27" s="63"/>
      <c r="P27" s="55"/>
      <c r="Q27" s="66"/>
      <c r="R27" s="13"/>
      <c r="S27" s="6"/>
      <c r="T27" s="6"/>
    </row>
    <row r="28" spans="1:20" x14ac:dyDescent="0.25">
      <c r="A28" t="s">
        <v>56</v>
      </c>
      <c r="B28" t="s">
        <v>19</v>
      </c>
      <c r="C28" t="s">
        <v>11</v>
      </c>
      <c r="D28" t="s">
        <v>12</v>
      </c>
      <c r="E28" t="s">
        <v>57</v>
      </c>
      <c r="F28" s="6"/>
      <c r="G28" s="37"/>
      <c r="H28" s="57" t="s">
        <v>591</v>
      </c>
      <c r="I28" s="134" cm="1">
        <f t="array" ref="I28">(((INDEX(OraakkelinDatat[#Data],MATCH((I$7)&amp;$A28&amp;$B28&amp;$C28&amp;$D28,Data!$A$2:$A$10149&amp;Data!$B$2:$B$10149&amp;Data!$C$2:$C$10149&amp;Data!$D$2:$D$10149&amp;Data!$E$2:$E$10149,0),MATCH("Arvo",OraakkelinDatat[#Headers],0)+0)+INDEX(OraakkelinDatat[#Data],MATCH((I$7)&amp;$E28&amp;$B28&amp;$C28&amp;$D28,Data!$A$2:$A$10149&amp;Data!$B$2:$B$10149&amp;Data!$C$2:$C$10149&amp;Data!$D$2:$D$10149&amp;Data!$E$2:$E$10149,0),MATCH("Arvo",OraakkelinDatat[#Headers],0)+0))/((INDEX(OraakkelinDatat[#Data],MATCH((I$7)&amp;$A27&amp;$B27&amp;$C27&amp;$D27,Data!$A$2:$A$10149&amp;Data!$B$2:$B$10149&amp;Data!$C$2:$C$10149&amp;Data!$D$2:$D$10149&amp;Data!$E$2:$E$10149,0),MATCH("Arvo",OraakkelinDatat[#Headers],0)+0)+INDEX(OraakkelinDatat[#Data],MATCH((I$7)&amp;$E27&amp;$B27&amp;$C27&amp;$D27,Data!$A$2:$A$10149&amp;Data!$B$2:$B$10149&amp;Data!$C$2:$C$10149&amp;Data!$D$2:$D$10149&amp;Data!$E$2:$E$10149,0),MATCH("Arvo",OraakkelinDatat[#Headers],0)+0))/10))/((INDEX(OraakkelinDatat[#Data],MATCH((I$7-1)&amp;$A28&amp;$B28&amp;$C28&amp;$D28,Data!$A$2:$A$10149&amp;Data!$B$2:$B$10149&amp;Data!$C$2:$C$10149&amp;Data!$D$2:$D$10149&amp;Data!$E$2:$E$10149,0),MATCH("Arvo",OraakkelinDatat[#Headers],0)+0)+INDEX(OraakkelinDatat[#Data],MATCH((I$7-1)&amp;$E28&amp;$B28&amp;$C28&amp;$D28,Data!$A$2:$A$10149&amp;Data!$B$2:$B$10149&amp;Data!$C$2:$C$10149&amp;Data!$D$2:$D$10149&amp;Data!$E$2:$E$10149,0),MATCH("Arvo",OraakkelinDatat[#Headers],0)+0))/((INDEX(OraakkelinDatat[#Data],MATCH((I$7-1)&amp;$A27&amp;$B27&amp;$C27&amp;$D27,Data!$A$2:$A$10149&amp;Data!$B$2:$B$10149&amp;Data!$C$2:$C$10149&amp;Data!$D$2:$D$10149&amp;Data!$E$2:$E$10149,0),MATCH("Arvo",OraakkelinDatat[#Headers],0)+0)+INDEX(OraakkelinDatat[#Data],MATCH((I$7-1)&amp;$E27&amp;$B27&amp;$C27&amp;$D27,Data!$A$2:$A$10149&amp;Data!$B$2:$B$10149&amp;Data!$C$2:$C$10149&amp;Data!$D$2:$D$10149&amp;Data!$E$2:$E$10149,0),MATCH("Arvo",OraakkelinDatat[#Headers],0)+0))/10))-1)*100</f>
        <v>3.9046230101495771</v>
      </c>
      <c r="J28" s="134" cm="1">
        <f t="array" ref="J28">(((INDEX(OraakkelinDatat[#Data],MATCH((J$7)&amp;$A28&amp;$B28&amp;$C28&amp;$D28,Data!$A$2:$A$10149&amp;Data!$B$2:$B$10149&amp;Data!$C$2:$C$10149&amp;Data!$D$2:$D$10149&amp;Data!$E$2:$E$10149,0),MATCH("Arvo",OraakkelinDatat[#Headers],0)+0)+INDEX(OraakkelinDatat[#Data],MATCH((J$7)&amp;$E28&amp;$B28&amp;$C28&amp;$D28,Data!$A$2:$A$10149&amp;Data!$B$2:$B$10149&amp;Data!$C$2:$C$10149&amp;Data!$D$2:$D$10149&amp;Data!$E$2:$E$10149,0),MATCH("Arvo",OraakkelinDatat[#Headers],0)+0))/((INDEX(OraakkelinDatat[#Data],MATCH((J$7)&amp;$A27&amp;$B27&amp;$C27&amp;$D27,Data!$A$2:$A$10149&amp;Data!$B$2:$B$10149&amp;Data!$C$2:$C$10149&amp;Data!$D$2:$D$10149&amp;Data!$E$2:$E$10149,0),MATCH("Arvo",OraakkelinDatat[#Headers],0)+0)+INDEX(OraakkelinDatat[#Data],MATCH((J$7)&amp;$E27&amp;$B27&amp;$C27&amp;$D27,Data!$A$2:$A$10149&amp;Data!$B$2:$B$10149&amp;Data!$C$2:$C$10149&amp;Data!$D$2:$D$10149&amp;Data!$E$2:$E$10149,0),MATCH("Arvo",OraakkelinDatat[#Headers],0)+0))/10))/((INDEX(OraakkelinDatat[#Data],MATCH((J$7-1)&amp;$A28&amp;$B28&amp;$C28&amp;$D28,Data!$A$2:$A$10149&amp;Data!$B$2:$B$10149&amp;Data!$C$2:$C$10149&amp;Data!$D$2:$D$10149&amp;Data!$E$2:$E$10149,0),MATCH("Arvo",OraakkelinDatat[#Headers],0)+0)+INDEX(OraakkelinDatat[#Data],MATCH((J$7-1)&amp;$E28&amp;$B28&amp;$C28&amp;$D28,Data!$A$2:$A$10149&amp;Data!$B$2:$B$10149&amp;Data!$C$2:$C$10149&amp;Data!$D$2:$D$10149&amp;Data!$E$2:$E$10149,0),MATCH("Arvo",OraakkelinDatat[#Headers],0)+0))/((INDEX(OraakkelinDatat[#Data],MATCH((J$7-1)&amp;$A27&amp;$B27&amp;$C27&amp;$D27,Data!$A$2:$A$10149&amp;Data!$B$2:$B$10149&amp;Data!$C$2:$C$10149&amp;Data!$D$2:$D$10149&amp;Data!$E$2:$E$10149,0),MATCH("Arvo",OraakkelinDatat[#Headers],0)+0)+INDEX(OraakkelinDatat[#Data],MATCH((J$7-1)&amp;$E27&amp;$B27&amp;$C27&amp;$D27,Data!$A$2:$A$10149&amp;Data!$B$2:$B$10149&amp;Data!$C$2:$C$10149&amp;Data!$D$2:$D$10149&amp;Data!$E$2:$E$10149,0),MATCH("Arvo",OraakkelinDatat[#Headers],0)+0))/10))-1)*100</f>
        <v>1.8507469609739591</v>
      </c>
      <c r="K28" s="134" cm="1">
        <f t="array" ref="K28">(((INDEX(OraakkelinDatat[#Data],MATCH((K$7)&amp;$A28&amp;$B28&amp;$C28&amp;$D28,Data!$A$2:$A$10149&amp;Data!$B$2:$B$10149&amp;Data!$C$2:$C$10149&amp;Data!$D$2:$D$10149&amp;Data!$E$2:$E$10149,0),MATCH("Arvo",OraakkelinDatat[#Headers],0)+0)+INDEX(OraakkelinDatat[#Data],MATCH((K$7)&amp;$E28&amp;$B28&amp;$C28&amp;$D28,Data!$A$2:$A$10149&amp;Data!$B$2:$B$10149&amp;Data!$C$2:$C$10149&amp;Data!$D$2:$D$10149&amp;Data!$E$2:$E$10149,0),MATCH("Arvo",OraakkelinDatat[#Headers],0)+0))/((INDEX(OraakkelinDatat[#Data],MATCH((K$7)&amp;$A27&amp;$B27&amp;$C27&amp;$D27,Data!$A$2:$A$10149&amp;Data!$B$2:$B$10149&amp;Data!$C$2:$C$10149&amp;Data!$D$2:$D$10149&amp;Data!$E$2:$E$10149,0),MATCH("Arvo",OraakkelinDatat[#Headers],0)+0)+INDEX(OraakkelinDatat[#Data],MATCH((K$7)&amp;$E27&amp;$B27&amp;$C27&amp;$D27,Data!$A$2:$A$10149&amp;Data!$B$2:$B$10149&amp;Data!$C$2:$C$10149&amp;Data!$D$2:$D$10149&amp;Data!$E$2:$E$10149,0),MATCH("Arvo",OraakkelinDatat[#Headers],0)+0))/10))/((INDEX(OraakkelinDatat[#Data],MATCH((K$7-1)&amp;$A28&amp;$B28&amp;$C28&amp;$D28,Data!$A$2:$A$10149&amp;Data!$B$2:$B$10149&amp;Data!$C$2:$C$10149&amp;Data!$D$2:$D$10149&amp;Data!$E$2:$E$10149,0),MATCH("Arvo",OraakkelinDatat[#Headers],0)+0)+INDEX(OraakkelinDatat[#Data],MATCH((K$7-1)&amp;$E28&amp;$B28&amp;$C28&amp;$D28,Data!$A$2:$A$10149&amp;Data!$B$2:$B$10149&amp;Data!$C$2:$C$10149&amp;Data!$D$2:$D$10149&amp;Data!$E$2:$E$10149,0),MATCH("Arvo",OraakkelinDatat[#Headers],0)+0))/((INDEX(OraakkelinDatat[#Data],MATCH((K$7-1)&amp;$A27&amp;$B27&amp;$C27&amp;$D27,Data!$A$2:$A$10149&amp;Data!$B$2:$B$10149&amp;Data!$C$2:$C$10149&amp;Data!$D$2:$D$10149&amp;Data!$E$2:$E$10149,0),MATCH("Arvo",OraakkelinDatat[#Headers],0)+0)+INDEX(OraakkelinDatat[#Data],MATCH((K$7-1)&amp;$E27&amp;$B27&amp;$C27&amp;$D27,Data!$A$2:$A$10149&amp;Data!$B$2:$B$10149&amp;Data!$C$2:$C$10149&amp;Data!$D$2:$D$10149&amp;Data!$E$2:$E$10149,0),MATCH("Arvo",OraakkelinDatat[#Headers],0)+0))/10))-1)*100</f>
        <v>3.2292003035891303</v>
      </c>
      <c r="L28" s="134" cm="1">
        <f t="array" ref="L28">(((INDEX(OraakkelinDatat[#Data],MATCH((L$7)&amp;$A28&amp;$B28&amp;$C28&amp;$D28,Data!$A$2:$A$10149&amp;Data!$B$2:$B$10149&amp;Data!$C$2:$C$10149&amp;Data!$D$2:$D$10149&amp;Data!$E$2:$E$10149,0),MATCH("Arvo",OraakkelinDatat[#Headers],0)+0)+INDEX(OraakkelinDatat[#Data],MATCH((L$7)&amp;$E28&amp;$B28&amp;$C28&amp;$D28,Data!$A$2:$A$10149&amp;Data!$B$2:$B$10149&amp;Data!$C$2:$C$10149&amp;Data!$D$2:$D$10149&amp;Data!$E$2:$E$10149,0),MATCH("Arvo",OraakkelinDatat[#Headers],0)+0))/((INDEX(OraakkelinDatat[#Data],MATCH((L$7)&amp;$A27&amp;$B27&amp;$C27&amp;$D27,Data!$A$2:$A$10149&amp;Data!$B$2:$B$10149&amp;Data!$C$2:$C$10149&amp;Data!$D$2:$D$10149&amp;Data!$E$2:$E$10149,0),MATCH("Arvo",OraakkelinDatat[#Headers],0)+0)+INDEX(OraakkelinDatat[#Data],MATCH((L$7)&amp;$E27&amp;$B27&amp;$C27&amp;$D27,Data!$A$2:$A$10149&amp;Data!$B$2:$B$10149&amp;Data!$C$2:$C$10149&amp;Data!$D$2:$D$10149&amp;Data!$E$2:$E$10149,0),MATCH("Arvo",OraakkelinDatat[#Headers],0)+0))/10))/((INDEX(OraakkelinDatat[#Data],MATCH((L$7-1)&amp;$A28&amp;$B28&amp;$C28&amp;$D28,Data!$A$2:$A$10149&amp;Data!$B$2:$B$10149&amp;Data!$C$2:$C$10149&amp;Data!$D$2:$D$10149&amp;Data!$E$2:$E$10149,0),MATCH("Arvo",OraakkelinDatat[#Headers],0)+0)+INDEX(OraakkelinDatat[#Data],MATCH((L$7-1)&amp;$E28&amp;$B28&amp;$C28&amp;$D28,Data!$A$2:$A$10149&amp;Data!$B$2:$B$10149&amp;Data!$C$2:$C$10149&amp;Data!$D$2:$D$10149&amp;Data!$E$2:$E$10149,0),MATCH("Arvo",OraakkelinDatat[#Headers],0)+0))/((INDEX(OraakkelinDatat[#Data],MATCH((L$7-1)&amp;$A27&amp;$B27&amp;$C27&amp;$D27,Data!$A$2:$A$10149&amp;Data!$B$2:$B$10149&amp;Data!$C$2:$C$10149&amp;Data!$D$2:$D$10149&amp;Data!$E$2:$E$10149,0),MATCH("Arvo",OraakkelinDatat[#Headers],0)+0)+INDEX(OraakkelinDatat[#Data],MATCH((L$7-1)&amp;$E27&amp;$B27&amp;$C27&amp;$D27,Data!$A$2:$A$10149&amp;Data!$B$2:$B$10149&amp;Data!$C$2:$C$10149&amp;Data!$D$2:$D$10149&amp;Data!$E$2:$E$10149,0),MATCH("Arvo",OraakkelinDatat[#Headers],0)+0))/10))-1)*100</f>
        <v>3.7345032889019025</v>
      </c>
      <c r="M28" s="134" cm="1">
        <f t="array" ref="M28">(((INDEX(OraakkelinDatat[#Data],MATCH((M$7)&amp;$A28&amp;$B28&amp;$C28&amp;$D28,Data!$A$2:$A$10149&amp;Data!$B$2:$B$10149&amp;Data!$C$2:$C$10149&amp;Data!$D$2:$D$10149&amp;Data!$E$2:$E$10149,0),MATCH("Arvo",OraakkelinDatat[#Headers],0)+0)+INDEX(OraakkelinDatat[#Data],MATCH((M$7)&amp;$E28&amp;$B28&amp;$C28&amp;$D28,Data!$A$2:$A$10149&amp;Data!$B$2:$B$10149&amp;Data!$C$2:$C$10149&amp;Data!$D$2:$D$10149&amp;Data!$E$2:$E$10149,0),MATCH("Arvo",OraakkelinDatat[#Headers],0)+0))/((INDEX(OraakkelinDatat[#Data],MATCH((M$7)&amp;$A27&amp;$B27&amp;$C27&amp;$D27,Data!$A$2:$A$10149&amp;Data!$B$2:$B$10149&amp;Data!$C$2:$C$10149&amp;Data!$D$2:$D$10149&amp;Data!$E$2:$E$10149,0),MATCH("Arvo",OraakkelinDatat[#Headers],0)+0)+INDEX(OraakkelinDatat[#Data],MATCH((M$7)&amp;$E27&amp;$B27&amp;$C27&amp;$D27,Data!$A$2:$A$10149&amp;Data!$B$2:$B$10149&amp;Data!$C$2:$C$10149&amp;Data!$D$2:$D$10149&amp;Data!$E$2:$E$10149,0),MATCH("Arvo",OraakkelinDatat[#Headers],0)+0))/10))/((INDEX(OraakkelinDatat[#Data],MATCH((M$7-1)&amp;$A28&amp;$B28&amp;$C28&amp;$D28,Data!$A$2:$A$10149&amp;Data!$B$2:$B$10149&amp;Data!$C$2:$C$10149&amp;Data!$D$2:$D$10149&amp;Data!$E$2:$E$10149,0),MATCH("Arvo",OraakkelinDatat[#Headers],0)+0)+INDEX(OraakkelinDatat[#Data],MATCH((M$7-1)&amp;$E28&amp;$B28&amp;$C28&amp;$D28,Data!$A$2:$A$10149&amp;Data!$B$2:$B$10149&amp;Data!$C$2:$C$10149&amp;Data!$D$2:$D$10149&amp;Data!$E$2:$E$10149,0),MATCH("Arvo",OraakkelinDatat[#Headers],0)+0))/((INDEX(OraakkelinDatat[#Data],MATCH((M$7-1)&amp;$A27&amp;$B27&amp;$C27&amp;$D27,Data!$A$2:$A$10149&amp;Data!$B$2:$B$10149&amp;Data!$C$2:$C$10149&amp;Data!$D$2:$D$10149&amp;Data!$E$2:$E$10149,0),MATCH("Arvo",OraakkelinDatat[#Headers],0)+0)+INDEX(OraakkelinDatat[#Data],MATCH((M$7-1)&amp;$E27&amp;$B27&amp;$C27&amp;$D27,Data!$A$2:$A$10149&amp;Data!$B$2:$B$10149&amp;Data!$C$2:$C$10149&amp;Data!$D$2:$D$10149&amp;Data!$E$2:$E$10149,0),MATCH("Arvo",OraakkelinDatat[#Headers],0)+0))/10))-1)*100</f>
        <v>3.0710642105722608</v>
      </c>
      <c r="N28" s="144" cm="1">
        <f t="array" ref="N28">(((INDEX(OraakkelinDatat[#Data],MATCH((N$7)&amp;$A28&amp;$B28&amp;$C28&amp;$D28,Data!$A$2:$A$10149&amp;Data!$B$2:$B$10149&amp;Data!$C$2:$C$10149&amp;Data!$D$2:$D$10149&amp;Data!$E$2:$E$10149,0),MATCH("Arvo",OraakkelinDatat[#Headers],0)+0)+INDEX(OraakkelinDatat[#Data],MATCH((N$7)&amp;$E28&amp;$B28&amp;$C28&amp;$D28,Data!$A$2:$A$10149&amp;Data!$B$2:$B$10149&amp;Data!$C$2:$C$10149&amp;Data!$D$2:$D$10149&amp;Data!$E$2:$E$10149,0),MATCH("Arvo",OraakkelinDatat[#Headers],0)+0))/((INDEX(OraakkelinDatat[#Data],MATCH((N$7)&amp;$A27&amp;$B27&amp;$C27&amp;$D27,Data!$A$2:$A$10149&amp;Data!$B$2:$B$10149&amp;Data!$C$2:$C$10149&amp;Data!$D$2:$D$10149&amp;Data!$E$2:$E$10149,0),MATCH("Arvo",OraakkelinDatat[#Headers],0)+0)+INDEX(OraakkelinDatat[#Data],MATCH((N$7)&amp;$E27&amp;$B27&amp;$C27&amp;$D27,Data!$A$2:$A$10149&amp;Data!$B$2:$B$10149&amp;Data!$C$2:$C$10149&amp;Data!$D$2:$D$10149&amp;Data!$E$2:$E$10149,0),MATCH("Arvo",OraakkelinDatat[#Headers],0)+0))/10))/((INDEX(OraakkelinDatat[#Data],MATCH((N$7-1)&amp;$A28&amp;$B28&amp;$C28&amp;$D28,Data!$A$2:$A$10149&amp;Data!$B$2:$B$10149&amp;Data!$C$2:$C$10149&amp;Data!$D$2:$D$10149&amp;Data!$E$2:$E$10149,0),MATCH("Arvo",OraakkelinDatat[#Headers],0)+0)+INDEX(OraakkelinDatat[#Data],MATCH((N$7-1)&amp;$E28&amp;$B28&amp;$C28&amp;$D28,Data!$A$2:$A$10149&amp;Data!$B$2:$B$10149&amp;Data!$C$2:$C$10149&amp;Data!$D$2:$D$10149&amp;Data!$E$2:$E$10149,0),MATCH("Arvo",OraakkelinDatat[#Headers],0)+0))/((INDEX(OraakkelinDatat[#Data],MATCH((N$7-1)&amp;$A27&amp;$B27&amp;$C27&amp;$D27,Data!$A$2:$A$10149&amp;Data!$B$2:$B$10149&amp;Data!$C$2:$C$10149&amp;Data!$D$2:$D$10149&amp;Data!$E$2:$E$10149,0),MATCH("Arvo",OraakkelinDatat[#Headers],0)+0)+INDEX(OraakkelinDatat[#Data],MATCH((N$7-1)&amp;$E27&amp;$B27&amp;$C27&amp;$D27,Data!$A$2:$A$10149&amp;Data!$B$2:$B$10149&amp;Data!$C$2:$C$10149&amp;Data!$D$2:$D$10149&amp;Data!$E$2:$E$10149,0),MATCH("Arvo",OraakkelinDatat[#Headers],0)+0))/10))-1)*100</f>
        <v>3.2976825147416733</v>
      </c>
      <c r="O28" s="59"/>
      <c r="P28" s="60"/>
      <c r="Q28" s="61"/>
      <c r="R28" s="13"/>
      <c r="S28" s="6"/>
      <c r="T28" s="6"/>
    </row>
    <row r="29" spans="1:20" x14ac:dyDescent="0.25">
      <c r="A29" t="s">
        <v>168</v>
      </c>
      <c r="B29" t="s">
        <v>166</v>
      </c>
      <c r="C29" t="s">
        <v>11</v>
      </c>
      <c r="D29" t="s">
        <v>12</v>
      </c>
      <c r="F29" s="6"/>
      <c r="G29" s="37"/>
      <c r="H29" s="43" t="s">
        <v>592</v>
      </c>
      <c r="I29" s="44" cm="1">
        <f t="array" ref="I29">(INDEX(OraakkelinDatat[#Data],MATCH((I$7)&amp;$A29&amp;$B29&amp;$C29&amp;$D29,Data!$A$2:$A$10149&amp;Data!$B$2:$B$10149&amp;Data!$C$2:$C$10149&amp;Data!$D$2:$D$10149&amp;Data!$E$2:$E$10149,0),MATCH("Arvo",OraakkelinDatat[#Headers],0)+0)/INDEX(OraakkelinDatat[#Data],MATCH((I$7-1)&amp;$A29&amp;$B29&amp;$C29&amp;$D29,Data!$A$2:$A$10149&amp;Data!$B$2:$B$10149&amp;Data!$C$2:$C$10149&amp;Data!$D$2:$D$10149&amp;Data!$E$2:$E$10149,0),MATCH("Arvo",OraakkelinDatat[#Headers],0)+0)-1)*100</f>
        <v>0.34364261168384758</v>
      </c>
      <c r="J29" s="44" cm="1">
        <f t="array" ref="J29">(INDEX(OraakkelinDatat[#Data],MATCH((J$7)&amp;$A29&amp;$B29&amp;$C29&amp;$D29,Data!$A$2:$A$10149&amp;Data!$B$2:$B$10149&amp;Data!$C$2:$C$10149&amp;Data!$D$2:$D$10149&amp;Data!$E$2:$E$10149,0),MATCH("Arvo",OraakkelinDatat[#Headers],0)+0)/INDEX(OraakkelinDatat[#Data],MATCH((J$7-1)&amp;$A29&amp;$B29&amp;$C29&amp;$D29,Data!$A$2:$A$10149&amp;Data!$B$2:$B$10149&amp;Data!$C$2:$C$10149&amp;Data!$D$2:$D$10149&amp;Data!$E$2:$E$10149,0),MATCH("Arvo",OraakkelinDatat[#Headers],0)+0)-1)*100</f>
        <v>-0.98934550989345782</v>
      </c>
      <c r="K29" s="44" cm="1">
        <f t="array" ref="K29">(INDEX(OraakkelinDatat[#Data],MATCH((K$7)&amp;$A29&amp;$B29&amp;$C29&amp;$D29,Data!$A$2:$A$10149&amp;Data!$B$2:$B$10149&amp;Data!$C$2:$C$10149&amp;Data!$D$2:$D$10149&amp;Data!$E$2:$E$10149,0),MATCH("Arvo",OraakkelinDatat[#Headers],0)+0)/INDEX(OraakkelinDatat[#Data],MATCH((K$7-1)&amp;$A29&amp;$B29&amp;$C29&amp;$D29,Data!$A$2:$A$10149&amp;Data!$B$2:$B$10149&amp;Data!$C$2:$C$10149&amp;Data!$D$2:$D$10149&amp;Data!$E$2:$E$10149,0),MATCH("Arvo",OraakkelinDatat[#Headers],0)+0)-1)*100</f>
        <v>-0.46118370484242721</v>
      </c>
      <c r="L29" s="44" cm="1">
        <f t="array" ref="L29">(INDEX(OraakkelinDatat[#Data],MATCH((L$7)&amp;$A29&amp;$B29&amp;$C29&amp;$D29,Data!$A$2:$A$10149&amp;Data!$B$2:$B$10149&amp;Data!$C$2:$C$10149&amp;Data!$D$2:$D$10149&amp;Data!$E$2:$E$10149,0),MATCH("Arvo",OraakkelinDatat[#Headers],0)+0)/INDEX(OraakkelinDatat[#Data],MATCH((L$7-1)&amp;$A29&amp;$B29&amp;$C29&amp;$D29,Data!$A$2:$A$10149&amp;Data!$B$2:$B$10149&amp;Data!$C$2:$C$10149&amp;Data!$D$2:$D$10149&amp;Data!$E$2:$E$10149,0),MATCH("Arvo",OraakkelinDatat[#Headers],0)+0)-1)*100</f>
        <v>-0.4603844015444003</v>
      </c>
      <c r="M29" s="44" cm="1">
        <f t="array" ref="M29">(INDEX(OraakkelinDatat[#Data],MATCH((M$7)&amp;$A29&amp;$B29&amp;$C29&amp;$D29,Data!$A$2:$A$10149&amp;Data!$B$2:$B$10149&amp;Data!$C$2:$C$10149&amp;Data!$D$2:$D$10149&amp;Data!$E$2:$E$10149,0),MATCH("Arvo",OraakkelinDatat[#Headers],0)+0)/INDEX(OraakkelinDatat[#Data],MATCH((M$7-1)&amp;$A29&amp;$B29&amp;$C29&amp;$D29,Data!$A$2:$A$10149&amp;Data!$B$2:$B$10149&amp;Data!$C$2:$C$10149&amp;Data!$D$2:$D$10149&amp;Data!$E$2:$E$10149,0),MATCH("Arvo",OraakkelinDatat[#Headers],0)+0)-1)*100</f>
        <v>1.0751018793454969</v>
      </c>
      <c r="N29" s="44" cm="1">
        <f t="array" ref="N29">(INDEX(OraakkelinDatat[#Data],MATCH((N$7)&amp;$A29&amp;$B29&amp;$C29&amp;$D29,Data!$A$2:$A$10149&amp;Data!$B$2:$B$10149&amp;Data!$C$2:$C$10149&amp;Data!$D$2:$D$10149&amp;Data!$E$2:$E$10149,0),MATCH("Arvo",OraakkelinDatat[#Headers],0)+0)/INDEX(OraakkelinDatat[#Data],MATCH((N$7-1)&amp;$A29&amp;$B29&amp;$C29&amp;$D29,Data!$A$2:$A$10149&amp;Data!$B$2:$B$10149&amp;Data!$C$2:$C$10149&amp;Data!$D$2:$D$10149&amp;Data!$E$2:$E$10149,0),MATCH("Arvo",OraakkelinDatat[#Headers],0)+0)-1)*100</f>
        <v>0.81598957008168771</v>
      </c>
      <c r="O29" s="45"/>
      <c r="P29" s="46"/>
      <c r="Q29" s="47"/>
      <c r="R29" s="13"/>
      <c r="S29" s="6"/>
      <c r="T29" s="6"/>
    </row>
    <row r="30" spans="1:20" x14ac:dyDescent="0.25">
      <c r="A30" t="s">
        <v>187</v>
      </c>
      <c r="B30" t="s">
        <v>50</v>
      </c>
      <c r="C30" t="s">
        <v>11</v>
      </c>
      <c r="D30" t="s">
        <v>12</v>
      </c>
      <c r="F30" s="6"/>
      <c r="G30" s="37"/>
      <c r="H30" s="43" t="s">
        <v>594</v>
      </c>
      <c r="I30" s="58" cm="1">
        <f t="array" ref="I30">INDEX(OraakkelinDatat[#Data],MATCH((I$7)&amp;$A30&amp;$B30&amp;$C30&amp;$D30,Data!$A$2:$A$10149&amp;Data!$B$2:$B$10149&amp;Data!$C$2:$C$10149&amp;Data!$D$2:$D$10149&amp;Data!$E$2:$E$10149,0),MATCH("Arvo",OraakkelinDatat[#Headers],0)+0)</f>
        <v>7.203389831</v>
      </c>
      <c r="J30" s="58" cm="1">
        <f t="array" ref="J30">INDEX(OraakkelinDatat[#Data],MATCH((J$7)&amp;$A30&amp;$B30&amp;$C30&amp;$D30,Data!$A$2:$A$10149&amp;Data!$B$2:$B$10149&amp;Data!$C$2:$C$10149&amp;Data!$D$2:$D$10149&amp;Data!$E$2:$E$10149,0),MATCH("Arvo",OraakkelinDatat[#Headers],0)+0)</f>
        <v>8.377331925</v>
      </c>
      <c r="K30" s="58" cm="1">
        <f t="array" ref="K30">INDEX(OraakkelinDatat[#Data],MATCH((K$7)&amp;$A30&amp;$B30&amp;$C30&amp;$D30,Data!$A$2:$A$10149&amp;Data!$B$2:$B$10149&amp;Data!$C$2:$C$10149&amp;Data!$D$2:$D$10149&amp;Data!$E$2:$E$10149,0),MATCH("Arvo",OraakkelinDatat[#Headers],0)+0)</f>
        <v>9.6931659690000007</v>
      </c>
      <c r="L30" s="58" cm="1">
        <f t="array" ref="L30">INDEX(OraakkelinDatat[#Data],MATCH((L$7)&amp;$A30&amp;$B30&amp;$C30&amp;$D30,Data!$A$2:$A$10149&amp;Data!$B$2:$B$10149&amp;Data!$C$2:$C$10149&amp;Data!$D$2:$D$10149&amp;Data!$E$2:$E$10149,0),MATCH("Arvo",OraakkelinDatat[#Headers],0)+0)</f>
        <v>10.2859558</v>
      </c>
      <c r="M30" s="58" cm="1">
        <f t="array" ref="M30">INDEX(OraakkelinDatat[#Data],MATCH((M$7)&amp;$A30&amp;$B30&amp;$C30&amp;$D30,Data!$A$2:$A$10149&amp;Data!$B$2:$B$10149&amp;Data!$C$2:$C$10149&amp;Data!$D$2:$D$10149&amp;Data!$E$2:$E$10149,0),MATCH("Arvo",OraakkelinDatat[#Headers],0)+0)</f>
        <v>9.8526496530000003</v>
      </c>
      <c r="N30" s="58" cm="1">
        <f t="array" ref="N30">INDEX(OraakkelinDatat[#Data],MATCH((N$7)&amp;$A30&amp;$B30&amp;$C30&amp;$D30,Data!$A$2:$A$10149&amp;Data!$B$2:$B$10149&amp;Data!$C$2:$C$10149&amp;Data!$D$2:$D$10149&amp;Data!$E$2:$E$10149,0),MATCH("Arvo",OraakkelinDatat[#Headers],0)+0)</f>
        <v>9.5025468019999995</v>
      </c>
      <c r="O30" s="45"/>
      <c r="P30" s="46"/>
      <c r="Q30" s="47"/>
      <c r="R30" s="13"/>
      <c r="S30" s="6"/>
      <c r="T30" s="6"/>
    </row>
    <row r="31" spans="1:20" x14ac:dyDescent="0.25">
      <c r="F31" s="6"/>
      <c r="G31" s="50" t="s">
        <v>595</v>
      </c>
      <c r="H31" s="17"/>
      <c r="I31" s="67"/>
      <c r="J31" s="67"/>
      <c r="K31" s="68"/>
      <c r="L31" s="69"/>
      <c r="M31" s="70"/>
      <c r="N31" s="69"/>
      <c r="O31" s="54"/>
      <c r="P31" s="55"/>
      <c r="Q31" s="66"/>
      <c r="R31" s="13"/>
      <c r="S31" s="6"/>
      <c r="T31" s="6"/>
    </row>
    <row r="32" spans="1:20" x14ac:dyDescent="0.25">
      <c r="A32" t="s">
        <v>136</v>
      </c>
      <c r="B32" t="s">
        <v>19</v>
      </c>
      <c r="C32" t="s">
        <v>11</v>
      </c>
      <c r="D32" t="s">
        <v>55</v>
      </c>
      <c r="E32" t="s">
        <v>141</v>
      </c>
      <c r="F32" s="6"/>
      <c r="G32" s="37"/>
      <c r="H32" s="57" t="s">
        <v>596</v>
      </c>
      <c r="I32" s="58" cm="1">
        <f t="array" ref="I32">(INDEX(OraakkelinDatat[#Data],MATCH((I$7)&amp;$A32&amp;$B32&amp;$C32&amp;$D32,Data!$A$2:$A$10149&amp;Data!$B$2:$B$10149&amp;Data!$C$2:$C$10149&amp;Data!$D$2:$D$10149&amp;Data!$E$2:$E$10149,0),MATCH("Arvo",OraakkelinDatat[#Headers],0)+0)-INDEX(OraakkelinDatat[#Data],MATCH((I$7)&amp;$E32&amp;$B32&amp;$C32&amp;$D32,Data!$A$2:$A$10149&amp;Data!$B$2:$B$10149&amp;Data!$C$2:$C$10149&amp;Data!$D$2:$D$10149&amp;Data!$E$2:$E$10149,0),MATCH("Arvo",OraakkelinDatat[#Headers],0)+0))/1000/I41</f>
        <v>-0.22496735996799996</v>
      </c>
      <c r="J32" s="58" cm="1">
        <f t="array" ref="J32">(INDEX(OraakkelinDatat[#Data],MATCH((J$7)&amp;$A32&amp;$B32&amp;$C32&amp;$D32,Data!$A$2:$A$10149&amp;Data!$B$2:$B$10149&amp;Data!$C$2:$C$10149&amp;Data!$D$2:$D$10149&amp;Data!$E$2:$E$10149,0),MATCH("Arvo",OraakkelinDatat[#Headers],0)+0)-INDEX(OraakkelinDatat[#Data],MATCH((J$7)&amp;$E32&amp;$B32&amp;$C32&amp;$D32,Data!$A$2:$A$10149&amp;Data!$B$2:$B$10149&amp;Data!$C$2:$C$10149&amp;Data!$D$2:$D$10149&amp;Data!$E$2:$E$10149,0),MATCH("Arvo",OraakkelinDatat[#Headers],0)+0))/1000/J41</f>
        <v>0.31380590076999998</v>
      </c>
      <c r="K32" s="58" cm="1">
        <f t="array" ref="K32">(INDEX(OraakkelinDatat[#Data],MATCH((K$7)&amp;$A32&amp;$B32&amp;$C32&amp;$D32,Data!$A$2:$A$10149&amp;Data!$B$2:$B$10149&amp;Data!$C$2:$C$10149&amp;Data!$D$2:$D$10149&amp;Data!$E$2:$E$10149,0),MATCH("Arvo",OraakkelinDatat[#Headers],0)+0)-INDEX(OraakkelinDatat[#Data],MATCH((K$7)&amp;$E32&amp;$B32&amp;$C32&amp;$D32,Data!$A$2:$A$10149&amp;Data!$B$2:$B$10149&amp;Data!$C$2:$C$10149&amp;Data!$D$2:$D$10149&amp;Data!$E$2:$E$10149,0),MATCH("Arvo",OraakkelinDatat[#Headers],0)+0))/1000/K41</f>
        <v>4.7915460221600004</v>
      </c>
      <c r="L32" s="58" cm="1">
        <f t="array" ref="L32">(INDEX(OraakkelinDatat[#Data],MATCH((L$7)&amp;$A32&amp;$B32&amp;$C32&amp;$D32,Data!$A$2:$A$10149&amp;Data!$B$2:$B$10149&amp;Data!$C$2:$C$10149&amp;Data!$D$2:$D$10149&amp;Data!$E$2:$E$10149,0),MATCH("Arvo",OraakkelinDatat[#Headers],0)+0)-INDEX(OraakkelinDatat[#Data],MATCH((L$7)&amp;$E32&amp;$B32&amp;$C32&amp;$D32,Data!$A$2:$A$10149&amp;Data!$B$2:$B$10149&amp;Data!$C$2:$C$10149&amp;Data!$D$2:$D$10149&amp;Data!$E$2:$E$10149,0),MATCH("Arvo",OraakkelinDatat[#Headers],0)+0))/1000/L41</f>
        <v>2.6290591480000081</v>
      </c>
      <c r="M32" s="58" cm="1">
        <f t="array" ref="M32">(INDEX(OraakkelinDatat[#Data],MATCH((M$7)&amp;$A32&amp;$B32&amp;$C32&amp;$D32,Data!$A$2:$A$10149&amp;Data!$B$2:$B$10149&amp;Data!$C$2:$C$10149&amp;Data!$D$2:$D$10149&amp;Data!$E$2:$E$10149,0),MATCH("Arvo",OraakkelinDatat[#Headers],0)+0)-INDEX(OraakkelinDatat[#Data],MATCH((M$7)&amp;$E32&amp;$B32&amp;$C32&amp;$D32,Data!$A$2:$A$10149&amp;Data!$B$2:$B$10149&amp;Data!$C$2:$C$10149&amp;Data!$D$2:$D$10149&amp;Data!$E$2:$E$10149,0),MATCH("Arvo",OraakkelinDatat[#Headers],0)+0))/1000/M41</f>
        <v>2.9594841119999971</v>
      </c>
      <c r="N32" s="58" cm="1">
        <f t="array" ref="N32">(INDEX(OraakkelinDatat[#Data],MATCH((N$7)&amp;$A32&amp;$B32&amp;$C32&amp;$D32,Data!$A$2:$A$10149&amp;Data!$B$2:$B$10149&amp;Data!$C$2:$C$10149&amp;Data!$D$2:$D$10149&amp;Data!$E$2:$E$10149,0),MATCH("Arvo",OraakkelinDatat[#Headers],0)+0)-INDEX(OraakkelinDatat[#Data],MATCH((N$7)&amp;$E32&amp;$B32&amp;$C32&amp;$D32,Data!$A$2:$A$10149&amp;Data!$B$2:$B$10149&amp;Data!$C$2:$C$10149&amp;Data!$D$2:$D$10149&amp;Data!$E$2:$E$10149,0),MATCH("Arvo",OraakkelinDatat[#Headers],0)+0))/1000/N41</f>
        <v>2.1697210499999806</v>
      </c>
      <c r="O32" s="59"/>
      <c r="P32" s="60"/>
      <c r="Q32" s="61"/>
      <c r="R32" s="13"/>
      <c r="S32" s="6"/>
      <c r="T32" s="6"/>
    </row>
    <row r="33" spans="1:20" x14ac:dyDescent="0.25">
      <c r="A33" t="s">
        <v>54</v>
      </c>
      <c r="B33" t="s">
        <v>243</v>
      </c>
      <c r="C33" t="s">
        <v>11</v>
      </c>
      <c r="D33" t="s">
        <v>55</v>
      </c>
      <c r="F33" s="6"/>
      <c r="G33" s="37"/>
      <c r="H33" s="43" t="s">
        <v>598</v>
      </c>
      <c r="I33" s="58" cm="1">
        <f t="array" ref="I33">(INDEX(OraakkelinDatat[#Data],MATCH((I$7)&amp;$A33&amp;$B33&amp;$C33&amp;$D33,Data!$A$2:$A$10149&amp;Data!$B$2:$B$10149&amp;Data!$C$2:$C$10149&amp;Data!$D$2:$D$10149&amp;Data!$E$2:$E$10149,0),MATCH("Arvo",OraakkelinDatat[#Headers],0)+0)/1000/I41)</f>
        <v>-2.9965026873582459</v>
      </c>
      <c r="J33" s="58" cm="1">
        <f t="array" ref="J33">(INDEX(OraakkelinDatat[#Data],MATCH((J$7)&amp;$A33&amp;$B33&amp;$C33&amp;$D33,Data!$A$2:$A$10149&amp;Data!$B$2:$B$10149&amp;Data!$C$2:$C$10149&amp;Data!$D$2:$D$10149&amp;Data!$E$2:$E$10149,0),MATCH("Arvo",OraakkelinDatat[#Headers],0)+0)/1000/J41)</f>
        <v>-1.6507188175057517</v>
      </c>
      <c r="K33" s="58" cm="1">
        <f t="array" ref="K33">(INDEX(OraakkelinDatat[#Data],MATCH((K$7)&amp;$A33&amp;$B33&amp;$C33&amp;$D33,Data!$A$2:$A$10149&amp;Data!$B$2:$B$10149&amp;Data!$C$2:$C$10149&amp;Data!$D$2:$D$10149&amp;Data!$E$2:$E$10149,0),MATCH("Arvo",OraakkelinDatat[#Headers],0)+0)/1000/K41)</f>
        <v>3.3026575241707885</v>
      </c>
      <c r="L33" s="58" cm="1">
        <f t="array" ref="L33">(INDEX(OraakkelinDatat[#Data],MATCH((L$7)&amp;$A33&amp;$B33&amp;$C33&amp;$D33,Data!$A$2:$A$10149&amp;Data!$B$2:$B$10149&amp;Data!$C$2:$C$10149&amp;Data!$D$2:$D$10149&amp;Data!$E$2:$E$10149,0),MATCH("Arvo",OraakkelinDatat[#Headers],0)+0)/1000/L41)</f>
        <v>1.3826329849200001</v>
      </c>
      <c r="M33" s="58" cm="1">
        <f t="array" ref="M33">(INDEX(OraakkelinDatat[#Data],MATCH((M$7)&amp;$A33&amp;$B33&amp;$C33&amp;$D33,Data!$A$2:$A$10149&amp;Data!$B$2:$B$10149&amp;Data!$C$2:$C$10149&amp;Data!$D$2:$D$10149&amp;Data!$E$2:$E$10149,0),MATCH("Arvo",OraakkelinDatat[#Headers],0)+0)/1000/M41)</f>
        <v>1.8427129332300001</v>
      </c>
      <c r="N33" s="58" cm="1">
        <f t="array" ref="N33">(INDEX(OraakkelinDatat[#Data],MATCH((N$7)&amp;$A33&amp;$B33&amp;$C33&amp;$D33,Data!$A$2:$A$10149&amp;Data!$B$2:$B$10149&amp;Data!$C$2:$C$10149&amp;Data!$D$2:$D$10149&amp;Data!$E$2:$E$10149,0),MATCH("Arvo",OraakkelinDatat[#Headers],0)+0)/1000/N41)</f>
        <v>0.79585972419799988</v>
      </c>
      <c r="O33" s="45"/>
      <c r="P33" s="46"/>
      <c r="Q33" s="47"/>
      <c r="R33" s="13"/>
      <c r="S33" s="6"/>
      <c r="T33" s="6"/>
    </row>
    <row r="34" spans="1:20" x14ac:dyDescent="0.25">
      <c r="A34" t="s">
        <v>54</v>
      </c>
      <c r="B34" t="s">
        <v>243</v>
      </c>
      <c r="C34" t="s">
        <v>11</v>
      </c>
      <c r="D34" t="s">
        <v>55</v>
      </c>
      <c r="F34" s="6"/>
      <c r="G34" s="37"/>
      <c r="H34" s="43" t="s">
        <v>599</v>
      </c>
      <c r="I34" s="58" cm="1">
        <f t="array" ref="I34">(INDEX(OraakkelinDatat[#Data],MATCH((I$7)&amp;$A34&amp;$B34&amp;$C34&amp;$D34,Data!$A$2:$A$10149&amp;Data!$B$2:$B$10149&amp;Data!$C$2:$C$10149&amp;Data!$D$2:$D$10149&amp;Data!$E$2:$E$10149,0),MATCH("Arvo",OraakkelinDatat[#Headers],0)+0)/INDEX(OraakkelinDatat[#Data],MATCH((I$7)&amp;$A35&amp;$B35&amp;$C35&amp;$D35,Data!$A$2:$A$10149&amp;Data!$B$2:$B$10149&amp;Data!$C$2:$C$10149&amp;Data!$D$2:$D$10149&amp;Data!$E$2:$E$10149,0),MATCH("Arvo",OraakkelinDatat[#Headers],0)+0))*100</f>
        <v>-1.0158220140429355</v>
      </c>
      <c r="J34" s="58" cm="1">
        <f t="array" ref="J34">(INDEX(OraakkelinDatat[#Data],MATCH((J$7)&amp;$A34&amp;$B34&amp;$C34&amp;$D34,Data!$A$2:$A$10149&amp;Data!$B$2:$B$10149&amp;Data!$C$2:$C$10149&amp;Data!$D$2:$D$10149&amp;Data!$E$2:$E$10149,0),MATCH("Arvo",OraakkelinDatat[#Headers],0)+0)/INDEX(OraakkelinDatat[#Data],MATCH((J$7)&amp;$A35&amp;$B35&amp;$C35&amp;$D35,Data!$A$2:$A$10149&amp;Data!$B$2:$B$10149&amp;Data!$C$2:$C$10149&amp;Data!$D$2:$D$10149&amp;Data!$E$2:$E$10149,0),MATCH("Arvo",OraakkelinDatat[#Headers],0)+0))*100</f>
        <v>-0.55241234324699162</v>
      </c>
      <c r="K34" s="58" cm="1">
        <f t="array" ref="K34">(INDEX(OraakkelinDatat[#Data],MATCH((K$7)&amp;$A34&amp;$B34&amp;$C34&amp;$D34,Data!$A$2:$A$10149&amp;Data!$B$2:$B$10149&amp;Data!$C$2:$C$10149&amp;Data!$D$2:$D$10149&amp;Data!$E$2:$E$10149,0),MATCH("Arvo",OraakkelinDatat[#Headers],0)+0)/INDEX(OraakkelinDatat[#Data],MATCH((K$7)&amp;$A35&amp;$B35&amp;$C35&amp;$D35,Data!$A$2:$A$10149&amp;Data!$B$2:$B$10149&amp;Data!$C$2:$C$10149&amp;Data!$D$2:$D$10149&amp;Data!$E$2:$E$10149,0),MATCH("Arvo",OraakkelinDatat[#Headers],0)+0))*100</f>
        <v>1.03714372762019</v>
      </c>
      <c r="L34" s="58" cm="1">
        <f t="array" ref="L34">(INDEX(OraakkelinDatat[#Data],MATCH((L$7)&amp;$A34&amp;$B34&amp;$C34&amp;$D34,Data!$A$2:$A$10149&amp;Data!$B$2:$B$10149&amp;Data!$C$2:$C$10149&amp;Data!$D$2:$D$10149&amp;Data!$E$2:$E$10149,0),MATCH("Arvo",OraakkelinDatat[#Headers],0)+0)/INDEX(OraakkelinDatat[#Data],MATCH((L$7)&amp;$A35&amp;$B35&amp;$C35&amp;$D35,Data!$A$2:$A$10149&amp;Data!$B$2:$B$10149&amp;Data!$C$2:$C$10149&amp;Data!$D$2:$D$10149&amp;Data!$E$2:$E$10149,0),MATCH("Arvo",OraakkelinDatat[#Headers],0)+0))*100</f>
        <v>0.4069430665156677</v>
      </c>
      <c r="M34" s="58" cm="1">
        <f t="array" ref="M34">(INDEX(OraakkelinDatat[#Data],MATCH((M$7)&amp;$A34&amp;$B34&amp;$C34&amp;$D34,Data!$A$2:$A$10149&amp;Data!$B$2:$B$10149&amp;Data!$C$2:$C$10149&amp;Data!$D$2:$D$10149&amp;Data!$E$2:$E$10149,0),MATCH("Arvo",OraakkelinDatat[#Headers],0)+0)/INDEX(OraakkelinDatat[#Data],MATCH((M$7)&amp;$A35&amp;$B35&amp;$C35&amp;$D35,Data!$A$2:$A$10149&amp;Data!$B$2:$B$10149&amp;Data!$C$2:$C$10149&amp;Data!$D$2:$D$10149&amp;Data!$E$2:$E$10149,0),MATCH("Arvo",OraakkelinDatat[#Headers],0)+0))*100</f>
        <v>0.51708920140876435</v>
      </c>
      <c r="N34" s="58" cm="1">
        <f t="array" ref="N34">(INDEX(OraakkelinDatat[#Data],MATCH((N$7)&amp;$A34&amp;$B34&amp;$C34&amp;$D34,Data!$A$2:$A$10149&amp;Data!$B$2:$B$10149&amp;Data!$C$2:$C$10149&amp;Data!$D$2:$D$10149&amp;Data!$E$2:$E$10149,0),MATCH("Arvo",OraakkelinDatat[#Headers],0)+0)/INDEX(OraakkelinDatat[#Data],MATCH((N$7)&amp;$A35&amp;$B35&amp;$C35&amp;$D35,Data!$A$2:$A$10149&amp;Data!$B$2:$B$10149&amp;Data!$C$2:$C$10149&amp;Data!$D$2:$D$10149&amp;Data!$E$2:$E$10149,0),MATCH("Arvo",OraakkelinDatat[#Headers],0)+0))*100</f>
        <v>0.21106684613192414</v>
      </c>
      <c r="O34" s="45"/>
      <c r="P34" s="46"/>
      <c r="Q34" s="47"/>
      <c r="R34" s="13"/>
      <c r="S34" s="6"/>
      <c r="T34" s="6"/>
    </row>
    <row r="35" spans="1:20" x14ac:dyDescent="0.25">
      <c r="A35" t="s">
        <v>18</v>
      </c>
      <c r="B35" t="s">
        <v>19</v>
      </c>
      <c r="C35" t="s">
        <v>11</v>
      </c>
      <c r="D35" t="s">
        <v>12</v>
      </c>
      <c r="F35" s="6"/>
      <c r="G35" s="50" t="s">
        <v>600</v>
      </c>
      <c r="H35" s="17"/>
      <c r="I35" s="67"/>
      <c r="J35" s="71"/>
      <c r="K35" s="64"/>
      <c r="L35" s="65"/>
      <c r="M35" s="64"/>
      <c r="N35" s="64"/>
      <c r="O35" s="71"/>
      <c r="P35" s="55"/>
      <c r="Q35" s="66"/>
      <c r="R35" s="13"/>
      <c r="S35" s="6"/>
      <c r="T35" s="6"/>
    </row>
    <row r="36" spans="1:20" x14ac:dyDescent="0.25">
      <c r="A36" t="s">
        <v>301</v>
      </c>
      <c r="B36" t="s">
        <v>132</v>
      </c>
      <c r="C36" t="s">
        <v>11</v>
      </c>
      <c r="D36" t="s">
        <v>12</v>
      </c>
      <c r="F36" s="62"/>
      <c r="G36" s="50"/>
      <c r="H36" s="41" t="s">
        <v>601</v>
      </c>
      <c r="I36" s="58" cm="1">
        <f t="array" ref="I36">INDEX(OraakkelinDatat[#Data],MATCH((I$7)&amp;$A36&amp;$B36&amp;$C36&amp;$D36,Data!$A$2:$A$10149&amp;Data!$B$2:$B$10149&amp;Data!$C$2:$C$10149&amp;Data!$D$2:$D$10149&amp;Data!$E$2:$E$10149,0),MATCH("Arvo",OraakkelinDatat[#Headers],0)+0)</f>
        <v>0.79004968499999995</v>
      </c>
      <c r="J36" s="58" cm="1">
        <f t="array" ref="J36">INDEX(OraakkelinDatat[#Data],MATCH((J$7)&amp;$A36&amp;$B36&amp;$C36&amp;$D36,Data!$A$2:$A$10149&amp;Data!$B$2:$B$10149&amp;Data!$C$2:$C$10149&amp;Data!$D$2:$D$10149&amp;Data!$E$2:$E$10149,0),MATCH("Arvo",OraakkelinDatat[#Headers],0)+0)</f>
        <v>0.83832623299999998</v>
      </c>
      <c r="K36" s="58" cm="1">
        <f t="array" ref="K36">INDEX(OraakkelinDatat[#Data],MATCH((K$7)&amp;$A36&amp;$B36&amp;$C36&amp;$D36,Data!$A$2:$A$10149&amp;Data!$B$2:$B$10149&amp;Data!$C$2:$C$10149&amp;Data!$D$2:$D$10149&amp;Data!$E$2:$E$10149,0),MATCH("Arvo",OraakkelinDatat[#Headers],0)+0)</f>
        <v>0.71794404999999994</v>
      </c>
      <c r="L36" s="58" cm="1">
        <f t="array" ref="L36">INDEX(OraakkelinDatat[#Data],MATCH((L$7)&amp;$A36&amp;$B36&amp;$C36&amp;$D36,Data!$A$2:$A$10149&amp;Data!$B$2:$B$10149&amp;Data!$C$2:$C$10149&amp;Data!$D$2:$D$10149&amp;Data!$E$2:$E$10149,0),MATCH("Arvo",OraakkelinDatat[#Headers],0)+0)</f>
        <v>0.88096729799999995</v>
      </c>
      <c r="M36" s="58" cm="1">
        <f t="array" ref="M36">INDEX(OraakkelinDatat[#Data],MATCH((M$7)&amp;$A36&amp;$B36&amp;$C36&amp;$D36,Data!$A$2:$A$10149&amp;Data!$B$2:$B$10149&amp;Data!$C$2:$C$10149&amp;Data!$D$2:$D$10149&amp;Data!$E$2:$E$10149,0),MATCH("Arvo",OraakkelinDatat[#Headers],0)+0)</f>
        <v>1.050604241</v>
      </c>
      <c r="N36" s="58" cm="1">
        <f t="array" ref="N36">INDEX(OraakkelinDatat[#Data],MATCH((N$7)&amp;$A36&amp;$B36&amp;$C36&amp;$D36,Data!$A$2:$A$10149&amp;Data!$B$2:$B$10149&amp;Data!$C$2:$C$10149&amp;Data!$D$2:$D$10149&amp;Data!$E$2:$E$10149,0),MATCH("Arvo",OraakkelinDatat[#Headers],0)+0)</f>
        <v>1.1611760250000001</v>
      </c>
      <c r="O36" s="72"/>
      <c r="P36" s="60"/>
      <c r="Q36" s="61"/>
      <c r="R36" s="13"/>
      <c r="S36" s="13"/>
      <c r="T36" s="6"/>
    </row>
    <row r="37" spans="1:20" x14ac:dyDescent="0.25">
      <c r="A37" t="s">
        <v>306</v>
      </c>
      <c r="B37" t="s">
        <v>132</v>
      </c>
      <c r="C37" t="s">
        <v>11</v>
      </c>
      <c r="D37" t="s">
        <v>12</v>
      </c>
      <c r="F37" s="62"/>
      <c r="G37" s="37"/>
      <c r="H37" s="57" t="s">
        <v>602</v>
      </c>
      <c r="I37" s="58" cm="1">
        <f t="array" ref="I37">INDEX(OraakkelinDatat[#Data],MATCH((I$7)&amp;$A37&amp;$B37&amp;$C37&amp;$D37,Data!$A$2:$A$10149&amp;Data!$B$2:$B$10149&amp;Data!$C$2:$C$10149&amp;Data!$D$2:$D$10149&amp;Data!$E$2:$E$10149,0),MATCH("Arvo",OraakkelinDatat[#Headers],0)+0)</f>
        <v>-2.5675488209999999</v>
      </c>
      <c r="J37" s="58" cm="1">
        <f t="array" ref="J37">INDEX(OraakkelinDatat[#Data],MATCH((J$7)&amp;$A37&amp;$B37&amp;$C37&amp;$D37,Data!$A$2:$A$10149&amp;Data!$B$2:$B$10149&amp;Data!$C$2:$C$10149&amp;Data!$D$2:$D$10149&amp;Data!$E$2:$E$10149,0),MATCH("Arvo",OraakkelinDatat[#Headers],0)+0)</f>
        <v>-2.520776321</v>
      </c>
      <c r="K37" s="58" cm="1">
        <f t="array" ref="K37">INDEX(OraakkelinDatat[#Data],MATCH((K$7)&amp;$A37&amp;$B37&amp;$C37&amp;$D37,Data!$A$2:$A$10149&amp;Data!$B$2:$B$10149&amp;Data!$C$2:$C$10149&amp;Data!$D$2:$D$10149&amp;Data!$E$2:$E$10149,0),MATCH("Arvo",OraakkelinDatat[#Headers],0)+0)</f>
        <v>-2.437920858</v>
      </c>
      <c r="L37" s="58" cm="1">
        <f t="array" ref="L37">INDEX(OraakkelinDatat[#Data],MATCH((L$7)&amp;$A37&amp;$B37&amp;$C37&amp;$D37,Data!$A$2:$A$10149&amp;Data!$B$2:$B$10149&amp;Data!$C$2:$C$10149&amp;Data!$D$2:$D$10149&amp;Data!$E$2:$E$10149,0),MATCH("Arvo",OraakkelinDatat[#Headers],0)+0)</f>
        <v>-1.764648486</v>
      </c>
      <c r="M37" s="58" cm="1">
        <f t="array" ref="M37">INDEX(OraakkelinDatat[#Data],MATCH((M$7)&amp;$A37&amp;$B37&amp;$C37&amp;$D37,Data!$A$2:$A$10149&amp;Data!$B$2:$B$10149&amp;Data!$C$2:$C$10149&amp;Data!$D$2:$D$10149&amp;Data!$E$2:$E$10149,0),MATCH("Arvo",OraakkelinDatat[#Headers],0)+0)</f>
        <v>-1.056321906</v>
      </c>
      <c r="N37" s="58" cm="1">
        <f t="array" ref="N37">INDEX(OraakkelinDatat[#Data],MATCH((N$7)&amp;$A37&amp;$B37&amp;$C37&amp;$D37,Data!$A$2:$A$10149&amp;Data!$B$2:$B$10149&amp;Data!$C$2:$C$10149&amp;Data!$D$2:$D$10149&amp;Data!$E$2:$E$10149,0),MATCH("Arvo",OraakkelinDatat[#Headers],0)+0)</f>
        <v>-0.67958343600000004</v>
      </c>
      <c r="O37" s="59"/>
      <c r="P37" s="60"/>
      <c r="Q37" s="61"/>
      <c r="R37" s="13"/>
      <c r="S37" s="13"/>
      <c r="T37" s="6"/>
    </row>
    <row r="38" spans="1:20" x14ac:dyDescent="0.25">
      <c r="A38" t="s">
        <v>97</v>
      </c>
      <c r="B38" t="s">
        <v>82</v>
      </c>
      <c r="C38" t="s">
        <v>11</v>
      </c>
      <c r="D38" t="s">
        <v>12</v>
      </c>
      <c r="F38" s="73"/>
      <c r="G38" s="37"/>
      <c r="H38" s="43" t="s">
        <v>603</v>
      </c>
      <c r="I38" s="58" cm="1">
        <f t="array" ref="I38">INDEX(OraakkelinDatat[#Data],MATCH((I$7)&amp;$A38&amp;$B38&amp;$C38&amp;$D38,Data!$A$2:$A$10149&amp;Data!$B$2:$B$10149&amp;Data!$C$2:$C$10149&amp;Data!$D$2:$D$10149&amp;Data!$E$2:$E$10149,0),MATCH("Arvo",OraakkelinDatat[#Headers],0)+0)</f>
        <v>3.0376099999999999</v>
      </c>
      <c r="J38" s="58" cm="1">
        <f t="array" ref="J38">INDEX(OraakkelinDatat[#Data],MATCH((J$7)&amp;$A38&amp;$B38&amp;$C38&amp;$D38,Data!$A$2:$A$10149&amp;Data!$B$2:$B$10149&amp;Data!$C$2:$C$10149&amp;Data!$D$2:$D$10149&amp;Data!$E$2:$E$10149,0),MATCH("Arvo",OraakkelinDatat[#Headers],0)+0)</f>
        <v>2.851570229</v>
      </c>
      <c r="K38" s="58" cm="1">
        <f t="array" ref="K38">INDEX(OraakkelinDatat[#Data],MATCH((K$7)&amp;$A38&amp;$B38&amp;$C38&amp;$D38,Data!$A$2:$A$10149&amp;Data!$B$2:$B$10149&amp;Data!$C$2:$C$10149&amp;Data!$D$2:$D$10149&amp;Data!$E$2:$E$10149,0),MATCH("Arvo",OraakkelinDatat[#Headers],0)+0)</f>
        <v>3.0101473560000001</v>
      </c>
      <c r="L38" s="58" cm="1">
        <f t="array" ref="L38">INDEX(OraakkelinDatat[#Data],MATCH((L$7)&amp;$A38&amp;$B38&amp;$C38&amp;$D38,Data!$A$2:$A$10149&amp;Data!$B$2:$B$10149&amp;Data!$C$2:$C$10149&amp;Data!$D$2:$D$10149&amp;Data!$E$2:$E$10149,0),MATCH("Arvo",OraakkelinDatat[#Headers],0)+0)</f>
        <v>3.3</v>
      </c>
      <c r="M38" s="58" cm="1">
        <f t="array" ref="M38">INDEX(OraakkelinDatat[#Data],MATCH((M$7)&amp;$A38&amp;$B38&amp;$C38&amp;$D38,Data!$A$2:$A$10149&amp;Data!$B$2:$B$10149&amp;Data!$C$2:$C$10149&amp;Data!$D$2:$D$10149&amp;Data!$E$2:$E$10149,0),MATCH("Arvo",OraakkelinDatat[#Headers],0)+0)</f>
        <v>3.3</v>
      </c>
      <c r="N38" s="58" cm="1">
        <f t="array" ref="N38">INDEX(OraakkelinDatat[#Data],MATCH((N$7)&amp;$A38&amp;$B38&amp;$C38&amp;$D38,Data!$A$2:$A$10149&amp;Data!$B$2:$B$10149&amp;Data!$C$2:$C$10149&amp;Data!$D$2:$D$10149&amp;Data!$E$2:$E$10149,0),MATCH("Arvo",OraakkelinDatat[#Headers],0)+0)</f>
        <v>3.2</v>
      </c>
      <c r="O38" s="45"/>
      <c r="P38" s="46"/>
      <c r="Q38" s="47"/>
      <c r="R38" s="13"/>
      <c r="S38" s="6"/>
      <c r="T38" s="74"/>
    </row>
    <row r="39" spans="1:20" x14ac:dyDescent="0.25">
      <c r="A39" t="s">
        <v>53</v>
      </c>
      <c r="B39" t="s">
        <v>243</v>
      </c>
      <c r="C39" t="s">
        <v>11</v>
      </c>
      <c r="D39" t="s">
        <v>52</v>
      </c>
      <c r="E39" t="s">
        <v>51</v>
      </c>
      <c r="F39" s="6"/>
      <c r="G39" s="37"/>
      <c r="H39" s="43" t="s">
        <v>604</v>
      </c>
      <c r="I39" s="58" cm="1">
        <f t="array" ref="I39">(INDEX(OraakkelinDatat[#Data],MATCH((I$7)&amp;$A39&amp;$B39&amp;$C39&amp;$D39,Data!$A$2:$A$10149&amp;Data!$B$2:$B$10149&amp;Data!$C$2:$C$10149&amp;Data!$D$2:$D$10149&amp;Data!$E$2:$E$10149,0),MATCH("Arvo",OraakkelinDatat[#Headers],0)+0)/INDEX(OraakkelinDatat[#Data],MATCH((I$7)&amp;$E39&amp;$B39&amp;$C39&amp;$D39,Data!$A$2:$A$10149&amp;Data!$B$2:$B$10149&amp;Data!$C$2:$C$10149&amp;Data!$D$2:$D$10149&amp;Data!$E$2:$E$10149,0),MATCH("Arvo",OraakkelinDatat[#Headers],0)+0))*100</f>
        <v>2.2433275663623924</v>
      </c>
      <c r="J39" s="58" cm="1">
        <f t="array" ref="J39">(INDEX(OraakkelinDatat[#Data],MATCH((J$7)&amp;$A39&amp;$B39&amp;$C39&amp;$D39,Data!$A$2:$A$10149&amp;Data!$B$2:$B$10149&amp;Data!$C$2:$C$10149&amp;Data!$D$2:$D$10149&amp;Data!$E$2:$E$10149,0),MATCH("Arvo",OraakkelinDatat[#Headers],0)+0)/INDEX(OraakkelinDatat[#Data],MATCH((J$7)&amp;$E39&amp;$B39&amp;$C39&amp;$D39,Data!$A$2:$A$10149&amp;Data!$B$2:$B$10149&amp;Data!$C$2:$C$10149&amp;Data!$D$2:$D$10149&amp;Data!$E$2:$E$10149,0),MATCH("Arvo",OraakkelinDatat[#Headers],0)+0))*100</f>
        <v>4.0746779373998478</v>
      </c>
      <c r="K39" s="58" cm="1">
        <f t="array" ref="K39">(INDEX(OraakkelinDatat[#Data],MATCH((K$7)&amp;$A39&amp;$B39&amp;$C39&amp;$D39,Data!$A$2:$A$10149&amp;Data!$B$2:$B$10149&amp;Data!$C$2:$C$10149&amp;Data!$D$2:$D$10149&amp;Data!$E$2:$E$10149,0),MATCH("Arvo",OraakkelinDatat[#Headers],0)+0)/INDEX(OraakkelinDatat[#Data],MATCH((K$7)&amp;$E39&amp;$B39&amp;$C39&amp;$D39,Data!$A$2:$A$10149&amp;Data!$B$2:$B$10149&amp;Data!$C$2:$C$10149&amp;Data!$D$2:$D$10149&amp;Data!$E$2:$E$10149,0),MATCH("Arvo",OraakkelinDatat[#Headers],0)+0))*100</f>
        <v>5.9148010675595009</v>
      </c>
      <c r="L39" s="58" cm="1">
        <f t="array" ref="L39">(INDEX(OraakkelinDatat[#Data],MATCH((L$7)&amp;$A39&amp;$B39&amp;$C39&amp;$D39,Data!$A$2:$A$10149&amp;Data!$B$2:$B$10149&amp;Data!$C$2:$C$10149&amp;Data!$D$2:$D$10149&amp;Data!$E$2:$E$10149,0),MATCH("Arvo",OraakkelinDatat[#Headers],0)+0)/INDEX(OraakkelinDatat[#Data],MATCH((L$7)&amp;$E39&amp;$B39&amp;$C39&amp;$D39,Data!$A$2:$A$10149&amp;Data!$B$2:$B$10149&amp;Data!$C$2:$C$10149&amp;Data!$D$2:$D$10149&amp;Data!$E$2:$E$10149,0),MATCH("Arvo",OraakkelinDatat[#Headers],0)+0))*100</f>
        <v>4.998860144268594</v>
      </c>
      <c r="M39" s="58" cm="1">
        <f t="array" ref="M39">(INDEX(OraakkelinDatat[#Data],MATCH((M$7)&amp;$A39&amp;$B39&amp;$C39&amp;$D39,Data!$A$2:$A$10149&amp;Data!$B$2:$B$10149&amp;Data!$C$2:$C$10149&amp;Data!$D$2:$D$10149&amp;Data!$E$2:$E$10149,0),MATCH("Arvo",OraakkelinDatat[#Headers],0)+0)/INDEX(OraakkelinDatat[#Data],MATCH((M$7)&amp;$E39&amp;$B39&amp;$C39&amp;$D39,Data!$A$2:$A$10149&amp;Data!$B$2:$B$10149&amp;Data!$C$2:$C$10149&amp;Data!$D$2:$D$10149&amp;Data!$E$2:$E$10149,0),MATCH("Arvo",OraakkelinDatat[#Headers],0)+0))*100</f>
        <v>5.0716189638080387</v>
      </c>
      <c r="N39" s="58" cm="1">
        <f t="array" ref="N39">(INDEX(OraakkelinDatat[#Data],MATCH((N$7)&amp;$A39&amp;$B39&amp;$C39&amp;$D39,Data!$A$2:$A$10149&amp;Data!$B$2:$B$10149&amp;Data!$C$2:$C$10149&amp;Data!$D$2:$D$10149&amp;Data!$E$2:$E$10149,0),MATCH("Arvo",OraakkelinDatat[#Headers],0)+0)/INDEX(OraakkelinDatat[#Data],MATCH((N$7)&amp;$E39&amp;$B39&amp;$C39&amp;$D39,Data!$A$2:$A$10149&amp;Data!$B$2:$B$10149&amp;Data!$C$2:$C$10149&amp;Data!$D$2:$D$10149&amp;Data!$E$2:$E$10149,0),MATCH("Arvo",OraakkelinDatat[#Headers],0)+0))*100</f>
        <v>4.5096496584245545</v>
      </c>
      <c r="O39" s="45"/>
      <c r="P39" s="46"/>
      <c r="Q39" s="47"/>
      <c r="R39" s="13"/>
      <c r="S39" s="6"/>
      <c r="T39" s="6"/>
    </row>
    <row r="40" spans="1:20" x14ac:dyDescent="0.25">
      <c r="A40" t="s">
        <v>658</v>
      </c>
      <c r="B40" t="s">
        <v>82</v>
      </c>
      <c r="C40" t="s">
        <v>11</v>
      </c>
      <c r="D40" t="s">
        <v>55</v>
      </c>
      <c r="F40" s="73"/>
      <c r="G40" s="37"/>
      <c r="H40" s="43" t="s">
        <v>606</v>
      </c>
      <c r="I40" s="58" cm="1">
        <f t="array" ref="I40">INDEX(OraakkelinDatat[#Data],MATCH((I$7)&amp;$A40&amp;$B40&amp;$C40&amp;$D40,Data!$A$2:$A$10149&amp;Data!$B$2:$B$10149&amp;Data!$C$2:$C$10149&amp;Data!$D$2:$D$10149&amp;Data!$E$2:$E$10149,0),MATCH("Arvo",OraakkelinDatat[#Headers],0)+0)</f>
        <v>-2.4194836259999999</v>
      </c>
      <c r="J40" s="58" cm="1">
        <f t="array" ref="J40">INDEX(OraakkelinDatat[#Data],MATCH((J$7)&amp;$A40&amp;$B40&amp;$C40&amp;$D40,Data!$A$2:$A$10149&amp;Data!$B$2:$B$10149&amp;Data!$C$2:$C$10149&amp;Data!$D$2:$D$10149&amp;Data!$E$2:$E$10149,0),MATCH("Arvo",OraakkelinDatat[#Headers],0)+0)</f>
        <v>4.4583660999999997E-2</v>
      </c>
      <c r="K40" s="58" cm="1">
        <f t="array" ref="K40">INDEX(OraakkelinDatat[#Data],MATCH((K$7)&amp;$A40&amp;$B40&amp;$C40&amp;$D40,Data!$A$2:$A$10149&amp;Data!$B$2:$B$10149&amp;Data!$C$2:$C$10149&amp;Data!$D$2:$D$10149&amp;Data!$E$2:$E$10149,0),MATCH("Arvo",OraakkelinDatat[#Headers],0)+0)</f>
        <v>2.2400000000000002</v>
      </c>
      <c r="L40" s="58" cm="1">
        <f t="array" ref="L40">INDEX(OraakkelinDatat[#Data],MATCH((L$7)&amp;$A40&amp;$B40&amp;$C40&amp;$D40,Data!$A$2:$A$10149&amp;Data!$B$2:$B$10149&amp;Data!$C$2:$C$10149&amp;Data!$D$2:$D$10149&amp;Data!$E$2:$E$10149,0),MATCH("Arvo",OraakkelinDatat[#Headers],0)+0)</f>
        <v>1.26</v>
      </c>
      <c r="M40" s="58" cm="1">
        <f t="array" ref="M40">INDEX(OraakkelinDatat[#Data],MATCH((M$7)&amp;$A40&amp;$B40&amp;$C40&amp;$D40,Data!$A$2:$A$10149&amp;Data!$B$2:$B$10149&amp;Data!$C$2:$C$10149&amp;Data!$D$2:$D$10149&amp;Data!$E$2:$E$10149,0),MATCH("Arvo",OraakkelinDatat[#Headers],0)+0)</f>
        <v>1.86</v>
      </c>
      <c r="N40" s="58" cm="1">
        <f t="array" ref="N40">INDEX(OraakkelinDatat[#Data],MATCH((N$7)&amp;$A40&amp;$B40&amp;$C40&amp;$D40,Data!$A$2:$A$10149&amp;Data!$B$2:$B$10149&amp;Data!$C$2:$C$10149&amp;Data!$D$2:$D$10149&amp;Data!$E$2:$E$10149,0),MATCH("Arvo",OraakkelinDatat[#Headers],0)+0)</f>
        <v>2.5499999999999998</v>
      </c>
      <c r="O40" s="45"/>
      <c r="P40" s="46"/>
      <c r="Q40" s="47"/>
      <c r="R40" s="13"/>
      <c r="S40" s="6"/>
      <c r="T40" s="74"/>
    </row>
    <row r="41" spans="1:20" x14ac:dyDescent="0.25">
      <c r="A41" t="s">
        <v>188</v>
      </c>
      <c r="B41" t="s">
        <v>189</v>
      </c>
      <c r="C41" t="s">
        <v>11</v>
      </c>
      <c r="D41" t="s">
        <v>55</v>
      </c>
      <c r="F41" s="73"/>
      <c r="G41" s="37"/>
      <c r="H41" s="43" t="s">
        <v>607</v>
      </c>
      <c r="I41" s="58" cm="1">
        <f t="array" ref="I41">1/INDEX(OraakkelinDatat[#Data],MATCH((I$7)&amp;$A41&amp;$B41&amp;$C41&amp;$D41,Data!$A$2:$A$10149&amp;Data!$B$2:$B$10149&amp;Data!$C$2:$C$10149&amp;Data!$D$2:$D$10149&amp;Data!$E$2:$E$10149,0),MATCH("Arvo",OraakkelinDatat[#Headers],0)+0)</f>
        <v>0.92457857010717703</v>
      </c>
      <c r="J41" s="58" cm="1">
        <f t="array" ref="J41">1/INDEX(OraakkelinDatat[#Data],MATCH((J$7)&amp;$A41&amp;$B41&amp;$C41&amp;$D41,Data!$A$2:$A$10149&amp;Data!$B$2:$B$10149&amp;Data!$C$2:$C$10149&amp;Data!$D$2:$D$10149&amp;Data!$E$2:$E$10149,0),MATCH("Arvo",OraakkelinDatat[#Headers],0)+0)</f>
        <v>0.9241381353518644</v>
      </c>
      <c r="K41" s="58" cm="1">
        <f t="array" ref="K41">1/INDEX(OraakkelinDatat[#Data],MATCH((K$7)&amp;$A41&amp;$B41&amp;$C41&amp;$D41,Data!$A$2:$A$10149&amp;Data!$B$2:$B$10149&amp;Data!$C$2:$C$10149&amp;Data!$D$2:$D$10149&amp;Data!$E$2:$E$10149,0),MATCH("Arvo",OraakkelinDatat[#Headers],0)+0)</f>
        <v>0.88489184501010665</v>
      </c>
      <c r="L41" s="58" cm="1">
        <f t="array" ref="L41">1/INDEX(OraakkelinDatat[#Data],MATCH((L$7)&amp;$A41&amp;$B41&amp;$C41&amp;$D41,Data!$A$2:$A$10149&amp;Data!$B$2:$B$10149&amp;Data!$C$2:$C$10149&amp;Data!$D$2:$D$10149&amp;Data!$E$2:$E$10149,0),MATCH("Arvo",OraakkelinDatat[#Headers],0)+0)</f>
        <v>0.86206896551724144</v>
      </c>
      <c r="M41" s="58" cm="1">
        <f t="array" ref="M41">1/INDEX(OraakkelinDatat[#Data],MATCH((M$7)&amp;$A41&amp;$B41&amp;$C41&amp;$D41,Data!$A$2:$A$10149&amp;Data!$B$2:$B$10149&amp;Data!$C$2:$C$10149&amp;Data!$D$2:$D$10149&amp;Data!$E$2:$E$10149,0),MATCH("Arvo",OraakkelinDatat[#Headers],0)+0)</f>
        <v>0.85470085470085477</v>
      </c>
      <c r="N41" s="58" cm="1">
        <f t="array" ref="N41">1/INDEX(OraakkelinDatat[#Data],MATCH((N$7)&amp;$A41&amp;$B41&amp;$C41&amp;$D41,Data!$A$2:$A$10149&amp;Data!$B$2:$B$10149&amp;Data!$C$2:$C$10149&amp;Data!$D$2:$D$10149&amp;Data!$E$2:$E$10149,0),MATCH("Arvo",OraakkelinDatat[#Headers],0)+0)</f>
        <v>0.84033613445378152</v>
      </c>
      <c r="O41" s="75"/>
      <c r="P41" s="76"/>
      <c r="Q41" s="77"/>
      <c r="R41" s="13"/>
      <c r="S41" s="6"/>
      <c r="T41" s="74"/>
    </row>
    <row r="42" spans="1:20" x14ac:dyDescent="0.25">
      <c r="A42" t="s">
        <v>99</v>
      </c>
      <c r="B42" t="s">
        <v>100</v>
      </c>
      <c r="C42" t="s">
        <v>11</v>
      </c>
      <c r="D42" t="s">
        <v>55</v>
      </c>
      <c r="F42" s="73"/>
      <c r="G42" s="37"/>
      <c r="H42" s="43" t="s">
        <v>608</v>
      </c>
      <c r="I42" s="58" cm="1">
        <f t="array" ref="I42">INDEX(OraakkelinDatat[#Data],MATCH((I$7)&amp;$A42&amp;$B42&amp;$C42&amp;$D42,Data!$A$2:$A$10149&amp;Data!$B$2:$B$10149&amp;Data!$C$2:$C$10149&amp;Data!$D$2:$D$10149&amp;Data!$E$2:$E$10149,0),MATCH("Arvo",OraakkelinDatat[#Headers],0)+0)</f>
        <v>82.035155040000006</v>
      </c>
      <c r="J42" s="58" cm="1">
        <f t="array" ref="J42">INDEX(OraakkelinDatat[#Data],MATCH((J$7)&amp;$A42&amp;$B42&amp;$C42&amp;$D42,Data!$A$2:$A$10149&amp;Data!$B$2:$B$10149&amp;Data!$C$2:$C$10149&amp;Data!$D$2:$D$10149&amp;Data!$E$2:$E$10149,0),MATCH("Arvo",OraakkelinDatat[#Headers],0)+0)</f>
        <v>79.692961539999999</v>
      </c>
      <c r="K42" s="58" cm="1">
        <f t="array" ref="K42">INDEX(OraakkelinDatat[#Data],MATCH((K$7)&amp;$A42&amp;$B42&amp;$C42&amp;$D42,Data!$A$2:$A$10149&amp;Data!$B$2:$B$10149&amp;Data!$C$2:$C$10149&amp;Data!$D$2:$D$10149&amp;Data!$E$2:$E$10149,0),MATCH("Arvo",OraakkelinDatat[#Headers],0)+0)</f>
        <v>68.015057920000004</v>
      </c>
      <c r="L42" s="58" cm="1">
        <f t="array" ref="L42">INDEX(OraakkelinDatat[#Data],MATCH((L$7)&amp;$A42&amp;$B42&amp;$C42&amp;$D42,Data!$A$2:$A$10149&amp;Data!$B$2:$B$10149&amp;Data!$C$2:$C$10149&amp;Data!$D$2:$D$10149&amp;Data!$E$2:$E$10149,0),MATCH("Arvo",OraakkelinDatat[#Headers],0)+0)</f>
        <v>85.43</v>
      </c>
      <c r="M42" s="58" cm="1">
        <f t="array" ref="M42">INDEX(OraakkelinDatat[#Data],MATCH((M$7)&amp;$A42&amp;$B42&amp;$C42&amp;$D42,Data!$A$2:$A$10149&amp;Data!$B$2:$B$10149&amp;Data!$C$2:$C$10149&amp;Data!$D$2:$D$10149&amp;Data!$E$2:$E$10149,0),MATCH("Arvo",OraakkelinDatat[#Headers],0)+0)</f>
        <v>74.88</v>
      </c>
      <c r="N42" s="58" cm="1">
        <f t="array" ref="N42">INDEX(OraakkelinDatat[#Data],MATCH((N$7)&amp;$A42&amp;$B42&amp;$C42&amp;$D42,Data!$A$2:$A$10149&amp;Data!$B$2:$B$10149&amp;Data!$C$2:$C$10149&amp;Data!$D$2:$D$10149&amp;Data!$E$2:$E$10149,0),MATCH("Arvo",OraakkelinDatat[#Headers],0)+0)</f>
        <v>71.55</v>
      </c>
      <c r="O42" s="45"/>
      <c r="P42" s="46"/>
      <c r="Q42" s="47"/>
      <c r="R42" s="13"/>
      <c r="S42" s="6"/>
      <c r="T42" s="74"/>
    </row>
    <row r="43" spans="1:20" x14ac:dyDescent="0.25">
      <c r="F43" s="6"/>
      <c r="G43" s="37"/>
      <c r="H43" s="43" t="s">
        <v>609</v>
      </c>
      <c r="I43" s="44"/>
      <c r="J43" s="44"/>
      <c r="K43" s="78"/>
      <c r="L43" s="78"/>
      <c r="M43" s="78"/>
      <c r="N43" s="78"/>
      <c r="O43" s="45"/>
      <c r="P43" s="46"/>
      <c r="Q43" s="47"/>
      <c r="R43" s="13"/>
      <c r="S43" s="13"/>
      <c r="T43" s="6"/>
    </row>
    <row r="44" spans="1:20" x14ac:dyDescent="0.25">
      <c r="F44" s="6"/>
      <c r="G44" s="37"/>
      <c r="H44" s="43" t="s">
        <v>610</v>
      </c>
      <c r="I44" s="44"/>
      <c r="J44" s="44"/>
      <c r="K44" s="58"/>
      <c r="L44" s="44"/>
      <c r="M44" s="79"/>
      <c r="N44" s="79"/>
      <c r="O44" s="45"/>
      <c r="P44" s="46"/>
      <c r="Q44" s="47"/>
      <c r="R44" s="13"/>
      <c r="S44" s="13"/>
      <c r="T44" s="6"/>
    </row>
    <row r="45" spans="1:20" ht="15.75" thickBot="1" x14ac:dyDescent="0.3">
      <c r="F45" s="6"/>
      <c r="G45" s="29"/>
      <c r="H45" s="80" t="s">
        <v>201</v>
      </c>
      <c r="I45" s="81"/>
      <c r="J45" s="81"/>
      <c r="K45" s="81"/>
      <c r="L45" s="81"/>
      <c r="M45" s="81"/>
      <c r="N45" s="81"/>
      <c r="O45" s="81"/>
      <c r="P45" s="82"/>
      <c r="Q45" s="83"/>
      <c r="R45" s="13"/>
      <c r="S45" s="6"/>
      <c r="T45" s="6"/>
    </row>
    <row r="46" spans="1:20" ht="11.1" customHeight="1" x14ac:dyDescent="0.25">
      <c r="F46" s="6"/>
      <c r="G46" s="84">
        <v>1</v>
      </c>
      <c r="H46" s="136" t="s">
        <v>611</v>
      </c>
      <c r="I46" s="136"/>
      <c r="J46" s="136"/>
      <c r="K46" s="136"/>
      <c r="L46" s="136"/>
      <c r="M46" s="136"/>
      <c r="N46" s="136"/>
      <c r="O46" s="136"/>
      <c r="P46" s="136"/>
      <c r="Q46" s="13"/>
      <c r="R46" s="13"/>
      <c r="S46" s="6"/>
      <c r="T46" s="6"/>
    </row>
    <row r="47" spans="1:20" ht="11.1" customHeight="1" x14ac:dyDescent="0.25">
      <c r="F47" s="6"/>
      <c r="G47" s="84">
        <v>2</v>
      </c>
      <c r="H47" s="135" t="s">
        <v>612</v>
      </c>
      <c r="I47" s="135"/>
      <c r="J47" s="135"/>
      <c r="K47" s="135"/>
      <c r="L47" s="135"/>
      <c r="M47" s="135"/>
      <c r="N47" s="135"/>
      <c r="O47" s="135"/>
      <c r="P47" s="135"/>
      <c r="Q47" s="13"/>
      <c r="R47" s="13"/>
      <c r="S47" s="6"/>
      <c r="T47" s="6"/>
    </row>
    <row r="48" spans="1:20" ht="11.1" customHeight="1" x14ac:dyDescent="0.25">
      <c r="F48" s="6"/>
      <c r="G48" s="84">
        <v>3</v>
      </c>
      <c r="H48" s="135" t="s">
        <v>613</v>
      </c>
      <c r="I48" s="135"/>
      <c r="J48" s="135"/>
      <c r="K48" s="135"/>
      <c r="L48" s="135"/>
      <c r="M48" s="135"/>
      <c r="N48" s="135"/>
      <c r="O48" s="135"/>
      <c r="P48" s="135"/>
      <c r="Q48" s="13"/>
      <c r="R48" s="13"/>
      <c r="S48" s="6"/>
      <c r="T48" s="6"/>
    </row>
    <row r="49" spans="6:20" ht="11.1" customHeight="1" x14ac:dyDescent="0.25">
      <c r="F49" s="6"/>
      <c r="G49" s="84">
        <v>4</v>
      </c>
      <c r="H49" s="135" t="s">
        <v>614</v>
      </c>
      <c r="I49" s="135"/>
      <c r="J49" s="135"/>
      <c r="K49" s="135"/>
      <c r="L49" s="135"/>
      <c r="M49" s="135"/>
      <c r="N49" s="135"/>
      <c r="O49" s="135"/>
      <c r="P49" s="135"/>
      <c r="Q49" s="13"/>
      <c r="R49" s="13"/>
      <c r="S49" s="6"/>
      <c r="T49" s="6"/>
    </row>
    <row r="50" spans="6:20" ht="11.1" customHeight="1" x14ac:dyDescent="0.25">
      <c r="F50" s="6"/>
      <c r="G50" s="84">
        <v>5</v>
      </c>
      <c r="H50" s="135" t="s">
        <v>615</v>
      </c>
      <c r="I50" s="135"/>
      <c r="J50" s="135"/>
      <c r="K50" s="135"/>
      <c r="L50" s="135"/>
      <c r="M50" s="135"/>
      <c r="N50" s="135"/>
      <c r="O50" s="135"/>
      <c r="P50" s="135"/>
      <c r="Q50" s="13"/>
      <c r="R50" s="13"/>
      <c r="S50" s="6"/>
      <c r="T50" s="6"/>
    </row>
    <row r="51" spans="6:20" ht="11.1" customHeight="1" x14ac:dyDescent="0.25">
      <c r="F51" s="6"/>
      <c r="G51" s="84">
        <v>6</v>
      </c>
      <c r="H51" s="135" t="s">
        <v>616</v>
      </c>
      <c r="I51" s="135"/>
      <c r="J51" s="135"/>
      <c r="K51" s="135"/>
      <c r="L51" s="135"/>
      <c r="M51" s="135"/>
      <c r="N51" s="135"/>
      <c r="O51" s="135"/>
      <c r="P51" s="135"/>
      <c r="Q51" s="13"/>
      <c r="R51" s="13"/>
      <c r="S51" s="6"/>
      <c r="T51" s="6"/>
    </row>
    <row r="52" spans="6:20" ht="11.1" customHeight="1" x14ac:dyDescent="0.25">
      <c r="F52" s="6"/>
      <c r="G52" s="84">
        <v>7</v>
      </c>
      <c r="H52" s="135" t="s">
        <v>617</v>
      </c>
      <c r="I52" s="135"/>
      <c r="J52" s="135"/>
      <c r="K52" s="135"/>
      <c r="L52" s="135"/>
      <c r="M52" s="135"/>
      <c r="N52" s="135"/>
      <c r="O52" s="135"/>
      <c r="P52" s="135"/>
      <c r="Q52" s="13"/>
      <c r="R52" s="13"/>
      <c r="S52" s="6"/>
      <c r="T52" s="6"/>
    </row>
    <row r="53" spans="6:20" ht="11.1" customHeight="1" x14ac:dyDescent="0.25">
      <c r="F53" s="6"/>
      <c r="G53" s="84">
        <v>8</v>
      </c>
      <c r="H53" s="135" t="s">
        <v>618</v>
      </c>
      <c r="I53" s="135"/>
      <c r="J53" s="135"/>
      <c r="K53" s="135"/>
      <c r="L53" s="135"/>
      <c r="M53" s="135"/>
      <c r="N53" s="135"/>
      <c r="O53" s="135"/>
      <c r="P53" s="135"/>
      <c r="Q53" s="13"/>
      <c r="R53" s="13"/>
      <c r="S53" s="6"/>
      <c r="T53" s="6"/>
    </row>
    <row r="54" spans="6:20" ht="11.1" customHeight="1" x14ac:dyDescent="0.25">
      <c r="F54" s="6"/>
      <c r="G54" s="84">
        <v>9</v>
      </c>
      <c r="H54" s="135" t="s">
        <v>619</v>
      </c>
      <c r="I54" s="135"/>
      <c r="J54" s="135"/>
      <c r="K54" s="135"/>
      <c r="L54" s="135"/>
      <c r="M54" s="135"/>
      <c r="N54" s="135"/>
      <c r="O54" s="135"/>
      <c r="P54" s="135"/>
      <c r="Q54" s="13"/>
      <c r="R54" s="13"/>
      <c r="S54" s="6"/>
      <c r="T54" s="6"/>
    </row>
    <row r="55" spans="6:20" ht="11.1" customHeight="1" x14ac:dyDescent="0.25">
      <c r="F55" s="6"/>
      <c r="G55" s="84">
        <v>10</v>
      </c>
      <c r="H55" s="135" t="s">
        <v>620</v>
      </c>
      <c r="I55" s="135"/>
      <c r="J55" s="135"/>
      <c r="K55" s="135"/>
      <c r="L55" s="135"/>
      <c r="M55" s="135"/>
      <c r="N55" s="135"/>
      <c r="O55" s="135"/>
      <c r="P55" s="135"/>
      <c r="Q55" s="13"/>
      <c r="R55" s="13"/>
      <c r="S55" s="6"/>
      <c r="T55" s="6"/>
    </row>
    <row r="56" spans="6:20" ht="11.1" customHeight="1" x14ac:dyDescent="0.25">
      <c r="F56" s="6"/>
      <c r="G56" s="84">
        <v>11</v>
      </c>
      <c r="H56" s="135" t="s">
        <v>621</v>
      </c>
      <c r="I56" s="135"/>
      <c r="J56" s="135"/>
      <c r="K56" s="135"/>
      <c r="L56" s="135"/>
      <c r="M56" s="135"/>
      <c r="N56" s="135"/>
      <c r="O56" s="135"/>
      <c r="P56" s="135"/>
      <c r="Q56" s="13"/>
      <c r="R56" s="13"/>
      <c r="S56" s="6"/>
      <c r="T56" s="6"/>
    </row>
  </sheetData>
  <mergeCells count="11">
    <mergeCell ref="H51:P51"/>
    <mergeCell ref="H46:P46"/>
    <mergeCell ref="H47:P47"/>
    <mergeCell ref="H48:P48"/>
    <mergeCell ref="H49:P49"/>
    <mergeCell ref="H50:P50"/>
    <mergeCell ref="H52:P52"/>
    <mergeCell ref="H53:P53"/>
    <mergeCell ref="H54:P54"/>
    <mergeCell ref="H55:P55"/>
    <mergeCell ref="H56:P5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0133-90E6-4240-B69D-29B2A88D8802}">
  <sheetPr codeName="Taul26"/>
  <dimension ref="A1:V41"/>
  <sheetViews>
    <sheetView showGridLines="0" zoomScaleNormal="100" workbookViewId="0">
      <selection activeCell="I16" sqref="I16"/>
    </sheetView>
  </sheetViews>
  <sheetFormatPr defaultRowHeight="15" customHeight="1" x14ac:dyDescent="0.25"/>
  <cols>
    <col min="6" max="6" width="9.5703125" customWidth="1"/>
    <col min="7" max="7" width="9.42578125" customWidth="1"/>
    <col min="8" max="8" width="53.42578125" customWidth="1"/>
    <col min="9" max="9" width="13.140625" customWidth="1"/>
    <col min="10" max="10" width="8.42578125" customWidth="1"/>
    <col min="11" max="12" width="7.5703125" customWidth="1"/>
    <col min="13" max="13" width="9" customWidth="1"/>
    <col min="260" max="268" width="9.42578125" customWidth="1"/>
    <col min="516" max="524" width="9.42578125" customWidth="1"/>
    <col min="772" max="780" width="9.42578125" customWidth="1"/>
    <col min="1028" max="1036" width="9.42578125" customWidth="1"/>
    <col min="1284" max="1292" width="9.42578125" customWidth="1"/>
    <col min="1540" max="1548" width="9.42578125" customWidth="1"/>
    <col min="1796" max="1804" width="9.42578125" customWidth="1"/>
    <col min="2052" max="2060" width="9.42578125" customWidth="1"/>
    <col min="2308" max="2316" width="9.42578125" customWidth="1"/>
    <col min="2564" max="2572" width="9.42578125" customWidth="1"/>
    <col min="2820" max="2828" width="9.42578125" customWidth="1"/>
    <col min="3076" max="3084" width="9.42578125" customWidth="1"/>
    <col min="3332" max="3340" width="9.42578125" customWidth="1"/>
    <col min="3588" max="3596" width="9.42578125" customWidth="1"/>
    <col min="3844" max="3852" width="9.42578125" customWidth="1"/>
    <col min="4100" max="4108" width="9.42578125" customWidth="1"/>
    <col min="4356" max="4364" width="9.42578125" customWidth="1"/>
    <col min="4612" max="4620" width="9.42578125" customWidth="1"/>
    <col min="4868" max="4876" width="9.42578125" customWidth="1"/>
    <col min="5124" max="5132" width="9.42578125" customWidth="1"/>
    <col min="5380" max="5388" width="9.42578125" customWidth="1"/>
    <col min="5636" max="5644" width="9.42578125" customWidth="1"/>
    <col min="5892" max="5900" width="9.42578125" customWidth="1"/>
    <col min="6148" max="6156" width="9.42578125" customWidth="1"/>
    <col min="6404" max="6412" width="9.42578125" customWidth="1"/>
    <col min="6660" max="6668" width="9.42578125" customWidth="1"/>
    <col min="6916" max="6924" width="9.42578125" customWidth="1"/>
    <col min="7172" max="7180" width="9.42578125" customWidth="1"/>
    <col min="7428" max="7436" width="9.42578125" customWidth="1"/>
    <col min="7684" max="7692" width="9.42578125" customWidth="1"/>
    <col min="7940" max="7948" width="9.42578125" customWidth="1"/>
    <col min="8196" max="8204" width="9.42578125" customWidth="1"/>
    <col min="8452" max="8460" width="9.42578125" customWidth="1"/>
    <col min="8708" max="8716" width="9.42578125" customWidth="1"/>
    <col min="8964" max="8972" width="9.42578125" customWidth="1"/>
    <col min="9220" max="9228" width="9.42578125" customWidth="1"/>
    <col min="9476" max="9484" width="9.42578125" customWidth="1"/>
    <col min="9732" max="9740" width="9.42578125" customWidth="1"/>
    <col min="9988" max="9996" width="9.42578125" customWidth="1"/>
    <col min="10244" max="10252" width="9.42578125" customWidth="1"/>
    <col min="10500" max="10508" width="9.42578125" customWidth="1"/>
    <col min="10756" max="10764" width="9.42578125" customWidth="1"/>
    <col min="11012" max="11020" width="9.42578125" customWidth="1"/>
    <col min="11268" max="11276" width="9.42578125" customWidth="1"/>
    <col min="11524" max="11532" width="9.42578125" customWidth="1"/>
    <col min="11780" max="11788" width="9.42578125" customWidth="1"/>
    <col min="12036" max="12044" width="9.42578125" customWidth="1"/>
    <col min="12292" max="12300" width="9.42578125" customWidth="1"/>
    <col min="12548" max="12556" width="9.42578125" customWidth="1"/>
    <col min="12804" max="12812" width="9.42578125" customWidth="1"/>
    <col min="13060" max="13068" width="9.42578125" customWidth="1"/>
    <col min="13316" max="13324" width="9.42578125" customWidth="1"/>
    <col min="13572" max="13580" width="9.42578125" customWidth="1"/>
    <col min="13828" max="13836" width="9.42578125" customWidth="1"/>
    <col min="14084" max="14092" width="9.42578125" customWidth="1"/>
    <col min="14340" max="14348" width="9.42578125" customWidth="1"/>
    <col min="14596" max="14604" width="9.42578125" customWidth="1"/>
    <col min="14852" max="14860" width="9.42578125" customWidth="1"/>
    <col min="15108" max="15116" width="9.42578125" customWidth="1"/>
    <col min="15364" max="15372" width="9.42578125" customWidth="1"/>
    <col min="15620" max="15628" width="9.42578125" customWidth="1"/>
    <col min="15876" max="15884" width="9.42578125" customWidth="1"/>
    <col min="16132" max="16140" width="9.42578125" customWidth="1"/>
  </cols>
  <sheetData>
    <row r="1" spans="1:22" ht="15" customHeight="1" x14ac:dyDescent="0.25">
      <c r="H1" s="3" t="s">
        <v>655</v>
      </c>
      <c r="I1" s="3">
        <v>2023</v>
      </c>
    </row>
    <row r="4" spans="1:22" ht="13.35" customHeight="1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F4" s="85"/>
      <c r="G4" s="137" t="s">
        <v>622</v>
      </c>
      <c r="H4" s="137"/>
      <c r="I4" s="137"/>
      <c r="J4" s="137"/>
      <c r="K4" s="137"/>
      <c r="L4" s="86"/>
      <c r="M4" s="87"/>
      <c r="N4" s="88"/>
      <c r="O4" s="88"/>
      <c r="P4" s="88"/>
      <c r="Q4" s="88"/>
      <c r="R4" s="88"/>
      <c r="S4" s="88"/>
      <c r="T4" s="88"/>
    </row>
    <row r="5" spans="1:22" ht="13.35" customHeight="1" x14ac:dyDescent="0.25">
      <c r="F5" s="89"/>
      <c r="G5" s="138" t="s">
        <v>623</v>
      </c>
      <c r="H5" s="138"/>
      <c r="I5" s="90"/>
      <c r="J5" s="90"/>
      <c r="K5" s="90"/>
      <c r="L5" s="90"/>
      <c r="M5" s="91"/>
      <c r="N5" s="88"/>
      <c r="O5" s="88"/>
      <c r="P5" s="88"/>
      <c r="Q5" s="88"/>
      <c r="R5" s="88"/>
      <c r="S5" s="88"/>
      <c r="T5" s="88"/>
    </row>
    <row r="6" spans="1:22" ht="12.75" customHeight="1" x14ac:dyDescent="0.25">
      <c r="F6" s="92"/>
      <c r="G6" s="139" t="s">
        <v>624</v>
      </c>
      <c r="H6" s="139"/>
      <c r="I6" s="90"/>
      <c r="J6" s="90"/>
      <c r="K6" s="90"/>
      <c r="L6" s="90"/>
      <c r="M6" s="87"/>
      <c r="N6" s="88"/>
      <c r="O6" s="88"/>
      <c r="P6" s="88"/>
      <c r="Q6" s="88"/>
      <c r="R6" s="88"/>
      <c r="S6" s="88"/>
      <c r="T6" s="88"/>
    </row>
    <row r="7" spans="1:22" ht="13.35" customHeight="1" x14ac:dyDescent="0.25">
      <c r="F7" s="93"/>
      <c r="G7" s="94" t="s">
        <v>24</v>
      </c>
      <c r="H7" s="94" t="s">
        <v>625</v>
      </c>
      <c r="I7" s="95">
        <f>[1]Etusivu!E5</f>
        <v>2025</v>
      </c>
      <c r="J7" s="95">
        <f t="shared" ref="J7:L7" si="0">I7+1</f>
        <v>2026</v>
      </c>
      <c r="K7" s="95">
        <f t="shared" si="0"/>
        <v>2027</v>
      </c>
      <c r="L7" s="95">
        <f t="shared" si="0"/>
        <v>2028</v>
      </c>
      <c r="M7" s="96"/>
      <c r="N7" s="88"/>
      <c r="O7" s="88"/>
      <c r="P7" s="88"/>
      <c r="Q7" s="88"/>
      <c r="R7" s="88"/>
      <c r="S7" s="88"/>
      <c r="T7" s="88"/>
    </row>
    <row r="8" spans="1:22" ht="13.35" customHeight="1" x14ac:dyDescent="0.25">
      <c r="A8" t="s">
        <v>18</v>
      </c>
      <c r="B8" t="s">
        <v>20</v>
      </c>
      <c r="C8" t="s">
        <v>11</v>
      </c>
      <c r="D8" t="s">
        <v>12</v>
      </c>
      <c r="F8" s="93"/>
      <c r="G8" s="97">
        <v>1</v>
      </c>
      <c r="H8" s="97" t="s">
        <v>569</v>
      </c>
      <c r="I8" s="44" cm="1">
        <f t="array" ref="I8">(INDEX(OraakkelinDatat[#Data],MATCH((I$7)&amp;$A8&amp;$B8&amp;$C8&amp;$D8,Data!$A$2:$A$10149&amp;Data!$B$2:$B$10149&amp;Data!$C$2:$C$10149&amp;Data!$D$2:$D$10149&amp;Data!$E$2:$E$10149,0),MATCH("Arvo",OraakkelinDatat[#Headers],0)+0)/INDEX(OraakkelinDatat[#Data],MATCH((I$7-1)&amp;$A8&amp;$B8&amp;$C8&amp;$D8,Data!$A$2:$A$10149&amp;Data!$B$2:$B$10149&amp;Data!$C$2:$C$10149&amp;Data!$D$2:$D$10149&amp;Data!$E$2:$E$10149,0),MATCH("Arvo",OraakkelinDatat[#Headers],0)+0)-1)*100</f>
        <v>0.84283740733799295</v>
      </c>
      <c r="J8" s="44" cm="1">
        <f t="array" ref="J8">(INDEX(OraakkelinDatat[#Data],MATCH((J$7)&amp;$A8&amp;$B8&amp;$C8&amp;$D8,Data!$A$2:$A$10149&amp;Data!$B$2:$B$10149&amp;Data!$C$2:$C$10149&amp;Data!$D$2:$D$10149&amp;Data!$E$2:$E$10149,0),MATCH("Arvo",OraakkelinDatat[#Headers],0)+0)/INDEX(OraakkelinDatat[#Data],MATCH((J$7-1)&amp;$A8&amp;$B8&amp;$C8&amp;$D8,Data!$A$2:$A$10149&amp;Data!$B$2:$B$10149&amp;Data!$C$2:$C$10149&amp;Data!$D$2:$D$10149&amp;Data!$E$2:$E$10149,0),MATCH("Arvo",OraakkelinDatat[#Headers],0)+0)-1)*100</f>
        <v>1.536971395480502</v>
      </c>
      <c r="K8" s="44" cm="1">
        <f t="array" ref="K8">(INDEX(OraakkelinDatat[#Data],MATCH((K$7)&amp;$A8&amp;$B8&amp;$C8&amp;$D8,Data!$A$2:$A$10149&amp;Data!$B$2:$B$10149&amp;Data!$C$2:$C$10149&amp;Data!$D$2:$D$10149&amp;Data!$E$2:$E$10149,0),MATCH("Arvo",OraakkelinDatat[#Headers],0)+0)/INDEX(OraakkelinDatat[#Data],MATCH((K$7-1)&amp;$A8&amp;$B8&amp;$C8&amp;$D8,Data!$A$2:$A$10149&amp;Data!$B$2:$B$10149&amp;Data!$C$2:$C$10149&amp;Data!$D$2:$D$10149&amp;Data!$E$2:$E$10149,0),MATCH("Arvo",OraakkelinDatat[#Headers],0)+0)-1)*100</f>
        <v>1.7785693759069465</v>
      </c>
      <c r="L8" s="44" cm="1">
        <f t="array" ref="L8">(INDEX(OraakkelinDatat[#Data],MATCH((L$7)&amp;$A8&amp;$B8&amp;$C8&amp;$D8,Data!$A$2:$A$10149&amp;Data!$B$2:$B$10149&amp;Data!$C$2:$C$10149&amp;Data!$D$2:$D$10149&amp;Data!$E$2:$E$10149,0),MATCH("Arvo",OraakkelinDatat[#Headers],0)+0)/INDEX(OraakkelinDatat[#Data],MATCH((L$7-1)&amp;$A8&amp;$B8&amp;$C8&amp;$D8,Data!$A$2:$A$10149&amp;Data!$B$2:$B$10149&amp;Data!$C$2:$C$10149&amp;Data!$D$2:$D$10149&amp;Data!$E$2:$E$10149,0),MATCH("Arvo",OraakkelinDatat[#Headers],0)+0)-1)*100</f>
        <v>1.5454099426849055</v>
      </c>
      <c r="M8" s="96"/>
      <c r="N8" s="88" t="s">
        <v>570</v>
      </c>
      <c r="O8" s="88"/>
      <c r="P8" s="88"/>
      <c r="Q8" s="88"/>
      <c r="R8" s="88"/>
      <c r="S8" s="88"/>
      <c r="T8" s="99"/>
      <c r="U8" s="99"/>
      <c r="V8" s="99"/>
    </row>
    <row r="9" spans="1:22" ht="13.35" customHeight="1" x14ac:dyDescent="0.25">
      <c r="A9" t="s">
        <v>116</v>
      </c>
      <c r="B9" t="s">
        <v>20</v>
      </c>
      <c r="C9" t="s">
        <v>11</v>
      </c>
      <c r="D9" t="s">
        <v>12</v>
      </c>
      <c r="F9" s="100"/>
      <c r="G9" s="101">
        <v>2</v>
      </c>
      <c r="H9" s="101" t="s">
        <v>571</v>
      </c>
      <c r="I9" s="44" cm="1">
        <f t="array" ref="I9">(INDEX(OraakkelinDatat[#Data],MATCH((I$7)&amp;$A9&amp;$B9&amp;$C9&amp;$D9,Data!$A$2:$A$10149&amp;Data!$B$2:$B$10149&amp;Data!$C$2:$C$10149&amp;Data!$D$2:$D$10149&amp;Data!$E$2:$E$10149,0),MATCH("Arvo",OraakkelinDatat[#Headers],0)+0)/INDEX(OraakkelinDatat[#Data],MATCH((I$7-1)&amp;$A9&amp;$B9&amp;$C9&amp;$D9,Data!$A$2:$A$10149&amp;Data!$B$2:$B$10149&amp;Data!$C$2:$C$10149&amp;Data!$D$2:$D$10149&amp;Data!$E$2:$E$10149,0),MATCH("Arvo",OraakkelinDatat[#Headers],0)+0)-1)*100</f>
        <v>-1.1462762828377882</v>
      </c>
      <c r="J9" s="44" cm="1">
        <f t="array" ref="J9">(INDEX(OraakkelinDatat[#Data],MATCH((J$7)&amp;$A9&amp;$B9&amp;$C9&amp;$D9,Data!$A$2:$A$10149&amp;Data!$B$2:$B$10149&amp;Data!$C$2:$C$10149&amp;Data!$D$2:$D$10149&amp;Data!$E$2:$E$10149,0),MATCH("Arvo",OraakkelinDatat[#Headers],0)+0)/INDEX(OraakkelinDatat[#Data],MATCH((J$7-1)&amp;$A9&amp;$B9&amp;$C9&amp;$D9,Data!$A$2:$A$10149&amp;Data!$B$2:$B$10149&amp;Data!$C$2:$C$10149&amp;Data!$D$2:$D$10149&amp;Data!$E$2:$E$10149,0),MATCH("Arvo",OraakkelinDatat[#Headers],0)+0)-1)*100</f>
        <v>1.0851443509308778</v>
      </c>
      <c r="K9" s="44" cm="1">
        <f t="array" ref="K9">(INDEX(OraakkelinDatat[#Data],MATCH((K$7)&amp;$A9&amp;$B9&amp;$C9&amp;$D9,Data!$A$2:$A$10149&amp;Data!$B$2:$B$10149&amp;Data!$C$2:$C$10149&amp;Data!$D$2:$D$10149&amp;Data!$E$2:$E$10149,0),MATCH("Arvo",OraakkelinDatat[#Headers],0)+0)/INDEX(OraakkelinDatat[#Data],MATCH((K$7-1)&amp;$A9&amp;$B9&amp;$C9&amp;$D9,Data!$A$2:$A$10149&amp;Data!$B$2:$B$10149&amp;Data!$C$2:$C$10149&amp;Data!$D$2:$D$10149&amp;Data!$E$2:$E$10149,0),MATCH("Arvo",OraakkelinDatat[#Headers],0)+0)-1)*100</f>
        <v>1.5676973090291035</v>
      </c>
      <c r="L9" s="44" cm="1">
        <f t="array" ref="L9">(INDEX(OraakkelinDatat[#Data],MATCH((L$7)&amp;$A9&amp;$B9&amp;$C9&amp;$D9,Data!$A$2:$A$10149&amp;Data!$B$2:$B$10149&amp;Data!$C$2:$C$10149&amp;Data!$D$2:$D$10149&amp;Data!$E$2:$E$10149,0),MATCH("Arvo",OraakkelinDatat[#Headers],0)+0)/INDEX(OraakkelinDatat[#Data],MATCH((L$7-1)&amp;$A9&amp;$B9&amp;$C9&amp;$D9,Data!$A$2:$A$10149&amp;Data!$B$2:$B$10149&amp;Data!$C$2:$C$10149&amp;Data!$D$2:$D$10149&amp;Data!$E$2:$E$10149,0),MATCH("Arvo",OraakkelinDatat[#Headers],0)+0)-1)*100</f>
        <v>1.573142063213262</v>
      </c>
      <c r="M9" s="104"/>
      <c r="N9" s="88" t="s">
        <v>626</v>
      </c>
      <c r="O9" s="88"/>
      <c r="P9" s="88"/>
      <c r="Q9" s="88"/>
      <c r="R9" s="88"/>
      <c r="S9" s="88"/>
      <c r="T9" s="99"/>
      <c r="U9" s="99"/>
      <c r="V9" s="99"/>
    </row>
    <row r="10" spans="1:22" ht="13.35" customHeight="1" x14ac:dyDescent="0.25">
      <c r="A10" s="143" t="s">
        <v>115</v>
      </c>
      <c r="B10" s="1" t="s">
        <v>20</v>
      </c>
      <c r="C10" t="s">
        <v>11</v>
      </c>
      <c r="D10" t="s">
        <v>12</v>
      </c>
      <c r="F10" s="85"/>
      <c r="G10" s="101">
        <v>3</v>
      </c>
      <c r="H10" s="101" t="s">
        <v>627</v>
      </c>
      <c r="I10" s="44" cm="1">
        <f t="array" ref="I10">(INDEX(OraakkelinDatat[#Data],MATCH((I$7)&amp;$A10&amp;$B10&amp;$C10&amp;$D10,Data!$A$2:$A$10149&amp;Data!$B$2:$B$10149&amp;Data!$C$2:$C$10149&amp;Data!$D$2:$D$10149&amp;Data!$E$2:$E$10149,0),MATCH("Arvo",OraakkelinDatat[#Headers],0)+0)/INDEX(OraakkelinDatat[#Data],MATCH((I$7-1)&amp;$A10&amp;$B10&amp;$C10&amp;$D10,Data!$A$2:$A$10149&amp;Data!$B$2:$B$10149&amp;Data!$C$2:$C$10149&amp;Data!$D$2:$D$10149&amp;Data!$E$2:$E$10149,0),MATCH("Arvo",OraakkelinDatat[#Headers],0)+0)-1)*100</f>
        <v>0.2906880170093995</v>
      </c>
      <c r="J10" s="44" cm="1">
        <f t="array" ref="J10">(INDEX(OraakkelinDatat[#Data],MATCH((J$7)&amp;$A10&amp;$B10&amp;$C10&amp;$D10,Data!$A$2:$A$10149&amp;Data!$B$2:$B$10149&amp;Data!$C$2:$C$10149&amp;Data!$D$2:$D$10149&amp;Data!$E$2:$E$10149,0),MATCH("Arvo",OraakkelinDatat[#Headers],0)+0)/INDEX(OraakkelinDatat[#Data],MATCH((J$7-1)&amp;$A10&amp;$B10&amp;$C10&amp;$D10,Data!$A$2:$A$10149&amp;Data!$B$2:$B$10149&amp;Data!$C$2:$C$10149&amp;Data!$D$2:$D$10149&amp;Data!$E$2:$E$10149,0),MATCH("Arvo",OraakkelinDatat[#Headers],0)+0)-1)*100</f>
        <v>-0.52546607151728875</v>
      </c>
      <c r="K10" s="44" cm="1">
        <f t="array" ref="K10">(INDEX(OraakkelinDatat[#Data],MATCH((K$7)&amp;$A10&amp;$B10&amp;$C10&amp;$D10,Data!$A$2:$A$10149&amp;Data!$B$2:$B$10149&amp;Data!$C$2:$C$10149&amp;Data!$D$2:$D$10149&amp;Data!$E$2:$E$10149,0),MATCH("Arvo",OraakkelinDatat[#Headers],0)+0)/INDEX(OraakkelinDatat[#Data],MATCH((K$7-1)&amp;$A10&amp;$B10&amp;$C10&amp;$D10,Data!$A$2:$A$10149&amp;Data!$B$2:$B$10149&amp;Data!$C$2:$C$10149&amp;Data!$D$2:$D$10149&amp;Data!$E$2:$E$10149,0),MATCH("Arvo",OraakkelinDatat[#Headers],0)+0)-1)*100</f>
        <v>0.10833220507473484</v>
      </c>
      <c r="L10" s="44" cm="1">
        <f t="array" ref="L10">(INDEX(OraakkelinDatat[#Data],MATCH((L$7)&amp;$A10&amp;$B10&amp;$C10&amp;$D10,Data!$A$2:$A$10149&amp;Data!$B$2:$B$10149&amp;Data!$C$2:$C$10149&amp;Data!$D$2:$D$10149&amp;Data!$E$2:$E$10149,0),MATCH("Arvo",OraakkelinDatat[#Headers],0)+0)/INDEX(OraakkelinDatat[#Data],MATCH((L$7-1)&amp;$A10&amp;$B10&amp;$C10&amp;$D10,Data!$A$2:$A$10149&amp;Data!$B$2:$B$10149&amp;Data!$C$2:$C$10149&amp;Data!$D$2:$D$10149&amp;Data!$E$2:$E$10149,0),MATCH("Arvo",OraakkelinDatat[#Headers],0)+0)-1)*100</f>
        <v>0.49972060291172404</v>
      </c>
      <c r="M10" s="87"/>
      <c r="N10" s="88" t="s">
        <v>626</v>
      </c>
      <c r="O10" s="87"/>
      <c r="P10" s="88"/>
      <c r="Q10" s="88"/>
      <c r="R10" s="88"/>
      <c r="S10" s="88"/>
      <c r="T10" s="99"/>
      <c r="U10" s="99"/>
      <c r="V10" s="99"/>
    </row>
    <row r="11" spans="1:22" ht="13.35" customHeight="1" x14ac:dyDescent="0.25">
      <c r="A11" t="s">
        <v>119</v>
      </c>
      <c r="B11" t="s">
        <v>21</v>
      </c>
      <c r="C11" t="s">
        <v>11</v>
      </c>
      <c r="D11" t="s">
        <v>12</v>
      </c>
      <c r="F11" s="85"/>
      <c r="G11" s="101">
        <v>4</v>
      </c>
      <c r="H11" s="101" t="s">
        <v>573</v>
      </c>
      <c r="I11" s="44" cm="1">
        <f t="array" ref="I11">(INDEX(OraakkelinDatat[#Data],MATCH((I$7)&amp;$A11&amp;$B11&amp;$C11&amp;$D11,Data!$A$2:$A$10149&amp;Data!$B$2:$B$10149&amp;Data!$C$2:$C$10149&amp;Data!$D$2:$D$10149&amp;Data!$E$2:$E$10149,0),MATCH("Arvo",OraakkelinDatat[#Headers],0)+0)/INDEX(OraakkelinDatat[#Data],MATCH((I$7-1)&amp;$A11&amp;$B11&amp;$C11&amp;$D11,Data!$A$2:$A$10149&amp;Data!$B$2:$B$10149&amp;Data!$C$2:$C$10149&amp;Data!$D$2:$D$10149&amp;Data!$E$2:$E$10149,0),MATCH("Arvo",OraakkelinDatat[#Headers],0)+0)-1)*100</f>
        <v>1.4196668681857094</v>
      </c>
      <c r="J11" s="44" cm="1">
        <f t="array" ref="J11">(INDEX(OraakkelinDatat[#Data],MATCH((J$7)&amp;$A11&amp;$B11&amp;$C11&amp;$D11,Data!$A$2:$A$10149&amp;Data!$B$2:$B$10149&amp;Data!$C$2:$C$10149&amp;Data!$D$2:$D$10149&amp;Data!$E$2:$E$10149,0),MATCH("Arvo",OraakkelinDatat[#Headers],0)+0)/INDEX(OraakkelinDatat[#Data],MATCH((J$7-1)&amp;$A11&amp;$B11&amp;$C11&amp;$D11,Data!$A$2:$A$10149&amp;Data!$B$2:$B$10149&amp;Data!$C$2:$C$10149&amp;Data!$D$2:$D$10149&amp;Data!$E$2:$E$10149,0),MATCH("Arvo",OraakkelinDatat[#Headers],0)+0)-1)*100</f>
        <v>7.7696269681397645</v>
      </c>
      <c r="K11" s="44" cm="1">
        <f t="array" ref="K11">(INDEX(OraakkelinDatat[#Data],MATCH((K$7)&amp;$A11&amp;$B11&amp;$C11&amp;$D11,Data!$A$2:$A$10149&amp;Data!$B$2:$B$10149&amp;Data!$C$2:$C$10149&amp;Data!$D$2:$D$10149&amp;Data!$E$2:$E$10149,0),MATCH("Arvo",OraakkelinDatat[#Headers],0)+0)/INDEX(OraakkelinDatat[#Data],MATCH((K$7-1)&amp;$A11&amp;$B11&amp;$C11&amp;$D11,Data!$A$2:$A$10149&amp;Data!$B$2:$B$10149&amp;Data!$C$2:$C$10149&amp;Data!$D$2:$D$10149&amp;Data!$E$2:$E$10149,0),MATCH("Arvo",OraakkelinDatat[#Headers],0)+0)-1)*100</f>
        <v>4.3820420396447624</v>
      </c>
      <c r="L11" s="44" cm="1">
        <f t="array" ref="L11">(INDEX(OraakkelinDatat[#Data],MATCH((L$7)&amp;$A11&amp;$B11&amp;$C11&amp;$D11,Data!$A$2:$A$10149&amp;Data!$B$2:$B$10149&amp;Data!$C$2:$C$10149&amp;Data!$D$2:$D$10149&amp;Data!$E$2:$E$10149,0),MATCH("Arvo",OraakkelinDatat[#Headers],0)+0)/INDEX(OraakkelinDatat[#Data],MATCH((L$7-1)&amp;$A11&amp;$B11&amp;$C11&amp;$D11,Data!$A$2:$A$10149&amp;Data!$B$2:$B$10149&amp;Data!$C$2:$C$10149&amp;Data!$D$2:$D$10149&amp;Data!$E$2:$E$10149,0),MATCH("Arvo",OraakkelinDatat[#Headers],0)+0)-1)*100</f>
        <v>3.5833662132073618</v>
      </c>
      <c r="M11" s="87"/>
      <c r="N11" s="88" t="s">
        <v>576</v>
      </c>
      <c r="O11" s="88"/>
      <c r="P11" s="88"/>
      <c r="Q11" s="88"/>
      <c r="R11" s="88"/>
      <c r="S11" s="88"/>
      <c r="T11" s="99"/>
      <c r="U11" s="99"/>
      <c r="V11" s="99"/>
    </row>
    <row r="12" spans="1:22" ht="13.35" customHeight="1" x14ac:dyDescent="0.25">
      <c r="A12" s="142" t="s">
        <v>127</v>
      </c>
      <c r="B12" s="142" t="s">
        <v>21</v>
      </c>
      <c r="C12" t="s">
        <v>11</v>
      </c>
      <c r="D12" t="s">
        <v>12</v>
      </c>
      <c r="F12" s="85"/>
      <c r="G12" s="101">
        <v>5</v>
      </c>
      <c r="H12" s="101" t="s">
        <v>628</v>
      </c>
      <c r="I12" s="44" cm="1">
        <f t="array" ref="I12">(INDEX(OraakkelinDatat[#Data],MATCH((I$7)&amp;$A12&amp;$B12&amp;$C12&amp;$D12,Data!$A$2:$A$10149&amp;Data!$B$2:$B$10149&amp;Data!$C$2:$C$10149&amp;Data!$D$2:$D$10149&amp;Data!$E$2:$E$10149,0),MATCH("Arvo",OraakkelinDatat[#Headers],0)+0)/INDEX(OraakkelinDatat[#Data],MATCH((I$7-1)&amp;$A12&amp;$B12&amp;$C12&amp;$D12,Data!$A$2:$A$10149&amp;Data!$B$2:$B$10149&amp;Data!$C$2:$C$10149&amp;Data!$D$2:$D$10149&amp;Data!$E$2:$E$10149,0),MATCH("Arvo",OraakkelinDatat[#Headers],0)+0)-1)*100</f>
        <v>3.8540191914425037</v>
      </c>
      <c r="J12" s="44" cm="1">
        <f t="array" ref="J12">(INDEX(OraakkelinDatat[#Data],MATCH((J$7)&amp;$A12&amp;$B12&amp;$C12&amp;$D12,Data!$A$2:$A$10149&amp;Data!$B$2:$B$10149&amp;Data!$C$2:$C$10149&amp;Data!$D$2:$D$10149&amp;Data!$E$2:$E$10149,0),MATCH("Arvo",OraakkelinDatat[#Headers],0)+0)/INDEX(OraakkelinDatat[#Data],MATCH((J$7-1)&amp;$A12&amp;$B12&amp;$C12&amp;$D12,Data!$A$2:$A$10149&amp;Data!$B$2:$B$10149&amp;Data!$C$2:$C$10149&amp;Data!$D$2:$D$10149&amp;Data!$E$2:$E$10149,0),MATCH("Arvo",OraakkelinDatat[#Headers],0)+0)-1)*100</f>
        <v>20.999999999999996</v>
      </c>
      <c r="K12" s="44" cm="1">
        <f t="array" ref="K12">(INDEX(OraakkelinDatat[#Data],MATCH((K$7)&amp;$A12&amp;$B12&amp;$C12&amp;$D12,Data!$A$2:$A$10149&amp;Data!$B$2:$B$10149&amp;Data!$C$2:$C$10149&amp;Data!$D$2:$D$10149&amp;Data!$E$2:$E$10149,0),MATCH("Arvo",OraakkelinDatat[#Headers],0)+0)/INDEX(OraakkelinDatat[#Data],MATCH((K$7-1)&amp;$A12&amp;$B12&amp;$C12&amp;$D12,Data!$A$2:$A$10149&amp;Data!$B$2:$B$10149&amp;Data!$C$2:$C$10149&amp;Data!$D$2:$D$10149&amp;Data!$E$2:$E$10149,0),MATCH("Arvo",OraakkelinDatat[#Headers],0)+0)-1)*100</f>
        <v>4.4999999999999929</v>
      </c>
      <c r="L12" s="44" cm="1">
        <f t="array" ref="L12">(INDEX(OraakkelinDatat[#Data],MATCH((L$7)&amp;$A12&amp;$B12&amp;$C12&amp;$D12,Data!$A$2:$A$10149&amp;Data!$B$2:$B$10149&amp;Data!$C$2:$C$10149&amp;Data!$D$2:$D$10149&amp;Data!$E$2:$E$10149,0),MATCH("Arvo",OraakkelinDatat[#Headers],0)+0)/INDEX(OraakkelinDatat[#Data],MATCH((L$7-1)&amp;$A12&amp;$B12&amp;$C12&amp;$D12,Data!$A$2:$A$10149&amp;Data!$B$2:$B$10149&amp;Data!$C$2:$C$10149&amp;Data!$D$2:$D$10149&amp;Data!$E$2:$E$10149,0),MATCH("Arvo",OraakkelinDatat[#Headers],0)+0)-1)*100</f>
        <v>2.0000000239581039</v>
      </c>
      <c r="M12" s="105"/>
      <c r="N12" s="88" t="s">
        <v>576</v>
      </c>
      <c r="O12" s="88"/>
      <c r="P12" s="88"/>
      <c r="Q12" s="88"/>
      <c r="R12" s="88"/>
      <c r="S12" s="88"/>
      <c r="T12" s="99"/>
      <c r="U12" s="99"/>
      <c r="V12" s="99"/>
    </row>
    <row r="13" spans="1:22" ht="13.35" customHeight="1" x14ac:dyDescent="0.25">
      <c r="A13" t="s">
        <v>136</v>
      </c>
      <c r="B13" t="s">
        <v>20</v>
      </c>
      <c r="C13" t="s">
        <v>11</v>
      </c>
      <c r="D13" t="s">
        <v>55</v>
      </c>
      <c r="F13" s="85"/>
      <c r="G13" s="101">
        <v>6</v>
      </c>
      <c r="H13" s="101" t="s">
        <v>629</v>
      </c>
      <c r="I13" s="44" cm="1">
        <f t="array" ref="I13">(INDEX(OraakkelinDatat[#Data],MATCH((I$7)&amp;$A13&amp;$B13&amp;$C13&amp;$D13,Data!$A$2:$A$10149&amp;Data!$B$2:$B$10149&amp;Data!$C$2:$C$10149&amp;Data!$D$2:$D$10149&amp;Data!$E$2:$E$10149,0),MATCH("Arvo",OraakkelinDatat[#Headers],0)+0)/INDEX(OraakkelinDatat[#Data],MATCH((I$7-1)&amp;$A13&amp;$B13&amp;$C13&amp;$D13,Data!$A$2:$A$10149&amp;Data!$B$2:$B$10149&amp;Data!$C$2:$C$10149&amp;Data!$D$2:$D$10149&amp;Data!$E$2:$E$10149,0),MATCH("Arvo",OraakkelinDatat[#Headers],0)+0)-1)*100</f>
        <v>5.2113337173824936</v>
      </c>
      <c r="J13" s="44" cm="1">
        <f t="array" ref="J13">(INDEX(OraakkelinDatat[#Data],MATCH((J$7)&amp;$A13&amp;$B13&amp;$C13&amp;$D13,Data!$A$2:$A$10149&amp;Data!$B$2:$B$10149&amp;Data!$C$2:$C$10149&amp;Data!$D$2:$D$10149&amp;Data!$E$2:$E$10149,0),MATCH("Arvo",OraakkelinDatat[#Headers],0)+0)/INDEX(OraakkelinDatat[#Data],MATCH((J$7-1)&amp;$A13&amp;$B13&amp;$C13&amp;$D13,Data!$A$2:$A$10149&amp;Data!$B$2:$B$10149&amp;Data!$C$2:$C$10149&amp;Data!$D$2:$D$10149&amp;Data!$E$2:$E$10149,0),MATCH("Arvo",OraakkelinDatat[#Headers],0)+0)-1)*100</f>
        <v>2.1389042109852596</v>
      </c>
      <c r="K13" s="44" cm="1">
        <f t="array" ref="K13">(INDEX(OraakkelinDatat[#Data],MATCH((K$7)&amp;$A13&amp;$B13&amp;$C13&amp;$D13,Data!$A$2:$A$10149&amp;Data!$B$2:$B$10149&amp;Data!$C$2:$C$10149&amp;Data!$D$2:$D$10149&amp;Data!$E$2:$E$10149,0),MATCH("Arvo",OraakkelinDatat[#Headers],0)+0)/INDEX(OraakkelinDatat[#Data],MATCH((K$7-1)&amp;$A13&amp;$B13&amp;$C13&amp;$D13,Data!$A$2:$A$10149&amp;Data!$B$2:$B$10149&amp;Data!$C$2:$C$10149&amp;Data!$D$2:$D$10149&amp;Data!$E$2:$E$10149,0),MATCH("Arvo",OraakkelinDatat[#Headers],0)+0)-1)*100</f>
        <v>1.6000000754474053</v>
      </c>
      <c r="L13" s="44" cm="1">
        <f t="array" ref="L13">(INDEX(OraakkelinDatat[#Data],MATCH((L$7)&amp;$A13&amp;$B13&amp;$C13&amp;$D13,Data!$A$2:$A$10149&amp;Data!$B$2:$B$10149&amp;Data!$C$2:$C$10149&amp;Data!$D$2:$D$10149&amp;Data!$E$2:$E$10149,0),MATCH("Arvo",OraakkelinDatat[#Headers],0)+0)/INDEX(OraakkelinDatat[#Data],MATCH((L$7-1)&amp;$A13&amp;$B13&amp;$C13&amp;$D13,Data!$A$2:$A$10149&amp;Data!$B$2:$B$10149&amp;Data!$C$2:$C$10149&amp;Data!$D$2:$D$10149&amp;Data!$E$2:$E$10149,0),MATCH("Arvo",OraakkelinDatat[#Headers],0)+0)-1)*100</f>
        <v>1.9906147893671511</v>
      </c>
      <c r="M13" s="106"/>
      <c r="N13" s="107" t="s">
        <v>597</v>
      </c>
      <c r="O13" s="106"/>
      <c r="P13" s="88"/>
      <c r="Q13" s="88"/>
      <c r="R13" s="88"/>
      <c r="S13" s="88"/>
      <c r="T13" s="99"/>
      <c r="U13" s="99"/>
      <c r="V13" s="99"/>
    </row>
    <row r="14" spans="1:22" ht="13.35" customHeight="1" x14ac:dyDescent="0.25">
      <c r="A14" t="s">
        <v>141</v>
      </c>
      <c r="B14" t="s">
        <v>20</v>
      </c>
      <c r="C14" t="s">
        <v>11</v>
      </c>
      <c r="D14" t="s">
        <v>55</v>
      </c>
      <c r="F14" s="85"/>
      <c r="G14" s="101">
        <v>7</v>
      </c>
      <c r="H14" s="101" t="s">
        <v>630</v>
      </c>
      <c r="I14" s="44" cm="1">
        <f t="array" ref="I14">(INDEX(OraakkelinDatat[#Data],MATCH((I$7)&amp;$A14&amp;$B14&amp;$C14&amp;$D14,Data!$A$2:$A$10149&amp;Data!$B$2:$B$10149&amp;Data!$C$2:$C$10149&amp;Data!$D$2:$D$10149&amp;Data!$E$2:$E$10149,0),MATCH("Arvo",OraakkelinDatat[#Headers],0)+0)/INDEX(OraakkelinDatat[#Data],MATCH((I$7-1)&amp;$A14&amp;$B14&amp;$C14&amp;$D14,Data!$A$2:$A$10149&amp;Data!$B$2:$B$10149&amp;Data!$C$2:$C$10149&amp;Data!$D$2:$D$10149&amp;Data!$E$2:$E$10149,0),MATCH("Arvo",OraakkelinDatat[#Headers],0)+0)-1)*100</f>
        <v>2.8701267639320793</v>
      </c>
      <c r="J14" s="44" cm="1">
        <f t="array" ref="J14">(INDEX(OraakkelinDatat[#Data],MATCH((J$7)&amp;$A14&amp;$B14&amp;$C14&amp;$D14,Data!$A$2:$A$10149&amp;Data!$B$2:$B$10149&amp;Data!$C$2:$C$10149&amp;Data!$D$2:$D$10149&amp;Data!$E$2:$E$10149,0),MATCH("Arvo",OraakkelinDatat[#Headers],0)+0)/INDEX(OraakkelinDatat[#Data],MATCH((J$7-1)&amp;$A14&amp;$B14&amp;$C14&amp;$D14,Data!$A$2:$A$10149&amp;Data!$B$2:$B$10149&amp;Data!$C$2:$C$10149&amp;Data!$D$2:$D$10149&amp;Data!$E$2:$E$10149,0),MATCH("Arvo",OraakkelinDatat[#Headers],0)+0)-1)*100</f>
        <v>4.0078248927310822</v>
      </c>
      <c r="K14" s="44" cm="1">
        <f t="array" ref="K14">(INDEX(OraakkelinDatat[#Data],MATCH((K$7)&amp;$A14&amp;$B14&amp;$C14&amp;$D14,Data!$A$2:$A$10149&amp;Data!$B$2:$B$10149&amp;Data!$C$2:$C$10149&amp;Data!$D$2:$D$10149&amp;Data!$E$2:$E$10149,0),MATCH("Arvo",OraakkelinDatat[#Headers],0)+0)/INDEX(OraakkelinDatat[#Data],MATCH((K$7-1)&amp;$A14&amp;$B14&amp;$C14&amp;$D14,Data!$A$2:$A$10149&amp;Data!$B$2:$B$10149&amp;Data!$C$2:$C$10149&amp;Data!$D$2:$D$10149&amp;Data!$E$2:$E$10149,0),MATCH("Arvo",OraakkelinDatat[#Headers],0)+0)-1)*100</f>
        <v>1.7463649166797435</v>
      </c>
      <c r="L14" s="44" cm="1">
        <f t="array" ref="L14">(INDEX(OraakkelinDatat[#Data],MATCH((L$7)&amp;$A14&amp;$B14&amp;$C14&amp;$D14,Data!$A$2:$A$10149&amp;Data!$B$2:$B$10149&amp;Data!$C$2:$C$10149&amp;Data!$D$2:$D$10149&amp;Data!$E$2:$E$10149,0),MATCH("Arvo",OraakkelinDatat[#Headers],0)+0)/INDEX(OraakkelinDatat[#Data],MATCH((L$7-1)&amp;$A14&amp;$B14&amp;$C14&amp;$D14,Data!$A$2:$A$10149&amp;Data!$B$2:$B$10149&amp;Data!$C$2:$C$10149&amp;Data!$D$2:$D$10149&amp;Data!$E$2:$E$10149,0),MATCH("Arvo",OraakkelinDatat[#Headers],0)+0)-1)*100</f>
        <v>2.5367512218249955</v>
      </c>
      <c r="M14" s="96"/>
      <c r="N14" s="107" t="s">
        <v>597</v>
      </c>
      <c r="O14" s="96"/>
      <c r="P14" s="88"/>
      <c r="Q14" s="88"/>
      <c r="R14" s="88"/>
      <c r="S14" s="88"/>
      <c r="T14" s="99"/>
      <c r="U14" s="99"/>
      <c r="V14" s="99"/>
    </row>
    <row r="15" spans="1:22" ht="13.35" customHeight="1" x14ac:dyDescent="0.25">
      <c r="F15" s="85"/>
      <c r="G15" s="109" t="s">
        <v>631</v>
      </c>
      <c r="H15" s="109" t="s">
        <v>632</v>
      </c>
      <c r="I15" s="95">
        <f t="shared" ref="I15:L15" si="1">I7</f>
        <v>2025</v>
      </c>
      <c r="J15" s="95">
        <f t="shared" si="1"/>
        <v>2026</v>
      </c>
      <c r="K15" s="95">
        <f t="shared" si="1"/>
        <v>2027</v>
      </c>
      <c r="L15" s="95">
        <f t="shared" si="1"/>
        <v>2028</v>
      </c>
      <c r="M15" s="110"/>
      <c r="N15" s="110"/>
      <c r="O15" s="110"/>
      <c r="P15" s="88"/>
      <c r="Q15" s="88"/>
      <c r="R15" s="88"/>
      <c r="S15" s="88"/>
      <c r="T15" s="99"/>
      <c r="U15" s="99"/>
      <c r="V15" s="99"/>
    </row>
    <row r="16" spans="1:22" ht="13.35" customHeight="1" x14ac:dyDescent="0.25">
      <c r="F16" s="85"/>
      <c r="G16" s="97">
        <v>1</v>
      </c>
      <c r="H16" s="111" t="s">
        <v>633</v>
      </c>
      <c r="I16" s="102">
        <f>[1]KONTR!Z26</f>
        <v>-0.13364554140228735</v>
      </c>
      <c r="J16" s="102">
        <f>[1]KONTR!AA26</f>
        <v>2.2774713422299429</v>
      </c>
      <c r="K16" s="98">
        <f>[1]KONTR!AB26</f>
        <v>1.8290606828984448</v>
      </c>
      <c r="L16" s="98">
        <f>[1]KONTR!AC26</f>
        <v>1.7614209521623827</v>
      </c>
      <c r="M16" s="110"/>
      <c r="N16" s="112" t="s">
        <v>583</v>
      </c>
      <c r="O16" s="110"/>
      <c r="P16" s="88"/>
      <c r="Q16" s="88"/>
      <c r="R16" s="88"/>
      <c r="S16" s="88"/>
      <c r="T16" s="99"/>
      <c r="U16" s="99"/>
      <c r="V16" s="99"/>
    </row>
    <row r="17" spans="6:22" ht="13.35" customHeight="1" x14ac:dyDescent="0.25">
      <c r="F17" s="85"/>
      <c r="G17" s="101">
        <v>2</v>
      </c>
      <c r="H17" s="113" t="s">
        <v>571</v>
      </c>
      <c r="I17" s="102">
        <f>[1]KONTR!Z11</f>
        <v>-0.58960685292875747</v>
      </c>
      <c r="J17" s="102">
        <f>[1]KONTR!AA11</f>
        <v>0.54768437556737115</v>
      </c>
      <c r="K17" s="103">
        <f>[1]KONTR!AB11</f>
        <v>0.78802506892832391</v>
      </c>
      <c r="L17" s="103">
        <f>[1]KONTR!AC11</f>
        <v>0.78496592390478281</v>
      </c>
      <c r="M17" s="110"/>
      <c r="N17" s="112" t="s">
        <v>583</v>
      </c>
      <c r="O17" s="110"/>
      <c r="P17" s="88"/>
      <c r="Q17" s="88"/>
      <c r="R17" s="88"/>
      <c r="S17" s="88"/>
      <c r="T17" s="99"/>
      <c r="U17" s="99"/>
      <c r="V17" s="99"/>
    </row>
    <row r="18" spans="6:22" ht="13.35" customHeight="1" x14ac:dyDescent="0.25">
      <c r="F18" s="92"/>
      <c r="G18" s="101">
        <v>3</v>
      </c>
      <c r="H18" s="113" t="s">
        <v>627</v>
      </c>
      <c r="I18" s="102">
        <f>[1]KONTR!Z12</f>
        <v>7.5536505073589666E-2</v>
      </c>
      <c r="J18" s="102">
        <f>[1]KONTR!AA12</f>
        <v>-0.13579399457356706</v>
      </c>
      <c r="K18" s="103">
        <f>[1]KONTR!AB12</f>
        <v>2.7552468646949914E-2</v>
      </c>
      <c r="L18" s="103">
        <f>[1]KONTR!AC12</f>
        <v>0.12637643442142221</v>
      </c>
      <c r="M18" s="110"/>
      <c r="N18" s="112" t="s">
        <v>583</v>
      </c>
      <c r="O18" s="110"/>
      <c r="P18" s="88"/>
      <c r="Q18" s="88"/>
      <c r="R18" s="88"/>
      <c r="S18" s="88"/>
      <c r="T18" s="99"/>
      <c r="U18" s="99"/>
      <c r="V18" s="99"/>
    </row>
    <row r="19" spans="6:22" ht="13.35" customHeight="1" x14ac:dyDescent="0.25">
      <c r="F19" s="85"/>
      <c r="G19" s="101">
        <v>4</v>
      </c>
      <c r="H19" s="113" t="s">
        <v>573</v>
      </c>
      <c r="I19" s="102">
        <f>[1]KONTR!Z15</f>
        <v>0.31269537248732115</v>
      </c>
      <c r="J19" s="102">
        <f>[1]KONTR!AA15</f>
        <v>1.7023347753413136</v>
      </c>
      <c r="K19" s="103">
        <f>[1]KONTR!AB15</f>
        <v>1.0141659786741901</v>
      </c>
      <c r="L19" s="103">
        <f>[1]KONTR!AC15</f>
        <v>0.85073522825240266</v>
      </c>
      <c r="M19" s="110"/>
      <c r="N19" s="112" t="s">
        <v>583</v>
      </c>
      <c r="O19" s="110"/>
      <c r="P19" s="88"/>
      <c r="Q19" s="88"/>
      <c r="R19" s="88"/>
      <c r="S19" s="88"/>
      <c r="T19" s="99"/>
      <c r="U19" s="99"/>
      <c r="V19" s="99"/>
    </row>
    <row r="20" spans="6:22" ht="13.35" customHeight="1" x14ac:dyDescent="0.25">
      <c r="F20" s="85"/>
      <c r="G20" s="101">
        <v>5</v>
      </c>
      <c r="H20" s="113" t="s">
        <v>634</v>
      </c>
      <c r="I20" s="102">
        <f>[1]KONTR!Z18</f>
        <v>6.3021864556069562E-2</v>
      </c>
      <c r="J20" s="102">
        <f>[1]KONTR!AA18</f>
        <v>0.16324618589482531</v>
      </c>
      <c r="K20" s="103">
        <f>[1]KONTR!AB18</f>
        <v>-6.8283335100915998E-4</v>
      </c>
      <c r="L20" s="103">
        <f>[1]KONTR!AC18</f>
        <v>-6.5663441622509922E-4</v>
      </c>
      <c r="M20" s="110"/>
      <c r="N20" s="112" t="s">
        <v>583</v>
      </c>
      <c r="O20" s="110"/>
      <c r="P20" s="110"/>
      <c r="Q20" s="110"/>
      <c r="R20" s="88"/>
      <c r="S20" s="88"/>
      <c r="T20" s="99"/>
      <c r="U20" s="99"/>
      <c r="V20" s="99"/>
    </row>
    <row r="21" spans="6:22" ht="13.35" customHeight="1" x14ac:dyDescent="0.25">
      <c r="F21" s="92"/>
      <c r="G21" s="114">
        <v>6</v>
      </c>
      <c r="H21" s="111" t="s">
        <v>635</v>
      </c>
      <c r="I21" s="102">
        <f>[1]KONTR!Z24</f>
        <v>0.97648294874028296</v>
      </c>
      <c r="J21" s="102">
        <f>[1]KONTR!AA24</f>
        <v>-0.74049995918843903</v>
      </c>
      <c r="K21" s="108">
        <f>[1]KONTR!AB24</f>
        <v>-5.0491312772337989E-2</v>
      </c>
      <c r="L21" s="108">
        <f>[1]KONTR!AC24</f>
        <v>-0.21601100835621956</v>
      </c>
      <c r="M21" s="110"/>
      <c r="N21" s="112" t="s">
        <v>583</v>
      </c>
      <c r="O21" s="110"/>
      <c r="P21" s="88"/>
      <c r="Q21" s="88"/>
      <c r="R21" s="88"/>
      <c r="S21" s="88"/>
      <c r="T21" s="99"/>
      <c r="U21" s="99"/>
      <c r="V21" s="99"/>
    </row>
    <row r="22" spans="6:22" ht="13.35" customHeight="1" x14ac:dyDescent="0.25">
      <c r="F22" s="85"/>
      <c r="G22" s="109" t="s">
        <v>28</v>
      </c>
      <c r="H22" s="109" t="s">
        <v>636</v>
      </c>
      <c r="I22" s="95">
        <f t="shared" ref="I22:L22" si="2">I7</f>
        <v>2025</v>
      </c>
      <c r="J22" s="95">
        <f t="shared" si="2"/>
        <v>2026</v>
      </c>
      <c r="K22" s="95">
        <f t="shared" si="2"/>
        <v>2027</v>
      </c>
      <c r="L22" s="95">
        <f t="shared" si="2"/>
        <v>2028</v>
      </c>
      <c r="M22" s="110"/>
      <c r="N22" s="110"/>
      <c r="O22" s="110"/>
      <c r="P22" s="88"/>
      <c r="Q22" s="88"/>
      <c r="R22" s="88"/>
      <c r="S22" s="88"/>
      <c r="T22" s="99"/>
      <c r="U22" s="99"/>
      <c r="V22" s="99"/>
    </row>
    <row r="23" spans="6:22" ht="13.35" customHeight="1" x14ac:dyDescent="0.25">
      <c r="F23" s="115"/>
      <c r="G23" s="114">
        <v>1</v>
      </c>
      <c r="H23" s="111" t="s">
        <v>637</v>
      </c>
      <c r="I23" s="102">
        <f>[1]TYÖLs!J29</f>
        <v>-0.46118370484242632</v>
      </c>
      <c r="J23" s="102">
        <f>[1]TYÖLs!K29</f>
        <v>-0.46038440488070931</v>
      </c>
      <c r="K23" s="98">
        <f>[1]TYÖLs!L29</f>
        <v>1.0751018823986547</v>
      </c>
      <c r="L23" s="98">
        <f>[1]TYÖLs!M29</f>
        <v>0.8159895553337515</v>
      </c>
      <c r="M23" s="110"/>
      <c r="N23" s="112" t="s">
        <v>593</v>
      </c>
      <c r="O23" s="110"/>
      <c r="P23" s="88"/>
      <c r="Q23" s="88"/>
      <c r="R23" s="88"/>
      <c r="S23" s="88"/>
      <c r="T23" s="99"/>
      <c r="U23" s="99"/>
      <c r="V23" s="99"/>
    </row>
    <row r="24" spans="6:22" ht="13.35" customHeight="1" x14ac:dyDescent="0.25">
      <c r="F24" s="115"/>
      <c r="G24" s="114">
        <v>2</v>
      </c>
      <c r="H24" s="111" t="s">
        <v>638</v>
      </c>
      <c r="I24" s="102">
        <f>[1]TYÖLs!J17</f>
        <v>9.6931659693165972</v>
      </c>
      <c r="J24" s="102">
        <f>[1]TYÖLs!K17</f>
        <v>10.285955798161215</v>
      </c>
      <c r="K24" s="103">
        <f>[1]TYÖLs!L17</f>
        <v>9.8526496529662868</v>
      </c>
      <c r="L24" s="103">
        <f>[1]TYÖLs!M17</f>
        <v>9.5025468021587969</v>
      </c>
      <c r="M24" s="110"/>
      <c r="N24" s="112" t="s">
        <v>593</v>
      </c>
      <c r="O24" s="110"/>
      <c r="P24" s="88"/>
      <c r="Q24" s="88"/>
      <c r="R24" s="88"/>
      <c r="S24" s="88"/>
      <c r="T24" s="99"/>
      <c r="U24" s="99"/>
      <c r="V24" s="99"/>
    </row>
    <row r="25" spans="6:22" ht="13.35" customHeight="1" x14ac:dyDescent="0.25">
      <c r="F25" s="92"/>
      <c r="G25" s="114">
        <v>3</v>
      </c>
      <c r="H25" s="111" t="s">
        <v>639</v>
      </c>
      <c r="I25" s="102">
        <f>[1]TYÖLs!J200</f>
        <v>3.2292003035891099</v>
      </c>
      <c r="J25" s="102">
        <f>[1]TYÖLs!K200</f>
        <v>3.7338727502471301</v>
      </c>
      <c r="K25" s="103">
        <f>[1]TYÖLs!L200</f>
        <v>3.0710635530019772</v>
      </c>
      <c r="L25" s="103">
        <f>[1]TYÖLs!M200</f>
        <v>3.2976821280006163</v>
      </c>
      <c r="M25" s="110"/>
      <c r="N25" s="112" t="s">
        <v>593</v>
      </c>
      <c r="O25" s="110"/>
      <c r="P25" s="88"/>
      <c r="Q25" s="88"/>
      <c r="R25" s="88"/>
      <c r="S25" s="88"/>
      <c r="T25" s="99"/>
      <c r="U25" s="99"/>
      <c r="V25" s="99"/>
    </row>
    <row r="26" spans="6:22" ht="13.35" customHeight="1" x14ac:dyDescent="0.25">
      <c r="F26" s="85"/>
      <c r="G26" s="114">
        <v>4</v>
      </c>
      <c r="H26" s="111" t="s">
        <v>640</v>
      </c>
      <c r="I26" s="102">
        <f>[1]TYÖLs!J185</f>
        <v>1.9713007647793006</v>
      </c>
      <c r="J26" s="102">
        <f>[1]TYÖLs!K185</f>
        <v>1.6506329344395851</v>
      </c>
      <c r="K26" s="103">
        <f>[1]TYÖLs!L185</f>
        <v>2.3277532629943067</v>
      </c>
      <c r="L26" s="103">
        <f>[1]TYÖLs!M185</f>
        <v>2.5640688402576615</v>
      </c>
      <c r="M26" s="110"/>
      <c r="N26" s="112" t="s">
        <v>593</v>
      </c>
      <c r="O26" s="110"/>
      <c r="P26" s="88"/>
      <c r="Q26" s="88"/>
      <c r="R26" s="88"/>
      <c r="S26" s="88"/>
      <c r="T26" s="99"/>
      <c r="U26" s="99"/>
      <c r="V26" s="99"/>
    </row>
    <row r="27" spans="6:22" ht="13.35" customHeight="1" x14ac:dyDescent="0.25">
      <c r="F27" s="115"/>
      <c r="G27" s="114">
        <v>5</v>
      </c>
      <c r="H27" s="111" t="s">
        <v>641</v>
      </c>
      <c r="I27" s="102">
        <f>[1]TYÖLs!J186</f>
        <v>0.79868699264507015</v>
      </c>
      <c r="J27" s="102">
        <f>[1]TYÖLs!K186</f>
        <v>-0.36318063095189812</v>
      </c>
      <c r="K27" s="103">
        <f>[1]TYÖLs!L186</f>
        <v>0.11891929478402563</v>
      </c>
      <c r="L27" s="103">
        <f>[1]TYÖLs!M186</f>
        <v>0.13891124679368261</v>
      </c>
      <c r="M27" s="110"/>
      <c r="N27" s="112" t="s">
        <v>593</v>
      </c>
      <c r="O27" s="110"/>
      <c r="P27" s="88"/>
      <c r="Q27" s="88"/>
      <c r="R27" s="88"/>
      <c r="S27" s="88"/>
      <c r="T27" s="99"/>
      <c r="U27" s="99"/>
      <c r="V27" s="99"/>
    </row>
    <row r="28" spans="6:22" ht="13.35" customHeight="1" x14ac:dyDescent="0.25">
      <c r="F28" s="115"/>
      <c r="G28" s="114">
        <v>6</v>
      </c>
      <c r="H28" s="111" t="s">
        <v>642</v>
      </c>
      <c r="I28" s="102">
        <f>[1]KOTs!AS61</f>
        <v>5.9148010675595009</v>
      </c>
      <c r="J28" s="102">
        <f>[1]KOTs!AT61</f>
        <v>4.9988601455671482</v>
      </c>
      <c r="K28" s="103">
        <f>[1]KOTs!AU61</f>
        <v>5.0716189624804482</v>
      </c>
      <c r="L28" s="103">
        <f>[1]KOTs!AV61</f>
        <v>4.5096496597327835</v>
      </c>
      <c r="M28" s="110"/>
      <c r="N28" s="112" t="s">
        <v>605</v>
      </c>
      <c r="O28" s="110"/>
      <c r="P28" s="88"/>
      <c r="Q28" s="88"/>
      <c r="R28" s="88"/>
      <c r="S28" s="88"/>
      <c r="T28" s="99"/>
      <c r="U28" s="99"/>
      <c r="V28" s="99"/>
    </row>
    <row r="29" spans="6:22" ht="13.35" customHeight="1" x14ac:dyDescent="0.25">
      <c r="F29" s="92"/>
      <c r="G29" s="114">
        <v>7</v>
      </c>
      <c r="H29" s="111" t="s">
        <v>585</v>
      </c>
      <c r="I29" s="102">
        <f>[1]BKTk!BG27</f>
        <v>1.1866251881716749</v>
      </c>
      <c r="J29" s="102">
        <f>[1]BKTk!BH27</f>
        <v>2.3708424012895968</v>
      </c>
      <c r="K29" s="103">
        <f>[1]BKTk!BI27</f>
        <v>2.172669645590708</v>
      </c>
      <c r="L29" s="103">
        <f>[1]BKTk!BJ27</f>
        <v>2.447860651238698</v>
      </c>
      <c r="M29" s="116"/>
      <c r="N29" s="112" t="s">
        <v>570</v>
      </c>
      <c r="O29" s="116"/>
      <c r="P29" s="88"/>
      <c r="Q29" s="88"/>
      <c r="R29" s="88"/>
      <c r="S29" s="88"/>
      <c r="T29" s="99"/>
      <c r="U29" s="99"/>
      <c r="V29" s="99"/>
    </row>
    <row r="30" spans="6:22" ht="13.35" customHeight="1" x14ac:dyDescent="0.25">
      <c r="F30" s="85">
        <v>43</v>
      </c>
      <c r="G30" s="114">
        <v>8</v>
      </c>
      <c r="H30" s="111" t="s">
        <v>643</v>
      </c>
      <c r="I30" s="102">
        <f>HLOOKUP(I$7,[1]OLETs!$A$9:$AE$334,$F$30,FALSE)</f>
        <v>1.8</v>
      </c>
      <c r="J30" s="102">
        <f>HLOOKUP(J$7,[1]OLETs!$A$9:$AE$334,$F$30,FALSE)</f>
        <v>2.5365139289316545</v>
      </c>
      <c r="K30" s="102">
        <f>HLOOKUP(K$7,[1]OLETs!$A$9:$AE$334,$F$30,FALSE)</f>
        <v>1.4387156976614079</v>
      </c>
      <c r="L30" s="103">
        <f>HLOOKUP(L$7,[1]OLETs!$A$9:$AE$334,$F$30,FALSE)</f>
        <v>2.0919850101356303</v>
      </c>
      <c r="M30" s="117"/>
      <c r="N30" s="112" t="s">
        <v>587</v>
      </c>
      <c r="O30" s="117"/>
      <c r="P30" s="88"/>
      <c r="Q30" s="88"/>
      <c r="R30" s="88"/>
      <c r="S30" s="88"/>
      <c r="T30" s="99"/>
      <c r="U30" s="99"/>
      <c r="V30" s="99"/>
    </row>
    <row r="31" spans="6:22" ht="13.35" customHeight="1" x14ac:dyDescent="0.25">
      <c r="F31" s="85"/>
      <c r="G31" s="114">
        <v>9</v>
      </c>
      <c r="H31" s="111" t="s">
        <v>644</v>
      </c>
      <c r="I31" s="102">
        <f>[1]ULKs!L58</f>
        <v>1.0773255208053314</v>
      </c>
      <c r="J31" s="102">
        <f>[1]ULKs!M58</f>
        <v>2.3778429924675493E-2</v>
      </c>
      <c r="K31" s="103">
        <f>[1]ULKs!N58</f>
        <v>0.29064547724190959</v>
      </c>
      <c r="L31" s="103">
        <f>[1]ULKs!O58</f>
        <v>-5.7415042327747301E-2</v>
      </c>
      <c r="M31" s="110"/>
      <c r="N31" s="112" t="s">
        <v>597</v>
      </c>
      <c r="O31" s="110"/>
      <c r="P31" s="88"/>
      <c r="Q31" s="88"/>
      <c r="R31" s="88"/>
      <c r="S31" s="88"/>
      <c r="T31" s="99"/>
      <c r="U31" s="99"/>
      <c r="V31" s="99"/>
    </row>
    <row r="32" spans="6:22" ht="13.35" customHeight="1" x14ac:dyDescent="0.25">
      <c r="F32" s="85"/>
      <c r="G32" s="114">
        <v>10</v>
      </c>
      <c r="H32" s="111" t="s">
        <v>645</v>
      </c>
      <c r="I32" s="102">
        <f>([1]ULKs!L79/[1]BKTk!AC19)*100</f>
        <v>3.0750613060404639</v>
      </c>
      <c r="J32" s="102">
        <f>([1]ULKs!M79/[1]BKTk!AD19)*100</f>
        <v>2.5713156503490753</v>
      </c>
      <c r="K32" s="103">
        <f>([1]ULKs!N79/[1]BKTk!AE19)*100</f>
        <v>2.6879883350647211</v>
      </c>
      <c r="L32" s="103">
        <f>([1]ULKs!O79/[1]BKTk!AF19)*100</f>
        <v>2.4617793476488044</v>
      </c>
      <c r="M32" s="110"/>
      <c r="N32" s="112" t="s">
        <v>597</v>
      </c>
      <c r="O32" s="110"/>
      <c r="P32" s="88"/>
      <c r="Q32" s="88"/>
      <c r="R32" s="88"/>
      <c r="S32" s="88"/>
      <c r="T32" s="99"/>
      <c r="U32" s="99"/>
      <c r="V32" s="99"/>
    </row>
    <row r="33" spans="6:22" ht="13.35" customHeight="1" x14ac:dyDescent="0.25">
      <c r="F33" s="85"/>
      <c r="G33" s="114">
        <v>11</v>
      </c>
      <c r="H33" s="111" t="s">
        <v>646</v>
      </c>
      <c r="I33" s="102">
        <f>[1]ULKs!L107</f>
        <v>1.0351937483808462</v>
      </c>
      <c r="J33" s="102">
        <f>[1]ULKs!M107</f>
        <v>0.40506708103091393</v>
      </c>
      <c r="K33" s="103">
        <f>[1]ULKs!N107</f>
        <v>0.51528519348646662</v>
      </c>
      <c r="L33" s="103">
        <f>[1]ULKs!O107</f>
        <v>0.20933274176050254</v>
      </c>
      <c r="M33" s="110"/>
      <c r="N33" s="112" t="s">
        <v>597</v>
      </c>
      <c r="O33" s="110"/>
      <c r="P33" s="88"/>
      <c r="Q33" s="88"/>
      <c r="R33" s="88"/>
      <c r="S33" s="88"/>
      <c r="T33" s="99"/>
      <c r="U33" s="99"/>
      <c r="V33" s="99"/>
    </row>
    <row r="34" spans="6:22" ht="13.35" customHeight="1" x14ac:dyDescent="0.25">
      <c r="F34" s="85"/>
      <c r="G34" s="114">
        <v>12</v>
      </c>
      <c r="H34" s="111" t="s">
        <v>647</v>
      </c>
      <c r="I34" s="102">
        <f>[1]ULKs!L129</f>
        <v>1.1973752852372219</v>
      </c>
      <c r="J34" s="102">
        <f>[1]ULKs!M129</f>
        <v>0.56109450173767528</v>
      </c>
      <c r="K34" s="108">
        <f>[1]ULKs!N129</f>
        <v>0.66532615759503599</v>
      </c>
      <c r="L34" s="108">
        <f>[1]ULKs!O129</f>
        <v>0.35355977002183359</v>
      </c>
      <c r="M34" s="87"/>
      <c r="N34" s="112" t="s">
        <v>597</v>
      </c>
      <c r="O34" s="88"/>
      <c r="P34" s="88"/>
      <c r="Q34" s="88"/>
      <c r="R34" s="88"/>
      <c r="S34" s="88"/>
      <c r="T34" s="99"/>
      <c r="U34" s="99"/>
      <c r="V34" s="99"/>
    </row>
    <row r="35" spans="6:22" ht="15" customHeight="1" x14ac:dyDescent="0.25">
      <c r="F35" s="118"/>
      <c r="G35" s="109" t="s">
        <v>106</v>
      </c>
      <c r="H35" s="109" t="s">
        <v>648</v>
      </c>
      <c r="I35" s="95">
        <f t="shared" ref="I35:L35" si="3">I7</f>
        <v>2025</v>
      </c>
      <c r="J35" s="119">
        <f t="shared" si="3"/>
        <v>2026</v>
      </c>
      <c r="K35" s="119">
        <f t="shared" si="3"/>
        <v>2027</v>
      </c>
      <c r="L35" s="95">
        <f t="shared" si="3"/>
        <v>2028</v>
      </c>
      <c r="T35" s="99"/>
      <c r="U35" s="99"/>
      <c r="V35" s="99"/>
    </row>
    <row r="36" spans="6:22" ht="15" customHeight="1" x14ac:dyDescent="0.25">
      <c r="F36" s="118"/>
      <c r="G36" s="120">
        <v>1</v>
      </c>
      <c r="H36" s="121" t="s">
        <v>649</v>
      </c>
      <c r="I36" s="122"/>
      <c r="J36" s="123"/>
      <c r="K36" s="123"/>
      <c r="L36" s="122"/>
      <c r="T36" s="99"/>
      <c r="U36" s="99"/>
      <c r="V36" s="99"/>
    </row>
    <row r="37" spans="6:22" ht="15" customHeight="1" x14ac:dyDescent="0.25">
      <c r="F37" s="118">
        <v>3</v>
      </c>
      <c r="G37" s="124">
        <v>2</v>
      </c>
      <c r="H37" s="125" t="s">
        <v>650</v>
      </c>
      <c r="I37" s="126">
        <f>1/HLOOKUP(I$7,[1]OLETs!$A$9:$AE$334,$F$37-1,FALSE)</f>
        <v>0.88495575221238942</v>
      </c>
      <c r="J37" s="126">
        <f>1/HLOOKUP(J$7,[1]OLETs!$A$9:$AE$334,$F$37-1,FALSE)</f>
        <v>0.86206896551724144</v>
      </c>
      <c r="K37" s="127">
        <f>1/HLOOKUP(K$7,[1]OLETs!$A$9:$AE$334,$F$37-1,FALSE)</f>
        <v>0.85470085470085477</v>
      </c>
      <c r="L37" s="127">
        <f>1/HLOOKUP(L$7,[1]OLETs!$A$9:$AE$334,$F$37-1,FALSE)</f>
        <v>0.84033613445378152</v>
      </c>
      <c r="N37" s="112" t="s">
        <v>587</v>
      </c>
      <c r="T37" s="99"/>
      <c r="U37" s="99"/>
      <c r="V37" s="99"/>
    </row>
    <row r="38" spans="6:22" ht="15" customHeight="1" x14ac:dyDescent="0.25">
      <c r="F38" s="118"/>
      <c r="G38" s="124">
        <v>3</v>
      </c>
      <c r="H38" s="125" t="s">
        <v>651</v>
      </c>
      <c r="I38" s="128"/>
      <c r="J38" s="129"/>
      <c r="K38" s="129"/>
      <c r="L38" s="128"/>
      <c r="N38" s="112"/>
      <c r="T38" s="99"/>
      <c r="U38" s="99"/>
      <c r="V38" s="99"/>
    </row>
    <row r="39" spans="6:22" ht="15" customHeight="1" x14ac:dyDescent="0.25">
      <c r="F39" s="118">
        <v>34</v>
      </c>
      <c r="G39" s="124">
        <v>4</v>
      </c>
      <c r="H39" s="125" t="s">
        <v>652</v>
      </c>
      <c r="I39" s="102">
        <f>HLOOKUP(I$7,[1]OLETs!$A$9:$AE$334,$F$39,FALSE)</f>
        <v>2.2000000000000002</v>
      </c>
      <c r="J39" s="102">
        <f>HLOOKUP(J$7,[1]OLETs!$A$9:$AE$334,$F$39,FALSE)</f>
        <v>2.2999999999999998</v>
      </c>
      <c r="K39" s="102">
        <f>HLOOKUP(K$7,[1]OLETs!$A$9:$AE$334,$F$39,FALSE)</f>
        <v>2.9</v>
      </c>
      <c r="L39" s="103">
        <f>HLOOKUP(L$7,[1]OLETs!$A$9:$AE$334,$F$39,FALSE)</f>
        <v>2.8</v>
      </c>
      <c r="N39" s="112" t="s">
        <v>587</v>
      </c>
      <c r="T39" s="99"/>
      <c r="U39" s="99"/>
      <c r="V39" s="99"/>
    </row>
    <row r="40" spans="6:22" ht="15" customHeight="1" x14ac:dyDescent="0.25">
      <c r="F40" s="118">
        <v>35</v>
      </c>
      <c r="G40" s="124">
        <v>5</v>
      </c>
      <c r="H40" s="125" t="s">
        <v>653</v>
      </c>
      <c r="I40" s="102">
        <f>HLOOKUP(I$7,[1]OLETs!$A$9:$AE$334,$F$40,FALSE)</f>
        <v>3</v>
      </c>
      <c r="J40" s="102">
        <f>HLOOKUP(J$7,[1]OLETs!$A$9:$AE$334,$F$40,FALSE)</f>
        <v>3.3</v>
      </c>
      <c r="K40" s="102">
        <f>HLOOKUP(K$7,[1]OLETs!$A$9:$AE$334,$F$40,FALSE)</f>
        <v>3.3</v>
      </c>
      <c r="L40" s="103">
        <f>HLOOKUP(L$7,[1]OLETs!$A$9:$AE$334,$F$40,FALSE)</f>
        <v>3.2</v>
      </c>
      <c r="N40" s="112" t="s">
        <v>587</v>
      </c>
      <c r="T40" s="99"/>
      <c r="U40" s="99"/>
      <c r="V40" s="99"/>
    </row>
    <row r="41" spans="6:22" ht="15" customHeight="1" x14ac:dyDescent="0.25">
      <c r="F41">
        <v>4</v>
      </c>
      <c r="G41" s="130">
        <v>6</v>
      </c>
      <c r="H41" s="131" t="s">
        <v>654</v>
      </c>
      <c r="I41" s="132">
        <f>HLOOKUP(I$7,[1]OLETs!$A$9:$AE$334,$F$41-1,FALSE)</f>
        <v>68.040000000000006</v>
      </c>
      <c r="J41" s="132">
        <f>HLOOKUP(J$7,[1]OLETs!$A$9:$AE$334,$F$41-1,FALSE)</f>
        <v>85.43</v>
      </c>
      <c r="K41" s="133">
        <f>HLOOKUP(K$7,[1]OLETs!$A$9:$AE$334,$F$41-1,FALSE)</f>
        <v>74.88</v>
      </c>
      <c r="L41" s="133">
        <f>HLOOKUP(L$7,[1]OLETs!$A$9:$AE$334,$F$41-1,FALSE)</f>
        <v>71.55</v>
      </c>
      <c r="N41" s="112" t="s">
        <v>587</v>
      </c>
      <c r="T41" s="99"/>
      <c r="U41" s="99"/>
      <c r="V41" s="99"/>
    </row>
  </sheetData>
  <mergeCells count="3">
    <mergeCell ref="G4:K4"/>
    <mergeCell ref="G5:H5"/>
    <mergeCell ref="G6:H6"/>
  </mergeCells>
  <printOptions horizontalCentered="1"/>
  <pageMargins left="0.74803149606299213" right="0.74803149606299213" top="0.59055118110236227" bottom="0.59055118110236227" header="0" footer="0"/>
  <pageSetup paperSize="9" scale="89" orientation="portrait" r:id="rId1"/>
  <headerFooter alignWithMargins="0"/>
  <rowBreaks count="1" manualBreakCount="1">
    <brk id="4" min="5" max="3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20"/>
  <dimension ref="C340:O343"/>
  <sheetViews>
    <sheetView topLeftCell="A316" workbookViewId="0">
      <selection activeCell="E348" sqref="E348"/>
    </sheetView>
  </sheetViews>
  <sheetFormatPr defaultRowHeight="15" customHeight="1" x14ac:dyDescent="0.25"/>
  <cols>
    <col min="3" max="3" width="18.5703125" customWidth="1"/>
  </cols>
  <sheetData>
    <row r="340" spans="3:15" x14ac:dyDescent="0.25">
      <c r="D340">
        <v>2011</v>
      </c>
      <c r="E340">
        <v>2012</v>
      </c>
      <c r="F340">
        <v>2013</v>
      </c>
      <c r="G340">
        <v>2014</v>
      </c>
      <c r="H340">
        <v>2015</v>
      </c>
      <c r="I340">
        <v>2016</v>
      </c>
      <c r="J340">
        <v>2017</v>
      </c>
      <c r="K340">
        <v>2018</v>
      </c>
      <c r="L340">
        <v>2019</v>
      </c>
      <c r="M340">
        <v>2020</v>
      </c>
      <c r="N340">
        <v>2021</v>
      </c>
      <c r="O340">
        <v>2022</v>
      </c>
    </row>
    <row r="341" spans="3:15" x14ac:dyDescent="0.25">
      <c r="C341" s="1" t="s">
        <v>238</v>
      </c>
    </row>
    <row r="342" spans="3:15" x14ac:dyDescent="0.25">
      <c r="C342" t="s">
        <v>239</v>
      </c>
      <c r="E342" s="5" t="e">
        <f>#REF!*#REF!/#REF!</f>
        <v>#REF!</v>
      </c>
      <c r="F342" s="5" t="e">
        <f>#REF!*#REF!/#REF!</f>
        <v>#REF!</v>
      </c>
      <c r="G342" s="5" t="e">
        <f>#REF!*#REF!/#REF!</f>
        <v>#REF!</v>
      </c>
      <c r="H342" s="5" t="e">
        <f>#REF!*#REF!/#REF!</f>
        <v>#REF!</v>
      </c>
      <c r="I342" s="5" t="e">
        <f>#REF!*#REF!/#REF!</f>
        <v>#REF!</v>
      </c>
      <c r="J342" s="5" t="e">
        <f>#REF!*#REF!/#REF!</f>
        <v>#REF!</v>
      </c>
      <c r="K342" s="5" t="e">
        <f>#REF!*#REF!/#REF!</f>
        <v>#REF!</v>
      </c>
      <c r="L342" s="5" t="e">
        <f>#REF!*#REF!/#REF!</f>
        <v>#REF!</v>
      </c>
      <c r="M342" s="5" t="e">
        <f>#REF!*#REF!/#REF!</f>
        <v>#REF!</v>
      </c>
      <c r="N342" s="5" t="e">
        <f>#REF!*#REF!/#REF!</f>
        <v>#REF!</v>
      </c>
      <c r="O342" s="5" t="e">
        <f>#REF!*#REF!/#REF!</f>
        <v>#REF!</v>
      </c>
    </row>
    <row r="343" spans="3:15" x14ac:dyDescent="0.25">
      <c r="C343" t="s">
        <v>240</v>
      </c>
    </row>
  </sheetData>
  <customSheetViews>
    <customSheetView guid="{B0970413-0A0B-42B2-AB7E-FED34EB008C2}" state="hidden" topLeftCell="A316">
      <selection activeCell="E348" sqref="E348"/>
      <pageMargins left="0" right="0" top="0" bottom="0" header="0" footer="0"/>
    </customSheetView>
    <customSheetView guid="{55307376-6C84-4470-8089-D663F58CCA6B}" state="hidden" topLeftCell="A316">
      <selection activeCell="E348" sqref="E348"/>
      <pageMargins left="0" right="0" top="0" bottom="0" header="0" footer="0"/>
    </customSheetView>
    <customSheetView guid="{8D9549F2-E31C-4BA6-BEA3-C48CE462CD5C}" state="hidden" topLeftCell="A316">
      <selection activeCell="E348" sqref="E348"/>
      <pageMargins left="0" right="0" top="0" bottom="0" header="0" footer="0"/>
    </customSheetView>
    <customSheetView guid="{68B5D6C0-5034-4BEB-8721-9FE9559F790A}" state="hidden" topLeftCell="A316">
      <selection activeCell="E348" sqref="E348"/>
      <pageMargins left="0" right="0" top="0" bottom="0" header="0" footer="0"/>
    </customSheetView>
    <customSheetView guid="{CE90C8DE-C8D9-4455-8415-12EBF99870C9}" state="hidden" topLeftCell="A316">
      <selection activeCell="E348" sqref="E348"/>
      <pageMargins left="0" right="0" top="0" bottom="0" header="0" footer="0"/>
    </customSheetView>
    <customSheetView guid="{6531C49F-2AAF-492A-B083-2E350050F6B4}" state="hidden" topLeftCell="A316">
      <selection activeCell="E348" sqref="E348"/>
      <pageMargins left="0" right="0" top="0" bottom="0" header="0" footer="0"/>
    </customSheetView>
    <customSheetView guid="{1DEE7538-C897-4264-9BFD-F9694581F81B}" state="hidden" topLeftCell="A316">
      <selection activeCell="E348" sqref="E348"/>
      <pageMargins left="0" right="0" top="0" bottom="0" header="0" footer="0"/>
    </customSheetView>
    <customSheetView guid="{1C90FE06-1791-4DCF-8924-1407B3AE5101}" state="hidden" topLeftCell="A316">
      <selection activeCell="E348" sqref="E348"/>
      <pageMargins left="0" right="0" top="0" bottom="0" header="0" footer="0"/>
    </customSheetView>
    <customSheetView guid="{9D1FB1A7-C9CA-4BD4-835E-F582FBEE80CF}" state="hidden" topLeftCell="A316">
      <selection activeCell="E348" sqref="E348"/>
      <pageMargins left="0" right="0" top="0" bottom="0" header="0" footer="0"/>
    </customSheetView>
    <customSheetView guid="{E48510C2-D0DA-496E-AAF6-630D6C0B9FFF}" state="hidden" topLeftCell="A316">
      <selection activeCell="E348" sqref="E348"/>
      <pageMargins left="0" right="0" top="0" bottom="0" header="0" footer="0"/>
    </customSheetView>
    <customSheetView guid="{7FB61565-5578-4F58-8726-74E54906B2BA}" state="hidden" topLeftCell="A316">
      <selection activeCell="E348" sqref="E348"/>
      <pageMargins left="0" right="0" top="0" bottom="0" header="0" footer="0"/>
    </customSheetView>
    <customSheetView guid="{A6BFC8C8-6D0E-4C9D-8D55-1D5415D316B4}" state="hidden" topLeftCell="A316">
      <selection activeCell="E348" sqref="E348"/>
      <pageMargins left="0" right="0" top="0" bottom="0" header="0" footer="0"/>
    </customSheetView>
    <customSheetView guid="{8DA12351-837C-4C9D-9F8D-9E184A60B7A1}" state="hidden" topLeftCell="A316">
      <selection activeCell="E348" sqref="E348"/>
      <pageMargins left="0" right="0" top="0" bottom="0" header="0" footer="0"/>
    </customSheetView>
    <customSheetView guid="{31EB95AC-E51A-4C8F-BC44-EF92B092D1CD}" state="hidden" topLeftCell="A316">
      <selection activeCell="E348" sqref="E348"/>
      <pageMargins left="0" right="0" top="0" bottom="0" header="0" footer="0"/>
    </customSheetView>
    <customSheetView guid="{CB5D71A9-5724-432A-962E-9908FEBBDE20}" state="hidden" topLeftCell="A316">
      <selection activeCell="E348" sqref="E348"/>
      <pageMargins left="0" right="0" top="0" bottom="0" header="0" footer="0"/>
    </customSheetView>
    <customSheetView guid="{D5FA9D00-64B8-4BBE-88E0-4667697DE71C}" state="hidden" topLeftCell="A316">
      <selection activeCell="E348" sqref="E348"/>
      <pageMargins left="0" right="0" top="0" bottom="0" header="0" footer="0"/>
    </customSheetView>
    <customSheetView guid="{9E2ECCF4-E3AF-4B09-BEDF-F96E2B275A9B}" state="hidden" topLeftCell="A316">
      <selection activeCell="E348" sqref="E348"/>
      <pageMargins left="0" right="0" top="0" bottom="0" header="0" footer="0"/>
    </customSheetView>
  </customSheetView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AD3DB17915C54E9C6E23B35C0030BF" ma:contentTypeVersion="10" ma:contentTypeDescription="Create a new document." ma:contentTypeScope="" ma:versionID="b62435f0d163a256780295930c83755c">
  <xsd:schema xmlns:xsd="http://www.w3.org/2001/XMLSchema" xmlns:xs="http://www.w3.org/2001/XMLSchema" xmlns:p="http://schemas.microsoft.com/office/2006/metadata/properties" xmlns:ns2="3f6bfde8-e824-4253-8d57-8db55cf80638" targetNamespace="http://schemas.microsoft.com/office/2006/metadata/properties" ma:root="true" ma:fieldsID="e895ca4c284545b5c49d16efaf06fd2d" ns2:_="">
    <xsd:import namespace="3f6bfde8-e824-4253-8d57-8db55cf80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bfde8-e824-4253-8d57-8db55cf8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f74eb33-bc01-4b65-a333-7b16e5d3bc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6bfde8-e824-4253-8d57-8db55cf80638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44AC04A9-FB15-4B7A-A940-6807B4DA3C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310850-B78E-4857-BAD3-578CFC4BC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EA4E9A-4008-4039-8BA2-23024ACCCF63}">
  <ds:schemaRefs>
    <ds:schemaRef ds:uri="http://purl.org/dc/terms/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07277EFC-5DB3-4278-ADDF-3C7F05E1E5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4</vt:i4>
      </vt:variant>
      <vt:variant>
        <vt:lpstr>Nimetyt alueet</vt:lpstr>
      </vt:variant>
      <vt:variant>
        <vt:i4>3</vt:i4>
      </vt:variant>
    </vt:vector>
  </HeadingPairs>
  <TitlesOfParts>
    <vt:vector size="7" baseType="lpstr">
      <vt:lpstr>Data</vt:lpstr>
      <vt:lpstr>OECD</vt:lpstr>
      <vt:lpstr>EUTable1</vt:lpstr>
      <vt:lpstr>AputauluAsiakasTauluista</vt:lpstr>
      <vt:lpstr>EUTable1!pag01_en</vt:lpstr>
      <vt:lpstr>EUTable1!Print_Areaen</vt:lpstr>
      <vt:lpstr>EUTable1!Tulostusalue</vt:lpstr>
    </vt:vector>
  </TitlesOfParts>
  <Manager/>
  <Company>VIP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vmkahkon</dc:creator>
  <cp:keywords/>
  <dc:description/>
  <cp:lastModifiedBy>Rantala Mark (VM)</cp:lastModifiedBy>
  <cp:revision/>
  <dcterms:created xsi:type="dcterms:W3CDTF">2015-03-13T11:28:53Z</dcterms:created>
  <dcterms:modified xsi:type="dcterms:W3CDTF">2026-10-29T17:37:55Z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0x0101002EAD3DB17915C54E9C6E23B35C0030BF</vt:lpwstr>
  </property>
  <property fmtid="{D5CDD505-2E9C-101B-9397-08002B2CF9AE}" pid="3" name="MediaServiceImageTags">
    <vt:lpwstr/>
  </property>
  <property fmtid="{D5CDD505-2E9C-101B-9397-08002B2CF9AE}" pid="4" name="MSIP_Label_d4462f58-56ce-4eb9-9eda-c3ed032e269e_Enabled">
    <vt:lpwstr>true</vt:lpwstr>
  </property>
  <property fmtid="{D5CDD505-2E9C-101B-9397-08002B2CF9AE}" pid="5" name="MSIP_Label_d4462f58-56ce-4eb9-9eda-c3ed032e269e_SetDate">
    <vt:lpwstr>2026-09-29T08:11:25Z</vt:lpwstr>
  </property>
  <property fmtid="{D5CDD505-2E9C-101B-9397-08002B2CF9AE}" pid="6" name="MSIP_Label_d4462f58-56ce-4eb9-9eda-c3ed032e269e_Method">
    <vt:lpwstr>Privileged</vt:lpwstr>
  </property>
  <property fmtid="{D5CDD505-2E9C-101B-9397-08002B2CF9AE}" pid="7" name="MSIP_Label_d4462f58-56ce-4eb9-9eda-c3ed032e269e_Name">
    <vt:lpwstr>Ei salassa pidettävä</vt:lpwstr>
  </property>
  <property fmtid="{D5CDD505-2E9C-101B-9397-08002B2CF9AE}" pid="8" name="MSIP_Label_d4462f58-56ce-4eb9-9eda-c3ed032e269e_SiteId">
    <vt:lpwstr>c39ecab6-fd9d-453a-92e9-1d8f40f2f504</vt:lpwstr>
  </property>
  <property fmtid="{D5CDD505-2E9C-101B-9397-08002B2CF9AE}" pid="9" name="MSIP_Label_d4462f58-56ce-4eb9-9eda-c3ed032e269e_ActionId">
    <vt:lpwstr>28f1ad7a-8de4-45b6-ab37-acd8e778712a</vt:lpwstr>
  </property>
  <property fmtid="{D5CDD505-2E9C-101B-9397-08002B2CF9AE}" pid="10" name="MSIP_Label_d4462f58-56ce-4eb9-9eda-c3ed032e269e_ContentBits">
    <vt:lpwstr>0</vt:lpwstr>
  </property>
  <property fmtid="{D5CDD505-2E9C-101B-9397-08002B2CF9AE}" pid="11" name="MSIP_Label_d4462f58-56ce-4eb9-9eda-c3ed032e269e_Tag">
    <vt:lpwstr>10, 0, 1, 1</vt:lpwstr>
  </property>
</Properties>
</file>